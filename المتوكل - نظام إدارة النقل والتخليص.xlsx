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لوحة التحكم" sheetId="1" state="visible" r:id="rId1"/>
    <sheet xmlns:r="http://schemas.openxmlformats.org/officeDocument/2006/relationships" name="البوالص" sheetId="2" state="visible" r:id="rId2"/>
    <sheet xmlns:r="http://schemas.openxmlformats.org/officeDocument/2006/relationships" name="التخليص" sheetId="3" state="visible" r:id="rId3"/>
    <sheet xmlns:r="http://schemas.openxmlformats.org/officeDocument/2006/relationships" name="مولدات ايجي كول" sheetId="4" state="visible" r:id="rId4"/>
    <sheet xmlns:r="http://schemas.openxmlformats.org/officeDocument/2006/relationships" name="مولدات الشجيع" sheetId="5" state="visible" r:id="rId5"/>
    <sheet xmlns:r="http://schemas.openxmlformats.org/officeDocument/2006/relationships" name="شامل" sheetId="6" state="visible" r:id="rId6"/>
    <sheet xmlns:r="http://schemas.openxmlformats.org/officeDocument/2006/relationships" name="أرصدة العملاء والموردين" sheetId="7" state="visible" r:id="rId7"/>
    <sheet xmlns:r="http://schemas.openxmlformats.org/officeDocument/2006/relationships" name="التقارير" sheetId="8" state="visible" r:id="rId8"/>
    <sheet xmlns:r="http://schemas.openxmlformats.org/officeDocument/2006/relationships" name="بيانات_التقارير" sheetId="9" state="hidden" r:id="rId9"/>
    <sheet xmlns:r="http://schemas.openxmlformats.org/officeDocument/2006/relationships" name="الإعدادات" sheetId="10" state="visible" r:id="rId10"/>
    <sheet xmlns:r="http://schemas.openxmlformats.org/officeDocument/2006/relationships" name="الدليل والتعليمات" sheetId="11" state="visible" r:id="rId11"/>
  </sheets>
  <definedNames>
    <definedName name="نسبة_القيمة_المضافة">'الإعدادات'!$B$5</definedName>
    <definedName name="سنة_التقارير">'الإعدادات'!$B$6</definedName>
    <definedName name="قائمة_التصنيفات">'الإعدادات'!$D$4:$D$203</definedName>
    <definedName name="قائمة_الشركات">'الإعدادات'!$E$4:$E$203</definedName>
    <definedName name="قائمة_الجهات">'الإعدادات'!$F$4:$F$203</definedName>
    <definedName name="قائمة_السائقين">'الإعدادات'!$G$4:$G$203</definedName>
    <definedName name="قائمة_أصحاب_السيارات">'الإعدادات'!$H$4:$H$203</definedName>
    <definedName name="قائمة_العملاء">'الإعدادات'!$I$4:$I$203</definedName>
    <definedName name="_xlnm._FilterDatabase" localSheetId="1" hidden="1">'البوالص'!$A$3:$AI$2203</definedName>
    <definedName name="_xlnm._FilterDatabase" localSheetId="2" hidden="1">'التخليص'!$A$3:$I$2203</definedName>
    <definedName name="_xlnm._FilterDatabase" localSheetId="3" hidden="1">'مولدات ايجي كول'!$A$3:$I$2203</definedName>
    <definedName name="_xlnm._FilterDatabase" localSheetId="4" hidden="1">'مولدات الشجيع'!$A$3:$I$2203</definedName>
    <definedName name="_xlnm._FilterDatabase" localSheetId="5" hidden="1">'شامل'!$A$3:$V$2203</definedName>
    <definedName name="_xlnm._FilterDatabase" localSheetId="6" hidden="1">'أرصدة العملاء والموردين'!$B$3:$F$203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 &quot;ج.م&quot;"/>
    <numFmt numFmtId="165" formatCode="DD/MM/YYYY"/>
    <numFmt numFmtId="166" formatCode="#,##0.00 &quot;ج.م&quot;"/>
    <numFmt numFmtId="167" formatCode="0.0%"/>
    <numFmt numFmtId="168" formatCode="MMM-YYYY"/>
  </numFmts>
  <fonts count="32">
    <font>
      <name val="Calibri"/>
      <family val="2"/>
      <color theme="1"/>
      <sz val="11"/>
      <scheme val="minor"/>
    </font>
    <font>
      <name val="Arial"/>
      <b val="1"/>
      <color rgb="FFC9A227"/>
      <sz val="20"/>
    </font>
    <font>
      <name val="Arial"/>
      <color rgb="FFFFFFFF"/>
      <sz val="11"/>
    </font>
    <font>
      <name val="Arial"/>
      <b val="1"/>
      <color rgb="FFFFFFFF"/>
    </font>
    <font>
      <name val="Arial"/>
      <b val="1"/>
      <color rgb="FF1A2433"/>
    </font>
    <font>
      <name val="Arial"/>
      <b val="1"/>
      <color rgb="FF1E6E3C"/>
    </font>
    <font>
      <name val="Arial"/>
      <color rgb="FF1A2433"/>
      <sz val="10"/>
    </font>
    <font>
      <name val="Arial"/>
      <b val="1"/>
      <color rgb="FFFFFFFF"/>
      <sz val="10"/>
    </font>
    <font>
      <name val="Arial"/>
      <i val="1"/>
      <color rgb="FF1A2433"/>
      <sz val="10"/>
    </font>
    <font>
      <name val="Arial"/>
      <b val="1"/>
      <color rgb="FFC9A227"/>
      <sz val="10"/>
    </font>
    <font>
      <name val="Arial"/>
      <color rgb="FF1A2433"/>
    </font>
    <font>
      <name val="Arial"/>
      <b val="1"/>
      <color rgb="FFFFFFFF"/>
      <sz val="11"/>
    </font>
    <font>
      <name val="Arial"/>
      <b val="1"/>
      <color rgb="FF1E6E3C"/>
      <sz val="18"/>
    </font>
    <font>
      <name val="Arial"/>
      <b val="1"/>
      <color rgb="FF9B2C2C"/>
      <sz val="18"/>
    </font>
    <font>
      <name val="Arial"/>
      <b val="1"/>
      <color rgb="FFC9A227"/>
      <sz val="18"/>
    </font>
    <font>
      <name val="Arial"/>
      <b val="1"/>
      <color rgb="FF14746F"/>
      <sz val="18"/>
    </font>
    <font>
      <name val="Arial"/>
      <b val="1"/>
      <color rgb="FF5B3E7A"/>
      <sz val="18"/>
    </font>
    <font>
      <name val="Arial"/>
      <b val="1"/>
      <color rgb="FF1E4B7A"/>
      <sz val="18"/>
    </font>
    <font>
      <name val="Arial"/>
      <b val="1"/>
      <color rgb="FF15355B"/>
      <sz val="9"/>
    </font>
    <font>
      <name val="Arial"/>
      <b val="1"/>
      <color rgb="FF1A2433"/>
      <sz val="14"/>
    </font>
    <font>
      <name val="Arial"/>
      <b val="1"/>
      <color rgb="FFFFFFFF"/>
      <sz val="13"/>
    </font>
    <font>
      <name val="Arial"/>
      <b val="1"/>
      <color rgb="FFFFFFFF"/>
      <sz val="12"/>
    </font>
    <font>
      <name val="Arial"/>
      <b val="1"/>
      <color rgb="FF1E6E3C"/>
      <sz val="12"/>
    </font>
    <font>
      <name val="Arial"/>
      <b val="1"/>
      <color rgb="FF9B2C2C"/>
      <sz val="12"/>
    </font>
    <font>
      <name val="Arial"/>
      <b val="1"/>
      <color rgb="FFC9A227"/>
      <sz val="12"/>
    </font>
    <font>
      <name val="Arial"/>
      <b val="1"/>
      <color rgb="FF14746F"/>
      <sz val="12"/>
    </font>
    <font>
      <name val="Arial"/>
      <b val="1"/>
      <color rgb="FF5B3E7A"/>
      <sz val="12"/>
    </font>
    <font>
      <name val="Arial"/>
      <b val="1"/>
      <color rgb="FF1E4B7A"/>
      <sz val="12"/>
    </font>
    <font>
      <name val="Arial"/>
      <b val="1"/>
      <color rgb="FFC9A227"/>
    </font>
    <font>
      <name val="Arial"/>
      <b val="1"/>
      <color rgb="FF15355B"/>
      <sz val="10"/>
    </font>
    <font>
      <name val="Arial"/>
      <color rgb="FF5A6472"/>
      <sz val="9"/>
    </font>
    <font>
      <name val="Arial"/>
      <b val="1"/>
      <color rgb="FF15355B"/>
    </font>
  </fonts>
  <fills count="15">
    <fill>
      <patternFill/>
    </fill>
    <fill>
      <patternFill patternType="gray125"/>
    </fill>
    <fill>
      <patternFill patternType="solid">
        <fgColor rgb="FF15355B"/>
      </patternFill>
    </fill>
    <fill>
      <patternFill patternType="solid">
        <fgColor rgb="FF1E4B7A"/>
      </patternFill>
    </fill>
    <fill>
      <patternFill patternType="solid">
        <fgColor rgb="FFEAF0F6"/>
      </patternFill>
    </fill>
    <fill>
      <patternFill patternType="solid">
        <fgColor rgb="FFFFFDF3"/>
      </patternFill>
    </fill>
    <fill>
      <patternFill patternType="solid">
        <fgColor rgb="FFC9A227"/>
      </patternFill>
    </fill>
    <fill>
      <patternFill patternType="solid">
        <fgColor rgb="FF1E6E3C"/>
      </patternFill>
    </fill>
    <fill>
      <patternFill patternType="solid">
        <fgColor rgb="FF9B2C2C"/>
      </patternFill>
    </fill>
    <fill>
      <patternFill patternType="solid">
        <fgColor rgb="FFEDF2F8"/>
      </patternFill>
    </fill>
    <fill>
      <patternFill patternType="solid">
        <fgColor rgb="FFF7F9FB"/>
      </patternFill>
    </fill>
    <fill>
      <patternFill patternType="solid">
        <fgColor rgb="FF14746F"/>
      </patternFill>
    </fill>
    <fill>
      <patternFill patternType="solid">
        <fgColor rgb="FFFFFFFF"/>
      </patternFill>
    </fill>
    <fill>
      <patternFill patternType="solid">
        <fgColor rgb="FF5B3E7A"/>
      </patternFill>
    </fill>
    <fill>
      <patternFill patternType="solid">
        <fgColor rgb="FFF3E9C6"/>
      </patternFill>
    </fill>
  </fills>
  <borders count="67">
    <border>
      <left/>
      <right/>
      <top/>
      <bottom/>
      <diagonal/>
    </border>
    <border>
      <left style="thin">
        <color rgb="FFD5DBE2"/>
      </left>
      <right style="thin">
        <color rgb="FFD5DBE2"/>
      </right>
      <top style="thin">
        <color rgb="FFD5DBE2"/>
      </top>
      <bottom style="thin">
        <color rgb="FFD5DBE2"/>
      </bottom>
    </border>
    <border>
      <left style="thin">
        <color rgb="FFFFFFFF"/>
      </left>
      <right style="thin">
        <color rgb="FFFFFFFF"/>
      </right>
      <top style="thin">
        <color rgb="FFD5DBE2"/>
      </top>
      <bottom style="medium">
        <color rgb="FFC9A227"/>
      </bottom>
    </border>
    <border>
      <top style="double">
        <color rgb="FFC9A227"/>
      </top>
    </border>
    <border>
      <left style="thin">
        <color rgb="FF1E6E3C"/>
      </left>
      <right style="thin">
        <color rgb="FF1E6E3C"/>
      </right>
      <top style="thin">
        <color rgb="FF1E6E3C"/>
      </top>
      <bottom style="thin">
        <color rgb="FF1E6E3C"/>
      </bottom>
    </border>
    <border>
      <left style="thin">
        <color rgb="FF9B2C2C"/>
      </left>
      <right style="thin">
        <color rgb="FF9B2C2C"/>
      </right>
      <top style="thin">
        <color rgb="FF9B2C2C"/>
      </top>
      <bottom style="thin">
        <color rgb="FF9B2C2C"/>
      </bottom>
    </border>
    <border>
      <left style="thin">
        <color rgb="FFC9A227"/>
      </left>
      <right style="thin">
        <color rgb="FFC9A227"/>
      </right>
      <top style="thin">
        <color rgb="FFC9A227"/>
      </top>
      <bottom style="thin">
        <color rgb="FFC9A227"/>
      </bottom>
    </border>
    <border>
      <left style="thin">
        <color rgb="FF14746F"/>
      </left>
      <right style="thin">
        <color rgb="FF14746F"/>
      </right>
      <top style="thin">
        <color rgb="FF14746F"/>
      </top>
      <bottom style="thin">
        <color rgb="FF14746F"/>
      </bottom>
    </border>
    <border>
      <left style="thin">
        <color rgb="FF5B3E7A"/>
      </left>
      <right style="thin">
        <color rgb="FF5B3E7A"/>
      </right>
      <top style="thin">
        <color rgb="FF5B3E7A"/>
      </top>
      <bottom style="thin">
        <color rgb="FF5B3E7A"/>
      </bottom>
    </border>
    <border>
      <left style="thin">
        <color rgb="FF1E4B7A"/>
      </left>
      <right style="thin">
        <color rgb="FF1E4B7A"/>
      </right>
      <top style="thin">
        <color rgb="FF1E4B7A"/>
      </top>
      <bottom style="thin">
        <color rgb="FF1E4B7A"/>
      </bottom>
    </border>
    <border>
      <left/>
      <right/>
      <top style="thin">
        <color rgb="FF5B3E7A"/>
      </top>
      <bottom/>
      <diagonal/>
    </border>
    <border>
      <left style="thin">
        <color rgb="FF5B3E7A"/>
      </left>
      <right/>
      <top/>
      <bottom/>
      <diagonal/>
    </border>
    <border>
      <left/>
      <right style="thin">
        <color rgb="FF5B3E7A"/>
      </right>
      <top style="thin">
        <color rgb="FF5B3E7A"/>
      </top>
      <bottom/>
      <diagonal/>
    </border>
    <border>
      <left/>
      <right style="thin">
        <color rgb="FF5B3E7A"/>
      </right>
      <top/>
      <bottom/>
      <diagonal/>
    </border>
    <border>
      <left style="thin">
        <color rgb="FF5B3E7A"/>
      </left>
      <right/>
      <top/>
      <bottom style="thin">
        <color rgb="FF5B3E7A"/>
      </bottom>
      <diagonal/>
    </border>
    <border>
      <left/>
      <right/>
      <top/>
      <bottom style="thin">
        <color rgb="FF5B3E7A"/>
      </bottom>
      <diagonal/>
    </border>
    <border>
      <left/>
      <right style="thin">
        <color rgb="FF5B3E7A"/>
      </right>
      <top/>
      <bottom style="thin">
        <color rgb="FF5B3E7A"/>
      </bottom>
      <diagonal/>
    </border>
    <border>
      <left/>
      <right/>
      <top style="thin">
        <color rgb="FF1E6E3C"/>
      </top>
      <bottom/>
      <diagonal/>
    </border>
    <border>
      <left/>
      <right style="thin">
        <color rgb="FF1E6E3C"/>
      </right>
      <top style="thin">
        <color rgb="FF1E6E3C"/>
      </top>
      <bottom/>
      <diagonal/>
    </border>
    <border>
      <left/>
      <right/>
      <top style="thin">
        <color rgb="FF1E6E3C"/>
      </top>
      <bottom style="thin">
        <color rgb="FF1E6E3C"/>
      </bottom>
      <diagonal/>
    </border>
    <border>
      <left/>
      <right style="thin">
        <color rgb="FF1E6E3C"/>
      </right>
      <top style="thin">
        <color rgb="FF1E6E3C"/>
      </top>
      <bottom style="thin">
        <color rgb="FF1E6E3C"/>
      </bottom>
      <diagonal/>
    </border>
    <border>
      <left/>
      <right/>
      <top style="thin">
        <color rgb="FFD5DBE2"/>
      </top>
      <bottom/>
      <diagonal/>
    </border>
    <border>
      <left/>
      <right style="thin">
        <color rgb="FFD5DBE2"/>
      </right>
      <top style="thin">
        <color rgb="FFD5DBE2"/>
      </top>
      <bottom/>
      <diagonal/>
    </border>
    <border>
      <left/>
      <right style="thin">
        <color rgb="FFD5DBE2"/>
      </right>
      <top style="thin">
        <color rgb="FFD5DBE2"/>
      </top>
      <bottom style="thin">
        <color rgb="FFD5DBE2"/>
      </bottom>
      <diagonal/>
    </border>
    <border>
      <left/>
      <right/>
      <top style="thin">
        <color rgb="FFC9A227"/>
      </top>
      <bottom/>
      <diagonal/>
    </border>
    <border>
      <left/>
      <right style="thin">
        <color rgb="FFC9A227"/>
      </right>
      <top style="thin">
        <color rgb="FFC9A227"/>
      </top>
      <bottom/>
      <diagonal/>
    </border>
    <border>
      <left/>
      <right/>
      <top style="thin">
        <color rgb="FFC9A227"/>
      </top>
      <bottom style="thin">
        <color rgb="FFC9A227"/>
      </bottom>
      <diagonal/>
    </border>
    <border>
      <left/>
      <right style="thin">
        <color rgb="FFC9A227"/>
      </right>
      <top style="thin">
        <color rgb="FFC9A227"/>
      </top>
      <bottom style="thin">
        <color rgb="FFC9A227"/>
      </bottom>
      <diagonal/>
    </border>
    <border>
      <left/>
      <right/>
      <top style="thin">
        <color rgb="FF5B3E7A"/>
      </top>
      <bottom style="thin">
        <color rgb="FF5B3E7A"/>
      </bottom>
      <diagonal/>
    </border>
    <border>
      <left/>
      <right style="thin">
        <color rgb="FF5B3E7A"/>
      </right>
      <top style="thin">
        <color rgb="FF5B3E7A"/>
      </top>
      <bottom style="thin">
        <color rgb="FF5B3E7A"/>
      </bottom>
      <diagonal/>
    </border>
    <border>
      <left style="thin">
        <color rgb="FFC9A227"/>
      </left>
      <right/>
      <top/>
      <bottom/>
      <diagonal/>
    </border>
    <border>
      <left/>
      <right style="thin">
        <color rgb="FFC9A227"/>
      </right>
      <top/>
      <bottom/>
      <diagonal/>
    </border>
    <border>
      <left style="thin">
        <color rgb="FFC9A227"/>
      </left>
      <right/>
      <top/>
      <bottom style="thin">
        <color rgb="FFC9A227"/>
      </bottom>
      <diagonal/>
    </border>
    <border>
      <left/>
      <right/>
      <top/>
      <bottom style="thin">
        <color rgb="FFC9A227"/>
      </bottom>
      <diagonal/>
    </border>
    <border>
      <left/>
      <right style="thin">
        <color rgb="FFC9A227"/>
      </right>
      <top/>
      <bottom style="thin">
        <color rgb="FFC9A227"/>
      </bottom>
      <diagonal/>
    </border>
    <border>
      <left style="thin">
        <color rgb="FF1E6E3C"/>
      </left>
      <right/>
      <top/>
      <bottom/>
      <diagonal/>
    </border>
    <border>
      <left/>
      <right style="thin">
        <color rgb="FF1E6E3C"/>
      </right>
      <top/>
      <bottom/>
      <diagonal/>
    </border>
    <border>
      <left style="thin">
        <color rgb="FF1E6E3C"/>
      </left>
      <right/>
      <top/>
      <bottom style="thin">
        <color rgb="FF1E6E3C"/>
      </bottom>
      <diagonal/>
    </border>
    <border>
      <left/>
      <right/>
      <top/>
      <bottom style="thin">
        <color rgb="FF1E6E3C"/>
      </bottom>
      <diagonal/>
    </border>
    <border>
      <left/>
      <right style="thin">
        <color rgb="FF1E6E3C"/>
      </right>
      <top/>
      <bottom style="thin">
        <color rgb="FF1E6E3C"/>
      </bottom>
      <diagonal/>
    </border>
    <border>
      <left/>
      <right/>
      <top style="thin">
        <color rgb="FF1E4B7A"/>
      </top>
      <bottom/>
      <diagonal/>
    </border>
    <border>
      <left style="thin">
        <color rgb="FF1E4B7A"/>
      </left>
      <right/>
      <top/>
      <bottom/>
      <diagonal/>
    </border>
    <border>
      <left/>
      <right style="thin">
        <color rgb="FF1E4B7A"/>
      </right>
      <top style="thin">
        <color rgb="FF1E4B7A"/>
      </top>
      <bottom/>
      <diagonal/>
    </border>
    <border>
      <left/>
      <right style="thin">
        <color rgb="FF1E4B7A"/>
      </right>
      <top/>
      <bottom/>
      <diagonal/>
    </border>
    <border>
      <left style="thin">
        <color rgb="FF1E4B7A"/>
      </left>
      <right/>
      <top/>
      <bottom style="thin">
        <color rgb="FF1E4B7A"/>
      </bottom>
      <diagonal/>
    </border>
    <border>
      <left/>
      <right/>
      <top/>
      <bottom style="thin">
        <color rgb="FF1E4B7A"/>
      </bottom>
      <diagonal/>
    </border>
    <border>
      <left/>
      <right style="thin">
        <color rgb="FF1E4B7A"/>
      </right>
      <top/>
      <bottom style="thin">
        <color rgb="FF1E4B7A"/>
      </bottom>
      <diagonal/>
    </border>
    <border>
      <left/>
      <right/>
      <top style="thin">
        <color rgb="FF14746F"/>
      </top>
      <bottom/>
      <diagonal/>
    </border>
    <border>
      <left style="thin">
        <color rgb="FF14746F"/>
      </left>
      <right/>
      <top/>
      <bottom/>
      <diagonal/>
    </border>
    <border>
      <left/>
      <right style="thin">
        <color rgb="FF14746F"/>
      </right>
      <top style="thin">
        <color rgb="FF14746F"/>
      </top>
      <bottom/>
      <diagonal/>
    </border>
    <border>
      <left/>
      <right style="thin">
        <color rgb="FF14746F"/>
      </right>
      <top/>
      <bottom/>
      <diagonal/>
    </border>
    <border>
      <left style="thin">
        <color rgb="FF14746F"/>
      </left>
      <right/>
      <top/>
      <bottom style="thin">
        <color rgb="FF14746F"/>
      </bottom>
      <diagonal/>
    </border>
    <border>
      <left/>
      <right/>
      <top/>
      <bottom style="thin">
        <color rgb="FF14746F"/>
      </bottom>
      <diagonal/>
    </border>
    <border>
      <left/>
      <right style="thin">
        <color rgb="FF14746F"/>
      </right>
      <top/>
      <bottom style="thin">
        <color rgb="FF14746F"/>
      </bottom>
      <diagonal/>
    </border>
    <border>
      <left/>
      <right/>
      <top style="thin">
        <color rgb="FF9B2C2C"/>
      </top>
      <bottom/>
      <diagonal/>
    </border>
    <border>
      <left/>
      <right style="thin">
        <color rgb="FF9B2C2C"/>
      </right>
      <top style="thin">
        <color rgb="FF9B2C2C"/>
      </top>
      <bottom/>
      <diagonal/>
    </border>
    <border>
      <left/>
      <right/>
      <top style="thin">
        <color rgb="FF9B2C2C"/>
      </top>
      <bottom style="thin">
        <color rgb="FF9B2C2C"/>
      </bottom>
      <diagonal/>
    </border>
    <border>
      <left/>
      <right style="thin">
        <color rgb="FF9B2C2C"/>
      </right>
      <top style="thin">
        <color rgb="FF9B2C2C"/>
      </top>
      <bottom style="thin">
        <color rgb="FF9B2C2C"/>
      </bottom>
      <diagonal/>
    </border>
    <border>
      <left/>
      <right/>
      <top style="thin">
        <color rgb="FF14746F"/>
      </top>
      <bottom style="thin">
        <color rgb="FF14746F"/>
      </bottom>
      <diagonal/>
    </border>
    <border>
      <left/>
      <right style="thin">
        <color rgb="FF14746F"/>
      </right>
      <top style="thin">
        <color rgb="FF14746F"/>
      </top>
      <bottom style="thin">
        <color rgb="FF14746F"/>
      </bottom>
      <diagonal/>
    </border>
    <border>
      <left/>
      <right/>
      <top style="thin">
        <color rgb="FF1E4B7A"/>
      </top>
      <bottom style="thin">
        <color rgb="FF1E4B7A"/>
      </bottom>
      <diagonal/>
    </border>
    <border>
      <left/>
      <right style="thin">
        <color rgb="FF1E4B7A"/>
      </right>
      <top style="thin">
        <color rgb="FF1E4B7A"/>
      </top>
      <bottom style="thin">
        <color rgb="FF1E4B7A"/>
      </bottom>
      <diagonal/>
    </border>
    <border>
      <left style="thin">
        <color rgb="FF9B2C2C"/>
      </left>
      <right/>
      <top/>
      <bottom/>
      <diagonal/>
    </border>
    <border>
      <left/>
      <right style="thin">
        <color rgb="FF9B2C2C"/>
      </right>
      <top/>
      <bottom/>
      <diagonal/>
    </border>
    <border>
      <left style="thin">
        <color rgb="FF9B2C2C"/>
      </left>
      <right/>
      <top/>
      <bottom style="thin">
        <color rgb="FF9B2C2C"/>
      </bottom>
      <diagonal/>
    </border>
    <border>
      <left/>
      <right/>
      <top/>
      <bottom style="thin">
        <color rgb="FF9B2C2C"/>
      </bottom>
      <diagonal/>
    </border>
    <border>
      <left/>
      <right style="thin">
        <color rgb="FF9B2C2C"/>
      </right>
      <top/>
      <bottom style="thin">
        <color rgb="FF9B2C2C"/>
      </bottom>
      <diagonal/>
    </border>
  </borders>
  <cellStyleXfs count="1">
    <xf numFmtId="0" fontId="0" fillId="0" borderId="0"/>
  </cellStyleXfs>
  <cellXfs count="16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11" fillId="7" borderId="4" applyAlignment="1" pivotButton="0" quotePrefix="0" xfId="0">
      <alignment horizontal="center" vertical="center"/>
    </xf>
    <xf numFmtId="0" fontId="0" fillId="7" borderId="4" pivotButton="0" quotePrefix="0" xfId="0"/>
    <xf numFmtId="0" fontId="11" fillId="8" borderId="5" applyAlignment="1" pivotButton="0" quotePrefix="0" xfId="0">
      <alignment horizontal="center" vertical="center"/>
    </xf>
    <xf numFmtId="0" fontId="0" fillId="8" borderId="5" pivotButton="0" quotePrefix="0" xfId="0"/>
    <xf numFmtId="0" fontId="11" fillId="6" borderId="6" applyAlignment="1" pivotButton="0" quotePrefix="0" xfId="0">
      <alignment horizontal="center" vertical="center"/>
    </xf>
    <xf numFmtId="0" fontId="0" fillId="6" borderId="6" pivotButton="0" quotePrefix="0" xfId="0"/>
    <xf numFmtId="164" fontId="12" fillId="12" borderId="4" applyAlignment="1" pivotButton="0" quotePrefix="0" xfId="0">
      <alignment horizontal="center" vertical="center"/>
    </xf>
    <xf numFmtId="0" fontId="0" fillId="12" borderId="4" pivotButton="0" quotePrefix="0" xfId="0"/>
    <xf numFmtId="164" fontId="13" fillId="12" borderId="5" applyAlignment="1" pivotButton="0" quotePrefix="0" xfId="0">
      <alignment horizontal="center" vertical="center"/>
    </xf>
    <xf numFmtId="0" fontId="0" fillId="12" borderId="5" pivotButton="0" quotePrefix="0" xfId="0"/>
    <xf numFmtId="164" fontId="14" fillId="12" borderId="6" applyAlignment="1" pivotButton="0" quotePrefix="0" xfId="0">
      <alignment horizontal="center" vertical="center"/>
    </xf>
    <xf numFmtId="0" fontId="0" fillId="12" borderId="6" pivotButton="0" quotePrefix="0" xfId="0"/>
    <xf numFmtId="0" fontId="11" fillId="11" borderId="7" applyAlignment="1" pivotButton="0" quotePrefix="0" xfId="0">
      <alignment horizontal="center" vertical="center"/>
    </xf>
    <xf numFmtId="0" fontId="0" fillId="11" borderId="7" pivotButton="0" quotePrefix="0" xfId="0"/>
    <xf numFmtId="0" fontId="11" fillId="13" borderId="8" applyAlignment="1" pivotButton="0" quotePrefix="0" xfId="0">
      <alignment horizontal="center" vertical="center"/>
    </xf>
    <xf numFmtId="0" fontId="0" fillId="13" borderId="8" pivotButton="0" quotePrefix="0" xfId="0"/>
    <xf numFmtId="0" fontId="11" fillId="3" borderId="9" applyAlignment="1" pivotButton="0" quotePrefix="0" xfId="0">
      <alignment horizontal="center" vertical="center"/>
    </xf>
    <xf numFmtId="0" fontId="0" fillId="3" borderId="9" pivotButton="0" quotePrefix="0" xfId="0"/>
    <xf numFmtId="164" fontId="15" fillId="12" borderId="7" applyAlignment="1" pivotButton="0" quotePrefix="0" xfId="0">
      <alignment horizontal="center" vertical="center"/>
    </xf>
    <xf numFmtId="0" fontId="0" fillId="12" borderId="7" pivotButton="0" quotePrefix="0" xfId="0"/>
    <xf numFmtId="164" fontId="16" fillId="12" borderId="8" applyAlignment="1" pivotButton="0" quotePrefix="0" xfId="0">
      <alignment horizontal="center" vertical="center"/>
    </xf>
    <xf numFmtId="0" fontId="0" fillId="12" borderId="8" pivotButton="0" quotePrefix="0" xfId="0"/>
    <xf numFmtId="164" fontId="17" fillId="12" borderId="9" applyAlignment="1" pivotButton="0" quotePrefix="0" xfId="0">
      <alignment horizontal="center" vertical="center"/>
    </xf>
    <xf numFmtId="0" fontId="0" fillId="12" borderId="9" pivotButton="0" quotePrefix="0" xfId="0"/>
    <xf numFmtId="0" fontId="18" fillId="4" borderId="1" applyAlignment="1" pivotButton="0" quotePrefix="0" xfId="0">
      <alignment horizontal="center" vertical="center"/>
    </xf>
    <xf numFmtId="0" fontId="0" fillId="4" borderId="1" pivotButton="0" quotePrefix="0" xfId="0"/>
    <xf numFmtId="3" fontId="19" fillId="12" borderId="1" applyAlignment="1" pivotButton="0" quotePrefix="0" xfId="0">
      <alignment horizontal="center" vertical="center"/>
    </xf>
    <xf numFmtId="0" fontId="0" fillId="12" borderId="1" pivotButton="0" quotePrefix="0" xfId="0"/>
    <xf numFmtId="0" fontId="20" fillId="2" borderId="0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 wrapText="1"/>
    </xf>
    <xf numFmtId="0" fontId="7" fillId="3" borderId="2" applyAlignment="1" pivotButton="0" quotePrefix="0" xfId="0">
      <alignment horizontal="center" vertical="center" wrapText="1"/>
    </xf>
    <xf numFmtId="0" fontId="7" fillId="7" borderId="2" applyAlignment="1" pivotButton="0" quotePrefix="0" xfId="0">
      <alignment horizontal="center" vertical="center" wrapText="1"/>
    </xf>
    <xf numFmtId="0" fontId="7" fillId="8" borderId="2" applyAlignment="1" pivotButton="0" quotePrefix="0" xfId="0">
      <alignment horizontal="center" vertical="center" wrapText="1"/>
    </xf>
    <xf numFmtId="0" fontId="7" fillId="6" borderId="2" applyAlignment="1" pivotButton="0" quotePrefix="0" xfId="0">
      <alignment horizontal="center" vertical="center" wrapText="1"/>
    </xf>
    <xf numFmtId="3" fontId="8" fillId="9" borderId="1" applyAlignment="1" pivotButton="0" quotePrefix="0" xfId="0">
      <alignment horizontal="center" vertical="center"/>
    </xf>
    <xf numFmtId="165" fontId="6" fillId="10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  <xf numFmtId="166" fontId="6" fillId="10" borderId="1" applyAlignment="1" pivotButton="0" quotePrefix="0" xfId="0">
      <alignment horizontal="center" vertical="center"/>
    </xf>
    <xf numFmtId="166" fontId="8" fillId="9" borderId="1" applyAlignment="1" pivotButton="0" quotePrefix="0" xfId="0">
      <alignment horizontal="center" vertical="center"/>
    </xf>
    <xf numFmtId="167" fontId="8" fillId="9" borderId="1" applyAlignment="1" pivotButton="0" quotePrefix="0" xfId="0">
      <alignment horizontal="center" vertical="center"/>
    </xf>
    <xf numFmtId="165" fontId="6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166" fontId="6" fillId="5" borderId="1" applyAlignment="1" pivotButton="0" quotePrefix="0" xfId="0">
      <alignment horizontal="center" vertical="center"/>
    </xf>
    <xf numFmtId="0" fontId="9" fillId="2" borderId="3" applyAlignment="1" pivotButton="0" quotePrefix="0" xfId="0">
      <alignment horizontal="center" vertical="center"/>
    </xf>
    <xf numFmtId="166" fontId="9" fillId="2" borderId="3" applyAlignment="1" pivotButton="0" quotePrefix="0" xfId="0">
      <alignment horizontal="center" vertical="center"/>
    </xf>
    <xf numFmtId="3" fontId="6" fillId="10" borderId="1" applyAlignment="1" pivotButton="0" quotePrefix="0" xfId="0">
      <alignment horizontal="center" vertical="center"/>
    </xf>
    <xf numFmtId="3" fontId="6" fillId="5" borderId="1" applyAlignment="1" pivotButton="0" quotePrefix="0" xfId="0">
      <alignment horizontal="center" vertical="center"/>
    </xf>
    <xf numFmtId="3" fontId="9" fillId="2" borderId="3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164" fontId="6" fillId="10" borderId="1" applyAlignment="1" pivotButton="0" quotePrefix="0" xfId="0">
      <alignment horizontal="center" vertical="center"/>
    </xf>
    <xf numFmtId="164" fontId="6" fillId="5" borderId="1" applyAlignment="1" pivotButton="0" quotePrefix="0" xfId="0">
      <alignment horizontal="center" vertical="center"/>
    </xf>
    <xf numFmtId="0" fontId="28" fillId="2" borderId="3" applyAlignment="1" pivotButton="0" quotePrefix="0" xfId="0">
      <alignment horizontal="center" vertical="center"/>
    </xf>
    <xf numFmtId="164" fontId="28" fillId="2" borderId="3" applyAlignment="1" pivotButton="0" quotePrefix="0" xfId="0">
      <alignment horizontal="center" vertical="center"/>
    </xf>
    <xf numFmtId="0" fontId="31" fillId="14" borderId="1" applyAlignment="1" pivotButton="0" quotePrefix="0" xfId="0">
      <alignment horizontal="center" vertical="center"/>
    </xf>
    <xf numFmtId="164" fontId="31" fillId="14" borderId="1" applyAlignment="1" pivotButton="0" quotePrefix="0" xfId="0">
      <alignment horizontal="center" vertical="center"/>
    </xf>
    <xf numFmtId="0" fontId="21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right" vertical="center" indent="1"/>
    </xf>
    <xf numFmtId="164" fontId="22" fillId="12" borderId="1" applyAlignment="1" pivotButton="0" quotePrefix="0" xfId="0">
      <alignment horizontal="center" vertical="center"/>
    </xf>
    <xf numFmtId="164" fontId="25" fillId="12" borderId="1" applyAlignment="1" pivotButton="0" quotePrefix="0" xfId="0">
      <alignment horizontal="center" vertical="center"/>
    </xf>
    <xf numFmtId="164" fontId="23" fillId="12" borderId="1" applyAlignment="1" pivotButton="0" quotePrefix="0" xfId="0">
      <alignment horizontal="center" vertical="center"/>
    </xf>
    <xf numFmtId="164" fontId="26" fillId="12" borderId="1" applyAlignment="1" pivotButton="0" quotePrefix="0" xfId="0">
      <alignment horizontal="center" vertical="center"/>
    </xf>
    <xf numFmtId="164" fontId="24" fillId="12" borderId="1" applyAlignment="1" pivotButton="0" quotePrefix="0" xfId="0">
      <alignment horizontal="center" vertical="center"/>
    </xf>
    <xf numFmtId="164" fontId="27" fillId="12" borderId="1" applyAlignment="1" pivotButton="0" quotePrefix="0" xfId="0">
      <alignment horizontal="center" vertical="center"/>
    </xf>
    <xf numFmtId="167" fontId="24" fillId="12" borderId="1" applyAlignment="1" pivotButton="0" quotePrefix="0" xfId="0">
      <alignment horizontal="center" vertical="center"/>
    </xf>
    <xf numFmtId="0" fontId="21" fillId="7" borderId="0" applyAlignment="1" pivotButton="0" quotePrefix="0" xfId="0">
      <alignment horizontal="center" vertical="center"/>
    </xf>
    <xf numFmtId="0" fontId="0" fillId="7" borderId="0" pivotButton="0" quotePrefix="0" xfId="0"/>
    <xf numFmtId="0" fontId="21" fillId="11" borderId="0" applyAlignment="1" pivotButton="0" quotePrefix="0" xfId="0">
      <alignment horizontal="center" vertical="center"/>
    </xf>
    <xf numFmtId="0" fontId="0" fillId="11" borderId="0" pivotButton="0" quotePrefix="0" xfId="0"/>
    <xf numFmtId="0" fontId="3" fillId="3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164" fontId="10" fillId="12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164" fontId="10" fillId="10" borderId="1" applyAlignment="1" pivotButton="0" quotePrefix="0" xfId="0">
      <alignment horizontal="center" vertical="center"/>
    </xf>
    <xf numFmtId="0" fontId="28" fillId="2" borderId="1" applyAlignment="1" pivotButton="0" quotePrefix="0" xfId="0">
      <alignment horizontal="center" vertical="center"/>
    </xf>
    <xf numFmtId="164" fontId="28" fillId="2" borderId="1" applyAlignment="1" pivotButton="0" quotePrefix="0" xfId="0">
      <alignment horizontal="center" vertical="center"/>
    </xf>
    <xf numFmtId="0" fontId="21" fillId="8" borderId="0" applyAlignment="1" pivotButton="0" quotePrefix="0" xfId="0">
      <alignment horizontal="center" vertical="center"/>
    </xf>
    <xf numFmtId="0" fontId="0" fillId="8" borderId="0" pivotButton="0" quotePrefix="0" xfId="0"/>
    <xf numFmtId="0" fontId="3" fillId="6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168" fontId="0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164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167" fontId="5" fillId="5" borderId="1" applyAlignment="1" pivotButton="0" quotePrefix="0" xfId="0">
      <alignment horizontal="center" vertical="center"/>
    </xf>
    <xf numFmtId="1" fontId="5" fillId="5" borderId="1" applyAlignment="1" pivotButton="0" quotePrefix="0" xfId="0">
      <alignment horizontal="center" vertical="center"/>
    </xf>
    <xf numFmtId="0" fontId="21" fillId="2" borderId="0" applyAlignment="1" pivotButton="0" quotePrefix="0" xfId="0">
      <alignment horizontal="right" vertical="center" indent="1"/>
    </xf>
    <xf numFmtId="0" fontId="29" fillId="4" borderId="1" applyAlignment="1" pivotButton="0" quotePrefix="0" xfId="0">
      <alignment horizontal="right" vertical="center" wrapText="1" indent="1"/>
    </xf>
    <xf numFmtId="0" fontId="6" fillId="0" borderId="1" applyAlignment="1" pivotButton="0" quotePrefix="0" xfId="0">
      <alignment horizontal="right" vertical="center" wrapText="1" indent="1"/>
    </xf>
    <xf numFmtId="0" fontId="30" fillId="0" borderId="1" applyAlignment="1" pivotButton="0" quotePrefix="0" xfId="0">
      <alignment horizontal="right" vertical="center" wrapText="1" indent="1"/>
    </xf>
    <xf numFmtId="0" fontId="21" fillId="6" borderId="0" applyAlignment="1" pivotButton="0" quotePrefix="0" xfId="0">
      <alignment horizontal="right" vertical="center" indent="1"/>
    </xf>
    <xf numFmtId="0" fontId="0" fillId="6" borderId="0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56" pivotButton="0" quotePrefix="0" xfId="0"/>
    <xf numFmtId="0" fontId="0" fillId="0" borderId="57" pivotButton="0" quotePrefix="0" xfId="0"/>
    <xf numFmtId="0" fontId="0" fillId="0" borderId="26" pivotButton="0" quotePrefix="0" xfId="0"/>
    <xf numFmtId="0" fontId="0" fillId="0" borderId="27" pivotButton="0" quotePrefix="0" xfId="0"/>
    <xf numFmtId="164" fontId="12" fillId="12" borderId="4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18" pivotButton="0" quotePrefix="0" xfId="0"/>
    <xf numFmtId="164" fontId="13" fillId="12" borderId="5" applyAlignment="1" pivotButton="0" quotePrefix="0" xfId="0">
      <alignment horizontal="center" vertical="center"/>
    </xf>
    <xf numFmtId="0" fontId="0" fillId="0" borderId="54" pivotButton="0" quotePrefix="0" xfId="0"/>
    <xf numFmtId="0" fontId="0" fillId="0" borderId="55" pivotButton="0" quotePrefix="0" xfId="0"/>
    <xf numFmtId="164" fontId="14" fillId="12" borderId="6" applyAlignment="1" pivotButton="0" quotePrefix="0" xfId="0">
      <alignment horizontal="center" vertical="center"/>
    </xf>
    <xf numFmtId="0" fontId="0" fillId="0" borderId="24" pivotButton="0" quotePrefix="0" xfId="0"/>
    <xf numFmtId="0" fontId="0" fillId="0" borderId="25" pivotButton="0" quotePrefix="0" xfId="0"/>
    <xf numFmtId="0" fontId="0" fillId="0" borderId="37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64" pivotButton="0" quotePrefix="0" xfId="0"/>
    <xf numFmtId="0" fontId="0" fillId="0" borderId="65" pivotButton="0" quotePrefix="0" xfId="0"/>
    <xf numFmtId="0" fontId="0" fillId="0" borderId="66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0" fillId="0" borderId="58" pivotButton="0" quotePrefix="0" xfId="0"/>
    <xf numFmtId="0" fontId="0" fillId="0" borderId="59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60" pivotButton="0" quotePrefix="0" xfId="0"/>
    <xf numFmtId="0" fontId="0" fillId="0" borderId="61" pivotButton="0" quotePrefix="0" xfId="0"/>
    <xf numFmtId="164" fontId="15" fillId="12" borderId="7" applyAlignment="1" pivotButton="0" quotePrefix="0" xfId="0">
      <alignment horizontal="center" vertical="center"/>
    </xf>
    <xf numFmtId="0" fontId="0" fillId="0" borderId="47" pivotButton="0" quotePrefix="0" xfId="0"/>
    <xf numFmtId="0" fontId="0" fillId="0" borderId="49" pivotButton="0" quotePrefix="0" xfId="0"/>
    <xf numFmtId="164" fontId="16" fillId="12" borderId="8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2" pivotButton="0" quotePrefix="0" xfId="0"/>
    <xf numFmtId="164" fontId="17" fillId="12" borderId="9" applyAlignment="1" pivotButton="0" quotePrefix="0" xfId="0">
      <alignment horizontal="center" vertical="center"/>
    </xf>
    <xf numFmtId="0" fontId="0" fillId="0" borderId="40" pivotButton="0" quotePrefix="0" xfId="0"/>
    <xf numFmtId="0" fontId="0" fillId="0" borderId="42" pivotButton="0" quotePrefix="0" xfId="0"/>
    <xf numFmtId="0" fontId="0" fillId="0" borderId="51" pivotButton="0" quotePrefix="0" xfId="0"/>
    <xf numFmtId="0" fontId="0" fillId="0" borderId="52" pivotButton="0" quotePrefix="0" xfId="0"/>
    <xf numFmtId="0" fontId="0" fillId="0" borderId="5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44" pivotButton="0" quotePrefix="0" xfId="0"/>
    <xf numFmtId="0" fontId="0" fillId="0" borderId="45" pivotButton="0" quotePrefix="0" xfId="0"/>
    <xf numFmtId="0" fontId="0" fillId="0" borderId="46" pivotButton="0" quotePrefix="0" xfId="0"/>
    <xf numFmtId="0" fontId="0" fillId="0" borderId="23" pivotButton="0" quotePrefix="0" xfId="0"/>
    <xf numFmtId="167" fontId="8" fillId="9" borderId="1" applyAlignment="1" pivotButton="0" quotePrefix="0" xfId="0">
      <alignment horizontal="center" vertical="center"/>
    </xf>
    <xf numFmtId="164" fontId="6" fillId="10" borderId="1" applyAlignment="1" pivotButton="0" quotePrefix="0" xfId="0">
      <alignment horizontal="center" vertical="center"/>
    </xf>
    <xf numFmtId="164" fontId="6" fillId="5" borderId="1" applyAlignment="1" pivotButton="0" quotePrefix="0" xfId="0">
      <alignment horizontal="center" vertical="center"/>
    </xf>
    <xf numFmtId="164" fontId="28" fillId="2" borderId="3" applyAlignment="1" pivotButton="0" quotePrefix="0" xfId="0">
      <alignment horizontal="center" vertical="center"/>
    </xf>
    <xf numFmtId="164" fontId="31" fillId="14" borderId="1" applyAlignment="1" pivotButton="0" quotePrefix="0" xfId="0">
      <alignment horizontal="center" vertical="center"/>
    </xf>
    <xf numFmtId="164" fontId="22" fillId="12" borderId="1" applyAlignment="1" pivotButton="0" quotePrefix="0" xfId="0">
      <alignment horizontal="center" vertical="center"/>
    </xf>
    <xf numFmtId="164" fontId="25" fillId="12" borderId="1" applyAlignment="1" pivotButton="0" quotePrefix="0" xfId="0">
      <alignment horizontal="center" vertical="center"/>
    </xf>
    <xf numFmtId="164" fontId="23" fillId="12" borderId="1" applyAlignment="1" pivotButton="0" quotePrefix="0" xfId="0">
      <alignment horizontal="center" vertical="center"/>
    </xf>
    <xf numFmtId="164" fontId="26" fillId="12" borderId="1" applyAlignment="1" pivotButton="0" quotePrefix="0" xfId="0">
      <alignment horizontal="center" vertical="center"/>
    </xf>
    <xf numFmtId="164" fontId="24" fillId="12" borderId="1" applyAlignment="1" pivotButton="0" quotePrefix="0" xfId="0">
      <alignment horizontal="center" vertical="center"/>
    </xf>
    <xf numFmtId="164" fontId="27" fillId="12" borderId="1" applyAlignment="1" pivotButton="0" quotePrefix="0" xfId="0">
      <alignment horizontal="center" vertical="center"/>
    </xf>
    <xf numFmtId="167" fontId="24" fillId="12" borderId="1" applyAlignment="1" pivotButton="0" quotePrefix="0" xfId="0">
      <alignment horizontal="center" vertical="center"/>
    </xf>
    <xf numFmtId="164" fontId="10" fillId="12" borderId="1" applyAlignment="1" pivotButton="0" quotePrefix="0" xfId="0">
      <alignment horizontal="center" vertical="center"/>
    </xf>
    <xf numFmtId="164" fontId="10" fillId="10" borderId="1" applyAlignment="1" pivotButton="0" quotePrefix="0" xfId="0">
      <alignment horizontal="center" vertical="center"/>
    </xf>
    <xf numFmtId="164" fontId="28" fillId="2" borderId="1" applyAlignment="1" pivotButton="0" quotePrefix="0" xfId="0">
      <alignment horizontal="center" vertical="center"/>
    </xf>
    <xf numFmtId="168" fontId="0" fillId="0" borderId="1" applyAlignment="1" pivotButton="0" quotePrefix="0" xfId="0">
      <alignment horizontal="center" vertical="center"/>
    </xf>
    <xf numFmtId="164" fontId="10" fillId="0" borderId="1" applyAlignment="1" pivotButton="0" quotePrefix="0" xfId="0">
      <alignment horizontal="center" vertical="center"/>
    </xf>
    <xf numFmtId="167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dxfs count="3">
    <dxf>
      <font>
        <b val="1"/>
        <color rgb="FF9B2C2C"/>
      </font>
      <fill>
        <patternFill patternType="solid">
          <fgColor rgb="FFF6E4E4"/>
        </patternFill>
      </fill>
    </dxf>
    <dxf>
      <font>
        <b val="1"/>
        <color rgb="FF1E6E3C"/>
      </font>
    </dxf>
    <dxf>
      <font>
        <b val="1"/>
        <color rgb="FF9B2C2C"/>
      </font>
      <fill>
        <patternFill patternType="solid">
          <fgColor rgb="FFF3E9C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الأداء الشهري (إيرادات / مصروفات / أرباح)</a:t>
            </a:r>
          </a:p>
        </rich>
      </tx>
    </title>
    <plotArea>
      <lineChart>
        <grouping val="standard"/>
        <ser>
          <idx val="0"/>
          <order val="0"/>
          <tx>
            <strRef>
              <f>'بيانات_التقارير'!C3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'بيانات_التقارير'!$B$4:$B$15</f>
            </numRef>
          </cat>
          <val>
            <numRef>
              <f>'بيانات_التقارير'!$C$4:$C$15</f>
            </numRef>
          </val>
        </ser>
        <ser>
          <idx val="1"/>
          <order val="1"/>
          <tx>
            <strRef>
              <f>'بيانات_التقارير'!D3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'بيانات_التقارير'!$B$4:$B$15</f>
            </numRef>
          </cat>
          <val>
            <numRef>
              <f>'بيانات_التقارير'!$D$4:$D$15</f>
            </numRef>
          </val>
        </ser>
        <ser>
          <idx val="2"/>
          <order val="2"/>
          <tx>
            <strRef>
              <f>'بيانات_التقارير'!E3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'بيانات_التقارير'!$B$4:$B$15</f>
            </numRef>
          </cat>
          <val>
            <numRef>
              <f>'بيانات_التقارير'!$E$4:$E$15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0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صافي الربح حسب الشركة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'بيانات_التقارير'!J3</f>
            </strRef>
          </tx>
          <spPr>
            <a:ln xmlns:a="http://schemas.openxmlformats.org/drawingml/2006/main">
              <a:prstDash val="solid"/>
            </a:ln>
          </spPr>
          <cat>
            <numRef>
              <f>'بيانات_التقارير'!$H$4:$H$18</f>
            </numRef>
          </cat>
          <val>
            <numRef>
              <f>'بيانات_التقارير'!$J$4:$J$18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0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توزيع مصروفات البوالص</a:t>
            </a:r>
          </a:p>
        </rich>
      </tx>
    </title>
    <plotArea>
      <pieChart>
        <varyColors val="1"/>
        <ser>
          <idx val="0"/>
          <order val="0"/>
          <tx>
            <strRef>
              <f>'بيانات_التقارير'!Q3</f>
            </strRef>
          </tx>
          <spPr>
            <a:ln xmlns:a="http://schemas.openxmlformats.org/drawingml/2006/main">
              <a:prstDash val="solid"/>
            </a:ln>
          </spPr>
          <cat>
            <numRef>
              <f>'بيانات_التقارير'!$P$4:$P$15</f>
            </numRef>
          </cat>
          <val>
            <numRef>
              <f>'بيانات_التقارير'!$Q$4:$Q$15</f>
            </numRef>
          </val>
        </ser>
        <dLbls>
          <showPercent val="1"/>
        </dLbls>
        <firstSliceAng val="0"/>
      </pieChart>
    </plotArea>
    <legend>
      <legendPos val="r"/>
    </legend>
    <plotVisOnly val="0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أرصدة الموردين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'بيانات_التقارير'!W3</f>
            </strRef>
          </tx>
          <spPr>
            <a:ln xmlns:a="http://schemas.openxmlformats.org/drawingml/2006/main">
              <a:prstDash val="solid"/>
            </a:ln>
          </spPr>
          <cat>
            <numRef>
              <f>'بيانات_التقارير'!$V$4:$V$15</f>
            </numRef>
          </cat>
          <val>
            <numRef>
              <f>'بيانات_التقارير'!$W$4:$W$15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0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مقارنة نولون المولدات</a:t>
            </a:r>
          </a:p>
        </rich>
      </tx>
    </title>
    <plotArea>
      <pieChart>
        <varyColors val="1"/>
        <ser>
          <idx val="0"/>
          <order val="0"/>
          <tx>
            <strRef>
              <f>'بيانات_التقارير'!T3</f>
            </strRef>
          </tx>
          <spPr>
            <a:ln xmlns:a="http://schemas.openxmlformats.org/drawingml/2006/main">
              <a:prstDash val="solid"/>
            </a:ln>
          </spPr>
          <cat>
            <numRef>
              <f>'بيانات_التقارير'!$S$4:$S$5</f>
            </numRef>
          </cat>
          <val>
            <numRef>
              <f>'بيانات_التقارير'!$T$4:$T$5</f>
            </numRef>
          </val>
        </ser>
        <dLbls>
          <showVal val="1"/>
        </dLbls>
        <firstSliceAng val="0"/>
      </pieChart>
    </plotArea>
    <legend>
      <legendPos val="r"/>
    </legend>
    <plotVisOnly val="0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14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14</row>
      <rowOff>0</rowOff>
    </from>
    <ext cx="540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31</row>
      <rowOff>0</rowOff>
    </from>
    <ext cx="540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6</col>
      <colOff>0</colOff>
      <row>31</row>
      <rowOff>0</rowOff>
    </from>
    <ext cx="540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48</row>
      <rowOff>0</rowOff>
    </from>
    <ext cx="540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5355B"/>
    <outlinePr summaryBelow="1" summaryRight="1"/>
    <pageSetUpPr fitToPage="1"/>
  </sheetPr>
  <dimension ref="A1:L13"/>
  <sheetViews>
    <sheetView showGridLines="0" rightToLeft="1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34" customHeight="1">
      <c r="A1" s="1" t="inlineStr">
        <is>
          <t>شركة المتوكل  —  لوحة التحكم والمؤشرات</t>
        </is>
      </c>
    </row>
    <row r="2" ht="20" customHeight="1">
      <c r="A2" s="3" t="inlineStr">
        <is>
          <t>نظرة شاملة على أداء الشركة — تُحدَّث تلقائياً مع إدخال البيانات</t>
        </is>
      </c>
    </row>
    <row r="3" ht="26" customHeight="1"/>
    <row r="4" ht="20" customHeight="1">
      <c r="A4" s="5" t="inlineStr">
        <is>
          <t>إجمالي الإيرادات</t>
        </is>
      </c>
      <c r="B4" s="100" t="n"/>
      <c r="C4" s="100" t="n"/>
      <c r="D4" s="101" t="n"/>
      <c r="E4" s="7" t="inlineStr">
        <is>
          <t>إجمالي المصروفات</t>
        </is>
      </c>
      <c r="F4" s="102" t="n"/>
      <c r="G4" s="102" t="n"/>
      <c r="H4" s="103" t="n"/>
      <c r="I4" s="9" t="inlineStr">
        <is>
          <t>صافي الأرباح</t>
        </is>
      </c>
      <c r="J4" s="104" t="n"/>
      <c r="K4" s="104" t="n"/>
      <c r="L4" s="105" t="n"/>
    </row>
    <row r="5" ht="22" customHeight="1">
      <c r="A5" s="106">
        <f>SUM('البوالص'!$L$4:$L$2203)+SUM('شامل'!$O$4:$O$2203)+SUM('التخليص'!$G$4:$G$2203)+SUM('مولدات ايجي كول'!$G$4:$G$2203)+SUM('مولدات الشجيع'!$G$4:$G$2203)</f>
        <v/>
      </c>
      <c r="B5" s="107" t="n"/>
      <c r="C5" s="107" t="n"/>
      <c r="D5" s="108" t="n"/>
      <c r="E5" s="109">
        <f>SUM('البوالص'!$AF$4:$AF$2203)+SUM('شامل'!$T$4:$T$2203)+SUM('التخليص'!$F$4:$F$2203)</f>
        <v/>
      </c>
      <c r="F5" s="110" t="n"/>
      <c r="G5" s="110" t="n"/>
      <c r="H5" s="111" t="n"/>
      <c r="I5" s="112">
        <f>SUM('شامل'!$U$4:$U$2203)+SUM('شامل'!$V$4:$V$2203)+SUM('البوالص'!$AH$4:$AH$2203)</f>
        <v/>
      </c>
      <c r="J5" s="113" t="n"/>
      <c r="K5" s="113" t="n"/>
      <c r="L5" s="114" t="n"/>
    </row>
    <row r="6" ht="22" customHeight="1">
      <c r="A6" s="115" t="n"/>
      <c r="B6" s="116" t="n"/>
      <c r="C6" s="116" t="n"/>
      <c r="D6" s="117" t="n"/>
      <c r="E6" s="118" t="n"/>
      <c r="F6" s="119" t="n"/>
      <c r="G6" s="119" t="n"/>
      <c r="H6" s="120" t="n"/>
      <c r="I6" s="121" t="n"/>
      <c r="J6" s="122" t="n"/>
      <c r="K6" s="122" t="n"/>
      <c r="L6" s="123" t="n"/>
    </row>
    <row r="7" ht="20" customHeight="1">
      <c r="A7" s="17" t="inlineStr">
        <is>
          <t>إجمالي المتحصّلات</t>
        </is>
      </c>
      <c r="B7" s="124" t="n"/>
      <c r="C7" s="124" t="n"/>
      <c r="D7" s="125" t="n"/>
      <c r="E7" s="19" t="inlineStr">
        <is>
          <t>المتبقي على العملاء</t>
        </is>
      </c>
      <c r="F7" s="126" t="n"/>
      <c r="G7" s="126" t="n"/>
      <c r="H7" s="127" t="n"/>
      <c r="I7" s="21" t="inlineStr">
        <is>
          <t>إجمالي النولون</t>
        </is>
      </c>
      <c r="J7" s="128" t="n"/>
      <c r="K7" s="128" t="n"/>
      <c r="L7" s="129" t="n"/>
    </row>
    <row r="8" ht="22" customHeight="1">
      <c r="A8" s="130">
        <f>SUM('البوالص'!$Q$4:$Q$2203)+SUM('شامل'!$P$4:$P$2203)+SUM('التخليص'!$H$4:$H$2203)+SUM('مولدات ايجي كول'!$H$4:$H$2203)+SUM('مولدات الشجيع'!$H$4:$H$2203)</f>
        <v/>
      </c>
      <c r="B8" s="131" t="n"/>
      <c r="C8" s="131" t="n"/>
      <c r="D8" s="132" t="n"/>
      <c r="E8" s="133">
        <f>SUM('البوالص'!$R$4:$R$2203)+SUM('شامل'!$Q$4:$Q$2203)+SUM('التخليص'!$I$4:$I$2203)+SUM('مولدات ايجي كول'!$I$4:$I$2203)+SUM('مولدات الشجيع'!$I$4:$I$2203)</f>
        <v/>
      </c>
      <c r="F8" s="134" t="n"/>
      <c r="G8" s="134" t="n"/>
      <c r="H8" s="135" t="n"/>
      <c r="I8" s="136">
        <f>SUM('البوالص'!$L$4:$L$2203)+SUM('شامل'!$J$4:$J$2203)+SUM('مولدات ايجي كول'!$G$4:$G$2203)+SUM('مولدات الشجيع'!$G$4:$G$2203)</f>
        <v/>
      </c>
      <c r="J8" s="137" t="n"/>
      <c r="K8" s="137" t="n"/>
      <c r="L8" s="138" t="n"/>
    </row>
    <row r="9" ht="22" customHeight="1">
      <c r="A9" s="139" t="n"/>
      <c r="B9" s="140" t="n"/>
      <c r="C9" s="140" t="n"/>
      <c r="D9" s="141" t="n"/>
      <c r="E9" s="142" t="n"/>
      <c r="F9" s="143" t="n"/>
      <c r="G9" s="143" t="n"/>
      <c r="H9" s="144" t="n"/>
      <c r="I9" s="145" t="n"/>
      <c r="J9" s="146" t="n"/>
      <c r="K9" s="146" t="n"/>
      <c r="L9" s="147" t="n"/>
    </row>
    <row r="10" ht="16" customHeight="1">
      <c r="A10" s="29" t="inlineStr">
        <is>
          <t>عدد البوالص</t>
        </is>
      </c>
      <c r="B10" s="148" t="n"/>
      <c r="C10" s="29" t="inlineStr">
        <is>
          <t>عدد الفواتير</t>
        </is>
      </c>
      <c r="D10" s="148" t="n"/>
      <c r="E10" s="29" t="inlineStr">
        <is>
          <t>عدد الحاويات</t>
        </is>
      </c>
      <c r="F10" s="148" t="n"/>
      <c r="G10" s="29" t="inlineStr">
        <is>
          <t>عدد المولدات</t>
        </is>
      </c>
      <c r="H10" s="148" t="n"/>
      <c r="I10" s="29" t="inlineStr">
        <is>
          <t>شهادات التخليص</t>
        </is>
      </c>
      <c r="J10" s="148" t="n"/>
    </row>
    <row r="11" ht="22" customHeight="1">
      <c r="A11" s="31">
        <f>COUNT('البوالص'!$B$4:$B$2203)</f>
        <v/>
      </c>
      <c r="B11" s="148" t="n"/>
      <c r="C11" s="31">
        <f>COUNT('شامل'!$B$4:$B$2203)</f>
        <v/>
      </c>
      <c r="D11" s="148" t="n"/>
      <c r="E11" s="31">
        <f>SUM('شامل'!$I$4:$I$2203)+SUMPRODUCT(--('البوالص'!$H$4:$H$2203&lt;&gt;""))</f>
        <v/>
      </c>
      <c r="F11" s="148" t="n"/>
      <c r="G11" s="31">
        <f>SUM('مولدات ايجي كول'!$F$4:$F$2203)+SUM('مولدات الشجيع'!$F$4:$F$2203)</f>
        <v/>
      </c>
      <c r="H11" s="148" t="n"/>
      <c r="I11" s="31">
        <f>COUNT('التخليص'!$B$4:$B$2203)</f>
        <v/>
      </c>
      <c r="J11" s="148" t="n"/>
    </row>
    <row r="13" ht="24" customHeight="1">
      <c r="A13" s="33" t="inlineStr">
        <is>
          <t>التحليلات البيانية</t>
        </is>
      </c>
    </row>
  </sheetData>
  <mergeCells count="25">
    <mergeCell ref="E8:H9"/>
    <mergeCell ref="A4:D4"/>
    <mergeCell ref="A11:B11"/>
    <mergeCell ref="G11:H11"/>
    <mergeCell ref="I4:L4"/>
    <mergeCell ref="I11:J11"/>
    <mergeCell ref="E7:H7"/>
    <mergeCell ref="A2:L2"/>
    <mergeCell ref="C10:D10"/>
    <mergeCell ref="E10:F10"/>
    <mergeCell ref="G10:H10"/>
    <mergeCell ref="I5:L6"/>
    <mergeCell ref="A5:D6"/>
    <mergeCell ref="I8:L9"/>
    <mergeCell ref="A8:D9"/>
    <mergeCell ref="C11:D11"/>
    <mergeCell ref="E4:H4"/>
    <mergeCell ref="E11:F11"/>
    <mergeCell ref="A13:L13"/>
    <mergeCell ref="A7:D7"/>
    <mergeCell ref="I7:L7"/>
    <mergeCell ref="I10:J10"/>
    <mergeCell ref="A1:L1"/>
    <mergeCell ref="A10:B10"/>
    <mergeCell ref="E5:H6"/>
  </mergeCells>
  <pageMargins left="0.75" right="0.75" top="1" bottom="1" header="0.5" footer="0.5"/>
  <pageSetup orientation="landscape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1E6E3C"/>
    <outlinePr summaryBelow="1" summaryRight="1"/>
    <pageSetUpPr fitToPage="1"/>
  </sheetPr>
  <dimension ref="A1:AI2204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3" customWidth="1" min="3" max="3"/>
    <col width="14" customWidth="1" min="4" max="4"/>
    <col width="11" customWidth="1" min="5" max="5"/>
    <col width="16" customWidth="1" min="6" max="6"/>
    <col width="12" customWidth="1" min="7" max="7"/>
    <col width="13" customWidth="1" min="8" max="8"/>
    <col width="11" customWidth="1" min="9" max="9"/>
    <col width="14" customWidth="1" min="10" max="10"/>
    <col width="14" customWidth="1" min="11" max="11"/>
    <col width="12" customWidth="1" min="12" max="12"/>
    <col width="11" customWidth="1" min="13" max="13"/>
    <col width="11" customWidth="1" min="14" max="14"/>
    <col width="11" customWidth="1" min="15" max="15"/>
    <col width="12" customWidth="1" min="16" max="16"/>
    <col width="11" customWidth="1" min="17" max="17"/>
    <col width="11" customWidth="1" min="18" max="18"/>
    <col width="13" customWidth="1" min="19" max="19"/>
    <col width="11" customWidth="1" min="20" max="20"/>
    <col width="11" customWidth="1" min="21" max="21"/>
    <col width="12" customWidth="1" min="22" max="22"/>
    <col width="11" customWidth="1" min="23" max="23"/>
    <col width="10" customWidth="1" min="24" max="24"/>
    <col width="11" customWidth="1" min="25" max="25"/>
    <col width="10" customWidth="1" min="26" max="26"/>
    <col width="10" customWidth="1" min="27" max="27"/>
    <col width="11" customWidth="1" min="28" max="28"/>
    <col width="10" customWidth="1" min="29" max="29"/>
    <col width="10" customWidth="1" min="30" max="30"/>
    <col width="10" customWidth="1" min="31" max="31"/>
    <col width="14" customWidth="1" min="32" max="32"/>
    <col width="15" customWidth="1" min="33" max="33"/>
    <col width="13" customWidth="1" min="34" max="34"/>
    <col width="12" customWidth="1" min="35" max="35"/>
  </cols>
  <sheetData>
    <row r="1" ht="34" customHeight="1">
      <c r="A1" s="1" t="inlineStr">
        <is>
          <t>شركة المتوكل  —  البوالص</t>
        </is>
      </c>
    </row>
    <row r="2" ht="20" customHeight="1">
      <c r="A2" s="3" t="inlineStr">
        <is>
          <t>سجل بوالص الشحن ومحاسبة رحلات السيارات</t>
        </is>
      </c>
    </row>
    <row r="3" ht="40" customHeight="1">
      <c r="A3" s="34" t="inlineStr">
        <is>
          <t>م</t>
        </is>
      </c>
      <c r="B3" s="34" t="inlineStr">
        <is>
          <t>التاريخ</t>
        </is>
      </c>
      <c r="C3" s="34" t="inlineStr">
        <is>
          <t>رقم البوليصة</t>
        </is>
      </c>
      <c r="D3" s="34" t="inlineStr">
        <is>
          <t>صاحب البيان</t>
        </is>
      </c>
      <c r="E3" s="34" t="inlineStr">
        <is>
          <t>التصنيف</t>
        </is>
      </c>
      <c r="F3" s="34" t="inlineStr">
        <is>
          <t>اسم الشركة</t>
        </is>
      </c>
      <c r="G3" s="34" t="inlineStr">
        <is>
          <t>الجهة</t>
        </is>
      </c>
      <c r="H3" s="34" t="inlineStr">
        <is>
          <t>رقم الحاوية</t>
        </is>
      </c>
      <c r="I3" s="35" t="inlineStr">
        <is>
          <t>رقم السيارة</t>
        </is>
      </c>
      <c r="J3" s="35" t="inlineStr">
        <is>
          <t>اسم السائق</t>
        </is>
      </c>
      <c r="K3" s="35" t="inlineStr">
        <is>
          <t>صاحب السيارة</t>
        </is>
      </c>
      <c r="L3" s="36" t="inlineStr">
        <is>
          <t>نولون</t>
        </is>
      </c>
      <c r="M3" s="36" t="inlineStr">
        <is>
          <t>عهدة</t>
        </is>
      </c>
      <c r="N3" s="36" t="inlineStr">
        <is>
          <t>تحويلة</t>
        </is>
      </c>
      <c r="O3" s="36" t="inlineStr">
        <is>
          <t>خصم</t>
        </is>
      </c>
      <c r="P3" s="36" t="inlineStr">
        <is>
          <t>بياتة (تحصيل)</t>
        </is>
      </c>
      <c r="Q3" s="36" t="inlineStr">
        <is>
          <t>دفعة</t>
        </is>
      </c>
      <c r="R3" s="36" t="inlineStr">
        <is>
          <t>باقي</t>
        </is>
      </c>
      <c r="S3" s="36" t="inlineStr">
        <is>
          <t>إجمالي التحصيل</t>
        </is>
      </c>
      <c r="T3" s="37" t="inlineStr">
        <is>
          <t>دور سواق</t>
        </is>
      </c>
      <c r="U3" s="37" t="inlineStr">
        <is>
          <t>دور تبّاع</t>
        </is>
      </c>
      <c r="V3" s="37" t="inlineStr">
        <is>
          <t>بياتة (مصروف)</t>
        </is>
      </c>
      <c r="W3" s="37" t="inlineStr">
        <is>
          <t>مصروف</t>
        </is>
      </c>
      <c r="X3" s="37" t="inlineStr">
        <is>
          <t>كرتات</t>
        </is>
      </c>
      <c r="Y3" s="37" t="inlineStr">
        <is>
          <t>تحيا مصر</t>
        </is>
      </c>
      <c r="Z3" s="37" t="inlineStr">
        <is>
          <t>ثبتان</t>
        </is>
      </c>
      <c r="AA3" s="37" t="inlineStr">
        <is>
          <t>ظ كاوتش</t>
        </is>
      </c>
      <c r="AB3" s="37" t="inlineStr">
        <is>
          <t>تصاريح</t>
        </is>
      </c>
      <c r="AC3" s="37" t="inlineStr">
        <is>
          <t>كاوتش</t>
        </is>
      </c>
      <c r="AD3" s="37" t="inlineStr">
        <is>
          <t>م أخرى</t>
        </is>
      </c>
      <c r="AE3" s="37" t="inlineStr">
        <is>
          <t>جاز</t>
        </is>
      </c>
      <c r="AF3" s="37" t="inlineStr">
        <is>
          <t>إجمالي المصروف</t>
        </is>
      </c>
      <c r="AG3" s="38" t="inlineStr">
        <is>
          <t>الباقي من العهدة</t>
        </is>
      </c>
      <c r="AH3" s="38" t="inlineStr">
        <is>
          <t>صافي السيارة</t>
        </is>
      </c>
      <c r="AI3" s="38" t="inlineStr">
        <is>
          <t>ربح/خسارة %</t>
        </is>
      </c>
    </row>
    <row r="4">
      <c r="A4" s="39">
        <f>IF($B4="","",COUNTA($B$4:$B4))</f>
        <v/>
      </c>
      <c r="B4" s="40" t="n">
        <v>46023</v>
      </c>
      <c r="C4" s="41" t="n">
        <v>1974</v>
      </c>
      <c r="D4" s="41" t="n"/>
      <c r="E4" s="41" t="inlineStr">
        <is>
          <t xml:space="preserve">كساحة ملاكى </t>
        </is>
      </c>
      <c r="F4" s="41" t="n"/>
      <c r="G4" s="41" t="inlineStr">
        <is>
          <t xml:space="preserve">التجمع </t>
        </is>
      </c>
      <c r="H4" s="41" t="inlineStr">
        <is>
          <t xml:space="preserve">سيارة ملاكى </t>
        </is>
      </c>
      <c r="I4" s="41" t="inlineStr">
        <is>
          <t xml:space="preserve">4373 س د و </t>
        </is>
      </c>
      <c r="J4" s="41" t="inlineStr">
        <is>
          <t xml:space="preserve">رامى سمير </t>
        </is>
      </c>
      <c r="K4" s="41" t="inlineStr">
        <is>
          <t xml:space="preserve">الدلوعة </t>
        </is>
      </c>
      <c r="L4" s="42" t="n">
        <v>4500</v>
      </c>
      <c r="M4" s="42" t="n">
        <v>3000</v>
      </c>
      <c r="N4" s="42" t="n"/>
      <c r="O4" s="42" t="n"/>
      <c r="P4" s="42" t="n"/>
      <c r="Q4" s="42" t="n">
        <v>1500</v>
      </c>
      <c r="R4" s="43">
        <f>IF($B4="","",N($S4)-N($Q4))</f>
        <v/>
      </c>
      <c r="S4" s="43">
        <f>IF($B4="","",N($L4)+N($N4)+N($P4))</f>
        <v/>
      </c>
      <c r="T4" s="42" t="n"/>
      <c r="U4" s="42" t="n"/>
      <c r="V4" s="42" t="n"/>
      <c r="W4" s="42" t="n"/>
      <c r="X4" s="42" t="n"/>
      <c r="Y4" s="42" t="n"/>
      <c r="Z4" s="42" t="n"/>
      <c r="AA4" s="42" t="n"/>
      <c r="AB4" s="42" t="n"/>
      <c r="AC4" s="42" t="n"/>
      <c r="AD4" s="42" t="n"/>
      <c r="AE4" s="42" t="n"/>
      <c r="AF4" s="43">
        <f>IF($B4="","",SUM($T4:$AE4))</f>
        <v/>
      </c>
      <c r="AG4" s="43">
        <f>IF($B4="","",N($M4)-N($AF4))</f>
        <v/>
      </c>
      <c r="AH4" s="43">
        <f>IF($B4="","",N($L4)-N($AF4))</f>
        <v/>
      </c>
      <c r="AI4" s="149">
        <f>IF($B4="","",IF(N($L4)=0,"",(N($L4)-N($AF4))/N($L4)))</f>
        <v/>
      </c>
    </row>
    <row r="5">
      <c r="A5" s="39">
        <f>IF($B5="","",COUNTA($B$4:$B5))</f>
        <v/>
      </c>
      <c r="B5" s="45" t="n">
        <v>46023</v>
      </c>
      <c r="C5" s="46" t="n">
        <v>1975</v>
      </c>
      <c r="D5" s="46" t="n"/>
      <c r="E5" s="46" t="inlineStr">
        <is>
          <t xml:space="preserve">كساحة ملاكى </t>
        </is>
      </c>
      <c r="F5" s="46" t="inlineStr">
        <is>
          <t xml:space="preserve">محمد جميل </t>
        </is>
      </c>
      <c r="G5" s="46" t="inlineStr">
        <is>
          <t xml:space="preserve">اكتوبر </t>
        </is>
      </c>
      <c r="H5" s="46" t="inlineStr">
        <is>
          <t xml:space="preserve">سيارة ملاكى </t>
        </is>
      </c>
      <c r="I5" s="46" t="inlineStr">
        <is>
          <t>س م ب 7843</t>
        </is>
      </c>
      <c r="J5" s="46" t="inlineStr">
        <is>
          <t xml:space="preserve">محمود محمد </t>
        </is>
      </c>
      <c r="K5" s="46" t="inlineStr">
        <is>
          <t xml:space="preserve">الدلوعة </t>
        </is>
      </c>
      <c r="L5" s="47" t="n">
        <v>4200</v>
      </c>
      <c r="M5" s="47" t="n">
        <v>3000</v>
      </c>
      <c r="N5" s="47" t="n"/>
      <c r="O5" s="47" t="n"/>
      <c r="P5" s="47" t="n"/>
      <c r="Q5" s="47" t="n">
        <v>1200</v>
      </c>
      <c r="R5" s="43">
        <f>IF($B5="","",N($S5)-N($Q5))</f>
        <v/>
      </c>
      <c r="S5" s="43">
        <f>IF($B5="","",N($L5)+N($N5)+N($P5))</f>
        <v/>
      </c>
      <c r="T5" s="47" t="n"/>
      <c r="U5" s="47" t="n"/>
      <c r="V5" s="47" t="n"/>
      <c r="W5" s="47" t="n"/>
      <c r="X5" s="47" t="n"/>
      <c r="Y5" s="47" t="n"/>
      <c r="Z5" s="47" t="n"/>
      <c r="AA5" s="47" t="n"/>
      <c r="AB5" s="47" t="n"/>
      <c r="AC5" s="47" t="n"/>
      <c r="AD5" s="47" t="n"/>
      <c r="AE5" s="47" t="n"/>
      <c r="AF5" s="43">
        <f>IF($B5="","",SUM($T5:$AE5))</f>
        <v/>
      </c>
      <c r="AG5" s="43">
        <f>IF($B5="","",N($M5)-N($AF5))</f>
        <v/>
      </c>
      <c r="AH5" s="43">
        <f>IF($B5="","",N($L5)-N($AF5))</f>
        <v/>
      </c>
      <c r="AI5" s="149">
        <f>IF($B5="","",IF(N($L5)=0,"",(N($L5)-N($AF5))/N($L5)))</f>
        <v/>
      </c>
    </row>
    <row r="6">
      <c r="A6" s="39">
        <f>IF($B6="","",COUNTA($B$4:$B6))</f>
        <v/>
      </c>
      <c r="B6" s="40" t="n">
        <v>46023</v>
      </c>
      <c r="C6" s="41" t="n">
        <v>1550</v>
      </c>
      <c r="D6" s="41" t="inlineStr">
        <is>
          <t xml:space="preserve">حمو مرزوق </t>
        </is>
      </c>
      <c r="E6" s="41" t="inlineStr">
        <is>
          <t>1*40</t>
        </is>
      </c>
      <c r="F6" s="41" t="n"/>
      <c r="G6" s="41" t="inlineStr">
        <is>
          <t xml:space="preserve">السادات </t>
        </is>
      </c>
      <c r="H6" s="41" t="inlineStr">
        <is>
          <t>067381/4</t>
        </is>
      </c>
      <c r="I6" s="41" t="inlineStr">
        <is>
          <t>س ر ا 6671</t>
        </is>
      </c>
      <c r="J6" s="41" t="inlineStr">
        <is>
          <t xml:space="preserve">السيد بدوى </t>
        </is>
      </c>
      <c r="K6" s="41" t="inlineStr">
        <is>
          <t xml:space="preserve">حمو مرزوق </t>
        </is>
      </c>
      <c r="L6" s="42" t="n">
        <v>11700</v>
      </c>
      <c r="M6" s="42" t="n">
        <v>7100</v>
      </c>
      <c r="N6" s="42" t="n"/>
      <c r="O6" s="42" t="n">
        <v>200</v>
      </c>
      <c r="P6" s="42" t="n"/>
      <c r="Q6" s="42" t="n">
        <v>4400</v>
      </c>
      <c r="R6" s="43">
        <f>IF($B6="","",N($S6)-N($Q6))</f>
        <v/>
      </c>
      <c r="S6" s="43">
        <f>IF($B6="","",N($L6)+N($N6)+N($P6))</f>
        <v/>
      </c>
      <c r="T6" s="42" t="n"/>
      <c r="U6" s="42" t="n"/>
      <c r="V6" s="42" t="n"/>
      <c r="W6" s="42" t="n"/>
      <c r="X6" s="42" t="n"/>
      <c r="Y6" s="42" t="n"/>
      <c r="Z6" s="42" t="n"/>
      <c r="AA6" s="42" t="n"/>
      <c r="AB6" s="42" t="n"/>
      <c r="AC6" s="42" t="n"/>
      <c r="AD6" s="42" t="n"/>
      <c r="AE6" s="42" t="n"/>
      <c r="AF6" s="43">
        <f>IF($B6="","",SUM($T6:$AE6))</f>
        <v/>
      </c>
      <c r="AG6" s="43">
        <f>IF($B6="","",N($M6)-N($AF6))</f>
        <v/>
      </c>
      <c r="AH6" s="43">
        <f>IF($B6="","",N($L6)-N($AF6))</f>
        <v/>
      </c>
      <c r="AI6" s="149">
        <f>IF($B6="","",IF(N($L6)=0,"",(N($L6)-N($AF6))/N($L6)))</f>
        <v/>
      </c>
    </row>
    <row r="7">
      <c r="A7" s="39">
        <f>IF($B7="","",COUNTA($B$4:$B7))</f>
        <v/>
      </c>
      <c r="B7" s="45" t="n">
        <v>46023</v>
      </c>
      <c r="C7" s="46" t="n">
        <v>1549</v>
      </c>
      <c r="D7" s="46" t="inlineStr">
        <is>
          <t>حاتم البحر  ق</t>
        </is>
      </c>
      <c r="E7" s="46" t="inlineStr">
        <is>
          <t>1*40</t>
        </is>
      </c>
      <c r="F7" s="46" t="inlineStr">
        <is>
          <t xml:space="preserve">ريجينا </t>
        </is>
      </c>
      <c r="G7" s="46" t="inlineStr">
        <is>
          <t xml:space="preserve">السادات </t>
        </is>
      </c>
      <c r="H7" s="46" t="inlineStr">
        <is>
          <t>625009/2</t>
        </is>
      </c>
      <c r="I7" s="46" t="inlineStr">
        <is>
          <t>س م ى 3925</t>
        </is>
      </c>
      <c r="J7" s="46" t="inlineStr">
        <is>
          <t xml:space="preserve">عادل علام </t>
        </is>
      </c>
      <c r="K7" s="46" t="inlineStr">
        <is>
          <t>ايمن الزقزق</t>
        </is>
      </c>
      <c r="L7" s="47" t="n">
        <v>11700</v>
      </c>
      <c r="M7" s="47" t="n">
        <v>7100</v>
      </c>
      <c r="N7" s="47" t="n"/>
      <c r="O7" s="47" t="n">
        <v>200</v>
      </c>
      <c r="P7" s="47" t="n"/>
      <c r="Q7" s="47" t="n">
        <v>4400</v>
      </c>
      <c r="R7" s="43">
        <f>IF($B7="","",N($S7)-N($Q7))</f>
        <v/>
      </c>
      <c r="S7" s="43">
        <f>IF($B7="","",N($L7)+N($N7)+N($P7))</f>
        <v/>
      </c>
      <c r="T7" s="47" t="n"/>
      <c r="U7" s="47" t="n"/>
      <c r="V7" s="47" t="n"/>
      <c r="W7" s="47" t="n"/>
      <c r="X7" s="47" t="n"/>
      <c r="Y7" s="47" t="n"/>
      <c r="Z7" s="47" t="n"/>
      <c r="AA7" s="47" t="n"/>
      <c r="AB7" s="47" t="n"/>
      <c r="AC7" s="47" t="n"/>
      <c r="AD7" s="47" t="n"/>
      <c r="AE7" s="47" t="n"/>
      <c r="AF7" s="43">
        <f>IF($B7="","",SUM($T7:$AE7))</f>
        <v/>
      </c>
      <c r="AG7" s="43">
        <f>IF($B7="","",N($M7)-N($AF7))</f>
        <v/>
      </c>
      <c r="AH7" s="43">
        <f>IF($B7="","",N($L7)-N($AF7))</f>
        <v/>
      </c>
      <c r="AI7" s="149">
        <f>IF($B7="","",IF(N($L7)=0,"",(N($L7)-N($AF7))/N($L7)))</f>
        <v/>
      </c>
    </row>
    <row r="8">
      <c r="A8" s="39">
        <f>IF($B8="","",COUNTA($B$4:$B8))</f>
        <v/>
      </c>
      <c r="B8" s="40" t="n">
        <v>46023</v>
      </c>
      <c r="C8" s="41" t="n">
        <v>1608</v>
      </c>
      <c r="D8" s="41" t="inlineStr">
        <is>
          <t>المكتب</t>
        </is>
      </c>
      <c r="E8" s="41" t="inlineStr">
        <is>
          <t>2*20</t>
        </is>
      </c>
      <c r="F8" s="41" t="inlineStr">
        <is>
          <t xml:space="preserve">ريجينا </t>
        </is>
      </c>
      <c r="G8" s="41" t="inlineStr">
        <is>
          <t xml:space="preserve">السادات </t>
        </is>
      </c>
      <c r="H8" s="41" t="inlineStr">
        <is>
          <t>286911/9-137074/2</t>
        </is>
      </c>
      <c r="I8" s="41" t="inlineStr">
        <is>
          <t>س ع م 8737</t>
        </is>
      </c>
      <c r="J8" s="41" t="inlineStr">
        <is>
          <t>محمود بكر</t>
        </is>
      </c>
      <c r="K8" s="41" t="inlineStr">
        <is>
          <t>المكتب</t>
        </is>
      </c>
      <c r="L8" s="42" t="n">
        <v>15500</v>
      </c>
      <c r="M8" s="42" t="n">
        <v>6000</v>
      </c>
      <c r="N8" s="42" t="n"/>
      <c r="O8" s="42" t="n"/>
      <c r="P8" s="42" t="n"/>
      <c r="Q8" s="42" t="n">
        <v>9500</v>
      </c>
      <c r="R8" s="43">
        <f>IF($B8="","",N($S8)-N($Q8))</f>
        <v/>
      </c>
      <c r="S8" s="43">
        <f>IF($B8="","",N($L8)+N($N8)+N($P8))</f>
        <v/>
      </c>
      <c r="T8" s="42" t="n">
        <v>1600</v>
      </c>
      <c r="U8" s="42" t="n">
        <v>600</v>
      </c>
      <c r="V8" s="42" t="n"/>
      <c r="W8" s="42" t="n">
        <v>200</v>
      </c>
      <c r="X8" s="42" t="n">
        <v>60</v>
      </c>
      <c r="Y8" s="42" t="n">
        <v>60</v>
      </c>
      <c r="Z8" s="42" t="n"/>
      <c r="AA8" s="42" t="n"/>
      <c r="AB8" s="42" t="n"/>
      <c r="AC8" s="42" t="n">
        <v>50</v>
      </c>
      <c r="AD8" s="42" t="n"/>
      <c r="AE8" s="42" t="n">
        <v>2690</v>
      </c>
      <c r="AF8" s="43">
        <f>IF($B8="","",SUM($T8:$AE8))</f>
        <v/>
      </c>
      <c r="AG8" s="43">
        <f>IF($B8="","",N($M8)-N($AF8))</f>
        <v/>
      </c>
      <c r="AH8" s="43">
        <f>IF($B8="","",N($L8)-N($AF8))</f>
        <v/>
      </c>
      <c r="AI8" s="149">
        <f>IF($B8="","",IF(N($L8)=0,"",(N($L8)-N($AF8))/N($L8)))</f>
        <v/>
      </c>
    </row>
    <row r="9">
      <c r="A9" s="39">
        <f>IF($B9="","",COUNTA($B$4:$B9))</f>
        <v/>
      </c>
      <c r="B9" s="45" t="n">
        <v>46025</v>
      </c>
      <c r="C9" s="46" t="n">
        <v>1567</v>
      </c>
      <c r="D9" s="46" t="inlineStr">
        <is>
          <t>حاتم البحر  ق</t>
        </is>
      </c>
      <c r="E9" s="46" t="inlineStr">
        <is>
          <t>1*40 ث</t>
        </is>
      </c>
      <c r="F9" s="46" t="inlineStr">
        <is>
          <t xml:space="preserve">جرين لاند </t>
        </is>
      </c>
      <c r="G9" s="46" t="inlineStr">
        <is>
          <t xml:space="preserve">ك الدوار </t>
        </is>
      </c>
      <c r="H9" s="46" t="inlineStr">
        <is>
          <t>862577/6</t>
        </is>
      </c>
      <c r="I9" s="46" t="inlineStr">
        <is>
          <t>س م ب 3925</t>
        </is>
      </c>
      <c r="J9" s="46" t="inlineStr">
        <is>
          <t xml:space="preserve">عادل محمد </t>
        </is>
      </c>
      <c r="K9" s="46" t="inlineStr">
        <is>
          <t xml:space="preserve">علاء علام </t>
        </is>
      </c>
      <c r="L9" s="47" t="n">
        <v>9000</v>
      </c>
      <c r="M9" s="47" t="n">
        <v>5100</v>
      </c>
      <c r="N9" s="47" t="n"/>
      <c r="O9" s="47" t="n">
        <v>200</v>
      </c>
      <c r="P9" s="47" t="n"/>
      <c r="Q9" s="47" t="n">
        <v>3700</v>
      </c>
      <c r="R9" s="43">
        <f>IF($B9="","",N($S9)-N($Q9))</f>
        <v/>
      </c>
      <c r="S9" s="43">
        <f>IF($B9="","",N($L9)+N($N9)+N($P9))</f>
        <v/>
      </c>
      <c r="T9" s="47" t="n"/>
      <c r="U9" s="47" t="n"/>
      <c r="V9" s="47" t="n"/>
      <c r="W9" s="47" t="n"/>
      <c r="X9" s="47" t="n"/>
      <c r="Y9" s="47" t="n"/>
      <c r="Z9" s="47" t="n"/>
      <c r="AA9" s="47" t="n"/>
      <c r="AB9" s="47" t="n"/>
      <c r="AC9" s="47" t="n"/>
      <c r="AD9" s="47" t="n"/>
      <c r="AE9" s="47" t="n"/>
      <c r="AF9" s="43">
        <f>IF($B9="","",SUM($T9:$AE9))</f>
        <v/>
      </c>
      <c r="AG9" s="43">
        <f>IF($B9="","",N($M9)-N($AF9))</f>
        <v/>
      </c>
      <c r="AH9" s="43">
        <f>IF($B9="","",N($L9)-N($AF9))</f>
        <v/>
      </c>
      <c r="AI9" s="149">
        <f>IF($B9="","",IF(N($L9)=0,"",(N($L9)-N($AF9))/N($L9)))</f>
        <v/>
      </c>
    </row>
    <row r="10">
      <c r="A10" s="39">
        <f>IF($B10="","",COUNTA($B$4:$B10))</f>
        <v/>
      </c>
      <c r="B10" s="40" t="n">
        <v>46025</v>
      </c>
      <c r="C10" s="41" t="n">
        <v>1568</v>
      </c>
      <c r="D10" s="41" t="inlineStr">
        <is>
          <t xml:space="preserve">علاء علام </t>
        </is>
      </c>
      <c r="E10" s="41" t="inlineStr">
        <is>
          <t>1*40 ث</t>
        </is>
      </c>
      <c r="F10" s="41" t="inlineStr">
        <is>
          <t xml:space="preserve">جرين لاند </t>
        </is>
      </c>
      <c r="G10" s="41" t="inlineStr">
        <is>
          <t xml:space="preserve">ك الدوار </t>
        </is>
      </c>
      <c r="H10" s="41" t="inlineStr">
        <is>
          <t>508450/0</t>
        </is>
      </c>
      <c r="I10" s="41" t="inlineStr">
        <is>
          <t>س ل ب 5917</t>
        </is>
      </c>
      <c r="J10" s="41" t="inlineStr">
        <is>
          <t xml:space="preserve">احمد محمود فرج </t>
        </is>
      </c>
      <c r="K10" s="41" t="inlineStr">
        <is>
          <t xml:space="preserve">علاء علام </t>
        </is>
      </c>
      <c r="L10" s="42" t="n">
        <v>9000</v>
      </c>
      <c r="M10" s="42" t="n">
        <v>5100</v>
      </c>
      <c r="N10" s="42" t="n"/>
      <c r="O10" s="42" t="n">
        <v>200</v>
      </c>
      <c r="P10" s="42" t="n"/>
      <c r="Q10" s="42" t="n">
        <v>3700</v>
      </c>
      <c r="R10" s="43">
        <f>IF($B10="","",N($S10)-N($Q10))</f>
        <v/>
      </c>
      <c r="S10" s="43">
        <f>IF($B10="","",N($L10)+N($N10)+N($P10))</f>
        <v/>
      </c>
      <c r="T10" s="42" t="n"/>
      <c r="U10" s="42" t="n"/>
      <c r="V10" s="42" t="n"/>
      <c r="W10" s="42" t="n"/>
      <c r="X10" s="42" t="n"/>
      <c r="Y10" s="42" t="n"/>
      <c r="Z10" s="42" t="n"/>
      <c r="AA10" s="42" t="n"/>
      <c r="AB10" s="42" t="n"/>
      <c r="AC10" s="42" t="n"/>
      <c r="AD10" s="42" t="n"/>
      <c r="AE10" s="42" t="n"/>
      <c r="AF10" s="43">
        <f>IF($B10="","",SUM($T10:$AE10))</f>
        <v/>
      </c>
      <c r="AG10" s="43">
        <f>IF($B10="","",N($M10)-N($AF10))</f>
        <v/>
      </c>
      <c r="AH10" s="43">
        <f>IF($B10="","",N($L10)-N($AF10))</f>
        <v/>
      </c>
      <c r="AI10" s="149">
        <f>IF($B10="","",IF(N($L10)=0,"",(N($L10)-N($AF10))/N($L10)))</f>
        <v/>
      </c>
    </row>
    <row r="11">
      <c r="A11" s="39">
        <f>IF($B11="","",COUNTA($B$4:$B11))</f>
        <v/>
      </c>
      <c r="B11" s="45" t="n">
        <v>46025</v>
      </c>
      <c r="C11" s="46" t="n">
        <v>1569</v>
      </c>
      <c r="D11" s="46" t="inlineStr">
        <is>
          <t xml:space="preserve">ابو مينا </t>
        </is>
      </c>
      <c r="E11" s="46" t="inlineStr">
        <is>
          <t>1*40 ث</t>
        </is>
      </c>
      <c r="F11" s="46" t="inlineStr">
        <is>
          <t xml:space="preserve">جرين لاند </t>
        </is>
      </c>
      <c r="G11" s="46" t="inlineStr">
        <is>
          <t xml:space="preserve">ك الدوار </t>
        </is>
      </c>
      <c r="H11" s="46" t="inlineStr">
        <is>
          <t>554623/3</t>
        </is>
      </c>
      <c r="I11" s="46" t="inlineStr">
        <is>
          <t>س ع ف 5194</t>
        </is>
      </c>
      <c r="J11" s="46" t="inlineStr">
        <is>
          <t xml:space="preserve">محمد حسان </t>
        </is>
      </c>
      <c r="K11" s="46" t="inlineStr">
        <is>
          <t>ابو مينا</t>
        </is>
      </c>
      <c r="L11" s="47" t="n">
        <v>9000</v>
      </c>
      <c r="M11" s="47" t="n">
        <v>5100</v>
      </c>
      <c r="N11" s="47" t="n"/>
      <c r="O11" s="47" t="n">
        <v>200</v>
      </c>
      <c r="P11" s="47" t="n"/>
      <c r="Q11" s="47" t="n">
        <v>3700</v>
      </c>
      <c r="R11" s="43">
        <f>IF($B11="","",N($S11)-N($Q11))</f>
        <v/>
      </c>
      <c r="S11" s="43">
        <f>IF($B11="","",N($L11)+N($N11)+N($P11))</f>
        <v/>
      </c>
      <c r="T11" s="47" t="n"/>
      <c r="U11" s="47" t="n"/>
      <c r="V11" s="47" t="n"/>
      <c r="W11" s="47" t="n"/>
      <c r="X11" s="47" t="n"/>
      <c r="Y11" s="47" t="n"/>
      <c r="Z11" s="47" t="n"/>
      <c r="AA11" s="47" t="n"/>
      <c r="AB11" s="47" t="n"/>
      <c r="AC11" s="47" t="n"/>
      <c r="AD11" s="47" t="n"/>
      <c r="AE11" s="47" t="n"/>
      <c r="AF11" s="43">
        <f>IF($B11="","",SUM($T11:$AE11))</f>
        <v/>
      </c>
      <c r="AG11" s="43">
        <f>IF($B11="","",N($M11)-N($AF11))</f>
        <v/>
      </c>
      <c r="AH11" s="43">
        <f>IF($B11="","",N($L11)-N($AF11))</f>
        <v/>
      </c>
      <c r="AI11" s="149">
        <f>IF($B11="","",IF(N($L11)=0,"",(N($L11)-N($AF11))/N($L11)))</f>
        <v/>
      </c>
    </row>
    <row r="12">
      <c r="A12" s="39">
        <f>IF($B12="","",COUNTA($B$4:$B12))</f>
        <v/>
      </c>
      <c r="B12" s="40" t="n">
        <v>46025</v>
      </c>
      <c r="C12" s="41" t="n">
        <v>1570</v>
      </c>
      <c r="D12" s="41" t="inlineStr">
        <is>
          <t xml:space="preserve">حمو مرزوق </t>
        </is>
      </c>
      <c r="E12" s="41" t="inlineStr">
        <is>
          <t>1*40 ث</t>
        </is>
      </c>
      <c r="F12" s="41" t="inlineStr">
        <is>
          <t xml:space="preserve">جرين لاند </t>
        </is>
      </c>
      <c r="G12" s="41" t="inlineStr">
        <is>
          <t xml:space="preserve">ك الدوار </t>
        </is>
      </c>
      <c r="H12" s="41" t="inlineStr">
        <is>
          <t>158456/3</t>
        </is>
      </c>
      <c r="I12" s="41" t="inlineStr">
        <is>
          <t>س ر ا 6671</t>
        </is>
      </c>
      <c r="J12" s="41" t="inlineStr">
        <is>
          <t xml:space="preserve">السيد بدوى </t>
        </is>
      </c>
      <c r="K12" s="41" t="inlineStr">
        <is>
          <t xml:space="preserve">حمو مرزوق </t>
        </is>
      </c>
      <c r="L12" s="42" t="n">
        <v>9500</v>
      </c>
      <c r="M12" s="42" t="n">
        <v>5100</v>
      </c>
      <c r="N12" s="42" t="n"/>
      <c r="O12" s="42" t="n">
        <v>200</v>
      </c>
      <c r="P12" s="42" t="n"/>
      <c r="Q12" s="42" t="n">
        <v>4200</v>
      </c>
      <c r="R12" s="43">
        <f>IF($B12="","",N($S12)-N($Q12))</f>
        <v/>
      </c>
      <c r="S12" s="43">
        <f>IF($B12="","",N($L12)+N($N12)+N($P12))</f>
        <v/>
      </c>
      <c r="T12" s="42" t="n"/>
      <c r="U12" s="42" t="n"/>
      <c r="V12" s="42" t="n"/>
      <c r="W12" s="42" t="n"/>
      <c r="X12" s="42" t="n"/>
      <c r="Y12" s="42" t="n"/>
      <c r="Z12" s="42" t="n"/>
      <c r="AA12" s="42" t="n"/>
      <c r="AB12" s="42" t="n"/>
      <c r="AC12" s="42" t="n"/>
      <c r="AD12" s="42" t="n"/>
      <c r="AE12" s="42" t="n"/>
      <c r="AF12" s="43">
        <f>IF($B12="","",SUM($T12:$AE12))</f>
        <v/>
      </c>
      <c r="AG12" s="43">
        <f>IF($B12="","",N($M12)-N($AF12))</f>
        <v/>
      </c>
      <c r="AH12" s="43">
        <f>IF($B12="","",N($L12)-N($AF12))</f>
        <v/>
      </c>
      <c r="AI12" s="149">
        <f>IF($B12="","",IF(N($L12)=0,"",(N($L12)-N($AF12))/N($L12)))</f>
        <v/>
      </c>
    </row>
    <row r="13">
      <c r="A13" s="39">
        <f>IF($B13="","",COUNTA($B$4:$B13))</f>
        <v/>
      </c>
      <c r="B13" s="45" t="n">
        <v>46025</v>
      </c>
      <c r="C13" s="46" t="n">
        <v>1571</v>
      </c>
      <c r="D13" s="46" t="inlineStr">
        <is>
          <t>صعيدى 1خ</t>
        </is>
      </c>
      <c r="E13" s="46" t="inlineStr">
        <is>
          <t>1*40 ث</t>
        </is>
      </c>
      <c r="F13" s="46" t="inlineStr">
        <is>
          <t xml:space="preserve">جرين لاند </t>
        </is>
      </c>
      <c r="G13" s="46" t="inlineStr">
        <is>
          <t xml:space="preserve">ك الدوار </t>
        </is>
      </c>
      <c r="H13" s="46" t="inlineStr">
        <is>
          <t>509384/2</t>
        </is>
      </c>
      <c r="I13" s="46" t="inlineStr">
        <is>
          <t>س ر ا 9611</t>
        </is>
      </c>
      <c r="J13" s="46" t="inlineStr">
        <is>
          <t xml:space="preserve">ياسر محمد </t>
        </is>
      </c>
      <c r="K13" s="46" t="inlineStr">
        <is>
          <t xml:space="preserve">محمد الصعيدى </t>
        </is>
      </c>
      <c r="L13" s="47" t="n">
        <v>9000</v>
      </c>
      <c r="M13" s="47" t="n">
        <v>5100</v>
      </c>
      <c r="N13" s="47" t="n"/>
      <c r="O13" s="47" t="n">
        <v>200</v>
      </c>
      <c r="P13" s="47" t="n"/>
      <c r="Q13" s="47" t="n">
        <v>3700</v>
      </c>
      <c r="R13" s="43">
        <f>IF($B13="","",N($S13)-N($Q13))</f>
        <v/>
      </c>
      <c r="S13" s="43">
        <f>IF($B13="","",N($L13)+N($N13)+N($P13))</f>
        <v/>
      </c>
      <c r="T13" s="47" t="n"/>
      <c r="U13" s="47" t="n"/>
      <c r="V13" s="47" t="n"/>
      <c r="W13" s="47" t="n"/>
      <c r="X13" s="47" t="n"/>
      <c r="Y13" s="47" t="n"/>
      <c r="Z13" s="47" t="n"/>
      <c r="AA13" s="47" t="n"/>
      <c r="AB13" s="47" t="n"/>
      <c r="AC13" s="47" t="n"/>
      <c r="AD13" s="47" t="n"/>
      <c r="AE13" s="47" t="n"/>
      <c r="AF13" s="43">
        <f>IF($B13="","",SUM($T13:$AE13))</f>
        <v/>
      </c>
      <c r="AG13" s="43">
        <f>IF($B13="","",N($M13)-N($AF13))</f>
        <v/>
      </c>
      <c r="AH13" s="43">
        <f>IF($B13="","",N($L13)-N($AF13))</f>
        <v/>
      </c>
      <c r="AI13" s="149">
        <f>IF($B13="","",IF(N($L13)=0,"",(N($L13)-N($AF13))/N($L13)))</f>
        <v/>
      </c>
    </row>
    <row r="14">
      <c r="A14" s="39">
        <f>IF($B14="","",COUNTA($B$4:$B14))</f>
        <v/>
      </c>
      <c r="B14" s="40" t="n">
        <v>46025</v>
      </c>
      <c r="C14" s="41" t="n">
        <v>1610</v>
      </c>
      <c r="D14" s="41" t="inlineStr">
        <is>
          <t>ايوب خ</t>
        </is>
      </c>
      <c r="E14" s="41" t="inlineStr">
        <is>
          <t>1*20</t>
        </is>
      </c>
      <c r="F14" s="41" t="inlineStr">
        <is>
          <t xml:space="preserve">حلوانى اخوان </t>
        </is>
      </c>
      <c r="G14" s="41" t="inlineStr">
        <is>
          <t>العاشر</t>
        </is>
      </c>
      <c r="H14" s="41" t="inlineStr">
        <is>
          <t>089103/0</t>
        </is>
      </c>
      <c r="I14" s="41" t="inlineStr">
        <is>
          <t>ب ا ج 7235</t>
        </is>
      </c>
      <c r="J14" s="41" t="inlineStr">
        <is>
          <t xml:space="preserve">حسام محمد </t>
        </is>
      </c>
      <c r="K14" s="41" t="inlineStr">
        <is>
          <t xml:space="preserve">ايوب </t>
        </is>
      </c>
      <c r="L14" s="42" t="n">
        <v>13000</v>
      </c>
      <c r="M14" s="42" t="n">
        <v>8100</v>
      </c>
      <c r="N14" s="42" t="n"/>
      <c r="O14" s="42" t="n">
        <v>200</v>
      </c>
      <c r="P14" s="42" t="n"/>
      <c r="Q14" s="42" t="n">
        <v>4700</v>
      </c>
      <c r="R14" s="43">
        <f>IF($B14="","",N($S14)-N($Q14))</f>
        <v/>
      </c>
      <c r="S14" s="43">
        <f>IF($B14="","",N($L14)+N($N14)+N($P14))</f>
        <v/>
      </c>
      <c r="T14" s="42" t="n"/>
      <c r="U14" s="42" t="n"/>
      <c r="V14" s="42" t="n"/>
      <c r="W14" s="42" t="n"/>
      <c r="X14" s="42" t="n"/>
      <c r="Y14" s="42" t="n"/>
      <c r="Z14" s="42" t="n"/>
      <c r="AA14" s="42" t="n"/>
      <c r="AB14" s="42" t="n"/>
      <c r="AC14" s="42" t="n"/>
      <c r="AD14" s="42" t="n"/>
      <c r="AE14" s="42" t="n"/>
      <c r="AF14" s="43">
        <f>IF($B14="","",SUM($T14:$AE14))</f>
        <v/>
      </c>
      <c r="AG14" s="43">
        <f>IF($B14="","",N($M14)-N($AF14))</f>
        <v/>
      </c>
      <c r="AH14" s="43">
        <f>IF($B14="","",N($L14)-N($AF14))</f>
        <v/>
      </c>
      <c r="AI14" s="149">
        <f>IF($B14="","",IF(N($L14)=0,"",(N($L14)-N($AF14))/N($L14)))</f>
        <v/>
      </c>
    </row>
    <row r="15">
      <c r="A15" s="39">
        <f>IF($B15="","",COUNTA($B$4:$B15))</f>
        <v/>
      </c>
      <c r="B15" s="45" t="n">
        <v>46025</v>
      </c>
      <c r="C15" s="46" t="n">
        <v>1611</v>
      </c>
      <c r="D15" s="46" t="inlineStr">
        <is>
          <t>المكتب</t>
        </is>
      </c>
      <c r="E15" s="46" t="inlineStr">
        <is>
          <t>2*20</t>
        </is>
      </c>
      <c r="F15" s="46" t="inlineStr">
        <is>
          <t xml:space="preserve">حلوانى اخوان </t>
        </is>
      </c>
      <c r="G15" s="46" t="inlineStr">
        <is>
          <t xml:space="preserve">العاشر </t>
        </is>
      </c>
      <c r="H15" s="46" t="inlineStr">
        <is>
          <t>093991/5-177254/4</t>
        </is>
      </c>
      <c r="I15" s="46" t="inlineStr">
        <is>
          <t>س ع م 8737</t>
        </is>
      </c>
      <c r="J15" s="46" t="inlineStr">
        <is>
          <t xml:space="preserve">محمود بكر </t>
        </is>
      </c>
      <c r="K15" s="46" t="inlineStr">
        <is>
          <t>المكتب</t>
        </is>
      </c>
      <c r="L15" s="47" t="n">
        <v>19000</v>
      </c>
      <c r="M15" s="47" t="n">
        <v>5000</v>
      </c>
      <c r="N15" s="47" t="n"/>
      <c r="O15" s="47" t="n"/>
      <c r="P15" s="47" t="n"/>
      <c r="Q15" s="47" t="n">
        <v>14000</v>
      </c>
      <c r="R15" s="43">
        <f>IF($B15="","",N($S15)-N($Q15))</f>
        <v/>
      </c>
      <c r="S15" s="43">
        <f>IF($B15="","",N($L15)+N($N15)+N($P15))</f>
        <v/>
      </c>
      <c r="T15" s="47" t="n">
        <v>1700</v>
      </c>
      <c r="U15" s="47" t="n">
        <v>700</v>
      </c>
      <c r="V15" s="47" t="n"/>
      <c r="W15" s="47" t="n">
        <v>200</v>
      </c>
      <c r="X15" s="47" t="n">
        <v>130</v>
      </c>
      <c r="Y15" s="47" t="n">
        <v>60</v>
      </c>
      <c r="Z15" s="47" t="n"/>
      <c r="AA15" s="47" t="n"/>
      <c r="AB15" s="47" t="n">
        <v>250</v>
      </c>
      <c r="AC15" s="47" t="n">
        <v>120</v>
      </c>
      <c r="AD15" s="47" t="n"/>
      <c r="AE15" s="47" t="n">
        <v>3940</v>
      </c>
      <c r="AF15" s="43">
        <f>IF($B15="","",SUM($T15:$AE15))</f>
        <v/>
      </c>
      <c r="AG15" s="43">
        <f>IF($B15="","",N($M15)-N($AF15))</f>
        <v/>
      </c>
      <c r="AH15" s="43">
        <f>IF($B15="","",N($L15)-N($AF15))</f>
        <v/>
      </c>
      <c r="AI15" s="149">
        <f>IF($B15="","",IF(N($L15)=0,"",(N($L15)-N($AF15))/N($L15)))</f>
        <v/>
      </c>
    </row>
    <row r="16">
      <c r="A16" s="39">
        <f>IF($B16="","",COUNTA($B$4:$B16))</f>
        <v/>
      </c>
      <c r="B16" s="40" t="n">
        <v>46025</v>
      </c>
      <c r="C16" s="41" t="n">
        <v>1609</v>
      </c>
      <c r="D16" s="41" t="inlineStr">
        <is>
          <t>عتريس مخيمر  خ</t>
        </is>
      </c>
      <c r="E16" s="41" t="inlineStr">
        <is>
          <t>1*40</t>
        </is>
      </c>
      <c r="F16" s="41" t="inlineStr">
        <is>
          <t xml:space="preserve">يونايتد باك </t>
        </is>
      </c>
      <c r="G16" s="41" t="inlineStr">
        <is>
          <t xml:space="preserve">اكتوبر </t>
        </is>
      </c>
      <c r="H16" s="41" t="inlineStr">
        <is>
          <t>422287/2</t>
        </is>
      </c>
      <c r="I16" s="41" t="inlineStr">
        <is>
          <t>ب ص ا 2574</t>
        </is>
      </c>
      <c r="J16" s="41" t="inlineStr">
        <is>
          <t xml:space="preserve">محمد البحيرى </t>
        </is>
      </c>
      <c r="K16" s="41" t="inlineStr">
        <is>
          <t xml:space="preserve">احمد خليف </t>
        </is>
      </c>
      <c r="L16" s="42" t="n">
        <v>12700</v>
      </c>
      <c r="M16" s="42" t="n">
        <v>7100</v>
      </c>
      <c r="N16" s="42" t="n"/>
      <c r="O16" s="42" t="n">
        <v>200</v>
      </c>
      <c r="P16" s="42" t="n"/>
      <c r="Q16" s="42" t="n">
        <v>5400</v>
      </c>
      <c r="R16" s="43">
        <f>IF($B16="","",N($S16)-N($Q16))</f>
        <v/>
      </c>
      <c r="S16" s="43">
        <f>IF($B16="","",N($L16)+N($N16)+N($P16))</f>
        <v/>
      </c>
      <c r="T16" s="42" t="n"/>
      <c r="U16" s="42" t="n"/>
      <c r="V16" s="42" t="n"/>
      <c r="W16" s="42" t="n"/>
      <c r="X16" s="42" t="n"/>
      <c r="Y16" s="42" t="n"/>
      <c r="Z16" s="42" t="n"/>
      <c r="AA16" s="42" t="n"/>
      <c r="AB16" s="42" t="n"/>
      <c r="AC16" s="42" t="n"/>
      <c r="AD16" s="42" t="n"/>
      <c r="AE16" s="42" t="n"/>
      <c r="AF16" s="43">
        <f>IF($B16="","",SUM($T16:$AE16))</f>
        <v/>
      </c>
      <c r="AG16" s="43">
        <f>IF($B16="","",N($M16)-N($AF16))</f>
        <v/>
      </c>
      <c r="AH16" s="43">
        <f>IF($B16="","",N($L16)-N($AF16))</f>
        <v/>
      </c>
      <c r="AI16" s="149">
        <f>IF($B16="","",IF(N($L16)=0,"",(N($L16)-N($AF16))/N($L16)))</f>
        <v/>
      </c>
    </row>
    <row r="17">
      <c r="A17" s="39">
        <f>IF($B17="","",COUNTA($B$4:$B17))</f>
        <v/>
      </c>
      <c r="B17" s="45" t="n">
        <v>46026</v>
      </c>
      <c r="C17" s="46" t="n">
        <v>1614</v>
      </c>
      <c r="D17" s="46" t="inlineStr">
        <is>
          <t>سعد منير</t>
        </is>
      </c>
      <c r="E17" s="46" t="inlineStr">
        <is>
          <t>1*40</t>
        </is>
      </c>
      <c r="F17" s="46" t="inlineStr">
        <is>
          <t xml:space="preserve">الريعى </t>
        </is>
      </c>
      <c r="G17" s="46" t="inlineStr">
        <is>
          <t xml:space="preserve">ابو حماد </t>
        </is>
      </c>
      <c r="H17" s="46" t="inlineStr">
        <is>
          <t>504109/8</t>
        </is>
      </c>
      <c r="I17" s="46" t="inlineStr">
        <is>
          <t>ب ن و 6487</t>
        </is>
      </c>
      <c r="J17" s="46" t="inlineStr">
        <is>
          <t xml:space="preserve">احمد رياض </t>
        </is>
      </c>
      <c r="K17" s="46" t="inlineStr">
        <is>
          <t>استوريا</t>
        </is>
      </c>
      <c r="L17" s="47" t="n">
        <v>16000</v>
      </c>
      <c r="M17" s="47" t="n">
        <v>8100</v>
      </c>
      <c r="N17" s="47" t="n"/>
      <c r="O17" s="47" t="n">
        <v>200</v>
      </c>
      <c r="P17" s="47" t="n"/>
      <c r="Q17" s="47" t="n">
        <v>7700</v>
      </c>
      <c r="R17" s="43">
        <f>IF($B17="","",N($S17)-N($Q17))</f>
        <v/>
      </c>
      <c r="S17" s="43">
        <f>IF($B17="","",N($L17)+N($N17)+N($P17))</f>
        <v/>
      </c>
      <c r="T17" s="47" t="n"/>
      <c r="U17" s="47" t="n"/>
      <c r="V17" s="47" t="n"/>
      <c r="W17" s="47" t="n"/>
      <c r="X17" s="47" t="n"/>
      <c r="Y17" s="47" t="n"/>
      <c r="Z17" s="47" t="n"/>
      <c r="AA17" s="47" t="n"/>
      <c r="AB17" s="47" t="n"/>
      <c r="AC17" s="47" t="n"/>
      <c r="AD17" s="47" t="n"/>
      <c r="AE17" s="47" t="n"/>
      <c r="AF17" s="43">
        <f>IF($B17="","",SUM($T17:$AE17))</f>
        <v/>
      </c>
      <c r="AG17" s="43">
        <f>IF($B17="","",N($M17)-N($AF17))</f>
        <v/>
      </c>
      <c r="AH17" s="43">
        <f>IF($B17="","",N($L17)-N($AF17))</f>
        <v/>
      </c>
      <c r="AI17" s="149">
        <f>IF($B17="","",IF(N($L17)=0,"",(N($L17)-N($AF17))/N($L17)))</f>
        <v/>
      </c>
    </row>
    <row r="18">
      <c r="A18" s="39">
        <f>IF($B18="","",COUNTA($B$4:$B18))</f>
        <v/>
      </c>
      <c r="B18" s="40" t="n">
        <v>46026</v>
      </c>
      <c r="C18" s="41" t="n">
        <v>1615</v>
      </c>
      <c r="D18" s="41" t="inlineStr">
        <is>
          <t>عتريس مخيمر  خ</t>
        </is>
      </c>
      <c r="E18" s="41" t="inlineStr">
        <is>
          <t>1*40</t>
        </is>
      </c>
      <c r="F18" s="41" t="inlineStr">
        <is>
          <t xml:space="preserve">الريعى </t>
        </is>
      </c>
      <c r="G18" s="41" t="inlineStr">
        <is>
          <t xml:space="preserve">ابو حماد </t>
        </is>
      </c>
      <c r="H18" s="41" t="inlineStr">
        <is>
          <t>519205/3</t>
        </is>
      </c>
      <c r="I18" s="41" t="inlineStr">
        <is>
          <t>ب ص ا 2574</t>
        </is>
      </c>
      <c r="J18" s="41" t="inlineStr">
        <is>
          <t xml:space="preserve">محمد البحيرى </t>
        </is>
      </c>
      <c r="K18" s="41" t="inlineStr">
        <is>
          <t xml:space="preserve">احمد خليف </t>
        </is>
      </c>
      <c r="L18" s="42" t="n">
        <v>15000</v>
      </c>
      <c r="M18" s="42" t="n">
        <v>8100</v>
      </c>
      <c r="N18" s="42" t="n"/>
      <c r="O18" s="42" t="n">
        <v>200</v>
      </c>
      <c r="P18" s="42" t="n"/>
      <c r="Q18" s="42" t="n">
        <v>6700</v>
      </c>
      <c r="R18" s="43">
        <f>IF($B18="","",N($S18)-N($Q18))</f>
        <v/>
      </c>
      <c r="S18" s="43">
        <f>IF($B18="","",N($L18)+N($N18)+N($P18))</f>
        <v/>
      </c>
      <c r="T18" s="42" t="n"/>
      <c r="U18" s="42" t="n"/>
      <c r="V18" s="42" t="n"/>
      <c r="W18" s="42" t="n"/>
      <c r="X18" s="42" t="n"/>
      <c r="Y18" s="42" t="n"/>
      <c r="Z18" s="42" t="n"/>
      <c r="AA18" s="42" t="n"/>
      <c r="AB18" s="42" t="n"/>
      <c r="AC18" s="42" t="n"/>
      <c r="AD18" s="42" t="n"/>
      <c r="AE18" s="42" t="n"/>
      <c r="AF18" s="43">
        <f>IF($B18="","",SUM($T18:$AE18))</f>
        <v/>
      </c>
      <c r="AG18" s="43">
        <f>IF($B18="","",N($M18)-N($AF18))</f>
        <v/>
      </c>
      <c r="AH18" s="43">
        <f>IF($B18="","",N($L18)-N($AF18))</f>
        <v/>
      </c>
      <c r="AI18" s="149">
        <f>IF($B18="","",IF(N($L18)=0,"",(N($L18)-N($AF18))/N($L18)))</f>
        <v/>
      </c>
    </row>
    <row r="19">
      <c r="A19" s="39">
        <f>IF($B19="","",COUNTA($B$4:$B19))</f>
        <v/>
      </c>
      <c r="B19" s="45" t="n">
        <v>46026</v>
      </c>
      <c r="C19" s="46" t="n">
        <v>1613</v>
      </c>
      <c r="D19" s="46" t="inlineStr">
        <is>
          <t>المكتب</t>
        </is>
      </c>
      <c r="E19" s="46" t="inlineStr">
        <is>
          <t>1*40</t>
        </is>
      </c>
      <c r="F19" s="46" t="inlineStr">
        <is>
          <t xml:space="preserve">يونايتد باك </t>
        </is>
      </c>
      <c r="G19" s="46" t="inlineStr">
        <is>
          <t>العاشر</t>
        </is>
      </c>
      <c r="H19" s="46" t="inlineStr">
        <is>
          <t>483811/9</t>
        </is>
      </c>
      <c r="I19" s="46" t="inlineStr">
        <is>
          <t>س ع م 8737</t>
        </is>
      </c>
      <c r="J19" s="46" t="inlineStr">
        <is>
          <t xml:space="preserve">محمود بكر </t>
        </is>
      </c>
      <c r="K19" s="46" t="inlineStr">
        <is>
          <t>المكتب</t>
        </is>
      </c>
      <c r="L19" s="47" t="n">
        <v>14500</v>
      </c>
      <c r="M19" s="47" t="n">
        <v>5500</v>
      </c>
      <c r="N19" s="47" t="n"/>
      <c r="O19" s="47" t="n"/>
      <c r="P19" s="47" t="n"/>
      <c r="Q19" s="47" t="n">
        <v>9000</v>
      </c>
      <c r="R19" s="43">
        <f>IF($B19="","",N($S19)-N($Q19))</f>
        <v/>
      </c>
      <c r="S19" s="43">
        <f>IF($B19="","",N($L19)+N($N19)+N($P19))</f>
        <v/>
      </c>
      <c r="T19" s="47" t="n">
        <v>1500</v>
      </c>
      <c r="U19" s="47" t="n">
        <v>600</v>
      </c>
      <c r="V19" s="47" t="n"/>
      <c r="W19" s="47" t="n">
        <v>150</v>
      </c>
      <c r="X19" s="47" t="n">
        <v>130</v>
      </c>
      <c r="Y19" s="47" t="n">
        <v>60</v>
      </c>
      <c r="Z19" s="47" t="n"/>
      <c r="AA19" s="47" t="n"/>
      <c r="AB19" s="47" t="n"/>
      <c r="AC19" s="47" t="n">
        <v>250</v>
      </c>
      <c r="AD19" s="47" t="n"/>
      <c r="AE19" s="47" t="n">
        <v>3450</v>
      </c>
      <c r="AF19" s="43">
        <f>IF($B19="","",SUM($T19:$AE19))</f>
        <v/>
      </c>
      <c r="AG19" s="43">
        <f>IF($B19="","",N($M19)-N($AF19))</f>
        <v/>
      </c>
      <c r="AH19" s="43">
        <f>IF($B19="","",N($L19)-N($AF19))</f>
        <v/>
      </c>
      <c r="AI19" s="149">
        <f>IF($B19="","",IF(N($L19)=0,"",(N($L19)-N($AF19))/N($L19)))</f>
        <v/>
      </c>
    </row>
    <row r="20">
      <c r="A20" s="39">
        <f>IF($B20="","",COUNTA($B$4:$B20))</f>
        <v/>
      </c>
      <c r="B20" s="40" t="n">
        <v>46026</v>
      </c>
      <c r="C20" s="41" t="n">
        <v>1612</v>
      </c>
      <c r="D20" s="41" t="inlineStr">
        <is>
          <t xml:space="preserve">احمد محسن </t>
        </is>
      </c>
      <c r="E20" s="41" t="inlineStr">
        <is>
          <t>1*40</t>
        </is>
      </c>
      <c r="F20" s="41" t="inlineStr">
        <is>
          <t xml:space="preserve">مصر اسبانيا </t>
        </is>
      </c>
      <c r="G20" s="41" t="inlineStr">
        <is>
          <t xml:space="preserve">السادات </t>
        </is>
      </c>
      <c r="H20" s="41" t="inlineStr">
        <is>
          <t>590982/1</t>
        </is>
      </c>
      <c r="I20" s="41" t="inlineStr">
        <is>
          <t>س ه ف 1387</t>
        </is>
      </c>
      <c r="J20" s="41" t="inlineStr">
        <is>
          <t>محمد خميس</t>
        </is>
      </c>
      <c r="K20" s="41" t="inlineStr">
        <is>
          <t xml:space="preserve">احمد محسن </t>
        </is>
      </c>
      <c r="L20" s="42" t="n">
        <v>11700</v>
      </c>
      <c r="M20" s="42" t="n">
        <v>6100</v>
      </c>
      <c r="N20" s="42" t="n"/>
      <c r="O20" s="42" t="n">
        <v>200</v>
      </c>
      <c r="P20" s="42" t="n"/>
      <c r="Q20" s="42" t="n">
        <v>5400</v>
      </c>
      <c r="R20" s="43">
        <f>IF($B20="","",N($S20)-N($Q20))</f>
        <v/>
      </c>
      <c r="S20" s="43">
        <f>IF($B20="","",N($L20)+N($N20)+N($P20))</f>
        <v/>
      </c>
      <c r="T20" s="42" t="n"/>
      <c r="U20" s="42" t="n"/>
      <c r="V20" s="42" t="n"/>
      <c r="W20" s="42" t="n"/>
      <c r="X20" s="42" t="n"/>
      <c r="Y20" s="42" t="n"/>
      <c r="Z20" s="42" t="n"/>
      <c r="AA20" s="42" t="n"/>
      <c r="AB20" s="42" t="n"/>
      <c r="AC20" s="42" t="n"/>
      <c r="AD20" s="42" t="n"/>
      <c r="AE20" s="42" t="n"/>
      <c r="AF20" s="43">
        <f>IF($B20="","",SUM($T20:$AE20))</f>
        <v/>
      </c>
      <c r="AG20" s="43">
        <f>IF($B20="","",N($M20)-N($AF20))</f>
        <v/>
      </c>
      <c r="AH20" s="43">
        <f>IF($B20="","",N($L20)-N($AF20))</f>
        <v/>
      </c>
      <c r="AI20" s="149">
        <f>IF($B20="","",IF(N($L20)=0,"",(N($L20)-N($AF20))/N($L20)))</f>
        <v/>
      </c>
    </row>
    <row r="21">
      <c r="A21" s="39">
        <f>IF($B21="","",COUNTA($B$4:$B21))</f>
        <v/>
      </c>
      <c r="B21" s="45" t="n">
        <v>46026</v>
      </c>
      <c r="C21" s="46" t="n">
        <v>1616</v>
      </c>
      <c r="D21" s="46" t="inlineStr">
        <is>
          <t>احمد عبدو خ</t>
        </is>
      </c>
      <c r="E21" s="46" t="inlineStr">
        <is>
          <t>1*40</t>
        </is>
      </c>
      <c r="F21" s="46" t="inlineStr">
        <is>
          <t xml:space="preserve">سمارت فود </t>
        </is>
      </c>
      <c r="G21" s="46" t="inlineStr">
        <is>
          <t xml:space="preserve">الخطاطبة </t>
        </is>
      </c>
      <c r="H21" s="46" t="inlineStr">
        <is>
          <t>890001/0</t>
        </is>
      </c>
      <c r="I21" s="46" t="inlineStr">
        <is>
          <t>س ا ه 8198</t>
        </is>
      </c>
      <c r="J21" s="46" t="inlineStr">
        <is>
          <t xml:space="preserve">ياسر عويضة </t>
        </is>
      </c>
      <c r="K21" s="46" t="inlineStr">
        <is>
          <t xml:space="preserve">علاء علام </t>
        </is>
      </c>
      <c r="L21" s="47" t="n">
        <v>11700</v>
      </c>
      <c r="M21" s="47" t="n">
        <v>7100</v>
      </c>
      <c r="N21" s="47" t="n"/>
      <c r="O21" s="47" t="n">
        <v>200</v>
      </c>
      <c r="P21" s="47" t="n"/>
      <c r="Q21" s="47" t="n">
        <v>4400</v>
      </c>
      <c r="R21" s="43">
        <f>IF($B21="","",N($S21)-N($Q21))</f>
        <v/>
      </c>
      <c r="S21" s="43">
        <f>IF($B21="","",N($L21)+N($N21)+N($P21))</f>
        <v/>
      </c>
      <c r="T21" s="47" t="n"/>
      <c r="U21" s="47" t="n"/>
      <c r="V21" s="47" t="n"/>
      <c r="W21" s="47" t="n"/>
      <c r="X21" s="47" t="n"/>
      <c r="Y21" s="47" t="n"/>
      <c r="Z21" s="47" t="n"/>
      <c r="AA21" s="47" t="n"/>
      <c r="AB21" s="47" t="n"/>
      <c r="AC21" s="47" t="n"/>
      <c r="AD21" s="47" t="n"/>
      <c r="AE21" s="47" t="n"/>
      <c r="AF21" s="43">
        <f>IF($B21="","",SUM($T21:$AE21))</f>
        <v/>
      </c>
      <c r="AG21" s="43">
        <f>IF($B21="","",N($M21)-N($AF21))</f>
        <v/>
      </c>
      <c r="AH21" s="43">
        <f>IF($B21="","",N($L21)-N($AF21))</f>
        <v/>
      </c>
      <c r="AI21" s="149">
        <f>IF($B21="","",IF(N($L21)=0,"",(N($L21)-N($AF21))/N($L21)))</f>
        <v/>
      </c>
    </row>
    <row r="22">
      <c r="A22" s="39">
        <f>IF($B22="","",COUNTA($B$4:$B22))</f>
        <v/>
      </c>
      <c r="B22" s="40" t="n">
        <v>46026</v>
      </c>
      <c r="C22" s="41" t="n">
        <v>1617</v>
      </c>
      <c r="D22" s="41" t="inlineStr">
        <is>
          <t>احمد عبدو خ</t>
        </is>
      </c>
      <c r="E22" s="41" t="inlineStr">
        <is>
          <t>1*40</t>
        </is>
      </c>
      <c r="F22" s="41" t="inlineStr">
        <is>
          <t xml:space="preserve">سمارت فود </t>
        </is>
      </c>
      <c r="G22" s="41" t="inlineStr">
        <is>
          <t xml:space="preserve">الخطاطبة </t>
        </is>
      </c>
      <c r="H22" s="41" t="inlineStr">
        <is>
          <t>846234/7</t>
        </is>
      </c>
      <c r="I22" s="41" t="inlineStr">
        <is>
          <t>س ل ب 5917</t>
        </is>
      </c>
      <c r="J22" s="41" t="inlineStr">
        <is>
          <t xml:space="preserve">محمود احمد </t>
        </is>
      </c>
      <c r="K22" s="41" t="inlineStr">
        <is>
          <t xml:space="preserve">علاء علام </t>
        </is>
      </c>
      <c r="L22" s="42" t="n">
        <v>11700</v>
      </c>
      <c r="M22" s="42" t="n">
        <v>7100</v>
      </c>
      <c r="N22" s="42" t="n"/>
      <c r="O22" s="42" t="n">
        <v>200</v>
      </c>
      <c r="P22" s="42" t="n"/>
      <c r="Q22" s="42" t="n">
        <v>4400</v>
      </c>
      <c r="R22" s="43">
        <f>IF($B22="","",N($S22)-N($Q22))</f>
        <v/>
      </c>
      <c r="S22" s="43">
        <f>IF($B22="","",N($L22)+N($N22)+N($P22))</f>
        <v/>
      </c>
      <c r="T22" s="42" t="n"/>
      <c r="U22" s="42" t="n"/>
      <c r="V22" s="42" t="n"/>
      <c r="W22" s="42" t="n"/>
      <c r="X22" s="42" t="n"/>
      <c r="Y22" s="42" t="n"/>
      <c r="Z22" s="42" t="n"/>
      <c r="AA22" s="42" t="n"/>
      <c r="AB22" s="42" t="n"/>
      <c r="AC22" s="42" t="n"/>
      <c r="AD22" s="42" t="n"/>
      <c r="AE22" s="42" t="n"/>
      <c r="AF22" s="43">
        <f>IF($B22="","",SUM($T22:$AE22))</f>
        <v/>
      </c>
      <c r="AG22" s="43">
        <f>IF($B22="","",N($M22)-N($AF22))</f>
        <v/>
      </c>
      <c r="AH22" s="43">
        <f>IF($B22="","",N($L22)-N($AF22))</f>
        <v/>
      </c>
      <c r="AI22" s="149">
        <f>IF($B22="","",IF(N($L22)=0,"",(N($L22)-N($AF22))/N($L22)))</f>
        <v/>
      </c>
    </row>
    <row r="23">
      <c r="A23" s="39">
        <f>IF($B23="","",COUNTA($B$4:$B23))</f>
        <v/>
      </c>
      <c r="B23" s="45" t="n">
        <v>46026</v>
      </c>
      <c r="C23" s="46" t="n">
        <v>1572</v>
      </c>
      <c r="D23" s="46" t="inlineStr">
        <is>
          <t xml:space="preserve">حمو مرزوق </t>
        </is>
      </c>
      <c r="E23" s="46" t="inlineStr">
        <is>
          <t>2*20</t>
        </is>
      </c>
      <c r="F23" s="46" t="inlineStr">
        <is>
          <t xml:space="preserve">الدولية للفحم </t>
        </is>
      </c>
      <c r="G23" s="46" t="inlineStr">
        <is>
          <t>البرج</t>
        </is>
      </c>
      <c r="H23" s="46" t="inlineStr">
        <is>
          <t>308570/4-096658/1</t>
        </is>
      </c>
      <c r="I23" s="46" t="inlineStr">
        <is>
          <t>س ر ا 6671</t>
        </is>
      </c>
      <c r="J23" s="46" t="inlineStr">
        <is>
          <t xml:space="preserve">السيد بدوى </t>
        </is>
      </c>
      <c r="K23" s="46" t="inlineStr">
        <is>
          <t xml:space="preserve">حمو مرزوق </t>
        </is>
      </c>
      <c r="L23" s="47" t="n">
        <v>10000</v>
      </c>
      <c r="M23" s="47" t="n">
        <v>5000</v>
      </c>
      <c r="N23" s="47" t="n"/>
      <c r="O23" s="47" t="n"/>
      <c r="P23" s="47" t="n"/>
      <c r="Q23" s="47" t="n">
        <v>5000</v>
      </c>
      <c r="R23" s="43">
        <f>IF($B23="","",N($S23)-N($Q23))</f>
        <v/>
      </c>
      <c r="S23" s="43">
        <f>IF($B23="","",N($L23)+N($N23)+N($P23))</f>
        <v/>
      </c>
      <c r="T23" s="47" t="n"/>
      <c r="U23" s="47" t="n"/>
      <c r="V23" s="47" t="n"/>
      <c r="W23" s="47" t="n"/>
      <c r="X23" s="47" t="n"/>
      <c r="Y23" s="47" t="n"/>
      <c r="Z23" s="47" t="n"/>
      <c r="AA23" s="47" t="n"/>
      <c r="AB23" s="47" t="n"/>
      <c r="AC23" s="47" t="n"/>
      <c r="AD23" s="47" t="n"/>
      <c r="AE23" s="47" t="n"/>
      <c r="AF23" s="43">
        <f>IF($B23="","",SUM($T23:$AE23))</f>
        <v/>
      </c>
      <c r="AG23" s="43">
        <f>IF($B23="","",N($M23)-N($AF23))</f>
        <v/>
      </c>
      <c r="AH23" s="43">
        <f>IF($B23="","",N($L23)-N($AF23))</f>
        <v/>
      </c>
      <c r="AI23" s="149">
        <f>IF($B23="","",IF(N($L23)=0,"",(N($L23)-N($AF23))/N($L23)))</f>
        <v/>
      </c>
    </row>
    <row r="24">
      <c r="A24" s="39">
        <f>IF($B24="","",COUNTA($B$4:$B24))</f>
        <v/>
      </c>
      <c r="B24" s="40" t="n">
        <v>46027</v>
      </c>
      <c r="C24" s="41" t="n">
        <v>1575</v>
      </c>
      <c r="D24" s="41" t="inlineStr">
        <is>
          <t xml:space="preserve">بدوى صلاح </t>
        </is>
      </c>
      <c r="E24" s="41" t="inlineStr">
        <is>
          <t>1*20</t>
        </is>
      </c>
      <c r="F24" s="41" t="inlineStr">
        <is>
          <t xml:space="preserve">مصر اسبانيا </t>
        </is>
      </c>
      <c r="G24" s="41" t="inlineStr">
        <is>
          <t xml:space="preserve">السادات </t>
        </is>
      </c>
      <c r="H24" s="41" t="inlineStr">
        <is>
          <t>224206/5</t>
        </is>
      </c>
      <c r="I24" s="41" t="inlineStr">
        <is>
          <t>ط ف ر 4847</t>
        </is>
      </c>
      <c r="J24" s="41" t="inlineStr">
        <is>
          <t xml:space="preserve">محمد عبدالله </t>
        </is>
      </c>
      <c r="K24" s="41" t="inlineStr">
        <is>
          <t>عصفور</t>
        </is>
      </c>
      <c r="L24" s="42" t="n">
        <v>9000</v>
      </c>
      <c r="M24" s="42" t="n">
        <v>6100</v>
      </c>
      <c r="N24" s="42" t="n"/>
      <c r="O24" s="42" t="n">
        <v>200</v>
      </c>
      <c r="P24" s="42" t="n"/>
      <c r="Q24" s="42" t="n">
        <v>2700</v>
      </c>
      <c r="R24" s="43">
        <f>IF($B24="","",N($S24)-N($Q24))</f>
        <v/>
      </c>
      <c r="S24" s="43">
        <f>IF($B24="","",N($L24)+N($N24)+N($P24))</f>
        <v/>
      </c>
      <c r="T24" s="42" t="n"/>
      <c r="U24" s="42" t="n"/>
      <c r="V24" s="42" t="n"/>
      <c r="W24" s="42" t="n"/>
      <c r="X24" s="42" t="n"/>
      <c r="Y24" s="42" t="n"/>
      <c r="Z24" s="42" t="n"/>
      <c r="AA24" s="42" t="n"/>
      <c r="AB24" s="42" t="n"/>
      <c r="AC24" s="42" t="n"/>
      <c r="AD24" s="42" t="n"/>
      <c r="AE24" s="42" t="n"/>
      <c r="AF24" s="43">
        <f>IF($B24="","",SUM($T24:$AE24))</f>
        <v/>
      </c>
      <c r="AG24" s="43">
        <f>IF($B24="","",N($M24)-N($AF24))</f>
        <v/>
      </c>
      <c r="AH24" s="43">
        <f>IF($B24="","",N($L24)-N($AF24))</f>
        <v/>
      </c>
      <c r="AI24" s="149">
        <f>IF($B24="","",IF(N($L24)=0,"",(N($L24)-N($AF24))/N($L24)))</f>
        <v/>
      </c>
    </row>
    <row r="25">
      <c r="A25" s="39">
        <f>IF($B25="","",COUNTA($B$4:$B25))</f>
        <v/>
      </c>
      <c r="B25" s="45" t="n">
        <v>46027</v>
      </c>
      <c r="C25" s="46" t="n">
        <v>1573</v>
      </c>
      <c r="D25" s="46" t="inlineStr">
        <is>
          <t>ايوب خ</t>
        </is>
      </c>
      <c r="E25" s="46" t="inlineStr">
        <is>
          <t>1*20</t>
        </is>
      </c>
      <c r="F25" s="46" t="inlineStr">
        <is>
          <t xml:space="preserve">الحناوي </t>
        </is>
      </c>
      <c r="G25" s="46" t="inlineStr">
        <is>
          <t xml:space="preserve">السادات </t>
        </is>
      </c>
      <c r="H25" s="46" t="inlineStr">
        <is>
          <t>276863/3</t>
        </is>
      </c>
      <c r="I25" s="46" t="inlineStr">
        <is>
          <t>ب د ن 5863</t>
        </is>
      </c>
      <c r="J25" s="46" t="inlineStr">
        <is>
          <t>احمد السعيد</t>
        </is>
      </c>
      <c r="K25" s="46" t="inlineStr">
        <is>
          <t xml:space="preserve">ايوب </t>
        </is>
      </c>
      <c r="L25" s="47" t="n">
        <v>11500</v>
      </c>
      <c r="M25" s="47" t="n">
        <v>2600</v>
      </c>
      <c r="N25" s="47" t="n"/>
      <c r="O25" s="47" t="n">
        <v>200</v>
      </c>
      <c r="P25" s="47" t="n"/>
      <c r="Q25" s="47" t="n">
        <v>8700</v>
      </c>
      <c r="R25" s="43">
        <f>IF($B25="","",N($S25)-N($Q25))</f>
        <v/>
      </c>
      <c r="S25" s="43">
        <f>IF($B25="","",N($L25)+N($N25)+N($P25))</f>
        <v/>
      </c>
      <c r="T25" s="47" t="n"/>
      <c r="U25" s="47" t="n"/>
      <c r="V25" s="47" t="n"/>
      <c r="W25" s="47" t="n"/>
      <c r="X25" s="47" t="n"/>
      <c r="Y25" s="47" t="n"/>
      <c r="Z25" s="47" t="n"/>
      <c r="AA25" s="47" t="n"/>
      <c r="AB25" s="47" t="n"/>
      <c r="AC25" s="47" t="n"/>
      <c r="AD25" s="47" t="n"/>
      <c r="AE25" s="47" t="n"/>
      <c r="AF25" s="43">
        <f>IF($B25="","",SUM($T25:$AE25))</f>
        <v/>
      </c>
      <c r="AG25" s="43">
        <f>IF($B25="","",N($M25)-N($AF25))</f>
        <v/>
      </c>
      <c r="AH25" s="43">
        <f>IF($B25="","",N($L25)-N($AF25))</f>
        <v/>
      </c>
      <c r="AI25" s="149">
        <f>IF($B25="","",IF(N($L25)=0,"",(N($L25)-N($AF25))/N($L25)))</f>
        <v/>
      </c>
    </row>
    <row r="26">
      <c r="A26" s="39">
        <f>IF($B26="","",COUNTA($B$4:$B26))</f>
        <v/>
      </c>
      <c r="B26" s="40" t="n">
        <v>46027</v>
      </c>
      <c r="C26" s="41" t="n">
        <v>1574</v>
      </c>
      <c r="D26" s="41" t="inlineStr">
        <is>
          <t>سعد منير</t>
        </is>
      </c>
      <c r="E26" s="41" t="inlineStr">
        <is>
          <t>1*40</t>
        </is>
      </c>
      <c r="F26" s="41" t="inlineStr">
        <is>
          <t>فابريك</t>
        </is>
      </c>
      <c r="G26" s="41" t="inlineStr">
        <is>
          <t xml:space="preserve">العاشر </t>
        </is>
      </c>
      <c r="H26" s="41" t="inlineStr">
        <is>
          <t>786743/2</t>
        </is>
      </c>
      <c r="I26" s="41" t="inlineStr">
        <is>
          <t>ب ج ط 9147</t>
        </is>
      </c>
      <c r="J26" s="41" t="inlineStr">
        <is>
          <t xml:space="preserve">رضا محمد </t>
        </is>
      </c>
      <c r="K26" s="41" t="inlineStr">
        <is>
          <t xml:space="preserve">استوريا </t>
        </is>
      </c>
      <c r="L26" s="42" t="n">
        <v>14500</v>
      </c>
      <c r="M26" s="42" t="n">
        <v>8100</v>
      </c>
      <c r="N26" s="42" t="n"/>
      <c r="O26" s="42" t="n">
        <v>200</v>
      </c>
      <c r="P26" s="42" t="n"/>
      <c r="Q26" s="42" t="n">
        <v>6200</v>
      </c>
      <c r="R26" s="43">
        <f>IF($B26="","",N($S26)-N($Q26))</f>
        <v/>
      </c>
      <c r="S26" s="43">
        <f>IF($B26="","",N($L26)+N($N26)+N($P26))</f>
        <v/>
      </c>
      <c r="T26" s="42" t="n"/>
      <c r="U26" s="42" t="n"/>
      <c r="V26" s="42" t="n"/>
      <c r="W26" s="42" t="n"/>
      <c r="X26" s="42" t="n"/>
      <c r="Y26" s="42" t="n"/>
      <c r="Z26" s="42" t="n"/>
      <c r="AA26" s="42" t="n"/>
      <c r="AB26" s="42" t="n"/>
      <c r="AC26" s="42" t="n"/>
      <c r="AD26" s="42" t="n"/>
      <c r="AE26" s="42" t="n"/>
      <c r="AF26" s="43">
        <f>IF($B26="","",SUM($T26:$AE26))</f>
        <v/>
      </c>
      <c r="AG26" s="43">
        <f>IF($B26="","",N($M26)-N($AF26))</f>
        <v/>
      </c>
      <c r="AH26" s="43">
        <f>IF($B26="","",N($L26)-N($AF26))</f>
        <v/>
      </c>
      <c r="AI26" s="149">
        <f>IF($B26="","",IF(N($L26)=0,"",(N($L26)-N($AF26))/N($L26)))</f>
        <v/>
      </c>
    </row>
    <row r="27">
      <c r="A27" s="39">
        <f>IF($B27="","",COUNTA($B$4:$B27))</f>
        <v/>
      </c>
      <c r="B27" s="45" t="n">
        <v>46027</v>
      </c>
      <c r="C27" s="46" t="n">
        <v>1651</v>
      </c>
      <c r="D27" s="46" t="inlineStr">
        <is>
          <t xml:space="preserve">ابو مينا </t>
        </is>
      </c>
      <c r="E27" s="46" t="inlineStr">
        <is>
          <t>1*40</t>
        </is>
      </c>
      <c r="F27" s="46" t="inlineStr">
        <is>
          <t xml:space="preserve">وادي الرياض </t>
        </is>
      </c>
      <c r="G27" s="46" t="inlineStr">
        <is>
          <t>الاسماعيليه</t>
        </is>
      </c>
      <c r="H27" s="46" t="inlineStr">
        <is>
          <t>713234/4</t>
        </is>
      </c>
      <c r="I27" s="46" t="inlineStr">
        <is>
          <t>ي ر ع 7945</t>
        </is>
      </c>
      <c r="J27" s="46" t="inlineStr">
        <is>
          <t xml:space="preserve">علي جاد </t>
        </is>
      </c>
      <c r="K27" s="46" t="inlineStr">
        <is>
          <t xml:space="preserve">ابو مينا </t>
        </is>
      </c>
      <c r="L27" s="47" t="n">
        <v>17000</v>
      </c>
      <c r="M27" s="47" t="n">
        <v>9100</v>
      </c>
      <c r="N27" s="47" t="n"/>
      <c r="O27" s="47" t="n">
        <v>200</v>
      </c>
      <c r="P27" s="47" t="n"/>
      <c r="Q27" s="47" t="n">
        <v>7700</v>
      </c>
      <c r="R27" s="43">
        <f>IF($B27="","",N($S27)-N($Q27))</f>
        <v/>
      </c>
      <c r="S27" s="43">
        <f>IF($B27="","",N($L27)+N($N27)+N($P27))</f>
        <v/>
      </c>
      <c r="T27" s="47" t="n"/>
      <c r="U27" s="47" t="n"/>
      <c r="V27" s="47" t="n"/>
      <c r="W27" s="47" t="n"/>
      <c r="X27" s="47" t="n"/>
      <c r="Y27" s="47" t="n"/>
      <c r="Z27" s="47" t="n"/>
      <c r="AA27" s="47" t="n"/>
      <c r="AB27" s="47" t="n"/>
      <c r="AC27" s="47" t="n"/>
      <c r="AD27" s="47" t="n"/>
      <c r="AE27" s="47" t="n"/>
      <c r="AF27" s="43">
        <f>IF($B27="","",SUM($T27:$AE27))</f>
        <v/>
      </c>
      <c r="AG27" s="43">
        <f>IF($B27="","",N($M27)-N($AF27))</f>
        <v/>
      </c>
      <c r="AH27" s="43">
        <f>IF($B27="","",N($L27)-N($AF27))</f>
        <v/>
      </c>
      <c r="AI27" s="149">
        <f>IF($B27="","",IF(N($L27)=0,"",(N($L27)-N($AF27))/N($L27)))</f>
        <v/>
      </c>
    </row>
    <row r="28">
      <c r="A28" s="39">
        <f>IF($B28="","",COUNTA($B$4:$B28))</f>
        <v/>
      </c>
      <c r="B28" s="40" t="n">
        <v>46027</v>
      </c>
      <c r="C28" s="41" t="n">
        <v>1576</v>
      </c>
      <c r="D28" s="41" t="inlineStr">
        <is>
          <t>الشريف خ</t>
        </is>
      </c>
      <c r="E28" s="41" t="inlineStr">
        <is>
          <t>1*40</t>
        </is>
      </c>
      <c r="F28" s="41" t="inlineStr">
        <is>
          <t xml:space="preserve">الريعي </t>
        </is>
      </c>
      <c r="G28" s="41" t="inlineStr">
        <is>
          <t xml:space="preserve"> ابوحماد الشرقيه </t>
        </is>
      </c>
      <c r="H28" s="41" t="inlineStr">
        <is>
          <t>761414/4</t>
        </is>
      </c>
      <c r="I28" s="41" t="inlineStr">
        <is>
          <t>ب د ف 5419</t>
        </is>
      </c>
      <c r="J28" s="41" t="inlineStr">
        <is>
          <t xml:space="preserve">سمير نوفل </t>
        </is>
      </c>
      <c r="K28" s="41" t="inlineStr">
        <is>
          <t xml:space="preserve">الليبر </t>
        </is>
      </c>
      <c r="L28" s="42" t="n">
        <v>15000</v>
      </c>
      <c r="M28" s="42" t="n">
        <v>8100</v>
      </c>
      <c r="N28" s="42" t="n"/>
      <c r="O28" s="42" t="n">
        <v>200</v>
      </c>
      <c r="P28" s="42" t="n"/>
      <c r="Q28" s="42" t="n">
        <v>6700</v>
      </c>
      <c r="R28" s="43">
        <f>IF($B28="","",N($S28)-N($Q28))</f>
        <v/>
      </c>
      <c r="S28" s="43">
        <f>IF($B28="","",N($L28)+N($N28)+N($P28))</f>
        <v/>
      </c>
      <c r="T28" s="42" t="n"/>
      <c r="U28" s="42" t="n"/>
      <c r="V28" s="42" t="n"/>
      <c r="W28" s="42" t="n"/>
      <c r="X28" s="42" t="n"/>
      <c r="Y28" s="42" t="n"/>
      <c r="Z28" s="42" t="n"/>
      <c r="AA28" s="42" t="n"/>
      <c r="AB28" s="42" t="n"/>
      <c r="AC28" s="42" t="n"/>
      <c r="AD28" s="42" t="n"/>
      <c r="AE28" s="42" t="n"/>
      <c r="AF28" s="43">
        <f>IF($B28="","",SUM($T28:$AE28))</f>
        <v/>
      </c>
      <c r="AG28" s="43">
        <f>IF($B28="","",N($M28)-N($AF28))</f>
        <v/>
      </c>
      <c r="AH28" s="43">
        <f>IF($B28="","",N($L28)-N($AF28))</f>
        <v/>
      </c>
      <c r="AI28" s="149">
        <f>IF($B28="","",IF(N($L28)=0,"",(N($L28)-N($AF28))/N($L28)))</f>
        <v/>
      </c>
    </row>
    <row r="29">
      <c r="A29" s="39">
        <f>IF($B29="","",COUNTA($B$4:$B29))</f>
        <v/>
      </c>
      <c r="B29" s="45" t="n">
        <v>46027</v>
      </c>
      <c r="C29" s="46" t="n">
        <v>1577</v>
      </c>
      <c r="D29" s="46" t="inlineStr">
        <is>
          <t xml:space="preserve">حمو مرزوق </t>
        </is>
      </c>
      <c r="E29" s="46" t="inlineStr">
        <is>
          <t>1*40</t>
        </is>
      </c>
      <c r="F29" s="46" t="inlineStr">
        <is>
          <t xml:space="preserve">الريعي </t>
        </is>
      </c>
      <c r="G29" s="46" t="inlineStr">
        <is>
          <t xml:space="preserve"> ابوحماد الشرقيه </t>
        </is>
      </c>
      <c r="H29" s="46" t="inlineStr">
        <is>
          <t>797675/2</t>
        </is>
      </c>
      <c r="I29" s="46" t="inlineStr">
        <is>
          <t>س ر ا 6671</t>
        </is>
      </c>
      <c r="J29" s="46" t="inlineStr">
        <is>
          <t>السيد مرسي</t>
        </is>
      </c>
      <c r="K29" s="46" t="inlineStr">
        <is>
          <t xml:space="preserve">حمو مرزوق </t>
        </is>
      </c>
      <c r="L29" s="47" t="n">
        <v>15500</v>
      </c>
      <c r="M29" s="47" t="n">
        <v>8100</v>
      </c>
      <c r="N29" s="47" t="n"/>
      <c r="O29" s="47" t="n">
        <v>200</v>
      </c>
      <c r="P29" s="47" t="n"/>
      <c r="Q29" s="47" t="n">
        <v>7200</v>
      </c>
      <c r="R29" s="43">
        <f>IF($B29="","",N($S29)-N($Q29))</f>
        <v/>
      </c>
      <c r="S29" s="43">
        <f>IF($B29="","",N($L29)+N($N29)+N($P29))</f>
        <v/>
      </c>
      <c r="T29" s="47" t="n"/>
      <c r="U29" s="47" t="n"/>
      <c r="V29" s="47" t="n"/>
      <c r="W29" s="47" t="n"/>
      <c r="X29" s="47" t="n"/>
      <c r="Y29" s="47" t="n"/>
      <c r="Z29" s="47" t="n"/>
      <c r="AA29" s="47" t="n"/>
      <c r="AB29" s="47" t="n"/>
      <c r="AC29" s="47" t="n"/>
      <c r="AD29" s="47" t="n"/>
      <c r="AE29" s="47" t="n"/>
      <c r="AF29" s="43">
        <f>IF($B29="","",SUM($T29:$AE29))</f>
        <v/>
      </c>
      <c r="AG29" s="43">
        <f>IF($B29="","",N($M29)-N($AF29))</f>
        <v/>
      </c>
      <c r="AH29" s="43">
        <f>IF($B29="","",N($L29)-N($AF29))</f>
        <v/>
      </c>
      <c r="AI29" s="149">
        <f>IF($B29="","",IF(N($L29)=0,"",(N($L29)-N($AF29))/N($L29)))</f>
        <v/>
      </c>
    </row>
    <row r="30">
      <c r="A30" s="39">
        <f>IF($B30="","",COUNTA($B$4:$B30))</f>
        <v/>
      </c>
      <c r="B30" s="40" t="n">
        <v>46028</v>
      </c>
      <c r="C30" s="41" t="n">
        <v>1288</v>
      </c>
      <c r="D30" s="41" t="inlineStr">
        <is>
          <t>ايوب خ</t>
        </is>
      </c>
      <c r="E30" s="41" t="inlineStr">
        <is>
          <t>1*20</t>
        </is>
      </c>
      <c r="F30" s="41" t="inlineStr">
        <is>
          <t xml:space="preserve">ايه كيه اتشى </t>
        </is>
      </c>
      <c r="G30" s="41" t="inlineStr">
        <is>
          <t xml:space="preserve">الهرم سقاره </t>
        </is>
      </c>
      <c r="H30" s="41" t="inlineStr">
        <is>
          <t>101173/2</t>
        </is>
      </c>
      <c r="I30" s="41" t="inlineStr">
        <is>
          <t>ب ع ا 5839</t>
        </is>
      </c>
      <c r="J30" s="41" t="inlineStr">
        <is>
          <t xml:space="preserve">هاني شريف </t>
        </is>
      </c>
      <c r="K30" s="41" t="inlineStr">
        <is>
          <t xml:space="preserve">ايوب </t>
        </is>
      </c>
      <c r="L30" s="42" t="n">
        <v>10000</v>
      </c>
      <c r="M30" s="42" t="n">
        <v>7100</v>
      </c>
      <c r="N30" s="42" t="n"/>
      <c r="O30" s="42" t="n">
        <v>200</v>
      </c>
      <c r="P30" s="42" t="n"/>
      <c r="Q30" s="42" t="n">
        <v>2700</v>
      </c>
      <c r="R30" s="43">
        <f>IF($B30="","",N($S30)-N($Q30))</f>
        <v/>
      </c>
      <c r="S30" s="43">
        <f>IF($B30="","",N($L30)+N($N30)+N($P30))</f>
        <v/>
      </c>
      <c r="T30" s="42" t="n"/>
      <c r="U30" s="42" t="n"/>
      <c r="V30" s="42" t="n"/>
      <c r="W30" s="42" t="n"/>
      <c r="X30" s="42" t="n"/>
      <c r="Y30" s="42" t="n"/>
      <c r="Z30" s="42" t="n"/>
      <c r="AA30" s="42" t="n"/>
      <c r="AB30" s="42" t="n"/>
      <c r="AC30" s="42" t="n"/>
      <c r="AD30" s="42" t="n"/>
      <c r="AE30" s="42" t="n"/>
      <c r="AF30" s="43">
        <f>IF($B30="","",SUM($T30:$AE30))</f>
        <v/>
      </c>
      <c r="AG30" s="43">
        <f>IF($B30="","",N($M30)-N($AF30))</f>
        <v/>
      </c>
      <c r="AH30" s="43">
        <f>IF($B30="","",N($L30)-N($AF30))</f>
        <v/>
      </c>
      <c r="AI30" s="149">
        <f>IF($B30="","",IF(N($L30)=0,"",(N($L30)-N($AF30))/N($L30)))</f>
        <v/>
      </c>
    </row>
    <row r="31">
      <c r="A31" s="39">
        <f>IF($B31="","",COUNTA($B$4:$B31))</f>
        <v/>
      </c>
      <c r="B31" s="45" t="n">
        <v>46028</v>
      </c>
      <c r="C31" s="46" t="n">
        <v>1578</v>
      </c>
      <c r="D31" s="46" t="inlineStr">
        <is>
          <t>عتريس مخيمر  خ</t>
        </is>
      </c>
      <c r="E31" s="46" t="inlineStr">
        <is>
          <t>1*40</t>
        </is>
      </c>
      <c r="F31" s="46" t="inlineStr">
        <is>
          <t>الدوليه انترناشونال</t>
        </is>
      </c>
      <c r="G31" s="46" t="inlineStr">
        <is>
          <t xml:space="preserve">العاشر </t>
        </is>
      </c>
      <c r="H31" s="46" t="inlineStr">
        <is>
          <t>46723/0</t>
        </is>
      </c>
      <c r="I31" s="46" t="inlineStr">
        <is>
          <t>ب ص ا 2574</t>
        </is>
      </c>
      <c r="J31" s="46" t="inlineStr">
        <is>
          <t>حمدي البحيري</t>
        </is>
      </c>
      <c r="K31" s="46" t="inlineStr">
        <is>
          <t>البحيري</t>
        </is>
      </c>
      <c r="L31" s="47" t="n">
        <v>14000</v>
      </c>
      <c r="M31" s="47" t="n">
        <v>8100</v>
      </c>
      <c r="N31" s="47" t="n"/>
      <c r="O31" s="47" t="n">
        <v>200</v>
      </c>
      <c r="P31" s="47" t="n"/>
      <c r="Q31" s="47" t="n">
        <v>5700</v>
      </c>
      <c r="R31" s="43">
        <f>IF($B31="","",N($S31)-N($Q31))</f>
        <v/>
      </c>
      <c r="S31" s="43">
        <f>IF($B31="","",N($L31)+N($N31)+N($P31))</f>
        <v/>
      </c>
      <c r="T31" s="47" t="n"/>
      <c r="U31" s="47" t="n"/>
      <c r="V31" s="47" t="n"/>
      <c r="W31" s="47" t="n"/>
      <c r="X31" s="47" t="n"/>
      <c r="Y31" s="47" t="n"/>
      <c r="Z31" s="47" t="n"/>
      <c r="AA31" s="47" t="n"/>
      <c r="AB31" s="47" t="n"/>
      <c r="AC31" s="47" t="n"/>
      <c r="AD31" s="47" t="n"/>
      <c r="AE31" s="47" t="n"/>
      <c r="AF31" s="43">
        <f>IF($B31="","",SUM($T31:$AE31))</f>
        <v/>
      </c>
      <c r="AG31" s="43">
        <f>IF($B31="","",N($M31)-N($AF31))</f>
        <v/>
      </c>
      <c r="AH31" s="43">
        <f>IF($B31="","",N($L31)-N($AF31))</f>
        <v/>
      </c>
      <c r="AI31" s="149">
        <f>IF($B31="","",IF(N($L31)=0,"",(N($L31)-N($AF31))/N($L31)))</f>
        <v/>
      </c>
    </row>
    <row r="32">
      <c r="A32" s="39">
        <f>IF($B32="","",COUNTA($B$4:$B32))</f>
        <v/>
      </c>
      <c r="B32" s="40" t="n">
        <v>46028</v>
      </c>
      <c r="C32" s="41" t="n">
        <v>1579</v>
      </c>
      <c r="D32" s="41" t="inlineStr">
        <is>
          <t>المكتب</t>
        </is>
      </c>
      <c r="E32" s="41" t="inlineStr">
        <is>
          <t>1*40</t>
        </is>
      </c>
      <c r="F32" s="41" t="inlineStr">
        <is>
          <t xml:space="preserve">الدوليه  </t>
        </is>
      </c>
      <c r="G32" s="41" t="inlineStr">
        <is>
          <t xml:space="preserve">العاشر </t>
        </is>
      </c>
      <c r="H32" s="41" t="inlineStr">
        <is>
          <t>659169/8</t>
        </is>
      </c>
      <c r="I32" s="41" t="inlineStr">
        <is>
          <t>س ع م 8737</t>
        </is>
      </c>
      <c r="J32" s="41" t="inlineStr">
        <is>
          <t>محمود بكر</t>
        </is>
      </c>
      <c r="K32" s="41" t="inlineStr">
        <is>
          <t>المكتب</t>
        </is>
      </c>
      <c r="L32" s="42" t="n">
        <v>14000</v>
      </c>
      <c r="M32" s="42" t="n">
        <v>6000</v>
      </c>
      <c r="N32" s="42" t="n"/>
      <c r="O32" s="42" t="n"/>
      <c r="P32" s="42" t="n"/>
      <c r="Q32" s="42" t="n">
        <v>8000</v>
      </c>
      <c r="R32" s="43">
        <f>IF($B32="","",N($S32)-N($Q32))</f>
        <v/>
      </c>
      <c r="S32" s="43">
        <f>IF($B32="","",N($L32)+N($N32)+N($P32))</f>
        <v/>
      </c>
      <c r="T32" s="42" t="n">
        <v>1500</v>
      </c>
      <c r="U32" s="42" t="n">
        <v>600</v>
      </c>
      <c r="V32" s="42" t="n"/>
      <c r="W32" s="42" t="n">
        <v>150</v>
      </c>
      <c r="X32" s="42" t="n">
        <v>130</v>
      </c>
      <c r="Y32" s="42" t="n">
        <v>120</v>
      </c>
      <c r="Z32" s="42" t="n"/>
      <c r="AA32" s="42" t="n"/>
      <c r="AB32" s="42" t="n"/>
      <c r="AC32" s="42" t="n">
        <v>100</v>
      </c>
      <c r="AD32" s="42" t="n"/>
      <c r="AE32" s="42" t="n">
        <v>3630</v>
      </c>
      <c r="AF32" s="43">
        <f>IF($B32="","",SUM($T32:$AE32))</f>
        <v/>
      </c>
      <c r="AG32" s="43">
        <f>IF($B32="","",N($M32)-N($AF32))</f>
        <v/>
      </c>
      <c r="AH32" s="43">
        <f>IF($B32="","",N($L32)-N($AF32))</f>
        <v/>
      </c>
      <c r="AI32" s="149">
        <f>IF($B32="","",IF(N($L32)=0,"",(N($L32)-N($AF32))/N($L32)))</f>
        <v/>
      </c>
    </row>
    <row r="33">
      <c r="A33" s="39">
        <f>IF($B33="","",COUNTA($B$4:$B33))</f>
        <v/>
      </c>
      <c r="B33" s="45" t="n">
        <v>46029</v>
      </c>
      <c r="C33" s="46" t="n">
        <v>1618</v>
      </c>
      <c r="D33" s="46" t="inlineStr">
        <is>
          <t xml:space="preserve">حمو مرزوق </t>
        </is>
      </c>
      <c r="E33" s="46" t="inlineStr">
        <is>
          <t>1*40</t>
        </is>
      </c>
      <c r="F33" s="46" t="inlineStr">
        <is>
          <t>اجرو جرين</t>
        </is>
      </c>
      <c r="G33" s="46" t="inlineStr">
        <is>
          <t>جمصه</t>
        </is>
      </c>
      <c r="H33" s="46" t="inlineStr">
        <is>
          <t>500718/5</t>
        </is>
      </c>
      <c r="I33" s="46" t="inlineStr">
        <is>
          <t>س ر ا 6671</t>
        </is>
      </c>
      <c r="J33" s="46" t="inlineStr">
        <is>
          <t xml:space="preserve">السيد بدوي </t>
        </is>
      </c>
      <c r="K33" s="46" t="inlineStr">
        <is>
          <t xml:space="preserve">حمو مرزوق </t>
        </is>
      </c>
      <c r="L33" s="47" t="n">
        <v>13500</v>
      </c>
      <c r="M33" s="47" t="n">
        <v>7100</v>
      </c>
      <c r="N33" s="47" t="n"/>
      <c r="O33" s="47" t="n">
        <v>200</v>
      </c>
      <c r="P33" s="47" t="n"/>
      <c r="Q33" s="47" t="n">
        <v>6200</v>
      </c>
      <c r="R33" s="43">
        <f>IF($B33="","",N($S33)-N($Q33))</f>
        <v/>
      </c>
      <c r="S33" s="43">
        <f>IF($B33="","",N($L33)+N($N33)+N($P33))</f>
        <v/>
      </c>
      <c r="T33" s="47" t="n"/>
      <c r="U33" s="47" t="n"/>
      <c r="V33" s="47" t="n"/>
      <c r="W33" s="47" t="n"/>
      <c r="X33" s="47" t="n"/>
      <c r="Y33" s="47" t="n"/>
      <c r="Z33" s="47" t="n"/>
      <c r="AA33" s="47" t="n"/>
      <c r="AB33" s="47" t="n"/>
      <c r="AC33" s="47" t="n"/>
      <c r="AD33" s="47" t="n"/>
      <c r="AE33" s="47" t="n"/>
      <c r="AF33" s="43">
        <f>IF($B33="","",SUM($T33:$AE33))</f>
        <v/>
      </c>
      <c r="AG33" s="43">
        <f>IF($B33="","",N($M33)-N($AF33))</f>
        <v/>
      </c>
      <c r="AH33" s="43">
        <f>IF($B33="","",N($L33)-N($AF33))</f>
        <v/>
      </c>
      <c r="AI33" s="149">
        <f>IF($B33="","",IF(N($L33)=0,"",(N($L33)-N($AF33))/N($L33)))</f>
        <v/>
      </c>
    </row>
    <row r="34">
      <c r="A34" s="39">
        <f>IF($B34="","",COUNTA($B$4:$B34))</f>
        <v/>
      </c>
      <c r="B34" s="40" t="n">
        <v>46030</v>
      </c>
      <c r="C34" s="41" t="n">
        <v>1584</v>
      </c>
      <c r="D34" s="41" t="inlineStr">
        <is>
          <t xml:space="preserve">حمو مرزوق </t>
        </is>
      </c>
      <c r="E34" s="41" t="inlineStr">
        <is>
          <t>1*40</t>
        </is>
      </c>
      <c r="F34" s="41" t="inlineStr">
        <is>
          <t>محمود مسعود</t>
        </is>
      </c>
      <c r="G34" s="41" t="inlineStr">
        <is>
          <t>الكيلو59</t>
        </is>
      </c>
      <c r="H34" s="41" t="inlineStr">
        <is>
          <t>828127/9</t>
        </is>
      </c>
      <c r="I34" s="41" t="inlineStr">
        <is>
          <t>س ر ا 6671</t>
        </is>
      </c>
      <c r="J34" s="41" t="inlineStr">
        <is>
          <t>السيد مرسي</t>
        </is>
      </c>
      <c r="K34" s="41" t="inlineStr">
        <is>
          <t xml:space="preserve">حمو مرزوق </t>
        </is>
      </c>
      <c r="L34" s="42" t="n">
        <v>10000</v>
      </c>
      <c r="M34" s="42" t="n">
        <v>7100</v>
      </c>
      <c r="N34" s="42" t="n"/>
      <c r="O34" s="42" t="n">
        <v>200</v>
      </c>
      <c r="P34" s="42" t="n"/>
      <c r="Q34" s="42" t="n">
        <v>2700</v>
      </c>
      <c r="R34" s="43">
        <f>IF($B34="","",N($S34)-N($Q34))</f>
        <v/>
      </c>
      <c r="S34" s="43">
        <f>IF($B34="","",N($L34)+N($N34)+N($P34))</f>
        <v/>
      </c>
      <c r="T34" s="42" t="n"/>
      <c r="U34" s="42" t="n"/>
      <c r="V34" s="42" t="n"/>
      <c r="W34" s="42" t="n"/>
      <c r="X34" s="42" t="n"/>
      <c r="Y34" s="42" t="n"/>
      <c r="Z34" s="42" t="n"/>
      <c r="AA34" s="42" t="n"/>
      <c r="AB34" s="42" t="n"/>
      <c r="AC34" s="42" t="n"/>
      <c r="AD34" s="42" t="n"/>
      <c r="AE34" s="42" t="n"/>
      <c r="AF34" s="43">
        <f>IF($B34="","",SUM($T34:$AE34))</f>
        <v/>
      </c>
      <c r="AG34" s="43">
        <f>IF($B34="","",N($M34)-N($AF34))</f>
        <v/>
      </c>
      <c r="AH34" s="43">
        <f>IF($B34="","",N($L34)-N($AF34))</f>
        <v/>
      </c>
      <c r="AI34" s="149">
        <f>IF($B34="","",IF(N($L34)=0,"",(N($L34)-N($AF34))/N($L34)))</f>
        <v/>
      </c>
    </row>
    <row r="35">
      <c r="A35" s="39">
        <f>IF($B35="","",COUNTA($B$4:$B35))</f>
        <v/>
      </c>
      <c r="B35" s="45" t="n">
        <v>46030</v>
      </c>
      <c r="C35" s="46" t="n">
        <v>1585</v>
      </c>
      <c r="D35" s="46" t="inlineStr">
        <is>
          <t>استوريا خ</t>
        </is>
      </c>
      <c r="E35" s="46" t="inlineStr">
        <is>
          <t>1*40</t>
        </is>
      </c>
      <c r="F35" s="46" t="inlineStr">
        <is>
          <t>محمود مسعود</t>
        </is>
      </c>
      <c r="G35" s="46" t="inlineStr">
        <is>
          <t>الكيلو59</t>
        </is>
      </c>
      <c r="H35" s="46" t="inlineStr">
        <is>
          <t>560074/1</t>
        </is>
      </c>
      <c r="I35" s="46" t="inlineStr">
        <is>
          <t>س ن ب 1649</t>
        </is>
      </c>
      <c r="J35" s="46" t="inlineStr">
        <is>
          <t>محمد عاطف</t>
        </is>
      </c>
      <c r="K35" s="46" t="inlineStr">
        <is>
          <t xml:space="preserve">محمد صابر </t>
        </is>
      </c>
      <c r="L35" s="47" t="n">
        <v>10000</v>
      </c>
      <c r="M35" s="47" t="n">
        <v>5100</v>
      </c>
      <c r="N35" s="47" t="n"/>
      <c r="O35" s="47" t="n">
        <v>200</v>
      </c>
      <c r="P35" s="47" t="n"/>
      <c r="Q35" s="47" t="n">
        <v>4700</v>
      </c>
      <c r="R35" s="43">
        <f>IF($B35="","",N($S35)-N($Q35))</f>
        <v/>
      </c>
      <c r="S35" s="43">
        <f>IF($B35="","",N($L35)+N($N35)+N($P35))</f>
        <v/>
      </c>
      <c r="T35" s="47" t="n"/>
      <c r="U35" s="47" t="n"/>
      <c r="V35" s="47" t="n"/>
      <c r="W35" s="47" t="n"/>
      <c r="X35" s="47" t="n"/>
      <c r="Y35" s="47" t="n"/>
      <c r="Z35" s="47" t="n"/>
      <c r="AA35" s="47" t="n"/>
      <c r="AB35" s="47" t="n"/>
      <c r="AC35" s="47" t="n"/>
      <c r="AD35" s="47" t="n"/>
      <c r="AE35" s="47" t="n"/>
      <c r="AF35" s="43">
        <f>IF($B35="","",SUM($T35:$AE35))</f>
        <v/>
      </c>
      <c r="AG35" s="43">
        <f>IF($B35="","",N($M35)-N($AF35))</f>
        <v/>
      </c>
      <c r="AH35" s="43">
        <f>IF($B35="","",N($L35)-N($AF35))</f>
        <v/>
      </c>
      <c r="AI35" s="149">
        <f>IF($B35="","",IF(N($L35)=0,"",(N($L35)-N($AF35))/N($L35)))</f>
        <v/>
      </c>
    </row>
    <row r="36">
      <c r="A36" s="39">
        <f>IF($B36="","",COUNTA($B$4:$B36))</f>
        <v/>
      </c>
      <c r="B36" s="40" t="n">
        <v>46030</v>
      </c>
      <c r="C36" s="41" t="n">
        <v>1580</v>
      </c>
      <c r="D36" s="41" t="inlineStr">
        <is>
          <t>احمد عبدو خ</t>
        </is>
      </c>
      <c r="E36" s="41" t="inlineStr">
        <is>
          <t>1*40</t>
        </is>
      </c>
      <c r="F36" s="41" t="inlineStr">
        <is>
          <t>المستقبل</t>
        </is>
      </c>
      <c r="G36" s="41" t="inlineStr">
        <is>
          <t xml:space="preserve">الخطاطبة </t>
        </is>
      </c>
      <c r="H36" s="41" t="inlineStr">
        <is>
          <t>46905/8</t>
        </is>
      </c>
      <c r="I36" s="41" t="inlineStr">
        <is>
          <t>س ل ب 5917</t>
        </is>
      </c>
      <c r="J36" s="41" t="inlineStr">
        <is>
          <t>ياسر احمد</t>
        </is>
      </c>
      <c r="K36" s="41" t="inlineStr">
        <is>
          <t xml:space="preserve">علاء علام </t>
        </is>
      </c>
      <c r="L36" s="42" t="n">
        <v>11700</v>
      </c>
      <c r="M36" s="42" t="n">
        <v>7100</v>
      </c>
      <c r="N36" s="42" t="n"/>
      <c r="O36" s="42" t="n">
        <v>200</v>
      </c>
      <c r="P36" s="42" t="n"/>
      <c r="Q36" s="42" t="n">
        <v>4400</v>
      </c>
      <c r="R36" s="43">
        <f>IF($B36="","",N($S36)-N($Q36))</f>
        <v/>
      </c>
      <c r="S36" s="43">
        <f>IF($B36="","",N($L36)+N($N36)+N($P36))</f>
        <v/>
      </c>
      <c r="T36" s="42" t="n"/>
      <c r="U36" s="42" t="n"/>
      <c r="V36" s="42" t="n"/>
      <c r="W36" s="42" t="n"/>
      <c r="X36" s="42" t="n"/>
      <c r="Y36" s="42" t="n"/>
      <c r="Z36" s="42" t="n"/>
      <c r="AA36" s="42" t="n"/>
      <c r="AB36" s="42" t="n"/>
      <c r="AC36" s="42" t="n"/>
      <c r="AD36" s="42" t="n"/>
      <c r="AE36" s="42" t="n"/>
      <c r="AF36" s="43">
        <f>IF($B36="","",SUM($T36:$AE36))</f>
        <v/>
      </c>
      <c r="AG36" s="43">
        <f>IF($B36="","",N($M36)-N($AF36))</f>
        <v/>
      </c>
      <c r="AH36" s="43">
        <f>IF($B36="","",N($L36)-N($AF36))</f>
        <v/>
      </c>
      <c r="AI36" s="149">
        <f>IF($B36="","",IF(N($L36)=0,"",(N($L36)-N($AF36))/N($L36)))</f>
        <v/>
      </c>
    </row>
    <row r="37">
      <c r="A37" s="39">
        <f>IF($B37="","",COUNTA($B$4:$B37))</f>
        <v/>
      </c>
      <c r="B37" s="45" t="n">
        <v>46030</v>
      </c>
      <c r="C37" s="46" t="n">
        <v>1581</v>
      </c>
      <c r="D37" s="46" t="inlineStr">
        <is>
          <t>مخزن</t>
        </is>
      </c>
      <c r="E37" s="46" t="inlineStr">
        <is>
          <t>1*40</t>
        </is>
      </c>
      <c r="F37" s="46" t="inlineStr">
        <is>
          <t>المستقبل</t>
        </is>
      </c>
      <c r="G37" s="46" t="inlineStr">
        <is>
          <t xml:space="preserve">الخطاطبة </t>
        </is>
      </c>
      <c r="H37" s="46" t="inlineStr">
        <is>
          <t>40490/4</t>
        </is>
      </c>
      <c r="I37" s="46" t="inlineStr">
        <is>
          <t>س ل ا 5468</t>
        </is>
      </c>
      <c r="J37" s="46" t="inlineStr">
        <is>
          <t>حسام الدين محمد</t>
        </is>
      </c>
      <c r="K37" s="46" t="inlineStr">
        <is>
          <t>احمد مخزن</t>
        </is>
      </c>
      <c r="L37" s="47" t="n">
        <v>11700</v>
      </c>
      <c r="M37" s="47" t="n">
        <v>7100</v>
      </c>
      <c r="N37" s="47" t="n"/>
      <c r="O37" s="47" t="n">
        <v>200</v>
      </c>
      <c r="P37" s="47" t="n"/>
      <c r="Q37" s="47" t="n">
        <v>4400</v>
      </c>
      <c r="R37" s="43">
        <f>IF($B37="","",N($S37)-N($Q37))</f>
        <v/>
      </c>
      <c r="S37" s="43">
        <f>IF($B37="","",N($L37)+N($N37)+N($P37))</f>
        <v/>
      </c>
      <c r="T37" s="47" t="n"/>
      <c r="U37" s="47" t="n"/>
      <c r="V37" s="47" t="n"/>
      <c r="W37" s="47" t="n"/>
      <c r="X37" s="47" t="n"/>
      <c r="Y37" s="47" t="n"/>
      <c r="Z37" s="47" t="n"/>
      <c r="AA37" s="47" t="n"/>
      <c r="AB37" s="47" t="n"/>
      <c r="AC37" s="47" t="n"/>
      <c r="AD37" s="47" t="n"/>
      <c r="AE37" s="47" t="n"/>
      <c r="AF37" s="43">
        <f>IF($B37="","",SUM($T37:$AE37))</f>
        <v/>
      </c>
      <c r="AG37" s="43">
        <f>IF($B37="","",N($M37)-N($AF37))</f>
        <v/>
      </c>
      <c r="AH37" s="43">
        <f>IF($B37="","",N($L37)-N($AF37))</f>
        <v/>
      </c>
      <c r="AI37" s="149">
        <f>IF($B37="","",IF(N($L37)=0,"",(N($L37)-N($AF37))/N($L37)))</f>
        <v/>
      </c>
    </row>
    <row r="38">
      <c r="A38" s="39">
        <f>IF($B38="","",COUNTA($B$4:$B38))</f>
        <v/>
      </c>
      <c r="B38" s="40" t="n">
        <v>46030</v>
      </c>
      <c r="C38" s="41" t="n">
        <v>1582</v>
      </c>
      <c r="D38" s="41" t="inlineStr">
        <is>
          <t>عتريس مخيمر  خ</t>
        </is>
      </c>
      <c r="E38" s="41" t="inlineStr">
        <is>
          <t>1*40</t>
        </is>
      </c>
      <c r="F38" s="41" t="inlineStr">
        <is>
          <t>المستقبل</t>
        </is>
      </c>
      <c r="G38" s="41" t="inlineStr">
        <is>
          <t xml:space="preserve">الخطاطبة </t>
        </is>
      </c>
      <c r="H38" s="41" t="inlineStr">
        <is>
          <t>4273392/6</t>
        </is>
      </c>
      <c r="I38" s="41" t="inlineStr">
        <is>
          <t>ب ص ا 2574</t>
        </is>
      </c>
      <c r="J38" s="41" t="inlineStr">
        <is>
          <t xml:space="preserve">محمد البحيرى </t>
        </is>
      </c>
      <c r="K38" s="41" t="inlineStr">
        <is>
          <t>البحيري</t>
        </is>
      </c>
      <c r="L38" s="42" t="n">
        <v>11700</v>
      </c>
      <c r="M38" s="42" t="n">
        <v>7100</v>
      </c>
      <c r="N38" s="42" t="n"/>
      <c r="O38" s="42" t="n">
        <v>200</v>
      </c>
      <c r="P38" s="42" t="n"/>
      <c r="Q38" s="42" t="n">
        <v>4400</v>
      </c>
      <c r="R38" s="43">
        <f>IF($B38="","",N($S38)-N($Q38))</f>
        <v/>
      </c>
      <c r="S38" s="43">
        <f>IF($B38="","",N($L38)+N($N38)+N($P38))</f>
        <v/>
      </c>
      <c r="T38" s="42" t="n"/>
      <c r="U38" s="42" t="n"/>
      <c r="V38" s="42" t="n"/>
      <c r="W38" s="42" t="n"/>
      <c r="X38" s="42" t="n"/>
      <c r="Y38" s="42" t="n"/>
      <c r="Z38" s="42" t="n"/>
      <c r="AA38" s="42" t="n"/>
      <c r="AB38" s="42" t="n"/>
      <c r="AC38" s="42" t="n"/>
      <c r="AD38" s="42" t="n"/>
      <c r="AE38" s="42" t="n"/>
      <c r="AF38" s="43">
        <f>IF($B38="","",SUM($T38:$AE38))</f>
        <v/>
      </c>
      <c r="AG38" s="43">
        <f>IF($B38="","",N($M38)-N($AF38))</f>
        <v/>
      </c>
      <c r="AH38" s="43">
        <f>IF($B38="","",N($L38)-N($AF38))</f>
        <v/>
      </c>
      <c r="AI38" s="149">
        <f>IF($B38="","",IF(N($L38)=0,"",(N($L38)-N($AF38))/N($L38)))</f>
        <v/>
      </c>
    </row>
    <row r="39">
      <c r="A39" s="39">
        <f>IF($B39="","",COUNTA($B$4:$B39))</f>
        <v/>
      </c>
      <c r="B39" s="45" t="n">
        <v>46030</v>
      </c>
      <c r="C39" s="46" t="n">
        <v>1583</v>
      </c>
      <c r="D39" s="46" t="inlineStr">
        <is>
          <t>المكتب</t>
        </is>
      </c>
      <c r="E39" s="46" t="inlineStr">
        <is>
          <t>1*40</t>
        </is>
      </c>
      <c r="F39" s="46" t="inlineStr">
        <is>
          <t>المستقبل</t>
        </is>
      </c>
      <c r="G39" s="46" t="inlineStr">
        <is>
          <t xml:space="preserve">الخطاطبة </t>
        </is>
      </c>
      <c r="H39" s="46" t="inlineStr">
        <is>
          <t>605262/2</t>
        </is>
      </c>
      <c r="I39" s="46" t="inlineStr">
        <is>
          <t>س ع م 8737</t>
        </is>
      </c>
      <c r="J39" s="46" t="inlineStr">
        <is>
          <t>محمود بكر</t>
        </is>
      </c>
      <c r="K39" s="46" t="inlineStr">
        <is>
          <t>المكتب</t>
        </is>
      </c>
      <c r="L39" s="47" t="n">
        <v>11700</v>
      </c>
      <c r="M39" s="47" t="n">
        <v>5000</v>
      </c>
      <c r="N39" s="47" t="n"/>
      <c r="O39" s="47" t="n"/>
      <c r="P39" s="47" t="n"/>
      <c r="Q39" s="47" t="n">
        <v>6700</v>
      </c>
      <c r="R39" s="43">
        <f>IF($B39="","",N($S39)-N($Q39))</f>
        <v/>
      </c>
      <c r="S39" s="43">
        <f>IF($B39="","",N($L39)+N($N39)+N($P39))</f>
        <v/>
      </c>
      <c r="T39" s="47" t="n">
        <v>1400</v>
      </c>
      <c r="U39" s="47" t="n">
        <v>550</v>
      </c>
      <c r="V39" s="47" t="n">
        <v>300</v>
      </c>
      <c r="W39" s="47" t="n">
        <v>150</v>
      </c>
      <c r="X39" s="47" t="n">
        <v>65</v>
      </c>
      <c r="Y39" s="47" t="n">
        <v>120</v>
      </c>
      <c r="Z39" s="47" t="n"/>
      <c r="AA39" s="47" t="n"/>
      <c r="AB39" s="47" t="n"/>
      <c r="AC39" s="47" t="n"/>
      <c r="AD39" s="47" t="n"/>
      <c r="AE39" s="47" t="n">
        <v>2200</v>
      </c>
      <c r="AF39" s="43">
        <f>IF($B39="","",SUM($T39:$AE39))</f>
        <v/>
      </c>
      <c r="AG39" s="43">
        <f>IF($B39="","",N($M39)-N($AF39))</f>
        <v/>
      </c>
      <c r="AH39" s="43">
        <f>IF($B39="","",N($L39)-N($AF39))</f>
        <v/>
      </c>
      <c r="AI39" s="149">
        <f>IF($B39="","",IF(N($L39)=0,"",(N($L39)-N($AF39))/N($L39)))</f>
        <v/>
      </c>
    </row>
    <row r="40">
      <c r="A40" s="39">
        <f>IF($B40="","",COUNTA($B$4:$B40))</f>
        <v/>
      </c>
      <c r="B40" s="40" t="n">
        <v>46031</v>
      </c>
      <c r="C40" s="41" t="n">
        <v>1586</v>
      </c>
      <c r="D40" s="41" t="inlineStr">
        <is>
          <t>حاتم البحر  ق</t>
        </is>
      </c>
      <c r="E40" s="41" t="inlineStr">
        <is>
          <t>1*40</t>
        </is>
      </c>
      <c r="F40" s="41" t="n"/>
      <c r="G40" s="41" t="inlineStr">
        <is>
          <t xml:space="preserve">كفر الدوار </t>
        </is>
      </c>
      <c r="H40" s="41" t="inlineStr">
        <is>
          <t>564861/6</t>
        </is>
      </c>
      <c r="I40" s="41" t="inlineStr">
        <is>
          <t>س م ب 3925</t>
        </is>
      </c>
      <c r="J40" s="41" t="inlineStr">
        <is>
          <t xml:space="preserve">عادل محمد علام </t>
        </is>
      </c>
      <c r="K40" s="41" t="inlineStr">
        <is>
          <t>الزوقزوق</t>
        </is>
      </c>
      <c r="L40" s="42" t="n">
        <v>9000</v>
      </c>
      <c r="M40" s="42" t="n">
        <v>5100</v>
      </c>
      <c r="N40" s="42" t="n"/>
      <c r="O40" s="42" t="n">
        <v>200</v>
      </c>
      <c r="P40" s="42" t="n"/>
      <c r="Q40" s="42" t="n">
        <v>3700</v>
      </c>
      <c r="R40" s="43">
        <f>IF($B40="","",N($S40)-N($Q40))</f>
        <v/>
      </c>
      <c r="S40" s="43">
        <f>IF($B40="","",N($L40)+N($N40)+N($P40))</f>
        <v/>
      </c>
      <c r="T40" s="42" t="n"/>
      <c r="U40" s="42" t="n"/>
      <c r="V40" s="42" t="n"/>
      <c r="W40" s="42" t="n"/>
      <c r="X40" s="42" t="n"/>
      <c r="Y40" s="42" t="n"/>
      <c r="Z40" s="42" t="n"/>
      <c r="AA40" s="42" t="n"/>
      <c r="AB40" s="42" t="n"/>
      <c r="AC40" s="42" t="n"/>
      <c r="AD40" s="42" t="n"/>
      <c r="AE40" s="42" t="n"/>
      <c r="AF40" s="43">
        <f>IF($B40="","",SUM($T40:$AE40))</f>
        <v/>
      </c>
      <c r="AG40" s="43">
        <f>IF($B40="","",N($M40)-N($AF40))</f>
        <v/>
      </c>
      <c r="AH40" s="43">
        <f>IF($B40="","",N($L40)-N($AF40))</f>
        <v/>
      </c>
      <c r="AI40" s="149">
        <f>IF($B40="","",IF(N($L40)=0,"",(N($L40)-N($AF40))/N($L40)))</f>
        <v/>
      </c>
    </row>
    <row r="41">
      <c r="A41" s="39">
        <f>IF($B41="","",COUNTA($B$4:$B41))</f>
        <v/>
      </c>
      <c r="B41" s="45" t="n">
        <v>46032</v>
      </c>
      <c r="C41" s="46" t="n">
        <v>1285</v>
      </c>
      <c r="D41" s="46" t="inlineStr">
        <is>
          <t>عتريس مخيمر  خ</t>
        </is>
      </c>
      <c r="E41" s="46" t="inlineStr">
        <is>
          <t>1*40</t>
        </is>
      </c>
      <c r="F41" s="46" t="inlineStr">
        <is>
          <t>نيو ستار</t>
        </is>
      </c>
      <c r="G41" s="46" t="inlineStr">
        <is>
          <t>بور سعيد منطقه حره</t>
        </is>
      </c>
      <c r="H41" s="46" t="inlineStr">
        <is>
          <t>446382/6</t>
        </is>
      </c>
      <c r="I41" s="46" t="inlineStr">
        <is>
          <t>ب ص ا 2574</t>
        </is>
      </c>
      <c r="J41" s="46" t="inlineStr">
        <is>
          <t xml:space="preserve">محمد البحيري </t>
        </is>
      </c>
      <c r="K41" s="46" t="inlineStr">
        <is>
          <t xml:space="preserve">احمد خليف </t>
        </is>
      </c>
      <c r="L41" s="47" t="n">
        <v>14500</v>
      </c>
      <c r="M41" s="47" t="n">
        <v>8100</v>
      </c>
      <c r="N41" s="47" t="n"/>
      <c r="O41" s="47" t="n">
        <v>200</v>
      </c>
      <c r="P41" s="47" t="n"/>
      <c r="Q41" s="47" t="n">
        <v>6200</v>
      </c>
      <c r="R41" s="43">
        <f>IF($B41="","",N($S41)-N($Q41))</f>
        <v/>
      </c>
      <c r="S41" s="43">
        <f>IF($B41="","",N($L41)+N($N41)+N($P41))</f>
        <v/>
      </c>
      <c r="T41" s="47" t="n"/>
      <c r="U41" s="47" t="n"/>
      <c r="V41" s="47" t="n"/>
      <c r="W41" s="47" t="n"/>
      <c r="X41" s="47" t="n"/>
      <c r="Y41" s="47" t="n"/>
      <c r="Z41" s="47" t="n"/>
      <c r="AA41" s="47" t="n"/>
      <c r="AB41" s="47" t="n"/>
      <c r="AC41" s="47" t="n"/>
      <c r="AD41" s="47" t="n"/>
      <c r="AE41" s="47" t="n"/>
      <c r="AF41" s="43">
        <f>IF($B41="","",SUM($T41:$AE41))</f>
        <v/>
      </c>
      <c r="AG41" s="43">
        <f>IF($B41="","",N($M41)-N($AF41))</f>
        <v/>
      </c>
      <c r="AH41" s="43">
        <f>IF($B41="","",N($L41)-N($AF41))</f>
        <v/>
      </c>
      <c r="AI41" s="149">
        <f>IF($B41="","",IF(N($L41)=0,"",(N($L41)-N($AF41))/N($L41)))</f>
        <v/>
      </c>
    </row>
    <row r="42">
      <c r="A42" s="39">
        <f>IF($B42="","",COUNTA($B$4:$B42))</f>
        <v/>
      </c>
      <c r="B42" s="40" t="n">
        <v>46032</v>
      </c>
      <c r="C42" s="41" t="n">
        <v>1910</v>
      </c>
      <c r="D42" s="41" t="inlineStr">
        <is>
          <t xml:space="preserve">ابو مينا </t>
        </is>
      </c>
      <c r="E42" s="41" t="inlineStr">
        <is>
          <t>1*40</t>
        </is>
      </c>
      <c r="F42" s="41" t="inlineStr">
        <is>
          <t xml:space="preserve">اركانا </t>
        </is>
      </c>
      <c r="G42" s="41" t="inlineStr">
        <is>
          <t xml:space="preserve">اكتوبر </t>
        </is>
      </c>
      <c r="H42" s="41" t="inlineStr">
        <is>
          <t>401177/7</t>
        </is>
      </c>
      <c r="I42" s="41" t="inlineStr">
        <is>
          <t>س ع ف 5194</t>
        </is>
      </c>
      <c r="J42" s="41" t="inlineStr">
        <is>
          <t xml:space="preserve">اسلام عصام </t>
        </is>
      </c>
      <c r="K42" s="41" t="inlineStr">
        <is>
          <t xml:space="preserve">ابو مينا </t>
        </is>
      </c>
      <c r="L42" s="42" t="n">
        <v>12700</v>
      </c>
      <c r="M42" s="42" t="n">
        <v>7100</v>
      </c>
      <c r="N42" s="42" t="n"/>
      <c r="O42" s="42" t="n">
        <v>200</v>
      </c>
      <c r="P42" s="42" t="n"/>
      <c r="Q42" s="42" t="n">
        <v>5400</v>
      </c>
      <c r="R42" s="43">
        <f>IF($B42="","",N($S42)-N($Q42))</f>
        <v/>
      </c>
      <c r="S42" s="43">
        <f>IF($B42="","",N($L42)+N($N42)+N($P42))</f>
        <v/>
      </c>
      <c r="T42" s="42" t="n"/>
      <c r="U42" s="42" t="n"/>
      <c r="V42" s="42" t="n"/>
      <c r="W42" s="42" t="n"/>
      <c r="X42" s="42" t="n"/>
      <c r="Y42" s="42" t="n"/>
      <c r="Z42" s="42" t="n"/>
      <c r="AA42" s="42" t="n"/>
      <c r="AB42" s="42" t="n"/>
      <c r="AC42" s="42" t="n"/>
      <c r="AD42" s="42" t="n"/>
      <c r="AE42" s="42" t="n"/>
      <c r="AF42" s="43">
        <f>IF($B42="","",SUM($T42:$AE42))</f>
        <v/>
      </c>
      <c r="AG42" s="43">
        <f>IF($B42="","",N($M42)-N($AF42))</f>
        <v/>
      </c>
      <c r="AH42" s="43">
        <f>IF($B42="","",N($L42)-N($AF42))</f>
        <v/>
      </c>
      <c r="AI42" s="149">
        <f>IF($B42="","",IF(N($L42)=0,"",(N($L42)-N($AF42))/N($L42)))</f>
        <v/>
      </c>
    </row>
    <row r="43">
      <c r="A43" s="39">
        <f>IF($B43="","",COUNTA($B$4:$B43))</f>
        <v/>
      </c>
      <c r="B43" s="45" t="n">
        <v>46032</v>
      </c>
      <c r="C43" s="46" t="n">
        <v>1619</v>
      </c>
      <c r="D43" s="46" t="inlineStr">
        <is>
          <t>المكتب</t>
        </is>
      </c>
      <c r="E43" s="46" t="inlineStr">
        <is>
          <t>2*20</t>
        </is>
      </c>
      <c r="F43" s="46" t="inlineStr">
        <is>
          <t>اكما</t>
        </is>
      </c>
      <c r="G43" s="46" t="inlineStr">
        <is>
          <t>بني سويف</t>
        </is>
      </c>
      <c r="H43" s="46" t="inlineStr">
        <is>
          <t>284409/3-206166/9</t>
        </is>
      </c>
      <c r="I43" s="46" t="inlineStr">
        <is>
          <t>س ع م 8737</t>
        </is>
      </c>
      <c r="J43" s="46" t="inlineStr">
        <is>
          <t>سامح عبدالحميد</t>
        </is>
      </c>
      <c r="K43" s="46" t="inlineStr">
        <is>
          <t>المكتب</t>
        </is>
      </c>
      <c r="L43" s="47" t="n">
        <v>25000</v>
      </c>
      <c r="M43" s="47" t="n">
        <v>10000</v>
      </c>
      <c r="N43" s="47" t="n"/>
      <c r="O43" s="47" t="n"/>
      <c r="P43" s="47" t="n"/>
      <c r="Q43" s="47" t="n">
        <v>15000</v>
      </c>
      <c r="R43" s="43">
        <f>IF($B43="","",N($S43)-N($Q43))</f>
        <v/>
      </c>
      <c r="S43" s="43">
        <f>IF($B43="","",N($L43)+N($N43)+N($P43))</f>
        <v/>
      </c>
      <c r="T43" s="47" t="n">
        <v>2000</v>
      </c>
      <c r="U43" s="47" t="n">
        <v>900</v>
      </c>
      <c r="V43" s="47" t="n"/>
      <c r="W43" s="47" t="n">
        <v>200</v>
      </c>
      <c r="X43" s="47" t="n">
        <v>180</v>
      </c>
      <c r="Y43" s="47" t="n">
        <v>60</v>
      </c>
      <c r="Z43" s="47" t="n"/>
      <c r="AA43" s="47" t="n"/>
      <c r="AB43" s="47" t="n">
        <v>250</v>
      </c>
      <c r="AC43" s="47" t="n">
        <v>600</v>
      </c>
      <c r="AD43" s="47" t="n">
        <v>900</v>
      </c>
      <c r="AE43" s="47" t="n">
        <v>5510</v>
      </c>
      <c r="AF43" s="43">
        <f>IF($B43="","",SUM($T43:$AE43))</f>
        <v/>
      </c>
      <c r="AG43" s="43">
        <f>IF($B43="","",N($M43)-N($AF43))</f>
        <v/>
      </c>
      <c r="AH43" s="43">
        <f>IF($B43="","",N($L43)-N($AF43))</f>
        <v/>
      </c>
      <c r="AI43" s="149">
        <f>IF($B43="","",IF(N($L43)=0,"",(N($L43)-N($AF43))/N($L43)))</f>
        <v/>
      </c>
    </row>
    <row r="44">
      <c r="A44" s="39">
        <f>IF($B44="","",COUNTA($B$4:$B44))</f>
        <v/>
      </c>
      <c r="B44" s="40" t="n">
        <v>46032</v>
      </c>
      <c r="C44" s="41" t="n">
        <v>1284</v>
      </c>
      <c r="D44" s="41" t="inlineStr">
        <is>
          <t>كمال رزق خ</t>
        </is>
      </c>
      <c r="E44" s="41" t="inlineStr">
        <is>
          <t>1*40</t>
        </is>
      </c>
      <c r="F44" s="41" t="inlineStr">
        <is>
          <t xml:space="preserve">الرحاب </t>
        </is>
      </c>
      <c r="G44" s="41" t="inlineStr">
        <is>
          <t>كفر شكر السعد</t>
        </is>
      </c>
      <c r="H44" s="41" t="n"/>
      <c r="I44" s="41" t="inlineStr">
        <is>
          <t>س ف ب7458</t>
        </is>
      </c>
      <c r="J44" s="41" t="inlineStr">
        <is>
          <t>بسام الرامبو</t>
        </is>
      </c>
      <c r="K44" s="41" t="inlineStr">
        <is>
          <t>قلبظ</t>
        </is>
      </c>
      <c r="L44" s="42" t="n">
        <v>14000</v>
      </c>
      <c r="M44" s="42" t="n">
        <v>8100</v>
      </c>
      <c r="N44" s="42" t="n"/>
      <c r="O44" s="42" t="n">
        <v>200</v>
      </c>
      <c r="P44" s="42" t="n"/>
      <c r="Q44" s="42" t="n">
        <v>5700</v>
      </c>
      <c r="R44" s="43">
        <f>IF($B44="","",N($S44)-N($Q44))</f>
        <v/>
      </c>
      <c r="S44" s="43">
        <f>IF($B44="","",N($L44)+N($N44)+N($P44))</f>
        <v/>
      </c>
      <c r="T44" s="42" t="n"/>
      <c r="U44" s="42" t="n"/>
      <c r="V44" s="42" t="n"/>
      <c r="W44" s="42" t="n"/>
      <c r="X44" s="42" t="n"/>
      <c r="Y44" s="42" t="n"/>
      <c r="Z44" s="42" t="n"/>
      <c r="AA44" s="42" t="n"/>
      <c r="AB44" s="42" t="n"/>
      <c r="AC44" s="42" t="n"/>
      <c r="AD44" s="42" t="n"/>
      <c r="AE44" s="42" t="n"/>
      <c r="AF44" s="43">
        <f>IF($B44="","",SUM($T44:$AE44))</f>
        <v/>
      </c>
      <c r="AG44" s="43">
        <f>IF($B44="","",N($M44)-N($AF44))</f>
        <v/>
      </c>
      <c r="AH44" s="43">
        <f>IF($B44="","",N($L44)-N($AF44))</f>
        <v/>
      </c>
      <c r="AI44" s="149">
        <f>IF($B44="","",IF(N($L44)=0,"",(N($L44)-N($AF44))/N($L44)))</f>
        <v/>
      </c>
    </row>
    <row r="45">
      <c r="A45" s="39">
        <f>IF($B45="","",COUNTA($B$4:$B45))</f>
        <v/>
      </c>
      <c r="B45" s="45" t="n">
        <v>46033</v>
      </c>
      <c r="C45" s="46" t="n">
        <v>1621</v>
      </c>
      <c r="D45" s="46" t="inlineStr">
        <is>
          <t>محمد نصر</t>
        </is>
      </c>
      <c r="E45" s="46" t="inlineStr">
        <is>
          <t>1*20</t>
        </is>
      </c>
      <c r="F45" s="46" t="inlineStr">
        <is>
          <t>السويدي بوليمارز</t>
        </is>
      </c>
      <c r="G45" s="46" t="inlineStr">
        <is>
          <t xml:space="preserve">العاشر </t>
        </is>
      </c>
      <c r="H45" s="46" t="inlineStr">
        <is>
          <t>159539/8</t>
        </is>
      </c>
      <c r="I45" s="46" t="inlineStr">
        <is>
          <t>ب ص ا2873</t>
        </is>
      </c>
      <c r="J45" s="46" t="inlineStr">
        <is>
          <t>عيد لطفي احمد</t>
        </is>
      </c>
      <c r="K45" s="46" t="inlineStr">
        <is>
          <t>محمد نصر</t>
        </is>
      </c>
      <c r="L45" s="47" t="n">
        <v>13000</v>
      </c>
      <c r="M45" s="47" t="n">
        <v>7500</v>
      </c>
      <c r="N45" s="47" t="n"/>
      <c r="O45" s="47" t="n">
        <v>200</v>
      </c>
      <c r="P45" s="47" t="n"/>
      <c r="Q45" s="47" t="n">
        <v>5300</v>
      </c>
      <c r="R45" s="43">
        <f>IF($B45="","",N($S45)-N($Q45))</f>
        <v/>
      </c>
      <c r="S45" s="43">
        <f>IF($B45="","",N($L45)+N($N45)+N($P45))</f>
        <v/>
      </c>
      <c r="T45" s="47" t="n"/>
      <c r="U45" s="47" t="n"/>
      <c r="V45" s="47" t="n"/>
      <c r="W45" s="47" t="n"/>
      <c r="X45" s="47" t="n"/>
      <c r="Y45" s="47" t="n"/>
      <c r="Z45" s="47" t="n"/>
      <c r="AA45" s="47" t="n"/>
      <c r="AB45" s="47" t="n"/>
      <c r="AC45" s="47" t="n"/>
      <c r="AD45" s="47" t="n"/>
      <c r="AE45" s="47" t="n"/>
      <c r="AF45" s="43">
        <f>IF($B45="","",SUM($T45:$AE45))</f>
        <v/>
      </c>
      <c r="AG45" s="43">
        <f>IF($B45="","",N($M45)-N($AF45))</f>
        <v/>
      </c>
      <c r="AH45" s="43">
        <f>IF($B45="","",N($L45)-N($AF45))</f>
        <v/>
      </c>
      <c r="AI45" s="149">
        <f>IF($B45="","",IF(N($L45)=0,"",(N($L45)-N($AF45))/N($L45)))</f>
        <v/>
      </c>
    </row>
    <row r="46">
      <c r="A46" s="39">
        <f>IF($B46="","",COUNTA($B$4:$B46))</f>
        <v/>
      </c>
      <c r="B46" s="40" t="n">
        <v>46033</v>
      </c>
      <c r="C46" s="41" t="n">
        <v>1286</v>
      </c>
      <c r="D46" s="41" t="inlineStr">
        <is>
          <t xml:space="preserve">حمو مرزوق </t>
        </is>
      </c>
      <c r="E46" s="41" t="inlineStr">
        <is>
          <t>1*40</t>
        </is>
      </c>
      <c r="F46" s="41" t="inlineStr">
        <is>
          <t xml:space="preserve">ماي فارم </t>
        </is>
      </c>
      <c r="G46" s="41" t="inlineStr">
        <is>
          <t>جمصه</t>
        </is>
      </c>
      <c r="H46" s="41" t="inlineStr">
        <is>
          <t>415510/2</t>
        </is>
      </c>
      <c r="I46" s="41" t="inlineStr">
        <is>
          <t>س ر ا 6671</t>
        </is>
      </c>
      <c r="J46" s="41" t="inlineStr">
        <is>
          <t xml:space="preserve">السيد بدوي </t>
        </is>
      </c>
      <c r="K46" s="41" t="inlineStr">
        <is>
          <t xml:space="preserve">حمو مرزوق </t>
        </is>
      </c>
      <c r="L46" s="42" t="n">
        <v>13500</v>
      </c>
      <c r="M46" s="42" t="n">
        <v>9100</v>
      </c>
      <c r="N46" s="42" t="n"/>
      <c r="O46" s="42" t="n">
        <v>200</v>
      </c>
      <c r="P46" s="42" t="n"/>
      <c r="Q46" s="42" t="n">
        <v>4200</v>
      </c>
      <c r="R46" s="43">
        <f>IF($B46="","",N($S46)-N($Q46))</f>
        <v/>
      </c>
      <c r="S46" s="43">
        <f>IF($B46="","",N($L46)+N($N46)+N($P46))</f>
        <v/>
      </c>
      <c r="T46" s="42" t="n"/>
      <c r="U46" s="42" t="n"/>
      <c r="V46" s="42" t="n"/>
      <c r="W46" s="42" t="n"/>
      <c r="X46" s="42" t="n"/>
      <c r="Y46" s="42" t="n"/>
      <c r="Z46" s="42" t="n"/>
      <c r="AA46" s="42" t="n"/>
      <c r="AB46" s="42" t="n"/>
      <c r="AC46" s="42" t="n"/>
      <c r="AD46" s="42" t="n"/>
      <c r="AE46" s="42" t="n"/>
      <c r="AF46" s="43">
        <f>IF($B46="","",SUM($T46:$AE46))</f>
        <v/>
      </c>
      <c r="AG46" s="43">
        <f>IF($B46="","",N($M46)-N($AF46))</f>
        <v/>
      </c>
      <c r="AH46" s="43">
        <f>IF($B46="","",N($L46)-N($AF46))</f>
        <v/>
      </c>
      <c r="AI46" s="149">
        <f>IF($B46="","",IF(N($L46)=0,"",(N($L46)-N($AF46))/N($L46)))</f>
        <v/>
      </c>
    </row>
    <row r="47">
      <c r="A47" s="39">
        <f>IF($B47="","",COUNTA($B$4:$B47))</f>
        <v/>
      </c>
      <c r="B47" s="45" t="n">
        <v>46033</v>
      </c>
      <c r="C47" s="46" t="n">
        <v>1976</v>
      </c>
      <c r="D47" s="46" t="inlineStr">
        <is>
          <t>المكتب</t>
        </is>
      </c>
      <c r="E47" s="46" t="inlineStr">
        <is>
          <t>1*40</t>
        </is>
      </c>
      <c r="F47" s="46" t="inlineStr">
        <is>
          <t xml:space="preserve">يونايتد باك </t>
        </is>
      </c>
      <c r="G47" s="46" t="inlineStr">
        <is>
          <t xml:space="preserve">العاشر </t>
        </is>
      </c>
      <c r="H47" s="46" t="inlineStr">
        <is>
          <t>653302/7</t>
        </is>
      </c>
      <c r="I47" s="46" t="inlineStr">
        <is>
          <t>س ع م 8737</t>
        </is>
      </c>
      <c r="J47" s="46" t="inlineStr">
        <is>
          <t xml:space="preserve">سامح السيد </t>
        </is>
      </c>
      <c r="K47" s="46" t="inlineStr">
        <is>
          <t>المكتب</t>
        </is>
      </c>
      <c r="L47" s="47" t="n">
        <v>14500</v>
      </c>
      <c r="M47" s="47" t="n">
        <v>7000</v>
      </c>
      <c r="N47" s="47" t="n"/>
      <c r="O47" s="47" t="n"/>
      <c r="P47" s="47" t="n"/>
      <c r="Q47" s="47" t="n">
        <v>7500</v>
      </c>
      <c r="R47" s="43">
        <f>IF($B47="","",N($S47)-N($Q47))</f>
        <v/>
      </c>
      <c r="S47" s="43">
        <f>IF($B47="","",N($L47)+N($N47)+N($P47))</f>
        <v/>
      </c>
      <c r="T47" s="47" t="n">
        <v>1500</v>
      </c>
      <c r="U47" s="47" t="n">
        <v>600</v>
      </c>
      <c r="V47" s="47" t="n"/>
      <c r="W47" s="47" t="n">
        <v>150</v>
      </c>
      <c r="X47" s="47" t="n">
        <v>130</v>
      </c>
      <c r="Y47" s="47" t="n">
        <v>60</v>
      </c>
      <c r="Z47" s="47" t="n"/>
      <c r="AA47" s="47" t="n"/>
      <c r="AB47" s="47" t="n"/>
      <c r="AC47" s="47" t="n">
        <v>100</v>
      </c>
      <c r="AD47" s="47" t="n"/>
      <c r="AE47" s="47" t="n">
        <v>3600</v>
      </c>
      <c r="AF47" s="43">
        <f>IF($B47="","",SUM($T47:$AE47))</f>
        <v/>
      </c>
      <c r="AG47" s="43">
        <f>IF($B47="","",N($M47)-N($AF47))</f>
        <v/>
      </c>
      <c r="AH47" s="43">
        <f>IF($B47="","",N($L47)-N($AF47))</f>
        <v/>
      </c>
      <c r="AI47" s="149">
        <f>IF($B47="","",IF(N($L47)=0,"",(N($L47)-N($AF47))/N($L47)))</f>
        <v/>
      </c>
    </row>
    <row r="48">
      <c r="A48" s="39">
        <f>IF($B48="","",COUNTA($B$4:$B48))</f>
        <v/>
      </c>
      <c r="B48" s="40" t="n">
        <v>46033</v>
      </c>
      <c r="C48" s="41" t="n">
        <v>1620</v>
      </c>
      <c r="D48" s="41" t="inlineStr">
        <is>
          <t>ايوب خ</t>
        </is>
      </c>
      <c r="E48" s="41" t="inlineStr">
        <is>
          <t>1*20</t>
        </is>
      </c>
      <c r="F48" s="41" t="inlineStr">
        <is>
          <t>محمد محمود عبالفتاح</t>
        </is>
      </c>
      <c r="G48" s="41" t="inlineStr">
        <is>
          <t xml:space="preserve">اكتوبر </t>
        </is>
      </c>
      <c r="H48" s="41" t="inlineStr">
        <is>
          <t>233025/4</t>
        </is>
      </c>
      <c r="I48" s="41" t="inlineStr">
        <is>
          <t>ب ف ر 3546</t>
        </is>
      </c>
      <c r="J48" s="41" t="inlineStr">
        <is>
          <t>ابراهيم عبدالله</t>
        </is>
      </c>
      <c r="K48" s="41" t="inlineStr">
        <is>
          <t xml:space="preserve">ايوب </t>
        </is>
      </c>
      <c r="L48" s="42" t="n">
        <v>10000</v>
      </c>
      <c r="M48" s="42" t="n">
        <v>6100</v>
      </c>
      <c r="N48" s="42" t="n"/>
      <c r="O48" s="42" t="n">
        <v>200</v>
      </c>
      <c r="P48" s="42" t="n"/>
      <c r="Q48" s="42" t="n">
        <v>3700</v>
      </c>
      <c r="R48" s="43">
        <f>IF($B48="","",N($S48)-N($Q48))</f>
        <v/>
      </c>
      <c r="S48" s="43">
        <f>IF($B48="","",N($L48)+N($N48)+N($P48))</f>
        <v/>
      </c>
      <c r="T48" s="42" t="n"/>
      <c r="U48" s="42" t="n"/>
      <c r="V48" s="42" t="n"/>
      <c r="W48" s="42" t="n"/>
      <c r="X48" s="42" t="n"/>
      <c r="Y48" s="42" t="n"/>
      <c r="Z48" s="42" t="n"/>
      <c r="AA48" s="42" t="n"/>
      <c r="AB48" s="42" t="n"/>
      <c r="AC48" s="42" t="n"/>
      <c r="AD48" s="42" t="n"/>
      <c r="AE48" s="42" t="n"/>
      <c r="AF48" s="43">
        <f>IF($B48="","",SUM($T48:$AE48))</f>
        <v/>
      </c>
      <c r="AG48" s="43">
        <f>IF($B48="","",N($M48)-N($AF48))</f>
        <v/>
      </c>
      <c r="AH48" s="43">
        <f>IF($B48="","",N($L48)-N($AF48))</f>
        <v/>
      </c>
      <c r="AI48" s="149">
        <f>IF($B48="","",IF(N($L48)=0,"",(N($L48)-N($AF48))/N($L48)))</f>
        <v/>
      </c>
    </row>
    <row r="49">
      <c r="A49" s="39">
        <f>IF($B49="","",COUNTA($B$4:$B49))</f>
        <v/>
      </c>
      <c r="B49" s="45" t="n">
        <v>46033</v>
      </c>
      <c r="C49" s="46" t="n">
        <v>1287</v>
      </c>
      <c r="D49" s="46" t="inlineStr">
        <is>
          <t xml:space="preserve">هاشم </t>
        </is>
      </c>
      <c r="E49" s="46" t="inlineStr">
        <is>
          <t>1*20</t>
        </is>
      </c>
      <c r="F49" s="46" t="inlineStr">
        <is>
          <t>السويدي بوليمارز</t>
        </is>
      </c>
      <c r="G49" s="46" t="inlineStr">
        <is>
          <t xml:space="preserve">العاشر </t>
        </is>
      </c>
      <c r="H49" s="46" t="inlineStr">
        <is>
          <t>241916/8</t>
        </is>
      </c>
      <c r="I49" s="46" t="inlineStr">
        <is>
          <t>ب ر ج 6543</t>
        </is>
      </c>
      <c r="J49" s="46" t="inlineStr">
        <is>
          <t xml:space="preserve">اشرف الحناوي </t>
        </is>
      </c>
      <c r="K49" s="46" t="inlineStr">
        <is>
          <t xml:space="preserve">روماني </t>
        </is>
      </c>
      <c r="L49" s="47" t="n">
        <v>13500</v>
      </c>
      <c r="M49" s="47" t="n">
        <v>8100</v>
      </c>
      <c r="N49" s="47" t="n"/>
      <c r="O49" s="47" t="n">
        <v>200</v>
      </c>
      <c r="P49" s="47" t="n"/>
      <c r="Q49" s="47" t="n">
        <v>5200</v>
      </c>
      <c r="R49" s="43">
        <f>IF($B49="","",N($S49)-N($Q49))</f>
        <v/>
      </c>
      <c r="S49" s="43">
        <f>IF($B49="","",N($L49)+N($N49)+N($P49))</f>
        <v/>
      </c>
      <c r="T49" s="47" t="n"/>
      <c r="U49" s="47" t="n"/>
      <c r="V49" s="47" t="n"/>
      <c r="W49" s="47" t="n"/>
      <c r="X49" s="47" t="n"/>
      <c r="Y49" s="47" t="n"/>
      <c r="Z49" s="47" t="n"/>
      <c r="AA49" s="47" t="n"/>
      <c r="AB49" s="47" t="n"/>
      <c r="AC49" s="47" t="n"/>
      <c r="AD49" s="47" t="n"/>
      <c r="AE49" s="47" t="n"/>
      <c r="AF49" s="43">
        <f>IF($B49="","",SUM($T49:$AE49))</f>
        <v/>
      </c>
      <c r="AG49" s="43">
        <f>IF($B49="","",N($M49)-N($AF49))</f>
        <v/>
      </c>
      <c r="AH49" s="43">
        <f>IF($B49="","",N($L49)-N($AF49))</f>
        <v/>
      </c>
      <c r="AI49" s="149">
        <f>IF($B49="","",IF(N($L49)=0,"",(N($L49)-N($AF49))/N($L49)))</f>
        <v/>
      </c>
    </row>
    <row r="50">
      <c r="A50" s="39">
        <f>IF($B50="","",COUNTA($B$4:$B50))</f>
        <v/>
      </c>
      <c r="B50" s="40" t="n">
        <v>46034</v>
      </c>
      <c r="C50" s="41" t="n">
        <v>1652</v>
      </c>
      <c r="D50" s="41" t="inlineStr">
        <is>
          <t>عتريس مخيمر  خ</t>
        </is>
      </c>
      <c r="E50" s="41" t="inlineStr">
        <is>
          <t>1*40</t>
        </is>
      </c>
      <c r="F50" s="41" t="inlineStr">
        <is>
          <t>السويدي بوليمارز</t>
        </is>
      </c>
      <c r="G50" s="41" t="inlineStr">
        <is>
          <t>العاشر</t>
        </is>
      </c>
      <c r="H50" s="41" t="inlineStr">
        <is>
          <t>912275/4</t>
        </is>
      </c>
      <c r="I50" s="41" t="inlineStr">
        <is>
          <t>ب ص ا 2574</t>
        </is>
      </c>
      <c r="J50" s="41" t="inlineStr">
        <is>
          <t xml:space="preserve">محمد البحيرى </t>
        </is>
      </c>
      <c r="K50" s="41" t="inlineStr">
        <is>
          <t>البحيري</t>
        </is>
      </c>
      <c r="L50" s="42" t="n">
        <v>14500</v>
      </c>
      <c r="M50" s="42" t="n">
        <v>8100</v>
      </c>
      <c r="N50" s="42" t="n"/>
      <c r="O50" s="42" t="n">
        <v>200</v>
      </c>
      <c r="P50" s="42" t="n"/>
      <c r="Q50" s="42" t="n">
        <v>6200</v>
      </c>
      <c r="R50" s="43">
        <f>IF($B50="","",N($S50)-N($Q50))</f>
        <v/>
      </c>
      <c r="S50" s="43">
        <f>IF($B50="","",N($L50)+N($N50)+N($P50))</f>
        <v/>
      </c>
      <c r="T50" s="42" t="n"/>
      <c r="U50" s="42" t="n"/>
      <c r="V50" s="42" t="n"/>
      <c r="W50" s="42" t="n"/>
      <c r="X50" s="42" t="n"/>
      <c r="Y50" s="42" t="n"/>
      <c r="Z50" s="42" t="n"/>
      <c r="AA50" s="42" t="n"/>
      <c r="AB50" s="42" t="n"/>
      <c r="AC50" s="42" t="n"/>
      <c r="AD50" s="42" t="n"/>
      <c r="AE50" s="42" t="n"/>
      <c r="AF50" s="43">
        <f>IF($B50="","",SUM($T50:$AE50))</f>
        <v/>
      </c>
      <c r="AG50" s="43">
        <f>IF($B50="","",N($M50)-N($AF50))</f>
        <v/>
      </c>
      <c r="AH50" s="43">
        <f>IF($B50="","",N($L50)-N($AF50))</f>
        <v/>
      </c>
      <c r="AI50" s="149">
        <f>IF($B50="","",IF(N($L50)=0,"",(N($L50)-N($AF50))/N($L50)))</f>
        <v/>
      </c>
    </row>
    <row r="51">
      <c r="A51" s="39">
        <f>IF($B51="","",COUNTA($B$4:$B51))</f>
        <v/>
      </c>
      <c r="B51" s="45" t="n">
        <v>46034</v>
      </c>
      <c r="C51" s="46" t="n">
        <v>1911</v>
      </c>
      <c r="D51" s="46" t="inlineStr">
        <is>
          <t xml:space="preserve">بدوى صلاح </t>
        </is>
      </c>
      <c r="E51" s="46" t="inlineStr">
        <is>
          <t>1*20</t>
        </is>
      </c>
      <c r="F51" s="46" t="inlineStr">
        <is>
          <t xml:space="preserve">سمارت فود </t>
        </is>
      </c>
      <c r="G51" s="46" t="inlineStr">
        <is>
          <t xml:space="preserve">اكتوبر </t>
        </is>
      </c>
      <c r="H51" s="46" t="inlineStr">
        <is>
          <t>317933/9</t>
        </is>
      </c>
      <c r="I51" s="46" t="inlineStr">
        <is>
          <t>ب د ن 2193</t>
        </is>
      </c>
      <c r="J51" s="46" t="inlineStr">
        <is>
          <t xml:space="preserve">وليد جاد </t>
        </is>
      </c>
      <c r="K51" s="46" t="inlineStr">
        <is>
          <t xml:space="preserve">روماني </t>
        </is>
      </c>
      <c r="L51" s="47" t="n">
        <v>10500</v>
      </c>
      <c r="M51" s="47" t="n">
        <v>7100</v>
      </c>
      <c r="N51" s="47" t="n"/>
      <c r="O51" s="47" t="n">
        <v>200</v>
      </c>
      <c r="P51" s="47" t="n"/>
      <c r="Q51" s="47" t="n">
        <v>3200</v>
      </c>
      <c r="R51" s="43">
        <f>IF($B51="","",N($S51)-N($Q51))</f>
        <v/>
      </c>
      <c r="S51" s="43">
        <f>IF($B51="","",N($L51)+N($N51)+N($P51))</f>
        <v/>
      </c>
      <c r="T51" s="47" t="n"/>
      <c r="U51" s="47" t="n"/>
      <c r="V51" s="47" t="n"/>
      <c r="W51" s="47" t="n"/>
      <c r="X51" s="47" t="n"/>
      <c r="Y51" s="47" t="n"/>
      <c r="Z51" s="47" t="n"/>
      <c r="AA51" s="47" t="n"/>
      <c r="AB51" s="47" t="n"/>
      <c r="AC51" s="47" t="n"/>
      <c r="AD51" s="47" t="n"/>
      <c r="AE51" s="47" t="n"/>
      <c r="AF51" s="43">
        <f>IF($B51="","",SUM($T51:$AE51))</f>
        <v/>
      </c>
      <c r="AG51" s="43">
        <f>IF($B51="","",N($M51)-N($AF51))</f>
        <v/>
      </c>
      <c r="AH51" s="43">
        <f>IF($B51="","",N($L51)-N($AF51))</f>
        <v/>
      </c>
      <c r="AI51" s="149">
        <f>IF($B51="","",IF(N($L51)=0,"",(N($L51)-N($AF51))/N($L51)))</f>
        <v/>
      </c>
    </row>
    <row r="52">
      <c r="A52" s="39">
        <f>IF($B52="","",COUNTA($B$4:$B52))</f>
        <v/>
      </c>
      <c r="B52" s="40" t="n">
        <v>46034</v>
      </c>
      <c r="C52" s="41" t="n">
        <v>1912</v>
      </c>
      <c r="D52" s="41" t="inlineStr">
        <is>
          <t>احمد عبدو خ</t>
        </is>
      </c>
      <c r="E52" s="41" t="inlineStr">
        <is>
          <t>1*40</t>
        </is>
      </c>
      <c r="F52" s="41" t="inlineStr">
        <is>
          <t>المستقبل</t>
        </is>
      </c>
      <c r="G52" s="41" t="inlineStr">
        <is>
          <t xml:space="preserve">الخطاطبة </t>
        </is>
      </c>
      <c r="H52" s="41" t="inlineStr">
        <is>
          <t>829572/6</t>
        </is>
      </c>
      <c r="I52" s="41" t="inlineStr">
        <is>
          <t>س ل ب 5917</t>
        </is>
      </c>
      <c r="J52" s="41" t="inlineStr">
        <is>
          <t xml:space="preserve">مصطفى علام </t>
        </is>
      </c>
      <c r="K52" s="41" t="inlineStr">
        <is>
          <t xml:space="preserve">علاء علام </t>
        </is>
      </c>
      <c r="L52" s="42" t="n">
        <v>11700</v>
      </c>
      <c r="M52" s="42" t="n">
        <v>7100</v>
      </c>
      <c r="N52" s="42" t="n"/>
      <c r="O52" s="42" t="n">
        <v>200</v>
      </c>
      <c r="P52" s="42" t="n"/>
      <c r="Q52" s="42" t="n">
        <v>4400</v>
      </c>
      <c r="R52" s="43">
        <f>IF($B52="","",N($S52)-N($Q52))</f>
        <v/>
      </c>
      <c r="S52" s="43">
        <f>IF($B52="","",N($L52)+N($N52)+N($P52))</f>
        <v/>
      </c>
      <c r="T52" s="42" t="n"/>
      <c r="U52" s="42" t="n"/>
      <c r="V52" s="42" t="n"/>
      <c r="W52" s="42" t="n"/>
      <c r="X52" s="42" t="n"/>
      <c r="Y52" s="42" t="n"/>
      <c r="Z52" s="42" t="n"/>
      <c r="AA52" s="42" t="n"/>
      <c r="AB52" s="42" t="n"/>
      <c r="AC52" s="42" t="n"/>
      <c r="AD52" s="42" t="n"/>
      <c r="AE52" s="42" t="n"/>
      <c r="AF52" s="43">
        <f>IF($B52="","",SUM($T52:$AE52))</f>
        <v/>
      </c>
      <c r="AG52" s="43">
        <f>IF($B52="","",N($M52)-N($AF52))</f>
        <v/>
      </c>
      <c r="AH52" s="43">
        <f>IF($B52="","",N($L52)-N($AF52))</f>
        <v/>
      </c>
      <c r="AI52" s="149">
        <f>IF($B52="","",IF(N($L52)=0,"",(N($L52)-N($AF52))/N($L52)))</f>
        <v/>
      </c>
    </row>
    <row r="53">
      <c r="A53" s="39">
        <f>IF($B53="","",COUNTA($B$4:$B53))</f>
        <v/>
      </c>
      <c r="B53" s="45" t="n">
        <v>46034</v>
      </c>
      <c r="C53" s="46" t="n">
        <v>1913</v>
      </c>
      <c r="D53" s="46" t="inlineStr">
        <is>
          <t xml:space="preserve">طارق الجمل </t>
        </is>
      </c>
      <c r="E53" s="46" t="inlineStr">
        <is>
          <t>1*40</t>
        </is>
      </c>
      <c r="F53" s="46" t="inlineStr">
        <is>
          <t>المستقبل</t>
        </is>
      </c>
      <c r="G53" s="46" t="inlineStr">
        <is>
          <t xml:space="preserve">الخطاطبة </t>
        </is>
      </c>
      <c r="H53" s="46" t="inlineStr">
        <is>
          <t>647017/1</t>
        </is>
      </c>
      <c r="I53" s="46" t="inlineStr">
        <is>
          <t>س ص ب3829</t>
        </is>
      </c>
      <c r="J53" s="46" t="inlineStr">
        <is>
          <t xml:space="preserve">محمد احمد </t>
        </is>
      </c>
      <c r="K53" s="46" t="inlineStr">
        <is>
          <t xml:space="preserve">اشرف الجمل </t>
        </is>
      </c>
      <c r="L53" s="47" t="n">
        <v>11700</v>
      </c>
      <c r="M53" s="47" t="n">
        <v>7100</v>
      </c>
      <c r="N53" s="47" t="n"/>
      <c r="O53" s="47" t="n">
        <v>200</v>
      </c>
      <c r="P53" s="47" t="n"/>
      <c r="Q53" s="47" t="n">
        <v>4400</v>
      </c>
      <c r="R53" s="43">
        <f>IF($B53="","",N($S53)-N($Q53))</f>
        <v/>
      </c>
      <c r="S53" s="43">
        <f>IF($B53="","",N($L53)+N($N53)+N($P53))</f>
        <v/>
      </c>
      <c r="T53" s="47" t="n"/>
      <c r="U53" s="47" t="n"/>
      <c r="V53" s="47" t="n"/>
      <c r="W53" s="47" t="n"/>
      <c r="X53" s="47" t="n"/>
      <c r="Y53" s="47" t="n"/>
      <c r="Z53" s="47" t="n"/>
      <c r="AA53" s="47" t="n"/>
      <c r="AB53" s="47" t="n"/>
      <c r="AC53" s="47" t="n"/>
      <c r="AD53" s="47" t="n"/>
      <c r="AE53" s="47" t="n"/>
      <c r="AF53" s="43">
        <f>IF($B53="","",SUM($T53:$AE53))</f>
        <v/>
      </c>
      <c r="AG53" s="43">
        <f>IF($B53="","",N($M53)-N($AF53))</f>
        <v/>
      </c>
      <c r="AH53" s="43">
        <f>IF($B53="","",N($L53)-N($AF53))</f>
        <v/>
      </c>
      <c r="AI53" s="149">
        <f>IF($B53="","",IF(N($L53)=0,"",(N($L53)-N($AF53))/N($L53)))</f>
        <v/>
      </c>
    </row>
    <row r="54">
      <c r="A54" s="39">
        <f>IF($B54="","",COUNTA($B$4:$B54))</f>
        <v/>
      </c>
      <c r="B54" s="40" t="n">
        <v>46034</v>
      </c>
      <c r="C54" s="41" t="n">
        <v>1914</v>
      </c>
      <c r="D54" s="41" t="inlineStr">
        <is>
          <t>المكتب</t>
        </is>
      </c>
      <c r="E54" s="41" t="inlineStr">
        <is>
          <t>1*40</t>
        </is>
      </c>
      <c r="F54" s="41" t="inlineStr">
        <is>
          <t>المستقبل</t>
        </is>
      </c>
      <c r="G54" s="41" t="inlineStr">
        <is>
          <t xml:space="preserve">الخطاطبة </t>
        </is>
      </c>
      <c r="H54" s="41" t="n"/>
      <c r="I54" s="41" t="inlineStr">
        <is>
          <t>س ع م 8737</t>
        </is>
      </c>
      <c r="J54" s="41" t="inlineStr">
        <is>
          <t>سامح عبدالحميد</t>
        </is>
      </c>
      <c r="K54" s="41" t="inlineStr">
        <is>
          <t>المكتب</t>
        </is>
      </c>
      <c r="L54" s="42" t="n">
        <v>11700</v>
      </c>
      <c r="M54" s="42" t="n">
        <v>5000</v>
      </c>
      <c r="N54" s="42" t="n"/>
      <c r="O54" s="42" t="n"/>
      <c r="P54" s="42" t="n"/>
      <c r="Q54" s="42" t="n">
        <v>6700</v>
      </c>
      <c r="R54" s="43">
        <f>IF($B54="","",N($S54)-N($Q54))</f>
        <v/>
      </c>
      <c r="S54" s="43">
        <f>IF($B54="","",N($L54)+N($N54)+N($P54))</f>
        <v/>
      </c>
      <c r="T54" s="42" t="n">
        <v>1400</v>
      </c>
      <c r="U54" s="42" t="n">
        <v>550</v>
      </c>
      <c r="V54" s="42" t="n"/>
      <c r="W54" s="42" t="n">
        <v>150</v>
      </c>
      <c r="X54" s="42" t="n">
        <v>65</v>
      </c>
      <c r="Y54" s="42" t="n">
        <v>60</v>
      </c>
      <c r="Z54" s="42" t="n"/>
      <c r="AA54" s="42" t="n"/>
      <c r="AB54" s="42" t="n"/>
      <c r="AC54" s="42" t="n">
        <v>100</v>
      </c>
      <c r="AD54" s="42" t="n"/>
      <c r="AE54" s="42" t="n">
        <v>2500</v>
      </c>
      <c r="AF54" s="43">
        <f>IF($B54="","",SUM($T54:$AE54))</f>
        <v/>
      </c>
      <c r="AG54" s="43">
        <f>IF($B54="","",N($M54)-N($AF54))</f>
        <v/>
      </c>
      <c r="AH54" s="43">
        <f>IF($B54="","",N($L54)-N($AF54))</f>
        <v/>
      </c>
      <c r="AI54" s="149">
        <f>IF($B54="","",IF(N($L54)=0,"",(N($L54)-N($AF54))/N($L54)))</f>
        <v/>
      </c>
    </row>
    <row r="55">
      <c r="A55" s="39">
        <f>IF($B55="","",COUNTA($B$4:$B55))</f>
        <v/>
      </c>
      <c r="B55" s="45" t="n">
        <v>46034</v>
      </c>
      <c r="C55" s="46" t="n">
        <v>1587</v>
      </c>
      <c r="D55" s="46" t="inlineStr">
        <is>
          <t>ايوب خ</t>
        </is>
      </c>
      <c r="E55" s="46" t="inlineStr">
        <is>
          <t>1*20</t>
        </is>
      </c>
      <c r="F55" s="46" t="inlineStr">
        <is>
          <t xml:space="preserve">الباز </t>
        </is>
      </c>
      <c r="G55" s="46" t="inlineStr">
        <is>
          <t xml:space="preserve">المنصورة </t>
        </is>
      </c>
      <c r="H55" s="46" t="inlineStr">
        <is>
          <t>680389/4</t>
        </is>
      </c>
      <c r="I55" s="46" t="inlineStr">
        <is>
          <t>ب ر ط 6478</t>
        </is>
      </c>
      <c r="J55" s="46" t="inlineStr">
        <is>
          <t xml:space="preserve">محمد اسماعيل </t>
        </is>
      </c>
      <c r="K55" s="46" t="inlineStr">
        <is>
          <t xml:space="preserve">ايوب </t>
        </is>
      </c>
      <c r="L55" s="47" t="n">
        <v>11000</v>
      </c>
      <c r="M55" s="47" t="n">
        <v>7100</v>
      </c>
      <c r="N55" s="47" t="n"/>
      <c r="O55" s="47" t="n">
        <v>200</v>
      </c>
      <c r="P55" s="47" t="n"/>
      <c r="Q55" s="47" t="n">
        <v>3700</v>
      </c>
      <c r="R55" s="43">
        <f>IF($B55="","",N($S55)-N($Q55))</f>
        <v/>
      </c>
      <c r="S55" s="43">
        <f>IF($B55="","",N($L55)+N($N55)+N($P55))</f>
        <v/>
      </c>
      <c r="T55" s="47" t="n"/>
      <c r="U55" s="47" t="n"/>
      <c r="V55" s="47" t="n"/>
      <c r="W55" s="47" t="n"/>
      <c r="X55" s="47" t="n"/>
      <c r="Y55" s="47" t="n"/>
      <c r="Z55" s="47" t="n"/>
      <c r="AA55" s="47" t="n"/>
      <c r="AB55" s="47" t="n"/>
      <c r="AC55" s="47" t="n"/>
      <c r="AD55" s="47" t="n"/>
      <c r="AE55" s="47" t="n"/>
      <c r="AF55" s="43">
        <f>IF($B55="","",SUM($T55:$AE55))</f>
        <v/>
      </c>
      <c r="AG55" s="43">
        <f>IF($B55="","",N($M55)-N($AF55))</f>
        <v/>
      </c>
      <c r="AH55" s="43">
        <f>IF($B55="","",N($L55)-N($AF55))</f>
        <v/>
      </c>
      <c r="AI55" s="149">
        <f>IF($B55="","",IF(N($L55)=0,"",(N($L55)-N($AF55))/N($L55)))</f>
        <v/>
      </c>
    </row>
    <row r="56">
      <c r="A56" s="39">
        <f>IF($B56="","",COUNTA($B$4:$B56))</f>
        <v/>
      </c>
      <c r="B56" s="40" t="n">
        <v>46034</v>
      </c>
      <c r="C56" s="41" t="n">
        <v>1588</v>
      </c>
      <c r="D56" s="41" t="inlineStr">
        <is>
          <t xml:space="preserve">حمودى </t>
        </is>
      </c>
      <c r="E56" s="41" t="inlineStr">
        <is>
          <t>1*20</t>
        </is>
      </c>
      <c r="F56" s="41" t="inlineStr">
        <is>
          <t>السويدي بوليمارز</t>
        </is>
      </c>
      <c r="G56" s="41" t="inlineStr">
        <is>
          <t>العاشر</t>
        </is>
      </c>
      <c r="H56" s="41" t="inlineStr">
        <is>
          <t>102451/5</t>
        </is>
      </c>
      <c r="I56" s="41" t="inlineStr">
        <is>
          <t>م را 6836</t>
        </is>
      </c>
      <c r="J56" s="41" t="inlineStr">
        <is>
          <t xml:space="preserve">ايمن جيتة </t>
        </is>
      </c>
      <c r="K56" s="41" t="inlineStr">
        <is>
          <t xml:space="preserve">ايمن جيدة </t>
        </is>
      </c>
      <c r="L56" s="42" t="n">
        <v>13000</v>
      </c>
      <c r="M56" s="42" t="n">
        <v>8100</v>
      </c>
      <c r="N56" s="42" t="n"/>
      <c r="O56" s="42" t="n">
        <v>200</v>
      </c>
      <c r="P56" s="42" t="n"/>
      <c r="Q56" s="42" t="n">
        <v>4700</v>
      </c>
      <c r="R56" s="43">
        <f>IF($B56="","",N($S56)-N($Q56))</f>
        <v/>
      </c>
      <c r="S56" s="43">
        <f>IF($B56="","",N($L56)+N($N56)+N($P56))</f>
        <v/>
      </c>
      <c r="T56" s="42" t="n"/>
      <c r="U56" s="42" t="n"/>
      <c r="V56" s="42" t="n"/>
      <c r="W56" s="42" t="n"/>
      <c r="X56" s="42" t="n"/>
      <c r="Y56" s="42" t="n"/>
      <c r="Z56" s="42" t="n"/>
      <c r="AA56" s="42" t="n"/>
      <c r="AB56" s="42" t="n"/>
      <c r="AC56" s="42" t="n"/>
      <c r="AD56" s="42" t="n"/>
      <c r="AE56" s="42" t="n"/>
      <c r="AF56" s="43">
        <f>IF($B56="","",SUM($T56:$AE56))</f>
        <v/>
      </c>
      <c r="AG56" s="43">
        <f>IF($B56="","",N($M56)-N($AF56))</f>
        <v/>
      </c>
      <c r="AH56" s="43">
        <f>IF($B56="","",N($L56)-N($AF56))</f>
        <v/>
      </c>
      <c r="AI56" s="149">
        <f>IF($B56="","",IF(N($L56)=0,"",(N($L56)-N($AF56))/N($L56)))</f>
        <v/>
      </c>
    </row>
    <row r="57">
      <c r="A57" s="39">
        <f>IF($B57="","",COUNTA($B$4:$B57))</f>
        <v/>
      </c>
      <c r="B57" s="45" t="n">
        <v>46034</v>
      </c>
      <c r="C57" s="46" t="n">
        <v>1623</v>
      </c>
      <c r="D57" s="46" t="inlineStr">
        <is>
          <t>احمد خطاب</t>
        </is>
      </c>
      <c r="E57" s="46" t="inlineStr">
        <is>
          <t>1*40</t>
        </is>
      </c>
      <c r="F57" s="46" t="inlineStr">
        <is>
          <t xml:space="preserve">نتس لاند </t>
        </is>
      </c>
      <c r="G57" s="46" t="inlineStr">
        <is>
          <t>بورسعيد</t>
        </is>
      </c>
      <c r="H57" s="46" t="inlineStr">
        <is>
          <t>844090/7</t>
        </is>
      </c>
      <c r="I57" s="46" t="inlineStr">
        <is>
          <t>ع رع 9485</t>
        </is>
      </c>
      <c r="J57" s="46" t="inlineStr">
        <is>
          <t xml:space="preserve">محمود ابو عيسى </t>
        </is>
      </c>
      <c r="K57" s="46" t="inlineStr">
        <is>
          <t xml:space="preserve">الليبر </t>
        </is>
      </c>
      <c r="L57" s="47" t="n">
        <v>20000</v>
      </c>
      <c r="M57" s="47" t="n">
        <v>10100</v>
      </c>
      <c r="N57" s="47" t="n"/>
      <c r="O57" s="47" t="n">
        <v>200</v>
      </c>
      <c r="P57" s="47" t="n"/>
      <c r="Q57" s="47" t="n">
        <v>9700</v>
      </c>
      <c r="R57" s="43">
        <f>IF($B57="","",N($S57)-N($Q57))</f>
        <v/>
      </c>
      <c r="S57" s="43">
        <f>IF($B57="","",N($L57)+N($N57)+N($P57))</f>
        <v/>
      </c>
      <c r="T57" s="47" t="n"/>
      <c r="U57" s="47" t="n"/>
      <c r="V57" s="47" t="n"/>
      <c r="W57" s="47" t="n"/>
      <c r="X57" s="47" t="n"/>
      <c r="Y57" s="47" t="n"/>
      <c r="Z57" s="47" t="n"/>
      <c r="AA57" s="47" t="n"/>
      <c r="AB57" s="47" t="n"/>
      <c r="AC57" s="47" t="n"/>
      <c r="AD57" s="47" t="n"/>
      <c r="AE57" s="47" t="n"/>
      <c r="AF57" s="43">
        <f>IF($B57="","",SUM($T57:$AE57))</f>
        <v/>
      </c>
      <c r="AG57" s="43">
        <f>IF($B57="","",N($M57)-N($AF57))</f>
        <v/>
      </c>
      <c r="AH57" s="43">
        <f>IF($B57="","",N($L57)-N($AF57))</f>
        <v/>
      </c>
      <c r="AI57" s="149">
        <f>IF($B57="","",IF(N($L57)=0,"",(N($L57)-N($AF57))/N($L57)))</f>
        <v/>
      </c>
    </row>
    <row r="58">
      <c r="A58" s="39">
        <f>IF($B58="","",COUNTA($B$4:$B58))</f>
        <v/>
      </c>
      <c r="B58" s="40" t="n">
        <v>46034</v>
      </c>
      <c r="C58" s="41" t="n">
        <v>1624</v>
      </c>
      <c r="D58" s="41" t="inlineStr">
        <is>
          <t>حاتم البحر  ق</t>
        </is>
      </c>
      <c r="E58" s="41" t="inlineStr">
        <is>
          <t>1*40</t>
        </is>
      </c>
      <c r="F58" s="41" t="inlineStr">
        <is>
          <t xml:space="preserve">نتس لاند </t>
        </is>
      </c>
      <c r="G58" s="41" t="inlineStr">
        <is>
          <t>بورسعيد</t>
        </is>
      </c>
      <c r="H58" s="41" t="inlineStr">
        <is>
          <t>4062361/1</t>
        </is>
      </c>
      <c r="I58" s="41" t="inlineStr">
        <is>
          <t>س د و 4584</t>
        </is>
      </c>
      <c r="J58" s="41" t="inlineStr">
        <is>
          <t xml:space="preserve">محمد مصطفى </t>
        </is>
      </c>
      <c r="K58" s="41" t="inlineStr">
        <is>
          <t>غزال</t>
        </is>
      </c>
      <c r="L58" s="42" t="n">
        <v>21000</v>
      </c>
      <c r="M58" s="42" t="n">
        <v>10100</v>
      </c>
      <c r="N58" s="42" t="n"/>
      <c r="O58" s="42" t="n">
        <v>200</v>
      </c>
      <c r="P58" s="42" t="n"/>
      <c r="Q58" s="42" t="n">
        <v>10700</v>
      </c>
      <c r="R58" s="43">
        <f>IF($B58="","",N($S58)-N($Q58))</f>
        <v/>
      </c>
      <c r="S58" s="43">
        <f>IF($B58="","",N($L58)+N($N58)+N($P58))</f>
        <v/>
      </c>
      <c r="T58" s="42" t="n"/>
      <c r="U58" s="42" t="n"/>
      <c r="V58" s="42" t="n"/>
      <c r="W58" s="42" t="n"/>
      <c r="X58" s="42" t="n"/>
      <c r="Y58" s="42" t="n"/>
      <c r="Z58" s="42" t="n"/>
      <c r="AA58" s="42" t="n"/>
      <c r="AB58" s="42" t="n"/>
      <c r="AC58" s="42" t="n"/>
      <c r="AD58" s="42" t="n"/>
      <c r="AE58" s="42" t="n"/>
      <c r="AF58" s="43">
        <f>IF($B58="","",SUM($T58:$AE58))</f>
        <v/>
      </c>
      <c r="AG58" s="43">
        <f>IF($B58="","",N($M58)-N($AF58))</f>
        <v/>
      </c>
      <c r="AH58" s="43">
        <f>IF($B58="","",N($L58)-N($AF58))</f>
        <v/>
      </c>
      <c r="AI58" s="149">
        <f>IF($B58="","",IF(N($L58)=0,"",(N($L58)-N($AF58))/N($L58)))</f>
        <v/>
      </c>
    </row>
    <row r="59">
      <c r="A59" s="39">
        <f>IF($B59="","",COUNTA($B$4:$B59))</f>
        <v/>
      </c>
      <c r="B59" s="45" t="n">
        <v>46034</v>
      </c>
      <c r="C59" s="46" t="n">
        <v>1625</v>
      </c>
      <c r="D59" s="46" t="inlineStr">
        <is>
          <t xml:space="preserve">احمد محسن </t>
        </is>
      </c>
      <c r="E59" s="46" t="inlineStr">
        <is>
          <t>1*40</t>
        </is>
      </c>
      <c r="F59" s="46" t="inlineStr">
        <is>
          <t>الملكة والامير</t>
        </is>
      </c>
      <c r="G59" s="46" t="inlineStr">
        <is>
          <t xml:space="preserve">م دينا </t>
        </is>
      </c>
      <c r="H59" s="46" t="inlineStr">
        <is>
          <t>843572/9</t>
        </is>
      </c>
      <c r="I59" s="46" t="inlineStr">
        <is>
          <t>س ع ا 7219</t>
        </is>
      </c>
      <c r="J59" s="46" t="inlineStr">
        <is>
          <t xml:space="preserve">طلعت محمد </t>
        </is>
      </c>
      <c r="K59" s="46" t="inlineStr">
        <is>
          <t xml:space="preserve">احمد محسن </t>
        </is>
      </c>
      <c r="L59" s="47" t="n">
        <v>11700</v>
      </c>
      <c r="M59" s="47" t="n">
        <v>7100</v>
      </c>
      <c r="N59" s="47" t="n"/>
      <c r="O59" s="47" t="n">
        <v>200</v>
      </c>
      <c r="P59" s="47" t="n"/>
      <c r="Q59" s="47" t="n">
        <v>4400</v>
      </c>
      <c r="R59" s="43">
        <f>IF($B59="","",N($S59)-N($Q59))</f>
        <v/>
      </c>
      <c r="S59" s="43">
        <f>IF($B59="","",N($L59)+N($N59)+N($P59))</f>
        <v/>
      </c>
      <c r="T59" s="47" t="n"/>
      <c r="U59" s="47" t="n"/>
      <c r="V59" s="47" t="n"/>
      <c r="W59" s="47" t="n"/>
      <c r="X59" s="47" t="n"/>
      <c r="Y59" s="47" t="n"/>
      <c r="Z59" s="47" t="n"/>
      <c r="AA59" s="47" t="n"/>
      <c r="AB59" s="47" t="n"/>
      <c r="AC59" s="47" t="n"/>
      <c r="AD59" s="47" t="n"/>
      <c r="AE59" s="47" t="n"/>
      <c r="AF59" s="43">
        <f>IF($B59="","",SUM($T59:$AE59))</f>
        <v/>
      </c>
      <c r="AG59" s="43">
        <f>IF($B59="","",N($M59)-N($AF59))</f>
        <v/>
      </c>
      <c r="AH59" s="43">
        <f>IF($B59="","",N($L59)-N($AF59))</f>
        <v/>
      </c>
      <c r="AI59" s="149">
        <f>IF($B59="","",IF(N($L59)=0,"",(N($L59)-N($AF59))/N($L59)))</f>
        <v/>
      </c>
    </row>
    <row r="60">
      <c r="A60" s="39">
        <f>IF($B60="","",COUNTA($B$4:$B60))</f>
        <v/>
      </c>
      <c r="B60" s="40" t="n">
        <v>46034</v>
      </c>
      <c r="C60" s="41" t="n">
        <v>1626</v>
      </c>
      <c r="D60" s="41" t="inlineStr">
        <is>
          <t>حمادة ذكى</t>
        </is>
      </c>
      <c r="E60" s="41" t="inlineStr">
        <is>
          <t>1*40</t>
        </is>
      </c>
      <c r="F60" s="41" t="inlineStr">
        <is>
          <t>الملكة والامير</t>
        </is>
      </c>
      <c r="G60" s="41" t="inlineStr">
        <is>
          <t xml:space="preserve">م دينا </t>
        </is>
      </c>
      <c r="H60" s="41" t="inlineStr">
        <is>
          <t>770564/9</t>
        </is>
      </c>
      <c r="I60" s="41" t="inlineStr">
        <is>
          <t>س ى ه 9473</t>
        </is>
      </c>
      <c r="J60" s="41" t="inlineStr">
        <is>
          <t xml:space="preserve">عبد الحميد </t>
        </is>
      </c>
      <c r="K60" s="41" t="inlineStr">
        <is>
          <t xml:space="preserve">حمادة ذكى </t>
        </is>
      </c>
      <c r="L60" s="42" t="n">
        <v>11700</v>
      </c>
      <c r="M60" s="42" t="n">
        <v>7100</v>
      </c>
      <c r="N60" s="42" t="n"/>
      <c r="O60" s="42" t="n">
        <v>200</v>
      </c>
      <c r="P60" s="42" t="n"/>
      <c r="Q60" s="42" t="n">
        <v>4400</v>
      </c>
      <c r="R60" s="43">
        <f>IF($B60="","",N($S60)-N($Q60))</f>
        <v/>
      </c>
      <c r="S60" s="43">
        <f>IF($B60="","",N($L60)+N($N60)+N($P60))</f>
        <v/>
      </c>
      <c r="T60" s="42" t="n"/>
      <c r="U60" s="42" t="n"/>
      <c r="V60" s="42" t="n"/>
      <c r="W60" s="42" t="n"/>
      <c r="X60" s="42" t="n"/>
      <c r="Y60" s="42" t="n"/>
      <c r="Z60" s="42" t="n"/>
      <c r="AA60" s="42" t="n"/>
      <c r="AB60" s="42" t="n"/>
      <c r="AC60" s="42" t="n"/>
      <c r="AD60" s="42" t="n"/>
      <c r="AE60" s="42" t="n"/>
      <c r="AF60" s="43">
        <f>IF($B60="","",SUM($T60:$AE60))</f>
        <v/>
      </c>
      <c r="AG60" s="43">
        <f>IF($B60="","",N($M60)-N($AF60))</f>
        <v/>
      </c>
      <c r="AH60" s="43">
        <f>IF($B60="","",N($L60)-N($AF60))</f>
        <v/>
      </c>
      <c r="AI60" s="149">
        <f>IF($B60="","",IF(N($L60)=0,"",(N($L60)-N($AF60))/N($L60)))</f>
        <v/>
      </c>
    </row>
    <row r="61">
      <c r="A61" s="39">
        <f>IF($B61="","",COUNTA($B$4:$B61))</f>
        <v/>
      </c>
      <c r="B61" s="45" t="n">
        <v>46034</v>
      </c>
      <c r="C61" s="46" t="n"/>
      <c r="D61" s="46" t="inlineStr">
        <is>
          <t xml:space="preserve">حمو مرزوق </t>
        </is>
      </c>
      <c r="E61" s="46" t="inlineStr">
        <is>
          <t>1*40</t>
        </is>
      </c>
      <c r="F61" s="46" t="inlineStr">
        <is>
          <t>الملكة والامير</t>
        </is>
      </c>
      <c r="G61" s="46" t="inlineStr">
        <is>
          <t xml:space="preserve">الخطاطبة </t>
        </is>
      </c>
      <c r="H61" s="46" t="inlineStr">
        <is>
          <t>670402/0</t>
        </is>
      </c>
      <c r="I61" s="46" t="inlineStr">
        <is>
          <t>س ر ا 6671</t>
        </is>
      </c>
      <c r="J61" s="46" t="inlineStr">
        <is>
          <t xml:space="preserve">السيد بدوى </t>
        </is>
      </c>
      <c r="K61" s="46" t="inlineStr">
        <is>
          <t xml:space="preserve">حمو مرزوق </t>
        </is>
      </c>
      <c r="L61" s="47" t="n">
        <v>11700</v>
      </c>
      <c r="M61" s="47" t="n">
        <v>7100</v>
      </c>
      <c r="N61" s="47" t="n"/>
      <c r="O61" s="47" t="n">
        <v>200</v>
      </c>
      <c r="P61" s="47" t="n"/>
      <c r="Q61" s="47" t="n">
        <v>4400</v>
      </c>
      <c r="R61" s="43">
        <f>IF($B61="","",N($S61)-N($Q61))</f>
        <v/>
      </c>
      <c r="S61" s="43">
        <f>IF($B61="","",N($L61)+N($N61)+N($P61))</f>
        <v/>
      </c>
      <c r="T61" s="47" t="n"/>
      <c r="U61" s="47" t="n"/>
      <c r="V61" s="47" t="n"/>
      <c r="W61" s="47" t="n"/>
      <c r="X61" s="47" t="n"/>
      <c r="Y61" s="47" t="n"/>
      <c r="Z61" s="47" t="n"/>
      <c r="AA61" s="47" t="n"/>
      <c r="AB61" s="47" t="n"/>
      <c r="AC61" s="47" t="n"/>
      <c r="AD61" s="47" t="n"/>
      <c r="AE61" s="47" t="n"/>
      <c r="AF61" s="43">
        <f>IF($B61="","",SUM($T61:$AE61))</f>
        <v/>
      </c>
      <c r="AG61" s="43">
        <f>IF($B61="","",N($M61)-N($AF61))</f>
        <v/>
      </c>
      <c r="AH61" s="43">
        <f>IF($B61="","",N($L61)-N($AF61))</f>
        <v/>
      </c>
      <c r="AI61" s="149">
        <f>IF($B61="","",IF(N($L61)=0,"",(N($L61)-N($AF61))/N($L61)))</f>
        <v/>
      </c>
    </row>
    <row r="62">
      <c r="A62" s="39">
        <f>IF($B62="","",COUNTA($B$4:$B62))</f>
        <v/>
      </c>
      <c r="B62" s="40" t="n">
        <v>46034</v>
      </c>
      <c r="C62" s="41" t="n">
        <v>1628</v>
      </c>
      <c r="D62" s="41" t="inlineStr">
        <is>
          <t xml:space="preserve">ابو مينا </t>
        </is>
      </c>
      <c r="E62" s="41" t="inlineStr">
        <is>
          <t>1*40</t>
        </is>
      </c>
      <c r="F62" s="41" t="inlineStr">
        <is>
          <t>الملكة والامير</t>
        </is>
      </c>
      <c r="G62" s="41" t="inlineStr">
        <is>
          <t xml:space="preserve">م دينا </t>
        </is>
      </c>
      <c r="H62" s="41" t="inlineStr">
        <is>
          <t>420193/0</t>
        </is>
      </c>
      <c r="I62" s="41" t="inlineStr">
        <is>
          <t>س ى ه 7938</t>
        </is>
      </c>
      <c r="J62" s="41" t="inlineStr">
        <is>
          <t xml:space="preserve">محمد محمود </t>
        </is>
      </c>
      <c r="K62" s="41" t="inlineStr">
        <is>
          <t xml:space="preserve">ايو مينا </t>
        </is>
      </c>
      <c r="L62" s="42" t="n">
        <v>11700</v>
      </c>
      <c r="M62" s="42" t="n">
        <v>7100</v>
      </c>
      <c r="N62" s="42" t="n"/>
      <c r="O62" s="42" t="n">
        <v>200</v>
      </c>
      <c r="P62" s="42" t="n"/>
      <c r="Q62" s="42" t="n">
        <v>4400</v>
      </c>
      <c r="R62" s="43">
        <f>IF($B62="","",N($S62)-N($Q62))</f>
        <v/>
      </c>
      <c r="S62" s="43">
        <f>IF($B62="","",N($L62)+N($N62)+N($P62))</f>
        <v/>
      </c>
      <c r="T62" s="42" t="n"/>
      <c r="U62" s="42" t="n"/>
      <c r="V62" s="42" t="n"/>
      <c r="W62" s="42" t="n"/>
      <c r="X62" s="42" t="n"/>
      <c r="Y62" s="42" t="n"/>
      <c r="Z62" s="42" t="n"/>
      <c r="AA62" s="42" t="n"/>
      <c r="AB62" s="42" t="n"/>
      <c r="AC62" s="42" t="n"/>
      <c r="AD62" s="42" t="n"/>
      <c r="AE62" s="42" t="n"/>
      <c r="AF62" s="43">
        <f>IF($B62="","",SUM($T62:$AE62))</f>
        <v/>
      </c>
      <c r="AG62" s="43">
        <f>IF($B62="","",N($M62)-N($AF62))</f>
        <v/>
      </c>
      <c r="AH62" s="43">
        <f>IF($B62="","",N($L62)-N($AF62))</f>
        <v/>
      </c>
      <c r="AI62" s="149">
        <f>IF($B62="","",IF(N($L62)=0,"",(N($L62)-N($AF62))/N($L62)))</f>
        <v/>
      </c>
    </row>
    <row r="63">
      <c r="A63" s="39">
        <f>IF($B63="","",COUNTA($B$4:$B63))</f>
        <v/>
      </c>
      <c r="B63" s="45" t="n">
        <v>46034</v>
      </c>
      <c r="C63" s="46" t="n">
        <v>1622</v>
      </c>
      <c r="D63" s="46" t="inlineStr">
        <is>
          <t>كمال رزق خ</t>
        </is>
      </c>
      <c r="E63" s="46" t="inlineStr">
        <is>
          <t>1*40</t>
        </is>
      </c>
      <c r="F63" s="46" t="inlineStr">
        <is>
          <t>تايجل انوفيشن</t>
        </is>
      </c>
      <c r="G63" s="46" t="inlineStr">
        <is>
          <t xml:space="preserve">السادات </t>
        </is>
      </c>
      <c r="H63" s="46" t="inlineStr">
        <is>
          <t>402023/3</t>
        </is>
      </c>
      <c r="I63" s="46" t="inlineStr">
        <is>
          <t>س ف ب 7458</t>
        </is>
      </c>
      <c r="J63" s="46" t="inlineStr">
        <is>
          <t xml:space="preserve">بسام محمد </t>
        </is>
      </c>
      <c r="K63" s="46" t="inlineStr">
        <is>
          <t>ابو طالب</t>
        </is>
      </c>
      <c r="L63" s="47" t="n">
        <v>11700</v>
      </c>
      <c r="M63" s="47" t="n">
        <v>7100</v>
      </c>
      <c r="N63" s="47" t="n"/>
      <c r="O63" s="47" t="n">
        <v>200</v>
      </c>
      <c r="P63" s="47" t="n"/>
      <c r="Q63" s="47" t="n">
        <v>4400</v>
      </c>
      <c r="R63" s="43">
        <f>IF($B63="","",N($S63)-N($Q63))</f>
        <v/>
      </c>
      <c r="S63" s="43">
        <f>IF($B63="","",N($L63)+N($N63)+N($P63))</f>
        <v/>
      </c>
      <c r="T63" s="47" t="n"/>
      <c r="U63" s="47" t="n"/>
      <c r="V63" s="47" t="n"/>
      <c r="W63" s="47" t="n"/>
      <c r="X63" s="47" t="n"/>
      <c r="Y63" s="47" t="n"/>
      <c r="Z63" s="47" t="n"/>
      <c r="AA63" s="47" t="n"/>
      <c r="AB63" s="47" t="n"/>
      <c r="AC63" s="47" t="n"/>
      <c r="AD63" s="47" t="n"/>
      <c r="AE63" s="47" t="n"/>
      <c r="AF63" s="43">
        <f>IF($B63="","",SUM($T63:$AE63))</f>
        <v/>
      </c>
      <c r="AG63" s="43">
        <f>IF($B63="","",N($M63)-N($AF63))</f>
        <v/>
      </c>
      <c r="AH63" s="43">
        <f>IF($B63="","",N($L63)-N($AF63))</f>
        <v/>
      </c>
      <c r="AI63" s="149">
        <f>IF($B63="","",IF(N($L63)=0,"",(N($L63)-N($AF63))/N($L63)))</f>
        <v/>
      </c>
    </row>
    <row r="64">
      <c r="A64" s="39">
        <f>IF($B64="","",COUNTA($B$4:$B64))</f>
        <v/>
      </c>
      <c r="B64" s="40" t="n">
        <v>46035</v>
      </c>
      <c r="C64" s="41" t="n">
        <v>1978</v>
      </c>
      <c r="D64" s="41" t="inlineStr">
        <is>
          <t>كمال رزق خ</t>
        </is>
      </c>
      <c r="E64" s="41" t="inlineStr">
        <is>
          <t>1*40</t>
        </is>
      </c>
      <c r="F64" s="41" t="inlineStr">
        <is>
          <t xml:space="preserve">قرى ضم </t>
        </is>
      </c>
      <c r="G64" s="41" t="inlineStr">
        <is>
          <t>بور سعيد منطقه حره</t>
        </is>
      </c>
      <c r="H64" s="41" t="inlineStr">
        <is>
          <t>509272/1</t>
        </is>
      </c>
      <c r="I64" s="41" t="inlineStr">
        <is>
          <t>س ف ب 7458</t>
        </is>
      </c>
      <c r="J64" s="41" t="inlineStr">
        <is>
          <t xml:space="preserve">بسام محمد </t>
        </is>
      </c>
      <c r="K64" s="41" t="inlineStr">
        <is>
          <t xml:space="preserve">الرامبو </t>
        </is>
      </c>
      <c r="L64" s="42" t="n">
        <v>14500</v>
      </c>
      <c r="M64" s="42" t="n">
        <v>8100</v>
      </c>
      <c r="N64" s="42" t="n"/>
      <c r="O64" s="42" t="n">
        <v>200</v>
      </c>
      <c r="P64" s="42" t="n"/>
      <c r="Q64" s="42" t="n">
        <v>6200</v>
      </c>
      <c r="R64" s="43">
        <f>IF($B64="","",N($S64)-N($Q64))</f>
        <v/>
      </c>
      <c r="S64" s="43">
        <f>IF($B64="","",N($L64)+N($N64)+N($P64))</f>
        <v/>
      </c>
      <c r="T64" s="42" t="n"/>
      <c r="U64" s="42" t="n"/>
      <c r="V64" s="42" t="n"/>
      <c r="W64" s="42" t="n"/>
      <c r="X64" s="42" t="n"/>
      <c r="Y64" s="42" t="n"/>
      <c r="Z64" s="42" t="n"/>
      <c r="AA64" s="42" t="n"/>
      <c r="AB64" s="42" t="n"/>
      <c r="AC64" s="42" t="n"/>
      <c r="AD64" s="42" t="n"/>
      <c r="AE64" s="42" t="n"/>
      <c r="AF64" s="43">
        <f>IF($B64="","",SUM($T64:$AE64))</f>
        <v/>
      </c>
      <c r="AG64" s="43">
        <f>IF($B64="","",N($M64)-N($AF64))</f>
        <v/>
      </c>
      <c r="AH64" s="43">
        <f>IF($B64="","",N($L64)-N($AF64))</f>
        <v/>
      </c>
      <c r="AI64" s="149">
        <f>IF($B64="","",IF(N($L64)=0,"",(N($L64)-N($AF64))/N($L64)))</f>
        <v/>
      </c>
    </row>
    <row r="65">
      <c r="A65" s="39">
        <f>IF($B65="","",COUNTA($B$4:$B65))</f>
        <v/>
      </c>
      <c r="B65" s="45" t="n">
        <v>46035</v>
      </c>
      <c r="C65" s="46" t="n">
        <v>1977</v>
      </c>
      <c r="D65" s="46" t="inlineStr">
        <is>
          <t xml:space="preserve">احمد محسن </t>
        </is>
      </c>
      <c r="E65" s="46" t="inlineStr">
        <is>
          <t>1*40</t>
        </is>
      </c>
      <c r="F65" s="46" t="inlineStr">
        <is>
          <t xml:space="preserve">فرى ضم </t>
        </is>
      </c>
      <c r="G65" s="46" t="inlineStr">
        <is>
          <t>بورسعيد</t>
        </is>
      </c>
      <c r="H65" s="46" t="inlineStr">
        <is>
          <t>511266/4</t>
        </is>
      </c>
      <c r="I65" s="46" t="inlineStr">
        <is>
          <t>س ه ف1387</t>
        </is>
      </c>
      <c r="J65" s="46" t="inlineStr">
        <is>
          <t xml:space="preserve">محمد خميس </t>
        </is>
      </c>
      <c r="K65" s="46" t="inlineStr">
        <is>
          <t xml:space="preserve">احمد محسن </t>
        </is>
      </c>
      <c r="L65" s="47" t="n">
        <v>14500</v>
      </c>
      <c r="M65" s="47" t="n">
        <v>8100</v>
      </c>
      <c r="N65" s="47" t="n"/>
      <c r="O65" s="47" t="n">
        <v>200</v>
      </c>
      <c r="P65" s="47" t="n">
        <v>2500</v>
      </c>
      <c r="Q65" s="47" t="n">
        <v>8700</v>
      </c>
      <c r="R65" s="43">
        <f>IF($B65="","",N($S65)-N($Q65))</f>
        <v/>
      </c>
      <c r="S65" s="43">
        <f>IF($B65="","",N($L65)+N($N65)+N($P65))</f>
        <v/>
      </c>
      <c r="T65" s="47" t="n"/>
      <c r="U65" s="47" t="n"/>
      <c r="V65" s="47" t="n"/>
      <c r="W65" s="47" t="n"/>
      <c r="X65" s="47" t="n"/>
      <c r="Y65" s="47" t="n"/>
      <c r="Z65" s="47" t="n"/>
      <c r="AA65" s="47" t="n"/>
      <c r="AB65" s="47" t="n"/>
      <c r="AC65" s="47" t="n"/>
      <c r="AD65" s="47" t="n"/>
      <c r="AE65" s="47" t="n"/>
      <c r="AF65" s="43">
        <f>IF($B65="","",SUM($T65:$AE65))</f>
        <v/>
      </c>
      <c r="AG65" s="43">
        <f>IF($B65="","",N($M65)-N($AF65))</f>
        <v/>
      </c>
      <c r="AH65" s="43">
        <f>IF($B65="","",N($L65)-N($AF65))</f>
        <v/>
      </c>
      <c r="AI65" s="149">
        <f>IF($B65="","",IF(N($L65)=0,"",(N($L65)-N($AF65))/N($L65)))</f>
        <v/>
      </c>
    </row>
    <row r="66">
      <c r="A66" s="39">
        <f>IF($B66="","",COUNTA($B$4:$B66))</f>
        <v/>
      </c>
      <c r="B66" s="40" t="n">
        <v>46035</v>
      </c>
      <c r="C66" s="41" t="n">
        <v>1985</v>
      </c>
      <c r="D66" s="41" t="inlineStr">
        <is>
          <t>ايوب خ</t>
        </is>
      </c>
      <c r="E66" s="41" t="inlineStr">
        <is>
          <t>1*20</t>
        </is>
      </c>
      <c r="F66" s="41" t="inlineStr">
        <is>
          <t xml:space="preserve">فرى ضم </t>
        </is>
      </c>
      <c r="G66" s="41" t="inlineStr">
        <is>
          <t>بورسعيد</t>
        </is>
      </c>
      <c r="H66" s="41" t="inlineStr">
        <is>
          <t>360535/8</t>
        </is>
      </c>
      <c r="I66" s="41" t="inlineStr">
        <is>
          <t>ب د ن 5863</t>
        </is>
      </c>
      <c r="J66" s="41" t="inlineStr">
        <is>
          <t xml:space="preserve">احمد السعيد </t>
        </is>
      </c>
      <c r="K66" s="41" t="inlineStr">
        <is>
          <t xml:space="preserve">ايوب </t>
        </is>
      </c>
      <c r="L66" s="42" t="n">
        <v>12000</v>
      </c>
      <c r="M66" s="42" t="n">
        <v>7100</v>
      </c>
      <c r="N66" s="42" t="n"/>
      <c r="O66" s="42" t="n">
        <v>200</v>
      </c>
      <c r="P66" s="42" t="n"/>
      <c r="Q66" s="42" t="n">
        <v>4700</v>
      </c>
      <c r="R66" s="43">
        <f>IF($B66="","",N($S66)-N($Q66))</f>
        <v/>
      </c>
      <c r="S66" s="43">
        <f>IF($B66="","",N($L66)+N($N66)+N($P66))</f>
        <v/>
      </c>
      <c r="T66" s="42" t="n"/>
      <c r="U66" s="42" t="n"/>
      <c r="V66" s="42" t="n"/>
      <c r="W66" s="42" t="n"/>
      <c r="X66" s="42" t="n"/>
      <c r="Y66" s="42" t="n"/>
      <c r="Z66" s="42" t="n"/>
      <c r="AA66" s="42" t="n"/>
      <c r="AB66" s="42" t="n"/>
      <c r="AC66" s="42" t="n"/>
      <c r="AD66" s="42" t="n"/>
      <c r="AE66" s="42" t="n"/>
      <c r="AF66" s="43">
        <f>IF($B66="","",SUM($T66:$AE66))</f>
        <v/>
      </c>
      <c r="AG66" s="43">
        <f>IF($B66="","",N($M66)-N($AF66))</f>
        <v/>
      </c>
      <c r="AH66" s="43">
        <f>IF($B66="","",N($L66)-N($AF66))</f>
        <v/>
      </c>
      <c r="AI66" s="149">
        <f>IF($B66="","",IF(N($L66)=0,"",(N($L66)-N($AF66))/N($L66)))</f>
        <v/>
      </c>
    </row>
    <row r="67">
      <c r="A67" s="39">
        <f>IF($B67="","",COUNTA($B$4:$B67))</f>
        <v/>
      </c>
      <c r="B67" s="45" t="n">
        <v>46035</v>
      </c>
      <c r="C67" s="46" t="n">
        <v>1979</v>
      </c>
      <c r="D67" s="46" t="inlineStr">
        <is>
          <t>حاتم البحر  ق</t>
        </is>
      </c>
      <c r="E67" s="46" t="inlineStr">
        <is>
          <t>1*40</t>
        </is>
      </c>
      <c r="F67" s="46" t="inlineStr">
        <is>
          <t xml:space="preserve">صعيد مصر </t>
        </is>
      </c>
      <c r="G67" s="46" t="inlineStr">
        <is>
          <t>بنى سويف</t>
        </is>
      </c>
      <c r="H67" s="46" t="inlineStr">
        <is>
          <t>879966/6</t>
        </is>
      </c>
      <c r="I67" s="46" t="inlineStr">
        <is>
          <t>س م ى 4213</t>
        </is>
      </c>
      <c r="J67" s="46" t="inlineStr">
        <is>
          <t>عبد الله غزال</t>
        </is>
      </c>
      <c r="K67" s="46" t="inlineStr">
        <is>
          <t xml:space="preserve">غزال </t>
        </is>
      </c>
      <c r="L67" s="47" t="n">
        <v>18500</v>
      </c>
      <c r="M67" s="47" t="n">
        <v>9100</v>
      </c>
      <c r="N67" s="47" t="n"/>
      <c r="O67" s="47" t="n">
        <v>200</v>
      </c>
      <c r="P67" s="47" t="n"/>
      <c r="Q67" s="47" t="n">
        <v>9200</v>
      </c>
      <c r="R67" s="43">
        <f>IF($B67="","",N($S67)-N($Q67))</f>
        <v/>
      </c>
      <c r="S67" s="43">
        <f>IF($B67="","",N($L67)+N($N67)+N($P67))</f>
        <v/>
      </c>
      <c r="T67" s="47" t="n"/>
      <c r="U67" s="47" t="n"/>
      <c r="V67" s="47" t="n"/>
      <c r="W67" s="47" t="n"/>
      <c r="X67" s="47" t="n"/>
      <c r="Y67" s="47" t="n"/>
      <c r="Z67" s="47" t="n"/>
      <c r="AA67" s="47" t="n"/>
      <c r="AB67" s="47" t="n"/>
      <c r="AC67" s="47" t="n"/>
      <c r="AD67" s="47" t="n"/>
      <c r="AE67" s="47" t="n"/>
      <c r="AF67" s="43">
        <f>IF($B67="","",SUM($T67:$AE67))</f>
        <v/>
      </c>
      <c r="AG67" s="43">
        <f>IF($B67="","",N($M67)-N($AF67))</f>
        <v/>
      </c>
      <c r="AH67" s="43">
        <f>IF($B67="","",N($L67)-N($AF67))</f>
        <v/>
      </c>
      <c r="AI67" s="149">
        <f>IF($B67="","",IF(N($L67)=0,"",(N($L67)-N($AF67))/N($L67)))</f>
        <v/>
      </c>
    </row>
    <row r="68">
      <c r="A68" s="39">
        <f>IF($B68="","",COUNTA($B$4:$B68))</f>
        <v/>
      </c>
      <c r="B68" s="40" t="n">
        <v>46035</v>
      </c>
      <c r="C68" s="41" t="n">
        <v>1591</v>
      </c>
      <c r="D68" s="41" t="inlineStr">
        <is>
          <t>صعيدى 1خ</t>
        </is>
      </c>
      <c r="E68" s="41" t="inlineStr">
        <is>
          <t>1*40</t>
        </is>
      </c>
      <c r="F68" s="41" t="inlineStr">
        <is>
          <t xml:space="preserve">الاكرامى </t>
        </is>
      </c>
      <c r="G68" s="41" t="inlineStr">
        <is>
          <t xml:space="preserve">العاشر </t>
        </is>
      </c>
      <c r="H68" s="41" t="inlineStr">
        <is>
          <t>400403/7</t>
        </is>
      </c>
      <c r="I68" s="41" t="inlineStr">
        <is>
          <t>س ل ج 2521</t>
        </is>
      </c>
      <c r="J68" s="41" t="inlineStr">
        <is>
          <t xml:space="preserve">احمد جمال </t>
        </is>
      </c>
      <c r="K68" s="41" t="inlineStr">
        <is>
          <t xml:space="preserve">محمد الصعيدى </t>
        </is>
      </c>
      <c r="L68" s="42" t="n">
        <v>14500</v>
      </c>
      <c r="M68" s="42" t="n">
        <v>7100</v>
      </c>
      <c r="N68" s="42" t="n"/>
      <c r="O68" s="42" t="n">
        <v>200</v>
      </c>
      <c r="P68" s="42" t="n"/>
      <c r="Q68" s="42" t="n">
        <v>7200</v>
      </c>
      <c r="R68" s="43">
        <f>IF($B68="","",N($S68)-N($Q68))</f>
        <v/>
      </c>
      <c r="S68" s="43">
        <f>IF($B68="","",N($L68)+N($N68)+N($P68))</f>
        <v/>
      </c>
      <c r="T68" s="42" t="n"/>
      <c r="U68" s="42" t="n"/>
      <c r="V68" s="42" t="n"/>
      <c r="W68" s="42" t="n"/>
      <c r="X68" s="42" t="n"/>
      <c r="Y68" s="42" t="n"/>
      <c r="Z68" s="42" t="n"/>
      <c r="AA68" s="42" t="n"/>
      <c r="AB68" s="42" t="n"/>
      <c r="AC68" s="42" t="n"/>
      <c r="AD68" s="42" t="n"/>
      <c r="AE68" s="42" t="n"/>
      <c r="AF68" s="43">
        <f>IF($B68="","",SUM($T68:$AE68))</f>
        <v/>
      </c>
      <c r="AG68" s="43">
        <f>IF($B68="","",N($M68)-N($AF68))</f>
        <v/>
      </c>
      <c r="AH68" s="43">
        <f>IF($B68="","",N($L68)-N($AF68))</f>
        <v/>
      </c>
      <c r="AI68" s="149">
        <f>IF($B68="","",IF(N($L68)=0,"",(N($L68)-N($AF68))/N($L68)))</f>
        <v/>
      </c>
    </row>
    <row r="69">
      <c r="A69" s="39">
        <f>IF($B69="","",COUNTA($B$4:$B69))</f>
        <v/>
      </c>
      <c r="B69" s="45" t="n">
        <v>46035</v>
      </c>
      <c r="C69" s="46" t="n">
        <v>1592</v>
      </c>
      <c r="D69" s="46" t="inlineStr">
        <is>
          <t>صعيدى 1خ</t>
        </is>
      </c>
      <c r="E69" s="46" t="inlineStr">
        <is>
          <t>1*40</t>
        </is>
      </c>
      <c r="F69" s="46" t="inlineStr">
        <is>
          <t xml:space="preserve">الاكرامى </t>
        </is>
      </c>
      <c r="G69" s="46" t="inlineStr">
        <is>
          <t xml:space="preserve">العاشر </t>
        </is>
      </c>
      <c r="H69" s="46" t="inlineStr">
        <is>
          <t>400777/7</t>
        </is>
      </c>
      <c r="I69" s="46" t="inlineStr">
        <is>
          <t>س ه ف 1874</t>
        </is>
      </c>
      <c r="J69" s="46" t="inlineStr">
        <is>
          <t xml:space="preserve">هانى عزت </t>
        </is>
      </c>
      <c r="K69" s="46" t="inlineStr">
        <is>
          <t xml:space="preserve">محمد الصعيدى </t>
        </is>
      </c>
      <c r="L69" s="47" t="n">
        <v>14500</v>
      </c>
      <c r="M69" s="47" t="n">
        <v>7100</v>
      </c>
      <c r="N69" s="47" t="n"/>
      <c r="O69" s="47" t="n">
        <v>200</v>
      </c>
      <c r="P69" s="47" t="n"/>
      <c r="Q69" s="47" t="n">
        <v>7200</v>
      </c>
      <c r="R69" s="43">
        <f>IF($B69="","",N($S69)-N($Q69))</f>
        <v/>
      </c>
      <c r="S69" s="43">
        <f>IF($B69="","",N($L69)+N($N69)+N($P69))</f>
        <v/>
      </c>
      <c r="T69" s="47" t="n"/>
      <c r="U69" s="47" t="n"/>
      <c r="V69" s="47" t="n"/>
      <c r="W69" s="47" t="n"/>
      <c r="X69" s="47" t="n"/>
      <c r="Y69" s="47" t="n"/>
      <c r="Z69" s="47" t="n"/>
      <c r="AA69" s="47" t="n"/>
      <c r="AB69" s="47" t="n"/>
      <c r="AC69" s="47" t="n"/>
      <c r="AD69" s="47" t="n"/>
      <c r="AE69" s="47" t="n"/>
      <c r="AF69" s="43">
        <f>IF($B69="","",SUM($T69:$AE69))</f>
        <v/>
      </c>
      <c r="AG69" s="43">
        <f>IF($B69="","",N($M69)-N($AF69))</f>
        <v/>
      </c>
      <c r="AH69" s="43">
        <f>IF($B69="","",N($L69)-N($AF69))</f>
        <v/>
      </c>
      <c r="AI69" s="149">
        <f>IF($B69="","",IF(N($L69)=0,"",(N($L69)-N($AF69))/N($L69)))</f>
        <v/>
      </c>
    </row>
    <row r="70">
      <c r="A70" s="39">
        <f>IF($B70="","",COUNTA($B$4:$B70))</f>
        <v/>
      </c>
      <c r="B70" s="40" t="n">
        <v>46035</v>
      </c>
      <c r="C70" s="41" t="n">
        <v>1982</v>
      </c>
      <c r="D70" s="41" t="inlineStr">
        <is>
          <t xml:space="preserve">احمد ابو حمرة </t>
        </is>
      </c>
      <c r="E70" s="41" t="inlineStr">
        <is>
          <t>1*40</t>
        </is>
      </c>
      <c r="F70" s="41" t="inlineStr">
        <is>
          <t>نيوبيبى</t>
        </is>
      </c>
      <c r="G70" s="41" t="inlineStr">
        <is>
          <t xml:space="preserve">العاشر </t>
        </is>
      </c>
      <c r="H70" s="41" t="inlineStr">
        <is>
          <t>910927/2</t>
        </is>
      </c>
      <c r="I70" s="41" t="inlineStr">
        <is>
          <t>ل د ف 8346</t>
        </is>
      </c>
      <c r="J70" s="41" t="inlineStr">
        <is>
          <t xml:space="preserve">عادل ابراهيم </t>
        </is>
      </c>
      <c r="K70" s="41" t="inlineStr">
        <is>
          <t>استوريا</t>
        </is>
      </c>
      <c r="L70" s="42" t="n">
        <v>14000</v>
      </c>
      <c r="M70" s="42" t="n">
        <v>8100</v>
      </c>
      <c r="N70" s="42" t="n"/>
      <c r="O70" s="42" t="n">
        <v>200</v>
      </c>
      <c r="P70" s="42" t="n"/>
      <c r="Q70" s="42" t="n">
        <v>5700</v>
      </c>
      <c r="R70" s="43">
        <f>IF($B70="","",N($S70)-N($Q70))</f>
        <v/>
      </c>
      <c r="S70" s="43">
        <f>IF($B70="","",N($L70)+N($N70)+N($P70))</f>
        <v/>
      </c>
      <c r="T70" s="42" t="n"/>
      <c r="U70" s="42" t="n"/>
      <c r="V70" s="42" t="n"/>
      <c r="W70" s="42" t="n"/>
      <c r="X70" s="42" t="n"/>
      <c r="Y70" s="42" t="n"/>
      <c r="Z70" s="42" t="n"/>
      <c r="AA70" s="42" t="n"/>
      <c r="AB70" s="42" t="n"/>
      <c r="AC70" s="42" t="n"/>
      <c r="AD70" s="42" t="n"/>
      <c r="AE70" s="42" t="n"/>
      <c r="AF70" s="43">
        <f>IF($B70="","",SUM($T70:$AE70))</f>
        <v/>
      </c>
      <c r="AG70" s="43">
        <f>IF($B70="","",N($M70)-N($AF70))</f>
        <v/>
      </c>
      <c r="AH70" s="43">
        <f>IF($B70="","",N($L70)-N($AF70))</f>
        <v/>
      </c>
      <c r="AI70" s="149">
        <f>IF($B70="","",IF(N($L70)=0,"",(N($L70)-N($AF70))/N($L70)))</f>
        <v/>
      </c>
    </row>
    <row r="71">
      <c r="A71" s="39">
        <f>IF($B71="","",COUNTA($B$4:$B71))</f>
        <v/>
      </c>
      <c r="B71" s="45" t="n">
        <v>46035</v>
      </c>
      <c r="C71" s="46" t="n">
        <v>1984</v>
      </c>
      <c r="D71" s="46" t="inlineStr">
        <is>
          <t>المكتب</t>
        </is>
      </c>
      <c r="E71" s="46" t="inlineStr">
        <is>
          <t>1*40</t>
        </is>
      </c>
      <c r="F71" s="46" t="inlineStr">
        <is>
          <t>نيوبيبى</t>
        </is>
      </c>
      <c r="G71" s="46" t="inlineStr">
        <is>
          <t xml:space="preserve">العاشر </t>
        </is>
      </c>
      <c r="H71" s="46" t="inlineStr">
        <is>
          <t>961686/4</t>
        </is>
      </c>
      <c r="I71" s="46" t="inlineStr">
        <is>
          <t>س ع م 8737</t>
        </is>
      </c>
      <c r="J71" s="46" t="inlineStr">
        <is>
          <t>سامح عبدالحميد</t>
        </is>
      </c>
      <c r="K71" s="46" t="inlineStr">
        <is>
          <t>المكتب</t>
        </is>
      </c>
      <c r="L71" s="47" t="n">
        <v>14000</v>
      </c>
      <c r="M71" s="47" t="n">
        <v>5000</v>
      </c>
      <c r="N71" s="47" t="n"/>
      <c r="O71" s="47" t="n"/>
      <c r="P71" s="47" t="n"/>
      <c r="Q71" s="47" t="n">
        <v>9000</v>
      </c>
      <c r="R71" s="43">
        <f>IF($B71="","",N($S71)-N($Q71))</f>
        <v/>
      </c>
      <c r="S71" s="43">
        <f>IF($B71="","",N($L71)+N($N71)+N($P71))</f>
        <v/>
      </c>
      <c r="T71" s="47" t="n">
        <v>1500</v>
      </c>
      <c r="U71" s="47" t="n">
        <v>600</v>
      </c>
      <c r="V71" s="47" t="n"/>
      <c r="W71" s="47" t="n">
        <v>150</v>
      </c>
      <c r="X71" s="47" t="n">
        <v>130</v>
      </c>
      <c r="Y71" s="47" t="n">
        <v>60</v>
      </c>
      <c r="Z71" s="47" t="n"/>
      <c r="AA71" s="47" t="n"/>
      <c r="AB71" s="47" t="n"/>
      <c r="AC71" s="47" t="n"/>
      <c r="AD71" s="47" t="n"/>
      <c r="AE71" s="47" t="n">
        <v>3700</v>
      </c>
      <c r="AF71" s="43">
        <f>IF($B71="","",SUM($T71:$AE71))</f>
        <v/>
      </c>
      <c r="AG71" s="43">
        <f>IF($B71="","",N($M71)-N($AF71))</f>
        <v/>
      </c>
      <c r="AH71" s="43">
        <f>IF($B71="","",N($L71)-N($AF71))</f>
        <v/>
      </c>
      <c r="AI71" s="149">
        <f>IF($B71="","",IF(N($L71)=0,"",(N($L71)-N($AF71))/N($L71)))</f>
        <v/>
      </c>
    </row>
    <row r="72">
      <c r="A72" s="39">
        <f>IF($B72="","",COUNTA($B$4:$B72))</f>
        <v/>
      </c>
      <c r="B72" s="40" t="n">
        <v>46035</v>
      </c>
      <c r="C72" s="41" t="n">
        <v>1981</v>
      </c>
      <c r="D72" s="41" t="inlineStr">
        <is>
          <t>سعد منير</t>
        </is>
      </c>
      <c r="E72" s="41" t="inlineStr">
        <is>
          <t>1*40</t>
        </is>
      </c>
      <c r="F72" s="41" t="inlineStr">
        <is>
          <t>نيوبيبى</t>
        </is>
      </c>
      <c r="G72" s="41" t="inlineStr">
        <is>
          <t xml:space="preserve">العاشر </t>
        </is>
      </c>
      <c r="H72" s="41" t="inlineStr">
        <is>
          <t>777945/4</t>
        </is>
      </c>
      <c r="I72" s="41" t="inlineStr">
        <is>
          <t>ب د ن 6125</t>
        </is>
      </c>
      <c r="J72" s="41" t="inlineStr">
        <is>
          <t xml:space="preserve">سليمان امام </t>
        </is>
      </c>
      <c r="K72" s="41" t="inlineStr">
        <is>
          <t>استوريا</t>
        </is>
      </c>
      <c r="L72" s="42" t="n">
        <v>14000</v>
      </c>
      <c r="M72" s="42" t="n">
        <v>8100</v>
      </c>
      <c r="N72" s="42" t="n"/>
      <c r="O72" s="42" t="n">
        <v>200</v>
      </c>
      <c r="P72" s="42" t="n"/>
      <c r="Q72" s="42" t="n">
        <v>5700</v>
      </c>
      <c r="R72" s="43">
        <f>IF($B72="","",N($S72)-N($Q72))</f>
        <v/>
      </c>
      <c r="S72" s="43">
        <f>IF($B72="","",N($L72)+N($N72)+N($P72))</f>
        <v/>
      </c>
      <c r="T72" s="42" t="n"/>
      <c r="U72" s="42" t="n"/>
      <c r="V72" s="42" t="n"/>
      <c r="W72" s="42" t="n"/>
      <c r="X72" s="42" t="n"/>
      <c r="Y72" s="42" t="n"/>
      <c r="Z72" s="42" t="n"/>
      <c r="AA72" s="42" t="n"/>
      <c r="AB72" s="42" t="n"/>
      <c r="AC72" s="42" t="n"/>
      <c r="AD72" s="42" t="n"/>
      <c r="AE72" s="42" t="n"/>
      <c r="AF72" s="43">
        <f>IF($B72="","",SUM($T72:$AE72))</f>
        <v/>
      </c>
      <c r="AG72" s="43">
        <f>IF($B72="","",N($M72)-N($AF72))</f>
        <v/>
      </c>
      <c r="AH72" s="43">
        <f>IF($B72="","",N($L72)-N($AF72))</f>
        <v/>
      </c>
      <c r="AI72" s="149">
        <f>IF($B72="","",IF(N($L72)=0,"",(N($L72)-N($AF72))/N($L72)))</f>
        <v/>
      </c>
    </row>
    <row r="73">
      <c r="A73" s="39">
        <f>IF($B73="","",COUNTA($B$4:$B73))</f>
        <v/>
      </c>
      <c r="B73" s="45" t="n">
        <v>46035</v>
      </c>
      <c r="C73" s="46" t="n">
        <v>1980</v>
      </c>
      <c r="D73" s="46" t="inlineStr">
        <is>
          <t xml:space="preserve">عمرو عبد السلام </t>
        </is>
      </c>
      <c r="E73" s="46" t="inlineStr">
        <is>
          <t>1*40</t>
        </is>
      </c>
      <c r="F73" s="46" t="inlineStr">
        <is>
          <t>نيوبيبى</t>
        </is>
      </c>
      <c r="G73" s="46" t="inlineStr">
        <is>
          <t xml:space="preserve">العاشر </t>
        </is>
      </c>
      <c r="H73" s="46" t="inlineStr">
        <is>
          <t>822782/9</t>
        </is>
      </c>
      <c r="I73" s="46" t="inlineStr">
        <is>
          <t>س ا و 1841</t>
        </is>
      </c>
      <c r="J73" s="46" t="inlineStr">
        <is>
          <t xml:space="preserve">رضا فتحى </t>
        </is>
      </c>
      <c r="K73" s="46" t="inlineStr">
        <is>
          <t xml:space="preserve">الليبر </t>
        </is>
      </c>
      <c r="L73" s="47" t="n">
        <v>14000</v>
      </c>
      <c r="M73" s="47" t="n">
        <v>8100</v>
      </c>
      <c r="N73" s="47" t="n"/>
      <c r="O73" s="47" t="n">
        <v>200</v>
      </c>
      <c r="P73" s="47" t="n"/>
      <c r="Q73" s="47" t="n">
        <v>5700</v>
      </c>
      <c r="R73" s="43">
        <f>IF($B73="","",N($S73)-N($Q73))</f>
        <v/>
      </c>
      <c r="S73" s="43">
        <f>IF($B73="","",N($L73)+N($N73)+N($P73))</f>
        <v/>
      </c>
      <c r="T73" s="47" t="n"/>
      <c r="U73" s="47" t="n"/>
      <c r="V73" s="47" t="n"/>
      <c r="W73" s="47" t="n"/>
      <c r="X73" s="47" t="n"/>
      <c r="Y73" s="47" t="n"/>
      <c r="Z73" s="47" t="n"/>
      <c r="AA73" s="47" t="n"/>
      <c r="AB73" s="47" t="n"/>
      <c r="AC73" s="47" t="n"/>
      <c r="AD73" s="47" t="n"/>
      <c r="AE73" s="47" t="n"/>
      <c r="AF73" s="43">
        <f>IF($B73="","",SUM($T73:$AE73))</f>
        <v/>
      </c>
      <c r="AG73" s="43">
        <f>IF($B73="","",N($M73)-N($AF73))</f>
        <v/>
      </c>
      <c r="AH73" s="43">
        <f>IF($B73="","",N($L73)-N($AF73))</f>
        <v/>
      </c>
      <c r="AI73" s="149">
        <f>IF($B73="","",IF(N($L73)=0,"",(N($L73)-N($AF73))/N($L73)))</f>
        <v/>
      </c>
    </row>
    <row r="74">
      <c r="A74" s="39">
        <f>IF($B74="","",COUNTA($B$4:$B74))</f>
        <v/>
      </c>
      <c r="B74" s="40" t="n">
        <v>46035</v>
      </c>
      <c r="C74" s="41" t="n">
        <v>1987</v>
      </c>
      <c r="D74" s="41" t="inlineStr">
        <is>
          <t>محمد عتمان</t>
        </is>
      </c>
      <c r="E74" s="41" t="inlineStr">
        <is>
          <t>1*40</t>
        </is>
      </c>
      <c r="F74" s="41" t="n"/>
      <c r="G74" s="41" t="inlineStr">
        <is>
          <t xml:space="preserve">العاشر </t>
        </is>
      </c>
      <c r="H74" s="41" t="inlineStr">
        <is>
          <t>975215/0</t>
        </is>
      </c>
      <c r="I74" s="41" t="inlineStr">
        <is>
          <t>ط ف ر 2313</t>
        </is>
      </c>
      <c r="J74" s="41" t="inlineStr">
        <is>
          <t xml:space="preserve">ايمن رمضان </t>
        </is>
      </c>
      <c r="K74" s="41" t="inlineStr">
        <is>
          <t xml:space="preserve">ايمن رمضان </t>
        </is>
      </c>
      <c r="L74" s="42" t="n">
        <v>14000</v>
      </c>
      <c r="M74" s="42" t="n">
        <v>8100</v>
      </c>
      <c r="N74" s="42" t="n"/>
      <c r="O74" s="42" t="n">
        <v>200</v>
      </c>
      <c r="P74" s="42" t="n"/>
      <c r="Q74" s="42" t="n">
        <v>5700</v>
      </c>
      <c r="R74" s="43">
        <f>IF($B74="","",N($S74)-N($Q74))</f>
        <v/>
      </c>
      <c r="S74" s="43">
        <f>IF($B74="","",N($L74)+N($N74)+N($P74))</f>
        <v/>
      </c>
      <c r="T74" s="42" t="n"/>
      <c r="U74" s="42" t="n"/>
      <c r="V74" s="42" t="n"/>
      <c r="W74" s="42" t="n"/>
      <c r="X74" s="42" t="n"/>
      <c r="Y74" s="42" t="n"/>
      <c r="Z74" s="42" t="n"/>
      <c r="AA74" s="42" t="n"/>
      <c r="AB74" s="42" t="n"/>
      <c r="AC74" s="42" t="n"/>
      <c r="AD74" s="42" t="n"/>
      <c r="AE74" s="42" t="n"/>
      <c r="AF74" s="43">
        <f>IF($B74="","",SUM($T74:$AE74))</f>
        <v/>
      </c>
      <c r="AG74" s="43">
        <f>IF($B74="","",N($M74)-N($AF74))</f>
        <v/>
      </c>
      <c r="AH74" s="43">
        <f>IF($B74="","",N($L74)-N($AF74))</f>
        <v/>
      </c>
      <c r="AI74" s="149">
        <f>IF($B74="","",IF(N($L74)=0,"",(N($L74)-N($AF74))/N($L74)))</f>
        <v/>
      </c>
    </row>
    <row r="75">
      <c r="A75" s="39">
        <f>IF($B75="","",COUNTA($B$4:$B75))</f>
        <v/>
      </c>
      <c r="B75" s="45" t="n">
        <v>46035</v>
      </c>
      <c r="C75" s="46" t="n">
        <v>1986</v>
      </c>
      <c r="D75" s="46" t="inlineStr">
        <is>
          <t>احمد عبدو خ</t>
        </is>
      </c>
      <c r="E75" s="46" t="inlineStr">
        <is>
          <t>1*40</t>
        </is>
      </c>
      <c r="F75" s="46" t="inlineStr">
        <is>
          <t>نيوبيبى</t>
        </is>
      </c>
      <c r="G75" s="46" t="inlineStr">
        <is>
          <t xml:space="preserve">العاشر </t>
        </is>
      </c>
      <c r="H75" s="46" t="inlineStr">
        <is>
          <t>921908/6</t>
        </is>
      </c>
      <c r="I75" s="46" t="inlineStr">
        <is>
          <t>س ل ب 5917</t>
        </is>
      </c>
      <c r="J75" s="46" t="inlineStr">
        <is>
          <t xml:space="preserve">احمد محمود  </t>
        </is>
      </c>
      <c r="K75" s="46" t="inlineStr">
        <is>
          <t xml:space="preserve">علاء علام </t>
        </is>
      </c>
      <c r="L75" s="47" t="n">
        <v>14000</v>
      </c>
      <c r="M75" s="47" t="n">
        <v>8100</v>
      </c>
      <c r="N75" s="47" t="n"/>
      <c r="O75" s="47" t="n">
        <v>200</v>
      </c>
      <c r="P75" s="47" t="n"/>
      <c r="Q75" s="47" t="n">
        <v>5700</v>
      </c>
      <c r="R75" s="43">
        <f>IF($B75="","",N($S75)-N($Q75))</f>
        <v/>
      </c>
      <c r="S75" s="43">
        <f>IF($B75="","",N($L75)+N($N75)+N($P75))</f>
        <v/>
      </c>
      <c r="T75" s="47" t="n"/>
      <c r="U75" s="47" t="n"/>
      <c r="V75" s="47" t="n"/>
      <c r="W75" s="47" t="n"/>
      <c r="X75" s="47" t="n"/>
      <c r="Y75" s="47" t="n"/>
      <c r="Z75" s="47" t="n"/>
      <c r="AA75" s="47" t="n"/>
      <c r="AB75" s="47" t="n"/>
      <c r="AC75" s="47" t="n"/>
      <c r="AD75" s="47" t="n"/>
      <c r="AE75" s="47" t="n"/>
      <c r="AF75" s="43">
        <f>IF($B75="","",SUM($T75:$AE75))</f>
        <v/>
      </c>
      <c r="AG75" s="43">
        <f>IF($B75="","",N($M75)-N($AF75))</f>
        <v/>
      </c>
      <c r="AH75" s="43">
        <f>IF($B75="","",N($L75)-N($AF75))</f>
        <v/>
      </c>
      <c r="AI75" s="149">
        <f>IF($B75="","",IF(N($L75)=0,"",(N($L75)-N($AF75))/N($L75)))</f>
        <v/>
      </c>
    </row>
    <row r="76">
      <c r="A76" s="39">
        <f>IF($B76="","",COUNTA($B$4:$B76))</f>
        <v/>
      </c>
      <c r="B76" s="40" t="n">
        <v>46035</v>
      </c>
      <c r="C76" s="41" t="n">
        <v>1984</v>
      </c>
      <c r="D76" s="41" t="inlineStr">
        <is>
          <t>الليبر</t>
        </is>
      </c>
      <c r="E76" s="41" t="inlineStr">
        <is>
          <t>1*40</t>
        </is>
      </c>
      <c r="F76" s="41" t="inlineStr">
        <is>
          <t>نيوبيبى</t>
        </is>
      </c>
      <c r="G76" s="41" t="inlineStr">
        <is>
          <t xml:space="preserve">العاشر </t>
        </is>
      </c>
      <c r="H76" s="41" t="inlineStr">
        <is>
          <t>778470/8</t>
        </is>
      </c>
      <c r="I76" s="41" t="inlineStr">
        <is>
          <t>ب رط 6817</t>
        </is>
      </c>
      <c r="J76" s="41" t="inlineStr">
        <is>
          <t xml:space="preserve">باسم رمضان </t>
        </is>
      </c>
      <c r="K76" s="41" t="inlineStr">
        <is>
          <t xml:space="preserve">الليبر </t>
        </is>
      </c>
      <c r="L76" s="42" t="n">
        <v>14000</v>
      </c>
      <c r="M76" s="42" t="n">
        <v>8100</v>
      </c>
      <c r="N76" s="42" t="n"/>
      <c r="O76" s="42" t="n">
        <v>200</v>
      </c>
      <c r="P76" s="42" t="n"/>
      <c r="Q76" s="42" t="n">
        <v>5700</v>
      </c>
      <c r="R76" s="43">
        <f>IF($B76="","",N($S76)-N($Q76))</f>
        <v/>
      </c>
      <c r="S76" s="43">
        <f>IF($B76="","",N($L76)+N($N76)+N($P76))</f>
        <v/>
      </c>
      <c r="T76" s="42" t="n"/>
      <c r="U76" s="42" t="n"/>
      <c r="V76" s="42" t="n"/>
      <c r="W76" s="42" t="n"/>
      <c r="X76" s="42" t="n"/>
      <c r="Y76" s="42" t="n"/>
      <c r="Z76" s="42" t="n"/>
      <c r="AA76" s="42" t="n"/>
      <c r="AB76" s="42" t="n"/>
      <c r="AC76" s="42" t="n"/>
      <c r="AD76" s="42" t="n"/>
      <c r="AE76" s="42" t="n"/>
      <c r="AF76" s="43">
        <f>IF($B76="","",SUM($T76:$AE76))</f>
        <v/>
      </c>
      <c r="AG76" s="43">
        <f>IF($B76="","",N($M76)-N($AF76))</f>
        <v/>
      </c>
      <c r="AH76" s="43">
        <f>IF($B76="","",N($L76)-N($AF76))</f>
        <v/>
      </c>
      <c r="AI76" s="149">
        <f>IF($B76="","",IF(N($L76)=0,"",(N($L76)-N($AF76))/N($L76)))</f>
        <v/>
      </c>
    </row>
    <row r="77">
      <c r="A77" s="39">
        <f>IF($B77="","",COUNTA($B$4:$B77))</f>
        <v/>
      </c>
      <c r="B77" s="45" t="n">
        <v>46035</v>
      </c>
      <c r="C77" s="46" t="n">
        <v>1589</v>
      </c>
      <c r="D77" s="46" t="inlineStr">
        <is>
          <t xml:space="preserve">هاشم </t>
        </is>
      </c>
      <c r="E77" s="46" t="inlineStr">
        <is>
          <t>1*20</t>
        </is>
      </c>
      <c r="F77" s="46" t="inlineStr">
        <is>
          <t>السويدي بوليمارز</t>
        </is>
      </c>
      <c r="G77" s="46" t="inlineStr">
        <is>
          <t xml:space="preserve">العاشر </t>
        </is>
      </c>
      <c r="H77" s="46" t="inlineStr">
        <is>
          <t>119030/2</t>
        </is>
      </c>
      <c r="I77" s="46" t="inlineStr">
        <is>
          <t>ب ر ج 6543</t>
        </is>
      </c>
      <c r="J77" s="46" t="inlineStr">
        <is>
          <t xml:space="preserve">اشرف الحناوي </t>
        </is>
      </c>
      <c r="K77" s="46" t="inlineStr">
        <is>
          <t xml:space="preserve">روماني </t>
        </is>
      </c>
      <c r="L77" s="47" t="n">
        <v>13500</v>
      </c>
      <c r="M77" s="47" t="n">
        <v>8100</v>
      </c>
      <c r="N77" s="47" t="n"/>
      <c r="O77" s="47" t="n">
        <v>200</v>
      </c>
      <c r="P77" s="47" t="n"/>
      <c r="Q77" s="47" t="n">
        <v>5200</v>
      </c>
      <c r="R77" s="43">
        <f>IF($B77="","",N($S77)-N($Q77))</f>
        <v/>
      </c>
      <c r="S77" s="43">
        <f>IF($B77="","",N($L77)+N($N77)+N($P77))</f>
        <v/>
      </c>
      <c r="T77" s="47" t="n"/>
      <c r="U77" s="47" t="n"/>
      <c r="V77" s="47" t="n"/>
      <c r="W77" s="47" t="n"/>
      <c r="X77" s="47" t="n"/>
      <c r="Y77" s="47" t="n"/>
      <c r="Z77" s="47" t="n"/>
      <c r="AA77" s="47" t="n"/>
      <c r="AB77" s="47" t="n"/>
      <c r="AC77" s="47" t="n"/>
      <c r="AD77" s="47" t="n"/>
      <c r="AE77" s="47" t="n"/>
      <c r="AF77" s="43">
        <f>IF($B77="","",SUM($T77:$AE77))</f>
        <v/>
      </c>
      <c r="AG77" s="43">
        <f>IF($B77="","",N($M77)-N($AF77))</f>
        <v/>
      </c>
      <c r="AH77" s="43">
        <f>IF($B77="","",N($L77)-N($AF77))</f>
        <v/>
      </c>
      <c r="AI77" s="149">
        <f>IF($B77="","",IF(N($L77)=0,"",(N($L77)-N($AF77))/N($L77)))</f>
        <v/>
      </c>
    </row>
    <row r="78">
      <c r="A78" s="39">
        <f>IF($B78="","",COUNTA($B$4:$B78))</f>
        <v/>
      </c>
      <c r="B78" s="40" t="n">
        <v>46035</v>
      </c>
      <c r="C78" s="41" t="n">
        <v>1590</v>
      </c>
      <c r="D78" s="41" t="inlineStr">
        <is>
          <t xml:space="preserve">بدوى صلاح </t>
        </is>
      </c>
      <c r="E78" s="41" t="inlineStr">
        <is>
          <t>1*40</t>
        </is>
      </c>
      <c r="F78" s="41" t="inlineStr">
        <is>
          <t xml:space="preserve">فيكتور كلور </t>
        </is>
      </c>
      <c r="G78" s="41" t="inlineStr">
        <is>
          <t xml:space="preserve">الفيوم </t>
        </is>
      </c>
      <c r="H78" s="41" t="inlineStr">
        <is>
          <t>441357/3</t>
        </is>
      </c>
      <c r="I78" s="41" t="inlineStr">
        <is>
          <t>ب د ن 4175</t>
        </is>
      </c>
      <c r="J78" s="41" t="inlineStr">
        <is>
          <t xml:space="preserve">سعد الصاوى </t>
        </is>
      </c>
      <c r="K78" s="41" t="inlineStr">
        <is>
          <t xml:space="preserve">رمضان الصاوى </t>
        </is>
      </c>
      <c r="L78" s="42" t="n">
        <v>17000</v>
      </c>
      <c r="M78" s="42" t="n">
        <v>9100</v>
      </c>
      <c r="N78" s="42" t="n"/>
      <c r="O78" s="42" t="n">
        <v>200</v>
      </c>
      <c r="P78" s="42" t="n"/>
      <c r="Q78" s="42" t="n">
        <v>7700</v>
      </c>
      <c r="R78" s="43">
        <f>IF($B78="","",N($S78)-N($Q78))</f>
        <v/>
      </c>
      <c r="S78" s="43">
        <f>IF($B78="","",N($L78)+N($N78)+N($P78))</f>
        <v/>
      </c>
      <c r="T78" s="42" t="n"/>
      <c r="U78" s="42" t="n"/>
      <c r="V78" s="42" t="n"/>
      <c r="W78" s="42" t="n"/>
      <c r="X78" s="42" t="n"/>
      <c r="Y78" s="42" t="n"/>
      <c r="Z78" s="42" t="n"/>
      <c r="AA78" s="42" t="n"/>
      <c r="AB78" s="42" t="n"/>
      <c r="AC78" s="42" t="n"/>
      <c r="AD78" s="42" t="n"/>
      <c r="AE78" s="42" t="n"/>
      <c r="AF78" s="43">
        <f>IF($B78="","",SUM($T78:$AE78))</f>
        <v/>
      </c>
      <c r="AG78" s="43">
        <f>IF($B78="","",N($M78)-N($AF78))</f>
        <v/>
      </c>
      <c r="AH78" s="43">
        <f>IF($B78="","",N($L78)-N($AF78))</f>
        <v/>
      </c>
      <c r="AI78" s="149">
        <f>IF($B78="","",IF(N($L78)=0,"",(N($L78)-N($AF78))/N($L78)))</f>
        <v/>
      </c>
    </row>
    <row r="79">
      <c r="A79" s="39">
        <f>IF($B79="","",COUNTA($B$4:$B79))</f>
        <v/>
      </c>
      <c r="B79" s="45" t="n">
        <v>46035</v>
      </c>
      <c r="C79" s="46" t="n">
        <v>1593</v>
      </c>
      <c r="D79" s="46" t="inlineStr">
        <is>
          <t>حاتم البحر  ق</t>
        </is>
      </c>
      <c r="E79" s="46" t="inlineStr">
        <is>
          <t>1*20</t>
        </is>
      </c>
      <c r="F79" s="46" t="inlineStr">
        <is>
          <t xml:space="preserve">فود لاين </t>
        </is>
      </c>
      <c r="G79" s="46" t="inlineStr">
        <is>
          <t xml:space="preserve">اكتوبر </t>
        </is>
      </c>
      <c r="H79" s="46" t="inlineStr">
        <is>
          <t>261112/7</t>
        </is>
      </c>
      <c r="I79" s="46" t="inlineStr">
        <is>
          <t>ب ص ا 1439</t>
        </is>
      </c>
      <c r="J79" s="46" t="inlineStr">
        <is>
          <t xml:space="preserve">عاشور محمد عاشور </t>
        </is>
      </c>
      <c r="K79" s="46" t="inlineStr">
        <is>
          <t xml:space="preserve">روماني </t>
        </is>
      </c>
      <c r="L79" s="47" t="n">
        <v>10500</v>
      </c>
      <c r="M79" s="47" t="n">
        <v>7100</v>
      </c>
      <c r="N79" s="47" t="n"/>
      <c r="O79" s="47" t="n">
        <v>200</v>
      </c>
      <c r="P79" s="47" t="n"/>
      <c r="Q79" s="47" t="n">
        <v>3200</v>
      </c>
      <c r="R79" s="43">
        <f>IF($B79="","",N($S79)-N($Q79))</f>
        <v/>
      </c>
      <c r="S79" s="43">
        <f>IF($B79="","",N($L79)+N($N79)+N($P79))</f>
        <v/>
      </c>
      <c r="T79" s="47" t="n"/>
      <c r="U79" s="47" t="n"/>
      <c r="V79" s="47" t="n"/>
      <c r="W79" s="47" t="n"/>
      <c r="X79" s="47" t="n"/>
      <c r="Y79" s="47" t="n"/>
      <c r="Z79" s="47" t="n"/>
      <c r="AA79" s="47" t="n"/>
      <c r="AB79" s="47" t="n"/>
      <c r="AC79" s="47" t="n"/>
      <c r="AD79" s="47" t="n"/>
      <c r="AE79" s="47" t="n"/>
      <c r="AF79" s="43">
        <f>IF($B79="","",SUM($T79:$AE79))</f>
        <v/>
      </c>
      <c r="AG79" s="43">
        <f>IF($B79="","",N($M79)-N($AF79))</f>
        <v/>
      </c>
      <c r="AH79" s="43">
        <f>IF($B79="","",N($L79)-N($AF79))</f>
        <v/>
      </c>
      <c r="AI79" s="149">
        <f>IF($B79="","",IF(N($L79)=0,"",(N($L79)-N($AF79))/N($L79)))</f>
        <v/>
      </c>
    </row>
    <row r="80">
      <c r="A80" s="39">
        <f>IF($B80="","",COUNTA($B$4:$B80))</f>
        <v/>
      </c>
      <c r="B80" s="40" t="n">
        <v>46035</v>
      </c>
      <c r="C80" s="41" t="n">
        <v>1288</v>
      </c>
      <c r="D80" s="41" t="inlineStr">
        <is>
          <t>استوريا خ</t>
        </is>
      </c>
      <c r="E80" s="41" t="inlineStr">
        <is>
          <t>1*40</t>
        </is>
      </c>
      <c r="F80" s="41" t="inlineStr">
        <is>
          <t xml:space="preserve">المصرية الاوربية </t>
        </is>
      </c>
      <c r="G80" s="41" t="inlineStr">
        <is>
          <t xml:space="preserve">الفيوم </t>
        </is>
      </c>
      <c r="H80" s="41" t="inlineStr">
        <is>
          <t>716571/6</t>
        </is>
      </c>
      <c r="I80" s="41" t="inlineStr">
        <is>
          <t>س ن ر 5265</t>
        </is>
      </c>
      <c r="J80" s="41" t="inlineStr">
        <is>
          <t xml:space="preserve">خالد شحاتة </t>
        </is>
      </c>
      <c r="K80" s="41" t="inlineStr">
        <is>
          <t xml:space="preserve">محمد صابر </t>
        </is>
      </c>
      <c r="L80" s="42" t="n">
        <v>17000</v>
      </c>
      <c r="M80" s="42" t="n">
        <v>9100</v>
      </c>
      <c r="N80" s="42" t="n">
        <v>1100</v>
      </c>
      <c r="O80" s="42" t="n">
        <v>200</v>
      </c>
      <c r="P80" s="42" t="n"/>
      <c r="Q80" s="42" t="n">
        <v>6600</v>
      </c>
      <c r="R80" s="43">
        <f>IF($B80="","",N($S80)-N($Q80))</f>
        <v/>
      </c>
      <c r="S80" s="43">
        <f>IF($B80="","",N($L80)+N($N80)+N($P80))</f>
        <v/>
      </c>
      <c r="T80" s="42" t="n"/>
      <c r="U80" s="42" t="n"/>
      <c r="V80" s="42" t="n"/>
      <c r="W80" s="42" t="n"/>
      <c r="X80" s="42" t="n"/>
      <c r="Y80" s="42" t="n"/>
      <c r="Z80" s="42" t="n"/>
      <c r="AA80" s="42" t="n"/>
      <c r="AB80" s="42" t="n"/>
      <c r="AC80" s="42" t="n"/>
      <c r="AD80" s="42" t="n"/>
      <c r="AE80" s="42" t="n"/>
      <c r="AF80" s="43">
        <f>IF($B80="","",SUM($T80:$AE80))</f>
        <v/>
      </c>
      <c r="AG80" s="43">
        <f>IF($B80="","",N($M80)-N($AF80))</f>
        <v/>
      </c>
      <c r="AH80" s="43">
        <f>IF($B80="","",N($L80)-N($AF80))</f>
        <v/>
      </c>
      <c r="AI80" s="149">
        <f>IF($B80="","",IF(N($L80)=0,"",(N($L80)-N($AF80))/N($L80)))</f>
        <v/>
      </c>
    </row>
    <row r="81">
      <c r="A81" s="39">
        <f>IF($B81="","",COUNTA($B$4:$B81))</f>
        <v/>
      </c>
      <c r="B81" s="45" t="n">
        <v>46035</v>
      </c>
      <c r="C81" s="46" t="n">
        <v>1289</v>
      </c>
      <c r="D81" s="46" t="inlineStr">
        <is>
          <t xml:space="preserve">هاشم </t>
        </is>
      </c>
      <c r="E81" s="46" t="inlineStr">
        <is>
          <t>1*20</t>
        </is>
      </c>
      <c r="F81" s="46" t="inlineStr">
        <is>
          <t xml:space="preserve">السراج </t>
        </is>
      </c>
      <c r="G81" s="46" t="inlineStr">
        <is>
          <t xml:space="preserve">العاشر </t>
        </is>
      </c>
      <c r="H81" s="46" t="inlineStr">
        <is>
          <t>041327/9</t>
        </is>
      </c>
      <c r="I81" s="46" t="inlineStr">
        <is>
          <t>ب ل ص 9364</t>
        </is>
      </c>
      <c r="J81" s="46" t="inlineStr">
        <is>
          <t xml:space="preserve">محمد رشاد </t>
        </is>
      </c>
      <c r="K81" s="46" t="inlineStr">
        <is>
          <t xml:space="preserve">ايوب </t>
        </is>
      </c>
      <c r="L81" s="47" t="n">
        <v>11500</v>
      </c>
      <c r="M81" s="47" t="n">
        <v>7100</v>
      </c>
      <c r="N81" s="47" t="n"/>
      <c r="O81" s="47" t="n">
        <v>200</v>
      </c>
      <c r="P81" s="47" t="n"/>
      <c r="Q81" s="47" t="n">
        <v>4200</v>
      </c>
      <c r="R81" s="43">
        <f>IF($B81="","",N($S81)-N($Q81))</f>
        <v/>
      </c>
      <c r="S81" s="43">
        <f>IF($B81="","",N($L81)+N($N81)+N($P81))</f>
        <v/>
      </c>
      <c r="T81" s="47" t="n"/>
      <c r="U81" s="47" t="n"/>
      <c r="V81" s="47" t="n"/>
      <c r="W81" s="47" t="n"/>
      <c r="X81" s="47" t="n"/>
      <c r="Y81" s="47" t="n"/>
      <c r="Z81" s="47" t="n"/>
      <c r="AA81" s="47" t="n"/>
      <c r="AB81" s="47" t="n"/>
      <c r="AC81" s="47" t="n"/>
      <c r="AD81" s="47" t="n"/>
      <c r="AE81" s="47" t="n"/>
      <c r="AF81" s="43">
        <f>IF($B81="","",SUM($T81:$AE81))</f>
        <v/>
      </c>
      <c r="AG81" s="43">
        <f>IF($B81="","",N($M81)-N($AF81))</f>
        <v/>
      </c>
      <c r="AH81" s="43">
        <f>IF($B81="","",N($L81)-N($AF81))</f>
        <v/>
      </c>
      <c r="AI81" s="149">
        <f>IF($B81="","",IF(N($L81)=0,"",(N($L81)-N($AF81))/N($L81)))</f>
        <v/>
      </c>
    </row>
    <row r="82">
      <c r="A82" s="39">
        <f>IF($B82="","",COUNTA($B$4:$B82))</f>
        <v/>
      </c>
      <c r="B82" s="40" t="n">
        <v>46036</v>
      </c>
      <c r="C82" s="41" t="n">
        <v>1915</v>
      </c>
      <c r="D82" s="41" t="inlineStr">
        <is>
          <t>المكتب</t>
        </is>
      </c>
      <c r="E82" s="41" t="inlineStr">
        <is>
          <t>1*40</t>
        </is>
      </c>
      <c r="F82" s="41" t="inlineStr">
        <is>
          <t xml:space="preserve">ايزو مصر </t>
        </is>
      </c>
      <c r="G82" s="41" t="inlineStr">
        <is>
          <t xml:space="preserve">قويسنا </t>
        </is>
      </c>
      <c r="H82" s="41" t="inlineStr">
        <is>
          <t>817624/9</t>
        </is>
      </c>
      <c r="I82" s="41" t="inlineStr">
        <is>
          <t>س ع م 8737</t>
        </is>
      </c>
      <c r="J82" s="41" t="inlineStr">
        <is>
          <t>سامح عبدالحميد</t>
        </is>
      </c>
      <c r="K82" s="41" t="inlineStr">
        <is>
          <t>المكتب</t>
        </is>
      </c>
      <c r="L82" s="42" t="n">
        <v>11700</v>
      </c>
      <c r="M82" s="42" t="n">
        <v>5000</v>
      </c>
      <c r="N82" s="42" t="n"/>
      <c r="O82" s="42" t="n"/>
      <c r="P82" s="42" t="n"/>
      <c r="Q82" s="42" t="n">
        <v>6700</v>
      </c>
      <c r="R82" s="43">
        <f>IF($B82="","",N($S82)-N($Q82))</f>
        <v/>
      </c>
      <c r="S82" s="43">
        <f>IF($B82="","",N($L82)+N($N82)+N($P82))</f>
        <v/>
      </c>
      <c r="T82" s="42" t="n">
        <v>1500</v>
      </c>
      <c r="U82" s="42" t="n">
        <v>600</v>
      </c>
      <c r="V82" s="42" t="n"/>
      <c r="W82" s="42" t="n">
        <v>150</v>
      </c>
      <c r="X82" s="42" t="n">
        <v>130</v>
      </c>
      <c r="Y82" s="42" t="n">
        <v>60</v>
      </c>
      <c r="Z82" s="42" t="n">
        <v>100</v>
      </c>
      <c r="AA82" s="42" t="n"/>
      <c r="AB82" s="42" t="n"/>
      <c r="AC82" s="42" t="n"/>
      <c r="AD82" s="42" t="n"/>
      <c r="AE82" s="42" t="n"/>
      <c r="AF82" s="43">
        <f>IF($B82="","",SUM($T82:$AE82))</f>
        <v/>
      </c>
      <c r="AG82" s="43">
        <f>IF($B82="","",N($M82)-N($AF82))</f>
        <v/>
      </c>
      <c r="AH82" s="43">
        <f>IF($B82="","",N($L82)-N($AF82))</f>
        <v/>
      </c>
      <c r="AI82" s="149">
        <f>IF($B82="","",IF(N($L82)=0,"",(N($L82)-N($AF82))/N($L82)))</f>
        <v/>
      </c>
    </row>
    <row r="83">
      <c r="A83" s="39">
        <f>IF($B83="","",COUNTA($B$4:$B83))</f>
        <v/>
      </c>
      <c r="B83" s="45" t="n">
        <v>46036</v>
      </c>
      <c r="C83" s="46" t="n">
        <v>1629</v>
      </c>
      <c r="D83" s="46" t="inlineStr">
        <is>
          <t xml:space="preserve">حمو مرزوق </t>
        </is>
      </c>
      <c r="E83" s="46" t="inlineStr">
        <is>
          <t>1*40</t>
        </is>
      </c>
      <c r="F83" s="46" t="inlineStr">
        <is>
          <t xml:space="preserve">بوت مان </t>
        </is>
      </c>
      <c r="G83" s="46" t="inlineStr">
        <is>
          <t xml:space="preserve">م حرة </t>
        </is>
      </c>
      <c r="H83" s="46" t="inlineStr">
        <is>
          <t>903741/0</t>
        </is>
      </c>
      <c r="I83" s="46" t="inlineStr">
        <is>
          <t>س ر ا 6671</t>
        </is>
      </c>
      <c r="J83" s="46" t="inlineStr">
        <is>
          <t xml:space="preserve">السيد بدوى </t>
        </is>
      </c>
      <c r="K83" s="46" t="inlineStr">
        <is>
          <t xml:space="preserve">حمو مرزوق </t>
        </is>
      </c>
      <c r="L83" s="47" t="n">
        <v>9000</v>
      </c>
      <c r="M83" s="47" t="n">
        <v>6100</v>
      </c>
      <c r="N83" s="47" t="n"/>
      <c r="O83" s="47" t="n">
        <v>200</v>
      </c>
      <c r="P83" s="47" t="n"/>
      <c r="Q83" s="47" t="n">
        <v>2700</v>
      </c>
      <c r="R83" s="43">
        <f>IF($B83="","",N($S83)-N($Q83))</f>
        <v/>
      </c>
      <c r="S83" s="43">
        <f>IF($B83="","",N($L83)+N($N83)+N($P83))</f>
        <v/>
      </c>
      <c r="T83" s="47" t="n"/>
      <c r="U83" s="47" t="n"/>
      <c r="V83" s="47" t="n"/>
      <c r="W83" s="47" t="n"/>
      <c r="X83" s="47" t="n"/>
      <c r="Y83" s="47" t="n"/>
      <c r="Z83" s="47" t="n"/>
      <c r="AA83" s="47" t="n"/>
      <c r="AB83" s="47" t="n"/>
      <c r="AC83" s="47" t="n"/>
      <c r="AD83" s="47" t="n"/>
      <c r="AE83" s="47" t="n"/>
      <c r="AF83" s="43">
        <f>IF($B83="","",SUM($T83:$AE83))</f>
        <v/>
      </c>
      <c r="AG83" s="43">
        <f>IF($B83="","",N($M83)-N($AF83))</f>
        <v/>
      </c>
      <c r="AH83" s="43">
        <f>IF($B83="","",N($L83)-N($AF83))</f>
        <v/>
      </c>
      <c r="AI83" s="149">
        <f>IF($B83="","",IF(N($L83)=0,"",(N($L83)-N($AF83))/N($L83)))</f>
        <v/>
      </c>
    </row>
    <row r="84">
      <c r="A84" s="39">
        <f>IF($B84="","",COUNTA($B$4:$B84))</f>
        <v/>
      </c>
      <c r="B84" s="40" t="n">
        <v>46037</v>
      </c>
      <c r="C84" s="41" t="n">
        <v>1988</v>
      </c>
      <c r="D84" s="41" t="inlineStr">
        <is>
          <t>سعد منير</t>
        </is>
      </c>
      <c r="E84" s="41" t="inlineStr">
        <is>
          <t>1*40</t>
        </is>
      </c>
      <c r="F84" s="41" t="inlineStr">
        <is>
          <t>اورينت</t>
        </is>
      </c>
      <c r="G84" s="41" t="inlineStr">
        <is>
          <t xml:space="preserve">العاشر </t>
        </is>
      </c>
      <c r="H84" s="41" t="inlineStr">
        <is>
          <t>665378/5</t>
        </is>
      </c>
      <c r="I84" s="41" t="inlineStr">
        <is>
          <t>ص ع ا 6384</t>
        </is>
      </c>
      <c r="J84" s="41" t="inlineStr">
        <is>
          <t xml:space="preserve">اسماعيل بندق </t>
        </is>
      </c>
      <c r="K84" s="41" t="inlineStr">
        <is>
          <t xml:space="preserve">الليبر </t>
        </is>
      </c>
      <c r="L84" s="42" t="n">
        <v>14000</v>
      </c>
      <c r="M84" s="42" t="n">
        <v>8100</v>
      </c>
      <c r="N84" s="42" t="n"/>
      <c r="O84" s="42" t="n">
        <v>200</v>
      </c>
      <c r="P84" s="42" t="n"/>
      <c r="Q84" s="42" t="n">
        <v>5700</v>
      </c>
      <c r="R84" s="43">
        <f>IF($B84="","",N($S84)-N($Q84))</f>
        <v/>
      </c>
      <c r="S84" s="43">
        <f>IF($B84="","",N($L84)+N($N84)+N($P84))</f>
        <v/>
      </c>
      <c r="T84" s="42" t="n"/>
      <c r="U84" s="42" t="n"/>
      <c r="V84" s="42" t="n"/>
      <c r="W84" s="42" t="n"/>
      <c r="X84" s="42" t="n"/>
      <c r="Y84" s="42" t="n"/>
      <c r="Z84" s="42" t="n"/>
      <c r="AA84" s="42" t="n"/>
      <c r="AB84" s="42" t="n"/>
      <c r="AC84" s="42" t="n"/>
      <c r="AD84" s="42" t="n"/>
      <c r="AE84" s="42" t="n"/>
      <c r="AF84" s="43">
        <f>IF($B84="","",SUM($T84:$AE84))</f>
        <v/>
      </c>
      <c r="AG84" s="43">
        <f>IF($B84="","",N($M84)-N($AF84))</f>
        <v/>
      </c>
      <c r="AH84" s="43">
        <f>IF($B84="","",N($L84)-N($AF84))</f>
        <v/>
      </c>
      <c r="AI84" s="149">
        <f>IF($B84="","",IF(N($L84)=0,"",(N($L84)-N($AF84))/N($L84)))</f>
        <v/>
      </c>
    </row>
    <row r="85">
      <c r="A85" s="39">
        <f>IF($B85="","",COUNTA($B$4:$B85))</f>
        <v/>
      </c>
      <c r="B85" s="45" t="n">
        <v>46037</v>
      </c>
      <c r="C85" s="46" t="n">
        <v>1989</v>
      </c>
      <c r="D85" s="46" t="inlineStr">
        <is>
          <t>استوريا خ</t>
        </is>
      </c>
      <c r="E85" s="46" t="inlineStr">
        <is>
          <t>1*40</t>
        </is>
      </c>
      <c r="F85" s="46" t="inlineStr">
        <is>
          <t>اورينت</t>
        </is>
      </c>
      <c r="G85" s="46" t="inlineStr">
        <is>
          <t xml:space="preserve">العاشر </t>
        </is>
      </c>
      <c r="H85" s="46" t="inlineStr">
        <is>
          <t>966734/0</t>
        </is>
      </c>
      <c r="I85" s="46" t="inlineStr">
        <is>
          <t>ب ع ط 3417</t>
        </is>
      </c>
      <c r="J85" s="46" t="inlineStr">
        <is>
          <t xml:space="preserve">محمد الشريدى </t>
        </is>
      </c>
      <c r="K85" s="46" t="inlineStr">
        <is>
          <t>استوريا</t>
        </is>
      </c>
      <c r="L85" s="47" t="n">
        <v>14000</v>
      </c>
      <c r="M85" s="47" t="n">
        <v>8100</v>
      </c>
      <c r="N85" s="47" t="n"/>
      <c r="O85" s="47" t="n">
        <v>200</v>
      </c>
      <c r="P85" s="47" t="n"/>
      <c r="Q85" s="47" t="n">
        <v>5700</v>
      </c>
      <c r="R85" s="43">
        <f>IF($B85="","",N($S85)-N($Q85))</f>
        <v/>
      </c>
      <c r="S85" s="43">
        <f>IF($B85="","",N($L85)+N($N85)+N($P85))</f>
        <v/>
      </c>
      <c r="T85" s="47" t="n"/>
      <c r="U85" s="47" t="n"/>
      <c r="V85" s="47" t="n"/>
      <c r="W85" s="47" t="n"/>
      <c r="X85" s="47" t="n"/>
      <c r="Y85" s="47" t="n"/>
      <c r="Z85" s="47" t="n"/>
      <c r="AA85" s="47" t="n"/>
      <c r="AB85" s="47" t="n"/>
      <c r="AC85" s="47" t="n"/>
      <c r="AD85" s="47" t="n"/>
      <c r="AE85" s="47" t="n"/>
      <c r="AF85" s="43">
        <f>IF($B85="","",SUM($T85:$AE85))</f>
        <v/>
      </c>
      <c r="AG85" s="43">
        <f>IF($B85="","",N($M85)-N($AF85))</f>
        <v/>
      </c>
      <c r="AH85" s="43">
        <f>IF($B85="","",N($L85)-N($AF85))</f>
        <v/>
      </c>
      <c r="AI85" s="149">
        <f>IF($B85="","",IF(N($L85)=0,"",(N($L85)-N($AF85))/N($L85)))</f>
        <v/>
      </c>
    </row>
    <row r="86">
      <c r="A86" s="39">
        <f>IF($B86="","",COUNTA($B$4:$B86))</f>
        <v/>
      </c>
      <c r="B86" s="40" t="n">
        <v>46037</v>
      </c>
      <c r="C86" s="41" t="n">
        <v>1990</v>
      </c>
      <c r="D86" s="41" t="inlineStr">
        <is>
          <t>استوريا خ</t>
        </is>
      </c>
      <c r="E86" s="41" t="inlineStr">
        <is>
          <t>1*40</t>
        </is>
      </c>
      <c r="F86" s="41" t="inlineStr">
        <is>
          <t>اورينت</t>
        </is>
      </c>
      <c r="G86" s="41" t="inlineStr">
        <is>
          <t xml:space="preserve">العاشر </t>
        </is>
      </c>
      <c r="H86" s="41" t="inlineStr">
        <is>
          <t>860735/1</t>
        </is>
      </c>
      <c r="I86" s="41" t="inlineStr">
        <is>
          <t>ب و ا 5761</t>
        </is>
      </c>
      <c r="J86" s="41" t="inlineStr">
        <is>
          <t xml:space="preserve">احمد السيد </t>
        </is>
      </c>
      <c r="K86" s="41" t="inlineStr">
        <is>
          <t xml:space="preserve">استوريا </t>
        </is>
      </c>
      <c r="L86" s="42" t="n">
        <v>14000</v>
      </c>
      <c r="M86" s="42" t="n">
        <v>8100</v>
      </c>
      <c r="N86" s="42" t="n"/>
      <c r="O86" s="42" t="n">
        <v>200</v>
      </c>
      <c r="P86" s="42" t="n"/>
      <c r="Q86" s="42" t="n">
        <v>5700</v>
      </c>
      <c r="R86" s="43">
        <f>IF($B86="","",N($S86)-N($Q86))</f>
        <v/>
      </c>
      <c r="S86" s="43">
        <f>IF($B86="","",N($L86)+N($N86)+N($P86))</f>
        <v/>
      </c>
      <c r="T86" s="42" t="n"/>
      <c r="U86" s="42" t="n"/>
      <c r="V86" s="42" t="n"/>
      <c r="W86" s="42" t="n"/>
      <c r="X86" s="42" t="n"/>
      <c r="Y86" s="42" t="n"/>
      <c r="Z86" s="42" t="n"/>
      <c r="AA86" s="42" t="n"/>
      <c r="AB86" s="42" t="n"/>
      <c r="AC86" s="42" t="n"/>
      <c r="AD86" s="42" t="n"/>
      <c r="AE86" s="42" t="n"/>
      <c r="AF86" s="43">
        <f>IF($B86="","",SUM($T86:$AE86))</f>
        <v/>
      </c>
      <c r="AG86" s="43">
        <f>IF($B86="","",N($M86)-N($AF86))</f>
        <v/>
      </c>
      <c r="AH86" s="43">
        <f>IF($B86="","",N($L86)-N($AF86))</f>
        <v/>
      </c>
      <c r="AI86" s="149">
        <f>IF($B86="","",IF(N($L86)=0,"",(N($L86)-N($AF86))/N($L86)))</f>
        <v/>
      </c>
    </row>
    <row r="87">
      <c r="A87" s="39">
        <f>IF($B87="","",COUNTA($B$4:$B87))</f>
        <v/>
      </c>
      <c r="B87" s="45" t="n">
        <v>46037</v>
      </c>
      <c r="C87" s="46" t="n">
        <v>1991</v>
      </c>
      <c r="D87" s="46" t="inlineStr">
        <is>
          <t>الانصارى خ</t>
        </is>
      </c>
      <c r="E87" s="46" t="inlineStr">
        <is>
          <t>1*40</t>
        </is>
      </c>
      <c r="F87" s="46" t="inlineStr">
        <is>
          <t>اورينت</t>
        </is>
      </c>
      <c r="G87" s="46" t="inlineStr">
        <is>
          <t xml:space="preserve">العاشر </t>
        </is>
      </c>
      <c r="H87" s="46" t="inlineStr">
        <is>
          <t>517659/2</t>
        </is>
      </c>
      <c r="I87" s="46" t="inlineStr">
        <is>
          <t>ب ص ا 2574</t>
        </is>
      </c>
      <c r="J87" s="46" t="inlineStr">
        <is>
          <t xml:space="preserve">محمد البحيرى </t>
        </is>
      </c>
      <c r="K87" s="46" t="inlineStr">
        <is>
          <t>البحيري</t>
        </is>
      </c>
      <c r="L87" s="47" t="n">
        <v>14000</v>
      </c>
      <c r="M87" s="47" t="n">
        <v>8100</v>
      </c>
      <c r="N87" s="47" t="n"/>
      <c r="O87" s="47" t="n">
        <v>200</v>
      </c>
      <c r="P87" s="47" t="n"/>
      <c r="Q87" s="47" t="n">
        <v>5700</v>
      </c>
      <c r="R87" s="43">
        <f>IF($B87="","",N($S87)-N($Q87))</f>
        <v/>
      </c>
      <c r="S87" s="43">
        <f>IF($B87="","",N($L87)+N($N87)+N($P87))</f>
        <v/>
      </c>
      <c r="T87" s="47" t="n"/>
      <c r="U87" s="47" t="n"/>
      <c r="V87" s="47" t="n"/>
      <c r="W87" s="47" t="n"/>
      <c r="X87" s="47" t="n"/>
      <c r="Y87" s="47" t="n"/>
      <c r="Z87" s="47" t="n"/>
      <c r="AA87" s="47" t="n"/>
      <c r="AB87" s="47" t="n"/>
      <c r="AC87" s="47" t="n"/>
      <c r="AD87" s="47" t="n"/>
      <c r="AE87" s="47" t="n"/>
      <c r="AF87" s="43">
        <f>IF($B87="","",SUM($T87:$AE87))</f>
        <v/>
      </c>
      <c r="AG87" s="43">
        <f>IF($B87="","",N($M87)-N($AF87))</f>
        <v/>
      </c>
      <c r="AH87" s="43">
        <f>IF($B87="","",N($L87)-N($AF87))</f>
        <v/>
      </c>
      <c r="AI87" s="149">
        <f>IF($B87="","",IF(N($L87)=0,"",(N($L87)-N($AF87))/N($L87)))</f>
        <v/>
      </c>
    </row>
    <row r="88">
      <c r="A88" s="39">
        <f>IF($B88="","",COUNTA($B$4:$B88))</f>
        <v/>
      </c>
      <c r="B88" s="40" t="n">
        <v>46037</v>
      </c>
      <c r="C88" s="41" t="n">
        <v>1992</v>
      </c>
      <c r="D88" s="41" t="inlineStr">
        <is>
          <t>سعد منير</t>
        </is>
      </c>
      <c r="E88" s="41" t="inlineStr">
        <is>
          <t>1*40</t>
        </is>
      </c>
      <c r="F88" s="41" t="inlineStr">
        <is>
          <t>اورينت</t>
        </is>
      </c>
      <c r="G88" s="41" t="inlineStr">
        <is>
          <t xml:space="preserve">العاشر </t>
        </is>
      </c>
      <c r="H88" s="41" t="inlineStr">
        <is>
          <t>627679/3</t>
        </is>
      </c>
      <c r="I88" s="41" t="inlineStr">
        <is>
          <t>ص ع ا 1342</t>
        </is>
      </c>
      <c r="J88" s="41" t="inlineStr">
        <is>
          <t xml:space="preserve">سمير نصر </t>
        </is>
      </c>
      <c r="K88" s="41" t="inlineStr">
        <is>
          <t xml:space="preserve">الليبر </t>
        </is>
      </c>
      <c r="L88" s="42" t="n">
        <v>14000</v>
      </c>
      <c r="M88" s="42" t="n">
        <v>8100</v>
      </c>
      <c r="N88" s="42" t="n"/>
      <c r="O88" s="42" t="n">
        <v>200</v>
      </c>
      <c r="P88" s="42" t="n"/>
      <c r="Q88" s="42" t="n">
        <v>5700</v>
      </c>
      <c r="R88" s="43">
        <f>IF($B88="","",N($S88)-N($Q88))</f>
        <v/>
      </c>
      <c r="S88" s="43">
        <f>IF($B88="","",N($L88)+N($N88)+N($P88))</f>
        <v/>
      </c>
      <c r="T88" s="42" t="n"/>
      <c r="U88" s="42" t="n"/>
      <c r="V88" s="42" t="n"/>
      <c r="W88" s="42" t="n"/>
      <c r="X88" s="42" t="n"/>
      <c r="Y88" s="42" t="n"/>
      <c r="Z88" s="42" t="n"/>
      <c r="AA88" s="42" t="n"/>
      <c r="AB88" s="42" t="n"/>
      <c r="AC88" s="42" t="n"/>
      <c r="AD88" s="42" t="n"/>
      <c r="AE88" s="42" t="n"/>
      <c r="AF88" s="43">
        <f>IF($B88="","",SUM($T88:$AE88))</f>
        <v/>
      </c>
      <c r="AG88" s="43">
        <f>IF($B88="","",N($M88)-N($AF88))</f>
        <v/>
      </c>
      <c r="AH88" s="43">
        <f>IF($B88="","",N($L88)-N($AF88))</f>
        <v/>
      </c>
      <c r="AI88" s="149">
        <f>IF($B88="","",IF(N($L88)=0,"",(N($L88)-N($AF88))/N($L88)))</f>
        <v/>
      </c>
    </row>
    <row r="89">
      <c r="A89" s="39">
        <f>IF($B89="","",COUNTA($B$4:$B89))</f>
        <v/>
      </c>
      <c r="B89" s="45" t="n">
        <v>46037</v>
      </c>
      <c r="C89" s="46" t="n">
        <v>1993</v>
      </c>
      <c r="D89" s="46" t="inlineStr">
        <is>
          <t>احمد خطاب</t>
        </is>
      </c>
      <c r="E89" s="46" t="inlineStr">
        <is>
          <t>1*40</t>
        </is>
      </c>
      <c r="F89" s="46" t="inlineStr">
        <is>
          <t>اورينت</t>
        </is>
      </c>
      <c r="G89" s="46" t="inlineStr">
        <is>
          <t xml:space="preserve">العاشر </t>
        </is>
      </c>
      <c r="H89" s="46" t="inlineStr">
        <is>
          <t>749574/6</t>
        </is>
      </c>
      <c r="I89" s="46" t="inlineStr">
        <is>
          <t>ب د ف 9286</t>
        </is>
      </c>
      <c r="J89" s="46" t="inlineStr">
        <is>
          <t xml:space="preserve">عماد حمدى </t>
        </is>
      </c>
      <c r="K89" s="46" t="inlineStr">
        <is>
          <t xml:space="preserve">الليبر </t>
        </is>
      </c>
      <c r="L89" s="47" t="n">
        <v>14000</v>
      </c>
      <c r="M89" s="47" t="n">
        <v>8100</v>
      </c>
      <c r="N89" s="47" t="n"/>
      <c r="O89" s="47" t="n">
        <v>200</v>
      </c>
      <c r="P89" s="47" t="n"/>
      <c r="Q89" s="47" t="n">
        <v>5700</v>
      </c>
      <c r="R89" s="43">
        <f>IF($B89="","",N($S89)-N($Q89))</f>
        <v/>
      </c>
      <c r="S89" s="43">
        <f>IF($B89="","",N($L89)+N($N89)+N($P89))</f>
        <v/>
      </c>
      <c r="T89" s="47" t="n"/>
      <c r="U89" s="47" t="n"/>
      <c r="V89" s="47" t="n"/>
      <c r="W89" s="47" t="n"/>
      <c r="X89" s="47" t="n"/>
      <c r="Y89" s="47" t="n"/>
      <c r="Z89" s="47" t="n"/>
      <c r="AA89" s="47" t="n"/>
      <c r="AB89" s="47" t="n"/>
      <c r="AC89" s="47" t="n"/>
      <c r="AD89" s="47" t="n"/>
      <c r="AE89" s="47" t="n"/>
      <c r="AF89" s="43">
        <f>IF($B89="","",SUM($T89:$AE89))</f>
        <v/>
      </c>
      <c r="AG89" s="43">
        <f>IF($B89="","",N($M89)-N($AF89))</f>
        <v/>
      </c>
      <c r="AH89" s="43">
        <f>IF($B89="","",N($L89)-N($AF89))</f>
        <v/>
      </c>
      <c r="AI89" s="149">
        <f>IF($B89="","",IF(N($L89)=0,"",(N($L89)-N($AF89))/N($L89)))</f>
        <v/>
      </c>
    </row>
    <row r="90">
      <c r="A90" s="39">
        <f>IF($B90="","",COUNTA($B$4:$B90))</f>
        <v/>
      </c>
      <c r="B90" s="40" t="n">
        <v>46037</v>
      </c>
      <c r="C90" s="41" t="n">
        <v>1994</v>
      </c>
      <c r="D90" s="41" t="inlineStr">
        <is>
          <t>احمد عبدو خ</t>
        </is>
      </c>
      <c r="E90" s="41" t="inlineStr">
        <is>
          <t>1*40</t>
        </is>
      </c>
      <c r="F90" s="41" t="inlineStr">
        <is>
          <t>اورينت</t>
        </is>
      </c>
      <c r="G90" s="41" t="inlineStr">
        <is>
          <t xml:space="preserve">العاشر </t>
        </is>
      </c>
      <c r="H90" s="41" t="inlineStr">
        <is>
          <t>630936/4</t>
        </is>
      </c>
      <c r="I90" s="41" t="inlineStr">
        <is>
          <t>س ل ب5917</t>
        </is>
      </c>
      <c r="J90" s="41" t="inlineStr">
        <is>
          <t xml:space="preserve">مصطفى علام </t>
        </is>
      </c>
      <c r="K90" s="41" t="inlineStr">
        <is>
          <t xml:space="preserve">علاء علام </t>
        </is>
      </c>
      <c r="L90" s="42" t="n">
        <v>14000</v>
      </c>
      <c r="M90" s="42" t="n">
        <v>8100</v>
      </c>
      <c r="N90" s="42" t="n"/>
      <c r="O90" s="42" t="n">
        <v>200</v>
      </c>
      <c r="P90" s="42" t="n"/>
      <c r="Q90" s="42" t="n">
        <v>5700</v>
      </c>
      <c r="R90" s="43">
        <f>IF($B90="","",N($S90)-N($Q90))</f>
        <v/>
      </c>
      <c r="S90" s="43">
        <f>IF($B90="","",N($L90)+N($N90)+N($P90))</f>
        <v/>
      </c>
      <c r="T90" s="42" t="n"/>
      <c r="U90" s="42" t="n"/>
      <c r="V90" s="42" t="n"/>
      <c r="W90" s="42" t="n"/>
      <c r="X90" s="42" t="n"/>
      <c r="Y90" s="42" t="n"/>
      <c r="Z90" s="42" t="n"/>
      <c r="AA90" s="42" t="n"/>
      <c r="AB90" s="42" t="n"/>
      <c r="AC90" s="42" t="n"/>
      <c r="AD90" s="42" t="n"/>
      <c r="AE90" s="42" t="n"/>
      <c r="AF90" s="43">
        <f>IF($B90="","",SUM($T90:$AE90))</f>
        <v/>
      </c>
      <c r="AG90" s="43">
        <f>IF($B90="","",N($M90)-N($AF90))</f>
        <v/>
      </c>
      <c r="AH90" s="43">
        <f>IF($B90="","",N($L90)-N($AF90))</f>
        <v/>
      </c>
      <c r="AI90" s="149">
        <f>IF($B90="","",IF(N($L90)=0,"",(N($L90)-N($AF90))/N($L90)))</f>
        <v/>
      </c>
    </row>
    <row r="91">
      <c r="A91" s="39">
        <f>IF($B91="","",COUNTA($B$4:$B91))</f>
        <v/>
      </c>
      <c r="B91" s="45" t="n">
        <v>46037</v>
      </c>
      <c r="C91" s="46" t="n">
        <v>1995</v>
      </c>
      <c r="D91" s="46" t="inlineStr">
        <is>
          <t xml:space="preserve">احمد محسن </t>
        </is>
      </c>
      <c r="E91" s="46" t="inlineStr">
        <is>
          <t>1*40</t>
        </is>
      </c>
      <c r="F91" s="46" t="inlineStr">
        <is>
          <t>اورينت</t>
        </is>
      </c>
      <c r="G91" s="46" t="inlineStr">
        <is>
          <t xml:space="preserve">العاشر </t>
        </is>
      </c>
      <c r="H91" s="46" t="inlineStr">
        <is>
          <t>489593/3</t>
        </is>
      </c>
      <c r="I91" s="46" t="inlineStr">
        <is>
          <t>س ع ا 7219</t>
        </is>
      </c>
      <c r="J91" s="46" t="inlineStr">
        <is>
          <t xml:space="preserve">طلعت محمد </t>
        </is>
      </c>
      <c r="K91" s="46" t="inlineStr">
        <is>
          <t xml:space="preserve">احمد محسن </t>
        </is>
      </c>
      <c r="L91" s="47" t="n">
        <v>14000</v>
      </c>
      <c r="M91" s="47" t="n">
        <v>8100</v>
      </c>
      <c r="N91" s="47" t="n"/>
      <c r="O91" s="47" t="n">
        <v>200</v>
      </c>
      <c r="P91" s="47" t="n"/>
      <c r="Q91" s="47" t="n">
        <v>5700</v>
      </c>
      <c r="R91" s="43">
        <f>IF($B91="","",N($S91)-N($Q91))</f>
        <v/>
      </c>
      <c r="S91" s="43">
        <f>IF($B91="","",N($L91)+N($N91)+N($P91))</f>
        <v/>
      </c>
      <c r="T91" s="47" t="n"/>
      <c r="U91" s="47" t="n"/>
      <c r="V91" s="47" t="n"/>
      <c r="W91" s="47" t="n"/>
      <c r="X91" s="47" t="n"/>
      <c r="Y91" s="47" t="n"/>
      <c r="Z91" s="47" t="n"/>
      <c r="AA91" s="47" t="n"/>
      <c r="AB91" s="47" t="n"/>
      <c r="AC91" s="47" t="n"/>
      <c r="AD91" s="47" t="n"/>
      <c r="AE91" s="47" t="n"/>
      <c r="AF91" s="43">
        <f>IF($B91="","",SUM($T91:$AE91))</f>
        <v/>
      </c>
      <c r="AG91" s="43">
        <f>IF($B91="","",N($M91)-N($AF91))</f>
        <v/>
      </c>
      <c r="AH91" s="43">
        <f>IF($B91="","",N($L91)-N($AF91))</f>
        <v/>
      </c>
      <c r="AI91" s="149">
        <f>IF($B91="","",IF(N($L91)=0,"",(N($L91)-N($AF91))/N($L91)))</f>
        <v/>
      </c>
    </row>
    <row r="92">
      <c r="A92" s="39">
        <f>IF($B92="","",COUNTA($B$4:$B92))</f>
        <v/>
      </c>
      <c r="B92" s="40" t="n">
        <v>46037</v>
      </c>
      <c r="C92" s="41" t="n">
        <v>1996</v>
      </c>
      <c r="D92" s="41" t="inlineStr">
        <is>
          <t>المكتب</t>
        </is>
      </c>
      <c r="E92" s="41" t="inlineStr">
        <is>
          <t>1*40</t>
        </is>
      </c>
      <c r="F92" s="41" t="inlineStr">
        <is>
          <t xml:space="preserve">المصرية للتريكو </t>
        </is>
      </c>
      <c r="G92" s="41" t="inlineStr">
        <is>
          <t xml:space="preserve">العاشر </t>
        </is>
      </c>
      <c r="H92" s="41" t="inlineStr">
        <is>
          <t>510450/3</t>
        </is>
      </c>
      <c r="I92" s="41" t="inlineStr">
        <is>
          <t>س ع م 8737</t>
        </is>
      </c>
      <c r="J92" s="41" t="inlineStr">
        <is>
          <t>سامح عبدالحميد</t>
        </is>
      </c>
      <c r="K92" s="41" t="inlineStr">
        <is>
          <t>المكتب</t>
        </is>
      </c>
      <c r="L92" s="42" t="n">
        <v>14000</v>
      </c>
      <c r="M92" s="42" t="n">
        <v>6000</v>
      </c>
      <c r="N92" s="42" t="n"/>
      <c r="O92" s="42" t="n"/>
      <c r="P92" s="42" t="n"/>
      <c r="Q92" s="42" t="n">
        <v>8000</v>
      </c>
      <c r="R92" s="43">
        <f>IF($B92="","",N($S92)-N($Q92))</f>
        <v/>
      </c>
      <c r="S92" s="43">
        <f>IF($B92="","",N($L92)+N($N92)+N($P92))</f>
        <v/>
      </c>
      <c r="T92" s="42" t="n">
        <v>1400</v>
      </c>
      <c r="U92" s="42" t="n">
        <v>550</v>
      </c>
      <c r="V92" s="42" t="n"/>
      <c r="W92" s="42" t="n">
        <v>150</v>
      </c>
      <c r="X92" s="42" t="n">
        <v>60</v>
      </c>
      <c r="Y92" s="42" t="n">
        <v>60</v>
      </c>
      <c r="Z92" s="42" t="n"/>
      <c r="AA92" s="42" t="n"/>
      <c r="AB92" s="42" t="n"/>
      <c r="AC92" s="42" t="n">
        <v>150</v>
      </c>
      <c r="AD92" s="42" t="n"/>
      <c r="AE92" s="42" t="n">
        <v>2430</v>
      </c>
      <c r="AF92" s="43">
        <f>IF($B92="","",SUM($T92:$AE92))</f>
        <v/>
      </c>
      <c r="AG92" s="43">
        <f>IF($B92="","",N($M92)-N($AF92))</f>
        <v/>
      </c>
      <c r="AH92" s="43">
        <f>IF($B92="","",N($L92)-N($AF92))</f>
        <v/>
      </c>
      <c r="AI92" s="149">
        <f>IF($B92="","",IF(N($L92)=0,"",(N($L92)-N($AF92))/N($L92)))</f>
        <v/>
      </c>
    </row>
    <row r="93">
      <c r="A93" s="39">
        <f>IF($B93="","",COUNTA($B$4:$B93))</f>
        <v/>
      </c>
      <c r="B93" s="45" t="n">
        <v>46037</v>
      </c>
      <c r="C93" s="46" t="n">
        <v>1292</v>
      </c>
      <c r="D93" s="46" t="inlineStr">
        <is>
          <t>حماد خ</t>
        </is>
      </c>
      <c r="E93" s="46" t="inlineStr">
        <is>
          <t>1*40 ث</t>
        </is>
      </c>
      <c r="F93" s="46" t="inlineStr">
        <is>
          <t xml:space="preserve">الفرسان </t>
        </is>
      </c>
      <c r="G93" s="46" t="inlineStr">
        <is>
          <t xml:space="preserve">اكتوبر </t>
        </is>
      </c>
      <c r="H93" s="46" t="inlineStr">
        <is>
          <t>546703/2</t>
        </is>
      </c>
      <c r="I93" s="46" t="inlineStr">
        <is>
          <t>س ن ب 1639</t>
        </is>
      </c>
      <c r="J93" s="46" t="inlineStr">
        <is>
          <t xml:space="preserve">محمد عاطف </t>
        </is>
      </c>
      <c r="K93" s="46" t="inlineStr">
        <is>
          <t>محمدصابر</t>
        </is>
      </c>
      <c r="L93" s="47" t="n">
        <v>14000</v>
      </c>
      <c r="M93" s="47" t="n">
        <v>8100</v>
      </c>
      <c r="N93" s="47" t="n"/>
      <c r="O93" s="47" t="n">
        <v>200</v>
      </c>
      <c r="P93" s="47" t="n"/>
      <c r="Q93" s="47" t="n">
        <v>5700</v>
      </c>
      <c r="R93" s="43">
        <f>IF($B93="","",N($S93)-N($Q93))</f>
        <v/>
      </c>
      <c r="S93" s="43">
        <f>IF($B93="","",N($L93)+N($N93)+N($P93))</f>
        <v/>
      </c>
      <c r="T93" s="47" t="n"/>
      <c r="U93" s="47" t="n"/>
      <c r="V93" s="47" t="n"/>
      <c r="W93" s="47" t="n"/>
      <c r="X93" s="47" t="n"/>
      <c r="Y93" s="47" t="n"/>
      <c r="Z93" s="47" t="n"/>
      <c r="AA93" s="47" t="n"/>
      <c r="AB93" s="47" t="n"/>
      <c r="AC93" s="47" t="n"/>
      <c r="AD93" s="47" t="n"/>
      <c r="AE93" s="47" t="n"/>
      <c r="AF93" s="43">
        <f>IF($B93="","",SUM($T93:$AE93))</f>
        <v/>
      </c>
      <c r="AG93" s="43">
        <f>IF($B93="","",N($M93)-N($AF93))</f>
        <v/>
      </c>
      <c r="AH93" s="43">
        <f>IF($B93="","",N($L93)-N($AF93))</f>
        <v/>
      </c>
      <c r="AI93" s="149">
        <f>IF($B93="","",IF(N($L93)=0,"",(N($L93)-N($AF93))/N($L93)))</f>
        <v/>
      </c>
    </row>
    <row r="94">
      <c r="A94" s="39">
        <f>IF($B94="","",COUNTA($B$4:$B94))</f>
        <v/>
      </c>
      <c r="B94" s="40" t="n">
        <v>46037</v>
      </c>
      <c r="C94" s="41" t="n">
        <v>1290</v>
      </c>
      <c r="D94" s="41" t="inlineStr">
        <is>
          <t>حماد خ</t>
        </is>
      </c>
      <c r="E94" s="41" t="inlineStr">
        <is>
          <t>1*40 ث</t>
        </is>
      </c>
      <c r="F94" s="41" t="inlineStr">
        <is>
          <t xml:space="preserve">الفرسان </t>
        </is>
      </c>
      <c r="G94" s="41" t="inlineStr">
        <is>
          <t xml:space="preserve">اكتوبر </t>
        </is>
      </c>
      <c r="H94" s="41" t="inlineStr">
        <is>
          <t>988048/7</t>
        </is>
      </c>
      <c r="I94" s="41" t="inlineStr">
        <is>
          <t>س ن ر 5265</t>
        </is>
      </c>
      <c r="J94" s="41" t="inlineStr">
        <is>
          <t xml:space="preserve">خالد شحاتة </t>
        </is>
      </c>
      <c r="K94" s="41" t="inlineStr">
        <is>
          <t xml:space="preserve">محمد صابر </t>
        </is>
      </c>
      <c r="L94" s="42" t="n">
        <v>14000</v>
      </c>
      <c r="M94" s="42" t="n">
        <v>8100</v>
      </c>
      <c r="N94" s="42" t="n"/>
      <c r="O94" s="42" t="n">
        <v>200</v>
      </c>
      <c r="P94" s="42" t="n"/>
      <c r="Q94" s="42" t="n">
        <v>5700</v>
      </c>
      <c r="R94" s="43">
        <f>IF($B94="","",N($S94)-N($Q94))</f>
        <v/>
      </c>
      <c r="S94" s="43">
        <f>IF($B94="","",N($L94)+N($N94)+N($P94))</f>
        <v/>
      </c>
      <c r="T94" s="42" t="n"/>
      <c r="U94" s="42" t="n"/>
      <c r="V94" s="42" t="n"/>
      <c r="W94" s="42" t="n"/>
      <c r="X94" s="42" t="n"/>
      <c r="Y94" s="42" t="n"/>
      <c r="Z94" s="42" t="n"/>
      <c r="AA94" s="42" t="n"/>
      <c r="AB94" s="42" t="n"/>
      <c r="AC94" s="42" t="n"/>
      <c r="AD94" s="42" t="n"/>
      <c r="AE94" s="42" t="n"/>
      <c r="AF94" s="43">
        <f>IF($B94="","",SUM($T94:$AE94))</f>
        <v/>
      </c>
      <c r="AG94" s="43">
        <f>IF($B94="","",N($M94)-N($AF94))</f>
        <v/>
      </c>
      <c r="AH94" s="43">
        <f>IF($B94="","",N($L94)-N($AF94))</f>
        <v/>
      </c>
      <c r="AI94" s="149">
        <f>IF($B94="","",IF(N($L94)=0,"",(N($L94)-N($AF94))/N($L94)))</f>
        <v/>
      </c>
    </row>
    <row r="95">
      <c r="A95" s="39">
        <f>IF($B95="","",COUNTA($B$4:$B95))</f>
        <v/>
      </c>
      <c r="B95" s="45" t="n">
        <v>46037</v>
      </c>
      <c r="C95" s="46" t="n">
        <v>1291</v>
      </c>
      <c r="D95" s="46" t="inlineStr">
        <is>
          <t>مخزن</t>
        </is>
      </c>
      <c r="E95" s="46" t="inlineStr">
        <is>
          <t>1*40 ث</t>
        </is>
      </c>
      <c r="F95" s="46" t="inlineStr">
        <is>
          <t xml:space="preserve">الفرسان </t>
        </is>
      </c>
      <c r="G95" s="46" t="inlineStr">
        <is>
          <t>أكتوبر</t>
        </is>
      </c>
      <c r="H95" s="46" t="inlineStr">
        <is>
          <t>941231/1</t>
        </is>
      </c>
      <c r="I95" s="46" t="inlineStr">
        <is>
          <t>س ل ا 5468</t>
        </is>
      </c>
      <c r="J95" s="46" t="inlineStr">
        <is>
          <t>حسام الدين محمد</t>
        </is>
      </c>
      <c r="K95" s="46" t="inlineStr">
        <is>
          <t>احمد مخزن</t>
        </is>
      </c>
      <c r="L95" s="47" t="n">
        <v>14000</v>
      </c>
      <c r="M95" s="47" t="n">
        <v>8100</v>
      </c>
      <c r="N95" s="47" t="n"/>
      <c r="O95" s="47" t="n">
        <v>200</v>
      </c>
      <c r="P95" s="47" t="n"/>
      <c r="Q95" s="47" t="n">
        <v>5700</v>
      </c>
      <c r="R95" s="43">
        <f>IF($B95="","",N($S95)-N($Q95))</f>
        <v/>
      </c>
      <c r="S95" s="43">
        <f>IF($B95="","",N($L95)+N($N95)+N($P95))</f>
        <v/>
      </c>
      <c r="T95" s="47" t="n"/>
      <c r="U95" s="47" t="n"/>
      <c r="V95" s="47" t="n"/>
      <c r="W95" s="47" t="n"/>
      <c r="X95" s="47" t="n"/>
      <c r="Y95" s="47" t="n"/>
      <c r="Z95" s="47" t="n"/>
      <c r="AA95" s="47" t="n"/>
      <c r="AB95" s="47" t="n"/>
      <c r="AC95" s="47" t="n"/>
      <c r="AD95" s="47" t="n"/>
      <c r="AE95" s="47" t="n"/>
      <c r="AF95" s="43">
        <f>IF($B95="","",SUM($T95:$AE95))</f>
        <v/>
      </c>
      <c r="AG95" s="43">
        <f>IF($B95="","",N($M95)-N($AF95))</f>
        <v/>
      </c>
      <c r="AH95" s="43">
        <f>IF($B95="","",N($L95)-N($AF95))</f>
        <v/>
      </c>
      <c r="AI95" s="149">
        <f>IF($B95="","",IF(N($L95)=0,"",(N($L95)-N($AF95))/N($L95)))</f>
        <v/>
      </c>
    </row>
    <row r="96">
      <c r="A96" s="39">
        <f>IF($B96="","",COUNTA($B$4:$B96))</f>
        <v/>
      </c>
      <c r="B96" s="40" t="n">
        <v>46037</v>
      </c>
      <c r="C96" s="41" t="n">
        <v>1293</v>
      </c>
      <c r="D96" s="41" t="inlineStr">
        <is>
          <t>حمادة ذكى</t>
        </is>
      </c>
      <c r="E96" s="41" t="inlineStr">
        <is>
          <t>1*40 ث</t>
        </is>
      </c>
      <c r="F96" s="41" t="inlineStr">
        <is>
          <t xml:space="preserve">الفرسان </t>
        </is>
      </c>
      <c r="G96" s="41" t="inlineStr">
        <is>
          <t>أكتوبر</t>
        </is>
      </c>
      <c r="H96" s="41" t="inlineStr">
        <is>
          <t>806531/4</t>
        </is>
      </c>
      <c r="I96" s="41" t="inlineStr">
        <is>
          <t>س ر ا 9197</t>
        </is>
      </c>
      <c r="J96" s="41" t="inlineStr">
        <is>
          <t xml:space="preserve">الشيخ سيد </t>
        </is>
      </c>
      <c r="K96" s="41" t="inlineStr">
        <is>
          <t xml:space="preserve">حمادة ذكى </t>
        </is>
      </c>
      <c r="L96" s="42" t="n">
        <v>14000</v>
      </c>
      <c r="M96" s="42" t="n">
        <v>8100</v>
      </c>
      <c r="N96" s="42" t="n"/>
      <c r="O96" s="42" t="n">
        <v>200</v>
      </c>
      <c r="P96" s="42" t="n"/>
      <c r="Q96" s="42" t="n">
        <v>5700</v>
      </c>
      <c r="R96" s="43">
        <f>IF($B96="","",N($S96)-N($Q96))</f>
        <v/>
      </c>
      <c r="S96" s="43">
        <f>IF($B96="","",N($L96)+N($N96)+N($P96))</f>
        <v/>
      </c>
      <c r="T96" s="42" t="n"/>
      <c r="U96" s="42" t="n"/>
      <c r="V96" s="42" t="n"/>
      <c r="W96" s="42" t="n"/>
      <c r="X96" s="42" t="n"/>
      <c r="Y96" s="42" t="n"/>
      <c r="Z96" s="42" t="n"/>
      <c r="AA96" s="42" t="n"/>
      <c r="AB96" s="42" t="n"/>
      <c r="AC96" s="42" t="n"/>
      <c r="AD96" s="42" t="n"/>
      <c r="AE96" s="42" t="n"/>
      <c r="AF96" s="43">
        <f>IF($B96="","",SUM($T96:$AE96))</f>
        <v/>
      </c>
      <c r="AG96" s="43">
        <f>IF($B96="","",N($M96)-N($AF96))</f>
        <v/>
      </c>
      <c r="AH96" s="43">
        <f>IF($B96="","",N($L96)-N($AF96))</f>
        <v/>
      </c>
      <c r="AI96" s="149">
        <f>IF($B96="","",IF(N($L96)=0,"",(N($L96)-N($AF96))/N($L96)))</f>
        <v/>
      </c>
    </row>
    <row r="97">
      <c r="A97" s="39">
        <f>IF($B97="","",COUNTA($B$4:$B97))</f>
        <v/>
      </c>
      <c r="B97" s="45" t="n">
        <v>46037</v>
      </c>
      <c r="C97" s="46" t="n">
        <v>1294</v>
      </c>
      <c r="D97" s="46" t="inlineStr">
        <is>
          <t xml:space="preserve">بدوى صلاح </t>
        </is>
      </c>
      <c r="E97" s="46" t="inlineStr">
        <is>
          <t>1*40</t>
        </is>
      </c>
      <c r="F97" s="46" t="inlineStr">
        <is>
          <t xml:space="preserve">جرين بايو </t>
        </is>
      </c>
      <c r="G97" s="46" t="inlineStr">
        <is>
          <t xml:space="preserve">الصالحية </t>
        </is>
      </c>
      <c r="H97" s="46" t="inlineStr">
        <is>
          <t>838723/8</t>
        </is>
      </c>
      <c r="I97" s="46" t="inlineStr">
        <is>
          <t>ص ع ا 7538</t>
        </is>
      </c>
      <c r="J97" s="46" t="inlineStr">
        <is>
          <t xml:space="preserve">رمضان الصاوى </t>
        </is>
      </c>
      <c r="K97" s="46" t="inlineStr">
        <is>
          <t xml:space="preserve">رمضان الصاوى </t>
        </is>
      </c>
      <c r="L97" s="47" t="n">
        <v>17000</v>
      </c>
      <c r="M97" s="47" t="n">
        <v>9100</v>
      </c>
      <c r="N97" s="47" t="n"/>
      <c r="O97" s="47" t="n">
        <v>200</v>
      </c>
      <c r="P97" s="47" t="n"/>
      <c r="Q97" s="47" t="n">
        <v>7700</v>
      </c>
      <c r="R97" s="43">
        <f>IF($B97="","",N($S97)-N($Q97))</f>
        <v/>
      </c>
      <c r="S97" s="43">
        <f>IF($B97="","",N($L97)+N($N97)+N($P97))</f>
        <v/>
      </c>
      <c r="T97" s="47" t="n"/>
      <c r="U97" s="47" t="n"/>
      <c r="V97" s="47" t="n"/>
      <c r="W97" s="47" t="n"/>
      <c r="X97" s="47" t="n"/>
      <c r="Y97" s="47" t="n"/>
      <c r="Z97" s="47" t="n"/>
      <c r="AA97" s="47" t="n"/>
      <c r="AB97" s="47" t="n"/>
      <c r="AC97" s="47" t="n"/>
      <c r="AD97" s="47" t="n"/>
      <c r="AE97" s="47" t="n"/>
      <c r="AF97" s="43">
        <f>IF($B97="","",SUM($T97:$AE97))</f>
        <v/>
      </c>
      <c r="AG97" s="43">
        <f>IF($B97="","",N($M97)-N($AF97))</f>
        <v/>
      </c>
      <c r="AH97" s="43">
        <f>IF($B97="","",N($L97)-N($AF97))</f>
        <v/>
      </c>
      <c r="AI97" s="149">
        <f>IF($B97="","",IF(N($L97)=0,"",(N($L97)-N($AF97))/N($L97)))</f>
        <v/>
      </c>
    </row>
    <row r="98">
      <c r="A98" s="39">
        <f>IF($B98="","",COUNTA($B$4:$B98))</f>
        <v/>
      </c>
      <c r="B98" s="40" t="n">
        <v>46037</v>
      </c>
      <c r="C98" s="41" t="n">
        <v>1916</v>
      </c>
      <c r="D98" s="41" t="inlineStr">
        <is>
          <t>المكتب</t>
        </is>
      </c>
      <c r="E98" s="41" t="inlineStr">
        <is>
          <t>1*40</t>
        </is>
      </c>
      <c r="F98" s="41" t="inlineStr">
        <is>
          <t xml:space="preserve">جرين بايو </t>
        </is>
      </c>
      <c r="G98" s="41" t="inlineStr">
        <is>
          <t xml:space="preserve">الصالحية / رجوع من ايتاى </t>
        </is>
      </c>
      <c r="H98" s="41" t="inlineStr">
        <is>
          <t>779532/7</t>
        </is>
      </c>
      <c r="I98" s="41" t="inlineStr">
        <is>
          <t>س ع م 8737</t>
        </is>
      </c>
      <c r="J98" s="41" t="inlineStr">
        <is>
          <t>سامح عبدالحميد</t>
        </is>
      </c>
      <c r="K98" s="41" t="inlineStr">
        <is>
          <t>المكتب</t>
        </is>
      </c>
      <c r="L98" s="42" t="n">
        <v>10000</v>
      </c>
      <c r="M98" s="42" t="n">
        <v>8000</v>
      </c>
      <c r="N98" s="42" t="n"/>
      <c r="O98" s="42" t="n"/>
      <c r="P98" s="42" t="n"/>
      <c r="Q98" s="42" t="n">
        <v>2000</v>
      </c>
      <c r="R98" s="43">
        <f>IF($B98="","",N($S98)-N($Q98))</f>
        <v/>
      </c>
      <c r="S98" s="43">
        <f>IF($B98="","",N($L98)+N($N98)+N($P98))</f>
        <v/>
      </c>
      <c r="T98" s="42" t="n">
        <v>1000</v>
      </c>
      <c r="U98" s="42" t="n">
        <v>500</v>
      </c>
      <c r="V98" s="42" t="n">
        <v>100</v>
      </c>
      <c r="W98" s="42" t="n">
        <v>90</v>
      </c>
      <c r="X98" s="42" t="n">
        <v>60</v>
      </c>
      <c r="Y98" s="42" t="n"/>
      <c r="Z98" s="42" t="n"/>
      <c r="AA98" s="42" t="n"/>
      <c r="AB98" s="42" t="n"/>
      <c r="AC98" s="42" t="n">
        <v>730</v>
      </c>
      <c r="AD98" s="42" t="n"/>
      <c r="AE98" s="42" t="n"/>
      <c r="AF98" s="43">
        <f>IF($B98="","",SUM($T98:$AE98))</f>
        <v/>
      </c>
      <c r="AG98" s="43">
        <f>IF($B98="","",N($M98)-N($AF98))</f>
        <v/>
      </c>
      <c r="AH98" s="43">
        <f>IF($B98="","",N($L98)-N($AF98))</f>
        <v/>
      </c>
      <c r="AI98" s="149">
        <f>IF($B98="","",IF(N($L98)=0,"",(N($L98)-N($AF98))/N($L98)))</f>
        <v/>
      </c>
    </row>
    <row r="99">
      <c r="A99" s="39">
        <f>IF($B99="","",COUNTA($B$4:$B99))</f>
        <v/>
      </c>
      <c r="B99" s="45" t="n">
        <v>46037</v>
      </c>
      <c r="C99" s="46" t="n">
        <v>1632</v>
      </c>
      <c r="D99" s="46" t="inlineStr">
        <is>
          <t>الفرجانى</t>
        </is>
      </c>
      <c r="E99" s="46" t="inlineStr">
        <is>
          <t>1*40</t>
        </is>
      </c>
      <c r="F99" s="46" t="inlineStr">
        <is>
          <t>اجرو جرين</t>
        </is>
      </c>
      <c r="G99" s="46" t="inlineStr">
        <is>
          <t xml:space="preserve">جمصة </t>
        </is>
      </c>
      <c r="H99" s="46" t="inlineStr">
        <is>
          <t>501406/0</t>
        </is>
      </c>
      <c r="I99" s="46" t="inlineStr">
        <is>
          <t>س م ص 1193</t>
        </is>
      </c>
      <c r="J99" s="46" t="inlineStr">
        <is>
          <t>محمد محروس</t>
        </is>
      </c>
      <c r="K99" s="46" t="inlineStr">
        <is>
          <t xml:space="preserve">الفرجانى </t>
        </is>
      </c>
      <c r="L99" s="47" t="n">
        <v>13000</v>
      </c>
      <c r="M99" s="47" t="n">
        <v>8100</v>
      </c>
      <c r="N99" s="47" t="n"/>
      <c r="O99" s="47" t="n">
        <v>200</v>
      </c>
      <c r="P99" s="47" t="n"/>
      <c r="Q99" s="47" t="n">
        <v>4700</v>
      </c>
      <c r="R99" s="43">
        <f>IF($B99="","",N($S99)-N($Q99))</f>
        <v/>
      </c>
      <c r="S99" s="43">
        <f>IF($B99="","",N($L99)+N($N99)+N($P99))</f>
        <v/>
      </c>
      <c r="T99" s="47" t="n"/>
      <c r="U99" s="47" t="n"/>
      <c r="V99" s="47" t="n"/>
      <c r="W99" s="47" t="n"/>
      <c r="X99" s="47" t="n"/>
      <c r="Y99" s="47" t="n"/>
      <c r="Z99" s="47" t="n"/>
      <c r="AA99" s="47" t="n"/>
      <c r="AB99" s="47" t="n"/>
      <c r="AC99" s="47" t="n"/>
      <c r="AD99" s="47" t="n"/>
      <c r="AE99" s="47" t="n"/>
      <c r="AF99" s="43">
        <f>IF($B99="","",SUM($T99:$AE99))</f>
        <v/>
      </c>
      <c r="AG99" s="43">
        <f>IF($B99="","",N($M99)-N($AF99))</f>
        <v/>
      </c>
      <c r="AH99" s="43">
        <f>IF($B99="","",N($L99)-N($AF99))</f>
        <v/>
      </c>
      <c r="AI99" s="149">
        <f>IF($B99="","",IF(N($L99)=0,"",(N($L99)-N($AF99))/N($L99)))</f>
        <v/>
      </c>
    </row>
    <row r="100">
      <c r="A100" s="39">
        <f>IF($B100="","",COUNTA($B$4:$B100))</f>
        <v/>
      </c>
      <c r="B100" s="40" t="n">
        <v>46037</v>
      </c>
      <c r="C100" s="41" t="n">
        <v>1630</v>
      </c>
      <c r="D100" s="41" t="inlineStr">
        <is>
          <t xml:space="preserve">طارق الجمل </t>
        </is>
      </c>
      <c r="E100" s="41" t="inlineStr">
        <is>
          <t>1*40</t>
        </is>
      </c>
      <c r="F100" s="41" t="inlineStr">
        <is>
          <t>دلتا فلكس</t>
        </is>
      </c>
      <c r="G100" s="41" t="inlineStr">
        <is>
          <t xml:space="preserve">المحلة </t>
        </is>
      </c>
      <c r="H100" s="41" t="inlineStr">
        <is>
          <t>744000/2</t>
        </is>
      </c>
      <c r="I100" s="41" t="inlineStr">
        <is>
          <t>س ص ى 3829</t>
        </is>
      </c>
      <c r="J100" s="41" t="inlineStr">
        <is>
          <t xml:space="preserve">محمد امين </t>
        </is>
      </c>
      <c r="K100" s="41" t="inlineStr">
        <is>
          <t xml:space="preserve">اشرف الجمل </t>
        </is>
      </c>
      <c r="L100" s="42" t="n">
        <v>12700</v>
      </c>
      <c r="M100" s="42" t="n">
        <v>7100</v>
      </c>
      <c r="N100" s="42" t="n"/>
      <c r="O100" s="42" t="n">
        <v>200</v>
      </c>
      <c r="P100" s="42" t="n"/>
      <c r="Q100" s="42" t="n">
        <v>5400</v>
      </c>
      <c r="R100" s="43">
        <f>IF($B100="","",N($S100)-N($Q100))</f>
        <v/>
      </c>
      <c r="S100" s="43">
        <f>IF($B100="","",N($L100)+N($N100)+N($P100))</f>
        <v/>
      </c>
      <c r="T100" s="42" t="n"/>
      <c r="U100" s="42" t="n"/>
      <c r="V100" s="42" t="n"/>
      <c r="W100" s="42" t="n"/>
      <c r="X100" s="42" t="n"/>
      <c r="Y100" s="42" t="n"/>
      <c r="Z100" s="42" t="n"/>
      <c r="AA100" s="42" t="n"/>
      <c r="AB100" s="42" t="n"/>
      <c r="AC100" s="42" t="n"/>
      <c r="AD100" s="42" t="n"/>
      <c r="AE100" s="42" t="n"/>
      <c r="AF100" s="43">
        <f>IF($B100="","",SUM($T100:$AE100))</f>
        <v/>
      </c>
      <c r="AG100" s="43">
        <f>IF($B100="","",N($M100)-N($AF100))</f>
        <v/>
      </c>
      <c r="AH100" s="43">
        <f>IF($B100="","",N($L100)-N($AF100))</f>
        <v/>
      </c>
      <c r="AI100" s="149">
        <f>IF($B100="","",IF(N($L100)=0,"",(N($L100)-N($AF100))/N($L100)))</f>
        <v/>
      </c>
    </row>
    <row r="101">
      <c r="A101" s="39">
        <f>IF($B101="","",COUNTA($B$4:$B101))</f>
        <v/>
      </c>
      <c r="B101" s="45" t="n">
        <v>46037</v>
      </c>
      <c r="C101" s="46" t="n">
        <v>1631</v>
      </c>
      <c r="D101" s="46" t="inlineStr">
        <is>
          <t>احمد عبدو خ</t>
        </is>
      </c>
      <c r="E101" s="46" t="inlineStr">
        <is>
          <t>1*40</t>
        </is>
      </c>
      <c r="F101" s="46" t="inlineStr">
        <is>
          <t xml:space="preserve">الدلتا للكتان </t>
        </is>
      </c>
      <c r="G101" s="46" t="inlineStr">
        <is>
          <t xml:space="preserve">المحلة </t>
        </is>
      </c>
      <c r="H101" s="46" t="inlineStr">
        <is>
          <t>821194/4</t>
        </is>
      </c>
      <c r="I101" s="46" t="inlineStr">
        <is>
          <t>س ا ه 8198</t>
        </is>
      </c>
      <c r="J101" s="46" t="inlineStr">
        <is>
          <t xml:space="preserve">ياسر عودة </t>
        </is>
      </c>
      <c r="K101" s="46" t="inlineStr">
        <is>
          <t xml:space="preserve">علاء علام </t>
        </is>
      </c>
      <c r="L101" s="47" t="n">
        <v>13000</v>
      </c>
      <c r="M101" s="47" t="n">
        <v>7100</v>
      </c>
      <c r="N101" s="47" t="n"/>
      <c r="O101" s="47" t="n">
        <v>200</v>
      </c>
      <c r="P101" s="47" t="n"/>
      <c r="Q101" s="47" t="n">
        <v>5700</v>
      </c>
      <c r="R101" s="43">
        <f>IF($B101="","",N($S101)-N($Q101))</f>
        <v/>
      </c>
      <c r="S101" s="43">
        <f>IF($B101="","",N($L101)+N($N101)+N($P101))</f>
        <v/>
      </c>
      <c r="T101" s="47" t="n"/>
      <c r="U101" s="47" t="n"/>
      <c r="V101" s="47" t="n"/>
      <c r="W101" s="47" t="n"/>
      <c r="X101" s="47" t="n"/>
      <c r="Y101" s="47" t="n"/>
      <c r="Z101" s="47" t="n"/>
      <c r="AA101" s="47" t="n"/>
      <c r="AB101" s="47" t="n"/>
      <c r="AC101" s="47" t="n"/>
      <c r="AD101" s="47" t="n"/>
      <c r="AE101" s="47" t="n"/>
      <c r="AF101" s="43">
        <f>IF($B101="","",SUM($T101:$AE101))</f>
        <v/>
      </c>
      <c r="AG101" s="43">
        <f>IF($B101="","",N($M101)-N($AF101))</f>
        <v/>
      </c>
      <c r="AH101" s="43">
        <f>IF($B101="","",N($L101)-N($AF101))</f>
        <v/>
      </c>
      <c r="AI101" s="149">
        <f>IF($B101="","",IF(N($L101)=0,"",(N($L101)-N($AF101))/N($L101)))</f>
        <v/>
      </c>
    </row>
    <row r="102">
      <c r="A102" s="39">
        <f>IF($B102="","",COUNTA($B$4:$B102))</f>
        <v/>
      </c>
      <c r="B102" s="40" t="n">
        <v>46039</v>
      </c>
      <c r="C102" s="41" t="n">
        <v>1997</v>
      </c>
      <c r="D102" s="41" t="inlineStr">
        <is>
          <t>الفرجانى</t>
        </is>
      </c>
      <c r="E102" s="41" t="inlineStr">
        <is>
          <t>1*40 ث</t>
        </is>
      </c>
      <c r="F102" s="41" t="inlineStr">
        <is>
          <t xml:space="preserve">الفرسان </t>
        </is>
      </c>
      <c r="G102" s="41" t="inlineStr">
        <is>
          <t xml:space="preserve">اكتوبر </t>
        </is>
      </c>
      <c r="H102" s="41" t="inlineStr">
        <is>
          <t>988254/0</t>
        </is>
      </c>
      <c r="I102" s="41" t="inlineStr">
        <is>
          <t>س ا ى 3767</t>
        </is>
      </c>
      <c r="J102" s="41" t="inlineStr">
        <is>
          <t xml:space="preserve">محمد اسعد </t>
        </is>
      </c>
      <c r="K102" s="41" t="inlineStr">
        <is>
          <t xml:space="preserve">الفرجانى </t>
        </is>
      </c>
      <c r="L102" s="42" t="n">
        <v>14000</v>
      </c>
      <c r="M102" s="42" t="n">
        <v>8100</v>
      </c>
      <c r="N102" s="42" t="n"/>
      <c r="O102" s="42" t="n">
        <v>200</v>
      </c>
      <c r="P102" s="42" t="n"/>
      <c r="Q102" s="42" t="n">
        <v>5700</v>
      </c>
      <c r="R102" s="43">
        <f>IF($B102="","",N($S102)-N($Q102))</f>
        <v/>
      </c>
      <c r="S102" s="43">
        <f>IF($B102="","",N($L102)+N($N102)+N($P102))</f>
        <v/>
      </c>
      <c r="T102" s="42" t="n"/>
      <c r="U102" s="42" t="n"/>
      <c r="V102" s="42" t="n"/>
      <c r="W102" s="42" t="n"/>
      <c r="X102" s="42" t="n"/>
      <c r="Y102" s="42" t="n"/>
      <c r="Z102" s="42" t="n"/>
      <c r="AA102" s="42" t="n"/>
      <c r="AB102" s="42" t="n"/>
      <c r="AC102" s="42" t="n"/>
      <c r="AD102" s="42" t="n"/>
      <c r="AE102" s="42" t="n"/>
      <c r="AF102" s="43">
        <f>IF($B102="","",SUM($T102:$AE102))</f>
        <v/>
      </c>
      <c r="AG102" s="43">
        <f>IF($B102="","",N($M102)-N($AF102))</f>
        <v/>
      </c>
      <c r="AH102" s="43">
        <f>IF($B102="","",N($L102)-N($AF102))</f>
        <v/>
      </c>
      <c r="AI102" s="149">
        <f>IF($B102="","",IF(N($L102)=0,"",(N($L102)-N($AF102))/N($L102)))</f>
        <v/>
      </c>
    </row>
    <row r="103">
      <c r="A103" s="39">
        <f>IF($B103="","",COUNTA($B$4:$B103))</f>
        <v/>
      </c>
      <c r="B103" s="45" t="n">
        <v>46039</v>
      </c>
      <c r="C103" s="46" t="n">
        <v>1998</v>
      </c>
      <c r="D103" s="46" t="inlineStr">
        <is>
          <t>حريقة خ</t>
        </is>
      </c>
      <c r="E103" s="46" t="inlineStr">
        <is>
          <t>1*40</t>
        </is>
      </c>
      <c r="F103" s="46" t="inlineStr">
        <is>
          <t>جرين اب</t>
        </is>
      </c>
      <c r="G103" s="46" t="inlineStr">
        <is>
          <t>بنى سويف</t>
        </is>
      </c>
      <c r="H103" s="46" t="inlineStr">
        <is>
          <t>436783/0</t>
        </is>
      </c>
      <c r="I103" s="46" t="inlineStr">
        <is>
          <t>ب ع ا 4826</t>
        </is>
      </c>
      <c r="J103" s="46" t="inlineStr">
        <is>
          <t xml:space="preserve">سامح السيد </t>
        </is>
      </c>
      <c r="K103" s="46" t="inlineStr">
        <is>
          <t>هانى الفيل</t>
        </is>
      </c>
      <c r="L103" s="47" t="n">
        <v>19000</v>
      </c>
      <c r="M103" s="47" t="n">
        <v>9100</v>
      </c>
      <c r="N103" s="47" t="n"/>
      <c r="O103" s="47" t="n">
        <v>200</v>
      </c>
      <c r="P103" s="47" t="n"/>
      <c r="Q103" s="47" t="n">
        <v>9700</v>
      </c>
      <c r="R103" s="43">
        <f>IF($B103="","",N($S103)-N($Q103))</f>
        <v/>
      </c>
      <c r="S103" s="43">
        <f>IF($B103="","",N($L103)+N($N103)+N($P103))</f>
        <v/>
      </c>
      <c r="T103" s="47" t="n"/>
      <c r="U103" s="47" t="n"/>
      <c r="V103" s="47" t="n"/>
      <c r="W103" s="47" t="n"/>
      <c r="X103" s="47" t="n"/>
      <c r="Y103" s="47" t="n"/>
      <c r="Z103" s="47" t="n"/>
      <c r="AA103" s="47" t="n"/>
      <c r="AB103" s="47" t="n"/>
      <c r="AC103" s="47" t="n"/>
      <c r="AD103" s="47" t="n"/>
      <c r="AE103" s="47" t="n"/>
      <c r="AF103" s="43">
        <f>IF($B103="","",SUM($T103:$AE103))</f>
        <v/>
      </c>
      <c r="AG103" s="43">
        <f>IF($B103="","",N($M103)-N($AF103))</f>
        <v/>
      </c>
      <c r="AH103" s="43">
        <f>IF($B103="","",N($L103)-N($AF103))</f>
        <v/>
      </c>
      <c r="AI103" s="149">
        <f>IF($B103="","",IF(N($L103)=0,"",(N($L103)-N($AF103))/N($L103)))</f>
        <v/>
      </c>
    </row>
    <row r="104">
      <c r="A104" s="39">
        <f>IF($B104="","",COUNTA($B$4:$B104))</f>
        <v/>
      </c>
      <c r="B104" s="40" t="n">
        <v>46039</v>
      </c>
      <c r="C104" s="41" t="n">
        <v>1653</v>
      </c>
      <c r="D104" s="41" t="inlineStr">
        <is>
          <t>المكتب</t>
        </is>
      </c>
      <c r="E104" s="41" t="inlineStr">
        <is>
          <t>1*40</t>
        </is>
      </c>
      <c r="F104" s="41" t="inlineStr">
        <is>
          <t xml:space="preserve">ميت وات </t>
        </is>
      </c>
      <c r="G104" s="41" t="inlineStr">
        <is>
          <t xml:space="preserve">شبرا منت </t>
        </is>
      </c>
      <c r="H104" s="41" t="inlineStr">
        <is>
          <t>717037/1</t>
        </is>
      </c>
      <c r="I104" s="41" t="inlineStr">
        <is>
          <t>س ع م 8737</t>
        </is>
      </c>
      <c r="J104" s="41" t="inlineStr">
        <is>
          <t xml:space="preserve">محمودبكر </t>
        </is>
      </c>
      <c r="K104" s="41" t="inlineStr">
        <is>
          <t>المكتب</t>
        </is>
      </c>
      <c r="L104" s="42" t="n">
        <v>13000</v>
      </c>
      <c r="M104" s="42" t="n">
        <v>8000</v>
      </c>
      <c r="N104" s="42" t="n"/>
      <c r="O104" s="42" t="n"/>
      <c r="P104" s="42" t="n"/>
      <c r="Q104" s="42" t="n">
        <v>5000</v>
      </c>
      <c r="R104" s="43">
        <f>IF($B104="","",N($S104)-N($Q104))</f>
        <v/>
      </c>
      <c r="S104" s="43">
        <f>IF($B104="","",N($L104)+N($N104)+N($P104))</f>
        <v/>
      </c>
      <c r="T104" s="42" t="n">
        <v>1500</v>
      </c>
      <c r="U104" s="42" t="n">
        <v>600</v>
      </c>
      <c r="V104" s="42" t="n"/>
      <c r="W104" s="42" t="n">
        <v>150</v>
      </c>
      <c r="X104" s="42" t="n">
        <v>110</v>
      </c>
      <c r="Y104" s="42" t="n">
        <v>120</v>
      </c>
      <c r="Z104" s="42" t="n"/>
      <c r="AA104" s="42" t="n"/>
      <c r="AB104" s="42" t="n">
        <v>250</v>
      </c>
      <c r="AC104" s="42" t="n">
        <v>700</v>
      </c>
      <c r="AD104" s="42" t="n">
        <v>150</v>
      </c>
      <c r="AE104" s="42" t="n">
        <v>4800</v>
      </c>
      <c r="AF104" s="43">
        <f>IF($B104="","",SUM($T104:$AE104))</f>
        <v/>
      </c>
      <c r="AG104" s="43">
        <f>IF($B104="","",N($M104)-N($AF104))</f>
        <v/>
      </c>
      <c r="AH104" s="43">
        <f>IF($B104="","",N($L104)-N($AF104))</f>
        <v/>
      </c>
      <c r="AI104" s="149">
        <f>IF($B104="","",IF(N($L104)=0,"",(N($L104)-N($AF104))/N($L104)))</f>
        <v/>
      </c>
    </row>
    <row r="105">
      <c r="A105" s="39">
        <f>IF($B105="","",COUNTA($B$4:$B105))</f>
        <v/>
      </c>
      <c r="B105" s="45" t="n">
        <v>46039</v>
      </c>
      <c r="C105" s="46" t="n">
        <v>1296</v>
      </c>
      <c r="D105" s="46" t="inlineStr">
        <is>
          <t xml:space="preserve">ابراهيم سمارة </t>
        </is>
      </c>
      <c r="E105" s="46" t="inlineStr">
        <is>
          <t>1*40</t>
        </is>
      </c>
      <c r="F105" s="46" t="inlineStr">
        <is>
          <t xml:space="preserve">ميت وات </t>
        </is>
      </c>
      <c r="G105" s="46" t="inlineStr">
        <is>
          <t xml:space="preserve">اكتوبر </t>
        </is>
      </c>
      <c r="H105" s="46" t="inlineStr">
        <is>
          <t>747252/9</t>
        </is>
      </c>
      <c r="I105" s="46" t="inlineStr">
        <is>
          <t>س ل ب 5496</t>
        </is>
      </c>
      <c r="J105" s="46" t="inlineStr">
        <is>
          <t xml:space="preserve">محمد حسن </t>
        </is>
      </c>
      <c r="K105" s="46" t="inlineStr">
        <is>
          <t xml:space="preserve">ياسر عزام </t>
        </is>
      </c>
      <c r="L105" s="47" t="n">
        <v>12700</v>
      </c>
      <c r="M105" s="47" t="n">
        <v>7100</v>
      </c>
      <c r="N105" s="47" t="n"/>
      <c r="O105" s="47" t="n">
        <v>200</v>
      </c>
      <c r="P105" s="47" t="n"/>
      <c r="Q105" s="47" t="n">
        <v>5400</v>
      </c>
      <c r="R105" s="43">
        <f>IF($B105="","",N($S105)-N($Q105))</f>
        <v/>
      </c>
      <c r="S105" s="43">
        <f>IF($B105="","",N($L105)+N($N105)+N($P105))</f>
        <v/>
      </c>
      <c r="T105" s="47" t="n"/>
      <c r="U105" s="47" t="n"/>
      <c r="V105" s="47" t="n"/>
      <c r="W105" s="47" t="n"/>
      <c r="X105" s="47" t="n"/>
      <c r="Y105" s="47" t="n"/>
      <c r="Z105" s="47" t="n"/>
      <c r="AA105" s="47" t="n"/>
      <c r="AB105" s="47" t="n"/>
      <c r="AC105" s="47" t="n"/>
      <c r="AD105" s="47" t="n"/>
      <c r="AE105" s="47" t="n"/>
      <c r="AF105" s="43">
        <f>IF($B105="","",SUM($T105:$AE105))</f>
        <v/>
      </c>
      <c r="AG105" s="43">
        <f>IF($B105="","",N($M105)-N($AF105))</f>
        <v/>
      </c>
      <c r="AH105" s="43">
        <f>IF($B105="","",N($L105)-N($AF105))</f>
        <v/>
      </c>
      <c r="AI105" s="149">
        <f>IF($B105="","",IF(N($L105)=0,"",(N($L105)-N($AF105))/N($L105)))</f>
        <v/>
      </c>
    </row>
    <row r="106">
      <c r="A106" s="39">
        <f>IF($B106="","",COUNTA($B$4:$B106))</f>
        <v/>
      </c>
      <c r="B106" s="40" t="n">
        <v>46039</v>
      </c>
      <c r="C106" s="41" t="n">
        <v>1295</v>
      </c>
      <c r="D106" s="41" t="inlineStr">
        <is>
          <t>احمد عبدو خ</t>
        </is>
      </c>
      <c r="E106" s="41" t="inlineStr">
        <is>
          <t>1*40</t>
        </is>
      </c>
      <c r="F106" s="41" t="inlineStr">
        <is>
          <t xml:space="preserve">ميت وات </t>
        </is>
      </c>
      <c r="G106" s="41" t="inlineStr">
        <is>
          <t xml:space="preserve">اكتوبر </t>
        </is>
      </c>
      <c r="H106" s="41" t="inlineStr">
        <is>
          <t>351570/1</t>
        </is>
      </c>
      <c r="I106" s="41" t="inlineStr">
        <is>
          <t>س ل ب 5917</t>
        </is>
      </c>
      <c r="J106" s="41" t="inlineStr">
        <is>
          <t xml:space="preserve">احمد محود </t>
        </is>
      </c>
      <c r="K106" s="41" t="inlineStr">
        <is>
          <t xml:space="preserve">علاء علام </t>
        </is>
      </c>
      <c r="L106" s="42" t="n">
        <v>12700</v>
      </c>
      <c r="M106" s="42" t="n">
        <v>7100</v>
      </c>
      <c r="N106" s="42" t="n"/>
      <c r="O106" s="42" t="n">
        <v>200</v>
      </c>
      <c r="P106" s="42" t="n"/>
      <c r="Q106" s="42" t="n">
        <v>5400</v>
      </c>
      <c r="R106" s="43">
        <f>IF($B106="","",N($S106)-N($Q106))</f>
        <v/>
      </c>
      <c r="S106" s="43">
        <f>IF($B106="","",N($L106)+N($N106)+N($P106))</f>
        <v/>
      </c>
      <c r="T106" s="42" t="n"/>
      <c r="U106" s="42" t="n"/>
      <c r="V106" s="42" t="n"/>
      <c r="W106" s="42" t="n"/>
      <c r="X106" s="42" t="n"/>
      <c r="Y106" s="42" t="n"/>
      <c r="Z106" s="42" t="n"/>
      <c r="AA106" s="42" t="n"/>
      <c r="AB106" s="42" t="n"/>
      <c r="AC106" s="42" t="n"/>
      <c r="AD106" s="42" t="n"/>
      <c r="AE106" s="42" t="n"/>
      <c r="AF106" s="43">
        <f>IF($B106="","",SUM($T106:$AE106))</f>
        <v/>
      </c>
      <c r="AG106" s="43">
        <f>IF($B106="","",N($M106)-N($AF106))</f>
        <v/>
      </c>
      <c r="AH106" s="43">
        <f>IF($B106="","",N($L106)-N($AF106))</f>
        <v/>
      </c>
      <c r="AI106" s="149">
        <f>IF($B106="","",IF(N($L106)=0,"",(N($L106)-N($AF106))/N($L106)))</f>
        <v/>
      </c>
    </row>
    <row r="107">
      <c r="A107" s="39">
        <f>IF($B107="","",COUNTA($B$4:$B107))</f>
        <v/>
      </c>
      <c r="B107" s="45" t="n">
        <v>46039</v>
      </c>
      <c r="C107" s="46" t="n">
        <v>1297</v>
      </c>
      <c r="D107" s="46" t="inlineStr">
        <is>
          <t xml:space="preserve">ابراهيم سمارة </t>
        </is>
      </c>
      <c r="E107" s="46" t="inlineStr">
        <is>
          <t>1*40</t>
        </is>
      </c>
      <c r="F107" s="46" t="inlineStr">
        <is>
          <t xml:space="preserve">ميت وات </t>
        </is>
      </c>
      <c r="G107" s="46" t="inlineStr">
        <is>
          <t xml:space="preserve">اكتوبر </t>
        </is>
      </c>
      <c r="H107" s="46" t="inlineStr">
        <is>
          <t>437659/9</t>
        </is>
      </c>
      <c r="I107" s="46" t="inlineStr">
        <is>
          <t>س م ى 1638</t>
        </is>
      </c>
      <c r="J107" s="46" t="inlineStr">
        <is>
          <t xml:space="preserve">على حسن </t>
        </is>
      </c>
      <c r="K107" s="46" t="inlineStr">
        <is>
          <t xml:space="preserve">ياسر عزام </t>
        </is>
      </c>
      <c r="L107" s="47" t="n">
        <v>12700</v>
      </c>
      <c r="M107" s="47" t="n">
        <v>7100</v>
      </c>
      <c r="N107" s="47" t="n"/>
      <c r="O107" s="47" t="n">
        <v>200</v>
      </c>
      <c r="P107" s="47" t="n"/>
      <c r="Q107" s="47" t="n">
        <v>5400</v>
      </c>
      <c r="R107" s="43">
        <f>IF($B107="","",N($S107)-N($Q107))</f>
        <v/>
      </c>
      <c r="S107" s="43">
        <f>IF($B107="","",N($L107)+N($N107)+N($P107))</f>
        <v/>
      </c>
      <c r="T107" s="47" t="n"/>
      <c r="U107" s="47" t="n"/>
      <c r="V107" s="47" t="n"/>
      <c r="W107" s="47" t="n"/>
      <c r="X107" s="47" t="n"/>
      <c r="Y107" s="47" t="n"/>
      <c r="Z107" s="47" t="n"/>
      <c r="AA107" s="47" t="n"/>
      <c r="AB107" s="47" t="n"/>
      <c r="AC107" s="47" t="n"/>
      <c r="AD107" s="47" t="n"/>
      <c r="AE107" s="47" t="n"/>
      <c r="AF107" s="43">
        <f>IF($B107="","",SUM($T107:$AE107))</f>
        <v/>
      </c>
      <c r="AG107" s="43">
        <f>IF($B107="","",N($M107)-N($AF107))</f>
        <v/>
      </c>
      <c r="AH107" s="43">
        <f>IF($B107="","",N($L107)-N($AF107))</f>
        <v/>
      </c>
      <c r="AI107" s="149">
        <f>IF($B107="","",IF(N($L107)=0,"",(N($L107)-N($AF107))/N($L107)))</f>
        <v/>
      </c>
    </row>
    <row r="108">
      <c r="A108" s="39">
        <f>IF($B108="","",COUNTA($B$4:$B108))</f>
        <v/>
      </c>
      <c r="B108" s="40" t="n">
        <v>46039</v>
      </c>
      <c r="C108" s="41" t="n">
        <v>1298</v>
      </c>
      <c r="D108" s="41" t="inlineStr">
        <is>
          <t xml:space="preserve">ابراهيم سمارة </t>
        </is>
      </c>
      <c r="E108" s="41" t="inlineStr">
        <is>
          <t>1*40</t>
        </is>
      </c>
      <c r="F108" s="41" t="n"/>
      <c r="G108" s="41" t="inlineStr">
        <is>
          <t>أكتوبر</t>
        </is>
      </c>
      <c r="H108" s="41" t="inlineStr">
        <is>
          <t>591348/7</t>
        </is>
      </c>
      <c r="I108" s="41" t="inlineStr">
        <is>
          <t>ب د ف 7354</t>
        </is>
      </c>
      <c r="J108" s="41" t="inlineStr">
        <is>
          <t xml:space="preserve">محمود سرحان </t>
        </is>
      </c>
      <c r="K108" s="41" t="inlineStr">
        <is>
          <t xml:space="preserve">ابو ادم </t>
        </is>
      </c>
      <c r="L108" s="42" t="n">
        <v>12700</v>
      </c>
      <c r="M108" s="42" t="n">
        <v>7100</v>
      </c>
      <c r="N108" s="42" t="n"/>
      <c r="O108" s="42" t="n">
        <v>200</v>
      </c>
      <c r="P108" s="42" t="n"/>
      <c r="Q108" s="42" t="n">
        <v>5400</v>
      </c>
      <c r="R108" s="43">
        <f>IF($B108="","",N($S108)-N($Q108))</f>
        <v/>
      </c>
      <c r="S108" s="43">
        <f>IF($B108="","",N($L108)+N($N108)+N($P108))</f>
        <v/>
      </c>
      <c r="T108" s="42" t="n"/>
      <c r="U108" s="42" t="n"/>
      <c r="V108" s="42" t="n"/>
      <c r="W108" s="42" t="n"/>
      <c r="X108" s="42" t="n"/>
      <c r="Y108" s="42" t="n"/>
      <c r="Z108" s="42" t="n"/>
      <c r="AA108" s="42" t="n"/>
      <c r="AB108" s="42" t="n"/>
      <c r="AC108" s="42" t="n"/>
      <c r="AD108" s="42" t="n"/>
      <c r="AE108" s="42" t="n"/>
      <c r="AF108" s="43">
        <f>IF($B108="","",SUM($T108:$AE108))</f>
        <v/>
      </c>
      <c r="AG108" s="43">
        <f>IF($B108="","",N($M108)-N($AF108))</f>
        <v/>
      </c>
      <c r="AH108" s="43">
        <f>IF($B108="","",N($L108)-N($AF108))</f>
        <v/>
      </c>
      <c r="AI108" s="149">
        <f>IF($B108="","",IF(N($L108)=0,"",(N($L108)-N($AF108))/N($L108)))</f>
        <v/>
      </c>
    </row>
    <row r="109">
      <c r="A109" s="39">
        <f>IF($B109="","",COUNTA($B$4:$B109))</f>
        <v/>
      </c>
      <c r="B109" s="45" t="n">
        <v>46039</v>
      </c>
      <c r="C109" s="46" t="n">
        <v>1299</v>
      </c>
      <c r="D109" s="46" t="inlineStr">
        <is>
          <t xml:space="preserve">احمد محسن </t>
        </is>
      </c>
      <c r="E109" s="46" t="inlineStr">
        <is>
          <t>1*40</t>
        </is>
      </c>
      <c r="F109" s="46" t="inlineStr">
        <is>
          <t xml:space="preserve">ميت وات </t>
        </is>
      </c>
      <c r="G109" s="46" t="inlineStr">
        <is>
          <t>أكتوبر</t>
        </is>
      </c>
      <c r="H109" s="46" t="inlineStr">
        <is>
          <t>744211/9</t>
        </is>
      </c>
      <c r="I109" s="46" t="inlineStr">
        <is>
          <t>س ه ف 1387</t>
        </is>
      </c>
      <c r="J109" s="46" t="inlineStr">
        <is>
          <t xml:space="preserve">محمد خميس </t>
        </is>
      </c>
      <c r="K109" s="46" t="inlineStr">
        <is>
          <t xml:space="preserve">احمد محسن </t>
        </is>
      </c>
      <c r="L109" s="47" t="n">
        <v>12700</v>
      </c>
      <c r="M109" s="47" t="n">
        <v>7100</v>
      </c>
      <c r="N109" s="47" t="n"/>
      <c r="O109" s="47" t="n">
        <v>200</v>
      </c>
      <c r="P109" s="47" t="n"/>
      <c r="Q109" s="47" t="n">
        <v>5400</v>
      </c>
      <c r="R109" s="43">
        <f>IF($B109="","",N($S109)-N($Q109))</f>
        <v/>
      </c>
      <c r="S109" s="43">
        <f>IF($B109="","",N($L109)+N($N109)+N($P109))</f>
        <v/>
      </c>
      <c r="T109" s="47" t="n"/>
      <c r="U109" s="47" t="n"/>
      <c r="V109" s="47" t="n"/>
      <c r="W109" s="47" t="n"/>
      <c r="X109" s="47" t="n"/>
      <c r="Y109" s="47" t="n"/>
      <c r="Z109" s="47" t="n"/>
      <c r="AA109" s="47" t="n"/>
      <c r="AB109" s="47" t="n"/>
      <c r="AC109" s="47" t="n"/>
      <c r="AD109" s="47" t="n"/>
      <c r="AE109" s="47" t="n"/>
      <c r="AF109" s="43">
        <f>IF($B109="","",SUM($T109:$AE109))</f>
        <v/>
      </c>
      <c r="AG109" s="43">
        <f>IF($B109="","",N($M109)-N($AF109))</f>
        <v/>
      </c>
      <c r="AH109" s="43">
        <f>IF($B109="","",N($L109)-N($AF109))</f>
        <v/>
      </c>
      <c r="AI109" s="149">
        <f>IF($B109="","",IF(N($L109)=0,"",(N($L109)-N($AF109))/N($L109)))</f>
        <v/>
      </c>
    </row>
    <row r="110">
      <c r="A110" s="39">
        <f>IF($B110="","",COUNTA($B$4:$B110))</f>
        <v/>
      </c>
      <c r="B110" s="40" t="n">
        <v>46039</v>
      </c>
      <c r="C110" s="41" t="n">
        <v>1300</v>
      </c>
      <c r="D110" s="41" t="inlineStr">
        <is>
          <t>الشريف خ</t>
        </is>
      </c>
      <c r="E110" s="41" t="inlineStr">
        <is>
          <t>1*40</t>
        </is>
      </c>
      <c r="F110" s="41" t="inlineStr">
        <is>
          <t xml:space="preserve">ميت وات </t>
        </is>
      </c>
      <c r="G110" s="41" t="inlineStr">
        <is>
          <t>أكتوبر</t>
        </is>
      </c>
      <c r="H110" s="41" t="inlineStr">
        <is>
          <t>604306/2</t>
        </is>
      </c>
      <c r="I110" s="41" t="inlineStr">
        <is>
          <t>ع ل ا 9262</t>
        </is>
      </c>
      <c r="J110" s="41" t="inlineStr">
        <is>
          <t xml:space="preserve">عرفة محمد </t>
        </is>
      </c>
      <c r="K110" s="41" t="inlineStr">
        <is>
          <t xml:space="preserve">ابو ادم </t>
        </is>
      </c>
      <c r="L110" s="42" t="n">
        <v>12700</v>
      </c>
      <c r="M110" s="42" t="n">
        <v>7100</v>
      </c>
      <c r="N110" s="42" t="n"/>
      <c r="O110" s="42" t="n">
        <v>200</v>
      </c>
      <c r="P110" s="42" t="n"/>
      <c r="Q110" s="42" t="n">
        <v>5400</v>
      </c>
      <c r="R110" s="43">
        <f>IF($B110="","",N($S110)-N($Q110))</f>
        <v/>
      </c>
      <c r="S110" s="43">
        <f>IF($B110="","",N($L110)+N($N110)+N($P110))</f>
        <v/>
      </c>
      <c r="T110" s="42" t="n"/>
      <c r="U110" s="42" t="n"/>
      <c r="V110" s="42" t="n"/>
      <c r="W110" s="42" t="n"/>
      <c r="X110" s="42" t="n"/>
      <c r="Y110" s="42" t="n"/>
      <c r="Z110" s="42" t="n"/>
      <c r="AA110" s="42" t="n"/>
      <c r="AB110" s="42" t="n"/>
      <c r="AC110" s="42" t="n"/>
      <c r="AD110" s="42" t="n"/>
      <c r="AE110" s="42" t="n"/>
      <c r="AF110" s="43">
        <f>IF($B110="","",SUM($T110:$AE110))</f>
        <v/>
      </c>
      <c r="AG110" s="43">
        <f>IF($B110="","",N($M110)-N($AF110))</f>
        <v/>
      </c>
      <c r="AH110" s="43">
        <f>IF($B110="","",N($L110)-N($AF110))</f>
        <v/>
      </c>
      <c r="AI110" s="149">
        <f>IF($B110="","",IF(N($L110)=0,"",(N($L110)-N($AF110))/N($L110)))</f>
        <v/>
      </c>
    </row>
    <row r="111">
      <c r="A111" s="39">
        <f>IF($B111="","",COUNTA($B$4:$B111))</f>
        <v/>
      </c>
      <c r="B111" s="45" t="n">
        <v>46039</v>
      </c>
      <c r="C111" s="46" t="n">
        <v>1645</v>
      </c>
      <c r="D111" s="46" t="inlineStr">
        <is>
          <t>محمد عتمان</t>
        </is>
      </c>
      <c r="E111" s="46" t="inlineStr">
        <is>
          <t>1*40</t>
        </is>
      </c>
      <c r="F111" s="46" t="inlineStr">
        <is>
          <t>اكما</t>
        </is>
      </c>
      <c r="G111" s="46" t="inlineStr">
        <is>
          <t>بنى سويف</t>
        </is>
      </c>
      <c r="H111" s="46" t="inlineStr">
        <is>
          <t>408422/2</t>
        </is>
      </c>
      <c r="I111" s="46" t="inlineStr">
        <is>
          <t>ب ر ط 1864</t>
        </is>
      </c>
      <c r="J111" s="46" t="inlineStr">
        <is>
          <t xml:space="preserve">محمد صبحى </t>
        </is>
      </c>
      <c r="K111" s="46" t="inlineStr">
        <is>
          <t xml:space="preserve">الليبر </t>
        </is>
      </c>
      <c r="L111" s="47" t="n">
        <v>17500</v>
      </c>
      <c r="M111" s="47" t="n">
        <v>10100</v>
      </c>
      <c r="N111" s="47" t="n"/>
      <c r="O111" s="47" t="n">
        <v>200</v>
      </c>
      <c r="P111" s="47" t="n"/>
      <c r="Q111" s="47" t="n">
        <v>7200</v>
      </c>
      <c r="R111" s="43">
        <f>IF($B111="","",N($S111)-N($Q111))</f>
        <v/>
      </c>
      <c r="S111" s="43">
        <f>IF($B111="","",N($L111)+N($N111)+N($P111))</f>
        <v/>
      </c>
      <c r="T111" s="47" t="n"/>
      <c r="U111" s="47" t="n"/>
      <c r="V111" s="47" t="n"/>
      <c r="W111" s="47" t="n"/>
      <c r="X111" s="47" t="n"/>
      <c r="Y111" s="47" t="n"/>
      <c r="Z111" s="47" t="n"/>
      <c r="AA111" s="47" t="n"/>
      <c r="AB111" s="47" t="n"/>
      <c r="AC111" s="47" t="n"/>
      <c r="AD111" s="47" t="n"/>
      <c r="AE111" s="47" t="n"/>
      <c r="AF111" s="43">
        <f>IF($B111="","",SUM($T111:$AE111))</f>
        <v/>
      </c>
      <c r="AG111" s="43">
        <f>IF($B111="","",N($M111)-N($AF111))</f>
        <v/>
      </c>
      <c r="AH111" s="43">
        <f>IF($B111="","",N($L111)-N($AF111))</f>
        <v/>
      </c>
      <c r="AI111" s="149">
        <f>IF($B111="","",IF(N($L111)=0,"",(N($L111)-N($AF111))/N($L111)))</f>
        <v/>
      </c>
    </row>
    <row r="112">
      <c r="A112" s="39">
        <f>IF($B112="","",COUNTA($B$4:$B112))</f>
        <v/>
      </c>
      <c r="B112" s="40" t="n">
        <v>46039</v>
      </c>
      <c r="C112" s="41" t="n">
        <v>1646</v>
      </c>
      <c r="D112" s="41" t="inlineStr">
        <is>
          <t>محمد عتمان</t>
        </is>
      </c>
      <c r="E112" s="41" t="inlineStr">
        <is>
          <t>1*40</t>
        </is>
      </c>
      <c r="F112" s="41" t="inlineStr">
        <is>
          <t>اكما</t>
        </is>
      </c>
      <c r="G112" s="41" t="inlineStr">
        <is>
          <t>بنى سويف</t>
        </is>
      </c>
      <c r="H112" s="41" t="inlineStr">
        <is>
          <t>365198/0</t>
        </is>
      </c>
      <c r="I112" s="41" t="inlineStr">
        <is>
          <t>ط ف ر 2494</t>
        </is>
      </c>
      <c r="J112" s="41" t="inlineStr">
        <is>
          <t>عادل صبحى</t>
        </is>
      </c>
      <c r="K112" s="41" t="inlineStr">
        <is>
          <t xml:space="preserve">الليبر </t>
        </is>
      </c>
      <c r="L112" s="42" t="n">
        <v>17500</v>
      </c>
      <c r="M112" s="42" t="n">
        <v>10100</v>
      </c>
      <c r="N112" s="42" t="n"/>
      <c r="O112" s="42" t="n">
        <v>200</v>
      </c>
      <c r="P112" s="42" t="n"/>
      <c r="Q112" s="42" t="n">
        <v>7200</v>
      </c>
      <c r="R112" s="43">
        <f>IF($B112="","",N($S112)-N($Q112))</f>
        <v/>
      </c>
      <c r="S112" s="43">
        <f>IF($B112="","",N($L112)+N($N112)+N($P112))</f>
        <v/>
      </c>
      <c r="T112" s="42" t="n"/>
      <c r="U112" s="42" t="n"/>
      <c r="V112" s="42" t="n"/>
      <c r="W112" s="42" t="n"/>
      <c r="X112" s="42" t="n"/>
      <c r="Y112" s="42" t="n"/>
      <c r="Z112" s="42" t="n"/>
      <c r="AA112" s="42" t="n"/>
      <c r="AB112" s="42" t="n"/>
      <c r="AC112" s="42" t="n"/>
      <c r="AD112" s="42" t="n"/>
      <c r="AE112" s="42" t="n"/>
      <c r="AF112" s="43">
        <f>IF($B112="","",SUM($T112:$AE112))</f>
        <v/>
      </c>
      <c r="AG112" s="43">
        <f>IF($B112="","",N($M112)-N($AF112))</f>
        <v/>
      </c>
      <c r="AH112" s="43">
        <f>IF($B112="","",N($L112)-N($AF112))</f>
        <v/>
      </c>
      <c r="AI112" s="149">
        <f>IF($B112="","",IF(N($L112)=0,"",(N($L112)-N($AF112))/N($L112)))</f>
        <v/>
      </c>
    </row>
    <row r="113">
      <c r="A113" s="39">
        <f>IF($B113="","",COUNTA($B$4:$B113))</f>
        <v/>
      </c>
      <c r="B113" s="45" t="n">
        <v>46039</v>
      </c>
      <c r="C113" s="46" t="n">
        <v>1647</v>
      </c>
      <c r="D113" s="46" t="inlineStr">
        <is>
          <t xml:space="preserve">كريم مرعى </t>
        </is>
      </c>
      <c r="E113" s="46" t="inlineStr">
        <is>
          <t>1*40</t>
        </is>
      </c>
      <c r="F113" s="46" t="inlineStr">
        <is>
          <t>اكما</t>
        </is>
      </c>
      <c r="G113" s="46" t="inlineStr">
        <is>
          <t>بنى سويف</t>
        </is>
      </c>
      <c r="H113" s="46" t="inlineStr">
        <is>
          <t>030078/7</t>
        </is>
      </c>
      <c r="I113" s="46" t="inlineStr">
        <is>
          <t>س د ى 2812</t>
        </is>
      </c>
      <c r="J113" s="46" t="inlineStr">
        <is>
          <t>اشرف غزال</t>
        </is>
      </c>
      <c r="K113" s="46" t="inlineStr">
        <is>
          <t>غزال</t>
        </is>
      </c>
      <c r="L113" s="47" t="n">
        <v>17500</v>
      </c>
      <c r="M113" s="47" t="n">
        <v>10100</v>
      </c>
      <c r="N113" s="47" t="n"/>
      <c r="O113" s="47" t="n">
        <v>200</v>
      </c>
      <c r="P113" s="47" t="n"/>
      <c r="Q113" s="47" t="n">
        <v>7200</v>
      </c>
      <c r="R113" s="43">
        <f>IF($B113="","",N($S113)-N($Q113))</f>
        <v/>
      </c>
      <c r="S113" s="43">
        <f>IF($B113="","",N($L113)+N($N113)+N($P113))</f>
        <v/>
      </c>
      <c r="T113" s="47" t="n"/>
      <c r="U113" s="47" t="n"/>
      <c r="V113" s="47" t="n"/>
      <c r="W113" s="47" t="n"/>
      <c r="X113" s="47" t="n"/>
      <c r="Y113" s="47" t="n"/>
      <c r="Z113" s="47" t="n"/>
      <c r="AA113" s="47" t="n"/>
      <c r="AB113" s="47" t="n"/>
      <c r="AC113" s="47" t="n"/>
      <c r="AD113" s="47" t="n"/>
      <c r="AE113" s="47" t="n"/>
      <c r="AF113" s="43">
        <f>IF($B113="","",SUM($T113:$AE113))</f>
        <v/>
      </c>
      <c r="AG113" s="43">
        <f>IF($B113="","",N($M113)-N($AF113))</f>
        <v/>
      </c>
      <c r="AH113" s="43">
        <f>IF($B113="","",N($L113)-N($AF113))</f>
        <v/>
      </c>
      <c r="AI113" s="149">
        <f>IF($B113="","",IF(N($L113)=0,"",(N($L113)-N($AF113))/N($L113)))</f>
        <v/>
      </c>
    </row>
    <row r="114">
      <c r="A114" s="39">
        <f>IF($B114="","",COUNTA($B$4:$B114))</f>
        <v/>
      </c>
      <c r="B114" s="40" t="n">
        <v>46039</v>
      </c>
      <c r="C114" s="41" t="n">
        <v>1641</v>
      </c>
      <c r="D114" s="41" t="inlineStr">
        <is>
          <t xml:space="preserve">ابو مينا </t>
        </is>
      </c>
      <c r="E114" s="41" t="inlineStr">
        <is>
          <t>1*40</t>
        </is>
      </c>
      <c r="F114" s="41" t="inlineStr">
        <is>
          <t>اكما</t>
        </is>
      </c>
      <c r="G114" s="41" t="inlineStr">
        <is>
          <t>بنى سويف</t>
        </is>
      </c>
      <c r="H114" s="41" t="inlineStr">
        <is>
          <t>364787/2</t>
        </is>
      </c>
      <c r="I114" s="41" t="inlineStr">
        <is>
          <t>س ع ف 5194</t>
        </is>
      </c>
      <c r="J114" s="41" t="inlineStr">
        <is>
          <t xml:space="preserve">محمد سوستة </t>
        </is>
      </c>
      <c r="K114" s="41" t="inlineStr">
        <is>
          <t>ابو مينا</t>
        </is>
      </c>
      <c r="L114" s="42" t="n">
        <v>17500</v>
      </c>
      <c r="M114" s="42" t="n">
        <v>10100</v>
      </c>
      <c r="N114" s="42" t="n"/>
      <c r="O114" s="42" t="n">
        <v>200</v>
      </c>
      <c r="P114" s="42" t="n"/>
      <c r="Q114" s="42" t="n">
        <v>7200</v>
      </c>
      <c r="R114" s="43">
        <f>IF($B114="","",N($S114)-N($Q114))</f>
        <v/>
      </c>
      <c r="S114" s="43">
        <f>IF($B114="","",N($L114)+N($N114)+N($P114))</f>
        <v/>
      </c>
      <c r="T114" s="42" t="n"/>
      <c r="U114" s="42" t="n"/>
      <c r="V114" s="42" t="n"/>
      <c r="W114" s="42" t="n"/>
      <c r="X114" s="42" t="n"/>
      <c r="Y114" s="42" t="n"/>
      <c r="Z114" s="42" t="n"/>
      <c r="AA114" s="42" t="n"/>
      <c r="AB114" s="42" t="n"/>
      <c r="AC114" s="42" t="n"/>
      <c r="AD114" s="42" t="n"/>
      <c r="AE114" s="42" t="n"/>
      <c r="AF114" s="43">
        <f>IF($B114="","",SUM($T114:$AE114))</f>
        <v/>
      </c>
      <c r="AG114" s="43">
        <f>IF($B114="","",N($M114)-N($AF114))</f>
        <v/>
      </c>
      <c r="AH114" s="43">
        <f>IF($B114="","",N($L114)-N($AF114))</f>
        <v/>
      </c>
      <c r="AI114" s="149">
        <f>IF($B114="","",IF(N($L114)=0,"",(N($L114)-N($AF114))/N($L114)))</f>
        <v/>
      </c>
    </row>
    <row r="115">
      <c r="A115" s="39">
        <f>IF($B115="","",COUNTA($B$4:$B115))</f>
        <v/>
      </c>
      <c r="B115" s="45" t="n">
        <v>46039</v>
      </c>
      <c r="C115" s="46" t="n">
        <v>1642</v>
      </c>
      <c r="D115" s="46" t="inlineStr">
        <is>
          <t>رجب عبد العال خ</t>
        </is>
      </c>
      <c r="E115" s="46" t="inlineStr">
        <is>
          <t>1*40</t>
        </is>
      </c>
      <c r="F115" s="46" t="inlineStr">
        <is>
          <t>اكما</t>
        </is>
      </c>
      <c r="G115" s="46" t="inlineStr">
        <is>
          <t>بنى سويف</t>
        </is>
      </c>
      <c r="H115" s="46" t="inlineStr">
        <is>
          <t>030714/3</t>
        </is>
      </c>
      <c r="I115" s="46" t="inlineStr">
        <is>
          <t>س د و 4584</t>
        </is>
      </c>
      <c r="J115" s="46" t="inlineStr">
        <is>
          <t xml:space="preserve">محمود مصطفى </t>
        </is>
      </c>
      <c r="K115" s="46" t="inlineStr">
        <is>
          <t>غزال</t>
        </is>
      </c>
      <c r="L115" s="47" t="n">
        <v>17500</v>
      </c>
      <c r="M115" s="47" t="n">
        <v>10100</v>
      </c>
      <c r="N115" s="47" t="n"/>
      <c r="O115" s="47" t="n">
        <v>200</v>
      </c>
      <c r="P115" s="47" t="n"/>
      <c r="Q115" s="47" t="n">
        <v>7200</v>
      </c>
      <c r="R115" s="43">
        <f>IF($B115="","",N($S115)-N($Q115))</f>
        <v/>
      </c>
      <c r="S115" s="43">
        <f>IF($B115="","",N($L115)+N($N115)+N($P115))</f>
        <v/>
      </c>
      <c r="T115" s="47" t="n"/>
      <c r="U115" s="47" t="n"/>
      <c r="V115" s="47" t="n"/>
      <c r="W115" s="47" t="n"/>
      <c r="X115" s="47" t="n"/>
      <c r="Y115" s="47" t="n"/>
      <c r="Z115" s="47" t="n"/>
      <c r="AA115" s="47" t="n"/>
      <c r="AB115" s="47" t="n"/>
      <c r="AC115" s="47" t="n"/>
      <c r="AD115" s="47" t="n"/>
      <c r="AE115" s="47" t="n"/>
      <c r="AF115" s="43">
        <f>IF($B115="","",SUM($T115:$AE115))</f>
        <v/>
      </c>
      <c r="AG115" s="43">
        <f>IF($B115="","",N($M115)-N($AF115))</f>
        <v/>
      </c>
      <c r="AH115" s="43">
        <f>IF($B115="","",N($L115)-N($AF115))</f>
        <v/>
      </c>
      <c r="AI115" s="149">
        <f>IF($B115="","",IF(N($L115)=0,"",(N($L115)-N($AF115))/N($L115)))</f>
        <v/>
      </c>
    </row>
    <row r="116">
      <c r="A116" s="39">
        <f>IF($B116="","",COUNTA($B$4:$B116))</f>
        <v/>
      </c>
      <c r="B116" s="40" t="n">
        <v>46039</v>
      </c>
      <c r="C116" s="41" t="n">
        <v>1643</v>
      </c>
      <c r="D116" s="41" t="inlineStr">
        <is>
          <t xml:space="preserve">ابو مينا </t>
        </is>
      </c>
      <c r="E116" s="41" t="inlineStr">
        <is>
          <t>1*40</t>
        </is>
      </c>
      <c r="F116" s="41" t="inlineStr">
        <is>
          <t>اكما</t>
        </is>
      </c>
      <c r="G116" s="41" t="inlineStr">
        <is>
          <t>بنى سويف</t>
        </is>
      </c>
      <c r="H116" s="41" t="inlineStr">
        <is>
          <t>029968/6</t>
        </is>
      </c>
      <c r="I116" s="41" t="inlineStr">
        <is>
          <t>س ر ع 7945</t>
        </is>
      </c>
      <c r="J116" s="41" t="inlineStr">
        <is>
          <t xml:space="preserve">على جاد </t>
        </is>
      </c>
      <c r="K116" s="41" t="inlineStr">
        <is>
          <t>ابو مينا</t>
        </is>
      </c>
      <c r="L116" s="42" t="n">
        <v>17500</v>
      </c>
      <c r="M116" s="42" t="n">
        <v>10100</v>
      </c>
      <c r="N116" s="42" t="n"/>
      <c r="O116" s="42" t="n">
        <v>200</v>
      </c>
      <c r="P116" s="42" t="n"/>
      <c r="Q116" s="42" t="n">
        <v>7200</v>
      </c>
      <c r="R116" s="43">
        <f>IF($B116="","",N($S116)-N($Q116))</f>
        <v/>
      </c>
      <c r="S116" s="43">
        <f>IF($B116="","",N($L116)+N($N116)+N($P116))</f>
        <v/>
      </c>
      <c r="T116" s="42" t="n"/>
      <c r="U116" s="42" t="n"/>
      <c r="V116" s="42" t="n"/>
      <c r="W116" s="42" t="n"/>
      <c r="X116" s="42" t="n"/>
      <c r="Y116" s="42" t="n"/>
      <c r="Z116" s="42" t="n"/>
      <c r="AA116" s="42" t="n"/>
      <c r="AB116" s="42" t="n"/>
      <c r="AC116" s="42" t="n"/>
      <c r="AD116" s="42" t="n"/>
      <c r="AE116" s="42" t="n"/>
      <c r="AF116" s="43">
        <f>IF($B116="","",SUM($T116:$AE116))</f>
        <v/>
      </c>
      <c r="AG116" s="43">
        <f>IF($B116="","",N($M116)-N($AF116))</f>
        <v/>
      </c>
      <c r="AH116" s="43">
        <f>IF($B116="","",N($L116)-N($AF116))</f>
        <v/>
      </c>
      <c r="AI116" s="149">
        <f>IF($B116="","",IF(N($L116)=0,"",(N($L116)-N($AF116))/N($L116)))</f>
        <v/>
      </c>
    </row>
    <row r="117">
      <c r="A117" s="39">
        <f>IF($B117="","",COUNTA($B$4:$B117))</f>
        <v/>
      </c>
      <c r="B117" s="45" t="n">
        <v>46039</v>
      </c>
      <c r="C117" s="46" t="n">
        <v>1644</v>
      </c>
      <c r="D117" s="46" t="inlineStr">
        <is>
          <t>الشريف خ</t>
        </is>
      </c>
      <c r="E117" s="46" t="inlineStr">
        <is>
          <t>1*40</t>
        </is>
      </c>
      <c r="F117" s="46" t="inlineStr">
        <is>
          <t>اكما</t>
        </is>
      </c>
      <c r="G117" s="46" t="inlineStr">
        <is>
          <t>بنى سويف</t>
        </is>
      </c>
      <c r="H117" s="46" t="inlineStr">
        <is>
          <t>223017/2</t>
        </is>
      </c>
      <c r="I117" s="46" t="inlineStr">
        <is>
          <t>ب د ف 9156</t>
        </is>
      </c>
      <c r="J117" s="46" t="inlineStr">
        <is>
          <t xml:space="preserve">محمود الشريف </t>
        </is>
      </c>
      <c r="K117" s="46" t="inlineStr">
        <is>
          <t xml:space="preserve">ايمن رمضان </t>
        </is>
      </c>
      <c r="L117" s="47" t="n">
        <v>17500</v>
      </c>
      <c r="M117" s="47" t="n">
        <v>10100</v>
      </c>
      <c r="N117" s="47" t="n"/>
      <c r="O117" s="47" t="n">
        <v>200</v>
      </c>
      <c r="P117" s="47" t="n"/>
      <c r="Q117" s="47" t="n">
        <v>7200</v>
      </c>
      <c r="R117" s="43">
        <f>IF($B117="","",N($S117)-N($Q117))</f>
        <v/>
      </c>
      <c r="S117" s="43">
        <f>IF($B117="","",N($L117)+N($N117)+N($P117))</f>
        <v/>
      </c>
      <c r="T117" s="47" t="n"/>
      <c r="U117" s="47" t="n"/>
      <c r="V117" s="47" t="n"/>
      <c r="W117" s="47" t="n"/>
      <c r="X117" s="47" t="n"/>
      <c r="Y117" s="47" t="n"/>
      <c r="Z117" s="47" t="n"/>
      <c r="AA117" s="47" t="n"/>
      <c r="AB117" s="47" t="n"/>
      <c r="AC117" s="47" t="n"/>
      <c r="AD117" s="47" t="n"/>
      <c r="AE117" s="47" t="n"/>
      <c r="AF117" s="43">
        <f>IF($B117="","",SUM($T117:$AE117))</f>
        <v/>
      </c>
      <c r="AG117" s="43">
        <f>IF($B117="","",N($M117)-N($AF117))</f>
        <v/>
      </c>
      <c r="AH117" s="43">
        <f>IF($B117="","",N($L117)-N($AF117))</f>
        <v/>
      </c>
      <c r="AI117" s="149">
        <f>IF($B117="","",IF(N($L117)=0,"",(N($L117)-N($AF117))/N($L117)))</f>
        <v/>
      </c>
    </row>
    <row r="118">
      <c r="A118" s="39">
        <f>IF($B118="","",COUNTA($B$4:$B118))</f>
        <v/>
      </c>
      <c r="B118" s="40" t="n">
        <v>46039</v>
      </c>
      <c r="C118" s="41" t="n">
        <v>1633</v>
      </c>
      <c r="D118" s="41" t="inlineStr">
        <is>
          <t>حماد خ</t>
        </is>
      </c>
      <c r="E118" s="41" t="inlineStr">
        <is>
          <t>1*40</t>
        </is>
      </c>
      <c r="F118" s="41" t="inlineStr">
        <is>
          <t>اكما</t>
        </is>
      </c>
      <c r="G118" s="41" t="inlineStr">
        <is>
          <t>بنى سويف</t>
        </is>
      </c>
      <c r="H118" s="41" t="inlineStr">
        <is>
          <t>008108/6</t>
        </is>
      </c>
      <c r="I118" s="41" t="inlineStr">
        <is>
          <t>س د ى 4243</t>
        </is>
      </c>
      <c r="J118" s="41" t="inlineStr">
        <is>
          <t xml:space="preserve">حسن مصباح </t>
        </is>
      </c>
      <c r="K118" s="41" t="inlineStr">
        <is>
          <t xml:space="preserve">محمد صابر </t>
        </is>
      </c>
      <c r="L118" s="42" t="n">
        <v>17500</v>
      </c>
      <c r="M118" s="42" t="n">
        <v>10100</v>
      </c>
      <c r="N118" s="42" t="n"/>
      <c r="O118" s="42" t="n">
        <v>200</v>
      </c>
      <c r="P118" s="42" t="n"/>
      <c r="Q118" s="42" t="n">
        <v>7200</v>
      </c>
      <c r="R118" s="43">
        <f>IF($B118="","",N($S118)-N($Q118))</f>
        <v/>
      </c>
      <c r="S118" s="43">
        <f>IF($B118="","",N($L118)+N($N118)+N($P118))</f>
        <v/>
      </c>
      <c r="T118" s="42" t="n"/>
      <c r="U118" s="42" t="n"/>
      <c r="V118" s="42" t="n"/>
      <c r="W118" s="42" t="n"/>
      <c r="X118" s="42" t="n"/>
      <c r="Y118" s="42" t="n"/>
      <c r="Z118" s="42" t="n"/>
      <c r="AA118" s="42" t="n"/>
      <c r="AB118" s="42" t="n"/>
      <c r="AC118" s="42" t="n"/>
      <c r="AD118" s="42" t="n"/>
      <c r="AE118" s="42" t="n"/>
      <c r="AF118" s="43">
        <f>IF($B118="","",SUM($T118:$AE118))</f>
        <v/>
      </c>
      <c r="AG118" s="43">
        <f>IF($B118="","",N($M118)-N($AF118))</f>
        <v/>
      </c>
      <c r="AH118" s="43">
        <f>IF($B118="","",N($L118)-N($AF118))</f>
        <v/>
      </c>
      <c r="AI118" s="149">
        <f>IF($B118="","",IF(N($L118)=0,"",(N($L118)-N($AF118))/N($L118)))</f>
        <v/>
      </c>
    </row>
    <row r="119">
      <c r="A119" s="39">
        <f>IF($B119="","",COUNTA($B$4:$B119))</f>
        <v/>
      </c>
      <c r="B119" s="45" t="n">
        <v>46039</v>
      </c>
      <c r="C119" s="46" t="n">
        <v>1634</v>
      </c>
      <c r="D119" s="46" t="inlineStr">
        <is>
          <t>حماد خ</t>
        </is>
      </c>
      <c r="E119" s="46" t="inlineStr">
        <is>
          <t>1*40</t>
        </is>
      </c>
      <c r="F119" s="46" t="inlineStr">
        <is>
          <t>اكما</t>
        </is>
      </c>
      <c r="G119" s="46" t="inlineStr">
        <is>
          <t>بنى سويف</t>
        </is>
      </c>
      <c r="H119" s="46" t="inlineStr">
        <is>
          <t>549254/1</t>
        </is>
      </c>
      <c r="I119" s="46" t="inlineStr">
        <is>
          <t>س ق ر 5539</t>
        </is>
      </c>
      <c r="J119" s="46" t="inlineStr">
        <is>
          <t xml:space="preserve">عبد الرحمن ياسر </t>
        </is>
      </c>
      <c r="K119" s="46" t="inlineStr">
        <is>
          <t xml:space="preserve">محمد صابر </t>
        </is>
      </c>
      <c r="L119" s="47" t="n">
        <v>17500</v>
      </c>
      <c r="M119" s="47" t="n">
        <v>10100</v>
      </c>
      <c r="N119" s="47" t="n"/>
      <c r="O119" s="47" t="n">
        <v>200</v>
      </c>
      <c r="P119" s="47" t="n"/>
      <c r="Q119" s="47" t="n">
        <v>7200</v>
      </c>
      <c r="R119" s="43">
        <f>IF($B119="","",N($S119)-N($Q119))</f>
        <v/>
      </c>
      <c r="S119" s="43">
        <f>IF($B119="","",N($L119)+N($N119)+N($P119))</f>
        <v/>
      </c>
      <c r="T119" s="47" t="n"/>
      <c r="U119" s="47" t="n"/>
      <c r="V119" s="47" t="n"/>
      <c r="W119" s="47" t="n"/>
      <c r="X119" s="47" t="n"/>
      <c r="Y119" s="47" t="n"/>
      <c r="Z119" s="47" t="n"/>
      <c r="AA119" s="47" t="n"/>
      <c r="AB119" s="47" t="n"/>
      <c r="AC119" s="47" t="n"/>
      <c r="AD119" s="47" t="n"/>
      <c r="AE119" s="47" t="n"/>
      <c r="AF119" s="43">
        <f>IF($B119="","",SUM($T119:$AE119))</f>
        <v/>
      </c>
      <c r="AG119" s="43">
        <f>IF($B119="","",N($M119)-N($AF119))</f>
        <v/>
      </c>
      <c r="AH119" s="43">
        <f>IF($B119="","",N($L119)-N($AF119))</f>
        <v/>
      </c>
      <c r="AI119" s="149">
        <f>IF($B119="","",IF(N($L119)=0,"",(N($L119)-N($AF119))/N($L119)))</f>
        <v/>
      </c>
    </row>
    <row r="120">
      <c r="A120" s="39">
        <f>IF($B120="","",COUNTA($B$4:$B120))</f>
        <v/>
      </c>
      <c r="B120" s="40" t="n">
        <v>46039</v>
      </c>
      <c r="C120" s="41" t="n">
        <v>1635</v>
      </c>
      <c r="D120" s="41" t="inlineStr">
        <is>
          <t>صعيدى 1خ</t>
        </is>
      </c>
      <c r="E120" s="41" t="inlineStr">
        <is>
          <t>1*40</t>
        </is>
      </c>
      <c r="F120" s="41" t="inlineStr">
        <is>
          <t>اكما</t>
        </is>
      </c>
      <c r="G120" s="41" t="inlineStr">
        <is>
          <t>بنى سويف</t>
        </is>
      </c>
      <c r="H120" s="41" t="inlineStr">
        <is>
          <t>029962/3</t>
        </is>
      </c>
      <c r="I120" s="41" t="inlineStr">
        <is>
          <t>س ه ف 1874</t>
        </is>
      </c>
      <c r="J120" s="41" t="inlineStr">
        <is>
          <t xml:space="preserve">هانى عزت </t>
        </is>
      </c>
      <c r="K120" s="41" t="inlineStr">
        <is>
          <t xml:space="preserve">محمد الصعيدى </t>
        </is>
      </c>
      <c r="L120" s="42" t="n">
        <v>17500</v>
      </c>
      <c r="M120" s="42" t="n">
        <v>10100</v>
      </c>
      <c r="N120" s="42" t="n"/>
      <c r="O120" s="42" t="n">
        <v>200</v>
      </c>
      <c r="P120" s="42" t="n"/>
      <c r="Q120" s="42" t="n">
        <v>7200</v>
      </c>
      <c r="R120" s="43">
        <f>IF($B120="","",N($S120)-N($Q120))</f>
        <v/>
      </c>
      <c r="S120" s="43">
        <f>IF($B120="","",N($L120)+N($N120)+N($P120))</f>
        <v/>
      </c>
      <c r="T120" s="42" t="n"/>
      <c r="U120" s="42" t="n"/>
      <c r="V120" s="42" t="n"/>
      <c r="W120" s="42" t="n"/>
      <c r="X120" s="42" t="n"/>
      <c r="Y120" s="42" t="n"/>
      <c r="Z120" s="42" t="n"/>
      <c r="AA120" s="42" t="n"/>
      <c r="AB120" s="42" t="n"/>
      <c r="AC120" s="42" t="n"/>
      <c r="AD120" s="42" t="n"/>
      <c r="AE120" s="42" t="n"/>
      <c r="AF120" s="43">
        <f>IF($B120="","",SUM($T120:$AE120))</f>
        <v/>
      </c>
      <c r="AG120" s="43">
        <f>IF($B120="","",N($M120)-N($AF120))</f>
        <v/>
      </c>
      <c r="AH120" s="43">
        <f>IF($B120="","",N($L120)-N($AF120))</f>
        <v/>
      </c>
      <c r="AI120" s="149">
        <f>IF($B120="","",IF(N($L120)=0,"",(N($L120)-N($AF120))/N($L120)))</f>
        <v/>
      </c>
    </row>
    <row r="121">
      <c r="A121" s="39">
        <f>IF($B121="","",COUNTA($B$4:$B121))</f>
        <v/>
      </c>
      <c r="B121" s="45" t="n">
        <v>46039</v>
      </c>
      <c r="C121" s="46" t="n">
        <v>1636</v>
      </c>
      <c r="D121" s="46" t="inlineStr">
        <is>
          <t>صعيدى 1خ</t>
        </is>
      </c>
      <c r="E121" s="46" t="inlineStr">
        <is>
          <t>1*40</t>
        </is>
      </c>
      <c r="F121" s="46" t="inlineStr">
        <is>
          <t>اكما</t>
        </is>
      </c>
      <c r="G121" s="46" t="inlineStr">
        <is>
          <t>بنى سويف</t>
        </is>
      </c>
      <c r="H121" s="46" t="inlineStr">
        <is>
          <t>030785/8</t>
        </is>
      </c>
      <c r="I121" s="46" t="inlineStr">
        <is>
          <t>س ل ج2521</t>
        </is>
      </c>
      <c r="J121" s="46" t="inlineStr">
        <is>
          <t xml:space="preserve">احمد جمال القط </t>
        </is>
      </c>
      <c r="K121" s="46" t="inlineStr">
        <is>
          <t xml:space="preserve">محمد الصعيدى </t>
        </is>
      </c>
      <c r="L121" s="47" t="n">
        <v>17500</v>
      </c>
      <c r="M121" s="47" t="n">
        <v>10100</v>
      </c>
      <c r="N121" s="47" t="n"/>
      <c r="O121" s="47" t="n">
        <v>200</v>
      </c>
      <c r="P121" s="47" t="n"/>
      <c r="Q121" s="47" t="n">
        <v>7200</v>
      </c>
      <c r="R121" s="43">
        <f>IF($B121="","",N($S121)-N($Q121))</f>
        <v/>
      </c>
      <c r="S121" s="43">
        <f>IF($B121="","",N($L121)+N($N121)+N($P121))</f>
        <v/>
      </c>
      <c r="T121" s="47" t="n"/>
      <c r="U121" s="47" t="n"/>
      <c r="V121" s="47" t="n"/>
      <c r="W121" s="47" t="n"/>
      <c r="X121" s="47" t="n"/>
      <c r="Y121" s="47" t="n"/>
      <c r="Z121" s="47" t="n"/>
      <c r="AA121" s="47" t="n"/>
      <c r="AB121" s="47" t="n"/>
      <c r="AC121" s="47" t="n"/>
      <c r="AD121" s="47" t="n"/>
      <c r="AE121" s="47" t="n"/>
      <c r="AF121" s="43">
        <f>IF($B121="","",SUM($T121:$AE121))</f>
        <v/>
      </c>
      <c r="AG121" s="43">
        <f>IF($B121="","",N($M121)-N($AF121))</f>
        <v/>
      </c>
      <c r="AH121" s="43">
        <f>IF($B121="","",N($L121)-N($AF121))</f>
        <v/>
      </c>
      <c r="AI121" s="149">
        <f>IF($B121="","",IF(N($L121)=0,"",(N($L121)-N($AF121))/N($L121)))</f>
        <v/>
      </c>
    </row>
    <row r="122">
      <c r="A122" s="39">
        <f>IF($B122="","",COUNTA($B$4:$B122))</f>
        <v/>
      </c>
      <c r="B122" s="40" t="n">
        <v>46039</v>
      </c>
      <c r="C122" s="41" t="n">
        <v>1637</v>
      </c>
      <c r="D122" s="41" t="inlineStr">
        <is>
          <t>صعيدى 1خ</t>
        </is>
      </c>
      <c r="E122" s="41" t="inlineStr">
        <is>
          <t>1*40</t>
        </is>
      </c>
      <c r="F122" s="41" t="inlineStr">
        <is>
          <t>اكما</t>
        </is>
      </c>
      <c r="G122" s="41" t="inlineStr">
        <is>
          <t>بنى سويف</t>
        </is>
      </c>
      <c r="H122" s="41" t="inlineStr">
        <is>
          <t>367213/4</t>
        </is>
      </c>
      <c r="I122" s="41" t="inlineStr">
        <is>
          <t>س ف ب 3176</t>
        </is>
      </c>
      <c r="J122" s="41" t="inlineStr">
        <is>
          <t>السيد عبد العزيز</t>
        </is>
      </c>
      <c r="K122" s="41" t="inlineStr">
        <is>
          <t xml:space="preserve">محمد الصعيدى </t>
        </is>
      </c>
      <c r="L122" s="42" t="n">
        <v>17500</v>
      </c>
      <c r="M122" s="42" t="n">
        <v>10100</v>
      </c>
      <c r="N122" s="42" t="n"/>
      <c r="O122" s="42" t="n">
        <v>200</v>
      </c>
      <c r="P122" s="42" t="n"/>
      <c r="Q122" s="42" t="n">
        <v>7200</v>
      </c>
      <c r="R122" s="43">
        <f>IF($B122="","",N($S122)-N($Q122))</f>
        <v/>
      </c>
      <c r="S122" s="43">
        <f>IF($B122="","",N($L122)+N($N122)+N($P122))</f>
        <v/>
      </c>
      <c r="T122" s="42" t="n"/>
      <c r="U122" s="42" t="n"/>
      <c r="V122" s="42" t="n"/>
      <c r="W122" s="42" t="n"/>
      <c r="X122" s="42" t="n"/>
      <c r="Y122" s="42" t="n"/>
      <c r="Z122" s="42" t="n"/>
      <c r="AA122" s="42" t="n"/>
      <c r="AB122" s="42" t="n"/>
      <c r="AC122" s="42" t="n"/>
      <c r="AD122" s="42" t="n"/>
      <c r="AE122" s="42" t="n"/>
      <c r="AF122" s="43">
        <f>IF($B122="","",SUM($T122:$AE122))</f>
        <v/>
      </c>
      <c r="AG122" s="43">
        <f>IF($B122="","",N($M122)-N($AF122))</f>
        <v/>
      </c>
      <c r="AH122" s="43">
        <f>IF($B122="","",N($L122)-N($AF122))</f>
        <v/>
      </c>
      <c r="AI122" s="149">
        <f>IF($B122="","",IF(N($L122)=0,"",(N($L122)-N($AF122))/N($L122)))</f>
        <v/>
      </c>
    </row>
    <row r="123">
      <c r="A123" s="39">
        <f>IF($B123="","",COUNTA($B$4:$B123))</f>
        <v/>
      </c>
      <c r="B123" s="45" t="n">
        <v>46039</v>
      </c>
      <c r="C123" s="46" t="n">
        <v>1638</v>
      </c>
      <c r="D123" s="46" t="inlineStr">
        <is>
          <t>عتريس مخيمر  خ</t>
        </is>
      </c>
      <c r="E123" s="46" t="inlineStr">
        <is>
          <t>1*40</t>
        </is>
      </c>
      <c r="F123" s="46" t="inlineStr">
        <is>
          <t>اكما</t>
        </is>
      </c>
      <c r="G123" s="46" t="inlineStr">
        <is>
          <t>بنى سويف</t>
        </is>
      </c>
      <c r="H123" s="46" t="inlineStr">
        <is>
          <t>029998/4</t>
        </is>
      </c>
      <c r="I123" s="46" t="inlineStr">
        <is>
          <t>ب ص ا 2574</t>
        </is>
      </c>
      <c r="J123" s="46" t="inlineStr">
        <is>
          <t xml:space="preserve">احمد عادل </t>
        </is>
      </c>
      <c r="K123" s="46" t="inlineStr">
        <is>
          <t>البحيري</t>
        </is>
      </c>
      <c r="L123" s="47" t="n">
        <v>17500</v>
      </c>
      <c r="M123" s="47" t="n">
        <v>10100</v>
      </c>
      <c r="N123" s="47" t="n"/>
      <c r="O123" s="47" t="n">
        <v>200</v>
      </c>
      <c r="P123" s="47" t="n"/>
      <c r="Q123" s="47" t="n">
        <v>7200</v>
      </c>
      <c r="R123" s="43">
        <f>IF($B123="","",N($S123)-N($Q123))</f>
        <v/>
      </c>
      <c r="S123" s="43">
        <f>IF($B123="","",N($L123)+N($N123)+N($P123))</f>
        <v/>
      </c>
      <c r="T123" s="47" t="n"/>
      <c r="U123" s="47" t="n"/>
      <c r="V123" s="47" t="n"/>
      <c r="W123" s="47" t="n"/>
      <c r="X123" s="47" t="n"/>
      <c r="Y123" s="47" t="n"/>
      <c r="Z123" s="47" t="n"/>
      <c r="AA123" s="47" t="n"/>
      <c r="AB123" s="47" t="n"/>
      <c r="AC123" s="47" t="n"/>
      <c r="AD123" s="47" t="n"/>
      <c r="AE123" s="47" t="n"/>
      <c r="AF123" s="43">
        <f>IF($B123="","",SUM($T123:$AE123))</f>
        <v/>
      </c>
      <c r="AG123" s="43">
        <f>IF($B123="","",N($M123)-N($AF123))</f>
        <v/>
      </c>
      <c r="AH123" s="43">
        <f>IF($B123="","",N($L123)-N($AF123))</f>
        <v/>
      </c>
      <c r="AI123" s="149">
        <f>IF($B123="","",IF(N($L123)=0,"",(N($L123)-N($AF123))/N($L123)))</f>
        <v/>
      </c>
    </row>
    <row r="124">
      <c r="A124" s="39">
        <f>IF($B124="","",COUNTA($B$4:$B124))</f>
        <v/>
      </c>
      <c r="B124" s="40" t="n">
        <v>46040</v>
      </c>
      <c r="C124" s="41" t="n">
        <v>1922</v>
      </c>
      <c r="D124" s="41" t="inlineStr">
        <is>
          <t>رجب عبد العال خ</t>
        </is>
      </c>
      <c r="E124" s="41" t="inlineStr">
        <is>
          <t>1*40</t>
        </is>
      </c>
      <c r="F124" s="41" t="inlineStr">
        <is>
          <t xml:space="preserve">اتش تى ام </t>
        </is>
      </c>
      <c r="G124" s="41" t="inlineStr">
        <is>
          <t xml:space="preserve">اكتوبر </t>
        </is>
      </c>
      <c r="H124" s="41" t="inlineStr">
        <is>
          <t>118862/3</t>
        </is>
      </c>
      <c r="I124" s="41" t="inlineStr">
        <is>
          <t>س ل ى 8432</t>
        </is>
      </c>
      <c r="J124" s="41" t="inlineStr">
        <is>
          <t xml:space="preserve">محمد ابراهيم </t>
        </is>
      </c>
      <c r="K124" s="41" t="inlineStr">
        <is>
          <t xml:space="preserve">طارق الجمل </t>
        </is>
      </c>
      <c r="L124" s="42" t="n">
        <v>12700</v>
      </c>
      <c r="M124" s="42" t="n">
        <v>7100</v>
      </c>
      <c r="N124" s="42" t="n"/>
      <c r="O124" s="42" t="n">
        <v>200</v>
      </c>
      <c r="P124" s="42" t="n"/>
      <c r="Q124" s="42" t="n">
        <v>5400</v>
      </c>
      <c r="R124" s="43">
        <f>IF($B124="","",N($S124)-N($Q124))</f>
        <v/>
      </c>
      <c r="S124" s="43">
        <f>IF($B124="","",N($L124)+N($N124)+N($P124))</f>
        <v/>
      </c>
      <c r="T124" s="42" t="n"/>
      <c r="U124" s="42" t="n"/>
      <c r="V124" s="42" t="n"/>
      <c r="W124" s="42" t="n"/>
      <c r="X124" s="42" t="n"/>
      <c r="Y124" s="42" t="n"/>
      <c r="Z124" s="42" t="n"/>
      <c r="AA124" s="42" t="n"/>
      <c r="AB124" s="42" t="n"/>
      <c r="AC124" s="42" t="n"/>
      <c r="AD124" s="42" t="n"/>
      <c r="AE124" s="42" t="n"/>
      <c r="AF124" s="43">
        <f>IF($B124="","",SUM($T124:$AE124))</f>
        <v/>
      </c>
      <c r="AG124" s="43">
        <f>IF($B124="","",N($M124)-N($AF124))</f>
        <v/>
      </c>
      <c r="AH124" s="43">
        <f>IF($B124="","",N($L124)-N($AF124))</f>
        <v/>
      </c>
      <c r="AI124" s="149">
        <f>IF($B124="","",IF(N($L124)=0,"",(N($L124)-N($AF124))/N($L124)))</f>
        <v/>
      </c>
    </row>
    <row r="125">
      <c r="A125" s="39">
        <f>IF($B125="","",COUNTA($B$4:$B125))</f>
        <v/>
      </c>
      <c r="B125" s="45" t="n">
        <v>46040</v>
      </c>
      <c r="C125" s="46" t="n">
        <v>1921</v>
      </c>
      <c r="D125" s="46" t="inlineStr">
        <is>
          <t>ايوب خ</t>
        </is>
      </c>
      <c r="E125" s="46" t="inlineStr">
        <is>
          <t>1*20</t>
        </is>
      </c>
      <c r="F125" s="46" t="inlineStr">
        <is>
          <t xml:space="preserve">ريجينا </t>
        </is>
      </c>
      <c r="G125" s="46" t="inlineStr">
        <is>
          <t xml:space="preserve">السادات </t>
        </is>
      </c>
      <c r="H125" s="46" t="inlineStr">
        <is>
          <t>169887/1</t>
        </is>
      </c>
      <c r="I125" s="46" t="inlineStr">
        <is>
          <t>ب ر ط 6478</t>
        </is>
      </c>
      <c r="J125" s="46" t="inlineStr">
        <is>
          <t xml:space="preserve">محمد اسماعيل </t>
        </is>
      </c>
      <c r="K125" s="46" t="inlineStr">
        <is>
          <t xml:space="preserve">ايوب </t>
        </is>
      </c>
      <c r="L125" s="47" t="n">
        <v>11500</v>
      </c>
      <c r="M125" s="47" t="n">
        <v>7100</v>
      </c>
      <c r="N125" s="47" t="n"/>
      <c r="O125" s="47" t="n">
        <v>200</v>
      </c>
      <c r="P125" s="47" t="n"/>
      <c r="Q125" s="47" t="n">
        <v>4200</v>
      </c>
      <c r="R125" s="43">
        <f>IF($B125="","",N($S125)-N($Q125))</f>
        <v/>
      </c>
      <c r="S125" s="43">
        <f>IF($B125="","",N($L125)+N($N125)+N($P125))</f>
        <v/>
      </c>
      <c r="T125" s="47" t="n"/>
      <c r="U125" s="47" t="n"/>
      <c r="V125" s="47" t="n"/>
      <c r="W125" s="47" t="n"/>
      <c r="X125" s="47" t="n"/>
      <c r="Y125" s="47" t="n"/>
      <c r="Z125" s="47" t="n"/>
      <c r="AA125" s="47" t="n"/>
      <c r="AB125" s="47" t="n"/>
      <c r="AC125" s="47" t="n"/>
      <c r="AD125" s="47" t="n"/>
      <c r="AE125" s="47" t="n"/>
      <c r="AF125" s="43">
        <f>IF($B125="","",SUM($T125:$AE125))</f>
        <v/>
      </c>
      <c r="AG125" s="43">
        <f>IF($B125="","",N($M125)-N($AF125))</f>
        <v/>
      </c>
      <c r="AH125" s="43">
        <f>IF($B125="","",N($L125)-N($AF125))</f>
        <v/>
      </c>
      <c r="AI125" s="149">
        <f>IF($B125="","",IF(N($L125)=0,"",(N($L125)-N($AF125))/N($L125)))</f>
        <v/>
      </c>
    </row>
    <row r="126">
      <c r="A126" s="39">
        <f>IF($B126="","",COUNTA($B$4:$B126))</f>
        <v/>
      </c>
      <c r="B126" s="40" t="n">
        <v>46040</v>
      </c>
      <c r="C126" s="41" t="n">
        <v>1924</v>
      </c>
      <c r="D126" s="41" t="inlineStr">
        <is>
          <t xml:space="preserve">احمد محسن </t>
        </is>
      </c>
      <c r="E126" s="41" t="inlineStr">
        <is>
          <t>1*40</t>
        </is>
      </c>
      <c r="F126" s="41" t="inlineStr">
        <is>
          <t xml:space="preserve">عبد الرحمن </t>
        </is>
      </c>
      <c r="G126" s="41" t="inlineStr">
        <is>
          <t>التجمع 5</t>
        </is>
      </c>
      <c r="H126" s="41" t="inlineStr">
        <is>
          <t>636457/9</t>
        </is>
      </c>
      <c r="I126" s="41" t="inlineStr">
        <is>
          <t>س ع ا 7219</t>
        </is>
      </c>
      <c r="J126" s="41" t="inlineStr">
        <is>
          <t xml:space="preserve">طلعت محمد </t>
        </is>
      </c>
      <c r="K126" s="41" t="inlineStr">
        <is>
          <t xml:space="preserve">احمد محسن </t>
        </is>
      </c>
      <c r="L126" s="42" t="n">
        <v>14000</v>
      </c>
      <c r="M126" s="42" t="n">
        <v>8100</v>
      </c>
      <c r="N126" s="42" t="n"/>
      <c r="O126" s="42" t="n">
        <v>200</v>
      </c>
      <c r="P126" s="42" t="n"/>
      <c r="Q126" s="42" t="n">
        <v>5700</v>
      </c>
      <c r="R126" s="43">
        <f>IF($B126="","",N($S126)-N($Q126))</f>
        <v/>
      </c>
      <c r="S126" s="43">
        <f>IF($B126="","",N($L126)+N($N126)+N($P126))</f>
        <v/>
      </c>
      <c r="T126" s="42" t="n"/>
      <c r="U126" s="42" t="n"/>
      <c r="V126" s="42" t="n"/>
      <c r="W126" s="42" t="n"/>
      <c r="X126" s="42" t="n"/>
      <c r="Y126" s="42" t="n"/>
      <c r="Z126" s="42" t="n"/>
      <c r="AA126" s="42" t="n"/>
      <c r="AB126" s="42" t="n"/>
      <c r="AC126" s="42" t="n"/>
      <c r="AD126" s="42" t="n"/>
      <c r="AE126" s="42" t="n"/>
      <c r="AF126" s="43">
        <f>IF($B126="","",SUM($T126:$AE126))</f>
        <v/>
      </c>
      <c r="AG126" s="43">
        <f>IF($B126="","",N($M126)-N($AF126))</f>
        <v/>
      </c>
      <c r="AH126" s="43">
        <f>IF($B126="","",N($L126)-N($AF126))</f>
        <v/>
      </c>
      <c r="AI126" s="149">
        <f>IF($B126="","",IF(N($L126)=0,"",(N($L126)-N($AF126))/N($L126)))</f>
        <v/>
      </c>
    </row>
    <row r="127">
      <c r="A127" s="39">
        <f>IF($B127="","",COUNTA($B$4:$B127))</f>
        <v/>
      </c>
      <c r="B127" s="45" t="n">
        <v>46040</v>
      </c>
      <c r="C127" s="46" t="n">
        <v>1925</v>
      </c>
      <c r="D127" s="46" t="inlineStr">
        <is>
          <t xml:space="preserve">حسين محمد </t>
        </is>
      </c>
      <c r="E127" s="46" t="inlineStr">
        <is>
          <t>1*40</t>
        </is>
      </c>
      <c r="F127" s="46" t="inlineStr">
        <is>
          <t xml:space="preserve">عبد الرحمن </t>
        </is>
      </c>
      <c r="G127" s="46" t="inlineStr">
        <is>
          <t>التجمع 5</t>
        </is>
      </c>
      <c r="H127" s="46" t="inlineStr">
        <is>
          <t>706409/1</t>
        </is>
      </c>
      <c r="I127" s="46" t="inlineStr">
        <is>
          <t>ص ع ا 7531</t>
        </is>
      </c>
      <c r="J127" s="46" t="inlineStr">
        <is>
          <t>سالم بلتاجى</t>
        </is>
      </c>
      <c r="K127" s="46" t="inlineStr">
        <is>
          <t xml:space="preserve">الليبر </t>
        </is>
      </c>
      <c r="L127" s="47" t="n">
        <v>14000</v>
      </c>
      <c r="M127" s="47" t="n">
        <v>8100</v>
      </c>
      <c r="N127" s="47" t="n"/>
      <c r="O127" s="47" t="n">
        <v>200</v>
      </c>
      <c r="P127" s="47" t="n"/>
      <c r="Q127" s="47" t="n">
        <v>5700</v>
      </c>
      <c r="R127" s="43">
        <f>IF($B127="","",N($S127)-N($Q127))</f>
        <v/>
      </c>
      <c r="S127" s="43">
        <f>IF($B127="","",N($L127)+N($N127)+N($P127))</f>
        <v/>
      </c>
      <c r="T127" s="47" t="n"/>
      <c r="U127" s="47" t="n"/>
      <c r="V127" s="47" t="n"/>
      <c r="W127" s="47" t="n"/>
      <c r="X127" s="47" t="n"/>
      <c r="Y127" s="47" t="n"/>
      <c r="Z127" s="47" t="n"/>
      <c r="AA127" s="47" t="n"/>
      <c r="AB127" s="47" t="n"/>
      <c r="AC127" s="47" t="n"/>
      <c r="AD127" s="47" t="n"/>
      <c r="AE127" s="47" t="n"/>
      <c r="AF127" s="43">
        <f>IF($B127="","",SUM($T127:$AE127))</f>
        <v/>
      </c>
      <c r="AG127" s="43">
        <f>IF($B127="","",N($M127)-N($AF127))</f>
        <v/>
      </c>
      <c r="AH127" s="43">
        <f>IF($B127="","",N($L127)-N($AF127))</f>
        <v/>
      </c>
      <c r="AI127" s="149">
        <f>IF($B127="","",IF(N($L127)=0,"",(N($L127)-N($AF127))/N($L127)))</f>
        <v/>
      </c>
    </row>
    <row r="128">
      <c r="A128" s="39">
        <f>IF($B128="","",COUNTA($B$4:$B128))</f>
        <v/>
      </c>
      <c r="B128" s="40" t="n">
        <v>46040</v>
      </c>
      <c r="C128" s="41" t="n">
        <v>1918</v>
      </c>
      <c r="D128" s="41" t="inlineStr">
        <is>
          <t>صفيحة</t>
        </is>
      </c>
      <c r="E128" s="41" t="inlineStr">
        <is>
          <t>1*40</t>
        </is>
      </c>
      <c r="F128" s="41" t="inlineStr">
        <is>
          <t xml:space="preserve">الصاوى والقداح </t>
        </is>
      </c>
      <c r="G128" s="41" t="inlineStr">
        <is>
          <t xml:space="preserve">م حرة </t>
        </is>
      </c>
      <c r="H128" s="41" t="inlineStr">
        <is>
          <t>955234/7</t>
        </is>
      </c>
      <c r="I128" s="41" t="inlineStr">
        <is>
          <t>س ص ا 2259</t>
        </is>
      </c>
      <c r="J128" s="41" t="inlineStr">
        <is>
          <t>سعيد عبد الرازق</t>
        </is>
      </c>
      <c r="K128" s="41" t="inlineStr">
        <is>
          <t xml:space="preserve">صفيحة </t>
        </is>
      </c>
      <c r="L128" s="42" t="n">
        <v>6000</v>
      </c>
      <c r="M128" s="42" t="n">
        <v>5100</v>
      </c>
      <c r="N128" s="42" t="n"/>
      <c r="O128" s="42" t="n">
        <v>100</v>
      </c>
      <c r="P128" s="42" t="n"/>
      <c r="Q128" s="42" t="n">
        <v>800</v>
      </c>
      <c r="R128" s="43">
        <f>IF($B128="","",N($S128)-N($Q128))</f>
        <v/>
      </c>
      <c r="S128" s="43">
        <f>IF($B128="","",N($L128)+N($N128)+N($P128))</f>
        <v/>
      </c>
      <c r="T128" s="42" t="n"/>
      <c r="U128" s="42" t="n"/>
      <c r="V128" s="42" t="n"/>
      <c r="W128" s="42" t="n"/>
      <c r="X128" s="42" t="n"/>
      <c r="Y128" s="42" t="n"/>
      <c r="Z128" s="42" t="n"/>
      <c r="AA128" s="42" t="n"/>
      <c r="AB128" s="42" t="n"/>
      <c r="AC128" s="42" t="n"/>
      <c r="AD128" s="42" t="n"/>
      <c r="AE128" s="42" t="n"/>
      <c r="AF128" s="43">
        <f>IF($B128="","",SUM($T128:$AE128))</f>
        <v/>
      </c>
      <c r="AG128" s="43">
        <f>IF($B128="","",N($M128)-N($AF128))</f>
        <v/>
      </c>
      <c r="AH128" s="43">
        <f>IF($B128="","",N($L128)-N($AF128))</f>
        <v/>
      </c>
      <c r="AI128" s="149">
        <f>IF($B128="","",IF(N($L128)=0,"",(N($L128)-N($AF128))/N($L128)))</f>
        <v/>
      </c>
    </row>
    <row r="129">
      <c r="A129" s="39">
        <f>IF($B129="","",COUNTA($B$4:$B129))</f>
        <v/>
      </c>
      <c r="B129" s="45" t="n">
        <v>46040</v>
      </c>
      <c r="C129" s="46" t="n">
        <v>1919</v>
      </c>
      <c r="D129" s="46" t="n"/>
      <c r="E129" s="46" t="inlineStr">
        <is>
          <t>1*20</t>
        </is>
      </c>
      <c r="F129" s="46" t="inlineStr">
        <is>
          <t xml:space="preserve">الصاوى والقداح </t>
        </is>
      </c>
      <c r="G129" s="46" t="inlineStr">
        <is>
          <t xml:space="preserve">م حرة </t>
        </is>
      </c>
      <c r="H129" s="46" t="inlineStr">
        <is>
          <t>019528/8</t>
        </is>
      </c>
      <c r="I129" s="46" t="inlineStr">
        <is>
          <t>ب ر م 2548</t>
        </is>
      </c>
      <c r="J129" s="46" t="inlineStr">
        <is>
          <t xml:space="preserve">محمد صقر </t>
        </is>
      </c>
      <c r="K129" s="46" t="inlineStr">
        <is>
          <t xml:space="preserve">روماني </t>
        </is>
      </c>
      <c r="L129" s="47" t="n">
        <v>4500</v>
      </c>
      <c r="M129" s="47" t="n">
        <v>3100</v>
      </c>
      <c r="N129" s="47" t="n"/>
      <c r="O129" s="47" t="n">
        <v>100</v>
      </c>
      <c r="P129" s="47" t="n"/>
      <c r="Q129" s="47" t="n">
        <v>1300</v>
      </c>
      <c r="R129" s="43">
        <f>IF($B129="","",N($S129)-N($Q129))</f>
        <v/>
      </c>
      <c r="S129" s="43">
        <f>IF($B129="","",N($L129)+N($N129)+N($P129))</f>
        <v/>
      </c>
      <c r="T129" s="47" t="n"/>
      <c r="U129" s="47" t="n"/>
      <c r="V129" s="47" t="n"/>
      <c r="W129" s="47" t="n"/>
      <c r="X129" s="47" t="n"/>
      <c r="Y129" s="47" t="n"/>
      <c r="Z129" s="47" t="n"/>
      <c r="AA129" s="47" t="n"/>
      <c r="AB129" s="47" t="n"/>
      <c r="AC129" s="47" t="n"/>
      <c r="AD129" s="47" t="n"/>
      <c r="AE129" s="47" t="n"/>
      <c r="AF129" s="43">
        <f>IF($B129="","",SUM($T129:$AE129))</f>
        <v/>
      </c>
      <c r="AG129" s="43">
        <f>IF($B129="","",N($M129)-N($AF129))</f>
        <v/>
      </c>
      <c r="AH129" s="43">
        <f>IF($B129="","",N($L129)-N($AF129))</f>
        <v/>
      </c>
      <c r="AI129" s="149">
        <f>IF($B129="","",IF(N($L129)=0,"",(N($L129)-N($AF129))/N($L129)))</f>
        <v/>
      </c>
    </row>
    <row r="130">
      <c r="A130" s="39">
        <f>IF($B130="","",COUNTA($B$4:$B130))</f>
        <v/>
      </c>
      <c r="B130" s="40" t="n">
        <v>46040</v>
      </c>
      <c r="C130" s="41" t="n">
        <v>1598</v>
      </c>
      <c r="D130" s="41" t="inlineStr">
        <is>
          <t>رجب عبد العال خ</t>
        </is>
      </c>
      <c r="E130" s="41" t="inlineStr">
        <is>
          <t>1*40</t>
        </is>
      </c>
      <c r="F130" s="41" t="inlineStr">
        <is>
          <t>الملكة والامير</t>
        </is>
      </c>
      <c r="G130" s="41" t="inlineStr">
        <is>
          <t xml:space="preserve">الخطاطبة </t>
        </is>
      </c>
      <c r="H130" s="41" t="inlineStr">
        <is>
          <t>184107/0</t>
        </is>
      </c>
      <c r="I130" s="41" t="inlineStr">
        <is>
          <t>س ل ى7966</t>
        </is>
      </c>
      <c r="J130" s="41" t="inlineStr">
        <is>
          <t xml:space="preserve">جعفر النميرى </t>
        </is>
      </c>
      <c r="K130" s="41" t="inlineStr">
        <is>
          <t>الجمل</t>
        </is>
      </c>
      <c r="L130" s="42" t="n">
        <v>11700</v>
      </c>
      <c r="M130" s="42" t="n">
        <v>7100</v>
      </c>
      <c r="N130" s="42" t="n"/>
      <c r="O130" s="42" t="n">
        <v>200</v>
      </c>
      <c r="P130" s="42" t="n"/>
      <c r="Q130" s="42" t="n">
        <v>4400</v>
      </c>
      <c r="R130" s="43">
        <f>IF($B130="","",N($S130)-N($Q130))</f>
        <v/>
      </c>
      <c r="S130" s="43">
        <f>IF($B130="","",N($L130)+N($N130)+N($P130))</f>
        <v/>
      </c>
      <c r="T130" s="42" t="n"/>
      <c r="U130" s="42" t="n"/>
      <c r="V130" s="42" t="n"/>
      <c r="W130" s="42" t="n"/>
      <c r="X130" s="42" t="n"/>
      <c r="Y130" s="42" t="n"/>
      <c r="Z130" s="42" t="n"/>
      <c r="AA130" s="42" t="n"/>
      <c r="AB130" s="42" t="n"/>
      <c r="AC130" s="42" t="n"/>
      <c r="AD130" s="42" t="n"/>
      <c r="AE130" s="42" t="n"/>
      <c r="AF130" s="43">
        <f>IF($B130="","",SUM($T130:$AE130))</f>
        <v/>
      </c>
      <c r="AG130" s="43">
        <f>IF($B130="","",N($M130)-N($AF130))</f>
        <v/>
      </c>
      <c r="AH130" s="43">
        <f>IF($B130="","",N($L130)-N($AF130))</f>
        <v/>
      </c>
      <c r="AI130" s="149">
        <f>IF($B130="","",IF(N($L130)=0,"",(N($L130)-N($AF130))/N($L130)))</f>
        <v/>
      </c>
    </row>
    <row r="131">
      <c r="A131" s="39">
        <f>IF($B131="","",COUNTA($B$4:$B131))</f>
        <v/>
      </c>
      <c r="B131" s="45" t="n">
        <v>46040</v>
      </c>
      <c r="C131" s="46" t="n">
        <v>1751</v>
      </c>
      <c r="D131" s="46" t="inlineStr">
        <is>
          <t>عتريس مخيمر  خ</t>
        </is>
      </c>
      <c r="E131" s="46" t="inlineStr">
        <is>
          <t>1*40</t>
        </is>
      </c>
      <c r="F131" s="46" t="inlineStr">
        <is>
          <t>دلتا فلكس</t>
        </is>
      </c>
      <c r="G131" s="46" t="inlineStr">
        <is>
          <t xml:space="preserve">شبراملس </t>
        </is>
      </c>
      <c r="H131" s="46" t="n"/>
      <c r="I131" s="46" t="inlineStr">
        <is>
          <t>ب ص ا 2574</t>
        </is>
      </c>
      <c r="J131" s="46" t="inlineStr">
        <is>
          <t xml:space="preserve">محمد البحيرى </t>
        </is>
      </c>
      <c r="K131" s="46" t="inlineStr">
        <is>
          <t>البحيري</t>
        </is>
      </c>
      <c r="L131" s="47" t="n">
        <v>13000</v>
      </c>
      <c r="M131" s="47" t="n">
        <v>7100</v>
      </c>
      <c r="N131" s="47" t="n"/>
      <c r="O131" s="47" t="n">
        <v>200</v>
      </c>
      <c r="P131" s="47" t="n"/>
      <c r="Q131" s="47" t="n">
        <v>5700</v>
      </c>
      <c r="R131" s="43">
        <f>IF($B131="","",N($S131)-N($Q131))</f>
        <v/>
      </c>
      <c r="S131" s="43">
        <f>IF($B131="","",N($L131)+N($N131)+N($P131))</f>
        <v/>
      </c>
      <c r="T131" s="47" t="n"/>
      <c r="U131" s="47" t="n"/>
      <c r="V131" s="47" t="n"/>
      <c r="W131" s="47" t="n"/>
      <c r="X131" s="47" t="n"/>
      <c r="Y131" s="47" t="n"/>
      <c r="Z131" s="47" t="n"/>
      <c r="AA131" s="47" t="n"/>
      <c r="AB131" s="47" t="n"/>
      <c r="AC131" s="47" t="n"/>
      <c r="AD131" s="47" t="n"/>
      <c r="AE131" s="47" t="n"/>
      <c r="AF131" s="43">
        <f>IF($B131="","",SUM($T131:$AE131))</f>
        <v/>
      </c>
      <c r="AG131" s="43">
        <f>IF($B131="","",N($M131)-N($AF131))</f>
        <v/>
      </c>
      <c r="AH131" s="43">
        <f>IF($B131="","",N($L131)-N($AF131))</f>
        <v/>
      </c>
      <c r="AI131" s="149">
        <f>IF($B131="","",IF(N($L131)=0,"",(N($L131)-N($AF131))/N($L131)))</f>
        <v/>
      </c>
    </row>
    <row r="132">
      <c r="A132" s="39">
        <f>IF($B132="","",COUNTA($B$4:$B132))</f>
        <v/>
      </c>
      <c r="B132" s="40" t="n">
        <v>46040</v>
      </c>
      <c r="C132" s="41" t="n">
        <v>1597</v>
      </c>
      <c r="D132" s="41" t="inlineStr">
        <is>
          <t>حماد خ</t>
        </is>
      </c>
      <c r="E132" s="41" t="inlineStr">
        <is>
          <t>1*40</t>
        </is>
      </c>
      <c r="F132" s="41" t="inlineStr">
        <is>
          <t>الملكة والامير</t>
        </is>
      </c>
      <c r="G132" s="41" t="inlineStr">
        <is>
          <t xml:space="preserve">الفيوم </t>
        </is>
      </c>
      <c r="H132" s="41" t="inlineStr">
        <is>
          <t>937126/6</t>
        </is>
      </c>
      <c r="I132" s="41" t="inlineStr">
        <is>
          <t>س ن و 5265</t>
        </is>
      </c>
      <c r="J132" s="41" t="inlineStr">
        <is>
          <t xml:space="preserve">خالد شحاتة </t>
        </is>
      </c>
      <c r="K132" s="41" t="inlineStr">
        <is>
          <t xml:space="preserve">محمد صابر </t>
        </is>
      </c>
      <c r="L132" s="42" t="n">
        <v>17000</v>
      </c>
      <c r="M132" s="42" t="n">
        <v>9100</v>
      </c>
      <c r="N132" s="42" t="n"/>
      <c r="O132" s="42" t="n">
        <v>200</v>
      </c>
      <c r="P132" s="42" t="n"/>
      <c r="Q132" s="42" t="n">
        <v>7700</v>
      </c>
      <c r="R132" s="43">
        <f>IF($B132="","",N($S132)-N($Q132))</f>
        <v/>
      </c>
      <c r="S132" s="43">
        <f>IF($B132="","",N($L132)+N($N132)+N($P132))</f>
        <v/>
      </c>
      <c r="T132" s="42" t="n"/>
      <c r="U132" s="42" t="n"/>
      <c r="V132" s="42" t="n"/>
      <c r="W132" s="42" t="n"/>
      <c r="X132" s="42" t="n"/>
      <c r="Y132" s="42" t="n"/>
      <c r="Z132" s="42" t="n"/>
      <c r="AA132" s="42" t="n"/>
      <c r="AB132" s="42" t="n"/>
      <c r="AC132" s="42" t="n"/>
      <c r="AD132" s="42" t="n"/>
      <c r="AE132" s="42" t="n"/>
      <c r="AF132" s="43">
        <f>IF($B132="","",SUM($T132:$AE132))</f>
        <v/>
      </c>
      <c r="AG132" s="43">
        <f>IF($B132="","",N($M132)-N($AF132))</f>
        <v/>
      </c>
      <c r="AH132" s="43">
        <f>IF($B132="","",N($L132)-N($AF132))</f>
        <v/>
      </c>
      <c r="AI132" s="149">
        <f>IF($B132="","",IF(N($L132)=0,"",(N($L132)-N($AF132))/N($L132)))</f>
        <v/>
      </c>
    </row>
    <row r="133">
      <c r="A133" s="39">
        <f>IF($B133="","",COUNTA($B$4:$B133))</f>
        <v/>
      </c>
      <c r="B133" s="45" t="n">
        <v>46040</v>
      </c>
      <c r="C133" s="46" t="n">
        <v>1596</v>
      </c>
      <c r="D133" s="46" t="inlineStr">
        <is>
          <t>حماد خ</t>
        </is>
      </c>
      <c r="E133" s="46" t="inlineStr">
        <is>
          <t>1*40</t>
        </is>
      </c>
      <c r="F133" s="46" t="inlineStr">
        <is>
          <t>الملكة والامير</t>
        </is>
      </c>
      <c r="G133" s="46" t="inlineStr">
        <is>
          <t xml:space="preserve">الفيوم </t>
        </is>
      </c>
      <c r="H133" s="46" t="inlineStr">
        <is>
          <t>595987/2</t>
        </is>
      </c>
      <c r="I133" s="46" t="inlineStr">
        <is>
          <t>س ن ب 1649</t>
        </is>
      </c>
      <c r="J133" s="46" t="inlineStr">
        <is>
          <t xml:space="preserve">محمد عاطف </t>
        </is>
      </c>
      <c r="K133" s="46" t="inlineStr">
        <is>
          <t xml:space="preserve">محمد صابر </t>
        </is>
      </c>
      <c r="L133" s="47" t="n">
        <v>17000</v>
      </c>
      <c r="M133" s="47" t="n">
        <v>9100</v>
      </c>
      <c r="N133" s="47" t="n"/>
      <c r="O133" s="47" t="n">
        <v>200</v>
      </c>
      <c r="P133" s="47" t="n"/>
      <c r="Q133" s="47" t="n">
        <v>7700</v>
      </c>
      <c r="R133" s="43">
        <f>IF($B133="","",N($S133)-N($Q133))</f>
        <v/>
      </c>
      <c r="S133" s="43">
        <f>IF($B133="","",N($L133)+N($N133)+N($P133))</f>
        <v/>
      </c>
      <c r="T133" s="47" t="n"/>
      <c r="U133" s="47" t="n"/>
      <c r="V133" s="47" t="n"/>
      <c r="W133" s="47" t="n"/>
      <c r="X133" s="47" t="n"/>
      <c r="Y133" s="47" t="n"/>
      <c r="Z133" s="47" t="n"/>
      <c r="AA133" s="47" t="n"/>
      <c r="AB133" s="47" t="n"/>
      <c r="AC133" s="47" t="n"/>
      <c r="AD133" s="47" t="n"/>
      <c r="AE133" s="47" t="n"/>
      <c r="AF133" s="43">
        <f>IF($B133="","",SUM($T133:$AE133))</f>
        <v/>
      </c>
      <c r="AG133" s="43">
        <f>IF($B133="","",N($M133)-N($AF133))</f>
        <v/>
      </c>
      <c r="AH133" s="43">
        <f>IF($B133="","",N($L133)-N($AF133))</f>
        <v/>
      </c>
      <c r="AI133" s="149">
        <f>IF($B133="","",IF(N($L133)=0,"",(N($L133)-N($AF133))/N($L133)))</f>
        <v/>
      </c>
    </row>
    <row r="134">
      <c r="A134" s="39">
        <f>IF($B134="","",COUNTA($B$4:$B134))</f>
        <v/>
      </c>
      <c r="B134" s="40" t="n">
        <v>46040</v>
      </c>
      <c r="C134" s="41" t="n">
        <v>1595</v>
      </c>
      <c r="D134" s="41" t="inlineStr">
        <is>
          <t>استوريا خ</t>
        </is>
      </c>
      <c r="E134" s="41" t="inlineStr">
        <is>
          <t>1*40</t>
        </is>
      </c>
      <c r="F134" s="41" t="inlineStr">
        <is>
          <t xml:space="preserve">يونايتد باك </t>
        </is>
      </c>
      <c r="G134" s="41" t="inlineStr">
        <is>
          <t xml:space="preserve">العاشر </t>
        </is>
      </c>
      <c r="H134" s="41" t="inlineStr">
        <is>
          <t>508722/3</t>
        </is>
      </c>
      <c r="I134" s="41" t="inlineStr">
        <is>
          <t>ب ر ط 1274</t>
        </is>
      </c>
      <c r="J134" s="41" t="inlineStr">
        <is>
          <t xml:space="preserve">هانى سعفان </t>
        </is>
      </c>
      <c r="K134" s="41" t="inlineStr">
        <is>
          <t xml:space="preserve">استوريا </t>
        </is>
      </c>
      <c r="L134" s="42" t="n">
        <v>14500</v>
      </c>
      <c r="M134" s="42" t="n">
        <v>8100</v>
      </c>
      <c r="N134" s="42" t="n"/>
      <c r="O134" s="42" t="n">
        <v>200</v>
      </c>
      <c r="P134" s="42" t="n"/>
      <c r="Q134" s="42" t="n">
        <v>6200</v>
      </c>
      <c r="R134" s="43">
        <f>IF($B134="","",N($S134)-N($Q134))</f>
        <v/>
      </c>
      <c r="S134" s="43">
        <f>IF($B134="","",N($L134)+N($N134)+N($P134))</f>
        <v/>
      </c>
      <c r="T134" s="42" t="n"/>
      <c r="U134" s="42" t="n"/>
      <c r="V134" s="42" t="n"/>
      <c r="W134" s="42" t="n"/>
      <c r="X134" s="42" t="n"/>
      <c r="Y134" s="42" t="n"/>
      <c r="Z134" s="42" t="n"/>
      <c r="AA134" s="42" t="n"/>
      <c r="AB134" s="42" t="n"/>
      <c r="AC134" s="42" t="n"/>
      <c r="AD134" s="42" t="n"/>
      <c r="AE134" s="42" t="n"/>
      <c r="AF134" s="43">
        <f>IF($B134="","",SUM($T134:$AE134))</f>
        <v/>
      </c>
      <c r="AG134" s="43">
        <f>IF($B134="","",N($M134)-N($AF134))</f>
        <v/>
      </c>
      <c r="AH134" s="43">
        <f>IF($B134="","",N($L134)-N($AF134))</f>
        <v/>
      </c>
      <c r="AI134" s="149">
        <f>IF($B134="","",IF(N($L134)=0,"",(N($L134)-N($AF134))/N($L134)))</f>
        <v/>
      </c>
    </row>
    <row r="135">
      <c r="A135" s="39">
        <f>IF($B135="","",COUNTA($B$4:$B135))</f>
        <v/>
      </c>
      <c r="B135" s="45" t="n">
        <v>46040</v>
      </c>
      <c r="C135" s="46" t="n">
        <v>1594</v>
      </c>
      <c r="D135" s="46" t="inlineStr">
        <is>
          <t xml:space="preserve">بدوى صلاح </t>
        </is>
      </c>
      <c r="E135" s="46" t="inlineStr">
        <is>
          <t>1*40</t>
        </is>
      </c>
      <c r="F135" s="46" t="inlineStr">
        <is>
          <t xml:space="preserve">الريعى </t>
        </is>
      </c>
      <c r="G135" s="46" t="inlineStr">
        <is>
          <t xml:space="preserve">الصالحية </t>
        </is>
      </c>
      <c r="H135" s="46" t="inlineStr">
        <is>
          <t>792680/7</t>
        </is>
      </c>
      <c r="I135" s="46" t="inlineStr">
        <is>
          <t>ص ع ا 7538</t>
        </is>
      </c>
      <c r="J135" s="46" t="inlineStr">
        <is>
          <t xml:space="preserve">رمضان الصاوى </t>
        </is>
      </c>
      <c r="K135" s="46" t="inlineStr">
        <is>
          <t xml:space="preserve">رمضان الصاوى </t>
        </is>
      </c>
      <c r="L135" s="47" t="n">
        <v>17000</v>
      </c>
      <c r="M135" s="47" t="n">
        <v>9100</v>
      </c>
      <c r="N135" s="47" t="n"/>
      <c r="O135" s="47" t="n">
        <v>200</v>
      </c>
      <c r="P135" s="47" t="n"/>
      <c r="Q135" s="47" t="n">
        <v>7700</v>
      </c>
      <c r="R135" s="43">
        <f>IF($B135="","",N($S135)-N($Q135))</f>
        <v/>
      </c>
      <c r="S135" s="43">
        <f>IF($B135="","",N($L135)+N($N135)+N($P135))</f>
        <v/>
      </c>
      <c r="T135" s="47" t="n"/>
      <c r="U135" s="47" t="n"/>
      <c r="V135" s="47" t="n"/>
      <c r="W135" s="47" t="n"/>
      <c r="X135" s="47" t="n"/>
      <c r="Y135" s="47" t="n"/>
      <c r="Z135" s="47" t="n"/>
      <c r="AA135" s="47" t="n"/>
      <c r="AB135" s="47" t="n"/>
      <c r="AC135" s="47" t="n"/>
      <c r="AD135" s="47" t="n"/>
      <c r="AE135" s="47" t="n"/>
      <c r="AF135" s="43">
        <f>IF($B135="","",SUM($T135:$AE135))</f>
        <v/>
      </c>
      <c r="AG135" s="43">
        <f>IF($B135="","",N($M135)-N($AF135))</f>
        <v/>
      </c>
      <c r="AH135" s="43">
        <f>IF($B135="","",N($L135)-N($AF135))</f>
        <v/>
      </c>
      <c r="AI135" s="149">
        <f>IF($B135="","",IF(N($L135)=0,"",(N($L135)-N($AF135))/N($L135)))</f>
        <v/>
      </c>
    </row>
    <row r="136">
      <c r="A136" s="39">
        <f>IF($B136="","",COUNTA($B$4:$B136))</f>
        <v/>
      </c>
      <c r="B136" s="40" t="n">
        <v>46040</v>
      </c>
      <c r="C136" s="41" t="n">
        <v>1920</v>
      </c>
      <c r="D136" s="41" t="inlineStr">
        <is>
          <t xml:space="preserve">ابو ركبة </t>
        </is>
      </c>
      <c r="E136" s="41" t="inlineStr">
        <is>
          <t>1*40</t>
        </is>
      </c>
      <c r="F136" s="41" t="inlineStr">
        <is>
          <t xml:space="preserve">الريعى </t>
        </is>
      </c>
      <c r="G136" s="41" t="inlineStr">
        <is>
          <t xml:space="preserve">الصالحية </t>
        </is>
      </c>
      <c r="H136" s="41" t="inlineStr">
        <is>
          <t>802932/5</t>
        </is>
      </c>
      <c r="I136" s="41" t="inlineStr">
        <is>
          <t>ب د ن 6541</t>
        </is>
      </c>
      <c r="J136" s="41" t="inlineStr">
        <is>
          <t xml:space="preserve">خيرى الشهاوى </t>
        </is>
      </c>
      <c r="K136" s="41" t="inlineStr">
        <is>
          <t xml:space="preserve">الليبر </t>
        </is>
      </c>
      <c r="L136" s="42" t="n">
        <v>16000</v>
      </c>
      <c r="M136" s="42" t="n">
        <v>9100</v>
      </c>
      <c r="N136" s="42" t="n"/>
      <c r="O136" s="42" t="n">
        <v>200</v>
      </c>
      <c r="P136" s="42" t="n"/>
      <c r="Q136" s="42" t="n">
        <v>6700</v>
      </c>
      <c r="R136" s="43">
        <f>IF($B136="","",N($S136)-N($Q136))</f>
        <v/>
      </c>
      <c r="S136" s="43">
        <f>IF($B136="","",N($L136)+N($N136)+N($P136))</f>
        <v/>
      </c>
      <c r="T136" s="42" t="n"/>
      <c r="U136" s="42" t="n"/>
      <c r="V136" s="42" t="n"/>
      <c r="W136" s="42" t="n"/>
      <c r="X136" s="42" t="n"/>
      <c r="Y136" s="42" t="n"/>
      <c r="Z136" s="42" t="n"/>
      <c r="AA136" s="42" t="n"/>
      <c r="AB136" s="42" t="n"/>
      <c r="AC136" s="42" t="n"/>
      <c r="AD136" s="42" t="n"/>
      <c r="AE136" s="42" t="n"/>
      <c r="AF136" s="43">
        <f>IF($B136="","",SUM($T136:$AE136))</f>
        <v/>
      </c>
      <c r="AG136" s="43">
        <f>IF($B136="","",N($M136)-N($AF136))</f>
        <v/>
      </c>
      <c r="AH136" s="43">
        <f>IF($B136="","",N($L136)-N($AF136))</f>
        <v/>
      </c>
      <c r="AI136" s="149">
        <f>IF($B136="","",IF(N($L136)=0,"",(N($L136)-N($AF136))/N($L136)))</f>
        <v/>
      </c>
    </row>
    <row r="137">
      <c r="A137" s="39">
        <f>IF($B137="","",COUNTA($B$4:$B137))</f>
        <v/>
      </c>
      <c r="B137" s="45" t="n">
        <v>46040</v>
      </c>
      <c r="C137" s="46" t="n">
        <v>1599</v>
      </c>
      <c r="D137" s="46" t="inlineStr">
        <is>
          <t xml:space="preserve">علاء علام </t>
        </is>
      </c>
      <c r="E137" s="46" t="inlineStr">
        <is>
          <t>1*40</t>
        </is>
      </c>
      <c r="F137" s="46" t="inlineStr">
        <is>
          <t xml:space="preserve">الريعى </t>
        </is>
      </c>
      <c r="G137" s="46" t="inlineStr">
        <is>
          <t xml:space="preserve">حوش عيسى </t>
        </is>
      </c>
      <c r="H137" s="46" t="inlineStr">
        <is>
          <t>509439/6</t>
        </is>
      </c>
      <c r="I137" s="46" t="inlineStr">
        <is>
          <t>س ا ه 8798</t>
        </is>
      </c>
      <c r="J137" s="46" t="inlineStr">
        <is>
          <t xml:space="preserve">ياسر احمد </t>
        </is>
      </c>
      <c r="K137" s="46" t="inlineStr">
        <is>
          <t xml:space="preserve">علاء علام </t>
        </is>
      </c>
      <c r="L137" s="47" t="n">
        <v>9000</v>
      </c>
      <c r="M137" s="47" t="n">
        <v>6100</v>
      </c>
      <c r="N137" s="47" t="n"/>
      <c r="O137" s="47" t="n">
        <v>200</v>
      </c>
      <c r="P137" s="47" t="n"/>
      <c r="Q137" s="47" t="n">
        <v>2700</v>
      </c>
      <c r="R137" s="43">
        <f>IF($B137="","",N($S137)-N($Q137))</f>
        <v/>
      </c>
      <c r="S137" s="43">
        <f>IF($B137="","",N($L137)+N($N137)+N($P137))</f>
        <v/>
      </c>
      <c r="T137" s="47" t="n"/>
      <c r="U137" s="47" t="n"/>
      <c r="V137" s="47" t="n"/>
      <c r="W137" s="47" t="n"/>
      <c r="X137" s="47" t="n"/>
      <c r="Y137" s="47" t="n"/>
      <c r="Z137" s="47" t="n"/>
      <c r="AA137" s="47" t="n"/>
      <c r="AB137" s="47" t="n"/>
      <c r="AC137" s="47" t="n"/>
      <c r="AD137" s="47" t="n"/>
      <c r="AE137" s="47" t="n"/>
      <c r="AF137" s="43">
        <f>IF($B137="","",SUM($T137:$AE137))</f>
        <v/>
      </c>
      <c r="AG137" s="43">
        <f>IF($B137="","",N($M137)-N($AF137))</f>
        <v/>
      </c>
      <c r="AH137" s="43">
        <f>IF($B137="","",N($L137)-N($AF137))</f>
        <v/>
      </c>
      <c r="AI137" s="149">
        <f>IF($B137="","",IF(N($L137)=0,"",(N($L137)-N($AF137))/N($L137)))</f>
        <v/>
      </c>
    </row>
    <row r="138">
      <c r="A138" s="39">
        <f>IF($B138="","",COUNTA($B$4:$B138))</f>
        <v/>
      </c>
      <c r="B138" s="40" t="n">
        <v>46040</v>
      </c>
      <c r="C138" s="41" t="n">
        <v>1600</v>
      </c>
      <c r="D138" s="41" t="inlineStr">
        <is>
          <t>حاتم البحر  ق</t>
        </is>
      </c>
      <c r="E138" s="41" t="inlineStr">
        <is>
          <t>1*40</t>
        </is>
      </c>
      <c r="F138" s="41" t="inlineStr">
        <is>
          <t xml:space="preserve">الريعى </t>
        </is>
      </c>
      <c r="G138" s="41" t="inlineStr">
        <is>
          <t xml:space="preserve">حوش عيسى </t>
        </is>
      </c>
      <c r="H138" s="41" t="inlineStr">
        <is>
          <t>705146/0</t>
        </is>
      </c>
      <c r="I138" s="41" t="inlineStr">
        <is>
          <t>س م ى 3925</t>
        </is>
      </c>
      <c r="J138" s="41" t="inlineStr">
        <is>
          <t xml:space="preserve">عادل علام </t>
        </is>
      </c>
      <c r="K138" s="41" t="inlineStr">
        <is>
          <t>الزوقزوق</t>
        </is>
      </c>
      <c r="L138" s="42" t="n">
        <v>9000</v>
      </c>
      <c r="M138" s="42" t="n">
        <v>6100</v>
      </c>
      <c r="N138" s="42" t="n"/>
      <c r="O138" s="42" t="n">
        <v>200</v>
      </c>
      <c r="P138" s="42" t="n"/>
      <c r="Q138" s="42" t="n">
        <v>2700</v>
      </c>
      <c r="R138" s="43">
        <f>IF($B138="","",N($S138)-N($Q138))</f>
        <v/>
      </c>
      <c r="S138" s="43">
        <f>IF($B138="","",N($L138)+N($N138)+N($P138))</f>
        <v/>
      </c>
      <c r="T138" s="42" t="n"/>
      <c r="U138" s="42" t="n"/>
      <c r="V138" s="42" t="n"/>
      <c r="W138" s="42" t="n"/>
      <c r="X138" s="42" t="n"/>
      <c r="Y138" s="42" t="n"/>
      <c r="Z138" s="42" t="n"/>
      <c r="AA138" s="42" t="n"/>
      <c r="AB138" s="42" t="n"/>
      <c r="AC138" s="42" t="n"/>
      <c r="AD138" s="42" t="n"/>
      <c r="AE138" s="42" t="n"/>
      <c r="AF138" s="43">
        <f>IF($B138="","",SUM($T138:$AE138))</f>
        <v/>
      </c>
      <c r="AG138" s="43">
        <f>IF($B138="","",N($M138)-N($AF138))</f>
        <v/>
      </c>
      <c r="AH138" s="43">
        <f>IF($B138="","",N($L138)-N($AF138))</f>
        <v/>
      </c>
      <c r="AI138" s="149">
        <f>IF($B138="","",IF(N($L138)=0,"",(N($L138)-N($AF138))/N($L138)))</f>
        <v/>
      </c>
    </row>
    <row r="139">
      <c r="A139" s="39">
        <f>IF($B139="","",COUNTA($B$4:$B139))</f>
        <v/>
      </c>
      <c r="B139" s="45" t="n">
        <v>46040</v>
      </c>
      <c r="C139" s="46" t="n">
        <v>1999</v>
      </c>
      <c r="D139" s="46" t="inlineStr">
        <is>
          <t>سعد منير</t>
        </is>
      </c>
      <c r="E139" s="46" t="inlineStr">
        <is>
          <t>1*40</t>
        </is>
      </c>
      <c r="F139" s="46" t="inlineStr">
        <is>
          <t xml:space="preserve">مينا تك </t>
        </is>
      </c>
      <c r="G139" s="46" t="inlineStr">
        <is>
          <t>م بدر</t>
        </is>
      </c>
      <c r="H139" s="46" t="inlineStr">
        <is>
          <t>651590/4</t>
        </is>
      </c>
      <c r="I139" s="46" t="inlineStr">
        <is>
          <t>ب د ن 2987</t>
        </is>
      </c>
      <c r="J139" s="46" t="inlineStr">
        <is>
          <t xml:space="preserve">احمد كمال </t>
        </is>
      </c>
      <c r="K139" s="46" t="inlineStr">
        <is>
          <t>استوريا</t>
        </is>
      </c>
      <c r="L139" s="47" t="n">
        <v>14500</v>
      </c>
      <c r="M139" s="47" t="n">
        <v>8100</v>
      </c>
      <c r="N139" s="47" t="n"/>
      <c r="O139" s="47" t="n">
        <v>200</v>
      </c>
      <c r="P139" s="47" t="n"/>
      <c r="Q139" s="47" t="n">
        <v>6200</v>
      </c>
      <c r="R139" s="43">
        <f>IF($B139="","",N($S139)-N($Q139))</f>
        <v/>
      </c>
      <c r="S139" s="43">
        <f>IF($B139="","",N($L139)+N($N139)+N($P139))</f>
        <v/>
      </c>
      <c r="T139" s="47" t="n"/>
      <c r="U139" s="47" t="n"/>
      <c r="V139" s="47" t="n"/>
      <c r="W139" s="47" t="n"/>
      <c r="X139" s="47" t="n"/>
      <c r="Y139" s="47" t="n"/>
      <c r="Z139" s="47" t="n"/>
      <c r="AA139" s="47" t="n"/>
      <c r="AB139" s="47" t="n"/>
      <c r="AC139" s="47" t="n"/>
      <c r="AD139" s="47" t="n"/>
      <c r="AE139" s="47" t="n"/>
      <c r="AF139" s="43">
        <f>IF($B139="","",SUM($T139:$AE139))</f>
        <v/>
      </c>
      <c r="AG139" s="43">
        <f>IF($B139="","",N($M139)-N($AF139))</f>
        <v/>
      </c>
      <c r="AH139" s="43">
        <f>IF($B139="","",N($L139)-N($AF139))</f>
        <v/>
      </c>
      <c r="AI139" s="149">
        <f>IF($B139="","",IF(N($L139)=0,"",(N($L139)-N($AF139))/N($L139)))</f>
        <v/>
      </c>
    </row>
    <row r="140">
      <c r="A140" s="39">
        <f>IF($B140="","",COUNTA($B$4:$B140))</f>
        <v/>
      </c>
      <c r="B140" s="40" t="n">
        <v>46040</v>
      </c>
      <c r="C140" s="41" t="n">
        <v>1917</v>
      </c>
      <c r="D140" s="41" t="inlineStr">
        <is>
          <t xml:space="preserve">بدوى صلاح </t>
        </is>
      </c>
      <c r="E140" s="41" t="inlineStr">
        <is>
          <t>1*20</t>
        </is>
      </c>
      <c r="F140" s="41" t="inlineStr">
        <is>
          <t>اتش بى فلور</t>
        </is>
      </c>
      <c r="G140" s="41" t="inlineStr">
        <is>
          <t xml:space="preserve">اكتوبر </t>
        </is>
      </c>
      <c r="H140" s="41" t="inlineStr">
        <is>
          <t>245110/9</t>
        </is>
      </c>
      <c r="I140" s="41" t="inlineStr">
        <is>
          <t>ب د ن 2193</t>
        </is>
      </c>
      <c r="J140" s="41" t="inlineStr">
        <is>
          <t xml:space="preserve">وليد جاد </t>
        </is>
      </c>
      <c r="K140" s="41" t="inlineStr">
        <is>
          <t xml:space="preserve">روماني </t>
        </is>
      </c>
      <c r="L140" s="42" t="n">
        <v>10500</v>
      </c>
      <c r="M140" s="42" t="n">
        <v>7100</v>
      </c>
      <c r="N140" s="42" t="n"/>
      <c r="O140" s="42" t="n">
        <v>200</v>
      </c>
      <c r="P140" s="42" t="n"/>
      <c r="Q140" s="42" t="n">
        <v>3200</v>
      </c>
      <c r="R140" s="43">
        <f>IF($B140="","",N($S140)-N($Q140))</f>
        <v/>
      </c>
      <c r="S140" s="43">
        <f>IF($B140="","",N($L140)+N($N140)+N($P140))</f>
        <v/>
      </c>
      <c r="T140" s="42" t="n"/>
      <c r="U140" s="42" t="n"/>
      <c r="V140" s="42" t="n"/>
      <c r="W140" s="42" t="n"/>
      <c r="X140" s="42" t="n"/>
      <c r="Y140" s="42" t="n"/>
      <c r="Z140" s="42" t="n"/>
      <c r="AA140" s="42" t="n"/>
      <c r="AB140" s="42" t="n"/>
      <c r="AC140" s="42" t="n"/>
      <c r="AD140" s="42" t="n"/>
      <c r="AE140" s="42" t="n"/>
      <c r="AF140" s="43">
        <f>IF($B140="","",SUM($T140:$AE140))</f>
        <v/>
      </c>
      <c r="AG140" s="43">
        <f>IF($B140="","",N($M140)-N($AF140))</f>
        <v/>
      </c>
      <c r="AH140" s="43">
        <f>IF($B140="","",N($L140)-N($AF140))</f>
        <v/>
      </c>
      <c r="AI140" s="149">
        <f>IF($B140="","",IF(N($L140)=0,"",(N($L140)-N($AF140))/N($L140)))</f>
        <v/>
      </c>
    </row>
    <row r="141">
      <c r="A141" s="39">
        <f>IF($B141="","",COUNTA($B$4:$B141))</f>
        <v/>
      </c>
      <c r="B141" s="45" t="n">
        <v>46040</v>
      </c>
      <c r="C141" s="46" t="n">
        <v>1648</v>
      </c>
      <c r="D141" s="46" t="inlineStr">
        <is>
          <t>حمادة ذكى</t>
        </is>
      </c>
      <c r="E141" s="46" t="inlineStr">
        <is>
          <t>1*40</t>
        </is>
      </c>
      <c r="F141" s="46" t="inlineStr">
        <is>
          <t>اكما</t>
        </is>
      </c>
      <c r="G141" s="46" t="inlineStr">
        <is>
          <t>بنى سويف</t>
        </is>
      </c>
      <c r="H141" s="46" t="inlineStr">
        <is>
          <t>001021/2</t>
        </is>
      </c>
      <c r="I141" s="46" t="inlineStr">
        <is>
          <t>س ق ا 4698</t>
        </is>
      </c>
      <c r="J141" s="46" t="inlineStr">
        <is>
          <t xml:space="preserve">ناصر سعد </t>
        </is>
      </c>
      <c r="K141" s="46" t="inlineStr">
        <is>
          <t xml:space="preserve">حمادة ذكى </t>
        </is>
      </c>
      <c r="L141" s="47" t="n">
        <v>17500</v>
      </c>
      <c r="M141" s="47" t="n">
        <v>10100</v>
      </c>
      <c r="N141" s="47" t="n"/>
      <c r="O141" s="47" t="n">
        <v>200</v>
      </c>
      <c r="P141" s="47" t="n"/>
      <c r="Q141" s="47" t="n">
        <v>7200</v>
      </c>
      <c r="R141" s="43">
        <f>IF($B141="","",N($S141)-N($Q141))</f>
        <v/>
      </c>
      <c r="S141" s="43">
        <f>IF($B141="","",N($L141)+N($N141)+N($P141))</f>
        <v/>
      </c>
      <c r="T141" s="47" t="n"/>
      <c r="U141" s="47" t="n"/>
      <c r="V141" s="47" t="n"/>
      <c r="W141" s="47" t="n"/>
      <c r="X141" s="47" t="n"/>
      <c r="Y141" s="47" t="n"/>
      <c r="Z141" s="47" t="n"/>
      <c r="AA141" s="47" t="n"/>
      <c r="AB141" s="47" t="n"/>
      <c r="AC141" s="47" t="n"/>
      <c r="AD141" s="47" t="n"/>
      <c r="AE141" s="47" t="n"/>
      <c r="AF141" s="43">
        <f>IF($B141="","",SUM($T141:$AE141))</f>
        <v/>
      </c>
      <c r="AG141" s="43">
        <f>IF($B141="","",N($M141)-N($AF141))</f>
        <v/>
      </c>
      <c r="AH141" s="43">
        <f>IF($B141="","",N($L141)-N($AF141))</f>
        <v/>
      </c>
      <c r="AI141" s="149">
        <f>IF($B141="","",IF(N($L141)=0,"",(N($L141)-N($AF141))/N($L141)))</f>
        <v/>
      </c>
    </row>
    <row r="142">
      <c r="A142" s="39">
        <f>IF($B142="","",COUNTA($B$4:$B142))</f>
        <v/>
      </c>
      <c r="B142" s="40" t="n">
        <v>46040</v>
      </c>
      <c r="C142" s="41" t="n">
        <v>1649</v>
      </c>
      <c r="D142" s="41" t="inlineStr">
        <is>
          <t>حمادة ذكى</t>
        </is>
      </c>
      <c r="E142" s="41" t="inlineStr">
        <is>
          <t>1*40</t>
        </is>
      </c>
      <c r="F142" s="41" t="n"/>
      <c r="G142" s="41" t="inlineStr">
        <is>
          <t>بنى سويف</t>
        </is>
      </c>
      <c r="H142" s="41" t="inlineStr">
        <is>
          <t>009278/0</t>
        </is>
      </c>
      <c r="I142" s="41" t="inlineStr">
        <is>
          <t>س ر ا 9197</t>
        </is>
      </c>
      <c r="J142" s="41" t="inlineStr">
        <is>
          <t xml:space="preserve">السيد طة </t>
        </is>
      </c>
      <c r="K142" s="41" t="inlineStr">
        <is>
          <t xml:space="preserve">حمادة ذكى </t>
        </is>
      </c>
      <c r="L142" s="42" t="n">
        <v>17500</v>
      </c>
      <c r="M142" s="42" t="n">
        <v>10100</v>
      </c>
      <c r="N142" s="42" t="n"/>
      <c r="O142" s="42" t="n">
        <v>200</v>
      </c>
      <c r="P142" s="42" t="n"/>
      <c r="Q142" s="42" t="n">
        <v>7200</v>
      </c>
      <c r="R142" s="43">
        <f>IF($B142="","",N($S142)-N($Q142))</f>
        <v/>
      </c>
      <c r="S142" s="43">
        <f>IF($B142="","",N($L142)+N($N142)+N($P142))</f>
        <v/>
      </c>
      <c r="T142" s="42" t="n"/>
      <c r="U142" s="42" t="n"/>
      <c r="V142" s="42" t="n"/>
      <c r="W142" s="42" t="n"/>
      <c r="X142" s="42" t="n"/>
      <c r="Y142" s="42" t="n"/>
      <c r="Z142" s="42" t="n"/>
      <c r="AA142" s="42" t="n"/>
      <c r="AB142" s="42" t="n"/>
      <c r="AC142" s="42" t="n"/>
      <c r="AD142" s="42" t="n"/>
      <c r="AE142" s="42" t="n"/>
      <c r="AF142" s="43">
        <f>IF($B142="","",SUM($T142:$AE142))</f>
        <v/>
      </c>
      <c r="AG142" s="43">
        <f>IF($B142="","",N($M142)-N($AF142))</f>
        <v/>
      </c>
      <c r="AH142" s="43">
        <f>IF($B142="","",N($L142)-N($AF142))</f>
        <v/>
      </c>
      <c r="AI142" s="149">
        <f>IF($B142="","",IF(N($L142)=0,"",(N($L142)-N($AF142))/N($L142)))</f>
        <v/>
      </c>
    </row>
    <row r="143">
      <c r="A143" s="39">
        <f>IF($B143="","",COUNTA($B$4:$B143))</f>
        <v/>
      </c>
      <c r="B143" s="45" t="n">
        <v>46040</v>
      </c>
      <c r="C143" s="46" t="n">
        <v>1701</v>
      </c>
      <c r="D143" s="46" t="inlineStr">
        <is>
          <t>الشريف خ</t>
        </is>
      </c>
      <c r="E143" s="46" t="inlineStr">
        <is>
          <t>1*40</t>
        </is>
      </c>
      <c r="F143" s="46" t="inlineStr">
        <is>
          <t>اكما</t>
        </is>
      </c>
      <c r="G143" s="46" t="inlineStr">
        <is>
          <t>بنى سويف</t>
        </is>
      </c>
      <c r="H143" s="46" t="inlineStr">
        <is>
          <t>672322/5</t>
        </is>
      </c>
      <c r="I143" s="46" t="inlineStr">
        <is>
          <t>ب ط ا 1934</t>
        </is>
      </c>
      <c r="J143" s="46" t="inlineStr">
        <is>
          <t xml:space="preserve">هشام الدين </t>
        </is>
      </c>
      <c r="K143" s="46" t="inlineStr">
        <is>
          <t xml:space="preserve">ابو يحى </t>
        </is>
      </c>
      <c r="L143" s="47" t="n">
        <v>17500</v>
      </c>
      <c r="M143" s="47" t="n">
        <v>10100</v>
      </c>
      <c r="N143" s="47" t="n"/>
      <c r="O143" s="47" t="n">
        <v>200</v>
      </c>
      <c r="P143" s="47" t="n"/>
      <c r="Q143" s="47" t="n">
        <v>7200</v>
      </c>
      <c r="R143" s="43">
        <f>IF($B143="","",N($S143)-N($Q143))</f>
        <v/>
      </c>
      <c r="S143" s="43">
        <f>IF($B143="","",N($L143)+N($N143)+N($P143))</f>
        <v/>
      </c>
      <c r="T143" s="47" t="n"/>
      <c r="U143" s="47" t="n"/>
      <c r="V143" s="47" t="n"/>
      <c r="W143" s="47" t="n"/>
      <c r="X143" s="47" t="n"/>
      <c r="Y143" s="47" t="n"/>
      <c r="Z143" s="47" t="n"/>
      <c r="AA143" s="47" t="n"/>
      <c r="AB143" s="47" t="n"/>
      <c r="AC143" s="47" t="n"/>
      <c r="AD143" s="47" t="n"/>
      <c r="AE143" s="47" t="n"/>
      <c r="AF143" s="43">
        <f>IF($B143="","",SUM($T143:$AE143))</f>
        <v/>
      </c>
      <c r="AG143" s="43">
        <f>IF($B143="","",N($M143)-N($AF143))</f>
        <v/>
      </c>
      <c r="AH143" s="43">
        <f>IF($B143="","",N($L143)-N($AF143))</f>
        <v/>
      </c>
      <c r="AI143" s="149">
        <f>IF($B143="","",IF(N($L143)=0,"",(N($L143)-N($AF143))/N($L143)))</f>
        <v/>
      </c>
    </row>
    <row r="144">
      <c r="A144" s="39">
        <f>IF($B144="","",COUNTA($B$4:$B144))</f>
        <v/>
      </c>
      <c r="B144" s="40" t="n">
        <v>46040</v>
      </c>
      <c r="C144" s="41" t="n">
        <v>1702</v>
      </c>
      <c r="D144" s="41" t="inlineStr">
        <is>
          <t>كمال رزق خ</t>
        </is>
      </c>
      <c r="E144" s="41" t="inlineStr">
        <is>
          <t>1*40</t>
        </is>
      </c>
      <c r="F144" s="41" t="inlineStr">
        <is>
          <t>اكما</t>
        </is>
      </c>
      <c r="G144" s="41" t="inlineStr">
        <is>
          <t>بنى سويف</t>
        </is>
      </c>
      <c r="H144" s="41" t="inlineStr">
        <is>
          <t>549232/0</t>
        </is>
      </c>
      <c r="I144" s="41" t="inlineStr">
        <is>
          <t>س ن ر 3979</t>
        </is>
      </c>
      <c r="J144" s="41" t="inlineStr">
        <is>
          <t xml:space="preserve">محمود ابو النجا </t>
        </is>
      </c>
      <c r="K144" s="41" t="inlineStr">
        <is>
          <t>م ابو طالب</t>
        </is>
      </c>
      <c r="L144" s="42" t="n">
        <v>17500</v>
      </c>
      <c r="M144" s="42" t="n">
        <v>10100</v>
      </c>
      <c r="N144" s="42" t="n"/>
      <c r="O144" s="42" t="n">
        <v>200</v>
      </c>
      <c r="P144" s="42" t="n"/>
      <c r="Q144" s="42" t="n">
        <v>7200</v>
      </c>
      <c r="R144" s="43">
        <f>IF($B144="","",N($S144)-N($Q144))</f>
        <v/>
      </c>
      <c r="S144" s="43">
        <f>IF($B144="","",N($L144)+N($N144)+N($P144))</f>
        <v/>
      </c>
      <c r="T144" s="42" t="n"/>
      <c r="U144" s="42" t="n"/>
      <c r="V144" s="42" t="n"/>
      <c r="W144" s="42" t="n"/>
      <c r="X144" s="42" t="n"/>
      <c r="Y144" s="42" t="n"/>
      <c r="Z144" s="42" t="n"/>
      <c r="AA144" s="42" t="n"/>
      <c r="AB144" s="42" t="n"/>
      <c r="AC144" s="42" t="n"/>
      <c r="AD144" s="42" t="n"/>
      <c r="AE144" s="42" t="n"/>
      <c r="AF144" s="43">
        <f>IF($B144="","",SUM($T144:$AE144))</f>
        <v/>
      </c>
      <c r="AG144" s="43">
        <f>IF($B144="","",N($M144)-N($AF144))</f>
        <v/>
      </c>
      <c r="AH144" s="43">
        <f>IF($B144="","",N($L144)-N($AF144))</f>
        <v/>
      </c>
      <c r="AI144" s="149">
        <f>IF($B144="","",IF(N($L144)=0,"",(N($L144)-N($AF144))/N($L144)))</f>
        <v/>
      </c>
    </row>
    <row r="145">
      <c r="A145" s="39">
        <f>IF($B145="","",COUNTA($B$4:$B145))</f>
        <v/>
      </c>
      <c r="B145" s="45" t="n">
        <v>46040</v>
      </c>
      <c r="C145" s="46" t="n">
        <v>1703</v>
      </c>
      <c r="D145" s="46" t="inlineStr">
        <is>
          <t xml:space="preserve">حمو مرزوق </t>
        </is>
      </c>
      <c r="E145" s="46" t="inlineStr">
        <is>
          <t>1*40</t>
        </is>
      </c>
      <c r="F145" s="46" t="inlineStr">
        <is>
          <t>اكما</t>
        </is>
      </c>
      <c r="G145" s="46" t="inlineStr">
        <is>
          <t>بنى سويف</t>
        </is>
      </c>
      <c r="H145" s="46" t="inlineStr">
        <is>
          <t>364629/0</t>
        </is>
      </c>
      <c r="I145" s="46" t="inlineStr">
        <is>
          <t>س ر ا 6671</t>
        </is>
      </c>
      <c r="J145" s="46" t="inlineStr">
        <is>
          <t xml:space="preserve">السيد بدوى </t>
        </is>
      </c>
      <c r="K145" s="46" t="inlineStr">
        <is>
          <t xml:space="preserve">حمو مرزوق </t>
        </is>
      </c>
      <c r="L145" s="47" t="n">
        <v>17500</v>
      </c>
      <c r="M145" s="47" t="n">
        <v>10100</v>
      </c>
      <c r="N145" s="47" t="n"/>
      <c r="O145" s="47" t="n">
        <v>200</v>
      </c>
      <c r="P145" s="47" t="n"/>
      <c r="Q145" s="47" t="n">
        <v>7200</v>
      </c>
      <c r="R145" s="43">
        <f>IF($B145="","",N($S145)-N($Q145))</f>
        <v/>
      </c>
      <c r="S145" s="43">
        <f>IF($B145="","",N($L145)+N($N145)+N($P145))</f>
        <v/>
      </c>
      <c r="T145" s="47" t="n"/>
      <c r="U145" s="47" t="n"/>
      <c r="V145" s="47" t="n"/>
      <c r="W145" s="47" t="n"/>
      <c r="X145" s="47" t="n"/>
      <c r="Y145" s="47" t="n"/>
      <c r="Z145" s="47" t="n"/>
      <c r="AA145" s="47" t="n"/>
      <c r="AB145" s="47" t="n"/>
      <c r="AC145" s="47" t="n"/>
      <c r="AD145" s="47" t="n"/>
      <c r="AE145" s="47" t="n"/>
      <c r="AF145" s="43">
        <f>IF($B145="","",SUM($T145:$AE145))</f>
        <v/>
      </c>
      <c r="AG145" s="43">
        <f>IF($B145="","",N($M145)-N($AF145))</f>
        <v/>
      </c>
      <c r="AH145" s="43">
        <f>IF($B145="","",N($L145)-N($AF145))</f>
        <v/>
      </c>
      <c r="AI145" s="149">
        <f>IF($B145="","",IF(N($L145)=0,"",(N($L145)-N($AF145))/N($L145)))</f>
        <v/>
      </c>
    </row>
    <row r="146">
      <c r="A146" s="39">
        <f>IF($B146="","",COUNTA($B$4:$B146))</f>
        <v/>
      </c>
      <c r="B146" s="40" t="n">
        <v>46040</v>
      </c>
      <c r="C146" s="41" t="n">
        <v>1704</v>
      </c>
      <c r="D146" s="41" t="inlineStr">
        <is>
          <t>الانصارى خ</t>
        </is>
      </c>
      <c r="E146" s="41" t="inlineStr">
        <is>
          <t>1*40</t>
        </is>
      </c>
      <c r="F146" s="41" t="inlineStr">
        <is>
          <t>اكما</t>
        </is>
      </c>
      <c r="G146" s="41" t="inlineStr">
        <is>
          <t>بنى سويف</t>
        </is>
      </c>
      <c r="H146" s="41" t="inlineStr">
        <is>
          <t>026446/3</t>
        </is>
      </c>
      <c r="I146" s="41" t="inlineStr">
        <is>
          <t>ط ف ر 1474</t>
        </is>
      </c>
      <c r="J146" s="41" t="inlineStr">
        <is>
          <t xml:space="preserve">جمال على </t>
        </is>
      </c>
      <c r="K146" s="41" t="inlineStr">
        <is>
          <t xml:space="preserve">كريم خليف </t>
        </is>
      </c>
      <c r="L146" s="42" t="n">
        <v>17500</v>
      </c>
      <c r="M146" s="42" t="n">
        <v>10100</v>
      </c>
      <c r="N146" s="42" t="n"/>
      <c r="O146" s="42" t="n">
        <v>200</v>
      </c>
      <c r="P146" s="42" t="n"/>
      <c r="Q146" s="42" t="n">
        <v>7200</v>
      </c>
      <c r="R146" s="43">
        <f>IF($B146="","",N($S146)-N($Q146))</f>
        <v/>
      </c>
      <c r="S146" s="43">
        <f>IF($B146="","",N($L146)+N($N146)+N($P146))</f>
        <v/>
      </c>
      <c r="T146" s="42" t="n"/>
      <c r="U146" s="42" t="n"/>
      <c r="V146" s="42" t="n"/>
      <c r="W146" s="42" t="n"/>
      <c r="X146" s="42" t="n"/>
      <c r="Y146" s="42" t="n"/>
      <c r="Z146" s="42" t="n"/>
      <c r="AA146" s="42" t="n"/>
      <c r="AB146" s="42" t="n"/>
      <c r="AC146" s="42" t="n"/>
      <c r="AD146" s="42" t="n"/>
      <c r="AE146" s="42" t="n"/>
      <c r="AF146" s="43">
        <f>IF($B146="","",SUM($T146:$AE146))</f>
        <v/>
      </c>
      <c r="AG146" s="43">
        <f>IF($B146="","",N($M146)-N($AF146))</f>
        <v/>
      </c>
      <c r="AH146" s="43">
        <f>IF($B146="","",N($L146)-N($AF146))</f>
        <v/>
      </c>
      <c r="AI146" s="149">
        <f>IF($B146="","",IF(N($L146)=0,"",(N($L146)-N($AF146))/N($L146)))</f>
        <v/>
      </c>
    </row>
    <row r="147">
      <c r="A147" s="39">
        <f>IF($B147="","",COUNTA($B$4:$B147))</f>
        <v/>
      </c>
      <c r="B147" s="45" t="n">
        <v>46040</v>
      </c>
      <c r="C147" s="46" t="n">
        <v>1705</v>
      </c>
      <c r="D147" s="46" t="inlineStr">
        <is>
          <t>صعيدى 1خ</t>
        </is>
      </c>
      <c r="E147" s="46" t="inlineStr">
        <is>
          <t>1*40</t>
        </is>
      </c>
      <c r="F147" s="46" t="inlineStr">
        <is>
          <t>اكما</t>
        </is>
      </c>
      <c r="G147" s="46" t="inlineStr">
        <is>
          <t>بنى سويف</t>
        </is>
      </c>
      <c r="H147" s="46" t="inlineStr">
        <is>
          <t>006907/5</t>
        </is>
      </c>
      <c r="I147" s="46" t="inlineStr">
        <is>
          <t>س و ب 2689</t>
        </is>
      </c>
      <c r="J147" s="46" t="inlineStr">
        <is>
          <t xml:space="preserve">محمد السيد </t>
        </is>
      </c>
      <c r="K147" s="46" t="inlineStr">
        <is>
          <t xml:space="preserve">محمد الصعيدى </t>
        </is>
      </c>
      <c r="L147" s="47" t="n">
        <v>17500</v>
      </c>
      <c r="M147" s="47" t="n">
        <v>10100</v>
      </c>
      <c r="N147" s="47" t="n"/>
      <c r="O147" s="47" t="n">
        <v>200</v>
      </c>
      <c r="P147" s="47" t="n"/>
      <c r="Q147" s="47" t="n">
        <v>7200</v>
      </c>
      <c r="R147" s="43">
        <f>IF($B147="","",N($S147)-N($Q147))</f>
        <v/>
      </c>
      <c r="S147" s="43">
        <f>IF($B147="","",N($L147)+N($N147)+N($P147))</f>
        <v/>
      </c>
      <c r="T147" s="47" t="n"/>
      <c r="U147" s="47" t="n"/>
      <c r="V147" s="47" t="n"/>
      <c r="W147" s="47" t="n"/>
      <c r="X147" s="47" t="n"/>
      <c r="Y147" s="47" t="n"/>
      <c r="Z147" s="47" t="n"/>
      <c r="AA147" s="47" t="n"/>
      <c r="AB147" s="47" t="n"/>
      <c r="AC147" s="47" t="n"/>
      <c r="AD147" s="47" t="n"/>
      <c r="AE147" s="47" t="n"/>
      <c r="AF147" s="43">
        <f>IF($B147="","",SUM($T147:$AE147))</f>
        <v/>
      </c>
      <c r="AG147" s="43">
        <f>IF($B147="","",N($M147)-N($AF147))</f>
        <v/>
      </c>
      <c r="AH147" s="43">
        <f>IF($B147="","",N($L147)-N($AF147))</f>
        <v/>
      </c>
      <c r="AI147" s="149">
        <f>IF($B147="","",IF(N($L147)=0,"",(N($L147)-N($AF147))/N($L147)))</f>
        <v/>
      </c>
    </row>
    <row r="148">
      <c r="A148" s="39">
        <f>IF($B148="","",COUNTA($B$4:$B148))</f>
        <v/>
      </c>
      <c r="B148" s="40" t="n">
        <v>46040</v>
      </c>
      <c r="C148" s="41" t="n">
        <v>1706</v>
      </c>
      <c r="D148" s="41" t="inlineStr">
        <is>
          <t>اسلام محروس</t>
        </is>
      </c>
      <c r="E148" s="41" t="inlineStr">
        <is>
          <t>1*40</t>
        </is>
      </c>
      <c r="F148" s="41" t="inlineStr">
        <is>
          <t>اكما</t>
        </is>
      </c>
      <c r="G148" s="41" t="inlineStr">
        <is>
          <t>بنى سويف</t>
        </is>
      </c>
      <c r="H148" s="41" t="inlineStr">
        <is>
          <t>549544/3</t>
        </is>
      </c>
      <c r="I148" s="41" t="inlineStr">
        <is>
          <t>ب د ف 3891</t>
        </is>
      </c>
      <c r="J148" s="41" t="inlineStr">
        <is>
          <t xml:space="preserve">اشرف الحجرى </t>
        </is>
      </c>
      <c r="K148" s="41" t="inlineStr">
        <is>
          <t xml:space="preserve">اشرف الحجرى </t>
        </is>
      </c>
      <c r="L148" s="42" t="n">
        <v>17500</v>
      </c>
      <c r="M148" s="42" t="n">
        <v>10100</v>
      </c>
      <c r="N148" s="42" t="n"/>
      <c r="O148" s="42" t="n">
        <v>200</v>
      </c>
      <c r="P148" s="42" t="n"/>
      <c r="Q148" s="42" t="n">
        <v>7200</v>
      </c>
      <c r="R148" s="43">
        <f>IF($B148="","",N($S148)-N($Q148))</f>
        <v/>
      </c>
      <c r="S148" s="43">
        <f>IF($B148="","",N($L148)+N($N148)+N($P148))</f>
        <v/>
      </c>
      <c r="T148" s="42" t="n"/>
      <c r="U148" s="42" t="n"/>
      <c r="V148" s="42" t="n"/>
      <c r="W148" s="42" t="n"/>
      <c r="X148" s="42" t="n"/>
      <c r="Y148" s="42" t="n"/>
      <c r="Z148" s="42" t="n"/>
      <c r="AA148" s="42" t="n"/>
      <c r="AB148" s="42" t="n"/>
      <c r="AC148" s="42" t="n"/>
      <c r="AD148" s="42" t="n"/>
      <c r="AE148" s="42" t="n"/>
      <c r="AF148" s="43">
        <f>IF($B148="","",SUM($T148:$AE148))</f>
        <v/>
      </c>
      <c r="AG148" s="43">
        <f>IF($B148="","",N($M148)-N($AF148))</f>
        <v/>
      </c>
      <c r="AH148" s="43">
        <f>IF($B148="","",N($L148)-N($AF148))</f>
        <v/>
      </c>
      <c r="AI148" s="149">
        <f>IF($B148="","",IF(N($L148)=0,"",(N($L148)-N($AF148))/N($L148)))</f>
        <v/>
      </c>
    </row>
    <row r="149">
      <c r="A149" s="39">
        <f>IF($B149="","",COUNTA($B$4:$B149))</f>
        <v/>
      </c>
      <c r="B149" s="45" t="n">
        <v>46040</v>
      </c>
      <c r="C149" s="46" t="n">
        <v>1707</v>
      </c>
      <c r="D149" s="46" t="inlineStr">
        <is>
          <t>المكتب</t>
        </is>
      </c>
      <c r="E149" s="46" t="inlineStr">
        <is>
          <t>1*40</t>
        </is>
      </c>
      <c r="F149" s="46" t="inlineStr">
        <is>
          <t>اكما</t>
        </is>
      </c>
      <c r="G149" s="46" t="inlineStr">
        <is>
          <t>بنى سويف</t>
        </is>
      </c>
      <c r="H149" s="46" t="inlineStr">
        <is>
          <t>549791/3</t>
        </is>
      </c>
      <c r="I149" s="46" t="inlineStr">
        <is>
          <t>س ع م 8737</t>
        </is>
      </c>
      <c r="J149" s="46" t="inlineStr">
        <is>
          <t xml:space="preserve">محمود بكر </t>
        </is>
      </c>
      <c r="K149" s="46" t="inlineStr">
        <is>
          <t>المكتب</t>
        </is>
      </c>
      <c r="L149" s="47" t="n">
        <v>17500</v>
      </c>
      <c r="M149" s="47" t="n">
        <v>8000</v>
      </c>
      <c r="N149" s="47" t="n"/>
      <c r="O149" s="47" t="n"/>
      <c r="P149" s="47" t="n"/>
      <c r="Q149" s="47" t="n">
        <v>9500</v>
      </c>
      <c r="R149" s="43">
        <f>IF($B149="","",N($S149)-N($Q149))</f>
        <v/>
      </c>
      <c r="S149" s="43">
        <f>IF($B149="","",N($L149)+N($N149)+N($P149))</f>
        <v/>
      </c>
      <c r="T149" s="47" t="n">
        <v>1800</v>
      </c>
      <c r="U149" s="47" t="n">
        <v>800</v>
      </c>
      <c r="V149" s="47" t="n"/>
      <c r="W149" s="47" t="n">
        <v>150</v>
      </c>
      <c r="X149" s="47" t="n">
        <v>190</v>
      </c>
      <c r="Y149" s="47" t="n">
        <v>120</v>
      </c>
      <c r="Z149" s="47" t="n"/>
      <c r="AA149" s="47" t="n"/>
      <c r="AB149" s="47" t="n"/>
      <c r="AC149" s="47" t="n">
        <v>50</v>
      </c>
      <c r="AD149" s="47" t="n"/>
      <c r="AE149" s="47" t="n">
        <v>5300</v>
      </c>
      <c r="AF149" s="43">
        <f>IF($B149="","",SUM($T149:$AE149))</f>
        <v/>
      </c>
      <c r="AG149" s="43">
        <f>IF($B149="","",N($M149)-N($AF149))</f>
        <v/>
      </c>
      <c r="AH149" s="43">
        <f>IF($B149="","",N($L149)-N($AF149))</f>
        <v/>
      </c>
      <c r="AI149" s="149">
        <f>IF($B149="","",IF(N($L149)=0,"",(N($L149)-N($AF149))/N($L149)))</f>
        <v/>
      </c>
    </row>
    <row r="150">
      <c r="A150" s="39">
        <f>IF($B150="","",COUNTA($B$4:$B150))</f>
        <v/>
      </c>
      <c r="B150" s="40" t="n">
        <v>46040</v>
      </c>
      <c r="C150" s="41" t="n">
        <v>1650</v>
      </c>
      <c r="D150" s="41" t="inlineStr">
        <is>
          <t>عم فتحى</t>
        </is>
      </c>
      <c r="E150" s="41" t="inlineStr">
        <is>
          <t>1*40</t>
        </is>
      </c>
      <c r="F150" s="41" t="inlineStr">
        <is>
          <t>الملكة والامير</t>
        </is>
      </c>
      <c r="G150" s="41" t="inlineStr">
        <is>
          <t xml:space="preserve">الفيوم </t>
        </is>
      </c>
      <c r="H150" s="41" t="inlineStr">
        <is>
          <t>647048/5</t>
        </is>
      </c>
      <c r="I150" s="41" t="inlineStr">
        <is>
          <t>س ن ر 5945</t>
        </is>
      </c>
      <c r="J150" s="41" t="inlineStr">
        <is>
          <t xml:space="preserve">محمد جبص </t>
        </is>
      </c>
      <c r="K150" s="41" t="inlineStr">
        <is>
          <t>جبص</t>
        </is>
      </c>
      <c r="L150" s="42" t="n">
        <v>17500</v>
      </c>
      <c r="M150" s="42" t="n">
        <v>9100</v>
      </c>
      <c r="N150" s="42" t="n"/>
      <c r="O150" s="42" t="n">
        <v>200</v>
      </c>
      <c r="P150" s="42" t="n"/>
      <c r="Q150" s="42" t="n">
        <v>8200</v>
      </c>
      <c r="R150" s="43">
        <f>IF($B150="","",N($S150)-N($Q150))</f>
        <v/>
      </c>
      <c r="S150" s="43">
        <f>IF($B150="","",N($L150)+N($N150)+N($P150))</f>
        <v/>
      </c>
      <c r="T150" s="42" t="n"/>
      <c r="U150" s="42" t="n"/>
      <c r="V150" s="42" t="n"/>
      <c r="W150" s="42" t="n"/>
      <c r="X150" s="42" t="n"/>
      <c r="Y150" s="42" t="n"/>
      <c r="Z150" s="42" t="n"/>
      <c r="AA150" s="42" t="n"/>
      <c r="AB150" s="42" t="n"/>
      <c r="AC150" s="42" t="n"/>
      <c r="AD150" s="42" t="n"/>
      <c r="AE150" s="42" t="n"/>
      <c r="AF150" s="43">
        <f>IF($B150="","",SUM($T150:$AE150))</f>
        <v/>
      </c>
      <c r="AG150" s="43">
        <f>IF($B150="","",N($M150)-N($AF150))</f>
        <v/>
      </c>
      <c r="AH150" s="43">
        <f>IF($B150="","",N($L150)-N($AF150))</f>
        <v/>
      </c>
      <c r="AI150" s="149">
        <f>IF($B150="","",IF(N($L150)=0,"",(N($L150)-N($AF150))/N($L150)))</f>
        <v/>
      </c>
    </row>
    <row r="151">
      <c r="A151" s="39">
        <f>IF($B151="","",COUNTA($B$4:$B151))</f>
        <v/>
      </c>
      <c r="B151" s="45" t="n">
        <v>46040</v>
      </c>
      <c r="C151" s="46" t="n">
        <v>1710</v>
      </c>
      <c r="D151" s="46" t="n"/>
      <c r="E151" s="46" t="inlineStr">
        <is>
          <t>2*20</t>
        </is>
      </c>
      <c r="F151" s="46" t="inlineStr">
        <is>
          <t xml:space="preserve">الدولية للفحم </t>
        </is>
      </c>
      <c r="G151" s="46" t="inlineStr">
        <is>
          <t>ب العرب</t>
        </is>
      </c>
      <c r="H151" s="46" t="inlineStr">
        <is>
          <t>237916/1-1779/4</t>
        </is>
      </c>
      <c r="I151" s="46" t="inlineStr">
        <is>
          <t>ط ف ر 2616</t>
        </is>
      </c>
      <c r="J151" s="46" t="inlineStr">
        <is>
          <t xml:space="preserve">هانى علد الفتاح </t>
        </is>
      </c>
      <c r="K151" s="46" t="inlineStr">
        <is>
          <t>محمود راضى</t>
        </is>
      </c>
      <c r="L151" s="47" t="n">
        <v>10000</v>
      </c>
      <c r="M151" s="47" t="n">
        <v>7100</v>
      </c>
      <c r="N151" s="47" t="n"/>
      <c r="O151" s="47" t="n"/>
      <c r="P151" s="47" t="n"/>
      <c r="Q151" s="47" t="n">
        <v>2900</v>
      </c>
      <c r="R151" s="43">
        <f>IF($B151="","",N($S151)-N($Q151))</f>
        <v/>
      </c>
      <c r="S151" s="43">
        <f>IF($B151="","",N($L151)+N($N151)+N($P151))</f>
        <v/>
      </c>
      <c r="T151" s="47" t="n"/>
      <c r="U151" s="47" t="n"/>
      <c r="V151" s="47" t="n"/>
      <c r="W151" s="47" t="n"/>
      <c r="X151" s="47" t="n"/>
      <c r="Y151" s="47" t="n"/>
      <c r="Z151" s="47" t="n"/>
      <c r="AA151" s="47" t="n"/>
      <c r="AB151" s="47" t="n"/>
      <c r="AC151" s="47" t="n"/>
      <c r="AD151" s="47" t="n"/>
      <c r="AE151" s="47" t="n"/>
      <c r="AF151" s="43">
        <f>IF($B151="","",SUM($T151:$AE151))</f>
        <v/>
      </c>
      <c r="AG151" s="43">
        <f>IF($B151="","",N($M151)-N($AF151))</f>
        <v/>
      </c>
      <c r="AH151" s="43">
        <f>IF($B151="","",N($L151)-N($AF151))</f>
        <v/>
      </c>
      <c r="AI151" s="149">
        <f>IF($B151="","",IF(N($L151)=0,"",(N($L151)-N($AF151))/N($L151)))</f>
        <v/>
      </c>
    </row>
    <row r="152">
      <c r="A152" s="39">
        <f>IF($B152="","",COUNTA($B$4:$B152))</f>
        <v/>
      </c>
      <c r="B152" s="40" t="n">
        <v>46040</v>
      </c>
      <c r="C152" s="41" t="n">
        <v>1708</v>
      </c>
      <c r="D152" s="41" t="n"/>
      <c r="E152" s="41" t="inlineStr">
        <is>
          <t>2*20</t>
        </is>
      </c>
      <c r="F152" s="41" t="inlineStr">
        <is>
          <t xml:space="preserve">الدولية للفحم </t>
        </is>
      </c>
      <c r="G152" s="41" t="inlineStr">
        <is>
          <t>ب العرب</t>
        </is>
      </c>
      <c r="H152" s="41" t="inlineStr">
        <is>
          <t>358181/8-058379/3</t>
        </is>
      </c>
      <c r="I152" s="41" t="inlineStr">
        <is>
          <t>س ن ف 3647</t>
        </is>
      </c>
      <c r="J152" s="41" t="inlineStr">
        <is>
          <t xml:space="preserve">اسامة عزوز </t>
        </is>
      </c>
      <c r="K152" s="41" t="inlineStr">
        <is>
          <t>عزوز</t>
        </is>
      </c>
      <c r="L152" s="42" t="n">
        <v>10000</v>
      </c>
      <c r="M152" s="42" t="n">
        <v>7000</v>
      </c>
      <c r="N152" s="42" t="n"/>
      <c r="O152" s="42" t="n"/>
      <c r="P152" s="42" t="n"/>
      <c r="Q152" s="42" t="n">
        <v>3000</v>
      </c>
      <c r="R152" s="43">
        <f>IF($B152="","",N($S152)-N($Q152))</f>
        <v/>
      </c>
      <c r="S152" s="43">
        <f>IF($B152="","",N($L152)+N($N152)+N($P152))</f>
        <v/>
      </c>
      <c r="T152" s="42" t="n"/>
      <c r="U152" s="42" t="n"/>
      <c r="V152" s="42" t="n"/>
      <c r="W152" s="42" t="n"/>
      <c r="X152" s="42" t="n"/>
      <c r="Y152" s="42" t="n"/>
      <c r="Z152" s="42" t="n"/>
      <c r="AA152" s="42" t="n"/>
      <c r="AB152" s="42" t="n"/>
      <c r="AC152" s="42" t="n"/>
      <c r="AD152" s="42" t="n"/>
      <c r="AE152" s="42" t="n"/>
      <c r="AF152" s="43">
        <f>IF($B152="","",SUM($T152:$AE152))</f>
        <v/>
      </c>
      <c r="AG152" s="43">
        <f>IF($B152="","",N($M152)-N($AF152))</f>
        <v/>
      </c>
      <c r="AH152" s="43">
        <f>IF($B152="","",N($L152)-N($AF152))</f>
        <v/>
      </c>
      <c r="AI152" s="149">
        <f>IF($B152="","",IF(N($L152)=0,"",(N($L152)-N($AF152))/N($L152)))</f>
        <v/>
      </c>
    </row>
    <row r="153">
      <c r="A153" s="39">
        <f>IF($B153="","",COUNTA($B$4:$B153))</f>
        <v/>
      </c>
      <c r="B153" s="45" t="n">
        <v>46040</v>
      </c>
      <c r="C153" s="46" t="n">
        <v>1709</v>
      </c>
      <c r="D153" s="46" t="n"/>
      <c r="E153" s="46" t="inlineStr">
        <is>
          <t>2*20</t>
        </is>
      </c>
      <c r="F153" s="46" t="inlineStr">
        <is>
          <t xml:space="preserve">الدولية للفحم </t>
        </is>
      </c>
      <c r="G153" s="46" t="inlineStr">
        <is>
          <t>ب العرب</t>
        </is>
      </c>
      <c r="H153" s="46" t="inlineStr">
        <is>
          <t>218821/6-30798/5</t>
        </is>
      </c>
      <c r="I153" s="46" t="inlineStr">
        <is>
          <t>س م ا 6137</t>
        </is>
      </c>
      <c r="J153" s="46" t="inlineStr">
        <is>
          <t xml:space="preserve">ايمن عبد العزيز </t>
        </is>
      </c>
      <c r="K153" s="46" t="inlineStr">
        <is>
          <t xml:space="preserve">محمد رمضان </t>
        </is>
      </c>
      <c r="L153" s="47" t="n">
        <v>10000</v>
      </c>
      <c r="M153" s="47" t="n">
        <v>7000</v>
      </c>
      <c r="N153" s="47" t="n"/>
      <c r="O153" s="47" t="n"/>
      <c r="P153" s="47" t="n"/>
      <c r="Q153" s="47" t="n">
        <v>3000</v>
      </c>
      <c r="R153" s="43">
        <f>IF($B153="","",N($S153)-N($Q153))</f>
        <v/>
      </c>
      <c r="S153" s="43">
        <f>IF($B153="","",N($L153)+N($N153)+N($P153))</f>
        <v/>
      </c>
      <c r="T153" s="47" t="n"/>
      <c r="U153" s="47" t="n"/>
      <c r="V153" s="47" t="n"/>
      <c r="W153" s="47" t="n"/>
      <c r="X153" s="47" t="n"/>
      <c r="Y153" s="47" t="n"/>
      <c r="Z153" s="47" t="n"/>
      <c r="AA153" s="47" t="n"/>
      <c r="AB153" s="47" t="n"/>
      <c r="AC153" s="47" t="n"/>
      <c r="AD153" s="47" t="n"/>
      <c r="AE153" s="47" t="n"/>
      <c r="AF153" s="43">
        <f>IF($B153="","",SUM($T153:$AE153))</f>
        <v/>
      </c>
      <c r="AG153" s="43">
        <f>IF($B153="","",N($M153)-N($AF153))</f>
        <v/>
      </c>
      <c r="AH153" s="43">
        <f>IF($B153="","",N($L153)-N($AF153))</f>
        <v/>
      </c>
      <c r="AI153" s="149">
        <f>IF($B153="","",IF(N($L153)=0,"",(N($L153)-N($AF153))/N($L153)))</f>
        <v/>
      </c>
    </row>
    <row r="154">
      <c r="A154" s="39">
        <f>IF($B154="","",COUNTA($B$4:$B154))</f>
        <v/>
      </c>
      <c r="B154" s="40" t="n">
        <v>46040</v>
      </c>
      <c r="C154" s="41" t="n">
        <v>1711</v>
      </c>
      <c r="D154" s="41" t="n"/>
      <c r="E154" s="41" t="inlineStr">
        <is>
          <t>2*20</t>
        </is>
      </c>
      <c r="F154" s="41" t="inlineStr">
        <is>
          <t xml:space="preserve">الدولية للفحم </t>
        </is>
      </c>
      <c r="G154" s="41" t="inlineStr">
        <is>
          <t>ب العرب</t>
        </is>
      </c>
      <c r="H154" s="41" t="inlineStr">
        <is>
          <t>083906/2-235973/5</t>
        </is>
      </c>
      <c r="I154" s="41" t="inlineStr">
        <is>
          <t>س ن ا 2489</t>
        </is>
      </c>
      <c r="J154" s="41" t="inlineStr">
        <is>
          <t xml:space="preserve">احمد رزق </t>
        </is>
      </c>
      <c r="K154" s="41" t="inlineStr">
        <is>
          <t>ابراهيم ابو طالب</t>
        </is>
      </c>
      <c r="L154" s="42" t="n">
        <v>10000</v>
      </c>
      <c r="M154" s="42" t="n">
        <v>7000</v>
      </c>
      <c r="N154" s="42" t="n"/>
      <c r="O154" s="42" t="n"/>
      <c r="P154" s="42" t="n"/>
      <c r="Q154" s="42" t="n">
        <v>3000</v>
      </c>
      <c r="R154" s="43">
        <f>IF($B154="","",N($S154)-N($Q154))</f>
        <v/>
      </c>
      <c r="S154" s="43">
        <f>IF($B154="","",N($L154)+N($N154)+N($P154))</f>
        <v/>
      </c>
      <c r="T154" s="42" t="n"/>
      <c r="U154" s="42" t="n"/>
      <c r="V154" s="42" t="n"/>
      <c r="W154" s="42" t="n"/>
      <c r="X154" s="42" t="n"/>
      <c r="Y154" s="42" t="n"/>
      <c r="Z154" s="42" t="n"/>
      <c r="AA154" s="42" t="n"/>
      <c r="AB154" s="42" t="n"/>
      <c r="AC154" s="42" t="n"/>
      <c r="AD154" s="42" t="n"/>
      <c r="AE154" s="42" t="n"/>
      <c r="AF154" s="43">
        <f>IF($B154="","",SUM($T154:$AE154))</f>
        <v/>
      </c>
      <c r="AG154" s="43">
        <f>IF($B154="","",N($M154)-N($AF154))</f>
        <v/>
      </c>
      <c r="AH154" s="43">
        <f>IF($B154="","",N($L154)-N($AF154))</f>
        <v/>
      </c>
      <c r="AI154" s="149">
        <f>IF($B154="","",IF(N($L154)=0,"",(N($L154)-N($AF154))/N($L154)))</f>
        <v/>
      </c>
    </row>
    <row r="155">
      <c r="A155" s="39">
        <f>IF($B155="","",COUNTA($B$4:$B155))</f>
        <v/>
      </c>
      <c r="B155" s="45" t="n">
        <v>46040</v>
      </c>
      <c r="C155" s="46" t="n">
        <v>1712</v>
      </c>
      <c r="D155" s="46" t="inlineStr">
        <is>
          <t>كمال رزق خ</t>
        </is>
      </c>
      <c r="E155" s="46" t="inlineStr">
        <is>
          <t>2*20</t>
        </is>
      </c>
      <c r="F155" s="46" t="inlineStr">
        <is>
          <t xml:space="preserve">الدولية للفحم </t>
        </is>
      </c>
      <c r="G155" s="46" t="inlineStr">
        <is>
          <t>ب العرب</t>
        </is>
      </c>
      <c r="H155" s="46" t="inlineStr">
        <is>
          <t>234635/8-280968/2</t>
        </is>
      </c>
      <c r="I155" s="46" t="inlineStr">
        <is>
          <t>س ا ه 1691</t>
        </is>
      </c>
      <c r="J155" s="46" t="inlineStr">
        <is>
          <t xml:space="preserve">مجدى عبد المنعم </t>
        </is>
      </c>
      <c r="K155" s="46" t="inlineStr">
        <is>
          <t>ابراهيم ابو طالب</t>
        </is>
      </c>
      <c r="L155" s="47" t="n">
        <v>10000</v>
      </c>
      <c r="M155" s="47" t="n">
        <v>7100</v>
      </c>
      <c r="N155" s="47" t="n"/>
      <c r="O155" s="47" t="n"/>
      <c r="P155" s="47" t="n"/>
      <c r="Q155" s="47" t="n">
        <v>2900</v>
      </c>
      <c r="R155" s="43">
        <f>IF($B155="","",N($S155)-N($Q155))</f>
        <v/>
      </c>
      <c r="S155" s="43">
        <f>IF($B155="","",N($L155)+N($N155)+N($P155))</f>
        <v/>
      </c>
      <c r="T155" s="47" t="n"/>
      <c r="U155" s="47" t="n"/>
      <c r="V155" s="47" t="n"/>
      <c r="W155" s="47" t="n"/>
      <c r="X155" s="47" t="n"/>
      <c r="Y155" s="47" t="n"/>
      <c r="Z155" s="47" t="n"/>
      <c r="AA155" s="47" t="n"/>
      <c r="AB155" s="47" t="n"/>
      <c r="AC155" s="47" t="n"/>
      <c r="AD155" s="47" t="n"/>
      <c r="AE155" s="47" t="n"/>
      <c r="AF155" s="43">
        <f>IF($B155="","",SUM($T155:$AE155))</f>
        <v/>
      </c>
      <c r="AG155" s="43">
        <f>IF($B155="","",N($M155)-N($AF155))</f>
        <v/>
      </c>
      <c r="AH155" s="43">
        <f>IF($B155="","",N($L155)-N($AF155))</f>
        <v/>
      </c>
      <c r="AI155" s="149">
        <f>IF($B155="","",IF(N($L155)=0,"",(N($L155)-N($AF155))/N($L155)))</f>
        <v/>
      </c>
    </row>
    <row r="156">
      <c r="A156" s="39">
        <f>IF($B156="","",COUNTA($B$4:$B156))</f>
        <v/>
      </c>
      <c r="B156" s="40" t="n">
        <v>46041</v>
      </c>
      <c r="C156" s="41" t="n">
        <v>1803</v>
      </c>
      <c r="D156" s="41" t="n"/>
      <c r="E156" s="41" t="inlineStr">
        <is>
          <t xml:space="preserve">دبابة </t>
        </is>
      </c>
      <c r="F156" s="41" t="inlineStr">
        <is>
          <t xml:space="preserve">اكما </t>
        </is>
      </c>
      <c r="G156" s="41" t="inlineStr">
        <is>
          <t xml:space="preserve">ب سويف </t>
        </is>
      </c>
      <c r="H156" s="41" t="n">
        <v>20179</v>
      </c>
      <c r="I156" s="41" t="inlineStr">
        <is>
          <t>س د ه 4241</t>
        </is>
      </c>
      <c r="J156" s="41" t="inlineStr">
        <is>
          <t>محمد محمد</t>
        </is>
      </c>
      <c r="K156" s="41" t="inlineStr">
        <is>
          <t xml:space="preserve">رودينا </t>
        </is>
      </c>
      <c r="L156" s="42" t="n">
        <v>4300</v>
      </c>
      <c r="M156" s="42" t="n">
        <v>3100</v>
      </c>
      <c r="N156" s="42" t="n"/>
      <c r="O156" s="42" t="n">
        <v>200</v>
      </c>
      <c r="P156" s="42" t="n"/>
      <c r="Q156" s="42" t="n">
        <v>1000</v>
      </c>
      <c r="R156" s="43">
        <f>IF($B156="","",N($S156)-N($Q156))</f>
        <v/>
      </c>
      <c r="S156" s="43">
        <f>IF($B156="","",N($L156)+N($N156)+N($P156))</f>
        <v/>
      </c>
      <c r="T156" s="42" t="n"/>
      <c r="U156" s="42" t="n"/>
      <c r="V156" s="42" t="n"/>
      <c r="W156" s="42" t="n"/>
      <c r="X156" s="42" t="n"/>
      <c r="Y156" s="42" t="n"/>
      <c r="Z156" s="42" t="n"/>
      <c r="AA156" s="42" t="n"/>
      <c r="AB156" s="42" t="n"/>
      <c r="AC156" s="42" t="n"/>
      <c r="AD156" s="42" t="n"/>
      <c r="AE156" s="42" t="n"/>
      <c r="AF156" s="43">
        <f>IF($B156="","",SUM($T156:$AE156))</f>
        <v/>
      </c>
      <c r="AG156" s="43">
        <f>IF($B156="","",N($M156)-N($AF156))</f>
        <v/>
      </c>
      <c r="AH156" s="43">
        <f>IF($B156="","",N($L156)-N($AF156))</f>
        <v/>
      </c>
      <c r="AI156" s="149">
        <f>IF($B156="","",IF(N($L156)=0,"",(N($L156)-N($AF156))/N($L156)))</f>
        <v/>
      </c>
    </row>
    <row r="157">
      <c r="A157" s="39">
        <f>IF($B157="","",COUNTA($B$4:$B157))</f>
        <v/>
      </c>
      <c r="B157" s="45" t="n">
        <v>46041</v>
      </c>
      <c r="C157" s="46" t="n">
        <v>1655</v>
      </c>
      <c r="D157" s="46" t="inlineStr">
        <is>
          <t>استوريا خ</t>
        </is>
      </c>
      <c r="E157" s="46" t="inlineStr">
        <is>
          <t>1*40</t>
        </is>
      </c>
      <c r="F157" s="46" t="inlineStr">
        <is>
          <t xml:space="preserve">مسابك القاهرة </t>
        </is>
      </c>
      <c r="G157" s="46" t="inlineStr">
        <is>
          <t xml:space="preserve">انشاص </t>
        </is>
      </c>
      <c r="H157" s="46" t="inlineStr">
        <is>
          <t>603056/6</t>
        </is>
      </c>
      <c r="I157" s="46" t="inlineStr">
        <is>
          <t>ط ف ر 5285</t>
        </is>
      </c>
      <c r="J157" s="46" t="inlineStr">
        <is>
          <t xml:space="preserve">محمد صبحى </t>
        </is>
      </c>
      <c r="K157" s="46" t="inlineStr">
        <is>
          <t>استوريا</t>
        </is>
      </c>
      <c r="L157" s="47" t="n">
        <v>14000</v>
      </c>
      <c r="M157" s="47" t="n">
        <v>8100</v>
      </c>
      <c r="N157" s="47" t="n"/>
      <c r="O157" s="47" t="n">
        <v>200</v>
      </c>
      <c r="P157" s="47" t="n"/>
      <c r="Q157" s="47" t="n">
        <v>5700</v>
      </c>
      <c r="R157" s="43">
        <f>IF($B157="","",N($S157)-N($Q157))</f>
        <v/>
      </c>
      <c r="S157" s="43">
        <f>IF($B157="","",N($L157)+N($N157)+N($P157))</f>
        <v/>
      </c>
      <c r="T157" s="47" t="n"/>
      <c r="U157" s="47" t="n"/>
      <c r="V157" s="47" t="n"/>
      <c r="W157" s="47" t="n"/>
      <c r="X157" s="47" t="n"/>
      <c r="Y157" s="47" t="n"/>
      <c r="Z157" s="47" t="n"/>
      <c r="AA157" s="47" t="n"/>
      <c r="AB157" s="47" t="n"/>
      <c r="AC157" s="47" t="n"/>
      <c r="AD157" s="47" t="n"/>
      <c r="AE157" s="47" t="n"/>
      <c r="AF157" s="43">
        <f>IF($B157="","",SUM($T157:$AE157))</f>
        <v/>
      </c>
      <c r="AG157" s="43">
        <f>IF($B157="","",N($M157)-N($AF157))</f>
        <v/>
      </c>
      <c r="AH157" s="43">
        <f>IF($B157="","",N($L157)-N($AF157))</f>
        <v/>
      </c>
      <c r="AI157" s="149">
        <f>IF($B157="","",IF(N($L157)=0,"",(N($L157)-N($AF157))/N($L157)))</f>
        <v/>
      </c>
    </row>
    <row r="158">
      <c r="A158" s="39">
        <f>IF($B158="","",COUNTA($B$4:$B158))</f>
        <v/>
      </c>
      <c r="B158" s="40" t="n">
        <v>46041</v>
      </c>
      <c r="C158" s="41" t="n">
        <v>1654</v>
      </c>
      <c r="D158" s="41" t="inlineStr">
        <is>
          <t>الشريف خ</t>
        </is>
      </c>
      <c r="E158" s="41" t="inlineStr">
        <is>
          <t>1*40</t>
        </is>
      </c>
      <c r="F158" s="41" t="inlineStr">
        <is>
          <t xml:space="preserve">مسابك القاهرة </t>
        </is>
      </c>
      <c r="G158" s="41" t="inlineStr">
        <is>
          <t xml:space="preserve">انشاص </t>
        </is>
      </c>
      <c r="H158" s="41" t="inlineStr">
        <is>
          <t>888934/6</t>
        </is>
      </c>
      <c r="I158" s="41" t="inlineStr">
        <is>
          <t>ب د ف 9342</t>
        </is>
      </c>
      <c r="J158" s="41" t="inlineStr">
        <is>
          <t xml:space="preserve">محمد صلاح </t>
        </is>
      </c>
      <c r="K158" s="41" t="inlineStr">
        <is>
          <t xml:space="preserve">ابو ادم </t>
        </is>
      </c>
      <c r="L158" s="42" t="n">
        <v>14000</v>
      </c>
      <c r="M158" s="42" t="n">
        <v>8100</v>
      </c>
      <c r="N158" s="42" t="n"/>
      <c r="O158" s="42" t="n">
        <v>200</v>
      </c>
      <c r="P158" s="42" t="n"/>
      <c r="Q158" s="42" t="n">
        <v>5700</v>
      </c>
      <c r="R158" s="43">
        <f>IF($B158="","",N($S158)-N($Q158))</f>
        <v/>
      </c>
      <c r="S158" s="43">
        <f>IF($B158="","",N($L158)+N($N158)+N($P158))</f>
        <v/>
      </c>
      <c r="T158" s="42" t="n"/>
      <c r="U158" s="42" t="n"/>
      <c r="V158" s="42" t="n"/>
      <c r="W158" s="42" t="n"/>
      <c r="X158" s="42" t="n"/>
      <c r="Y158" s="42" t="n"/>
      <c r="Z158" s="42" t="n"/>
      <c r="AA158" s="42" t="n"/>
      <c r="AB158" s="42" t="n"/>
      <c r="AC158" s="42" t="n"/>
      <c r="AD158" s="42" t="n"/>
      <c r="AE158" s="42" t="n"/>
      <c r="AF158" s="43">
        <f>IF($B158="","",SUM($T158:$AE158))</f>
        <v/>
      </c>
      <c r="AG158" s="43">
        <f>IF($B158="","",N($M158)-N($AF158))</f>
        <v/>
      </c>
      <c r="AH158" s="43">
        <f>IF($B158="","",N($L158)-N($AF158))</f>
        <v/>
      </c>
      <c r="AI158" s="149">
        <f>IF($B158="","",IF(N($L158)=0,"",(N($L158)-N($AF158))/N($L158)))</f>
        <v/>
      </c>
    </row>
    <row r="159">
      <c r="A159" s="39">
        <f>IF($B159="","",COUNTA($B$4:$B159))</f>
        <v/>
      </c>
      <c r="B159" s="45" t="n">
        <v>46041</v>
      </c>
      <c r="C159" s="46" t="n">
        <v>1656</v>
      </c>
      <c r="D159" s="46" t="inlineStr">
        <is>
          <t xml:space="preserve">هاشم </t>
        </is>
      </c>
      <c r="E159" s="46" t="inlineStr">
        <is>
          <t>1*40</t>
        </is>
      </c>
      <c r="F159" s="46" t="inlineStr">
        <is>
          <t xml:space="preserve">مسابك القاهرة </t>
        </is>
      </c>
      <c r="G159" s="46" t="inlineStr">
        <is>
          <t xml:space="preserve">انشاص </t>
        </is>
      </c>
      <c r="H159" s="46" t="inlineStr">
        <is>
          <t>630583/7</t>
        </is>
      </c>
      <c r="I159" s="46" t="inlineStr">
        <is>
          <t>ب ى ط 8413</t>
        </is>
      </c>
      <c r="J159" s="46" t="inlineStr">
        <is>
          <t xml:space="preserve">منصور بيومى </t>
        </is>
      </c>
      <c r="K159" s="46" t="inlineStr">
        <is>
          <t xml:space="preserve">احمد عباس </t>
        </is>
      </c>
      <c r="L159" s="47" t="n">
        <v>14000</v>
      </c>
      <c r="M159" s="47" t="n">
        <v>8100</v>
      </c>
      <c r="N159" s="47" t="n"/>
      <c r="O159" s="47" t="n">
        <v>200</v>
      </c>
      <c r="P159" s="47" t="n"/>
      <c r="Q159" s="47" t="n">
        <v>5700</v>
      </c>
      <c r="R159" s="43">
        <f>IF($B159="","",N($S159)-N($Q159))</f>
        <v/>
      </c>
      <c r="S159" s="43">
        <f>IF($B159="","",N($L159)+N($N159)+N($P159))</f>
        <v/>
      </c>
      <c r="T159" s="47" t="n"/>
      <c r="U159" s="47" t="n"/>
      <c r="V159" s="47" t="n"/>
      <c r="W159" s="47" t="n"/>
      <c r="X159" s="47" t="n"/>
      <c r="Y159" s="47" t="n"/>
      <c r="Z159" s="47" t="n"/>
      <c r="AA159" s="47" t="n"/>
      <c r="AB159" s="47" t="n"/>
      <c r="AC159" s="47" t="n"/>
      <c r="AD159" s="47" t="n"/>
      <c r="AE159" s="47" t="n"/>
      <c r="AF159" s="43">
        <f>IF($B159="","",SUM($T159:$AE159))</f>
        <v/>
      </c>
      <c r="AG159" s="43">
        <f>IF($B159="","",N($M159)-N($AF159))</f>
        <v/>
      </c>
      <c r="AH159" s="43">
        <f>IF($B159="","",N($L159)-N($AF159))</f>
        <v/>
      </c>
      <c r="AI159" s="149">
        <f>IF($B159="","",IF(N($L159)=0,"",(N($L159)-N($AF159))/N($L159)))</f>
        <v/>
      </c>
    </row>
    <row r="160">
      <c r="A160" s="39">
        <f>IF($B160="","",COUNTA($B$4:$B160))</f>
        <v/>
      </c>
      <c r="B160" s="40" t="n">
        <v>46041</v>
      </c>
      <c r="C160" s="41" t="n">
        <v>1657</v>
      </c>
      <c r="D160" s="41" t="inlineStr">
        <is>
          <t>استوريا خ</t>
        </is>
      </c>
      <c r="E160" s="41" t="inlineStr">
        <is>
          <t>1*40</t>
        </is>
      </c>
      <c r="F160" s="41" t="inlineStr">
        <is>
          <t xml:space="preserve">مسابك القاهرة </t>
        </is>
      </c>
      <c r="G160" s="41" t="inlineStr">
        <is>
          <t xml:space="preserve">انشاص </t>
        </is>
      </c>
      <c r="H160" s="41" t="inlineStr">
        <is>
          <t>659969/5</t>
        </is>
      </c>
      <c r="I160" s="41" t="inlineStr">
        <is>
          <t>ط ف ر 5393</t>
        </is>
      </c>
      <c r="J160" s="41" t="inlineStr">
        <is>
          <t xml:space="preserve">محمد عيسى </t>
        </is>
      </c>
      <c r="K160" s="41" t="inlineStr">
        <is>
          <t xml:space="preserve">استوريا </t>
        </is>
      </c>
      <c r="L160" s="42" t="n">
        <v>14000</v>
      </c>
      <c r="M160" s="42" t="n">
        <v>8100</v>
      </c>
      <c r="N160" s="42" t="n"/>
      <c r="O160" s="42" t="n">
        <v>200</v>
      </c>
      <c r="P160" s="42" t="n"/>
      <c r="Q160" s="42" t="n">
        <v>5700</v>
      </c>
      <c r="R160" s="43">
        <f>IF($B160="","",N($S160)-N($Q160))</f>
        <v/>
      </c>
      <c r="S160" s="43">
        <f>IF($B160="","",N($L160)+N($N160)+N($P160))</f>
        <v/>
      </c>
      <c r="T160" s="42" t="n"/>
      <c r="U160" s="42" t="n"/>
      <c r="V160" s="42" t="n"/>
      <c r="W160" s="42" t="n"/>
      <c r="X160" s="42" t="n"/>
      <c r="Y160" s="42" t="n"/>
      <c r="Z160" s="42" t="n"/>
      <c r="AA160" s="42" t="n"/>
      <c r="AB160" s="42" t="n"/>
      <c r="AC160" s="42" t="n"/>
      <c r="AD160" s="42" t="n"/>
      <c r="AE160" s="42" t="n"/>
      <c r="AF160" s="43">
        <f>IF($B160="","",SUM($T160:$AE160))</f>
        <v/>
      </c>
      <c r="AG160" s="43">
        <f>IF($B160="","",N($M160)-N($AF160))</f>
        <v/>
      </c>
      <c r="AH160" s="43">
        <f>IF($B160="","",N($L160)-N($AF160))</f>
        <v/>
      </c>
      <c r="AI160" s="149">
        <f>IF($B160="","",IF(N($L160)=0,"",(N($L160)-N($AF160))/N($L160)))</f>
        <v/>
      </c>
    </row>
    <row r="161">
      <c r="A161" s="39">
        <f>IF($B161="","",COUNTA($B$4:$B161))</f>
        <v/>
      </c>
      <c r="B161" s="45" t="n">
        <v>46041</v>
      </c>
      <c r="C161" s="46" t="n">
        <v>1658</v>
      </c>
      <c r="D161" s="46" t="inlineStr">
        <is>
          <t xml:space="preserve">احمد محسن </t>
        </is>
      </c>
      <c r="E161" s="46" t="inlineStr">
        <is>
          <t>1*40</t>
        </is>
      </c>
      <c r="F161" s="46" t="inlineStr">
        <is>
          <t xml:space="preserve">مسابك القاهرة </t>
        </is>
      </c>
      <c r="G161" s="46" t="inlineStr">
        <is>
          <t xml:space="preserve">انشاص </t>
        </is>
      </c>
      <c r="H161" s="46" t="inlineStr">
        <is>
          <t>625095/6</t>
        </is>
      </c>
      <c r="I161" s="46" t="inlineStr">
        <is>
          <t>س ه ف 1387</t>
        </is>
      </c>
      <c r="J161" s="46" t="inlineStr">
        <is>
          <t xml:space="preserve">محمد خميس </t>
        </is>
      </c>
      <c r="K161" s="46" t="inlineStr">
        <is>
          <t xml:space="preserve">احمد محسن </t>
        </is>
      </c>
      <c r="L161" s="47" t="n">
        <v>14000</v>
      </c>
      <c r="M161" s="47" t="n">
        <v>8100</v>
      </c>
      <c r="N161" s="47" t="n"/>
      <c r="O161" s="47" t="n">
        <v>200</v>
      </c>
      <c r="P161" s="47" t="n"/>
      <c r="Q161" s="47" t="n">
        <v>5700</v>
      </c>
      <c r="R161" s="43">
        <f>IF($B161="","",N($S161)-N($Q161))</f>
        <v/>
      </c>
      <c r="S161" s="43">
        <f>IF($B161="","",N($L161)+N($N161)+N($P161))</f>
        <v/>
      </c>
      <c r="T161" s="47" t="n"/>
      <c r="U161" s="47" t="n"/>
      <c r="V161" s="47" t="n"/>
      <c r="W161" s="47" t="n"/>
      <c r="X161" s="47" t="n"/>
      <c r="Y161" s="47" t="n"/>
      <c r="Z161" s="47" t="n"/>
      <c r="AA161" s="47" t="n"/>
      <c r="AB161" s="47" t="n"/>
      <c r="AC161" s="47" t="n"/>
      <c r="AD161" s="47" t="n"/>
      <c r="AE161" s="47" t="n"/>
      <c r="AF161" s="43">
        <f>IF($B161="","",SUM($T161:$AE161))</f>
        <v/>
      </c>
      <c r="AG161" s="43">
        <f>IF($B161="","",N($M161)-N($AF161))</f>
        <v/>
      </c>
      <c r="AH161" s="43">
        <f>IF($B161="","",N($L161)-N($AF161))</f>
        <v/>
      </c>
      <c r="AI161" s="149">
        <f>IF($B161="","",IF(N($L161)=0,"",(N($L161)-N($AF161))/N($L161)))</f>
        <v/>
      </c>
    </row>
    <row r="162">
      <c r="A162" s="39">
        <f>IF($B162="","",COUNTA($B$4:$B162))</f>
        <v/>
      </c>
      <c r="B162" s="40" t="n">
        <v>46041</v>
      </c>
      <c r="C162" s="41" t="n">
        <v>1659</v>
      </c>
      <c r="D162" s="41" t="inlineStr">
        <is>
          <t>اسلام محروس</t>
        </is>
      </c>
      <c r="E162" s="41" t="inlineStr">
        <is>
          <t>1*40</t>
        </is>
      </c>
      <c r="F162" s="41" t="inlineStr">
        <is>
          <t xml:space="preserve">مسابك القاهرة </t>
        </is>
      </c>
      <c r="G162" s="41" t="inlineStr">
        <is>
          <t xml:space="preserve">انشاص </t>
        </is>
      </c>
      <c r="H162" s="41" t="inlineStr">
        <is>
          <t>779893/0</t>
        </is>
      </c>
      <c r="I162" s="41" t="inlineStr">
        <is>
          <t>ب د ف 8592</t>
        </is>
      </c>
      <c r="J162" s="41" t="inlineStr">
        <is>
          <t xml:space="preserve">مؤمن الكيلانى </t>
        </is>
      </c>
      <c r="K162" s="41" t="inlineStr">
        <is>
          <t xml:space="preserve">مؤمن </t>
        </is>
      </c>
      <c r="L162" s="42" t="n">
        <v>14000</v>
      </c>
      <c r="M162" s="42" t="n">
        <v>8100</v>
      </c>
      <c r="N162" s="42" t="n"/>
      <c r="O162" s="42" t="n">
        <v>200</v>
      </c>
      <c r="P162" s="42" t="n"/>
      <c r="Q162" s="42" t="n">
        <v>5700</v>
      </c>
      <c r="R162" s="43">
        <f>IF($B162="","",N($S162)-N($Q162))</f>
        <v/>
      </c>
      <c r="S162" s="43">
        <f>IF($B162="","",N($L162)+N($N162)+N($P162))</f>
        <v/>
      </c>
      <c r="T162" s="42" t="n"/>
      <c r="U162" s="42" t="n"/>
      <c r="V162" s="42" t="n"/>
      <c r="W162" s="42" t="n"/>
      <c r="X162" s="42" t="n"/>
      <c r="Y162" s="42" t="n"/>
      <c r="Z162" s="42" t="n"/>
      <c r="AA162" s="42" t="n"/>
      <c r="AB162" s="42" t="n"/>
      <c r="AC162" s="42" t="n"/>
      <c r="AD162" s="42" t="n"/>
      <c r="AE162" s="42" t="n"/>
      <c r="AF162" s="43">
        <f>IF($B162="","",SUM($T162:$AE162))</f>
        <v/>
      </c>
      <c r="AG162" s="43">
        <f>IF($B162="","",N($M162)-N($AF162))</f>
        <v/>
      </c>
      <c r="AH162" s="43">
        <f>IF($B162="","",N($L162)-N($AF162))</f>
        <v/>
      </c>
      <c r="AI162" s="149">
        <f>IF($B162="","",IF(N($L162)=0,"",(N($L162)-N($AF162))/N($L162)))</f>
        <v/>
      </c>
    </row>
    <row r="163">
      <c r="A163" s="39">
        <f>IF($B163="","",COUNTA($B$4:$B163))</f>
        <v/>
      </c>
      <c r="B163" s="45" t="n">
        <v>46041</v>
      </c>
      <c r="C163" s="46" t="n">
        <v>1660</v>
      </c>
      <c r="D163" s="46" t="inlineStr">
        <is>
          <t>الجوهرى خ</t>
        </is>
      </c>
      <c r="E163" s="46" t="inlineStr">
        <is>
          <t>1*40</t>
        </is>
      </c>
      <c r="F163" s="46" t="inlineStr">
        <is>
          <t xml:space="preserve">مسابك القاهرة </t>
        </is>
      </c>
      <c r="G163" s="46" t="inlineStr">
        <is>
          <t xml:space="preserve">انشاص </t>
        </is>
      </c>
      <c r="H163" s="46" t="inlineStr">
        <is>
          <t>641109/5</t>
        </is>
      </c>
      <c r="I163" s="46" t="inlineStr">
        <is>
          <t>ب ر ط 2378</t>
        </is>
      </c>
      <c r="J163" s="46" t="inlineStr">
        <is>
          <t xml:space="preserve">محمد </t>
        </is>
      </c>
      <c r="K163" s="46" t="inlineStr">
        <is>
          <t xml:space="preserve">ابو ادم </t>
        </is>
      </c>
      <c r="L163" s="47" t="n">
        <v>14000</v>
      </c>
      <c r="M163" s="47" t="n">
        <v>8100</v>
      </c>
      <c r="N163" s="47" t="n"/>
      <c r="O163" s="47" t="n">
        <v>200</v>
      </c>
      <c r="P163" s="47" t="n"/>
      <c r="Q163" s="47" t="n">
        <v>5700</v>
      </c>
      <c r="R163" s="43">
        <f>IF($B163="","",N($S163)-N($Q163))</f>
        <v/>
      </c>
      <c r="S163" s="43">
        <f>IF($B163="","",N($L163)+N($N163)+N($P163))</f>
        <v/>
      </c>
      <c r="T163" s="47" t="n"/>
      <c r="U163" s="47" t="n"/>
      <c r="V163" s="47" t="n"/>
      <c r="W163" s="47" t="n"/>
      <c r="X163" s="47" t="n"/>
      <c r="Y163" s="47" t="n"/>
      <c r="Z163" s="47" t="n"/>
      <c r="AA163" s="47" t="n"/>
      <c r="AB163" s="47" t="n"/>
      <c r="AC163" s="47" t="n"/>
      <c r="AD163" s="47" t="n"/>
      <c r="AE163" s="47" t="n"/>
      <c r="AF163" s="43">
        <f>IF($B163="","",SUM($T163:$AE163))</f>
        <v/>
      </c>
      <c r="AG163" s="43">
        <f>IF($B163="","",N($M163)-N($AF163))</f>
        <v/>
      </c>
      <c r="AH163" s="43">
        <f>IF($B163="","",N($L163)-N($AF163))</f>
        <v/>
      </c>
      <c r="AI163" s="149">
        <f>IF($B163="","",IF(N($L163)=0,"",(N($L163)-N($AF163))/N($L163)))</f>
        <v/>
      </c>
    </row>
    <row r="164">
      <c r="A164" s="39">
        <f>IF($B164="","",COUNTA($B$4:$B164))</f>
        <v/>
      </c>
      <c r="B164" s="40" t="n">
        <v>46041</v>
      </c>
      <c r="C164" s="41" t="n">
        <v>1661</v>
      </c>
      <c r="D164" s="41" t="inlineStr">
        <is>
          <t>الشريف خ</t>
        </is>
      </c>
      <c r="E164" s="41" t="inlineStr">
        <is>
          <t>1*40</t>
        </is>
      </c>
      <c r="F164" s="41" t="inlineStr">
        <is>
          <t xml:space="preserve">مسابك القاهرة </t>
        </is>
      </c>
      <c r="G164" s="41" t="inlineStr">
        <is>
          <t xml:space="preserve">انشاص </t>
        </is>
      </c>
      <c r="H164" s="41" t="inlineStr">
        <is>
          <t>859050/5</t>
        </is>
      </c>
      <c r="I164" s="41" t="inlineStr">
        <is>
          <t>ب ص ا 9365</t>
        </is>
      </c>
      <c r="J164" s="41" t="inlineStr">
        <is>
          <t xml:space="preserve">هشام محمد </t>
        </is>
      </c>
      <c r="K164" s="41" t="inlineStr">
        <is>
          <t xml:space="preserve">ياسر عزام </t>
        </is>
      </c>
      <c r="L164" s="42" t="n">
        <v>14000</v>
      </c>
      <c r="M164" s="42" t="n">
        <v>8100</v>
      </c>
      <c r="N164" s="42" t="n"/>
      <c r="O164" s="42" t="n">
        <v>200</v>
      </c>
      <c r="P164" s="42" t="n"/>
      <c r="Q164" s="42" t="n">
        <v>5700</v>
      </c>
      <c r="R164" s="43">
        <f>IF($B164="","",N($S164)-N($Q164))</f>
        <v/>
      </c>
      <c r="S164" s="43">
        <f>IF($B164="","",N($L164)+N($N164)+N($P164))</f>
        <v/>
      </c>
      <c r="T164" s="42" t="n"/>
      <c r="U164" s="42" t="n"/>
      <c r="V164" s="42" t="n"/>
      <c r="W164" s="42" t="n"/>
      <c r="X164" s="42" t="n"/>
      <c r="Y164" s="42" t="n"/>
      <c r="Z164" s="42" t="n"/>
      <c r="AA164" s="42" t="n"/>
      <c r="AB164" s="42" t="n"/>
      <c r="AC164" s="42" t="n"/>
      <c r="AD164" s="42" t="n"/>
      <c r="AE164" s="42" t="n"/>
      <c r="AF164" s="43">
        <f>IF($B164="","",SUM($T164:$AE164))</f>
        <v/>
      </c>
      <c r="AG164" s="43">
        <f>IF($B164="","",N($M164)-N($AF164))</f>
        <v/>
      </c>
      <c r="AH164" s="43">
        <f>IF($B164="","",N($L164)-N($AF164))</f>
        <v/>
      </c>
      <c r="AI164" s="149">
        <f>IF($B164="","",IF(N($L164)=0,"",(N($L164)-N($AF164))/N($L164)))</f>
        <v/>
      </c>
    </row>
    <row r="165">
      <c r="A165" s="39">
        <f>IF($B165="","",COUNTA($B$4:$B165))</f>
        <v/>
      </c>
      <c r="B165" s="45" t="n">
        <v>46041</v>
      </c>
      <c r="C165" s="46" t="n">
        <v>1662</v>
      </c>
      <c r="D165" s="46" t="inlineStr">
        <is>
          <t>الشريف خ</t>
        </is>
      </c>
      <c r="E165" s="46" t="inlineStr">
        <is>
          <t>1*40</t>
        </is>
      </c>
      <c r="F165" s="46" t="inlineStr">
        <is>
          <t xml:space="preserve">مسابك القاهرة </t>
        </is>
      </c>
      <c r="G165" s="46" t="inlineStr">
        <is>
          <t xml:space="preserve">انشاص </t>
        </is>
      </c>
      <c r="H165" s="46" t="inlineStr">
        <is>
          <t>571140/4</t>
        </is>
      </c>
      <c r="I165" s="46" t="inlineStr">
        <is>
          <t>ب ر ط 1592</t>
        </is>
      </c>
      <c r="J165" s="46" t="inlineStr">
        <is>
          <t>شوقى ونس</t>
        </is>
      </c>
      <c r="K165" s="46" t="inlineStr">
        <is>
          <t xml:space="preserve">ياسر عزام </t>
        </is>
      </c>
      <c r="L165" s="47" t="n">
        <v>14000</v>
      </c>
      <c r="M165" s="47" t="n">
        <v>8100</v>
      </c>
      <c r="N165" s="47" t="n"/>
      <c r="O165" s="47" t="n">
        <v>200</v>
      </c>
      <c r="P165" s="47" t="n"/>
      <c r="Q165" s="47" t="n">
        <v>5700</v>
      </c>
      <c r="R165" s="43">
        <f>IF($B165="","",N($S165)-N($Q165))</f>
        <v/>
      </c>
      <c r="S165" s="43">
        <f>IF($B165="","",N($L165)+N($N165)+N($P165))</f>
        <v/>
      </c>
      <c r="T165" s="47" t="n"/>
      <c r="U165" s="47" t="n"/>
      <c r="V165" s="47" t="n"/>
      <c r="W165" s="47" t="n"/>
      <c r="X165" s="47" t="n"/>
      <c r="Y165" s="47" t="n"/>
      <c r="Z165" s="47" t="n"/>
      <c r="AA165" s="47" t="n"/>
      <c r="AB165" s="47" t="n"/>
      <c r="AC165" s="47" t="n"/>
      <c r="AD165" s="47" t="n"/>
      <c r="AE165" s="47" t="n"/>
      <c r="AF165" s="43">
        <f>IF($B165="","",SUM($T165:$AE165))</f>
        <v/>
      </c>
      <c r="AG165" s="43">
        <f>IF($B165="","",N($M165)-N($AF165))</f>
        <v/>
      </c>
      <c r="AH165" s="43">
        <f>IF($B165="","",N($L165)-N($AF165))</f>
        <v/>
      </c>
      <c r="AI165" s="149">
        <f>IF($B165="","",IF(N($L165)=0,"",(N($L165)-N($AF165))/N($L165)))</f>
        <v/>
      </c>
    </row>
    <row r="166">
      <c r="A166" s="39">
        <f>IF($B166="","",COUNTA($B$4:$B166))</f>
        <v/>
      </c>
      <c r="B166" s="40" t="n">
        <v>46041</v>
      </c>
      <c r="C166" s="41" t="n">
        <v>1804</v>
      </c>
      <c r="D166" s="41" t="inlineStr">
        <is>
          <t xml:space="preserve">الهوارى </t>
        </is>
      </c>
      <c r="E166" s="41" t="inlineStr">
        <is>
          <t>1*40</t>
        </is>
      </c>
      <c r="F166" s="41" t="inlineStr">
        <is>
          <t xml:space="preserve">الريعى </t>
        </is>
      </c>
      <c r="G166" s="41" t="inlineStr">
        <is>
          <t xml:space="preserve">ابو حماد </t>
        </is>
      </c>
      <c r="H166" s="41" t="inlineStr">
        <is>
          <t>737571/0</t>
        </is>
      </c>
      <c r="I166" s="41" t="inlineStr">
        <is>
          <t>ب ن و 5986</t>
        </is>
      </c>
      <c r="J166" s="41" t="inlineStr">
        <is>
          <t xml:space="preserve">صلاح الدين </t>
        </is>
      </c>
      <c r="K166" s="41" t="inlineStr">
        <is>
          <t xml:space="preserve">استوريا </t>
        </is>
      </c>
      <c r="L166" s="42" t="n">
        <v>15500</v>
      </c>
      <c r="M166" s="42" t="n">
        <v>8100</v>
      </c>
      <c r="N166" s="42" t="n"/>
      <c r="O166" s="42" t="n">
        <v>200</v>
      </c>
      <c r="P166" s="42" t="n"/>
      <c r="Q166" s="42" t="n">
        <v>7200</v>
      </c>
      <c r="R166" s="43">
        <f>IF($B166="","",N($S166)-N($Q166))</f>
        <v/>
      </c>
      <c r="S166" s="43">
        <f>IF($B166="","",N($L166)+N($N166)+N($P166))</f>
        <v/>
      </c>
      <c r="T166" s="42" t="n"/>
      <c r="U166" s="42" t="n"/>
      <c r="V166" s="42" t="n"/>
      <c r="W166" s="42" t="n"/>
      <c r="X166" s="42" t="n"/>
      <c r="Y166" s="42" t="n"/>
      <c r="Z166" s="42" t="n"/>
      <c r="AA166" s="42" t="n"/>
      <c r="AB166" s="42" t="n"/>
      <c r="AC166" s="42" t="n"/>
      <c r="AD166" s="42" t="n"/>
      <c r="AE166" s="42" t="n"/>
      <c r="AF166" s="43">
        <f>IF($B166="","",SUM($T166:$AE166))</f>
        <v/>
      </c>
      <c r="AG166" s="43">
        <f>IF($B166="","",N($M166)-N($AF166))</f>
        <v/>
      </c>
      <c r="AH166" s="43">
        <f>IF($B166="","",N($L166)-N($AF166))</f>
        <v/>
      </c>
      <c r="AI166" s="149">
        <f>IF($B166="","",IF(N($L166)=0,"",(N($L166)-N($AF166))/N($L166)))</f>
        <v/>
      </c>
    </row>
    <row r="167">
      <c r="A167" s="39">
        <f>IF($B167="","",COUNTA($B$4:$B167))</f>
        <v/>
      </c>
      <c r="B167" s="45" t="n">
        <v>46041</v>
      </c>
      <c r="C167" s="46" t="n">
        <v>1805</v>
      </c>
      <c r="D167" s="46" t="inlineStr">
        <is>
          <t>عتريس مخيمر  خ</t>
        </is>
      </c>
      <c r="E167" s="46" t="inlineStr">
        <is>
          <t>1*40</t>
        </is>
      </c>
      <c r="F167" s="46" t="inlineStr">
        <is>
          <t xml:space="preserve">الريعى </t>
        </is>
      </c>
      <c r="G167" s="46" t="inlineStr">
        <is>
          <t xml:space="preserve">ابو حماد </t>
        </is>
      </c>
      <c r="H167" s="46" t="inlineStr">
        <is>
          <t>601475/4</t>
        </is>
      </c>
      <c r="I167" s="46" t="inlineStr">
        <is>
          <t>ب ص ا 2574</t>
        </is>
      </c>
      <c r="J167" s="46" t="inlineStr">
        <is>
          <t xml:space="preserve">محمد البحيرى </t>
        </is>
      </c>
      <c r="K167" s="46" t="inlineStr">
        <is>
          <t xml:space="preserve">البحيرى </t>
        </is>
      </c>
      <c r="L167" s="47" t="n">
        <v>16000</v>
      </c>
      <c r="M167" s="47" t="n">
        <v>8100</v>
      </c>
      <c r="N167" s="47" t="n"/>
      <c r="O167" s="47" t="n">
        <v>200</v>
      </c>
      <c r="P167" s="47" t="n"/>
      <c r="Q167" s="47" t="n">
        <v>7700</v>
      </c>
      <c r="R167" s="43">
        <f>IF($B167="","",N($S167)-N($Q167))</f>
        <v/>
      </c>
      <c r="S167" s="43">
        <f>IF($B167="","",N($L167)+N($N167)+N($P167))</f>
        <v/>
      </c>
      <c r="T167" s="47" t="n"/>
      <c r="U167" s="47" t="n"/>
      <c r="V167" s="47" t="n"/>
      <c r="W167" s="47" t="n"/>
      <c r="X167" s="47" t="n"/>
      <c r="Y167" s="47" t="n"/>
      <c r="Z167" s="47" t="n"/>
      <c r="AA167" s="47" t="n"/>
      <c r="AB167" s="47" t="n"/>
      <c r="AC167" s="47" t="n"/>
      <c r="AD167" s="47" t="n"/>
      <c r="AE167" s="47" t="n"/>
      <c r="AF167" s="43">
        <f>IF($B167="","",SUM($T167:$AE167))</f>
        <v/>
      </c>
      <c r="AG167" s="43">
        <f>IF($B167="","",N($M167)-N($AF167))</f>
        <v/>
      </c>
      <c r="AH167" s="43">
        <f>IF($B167="","",N($L167)-N($AF167))</f>
        <v/>
      </c>
      <c r="AI167" s="149">
        <f>IF($B167="","",IF(N($L167)=0,"",(N($L167)-N($AF167))/N($L167)))</f>
        <v/>
      </c>
    </row>
    <row r="168">
      <c r="A168" s="39">
        <f>IF($B168="","",COUNTA($B$4:$B168))</f>
        <v/>
      </c>
      <c r="B168" s="40" t="n">
        <v>46041</v>
      </c>
      <c r="C168" s="41" t="n">
        <v>1806</v>
      </c>
      <c r="D168" s="41" t="inlineStr">
        <is>
          <t>عم فتحى</t>
        </is>
      </c>
      <c r="E168" s="41" t="inlineStr">
        <is>
          <t>1*40</t>
        </is>
      </c>
      <c r="F168" s="41" t="inlineStr">
        <is>
          <t xml:space="preserve">برتاية </t>
        </is>
      </c>
      <c r="G168" s="41" t="inlineStr">
        <is>
          <t xml:space="preserve">العاشر </t>
        </is>
      </c>
      <c r="H168" s="41" t="inlineStr">
        <is>
          <t>672492/2</t>
        </is>
      </c>
      <c r="I168" s="41" t="inlineStr">
        <is>
          <t>س ن ر 5945</t>
        </is>
      </c>
      <c r="J168" s="41" t="inlineStr">
        <is>
          <t xml:space="preserve">محمد السيد </t>
        </is>
      </c>
      <c r="K168" s="41" t="inlineStr">
        <is>
          <t xml:space="preserve">جبص </t>
        </is>
      </c>
      <c r="L168" s="42" t="n">
        <v>14500</v>
      </c>
      <c r="M168" s="42" t="n">
        <v>8100</v>
      </c>
      <c r="N168" s="42" t="n"/>
      <c r="O168" s="42" t="n">
        <v>200</v>
      </c>
      <c r="P168" s="42" t="n"/>
      <c r="Q168" s="42" t="n">
        <v>6200</v>
      </c>
      <c r="R168" s="43">
        <f>IF($B168="","",N($S168)-N($Q168))</f>
        <v/>
      </c>
      <c r="S168" s="43">
        <f>IF($B168="","",N($L168)+N($N168)+N($P168))</f>
        <v/>
      </c>
      <c r="T168" s="42" t="n"/>
      <c r="U168" s="42" t="n"/>
      <c r="V168" s="42" t="n"/>
      <c r="W168" s="42" t="n"/>
      <c r="X168" s="42" t="n"/>
      <c r="Y168" s="42" t="n"/>
      <c r="Z168" s="42" t="n"/>
      <c r="AA168" s="42" t="n"/>
      <c r="AB168" s="42" t="n"/>
      <c r="AC168" s="42" t="n"/>
      <c r="AD168" s="42" t="n"/>
      <c r="AE168" s="42" t="n"/>
      <c r="AF168" s="43">
        <f>IF($B168="","",SUM($T168:$AE168))</f>
        <v/>
      </c>
      <c r="AG168" s="43">
        <f>IF($B168="","",N($M168)-N($AF168))</f>
        <v/>
      </c>
      <c r="AH168" s="43">
        <f>IF($B168="","",N($L168)-N($AF168))</f>
        <v/>
      </c>
      <c r="AI168" s="149">
        <f>IF($B168="","",IF(N($L168)=0,"",(N($L168)-N($AF168))/N($L168)))</f>
        <v/>
      </c>
    </row>
    <row r="169">
      <c r="A169" s="39">
        <f>IF($B169="","",COUNTA($B$4:$B169))</f>
        <v/>
      </c>
      <c r="B169" s="45" t="n">
        <v>46041</v>
      </c>
      <c r="C169" s="46" t="n">
        <v>1715</v>
      </c>
      <c r="D169" s="46" t="inlineStr">
        <is>
          <t>المكتب</t>
        </is>
      </c>
      <c r="E169" s="46" t="inlineStr">
        <is>
          <t>1*40 ث</t>
        </is>
      </c>
      <c r="F169" s="46" t="inlineStr">
        <is>
          <t>الاسراء</t>
        </is>
      </c>
      <c r="G169" s="46" t="inlineStr">
        <is>
          <t xml:space="preserve">قها </t>
        </is>
      </c>
      <c r="H169" s="46" t="inlineStr">
        <is>
          <t>128316/1</t>
        </is>
      </c>
      <c r="I169" s="46" t="inlineStr">
        <is>
          <t>س ع م 8737</t>
        </is>
      </c>
      <c r="J169" s="46" t="inlineStr">
        <is>
          <t xml:space="preserve">محمود بكر </t>
        </is>
      </c>
      <c r="K169" s="46" t="inlineStr">
        <is>
          <t>المكتب</t>
        </is>
      </c>
      <c r="L169" s="47" t="n">
        <v>14000</v>
      </c>
      <c r="M169" s="47" t="n">
        <v>6000</v>
      </c>
      <c r="N169" s="47" t="n"/>
      <c r="O169" s="47" t="n"/>
      <c r="P169" s="47" t="n"/>
      <c r="Q169" s="47" t="n">
        <v>8000</v>
      </c>
      <c r="R169" s="43">
        <f>IF($B169="","",N($S169)-N($Q169))</f>
        <v/>
      </c>
      <c r="S169" s="43">
        <f>IF($B169="","",N($L169)+N($N169)+N($P169))</f>
        <v/>
      </c>
      <c r="T169" s="47" t="n">
        <v>1450</v>
      </c>
      <c r="U169" s="47" t="n">
        <v>550</v>
      </c>
      <c r="V169" s="47" t="n"/>
      <c r="W169" s="47" t="n">
        <v>150</v>
      </c>
      <c r="X169" s="47" t="n">
        <v>60</v>
      </c>
      <c r="Y169" s="47" t="n">
        <v>60</v>
      </c>
      <c r="Z169" s="47" t="n"/>
      <c r="AA169" s="47" t="n"/>
      <c r="AB169" s="47" t="n">
        <v>250</v>
      </c>
      <c r="AC169" s="47" t="n"/>
      <c r="AD169" s="47" t="n"/>
      <c r="AE169" s="47" t="n">
        <v>3360</v>
      </c>
      <c r="AF169" s="43">
        <f>IF($B169="","",SUM($T169:$AE169))</f>
        <v/>
      </c>
      <c r="AG169" s="43">
        <f>IF($B169="","",N($M169)-N($AF169))</f>
        <v/>
      </c>
      <c r="AH169" s="43">
        <f>IF($B169="","",N($L169)-N($AF169))</f>
        <v/>
      </c>
      <c r="AI169" s="149">
        <f>IF($B169="","",IF(N($L169)=0,"",(N($L169)-N($AF169))/N($L169)))</f>
        <v/>
      </c>
    </row>
    <row r="170">
      <c r="A170" s="39">
        <f>IF($B170="","",COUNTA($B$4:$B170))</f>
        <v/>
      </c>
      <c r="B170" s="40" t="n">
        <v>46041</v>
      </c>
      <c r="C170" s="41" t="n"/>
      <c r="D170" s="41" t="inlineStr">
        <is>
          <t>الفرجانى</t>
        </is>
      </c>
      <c r="E170" s="41" t="inlineStr">
        <is>
          <t>1*40 ث</t>
        </is>
      </c>
      <c r="F170" s="41" t="inlineStr">
        <is>
          <t>الاسراء</t>
        </is>
      </c>
      <c r="G170" s="41" t="inlineStr">
        <is>
          <t xml:space="preserve">قها </t>
        </is>
      </c>
      <c r="H170" s="41" t="inlineStr">
        <is>
          <t>934903/8</t>
        </is>
      </c>
      <c r="I170" s="41" t="inlineStr">
        <is>
          <t>س ا ى 3767</t>
        </is>
      </c>
      <c r="J170" s="41" t="inlineStr">
        <is>
          <t>محمد اسعد</t>
        </is>
      </c>
      <c r="K170" s="41" t="inlineStr">
        <is>
          <t xml:space="preserve">الفرجانى </t>
        </is>
      </c>
      <c r="L170" s="42" t="n">
        <v>14000</v>
      </c>
      <c r="M170" s="42" t="n">
        <v>7100</v>
      </c>
      <c r="N170" s="42" t="n"/>
      <c r="O170" s="42" t="n">
        <v>200</v>
      </c>
      <c r="P170" s="42" t="n"/>
      <c r="Q170" s="42" t="n">
        <v>6700</v>
      </c>
      <c r="R170" s="43">
        <f>IF($B170="","",N($S170)-N($Q170))</f>
        <v/>
      </c>
      <c r="S170" s="43">
        <f>IF($B170="","",N($L170)+N($N170)+N($P170))</f>
        <v/>
      </c>
      <c r="T170" s="42" t="n"/>
      <c r="U170" s="42" t="n"/>
      <c r="V170" s="42" t="n"/>
      <c r="W170" s="42" t="n"/>
      <c r="X170" s="42" t="n"/>
      <c r="Y170" s="42" t="n"/>
      <c r="Z170" s="42" t="n"/>
      <c r="AA170" s="42" t="n"/>
      <c r="AB170" s="42" t="n"/>
      <c r="AC170" s="42" t="n"/>
      <c r="AD170" s="42" t="n"/>
      <c r="AE170" s="42" t="n"/>
      <c r="AF170" s="43">
        <f>IF($B170="","",SUM($T170:$AE170))</f>
        <v/>
      </c>
      <c r="AG170" s="43">
        <f>IF($B170="","",N($M170)-N($AF170))</f>
        <v/>
      </c>
      <c r="AH170" s="43">
        <f>IF($B170="","",N($L170)-N($AF170))</f>
        <v/>
      </c>
      <c r="AI170" s="149">
        <f>IF($B170="","",IF(N($L170)=0,"",(N($L170)-N($AF170))/N($L170)))</f>
        <v/>
      </c>
    </row>
    <row r="171">
      <c r="A171" s="39">
        <f>IF($B171="","",COUNTA($B$4:$B171))</f>
        <v/>
      </c>
      <c r="B171" s="45" t="n">
        <v>46041</v>
      </c>
      <c r="C171" s="46" t="n">
        <v>1716</v>
      </c>
      <c r="D171" s="46" t="inlineStr">
        <is>
          <t>كمال رزق خ</t>
        </is>
      </c>
      <c r="E171" s="46" t="inlineStr">
        <is>
          <t>1*40 ث</t>
        </is>
      </c>
      <c r="F171" s="46" t="inlineStr">
        <is>
          <t>الاسراء</t>
        </is>
      </c>
      <c r="G171" s="46" t="inlineStr">
        <is>
          <t>قها</t>
        </is>
      </c>
      <c r="H171" s="46" t="inlineStr">
        <is>
          <t>902342/4</t>
        </is>
      </c>
      <c r="I171" s="46" t="inlineStr">
        <is>
          <t>س ف ب 7458</t>
        </is>
      </c>
      <c r="J171" s="46" t="inlineStr">
        <is>
          <t xml:space="preserve">بسام محمد </t>
        </is>
      </c>
      <c r="K171" s="46" t="inlineStr">
        <is>
          <t>ابو طالب</t>
        </is>
      </c>
      <c r="L171" s="47" t="n">
        <v>14000</v>
      </c>
      <c r="M171" s="47" t="n">
        <v>8100</v>
      </c>
      <c r="N171" s="47" t="n"/>
      <c r="O171" s="47" t="n">
        <v>200</v>
      </c>
      <c r="P171" s="47" t="n"/>
      <c r="Q171" s="47" t="n">
        <v>5700</v>
      </c>
      <c r="R171" s="43">
        <f>IF($B171="","",N($S171)-N($Q171))</f>
        <v/>
      </c>
      <c r="S171" s="43">
        <f>IF($B171="","",N($L171)+N($N171)+N($P171))</f>
        <v/>
      </c>
      <c r="T171" s="47" t="n"/>
      <c r="U171" s="47" t="n"/>
      <c r="V171" s="47" t="n"/>
      <c r="W171" s="47" t="n"/>
      <c r="X171" s="47" t="n"/>
      <c r="Y171" s="47" t="n"/>
      <c r="Z171" s="47" t="n"/>
      <c r="AA171" s="47" t="n"/>
      <c r="AB171" s="47" t="n"/>
      <c r="AC171" s="47" t="n"/>
      <c r="AD171" s="47" t="n"/>
      <c r="AE171" s="47" t="n"/>
      <c r="AF171" s="43">
        <f>IF($B171="","",SUM($T171:$AE171))</f>
        <v/>
      </c>
      <c r="AG171" s="43">
        <f>IF($B171="","",N($M171)-N($AF171))</f>
        <v/>
      </c>
      <c r="AH171" s="43">
        <f>IF($B171="","",N($L171)-N($AF171))</f>
        <v/>
      </c>
      <c r="AI171" s="149">
        <f>IF($B171="","",IF(N($L171)=0,"",(N($L171)-N($AF171))/N($L171)))</f>
        <v/>
      </c>
    </row>
    <row r="172">
      <c r="A172" s="39">
        <f>IF($B172="","",COUNTA($B$4:$B172))</f>
        <v/>
      </c>
      <c r="B172" s="40" t="n">
        <v>46041</v>
      </c>
      <c r="C172" s="41" t="n">
        <v>1718</v>
      </c>
      <c r="D172" s="41" t="inlineStr">
        <is>
          <t>رجب عبد العال خ</t>
        </is>
      </c>
      <c r="E172" s="41" t="inlineStr">
        <is>
          <t>1*40 ث</t>
        </is>
      </c>
      <c r="F172" s="41" t="inlineStr">
        <is>
          <t>الاسراء</t>
        </is>
      </c>
      <c r="G172" s="41" t="inlineStr">
        <is>
          <t>قها</t>
        </is>
      </c>
      <c r="H172" s="41" t="inlineStr">
        <is>
          <t>658169/3</t>
        </is>
      </c>
      <c r="I172" s="41" t="inlineStr">
        <is>
          <t>س م ى 4213</t>
        </is>
      </c>
      <c r="J172" s="41" t="inlineStr">
        <is>
          <t xml:space="preserve">عبد الله  </t>
        </is>
      </c>
      <c r="K172" s="41" t="inlineStr">
        <is>
          <t>غزال</t>
        </is>
      </c>
      <c r="L172" s="42" t="n">
        <v>14000</v>
      </c>
      <c r="M172" s="42" t="n">
        <v>8100</v>
      </c>
      <c r="N172" s="42" t="n"/>
      <c r="O172" s="42" t="n">
        <v>200</v>
      </c>
      <c r="P172" s="42" t="n"/>
      <c r="Q172" s="42" t="n">
        <v>5700</v>
      </c>
      <c r="R172" s="43">
        <f>IF($B172="","",N($S172)-N($Q172))</f>
        <v/>
      </c>
      <c r="S172" s="43">
        <f>IF($B172="","",N($L172)+N($N172)+N($P172))</f>
        <v/>
      </c>
      <c r="T172" s="42" t="n"/>
      <c r="U172" s="42" t="n"/>
      <c r="V172" s="42" t="n"/>
      <c r="W172" s="42" t="n"/>
      <c r="X172" s="42" t="n"/>
      <c r="Y172" s="42" t="n"/>
      <c r="Z172" s="42" t="n"/>
      <c r="AA172" s="42" t="n"/>
      <c r="AB172" s="42" t="n"/>
      <c r="AC172" s="42" t="n"/>
      <c r="AD172" s="42" t="n"/>
      <c r="AE172" s="42" t="n"/>
      <c r="AF172" s="43">
        <f>IF($B172="","",SUM($T172:$AE172))</f>
        <v/>
      </c>
      <c r="AG172" s="43">
        <f>IF($B172="","",N($M172)-N($AF172))</f>
        <v/>
      </c>
      <c r="AH172" s="43">
        <f>IF($B172="","",N($L172)-N($AF172))</f>
        <v/>
      </c>
      <c r="AI172" s="149">
        <f>IF($B172="","",IF(N($L172)=0,"",(N($L172)-N($AF172))/N($L172)))</f>
        <v/>
      </c>
    </row>
    <row r="173">
      <c r="A173" s="39">
        <f>IF($B173="","",COUNTA($B$4:$B173))</f>
        <v/>
      </c>
      <c r="B173" s="45" t="n">
        <v>46041</v>
      </c>
      <c r="C173" s="46" t="n">
        <v>1713</v>
      </c>
      <c r="D173" s="46" t="inlineStr">
        <is>
          <t>احمد عبدو خ</t>
        </is>
      </c>
      <c r="E173" s="46" t="inlineStr">
        <is>
          <t>1*40</t>
        </is>
      </c>
      <c r="F173" s="46" t="inlineStr">
        <is>
          <t xml:space="preserve">ريجينا </t>
        </is>
      </c>
      <c r="G173" s="46" t="inlineStr">
        <is>
          <t xml:space="preserve">السادات </t>
        </is>
      </c>
      <c r="H173" s="46" t="inlineStr">
        <is>
          <t>649989/6</t>
        </is>
      </c>
      <c r="I173" s="46" t="inlineStr">
        <is>
          <t>س ل ب 5917</t>
        </is>
      </c>
      <c r="J173" s="46" t="inlineStr">
        <is>
          <t xml:space="preserve">احمد محود </t>
        </is>
      </c>
      <c r="K173" s="46" t="inlineStr">
        <is>
          <t xml:space="preserve">علاء علام </t>
        </is>
      </c>
      <c r="L173" s="47" t="n">
        <v>11700</v>
      </c>
      <c r="M173" s="47" t="n">
        <v>7100</v>
      </c>
      <c r="N173" s="47" t="n"/>
      <c r="O173" s="47" t="n">
        <v>200</v>
      </c>
      <c r="P173" s="47" t="n"/>
      <c r="Q173" s="47" t="n">
        <v>4400</v>
      </c>
      <c r="R173" s="43">
        <f>IF($B173="","",N($S173)-N($Q173))</f>
        <v/>
      </c>
      <c r="S173" s="43">
        <f>IF($B173="","",N($L173)+N($N173)+N($P173))</f>
        <v/>
      </c>
      <c r="T173" s="47" t="n"/>
      <c r="U173" s="47" t="n"/>
      <c r="V173" s="47" t="n"/>
      <c r="W173" s="47" t="n"/>
      <c r="X173" s="47" t="n"/>
      <c r="Y173" s="47" t="n"/>
      <c r="Z173" s="47" t="n"/>
      <c r="AA173" s="47" t="n"/>
      <c r="AB173" s="47" t="n"/>
      <c r="AC173" s="47" t="n"/>
      <c r="AD173" s="47" t="n"/>
      <c r="AE173" s="47" t="n"/>
      <c r="AF173" s="43">
        <f>IF($B173="","",SUM($T173:$AE173))</f>
        <v/>
      </c>
      <c r="AG173" s="43">
        <f>IF($B173="","",N($M173)-N($AF173))</f>
        <v/>
      </c>
      <c r="AH173" s="43">
        <f>IF($B173="","",N($L173)-N($AF173))</f>
        <v/>
      </c>
      <c r="AI173" s="149">
        <f>IF($B173="","",IF(N($L173)=0,"",(N($L173)-N($AF173))/N($L173)))</f>
        <v/>
      </c>
    </row>
    <row r="174">
      <c r="A174" s="39">
        <f>IF($B174="","",COUNTA($B$4:$B174))</f>
        <v/>
      </c>
      <c r="B174" s="40" t="n">
        <v>46041</v>
      </c>
      <c r="C174" s="41" t="n">
        <v>1714</v>
      </c>
      <c r="D174" s="41" t="inlineStr">
        <is>
          <t>احمد عبدو خ</t>
        </is>
      </c>
      <c r="E174" s="41" t="inlineStr">
        <is>
          <t>1*40</t>
        </is>
      </c>
      <c r="F174" s="41" t="inlineStr">
        <is>
          <t xml:space="preserve">ريجينا </t>
        </is>
      </c>
      <c r="G174" s="41" t="inlineStr">
        <is>
          <t xml:space="preserve">السادات </t>
        </is>
      </c>
      <c r="H174" s="41" t="inlineStr">
        <is>
          <t>581878/8</t>
        </is>
      </c>
      <c r="I174" s="41" t="inlineStr">
        <is>
          <t>س ا ه 8198</t>
        </is>
      </c>
      <c r="J174" s="41" t="inlineStr">
        <is>
          <t xml:space="preserve">ياسر احمد </t>
        </is>
      </c>
      <c r="K174" s="41" t="inlineStr">
        <is>
          <t xml:space="preserve">علاء علام </t>
        </is>
      </c>
      <c r="L174" s="42" t="n">
        <v>11700</v>
      </c>
      <c r="M174" s="42" t="n">
        <v>7100</v>
      </c>
      <c r="N174" s="42" t="n"/>
      <c r="O174" s="42" t="n">
        <v>200</v>
      </c>
      <c r="P174" s="42" t="n"/>
      <c r="Q174" s="42" t="n">
        <v>4400</v>
      </c>
      <c r="R174" s="43">
        <f>IF($B174="","",N($S174)-N($Q174))</f>
        <v/>
      </c>
      <c r="S174" s="43">
        <f>IF($B174="","",N($L174)+N($N174)+N($P174))</f>
        <v/>
      </c>
      <c r="T174" s="42" t="n"/>
      <c r="U174" s="42" t="n"/>
      <c r="V174" s="42" t="n"/>
      <c r="W174" s="42" t="n"/>
      <c r="X174" s="42" t="n"/>
      <c r="Y174" s="42" t="n"/>
      <c r="Z174" s="42" t="n"/>
      <c r="AA174" s="42" t="n"/>
      <c r="AB174" s="42" t="n"/>
      <c r="AC174" s="42" t="n"/>
      <c r="AD174" s="42" t="n"/>
      <c r="AE174" s="42" t="n"/>
      <c r="AF174" s="43">
        <f>IF($B174="","",SUM($T174:$AE174))</f>
        <v/>
      </c>
      <c r="AG174" s="43">
        <f>IF($B174="","",N($M174)-N($AF174))</f>
        <v/>
      </c>
      <c r="AH174" s="43">
        <f>IF($B174="","",N($L174)-N($AF174))</f>
        <v/>
      </c>
      <c r="AI174" s="149">
        <f>IF($B174="","",IF(N($L174)=0,"",(N($L174)-N($AF174))/N($L174)))</f>
        <v/>
      </c>
    </row>
    <row r="175">
      <c r="A175" s="39">
        <f>IF($B175="","",COUNTA($B$4:$B175))</f>
        <v/>
      </c>
      <c r="B175" s="45" t="n">
        <v>46042</v>
      </c>
      <c r="C175" s="46" t="n">
        <v>1926</v>
      </c>
      <c r="D175" s="46" t="inlineStr">
        <is>
          <t>عتريس مخيمر  خ</t>
        </is>
      </c>
      <c r="E175" s="46" t="inlineStr">
        <is>
          <t>1*20</t>
        </is>
      </c>
      <c r="F175" s="46" t="inlineStr">
        <is>
          <t xml:space="preserve">فرى ضم </t>
        </is>
      </c>
      <c r="G175" s="46" t="inlineStr">
        <is>
          <t>بورسعيد</t>
        </is>
      </c>
      <c r="H175" s="46" t="inlineStr">
        <is>
          <t>307213/5</t>
        </is>
      </c>
      <c r="I175" s="46" t="inlineStr">
        <is>
          <t>ب د ف 6937</t>
        </is>
      </c>
      <c r="J175" s="46" t="inlineStr">
        <is>
          <t xml:space="preserve">هشام عجمى </t>
        </is>
      </c>
      <c r="K175" s="46" t="inlineStr">
        <is>
          <t xml:space="preserve">عنتر </t>
        </is>
      </c>
      <c r="L175" s="47" t="n">
        <v>12000</v>
      </c>
      <c r="M175" s="47" t="n">
        <v>7100</v>
      </c>
      <c r="N175" s="47" t="n"/>
      <c r="O175" s="47" t="n">
        <v>200</v>
      </c>
      <c r="P175" s="47" t="n"/>
      <c r="Q175" s="47" t="n">
        <v>4700</v>
      </c>
      <c r="R175" s="43">
        <f>IF($B175="","",N($S175)-N($Q175))</f>
        <v/>
      </c>
      <c r="S175" s="43">
        <f>IF($B175="","",N($L175)+N($N175)+N($P175))</f>
        <v/>
      </c>
      <c r="T175" s="47" t="n"/>
      <c r="U175" s="47" t="n"/>
      <c r="V175" s="47" t="n"/>
      <c r="W175" s="47" t="n"/>
      <c r="X175" s="47" t="n"/>
      <c r="Y175" s="47" t="n"/>
      <c r="Z175" s="47" t="n"/>
      <c r="AA175" s="47" t="n"/>
      <c r="AB175" s="47" t="n"/>
      <c r="AC175" s="47" t="n"/>
      <c r="AD175" s="47" t="n"/>
      <c r="AE175" s="47" t="n"/>
      <c r="AF175" s="43">
        <f>IF($B175="","",SUM($T175:$AE175))</f>
        <v/>
      </c>
      <c r="AG175" s="43">
        <f>IF($B175="","",N($M175)-N($AF175))</f>
        <v/>
      </c>
      <c r="AH175" s="43">
        <f>IF($B175="","",N($L175)-N($AF175))</f>
        <v/>
      </c>
      <c r="AI175" s="149">
        <f>IF($B175="","",IF(N($L175)=0,"",(N($L175)-N($AF175))/N($L175)))</f>
        <v/>
      </c>
    </row>
    <row r="176">
      <c r="A176" s="39">
        <f>IF($B176="","",COUNTA($B$4:$B176))</f>
        <v/>
      </c>
      <c r="B176" s="40" t="n">
        <v>46042</v>
      </c>
      <c r="C176" s="41" t="n">
        <v>1927</v>
      </c>
      <c r="D176" s="41" t="inlineStr">
        <is>
          <t>حمادة ذكى</t>
        </is>
      </c>
      <c r="E176" s="41" t="inlineStr">
        <is>
          <t>1*40</t>
        </is>
      </c>
      <c r="F176" s="41" t="n"/>
      <c r="G176" s="41" t="inlineStr">
        <is>
          <t>بورسعيد</t>
        </is>
      </c>
      <c r="H176" s="41" t="inlineStr">
        <is>
          <t>509040/0</t>
        </is>
      </c>
      <c r="I176" s="41" t="inlineStr">
        <is>
          <t>س ق ا 4698</t>
        </is>
      </c>
      <c r="J176" s="41" t="inlineStr">
        <is>
          <t xml:space="preserve">ناصر سعد </t>
        </is>
      </c>
      <c r="K176" s="41" t="inlineStr">
        <is>
          <t xml:space="preserve">حمادة ذكى </t>
        </is>
      </c>
      <c r="L176" s="42" t="n">
        <v>14500</v>
      </c>
      <c r="M176" s="42" t="n">
        <v>8100</v>
      </c>
      <c r="N176" s="42" t="n"/>
      <c r="O176" s="42" t="n">
        <v>200</v>
      </c>
      <c r="P176" s="42" t="n"/>
      <c r="Q176" s="42" t="n">
        <v>6200</v>
      </c>
      <c r="R176" s="43">
        <f>IF($B176="","",N($S176)-N($Q176))</f>
        <v/>
      </c>
      <c r="S176" s="43">
        <f>IF($B176="","",N($L176)+N($N176)+N($P176))</f>
        <v/>
      </c>
      <c r="T176" s="42" t="n"/>
      <c r="U176" s="42" t="n"/>
      <c r="V176" s="42" t="n"/>
      <c r="W176" s="42" t="n"/>
      <c r="X176" s="42" t="n"/>
      <c r="Y176" s="42" t="n"/>
      <c r="Z176" s="42" t="n"/>
      <c r="AA176" s="42" t="n"/>
      <c r="AB176" s="42" t="n"/>
      <c r="AC176" s="42" t="n"/>
      <c r="AD176" s="42" t="n"/>
      <c r="AE176" s="42" t="n"/>
      <c r="AF176" s="43">
        <f>IF($B176="","",SUM($T176:$AE176))</f>
        <v/>
      </c>
      <c r="AG176" s="43">
        <f>IF($B176="","",N($M176)-N($AF176))</f>
        <v/>
      </c>
      <c r="AH176" s="43">
        <f>IF($B176="","",N($L176)-N($AF176))</f>
        <v/>
      </c>
      <c r="AI176" s="149">
        <f>IF($B176="","",IF(N($L176)=0,"",(N($L176)-N($AF176))/N($L176)))</f>
        <v/>
      </c>
    </row>
    <row r="177">
      <c r="A177" s="39">
        <f>IF($B177="","",COUNTA($B$4:$B177))</f>
        <v/>
      </c>
      <c r="B177" s="45" t="n">
        <v>46042</v>
      </c>
      <c r="C177" s="46" t="n">
        <v>1663</v>
      </c>
      <c r="D177" s="46" t="inlineStr">
        <is>
          <t>حماد خ</t>
        </is>
      </c>
      <c r="E177" s="46" t="inlineStr">
        <is>
          <t>1*40</t>
        </is>
      </c>
      <c r="F177" s="46" t="inlineStr">
        <is>
          <t xml:space="preserve">مسابك القاهرة </t>
        </is>
      </c>
      <c r="G177" s="46" t="inlineStr">
        <is>
          <t xml:space="preserve">انشاص </t>
        </is>
      </c>
      <c r="H177" s="46" t="inlineStr">
        <is>
          <t>802774/8</t>
        </is>
      </c>
      <c r="I177" s="46" t="inlineStr">
        <is>
          <t>س د و 4748</t>
        </is>
      </c>
      <c r="J177" s="46" t="inlineStr">
        <is>
          <t xml:space="preserve">مسعد ابراهيم </t>
        </is>
      </c>
      <c r="K177" s="46" t="inlineStr">
        <is>
          <t xml:space="preserve">ياسر عزام </t>
        </is>
      </c>
      <c r="L177" s="47" t="n">
        <v>14000</v>
      </c>
      <c r="M177" s="47" t="n">
        <v>8100</v>
      </c>
      <c r="N177" s="47" t="n"/>
      <c r="O177" s="47" t="n">
        <v>200</v>
      </c>
      <c r="P177" s="47" t="n"/>
      <c r="Q177" s="47" t="n">
        <v>5700</v>
      </c>
      <c r="R177" s="43">
        <f>IF($B177="","",N($S177)-N($Q177))</f>
        <v/>
      </c>
      <c r="S177" s="43">
        <f>IF($B177="","",N($L177)+N($N177)+N($P177))</f>
        <v/>
      </c>
      <c r="T177" s="47" t="n"/>
      <c r="U177" s="47" t="n"/>
      <c r="V177" s="47" t="n"/>
      <c r="W177" s="47" t="n"/>
      <c r="X177" s="47" t="n"/>
      <c r="Y177" s="47" t="n"/>
      <c r="Z177" s="47" t="n"/>
      <c r="AA177" s="47" t="n"/>
      <c r="AB177" s="47" t="n"/>
      <c r="AC177" s="47" t="n"/>
      <c r="AD177" s="47" t="n"/>
      <c r="AE177" s="47" t="n"/>
      <c r="AF177" s="43">
        <f>IF($B177="","",SUM($T177:$AE177))</f>
        <v/>
      </c>
      <c r="AG177" s="43">
        <f>IF($B177="","",N($M177)-N($AF177))</f>
        <v/>
      </c>
      <c r="AH177" s="43">
        <f>IF($B177="","",N($L177)-N($AF177))</f>
        <v/>
      </c>
      <c r="AI177" s="149">
        <f>IF($B177="","",IF(N($L177)=0,"",(N($L177)-N($AF177))/N($L177)))</f>
        <v/>
      </c>
    </row>
    <row r="178">
      <c r="A178" s="39">
        <f>IF($B178="","",COUNTA($B$4:$B178))</f>
        <v/>
      </c>
      <c r="B178" s="40" t="n">
        <v>46042</v>
      </c>
      <c r="C178" s="41" t="n">
        <v>1723</v>
      </c>
      <c r="D178" s="41" t="inlineStr">
        <is>
          <t>عتريس مخيمر  خ</t>
        </is>
      </c>
      <c r="E178" s="41" t="inlineStr">
        <is>
          <t>1*40</t>
        </is>
      </c>
      <c r="F178" s="41" t="inlineStr">
        <is>
          <t>اللوتس</t>
        </is>
      </c>
      <c r="G178" s="41" t="inlineStr">
        <is>
          <t xml:space="preserve">م بدر </t>
        </is>
      </c>
      <c r="H178" s="41" t="inlineStr">
        <is>
          <t>960452/3</t>
        </is>
      </c>
      <c r="I178" s="41" t="inlineStr">
        <is>
          <t>ب ص ا 2574</t>
        </is>
      </c>
      <c r="J178" s="41" t="inlineStr">
        <is>
          <t xml:space="preserve">محمد البحيرى </t>
        </is>
      </c>
      <c r="K178" s="41" t="inlineStr">
        <is>
          <t xml:space="preserve">احمد خليف </t>
        </is>
      </c>
      <c r="L178" s="42" t="n">
        <v>14500</v>
      </c>
      <c r="M178" s="42" t="n">
        <v>8100</v>
      </c>
      <c r="N178" s="42" t="n"/>
      <c r="O178" s="42" t="n">
        <v>200</v>
      </c>
      <c r="P178" s="42" t="n"/>
      <c r="Q178" s="42" t="n">
        <v>6200</v>
      </c>
      <c r="R178" s="43">
        <f>IF($B178="","",N($S178)-N($Q178))</f>
        <v/>
      </c>
      <c r="S178" s="43">
        <f>IF($B178="","",N($L178)+N($N178)+N($P178))</f>
        <v/>
      </c>
      <c r="T178" s="42" t="n"/>
      <c r="U178" s="42" t="n"/>
      <c r="V178" s="42" t="n"/>
      <c r="W178" s="42" t="n"/>
      <c r="X178" s="42" t="n"/>
      <c r="Y178" s="42" t="n"/>
      <c r="Z178" s="42" t="n"/>
      <c r="AA178" s="42" t="n"/>
      <c r="AB178" s="42" t="n"/>
      <c r="AC178" s="42" t="n"/>
      <c r="AD178" s="42" t="n"/>
      <c r="AE178" s="42" t="n"/>
      <c r="AF178" s="43">
        <f>IF($B178="","",SUM($T178:$AE178))</f>
        <v/>
      </c>
      <c r="AG178" s="43">
        <f>IF($B178="","",N($M178)-N($AF178))</f>
        <v/>
      </c>
      <c r="AH178" s="43">
        <f>IF($B178="","",N($L178)-N($AF178))</f>
        <v/>
      </c>
      <c r="AI178" s="149">
        <f>IF($B178="","",IF(N($L178)=0,"",(N($L178)-N($AF178))/N($L178)))</f>
        <v/>
      </c>
    </row>
    <row r="179">
      <c r="A179" s="39">
        <f>IF($B179="","",COUNTA($B$4:$B179))</f>
        <v/>
      </c>
      <c r="B179" s="45" t="n">
        <v>46042</v>
      </c>
      <c r="C179" s="46" t="n">
        <v>1722</v>
      </c>
      <c r="D179" s="46" t="inlineStr">
        <is>
          <t xml:space="preserve">حمادة الصعيدى </t>
        </is>
      </c>
      <c r="E179" s="46" t="inlineStr">
        <is>
          <t>1*40 ث</t>
        </is>
      </c>
      <c r="F179" s="46" t="inlineStr">
        <is>
          <t>محمود مسعود</t>
        </is>
      </c>
      <c r="G179" s="46" t="inlineStr">
        <is>
          <t xml:space="preserve">البراوى </t>
        </is>
      </c>
      <c r="H179" s="46" t="inlineStr">
        <is>
          <t>828083/7</t>
        </is>
      </c>
      <c r="I179" s="46" t="inlineStr">
        <is>
          <t>س ن ب 8754</t>
        </is>
      </c>
      <c r="J179" s="46" t="inlineStr">
        <is>
          <t>ابراهيم جابر</t>
        </is>
      </c>
      <c r="K179" s="46" t="inlineStr">
        <is>
          <t xml:space="preserve">حمادة الصعيدى </t>
        </is>
      </c>
      <c r="L179" s="47" t="n">
        <v>10000</v>
      </c>
      <c r="M179" s="47" t="n">
        <v>6100</v>
      </c>
      <c r="N179" s="47" t="n"/>
      <c r="O179" s="47" t="n">
        <v>200</v>
      </c>
      <c r="P179" s="47" t="n"/>
      <c r="Q179" s="47" t="n">
        <v>3700</v>
      </c>
      <c r="R179" s="43">
        <f>IF($B179="","",N($S179)-N($Q179))</f>
        <v/>
      </c>
      <c r="S179" s="43">
        <f>IF($B179="","",N($L179)+N($N179)+N($P179))</f>
        <v/>
      </c>
      <c r="T179" s="47" t="n"/>
      <c r="U179" s="47" t="n"/>
      <c r="V179" s="47" t="n"/>
      <c r="W179" s="47" t="n"/>
      <c r="X179" s="47" t="n"/>
      <c r="Y179" s="47" t="n"/>
      <c r="Z179" s="47" t="n"/>
      <c r="AA179" s="47" t="n"/>
      <c r="AB179" s="47" t="n"/>
      <c r="AC179" s="47" t="n"/>
      <c r="AD179" s="47" t="n"/>
      <c r="AE179" s="47" t="n"/>
      <c r="AF179" s="43">
        <f>IF($B179="","",SUM($T179:$AE179))</f>
        <v/>
      </c>
      <c r="AG179" s="43">
        <f>IF($B179="","",N($M179)-N($AF179))</f>
        <v/>
      </c>
      <c r="AH179" s="43">
        <f>IF($B179="","",N($L179)-N($AF179))</f>
        <v/>
      </c>
      <c r="AI179" s="149">
        <f>IF($B179="","",IF(N($L179)=0,"",(N($L179)-N($AF179))/N($L179)))</f>
        <v/>
      </c>
    </row>
    <row r="180">
      <c r="A180" s="39">
        <f>IF($B180="","",COUNTA($B$4:$B180))</f>
        <v/>
      </c>
      <c r="B180" s="40" t="n">
        <v>46042</v>
      </c>
      <c r="C180" s="41" t="n">
        <v>1721</v>
      </c>
      <c r="D180" s="41" t="inlineStr">
        <is>
          <t xml:space="preserve">علاء علام </t>
        </is>
      </c>
      <c r="E180" s="41" t="inlineStr">
        <is>
          <t>1*40 ث</t>
        </is>
      </c>
      <c r="F180" s="41" t="inlineStr">
        <is>
          <t xml:space="preserve">جرين لاند </t>
        </is>
      </c>
      <c r="G180" s="41" t="inlineStr">
        <is>
          <t xml:space="preserve">ك الدوار </t>
        </is>
      </c>
      <c r="H180" s="41" t="inlineStr">
        <is>
          <t>512995/0</t>
        </is>
      </c>
      <c r="I180" s="41" t="inlineStr">
        <is>
          <t>س ل ب 5917</t>
        </is>
      </c>
      <c r="J180" s="41" t="inlineStr">
        <is>
          <t xml:space="preserve">احمد محود فرج </t>
        </is>
      </c>
      <c r="K180" s="41" t="inlineStr">
        <is>
          <t xml:space="preserve">علاء علام </t>
        </is>
      </c>
      <c r="L180" s="42" t="n">
        <v>9000</v>
      </c>
      <c r="M180" s="42" t="n">
        <v>6100</v>
      </c>
      <c r="N180" s="42" t="n"/>
      <c r="O180" s="42" t="n">
        <v>200</v>
      </c>
      <c r="P180" s="42" t="n"/>
      <c r="Q180" s="42" t="n">
        <v>2700</v>
      </c>
      <c r="R180" s="43">
        <f>IF($B180="","",N($S180)-N($Q180))</f>
        <v/>
      </c>
      <c r="S180" s="43">
        <f>IF($B180="","",N($L180)+N($N180)+N($P180))</f>
        <v/>
      </c>
      <c r="T180" s="42" t="n"/>
      <c r="U180" s="42" t="n"/>
      <c r="V180" s="42" t="n"/>
      <c r="W180" s="42" t="n"/>
      <c r="X180" s="42" t="n"/>
      <c r="Y180" s="42" t="n"/>
      <c r="Z180" s="42" t="n"/>
      <c r="AA180" s="42" t="n"/>
      <c r="AB180" s="42" t="n"/>
      <c r="AC180" s="42" t="n"/>
      <c r="AD180" s="42" t="n"/>
      <c r="AE180" s="42" t="n"/>
      <c r="AF180" s="43">
        <f>IF($B180="","",SUM($T180:$AE180))</f>
        <v/>
      </c>
      <c r="AG180" s="43">
        <f>IF($B180="","",N($M180)-N($AF180))</f>
        <v/>
      </c>
      <c r="AH180" s="43">
        <f>IF($B180="","",N($L180)-N($AF180))</f>
        <v/>
      </c>
      <c r="AI180" s="149">
        <f>IF($B180="","",IF(N($L180)=0,"",(N($L180)-N($AF180))/N($L180)))</f>
        <v/>
      </c>
    </row>
    <row r="181">
      <c r="A181" s="39">
        <f>IF($B181="","",COUNTA($B$4:$B181))</f>
        <v/>
      </c>
      <c r="B181" s="45" t="n">
        <v>46042</v>
      </c>
      <c r="C181" s="46" t="n">
        <v>1719</v>
      </c>
      <c r="D181" s="46" t="inlineStr">
        <is>
          <t>رجب عبد العال خ</t>
        </is>
      </c>
      <c r="E181" s="46" t="inlineStr">
        <is>
          <t>1*40 ث</t>
        </is>
      </c>
      <c r="F181" s="46" t="inlineStr">
        <is>
          <t xml:space="preserve">جرين لاند </t>
        </is>
      </c>
      <c r="G181" s="46" t="inlineStr">
        <is>
          <t xml:space="preserve">ك الدوار </t>
        </is>
      </c>
      <c r="H181" s="46" t="inlineStr">
        <is>
          <t>542189/6</t>
        </is>
      </c>
      <c r="I181" s="46" t="inlineStr">
        <is>
          <t>س ل ص 7966</t>
        </is>
      </c>
      <c r="J181" s="46" t="inlineStr">
        <is>
          <t xml:space="preserve">طارق الجمل </t>
        </is>
      </c>
      <c r="K181" s="46" t="inlineStr">
        <is>
          <t xml:space="preserve">الجمل </t>
        </is>
      </c>
      <c r="L181" s="47" t="n">
        <v>9000</v>
      </c>
      <c r="M181" s="47" t="n">
        <v>6100</v>
      </c>
      <c r="N181" s="47" t="n"/>
      <c r="O181" s="47" t="n">
        <v>200</v>
      </c>
      <c r="P181" s="47" t="n"/>
      <c r="Q181" s="47" t="n">
        <v>2700</v>
      </c>
      <c r="R181" s="43">
        <f>IF($B181="","",N($S181)-N($Q181))</f>
        <v/>
      </c>
      <c r="S181" s="43">
        <f>IF($B181="","",N($L181)+N($N181)+N($P181))</f>
        <v/>
      </c>
      <c r="T181" s="47" t="n"/>
      <c r="U181" s="47" t="n"/>
      <c r="V181" s="47" t="n"/>
      <c r="W181" s="47" t="n"/>
      <c r="X181" s="47" t="n"/>
      <c r="Y181" s="47" t="n"/>
      <c r="Z181" s="47" t="n"/>
      <c r="AA181" s="47" t="n"/>
      <c r="AB181" s="47" t="n"/>
      <c r="AC181" s="47" t="n"/>
      <c r="AD181" s="47" t="n"/>
      <c r="AE181" s="47" t="n"/>
      <c r="AF181" s="43">
        <f>IF($B181="","",SUM($T181:$AE181))</f>
        <v/>
      </c>
      <c r="AG181" s="43">
        <f>IF($B181="","",N($M181)-N($AF181))</f>
        <v/>
      </c>
      <c r="AH181" s="43">
        <f>IF($B181="","",N($L181)-N($AF181))</f>
        <v/>
      </c>
      <c r="AI181" s="149">
        <f>IF($B181="","",IF(N($L181)=0,"",(N($L181)-N($AF181))/N($L181)))</f>
        <v/>
      </c>
    </row>
    <row r="182">
      <c r="A182" s="39">
        <f>IF($B182="","",COUNTA($B$4:$B182))</f>
        <v/>
      </c>
      <c r="B182" s="40" t="n">
        <v>46042</v>
      </c>
      <c r="C182" s="41" t="n">
        <v>1720</v>
      </c>
      <c r="D182" s="41" t="inlineStr">
        <is>
          <t>الزوقزوق</t>
        </is>
      </c>
      <c r="E182" s="41" t="inlineStr">
        <is>
          <t>1*40 ث</t>
        </is>
      </c>
      <c r="F182" s="41" t="inlineStr">
        <is>
          <t xml:space="preserve">جرين لاند </t>
        </is>
      </c>
      <c r="G182" s="41" t="inlineStr">
        <is>
          <t xml:space="preserve">ك الدوار </t>
        </is>
      </c>
      <c r="H182" s="41" t="inlineStr">
        <is>
          <t>656132/0</t>
        </is>
      </c>
      <c r="I182" s="41" t="inlineStr">
        <is>
          <t>س م ى 3925</t>
        </is>
      </c>
      <c r="J182" s="41" t="inlineStr">
        <is>
          <t xml:space="preserve">عادل علام </t>
        </is>
      </c>
      <c r="K182" s="41" t="inlineStr">
        <is>
          <t>الزوقزوق</t>
        </is>
      </c>
      <c r="L182" s="42" t="n">
        <v>9000</v>
      </c>
      <c r="M182" s="42" t="n">
        <v>6100</v>
      </c>
      <c r="N182" s="42" t="n"/>
      <c r="O182" s="42" t="n">
        <v>200</v>
      </c>
      <c r="P182" s="42" t="n"/>
      <c r="Q182" s="42" t="n">
        <v>2700</v>
      </c>
      <c r="R182" s="43">
        <f>IF($B182="","",N($S182)-N($Q182))</f>
        <v/>
      </c>
      <c r="S182" s="43">
        <f>IF($B182="","",N($L182)+N($N182)+N($P182))</f>
        <v/>
      </c>
      <c r="T182" s="42" t="n"/>
      <c r="U182" s="42" t="n"/>
      <c r="V182" s="42" t="n"/>
      <c r="W182" s="42" t="n"/>
      <c r="X182" s="42" t="n"/>
      <c r="Y182" s="42" t="n"/>
      <c r="Z182" s="42" t="n"/>
      <c r="AA182" s="42" t="n"/>
      <c r="AB182" s="42" t="n"/>
      <c r="AC182" s="42" t="n"/>
      <c r="AD182" s="42" t="n"/>
      <c r="AE182" s="42" t="n"/>
      <c r="AF182" s="43">
        <f>IF($B182="","",SUM($T182:$AE182))</f>
        <v/>
      </c>
      <c r="AG182" s="43">
        <f>IF($B182="","",N($M182)-N($AF182))</f>
        <v/>
      </c>
      <c r="AH182" s="43">
        <f>IF($B182="","",N($L182)-N($AF182))</f>
        <v/>
      </c>
      <c r="AI182" s="149">
        <f>IF($B182="","",IF(N($L182)=0,"",(N($L182)-N($AF182))/N($L182)))</f>
        <v/>
      </c>
    </row>
    <row r="183">
      <c r="A183" s="39">
        <f>IF($B183="","",COUNTA($B$4:$B183))</f>
        <v/>
      </c>
      <c r="B183" s="45" t="n">
        <v>46043</v>
      </c>
      <c r="C183" s="46" t="n">
        <v>1724</v>
      </c>
      <c r="D183" s="46" t="inlineStr">
        <is>
          <t>المكتب</t>
        </is>
      </c>
      <c r="E183" s="46" t="inlineStr">
        <is>
          <t>1*20</t>
        </is>
      </c>
      <c r="F183" s="46" t="inlineStr">
        <is>
          <t>السويدي بوليمارز</t>
        </is>
      </c>
      <c r="G183" s="46" t="inlineStr">
        <is>
          <t>العاشر</t>
        </is>
      </c>
      <c r="H183" s="46" t="inlineStr">
        <is>
          <t>200170/7</t>
        </is>
      </c>
      <c r="I183" s="46" t="inlineStr">
        <is>
          <t>س ع م 8737</t>
        </is>
      </c>
      <c r="J183" s="46" t="inlineStr">
        <is>
          <t xml:space="preserve">محمود بكر </t>
        </is>
      </c>
      <c r="K183" s="46" t="inlineStr">
        <is>
          <t>المكتب</t>
        </is>
      </c>
      <c r="L183" s="47" t="n">
        <v>14500</v>
      </c>
      <c r="M183" s="47" t="n">
        <v>7000</v>
      </c>
      <c r="N183" s="47" t="n"/>
      <c r="O183" s="47" t="n"/>
      <c r="P183" s="47" t="n"/>
      <c r="Q183" s="47" t="n">
        <v>7500</v>
      </c>
      <c r="R183" s="43">
        <f>IF($B183="","",N($S183)-N($Q183))</f>
        <v/>
      </c>
      <c r="S183" s="43">
        <f>IF($B183="","",N($L183)+N($N183)+N($P183))</f>
        <v/>
      </c>
      <c r="T183" s="47" t="n">
        <v>1500</v>
      </c>
      <c r="U183" s="47" t="n">
        <v>600</v>
      </c>
      <c r="V183" s="47" t="n"/>
      <c r="W183" s="47" t="n">
        <v>150</v>
      </c>
      <c r="X183" s="47" t="n">
        <v>130</v>
      </c>
      <c r="Y183" s="47" t="n">
        <v>60</v>
      </c>
      <c r="Z183" s="47" t="n"/>
      <c r="AA183" s="47" t="n"/>
      <c r="AB183" s="47" t="n"/>
      <c r="AC183" s="47" t="n">
        <v>730</v>
      </c>
      <c r="AD183" s="47" t="n">
        <v>250</v>
      </c>
      <c r="AE183" s="47" t="n">
        <v>3500</v>
      </c>
      <c r="AF183" s="43">
        <f>IF($B183="","",SUM($T183:$AE183))</f>
        <v/>
      </c>
      <c r="AG183" s="43">
        <f>IF($B183="","",N($M183)-N($AF183))</f>
        <v/>
      </c>
      <c r="AH183" s="43">
        <f>IF($B183="","",N($L183)-N($AF183))</f>
        <v/>
      </c>
      <c r="AI183" s="149">
        <f>IF($B183="","",IF(N($L183)=0,"",(N($L183)-N($AF183))/N($L183)))</f>
        <v/>
      </c>
    </row>
    <row r="184">
      <c r="A184" s="39">
        <f>IF($B184="","",COUNTA($B$4:$B184))</f>
        <v/>
      </c>
      <c r="B184" s="40" t="n">
        <v>46044</v>
      </c>
      <c r="C184" s="41" t="n">
        <v>1753</v>
      </c>
      <c r="D184" s="41" t="inlineStr">
        <is>
          <t>المكتب</t>
        </is>
      </c>
      <c r="E184" s="41" t="inlineStr">
        <is>
          <t>2*20</t>
        </is>
      </c>
      <c r="F184" s="41" t="inlineStr">
        <is>
          <t xml:space="preserve">لوجيا </t>
        </is>
      </c>
      <c r="G184" s="41" t="inlineStr">
        <is>
          <t>الصف</t>
        </is>
      </c>
      <c r="H184" s="41" t="inlineStr">
        <is>
          <t>306953/2-543156/2</t>
        </is>
      </c>
      <c r="I184" s="41" t="inlineStr">
        <is>
          <t>س ع م 8737</t>
        </is>
      </c>
      <c r="J184" s="41" t="inlineStr">
        <is>
          <t xml:space="preserve">محمود بكر </t>
        </is>
      </c>
      <c r="K184" s="41" t="inlineStr">
        <is>
          <t>المكتب</t>
        </is>
      </c>
      <c r="L184" s="42" t="n">
        <v>24000</v>
      </c>
      <c r="M184" s="42" t="n">
        <v>10000</v>
      </c>
      <c r="N184" s="42" t="n"/>
      <c r="O184" s="42" t="n"/>
      <c r="P184" s="42" t="n"/>
      <c r="Q184" s="42" t="n">
        <v>14000</v>
      </c>
      <c r="R184" s="43">
        <f>IF($B184="","",N($S184)-N($Q184))</f>
        <v/>
      </c>
      <c r="S184" s="43">
        <f>IF($B184="","",N($L184)+N($N184)+N($P184))</f>
        <v/>
      </c>
      <c r="T184" s="42" t="n">
        <v>1900</v>
      </c>
      <c r="U184" s="42" t="n">
        <v>800</v>
      </c>
      <c r="V184" s="42" t="n">
        <v>350</v>
      </c>
      <c r="W184" s="42" t="n">
        <v>200</v>
      </c>
      <c r="X184" s="42" t="n">
        <v>185</v>
      </c>
      <c r="Y184" s="42" t="n">
        <v>60</v>
      </c>
      <c r="Z184" s="42" t="n"/>
      <c r="AA184" s="42" t="n"/>
      <c r="AB184" s="42" t="n"/>
      <c r="AC184" s="42" t="n">
        <v>400</v>
      </c>
      <c r="AD184" s="42" t="n"/>
      <c r="AE184" s="42" t="n">
        <v>5300</v>
      </c>
      <c r="AF184" s="43">
        <f>IF($B184="","",SUM($T184:$AE184))</f>
        <v/>
      </c>
      <c r="AG184" s="43">
        <f>IF($B184="","",N($M184)-N($AF184))</f>
        <v/>
      </c>
      <c r="AH184" s="43">
        <f>IF($B184="","",N($L184)-N($AF184))</f>
        <v/>
      </c>
      <c r="AI184" s="149">
        <f>IF($B184="","",IF(N($L184)=0,"",(N($L184)-N($AF184))/N($L184)))</f>
        <v/>
      </c>
    </row>
    <row r="185">
      <c r="A185" s="39">
        <f>IF($B185="","",COUNTA($B$4:$B185))</f>
        <v/>
      </c>
      <c r="B185" s="45" t="n">
        <v>46044</v>
      </c>
      <c r="C185" s="46" t="n">
        <v>1737</v>
      </c>
      <c r="D185" s="46" t="inlineStr">
        <is>
          <t>صعيدى 1 خ</t>
        </is>
      </c>
      <c r="E185" s="46" t="inlineStr">
        <is>
          <t>2*20</t>
        </is>
      </c>
      <c r="F185" s="46" t="inlineStr">
        <is>
          <t xml:space="preserve">لوجيا </t>
        </is>
      </c>
      <c r="G185" s="46" t="inlineStr">
        <is>
          <t>الصف</t>
        </is>
      </c>
      <c r="H185" s="46" t="inlineStr">
        <is>
          <t>205069/4-316624/2</t>
        </is>
      </c>
      <c r="I185" s="46" t="inlineStr">
        <is>
          <t>س ه ف 1874</t>
        </is>
      </c>
      <c r="J185" s="46" t="inlineStr">
        <is>
          <t xml:space="preserve">هانى عزت </t>
        </is>
      </c>
      <c r="K185" s="46" t="inlineStr">
        <is>
          <t xml:space="preserve">محمد الصعيدى </t>
        </is>
      </c>
      <c r="L185" s="47" t="n">
        <v>24000</v>
      </c>
      <c r="M185" s="47" t="n">
        <v>11100</v>
      </c>
      <c r="N185" s="47" t="n"/>
      <c r="O185" s="47" t="n">
        <v>200</v>
      </c>
      <c r="P185" s="47" t="n"/>
      <c r="Q185" s="47" t="n">
        <v>12700</v>
      </c>
      <c r="R185" s="43">
        <f>IF($B185="","",N($S185)-N($Q185))</f>
        <v/>
      </c>
      <c r="S185" s="43">
        <f>IF($B185="","",N($L185)+N($N185)+N($P185))</f>
        <v/>
      </c>
      <c r="T185" s="47" t="n"/>
      <c r="U185" s="47" t="n"/>
      <c r="V185" s="47" t="n"/>
      <c r="W185" s="47" t="n"/>
      <c r="X185" s="47" t="n"/>
      <c r="Y185" s="47" t="n"/>
      <c r="Z185" s="47" t="n"/>
      <c r="AA185" s="47" t="n"/>
      <c r="AB185" s="47" t="n"/>
      <c r="AC185" s="47" t="n"/>
      <c r="AD185" s="47" t="n"/>
      <c r="AE185" s="47" t="n"/>
      <c r="AF185" s="43">
        <f>IF($B185="","",SUM($T185:$AE185))</f>
        <v/>
      </c>
      <c r="AG185" s="43">
        <f>IF($B185="","",N($M185)-N($AF185))</f>
        <v/>
      </c>
      <c r="AH185" s="43">
        <f>IF($B185="","",N($L185)-N($AF185))</f>
        <v/>
      </c>
      <c r="AI185" s="149">
        <f>IF($B185="","",IF(N($L185)=0,"",(N($L185)-N($AF185))/N($L185)))</f>
        <v/>
      </c>
    </row>
    <row r="186">
      <c r="A186" s="39">
        <f>IF($B186="","",COUNTA($B$4:$B186))</f>
        <v/>
      </c>
      <c r="B186" s="40" t="n">
        <v>46044</v>
      </c>
      <c r="C186" s="41" t="n">
        <v>1736</v>
      </c>
      <c r="D186" s="41" t="inlineStr">
        <is>
          <t>صعيدى 1 خ</t>
        </is>
      </c>
      <c r="E186" s="41" t="inlineStr">
        <is>
          <t>2*20</t>
        </is>
      </c>
      <c r="F186" s="41" t="inlineStr">
        <is>
          <t xml:space="preserve">لوجيا </t>
        </is>
      </c>
      <c r="G186" s="41" t="inlineStr">
        <is>
          <t>الصف</t>
        </is>
      </c>
      <c r="H186" s="41" t="inlineStr">
        <is>
          <t>025489/0-080681/4</t>
        </is>
      </c>
      <c r="I186" s="41" t="inlineStr">
        <is>
          <t xml:space="preserve">3176 س ف ب </t>
        </is>
      </c>
      <c r="J186" s="41" t="inlineStr">
        <is>
          <t>السيد عبد العزيز</t>
        </is>
      </c>
      <c r="K186" s="41" t="inlineStr">
        <is>
          <t xml:space="preserve">محمد الصعيدى </t>
        </is>
      </c>
      <c r="L186" s="42" t="n">
        <v>24000</v>
      </c>
      <c r="M186" s="42" t="n">
        <v>11100</v>
      </c>
      <c r="N186" s="42" t="n"/>
      <c r="O186" s="42" t="n">
        <v>200</v>
      </c>
      <c r="P186" s="42" t="n"/>
      <c r="Q186" s="42" t="n">
        <v>12700</v>
      </c>
      <c r="R186" s="43">
        <f>IF($B186="","",N($S186)-N($Q186))</f>
        <v/>
      </c>
      <c r="S186" s="43">
        <f>IF($B186="","",N($L186)+N($N186)+N($P186))</f>
        <v/>
      </c>
      <c r="T186" s="42" t="n"/>
      <c r="U186" s="42" t="n"/>
      <c r="V186" s="42" t="n"/>
      <c r="W186" s="42" t="n"/>
      <c r="X186" s="42" t="n"/>
      <c r="Y186" s="42" t="n"/>
      <c r="Z186" s="42" t="n"/>
      <c r="AA186" s="42" t="n"/>
      <c r="AB186" s="42" t="n"/>
      <c r="AC186" s="42" t="n"/>
      <c r="AD186" s="42" t="n"/>
      <c r="AE186" s="42" t="n"/>
      <c r="AF186" s="43">
        <f>IF($B186="","",SUM($T186:$AE186))</f>
        <v/>
      </c>
      <c r="AG186" s="43">
        <f>IF($B186="","",N($M186)-N($AF186))</f>
        <v/>
      </c>
      <c r="AH186" s="43">
        <f>IF($B186="","",N($L186)-N($AF186))</f>
        <v/>
      </c>
      <c r="AI186" s="149">
        <f>IF($B186="","",IF(N($L186)=0,"",(N($L186)-N($AF186))/N($L186)))</f>
        <v/>
      </c>
    </row>
    <row r="187">
      <c r="A187" s="39">
        <f>IF($B187="","",COUNTA($B$4:$B187))</f>
        <v/>
      </c>
      <c r="B187" s="45" t="n">
        <v>46044</v>
      </c>
      <c r="C187" s="46" t="n">
        <v>1735</v>
      </c>
      <c r="D187" s="46" t="inlineStr">
        <is>
          <t>صعيدى 1 خ</t>
        </is>
      </c>
      <c r="E187" s="46" t="inlineStr">
        <is>
          <t>2*20</t>
        </is>
      </c>
      <c r="F187" s="46" t="inlineStr">
        <is>
          <t xml:space="preserve">لوجيا </t>
        </is>
      </c>
      <c r="G187" s="46" t="inlineStr">
        <is>
          <t>الصف</t>
        </is>
      </c>
      <c r="H187" s="46" t="inlineStr">
        <is>
          <t>379168/0-237486/7</t>
        </is>
      </c>
      <c r="I187" s="46" t="inlineStr">
        <is>
          <t>س ل ج 2521</t>
        </is>
      </c>
      <c r="J187" s="46" t="inlineStr">
        <is>
          <t xml:space="preserve">احمد القط </t>
        </is>
      </c>
      <c r="K187" s="46" t="inlineStr">
        <is>
          <t xml:space="preserve">محمد الصعيدى </t>
        </is>
      </c>
      <c r="L187" s="47" t="n">
        <v>24000</v>
      </c>
      <c r="M187" s="47" t="n">
        <v>11100</v>
      </c>
      <c r="N187" s="47" t="n"/>
      <c r="O187" s="47" t="n">
        <v>200</v>
      </c>
      <c r="P187" s="47" t="n"/>
      <c r="Q187" s="47" t="n">
        <v>12700</v>
      </c>
      <c r="R187" s="43">
        <f>IF($B187="","",N($S187)-N($Q187))</f>
        <v/>
      </c>
      <c r="S187" s="43">
        <f>IF($B187="","",N($L187)+N($N187)+N($P187))</f>
        <v/>
      </c>
      <c r="T187" s="47" t="n"/>
      <c r="U187" s="47" t="n"/>
      <c r="V187" s="47" t="n"/>
      <c r="W187" s="47" t="n"/>
      <c r="X187" s="47" t="n"/>
      <c r="Y187" s="47" t="n"/>
      <c r="Z187" s="47" t="n"/>
      <c r="AA187" s="47" t="n"/>
      <c r="AB187" s="47" t="n"/>
      <c r="AC187" s="47" t="n"/>
      <c r="AD187" s="47" t="n"/>
      <c r="AE187" s="47" t="n"/>
      <c r="AF187" s="43">
        <f>IF($B187="","",SUM($T187:$AE187))</f>
        <v/>
      </c>
      <c r="AG187" s="43">
        <f>IF($B187="","",N($M187)-N($AF187))</f>
        <v/>
      </c>
      <c r="AH187" s="43">
        <f>IF($B187="","",N($L187)-N($AF187))</f>
        <v/>
      </c>
      <c r="AI187" s="149">
        <f>IF($B187="","",IF(N($L187)=0,"",(N($L187)-N($AF187))/N($L187)))</f>
        <v/>
      </c>
    </row>
    <row r="188">
      <c r="A188" s="39">
        <f>IF($B188="","",COUNTA($B$4:$B188))</f>
        <v/>
      </c>
      <c r="B188" s="40" t="n">
        <v>46044</v>
      </c>
      <c r="C188" s="41" t="n">
        <v>1731</v>
      </c>
      <c r="D188" s="41" t="inlineStr">
        <is>
          <t>صعيدى 1 خ</t>
        </is>
      </c>
      <c r="E188" s="41" t="inlineStr">
        <is>
          <t>2*20</t>
        </is>
      </c>
      <c r="F188" s="41" t="inlineStr">
        <is>
          <t xml:space="preserve">لوجيا </t>
        </is>
      </c>
      <c r="G188" s="41" t="inlineStr">
        <is>
          <t>الصف</t>
        </is>
      </c>
      <c r="H188" s="41" t="inlineStr">
        <is>
          <t>213813/0-361610/9</t>
        </is>
      </c>
      <c r="I188" s="41" t="inlineStr">
        <is>
          <t>س ق ب 9283</t>
        </is>
      </c>
      <c r="J188" s="41" t="inlineStr">
        <is>
          <t xml:space="preserve">احمد محمد </t>
        </is>
      </c>
      <c r="K188" s="41" t="inlineStr">
        <is>
          <t xml:space="preserve">محمد الصعيدى </t>
        </is>
      </c>
      <c r="L188" s="42" t="n">
        <v>24000</v>
      </c>
      <c r="M188" s="42" t="n">
        <v>11100</v>
      </c>
      <c r="N188" s="42" t="n"/>
      <c r="O188" s="42" t="n">
        <v>200</v>
      </c>
      <c r="P188" s="42" t="n"/>
      <c r="Q188" s="42" t="n">
        <v>12700</v>
      </c>
      <c r="R188" s="43">
        <f>IF($B188="","",N($S188)-N($Q188))</f>
        <v/>
      </c>
      <c r="S188" s="43">
        <f>IF($B188="","",N($L188)+N($N188)+N($P188))</f>
        <v/>
      </c>
      <c r="T188" s="42" t="n"/>
      <c r="U188" s="42" t="n"/>
      <c r="V188" s="42" t="n"/>
      <c r="W188" s="42" t="n"/>
      <c r="X188" s="42" t="n"/>
      <c r="Y188" s="42" t="n"/>
      <c r="Z188" s="42" t="n"/>
      <c r="AA188" s="42" t="n"/>
      <c r="AB188" s="42" t="n"/>
      <c r="AC188" s="42" t="n"/>
      <c r="AD188" s="42" t="n"/>
      <c r="AE188" s="42" t="n"/>
      <c r="AF188" s="43">
        <f>IF($B188="","",SUM($T188:$AE188))</f>
        <v/>
      </c>
      <c r="AG188" s="43">
        <f>IF($B188="","",N($M188)-N($AF188))</f>
        <v/>
      </c>
      <c r="AH188" s="43">
        <f>IF($B188="","",N($L188)-N($AF188))</f>
        <v/>
      </c>
      <c r="AI188" s="149">
        <f>IF($B188="","",IF(N($L188)=0,"",(N($L188)-N($AF188))/N($L188)))</f>
        <v/>
      </c>
    </row>
    <row r="189">
      <c r="A189" s="39">
        <f>IF($B189="","",COUNTA($B$4:$B189))</f>
        <v/>
      </c>
      <c r="B189" s="45" t="n">
        <v>46044</v>
      </c>
      <c r="C189" s="46" t="n">
        <v>1732</v>
      </c>
      <c r="D189" s="46" t="inlineStr">
        <is>
          <t>حاتم البحر  ق</t>
        </is>
      </c>
      <c r="E189" s="46" t="inlineStr">
        <is>
          <t>2*20</t>
        </is>
      </c>
      <c r="F189" s="46" t="inlineStr">
        <is>
          <t xml:space="preserve">لوجيا </t>
        </is>
      </c>
      <c r="G189" s="46" t="inlineStr">
        <is>
          <t>الصف</t>
        </is>
      </c>
      <c r="H189" s="46" t="inlineStr">
        <is>
          <t>344213/4-088420/4</t>
        </is>
      </c>
      <c r="I189" s="46" t="inlineStr">
        <is>
          <t>س ر ا 6671</t>
        </is>
      </c>
      <c r="J189" s="46" t="inlineStr">
        <is>
          <t xml:space="preserve">السيد بدوى </t>
        </is>
      </c>
      <c r="K189" s="46" t="inlineStr">
        <is>
          <t xml:space="preserve">حمو مرزوق </t>
        </is>
      </c>
      <c r="L189" s="47" t="n">
        <v>24000</v>
      </c>
      <c r="M189" s="47" t="n">
        <v>13100</v>
      </c>
      <c r="N189" s="47" t="n"/>
      <c r="O189" s="47" t="n">
        <v>200</v>
      </c>
      <c r="P189" s="47" t="n"/>
      <c r="Q189" s="47" t="n">
        <v>10700</v>
      </c>
      <c r="R189" s="43">
        <f>IF($B189="","",N($S189)-N($Q189))</f>
        <v/>
      </c>
      <c r="S189" s="43">
        <f>IF($B189="","",N($L189)+N($N189)+N($P189))</f>
        <v/>
      </c>
      <c r="T189" s="47" t="n"/>
      <c r="U189" s="47" t="n"/>
      <c r="V189" s="47" t="n"/>
      <c r="W189" s="47" t="n"/>
      <c r="X189" s="47" t="n"/>
      <c r="Y189" s="47" t="n"/>
      <c r="Z189" s="47" t="n"/>
      <c r="AA189" s="47" t="n"/>
      <c r="AB189" s="47" t="n"/>
      <c r="AC189" s="47" t="n"/>
      <c r="AD189" s="47" t="n"/>
      <c r="AE189" s="47" t="n"/>
      <c r="AF189" s="43">
        <f>IF($B189="","",SUM($T189:$AE189))</f>
        <v/>
      </c>
      <c r="AG189" s="43">
        <f>IF($B189="","",N($M189)-N($AF189))</f>
        <v/>
      </c>
      <c r="AH189" s="43">
        <f>IF($B189="","",N($L189)-N($AF189))</f>
        <v/>
      </c>
      <c r="AI189" s="149">
        <f>IF($B189="","",IF(N($L189)=0,"",(N($L189)-N($AF189))/N($L189)))</f>
        <v/>
      </c>
    </row>
    <row r="190">
      <c r="A190" s="39">
        <f>IF($B190="","",COUNTA($B$4:$B190))</f>
        <v/>
      </c>
      <c r="B190" s="40" t="n">
        <v>46044</v>
      </c>
      <c r="C190" s="41" t="n">
        <v>1733</v>
      </c>
      <c r="D190" s="41" t="inlineStr">
        <is>
          <t>محمد عتمان</t>
        </is>
      </c>
      <c r="E190" s="41" t="inlineStr">
        <is>
          <t>2*20</t>
        </is>
      </c>
      <c r="F190" s="41" t="inlineStr">
        <is>
          <t xml:space="preserve">لوجيا </t>
        </is>
      </c>
      <c r="G190" s="41" t="inlineStr">
        <is>
          <t>الصف</t>
        </is>
      </c>
      <c r="H190" s="41" t="inlineStr">
        <is>
          <t>260501/9-477752/9</t>
        </is>
      </c>
      <c r="I190" s="41" t="inlineStr">
        <is>
          <t>ط ف ر 2313</t>
        </is>
      </c>
      <c r="J190" s="41" t="inlineStr">
        <is>
          <t xml:space="preserve">ايمن رمضان </t>
        </is>
      </c>
      <c r="K190" s="41" t="inlineStr">
        <is>
          <t xml:space="preserve">ايمن رمضان </t>
        </is>
      </c>
      <c r="L190" s="42" t="n">
        <v>24000</v>
      </c>
      <c r="M190" s="42" t="n">
        <v>13100</v>
      </c>
      <c r="N190" s="42" t="n"/>
      <c r="O190" s="42" t="n">
        <v>200</v>
      </c>
      <c r="P190" s="42" t="n"/>
      <c r="Q190" s="42" t="n">
        <v>10700</v>
      </c>
      <c r="R190" s="43">
        <f>IF($B190="","",N($S190)-N($Q190))</f>
        <v/>
      </c>
      <c r="S190" s="43">
        <f>IF($B190="","",N($L190)+N($N190)+N($P190))</f>
        <v/>
      </c>
      <c r="T190" s="42" t="n"/>
      <c r="U190" s="42" t="n"/>
      <c r="V190" s="42" t="n"/>
      <c r="W190" s="42" t="n"/>
      <c r="X190" s="42" t="n"/>
      <c r="Y190" s="42" t="n"/>
      <c r="Z190" s="42" t="n"/>
      <c r="AA190" s="42" t="n"/>
      <c r="AB190" s="42" t="n"/>
      <c r="AC190" s="42" t="n"/>
      <c r="AD190" s="42" t="n"/>
      <c r="AE190" s="42" t="n"/>
      <c r="AF190" s="43">
        <f>IF($B190="","",SUM($T190:$AE190))</f>
        <v/>
      </c>
      <c r="AG190" s="43">
        <f>IF($B190="","",N($M190)-N($AF190))</f>
        <v/>
      </c>
      <c r="AH190" s="43">
        <f>IF($B190="","",N($L190)-N($AF190))</f>
        <v/>
      </c>
      <c r="AI190" s="149">
        <f>IF($B190="","",IF(N($L190)=0,"",(N($L190)-N($AF190))/N($L190)))</f>
        <v/>
      </c>
    </row>
    <row r="191">
      <c r="A191" s="39">
        <f>IF($B191="","",COUNTA($B$4:$B191))</f>
        <v/>
      </c>
      <c r="B191" s="45" t="n">
        <v>46044</v>
      </c>
      <c r="C191" s="46" t="n">
        <v>1727</v>
      </c>
      <c r="D191" s="46" t="inlineStr">
        <is>
          <t>احمد سونة</t>
        </is>
      </c>
      <c r="E191" s="46" t="inlineStr">
        <is>
          <t>2*20</t>
        </is>
      </c>
      <c r="F191" s="46" t="inlineStr">
        <is>
          <t xml:space="preserve">لوجيا </t>
        </is>
      </c>
      <c r="G191" s="46" t="inlineStr">
        <is>
          <t>الصف</t>
        </is>
      </c>
      <c r="H191" s="46" t="inlineStr">
        <is>
          <t>197472/4-047003/5</t>
        </is>
      </c>
      <c r="I191" s="46" t="inlineStr">
        <is>
          <t>ق ه و 1723</t>
        </is>
      </c>
      <c r="J191" s="46" t="inlineStr">
        <is>
          <t xml:space="preserve">عبد الرحمن محمد </t>
        </is>
      </c>
      <c r="K191" s="46" t="inlineStr">
        <is>
          <t xml:space="preserve">محمد صلاح </t>
        </is>
      </c>
      <c r="L191" s="47" t="n">
        <v>24000</v>
      </c>
      <c r="M191" s="47" t="n">
        <v>13100</v>
      </c>
      <c r="N191" s="47" t="n"/>
      <c r="O191" s="47" t="n">
        <v>200</v>
      </c>
      <c r="P191" s="47" t="n"/>
      <c r="Q191" s="47" t="n">
        <v>10700</v>
      </c>
      <c r="R191" s="43">
        <f>IF($B191="","",N($S191)-N($Q191))</f>
        <v/>
      </c>
      <c r="S191" s="43">
        <f>IF($B191="","",N($L191)+N($N191)+N($P191))</f>
        <v/>
      </c>
      <c r="T191" s="47" t="n"/>
      <c r="U191" s="47" t="n"/>
      <c r="V191" s="47" t="n"/>
      <c r="W191" s="47" t="n"/>
      <c r="X191" s="47" t="n"/>
      <c r="Y191" s="47" t="n"/>
      <c r="Z191" s="47" t="n"/>
      <c r="AA191" s="47" t="n"/>
      <c r="AB191" s="47" t="n"/>
      <c r="AC191" s="47" t="n"/>
      <c r="AD191" s="47" t="n"/>
      <c r="AE191" s="47" t="n"/>
      <c r="AF191" s="43">
        <f>IF($B191="","",SUM($T191:$AE191))</f>
        <v/>
      </c>
      <c r="AG191" s="43">
        <f>IF($B191="","",N($M191)-N($AF191))</f>
        <v/>
      </c>
      <c r="AH191" s="43">
        <f>IF($B191="","",N($L191)-N($AF191))</f>
        <v/>
      </c>
      <c r="AI191" s="149">
        <f>IF($B191="","",IF(N($L191)=0,"",(N($L191)-N($AF191))/N($L191)))</f>
        <v/>
      </c>
    </row>
    <row r="192">
      <c r="A192" s="39">
        <f>IF($B192="","",COUNTA($B$4:$B192))</f>
        <v/>
      </c>
      <c r="B192" s="40" t="n">
        <v>46044</v>
      </c>
      <c r="C192" s="41" t="n">
        <v>1730</v>
      </c>
      <c r="D192" s="41" t="inlineStr">
        <is>
          <t xml:space="preserve">حرز الله </t>
        </is>
      </c>
      <c r="E192" s="41" t="inlineStr">
        <is>
          <t>2*20</t>
        </is>
      </c>
      <c r="F192" s="41" t="inlineStr">
        <is>
          <t xml:space="preserve">لوجيا </t>
        </is>
      </c>
      <c r="G192" s="41" t="inlineStr">
        <is>
          <t>الصف</t>
        </is>
      </c>
      <c r="H192" s="41" t="inlineStr">
        <is>
          <t>364712/8-088989/1</t>
        </is>
      </c>
      <c r="I192" s="41" t="inlineStr">
        <is>
          <t>د ج ل 5323</t>
        </is>
      </c>
      <c r="J192" s="41" t="inlineStr">
        <is>
          <t xml:space="preserve">ايهاب محمد </t>
        </is>
      </c>
      <c r="K192" s="41" t="inlineStr">
        <is>
          <t xml:space="preserve">ايمن رمضان </t>
        </is>
      </c>
      <c r="L192" s="42" t="n">
        <v>24000</v>
      </c>
      <c r="M192" s="42" t="n">
        <v>13100</v>
      </c>
      <c r="N192" s="42" t="n"/>
      <c r="O192" s="42" t="n">
        <v>200</v>
      </c>
      <c r="P192" s="42" t="n"/>
      <c r="Q192" s="42" t="n">
        <v>10700</v>
      </c>
      <c r="R192" s="43">
        <f>IF($B192="","",N($S192)-N($Q192))</f>
        <v/>
      </c>
      <c r="S192" s="43">
        <f>IF($B192="","",N($L192)+N($N192)+N($P192))</f>
        <v/>
      </c>
      <c r="T192" s="42" t="n"/>
      <c r="U192" s="42" t="n"/>
      <c r="V192" s="42" t="n"/>
      <c r="W192" s="42" t="n"/>
      <c r="X192" s="42" t="n"/>
      <c r="Y192" s="42" t="n"/>
      <c r="Z192" s="42" t="n"/>
      <c r="AA192" s="42" t="n"/>
      <c r="AB192" s="42" t="n"/>
      <c r="AC192" s="42" t="n"/>
      <c r="AD192" s="42" t="n"/>
      <c r="AE192" s="42" t="n"/>
      <c r="AF192" s="43">
        <f>IF($B192="","",SUM($T192:$AE192))</f>
        <v/>
      </c>
      <c r="AG192" s="43">
        <f>IF($B192="","",N($M192)-N($AF192))</f>
        <v/>
      </c>
      <c r="AH192" s="43">
        <f>IF($B192="","",N($L192)-N($AF192))</f>
        <v/>
      </c>
      <c r="AI192" s="149">
        <f>IF($B192="","",IF(N($L192)=0,"",(N($L192)-N($AF192))/N($L192)))</f>
        <v/>
      </c>
    </row>
    <row r="193">
      <c r="A193" s="39">
        <f>IF($B193="","",COUNTA($B$4:$B193))</f>
        <v/>
      </c>
      <c r="B193" s="45" t="n">
        <v>46044</v>
      </c>
      <c r="C193" s="46" t="n">
        <v>1726</v>
      </c>
      <c r="D193" s="46" t="inlineStr">
        <is>
          <t>الانصارى خ</t>
        </is>
      </c>
      <c r="E193" s="46" t="inlineStr">
        <is>
          <t>2*20</t>
        </is>
      </c>
      <c r="F193" s="46" t="inlineStr">
        <is>
          <t xml:space="preserve">لوجيا </t>
        </is>
      </c>
      <c r="G193" s="46" t="inlineStr">
        <is>
          <t>الصف</t>
        </is>
      </c>
      <c r="H193" s="46" t="inlineStr">
        <is>
          <t>111836/3-148712/6</t>
        </is>
      </c>
      <c r="I193" s="46" t="inlineStr">
        <is>
          <t>ب د ف 7851</t>
        </is>
      </c>
      <c r="J193" s="46" t="inlineStr">
        <is>
          <t xml:space="preserve">عيد ابو العزم </t>
        </is>
      </c>
      <c r="K193" s="46" t="inlineStr">
        <is>
          <t xml:space="preserve">عيد ابو العزم </t>
        </is>
      </c>
      <c r="L193" s="47" t="n">
        <v>24000</v>
      </c>
      <c r="M193" s="47" t="n">
        <v>13100</v>
      </c>
      <c r="N193" s="47" t="n"/>
      <c r="O193" s="47" t="n">
        <v>200</v>
      </c>
      <c r="P193" s="47" t="n"/>
      <c r="Q193" s="47" t="n">
        <v>10700</v>
      </c>
      <c r="R193" s="43">
        <f>IF($B193="","",N($S193)-N($Q193))</f>
        <v/>
      </c>
      <c r="S193" s="43">
        <f>IF($B193="","",N($L193)+N($N193)+N($P193))</f>
        <v/>
      </c>
      <c r="T193" s="47" t="n"/>
      <c r="U193" s="47" t="n"/>
      <c r="V193" s="47" t="n"/>
      <c r="W193" s="47" t="n"/>
      <c r="X193" s="47" t="n"/>
      <c r="Y193" s="47" t="n"/>
      <c r="Z193" s="47" t="n"/>
      <c r="AA193" s="47" t="n"/>
      <c r="AB193" s="47" t="n"/>
      <c r="AC193" s="47" t="n"/>
      <c r="AD193" s="47" t="n"/>
      <c r="AE193" s="47" t="n"/>
      <c r="AF193" s="43">
        <f>IF($B193="","",SUM($T193:$AE193))</f>
        <v/>
      </c>
      <c r="AG193" s="43">
        <f>IF($B193="","",N($M193)-N($AF193))</f>
        <v/>
      </c>
      <c r="AH193" s="43">
        <f>IF($B193="","",N($L193)-N($AF193))</f>
        <v/>
      </c>
      <c r="AI193" s="149">
        <f>IF($B193="","",IF(N($L193)=0,"",(N($L193)-N($AF193))/N($L193)))</f>
        <v/>
      </c>
    </row>
    <row r="194">
      <c r="A194" s="39">
        <f>IF($B194="","",COUNTA($B$4:$B194))</f>
        <v/>
      </c>
      <c r="B194" s="40" t="n">
        <v>46044</v>
      </c>
      <c r="C194" s="41" t="n">
        <v>1734</v>
      </c>
      <c r="D194" s="41" t="inlineStr">
        <is>
          <t>الشريف خ</t>
        </is>
      </c>
      <c r="E194" s="41" t="inlineStr">
        <is>
          <t>2*20</t>
        </is>
      </c>
      <c r="F194" s="41" t="inlineStr">
        <is>
          <t xml:space="preserve">لوجيا </t>
        </is>
      </c>
      <c r="G194" s="41" t="inlineStr">
        <is>
          <t>الصف</t>
        </is>
      </c>
      <c r="H194" s="41" t="inlineStr">
        <is>
          <t>024446/5-204760/2</t>
        </is>
      </c>
      <c r="I194" s="41" t="inlineStr">
        <is>
          <t>ب ج ط 5138</t>
        </is>
      </c>
      <c r="J194" s="41" t="inlineStr">
        <is>
          <t xml:space="preserve">هانى نبيل </t>
        </is>
      </c>
      <c r="K194" s="41" t="inlineStr">
        <is>
          <t xml:space="preserve">اشرف الحجرى </t>
        </is>
      </c>
      <c r="L194" s="42" t="n">
        <v>24000</v>
      </c>
      <c r="M194" s="42" t="n">
        <v>13100</v>
      </c>
      <c r="N194" s="42" t="n"/>
      <c r="O194" s="42" t="n">
        <v>200</v>
      </c>
      <c r="P194" s="42" t="n"/>
      <c r="Q194" s="42" t="n">
        <v>10700</v>
      </c>
      <c r="R194" s="43">
        <f>IF($B194="","",N($S194)-N($Q194))</f>
        <v/>
      </c>
      <c r="S194" s="43">
        <f>IF($B194="","",N($L194)+N($N194)+N($P194))</f>
        <v/>
      </c>
      <c r="T194" s="42" t="n"/>
      <c r="U194" s="42" t="n"/>
      <c r="V194" s="42" t="n"/>
      <c r="W194" s="42" t="n"/>
      <c r="X194" s="42" t="n"/>
      <c r="Y194" s="42" t="n"/>
      <c r="Z194" s="42" t="n"/>
      <c r="AA194" s="42" t="n"/>
      <c r="AB194" s="42" t="n"/>
      <c r="AC194" s="42" t="n"/>
      <c r="AD194" s="42" t="n"/>
      <c r="AE194" s="42" t="n"/>
      <c r="AF194" s="43">
        <f>IF($B194="","",SUM($T194:$AE194))</f>
        <v/>
      </c>
      <c r="AG194" s="43">
        <f>IF($B194="","",N($M194)-N($AF194))</f>
        <v/>
      </c>
      <c r="AH194" s="43">
        <f>IF($B194="","",N($L194)-N($AF194))</f>
        <v/>
      </c>
      <c r="AI194" s="149">
        <f>IF($B194="","",IF(N($L194)=0,"",(N($L194)-N($AF194))/N($L194)))</f>
        <v/>
      </c>
    </row>
    <row r="195">
      <c r="A195" s="39">
        <f>IF($B195="","",COUNTA($B$4:$B195))</f>
        <v/>
      </c>
      <c r="B195" s="45" t="n">
        <v>46044</v>
      </c>
      <c r="C195" s="46" t="n">
        <v>1752</v>
      </c>
      <c r="D195" s="46" t="inlineStr">
        <is>
          <t>عتريس مخيمر  خ</t>
        </is>
      </c>
      <c r="E195" s="46" t="inlineStr">
        <is>
          <t>2*20</t>
        </is>
      </c>
      <c r="F195" s="46" t="inlineStr">
        <is>
          <t xml:space="preserve">لوجيا </t>
        </is>
      </c>
      <c r="G195" s="46" t="inlineStr">
        <is>
          <t>الصف</t>
        </is>
      </c>
      <c r="H195" s="46" t="inlineStr">
        <is>
          <t>132113/8-365237/7</t>
        </is>
      </c>
      <c r="I195" s="46" t="inlineStr">
        <is>
          <t>ب ص ا 2574</t>
        </is>
      </c>
      <c r="J195" s="46" t="inlineStr">
        <is>
          <t xml:space="preserve">محمد البحيرى </t>
        </is>
      </c>
      <c r="K195" s="46" t="inlineStr">
        <is>
          <t xml:space="preserve">محمد البحيرى </t>
        </is>
      </c>
      <c r="L195" s="47" t="n">
        <v>24000</v>
      </c>
      <c r="M195" s="47" t="n">
        <v>13100</v>
      </c>
      <c r="N195" s="47" t="n"/>
      <c r="O195" s="47" t="n">
        <v>200</v>
      </c>
      <c r="P195" s="47" t="n"/>
      <c r="Q195" s="47" t="n">
        <v>10700</v>
      </c>
      <c r="R195" s="43">
        <f>IF($B195="","",N($S195)-N($Q195))</f>
        <v/>
      </c>
      <c r="S195" s="43">
        <f>IF($B195="","",N($L195)+N($N195)+N($P195))</f>
        <v/>
      </c>
      <c r="T195" s="47" t="n"/>
      <c r="U195" s="47" t="n"/>
      <c r="V195" s="47" t="n"/>
      <c r="W195" s="47" t="n"/>
      <c r="X195" s="47" t="n"/>
      <c r="Y195" s="47" t="n"/>
      <c r="Z195" s="47" t="n"/>
      <c r="AA195" s="47" t="n"/>
      <c r="AB195" s="47" t="n"/>
      <c r="AC195" s="47" t="n"/>
      <c r="AD195" s="47" t="n"/>
      <c r="AE195" s="47" t="n"/>
      <c r="AF195" s="43">
        <f>IF($B195="","",SUM($T195:$AE195))</f>
        <v/>
      </c>
      <c r="AG195" s="43">
        <f>IF($B195="","",N($M195)-N($AF195))</f>
        <v/>
      </c>
      <c r="AH195" s="43">
        <f>IF($B195="","",N($L195)-N($AF195))</f>
        <v/>
      </c>
      <c r="AI195" s="149">
        <f>IF($B195="","",IF(N($L195)=0,"",(N($L195)-N($AF195))/N($L195)))</f>
        <v/>
      </c>
    </row>
    <row r="196">
      <c r="A196" s="39">
        <f>IF($B196="","",COUNTA($B$4:$B196))</f>
        <v/>
      </c>
      <c r="B196" s="40" t="n">
        <v>46044</v>
      </c>
      <c r="C196" s="41" t="n">
        <v>1928</v>
      </c>
      <c r="D196" s="41" t="inlineStr">
        <is>
          <t xml:space="preserve">احمد محسن </t>
        </is>
      </c>
      <c r="E196" s="41" t="inlineStr">
        <is>
          <t>1*40</t>
        </is>
      </c>
      <c r="F196" s="41" t="inlineStr">
        <is>
          <t xml:space="preserve">لوجيك للاستثمار </t>
        </is>
      </c>
      <c r="G196" s="41" t="inlineStr">
        <is>
          <t xml:space="preserve">النوبارية </t>
        </is>
      </c>
      <c r="H196" s="41" t="inlineStr">
        <is>
          <t>839574/1</t>
        </is>
      </c>
      <c r="I196" s="41" t="inlineStr">
        <is>
          <t>س ع ا 7219</t>
        </is>
      </c>
      <c r="J196" s="41" t="inlineStr">
        <is>
          <t xml:space="preserve">طلعت محمد </t>
        </is>
      </c>
      <c r="K196" s="41" t="inlineStr">
        <is>
          <t xml:space="preserve">احمد محسن </t>
        </is>
      </c>
      <c r="L196" s="42" t="n">
        <v>10000</v>
      </c>
      <c r="M196" s="42" t="n">
        <v>6100</v>
      </c>
      <c r="N196" s="42" t="n"/>
      <c r="O196" s="42" t="n">
        <v>200</v>
      </c>
      <c r="P196" s="42" t="n"/>
      <c r="Q196" s="42" t="n">
        <v>3700</v>
      </c>
      <c r="R196" s="43">
        <f>IF($B196="","",N($S196)-N($Q196))</f>
        <v/>
      </c>
      <c r="S196" s="43">
        <f>IF($B196="","",N($L196)+N($N196)+N($P196))</f>
        <v/>
      </c>
      <c r="T196" s="42" t="n"/>
      <c r="U196" s="42" t="n"/>
      <c r="V196" s="42" t="n"/>
      <c r="W196" s="42" t="n"/>
      <c r="X196" s="42" t="n"/>
      <c r="Y196" s="42" t="n"/>
      <c r="Z196" s="42" t="n"/>
      <c r="AA196" s="42" t="n"/>
      <c r="AB196" s="42" t="n"/>
      <c r="AC196" s="42" t="n"/>
      <c r="AD196" s="42" t="n"/>
      <c r="AE196" s="42" t="n"/>
      <c r="AF196" s="43">
        <f>IF($B196="","",SUM($T196:$AE196))</f>
        <v/>
      </c>
      <c r="AG196" s="43">
        <f>IF($B196="","",N($M196)-N($AF196))</f>
        <v/>
      </c>
      <c r="AH196" s="43">
        <f>IF($B196="","",N($L196)-N($AF196))</f>
        <v/>
      </c>
      <c r="AI196" s="149">
        <f>IF($B196="","",IF(N($L196)=0,"",(N($L196)-N($AF196))/N($L196)))</f>
        <v/>
      </c>
    </row>
    <row r="197">
      <c r="A197" s="39">
        <f>IF($B197="","",COUNTA($B$4:$B197))</f>
        <v/>
      </c>
      <c r="B197" s="45" t="n">
        <v>46044</v>
      </c>
      <c r="C197" s="46" t="n">
        <v>1665</v>
      </c>
      <c r="D197" s="46" t="inlineStr">
        <is>
          <t>المكتب</t>
        </is>
      </c>
      <c r="E197" s="46" t="inlineStr">
        <is>
          <t>1*40</t>
        </is>
      </c>
      <c r="F197" s="46" t="inlineStr">
        <is>
          <t xml:space="preserve">بليسد تراى </t>
        </is>
      </c>
      <c r="G197" s="46" t="inlineStr">
        <is>
          <t>الاسماعيليه</t>
        </is>
      </c>
      <c r="H197" s="46" t="inlineStr">
        <is>
          <t>635882/7</t>
        </is>
      </c>
      <c r="I197" s="46" t="inlineStr">
        <is>
          <t>س ع م 8737</t>
        </is>
      </c>
      <c r="J197" s="46" t="inlineStr">
        <is>
          <t>محمود بكر</t>
        </is>
      </c>
      <c r="K197" s="46" t="inlineStr">
        <is>
          <t>المكتب</t>
        </is>
      </c>
      <c r="L197" s="47" t="n">
        <v>17000</v>
      </c>
      <c r="M197" s="47" t="n">
        <v>8000</v>
      </c>
      <c r="N197" s="47" t="n"/>
      <c r="O197" s="47" t="n"/>
      <c r="P197" s="47" t="n"/>
      <c r="Q197" s="47" t="n">
        <v>9000</v>
      </c>
      <c r="R197" s="43">
        <f>IF($B197="","",N($S197)-N($Q197))</f>
        <v/>
      </c>
      <c r="S197" s="43">
        <f>IF($B197="","",N($L197)+N($N197)+N($P197))</f>
        <v/>
      </c>
      <c r="T197" s="47" t="n">
        <v>1700</v>
      </c>
      <c r="U197" s="47" t="n">
        <v>650</v>
      </c>
      <c r="V197" s="47" t="n"/>
      <c r="W197" s="47" t="n">
        <v>150</v>
      </c>
      <c r="X197" s="47" t="n">
        <v>180</v>
      </c>
      <c r="Y197" s="47" t="n">
        <v>60</v>
      </c>
      <c r="Z197" s="47" t="n"/>
      <c r="AA197" s="47" t="n"/>
      <c r="AB197" s="47" t="n"/>
      <c r="AC197" s="47" t="n"/>
      <c r="AD197" s="47" t="n"/>
      <c r="AE197" s="47" t="n">
        <v>4500</v>
      </c>
      <c r="AF197" s="43">
        <f>IF($B197="","",SUM($T197:$AE197))</f>
        <v/>
      </c>
      <c r="AG197" s="43">
        <f>IF($B197="","",N($M197)-N($AF197))</f>
        <v/>
      </c>
      <c r="AH197" s="43">
        <f>IF($B197="","",N($L197)-N($AF197))</f>
        <v/>
      </c>
      <c r="AI197" s="149">
        <f>IF($B197="","",IF(N($L197)=0,"",(N($L197)-N($AF197))/N($L197)))</f>
        <v/>
      </c>
    </row>
    <row r="198">
      <c r="A198" s="39">
        <f>IF($B198="","",COUNTA($B$4:$B198))</f>
        <v/>
      </c>
      <c r="B198" s="40" t="n">
        <v>46044</v>
      </c>
      <c r="C198" s="41" t="n">
        <v>1664</v>
      </c>
      <c r="D198" s="41" t="inlineStr">
        <is>
          <t>الانصارى خ</t>
        </is>
      </c>
      <c r="E198" s="41" t="inlineStr">
        <is>
          <t>1*40</t>
        </is>
      </c>
      <c r="F198" s="41" t="inlineStr">
        <is>
          <t xml:space="preserve">بليسد تراى </t>
        </is>
      </c>
      <c r="G198" s="41" t="inlineStr">
        <is>
          <t>الاسماعيليه</t>
        </is>
      </c>
      <c r="H198" s="41" t="inlineStr">
        <is>
          <t>898047/2</t>
        </is>
      </c>
      <c r="I198" s="41" t="inlineStr">
        <is>
          <t>ب ص ا 2574</t>
        </is>
      </c>
      <c r="J198" s="41" t="inlineStr">
        <is>
          <t xml:space="preserve">محمد البحيرى </t>
        </is>
      </c>
      <c r="K198" s="41" t="inlineStr">
        <is>
          <t xml:space="preserve">احمد خليف </t>
        </is>
      </c>
      <c r="L198" s="42" t="n">
        <v>17000</v>
      </c>
      <c r="M198" s="42" t="n">
        <v>9100</v>
      </c>
      <c r="N198" s="42" t="n"/>
      <c r="O198" s="42" t="n">
        <v>200</v>
      </c>
      <c r="P198" s="42" t="n"/>
      <c r="Q198" s="42" t="n">
        <v>7700</v>
      </c>
      <c r="R198" s="43">
        <f>IF($B198="","",N($S198)-N($Q198))</f>
        <v/>
      </c>
      <c r="S198" s="43">
        <f>IF($B198="","",N($L198)+N($N198)+N($P198))</f>
        <v/>
      </c>
      <c r="T198" s="42" t="n"/>
      <c r="U198" s="42" t="n"/>
      <c r="V198" s="42" t="n"/>
      <c r="W198" s="42" t="n"/>
      <c r="X198" s="42" t="n"/>
      <c r="Y198" s="42" t="n"/>
      <c r="Z198" s="42" t="n"/>
      <c r="AA198" s="42" t="n"/>
      <c r="AB198" s="42" t="n"/>
      <c r="AC198" s="42" t="n"/>
      <c r="AD198" s="42" t="n"/>
      <c r="AE198" s="42" t="n"/>
      <c r="AF198" s="43">
        <f>IF($B198="","",SUM($T198:$AE198))</f>
        <v/>
      </c>
      <c r="AG198" s="43">
        <f>IF($B198="","",N($M198)-N($AF198))</f>
        <v/>
      </c>
      <c r="AH198" s="43">
        <f>IF($B198="","",N($L198)-N($AF198))</f>
        <v/>
      </c>
      <c r="AI198" s="149">
        <f>IF($B198="","",IF(N($L198)=0,"",(N($L198)-N($AF198))/N($L198)))</f>
        <v/>
      </c>
    </row>
    <row r="199">
      <c r="A199" s="39">
        <f>IF($B199="","",COUNTA($B$4:$B199))</f>
        <v/>
      </c>
      <c r="B199" s="45" t="n">
        <v>46044</v>
      </c>
      <c r="C199" s="46" t="n">
        <v>1725</v>
      </c>
      <c r="D199" s="46" t="n"/>
      <c r="E199" s="46" t="inlineStr">
        <is>
          <t>2*20</t>
        </is>
      </c>
      <c r="F199" s="46" t="inlineStr">
        <is>
          <t xml:space="preserve">الدولية للفحم </t>
        </is>
      </c>
      <c r="G199" s="46" t="inlineStr">
        <is>
          <t>ب العرب</t>
        </is>
      </c>
      <c r="H199" s="46" t="inlineStr">
        <is>
          <t>075721/5</t>
        </is>
      </c>
      <c r="I199" s="46" t="inlineStr">
        <is>
          <t>س م ب 1352</t>
        </is>
      </c>
      <c r="J199" s="46" t="inlineStr">
        <is>
          <t xml:space="preserve">قبارى محمد </t>
        </is>
      </c>
      <c r="K199" s="46" t="inlineStr">
        <is>
          <t xml:space="preserve">محمد رمضان </t>
        </is>
      </c>
      <c r="L199" s="47" t="n">
        <v>10000</v>
      </c>
      <c r="M199" s="47" t="n">
        <v>7000</v>
      </c>
      <c r="N199" s="47" t="n"/>
      <c r="O199" s="47" t="n"/>
      <c r="P199" s="47" t="n"/>
      <c r="Q199" s="47" t="n">
        <v>3000</v>
      </c>
      <c r="R199" s="43">
        <f>IF($B199="","",N($S199)-N($Q199))</f>
        <v/>
      </c>
      <c r="S199" s="43">
        <f>IF($B199="","",N($L199)+N($N199)+N($P199))</f>
        <v/>
      </c>
      <c r="T199" s="47" t="n"/>
      <c r="U199" s="47" t="n"/>
      <c r="V199" s="47" t="n"/>
      <c r="W199" s="47" t="n"/>
      <c r="X199" s="47" t="n"/>
      <c r="Y199" s="47" t="n"/>
      <c r="Z199" s="47" t="n"/>
      <c r="AA199" s="47" t="n"/>
      <c r="AB199" s="47" t="n"/>
      <c r="AC199" s="47" t="n"/>
      <c r="AD199" s="47" t="n"/>
      <c r="AE199" s="47" t="n"/>
      <c r="AF199" s="43">
        <f>IF($B199="","",SUM($T199:$AE199))</f>
        <v/>
      </c>
      <c r="AG199" s="43">
        <f>IF($B199="","",N($M199)-N($AF199))</f>
        <v/>
      </c>
      <c r="AH199" s="43">
        <f>IF($B199="","",N($L199)-N($AF199))</f>
        <v/>
      </c>
      <c r="AI199" s="149">
        <f>IF($B199="","",IF(N($L199)=0,"",(N($L199)-N($AF199))/N($L199)))</f>
        <v/>
      </c>
    </row>
    <row r="200">
      <c r="A200" s="39">
        <f>IF($B200="","",COUNTA($B$4:$B200))</f>
        <v/>
      </c>
      <c r="B200" s="40" t="n">
        <v>46044</v>
      </c>
      <c r="C200" s="41" t="n">
        <v>1729</v>
      </c>
      <c r="D200" s="41" t="inlineStr">
        <is>
          <t>الفرجانى</t>
        </is>
      </c>
      <c r="E200" s="41" t="inlineStr">
        <is>
          <t>1*40 ث</t>
        </is>
      </c>
      <c r="F200" s="41" t="inlineStr">
        <is>
          <t>المجد</t>
        </is>
      </c>
      <c r="G200" s="41" t="inlineStr">
        <is>
          <t xml:space="preserve">النوبارية </t>
        </is>
      </c>
      <c r="H200" s="41" t="inlineStr">
        <is>
          <t>101690/3</t>
        </is>
      </c>
      <c r="I200" s="41" t="inlineStr">
        <is>
          <t>س م ص 1193</t>
        </is>
      </c>
      <c r="J200" s="41" t="inlineStr">
        <is>
          <t>محمد محروس</t>
        </is>
      </c>
      <c r="K200" s="41" t="inlineStr">
        <is>
          <t xml:space="preserve">الفرجانى </t>
        </is>
      </c>
      <c r="L200" s="42" t="n">
        <v>11000</v>
      </c>
      <c r="M200" s="42" t="n">
        <v>5100</v>
      </c>
      <c r="N200" s="42" t="n"/>
      <c r="O200" s="42" t="n">
        <v>200</v>
      </c>
      <c r="P200" s="42" t="n"/>
      <c r="Q200" s="42" t="n">
        <v>5700</v>
      </c>
      <c r="R200" s="43">
        <f>IF($B200="","",N($S200)-N($Q200))</f>
        <v/>
      </c>
      <c r="S200" s="43">
        <f>IF($B200="","",N($L200)+N($N200)+N($P200))</f>
        <v/>
      </c>
      <c r="T200" s="42" t="n"/>
      <c r="U200" s="42" t="n"/>
      <c r="V200" s="42" t="n"/>
      <c r="W200" s="42" t="n"/>
      <c r="X200" s="42" t="n"/>
      <c r="Y200" s="42" t="n"/>
      <c r="Z200" s="42" t="n"/>
      <c r="AA200" s="42" t="n"/>
      <c r="AB200" s="42" t="n"/>
      <c r="AC200" s="42" t="n"/>
      <c r="AD200" s="42" t="n"/>
      <c r="AE200" s="42" t="n"/>
      <c r="AF200" s="43">
        <f>IF($B200="","",SUM($T200:$AE200))</f>
        <v/>
      </c>
      <c r="AG200" s="43">
        <f>IF($B200="","",N($M200)-N($AF200))</f>
        <v/>
      </c>
      <c r="AH200" s="43">
        <f>IF($B200="","",N($L200)-N($AF200))</f>
        <v/>
      </c>
      <c r="AI200" s="149">
        <f>IF($B200="","",IF(N($L200)=0,"",(N($L200)-N($AF200))/N($L200)))</f>
        <v/>
      </c>
    </row>
    <row r="201">
      <c r="A201" s="39">
        <f>IF($B201="","",COUNTA($B$4:$B201))</f>
        <v/>
      </c>
      <c r="B201" s="45" t="n">
        <v>46044</v>
      </c>
      <c r="C201" s="46" t="n">
        <v>1728</v>
      </c>
      <c r="D201" s="46" t="inlineStr">
        <is>
          <t>الفرجانى</t>
        </is>
      </c>
      <c r="E201" s="46" t="inlineStr">
        <is>
          <t>1*40 ث</t>
        </is>
      </c>
      <c r="F201" s="46" t="inlineStr">
        <is>
          <t>المجد</t>
        </is>
      </c>
      <c r="G201" s="46" t="inlineStr">
        <is>
          <t xml:space="preserve">النوبارية </t>
        </is>
      </c>
      <c r="H201" s="46" t="inlineStr">
        <is>
          <t>101071/5</t>
        </is>
      </c>
      <c r="I201" s="46" t="inlineStr">
        <is>
          <t>س ق ب 8512</t>
        </is>
      </c>
      <c r="J201" s="46" t="inlineStr">
        <is>
          <t>كريم مصطفى</t>
        </is>
      </c>
      <c r="K201" s="46" t="inlineStr">
        <is>
          <t xml:space="preserve">الفرجانى </t>
        </is>
      </c>
      <c r="L201" s="47" t="n">
        <v>11000</v>
      </c>
      <c r="M201" s="47" t="n">
        <v>5100</v>
      </c>
      <c r="N201" s="47" t="n"/>
      <c r="O201" s="47" t="n">
        <v>200</v>
      </c>
      <c r="P201" s="47" t="n"/>
      <c r="Q201" s="47" t="n">
        <v>5700</v>
      </c>
      <c r="R201" s="43">
        <f>IF($B201="","",N($S201)-N($Q201))</f>
        <v/>
      </c>
      <c r="S201" s="43">
        <f>IF($B201="","",N($L201)+N($N201)+N($P201))</f>
        <v/>
      </c>
      <c r="T201" s="47" t="n"/>
      <c r="U201" s="47" t="n"/>
      <c r="V201" s="47" t="n"/>
      <c r="W201" s="47" t="n"/>
      <c r="X201" s="47" t="n"/>
      <c r="Y201" s="47" t="n"/>
      <c r="Z201" s="47" t="n"/>
      <c r="AA201" s="47" t="n"/>
      <c r="AB201" s="47" t="n"/>
      <c r="AC201" s="47" t="n"/>
      <c r="AD201" s="47" t="n"/>
      <c r="AE201" s="47" t="n"/>
      <c r="AF201" s="43">
        <f>IF($B201="","",SUM($T201:$AE201))</f>
        <v/>
      </c>
      <c r="AG201" s="43">
        <f>IF($B201="","",N($M201)-N($AF201))</f>
        <v/>
      </c>
      <c r="AH201" s="43">
        <f>IF($B201="","",N($L201)-N($AF201))</f>
        <v/>
      </c>
      <c r="AI201" s="149">
        <f>IF($B201="","",IF(N($L201)=0,"",(N($L201)-N($AF201))/N($L201)))</f>
        <v/>
      </c>
    </row>
    <row r="202">
      <c r="A202" s="39">
        <f>IF($B202="","",COUNTA($B$4:$B202))</f>
        <v/>
      </c>
      <c r="B202" s="40" t="n">
        <v>46046</v>
      </c>
      <c r="C202" s="41" t="n">
        <v>1739</v>
      </c>
      <c r="D202" s="41" t="inlineStr">
        <is>
          <t>ايوب خ</t>
        </is>
      </c>
      <c r="E202" s="41" t="inlineStr">
        <is>
          <t>1*20</t>
        </is>
      </c>
      <c r="F202" s="41" t="inlineStr">
        <is>
          <t xml:space="preserve">جرين اب </t>
        </is>
      </c>
      <c r="G202" s="41" t="inlineStr">
        <is>
          <t xml:space="preserve">ب سويف </t>
        </is>
      </c>
      <c r="H202" s="41" t="inlineStr">
        <is>
          <t>339054/7</t>
        </is>
      </c>
      <c r="I202" s="41" t="inlineStr">
        <is>
          <t>ب د ن 5863</t>
        </is>
      </c>
      <c r="J202" s="41" t="inlineStr">
        <is>
          <t xml:space="preserve">احمد محمد </t>
        </is>
      </c>
      <c r="K202" s="41" t="inlineStr">
        <is>
          <t xml:space="preserve">ايوب </t>
        </is>
      </c>
      <c r="L202" s="42" t="n">
        <v>14500</v>
      </c>
      <c r="M202" s="42" t="n">
        <v>7600</v>
      </c>
      <c r="N202" s="42" t="n"/>
      <c r="O202" s="42" t="n">
        <v>200</v>
      </c>
      <c r="P202" s="42" t="n"/>
      <c r="Q202" s="42" t="n">
        <v>6700</v>
      </c>
      <c r="R202" s="43">
        <f>IF($B202="","",N($S202)-N($Q202))</f>
        <v/>
      </c>
      <c r="S202" s="43">
        <f>IF($B202="","",N($L202)+N($N202)+N($P202))</f>
        <v/>
      </c>
      <c r="T202" s="42" t="n"/>
      <c r="U202" s="42" t="n"/>
      <c r="V202" s="42" t="n"/>
      <c r="W202" s="42" t="n"/>
      <c r="X202" s="42" t="n"/>
      <c r="Y202" s="42" t="n"/>
      <c r="Z202" s="42" t="n"/>
      <c r="AA202" s="42" t="n"/>
      <c r="AB202" s="42" t="n"/>
      <c r="AC202" s="42" t="n"/>
      <c r="AD202" s="42" t="n"/>
      <c r="AE202" s="42" t="n"/>
      <c r="AF202" s="43">
        <f>IF($B202="","",SUM($T202:$AE202))</f>
        <v/>
      </c>
      <c r="AG202" s="43">
        <f>IF($B202="","",N($M202)-N($AF202))</f>
        <v/>
      </c>
      <c r="AH202" s="43">
        <f>IF($B202="","",N($L202)-N($AF202))</f>
        <v/>
      </c>
      <c r="AI202" s="149">
        <f>IF($B202="","",IF(N($L202)=0,"",(N($L202)-N($AF202))/N($L202)))</f>
        <v/>
      </c>
    </row>
    <row r="203">
      <c r="A203" s="39">
        <f>IF($B203="","",COUNTA($B$4:$B203))</f>
        <v/>
      </c>
      <c r="B203" s="45" t="n">
        <v>46046</v>
      </c>
      <c r="C203" s="46" t="n">
        <v>1739</v>
      </c>
      <c r="D203" s="46" t="inlineStr">
        <is>
          <t>ايوب خ</t>
        </is>
      </c>
      <c r="E203" s="46" t="inlineStr">
        <is>
          <t>1*20</t>
        </is>
      </c>
      <c r="F203" s="46" t="inlineStr">
        <is>
          <t xml:space="preserve">الحناوي </t>
        </is>
      </c>
      <c r="G203" s="46" t="inlineStr">
        <is>
          <t xml:space="preserve">السادات </t>
        </is>
      </c>
      <c r="H203" s="46" t="inlineStr">
        <is>
          <t>165274/0</t>
        </is>
      </c>
      <c r="I203" s="46" t="inlineStr">
        <is>
          <t>ب ا ج 7235</t>
        </is>
      </c>
      <c r="J203" s="46" t="inlineStr">
        <is>
          <t xml:space="preserve">حسام محمد </t>
        </is>
      </c>
      <c r="K203" s="46" t="inlineStr">
        <is>
          <t xml:space="preserve">ايوب </t>
        </is>
      </c>
      <c r="L203" s="47" t="n">
        <v>11500</v>
      </c>
      <c r="M203" s="47" t="n">
        <v>6600</v>
      </c>
      <c r="N203" s="47" t="n"/>
      <c r="O203" s="47" t="n">
        <v>200</v>
      </c>
      <c r="P203" s="47" t="n"/>
      <c r="Q203" s="47" t="n">
        <v>4700</v>
      </c>
      <c r="R203" s="43">
        <f>IF($B203="","",N($S203)-N($Q203))</f>
        <v/>
      </c>
      <c r="S203" s="43">
        <f>IF($B203="","",N($L203)+N($N203)+N($P203))</f>
        <v/>
      </c>
      <c r="T203" s="47" t="n"/>
      <c r="U203" s="47" t="n"/>
      <c r="V203" s="47" t="n"/>
      <c r="W203" s="47" t="n"/>
      <c r="X203" s="47" t="n"/>
      <c r="Y203" s="47" t="n"/>
      <c r="Z203" s="47" t="n"/>
      <c r="AA203" s="47" t="n"/>
      <c r="AB203" s="47" t="n"/>
      <c r="AC203" s="47" t="n"/>
      <c r="AD203" s="47" t="n"/>
      <c r="AE203" s="47" t="n"/>
      <c r="AF203" s="43">
        <f>IF($B203="","",SUM($T203:$AE203))</f>
        <v/>
      </c>
      <c r="AG203" s="43">
        <f>IF($B203="","",N($M203)-N($AF203))</f>
        <v/>
      </c>
      <c r="AH203" s="43">
        <f>IF($B203="","",N($L203)-N($AF203))</f>
        <v/>
      </c>
      <c r="AI203" s="149">
        <f>IF($B203="","",IF(N($L203)=0,"",(N($L203)-N($AF203))/N($L203)))</f>
        <v/>
      </c>
    </row>
    <row r="204">
      <c r="A204" s="39">
        <f>IF($B204="","",COUNTA($B$4:$B204))</f>
        <v/>
      </c>
      <c r="B204" s="40" t="n">
        <v>46046</v>
      </c>
      <c r="C204" s="41" t="n">
        <v>1930</v>
      </c>
      <c r="D204" s="41" t="inlineStr">
        <is>
          <t>المكتب</t>
        </is>
      </c>
      <c r="E204" s="41" t="inlineStr">
        <is>
          <t>1*40 ث</t>
        </is>
      </c>
      <c r="F204" s="41" t="inlineStr">
        <is>
          <t xml:space="preserve">ماى فارم </t>
        </is>
      </c>
      <c r="G204" s="41" t="inlineStr">
        <is>
          <t xml:space="preserve">جمصة </t>
        </is>
      </c>
      <c r="H204" s="41" t="inlineStr">
        <is>
          <t>986351/0</t>
        </is>
      </c>
      <c r="I204" s="41" t="inlineStr">
        <is>
          <t>س ع م 8737</t>
        </is>
      </c>
      <c r="J204" s="41" t="inlineStr">
        <is>
          <t>محمود بكر</t>
        </is>
      </c>
      <c r="K204" s="41" t="inlineStr">
        <is>
          <t>المكتب</t>
        </is>
      </c>
      <c r="L204" s="42" t="n">
        <v>14000</v>
      </c>
      <c r="M204" s="42" t="n">
        <v>7000</v>
      </c>
      <c r="N204" s="42" t="n"/>
      <c r="O204" s="42" t="n"/>
      <c r="P204" s="42" t="n"/>
      <c r="Q204" s="42" t="n">
        <v>7000</v>
      </c>
      <c r="R204" s="43">
        <f>IF($B204="","",N($S204)-N($Q204))</f>
        <v/>
      </c>
      <c r="S204" s="43">
        <f>IF($B204="","",N($L204)+N($N204)+N($P204))</f>
        <v/>
      </c>
      <c r="T204" s="42" t="n">
        <v>1650</v>
      </c>
      <c r="U204" s="42" t="n">
        <v>650</v>
      </c>
      <c r="V204" s="42" t="n"/>
      <c r="W204" s="42" t="n">
        <v>150</v>
      </c>
      <c r="X204" s="42" t="n">
        <v>65</v>
      </c>
      <c r="Y204" s="42" t="n">
        <v>120</v>
      </c>
      <c r="Z204" s="42" t="n"/>
      <c r="AA204" s="42" t="n"/>
      <c r="AB204" s="42" t="n">
        <v>250</v>
      </c>
      <c r="AC204" s="42" t="n">
        <v>50</v>
      </c>
      <c r="AD204" s="42" t="n"/>
      <c r="AE204" s="42" t="n">
        <v>3500</v>
      </c>
      <c r="AF204" s="43">
        <f>IF($B204="","",SUM($T204:$AE204))</f>
        <v/>
      </c>
      <c r="AG204" s="43">
        <f>IF($B204="","",N($M204)-N($AF204))</f>
        <v/>
      </c>
      <c r="AH204" s="43">
        <f>IF($B204="","",N($L204)-N($AF204))</f>
        <v/>
      </c>
      <c r="AI204" s="149">
        <f>IF($B204="","",IF(N($L204)=0,"",(N($L204)-N($AF204))/N($L204)))</f>
        <v/>
      </c>
    </row>
    <row r="205">
      <c r="A205" s="39">
        <f>IF($B205="","",COUNTA($B$4:$B205))</f>
        <v/>
      </c>
      <c r="B205" s="45" t="n">
        <v>46046</v>
      </c>
      <c r="C205" s="46" t="n">
        <v>1929</v>
      </c>
      <c r="D205" s="46" t="inlineStr">
        <is>
          <t>حاتم البحر  ق</t>
        </is>
      </c>
      <c r="E205" s="46" t="inlineStr">
        <is>
          <t>1*20</t>
        </is>
      </c>
      <c r="F205" s="46" t="inlineStr">
        <is>
          <t xml:space="preserve">هيتاشى انرجى </t>
        </is>
      </c>
      <c r="G205" s="46" t="inlineStr">
        <is>
          <t xml:space="preserve">العاشر </t>
        </is>
      </c>
      <c r="H205" s="46" t="inlineStr">
        <is>
          <t>106172/0</t>
        </is>
      </c>
      <c r="I205" s="46" t="inlineStr">
        <is>
          <t>ب د ن 7459</t>
        </is>
      </c>
      <c r="J205" s="46" t="inlineStr">
        <is>
          <t xml:space="preserve">حامد سعيد </t>
        </is>
      </c>
      <c r="K205" s="46" t="inlineStr">
        <is>
          <t xml:space="preserve">روماني </t>
        </is>
      </c>
      <c r="L205" s="47" t="n">
        <v>11500</v>
      </c>
      <c r="M205" s="47" t="n">
        <v>8100</v>
      </c>
      <c r="N205" s="47" t="n"/>
      <c r="O205" s="47" t="n">
        <v>200</v>
      </c>
      <c r="P205" s="47" t="n"/>
      <c r="Q205" s="47" t="n">
        <v>3200</v>
      </c>
      <c r="R205" s="43">
        <f>IF($B205="","",N($S205)-N($Q205))</f>
        <v/>
      </c>
      <c r="S205" s="43">
        <f>IF($B205="","",N($L205)+N($N205)+N($P205))</f>
        <v/>
      </c>
      <c r="T205" s="47" t="n"/>
      <c r="U205" s="47" t="n"/>
      <c r="V205" s="47" t="n"/>
      <c r="W205" s="47" t="n"/>
      <c r="X205" s="47" t="n"/>
      <c r="Y205" s="47" t="n"/>
      <c r="Z205" s="47" t="n"/>
      <c r="AA205" s="47" t="n"/>
      <c r="AB205" s="47" t="n"/>
      <c r="AC205" s="47" t="n"/>
      <c r="AD205" s="47" t="n"/>
      <c r="AE205" s="47" t="n"/>
      <c r="AF205" s="43">
        <f>IF($B205="","",SUM($T205:$AE205))</f>
        <v/>
      </c>
      <c r="AG205" s="43">
        <f>IF($B205="","",N($M205)-N($AF205))</f>
        <v/>
      </c>
      <c r="AH205" s="43">
        <f>IF($B205="","",N($L205)-N($AF205))</f>
        <v/>
      </c>
      <c r="AI205" s="149">
        <f>IF($B205="","",IF(N($L205)=0,"",(N($L205)-N($AF205))/N($L205)))</f>
        <v/>
      </c>
    </row>
    <row r="206">
      <c r="A206" s="39">
        <f>IF($B206="","",COUNTA($B$4:$B206))</f>
        <v/>
      </c>
      <c r="B206" s="40" t="n">
        <v>46047</v>
      </c>
      <c r="C206" s="41" t="n">
        <v>1851</v>
      </c>
      <c r="D206" s="41" t="inlineStr">
        <is>
          <t>عتريس مخيمر  خ</t>
        </is>
      </c>
      <c r="E206" s="41" t="inlineStr">
        <is>
          <t>2*20</t>
        </is>
      </c>
      <c r="F206" s="41" t="inlineStr">
        <is>
          <t>م ب سويف</t>
        </is>
      </c>
      <c r="G206" s="41" t="inlineStr">
        <is>
          <t xml:space="preserve">ب سويف </t>
        </is>
      </c>
      <c r="H206" s="41" t="inlineStr">
        <is>
          <t>054691/0-318266/4</t>
        </is>
      </c>
      <c r="I206" s="41" t="inlineStr">
        <is>
          <t>ب ص ا 2574</t>
        </is>
      </c>
      <c r="J206" s="41" t="inlineStr">
        <is>
          <t xml:space="preserve">محمد البحيرى </t>
        </is>
      </c>
      <c r="K206" s="41" t="inlineStr">
        <is>
          <t xml:space="preserve">البحيرى </t>
        </is>
      </c>
      <c r="L206" s="42" t="n">
        <v>27000</v>
      </c>
      <c r="M206" s="42" t="n">
        <v>15100</v>
      </c>
      <c r="N206" s="42" t="n"/>
      <c r="O206" s="42" t="n">
        <v>200</v>
      </c>
      <c r="P206" s="42" t="n"/>
      <c r="Q206" s="42" t="n">
        <v>11700</v>
      </c>
      <c r="R206" s="43">
        <f>IF($B206="","",N($S206)-N($Q206))</f>
        <v/>
      </c>
      <c r="S206" s="43">
        <f>IF($B206="","",N($L206)+N($N206)+N($P206))</f>
        <v/>
      </c>
      <c r="T206" s="42" t="n"/>
      <c r="U206" s="42" t="n"/>
      <c r="V206" s="42" t="n"/>
      <c r="W206" s="42" t="n"/>
      <c r="X206" s="42" t="n"/>
      <c r="Y206" s="42" t="n"/>
      <c r="Z206" s="42" t="n"/>
      <c r="AA206" s="42" t="n"/>
      <c r="AB206" s="42" t="n"/>
      <c r="AC206" s="42" t="n"/>
      <c r="AD206" s="42" t="n"/>
      <c r="AE206" s="42" t="n"/>
      <c r="AF206" s="43">
        <f>IF($B206="","",SUM($T206:$AE206))</f>
        <v/>
      </c>
      <c r="AG206" s="43">
        <f>IF($B206="","",N($M206)-N($AF206))</f>
        <v/>
      </c>
      <c r="AH206" s="43">
        <f>IF($B206="","",N($L206)-N($AF206))</f>
        <v/>
      </c>
      <c r="AI206" s="149">
        <f>IF($B206="","",IF(N($L206)=0,"",(N($L206)-N($AF206))/N($L206)))</f>
        <v/>
      </c>
    </row>
    <row r="207">
      <c r="A207" s="39">
        <f>IF($B207="","",COUNTA($B$4:$B207))</f>
        <v/>
      </c>
      <c r="B207" s="45" t="n">
        <v>46047</v>
      </c>
      <c r="C207" s="46" t="n">
        <v>1852</v>
      </c>
      <c r="D207" s="46" t="inlineStr">
        <is>
          <t>عم فتحى</t>
        </is>
      </c>
      <c r="E207" s="46" t="inlineStr">
        <is>
          <t>2*20</t>
        </is>
      </c>
      <c r="F207" s="46" t="inlineStr">
        <is>
          <t xml:space="preserve">م ب سويف /ابو قير </t>
        </is>
      </c>
      <c r="G207" s="46" t="inlineStr">
        <is>
          <t xml:space="preserve">ب سويف </t>
        </is>
      </c>
      <c r="H207" s="46" t="inlineStr">
        <is>
          <t>228590/0-304688/4</t>
        </is>
      </c>
      <c r="I207" s="46" t="inlineStr">
        <is>
          <t>س ن ر 5945</t>
        </is>
      </c>
      <c r="J207" s="46" t="inlineStr">
        <is>
          <t xml:space="preserve">محمد السيد </t>
        </is>
      </c>
      <c r="K207" s="46" t="inlineStr">
        <is>
          <t>جبص</t>
        </is>
      </c>
      <c r="L207" s="47" t="n">
        <v>27000</v>
      </c>
      <c r="M207" s="47" t="n">
        <v>15100</v>
      </c>
      <c r="N207" s="47" t="n"/>
      <c r="O207" s="47" t="n">
        <v>200</v>
      </c>
      <c r="P207" s="47" t="n"/>
      <c r="Q207" s="47" t="n">
        <v>11700</v>
      </c>
      <c r="R207" s="43">
        <f>IF($B207="","",N($S207)-N($Q207))</f>
        <v/>
      </c>
      <c r="S207" s="43">
        <f>IF($B207="","",N($L207)+N($N207)+N($P207))</f>
        <v/>
      </c>
      <c r="T207" s="47" t="n"/>
      <c r="U207" s="47" t="n"/>
      <c r="V207" s="47" t="n"/>
      <c r="W207" s="47" t="n"/>
      <c r="X207" s="47" t="n"/>
      <c r="Y207" s="47" t="n"/>
      <c r="Z207" s="47" t="n"/>
      <c r="AA207" s="47" t="n"/>
      <c r="AB207" s="47" t="n"/>
      <c r="AC207" s="47" t="n"/>
      <c r="AD207" s="47" t="n"/>
      <c r="AE207" s="47" t="n"/>
      <c r="AF207" s="43">
        <f>IF($B207="","",SUM($T207:$AE207))</f>
        <v/>
      </c>
      <c r="AG207" s="43">
        <f>IF($B207="","",N($M207)-N($AF207))</f>
        <v/>
      </c>
      <c r="AH207" s="43">
        <f>IF($B207="","",N($L207)-N($AF207))</f>
        <v/>
      </c>
      <c r="AI207" s="149">
        <f>IF($B207="","",IF(N($L207)=0,"",(N($L207)-N($AF207))/N($L207)))</f>
        <v/>
      </c>
    </row>
    <row r="208">
      <c r="A208" s="39">
        <f>IF($B208="","",COUNTA($B$4:$B208))</f>
        <v/>
      </c>
      <c r="B208" s="40" t="n">
        <v>46047</v>
      </c>
      <c r="C208" s="41" t="n">
        <v>1754</v>
      </c>
      <c r="D208" s="41" t="inlineStr">
        <is>
          <t>حاتم البحر  ق</t>
        </is>
      </c>
      <c r="E208" s="41" t="inlineStr">
        <is>
          <t>1*20</t>
        </is>
      </c>
      <c r="F208" s="41" t="inlineStr">
        <is>
          <t>السويدي بوليمارز</t>
        </is>
      </c>
      <c r="G208" s="41" t="inlineStr">
        <is>
          <t>العاشر</t>
        </is>
      </c>
      <c r="H208" s="41" t="inlineStr">
        <is>
          <t>266554/8</t>
        </is>
      </c>
      <c r="I208" s="41" t="inlineStr">
        <is>
          <t>ب ج ع 4963</t>
        </is>
      </c>
      <c r="J208" s="41" t="inlineStr">
        <is>
          <t xml:space="preserve">محمود جمال </t>
        </is>
      </c>
      <c r="K208" s="41" t="inlineStr">
        <is>
          <t xml:space="preserve">روماني </t>
        </is>
      </c>
      <c r="L208" s="42" t="n">
        <v>13000</v>
      </c>
      <c r="M208" s="42" t="n">
        <v>8100</v>
      </c>
      <c r="N208" s="42" t="n"/>
      <c r="O208" s="42" t="n">
        <v>200</v>
      </c>
      <c r="P208" s="42" t="n"/>
      <c r="Q208" s="42" t="n">
        <v>4700</v>
      </c>
      <c r="R208" s="43">
        <f>IF($B208="","",N($S208)-N($Q208))</f>
        <v/>
      </c>
      <c r="S208" s="43">
        <f>IF($B208="","",N($L208)+N($N208)+N($P208))</f>
        <v/>
      </c>
      <c r="T208" s="42" t="n"/>
      <c r="U208" s="42" t="n"/>
      <c r="V208" s="42" t="n"/>
      <c r="W208" s="42" t="n"/>
      <c r="X208" s="42" t="n"/>
      <c r="Y208" s="42" t="n"/>
      <c r="Z208" s="42" t="n"/>
      <c r="AA208" s="42" t="n"/>
      <c r="AB208" s="42" t="n"/>
      <c r="AC208" s="42" t="n"/>
      <c r="AD208" s="42" t="n"/>
      <c r="AE208" s="42" t="n"/>
      <c r="AF208" s="43">
        <f>IF($B208="","",SUM($T208:$AE208))</f>
        <v/>
      </c>
      <c r="AG208" s="43">
        <f>IF($B208="","",N($M208)-N($AF208))</f>
        <v/>
      </c>
      <c r="AH208" s="43">
        <f>IF($B208="","",N($L208)-N($AF208))</f>
        <v/>
      </c>
      <c r="AI208" s="149">
        <f>IF($B208="","",IF(N($L208)=0,"",(N($L208)-N($AF208))/N($L208)))</f>
        <v/>
      </c>
    </row>
    <row r="209">
      <c r="A209" s="39">
        <f>IF($B209="","",COUNTA($B$4:$B209))</f>
        <v/>
      </c>
      <c r="B209" s="45" t="n">
        <v>46047</v>
      </c>
      <c r="C209" s="46" t="n">
        <v>1755</v>
      </c>
      <c r="D209" s="46" t="inlineStr">
        <is>
          <t xml:space="preserve">هاشم </t>
        </is>
      </c>
      <c r="E209" s="46" t="inlineStr">
        <is>
          <t>1*40</t>
        </is>
      </c>
      <c r="F209" s="46" t="inlineStr">
        <is>
          <t xml:space="preserve">او ان تى </t>
        </is>
      </c>
      <c r="G209" s="46" t="inlineStr">
        <is>
          <t xml:space="preserve">العاشر </t>
        </is>
      </c>
      <c r="H209" s="46" t="inlineStr">
        <is>
          <t>557774/9</t>
        </is>
      </c>
      <c r="I209" s="46" t="inlineStr">
        <is>
          <t>ص ع ا 5167</t>
        </is>
      </c>
      <c r="J209" s="46" t="inlineStr">
        <is>
          <t>عطية صبحى</t>
        </is>
      </c>
      <c r="K209" s="46" t="inlineStr">
        <is>
          <t xml:space="preserve">احمد عباس </t>
        </is>
      </c>
      <c r="L209" s="47" t="n">
        <v>14500</v>
      </c>
      <c r="M209" s="47" t="n">
        <v>8100</v>
      </c>
      <c r="N209" s="47" t="n"/>
      <c r="O209" s="47" t="n">
        <v>200</v>
      </c>
      <c r="P209" s="47" t="n"/>
      <c r="Q209" s="47" t="n">
        <v>6200</v>
      </c>
      <c r="R209" s="43">
        <f>IF($B209="","",N($S209)-N($Q209))</f>
        <v/>
      </c>
      <c r="S209" s="43">
        <f>IF($B209="","",N($L209)+N($N209)+N($P209))</f>
        <v/>
      </c>
      <c r="T209" s="47" t="n"/>
      <c r="U209" s="47" t="n"/>
      <c r="V209" s="47" t="n"/>
      <c r="W209" s="47" t="n"/>
      <c r="X209" s="47" t="n"/>
      <c r="Y209" s="47" t="n"/>
      <c r="Z209" s="47" t="n"/>
      <c r="AA209" s="47" t="n"/>
      <c r="AB209" s="47" t="n"/>
      <c r="AC209" s="47" t="n"/>
      <c r="AD209" s="47" t="n"/>
      <c r="AE209" s="47" t="n"/>
      <c r="AF209" s="43">
        <f>IF($B209="","",SUM($T209:$AE209))</f>
        <v/>
      </c>
      <c r="AG209" s="43">
        <f>IF($B209="","",N($M209)-N($AF209))</f>
        <v/>
      </c>
      <c r="AH209" s="43">
        <f>IF($B209="","",N($L209)-N($AF209))</f>
        <v/>
      </c>
      <c r="AI209" s="149">
        <f>IF($B209="","",IF(N($L209)=0,"",(N($L209)-N($AF209))/N($L209)))</f>
        <v/>
      </c>
    </row>
    <row r="210">
      <c r="A210" s="39">
        <f>IF($B210="","",COUNTA($B$4:$B210))</f>
        <v/>
      </c>
      <c r="B210" s="40" t="n">
        <v>46047</v>
      </c>
      <c r="C210" s="41" t="n">
        <v>1756</v>
      </c>
      <c r="D210" s="41" t="inlineStr">
        <is>
          <t>الشريف خ</t>
        </is>
      </c>
      <c r="E210" s="41" t="inlineStr">
        <is>
          <t>1*40</t>
        </is>
      </c>
      <c r="F210" s="41" t="inlineStr">
        <is>
          <t>السويدي بوليمارز</t>
        </is>
      </c>
      <c r="G210" s="41" t="inlineStr">
        <is>
          <t xml:space="preserve">العاشر </t>
        </is>
      </c>
      <c r="H210" s="41" t="inlineStr">
        <is>
          <t>385084/9</t>
        </is>
      </c>
      <c r="I210" s="41" t="inlineStr">
        <is>
          <t>ع س ا 8189</t>
        </is>
      </c>
      <c r="J210" s="41" t="inlineStr">
        <is>
          <t xml:space="preserve">رشاد اسماعيل </t>
        </is>
      </c>
      <c r="K210" s="41" t="inlineStr">
        <is>
          <t>محمد نصر</t>
        </is>
      </c>
      <c r="L210" s="42" t="n">
        <v>13000</v>
      </c>
      <c r="M210" s="42" t="n">
        <v>8100</v>
      </c>
      <c r="N210" s="42" t="n"/>
      <c r="O210" s="42" t="n">
        <v>200</v>
      </c>
      <c r="P210" s="42" t="n"/>
      <c r="Q210" s="42" t="n">
        <v>4700</v>
      </c>
      <c r="R210" s="43">
        <f>IF($B210="","",N($S210)-N($Q210))</f>
        <v/>
      </c>
      <c r="S210" s="43">
        <f>IF($B210="","",N($L210)+N($N210)+N($P210))</f>
        <v/>
      </c>
      <c r="T210" s="42" t="n"/>
      <c r="U210" s="42" t="n"/>
      <c r="V210" s="42" t="n"/>
      <c r="W210" s="42" t="n"/>
      <c r="X210" s="42" t="n"/>
      <c r="Y210" s="42" t="n"/>
      <c r="Z210" s="42" t="n"/>
      <c r="AA210" s="42" t="n"/>
      <c r="AB210" s="42" t="n"/>
      <c r="AC210" s="42" t="n"/>
      <c r="AD210" s="42" t="n"/>
      <c r="AE210" s="42" t="n"/>
      <c r="AF210" s="43">
        <f>IF($B210="","",SUM($T210:$AE210))</f>
        <v/>
      </c>
      <c r="AG210" s="43">
        <f>IF($B210="","",N($M210)-N($AF210))</f>
        <v/>
      </c>
      <c r="AH210" s="43">
        <f>IF($B210="","",N($L210)-N($AF210))</f>
        <v/>
      </c>
      <c r="AI210" s="149">
        <f>IF($B210="","",IF(N($L210)=0,"",(N($L210)-N($AF210))/N($L210)))</f>
        <v/>
      </c>
    </row>
    <row r="211">
      <c r="A211" s="39">
        <f>IF($B211="","",COUNTA($B$4:$B211))</f>
        <v/>
      </c>
      <c r="B211" s="45" t="n">
        <v>46047</v>
      </c>
      <c r="C211" s="46" t="n">
        <v>1757</v>
      </c>
      <c r="D211" s="46" t="inlineStr">
        <is>
          <t xml:space="preserve">حمو مرزوق </t>
        </is>
      </c>
      <c r="E211" s="46" t="inlineStr">
        <is>
          <t>1*40 ث</t>
        </is>
      </c>
      <c r="F211" s="46" t="inlineStr">
        <is>
          <t>الاسراء</t>
        </is>
      </c>
      <c r="G211" s="46" t="inlineStr">
        <is>
          <t>قها</t>
        </is>
      </c>
      <c r="H211" s="46" t="inlineStr">
        <is>
          <t>922630/1</t>
        </is>
      </c>
      <c r="I211" s="46" t="inlineStr">
        <is>
          <t>س ر ا 6671</t>
        </is>
      </c>
      <c r="J211" s="46" t="inlineStr">
        <is>
          <t xml:space="preserve">السيد مرسى </t>
        </is>
      </c>
      <c r="K211" s="46" t="inlineStr">
        <is>
          <t xml:space="preserve">حمو مرزوق </t>
        </is>
      </c>
      <c r="L211" s="47" t="n">
        <v>14000</v>
      </c>
      <c r="M211" s="47" t="n">
        <v>8100</v>
      </c>
      <c r="N211" s="47" t="n"/>
      <c r="O211" s="47" t="n">
        <v>200</v>
      </c>
      <c r="P211" s="47" t="n"/>
      <c r="Q211" s="47" t="n">
        <v>5700</v>
      </c>
      <c r="R211" s="43">
        <f>IF($B211="","",N($S211)-N($Q211))</f>
        <v/>
      </c>
      <c r="S211" s="43">
        <f>IF($B211="","",N($L211)+N($N211)+N($P211))</f>
        <v/>
      </c>
      <c r="T211" s="47" t="n"/>
      <c r="U211" s="47" t="n"/>
      <c r="V211" s="47" t="n"/>
      <c r="W211" s="47" t="n"/>
      <c r="X211" s="47" t="n"/>
      <c r="Y211" s="47" t="n"/>
      <c r="Z211" s="47" t="n"/>
      <c r="AA211" s="47" t="n"/>
      <c r="AB211" s="47" t="n"/>
      <c r="AC211" s="47" t="n"/>
      <c r="AD211" s="47" t="n"/>
      <c r="AE211" s="47" t="n"/>
      <c r="AF211" s="43">
        <f>IF($B211="","",SUM($T211:$AE211))</f>
        <v/>
      </c>
      <c r="AG211" s="43">
        <f>IF($B211="","",N($M211)-N($AF211))</f>
        <v/>
      </c>
      <c r="AH211" s="43">
        <f>IF($B211="","",N($L211)-N($AF211))</f>
        <v/>
      </c>
      <c r="AI211" s="149">
        <f>IF($B211="","",IF(N($L211)=0,"",(N($L211)-N($AF211))/N($L211)))</f>
        <v/>
      </c>
    </row>
    <row r="212">
      <c r="A212" s="39">
        <f>IF($B212="","",COUNTA($B$4:$B212))</f>
        <v/>
      </c>
      <c r="B212" s="40" t="n">
        <v>46047</v>
      </c>
      <c r="C212" s="41" t="n">
        <v>1758</v>
      </c>
      <c r="D212" s="41" t="inlineStr">
        <is>
          <t>مخزن</t>
        </is>
      </c>
      <c r="E212" s="41" t="inlineStr">
        <is>
          <t>1*40 ث</t>
        </is>
      </c>
      <c r="F212" s="41" t="inlineStr">
        <is>
          <t>الاسراء</t>
        </is>
      </c>
      <c r="G212" s="41" t="inlineStr">
        <is>
          <t>قها</t>
        </is>
      </c>
      <c r="H212" s="41" t="inlineStr">
        <is>
          <t>538937/2</t>
        </is>
      </c>
      <c r="I212" s="41" t="inlineStr">
        <is>
          <t>س ل ا 5468</t>
        </is>
      </c>
      <c r="J212" s="41" t="inlineStr">
        <is>
          <t>حسام الدين محمد</t>
        </is>
      </c>
      <c r="K212" s="41" t="inlineStr">
        <is>
          <t>احمد مخزن</t>
        </is>
      </c>
      <c r="L212" s="42" t="n">
        <v>14000</v>
      </c>
      <c r="M212" s="42" t="n">
        <v>8100</v>
      </c>
      <c r="N212" s="42" t="n"/>
      <c r="O212" s="42" t="n">
        <v>200</v>
      </c>
      <c r="P212" s="42" t="n"/>
      <c r="Q212" s="42" t="n">
        <v>5700</v>
      </c>
      <c r="R212" s="43">
        <f>IF($B212="","",N($S212)-N($Q212))</f>
        <v/>
      </c>
      <c r="S212" s="43">
        <f>IF($B212="","",N($L212)+N($N212)+N($P212))</f>
        <v/>
      </c>
      <c r="T212" s="42" t="n"/>
      <c r="U212" s="42" t="n"/>
      <c r="V212" s="42" t="n"/>
      <c r="W212" s="42" t="n"/>
      <c r="X212" s="42" t="n"/>
      <c r="Y212" s="42" t="n"/>
      <c r="Z212" s="42" t="n"/>
      <c r="AA212" s="42" t="n"/>
      <c r="AB212" s="42" t="n"/>
      <c r="AC212" s="42" t="n"/>
      <c r="AD212" s="42" t="n"/>
      <c r="AE212" s="42" t="n"/>
      <c r="AF212" s="43">
        <f>IF($B212="","",SUM($T212:$AE212))</f>
        <v/>
      </c>
      <c r="AG212" s="43">
        <f>IF($B212="","",N($M212)-N($AF212))</f>
        <v/>
      </c>
      <c r="AH212" s="43">
        <f>IF($B212="","",N($L212)-N($AF212))</f>
        <v/>
      </c>
      <c r="AI212" s="149">
        <f>IF($B212="","",IF(N($L212)=0,"",(N($L212)-N($AF212))/N($L212)))</f>
        <v/>
      </c>
    </row>
    <row r="213">
      <c r="A213" s="39">
        <f>IF($B213="","",COUNTA($B$4:$B213))</f>
        <v/>
      </c>
      <c r="B213" s="45" t="n">
        <v>46047</v>
      </c>
      <c r="C213" s="46" t="n">
        <v>1759</v>
      </c>
      <c r="D213" s="46" t="inlineStr">
        <is>
          <t xml:space="preserve">ابو مينا </t>
        </is>
      </c>
      <c r="E213" s="46" t="inlineStr">
        <is>
          <t>1*40 ث</t>
        </is>
      </c>
      <c r="F213" s="46" t="inlineStr">
        <is>
          <t>الاسراء</t>
        </is>
      </c>
      <c r="G213" s="46" t="inlineStr">
        <is>
          <t>قها</t>
        </is>
      </c>
      <c r="H213" s="46" t="inlineStr">
        <is>
          <t>535974/2</t>
        </is>
      </c>
      <c r="I213" s="46" t="inlineStr">
        <is>
          <t>ى ر ع 7945</t>
        </is>
      </c>
      <c r="J213" s="46" t="inlineStr">
        <is>
          <t xml:space="preserve">محمود </t>
        </is>
      </c>
      <c r="K213" s="46" t="inlineStr">
        <is>
          <t xml:space="preserve">ابو مينا </t>
        </is>
      </c>
      <c r="L213" s="47" t="n">
        <v>14000</v>
      </c>
      <c r="M213" s="47" t="n">
        <v>8100</v>
      </c>
      <c r="N213" s="47" t="n"/>
      <c r="O213" s="47" t="n">
        <v>200</v>
      </c>
      <c r="P213" s="47" t="n"/>
      <c r="Q213" s="47" t="n">
        <v>5700</v>
      </c>
      <c r="R213" s="43">
        <f>IF($B213="","",N($S213)-N($Q213))</f>
        <v/>
      </c>
      <c r="S213" s="43">
        <f>IF($B213="","",N($L213)+N($N213)+N($P213))</f>
        <v/>
      </c>
      <c r="T213" s="47" t="n"/>
      <c r="U213" s="47" t="n"/>
      <c r="V213" s="47" t="n"/>
      <c r="W213" s="47" t="n"/>
      <c r="X213" s="47" t="n"/>
      <c r="Y213" s="47" t="n"/>
      <c r="Z213" s="47" t="n"/>
      <c r="AA213" s="47" t="n"/>
      <c r="AB213" s="47" t="n"/>
      <c r="AC213" s="47" t="n"/>
      <c r="AD213" s="47" t="n"/>
      <c r="AE213" s="47" t="n"/>
      <c r="AF213" s="43">
        <f>IF($B213="","",SUM($T213:$AE213))</f>
        <v/>
      </c>
      <c r="AG213" s="43">
        <f>IF($B213="","",N($M213)-N($AF213))</f>
        <v/>
      </c>
      <c r="AH213" s="43">
        <f>IF($B213="","",N($L213)-N($AF213))</f>
        <v/>
      </c>
      <c r="AI213" s="149">
        <f>IF($B213="","",IF(N($L213)=0,"",(N($L213)-N($AF213))/N($L213)))</f>
        <v/>
      </c>
    </row>
    <row r="214">
      <c r="A214" s="39">
        <f>IF($B214="","",COUNTA($B$4:$B214))</f>
        <v/>
      </c>
      <c r="B214" s="40" t="n">
        <v>46047</v>
      </c>
      <c r="C214" s="41" t="n">
        <v>1760</v>
      </c>
      <c r="D214" s="41" t="inlineStr">
        <is>
          <t xml:space="preserve">ابو مينا </t>
        </is>
      </c>
      <c r="E214" s="41" t="inlineStr">
        <is>
          <t>1*40 ث</t>
        </is>
      </c>
      <c r="F214" s="41" t="inlineStr">
        <is>
          <t>الاسراء</t>
        </is>
      </c>
      <c r="G214" s="41" t="inlineStr">
        <is>
          <t>قها</t>
        </is>
      </c>
      <c r="H214" s="41" t="inlineStr">
        <is>
          <t>515982/6</t>
        </is>
      </c>
      <c r="I214" s="41" t="inlineStr">
        <is>
          <t>س ق ر 9974</t>
        </is>
      </c>
      <c r="J214" s="41" t="inlineStr">
        <is>
          <t xml:space="preserve">هشام جمال </t>
        </is>
      </c>
      <c r="K214" s="41" t="inlineStr">
        <is>
          <t xml:space="preserve">ابو مينا </t>
        </is>
      </c>
      <c r="L214" s="42" t="n">
        <v>14000</v>
      </c>
      <c r="M214" s="42" t="n">
        <v>8100</v>
      </c>
      <c r="N214" s="42" t="n"/>
      <c r="O214" s="42" t="n">
        <v>200</v>
      </c>
      <c r="P214" s="42" t="n"/>
      <c r="Q214" s="42" t="n">
        <v>5700</v>
      </c>
      <c r="R214" s="43">
        <f>IF($B214="","",N($S214)-N($Q214))</f>
        <v/>
      </c>
      <c r="S214" s="43">
        <f>IF($B214="","",N($L214)+N($N214)+N($P214))</f>
        <v/>
      </c>
      <c r="T214" s="42" t="n"/>
      <c r="U214" s="42" t="n"/>
      <c r="V214" s="42" t="n"/>
      <c r="W214" s="42" t="n"/>
      <c r="X214" s="42" t="n"/>
      <c r="Y214" s="42" t="n"/>
      <c r="Z214" s="42" t="n"/>
      <c r="AA214" s="42" t="n"/>
      <c r="AB214" s="42" t="n"/>
      <c r="AC214" s="42" t="n"/>
      <c r="AD214" s="42" t="n"/>
      <c r="AE214" s="42" t="n"/>
      <c r="AF214" s="43">
        <f>IF($B214="","",SUM($T214:$AE214))</f>
        <v/>
      </c>
      <c r="AG214" s="43">
        <f>IF($B214="","",N($M214)-N($AF214))</f>
        <v/>
      </c>
      <c r="AH214" s="43">
        <f>IF($B214="","",N($L214)-N($AF214))</f>
        <v/>
      </c>
      <c r="AI214" s="149">
        <f>IF($B214="","",IF(N($L214)=0,"",(N($L214)-N($AF214))/N($L214)))</f>
        <v/>
      </c>
    </row>
    <row r="215">
      <c r="A215" s="39">
        <f>IF($B215="","",COUNTA($B$4:$B215))</f>
        <v/>
      </c>
      <c r="B215" s="45" t="n">
        <v>46047</v>
      </c>
      <c r="C215" s="46" t="n">
        <v>1740</v>
      </c>
      <c r="D215" s="46" t="inlineStr">
        <is>
          <t>محمد عتمان</t>
        </is>
      </c>
      <c r="E215" s="46" t="inlineStr">
        <is>
          <t>1*40</t>
        </is>
      </c>
      <c r="F215" s="46" t="inlineStr">
        <is>
          <t xml:space="preserve">كرستال عصفور </t>
        </is>
      </c>
      <c r="G215" s="46" t="inlineStr">
        <is>
          <t>شبرا</t>
        </is>
      </c>
      <c r="H215" s="46" t="inlineStr">
        <is>
          <t>591873/8</t>
        </is>
      </c>
      <c r="I215" s="46" t="inlineStr">
        <is>
          <t>ب ص ا 5364</t>
        </is>
      </c>
      <c r="J215" s="46" t="inlineStr">
        <is>
          <t xml:space="preserve">محمود عتمان </t>
        </is>
      </c>
      <c r="K215" s="46" t="inlineStr">
        <is>
          <t xml:space="preserve">استوريا </t>
        </is>
      </c>
      <c r="L215" s="47" t="n">
        <v>14000</v>
      </c>
      <c r="M215" s="47" t="n">
        <v>8100</v>
      </c>
      <c r="N215" s="47" t="n"/>
      <c r="O215" s="47" t="n">
        <v>200</v>
      </c>
      <c r="P215" s="47" t="n"/>
      <c r="Q215" s="47" t="n">
        <v>5700</v>
      </c>
      <c r="R215" s="43">
        <f>IF($B215="","",N($S215)-N($Q215))</f>
        <v/>
      </c>
      <c r="S215" s="43">
        <f>IF($B215="","",N($L215)+N($N215)+N($P215))</f>
        <v/>
      </c>
      <c r="T215" s="47" t="n"/>
      <c r="U215" s="47" t="n"/>
      <c r="V215" s="47" t="n"/>
      <c r="W215" s="47" t="n"/>
      <c r="X215" s="47" t="n"/>
      <c r="Y215" s="47" t="n"/>
      <c r="Z215" s="47" t="n"/>
      <c r="AA215" s="47" t="n"/>
      <c r="AB215" s="47" t="n"/>
      <c r="AC215" s="47" t="n"/>
      <c r="AD215" s="47" t="n"/>
      <c r="AE215" s="47" t="n"/>
      <c r="AF215" s="43">
        <f>IF($B215="","",SUM($T215:$AE215))</f>
        <v/>
      </c>
      <c r="AG215" s="43">
        <f>IF($B215="","",N($M215)-N($AF215))</f>
        <v/>
      </c>
      <c r="AH215" s="43">
        <f>IF($B215="","",N($L215)-N($AF215))</f>
        <v/>
      </c>
      <c r="AI215" s="149">
        <f>IF($B215="","",IF(N($L215)=0,"",(N($L215)-N($AF215))/N($L215)))</f>
        <v/>
      </c>
    </row>
    <row r="216">
      <c r="A216" s="39">
        <f>IF($B216="","",COUNTA($B$4:$B216))</f>
        <v/>
      </c>
      <c r="B216" s="40" t="n">
        <v>46047</v>
      </c>
      <c r="C216" s="41" t="n">
        <v>1741</v>
      </c>
      <c r="D216" s="41" t="inlineStr">
        <is>
          <t>استوريا خ</t>
        </is>
      </c>
      <c r="E216" s="41" t="inlineStr">
        <is>
          <t>1*40</t>
        </is>
      </c>
      <c r="F216" s="41" t="inlineStr">
        <is>
          <t xml:space="preserve">كرستال عصفور </t>
        </is>
      </c>
      <c r="G216" s="41" t="inlineStr">
        <is>
          <t>شبرا</t>
        </is>
      </c>
      <c r="H216" s="41" t="inlineStr">
        <is>
          <t>870834/3</t>
        </is>
      </c>
      <c r="I216" s="41" t="inlineStr">
        <is>
          <t>ب د ط 5728</t>
        </is>
      </c>
      <c r="J216" s="41" t="inlineStr">
        <is>
          <t xml:space="preserve">محمد عتمان </t>
        </is>
      </c>
      <c r="K216" s="41" t="inlineStr">
        <is>
          <t xml:space="preserve">استوريا </t>
        </is>
      </c>
      <c r="L216" s="42" t="n">
        <v>14000</v>
      </c>
      <c r="M216" s="42" t="n">
        <v>8100</v>
      </c>
      <c r="N216" s="42" t="n"/>
      <c r="O216" s="42" t="n">
        <v>200</v>
      </c>
      <c r="P216" s="42" t="n"/>
      <c r="Q216" s="42" t="n">
        <v>5700</v>
      </c>
      <c r="R216" s="43">
        <f>IF($B216="","",N($S216)-N($Q216))</f>
        <v/>
      </c>
      <c r="S216" s="43">
        <f>IF($B216="","",N($L216)+N($N216)+N($P216))</f>
        <v/>
      </c>
      <c r="T216" s="42" t="n"/>
      <c r="U216" s="42" t="n"/>
      <c r="V216" s="42" t="n"/>
      <c r="W216" s="42" t="n"/>
      <c r="X216" s="42" t="n"/>
      <c r="Y216" s="42" t="n"/>
      <c r="Z216" s="42" t="n"/>
      <c r="AA216" s="42" t="n"/>
      <c r="AB216" s="42" t="n"/>
      <c r="AC216" s="42" t="n"/>
      <c r="AD216" s="42" t="n"/>
      <c r="AE216" s="42" t="n"/>
      <c r="AF216" s="43">
        <f>IF($B216="","",SUM($T216:$AE216))</f>
        <v/>
      </c>
      <c r="AG216" s="43">
        <f>IF($B216="","",N($M216)-N($AF216))</f>
        <v/>
      </c>
      <c r="AH216" s="43">
        <f>IF($B216="","",N($L216)-N($AF216))</f>
        <v/>
      </c>
      <c r="AI216" s="149">
        <f>IF($B216="","",IF(N($L216)=0,"",(N($L216)-N($AF216))/N($L216)))</f>
        <v/>
      </c>
    </row>
    <row r="217">
      <c r="A217" s="39">
        <f>IF($B217="","",COUNTA($B$4:$B217))</f>
        <v/>
      </c>
      <c r="B217" s="45" t="n">
        <v>46047</v>
      </c>
      <c r="C217" s="46" t="n">
        <v>1742</v>
      </c>
      <c r="D217" s="46" t="inlineStr">
        <is>
          <t>رجب عبد العال خ</t>
        </is>
      </c>
      <c r="E217" s="46" t="inlineStr">
        <is>
          <t>1*40</t>
        </is>
      </c>
      <c r="F217" s="46" t="inlineStr">
        <is>
          <t xml:space="preserve">كرستال عصفور </t>
        </is>
      </c>
      <c r="G217" s="46" t="inlineStr">
        <is>
          <t>شبرا</t>
        </is>
      </c>
      <c r="H217" s="46" t="inlineStr">
        <is>
          <t>593734/2</t>
        </is>
      </c>
      <c r="I217" s="46" t="inlineStr">
        <is>
          <t>س ا ن 9838</t>
        </is>
      </c>
      <c r="J217" s="46" t="inlineStr">
        <is>
          <t xml:space="preserve">محمد عاطف </t>
        </is>
      </c>
      <c r="K217" s="46" t="inlineStr">
        <is>
          <t>حميدو شكير</t>
        </is>
      </c>
      <c r="L217" s="47" t="n">
        <v>14000</v>
      </c>
      <c r="M217" s="47" t="n">
        <v>8100</v>
      </c>
      <c r="N217" s="47" t="n"/>
      <c r="O217" s="47" t="n">
        <v>200</v>
      </c>
      <c r="P217" s="47" t="n"/>
      <c r="Q217" s="47" t="n">
        <v>5700</v>
      </c>
      <c r="R217" s="43">
        <f>IF($B217="","",N($S217)-N($Q217))</f>
        <v/>
      </c>
      <c r="S217" s="43">
        <f>IF($B217="","",N($L217)+N($N217)+N($P217))</f>
        <v/>
      </c>
      <c r="T217" s="47" t="n"/>
      <c r="U217" s="47" t="n"/>
      <c r="V217" s="47" t="n"/>
      <c r="W217" s="47" t="n"/>
      <c r="X217" s="47" t="n"/>
      <c r="Y217" s="47" t="n"/>
      <c r="Z217" s="47" t="n"/>
      <c r="AA217" s="47" t="n"/>
      <c r="AB217" s="47" t="n"/>
      <c r="AC217" s="47" t="n"/>
      <c r="AD217" s="47" t="n"/>
      <c r="AE217" s="47" t="n"/>
      <c r="AF217" s="43">
        <f>IF($B217="","",SUM($T217:$AE217))</f>
        <v/>
      </c>
      <c r="AG217" s="43">
        <f>IF($B217="","",N($M217)-N($AF217))</f>
        <v/>
      </c>
      <c r="AH217" s="43">
        <f>IF($B217="","",N($L217)-N($AF217))</f>
        <v/>
      </c>
      <c r="AI217" s="149">
        <f>IF($B217="","",IF(N($L217)=0,"",(N($L217)-N($AF217))/N($L217)))</f>
        <v/>
      </c>
    </row>
    <row r="218">
      <c r="A218" s="39">
        <f>IF($B218="","",COUNTA($B$4:$B218))</f>
        <v/>
      </c>
      <c r="B218" s="40" t="n">
        <v>46047</v>
      </c>
      <c r="C218" s="41" t="n">
        <v>1743</v>
      </c>
      <c r="D218" s="41" t="inlineStr">
        <is>
          <t>احمد عبدو خ</t>
        </is>
      </c>
      <c r="E218" s="41" t="inlineStr">
        <is>
          <t>1*40</t>
        </is>
      </c>
      <c r="F218" s="41" t="inlineStr">
        <is>
          <t xml:space="preserve">كرستال عصفور </t>
        </is>
      </c>
      <c r="G218" s="41" t="inlineStr">
        <is>
          <t>شبرا</t>
        </is>
      </c>
      <c r="H218" s="41" t="inlineStr">
        <is>
          <t>594830/5</t>
        </is>
      </c>
      <c r="I218" s="41" t="inlineStr">
        <is>
          <t>س ل ب 5917</t>
        </is>
      </c>
      <c r="J218" s="41" t="inlineStr">
        <is>
          <t>احمد محمود</t>
        </is>
      </c>
      <c r="K218" s="41" t="inlineStr">
        <is>
          <t xml:space="preserve">علاء علام </t>
        </is>
      </c>
      <c r="L218" s="42" t="n">
        <v>14000</v>
      </c>
      <c r="M218" s="42" t="n">
        <v>8100</v>
      </c>
      <c r="N218" s="42" t="n"/>
      <c r="O218" s="42" t="n">
        <v>200</v>
      </c>
      <c r="P218" s="42" t="n"/>
      <c r="Q218" s="42" t="n">
        <v>5700</v>
      </c>
      <c r="R218" s="43">
        <f>IF($B218="","",N($S218)-N($Q218))</f>
        <v/>
      </c>
      <c r="S218" s="43">
        <f>IF($B218="","",N($L218)+N($N218)+N($P218))</f>
        <v/>
      </c>
      <c r="T218" s="42" t="n"/>
      <c r="U218" s="42" t="n"/>
      <c r="V218" s="42" t="n"/>
      <c r="W218" s="42" t="n"/>
      <c r="X218" s="42" t="n"/>
      <c r="Y218" s="42" t="n"/>
      <c r="Z218" s="42" t="n"/>
      <c r="AA218" s="42" t="n"/>
      <c r="AB218" s="42" t="n"/>
      <c r="AC218" s="42" t="n"/>
      <c r="AD218" s="42" t="n"/>
      <c r="AE218" s="42" t="n"/>
      <c r="AF218" s="43">
        <f>IF($B218="","",SUM($T218:$AE218))</f>
        <v/>
      </c>
      <c r="AG218" s="43">
        <f>IF($B218="","",N($M218)-N($AF218))</f>
        <v/>
      </c>
      <c r="AH218" s="43">
        <f>IF($B218="","",N($L218)-N($AF218))</f>
        <v/>
      </c>
      <c r="AI218" s="149">
        <f>IF($B218="","",IF(N($L218)=0,"",(N($L218)-N($AF218))/N($L218)))</f>
        <v/>
      </c>
    </row>
    <row r="219">
      <c r="A219" s="39">
        <f>IF($B219="","",COUNTA($B$4:$B219))</f>
        <v/>
      </c>
      <c r="B219" s="45" t="n">
        <v>46047</v>
      </c>
      <c r="C219" s="46" t="n">
        <v>1744</v>
      </c>
      <c r="D219" s="46" t="inlineStr">
        <is>
          <t>احمد خطاب</t>
        </is>
      </c>
      <c r="E219" s="46" t="inlineStr">
        <is>
          <t>1*40 ث</t>
        </is>
      </c>
      <c r="F219" s="46" t="inlineStr">
        <is>
          <t xml:space="preserve">ماى فارم </t>
        </is>
      </c>
      <c r="G219" s="46" t="inlineStr">
        <is>
          <t xml:space="preserve">الهرم سقاره </t>
        </is>
      </c>
      <c r="H219" s="46" t="inlineStr">
        <is>
          <t>537298/1</t>
        </is>
      </c>
      <c r="I219" s="46" t="inlineStr">
        <is>
          <t>ب س ا 1367</t>
        </is>
      </c>
      <c r="J219" s="46" t="inlineStr">
        <is>
          <t xml:space="preserve">عبد المنعم مصطفى </t>
        </is>
      </c>
      <c r="K219" s="46" t="inlineStr">
        <is>
          <t xml:space="preserve">الليبر </t>
        </is>
      </c>
      <c r="L219" s="47" t="n">
        <v>16000</v>
      </c>
      <c r="M219" s="47" t="n">
        <v>9100</v>
      </c>
      <c r="N219" s="47" t="n"/>
      <c r="O219" s="47" t="n">
        <v>200</v>
      </c>
      <c r="P219" s="47" t="n"/>
      <c r="Q219" s="47" t="n">
        <v>6700</v>
      </c>
      <c r="R219" s="43">
        <f>IF($B219="","",N($S219)-N($Q219))</f>
        <v/>
      </c>
      <c r="S219" s="43">
        <f>IF($B219="","",N($L219)+N($N219)+N($P219))</f>
        <v/>
      </c>
      <c r="T219" s="47" t="n"/>
      <c r="U219" s="47" t="n"/>
      <c r="V219" s="47" t="n"/>
      <c r="W219" s="47" t="n"/>
      <c r="X219" s="47" t="n"/>
      <c r="Y219" s="47" t="n"/>
      <c r="Z219" s="47" t="n"/>
      <c r="AA219" s="47" t="n"/>
      <c r="AB219" s="47" t="n"/>
      <c r="AC219" s="47" t="n"/>
      <c r="AD219" s="47" t="n"/>
      <c r="AE219" s="47" t="n"/>
      <c r="AF219" s="43">
        <f>IF($B219="","",SUM($T219:$AE219))</f>
        <v/>
      </c>
      <c r="AG219" s="43">
        <f>IF($B219="","",N($M219)-N($AF219))</f>
        <v/>
      </c>
      <c r="AH219" s="43">
        <f>IF($B219="","",N($L219)-N($AF219))</f>
        <v/>
      </c>
      <c r="AI219" s="149">
        <f>IF($B219="","",IF(N($L219)=0,"",(N($L219)-N($AF219))/N($L219)))</f>
        <v/>
      </c>
    </row>
    <row r="220">
      <c r="A220" s="39">
        <f>IF($B220="","",COUNTA($B$4:$B220))</f>
        <v/>
      </c>
      <c r="B220" s="40" t="n">
        <v>46047</v>
      </c>
      <c r="C220" s="41" t="n">
        <v>1667</v>
      </c>
      <c r="D220" s="41" t="inlineStr">
        <is>
          <t>المكتب</t>
        </is>
      </c>
      <c r="E220" s="41" t="inlineStr">
        <is>
          <t>1*40 ث</t>
        </is>
      </c>
      <c r="F220" s="41" t="inlineStr">
        <is>
          <t>الصعيد</t>
        </is>
      </c>
      <c r="G220" s="41" t="inlineStr">
        <is>
          <t xml:space="preserve">ب سويف </t>
        </is>
      </c>
      <c r="H220" s="41" t="inlineStr">
        <is>
          <t>652938/0</t>
        </is>
      </c>
      <c r="I220" s="41" t="inlineStr">
        <is>
          <t>س ع م 8737</t>
        </is>
      </c>
      <c r="J220" s="41" t="inlineStr">
        <is>
          <t xml:space="preserve">محمود بكر </t>
        </is>
      </c>
      <c r="K220" s="41" t="inlineStr">
        <is>
          <t>المكتب</t>
        </is>
      </c>
      <c r="L220" s="42" t="n">
        <v>22000</v>
      </c>
      <c r="M220" s="42" t="n">
        <v>10000</v>
      </c>
      <c r="N220" s="42" t="n"/>
      <c r="O220" s="42" t="n"/>
      <c r="P220" s="42" t="n"/>
      <c r="Q220" s="42" t="n">
        <v>12000</v>
      </c>
      <c r="R220" s="43">
        <f>IF($B220="","",N($S220)-N($Q220))</f>
        <v/>
      </c>
      <c r="S220" s="43">
        <f>IF($B220="","",N($L220)+N($N220)+N($P220))</f>
        <v/>
      </c>
      <c r="T220" s="42" t="n">
        <v>2000</v>
      </c>
      <c r="U220" s="42" t="n">
        <v>800</v>
      </c>
      <c r="V220" s="42" t="n"/>
      <c r="W220" s="42" t="n">
        <v>150</v>
      </c>
      <c r="X220" s="42" t="n">
        <v>180</v>
      </c>
      <c r="Y220" s="42" t="n">
        <v>120</v>
      </c>
      <c r="Z220" s="42" t="n"/>
      <c r="AA220" s="42" t="n"/>
      <c r="AB220" s="42" t="n"/>
      <c r="AC220" s="42" t="n"/>
      <c r="AD220" s="42" t="n"/>
      <c r="AE220" s="42" t="n">
        <v>5150</v>
      </c>
      <c r="AF220" s="43">
        <f>IF($B220="","",SUM($T220:$AE220))</f>
        <v/>
      </c>
      <c r="AG220" s="43">
        <f>IF($B220="","",N($M220)-N($AF220))</f>
        <v/>
      </c>
      <c r="AH220" s="43">
        <f>IF($B220="","",N($L220)-N($AF220))</f>
        <v/>
      </c>
      <c r="AI220" s="149">
        <f>IF($B220="","",IF(N($L220)=0,"",(N($L220)-N($AF220))/N($L220)))</f>
        <v/>
      </c>
    </row>
    <row r="221">
      <c r="A221" s="39">
        <f>IF($B221="","",COUNTA($B$4:$B221))</f>
        <v/>
      </c>
      <c r="B221" s="45" t="n">
        <v>46047</v>
      </c>
      <c r="C221" s="46" t="n">
        <v>1666</v>
      </c>
      <c r="D221" s="46" t="inlineStr">
        <is>
          <t xml:space="preserve">ابو ركبة </t>
        </is>
      </c>
      <c r="E221" s="46" t="inlineStr">
        <is>
          <t>1*40 ث</t>
        </is>
      </c>
      <c r="F221" s="46" t="inlineStr">
        <is>
          <t xml:space="preserve">الصعيد </t>
        </is>
      </c>
      <c r="G221" s="46" t="inlineStr">
        <is>
          <t xml:space="preserve">ب سويف </t>
        </is>
      </c>
      <c r="H221" s="46" t="inlineStr">
        <is>
          <t>847551/0</t>
        </is>
      </c>
      <c r="I221" s="46" t="inlineStr">
        <is>
          <t>ب ن س 6285</t>
        </is>
      </c>
      <c r="J221" s="46" t="inlineStr">
        <is>
          <t xml:space="preserve">حمادة الكحكى </t>
        </is>
      </c>
      <c r="K221" s="46" t="inlineStr">
        <is>
          <t>حماة الكحكى</t>
        </is>
      </c>
      <c r="L221" s="47" t="n">
        <v>22000</v>
      </c>
      <c r="M221" s="47" t="n">
        <v>10100</v>
      </c>
      <c r="N221" s="47" t="n"/>
      <c r="O221" s="47" t="n">
        <v>200</v>
      </c>
      <c r="P221" s="47" t="n"/>
      <c r="Q221" s="47" t="n">
        <v>11700</v>
      </c>
      <c r="R221" s="43">
        <f>IF($B221="","",N($S221)-N($Q221))</f>
        <v/>
      </c>
      <c r="S221" s="43">
        <f>IF($B221="","",N($L221)+N($N221)+N($P221))</f>
        <v/>
      </c>
      <c r="T221" s="47" t="n"/>
      <c r="U221" s="47" t="n"/>
      <c r="V221" s="47" t="n"/>
      <c r="W221" s="47" t="n"/>
      <c r="X221" s="47" t="n"/>
      <c r="Y221" s="47" t="n"/>
      <c r="Z221" s="47" t="n"/>
      <c r="AA221" s="47" t="n"/>
      <c r="AB221" s="47" t="n"/>
      <c r="AC221" s="47" t="n"/>
      <c r="AD221" s="47" t="n"/>
      <c r="AE221" s="47" t="n"/>
      <c r="AF221" s="43">
        <f>IF($B221="","",SUM($T221:$AE221))</f>
        <v/>
      </c>
      <c r="AG221" s="43">
        <f>IF($B221="","",N($M221)-N($AF221))</f>
        <v/>
      </c>
      <c r="AH221" s="43">
        <f>IF($B221="","",N($L221)-N($AF221))</f>
        <v/>
      </c>
      <c r="AI221" s="149">
        <f>IF($B221="","",IF(N($L221)=0,"",(N($L221)-N($AF221))/N($L221)))</f>
        <v/>
      </c>
    </row>
    <row r="222">
      <c r="A222" s="39">
        <f>IF($B222="","",COUNTA($B$4:$B222))</f>
        <v/>
      </c>
      <c r="B222" s="40" t="n">
        <v>46048</v>
      </c>
      <c r="C222" s="41" t="n">
        <v>1670</v>
      </c>
      <c r="D222" s="41" t="inlineStr">
        <is>
          <t>المكتب</t>
        </is>
      </c>
      <c r="E222" s="41" t="inlineStr">
        <is>
          <t>1*40 ث</t>
        </is>
      </c>
      <c r="F222" s="41" t="inlineStr">
        <is>
          <t xml:space="preserve">الصعيد </t>
        </is>
      </c>
      <c r="G222" s="41" t="inlineStr">
        <is>
          <t xml:space="preserve">ب سويف </t>
        </is>
      </c>
      <c r="H222" s="41" t="inlineStr">
        <is>
          <t>921267/8</t>
        </is>
      </c>
      <c r="I222" s="41" t="inlineStr">
        <is>
          <t>س ع م 8737</t>
        </is>
      </c>
      <c r="J222" s="41" t="inlineStr">
        <is>
          <t xml:space="preserve">محمود بكر </t>
        </is>
      </c>
      <c r="K222" s="41" t="inlineStr">
        <is>
          <t>المكتب</t>
        </is>
      </c>
      <c r="L222" s="42" t="n">
        <v>22000</v>
      </c>
      <c r="M222" s="42" t="n">
        <v>8000</v>
      </c>
      <c r="N222" s="42" t="n"/>
      <c r="O222" s="42" t="n"/>
      <c r="P222" s="42" t="n"/>
      <c r="Q222" s="42" t="n">
        <v>14000</v>
      </c>
      <c r="R222" s="43">
        <f>IF($B222="","",N($S222)-N($Q222))</f>
        <v/>
      </c>
      <c r="S222" s="43">
        <f>IF($B222="","",N($L222)+N($N222)+N($P222))</f>
        <v/>
      </c>
      <c r="T222" s="42" t="n">
        <v>2000</v>
      </c>
      <c r="U222" s="42" t="n">
        <v>800</v>
      </c>
      <c r="V222" s="42" t="n"/>
      <c r="W222" s="42" t="n">
        <v>150</v>
      </c>
      <c r="X222" s="42" t="n">
        <v>180</v>
      </c>
      <c r="Y222" s="42" t="n">
        <v>120</v>
      </c>
      <c r="Z222" s="42" t="n"/>
      <c r="AA222" s="42" t="n"/>
      <c r="AB222" s="42" t="n"/>
      <c r="AC222" s="42" t="n"/>
      <c r="AD222" s="42" t="n"/>
      <c r="AE222" s="42" t="n">
        <v>3500</v>
      </c>
      <c r="AF222" s="43">
        <f>IF($B222="","",SUM($T222:$AE222))</f>
        <v/>
      </c>
      <c r="AG222" s="43">
        <f>IF($B222="","",N($M222)-N($AF222))</f>
        <v/>
      </c>
      <c r="AH222" s="43">
        <f>IF($B222="","",N($L222)-N($AF222))</f>
        <v/>
      </c>
      <c r="AI222" s="149">
        <f>IF($B222="","",IF(N($L222)=0,"",(N($L222)-N($AF222))/N($L222)))</f>
        <v/>
      </c>
    </row>
    <row r="223">
      <c r="A223" s="39">
        <f>IF($B223="","",COUNTA($B$4:$B223))</f>
        <v/>
      </c>
      <c r="B223" s="45" t="n">
        <v>46048</v>
      </c>
      <c r="C223" s="46" t="n">
        <v>1668</v>
      </c>
      <c r="D223" s="46" t="inlineStr">
        <is>
          <t>حماد خ</t>
        </is>
      </c>
      <c r="E223" s="46" t="inlineStr">
        <is>
          <t>1*40 ث</t>
        </is>
      </c>
      <c r="F223" s="46" t="inlineStr">
        <is>
          <t xml:space="preserve">الصعيد </t>
        </is>
      </c>
      <c r="G223" s="46" t="inlineStr">
        <is>
          <t xml:space="preserve">ب سويف </t>
        </is>
      </c>
      <c r="H223" s="46" t="n"/>
      <c r="I223" s="46" t="inlineStr">
        <is>
          <t>س ق ب 6329</t>
        </is>
      </c>
      <c r="J223" s="46" t="inlineStr">
        <is>
          <t xml:space="preserve">ابراهيم مسعد </t>
        </is>
      </c>
      <c r="K223" s="46" t="inlineStr">
        <is>
          <t xml:space="preserve">ياسر عزام </t>
        </is>
      </c>
      <c r="L223" s="47" t="n">
        <v>22000</v>
      </c>
      <c r="M223" s="47" t="n">
        <v>10100</v>
      </c>
      <c r="N223" s="47" t="n"/>
      <c r="O223" s="47" t="n">
        <v>200</v>
      </c>
      <c r="P223" s="47" t="n"/>
      <c r="Q223" s="47" t="n">
        <v>11700</v>
      </c>
      <c r="R223" s="43">
        <f>IF($B223="","",N($S223)-N($Q223))</f>
        <v/>
      </c>
      <c r="S223" s="43">
        <f>IF($B223="","",N($L223)+N($N223)+N($P223))</f>
        <v/>
      </c>
      <c r="T223" s="47" t="n"/>
      <c r="U223" s="47" t="n"/>
      <c r="V223" s="47" t="n"/>
      <c r="W223" s="47" t="n"/>
      <c r="X223" s="47" t="n"/>
      <c r="Y223" s="47" t="n"/>
      <c r="Z223" s="47" t="n"/>
      <c r="AA223" s="47" t="n"/>
      <c r="AB223" s="47" t="n"/>
      <c r="AC223" s="47" t="n"/>
      <c r="AD223" s="47" t="n"/>
      <c r="AE223" s="47" t="n"/>
      <c r="AF223" s="43">
        <f>IF($B223="","",SUM($T223:$AE223))</f>
        <v/>
      </c>
      <c r="AG223" s="43">
        <f>IF($B223="","",N($M223)-N($AF223))</f>
        <v/>
      </c>
      <c r="AH223" s="43">
        <f>IF($B223="","",N($L223)-N($AF223))</f>
        <v/>
      </c>
      <c r="AI223" s="149">
        <f>IF($B223="","",IF(N($L223)=0,"",(N($L223)-N($AF223))/N($L223)))</f>
        <v/>
      </c>
    </row>
    <row r="224">
      <c r="A224" s="39">
        <f>IF($B224="","",COUNTA($B$4:$B224))</f>
        <v/>
      </c>
      <c r="B224" s="40" t="n">
        <v>46048</v>
      </c>
      <c r="C224" s="41" t="n">
        <v>1669</v>
      </c>
      <c r="D224" s="41" t="inlineStr">
        <is>
          <t>حاتم البحر  ق</t>
        </is>
      </c>
      <c r="E224" s="41" t="inlineStr">
        <is>
          <t>1*40 ث</t>
        </is>
      </c>
      <c r="F224" s="41" t="inlineStr">
        <is>
          <t xml:space="preserve">الصعيد </t>
        </is>
      </c>
      <c r="G224" s="41" t="inlineStr">
        <is>
          <t xml:space="preserve">ب سويف </t>
        </is>
      </c>
      <c r="H224" s="41" t="inlineStr">
        <is>
          <t>925167/7</t>
        </is>
      </c>
      <c r="I224" s="41" t="inlineStr">
        <is>
          <t>س ر ا 6671</t>
        </is>
      </c>
      <c r="J224" s="41" t="inlineStr">
        <is>
          <t xml:space="preserve">السيد بدوى </t>
        </is>
      </c>
      <c r="K224" s="41" t="inlineStr">
        <is>
          <t xml:space="preserve">حمو مرزوق </t>
        </is>
      </c>
      <c r="L224" s="42" t="n">
        <v>22000</v>
      </c>
      <c r="M224" s="42" t="n">
        <v>10100</v>
      </c>
      <c r="N224" s="42" t="n"/>
      <c r="O224" s="42" t="n">
        <v>200</v>
      </c>
      <c r="P224" s="42" t="n"/>
      <c r="Q224" s="42" t="n">
        <v>11700</v>
      </c>
      <c r="R224" s="43">
        <f>IF($B224="","",N($S224)-N($Q224))</f>
        <v/>
      </c>
      <c r="S224" s="43">
        <f>IF($B224="","",N($L224)+N($N224)+N($P224))</f>
        <v/>
      </c>
      <c r="T224" s="42" t="n"/>
      <c r="U224" s="42" t="n"/>
      <c r="V224" s="42" t="n"/>
      <c r="W224" s="42" t="n"/>
      <c r="X224" s="42" t="n"/>
      <c r="Y224" s="42" t="n"/>
      <c r="Z224" s="42" t="n"/>
      <c r="AA224" s="42" t="n"/>
      <c r="AB224" s="42" t="n"/>
      <c r="AC224" s="42" t="n"/>
      <c r="AD224" s="42" t="n"/>
      <c r="AE224" s="42" t="n"/>
      <c r="AF224" s="43">
        <f>IF($B224="","",SUM($T224:$AE224))</f>
        <v/>
      </c>
      <c r="AG224" s="43">
        <f>IF($B224="","",N($M224)-N($AF224))</f>
        <v/>
      </c>
      <c r="AH224" s="43">
        <f>IF($B224="","",N($L224)-N($AF224))</f>
        <v/>
      </c>
      <c r="AI224" s="149">
        <f>IF($B224="","",IF(N($L224)=0,"",(N($L224)-N($AF224))/N($L224)))</f>
        <v/>
      </c>
    </row>
    <row r="225">
      <c r="A225" s="39">
        <f>IF($B225="","",COUNTA($B$4:$B225))</f>
        <v/>
      </c>
      <c r="B225" s="45" t="n">
        <v>46048</v>
      </c>
      <c r="C225" s="46" t="n">
        <v>1761</v>
      </c>
      <c r="D225" s="46" t="n"/>
      <c r="E225" s="46" t="inlineStr">
        <is>
          <t>1*20</t>
        </is>
      </c>
      <c r="F225" s="46" t="inlineStr">
        <is>
          <t xml:space="preserve">ليفار </t>
        </is>
      </c>
      <c r="G225" s="46" t="inlineStr">
        <is>
          <t xml:space="preserve">العامرية </t>
        </is>
      </c>
      <c r="H225" s="46" t="inlineStr">
        <is>
          <t>393706/9</t>
        </is>
      </c>
      <c r="I225" s="46" t="inlineStr">
        <is>
          <t>س ق ب 9645</t>
        </is>
      </c>
      <c r="J225" s="46" t="n"/>
      <c r="K225" s="46" t="n"/>
      <c r="L225" s="47" t="n">
        <v>4100</v>
      </c>
      <c r="M225" s="47" t="n">
        <v>4100</v>
      </c>
      <c r="N225" s="47" t="n"/>
      <c r="O225" s="47" t="n"/>
      <c r="P225" s="47" t="n"/>
      <c r="Q225" s="47" t="n"/>
      <c r="R225" s="43">
        <f>IF($B225="","",N($S225)-N($Q225))</f>
        <v/>
      </c>
      <c r="S225" s="43">
        <f>IF($B225="","",N($L225)+N($N225)+N($P225))</f>
        <v/>
      </c>
      <c r="T225" s="47" t="n"/>
      <c r="U225" s="47" t="n"/>
      <c r="V225" s="47" t="n"/>
      <c r="W225" s="47" t="n"/>
      <c r="X225" s="47" t="n"/>
      <c r="Y225" s="47" t="n"/>
      <c r="Z225" s="47" t="n"/>
      <c r="AA225" s="47" t="n"/>
      <c r="AB225" s="47" t="n"/>
      <c r="AC225" s="47" t="n"/>
      <c r="AD225" s="47" t="n"/>
      <c r="AE225" s="47" t="n"/>
      <c r="AF225" s="43">
        <f>IF($B225="","",SUM($T225:$AE225))</f>
        <v/>
      </c>
      <c r="AG225" s="43">
        <f>IF($B225="","",N($M225)-N($AF225))</f>
        <v/>
      </c>
      <c r="AH225" s="43">
        <f>IF($B225="","",N($L225)-N($AF225))</f>
        <v/>
      </c>
      <c r="AI225" s="149">
        <f>IF($B225="","",IF(N($L225)=0,"",(N($L225)-N($AF225))/N($L225)))</f>
        <v/>
      </c>
    </row>
    <row r="226">
      <c r="A226" s="39">
        <f>IF($B226="","",COUNTA($B$4:$B226))</f>
        <v/>
      </c>
      <c r="B226" s="40" t="n">
        <v>46048</v>
      </c>
      <c r="C226" s="41" t="n">
        <v>1762</v>
      </c>
      <c r="D226" s="41" t="inlineStr">
        <is>
          <t>ايوب خ</t>
        </is>
      </c>
      <c r="E226" s="41" t="inlineStr">
        <is>
          <t>1*20</t>
        </is>
      </c>
      <c r="F226" s="41" t="inlineStr">
        <is>
          <t xml:space="preserve">ارستون </t>
        </is>
      </c>
      <c r="G226" s="41" t="inlineStr">
        <is>
          <t xml:space="preserve">اكتوبر </t>
        </is>
      </c>
      <c r="H226" s="41" t="inlineStr">
        <is>
          <t>379518/0</t>
        </is>
      </c>
      <c r="I226" s="41" t="inlineStr">
        <is>
          <t>ب ع ا 5839</t>
        </is>
      </c>
      <c r="J226" s="41" t="inlineStr">
        <is>
          <t>هانى الشريف</t>
        </is>
      </c>
      <c r="K226" s="41" t="inlineStr">
        <is>
          <t xml:space="preserve">ايوب </t>
        </is>
      </c>
      <c r="L226" s="42" t="n">
        <v>10000</v>
      </c>
      <c r="M226" s="42" t="n">
        <v>6100</v>
      </c>
      <c r="N226" s="42" t="n"/>
      <c r="O226" s="42" t="n">
        <v>200</v>
      </c>
      <c r="P226" s="42" t="n"/>
      <c r="Q226" s="42" t="n">
        <v>3700</v>
      </c>
      <c r="R226" s="43">
        <f>IF($B226="","",N($S226)-N($Q226))</f>
        <v/>
      </c>
      <c r="S226" s="43">
        <f>IF($B226="","",N($L226)+N($N226)+N($P226))</f>
        <v/>
      </c>
      <c r="T226" s="42" t="n"/>
      <c r="U226" s="42" t="n"/>
      <c r="V226" s="42" t="n"/>
      <c r="W226" s="42" t="n"/>
      <c r="X226" s="42" t="n"/>
      <c r="Y226" s="42" t="n"/>
      <c r="Z226" s="42" t="n"/>
      <c r="AA226" s="42" t="n"/>
      <c r="AB226" s="42" t="n"/>
      <c r="AC226" s="42" t="n"/>
      <c r="AD226" s="42" t="n"/>
      <c r="AE226" s="42" t="n"/>
      <c r="AF226" s="43">
        <f>IF($B226="","",SUM($T226:$AE226))</f>
        <v/>
      </c>
      <c r="AG226" s="43">
        <f>IF($B226="","",N($M226)-N($AF226))</f>
        <v/>
      </c>
      <c r="AH226" s="43">
        <f>IF($B226="","",N($L226)-N($AF226))</f>
        <v/>
      </c>
      <c r="AI226" s="149">
        <f>IF($B226="","",IF(N($L226)=0,"",(N($L226)-N($AF226))/N($L226)))</f>
        <v/>
      </c>
    </row>
    <row r="227">
      <c r="A227" s="39">
        <f>IF($B227="","",COUNTA($B$4:$B227))</f>
        <v/>
      </c>
      <c r="B227" s="45" t="n">
        <v>46048</v>
      </c>
      <c r="C227" s="46" t="n">
        <v>1763</v>
      </c>
      <c r="D227" s="46" t="inlineStr">
        <is>
          <t>احمد عبدو خ</t>
        </is>
      </c>
      <c r="E227" s="46" t="inlineStr">
        <is>
          <t>1*40</t>
        </is>
      </c>
      <c r="F227" s="46" t="inlineStr">
        <is>
          <t xml:space="preserve">فرى ضم </t>
        </is>
      </c>
      <c r="G227" s="46" t="inlineStr">
        <is>
          <t xml:space="preserve">بورسعيد </t>
        </is>
      </c>
      <c r="H227" s="46" t="inlineStr">
        <is>
          <t>511448/2</t>
        </is>
      </c>
      <c r="I227" s="46" t="inlineStr">
        <is>
          <t>س ل ب 5917</t>
        </is>
      </c>
      <c r="J227" s="46" t="inlineStr">
        <is>
          <t xml:space="preserve">احمد محمود </t>
        </is>
      </c>
      <c r="K227" s="46" t="inlineStr">
        <is>
          <t xml:space="preserve">علاء علام </t>
        </is>
      </c>
      <c r="L227" s="47" t="n">
        <v>14500</v>
      </c>
      <c r="M227" s="47" t="n">
        <v>8100</v>
      </c>
      <c r="N227" s="47" t="n"/>
      <c r="O227" s="47" t="n">
        <v>200</v>
      </c>
      <c r="P227" s="47" t="n"/>
      <c r="Q227" s="47" t="n">
        <v>6200</v>
      </c>
      <c r="R227" s="43">
        <f>IF($B227="","",N($S227)-N($Q227))</f>
        <v/>
      </c>
      <c r="S227" s="43">
        <f>IF($B227="","",N($L227)+N($N227)+N($P227))</f>
        <v/>
      </c>
      <c r="T227" s="47" t="n"/>
      <c r="U227" s="47" t="n"/>
      <c r="V227" s="47" t="n"/>
      <c r="W227" s="47" t="n"/>
      <c r="X227" s="47" t="n"/>
      <c r="Y227" s="47" t="n"/>
      <c r="Z227" s="47" t="n"/>
      <c r="AA227" s="47" t="n"/>
      <c r="AB227" s="47" t="n"/>
      <c r="AC227" s="47" t="n"/>
      <c r="AD227" s="47" t="n"/>
      <c r="AE227" s="47" t="n"/>
      <c r="AF227" s="43">
        <f>IF($B227="","",SUM($T227:$AE227))</f>
        <v/>
      </c>
      <c r="AG227" s="43">
        <f>IF($B227="","",N($M227)-N($AF227))</f>
        <v/>
      </c>
      <c r="AH227" s="43">
        <f>IF($B227="","",N($L227)-N($AF227))</f>
        <v/>
      </c>
      <c r="AI227" s="149">
        <f>IF($B227="","",IF(N($L227)=0,"",(N($L227)-N($AF227))/N($L227)))</f>
        <v/>
      </c>
    </row>
    <row r="228">
      <c r="A228" s="39">
        <f>IF($B228="","",COUNTA($B$4:$B228))</f>
        <v/>
      </c>
      <c r="B228" s="40" t="n">
        <v>46049</v>
      </c>
      <c r="C228" s="41" t="n">
        <v>1807</v>
      </c>
      <c r="D228" s="41" t="inlineStr">
        <is>
          <t>احمد خطاب</t>
        </is>
      </c>
      <c r="E228" s="41" t="inlineStr">
        <is>
          <t>1*40</t>
        </is>
      </c>
      <c r="F228" s="41" t="inlineStr">
        <is>
          <t xml:space="preserve">بى سيفتى </t>
        </is>
      </c>
      <c r="G228" s="41" t="inlineStr">
        <is>
          <t xml:space="preserve">اكتوبر </t>
        </is>
      </c>
      <c r="H228" s="41" t="inlineStr">
        <is>
          <t>728864/1</t>
        </is>
      </c>
      <c r="I228" s="41" t="inlineStr">
        <is>
          <t>ع م ا 1933</t>
        </is>
      </c>
      <c r="J228" s="41" t="inlineStr">
        <is>
          <t xml:space="preserve">محمد عامر </t>
        </is>
      </c>
      <c r="K228" s="41" t="inlineStr">
        <is>
          <t xml:space="preserve">الليبر </t>
        </is>
      </c>
      <c r="L228" s="42" t="n">
        <v>12700</v>
      </c>
      <c r="M228" s="42" t="n">
        <v>7100</v>
      </c>
      <c r="N228" s="42" t="n"/>
      <c r="O228" s="42" t="n">
        <v>200</v>
      </c>
      <c r="P228" s="42" t="n"/>
      <c r="Q228" s="42" t="n">
        <v>5400</v>
      </c>
      <c r="R228" s="43">
        <f>IF($B228="","",N($S228)-N($Q228))</f>
        <v/>
      </c>
      <c r="S228" s="43">
        <f>IF($B228="","",N($L228)+N($N228)+N($P228))</f>
        <v/>
      </c>
      <c r="T228" s="42" t="n"/>
      <c r="U228" s="42" t="n"/>
      <c r="V228" s="42" t="n"/>
      <c r="W228" s="42" t="n"/>
      <c r="X228" s="42" t="n"/>
      <c r="Y228" s="42" t="n"/>
      <c r="Z228" s="42" t="n"/>
      <c r="AA228" s="42" t="n"/>
      <c r="AB228" s="42" t="n"/>
      <c r="AC228" s="42" t="n"/>
      <c r="AD228" s="42" t="n"/>
      <c r="AE228" s="42" t="n"/>
      <c r="AF228" s="43">
        <f>IF($B228="","",SUM($T228:$AE228))</f>
        <v/>
      </c>
      <c r="AG228" s="43">
        <f>IF($B228="","",N($M228)-N($AF228))</f>
        <v/>
      </c>
      <c r="AH228" s="43">
        <f>IF($B228="","",N($L228)-N($AF228))</f>
        <v/>
      </c>
      <c r="AI228" s="149">
        <f>IF($B228="","",IF(N($L228)=0,"",(N($L228)-N($AF228))/N($L228)))</f>
        <v/>
      </c>
    </row>
    <row r="229">
      <c r="A229" s="39">
        <f>IF($B229="","",COUNTA($B$4:$B229))</f>
        <v/>
      </c>
      <c r="B229" s="45" t="n">
        <v>46049</v>
      </c>
      <c r="C229" s="46" t="n">
        <v>1769</v>
      </c>
      <c r="D229" s="46" t="inlineStr">
        <is>
          <t>عتريس مخيمر  خ</t>
        </is>
      </c>
      <c r="E229" s="46" t="inlineStr">
        <is>
          <t>1*40</t>
        </is>
      </c>
      <c r="F229" s="46" t="inlineStr">
        <is>
          <t xml:space="preserve">برستيج </t>
        </is>
      </c>
      <c r="G229" s="46" t="inlineStr">
        <is>
          <t xml:space="preserve">الوراق </t>
        </is>
      </c>
      <c r="H229" s="46" t="inlineStr">
        <is>
          <t>246376/3</t>
        </is>
      </c>
      <c r="I229" s="46" t="inlineStr">
        <is>
          <t>ب ص ا 2574</t>
        </is>
      </c>
      <c r="J229" s="46" t="inlineStr">
        <is>
          <t xml:space="preserve">محمدة حبيرى </t>
        </is>
      </c>
      <c r="K229" s="46" t="inlineStr">
        <is>
          <t xml:space="preserve">البحيرى </t>
        </is>
      </c>
      <c r="L229" s="47" t="n">
        <v>13500</v>
      </c>
      <c r="M229" s="47" t="n">
        <v>8100</v>
      </c>
      <c r="N229" s="47" t="n"/>
      <c r="O229" s="47" t="n">
        <v>200</v>
      </c>
      <c r="P229" s="47" t="n"/>
      <c r="Q229" s="47" t="n">
        <v>5200</v>
      </c>
      <c r="R229" s="43">
        <f>IF($B229="","",N($S229)-N($Q229))</f>
        <v/>
      </c>
      <c r="S229" s="43">
        <f>IF($B229="","",N($L229)+N($N229)+N($P229))</f>
        <v/>
      </c>
      <c r="T229" s="47" t="n"/>
      <c r="U229" s="47" t="n"/>
      <c r="V229" s="47" t="n"/>
      <c r="W229" s="47" t="n"/>
      <c r="X229" s="47" t="n"/>
      <c r="Y229" s="47" t="n"/>
      <c r="Z229" s="47" t="n"/>
      <c r="AA229" s="47" t="n"/>
      <c r="AB229" s="47" t="n"/>
      <c r="AC229" s="47" t="n"/>
      <c r="AD229" s="47" t="n"/>
      <c r="AE229" s="47" t="n"/>
      <c r="AF229" s="43">
        <f>IF($B229="","",SUM($T229:$AE229))</f>
        <v/>
      </c>
      <c r="AG229" s="43">
        <f>IF($B229="","",N($M229)-N($AF229))</f>
        <v/>
      </c>
      <c r="AH229" s="43">
        <f>IF($B229="","",N($L229)-N($AF229))</f>
        <v/>
      </c>
      <c r="AI229" s="149">
        <f>IF($B229="","",IF(N($L229)=0,"",(N($L229)-N($AF229))/N($L229)))</f>
        <v/>
      </c>
    </row>
    <row r="230">
      <c r="A230" s="39">
        <f>IF($B230="","",COUNTA($B$4:$B230))</f>
        <v/>
      </c>
      <c r="B230" s="40" t="n">
        <v>46049</v>
      </c>
      <c r="C230" s="41" t="n">
        <v>1931</v>
      </c>
      <c r="D230" s="41" t="inlineStr">
        <is>
          <t>استوريا خ</t>
        </is>
      </c>
      <c r="E230" s="41" t="inlineStr">
        <is>
          <t>1*40</t>
        </is>
      </c>
      <c r="F230" s="41" t="inlineStr">
        <is>
          <t>اورينت</t>
        </is>
      </c>
      <c r="G230" s="41" t="inlineStr">
        <is>
          <t xml:space="preserve">العاشر </t>
        </is>
      </c>
      <c r="H230" s="41" t="inlineStr">
        <is>
          <t>330071/6</t>
        </is>
      </c>
      <c r="I230" s="41" t="inlineStr">
        <is>
          <t>س ا ن 9693</t>
        </is>
      </c>
      <c r="J230" s="41" t="inlineStr">
        <is>
          <t xml:space="preserve">محمود يوسف </t>
        </is>
      </c>
      <c r="K230" s="41" t="inlineStr">
        <is>
          <t xml:space="preserve">استوريا </t>
        </is>
      </c>
      <c r="L230" s="42" t="n">
        <v>14000</v>
      </c>
      <c r="M230" s="42" t="n">
        <v>8100</v>
      </c>
      <c r="N230" s="42" t="n"/>
      <c r="O230" s="42" t="n">
        <v>200</v>
      </c>
      <c r="P230" s="42" t="n"/>
      <c r="Q230" s="42" t="n">
        <v>5700</v>
      </c>
      <c r="R230" s="43">
        <f>IF($B230="","",N($S230)-N($Q230))</f>
        <v/>
      </c>
      <c r="S230" s="43">
        <f>IF($B230="","",N($L230)+N($N230)+N($P230))</f>
        <v/>
      </c>
      <c r="T230" s="42" t="n"/>
      <c r="U230" s="42" t="n"/>
      <c r="V230" s="42" t="n"/>
      <c r="W230" s="42" t="n"/>
      <c r="X230" s="42" t="n"/>
      <c r="Y230" s="42" t="n"/>
      <c r="Z230" s="42" t="n"/>
      <c r="AA230" s="42" t="n"/>
      <c r="AB230" s="42" t="n"/>
      <c r="AC230" s="42" t="n"/>
      <c r="AD230" s="42" t="n"/>
      <c r="AE230" s="42" t="n"/>
      <c r="AF230" s="43">
        <f>IF($B230="","",SUM($T230:$AE230))</f>
        <v/>
      </c>
      <c r="AG230" s="43">
        <f>IF($B230="","",N($M230)-N($AF230))</f>
        <v/>
      </c>
      <c r="AH230" s="43">
        <f>IF($B230="","",N($L230)-N($AF230))</f>
        <v/>
      </c>
      <c r="AI230" s="149">
        <f>IF($B230="","",IF(N($L230)=0,"",(N($L230)-N($AF230))/N($L230)))</f>
        <v/>
      </c>
    </row>
    <row r="231">
      <c r="A231" s="39">
        <f>IF($B231="","",COUNTA($B$4:$B231))</f>
        <v/>
      </c>
      <c r="B231" s="45" t="n">
        <v>46049</v>
      </c>
      <c r="C231" s="46" t="n">
        <v>1932</v>
      </c>
      <c r="D231" s="46" t="inlineStr">
        <is>
          <t>احمد عبدو خ</t>
        </is>
      </c>
      <c r="E231" s="46" t="inlineStr">
        <is>
          <t>1*40</t>
        </is>
      </c>
      <c r="F231" s="46" t="inlineStr">
        <is>
          <t>اورينت</t>
        </is>
      </c>
      <c r="G231" s="46" t="inlineStr">
        <is>
          <t xml:space="preserve">العاشر </t>
        </is>
      </c>
      <c r="H231" s="46" t="inlineStr">
        <is>
          <t>330072/1</t>
        </is>
      </c>
      <c r="I231" s="46" t="inlineStr">
        <is>
          <t>س ا ه 8198</t>
        </is>
      </c>
      <c r="J231" s="46" t="inlineStr">
        <is>
          <t xml:space="preserve">محمد ابراهيم </t>
        </is>
      </c>
      <c r="K231" s="46" t="inlineStr">
        <is>
          <t xml:space="preserve">علاء علام </t>
        </is>
      </c>
      <c r="L231" s="47" t="n">
        <v>14000</v>
      </c>
      <c r="M231" s="47" t="n">
        <v>8100</v>
      </c>
      <c r="N231" s="47" t="n"/>
      <c r="O231" s="47" t="n">
        <v>200</v>
      </c>
      <c r="P231" s="47" t="n"/>
      <c r="Q231" s="47" t="n">
        <v>5700</v>
      </c>
      <c r="R231" s="43">
        <f>IF($B231="","",N($S231)-N($Q231))</f>
        <v/>
      </c>
      <c r="S231" s="43">
        <f>IF($B231="","",N($L231)+N($N231)+N($P231))</f>
        <v/>
      </c>
      <c r="T231" s="47" t="n"/>
      <c r="U231" s="47" t="n"/>
      <c r="V231" s="47" t="n"/>
      <c r="W231" s="47" t="n"/>
      <c r="X231" s="47" t="n"/>
      <c r="Y231" s="47" t="n"/>
      <c r="Z231" s="47" t="n"/>
      <c r="AA231" s="47" t="n"/>
      <c r="AB231" s="47" t="n"/>
      <c r="AC231" s="47" t="n"/>
      <c r="AD231" s="47" t="n"/>
      <c r="AE231" s="47" t="n"/>
      <c r="AF231" s="43">
        <f>IF($B231="","",SUM($T231:$AE231))</f>
        <v/>
      </c>
      <c r="AG231" s="43">
        <f>IF($B231="","",N($M231)-N($AF231))</f>
        <v/>
      </c>
      <c r="AH231" s="43">
        <f>IF($B231="","",N($L231)-N($AF231))</f>
        <v/>
      </c>
      <c r="AI231" s="149">
        <f>IF($B231="","",IF(N($L231)=0,"",(N($L231)-N($AF231))/N($L231)))</f>
        <v/>
      </c>
    </row>
    <row r="232">
      <c r="A232" s="39">
        <f>IF($B232="","",COUNTA($B$4:$B232))</f>
        <v/>
      </c>
      <c r="B232" s="40" t="n">
        <v>46049</v>
      </c>
      <c r="C232" s="41" t="n">
        <v>1933</v>
      </c>
      <c r="D232" s="41" t="inlineStr">
        <is>
          <t xml:space="preserve">ابو مينا </t>
        </is>
      </c>
      <c r="E232" s="41" t="inlineStr">
        <is>
          <t>1*40</t>
        </is>
      </c>
      <c r="F232" s="41" t="inlineStr">
        <is>
          <t>اورينت</t>
        </is>
      </c>
      <c r="G232" s="41" t="inlineStr">
        <is>
          <t xml:space="preserve">العاشر </t>
        </is>
      </c>
      <c r="H232" s="41" t="inlineStr">
        <is>
          <t>330080/3</t>
        </is>
      </c>
      <c r="I232" s="41" t="inlineStr">
        <is>
          <t>س ق ر 9974</t>
        </is>
      </c>
      <c r="J232" s="41" t="inlineStr">
        <is>
          <t xml:space="preserve">محمود شام </t>
        </is>
      </c>
      <c r="K232" s="41" t="inlineStr">
        <is>
          <t xml:space="preserve">ابو مينا </t>
        </is>
      </c>
      <c r="L232" s="42" t="n">
        <v>14000</v>
      </c>
      <c r="M232" s="42" t="n">
        <v>8100</v>
      </c>
      <c r="N232" s="42" t="n"/>
      <c r="O232" s="42" t="n">
        <v>200</v>
      </c>
      <c r="P232" s="42" t="n"/>
      <c r="Q232" s="42" t="n">
        <v>5700</v>
      </c>
      <c r="R232" s="43">
        <f>IF($B232="","",N($S232)-N($Q232))</f>
        <v/>
      </c>
      <c r="S232" s="43">
        <f>IF($B232="","",N($L232)+N($N232)+N($P232))</f>
        <v/>
      </c>
      <c r="T232" s="42" t="n"/>
      <c r="U232" s="42" t="n"/>
      <c r="V232" s="42" t="n"/>
      <c r="W232" s="42" t="n"/>
      <c r="X232" s="42" t="n"/>
      <c r="Y232" s="42" t="n"/>
      <c r="Z232" s="42" t="n"/>
      <c r="AA232" s="42" t="n"/>
      <c r="AB232" s="42" t="n"/>
      <c r="AC232" s="42" t="n"/>
      <c r="AD232" s="42" t="n"/>
      <c r="AE232" s="42" t="n"/>
      <c r="AF232" s="43">
        <f>IF($B232="","",SUM($T232:$AE232))</f>
        <v/>
      </c>
      <c r="AG232" s="43">
        <f>IF($B232="","",N($M232)-N($AF232))</f>
        <v/>
      </c>
      <c r="AH232" s="43">
        <f>IF($B232="","",N($L232)-N($AF232))</f>
        <v/>
      </c>
      <c r="AI232" s="149">
        <f>IF($B232="","",IF(N($L232)=0,"",(N($L232)-N($AF232))/N($L232)))</f>
        <v/>
      </c>
    </row>
    <row r="233">
      <c r="A233" s="39">
        <f>IF($B233="","",COUNTA($B$4:$B233))</f>
        <v/>
      </c>
      <c r="B233" s="45" t="n">
        <v>46049</v>
      </c>
      <c r="C233" s="46" t="n">
        <v>1764</v>
      </c>
      <c r="D233" s="46" t="inlineStr">
        <is>
          <t>استوريا خ</t>
        </is>
      </c>
      <c r="E233" s="46" t="inlineStr">
        <is>
          <t>1*40</t>
        </is>
      </c>
      <c r="F233" s="46" t="inlineStr">
        <is>
          <t>الاندلس</t>
        </is>
      </c>
      <c r="G233" s="46" t="inlineStr">
        <is>
          <t xml:space="preserve">انشاص /ج العاشر </t>
        </is>
      </c>
      <c r="H233" s="46" t="inlineStr">
        <is>
          <t>882885/3</t>
        </is>
      </c>
      <c r="I233" s="46" t="inlineStr">
        <is>
          <t>ب د ط 1274</t>
        </is>
      </c>
      <c r="J233" s="46" t="inlineStr">
        <is>
          <t xml:space="preserve">هانى سعفان </t>
        </is>
      </c>
      <c r="K233" s="46" t="inlineStr">
        <is>
          <t>استوريا</t>
        </is>
      </c>
      <c r="L233" s="47" t="n">
        <v>16000</v>
      </c>
      <c r="M233" s="47" t="n">
        <v>10100</v>
      </c>
      <c r="N233" s="47" t="n"/>
      <c r="O233" s="47" t="n">
        <v>200</v>
      </c>
      <c r="P233" s="47" t="n"/>
      <c r="Q233" s="47" t="n">
        <v>5700</v>
      </c>
      <c r="R233" s="43">
        <f>IF($B233="","",N($S233)-N($Q233))</f>
        <v/>
      </c>
      <c r="S233" s="43">
        <f>IF($B233="","",N($L233)+N($N233)+N($P233))</f>
        <v/>
      </c>
      <c r="T233" s="47" t="n"/>
      <c r="U233" s="47" t="n"/>
      <c r="V233" s="47" t="n"/>
      <c r="W233" s="47" t="n"/>
      <c r="X233" s="47" t="n"/>
      <c r="Y233" s="47" t="n"/>
      <c r="Z233" s="47" t="n"/>
      <c r="AA233" s="47" t="n"/>
      <c r="AB233" s="47" t="n"/>
      <c r="AC233" s="47" t="n"/>
      <c r="AD233" s="47" t="n"/>
      <c r="AE233" s="47" t="n"/>
      <c r="AF233" s="43">
        <f>IF($B233="","",SUM($T233:$AE233))</f>
        <v/>
      </c>
      <c r="AG233" s="43">
        <f>IF($B233="","",N($M233)-N($AF233))</f>
        <v/>
      </c>
      <c r="AH233" s="43">
        <f>IF($B233="","",N($L233)-N($AF233))</f>
        <v/>
      </c>
      <c r="AI233" s="149">
        <f>IF($B233="","",IF(N($L233)=0,"",(N($L233)-N($AF233))/N($L233)))</f>
        <v/>
      </c>
    </row>
    <row r="234">
      <c r="A234" s="39">
        <f>IF($B234="","",COUNTA($B$4:$B234))</f>
        <v/>
      </c>
      <c r="B234" s="40" t="n">
        <v>46049</v>
      </c>
      <c r="C234" s="41" t="n">
        <v>1766</v>
      </c>
      <c r="D234" s="41" t="inlineStr">
        <is>
          <t>سعد منير</t>
        </is>
      </c>
      <c r="E234" s="41" t="inlineStr">
        <is>
          <t>1*40</t>
        </is>
      </c>
      <c r="F234" s="41" t="inlineStr">
        <is>
          <t>الاندلس</t>
        </is>
      </c>
      <c r="G234" s="41" t="inlineStr">
        <is>
          <t xml:space="preserve">انشاص /ج العاشر </t>
        </is>
      </c>
      <c r="H234" s="41" t="inlineStr">
        <is>
          <t>617940/3</t>
        </is>
      </c>
      <c r="I234" s="41" t="inlineStr">
        <is>
          <t>س ا ى5929</t>
        </is>
      </c>
      <c r="J234" s="41" t="inlineStr">
        <is>
          <t xml:space="preserve">اسلام محمد </t>
        </is>
      </c>
      <c r="K234" s="41" t="inlineStr">
        <is>
          <t>استوريا</t>
        </is>
      </c>
      <c r="L234" s="42" t="n">
        <v>16000</v>
      </c>
      <c r="M234" s="42" t="n">
        <v>10100</v>
      </c>
      <c r="N234" s="42" t="n"/>
      <c r="O234" s="42" t="n">
        <v>200</v>
      </c>
      <c r="P234" s="42" t="n"/>
      <c r="Q234" s="42" t="n">
        <v>5700</v>
      </c>
      <c r="R234" s="43">
        <f>IF($B234="","",N($S234)-N($Q234))</f>
        <v/>
      </c>
      <c r="S234" s="43">
        <f>IF($B234="","",N($L234)+N($N234)+N($P234))</f>
        <v/>
      </c>
      <c r="T234" s="42" t="n"/>
      <c r="U234" s="42" t="n"/>
      <c r="V234" s="42" t="n"/>
      <c r="W234" s="42" t="n"/>
      <c r="X234" s="42" t="n"/>
      <c r="Y234" s="42" t="n"/>
      <c r="Z234" s="42" t="n"/>
      <c r="AA234" s="42" t="n"/>
      <c r="AB234" s="42" t="n"/>
      <c r="AC234" s="42" t="n"/>
      <c r="AD234" s="42" t="n"/>
      <c r="AE234" s="42" t="n"/>
      <c r="AF234" s="43">
        <f>IF($B234="","",SUM($T234:$AE234))</f>
        <v/>
      </c>
      <c r="AG234" s="43">
        <f>IF($B234="","",N($M234)-N($AF234))</f>
        <v/>
      </c>
      <c r="AH234" s="43">
        <f>IF($B234="","",N($L234)-N($AF234))</f>
        <v/>
      </c>
      <c r="AI234" s="149">
        <f>IF($B234="","",IF(N($L234)=0,"",(N($L234)-N($AF234))/N($L234)))</f>
        <v/>
      </c>
    </row>
    <row r="235">
      <c r="A235" s="39">
        <f>IF($B235="","",COUNTA($B$4:$B235))</f>
        <v/>
      </c>
      <c r="B235" s="45" t="n">
        <v>46049</v>
      </c>
      <c r="C235" s="46" t="n">
        <v>1767</v>
      </c>
      <c r="D235" s="46" t="inlineStr">
        <is>
          <t>عم فتحى</t>
        </is>
      </c>
      <c r="E235" s="46" t="inlineStr">
        <is>
          <t>1*40</t>
        </is>
      </c>
      <c r="F235" s="46" t="inlineStr">
        <is>
          <t xml:space="preserve">اورماتيك </t>
        </is>
      </c>
      <c r="G235" s="46" t="inlineStr">
        <is>
          <t>بنى سويف</t>
        </is>
      </c>
      <c r="H235" s="46" t="inlineStr">
        <is>
          <t>621313/9</t>
        </is>
      </c>
      <c r="I235" s="46" t="inlineStr">
        <is>
          <t>س ن ر 5945</t>
        </is>
      </c>
      <c r="J235" s="46" t="inlineStr">
        <is>
          <t xml:space="preserve">محمد السيد </t>
        </is>
      </c>
      <c r="K235" s="46" t="inlineStr">
        <is>
          <t xml:space="preserve">محمد السيد </t>
        </is>
      </c>
      <c r="L235" s="47" t="n">
        <v>19000</v>
      </c>
      <c r="M235" s="47" t="n">
        <v>12100</v>
      </c>
      <c r="N235" s="47" t="n"/>
      <c r="O235" s="47" t="n">
        <v>200</v>
      </c>
      <c r="P235" s="47" t="n"/>
      <c r="Q235" s="47" t="n">
        <v>6700</v>
      </c>
      <c r="R235" s="43">
        <f>IF($B235="","",N($S235)-N($Q235))</f>
        <v/>
      </c>
      <c r="S235" s="43">
        <f>IF($B235="","",N($L235)+N($N235)+N($P235))</f>
        <v/>
      </c>
      <c r="T235" s="47" t="n"/>
      <c r="U235" s="47" t="n"/>
      <c r="V235" s="47" t="n"/>
      <c r="W235" s="47" t="n"/>
      <c r="X235" s="47" t="n"/>
      <c r="Y235" s="47" t="n"/>
      <c r="Z235" s="47" t="n"/>
      <c r="AA235" s="47" t="n"/>
      <c r="AB235" s="47" t="n"/>
      <c r="AC235" s="47" t="n"/>
      <c r="AD235" s="47" t="n"/>
      <c r="AE235" s="47" t="n"/>
      <c r="AF235" s="43">
        <f>IF($B235="","",SUM($T235:$AE235))</f>
        <v/>
      </c>
      <c r="AG235" s="43">
        <f>IF($B235="","",N($M235)-N($AF235))</f>
        <v/>
      </c>
      <c r="AH235" s="43">
        <f>IF($B235="","",N($L235)-N($AF235))</f>
        <v/>
      </c>
      <c r="AI235" s="149">
        <f>IF($B235="","",IF(N($L235)=0,"",(N($L235)-N($AF235))/N($L235)))</f>
        <v/>
      </c>
    </row>
    <row r="236">
      <c r="A236" s="39">
        <f>IF($B236="","",COUNTA($B$4:$B236))</f>
        <v/>
      </c>
      <c r="B236" s="40" t="n">
        <v>46049</v>
      </c>
      <c r="C236" s="41" t="n">
        <v>1768</v>
      </c>
      <c r="D236" s="41" t="inlineStr">
        <is>
          <t>ايوب</t>
        </is>
      </c>
      <c r="E236" s="41" t="inlineStr">
        <is>
          <t>1*20</t>
        </is>
      </c>
      <c r="F236" s="41" t="inlineStr">
        <is>
          <t>انترناشونال</t>
        </is>
      </c>
      <c r="G236" s="41" t="inlineStr">
        <is>
          <t>م نصر</t>
        </is>
      </c>
      <c r="H236" s="41" t="inlineStr">
        <is>
          <t>031667/6</t>
        </is>
      </c>
      <c r="I236" s="41" t="inlineStr">
        <is>
          <t>ب س ج 1392</t>
        </is>
      </c>
      <c r="J236" s="41" t="inlineStr">
        <is>
          <t xml:space="preserve">مصطفى محمد </t>
        </is>
      </c>
      <c r="K236" s="41" t="inlineStr">
        <is>
          <t xml:space="preserve">ايوب </t>
        </is>
      </c>
      <c r="L236" s="42" t="n">
        <v>11500</v>
      </c>
      <c r="M236" s="42" t="n">
        <v>7100</v>
      </c>
      <c r="N236" s="42" t="n"/>
      <c r="O236" s="42" t="n">
        <v>200</v>
      </c>
      <c r="P236" s="42" t="n"/>
      <c r="Q236" s="42" t="n">
        <v>4200</v>
      </c>
      <c r="R236" s="43">
        <f>IF($B236="","",N($S236)-N($Q236))</f>
        <v/>
      </c>
      <c r="S236" s="43">
        <f>IF($B236="","",N($L236)+N($N236)+N($P236))</f>
        <v/>
      </c>
      <c r="T236" s="42" t="n"/>
      <c r="U236" s="42" t="n"/>
      <c r="V236" s="42" t="n"/>
      <c r="W236" s="42" t="n"/>
      <c r="X236" s="42" t="n"/>
      <c r="Y236" s="42" t="n"/>
      <c r="Z236" s="42" t="n"/>
      <c r="AA236" s="42" t="n"/>
      <c r="AB236" s="42" t="n"/>
      <c r="AC236" s="42" t="n"/>
      <c r="AD236" s="42" t="n"/>
      <c r="AE236" s="42" t="n"/>
      <c r="AF236" s="43">
        <f>IF($B236="","",SUM($T236:$AE236))</f>
        <v/>
      </c>
      <c r="AG236" s="43">
        <f>IF($B236="","",N($M236)-N($AF236))</f>
        <v/>
      </c>
      <c r="AH236" s="43">
        <f>IF($B236="","",N($L236)-N($AF236))</f>
        <v/>
      </c>
      <c r="AI236" s="149">
        <f>IF($B236="","",IF(N($L236)=0,"",(N($L236)-N($AF236))/N($L236)))</f>
        <v/>
      </c>
    </row>
    <row r="237">
      <c r="A237" s="39">
        <f>IF($B237="","",COUNTA($B$4:$B237))</f>
        <v/>
      </c>
      <c r="B237" s="45" t="n">
        <v>46049</v>
      </c>
      <c r="C237" s="46" t="n">
        <v>1672</v>
      </c>
      <c r="D237" s="46" t="inlineStr">
        <is>
          <t>حاتم البحر  ق</t>
        </is>
      </c>
      <c r="E237" s="46" t="inlineStr">
        <is>
          <t>1*20</t>
        </is>
      </c>
      <c r="F237" s="46" t="inlineStr">
        <is>
          <t xml:space="preserve">انالسيز </t>
        </is>
      </c>
      <c r="G237" s="46" t="inlineStr">
        <is>
          <t xml:space="preserve">اكتوبر </t>
        </is>
      </c>
      <c r="H237" s="46" t="inlineStr">
        <is>
          <t>129753/7</t>
        </is>
      </c>
      <c r="I237" s="46" t="inlineStr">
        <is>
          <t>ب ر ا 2548</t>
        </is>
      </c>
      <c r="J237" s="46" t="inlineStr">
        <is>
          <t xml:space="preserve">محمد احمد </t>
        </is>
      </c>
      <c r="K237" s="46" t="inlineStr">
        <is>
          <t xml:space="preserve">روماني </t>
        </is>
      </c>
      <c r="L237" s="47" t="n">
        <v>10000</v>
      </c>
      <c r="M237" s="47" t="n">
        <v>7100</v>
      </c>
      <c r="N237" s="47" t="n"/>
      <c r="O237" s="47" t="n">
        <v>200</v>
      </c>
      <c r="P237" s="47" t="n"/>
      <c r="Q237" s="47" t="n">
        <v>2700</v>
      </c>
      <c r="R237" s="43">
        <f>IF($B237="","",N($S237)-N($Q237))</f>
        <v/>
      </c>
      <c r="S237" s="43">
        <f>IF($B237="","",N($L237)+N($N237)+N($P237))</f>
        <v/>
      </c>
      <c r="T237" s="47" t="n"/>
      <c r="U237" s="47" t="n"/>
      <c r="V237" s="47" t="n"/>
      <c r="W237" s="47" t="n"/>
      <c r="X237" s="47" t="n"/>
      <c r="Y237" s="47" t="n"/>
      <c r="Z237" s="47" t="n"/>
      <c r="AA237" s="47" t="n"/>
      <c r="AB237" s="47" t="n"/>
      <c r="AC237" s="47" t="n"/>
      <c r="AD237" s="47" t="n"/>
      <c r="AE237" s="47" t="n"/>
      <c r="AF237" s="43">
        <f>IF($B237="","",SUM($T237:$AE237))</f>
        <v/>
      </c>
      <c r="AG237" s="43">
        <f>IF($B237="","",N($M237)-N($AF237))</f>
        <v/>
      </c>
      <c r="AH237" s="43">
        <f>IF($B237="","",N($L237)-N($AF237))</f>
        <v/>
      </c>
      <c r="AI237" s="149">
        <f>IF($B237="","",IF(N($L237)=0,"",(N($L237)-N($AF237))/N($L237)))</f>
        <v/>
      </c>
    </row>
    <row r="238">
      <c r="A238" s="39">
        <f>IF($B238="","",COUNTA($B$4:$B238))</f>
        <v/>
      </c>
      <c r="B238" s="40" t="n">
        <v>46049</v>
      </c>
      <c r="C238" s="41" t="n">
        <v>1671</v>
      </c>
      <c r="D238" s="41" t="inlineStr">
        <is>
          <t xml:space="preserve">ابراهيم سمارة </t>
        </is>
      </c>
      <c r="E238" s="41" t="inlineStr">
        <is>
          <t>1*40</t>
        </is>
      </c>
      <c r="F238" s="41" t="inlineStr">
        <is>
          <t xml:space="preserve">انالسيز </t>
        </is>
      </c>
      <c r="G238" s="41" t="inlineStr">
        <is>
          <t xml:space="preserve">اكتوبر </t>
        </is>
      </c>
      <c r="H238" s="41" t="inlineStr">
        <is>
          <t>548363/7</t>
        </is>
      </c>
      <c r="I238" s="41" t="inlineStr">
        <is>
          <t>س ع ه 8595</t>
        </is>
      </c>
      <c r="J238" s="41" t="inlineStr">
        <is>
          <t xml:space="preserve">طارق وجية </t>
        </is>
      </c>
      <c r="K238" s="41" t="inlineStr">
        <is>
          <t xml:space="preserve">ياسر عزام </t>
        </is>
      </c>
      <c r="L238" s="42" t="n">
        <v>12700</v>
      </c>
      <c r="M238" s="42" t="n">
        <v>8100</v>
      </c>
      <c r="N238" s="42" t="n"/>
      <c r="O238" s="42" t="n">
        <v>200</v>
      </c>
      <c r="P238" s="42" t="n"/>
      <c r="Q238" s="42" t="n">
        <v>4400</v>
      </c>
      <c r="R238" s="43">
        <f>IF($B238="","",N($S238)-N($Q238))</f>
        <v/>
      </c>
      <c r="S238" s="43">
        <f>IF($B238="","",N($L238)+N($N238)+N($P238))</f>
        <v/>
      </c>
      <c r="T238" s="42" t="n"/>
      <c r="U238" s="42" t="n"/>
      <c r="V238" s="42" t="n"/>
      <c r="W238" s="42" t="n"/>
      <c r="X238" s="42" t="n"/>
      <c r="Y238" s="42" t="n"/>
      <c r="Z238" s="42" t="n"/>
      <c r="AA238" s="42" t="n"/>
      <c r="AB238" s="42" t="n"/>
      <c r="AC238" s="42" t="n"/>
      <c r="AD238" s="42" t="n"/>
      <c r="AE238" s="42" t="n"/>
      <c r="AF238" s="43">
        <f>IF($B238="","",SUM($T238:$AE238))</f>
        <v/>
      </c>
      <c r="AG238" s="43">
        <f>IF($B238="","",N($M238)-N($AF238))</f>
        <v/>
      </c>
      <c r="AH238" s="43">
        <f>IF($B238="","",N($L238)-N($AF238))</f>
        <v/>
      </c>
      <c r="AI238" s="149">
        <f>IF($B238="","",IF(N($L238)=0,"",(N($L238)-N($AF238))/N($L238)))</f>
        <v/>
      </c>
    </row>
    <row r="239">
      <c r="A239" s="39">
        <f>IF($B239="","",COUNTA($B$4:$B239))</f>
        <v/>
      </c>
      <c r="B239" s="45" t="n">
        <v>46050</v>
      </c>
      <c r="C239" s="46" t="n">
        <v>1935</v>
      </c>
      <c r="D239" s="46" t="inlineStr">
        <is>
          <t>الانصارى خ</t>
        </is>
      </c>
      <c r="E239" s="46" t="inlineStr">
        <is>
          <t>1*40</t>
        </is>
      </c>
      <c r="F239" s="46" t="inlineStr">
        <is>
          <t xml:space="preserve">اورينت </t>
        </is>
      </c>
      <c r="G239" s="46" t="inlineStr">
        <is>
          <t xml:space="preserve">العاشر </t>
        </is>
      </c>
      <c r="H239" s="46" t="inlineStr">
        <is>
          <t>516676/0</t>
        </is>
      </c>
      <c r="I239" s="46" t="inlineStr">
        <is>
          <t>ب ص ا 2574</t>
        </is>
      </c>
      <c r="J239" s="46" t="inlineStr">
        <is>
          <t xml:space="preserve">محمد البحيرى </t>
        </is>
      </c>
      <c r="K239" s="46" t="inlineStr">
        <is>
          <t xml:space="preserve">احمد خليف </t>
        </is>
      </c>
      <c r="L239" s="47" t="n">
        <v>14000</v>
      </c>
      <c r="M239" s="47" t="n">
        <v>8100</v>
      </c>
      <c r="N239" s="47" t="n"/>
      <c r="O239" s="47" t="n">
        <v>200</v>
      </c>
      <c r="P239" s="47" t="n"/>
      <c r="Q239" s="47" t="n">
        <v>5700</v>
      </c>
      <c r="R239" s="43">
        <f>IF($B239="","",N($S239)-N($Q239))</f>
        <v/>
      </c>
      <c r="S239" s="43">
        <f>IF($B239="","",N($L239)+N($N239)+N($P239))</f>
        <v/>
      </c>
      <c r="T239" s="47" t="n"/>
      <c r="U239" s="47" t="n"/>
      <c r="V239" s="47" t="n"/>
      <c r="W239" s="47" t="n"/>
      <c r="X239" s="47" t="n"/>
      <c r="Y239" s="47" t="n"/>
      <c r="Z239" s="47" t="n"/>
      <c r="AA239" s="47" t="n"/>
      <c r="AB239" s="47" t="n"/>
      <c r="AC239" s="47" t="n"/>
      <c r="AD239" s="47" t="n"/>
      <c r="AE239" s="47" t="n"/>
      <c r="AF239" s="43">
        <f>IF($B239="","",SUM($T239:$AE239))</f>
        <v/>
      </c>
      <c r="AG239" s="43">
        <f>IF($B239="","",N($M239)-N($AF239))</f>
        <v/>
      </c>
      <c r="AH239" s="43">
        <f>IF($B239="","",N($L239)-N($AF239))</f>
        <v/>
      </c>
      <c r="AI239" s="149">
        <f>IF($B239="","",IF(N($L239)=0,"",(N($L239)-N($AF239))/N($L239)))</f>
        <v/>
      </c>
    </row>
    <row r="240">
      <c r="A240" s="39">
        <f>IF($B240="","",COUNTA($B$4:$B240))</f>
        <v/>
      </c>
      <c r="B240" s="40" t="n">
        <v>46050</v>
      </c>
      <c r="C240" s="41" t="n">
        <v>1934</v>
      </c>
      <c r="D240" s="41" t="inlineStr">
        <is>
          <t>المكتب</t>
        </is>
      </c>
      <c r="E240" s="41" t="inlineStr">
        <is>
          <t>1*40</t>
        </is>
      </c>
      <c r="F240" s="41" t="inlineStr">
        <is>
          <t xml:space="preserve">الانارة العامة </t>
        </is>
      </c>
      <c r="G240" s="41" t="inlineStr">
        <is>
          <t xml:space="preserve">العاشر </t>
        </is>
      </c>
      <c r="H240" s="41" t="inlineStr">
        <is>
          <t>523808/8</t>
        </is>
      </c>
      <c r="I240" s="41" t="inlineStr">
        <is>
          <t>س ع م 8737</t>
        </is>
      </c>
      <c r="J240" s="41" t="inlineStr">
        <is>
          <t xml:space="preserve">محمود بكر </t>
        </is>
      </c>
      <c r="K240" s="41" t="inlineStr">
        <is>
          <t>المكتب</t>
        </is>
      </c>
      <c r="L240" s="42" t="n">
        <v>14000</v>
      </c>
      <c r="M240" s="42" t="n">
        <v>7000</v>
      </c>
      <c r="N240" s="42" t="n"/>
      <c r="O240" s="42" t="n"/>
      <c r="P240" s="42" t="n"/>
      <c r="Q240" s="42" t="n">
        <v>7000</v>
      </c>
      <c r="R240" s="43">
        <f>IF($B240="","",N($S240)-N($Q240))</f>
        <v/>
      </c>
      <c r="S240" s="43">
        <f>IF($B240="","",N($L240)+N($N240)+N($P240))</f>
        <v/>
      </c>
      <c r="T240" s="42" t="n">
        <v>1500</v>
      </c>
      <c r="U240" s="42" t="n">
        <v>600</v>
      </c>
      <c r="V240" s="42" t="n"/>
      <c r="W240" s="42" t="n">
        <v>150</v>
      </c>
      <c r="X240" s="42" t="n">
        <v>130</v>
      </c>
      <c r="Y240" s="42" t="n">
        <v>60</v>
      </c>
      <c r="Z240" s="42" t="n"/>
      <c r="AA240" s="42" t="n"/>
      <c r="AB240" s="42" t="n"/>
      <c r="AC240" s="42" t="n">
        <v>250</v>
      </c>
      <c r="AD240" s="42" t="n">
        <v>100</v>
      </c>
      <c r="AE240" s="42" t="n">
        <v>4640</v>
      </c>
      <c r="AF240" s="43">
        <f>IF($B240="","",SUM($T240:$AE240))</f>
        <v/>
      </c>
      <c r="AG240" s="43">
        <f>IF($B240="","",N($M240)-N($AF240))</f>
        <v/>
      </c>
      <c r="AH240" s="43">
        <f>IF($B240="","",N($L240)-N($AF240))</f>
        <v/>
      </c>
      <c r="AI240" s="149">
        <f>IF($B240="","",IF(N($L240)=0,"",(N($L240)-N($AF240))/N($L240)))</f>
        <v/>
      </c>
    </row>
    <row r="241">
      <c r="A241" s="39">
        <f>IF($B241="","",COUNTA($B$4:$B241))</f>
        <v/>
      </c>
      <c r="B241" s="45" t="n">
        <v>46050</v>
      </c>
      <c r="C241" s="46" t="n">
        <v>1673</v>
      </c>
      <c r="D241" s="46" t="inlineStr">
        <is>
          <t>احمد عبدو خ</t>
        </is>
      </c>
      <c r="E241" s="46" t="inlineStr">
        <is>
          <t>1*40</t>
        </is>
      </c>
      <c r="F241" s="46" t="inlineStr">
        <is>
          <t xml:space="preserve">المصرية الاوربية </t>
        </is>
      </c>
      <c r="G241" s="46" t="inlineStr">
        <is>
          <t xml:space="preserve">الفيوم </t>
        </is>
      </c>
      <c r="H241" s="46" t="inlineStr">
        <is>
          <t>448088/6</t>
        </is>
      </c>
      <c r="I241" s="46" t="inlineStr">
        <is>
          <t>س ل ب 5917</t>
        </is>
      </c>
      <c r="J241" s="46" t="inlineStr">
        <is>
          <t xml:space="preserve">احمد محمود </t>
        </is>
      </c>
      <c r="K241" s="46" t="inlineStr">
        <is>
          <t xml:space="preserve">علاء علام </t>
        </is>
      </c>
      <c r="L241" s="47" t="n">
        <v>17500</v>
      </c>
      <c r="M241" s="47" t="n">
        <v>9100</v>
      </c>
      <c r="N241" s="47" t="n"/>
      <c r="O241" s="47" t="n">
        <v>200</v>
      </c>
      <c r="P241" s="47" t="n"/>
      <c r="Q241" s="47" t="n">
        <v>8200</v>
      </c>
      <c r="R241" s="43">
        <f>IF($B241="","",N($S241)-N($Q241))</f>
        <v/>
      </c>
      <c r="S241" s="43">
        <f>IF($B241="","",N($L241)+N($N241)+N($P241))</f>
        <v/>
      </c>
      <c r="T241" s="47" t="n"/>
      <c r="U241" s="47" t="n"/>
      <c r="V241" s="47" t="n"/>
      <c r="W241" s="47" t="n"/>
      <c r="X241" s="47" t="n"/>
      <c r="Y241" s="47" t="n"/>
      <c r="Z241" s="47" t="n"/>
      <c r="AA241" s="47" t="n"/>
      <c r="AB241" s="47" t="n"/>
      <c r="AC241" s="47" t="n"/>
      <c r="AD241" s="47" t="n"/>
      <c r="AE241" s="47" t="n"/>
      <c r="AF241" s="43">
        <f>IF($B241="","",SUM($T241:$AE241))</f>
        <v/>
      </c>
      <c r="AG241" s="43">
        <f>IF($B241="","",N($M241)-N($AF241))</f>
        <v/>
      </c>
      <c r="AH241" s="43">
        <f>IF($B241="","",N($L241)-N($AF241))</f>
        <v/>
      </c>
      <c r="AI241" s="149">
        <f>IF($B241="","",IF(N($L241)=0,"",(N($L241)-N($AF241))/N($L241)))</f>
        <v/>
      </c>
    </row>
    <row r="242">
      <c r="A242" s="39">
        <f>IF($B242="","",COUNTA($B$4:$B242))</f>
        <v/>
      </c>
      <c r="B242" s="40" t="n">
        <v>46050</v>
      </c>
      <c r="C242" s="41" t="n">
        <v>1749</v>
      </c>
      <c r="D242" s="41" t="inlineStr">
        <is>
          <t>حماد خ</t>
        </is>
      </c>
      <c r="E242" s="41" t="inlineStr">
        <is>
          <t>2*20</t>
        </is>
      </c>
      <c r="F242" s="41" t="inlineStr">
        <is>
          <t xml:space="preserve">ريجينا </t>
        </is>
      </c>
      <c r="G242" s="41" t="inlineStr">
        <is>
          <t xml:space="preserve">السادات </t>
        </is>
      </c>
      <c r="H242" s="41" t="inlineStr">
        <is>
          <t>207879/8-211846/3</t>
        </is>
      </c>
      <c r="I242" s="41" t="inlineStr">
        <is>
          <t>س م ا 6137</t>
        </is>
      </c>
      <c r="J242" s="41" t="inlineStr">
        <is>
          <t xml:space="preserve">ايمن عبد العزيز </t>
        </is>
      </c>
      <c r="K242" s="41" t="n"/>
      <c r="L242" s="42" t="n">
        <v>15500</v>
      </c>
      <c r="M242" s="42" t="n">
        <v>8100</v>
      </c>
      <c r="N242" s="42" t="n"/>
      <c r="O242" s="42" t="n">
        <v>200</v>
      </c>
      <c r="P242" s="42" t="n"/>
      <c r="Q242" s="42" t="n">
        <v>7200</v>
      </c>
      <c r="R242" s="43">
        <f>IF($B242="","",N($S242)-N($Q242))</f>
        <v/>
      </c>
      <c r="S242" s="43">
        <f>IF($B242="","",N($L242)+N($N242)+N($P242))</f>
        <v/>
      </c>
      <c r="T242" s="42" t="n"/>
      <c r="U242" s="42" t="n"/>
      <c r="V242" s="42" t="n"/>
      <c r="W242" s="42" t="n"/>
      <c r="X242" s="42" t="n"/>
      <c r="Y242" s="42" t="n"/>
      <c r="Z242" s="42" t="n"/>
      <c r="AA242" s="42" t="n"/>
      <c r="AB242" s="42" t="n"/>
      <c r="AC242" s="42" t="n"/>
      <c r="AD242" s="42" t="n"/>
      <c r="AE242" s="42" t="n"/>
      <c r="AF242" s="43">
        <f>IF($B242="","",SUM($T242:$AE242))</f>
        <v/>
      </c>
      <c r="AG242" s="43">
        <f>IF($B242="","",N($M242)-N($AF242))</f>
        <v/>
      </c>
      <c r="AH242" s="43">
        <f>IF($B242="","",N($L242)-N($AF242))</f>
        <v/>
      </c>
      <c r="AI242" s="149">
        <f>IF($B242="","",IF(N($L242)=0,"",(N($L242)-N($AF242))/N($L242)))</f>
        <v/>
      </c>
    </row>
    <row r="243">
      <c r="A243" s="39">
        <f>IF($B243="","",COUNTA($B$4:$B243))</f>
        <v/>
      </c>
      <c r="B243" s="45" t="n">
        <v>46050</v>
      </c>
      <c r="C243" s="46" t="n">
        <v>1747</v>
      </c>
      <c r="D243" s="46" t="inlineStr">
        <is>
          <t xml:space="preserve">كريم مرعى </t>
        </is>
      </c>
      <c r="E243" s="46" t="inlineStr">
        <is>
          <t>2*20</t>
        </is>
      </c>
      <c r="F243" s="46" t="inlineStr">
        <is>
          <t xml:space="preserve">ريجينا </t>
        </is>
      </c>
      <c r="G243" s="46" t="inlineStr">
        <is>
          <t xml:space="preserve">السادات </t>
        </is>
      </c>
      <c r="H243" s="46" t="inlineStr">
        <is>
          <t>296150/8-207878/2</t>
        </is>
      </c>
      <c r="I243" s="46" t="inlineStr">
        <is>
          <t>ب ص ا2574</t>
        </is>
      </c>
      <c r="J243" s="46" t="inlineStr">
        <is>
          <t xml:space="preserve">محمد البحيرى </t>
        </is>
      </c>
      <c r="K243" s="46" t="inlineStr">
        <is>
          <t xml:space="preserve">احمد خليف </t>
        </is>
      </c>
      <c r="L243" s="47" t="n">
        <v>15000</v>
      </c>
      <c r="M243" s="47" t="n">
        <v>8100</v>
      </c>
      <c r="N243" s="47" t="n"/>
      <c r="O243" s="47" t="n">
        <v>200</v>
      </c>
      <c r="P243" s="47" t="n"/>
      <c r="Q243" s="47" t="n">
        <v>6700</v>
      </c>
      <c r="R243" s="43">
        <f>IF($B243="","",N($S243)-N($Q243))</f>
        <v/>
      </c>
      <c r="S243" s="43">
        <f>IF($B243="","",N($L243)+N($N243)+N($P243))</f>
        <v/>
      </c>
      <c r="T243" s="47" t="n"/>
      <c r="U243" s="47" t="n"/>
      <c r="V243" s="47" t="n"/>
      <c r="W243" s="47" t="n"/>
      <c r="X243" s="47" t="n"/>
      <c r="Y243" s="47" t="n"/>
      <c r="Z243" s="47" t="n"/>
      <c r="AA243" s="47" t="n"/>
      <c r="AB243" s="47" t="n"/>
      <c r="AC243" s="47" t="n"/>
      <c r="AD243" s="47" t="n"/>
      <c r="AE243" s="47" t="n"/>
      <c r="AF243" s="43">
        <f>IF($B243="","",SUM($T243:$AE243))</f>
        <v/>
      </c>
      <c r="AG243" s="43">
        <f>IF($B243="","",N($M243)-N($AF243))</f>
        <v/>
      </c>
      <c r="AH243" s="43">
        <f>IF($B243="","",N($L243)-N($AF243))</f>
        <v/>
      </c>
      <c r="AI243" s="149">
        <f>IF($B243="","",IF(N($L243)=0,"",(N($L243)-N($AF243))/N($L243)))</f>
        <v/>
      </c>
    </row>
    <row r="244">
      <c r="A244" s="39">
        <f>IF($B244="","",COUNTA($B$4:$B244))</f>
        <v/>
      </c>
      <c r="B244" s="40" t="n">
        <v>46050</v>
      </c>
      <c r="C244" s="41" t="n">
        <v>1746</v>
      </c>
      <c r="D244" s="41" t="inlineStr">
        <is>
          <t>ايوب خ</t>
        </is>
      </c>
      <c r="E244" s="41" t="inlineStr">
        <is>
          <t>2*20</t>
        </is>
      </c>
      <c r="F244" s="41" t="n"/>
      <c r="G244" s="41" t="inlineStr">
        <is>
          <t xml:space="preserve">السادات </t>
        </is>
      </c>
      <c r="H244" s="41" t="inlineStr">
        <is>
          <t>125570/7-290631/0</t>
        </is>
      </c>
      <c r="I244" s="41" t="inlineStr">
        <is>
          <t>ط ف ر 5195</t>
        </is>
      </c>
      <c r="J244" s="41" t="inlineStr">
        <is>
          <t xml:space="preserve">عبد الله </t>
        </is>
      </c>
      <c r="K244" s="41" t="inlineStr">
        <is>
          <t xml:space="preserve">ايوب </t>
        </is>
      </c>
      <c r="L244" s="42" t="n">
        <v>15500</v>
      </c>
      <c r="M244" s="42" t="n">
        <v>8100</v>
      </c>
      <c r="N244" s="42" t="n"/>
      <c r="O244" s="42" t="n">
        <v>200</v>
      </c>
      <c r="P244" s="42" t="n"/>
      <c r="Q244" s="42" t="n">
        <v>7200</v>
      </c>
      <c r="R244" s="43">
        <f>IF($B244="","",N($S244)-N($Q244))</f>
        <v/>
      </c>
      <c r="S244" s="43">
        <f>IF($B244="","",N($L244)+N($N244)+N($P244))</f>
        <v/>
      </c>
      <c r="T244" s="42" t="n"/>
      <c r="U244" s="42" t="n"/>
      <c r="V244" s="42" t="n"/>
      <c r="W244" s="42" t="n"/>
      <c r="X244" s="42" t="n"/>
      <c r="Y244" s="42" t="n"/>
      <c r="Z244" s="42" t="n"/>
      <c r="AA244" s="42" t="n"/>
      <c r="AB244" s="42" t="n"/>
      <c r="AC244" s="42" t="n"/>
      <c r="AD244" s="42" t="n"/>
      <c r="AE244" s="42" t="n"/>
      <c r="AF244" s="43">
        <f>IF($B244="","",SUM($T244:$AE244))</f>
        <v/>
      </c>
      <c r="AG244" s="43">
        <f>IF($B244="","",N($M244)-N($AF244))</f>
        <v/>
      </c>
      <c r="AH244" s="43">
        <f>IF($B244="","",N($L244)-N($AF244))</f>
        <v/>
      </c>
      <c r="AI244" s="149">
        <f>IF($B244="","",IF(N($L244)=0,"",(N($L244)-N($AF244))/N($L244)))</f>
        <v/>
      </c>
    </row>
    <row r="245">
      <c r="A245" s="39">
        <f>IF($B245="","",COUNTA($B$4:$B245))</f>
        <v/>
      </c>
      <c r="B245" s="45" t="n">
        <v>46050</v>
      </c>
      <c r="C245" s="46" t="n">
        <v>1745</v>
      </c>
      <c r="D245" s="46" t="inlineStr">
        <is>
          <t xml:space="preserve">حمو مرزوق </t>
        </is>
      </c>
      <c r="E245" s="46" t="inlineStr">
        <is>
          <t>2*20</t>
        </is>
      </c>
      <c r="F245" s="46" t="inlineStr">
        <is>
          <t xml:space="preserve">ريجينا </t>
        </is>
      </c>
      <c r="G245" s="46" t="inlineStr">
        <is>
          <t xml:space="preserve">السادات </t>
        </is>
      </c>
      <c r="H245" s="46" t="inlineStr">
        <is>
          <t>213786/4-213431/4</t>
        </is>
      </c>
      <c r="I245" s="46" t="inlineStr">
        <is>
          <t>س ر ا 6671</t>
        </is>
      </c>
      <c r="J245" s="46" t="inlineStr">
        <is>
          <t xml:space="preserve">السيد بدوى </t>
        </is>
      </c>
      <c r="K245" s="46" t="inlineStr">
        <is>
          <t xml:space="preserve">حمو مرزوق </t>
        </is>
      </c>
      <c r="L245" s="47" t="n">
        <v>15500</v>
      </c>
      <c r="M245" s="47" t="n">
        <v>9100</v>
      </c>
      <c r="N245" s="47" t="n"/>
      <c r="O245" s="47" t="n">
        <v>200</v>
      </c>
      <c r="P245" s="47" t="n"/>
      <c r="Q245" s="47" t="n">
        <v>6200</v>
      </c>
      <c r="R245" s="43">
        <f>IF($B245="","",N($S245)-N($Q245))</f>
        <v/>
      </c>
      <c r="S245" s="43">
        <f>IF($B245="","",N($L245)+N($N245)+N($P245))</f>
        <v/>
      </c>
      <c r="T245" s="47" t="n"/>
      <c r="U245" s="47" t="n"/>
      <c r="V245" s="47" t="n"/>
      <c r="W245" s="47" t="n"/>
      <c r="X245" s="47" t="n"/>
      <c r="Y245" s="47" t="n"/>
      <c r="Z245" s="47" t="n"/>
      <c r="AA245" s="47" t="n"/>
      <c r="AB245" s="47" t="n"/>
      <c r="AC245" s="47" t="n"/>
      <c r="AD245" s="47" t="n"/>
      <c r="AE245" s="47" t="n"/>
      <c r="AF245" s="43">
        <f>IF($B245="","",SUM($T245:$AE245))</f>
        <v/>
      </c>
      <c r="AG245" s="43">
        <f>IF($B245="","",N($M245)-N($AF245))</f>
        <v/>
      </c>
      <c r="AH245" s="43">
        <f>IF($B245="","",N($L245)-N($AF245))</f>
        <v/>
      </c>
      <c r="AI245" s="149">
        <f>IF($B245="","",IF(N($L245)=0,"",(N($L245)-N($AF245))/N($L245)))</f>
        <v/>
      </c>
    </row>
    <row r="246">
      <c r="A246" s="39">
        <f>IF($B246="","",COUNTA($B$4:$B246))</f>
        <v/>
      </c>
      <c r="B246" s="40" t="n">
        <v>46050</v>
      </c>
      <c r="C246" s="41" t="n">
        <v>1748</v>
      </c>
      <c r="D246" s="41" t="inlineStr">
        <is>
          <t>المكتب</t>
        </is>
      </c>
      <c r="E246" s="41" t="inlineStr">
        <is>
          <t>2*20</t>
        </is>
      </c>
      <c r="F246" s="41" t="inlineStr">
        <is>
          <t xml:space="preserve">ريجينا </t>
        </is>
      </c>
      <c r="G246" s="41" t="inlineStr">
        <is>
          <t xml:space="preserve">السادات </t>
        </is>
      </c>
      <c r="H246" s="41" t="inlineStr">
        <is>
          <t>202043/1-211422/0</t>
        </is>
      </c>
      <c r="I246" s="41" t="inlineStr">
        <is>
          <t>س ع م 8737</t>
        </is>
      </c>
      <c r="J246" s="41" t="inlineStr">
        <is>
          <t xml:space="preserve">محمود بكر </t>
        </is>
      </c>
      <c r="K246" s="41" t="inlineStr">
        <is>
          <t>المكتب</t>
        </is>
      </c>
      <c r="L246" s="42" t="n">
        <v>15500</v>
      </c>
      <c r="M246" s="42" t="n">
        <v>6000</v>
      </c>
      <c r="N246" s="42" t="n"/>
      <c r="O246" s="42" t="n"/>
      <c r="P246" s="42" t="n"/>
      <c r="Q246" s="42" t="n">
        <v>9500</v>
      </c>
      <c r="R246" s="43">
        <f>IF($B246="","",N($S246)-N($Q246))</f>
        <v/>
      </c>
      <c r="S246" s="43">
        <f>IF($B246="","",N($L246)+N($N246)+N($P246))</f>
        <v/>
      </c>
      <c r="T246" s="42" t="n">
        <v>1600</v>
      </c>
      <c r="U246" s="42" t="n">
        <v>600</v>
      </c>
      <c r="V246" s="42" t="n"/>
      <c r="W246" s="42" t="n">
        <v>200</v>
      </c>
      <c r="X246" s="42" t="n">
        <v>60</v>
      </c>
      <c r="Y246" s="42" t="n">
        <v>120</v>
      </c>
      <c r="Z246" s="42" t="n"/>
      <c r="AA246" s="42" t="n"/>
      <c r="AB246" s="42" t="n">
        <v>250</v>
      </c>
      <c r="AC246" s="42" t="n">
        <v>250</v>
      </c>
      <c r="AD246" s="42" t="n"/>
      <c r="AE246" s="42" t="n">
        <v>2640</v>
      </c>
      <c r="AF246" s="43">
        <f>IF($B246="","",SUM($T246:$AE246))</f>
        <v/>
      </c>
      <c r="AG246" s="43">
        <f>IF($B246="","",N($M246)-N($AF246))</f>
        <v/>
      </c>
      <c r="AH246" s="43">
        <f>IF($B246="","",N($L246)-N($AF246))</f>
        <v/>
      </c>
      <c r="AI246" s="149">
        <f>IF($B246="","",IF(N($L246)=0,"",(N($L246)-N($AF246))/N($L246)))</f>
        <v/>
      </c>
    </row>
    <row r="247">
      <c r="A247" s="39">
        <f>IF($B247="","",COUNTA($B$4:$B247))</f>
        <v/>
      </c>
      <c r="B247" s="45" t="n">
        <v>46050</v>
      </c>
      <c r="C247" s="46" t="n">
        <v>1675</v>
      </c>
      <c r="D247" s="46" t="inlineStr">
        <is>
          <t>الفرجانى</t>
        </is>
      </c>
      <c r="E247" s="46" t="inlineStr">
        <is>
          <t>1*40 ث</t>
        </is>
      </c>
      <c r="F247" s="46" t="inlineStr">
        <is>
          <t>المجد</t>
        </is>
      </c>
      <c r="G247" s="46" t="inlineStr">
        <is>
          <t xml:space="preserve">التوفيقية </t>
        </is>
      </c>
      <c r="H247" s="46" t="inlineStr">
        <is>
          <t>950897/5</t>
        </is>
      </c>
      <c r="I247" s="46" t="inlineStr">
        <is>
          <t>س م ص 1193</t>
        </is>
      </c>
      <c r="J247" s="46" t="inlineStr">
        <is>
          <t xml:space="preserve">علاء محروس </t>
        </is>
      </c>
      <c r="K247" s="46" t="inlineStr">
        <is>
          <t xml:space="preserve">الفرجانى </t>
        </is>
      </c>
      <c r="L247" s="47" t="n">
        <v>11000</v>
      </c>
      <c r="M247" s="47" t="n">
        <v>5100</v>
      </c>
      <c r="N247" s="47" t="n"/>
      <c r="O247" s="47" t="n">
        <v>200</v>
      </c>
      <c r="P247" s="47" t="n"/>
      <c r="Q247" s="47" t="n">
        <v>5700</v>
      </c>
      <c r="R247" s="43">
        <f>IF($B247="","",N($S247)-N($Q247))</f>
        <v/>
      </c>
      <c r="S247" s="43">
        <f>IF($B247="","",N($L247)+N($N247)+N($P247))</f>
        <v/>
      </c>
      <c r="T247" s="47" t="n"/>
      <c r="U247" s="47" t="n"/>
      <c r="V247" s="47" t="n"/>
      <c r="W247" s="47" t="n"/>
      <c r="X247" s="47" t="n"/>
      <c r="Y247" s="47" t="n"/>
      <c r="Z247" s="47" t="n"/>
      <c r="AA247" s="47" t="n"/>
      <c r="AB247" s="47" t="n"/>
      <c r="AC247" s="47" t="n"/>
      <c r="AD247" s="47" t="n"/>
      <c r="AE247" s="47" t="n"/>
      <c r="AF247" s="43">
        <f>IF($B247="","",SUM($T247:$AE247))</f>
        <v/>
      </c>
      <c r="AG247" s="43">
        <f>IF($B247="","",N($M247)-N($AF247))</f>
        <v/>
      </c>
      <c r="AH247" s="43">
        <f>IF($B247="","",N($L247)-N($AF247))</f>
        <v/>
      </c>
      <c r="AI247" s="149">
        <f>IF($B247="","",IF(N($L247)=0,"",(N($L247)-N($AF247))/N($L247)))</f>
        <v/>
      </c>
    </row>
    <row r="248">
      <c r="A248" s="39">
        <f>IF($B248="","",COUNTA($B$4:$B248))</f>
        <v/>
      </c>
      <c r="B248" s="40" t="n">
        <v>46050</v>
      </c>
      <c r="C248" s="41" t="n">
        <v>1676</v>
      </c>
      <c r="D248" s="41" t="inlineStr">
        <is>
          <t>الفرجانى</t>
        </is>
      </c>
      <c r="E248" s="41" t="inlineStr">
        <is>
          <t>1*40 ث</t>
        </is>
      </c>
      <c r="F248" s="41" t="inlineStr">
        <is>
          <t>المجد</t>
        </is>
      </c>
      <c r="G248" s="41" t="inlineStr">
        <is>
          <t xml:space="preserve">التوفيقية </t>
        </is>
      </c>
      <c r="H248" s="41" t="inlineStr">
        <is>
          <t>280297/0</t>
        </is>
      </c>
      <c r="I248" s="41" t="inlineStr">
        <is>
          <t>س ا ه 3767</t>
        </is>
      </c>
      <c r="J248" s="41" t="inlineStr">
        <is>
          <t xml:space="preserve">احمد القرموطى </t>
        </is>
      </c>
      <c r="K248" s="41" t="inlineStr">
        <is>
          <t xml:space="preserve">الفرجانى </t>
        </is>
      </c>
      <c r="L248" s="42" t="n">
        <v>11000</v>
      </c>
      <c r="M248" s="42" t="n">
        <v>5100</v>
      </c>
      <c r="N248" s="42" t="n"/>
      <c r="O248" s="42" t="n">
        <v>200</v>
      </c>
      <c r="P248" s="42" t="n"/>
      <c r="Q248" s="42" t="n">
        <v>5700</v>
      </c>
      <c r="R248" s="43">
        <f>IF($B248="","",N($S248)-N($Q248))</f>
        <v/>
      </c>
      <c r="S248" s="43">
        <f>IF($B248="","",N($L248)+N($N248)+N($P248))</f>
        <v/>
      </c>
      <c r="T248" s="42" t="n"/>
      <c r="U248" s="42" t="n"/>
      <c r="V248" s="42" t="n"/>
      <c r="W248" s="42" t="n"/>
      <c r="X248" s="42" t="n"/>
      <c r="Y248" s="42" t="n"/>
      <c r="Z248" s="42" t="n"/>
      <c r="AA248" s="42" t="n"/>
      <c r="AB248" s="42" t="n"/>
      <c r="AC248" s="42" t="n"/>
      <c r="AD248" s="42" t="n"/>
      <c r="AE248" s="42" t="n"/>
      <c r="AF248" s="43">
        <f>IF($B248="","",SUM($T248:$AE248))</f>
        <v/>
      </c>
      <c r="AG248" s="43">
        <f>IF($B248="","",N($M248)-N($AF248))</f>
        <v/>
      </c>
      <c r="AH248" s="43">
        <f>IF($B248="","",N($L248)-N($AF248))</f>
        <v/>
      </c>
      <c r="AI248" s="149">
        <f>IF($B248="","",IF(N($L248)=0,"",(N($L248)-N($AF248))/N($L248)))</f>
        <v/>
      </c>
    </row>
    <row r="249">
      <c r="A249" s="39">
        <f>IF($B249="","",COUNTA($B$4:$B249))</f>
        <v/>
      </c>
      <c r="B249" s="45" t="n">
        <v>46050</v>
      </c>
      <c r="C249" s="46" t="n">
        <v>1677</v>
      </c>
      <c r="D249" s="46" t="inlineStr">
        <is>
          <t>صعيدى 1 خ</t>
        </is>
      </c>
      <c r="E249" s="46" t="inlineStr">
        <is>
          <t>1*40 ث</t>
        </is>
      </c>
      <c r="F249" s="46" t="inlineStr">
        <is>
          <t>المجد</t>
        </is>
      </c>
      <c r="G249" s="46" t="inlineStr">
        <is>
          <t xml:space="preserve">التوفيقية </t>
        </is>
      </c>
      <c r="H249" s="46" t="inlineStr">
        <is>
          <t>610338/7</t>
        </is>
      </c>
      <c r="I249" s="46" t="inlineStr">
        <is>
          <t>س ق ب 9283</t>
        </is>
      </c>
      <c r="J249" s="46" t="inlineStr">
        <is>
          <t xml:space="preserve">احمد مطر </t>
        </is>
      </c>
      <c r="K249" s="46" t="inlineStr">
        <is>
          <t xml:space="preserve">محمد الصعيدى </t>
        </is>
      </c>
      <c r="L249" s="47" t="n">
        <v>11000</v>
      </c>
      <c r="M249" s="47" t="n">
        <v>5100</v>
      </c>
      <c r="N249" s="47" t="n"/>
      <c r="O249" s="47" t="n">
        <v>200</v>
      </c>
      <c r="P249" s="47" t="n"/>
      <c r="Q249" s="47" t="n">
        <v>5700</v>
      </c>
      <c r="R249" s="43">
        <f>IF($B249="","",N($S249)-N($Q249))</f>
        <v/>
      </c>
      <c r="S249" s="43">
        <f>IF($B249="","",N($L249)+N($N249)+N($P249))</f>
        <v/>
      </c>
      <c r="T249" s="47" t="n"/>
      <c r="U249" s="47" t="n"/>
      <c r="V249" s="47" t="n"/>
      <c r="W249" s="47" t="n"/>
      <c r="X249" s="47" t="n"/>
      <c r="Y249" s="47" t="n"/>
      <c r="Z249" s="47" t="n"/>
      <c r="AA249" s="47" t="n"/>
      <c r="AB249" s="47" t="n"/>
      <c r="AC249" s="47" t="n"/>
      <c r="AD249" s="47" t="n"/>
      <c r="AE249" s="47" t="n"/>
      <c r="AF249" s="43">
        <f>IF($B249="","",SUM($T249:$AE249))</f>
        <v/>
      </c>
      <c r="AG249" s="43">
        <f>IF($B249="","",N($M249)-N($AF249))</f>
        <v/>
      </c>
      <c r="AH249" s="43">
        <f>IF($B249="","",N($L249)-N($AF249))</f>
        <v/>
      </c>
      <c r="AI249" s="149">
        <f>IF($B249="","",IF(N($L249)=0,"",(N($L249)-N($AF249))/N($L249)))</f>
        <v/>
      </c>
    </row>
    <row r="250">
      <c r="A250" s="39">
        <f>IF($B250="","",COUNTA($B$4:$B250))</f>
        <v/>
      </c>
      <c r="B250" s="40" t="n">
        <v>46050</v>
      </c>
      <c r="C250" s="41" t="n">
        <v>1678</v>
      </c>
      <c r="D250" s="41" t="inlineStr">
        <is>
          <t>صعيدى 1 خ</t>
        </is>
      </c>
      <c r="E250" s="41" t="inlineStr">
        <is>
          <t>1*40 ث</t>
        </is>
      </c>
      <c r="F250" s="41" t="inlineStr">
        <is>
          <t>المجد</t>
        </is>
      </c>
      <c r="G250" s="41" t="inlineStr">
        <is>
          <t xml:space="preserve">التوفيقية </t>
        </is>
      </c>
      <c r="H250" s="41" t="inlineStr">
        <is>
          <t>826590/3</t>
        </is>
      </c>
      <c r="I250" s="41" t="inlineStr">
        <is>
          <t>س و ب 2689</t>
        </is>
      </c>
      <c r="J250" s="41" t="inlineStr">
        <is>
          <t xml:space="preserve">وليد زيزو </t>
        </is>
      </c>
      <c r="K250" s="41" t="inlineStr">
        <is>
          <t xml:space="preserve">محمد الصعيدى </t>
        </is>
      </c>
      <c r="L250" s="42" t="n">
        <v>11000</v>
      </c>
      <c r="M250" s="42" t="n">
        <v>5100</v>
      </c>
      <c r="N250" s="42" t="n"/>
      <c r="O250" s="42" t="n">
        <v>200</v>
      </c>
      <c r="P250" s="42" t="n"/>
      <c r="Q250" s="42" t="n">
        <v>5700</v>
      </c>
      <c r="R250" s="43">
        <f>IF($B250="","",N($S250)-N($Q250))</f>
        <v/>
      </c>
      <c r="S250" s="43">
        <f>IF($B250="","",N($L250)+N($N250)+N($P250))</f>
        <v/>
      </c>
      <c r="T250" s="42" t="n"/>
      <c r="U250" s="42" t="n"/>
      <c r="V250" s="42" t="n"/>
      <c r="W250" s="42" t="n"/>
      <c r="X250" s="42" t="n"/>
      <c r="Y250" s="42" t="n"/>
      <c r="Z250" s="42" t="n"/>
      <c r="AA250" s="42" t="n"/>
      <c r="AB250" s="42" t="n"/>
      <c r="AC250" s="42" t="n"/>
      <c r="AD250" s="42" t="n"/>
      <c r="AE250" s="42" t="n"/>
      <c r="AF250" s="43">
        <f>IF($B250="","",SUM($T250:$AE250))</f>
        <v/>
      </c>
      <c r="AG250" s="43">
        <f>IF($B250="","",N($M250)-N($AF250))</f>
        <v/>
      </c>
      <c r="AH250" s="43">
        <f>IF($B250="","",N($L250)-N($AF250))</f>
        <v/>
      </c>
      <c r="AI250" s="149">
        <f>IF($B250="","",IF(N($L250)=0,"",(N($L250)-N($AF250))/N($L250)))</f>
        <v/>
      </c>
    </row>
    <row r="251">
      <c r="A251" s="39">
        <f>IF($B251="","",COUNTA($B$4:$B251))</f>
        <v/>
      </c>
      <c r="B251" s="45" t="n">
        <v>46050</v>
      </c>
      <c r="C251" s="46" t="n">
        <v>1679</v>
      </c>
      <c r="D251" s="46" t="inlineStr">
        <is>
          <t>الفرجانى</t>
        </is>
      </c>
      <c r="E251" s="46" t="inlineStr">
        <is>
          <t>1*40 ث</t>
        </is>
      </c>
      <c r="F251" s="46" t="inlineStr">
        <is>
          <t>المجد</t>
        </is>
      </c>
      <c r="G251" s="46" t="inlineStr">
        <is>
          <t xml:space="preserve">النوبارية </t>
        </is>
      </c>
      <c r="H251" s="46" t="inlineStr">
        <is>
          <t>567662/0</t>
        </is>
      </c>
      <c r="I251" s="46" t="inlineStr">
        <is>
          <t>س ق ب 8512</t>
        </is>
      </c>
      <c r="J251" s="46" t="inlineStr">
        <is>
          <t xml:space="preserve">عصام ابراهيم </t>
        </is>
      </c>
      <c r="K251" s="46" t="inlineStr">
        <is>
          <t xml:space="preserve">الفرجانى </t>
        </is>
      </c>
      <c r="L251" s="47" t="n">
        <v>11000</v>
      </c>
      <c r="M251" s="47" t="n">
        <v>5100</v>
      </c>
      <c r="N251" s="47" t="n"/>
      <c r="O251" s="47" t="n">
        <v>200</v>
      </c>
      <c r="P251" s="47" t="n"/>
      <c r="Q251" s="47" t="n">
        <v>5700</v>
      </c>
      <c r="R251" s="43">
        <f>IF($B251="","",N($S251)-N($Q251))</f>
        <v/>
      </c>
      <c r="S251" s="43">
        <f>IF($B251="","",N($L251)+N($N251)+N($P251))</f>
        <v/>
      </c>
      <c r="T251" s="47" t="n"/>
      <c r="U251" s="47" t="n"/>
      <c r="V251" s="47" t="n"/>
      <c r="W251" s="47" t="n"/>
      <c r="X251" s="47" t="n"/>
      <c r="Y251" s="47" t="n"/>
      <c r="Z251" s="47" t="n"/>
      <c r="AA251" s="47" t="n"/>
      <c r="AB251" s="47" t="n"/>
      <c r="AC251" s="47" t="n"/>
      <c r="AD251" s="47" t="n"/>
      <c r="AE251" s="47" t="n"/>
      <c r="AF251" s="43">
        <f>IF($B251="","",SUM($T251:$AE251))</f>
        <v/>
      </c>
      <c r="AG251" s="43">
        <f>IF($B251="","",N($M251)-N($AF251))</f>
        <v/>
      </c>
      <c r="AH251" s="43">
        <f>IF($B251="","",N($L251)-N($AF251))</f>
        <v/>
      </c>
      <c r="AI251" s="149">
        <f>IF($B251="","",IF(N($L251)=0,"",(N($L251)-N($AF251))/N($L251)))</f>
        <v/>
      </c>
    </row>
    <row r="252">
      <c r="A252" s="39">
        <f>IF($B252="","",COUNTA($B$4:$B252))</f>
        <v/>
      </c>
      <c r="B252" s="40" t="n">
        <v>46050</v>
      </c>
      <c r="C252" s="41" t="n">
        <v>1770</v>
      </c>
      <c r="D252" s="41" t="inlineStr">
        <is>
          <t xml:space="preserve">ابو مينا </t>
        </is>
      </c>
      <c r="E252" s="41" t="inlineStr">
        <is>
          <t>1*40 ث</t>
        </is>
      </c>
      <c r="F252" s="41" t="inlineStr">
        <is>
          <t>النهاد</t>
        </is>
      </c>
      <c r="G252" s="41" t="inlineStr">
        <is>
          <t xml:space="preserve">السادات </t>
        </is>
      </c>
      <c r="H252" s="41" t="inlineStr">
        <is>
          <t>653386/2</t>
        </is>
      </c>
      <c r="I252" s="41" t="inlineStr">
        <is>
          <t>س ق ر 9974</t>
        </is>
      </c>
      <c r="J252" s="41" t="inlineStr">
        <is>
          <t xml:space="preserve">هشام جمال </t>
        </is>
      </c>
      <c r="K252" s="41" t="inlineStr">
        <is>
          <t xml:space="preserve">ابو مينا </t>
        </is>
      </c>
      <c r="L252" s="42" t="n">
        <v>13000</v>
      </c>
      <c r="M252" s="42" t="n">
        <v>8100</v>
      </c>
      <c r="N252" s="42" t="n"/>
      <c r="O252" s="42" t="n">
        <v>200</v>
      </c>
      <c r="P252" s="42" t="n"/>
      <c r="Q252" s="42" t="n">
        <v>4700</v>
      </c>
      <c r="R252" s="43">
        <f>IF($B252="","",N($S252)-N($Q252))</f>
        <v/>
      </c>
      <c r="S252" s="43">
        <f>IF($B252="","",N($L252)+N($N252)+N($P252))</f>
        <v/>
      </c>
      <c r="T252" s="42" t="n"/>
      <c r="U252" s="42" t="n"/>
      <c r="V252" s="42" t="n"/>
      <c r="W252" s="42" t="n"/>
      <c r="X252" s="42" t="n"/>
      <c r="Y252" s="42" t="n"/>
      <c r="Z252" s="42" t="n"/>
      <c r="AA252" s="42" t="n"/>
      <c r="AB252" s="42" t="n"/>
      <c r="AC252" s="42" t="n"/>
      <c r="AD252" s="42" t="n"/>
      <c r="AE252" s="42" t="n"/>
      <c r="AF252" s="43">
        <f>IF($B252="","",SUM($T252:$AE252))</f>
        <v/>
      </c>
      <c r="AG252" s="43">
        <f>IF($B252="","",N($M252)-N($AF252))</f>
        <v/>
      </c>
      <c r="AH252" s="43">
        <f>IF($B252="","",N($L252)-N($AF252))</f>
        <v/>
      </c>
      <c r="AI252" s="149">
        <f>IF($B252="","",IF(N($L252)=0,"",(N($L252)-N($AF252))/N($L252)))</f>
        <v/>
      </c>
    </row>
    <row r="253">
      <c r="A253" s="39">
        <f>IF($B253="","",COUNTA($B$4:$B253))</f>
        <v/>
      </c>
      <c r="B253" s="45" t="n">
        <v>46053</v>
      </c>
      <c r="C253" s="46" t="n">
        <v>1681</v>
      </c>
      <c r="D253" s="46" t="inlineStr">
        <is>
          <t>صعيدى 1 خ</t>
        </is>
      </c>
      <c r="E253" s="46" t="inlineStr">
        <is>
          <t>1*40 ث</t>
        </is>
      </c>
      <c r="F253" s="46" t="inlineStr">
        <is>
          <t xml:space="preserve">المصرية الاسترالية </t>
        </is>
      </c>
      <c r="G253" s="46" t="inlineStr">
        <is>
          <t xml:space="preserve">م دينا </t>
        </is>
      </c>
      <c r="H253" s="46" t="inlineStr">
        <is>
          <t>982955/9</t>
        </is>
      </c>
      <c r="I253" s="46" t="inlineStr">
        <is>
          <t>س و ب 2689</t>
        </is>
      </c>
      <c r="J253" s="46" t="inlineStr">
        <is>
          <t xml:space="preserve">وليد زيزو </t>
        </is>
      </c>
      <c r="K253" s="46" t="inlineStr">
        <is>
          <t xml:space="preserve">محمد الصعيدى </t>
        </is>
      </c>
      <c r="L253" s="47" t="n">
        <v>13000</v>
      </c>
      <c r="M253" s="47" t="n">
        <v>5100</v>
      </c>
      <c r="N253" s="47" t="n"/>
      <c r="O253" s="47" t="n">
        <v>200</v>
      </c>
      <c r="P253" s="47" t="n"/>
      <c r="Q253" s="47" t="n">
        <v>7700</v>
      </c>
      <c r="R253" s="43">
        <f>IF($B253="","",N($S253)-N($Q253))</f>
        <v/>
      </c>
      <c r="S253" s="43">
        <f>IF($B253="","",N($L253)+N($N253)+N($P253))</f>
        <v/>
      </c>
      <c r="T253" s="47" t="n"/>
      <c r="U253" s="47" t="n"/>
      <c r="V253" s="47" t="n"/>
      <c r="W253" s="47" t="n"/>
      <c r="X253" s="47" t="n"/>
      <c r="Y253" s="47" t="n"/>
      <c r="Z253" s="47" t="n"/>
      <c r="AA253" s="47" t="n"/>
      <c r="AB253" s="47" t="n"/>
      <c r="AC253" s="47" t="n"/>
      <c r="AD253" s="47" t="n"/>
      <c r="AE253" s="47" t="n"/>
      <c r="AF253" s="43">
        <f>IF($B253="","",SUM($T253:$AE253))</f>
        <v/>
      </c>
      <c r="AG253" s="43">
        <f>IF($B253="","",N($M253)-N($AF253))</f>
        <v/>
      </c>
      <c r="AH253" s="43">
        <f>IF($B253="","",N($L253)-N($AF253))</f>
        <v/>
      </c>
      <c r="AI253" s="149">
        <f>IF($B253="","",IF(N($L253)=0,"",(N($L253)-N($AF253))/N($L253)))</f>
        <v/>
      </c>
    </row>
    <row r="254">
      <c r="A254" s="39">
        <f>IF($B254="","",COUNTA($B$4:$B254))</f>
        <v/>
      </c>
      <c r="B254" s="40" t="n">
        <v>46053</v>
      </c>
      <c r="C254" s="41" t="n">
        <v>1680</v>
      </c>
      <c r="D254" s="41" t="inlineStr">
        <is>
          <t>حريقة خ</t>
        </is>
      </c>
      <c r="E254" s="41" t="inlineStr">
        <is>
          <t>1*40 ث</t>
        </is>
      </c>
      <c r="F254" s="41" t="inlineStr">
        <is>
          <t xml:space="preserve">المصرية الاسترالية </t>
        </is>
      </c>
      <c r="G254" s="41" t="inlineStr">
        <is>
          <t xml:space="preserve">م دينا </t>
        </is>
      </c>
      <c r="H254" s="41" t="inlineStr">
        <is>
          <t>961358/3</t>
        </is>
      </c>
      <c r="I254" s="41" t="inlineStr">
        <is>
          <t>س د و 8545</t>
        </is>
      </c>
      <c r="J254" s="41" t="inlineStr">
        <is>
          <t xml:space="preserve">خالد على </t>
        </is>
      </c>
      <c r="K254" s="41" t="inlineStr">
        <is>
          <t xml:space="preserve">ياسر عزام </t>
        </is>
      </c>
      <c r="L254" s="42" t="n">
        <v>13500</v>
      </c>
      <c r="M254" s="42" t="n">
        <v>8100</v>
      </c>
      <c r="N254" s="42" t="n"/>
      <c r="O254" s="42" t="n">
        <v>200</v>
      </c>
      <c r="P254" s="42" t="n"/>
      <c r="Q254" s="42" t="n">
        <v>5200</v>
      </c>
      <c r="R254" s="43">
        <f>IF($B254="","",N($S254)-N($Q254))</f>
        <v/>
      </c>
      <c r="S254" s="43">
        <f>IF($B254="","",N($L254)+N($N254)+N($P254))</f>
        <v/>
      </c>
      <c r="T254" s="42" t="n"/>
      <c r="U254" s="42" t="n"/>
      <c r="V254" s="42" t="n"/>
      <c r="W254" s="42" t="n"/>
      <c r="X254" s="42" t="n"/>
      <c r="Y254" s="42" t="n"/>
      <c r="Z254" s="42" t="n"/>
      <c r="AA254" s="42" t="n"/>
      <c r="AB254" s="42" t="n"/>
      <c r="AC254" s="42" t="n"/>
      <c r="AD254" s="42" t="n"/>
      <c r="AE254" s="42" t="n"/>
      <c r="AF254" s="43">
        <f>IF($B254="","",SUM($T254:$AE254))</f>
        <v/>
      </c>
      <c r="AG254" s="43">
        <f>IF($B254="","",N($M254)-N($AF254))</f>
        <v/>
      </c>
      <c r="AH254" s="43">
        <f>IF($B254="","",N($L254)-N($AF254))</f>
        <v/>
      </c>
      <c r="AI254" s="149">
        <f>IF($B254="","",IF(N($L254)=0,"",(N($L254)-N($AF254))/N($L254)))</f>
        <v/>
      </c>
    </row>
    <row r="255">
      <c r="A255" s="39">
        <f>IF($B255="","",COUNTA($B$4:$B255))</f>
        <v/>
      </c>
      <c r="B255" s="45" t="n">
        <v>46053</v>
      </c>
      <c r="C255" s="46" t="n">
        <v>1869</v>
      </c>
      <c r="D255" s="46" t="inlineStr">
        <is>
          <t xml:space="preserve">احمد محسن </t>
        </is>
      </c>
      <c r="E255" s="46" t="inlineStr">
        <is>
          <t>1*40</t>
        </is>
      </c>
      <c r="F255" s="46" t="inlineStr">
        <is>
          <t>دلتا فلكس</t>
        </is>
      </c>
      <c r="G255" s="46" t="inlineStr">
        <is>
          <t xml:space="preserve">المحلة </t>
        </is>
      </c>
      <c r="H255" s="46" t="inlineStr">
        <is>
          <t>708783/6</t>
        </is>
      </c>
      <c r="I255" s="46" t="inlineStr">
        <is>
          <t>س ع ا 7219</t>
        </is>
      </c>
      <c r="J255" s="46" t="inlineStr">
        <is>
          <t xml:space="preserve">طلعت محمد </t>
        </is>
      </c>
      <c r="K255" s="46" t="inlineStr">
        <is>
          <t xml:space="preserve">احمد محسن </t>
        </is>
      </c>
      <c r="L255" s="47" t="n">
        <v>13000</v>
      </c>
      <c r="M255" s="47" t="n">
        <v>8100</v>
      </c>
      <c r="N255" s="47" t="n"/>
      <c r="O255" s="47" t="n">
        <v>200</v>
      </c>
      <c r="P255" s="47" t="n"/>
      <c r="Q255" s="47" t="n">
        <v>4700</v>
      </c>
      <c r="R255" s="43">
        <f>IF($B255="","",N($S255)-N($Q255))</f>
        <v/>
      </c>
      <c r="S255" s="43">
        <f>IF($B255="","",N($L255)+N($N255)+N($P255))</f>
        <v/>
      </c>
      <c r="T255" s="47" t="n"/>
      <c r="U255" s="47" t="n"/>
      <c r="V255" s="47" t="n"/>
      <c r="W255" s="47" t="n"/>
      <c r="X255" s="47" t="n"/>
      <c r="Y255" s="47" t="n"/>
      <c r="Z255" s="47" t="n"/>
      <c r="AA255" s="47" t="n"/>
      <c r="AB255" s="47" t="n"/>
      <c r="AC255" s="47" t="n"/>
      <c r="AD255" s="47" t="n"/>
      <c r="AE255" s="47" t="n"/>
      <c r="AF255" s="43">
        <f>IF($B255="","",SUM($T255:$AE255))</f>
        <v/>
      </c>
      <c r="AG255" s="43">
        <f>IF($B255="","",N($M255)-N($AF255))</f>
        <v/>
      </c>
      <c r="AH255" s="43">
        <f>IF($B255="","",N($L255)-N($AF255))</f>
        <v/>
      </c>
      <c r="AI255" s="149">
        <f>IF($B255="","",IF(N($L255)=0,"",(N($L255)-N($AF255))/N($L255)))</f>
        <v/>
      </c>
    </row>
    <row r="256">
      <c r="A256" s="39">
        <f>IF($B256="","",COUNTA($B$4:$B256))</f>
        <v/>
      </c>
      <c r="B256" s="40" t="n">
        <v>46053</v>
      </c>
      <c r="C256" s="41" t="n">
        <v>1870</v>
      </c>
      <c r="D256" s="41" t="inlineStr">
        <is>
          <t>احمد عبدو خ</t>
        </is>
      </c>
      <c r="E256" s="41" t="inlineStr">
        <is>
          <t>1*40</t>
        </is>
      </c>
      <c r="F256" s="41" t="inlineStr">
        <is>
          <t>دلتا فلكس</t>
        </is>
      </c>
      <c r="G256" s="41" t="inlineStr">
        <is>
          <t xml:space="preserve">المحلة </t>
        </is>
      </c>
      <c r="H256" s="41" t="inlineStr">
        <is>
          <t>273501/8</t>
        </is>
      </c>
      <c r="I256" s="41" t="inlineStr">
        <is>
          <t>س ا ه 8198</t>
        </is>
      </c>
      <c r="J256" s="41" t="inlineStr">
        <is>
          <t>احمد محمود</t>
        </is>
      </c>
      <c r="K256" s="41" t="inlineStr">
        <is>
          <t xml:space="preserve">علاء علام </t>
        </is>
      </c>
      <c r="L256" s="42" t="n">
        <v>13000</v>
      </c>
      <c r="M256" s="42" t="n">
        <v>8100</v>
      </c>
      <c r="N256" s="42" t="n"/>
      <c r="O256" s="42" t="n">
        <v>200</v>
      </c>
      <c r="P256" s="42" t="n"/>
      <c r="Q256" s="42" t="n">
        <v>4700</v>
      </c>
      <c r="R256" s="43">
        <f>IF($B256="","",N($S256)-N($Q256))</f>
        <v/>
      </c>
      <c r="S256" s="43">
        <f>IF($B256="","",N($L256)+N($N256)+N($P256))</f>
        <v/>
      </c>
      <c r="T256" s="42" t="n"/>
      <c r="U256" s="42" t="n"/>
      <c r="V256" s="42" t="n"/>
      <c r="W256" s="42" t="n"/>
      <c r="X256" s="42" t="n"/>
      <c r="Y256" s="42" t="n"/>
      <c r="Z256" s="42" t="n"/>
      <c r="AA256" s="42" t="n"/>
      <c r="AB256" s="42" t="n"/>
      <c r="AC256" s="42" t="n"/>
      <c r="AD256" s="42" t="n"/>
      <c r="AE256" s="42" t="n"/>
      <c r="AF256" s="43">
        <f>IF($B256="","",SUM($T256:$AE256))</f>
        <v/>
      </c>
      <c r="AG256" s="43">
        <f>IF($B256="","",N($M256)-N($AF256))</f>
        <v/>
      </c>
      <c r="AH256" s="43">
        <f>IF($B256="","",N($L256)-N($AF256))</f>
        <v/>
      </c>
      <c r="AI256" s="149">
        <f>IF($B256="","",IF(N($L256)=0,"",(N($L256)-N($AF256))/N($L256)))</f>
        <v/>
      </c>
    </row>
    <row r="257">
      <c r="A257" s="39">
        <f>IF($B257="","",COUNTA($B$4:$B257))</f>
        <v/>
      </c>
      <c r="B257" s="45" t="n">
        <v>46053</v>
      </c>
      <c r="C257" s="46" t="n">
        <v>1860</v>
      </c>
      <c r="D257" s="46" t="inlineStr">
        <is>
          <t>صعيدى 1 خ</t>
        </is>
      </c>
      <c r="E257" s="46" t="inlineStr">
        <is>
          <t>2*20</t>
        </is>
      </c>
      <c r="F257" s="46" t="inlineStr">
        <is>
          <t xml:space="preserve">لوجيا </t>
        </is>
      </c>
      <c r="G257" s="46" t="inlineStr">
        <is>
          <t>الصف</t>
        </is>
      </c>
      <c r="H257" s="46" t="inlineStr">
        <is>
          <t>531086/9-153585/4</t>
        </is>
      </c>
      <c r="I257" s="46" t="inlineStr">
        <is>
          <t>س ه ف 1874</t>
        </is>
      </c>
      <c r="J257" s="46" t="inlineStr">
        <is>
          <t xml:space="preserve">هانى عزت </t>
        </is>
      </c>
      <c r="K257" s="46" t="inlineStr">
        <is>
          <t xml:space="preserve">محمد الصعيدى </t>
        </is>
      </c>
      <c r="L257" s="47" t="n">
        <v>24000</v>
      </c>
      <c r="M257" s="47" t="n">
        <v>11100</v>
      </c>
      <c r="N257" s="47" t="n"/>
      <c r="O257" s="47" t="n">
        <v>200</v>
      </c>
      <c r="P257" s="47" t="n"/>
      <c r="Q257" s="47" t="n">
        <v>12700</v>
      </c>
      <c r="R257" s="43">
        <f>IF($B257="","",N($S257)-N($Q257))</f>
        <v/>
      </c>
      <c r="S257" s="43">
        <f>IF($B257="","",N($L257)+N($N257)+N($P257))</f>
        <v/>
      </c>
      <c r="T257" s="47" t="n"/>
      <c r="U257" s="47" t="n"/>
      <c r="V257" s="47" t="n"/>
      <c r="W257" s="47" t="n"/>
      <c r="X257" s="47" t="n"/>
      <c r="Y257" s="47" t="n"/>
      <c r="Z257" s="47" t="n"/>
      <c r="AA257" s="47" t="n"/>
      <c r="AB257" s="47" t="n"/>
      <c r="AC257" s="47" t="n"/>
      <c r="AD257" s="47" t="n"/>
      <c r="AE257" s="47" t="n"/>
      <c r="AF257" s="43">
        <f>IF($B257="","",SUM($T257:$AE257))</f>
        <v/>
      </c>
      <c r="AG257" s="43">
        <f>IF($B257="","",N($M257)-N($AF257))</f>
        <v/>
      </c>
      <c r="AH257" s="43">
        <f>IF($B257="","",N($L257)-N($AF257))</f>
        <v/>
      </c>
      <c r="AI257" s="149">
        <f>IF($B257="","",IF(N($L257)=0,"",(N($L257)-N($AF257))/N($L257)))</f>
        <v/>
      </c>
    </row>
    <row r="258">
      <c r="A258" s="39">
        <f>IF($B258="","",COUNTA($B$4:$B258))</f>
        <v/>
      </c>
      <c r="B258" s="40" t="n">
        <v>46053</v>
      </c>
      <c r="C258" s="41" t="n">
        <v>1862</v>
      </c>
      <c r="D258" s="41" t="inlineStr">
        <is>
          <t>صعيدى 1 خ</t>
        </is>
      </c>
      <c r="E258" s="41" t="inlineStr">
        <is>
          <t>2*20</t>
        </is>
      </c>
      <c r="F258" s="41" t="inlineStr">
        <is>
          <t xml:space="preserve">لوجيا </t>
        </is>
      </c>
      <c r="G258" s="41" t="inlineStr">
        <is>
          <t>الصف</t>
        </is>
      </c>
      <c r="H258" s="41" t="inlineStr">
        <is>
          <t>379091/3-179594/0</t>
        </is>
      </c>
      <c r="I258" s="41" t="inlineStr">
        <is>
          <t>س ل ج 2521</t>
        </is>
      </c>
      <c r="J258" s="41" t="inlineStr">
        <is>
          <t xml:space="preserve">احمد القط </t>
        </is>
      </c>
      <c r="K258" s="41" t="inlineStr">
        <is>
          <t xml:space="preserve">محمد الصعيدى </t>
        </is>
      </c>
      <c r="L258" s="42" t="n">
        <v>24000</v>
      </c>
      <c r="M258" s="42" t="n">
        <v>11100</v>
      </c>
      <c r="N258" s="42" t="n"/>
      <c r="O258" s="42" t="n">
        <v>200</v>
      </c>
      <c r="P258" s="42" t="n"/>
      <c r="Q258" s="42" t="n">
        <v>12700</v>
      </c>
      <c r="R258" s="43">
        <f>IF($B258="","",N($S258)-N($Q258))</f>
        <v/>
      </c>
      <c r="S258" s="43">
        <f>IF($B258="","",N($L258)+N($N258)+N($P258))</f>
        <v/>
      </c>
      <c r="T258" s="42" t="n"/>
      <c r="U258" s="42" t="n"/>
      <c r="V258" s="42" t="n"/>
      <c r="W258" s="42" t="n"/>
      <c r="X258" s="42" t="n"/>
      <c r="Y258" s="42" t="n"/>
      <c r="Z258" s="42" t="n"/>
      <c r="AA258" s="42" t="n"/>
      <c r="AB258" s="42" t="n"/>
      <c r="AC258" s="42" t="n"/>
      <c r="AD258" s="42" t="n"/>
      <c r="AE258" s="42" t="n"/>
      <c r="AF258" s="43">
        <f>IF($B258="","",SUM($T258:$AE258))</f>
        <v/>
      </c>
      <c r="AG258" s="43">
        <f>IF($B258="","",N($M258)-N($AF258))</f>
        <v/>
      </c>
      <c r="AH258" s="43">
        <f>IF($B258="","",N($L258)-N($AF258))</f>
        <v/>
      </c>
      <c r="AI258" s="149">
        <f>IF($B258="","",IF(N($L258)=0,"",(N($L258)-N($AF258))/N($L258)))</f>
        <v/>
      </c>
    </row>
    <row r="259">
      <c r="A259" s="39">
        <f>IF($B259="","",COUNTA($B$4:$B259))</f>
        <v/>
      </c>
      <c r="B259" s="45" t="n">
        <v>46053</v>
      </c>
      <c r="C259" s="46" t="n">
        <v>1865</v>
      </c>
      <c r="D259" s="46" t="inlineStr">
        <is>
          <t>الشريف خ</t>
        </is>
      </c>
      <c r="E259" s="46" t="inlineStr">
        <is>
          <t>2*20</t>
        </is>
      </c>
      <c r="F259" s="46" t="inlineStr">
        <is>
          <t xml:space="preserve">لوجيا </t>
        </is>
      </c>
      <c r="G259" s="46" t="inlineStr">
        <is>
          <t>الصف</t>
        </is>
      </c>
      <c r="H259" s="46" t="inlineStr">
        <is>
          <t>107969/0-278845/7</t>
        </is>
      </c>
      <c r="I259" s="46" t="inlineStr">
        <is>
          <t>ص ع ا 7825</t>
        </is>
      </c>
      <c r="J259" s="46" t="inlineStr">
        <is>
          <t xml:space="preserve">رامى الميت </t>
        </is>
      </c>
      <c r="K259" s="46" t="inlineStr">
        <is>
          <t xml:space="preserve">الميت </t>
        </is>
      </c>
      <c r="L259" s="47" t="n">
        <v>24000</v>
      </c>
      <c r="M259" s="47" t="n">
        <v>11100</v>
      </c>
      <c r="N259" s="47" t="n"/>
      <c r="O259" s="47" t="n">
        <v>200</v>
      </c>
      <c r="P259" s="47" t="n"/>
      <c r="Q259" s="47" t="n">
        <v>12700</v>
      </c>
      <c r="R259" s="43">
        <f>IF($B259="","",N($S259)-N($Q259))</f>
        <v/>
      </c>
      <c r="S259" s="43">
        <f>IF($B259="","",N($L259)+N($N259)+N($P259))</f>
        <v/>
      </c>
      <c r="T259" s="47" t="n"/>
      <c r="U259" s="47" t="n"/>
      <c r="V259" s="47" t="n"/>
      <c r="W259" s="47" t="n"/>
      <c r="X259" s="47" t="n"/>
      <c r="Y259" s="47" t="n"/>
      <c r="Z259" s="47" t="n"/>
      <c r="AA259" s="47" t="n"/>
      <c r="AB259" s="47" t="n"/>
      <c r="AC259" s="47" t="n"/>
      <c r="AD259" s="47" t="n"/>
      <c r="AE259" s="47" t="n"/>
      <c r="AF259" s="43">
        <f>IF($B259="","",SUM($T259:$AE259))</f>
        <v/>
      </c>
      <c r="AG259" s="43">
        <f>IF($B259="","",N($M259)-N($AF259))</f>
        <v/>
      </c>
      <c r="AH259" s="43">
        <f>IF($B259="","",N($L259)-N($AF259))</f>
        <v/>
      </c>
      <c r="AI259" s="149">
        <f>IF($B259="","",IF(N($L259)=0,"",(N($L259)-N($AF259))/N($L259)))</f>
        <v/>
      </c>
    </row>
    <row r="260">
      <c r="A260" s="39">
        <f>IF($B260="","",COUNTA($B$4:$B260))</f>
        <v/>
      </c>
      <c r="B260" s="40" t="n">
        <v>46053</v>
      </c>
      <c r="C260" s="41" t="n">
        <v>1867</v>
      </c>
      <c r="D260" s="41" t="inlineStr">
        <is>
          <t>حاتم البحر  ق</t>
        </is>
      </c>
      <c r="E260" s="41" t="inlineStr">
        <is>
          <t>2*20</t>
        </is>
      </c>
      <c r="F260" s="41" t="inlineStr">
        <is>
          <t xml:space="preserve">لوجيا </t>
        </is>
      </c>
      <c r="G260" s="41" t="inlineStr">
        <is>
          <t>الصف</t>
        </is>
      </c>
      <c r="H260" s="41" t="inlineStr">
        <is>
          <t>357353/7-304652/3</t>
        </is>
      </c>
      <c r="I260" s="41" t="inlineStr">
        <is>
          <t>س ر ا 6671</t>
        </is>
      </c>
      <c r="J260" s="41" t="inlineStr">
        <is>
          <t xml:space="preserve">السيد بدوى </t>
        </is>
      </c>
      <c r="K260" s="41" t="inlineStr">
        <is>
          <t xml:space="preserve">حمو مرزوق </t>
        </is>
      </c>
      <c r="L260" s="42" t="n">
        <v>24000</v>
      </c>
      <c r="M260" s="42" t="n">
        <v>11100</v>
      </c>
      <c r="N260" s="42" t="n"/>
      <c r="O260" s="42" t="n">
        <v>200</v>
      </c>
      <c r="P260" s="42" t="n"/>
      <c r="Q260" s="42" t="n">
        <v>12700</v>
      </c>
      <c r="R260" s="43">
        <f>IF($B260="","",N($S260)-N($Q260))</f>
        <v/>
      </c>
      <c r="S260" s="43">
        <f>IF($B260="","",N($L260)+N($N260)+N($P260))</f>
        <v/>
      </c>
      <c r="T260" s="42" t="n"/>
      <c r="U260" s="42" t="n"/>
      <c r="V260" s="42" t="n"/>
      <c r="W260" s="42" t="n"/>
      <c r="X260" s="42" t="n"/>
      <c r="Y260" s="42" t="n"/>
      <c r="Z260" s="42" t="n"/>
      <c r="AA260" s="42" t="n"/>
      <c r="AB260" s="42" t="n"/>
      <c r="AC260" s="42" t="n"/>
      <c r="AD260" s="42" t="n"/>
      <c r="AE260" s="42" t="n"/>
      <c r="AF260" s="43">
        <f>IF($B260="","",SUM($T260:$AE260))</f>
        <v/>
      </c>
      <c r="AG260" s="43">
        <f>IF($B260="","",N($M260)-N($AF260))</f>
        <v/>
      </c>
      <c r="AH260" s="43">
        <f>IF($B260="","",N($L260)-N($AF260))</f>
        <v/>
      </c>
      <c r="AI260" s="149">
        <f>IF($B260="","",IF(N($L260)=0,"",(N($L260)-N($AF260))/N($L260)))</f>
        <v/>
      </c>
    </row>
    <row r="261">
      <c r="A261" s="39">
        <f>IF($B261="","",COUNTA($B$4:$B261))</f>
        <v/>
      </c>
      <c r="B261" s="45" t="n">
        <v>46053</v>
      </c>
      <c r="C261" s="46" t="n">
        <v>1854</v>
      </c>
      <c r="D261" s="46" t="inlineStr">
        <is>
          <t>الشريف خ</t>
        </is>
      </c>
      <c r="E261" s="46" t="inlineStr">
        <is>
          <t>2*20</t>
        </is>
      </c>
      <c r="F261" s="46" t="inlineStr">
        <is>
          <t xml:space="preserve">لوجيا </t>
        </is>
      </c>
      <c r="G261" s="46" t="inlineStr">
        <is>
          <t>الصف</t>
        </is>
      </c>
      <c r="H261" s="46" t="inlineStr">
        <is>
          <t>322639/0-320080/0</t>
        </is>
      </c>
      <c r="I261" s="46" t="inlineStr">
        <is>
          <t>ب ر ا 1726</t>
        </is>
      </c>
      <c r="J261" s="46" t="inlineStr">
        <is>
          <t xml:space="preserve">ابراهيم الميت </t>
        </is>
      </c>
      <c r="K261" s="46" t="inlineStr">
        <is>
          <t xml:space="preserve">الميت </t>
        </is>
      </c>
      <c r="L261" s="47" t="n">
        <v>24000</v>
      </c>
      <c r="M261" s="47" t="n">
        <v>12100</v>
      </c>
      <c r="N261" s="47" t="n"/>
      <c r="O261" s="47" t="n">
        <v>200</v>
      </c>
      <c r="P261" s="47" t="n"/>
      <c r="Q261" s="47" t="n">
        <v>11700</v>
      </c>
      <c r="R261" s="43">
        <f>IF($B261="","",N($S261)-N($Q261))</f>
        <v/>
      </c>
      <c r="S261" s="43">
        <f>IF($B261="","",N($L261)+N($N261)+N($P261))</f>
        <v/>
      </c>
      <c r="T261" s="47" t="n"/>
      <c r="U261" s="47" t="n"/>
      <c r="V261" s="47" t="n"/>
      <c r="W261" s="47" t="n"/>
      <c r="X261" s="47" t="n"/>
      <c r="Y261" s="47" t="n"/>
      <c r="Z261" s="47" t="n"/>
      <c r="AA261" s="47" t="n"/>
      <c r="AB261" s="47" t="n"/>
      <c r="AC261" s="47" t="n"/>
      <c r="AD261" s="47" t="n"/>
      <c r="AE261" s="47" t="n"/>
      <c r="AF261" s="43">
        <f>IF($B261="","",SUM($T261:$AE261))</f>
        <v/>
      </c>
      <c r="AG261" s="43">
        <f>IF($B261="","",N($M261)-N($AF261))</f>
        <v/>
      </c>
      <c r="AH261" s="43">
        <f>IF($B261="","",N($L261)-N($AF261))</f>
        <v/>
      </c>
      <c r="AI261" s="149">
        <f>IF($B261="","",IF(N($L261)=0,"",(N($L261)-N($AF261))/N($L261)))</f>
        <v/>
      </c>
    </row>
    <row r="262">
      <c r="A262" s="39">
        <f>IF($B262="","",COUNTA($B$4:$B262))</f>
        <v/>
      </c>
      <c r="B262" s="40" t="n">
        <v>46053</v>
      </c>
      <c r="C262" s="41" t="n">
        <v>1855</v>
      </c>
      <c r="D262" s="41" t="inlineStr">
        <is>
          <t>احمد عبدو خ</t>
        </is>
      </c>
      <c r="E262" s="41" t="inlineStr">
        <is>
          <t>2*20</t>
        </is>
      </c>
      <c r="F262" s="41" t="inlineStr">
        <is>
          <t xml:space="preserve">لوجيا </t>
        </is>
      </c>
      <c r="G262" s="41" t="inlineStr">
        <is>
          <t xml:space="preserve">الصف </t>
        </is>
      </c>
      <c r="H262" s="41" t="inlineStr">
        <is>
          <t>045540/4-269200/3</t>
        </is>
      </c>
      <c r="I262" s="41" t="inlineStr">
        <is>
          <t>ق ه ب 8512</t>
        </is>
      </c>
      <c r="J262" s="41" t="inlineStr">
        <is>
          <t xml:space="preserve">السيد صابر </t>
        </is>
      </c>
      <c r="K262" s="41" t="inlineStr">
        <is>
          <t>محمد الزلزال</t>
        </is>
      </c>
      <c r="L262" s="42" t="n">
        <v>24000</v>
      </c>
      <c r="M262" s="42" t="n">
        <v>12100</v>
      </c>
      <c r="N262" s="42" t="n"/>
      <c r="O262" s="42" t="n">
        <v>200</v>
      </c>
      <c r="P262" s="42" t="n"/>
      <c r="Q262" s="42" t="n">
        <v>11700</v>
      </c>
      <c r="R262" s="43">
        <f>IF($B262="","",N($S262)-N($Q262))</f>
        <v/>
      </c>
      <c r="S262" s="43">
        <f>IF($B262="","",N($L262)+N($N262)+N($P262))</f>
        <v/>
      </c>
      <c r="T262" s="42" t="n"/>
      <c r="U262" s="42" t="n"/>
      <c r="V262" s="42" t="n"/>
      <c r="W262" s="42" t="n"/>
      <c r="X262" s="42" t="n"/>
      <c r="Y262" s="42" t="n"/>
      <c r="Z262" s="42" t="n"/>
      <c r="AA262" s="42" t="n"/>
      <c r="AB262" s="42" t="n"/>
      <c r="AC262" s="42" t="n"/>
      <c r="AD262" s="42" t="n"/>
      <c r="AE262" s="42" t="n"/>
      <c r="AF262" s="43">
        <f>IF($B262="","",SUM($T262:$AE262))</f>
        <v/>
      </c>
      <c r="AG262" s="43">
        <f>IF($B262="","",N($M262)-N($AF262))</f>
        <v/>
      </c>
      <c r="AH262" s="43">
        <f>IF($B262="","",N($L262)-N($AF262))</f>
        <v/>
      </c>
      <c r="AI262" s="149">
        <f>IF($B262="","",IF(N($L262)=0,"",(N($L262)-N($AF262))/N($L262)))</f>
        <v/>
      </c>
    </row>
    <row r="263">
      <c r="A263" s="39">
        <f>IF($B263="","",COUNTA($B$4:$B263))</f>
        <v/>
      </c>
      <c r="B263" s="45" t="n">
        <v>46053</v>
      </c>
      <c r="C263" s="46" t="n">
        <v>1856</v>
      </c>
      <c r="D263" s="46" t="inlineStr">
        <is>
          <t>الليبر</t>
        </is>
      </c>
      <c r="E263" s="46" t="inlineStr">
        <is>
          <t>2*20</t>
        </is>
      </c>
      <c r="F263" s="46" t="inlineStr">
        <is>
          <t xml:space="preserve">لوجيا </t>
        </is>
      </c>
      <c r="G263" s="46" t="inlineStr">
        <is>
          <t>الصف</t>
        </is>
      </c>
      <c r="H263" s="46" t="inlineStr">
        <is>
          <t>205784/0-372665/2</t>
        </is>
      </c>
      <c r="I263" s="46" t="inlineStr">
        <is>
          <t>ب ى ط 8154</t>
        </is>
      </c>
      <c r="J263" s="46" t="inlineStr">
        <is>
          <t xml:space="preserve">عبد الرحمن </t>
        </is>
      </c>
      <c r="K263" s="46" t="inlineStr">
        <is>
          <t xml:space="preserve">الليبر </t>
        </is>
      </c>
      <c r="L263" s="47" t="n">
        <v>24000</v>
      </c>
      <c r="M263" s="47" t="n">
        <v>12100</v>
      </c>
      <c r="N263" s="47" t="n"/>
      <c r="O263" s="47" t="n">
        <v>200</v>
      </c>
      <c r="P263" s="47" t="n"/>
      <c r="Q263" s="47" t="n">
        <v>11700</v>
      </c>
      <c r="R263" s="43">
        <f>IF($B263="","",N($S263)-N($Q263))</f>
        <v/>
      </c>
      <c r="S263" s="43">
        <f>IF($B263="","",N($L263)+N($N263)+N($P263))</f>
        <v/>
      </c>
      <c r="T263" s="47" t="n"/>
      <c r="U263" s="47" t="n"/>
      <c r="V263" s="47" t="n"/>
      <c r="W263" s="47" t="n"/>
      <c r="X263" s="47" t="n"/>
      <c r="Y263" s="47" t="n"/>
      <c r="Z263" s="47" t="n"/>
      <c r="AA263" s="47" t="n"/>
      <c r="AB263" s="47" t="n"/>
      <c r="AC263" s="47" t="n"/>
      <c r="AD263" s="47" t="n"/>
      <c r="AE263" s="47" t="n"/>
      <c r="AF263" s="43">
        <f>IF($B263="","",SUM($T263:$AE263))</f>
        <v/>
      </c>
      <c r="AG263" s="43">
        <f>IF($B263="","",N($M263)-N($AF263))</f>
        <v/>
      </c>
      <c r="AH263" s="43">
        <f>IF($B263="","",N($L263)-N($AF263))</f>
        <v/>
      </c>
      <c r="AI263" s="149">
        <f>IF($B263="","",IF(N($L263)=0,"",(N($L263)-N($AF263))/N($L263)))</f>
        <v/>
      </c>
    </row>
    <row r="264">
      <c r="A264" s="39">
        <f>IF($B264="","",COUNTA($B$4:$B264))</f>
        <v/>
      </c>
      <c r="B264" s="40" t="n">
        <v>46053</v>
      </c>
      <c r="C264" s="41" t="n">
        <v>1857</v>
      </c>
      <c r="D264" s="41" t="inlineStr">
        <is>
          <t>الشريف خ</t>
        </is>
      </c>
      <c r="E264" s="41" t="inlineStr">
        <is>
          <t>2*20</t>
        </is>
      </c>
      <c r="F264" s="41" t="inlineStr">
        <is>
          <t xml:space="preserve">لوجيا </t>
        </is>
      </c>
      <c r="G264" s="41" t="inlineStr">
        <is>
          <t>الصف</t>
        </is>
      </c>
      <c r="H264" s="41" t="inlineStr">
        <is>
          <t>229228/3-363054/8</t>
        </is>
      </c>
      <c r="I264" s="41" t="inlineStr">
        <is>
          <t>ب ب ا 9425</t>
        </is>
      </c>
      <c r="J264" s="41" t="inlineStr">
        <is>
          <t xml:space="preserve">احمد خليل </t>
        </is>
      </c>
      <c r="K264" s="41" t="inlineStr">
        <is>
          <t xml:space="preserve">الميت </t>
        </is>
      </c>
      <c r="L264" s="42" t="n">
        <v>24000</v>
      </c>
      <c r="M264" s="42" t="n">
        <v>12100</v>
      </c>
      <c r="N264" s="42" t="n"/>
      <c r="O264" s="42" t="n">
        <v>200</v>
      </c>
      <c r="P264" s="42" t="n"/>
      <c r="Q264" s="42" t="n">
        <v>11700</v>
      </c>
      <c r="R264" s="43">
        <f>IF($B264="","",N($S264)-N($Q264))</f>
        <v/>
      </c>
      <c r="S264" s="43">
        <f>IF($B264="","",N($L264)+N($N264)+N($P264))</f>
        <v/>
      </c>
      <c r="T264" s="42" t="n"/>
      <c r="U264" s="42" t="n"/>
      <c r="V264" s="42" t="n"/>
      <c r="W264" s="42" t="n"/>
      <c r="X264" s="42" t="n"/>
      <c r="Y264" s="42" t="n"/>
      <c r="Z264" s="42" t="n"/>
      <c r="AA264" s="42" t="n"/>
      <c r="AB264" s="42" t="n"/>
      <c r="AC264" s="42" t="n"/>
      <c r="AD264" s="42" t="n"/>
      <c r="AE264" s="42" t="n"/>
      <c r="AF264" s="43">
        <f>IF($B264="","",SUM($T264:$AE264))</f>
        <v/>
      </c>
      <c r="AG264" s="43">
        <f>IF($B264="","",N($M264)-N($AF264))</f>
        <v/>
      </c>
      <c r="AH264" s="43">
        <f>IF($B264="","",N($L264)-N($AF264))</f>
        <v/>
      </c>
      <c r="AI264" s="149">
        <f>IF($B264="","",IF(N($L264)=0,"",(N($L264)-N($AF264))/N($L264)))</f>
        <v/>
      </c>
    </row>
    <row r="265">
      <c r="A265" s="39">
        <f>IF($B265="","",COUNTA($B$4:$B265))</f>
        <v/>
      </c>
      <c r="B265" s="45" t="n">
        <v>46053</v>
      </c>
      <c r="C265" s="46" t="n">
        <v>1858</v>
      </c>
      <c r="D265" s="46" t="inlineStr">
        <is>
          <t>الشريف خ</t>
        </is>
      </c>
      <c r="E265" s="46" t="inlineStr">
        <is>
          <t>2*20</t>
        </is>
      </c>
      <c r="F265" s="46" t="inlineStr">
        <is>
          <t xml:space="preserve">لوجيا </t>
        </is>
      </c>
      <c r="G265" s="46" t="inlineStr">
        <is>
          <t>الصف</t>
        </is>
      </c>
      <c r="H265" s="46" t="inlineStr">
        <is>
          <t>014045/3-165951/0</t>
        </is>
      </c>
      <c r="I265" s="46" t="inlineStr">
        <is>
          <t>ب س ا 7385</t>
        </is>
      </c>
      <c r="J265" s="46" t="inlineStr">
        <is>
          <t xml:space="preserve">محمد ابو ادم </t>
        </is>
      </c>
      <c r="K265" s="46" t="inlineStr">
        <is>
          <t xml:space="preserve">الميت </t>
        </is>
      </c>
      <c r="L265" s="47" t="n">
        <v>24000</v>
      </c>
      <c r="M265" s="47" t="n">
        <v>12100</v>
      </c>
      <c r="N265" s="47" t="n"/>
      <c r="O265" s="47" t="n">
        <v>200</v>
      </c>
      <c r="P265" s="47" t="n"/>
      <c r="Q265" s="47" t="n">
        <v>11700</v>
      </c>
      <c r="R265" s="43">
        <f>IF($B265="","",N($S265)-N($Q265))</f>
        <v/>
      </c>
      <c r="S265" s="43">
        <f>IF($B265="","",N($L265)+N($N265)+N($P265))</f>
        <v/>
      </c>
      <c r="T265" s="47" t="n"/>
      <c r="U265" s="47" t="n"/>
      <c r="V265" s="47" t="n"/>
      <c r="W265" s="47" t="n"/>
      <c r="X265" s="47" t="n"/>
      <c r="Y265" s="47" t="n"/>
      <c r="Z265" s="47" t="n"/>
      <c r="AA265" s="47" t="n"/>
      <c r="AB265" s="47" t="n"/>
      <c r="AC265" s="47" t="n"/>
      <c r="AD265" s="47" t="n"/>
      <c r="AE265" s="47" t="n"/>
      <c r="AF265" s="43">
        <f>IF($B265="","",SUM($T265:$AE265))</f>
        <v/>
      </c>
      <c r="AG265" s="43">
        <f>IF($B265="","",N($M265)-N($AF265))</f>
        <v/>
      </c>
      <c r="AH265" s="43">
        <f>IF($B265="","",N($L265)-N($AF265))</f>
        <v/>
      </c>
      <c r="AI265" s="149">
        <f>IF($B265="","",IF(N($L265)=0,"",(N($L265)-N($AF265))/N($L265)))</f>
        <v/>
      </c>
    </row>
    <row r="266">
      <c r="A266" s="39">
        <f>IF($B266="","",COUNTA($B$4:$B266))</f>
        <v/>
      </c>
      <c r="B266" s="40" t="n">
        <v>46053</v>
      </c>
      <c r="C266" s="41" t="n">
        <v>1859</v>
      </c>
      <c r="D266" s="41" t="inlineStr">
        <is>
          <t>الشريف خ</t>
        </is>
      </c>
      <c r="E266" s="41" t="inlineStr">
        <is>
          <t>2*20</t>
        </is>
      </c>
      <c r="F266" s="41" t="inlineStr">
        <is>
          <t xml:space="preserve">لوجيا </t>
        </is>
      </c>
      <c r="G266" s="41" t="inlineStr">
        <is>
          <t xml:space="preserve">الصف </t>
        </is>
      </c>
      <c r="H266" s="41" t="inlineStr">
        <is>
          <t>218274/2-156805/4</t>
        </is>
      </c>
      <c r="I266" s="41" t="inlineStr">
        <is>
          <t>ب د ف 4512</t>
        </is>
      </c>
      <c r="J266" s="41" t="inlineStr">
        <is>
          <t xml:space="preserve">عبدة السيد </t>
        </is>
      </c>
      <c r="K266" s="41" t="inlineStr">
        <is>
          <t xml:space="preserve">الميت </t>
        </is>
      </c>
      <c r="L266" s="42" t="n">
        <v>24000</v>
      </c>
      <c r="M266" s="42" t="n">
        <v>12100</v>
      </c>
      <c r="N266" s="42" t="n"/>
      <c r="O266" s="42" t="n">
        <v>200</v>
      </c>
      <c r="P266" s="42" t="n"/>
      <c r="Q266" s="42" t="n">
        <v>11700</v>
      </c>
      <c r="R266" s="43">
        <f>IF($B266="","",N($S266)-N($Q266))</f>
        <v/>
      </c>
      <c r="S266" s="43">
        <f>IF($B266="","",N($L266)+N($N266)+N($P266))</f>
        <v/>
      </c>
      <c r="T266" s="42" t="n"/>
      <c r="U266" s="42" t="n"/>
      <c r="V266" s="42" t="n"/>
      <c r="W266" s="42" t="n"/>
      <c r="X266" s="42" t="n"/>
      <c r="Y266" s="42" t="n"/>
      <c r="Z266" s="42" t="n"/>
      <c r="AA266" s="42" t="n"/>
      <c r="AB266" s="42" t="n"/>
      <c r="AC266" s="42" t="n"/>
      <c r="AD266" s="42" t="n"/>
      <c r="AE266" s="42" t="n"/>
      <c r="AF266" s="43">
        <f>IF($B266="","",SUM($T266:$AE266))</f>
        <v/>
      </c>
      <c r="AG266" s="43">
        <f>IF($B266="","",N($M266)-N($AF266))</f>
        <v/>
      </c>
      <c r="AH266" s="43">
        <f>IF($B266="","",N($L266)-N($AF266))</f>
        <v/>
      </c>
      <c r="AI266" s="149">
        <f>IF($B266="","",IF(N($L266)=0,"",(N($L266)-N($AF266))/N($L266)))</f>
        <v/>
      </c>
    </row>
    <row r="267">
      <c r="A267" s="39">
        <f>IF($B267="","",COUNTA($B$4:$B267))</f>
        <v/>
      </c>
      <c r="B267" s="45" t="n">
        <v>46053</v>
      </c>
      <c r="C267" s="46" t="n">
        <v>1861</v>
      </c>
      <c r="D267" s="46" t="inlineStr">
        <is>
          <t>رجب عبد العال خ</t>
        </is>
      </c>
      <c r="E267" s="46" t="inlineStr">
        <is>
          <t>2*20</t>
        </is>
      </c>
      <c r="F267" s="46" t="inlineStr">
        <is>
          <t xml:space="preserve">لوجيا </t>
        </is>
      </c>
      <c r="G267" s="46" t="inlineStr">
        <is>
          <t xml:space="preserve">الصف </t>
        </is>
      </c>
      <c r="H267" s="46" t="inlineStr">
        <is>
          <t>006608/0-226255/5</t>
        </is>
      </c>
      <c r="I267" s="46" t="inlineStr">
        <is>
          <t>ق د ن 9541</t>
        </is>
      </c>
      <c r="J267" s="46" t="inlineStr">
        <is>
          <t xml:space="preserve">حمادة الطوخى </t>
        </is>
      </c>
      <c r="K267" s="46" t="inlineStr">
        <is>
          <t xml:space="preserve">حمادة الطوخى </t>
        </is>
      </c>
      <c r="L267" s="47" t="n">
        <v>24000</v>
      </c>
      <c r="M267" s="47" t="n">
        <v>12100</v>
      </c>
      <c r="N267" s="47" t="n"/>
      <c r="O267" s="47" t="n">
        <v>200</v>
      </c>
      <c r="P267" s="47" t="n"/>
      <c r="Q267" s="47" t="n">
        <v>11700</v>
      </c>
      <c r="R267" s="43">
        <f>IF($B267="","",N($S267)-N($Q267))</f>
        <v/>
      </c>
      <c r="S267" s="43">
        <f>IF($B267="","",N($L267)+N($N267)+N($P267))</f>
        <v/>
      </c>
      <c r="T267" s="47" t="n"/>
      <c r="U267" s="47" t="n"/>
      <c r="V267" s="47" t="n"/>
      <c r="W267" s="47" t="n"/>
      <c r="X267" s="47" t="n"/>
      <c r="Y267" s="47" t="n"/>
      <c r="Z267" s="47" t="n"/>
      <c r="AA267" s="47" t="n"/>
      <c r="AB267" s="47" t="n"/>
      <c r="AC267" s="47" t="n"/>
      <c r="AD267" s="47" t="n"/>
      <c r="AE267" s="47" t="n"/>
      <c r="AF267" s="43">
        <f>IF($B267="","",SUM($T267:$AE267))</f>
        <v/>
      </c>
      <c r="AG267" s="43">
        <f>IF($B267="","",N($M267)-N($AF267))</f>
        <v/>
      </c>
      <c r="AH267" s="43">
        <f>IF($B267="","",N($L267)-N($AF267))</f>
        <v/>
      </c>
      <c r="AI267" s="149">
        <f>IF($B267="","",IF(N($L267)=0,"",(N($L267)-N($AF267))/N($L267)))</f>
        <v/>
      </c>
    </row>
    <row r="268">
      <c r="A268" s="39">
        <f>IF($B268="","",COUNTA($B$4:$B268))</f>
        <v/>
      </c>
      <c r="B268" s="40" t="n">
        <v>46053</v>
      </c>
      <c r="C268" s="41" t="n">
        <v>1863</v>
      </c>
      <c r="D268" s="41" t="inlineStr">
        <is>
          <t>الليبر</t>
        </is>
      </c>
      <c r="E268" s="41" t="inlineStr">
        <is>
          <t>2*20</t>
        </is>
      </c>
      <c r="F268" s="41" t="inlineStr">
        <is>
          <t xml:space="preserve">لوجيا </t>
        </is>
      </c>
      <c r="G268" s="41" t="inlineStr">
        <is>
          <t xml:space="preserve">الصف </t>
        </is>
      </c>
      <c r="H268" s="41" t="inlineStr">
        <is>
          <t>235604/2-06587/4</t>
        </is>
      </c>
      <c r="I268" s="41" t="inlineStr">
        <is>
          <t>ب ن و 7164</t>
        </is>
      </c>
      <c r="J268" s="41" t="inlineStr">
        <is>
          <t xml:space="preserve">عمرو السيد </t>
        </is>
      </c>
      <c r="K268" s="41" t="inlineStr">
        <is>
          <t xml:space="preserve">الليبر </t>
        </is>
      </c>
      <c r="L268" s="42" t="n">
        <v>24000</v>
      </c>
      <c r="M268" s="42" t="n">
        <v>12100</v>
      </c>
      <c r="N268" s="42" t="n"/>
      <c r="O268" s="42" t="n">
        <v>200</v>
      </c>
      <c r="P268" s="42" t="n"/>
      <c r="Q268" s="42" t="n">
        <v>11700</v>
      </c>
      <c r="R268" s="43">
        <f>IF($B268="","",N($S268)-N($Q268))</f>
        <v/>
      </c>
      <c r="S268" s="43">
        <f>IF($B268="","",N($L268)+N($N268)+N($P268))</f>
        <v/>
      </c>
      <c r="T268" s="42" t="n"/>
      <c r="U268" s="42" t="n"/>
      <c r="V268" s="42" t="n"/>
      <c r="W268" s="42" t="n"/>
      <c r="X268" s="42" t="n"/>
      <c r="Y268" s="42" t="n"/>
      <c r="Z268" s="42" t="n"/>
      <c r="AA268" s="42" t="n"/>
      <c r="AB268" s="42" t="n"/>
      <c r="AC268" s="42" t="n"/>
      <c r="AD268" s="42" t="n"/>
      <c r="AE268" s="42" t="n"/>
      <c r="AF268" s="43">
        <f>IF($B268="","",SUM($T268:$AE268))</f>
        <v/>
      </c>
      <c r="AG268" s="43">
        <f>IF($B268="","",N($M268)-N($AF268))</f>
        <v/>
      </c>
      <c r="AH268" s="43">
        <f>IF($B268="","",N($L268)-N($AF268))</f>
        <v/>
      </c>
      <c r="AI268" s="149">
        <f>IF($B268="","",IF(N($L268)=0,"",(N($L268)-N($AF268))/N($L268)))</f>
        <v/>
      </c>
    </row>
    <row r="269">
      <c r="A269" s="39">
        <f>IF($B269="","",COUNTA($B$4:$B269))</f>
        <v/>
      </c>
      <c r="B269" s="45" t="n">
        <v>46053</v>
      </c>
      <c r="C269" s="46" t="n">
        <v>1864</v>
      </c>
      <c r="D269" s="46" t="inlineStr">
        <is>
          <t xml:space="preserve">كريم مرعى </t>
        </is>
      </c>
      <c r="E269" s="46" t="inlineStr">
        <is>
          <t>2*20</t>
        </is>
      </c>
      <c r="F269" s="46" t="inlineStr">
        <is>
          <t xml:space="preserve">لوجيا </t>
        </is>
      </c>
      <c r="G269" s="46" t="inlineStr">
        <is>
          <t>الصف</t>
        </is>
      </c>
      <c r="H269" s="46" t="inlineStr">
        <is>
          <t>159423/5-286910/6</t>
        </is>
      </c>
      <c r="I269" s="46" t="inlineStr">
        <is>
          <t>ب ص ا 2574</t>
        </is>
      </c>
      <c r="J269" s="46" t="inlineStr">
        <is>
          <t xml:space="preserve">محمد البحيرى </t>
        </is>
      </c>
      <c r="K269" s="46" t="inlineStr">
        <is>
          <t xml:space="preserve">احمد خليف </t>
        </is>
      </c>
      <c r="L269" s="47" t="n">
        <v>24000</v>
      </c>
      <c r="M269" s="47" t="n">
        <v>12100</v>
      </c>
      <c r="N269" s="47" t="n"/>
      <c r="O269" s="47" t="n">
        <v>200</v>
      </c>
      <c r="P269" s="47" t="n"/>
      <c r="Q269" s="47" t="n">
        <v>11700</v>
      </c>
      <c r="R269" s="43">
        <f>IF($B269="","",N($S269)-N($Q269))</f>
        <v/>
      </c>
      <c r="S269" s="43">
        <f>IF($B269="","",N($L269)+N($N269)+N($P269))</f>
        <v/>
      </c>
      <c r="T269" s="47" t="n"/>
      <c r="U269" s="47" t="n"/>
      <c r="V269" s="47" t="n"/>
      <c r="W269" s="47" t="n"/>
      <c r="X269" s="47" t="n"/>
      <c r="Y269" s="47" t="n"/>
      <c r="Z269" s="47" t="n"/>
      <c r="AA269" s="47" t="n"/>
      <c r="AB269" s="47" t="n"/>
      <c r="AC269" s="47" t="n"/>
      <c r="AD269" s="47" t="n"/>
      <c r="AE269" s="47" t="n"/>
      <c r="AF269" s="43">
        <f>IF($B269="","",SUM($T269:$AE269))</f>
        <v/>
      </c>
      <c r="AG269" s="43">
        <f>IF($B269="","",N($M269)-N($AF269))</f>
        <v/>
      </c>
      <c r="AH269" s="43">
        <f>IF($B269="","",N($L269)-N($AF269))</f>
        <v/>
      </c>
      <c r="AI269" s="149">
        <f>IF($B269="","",IF(N($L269)=0,"",(N($L269)-N($AF269))/N($L269)))</f>
        <v/>
      </c>
    </row>
    <row r="270">
      <c r="A270" s="39">
        <f>IF($B270="","",COUNTA($B$4:$B270))</f>
        <v/>
      </c>
      <c r="B270" s="40" t="n">
        <v>46053</v>
      </c>
      <c r="C270" s="41" t="n">
        <v>1866</v>
      </c>
      <c r="D270" s="41" t="inlineStr">
        <is>
          <t>صعيدى 1 خ</t>
        </is>
      </c>
      <c r="E270" s="41" t="inlineStr">
        <is>
          <t>2*20</t>
        </is>
      </c>
      <c r="F270" s="41" t="inlineStr">
        <is>
          <t xml:space="preserve">لوجيا </t>
        </is>
      </c>
      <c r="G270" s="41" t="inlineStr">
        <is>
          <t xml:space="preserve">الصف </t>
        </is>
      </c>
      <c r="H270" s="41" t="inlineStr">
        <is>
          <t>123085/2-285597/2</t>
        </is>
      </c>
      <c r="I270" s="41" t="inlineStr">
        <is>
          <t>س ف ب 3176</t>
        </is>
      </c>
      <c r="J270" s="41" t="inlineStr">
        <is>
          <t>السيد عبد العزيز</t>
        </is>
      </c>
      <c r="K270" s="41" t="inlineStr">
        <is>
          <t xml:space="preserve">محمد الصعيدى </t>
        </is>
      </c>
      <c r="L270" s="42" t="n">
        <v>24000</v>
      </c>
      <c r="M270" s="42" t="n">
        <v>12100</v>
      </c>
      <c r="N270" s="42" t="n"/>
      <c r="O270" s="42" t="n">
        <v>200</v>
      </c>
      <c r="P270" s="42" t="n"/>
      <c r="Q270" s="42" t="n">
        <v>11700</v>
      </c>
      <c r="R270" s="43">
        <f>IF($B270="","",N($S270)-N($Q270))</f>
        <v/>
      </c>
      <c r="S270" s="43">
        <f>IF($B270="","",N($L270)+N($N270)+N($P270))</f>
        <v/>
      </c>
      <c r="T270" s="42" t="n"/>
      <c r="U270" s="42" t="n"/>
      <c r="V270" s="42" t="n"/>
      <c r="W270" s="42" t="n"/>
      <c r="X270" s="42" t="n"/>
      <c r="Y270" s="42" t="n"/>
      <c r="Z270" s="42" t="n"/>
      <c r="AA270" s="42" t="n"/>
      <c r="AB270" s="42" t="n"/>
      <c r="AC270" s="42" t="n"/>
      <c r="AD270" s="42" t="n"/>
      <c r="AE270" s="42" t="n"/>
      <c r="AF270" s="43">
        <f>IF($B270="","",SUM($T270:$AE270))</f>
        <v/>
      </c>
      <c r="AG270" s="43">
        <f>IF($B270="","",N($M270)-N($AF270))</f>
        <v/>
      </c>
      <c r="AH270" s="43">
        <f>IF($B270="","",N($L270)-N($AF270))</f>
        <v/>
      </c>
      <c r="AI270" s="149">
        <f>IF($B270="","",IF(N($L270)=0,"",(N($L270)-N($AF270))/N($L270)))</f>
        <v/>
      </c>
    </row>
    <row r="271">
      <c r="A271" s="39">
        <f>IF($B271="","",COUNTA($B$4:$B271))</f>
        <v/>
      </c>
      <c r="B271" s="45" t="n">
        <v>46053</v>
      </c>
      <c r="C271" s="46" t="n">
        <v>1853</v>
      </c>
      <c r="D271" s="46" t="inlineStr">
        <is>
          <t>الشريف خ</t>
        </is>
      </c>
      <c r="E271" s="46" t="inlineStr">
        <is>
          <t>2*20</t>
        </is>
      </c>
      <c r="F271" s="46" t="inlineStr">
        <is>
          <t xml:space="preserve">لوجيا </t>
        </is>
      </c>
      <c r="G271" s="46" t="inlineStr">
        <is>
          <t>الصف</t>
        </is>
      </c>
      <c r="H271" s="46" t="inlineStr">
        <is>
          <t>327577/5-047885/8</t>
        </is>
      </c>
      <c r="I271" s="46" t="inlineStr">
        <is>
          <t>ب ط ع 3576</t>
        </is>
      </c>
      <c r="J271" s="46" t="inlineStr">
        <is>
          <t xml:space="preserve">محمد الميت </t>
        </is>
      </c>
      <c r="K271" s="46" t="inlineStr">
        <is>
          <t xml:space="preserve">محمد الميت </t>
        </is>
      </c>
      <c r="L271" s="47" t="n">
        <v>24000</v>
      </c>
      <c r="M271" s="47" t="n">
        <v>12100</v>
      </c>
      <c r="N271" s="47" t="n"/>
      <c r="O271" s="47" t="n">
        <v>200</v>
      </c>
      <c r="P271" s="47" t="n"/>
      <c r="Q271" s="47" t="n">
        <v>11700</v>
      </c>
      <c r="R271" s="43">
        <f>IF($B271="","",N($S271)-N($Q271))</f>
        <v/>
      </c>
      <c r="S271" s="43">
        <f>IF($B271="","",N($L271)+N($N271)+N($P271))</f>
        <v/>
      </c>
      <c r="T271" s="47" t="n"/>
      <c r="U271" s="47" t="n"/>
      <c r="V271" s="47" t="n"/>
      <c r="W271" s="47" t="n"/>
      <c r="X271" s="47" t="n"/>
      <c r="Y271" s="47" t="n"/>
      <c r="Z271" s="47" t="n"/>
      <c r="AA271" s="47" t="n"/>
      <c r="AB271" s="47" t="n"/>
      <c r="AC271" s="47" t="n"/>
      <c r="AD271" s="47" t="n"/>
      <c r="AE271" s="47" t="n"/>
      <c r="AF271" s="43">
        <f>IF($B271="","",SUM($T271:$AE271))</f>
        <v/>
      </c>
      <c r="AG271" s="43">
        <f>IF($B271="","",N($M271)-N($AF271))</f>
        <v/>
      </c>
      <c r="AH271" s="43">
        <f>IF($B271="","",N($L271)-N($AF271))</f>
        <v/>
      </c>
      <c r="AI271" s="149">
        <f>IF($B271="","",IF(N($L271)=0,"",(N($L271)-N($AF271))/N($L271)))</f>
        <v/>
      </c>
    </row>
    <row r="272">
      <c r="A272" s="39">
        <f>IF($B272="","",COUNTA($B$4:$B272))</f>
        <v/>
      </c>
      <c r="B272" s="40" t="n">
        <v>46053</v>
      </c>
      <c r="C272" s="41" t="n">
        <v>1881</v>
      </c>
      <c r="D272" s="41" t="inlineStr">
        <is>
          <t>رمزى ابو النور</t>
        </is>
      </c>
      <c r="E272" s="41" t="inlineStr">
        <is>
          <t>2*20</t>
        </is>
      </c>
      <c r="F272" s="41" t="inlineStr">
        <is>
          <t xml:space="preserve">لوجيا </t>
        </is>
      </c>
      <c r="G272" s="41" t="inlineStr">
        <is>
          <t xml:space="preserve">الصف </t>
        </is>
      </c>
      <c r="H272" s="41" t="inlineStr">
        <is>
          <t>319502/2-270668/4</t>
        </is>
      </c>
      <c r="I272" s="41" t="inlineStr">
        <is>
          <t>ب د ف 5831</t>
        </is>
      </c>
      <c r="J272" s="41" t="inlineStr">
        <is>
          <t xml:space="preserve">ايمن رمضان </t>
        </is>
      </c>
      <c r="K272" s="41" t="inlineStr">
        <is>
          <t xml:space="preserve">ايمن رمضان </t>
        </is>
      </c>
      <c r="L272" s="42" t="n">
        <v>24000</v>
      </c>
      <c r="M272" s="42" t="n">
        <v>12100</v>
      </c>
      <c r="N272" s="42" t="n"/>
      <c r="O272" s="42" t="n">
        <v>200</v>
      </c>
      <c r="P272" s="42" t="n"/>
      <c r="Q272" s="42" t="n">
        <v>11700</v>
      </c>
      <c r="R272" s="43">
        <f>IF($B272="","",N($S272)-N($Q272))</f>
        <v/>
      </c>
      <c r="S272" s="43">
        <f>IF($B272="","",N($L272)+N($N272)+N($P272))</f>
        <v/>
      </c>
      <c r="T272" s="42" t="n"/>
      <c r="U272" s="42" t="n"/>
      <c r="V272" s="42" t="n"/>
      <c r="W272" s="42" t="n"/>
      <c r="X272" s="42" t="n"/>
      <c r="Y272" s="42" t="n"/>
      <c r="Z272" s="42" t="n"/>
      <c r="AA272" s="42" t="n"/>
      <c r="AB272" s="42" t="n"/>
      <c r="AC272" s="42" t="n"/>
      <c r="AD272" s="42" t="n"/>
      <c r="AE272" s="42" t="n"/>
      <c r="AF272" s="43">
        <f>IF($B272="","",SUM($T272:$AE272))</f>
        <v/>
      </c>
      <c r="AG272" s="43">
        <f>IF($B272="","",N($M272)-N($AF272))</f>
        <v/>
      </c>
      <c r="AH272" s="43">
        <f>IF($B272="","",N($L272)-N($AF272))</f>
        <v/>
      </c>
      <c r="AI272" s="149">
        <f>IF($B272="","",IF(N($L272)=0,"",(N($L272)-N($AF272))/N($L272)))</f>
        <v/>
      </c>
    </row>
    <row r="273">
      <c r="A273" s="39">
        <f>IF($B273="","",COUNTA($B$4:$B273))</f>
        <v/>
      </c>
      <c r="B273" s="45" t="n">
        <v>46053</v>
      </c>
      <c r="C273" s="46" t="n">
        <v>1771</v>
      </c>
      <c r="D273" s="46" t="inlineStr">
        <is>
          <t>الليبر</t>
        </is>
      </c>
      <c r="E273" s="46" t="inlineStr">
        <is>
          <t>1*40 ث</t>
        </is>
      </c>
      <c r="F273" s="46" t="inlineStr">
        <is>
          <t xml:space="preserve">نهاد </t>
        </is>
      </c>
      <c r="G273" s="46" t="inlineStr">
        <is>
          <t xml:space="preserve">السادات </t>
        </is>
      </c>
      <c r="H273" s="46" t="inlineStr">
        <is>
          <t>653755/4</t>
        </is>
      </c>
      <c r="I273" s="46" t="inlineStr">
        <is>
          <t>س ن ر 5395</t>
        </is>
      </c>
      <c r="J273" s="46" t="inlineStr">
        <is>
          <t xml:space="preserve">سعيد عبد الكريم </t>
        </is>
      </c>
      <c r="K273" s="46" t="inlineStr">
        <is>
          <t xml:space="preserve">الليبر </t>
        </is>
      </c>
      <c r="L273" s="47" t="n">
        <v>13500</v>
      </c>
      <c r="M273" s="47" t="n">
        <v>8100</v>
      </c>
      <c r="N273" s="47" t="n"/>
      <c r="O273" s="47" t="n">
        <v>200</v>
      </c>
      <c r="P273" s="47" t="n"/>
      <c r="Q273" s="47" t="n">
        <v>5200</v>
      </c>
      <c r="R273" s="43">
        <f>IF($B273="","",N($S273)-N($Q273))</f>
        <v/>
      </c>
      <c r="S273" s="43">
        <f>IF($B273="","",N($L273)+N($N273)+N($P273))</f>
        <v/>
      </c>
      <c r="T273" s="47" t="n"/>
      <c r="U273" s="47" t="n"/>
      <c r="V273" s="47" t="n"/>
      <c r="W273" s="47" t="n"/>
      <c r="X273" s="47" t="n"/>
      <c r="Y273" s="47" t="n"/>
      <c r="Z273" s="47" t="n"/>
      <c r="AA273" s="47" t="n"/>
      <c r="AB273" s="47" t="n"/>
      <c r="AC273" s="47" t="n"/>
      <c r="AD273" s="47" t="n"/>
      <c r="AE273" s="47" t="n"/>
      <c r="AF273" s="43">
        <f>IF($B273="","",SUM($T273:$AE273))</f>
        <v/>
      </c>
      <c r="AG273" s="43">
        <f>IF($B273="","",N($M273)-N($AF273))</f>
        <v/>
      </c>
      <c r="AH273" s="43">
        <f>IF($B273="","",N($L273)-N($AF273))</f>
        <v/>
      </c>
      <c r="AI273" s="149">
        <f>IF($B273="","",IF(N($L273)=0,"",(N($L273)-N($AF273))/N($L273)))</f>
        <v/>
      </c>
    </row>
    <row r="274">
      <c r="A274" s="39">
        <f>IF($B274="","",COUNTA($B$4:$B274))</f>
        <v/>
      </c>
      <c r="B274" s="40" t="n">
        <v>46054</v>
      </c>
      <c r="C274" s="41" t="n">
        <v>1772</v>
      </c>
      <c r="D274" s="41" t="inlineStr">
        <is>
          <t>حاتم البحر  ق</t>
        </is>
      </c>
      <c r="E274" s="41" t="inlineStr">
        <is>
          <t>1*40 ث</t>
        </is>
      </c>
      <c r="F274" s="41" t="inlineStr">
        <is>
          <t>الفتح</t>
        </is>
      </c>
      <c r="G274" s="41" t="inlineStr">
        <is>
          <t xml:space="preserve">النوبارية </t>
        </is>
      </c>
      <c r="H274" s="41" t="inlineStr">
        <is>
          <t>528665/2</t>
        </is>
      </c>
      <c r="I274" s="41" t="inlineStr">
        <is>
          <t>س ص ا 5227</t>
        </is>
      </c>
      <c r="J274" s="41" t="inlineStr">
        <is>
          <t xml:space="preserve">مصطفى رزق </t>
        </is>
      </c>
      <c r="K274" s="41" t="inlineStr">
        <is>
          <t>ميدو رزق</t>
        </is>
      </c>
      <c r="L274" s="42" t="n">
        <v>11000</v>
      </c>
      <c r="M274" s="42" t="n">
        <v>7100</v>
      </c>
      <c r="N274" s="42" t="n"/>
      <c r="O274" s="42" t="n">
        <v>200</v>
      </c>
      <c r="P274" s="42" t="n"/>
      <c r="Q274" s="42" t="n">
        <v>3700</v>
      </c>
      <c r="R274" s="43">
        <f>IF($B274="","",N($S274)-N($Q274))</f>
        <v/>
      </c>
      <c r="S274" s="43">
        <f>IF($B274="","",N($L274)+N($N274)+N($P274))</f>
        <v/>
      </c>
      <c r="T274" s="42" t="n"/>
      <c r="U274" s="42" t="n"/>
      <c r="V274" s="42" t="n"/>
      <c r="W274" s="42" t="n"/>
      <c r="X274" s="42" t="n"/>
      <c r="Y274" s="42" t="n"/>
      <c r="Z274" s="42" t="n"/>
      <c r="AA274" s="42" t="n"/>
      <c r="AB274" s="42" t="n"/>
      <c r="AC274" s="42" t="n"/>
      <c r="AD274" s="42" t="n"/>
      <c r="AE274" s="42" t="n"/>
      <c r="AF274" s="43">
        <f>IF($B274="","",SUM($T274:$AE274))</f>
        <v/>
      </c>
      <c r="AG274" s="43">
        <f>IF($B274="","",N($M274)-N($AF274))</f>
        <v/>
      </c>
      <c r="AH274" s="43">
        <f>IF($B274="","",N($L274)-N($AF274))</f>
        <v/>
      </c>
      <c r="AI274" s="149">
        <f>IF($B274="","",IF(N($L274)=0,"",(N($L274)-N($AF274))/N($L274)))</f>
        <v/>
      </c>
    </row>
    <row r="275">
      <c r="A275" s="39">
        <f>IF($B275="","",COUNTA($B$4:$B275))</f>
        <v/>
      </c>
      <c r="B275" s="45" t="n">
        <v>46054</v>
      </c>
      <c r="C275" s="46" t="n">
        <v>1773</v>
      </c>
      <c r="D275" s="46" t="inlineStr">
        <is>
          <t>سعد منير</t>
        </is>
      </c>
      <c r="E275" s="46" t="inlineStr">
        <is>
          <t>1*40 ث</t>
        </is>
      </c>
      <c r="F275" s="46" t="inlineStr">
        <is>
          <t>الفتح</t>
        </is>
      </c>
      <c r="G275" s="46" t="inlineStr">
        <is>
          <t xml:space="preserve">النوبارية </t>
        </is>
      </c>
      <c r="H275" s="46" t="inlineStr">
        <is>
          <t>653711/1</t>
        </is>
      </c>
      <c r="I275" s="46" t="inlineStr">
        <is>
          <t>ص ع ا 1628</t>
        </is>
      </c>
      <c r="J275" s="46" t="inlineStr">
        <is>
          <t xml:space="preserve">سعيد عصمت </t>
        </is>
      </c>
      <c r="K275" s="46" t="inlineStr">
        <is>
          <t xml:space="preserve">استوريا </t>
        </is>
      </c>
      <c r="L275" s="47" t="n">
        <v>11000</v>
      </c>
      <c r="M275" s="47" t="n">
        <v>7100</v>
      </c>
      <c r="N275" s="47" t="n"/>
      <c r="O275" s="47" t="n">
        <v>200</v>
      </c>
      <c r="P275" s="47" t="n"/>
      <c r="Q275" s="47" t="n">
        <v>3700</v>
      </c>
      <c r="R275" s="43">
        <f>IF($B275="","",N($S275)-N($Q275))</f>
        <v/>
      </c>
      <c r="S275" s="43">
        <f>IF($B275="","",N($L275)+N($N275)+N($P275))</f>
        <v/>
      </c>
      <c r="T275" s="47" t="n"/>
      <c r="U275" s="47" t="n"/>
      <c r="V275" s="47" t="n"/>
      <c r="W275" s="47" t="n"/>
      <c r="X275" s="47" t="n"/>
      <c r="Y275" s="47" t="n"/>
      <c r="Z275" s="47" t="n"/>
      <c r="AA275" s="47" t="n"/>
      <c r="AB275" s="47" t="n"/>
      <c r="AC275" s="47" t="n"/>
      <c r="AD275" s="47" t="n"/>
      <c r="AE275" s="47" t="n"/>
      <c r="AF275" s="43">
        <f>IF($B275="","",SUM($T275:$AE275))</f>
        <v/>
      </c>
      <c r="AG275" s="43">
        <f>IF($B275="","",N($M275)-N($AF275))</f>
        <v/>
      </c>
      <c r="AH275" s="43">
        <f>IF($B275="","",N($L275)-N($AF275))</f>
        <v/>
      </c>
      <c r="AI275" s="149">
        <f>IF($B275="","",IF(N($L275)=0,"",(N($L275)-N($AF275))/N($L275)))</f>
        <v/>
      </c>
    </row>
    <row r="276">
      <c r="A276" s="39">
        <f>IF($B276="","",COUNTA($B$4:$B276))</f>
        <v/>
      </c>
      <c r="B276" s="40" t="n">
        <v>46054</v>
      </c>
      <c r="C276" s="41" t="n">
        <v>1774</v>
      </c>
      <c r="D276" s="41" t="inlineStr">
        <is>
          <t>مخزن</t>
        </is>
      </c>
      <c r="E276" s="41" t="inlineStr">
        <is>
          <t>1*40 ث</t>
        </is>
      </c>
      <c r="F276" s="41" t="inlineStr">
        <is>
          <t>الفتح</t>
        </is>
      </c>
      <c r="G276" s="41" t="inlineStr">
        <is>
          <t xml:space="preserve">النوبارية </t>
        </is>
      </c>
      <c r="H276" s="41" t="inlineStr">
        <is>
          <t>653525/3</t>
        </is>
      </c>
      <c r="I276" s="41" t="inlineStr">
        <is>
          <t>س ل ا 5468</t>
        </is>
      </c>
      <c r="J276" s="41" t="inlineStr">
        <is>
          <t>حسام الدين محمد</t>
        </is>
      </c>
      <c r="K276" s="41" t="inlineStr">
        <is>
          <t>احمد مخزن</t>
        </is>
      </c>
      <c r="L276" s="42" t="n">
        <v>11000</v>
      </c>
      <c r="M276" s="42" t="n">
        <v>7100</v>
      </c>
      <c r="N276" s="42" t="n"/>
      <c r="O276" s="42" t="n">
        <v>200</v>
      </c>
      <c r="P276" s="42" t="n"/>
      <c r="Q276" s="42" t="n">
        <v>3700</v>
      </c>
      <c r="R276" s="43">
        <f>IF($B276="","",N($S276)-N($Q276))</f>
        <v/>
      </c>
      <c r="S276" s="43">
        <f>IF($B276="","",N($L276)+N($N276)+N($P276))</f>
        <v/>
      </c>
      <c r="T276" s="42" t="n"/>
      <c r="U276" s="42" t="n"/>
      <c r="V276" s="42" t="n"/>
      <c r="W276" s="42" t="n"/>
      <c r="X276" s="42" t="n"/>
      <c r="Y276" s="42" t="n"/>
      <c r="Z276" s="42" t="n"/>
      <c r="AA276" s="42" t="n"/>
      <c r="AB276" s="42" t="n"/>
      <c r="AC276" s="42" t="n"/>
      <c r="AD276" s="42" t="n"/>
      <c r="AE276" s="42" t="n"/>
      <c r="AF276" s="43">
        <f>IF($B276="","",SUM($T276:$AE276))</f>
        <v/>
      </c>
      <c r="AG276" s="43">
        <f>IF($B276="","",N($M276)-N($AF276))</f>
        <v/>
      </c>
      <c r="AH276" s="43">
        <f>IF($B276="","",N($L276)-N($AF276))</f>
        <v/>
      </c>
      <c r="AI276" s="149">
        <f>IF($B276="","",IF(N($L276)=0,"",(N($L276)-N($AF276))/N($L276)))</f>
        <v/>
      </c>
    </row>
    <row r="277">
      <c r="A277" s="39">
        <f>IF($B277="","",COUNTA($B$4:$B277))</f>
        <v/>
      </c>
      <c r="B277" s="45" t="n">
        <v>46054</v>
      </c>
      <c r="C277" s="46" t="n">
        <v>1775</v>
      </c>
      <c r="D277" s="46" t="inlineStr">
        <is>
          <t>رجب عبد العال خ</t>
        </is>
      </c>
      <c r="E277" s="46" t="inlineStr">
        <is>
          <t>1*40 ث</t>
        </is>
      </c>
      <c r="F277" s="46" t="inlineStr">
        <is>
          <t>الفتح</t>
        </is>
      </c>
      <c r="G277" s="46" t="inlineStr">
        <is>
          <t xml:space="preserve">النوبارية </t>
        </is>
      </c>
      <c r="H277" s="46" t="inlineStr">
        <is>
          <t>986784/0</t>
        </is>
      </c>
      <c r="I277" s="46" t="inlineStr">
        <is>
          <t>س ل ج 8533</t>
        </is>
      </c>
      <c r="J277" s="46" t="inlineStr">
        <is>
          <t>محمد عبد العزيز</t>
        </is>
      </c>
      <c r="K277" s="46" t="inlineStr">
        <is>
          <t xml:space="preserve">عوض </t>
        </is>
      </c>
      <c r="L277" s="47" t="n">
        <v>11000</v>
      </c>
      <c r="M277" s="47" t="n">
        <v>7100</v>
      </c>
      <c r="N277" s="47" t="n"/>
      <c r="O277" s="47" t="n">
        <v>200</v>
      </c>
      <c r="P277" s="47" t="n"/>
      <c r="Q277" s="47" t="n">
        <v>3700</v>
      </c>
      <c r="R277" s="43">
        <f>IF($B277="","",N($S277)-N($Q277))</f>
        <v/>
      </c>
      <c r="S277" s="43">
        <f>IF($B277="","",N($L277)+N($N277)+N($P277))</f>
        <v/>
      </c>
      <c r="T277" s="47" t="n"/>
      <c r="U277" s="47" t="n"/>
      <c r="V277" s="47" t="n"/>
      <c r="W277" s="47" t="n"/>
      <c r="X277" s="47" t="n"/>
      <c r="Y277" s="47" t="n"/>
      <c r="Z277" s="47" t="n"/>
      <c r="AA277" s="47" t="n"/>
      <c r="AB277" s="47" t="n"/>
      <c r="AC277" s="47" t="n"/>
      <c r="AD277" s="47" t="n"/>
      <c r="AE277" s="47" t="n"/>
      <c r="AF277" s="43">
        <f>IF($B277="","",SUM($T277:$AE277))</f>
        <v/>
      </c>
      <c r="AG277" s="43">
        <f>IF($B277="","",N($M277)-N($AF277))</f>
        <v/>
      </c>
      <c r="AH277" s="43">
        <f>IF($B277="","",N($L277)-N($AF277))</f>
        <v/>
      </c>
      <c r="AI277" s="149">
        <f>IF($B277="","",IF(N($L277)=0,"",(N($L277)-N($AF277))/N($L277)))</f>
        <v/>
      </c>
    </row>
    <row r="278">
      <c r="A278" s="39">
        <f>IF($B278="","",COUNTA($B$4:$B278))</f>
        <v/>
      </c>
      <c r="B278" s="40" t="n">
        <v>46054</v>
      </c>
      <c r="C278" s="41" t="n">
        <v>1893</v>
      </c>
      <c r="D278" s="41" t="inlineStr">
        <is>
          <t xml:space="preserve">العربى </t>
        </is>
      </c>
      <c r="E278" s="41" t="inlineStr">
        <is>
          <t>1*40</t>
        </is>
      </c>
      <c r="F278" s="41" t="n"/>
      <c r="G278" s="41" t="inlineStr">
        <is>
          <t>بنى سويف</t>
        </is>
      </c>
      <c r="H278" s="41" t="inlineStr">
        <is>
          <t>005810/5</t>
        </is>
      </c>
      <c r="I278" s="41" t="inlineStr">
        <is>
          <t>ع م ا 1224</t>
        </is>
      </c>
      <c r="J278" s="41" t="inlineStr">
        <is>
          <t xml:space="preserve">محمد فريد </t>
        </is>
      </c>
      <c r="K278" s="41" t="inlineStr">
        <is>
          <t xml:space="preserve">الليبر </t>
        </is>
      </c>
      <c r="L278" s="42" t="n">
        <v>17500</v>
      </c>
      <c r="M278" s="42" t="n">
        <v>10100</v>
      </c>
      <c r="N278" s="42" t="n"/>
      <c r="O278" s="42" t="n">
        <v>200</v>
      </c>
      <c r="P278" s="42" t="n"/>
      <c r="Q278" s="42" t="n">
        <v>7200</v>
      </c>
      <c r="R278" s="43">
        <f>IF($B278="","",N($S278)-N($Q278))</f>
        <v/>
      </c>
      <c r="S278" s="43">
        <f>IF($B278="","",N($L278)+N($N278)+N($P278))</f>
        <v/>
      </c>
      <c r="T278" s="42" t="n"/>
      <c r="U278" s="42" t="n"/>
      <c r="V278" s="42" t="n"/>
      <c r="W278" s="42" t="n"/>
      <c r="X278" s="42" t="n"/>
      <c r="Y278" s="42" t="n"/>
      <c r="Z278" s="42" t="n"/>
      <c r="AA278" s="42" t="n"/>
      <c r="AB278" s="42" t="n"/>
      <c r="AC278" s="42" t="n"/>
      <c r="AD278" s="42" t="n"/>
      <c r="AE278" s="42" t="n"/>
      <c r="AF278" s="43">
        <f>IF($B278="","",SUM($T278:$AE278))</f>
        <v/>
      </c>
      <c r="AG278" s="43">
        <f>IF($B278="","",N($M278)-N($AF278))</f>
        <v/>
      </c>
      <c r="AH278" s="43">
        <f>IF($B278="","",N($L278)-N($AF278))</f>
        <v/>
      </c>
      <c r="AI278" s="149">
        <f>IF($B278="","",IF(N($L278)=0,"",(N($L278)-N($AF278))/N($L278)))</f>
        <v/>
      </c>
    </row>
    <row r="279">
      <c r="A279" s="39">
        <f>IF($B279="","",COUNTA($B$4:$B279))</f>
        <v/>
      </c>
      <c r="B279" s="45" t="n">
        <v>46054</v>
      </c>
      <c r="C279" s="46" t="n">
        <v>1892</v>
      </c>
      <c r="D279" s="46" t="inlineStr">
        <is>
          <t>المكتب</t>
        </is>
      </c>
      <c r="E279" s="46" t="inlineStr">
        <is>
          <t>1*40</t>
        </is>
      </c>
      <c r="F279" s="46" t="inlineStr">
        <is>
          <t>اكما</t>
        </is>
      </c>
      <c r="G279" s="46" t="inlineStr">
        <is>
          <t>بنى سويف</t>
        </is>
      </c>
      <c r="H279" s="46" t="inlineStr">
        <is>
          <t>4243909/9</t>
        </is>
      </c>
      <c r="I279" s="46" t="inlineStr">
        <is>
          <t>س ع م 8737</t>
        </is>
      </c>
      <c r="J279" s="46" t="inlineStr">
        <is>
          <t xml:space="preserve">محمود بكر </t>
        </is>
      </c>
      <c r="K279" s="46" t="inlineStr">
        <is>
          <t>المكتب</t>
        </is>
      </c>
      <c r="L279" s="47" t="n">
        <v>17500</v>
      </c>
      <c r="M279" s="47" t="n">
        <v>8000</v>
      </c>
      <c r="N279" s="47" t="n"/>
      <c r="O279" s="47" t="n"/>
      <c r="P279" s="47" t="n"/>
      <c r="Q279" s="47" t="n">
        <v>9500</v>
      </c>
      <c r="R279" s="43">
        <f>IF($B279="","",N($S279)-N($Q279))</f>
        <v/>
      </c>
      <c r="S279" s="43">
        <f>IF($B279="","",N($L279)+N($N279)+N($P279))</f>
        <v/>
      </c>
      <c r="T279" s="47" t="n">
        <v>1800</v>
      </c>
      <c r="U279" s="47" t="n">
        <v>800</v>
      </c>
      <c r="V279" s="47" t="n"/>
      <c r="W279" s="47" t="n">
        <v>150</v>
      </c>
      <c r="X279" s="47" t="n">
        <v>180</v>
      </c>
      <c r="Y279" s="47" t="n">
        <v>60</v>
      </c>
      <c r="Z279" s="47" t="n"/>
      <c r="AA279" s="47" t="n"/>
      <c r="AB279" s="47" t="n"/>
      <c r="AC279" s="47" t="n">
        <v>50</v>
      </c>
      <c r="AD279" s="47" t="n"/>
      <c r="AE279" s="47" t="n">
        <v>5250</v>
      </c>
      <c r="AF279" s="43">
        <f>IF($B279="","",SUM($T279:$AE279))</f>
        <v/>
      </c>
      <c r="AG279" s="43">
        <f>IF($B279="","",N($M279)-N($AF279))</f>
        <v/>
      </c>
      <c r="AH279" s="43">
        <f>IF($B279="","",N($L279)-N($AF279))</f>
        <v/>
      </c>
      <c r="AI279" s="149">
        <f>IF($B279="","",IF(N($L279)=0,"",(N($L279)-N($AF279))/N($L279)))</f>
        <v/>
      </c>
    </row>
    <row r="280">
      <c r="A280" s="39">
        <f>IF($B280="","",COUNTA($B$4:$B280))</f>
        <v/>
      </c>
      <c r="B280" s="40" t="n">
        <v>46054</v>
      </c>
      <c r="C280" s="41" t="n">
        <v>1873</v>
      </c>
      <c r="D280" s="41" t="inlineStr">
        <is>
          <t>سعد منير</t>
        </is>
      </c>
      <c r="E280" s="41" t="inlineStr">
        <is>
          <t>1*40</t>
        </is>
      </c>
      <c r="F280" s="41" t="inlineStr">
        <is>
          <t>اكما</t>
        </is>
      </c>
      <c r="G280" s="41" t="inlineStr">
        <is>
          <t>بنى سويف</t>
        </is>
      </c>
      <c r="H280" s="41" t="inlineStr">
        <is>
          <t>527439/7</t>
        </is>
      </c>
      <c r="I280" s="41" t="inlineStr">
        <is>
          <t>ص ع ا 4965</t>
        </is>
      </c>
      <c r="J280" s="41" t="inlineStr">
        <is>
          <t>محمد سمير</t>
        </is>
      </c>
      <c r="K280" s="41" t="inlineStr">
        <is>
          <t xml:space="preserve">استوريا </t>
        </is>
      </c>
      <c r="L280" s="42" t="n">
        <v>17500</v>
      </c>
      <c r="M280" s="42" t="n">
        <v>10100</v>
      </c>
      <c r="N280" s="42" t="n"/>
      <c r="O280" s="42" t="n">
        <v>200</v>
      </c>
      <c r="P280" s="42" t="n"/>
      <c r="Q280" s="42" t="n">
        <v>7200</v>
      </c>
      <c r="R280" s="43">
        <f>IF($B280="","",N($S280)-N($Q280))</f>
        <v/>
      </c>
      <c r="S280" s="43">
        <f>IF($B280="","",N($L280)+N($N280)+N($P280))</f>
        <v/>
      </c>
      <c r="T280" s="42" t="n"/>
      <c r="U280" s="42" t="n"/>
      <c r="V280" s="42" t="n"/>
      <c r="W280" s="42" t="n"/>
      <c r="X280" s="42" t="n"/>
      <c r="Y280" s="42" t="n"/>
      <c r="Z280" s="42" t="n"/>
      <c r="AA280" s="42" t="n"/>
      <c r="AB280" s="42" t="n"/>
      <c r="AC280" s="42" t="n"/>
      <c r="AD280" s="42" t="n"/>
      <c r="AE280" s="42" t="n"/>
      <c r="AF280" s="43">
        <f>IF($B280="","",SUM($T280:$AE280))</f>
        <v/>
      </c>
      <c r="AG280" s="43">
        <f>IF($B280="","",N($M280)-N($AF280))</f>
        <v/>
      </c>
      <c r="AH280" s="43">
        <f>IF($B280="","",N($L280)-N($AF280))</f>
        <v/>
      </c>
      <c r="AI280" s="149">
        <f>IF($B280="","",IF(N($L280)=0,"",(N($L280)-N($AF280))/N($L280)))</f>
        <v/>
      </c>
    </row>
    <row r="281">
      <c r="A281" s="39">
        <f>IF($B281="","",COUNTA($B$4:$B281))</f>
        <v/>
      </c>
      <c r="B281" s="45" t="n">
        <v>46054</v>
      </c>
      <c r="C281" s="46" t="n">
        <v>1874</v>
      </c>
      <c r="D281" s="46" t="inlineStr">
        <is>
          <t>سعد منير</t>
        </is>
      </c>
      <c r="E281" s="46" t="inlineStr">
        <is>
          <t>1*40</t>
        </is>
      </c>
      <c r="F281" s="46" t="inlineStr">
        <is>
          <t>اكما</t>
        </is>
      </c>
      <c r="G281" s="46" t="inlineStr">
        <is>
          <t>بنى سويف</t>
        </is>
      </c>
      <c r="H281" s="46" t="inlineStr">
        <is>
          <t>007026/6</t>
        </is>
      </c>
      <c r="I281" s="46" t="inlineStr">
        <is>
          <t>ب د ف 5832</t>
        </is>
      </c>
      <c r="J281" s="46" t="inlineStr">
        <is>
          <t xml:space="preserve">محمد جابر </t>
        </is>
      </c>
      <c r="K281" s="46" t="inlineStr">
        <is>
          <t xml:space="preserve">استوريا </t>
        </is>
      </c>
      <c r="L281" s="47" t="n">
        <v>17500</v>
      </c>
      <c r="M281" s="47" t="n">
        <v>10100</v>
      </c>
      <c r="N281" s="47" t="n"/>
      <c r="O281" s="47" t="n">
        <v>200</v>
      </c>
      <c r="P281" s="47" t="n"/>
      <c r="Q281" s="47" t="n">
        <v>7200</v>
      </c>
      <c r="R281" s="43">
        <f>IF($B281="","",N($S281)-N($Q281))</f>
        <v/>
      </c>
      <c r="S281" s="43">
        <f>IF($B281="","",N($L281)+N($N281)+N($P281))</f>
        <v/>
      </c>
      <c r="T281" s="47" t="n"/>
      <c r="U281" s="47" t="n"/>
      <c r="V281" s="47" t="n"/>
      <c r="W281" s="47" t="n"/>
      <c r="X281" s="47" t="n"/>
      <c r="Y281" s="47" t="n"/>
      <c r="Z281" s="47" t="n"/>
      <c r="AA281" s="47" t="n"/>
      <c r="AB281" s="47" t="n"/>
      <c r="AC281" s="47" t="n"/>
      <c r="AD281" s="47" t="n"/>
      <c r="AE281" s="47" t="n"/>
      <c r="AF281" s="43">
        <f>IF($B281="","",SUM($T281:$AE281))</f>
        <v/>
      </c>
      <c r="AG281" s="43">
        <f>IF($B281="","",N($M281)-N($AF281))</f>
        <v/>
      </c>
      <c r="AH281" s="43">
        <f>IF($B281="","",N($L281)-N($AF281))</f>
        <v/>
      </c>
      <c r="AI281" s="149">
        <f>IF($B281="","",IF(N($L281)=0,"",(N($L281)-N($AF281))/N($L281)))</f>
        <v/>
      </c>
    </row>
    <row r="282">
      <c r="A282" s="39">
        <f>IF($B282="","",COUNTA($B$4:$B282))</f>
        <v/>
      </c>
      <c r="B282" s="40" t="n">
        <v>46054</v>
      </c>
      <c r="C282" s="41" t="n">
        <v>1875</v>
      </c>
      <c r="D282" s="41" t="inlineStr">
        <is>
          <t>سعد منير</t>
        </is>
      </c>
      <c r="E282" s="41" t="inlineStr">
        <is>
          <t>1*40</t>
        </is>
      </c>
      <c r="F282" s="41" t="inlineStr">
        <is>
          <t>اكما</t>
        </is>
      </c>
      <c r="G282" s="41" t="inlineStr">
        <is>
          <t>بنى سويف</t>
        </is>
      </c>
      <c r="H282" s="41" t="inlineStr">
        <is>
          <t>030761/0</t>
        </is>
      </c>
      <c r="I282" s="41" t="inlineStr">
        <is>
          <t>ط ف ر 2515</t>
        </is>
      </c>
      <c r="J282" s="41" t="inlineStr">
        <is>
          <t xml:space="preserve">محمد السقا </t>
        </is>
      </c>
      <c r="K282" s="41" t="inlineStr">
        <is>
          <t xml:space="preserve">ابو ادم </t>
        </is>
      </c>
      <c r="L282" s="42" t="n">
        <v>17500</v>
      </c>
      <c r="M282" s="42" t="n">
        <v>10100</v>
      </c>
      <c r="N282" s="42" t="n"/>
      <c r="O282" s="42" t="n">
        <v>200</v>
      </c>
      <c r="P282" s="42" t="n"/>
      <c r="Q282" s="42" t="n">
        <v>7200</v>
      </c>
      <c r="R282" s="43">
        <f>IF($B282="","",N($S282)-N($Q282))</f>
        <v/>
      </c>
      <c r="S282" s="43">
        <f>IF($B282="","",N($L282)+N($N282)+N($P282))</f>
        <v/>
      </c>
      <c r="T282" s="42" t="n"/>
      <c r="U282" s="42" t="n"/>
      <c r="V282" s="42" t="n"/>
      <c r="W282" s="42" t="n"/>
      <c r="X282" s="42" t="n"/>
      <c r="Y282" s="42" t="n"/>
      <c r="Z282" s="42" t="n"/>
      <c r="AA282" s="42" t="n"/>
      <c r="AB282" s="42" t="n"/>
      <c r="AC282" s="42" t="n"/>
      <c r="AD282" s="42" t="n"/>
      <c r="AE282" s="42" t="n"/>
      <c r="AF282" s="43">
        <f>IF($B282="","",SUM($T282:$AE282))</f>
        <v/>
      </c>
      <c r="AG282" s="43">
        <f>IF($B282="","",N($M282)-N($AF282))</f>
        <v/>
      </c>
      <c r="AH282" s="43">
        <f>IF($B282="","",N($L282)-N($AF282))</f>
        <v/>
      </c>
      <c r="AI282" s="149">
        <f>IF($B282="","",IF(N($L282)=0,"",(N($L282)-N($AF282))/N($L282)))</f>
        <v/>
      </c>
    </row>
    <row r="283">
      <c r="A283" s="39">
        <f>IF($B283="","",COUNTA($B$4:$B283))</f>
        <v/>
      </c>
      <c r="B283" s="45" t="n">
        <v>46054</v>
      </c>
      <c r="C283" s="46" t="n">
        <v>1876</v>
      </c>
      <c r="D283" s="46" t="inlineStr">
        <is>
          <t>الجوهرى خ</t>
        </is>
      </c>
      <c r="E283" s="46" t="inlineStr">
        <is>
          <t>1*40</t>
        </is>
      </c>
      <c r="F283" s="46" t="inlineStr">
        <is>
          <t>اكما</t>
        </is>
      </c>
      <c r="G283" s="46" t="inlineStr">
        <is>
          <t>بنى سويف</t>
        </is>
      </c>
      <c r="H283" s="46" t="inlineStr">
        <is>
          <t>029888/5</t>
        </is>
      </c>
      <c r="I283" s="46" t="inlineStr">
        <is>
          <t>ب ل ر 7516</t>
        </is>
      </c>
      <c r="J283" s="46" t="inlineStr">
        <is>
          <t xml:space="preserve">ياسر الحليسى </t>
        </is>
      </c>
      <c r="K283" s="46" t="inlineStr">
        <is>
          <t xml:space="preserve">ابو ادم </t>
        </is>
      </c>
      <c r="L283" s="47" t="n">
        <v>17500</v>
      </c>
      <c r="M283" s="47" t="n">
        <v>10100</v>
      </c>
      <c r="N283" s="47" t="n"/>
      <c r="O283" s="47" t="n">
        <v>200</v>
      </c>
      <c r="P283" s="47" t="n"/>
      <c r="Q283" s="47" t="n">
        <v>7200</v>
      </c>
      <c r="R283" s="43">
        <f>IF($B283="","",N($S283)-N($Q283))</f>
        <v/>
      </c>
      <c r="S283" s="43">
        <f>IF($B283="","",N($L283)+N($N283)+N($P283))</f>
        <v/>
      </c>
      <c r="T283" s="47" t="n"/>
      <c r="U283" s="47" t="n"/>
      <c r="V283" s="47" t="n"/>
      <c r="W283" s="47" t="n"/>
      <c r="X283" s="47" t="n"/>
      <c r="Y283" s="47" t="n"/>
      <c r="Z283" s="47" t="n"/>
      <c r="AA283" s="47" t="n"/>
      <c r="AB283" s="47" t="n"/>
      <c r="AC283" s="47" t="n"/>
      <c r="AD283" s="47" t="n"/>
      <c r="AE283" s="47" t="n"/>
      <c r="AF283" s="43">
        <f>IF($B283="","",SUM($T283:$AE283))</f>
        <v/>
      </c>
      <c r="AG283" s="43">
        <f>IF($B283="","",N($M283)-N($AF283))</f>
        <v/>
      </c>
      <c r="AH283" s="43">
        <f>IF($B283="","",N($L283)-N($AF283))</f>
        <v/>
      </c>
      <c r="AI283" s="149">
        <f>IF($B283="","",IF(N($L283)=0,"",(N($L283)-N($AF283))/N($L283)))</f>
        <v/>
      </c>
    </row>
    <row r="284">
      <c r="A284" s="39">
        <f>IF($B284="","",COUNTA($B$4:$B284))</f>
        <v/>
      </c>
      <c r="B284" s="40" t="n">
        <v>46054</v>
      </c>
      <c r="C284" s="41" t="n">
        <v>1877</v>
      </c>
      <c r="D284" s="41" t="inlineStr">
        <is>
          <t>رمزى ابو النور</t>
        </is>
      </c>
      <c r="E284" s="41" t="inlineStr">
        <is>
          <t>1*40</t>
        </is>
      </c>
      <c r="F284" s="41" t="inlineStr">
        <is>
          <t>اكما</t>
        </is>
      </c>
      <c r="G284" s="41" t="inlineStr">
        <is>
          <t>بنى سويف</t>
        </is>
      </c>
      <c r="H284" s="41" t="inlineStr">
        <is>
          <t>549893/0</t>
        </is>
      </c>
      <c r="I284" s="41" t="inlineStr">
        <is>
          <t>ب د ف8472</t>
        </is>
      </c>
      <c r="J284" s="41" t="inlineStr">
        <is>
          <t xml:space="preserve">يسر الصيفى </t>
        </is>
      </c>
      <c r="K284" s="41" t="inlineStr">
        <is>
          <t xml:space="preserve">السائق </t>
        </is>
      </c>
      <c r="L284" s="42" t="n">
        <v>17500</v>
      </c>
      <c r="M284" s="42" t="n">
        <v>10100</v>
      </c>
      <c r="N284" s="42" t="n"/>
      <c r="O284" s="42" t="n">
        <v>200</v>
      </c>
      <c r="P284" s="42" t="n"/>
      <c r="Q284" s="42" t="n">
        <v>7200</v>
      </c>
      <c r="R284" s="43">
        <f>IF($B284="","",N($S284)-N($Q284))</f>
        <v/>
      </c>
      <c r="S284" s="43">
        <f>IF($B284="","",N($L284)+N($N284)+N($P284))</f>
        <v/>
      </c>
      <c r="T284" s="42" t="n"/>
      <c r="U284" s="42" t="n"/>
      <c r="V284" s="42" t="n"/>
      <c r="W284" s="42" t="n"/>
      <c r="X284" s="42" t="n"/>
      <c r="Y284" s="42" t="n"/>
      <c r="Z284" s="42" t="n"/>
      <c r="AA284" s="42" t="n"/>
      <c r="AB284" s="42" t="n"/>
      <c r="AC284" s="42" t="n"/>
      <c r="AD284" s="42" t="n"/>
      <c r="AE284" s="42" t="n"/>
      <c r="AF284" s="43">
        <f>IF($B284="","",SUM($T284:$AE284))</f>
        <v/>
      </c>
      <c r="AG284" s="43">
        <f>IF($B284="","",N($M284)-N($AF284))</f>
        <v/>
      </c>
      <c r="AH284" s="43">
        <f>IF($B284="","",N($L284)-N($AF284))</f>
        <v/>
      </c>
      <c r="AI284" s="149">
        <f>IF($B284="","",IF(N($L284)=0,"",(N($L284)-N($AF284))/N($L284)))</f>
        <v/>
      </c>
    </row>
    <row r="285">
      <c r="A285" s="39">
        <f>IF($B285="","",COUNTA($B$4:$B285))</f>
        <v/>
      </c>
      <c r="B285" s="45" t="n">
        <v>46054</v>
      </c>
      <c r="C285" s="46" t="n">
        <v>1878</v>
      </c>
      <c r="D285" s="46" t="inlineStr">
        <is>
          <t>حمادة ذكى</t>
        </is>
      </c>
      <c r="E285" s="46" t="inlineStr">
        <is>
          <t>1*40</t>
        </is>
      </c>
      <c r="F285" s="46" t="inlineStr">
        <is>
          <t>اكما</t>
        </is>
      </c>
      <c r="G285" s="46" t="inlineStr">
        <is>
          <t>بنى سويف</t>
        </is>
      </c>
      <c r="H285" s="46" t="inlineStr">
        <is>
          <t>364627/0</t>
        </is>
      </c>
      <c r="I285" s="46" t="inlineStr">
        <is>
          <t>س ق ا 4698</t>
        </is>
      </c>
      <c r="J285" s="46" t="inlineStr">
        <is>
          <t xml:space="preserve">ناصر سعد </t>
        </is>
      </c>
      <c r="K285" s="46" t="inlineStr">
        <is>
          <t xml:space="preserve">حمادة ذكى </t>
        </is>
      </c>
      <c r="L285" s="47" t="n">
        <v>17500</v>
      </c>
      <c r="M285" s="47" t="n">
        <v>10100</v>
      </c>
      <c r="N285" s="47" t="n"/>
      <c r="O285" s="47" t="n">
        <v>200</v>
      </c>
      <c r="P285" s="47" t="n"/>
      <c r="Q285" s="47" t="n">
        <v>7200</v>
      </c>
      <c r="R285" s="43">
        <f>IF($B285="","",N($S285)-N($Q285))</f>
        <v/>
      </c>
      <c r="S285" s="43">
        <f>IF($B285="","",N($L285)+N($N285)+N($P285))</f>
        <v/>
      </c>
      <c r="T285" s="47" t="n"/>
      <c r="U285" s="47" t="n"/>
      <c r="V285" s="47" t="n"/>
      <c r="W285" s="47" t="n"/>
      <c r="X285" s="47" t="n"/>
      <c r="Y285" s="47" t="n"/>
      <c r="Z285" s="47" t="n"/>
      <c r="AA285" s="47" t="n"/>
      <c r="AB285" s="47" t="n"/>
      <c r="AC285" s="47" t="n"/>
      <c r="AD285" s="47" t="n"/>
      <c r="AE285" s="47" t="n"/>
      <c r="AF285" s="43">
        <f>IF($B285="","",SUM($T285:$AE285))</f>
        <v/>
      </c>
      <c r="AG285" s="43">
        <f>IF($B285="","",N($M285)-N($AF285))</f>
        <v/>
      </c>
      <c r="AH285" s="43">
        <f>IF($B285="","",N($L285)-N($AF285))</f>
        <v/>
      </c>
      <c r="AI285" s="149">
        <f>IF($B285="","",IF(N($L285)=0,"",(N($L285)-N($AF285))/N($L285)))</f>
        <v/>
      </c>
    </row>
    <row r="286">
      <c r="A286" s="39">
        <f>IF($B286="","",COUNTA($B$4:$B286))</f>
        <v/>
      </c>
      <c r="B286" s="40" t="n">
        <v>46054</v>
      </c>
      <c r="C286" s="41" t="n">
        <v>1879</v>
      </c>
      <c r="D286" s="41" t="inlineStr">
        <is>
          <t xml:space="preserve">ابو ركبة </t>
        </is>
      </c>
      <c r="E286" s="41" t="inlineStr">
        <is>
          <t>1*40</t>
        </is>
      </c>
      <c r="F286" s="41" t="inlineStr">
        <is>
          <t>اكما</t>
        </is>
      </c>
      <c r="G286" s="41" t="inlineStr">
        <is>
          <t>بنى سويف</t>
        </is>
      </c>
      <c r="H286" s="41" t="inlineStr">
        <is>
          <t>550524/3</t>
        </is>
      </c>
      <c r="I286" s="41" t="inlineStr">
        <is>
          <t>ب ن و 5219</t>
        </is>
      </c>
      <c r="J286" s="41" t="inlineStr">
        <is>
          <t xml:space="preserve">محمد اسماعيل </t>
        </is>
      </c>
      <c r="K286" s="41" t="inlineStr">
        <is>
          <t xml:space="preserve">الليبر </t>
        </is>
      </c>
      <c r="L286" s="42" t="n">
        <v>17500</v>
      </c>
      <c r="M286" s="42" t="n">
        <v>10100</v>
      </c>
      <c r="N286" s="42" t="n"/>
      <c r="O286" s="42" t="n">
        <v>200</v>
      </c>
      <c r="P286" s="42" t="n"/>
      <c r="Q286" s="42" t="n">
        <v>7200</v>
      </c>
      <c r="R286" s="43">
        <f>IF($B286="","",N($S286)-N($Q286))</f>
        <v/>
      </c>
      <c r="S286" s="43">
        <f>IF($B286="","",N($L286)+N($N286)+N($P286))</f>
        <v/>
      </c>
      <c r="T286" s="42" t="n"/>
      <c r="U286" s="42" t="n"/>
      <c r="V286" s="42" t="n"/>
      <c r="W286" s="42" t="n"/>
      <c r="X286" s="42" t="n"/>
      <c r="Y286" s="42" t="n"/>
      <c r="Z286" s="42" t="n"/>
      <c r="AA286" s="42" t="n"/>
      <c r="AB286" s="42" t="n"/>
      <c r="AC286" s="42" t="n"/>
      <c r="AD286" s="42" t="n"/>
      <c r="AE286" s="42" t="n"/>
      <c r="AF286" s="43">
        <f>IF($B286="","",SUM($T286:$AE286))</f>
        <v/>
      </c>
      <c r="AG286" s="43">
        <f>IF($B286="","",N($M286)-N($AF286))</f>
        <v/>
      </c>
      <c r="AH286" s="43">
        <f>IF($B286="","",N($L286)-N($AF286))</f>
        <v/>
      </c>
      <c r="AI286" s="149">
        <f>IF($B286="","",IF(N($L286)=0,"",(N($L286)-N($AF286))/N($L286)))</f>
        <v/>
      </c>
    </row>
    <row r="287">
      <c r="A287" s="39">
        <f>IF($B287="","",COUNTA($B$4:$B287))</f>
        <v/>
      </c>
      <c r="B287" s="45" t="n">
        <v>46054</v>
      </c>
      <c r="C287" s="46" t="n">
        <v>1880</v>
      </c>
      <c r="D287" s="46" t="inlineStr">
        <is>
          <t xml:space="preserve">ابو ركبة </t>
        </is>
      </c>
      <c r="E287" s="46" t="inlineStr">
        <is>
          <t>1*40</t>
        </is>
      </c>
      <c r="F287" s="46" t="inlineStr">
        <is>
          <t>اكما</t>
        </is>
      </c>
      <c r="G287" s="46" t="inlineStr">
        <is>
          <t>بنى سويف</t>
        </is>
      </c>
      <c r="H287" s="46" t="inlineStr">
        <is>
          <t>213542/8</t>
        </is>
      </c>
      <c r="I287" s="46" t="inlineStr">
        <is>
          <t>ب ج ى 7495</t>
        </is>
      </c>
      <c r="J287" s="46" t="inlineStr">
        <is>
          <t xml:space="preserve">نبيل محمد </t>
        </is>
      </c>
      <c r="K287" s="46" t="inlineStr">
        <is>
          <t xml:space="preserve">الليبر </t>
        </is>
      </c>
      <c r="L287" s="47" t="n">
        <v>17500</v>
      </c>
      <c r="M287" s="47" t="n">
        <v>10100</v>
      </c>
      <c r="N287" s="47" t="n"/>
      <c r="O287" s="47" t="n">
        <v>200</v>
      </c>
      <c r="P287" s="47" t="n"/>
      <c r="Q287" s="47" t="n">
        <v>7200</v>
      </c>
      <c r="R287" s="43">
        <f>IF($B287="","",N($S287)-N($Q287))</f>
        <v/>
      </c>
      <c r="S287" s="43">
        <f>IF($B287="","",N($L287)+N($N287)+N($P287))</f>
        <v/>
      </c>
      <c r="T287" s="47" t="n"/>
      <c r="U287" s="47" t="n"/>
      <c r="V287" s="47" t="n"/>
      <c r="W287" s="47" t="n"/>
      <c r="X287" s="47" t="n"/>
      <c r="Y287" s="47" t="n"/>
      <c r="Z287" s="47" t="n"/>
      <c r="AA287" s="47" t="n"/>
      <c r="AB287" s="47" t="n"/>
      <c r="AC287" s="47" t="n"/>
      <c r="AD287" s="47" t="n"/>
      <c r="AE287" s="47" t="n"/>
      <c r="AF287" s="43">
        <f>IF($B287="","",SUM($T287:$AE287))</f>
        <v/>
      </c>
      <c r="AG287" s="43">
        <f>IF($B287="","",N($M287)-N($AF287))</f>
        <v/>
      </c>
      <c r="AH287" s="43">
        <f>IF($B287="","",N($L287)-N($AF287))</f>
        <v/>
      </c>
      <c r="AI287" s="149">
        <f>IF($B287="","",IF(N($L287)=0,"",(N($L287)-N($AF287))/N($L287)))</f>
        <v/>
      </c>
    </row>
    <row r="288">
      <c r="A288" s="39">
        <f>IF($B288="","",COUNTA($B$4:$B288))</f>
        <v/>
      </c>
      <c r="B288" s="40" t="n">
        <v>46054</v>
      </c>
      <c r="C288" s="41" t="n">
        <v>1882</v>
      </c>
      <c r="D288" s="41" t="inlineStr">
        <is>
          <t xml:space="preserve">احمد محسن </t>
        </is>
      </c>
      <c r="E288" s="41" t="inlineStr">
        <is>
          <t>1*40</t>
        </is>
      </c>
      <c r="F288" s="41" t="inlineStr">
        <is>
          <t>اكما</t>
        </is>
      </c>
      <c r="G288" s="41" t="inlineStr">
        <is>
          <t>بنى سويف</t>
        </is>
      </c>
      <c r="H288" s="41" t="inlineStr">
        <is>
          <t>364907/3</t>
        </is>
      </c>
      <c r="I288" s="41" t="inlineStr">
        <is>
          <t>س ع ا 7219</t>
        </is>
      </c>
      <c r="J288" s="41" t="inlineStr">
        <is>
          <t xml:space="preserve">طلعت محمد </t>
        </is>
      </c>
      <c r="K288" s="41" t="inlineStr">
        <is>
          <t xml:space="preserve">احمد محسن </t>
        </is>
      </c>
      <c r="L288" s="42" t="n">
        <v>17500</v>
      </c>
      <c r="M288" s="42" t="n">
        <v>10100</v>
      </c>
      <c r="N288" s="42" t="n"/>
      <c r="O288" s="42" t="n">
        <v>200</v>
      </c>
      <c r="P288" s="42" t="n"/>
      <c r="Q288" s="42" t="n">
        <v>7200</v>
      </c>
      <c r="R288" s="43">
        <f>IF($B288="","",N($S288)-N($Q288))</f>
        <v/>
      </c>
      <c r="S288" s="43">
        <f>IF($B288="","",N($L288)+N($N288)+N($P288))</f>
        <v/>
      </c>
      <c r="T288" s="42" t="n"/>
      <c r="U288" s="42" t="n"/>
      <c r="V288" s="42" t="n"/>
      <c r="W288" s="42" t="n"/>
      <c r="X288" s="42" t="n"/>
      <c r="Y288" s="42" t="n"/>
      <c r="Z288" s="42" t="n"/>
      <c r="AA288" s="42" t="n"/>
      <c r="AB288" s="42" t="n"/>
      <c r="AC288" s="42" t="n"/>
      <c r="AD288" s="42" t="n"/>
      <c r="AE288" s="42" t="n"/>
      <c r="AF288" s="43">
        <f>IF($B288="","",SUM($T288:$AE288))</f>
        <v/>
      </c>
      <c r="AG288" s="43">
        <f>IF($B288="","",N($M288)-N($AF288))</f>
        <v/>
      </c>
      <c r="AH288" s="43">
        <f>IF($B288="","",N($L288)-N($AF288))</f>
        <v/>
      </c>
      <c r="AI288" s="149">
        <f>IF($B288="","",IF(N($L288)=0,"",(N($L288)-N($AF288))/N($L288)))</f>
        <v/>
      </c>
    </row>
    <row r="289">
      <c r="A289" s="39">
        <f>IF($B289="","",COUNTA($B$4:$B289))</f>
        <v/>
      </c>
      <c r="B289" s="45" t="n">
        <v>46054</v>
      </c>
      <c r="C289" s="46" t="n">
        <v>1883</v>
      </c>
      <c r="D289" s="46" t="inlineStr">
        <is>
          <t>الشريف خ</t>
        </is>
      </c>
      <c r="E289" s="46" t="inlineStr">
        <is>
          <t>1*40</t>
        </is>
      </c>
      <c r="F289" s="46" t="inlineStr">
        <is>
          <t>اكما</t>
        </is>
      </c>
      <c r="G289" s="46" t="inlineStr">
        <is>
          <t>بنى سويف</t>
        </is>
      </c>
      <c r="H289" s="46" t="inlineStr">
        <is>
          <t>009318/0</t>
        </is>
      </c>
      <c r="I289" s="46" t="inlineStr">
        <is>
          <t>ب س ا 5683</t>
        </is>
      </c>
      <c r="J289" s="46" t="inlineStr">
        <is>
          <t xml:space="preserve">محمد ابراهيم </t>
        </is>
      </c>
      <c r="K289" s="46" t="inlineStr">
        <is>
          <t xml:space="preserve">اشرف الحجرى </t>
        </is>
      </c>
      <c r="L289" s="47" t="n">
        <v>17500</v>
      </c>
      <c r="M289" s="47" t="n">
        <v>10100</v>
      </c>
      <c r="N289" s="47" t="n"/>
      <c r="O289" s="47" t="n">
        <v>200</v>
      </c>
      <c r="P289" s="47" t="n"/>
      <c r="Q289" s="47" t="n">
        <v>7200</v>
      </c>
      <c r="R289" s="43">
        <f>IF($B289="","",N($S289)-N($Q289))</f>
        <v/>
      </c>
      <c r="S289" s="43">
        <f>IF($B289="","",N($L289)+N($N289)+N($P289))</f>
        <v/>
      </c>
      <c r="T289" s="47" t="n"/>
      <c r="U289" s="47" t="n"/>
      <c r="V289" s="47" t="n"/>
      <c r="W289" s="47" t="n"/>
      <c r="X289" s="47" t="n"/>
      <c r="Y289" s="47" t="n"/>
      <c r="Z289" s="47" t="n"/>
      <c r="AA289" s="47" t="n"/>
      <c r="AB289" s="47" t="n"/>
      <c r="AC289" s="47" t="n"/>
      <c r="AD289" s="47" t="n"/>
      <c r="AE289" s="47" t="n"/>
      <c r="AF289" s="43">
        <f>IF($B289="","",SUM($T289:$AE289))</f>
        <v/>
      </c>
      <c r="AG289" s="43">
        <f>IF($B289="","",N($M289)-N($AF289))</f>
        <v/>
      </c>
      <c r="AH289" s="43">
        <f>IF($B289="","",N($L289)-N($AF289))</f>
        <v/>
      </c>
      <c r="AI289" s="149">
        <f>IF($B289="","",IF(N($L289)=0,"",(N($L289)-N($AF289))/N($L289)))</f>
        <v/>
      </c>
    </row>
    <row r="290">
      <c r="A290" s="39">
        <f>IF($B290="","",COUNTA($B$4:$B290))</f>
        <v/>
      </c>
      <c r="B290" s="40" t="n">
        <v>46054</v>
      </c>
      <c r="C290" s="41" t="n">
        <v>1884</v>
      </c>
      <c r="D290" s="41" t="inlineStr">
        <is>
          <t>عتريس مخيمر  خ</t>
        </is>
      </c>
      <c r="E290" s="41" t="inlineStr">
        <is>
          <t>1*40</t>
        </is>
      </c>
      <c r="F290" s="41" t="inlineStr">
        <is>
          <t>اكما</t>
        </is>
      </c>
      <c r="G290" s="41" t="inlineStr">
        <is>
          <t>بنى سويف</t>
        </is>
      </c>
      <c r="H290" s="41" t="inlineStr">
        <is>
          <t>223988/4</t>
        </is>
      </c>
      <c r="I290" s="41" t="inlineStr">
        <is>
          <t>ب ص ا 2574</t>
        </is>
      </c>
      <c r="J290" s="41" t="inlineStr">
        <is>
          <t xml:space="preserve">محمد البحيرى </t>
        </is>
      </c>
      <c r="K290" s="41" t="inlineStr">
        <is>
          <t xml:space="preserve">البحيرى </t>
        </is>
      </c>
      <c r="L290" s="42" t="n">
        <v>17500</v>
      </c>
      <c r="M290" s="42" t="n">
        <v>10100</v>
      </c>
      <c r="N290" s="42" t="n"/>
      <c r="O290" s="42" t="n">
        <v>200</v>
      </c>
      <c r="P290" s="42" t="n"/>
      <c r="Q290" s="42" t="n">
        <v>7200</v>
      </c>
      <c r="R290" s="43">
        <f>IF($B290="","",N($S290)-N($Q290))</f>
        <v/>
      </c>
      <c r="S290" s="43">
        <f>IF($B290="","",N($L290)+N($N290)+N($P290))</f>
        <v/>
      </c>
      <c r="T290" s="42" t="n"/>
      <c r="U290" s="42" t="n"/>
      <c r="V290" s="42" t="n"/>
      <c r="W290" s="42" t="n"/>
      <c r="X290" s="42" t="n"/>
      <c r="Y290" s="42" t="n"/>
      <c r="Z290" s="42" t="n"/>
      <c r="AA290" s="42" t="n"/>
      <c r="AB290" s="42" t="n"/>
      <c r="AC290" s="42" t="n"/>
      <c r="AD290" s="42" t="n"/>
      <c r="AE290" s="42" t="n"/>
      <c r="AF290" s="43">
        <f>IF($B290="","",SUM($T290:$AE290))</f>
        <v/>
      </c>
      <c r="AG290" s="43">
        <f>IF($B290="","",N($M290)-N($AF290))</f>
        <v/>
      </c>
      <c r="AH290" s="43">
        <f>IF($B290="","",N($L290)-N($AF290))</f>
        <v/>
      </c>
      <c r="AI290" s="149">
        <f>IF($B290="","",IF(N($L290)=0,"",(N($L290)-N($AF290))/N($L290)))</f>
        <v/>
      </c>
    </row>
    <row r="291">
      <c r="A291" s="39">
        <f>IF($B291="","",COUNTA($B$4:$B291))</f>
        <v/>
      </c>
      <c r="B291" s="45" t="n">
        <v>46054</v>
      </c>
      <c r="C291" s="46" t="n">
        <v>1885</v>
      </c>
      <c r="D291" s="46" t="inlineStr">
        <is>
          <t>احمد عبدو خ</t>
        </is>
      </c>
      <c r="E291" s="46" t="inlineStr">
        <is>
          <t>1*40</t>
        </is>
      </c>
      <c r="F291" s="46" t="inlineStr">
        <is>
          <t>اكما</t>
        </is>
      </c>
      <c r="G291" s="46" t="inlineStr">
        <is>
          <t>بنى سويف</t>
        </is>
      </c>
      <c r="H291" s="46" t="inlineStr">
        <is>
          <t>550880/7</t>
        </is>
      </c>
      <c r="I291" s="46" t="inlineStr">
        <is>
          <t>س ا ه 8198</t>
        </is>
      </c>
      <c r="J291" s="46" t="inlineStr">
        <is>
          <t xml:space="preserve">احمد محمود </t>
        </is>
      </c>
      <c r="K291" s="46" t="inlineStr">
        <is>
          <t xml:space="preserve">علاء علام </t>
        </is>
      </c>
      <c r="L291" s="47" t="n">
        <v>17500</v>
      </c>
      <c r="M291" s="47" t="n">
        <v>10100</v>
      </c>
      <c r="N291" s="47" t="n"/>
      <c r="O291" s="47" t="n">
        <v>200</v>
      </c>
      <c r="P291" s="47" t="n"/>
      <c r="Q291" s="47" t="n">
        <v>7200</v>
      </c>
      <c r="R291" s="43">
        <f>IF($B291="","",N($S291)-N($Q291))</f>
        <v/>
      </c>
      <c r="S291" s="43">
        <f>IF($B291="","",N($L291)+N($N291)+N($P291))</f>
        <v/>
      </c>
      <c r="T291" s="47" t="n"/>
      <c r="U291" s="47" t="n"/>
      <c r="V291" s="47" t="n"/>
      <c r="W291" s="47" t="n"/>
      <c r="X291" s="47" t="n"/>
      <c r="Y291" s="47" t="n"/>
      <c r="Z291" s="47" t="n"/>
      <c r="AA291" s="47" t="n"/>
      <c r="AB291" s="47" t="n"/>
      <c r="AC291" s="47" t="n"/>
      <c r="AD291" s="47" t="n"/>
      <c r="AE291" s="47" t="n"/>
      <c r="AF291" s="43">
        <f>IF($B291="","",SUM($T291:$AE291))</f>
        <v/>
      </c>
      <c r="AG291" s="43">
        <f>IF($B291="","",N($M291)-N($AF291))</f>
        <v/>
      </c>
      <c r="AH291" s="43">
        <f>IF($B291="","",N($L291)-N($AF291))</f>
        <v/>
      </c>
      <c r="AI291" s="149">
        <f>IF($B291="","",IF(N($L291)=0,"",(N($L291)-N($AF291))/N($L291)))</f>
        <v/>
      </c>
    </row>
    <row r="292">
      <c r="A292" s="39">
        <f>IF($B292="","",COUNTA($B$4:$B292))</f>
        <v/>
      </c>
      <c r="B292" s="40" t="n">
        <v>46054</v>
      </c>
      <c r="C292" s="41" t="n">
        <v>1886</v>
      </c>
      <c r="D292" s="41" t="inlineStr">
        <is>
          <t>رجب عبد العال خ</t>
        </is>
      </c>
      <c r="E292" s="41" t="inlineStr">
        <is>
          <t>1*40</t>
        </is>
      </c>
      <c r="F292" s="41" t="inlineStr">
        <is>
          <t>اكما</t>
        </is>
      </c>
      <c r="G292" s="41" t="inlineStr">
        <is>
          <t>بنى سويف</t>
        </is>
      </c>
      <c r="H292" s="41" t="inlineStr">
        <is>
          <t>008320/0</t>
        </is>
      </c>
      <c r="I292" s="41" t="inlineStr">
        <is>
          <t>س ا و 9789</t>
        </is>
      </c>
      <c r="J292" s="41" t="inlineStr">
        <is>
          <t xml:space="preserve">شريف محمد </t>
        </is>
      </c>
      <c r="K292" s="41" t="inlineStr">
        <is>
          <t xml:space="preserve">عوض </t>
        </is>
      </c>
      <c r="L292" s="42" t="n">
        <v>17500</v>
      </c>
      <c r="M292" s="42" t="n">
        <v>10100</v>
      </c>
      <c r="N292" s="42" t="n"/>
      <c r="O292" s="42" t="n">
        <v>200</v>
      </c>
      <c r="P292" s="42" t="n"/>
      <c r="Q292" s="42" t="n">
        <v>7200</v>
      </c>
      <c r="R292" s="43">
        <f>IF($B292="","",N($S292)-N($Q292))</f>
        <v/>
      </c>
      <c r="S292" s="43">
        <f>IF($B292="","",N($L292)+N($N292)+N($P292))</f>
        <v/>
      </c>
      <c r="T292" s="42" t="n"/>
      <c r="U292" s="42" t="n"/>
      <c r="V292" s="42" t="n"/>
      <c r="W292" s="42" t="n"/>
      <c r="X292" s="42" t="n"/>
      <c r="Y292" s="42" t="n"/>
      <c r="Z292" s="42" t="n"/>
      <c r="AA292" s="42" t="n"/>
      <c r="AB292" s="42" t="n"/>
      <c r="AC292" s="42" t="n"/>
      <c r="AD292" s="42" t="n"/>
      <c r="AE292" s="42" t="n"/>
      <c r="AF292" s="43">
        <f>IF($B292="","",SUM($T292:$AE292))</f>
        <v/>
      </c>
      <c r="AG292" s="43">
        <f>IF($B292="","",N($M292)-N($AF292))</f>
        <v/>
      </c>
      <c r="AH292" s="43">
        <f>IF($B292="","",N($L292)-N($AF292))</f>
        <v/>
      </c>
      <c r="AI292" s="149">
        <f>IF($B292="","",IF(N($L292)=0,"",(N($L292)-N($AF292))/N($L292)))</f>
        <v/>
      </c>
    </row>
    <row r="293">
      <c r="A293" s="39">
        <f>IF($B293="","",COUNTA($B$4:$B293))</f>
        <v/>
      </c>
      <c r="B293" s="45" t="n">
        <v>46054</v>
      </c>
      <c r="C293" s="46" t="n">
        <v>1887</v>
      </c>
      <c r="D293" s="46" t="inlineStr">
        <is>
          <t>صعيدى 2 خ</t>
        </is>
      </c>
      <c r="E293" s="46" t="inlineStr">
        <is>
          <t>1*40</t>
        </is>
      </c>
      <c r="F293" s="46" t="inlineStr">
        <is>
          <t>اكما</t>
        </is>
      </c>
      <c r="G293" s="46" t="inlineStr">
        <is>
          <t>بنى سويف</t>
        </is>
      </c>
      <c r="H293" s="46" t="inlineStr">
        <is>
          <t>009082/7</t>
        </is>
      </c>
      <c r="I293" s="46" t="inlineStr">
        <is>
          <t>س ل ج 2521</t>
        </is>
      </c>
      <c r="J293" s="46" t="inlineStr">
        <is>
          <t xml:space="preserve">احمد القط </t>
        </is>
      </c>
      <c r="K293" s="46" t="inlineStr">
        <is>
          <t xml:space="preserve">محمد الصعيدى </t>
        </is>
      </c>
      <c r="L293" s="47" t="n">
        <v>17500</v>
      </c>
      <c r="M293" s="47" t="n">
        <v>10100</v>
      </c>
      <c r="N293" s="47" t="n"/>
      <c r="O293" s="47" t="n">
        <v>200</v>
      </c>
      <c r="P293" s="47" t="n"/>
      <c r="Q293" s="47" t="n">
        <v>7200</v>
      </c>
      <c r="R293" s="43">
        <f>IF($B293="","",N($S293)-N($Q293))</f>
        <v/>
      </c>
      <c r="S293" s="43">
        <f>IF($B293="","",N($L293)+N($N293)+N($P293))</f>
        <v/>
      </c>
      <c r="T293" s="47" t="n"/>
      <c r="U293" s="47" t="n"/>
      <c r="V293" s="47" t="n"/>
      <c r="W293" s="47" t="n"/>
      <c r="X293" s="47" t="n"/>
      <c r="Y293" s="47" t="n"/>
      <c r="Z293" s="47" t="n"/>
      <c r="AA293" s="47" t="n"/>
      <c r="AB293" s="47" t="n"/>
      <c r="AC293" s="47" t="n"/>
      <c r="AD293" s="47" t="n"/>
      <c r="AE293" s="47" t="n"/>
      <c r="AF293" s="43">
        <f>IF($B293="","",SUM($T293:$AE293))</f>
        <v/>
      </c>
      <c r="AG293" s="43">
        <f>IF($B293="","",N($M293)-N($AF293))</f>
        <v/>
      </c>
      <c r="AH293" s="43">
        <f>IF($B293="","",N($L293)-N($AF293))</f>
        <v/>
      </c>
      <c r="AI293" s="149">
        <f>IF($B293="","",IF(N($L293)=0,"",(N($L293)-N($AF293))/N($L293)))</f>
        <v/>
      </c>
    </row>
    <row r="294">
      <c r="A294" s="39">
        <f>IF($B294="","",COUNTA($B$4:$B294))</f>
        <v/>
      </c>
      <c r="B294" s="40" t="n">
        <v>46054</v>
      </c>
      <c r="C294" s="41" t="n">
        <v>1888</v>
      </c>
      <c r="D294" s="41" t="inlineStr">
        <is>
          <t>صعيدى 2 خ</t>
        </is>
      </c>
      <c r="E294" s="41" t="inlineStr">
        <is>
          <t>1*40</t>
        </is>
      </c>
      <c r="F294" s="41" t="inlineStr">
        <is>
          <t>اكما</t>
        </is>
      </c>
      <c r="G294" s="41" t="inlineStr">
        <is>
          <t>بنى سويف</t>
        </is>
      </c>
      <c r="H294" s="41" t="inlineStr">
        <is>
          <t>008469/7</t>
        </is>
      </c>
      <c r="I294" s="41" t="inlineStr">
        <is>
          <t>س ه ف 1874</t>
        </is>
      </c>
      <c r="J294" s="41" t="inlineStr">
        <is>
          <t xml:space="preserve">هانى عزت </t>
        </is>
      </c>
      <c r="K294" s="41" t="inlineStr">
        <is>
          <t xml:space="preserve">محمد الصعيدى </t>
        </is>
      </c>
      <c r="L294" s="42" t="n">
        <v>17500</v>
      </c>
      <c r="M294" s="42" t="n">
        <v>10100</v>
      </c>
      <c r="N294" s="42" t="n"/>
      <c r="O294" s="42" t="n">
        <v>200</v>
      </c>
      <c r="P294" s="42" t="n"/>
      <c r="Q294" s="42" t="n">
        <v>7200</v>
      </c>
      <c r="R294" s="43">
        <f>IF($B294="","",N($S294)-N($Q294))</f>
        <v/>
      </c>
      <c r="S294" s="43">
        <f>IF($B294="","",N($L294)+N($N294)+N($P294))</f>
        <v/>
      </c>
      <c r="T294" s="42" t="n"/>
      <c r="U294" s="42" t="n"/>
      <c r="V294" s="42" t="n"/>
      <c r="W294" s="42" t="n"/>
      <c r="X294" s="42" t="n"/>
      <c r="Y294" s="42" t="n"/>
      <c r="Z294" s="42" t="n"/>
      <c r="AA294" s="42" t="n"/>
      <c r="AB294" s="42" t="n"/>
      <c r="AC294" s="42" t="n"/>
      <c r="AD294" s="42" t="n"/>
      <c r="AE294" s="42" t="n"/>
      <c r="AF294" s="43">
        <f>IF($B294="","",SUM($T294:$AE294))</f>
        <v/>
      </c>
      <c r="AG294" s="43">
        <f>IF($B294="","",N($M294)-N($AF294))</f>
        <v/>
      </c>
      <c r="AH294" s="43">
        <f>IF($B294="","",N($L294)-N($AF294))</f>
        <v/>
      </c>
      <c r="AI294" s="149">
        <f>IF($B294="","",IF(N($L294)=0,"",(N($L294)-N($AF294))/N($L294)))</f>
        <v/>
      </c>
    </row>
    <row r="295">
      <c r="A295" s="39">
        <f>IF($B295="","",COUNTA($B$4:$B295))</f>
        <v/>
      </c>
      <c r="B295" s="45" t="n">
        <v>46054</v>
      </c>
      <c r="C295" s="46" t="n">
        <v>1889</v>
      </c>
      <c r="D295" s="46" t="inlineStr">
        <is>
          <t>صعيدى 2 خ</t>
        </is>
      </c>
      <c r="E295" s="46" t="inlineStr">
        <is>
          <t>1*40</t>
        </is>
      </c>
      <c r="F295" s="46" t="inlineStr">
        <is>
          <t>اكما</t>
        </is>
      </c>
      <c r="G295" s="46" t="inlineStr">
        <is>
          <t>بنى سويف</t>
        </is>
      </c>
      <c r="H295" s="46" t="inlineStr">
        <is>
          <t>007893/0</t>
        </is>
      </c>
      <c r="I295" s="46" t="inlineStr">
        <is>
          <t>س ف ب 3176</t>
        </is>
      </c>
      <c r="J295" s="46" t="inlineStr">
        <is>
          <t>السيد عبد العزيز</t>
        </is>
      </c>
      <c r="K295" s="46" t="inlineStr">
        <is>
          <t xml:space="preserve">محمد الصعيدى </t>
        </is>
      </c>
      <c r="L295" s="47" t="n">
        <v>17500</v>
      </c>
      <c r="M295" s="47" t="n">
        <v>10100</v>
      </c>
      <c r="N295" s="47" t="n"/>
      <c r="O295" s="47" t="n">
        <v>200</v>
      </c>
      <c r="P295" s="47" t="n"/>
      <c r="Q295" s="47" t="n">
        <v>7200</v>
      </c>
      <c r="R295" s="43">
        <f>IF($B295="","",N($S295)-N($Q295))</f>
        <v/>
      </c>
      <c r="S295" s="43">
        <f>IF($B295="","",N($L295)+N($N295)+N($P295))</f>
        <v/>
      </c>
      <c r="T295" s="47" t="n"/>
      <c r="U295" s="47" t="n"/>
      <c r="V295" s="47" t="n"/>
      <c r="W295" s="47" t="n"/>
      <c r="X295" s="47" t="n"/>
      <c r="Y295" s="47" t="n"/>
      <c r="Z295" s="47" t="n"/>
      <c r="AA295" s="47" t="n"/>
      <c r="AB295" s="47" t="n"/>
      <c r="AC295" s="47" t="n"/>
      <c r="AD295" s="47" t="n"/>
      <c r="AE295" s="47" t="n"/>
      <c r="AF295" s="43">
        <f>IF($B295="","",SUM($T295:$AE295))</f>
        <v/>
      </c>
      <c r="AG295" s="43">
        <f>IF($B295="","",N($M295)-N($AF295))</f>
        <v/>
      </c>
      <c r="AH295" s="43">
        <f>IF($B295="","",N($L295)-N($AF295))</f>
        <v/>
      </c>
      <c r="AI295" s="149">
        <f>IF($B295="","",IF(N($L295)=0,"",(N($L295)-N($AF295))/N($L295)))</f>
        <v/>
      </c>
    </row>
    <row r="296">
      <c r="A296" s="39">
        <f>IF($B296="","",COUNTA($B$4:$B296))</f>
        <v/>
      </c>
      <c r="B296" s="40" t="n">
        <v>46054</v>
      </c>
      <c r="C296" s="41" t="n">
        <v>1890</v>
      </c>
      <c r="D296" s="41" t="inlineStr">
        <is>
          <t xml:space="preserve">حمو مرزوق </t>
        </is>
      </c>
      <c r="E296" s="41" t="inlineStr">
        <is>
          <t>1*40</t>
        </is>
      </c>
      <c r="F296" s="41" t="inlineStr">
        <is>
          <t>اكما</t>
        </is>
      </c>
      <c r="G296" s="41" t="inlineStr">
        <is>
          <t>بنى سويف</t>
        </is>
      </c>
      <c r="H296" s="41" t="inlineStr">
        <is>
          <t>382332/8</t>
        </is>
      </c>
      <c r="I296" s="41" t="inlineStr">
        <is>
          <t>ع ر ب 1573</t>
        </is>
      </c>
      <c r="J296" s="41" t="inlineStr">
        <is>
          <t xml:space="preserve">العوضى </t>
        </is>
      </c>
      <c r="K296" s="41" t="inlineStr">
        <is>
          <t xml:space="preserve">حمو مرزوق </t>
        </is>
      </c>
      <c r="L296" s="42" t="n">
        <v>17500</v>
      </c>
      <c r="M296" s="42" t="n">
        <v>10100</v>
      </c>
      <c r="N296" s="42" t="n"/>
      <c r="O296" s="42" t="n">
        <v>200</v>
      </c>
      <c r="P296" s="42" t="n"/>
      <c r="Q296" s="42" t="n">
        <v>7200</v>
      </c>
      <c r="R296" s="43">
        <f>IF($B296="","",N($S296)-N($Q296))</f>
        <v/>
      </c>
      <c r="S296" s="43">
        <f>IF($B296="","",N($L296)+N($N296)+N($P296))</f>
        <v/>
      </c>
      <c r="T296" s="42" t="n"/>
      <c r="U296" s="42" t="n"/>
      <c r="V296" s="42" t="n"/>
      <c r="W296" s="42" t="n"/>
      <c r="X296" s="42" t="n"/>
      <c r="Y296" s="42" t="n"/>
      <c r="Z296" s="42" t="n"/>
      <c r="AA296" s="42" t="n"/>
      <c r="AB296" s="42" t="n"/>
      <c r="AC296" s="42" t="n"/>
      <c r="AD296" s="42" t="n"/>
      <c r="AE296" s="42" t="n"/>
      <c r="AF296" s="43">
        <f>IF($B296="","",SUM($T296:$AE296))</f>
        <v/>
      </c>
      <c r="AG296" s="43">
        <f>IF($B296="","",N($M296)-N($AF296))</f>
        <v/>
      </c>
      <c r="AH296" s="43">
        <f>IF($B296="","",N($L296)-N($AF296))</f>
        <v/>
      </c>
      <c r="AI296" s="149">
        <f>IF($B296="","",IF(N($L296)=0,"",(N($L296)-N($AF296))/N($L296)))</f>
        <v/>
      </c>
    </row>
    <row r="297">
      <c r="A297" s="39">
        <f>IF($B297="","",COUNTA($B$4:$B297))</f>
        <v/>
      </c>
      <c r="B297" s="45" t="n">
        <v>46054</v>
      </c>
      <c r="C297" s="46" t="n">
        <v>1891</v>
      </c>
      <c r="D297" s="46" t="inlineStr">
        <is>
          <t>الشريف خ</t>
        </is>
      </c>
      <c r="E297" s="46" t="inlineStr">
        <is>
          <t>1*40</t>
        </is>
      </c>
      <c r="F297" s="46" t="inlineStr">
        <is>
          <t>اكما</t>
        </is>
      </c>
      <c r="G297" s="46" t="inlineStr">
        <is>
          <t>بنى سويف</t>
        </is>
      </c>
      <c r="H297" s="46" t="inlineStr">
        <is>
          <t>355683/3</t>
        </is>
      </c>
      <c r="I297" s="46" t="inlineStr">
        <is>
          <t>ب ص ا 9365</t>
        </is>
      </c>
      <c r="J297" s="46" t="inlineStr">
        <is>
          <t xml:space="preserve">هشام محمد </t>
        </is>
      </c>
      <c r="K297" s="46" t="inlineStr">
        <is>
          <t xml:space="preserve">احمد ابراهيم </t>
        </is>
      </c>
      <c r="L297" s="47" t="n">
        <v>17500</v>
      </c>
      <c r="M297" s="47" t="n">
        <v>10100</v>
      </c>
      <c r="N297" s="47" t="n"/>
      <c r="O297" s="47" t="n">
        <v>200</v>
      </c>
      <c r="P297" s="47" t="n"/>
      <c r="Q297" s="47" t="n">
        <v>7200</v>
      </c>
      <c r="R297" s="43">
        <f>IF($B297="","",N($S297)-N($Q297))</f>
        <v/>
      </c>
      <c r="S297" s="43">
        <f>IF($B297="","",N($L297)+N($N297)+N($P297))</f>
        <v/>
      </c>
      <c r="T297" s="47" t="n"/>
      <c r="U297" s="47" t="n"/>
      <c r="V297" s="47" t="n"/>
      <c r="W297" s="47" t="n"/>
      <c r="X297" s="47" t="n"/>
      <c r="Y297" s="47" t="n"/>
      <c r="Z297" s="47" t="n"/>
      <c r="AA297" s="47" t="n"/>
      <c r="AB297" s="47" t="n"/>
      <c r="AC297" s="47" t="n"/>
      <c r="AD297" s="47" t="n"/>
      <c r="AE297" s="47" t="n"/>
      <c r="AF297" s="43">
        <f>IF($B297="","",SUM($T297:$AE297))</f>
        <v/>
      </c>
      <c r="AG297" s="43">
        <f>IF($B297="","",N($M297)-N($AF297))</f>
        <v/>
      </c>
      <c r="AH297" s="43">
        <f>IF($B297="","",N($L297)-N($AF297))</f>
        <v/>
      </c>
      <c r="AI297" s="149">
        <f>IF($B297="","",IF(N($L297)=0,"",(N($L297)-N($AF297))/N($L297)))</f>
        <v/>
      </c>
    </row>
    <row r="298">
      <c r="A298" s="39">
        <f>IF($B298="","",COUNTA($B$4:$B298))</f>
        <v/>
      </c>
      <c r="B298" s="40" t="n">
        <v>46054</v>
      </c>
      <c r="C298" s="41" t="n">
        <v>1871</v>
      </c>
      <c r="D298" s="41" t="inlineStr">
        <is>
          <t xml:space="preserve">ابو مينا </t>
        </is>
      </c>
      <c r="E298" s="41" t="inlineStr">
        <is>
          <t>1*40</t>
        </is>
      </c>
      <c r="F298" s="41" t="inlineStr">
        <is>
          <t>اكما</t>
        </is>
      </c>
      <c r="G298" s="41" t="inlineStr">
        <is>
          <t>بنى سويف</t>
        </is>
      </c>
      <c r="H298" s="41" t="inlineStr">
        <is>
          <t>022139/5</t>
        </is>
      </c>
      <c r="I298" s="41" t="inlineStr">
        <is>
          <t>س ق ر 9974</t>
        </is>
      </c>
      <c r="J298" s="41" t="inlineStr">
        <is>
          <t xml:space="preserve">هشام جمال </t>
        </is>
      </c>
      <c r="K298" s="41" t="inlineStr">
        <is>
          <t xml:space="preserve">ابو مينا </t>
        </is>
      </c>
      <c r="L298" s="42" t="n">
        <v>17500</v>
      </c>
      <c r="M298" s="42" t="n">
        <v>10100</v>
      </c>
      <c r="N298" s="42" t="n"/>
      <c r="O298" s="42" t="n">
        <v>200</v>
      </c>
      <c r="P298" s="42" t="n"/>
      <c r="Q298" s="42" t="n">
        <v>7200</v>
      </c>
      <c r="R298" s="43">
        <f>IF($B298="","",N($S298)-N($Q298))</f>
        <v/>
      </c>
      <c r="S298" s="43">
        <f>IF($B298="","",N($L298)+N($N298)+N($P298))</f>
        <v/>
      </c>
      <c r="T298" s="42" t="n"/>
      <c r="U298" s="42" t="n"/>
      <c r="V298" s="42" t="n"/>
      <c r="W298" s="42" t="n"/>
      <c r="X298" s="42" t="n"/>
      <c r="Y298" s="42" t="n"/>
      <c r="Z298" s="42" t="n"/>
      <c r="AA298" s="42" t="n"/>
      <c r="AB298" s="42" t="n"/>
      <c r="AC298" s="42" t="n"/>
      <c r="AD298" s="42" t="n"/>
      <c r="AE298" s="42" t="n"/>
      <c r="AF298" s="43">
        <f>IF($B298="","",SUM($T298:$AE298))</f>
        <v/>
      </c>
      <c r="AG298" s="43">
        <f>IF($B298="","",N($M298)-N($AF298))</f>
        <v/>
      </c>
      <c r="AH298" s="43">
        <f>IF($B298="","",N($L298)-N($AF298))</f>
        <v/>
      </c>
      <c r="AI298" s="149">
        <f>IF($B298="","",IF(N($L298)=0,"",(N($L298)-N($AF298))/N($L298)))</f>
        <v/>
      </c>
    </row>
    <row r="299">
      <c r="A299" s="39">
        <f>IF($B299="","",COUNTA($B$4:$B299))</f>
        <v/>
      </c>
      <c r="B299" s="45" t="n">
        <v>46054</v>
      </c>
      <c r="C299" s="46" t="n">
        <v>1872</v>
      </c>
      <c r="D299" s="46" t="inlineStr">
        <is>
          <t xml:space="preserve">ابو مينا </t>
        </is>
      </c>
      <c r="E299" s="46" t="inlineStr">
        <is>
          <t>1*40</t>
        </is>
      </c>
      <c r="F299" s="46" t="inlineStr">
        <is>
          <t>اكما</t>
        </is>
      </c>
      <c r="G299" s="46" t="inlineStr">
        <is>
          <t>بنى سويف</t>
        </is>
      </c>
      <c r="H299" s="46" t="inlineStr">
        <is>
          <t>008101/8</t>
        </is>
      </c>
      <c r="I299" s="46" t="inlineStr">
        <is>
          <t>ى ر ع 7945</t>
        </is>
      </c>
      <c r="J299" s="46" t="inlineStr">
        <is>
          <t xml:space="preserve">محمد سوستة </t>
        </is>
      </c>
      <c r="K299" s="46" t="inlineStr">
        <is>
          <t xml:space="preserve">ابو مينا </t>
        </is>
      </c>
      <c r="L299" s="47" t="n">
        <v>17500</v>
      </c>
      <c r="M299" s="47" t="n">
        <v>10100</v>
      </c>
      <c r="N299" s="47" t="n"/>
      <c r="O299" s="47" t="n">
        <v>200</v>
      </c>
      <c r="P299" s="47" t="n"/>
      <c r="Q299" s="47" t="n">
        <v>7200</v>
      </c>
      <c r="R299" s="43">
        <f>IF($B299="","",N($S299)-N($Q299))</f>
        <v/>
      </c>
      <c r="S299" s="43">
        <f>IF($B299="","",N($L299)+N($N299)+N($P299))</f>
        <v/>
      </c>
      <c r="T299" s="47" t="n"/>
      <c r="U299" s="47" t="n"/>
      <c r="V299" s="47" t="n"/>
      <c r="W299" s="47" t="n"/>
      <c r="X299" s="47" t="n"/>
      <c r="Y299" s="47" t="n"/>
      <c r="Z299" s="47" t="n"/>
      <c r="AA299" s="47" t="n"/>
      <c r="AB299" s="47" t="n"/>
      <c r="AC299" s="47" t="n"/>
      <c r="AD299" s="47" t="n"/>
      <c r="AE299" s="47" t="n"/>
      <c r="AF299" s="43">
        <f>IF($B299="","",SUM($T299:$AE299))</f>
        <v/>
      </c>
      <c r="AG299" s="43">
        <f>IF($B299="","",N($M299)-N($AF299))</f>
        <v/>
      </c>
      <c r="AH299" s="43">
        <f>IF($B299="","",N($L299)-N($AF299))</f>
        <v/>
      </c>
      <c r="AI299" s="149">
        <f>IF($B299="","",IF(N($L299)=0,"",(N($L299)-N($AF299))/N($L299)))</f>
        <v/>
      </c>
    </row>
    <row r="300">
      <c r="A300" s="39">
        <f>IF($B300="","",COUNTA($B$4:$B300))</f>
        <v/>
      </c>
      <c r="B300" s="40" t="n">
        <v>46054</v>
      </c>
      <c r="C300" s="41" t="n">
        <v>1936</v>
      </c>
      <c r="D300" s="41" t="inlineStr">
        <is>
          <t>الشريف خ</t>
        </is>
      </c>
      <c r="E300" s="41" t="inlineStr">
        <is>
          <t>1*40</t>
        </is>
      </c>
      <c r="F300" s="41" t="inlineStr">
        <is>
          <t>نيوبيبى</t>
        </is>
      </c>
      <c r="G300" s="41" t="inlineStr">
        <is>
          <t xml:space="preserve">العاشر </t>
        </is>
      </c>
      <c r="H300" s="41" t="inlineStr">
        <is>
          <t>801288/2</t>
        </is>
      </c>
      <c r="I300" s="41" t="inlineStr">
        <is>
          <t>ب د ف 7864</t>
        </is>
      </c>
      <c r="J300" s="41" t="inlineStr">
        <is>
          <t xml:space="preserve">اشرف عتمان </t>
        </is>
      </c>
      <c r="K300" s="41" t="inlineStr">
        <is>
          <t xml:space="preserve">الليبر </t>
        </is>
      </c>
      <c r="L300" s="42" t="n">
        <v>14000</v>
      </c>
      <c r="M300" s="42" t="n">
        <v>8100</v>
      </c>
      <c r="N300" s="42" t="n"/>
      <c r="O300" s="42" t="n">
        <v>200</v>
      </c>
      <c r="P300" s="42" t="n"/>
      <c r="Q300" s="42" t="n">
        <v>5700</v>
      </c>
      <c r="R300" s="43">
        <f>IF($B300="","",N($S300)-N($Q300))</f>
        <v/>
      </c>
      <c r="S300" s="43">
        <f>IF($B300="","",N($L300)+N($N300)+N($P300))</f>
        <v/>
      </c>
      <c r="T300" s="42" t="n"/>
      <c r="U300" s="42" t="n"/>
      <c r="V300" s="42" t="n"/>
      <c r="W300" s="42" t="n"/>
      <c r="X300" s="42" t="n"/>
      <c r="Y300" s="42" t="n"/>
      <c r="Z300" s="42" t="n"/>
      <c r="AA300" s="42" t="n"/>
      <c r="AB300" s="42" t="n"/>
      <c r="AC300" s="42" t="n"/>
      <c r="AD300" s="42" t="n"/>
      <c r="AE300" s="42" t="n"/>
      <c r="AF300" s="43">
        <f>IF($B300="","",SUM($T300:$AE300))</f>
        <v/>
      </c>
      <c r="AG300" s="43">
        <f>IF($B300="","",N($M300)-N($AF300))</f>
        <v/>
      </c>
      <c r="AH300" s="43">
        <f>IF($B300="","",N($L300)-N($AF300))</f>
        <v/>
      </c>
      <c r="AI300" s="149">
        <f>IF($B300="","",IF(N($L300)=0,"",(N($L300)-N($AF300))/N($L300)))</f>
        <v/>
      </c>
    </row>
    <row r="301">
      <c r="A301" s="39">
        <f>IF($B301="","",COUNTA($B$4:$B301))</f>
        <v/>
      </c>
      <c r="B301" s="45" t="n">
        <v>46054</v>
      </c>
      <c r="C301" s="46" t="n">
        <v>1937</v>
      </c>
      <c r="D301" s="46" t="inlineStr">
        <is>
          <t>سعد منير</t>
        </is>
      </c>
      <c r="E301" s="46" t="inlineStr">
        <is>
          <t>1*40</t>
        </is>
      </c>
      <c r="F301" s="46" t="inlineStr">
        <is>
          <t>نيوبيبى</t>
        </is>
      </c>
      <c r="G301" s="46" t="inlineStr">
        <is>
          <t>العاشر</t>
        </is>
      </c>
      <c r="H301" s="46" t="inlineStr">
        <is>
          <t>806013/8</t>
        </is>
      </c>
      <c r="I301" s="46" t="inlineStr">
        <is>
          <t>ص ع ا 4816</t>
        </is>
      </c>
      <c r="J301" s="46" t="inlineStr">
        <is>
          <t xml:space="preserve">محسن حسن </t>
        </is>
      </c>
      <c r="K301" s="46" t="inlineStr">
        <is>
          <t xml:space="preserve">استوريا </t>
        </is>
      </c>
      <c r="L301" s="47" t="n">
        <v>14000</v>
      </c>
      <c r="M301" s="47" t="n">
        <v>8100</v>
      </c>
      <c r="N301" s="47" t="n"/>
      <c r="O301" s="47" t="n">
        <v>200</v>
      </c>
      <c r="P301" s="47" t="n"/>
      <c r="Q301" s="47" t="n">
        <v>5700</v>
      </c>
      <c r="R301" s="43">
        <f>IF($B301="","",N($S301)-N($Q301))</f>
        <v/>
      </c>
      <c r="S301" s="43">
        <f>IF($B301="","",N($L301)+N($N301)+N($P301))</f>
        <v/>
      </c>
      <c r="T301" s="47" t="n"/>
      <c r="U301" s="47" t="n"/>
      <c r="V301" s="47" t="n"/>
      <c r="W301" s="47" t="n"/>
      <c r="X301" s="47" t="n"/>
      <c r="Y301" s="47" t="n"/>
      <c r="Z301" s="47" t="n"/>
      <c r="AA301" s="47" t="n"/>
      <c r="AB301" s="47" t="n"/>
      <c r="AC301" s="47" t="n"/>
      <c r="AD301" s="47" t="n"/>
      <c r="AE301" s="47" t="n"/>
      <c r="AF301" s="43">
        <f>IF($B301="","",SUM($T301:$AE301))</f>
        <v/>
      </c>
      <c r="AG301" s="43">
        <f>IF($B301="","",N($M301)-N($AF301))</f>
        <v/>
      </c>
      <c r="AH301" s="43">
        <f>IF($B301="","",N($L301)-N($AF301))</f>
        <v/>
      </c>
      <c r="AI301" s="149">
        <f>IF($B301="","",IF(N($L301)=0,"",(N($L301)-N($AF301))/N($L301)))</f>
        <v/>
      </c>
    </row>
    <row r="302">
      <c r="A302" s="39">
        <f>IF($B302="","",COUNTA($B$4:$B302))</f>
        <v/>
      </c>
      <c r="B302" s="40" t="n">
        <v>46054</v>
      </c>
      <c r="C302" s="41" t="n">
        <v>1938</v>
      </c>
      <c r="D302" s="41" t="inlineStr">
        <is>
          <t xml:space="preserve">احمد محسن </t>
        </is>
      </c>
      <c r="E302" s="41" t="inlineStr">
        <is>
          <t>1*40</t>
        </is>
      </c>
      <c r="F302" s="41" t="inlineStr">
        <is>
          <t>نيوبيبى</t>
        </is>
      </c>
      <c r="G302" s="41" t="inlineStr">
        <is>
          <t xml:space="preserve">العاشر </t>
        </is>
      </c>
      <c r="H302" s="41" t="inlineStr">
        <is>
          <t>655377/3</t>
        </is>
      </c>
      <c r="I302" s="41" t="inlineStr">
        <is>
          <t>س ه ف 1387</t>
        </is>
      </c>
      <c r="J302" s="41" t="inlineStr">
        <is>
          <t xml:space="preserve">محمد خميس </t>
        </is>
      </c>
      <c r="K302" s="41" t="inlineStr">
        <is>
          <t xml:space="preserve">احمد محسن </t>
        </is>
      </c>
      <c r="L302" s="42" t="n">
        <v>14000</v>
      </c>
      <c r="M302" s="42" t="n">
        <v>8100</v>
      </c>
      <c r="N302" s="42" t="n"/>
      <c r="O302" s="42" t="n">
        <v>200</v>
      </c>
      <c r="P302" s="42" t="n"/>
      <c r="Q302" s="42" t="n">
        <v>5700</v>
      </c>
      <c r="R302" s="43">
        <f>IF($B302="","",N($S302)-N($Q302))</f>
        <v/>
      </c>
      <c r="S302" s="43">
        <f>IF($B302="","",N($L302)+N($N302)+N($P302))</f>
        <v/>
      </c>
      <c r="T302" s="42" t="n"/>
      <c r="U302" s="42" t="n"/>
      <c r="V302" s="42" t="n"/>
      <c r="W302" s="42" t="n"/>
      <c r="X302" s="42" t="n"/>
      <c r="Y302" s="42" t="n"/>
      <c r="Z302" s="42" t="n"/>
      <c r="AA302" s="42" t="n"/>
      <c r="AB302" s="42" t="n"/>
      <c r="AC302" s="42" t="n"/>
      <c r="AD302" s="42" t="n"/>
      <c r="AE302" s="42" t="n"/>
      <c r="AF302" s="43">
        <f>IF($B302="","",SUM($T302:$AE302))</f>
        <v/>
      </c>
      <c r="AG302" s="43">
        <f>IF($B302="","",N($M302)-N($AF302))</f>
        <v/>
      </c>
      <c r="AH302" s="43">
        <f>IF($B302="","",N($L302)-N($AF302))</f>
        <v/>
      </c>
      <c r="AI302" s="149">
        <f>IF($B302="","",IF(N($L302)=0,"",(N($L302)-N($AF302))/N($L302)))</f>
        <v/>
      </c>
    </row>
    <row r="303">
      <c r="A303" s="39">
        <f>IF($B303="","",COUNTA($B$4:$B303))</f>
        <v/>
      </c>
      <c r="B303" s="45" t="n">
        <v>46054</v>
      </c>
      <c r="C303" s="46" t="n">
        <v>1939</v>
      </c>
      <c r="D303" s="46" t="inlineStr">
        <is>
          <t>سعد منير</t>
        </is>
      </c>
      <c r="E303" s="46" t="inlineStr">
        <is>
          <t>1*40</t>
        </is>
      </c>
      <c r="F303" s="46" t="inlineStr">
        <is>
          <t>نيوبيبى</t>
        </is>
      </c>
      <c r="G303" s="46" t="inlineStr">
        <is>
          <t xml:space="preserve">العاشر </t>
        </is>
      </c>
      <c r="H303" s="46" t="inlineStr">
        <is>
          <t>651528/2</t>
        </is>
      </c>
      <c r="I303" s="46" t="inlineStr">
        <is>
          <t>ص ع ا 1738</t>
        </is>
      </c>
      <c r="J303" s="46" t="inlineStr">
        <is>
          <t xml:space="preserve">ابراهيم رمزى </t>
        </is>
      </c>
      <c r="K303" s="46" t="inlineStr">
        <is>
          <t>استوريا</t>
        </is>
      </c>
      <c r="L303" s="47" t="n">
        <v>14000</v>
      </c>
      <c r="M303" s="47" t="n">
        <v>8100</v>
      </c>
      <c r="N303" s="47" t="n"/>
      <c r="O303" s="47" t="n">
        <v>200</v>
      </c>
      <c r="P303" s="47" t="n"/>
      <c r="Q303" s="47" t="n">
        <v>5700</v>
      </c>
      <c r="R303" s="43">
        <f>IF($B303="","",N($S303)-N($Q303))</f>
        <v/>
      </c>
      <c r="S303" s="43">
        <f>IF($B303="","",N($L303)+N($N303)+N($P303))</f>
        <v/>
      </c>
      <c r="T303" s="47" t="n"/>
      <c r="U303" s="47" t="n"/>
      <c r="V303" s="47" t="n"/>
      <c r="W303" s="47" t="n"/>
      <c r="X303" s="47" t="n"/>
      <c r="Y303" s="47" t="n"/>
      <c r="Z303" s="47" t="n"/>
      <c r="AA303" s="47" t="n"/>
      <c r="AB303" s="47" t="n"/>
      <c r="AC303" s="47" t="n"/>
      <c r="AD303" s="47" t="n"/>
      <c r="AE303" s="47" t="n"/>
      <c r="AF303" s="43">
        <f>IF($B303="","",SUM($T303:$AE303))</f>
        <v/>
      </c>
      <c r="AG303" s="43">
        <f>IF($B303="","",N($M303)-N($AF303))</f>
        <v/>
      </c>
      <c r="AH303" s="43">
        <f>IF($B303="","",N($L303)-N($AF303))</f>
        <v/>
      </c>
      <c r="AI303" s="149">
        <f>IF($B303="","",IF(N($L303)=0,"",(N($L303)-N($AF303))/N($L303)))</f>
        <v/>
      </c>
    </row>
    <row r="304">
      <c r="A304" s="39">
        <f>IF($B304="","",COUNTA($B$4:$B304))</f>
        <v/>
      </c>
      <c r="B304" s="40" t="n">
        <v>46054</v>
      </c>
      <c r="C304" s="41" t="n">
        <v>1940</v>
      </c>
      <c r="D304" s="41" t="inlineStr">
        <is>
          <t>سعد منير</t>
        </is>
      </c>
      <c r="E304" s="41" t="inlineStr">
        <is>
          <t>1*40</t>
        </is>
      </c>
      <c r="F304" s="41" t="inlineStr">
        <is>
          <t>نيوبيبى</t>
        </is>
      </c>
      <c r="G304" s="41" t="inlineStr">
        <is>
          <t>العاشر</t>
        </is>
      </c>
      <c r="H304" s="41" t="inlineStr">
        <is>
          <t>859474/1</t>
        </is>
      </c>
      <c r="I304" s="41" t="inlineStr">
        <is>
          <t>ب و ا 5761</t>
        </is>
      </c>
      <c r="J304" s="41" t="inlineStr">
        <is>
          <t xml:space="preserve">احمد السيد </t>
        </is>
      </c>
      <c r="K304" s="41" t="inlineStr">
        <is>
          <t xml:space="preserve">استوريا </t>
        </is>
      </c>
      <c r="L304" s="42" t="n">
        <v>14000</v>
      </c>
      <c r="M304" s="42" t="n">
        <v>8100</v>
      </c>
      <c r="N304" s="42" t="n"/>
      <c r="O304" s="42" t="n">
        <v>200</v>
      </c>
      <c r="P304" s="42" t="n"/>
      <c r="Q304" s="42" t="n">
        <v>5700</v>
      </c>
      <c r="R304" s="43">
        <f>IF($B304="","",N($S304)-N($Q304))</f>
        <v/>
      </c>
      <c r="S304" s="43">
        <f>IF($B304="","",N($L304)+N($N304)+N($P304))</f>
        <v/>
      </c>
      <c r="T304" s="42" t="n"/>
      <c r="U304" s="42" t="n"/>
      <c r="V304" s="42" t="n"/>
      <c r="W304" s="42" t="n"/>
      <c r="X304" s="42" t="n"/>
      <c r="Y304" s="42" t="n"/>
      <c r="Z304" s="42" t="n"/>
      <c r="AA304" s="42" t="n"/>
      <c r="AB304" s="42" t="n"/>
      <c r="AC304" s="42" t="n"/>
      <c r="AD304" s="42" t="n"/>
      <c r="AE304" s="42" t="n"/>
      <c r="AF304" s="43">
        <f>IF($B304="","",SUM($T304:$AE304))</f>
        <v/>
      </c>
      <c r="AG304" s="43">
        <f>IF($B304="","",N($M304)-N($AF304))</f>
        <v/>
      </c>
      <c r="AH304" s="43">
        <f>IF($B304="","",N($L304)-N($AF304))</f>
        <v/>
      </c>
      <c r="AI304" s="149">
        <f>IF($B304="","",IF(N($L304)=0,"",(N($L304)-N($AF304))/N($L304)))</f>
        <v/>
      </c>
    </row>
    <row r="305">
      <c r="A305" s="39">
        <f>IF($B305="","",COUNTA($B$4:$B305))</f>
        <v/>
      </c>
      <c r="B305" s="45" t="n">
        <v>46054</v>
      </c>
      <c r="C305" s="46" t="n">
        <v>1868</v>
      </c>
      <c r="D305" s="46" t="inlineStr">
        <is>
          <t>المكتب</t>
        </is>
      </c>
      <c r="E305" s="46" t="inlineStr">
        <is>
          <t>2*20</t>
        </is>
      </c>
      <c r="F305" s="46" t="inlineStr">
        <is>
          <t xml:space="preserve">لوجيا </t>
        </is>
      </c>
      <c r="G305" s="46" t="inlineStr">
        <is>
          <t xml:space="preserve">الصف </t>
        </is>
      </c>
      <c r="H305" s="46" t="inlineStr">
        <is>
          <t>202461/8-336248/7</t>
        </is>
      </c>
      <c r="I305" s="46" t="inlineStr">
        <is>
          <t>س ع م 8737</t>
        </is>
      </c>
      <c r="J305" s="46" t="inlineStr">
        <is>
          <t xml:space="preserve">محمود بكر </t>
        </is>
      </c>
      <c r="K305" s="46" t="inlineStr">
        <is>
          <t>المكتب</t>
        </is>
      </c>
      <c r="L305" s="47" t="n">
        <v>24000</v>
      </c>
      <c r="M305" s="47" t="n">
        <v>10000</v>
      </c>
      <c r="N305" s="47" t="n"/>
      <c r="O305" s="47" t="n"/>
      <c r="P305" s="47" t="n"/>
      <c r="Q305" s="47" t="n">
        <v>14000</v>
      </c>
      <c r="R305" s="43">
        <f>IF($B305="","",N($S305)-N($Q305))</f>
        <v/>
      </c>
      <c r="S305" s="43">
        <f>IF($B305="","",N($L305)+N($N305)+N($P305))</f>
        <v/>
      </c>
      <c r="T305" s="47" t="n">
        <v>1900</v>
      </c>
      <c r="U305" s="47" t="n">
        <v>800</v>
      </c>
      <c r="V305" s="47" t="n"/>
      <c r="W305" s="47" t="n">
        <v>200</v>
      </c>
      <c r="X305" s="47" t="n">
        <v>185</v>
      </c>
      <c r="Y305" s="47" t="n">
        <v>60</v>
      </c>
      <c r="Z305" s="47" t="n"/>
      <c r="AA305" s="47" t="n"/>
      <c r="AB305" s="47" t="n"/>
      <c r="AC305" s="47" t="n">
        <v>70</v>
      </c>
      <c r="AD305" s="47" t="n"/>
      <c r="AE305" s="47" t="n">
        <v>5000</v>
      </c>
      <c r="AF305" s="43">
        <f>IF($B305="","",SUM($T305:$AE305))</f>
        <v/>
      </c>
      <c r="AG305" s="43">
        <f>IF($B305="","",N($M305)-N($AF305))</f>
        <v/>
      </c>
      <c r="AH305" s="43">
        <f>IF($B305="","",N($L305)-N($AF305))</f>
        <v/>
      </c>
      <c r="AI305" s="149">
        <f>IF($B305="","",IF(N($L305)=0,"",(N($L305)-N($AF305))/N($L305)))</f>
        <v/>
      </c>
    </row>
    <row r="306">
      <c r="A306" s="39">
        <f>IF($B306="","",COUNTA($B$4:$B306))</f>
        <v/>
      </c>
      <c r="B306" s="40" t="n">
        <v>46054</v>
      </c>
      <c r="C306" s="41" t="n">
        <v>1674</v>
      </c>
      <c r="D306" s="41" t="inlineStr">
        <is>
          <t xml:space="preserve">حودة الدوقة </t>
        </is>
      </c>
      <c r="E306" s="41" t="inlineStr">
        <is>
          <t>1*40</t>
        </is>
      </c>
      <c r="F306" s="41" t="inlineStr">
        <is>
          <t xml:space="preserve">كينج اورنج </t>
        </is>
      </c>
      <c r="G306" s="41" t="inlineStr">
        <is>
          <t xml:space="preserve">ك شكر </t>
        </is>
      </c>
      <c r="H306" s="41" t="inlineStr">
        <is>
          <t>960422/2</t>
        </is>
      </c>
      <c r="I306" s="41" t="inlineStr">
        <is>
          <t>س ن ا 7156</t>
        </is>
      </c>
      <c r="J306" s="41" t="inlineStr">
        <is>
          <t xml:space="preserve">احمد مرسى </t>
        </is>
      </c>
      <c r="K306" s="41" t="inlineStr">
        <is>
          <t xml:space="preserve">عزام </t>
        </is>
      </c>
      <c r="L306" s="42" t="n">
        <v>14000</v>
      </c>
      <c r="M306" s="42" t="n">
        <v>8100</v>
      </c>
      <c r="N306" s="42" t="n"/>
      <c r="O306" s="42" t="n">
        <v>200</v>
      </c>
      <c r="P306" s="42" t="n">
        <v>1000</v>
      </c>
      <c r="Q306" s="42" t="n">
        <v>6700</v>
      </c>
      <c r="R306" s="43">
        <f>IF($B306="","",N($S306)-N($Q306))</f>
        <v/>
      </c>
      <c r="S306" s="43">
        <f>IF($B306="","",N($L306)+N($N306)+N($P306))</f>
        <v/>
      </c>
      <c r="T306" s="42" t="n"/>
      <c r="U306" s="42" t="n"/>
      <c r="V306" s="42" t="n"/>
      <c r="W306" s="42" t="n"/>
      <c r="X306" s="42" t="n"/>
      <c r="Y306" s="42" t="n"/>
      <c r="Z306" s="42" t="n"/>
      <c r="AA306" s="42" t="n"/>
      <c r="AB306" s="42" t="n"/>
      <c r="AC306" s="42" t="n"/>
      <c r="AD306" s="42" t="n"/>
      <c r="AE306" s="42" t="n"/>
      <c r="AF306" s="43">
        <f>IF($B306="","",SUM($T306:$AE306))</f>
        <v/>
      </c>
      <c r="AG306" s="43">
        <f>IF($B306="","",N($M306)-N($AF306))</f>
        <v/>
      </c>
      <c r="AH306" s="43">
        <f>IF($B306="","",N($L306)-N($AF306))</f>
        <v/>
      </c>
      <c r="AI306" s="149">
        <f>IF($B306="","",IF(N($L306)=0,"",(N($L306)-N($AF306))/N($L306)))</f>
        <v/>
      </c>
    </row>
    <row r="307">
      <c r="A307" s="39">
        <f>IF($B307="","",COUNTA($B$4:$B307))</f>
        <v/>
      </c>
      <c r="B307" s="45" t="n">
        <v>46054</v>
      </c>
      <c r="C307" s="46" t="n">
        <v>1894</v>
      </c>
      <c r="D307" s="46" t="inlineStr">
        <is>
          <t xml:space="preserve">حمو مرزوق </t>
        </is>
      </c>
      <c r="E307" s="46" t="inlineStr">
        <is>
          <t>1*40</t>
        </is>
      </c>
      <c r="F307" s="46" t="inlineStr">
        <is>
          <t xml:space="preserve">اروماتك </t>
        </is>
      </c>
      <c r="G307" s="46" t="inlineStr">
        <is>
          <t>بنى سويف</t>
        </is>
      </c>
      <c r="H307" s="46" t="inlineStr">
        <is>
          <t>736228/7</t>
        </is>
      </c>
      <c r="I307" s="46" t="inlineStr">
        <is>
          <t>س ر ا 6671</t>
        </is>
      </c>
      <c r="J307" s="46" t="inlineStr">
        <is>
          <t xml:space="preserve">السيد بدوى </t>
        </is>
      </c>
      <c r="K307" s="46" t="inlineStr">
        <is>
          <t xml:space="preserve">حمو مرزوق </t>
        </is>
      </c>
      <c r="L307" s="47" t="n">
        <v>19000</v>
      </c>
      <c r="M307" s="47" t="n">
        <v>10100</v>
      </c>
      <c r="N307" s="47" t="n"/>
      <c r="O307" s="47" t="n">
        <v>200</v>
      </c>
      <c r="P307" s="47" t="n"/>
      <c r="Q307" s="47" t="n">
        <v>8700</v>
      </c>
      <c r="R307" s="43">
        <f>IF($B307="","",N($S307)-N($Q307))</f>
        <v/>
      </c>
      <c r="S307" s="43">
        <f>IF($B307="","",N($L307)+N($N307)+N($P307))</f>
        <v/>
      </c>
      <c r="T307" s="47" t="n"/>
      <c r="U307" s="47" t="n"/>
      <c r="V307" s="47" t="n"/>
      <c r="W307" s="47" t="n"/>
      <c r="X307" s="47" t="n"/>
      <c r="Y307" s="47" t="n"/>
      <c r="Z307" s="47" t="n"/>
      <c r="AA307" s="47" t="n"/>
      <c r="AB307" s="47" t="n"/>
      <c r="AC307" s="47" t="n"/>
      <c r="AD307" s="47" t="n"/>
      <c r="AE307" s="47" t="n"/>
      <c r="AF307" s="43">
        <f>IF($B307="","",SUM($T307:$AE307))</f>
        <v/>
      </c>
      <c r="AG307" s="43">
        <f>IF($B307="","",N($M307)-N($AF307))</f>
        <v/>
      </c>
      <c r="AH307" s="43">
        <f>IF($B307="","",N($L307)-N($AF307))</f>
        <v/>
      </c>
      <c r="AI307" s="149">
        <f>IF($B307="","",IF(N($L307)=0,"",(N($L307)-N($AF307))/N($L307)))</f>
        <v/>
      </c>
    </row>
    <row r="308">
      <c r="A308" s="39">
        <f>IF($B308="","",COUNTA($B$4:$B308))</f>
        <v/>
      </c>
      <c r="B308" s="40" t="n">
        <v>46055</v>
      </c>
      <c r="C308" s="41" t="n">
        <v>1776</v>
      </c>
      <c r="D308" s="41" t="inlineStr">
        <is>
          <t>كمال رزق خ</t>
        </is>
      </c>
      <c r="E308" s="41" t="inlineStr">
        <is>
          <t>1*40</t>
        </is>
      </c>
      <c r="F308" s="41" t="inlineStr">
        <is>
          <t xml:space="preserve">ابيك </t>
        </is>
      </c>
      <c r="G308" s="41" t="inlineStr">
        <is>
          <t xml:space="preserve">ك حمادة </t>
        </is>
      </c>
      <c r="H308" s="41" t="inlineStr">
        <is>
          <t>905204/0</t>
        </is>
      </c>
      <c r="I308" s="41" t="inlineStr">
        <is>
          <t>س ن ر 8979</t>
        </is>
      </c>
      <c r="J308" s="41" t="inlineStr">
        <is>
          <t xml:space="preserve">عماد سعيد </t>
        </is>
      </c>
      <c r="K308" s="41" t="inlineStr">
        <is>
          <t xml:space="preserve">عماد سعيد </t>
        </is>
      </c>
      <c r="L308" s="42" t="n">
        <v>11000</v>
      </c>
      <c r="M308" s="42" t="n">
        <v>6100</v>
      </c>
      <c r="N308" s="42" t="n"/>
      <c r="O308" s="42" t="n">
        <v>200</v>
      </c>
      <c r="P308" s="42" t="n">
        <v>3000</v>
      </c>
      <c r="Q308" s="42" t="n">
        <v>7700</v>
      </c>
      <c r="R308" s="43">
        <f>IF($B308="","",N($S308)-N($Q308))</f>
        <v/>
      </c>
      <c r="S308" s="43">
        <f>IF($B308="","",N($L308)+N($N308)+N($P308))</f>
        <v/>
      </c>
      <c r="T308" s="42" t="n"/>
      <c r="U308" s="42" t="n"/>
      <c r="V308" s="42" t="n"/>
      <c r="W308" s="42" t="n"/>
      <c r="X308" s="42" t="n"/>
      <c r="Y308" s="42" t="n"/>
      <c r="Z308" s="42" t="n"/>
      <c r="AA308" s="42" t="n"/>
      <c r="AB308" s="42" t="n"/>
      <c r="AC308" s="42" t="n"/>
      <c r="AD308" s="42" t="n"/>
      <c r="AE308" s="42" t="n"/>
      <c r="AF308" s="43">
        <f>IF($B308="","",SUM($T308:$AE308))</f>
        <v/>
      </c>
      <c r="AG308" s="43">
        <f>IF($B308="","",N($M308)-N($AF308))</f>
        <v/>
      </c>
      <c r="AH308" s="43">
        <f>IF($B308="","",N($L308)-N($AF308))</f>
        <v/>
      </c>
      <c r="AI308" s="149">
        <f>IF($B308="","",IF(N($L308)=0,"",(N($L308)-N($AF308))/N($L308)))</f>
        <v/>
      </c>
    </row>
    <row r="309">
      <c r="A309" s="39">
        <f>IF($B309="","",COUNTA($B$4:$B309))</f>
        <v/>
      </c>
      <c r="B309" s="45" t="n">
        <v>46055</v>
      </c>
      <c r="C309" s="46" t="n">
        <v>1682</v>
      </c>
      <c r="D309" s="46" t="inlineStr">
        <is>
          <t xml:space="preserve">ابو مينا </t>
        </is>
      </c>
      <c r="E309" s="46" t="inlineStr">
        <is>
          <t>1*40 ث</t>
        </is>
      </c>
      <c r="F309" s="46" t="inlineStr">
        <is>
          <t xml:space="preserve">نهاد </t>
        </is>
      </c>
      <c r="G309" s="46" t="inlineStr">
        <is>
          <t xml:space="preserve">السادات </t>
        </is>
      </c>
      <c r="H309" s="46" t="n"/>
      <c r="I309" s="46" t="inlineStr">
        <is>
          <t>ى ر ع 7945</t>
        </is>
      </c>
      <c r="J309" s="46" t="inlineStr">
        <is>
          <t xml:space="preserve">محمد بيومى </t>
        </is>
      </c>
      <c r="K309" s="46" t="inlineStr">
        <is>
          <t xml:space="preserve">ابو مينا </t>
        </is>
      </c>
      <c r="L309" s="47" t="n">
        <v>13000</v>
      </c>
      <c r="M309" s="47" t="n">
        <v>7100</v>
      </c>
      <c r="N309" s="47" t="n"/>
      <c r="O309" s="47" t="n">
        <v>200</v>
      </c>
      <c r="P309" s="47" t="n"/>
      <c r="Q309" s="47" t="n">
        <v>5700</v>
      </c>
      <c r="R309" s="43">
        <f>IF($B309="","",N($S309)-N($Q309))</f>
        <v/>
      </c>
      <c r="S309" s="43">
        <f>IF($B309="","",N($L309)+N($N309)+N($P309))</f>
        <v/>
      </c>
      <c r="T309" s="47" t="n"/>
      <c r="U309" s="47" t="n"/>
      <c r="V309" s="47" t="n"/>
      <c r="W309" s="47" t="n"/>
      <c r="X309" s="47" t="n"/>
      <c r="Y309" s="47" t="n"/>
      <c r="Z309" s="47" t="n"/>
      <c r="AA309" s="47" t="n"/>
      <c r="AB309" s="47" t="n"/>
      <c r="AC309" s="47" t="n"/>
      <c r="AD309" s="47" t="n"/>
      <c r="AE309" s="47" t="n"/>
      <c r="AF309" s="43">
        <f>IF($B309="","",SUM($T309:$AE309))</f>
        <v/>
      </c>
      <c r="AG309" s="43">
        <f>IF($B309="","",N($M309)-N($AF309))</f>
        <v/>
      </c>
      <c r="AH309" s="43">
        <f>IF($B309="","",N($L309)-N($AF309))</f>
        <v/>
      </c>
      <c r="AI309" s="149">
        <f>IF($B309="","",IF(N($L309)=0,"",(N($L309)-N($AF309))/N($L309)))</f>
        <v/>
      </c>
    </row>
    <row r="310">
      <c r="A310" s="39">
        <f>IF($B310="","",COUNTA($B$4:$B310))</f>
        <v/>
      </c>
      <c r="B310" s="40" t="n">
        <v>46056</v>
      </c>
      <c r="C310" s="41" t="n">
        <v>1941</v>
      </c>
      <c r="D310" s="41" t="inlineStr">
        <is>
          <t>المكتب</t>
        </is>
      </c>
      <c r="E310" s="41" t="inlineStr">
        <is>
          <t>1*20</t>
        </is>
      </c>
      <c r="F310" s="41" t="inlineStr">
        <is>
          <t xml:space="preserve">خط المطابخ </t>
        </is>
      </c>
      <c r="G310" s="41" t="inlineStr">
        <is>
          <t xml:space="preserve">المريوطية </t>
        </is>
      </c>
      <c r="H310" s="41" t="inlineStr">
        <is>
          <t>236700/5</t>
        </is>
      </c>
      <c r="I310" s="41" t="inlineStr">
        <is>
          <t>س ع م 8737</t>
        </is>
      </c>
      <c r="J310" s="41" t="inlineStr">
        <is>
          <t xml:space="preserve">محمود بكر </t>
        </is>
      </c>
      <c r="K310" s="41" t="inlineStr">
        <is>
          <t>المكتب</t>
        </is>
      </c>
      <c r="L310" s="42" t="n">
        <v>13500</v>
      </c>
      <c r="M310" s="42" t="n">
        <v>7000</v>
      </c>
      <c r="N310" s="42" t="n"/>
      <c r="O310" s="42" t="n"/>
      <c r="P310" s="42" t="n"/>
      <c r="Q310" s="42" t="n">
        <v>6500</v>
      </c>
      <c r="R310" s="43">
        <f>IF($B310="","",N($S310)-N($Q310))</f>
        <v/>
      </c>
      <c r="S310" s="43">
        <f>IF($B310="","",N($L310)+N($N310)+N($P310))</f>
        <v/>
      </c>
      <c r="T310" s="42" t="n">
        <v>1500</v>
      </c>
      <c r="U310" s="42" t="n">
        <v>600</v>
      </c>
      <c r="V310" s="42" t="n"/>
      <c r="W310" s="42" t="n">
        <v>150</v>
      </c>
      <c r="X310" s="42" t="n">
        <v>90</v>
      </c>
      <c r="Y310" s="42" t="n">
        <v>60</v>
      </c>
      <c r="Z310" s="42" t="n"/>
      <c r="AA310" s="42" t="n"/>
      <c r="AB310" s="42" t="n"/>
      <c r="AC310" s="42" t="n"/>
      <c r="AD310" s="42" t="n"/>
      <c r="AE310" s="42" t="n">
        <v>3600</v>
      </c>
      <c r="AF310" s="43">
        <f>IF($B310="","",SUM($T310:$AE310))</f>
        <v/>
      </c>
      <c r="AG310" s="43">
        <f>IF($B310="","",N($M310)-N($AF310))</f>
        <v/>
      </c>
      <c r="AH310" s="43">
        <f>IF($B310="","",N($L310)-N($AF310))</f>
        <v/>
      </c>
      <c r="AI310" s="149">
        <f>IF($B310="","",IF(N($L310)=0,"",(N($L310)-N($AF310))/N($L310)))</f>
        <v/>
      </c>
    </row>
    <row r="311">
      <c r="A311" s="39">
        <f>IF($B311="","",COUNTA($B$4:$B311))</f>
        <v/>
      </c>
      <c r="B311" s="45" t="n">
        <v>46057</v>
      </c>
      <c r="C311" s="46" t="n">
        <v>2007</v>
      </c>
      <c r="D311" s="46" t="inlineStr">
        <is>
          <t xml:space="preserve">احمد عزت </t>
        </is>
      </c>
      <c r="E311" s="46" t="inlineStr">
        <is>
          <t>1*40</t>
        </is>
      </c>
      <c r="F311" s="46" t="inlineStr">
        <is>
          <t xml:space="preserve">وادي الرياض </t>
        </is>
      </c>
      <c r="G311" s="46" t="inlineStr">
        <is>
          <t>الاسماعيليه</t>
        </is>
      </c>
      <c r="H311" s="46" t="inlineStr">
        <is>
          <t>684032/1</t>
        </is>
      </c>
      <c r="I311" s="46" t="inlineStr">
        <is>
          <t>ب ج ى7389</t>
        </is>
      </c>
      <c r="J311" s="46" t="inlineStr">
        <is>
          <t xml:space="preserve">شريف شوقى </t>
        </is>
      </c>
      <c r="K311" s="46" t="inlineStr">
        <is>
          <t xml:space="preserve">الليبر </t>
        </is>
      </c>
      <c r="L311" s="47" t="n">
        <v>17000</v>
      </c>
      <c r="M311" s="47" t="n">
        <v>9100</v>
      </c>
      <c r="N311" s="47" t="n"/>
      <c r="O311" s="47" t="n">
        <v>200</v>
      </c>
      <c r="P311" s="47" t="n"/>
      <c r="Q311" s="47" t="n">
        <v>7700</v>
      </c>
      <c r="R311" s="43">
        <f>IF($B311="","",N($S311)-N($Q311))</f>
        <v/>
      </c>
      <c r="S311" s="43">
        <f>IF($B311="","",N($L311)+N($N311)+N($P311))</f>
        <v/>
      </c>
      <c r="T311" s="47" t="n"/>
      <c r="U311" s="47" t="n"/>
      <c r="V311" s="47" t="n"/>
      <c r="W311" s="47" t="n"/>
      <c r="X311" s="47" t="n"/>
      <c r="Y311" s="47" t="n"/>
      <c r="Z311" s="47" t="n"/>
      <c r="AA311" s="47" t="n"/>
      <c r="AB311" s="47" t="n"/>
      <c r="AC311" s="47" t="n"/>
      <c r="AD311" s="47" t="n"/>
      <c r="AE311" s="47" t="n"/>
      <c r="AF311" s="43">
        <f>IF($B311="","",SUM($T311:$AE311))</f>
        <v/>
      </c>
      <c r="AG311" s="43">
        <f>IF($B311="","",N($M311)-N($AF311))</f>
        <v/>
      </c>
      <c r="AH311" s="43">
        <f>IF($B311="","",N($L311)-N($AF311))</f>
        <v/>
      </c>
      <c r="AI311" s="149">
        <f>IF($B311="","",IF(N($L311)=0,"",(N($L311)-N($AF311))/N($L311)))</f>
        <v/>
      </c>
    </row>
    <row r="312">
      <c r="A312" s="39">
        <f>IF($B312="","",COUNTA($B$4:$B312))</f>
        <v/>
      </c>
      <c r="B312" s="40" t="n">
        <v>46057</v>
      </c>
      <c r="C312" s="41" t="n">
        <v>2006</v>
      </c>
      <c r="D312" s="41" t="inlineStr">
        <is>
          <t xml:space="preserve">كريم مرعى </t>
        </is>
      </c>
      <c r="E312" s="41" t="inlineStr">
        <is>
          <t>1*40</t>
        </is>
      </c>
      <c r="F312" s="41" t="inlineStr">
        <is>
          <t xml:space="preserve">وادي الرياض </t>
        </is>
      </c>
      <c r="G312" s="41" t="inlineStr">
        <is>
          <t>الاسماعيليه</t>
        </is>
      </c>
      <c r="H312" s="41" t="inlineStr">
        <is>
          <t>765063/7</t>
        </is>
      </c>
      <c r="I312" s="41" t="inlineStr">
        <is>
          <t>ب ص ا 2574</t>
        </is>
      </c>
      <c r="J312" s="41" t="inlineStr">
        <is>
          <t xml:space="preserve">محمد البحيرى </t>
        </is>
      </c>
      <c r="K312" s="41" t="inlineStr">
        <is>
          <t xml:space="preserve">محمد البحيرى </t>
        </is>
      </c>
      <c r="L312" s="42" t="n">
        <v>17000</v>
      </c>
      <c r="M312" s="42" t="n">
        <v>9100</v>
      </c>
      <c r="N312" s="42" t="n"/>
      <c r="O312" s="42" t="n">
        <v>200</v>
      </c>
      <c r="P312" s="42" t="n"/>
      <c r="Q312" s="42" t="n">
        <v>7700</v>
      </c>
      <c r="R312" s="43">
        <f>IF($B312="","",N($S312)-N($Q312))</f>
        <v/>
      </c>
      <c r="S312" s="43">
        <f>IF($B312="","",N($L312)+N($N312)+N($P312))</f>
        <v/>
      </c>
      <c r="T312" s="42" t="n"/>
      <c r="U312" s="42" t="n"/>
      <c r="V312" s="42" t="n"/>
      <c r="W312" s="42" t="n"/>
      <c r="X312" s="42" t="n"/>
      <c r="Y312" s="42" t="n"/>
      <c r="Z312" s="42" t="n"/>
      <c r="AA312" s="42" t="n"/>
      <c r="AB312" s="42" t="n"/>
      <c r="AC312" s="42" t="n"/>
      <c r="AD312" s="42" t="n"/>
      <c r="AE312" s="42" t="n"/>
      <c r="AF312" s="43">
        <f>IF($B312="","",SUM($T312:$AE312))</f>
        <v/>
      </c>
      <c r="AG312" s="43">
        <f>IF($B312="","",N($M312)-N($AF312))</f>
        <v/>
      </c>
      <c r="AH312" s="43">
        <f>IF($B312="","",N($L312)-N($AF312))</f>
        <v/>
      </c>
      <c r="AI312" s="149">
        <f>IF($B312="","",IF(N($L312)=0,"",(N($L312)-N($AF312))/N($L312)))</f>
        <v/>
      </c>
    </row>
    <row r="313">
      <c r="A313" s="39">
        <f>IF($B313="","",COUNTA($B$4:$B313))</f>
        <v/>
      </c>
      <c r="B313" s="45" t="n">
        <v>46057</v>
      </c>
      <c r="C313" s="46" t="n">
        <v>2005</v>
      </c>
      <c r="D313" s="46" t="inlineStr">
        <is>
          <t>المكتب</t>
        </is>
      </c>
      <c r="E313" s="46" t="inlineStr">
        <is>
          <t>1*40</t>
        </is>
      </c>
      <c r="F313" s="46" t="inlineStr">
        <is>
          <t xml:space="preserve">وادي الرياض </t>
        </is>
      </c>
      <c r="G313" s="46" t="inlineStr">
        <is>
          <t>الاسماعيليه</t>
        </is>
      </c>
      <c r="H313" s="46" t="inlineStr">
        <is>
          <t>744297/3</t>
        </is>
      </c>
      <c r="I313" s="46" t="inlineStr">
        <is>
          <t>س ع م 8737</t>
        </is>
      </c>
      <c r="J313" s="46" t="inlineStr">
        <is>
          <t xml:space="preserve">محمود بكر </t>
        </is>
      </c>
      <c r="K313" s="46" t="inlineStr">
        <is>
          <t>المكتب</t>
        </is>
      </c>
      <c r="L313" s="47" t="n">
        <v>17000</v>
      </c>
      <c r="M313" s="47" t="n">
        <v>8000</v>
      </c>
      <c r="N313" s="47" t="n"/>
      <c r="O313" s="47" t="n"/>
      <c r="P313" s="47" t="n"/>
      <c r="Q313" s="47" t="n">
        <v>9000</v>
      </c>
      <c r="R313" s="43">
        <f>IF($B313="","",N($S313)-N($Q313))</f>
        <v/>
      </c>
      <c r="S313" s="43">
        <f>IF($B313="","",N($L313)+N($N313)+N($P313))</f>
        <v/>
      </c>
      <c r="T313" s="47" t="n">
        <v>1700</v>
      </c>
      <c r="U313" s="47" t="n">
        <v>650</v>
      </c>
      <c r="V313" s="47" t="n"/>
      <c r="W313" s="47" t="n">
        <v>150</v>
      </c>
      <c r="X313" s="47" t="n">
        <v>155</v>
      </c>
      <c r="Y313" s="47" t="n">
        <v>60</v>
      </c>
      <c r="Z313" s="47" t="n"/>
      <c r="AA313" s="47" t="n"/>
      <c r="AB313" s="47" t="n"/>
      <c r="AC313" s="47" t="n"/>
      <c r="AD313" s="47" t="n"/>
      <c r="AE313" s="47" t="n">
        <v>4450</v>
      </c>
      <c r="AF313" s="43">
        <f>IF($B313="","",SUM($T313:$AE313))</f>
        <v/>
      </c>
      <c r="AG313" s="43">
        <f>IF($B313="","",N($M313)-N($AF313))</f>
        <v/>
      </c>
      <c r="AH313" s="43">
        <f>IF($B313="","",N($L313)-N($AF313))</f>
        <v/>
      </c>
      <c r="AI313" s="149">
        <f>IF($B313="","",IF(N($L313)=0,"",(N($L313)-N($AF313))/N($L313)))</f>
        <v/>
      </c>
    </row>
    <row r="314">
      <c r="A314" s="39">
        <f>IF($B314="","",COUNTA($B$4:$B314))</f>
        <v/>
      </c>
      <c r="B314" s="40" t="n">
        <v>46057</v>
      </c>
      <c r="C314" s="41" t="n">
        <v>2008</v>
      </c>
      <c r="D314" s="41" t="inlineStr">
        <is>
          <t>كمال رزق خ</t>
        </is>
      </c>
      <c r="E314" s="41" t="inlineStr">
        <is>
          <t>1*40</t>
        </is>
      </c>
      <c r="F314" s="41" t="inlineStr">
        <is>
          <t xml:space="preserve">وادي الرياض </t>
        </is>
      </c>
      <c r="G314" s="41" t="inlineStr">
        <is>
          <t>الاسماعيليه</t>
        </is>
      </c>
      <c r="H314" s="41" t="inlineStr">
        <is>
          <t>387374/8</t>
        </is>
      </c>
      <c r="I314" s="41" t="inlineStr">
        <is>
          <t>س ن ر 8979</t>
        </is>
      </c>
      <c r="J314" s="41" t="inlineStr">
        <is>
          <t xml:space="preserve">عماد سعيد </t>
        </is>
      </c>
      <c r="K314" s="41" t="inlineStr">
        <is>
          <t xml:space="preserve">عماد سعيد </t>
        </is>
      </c>
      <c r="L314" s="42" t="n">
        <v>17000</v>
      </c>
      <c r="M314" s="42" t="n">
        <v>9100</v>
      </c>
      <c r="N314" s="42" t="n"/>
      <c r="O314" s="42" t="n">
        <v>200</v>
      </c>
      <c r="P314" s="42" t="n"/>
      <c r="Q314" s="42" t="n">
        <v>7700</v>
      </c>
      <c r="R314" s="43">
        <f>IF($B314="","",N($S314)-N($Q314))</f>
        <v/>
      </c>
      <c r="S314" s="43">
        <f>IF($B314="","",N($L314)+N($N314)+N($P314))</f>
        <v/>
      </c>
      <c r="T314" s="42" t="n"/>
      <c r="U314" s="42" t="n"/>
      <c r="V314" s="42" t="n"/>
      <c r="W314" s="42" t="n"/>
      <c r="X314" s="42" t="n"/>
      <c r="Y314" s="42" t="n"/>
      <c r="Z314" s="42" t="n"/>
      <c r="AA314" s="42" t="n"/>
      <c r="AB314" s="42" t="n"/>
      <c r="AC314" s="42" t="n"/>
      <c r="AD314" s="42" t="n"/>
      <c r="AE314" s="42" t="n"/>
      <c r="AF314" s="43">
        <f>IF($B314="","",SUM($T314:$AE314))</f>
        <v/>
      </c>
      <c r="AG314" s="43">
        <f>IF($B314="","",N($M314)-N($AF314))</f>
        <v/>
      </c>
      <c r="AH314" s="43">
        <f>IF($B314="","",N($L314)-N($AF314))</f>
        <v/>
      </c>
      <c r="AI314" s="149">
        <f>IF($B314="","",IF(N($L314)=0,"",(N($L314)-N($AF314))/N($L314)))</f>
        <v/>
      </c>
    </row>
    <row r="315">
      <c r="A315" s="39">
        <f>IF($B315="","",COUNTA($B$4:$B315))</f>
        <v/>
      </c>
      <c r="B315" s="45" t="n">
        <v>46057</v>
      </c>
      <c r="C315" s="46" t="n">
        <v>2009</v>
      </c>
      <c r="D315" s="46" t="inlineStr">
        <is>
          <t xml:space="preserve">حمو مرزوق </t>
        </is>
      </c>
      <c r="E315" s="46" t="inlineStr">
        <is>
          <t>1*40</t>
        </is>
      </c>
      <c r="F315" s="46" t="inlineStr">
        <is>
          <t xml:space="preserve">وادي الرياض </t>
        </is>
      </c>
      <c r="G315" s="46" t="inlineStr">
        <is>
          <t>الاسماعيليه</t>
        </is>
      </c>
      <c r="H315" s="46" t="inlineStr">
        <is>
          <t>486921/8</t>
        </is>
      </c>
      <c r="I315" s="46" t="inlineStr">
        <is>
          <t>س ر ا 6671</t>
        </is>
      </c>
      <c r="J315" s="46" t="inlineStr">
        <is>
          <t xml:space="preserve">السيد بدوى </t>
        </is>
      </c>
      <c r="K315" s="46" t="inlineStr">
        <is>
          <t xml:space="preserve">حمو مرزوق </t>
        </is>
      </c>
      <c r="L315" s="47" t="n">
        <v>17000</v>
      </c>
      <c r="M315" s="47" t="n">
        <v>9100</v>
      </c>
      <c r="N315" s="47" t="n"/>
      <c r="O315" s="47" t="n">
        <v>200</v>
      </c>
      <c r="P315" s="47" t="n"/>
      <c r="Q315" s="47" t="n">
        <v>7700</v>
      </c>
      <c r="R315" s="43">
        <f>IF($B315="","",N($S315)-N($Q315))</f>
        <v/>
      </c>
      <c r="S315" s="43">
        <f>IF($B315="","",N($L315)+N($N315)+N($P315))</f>
        <v/>
      </c>
      <c r="T315" s="47" t="n"/>
      <c r="U315" s="47" t="n"/>
      <c r="V315" s="47" t="n"/>
      <c r="W315" s="47" t="n"/>
      <c r="X315" s="47" t="n"/>
      <c r="Y315" s="47" t="n"/>
      <c r="Z315" s="47" t="n"/>
      <c r="AA315" s="47" t="n"/>
      <c r="AB315" s="47" t="n"/>
      <c r="AC315" s="47" t="n"/>
      <c r="AD315" s="47" t="n"/>
      <c r="AE315" s="47" t="n"/>
      <c r="AF315" s="43">
        <f>IF($B315="","",SUM($T315:$AE315))</f>
        <v/>
      </c>
      <c r="AG315" s="43">
        <f>IF($B315="","",N($M315)-N($AF315))</f>
        <v/>
      </c>
      <c r="AH315" s="43">
        <f>IF($B315="","",N($L315)-N($AF315))</f>
        <v/>
      </c>
      <c r="AI315" s="149">
        <f>IF($B315="","",IF(N($L315)=0,"",(N($L315)-N($AF315))/N($L315)))</f>
        <v/>
      </c>
    </row>
    <row r="316">
      <c r="A316" s="39">
        <f>IF($B316="","",COUNTA($B$4:$B316))</f>
        <v/>
      </c>
      <c r="B316" s="40" t="n">
        <v>46057</v>
      </c>
      <c r="C316" s="41" t="n">
        <v>2010</v>
      </c>
      <c r="D316" s="41" t="inlineStr">
        <is>
          <t>ايوب خ</t>
        </is>
      </c>
      <c r="E316" s="41" t="inlineStr">
        <is>
          <t>1*40</t>
        </is>
      </c>
      <c r="F316" s="41" t="inlineStr">
        <is>
          <t xml:space="preserve">وادي الرياض </t>
        </is>
      </c>
      <c r="G316" s="41" t="inlineStr">
        <is>
          <t>الاسماعيليه</t>
        </is>
      </c>
      <c r="H316" s="41" t="inlineStr">
        <is>
          <t>853634/1</t>
        </is>
      </c>
      <c r="I316" s="41" t="inlineStr">
        <is>
          <t>س م ص 3342</t>
        </is>
      </c>
      <c r="J316" s="41" t="inlineStr">
        <is>
          <t>جابر صبحى</t>
        </is>
      </c>
      <c r="K316" s="41" t="inlineStr">
        <is>
          <t xml:space="preserve">ايوب </t>
        </is>
      </c>
      <c r="L316" s="42" t="n">
        <v>17000</v>
      </c>
      <c r="M316" s="42" t="n">
        <v>9100</v>
      </c>
      <c r="N316" s="42" t="n"/>
      <c r="O316" s="42" t="n">
        <v>200</v>
      </c>
      <c r="P316" s="42" t="n"/>
      <c r="Q316" s="42" t="n">
        <v>7700</v>
      </c>
      <c r="R316" s="43">
        <f>IF($B316="","",N($S316)-N($Q316))</f>
        <v/>
      </c>
      <c r="S316" s="43">
        <f>IF($B316="","",N($L316)+N($N316)+N($P316))</f>
        <v/>
      </c>
      <c r="T316" s="42" t="n"/>
      <c r="U316" s="42" t="n"/>
      <c r="V316" s="42" t="n"/>
      <c r="W316" s="42" t="n"/>
      <c r="X316" s="42" t="n"/>
      <c r="Y316" s="42" t="n"/>
      <c r="Z316" s="42" t="n"/>
      <c r="AA316" s="42" t="n"/>
      <c r="AB316" s="42" t="n"/>
      <c r="AC316" s="42" t="n"/>
      <c r="AD316" s="42" t="n"/>
      <c r="AE316" s="42" t="n"/>
      <c r="AF316" s="43">
        <f>IF($B316="","",SUM($T316:$AE316))</f>
        <v/>
      </c>
      <c r="AG316" s="43">
        <f>IF($B316="","",N($M316)-N($AF316))</f>
        <v/>
      </c>
      <c r="AH316" s="43">
        <f>IF($B316="","",N($L316)-N($AF316))</f>
        <v/>
      </c>
      <c r="AI316" s="149">
        <f>IF($B316="","",IF(N($L316)=0,"",(N($L316)-N($AF316))/N($L316)))</f>
        <v/>
      </c>
    </row>
    <row r="317">
      <c r="A317" s="39">
        <f>IF($B317="","",COUNTA($B$4:$B317))</f>
        <v/>
      </c>
      <c r="B317" s="45" t="n">
        <v>46057</v>
      </c>
      <c r="C317" s="46" t="n">
        <v>1896</v>
      </c>
      <c r="D317" s="46" t="inlineStr">
        <is>
          <t>حمادة ذكى</t>
        </is>
      </c>
      <c r="E317" s="46" t="inlineStr">
        <is>
          <t>1*40</t>
        </is>
      </c>
      <c r="F317" s="46" t="inlineStr">
        <is>
          <t xml:space="preserve">السويدى للكابلات </t>
        </is>
      </c>
      <c r="G317" s="46" t="inlineStr">
        <is>
          <t>العاشر</t>
        </is>
      </c>
      <c r="H317" s="46" t="inlineStr">
        <is>
          <t>211905/4</t>
        </is>
      </c>
      <c r="I317" s="46" t="inlineStr">
        <is>
          <t>س ر ا 9197</t>
        </is>
      </c>
      <c r="J317" s="46" t="inlineStr">
        <is>
          <t xml:space="preserve">سيد طة </t>
        </is>
      </c>
      <c r="K317" s="46" t="inlineStr">
        <is>
          <t xml:space="preserve">حمادة ذكى </t>
        </is>
      </c>
      <c r="L317" s="47" t="n">
        <v>14500</v>
      </c>
      <c r="M317" s="47" t="n">
        <v>8100</v>
      </c>
      <c r="N317" s="47" t="n"/>
      <c r="O317" s="47" t="n">
        <v>200</v>
      </c>
      <c r="P317" s="47" t="n"/>
      <c r="Q317" s="47" t="n">
        <v>6200</v>
      </c>
      <c r="R317" s="43">
        <f>IF($B317="","",N($S317)-N($Q317))</f>
        <v/>
      </c>
      <c r="S317" s="43">
        <f>IF($B317="","",N($L317)+N($N317)+N($P317))</f>
        <v/>
      </c>
      <c r="T317" s="47" t="n"/>
      <c r="U317" s="47" t="n"/>
      <c r="V317" s="47" t="n"/>
      <c r="W317" s="47" t="n"/>
      <c r="X317" s="47" t="n"/>
      <c r="Y317" s="47" t="n"/>
      <c r="Z317" s="47" t="n"/>
      <c r="AA317" s="47" t="n"/>
      <c r="AB317" s="47" t="n"/>
      <c r="AC317" s="47" t="n"/>
      <c r="AD317" s="47" t="n"/>
      <c r="AE317" s="47" t="n"/>
      <c r="AF317" s="43">
        <f>IF($B317="","",SUM($T317:$AE317))</f>
        <v/>
      </c>
      <c r="AG317" s="43">
        <f>IF($B317="","",N($M317)-N($AF317))</f>
        <v/>
      </c>
      <c r="AH317" s="43">
        <f>IF($B317="","",N($L317)-N($AF317))</f>
        <v/>
      </c>
      <c r="AI317" s="149">
        <f>IF($B317="","",IF(N($L317)=0,"",(N($L317)-N($AF317))/N($L317)))</f>
        <v/>
      </c>
    </row>
    <row r="318">
      <c r="A318" s="39">
        <f>IF($B318="","",COUNTA($B$4:$B318))</f>
        <v/>
      </c>
      <c r="B318" s="40" t="n">
        <v>46057</v>
      </c>
      <c r="C318" s="41" t="n">
        <v>1895</v>
      </c>
      <c r="D318" s="41" t="inlineStr">
        <is>
          <t>حمادة ذكى</t>
        </is>
      </c>
      <c r="E318" s="41" t="inlineStr">
        <is>
          <t>1*40</t>
        </is>
      </c>
      <c r="F318" s="41" t="inlineStr">
        <is>
          <t xml:space="preserve">السويدى للكابلات </t>
        </is>
      </c>
      <c r="G318" s="41" t="inlineStr">
        <is>
          <t>العاشر</t>
        </is>
      </c>
      <c r="H318" s="41" t="inlineStr">
        <is>
          <t>790323/3</t>
        </is>
      </c>
      <c r="I318" s="41" t="inlineStr">
        <is>
          <t>س ى ه 9473</t>
        </is>
      </c>
      <c r="J318" s="41" t="inlineStr">
        <is>
          <t xml:space="preserve">عبد الحميد </t>
        </is>
      </c>
      <c r="K318" s="41" t="inlineStr">
        <is>
          <t xml:space="preserve">حمادة ذكى </t>
        </is>
      </c>
      <c r="L318" s="42" t="n">
        <v>14500</v>
      </c>
      <c r="M318" s="42" t="n">
        <v>8100</v>
      </c>
      <c r="N318" s="42" t="n"/>
      <c r="O318" s="42" t="n">
        <v>200</v>
      </c>
      <c r="P318" s="42" t="n"/>
      <c r="Q318" s="42" t="n">
        <v>6200</v>
      </c>
      <c r="R318" s="43">
        <f>IF($B318="","",N($S318)-N($Q318))</f>
        <v/>
      </c>
      <c r="S318" s="43">
        <f>IF($B318="","",N($L318)+N($N318)+N($P318))</f>
        <v/>
      </c>
      <c r="T318" s="42" t="n"/>
      <c r="U318" s="42" t="n"/>
      <c r="V318" s="42" t="n"/>
      <c r="W318" s="42" t="n"/>
      <c r="X318" s="42" t="n"/>
      <c r="Y318" s="42" t="n"/>
      <c r="Z318" s="42" t="n"/>
      <c r="AA318" s="42" t="n"/>
      <c r="AB318" s="42" t="n"/>
      <c r="AC318" s="42" t="n"/>
      <c r="AD318" s="42" t="n"/>
      <c r="AE318" s="42" t="n"/>
      <c r="AF318" s="43">
        <f>IF($B318="","",SUM($T318:$AE318))</f>
        <v/>
      </c>
      <c r="AG318" s="43">
        <f>IF($B318="","",N($M318)-N($AF318))</f>
        <v/>
      </c>
      <c r="AH318" s="43">
        <f>IF($B318="","",N($L318)-N($AF318))</f>
        <v/>
      </c>
      <c r="AI318" s="149">
        <f>IF($B318="","",IF(N($L318)=0,"",(N($L318)-N($AF318))/N($L318)))</f>
        <v/>
      </c>
    </row>
    <row r="319">
      <c r="A319" s="39">
        <f>IF($B319="","",COUNTA($B$4:$B319))</f>
        <v/>
      </c>
      <c r="B319" s="45" t="n">
        <v>46057</v>
      </c>
      <c r="C319" s="46" t="n">
        <v>1897</v>
      </c>
      <c r="D319" s="46" t="inlineStr">
        <is>
          <t>ايوب خ</t>
        </is>
      </c>
      <c r="E319" s="46" t="inlineStr">
        <is>
          <t>1*20</t>
        </is>
      </c>
      <c r="F319" s="46" t="inlineStr">
        <is>
          <t xml:space="preserve">يونايتد  </t>
        </is>
      </c>
      <c r="G319" s="46" t="inlineStr">
        <is>
          <t xml:space="preserve">الفيوم </t>
        </is>
      </c>
      <c r="H319" s="46" t="inlineStr">
        <is>
          <t>058804/9</t>
        </is>
      </c>
      <c r="I319" s="46" t="inlineStr">
        <is>
          <t>ب س ج 1392</t>
        </is>
      </c>
      <c r="J319" s="46" t="inlineStr">
        <is>
          <t xml:space="preserve">مصطفى محمد </t>
        </is>
      </c>
      <c r="K319" s="46" t="inlineStr">
        <is>
          <t xml:space="preserve">ايوب </t>
        </is>
      </c>
      <c r="L319" s="47" t="n">
        <v>13000</v>
      </c>
      <c r="M319" s="47" t="n">
        <v>8100</v>
      </c>
      <c r="N319" s="47" t="n"/>
      <c r="O319" s="47" t="n">
        <v>200</v>
      </c>
      <c r="P319" s="47" t="n"/>
      <c r="Q319" s="47" t="n">
        <v>4700</v>
      </c>
      <c r="R319" s="43">
        <f>IF($B319="","",N($S319)-N($Q319))</f>
        <v/>
      </c>
      <c r="S319" s="43">
        <f>IF($B319="","",N($L319)+N($N319)+N($P319))</f>
        <v/>
      </c>
      <c r="T319" s="47" t="n"/>
      <c r="U319" s="47" t="n"/>
      <c r="V319" s="47" t="n"/>
      <c r="W319" s="47" t="n"/>
      <c r="X319" s="47" t="n"/>
      <c r="Y319" s="47" t="n"/>
      <c r="Z319" s="47" t="n"/>
      <c r="AA319" s="47" t="n"/>
      <c r="AB319" s="47" t="n"/>
      <c r="AC319" s="47" t="n"/>
      <c r="AD319" s="47" t="n"/>
      <c r="AE319" s="47" t="n"/>
      <c r="AF319" s="43">
        <f>IF($B319="","",SUM($T319:$AE319))</f>
        <v/>
      </c>
      <c r="AG319" s="43">
        <f>IF($B319="","",N($M319)-N($AF319))</f>
        <v/>
      </c>
      <c r="AH319" s="43">
        <f>IF($B319="","",N($L319)-N($AF319))</f>
        <v/>
      </c>
      <c r="AI319" s="149">
        <f>IF($B319="","",IF(N($L319)=0,"",(N($L319)-N($AF319))/N($L319)))</f>
        <v/>
      </c>
    </row>
    <row r="320">
      <c r="A320" s="39">
        <f>IF($B320="","",COUNTA($B$4:$B320))</f>
        <v/>
      </c>
      <c r="B320" s="40" t="n">
        <v>46057</v>
      </c>
      <c r="C320" s="41" t="n">
        <v>2002</v>
      </c>
      <c r="D320" s="41" t="inlineStr">
        <is>
          <t xml:space="preserve">احمد محسن </t>
        </is>
      </c>
      <c r="E320" s="41" t="inlineStr">
        <is>
          <t>1*40</t>
        </is>
      </c>
      <c r="F320" s="41" t="inlineStr">
        <is>
          <t>دلتا فلكس</t>
        </is>
      </c>
      <c r="G320" s="41" t="inlineStr">
        <is>
          <t xml:space="preserve">المحلة </t>
        </is>
      </c>
      <c r="H320" s="41" t="inlineStr">
        <is>
          <t>652168/7</t>
        </is>
      </c>
      <c r="I320" s="41" t="inlineStr">
        <is>
          <t>س ع ا 7219</t>
        </is>
      </c>
      <c r="J320" s="41" t="inlineStr">
        <is>
          <t xml:space="preserve">طلعت محمد </t>
        </is>
      </c>
      <c r="K320" s="41" t="inlineStr">
        <is>
          <t xml:space="preserve">احمد محسن </t>
        </is>
      </c>
      <c r="L320" s="42" t="n">
        <v>13000</v>
      </c>
      <c r="M320" s="42" t="n">
        <v>7100</v>
      </c>
      <c r="N320" s="42" t="n"/>
      <c r="O320" s="42" t="n">
        <v>200</v>
      </c>
      <c r="P320" s="42" t="n"/>
      <c r="Q320" s="42" t="n">
        <v>5700</v>
      </c>
      <c r="R320" s="43">
        <f>IF($B320="","",N($S320)-N($Q320))</f>
        <v/>
      </c>
      <c r="S320" s="43">
        <f>IF($B320="","",N($L320)+N($N320)+N($P320))</f>
        <v/>
      </c>
      <c r="T320" s="42" t="n"/>
      <c r="U320" s="42" t="n"/>
      <c r="V320" s="42" t="n"/>
      <c r="W320" s="42" t="n"/>
      <c r="X320" s="42" t="n"/>
      <c r="Y320" s="42" t="n"/>
      <c r="Z320" s="42" t="n"/>
      <c r="AA320" s="42" t="n"/>
      <c r="AB320" s="42" t="n"/>
      <c r="AC320" s="42" t="n"/>
      <c r="AD320" s="42" t="n"/>
      <c r="AE320" s="42" t="n"/>
      <c r="AF320" s="43">
        <f>IF($B320="","",SUM($T320:$AE320))</f>
        <v/>
      </c>
      <c r="AG320" s="43">
        <f>IF($B320="","",N($M320)-N($AF320))</f>
        <v/>
      </c>
      <c r="AH320" s="43">
        <f>IF($B320="","",N($L320)-N($AF320))</f>
        <v/>
      </c>
      <c r="AI320" s="149">
        <f>IF($B320="","",IF(N($L320)=0,"",(N($L320)-N($AF320))/N($L320)))</f>
        <v/>
      </c>
    </row>
    <row r="321">
      <c r="A321" s="39">
        <f>IF($B321="","",COUNTA($B$4:$B321))</f>
        <v/>
      </c>
      <c r="B321" s="45" t="n">
        <v>46057</v>
      </c>
      <c r="C321" s="46" t="n">
        <v>2003</v>
      </c>
      <c r="D321" s="46" t="inlineStr">
        <is>
          <t>احمد عبدو خ</t>
        </is>
      </c>
      <c r="E321" s="46" t="inlineStr">
        <is>
          <t>1*40</t>
        </is>
      </c>
      <c r="F321" s="46" t="inlineStr">
        <is>
          <t>دلتا فلكس</t>
        </is>
      </c>
      <c r="G321" s="46" t="inlineStr">
        <is>
          <t xml:space="preserve">المحلة </t>
        </is>
      </c>
      <c r="H321" s="46" t="inlineStr">
        <is>
          <t>996200/6</t>
        </is>
      </c>
      <c r="I321" s="46" t="inlineStr">
        <is>
          <t>س ل ب 5917</t>
        </is>
      </c>
      <c r="J321" s="46" t="inlineStr">
        <is>
          <t xml:space="preserve">احمد محمود </t>
        </is>
      </c>
      <c r="K321" s="46" t="inlineStr">
        <is>
          <t xml:space="preserve">علاء علام </t>
        </is>
      </c>
      <c r="L321" s="47" t="n">
        <v>13000</v>
      </c>
      <c r="M321" s="47" t="n">
        <v>7100</v>
      </c>
      <c r="N321" s="47" t="n"/>
      <c r="O321" s="47" t="n">
        <v>200</v>
      </c>
      <c r="P321" s="47" t="n"/>
      <c r="Q321" s="47" t="n">
        <v>5700</v>
      </c>
      <c r="R321" s="43">
        <f>IF($B321="","",N($S321)-N($Q321))</f>
        <v/>
      </c>
      <c r="S321" s="43">
        <f>IF($B321="","",N($L321)+N($N321)+N($P321))</f>
        <v/>
      </c>
      <c r="T321" s="47" t="n"/>
      <c r="U321" s="47" t="n"/>
      <c r="V321" s="47" t="n"/>
      <c r="W321" s="47" t="n"/>
      <c r="X321" s="47" t="n"/>
      <c r="Y321" s="47" t="n"/>
      <c r="Z321" s="47" t="n"/>
      <c r="AA321" s="47" t="n"/>
      <c r="AB321" s="47" t="n"/>
      <c r="AC321" s="47" t="n"/>
      <c r="AD321" s="47" t="n"/>
      <c r="AE321" s="47" t="n"/>
      <c r="AF321" s="43">
        <f>IF($B321="","",SUM($T321:$AE321))</f>
        <v/>
      </c>
      <c r="AG321" s="43">
        <f>IF($B321="","",N($M321)-N($AF321))</f>
        <v/>
      </c>
      <c r="AH321" s="43">
        <f>IF($B321="","",N($L321)-N($AF321))</f>
        <v/>
      </c>
      <c r="AI321" s="149">
        <f>IF($B321="","",IF(N($L321)=0,"",(N($L321)-N($AF321))/N($L321)))</f>
        <v/>
      </c>
    </row>
    <row r="322">
      <c r="A322" s="39">
        <f>IF($B322="","",COUNTA($B$4:$B322))</f>
        <v/>
      </c>
      <c r="B322" s="40" t="n">
        <v>46057</v>
      </c>
      <c r="C322" s="41" t="n">
        <v>2001</v>
      </c>
      <c r="D322" s="41" t="inlineStr">
        <is>
          <t xml:space="preserve">احمد محسن </t>
        </is>
      </c>
      <c r="E322" s="41" t="inlineStr">
        <is>
          <t>1*40</t>
        </is>
      </c>
      <c r="F322" s="41" t="inlineStr">
        <is>
          <t>دلتا فلكس</t>
        </is>
      </c>
      <c r="G322" s="41" t="inlineStr">
        <is>
          <t xml:space="preserve">المحلة </t>
        </is>
      </c>
      <c r="H322" s="41" t="inlineStr">
        <is>
          <t>637504/6</t>
        </is>
      </c>
      <c r="I322" s="41" t="inlineStr">
        <is>
          <t>س ه ف 1387</t>
        </is>
      </c>
      <c r="J322" s="41" t="inlineStr">
        <is>
          <t xml:space="preserve">محمد خميس </t>
        </is>
      </c>
      <c r="K322" s="41" t="inlineStr">
        <is>
          <t xml:space="preserve">احمد محسن </t>
        </is>
      </c>
      <c r="L322" s="42" t="n">
        <v>13000</v>
      </c>
      <c r="M322" s="42" t="n">
        <v>7100</v>
      </c>
      <c r="N322" s="42" t="n"/>
      <c r="O322" s="42" t="n">
        <v>200</v>
      </c>
      <c r="P322" s="42" t="n"/>
      <c r="Q322" s="42" t="n">
        <v>5700</v>
      </c>
      <c r="R322" s="43">
        <f>IF($B322="","",N($S322)-N($Q322))</f>
        <v/>
      </c>
      <c r="S322" s="43">
        <f>IF($B322="","",N($L322)+N($N322)+N($P322))</f>
        <v/>
      </c>
      <c r="T322" s="42" t="n"/>
      <c r="U322" s="42" t="n"/>
      <c r="V322" s="42" t="n"/>
      <c r="W322" s="42" t="n"/>
      <c r="X322" s="42" t="n"/>
      <c r="Y322" s="42" t="n"/>
      <c r="Z322" s="42" t="n"/>
      <c r="AA322" s="42" t="n"/>
      <c r="AB322" s="42" t="n"/>
      <c r="AC322" s="42" t="n"/>
      <c r="AD322" s="42" t="n"/>
      <c r="AE322" s="42" t="n"/>
      <c r="AF322" s="43">
        <f>IF($B322="","",SUM($T322:$AE322))</f>
        <v/>
      </c>
      <c r="AG322" s="43">
        <f>IF($B322="","",N($M322)-N($AF322))</f>
        <v/>
      </c>
      <c r="AH322" s="43">
        <f>IF($B322="","",N($L322)-N($AF322))</f>
        <v/>
      </c>
      <c r="AI322" s="149">
        <f>IF($B322="","",IF(N($L322)=0,"",(N($L322)-N($AF322))/N($L322)))</f>
        <v/>
      </c>
    </row>
    <row r="323">
      <c r="A323" s="39">
        <f>IF($B323="","",COUNTA($B$4:$B323))</f>
        <v/>
      </c>
      <c r="B323" s="45" t="n">
        <v>46057</v>
      </c>
      <c r="C323" s="46" t="n">
        <v>2004</v>
      </c>
      <c r="D323" s="46" t="inlineStr">
        <is>
          <t>احمد عبدو خ</t>
        </is>
      </c>
      <c r="E323" s="46" t="inlineStr">
        <is>
          <t>1*40</t>
        </is>
      </c>
      <c r="F323" s="46" t="inlineStr">
        <is>
          <t>دلتا فلكس</t>
        </is>
      </c>
      <c r="G323" s="46" t="inlineStr">
        <is>
          <t xml:space="preserve">المحلة </t>
        </is>
      </c>
      <c r="H323" s="46" t="inlineStr">
        <is>
          <t>585144/8</t>
        </is>
      </c>
      <c r="I323" s="46" t="inlineStr">
        <is>
          <t>س ا ه 87198</t>
        </is>
      </c>
      <c r="J323" s="46" t="inlineStr">
        <is>
          <t xml:space="preserve">محمد ابراهيم </t>
        </is>
      </c>
      <c r="K323" s="46" t="inlineStr">
        <is>
          <t xml:space="preserve">علاء علام </t>
        </is>
      </c>
      <c r="L323" s="47" t="n">
        <v>13000</v>
      </c>
      <c r="M323" s="47" t="n">
        <v>7100</v>
      </c>
      <c r="N323" s="47" t="n"/>
      <c r="O323" s="47" t="n">
        <v>200</v>
      </c>
      <c r="P323" s="47" t="n"/>
      <c r="Q323" s="47" t="n">
        <v>5700</v>
      </c>
      <c r="R323" s="43">
        <f>IF($B323="","",N($S323)-N($Q323))</f>
        <v/>
      </c>
      <c r="S323" s="43">
        <f>IF($B323="","",N($L323)+N($N323)+N($P323))</f>
        <v/>
      </c>
      <c r="T323" s="47" t="n"/>
      <c r="U323" s="47" t="n"/>
      <c r="V323" s="47" t="n"/>
      <c r="W323" s="47" t="n"/>
      <c r="X323" s="47" t="n"/>
      <c r="Y323" s="47" t="n"/>
      <c r="Z323" s="47" t="n"/>
      <c r="AA323" s="47" t="n"/>
      <c r="AB323" s="47" t="n"/>
      <c r="AC323" s="47" t="n"/>
      <c r="AD323" s="47" t="n"/>
      <c r="AE323" s="47" t="n"/>
      <c r="AF323" s="43">
        <f>IF($B323="","",SUM($T323:$AE323))</f>
        <v/>
      </c>
      <c r="AG323" s="43">
        <f>IF($B323="","",N($M323)-N($AF323))</f>
        <v/>
      </c>
      <c r="AH323" s="43">
        <f>IF($B323="","",N($L323)-N($AF323))</f>
        <v/>
      </c>
      <c r="AI323" s="149">
        <f>IF($B323="","",IF(N($L323)=0,"",(N($L323)-N($AF323))/N($L323)))</f>
        <v/>
      </c>
    </row>
    <row r="324">
      <c r="A324" s="39">
        <f>IF($B324="","",COUNTA($B$4:$B324))</f>
        <v/>
      </c>
      <c r="B324" s="40" t="n">
        <v>46057</v>
      </c>
      <c r="C324" s="41" t="n">
        <v>1777</v>
      </c>
      <c r="D324" s="41" t="inlineStr">
        <is>
          <t>حاتم البحر  ق</t>
        </is>
      </c>
      <c r="E324" s="41" t="inlineStr">
        <is>
          <t>1*40 ث</t>
        </is>
      </c>
      <c r="F324" s="41" t="inlineStr">
        <is>
          <t xml:space="preserve">النيل </t>
        </is>
      </c>
      <c r="G324" s="41" t="inlineStr">
        <is>
          <t xml:space="preserve">السادات </t>
        </is>
      </c>
      <c r="H324" s="41" t="inlineStr">
        <is>
          <t>903888/3</t>
        </is>
      </c>
      <c r="I324" s="41" t="inlineStr">
        <is>
          <t>س ص ا 5227</t>
        </is>
      </c>
      <c r="J324" s="41" t="inlineStr">
        <is>
          <t xml:space="preserve">مصطفى رزق </t>
        </is>
      </c>
      <c r="K324" s="41" t="inlineStr">
        <is>
          <t>ميدو رزق</t>
        </is>
      </c>
      <c r="L324" s="42" t="n">
        <v>13500</v>
      </c>
      <c r="M324" s="42" t="n">
        <v>8100</v>
      </c>
      <c r="N324" s="42" t="n"/>
      <c r="O324" s="42" t="n">
        <v>200</v>
      </c>
      <c r="P324" s="42" t="n"/>
      <c r="Q324" s="42" t="n">
        <v>5200</v>
      </c>
      <c r="R324" s="43">
        <f>IF($B324="","",N($S324)-N($Q324))</f>
        <v/>
      </c>
      <c r="S324" s="43">
        <f>IF($B324="","",N($L324)+N($N324)+N($P324))</f>
        <v/>
      </c>
      <c r="T324" s="42" t="n"/>
      <c r="U324" s="42" t="n"/>
      <c r="V324" s="42" t="n"/>
      <c r="W324" s="42" t="n"/>
      <c r="X324" s="42" t="n"/>
      <c r="Y324" s="42" t="n"/>
      <c r="Z324" s="42" t="n"/>
      <c r="AA324" s="42" t="n"/>
      <c r="AB324" s="42" t="n"/>
      <c r="AC324" s="42" t="n"/>
      <c r="AD324" s="42" t="n"/>
      <c r="AE324" s="42" t="n"/>
      <c r="AF324" s="43">
        <f>IF($B324="","",SUM($T324:$AE324))</f>
        <v/>
      </c>
      <c r="AG324" s="43">
        <f>IF($B324="","",N($M324)-N($AF324))</f>
        <v/>
      </c>
      <c r="AH324" s="43">
        <f>IF($B324="","",N($L324)-N($AF324))</f>
        <v/>
      </c>
      <c r="AI324" s="149">
        <f>IF($B324="","",IF(N($L324)=0,"",(N($L324)-N($AF324))/N($L324)))</f>
        <v/>
      </c>
    </row>
    <row r="325">
      <c r="A325" s="39">
        <f>IF($B325="","",COUNTA($B$4:$B325))</f>
        <v/>
      </c>
      <c r="B325" s="45" t="n">
        <v>46059</v>
      </c>
      <c r="C325" s="46" t="n">
        <v>2019</v>
      </c>
      <c r="D325" s="46" t="inlineStr">
        <is>
          <t xml:space="preserve">حمو مرزوق </t>
        </is>
      </c>
      <c r="E325" s="46" t="inlineStr">
        <is>
          <t>2*20</t>
        </is>
      </c>
      <c r="F325" s="46" t="inlineStr">
        <is>
          <t xml:space="preserve">الدولية للفحم </t>
        </is>
      </c>
      <c r="G325" s="46" t="inlineStr">
        <is>
          <t xml:space="preserve">البرج </t>
        </is>
      </c>
      <c r="H325" s="46" t="inlineStr">
        <is>
          <t>336547/2-202219/5</t>
        </is>
      </c>
      <c r="I325" s="46" t="inlineStr">
        <is>
          <t>س ر ا 6671</t>
        </is>
      </c>
      <c r="J325" s="46" t="inlineStr">
        <is>
          <t xml:space="preserve">السيد بدوى </t>
        </is>
      </c>
      <c r="K325" s="46" t="inlineStr">
        <is>
          <t xml:space="preserve">حمو مرزوق </t>
        </is>
      </c>
      <c r="L325" s="47" t="n">
        <v>10000</v>
      </c>
      <c r="M325" s="47" t="n">
        <v>6000</v>
      </c>
      <c r="N325" s="47" t="n"/>
      <c r="O325" s="47" t="n">
        <v>200</v>
      </c>
      <c r="P325" s="47" t="n"/>
      <c r="Q325" s="47" t="n">
        <v>3800</v>
      </c>
      <c r="R325" s="43">
        <f>IF($B325="","",N($S325)-N($Q325))</f>
        <v/>
      </c>
      <c r="S325" s="43">
        <f>IF($B325="","",N($L325)+N($N325)+N($P325))</f>
        <v/>
      </c>
      <c r="T325" s="47" t="n"/>
      <c r="U325" s="47" t="n"/>
      <c r="V325" s="47" t="n"/>
      <c r="W325" s="47" t="n"/>
      <c r="X325" s="47" t="n"/>
      <c r="Y325" s="47" t="n"/>
      <c r="Z325" s="47" t="n"/>
      <c r="AA325" s="47" t="n"/>
      <c r="AB325" s="47" t="n"/>
      <c r="AC325" s="47" t="n"/>
      <c r="AD325" s="47" t="n"/>
      <c r="AE325" s="47" t="n"/>
      <c r="AF325" s="43">
        <f>IF($B325="","",SUM($T325:$AE325))</f>
        <v/>
      </c>
      <c r="AG325" s="43">
        <f>IF($B325="","",N($M325)-N($AF325))</f>
        <v/>
      </c>
      <c r="AH325" s="43">
        <f>IF($B325="","",N($L325)-N($AF325))</f>
        <v/>
      </c>
      <c r="AI325" s="149">
        <f>IF($B325="","",IF(N($L325)=0,"",(N($L325)-N($AF325))/N($L325)))</f>
        <v/>
      </c>
    </row>
    <row r="326">
      <c r="A326" s="39">
        <f>IF($B326="","",COUNTA($B$4:$B326))</f>
        <v/>
      </c>
      <c r="B326" s="40" t="n">
        <v>46059</v>
      </c>
      <c r="C326" s="41" t="n">
        <v>2015</v>
      </c>
      <c r="D326" s="41" t="inlineStr">
        <is>
          <t>كمال رزق خ</t>
        </is>
      </c>
      <c r="E326" s="41" t="inlineStr">
        <is>
          <t>1*20</t>
        </is>
      </c>
      <c r="F326" s="41" t="inlineStr">
        <is>
          <t xml:space="preserve">الدولية للفحم </t>
        </is>
      </c>
      <c r="G326" s="41" t="inlineStr">
        <is>
          <t xml:space="preserve">البرج </t>
        </is>
      </c>
      <c r="H326" s="41" t="inlineStr">
        <is>
          <t>339674/3</t>
        </is>
      </c>
      <c r="I326" s="41" t="inlineStr">
        <is>
          <t>س ن ر 8979</t>
        </is>
      </c>
      <c r="J326" s="41" t="inlineStr">
        <is>
          <t xml:space="preserve">عماد سعيد </t>
        </is>
      </c>
      <c r="K326" s="41" t="inlineStr">
        <is>
          <t xml:space="preserve">عماد سعيد </t>
        </is>
      </c>
      <c r="L326" s="42" t="n">
        <v>7500</v>
      </c>
      <c r="M326" s="42" t="n">
        <v>5100</v>
      </c>
      <c r="N326" s="42" t="n"/>
      <c r="O326" s="42" t="n">
        <v>200</v>
      </c>
      <c r="P326" s="42" t="n"/>
      <c r="Q326" s="42" t="n">
        <v>2200</v>
      </c>
      <c r="R326" s="43">
        <f>IF($B326="","",N($S326)-N($Q326))</f>
        <v/>
      </c>
      <c r="S326" s="43">
        <f>IF($B326="","",N($L326)+N($N326)+N($P326))</f>
        <v/>
      </c>
      <c r="T326" s="42" t="n"/>
      <c r="U326" s="42" t="n"/>
      <c r="V326" s="42" t="n"/>
      <c r="W326" s="42" t="n"/>
      <c r="X326" s="42" t="n"/>
      <c r="Y326" s="42" t="n"/>
      <c r="Z326" s="42" t="n"/>
      <c r="AA326" s="42" t="n"/>
      <c r="AB326" s="42" t="n"/>
      <c r="AC326" s="42" t="n"/>
      <c r="AD326" s="42" t="n"/>
      <c r="AE326" s="42" t="n"/>
      <c r="AF326" s="43">
        <f>IF($B326="","",SUM($T326:$AE326))</f>
        <v/>
      </c>
      <c r="AG326" s="43">
        <f>IF($B326="","",N($M326)-N($AF326))</f>
        <v/>
      </c>
      <c r="AH326" s="43">
        <f>IF($B326="","",N($L326)-N($AF326))</f>
        <v/>
      </c>
      <c r="AI326" s="149">
        <f>IF($B326="","",IF(N($L326)=0,"",(N($L326)-N($AF326))/N($L326)))</f>
        <v/>
      </c>
    </row>
    <row r="327">
      <c r="A327" s="39">
        <f>IF($B327="","",COUNTA($B$4:$B327))</f>
        <v/>
      </c>
      <c r="B327" s="45" t="n">
        <v>46060</v>
      </c>
      <c r="C327" s="46" t="n">
        <v>2011</v>
      </c>
      <c r="D327" s="46" t="inlineStr">
        <is>
          <t>المكتب</t>
        </is>
      </c>
      <c r="E327" s="46" t="inlineStr">
        <is>
          <t>2*20</t>
        </is>
      </c>
      <c r="F327" s="46" t="inlineStr">
        <is>
          <t xml:space="preserve">الدولية للفحم </t>
        </is>
      </c>
      <c r="G327" s="46" t="inlineStr">
        <is>
          <t xml:space="preserve">البرج </t>
        </is>
      </c>
      <c r="H327" s="46" t="inlineStr">
        <is>
          <t>734927/1-575799/1</t>
        </is>
      </c>
      <c r="I327" s="46" t="inlineStr">
        <is>
          <t>س ع م 8737</t>
        </is>
      </c>
      <c r="J327" s="46" t="inlineStr">
        <is>
          <t xml:space="preserve">محمود بكر </t>
        </is>
      </c>
      <c r="K327" s="46" t="inlineStr">
        <is>
          <t>المكتب</t>
        </is>
      </c>
      <c r="L327" s="47" t="n">
        <v>10000</v>
      </c>
      <c r="M327" s="47" t="n">
        <v>3000</v>
      </c>
      <c r="N327" s="47" t="n"/>
      <c r="O327" s="47" t="n"/>
      <c r="P327" s="47" t="n"/>
      <c r="Q327" s="47" t="n">
        <v>7000</v>
      </c>
      <c r="R327" s="43">
        <f>IF($B327="","",N($S327)-N($Q327))</f>
        <v/>
      </c>
      <c r="S327" s="43">
        <f>IF($B327="","",N($L327)+N($N327)+N($P327))</f>
        <v/>
      </c>
      <c r="T327" s="47" t="n">
        <v>1500</v>
      </c>
      <c r="U327" s="47" t="n"/>
      <c r="V327" s="47" t="n"/>
      <c r="W327" s="47" t="n">
        <v>200</v>
      </c>
      <c r="X327" s="47" t="n"/>
      <c r="Y327" s="47" t="n">
        <v>60</v>
      </c>
      <c r="Z327" s="47" t="n"/>
      <c r="AA327" s="47" t="n"/>
      <c r="AB327" s="47" t="n">
        <v>250</v>
      </c>
      <c r="AC327" s="47" t="n"/>
      <c r="AD327" s="47" t="n"/>
      <c r="AE327" s="47" t="n"/>
      <c r="AF327" s="43">
        <f>IF($B327="","",SUM($T327:$AE327))</f>
        <v/>
      </c>
      <c r="AG327" s="43">
        <f>IF($B327="","",N($M327)-N($AF327))</f>
        <v/>
      </c>
      <c r="AH327" s="43">
        <f>IF($B327="","",N($L327)-N($AF327))</f>
        <v/>
      </c>
      <c r="AI327" s="149">
        <f>IF($B327="","",IF(N($L327)=0,"",(N($L327)-N($AF327))/N($L327)))</f>
        <v/>
      </c>
    </row>
    <row r="328">
      <c r="A328" s="39">
        <f>IF($B328="","",COUNTA($B$4:$B328))</f>
        <v/>
      </c>
      <c r="B328" s="40" t="n">
        <v>46058</v>
      </c>
      <c r="C328" s="41" t="n">
        <v>1778</v>
      </c>
      <c r="D328" s="41" t="inlineStr">
        <is>
          <t>حاتم البحر  ق</t>
        </is>
      </c>
      <c r="E328" s="41" t="inlineStr">
        <is>
          <t>1*20</t>
        </is>
      </c>
      <c r="F328" s="41" t="inlineStr">
        <is>
          <t xml:space="preserve">المصرية </t>
        </is>
      </c>
      <c r="G328" s="41" t="inlineStr">
        <is>
          <t xml:space="preserve">اكتوبر </t>
        </is>
      </c>
      <c r="H328" s="41" t="inlineStr">
        <is>
          <t>103388/7</t>
        </is>
      </c>
      <c r="I328" s="41" t="inlineStr">
        <is>
          <t>ب س ا 2348</t>
        </is>
      </c>
      <c r="J328" s="41" t="inlineStr">
        <is>
          <t xml:space="preserve">احمد مصطفى </t>
        </is>
      </c>
      <c r="K328" s="41" t="inlineStr">
        <is>
          <t xml:space="preserve">رومانى </t>
        </is>
      </c>
      <c r="L328" s="42" t="n">
        <v>10000</v>
      </c>
      <c r="M328" s="42" t="n">
        <v>7100</v>
      </c>
      <c r="N328" s="42" t="n"/>
      <c r="O328" s="42" t="n">
        <v>200</v>
      </c>
      <c r="P328" s="42" t="n"/>
      <c r="Q328" s="42" t="n">
        <v>2700</v>
      </c>
      <c r="R328" s="43">
        <f>IF($B328="","",N($S328)-N($Q328))</f>
        <v/>
      </c>
      <c r="S328" s="43">
        <f>IF($B328="","",N($L328)+N($N328)+N($P328))</f>
        <v/>
      </c>
      <c r="T328" s="42" t="n"/>
      <c r="U328" s="42" t="n"/>
      <c r="V328" s="42" t="n"/>
      <c r="W328" s="42" t="n"/>
      <c r="X328" s="42" t="n"/>
      <c r="Y328" s="42" t="n"/>
      <c r="Z328" s="42" t="n"/>
      <c r="AA328" s="42" t="n"/>
      <c r="AB328" s="42" t="n"/>
      <c r="AC328" s="42" t="n"/>
      <c r="AD328" s="42" t="n"/>
      <c r="AE328" s="42" t="n"/>
      <c r="AF328" s="43">
        <f>IF($B328="","",SUM($T328:$AE328))</f>
        <v/>
      </c>
      <c r="AG328" s="43">
        <f>IF($B328="","",N($M328)-N($AF328))</f>
        <v/>
      </c>
      <c r="AH328" s="43">
        <f>IF($B328="","",N($L328)-N($AF328))</f>
        <v/>
      </c>
      <c r="AI328" s="149">
        <f>IF($B328="","",IF(N($L328)=0,"",(N($L328)-N($AF328))/N($L328)))</f>
        <v/>
      </c>
    </row>
    <row r="329">
      <c r="A329" s="39">
        <f>IF($B329="","",COUNTA($B$4:$B329))</f>
        <v/>
      </c>
      <c r="B329" s="45" t="n">
        <v>46058</v>
      </c>
      <c r="C329" s="46" t="n">
        <v>2017</v>
      </c>
      <c r="D329" s="46" t="inlineStr">
        <is>
          <t>صعيدى 2 خ</t>
        </is>
      </c>
      <c r="E329" s="46" t="inlineStr">
        <is>
          <t>1*40 ث</t>
        </is>
      </c>
      <c r="F329" s="46" t="inlineStr">
        <is>
          <t xml:space="preserve">الروضة </t>
        </is>
      </c>
      <c r="G329" s="46" t="inlineStr">
        <is>
          <t xml:space="preserve">النوبارية </t>
        </is>
      </c>
      <c r="H329" s="46" t="inlineStr">
        <is>
          <t>414655/3</t>
        </is>
      </c>
      <c r="I329" s="46" t="inlineStr">
        <is>
          <t>س ل ج 2521</t>
        </is>
      </c>
      <c r="J329" s="46" t="inlineStr">
        <is>
          <t xml:space="preserve">احمد القط </t>
        </is>
      </c>
      <c r="K329" s="46" t="inlineStr">
        <is>
          <t xml:space="preserve">محمد الصعيدى </t>
        </is>
      </c>
      <c r="L329" s="47" t="n">
        <v>11000</v>
      </c>
      <c r="M329" s="47" t="n">
        <v>5100</v>
      </c>
      <c r="N329" s="47" t="n"/>
      <c r="O329" s="47" t="n">
        <v>200</v>
      </c>
      <c r="P329" s="47" t="n"/>
      <c r="Q329" s="47" t="n">
        <v>5700</v>
      </c>
      <c r="R329" s="43">
        <f>IF($B329="","",N($S329)-N($Q329))</f>
        <v/>
      </c>
      <c r="S329" s="43">
        <f>IF($B329="","",N($L329)+N($N329)+N($P329))</f>
        <v/>
      </c>
      <c r="T329" s="47" t="n"/>
      <c r="U329" s="47" t="n"/>
      <c r="V329" s="47" t="n"/>
      <c r="W329" s="47" t="n"/>
      <c r="X329" s="47" t="n"/>
      <c r="Y329" s="47" t="n"/>
      <c r="Z329" s="47" t="n"/>
      <c r="AA329" s="47" t="n"/>
      <c r="AB329" s="47" t="n"/>
      <c r="AC329" s="47" t="n"/>
      <c r="AD329" s="47" t="n"/>
      <c r="AE329" s="47" t="n"/>
      <c r="AF329" s="43">
        <f>IF($B329="","",SUM($T329:$AE329))</f>
        <v/>
      </c>
      <c r="AG329" s="43">
        <f>IF($B329="","",N($M329)-N($AF329))</f>
        <v/>
      </c>
      <c r="AH329" s="43">
        <f>IF($B329="","",N($L329)-N($AF329))</f>
        <v/>
      </c>
      <c r="AI329" s="149">
        <f>IF($B329="","",IF(N($L329)=0,"",(N($L329)-N($AF329))/N($L329)))</f>
        <v/>
      </c>
    </row>
    <row r="330">
      <c r="A330" s="39">
        <f>IF($B330="","",COUNTA($B$4:$B330))</f>
        <v/>
      </c>
      <c r="B330" s="40" t="n">
        <v>46058</v>
      </c>
      <c r="C330" s="41" t="n">
        <v>2018</v>
      </c>
      <c r="D330" s="41" t="inlineStr">
        <is>
          <t xml:space="preserve">حمو مرزوق </t>
        </is>
      </c>
      <c r="E330" s="41" t="inlineStr">
        <is>
          <t>1*40 ث</t>
        </is>
      </c>
      <c r="F330" s="41" t="inlineStr">
        <is>
          <t xml:space="preserve">الروضة </t>
        </is>
      </c>
      <c r="G330" s="41" t="inlineStr">
        <is>
          <t xml:space="preserve">النوبارية </t>
        </is>
      </c>
      <c r="H330" s="41" t="inlineStr">
        <is>
          <t>434874/0</t>
        </is>
      </c>
      <c r="I330" s="41" t="inlineStr">
        <is>
          <t>ع ر ب 1573</t>
        </is>
      </c>
      <c r="J330" s="41" t="inlineStr">
        <is>
          <t xml:space="preserve">العوضى </t>
        </is>
      </c>
      <c r="K330" s="41" t="inlineStr">
        <is>
          <t xml:space="preserve">حمو مرزوق </t>
        </is>
      </c>
      <c r="L330" s="42" t="n">
        <v>11000</v>
      </c>
      <c r="M330" s="42" t="n">
        <v>7100</v>
      </c>
      <c r="N330" s="42" t="n"/>
      <c r="O330" s="42" t="n"/>
      <c r="P330" s="42" t="n"/>
      <c r="Q330" s="42" t="n">
        <v>3900</v>
      </c>
      <c r="R330" s="43">
        <f>IF($B330="","",N($S330)-N($Q330))</f>
        <v/>
      </c>
      <c r="S330" s="43">
        <f>IF($B330="","",N($L330)+N($N330)+N($P330))</f>
        <v/>
      </c>
      <c r="T330" s="42" t="n"/>
      <c r="U330" s="42" t="n"/>
      <c r="V330" s="42" t="n"/>
      <c r="W330" s="42" t="n"/>
      <c r="X330" s="42" t="n"/>
      <c r="Y330" s="42" t="n"/>
      <c r="Z330" s="42" t="n"/>
      <c r="AA330" s="42" t="n"/>
      <c r="AB330" s="42" t="n"/>
      <c r="AC330" s="42" t="n"/>
      <c r="AD330" s="42" t="n"/>
      <c r="AE330" s="42" t="n"/>
      <c r="AF330" s="43">
        <f>IF($B330="","",SUM($T330:$AE330))</f>
        <v/>
      </c>
      <c r="AG330" s="43">
        <f>IF($B330="","",N($M330)-N($AF330))</f>
        <v/>
      </c>
      <c r="AH330" s="43">
        <f>IF($B330="","",N($L330)-N($AF330))</f>
        <v/>
      </c>
      <c r="AI330" s="149">
        <f>IF($B330="","",IF(N($L330)=0,"",(N($L330)-N($AF330))/N($L330)))</f>
        <v/>
      </c>
    </row>
    <row r="331">
      <c r="A331" s="39">
        <f>IF($B331="","",COUNTA($B$4:$B331))</f>
        <v/>
      </c>
      <c r="B331" s="45" t="n">
        <v>46058</v>
      </c>
      <c r="C331" s="46" t="n">
        <v>2014</v>
      </c>
      <c r="D331" s="46" t="inlineStr">
        <is>
          <t>احمد عبدو خ</t>
        </is>
      </c>
      <c r="E331" s="46" t="inlineStr">
        <is>
          <t>1*40 ث</t>
        </is>
      </c>
      <c r="F331" s="46" t="inlineStr">
        <is>
          <t xml:space="preserve">الروضة </t>
        </is>
      </c>
      <c r="G331" s="46" t="inlineStr">
        <is>
          <t xml:space="preserve">النوبارية </t>
        </is>
      </c>
      <c r="H331" s="46" t="inlineStr">
        <is>
          <t>822068/0</t>
        </is>
      </c>
      <c r="I331" s="46" t="inlineStr">
        <is>
          <t>س ع ه 3237</t>
        </is>
      </c>
      <c r="J331" s="46" t="inlineStr">
        <is>
          <t xml:space="preserve">محمد صالح </t>
        </is>
      </c>
      <c r="K331" s="46" t="inlineStr">
        <is>
          <t>البيبى</t>
        </is>
      </c>
      <c r="L331" s="47" t="n">
        <v>11000</v>
      </c>
      <c r="M331" s="47" t="n">
        <v>7100</v>
      </c>
      <c r="N331" s="47" t="n"/>
      <c r="O331" s="47" t="n">
        <v>200</v>
      </c>
      <c r="P331" s="47" t="n"/>
      <c r="Q331" s="47" t="n">
        <v>3700</v>
      </c>
      <c r="R331" s="43">
        <f>IF($B331="","",N($S331)-N($Q331))</f>
        <v/>
      </c>
      <c r="S331" s="43">
        <f>IF($B331="","",N($L331)+N($N331)+N($P331))</f>
        <v/>
      </c>
      <c r="T331" s="47" t="n"/>
      <c r="U331" s="47" t="n"/>
      <c r="V331" s="47" t="n"/>
      <c r="W331" s="47" t="n"/>
      <c r="X331" s="47" t="n"/>
      <c r="Y331" s="47" t="n"/>
      <c r="Z331" s="47" t="n"/>
      <c r="AA331" s="47" t="n"/>
      <c r="AB331" s="47" t="n"/>
      <c r="AC331" s="47" t="n"/>
      <c r="AD331" s="47" t="n"/>
      <c r="AE331" s="47" t="n"/>
      <c r="AF331" s="43">
        <f>IF($B331="","",SUM($T331:$AE331))</f>
        <v/>
      </c>
      <c r="AG331" s="43">
        <f>IF($B331="","",N($M331)-N($AF331))</f>
        <v/>
      </c>
      <c r="AH331" s="43">
        <f>IF($B331="","",N($L331)-N($AF331))</f>
        <v/>
      </c>
      <c r="AI331" s="149">
        <f>IF($B331="","",IF(N($L331)=0,"",(N($L331)-N($AF331))/N($L331)))</f>
        <v/>
      </c>
    </row>
    <row r="332">
      <c r="A332" s="39">
        <f>IF($B332="","",COUNTA($B$4:$B332))</f>
        <v/>
      </c>
      <c r="B332" s="40" t="n">
        <v>46058</v>
      </c>
      <c r="C332" s="41" t="n">
        <v>2016</v>
      </c>
      <c r="D332" s="41" t="inlineStr">
        <is>
          <t>صعيدى 2 خ</t>
        </is>
      </c>
      <c r="E332" s="41" t="inlineStr">
        <is>
          <t>1*40 ث</t>
        </is>
      </c>
      <c r="F332" s="41" t="inlineStr">
        <is>
          <t xml:space="preserve">الروضة </t>
        </is>
      </c>
      <c r="G332" s="41" t="inlineStr">
        <is>
          <t xml:space="preserve">النوبارية </t>
        </is>
      </c>
      <c r="H332" s="41" t="inlineStr">
        <is>
          <t>406290/9</t>
        </is>
      </c>
      <c r="I332" s="41" t="inlineStr">
        <is>
          <t>س ه ف 1874</t>
        </is>
      </c>
      <c r="J332" s="41" t="inlineStr">
        <is>
          <t xml:space="preserve">هانى عزت </t>
        </is>
      </c>
      <c r="K332" s="41" t="inlineStr">
        <is>
          <t xml:space="preserve">محمد الصعيدى </t>
        </is>
      </c>
      <c r="L332" s="42" t="n">
        <v>11000</v>
      </c>
      <c r="M332" s="42" t="n">
        <v>5100</v>
      </c>
      <c r="N332" s="42" t="n"/>
      <c r="O332" s="42" t="n">
        <v>200</v>
      </c>
      <c r="P332" s="42" t="n"/>
      <c r="Q332" s="42" t="n">
        <v>5700</v>
      </c>
      <c r="R332" s="43">
        <f>IF($B332="","",N($S332)-N($Q332))</f>
        <v/>
      </c>
      <c r="S332" s="43">
        <f>IF($B332="","",N($L332)+N($N332)+N($P332))</f>
        <v/>
      </c>
      <c r="T332" s="42" t="n"/>
      <c r="U332" s="42" t="n"/>
      <c r="V332" s="42" t="n"/>
      <c r="W332" s="42" t="n"/>
      <c r="X332" s="42" t="n"/>
      <c r="Y332" s="42" t="n"/>
      <c r="Z332" s="42" t="n"/>
      <c r="AA332" s="42" t="n"/>
      <c r="AB332" s="42" t="n"/>
      <c r="AC332" s="42" t="n"/>
      <c r="AD332" s="42" t="n"/>
      <c r="AE332" s="42" t="n"/>
      <c r="AF332" s="43">
        <f>IF($B332="","",SUM($T332:$AE332))</f>
        <v/>
      </c>
      <c r="AG332" s="43">
        <f>IF($B332="","",N($M332)-N($AF332))</f>
        <v/>
      </c>
      <c r="AH332" s="43">
        <f>IF($B332="","",N($L332)-N($AF332))</f>
        <v/>
      </c>
      <c r="AI332" s="149">
        <f>IF($B332="","",IF(N($L332)=0,"",(N($L332)-N($AF332))/N($L332)))</f>
        <v/>
      </c>
    </row>
    <row r="333">
      <c r="A333" s="39">
        <f>IF($B333="","",COUNTA($B$4:$B333))</f>
        <v/>
      </c>
      <c r="B333" s="45" t="n">
        <v>46058</v>
      </c>
      <c r="C333" s="46" t="n">
        <v>2012</v>
      </c>
      <c r="D333" s="46" t="inlineStr">
        <is>
          <t>عتريس مخيمر  خ</t>
        </is>
      </c>
      <c r="E333" s="46" t="inlineStr">
        <is>
          <t>1*40 ث</t>
        </is>
      </c>
      <c r="F333" s="46" t="inlineStr">
        <is>
          <t xml:space="preserve">الروضة </t>
        </is>
      </c>
      <c r="G333" s="46" t="inlineStr">
        <is>
          <t xml:space="preserve">النوبارية </t>
        </is>
      </c>
      <c r="H333" s="46" t="inlineStr">
        <is>
          <t>340761/0</t>
        </is>
      </c>
      <c r="I333" s="46" t="inlineStr">
        <is>
          <t>ب ص ا 2574</t>
        </is>
      </c>
      <c r="J333" s="46" t="inlineStr">
        <is>
          <t xml:space="preserve">محمد البحيرى </t>
        </is>
      </c>
      <c r="K333" s="46" t="inlineStr">
        <is>
          <t xml:space="preserve">البحيرى </t>
        </is>
      </c>
      <c r="L333" s="47" t="n">
        <v>11000</v>
      </c>
      <c r="M333" s="47" t="n">
        <v>7100</v>
      </c>
      <c r="N333" s="47" t="n"/>
      <c r="O333" s="47" t="n">
        <v>200</v>
      </c>
      <c r="P333" s="47" t="n"/>
      <c r="Q333" s="47" t="n">
        <v>3700</v>
      </c>
      <c r="R333" s="43">
        <f>IF($B333="","",N($S333)-N($Q333))</f>
        <v/>
      </c>
      <c r="S333" s="43">
        <f>IF($B333="","",N($L333)+N($N333)+N($P333))</f>
        <v/>
      </c>
      <c r="T333" s="47" t="n"/>
      <c r="U333" s="47" t="n"/>
      <c r="V333" s="47" t="n"/>
      <c r="W333" s="47" t="n"/>
      <c r="X333" s="47" t="n"/>
      <c r="Y333" s="47" t="n"/>
      <c r="Z333" s="47" t="n"/>
      <c r="AA333" s="47" t="n"/>
      <c r="AB333" s="47" t="n"/>
      <c r="AC333" s="47" t="n"/>
      <c r="AD333" s="47" t="n"/>
      <c r="AE333" s="47" t="n"/>
      <c r="AF333" s="43">
        <f>IF($B333="","",SUM($T333:$AE333))</f>
        <v/>
      </c>
      <c r="AG333" s="43">
        <f>IF($B333="","",N($M333)-N($AF333))</f>
        <v/>
      </c>
      <c r="AH333" s="43">
        <f>IF($B333="","",N($L333)-N($AF333))</f>
        <v/>
      </c>
      <c r="AI333" s="149">
        <f>IF($B333="","",IF(N($L333)=0,"",(N($L333)-N($AF333))/N($L333)))</f>
        <v/>
      </c>
    </row>
    <row r="334">
      <c r="A334" s="39">
        <f>IF($B334="","",COUNTA($B$4:$B334))</f>
        <v/>
      </c>
      <c r="B334" s="40" t="n">
        <v>46058</v>
      </c>
      <c r="C334" s="41" t="n">
        <v>2013</v>
      </c>
      <c r="D334" s="41" t="inlineStr">
        <is>
          <t>عتريس مخيمر  خ</t>
        </is>
      </c>
      <c r="E334" s="41" t="inlineStr">
        <is>
          <t>1*40 ث</t>
        </is>
      </c>
      <c r="F334" s="41" t="inlineStr">
        <is>
          <t xml:space="preserve">الروضة </t>
        </is>
      </c>
      <c r="G334" s="41" t="inlineStr">
        <is>
          <t xml:space="preserve">النوبارية </t>
        </is>
      </c>
      <c r="H334" s="41" t="inlineStr">
        <is>
          <t>067229/3</t>
        </is>
      </c>
      <c r="I334" s="41" t="inlineStr">
        <is>
          <t>ط ق ر 1474</t>
        </is>
      </c>
      <c r="J334" s="41" t="inlineStr">
        <is>
          <t xml:space="preserve">جمال على </t>
        </is>
      </c>
      <c r="K334" s="41" t="inlineStr">
        <is>
          <t xml:space="preserve">كريم خليف </t>
        </is>
      </c>
      <c r="L334" s="42" t="n">
        <v>11000</v>
      </c>
      <c r="M334" s="42" t="n">
        <v>7100</v>
      </c>
      <c r="N334" s="42" t="n"/>
      <c r="O334" s="42" t="n">
        <v>200</v>
      </c>
      <c r="P334" s="42" t="n"/>
      <c r="Q334" s="42" t="n">
        <v>3700</v>
      </c>
      <c r="R334" s="43">
        <f>IF($B334="","",N($S334)-N($Q334))</f>
        <v/>
      </c>
      <c r="S334" s="43">
        <f>IF($B334="","",N($L334)+N($N334)+N($P334))</f>
        <v/>
      </c>
      <c r="T334" s="42" t="n"/>
      <c r="U334" s="42" t="n"/>
      <c r="V334" s="42" t="n"/>
      <c r="W334" s="42" t="n"/>
      <c r="X334" s="42" t="n"/>
      <c r="Y334" s="42" t="n"/>
      <c r="Z334" s="42" t="n"/>
      <c r="AA334" s="42" t="n"/>
      <c r="AB334" s="42" t="n"/>
      <c r="AC334" s="42" t="n"/>
      <c r="AD334" s="42" t="n"/>
      <c r="AE334" s="42" t="n"/>
      <c r="AF334" s="43">
        <f>IF($B334="","",SUM($T334:$AE334))</f>
        <v/>
      </c>
      <c r="AG334" s="43">
        <f>IF($B334="","",N($M334)-N($AF334))</f>
        <v/>
      </c>
      <c r="AH334" s="43">
        <f>IF($B334="","",N($L334)-N($AF334))</f>
        <v/>
      </c>
      <c r="AI334" s="149">
        <f>IF($B334="","",IF(N($L334)=0,"",(N($L334)-N($AF334))/N($L334)))</f>
        <v/>
      </c>
    </row>
    <row r="335">
      <c r="A335" s="39">
        <f>IF($B335="","",COUNTA($B$4:$B335))</f>
        <v/>
      </c>
      <c r="B335" s="45" t="n">
        <v>46058</v>
      </c>
      <c r="C335" s="46" t="n">
        <v>1942</v>
      </c>
      <c r="D335" s="46" t="inlineStr">
        <is>
          <t>المكتب</t>
        </is>
      </c>
      <c r="E335" s="46" t="inlineStr">
        <is>
          <t>1*40</t>
        </is>
      </c>
      <c r="F335" s="46" t="inlineStr">
        <is>
          <t>l g</t>
        </is>
      </c>
      <c r="G335" s="46" t="inlineStr">
        <is>
          <t xml:space="preserve">حلوان </t>
        </is>
      </c>
      <c r="H335" s="46" t="inlineStr">
        <is>
          <t>804571/7</t>
        </is>
      </c>
      <c r="I335" s="46" t="inlineStr">
        <is>
          <t>س ع م 8737</t>
        </is>
      </c>
      <c r="J335" s="46" t="inlineStr">
        <is>
          <t xml:space="preserve">محمود بكر </t>
        </is>
      </c>
      <c r="K335" s="46" t="inlineStr">
        <is>
          <t>المكتب</t>
        </is>
      </c>
      <c r="L335" s="47" t="n">
        <v>14000</v>
      </c>
      <c r="M335" s="47" t="n">
        <v>7000</v>
      </c>
      <c r="N335" s="47" t="n"/>
      <c r="O335" s="47" t="n"/>
      <c r="P335" s="47" t="n"/>
      <c r="Q335" s="47" t="n">
        <v>7000</v>
      </c>
      <c r="R335" s="43">
        <f>IF($B335="","",N($S335)-N($Q335))</f>
        <v/>
      </c>
      <c r="S335" s="43">
        <f>IF($B335="","",N($L335)+N($N335)+N($P335))</f>
        <v/>
      </c>
      <c r="T335" s="47" t="n">
        <v>1500</v>
      </c>
      <c r="U335" s="47" t="n">
        <v>600</v>
      </c>
      <c r="V335" s="47" t="n">
        <v>50</v>
      </c>
      <c r="W335" s="47" t="n">
        <v>150</v>
      </c>
      <c r="X335" s="47" t="n">
        <v>95</v>
      </c>
      <c r="Y335" s="47" t="n">
        <v>60</v>
      </c>
      <c r="Z335" s="47" t="n"/>
      <c r="AA335" s="47" t="n"/>
      <c r="AB335" s="47" t="n"/>
      <c r="AC335" s="47" t="n">
        <v>150</v>
      </c>
      <c r="AD335" s="47" t="n"/>
      <c r="AE335" s="47" t="n">
        <v>4600</v>
      </c>
      <c r="AF335" s="43">
        <f>IF($B335="","",SUM($T335:$AE335))</f>
        <v/>
      </c>
      <c r="AG335" s="43">
        <f>IF($B335="","",N($M335)-N($AF335))</f>
        <v/>
      </c>
      <c r="AH335" s="43">
        <f>IF($B335="","",N($L335)-N($AF335))</f>
        <v/>
      </c>
      <c r="AI335" s="149">
        <f>IF($B335="","",IF(N($L335)=0,"",(N($L335)-N($AF335))/N($L335)))</f>
        <v/>
      </c>
    </row>
    <row r="336">
      <c r="A336" s="39">
        <f>IF($B336="","",COUNTA($B$4:$B336))</f>
        <v/>
      </c>
      <c r="B336" s="40" t="n">
        <v>46060</v>
      </c>
      <c r="C336" s="41" t="n">
        <v>2020</v>
      </c>
      <c r="D336" s="41" t="inlineStr">
        <is>
          <t>كمال رزق خ</t>
        </is>
      </c>
      <c r="E336" s="41" t="inlineStr">
        <is>
          <t>1*20</t>
        </is>
      </c>
      <c r="F336" s="41" t="inlineStr">
        <is>
          <t xml:space="preserve">ريجينا </t>
        </is>
      </c>
      <c r="G336" s="41" t="inlineStr">
        <is>
          <t xml:space="preserve">السادات </t>
        </is>
      </c>
      <c r="H336" s="41" t="inlineStr">
        <is>
          <t>054470/8</t>
        </is>
      </c>
      <c r="I336" s="41" t="inlineStr">
        <is>
          <t>س ن ر 8979</t>
        </is>
      </c>
      <c r="J336" s="41" t="inlineStr">
        <is>
          <t xml:space="preserve">عماد سعيد </t>
        </is>
      </c>
      <c r="K336" s="41" t="inlineStr">
        <is>
          <t xml:space="preserve">عماد سعيد </t>
        </is>
      </c>
      <c r="L336" s="42" t="n">
        <v>11700</v>
      </c>
      <c r="M336" s="42" t="n">
        <v>7100</v>
      </c>
      <c r="N336" s="42" t="n"/>
      <c r="O336" s="42" t="n">
        <v>200</v>
      </c>
      <c r="P336" s="42" t="n"/>
      <c r="Q336" s="42" t="n">
        <v>4400</v>
      </c>
      <c r="R336" s="43">
        <f>IF($B336="","",N($S336)-N($Q336))</f>
        <v/>
      </c>
      <c r="S336" s="43">
        <f>IF($B336="","",N($L336)+N($N336)+N($P336))</f>
        <v/>
      </c>
      <c r="T336" s="42" t="n"/>
      <c r="U336" s="42" t="n"/>
      <c r="V336" s="42" t="n"/>
      <c r="W336" s="42" t="n"/>
      <c r="X336" s="42" t="n"/>
      <c r="Y336" s="42" t="n"/>
      <c r="Z336" s="42" t="n"/>
      <c r="AA336" s="42" t="n"/>
      <c r="AB336" s="42" t="n"/>
      <c r="AC336" s="42" t="n"/>
      <c r="AD336" s="42" t="n"/>
      <c r="AE336" s="42" t="n"/>
      <c r="AF336" s="43">
        <f>IF($B336="","",SUM($T336:$AE336))</f>
        <v/>
      </c>
      <c r="AG336" s="43">
        <f>IF($B336="","",N($M336)-N($AF336))</f>
        <v/>
      </c>
      <c r="AH336" s="43">
        <f>IF($B336="","",N($L336)-N($AF336))</f>
        <v/>
      </c>
      <c r="AI336" s="149">
        <f>IF($B336="","",IF(N($L336)=0,"",(N($L336)-N($AF336))/N($L336)))</f>
        <v/>
      </c>
    </row>
    <row r="337">
      <c r="A337" s="39">
        <f>IF($B337="","",COUNTA($B$4:$B337))</f>
        <v/>
      </c>
      <c r="B337" s="45" t="n">
        <v>46060</v>
      </c>
      <c r="C337" s="46" t="n">
        <v>2021</v>
      </c>
      <c r="D337" s="46" t="inlineStr">
        <is>
          <t>المكتب</t>
        </is>
      </c>
      <c r="E337" s="46" t="inlineStr">
        <is>
          <t>2*20</t>
        </is>
      </c>
      <c r="F337" s="46" t="inlineStr">
        <is>
          <t xml:space="preserve">ريجينا </t>
        </is>
      </c>
      <c r="G337" s="46" t="inlineStr">
        <is>
          <t xml:space="preserve">السادات </t>
        </is>
      </c>
      <c r="H337" s="46" t="inlineStr">
        <is>
          <t>081442/3</t>
        </is>
      </c>
      <c r="I337" s="46" t="inlineStr">
        <is>
          <t>س ع م 8737</t>
        </is>
      </c>
      <c r="J337" s="46" t="inlineStr">
        <is>
          <t xml:space="preserve">محمود بكر </t>
        </is>
      </c>
      <c r="K337" s="46" t="inlineStr">
        <is>
          <t>المكتب</t>
        </is>
      </c>
      <c r="L337" s="47" t="n">
        <v>15500</v>
      </c>
      <c r="M337" s="47" t="n">
        <v>7000</v>
      </c>
      <c r="N337" s="47" t="n"/>
      <c r="O337" s="47" t="n"/>
      <c r="P337" s="47" t="n"/>
      <c r="Q337" s="47" t="n">
        <v>8500</v>
      </c>
      <c r="R337" s="43">
        <f>IF($B337="","",N($S337)-N($Q337))</f>
        <v/>
      </c>
      <c r="S337" s="43">
        <f>IF($B337="","",N($L337)+N($N337)+N($P337))</f>
        <v/>
      </c>
      <c r="T337" s="47" t="n">
        <v>1600</v>
      </c>
      <c r="U337" s="47" t="n">
        <v>650</v>
      </c>
      <c r="V337" s="47" t="n"/>
      <c r="W337" s="47" t="n">
        <v>200</v>
      </c>
      <c r="X337" s="47" t="n">
        <v>60</v>
      </c>
      <c r="Y337" s="47" t="n">
        <v>60</v>
      </c>
      <c r="Z337" s="47" t="n"/>
      <c r="AA337" s="47" t="n"/>
      <c r="AB337" s="47" t="n"/>
      <c r="AC337" s="47" t="n"/>
      <c r="AD337" s="47" t="n"/>
      <c r="AE337" s="47" t="n">
        <v>2490</v>
      </c>
      <c r="AF337" s="43">
        <f>IF($B337="","",SUM($T337:$AE337))</f>
        <v/>
      </c>
      <c r="AG337" s="43">
        <f>IF($B337="","",N($M337)-N($AF337))</f>
        <v/>
      </c>
      <c r="AH337" s="43">
        <f>IF($B337="","",N($L337)-N($AF337))</f>
        <v/>
      </c>
      <c r="AI337" s="149">
        <f>IF($B337="","",IF(N($L337)=0,"",(N($L337)-N($AF337))/N($L337)))</f>
        <v/>
      </c>
    </row>
    <row r="338">
      <c r="A338" s="39">
        <f>IF($B338="","",COUNTA($B$4:$B338))</f>
        <v/>
      </c>
      <c r="B338" s="40" t="n">
        <v>46060</v>
      </c>
      <c r="C338" s="41" t="n">
        <v>1945</v>
      </c>
      <c r="D338" s="41" t="inlineStr">
        <is>
          <t>الانصارى خ</t>
        </is>
      </c>
      <c r="E338" s="41" t="inlineStr">
        <is>
          <t>1*40</t>
        </is>
      </c>
      <c r="F338" s="41" t="inlineStr">
        <is>
          <t xml:space="preserve">برتاية </t>
        </is>
      </c>
      <c r="G338" s="41" t="inlineStr">
        <is>
          <t xml:space="preserve">العاشر </t>
        </is>
      </c>
      <c r="H338" s="41" t="inlineStr">
        <is>
          <t>596397/3</t>
        </is>
      </c>
      <c r="I338" s="41" t="inlineStr">
        <is>
          <t>ط ق ر 1474</t>
        </is>
      </c>
      <c r="J338" s="41" t="inlineStr">
        <is>
          <t xml:space="preserve">جمال على </t>
        </is>
      </c>
      <c r="K338" s="41" t="inlineStr">
        <is>
          <t xml:space="preserve">كريم خليف </t>
        </is>
      </c>
      <c r="L338" s="42" t="n">
        <v>14500</v>
      </c>
      <c r="M338" s="42" t="n">
        <v>8100</v>
      </c>
      <c r="N338" s="42" t="n"/>
      <c r="O338" s="42" t="n">
        <v>200</v>
      </c>
      <c r="P338" s="42" t="n"/>
      <c r="Q338" s="42" t="n">
        <v>6200</v>
      </c>
      <c r="R338" s="43">
        <f>IF($B338="","",N($S338)-N($Q338))</f>
        <v/>
      </c>
      <c r="S338" s="43">
        <f>IF($B338="","",N($L338)+N($N338)+N($P338))</f>
        <v/>
      </c>
      <c r="T338" s="42" t="n"/>
      <c r="U338" s="42" t="n"/>
      <c r="V338" s="42" t="n"/>
      <c r="W338" s="42" t="n"/>
      <c r="X338" s="42" t="n"/>
      <c r="Y338" s="42" t="n"/>
      <c r="Z338" s="42" t="n"/>
      <c r="AA338" s="42" t="n"/>
      <c r="AB338" s="42" t="n"/>
      <c r="AC338" s="42" t="n"/>
      <c r="AD338" s="42" t="n"/>
      <c r="AE338" s="42" t="n"/>
      <c r="AF338" s="43">
        <f>IF($B338="","",SUM($T338:$AE338))</f>
        <v/>
      </c>
      <c r="AG338" s="43">
        <f>IF($B338="","",N($M338)-N($AF338))</f>
        <v/>
      </c>
      <c r="AH338" s="43">
        <f>IF($B338="","",N($L338)-N($AF338))</f>
        <v/>
      </c>
      <c r="AI338" s="149">
        <f>IF($B338="","",IF(N($L338)=0,"",(N($L338)-N($AF338))/N($L338)))</f>
        <v/>
      </c>
    </row>
    <row r="339">
      <c r="A339" s="39">
        <f>IF($B339="","",COUNTA($B$4:$B339))</f>
        <v/>
      </c>
      <c r="B339" s="45" t="n">
        <v>46060</v>
      </c>
      <c r="C339" s="46" t="n">
        <v>1944</v>
      </c>
      <c r="D339" s="46" t="inlineStr">
        <is>
          <t>عتريس مخيمر  خ</t>
        </is>
      </c>
      <c r="E339" s="46" t="inlineStr">
        <is>
          <t>1*40</t>
        </is>
      </c>
      <c r="F339" s="46" t="inlineStr">
        <is>
          <t xml:space="preserve">برتاية </t>
        </is>
      </c>
      <c r="G339" s="46" t="inlineStr">
        <is>
          <t>العاشر</t>
        </is>
      </c>
      <c r="H339" s="46" t="inlineStr">
        <is>
          <t>524209/5</t>
        </is>
      </c>
      <c r="I339" s="46" t="inlineStr">
        <is>
          <t>ب ص ا 2574</t>
        </is>
      </c>
      <c r="J339" s="46" t="inlineStr">
        <is>
          <t xml:space="preserve">محمد البحيرى </t>
        </is>
      </c>
      <c r="K339" s="46" t="inlineStr">
        <is>
          <t xml:space="preserve">احمد خليف </t>
        </is>
      </c>
      <c r="L339" s="47" t="n">
        <v>14500</v>
      </c>
      <c r="M339" s="47" t="n">
        <v>8100</v>
      </c>
      <c r="N339" s="47" t="n"/>
      <c r="O339" s="47" t="n">
        <v>200</v>
      </c>
      <c r="P339" s="47" t="n"/>
      <c r="Q339" s="47" t="n">
        <v>6200</v>
      </c>
      <c r="R339" s="43">
        <f>IF($B339="","",N($S339)-N($Q339))</f>
        <v/>
      </c>
      <c r="S339" s="43">
        <f>IF($B339="","",N($L339)+N($N339)+N($P339))</f>
        <v/>
      </c>
      <c r="T339" s="47" t="n"/>
      <c r="U339" s="47" t="n"/>
      <c r="V339" s="47" t="n"/>
      <c r="W339" s="47" t="n"/>
      <c r="X339" s="47" t="n"/>
      <c r="Y339" s="47" t="n"/>
      <c r="Z339" s="47" t="n"/>
      <c r="AA339" s="47" t="n"/>
      <c r="AB339" s="47" t="n"/>
      <c r="AC339" s="47" t="n"/>
      <c r="AD339" s="47" t="n"/>
      <c r="AE339" s="47" t="n"/>
      <c r="AF339" s="43">
        <f>IF($B339="","",SUM($T339:$AE339))</f>
        <v/>
      </c>
      <c r="AG339" s="43">
        <f>IF($B339="","",N($M339)-N($AF339))</f>
        <v/>
      </c>
      <c r="AH339" s="43">
        <f>IF($B339="","",N($L339)-N($AF339))</f>
        <v/>
      </c>
      <c r="AI339" s="149">
        <f>IF($B339="","",IF(N($L339)=0,"",(N($L339)-N($AF339))/N($L339)))</f>
        <v/>
      </c>
    </row>
    <row r="340">
      <c r="A340" s="39">
        <f>IF($B340="","",COUNTA($B$4:$B340))</f>
        <v/>
      </c>
      <c r="B340" s="40" t="n">
        <v>46060</v>
      </c>
      <c r="C340" s="41" t="n">
        <v>2022</v>
      </c>
      <c r="D340" s="41" t="inlineStr">
        <is>
          <t xml:space="preserve">حمو مرزوق </t>
        </is>
      </c>
      <c r="E340" s="41" t="inlineStr">
        <is>
          <t>1*40</t>
        </is>
      </c>
      <c r="F340" s="41" t="inlineStr">
        <is>
          <t xml:space="preserve">ايجل واى </t>
        </is>
      </c>
      <c r="G340" s="41" t="inlineStr">
        <is>
          <t xml:space="preserve">السادات </t>
        </is>
      </c>
      <c r="H340" s="41" t="inlineStr">
        <is>
          <t>447237/8</t>
        </is>
      </c>
      <c r="I340" s="41" t="inlineStr">
        <is>
          <t>س ر ا 6671</t>
        </is>
      </c>
      <c r="J340" s="41" t="inlineStr">
        <is>
          <t xml:space="preserve">السيد بدوى </t>
        </is>
      </c>
      <c r="K340" s="41" t="inlineStr">
        <is>
          <t xml:space="preserve">حمو مرزوق </t>
        </is>
      </c>
      <c r="L340" s="42" t="n">
        <v>11700</v>
      </c>
      <c r="M340" s="42" t="n">
        <v>7100</v>
      </c>
      <c r="N340" s="42" t="n"/>
      <c r="O340" s="42" t="n"/>
      <c r="P340" s="42" t="n"/>
      <c r="Q340" s="42" t="n">
        <v>4600</v>
      </c>
      <c r="R340" s="43">
        <f>IF($B340="","",N($S340)-N($Q340))</f>
        <v/>
      </c>
      <c r="S340" s="43">
        <f>IF($B340="","",N($L340)+N($N340)+N($P340))</f>
        <v/>
      </c>
      <c r="T340" s="42" t="n"/>
      <c r="U340" s="42" t="n"/>
      <c r="V340" s="42" t="n"/>
      <c r="W340" s="42" t="n"/>
      <c r="X340" s="42" t="n"/>
      <c r="Y340" s="42" t="n"/>
      <c r="Z340" s="42" t="n"/>
      <c r="AA340" s="42" t="n"/>
      <c r="AB340" s="42" t="n"/>
      <c r="AC340" s="42" t="n"/>
      <c r="AD340" s="42" t="n"/>
      <c r="AE340" s="42" t="n"/>
      <c r="AF340" s="43">
        <f>IF($B340="","",SUM($T340:$AE340))</f>
        <v/>
      </c>
      <c r="AG340" s="43">
        <f>IF($B340="","",N($M340)-N($AF340))</f>
        <v/>
      </c>
      <c r="AH340" s="43">
        <f>IF($B340="","",N($L340)-N($AF340))</f>
        <v/>
      </c>
      <c r="AI340" s="149">
        <f>IF($B340="","",IF(N($L340)=0,"",(N($L340)-N($AF340))/N($L340)))</f>
        <v/>
      </c>
    </row>
    <row r="341">
      <c r="A341" s="39">
        <f>IF($B341="","",COUNTA($B$4:$B341))</f>
        <v/>
      </c>
      <c r="B341" s="45" t="n">
        <v>46060</v>
      </c>
      <c r="C341" s="46" t="n">
        <v>1943</v>
      </c>
      <c r="D341" s="46" t="inlineStr">
        <is>
          <t>احمد عبدو خ</t>
        </is>
      </c>
      <c r="E341" s="46" t="inlineStr">
        <is>
          <t>1*40</t>
        </is>
      </c>
      <c r="F341" s="46" t="inlineStr">
        <is>
          <t xml:space="preserve">ايزو مصر </t>
        </is>
      </c>
      <c r="G341" s="46" t="inlineStr">
        <is>
          <t xml:space="preserve">قويسنا </t>
        </is>
      </c>
      <c r="H341" s="46" t="inlineStr">
        <is>
          <t>880768/0</t>
        </is>
      </c>
      <c r="I341" s="46" t="inlineStr">
        <is>
          <t>س ا ل 8198</t>
        </is>
      </c>
      <c r="J341" s="46" t="inlineStr">
        <is>
          <t xml:space="preserve">محمد ابراهيم </t>
        </is>
      </c>
      <c r="K341" s="46" t="inlineStr">
        <is>
          <t xml:space="preserve">علاء علام </t>
        </is>
      </c>
      <c r="L341" s="47" t="n">
        <v>11700</v>
      </c>
      <c r="M341" s="47" t="n">
        <v>7100</v>
      </c>
      <c r="N341" s="47" t="n"/>
      <c r="O341" s="47" t="n">
        <v>200</v>
      </c>
      <c r="P341" s="47" t="n"/>
      <c r="Q341" s="47" t="n">
        <v>4400</v>
      </c>
      <c r="R341" s="43">
        <f>IF($B341="","",N($S341)-N($Q341))</f>
        <v/>
      </c>
      <c r="S341" s="43">
        <f>IF($B341="","",N($L341)+N($N341)+N($P341))</f>
        <v/>
      </c>
      <c r="T341" s="47" t="n"/>
      <c r="U341" s="47" t="n"/>
      <c r="V341" s="47" t="n"/>
      <c r="W341" s="47" t="n"/>
      <c r="X341" s="47" t="n"/>
      <c r="Y341" s="47" t="n"/>
      <c r="Z341" s="47" t="n"/>
      <c r="AA341" s="47" t="n"/>
      <c r="AB341" s="47" t="n"/>
      <c r="AC341" s="47" t="n"/>
      <c r="AD341" s="47" t="n"/>
      <c r="AE341" s="47" t="n"/>
      <c r="AF341" s="43">
        <f>IF($B341="","",SUM($T341:$AE341))</f>
        <v/>
      </c>
      <c r="AG341" s="43">
        <f>IF($B341="","",N($M341)-N($AF341))</f>
        <v/>
      </c>
      <c r="AH341" s="43">
        <f>IF($B341="","",N($L341)-N($AF341))</f>
        <v/>
      </c>
      <c r="AI341" s="149">
        <f>IF($B341="","",IF(N($L341)=0,"",(N($L341)-N($AF341))/N($L341)))</f>
        <v/>
      </c>
    </row>
    <row r="342">
      <c r="A342" s="39">
        <f>IF($B342="","",COUNTA($B$4:$B342))</f>
        <v/>
      </c>
      <c r="B342" s="40" t="n">
        <v>46061</v>
      </c>
      <c r="C342" s="41" t="n">
        <v>1788</v>
      </c>
      <c r="D342" s="41" t="inlineStr">
        <is>
          <t>صعيدى 2 خ</t>
        </is>
      </c>
      <c r="E342" s="41" t="inlineStr">
        <is>
          <t>2*20</t>
        </is>
      </c>
      <c r="F342" s="41" t="inlineStr">
        <is>
          <t xml:space="preserve">لوجيا </t>
        </is>
      </c>
      <c r="G342" s="41" t="inlineStr">
        <is>
          <t>الصف</t>
        </is>
      </c>
      <c r="H342" s="41" t="inlineStr">
        <is>
          <t>226713/2-380381/9</t>
        </is>
      </c>
      <c r="I342" s="41" t="inlineStr">
        <is>
          <t>س ق ب 3176</t>
        </is>
      </c>
      <c r="J342" s="41" t="inlineStr">
        <is>
          <t>سيد عبد العزيز</t>
        </is>
      </c>
      <c r="K342" s="41" t="inlineStr">
        <is>
          <t xml:space="preserve">محمد الصعيدى </t>
        </is>
      </c>
      <c r="L342" s="42" t="n">
        <v>24000</v>
      </c>
      <c r="M342" s="42" t="n">
        <v>11100</v>
      </c>
      <c r="N342" s="42" t="n"/>
      <c r="O342" s="42" t="n">
        <v>200</v>
      </c>
      <c r="P342" s="42" t="n"/>
      <c r="Q342" s="42" t="n">
        <v>12700</v>
      </c>
      <c r="R342" s="43">
        <f>IF($B342="","",N($S342)-N($Q342))</f>
        <v/>
      </c>
      <c r="S342" s="43">
        <f>IF($B342="","",N($L342)+N($N342)+N($P342))</f>
        <v/>
      </c>
      <c r="T342" s="42" t="n"/>
      <c r="U342" s="42" t="n"/>
      <c r="V342" s="42" t="n"/>
      <c r="W342" s="42" t="n"/>
      <c r="X342" s="42" t="n"/>
      <c r="Y342" s="42" t="n"/>
      <c r="Z342" s="42" t="n"/>
      <c r="AA342" s="42" t="n"/>
      <c r="AB342" s="42" t="n"/>
      <c r="AC342" s="42" t="n"/>
      <c r="AD342" s="42" t="n"/>
      <c r="AE342" s="42" t="n"/>
      <c r="AF342" s="43">
        <f>IF($B342="","",SUM($T342:$AE342))</f>
        <v/>
      </c>
      <c r="AG342" s="43">
        <f>IF($B342="","",N($M342)-N($AF342))</f>
        <v/>
      </c>
      <c r="AH342" s="43">
        <f>IF($B342="","",N($L342)-N($AF342))</f>
        <v/>
      </c>
      <c r="AI342" s="149">
        <f>IF($B342="","",IF(N($L342)=0,"",(N($L342)-N($AF342))/N($L342)))</f>
        <v/>
      </c>
    </row>
    <row r="343">
      <c r="A343" s="39">
        <f>IF($B343="","",COUNTA($B$4:$B343))</f>
        <v/>
      </c>
      <c r="B343" s="45" t="n">
        <v>46061</v>
      </c>
      <c r="C343" s="46" t="n">
        <v>1780</v>
      </c>
      <c r="D343" s="46" t="inlineStr">
        <is>
          <t>الشريف خ</t>
        </is>
      </c>
      <c r="E343" s="46" t="inlineStr">
        <is>
          <t>2*20</t>
        </is>
      </c>
      <c r="F343" s="46" t="inlineStr">
        <is>
          <t xml:space="preserve">لوجيا </t>
        </is>
      </c>
      <c r="G343" s="46" t="inlineStr">
        <is>
          <t>الصف</t>
        </is>
      </c>
      <c r="H343" s="46" t="inlineStr">
        <is>
          <t>211303/9-080197/7</t>
        </is>
      </c>
      <c r="I343" s="46" t="inlineStr">
        <is>
          <t>ب ر ط 1726</t>
        </is>
      </c>
      <c r="J343" s="46" t="inlineStr">
        <is>
          <t xml:space="preserve">ابراهيم مبروك </t>
        </is>
      </c>
      <c r="K343" s="46" t="inlineStr">
        <is>
          <t xml:space="preserve">عبدة الميت </t>
        </is>
      </c>
      <c r="L343" s="47" t="n">
        <v>24000</v>
      </c>
      <c r="M343" s="47" t="n">
        <v>12100</v>
      </c>
      <c r="N343" s="47" t="n"/>
      <c r="O343" s="47" t="n">
        <v>200</v>
      </c>
      <c r="P343" s="47" t="n"/>
      <c r="Q343" s="47" t="n">
        <v>11700</v>
      </c>
      <c r="R343" s="43">
        <f>IF($B343="","",N($S343)-N($Q343))</f>
        <v/>
      </c>
      <c r="S343" s="43">
        <f>IF($B343="","",N($L343)+N($N343)+N($P343))</f>
        <v/>
      </c>
      <c r="T343" s="47" t="n"/>
      <c r="U343" s="47" t="n"/>
      <c r="V343" s="47" t="n"/>
      <c r="W343" s="47" t="n"/>
      <c r="X343" s="47" t="n"/>
      <c r="Y343" s="47" t="n"/>
      <c r="Z343" s="47" t="n"/>
      <c r="AA343" s="47" t="n"/>
      <c r="AB343" s="47" t="n"/>
      <c r="AC343" s="47" t="n"/>
      <c r="AD343" s="47" t="n"/>
      <c r="AE343" s="47" t="n"/>
      <c r="AF343" s="43">
        <f>IF($B343="","",SUM($T343:$AE343))</f>
        <v/>
      </c>
      <c r="AG343" s="43">
        <f>IF($B343="","",N($M343)-N($AF343))</f>
        <v/>
      </c>
      <c r="AH343" s="43">
        <f>IF($B343="","",N($L343)-N($AF343))</f>
        <v/>
      </c>
      <c r="AI343" s="149">
        <f>IF($B343="","",IF(N($L343)=0,"",(N($L343)-N($AF343))/N($L343)))</f>
        <v/>
      </c>
    </row>
    <row r="344">
      <c r="A344" s="39">
        <f>IF($B344="","",COUNTA($B$4:$B344))</f>
        <v/>
      </c>
      <c r="B344" s="40" t="n">
        <v>46061</v>
      </c>
      <c r="C344" s="41" t="n">
        <v>1781</v>
      </c>
      <c r="D344" s="41" t="inlineStr">
        <is>
          <t>اسلام محروس</t>
        </is>
      </c>
      <c r="E344" s="41" t="inlineStr">
        <is>
          <t>2*20</t>
        </is>
      </c>
      <c r="F344" s="41" t="inlineStr">
        <is>
          <t xml:space="preserve">لوجيا </t>
        </is>
      </c>
      <c r="G344" s="41" t="inlineStr">
        <is>
          <t>الصف</t>
        </is>
      </c>
      <c r="H344" s="41" t="inlineStr">
        <is>
          <t>267896/7-242086/1</t>
        </is>
      </c>
      <c r="I344" s="41" t="inlineStr">
        <is>
          <t>ب د ف 3891</t>
        </is>
      </c>
      <c r="J344" s="41" t="inlineStr">
        <is>
          <t xml:space="preserve">شرف الحجرى </t>
        </is>
      </c>
      <c r="K344" s="41" t="inlineStr">
        <is>
          <t xml:space="preserve">اشرف الحجرى </t>
        </is>
      </c>
      <c r="L344" s="42" t="n">
        <v>24000</v>
      </c>
      <c r="M344" s="42" t="n">
        <v>12100</v>
      </c>
      <c r="N344" s="42" t="n"/>
      <c r="O344" s="42" t="n">
        <v>200</v>
      </c>
      <c r="P344" s="42" t="n"/>
      <c r="Q344" s="42" t="n">
        <v>11700</v>
      </c>
      <c r="R344" s="43">
        <f>IF($B344="","",N($S344)-N($Q344))</f>
        <v/>
      </c>
      <c r="S344" s="43">
        <f>IF($B344="","",N($L344)+N($N344)+N($P344))</f>
        <v/>
      </c>
      <c r="T344" s="42" t="n"/>
      <c r="U344" s="42" t="n"/>
      <c r="V344" s="42" t="n"/>
      <c r="W344" s="42" t="n"/>
      <c r="X344" s="42" t="n"/>
      <c r="Y344" s="42" t="n"/>
      <c r="Z344" s="42" t="n"/>
      <c r="AA344" s="42" t="n"/>
      <c r="AB344" s="42" t="n"/>
      <c r="AC344" s="42" t="n"/>
      <c r="AD344" s="42" t="n"/>
      <c r="AE344" s="42" t="n"/>
      <c r="AF344" s="43">
        <f>IF($B344="","",SUM($T344:$AE344))</f>
        <v/>
      </c>
      <c r="AG344" s="43">
        <f>IF($B344="","",N($M344)-N($AF344))</f>
        <v/>
      </c>
      <c r="AH344" s="43">
        <f>IF($B344="","",N($L344)-N($AF344))</f>
        <v/>
      </c>
      <c r="AI344" s="149">
        <f>IF($B344="","",IF(N($L344)=0,"",(N($L344)-N($AF344))/N($L344)))</f>
        <v/>
      </c>
    </row>
    <row r="345">
      <c r="A345" s="39">
        <f>IF($B345="","",COUNTA($B$4:$B345))</f>
        <v/>
      </c>
      <c r="B345" s="45" t="n">
        <v>46061</v>
      </c>
      <c r="C345" s="46" t="n">
        <v>1782</v>
      </c>
      <c r="D345" s="46" t="inlineStr">
        <is>
          <t>صعيدى 2 خ</t>
        </is>
      </c>
      <c r="E345" s="46" t="inlineStr">
        <is>
          <t>2*20</t>
        </is>
      </c>
      <c r="F345" s="46" t="inlineStr">
        <is>
          <t xml:space="preserve">لوجيا </t>
        </is>
      </c>
      <c r="G345" s="46" t="inlineStr">
        <is>
          <t xml:space="preserve">الصف </t>
        </is>
      </c>
      <c r="H345" s="46" t="inlineStr">
        <is>
          <t>137744/4-196103/6</t>
        </is>
      </c>
      <c r="I345" s="46" t="inlineStr">
        <is>
          <t>س ل ج 2521</t>
        </is>
      </c>
      <c r="J345" s="46" t="inlineStr">
        <is>
          <t xml:space="preserve">احمد جمال </t>
        </is>
      </c>
      <c r="K345" s="46" t="inlineStr">
        <is>
          <t xml:space="preserve">محمد الصعيدى </t>
        </is>
      </c>
      <c r="L345" s="47" t="n">
        <v>24000</v>
      </c>
      <c r="M345" s="47" t="n">
        <v>11100</v>
      </c>
      <c r="N345" s="47" t="n"/>
      <c r="O345" s="47" t="n">
        <v>200</v>
      </c>
      <c r="P345" s="47" t="n"/>
      <c r="Q345" s="47" t="n">
        <v>12700</v>
      </c>
      <c r="R345" s="43">
        <f>IF($B345="","",N($S345)-N($Q345))</f>
        <v/>
      </c>
      <c r="S345" s="43">
        <f>IF($B345="","",N($L345)+N($N345)+N($P345))</f>
        <v/>
      </c>
      <c r="T345" s="47" t="n"/>
      <c r="U345" s="47" t="n"/>
      <c r="V345" s="47" t="n"/>
      <c r="W345" s="47" t="n"/>
      <c r="X345" s="47" t="n"/>
      <c r="Y345" s="47" t="n"/>
      <c r="Z345" s="47" t="n"/>
      <c r="AA345" s="47" t="n"/>
      <c r="AB345" s="47" t="n"/>
      <c r="AC345" s="47" t="n"/>
      <c r="AD345" s="47" t="n"/>
      <c r="AE345" s="47" t="n"/>
      <c r="AF345" s="43">
        <f>IF($B345="","",SUM($T345:$AE345))</f>
        <v/>
      </c>
      <c r="AG345" s="43">
        <f>IF($B345="","",N($M345)-N($AF345))</f>
        <v/>
      </c>
      <c r="AH345" s="43">
        <f>IF($B345="","",N($L345)-N($AF345))</f>
        <v/>
      </c>
      <c r="AI345" s="149">
        <f>IF($B345="","",IF(N($L345)=0,"",(N($L345)-N($AF345))/N($L345)))</f>
        <v/>
      </c>
    </row>
    <row r="346">
      <c r="A346" s="39">
        <f>IF($B346="","",COUNTA($B$4:$B346))</f>
        <v/>
      </c>
      <c r="B346" s="40" t="n">
        <v>46061</v>
      </c>
      <c r="C346" s="41" t="n">
        <v>1783</v>
      </c>
      <c r="D346" s="41" t="inlineStr">
        <is>
          <t>الشريف خ</t>
        </is>
      </c>
      <c r="E346" s="41" t="inlineStr">
        <is>
          <t>2*20</t>
        </is>
      </c>
      <c r="F346" s="41" t="n"/>
      <c r="G346" s="41" t="inlineStr">
        <is>
          <t>الصف</t>
        </is>
      </c>
      <c r="H346" s="41" t="inlineStr">
        <is>
          <t>264872/2-273740/0</t>
        </is>
      </c>
      <c r="I346" s="41" t="inlineStr">
        <is>
          <t>ب ب ا 9425</t>
        </is>
      </c>
      <c r="J346" s="41" t="inlineStr">
        <is>
          <t>احمد الصيفى</t>
        </is>
      </c>
      <c r="K346" s="41" t="inlineStr">
        <is>
          <t xml:space="preserve">الصيفى </t>
        </is>
      </c>
      <c r="L346" s="42" t="n">
        <v>24000</v>
      </c>
      <c r="M346" s="42" t="n">
        <v>12100</v>
      </c>
      <c r="N346" s="42" t="n"/>
      <c r="O346" s="42" t="n">
        <v>200</v>
      </c>
      <c r="P346" s="42" t="n"/>
      <c r="Q346" s="42" t="n">
        <v>11700</v>
      </c>
      <c r="R346" s="43">
        <f>IF($B346="","",N($S346)-N($Q346))</f>
        <v/>
      </c>
      <c r="S346" s="43">
        <f>IF($B346="","",N($L346)+N($N346)+N($P346))</f>
        <v/>
      </c>
      <c r="T346" s="42" t="n"/>
      <c r="U346" s="42" t="n"/>
      <c r="V346" s="42" t="n"/>
      <c r="W346" s="42" t="n"/>
      <c r="X346" s="42" t="n"/>
      <c r="Y346" s="42" t="n"/>
      <c r="Z346" s="42" t="n"/>
      <c r="AA346" s="42" t="n"/>
      <c r="AB346" s="42" t="n"/>
      <c r="AC346" s="42" t="n"/>
      <c r="AD346" s="42" t="n"/>
      <c r="AE346" s="42" t="n"/>
      <c r="AF346" s="43">
        <f>IF($B346="","",SUM($T346:$AE346))</f>
        <v/>
      </c>
      <c r="AG346" s="43">
        <f>IF($B346="","",N($M346)-N($AF346))</f>
        <v/>
      </c>
      <c r="AH346" s="43">
        <f>IF($B346="","",N($L346)-N($AF346))</f>
        <v/>
      </c>
      <c r="AI346" s="149">
        <f>IF($B346="","",IF(N($L346)=0,"",(N($L346)-N($AF346))/N($L346)))</f>
        <v/>
      </c>
    </row>
    <row r="347">
      <c r="A347" s="39">
        <f>IF($B347="","",COUNTA($B$4:$B347))</f>
        <v/>
      </c>
      <c r="B347" s="45" t="n">
        <v>46061</v>
      </c>
      <c r="C347" s="46" t="n">
        <v>1784</v>
      </c>
      <c r="D347" s="46" t="inlineStr">
        <is>
          <t>الشريف خ</t>
        </is>
      </c>
      <c r="E347" s="46" t="inlineStr">
        <is>
          <t>2*20</t>
        </is>
      </c>
      <c r="F347" s="46" t="inlineStr">
        <is>
          <t xml:space="preserve">لوجيا </t>
        </is>
      </c>
      <c r="G347" s="46" t="inlineStr">
        <is>
          <t xml:space="preserve">الصف </t>
        </is>
      </c>
      <c r="H347" s="46" t="inlineStr">
        <is>
          <t>294946/7-329214/1</t>
        </is>
      </c>
      <c r="I347" s="46" t="inlineStr">
        <is>
          <t>ب ج ط 5138</t>
        </is>
      </c>
      <c r="J347" s="46" t="inlineStr">
        <is>
          <t xml:space="preserve">هانى نبيل </t>
        </is>
      </c>
      <c r="K347" s="46" t="inlineStr">
        <is>
          <t xml:space="preserve">الحجرى </t>
        </is>
      </c>
      <c r="L347" s="47" t="n">
        <v>24000</v>
      </c>
      <c r="M347" s="47" t="n">
        <v>12100</v>
      </c>
      <c r="N347" s="47" t="n"/>
      <c r="O347" s="47" t="n">
        <v>200</v>
      </c>
      <c r="P347" s="47" t="n"/>
      <c r="Q347" s="47" t="n">
        <v>11700</v>
      </c>
      <c r="R347" s="43">
        <f>IF($B347="","",N($S347)-N($Q347))</f>
        <v/>
      </c>
      <c r="S347" s="43">
        <f>IF($B347="","",N($L347)+N($N347)+N($P347))</f>
        <v/>
      </c>
      <c r="T347" s="47" t="n"/>
      <c r="U347" s="47" t="n"/>
      <c r="V347" s="47" t="n"/>
      <c r="W347" s="47" t="n"/>
      <c r="X347" s="47" t="n"/>
      <c r="Y347" s="47" t="n"/>
      <c r="Z347" s="47" t="n"/>
      <c r="AA347" s="47" t="n"/>
      <c r="AB347" s="47" t="n"/>
      <c r="AC347" s="47" t="n"/>
      <c r="AD347" s="47" t="n"/>
      <c r="AE347" s="47" t="n"/>
      <c r="AF347" s="43">
        <f>IF($B347="","",SUM($T347:$AE347))</f>
        <v/>
      </c>
      <c r="AG347" s="43">
        <f>IF($B347="","",N($M347)-N($AF347))</f>
        <v/>
      </c>
      <c r="AH347" s="43">
        <f>IF($B347="","",N($L347)-N($AF347))</f>
        <v/>
      </c>
      <c r="AI347" s="149">
        <f>IF($B347="","",IF(N($L347)=0,"",(N($L347)-N($AF347))/N($L347)))</f>
        <v/>
      </c>
    </row>
    <row r="348">
      <c r="A348" s="39">
        <f>IF($B348="","",COUNTA($B$4:$B348))</f>
        <v/>
      </c>
      <c r="B348" s="40" t="n">
        <v>46061</v>
      </c>
      <c r="C348" s="41" t="n">
        <v>1785</v>
      </c>
      <c r="D348" s="41" t="inlineStr">
        <is>
          <t>الشريف خ</t>
        </is>
      </c>
      <c r="E348" s="41" t="inlineStr">
        <is>
          <t>2*20</t>
        </is>
      </c>
      <c r="F348" s="41" t="inlineStr">
        <is>
          <t xml:space="preserve">لوجيا </t>
        </is>
      </c>
      <c r="G348" s="41" t="inlineStr">
        <is>
          <t xml:space="preserve">الصف </t>
        </is>
      </c>
      <c r="H348" s="41" t="inlineStr">
        <is>
          <t>205417/1-057017/9</t>
        </is>
      </c>
      <c r="I348" s="41" t="inlineStr">
        <is>
          <t>ب س ا 7385</t>
        </is>
      </c>
      <c r="J348" s="41" t="inlineStr">
        <is>
          <t xml:space="preserve">محمد ابو ادم </t>
        </is>
      </c>
      <c r="K348" s="41" t="inlineStr">
        <is>
          <t xml:space="preserve">ابو ادم </t>
        </is>
      </c>
      <c r="L348" s="42" t="n">
        <v>24000</v>
      </c>
      <c r="M348" s="42" t="n">
        <v>12100</v>
      </c>
      <c r="N348" s="42" t="n"/>
      <c r="O348" s="42" t="n">
        <v>200</v>
      </c>
      <c r="P348" s="42" t="n"/>
      <c r="Q348" s="42" t="n">
        <v>11700</v>
      </c>
      <c r="R348" s="43">
        <f>IF($B348="","",N($S348)-N($Q348))</f>
        <v/>
      </c>
      <c r="S348" s="43">
        <f>IF($B348="","",N($L348)+N($N348)+N($P348))</f>
        <v/>
      </c>
      <c r="T348" s="42" t="n"/>
      <c r="U348" s="42" t="n"/>
      <c r="V348" s="42" t="n"/>
      <c r="W348" s="42" t="n"/>
      <c r="X348" s="42" t="n"/>
      <c r="Y348" s="42" t="n"/>
      <c r="Z348" s="42" t="n"/>
      <c r="AA348" s="42" t="n"/>
      <c r="AB348" s="42" t="n"/>
      <c r="AC348" s="42" t="n"/>
      <c r="AD348" s="42" t="n"/>
      <c r="AE348" s="42" t="n"/>
      <c r="AF348" s="43">
        <f>IF($B348="","",SUM($T348:$AE348))</f>
        <v/>
      </c>
      <c r="AG348" s="43">
        <f>IF($B348="","",N($M348)-N($AF348))</f>
        <v/>
      </c>
      <c r="AH348" s="43">
        <f>IF($B348="","",N($L348)-N($AF348))</f>
        <v/>
      </c>
      <c r="AI348" s="149">
        <f>IF($B348="","",IF(N($L348)=0,"",(N($L348)-N($AF348))/N($L348)))</f>
        <v/>
      </c>
    </row>
    <row r="349">
      <c r="A349" s="39">
        <f>IF($B349="","",COUNTA($B$4:$B349))</f>
        <v/>
      </c>
      <c r="B349" s="45" t="n">
        <v>46061</v>
      </c>
      <c r="C349" s="46" t="n">
        <v>1786</v>
      </c>
      <c r="D349" s="46" t="inlineStr">
        <is>
          <t>الشريف خ</t>
        </is>
      </c>
      <c r="E349" s="46" t="inlineStr">
        <is>
          <t>2*20</t>
        </is>
      </c>
      <c r="F349" s="46" t="inlineStr">
        <is>
          <t xml:space="preserve">لوجيا </t>
        </is>
      </c>
      <c r="G349" s="46" t="inlineStr">
        <is>
          <t xml:space="preserve">الصف </t>
        </is>
      </c>
      <c r="H349" s="46" t="inlineStr">
        <is>
          <t>221269/2-244068/3</t>
        </is>
      </c>
      <c r="I349" s="46" t="inlineStr">
        <is>
          <t>ب ط ا 4152</t>
        </is>
      </c>
      <c r="J349" s="46" t="inlineStr">
        <is>
          <t xml:space="preserve">محمد الضبع </t>
        </is>
      </c>
      <c r="K349" s="46" t="inlineStr">
        <is>
          <t>شعبان البنا</t>
        </is>
      </c>
      <c r="L349" s="47" t="n">
        <v>24000</v>
      </c>
      <c r="M349" s="47" t="n">
        <v>12100</v>
      </c>
      <c r="N349" s="47" t="n"/>
      <c r="O349" s="47" t="n">
        <v>200</v>
      </c>
      <c r="P349" s="47" t="n"/>
      <c r="Q349" s="47" t="n">
        <v>11700</v>
      </c>
      <c r="R349" s="43">
        <f>IF($B349="","",N($S349)-N($Q349))</f>
        <v/>
      </c>
      <c r="S349" s="43">
        <f>IF($B349="","",N($L349)+N($N349)+N($P349))</f>
        <v/>
      </c>
      <c r="T349" s="47" t="n"/>
      <c r="U349" s="47" t="n"/>
      <c r="V349" s="47" t="n"/>
      <c r="W349" s="47" t="n"/>
      <c r="X349" s="47" t="n"/>
      <c r="Y349" s="47" t="n"/>
      <c r="Z349" s="47" t="n"/>
      <c r="AA349" s="47" t="n"/>
      <c r="AB349" s="47" t="n"/>
      <c r="AC349" s="47" t="n"/>
      <c r="AD349" s="47" t="n"/>
      <c r="AE349" s="47" t="n"/>
      <c r="AF349" s="43">
        <f>IF($B349="","",SUM($T349:$AE349))</f>
        <v/>
      </c>
      <c r="AG349" s="43">
        <f>IF($B349="","",N($M349)-N($AF349))</f>
        <v/>
      </c>
      <c r="AH349" s="43">
        <f>IF($B349="","",N($L349)-N($AF349))</f>
        <v/>
      </c>
      <c r="AI349" s="149">
        <f>IF($B349="","",IF(N($L349)=0,"",(N($L349)-N($AF349))/N($L349)))</f>
        <v/>
      </c>
    </row>
    <row r="350">
      <c r="A350" s="39">
        <f>IF($B350="","",COUNTA($B$4:$B350))</f>
        <v/>
      </c>
      <c r="B350" s="40" t="n">
        <v>46061</v>
      </c>
      <c r="C350" s="41" t="n">
        <v>1793</v>
      </c>
      <c r="D350" s="41" t="inlineStr">
        <is>
          <t>صعيدى 2 خ</t>
        </is>
      </c>
      <c r="E350" s="41" t="inlineStr">
        <is>
          <t>2*20</t>
        </is>
      </c>
      <c r="F350" s="41" t="inlineStr">
        <is>
          <t>اكما</t>
        </is>
      </c>
      <c r="G350" s="41" t="inlineStr">
        <is>
          <t>بنى سويف</t>
        </is>
      </c>
      <c r="H350" s="41" t="inlineStr">
        <is>
          <t>206666/4-055933/3</t>
        </is>
      </c>
      <c r="I350" s="41" t="inlineStr">
        <is>
          <t>س ه ف 1874</t>
        </is>
      </c>
      <c r="J350" s="41" t="inlineStr">
        <is>
          <t xml:space="preserve">هانى عزت </t>
        </is>
      </c>
      <c r="K350" s="41" t="inlineStr">
        <is>
          <t xml:space="preserve">محمد الصعيدى </t>
        </is>
      </c>
      <c r="L350" s="42" t="n">
        <v>23000</v>
      </c>
      <c r="M350" s="42" t="n">
        <v>11100</v>
      </c>
      <c r="N350" s="42" t="n"/>
      <c r="O350" s="42" t="n">
        <v>200</v>
      </c>
      <c r="P350" s="42" t="n"/>
      <c r="Q350" s="42" t="n">
        <v>11700</v>
      </c>
      <c r="R350" s="43">
        <f>IF($B350="","",N($S350)-N($Q350))</f>
        <v/>
      </c>
      <c r="S350" s="43">
        <f>IF($B350="","",N($L350)+N($N350)+N($P350))</f>
        <v/>
      </c>
      <c r="T350" s="42" t="n"/>
      <c r="U350" s="42" t="n"/>
      <c r="V350" s="42" t="n"/>
      <c r="W350" s="42" t="n"/>
      <c r="X350" s="42" t="n"/>
      <c r="Y350" s="42" t="n"/>
      <c r="Z350" s="42" t="n"/>
      <c r="AA350" s="42" t="n"/>
      <c r="AB350" s="42" t="n"/>
      <c r="AC350" s="42" t="n"/>
      <c r="AD350" s="42" t="n"/>
      <c r="AE350" s="42" t="n"/>
      <c r="AF350" s="43">
        <f>IF($B350="","",SUM($T350:$AE350))</f>
        <v/>
      </c>
      <c r="AG350" s="43">
        <f>IF($B350="","",N($M350)-N($AF350))</f>
        <v/>
      </c>
      <c r="AH350" s="43">
        <f>IF($B350="","",N($L350)-N($AF350))</f>
        <v/>
      </c>
      <c r="AI350" s="149">
        <f>IF($B350="","",IF(N($L350)=0,"",(N($L350)-N($AF350))/N($L350)))</f>
        <v/>
      </c>
    </row>
    <row r="351">
      <c r="A351" s="39">
        <f>IF($B351="","",COUNTA($B$4:$B351))</f>
        <v/>
      </c>
      <c r="B351" s="45" t="n">
        <v>46061</v>
      </c>
      <c r="C351" s="46" t="n">
        <v>1789</v>
      </c>
      <c r="D351" s="46" t="inlineStr">
        <is>
          <t xml:space="preserve">حرز الله </t>
        </is>
      </c>
      <c r="E351" s="46" t="inlineStr">
        <is>
          <t>2*20</t>
        </is>
      </c>
      <c r="F351" s="46" t="inlineStr">
        <is>
          <t>اكما</t>
        </is>
      </c>
      <c r="G351" s="46" t="inlineStr">
        <is>
          <t>بنى سويف</t>
        </is>
      </c>
      <c r="H351" s="46" t="inlineStr">
        <is>
          <t>937994/5-252971/2</t>
        </is>
      </c>
      <c r="I351" s="46" t="inlineStr">
        <is>
          <t>ب ى ط 8462</t>
        </is>
      </c>
      <c r="J351" s="46" t="inlineStr">
        <is>
          <t xml:space="preserve">سامى صالح </t>
        </is>
      </c>
      <c r="K351" s="46" t="inlineStr">
        <is>
          <t xml:space="preserve">استوريا </t>
        </is>
      </c>
      <c r="L351" s="47" t="n">
        <v>23000</v>
      </c>
      <c r="M351" s="47" t="n">
        <v>12100</v>
      </c>
      <c r="N351" s="47" t="n"/>
      <c r="O351" s="47" t="n">
        <v>200</v>
      </c>
      <c r="P351" s="47" t="n"/>
      <c r="Q351" s="47" t="n">
        <v>10700</v>
      </c>
      <c r="R351" s="43">
        <f>IF($B351="","",N($S351)-N($Q351))</f>
        <v/>
      </c>
      <c r="S351" s="43">
        <f>IF($B351="","",N($L351)+N($N351)+N($P351))</f>
        <v/>
      </c>
      <c r="T351" s="47" t="n"/>
      <c r="U351" s="47" t="n"/>
      <c r="V351" s="47" t="n"/>
      <c r="W351" s="47" t="n"/>
      <c r="X351" s="47" t="n"/>
      <c r="Y351" s="47" t="n"/>
      <c r="Z351" s="47" t="n"/>
      <c r="AA351" s="47" t="n"/>
      <c r="AB351" s="47" t="n"/>
      <c r="AC351" s="47" t="n"/>
      <c r="AD351" s="47" t="n"/>
      <c r="AE351" s="47" t="n"/>
      <c r="AF351" s="43">
        <f>IF($B351="","",SUM($T351:$AE351))</f>
        <v/>
      </c>
      <c r="AG351" s="43">
        <f>IF($B351="","",N($M351)-N($AF351))</f>
        <v/>
      </c>
      <c r="AH351" s="43">
        <f>IF($B351="","",N($L351)-N($AF351))</f>
        <v/>
      </c>
      <c r="AI351" s="149">
        <f>IF($B351="","",IF(N($L351)=0,"",(N($L351)-N($AF351))/N($L351)))</f>
        <v/>
      </c>
    </row>
    <row r="352">
      <c r="A352" s="39">
        <f>IF($B352="","",COUNTA($B$4:$B352))</f>
        <v/>
      </c>
      <c r="B352" s="40" t="n">
        <v>46061</v>
      </c>
      <c r="C352" s="41" t="n">
        <v>1790</v>
      </c>
      <c r="D352" s="41" t="inlineStr">
        <is>
          <t>محمد عتمان</t>
        </is>
      </c>
      <c r="E352" s="41" t="inlineStr">
        <is>
          <t>2*20</t>
        </is>
      </c>
      <c r="F352" s="41" t="inlineStr">
        <is>
          <t>اكما</t>
        </is>
      </c>
      <c r="G352" s="41" t="inlineStr">
        <is>
          <t>بنى سويف</t>
        </is>
      </c>
      <c r="H352" s="41" t="inlineStr">
        <is>
          <t>301277/7-47757/6</t>
        </is>
      </c>
      <c r="I352" s="41" t="inlineStr">
        <is>
          <t>ب ص ا 5364</t>
        </is>
      </c>
      <c r="J352" s="41" t="inlineStr">
        <is>
          <t xml:space="preserve">محمود عبد الغنى </t>
        </is>
      </c>
      <c r="K352" s="41" t="inlineStr">
        <is>
          <t>استوريا</t>
        </is>
      </c>
      <c r="L352" s="42" t="n">
        <v>23000</v>
      </c>
      <c r="M352" s="42" t="n">
        <v>12100</v>
      </c>
      <c r="N352" s="42" t="n"/>
      <c r="O352" s="42" t="n">
        <v>200</v>
      </c>
      <c r="P352" s="42" t="n"/>
      <c r="Q352" s="42" t="n">
        <v>10700</v>
      </c>
      <c r="R352" s="43">
        <f>IF($B352="","",N($S352)-N($Q352))</f>
        <v/>
      </c>
      <c r="S352" s="43">
        <f>IF($B352="","",N($L352)+N($N352)+N($P352))</f>
        <v/>
      </c>
      <c r="T352" s="42" t="n"/>
      <c r="U352" s="42" t="n"/>
      <c r="V352" s="42" t="n"/>
      <c r="W352" s="42" t="n"/>
      <c r="X352" s="42" t="n"/>
      <c r="Y352" s="42" t="n"/>
      <c r="Z352" s="42" t="n"/>
      <c r="AA352" s="42" t="n"/>
      <c r="AB352" s="42" t="n"/>
      <c r="AC352" s="42" t="n"/>
      <c r="AD352" s="42" t="n"/>
      <c r="AE352" s="42" t="n"/>
      <c r="AF352" s="43">
        <f>IF($B352="","",SUM($T352:$AE352))</f>
        <v/>
      </c>
      <c r="AG352" s="43">
        <f>IF($B352="","",N($M352)-N($AF352))</f>
        <v/>
      </c>
      <c r="AH352" s="43">
        <f>IF($B352="","",N($L352)-N($AF352))</f>
        <v/>
      </c>
      <c r="AI352" s="149">
        <f>IF($B352="","",IF(N($L352)=0,"",(N($L352)-N($AF352))/N($L352)))</f>
        <v/>
      </c>
    </row>
    <row r="353">
      <c r="A353" s="39">
        <f>IF($B353="","",COUNTA($B$4:$B353))</f>
        <v/>
      </c>
      <c r="B353" s="45" t="n">
        <v>46061</v>
      </c>
      <c r="C353" s="46" t="n">
        <v>1791</v>
      </c>
      <c r="D353" s="46" t="inlineStr">
        <is>
          <t>الشريف خ</t>
        </is>
      </c>
      <c r="E353" s="46" t="inlineStr">
        <is>
          <t>2*20</t>
        </is>
      </c>
      <c r="F353" s="46" t="inlineStr">
        <is>
          <t>اكما</t>
        </is>
      </c>
      <c r="G353" s="46" t="inlineStr">
        <is>
          <t>بنى سويف</t>
        </is>
      </c>
      <c r="H353" s="46" t="inlineStr">
        <is>
          <t>296611/9-393273/6</t>
        </is>
      </c>
      <c r="I353" s="46" t="inlineStr">
        <is>
          <t>ب د ف 9317</t>
        </is>
      </c>
      <c r="J353" s="46" t="inlineStr">
        <is>
          <t xml:space="preserve">سعيد فطيم </t>
        </is>
      </c>
      <c r="K353" s="46" t="inlineStr">
        <is>
          <t xml:space="preserve">استوريا </t>
        </is>
      </c>
      <c r="L353" s="47" t="n">
        <v>23000</v>
      </c>
      <c r="M353" s="47" t="n">
        <v>12100</v>
      </c>
      <c r="N353" s="47" t="n"/>
      <c r="O353" s="47" t="n">
        <v>200</v>
      </c>
      <c r="P353" s="47" t="n"/>
      <c r="Q353" s="47" t="n">
        <v>10700</v>
      </c>
      <c r="R353" s="43">
        <f>IF($B353="","",N($S353)-N($Q353))</f>
        <v/>
      </c>
      <c r="S353" s="43">
        <f>IF($B353="","",N($L353)+N($N353)+N($P353))</f>
        <v/>
      </c>
      <c r="T353" s="47" t="n"/>
      <c r="U353" s="47" t="n"/>
      <c r="V353" s="47" t="n"/>
      <c r="W353" s="47" t="n"/>
      <c r="X353" s="47" t="n"/>
      <c r="Y353" s="47" t="n"/>
      <c r="Z353" s="47" t="n"/>
      <c r="AA353" s="47" t="n"/>
      <c r="AB353" s="47" t="n"/>
      <c r="AC353" s="47" t="n"/>
      <c r="AD353" s="47" t="n"/>
      <c r="AE353" s="47" t="n"/>
      <c r="AF353" s="43">
        <f>IF($B353="","",SUM($T353:$AE353))</f>
        <v/>
      </c>
      <c r="AG353" s="43">
        <f>IF($B353="","",N($M353)-N($AF353))</f>
        <v/>
      </c>
      <c r="AH353" s="43">
        <f>IF($B353="","",N($L353)-N($AF353))</f>
        <v/>
      </c>
      <c r="AI353" s="149">
        <f>IF($B353="","",IF(N($L353)=0,"",(N($L353)-N($AF353))/N($L353)))</f>
        <v/>
      </c>
    </row>
    <row r="354">
      <c r="A354" s="39">
        <f>IF($B354="","",COUNTA($B$4:$B354))</f>
        <v/>
      </c>
      <c r="B354" s="40" t="n">
        <v>46061</v>
      </c>
      <c r="C354" s="41" t="n">
        <v>1792</v>
      </c>
      <c r="D354" s="41" t="inlineStr">
        <is>
          <t>الشريف خ</t>
        </is>
      </c>
      <c r="E354" s="41" t="inlineStr">
        <is>
          <t>2*20</t>
        </is>
      </c>
      <c r="F354" s="41" t="inlineStr">
        <is>
          <t>اكما</t>
        </is>
      </c>
      <c r="G354" s="41" t="inlineStr">
        <is>
          <t>بنى سويف</t>
        </is>
      </c>
      <c r="H354" s="41" t="inlineStr">
        <is>
          <t>368044/9-264738/0</t>
        </is>
      </c>
      <c r="I354" s="41" t="inlineStr">
        <is>
          <t>ص ع ا 7825</t>
        </is>
      </c>
      <c r="J354" s="41" t="inlineStr">
        <is>
          <t xml:space="preserve">رامى الميت </t>
        </is>
      </c>
      <c r="K354" s="41" t="inlineStr">
        <is>
          <t xml:space="preserve">الميت </t>
        </is>
      </c>
      <c r="L354" s="42" t="n">
        <v>23000</v>
      </c>
      <c r="M354" s="42" t="n">
        <v>12100</v>
      </c>
      <c r="N354" s="42" t="n"/>
      <c r="O354" s="42" t="n">
        <v>200</v>
      </c>
      <c r="P354" s="42" t="n"/>
      <c r="Q354" s="42" t="n">
        <v>10700</v>
      </c>
      <c r="R354" s="43">
        <f>IF($B354="","",N($S354)-N($Q354))</f>
        <v/>
      </c>
      <c r="S354" s="43">
        <f>IF($B354="","",N($L354)+N($N354)+N($P354))</f>
        <v/>
      </c>
      <c r="T354" s="42" t="n"/>
      <c r="U354" s="42" t="n"/>
      <c r="V354" s="42" t="n"/>
      <c r="W354" s="42" t="n"/>
      <c r="X354" s="42" t="n"/>
      <c r="Y354" s="42" t="n"/>
      <c r="Z354" s="42" t="n"/>
      <c r="AA354" s="42" t="n"/>
      <c r="AB354" s="42" t="n"/>
      <c r="AC354" s="42" t="n"/>
      <c r="AD354" s="42" t="n"/>
      <c r="AE354" s="42" t="n"/>
      <c r="AF354" s="43">
        <f>IF($B354="","",SUM($T354:$AE354))</f>
        <v/>
      </c>
      <c r="AG354" s="43">
        <f>IF($B354="","",N($M354)-N($AF354))</f>
        <v/>
      </c>
      <c r="AH354" s="43">
        <f>IF($B354="","",N($L354)-N($AF354))</f>
        <v/>
      </c>
      <c r="AI354" s="149">
        <f>IF($B354="","",IF(N($L354)=0,"",(N($L354)-N($AF354))/N($L354)))</f>
        <v/>
      </c>
    </row>
    <row r="355">
      <c r="A355" s="39">
        <f>IF($B355="","",COUNTA($B$4:$B355))</f>
        <v/>
      </c>
      <c r="B355" s="45" t="n">
        <v>46061</v>
      </c>
      <c r="C355" s="46" t="n">
        <v>1779</v>
      </c>
      <c r="D355" s="46" t="inlineStr">
        <is>
          <t>المكتب</t>
        </is>
      </c>
      <c r="E355" s="46" t="inlineStr">
        <is>
          <t>2*20</t>
        </is>
      </c>
      <c r="F355" s="46" t="inlineStr">
        <is>
          <t>اكما</t>
        </is>
      </c>
      <c r="G355" s="46" t="inlineStr">
        <is>
          <t>بنى سويف</t>
        </is>
      </c>
      <c r="H355" s="46" t="inlineStr">
        <is>
          <t>489785/9-278927/7</t>
        </is>
      </c>
      <c r="I355" s="46" t="inlineStr">
        <is>
          <t>س ع م 8737</t>
        </is>
      </c>
      <c r="J355" s="46" t="inlineStr">
        <is>
          <t xml:space="preserve">محمود بكر </t>
        </is>
      </c>
      <c r="K355" s="46" t="inlineStr">
        <is>
          <t>المكتب</t>
        </is>
      </c>
      <c r="L355" s="47" t="n">
        <v>23000</v>
      </c>
      <c r="M355" s="47" t="n">
        <v>10000</v>
      </c>
      <c r="N355" s="47" t="n"/>
      <c r="O355" s="47" t="n"/>
      <c r="P355" s="47" t="n"/>
      <c r="Q355" s="47" t="n">
        <v>13000</v>
      </c>
      <c r="R355" s="43">
        <f>IF($B355="","",N($S355)-N($Q355))</f>
        <v/>
      </c>
      <c r="S355" s="43">
        <f>IF($B355="","",N($L355)+N($N355)+N($P355))</f>
        <v/>
      </c>
      <c r="T355" s="47" t="n">
        <v>2000</v>
      </c>
      <c r="U355" s="47" t="n">
        <v>900</v>
      </c>
      <c r="V355" s="47" t="n">
        <v>450</v>
      </c>
      <c r="W355" s="47" t="n">
        <v>200</v>
      </c>
      <c r="X355" s="47" t="n">
        <v>180</v>
      </c>
      <c r="Y355" s="47" t="n">
        <v>120</v>
      </c>
      <c r="Z355" s="47" t="n"/>
      <c r="AA355" s="47" t="n">
        <v>200</v>
      </c>
      <c r="AB355" s="47" t="n"/>
      <c r="AC355" s="47" t="n">
        <v>600</v>
      </c>
      <c r="AD355" s="47" t="n">
        <v>130</v>
      </c>
      <c r="AE355" s="47" t="n">
        <v>7050</v>
      </c>
      <c r="AF355" s="43">
        <f>IF($B355="","",SUM($T355:$AE355))</f>
        <v/>
      </c>
      <c r="AG355" s="43">
        <f>IF($B355="","",N($M355)-N($AF355))</f>
        <v/>
      </c>
      <c r="AH355" s="43">
        <f>IF($B355="","",N($L355)-N($AF355))</f>
        <v/>
      </c>
      <c r="AI355" s="149">
        <f>IF($B355="","",IF(N($L355)=0,"",(N($L355)-N($AF355))/N($L355)))</f>
        <v/>
      </c>
    </row>
    <row r="356">
      <c r="A356" s="39">
        <f>IF($B356="","",COUNTA($B$4:$B356))</f>
        <v/>
      </c>
      <c r="B356" s="40" t="n">
        <v>46061</v>
      </c>
      <c r="C356" s="41" t="n">
        <v>1787</v>
      </c>
      <c r="D356" s="41" t="inlineStr">
        <is>
          <t>احمد عبدو خ</t>
        </is>
      </c>
      <c r="E356" s="41" t="inlineStr">
        <is>
          <t>2*20</t>
        </is>
      </c>
      <c r="F356" s="41" t="inlineStr">
        <is>
          <t xml:space="preserve">لوجيا </t>
        </is>
      </c>
      <c r="G356" s="41" t="inlineStr">
        <is>
          <t xml:space="preserve">الصف </t>
        </is>
      </c>
      <c r="H356" s="41" t="inlineStr">
        <is>
          <t>222772/0-194001/0</t>
        </is>
      </c>
      <c r="I356" s="41" t="inlineStr">
        <is>
          <t>س ر ا 6671</t>
        </is>
      </c>
      <c r="J356" s="41" t="inlineStr">
        <is>
          <t xml:space="preserve">السيد مرسى </t>
        </is>
      </c>
      <c r="K356" s="41" t="inlineStr">
        <is>
          <t xml:space="preserve">حمو مرزوق </t>
        </is>
      </c>
      <c r="L356" s="42" t="n">
        <v>24000</v>
      </c>
      <c r="M356" s="42" t="n">
        <v>12100</v>
      </c>
      <c r="N356" s="42" t="n"/>
      <c r="O356" s="42" t="n">
        <v>200</v>
      </c>
      <c r="P356" s="42" t="n"/>
      <c r="Q356" s="42" t="n">
        <v>11700</v>
      </c>
      <c r="R356" s="43">
        <f>IF($B356="","",N($S356)-N($Q356))</f>
        <v/>
      </c>
      <c r="S356" s="43">
        <f>IF($B356="","",N($L356)+N($N356)+N($P356))</f>
        <v/>
      </c>
      <c r="T356" s="42" t="n"/>
      <c r="U356" s="42" t="n"/>
      <c r="V356" s="42" t="n"/>
      <c r="W356" s="42" t="n"/>
      <c r="X356" s="42" t="n"/>
      <c r="Y356" s="42" t="n"/>
      <c r="Z356" s="42" t="n"/>
      <c r="AA356" s="42" t="n"/>
      <c r="AB356" s="42" t="n"/>
      <c r="AC356" s="42" t="n"/>
      <c r="AD356" s="42" t="n"/>
      <c r="AE356" s="42" t="n"/>
      <c r="AF356" s="43">
        <f>IF($B356="","",SUM($T356:$AE356))</f>
        <v/>
      </c>
      <c r="AG356" s="43">
        <f>IF($B356="","",N($M356)-N($AF356))</f>
        <v/>
      </c>
      <c r="AH356" s="43">
        <f>IF($B356="","",N($L356)-N($AF356))</f>
        <v/>
      </c>
      <c r="AI356" s="149">
        <f>IF($B356="","",IF(N($L356)=0,"",(N($L356)-N($AF356))/N($L356)))</f>
        <v/>
      </c>
    </row>
    <row r="357">
      <c r="A357" s="39">
        <f>IF($B357="","",COUNTA($B$4:$B357))</f>
        <v/>
      </c>
      <c r="B357" s="45" t="n">
        <v>46061</v>
      </c>
      <c r="C357" s="46" t="n">
        <v>2025</v>
      </c>
      <c r="D357" s="46" t="inlineStr">
        <is>
          <t>كمال رزق خ</t>
        </is>
      </c>
      <c r="E357" s="46" t="inlineStr">
        <is>
          <t>1*40</t>
        </is>
      </c>
      <c r="F357" s="46" t="inlineStr">
        <is>
          <t>اركانا</t>
        </is>
      </c>
      <c r="G357" s="46" t="inlineStr">
        <is>
          <t xml:space="preserve">اكتوبر </t>
        </is>
      </c>
      <c r="H357" s="46" t="inlineStr">
        <is>
          <t>117717/5</t>
        </is>
      </c>
      <c r="I357" s="46" t="inlineStr">
        <is>
          <t>س ن ر 8979</t>
        </is>
      </c>
      <c r="J357" s="46" t="inlineStr">
        <is>
          <t xml:space="preserve">عماد سعيد </t>
        </is>
      </c>
      <c r="K357" s="46" t="inlineStr">
        <is>
          <t xml:space="preserve">عماد سعيد </t>
        </is>
      </c>
      <c r="L357" s="47" t="n">
        <v>12700</v>
      </c>
      <c r="M357" s="47" t="n">
        <v>7100</v>
      </c>
      <c r="N357" s="47" t="n"/>
      <c r="O357" s="47" t="n">
        <v>200</v>
      </c>
      <c r="P357" s="47" t="n"/>
      <c r="Q357" s="47" t="n">
        <v>5400</v>
      </c>
      <c r="R357" s="43">
        <f>IF($B357="","",N($S357)-N($Q357))</f>
        <v/>
      </c>
      <c r="S357" s="43">
        <f>IF($B357="","",N($L357)+N($N357)+N($P357))</f>
        <v/>
      </c>
      <c r="T357" s="47" t="n"/>
      <c r="U357" s="47" t="n"/>
      <c r="V357" s="47" t="n"/>
      <c r="W357" s="47" t="n"/>
      <c r="X357" s="47" t="n"/>
      <c r="Y357" s="47" t="n"/>
      <c r="Z357" s="47" t="n"/>
      <c r="AA357" s="47" t="n"/>
      <c r="AB357" s="47" t="n"/>
      <c r="AC357" s="47" t="n"/>
      <c r="AD357" s="47" t="n"/>
      <c r="AE357" s="47" t="n"/>
      <c r="AF357" s="43">
        <f>IF($B357="","",SUM($T357:$AE357))</f>
        <v/>
      </c>
      <c r="AG357" s="43">
        <f>IF($B357="","",N($M357)-N($AF357))</f>
        <v/>
      </c>
      <c r="AH357" s="43">
        <f>IF($B357="","",N($L357)-N($AF357))</f>
        <v/>
      </c>
      <c r="AI357" s="149">
        <f>IF($B357="","",IF(N($L357)=0,"",(N($L357)-N($AF357))/N($L357)))</f>
        <v/>
      </c>
    </row>
    <row r="358">
      <c r="A358" s="39">
        <f>IF($B358="","",COUNTA($B$4:$B358))</f>
        <v/>
      </c>
      <c r="B358" s="40" t="n">
        <v>46061</v>
      </c>
      <c r="C358" s="41" t="n">
        <v>2024</v>
      </c>
      <c r="D358" s="41" t="inlineStr">
        <is>
          <t>ايوب خ</t>
        </is>
      </c>
      <c r="E358" s="41" t="inlineStr">
        <is>
          <t>1*20</t>
        </is>
      </c>
      <c r="F358" s="41" t="inlineStr">
        <is>
          <t xml:space="preserve">الكرنك </t>
        </is>
      </c>
      <c r="G358" s="41" t="inlineStr">
        <is>
          <t>الاسماعيليه</t>
        </is>
      </c>
      <c r="H358" s="41" t="inlineStr">
        <is>
          <t>158338/6</t>
        </is>
      </c>
      <c r="I358" s="41" t="inlineStr">
        <is>
          <t>ب ا ج 7235</t>
        </is>
      </c>
      <c r="J358" s="41" t="inlineStr">
        <is>
          <t xml:space="preserve">حسام محمد </t>
        </is>
      </c>
      <c r="K358" s="41" t="inlineStr">
        <is>
          <t xml:space="preserve">ايوب </t>
        </is>
      </c>
      <c r="L358" s="42" t="n">
        <v>13000</v>
      </c>
      <c r="M358" s="42" t="n">
        <v>8100</v>
      </c>
      <c r="N358" s="42" t="n"/>
      <c r="O358" s="42" t="n">
        <v>200</v>
      </c>
      <c r="P358" s="42" t="n"/>
      <c r="Q358" s="42" t="n">
        <v>4700</v>
      </c>
      <c r="R358" s="43">
        <f>IF($B358="","",N($S358)-N($Q358))</f>
        <v/>
      </c>
      <c r="S358" s="43">
        <f>IF($B358="","",N($L358)+N($N358)+N($P358))</f>
        <v/>
      </c>
      <c r="T358" s="42" t="n"/>
      <c r="U358" s="42" t="n"/>
      <c r="V358" s="42" t="n"/>
      <c r="W358" s="42" t="n"/>
      <c r="X358" s="42" t="n"/>
      <c r="Y358" s="42" t="n"/>
      <c r="Z358" s="42" t="n"/>
      <c r="AA358" s="42" t="n"/>
      <c r="AB358" s="42" t="n"/>
      <c r="AC358" s="42" t="n"/>
      <c r="AD358" s="42" t="n"/>
      <c r="AE358" s="42" t="n"/>
      <c r="AF358" s="43">
        <f>IF($B358="","",SUM($T358:$AE358))</f>
        <v/>
      </c>
      <c r="AG358" s="43">
        <f>IF($B358="","",N($M358)-N($AF358))</f>
        <v/>
      </c>
      <c r="AH358" s="43">
        <f>IF($B358="","",N($L358)-N($AF358))</f>
        <v/>
      </c>
      <c r="AI358" s="149">
        <f>IF($B358="","",IF(N($L358)=0,"",(N($L358)-N($AF358))/N($L358)))</f>
        <v/>
      </c>
    </row>
    <row r="359">
      <c r="A359" s="39">
        <f>IF($B359="","",COUNTA($B$4:$B359))</f>
        <v/>
      </c>
      <c r="B359" s="45" t="n">
        <v>46061</v>
      </c>
      <c r="C359" s="46" t="n">
        <v>2023</v>
      </c>
      <c r="D359" s="46" t="inlineStr">
        <is>
          <t>احمد عبدو خ</t>
        </is>
      </c>
      <c r="E359" s="46" t="inlineStr">
        <is>
          <t>1*40</t>
        </is>
      </c>
      <c r="F359" s="46" t="inlineStr">
        <is>
          <t xml:space="preserve">المصرية الاوربية </t>
        </is>
      </c>
      <c r="G359" s="46" t="inlineStr">
        <is>
          <t xml:space="preserve">الفيوم </t>
        </is>
      </c>
      <c r="H359" s="46" t="inlineStr">
        <is>
          <t>833026/9</t>
        </is>
      </c>
      <c r="I359" s="46" t="inlineStr">
        <is>
          <t>ع ر ب1573</t>
        </is>
      </c>
      <c r="J359" s="46" t="inlineStr">
        <is>
          <t xml:space="preserve">محمد السيد </t>
        </is>
      </c>
      <c r="K359" s="46" t="inlineStr">
        <is>
          <t xml:space="preserve">حمو مرزوق </t>
        </is>
      </c>
      <c r="L359" s="47" t="n">
        <v>17000</v>
      </c>
      <c r="M359" s="47" t="n">
        <v>9100</v>
      </c>
      <c r="N359" s="47" t="n"/>
      <c r="O359" s="47" t="n">
        <v>200</v>
      </c>
      <c r="P359" s="47" t="n"/>
      <c r="Q359" s="47" t="n">
        <v>7700</v>
      </c>
      <c r="R359" s="43">
        <f>IF($B359="","",N($S359)-N($Q359))</f>
        <v/>
      </c>
      <c r="S359" s="43">
        <f>IF($B359="","",N($L359)+N($N359)+N($P359))</f>
        <v/>
      </c>
      <c r="T359" s="47" t="n"/>
      <c r="U359" s="47" t="n"/>
      <c r="V359" s="47" t="n"/>
      <c r="W359" s="47" t="n"/>
      <c r="X359" s="47" t="n"/>
      <c r="Y359" s="47" t="n"/>
      <c r="Z359" s="47" t="n"/>
      <c r="AA359" s="47" t="n"/>
      <c r="AB359" s="47" t="n"/>
      <c r="AC359" s="47" t="n"/>
      <c r="AD359" s="47" t="n"/>
      <c r="AE359" s="47" t="n"/>
      <c r="AF359" s="43">
        <f>IF($B359="","",SUM($T359:$AE359))</f>
        <v/>
      </c>
      <c r="AG359" s="43">
        <f>IF($B359="","",N($M359)-N($AF359))</f>
        <v/>
      </c>
      <c r="AH359" s="43">
        <f>IF($B359="","",N($L359)-N($AF359))</f>
        <v/>
      </c>
      <c r="AI359" s="149">
        <f>IF($B359="","",IF(N($L359)=0,"",(N($L359)-N($AF359))/N($L359)))</f>
        <v/>
      </c>
    </row>
    <row r="360">
      <c r="A360" s="39">
        <f>IF($B360="","",COUNTA($B$4:$B360))</f>
        <v/>
      </c>
      <c r="B360" s="40" t="n">
        <v>46062</v>
      </c>
      <c r="C360" s="41" t="n">
        <v>1794</v>
      </c>
      <c r="D360" s="41" t="inlineStr">
        <is>
          <t>الوردانى</t>
        </is>
      </c>
      <c r="E360" s="41" t="inlineStr">
        <is>
          <t>1*40 ث</t>
        </is>
      </c>
      <c r="F360" s="41" t="inlineStr">
        <is>
          <t xml:space="preserve">الفتح </t>
        </is>
      </c>
      <c r="G360" s="41" t="inlineStr">
        <is>
          <t xml:space="preserve">النوبارية </t>
        </is>
      </c>
      <c r="H360" s="41" t="inlineStr">
        <is>
          <t>930359/2</t>
        </is>
      </c>
      <c r="I360" s="41" t="inlineStr">
        <is>
          <t>س ع ه 2426</t>
        </is>
      </c>
      <c r="J360" s="41" t="inlineStr">
        <is>
          <t xml:space="preserve">اسلام الوردانى </t>
        </is>
      </c>
      <c r="K360" s="41" t="inlineStr">
        <is>
          <t xml:space="preserve">الوردانى </t>
        </is>
      </c>
      <c r="L360" s="42" t="n">
        <v>11000</v>
      </c>
      <c r="M360" s="42" t="n">
        <v>8100</v>
      </c>
      <c r="N360" s="42" t="n"/>
      <c r="O360" s="42" t="n">
        <v>200</v>
      </c>
      <c r="P360" s="42" t="n"/>
      <c r="Q360" s="42" t="n">
        <v>2700</v>
      </c>
      <c r="R360" s="43">
        <f>IF($B360="","",N($S360)-N($Q360))</f>
        <v/>
      </c>
      <c r="S360" s="43">
        <f>IF($B360="","",N($L360)+N($N360)+N($P360))</f>
        <v/>
      </c>
      <c r="T360" s="42" t="n"/>
      <c r="U360" s="42" t="n"/>
      <c r="V360" s="42" t="n"/>
      <c r="W360" s="42" t="n"/>
      <c r="X360" s="42" t="n"/>
      <c r="Y360" s="42" t="n"/>
      <c r="Z360" s="42" t="n"/>
      <c r="AA360" s="42" t="n"/>
      <c r="AB360" s="42" t="n"/>
      <c r="AC360" s="42" t="n"/>
      <c r="AD360" s="42" t="n"/>
      <c r="AE360" s="42" t="n"/>
      <c r="AF360" s="43">
        <f>IF($B360="","",SUM($T360:$AE360))</f>
        <v/>
      </c>
      <c r="AG360" s="43">
        <f>IF($B360="","",N($M360)-N($AF360))</f>
        <v/>
      </c>
      <c r="AH360" s="43">
        <f>IF($B360="","",N($L360)-N($AF360))</f>
        <v/>
      </c>
      <c r="AI360" s="149">
        <f>IF($B360="","",IF(N($L360)=0,"",(N($L360)-N($AF360))/N($L360)))</f>
        <v/>
      </c>
    </row>
    <row r="361">
      <c r="A361" s="39">
        <f>IF($B361="","",COUNTA($B$4:$B361))</f>
        <v/>
      </c>
      <c r="B361" s="45" t="n">
        <v>46062</v>
      </c>
      <c r="C361" s="46" t="n">
        <v>1795</v>
      </c>
      <c r="D361" s="46" t="inlineStr">
        <is>
          <t>عتريس مخيمر  خ</t>
        </is>
      </c>
      <c r="E361" s="46" t="inlineStr">
        <is>
          <t>1*40 ث</t>
        </is>
      </c>
      <c r="F361" s="46" t="inlineStr">
        <is>
          <t xml:space="preserve">الفتح </t>
        </is>
      </c>
      <c r="G361" s="46" t="inlineStr">
        <is>
          <t xml:space="preserve">النوبارية </t>
        </is>
      </c>
      <c r="H361" s="46" t="inlineStr">
        <is>
          <t>653809/9</t>
        </is>
      </c>
      <c r="I361" s="46" t="inlineStr">
        <is>
          <t>ط ق ر 1474</t>
        </is>
      </c>
      <c r="J361" s="46" t="inlineStr">
        <is>
          <t xml:space="preserve">جمال على </t>
        </is>
      </c>
      <c r="K361" s="46" t="inlineStr">
        <is>
          <t xml:space="preserve">كريم خليف </t>
        </is>
      </c>
      <c r="L361" s="47" t="n">
        <v>11000</v>
      </c>
      <c r="M361" s="47" t="n">
        <v>8100</v>
      </c>
      <c r="N361" s="47" t="n"/>
      <c r="O361" s="47" t="n">
        <v>200</v>
      </c>
      <c r="P361" s="47" t="n"/>
      <c r="Q361" s="47" t="n">
        <v>2700</v>
      </c>
      <c r="R361" s="43">
        <f>IF($B361="","",N($S361)-N($Q361))</f>
        <v/>
      </c>
      <c r="S361" s="43">
        <f>IF($B361="","",N($L361)+N($N361)+N($P361))</f>
        <v/>
      </c>
      <c r="T361" s="47" t="n"/>
      <c r="U361" s="47" t="n"/>
      <c r="V361" s="47" t="n"/>
      <c r="W361" s="47" t="n"/>
      <c r="X361" s="47" t="n"/>
      <c r="Y361" s="47" t="n"/>
      <c r="Z361" s="47" t="n"/>
      <c r="AA361" s="47" t="n"/>
      <c r="AB361" s="47" t="n"/>
      <c r="AC361" s="47" t="n"/>
      <c r="AD361" s="47" t="n"/>
      <c r="AE361" s="47" t="n"/>
      <c r="AF361" s="43">
        <f>IF($B361="","",SUM($T361:$AE361))</f>
        <v/>
      </c>
      <c r="AG361" s="43">
        <f>IF($B361="","",N($M361)-N($AF361))</f>
        <v/>
      </c>
      <c r="AH361" s="43">
        <f>IF($B361="","",N($L361)-N($AF361))</f>
        <v/>
      </c>
      <c r="AI361" s="149">
        <f>IF($B361="","",IF(N($L361)=0,"",(N($L361)-N($AF361))/N($L361)))</f>
        <v/>
      </c>
    </row>
    <row r="362">
      <c r="A362" s="39">
        <f>IF($B362="","",COUNTA($B$4:$B362))</f>
        <v/>
      </c>
      <c r="B362" s="40" t="n">
        <v>46062</v>
      </c>
      <c r="C362" s="41" t="n">
        <v>1796</v>
      </c>
      <c r="D362" s="41" t="inlineStr">
        <is>
          <t>كمال رزق خ</t>
        </is>
      </c>
      <c r="E362" s="41" t="inlineStr">
        <is>
          <t>1*40 ث</t>
        </is>
      </c>
      <c r="F362" s="41" t="inlineStr">
        <is>
          <t xml:space="preserve">الفتح </t>
        </is>
      </c>
      <c r="G362" s="41" t="inlineStr">
        <is>
          <t xml:space="preserve">النوبارية </t>
        </is>
      </c>
      <c r="H362" s="41" t="inlineStr">
        <is>
          <t>900119/7</t>
        </is>
      </c>
      <c r="I362" s="41" t="inlineStr">
        <is>
          <t>س ن ر 8979</t>
        </is>
      </c>
      <c r="J362" s="41" t="inlineStr">
        <is>
          <t xml:space="preserve">عماد سعيد </t>
        </is>
      </c>
      <c r="K362" s="41" t="inlineStr">
        <is>
          <t xml:space="preserve">عماد سعيد </t>
        </is>
      </c>
      <c r="L362" s="42" t="n">
        <v>11000</v>
      </c>
      <c r="M362" s="42" t="n">
        <v>8100</v>
      </c>
      <c r="N362" s="42" t="n"/>
      <c r="O362" s="42" t="n">
        <v>200</v>
      </c>
      <c r="P362" s="42" t="n"/>
      <c r="Q362" s="42" t="n">
        <v>2700</v>
      </c>
      <c r="R362" s="43">
        <f>IF($B362="","",N($S362)-N($Q362))</f>
        <v/>
      </c>
      <c r="S362" s="43">
        <f>IF($B362="","",N($L362)+N($N362)+N($P362))</f>
        <v/>
      </c>
      <c r="T362" s="42" t="n"/>
      <c r="U362" s="42" t="n"/>
      <c r="V362" s="42" t="n"/>
      <c r="W362" s="42" t="n"/>
      <c r="X362" s="42" t="n"/>
      <c r="Y362" s="42" t="n"/>
      <c r="Z362" s="42" t="n"/>
      <c r="AA362" s="42" t="n"/>
      <c r="AB362" s="42" t="n"/>
      <c r="AC362" s="42" t="n"/>
      <c r="AD362" s="42" t="n"/>
      <c r="AE362" s="42" t="n"/>
      <c r="AF362" s="43">
        <f>IF($B362="","",SUM($T362:$AE362))</f>
        <v/>
      </c>
      <c r="AG362" s="43">
        <f>IF($B362="","",N($M362)-N($AF362))</f>
        <v/>
      </c>
      <c r="AH362" s="43">
        <f>IF($B362="","",N($L362)-N($AF362))</f>
        <v/>
      </c>
      <c r="AI362" s="149">
        <f>IF($B362="","",IF(N($L362)=0,"",(N($L362)-N($AF362))/N($L362)))</f>
        <v/>
      </c>
    </row>
    <row r="363">
      <c r="A363" s="39">
        <f>IF($B363="","",COUNTA($B$4:$B363))</f>
        <v/>
      </c>
      <c r="B363" s="45" t="n">
        <v>46062</v>
      </c>
      <c r="C363" s="46" t="n">
        <v>1797</v>
      </c>
      <c r="D363" s="46" t="inlineStr">
        <is>
          <t xml:space="preserve">حمادة الصعيدى </t>
        </is>
      </c>
      <c r="E363" s="46" t="inlineStr">
        <is>
          <t>1*40 ث</t>
        </is>
      </c>
      <c r="F363" s="46" t="inlineStr">
        <is>
          <t xml:space="preserve">لفتح </t>
        </is>
      </c>
      <c r="G363" s="46" t="inlineStr">
        <is>
          <t xml:space="preserve">النوبارية </t>
        </is>
      </c>
      <c r="H363" s="46" t="inlineStr">
        <is>
          <t>900110/5</t>
        </is>
      </c>
      <c r="I363" s="46" t="inlineStr">
        <is>
          <t>س د و 5797</t>
        </is>
      </c>
      <c r="J363" s="46" t="inlineStr">
        <is>
          <t xml:space="preserve">محمد مصطفى </t>
        </is>
      </c>
      <c r="K363" s="46" t="inlineStr">
        <is>
          <t xml:space="preserve">حمادة الصعيدى </t>
        </is>
      </c>
      <c r="L363" s="47" t="n">
        <v>11000</v>
      </c>
      <c r="M363" s="47" t="n">
        <v>8100</v>
      </c>
      <c r="N363" s="47" t="n"/>
      <c r="O363" s="47" t="n">
        <v>200</v>
      </c>
      <c r="P363" s="47" t="n"/>
      <c r="Q363" s="47" t="n">
        <v>2700</v>
      </c>
      <c r="R363" s="43">
        <f>IF($B363="","",N($S363)-N($Q363))</f>
        <v/>
      </c>
      <c r="S363" s="43">
        <f>IF($B363="","",N($L363)+N($N363)+N($P363))</f>
        <v/>
      </c>
      <c r="T363" s="47" t="n"/>
      <c r="U363" s="47" t="n"/>
      <c r="V363" s="47" t="n"/>
      <c r="W363" s="47" t="n"/>
      <c r="X363" s="47" t="n"/>
      <c r="Y363" s="47" t="n"/>
      <c r="Z363" s="47" t="n"/>
      <c r="AA363" s="47" t="n"/>
      <c r="AB363" s="47" t="n"/>
      <c r="AC363" s="47" t="n"/>
      <c r="AD363" s="47" t="n"/>
      <c r="AE363" s="47" t="n"/>
      <c r="AF363" s="43">
        <f>IF($B363="","",SUM($T363:$AE363))</f>
        <v/>
      </c>
      <c r="AG363" s="43">
        <f>IF($B363="","",N($M363)-N($AF363))</f>
        <v/>
      </c>
      <c r="AH363" s="43">
        <f>IF($B363="","",N($L363)-N($AF363))</f>
        <v/>
      </c>
      <c r="AI363" s="149">
        <f>IF($B363="","",IF(N($L363)=0,"",(N($L363)-N($AF363))/N($L363)))</f>
        <v/>
      </c>
    </row>
    <row r="364">
      <c r="A364" s="39">
        <f>IF($B364="","",COUNTA($B$4:$B364))</f>
        <v/>
      </c>
      <c r="B364" s="40" t="n">
        <v>46062</v>
      </c>
      <c r="C364" s="41" t="n">
        <v>2026</v>
      </c>
      <c r="D364" s="41" t="inlineStr">
        <is>
          <t>الانصارى خ</t>
        </is>
      </c>
      <c r="E364" s="41" t="inlineStr">
        <is>
          <t>1*40</t>
        </is>
      </c>
      <c r="F364" s="41" t="inlineStr">
        <is>
          <t xml:space="preserve">يونايتد  </t>
        </is>
      </c>
      <c r="G364" s="41" t="inlineStr">
        <is>
          <t>العاشر</t>
        </is>
      </c>
      <c r="H364" s="41" t="inlineStr">
        <is>
          <t>648388/9</t>
        </is>
      </c>
      <c r="I364" s="41" t="inlineStr">
        <is>
          <t>ب ص ا 2574</t>
        </is>
      </c>
      <c r="J364" s="41" t="inlineStr">
        <is>
          <t xml:space="preserve">محمد البحيرى </t>
        </is>
      </c>
      <c r="K364" s="41" t="inlineStr">
        <is>
          <t xml:space="preserve">احمد خليف </t>
        </is>
      </c>
      <c r="L364" s="42" t="n">
        <v>14500</v>
      </c>
      <c r="M364" s="42" t="n">
        <v>8100</v>
      </c>
      <c r="N364" s="42" t="n"/>
      <c r="O364" s="42" t="n">
        <v>200</v>
      </c>
      <c r="P364" s="42" t="n"/>
      <c r="Q364" s="42" t="n">
        <v>6200</v>
      </c>
      <c r="R364" s="43">
        <f>IF($B364="","",N($S364)-N($Q364))</f>
        <v/>
      </c>
      <c r="S364" s="43">
        <f>IF($B364="","",N($L364)+N($N364)+N($P364))</f>
        <v/>
      </c>
      <c r="T364" s="42" t="n"/>
      <c r="U364" s="42" t="n"/>
      <c r="V364" s="42" t="n"/>
      <c r="W364" s="42" t="n"/>
      <c r="X364" s="42" t="n"/>
      <c r="Y364" s="42" t="n"/>
      <c r="Z364" s="42" t="n"/>
      <c r="AA364" s="42" t="n"/>
      <c r="AB364" s="42" t="n"/>
      <c r="AC364" s="42" t="n"/>
      <c r="AD364" s="42" t="n"/>
      <c r="AE364" s="42" t="n"/>
      <c r="AF364" s="43">
        <f>IF($B364="","",SUM($T364:$AE364))</f>
        <v/>
      </c>
      <c r="AG364" s="43">
        <f>IF($B364="","",N($M364)-N($AF364))</f>
        <v/>
      </c>
      <c r="AH364" s="43">
        <f>IF($B364="","",N($L364)-N($AF364))</f>
        <v/>
      </c>
      <c r="AI364" s="149">
        <f>IF($B364="","",IF(N($L364)=0,"",(N($L364)-N($AF364))/N($L364)))</f>
        <v/>
      </c>
    </row>
    <row r="365">
      <c r="A365" s="39">
        <f>IF($B365="","",COUNTA($B$4:$B365))</f>
        <v/>
      </c>
      <c r="B365" s="45" t="n">
        <v>46063</v>
      </c>
      <c r="C365" s="46" t="n">
        <v>1949</v>
      </c>
      <c r="D365" s="46" t="inlineStr">
        <is>
          <t>سعد منير</t>
        </is>
      </c>
      <c r="E365" s="46" t="inlineStr">
        <is>
          <t>1*40</t>
        </is>
      </c>
      <c r="F365" s="46" t="inlineStr">
        <is>
          <t xml:space="preserve">الكرم </t>
        </is>
      </c>
      <c r="G365" s="46" t="inlineStr">
        <is>
          <t xml:space="preserve">العاشر </t>
        </is>
      </c>
      <c r="H365" s="46" t="inlineStr">
        <is>
          <t>573215/8</t>
        </is>
      </c>
      <c r="I365" s="46" t="inlineStr">
        <is>
          <t>ب د ن 6317</t>
        </is>
      </c>
      <c r="J365" s="46" t="inlineStr">
        <is>
          <t xml:space="preserve">محمود الذهبى </t>
        </is>
      </c>
      <c r="K365" s="46" t="inlineStr">
        <is>
          <t xml:space="preserve">العاشر </t>
        </is>
      </c>
      <c r="L365" s="47" t="n">
        <v>14000</v>
      </c>
      <c r="M365" s="47" t="n">
        <v>8100</v>
      </c>
      <c r="N365" s="47" t="n"/>
      <c r="O365" s="47" t="n">
        <v>200</v>
      </c>
      <c r="P365" s="47" t="n"/>
      <c r="Q365" s="47" t="n">
        <v>5700</v>
      </c>
      <c r="R365" s="43">
        <f>IF($B365="","",N($S365)-N($Q365))</f>
        <v/>
      </c>
      <c r="S365" s="43">
        <f>IF($B365="","",N($L365)+N($N365)+N($P365))</f>
        <v/>
      </c>
      <c r="T365" s="47" t="n"/>
      <c r="U365" s="47" t="n"/>
      <c r="V365" s="47" t="n"/>
      <c r="W365" s="47" t="n"/>
      <c r="X365" s="47" t="n"/>
      <c r="Y365" s="47" t="n"/>
      <c r="Z365" s="47" t="n"/>
      <c r="AA365" s="47" t="n"/>
      <c r="AB365" s="47" t="n"/>
      <c r="AC365" s="47" t="n"/>
      <c r="AD365" s="47" t="n"/>
      <c r="AE365" s="47" t="n"/>
      <c r="AF365" s="43">
        <f>IF($B365="","",SUM($T365:$AE365))</f>
        <v/>
      </c>
      <c r="AG365" s="43">
        <f>IF($B365="","",N($M365)-N($AF365))</f>
        <v/>
      </c>
      <c r="AH365" s="43">
        <f>IF($B365="","",N($L365)-N($AF365))</f>
        <v/>
      </c>
      <c r="AI365" s="149">
        <f>IF($B365="","",IF(N($L365)=0,"",(N($L365)-N($AF365))/N($L365)))</f>
        <v/>
      </c>
    </row>
    <row r="366">
      <c r="A366" s="39">
        <f>IF($B366="","",COUNTA($B$4:$B366))</f>
        <v/>
      </c>
      <c r="B366" s="40" t="n">
        <v>46063</v>
      </c>
      <c r="C366" s="41" t="n">
        <v>1948</v>
      </c>
      <c r="D366" s="41" t="inlineStr">
        <is>
          <t>محمد عتمان</t>
        </is>
      </c>
      <c r="E366" s="41" t="inlineStr">
        <is>
          <t>1*40</t>
        </is>
      </c>
      <c r="F366" s="41" t="inlineStr">
        <is>
          <t xml:space="preserve">الكرم </t>
        </is>
      </c>
      <c r="G366" s="41" t="inlineStr">
        <is>
          <t xml:space="preserve">العاشر </t>
        </is>
      </c>
      <c r="H366" s="41" t="inlineStr">
        <is>
          <t>766336/0</t>
        </is>
      </c>
      <c r="I366" s="41" t="inlineStr">
        <is>
          <t>ب ص ا 5364</t>
        </is>
      </c>
      <c r="J366" s="41" t="inlineStr">
        <is>
          <t xml:space="preserve">محمد المنوفى </t>
        </is>
      </c>
      <c r="K366" s="41" t="inlineStr">
        <is>
          <t xml:space="preserve">استوريا </t>
        </is>
      </c>
      <c r="L366" s="42" t="n">
        <v>14000</v>
      </c>
      <c r="M366" s="42" t="n">
        <v>8100</v>
      </c>
      <c r="N366" s="42" t="n"/>
      <c r="O366" s="42" t="n">
        <v>200</v>
      </c>
      <c r="P366" s="42" t="n"/>
      <c r="Q366" s="42" t="n">
        <v>5700</v>
      </c>
      <c r="R366" s="43">
        <f>IF($B366="","",N($S366)-N($Q366))</f>
        <v/>
      </c>
      <c r="S366" s="43">
        <f>IF($B366="","",N($L366)+N($N366)+N($P366))</f>
        <v/>
      </c>
      <c r="T366" s="42" t="n"/>
      <c r="U366" s="42" t="n"/>
      <c r="V366" s="42" t="n"/>
      <c r="W366" s="42" t="n"/>
      <c r="X366" s="42" t="n"/>
      <c r="Y366" s="42" t="n"/>
      <c r="Z366" s="42" t="n"/>
      <c r="AA366" s="42" t="n"/>
      <c r="AB366" s="42" t="n"/>
      <c r="AC366" s="42" t="n"/>
      <c r="AD366" s="42" t="n"/>
      <c r="AE366" s="42" t="n"/>
      <c r="AF366" s="43">
        <f>IF($B366="","",SUM($T366:$AE366))</f>
        <v/>
      </c>
      <c r="AG366" s="43">
        <f>IF($B366="","",N($M366)-N($AF366))</f>
        <v/>
      </c>
      <c r="AH366" s="43">
        <f>IF($B366="","",N($L366)-N($AF366))</f>
        <v/>
      </c>
      <c r="AI366" s="149">
        <f>IF($B366="","",IF(N($L366)=0,"",(N($L366)-N($AF366))/N($L366)))</f>
        <v/>
      </c>
    </row>
    <row r="367">
      <c r="A367" s="39">
        <f>IF($B367="","",COUNTA($B$4:$B367))</f>
        <v/>
      </c>
      <c r="B367" s="45" t="n">
        <v>46063</v>
      </c>
      <c r="C367" s="46" t="n">
        <v>1808</v>
      </c>
      <c r="D367" s="46" t="inlineStr">
        <is>
          <t>سعد منير</t>
        </is>
      </c>
      <c r="E367" s="46" t="inlineStr">
        <is>
          <t>1*40</t>
        </is>
      </c>
      <c r="F367" s="46" t="inlineStr">
        <is>
          <t xml:space="preserve">اورينت </t>
        </is>
      </c>
      <c r="G367" s="46" t="inlineStr">
        <is>
          <t xml:space="preserve">العاشر </t>
        </is>
      </c>
      <c r="H367" s="46" t="inlineStr">
        <is>
          <t>601172/9</t>
        </is>
      </c>
      <c r="I367" s="46" t="inlineStr">
        <is>
          <t>ب ج ط 9147</t>
        </is>
      </c>
      <c r="J367" s="46" t="inlineStr">
        <is>
          <t xml:space="preserve">رضا بكر </t>
        </is>
      </c>
      <c r="K367" s="46" t="inlineStr">
        <is>
          <t xml:space="preserve">استوريا </t>
        </is>
      </c>
      <c r="L367" s="47" t="n">
        <v>14000</v>
      </c>
      <c r="M367" s="47" t="n">
        <v>8100</v>
      </c>
      <c r="N367" s="47" t="n"/>
      <c r="O367" s="47" t="n">
        <v>200</v>
      </c>
      <c r="P367" s="47" t="n"/>
      <c r="Q367" s="47" t="n">
        <v>5700</v>
      </c>
      <c r="R367" s="43">
        <f>IF($B367="","",N($S367)-N($Q367))</f>
        <v/>
      </c>
      <c r="S367" s="43">
        <f>IF($B367="","",N($L367)+N($N367)+N($P367))</f>
        <v/>
      </c>
      <c r="T367" s="47" t="n"/>
      <c r="U367" s="47" t="n"/>
      <c r="V367" s="47" t="n"/>
      <c r="W367" s="47" t="n"/>
      <c r="X367" s="47" t="n"/>
      <c r="Y367" s="47" t="n"/>
      <c r="Z367" s="47" t="n"/>
      <c r="AA367" s="47" t="n"/>
      <c r="AB367" s="47" t="n"/>
      <c r="AC367" s="47" t="n"/>
      <c r="AD367" s="47" t="n"/>
      <c r="AE367" s="47" t="n"/>
      <c r="AF367" s="43">
        <f>IF($B367="","",SUM($T367:$AE367))</f>
        <v/>
      </c>
      <c r="AG367" s="43">
        <f>IF($B367="","",N($M367)-N($AF367))</f>
        <v/>
      </c>
      <c r="AH367" s="43">
        <f>IF($B367="","",N($L367)-N($AF367))</f>
        <v/>
      </c>
      <c r="AI367" s="149">
        <f>IF($B367="","",IF(N($L367)=0,"",(N($L367)-N($AF367))/N($L367)))</f>
        <v/>
      </c>
    </row>
    <row r="368">
      <c r="A368" s="39">
        <f>IF($B368="","",COUNTA($B$4:$B368))</f>
        <v/>
      </c>
      <c r="B368" s="40" t="n">
        <v>46063</v>
      </c>
      <c r="C368" s="41" t="n">
        <v>1809</v>
      </c>
      <c r="D368" s="41" t="inlineStr">
        <is>
          <t>سعد منير</t>
        </is>
      </c>
      <c r="E368" s="41" t="inlineStr">
        <is>
          <t>1*40</t>
        </is>
      </c>
      <c r="F368" s="41" t="inlineStr">
        <is>
          <t xml:space="preserve">اورينت </t>
        </is>
      </c>
      <c r="G368" s="41" t="inlineStr">
        <is>
          <t xml:space="preserve">العاشر </t>
        </is>
      </c>
      <c r="H368" s="41" t="inlineStr">
        <is>
          <t>612176/8</t>
        </is>
      </c>
      <c r="I368" s="41" t="inlineStr">
        <is>
          <t>ب د ن 1879</t>
        </is>
      </c>
      <c r="J368" s="41" t="inlineStr">
        <is>
          <t xml:space="preserve">عبد الله خير </t>
        </is>
      </c>
      <c r="K368" s="41" t="inlineStr">
        <is>
          <t xml:space="preserve">استوريا </t>
        </is>
      </c>
      <c r="L368" s="42" t="n">
        <v>14000</v>
      </c>
      <c r="M368" s="42" t="n">
        <v>8100</v>
      </c>
      <c r="N368" s="42" t="n"/>
      <c r="O368" s="42" t="n">
        <v>200</v>
      </c>
      <c r="P368" s="42" t="n"/>
      <c r="Q368" s="42" t="n">
        <v>5700</v>
      </c>
      <c r="R368" s="43">
        <f>IF($B368="","",N($S368)-N($Q368))</f>
        <v/>
      </c>
      <c r="S368" s="43">
        <f>IF($B368="","",N($L368)+N($N368)+N($P368))</f>
        <v/>
      </c>
      <c r="T368" s="42" t="n"/>
      <c r="U368" s="42" t="n"/>
      <c r="V368" s="42" t="n"/>
      <c r="W368" s="42" t="n"/>
      <c r="X368" s="42" t="n"/>
      <c r="Y368" s="42" t="n"/>
      <c r="Z368" s="42" t="n"/>
      <c r="AA368" s="42" t="n"/>
      <c r="AB368" s="42" t="n"/>
      <c r="AC368" s="42" t="n"/>
      <c r="AD368" s="42" t="n"/>
      <c r="AE368" s="42" t="n"/>
      <c r="AF368" s="43">
        <f>IF($B368="","",SUM($T368:$AE368))</f>
        <v/>
      </c>
      <c r="AG368" s="43">
        <f>IF($B368="","",N($M368)-N($AF368))</f>
        <v/>
      </c>
      <c r="AH368" s="43">
        <f>IF($B368="","",N($L368)-N($AF368))</f>
        <v/>
      </c>
      <c r="AI368" s="149">
        <f>IF($B368="","",IF(N($L368)=0,"",(N($L368)-N($AF368))/N($L368)))</f>
        <v/>
      </c>
    </row>
    <row r="369">
      <c r="A369" s="39">
        <f>IF($B369="","",COUNTA($B$4:$B369))</f>
        <v/>
      </c>
      <c r="B369" s="45" t="n">
        <v>46063</v>
      </c>
      <c r="C369" s="46" t="n">
        <v>1810</v>
      </c>
      <c r="D369" s="46" t="inlineStr">
        <is>
          <t>محمد رمضان</t>
        </is>
      </c>
      <c r="E369" s="46" t="inlineStr">
        <is>
          <t>1*40</t>
        </is>
      </c>
      <c r="F369" s="46" t="inlineStr">
        <is>
          <t xml:space="preserve">اورينت </t>
        </is>
      </c>
      <c r="G369" s="46" t="inlineStr">
        <is>
          <t xml:space="preserve">العاشر </t>
        </is>
      </c>
      <c r="H369" s="46" t="inlineStr">
        <is>
          <t>412993/3</t>
        </is>
      </c>
      <c r="I369" s="46" t="inlineStr">
        <is>
          <t>ق ص ه 5247</t>
        </is>
      </c>
      <c r="J369" s="46" t="inlineStr">
        <is>
          <t xml:space="preserve">محمد طعيمة </t>
        </is>
      </c>
      <c r="K369" s="46" t="inlineStr">
        <is>
          <t xml:space="preserve">الليبر </t>
        </is>
      </c>
      <c r="L369" s="47" t="n">
        <v>14000</v>
      </c>
      <c r="M369" s="47" t="n">
        <v>8100</v>
      </c>
      <c r="N369" s="47" t="n"/>
      <c r="O369" s="47" t="n">
        <v>200</v>
      </c>
      <c r="P369" s="47" t="n"/>
      <c r="Q369" s="47" t="n">
        <v>5700</v>
      </c>
      <c r="R369" s="43">
        <f>IF($B369="","",N($S369)-N($Q369))</f>
        <v/>
      </c>
      <c r="S369" s="43">
        <f>IF($B369="","",N($L369)+N($N369)+N($P369))</f>
        <v/>
      </c>
      <c r="T369" s="47" t="n"/>
      <c r="U369" s="47" t="n"/>
      <c r="V369" s="47" t="n"/>
      <c r="W369" s="47" t="n"/>
      <c r="X369" s="47" t="n"/>
      <c r="Y369" s="47" t="n"/>
      <c r="Z369" s="47" t="n"/>
      <c r="AA369" s="47" t="n"/>
      <c r="AB369" s="47" t="n"/>
      <c r="AC369" s="47" t="n"/>
      <c r="AD369" s="47" t="n"/>
      <c r="AE369" s="47" t="n"/>
      <c r="AF369" s="43">
        <f>IF($B369="","",SUM($T369:$AE369))</f>
        <v/>
      </c>
      <c r="AG369" s="43">
        <f>IF($B369="","",N($M369)-N($AF369))</f>
        <v/>
      </c>
      <c r="AH369" s="43">
        <f>IF($B369="","",N($L369)-N($AF369))</f>
        <v/>
      </c>
      <c r="AI369" s="149">
        <f>IF($B369="","",IF(N($L369)=0,"",(N($L369)-N($AF369))/N($L369)))</f>
        <v/>
      </c>
    </row>
    <row r="370">
      <c r="A370" s="39">
        <f>IF($B370="","",COUNTA($B$4:$B370))</f>
        <v/>
      </c>
      <c r="B370" s="40" t="n">
        <v>46063</v>
      </c>
      <c r="C370" s="41" t="n">
        <v>1811</v>
      </c>
      <c r="D370" s="41" t="inlineStr">
        <is>
          <t xml:space="preserve">ابو ركبة </t>
        </is>
      </c>
      <c r="E370" s="41" t="inlineStr">
        <is>
          <t>1*40</t>
        </is>
      </c>
      <c r="F370" s="41" t="inlineStr">
        <is>
          <t>اورينت</t>
        </is>
      </c>
      <c r="G370" s="41" t="inlineStr">
        <is>
          <t xml:space="preserve">العاشر </t>
        </is>
      </c>
      <c r="H370" s="41" t="inlineStr">
        <is>
          <t>424028/1</t>
        </is>
      </c>
      <c r="I370" s="41" t="inlineStr">
        <is>
          <t>س ا ه 4145</t>
        </is>
      </c>
      <c r="J370" s="41" t="inlineStr">
        <is>
          <t xml:space="preserve">احمد هريدى </t>
        </is>
      </c>
      <c r="K370" s="41" t="inlineStr">
        <is>
          <t xml:space="preserve">الليبر </t>
        </is>
      </c>
      <c r="L370" s="42" t="n">
        <v>14000</v>
      </c>
      <c r="M370" s="42" t="n">
        <v>8100</v>
      </c>
      <c r="N370" s="42" t="n"/>
      <c r="O370" s="42" t="n">
        <v>200</v>
      </c>
      <c r="P370" s="42" t="n"/>
      <c r="Q370" s="42" t="n">
        <v>5700</v>
      </c>
      <c r="R370" s="43">
        <f>IF($B370="","",N($S370)-N($Q370))</f>
        <v/>
      </c>
      <c r="S370" s="43">
        <f>IF($B370="","",N($L370)+N($N370)+N($P370))</f>
        <v/>
      </c>
      <c r="T370" s="42" t="n"/>
      <c r="U370" s="42" t="n"/>
      <c r="V370" s="42" t="n"/>
      <c r="W370" s="42" t="n"/>
      <c r="X370" s="42" t="n"/>
      <c r="Y370" s="42" t="n"/>
      <c r="Z370" s="42" t="n"/>
      <c r="AA370" s="42" t="n"/>
      <c r="AB370" s="42" t="n"/>
      <c r="AC370" s="42" t="n"/>
      <c r="AD370" s="42" t="n"/>
      <c r="AE370" s="42" t="n"/>
      <c r="AF370" s="43">
        <f>IF($B370="","",SUM($T370:$AE370))</f>
        <v/>
      </c>
      <c r="AG370" s="43">
        <f>IF($B370="","",N($M370)-N($AF370))</f>
        <v/>
      </c>
      <c r="AH370" s="43">
        <f>IF($B370="","",N($L370)-N($AF370))</f>
        <v/>
      </c>
      <c r="AI370" s="149">
        <f>IF($B370="","",IF(N($L370)=0,"",(N($L370)-N($AF370))/N($L370)))</f>
        <v/>
      </c>
    </row>
    <row r="371">
      <c r="A371" s="39">
        <f>IF($B371="","",COUNTA($B$4:$B371))</f>
        <v/>
      </c>
      <c r="B371" s="45" t="n">
        <v>46063</v>
      </c>
      <c r="C371" s="46" t="n">
        <v>1813</v>
      </c>
      <c r="D371" s="46" t="inlineStr">
        <is>
          <t>احمد عبدو خ</t>
        </is>
      </c>
      <c r="E371" s="46" t="inlineStr">
        <is>
          <t>1*40</t>
        </is>
      </c>
      <c r="F371" s="46" t="inlineStr">
        <is>
          <t xml:space="preserve">ايزو مصر </t>
        </is>
      </c>
      <c r="G371" s="46" t="inlineStr">
        <is>
          <t xml:space="preserve">قويسنا </t>
        </is>
      </c>
      <c r="H371" s="46" t="inlineStr">
        <is>
          <t>633668/4</t>
        </is>
      </c>
      <c r="I371" s="46" t="inlineStr">
        <is>
          <t>س ر ا 6671</t>
        </is>
      </c>
      <c r="J371" s="46" t="inlineStr">
        <is>
          <t xml:space="preserve">السيد مرسى </t>
        </is>
      </c>
      <c r="K371" s="46" t="inlineStr">
        <is>
          <t xml:space="preserve">حمو مرزوق </t>
        </is>
      </c>
      <c r="L371" s="47" t="n">
        <v>11700</v>
      </c>
      <c r="M371" s="47" t="n">
        <v>7100</v>
      </c>
      <c r="N371" s="47" t="n"/>
      <c r="O371" s="47" t="n">
        <v>200</v>
      </c>
      <c r="P371" s="47" t="n"/>
      <c r="Q371" s="47" t="n">
        <v>4400</v>
      </c>
      <c r="R371" s="43">
        <f>IF($B371="","",N($S371)-N($Q371))</f>
        <v/>
      </c>
      <c r="S371" s="43">
        <f>IF($B371="","",N($L371)+N($N371)+N($P371))</f>
        <v/>
      </c>
      <c r="T371" s="47" t="n"/>
      <c r="U371" s="47" t="n"/>
      <c r="V371" s="47" t="n"/>
      <c r="W371" s="47" t="n"/>
      <c r="X371" s="47" t="n"/>
      <c r="Y371" s="47" t="n"/>
      <c r="Z371" s="47" t="n"/>
      <c r="AA371" s="47" t="n"/>
      <c r="AB371" s="47" t="n"/>
      <c r="AC371" s="47" t="n"/>
      <c r="AD371" s="47" t="n"/>
      <c r="AE371" s="47" t="n"/>
      <c r="AF371" s="43">
        <f>IF($B371="","",SUM($T371:$AE371))</f>
        <v/>
      </c>
      <c r="AG371" s="43">
        <f>IF($B371="","",N($M371)-N($AF371))</f>
        <v/>
      </c>
      <c r="AH371" s="43">
        <f>IF($B371="","",N($L371)-N($AF371))</f>
        <v/>
      </c>
      <c r="AI371" s="149">
        <f>IF($B371="","",IF(N($L371)=0,"",(N($L371)-N($AF371))/N($L371)))</f>
        <v/>
      </c>
    </row>
    <row r="372">
      <c r="A372" s="39">
        <f>IF($B372="","",COUNTA($B$4:$B372))</f>
        <v/>
      </c>
      <c r="B372" s="40" t="n">
        <v>46063</v>
      </c>
      <c r="C372" s="41" t="n">
        <v>1814</v>
      </c>
      <c r="D372" s="41" t="inlineStr">
        <is>
          <t>سعد منير</t>
        </is>
      </c>
      <c r="E372" s="41" t="inlineStr">
        <is>
          <t>1*40</t>
        </is>
      </c>
      <c r="F372" s="41" t="inlineStr">
        <is>
          <t xml:space="preserve">ايزو مصر </t>
        </is>
      </c>
      <c r="G372" s="41" t="inlineStr">
        <is>
          <t xml:space="preserve">قويسنا </t>
        </is>
      </c>
      <c r="H372" s="41" t="inlineStr">
        <is>
          <t>423793/0</t>
        </is>
      </c>
      <c r="I372" s="41" t="inlineStr">
        <is>
          <t>ب ج ع 7962</t>
        </is>
      </c>
      <c r="J372" s="41" t="inlineStr">
        <is>
          <t xml:space="preserve">على العبد </t>
        </is>
      </c>
      <c r="K372" s="41" t="inlineStr">
        <is>
          <t xml:space="preserve">استوريا </t>
        </is>
      </c>
      <c r="L372" s="42" t="n">
        <v>11700</v>
      </c>
      <c r="M372" s="42" t="n">
        <v>7100</v>
      </c>
      <c r="N372" s="42" t="n"/>
      <c r="O372" s="42" t="n">
        <v>200</v>
      </c>
      <c r="P372" s="42" t="n"/>
      <c r="Q372" s="42" t="n">
        <v>4400</v>
      </c>
      <c r="R372" s="43">
        <f>IF($B372="","",N($S372)-N($Q372))</f>
        <v/>
      </c>
      <c r="S372" s="43">
        <f>IF($B372="","",N($L372)+N($N372)+N($P372))</f>
        <v/>
      </c>
      <c r="T372" s="42" t="n"/>
      <c r="U372" s="42" t="n"/>
      <c r="V372" s="42" t="n"/>
      <c r="W372" s="42" t="n"/>
      <c r="X372" s="42" t="n"/>
      <c r="Y372" s="42" t="n"/>
      <c r="Z372" s="42" t="n"/>
      <c r="AA372" s="42" t="n"/>
      <c r="AB372" s="42" t="n"/>
      <c r="AC372" s="42" t="n"/>
      <c r="AD372" s="42" t="n"/>
      <c r="AE372" s="42" t="n"/>
      <c r="AF372" s="43">
        <f>IF($B372="","",SUM($T372:$AE372))</f>
        <v/>
      </c>
      <c r="AG372" s="43">
        <f>IF($B372="","",N($M372)-N($AF372))</f>
        <v/>
      </c>
      <c r="AH372" s="43">
        <f>IF($B372="","",N($L372)-N($AF372))</f>
        <v/>
      </c>
      <c r="AI372" s="149">
        <f>IF($B372="","",IF(N($L372)=0,"",(N($L372)-N($AF372))/N($L372)))</f>
        <v/>
      </c>
    </row>
    <row r="373">
      <c r="A373" s="39">
        <f>IF($B373="","",COUNTA($B$4:$B373))</f>
        <v/>
      </c>
      <c r="B373" s="45" t="n">
        <v>46063</v>
      </c>
      <c r="C373" s="46" t="n">
        <v>1815</v>
      </c>
      <c r="D373" s="46" t="inlineStr">
        <is>
          <t>احمد عبدو خ</t>
        </is>
      </c>
      <c r="E373" s="46" t="inlineStr">
        <is>
          <t>1*40</t>
        </is>
      </c>
      <c r="F373" s="46" t="inlineStr">
        <is>
          <t xml:space="preserve">ايزو مصر </t>
        </is>
      </c>
      <c r="G373" s="46" t="inlineStr">
        <is>
          <t xml:space="preserve">قويسنا </t>
        </is>
      </c>
      <c r="H373" s="46" t="inlineStr">
        <is>
          <t>794651/0</t>
        </is>
      </c>
      <c r="I373" s="46" t="inlineStr">
        <is>
          <t>ع ر ب 1573</t>
        </is>
      </c>
      <c r="J373" s="46" t="inlineStr">
        <is>
          <t xml:space="preserve">محمد السيد </t>
        </is>
      </c>
      <c r="K373" s="46" t="inlineStr">
        <is>
          <t xml:space="preserve">حمو مرزوق </t>
        </is>
      </c>
      <c r="L373" s="47" t="n">
        <v>11700</v>
      </c>
      <c r="M373" s="47" t="n">
        <v>7100</v>
      </c>
      <c r="N373" s="47" t="n"/>
      <c r="O373" s="47" t="n">
        <v>200</v>
      </c>
      <c r="P373" s="47" t="n"/>
      <c r="Q373" s="47" t="n">
        <v>4400</v>
      </c>
      <c r="R373" s="43">
        <f>IF($B373="","",N($S373)-N($Q373))</f>
        <v/>
      </c>
      <c r="S373" s="43">
        <f>IF($B373="","",N($L373)+N($N373)+N($P373))</f>
        <v/>
      </c>
      <c r="T373" s="47" t="n"/>
      <c r="U373" s="47" t="n"/>
      <c r="V373" s="47" t="n"/>
      <c r="W373" s="47" t="n"/>
      <c r="X373" s="47" t="n"/>
      <c r="Y373" s="47" t="n"/>
      <c r="Z373" s="47" t="n"/>
      <c r="AA373" s="47" t="n"/>
      <c r="AB373" s="47" t="n"/>
      <c r="AC373" s="47" t="n"/>
      <c r="AD373" s="47" t="n"/>
      <c r="AE373" s="47" t="n"/>
      <c r="AF373" s="43">
        <f>IF($B373="","",SUM($T373:$AE373))</f>
        <v/>
      </c>
      <c r="AG373" s="43">
        <f>IF($B373="","",N($M373)-N($AF373))</f>
        <v/>
      </c>
      <c r="AH373" s="43">
        <f>IF($B373="","",N($L373)-N($AF373))</f>
        <v/>
      </c>
      <c r="AI373" s="149">
        <f>IF($B373="","",IF(N($L373)=0,"",(N($L373)-N($AF373))/N($L373)))</f>
        <v/>
      </c>
    </row>
    <row r="374">
      <c r="A374" s="39">
        <f>IF($B374="","",COUNTA($B$4:$B374))</f>
        <v/>
      </c>
      <c r="B374" s="40" t="n">
        <v>46063</v>
      </c>
      <c r="C374" s="41" t="n">
        <v>1812</v>
      </c>
      <c r="D374" s="41" t="n"/>
      <c r="E374" s="41" t="inlineStr">
        <is>
          <t>1*40</t>
        </is>
      </c>
      <c r="F374" s="41" t="inlineStr">
        <is>
          <t>l g</t>
        </is>
      </c>
      <c r="G374" s="41" t="inlineStr">
        <is>
          <t xml:space="preserve">ابيس </t>
        </is>
      </c>
      <c r="H374" s="41" t="inlineStr">
        <is>
          <t>960972/3</t>
        </is>
      </c>
      <c r="I374" s="41" t="inlineStr">
        <is>
          <t>س ع ن 9139</t>
        </is>
      </c>
      <c r="J374" s="41" t="inlineStr">
        <is>
          <t xml:space="preserve">مصطفى ابو طالب </t>
        </is>
      </c>
      <c r="K374" s="41" t="inlineStr">
        <is>
          <t xml:space="preserve">ابو طالب </t>
        </is>
      </c>
      <c r="L374" s="42" t="n">
        <v>5100</v>
      </c>
      <c r="M374" s="42" t="n">
        <v>5100</v>
      </c>
      <c r="N374" s="42" t="n"/>
      <c r="O374" s="42" t="n"/>
      <c r="P374" s="42" t="n"/>
      <c r="Q374" s="42" t="n"/>
      <c r="R374" s="43">
        <f>IF($B374="","",N($S374)-N($Q374))</f>
        <v/>
      </c>
      <c r="S374" s="43">
        <f>IF($B374="","",N($L374)+N($N374)+N($P374))</f>
        <v/>
      </c>
      <c r="T374" s="42" t="n"/>
      <c r="U374" s="42" t="n"/>
      <c r="V374" s="42" t="n"/>
      <c r="W374" s="42" t="n"/>
      <c r="X374" s="42" t="n"/>
      <c r="Y374" s="42" t="n"/>
      <c r="Z374" s="42" t="n"/>
      <c r="AA374" s="42" t="n"/>
      <c r="AB374" s="42" t="n"/>
      <c r="AC374" s="42" t="n"/>
      <c r="AD374" s="42" t="n"/>
      <c r="AE374" s="42" t="n"/>
      <c r="AF374" s="43">
        <f>IF($B374="","",SUM($T374:$AE374))</f>
        <v/>
      </c>
      <c r="AG374" s="43">
        <f>IF($B374="","",N($M374)-N($AF374))</f>
        <v/>
      </c>
      <c r="AH374" s="43">
        <f>IF($B374="","",N($L374)-N($AF374))</f>
        <v/>
      </c>
      <c r="AI374" s="149">
        <f>IF($B374="","",IF(N($L374)=0,"",(N($L374)-N($AF374))/N($L374)))</f>
        <v/>
      </c>
    </row>
    <row r="375">
      <c r="A375" s="39">
        <f>IF($B375="","",COUNTA($B$4:$B375))</f>
        <v/>
      </c>
      <c r="B375" s="45" t="n">
        <v>46063</v>
      </c>
      <c r="C375" s="46" t="n">
        <v>2051</v>
      </c>
      <c r="D375" s="46" t="inlineStr">
        <is>
          <t>كمال رزق خ</t>
        </is>
      </c>
      <c r="E375" s="46" t="inlineStr">
        <is>
          <t>1*40</t>
        </is>
      </c>
      <c r="F375" s="46" t="inlineStr">
        <is>
          <t xml:space="preserve">فرى دوم </t>
        </is>
      </c>
      <c r="G375" s="46" t="inlineStr">
        <is>
          <t xml:space="preserve">بورسعيد </t>
        </is>
      </c>
      <c r="H375" s="46" t="inlineStr">
        <is>
          <t>507086/7</t>
        </is>
      </c>
      <c r="I375" s="46" t="inlineStr">
        <is>
          <t>س ن ر 8979</t>
        </is>
      </c>
      <c r="J375" s="46" t="inlineStr">
        <is>
          <t xml:space="preserve">عماد سعيد   </t>
        </is>
      </c>
      <c r="K375" s="46" t="inlineStr">
        <is>
          <t xml:space="preserve">عماد سعيد </t>
        </is>
      </c>
      <c r="L375" s="47" t="n">
        <v>14000</v>
      </c>
      <c r="M375" s="47" t="n">
        <v>8100</v>
      </c>
      <c r="N375" s="47" t="n"/>
      <c r="O375" s="47" t="n">
        <v>200</v>
      </c>
      <c r="P375" s="47" t="n"/>
      <c r="Q375" s="47" t="n">
        <v>5700</v>
      </c>
      <c r="R375" s="43">
        <f>IF($B375="","",N($S375)-N($Q375))</f>
        <v/>
      </c>
      <c r="S375" s="43">
        <f>IF($B375="","",N($L375)+N($N375)+N($P375))</f>
        <v/>
      </c>
      <c r="T375" s="47" t="n"/>
      <c r="U375" s="47" t="n"/>
      <c r="V375" s="47" t="n"/>
      <c r="W375" s="47" t="n"/>
      <c r="X375" s="47" t="n"/>
      <c r="Y375" s="47" t="n"/>
      <c r="Z375" s="47" t="n"/>
      <c r="AA375" s="47" t="n"/>
      <c r="AB375" s="47" t="n"/>
      <c r="AC375" s="47" t="n"/>
      <c r="AD375" s="47" t="n"/>
      <c r="AE375" s="47" t="n"/>
      <c r="AF375" s="43">
        <f>IF($B375="","",SUM($T375:$AE375))</f>
        <v/>
      </c>
      <c r="AG375" s="43">
        <f>IF($B375="","",N($M375)-N($AF375))</f>
        <v/>
      </c>
      <c r="AH375" s="43">
        <f>IF($B375="","",N($L375)-N($AF375))</f>
        <v/>
      </c>
      <c r="AI375" s="149">
        <f>IF($B375="","",IF(N($L375)=0,"",(N($L375)-N($AF375))/N($L375)))</f>
        <v/>
      </c>
    </row>
    <row r="376">
      <c r="A376" s="39">
        <f>IF($B376="","",COUNTA($B$4:$B376))</f>
        <v/>
      </c>
      <c r="B376" s="40" t="n">
        <v>46063</v>
      </c>
      <c r="C376" s="41" t="n">
        <v>1799</v>
      </c>
      <c r="D376" s="41" t="inlineStr">
        <is>
          <t>حاتم البحر  ق</t>
        </is>
      </c>
      <c r="E376" s="41" t="inlineStr">
        <is>
          <t>1*40</t>
        </is>
      </c>
      <c r="F376" s="41" t="inlineStr">
        <is>
          <t xml:space="preserve">فرى دوم </t>
        </is>
      </c>
      <c r="G376" s="41" t="inlineStr">
        <is>
          <t xml:space="preserve">بورسعيد </t>
        </is>
      </c>
      <c r="H376" s="41" t="inlineStr">
        <is>
          <t>360567/7</t>
        </is>
      </c>
      <c r="I376" s="41" t="inlineStr">
        <is>
          <t>ب ج ع 4963</t>
        </is>
      </c>
      <c r="J376" s="41" t="inlineStr">
        <is>
          <t xml:space="preserve">محمد جمال </t>
        </is>
      </c>
      <c r="K376" s="41" t="inlineStr">
        <is>
          <t xml:space="preserve">رومانى </t>
        </is>
      </c>
      <c r="L376" s="42" t="n">
        <v>12000</v>
      </c>
      <c r="M376" s="42" t="n">
        <v>7100</v>
      </c>
      <c r="N376" s="42" t="n"/>
      <c r="O376" s="42" t="n">
        <v>200</v>
      </c>
      <c r="P376" s="42" t="n"/>
      <c r="Q376" s="42" t="n">
        <v>4700</v>
      </c>
      <c r="R376" s="43">
        <f>IF($B376="","",N($S376)-N($Q376))</f>
        <v/>
      </c>
      <c r="S376" s="43">
        <f>IF($B376="","",N($L376)+N($N376)+N($P376))</f>
        <v/>
      </c>
      <c r="T376" s="42" t="n"/>
      <c r="U376" s="42" t="n"/>
      <c r="V376" s="42" t="n"/>
      <c r="W376" s="42" t="n"/>
      <c r="X376" s="42" t="n"/>
      <c r="Y376" s="42" t="n"/>
      <c r="Z376" s="42" t="n"/>
      <c r="AA376" s="42" t="n"/>
      <c r="AB376" s="42" t="n"/>
      <c r="AC376" s="42" t="n"/>
      <c r="AD376" s="42" t="n"/>
      <c r="AE376" s="42" t="n"/>
      <c r="AF376" s="43">
        <f>IF($B376="","",SUM($T376:$AE376))</f>
        <v/>
      </c>
      <c r="AG376" s="43">
        <f>IF($B376="","",N($M376)-N($AF376))</f>
        <v/>
      </c>
      <c r="AH376" s="43">
        <f>IF($B376="","",N($L376)-N($AF376))</f>
        <v/>
      </c>
      <c r="AI376" s="149">
        <f>IF($B376="","",IF(N($L376)=0,"",(N($L376)-N($AF376))/N($L376)))</f>
        <v/>
      </c>
    </row>
    <row r="377">
      <c r="A377" s="39">
        <f>IF($B377="","",COUNTA($B$4:$B377))</f>
        <v/>
      </c>
      <c r="B377" s="45" t="n">
        <v>46063</v>
      </c>
      <c r="C377" s="46" t="n">
        <v>2052</v>
      </c>
      <c r="D377" s="46" t="inlineStr">
        <is>
          <t>المكتب</t>
        </is>
      </c>
      <c r="E377" s="46" t="inlineStr">
        <is>
          <t>1*40</t>
        </is>
      </c>
      <c r="F377" s="46" t="inlineStr">
        <is>
          <t xml:space="preserve">معبد فارم </t>
        </is>
      </c>
      <c r="G377" s="46" t="inlineStr">
        <is>
          <t xml:space="preserve">القناطر </t>
        </is>
      </c>
      <c r="H377" s="46" t="inlineStr">
        <is>
          <t>596703/4</t>
        </is>
      </c>
      <c r="I377" s="46" t="inlineStr">
        <is>
          <t>س ع م 8737</t>
        </is>
      </c>
      <c r="J377" s="46" t="inlineStr">
        <is>
          <t xml:space="preserve">محمود بكر </t>
        </is>
      </c>
      <c r="K377" s="46" t="inlineStr">
        <is>
          <t>المكتب</t>
        </is>
      </c>
      <c r="L377" s="47" t="n">
        <v>14000</v>
      </c>
      <c r="M377" s="47" t="n">
        <v>7000</v>
      </c>
      <c r="N377" s="47" t="n"/>
      <c r="O377" s="47" t="n"/>
      <c r="P377" s="47" t="n"/>
      <c r="Q377" s="47" t="n">
        <v>7000</v>
      </c>
      <c r="R377" s="43">
        <f>IF($B377="","",N($S377)-N($Q377))</f>
        <v/>
      </c>
      <c r="S377" s="43">
        <f>IF($B377="","",N($L377)+N($N377)+N($P377))</f>
        <v/>
      </c>
      <c r="T377" s="47" t="n">
        <v>1700</v>
      </c>
      <c r="U377" s="47" t="n">
        <v>700</v>
      </c>
      <c r="V377" s="47" t="n">
        <v>700</v>
      </c>
      <c r="W377" s="47" t="n">
        <v>150</v>
      </c>
      <c r="X377" s="47" t="n">
        <v>95</v>
      </c>
      <c r="Y377" s="47" t="n">
        <v>120</v>
      </c>
      <c r="Z377" s="47" t="n"/>
      <c r="AA377" s="47" t="n">
        <v>150</v>
      </c>
      <c r="AB377" s="47" t="n">
        <v>250</v>
      </c>
      <c r="AC377" s="47" t="n">
        <v>200</v>
      </c>
      <c r="AD377" s="47" t="n"/>
      <c r="AE377" s="47" t="n">
        <v>3650</v>
      </c>
      <c r="AF377" s="43">
        <f>IF($B377="","",SUM($T377:$AE377))</f>
        <v/>
      </c>
      <c r="AG377" s="43">
        <f>IF($B377="","",N($M377)-N($AF377))</f>
        <v/>
      </c>
      <c r="AH377" s="43">
        <f>IF($B377="","",N($L377)-N($AF377))</f>
        <v/>
      </c>
      <c r="AI377" s="149">
        <f>IF($B377="","",IF(N($L377)=0,"",(N($L377)-N($AF377))/N($L377)))</f>
        <v/>
      </c>
    </row>
    <row r="378">
      <c r="A378" s="39">
        <f>IF($B378="","",COUNTA($B$4:$B378))</f>
        <v/>
      </c>
      <c r="B378" s="40" t="n">
        <v>46063</v>
      </c>
      <c r="C378" s="41" t="n">
        <v>1800</v>
      </c>
      <c r="D378" s="41" t="inlineStr">
        <is>
          <t xml:space="preserve">علاء علام </t>
        </is>
      </c>
      <c r="E378" s="41" t="inlineStr">
        <is>
          <t>1*40</t>
        </is>
      </c>
      <c r="F378" s="41" t="inlineStr">
        <is>
          <t xml:space="preserve">جى فريش </t>
        </is>
      </c>
      <c r="G378" s="41" t="inlineStr">
        <is>
          <t xml:space="preserve">ابيس </t>
        </is>
      </c>
      <c r="H378" s="41" t="inlineStr">
        <is>
          <t>860019/1</t>
        </is>
      </c>
      <c r="I378" s="41" t="inlineStr">
        <is>
          <t>س ل ب 5917</t>
        </is>
      </c>
      <c r="J378" s="41" t="inlineStr">
        <is>
          <t xml:space="preserve">احمد محمود </t>
        </is>
      </c>
      <c r="K378" s="41" t="inlineStr">
        <is>
          <t xml:space="preserve">علاء علام </t>
        </is>
      </c>
      <c r="L378" s="42" t="n">
        <v>9000</v>
      </c>
      <c r="M378" s="42" t="n">
        <v>5100</v>
      </c>
      <c r="N378" s="42" t="n"/>
      <c r="O378" s="42" t="n">
        <v>200</v>
      </c>
      <c r="P378" s="42" t="n"/>
      <c r="Q378" s="42" t="n">
        <v>3700</v>
      </c>
      <c r="R378" s="43">
        <f>IF($B378="","",N($S378)-N($Q378))</f>
        <v/>
      </c>
      <c r="S378" s="43">
        <f>IF($B378="","",N($L378)+N($N378)+N($P378))</f>
        <v/>
      </c>
      <c r="T378" s="42" t="n"/>
      <c r="U378" s="42" t="n"/>
      <c r="V378" s="42" t="n"/>
      <c r="W378" s="42" t="n"/>
      <c r="X378" s="42" t="n"/>
      <c r="Y378" s="42" t="n"/>
      <c r="Z378" s="42" t="n"/>
      <c r="AA378" s="42" t="n"/>
      <c r="AB378" s="42" t="n"/>
      <c r="AC378" s="42" t="n"/>
      <c r="AD378" s="42" t="n"/>
      <c r="AE378" s="42" t="n"/>
      <c r="AF378" s="43">
        <f>IF($B378="","",SUM($T378:$AE378))</f>
        <v/>
      </c>
      <c r="AG378" s="43">
        <f>IF($B378="","",N($M378)-N($AF378))</f>
        <v/>
      </c>
      <c r="AH378" s="43">
        <f>IF($B378="","",N($L378)-N($AF378))</f>
        <v/>
      </c>
      <c r="AI378" s="149">
        <f>IF($B378="","",IF(N($L378)=0,"",(N($L378)-N($AF378))/N($L378)))</f>
        <v/>
      </c>
    </row>
    <row r="379">
      <c r="A379" s="39">
        <f>IF($B379="","",COUNTA($B$4:$B379))</f>
        <v/>
      </c>
      <c r="B379" s="45" t="n">
        <v>46063</v>
      </c>
      <c r="C379" s="46" t="n">
        <v>2029</v>
      </c>
      <c r="D379" s="46" t="inlineStr">
        <is>
          <t xml:space="preserve">احمد ابو حمرة </t>
        </is>
      </c>
      <c r="E379" s="46" t="inlineStr">
        <is>
          <t>1*40</t>
        </is>
      </c>
      <c r="F379" s="46" t="inlineStr">
        <is>
          <t xml:space="preserve">جرين اب </t>
        </is>
      </c>
      <c r="G379" s="46" t="inlineStr">
        <is>
          <t>بنى سويف</t>
        </is>
      </c>
      <c r="H379" s="46" t="inlineStr">
        <is>
          <t>371368/1</t>
        </is>
      </c>
      <c r="I379" s="46" t="inlineStr">
        <is>
          <t>ب ص ا 2873</t>
        </is>
      </c>
      <c r="J379" s="46" t="inlineStr">
        <is>
          <t xml:space="preserve">اسلام فارس </t>
        </is>
      </c>
      <c r="K379" s="46" t="inlineStr">
        <is>
          <t xml:space="preserve">محمد نصر </t>
        </is>
      </c>
      <c r="L379" s="47" t="n">
        <v>14000</v>
      </c>
      <c r="M379" s="47" t="n">
        <v>8100</v>
      </c>
      <c r="N379" s="47" t="n"/>
      <c r="O379" s="47" t="n">
        <v>200</v>
      </c>
      <c r="P379" s="47" t="n">
        <v>1000</v>
      </c>
      <c r="Q379" s="47" t="n">
        <v>6700</v>
      </c>
      <c r="R379" s="43">
        <f>IF($B379="","",N($S379)-N($Q379))</f>
        <v/>
      </c>
      <c r="S379" s="43">
        <f>IF($B379="","",N($L379)+N($N379)+N($P379))</f>
        <v/>
      </c>
      <c r="T379" s="47" t="n"/>
      <c r="U379" s="47" t="n"/>
      <c r="V379" s="47" t="n"/>
      <c r="W379" s="47" t="n"/>
      <c r="X379" s="47" t="n"/>
      <c r="Y379" s="47" t="n"/>
      <c r="Z379" s="47" t="n"/>
      <c r="AA379" s="47" t="n"/>
      <c r="AB379" s="47" t="n"/>
      <c r="AC379" s="47" t="n"/>
      <c r="AD379" s="47" t="n"/>
      <c r="AE379" s="47" t="n"/>
      <c r="AF379" s="43">
        <f>IF($B379="","",SUM($T379:$AE379))</f>
        <v/>
      </c>
      <c r="AG379" s="43">
        <f>IF($B379="","",N($M379)-N($AF379))</f>
        <v/>
      </c>
      <c r="AH379" s="43">
        <f>IF($B379="","",N($L379)-N($AF379))</f>
        <v/>
      </c>
      <c r="AI379" s="149">
        <f>IF($B379="","",IF(N($L379)=0,"",(N($L379)-N($AF379))/N($L379)))</f>
        <v/>
      </c>
    </row>
    <row r="380">
      <c r="A380" s="39">
        <f>IF($B380="","",COUNTA($B$4:$B380))</f>
        <v/>
      </c>
      <c r="B380" s="40" t="n">
        <v>46063</v>
      </c>
      <c r="C380" s="41" t="n">
        <v>2027</v>
      </c>
      <c r="D380" s="41" t="inlineStr">
        <is>
          <t>المكتب</t>
        </is>
      </c>
      <c r="E380" s="41" t="inlineStr">
        <is>
          <t>2*20</t>
        </is>
      </c>
      <c r="F380" s="41" t="n"/>
      <c r="G380" s="41" t="inlineStr">
        <is>
          <t xml:space="preserve">البرج </t>
        </is>
      </c>
      <c r="H380" s="41" t="inlineStr">
        <is>
          <t>103465/8-223694/1</t>
        </is>
      </c>
      <c r="I380" s="41" t="inlineStr">
        <is>
          <t>س ع م 8737</t>
        </is>
      </c>
      <c r="J380" s="41" t="inlineStr">
        <is>
          <t xml:space="preserve">محمود بكر </t>
        </is>
      </c>
      <c r="K380" s="41" t="inlineStr">
        <is>
          <t>المكتب</t>
        </is>
      </c>
      <c r="L380" s="42" t="n">
        <v>10000</v>
      </c>
      <c r="M380" s="42" t="n">
        <v>3000</v>
      </c>
      <c r="N380" s="42" t="n"/>
      <c r="O380" s="42" t="n"/>
      <c r="P380" s="42" t="n"/>
      <c r="Q380" s="42" t="n">
        <v>7000</v>
      </c>
      <c r="R380" s="43">
        <f>IF($B380="","",N($S380)-N($Q380))</f>
        <v/>
      </c>
      <c r="S380" s="43">
        <f>IF($B380="","",N($L380)+N($N380)+N($P380))</f>
        <v/>
      </c>
      <c r="T380" s="42" t="n">
        <v>1200</v>
      </c>
      <c r="U380" s="42" t="n">
        <v>500</v>
      </c>
      <c r="V380" s="42" t="n"/>
      <c r="W380" s="42" t="n">
        <v>200</v>
      </c>
      <c r="X380" s="42" t="n"/>
      <c r="Y380" s="42" t="n">
        <v>60</v>
      </c>
      <c r="Z380" s="42" t="n"/>
      <c r="AA380" s="42" t="n"/>
      <c r="AB380" s="42" t="n"/>
      <c r="AC380" s="42" t="n"/>
      <c r="AD380" s="42" t="n"/>
      <c r="AE380" s="42" t="n"/>
      <c r="AF380" s="43">
        <f>IF($B380="","",SUM($T380:$AE380))</f>
        <v/>
      </c>
      <c r="AG380" s="43">
        <f>IF($B380="","",N($M380)-N($AF380))</f>
        <v/>
      </c>
      <c r="AH380" s="43">
        <f>IF($B380="","",N($L380)-N($AF380))</f>
        <v/>
      </c>
      <c r="AI380" s="149">
        <f>IF($B380="","",IF(N($L380)=0,"",(N($L380)-N($AF380))/N($L380)))</f>
        <v/>
      </c>
    </row>
    <row r="381">
      <c r="A381" s="39">
        <f>IF($B381="","",COUNTA($B$4:$B381))</f>
        <v/>
      </c>
      <c r="B381" s="45" t="n">
        <v>46063</v>
      </c>
      <c r="C381" s="46" t="n">
        <v>2028</v>
      </c>
      <c r="D381" s="46" t="inlineStr">
        <is>
          <t>ايوب خ</t>
        </is>
      </c>
      <c r="E381" s="46" t="inlineStr">
        <is>
          <t>1*20</t>
        </is>
      </c>
      <c r="F381" s="46" t="inlineStr">
        <is>
          <t xml:space="preserve">الدولية للفحم </t>
        </is>
      </c>
      <c r="G381" s="46" t="inlineStr">
        <is>
          <t xml:space="preserve">البرج </t>
        </is>
      </c>
      <c r="H381" s="46" t="inlineStr">
        <is>
          <t>248598/3</t>
        </is>
      </c>
      <c r="I381" s="46" t="inlineStr">
        <is>
          <t>ب ع ا 5839</t>
        </is>
      </c>
      <c r="J381" s="46" t="inlineStr">
        <is>
          <t xml:space="preserve">هانى الشريف </t>
        </is>
      </c>
      <c r="K381" s="46" t="inlineStr">
        <is>
          <t xml:space="preserve">ايوب </t>
        </is>
      </c>
      <c r="L381" s="47" t="n">
        <v>7000</v>
      </c>
      <c r="M381" s="47" t="n">
        <v>5000</v>
      </c>
      <c r="N381" s="47" t="n"/>
      <c r="O381" s="47" t="n"/>
      <c r="P381" s="47" t="n"/>
      <c r="Q381" s="47" t="n">
        <v>2000</v>
      </c>
      <c r="R381" s="43">
        <f>IF($B381="","",N($S381)-N($Q381))</f>
        <v/>
      </c>
      <c r="S381" s="43">
        <f>IF($B381="","",N($L381)+N($N381)+N($P381))</f>
        <v/>
      </c>
      <c r="T381" s="47" t="n"/>
      <c r="U381" s="47" t="n"/>
      <c r="V381" s="47" t="n"/>
      <c r="W381" s="47" t="n"/>
      <c r="X381" s="47" t="n"/>
      <c r="Y381" s="47" t="n"/>
      <c r="Z381" s="47" t="n"/>
      <c r="AA381" s="47" t="n"/>
      <c r="AB381" s="47" t="n"/>
      <c r="AC381" s="47" t="n"/>
      <c r="AD381" s="47" t="n"/>
      <c r="AE381" s="47" t="n"/>
      <c r="AF381" s="43">
        <f>IF($B381="","",SUM($T381:$AE381))</f>
        <v/>
      </c>
      <c r="AG381" s="43">
        <f>IF($B381="","",N($M381)-N($AF381))</f>
        <v/>
      </c>
      <c r="AH381" s="43">
        <f>IF($B381="","",N($L381)-N($AF381))</f>
        <v/>
      </c>
      <c r="AI381" s="149">
        <f>IF($B381="","",IF(N($L381)=0,"",(N($L381)-N($AF381))/N($L381)))</f>
        <v/>
      </c>
    </row>
    <row r="382">
      <c r="A382" s="39">
        <f>IF($B382="","",COUNTA($B$4:$B382))</f>
        <v/>
      </c>
      <c r="B382" s="40" t="n">
        <v>46063</v>
      </c>
      <c r="C382" s="41" t="n">
        <v>2031</v>
      </c>
      <c r="D382" s="41" t="inlineStr">
        <is>
          <t>الانصارى خ</t>
        </is>
      </c>
      <c r="E382" s="41" t="inlineStr">
        <is>
          <t>1*40</t>
        </is>
      </c>
      <c r="F382" s="41" t="inlineStr">
        <is>
          <t xml:space="preserve">اروماتك </t>
        </is>
      </c>
      <c r="G382" s="41" t="inlineStr">
        <is>
          <t>بنى سويف</t>
        </is>
      </c>
      <c r="H382" s="41" t="inlineStr">
        <is>
          <t>651743/8</t>
        </is>
      </c>
      <c r="I382" s="41" t="inlineStr">
        <is>
          <t>ب ص ا 2574</t>
        </is>
      </c>
      <c r="J382" s="41" t="inlineStr">
        <is>
          <t xml:space="preserve">محمد البحيرى </t>
        </is>
      </c>
      <c r="K382" s="41" t="inlineStr">
        <is>
          <t xml:space="preserve">احمد خليف </t>
        </is>
      </c>
      <c r="L382" s="42" t="n">
        <v>19000</v>
      </c>
      <c r="M382" s="42" t="n">
        <v>10100</v>
      </c>
      <c r="N382" s="42" t="n"/>
      <c r="O382" s="42" t="n">
        <v>200</v>
      </c>
      <c r="P382" s="42" t="n"/>
      <c r="Q382" s="42" t="n">
        <v>8700</v>
      </c>
      <c r="R382" s="43">
        <f>IF($B382="","",N($S382)-N($Q382))</f>
        <v/>
      </c>
      <c r="S382" s="43">
        <f>IF($B382="","",N($L382)+N($N382)+N($P382))</f>
        <v/>
      </c>
      <c r="T382" s="42" t="n"/>
      <c r="U382" s="42" t="n"/>
      <c r="V382" s="42" t="n"/>
      <c r="W382" s="42" t="n"/>
      <c r="X382" s="42" t="n"/>
      <c r="Y382" s="42" t="n"/>
      <c r="Z382" s="42" t="n"/>
      <c r="AA382" s="42" t="n"/>
      <c r="AB382" s="42" t="n"/>
      <c r="AC382" s="42" t="n"/>
      <c r="AD382" s="42" t="n"/>
      <c r="AE382" s="42" t="n"/>
      <c r="AF382" s="43">
        <f>IF($B382="","",SUM($T382:$AE382))</f>
        <v/>
      </c>
      <c r="AG382" s="43">
        <f>IF($B382="","",N($M382)-N($AF382))</f>
        <v/>
      </c>
      <c r="AH382" s="43">
        <f>IF($B382="","",N($L382)-N($AF382))</f>
        <v/>
      </c>
      <c r="AI382" s="149">
        <f>IF($B382="","",IF(N($L382)=0,"",(N($L382)-N($AF382))/N($L382)))</f>
        <v/>
      </c>
    </row>
    <row r="383">
      <c r="A383" s="39">
        <f>IF($B383="","",COUNTA($B$4:$B383))</f>
        <v/>
      </c>
      <c r="B383" s="45" t="n">
        <v>46063</v>
      </c>
      <c r="C383" s="46" t="n">
        <v>2030</v>
      </c>
      <c r="D383" s="46" t="inlineStr">
        <is>
          <t>عتريس مخيمر  خ</t>
        </is>
      </c>
      <c r="E383" s="46" t="inlineStr">
        <is>
          <t>1*40</t>
        </is>
      </c>
      <c r="F383" s="46" t="inlineStr">
        <is>
          <t xml:space="preserve">اروماتك </t>
        </is>
      </c>
      <c r="G383" s="46" t="inlineStr">
        <is>
          <t>بنى سويف</t>
        </is>
      </c>
      <c r="H383" s="46" t="inlineStr">
        <is>
          <t>851623/1</t>
        </is>
      </c>
      <c r="I383" s="46" t="inlineStr">
        <is>
          <t>ط ف ر 1474</t>
        </is>
      </c>
      <c r="J383" s="46" t="inlineStr">
        <is>
          <t xml:space="preserve">جمال على </t>
        </is>
      </c>
      <c r="K383" s="46" t="inlineStr">
        <is>
          <t xml:space="preserve">كريم خليف </t>
        </is>
      </c>
      <c r="L383" s="47" t="n">
        <v>19000</v>
      </c>
      <c r="M383" s="47" t="n">
        <v>10100</v>
      </c>
      <c r="N383" s="47" t="n"/>
      <c r="O383" s="47" t="n">
        <v>200</v>
      </c>
      <c r="P383" s="47" t="n"/>
      <c r="Q383" s="47" t="n">
        <v>8700</v>
      </c>
      <c r="R383" s="43">
        <f>IF($B383="","",N($S383)-N($Q383))</f>
        <v/>
      </c>
      <c r="S383" s="43">
        <f>IF($B383="","",N($L383)+N($N383)+N($P383))</f>
        <v/>
      </c>
      <c r="T383" s="47" t="n"/>
      <c r="U383" s="47" t="n"/>
      <c r="V383" s="47" t="n"/>
      <c r="W383" s="47" t="n"/>
      <c r="X383" s="47" t="n"/>
      <c r="Y383" s="47" t="n"/>
      <c r="Z383" s="47" t="n"/>
      <c r="AA383" s="47" t="n"/>
      <c r="AB383" s="47" t="n"/>
      <c r="AC383" s="47" t="n"/>
      <c r="AD383" s="47" t="n"/>
      <c r="AE383" s="47" t="n"/>
      <c r="AF383" s="43">
        <f>IF($B383="","",SUM($T383:$AE383))</f>
        <v/>
      </c>
      <c r="AG383" s="43">
        <f>IF($B383="","",N($M383)-N($AF383))</f>
        <v/>
      </c>
      <c r="AH383" s="43">
        <f>IF($B383="","",N($L383)-N($AF383))</f>
        <v/>
      </c>
      <c r="AI383" s="149">
        <f>IF($B383="","",IF(N($L383)=0,"",(N($L383)-N($AF383))/N($L383)))</f>
        <v/>
      </c>
    </row>
    <row r="384">
      <c r="A384" s="39">
        <f>IF($B384="","",COUNTA($B$4:$B384))</f>
        <v/>
      </c>
      <c r="B384" s="40" t="n">
        <v>46063</v>
      </c>
      <c r="C384" s="41" t="n">
        <v>1798</v>
      </c>
      <c r="D384" s="41" t="inlineStr">
        <is>
          <t>ايوب خ</t>
        </is>
      </c>
      <c r="E384" s="41" t="inlineStr">
        <is>
          <t>1*20</t>
        </is>
      </c>
      <c r="F384" s="41" t="inlineStr">
        <is>
          <t xml:space="preserve">المصرية الاوربية </t>
        </is>
      </c>
      <c r="G384" s="41" t="inlineStr">
        <is>
          <t xml:space="preserve">الفيوم </t>
        </is>
      </c>
      <c r="H384" s="41" t="inlineStr">
        <is>
          <t>265764/0</t>
        </is>
      </c>
      <c r="I384" s="41" t="inlineStr">
        <is>
          <t>ب د ن 5863</t>
        </is>
      </c>
      <c r="J384" s="41" t="inlineStr">
        <is>
          <t xml:space="preserve">احمد السيد </t>
        </is>
      </c>
      <c r="K384" s="41" t="inlineStr">
        <is>
          <t xml:space="preserve">ايوب </t>
        </is>
      </c>
      <c r="L384" s="42" t="n">
        <v>14000</v>
      </c>
      <c r="M384" s="42" t="n">
        <v>7100</v>
      </c>
      <c r="N384" s="42" t="n">
        <v>600</v>
      </c>
      <c r="O384" s="42" t="n">
        <v>200</v>
      </c>
      <c r="P384" s="42" t="n"/>
      <c r="Q384" s="42" t="n">
        <v>6100</v>
      </c>
      <c r="R384" s="43">
        <f>IF($B384="","",N($S384)-N($Q384))</f>
        <v/>
      </c>
      <c r="S384" s="43">
        <f>IF($B384="","",N($L384)+N($N384)+N($P384))</f>
        <v/>
      </c>
      <c r="T384" s="42" t="n"/>
      <c r="U384" s="42" t="n"/>
      <c r="V384" s="42" t="n"/>
      <c r="W384" s="42" t="n"/>
      <c r="X384" s="42" t="n"/>
      <c r="Y384" s="42" t="n"/>
      <c r="Z384" s="42" t="n"/>
      <c r="AA384" s="42" t="n"/>
      <c r="AB384" s="42" t="n"/>
      <c r="AC384" s="42" t="n"/>
      <c r="AD384" s="42" t="n"/>
      <c r="AE384" s="42" t="n"/>
      <c r="AF384" s="43">
        <f>IF($B384="","",SUM($T384:$AE384))</f>
        <v/>
      </c>
      <c r="AG384" s="43">
        <f>IF($B384="","",N($M384)-N($AF384))</f>
        <v/>
      </c>
      <c r="AH384" s="43">
        <f>IF($B384="","",N($L384)-N($AF384))</f>
        <v/>
      </c>
      <c r="AI384" s="149">
        <f>IF($B384="","",IF(N($L384)=0,"",(N($L384)-N($AF384))/N($L384)))</f>
        <v/>
      </c>
    </row>
    <row r="385">
      <c r="A385" s="39">
        <f>IF($B385="","",COUNTA($B$4:$B385))</f>
        <v/>
      </c>
      <c r="B385" s="45" t="n">
        <v>46064</v>
      </c>
      <c r="C385" s="46" t="n">
        <v>2034</v>
      </c>
      <c r="D385" s="46" t="inlineStr">
        <is>
          <t>مخزن</t>
        </is>
      </c>
      <c r="E385" s="46" t="inlineStr">
        <is>
          <t>1*40</t>
        </is>
      </c>
      <c r="F385" s="46" t="inlineStr">
        <is>
          <t xml:space="preserve">لاكى للكتان </t>
        </is>
      </c>
      <c r="G385" s="46" t="inlineStr">
        <is>
          <t xml:space="preserve">المحلة </t>
        </is>
      </c>
      <c r="H385" s="46" t="inlineStr">
        <is>
          <t>786749/0</t>
        </is>
      </c>
      <c r="I385" s="46" t="inlineStr">
        <is>
          <t>س ل ا 5468</t>
        </is>
      </c>
      <c r="J385" s="46" t="inlineStr">
        <is>
          <t>حسام الدين محمد</t>
        </is>
      </c>
      <c r="K385" s="46" t="inlineStr">
        <is>
          <t>احمد مخزن</t>
        </is>
      </c>
      <c r="L385" s="47" t="n">
        <v>12000</v>
      </c>
      <c r="M385" s="47" t="n">
        <v>8100</v>
      </c>
      <c r="N385" s="47" t="n"/>
      <c r="O385" s="47" t="n">
        <v>200</v>
      </c>
      <c r="P385" s="47" t="n"/>
      <c r="Q385" s="47" t="n">
        <v>3700</v>
      </c>
      <c r="R385" s="43">
        <f>IF($B385="","",N($S385)-N($Q385))</f>
        <v/>
      </c>
      <c r="S385" s="43">
        <f>IF($B385="","",N($L385)+N($N385)+N($P385))</f>
        <v/>
      </c>
      <c r="T385" s="47" t="n"/>
      <c r="U385" s="47" t="n"/>
      <c r="V385" s="47" t="n"/>
      <c r="W385" s="47" t="n"/>
      <c r="X385" s="47" t="n"/>
      <c r="Y385" s="47" t="n"/>
      <c r="Z385" s="47" t="n"/>
      <c r="AA385" s="47" t="n"/>
      <c r="AB385" s="47" t="n"/>
      <c r="AC385" s="47" t="n"/>
      <c r="AD385" s="47" t="n"/>
      <c r="AE385" s="47" t="n"/>
      <c r="AF385" s="43">
        <f>IF($B385="","",SUM($T385:$AE385))</f>
        <v/>
      </c>
      <c r="AG385" s="43">
        <f>IF($B385="","",N($M385)-N($AF385))</f>
        <v/>
      </c>
      <c r="AH385" s="43">
        <f>IF($B385="","",N($L385)-N($AF385))</f>
        <v/>
      </c>
      <c r="AI385" s="149">
        <f>IF($B385="","",IF(N($L385)=0,"",(N($L385)-N($AF385))/N($L385)))</f>
        <v/>
      </c>
    </row>
    <row r="386">
      <c r="A386" s="39">
        <f>IF($B386="","",COUNTA($B$4:$B386))</f>
        <v/>
      </c>
      <c r="B386" s="40" t="n">
        <v>46064</v>
      </c>
      <c r="C386" s="41" t="n">
        <v>2035</v>
      </c>
      <c r="D386" s="41" t="inlineStr">
        <is>
          <t xml:space="preserve">ابو ركبة </t>
        </is>
      </c>
      <c r="E386" s="41" t="inlineStr">
        <is>
          <t>1*40</t>
        </is>
      </c>
      <c r="F386" s="41" t="inlineStr">
        <is>
          <t xml:space="preserve">لاكى للكتان </t>
        </is>
      </c>
      <c r="G386" s="41" t="inlineStr">
        <is>
          <t xml:space="preserve">المحلة </t>
        </is>
      </c>
      <c r="H386" s="41" t="inlineStr">
        <is>
          <t>706392/0</t>
        </is>
      </c>
      <c r="I386" s="41" t="inlineStr">
        <is>
          <t>ب ج ر 1896</t>
        </is>
      </c>
      <c r="J386" s="41" t="inlineStr">
        <is>
          <t xml:space="preserve">عبد المنعم ابو زهرة </t>
        </is>
      </c>
      <c r="K386" s="41" t="inlineStr">
        <is>
          <t xml:space="preserve">الليبر </t>
        </is>
      </c>
      <c r="L386" s="42" t="n">
        <v>12000</v>
      </c>
      <c r="M386" s="42" t="n">
        <v>8100</v>
      </c>
      <c r="N386" s="42" t="n"/>
      <c r="O386" s="42" t="n">
        <v>200</v>
      </c>
      <c r="P386" s="42" t="n"/>
      <c r="Q386" s="42" t="n">
        <v>3700</v>
      </c>
      <c r="R386" s="43">
        <f>IF($B386="","",N($S386)-N($Q386))</f>
        <v/>
      </c>
      <c r="S386" s="43">
        <f>IF($B386="","",N($L386)+N($N386)+N($P386))</f>
        <v/>
      </c>
      <c r="T386" s="42" t="n"/>
      <c r="U386" s="42" t="n"/>
      <c r="V386" s="42" t="n"/>
      <c r="W386" s="42" t="n"/>
      <c r="X386" s="42" t="n"/>
      <c r="Y386" s="42" t="n"/>
      <c r="Z386" s="42" t="n"/>
      <c r="AA386" s="42" t="n"/>
      <c r="AB386" s="42" t="n"/>
      <c r="AC386" s="42" t="n"/>
      <c r="AD386" s="42" t="n"/>
      <c r="AE386" s="42" t="n"/>
      <c r="AF386" s="43">
        <f>IF($B386="","",SUM($T386:$AE386))</f>
        <v/>
      </c>
      <c r="AG386" s="43">
        <f>IF($B386="","",N($M386)-N($AF386))</f>
        <v/>
      </c>
      <c r="AH386" s="43">
        <f>IF($B386="","",N($L386)-N($AF386))</f>
        <v/>
      </c>
      <c r="AI386" s="149">
        <f>IF($B386="","",IF(N($L386)=0,"",(N($L386)-N($AF386))/N($L386)))</f>
        <v/>
      </c>
    </row>
    <row r="387">
      <c r="A387" s="39">
        <f>IF($B387="","",COUNTA($B$4:$B387))</f>
        <v/>
      </c>
      <c r="B387" s="45" t="n">
        <v>46064</v>
      </c>
      <c r="C387" s="46" t="n">
        <v>2036</v>
      </c>
      <c r="D387" s="46" t="inlineStr">
        <is>
          <t>الشريف خ</t>
        </is>
      </c>
      <c r="E387" s="46" t="inlineStr">
        <is>
          <t>1*40</t>
        </is>
      </c>
      <c r="F387" s="46" t="inlineStr">
        <is>
          <t xml:space="preserve">لاكى للكتان </t>
        </is>
      </c>
      <c r="G387" s="46" t="inlineStr">
        <is>
          <t xml:space="preserve">المحلة </t>
        </is>
      </c>
      <c r="H387" s="46" t="inlineStr">
        <is>
          <t>648089/0</t>
        </is>
      </c>
      <c r="I387" s="46" t="inlineStr">
        <is>
          <t>ب د ف 5827</t>
        </is>
      </c>
      <c r="J387" s="46" t="inlineStr">
        <is>
          <t xml:space="preserve">سعيد رجب </t>
        </is>
      </c>
      <c r="K387" s="46" t="inlineStr">
        <is>
          <t xml:space="preserve">الليبر </t>
        </is>
      </c>
      <c r="L387" s="47" t="n">
        <v>12000</v>
      </c>
      <c r="M387" s="47" t="n">
        <v>8100</v>
      </c>
      <c r="N387" s="47" t="n"/>
      <c r="O387" s="47" t="n">
        <v>200</v>
      </c>
      <c r="P387" s="47" t="n"/>
      <c r="Q387" s="47" t="n">
        <v>3700</v>
      </c>
      <c r="R387" s="43">
        <f>IF($B387="","",N($S387)-N($Q387))</f>
        <v/>
      </c>
      <c r="S387" s="43">
        <f>IF($B387="","",N($L387)+N($N387)+N($P387))</f>
        <v/>
      </c>
      <c r="T387" s="47" t="n"/>
      <c r="U387" s="47" t="n"/>
      <c r="V387" s="47" t="n"/>
      <c r="W387" s="47" t="n"/>
      <c r="X387" s="47" t="n"/>
      <c r="Y387" s="47" t="n"/>
      <c r="Z387" s="47" t="n"/>
      <c r="AA387" s="47" t="n"/>
      <c r="AB387" s="47" t="n"/>
      <c r="AC387" s="47" t="n"/>
      <c r="AD387" s="47" t="n"/>
      <c r="AE387" s="47" t="n"/>
      <c r="AF387" s="43">
        <f>IF($B387="","",SUM($T387:$AE387))</f>
        <v/>
      </c>
      <c r="AG387" s="43">
        <f>IF($B387="","",N($M387)-N($AF387))</f>
        <v/>
      </c>
      <c r="AH387" s="43">
        <f>IF($B387="","",N($L387)-N($AF387))</f>
        <v/>
      </c>
      <c r="AI387" s="149">
        <f>IF($B387="","",IF(N($L387)=0,"",(N($L387)-N($AF387))/N($L387)))</f>
        <v/>
      </c>
    </row>
    <row r="388">
      <c r="A388" s="39">
        <f>IF($B388="","",COUNTA($B$4:$B388))</f>
        <v/>
      </c>
      <c r="B388" s="40" t="n">
        <v>46064</v>
      </c>
      <c r="C388" s="41" t="n">
        <v>2037</v>
      </c>
      <c r="D388" s="41" t="inlineStr">
        <is>
          <t>كمال رزق خ</t>
        </is>
      </c>
      <c r="E388" s="41" t="inlineStr">
        <is>
          <t>1*40</t>
        </is>
      </c>
      <c r="F388" s="41" t="inlineStr">
        <is>
          <t xml:space="preserve">لاكى للكتان </t>
        </is>
      </c>
      <c r="G388" s="41" t="inlineStr">
        <is>
          <t xml:space="preserve">المحلة </t>
        </is>
      </c>
      <c r="H388" s="41" t="inlineStr">
        <is>
          <t>649629/3</t>
        </is>
      </c>
      <c r="I388" s="41" t="inlineStr">
        <is>
          <t>س ن ر 8979</t>
        </is>
      </c>
      <c r="J388" s="41" t="inlineStr">
        <is>
          <t xml:space="preserve">عماد سعيد </t>
        </is>
      </c>
      <c r="K388" s="41" t="inlineStr">
        <is>
          <t xml:space="preserve">عماد سعيد </t>
        </is>
      </c>
      <c r="L388" s="42" t="n">
        <v>12700</v>
      </c>
      <c r="M388" s="42" t="n">
        <v>8100</v>
      </c>
      <c r="N388" s="42" t="n"/>
      <c r="O388" s="42" t="n">
        <v>200</v>
      </c>
      <c r="P388" s="42" t="n"/>
      <c r="Q388" s="42" t="n">
        <v>4400</v>
      </c>
      <c r="R388" s="43">
        <f>IF($B388="","",N($S388)-N($Q388))</f>
        <v/>
      </c>
      <c r="S388" s="43">
        <f>IF($B388="","",N($L388)+N($N388)+N($P388))</f>
        <v/>
      </c>
      <c r="T388" s="42" t="n"/>
      <c r="U388" s="42" t="n"/>
      <c r="V388" s="42" t="n"/>
      <c r="W388" s="42" t="n"/>
      <c r="X388" s="42" t="n"/>
      <c r="Y388" s="42" t="n"/>
      <c r="Z388" s="42" t="n"/>
      <c r="AA388" s="42" t="n"/>
      <c r="AB388" s="42" t="n"/>
      <c r="AC388" s="42" t="n"/>
      <c r="AD388" s="42" t="n"/>
      <c r="AE388" s="42" t="n"/>
      <c r="AF388" s="43">
        <f>IF($B388="","",SUM($T388:$AE388))</f>
        <v/>
      </c>
      <c r="AG388" s="43">
        <f>IF($B388="","",N($M388)-N($AF388))</f>
        <v/>
      </c>
      <c r="AH388" s="43">
        <f>IF($B388="","",N($L388)-N($AF388))</f>
        <v/>
      </c>
      <c r="AI388" s="149">
        <f>IF($B388="","",IF(N($L388)=0,"",(N($L388)-N($AF388))/N($L388)))</f>
        <v/>
      </c>
    </row>
    <row r="389">
      <c r="A389" s="39">
        <f>IF($B389="","",COUNTA($B$4:$B389))</f>
        <v/>
      </c>
      <c r="B389" s="45" t="n">
        <v>46064</v>
      </c>
      <c r="C389" s="46" t="n">
        <v>2038</v>
      </c>
      <c r="D389" s="46" t="inlineStr">
        <is>
          <t xml:space="preserve">ابو ركبة </t>
        </is>
      </c>
      <c r="E389" s="46" t="inlineStr">
        <is>
          <t>1*40</t>
        </is>
      </c>
      <c r="F389" s="46" t="inlineStr">
        <is>
          <t xml:space="preserve">لاكى للكتان </t>
        </is>
      </c>
      <c r="G389" s="46" t="inlineStr">
        <is>
          <t xml:space="preserve">المحلة </t>
        </is>
      </c>
      <c r="H389" s="46" t="inlineStr">
        <is>
          <t>632495/4</t>
        </is>
      </c>
      <c r="I389" s="46" t="inlineStr">
        <is>
          <t>د ه و 1859</t>
        </is>
      </c>
      <c r="J389" s="46" t="inlineStr">
        <is>
          <t xml:space="preserve">عز على </t>
        </is>
      </c>
      <c r="K389" s="46" t="inlineStr">
        <is>
          <t xml:space="preserve">الليبر </t>
        </is>
      </c>
      <c r="L389" s="47" t="n">
        <v>12000</v>
      </c>
      <c r="M389" s="47" t="n">
        <v>8100</v>
      </c>
      <c r="N389" s="47" t="n"/>
      <c r="O389" s="47" t="n">
        <v>200</v>
      </c>
      <c r="P389" s="47" t="n"/>
      <c r="Q389" s="47" t="n">
        <v>3700</v>
      </c>
      <c r="R389" s="43">
        <f>IF($B389="","",N($S389)-N($Q389))</f>
        <v/>
      </c>
      <c r="S389" s="43">
        <f>IF($B389="","",N($L389)+N($N389)+N($P389))</f>
        <v/>
      </c>
      <c r="T389" s="47" t="n"/>
      <c r="U389" s="47" t="n"/>
      <c r="V389" s="47" t="n"/>
      <c r="W389" s="47" t="n"/>
      <c r="X389" s="47" t="n"/>
      <c r="Y389" s="47" t="n"/>
      <c r="Z389" s="47" t="n"/>
      <c r="AA389" s="47" t="n"/>
      <c r="AB389" s="47" t="n"/>
      <c r="AC389" s="47" t="n"/>
      <c r="AD389" s="47" t="n"/>
      <c r="AE389" s="47" t="n"/>
      <c r="AF389" s="43">
        <f>IF($B389="","",SUM($T389:$AE389))</f>
        <v/>
      </c>
      <c r="AG389" s="43">
        <f>IF($B389="","",N($M389)-N($AF389))</f>
        <v/>
      </c>
      <c r="AH389" s="43">
        <f>IF($B389="","",N($L389)-N($AF389))</f>
        <v/>
      </c>
      <c r="AI389" s="149">
        <f>IF($B389="","",IF(N($L389)=0,"",(N($L389)-N($AF389))/N($L389)))</f>
        <v/>
      </c>
    </row>
    <row r="390">
      <c r="A390" s="39">
        <f>IF($B390="","",COUNTA($B$4:$B390))</f>
        <v/>
      </c>
      <c r="B390" s="40" t="n">
        <v>46064</v>
      </c>
      <c r="C390" s="41" t="n">
        <v>2039</v>
      </c>
      <c r="D390" s="41" t="inlineStr">
        <is>
          <t>احمد عبدو خ</t>
        </is>
      </c>
      <c r="E390" s="41" t="inlineStr">
        <is>
          <t>1*40</t>
        </is>
      </c>
      <c r="F390" s="41" t="inlineStr">
        <is>
          <t xml:space="preserve">لاكى للكتان </t>
        </is>
      </c>
      <c r="G390" s="41" t="inlineStr">
        <is>
          <t xml:space="preserve">المحلة </t>
        </is>
      </c>
      <c r="H390" s="41" t="inlineStr">
        <is>
          <t>703811/8</t>
        </is>
      </c>
      <c r="I390" s="41" t="inlineStr">
        <is>
          <t>س ل ب 5917</t>
        </is>
      </c>
      <c r="J390" s="41" t="inlineStr">
        <is>
          <t xml:space="preserve">احمد محمود </t>
        </is>
      </c>
      <c r="K390" s="41" t="inlineStr">
        <is>
          <t xml:space="preserve">علاء علام </t>
        </is>
      </c>
      <c r="L390" s="42" t="n">
        <v>12000</v>
      </c>
      <c r="M390" s="42" t="n">
        <v>8100</v>
      </c>
      <c r="N390" s="42" t="n"/>
      <c r="O390" s="42" t="n">
        <v>200</v>
      </c>
      <c r="P390" s="42" t="n"/>
      <c r="Q390" s="42" t="n">
        <v>3700</v>
      </c>
      <c r="R390" s="43">
        <f>IF($B390="","",N($S390)-N($Q390))</f>
        <v/>
      </c>
      <c r="S390" s="43">
        <f>IF($B390="","",N($L390)+N($N390)+N($P390))</f>
        <v/>
      </c>
      <c r="T390" s="42" t="n"/>
      <c r="U390" s="42" t="n"/>
      <c r="V390" s="42" t="n"/>
      <c r="W390" s="42" t="n"/>
      <c r="X390" s="42" t="n"/>
      <c r="Y390" s="42" t="n"/>
      <c r="Z390" s="42" t="n"/>
      <c r="AA390" s="42" t="n"/>
      <c r="AB390" s="42" t="n"/>
      <c r="AC390" s="42" t="n"/>
      <c r="AD390" s="42" t="n"/>
      <c r="AE390" s="42" t="n"/>
      <c r="AF390" s="43">
        <f>IF($B390="","",SUM($T390:$AE390))</f>
        <v/>
      </c>
      <c r="AG390" s="43">
        <f>IF($B390="","",N($M390)-N($AF390))</f>
        <v/>
      </c>
      <c r="AH390" s="43">
        <f>IF($B390="","",N($L390)-N($AF390))</f>
        <v/>
      </c>
      <c r="AI390" s="149">
        <f>IF($B390="","",IF(N($L390)=0,"",(N($L390)-N($AF390))/N($L390)))</f>
        <v/>
      </c>
    </row>
    <row r="391">
      <c r="A391" s="39">
        <f>IF($B391="","",COUNTA($B$4:$B391))</f>
        <v/>
      </c>
      <c r="B391" s="45" t="n">
        <v>46064</v>
      </c>
      <c r="C391" s="46" t="n">
        <v>2033</v>
      </c>
      <c r="D391" s="46" t="inlineStr">
        <is>
          <t>احمد عبدو خ</t>
        </is>
      </c>
      <c r="E391" s="46" t="inlineStr">
        <is>
          <t>1*40</t>
        </is>
      </c>
      <c r="F391" s="46" t="inlineStr">
        <is>
          <t xml:space="preserve">الفرسان </t>
        </is>
      </c>
      <c r="G391" s="46" t="inlineStr">
        <is>
          <t xml:space="preserve">اكتوبر </t>
        </is>
      </c>
      <c r="H391" s="46" t="inlineStr">
        <is>
          <t>391565/4</t>
        </is>
      </c>
      <c r="I391" s="46" t="inlineStr">
        <is>
          <t>ع ر ب 1573</t>
        </is>
      </c>
      <c r="J391" s="46" t="inlineStr">
        <is>
          <t xml:space="preserve">محمد السيد </t>
        </is>
      </c>
      <c r="K391" s="46" t="inlineStr">
        <is>
          <t xml:space="preserve">حمو مرزوق </t>
        </is>
      </c>
      <c r="L391" s="47" t="n">
        <v>12700</v>
      </c>
      <c r="M391" s="47" t="n">
        <v>8100</v>
      </c>
      <c r="N391" s="47" t="n"/>
      <c r="O391" s="47" t="n">
        <v>200</v>
      </c>
      <c r="P391" s="47" t="n"/>
      <c r="Q391" s="47" t="n">
        <v>4400</v>
      </c>
      <c r="R391" s="43">
        <f>IF($B391="","",N($S391)-N($Q391))</f>
        <v/>
      </c>
      <c r="S391" s="43">
        <f>IF($B391="","",N($L391)+N($N391)+N($P391))</f>
        <v/>
      </c>
      <c r="T391" s="47" t="n"/>
      <c r="U391" s="47" t="n"/>
      <c r="V391" s="47" t="n"/>
      <c r="W391" s="47" t="n"/>
      <c r="X391" s="47" t="n"/>
      <c r="Y391" s="47" t="n"/>
      <c r="Z391" s="47" t="n"/>
      <c r="AA391" s="47" t="n"/>
      <c r="AB391" s="47" t="n"/>
      <c r="AC391" s="47" t="n"/>
      <c r="AD391" s="47" t="n"/>
      <c r="AE391" s="47" t="n"/>
      <c r="AF391" s="43">
        <f>IF($B391="","",SUM($T391:$AE391))</f>
        <v/>
      </c>
      <c r="AG391" s="43">
        <f>IF($B391="","",N($M391)-N($AF391))</f>
        <v/>
      </c>
      <c r="AH391" s="43">
        <f>IF($B391="","",N($L391)-N($AF391))</f>
        <v/>
      </c>
      <c r="AI391" s="149">
        <f>IF($B391="","",IF(N($L391)=0,"",(N($L391)-N($AF391))/N($L391)))</f>
        <v/>
      </c>
    </row>
    <row r="392">
      <c r="A392" s="39">
        <f>IF($B392="","",COUNTA($B$4:$B392))</f>
        <v/>
      </c>
      <c r="B392" s="40" t="n">
        <v>46064</v>
      </c>
      <c r="C392" s="41" t="n">
        <v>2032</v>
      </c>
      <c r="D392" s="41" t="inlineStr">
        <is>
          <t>عتريس مخيمر  خ</t>
        </is>
      </c>
      <c r="E392" s="41" t="inlineStr">
        <is>
          <t>2*20</t>
        </is>
      </c>
      <c r="F392" s="41" t="inlineStr">
        <is>
          <t xml:space="preserve">السويدى بوليمرز </t>
        </is>
      </c>
      <c r="G392" s="41" t="inlineStr">
        <is>
          <t xml:space="preserve">العاشر </t>
        </is>
      </c>
      <c r="H392" s="41" t="inlineStr">
        <is>
          <t>227586/6-152580/0</t>
        </is>
      </c>
      <c r="I392" s="41" t="inlineStr">
        <is>
          <t>ب ص ا 2574</t>
        </is>
      </c>
      <c r="J392" s="41" t="inlineStr">
        <is>
          <t xml:space="preserve">محمد البحيرى </t>
        </is>
      </c>
      <c r="K392" s="41" t="inlineStr">
        <is>
          <t xml:space="preserve">احمد خليف </t>
        </is>
      </c>
      <c r="L392" s="42" t="n">
        <v>20000</v>
      </c>
      <c r="M392" s="42" t="n">
        <v>10100</v>
      </c>
      <c r="N392" s="42" t="n"/>
      <c r="O392" s="42" t="n">
        <v>200</v>
      </c>
      <c r="P392" s="42" t="n"/>
      <c r="Q392" s="42" t="n">
        <v>9700</v>
      </c>
      <c r="R392" s="43">
        <f>IF($B392="","",N($S392)-N($Q392))</f>
        <v/>
      </c>
      <c r="S392" s="43">
        <f>IF($B392="","",N($L392)+N($N392)+N($P392))</f>
        <v/>
      </c>
      <c r="T392" s="42" t="n"/>
      <c r="U392" s="42" t="n"/>
      <c r="V392" s="42" t="n"/>
      <c r="W392" s="42" t="n"/>
      <c r="X392" s="42" t="n"/>
      <c r="Y392" s="42" t="n"/>
      <c r="Z392" s="42" t="n"/>
      <c r="AA392" s="42" t="n"/>
      <c r="AB392" s="42" t="n"/>
      <c r="AC392" s="42" t="n"/>
      <c r="AD392" s="42" t="n"/>
      <c r="AE392" s="42" t="n"/>
      <c r="AF392" s="43">
        <f>IF($B392="","",SUM($T392:$AE392))</f>
        <v/>
      </c>
      <c r="AG392" s="43">
        <f>IF($B392="","",N($M392)-N($AF392))</f>
        <v/>
      </c>
      <c r="AH392" s="43">
        <f>IF($B392="","",N($L392)-N($AF392))</f>
        <v/>
      </c>
      <c r="AI392" s="149">
        <f>IF($B392="","",IF(N($L392)=0,"",(N($L392)-N($AF392))/N($L392)))</f>
        <v/>
      </c>
    </row>
    <row r="393">
      <c r="A393" s="39">
        <f>IF($B393="","",COUNTA($B$4:$B393))</f>
        <v/>
      </c>
      <c r="B393" s="45" t="n">
        <v>46065</v>
      </c>
      <c r="C393" s="46" t="n">
        <v>1683</v>
      </c>
      <c r="D393" s="46" t="inlineStr">
        <is>
          <t>الانصارى خ</t>
        </is>
      </c>
      <c r="E393" s="46" t="inlineStr">
        <is>
          <t xml:space="preserve">1*40 </t>
        </is>
      </c>
      <c r="F393" s="46" t="inlineStr">
        <is>
          <t>ايجى كلاس</t>
        </is>
      </c>
      <c r="G393" s="46" t="inlineStr">
        <is>
          <t>بلبيس</t>
        </is>
      </c>
      <c r="H393" s="46" t="inlineStr">
        <is>
          <t>600653/2</t>
        </is>
      </c>
      <c r="I393" s="46" t="inlineStr">
        <is>
          <t>ط ف ر 1474</t>
        </is>
      </c>
      <c r="J393" s="46" t="inlineStr">
        <is>
          <t xml:space="preserve">جمال على </t>
        </is>
      </c>
      <c r="K393" s="46" t="inlineStr">
        <is>
          <t xml:space="preserve">كريم خليف </t>
        </is>
      </c>
      <c r="L393" s="47" t="n">
        <v>14000</v>
      </c>
      <c r="M393" s="47" t="n">
        <v>8100</v>
      </c>
      <c r="N393" s="47" t="n"/>
      <c r="O393" s="47" t="n">
        <v>200</v>
      </c>
      <c r="P393" s="47" t="n"/>
      <c r="Q393" s="47" t="n">
        <v>5700</v>
      </c>
      <c r="R393" s="43">
        <f>IF($B393="","",N($S393)-N($Q393))</f>
        <v/>
      </c>
      <c r="S393" s="43">
        <f>IF($B393="","",N($L393)+N($N393)+N($P393))</f>
        <v/>
      </c>
      <c r="T393" s="47" t="n"/>
      <c r="U393" s="47" t="n"/>
      <c r="V393" s="47" t="n"/>
      <c r="W393" s="47" t="n"/>
      <c r="X393" s="47" t="n"/>
      <c r="Y393" s="47" t="n"/>
      <c r="Z393" s="47" t="n"/>
      <c r="AA393" s="47" t="n"/>
      <c r="AB393" s="47" t="n"/>
      <c r="AC393" s="47" t="n"/>
      <c r="AD393" s="47" t="n"/>
      <c r="AE393" s="47" t="n"/>
      <c r="AF393" s="43">
        <f>IF($B393="","",SUM($T393:$AE393))</f>
        <v/>
      </c>
      <c r="AG393" s="43">
        <f>IF($B393="","",N($M393)-N($AF393))</f>
        <v/>
      </c>
      <c r="AH393" s="43">
        <f>IF($B393="","",N($L393)-N($AF393))</f>
        <v/>
      </c>
      <c r="AI393" s="149">
        <f>IF($B393="","",IF(N($L393)=0,"",(N($L393)-N($AF393))/N($L393)))</f>
        <v/>
      </c>
    </row>
    <row r="394">
      <c r="A394" s="39">
        <f>IF($B394="","",COUNTA($B$4:$B394))</f>
        <v/>
      </c>
      <c r="B394" s="40" t="n">
        <v>46065</v>
      </c>
      <c r="C394" s="41" t="n">
        <v>1684</v>
      </c>
      <c r="D394" s="41" t="inlineStr">
        <is>
          <t xml:space="preserve">علاء علام </t>
        </is>
      </c>
      <c r="E394" s="41" t="inlineStr">
        <is>
          <t>1*40 ث</t>
        </is>
      </c>
      <c r="F394" s="41" t="inlineStr">
        <is>
          <t xml:space="preserve">ماى فارم </t>
        </is>
      </c>
      <c r="G394" s="41" t="inlineStr">
        <is>
          <t xml:space="preserve">ابيس </t>
        </is>
      </c>
      <c r="H394" s="41" t="inlineStr">
        <is>
          <t>528242/5</t>
        </is>
      </c>
      <c r="I394" s="41" t="inlineStr">
        <is>
          <t>س ا ه 8198</t>
        </is>
      </c>
      <c r="J394" s="41" t="inlineStr">
        <is>
          <t xml:space="preserve">احمد محمود </t>
        </is>
      </c>
      <c r="K394" s="41" t="inlineStr">
        <is>
          <t xml:space="preserve">علاء علام </t>
        </is>
      </c>
      <c r="L394" s="42" t="n">
        <v>9000</v>
      </c>
      <c r="M394" s="42" t="n">
        <v>5100</v>
      </c>
      <c r="N394" s="42" t="n"/>
      <c r="O394" s="42" t="n">
        <v>200</v>
      </c>
      <c r="P394" s="42" t="n"/>
      <c r="Q394" s="42" t="n">
        <v>3700</v>
      </c>
      <c r="R394" s="43">
        <f>IF($B394="","",N($S394)-N($Q394))</f>
        <v/>
      </c>
      <c r="S394" s="43">
        <f>IF($B394="","",N($L394)+N($N394)+N($P394))</f>
        <v/>
      </c>
      <c r="T394" s="42" t="n"/>
      <c r="U394" s="42" t="n"/>
      <c r="V394" s="42" t="n"/>
      <c r="W394" s="42" t="n"/>
      <c r="X394" s="42" t="n"/>
      <c r="Y394" s="42" t="n"/>
      <c r="Z394" s="42" t="n"/>
      <c r="AA394" s="42" t="n"/>
      <c r="AB394" s="42" t="n"/>
      <c r="AC394" s="42" t="n"/>
      <c r="AD394" s="42" t="n"/>
      <c r="AE394" s="42" t="n"/>
      <c r="AF394" s="43">
        <f>IF($B394="","",SUM($T394:$AE394))</f>
        <v/>
      </c>
      <c r="AG394" s="43">
        <f>IF($B394="","",N($M394)-N($AF394))</f>
        <v/>
      </c>
      <c r="AH394" s="43">
        <f>IF($B394="","",N($L394)-N($AF394))</f>
        <v/>
      </c>
      <c r="AI394" s="149">
        <f>IF($B394="","",IF(N($L394)=0,"",(N($L394)-N($AF394))/N($L394)))</f>
        <v/>
      </c>
    </row>
    <row r="395">
      <c r="A395" s="39">
        <f>IF($B395="","",COUNTA($B$4:$B395))</f>
        <v/>
      </c>
      <c r="B395" s="45" t="n">
        <v>46065</v>
      </c>
      <c r="C395" s="46" t="n">
        <v>2041</v>
      </c>
      <c r="D395" s="46" t="inlineStr">
        <is>
          <t>الفرجانى</t>
        </is>
      </c>
      <c r="E395" s="46" t="inlineStr">
        <is>
          <t>1*40 ث</t>
        </is>
      </c>
      <c r="F395" s="46" t="inlineStr">
        <is>
          <t>محمود مسعود</t>
        </is>
      </c>
      <c r="G395" s="46" t="inlineStr">
        <is>
          <t xml:space="preserve">بورسعيد </t>
        </is>
      </c>
      <c r="H395" s="46" t="inlineStr">
        <is>
          <t>501338/3</t>
        </is>
      </c>
      <c r="I395" s="46" t="inlineStr">
        <is>
          <t>س م ج 1833</t>
        </is>
      </c>
      <c r="J395" s="46" t="inlineStr">
        <is>
          <t xml:space="preserve">احمد ابراهيم </t>
        </is>
      </c>
      <c r="K395" s="46" t="inlineStr">
        <is>
          <t xml:space="preserve">الفرجانى </t>
        </is>
      </c>
      <c r="L395" s="47" t="n">
        <v>22000</v>
      </c>
      <c r="M395" s="47" t="n">
        <v>10100</v>
      </c>
      <c r="N395" s="47" t="n"/>
      <c r="O395" s="47" t="n">
        <v>200</v>
      </c>
      <c r="P395" s="47" t="n"/>
      <c r="Q395" s="47" t="n">
        <v>11700</v>
      </c>
      <c r="R395" s="43">
        <f>IF($B395="","",N($S395)-N($Q395))</f>
        <v/>
      </c>
      <c r="S395" s="43">
        <f>IF($B395="","",N($L395)+N($N395)+N($P395))</f>
        <v/>
      </c>
      <c r="T395" s="47" t="n"/>
      <c r="U395" s="47" t="n"/>
      <c r="V395" s="47" t="n"/>
      <c r="W395" s="47" t="n"/>
      <c r="X395" s="47" t="n"/>
      <c r="Y395" s="47" t="n"/>
      <c r="Z395" s="47" t="n"/>
      <c r="AA395" s="47" t="n"/>
      <c r="AB395" s="47" t="n"/>
      <c r="AC395" s="47" t="n"/>
      <c r="AD395" s="47" t="n"/>
      <c r="AE395" s="47" t="n"/>
      <c r="AF395" s="43">
        <f>IF($B395="","",SUM($T395:$AE395))</f>
        <v/>
      </c>
      <c r="AG395" s="43">
        <f>IF($B395="","",N($M395)-N($AF395))</f>
        <v/>
      </c>
      <c r="AH395" s="43">
        <f>IF($B395="","",N($L395)-N($AF395))</f>
        <v/>
      </c>
      <c r="AI395" s="149">
        <f>IF($B395="","",IF(N($L395)=0,"",(N($L395)-N($AF395))/N($L395)))</f>
        <v/>
      </c>
    </row>
    <row r="396">
      <c r="A396" s="39">
        <f>IF($B396="","",COUNTA($B$4:$B396))</f>
        <v/>
      </c>
      <c r="B396" s="40" t="n">
        <v>46065</v>
      </c>
      <c r="C396" s="41" t="n">
        <v>2040</v>
      </c>
      <c r="D396" s="41" t="inlineStr">
        <is>
          <t>الفرجانى</t>
        </is>
      </c>
      <c r="E396" s="41" t="inlineStr">
        <is>
          <t>1*40 ث</t>
        </is>
      </c>
      <c r="F396" s="41" t="inlineStr">
        <is>
          <t>محمود مسعود</t>
        </is>
      </c>
      <c r="G396" s="41" t="inlineStr">
        <is>
          <t xml:space="preserve">بورسعيد </t>
        </is>
      </c>
      <c r="H396" s="41" t="inlineStr">
        <is>
          <t>500461/1</t>
        </is>
      </c>
      <c r="I396" s="41" t="inlineStr">
        <is>
          <t>س م ص 1193</t>
        </is>
      </c>
      <c r="J396" s="41" t="inlineStr">
        <is>
          <t xml:space="preserve">محمد محروس </t>
        </is>
      </c>
      <c r="K396" s="41" t="inlineStr">
        <is>
          <t xml:space="preserve">الفرجانى </t>
        </is>
      </c>
      <c r="L396" s="42" t="n">
        <v>22000</v>
      </c>
      <c r="M396" s="42" t="n">
        <v>10100</v>
      </c>
      <c r="N396" s="42" t="n"/>
      <c r="O396" s="42" t="n">
        <v>200</v>
      </c>
      <c r="P396" s="42" t="n"/>
      <c r="Q396" s="42" t="n">
        <v>11700</v>
      </c>
      <c r="R396" s="43">
        <f>IF($B396="","",N($S396)-N($Q396))</f>
        <v/>
      </c>
      <c r="S396" s="43">
        <f>IF($B396="","",N($L396)+N($N396)+N($P396))</f>
        <v/>
      </c>
      <c r="T396" s="42" t="n"/>
      <c r="U396" s="42" t="n"/>
      <c r="V396" s="42" t="n"/>
      <c r="W396" s="42" t="n"/>
      <c r="X396" s="42" t="n"/>
      <c r="Y396" s="42" t="n"/>
      <c r="Z396" s="42" t="n"/>
      <c r="AA396" s="42" t="n"/>
      <c r="AB396" s="42" t="n"/>
      <c r="AC396" s="42" t="n"/>
      <c r="AD396" s="42" t="n"/>
      <c r="AE396" s="42" t="n"/>
      <c r="AF396" s="43">
        <f>IF($B396="","",SUM($T396:$AE396))</f>
        <v/>
      </c>
      <c r="AG396" s="43">
        <f>IF($B396="","",N($M396)-N($AF396))</f>
        <v/>
      </c>
      <c r="AH396" s="43">
        <f>IF($B396="","",N($L396)-N($AF396))</f>
        <v/>
      </c>
      <c r="AI396" s="149">
        <f>IF($B396="","",IF(N($L396)=0,"",(N($L396)-N($AF396))/N($L396)))</f>
        <v/>
      </c>
    </row>
    <row r="397">
      <c r="A397" s="39">
        <f>IF($B397="","",COUNTA($B$4:$B397))</f>
        <v/>
      </c>
      <c r="B397" s="45" t="n">
        <v>46065</v>
      </c>
      <c r="C397" s="46" t="n">
        <v>2042</v>
      </c>
      <c r="D397" s="46" t="inlineStr">
        <is>
          <t>الفرجانى</t>
        </is>
      </c>
      <c r="E397" s="46" t="inlineStr">
        <is>
          <t>1*40 ث</t>
        </is>
      </c>
      <c r="F397" s="46" t="inlineStr">
        <is>
          <t>محمود مسعود</t>
        </is>
      </c>
      <c r="G397" s="46" t="inlineStr">
        <is>
          <t xml:space="preserve">بورسعيد </t>
        </is>
      </c>
      <c r="H397" s="46" t="inlineStr">
        <is>
          <t>500394/0</t>
        </is>
      </c>
      <c r="I397" s="46" t="inlineStr">
        <is>
          <t>س ق ب 8512</t>
        </is>
      </c>
      <c r="J397" s="46" t="inlineStr">
        <is>
          <t xml:space="preserve">عصام ابراهيم </t>
        </is>
      </c>
      <c r="K397" s="46" t="inlineStr">
        <is>
          <t xml:space="preserve">الفرجانى </t>
        </is>
      </c>
      <c r="L397" s="47" t="n">
        <v>22000</v>
      </c>
      <c r="M397" s="47" t="n">
        <v>10100</v>
      </c>
      <c r="N397" s="47" t="n"/>
      <c r="O397" s="47" t="n">
        <v>200</v>
      </c>
      <c r="P397" s="47" t="n"/>
      <c r="Q397" s="47" t="n">
        <v>11700</v>
      </c>
      <c r="R397" s="43">
        <f>IF($B397="","",N($S397)-N($Q397))</f>
        <v/>
      </c>
      <c r="S397" s="43">
        <f>IF($B397="","",N($L397)+N($N397)+N($P397))</f>
        <v/>
      </c>
      <c r="T397" s="47" t="n"/>
      <c r="U397" s="47" t="n"/>
      <c r="V397" s="47" t="n"/>
      <c r="W397" s="47" t="n"/>
      <c r="X397" s="47" t="n"/>
      <c r="Y397" s="47" t="n"/>
      <c r="Z397" s="47" t="n"/>
      <c r="AA397" s="47" t="n"/>
      <c r="AB397" s="47" t="n"/>
      <c r="AC397" s="47" t="n"/>
      <c r="AD397" s="47" t="n"/>
      <c r="AE397" s="47" t="n"/>
      <c r="AF397" s="43">
        <f>IF($B397="","",SUM($T397:$AE397))</f>
        <v/>
      </c>
      <c r="AG397" s="43">
        <f>IF($B397="","",N($M397)-N($AF397))</f>
        <v/>
      </c>
      <c r="AH397" s="43">
        <f>IF($B397="","",N($L397)-N($AF397))</f>
        <v/>
      </c>
      <c r="AI397" s="149">
        <f>IF($B397="","",IF(N($L397)=0,"",(N($L397)-N($AF397))/N($L397)))</f>
        <v/>
      </c>
    </row>
    <row r="398">
      <c r="A398" s="39">
        <f>IF($B398="","",COUNTA($B$4:$B398))</f>
        <v/>
      </c>
      <c r="B398" s="40" t="n">
        <v>46065</v>
      </c>
      <c r="C398" s="41" t="n">
        <v>2043</v>
      </c>
      <c r="D398" s="41" t="inlineStr">
        <is>
          <t>المكتب</t>
        </is>
      </c>
      <c r="E398" s="41" t="inlineStr">
        <is>
          <t>1*40 ث</t>
        </is>
      </c>
      <c r="F398" s="41" t="inlineStr">
        <is>
          <t>محمود مسعود</t>
        </is>
      </c>
      <c r="G398" s="41" t="inlineStr">
        <is>
          <t xml:space="preserve">بورسعيد </t>
        </is>
      </c>
      <c r="H398" s="41" t="inlineStr">
        <is>
          <t>502508/6</t>
        </is>
      </c>
      <c r="I398" s="41" t="inlineStr">
        <is>
          <t>س ع م 8737</t>
        </is>
      </c>
      <c r="J398" s="41" t="inlineStr">
        <is>
          <t xml:space="preserve">محمود بكر </t>
        </is>
      </c>
      <c r="K398" s="41" t="inlineStr">
        <is>
          <t>المكتب</t>
        </is>
      </c>
      <c r="L398" s="42" t="n">
        <v>20000</v>
      </c>
      <c r="M398" s="42" t="n">
        <v>10000</v>
      </c>
      <c r="N398" s="42" t="n"/>
      <c r="O398" s="42" t="n"/>
      <c r="P398" s="42" t="n"/>
      <c r="Q398" s="42" t="n">
        <v>10000</v>
      </c>
      <c r="R398" s="43">
        <f>IF($B398="","",N($S398)-N($Q398))</f>
        <v/>
      </c>
      <c r="S398" s="43">
        <f>IF($B398="","",N($L398)+N($N398)+N($P398))</f>
        <v/>
      </c>
      <c r="T398" s="42" t="n">
        <v>2200</v>
      </c>
      <c r="U398" s="42" t="n">
        <v>1000</v>
      </c>
      <c r="V398" s="42" t="n"/>
      <c r="W398" s="42" t="n">
        <v>200</v>
      </c>
      <c r="X398" s="42" t="n">
        <v>130</v>
      </c>
      <c r="Y398" s="42" t="n">
        <v>60</v>
      </c>
      <c r="Z398" s="42" t="n"/>
      <c r="AA398" s="42" t="n"/>
      <c r="AB398" s="42" t="n">
        <v>300</v>
      </c>
      <c r="AC398" s="42" t="n">
        <v>55</v>
      </c>
      <c r="AD398" s="42" t="n"/>
      <c r="AE398" s="42" t="n">
        <v>4790</v>
      </c>
      <c r="AF398" s="43">
        <f>IF($B398="","",SUM($T398:$AE398))</f>
        <v/>
      </c>
      <c r="AG398" s="43">
        <f>IF($B398="","",N($M398)-N($AF398))</f>
        <v/>
      </c>
      <c r="AH398" s="43">
        <f>IF($B398="","",N($L398)-N($AF398))</f>
        <v/>
      </c>
      <c r="AI398" s="149">
        <f>IF($B398="","",IF(N($L398)=0,"",(N($L398)-N($AF398))/N($L398)))</f>
        <v/>
      </c>
    </row>
    <row r="399">
      <c r="A399" s="39">
        <f>IF($B399="","",COUNTA($B$4:$B399))</f>
        <v/>
      </c>
      <c r="B399" s="45" t="n">
        <v>46067</v>
      </c>
      <c r="C399" s="46" t="n">
        <v>2046</v>
      </c>
      <c r="D399" s="46" t="inlineStr">
        <is>
          <t xml:space="preserve">علاء علام </t>
        </is>
      </c>
      <c r="E399" s="46" t="inlineStr">
        <is>
          <t>1*40 ث</t>
        </is>
      </c>
      <c r="F399" s="46" t="inlineStr">
        <is>
          <t xml:space="preserve">ماى فارم </t>
        </is>
      </c>
      <c r="G399" s="46" t="inlineStr">
        <is>
          <t xml:space="preserve">ابيس </t>
        </is>
      </c>
      <c r="H399" s="46" t="inlineStr">
        <is>
          <t>890505/6</t>
        </is>
      </c>
      <c r="I399" s="46" t="inlineStr">
        <is>
          <t>س ل ب 5917</t>
        </is>
      </c>
      <c r="J399" s="46" t="inlineStr">
        <is>
          <t>احمد محمود</t>
        </is>
      </c>
      <c r="K399" s="46" t="inlineStr">
        <is>
          <t xml:space="preserve">علاء علام </t>
        </is>
      </c>
      <c r="L399" s="47" t="n">
        <v>9000</v>
      </c>
      <c r="M399" s="47" t="n">
        <v>7100</v>
      </c>
      <c r="N399" s="47" t="n"/>
      <c r="O399" s="47" t="n">
        <v>200</v>
      </c>
      <c r="P399" s="47" t="n">
        <v>7000</v>
      </c>
      <c r="Q399" s="47" t="n">
        <v>8700</v>
      </c>
      <c r="R399" s="43">
        <f>IF($B399="","",N($S399)-N($Q399))</f>
        <v/>
      </c>
      <c r="S399" s="43">
        <f>IF($B399="","",N($L399)+N($N399)+N($P399))</f>
        <v/>
      </c>
      <c r="T399" s="47" t="n"/>
      <c r="U399" s="47" t="n"/>
      <c r="V399" s="47" t="n"/>
      <c r="W399" s="47" t="n"/>
      <c r="X399" s="47" t="n"/>
      <c r="Y399" s="47" t="n"/>
      <c r="Z399" s="47" t="n"/>
      <c r="AA399" s="47" t="n"/>
      <c r="AB399" s="47" t="n"/>
      <c r="AC399" s="47" t="n"/>
      <c r="AD399" s="47" t="n"/>
      <c r="AE399" s="47" t="n"/>
      <c r="AF399" s="43">
        <f>IF($B399="","",SUM($T399:$AE399))</f>
        <v/>
      </c>
      <c r="AG399" s="43">
        <f>IF($B399="","",N($M399)-N($AF399))</f>
        <v/>
      </c>
      <c r="AH399" s="43">
        <f>IF($B399="","",N($L399)-N($AF399))</f>
        <v/>
      </c>
      <c r="AI399" s="149">
        <f>IF($B399="","",IF(N($L399)=0,"",(N($L399)-N($AF399))/N($L399)))</f>
        <v/>
      </c>
    </row>
    <row r="400">
      <c r="A400" s="39">
        <f>IF($B400="","",COUNTA($B$4:$B400))</f>
        <v/>
      </c>
      <c r="B400" s="40" t="n">
        <v>46067</v>
      </c>
      <c r="C400" s="41" t="n">
        <v>2047</v>
      </c>
      <c r="D400" s="41" t="inlineStr">
        <is>
          <t>المكتب</t>
        </is>
      </c>
      <c r="E400" s="41" t="inlineStr">
        <is>
          <t>1*40</t>
        </is>
      </c>
      <c r="F400" s="41" t="inlineStr">
        <is>
          <t xml:space="preserve">الدولية لمستلزمات التعليم </t>
        </is>
      </c>
      <c r="G400" s="41" t="inlineStr">
        <is>
          <t>الاسماعيليه</t>
        </is>
      </c>
      <c r="H400" s="41" t="inlineStr">
        <is>
          <t>609398/0</t>
        </is>
      </c>
      <c r="I400" s="41" t="inlineStr">
        <is>
          <t>س ع م 8737</t>
        </is>
      </c>
      <c r="J400" s="41" t="inlineStr">
        <is>
          <t xml:space="preserve">محمود بكر </t>
        </is>
      </c>
      <c r="K400" s="41" t="inlineStr">
        <is>
          <t>المكتب</t>
        </is>
      </c>
      <c r="L400" s="42" t="n">
        <v>14500</v>
      </c>
      <c r="M400" s="42" t="n">
        <v>8000</v>
      </c>
      <c r="N400" s="42" t="n"/>
      <c r="O400" s="42" t="n"/>
      <c r="P400" s="42" t="n"/>
      <c r="Q400" s="42" t="n">
        <v>6500</v>
      </c>
      <c r="R400" s="43">
        <f>IF($B400="","",N($S400)-N($Q400))</f>
        <v/>
      </c>
      <c r="S400" s="43">
        <f>IF($B400="","",N($L400)+N($N400)+N($P400))</f>
        <v/>
      </c>
      <c r="T400" s="42" t="n">
        <v>1700</v>
      </c>
      <c r="U400" s="42" t="n">
        <v>650</v>
      </c>
      <c r="V400" s="42" t="n"/>
      <c r="W400" s="42" t="n">
        <v>150</v>
      </c>
      <c r="X400" s="42" t="n">
        <v>155</v>
      </c>
      <c r="Y400" s="42" t="n">
        <v>60</v>
      </c>
      <c r="Z400" s="42" t="n"/>
      <c r="AA400" s="42" t="n"/>
      <c r="AB400" s="42" t="n"/>
      <c r="AC400" s="42" t="n"/>
      <c r="AD400" s="42" t="n"/>
      <c r="AE400" s="42" t="n">
        <v>5210</v>
      </c>
      <c r="AF400" s="43">
        <f>IF($B400="","",SUM($T400:$AE400))</f>
        <v/>
      </c>
      <c r="AG400" s="43">
        <f>IF($B400="","",N($M400)-N($AF400))</f>
        <v/>
      </c>
      <c r="AH400" s="43">
        <f>IF($B400="","",N($L400)-N($AF400))</f>
        <v/>
      </c>
      <c r="AI400" s="149">
        <f>IF($B400="","",IF(N($L400)=0,"",(N($L400)-N($AF400))/N($L400)))</f>
        <v/>
      </c>
    </row>
    <row r="401">
      <c r="A401" s="39">
        <f>IF($B401="","",COUNTA($B$4:$B401))</f>
        <v/>
      </c>
      <c r="B401" s="45" t="n">
        <v>46067</v>
      </c>
      <c r="C401" s="46" t="n">
        <v>2045</v>
      </c>
      <c r="D401" s="46" t="inlineStr">
        <is>
          <t>حاتم البحر  ق</t>
        </is>
      </c>
      <c r="E401" s="46" t="inlineStr">
        <is>
          <t>1*40</t>
        </is>
      </c>
      <c r="F401" s="46" t="inlineStr">
        <is>
          <t xml:space="preserve">الدولية لمستلزمات التعليم </t>
        </is>
      </c>
      <c r="G401" s="46" t="inlineStr">
        <is>
          <t>الاسماعيليه</t>
        </is>
      </c>
      <c r="H401" s="46" t="inlineStr">
        <is>
          <t>422237/1</t>
        </is>
      </c>
      <c r="I401" s="46" t="inlineStr">
        <is>
          <t>ع ر ب 1573</t>
        </is>
      </c>
      <c r="J401" s="46" t="inlineStr">
        <is>
          <t xml:space="preserve">محمد السيد </t>
        </is>
      </c>
      <c r="K401" s="46" t="inlineStr">
        <is>
          <t xml:space="preserve">حمو مرزوق </t>
        </is>
      </c>
      <c r="L401" s="47" t="n">
        <v>17000</v>
      </c>
      <c r="M401" s="47" t="n">
        <v>8100</v>
      </c>
      <c r="N401" s="47" t="n"/>
      <c r="O401" s="47" t="n">
        <v>200</v>
      </c>
      <c r="P401" s="47" t="n"/>
      <c r="Q401" s="47" t="n">
        <v>8700</v>
      </c>
      <c r="R401" s="43">
        <f>IF($B401="","",N($S401)-N($Q401))</f>
        <v/>
      </c>
      <c r="S401" s="43">
        <f>IF($B401="","",N($L401)+N($N401)+N($P401))</f>
        <v/>
      </c>
      <c r="T401" s="47" t="n"/>
      <c r="U401" s="47" t="n"/>
      <c r="V401" s="47" t="n"/>
      <c r="W401" s="47" t="n"/>
      <c r="X401" s="47" t="n"/>
      <c r="Y401" s="47" t="n"/>
      <c r="Z401" s="47" t="n"/>
      <c r="AA401" s="47" t="n"/>
      <c r="AB401" s="47" t="n"/>
      <c r="AC401" s="47" t="n"/>
      <c r="AD401" s="47" t="n"/>
      <c r="AE401" s="47" t="n"/>
      <c r="AF401" s="43">
        <f>IF($B401="","",SUM($T401:$AE401))</f>
        <v/>
      </c>
      <c r="AG401" s="43">
        <f>IF($B401="","",N($M401)-N($AF401))</f>
        <v/>
      </c>
      <c r="AH401" s="43">
        <f>IF($B401="","",N($L401)-N($AF401))</f>
        <v/>
      </c>
      <c r="AI401" s="149">
        <f>IF($B401="","",IF(N($L401)=0,"",(N($L401)-N($AF401))/N($L401)))</f>
        <v/>
      </c>
    </row>
    <row r="402">
      <c r="A402" s="39">
        <f>IF($B402="","",COUNTA($B$4:$B402))</f>
        <v/>
      </c>
      <c r="B402" s="40" t="n">
        <v>46067</v>
      </c>
      <c r="C402" s="41" t="n">
        <v>2044</v>
      </c>
      <c r="D402" s="41" t="inlineStr">
        <is>
          <t>عتريس مخيمر  خ</t>
        </is>
      </c>
      <c r="E402" s="41" t="inlineStr">
        <is>
          <t>1*40</t>
        </is>
      </c>
      <c r="F402" s="41" t="inlineStr">
        <is>
          <t xml:space="preserve">الدولية لمستلزمات التعليم </t>
        </is>
      </c>
      <c r="G402" s="41" t="inlineStr">
        <is>
          <t>الاسماعيليه</t>
        </is>
      </c>
      <c r="H402" s="41" t="inlineStr">
        <is>
          <t>617442/2</t>
        </is>
      </c>
      <c r="I402" s="41" t="inlineStr">
        <is>
          <t>ب ص ا 2574</t>
        </is>
      </c>
      <c r="J402" s="41" t="inlineStr">
        <is>
          <t xml:space="preserve">محمد البحيرى </t>
        </is>
      </c>
      <c r="K402" s="41" t="inlineStr">
        <is>
          <t xml:space="preserve">احمد خليف </t>
        </is>
      </c>
      <c r="L402" s="42" t="n">
        <v>17000</v>
      </c>
      <c r="M402" s="42" t="n">
        <v>8100</v>
      </c>
      <c r="N402" s="42" t="n"/>
      <c r="O402" s="42" t="n">
        <v>200</v>
      </c>
      <c r="P402" s="42" t="n"/>
      <c r="Q402" s="42" t="n">
        <v>8700</v>
      </c>
      <c r="R402" s="43">
        <f>IF($B402="","",N($S402)-N($Q402))</f>
        <v/>
      </c>
      <c r="S402" s="43">
        <f>IF($B402="","",N($L402)+N($N402)+N($P402))</f>
        <v/>
      </c>
      <c r="T402" s="42" t="n"/>
      <c r="U402" s="42" t="n"/>
      <c r="V402" s="42" t="n"/>
      <c r="W402" s="42" t="n"/>
      <c r="X402" s="42" t="n"/>
      <c r="Y402" s="42" t="n"/>
      <c r="Z402" s="42" t="n"/>
      <c r="AA402" s="42" t="n"/>
      <c r="AB402" s="42" t="n"/>
      <c r="AC402" s="42" t="n"/>
      <c r="AD402" s="42" t="n"/>
      <c r="AE402" s="42" t="n"/>
      <c r="AF402" s="43">
        <f>IF($B402="","",SUM($T402:$AE402))</f>
        <v/>
      </c>
      <c r="AG402" s="43">
        <f>IF($B402="","",N($M402)-N($AF402))</f>
        <v/>
      </c>
      <c r="AH402" s="43">
        <f>IF($B402="","",N($L402)-N($AF402))</f>
        <v/>
      </c>
      <c r="AI402" s="149">
        <f>IF($B402="","",IF(N($L402)=0,"",(N($L402)-N($AF402))/N($L402)))</f>
        <v/>
      </c>
    </row>
    <row r="403">
      <c r="A403" s="39">
        <f>IF($B403="","",COUNTA($B$4:$B403))</f>
        <v/>
      </c>
      <c r="B403" s="45" t="n">
        <v>46068</v>
      </c>
      <c r="C403" s="46" t="n">
        <v>1816</v>
      </c>
      <c r="D403" s="46" t="inlineStr">
        <is>
          <t xml:space="preserve">احمد محسن </t>
        </is>
      </c>
      <c r="E403" s="46" t="inlineStr">
        <is>
          <t>1*40</t>
        </is>
      </c>
      <c r="F403" s="46" t="inlineStr">
        <is>
          <t xml:space="preserve">كميو هوم </t>
        </is>
      </c>
      <c r="G403" s="46" t="inlineStr">
        <is>
          <t xml:space="preserve">السادات </t>
        </is>
      </c>
      <c r="H403" s="46" t="inlineStr">
        <is>
          <t>707968/9</t>
        </is>
      </c>
      <c r="I403" s="46" t="inlineStr">
        <is>
          <t>س ع ا 7219</t>
        </is>
      </c>
      <c r="J403" s="46" t="inlineStr">
        <is>
          <t xml:space="preserve">طلعت محمد </t>
        </is>
      </c>
      <c r="K403" s="46" t="inlineStr">
        <is>
          <t xml:space="preserve">احمد محسن </t>
        </is>
      </c>
      <c r="L403" s="47" t="n">
        <v>11500</v>
      </c>
      <c r="M403" s="47" t="n">
        <v>7100</v>
      </c>
      <c r="N403" s="47" t="n"/>
      <c r="O403" s="47" t="n">
        <v>200</v>
      </c>
      <c r="P403" s="47" t="n"/>
      <c r="Q403" s="47" t="n">
        <v>4200</v>
      </c>
      <c r="R403" s="43">
        <f>IF($B403="","",N($S403)-N($Q403))</f>
        <v/>
      </c>
      <c r="S403" s="43">
        <f>IF($B403="","",N($L403)+N($N403)+N($P403))</f>
        <v/>
      </c>
      <c r="T403" s="47" t="n"/>
      <c r="U403" s="47" t="n"/>
      <c r="V403" s="47" t="n"/>
      <c r="W403" s="47" t="n"/>
      <c r="X403" s="47" t="n"/>
      <c r="Y403" s="47" t="n"/>
      <c r="Z403" s="47" t="n"/>
      <c r="AA403" s="47" t="n"/>
      <c r="AB403" s="47" t="n"/>
      <c r="AC403" s="47" t="n"/>
      <c r="AD403" s="47" t="n"/>
      <c r="AE403" s="47" t="n"/>
      <c r="AF403" s="43">
        <f>IF($B403="","",SUM($T403:$AE403))</f>
        <v/>
      </c>
      <c r="AG403" s="43">
        <f>IF($B403="","",N($M403)-N($AF403))</f>
        <v/>
      </c>
      <c r="AH403" s="43">
        <f>IF($B403="","",N($L403)-N($AF403))</f>
        <v/>
      </c>
      <c r="AI403" s="149">
        <f>IF($B403="","",IF(N($L403)=0,"",(N($L403)-N($AF403))/N($L403)))</f>
        <v/>
      </c>
    </row>
    <row r="404">
      <c r="A404" s="39">
        <f>IF($B404="","",COUNTA($B$4:$B404))</f>
        <v/>
      </c>
      <c r="B404" s="40" t="n">
        <v>46068</v>
      </c>
      <c r="C404" s="41" t="n">
        <v>2151</v>
      </c>
      <c r="D404" s="41" t="inlineStr">
        <is>
          <t>كمال رزق خ</t>
        </is>
      </c>
      <c r="E404" s="41" t="inlineStr">
        <is>
          <t>1*40 ث</t>
        </is>
      </c>
      <c r="F404" s="41" t="inlineStr">
        <is>
          <t xml:space="preserve">انترواكو </t>
        </is>
      </c>
      <c r="G404" s="41" t="inlineStr">
        <is>
          <t xml:space="preserve">القناطر </t>
        </is>
      </c>
      <c r="H404" s="41" t="inlineStr">
        <is>
          <t>962895/8</t>
        </is>
      </c>
      <c r="I404" s="41" t="inlineStr">
        <is>
          <t>س ن ر 8979</t>
        </is>
      </c>
      <c r="J404" s="41" t="inlineStr">
        <is>
          <t xml:space="preserve">عماد سعيد </t>
        </is>
      </c>
      <c r="K404" s="41" t="inlineStr">
        <is>
          <t xml:space="preserve">عماد سعيد </t>
        </is>
      </c>
      <c r="L404" s="42" t="n">
        <v>15000</v>
      </c>
      <c r="M404" s="42" t="n">
        <v>8100</v>
      </c>
      <c r="N404" s="42" t="n"/>
      <c r="O404" s="42" t="n">
        <v>200</v>
      </c>
      <c r="P404" s="42" t="n"/>
      <c r="Q404" s="42" t="n">
        <v>6700</v>
      </c>
      <c r="R404" s="43">
        <f>IF($B404="","",N($S404)-N($Q404))</f>
        <v/>
      </c>
      <c r="S404" s="43">
        <f>IF($B404="","",N($L404)+N($N404)+N($P404))</f>
        <v/>
      </c>
      <c r="T404" s="42" t="n"/>
      <c r="U404" s="42" t="n"/>
      <c r="V404" s="42" t="n"/>
      <c r="W404" s="42" t="n"/>
      <c r="X404" s="42" t="n"/>
      <c r="Y404" s="42" t="n"/>
      <c r="Z404" s="42" t="n"/>
      <c r="AA404" s="42" t="n"/>
      <c r="AB404" s="42" t="n"/>
      <c r="AC404" s="42" t="n"/>
      <c r="AD404" s="42" t="n"/>
      <c r="AE404" s="42" t="n"/>
      <c r="AF404" s="43">
        <f>IF($B404="","",SUM($T404:$AE404))</f>
        <v/>
      </c>
      <c r="AG404" s="43">
        <f>IF($B404="","",N($M404)-N($AF404))</f>
        <v/>
      </c>
      <c r="AH404" s="43">
        <f>IF($B404="","",N($L404)-N($AF404))</f>
        <v/>
      </c>
      <c r="AI404" s="149">
        <f>IF($B404="","",IF(N($L404)=0,"",(N($L404)-N($AF404))/N($L404)))</f>
        <v/>
      </c>
    </row>
    <row r="405">
      <c r="A405" s="39">
        <f>IF($B405="","",COUNTA($B$4:$B405))</f>
        <v/>
      </c>
      <c r="B405" s="45" t="n">
        <v>46068</v>
      </c>
      <c r="C405" s="46" t="n">
        <v>2152</v>
      </c>
      <c r="D405" s="46" t="inlineStr">
        <is>
          <t>احمد عبدو خ</t>
        </is>
      </c>
      <c r="E405" s="46" t="inlineStr">
        <is>
          <t>1*40 ث</t>
        </is>
      </c>
      <c r="F405" s="46" t="inlineStr">
        <is>
          <t xml:space="preserve">انترواكو </t>
        </is>
      </c>
      <c r="G405" s="46" t="inlineStr">
        <is>
          <t xml:space="preserve">القناطر </t>
        </is>
      </c>
      <c r="H405" s="46" t="inlineStr">
        <is>
          <t>569231/0</t>
        </is>
      </c>
      <c r="I405" s="46" t="inlineStr">
        <is>
          <t>س ر ا 6671</t>
        </is>
      </c>
      <c r="J405" s="46" t="inlineStr">
        <is>
          <t xml:space="preserve">السيد بدوى </t>
        </is>
      </c>
      <c r="K405" s="46" t="inlineStr">
        <is>
          <t xml:space="preserve">حمو مرزوق </t>
        </is>
      </c>
      <c r="L405" s="47" t="n">
        <v>15000</v>
      </c>
      <c r="M405" s="47" t="n">
        <v>8100</v>
      </c>
      <c r="N405" s="47" t="n"/>
      <c r="O405" s="47" t="n">
        <v>200</v>
      </c>
      <c r="P405" s="47" t="n"/>
      <c r="Q405" s="47" t="n">
        <v>6700</v>
      </c>
      <c r="R405" s="43">
        <f>IF($B405="","",N($S405)-N($Q405))</f>
        <v/>
      </c>
      <c r="S405" s="43">
        <f>IF($B405="","",N($L405)+N($N405)+N($P405))</f>
        <v/>
      </c>
      <c r="T405" s="47" t="n"/>
      <c r="U405" s="47" t="n"/>
      <c r="V405" s="47" t="n"/>
      <c r="W405" s="47" t="n"/>
      <c r="X405" s="47" t="n"/>
      <c r="Y405" s="47" t="n"/>
      <c r="Z405" s="47" t="n"/>
      <c r="AA405" s="47" t="n"/>
      <c r="AB405" s="47" t="n"/>
      <c r="AC405" s="47" t="n"/>
      <c r="AD405" s="47" t="n"/>
      <c r="AE405" s="47" t="n"/>
      <c r="AF405" s="43">
        <f>IF($B405="","",SUM($T405:$AE405))</f>
        <v/>
      </c>
      <c r="AG405" s="43">
        <f>IF($B405="","",N($M405)-N($AF405))</f>
        <v/>
      </c>
      <c r="AH405" s="43">
        <f>IF($B405="","",N($L405)-N($AF405))</f>
        <v/>
      </c>
      <c r="AI405" s="149">
        <f>IF($B405="","",IF(N($L405)=0,"",(N($L405)-N($AF405))/N($L405)))</f>
        <v/>
      </c>
    </row>
    <row r="406">
      <c r="A406" s="39">
        <f>IF($B406="","",COUNTA($B$4:$B406))</f>
        <v/>
      </c>
      <c r="B406" s="40" t="n">
        <v>46068</v>
      </c>
      <c r="C406" s="41" t="n">
        <v>2157</v>
      </c>
      <c r="D406" s="41" t="inlineStr">
        <is>
          <t>احمد عبدو خ</t>
        </is>
      </c>
      <c r="E406" s="41" t="inlineStr">
        <is>
          <t>1*40</t>
        </is>
      </c>
      <c r="F406" s="41" t="inlineStr">
        <is>
          <t xml:space="preserve">برتاية </t>
        </is>
      </c>
      <c r="G406" s="41" t="inlineStr">
        <is>
          <t xml:space="preserve">العاشر </t>
        </is>
      </c>
      <c r="H406" s="41" t="inlineStr">
        <is>
          <t>560901/2</t>
        </is>
      </c>
      <c r="I406" s="41" t="inlineStr">
        <is>
          <t>س ا ه 8198</t>
        </is>
      </c>
      <c r="J406" s="41" t="inlineStr">
        <is>
          <t xml:space="preserve">محمد ابراهيم </t>
        </is>
      </c>
      <c r="K406" s="41" t="inlineStr">
        <is>
          <t xml:space="preserve">علاء علام </t>
        </is>
      </c>
      <c r="L406" s="42" t="n">
        <v>14500</v>
      </c>
      <c r="M406" s="42" t="n">
        <v>8100</v>
      </c>
      <c r="N406" s="42" t="n"/>
      <c r="O406" s="42" t="n">
        <v>200</v>
      </c>
      <c r="P406" s="42" t="n"/>
      <c r="Q406" s="42" t="n">
        <v>6200</v>
      </c>
      <c r="R406" s="43">
        <f>IF($B406="","",N($S406)-N($Q406))</f>
        <v/>
      </c>
      <c r="S406" s="43">
        <f>IF($B406="","",N($L406)+N($N406)+N($P406))</f>
        <v/>
      </c>
      <c r="T406" s="42" t="n"/>
      <c r="U406" s="42" t="n"/>
      <c r="V406" s="42" t="n"/>
      <c r="W406" s="42" t="n"/>
      <c r="X406" s="42" t="n"/>
      <c r="Y406" s="42" t="n"/>
      <c r="Z406" s="42" t="n"/>
      <c r="AA406" s="42" t="n"/>
      <c r="AB406" s="42" t="n"/>
      <c r="AC406" s="42" t="n"/>
      <c r="AD406" s="42" t="n"/>
      <c r="AE406" s="42" t="n"/>
      <c r="AF406" s="43">
        <f>IF($B406="","",SUM($T406:$AE406))</f>
        <v/>
      </c>
      <c r="AG406" s="43">
        <f>IF($B406="","",N($M406)-N($AF406))</f>
        <v/>
      </c>
      <c r="AH406" s="43">
        <f>IF($B406="","",N($L406)-N($AF406))</f>
        <v/>
      </c>
      <c r="AI406" s="149">
        <f>IF($B406="","",IF(N($L406)=0,"",(N($L406)-N($AF406))/N($L406)))</f>
        <v/>
      </c>
    </row>
    <row r="407">
      <c r="A407" s="39">
        <f>IF($B407="","",COUNTA($B$4:$B407))</f>
        <v/>
      </c>
      <c r="B407" s="45" t="n">
        <v>46068</v>
      </c>
      <c r="C407" s="46" t="n">
        <v>2156</v>
      </c>
      <c r="D407" s="46" t="inlineStr">
        <is>
          <t>احمد خطاب</t>
        </is>
      </c>
      <c r="E407" s="46" t="inlineStr">
        <is>
          <t>1*40</t>
        </is>
      </c>
      <c r="F407" s="46" t="inlineStr">
        <is>
          <t xml:space="preserve">برتاية </t>
        </is>
      </c>
      <c r="G407" s="46" t="inlineStr">
        <is>
          <t xml:space="preserve">العاشر </t>
        </is>
      </c>
      <c r="H407" s="46" t="inlineStr">
        <is>
          <t>714646/8</t>
        </is>
      </c>
      <c r="I407" s="46" t="inlineStr">
        <is>
          <t>ع ر ق 1651</t>
        </is>
      </c>
      <c r="J407" s="46" t="inlineStr">
        <is>
          <t xml:space="preserve">حسن ماضى </t>
        </is>
      </c>
      <c r="K407" s="46" t="inlineStr">
        <is>
          <t xml:space="preserve">الليبر </t>
        </is>
      </c>
      <c r="L407" s="47" t="n">
        <v>14500</v>
      </c>
      <c r="M407" s="47" t="n">
        <v>8100</v>
      </c>
      <c r="N407" s="47" t="n"/>
      <c r="O407" s="47" t="n">
        <v>200</v>
      </c>
      <c r="P407" s="47" t="n"/>
      <c r="Q407" s="47" t="n">
        <v>6200</v>
      </c>
      <c r="R407" s="43">
        <f>IF($B407="","",N($S407)-N($Q407))</f>
        <v/>
      </c>
      <c r="S407" s="43">
        <f>IF($B407="","",N($L407)+N($N407)+N($P407))</f>
        <v/>
      </c>
      <c r="T407" s="47" t="n"/>
      <c r="U407" s="47" t="n"/>
      <c r="V407" s="47" t="n"/>
      <c r="W407" s="47" t="n"/>
      <c r="X407" s="47" t="n"/>
      <c r="Y407" s="47" t="n"/>
      <c r="Z407" s="47" t="n"/>
      <c r="AA407" s="47" t="n"/>
      <c r="AB407" s="47" t="n"/>
      <c r="AC407" s="47" t="n"/>
      <c r="AD407" s="47" t="n"/>
      <c r="AE407" s="47" t="n"/>
      <c r="AF407" s="43">
        <f>IF($B407="","",SUM($T407:$AE407))</f>
        <v/>
      </c>
      <c r="AG407" s="43">
        <f>IF($B407="","",N($M407)-N($AF407))</f>
        <v/>
      </c>
      <c r="AH407" s="43">
        <f>IF($B407="","",N($L407)-N($AF407))</f>
        <v/>
      </c>
      <c r="AI407" s="149">
        <f>IF($B407="","",IF(N($L407)=0,"",(N($L407)-N($AF407))/N($L407)))</f>
        <v/>
      </c>
    </row>
    <row r="408">
      <c r="A408" s="39">
        <f>IF($B408="","",COUNTA($B$4:$B408))</f>
        <v/>
      </c>
      <c r="B408" s="40" t="n">
        <v>46068</v>
      </c>
      <c r="C408" s="41" t="n">
        <v>2155</v>
      </c>
      <c r="D408" s="41" t="inlineStr">
        <is>
          <t>ايوب خ</t>
        </is>
      </c>
      <c r="E408" s="41" t="inlineStr">
        <is>
          <t>1*40</t>
        </is>
      </c>
      <c r="F408" s="41" t="inlineStr">
        <is>
          <t xml:space="preserve">الهندسية للصناعات </t>
        </is>
      </c>
      <c r="G408" s="41" t="inlineStr">
        <is>
          <t xml:space="preserve">اكتوبر </t>
        </is>
      </c>
      <c r="H408" s="41" t="inlineStr">
        <is>
          <t>201039/7</t>
        </is>
      </c>
      <c r="I408" s="41" t="inlineStr">
        <is>
          <t>ب ف ر 3546</t>
        </is>
      </c>
      <c r="J408" s="41" t="inlineStr">
        <is>
          <t xml:space="preserve">ابراهيم عبد الله </t>
        </is>
      </c>
      <c r="K408" s="41" t="inlineStr">
        <is>
          <t xml:space="preserve">ايوب </t>
        </is>
      </c>
      <c r="L408" s="42" t="n">
        <v>9000</v>
      </c>
      <c r="M408" s="42" t="n">
        <v>7100</v>
      </c>
      <c r="N408" s="42" t="n"/>
      <c r="O408" s="42" t="n">
        <v>200</v>
      </c>
      <c r="P408" s="42" t="n"/>
      <c r="Q408" s="42" t="n">
        <v>1700</v>
      </c>
      <c r="R408" s="43">
        <f>IF($B408="","",N($S408)-N($Q408))</f>
        <v/>
      </c>
      <c r="S408" s="43">
        <f>IF($B408="","",N($L408)+N($N408)+N($P408))</f>
        <v/>
      </c>
      <c r="T408" s="42" t="n"/>
      <c r="U408" s="42" t="n"/>
      <c r="V408" s="42" t="n"/>
      <c r="W408" s="42" t="n"/>
      <c r="X408" s="42" t="n"/>
      <c r="Y408" s="42" t="n"/>
      <c r="Z408" s="42" t="n"/>
      <c r="AA408" s="42" t="n"/>
      <c r="AB408" s="42" t="n"/>
      <c r="AC408" s="42" t="n"/>
      <c r="AD408" s="42" t="n"/>
      <c r="AE408" s="42" t="n"/>
      <c r="AF408" s="43">
        <f>IF($B408="","",SUM($T408:$AE408))</f>
        <v/>
      </c>
      <c r="AG408" s="43">
        <f>IF($B408="","",N($M408)-N($AF408))</f>
        <v/>
      </c>
      <c r="AH408" s="43">
        <f>IF($B408="","",N($L408)-N($AF408))</f>
        <v/>
      </c>
      <c r="AI408" s="149">
        <f>IF($B408="","",IF(N($L408)=0,"",(N($L408)-N($AF408))/N($L408)))</f>
        <v/>
      </c>
    </row>
    <row r="409">
      <c r="A409" s="39">
        <f>IF($B409="","",COUNTA($B$4:$B409))</f>
        <v/>
      </c>
      <c r="B409" s="45" t="n">
        <v>46068</v>
      </c>
      <c r="C409" s="46" t="n">
        <v>2153</v>
      </c>
      <c r="D409" s="46" t="inlineStr">
        <is>
          <t>عتريس مخيمر  خ</t>
        </is>
      </c>
      <c r="E409" s="46" t="inlineStr">
        <is>
          <t>1*40</t>
        </is>
      </c>
      <c r="F409" s="46" t="inlineStr">
        <is>
          <t xml:space="preserve">مانجمنت </t>
        </is>
      </c>
      <c r="G409" s="46" t="inlineStr">
        <is>
          <t>العاشر</t>
        </is>
      </c>
      <c r="H409" s="46" t="inlineStr">
        <is>
          <t>163091/0</t>
        </is>
      </c>
      <c r="I409" s="46" t="inlineStr">
        <is>
          <t>ط ف ر 1474</t>
        </is>
      </c>
      <c r="J409" s="46" t="inlineStr">
        <is>
          <t xml:space="preserve">جمال على </t>
        </is>
      </c>
      <c r="K409" s="46" t="inlineStr">
        <is>
          <t xml:space="preserve">كريم خليف </t>
        </is>
      </c>
      <c r="L409" s="47" t="n">
        <v>19000</v>
      </c>
      <c r="M409" s="47" t="n">
        <v>8100</v>
      </c>
      <c r="N409" s="47" t="n"/>
      <c r="O409" s="47" t="n">
        <v>200</v>
      </c>
      <c r="P409" s="47" t="n"/>
      <c r="Q409" s="47" t="n">
        <v>10700</v>
      </c>
      <c r="R409" s="43">
        <f>IF($B409="","",N($S409)-N($Q409))</f>
        <v/>
      </c>
      <c r="S409" s="43">
        <f>IF($B409="","",N($L409)+N($N409)+N($P409))</f>
        <v/>
      </c>
      <c r="T409" s="47" t="n"/>
      <c r="U409" s="47" t="n"/>
      <c r="V409" s="47" t="n"/>
      <c r="W409" s="47" t="n"/>
      <c r="X409" s="47" t="n"/>
      <c r="Y409" s="47" t="n"/>
      <c r="Z409" s="47" t="n"/>
      <c r="AA409" s="47" t="n"/>
      <c r="AB409" s="47" t="n"/>
      <c r="AC409" s="47" t="n"/>
      <c r="AD409" s="47" t="n"/>
      <c r="AE409" s="47" t="n"/>
      <c r="AF409" s="43">
        <f>IF($B409="","",SUM($T409:$AE409))</f>
        <v/>
      </c>
      <c r="AG409" s="43">
        <f>IF($B409="","",N($M409)-N($AF409))</f>
        <v/>
      </c>
      <c r="AH409" s="43">
        <f>IF($B409="","",N($L409)-N($AF409))</f>
        <v/>
      </c>
      <c r="AI409" s="149">
        <f>IF($B409="","",IF(N($L409)=0,"",(N($L409)-N($AF409))/N($L409)))</f>
        <v/>
      </c>
    </row>
    <row r="410">
      <c r="A410" s="39">
        <f>IF($B410="","",COUNTA($B$4:$B410))</f>
        <v/>
      </c>
      <c r="B410" s="40" t="n">
        <v>46068</v>
      </c>
      <c r="C410" s="41" t="n">
        <v>2154</v>
      </c>
      <c r="D410" s="41" t="inlineStr">
        <is>
          <t xml:space="preserve">ابو ركبة </t>
        </is>
      </c>
      <c r="E410" s="41" t="inlineStr">
        <is>
          <t>1*40</t>
        </is>
      </c>
      <c r="F410" s="41" t="inlineStr">
        <is>
          <t xml:space="preserve">مانجمنت </t>
        </is>
      </c>
      <c r="G410" s="41" t="inlineStr">
        <is>
          <t>العاشر</t>
        </is>
      </c>
      <c r="H410" s="41" t="inlineStr">
        <is>
          <t>738413/7</t>
        </is>
      </c>
      <c r="I410" s="41" t="inlineStr">
        <is>
          <t>ب ج ى 8674</t>
        </is>
      </c>
      <c r="J410" s="41" t="inlineStr">
        <is>
          <t xml:space="preserve">الشحات مصباح </t>
        </is>
      </c>
      <c r="K410" s="41" t="inlineStr">
        <is>
          <t xml:space="preserve">الليبر </t>
        </is>
      </c>
      <c r="L410" s="42" t="n">
        <v>19000</v>
      </c>
      <c r="M410" s="42" t="n">
        <v>8100</v>
      </c>
      <c r="N410" s="42" t="n"/>
      <c r="O410" s="42" t="n">
        <v>200</v>
      </c>
      <c r="P410" s="42" t="n"/>
      <c r="Q410" s="42" t="n">
        <v>10700</v>
      </c>
      <c r="R410" s="43">
        <f>IF($B410="","",N($S410)-N($Q410))</f>
        <v/>
      </c>
      <c r="S410" s="43">
        <f>IF($B410="","",N($L410)+N($N410)+N($P410))</f>
        <v/>
      </c>
      <c r="T410" s="42" t="n"/>
      <c r="U410" s="42" t="n"/>
      <c r="V410" s="42" t="n"/>
      <c r="W410" s="42" t="n"/>
      <c r="X410" s="42" t="n"/>
      <c r="Y410" s="42" t="n"/>
      <c r="Z410" s="42" t="n"/>
      <c r="AA410" s="42" t="n"/>
      <c r="AB410" s="42" t="n"/>
      <c r="AC410" s="42" t="n"/>
      <c r="AD410" s="42" t="n"/>
      <c r="AE410" s="42" t="n"/>
      <c r="AF410" s="43">
        <f>IF($B410="","",SUM($T410:$AE410))</f>
        <v/>
      </c>
      <c r="AG410" s="43">
        <f>IF($B410="","",N($M410)-N($AF410))</f>
        <v/>
      </c>
      <c r="AH410" s="43">
        <f>IF($B410="","",N($L410)-N($AF410))</f>
        <v/>
      </c>
      <c r="AI410" s="149">
        <f>IF($B410="","",IF(N($L410)=0,"",(N($L410)-N($AF410))/N($L410)))</f>
        <v/>
      </c>
    </row>
    <row r="411">
      <c r="A411" s="39">
        <f>IF($B411="","",COUNTA($B$4:$B411))</f>
        <v/>
      </c>
      <c r="B411" s="45" t="n">
        <v>46068</v>
      </c>
      <c r="C411" s="46" t="n">
        <v>2160</v>
      </c>
      <c r="D411" s="46" t="inlineStr">
        <is>
          <t xml:space="preserve">ابراهيم سمارة </t>
        </is>
      </c>
      <c r="E411" s="46" t="inlineStr">
        <is>
          <t>2*20</t>
        </is>
      </c>
      <c r="F411" s="46" t="inlineStr">
        <is>
          <t xml:space="preserve">اكما </t>
        </is>
      </c>
      <c r="G411" s="46" t="inlineStr">
        <is>
          <t>بنى سويف</t>
        </is>
      </c>
      <c r="H411" s="46" t="inlineStr">
        <is>
          <t>202558/0-257578/1</t>
        </is>
      </c>
      <c r="I411" s="46" t="inlineStr">
        <is>
          <t>ع ق و 5827</t>
        </is>
      </c>
      <c r="J411" s="46" t="inlineStr">
        <is>
          <t xml:space="preserve">فؤاد محمد </t>
        </is>
      </c>
      <c r="K411" s="46" t="inlineStr">
        <is>
          <t xml:space="preserve">ابو يحى </t>
        </is>
      </c>
      <c r="L411" s="47" t="n">
        <v>23000</v>
      </c>
      <c r="M411" s="47" t="n">
        <v>12100</v>
      </c>
      <c r="N411" s="47" t="n"/>
      <c r="O411" s="47" t="n">
        <v>200</v>
      </c>
      <c r="P411" s="47" t="n"/>
      <c r="Q411" s="47" t="n">
        <v>10700</v>
      </c>
      <c r="R411" s="43">
        <f>IF($B411="","",N($S411)-N($Q411))</f>
        <v/>
      </c>
      <c r="S411" s="43">
        <f>IF($B411="","",N($L411)+N($N411)+N($P411))</f>
        <v/>
      </c>
      <c r="T411" s="47" t="n"/>
      <c r="U411" s="47" t="n"/>
      <c r="V411" s="47" t="n"/>
      <c r="W411" s="47" t="n"/>
      <c r="X411" s="47" t="n"/>
      <c r="Y411" s="47" t="n"/>
      <c r="Z411" s="47" t="n"/>
      <c r="AA411" s="47" t="n"/>
      <c r="AB411" s="47" t="n"/>
      <c r="AC411" s="47" t="n"/>
      <c r="AD411" s="47" t="n"/>
      <c r="AE411" s="47" t="n"/>
      <c r="AF411" s="43">
        <f>IF($B411="","",SUM($T411:$AE411))</f>
        <v/>
      </c>
      <c r="AG411" s="43">
        <f>IF($B411="","",N($M411)-N($AF411))</f>
        <v/>
      </c>
      <c r="AH411" s="43">
        <f>IF($B411="","",N($L411)-N($AF411))</f>
        <v/>
      </c>
      <c r="AI411" s="149">
        <f>IF($B411="","",IF(N($L411)=0,"",(N($L411)-N($AF411))/N($L411)))</f>
        <v/>
      </c>
    </row>
    <row r="412">
      <c r="A412" s="39">
        <f>IF($B412="","",COUNTA($B$4:$B412))</f>
        <v/>
      </c>
      <c r="B412" s="40" t="n">
        <v>46068</v>
      </c>
      <c r="C412" s="41" t="n">
        <v>2161</v>
      </c>
      <c r="D412" s="41" t="inlineStr">
        <is>
          <t>الشريف خ</t>
        </is>
      </c>
      <c r="E412" s="41" t="inlineStr">
        <is>
          <t>2*20</t>
        </is>
      </c>
      <c r="F412" s="41" t="inlineStr">
        <is>
          <t>اكما</t>
        </is>
      </c>
      <c r="G412" s="41" t="inlineStr">
        <is>
          <t>بنى سويف</t>
        </is>
      </c>
      <c r="H412" s="41" t="inlineStr">
        <is>
          <t>821135/1-114296/0</t>
        </is>
      </c>
      <c r="I412" s="41" t="inlineStr">
        <is>
          <t>ب ط ا 1934</t>
        </is>
      </c>
      <c r="J412" s="41" t="inlineStr">
        <is>
          <t xml:space="preserve">هشام فؤاد </t>
        </is>
      </c>
      <c r="K412" s="41" t="inlineStr">
        <is>
          <t xml:space="preserve">ابو يحى </t>
        </is>
      </c>
      <c r="L412" s="42" t="n">
        <v>23000</v>
      </c>
      <c r="M412" s="42" t="n">
        <v>12100</v>
      </c>
      <c r="N412" s="42" t="n"/>
      <c r="O412" s="42" t="n">
        <v>200</v>
      </c>
      <c r="P412" s="42" t="n"/>
      <c r="Q412" s="42" t="n">
        <v>10700</v>
      </c>
      <c r="R412" s="43">
        <f>IF($B412="","",N($S412)-N($Q412))</f>
        <v/>
      </c>
      <c r="S412" s="43">
        <f>IF($B412="","",N($L412)+N($N412)+N($P412))</f>
        <v/>
      </c>
      <c r="T412" s="42" t="n"/>
      <c r="U412" s="42" t="n"/>
      <c r="V412" s="42" t="n"/>
      <c r="W412" s="42" t="n"/>
      <c r="X412" s="42" t="n"/>
      <c r="Y412" s="42" t="n"/>
      <c r="Z412" s="42" t="n"/>
      <c r="AA412" s="42" t="n"/>
      <c r="AB412" s="42" t="n"/>
      <c r="AC412" s="42" t="n"/>
      <c r="AD412" s="42" t="n"/>
      <c r="AE412" s="42" t="n"/>
      <c r="AF412" s="43">
        <f>IF($B412="","",SUM($T412:$AE412))</f>
        <v/>
      </c>
      <c r="AG412" s="43">
        <f>IF($B412="","",N($M412)-N($AF412))</f>
        <v/>
      </c>
      <c r="AH412" s="43">
        <f>IF($B412="","",N($L412)-N($AF412))</f>
        <v/>
      </c>
      <c r="AI412" s="149">
        <f>IF($B412="","",IF(N($L412)=0,"",(N($L412)-N($AF412))/N($L412)))</f>
        <v/>
      </c>
    </row>
    <row r="413">
      <c r="A413" s="39">
        <f>IF($B413="","",COUNTA($B$4:$B413))</f>
        <v/>
      </c>
      <c r="B413" s="45" t="n">
        <v>46068</v>
      </c>
      <c r="C413" s="46" t="n">
        <v>2158</v>
      </c>
      <c r="D413" s="46" t="inlineStr">
        <is>
          <t>المكتب</t>
        </is>
      </c>
      <c r="E413" s="46" t="inlineStr">
        <is>
          <t>2*20</t>
        </is>
      </c>
      <c r="F413" s="46" t="inlineStr">
        <is>
          <t xml:space="preserve">اكما </t>
        </is>
      </c>
      <c r="G413" s="46" t="inlineStr">
        <is>
          <t>بنى سويف</t>
        </is>
      </c>
      <c r="H413" s="46" t="inlineStr">
        <is>
          <t>287122/0-096827/0</t>
        </is>
      </c>
      <c r="I413" s="46" t="inlineStr">
        <is>
          <t>س ع م 8737</t>
        </is>
      </c>
      <c r="J413" s="46" t="inlineStr">
        <is>
          <t xml:space="preserve">محمود بكر </t>
        </is>
      </c>
      <c r="K413" s="46" t="inlineStr">
        <is>
          <t>المكتب</t>
        </is>
      </c>
      <c r="L413" s="47" t="n">
        <v>23000</v>
      </c>
      <c r="M413" s="47" t="n">
        <v>10000</v>
      </c>
      <c r="N413" s="47" t="n"/>
      <c r="O413" s="47" t="n"/>
      <c r="P413" s="47" t="n"/>
      <c r="Q413" s="47" t="n">
        <v>13000</v>
      </c>
      <c r="R413" s="43">
        <f>IF($B413="","",N($S413)-N($Q413))</f>
        <v/>
      </c>
      <c r="S413" s="43">
        <f>IF($B413="","",N($L413)+N($N413)+N($P413))</f>
        <v/>
      </c>
      <c r="T413" s="47" t="n">
        <v>2000</v>
      </c>
      <c r="U413" s="47" t="n">
        <v>900</v>
      </c>
      <c r="V413" s="47" t="n"/>
      <c r="W413" s="47" t="n">
        <v>200</v>
      </c>
      <c r="X413" s="47" t="n">
        <v>180</v>
      </c>
      <c r="Y413" s="47" t="n">
        <v>60</v>
      </c>
      <c r="Z413" s="47" t="n"/>
      <c r="AA413" s="47" t="n"/>
      <c r="AB413" s="47" t="n">
        <v>250</v>
      </c>
      <c r="AC413" s="47" t="n">
        <v>520</v>
      </c>
      <c r="AD413" s="47" t="n"/>
      <c r="AE413" s="47" t="n">
        <v>5000</v>
      </c>
      <c r="AF413" s="43">
        <f>IF($B413="","",SUM($T413:$AE413))</f>
        <v/>
      </c>
      <c r="AG413" s="43">
        <f>IF($B413="","",N($M413)-N($AF413))</f>
        <v/>
      </c>
      <c r="AH413" s="43">
        <f>IF($B413="","",N($L413)-N($AF413))</f>
        <v/>
      </c>
      <c r="AI413" s="149">
        <f>IF($B413="","",IF(N($L413)=0,"",(N($L413)-N($AF413))/N($L413)))</f>
        <v/>
      </c>
    </row>
    <row r="414">
      <c r="A414" s="39">
        <f>IF($B414="","",COUNTA($B$4:$B414))</f>
        <v/>
      </c>
      <c r="B414" s="40" t="n">
        <v>46068</v>
      </c>
      <c r="C414" s="41" t="n">
        <v>2159</v>
      </c>
      <c r="D414" s="41" t="inlineStr">
        <is>
          <t>عتريس مخيمر  خ</t>
        </is>
      </c>
      <c r="E414" s="41" t="inlineStr">
        <is>
          <t>2*20</t>
        </is>
      </c>
      <c r="F414" s="41" t="n"/>
      <c r="G414" s="41" t="inlineStr">
        <is>
          <t>بنى سويف</t>
        </is>
      </c>
      <c r="H414" s="41" t="inlineStr">
        <is>
          <t>104407/2-287131/2</t>
        </is>
      </c>
      <c r="I414" s="41" t="inlineStr">
        <is>
          <t>ب ص ا 2574</t>
        </is>
      </c>
      <c r="J414" s="41" t="inlineStr">
        <is>
          <t xml:space="preserve">محمد البحيرى </t>
        </is>
      </c>
      <c r="K414" s="41" t="inlineStr">
        <is>
          <t xml:space="preserve">احمد خليف </t>
        </is>
      </c>
      <c r="L414" s="42" t="n">
        <v>23000</v>
      </c>
      <c r="M414" s="42" t="n">
        <v>12100</v>
      </c>
      <c r="N414" s="42" t="n"/>
      <c r="O414" s="42" t="n">
        <v>200</v>
      </c>
      <c r="P414" s="42" t="n"/>
      <c r="Q414" s="42" t="n">
        <v>10700</v>
      </c>
      <c r="R414" s="43">
        <f>IF($B414="","",N($S414)-N($Q414))</f>
        <v/>
      </c>
      <c r="S414" s="43">
        <f>IF($B414="","",N($L414)+N($N414)+N($P414))</f>
        <v/>
      </c>
      <c r="T414" s="42" t="n"/>
      <c r="U414" s="42" t="n"/>
      <c r="V414" s="42" t="n"/>
      <c r="W414" s="42" t="n"/>
      <c r="X414" s="42" t="n"/>
      <c r="Y414" s="42" t="n"/>
      <c r="Z414" s="42" t="n"/>
      <c r="AA414" s="42" t="n"/>
      <c r="AB414" s="42" t="n"/>
      <c r="AC414" s="42" t="n"/>
      <c r="AD414" s="42" t="n"/>
      <c r="AE414" s="42" t="n"/>
      <c r="AF414" s="43">
        <f>IF($B414="","",SUM($T414:$AE414))</f>
        <v/>
      </c>
      <c r="AG414" s="43">
        <f>IF($B414="","",N($M414)-N($AF414))</f>
        <v/>
      </c>
      <c r="AH414" s="43">
        <f>IF($B414="","",N($L414)-N($AF414))</f>
        <v/>
      </c>
      <c r="AI414" s="149">
        <f>IF($B414="","",IF(N($L414)=0,"",(N($L414)-N($AF414))/N($L414)))</f>
        <v/>
      </c>
    </row>
    <row r="415">
      <c r="A415" s="39">
        <f>IF($B415="","",COUNTA($B$4:$B415))</f>
        <v/>
      </c>
      <c r="B415" s="45" t="n">
        <v>46069</v>
      </c>
      <c r="C415" s="46" t="n">
        <v>2053</v>
      </c>
      <c r="D415" s="46" t="inlineStr">
        <is>
          <t>احمد عبدو خ</t>
        </is>
      </c>
      <c r="E415" s="46" t="inlineStr">
        <is>
          <t>1*40</t>
        </is>
      </c>
      <c r="F415" s="46" t="inlineStr">
        <is>
          <t xml:space="preserve">اورينت </t>
        </is>
      </c>
      <c r="G415" s="46" t="inlineStr">
        <is>
          <t xml:space="preserve">العاشر </t>
        </is>
      </c>
      <c r="H415" s="46" t="inlineStr">
        <is>
          <t>859466/1</t>
        </is>
      </c>
      <c r="I415" s="46" t="inlineStr">
        <is>
          <t>ع ر ب 1573</t>
        </is>
      </c>
      <c r="J415" s="46" t="inlineStr">
        <is>
          <t xml:space="preserve">محمد السيد </t>
        </is>
      </c>
      <c r="K415" s="46" t="inlineStr">
        <is>
          <t xml:space="preserve">حمو مرزوق </t>
        </is>
      </c>
      <c r="L415" s="47" t="n">
        <v>14000</v>
      </c>
      <c r="M415" s="47" t="n">
        <v>8100</v>
      </c>
      <c r="N415" s="47" t="n"/>
      <c r="O415" s="47" t="n">
        <v>200</v>
      </c>
      <c r="P415" s="47" t="n"/>
      <c r="Q415" s="47" t="n">
        <v>5700</v>
      </c>
      <c r="R415" s="43">
        <f>IF($B415="","",N($S415)-N($Q415))</f>
        <v/>
      </c>
      <c r="S415" s="43">
        <f>IF($B415="","",N($L415)+N($N415)+N($P415))</f>
        <v/>
      </c>
      <c r="T415" s="47" t="n"/>
      <c r="U415" s="47" t="n"/>
      <c r="V415" s="47" t="n"/>
      <c r="W415" s="47" t="n"/>
      <c r="X415" s="47" t="n"/>
      <c r="Y415" s="47" t="n"/>
      <c r="Z415" s="47" t="n"/>
      <c r="AA415" s="47" t="n"/>
      <c r="AB415" s="47" t="n"/>
      <c r="AC415" s="47" t="n"/>
      <c r="AD415" s="47" t="n"/>
      <c r="AE415" s="47" t="n"/>
      <c r="AF415" s="43">
        <f>IF($B415="","",SUM($T415:$AE415))</f>
        <v/>
      </c>
      <c r="AG415" s="43">
        <f>IF($B415="","",N($M415)-N($AF415))</f>
        <v/>
      </c>
      <c r="AH415" s="43">
        <f>IF($B415="","",N($L415)-N($AF415))</f>
        <v/>
      </c>
      <c r="AI415" s="149">
        <f>IF($B415="","",IF(N($L415)=0,"",(N($L415)-N($AF415))/N($L415)))</f>
        <v/>
      </c>
    </row>
    <row r="416">
      <c r="A416" s="39">
        <f>IF($B416="","",COUNTA($B$4:$B416))</f>
        <v/>
      </c>
      <c r="B416" s="40" t="n">
        <v>46069</v>
      </c>
      <c r="C416" s="41" t="n">
        <v>2054</v>
      </c>
      <c r="D416" s="41" t="inlineStr">
        <is>
          <t>كمال رزق خ</t>
        </is>
      </c>
      <c r="E416" s="41" t="inlineStr">
        <is>
          <t>1*40</t>
        </is>
      </c>
      <c r="F416" s="41" t="inlineStr">
        <is>
          <t xml:space="preserve">يونايتد  </t>
        </is>
      </c>
      <c r="G416" s="41" t="inlineStr">
        <is>
          <t>العاشر</t>
        </is>
      </c>
      <c r="H416" s="41" t="inlineStr">
        <is>
          <t>601521/2</t>
        </is>
      </c>
      <c r="I416" s="41" t="inlineStr">
        <is>
          <t>س ن ر 8979</t>
        </is>
      </c>
      <c r="J416" s="41" t="inlineStr">
        <is>
          <t xml:space="preserve">عماد سعيد </t>
        </is>
      </c>
      <c r="K416" s="41" t="inlineStr">
        <is>
          <t xml:space="preserve">عماد سعيد </t>
        </is>
      </c>
      <c r="L416" s="42" t="n">
        <v>14500</v>
      </c>
      <c r="M416" s="42" t="n">
        <v>8100</v>
      </c>
      <c r="N416" s="42" t="n"/>
      <c r="O416" s="42" t="n">
        <v>200</v>
      </c>
      <c r="P416" s="42" t="n"/>
      <c r="Q416" s="42" t="n">
        <v>6200</v>
      </c>
      <c r="R416" s="43">
        <f>IF($B416="","",N($S416)-N($Q416))</f>
        <v/>
      </c>
      <c r="S416" s="43">
        <f>IF($B416="","",N($L416)+N($N416)+N($P416))</f>
        <v/>
      </c>
      <c r="T416" s="42" t="n"/>
      <c r="U416" s="42" t="n"/>
      <c r="V416" s="42" t="n"/>
      <c r="W416" s="42" t="n"/>
      <c r="X416" s="42" t="n"/>
      <c r="Y416" s="42" t="n"/>
      <c r="Z416" s="42" t="n"/>
      <c r="AA416" s="42" t="n"/>
      <c r="AB416" s="42" t="n"/>
      <c r="AC416" s="42" t="n"/>
      <c r="AD416" s="42" t="n"/>
      <c r="AE416" s="42" t="n"/>
      <c r="AF416" s="43">
        <f>IF($B416="","",SUM($T416:$AE416))</f>
        <v/>
      </c>
      <c r="AG416" s="43">
        <f>IF($B416="","",N($M416)-N($AF416))</f>
        <v/>
      </c>
      <c r="AH416" s="43">
        <f>IF($B416="","",N($L416)-N($AF416))</f>
        <v/>
      </c>
      <c r="AI416" s="149">
        <f>IF($B416="","",IF(N($L416)=0,"",(N($L416)-N($AF416))/N($L416)))</f>
        <v/>
      </c>
    </row>
    <row r="417">
      <c r="A417" s="39">
        <f>IF($B417="","",COUNTA($B$4:$B417))</f>
        <v/>
      </c>
      <c r="B417" s="45" t="n">
        <v>46069</v>
      </c>
      <c r="C417" s="46" t="n">
        <v>2055</v>
      </c>
      <c r="D417" s="46" t="inlineStr">
        <is>
          <t>احمد عبدو خ</t>
        </is>
      </c>
      <c r="E417" s="46" t="inlineStr">
        <is>
          <t>1*40 ث</t>
        </is>
      </c>
      <c r="F417" s="46" t="inlineStr">
        <is>
          <t xml:space="preserve">سوبر فروت </t>
        </is>
      </c>
      <c r="G417" s="46" t="inlineStr">
        <is>
          <t xml:space="preserve">النوبارية </t>
        </is>
      </c>
      <c r="H417" s="46" t="inlineStr">
        <is>
          <t>502882/4</t>
        </is>
      </c>
      <c r="I417" s="46" t="inlineStr">
        <is>
          <t>س ر ا 6671</t>
        </is>
      </c>
      <c r="J417" s="46" t="inlineStr">
        <is>
          <t xml:space="preserve">السيد مرسى </t>
        </is>
      </c>
      <c r="K417" s="46" t="inlineStr">
        <is>
          <t xml:space="preserve">حمو مرزوق </t>
        </is>
      </c>
      <c r="L417" s="47" t="n">
        <v>11000</v>
      </c>
      <c r="M417" s="47" t="n">
        <v>7100</v>
      </c>
      <c r="N417" s="47" t="n"/>
      <c r="O417" s="47" t="n">
        <v>200</v>
      </c>
      <c r="P417" s="47" t="n"/>
      <c r="Q417" s="47" t="n">
        <v>3700</v>
      </c>
      <c r="R417" s="43">
        <f>IF($B417="","",N($S417)-N($Q417))</f>
        <v/>
      </c>
      <c r="S417" s="43">
        <f>IF($B417="","",N($L417)+N($N417)+N($P417))</f>
        <v/>
      </c>
      <c r="T417" s="47" t="n"/>
      <c r="U417" s="47" t="n"/>
      <c r="V417" s="47" t="n"/>
      <c r="W417" s="47" t="n"/>
      <c r="X417" s="47" t="n"/>
      <c r="Y417" s="47" t="n"/>
      <c r="Z417" s="47" t="n"/>
      <c r="AA417" s="47" t="n"/>
      <c r="AB417" s="47" t="n"/>
      <c r="AC417" s="47" t="n"/>
      <c r="AD417" s="47" t="n"/>
      <c r="AE417" s="47" t="n"/>
      <c r="AF417" s="43">
        <f>IF($B417="","",SUM($T417:$AE417))</f>
        <v/>
      </c>
      <c r="AG417" s="43">
        <f>IF($B417="","",N($M417)-N($AF417))</f>
        <v/>
      </c>
      <c r="AH417" s="43">
        <f>IF($B417="","",N($L417)-N($AF417))</f>
        <v/>
      </c>
      <c r="AI417" s="149">
        <f>IF($B417="","",IF(N($L417)=0,"",(N($L417)-N($AF417))/N($L417)))</f>
        <v/>
      </c>
    </row>
    <row r="418">
      <c r="A418" s="39">
        <f>IF($B418="","",COUNTA($B$4:$B418))</f>
        <v/>
      </c>
      <c r="B418" s="40" t="n">
        <v>46069</v>
      </c>
      <c r="C418" s="41" t="n">
        <v>2056</v>
      </c>
      <c r="D418" s="41" t="inlineStr">
        <is>
          <t>سعد منير</t>
        </is>
      </c>
      <c r="E418" s="41" t="inlineStr">
        <is>
          <t>1*40 ث</t>
        </is>
      </c>
      <c r="F418" s="41" t="inlineStr">
        <is>
          <t xml:space="preserve">سوبر فروت </t>
        </is>
      </c>
      <c r="G418" s="41" t="inlineStr">
        <is>
          <t xml:space="preserve">النوبارية </t>
        </is>
      </c>
      <c r="H418" s="41" t="inlineStr">
        <is>
          <t>01799/0</t>
        </is>
      </c>
      <c r="I418" s="41" t="inlineStr">
        <is>
          <t>س م ح 6261</t>
        </is>
      </c>
      <c r="J418" s="41" t="inlineStr">
        <is>
          <t xml:space="preserve">على رمضان </t>
        </is>
      </c>
      <c r="K418" s="41" t="inlineStr">
        <is>
          <t xml:space="preserve">محمد صبرة </t>
        </is>
      </c>
      <c r="L418" s="42" t="n">
        <v>11000</v>
      </c>
      <c r="M418" s="42" t="n">
        <v>7100</v>
      </c>
      <c r="N418" s="42" t="n"/>
      <c r="O418" s="42" t="n">
        <v>200</v>
      </c>
      <c r="P418" s="42" t="n"/>
      <c r="Q418" s="42" t="n">
        <v>3700</v>
      </c>
      <c r="R418" s="43">
        <f>IF($B418="","",N($S418)-N($Q418))</f>
        <v/>
      </c>
      <c r="S418" s="43">
        <f>IF($B418="","",N($L418)+N($N418)+N($P418))</f>
        <v/>
      </c>
      <c r="T418" s="42" t="n"/>
      <c r="U418" s="42" t="n"/>
      <c r="V418" s="42" t="n"/>
      <c r="W418" s="42" t="n"/>
      <c r="X418" s="42" t="n"/>
      <c r="Y418" s="42" t="n"/>
      <c r="Z418" s="42" t="n"/>
      <c r="AA418" s="42" t="n"/>
      <c r="AB418" s="42" t="n"/>
      <c r="AC418" s="42" t="n"/>
      <c r="AD418" s="42" t="n"/>
      <c r="AE418" s="42" t="n"/>
      <c r="AF418" s="43">
        <f>IF($B418="","",SUM($T418:$AE418))</f>
        <v/>
      </c>
      <c r="AG418" s="43">
        <f>IF($B418="","",N($M418)-N($AF418))</f>
        <v/>
      </c>
      <c r="AH418" s="43">
        <f>IF($B418="","",N($L418)-N($AF418))</f>
        <v/>
      </c>
      <c r="AI418" s="149">
        <f>IF($B418="","",IF(N($L418)=0,"",(N($L418)-N($AF418))/N($L418)))</f>
        <v/>
      </c>
    </row>
    <row r="419">
      <c r="A419" s="39">
        <f>IF($B419="","",COUNTA($B$4:$B419))</f>
        <v/>
      </c>
      <c r="B419" s="45" t="n">
        <v>46069</v>
      </c>
      <c r="C419" s="46" t="n">
        <v>2057</v>
      </c>
      <c r="D419" s="46" t="inlineStr">
        <is>
          <t>سعد منير</t>
        </is>
      </c>
      <c r="E419" s="46" t="inlineStr">
        <is>
          <t>1*40 ث</t>
        </is>
      </c>
      <c r="F419" s="46" t="inlineStr">
        <is>
          <t xml:space="preserve">سوبر فروت </t>
        </is>
      </c>
      <c r="G419" s="46" t="inlineStr">
        <is>
          <t xml:space="preserve">النوبارية </t>
        </is>
      </c>
      <c r="H419" s="46" t="inlineStr">
        <is>
          <t>503112/9</t>
        </is>
      </c>
      <c r="I419" s="46" t="inlineStr">
        <is>
          <t>س و ج 1851</t>
        </is>
      </c>
      <c r="J419" s="46" t="inlineStr">
        <is>
          <t xml:space="preserve">محمد عبد العال </t>
        </is>
      </c>
      <c r="K419" s="46" t="inlineStr">
        <is>
          <t xml:space="preserve">محمد صبرة </t>
        </is>
      </c>
      <c r="L419" s="47" t="n">
        <v>11000</v>
      </c>
      <c r="M419" s="47" t="n">
        <v>7100</v>
      </c>
      <c r="N419" s="47" t="n"/>
      <c r="O419" s="47" t="n">
        <v>200</v>
      </c>
      <c r="P419" s="47" t="n"/>
      <c r="Q419" s="47" t="n">
        <v>3700</v>
      </c>
      <c r="R419" s="43">
        <f>IF($B419="","",N($S419)-N($Q419))</f>
        <v/>
      </c>
      <c r="S419" s="43">
        <f>IF($B419="","",N($L419)+N($N419)+N($P419))</f>
        <v/>
      </c>
      <c r="T419" s="47" t="n"/>
      <c r="U419" s="47" t="n"/>
      <c r="V419" s="47" t="n"/>
      <c r="W419" s="47" t="n"/>
      <c r="X419" s="47" t="n"/>
      <c r="Y419" s="47" t="n"/>
      <c r="Z419" s="47" t="n"/>
      <c r="AA419" s="47" t="n"/>
      <c r="AB419" s="47" t="n"/>
      <c r="AC419" s="47" t="n"/>
      <c r="AD419" s="47" t="n"/>
      <c r="AE419" s="47" t="n"/>
      <c r="AF419" s="43">
        <f>IF($B419="","",SUM($T419:$AE419))</f>
        <v/>
      </c>
      <c r="AG419" s="43">
        <f>IF($B419="","",N($M419)-N($AF419))</f>
        <v/>
      </c>
      <c r="AH419" s="43">
        <f>IF($B419="","",N($L419)-N($AF419))</f>
        <v/>
      </c>
      <c r="AI419" s="149">
        <f>IF($B419="","",IF(N($L419)=0,"",(N($L419)-N($AF419))/N($L419)))</f>
        <v/>
      </c>
    </row>
    <row r="420">
      <c r="A420" s="39">
        <f>IF($B420="","",COUNTA($B$4:$B420))</f>
        <v/>
      </c>
      <c r="B420" s="40" t="n">
        <v>46069</v>
      </c>
      <c r="C420" s="41" t="n">
        <v>1819</v>
      </c>
      <c r="D420" s="41" t="inlineStr">
        <is>
          <t>احمد عبدو خ</t>
        </is>
      </c>
      <c r="E420" s="41" t="inlineStr">
        <is>
          <t>1*40 ث</t>
        </is>
      </c>
      <c r="F420" s="41" t="inlineStr">
        <is>
          <t xml:space="preserve">سوبر فروت </t>
        </is>
      </c>
      <c r="G420" s="41" t="inlineStr">
        <is>
          <t xml:space="preserve">النوبارية </t>
        </is>
      </c>
      <c r="H420" s="41" t="inlineStr">
        <is>
          <t>503229/6</t>
        </is>
      </c>
      <c r="I420" s="41" t="inlineStr">
        <is>
          <t>س ا ه 8198</t>
        </is>
      </c>
      <c r="J420" s="41" t="inlineStr">
        <is>
          <t xml:space="preserve">محمد ابراهيم </t>
        </is>
      </c>
      <c r="K420" s="41" t="inlineStr">
        <is>
          <t xml:space="preserve">علاء علام </t>
        </is>
      </c>
      <c r="L420" s="42" t="n">
        <v>11000</v>
      </c>
      <c r="M420" s="42" t="n">
        <v>7100</v>
      </c>
      <c r="N420" s="42" t="n"/>
      <c r="O420" s="42" t="n">
        <v>200</v>
      </c>
      <c r="P420" s="42" t="n"/>
      <c r="Q420" s="42" t="n">
        <v>3700</v>
      </c>
      <c r="R420" s="43">
        <f>IF($B420="","",N($S420)-N($Q420))</f>
        <v/>
      </c>
      <c r="S420" s="43">
        <f>IF($B420="","",N($L420)+N($N420)+N($P420))</f>
        <v/>
      </c>
      <c r="T420" s="42" t="n"/>
      <c r="U420" s="42" t="n"/>
      <c r="V420" s="42" t="n"/>
      <c r="W420" s="42" t="n"/>
      <c r="X420" s="42" t="n"/>
      <c r="Y420" s="42" t="n"/>
      <c r="Z420" s="42" t="n"/>
      <c r="AA420" s="42" t="n"/>
      <c r="AB420" s="42" t="n"/>
      <c r="AC420" s="42" t="n"/>
      <c r="AD420" s="42" t="n"/>
      <c r="AE420" s="42" t="n"/>
      <c r="AF420" s="43">
        <f>IF($B420="","",SUM($T420:$AE420))</f>
        <v/>
      </c>
      <c r="AG420" s="43">
        <f>IF($B420="","",N($M420)-N($AF420))</f>
        <v/>
      </c>
      <c r="AH420" s="43">
        <f>IF($B420="","",N($L420)-N($AF420))</f>
        <v/>
      </c>
      <c r="AI420" s="149">
        <f>IF($B420="","",IF(N($L420)=0,"",(N($L420)-N($AF420))/N($L420)))</f>
        <v/>
      </c>
    </row>
    <row r="421">
      <c r="A421" s="39">
        <f>IF($B421="","",COUNTA($B$4:$B421))</f>
        <v/>
      </c>
      <c r="B421" s="45" t="n">
        <v>46069</v>
      </c>
      <c r="C421" s="46" t="n">
        <v>1820</v>
      </c>
      <c r="D421" s="46" t="inlineStr">
        <is>
          <t>عتريس مخيمر  خ</t>
        </is>
      </c>
      <c r="E421" s="46" t="inlineStr">
        <is>
          <t>1*40 ث</t>
        </is>
      </c>
      <c r="F421" s="46" t="inlineStr">
        <is>
          <t xml:space="preserve">سوبر فروت </t>
        </is>
      </c>
      <c r="G421" s="46" t="inlineStr">
        <is>
          <t xml:space="preserve">النوبارية </t>
        </is>
      </c>
      <c r="H421" s="46" t="inlineStr">
        <is>
          <t>500812/9</t>
        </is>
      </c>
      <c r="I421" s="46" t="inlineStr">
        <is>
          <t>ب ص ا 2574</t>
        </is>
      </c>
      <c r="J421" s="46" t="inlineStr">
        <is>
          <t xml:space="preserve">محمد البحيرى </t>
        </is>
      </c>
      <c r="K421" s="46" t="inlineStr">
        <is>
          <t xml:space="preserve">البحيرى </t>
        </is>
      </c>
      <c r="L421" s="47" t="n">
        <v>11000</v>
      </c>
      <c r="M421" s="47" t="n">
        <v>7100</v>
      </c>
      <c r="N421" s="47" t="n"/>
      <c r="O421" s="47" t="n">
        <v>200</v>
      </c>
      <c r="P421" s="47" t="n"/>
      <c r="Q421" s="47" t="n">
        <v>3700</v>
      </c>
      <c r="R421" s="43">
        <f>IF($B421="","",N($S421)-N($Q421))</f>
        <v/>
      </c>
      <c r="S421" s="43">
        <f>IF($B421="","",N($L421)+N($N421)+N($P421))</f>
        <v/>
      </c>
      <c r="T421" s="47" t="n"/>
      <c r="U421" s="47" t="n"/>
      <c r="V421" s="47" t="n"/>
      <c r="W421" s="47" t="n"/>
      <c r="X421" s="47" t="n"/>
      <c r="Y421" s="47" t="n"/>
      <c r="Z421" s="47" t="n"/>
      <c r="AA421" s="47" t="n"/>
      <c r="AB421" s="47" t="n"/>
      <c r="AC421" s="47" t="n"/>
      <c r="AD421" s="47" t="n"/>
      <c r="AE421" s="47" t="n"/>
      <c r="AF421" s="43">
        <f>IF($B421="","",SUM($T421:$AE421))</f>
        <v/>
      </c>
      <c r="AG421" s="43">
        <f>IF($B421="","",N($M421)-N($AF421))</f>
        <v/>
      </c>
      <c r="AH421" s="43">
        <f>IF($B421="","",N($L421)-N($AF421))</f>
        <v/>
      </c>
      <c r="AI421" s="149">
        <f>IF($B421="","",IF(N($L421)=0,"",(N($L421)-N($AF421))/N($L421)))</f>
        <v/>
      </c>
    </row>
    <row r="422">
      <c r="A422" s="39">
        <f>IF($B422="","",COUNTA($B$4:$B422))</f>
        <v/>
      </c>
      <c r="B422" s="40" t="n">
        <v>46070</v>
      </c>
      <c r="C422" s="41" t="n">
        <v>2048</v>
      </c>
      <c r="D422" s="41" t="inlineStr">
        <is>
          <t>الشريف خ</t>
        </is>
      </c>
      <c r="E422" s="41" t="inlineStr">
        <is>
          <t>2*20</t>
        </is>
      </c>
      <c r="F422" s="41" t="inlineStr">
        <is>
          <t xml:space="preserve">اكما </t>
        </is>
      </c>
      <c r="G422" s="41" t="inlineStr">
        <is>
          <t>بنى سويف</t>
        </is>
      </c>
      <c r="H422" s="41" t="inlineStr">
        <is>
          <t>149659/6-268207/8</t>
        </is>
      </c>
      <c r="I422" s="41" t="inlineStr">
        <is>
          <t>ص ع ا 7825</t>
        </is>
      </c>
      <c r="J422" s="41" t="inlineStr">
        <is>
          <t xml:space="preserve">رامى الميت </t>
        </is>
      </c>
      <c r="K422" s="41" t="inlineStr">
        <is>
          <t xml:space="preserve">الميت </t>
        </is>
      </c>
      <c r="L422" s="42" t="n">
        <v>23000</v>
      </c>
      <c r="M422" s="42" t="n">
        <v>12100</v>
      </c>
      <c r="N422" s="42" t="n"/>
      <c r="O422" s="42" t="n">
        <v>200</v>
      </c>
      <c r="P422" s="42" t="n"/>
      <c r="Q422" s="42" t="n">
        <v>10700</v>
      </c>
      <c r="R422" s="43">
        <f>IF($B422="","",N($S422)-N($Q422))</f>
        <v/>
      </c>
      <c r="S422" s="43">
        <f>IF($B422="","",N($L422)+N($N422)+N($P422))</f>
        <v/>
      </c>
      <c r="T422" s="42" t="n"/>
      <c r="U422" s="42" t="n"/>
      <c r="V422" s="42" t="n"/>
      <c r="W422" s="42" t="n"/>
      <c r="X422" s="42" t="n"/>
      <c r="Y422" s="42" t="n"/>
      <c r="Z422" s="42" t="n"/>
      <c r="AA422" s="42" t="n"/>
      <c r="AB422" s="42" t="n"/>
      <c r="AC422" s="42" t="n"/>
      <c r="AD422" s="42" t="n"/>
      <c r="AE422" s="42" t="n"/>
      <c r="AF422" s="43">
        <f>IF($B422="","",SUM($T422:$AE422))</f>
        <v/>
      </c>
      <c r="AG422" s="43">
        <f>IF($B422="","",N($M422)-N($AF422))</f>
        <v/>
      </c>
      <c r="AH422" s="43">
        <f>IF($B422="","",N($L422)-N($AF422))</f>
        <v/>
      </c>
      <c r="AI422" s="149">
        <f>IF($B422="","",IF(N($L422)=0,"",(N($L422)-N($AF422))/N($L422)))</f>
        <v/>
      </c>
    </row>
    <row r="423">
      <c r="A423" s="39">
        <f>IF($B423="","",COUNTA($B$4:$B423))</f>
        <v/>
      </c>
      <c r="B423" s="45" t="n">
        <v>46070</v>
      </c>
      <c r="C423" s="46" t="n">
        <v>2168</v>
      </c>
      <c r="D423" s="46" t="inlineStr">
        <is>
          <t xml:space="preserve">ابراهيم سمارة </t>
        </is>
      </c>
      <c r="E423" s="46" t="inlineStr">
        <is>
          <t>2*20</t>
        </is>
      </c>
      <c r="F423" s="46" t="inlineStr">
        <is>
          <t>اكما</t>
        </is>
      </c>
      <c r="G423" s="46" t="inlineStr">
        <is>
          <t>بنى سويف</t>
        </is>
      </c>
      <c r="H423" s="46" t="inlineStr">
        <is>
          <t>038453/0-396643/0</t>
        </is>
      </c>
      <c r="I423" s="46" t="inlineStr">
        <is>
          <t>ع ق و 5827</t>
        </is>
      </c>
      <c r="J423" s="46" t="inlineStr">
        <is>
          <t xml:space="preserve">فؤاد محمد </t>
        </is>
      </c>
      <c r="K423" s="46" t="inlineStr">
        <is>
          <t xml:space="preserve">ابو يحى </t>
        </is>
      </c>
      <c r="L423" s="47" t="n">
        <v>23000</v>
      </c>
      <c r="M423" s="47" t="n">
        <v>12100</v>
      </c>
      <c r="N423" s="47" t="n"/>
      <c r="O423" s="47" t="n">
        <v>200</v>
      </c>
      <c r="P423" s="47" t="n"/>
      <c r="Q423" s="47" t="n">
        <v>10700</v>
      </c>
      <c r="R423" s="43">
        <f>IF($B423="","",N($S423)-N($Q423))</f>
        <v/>
      </c>
      <c r="S423" s="43">
        <f>IF($B423="","",N($L423)+N($N423)+N($P423))</f>
        <v/>
      </c>
      <c r="T423" s="47" t="n"/>
      <c r="U423" s="47" t="n"/>
      <c r="V423" s="47" t="n"/>
      <c r="W423" s="47" t="n"/>
      <c r="X423" s="47" t="n"/>
      <c r="Y423" s="47" t="n"/>
      <c r="Z423" s="47" t="n"/>
      <c r="AA423" s="47" t="n"/>
      <c r="AB423" s="47" t="n"/>
      <c r="AC423" s="47" t="n"/>
      <c r="AD423" s="47" t="n"/>
      <c r="AE423" s="47" t="n"/>
      <c r="AF423" s="43">
        <f>IF($B423="","",SUM($T423:$AE423))</f>
        <v/>
      </c>
      <c r="AG423" s="43">
        <f>IF($B423="","",N($M423)-N($AF423))</f>
        <v/>
      </c>
      <c r="AH423" s="43">
        <f>IF($B423="","",N($L423)-N($AF423))</f>
        <v/>
      </c>
      <c r="AI423" s="149">
        <f>IF($B423="","",IF(N($L423)=0,"",(N($L423)-N($AF423))/N($L423)))</f>
        <v/>
      </c>
    </row>
    <row r="424">
      <c r="A424" s="39">
        <f>IF($B424="","",COUNTA($B$4:$B424))</f>
        <v/>
      </c>
      <c r="B424" s="40" t="n">
        <v>46070</v>
      </c>
      <c r="C424" s="41" t="n">
        <v>2167</v>
      </c>
      <c r="D424" s="41" t="inlineStr">
        <is>
          <t>الشريف خ</t>
        </is>
      </c>
      <c r="E424" s="41" t="inlineStr">
        <is>
          <t>2*20</t>
        </is>
      </c>
      <c r="F424" s="41" t="inlineStr">
        <is>
          <t xml:space="preserve">اكما </t>
        </is>
      </c>
      <c r="G424" s="41" t="inlineStr">
        <is>
          <t>بنى سويف</t>
        </is>
      </c>
      <c r="H424" s="41" t="inlineStr">
        <is>
          <t>228278/4-509719/3</t>
        </is>
      </c>
      <c r="I424" s="41" t="inlineStr">
        <is>
          <t>ب ب ا 4936</t>
        </is>
      </c>
      <c r="J424" s="41" t="inlineStr">
        <is>
          <t xml:space="preserve">دياب ياسين </t>
        </is>
      </c>
      <c r="K424" s="41" t="inlineStr">
        <is>
          <t xml:space="preserve">السائق </t>
        </is>
      </c>
      <c r="L424" s="42" t="n">
        <v>23000</v>
      </c>
      <c r="M424" s="42" t="n">
        <v>12100</v>
      </c>
      <c r="N424" s="42" t="n"/>
      <c r="O424" s="42" t="n">
        <v>200</v>
      </c>
      <c r="P424" s="42" t="n"/>
      <c r="Q424" s="42" t="n">
        <v>10700</v>
      </c>
      <c r="R424" s="43">
        <f>IF($B424="","",N($S424)-N($Q424))</f>
        <v/>
      </c>
      <c r="S424" s="43">
        <f>IF($B424="","",N($L424)+N($N424)+N($P424))</f>
        <v/>
      </c>
      <c r="T424" s="42" t="n"/>
      <c r="U424" s="42" t="n"/>
      <c r="V424" s="42" t="n"/>
      <c r="W424" s="42" t="n"/>
      <c r="X424" s="42" t="n"/>
      <c r="Y424" s="42" t="n"/>
      <c r="Z424" s="42" t="n"/>
      <c r="AA424" s="42" t="n"/>
      <c r="AB424" s="42" t="n"/>
      <c r="AC424" s="42" t="n"/>
      <c r="AD424" s="42" t="n"/>
      <c r="AE424" s="42" t="n"/>
      <c r="AF424" s="43">
        <f>IF($B424="","",SUM($T424:$AE424))</f>
        <v/>
      </c>
      <c r="AG424" s="43">
        <f>IF($B424="","",N($M424)-N($AF424))</f>
        <v/>
      </c>
      <c r="AH424" s="43">
        <f>IF($B424="","",N($L424)-N($AF424))</f>
        <v/>
      </c>
      <c r="AI424" s="149">
        <f>IF($B424="","",IF(N($L424)=0,"",(N($L424)-N($AF424))/N($L424)))</f>
        <v/>
      </c>
    </row>
    <row r="425">
      <c r="A425" s="39">
        <f>IF($B425="","",COUNTA($B$4:$B425))</f>
        <v/>
      </c>
      <c r="B425" s="45" t="n">
        <v>46070</v>
      </c>
      <c r="C425" s="46" t="n">
        <v>2166</v>
      </c>
      <c r="D425" s="46" t="inlineStr">
        <is>
          <t>الشريف خ</t>
        </is>
      </c>
      <c r="E425" s="46" t="inlineStr">
        <is>
          <t>2*20</t>
        </is>
      </c>
      <c r="F425" s="46" t="inlineStr">
        <is>
          <t>اكما</t>
        </is>
      </c>
      <c r="G425" s="46" t="inlineStr">
        <is>
          <t>بنى سويف</t>
        </is>
      </c>
      <c r="H425" s="46" t="inlineStr">
        <is>
          <t>351932/0-111639/8</t>
        </is>
      </c>
      <c r="I425" s="46" t="inlineStr">
        <is>
          <t>ب ط ا 1934</t>
        </is>
      </c>
      <c r="J425" s="46" t="inlineStr">
        <is>
          <t xml:space="preserve">هشام فؤاد </t>
        </is>
      </c>
      <c r="K425" s="46" t="inlineStr">
        <is>
          <t xml:space="preserve">ابو يحى </t>
        </is>
      </c>
      <c r="L425" s="47" t="n">
        <v>23000</v>
      </c>
      <c r="M425" s="47" t="n">
        <v>12100</v>
      </c>
      <c r="N425" s="47" t="n"/>
      <c r="O425" s="47" t="n">
        <v>200</v>
      </c>
      <c r="P425" s="47" t="n"/>
      <c r="Q425" s="47" t="n">
        <v>10700</v>
      </c>
      <c r="R425" s="43">
        <f>IF($B425="","",N($S425)-N($Q425))</f>
        <v/>
      </c>
      <c r="S425" s="43">
        <f>IF($B425="","",N($L425)+N($N425)+N($P425))</f>
        <v/>
      </c>
      <c r="T425" s="47" t="n"/>
      <c r="U425" s="47" t="n"/>
      <c r="V425" s="47" t="n"/>
      <c r="W425" s="47" t="n"/>
      <c r="X425" s="47" t="n"/>
      <c r="Y425" s="47" t="n"/>
      <c r="Z425" s="47" t="n"/>
      <c r="AA425" s="47" t="n"/>
      <c r="AB425" s="47" t="n"/>
      <c r="AC425" s="47" t="n"/>
      <c r="AD425" s="47" t="n"/>
      <c r="AE425" s="47" t="n"/>
      <c r="AF425" s="43">
        <f>IF($B425="","",SUM($T425:$AE425))</f>
        <v/>
      </c>
      <c r="AG425" s="43">
        <f>IF($B425="","",N($M425)-N($AF425))</f>
        <v/>
      </c>
      <c r="AH425" s="43">
        <f>IF($B425="","",N($L425)-N($AF425))</f>
        <v/>
      </c>
      <c r="AI425" s="149">
        <f>IF($B425="","",IF(N($L425)=0,"",(N($L425)-N($AF425))/N($L425)))</f>
        <v/>
      </c>
    </row>
    <row r="426">
      <c r="A426" s="39">
        <f>IF($B426="","",COUNTA($B$4:$B426))</f>
        <v/>
      </c>
      <c r="B426" s="40" t="n">
        <v>46070</v>
      </c>
      <c r="C426" s="41" t="n">
        <v>2165</v>
      </c>
      <c r="D426" s="41" t="inlineStr">
        <is>
          <t>الشريف خ</t>
        </is>
      </c>
      <c r="E426" s="41" t="inlineStr">
        <is>
          <t>2*20</t>
        </is>
      </c>
      <c r="F426" s="41" t="inlineStr">
        <is>
          <t xml:space="preserve">اكما </t>
        </is>
      </c>
      <c r="G426" s="41" t="inlineStr">
        <is>
          <t>بنى سويف</t>
        </is>
      </c>
      <c r="H426" s="41" t="inlineStr">
        <is>
          <t>090303/5-061843/9</t>
        </is>
      </c>
      <c r="I426" s="41" t="inlineStr">
        <is>
          <t>ب ط ع 3576</t>
        </is>
      </c>
      <c r="J426" s="41" t="inlineStr">
        <is>
          <t xml:space="preserve">محمد الميت </t>
        </is>
      </c>
      <c r="K426" s="41" t="inlineStr">
        <is>
          <t xml:space="preserve">السائق </t>
        </is>
      </c>
      <c r="L426" s="42" t="n">
        <v>23000</v>
      </c>
      <c r="M426" s="42" t="n">
        <v>12100</v>
      </c>
      <c r="N426" s="42" t="n"/>
      <c r="O426" s="42" t="n">
        <v>200</v>
      </c>
      <c r="P426" s="42" t="n"/>
      <c r="Q426" s="42" t="n">
        <v>10700</v>
      </c>
      <c r="R426" s="43">
        <f>IF($B426="","",N($S426)-N($Q426))</f>
        <v/>
      </c>
      <c r="S426" s="43">
        <f>IF($B426="","",N($L426)+N($N426)+N($P426))</f>
        <v/>
      </c>
      <c r="T426" s="42" t="n"/>
      <c r="U426" s="42" t="n"/>
      <c r="V426" s="42" t="n"/>
      <c r="W426" s="42" t="n"/>
      <c r="X426" s="42" t="n"/>
      <c r="Y426" s="42" t="n"/>
      <c r="Z426" s="42" t="n"/>
      <c r="AA426" s="42" t="n"/>
      <c r="AB426" s="42" t="n"/>
      <c r="AC426" s="42" t="n"/>
      <c r="AD426" s="42" t="n"/>
      <c r="AE426" s="42" t="n"/>
      <c r="AF426" s="43">
        <f>IF($B426="","",SUM($T426:$AE426))</f>
        <v/>
      </c>
      <c r="AG426" s="43">
        <f>IF($B426="","",N($M426)-N($AF426))</f>
        <v/>
      </c>
      <c r="AH426" s="43">
        <f>IF($B426="","",N($L426)-N($AF426))</f>
        <v/>
      </c>
      <c r="AI426" s="149">
        <f>IF($B426="","",IF(N($L426)=0,"",(N($L426)-N($AF426))/N($L426)))</f>
        <v/>
      </c>
    </row>
    <row r="427">
      <c r="A427" s="39">
        <f>IF($B427="","",COUNTA($B$4:$B427))</f>
        <v/>
      </c>
      <c r="B427" s="45" t="n">
        <v>46070</v>
      </c>
      <c r="C427" s="46" t="n">
        <v>2164</v>
      </c>
      <c r="D427" s="46" t="inlineStr">
        <is>
          <t>الشريف خ</t>
        </is>
      </c>
      <c r="E427" s="46" t="inlineStr">
        <is>
          <t>2*20</t>
        </is>
      </c>
      <c r="F427" s="46" t="inlineStr">
        <is>
          <t>اكما</t>
        </is>
      </c>
      <c r="G427" s="46" t="inlineStr">
        <is>
          <t>بنى سويف</t>
        </is>
      </c>
      <c r="H427" s="46" t="inlineStr">
        <is>
          <t>101035/0-077013/8</t>
        </is>
      </c>
      <c r="I427" s="46" t="inlineStr">
        <is>
          <t>ب ر ط 1726</t>
        </is>
      </c>
      <c r="J427" s="46" t="inlineStr">
        <is>
          <t xml:space="preserve">ابراهيم الميت </t>
        </is>
      </c>
      <c r="K427" s="46" t="inlineStr">
        <is>
          <t xml:space="preserve">الميت </t>
        </is>
      </c>
      <c r="L427" s="47" t="n">
        <v>23000</v>
      </c>
      <c r="M427" s="47" t="n">
        <v>12100</v>
      </c>
      <c r="N427" s="47" t="n"/>
      <c r="O427" s="47" t="n">
        <v>200</v>
      </c>
      <c r="P427" s="47" t="n"/>
      <c r="Q427" s="47" t="n">
        <v>10700</v>
      </c>
      <c r="R427" s="43">
        <f>IF($B427="","",N($S427)-N($Q427))</f>
        <v/>
      </c>
      <c r="S427" s="43">
        <f>IF($B427="","",N($L427)+N($N427)+N($P427))</f>
        <v/>
      </c>
      <c r="T427" s="47" t="n"/>
      <c r="U427" s="47" t="n"/>
      <c r="V427" s="47" t="n"/>
      <c r="W427" s="47" t="n"/>
      <c r="X427" s="47" t="n"/>
      <c r="Y427" s="47" t="n"/>
      <c r="Z427" s="47" t="n"/>
      <c r="AA427" s="47" t="n"/>
      <c r="AB427" s="47" t="n"/>
      <c r="AC427" s="47" t="n"/>
      <c r="AD427" s="47" t="n"/>
      <c r="AE427" s="47" t="n"/>
      <c r="AF427" s="43">
        <f>IF($B427="","",SUM($T427:$AE427))</f>
        <v/>
      </c>
      <c r="AG427" s="43">
        <f>IF($B427="","",N($M427)-N($AF427))</f>
        <v/>
      </c>
      <c r="AH427" s="43">
        <f>IF($B427="","",N($L427)-N($AF427))</f>
        <v/>
      </c>
      <c r="AI427" s="149">
        <f>IF($B427="","",IF(N($L427)=0,"",(N($L427)-N($AF427))/N($L427)))</f>
        <v/>
      </c>
    </row>
    <row r="428">
      <c r="A428" s="39">
        <f>IF($B428="","",COUNTA($B$4:$B428))</f>
        <v/>
      </c>
      <c r="B428" s="40" t="n">
        <v>46070</v>
      </c>
      <c r="C428" s="41" t="n">
        <v>2050</v>
      </c>
      <c r="D428" s="41" t="inlineStr">
        <is>
          <t>اسلام محروس</t>
        </is>
      </c>
      <c r="E428" s="41" t="inlineStr">
        <is>
          <t>2*20</t>
        </is>
      </c>
      <c r="F428" s="41" t="inlineStr">
        <is>
          <t xml:space="preserve">اكما </t>
        </is>
      </c>
      <c r="G428" s="41" t="inlineStr">
        <is>
          <t>بنى سويف</t>
        </is>
      </c>
      <c r="H428" s="41" t="inlineStr">
        <is>
          <t>218545/1-043520/0</t>
        </is>
      </c>
      <c r="I428" s="41" t="inlineStr">
        <is>
          <t>ب د ف 9217</t>
        </is>
      </c>
      <c r="J428" s="41" t="inlineStr">
        <is>
          <t xml:space="preserve">يسرى الصيفى </t>
        </is>
      </c>
      <c r="K428" s="41" t="inlineStr">
        <is>
          <t xml:space="preserve">الصيفى </t>
        </is>
      </c>
      <c r="L428" s="42" t="n">
        <v>23000</v>
      </c>
      <c r="M428" s="42" t="n">
        <v>12100</v>
      </c>
      <c r="N428" s="42" t="n"/>
      <c r="O428" s="42" t="n">
        <v>200</v>
      </c>
      <c r="P428" s="42" t="n"/>
      <c r="Q428" s="42" t="n">
        <v>10700</v>
      </c>
      <c r="R428" s="43">
        <f>IF($B428="","",N($S428)-N($Q428))</f>
        <v/>
      </c>
      <c r="S428" s="43">
        <f>IF($B428="","",N($L428)+N($N428)+N($P428))</f>
        <v/>
      </c>
      <c r="T428" s="42" t="n"/>
      <c r="U428" s="42" t="n"/>
      <c r="V428" s="42" t="n"/>
      <c r="W428" s="42" t="n"/>
      <c r="X428" s="42" t="n"/>
      <c r="Y428" s="42" t="n"/>
      <c r="Z428" s="42" t="n"/>
      <c r="AA428" s="42" t="n"/>
      <c r="AB428" s="42" t="n"/>
      <c r="AC428" s="42" t="n"/>
      <c r="AD428" s="42" t="n"/>
      <c r="AE428" s="42" t="n"/>
      <c r="AF428" s="43">
        <f>IF($B428="","",SUM($T428:$AE428))</f>
        <v/>
      </c>
      <c r="AG428" s="43">
        <f>IF($B428="","",N($M428)-N($AF428))</f>
        <v/>
      </c>
      <c r="AH428" s="43">
        <f>IF($B428="","",N($L428)-N($AF428))</f>
        <v/>
      </c>
      <c r="AI428" s="149">
        <f>IF($B428="","",IF(N($L428)=0,"",(N($L428)-N($AF428))/N($L428)))</f>
        <v/>
      </c>
    </row>
    <row r="429">
      <c r="A429" s="39">
        <f>IF($B429="","",COUNTA($B$4:$B429))</f>
        <v/>
      </c>
      <c r="B429" s="45" t="n">
        <v>46070</v>
      </c>
      <c r="C429" s="46" t="n">
        <v>2163</v>
      </c>
      <c r="D429" s="46" t="inlineStr">
        <is>
          <t>احمد عبدو خ</t>
        </is>
      </c>
      <c r="E429" s="46" t="inlineStr">
        <is>
          <t>1*40 ث</t>
        </is>
      </c>
      <c r="F429" s="46" t="inlineStr">
        <is>
          <t xml:space="preserve">ميما فودز </t>
        </is>
      </c>
      <c r="G429" s="46" t="inlineStr">
        <is>
          <t xml:space="preserve">السادات </t>
        </is>
      </c>
      <c r="H429" s="46" t="inlineStr">
        <is>
          <t>100277/2</t>
        </is>
      </c>
      <c r="I429" s="46" t="inlineStr">
        <is>
          <t>س ر ا6671</t>
        </is>
      </c>
      <c r="J429" s="46" t="inlineStr">
        <is>
          <t xml:space="preserve">السيد بدوى </t>
        </is>
      </c>
      <c r="K429" s="46" t="inlineStr">
        <is>
          <t xml:space="preserve">حمو مرزوق </t>
        </is>
      </c>
      <c r="L429" s="47" t="n">
        <v>13000</v>
      </c>
      <c r="M429" s="47" t="n">
        <v>8100</v>
      </c>
      <c r="N429" s="47" t="n"/>
      <c r="O429" s="47" t="n">
        <v>200</v>
      </c>
      <c r="P429" s="47" t="n"/>
      <c r="Q429" s="47" t="n">
        <v>4700</v>
      </c>
      <c r="R429" s="43">
        <f>IF($B429="","",N($S429)-N($Q429))</f>
        <v/>
      </c>
      <c r="S429" s="43">
        <f>IF($B429="","",N($L429)+N($N429)+N($P429))</f>
        <v/>
      </c>
      <c r="T429" s="47" t="n"/>
      <c r="U429" s="47" t="n"/>
      <c r="V429" s="47" t="n"/>
      <c r="W429" s="47" t="n"/>
      <c r="X429" s="47" t="n"/>
      <c r="Y429" s="47" t="n"/>
      <c r="Z429" s="47" t="n"/>
      <c r="AA429" s="47" t="n"/>
      <c r="AB429" s="47" t="n"/>
      <c r="AC429" s="47" t="n"/>
      <c r="AD429" s="47" t="n"/>
      <c r="AE429" s="47" t="n"/>
      <c r="AF429" s="43">
        <f>IF($B429="","",SUM($T429:$AE429))</f>
        <v/>
      </c>
      <c r="AG429" s="43">
        <f>IF($B429="","",N($M429)-N($AF429))</f>
        <v/>
      </c>
      <c r="AH429" s="43">
        <f>IF($B429="","",N($L429)-N($AF429))</f>
        <v/>
      </c>
      <c r="AI429" s="149">
        <f>IF($B429="","",IF(N($L429)=0,"",(N($L429)-N($AF429))/N($L429)))</f>
        <v/>
      </c>
    </row>
    <row r="430">
      <c r="A430" s="39">
        <f>IF($B430="","",COUNTA($B$4:$B430))</f>
        <v/>
      </c>
      <c r="B430" s="40" t="n">
        <v>46070</v>
      </c>
      <c r="C430" s="41" t="n">
        <v>2162</v>
      </c>
      <c r="D430" s="41" t="inlineStr">
        <is>
          <t>احمد عبدو خ</t>
        </is>
      </c>
      <c r="E430" s="41" t="inlineStr">
        <is>
          <t>1*40 ث</t>
        </is>
      </c>
      <c r="F430" s="41" t="inlineStr">
        <is>
          <t xml:space="preserve">ميما فودز </t>
        </is>
      </c>
      <c r="G430" s="41" t="inlineStr">
        <is>
          <t xml:space="preserve">السادات </t>
        </is>
      </c>
      <c r="H430" s="41" t="inlineStr">
        <is>
          <t>101970/7</t>
        </is>
      </c>
      <c r="I430" s="41" t="inlineStr">
        <is>
          <t>ع ر ب 1573</t>
        </is>
      </c>
      <c r="J430" s="41" t="inlineStr">
        <is>
          <t xml:space="preserve">محمد السيد </t>
        </is>
      </c>
      <c r="K430" s="41" t="inlineStr">
        <is>
          <t xml:space="preserve">حمو مرزوق </t>
        </is>
      </c>
      <c r="L430" s="42" t="n">
        <v>13000</v>
      </c>
      <c r="M430" s="42" t="n">
        <v>8100</v>
      </c>
      <c r="N430" s="42" t="n"/>
      <c r="O430" s="42" t="n">
        <v>200</v>
      </c>
      <c r="P430" s="42" t="n"/>
      <c r="Q430" s="42" t="n">
        <v>4700</v>
      </c>
      <c r="R430" s="43">
        <f>IF($B430="","",N($S430)-N($Q430))</f>
        <v/>
      </c>
      <c r="S430" s="43">
        <f>IF($B430="","",N($L430)+N($N430)+N($P430))</f>
        <v/>
      </c>
      <c r="T430" s="42" t="n"/>
      <c r="U430" s="42" t="n"/>
      <c r="V430" s="42" t="n"/>
      <c r="W430" s="42" t="n"/>
      <c r="X430" s="42" t="n"/>
      <c r="Y430" s="42" t="n"/>
      <c r="Z430" s="42" t="n"/>
      <c r="AA430" s="42" t="n"/>
      <c r="AB430" s="42" t="n"/>
      <c r="AC430" s="42" t="n"/>
      <c r="AD430" s="42" t="n"/>
      <c r="AE430" s="42" t="n"/>
      <c r="AF430" s="43">
        <f>IF($B430="","",SUM($T430:$AE430))</f>
        <v/>
      </c>
      <c r="AG430" s="43">
        <f>IF($B430="","",N($M430)-N($AF430))</f>
        <v/>
      </c>
      <c r="AH430" s="43">
        <f>IF($B430="","",N($L430)-N($AF430))</f>
        <v/>
      </c>
      <c r="AI430" s="149">
        <f>IF($B430="","",IF(N($L430)=0,"",(N($L430)-N($AF430))/N($L430)))</f>
        <v/>
      </c>
    </row>
    <row r="431">
      <c r="A431" s="39">
        <f>IF($B431="","",COUNTA($B$4:$B431))</f>
        <v/>
      </c>
      <c r="B431" s="45" t="n">
        <v>46070</v>
      </c>
      <c r="C431" s="46" t="n">
        <v>2049</v>
      </c>
      <c r="D431" s="46" t="inlineStr">
        <is>
          <t>كمال رزق خ</t>
        </is>
      </c>
      <c r="E431" s="46" t="inlineStr">
        <is>
          <t>1*40</t>
        </is>
      </c>
      <c r="F431" s="46" t="inlineStr">
        <is>
          <t xml:space="preserve">الهندسية للصناعات </t>
        </is>
      </c>
      <c r="G431" s="46" t="inlineStr">
        <is>
          <t xml:space="preserve">اكتوبر </t>
        </is>
      </c>
      <c r="H431" s="46" t="inlineStr">
        <is>
          <t>594775/7</t>
        </is>
      </c>
      <c r="I431" s="46" t="inlineStr">
        <is>
          <t>س م ا 4267</t>
        </is>
      </c>
      <c r="J431" s="46" t="inlineStr">
        <is>
          <t xml:space="preserve">ابراهيم حسن </t>
        </is>
      </c>
      <c r="K431" s="46" t="inlineStr">
        <is>
          <t xml:space="preserve">ابو طالب </t>
        </is>
      </c>
      <c r="L431" s="47" t="n">
        <v>12700</v>
      </c>
      <c r="M431" s="47" t="n">
        <v>8100</v>
      </c>
      <c r="N431" s="47" t="n"/>
      <c r="O431" s="47" t="n">
        <v>200</v>
      </c>
      <c r="P431" s="47" t="n"/>
      <c r="Q431" s="47" t="n">
        <v>4400</v>
      </c>
      <c r="R431" s="43">
        <f>IF($B431="","",N($S431)-N($Q431))</f>
        <v/>
      </c>
      <c r="S431" s="43">
        <f>IF($B431="","",N($L431)+N($N431)+N($P431))</f>
        <v/>
      </c>
      <c r="T431" s="47" t="n"/>
      <c r="U431" s="47" t="n"/>
      <c r="V431" s="47" t="n"/>
      <c r="W431" s="47" t="n"/>
      <c r="X431" s="47" t="n"/>
      <c r="Y431" s="47" t="n"/>
      <c r="Z431" s="47" t="n"/>
      <c r="AA431" s="47" t="n"/>
      <c r="AB431" s="47" t="n"/>
      <c r="AC431" s="47" t="n"/>
      <c r="AD431" s="47" t="n"/>
      <c r="AE431" s="47" t="n"/>
      <c r="AF431" s="43">
        <f>IF($B431="","",SUM($T431:$AE431))</f>
        <v/>
      </c>
      <c r="AG431" s="43">
        <f>IF($B431="","",N($M431)-N($AF431))</f>
        <v/>
      </c>
      <c r="AH431" s="43">
        <f>IF($B431="","",N($L431)-N($AF431))</f>
        <v/>
      </c>
      <c r="AI431" s="149">
        <f>IF($B431="","",IF(N($L431)=0,"",(N($L431)-N($AF431))/N($L431)))</f>
        <v/>
      </c>
    </row>
    <row r="432">
      <c r="A432" s="39">
        <f>IF($B432="","",COUNTA($B$4:$B432))</f>
        <v/>
      </c>
      <c r="B432" s="40" t="n">
        <v>46070</v>
      </c>
      <c r="C432" s="41" t="n">
        <v>1824</v>
      </c>
      <c r="D432" s="41" t="inlineStr">
        <is>
          <t>استوريا خ</t>
        </is>
      </c>
      <c r="E432" s="41" t="inlineStr">
        <is>
          <t>1*40</t>
        </is>
      </c>
      <c r="F432" s="41" t="inlineStr">
        <is>
          <t xml:space="preserve">ناتورالى </t>
        </is>
      </c>
      <c r="G432" s="41" t="inlineStr">
        <is>
          <t xml:space="preserve">اكتوبر </t>
        </is>
      </c>
      <c r="H432" s="41" t="inlineStr">
        <is>
          <t>742611/8</t>
        </is>
      </c>
      <c r="I432" s="41" t="inlineStr">
        <is>
          <t>س ل ب 7852</t>
        </is>
      </c>
      <c r="J432" s="41" t="inlineStr">
        <is>
          <t xml:space="preserve">محمد عبيد </t>
        </is>
      </c>
      <c r="K432" s="41" t="inlineStr">
        <is>
          <t xml:space="preserve">استوريا </t>
        </is>
      </c>
      <c r="L432" s="42" t="n">
        <v>13500</v>
      </c>
      <c r="M432" s="42" t="n">
        <v>7100</v>
      </c>
      <c r="N432" s="42" t="n"/>
      <c r="O432" s="42" t="n">
        <v>200</v>
      </c>
      <c r="P432" s="42" t="n"/>
      <c r="Q432" s="42" t="n">
        <v>6200</v>
      </c>
      <c r="R432" s="43">
        <f>IF($B432="","",N($S432)-N($Q432))</f>
        <v/>
      </c>
      <c r="S432" s="43">
        <f>IF($B432="","",N($L432)+N($N432)+N($P432))</f>
        <v/>
      </c>
      <c r="T432" s="42" t="n"/>
      <c r="U432" s="42" t="n"/>
      <c r="V432" s="42" t="n"/>
      <c r="W432" s="42" t="n"/>
      <c r="X432" s="42" t="n"/>
      <c r="Y432" s="42" t="n"/>
      <c r="Z432" s="42" t="n"/>
      <c r="AA432" s="42" t="n"/>
      <c r="AB432" s="42" t="n"/>
      <c r="AC432" s="42" t="n"/>
      <c r="AD432" s="42" t="n"/>
      <c r="AE432" s="42" t="n"/>
      <c r="AF432" s="43">
        <f>IF($B432="","",SUM($T432:$AE432))</f>
        <v/>
      </c>
      <c r="AG432" s="43">
        <f>IF($B432="","",N($M432)-N($AF432))</f>
        <v/>
      </c>
      <c r="AH432" s="43">
        <f>IF($B432="","",N($L432)-N($AF432))</f>
        <v/>
      </c>
      <c r="AI432" s="149">
        <f>IF($B432="","",IF(N($L432)=0,"",(N($L432)-N($AF432))/N($L432)))</f>
        <v/>
      </c>
    </row>
    <row r="433">
      <c r="A433" s="39">
        <f>IF($B433="","",COUNTA($B$4:$B433))</f>
        <v/>
      </c>
      <c r="B433" s="45" t="n">
        <v>46070</v>
      </c>
      <c r="C433" s="46" t="n">
        <v>1825</v>
      </c>
      <c r="D433" s="46" t="inlineStr">
        <is>
          <t>استوريا خ</t>
        </is>
      </c>
      <c r="E433" s="46" t="inlineStr">
        <is>
          <t>1*40</t>
        </is>
      </c>
      <c r="F433" s="46" t="inlineStr">
        <is>
          <t xml:space="preserve">ناتورالى </t>
        </is>
      </c>
      <c r="G433" s="46" t="inlineStr">
        <is>
          <t xml:space="preserve">اكتوبر </t>
        </is>
      </c>
      <c r="H433" s="46" t="inlineStr">
        <is>
          <t>4091932/0</t>
        </is>
      </c>
      <c r="I433" s="46" t="inlineStr">
        <is>
          <t>س و ا 6739</t>
        </is>
      </c>
      <c r="J433" s="46" t="inlineStr">
        <is>
          <t xml:space="preserve">كامل فتحى </t>
        </is>
      </c>
      <c r="K433" s="46" t="inlineStr">
        <is>
          <t xml:space="preserve">استوريا </t>
        </is>
      </c>
      <c r="L433" s="47" t="n">
        <v>12700</v>
      </c>
      <c r="M433" s="47" t="n">
        <v>7100</v>
      </c>
      <c r="N433" s="47" t="n"/>
      <c r="O433" s="47" t="n">
        <v>200</v>
      </c>
      <c r="P433" s="47" t="n"/>
      <c r="Q433" s="47" t="n">
        <v>5400</v>
      </c>
      <c r="R433" s="43">
        <f>IF($B433="","",N($S433)-N($Q433))</f>
        <v/>
      </c>
      <c r="S433" s="43">
        <f>IF($B433="","",N($L433)+N($N433)+N($P433))</f>
        <v/>
      </c>
      <c r="T433" s="47" t="n"/>
      <c r="U433" s="47" t="n"/>
      <c r="V433" s="47" t="n"/>
      <c r="W433" s="47" t="n"/>
      <c r="X433" s="47" t="n"/>
      <c r="Y433" s="47" t="n"/>
      <c r="Z433" s="47" t="n"/>
      <c r="AA433" s="47" t="n"/>
      <c r="AB433" s="47" t="n"/>
      <c r="AC433" s="47" t="n"/>
      <c r="AD433" s="47" t="n"/>
      <c r="AE433" s="47" t="n"/>
      <c r="AF433" s="43">
        <f>IF($B433="","",SUM($T433:$AE433))</f>
        <v/>
      </c>
      <c r="AG433" s="43">
        <f>IF($B433="","",N($M433)-N($AF433))</f>
        <v/>
      </c>
      <c r="AH433" s="43">
        <f>IF($B433="","",N($L433)-N($AF433))</f>
        <v/>
      </c>
      <c r="AI433" s="149">
        <f>IF($B433="","",IF(N($L433)=0,"",(N($L433)-N($AF433))/N($L433)))</f>
        <v/>
      </c>
    </row>
    <row r="434">
      <c r="A434" s="39">
        <f>IF($B434="","",COUNTA($B$4:$B434))</f>
        <v/>
      </c>
      <c r="B434" s="40" t="n">
        <v>46070</v>
      </c>
      <c r="C434" s="41" t="n">
        <v>2060</v>
      </c>
      <c r="D434" s="41" t="inlineStr">
        <is>
          <t>كمال رزق خ</t>
        </is>
      </c>
      <c r="E434" s="41" t="inlineStr">
        <is>
          <t>1*40</t>
        </is>
      </c>
      <c r="F434" s="41" t="inlineStr">
        <is>
          <t xml:space="preserve">ناتورالى </t>
        </is>
      </c>
      <c r="G434" s="41" t="inlineStr">
        <is>
          <t xml:space="preserve">اكتوبر </t>
        </is>
      </c>
      <c r="H434" s="41" t="inlineStr">
        <is>
          <t>876591/8</t>
        </is>
      </c>
      <c r="I434" s="41" t="inlineStr">
        <is>
          <t>س وب 4952</t>
        </is>
      </c>
      <c r="J434" s="41" t="inlineStr">
        <is>
          <t xml:space="preserve">عاطف </t>
        </is>
      </c>
      <c r="K434" s="41" t="inlineStr">
        <is>
          <t xml:space="preserve">نادر </t>
        </is>
      </c>
      <c r="L434" s="42" t="n">
        <v>12700</v>
      </c>
      <c r="M434" s="42" t="n">
        <v>8100</v>
      </c>
      <c r="N434" s="42" t="n"/>
      <c r="O434" s="42" t="n">
        <v>200</v>
      </c>
      <c r="P434" s="42" t="n"/>
      <c r="Q434" s="42" t="n">
        <v>4400</v>
      </c>
      <c r="R434" s="43">
        <f>IF($B434="","",N($S434)-N($Q434))</f>
        <v/>
      </c>
      <c r="S434" s="43">
        <f>IF($B434="","",N($L434)+N($N434)+N($P434))</f>
        <v/>
      </c>
      <c r="T434" s="42" t="n"/>
      <c r="U434" s="42" t="n"/>
      <c r="V434" s="42" t="n"/>
      <c r="W434" s="42" t="n"/>
      <c r="X434" s="42" t="n"/>
      <c r="Y434" s="42" t="n"/>
      <c r="Z434" s="42" t="n"/>
      <c r="AA434" s="42" t="n"/>
      <c r="AB434" s="42" t="n"/>
      <c r="AC434" s="42" t="n"/>
      <c r="AD434" s="42" t="n"/>
      <c r="AE434" s="42" t="n"/>
      <c r="AF434" s="43">
        <f>IF($B434="","",SUM($T434:$AE434))</f>
        <v/>
      </c>
      <c r="AG434" s="43">
        <f>IF($B434="","",N($M434)-N($AF434))</f>
        <v/>
      </c>
      <c r="AH434" s="43">
        <f>IF($B434="","",N($L434)-N($AF434))</f>
        <v/>
      </c>
      <c r="AI434" s="149">
        <f>IF($B434="","",IF(N($L434)=0,"",(N($L434)-N($AF434))/N($L434)))</f>
        <v/>
      </c>
    </row>
    <row r="435">
      <c r="A435" s="39">
        <f>IF($B435="","",COUNTA($B$4:$B435))</f>
        <v/>
      </c>
      <c r="B435" s="45" t="n">
        <v>46070</v>
      </c>
      <c r="C435" s="46" t="n">
        <v>2063</v>
      </c>
      <c r="D435" s="46" t="inlineStr">
        <is>
          <t>عتريس مخيمر  خ</t>
        </is>
      </c>
      <c r="E435" s="46" t="inlineStr">
        <is>
          <t>1*40</t>
        </is>
      </c>
      <c r="F435" s="46" t="inlineStr">
        <is>
          <t xml:space="preserve">ناتورالى </t>
        </is>
      </c>
      <c r="G435" s="46" t="inlineStr">
        <is>
          <t xml:space="preserve">اكتوبر </t>
        </is>
      </c>
      <c r="H435" s="46" t="inlineStr">
        <is>
          <t>622168/8</t>
        </is>
      </c>
      <c r="I435" s="46" t="inlineStr">
        <is>
          <t>ط ف ر 1474</t>
        </is>
      </c>
      <c r="J435" s="46" t="inlineStr">
        <is>
          <t xml:space="preserve">جمال على </t>
        </is>
      </c>
      <c r="K435" s="46" t="inlineStr">
        <is>
          <t xml:space="preserve">كريم خليف </t>
        </is>
      </c>
      <c r="L435" s="47" t="n">
        <v>12500</v>
      </c>
      <c r="M435" s="47" t="n">
        <v>7100</v>
      </c>
      <c r="N435" s="47" t="n"/>
      <c r="O435" s="47" t="n">
        <v>200</v>
      </c>
      <c r="P435" s="47" t="n"/>
      <c r="Q435" s="47" t="n">
        <v>5200</v>
      </c>
      <c r="R435" s="43">
        <f>IF($B435="","",N($S435)-N($Q435))</f>
        <v/>
      </c>
      <c r="S435" s="43">
        <f>IF($B435="","",N($L435)+N($N435)+N($P435))</f>
        <v/>
      </c>
      <c r="T435" s="47" t="n"/>
      <c r="U435" s="47" t="n"/>
      <c r="V435" s="47" t="n"/>
      <c r="W435" s="47" t="n"/>
      <c r="X435" s="47" t="n"/>
      <c r="Y435" s="47" t="n"/>
      <c r="Z435" s="47" t="n"/>
      <c r="AA435" s="47" t="n"/>
      <c r="AB435" s="47" t="n"/>
      <c r="AC435" s="47" t="n"/>
      <c r="AD435" s="47" t="n"/>
      <c r="AE435" s="47" t="n"/>
      <c r="AF435" s="43">
        <f>IF($B435="","",SUM($T435:$AE435))</f>
        <v/>
      </c>
      <c r="AG435" s="43">
        <f>IF($B435="","",N($M435)-N($AF435))</f>
        <v/>
      </c>
      <c r="AH435" s="43">
        <f>IF($B435="","",N($L435)-N($AF435))</f>
        <v/>
      </c>
      <c r="AI435" s="149">
        <f>IF($B435="","",IF(N($L435)=0,"",(N($L435)-N($AF435))/N($L435)))</f>
        <v/>
      </c>
    </row>
    <row r="436">
      <c r="A436" s="39">
        <f>IF($B436="","",COUNTA($B$4:$B436))</f>
        <v/>
      </c>
      <c r="B436" s="40" t="n">
        <v>46070</v>
      </c>
      <c r="C436" s="41" t="n">
        <v>1823</v>
      </c>
      <c r="D436" s="41" t="inlineStr">
        <is>
          <t>صفيحة</t>
        </is>
      </c>
      <c r="E436" s="41" t="inlineStr">
        <is>
          <t>1*40</t>
        </is>
      </c>
      <c r="F436" s="41" t="inlineStr">
        <is>
          <t xml:space="preserve">ناتورالى </t>
        </is>
      </c>
      <c r="G436" s="41" t="inlineStr">
        <is>
          <t xml:space="preserve">ابيس </t>
        </is>
      </c>
      <c r="H436" s="41" t="inlineStr">
        <is>
          <t>511204/5</t>
        </is>
      </c>
      <c r="I436" s="41" t="inlineStr">
        <is>
          <t>س ص ا 2259</t>
        </is>
      </c>
      <c r="J436" s="41" t="inlineStr">
        <is>
          <t>سعيد عبد الرازق</t>
        </is>
      </c>
      <c r="K436" s="41" t="inlineStr">
        <is>
          <t xml:space="preserve">صفيحة </t>
        </is>
      </c>
      <c r="L436" s="42" t="n">
        <v>5500</v>
      </c>
      <c r="M436" s="42" t="n">
        <v>5000</v>
      </c>
      <c r="N436" s="42" t="n"/>
      <c r="O436" s="42" t="n"/>
      <c r="P436" s="42" t="n"/>
      <c r="Q436" s="42" t="n">
        <v>500</v>
      </c>
      <c r="R436" s="43">
        <f>IF($B436="","",N($S436)-N($Q436))</f>
        <v/>
      </c>
      <c r="S436" s="43">
        <f>IF($B436="","",N($L436)+N($N436)+N($P436))</f>
        <v/>
      </c>
      <c r="T436" s="42" t="n"/>
      <c r="U436" s="42" t="n"/>
      <c r="V436" s="42" t="n"/>
      <c r="W436" s="42" t="n"/>
      <c r="X436" s="42" t="n"/>
      <c r="Y436" s="42" t="n"/>
      <c r="Z436" s="42" t="n"/>
      <c r="AA436" s="42" t="n"/>
      <c r="AB436" s="42" t="n"/>
      <c r="AC436" s="42" t="n"/>
      <c r="AD436" s="42" t="n"/>
      <c r="AE436" s="42" t="n"/>
      <c r="AF436" s="43">
        <f>IF($B436="","",SUM($T436:$AE436))</f>
        <v/>
      </c>
      <c r="AG436" s="43">
        <f>IF($B436="","",N($M436)-N($AF436))</f>
        <v/>
      </c>
      <c r="AH436" s="43">
        <f>IF($B436="","",N($L436)-N($AF436))</f>
        <v/>
      </c>
      <c r="AI436" s="149">
        <f>IF($B436="","",IF(N($L436)=0,"",(N($L436)-N($AF436))/N($L436)))</f>
        <v/>
      </c>
    </row>
    <row r="437">
      <c r="A437" s="39">
        <f>IF($B437="","",COUNTA($B$4:$B437))</f>
        <v/>
      </c>
      <c r="B437" s="45" t="n">
        <v>46070</v>
      </c>
      <c r="C437" s="46" t="n">
        <v>1822</v>
      </c>
      <c r="D437" s="46" t="inlineStr">
        <is>
          <t>المكتب</t>
        </is>
      </c>
      <c r="E437" s="46" t="inlineStr">
        <is>
          <t>1*40</t>
        </is>
      </c>
      <c r="F437" s="46" t="inlineStr">
        <is>
          <t>وادى الرياض</t>
        </is>
      </c>
      <c r="G437" s="46" t="inlineStr">
        <is>
          <t>الاسماعيليه</t>
        </is>
      </c>
      <c r="H437" s="46" t="inlineStr">
        <is>
          <t>320531/1</t>
        </is>
      </c>
      <c r="I437" s="46" t="inlineStr">
        <is>
          <t>س ع م 8737</t>
        </is>
      </c>
      <c r="J437" s="46" t="inlineStr">
        <is>
          <t xml:space="preserve">حودة بكر </t>
        </is>
      </c>
      <c r="K437" s="46" t="inlineStr">
        <is>
          <t>المكتب</t>
        </is>
      </c>
      <c r="L437" s="47" t="n">
        <v>17000</v>
      </c>
      <c r="M437" s="47" t="n">
        <v>8000</v>
      </c>
      <c r="N437" s="47" t="n"/>
      <c r="O437" s="47" t="n"/>
      <c r="P437" s="47" t="n"/>
      <c r="Q437" s="47" t="n">
        <v>9000</v>
      </c>
      <c r="R437" s="43">
        <f>IF($B437="","",N($S437)-N($Q437))</f>
        <v/>
      </c>
      <c r="S437" s="43">
        <f>IF($B437="","",N($L437)+N($N437)+N($P437))</f>
        <v/>
      </c>
      <c r="T437" s="47" t="n">
        <v>1700</v>
      </c>
      <c r="U437" s="47" t="n">
        <v>650</v>
      </c>
      <c r="V437" s="47" t="n">
        <v>150</v>
      </c>
      <c r="W437" s="47" t="n">
        <v>150</v>
      </c>
      <c r="X437" s="47" t="n">
        <v>155</v>
      </c>
      <c r="Y437" s="47" t="n">
        <v>120</v>
      </c>
      <c r="Z437" s="47" t="n"/>
      <c r="AA437" s="47" t="n">
        <v>250</v>
      </c>
      <c r="AB437" s="47" t="n"/>
      <c r="AC437" s="47" t="n">
        <v>170</v>
      </c>
      <c r="AD437" s="47" t="n">
        <v>250</v>
      </c>
      <c r="AE437" s="47" t="n">
        <v>4740</v>
      </c>
      <c r="AF437" s="43">
        <f>IF($B437="","",SUM($T437:$AE437))</f>
        <v/>
      </c>
      <c r="AG437" s="43">
        <f>IF($B437="","",N($M437)-N($AF437))</f>
        <v/>
      </c>
      <c r="AH437" s="43">
        <f>IF($B437="","",N($L437)-N($AF437))</f>
        <v/>
      </c>
      <c r="AI437" s="149">
        <f>IF($B437="","",IF(N($L437)=0,"",(N($L437)-N($AF437))/N($L437)))</f>
        <v/>
      </c>
    </row>
    <row r="438">
      <c r="A438" s="39">
        <f>IF($B438="","",COUNTA($B$4:$B438))</f>
        <v/>
      </c>
      <c r="B438" s="40" t="n">
        <v>46070</v>
      </c>
      <c r="C438" s="41" t="n">
        <v>2058</v>
      </c>
      <c r="D438" s="41" t="inlineStr">
        <is>
          <t>احمد عبدو خ</t>
        </is>
      </c>
      <c r="E438" s="41" t="inlineStr">
        <is>
          <t>1*40</t>
        </is>
      </c>
      <c r="F438" s="41" t="inlineStr">
        <is>
          <t xml:space="preserve">فرى ضم </t>
        </is>
      </c>
      <c r="G438" s="41" t="inlineStr">
        <is>
          <t xml:space="preserve">بورسعيد </t>
        </is>
      </c>
      <c r="H438" s="41" t="inlineStr">
        <is>
          <t>507044/5</t>
        </is>
      </c>
      <c r="I438" s="41" t="inlineStr">
        <is>
          <t>س ل ب 5917</t>
        </is>
      </c>
      <c r="J438" s="41" t="inlineStr">
        <is>
          <t xml:space="preserve">احمد محمود </t>
        </is>
      </c>
      <c r="K438" s="41" t="inlineStr">
        <is>
          <t xml:space="preserve">علاء علام </t>
        </is>
      </c>
      <c r="L438" s="42" t="n">
        <v>14500</v>
      </c>
      <c r="M438" s="42" t="n">
        <v>8100</v>
      </c>
      <c r="N438" s="42" t="n"/>
      <c r="O438" s="42" t="n">
        <v>200</v>
      </c>
      <c r="P438" s="42" t="n"/>
      <c r="Q438" s="42" t="n">
        <v>6200</v>
      </c>
      <c r="R438" s="43">
        <f>IF($B438="","",N($S438)-N($Q438))</f>
        <v/>
      </c>
      <c r="S438" s="43">
        <f>IF($B438="","",N($L438)+N($N438)+N($P438))</f>
        <v/>
      </c>
      <c r="T438" s="42" t="n"/>
      <c r="U438" s="42" t="n"/>
      <c r="V438" s="42" t="n"/>
      <c r="W438" s="42" t="n"/>
      <c r="X438" s="42" t="n"/>
      <c r="Y438" s="42" t="n"/>
      <c r="Z438" s="42" t="n"/>
      <c r="AA438" s="42" t="n"/>
      <c r="AB438" s="42" t="n"/>
      <c r="AC438" s="42" t="n"/>
      <c r="AD438" s="42" t="n"/>
      <c r="AE438" s="42" t="n"/>
      <c r="AF438" s="43">
        <f>IF($B438="","",SUM($T438:$AE438))</f>
        <v/>
      </c>
      <c r="AG438" s="43">
        <f>IF($B438="","",N($M438)-N($AF438))</f>
        <v/>
      </c>
      <c r="AH438" s="43">
        <f>IF($B438="","",N($L438)-N($AF438))</f>
        <v/>
      </c>
      <c r="AI438" s="149">
        <f>IF($B438="","",IF(N($L438)=0,"",(N($L438)-N($AF438))/N($L438)))</f>
        <v/>
      </c>
    </row>
    <row r="439">
      <c r="A439" s="39">
        <f>IF($B439="","",COUNTA($B$4:$B439))</f>
        <v/>
      </c>
      <c r="B439" s="45" t="n">
        <v>46070</v>
      </c>
      <c r="C439" s="46" t="n">
        <v>2059</v>
      </c>
      <c r="D439" s="46" t="inlineStr">
        <is>
          <t xml:space="preserve">محمد حفيظة </t>
        </is>
      </c>
      <c r="E439" s="46" t="inlineStr">
        <is>
          <t>1*40</t>
        </is>
      </c>
      <c r="F439" s="46" t="inlineStr">
        <is>
          <t xml:space="preserve">ماى فارم </t>
        </is>
      </c>
      <c r="G439" s="46" t="inlineStr">
        <is>
          <t xml:space="preserve">ابيس </t>
        </is>
      </c>
      <c r="H439" s="46" t="inlineStr">
        <is>
          <t>986285/4</t>
        </is>
      </c>
      <c r="I439" s="46" t="inlineStr">
        <is>
          <t>س ع ه 2592</t>
        </is>
      </c>
      <c r="J439" s="46" t="inlineStr">
        <is>
          <t xml:space="preserve">هشام بدير </t>
        </is>
      </c>
      <c r="K439" s="46" t="inlineStr">
        <is>
          <t xml:space="preserve">هشام </t>
        </is>
      </c>
      <c r="L439" s="47" t="n">
        <v>9000</v>
      </c>
      <c r="M439" s="47" t="n">
        <v>6100</v>
      </c>
      <c r="N439" s="47" t="n"/>
      <c r="O439" s="47" t="n">
        <v>200</v>
      </c>
      <c r="P439" s="47" t="n"/>
      <c r="Q439" s="47" t="n">
        <v>2700</v>
      </c>
      <c r="R439" s="43">
        <f>IF($B439="","",N($S439)-N($Q439))</f>
        <v/>
      </c>
      <c r="S439" s="43">
        <f>IF($B439="","",N($L439)+N($N439)+N($P439))</f>
        <v/>
      </c>
      <c r="T439" s="47" t="n"/>
      <c r="U439" s="47" t="n"/>
      <c r="V439" s="47" t="n"/>
      <c r="W439" s="47" t="n"/>
      <c r="X439" s="47" t="n"/>
      <c r="Y439" s="47" t="n"/>
      <c r="Z439" s="47" t="n"/>
      <c r="AA439" s="47" t="n"/>
      <c r="AB439" s="47" t="n"/>
      <c r="AC439" s="47" t="n"/>
      <c r="AD439" s="47" t="n"/>
      <c r="AE439" s="47" t="n"/>
      <c r="AF439" s="43">
        <f>IF($B439="","",SUM($T439:$AE439))</f>
        <v/>
      </c>
      <c r="AG439" s="43">
        <f>IF($B439="","",N($M439)-N($AF439))</f>
        <v/>
      </c>
      <c r="AH439" s="43">
        <f>IF($B439="","",N($L439)-N($AF439))</f>
        <v/>
      </c>
      <c r="AI439" s="149">
        <f>IF($B439="","",IF(N($L439)=0,"",(N($L439)-N($AF439))/N($L439)))</f>
        <v/>
      </c>
    </row>
    <row r="440">
      <c r="A440" s="39">
        <f>IF($B440="","",COUNTA($B$4:$B440))</f>
        <v/>
      </c>
      <c r="B440" s="40" t="n">
        <v>46070</v>
      </c>
      <c r="C440" s="41" t="n">
        <v>1821</v>
      </c>
      <c r="D440" s="41" t="inlineStr">
        <is>
          <t>سعد منير</t>
        </is>
      </c>
      <c r="E440" s="41" t="inlineStr">
        <is>
          <t>1*40</t>
        </is>
      </c>
      <c r="F440" s="41" t="inlineStr">
        <is>
          <t xml:space="preserve">الريعى </t>
        </is>
      </c>
      <c r="G440" s="41" t="inlineStr">
        <is>
          <t xml:space="preserve">ابو حماد </t>
        </is>
      </c>
      <c r="H440" s="41" t="inlineStr">
        <is>
          <t>994662/2</t>
        </is>
      </c>
      <c r="I440" s="41" t="inlineStr">
        <is>
          <t>ب ص ا3461</t>
        </is>
      </c>
      <c r="J440" s="41" t="inlineStr">
        <is>
          <t xml:space="preserve">احمد ونس </t>
        </is>
      </c>
      <c r="K440" s="41" t="inlineStr">
        <is>
          <t>استوريا</t>
        </is>
      </c>
      <c r="L440" s="42" t="n">
        <v>16000</v>
      </c>
      <c r="M440" s="42" t="n">
        <v>6100</v>
      </c>
      <c r="N440" s="42" t="n"/>
      <c r="O440" s="42" t="n">
        <v>200</v>
      </c>
      <c r="P440" s="42" t="n"/>
      <c r="Q440" s="42" t="n">
        <v>9700</v>
      </c>
      <c r="R440" s="43">
        <f>IF($B440="","",N($S440)-N($Q440))</f>
        <v/>
      </c>
      <c r="S440" s="43">
        <f>IF($B440="","",N($L440)+N($N440)+N($P440))</f>
        <v/>
      </c>
      <c r="T440" s="42" t="n"/>
      <c r="U440" s="42" t="n"/>
      <c r="V440" s="42" t="n"/>
      <c r="W440" s="42" t="n"/>
      <c r="X440" s="42" t="n"/>
      <c r="Y440" s="42" t="n"/>
      <c r="Z440" s="42" t="n"/>
      <c r="AA440" s="42" t="n"/>
      <c r="AB440" s="42" t="n"/>
      <c r="AC440" s="42" t="n"/>
      <c r="AD440" s="42" t="n"/>
      <c r="AE440" s="42" t="n"/>
      <c r="AF440" s="43">
        <f>IF($B440="","",SUM($T440:$AE440))</f>
        <v/>
      </c>
      <c r="AG440" s="43">
        <f>IF($B440="","",N($M440)-N($AF440))</f>
        <v/>
      </c>
      <c r="AH440" s="43">
        <f>IF($B440="","",N($L440)-N($AF440))</f>
        <v/>
      </c>
      <c r="AI440" s="149">
        <f>IF($B440="","",IF(N($L440)=0,"",(N($L440)-N($AF440))/N($L440)))</f>
        <v/>
      </c>
    </row>
    <row r="441">
      <c r="A441" s="39">
        <f>IF($B441="","",COUNTA($B$4:$B441))</f>
        <v/>
      </c>
      <c r="B441" s="45" t="n">
        <v>46070</v>
      </c>
      <c r="C441" s="46" t="n">
        <v>2061</v>
      </c>
      <c r="D441" s="46" t="inlineStr">
        <is>
          <t>كمال رزق خ</t>
        </is>
      </c>
      <c r="E441" s="46" t="inlineStr">
        <is>
          <t>1*40</t>
        </is>
      </c>
      <c r="F441" s="46" t="inlineStr">
        <is>
          <t xml:space="preserve">الريعى </t>
        </is>
      </c>
      <c r="G441" s="46" t="inlineStr">
        <is>
          <t xml:space="preserve">ابو حماد </t>
        </is>
      </c>
      <c r="H441" s="46" t="n"/>
      <c r="I441" s="46" t="inlineStr">
        <is>
          <t>س ن ر 8979</t>
        </is>
      </c>
      <c r="J441" s="46" t="inlineStr">
        <is>
          <t xml:space="preserve">عماد سعيد </t>
        </is>
      </c>
      <c r="K441" s="46" t="inlineStr">
        <is>
          <t xml:space="preserve">عماد سعيد </t>
        </is>
      </c>
      <c r="L441" s="47" t="n">
        <v>16000</v>
      </c>
      <c r="M441" s="47" t="n">
        <v>9100</v>
      </c>
      <c r="N441" s="47" t="n"/>
      <c r="O441" s="47" t="n">
        <v>200</v>
      </c>
      <c r="P441" s="47" t="n"/>
      <c r="Q441" s="47" t="n">
        <v>6700</v>
      </c>
      <c r="R441" s="43">
        <f>IF($B441="","",N($S441)-N($Q441))</f>
        <v/>
      </c>
      <c r="S441" s="43">
        <f>IF($B441="","",N($L441)+N($N441)+N($P441))</f>
        <v/>
      </c>
      <c r="T441" s="47" t="n"/>
      <c r="U441" s="47" t="n"/>
      <c r="V441" s="47" t="n"/>
      <c r="W441" s="47" t="n"/>
      <c r="X441" s="47" t="n"/>
      <c r="Y441" s="47" t="n"/>
      <c r="Z441" s="47" t="n"/>
      <c r="AA441" s="47" t="n"/>
      <c r="AB441" s="47" t="n"/>
      <c r="AC441" s="47" t="n"/>
      <c r="AD441" s="47" t="n"/>
      <c r="AE441" s="47" t="n"/>
      <c r="AF441" s="43">
        <f>IF($B441="","",SUM($T441:$AE441))</f>
        <v/>
      </c>
      <c r="AG441" s="43">
        <f>IF($B441="","",N($M441)-N($AF441))</f>
        <v/>
      </c>
      <c r="AH441" s="43">
        <f>IF($B441="","",N($L441)-N($AF441))</f>
        <v/>
      </c>
      <c r="AI441" s="149">
        <f>IF($B441="","",IF(N($L441)=0,"",(N($L441)-N($AF441))/N($L441)))</f>
        <v/>
      </c>
    </row>
    <row r="442">
      <c r="A442" s="39">
        <f>IF($B442="","",COUNTA($B$4:$B442))</f>
        <v/>
      </c>
      <c r="B442" s="40" t="n">
        <v>46070</v>
      </c>
      <c r="C442" s="41" t="n">
        <v>2062</v>
      </c>
      <c r="D442" s="41" t="inlineStr">
        <is>
          <t>كمال رزق خ</t>
        </is>
      </c>
      <c r="E442" s="41" t="inlineStr">
        <is>
          <t>1*40</t>
        </is>
      </c>
      <c r="F442" s="41" t="inlineStr">
        <is>
          <t xml:space="preserve">الريعى </t>
        </is>
      </c>
      <c r="G442" s="41" t="inlineStr">
        <is>
          <t xml:space="preserve">ابو حماد </t>
        </is>
      </c>
      <c r="H442" s="41" t="inlineStr">
        <is>
          <t>317049/7</t>
        </is>
      </c>
      <c r="I442" s="41" t="inlineStr">
        <is>
          <t>س ن م 1592</t>
        </is>
      </c>
      <c r="J442" s="41" t="inlineStr">
        <is>
          <t xml:space="preserve">حمدى محمد </t>
        </is>
      </c>
      <c r="K442" s="41" t="inlineStr">
        <is>
          <t xml:space="preserve">حمدى </t>
        </is>
      </c>
      <c r="L442" s="42" t="n">
        <v>16000</v>
      </c>
      <c r="M442" s="42" t="n">
        <v>9100</v>
      </c>
      <c r="N442" s="42" t="n"/>
      <c r="O442" s="42" t="n">
        <v>200</v>
      </c>
      <c r="P442" s="42" t="n"/>
      <c r="Q442" s="42" t="n">
        <v>6700</v>
      </c>
      <c r="R442" s="43">
        <f>IF($B442="","",N($S442)-N($Q442))</f>
        <v/>
      </c>
      <c r="S442" s="43">
        <f>IF($B442="","",N($L442)+N($N442)+N($P442))</f>
        <v/>
      </c>
      <c r="T442" s="42" t="n"/>
      <c r="U442" s="42" t="n"/>
      <c r="V442" s="42" t="n"/>
      <c r="W442" s="42" t="n"/>
      <c r="X442" s="42" t="n"/>
      <c r="Y442" s="42" t="n"/>
      <c r="Z442" s="42" t="n"/>
      <c r="AA442" s="42" t="n"/>
      <c r="AB442" s="42" t="n"/>
      <c r="AC442" s="42" t="n"/>
      <c r="AD442" s="42" t="n"/>
      <c r="AE442" s="42" t="n"/>
      <c r="AF442" s="43">
        <f>IF($B442="","",SUM($T442:$AE442))</f>
        <v/>
      </c>
      <c r="AG442" s="43">
        <f>IF($B442="","",N($M442)-N($AF442))</f>
        <v/>
      </c>
      <c r="AH442" s="43">
        <f>IF($B442="","",N($L442)-N($AF442))</f>
        <v/>
      </c>
      <c r="AI442" s="149">
        <f>IF($B442="","",IF(N($L442)=0,"",(N($L442)-N($AF442))/N($L442)))</f>
        <v/>
      </c>
    </row>
    <row r="443">
      <c r="A443" s="39">
        <f>IF($B443="","",COUNTA($B$4:$B443))</f>
        <v/>
      </c>
      <c r="B443" s="45" t="n">
        <v>46070</v>
      </c>
      <c r="C443" s="46" t="n">
        <v>2064</v>
      </c>
      <c r="D443" s="46" t="inlineStr">
        <is>
          <t>احمد عبدو خ</t>
        </is>
      </c>
      <c r="E443" s="46" t="inlineStr">
        <is>
          <t>1*40</t>
        </is>
      </c>
      <c r="F443" s="46" t="inlineStr">
        <is>
          <t>سمارت</t>
        </is>
      </c>
      <c r="G443" s="46" t="inlineStr">
        <is>
          <t xml:space="preserve">الخطاطبة </t>
        </is>
      </c>
      <c r="H443" s="46" t="inlineStr">
        <is>
          <t>743599/1</t>
        </is>
      </c>
      <c r="I443" s="46" t="inlineStr">
        <is>
          <t>س ا ه 8198</t>
        </is>
      </c>
      <c r="J443" s="46" t="inlineStr">
        <is>
          <t xml:space="preserve">محمد ابراهيم </t>
        </is>
      </c>
      <c r="K443" s="46" t="inlineStr">
        <is>
          <t xml:space="preserve">علاء علام </t>
        </is>
      </c>
      <c r="L443" s="47" t="n">
        <v>11700</v>
      </c>
      <c r="M443" s="47" t="n">
        <v>6100</v>
      </c>
      <c r="N443" s="47" t="n"/>
      <c r="O443" s="47" t="n">
        <v>200</v>
      </c>
      <c r="P443" s="47" t="n"/>
      <c r="Q443" s="47" t="n">
        <v>5400</v>
      </c>
      <c r="R443" s="43">
        <f>IF($B443="","",N($S443)-N($Q443))</f>
        <v/>
      </c>
      <c r="S443" s="43">
        <f>IF($B443="","",N($L443)+N($N443)+N($P443))</f>
        <v/>
      </c>
      <c r="T443" s="47" t="n"/>
      <c r="U443" s="47" t="n"/>
      <c r="V443" s="47" t="n"/>
      <c r="W443" s="47" t="n"/>
      <c r="X443" s="47" t="n"/>
      <c r="Y443" s="47" t="n"/>
      <c r="Z443" s="47" t="n"/>
      <c r="AA443" s="47" t="n"/>
      <c r="AB443" s="47" t="n"/>
      <c r="AC443" s="47" t="n"/>
      <c r="AD443" s="47" t="n"/>
      <c r="AE443" s="47" t="n"/>
      <c r="AF443" s="43">
        <f>IF($B443="","",SUM($T443:$AE443))</f>
        <v/>
      </c>
      <c r="AG443" s="43">
        <f>IF($B443="","",N($M443)-N($AF443))</f>
        <v/>
      </c>
      <c r="AH443" s="43">
        <f>IF($B443="","",N($L443)-N($AF443))</f>
        <v/>
      </c>
      <c r="AI443" s="149">
        <f>IF($B443="","",IF(N($L443)=0,"",(N($L443)-N($AF443))/N($L443)))</f>
        <v/>
      </c>
    </row>
    <row r="444">
      <c r="A444" s="39">
        <f>IF($B444="","",COUNTA($B$4:$B444))</f>
        <v/>
      </c>
      <c r="B444" s="40" t="n">
        <v>46070</v>
      </c>
      <c r="C444" s="41" t="inlineStr">
        <is>
          <t>1*40</t>
        </is>
      </c>
      <c r="D444" s="41" t="inlineStr">
        <is>
          <t xml:space="preserve">ابراهيم سمارة </t>
        </is>
      </c>
      <c r="E444" s="41" t="n">
        <v>2201</v>
      </c>
      <c r="F444" s="41" t="inlineStr">
        <is>
          <t>النور</t>
        </is>
      </c>
      <c r="G444" s="41" t="inlineStr">
        <is>
          <t>العاشر</t>
        </is>
      </c>
      <c r="H444" s="41" t="inlineStr">
        <is>
          <t>858396/5</t>
        </is>
      </c>
      <c r="I444" s="41" t="n"/>
      <c r="J444" s="41" t="inlineStr">
        <is>
          <t>محمد سرحان</t>
        </is>
      </c>
      <c r="K444" s="41" t="inlineStr">
        <is>
          <t>ابوادم</t>
        </is>
      </c>
      <c r="L444" s="42" t="n">
        <v>14500</v>
      </c>
      <c r="M444" s="42" t="n">
        <v>7100</v>
      </c>
      <c r="N444" s="42" t="n">
        <v>2850</v>
      </c>
      <c r="O444" s="42" t="n">
        <v>200</v>
      </c>
      <c r="P444" s="42" t="n"/>
      <c r="Q444" s="42" t="n">
        <v>4350</v>
      </c>
      <c r="R444" s="43">
        <f>IF($B444="","",N($S444)-N($Q444))</f>
        <v/>
      </c>
      <c r="S444" s="43">
        <f>IF($B444="","",N($L444)+N($N444)+N($P444))</f>
        <v/>
      </c>
      <c r="T444" s="42" t="n"/>
      <c r="U444" s="42" t="n"/>
      <c r="V444" s="42" t="n"/>
      <c r="W444" s="42" t="n"/>
      <c r="X444" s="42" t="n"/>
      <c r="Y444" s="42" t="n"/>
      <c r="Z444" s="42" t="n"/>
      <c r="AA444" s="42" t="n"/>
      <c r="AB444" s="42" t="n"/>
      <c r="AC444" s="42" t="n"/>
      <c r="AD444" s="42" t="n"/>
      <c r="AE444" s="42" t="n"/>
      <c r="AF444" s="43">
        <f>IF($B444="","",SUM($T444:$AE444))</f>
        <v/>
      </c>
      <c r="AG444" s="43">
        <f>IF($B444="","",N($M444)-N($AF444))</f>
        <v/>
      </c>
      <c r="AH444" s="43">
        <f>IF($B444="","",N($L444)-N($AF444))</f>
        <v/>
      </c>
      <c r="AI444" s="149">
        <f>IF($B444="","",IF(N($L444)=0,"",(N($L444)-N($AF444))/N($L444)))</f>
        <v/>
      </c>
    </row>
    <row r="445">
      <c r="A445" s="39">
        <f>IF($B445="","",COUNTA($B$4:$B445))</f>
        <v/>
      </c>
      <c r="B445" s="45" t="n">
        <v>46070</v>
      </c>
      <c r="C445" s="46" t="n">
        <v>1817</v>
      </c>
      <c r="D445" s="46" t="inlineStr">
        <is>
          <t>سعد منير</t>
        </is>
      </c>
      <c r="E445" s="46" t="inlineStr">
        <is>
          <t>1*40</t>
        </is>
      </c>
      <c r="F445" s="46" t="inlineStr">
        <is>
          <t xml:space="preserve">اورينت </t>
        </is>
      </c>
      <c r="G445" s="46" t="inlineStr">
        <is>
          <t xml:space="preserve">العاشر </t>
        </is>
      </c>
      <c r="H445" s="46" t="inlineStr">
        <is>
          <t>994662/2</t>
        </is>
      </c>
      <c r="I445" s="46" t="inlineStr">
        <is>
          <t>ب ص ا 3461</t>
        </is>
      </c>
      <c r="J445" s="46" t="inlineStr">
        <is>
          <t xml:space="preserve">احمد ونس </t>
        </is>
      </c>
      <c r="K445" s="46" t="inlineStr">
        <is>
          <t>استوريا</t>
        </is>
      </c>
      <c r="L445" s="47" t="n">
        <v>14000</v>
      </c>
      <c r="M445" s="47" t="n">
        <v>8100</v>
      </c>
      <c r="N445" s="47" t="n"/>
      <c r="O445" s="47" t="n">
        <v>200</v>
      </c>
      <c r="P445" s="47" t="n"/>
      <c r="Q445" s="47" t="n">
        <v>5700</v>
      </c>
      <c r="R445" s="43">
        <f>IF($B445="","",N($S445)-N($Q445))</f>
        <v/>
      </c>
      <c r="S445" s="43">
        <f>IF($B445="","",N($L445)+N($N445)+N($P445))</f>
        <v/>
      </c>
      <c r="T445" s="47" t="n"/>
      <c r="U445" s="47" t="n"/>
      <c r="V445" s="47" t="n"/>
      <c r="W445" s="47" t="n"/>
      <c r="X445" s="47" t="n"/>
      <c r="Y445" s="47" t="n"/>
      <c r="Z445" s="47" t="n"/>
      <c r="AA445" s="47" t="n"/>
      <c r="AB445" s="47" t="n"/>
      <c r="AC445" s="47" t="n"/>
      <c r="AD445" s="47" t="n"/>
      <c r="AE445" s="47" t="n"/>
      <c r="AF445" s="43">
        <f>IF($B445="","",SUM($T445:$AE445))</f>
        <v/>
      </c>
      <c r="AG445" s="43">
        <f>IF($B445="","",N($M445)-N($AF445))</f>
        <v/>
      </c>
      <c r="AH445" s="43">
        <f>IF($B445="","",N($L445)-N($AF445))</f>
        <v/>
      </c>
      <c r="AI445" s="149">
        <f>IF($B445="","",IF(N($L445)=0,"",(N($L445)-N($AF445))/N($L445)))</f>
        <v/>
      </c>
    </row>
    <row r="446">
      <c r="A446" s="39">
        <f>IF($B446="","",COUNTA($B$4:$B446))</f>
        <v/>
      </c>
      <c r="B446" s="40" t="n">
        <v>46070</v>
      </c>
      <c r="C446" s="41" t="n">
        <v>1818</v>
      </c>
      <c r="D446" s="41" t="inlineStr">
        <is>
          <t>محمد عتمان</t>
        </is>
      </c>
      <c r="E446" s="41" t="inlineStr">
        <is>
          <t>1*40</t>
        </is>
      </c>
      <c r="F446" s="41" t="inlineStr">
        <is>
          <t xml:space="preserve">اورينت </t>
        </is>
      </c>
      <c r="G446" s="41" t="inlineStr">
        <is>
          <t>العاشر</t>
        </is>
      </c>
      <c r="H446" s="41" t="inlineStr">
        <is>
          <t>639344/4</t>
        </is>
      </c>
      <c r="I446" s="41" t="inlineStr">
        <is>
          <t>ص ع ا 1524</t>
        </is>
      </c>
      <c r="J446" s="41" t="inlineStr">
        <is>
          <t>شريف عبد الباسط</t>
        </is>
      </c>
      <c r="K446" s="41" t="inlineStr">
        <is>
          <t>استوريا</t>
        </is>
      </c>
      <c r="L446" s="42" t="n">
        <v>14000</v>
      </c>
      <c r="M446" s="42" t="n">
        <v>8100</v>
      </c>
      <c r="N446" s="42" t="n"/>
      <c r="O446" s="42" t="n">
        <v>200</v>
      </c>
      <c r="P446" s="42" t="n"/>
      <c r="Q446" s="42" t="n">
        <v>5700</v>
      </c>
      <c r="R446" s="43">
        <f>IF($B446="","",N($S446)-N($Q446))</f>
        <v/>
      </c>
      <c r="S446" s="43">
        <f>IF($B446="","",N($L446)+N($N446)+N($P446))</f>
        <v/>
      </c>
      <c r="T446" s="42" t="n"/>
      <c r="U446" s="42" t="n"/>
      <c r="V446" s="42" t="n"/>
      <c r="W446" s="42" t="n"/>
      <c r="X446" s="42" t="n"/>
      <c r="Y446" s="42" t="n"/>
      <c r="Z446" s="42" t="n"/>
      <c r="AA446" s="42" t="n"/>
      <c r="AB446" s="42" t="n"/>
      <c r="AC446" s="42" t="n"/>
      <c r="AD446" s="42" t="n"/>
      <c r="AE446" s="42" t="n"/>
      <c r="AF446" s="43">
        <f>IF($B446="","",SUM($T446:$AE446))</f>
        <v/>
      </c>
      <c r="AG446" s="43">
        <f>IF($B446="","",N($M446)-N($AF446))</f>
        <v/>
      </c>
      <c r="AH446" s="43">
        <f>IF($B446="","",N($L446)-N($AF446))</f>
        <v/>
      </c>
      <c r="AI446" s="149">
        <f>IF($B446="","",IF(N($L446)=0,"",(N($L446)-N($AF446))/N($L446)))</f>
        <v/>
      </c>
    </row>
    <row r="447">
      <c r="A447" s="39">
        <f>IF($B447="","",COUNTA($B$4:$B447))</f>
        <v/>
      </c>
      <c r="B447" s="45" t="n">
        <v>46071</v>
      </c>
      <c r="C447" s="46" t="n">
        <v>1830</v>
      </c>
      <c r="D447" s="46" t="inlineStr">
        <is>
          <t>الضانى</t>
        </is>
      </c>
      <c r="E447" s="46" t="inlineStr">
        <is>
          <t>2*20</t>
        </is>
      </c>
      <c r="F447" s="46" t="inlineStr">
        <is>
          <t xml:space="preserve">الدولية للفحم </t>
        </is>
      </c>
      <c r="G447" s="46" t="inlineStr">
        <is>
          <t xml:space="preserve">البرج </t>
        </is>
      </c>
      <c r="H447" s="46" t="inlineStr">
        <is>
          <t>281642/7-744084/3</t>
        </is>
      </c>
      <c r="I447" s="46" t="inlineStr">
        <is>
          <t>س ع ه 2717</t>
        </is>
      </c>
      <c r="J447" s="46" t="inlineStr">
        <is>
          <t xml:space="preserve">محمد السيد </t>
        </is>
      </c>
      <c r="K447" s="46" t="n"/>
      <c r="L447" s="47" t="n">
        <v>10000</v>
      </c>
      <c r="M447" s="47" t="n">
        <v>7100</v>
      </c>
      <c r="N447" s="47" t="n"/>
      <c r="O447" s="47" t="n"/>
      <c r="P447" s="47" t="n"/>
      <c r="Q447" s="47" t="n">
        <v>2900</v>
      </c>
      <c r="R447" s="43">
        <f>IF($B447="","",N($S447)-N($Q447))</f>
        <v/>
      </c>
      <c r="S447" s="43">
        <f>IF($B447="","",N($L447)+N($N447)+N($P447))</f>
        <v/>
      </c>
      <c r="T447" s="47" t="n"/>
      <c r="U447" s="47" t="n"/>
      <c r="V447" s="47" t="n"/>
      <c r="W447" s="47" t="n"/>
      <c r="X447" s="47" t="n"/>
      <c r="Y447" s="47" t="n"/>
      <c r="Z447" s="47" t="n"/>
      <c r="AA447" s="47" t="n"/>
      <c r="AB447" s="47" t="n"/>
      <c r="AC447" s="47" t="n"/>
      <c r="AD447" s="47" t="n"/>
      <c r="AE447" s="47" t="n"/>
      <c r="AF447" s="43">
        <f>IF($B447="","",SUM($T447:$AE447))</f>
        <v/>
      </c>
      <c r="AG447" s="43">
        <f>IF($B447="","",N($M447)-N($AF447))</f>
        <v/>
      </c>
      <c r="AH447" s="43">
        <f>IF($B447="","",N($L447)-N($AF447))</f>
        <v/>
      </c>
      <c r="AI447" s="149">
        <f>IF($B447="","",IF(N($L447)=0,"",(N($L447)-N($AF447))/N($L447)))</f>
        <v/>
      </c>
    </row>
    <row r="448">
      <c r="A448" s="39">
        <f>IF($B448="","",COUNTA($B$4:$B448))</f>
        <v/>
      </c>
      <c r="B448" s="40" t="n">
        <v>46071</v>
      </c>
      <c r="C448" s="41" t="n">
        <v>1831</v>
      </c>
      <c r="D448" s="41" t="inlineStr">
        <is>
          <t>الضانى</t>
        </is>
      </c>
      <c r="E448" s="41" t="inlineStr">
        <is>
          <t>2*20</t>
        </is>
      </c>
      <c r="F448" s="41" t="n"/>
      <c r="G448" s="41" t="inlineStr">
        <is>
          <t xml:space="preserve">البرج </t>
        </is>
      </c>
      <c r="H448" s="41" t="inlineStr">
        <is>
          <t>275500/1-228892/8</t>
        </is>
      </c>
      <c r="I448" s="41" t="inlineStr">
        <is>
          <t>س و ا 2654</t>
        </is>
      </c>
      <c r="J448" s="41" t="inlineStr">
        <is>
          <t xml:space="preserve">سعيد ابراهيم </t>
        </is>
      </c>
      <c r="K448" s="41" t="inlineStr">
        <is>
          <t xml:space="preserve">السائق </t>
        </is>
      </c>
      <c r="L448" s="42" t="n">
        <v>10000</v>
      </c>
      <c r="M448" s="42" t="n">
        <v>7100</v>
      </c>
      <c r="N448" s="42" t="n"/>
      <c r="O448" s="42" t="n"/>
      <c r="P448" s="42" t="n"/>
      <c r="Q448" s="42" t="n">
        <v>2900</v>
      </c>
      <c r="R448" s="43">
        <f>IF($B448="","",N($S448)-N($Q448))</f>
        <v/>
      </c>
      <c r="S448" s="43">
        <f>IF($B448="","",N($L448)+N($N448)+N($P448))</f>
        <v/>
      </c>
      <c r="T448" s="42" t="n"/>
      <c r="U448" s="42" t="n"/>
      <c r="V448" s="42" t="n"/>
      <c r="W448" s="42" t="n"/>
      <c r="X448" s="42" t="n"/>
      <c r="Y448" s="42" t="n"/>
      <c r="Z448" s="42" t="n"/>
      <c r="AA448" s="42" t="n"/>
      <c r="AB448" s="42" t="n"/>
      <c r="AC448" s="42" t="n"/>
      <c r="AD448" s="42" t="n"/>
      <c r="AE448" s="42" t="n"/>
      <c r="AF448" s="43">
        <f>IF($B448="","",SUM($T448:$AE448))</f>
        <v/>
      </c>
      <c r="AG448" s="43">
        <f>IF($B448="","",N($M448)-N($AF448))</f>
        <v/>
      </c>
      <c r="AH448" s="43">
        <f>IF($B448="","",N($L448)-N($AF448))</f>
        <v/>
      </c>
      <c r="AI448" s="149">
        <f>IF($B448="","",IF(N($L448)=0,"",(N($L448)-N($AF448))/N($L448)))</f>
        <v/>
      </c>
    </row>
    <row r="449">
      <c r="A449" s="39">
        <f>IF($B449="","",COUNTA($B$4:$B449))</f>
        <v/>
      </c>
      <c r="B449" s="45" t="n">
        <v>46071</v>
      </c>
      <c r="C449" s="46" t="n">
        <v>1829</v>
      </c>
      <c r="D449" s="46" t="inlineStr">
        <is>
          <t>ايوب خ</t>
        </is>
      </c>
      <c r="E449" s="46" t="inlineStr">
        <is>
          <t>1*20</t>
        </is>
      </c>
      <c r="F449" s="46" t="inlineStr">
        <is>
          <t xml:space="preserve">يوريتال </t>
        </is>
      </c>
      <c r="G449" s="46" t="inlineStr">
        <is>
          <t xml:space="preserve">العبور </t>
        </is>
      </c>
      <c r="H449" s="46" t="inlineStr">
        <is>
          <t>896776/1</t>
        </is>
      </c>
      <c r="I449" s="46" t="inlineStr">
        <is>
          <t>ب ا ج 7235</t>
        </is>
      </c>
      <c r="J449" s="46" t="inlineStr">
        <is>
          <t xml:space="preserve">حسام محمد </t>
        </is>
      </c>
      <c r="K449" s="46" t="inlineStr">
        <is>
          <t xml:space="preserve">ايوب </t>
        </is>
      </c>
      <c r="L449" s="47" t="n">
        <v>13000</v>
      </c>
      <c r="M449" s="47" t="n">
        <v>8100</v>
      </c>
      <c r="N449" s="47" t="n"/>
      <c r="O449" s="47" t="n">
        <v>200</v>
      </c>
      <c r="P449" s="47" t="n"/>
      <c r="Q449" s="47" t="n">
        <v>4700</v>
      </c>
      <c r="R449" s="43">
        <f>IF($B449="","",N($S449)-N($Q449))</f>
        <v/>
      </c>
      <c r="S449" s="43">
        <f>IF($B449="","",N($L449)+N($N449)+N($P449))</f>
        <v/>
      </c>
      <c r="T449" s="47" t="n"/>
      <c r="U449" s="47" t="n"/>
      <c r="V449" s="47" t="n"/>
      <c r="W449" s="47" t="n"/>
      <c r="X449" s="47" t="n"/>
      <c r="Y449" s="47" t="n"/>
      <c r="Z449" s="47" t="n"/>
      <c r="AA449" s="47" t="n"/>
      <c r="AB449" s="47" t="n"/>
      <c r="AC449" s="47" t="n"/>
      <c r="AD449" s="47" t="n"/>
      <c r="AE449" s="47" t="n"/>
      <c r="AF449" s="43">
        <f>IF($B449="","",SUM($T449:$AE449))</f>
        <v/>
      </c>
      <c r="AG449" s="43">
        <f>IF($B449="","",N($M449)-N($AF449))</f>
        <v/>
      </c>
      <c r="AH449" s="43">
        <f>IF($B449="","",N($L449)-N($AF449))</f>
        <v/>
      </c>
      <c r="AI449" s="149">
        <f>IF($B449="","",IF(N($L449)=0,"",(N($L449)-N($AF449))/N($L449)))</f>
        <v/>
      </c>
    </row>
    <row r="450">
      <c r="A450" s="39">
        <f>IF($B450="","",COUNTA($B$4:$B450))</f>
        <v/>
      </c>
      <c r="B450" s="40" t="n">
        <v>46071</v>
      </c>
      <c r="C450" s="41" t="n">
        <v>1828</v>
      </c>
      <c r="D450" s="41" t="inlineStr">
        <is>
          <t xml:space="preserve">احمد يوسف </t>
        </is>
      </c>
      <c r="E450" s="41" t="inlineStr">
        <is>
          <t>1*20</t>
        </is>
      </c>
      <c r="F450" s="41" t="inlineStr">
        <is>
          <t>اكما</t>
        </is>
      </c>
      <c r="G450" s="41" t="inlineStr">
        <is>
          <t>بنى سويف</t>
        </is>
      </c>
      <c r="H450" s="41" t="inlineStr">
        <is>
          <t>697351/3</t>
        </is>
      </c>
      <c r="I450" s="41" t="inlineStr">
        <is>
          <t>م ا ر 6836</t>
        </is>
      </c>
      <c r="J450" s="41" t="inlineStr">
        <is>
          <t xml:space="preserve">عبدة جيدى </t>
        </is>
      </c>
      <c r="K450" s="41" t="inlineStr">
        <is>
          <t xml:space="preserve">ايمن جيدة </t>
        </is>
      </c>
      <c r="L450" s="42" t="n">
        <v>17500</v>
      </c>
      <c r="M450" s="42" t="n">
        <v>10100</v>
      </c>
      <c r="N450" s="42" t="n"/>
      <c r="O450" s="42" t="n">
        <v>200</v>
      </c>
      <c r="P450" s="42" t="n"/>
      <c r="Q450" s="42" t="n">
        <v>7200</v>
      </c>
      <c r="R450" s="43">
        <f>IF($B450="","",N($S450)-N($Q450))</f>
        <v/>
      </c>
      <c r="S450" s="43">
        <f>IF($B450="","",N($L450)+N($N450)+N($P450))</f>
        <v/>
      </c>
      <c r="T450" s="42" t="n"/>
      <c r="U450" s="42" t="n"/>
      <c r="V450" s="42" t="n"/>
      <c r="W450" s="42" t="n"/>
      <c r="X450" s="42" t="n"/>
      <c r="Y450" s="42" t="n"/>
      <c r="Z450" s="42" t="n"/>
      <c r="AA450" s="42" t="n"/>
      <c r="AB450" s="42" t="n"/>
      <c r="AC450" s="42" t="n"/>
      <c r="AD450" s="42" t="n"/>
      <c r="AE450" s="42" t="n"/>
      <c r="AF450" s="43">
        <f>IF($B450="","",SUM($T450:$AE450))</f>
        <v/>
      </c>
      <c r="AG450" s="43">
        <f>IF($B450="","",N($M450)-N($AF450))</f>
        <v/>
      </c>
      <c r="AH450" s="43">
        <f>IF($B450="","",N($L450)-N($AF450))</f>
        <v/>
      </c>
      <c r="AI450" s="149">
        <f>IF($B450="","",IF(N($L450)=0,"",(N($L450)-N($AF450))/N($L450)))</f>
        <v/>
      </c>
    </row>
    <row r="451">
      <c r="A451" s="39">
        <f>IF($B451="","",COUNTA($B$4:$B451))</f>
        <v/>
      </c>
      <c r="B451" s="45" t="n">
        <v>46071</v>
      </c>
      <c r="C451" s="46" t="n">
        <v>2066</v>
      </c>
      <c r="D451" s="46" t="inlineStr">
        <is>
          <t>احمد عبدو خ</t>
        </is>
      </c>
      <c r="E451" s="46" t="inlineStr">
        <is>
          <t>1*40</t>
        </is>
      </c>
      <c r="F451" s="46" t="inlineStr">
        <is>
          <t xml:space="preserve">الصادق </t>
        </is>
      </c>
      <c r="G451" s="46" t="inlineStr">
        <is>
          <t>مطوبس</t>
        </is>
      </c>
      <c r="H451" s="46" t="inlineStr">
        <is>
          <t>541194/2</t>
        </is>
      </c>
      <c r="I451" s="46" t="inlineStr">
        <is>
          <t>س ق ا 3745</t>
        </is>
      </c>
      <c r="J451" s="46" t="inlineStr">
        <is>
          <t xml:space="preserve">سمارة محمد </t>
        </is>
      </c>
      <c r="K451" s="46" t="inlineStr">
        <is>
          <t xml:space="preserve">حمو البيبى </t>
        </is>
      </c>
      <c r="L451" s="47" t="n">
        <v>14500</v>
      </c>
      <c r="M451" s="47" t="n">
        <v>9100</v>
      </c>
      <c r="N451" s="47" t="n"/>
      <c r="O451" s="47" t="n">
        <v>200</v>
      </c>
      <c r="P451" s="47" t="n"/>
      <c r="Q451" s="47" t="n">
        <v>5200</v>
      </c>
      <c r="R451" s="43">
        <f>IF($B451="","",N($S451)-N($Q451))</f>
        <v/>
      </c>
      <c r="S451" s="43">
        <f>IF($B451="","",N($L451)+N($N451)+N($P451))</f>
        <v/>
      </c>
      <c r="T451" s="47" t="n"/>
      <c r="U451" s="47" t="n"/>
      <c r="V451" s="47" t="n"/>
      <c r="W451" s="47" t="n"/>
      <c r="X451" s="47" t="n"/>
      <c r="Y451" s="47" t="n"/>
      <c r="Z451" s="47" t="n"/>
      <c r="AA451" s="47" t="n"/>
      <c r="AB451" s="47" t="n"/>
      <c r="AC451" s="47" t="n"/>
      <c r="AD451" s="47" t="n"/>
      <c r="AE451" s="47" t="n"/>
      <c r="AF451" s="43">
        <f>IF($B451="","",SUM($T451:$AE451))</f>
        <v/>
      </c>
      <c r="AG451" s="43">
        <f>IF($B451="","",N($M451)-N($AF451))</f>
        <v/>
      </c>
      <c r="AH451" s="43">
        <f>IF($B451="","",N($L451)-N($AF451))</f>
        <v/>
      </c>
      <c r="AI451" s="149">
        <f>IF($B451="","",IF(N($L451)=0,"",(N($L451)-N($AF451))/N($L451)))</f>
        <v/>
      </c>
    </row>
    <row r="452">
      <c r="A452" s="39">
        <f>IF($B452="","",COUNTA($B$4:$B452))</f>
        <v/>
      </c>
      <c r="B452" s="40" t="n">
        <v>46071</v>
      </c>
      <c r="C452" s="41" t="n">
        <v>2065</v>
      </c>
      <c r="D452" s="41" t="inlineStr">
        <is>
          <t>احمد عبدو خ</t>
        </is>
      </c>
      <c r="E452" s="41" t="inlineStr">
        <is>
          <t>1*40</t>
        </is>
      </c>
      <c r="F452" s="41" t="inlineStr">
        <is>
          <t xml:space="preserve">ايجل واى </t>
        </is>
      </c>
      <c r="G452" s="41" t="inlineStr">
        <is>
          <t xml:space="preserve">السادات </t>
        </is>
      </c>
      <c r="H452" s="41" t="inlineStr">
        <is>
          <t>523868/2</t>
        </is>
      </c>
      <c r="I452" s="41" t="inlineStr">
        <is>
          <t>س ا ه 8198</t>
        </is>
      </c>
      <c r="J452" s="41" t="inlineStr">
        <is>
          <t xml:space="preserve">محمد ابراهيم </t>
        </is>
      </c>
      <c r="K452" s="41" t="inlineStr">
        <is>
          <t xml:space="preserve">علاء علام </t>
        </is>
      </c>
      <c r="L452" s="42" t="n">
        <v>11700</v>
      </c>
      <c r="M452" s="42" t="n">
        <v>7100</v>
      </c>
      <c r="N452" s="42" t="n"/>
      <c r="O452" s="42" t="n">
        <v>200</v>
      </c>
      <c r="P452" s="42" t="n"/>
      <c r="Q452" s="42" t="n">
        <v>4400</v>
      </c>
      <c r="R452" s="43">
        <f>IF($B452="","",N($S452)-N($Q452))</f>
        <v/>
      </c>
      <c r="S452" s="43">
        <f>IF($B452="","",N($L452)+N($N452)+N($P452))</f>
        <v/>
      </c>
      <c r="T452" s="42" t="n"/>
      <c r="U452" s="42" t="n"/>
      <c r="V452" s="42" t="n"/>
      <c r="W452" s="42" t="n"/>
      <c r="X452" s="42" t="n"/>
      <c r="Y452" s="42" t="n"/>
      <c r="Z452" s="42" t="n"/>
      <c r="AA452" s="42" t="n"/>
      <c r="AB452" s="42" t="n"/>
      <c r="AC452" s="42" t="n"/>
      <c r="AD452" s="42" t="n"/>
      <c r="AE452" s="42" t="n"/>
      <c r="AF452" s="43">
        <f>IF($B452="","",SUM($T452:$AE452))</f>
        <v/>
      </c>
      <c r="AG452" s="43">
        <f>IF($B452="","",N($M452)-N($AF452))</f>
        <v/>
      </c>
      <c r="AH452" s="43">
        <f>IF($B452="","",N($L452)-N($AF452))</f>
        <v/>
      </c>
      <c r="AI452" s="149">
        <f>IF($B452="","",IF(N($L452)=0,"",(N($L452)-N($AF452))/N($L452)))</f>
        <v/>
      </c>
    </row>
    <row r="453">
      <c r="A453" s="39">
        <f>IF($B453="","",COUNTA($B$4:$B453))</f>
        <v/>
      </c>
      <c r="B453" s="45" t="n">
        <v>46071</v>
      </c>
      <c r="C453" s="46" t="n">
        <v>2169</v>
      </c>
      <c r="D453" s="46" t="inlineStr">
        <is>
          <t>محمد عتمان</t>
        </is>
      </c>
      <c r="E453" s="46" t="inlineStr">
        <is>
          <t>2*20</t>
        </is>
      </c>
      <c r="F453" s="46" t="inlineStr">
        <is>
          <t xml:space="preserve">اكما </t>
        </is>
      </c>
      <c r="G453" s="46" t="inlineStr">
        <is>
          <t>بنى سويف</t>
        </is>
      </c>
      <c r="H453" s="46" t="inlineStr">
        <is>
          <t>249732/6-383610/2</t>
        </is>
      </c>
      <c r="I453" s="46" t="inlineStr">
        <is>
          <t>ب د ف 5831</t>
        </is>
      </c>
      <c r="J453" s="46" t="inlineStr">
        <is>
          <t xml:space="preserve">سامى رمضان </t>
        </is>
      </c>
      <c r="K453" s="46" t="inlineStr">
        <is>
          <t xml:space="preserve">ايمن رمضان </t>
        </is>
      </c>
      <c r="L453" s="47" t="n">
        <v>23000</v>
      </c>
      <c r="M453" s="47" t="n">
        <v>12100</v>
      </c>
      <c r="N453" s="47" t="n">
        <v>1100</v>
      </c>
      <c r="O453" s="47" t="n">
        <v>200</v>
      </c>
      <c r="P453" s="47" t="n"/>
      <c r="Q453" s="47" t="n">
        <v>9600</v>
      </c>
      <c r="R453" s="43">
        <f>IF($B453="","",N($S453)-N($Q453))</f>
        <v/>
      </c>
      <c r="S453" s="43">
        <f>IF($B453="","",N($L453)+N($N453)+N($P453))</f>
        <v/>
      </c>
      <c r="T453" s="47" t="n"/>
      <c r="U453" s="47" t="n"/>
      <c r="V453" s="47" t="n"/>
      <c r="W453" s="47" t="n"/>
      <c r="X453" s="47" t="n"/>
      <c r="Y453" s="47" t="n"/>
      <c r="Z453" s="47" t="n"/>
      <c r="AA453" s="47" t="n"/>
      <c r="AB453" s="47" t="n"/>
      <c r="AC453" s="47" t="n"/>
      <c r="AD453" s="47" t="n"/>
      <c r="AE453" s="47" t="n"/>
      <c r="AF453" s="43">
        <f>IF($B453="","",SUM($T453:$AE453))</f>
        <v/>
      </c>
      <c r="AG453" s="43">
        <f>IF($B453="","",N($M453)-N($AF453))</f>
        <v/>
      </c>
      <c r="AH453" s="43">
        <f>IF($B453="","",N($L453)-N($AF453))</f>
        <v/>
      </c>
      <c r="AI453" s="149">
        <f>IF($B453="","",IF(N($L453)=0,"",(N($L453)-N($AF453))/N($L453)))</f>
        <v/>
      </c>
    </row>
    <row r="454">
      <c r="A454" s="39">
        <f>IF($B454="","",COUNTA($B$4:$B454))</f>
        <v/>
      </c>
      <c r="B454" s="40" t="n">
        <v>46072</v>
      </c>
      <c r="C454" s="41" t="n">
        <v>1685</v>
      </c>
      <c r="D454" s="41" t="inlineStr">
        <is>
          <t>عتريس مخيمر  خ</t>
        </is>
      </c>
      <c r="E454" s="41" t="inlineStr">
        <is>
          <t>1*40</t>
        </is>
      </c>
      <c r="F454" s="41" t="inlineStr">
        <is>
          <t xml:space="preserve">ريجينا </t>
        </is>
      </c>
      <c r="G454" s="41" t="inlineStr">
        <is>
          <t xml:space="preserve">السادات </t>
        </is>
      </c>
      <c r="H454" s="41" t="n"/>
      <c r="I454" s="41" t="inlineStr">
        <is>
          <t>ط ف ر 1474</t>
        </is>
      </c>
      <c r="J454" s="41" t="inlineStr">
        <is>
          <t xml:space="preserve">جمال على </t>
        </is>
      </c>
      <c r="K454" s="41" t="inlineStr">
        <is>
          <t xml:space="preserve">كريم خليف </t>
        </is>
      </c>
      <c r="L454" s="42" t="n">
        <v>11700</v>
      </c>
      <c r="M454" s="42" t="n">
        <v>7100</v>
      </c>
      <c r="N454" s="42" t="n"/>
      <c r="O454" s="42" t="n">
        <v>200</v>
      </c>
      <c r="P454" s="42" t="n"/>
      <c r="Q454" s="42" t="n">
        <v>4400</v>
      </c>
      <c r="R454" s="43">
        <f>IF($B454="","",N($S454)-N($Q454))</f>
        <v/>
      </c>
      <c r="S454" s="43">
        <f>IF($B454="","",N($L454)+N($N454)+N($P454))</f>
        <v/>
      </c>
      <c r="T454" s="42" t="n"/>
      <c r="U454" s="42" t="n"/>
      <c r="V454" s="42" t="n"/>
      <c r="W454" s="42" t="n"/>
      <c r="X454" s="42" t="n"/>
      <c r="Y454" s="42" t="n"/>
      <c r="Z454" s="42" t="n"/>
      <c r="AA454" s="42" t="n"/>
      <c r="AB454" s="42" t="n"/>
      <c r="AC454" s="42" t="n"/>
      <c r="AD454" s="42" t="n"/>
      <c r="AE454" s="42" t="n"/>
      <c r="AF454" s="43">
        <f>IF($B454="","",SUM($T454:$AE454))</f>
        <v/>
      </c>
      <c r="AG454" s="43">
        <f>IF($B454="","",N($M454)-N($AF454))</f>
        <v/>
      </c>
      <c r="AH454" s="43">
        <f>IF($B454="","",N($L454)-N($AF454))</f>
        <v/>
      </c>
      <c r="AI454" s="149">
        <f>IF($B454="","",IF(N($L454)=0,"",(N($L454)-N($AF454))/N($L454)))</f>
        <v/>
      </c>
    </row>
    <row r="455">
      <c r="A455" s="39">
        <f>IF($B455="","",COUNTA($B$4:$B455))</f>
        <v/>
      </c>
      <c r="B455" s="45" t="n">
        <v>46072</v>
      </c>
      <c r="C455" s="46" t="n">
        <v>2175</v>
      </c>
      <c r="D455" s="46" t="inlineStr">
        <is>
          <t>اسلام محروس</t>
        </is>
      </c>
      <c r="E455" s="46" t="inlineStr">
        <is>
          <t>2*20</t>
        </is>
      </c>
      <c r="F455" s="46" t="inlineStr">
        <is>
          <t xml:space="preserve">اكما </t>
        </is>
      </c>
      <c r="G455" s="46" t="inlineStr">
        <is>
          <t>بنى سويف</t>
        </is>
      </c>
      <c r="H455" s="46" t="inlineStr">
        <is>
          <t>807270/0-730186/0</t>
        </is>
      </c>
      <c r="I455" s="46" t="inlineStr">
        <is>
          <t>ب د ف 9217</t>
        </is>
      </c>
      <c r="J455" s="46" t="inlineStr">
        <is>
          <t xml:space="preserve">يسرى الصيفى </t>
        </is>
      </c>
      <c r="K455" s="46" t="inlineStr">
        <is>
          <t xml:space="preserve">الصيفى </t>
        </is>
      </c>
      <c r="L455" s="47" t="n">
        <v>23000</v>
      </c>
      <c r="M455" s="47" t="n">
        <v>12100</v>
      </c>
      <c r="N455" s="47" t="n"/>
      <c r="O455" s="47" t="n">
        <v>200</v>
      </c>
      <c r="P455" s="47" t="n">
        <v>2000</v>
      </c>
      <c r="Q455" s="47" t="n">
        <v>12700</v>
      </c>
      <c r="R455" s="43">
        <f>IF($B455="","",N($S455)-N($Q455))</f>
        <v/>
      </c>
      <c r="S455" s="43">
        <f>IF($B455="","",N($L455)+N($N455)+N($P455))</f>
        <v/>
      </c>
      <c r="T455" s="47" t="n"/>
      <c r="U455" s="47" t="n"/>
      <c r="V455" s="47" t="n"/>
      <c r="W455" s="47" t="n"/>
      <c r="X455" s="47" t="n"/>
      <c r="Y455" s="47" t="n"/>
      <c r="Z455" s="47" t="n"/>
      <c r="AA455" s="47" t="n"/>
      <c r="AB455" s="47" t="n"/>
      <c r="AC455" s="47" t="n"/>
      <c r="AD455" s="47" t="n"/>
      <c r="AE455" s="47" t="n"/>
      <c r="AF455" s="43">
        <f>IF($B455="","",SUM($T455:$AE455))</f>
        <v/>
      </c>
      <c r="AG455" s="43">
        <f>IF($B455="","",N($M455)-N($AF455))</f>
        <v/>
      </c>
      <c r="AH455" s="43">
        <f>IF($B455="","",N($L455)-N($AF455))</f>
        <v/>
      </c>
      <c r="AI455" s="149">
        <f>IF($B455="","",IF(N($L455)=0,"",(N($L455)-N($AF455))/N($L455)))</f>
        <v/>
      </c>
    </row>
    <row r="456">
      <c r="A456" s="39">
        <f>IF($B456="","",COUNTA($B$4:$B456))</f>
        <v/>
      </c>
      <c r="B456" s="40" t="n">
        <v>46072</v>
      </c>
      <c r="C456" s="41" t="n">
        <v>2176</v>
      </c>
      <c r="D456" s="41" t="inlineStr">
        <is>
          <t>الشريف خ</t>
        </is>
      </c>
      <c r="E456" s="41" t="inlineStr">
        <is>
          <t>2*20</t>
        </is>
      </c>
      <c r="F456" s="41" t="inlineStr">
        <is>
          <t>اكما</t>
        </is>
      </c>
      <c r="G456" s="41" t="inlineStr">
        <is>
          <t>بنى سويف</t>
        </is>
      </c>
      <c r="H456" s="41" t="inlineStr">
        <is>
          <t>029261/3-992357/4</t>
        </is>
      </c>
      <c r="I456" s="41" t="inlineStr">
        <is>
          <t>ص ع ا 7825</t>
        </is>
      </c>
      <c r="J456" s="41" t="inlineStr">
        <is>
          <t xml:space="preserve">رامى الميت </t>
        </is>
      </c>
      <c r="K456" s="41" t="inlineStr">
        <is>
          <t xml:space="preserve">الميت </t>
        </is>
      </c>
      <c r="L456" s="42" t="n">
        <v>23000</v>
      </c>
      <c r="M456" s="42" t="n">
        <v>12100</v>
      </c>
      <c r="N456" s="42" t="n"/>
      <c r="O456" s="42" t="n">
        <v>200</v>
      </c>
      <c r="P456" s="42" t="n"/>
      <c r="Q456" s="42" t="n">
        <v>10700</v>
      </c>
      <c r="R456" s="43">
        <f>IF($B456="","",N($S456)-N($Q456))</f>
        <v/>
      </c>
      <c r="S456" s="43">
        <f>IF($B456="","",N($L456)+N($N456)+N($P456))</f>
        <v/>
      </c>
      <c r="T456" s="42" t="n"/>
      <c r="U456" s="42" t="n"/>
      <c r="V456" s="42" t="n"/>
      <c r="W456" s="42" t="n"/>
      <c r="X456" s="42" t="n"/>
      <c r="Y456" s="42" t="n"/>
      <c r="Z456" s="42" t="n"/>
      <c r="AA456" s="42" t="n"/>
      <c r="AB456" s="42" t="n"/>
      <c r="AC456" s="42" t="n"/>
      <c r="AD456" s="42" t="n"/>
      <c r="AE456" s="42" t="n"/>
      <c r="AF456" s="43">
        <f>IF($B456="","",SUM($T456:$AE456))</f>
        <v/>
      </c>
      <c r="AG456" s="43">
        <f>IF($B456="","",N($M456)-N($AF456))</f>
        <v/>
      </c>
      <c r="AH456" s="43">
        <f>IF($B456="","",N($L456)-N($AF456))</f>
        <v/>
      </c>
      <c r="AI456" s="149">
        <f>IF($B456="","",IF(N($L456)=0,"",(N($L456)-N($AF456))/N($L456)))</f>
        <v/>
      </c>
    </row>
    <row r="457">
      <c r="A457" s="39">
        <f>IF($B457="","",COUNTA($B$4:$B457))</f>
        <v/>
      </c>
      <c r="B457" s="45" t="n">
        <v>46072</v>
      </c>
      <c r="C457" s="46" t="n">
        <v>2177</v>
      </c>
      <c r="D457" s="46" t="inlineStr">
        <is>
          <t>الشريف خ</t>
        </is>
      </c>
      <c r="E457" s="46" t="inlineStr">
        <is>
          <t>2*20</t>
        </is>
      </c>
      <c r="F457" s="46" t="inlineStr">
        <is>
          <t>اكما</t>
        </is>
      </c>
      <c r="G457" s="46" t="inlineStr">
        <is>
          <t>بنى سويف</t>
        </is>
      </c>
      <c r="H457" s="46" t="inlineStr">
        <is>
          <t>569437/9-773029/9</t>
        </is>
      </c>
      <c r="I457" s="46" t="inlineStr">
        <is>
          <t>ب ر ط 1826</t>
        </is>
      </c>
      <c r="J457" s="46" t="inlineStr">
        <is>
          <t xml:space="preserve">ابراهيم الميت </t>
        </is>
      </c>
      <c r="K457" s="46" t="inlineStr">
        <is>
          <t xml:space="preserve">الميت </t>
        </is>
      </c>
      <c r="L457" s="47" t="n">
        <v>23000</v>
      </c>
      <c r="M457" s="47" t="n">
        <v>12100</v>
      </c>
      <c r="N457" s="47" t="n"/>
      <c r="O457" s="47" t="n">
        <v>200</v>
      </c>
      <c r="P457" s="47" t="n"/>
      <c r="Q457" s="47" t="n">
        <v>10700</v>
      </c>
      <c r="R457" s="43">
        <f>IF($B457="","",N($S457)-N($Q457))</f>
        <v/>
      </c>
      <c r="S457" s="43">
        <f>IF($B457="","",N($L457)+N($N457)+N($P457))</f>
        <v/>
      </c>
      <c r="T457" s="47" t="n"/>
      <c r="U457" s="47" t="n"/>
      <c r="V457" s="47" t="n"/>
      <c r="W457" s="47" t="n"/>
      <c r="X457" s="47" t="n"/>
      <c r="Y457" s="47" t="n"/>
      <c r="Z457" s="47" t="n"/>
      <c r="AA457" s="47" t="n"/>
      <c r="AB457" s="47" t="n"/>
      <c r="AC457" s="47" t="n"/>
      <c r="AD457" s="47" t="n"/>
      <c r="AE457" s="47" t="n"/>
      <c r="AF457" s="43">
        <f>IF($B457="","",SUM($T457:$AE457))</f>
        <v/>
      </c>
      <c r="AG457" s="43">
        <f>IF($B457="","",N($M457)-N($AF457))</f>
        <v/>
      </c>
      <c r="AH457" s="43">
        <f>IF($B457="","",N($L457)-N($AF457))</f>
        <v/>
      </c>
      <c r="AI457" s="149">
        <f>IF($B457="","",IF(N($L457)=0,"",(N($L457)-N($AF457))/N($L457)))</f>
        <v/>
      </c>
    </row>
    <row r="458">
      <c r="A458" s="39">
        <f>IF($B458="","",COUNTA($B$4:$B458))</f>
        <v/>
      </c>
      <c r="B458" s="40" t="n">
        <v>46072</v>
      </c>
      <c r="C458" s="41" t="n">
        <v>2178</v>
      </c>
      <c r="D458" s="41" t="inlineStr">
        <is>
          <t>الشريف خ</t>
        </is>
      </c>
      <c r="E458" s="41" t="inlineStr">
        <is>
          <t>2*20</t>
        </is>
      </c>
      <c r="F458" s="41" t="inlineStr">
        <is>
          <t>اكما</t>
        </is>
      </c>
      <c r="G458" s="41" t="inlineStr">
        <is>
          <t>بنى سويف</t>
        </is>
      </c>
      <c r="H458" s="41" t="inlineStr">
        <is>
          <t>890620/6-689833/3</t>
        </is>
      </c>
      <c r="I458" s="41" t="inlineStr">
        <is>
          <t>ب ط ع 3576</t>
        </is>
      </c>
      <c r="J458" s="41" t="inlineStr">
        <is>
          <t xml:space="preserve">محمد الميت </t>
        </is>
      </c>
      <c r="K458" s="41" t="inlineStr">
        <is>
          <t xml:space="preserve">الميت </t>
        </is>
      </c>
      <c r="L458" s="42" t="n">
        <v>23000</v>
      </c>
      <c r="M458" s="42" t="n">
        <v>12100</v>
      </c>
      <c r="N458" s="42" t="n"/>
      <c r="O458" s="42" t="n">
        <v>200</v>
      </c>
      <c r="P458" s="42" t="n"/>
      <c r="Q458" s="42" t="n">
        <v>10700</v>
      </c>
      <c r="R458" s="43">
        <f>IF($B458="","",N($S458)-N($Q458))</f>
        <v/>
      </c>
      <c r="S458" s="43">
        <f>IF($B458="","",N($L458)+N($N458)+N($P458))</f>
        <v/>
      </c>
      <c r="T458" s="42" t="n"/>
      <c r="U458" s="42" t="n"/>
      <c r="V458" s="42" t="n"/>
      <c r="W458" s="42" t="n"/>
      <c r="X458" s="42" t="n"/>
      <c r="Y458" s="42" t="n"/>
      <c r="Z458" s="42" t="n"/>
      <c r="AA458" s="42" t="n"/>
      <c r="AB458" s="42" t="n"/>
      <c r="AC458" s="42" t="n"/>
      <c r="AD458" s="42" t="n"/>
      <c r="AE458" s="42" t="n"/>
      <c r="AF458" s="43">
        <f>IF($B458="","",SUM($T458:$AE458))</f>
        <v/>
      </c>
      <c r="AG458" s="43">
        <f>IF($B458="","",N($M458)-N($AF458))</f>
        <v/>
      </c>
      <c r="AH458" s="43">
        <f>IF($B458="","",N($L458)-N($AF458))</f>
        <v/>
      </c>
      <c r="AI458" s="149">
        <f>IF($B458="","",IF(N($L458)=0,"",(N($L458)-N($AF458))/N($L458)))</f>
        <v/>
      </c>
    </row>
    <row r="459">
      <c r="A459" s="39">
        <f>IF($B459="","",COUNTA($B$4:$B459))</f>
        <v/>
      </c>
      <c r="B459" s="45" t="n">
        <v>46072</v>
      </c>
      <c r="C459" s="46" t="n">
        <v>2181</v>
      </c>
      <c r="D459" s="46" t="inlineStr">
        <is>
          <t>كمال رزق خ</t>
        </is>
      </c>
      <c r="E459" s="46" t="inlineStr">
        <is>
          <t>1*40</t>
        </is>
      </c>
      <c r="F459" s="46" t="inlineStr">
        <is>
          <t xml:space="preserve">الفرسان </t>
        </is>
      </c>
      <c r="G459" s="46" t="inlineStr">
        <is>
          <t xml:space="preserve">اكتوبر </t>
        </is>
      </c>
      <c r="H459" s="46" t="inlineStr">
        <is>
          <t>606492/4</t>
        </is>
      </c>
      <c r="I459" s="46" t="inlineStr">
        <is>
          <t>س ن م 1592</t>
        </is>
      </c>
      <c r="J459" s="46" t="inlineStr">
        <is>
          <t xml:space="preserve">حمدى محمد </t>
        </is>
      </c>
      <c r="K459" s="46" t="inlineStr">
        <is>
          <t xml:space="preserve">عماد سعيد </t>
        </is>
      </c>
      <c r="L459" s="47" t="n">
        <v>12700</v>
      </c>
      <c r="M459" s="47" t="n">
        <v>8100</v>
      </c>
      <c r="N459" s="47" t="n"/>
      <c r="O459" s="47" t="n">
        <v>200</v>
      </c>
      <c r="P459" s="47" t="n"/>
      <c r="Q459" s="47" t="n">
        <v>4400</v>
      </c>
      <c r="R459" s="43">
        <f>IF($B459="","",N($S459)-N($Q459))</f>
        <v/>
      </c>
      <c r="S459" s="43">
        <f>IF($B459="","",N($L459)+N($N459)+N($P459))</f>
        <v/>
      </c>
      <c r="T459" s="47" t="n"/>
      <c r="U459" s="47" t="n"/>
      <c r="V459" s="47" t="n"/>
      <c r="W459" s="47" t="n"/>
      <c r="X459" s="47" t="n"/>
      <c r="Y459" s="47" t="n"/>
      <c r="Z459" s="47" t="n"/>
      <c r="AA459" s="47" t="n"/>
      <c r="AB459" s="47" t="n"/>
      <c r="AC459" s="47" t="n"/>
      <c r="AD459" s="47" t="n"/>
      <c r="AE459" s="47" t="n"/>
      <c r="AF459" s="43">
        <f>IF($B459="","",SUM($T459:$AE459))</f>
        <v/>
      </c>
      <c r="AG459" s="43">
        <f>IF($B459="","",N($M459)-N($AF459))</f>
        <v/>
      </c>
      <c r="AH459" s="43">
        <f>IF($B459="","",N($L459)-N($AF459))</f>
        <v/>
      </c>
      <c r="AI459" s="149">
        <f>IF($B459="","",IF(N($L459)=0,"",(N($L459)-N($AF459))/N($L459)))</f>
        <v/>
      </c>
    </row>
    <row r="460">
      <c r="A460" s="39">
        <f>IF($B460="","",COUNTA($B$4:$B460))</f>
        <v/>
      </c>
      <c r="B460" s="40" t="n">
        <v>46072</v>
      </c>
      <c r="C460" s="41" t="n">
        <v>2179</v>
      </c>
      <c r="D460" s="41" t="inlineStr">
        <is>
          <t>ايوب خ</t>
        </is>
      </c>
      <c r="E460" s="41" t="inlineStr">
        <is>
          <t>1*40</t>
        </is>
      </c>
      <c r="F460" s="41" t="inlineStr">
        <is>
          <t xml:space="preserve">ريجينا </t>
        </is>
      </c>
      <c r="G460" s="41" t="inlineStr">
        <is>
          <t xml:space="preserve">السادات </t>
        </is>
      </c>
      <c r="H460" s="41" t="inlineStr">
        <is>
          <t>921385/8</t>
        </is>
      </c>
      <c r="I460" s="41" t="inlineStr">
        <is>
          <t>ط ف ر 5195</t>
        </is>
      </c>
      <c r="J460" s="41" t="inlineStr">
        <is>
          <t xml:space="preserve">عبد الله </t>
        </is>
      </c>
      <c r="K460" s="41" t="inlineStr">
        <is>
          <t xml:space="preserve">ايوب </t>
        </is>
      </c>
      <c r="L460" s="42" t="n">
        <v>11700</v>
      </c>
      <c r="M460" s="42" t="n">
        <v>7100</v>
      </c>
      <c r="N460" s="42" t="n"/>
      <c r="O460" s="42" t="n">
        <v>200</v>
      </c>
      <c r="P460" s="42" t="n"/>
      <c r="Q460" s="42" t="n">
        <v>4400</v>
      </c>
      <c r="R460" s="43">
        <f>IF($B460="","",N($S460)-N($Q460))</f>
        <v/>
      </c>
      <c r="S460" s="43">
        <f>IF($B460="","",N($L460)+N($N460)+N($P460))</f>
        <v/>
      </c>
      <c r="T460" s="42" t="n"/>
      <c r="U460" s="42" t="n"/>
      <c r="V460" s="42" t="n"/>
      <c r="W460" s="42" t="n"/>
      <c r="X460" s="42" t="n"/>
      <c r="Y460" s="42" t="n"/>
      <c r="Z460" s="42" t="n"/>
      <c r="AA460" s="42" t="n"/>
      <c r="AB460" s="42" t="n"/>
      <c r="AC460" s="42" t="n"/>
      <c r="AD460" s="42" t="n"/>
      <c r="AE460" s="42" t="n"/>
      <c r="AF460" s="43">
        <f>IF($B460="","",SUM($T460:$AE460))</f>
        <v/>
      </c>
      <c r="AG460" s="43">
        <f>IF($B460="","",N($M460)-N($AF460))</f>
        <v/>
      </c>
      <c r="AH460" s="43">
        <f>IF($B460="","",N($L460)-N($AF460))</f>
        <v/>
      </c>
      <c r="AI460" s="149">
        <f>IF($B460="","",IF(N($L460)=0,"",(N($L460)-N($AF460))/N($L460)))</f>
        <v/>
      </c>
    </row>
    <row r="461">
      <c r="A461" s="39">
        <f>IF($B461="","",COUNTA($B$4:$B461))</f>
        <v/>
      </c>
      <c r="B461" s="45" t="n">
        <v>46072</v>
      </c>
      <c r="C461" s="46" t="n">
        <v>2180</v>
      </c>
      <c r="D461" s="46" t="inlineStr">
        <is>
          <t>احمد عبدو خ</t>
        </is>
      </c>
      <c r="E461" s="46" t="inlineStr">
        <is>
          <t>1*40</t>
        </is>
      </c>
      <c r="F461" s="46" t="inlineStr">
        <is>
          <t xml:space="preserve">ريجينا </t>
        </is>
      </c>
      <c r="G461" s="46" t="inlineStr">
        <is>
          <t xml:space="preserve">السادات </t>
        </is>
      </c>
      <c r="H461" s="46" t="inlineStr">
        <is>
          <t>841975/4</t>
        </is>
      </c>
      <c r="I461" s="46" t="inlineStr">
        <is>
          <t>س ا ه 8198</t>
        </is>
      </c>
      <c r="J461" s="46" t="inlineStr">
        <is>
          <t xml:space="preserve">محمد ابراهيم </t>
        </is>
      </c>
      <c r="K461" s="46" t="inlineStr">
        <is>
          <t xml:space="preserve">علاء علام </t>
        </is>
      </c>
      <c r="L461" s="47" t="n">
        <v>11700</v>
      </c>
      <c r="M461" s="47" t="n">
        <v>7100</v>
      </c>
      <c r="N461" s="47" t="n"/>
      <c r="O461" s="47" t="n">
        <v>200</v>
      </c>
      <c r="P461" s="47" t="n"/>
      <c r="Q461" s="47" t="n">
        <v>4400</v>
      </c>
      <c r="R461" s="43">
        <f>IF($B461="","",N($S461)-N($Q461))</f>
        <v/>
      </c>
      <c r="S461" s="43">
        <f>IF($B461="","",N($L461)+N($N461)+N($P461))</f>
        <v/>
      </c>
      <c r="T461" s="47" t="n"/>
      <c r="U461" s="47" t="n"/>
      <c r="V461" s="47" t="n"/>
      <c r="W461" s="47" t="n"/>
      <c r="X461" s="47" t="n"/>
      <c r="Y461" s="47" t="n"/>
      <c r="Z461" s="47" t="n"/>
      <c r="AA461" s="47" t="n"/>
      <c r="AB461" s="47" t="n"/>
      <c r="AC461" s="47" t="n"/>
      <c r="AD461" s="47" t="n"/>
      <c r="AE461" s="47" t="n"/>
      <c r="AF461" s="43">
        <f>IF($B461="","",SUM($T461:$AE461))</f>
        <v/>
      </c>
      <c r="AG461" s="43">
        <f>IF($B461="","",N($M461)-N($AF461))</f>
        <v/>
      </c>
      <c r="AH461" s="43">
        <f>IF($B461="","",N($L461)-N($AF461))</f>
        <v/>
      </c>
      <c r="AI461" s="149">
        <f>IF($B461="","",IF(N($L461)=0,"",(N($L461)-N($AF461))/N($L461)))</f>
        <v/>
      </c>
    </row>
    <row r="462">
      <c r="A462" s="39">
        <f>IF($B462="","",COUNTA($B$4:$B462))</f>
        <v/>
      </c>
      <c r="B462" s="40" t="n">
        <v>46072</v>
      </c>
      <c r="C462" s="41" t="n">
        <v>2174</v>
      </c>
      <c r="D462" s="41" t="inlineStr">
        <is>
          <t>احمد عبدو خ</t>
        </is>
      </c>
      <c r="E462" s="41" t="inlineStr">
        <is>
          <t>1*40</t>
        </is>
      </c>
      <c r="F462" s="41" t="inlineStr">
        <is>
          <t xml:space="preserve">تى فارم </t>
        </is>
      </c>
      <c r="G462" s="41" t="inlineStr">
        <is>
          <t xml:space="preserve">النوبارية </t>
        </is>
      </c>
      <c r="H462" s="41" t="inlineStr">
        <is>
          <t>610983/9</t>
        </is>
      </c>
      <c r="I462" s="41" t="inlineStr">
        <is>
          <t>س ر ا 6671</t>
        </is>
      </c>
      <c r="J462" s="41" t="inlineStr">
        <is>
          <t xml:space="preserve">السيد بدوى </t>
        </is>
      </c>
      <c r="K462" s="41" t="inlineStr">
        <is>
          <t xml:space="preserve">حمو مرزوق </t>
        </is>
      </c>
      <c r="L462" s="42" t="n">
        <v>11000</v>
      </c>
      <c r="M462" s="42" t="n">
        <v>7100</v>
      </c>
      <c r="N462" s="42" t="n"/>
      <c r="O462" s="42" t="n">
        <v>200</v>
      </c>
      <c r="P462" s="42" t="n"/>
      <c r="Q462" s="42" t="n">
        <v>3700</v>
      </c>
      <c r="R462" s="43">
        <f>IF($B462="","",N($S462)-N($Q462))</f>
        <v/>
      </c>
      <c r="S462" s="43">
        <f>IF($B462="","",N($L462)+N($N462)+N($P462))</f>
        <v/>
      </c>
      <c r="T462" s="42" t="n"/>
      <c r="U462" s="42" t="n"/>
      <c r="V462" s="42" t="n"/>
      <c r="W462" s="42" t="n"/>
      <c r="X462" s="42" t="n"/>
      <c r="Y462" s="42" t="n"/>
      <c r="Z462" s="42" t="n"/>
      <c r="AA462" s="42" t="n"/>
      <c r="AB462" s="42" t="n"/>
      <c r="AC462" s="42" t="n"/>
      <c r="AD462" s="42" t="n"/>
      <c r="AE462" s="42" t="n"/>
      <c r="AF462" s="43">
        <f>IF($B462="","",SUM($T462:$AE462))</f>
        <v/>
      </c>
      <c r="AG462" s="43">
        <f>IF($B462="","",N($M462)-N($AF462))</f>
        <v/>
      </c>
      <c r="AH462" s="43">
        <f>IF($B462="","",N($L462)-N($AF462))</f>
        <v/>
      </c>
      <c r="AI462" s="149">
        <f>IF($B462="","",IF(N($L462)=0,"",(N($L462)-N($AF462))/N($L462)))</f>
        <v/>
      </c>
    </row>
    <row r="463">
      <c r="A463" s="39">
        <f>IF($B463="","",COUNTA($B$4:$B463))</f>
        <v/>
      </c>
      <c r="B463" s="45" t="n">
        <v>46072</v>
      </c>
      <c r="C463" s="46" t="n">
        <v>2173</v>
      </c>
      <c r="D463" s="46" t="inlineStr">
        <is>
          <t>احمد عبدو خ</t>
        </is>
      </c>
      <c r="E463" s="46" t="inlineStr">
        <is>
          <t>1*40</t>
        </is>
      </c>
      <c r="F463" s="46" t="inlineStr">
        <is>
          <t xml:space="preserve">تى فارم </t>
        </is>
      </c>
      <c r="G463" s="46" t="inlineStr">
        <is>
          <t xml:space="preserve">النوبارية </t>
        </is>
      </c>
      <c r="H463" s="46" t="inlineStr">
        <is>
          <t>612420/4</t>
        </is>
      </c>
      <c r="I463" s="46" t="inlineStr">
        <is>
          <t>ع رب 1573</t>
        </is>
      </c>
      <c r="J463" s="46" t="inlineStr">
        <is>
          <t xml:space="preserve">محمد السيد </t>
        </is>
      </c>
      <c r="K463" s="46" t="inlineStr">
        <is>
          <t xml:space="preserve">حمو مرزوق </t>
        </is>
      </c>
      <c r="L463" s="47" t="n">
        <v>11000</v>
      </c>
      <c r="M463" s="47" t="n">
        <v>7100</v>
      </c>
      <c r="N463" s="47" t="n"/>
      <c r="O463" s="47" t="n">
        <v>200</v>
      </c>
      <c r="P463" s="47" t="n"/>
      <c r="Q463" s="47" t="n">
        <v>3700</v>
      </c>
      <c r="R463" s="43">
        <f>IF($B463="","",N($S463)-N($Q463))</f>
        <v/>
      </c>
      <c r="S463" s="43">
        <f>IF($B463="","",N($L463)+N($N463)+N($P463))</f>
        <v/>
      </c>
      <c r="T463" s="47" t="n"/>
      <c r="U463" s="47" t="n"/>
      <c r="V463" s="47" t="n"/>
      <c r="W463" s="47" t="n"/>
      <c r="X463" s="47" t="n"/>
      <c r="Y463" s="47" t="n"/>
      <c r="Z463" s="47" t="n"/>
      <c r="AA463" s="47" t="n"/>
      <c r="AB463" s="47" t="n"/>
      <c r="AC463" s="47" t="n"/>
      <c r="AD463" s="47" t="n"/>
      <c r="AE463" s="47" t="n"/>
      <c r="AF463" s="43">
        <f>IF($B463="","",SUM($T463:$AE463))</f>
        <v/>
      </c>
      <c r="AG463" s="43">
        <f>IF($B463="","",N($M463)-N($AF463))</f>
        <v/>
      </c>
      <c r="AH463" s="43">
        <f>IF($B463="","",N($L463)-N($AF463))</f>
        <v/>
      </c>
      <c r="AI463" s="149">
        <f>IF($B463="","",IF(N($L463)=0,"",(N($L463)-N($AF463))/N($L463)))</f>
        <v/>
      </c>
    </row>
    <row r="464">
      <c r="A464" s="39">
        <f>IF($B464="","",COUNTA($B$4:$B464))</f>
        <v/>
      </c>
      <c r="B464" s="40" t="n">
        <v>46072</v>
      </c>
      <c r="C464" s="41" t="n">
        <v>2172</v>
      </c>
      <c r="D464" s="41" t="inlineStr">
        <is>
          <t>عتريس مخيمر  خ</t>
        </is>
      </c>
      <c r="E464" s="41" t="inlineStr">
        <is>
          <t>1*40</t>
        </is>
      </c>
      <c r="F464" s="41" t="inlineStr">
        <is>
          <t xml:space="preserve">تى فارم </t>
        </is>
      </c>
      <c r="G464" s="41" t="inlineStr">
        <is>
          <t xml:space="preserve">النوبارية </t>
        </is>
      </c>
      <c r="H464" s="41" t="inlineStr">
        <is>
          <t>914778/3</t>
        </is>
      </c>
      <c r="I464" s="41" t="inlineStr">
        <is>
          <t>ب ص ا 2574</t>
        </is>
      </c>
      <c r="J464" s="41" t="inlineStr">
        <is>
          <t xml:space="preserve">محمد البحيرى </t>
        </is>
      </c>
      <c r="K464" s="41" t="inlineStr">
        <is>
          <t xml:space="preserve">احمد خليف </t>
        </is>
      </c>
      <c r="L464" s="42" t="n">
        <v>11000</v>
      </c>
      <c r="M464" s="42" t="n">
        <v>7100</v>
      </c>
      <c r="N464" s="42" t="n"/>
      <c r="O464" s="42" t="n">
        <v>200</v>
      </c>
      <c r="P464" s="42" t="n"/>
      <c r="Q464" s="42" t="n">
        <v>3700</v>
      </c>
      <c r="R464" s="43">
        <f>IF($B464="","",N($S464)-N($Q464))</f>
        <v/>
      </c>
      <c r="S464" s="43">
        <f>IF($B464="","",N($L464)+N($N464)+N($P464))</f>
        <v/>
      </c>
      <c r="T464" s="42" t="n"/>
      <c r="U464" s="42" t="n"/>
      <c r="V464" s="42" t="n"/>
      <c r="W464" s="42" t="n"/>
      <c r="X464" s="42" t="n"/>
      <c r="Y464" s="42" t="n"/>
      <c r="Z464" s="42" t="n"/>
      <c r="AA464" s="42" t="n"/>
      <c r="AB464" s="42" t="n"/>
      <c r="AC464" s="42" t="n"/>
      <c r="AD464" s="42" t="n"/>
      <c r="AE464" s="42" t="n"/>
      <c r="AF464" s="43">
        <f>IF($B464="","",SUM($T464:$AE464))</f>
        <v/>
      </c>
      <c r="AG464" s="43">
        <f>IF($B464="","",N($M464)-N($AF464))</f>
        <v/>
      </c>
      <c r="AH464" s="43">
        <f>IF($B464="","",N($L464)-N($AF464))</f>
        <v/>
      </c>
      <c r="AI464" s="149">
        <f>IF($B464="","",IF(N($L464)=0,"",(N($L464)-N($AF464))/N($L464)))</f>
        <v/>
      </c>
    </row>
    <row r="465">
      <c r="A465" s="39">
        <f>IF($B465="","",COUNTA($B$4:$B465))</f>
        <v/>
      </c>
      <c r="B465" s="45" t="n">
        <v>46072</v>
      </c>
      <c r="C465" s="46" t="n">
        <v>2170</v>
      </c>
      <c r="D465" s="46" t="inlineStr">
        <is>
          <t>عتريس مخيمر  خ</t>
        </is>
      </c>
      <c r="E465" s="46" t="inlineStr">
        <is>
          <t>1*40</t>
        </is>
      </c>
      <c r="F465" s="46" t="inlineStr">
        <is>
          <t xml:space="preserve">تى فارم </t>
        </is>
      </c>
      <c r="G465" s="46" t="inlineStr">
        <is>
          <t xml:space="preserve">النوبارية </t>
        </is>
      </c>
      <c r="H465" s="46" t="inlineStr">
        <is>
          <t>610105/0</t>
        </is>
      </c>
      <c r="I465" s="46" t="inlineStr">
        <is>
          <t>ط ف ر 1474</t>
        </is>
      </c>
      <c r="J465" s="46" t="inlineStr">
        <is>
          <t xml:space="preserve">جمال على </t>
        </is>
      </c>
      <c r="K465" s="46" t="inlineStr">
        <is>
          <t xml:space="preserve">كريم خليف </t>
        </is>
      </c>
      <c r="L465" s="47" t="n">
        <v>11000</v>
      </c>
      <c r="M465" s="47" t="n">
        <v>7100</v>
      </c>
      <c r="N465" s="47" t="n"/>
      <c r="O465" s="47" t="n">
        <v>200</v>
      </c>
      <c r="P465" s="47" t="n"/>
      <c r="Q465" s="47" t="n">
        <v>3700</v>
      </c>
      <c r="R465" s="43">
        <f>IF($B465="","",N($S465)-N($Q465))</f>
        <v/>
      </c>
      <c r="S465" s="43">
        <f>IF($B465="","",N($L465)+N($N465)+N($P465))</f>
        <v/>
      </c>
      <c r="T465" s="47" t="n"/>
      <c r="U465" s="47" t="n"/>
      <c r="V465" s="47" t="n"/>
      <c r="W465" s="47" t="n"/>
      <c r="X465" s="47" t="n"/>
      <c r="Y465" s="47" t="n"/>
      <c r="Z465" s="47" t="n"/>
      <c r="AA465" s="47" t="n"/>
      <c r="AB465" s="47" t="n"/>
      <c r="AC465" s="47" t="n"/>
      <c r="AD465" s="47" t="n"/>
      <c r="AE465" s="47" t="n"/>
      <c r="AF465" s="43">
        <f>IF($B465="","",SUM($T465:$AE465))</f>
        <v/>
      </c>
      <c r="AG465" s="43">
        <f>IF($B465="","",N($M465)-N($AF465))</f>
        <v/>
      </c>
      <c r="AH465" s="43">
        <f>IF($B465="","",N($L465)-N($AF465))</f>
        <v/>
      </c>
      <c r="AI465" s="149">
        <f>IF($B465="","",IF(N($L465)=0,"",(N($L465)-N($AF465))/N($L465)))</f>
        <v/>
      </c>
    </row>
    <row r="466">
      <c r="A466" s="39">
        <f>IF($B466="","",COUNTA($B$4:$B466))</f>
        <v/>
      </c>
      <c r="B466" s="40" t="n">
        <v>46072</v>
      </c>
      <c r="C466" s="41" t="n">
        <v>2171</v>
      </c>
      <c r="D466" s="41" t="inlineStr">
        <is>
          <t>احمد عبدو خ</t>
        </is>
      </c>
      <c r="E466" s="41" t="inlineStr">
        <is>
          <t>1*40</t>
        </is>
      </c>
      <c r="F466" s="41" t="inlineStr">
        <is>
          <t xml:space="preserve">تى فارم </t>
        </is>
      </c>
      <c r="G466" s="41" t="inlineStr">
        <is>
          <t xml:space="preserve">النوبارية </t>
        </is>
      </c>
      <c r="H466" s="41" t="inlineStr">
        <is>
          <t>914783/9</t>
        </is>
      </c>
      <c r="I466" s="41" t="inlineStr">
        <is>
          <t>س ل ب 5917</t>
        </is>
      </c>
      <c r="J466" s="41" t="inlineStr">
        <is>
          <t xml:space="preserve">احمد محمود </t>
        </is>
      </c>
      <c r="K466" s="41" t="inlineStr">
        <is>
          <t xml:space="preserve">علاء علام </t>
        </is>
      </c>
      <c r="L466" s="42" t="n">
        <v>11000</v>
      </c>
      <c r="M466" s="42" t="n">
        <v>7100</v>
      </c>
      <c r="N466" s="42" t="n"/>
      <c r="O466" s="42" t="n">
        <v>200</v>
      </c>
      <c r="P466" s="42" t="n"/>
      <c r="Q466" s="42" t="n">
        <v>3700</v>
      </c>
      <c r="R466" s="43">
        <f>IF($B466="","",N($S466)-N($Q466))</f>
        <v/>
      </c>
      <c r="S466" s="43">
        <f>IF($B466="","",N($L466)+N($N466)+N($P466))</f>
        <v/>
      </c>
      <c r="T466" s="42" t="n"/>
      <c r="U466" s="42" t="n"/>
      <c r="V466" s="42" t="n"/>
      <c r="W466" s="42" t="n"/>
      <c r="X466" s="42" t="n"/>
      <c r="Y466" s="42" t="n"/>
      <c r="Z466" s="42" t="n"/>
      <c r="AA466" s="42" t="n"/>
      <c r="AB466" s="42" t="n"/>
      <c r="AC466" s="42" t="n"/>
      <c r="AD466" s="42" t="n"/>
      <c r="AE466" s="42" t="n"/>
      <c r="AF466" s="43">
        <f>IF($B466="","",SUM($T466:$AE466))</f>
        <v/>
      </c>
      <c r="AG466" s="43">
        <f>IF($B466="","",N($M466)-N($AF466))</f>
        <v/>
      </c>
      <c r="AH466" s="43">
        <f>IF($B466="","",N($L466)-N($AF466))</f>
        <v/>
      </c>
      <c r="AI466" s="149">
        <f>IF($B466="","",IF(N($L466)=0,"",(N($L466)-N($AF466))/N($L466)))</f>
        <v/>
      </c>
    </row>
    <row r="467">
      <c r="A467" s="39">
        <f>IF($B467="","",COUNTA($B$4:$B467))</f>
        <v/>
      </c>
      <c r="B467" s="45" t="n">
        <v>46072</v>
      </c>
      <c r="C467" s="46" t="n">
        <v>1832</v>
      </c>
      <c r="D467" s="46" t="inlineStr">
        <is>
          <t>كمال رزق خ</t>
        </is>
      </c>
      <c r="E467" s="46" t="inlineStr">
        <is>
          <t>1*40</t>
        </is>
      </c>
      <c r="F467" s="46" t="inlineStr">
        <is>
          <t xml:space="preserve">اوركيد </t>
        </is>
      </c>
      <c r="G467" s="46" t="inlineStr">
        <is>
          <t xml:space="preserve">اكتوبر </t>
        </is>
      </c>
      <c r="H467" s="46" t="inlineStr">
        <is>
          <t>691233/1</t>
        </is>
      </c>
      <c r="I467" s="46" t="inlineStr">
        <is>
          <t>س ن ر 8979</t>
        </is>
      </c>
      <c r="J467" s="46" t="inlineStr">
        <is>
          <t xml:space="preserve">عماد سعيد </t>
        </is>
      </c>
      <c r="K467" s="46" t="inlineStr">
        <is>
          <t xml:space="preserve">عماد سعيد </t>
        </is>
      </c>
      <c r="L467" s="47" t="n">
        <v>12700</v>
      </c>
      <c r="M467" s="47" t="n">
        <v>8100</v>
      </c>
      <c r="N467" s="47" t="n"/>
      <c r="O467" s="47" t="n">
        <v>200</v>
      </c>
      <c r="P467" s="47" t="n"/>
      <c r="Q467" s="47" t="n">
        <v>4400</v>
      </c>
      <c r="R467" s="43">
        <f>IF($B467="","",N($S467)-N($Q467))</f>
        <v/>
      </c>
      <c r="S467" s="43">
        <f>IF($B467="","",N($L467)+N($N467)+N($P467))</f>
        <v/>
      </c>
      <c r="T467" s="47" t="n"/>
      <c r="U467" s="47" t="n"/>
      <c r="V467" s="47" t="n"/>
      <c r="W467" s="47" t="n"/>
      <c r="X467" s="47" t="n"/>
      <c r="Y467" s="47" t="n"/>
      <c r="Z467" s="47" t="n"/>
      <c r="AA467" s="47" t="n"/>
      <c r="AB467" s="47" t="n"/>
      <c r="AC467" s="47" t="n"/>
      <c r="AD467" s="47" t="n"/>
      <c r="AE467" s="47" t="n"/>
      <c r="AF467" s="43">
        <f>IF($B467="","",SUM($T467:$AE467))</f>
        <v/>
      </c>
      <c r="AG467" s="43">
        <f>IF($B467="","",N($M467)-N($AF467))</f>
        <v/>
      </c>
      <c r="AH467" s="43">
        <f>IF($B467="","",N($L467)-N($AF467))</f>
        <v/>
      </c>
      <c r="AI467" s="149">
        <f>IF($B467="","",IF(N($L467)=0,"",(N($L467)-N($AF467))/N($L467)))</f>
        <v/>
      </c>
    </row>
    <row r="468">
      <c r="A468" s="39">
        <f>IF($B468="","",COUNTA($B$4:$B468))</f>
        <v/>
      </c>
      <c r="B468" s="40" t="n">
        <v>46074</v>
      </c>
      <c r="C468" s="41" t="n">
        <v>2186</v>
      </c>
      <c r="D468" s="41" t="inlineStr">
        <is>
          <t>المكتب</t>
        </is>
      </c>
      <c r="E468" s="41" t="inlineStr">
        <is>
          <t>1*40</t>
        </is>
      </c>
      <c r="F468" s="41" t="inlineStr">
        <is>
          <t xml:space="preserve">انترواكو </t>
        </is>
      </c>
      <c r="G468" s="41" t="inlineStr">
        <is>
          <t xml:space="preserve">القناطر </t>
        </is>
      </c>
      <c r="H468" s="41" t="inlineStr">
        <is>
          <t>901823/1</t>
        </is>
      </c>
      <c r="I468" s="41" t="inlineStr">
        <is>
          <t>س ع م 8737</t>
        </is>
      </c>
      <c r="J468" s="41" t="inlineStr">
        <is>
          <t xml:space="preserve">محمود بكر </t>
        </is>
      </c>
      <c r="K468" s="41" t="inlineStr">
        <is>
          <t>المكتب</t>
        </is>
      </c>
      <c r="L468" s="42" t="n">
        <v>14000</v>
      </c>
      <c r="M468" s="42" t="n">
        <v>7000</v>
      </c>
      <c r="N468" s="42" t="n"/>
      <c r="O468" s="42" t="n"/>
      <c r="P468" s="42" t="n"/>
      <c r="Q468" s="42" t="n">
        <v>7000</v>
      </c>
      <c r="R468" s="43">
        <f>IF($B468="","",N($S468)-N($Q468))</f>
        <v/>
      </c>
      <c r="S468" s="43">
        <f>IF($B468="","",N($L468)+N($N468)+N($P468))</f>
        <v/>
      </c>
      <c r="T468" s="42" t="n">
        <v>1700</v>
      </c>
      <c r="U468" s="42" t="n">
        <v>700</v>
      </c>
      <c r="V468" s="42" t="n"/>
      <c r="W468" s="42" t="n">
        <v>150</v>
      </c>
      <c r="X468" s="42" t="n">
        <v>60</v>
      </c>
      <c r="Y468" s="42" t="n">
        <v>90</v>
      </c>
      <c r="Z468" s="42" t="n"/>
      <c r="AA468" s="42" t="n"/>
      <c r="AB468" s="42" t="n">
        <v>250</v>
      </c>
      <c r="AC468" s="42" t="n"/>
      <c r="AD468" s="42" t="n"/>
      <c r="AE468" s="42" t="n">
        <v>3910</v>
      </c>
      <c r="AF468" s="43">
        <f>IF($B468="","",SUM($T468:$AE468))</f>
        <v/>
      </c>
      <c r="AG468" s="43">
        <f>IF($B468="","",N($M468)-N($AF468))</f>
        <v/>
      </c>
      <c r="AH468" s="43">
        <f>IF($B468="","",N($L468)-N($AF468))</f>
        <v/>
      </c>
      <c r="AI468" s="149">
        <f>IF($B468="","",IF(N($L468)=0,"",(N($L468)-N($AF468))/N($L468)))</f>
        <v/>
      </c>
    </row>
    <row r="469">
      <c r="A469" s="39">
        <f>IF($B469="","",COUNTA($B$4:$B469))</f>
        <v/>
      </c>
      <c r="B469" s="45" t="n">
        <v>46074</v>
      </c>
      <c r="C469" s="46" t="n">
        <v>2187</v>
      </c>
      <c r="D469" s="46" t="inlineStr">
        <is>
          <t>كمال رزق خ</t>
        </is>
      </c>
      <c r="E469" s="46" t="inlineStr">
        <is>
          <t>1*40</t>
        </is>
      </c>
      <c r="F469" s="46" t="inlineStr">
        <is>
          <t xml:space="preserve">انترواكو </t>
        </is>
      </c>
      <c r="G469" s="46" t="inlineStr">
        <is>
          <t xml:space="preserve">القناطر </t>
        </is>
      </c>
      <c r="H469" s="46" t="inlineStr">
        <is>
          <t>901951/5</t>
        </is>
      </c>
      <c r="I469" s="46" t="inlineStr">
        <is>
          <t>س ن ر 8979</t>
        </is>
      </c>
      <c r="J469" s="46" t="inlineStr">
        <is>
          <t xml:space="preserve">عماد سعيد </t>
        </is>
      </c>
      <c r="K469" s="46" t="inlineStr">
        <is>
          <t xml:space="preserve">السائق </t>
        </is>
      </c>
      <c r="L469" s="47" t="n">
        <v>15000</v>
      </c>
      <c r="M469" s="47" t="n">
        <v>8100</v>
      </c>
      <c r="N469" s="47" t="n"/>
      <c r="O469" s="47" t="n">
        <v>200</v>
      </c>
      <c r="P469" s="47" t="n"/>
      <c r="Q469" s="47" t="n">
        <v>6700</v>
      </c>
      <c r="R469" s="43">
        <f>IF($B469="","",N($S469)-N($Q469))</f>
        <v/>
      </c>
      <c r="S469" s="43">
        <f>IF($B469="","",N($L469)+N($N469)+N($P469))</f>
        <v/>
      </c>
      <c r="T469" s="47" t="n"/>
      <c r="U469" s="47" t="n"/>
      <c r="V469" s="47" t="n"/>
      <c r="W469" s="47" t="n"/>
      <c r="X469" s="47" t="n"/>
      <c r="Y469" s="47" t="n"/>
      <c r="Z469" s="47" t="n"/>
      <c r="AA469" s="47" t="n"/>
      <c r="AB469" s="47" t="n"/>
      <c r="AC469" s="47" t="n"/>
      <c r="AD469" s="47" t="n"/>
      <c r="AE469" s="47" t="n"/>
      <c r="AF469" s="43">
        <f>IF($B469="","",SUM($T469:$AE469))</f>
        <v/>
      </c>
      <c r="AG469" s="43">
        <f>IF($B469="","",N($M469)-N($AF469))</f>
        <v/>
      </c>
      <c r="AH469" s="43">
        <f>IF($B469="","",N($L469)-N($AF469))</f>
        <v/>
      </c>
      <c r="AI469" s="149">
        <f>IF($B469="","",IF(N($L469)=0,"",(N($L469)-N($AF469))/N($L469)))</f>
        <v/>
      </c>
    </row>
    <row r="470">
      <c r="A470" s="39">
        <f>IF($B470="","",COUNTA($B$4:$B470))</f>
        <v/>
      </c>
      <c r="B470" s="40" t="n">
        <v>46074</v>
      </c>
      <c r="C470" s="41" t="n">
        <v>2188</v>
      </c>
      <c r="D470" s="41" t="inlineStr">
        <is>
          <t xml:space="preserve">حمو مرزوق </t>
        </is>
      </c>
      <c r="E470" s="41" t="inlineStr">
        <is>
          <t>1*40</t>
        </is>
      </c>
      <c r="F470" s="41" t="inlineStr">
        <is>
          <t xml:space="preserve">نورملة </t>
        </is>
      </c>
      <c r="G470" s="41" t="inlineStr">
        <is>
          <t>برج العرب</t>
        </is>
      </c>
      <c r="H470" s="41" t="inlineStr">
        <is>
          <t>124896/0</t>
        </is>
      </c>
      <c r="I470" s="41" t="inlineStr">
        <is>
          <t>س ر ا 6671</t>
        </is>
      </c>
      <c r="J470" s="41" t="inlineStr">
        <is>
          <t xml:space="preserve">السيد البدوى </t>
        </is>
      </c>
      <c r="K470" s="41" t="inlineStr">
        <is>
          <t xml:space="preserve">حمو مرزوق </t>
        </is>
      </c>
      <c r="L470" s="42" t="n">
        <v>9000</v>
      </c>
      <c r="M470" s="42" t="n">
        <v>8100</v>
      </c>
      <c r="N470" s="42" t="n"/>
      <c r="O470" s="42" t="n"/>
      <c r="P470" s="42" t="n"/>
      <c r="Q470" s="42" t="n">
        <v>900</v>
      </c>
      <c r="R470" s="43">
        <f>IF($B470="","",N($S470)-N($Q470))</f>
        <v/>
      </c>
      <c r="S470" s="43">
        <f>IF($B470="","",N($L470)+N($N470)+N($P470))</f>
        <v/>
      </c>
      <c r="T470" s="42" t="n"/>
      <c r="U470" s="42" t="n"/>
      <c r="V470" s="42" t="n"/>
      <c r="W470" s="42" t="n"/>
      <c r="X470" s="42" t="n"/>
      <c r="Y470" s="42" t="n"/>
      <c r="Z470" s="42" t="n"/>
      <c r="AA470" s="42" t="n"/>
      <c r="AB470" s="42" t="n"/>
      <c r="AC470" s="42" t="n"/>
      <c r="AD470" s="42" t="n"/>
      <c r="AE470" s="42" t="n"/>
      <c r="AF470" s="43">
        <f>IF($B470="","",SUM($T470:$AE470))</f>
        <v/>
      </c>
      <c r="AG470" s="43">
        <f>IF($B470="","",N($M470)-N($AF470))</f>
        <v/>
      </c>
      <c r="AH470" s="43">
        <f>IF($B470="","",N($L470)-N($AF470))</f>
        <v/>
      </c>
      <c r="AI470" s="149">
        <f>IF($B470="","",IF(N($L470)=0,"",(N($L470)-N($AF470))/N($L470)))</f>
        <v/>
      </c>
    </row>
    <row r="471">
      <c r="A471" s="39">
        <f>IF($B471="","",COUNTA($B$4:$B471))</f>
        <v/>
      </c>
      <c r="B471" s="45" t="n">
        <v>46074</v>
      </c>
      <c r="C471" s="46" t="n">
        <v>2189</v>
      </c>
      <c r="D471" s="46" t="inlineStr">
        <is>
          <t xml:space="preserve">علاء علام </t>
        </is>
      </c>
      <c r="E471" s="46" t="inlineStr">
        <is>
          <t>1*40 ث</t>
        </is>
      </c>
      <c r="F471" s="46" t="inlineStr">
        <is>
          <t xml:space="preserve">نورملة </t>
        </is>
      </c>
      <c r="G471" s="46" t="inlineStr">
        <is>
          <t>برج العرب</t>
        </is>
      </c>
      <c r="H471" s="46" t="inlineStr">
        <is>
          <t>901935/1</t>
        </is>
      </c>
      <c r="I471" s="46" t="inlineStr">
        <is>
          <t>س ل ب 5917</t>
        </is>
      </c>
      <c r="J471" s="46" t="inlineStr">
        <is>
          <t xml:space="preserve">احمد محمود </t>
        </is>
      </c>
      <c r="K471" s="46" t="inlineStr">
        <is>
          <t xml:space="preserve">علاء علام </t>
        </is>
      </c>
      <c r="L471" s="47" t="n">
        <v>9000</v>
      </c>
      <c r="M471" s="47" t="n">
        <v>8100</v>
      </c>
      <c r="N471" s="47" t="n"/>
      <c r="O471" s="47" t="n">
        <v>200</v>
      </c>
      <c r="P471" s="47" t="n">
        <v>5000</v>
      </c>
      <c r="Q471" s="47" t="n">
        <v>5700</v>
      </c>
      <c r="R471" s="43">
        <f>IF($B471="","",N($S471)-N($Q471))</f>
        <v/>
      </c>
      <c r="S471" s="43">
        <f>IF($B471="","",N($L471)+N($N471)+N($P471))</f>
        <v/>
      </c>
      <c r="T471" s="47" t="n"/>
      <c r="U471" s="47" t="n"/>
      <c r="V471" s="47" t="n"/>
      <c r="W471" s="47" t="n"/>
      <c r="X471" s="47" t="n"/>
      <c r="Y471" s="47" t="n"/>
      <c r="Z471" s="47" t="n"/>
      <c r="AA471" s="47" t="n"/>
      <c r="AB471" s="47" t="n"/>
      <c r="AC471" s="47" t="n"/>
      <c r="AD471" s="47" t="n"/>
      <c r="AE471" s="47" t="n"/>
      <c r="AF471" s="43">
        <f>IF($B471="","",SUM($T471:$AE471))</f>
        <v/>
      </c>
      <c r="AG471" s="43">
        <f>IF($B471="","",N($M471)-N($AF471))</f>
        <v/>
      </c>
      <c r="AH471" s="43">
        <f>IF($B471="","",N($L471)-N($AF471))</f>
        <v/>
      </c>
      <c r="AI471" s="149">
        <f>IF($B471="","",IF(N($L471)=0,"",(N($L471)-N($AF471))/N($L471)))</f>
        <v/>
      </c>
    </row>
    <row r="472">
      <c r="A472" s="39">
        <f>IF($B472="","",COUNTA($B$4:$B472))</f>
        <v/>
      </c>
      <c r="B472" s="40" t="n">
        <v>46074</v>
      </c>
      <c r="C472" s="41" t="n">
        <v>2185</v>
      </c>
      <c r="D472" s="41" t="inlineStr">
        <is>
          <t>عتريس مخيمر  خ</t>
        </is>
      </c>
      <c r="E472" s="41" t="inlineStr">
        <is>
          <t>1*40</t>
        </is>
      </c>
      <c r="F472" s="41" t="inlineStr">
        <is>
          <t xml:space="preserve">ريجينا </t>
        </is>
      </c>
      <c r="G472" s="41" t="inlineStr">
        <is>
          <t xml:space="preserve">السادات </t>
        </is>
      </c>
      <c r="H472" s="41" t="inlineStr">
        <is>
          <t>927440/5</t>
        </is>
      </c>
      <c r="I472" s="41" t="inlineStr">
        <is>
          <t>ط ف ر 1474</t>
        </is>
      </c>
      <c r="J472" s="41" t="inlineStr">
        <is>
          <t xml:space="preserve">جمال على </t>
        </is>
      </c>
      <c r="K472" s="41" t="inlineStr">
        <is>
          <t xml:space="preserve">كريم خليف </t>
        </is>
      </c>
      <c r="L472" s="42" t="n">
        <v>11700</v>
      </c>
      <c r="M472" s="42" t="n">
        <v>7100</v>
      </c>
      <c r="N472" s="42" t="n"/>
      <c r="O472" s="42" t="n">
        <v>200</v>
      </c>
      <c r="P472" s="42" t="n"/>
      <c r="Q472" s="42" t="n">
        <v>4400</v>
      </c>
      <c r="R472" s="43">
        <f>IF($B472="","",N($S472)-N($Q472))</f>
        <v/>
      </c>
      <c r="S472" s="43">
        <f>IF($B472="","",N($L472)+N($N472)+N($P472))</f>
        <v/>
      </c>
      <c r="T472" s="42" t="n"/>
      <c r="U472" s="42" t="n"/>
      <c r="V472" s="42" t="n"/>
      <c r="W472" s="42" t="n"/>
      <c r="X472" s="42" t="n"/>
      <c r="Y472" s="42" t="n"/>
      <c r="Z472" s="42" t="n"/>
      <c r="AA472" s="42" t="n"/>
      <c r="AB472" s="42" t="n"/>
      <c r="AC472" s="42" t="n"/>
      <c r="AD472" s="42" t="n"/>
      <c r="AE472" s="42" t="n"/>
      <c r="AF472" s="43">
        <f>IF($B472="","",SUM($T472:$AE472))</f>
        <v/>
      </c>
      <c r="AG472" s="43">
        <f>IF($B472="","",N($M472)-N($AF472))</f>
        <v/>
      </c>
      <c r="AH472" s="43">
        <f>IF($B472="","",N($L472)-N($AF472))</f>
        <v/>
      </c>
      <c r="AI472" s="149">
        <f>IF($B472="","",IF(N($L472)=0,"",(N($L472)-N($AF472))/N($L472)))</f>
        <v/>
      </c>
    </row>
    <row r="473">
      <c r="A473" s="39">
        <f>IF($B473="","",COUNTA($B$4:$B473))</f>
        <v/>
      </c>
      <c r="B473" s="45" t="n">
        <v>46074</v>
      </c>
      <c r="C473" s="46" t="n">
        <v>2184</v>
      </c>
      <c r="D473" s="46" t="inlineStr">
        <is>
          <t>احمد عبدو خ</t>
        </is>
      </c>
      <c r="E473" s="46" t="inlineStr">
        <is>
          <t>1*40</t>
        </is>
      </c>
      <c r="F473" s="46" t="inlineStr">
        <is>
          <t xml:space="preserve">ريجينا </t>
        </is>
      </c>
      <c r="G473" s="46" t="inlineStr">
        <is>
          <t xml:space="preserve">السادات </t>
        </is>
      </c>
      <c r="H473" s="46" t="inlineStr">
        <is>
          <t>602076/8</t>
        </is>
      </c>
      <c r="I473" s="46" t="inlineStr">
        <is>
          <t>ع رب 1573</t>
        </is>
      </c>
      <c r="J473" s="46" t="inlineStr">
        <is>
          <t xml:space="preserve">محمد السيد </t>
        </is>
      </c>
      <c r="K473" s="46" t="inlineStr">
        <is>
          <t xml:space="preserve">حمو مرزوق </t>
        </is>
      </c>
      <c r="L473" s="47" t="n">
        <v>11700</v>
      </c>
      <c r="M473" s="47" t="n">
        <v>7100</v>
      </c>
      <c r="N473" s="47" t="n"/>
      <c r="O473" s="47" t="n">
        <v>200</v>
      </c>
      <c r="P473" s="47" t="n"/>
      <c r="Q473" s="47" t="n">
        <v>4400</v>
      </c>
      <c r="R473" s="43">
        <f>IF($B473="","",N($S473)-N($Q473))</f>
        <v/>
      </c>
      <c r="S473" s="43">
        <f>IF($B473="","",N($L473)+N($N473)+N($P473))</f>
        <v/>
      </c>
      <c r="T473" s="47" t="n"/>
      <c r="U473" s="47" t="n"/>
      <c r="V473" s="47" t="n"/>
      <c r="W473" s="47" t="n"/>
      <c r="X473" s="47" t="n"/>
      <c r="Y473" s="47" t="n"/>
      <c r="Z473" s="47" t="n"/>
      <c r="AA473" s="47" t="n"/>
      <c r="AB473" s="47" t="n"/>
      <c r="AC473" s="47" t="n"/>
      <c r="AD473" s="47" t="n"/>
      <c r="AE473" s="47" t="n"/>
      <c r="AF473" s="43">
        <f>IF($B473="","",SUM($T473:$AE473))</f>
        <v/>
      </c>
      <c r="AG473" s="43">
        <f>IF($B473="","",N($M473)-N($AF473))</f>
        <v/>
      </c>
      <c r="AH473" s="43">
        <f>IF($B473="","",N($L473)-N($AF473))</f>
        <v/>
      </c>
      <c r="AI473" s="149">
        <f>IF($B473="","",IF(N($L473)=0,"",(N($L473)-N($AF473))/N($L473)))</f>
        <v/>
      </c>
    </row>
    <row r="474">
      <c r="A474" s="39">
        <f>IF($B474="","",COUNTA($B$4:$B474))</f>
        <v/>
      </c>
      <c r="B474" s="40" t="n">
        <v>46075</v>
      </c>
      <c r="C474" s="41" t="n">
        <v>2067</v>
      </c>
      <c r="D474" s="41" t="inlineStr">
        <is>
          <t>المكتب</t>
        </is>
      </c>
      <c r="E474" s="41" t="inlineStr">
        <is>
          <t>1*40 ث</t>
        </is>
      </c>
      <c r="F474" s="41" t="inlineStr">
        <is>
          <t xml:space="preserve">ميما فودز </t>
        </is>
      </c>
      <c r="G474" s="41" t="inlineStr">
        <is>
          <t xml:space="preserve">السادات </t>
        </is>
      </c>
      <c r="H474" s="41" t="inlineStr">
        <is>
          <t>102317/0</t>
        </is>
      </c>
      <c r="I474" s="41" t="inlineStr">
        <is>
          <t>س ع م 8737</t>
        </is>
      </c>
      <c r="J474" s="41" t="inlineStr">
        <is>
          <t xml:space="preserve">محمود بكر </t>
        </is>
      </c>
      <c r="K474" s="41" t="inlineStr">
        <is>
          <t>المكتب</t>
        </is>
      </c>
      <c r="L474" s="42" t="n">
        <v>13000</v>
      </c>
      <c r="M474" s="42" t="n">
        <v>7000</v>
      </c>
      <c r="N474" s="42" t="n"/>
      <c r="O474" s="42" t="n"/>
      <c r="P474" s="42" t="n"/>
      <c r="Q474" s="42" t="n">
        <v>6000</v>
      </c>
      <c r="R474" s="43">
        <f>IF($B474="","",N($S474)-N($Q474))</f>
        <v/>
      </c>
      <c r="S474" s="43">
        <f>IF($B474="","",N($L474)+N($N474)+N($P474))</f>
        <v/>
      </c>
      <c r="T474" s="42" t="n">
        <v>1600</v>
      </c>
      <c r="U474" s="42" t="n">
        <v>600</v>
      </c>
      <c r="V474" s="42" t="n"/>
      <c r="W474" s="42" t="n">
        <v>150</v>
      </c>
      <c r="X474" s="42" t="n">
        <v>60</v>
      </c>
      <c r="Y474" s="42" t="n">
        <v>120</v>
      </c>
      <c r="Z474" s="42" t="n"/>
      <c r="AA474" s="42" t="n"/>
      <c r="AB474" s="42" t="n"/>
      <c r="AC474" s="42" t="n">
        <v>1050</v>
      </c>
      <c r="AD474" s="42" t="n"/>
      <c r="AE474" s="42" t="n">
        <v>2910</v>
      </c>
      <c r="AF474" s="43">
        <f>IF($B474="","",SUM($T474:$AE474))</f>
        <v/>
      </c>
      <c r="AG474" s="43">
        <f>IF($B474="","",N($M474)-N($AF474))</f>
        <v/>
      </c>
      <c r="AH474" s="43">
        <f>IF($B474="","",N($L474)-N($AF474))</f>
        <v/>
      </c>
      <c r="AI474" s="149">
        <f>IF($B474="","",IF(N($L474)=0,"",(N($L474)-N($AF474))/N($L474)))</f>
        <v/>
      </c>
    </row>
    <row r="475">
      <c r="A475" s="39">
        <f>IF($B475="","",COUNTA($B$4:$B475))</f>
        <v/>
      </c>
      <c r="B475" s="45" t="n">
        <v>46075</v>
      </c>
      <c r="C475" s="46" t="n">
        <v>2068</v>
      </c>
      <c r="D475" s="46" t="inlineStr">
        <is>
          <t>كمال رزق خ</t>
        </is>
      </c>
      <c r="E475" s="46" t="inlineStr">
        <is>
          <t>1*40 ث</t>
        </is>
      </c>
      <c r="F475" s="46" t="inlineStr">
        <is>
          <t xml:space="preserve">ميما فودز </t>
        </is>
      </c>
      <c r="G475" s="46" t="inlineStr">
        <is>
          <t xml:space="preserve">السادات </t>
        </is>
      </c>
      <c r="H475" s="46" t="inlineStr">
        <is>
          <t>913625/7</t>
        </is>
      </c>
      <c r="I475" s="46" t="inlineStr">
        <is>
          <t>س ن ر 8979</t>
        </is>
      </c>
      <c r="J475" s="46" t="inlineStr">
        <is>
          <t xml:space="preserve">عماد سعيد </t>
        </is>
      </c>
      <c r="K475" s="46" t="inlineStr">
        <is>
          <t xml:space="preserve">عماد سعيد </t>
        </is>
      </c>
      <c r="L475" s="47" t="n">
        <v>13500</v>
      </c>
      <c r="M475" s="47" t="n">
        <v>8100</v>
      </c>
      <c r="N475" s="47" t="n"/>
      <c r="O475" s="47" t="n">
        <v>200</v>
      </c>
      <c r="P475" s="47" t="n"/>
      <c r="Q475" s="47" t="n">
        <v>5200</v>
      </c>
      <c r="R475" s="43">
        <f>IF($B475="","",N($S475)-N($Q475))</f>
        <v/>
      </c>
      <c r="S475" s="43">
        <f>IF($B475="","",N($L475)+N($N475)+N($P475))</f>
        <v/>
      </c>
      <c r="T475" s="47" t="n"/>
      <c r="U475" s="47" t="n"/>
      <c r="V475" s="47" t="n"/>
      <c r="W475" s="47" t="n"/>
      <c r="X475" s="47" t="n"/>
      <c r="Y475" s="47" t="n"/>
      <c r="Z475" s="47" t="n"/>
      <c r="AA475" s="47" t="n"/>
      <c r="AB475" s="47" t="n"/>
      <c r="AC475" s="47" t="n"/>
      <c r="AD475" s="47" t="n"/>
      <c r="AE475" s="47" t="n"/>
      <c r="AF475" s="43">
        <f>IF($B475="","",SUM($T475:$AE475))</f>
        <v/>
      </c>
      <c r="AG475" s="43">
        <f>IF($B475="","",N($M475)-N($AF475))</f>
        <v/>
      </c>
      <c r="AH475" s="43">
        <f>IF($B475="","",N($L475)-N($AF475))</f>
        <v/>
      </c>
      <c r="AI475" s="149">
        <f>IF($B475="","",IF(N($L475)=0,"",(N($L475)-N($AF475))/N($L475)))</f>
        <v/>
      </c>
    </row>
    <row r="476">
      <c r="A476" s="39">
        <f>IF($B476="","",COUNTA($B$4:$B476))</f>
        <v/>
      </c>
      <c r="B476" s="40" t="n">
        <v>46075</v>
      </c>
      <c r="C476" s="41" t="n">
        <v>2069</v>
      </c>
      <c r="D476" s="41" t="inlineStr">
        <is>
          <t>احمد عبدو خ</t>
        </is>
      </c>
      <c r="E476" s="41" t="inlineStr">
        <is>
          <t>1*40 ث</t>
        </is>
      </c>
      <c r="F476" s="41" t="inlineStr">
        <is>
          <t xml:space="preserve">ميما فودز </t>
        </is>
      </c>
      <c r="G476" s="41" t="inlineStr">
        <is>
          <t xml:space="preserve">السادات </t>
        </is>
      </c>
      <c r="H476" s="41" t="inlineStr">
        <is>
          <t>967244/1</t>
        </is>
      </c>
      <c r="I476" s="41" t="inlineStr">
        <is>
          <t>س ا ه 8198</t>
        </is>
      </c>
      <c r="J476" s="41" t="inlineStr">
        <is>
          <t>محمودابراهيم</t>
        </is>
      </c>
      <c r="K476" s="41" t="inlineStr">
        <is>
          <t xml:space="preserve">علاء علام </t>
        </is>
      </c>
      <c r="L476" s="42" t="n">
        <v>13500</v>
      </c>
      <c r="M476" s="42" t="n">
        <v>8100</v>
      </c>
      <c r="N476" s="42" t="n"/>
      <c r="O476" s="42" t="n">
        <v>200</v>
      </c>
      <c r="P476" s="42" t="n"/>
      <c r="Q476" s="42" t="n">
        <v>5200</v>
      </c>
      <c r="R476" s="43">
        <f>IF($B476="","",N($S476)-N($Q476))</f>
        <v/>
      </c>
      <c r="S476" s="43">
        <f>IF($B476="","",N($L476)+N($N476)+N($P476))</f>
        <v/>
      </c>
      <c r="T476" s="42" t="n"/>
      <c r="U476" s="42" t="n"/>
      <c r="V476" s="42" t="n"/>
      <c r="W476" s="42" t="n"/>
      <c r="X476" s="42" t="n"/>
      <c r="Y476" s="42" t="n"/>
      <c r="Z476" s="42" t="n"/>
      <c r="AA476" s="42" t="n"/>
      <c r="AB476" s="42" t="n"/>
      <c r="AC476" s="42" t="n"/>
      <c r="AD476" s="42" t="n"/>
      <c r="AE476" s="42" t="n"/>
      <c r="AF476" s="43">
        <f>IF($B476="","",SUM($T476:$AE476))</f>
        <v/>
      </c>
      <c r="AG476" s="43">
        <f>IF($B476="","",N($M476)-N($AF476))</f>
        <v/>
      </c>
      <c r="AH476" s="43">
        <f>IF($B476="","",N($L476)-N($AF476))</f>
        <v/>
      </c>
      <c r="AI476" s="149">
        <f>IF($B476="","",IF(N($L476)=0,"",(N($L476)-N($AF476))/N($L476)))</f>
        <v/>
      </c>
    </row>
    <row r="477">
      <c r="A477" s="39">
        <f>IF($B477="","",COUNTA($B$4:$B477))</f>
        <v/>
      </c>
      <c r="B477" s="45" t="n">
        <v>46075</v>
      </c>
      <c r="C477" s="46" t="n">
        <v>2070</v>
      </c>
      <c r="D477" s="46" t="inlineStr">
        <is>
          <t>عتريس مخيمر  خ</t>
        </is>
      </c>
      <c r="E477" s="46" t="inlineStr">
        <is>
          <t>1*40 ث</t>
        </is>
      </c>
      <c r="F477" s="46" t="inlineStr">
        <is>
          <t xml:space="preserve">ميما فودز </t>
        </is>
      </c>
      <c r="G477" s="46" t="inlineStr">
        <is>
          <t xml:space="preserve">السادات </t>
        </is>
      </c>
      <c r="H477" s="46" t="inlineStr">
        <is>
          <t>970227/4</t>
        </is>
      </c>
      <c r="I477" s="46" t="inlineStr">
        <is>
          <t>ب ص ا 2574</t>
        </is>
      </c>
      <c r="J477" s="46" t="inlineStr">
        <is>
          <t xml:space="preserve">احمد خليف </t>
        </is>
      </c>
      <c r="K477" s="46" t="inlineStr">
        <is>
          <t xml:space="preserve">احمد خليف </t>
        </is>
      </c>
      <c r="L477" s="47" t="n">
        <v>13500</v>
      </c>
      <c r="M477" s="47" t="n">
        <v>8100</v>
      </c>
      <c r="N477" s="47" t="n"/>
      <c r="O477" s="47" t="n">
        <v>200</v>
      </c>
      <c r="P477" s="47" t="n"/>
      <c r="Q477" s="47" t="n">
        <v>5200</v>
      </c>
      <c r="R477" s="43">
        <f>IF($B477="","",N($S477)-N($Q477))</f>
        <v/>
      </c>
      <c r="S477" s="43">
        <f>IF($B477="","",N($L477)+N($N477)+N($P477))</f>
        <v/>
      </c>
      <c r="T477" s="47" t="n"/>
      <c r="U477" s="47" t="n"/>
      <c r="V477" s="47" t="n"/>
      <c r="W477" s="47" t="n"/>
      <c r="X477" s="47" t="n"/>
      <c r="Y477" s="47" t="n"/>
      <c r="Z477" s="47" t="n"/>
      <c r="AA477" s="47" t="n"/>
      <c r="AB477" s="47" t="n"/>
      <c r="AC477" s="47" t="n"/>
      <c r="AD477" s="47" t="n"/>
      <c r="AE477" s="47" t="n"/>
      <c r="AF477" s="43">
        <f>IF($B477="","",SUM($T477:$AE477))</f>
        <v/>
      </c>
      <c r="AG477" s="43">
        <f>IF($B477="","",N($M477)-N($AF477))</f>
        <v/>
      </c>
      <c r="AH477" s="43">
        <f>IF($B477="","",N($L477)-N($AF477))</f>
        <v/>
      </c>
      <c r="AI477" s="149">
        <f>IF($B477="","",IF(N($L477)=0,"",(N($L477)-N($AF477))/N($L477)))</f>
        <v/>
      </c>
    </row>
    <row r="478">
      <c r="A478" s="39">
        <f>IF($B478="","",COUNTA($B$4:$B478))</f>
        <v/>
      </c>
      <c r="B478" s="40" t="n">
        <v>46075</v>
      </c>
      <c r="C478" s="41" t="n">
        <v>2071</v>
      </c>
      <c r="D478" s="41" t="inlineStr">
        <is>
          <t>احمد عبدو خ</t>
        </is>
      </c>
      <c r="E478" s="41" t="inlineStr">
        <is>
          <t>1*40 ث</t>
        </is>
      </c>
      <c r="F478" s="41" t="inlineStr">
        <is>
          <t xml:space="preserve">ميما فودز </t>
        </is>
      </c>
      <c r="G478" s="41" t="inlineStr">
        <is>
          <t xml:space="preserve">السادات </t>
        </is>
      </c>
      <c r="H478" s="41" t="n"/>
      <c r="I478" s="41" t="inlineStr">
        <is>
          <t>س ر ا 6671</t>
        </is>
      </c>
      <c r="J478" s="41" t="inlineStr">
        <is>
          <t xml:space="preserve">السيد بدوى </t>
        </is>
      </c>
      <c r="K478" s="41" t="inlineStr">
        <is>
          <t xml:space="preserve">حمو مرزوق </t>
        </is>
      </c>
      <c r="L478" s="42" t="n">
        <v>13500</v>
      </c>
      <c r="M478" s="42" t="n">
        <v>8100</v>
      </c>
      <c r="N478" s="42" t="n"/>
      <c r="O478" s="42" t="n">
        <v>200</v>
      </c>
      <c r="P478" s="42" t="n"/>
      <c r="Q478" s="42" t="n">
        <v>5200</v>
      </c>
      <c r="R478" s="43">
        <f>IF($B478="","",N($S478)-N($Q478))</f>
        <v/>
      </c>
      <c r="S478" s="43">
        <f>IF($B478="","",N($L478)+N($N478)+N($P478))</f>
        <v/>
      </c>
      <c r="T478" s="42" t="n"/>
      <c r="U478" s="42" t="n"/>
      <c r="V478" s="42" t="n"/>
      <c r="W478" s="42" t="n"/>
      <c r="X478" s="42" t="n"/>
      <c r="Y478" s="42" t="n"/>
      <c r="Z478" s="42" t="n"/>
      <c r="AA478" s="42" t="n"/>
      <c r="AB478" s="42" t="n"/>
      <c r="AC478" s="42" t="n"/>
      <c r="AD478" s="42" t="n"/>
      <c r="AE478" s="42" t="n"/>
      <c r="AF478" s="43">
        <f>IF($B478="","",SUM($T478:$AE478))</f>
        <v/>
      </c>
      <c r="AG478" s="43">
        <f>IF($B478="","",N($M478)-N($AF478))</f>
        <v/>
      </c>
      <c r="AH478" s="43">
        <f>IF($B478="","",N($L478)-N($AF478))</f>
        <v/>
      </c>
      <c r="AI478" s="149">
        <f>IF($B478="","",IF(N($L478)=0,"",(N($L478)-N($AF478))/N($L478)))</f>
        <v/>
      </c>
    </row>
    <row r="479">
      <c r="A479" s="39">
        <f>IF($B479="","",COUNTA($B$4:$B479))</f>
        <v/>
      </c>
      <c r="B479" s="45" t="n">
        <v>46076</v>
      </c>
      <c r="C479" s="46" t="n">
        <v>2072</v>
      </c>
      <c r="D479" s="46" t="inlineStr">
        <is>
          <t>احمد عبدو خ</t>
        </is>
      </c>
      <c r="E479" s="46" t="inlineStr">
        <is>
          <t>1*40</t>
        </is>
      </c>
      <c r="F479" s="46" t="inlineStr">
        <is>
          <t xml:space="preserve">اوركيد </t>
        </is>
      </c>
      <c r="G479" s="46" t="inlineStr">
        <is>
          <t xml:space="preserve">اكتوبر </t>
        </is>
      </c>
      <c r="H479" s="46" t="inlineStr">
        <is>
          <t>554103/9</t>
        </is>
      </c>
      <c r="I479" s="46" t="inlineStr">
        <is>
          <t>س ل ب 5917</t>
        </is>
      </c>
      <c r="J479" s="46" t="inlineStr">
        <is>
          <t xml:space="preserve">احمد محمود </t>
        </is>
      </c>
      <c r="K479" s="46" t="inlineStr">
        <is>
          <t xml:space="preserve">علاء علام </t>
        </is>
      </c>
      <c r="L479" s="47" t="n">
        <v>12700</v>
      </c>
      <c r="M479" s="47" t="n">
        <v>7100</v>
      </c>
      <c r="N479" s="47" t="n"/>
      <c r="O479" s="47" t="n">
        <v>200</v>
      </c>
      <c r="P479" s="47" t="n"/>
      <c r="Q479" s="47" t="n">
        <v>5400</v>
      </c>
      <c r="R479" s="43">
        <f>IF($B479="","",N($S479)-N($Q479))</f>
        <v/>
      </c>
      <c r="S479" s="43">
        <f>IF($B479="","",N($L479)+N($N479)+N($P479))</f>
        <v/>
      </c>
      <c r="T479" s="47" t="n"/>
      <c r="U479" s="47" t="n"/>
      <c r="V479" s="47" t="n"/>
      <c r="W479" s="47" t="n"/>
      <c r="X479" s="47" t="n"/>
      <c r="Y479" s="47" t="n"/>
      <c r="Z479" s="47" t="n"/>
      <c r="AA479" s="47" t="n"/>
      <c r="AB479" s="47" t="n"/>
      <c r="AC479" s="47" t="n"/>
      <c r="AD479" s="47" t="n"/>
      <c r="AE479" s="47" t="n"/>
      <c r="AF479" s="43">
        <f>IF($B479="","",SUM($T479:$AE479))</f>
        <v/>
      </c>
      <c r="AG479" s="43">
        <f>IF($B479="","",N($M479)-N($AF479))</f>
        <v/>
      </c>
      <c r="AH479" s="43">
        <f>IF($B479="","",N($L479)-N($AF479))</f>
        <v/>
      </c>
      <c r="AI479" s="149">
        <f>IF($B479="","",IF(N($L479)=0,"",(N($L479)-N($AF479))/N($L479)))</f>
        <v/>
      </c>
    </row>
    <row r="480">
      <c r="A480" s="39">
        <f>IF($B480="","",COUNTA($B$4:$B480))</f>
        <v/>
      </c>
      <c r="B480" s="40" t="n">
        <v>46076</v>
      </c>
      <c r="C480" s="41" t="n">
        <v>2073</v>
      </c>
      <c r="D480" s="41" t="inlineStr">
        <is>
          <t>كمال رزق خ</t>
        </is>
      </c>
      <c r="E480" s="41" t="inlineStr">
        <is>
          <t>1*40</t>
        </is>
      </c>
      <c r="F480" s="41" t="inlineStr">
        <is>
          <t xml:space="preserve">اوركيد </t>
        </is>
      </c>
      <c r="G480" s="41" t="inlineStr">
        <is>
          <t xml:space="preserve">اكتوبر </t>
        </is>
      </c>
      <c r="H480" s="41" t="inlineStr">
        <is>
          <t>626748/8</t>
        </is>
      </c>
      <c r="I480" s="41" t="inlineStr">
        <is>
          <t>س ن ر 8979</t>
        </is>
      </c>
      <c r="J480" s="41" t="inlineStr">
        <is>
          <t xml:space="preserve">عماد سعيد </t>
        </is>
      </c>
      <c r="K480" s="41" t="inlineStr">
        <is>
          <t xml:space="preserve">عماد سعيد </t>
        </is>
      </c>
      <c r="L480" s="42" t="n">
        <v>12700</v>
      </c>
      <c r="M480" s="42" t="n">
        <v>7100</v>
      </c>
      <c r="N480" s="42" t="n"/>
      <c r="O480" s="42" t="n">
        <v>200</v>
      </c>
      <c r="P480" s="42" t="n"/>
      <c r="Q480" s="42" t="n">
        <v>5400</v>
      </c>
      <c r="R480" s="43">
        <f>IF($B480="","",N($S480)-N($Q480))</f>
        <v/>
      </c>
      <c r="S480" s="43">
        <f>IF($B480="","",N($L480)+N($N480)+N($P480))</f>
        <v/>
      </c>
      <c r="T480" s="42" t="n"/>
      <c r="U480" s="42" t="n"/>
      <c r="V480" s="42" t="n"/>
      <c r="W480" s="42" t="n"/>
      <c r="X480" s="42" t="n"/>
      <c r="Y480" s="42" t="n"/>
      <c r="Z480" s="42" t="n"/>
      <c r="AA480" s="42" t="n"/>
      <c r="AB480" s="42" t="n"/>
      <c r="AC480" s="42" t="n"/>
      <c r="AD480" s="42" t="n"/>
      <c r="AE480" s="42" t="n"/>
      <c r="AF480" s="43">
        <f>IF($B480="","",SUM($T480:$AE480))</f>
        <v/>
      </c>
      <c r="AG480" s="43">
        <f>IF($B480="","",N($M480)-N($AF480))</f>
        <v/>
      </c>
      <c r="AH480" s="43">
        <f>IF($B480="","",N($L480)-N($AF480))</f>
        <v/>
      </c>
      <c r="AI480" s="149">
        <f>IF($B480="","",IF(N($L480)=0,"",(N($L480)-N($AF480))/N($L480)))</f>
        <v/>
      </c>
    </row>
    <row r="481">
      <c r="A481" s="39">
        <f>IF($B481="","",COUNTA($B$4:$B481))</f>
        <v/>
      </c>
      <c r="B481" s="45" t="n">
        <v>46076</v>
      </c>
      <c r="C481" s="46" t="n">
        <v>2074</v>
      </c>
      <c r="D481" s="46" t="inlineStr">
        <is>
          <t>عتريس مخيمر  خ</t>
        </is>
      </c>
      <c r="E481" s="46" t="inlineStr">
        <is>
          <t>1*40</t>
        </is>
      </c>
      <c r="F481" s="46" t="inlineStr">
        <is>
          <t xml:space="preserve">اوركيد </t>
        </is>
      </c>
      <c r="G481" s="46" t="inlineStr">
        <is>
          <t xml:space="preserve">اكتوبر </t>
        </is>
      </c>
      <c r="H481" s="46" t="inlineStr">
        <is>
          <t>638172/1</t>
        </is>
      </c>
      <c r="I481" s="46" t="inlineStr">
        <is>
          <t>ب ص ا 2574</t>
        </is>
      </c>
      <c r="J481" s="46" t="inlineStr">
        <is>
          <t xml:space="preserve">احمد عادل </t>
        </is>
      </c>
      <c r="K481" s="46" t="inlineStr">
        <is>
          <t xml:space="preserve">احمد خليف </t>
        </is>
      </c>
      <c r="L481" s="47" t="n">
        <v>12700</v>
      </c>
      <c r="M481" s="47" t="n">
        <v>7100</v>
      </c>
      <c r="N481" s="47" t="n"/>
      <c r="O481" s="47" t="n">
        <v>200</v>
      </c>
      <c r="P481" s="47" t="n"/>
      <c r="Q481" s="47" t="n">
        <v>5400</v>
      </c>
      <c r="R481" s="43">
        <f>IF($B481="","",N($S481)-N($Q481))</f>
        <v/>
      </c>
      <c r="S481" s="43">
        <f>IF($B481="","",N($L481)+N($N481)+N($P481))</f>
        <v/>
      </c>
      <c r="T481" s="47" t="n"/>
      <c r="U481" s="47" t="n"/>
      <c r="V481" s="47" t="n"/>
      <c r="W481" s="47" t="n"/>
      <c r="X481" s="47" t="n"/>
      <c r="Y481" s="47" t="n"/>
      <c r="Z481" s="47" t="n"/>
      <c r="AA481" s="47" t="n"/>
      <c r="AB481" s="47" t="n"/>
      <c r="AC481" s="47" t="n"/>
      <c r="AD481" s="47" t="n"/>
      <c r="AE481" s="47" t="n"/>
      <c r="AF481" s="43">
        <f>IF($B481="","",SUM($T481:$AE481))</f>
        <v/>
      </c>
      <c r="AG481" s="43">
        <f>IF($B481="","",N($M481)-N($AF481))</f>
        <v/>
      </c>
      <c r="AH481" s="43">
        <f>IF($B481="","",N($L481)-N($AF481))</f>
        <v/>
      </c>
      <c r="AI481" s="149">
        <f>IF($B481="","",IF(N($L481)=0,"",(N($L481)-N($AF481))/N($L481)))</f>
        <v/>
      </c>
    </row>
    <row r="482">
      <c r="A482" s="39">
        <f>IF($B482="","",COUNTA($B$4:$B482))</f>
        <v/>
      </c>
      <c r="B482" s="40" t="n">
        <v>46076</v>
      </c>
      <c r="C482" s="41" t="n">
        <v>2075</v>
      </c>
      <c r="D482" s="41" t="inlineStr">
        <is>
          <t>احمد عبدو خ</t>
        </is>
      </c>
      <c r="E482" s="41" t="inlineStr">
        <is>
          <t>1*40</t>
        </is>
      </c>
      <c r="F482" s="41" t="n"/>
      <c r="G482" s="41" t="inlineStr">
        <is>
          <t xml:space="preserve">اكتوبر </t>
        </is>
      </c>
      <c r="H482" s="41" t="inlineStr">
        <is>
          <t>450308/0</t>
        </is>
      </c>
      <c r="I482" s="41" t="inlineStr">
        <is>
          <t>س ر ا 6671</t>
        </is>
      </c>
      <c r="J482" s="41" t="inlineStr">
        <is>
          <t xml:space="preserve">السيد بدوى </t>
        </is>
      </c>
      <c r="K482" s="41" t="inlineStr">
        <is>
          <t xml:space="preserve">حمو مرزوق </t>
        </is>
      </c>
      <c r="L482" s="42" t="n">
        <v>12700</v>
      </c>
      <c r="M482" s="42" t="n">
        <v>7100</v>
      </c>
      <c r="N482" s="42" t="n"/>
      <c r="O482" s="42" t="n">
        <v>200</v>
      </c>
      <c r="P482" s="42" t="n"/>
      <c r="Q482" s="42" t="n">
        <v>5400</v>
      </c>
      <c r="R482" s="43">
        <f>IF($B482="","",N($S482)-N($Q482))</f>
        <v/>
      </c>
      <c r="S482" s="43">
        <f>IF($B482="","",N($L482)+N($N482)+N($P482))</f>
        <v/>
      </c>
      <c r="T482" s="42" t="n"/>
      <c r="U482" s="42" t="n"/>
      <c r="V482" s="42" t="n"/>
      <c r="W482" s="42" t="n"/>
      <c r="X482" s="42" t="n"/>
      <c r="Y482" s="42" t="n"/>
      <c r="Z482" s="42" t="n"/>
      <c r="AA482" s="42" t="n"/>
      <c r="AB482" s="42" t="n"/>
      <c r="AC482" s="42" t="n"/>
      <c r="AD482" s="42" t="n"/>
      <c r="AE482" s="42" t="n"/>
      <c r="AF482" s="43">
        <f>IF($B482="","",SUM($T482:$AE482))</f>
        <v/>
      </c>
      <c r="AG482" s="43">
        <f>IF($B482="","",N($M482)-N($AF482))</f>
        <v/>
      </c>
      <c r="AH482" s="43">
        <f>IF($B482="","",N($L482)-N($AF482))</f>
        <v/>
      </c>
      <c r="AI482" s="149">
        <f>IF($B482="","",IF(N($L482)=0,"",(N($L482)-N($AF482))/N($L482)))</f>
        <v/>
      </c>
    </row>
    <row r="483">
      <c r="A483" s="39">
        <f>IF($B483="","",COUNTA($B$4:$B483))</f>
        <v/>
      </c>
      <c r="B483" s="45" t="n">
        <v>46076</v>
      </c>
      <c r="C483" s="46" t="n">
        <v>2190</v>
      </c>
      <c r="D483" s="46" t="inlineStr">
        <is>
          <t>احمد عبدو خ</t>
        </is>
      </c>
      <c r="E483" s="46" t="inlineStr">
        <is>
          <t>1*20 ث</t>
        </is>
      </c>
      <c r="F483" s="46" t="inlineStr">
        <is>
          <t xml:space="preserve">اورينتال </t>
        </is>
      </c>
      <c r="G483" s="46" t="inlineStr">
        <is>
          <t xml:space="preserve">العبور </t>
        </is>
      </c>
      <c r="H483" s="46" t="inlineStr">
        <is>
          <t>802214/7</t>
        </is>
      </c>
      <c r="I483" s="46" t="inlineStr">
        <is>
          <t>ع ر ب 1573</t>
        </is>
      </c>
      <c r="J483" s="46" t="inlineStr">
        <is>
          <t xml:space="preserve">محمد السيد </t>
        </is>
      </c>
      <c r="K483" s="46" t="inlineStr">
        <is>
          <t xml:space="preserve">حمو مرزوق </t>
        </is>
      </c>
      <c r="L483" s="47" t="n">
        <v>16000</v>
      </c>
      <c r="M483" s="47" t="n">
        <v>9100</v>
      </c>
      <c r="N483" s="47" t="n"/>
      <c r="O483" s="47" t="n">
        <v>200</v>
      </c>
      <c r="P483" s="47" t="n"/>
      <c r="Q483" s="47" t="n">
        <v>6700</v>
      </c>
      <c r="R483" s="43">
        <f>IF($B483="","",N($S483)-N($Q483))</f>
        <v/>
      </c>
      <c r="S483" s="43">
        <f>IF($B483="","",N($L483)+N($N483)+N($P483))</f>
        <v/>
      </c>
      <c r="T483" s="47" t="n"/>
      <c r="U483" s="47" t="n"/>
      <c r="V483" s="47" t="n"/>
      <c r="W483" s="47" t="n"/>
      <c r="X483" s="47" t="n"/>
      <c r="Y483" s="47" t="n"/>
      <c r="Z483" s="47" t="n"/>
      <c r="AA483" s="47" t="n"/>
      <c r="AB483" s="47" t="n"/>
      <c r="AC483" s="47" t="n"/>
      <c r="AD483" s="47" t="n"/>
      <c r="AE483" s="47" t="n"/>
      <c r="AF483" s="43">
        <f>IF($B483="","",SUM($T483:$AE483))</f>
        <v/>
      </c>
      <c r="AG483" s="43">
        <f>IF($B483="","",N($M483)-N($AF483))</f>
        <v/>
      </c>
      <c r="AH483" s="43">
        <f>IF($B483="","",N($L483)-N($AF483))</f>
        <v/>
      </c>
      <c r="AI483" s="149">
        <f>IF($B483="","",IF(N($L483)=0,"",(N($L483)-N($AF483))/N($L483)))</f>
        <v/>
      </c>
    </row>
    <row r="484">
      <c r="A484" s="39">
        <f>IF($B484="","",COUNTA($B$4:$B484))</f>
        <v/>
      </c>
      <c r="B484" s="40" t="n">
        <v>46076</v>
      </c>
      <c r="C484" s="41" t="n">
        <v>2191</v>
      </c>
      <c r="D484" s="41" t="inlineStr">
        <is>
          <t>عتريس مخيمر  خ</t>
        </is>
      </c>
      <c r="E484" s="41" t="inlineStr">
        <is>
          <t>1*40</t>
        </is>
      </c>
      <c r="F484" s="41" t="inlineStr">
        <is>
          <t xml:space="preserve">السويدى بوليمرز </t>
        </is>
      </c>
      <c r="G484" s="41" t="inlineStr">
        <is>
          <t xml:space="preserve">العاشر </t>
        </is>
      </c>
      <c r="H484" s="41" t="inlineStr">
        <is>
          <t>842433/8</t>
        </is>
      </c>
      <c r="I484" s="41" t="inlineStr">
        <is>
          <t>ط ف ر 1474</t>
        </is>
      </c>
      <c r="J484" s="41" t="inlineStr">
        <is>
          <t xml:space="preserve">جمال على </t>
        </is>
      </c>
      <c r="K484" s="41" t="inlineStr">
        <is>
          <t xml:space="preserve">كريم خليف </t>
        </is>
      </c>
      <c r="L484" s="42" t="n">
        <v>14500</v>
      </c>
      <c r="M484" s="42" t="n">
        <v>8100</v>
      </c>
      <c r="N484" s="42" t="n"/>
      <c r="O484" s="42" t="n">
        <v>200</v>
      </c>
      <c r="P484" s="42" t="n"/>
      <c r="Q484" s="42" t="n">
        <v>6200</v>
      </c>
      <c r="R484" s="43">
        <f>IF($B484="","",N($S484)-N($Q484))</f>
        <v/>
      </c>
      <c r="S484" s="43">
        <f>IF($B484="","",N($L484)+N($N484)+N($P484))</f>
        <v/>
      </c>
      <c r="T484" s="42" t="n"/>
      <c r="U484" s="42" t="n"/>
      <c r="V484" s="42" t="n"/>
      <c r="W484" s="42" t="n"/>
      <c r="X484" s="42" t="n"/>
      <c r="Y484" s="42" t="n"/>
      <c r="Z484" s="42" t="n"/>
      <c r="AA484" s="42" t="n"/>
      <c r="AB484" s="42" t="n"/>
      <c r="AC484" s="42" t="n"/>
      <c r="AD484" s="42" t="n"/>
      <c r="AE484" s="42" t="n"/>
      <c r="AF484" s="43">
        <f>IF($B484="","",SUM($T484:$AE484))</f>
        <v/>
      </c>
      <c r="AG484" s="43">
        <f>IF($B484="","",N($M484)-N($AF484))</f>
        <v/>
      </c>
      <c r="AH484" s="43">
        <f>IF($B484="","",N($L484)-N($AF484))</f>
        <v/>
      </c>
      <c r="AI484" s="149">
        <f>IF($B484="","",IF(N($L484)=0,"",(N($L484)-N($AF484))/N($L484)))</f>
        <v/>
      </c>
    </row>
    <row r="485">
      <c r="A485" s="39">
        <f>IF($B485="","",COUNTA($B$4:$B485))</f>
        <v/>
      </c>
      <c r="B485" s="45" t="n">
        <v>46076</v>
      </c>
      <c r="C485" s="46" t="n">
        <v>2192</v>
      </c>
      <c r="D485" s="46" t="inlineStr">
        <is>
          <t>المكتب</t>
        </is>
      </c>
      <c r="E485" s="46" t="inlineStr">
        <is>
          <t>1*40</t>
        </is>
      </c>
      <c r="F485" s="46" t="inlineStr">
        <is>
          <t xml:space="preserve">جولدن فيو </t>
        </is>
      </c>
      <c r="G485" s="46" t="inlineStr">
        <is>
          <t xml:space="preserve">منيا القمح </t>
        </is>
      </c>
      <c r="H485" s="46" t="inlineStr">
        <is>
          <t>575951/0</t>
        </is>
      </c>
      <c r="I485" s="46" t="inlineStr">
        <is>
          <t>س ع م 8737</t>
        </is>
      </c>
      <c r="J485" s="46" t="inlineStr">
        <is>
          <t xml:space="preserve">محمود بكر </t>
        </is>
      </c>
      <c r="K485" s="46" t="inlineStr">
        <is>
          <t>المكتب</t>
        </is>
      </c>
      <c r="L485" s="47" t="n">
        <v>14000</v>
      </c>
      <c r="M485" s="47" t="n">
        <v>7500</v>
      </c>
      <c r="N485" s="47" t="n"/>
      <c r="O485" s="47" t="n"/>
      <c r="P485" s="47" t="n"/>
      <c r="Q485" s="47" t="n">
        <v>6500</v>
      </c>
      <c r="R485" s="43">
        <f>IF($B485="","",N($S485)-N($Q485))</f>
        <v/>
      </c>
      <c r="S485" s="43">
        <f>IF($B485="","",N($L485)+N($N485)+N($P485))</f>
        <v/>
      </c>
      <c r="T485" s="47" t="n">
        <v>1500</v>
      </c>
      <c r="U485" s="47" t="n">
        <v>600</v>
      </c>
      <c r="V485" s="47" t="n"/>
      <c r="W485" s="47" t="n">
        <v>150</v>
      </c>
      <c r="X485" s="47" t="n">
        <v>90</v>
      </c>
      <c r="Y485" s="47" t="n">
        <v>120</v>
      </c>
      <c r="Z485" s="47" t="n"/>
      <c r="AA485" s="47" t="n"/>
      <c r="AB485" s="47" t="n"/>
      <c r="AC485" s="47" t="n">
        <v>50</v>
      </c>
      <c r="AD485" s="47" t="n"/>
      <c r="AE485" s="47" t="n"/>
      <c r="AF485" s="43">
        <f>IF($B485="","",SUM($T485:$AE485))</f>
        <v/>
      </c>
      <c r="AG485" s="43">
        <f>IF($B485="","",N($M485)-N($AF485))</f>
        <v/>
      </c>
      <c r="AH485" s="43">
        <f>IF($B485="","",N($L485)-N($AF485))</f>
        <v/>
      </c>
      <c r="AI485" s="149">
        <f>IF($B485="","",IF(N($L485)=0,"",(N($L485)-N($AF485))/N($L485)))</f>
        <v/>
      </c>
    </row>
    <row r="486">
      <c r="A486" s="39">
        <f>IF($B486="","",COUNTA($B$4:$B486))</f>
        <v/>
      </c>
      <c r="B486" s="40" t="n">
        <v>46077</v>
      </c>
      <c r="C486" s="41" t="n">
        <v>1833</v>
      </c>
      <c r="D486" s="41" t="inlineStr">
        <is>
          <t>ايوب خ</t>
        </is>
      </c>
      <c r="E486" s="41" t="inlineStr">
        <is>
          <t>1*20</t>
        </is>
      </c>
      <c r="F486" s="41" t="inlineStr">
        <is>
          <t>المعمار</t>
        </is>
      </c>
      <c r="G486" s="41" t="inlineStr">
        <is>
          <t xml:space="preserve">القناطر  / م بدر </t>
        </is>
      </c>
      <c r="H486" s="41" t="inlineStr">
        <is>
          <t>200097/9</t>
        </is>
      </c>
      <c r="I486" s="41" t="inlineStr">
        <is>
          <t>ب ر ط 6478</t>
        </is>
      </c>
      <c r="J486" s="41" t="inlineStr">
        <is>
          <t xml:space="preserve">محمد اسماعيل </t>
        </is>
      </c>
      <c r="K486" s="41" t="inlineStr">
        <is>
          <t xml:space="preserve">ايوب </t>
        </is>
      </c>
      <c r="L486" s="42" t="n">
        <v>15000</v>
      </c>
      <c r="M486" s="42" t="n">
        <v>8100</v>
      </c>
      <c r="N486" s="42" t="n"/>
      <c r="O486" s="42" t="n">
        <v>200</v>
      </c>
      <c r="P486" s="42" t="n"/>
      <c r="Q486" s="42" t="n">
        <v>6700</v>
      </c>
      <c r="R486" s="43">
        <f>IF($B486="","",N($S486)-N($Q486))</f>
        <v/>
      </c>
      <c r="S486" s="43">
        <f>IF($B486="","",N($L486)+N($N486)+N($P486))</f>
        <v/>
      </c>
      <c r="T486" s="42" t="n"/>
      <c r="U486" s="42" t="n"/>
      <c r="V486" s="42" t="n"/>
      <c r="W486" s="42" t="n"/>
      <c r="X486" s="42" t="n"/>
      <c r="Y486" s="42" t="n"/>
      <c r="Z486" s="42" t="n"/>
      <c r="AA486" s="42" t="n"/>
      <c r="AB486" s="42" t="n"/>
      <c r="AC486" s="42" t="n"/>
      <c r="AD486" s="42" t="n"/>
      <c r="AE486" s="42" t="n"/>
      <c r="AF486" s="43">
        <f>IF($B486="","",SUM($T486:$AE486))</f>
        <v/>
      </c>
      <c r="AG486" s="43">
        <f>IF($B486="","",N($M486)-N($AF486))</f>
        <v/>
      </c>
      <c r="AH486" s="43">
        <f>IF($B486="","",N($L486)-N($AF486))</f>
        <v/>
      </c>
      <c r="AI486" s="149">
        <f>IF($B486="","",IF(N($L486)=0,"",(N($L486)-N($AF486))/N($L486)))</f>
        <v/>
      </c>
    </row>
    <row r="487">
      <c r="A487" s="39">
        <f>IF($B487="","",COUNTA($B$4:$B487))</f>
        <v/>
      </c>
      <c r="B487" s="45" t="n">
        <v>46077</v>
      </c>
      <c r="C487" s="46" t="n">
        <v>2193</v>
      </c>
      <c r="D487" s="46" t="inlineStr">
        <is>
          <t>احمد عبدو خ</t>
        </is>
      </c>
      <c r="E487" s="46" t="inlineStr">
        <is>
          <t>1*40</t>
        </is>
      </c>
      <c r="F487" s="46" t="inlineStr">
        <is>
          <t xml:space="preserve">الكرنك </t>
        </is>
      </c>
      <c r="G487" s="46" t="inlineStr">
        <is>
          <t>الاسماعيليه</t>
        </is>
      </c>
      <c r="H487" s="46" t="inlineStr">
        <is>
          <t>661583/3</t>
        </is>
      </c>
      <c r="I487" s="46" t="inlineStr">
        <is>
          <t>ع ر ب 1573</t>
        </is>
      </c>
      <c r="J487" s="46" t="inlineStr">
        <is>
          <t xml:space="preserve">محمد السيد </t>
        </is>
      </c>
      <c r="K487" s="46" t="inlineStr">
        <is>
          <t xml:space="preserve">حمو مرزوق </t>
        </is>
      </c>
      <c r="L487" s="47" t="n">
        <v>17000</v>
      </c>
      <c r="M487" s="47" t="n">
        <v>8600</v>
      </c>
      <c r="N487" s="47" t="n"/>
      <c r="O487" s="47" t="n">
        <v>200</v>
      </c>
      <c r="P487" s="47" t="n"/>
      <c r="Q487" s="47" t="n">
        <v>8200</v>
      </c>
      <c r="R487" s="43">
        <f>IF($B487="","",N($S487)-N($Q487))</f>
        <v/>
      </c>
      <c r="S487" s="43">
        <f>IF($B487="","",N($L487)+N($N487)+N($P487))</f>
        <v/>
      </c>
      <c r="T487" s="47" t="n"/>
      <c r="U487" s="47" t="n"/>
      <c r="V487" s="47" t="n"/>
      <c r="W487" s="47" t="n"/>
      <c r="X487" s="47" t="n"/>
      <c r="Y487" s="47" t="n"/>
      <c r="Z487" s="47" t="n"/>
      <c r="AA487" s="47" t="n"/>
      <c r="AB487" s="47" t="n"/>
      <c r="AC487" s="47" t="n"/>
      <c r="AD487" s="47" t="n"/>
      <c r="AE487" s="47" t="n"/>
      <c r="AF487" s="43">
        <f>IF($B487="","",SUM($T487:$AE487))</f>
        <v/>
      </c>
      <c r="AG487" s="43">
        <f>IF($B487="","",N($M487)-N($AF487))</f>
        <v/>
      </c>
      <c r="AH487" s="43">
        <f>IF($B487="","",N($L487)-N($AF487))</f>
        <v/>
      </c>
      <c r="AI487" s="149">
        <f>IF($B487="","",IF(N($L487)=0,"",(N($L487)-N($AF487))/N($L487)))</f>
        <v/>
      </c>
    </row>
    <row r="488">
      <c r="A488" s="39">
        <f>IF($B488="","",COUNTA($B$4:$B488))</f>
        <v/>
      </c>
      <c r="B488" s="40" t="n">
        <v>46078</v>
      </c>
      <c r="C488" s="41" t="n">
        <v>1836</v>
      </c>
      <c r="D488" s="41" t="inlineStr">
        <is>
          <t>احمد عبدو خ</t>
        </is>
      </c>
      <c r="E488" s="41" t="inlineStr">
        <is>
          <t>1*40</t>
        </is>
      </c>
      <c r="F488" s="41" t="inlineStr">
        <is>
          <t>نيوبيبى</t>
        </is>
      </c>
      <c r="G488" s="41" t="inlineStr">
        <is>
          <t xml:space="preserve">العاشر </t>
        </is>
      </c>
      <c r="H488" s="41" t="inlineStr">
        <is>
          <t>400423/2</t>
        </is>
      </c>
      <c r="I488" s="41" t="inlineStr">
        <is>
          <t>ب د ن 6125</t>
        </is>
      </c>
      <c r="J488" s="41" t="inlineStr">
        <is>
          <t xml:space="preserve">سليمان السيد </t>
        </is>
      </c>
      <c r="K488" s="41" t="inlineStr">
        <is>
          <t xml:space="preserve">استوريا </t>
        </is>
      </c>
      <c r="L488" s="42" t="n">
        <v>14000</v>
      </c>
      <c r="M488" s="42" t="n">
        <v>8100</v>
      </c>
      <c r="N488" s="42" t="n"/>
      <c r="O488" s="42" t="n">
        <v>200</v>
      </c>
      <c r="P488" s="42" t="n"/>
      <c r="Q488" s="42" t="n">
        <v>5700</v>
      </c>
      <c r="R488" s="43">
        <f>IF($B488="","",N($S488)-N($Q488))</f>
        <v/>
      </c>
      <c r="S488" s="43">
        <f>IF($B488="","",N($L488)+N($N488)+N($P488))</f>
        <v/>
      </c>
      <c r="T488" s="42" t="n"/>
      <c r="U488" s="42" t="n"/>
      <c r="V488" s="42" t="n"/>
      <c r="W488" s="42" t="n"/>
      <c r="X488" s="42" t="n"/>
      <c r="Y488" s="42" t="n"/>
      <c r="Z488" s="42" t="n"/>
      <c r="AA488" s="42" t="n"/>
      <c r="AB488" s="42" t="n"/>
      <c r="AC488" s="42" t="n"/>
      <c r="AD488" s="42" t="n"/>
      <c r="AE488" s="42" t="n"/>
      <c r="AF488" s="43">
        <f>IF($B488="","",SUM($T488:$AE488))</f>
        <v/>
      </c>
      <c r="AG488" s="43">
        <f>IF($B488="","",N($M488)-N($AF488))</f>
        <v/>
      </c>
      <c r="AH488" s="43">
        <f>IF($B488="","",N($L488)-N($AF488))</f>
        <v/>
      </c>
      <c r="AI488" s="149">
        <f>IF($B488="","",IF(N($L488)=0,"",(N($L488)-N($AF488))/N($L488)))</f>
        <v/>
      </c>
    </row>
    <row r="489">
      <c r="A489" s="39">
        <f>IF($B489="","",COUNTA($B$4:$B489))</f>
        <v/>
      </c>
      <c r="B489" s="45" t="n">
        <v>46078</v>
      </c>
      <c r="C489" s="46" t="n">
        <v>1837</v>
      </c>
      <c r="D489" s="46" t="inlineStr">
        <is>
          <t xml:space="preserve">حسين محمد </t>
        </is>
      </c>
      <c r="E489" s="46" t="inlineStr">
        <is>
          <t>1*40</t>
        </is>
      </c>
      <c r="F489" s="46" t="inlineStr">
        <is>
          <t>نيوبيبى</t>
        </is>
      </c>
      <c r="G489" s="46" t="inlineStr">
        <is>
          <t>العاشر</t>
        </is>
      </c>
      <c r="H489" s="46" t="inlineStr">
        <is>
          <t>609483/3</t>
        </is>
      </c>
      <c r="I489" s="46" t="inlineStr">
        <is>
          <t>ب ج ى 1974</t>
        </is>
      </c>
      <c r="J489" s="46" t="inlineStr">
        <is>
          <t xml:space="preserve">حمدى مصطفى </t>
        </is>
      </c>
      <c r="K489" s="46" t="n"/>
      <c r="L489" s="47" t="n">
        <v>14000</v>
      </c>
      <c r="M489" s="47" t="n">
        <v>8100</v>
      </c>
      <c r="N489" s="47" t="n"/>
      <c r="O489" s="47" t="n">
        <v>200</v>
      </c>
      <c r="P489" s="47" t="n"/>
      <c r="Q489" s="47" t="n">
        <v>5700</v>
      </c>
      <c r="R489" s="43">
        <f>IF($B489="","",N($S489)-N($Q489))</f>
        <v/>
      </c>
      <c r="S489" s="43">
        <f>IF($B489="","",N($L489)+N($N489)+N($P489))</f>
        <v/>
      </c>
      <c r="T489" s="47" t="n"/>
      <c r="U489" s="47" t="n"/>
      <c r="V489" s="47" t="n"/>
      <c r="W489" s="47" t="n"/>
      <c r="X489" s="47" t="n"/>
      <c r="Y489" s="47" t="n"/>
      <c r="Z489" s="47" t="n"/>
      <c r="AA489" s="47" t="n"/>
      <c r="AB489" s="47" t="n"/>
      <c r="AC489" s="47" t="n"/>
      <c r="AD489" s="47" t="n"/>
      <c r="AE489" s="47" t="n"/>
      <c r="AF489" s="43">
        <f>IF($B489="","",SUM($T489:$AE489))</f>
        <v/>
      </c>
      <c r="AG489" s="43">
        <f>IF($B489="","",N($M489)-N($AF489))</f>
        <v/>
      </c>
      <c r="AH489" s="43">
        <f>IF($B489="","",N($L489)-N($AF489))</f>
        <v/>
      </c>
      <c r="AI489" s="149">
        <f>IF($B489="","",IF(N($L489)=0,"",(N($L489)-N($AF489))/N($L489)))</f>
        <v/>
      </c>
    </row>
    <row r="490">
      <c r="A490" s="39">
        <f>IF($B490="","",COUNTA($B$4:$B490))</f>
        <v/>
      </c>
      <c r="B490" s="40" t="n">
        <v>46078</v>
      </c>
      <c r="C490" s="41" t="n">
        <v>1838</v>
      </c>
      <c r="D490" s="41" t="inlineStr">
        <is>
          <t xml:space="preserve">محمد يحى </t>
        </is>
      </c>
      <c r="E490" s="41" t="inlineStr">
        <is>
          <t>1*40</t>
        </is>
      </c>
      <c r="F490" s="41" t="inlineStr">
        <is>
          <t>نيوبيبى</t>
        </is>
      </c>
      <c r="G490" s="41" t="inlineStr">
        <is>
          <t>العاشر</t>
        </is>
      </c>
      <c r="H490" s="41" t="inlineStr">
        <is>
          <t>526660/0</t>
        </is>
      </c>
      <c r="I490" s="41" t="inlineStr">
        <is>
          <t>ط ف ر 1474</t>
        </is>
      </c>
      <c r="J490" s="41" t="inlineStr">
        <is>
          <t xml:space="preserve">جمال على </t>
        </is>
      </c>
      <c r="K490" s="41" t="inlineStr">
        <is>
          <t xml:space="preserve">كريم خليف </t>
        </is>
      </c>
      <c r="L490" s="42" t="n">
        <v>14000</v>
      </c>
      <c r="M490" s="42" t="n">
        <v>8100</v>
      </c>
      <c r="N490" s="42" t="n"/>
      <c r="O490" s="42" t="n">
        <v>200</v>
      </c>
      <c r="P490" s="42" t="n"/>
      <c r="Q490" s="42" t="n">
        <v>5700</v>
      </c>
      <c r="R490" s="43">
        <f>IF($B490="","",N($S490)-N($Q490))</f>
        <v/>
      </c>
      <c r="S490" s="43">
        <f>IF($B490="","",N($L490)+N($N490)+N($P490))</f>
        <v/>
      </c>
      <c r="T490" s="42" t="n"/>
      <c r="U490" s="42" t="n"/>
      <c r="V490" s="42" t="n"/>
      <c r="W490" s="42" t="n"/>
      <c r="X490" s="42" t="n"/>
      <c r="Y490" s="42" t="n"/>
      <c r="Z490" s="42" t="n"/>
      <c r="AA490" s="42" t="n"/>
      <c r="AB490" s="42" t="n"/>
      <c r="AC490" s="42" t="n"/>
      <c r="AD490" s="42" t="n"/>
      <c r="AE490" s="42" t="n"/>
      <c r="AF490" s="43">
        <f>IF($B490="","",SUM($T490:$AE490))</f>
        <v/>
      </c>
      <c r="AG490" s="43">
        <f>IF($B490="","",N($M490)-N($AF490))</f>
        <v/>
      </c>
      <c r="AH490" s="43">
        <f>IF($B490="","",N($L490)-N($AF490))</f>
        <v/>
      </c>
      <c r="AI490" s="149">
        <f>IF($B490="","",IF(N($L490)=0,"",(N($L490)-N($AF490))/N($L490)))</f>
        <v/>
      </c>
    </row>
    <row r="491">
      <c r="A491" s="39">
        <f>IF($B491="","",COUNTA($B$4:$B491))</f>
        <v/>
      </c>
      <c r="B491" s="45" t="n">
        <v>46078</v>
      </c>
      <c r="C491" s="46" t="n">
        <v>1839</v>
      </c>
      <c r="D491" s="46" t="inlineStr">
        <is>
          <t xml:space="preserve">حسين محمد </t>
        </is>
      </c>
      <c r="E491" s="46" t="inlineStr">
        <is>
          <t>1*40</t>
        </is>
      </c>
      <c r="F491" s="46" t="inlineStr">
        <is>
          <t>نيوبيبى</t>
        </is>
      </c>
      <c r="G491" s="46" t="inlineStr">
        <is>
          <t>العاشر</t>
        </is>
      </c>
      <c r="H491" s="46" t="inlineStr">
        <is>
          <t>400242/0</t>
        </is>
      </c>
      <c r="I491" s="46" t="inlineStr">
        <is>
          <t>ب ق ص 9174</t>
        </is>
      </c>
      <c r="J491" s="46" t="inlineStr">
        <is>
          <t xml:space="preserve">احمد رضوان </t>
        </is>
      </c>
      <c r="K491" s="46" t="inlineStr">
        <is>
          <t xml:space="preserve">الليبر </t>
        </is>
      </c>
      <c r="L491" s="47" t="n">
        <v>14000</v>
      </c>
      <c r="M491" s="47" t="n">
        <v>8100</v>
      </c>
      <c r="N491" s="47" t="n"/>
      <c r="O491" s="47" t="n">
        <v>200</v>
      </c>
      <c r="P491" s="47" t="n"/>
      <c r="Q491" s="47" t="n">
        <v>5700</v>
      </c>
      <c r="R491" s="43">
        <f>IF($B491="","",N($S491)-N($Q491))</f>
        <v/>
      </c>
      <c r="S491" s="43">
        <f>IF($B491="","",N($L491)+N($N491)+N($P491))</f>
        <v/>
      </c>
      <c r="T491" s="47" t="n"/>
      <c r="U491" s="47" t="n"/>
      <c r="V491" s="47" t="n"/>
      <c r="W491" s="47" t="n"/>
      <c r="X491" s="47" t="n"/>
      <c r="Y491" s="47" t="n"/>
      <c r="Z491" s="47" t="n"/>
      <c r="AA491" s="47" t="n"/>
      <c r="AB491" s="47" t="n"/>
      <c r="AC491" s="47" t="n"/>
      <c r="AD491" s="47" t="n"/>
      <c r="AE491" s="47" t="n"/>
      <c r="AF491" s="43">
        <f>IF($B491="","",SUM($T491:$AE491))</f>
        <v/>
      </c>
      <c r="AG491" s="43">
        <f>IF($B491="","",N($M491)-N($AF491))</f>
        <v/>
      </c>
      <c r="AH491" s="43">
        <f>IF($B491="","",N($L491)-N($AF491))</f>
        <v/>
      </c>
      <c r="AI491" s="149">
        <f>IF($B491="","",IF(N($L491)=0,"",(N($L491)-N($AF491))/N($L491)))</f>
        <v/>
      </c>
    </row>
    <row r="492">
      <c r="A492" s="39">
        <f>IF($B492="","",COUNTA($B$4:$B492))</f>
        <v/>
      </c>
      <c r="B492" s="40" t="n">
        <v>46078</v>
      </c>
      <c r="C492" s="41" t="n">
        <v>1840</v>
      </c>
      <c r="D492" s="41" t="inlineStr">
        <is>
          <t>سعد منير</t>
        </is>
      </c>
      <c r="E492" s="41" t="inlineStr">
        <is>
          <t>1*40</t>
        </is>
      </c>
      <c r="F492" s="41" t="inlineStr">
        <is>
          <t>نيوبيبى</t>
        </is>
      </c>
      <c r="G492" s="41" t="inlineStr">
        <is>
          <t xml:space="preserve">العاشر </t>
        </is>
      </c>
      <c r="H492" s="41" t="inlineStr">
        <is>
          <t>400242/0</t>
        </is>
      </c>
      <c r="I492" s="41" t="inlineStr">
        <is>
          <t>ب ى ط 8451</t>
        </is>
      </c>
      <c r="J492" s="41" t="inlineStr">
        <is>
          <t xml:space="preserve">محمد رياض </t>
        </is>
      </c>
      <c r="K492" s="41" t="inlineStr">
        <is>
          <t>استوريا</t>
        </is>
      </c>
      <c r="L492" s="42" t="n">
        <v>14000</v>
      </c>
      <c r="M492" s="42" t="n">
        <v>8100</v>
      </c>
      <c r="N492" s="42" t="n"/>
      <c r="O492" s="42" t="n">
        <v>200</v>
      </c>
      <c r="P492" s="42" t="n"/>
      <c r="Q492" s="42" t="n">
        <v>5700</v>
      </c>
      <c r="R492" s="43">
        <f>IF($B492="","",N($S492)-N($Q492))</f>
        <v/>
      </c>
      <c r="S492" s="43">
        <f>IF($B492="","",N($L492)+N($N492)+N($P492))</f>
        <v/>
      </c>
      <c r="T492" s="42" t="n"/>
      <c r="U492" s="42" t="n"/>
      <c r="V492" s="42" t="n"/>
      <c r="W492" s="42" t="n"/>
      <c r="X492" s="42" t="n"/>
      <c r="Y492" s="42" t="n"/>
      <c r="Z492" s="42" t="n"/>
      <c r="AA492" s="42" t="n"/>
      <c r="AB492" s="42" t="n"/>
      <c r="AC492" s="42" t="n"/>
      <c r="AD492" s="42" t="n"/>
      <c r="AE492" s="42" t="n"/>
      <c r="AF492" s="43">
        <f>IF($B492="","",SUM($T492:$AE492))</f>
        <v/>
      </c>
      <c r="AG492" s="43">
        <f>IF($B492="","",N($M492)-N($AF492))</f>
        <v/>
      </c>
      <c r="AH492" s="43">
        <f>IF($B492="","",N($L492)-N($AF492))</f>
        <v/>
      </c>
      <c r="AI492" s="149">
        <f>IF($B492="","",IF(N($L492)=0,"",(N($L492)-N($AF492))/N($L492)))</f>
        <v/>
      </c>
    </row>
    <row r="493">
      <c r="A493" s="39">
        <f>IF($B493="","",COUNTA($B$4:$B493))</f>
        <v/>
      </c>
      <c r="B493" s="45" t="n">
        <v>46078</v>
      </c>
      <c r="C493" s="46" t="n">
        <v>1834</v>
      </c>
      <c r="D493" s="46" t="inlineStr">
        <is>
          <t>المكتب</t>
        </is>
      </c>
      <c r="E493" s="46" t="inlineStr">
        <is>
          <t>1*40</t>
        </is>
      </c>
      <c r="F493" s="46" t="inlineStr">
        <is>
          <t>الدولية</t>
        </is>
      </c>
      <c r="G493" s="46" t="inlineStr">
        <is>
          <t xml:space="preserve">العاشر </t>
        </is>
      </c>
      <c r="H493" s="46" t="inlineStr">
        <is>
          <t>823399/8</t>
        </is>
      </c>
      <c r="I493" s="46" t="inlineStr">
        <is>
          <t>س ع م 8737</t>
        </is>
      </c>
      <c r="J493" s="46" t="inlineStr">
        <is>
          <t xml:space="preserve">محمود بكر </t>
        </is>
      </c>
      <c r="K493" s="46" t="inlineStr">
        <is>
          <t>المكتب</t>
        </is>
      </c>
      <c r="L493" s="47" t="n">
        <v>14000</v>
      </c>
      <c r="M493" s="47" t="n">
        <v>7000</v>
      </c>
      <c r="N493" s="47" t="n"/>
      <c r="O493" s="47" t="n"/>
      <c r="P493" s="47" t="n"/>
      <c r="Q493" s="47" t="n">
        <v>7000</v>
      </c>
      <c r="R493" s="43">
        <f>IF($B493="","",N($S493)-N($Q493))</f>
        <v/>
      </c>
      <c r="S493" s="43">
        <f>IF($B493="","",N($L493)+N($N493)+N($P493))</f>
        <v/>
      </c>
      <c r="T493" s="47" t="n">
        <v>1500</v>
      </c>
      <c r="U493" s="47" t="n">
        <v>600</v>
      </c>
      <c r="V493" s="47" t="n"/>
      <c r="W493" s="47" t="n">
        <v>150</v>
      </c>
      <c r="X493" s="47" t="n">
        <v>130</v>
      </c>
      <c r="Y493" s="47" t="n">
        <v>60</v>
      </c>
      <c r="Z493" s="47" t="n"/>
      <c r="AA493" s="47" t="n"/>
      <c r="AB493" s="47" t="n"/>
      <c r="AC493" s="47" t="n"/>
      <c r="AD493" s="47" t="n"/>
      <c r="AE493" s="47" t="n">
        <v>6650</v>
      </c>
      <c r="AF493" s="43">
        <f>IF($B493="","",SUM($T493:$AE493))</f>
        <v/>
      </c>
      <c r="AG493" s="43">
        <f>IF($B493="","",N($M493)-N($AF493))</f>
        <v/>
      </c>
      <c r="AH493" s="43">
        <f>IF($B493="","",N($L493)-N($AF493))</f>
        <v/>
      </c>
      <c r="AI493" s="149">
        <f>IF($B493="","",IF(N($L493)=0,"",(N($L493)-N($AF493))/N($L493)))</f>
        <v/>
      </c>
    </row>
    <row r="494">
      <c r="A494" s="39">
        <f>IF($B494="","",COUNTA($B$4:$B494))</f>
        <v/>
      </c>
      <c r="B494" s="40" t="n">
        <v>46078</v>
      </c>
      <c r="C494" s="41" t="n">
        <v>1835</v>
      </c>
      <c r="D494" s="41" t="inlineStr">
        <is>
          <t>ايوب خ</t>
        </is>
      </c>
      <c r="E494" s="41" t="inlineStr">
        <is>
          <t>1*40</t>
        </is>
      </c>
      <c r="F494" s="41" t="inlineStr">
        <is>
          <t>الدولية</t>
        </is>
      </c>
      <c r="G494" s="41" t="inlineStr">
        <is>
          <t xml:space="preserve">العاشر </t>
        </is>
      </c>
      <c r="H494" s="41" t="inlineStr">
        <is>
          <t>658642/6</t>
        </is>
      </c>
      <c r="I494" s="41" t="inlineStr">
        <is>
          <t>ط ف ر 5195</t>
        </is>
      </c>
      <c r="J494" s="41" t="inlineStr">
        <is>
          <t xml:space="preserve">عبد الله مصطفى </t>
        </is>
      </c>
      <c r="K494" s="41" t="inlineStr">
        <is>
          <t xml:space="preserve">ايوب </t>
        </is>
      </c>
      <c r="L494" s="42" t="n">
        <v>14000</v>
      </c>
      <c r="M494" s="42" t="n">
        <v>8100</v>
      </c>
      <c r="N494" s="42" t="n"/>
      <c r="O494" s="42" t="n">
        <v>200</v>
      </c>
      <c r="P494" s="42" t="n"/>
      <c r="Q494" s="42" t="n">
        <v>5700</v>
      </c>
      <c r="R494" s="43">
        <f>IF($B494="","",N($S494)-N($Q494))</f>
        <v/>
      </c>
      <c r="S494" s="43">
        <f>IF($B494="","",N($L494)+N($N494)+N($P494))</f>
        <v/>
      </c>
      <c r="T494" s="42" t="n"/>
      <c r="U494" s="42" t="n"/>
      <c r="V494" s="42" t="n"/>
      <c r="W494" s="42" t="n"/>
      <c r="X494" s="42" t="n"/>
      <c r="Y494" s="42" t="n"/>
      <c r="Z494" s="42" t="n"/>
      <c r="AA494" s="42" t="n"/>
      <c r="AB494" s="42" t="n"/>
      <c r="AC494" s="42" t="n"/>
      <c r="AD494" s="42" t="n"/>
      <c r="AE494" s="42" t="n"/>
      <c r="AF494" s="43">
        <f>IF($B494="","",SUM($T494:$AE494))</f>
        <v/>
      </c>
      <c r="AG494" s="43">
        <f>IF($B494="","",N($M494)-N($AF494))</f>
        <v/>
      </c>
      <c r="AH494" s="43">
        <f>IF($B494="","",N($L494)-N($AF494))</f>
        <v/>
      </c>
      <c r="AI494" s="149">
        <f>IF($B494="","",IF(N($L494)=0,"",(N($L494)-N($AF494))/N($L494)))</f>
        <v/>
      </c>
    </row>
    <row r="495">
      <c r="A495" s="39">
        <f>IF($B495="","",COUNTA($B$4:$B495))</f>
        <v/>
      </c>
      <c r="B495" s="45" t="n">
        <v>46078</v>
      </c>
      <c r="C495" s="46" t="n">
        <v>2194</v>
      </c>
      <c r="D495" s="46" t="inlineStr">
        <is>
          <t>احمد عبدو خ</t>
        </is>
      </c>
      <c r="E495" s="46" t="inlineStr">
        <is>
          <t>1*40</t>
        </is>
      </c>
      <c r="F495" s="46" t="inlineStr">
        <is>
          <t xml:space="preserve">دلتا فلكس </t>
        </is>
      </c>
      <c r="G495" s="46" t="inlineStr">
        <is>
          <t xml:space="preserve">المحلة </t>
        </is>
      </c>
      <c r="H495" s="46" t="inlineStr">
        <is>
          <t>536638/1</t>
        </is>
      </c>
      <c r="I495" s="46" t="inlineStr">
        <is>
          <t>س ر ا 6671</t>
        </is>
      </c>
      <c r="J495" s="46" t="inlineStr">
        <is>
          <t xml:space="preserve">السيد بدوى </t>
        </is>
      </c>
      <c r="K495" s="46" t="inlineStr">
        <is>
          <t xml:space="preserve">حمو مرزوق </t>
        </is>
      </c>
      <c r="L495" s="47" t="n">
        <v>12000</v>
      </c>
      <c r="M495" s="47" t="n">
        <v>8100</v>
      </c>
      <c r="N495" s="47" t="n"/>
      <c r="O495" s="47" t="n">
        <v>200</v>
      </c>
      <c r="P495" s="47" t="n"/>
      <c r="Q495" s="47" t="n">
        <v>3700</v>
      </c>
      <c r="R495" s="43">
        <f>IF($B495="","",N($S495)-N($Q495))</f>
        <v/>
      </c>
      <c r="S495" s="43">
        <f>IF($B495="","",N($L495)+N($N495)+N($P495))</f>
        <v/>
      </c>
      <c r="T495" s="47" t="n"/>
      <c r="U495" s="47" t="n"/>
      <c r="V495" s="47" t="n"/>
      <c r="W495" s="47" t="n"/>
      <c r="X495" s="47" t="n"/>
      <c r="Y495" s="47" t="n"/>
      <c r="Z495" s="47" t="n"/>
      <c r="AA495" s="47" t="n"/>
      <c r="AB495" s="47" t="n"/>
      <c r="AC495" s="47" t="n"/>
      <c r="AD495" s="47" t="n"/>
      <c r="AE495" s="47" t="n"/>
      <c r="AF495" s="43">
        <f>IF($B495="","",SUM($T495:$AE495))</f>
        <v/>
      </c>
      <c r="AG495" s="43">
        <f>IF($B495="","",N($M495)-N($AF495))</f>
        <v/>
      </c>
      <c r="AH495" s="43">
        <f>IF($B495="","",N($L495)-N($AF495))</f>
        <v/>
      </c>
      <c r="AI495" s="149">
        <f>IF($B495="","",IF(N($L495)=0,"",(N($L495)-N($AF495))/N($L495)))</f>
        <v/>
      </c>
    </row>
    <row r="496">
      <c r="A496" s="39">
        <f>IF($B496="","",COUNTA($B$4:$B496))</f>
        <v/>
      </c>
      <c r="B496" s="40" t="n">
        <v>46078</v>
      </c>
      <c r="C496" s="41" t="n">
        <v>2195</v>
      </c>
      <c r="D496" s="41" t="inlineStr">
        <is>
          <t>كمال رزق خ</t>
        </is>
      </c>
      <c r="E496" s="41" t="inlineStr">
        <is>
          <t>1*40</t>
        </is>
      </c>
      <c r="F496" s="41" t="inlineStr">
        <is>
          <t xml:space="preserve">دلتا فلكس </t>
        </is>
      </c>
      <c r="G496" s="41" t="inlineStr">
        <is>
          <t xml:space="preserve">المحلة </t>
        </is>
      </c>
      <c r="H496" s="41" t="inlineStr">
        <is>
          <t>838779/2</t>
        </is>
      </c>
      <c r="I496" s="41" t="inlineStr">
        <is>
          <t>س ن ر 8979</t>
        </is>
      </c>
      <c r="J496" s="41" t="inlineStr">
        <is>
          <t xml:space="preserve">عماد سعيد </t>
        </is>
      </c>
      <c r="K496" s="41" t="inlineStr">
        <is>
          <t xml:space="preserve">عماد سعيد </t>
        </is>
      </c>
      <c r="L496" s="42" t="n">
        <v>12700</v>
      </c>
      <c r="M496" s="42" t="n">
        <v>8100</v>
      </c>
      <c r="N496" s="42" t="n"/>
      <c r="O496" s="42" t="n">
        <v>200</v>
      </c>
      <c r="P496" s="42" t="n"/>
      <c r="Q496" s="42" t="n">
        <v>4400</v>
      </c>
      <c r="R496" s="43">
        <f>IF($B496="","",N($S496)-N($Q496))</f>
        <v/>
      </c>
      <c r="S496" s="43">
        <f>IF($B496="","",N($L496)+N($N496)+N($P496))</f>
        <v/>
      </c>
      <c r="T496" s="42" t="n"/>
      <c r="U496" s="42" t="n"/>
      <c r="V496" s="42" t="n"/>
      <c r="W496" s="42" t="n"/>
      <c r="X496" s="42" t="n"/>
      <c r="Y496" s="42" t="n"/>
      <c r="Z496" s="42" t="n"/>
      <c r="AA496" s="42" t="n"/>
      <c r="AB496" s="42" t="n"/>
      <c r="AC496" s="42" t="n"/>
      <c r="AD496" s="42" t="n"/>
      <c r="AE496" s="42" t="n"/>
      <c r="AF496" s="43">
        <f>IF($B496="","",SUM($T496:$AE496))</f>
        <v/>
      </c>
      <c r="AG496" s="43">
        <f>IF($B496="","",N($M496)-N($AF496))</f>
        <v/>
      </c>
      <c r="AH496" s="43">
        <f>IF($B496="","",N($L496)-N($AF496))</f>
        <v/>
      </c>
      <c r="AI496" s="149">
        <f>IF($B496="","",IF(N($L496)=0,"",(N($L496)-N($AF496))/N($L496)))</f>
        <v/>
      </c>
    </row>
    <row r="497">
      <c r="A497" s="39">
        <f>IF($B497="","",COUNTA($B$4:$B497))</f>
        <v/>
      </c>
      <c r="B497" s="45" t="n">
        <v>46078</v>
      </c>
      <c r="C497" s="46" t="n">
        <v>2196</v>
      </c>
      <c r="D497" s="46" t="inlineStr">
        <is>
          <t>عتريس مخيمر  خ</t>
        </is>
      </c>
      <c r="E497" s="46" t="inlineStr">
        <is>
          <t>1*40</t>
        </is>
      </c>
      <c r="F497" s="46" t="inlineStr">
        <is>
          <t xml:space="preserve">اجريفود </t>
        </is>
      </c>
      <c r="G497" s="46" t="inlineStr">
        <is>
          <t xml:space="preserve">رشيد </t>
        </is>
      </c>
      <c r="H497" s="46" t="inlineStr">
        <is>
          <t>059611/0</t>
        </is>
      </c>
      <c r="I497" s="46" t="inlineStr">
        <is>
          <t>ب ص ا 2574</t>
        </is>
      </c>
      <c r="J497" s="46" t="inlineStr">
        <is>
          <t xml:space="preserve">احمد عادل </t>
        </is>
      </c>
      <c r="K497" s="46" t="inlineStr">
        <is>
          <t xml:space="preserve">احمد خليف </t>
        </is>
      </c>
      <c r="L497" s="47" t="n">
        <v>13500</v>
      </c>
      <c r="M497" s="47" t="n">
        <v>8100</v>
      </c>
      <c r="N497" s="47" t="n"/>
      <c r="O497" s="47" t="n">
        <v>200</v>
      </c>
      <c r="P497" s="47" t="n"/>
      <c r="Q497" s="47" t="n">
        <v>5200</v>
      </c>
      <c r="R497" s="43">
        <f>IF($B497="","",N($S497)-N($Q497))</f>
        <v/>
      </c>
      <c r="S497" s="43">
        <f>IF($B497="","",N($L497)+N($N497)+N($P497))</f>
        <v/>
      </c>
      <c r="T497" s="47" t="n"/>
      <c r="U497" s="47" t="n"/>
      <c r="V497" s="47" t="n"/>
      <c r="W497" s="47" t="n"/>
      <c r="X497" s="47" t="n"/>
      <c r="Y497" s="47" t="n"/>
      <c r="Z497" s="47" t="n"/>
      <c r="AA497" s="47" t="n"/>
      <c r="AB497" s="47" t="n"/>
      <c r="AC497" s="47" t="n"/>
      <c r="AD497" s="47" t="n"/>
      <c r="AE497" s="47" t="n"/>
      <c r="AF497" s="43">
        <f>IF($B497="","",SUM($T497:$AE497))</f>
        <v/>
      </c>
      <c r="AG497" s="43">
        <f>IF($B497="","",N($M497)-N($AF497))</f>
        <v/>
      </c>
      <c r="AH497" s="43">
        <f>IF($B497="","",N($L497)-N($AF497))</f>
        <v/>
      </c>
      <c r="AI497" s="149">
        <f>IF($B497="","",IF(N($L497)=0,"",(N($L497)-N($AF497))/N($L497)))</f>
        <v/>
      </c>
    </row>
    <row r="498">
      <c r="A498" s="39">
        <f>IF($B498="","",COUNTA($B$4:$B498))</f>
        <v/>
      </c>
      <c r="B498" s="40" t="n">
        <v>46078</v>
      </c>
      <c r="C498" s="41" t="n">
        <v>2076</v>
      </c>
      <c r="D498" s="41" t="inlineStr">
        <is>
          <t>مرزوق</t>
        </is>
      </c>
      <c r="E498" s="41" t="inlineStr">
        <is>
          <t>1*40</t>
        </is>
      </c>
      <c r="F498" s="41" t="inlineStr">
        <is>
          <t>محمود مسعود</t>
        </is>
      </c>
      <c r="G498" s="41" t="inlineStr">
        <is>
          <t xml:space="preserve">التوفيقية </t>
        </is>
      </c>
      <c r="H498" s="41" t="inlineStr">
        <is>
          <t>959588/2</t>
        </is>
      </c>
      <c r="I498" s="41" t="inlineStr">
        <is>
          <t>ع ر ب1573</t>
        </is>
      </c>
      <c r="J498" s="41" t="inlineStr">
        <is>
          <t xml:space="preserve">محمد السيد </t>
        </is>
      </c>
      <c r="K498" s="41" t="inlineStr">
        <is>
          <t xml:space="preserve">حمو مرزوق </t>
        </is>
      </c>
      <c r="L498" s="42" t="n">
        <v>11000</v>
      </c>
      <c r="M498" s="42" t="n">
        <v>7100</v>
      </c>
      <c r="N498" s="42" t="n"/>
      <c r="O498" s="42" t="n">
        <v>200</v>
      </c>
      <c r="P498" s="42" t="n">
        <v>23000</v>
      </c>
      <c r="Q498" s="42" t="n">
        <v>26700</v>
      </c>
      <c r="R498" s="43">
        <f>IF($B498="","",N($S498)-N($Q498))</f>
        <v/>
      </c>
      <c r="S498" s="43">
        <f>IF($B498="","",N($L498)+N($N498)+N($P498))</f>
        <v/>
      </c>
      <c r="T498" s="42" t="n"/>
      <c r="U498" s="42" t="n"/>
      <c r="V498" s="42" t="n"/>
      <c r="W498" s="42" t="n"/>
      <c r="X498" s="42" t="n"/>
      <c r="Y498" s="42" t="n"/>
      <c r="Z498" s="42" t="n"/>
      <c r="AA498" s="42" t="n"/>
      <c r="AB498" s="42" t="n"/>
      <c r="AC498" s="42" t="n"/>
      <c r="AD498" s="42" t="n"/>
      <c r="AE498" s="42" t="n"/>
      <c r="AF498" s="43">
        <f>IF($B498="","",SUM($T498:$AE498))</f>
        <v/>
      </c>
      <c r="AG498" s="43">
        <f>IF($B498="","",N($M498)-N($AF498))</f>
        <v/>
      </c>
      <c r="AH498" s="43">
        <f>IF($B498="","",N($L498)-N($AF498))</f>
        <v/>
      </c>
      <c r="AI498" s="149">
        <f>IF($B498="","",IF(N($L498)=0,"",(N($L498)-N($AF498))/N($L498)))</f>
        <v/>
      </c>
    </row>
    <row r="499">
      <c r="A499" s="39">
        <f>IF($B499="","",COUNTA($B$4:$B499))</f>
        <v/>
      </c>
      <c r="B499" s="45" t="n">
        <v>46078</v>
      </c>
      <c r="C499" s="46" t="n">
        <v>1841</v>
      </c>
      <c r="D499" s="46" t="inlineStr">
        <is>
          <t>حاتم البحر  ق</t>
        </is>
      </c>
      <c r="E499" s="46" t="inlineStr">
        <is>
          <t>1*20</t>
        </is>
      </c>
      <c r="F499" s="46" t="inlineStr">
        <is>
          <t xml:space="preserve">جرين اب </t>
        </is>
      </c>
      <c r="G499" s="46" t="inlineStr">
        <is>
          <t>بنى سويف</t>
        </is>
      </c>
      <c r="H499" s="46" t="inlineStr">
        <is>
          <t>048794/8</t>
        </is>
      </c>
      <c r="I499" s="46" t="inlineStr">
        <is>
          <t>ب ل ا 3861</t>
        </is>
      </c>
      <c r="J499" s="46" t="inlineStr">
        <is>
          <t xml:space="preserve">كريم عوض </t>
        </is>
      </c>
      <c r="K499" s="46" t="inlineStr">
        <is>
          <t xml:space="preserve">الاشرم </t>
        </is>
      </c>
      <c r="L499" s="47" t="n">
        <v>14000</v>
      </c>
      <c r="M499" s="47" t="n">
        <v>8100</v>
      </c>
      <c r="N499" s="47" t="n">
        <v>2500</v>
      </c>
      <c r="O499" s="47" t="n">
        <v>200</v>
      </c>
      <c r="P499" s="47" t="n"/>
      <c r="Q499" s="47" t="n">
        <v>3200</v>
      </c>
      <c r="R499" s="43">
        <f>IF($B499="","",N($S499)-N($Q499))</f>
        <v/>
      </c>
      <c r="S499" s="43">
        <f>IF($B499="","",N($L499)+N($N499)+N($P499))</f>
        <v/>
      </c>
      <c r="T499" s="47" t="n"/>
      <c r="U499" s="47" t="n"/>
      <c r="V499" s="47" t="n"/>
      <c r="W499" s="47" t="n"/>
      <c r="X499" s="47" t="n"/>
      <c r="Y499" s="47" t="n"/>
      <c r="Z499" s="47" t="n"/>
      <c r="AA499" s="47" t="n"/>
      <c r="AB499" s="47" t="n"/>
      <c r="AC499" s="47" t="n"/>
      <c r="AD499" s="47" t="n"/>
      <c r="AE499" s="47" t="n"/>
      <c r="AF499" s="43">
        <f>IF($B499="","",SUM($T499:$AE499))</f>
        <v/>
      </c>
      <c r="AG499" s="43">
        <f>IF($B499="","",N($M499)-N($AF499))</f>
        <v/>
      </c>
      <c r="AH499" s="43">
        <f>IF($B499="","",N($L499)-N($AF499))</f>
        <v/>
      </c>
      <c r="AI499" s="149">
        <f>IF($B499="","",IF(N($L499)=0,"",(N($L499)-N($AF499))/N($L499)))</f>
        <v/>
      </c>
    </row>
    <row r="500">
      <c r="A500" s="39">
        <f>IF($B500="","",COUNTA($B$4:$B500))</f>
        <v/>
      </c>
      <c r="B500" s="40" t="n">
        <v>46079</v>
      </c>
      <c r="C500" s="41" t="n">
        <v>1393</v>
      </c>
      <c r="D500" s="41" t="inlineStr">
        <is>
          <t>حاتم البحر  ق</t>
        </is>
      </c>
      <c r="E500" s="41" t="inlineStr">
        <is>
          <t>1*20</t>
        </is>
      </c>
      <c r="F500" s="41" t="inlineStr">
        <is>
          <t xml:space="preserve">اركانا </t>
        </is>
      </c>
      <c r="G500" s="41" t="inlineStr">
        <is>
          <t xml:space="preserve">اكتوبر </t>
        </is>
      </c>
      <c r="H500" s="41" t="inlineStr">
        <is>
          <t>409796/4</t>
        </is>
      </c>
      <c r="I500" s="41" t="inlineStr">
        <is>
          <t>ب ع ا 7836</t>
        </is>
      </c>
      <c r="J500" s="41" t="inlineStr">
        <is>
          <t xml:space="preserve">حمادة جمال </t>
        </is>
      </c>
      <c r="K500" s="41" t="inlineStr">
        <is>
          <t xml:space="preserve">الاشرم </t>
        </is>
      </c>
      <c r="L500" s="42" t="n">
        <v>10000</v>
      </c>
      <c r="M500" s="42" t="n">
        <v>7100</v>
      </c>
      <c r="N500" s="42" t="n"/>
      <c r="O500" s="42" t="n">
        <v>200</v>
      </c>
      <c r="P500" s="42" t="n"/>
      <c r="Q500" s="42" t="n">
        <v>2700</v>
      </c>
      <c r="R500" s="43">
        <f>IF($B500="","",N($S500)-N($Q500))</f>
        <v/>
      </c>
      <c r="S500" s="43">
        <f>IF($B500="","",N($L500)+N($N500)+N($P500))</f>
        <v/>
      </c>
      <c r="T500" s="42" t="n"/>
      <c r="U500" s="42" t="n"/>
      <c r="V500" s="42" t="n"/>
      <c r="W500" s="42" t="n"/>
      <c r="X500" s="42" t="n"/>
      <c r="Y500" s="42" t="n"/>
      <c r="Z500" s="42" t="n"/>
      <c r="AA500" s="42" t="n"/>
      <c r="AB500" s="42" t="n"/>
      <c r="AC500" s="42" t="n"/>
      <c r="AD500" s="42" t="n"/>
      <c r="AE500" s="42" t="n"/>
      <c r="AF500" s="43">
        <f>IF($B500="","",SUM($T500:$AE500))</f>
        <v/>
      </c>
      <c r="AG500" s="43">
        <f>IF($B500="","",N($M500)-N($AF500))</f>
        <v/>
      </c>
      <c r="AH500" s="43">
        <f>IF($B500="","",N($L500)-N($AF500))</f>
        <v/>
      </c>
      <c r="AI500" s="149">
        <f>IF($B500="","",IF(N($L500)=0,"",(N($L500)-N($AF500))/N($L500)))</f>
        <v/>
      </c>
    </row>
    <row r="501">
      <c r="A501" s="39">
        <f>IF($B501="","",COUNTA($B$4:$B501))</f>
        <v/>
      </c>
      <c r="B501" s="45" t="n">
        <v>46079</v>
      </c>
      <c r="C501" s="46" t="n">
        <v>1842</v>
      </c>
      <c r="D501" s="46" t="inlineStr">
        <is>
          <t>المكتب</t>
        </is>
      </c>
      <c r="E501" s="46" t="inlineStr">
        <is>
          <t>1*40</t>
        </is>
      </c>
      <c r="F501" s="46" t="inlineStr">
        <is>
          <t>وادى الرياض</t>
        </is>
      </c>
      <c r="G501" s="46" t="inlineStr">
        <is>
          <t>الاسماعيليه</t>
        </is>
      </c>
      <c r="H501" s="46" t="inlineStr">
        <is>
          <t>732048/2</t>
        </is>
      </c>
      <c r="I501" s="46" t="inlineStr">
        <is>
          <t>س ع م 8737</t>
        </is>
      </c>
      <c r="J501" s="46" t="inlineStr">
        <is>
          <t xml:space="preserve">محمود بكر </t>
        </is>
      </c>
      <c r="K501" s="46" t="inlineStr">
        <is>
          <t>المكتب</t>
        </is>
      </c>
      <c r="L501" s="47" t="n">
        <v>17000</v>
      </c>
      <c r="M501" s="47" t="n">
        <v>8000</v>
      </c>
      <c r="N501" s="47" t="n"/>
      <c r="O501" s="47" t="n"/>
      <c r="P501" s="47" t="n"/>
      <c r="Q501" s="47" t="n">
        <v>9000</v>
      </c>
      <c r="R501" s="43">
        <f>IF($B501="","",N($S501)-N($Q501))</f>
        <v/>
      </c>
      <c r="S501" s="43">
        <f>IF($B501="","",N($L501)+N($N501)+N($P501))</f>
        <v/>
      </c>
      <c r="T501" s="47" t="n">
        <v>1700</v>
      </c>
      <c r="U501" s="47" t="n">
        <v>650</v>
      </c>
      <c r="V501" s="47" t="n"/>
      <c r="W501" s="47" t="n">
        <v>150</v>
      </c>
      <c r="X501" s="47" t="n">
        <v>155</v>
      </c>
      <c r="Y501" s="47" t="n">
        <v>60</v>
      </c>
      <c r="Z501" s="47" t="n"/>
      <c r="AA501" s="47" t="n"/>
      <c r="AB501" s="47" t="n">
        <v>250</v>
      </c>
      <c r="AC501" s="47" t="n">
        <v>100</v>
      </c>
      <c r="AD501" s="47" t="n">
        <v>150</v>
      </c>
      <c r="AE501" s="47" t="n">
        <v>4500</v>
      </c>
      <c r="AF501" s="43">
        <f>IF($B501="","",SUM($T501:$AE501))</f>
        <v/>
      </c>
      <c r="AG501" s="43">
        <f>IF($B501="","",N($M501)-N($AF501))</f>
        <v/>
      </c>
      <c r="AH501" s="43">
        <f>IF($B501="","",N($L501)-N($AF501))</f>
        <v/>
      </c>
      <c r="AI501" s="149">
        <f>IF($B501="","",IF(N($L501)=0,"",(N($L501)-N($AF501))/N($L501)))</f>
        <v/>
      </c>
    </row>
    <row r="502">
      <c r="A502" s="39">
        <f>IF($B502="","",COUNTA($B$4:$B502))</f>
        <v/>
      </c>
      <c r="B502" s="40" t="n">
        <v>46079</v>
      </c>
      <c r="C502" s="41" t="n">
        <v>2102</v>
      </c>
      <c r="D502" s="41" t="inlineStr">
        <is>
          <t>؟؟</t>
        </is>
      </c>
      <c r="E502" s="41" t="inlineStr">
        <is>
          <t>1*40</t>
        </is>
      </c>
      <c r="F502" s="41" t="inlineStr">
        <is>
          <t>الفحم</t>
        </is>
      </c>
      <c r="G502" s="41" t="inlineStr">
        <is>
          <t>المكس</t>
        </is>
      </c>
      <c r="H502" s="41" t="inlineStr">
        <is>
          <t>164203/3</t>
        </is>
      </c>
      <c r="I502" s="41" t="inlineStr">
        <is>
          <t>س ن ف1927</t>
        </is>
      </c>
      <c r="J502" s="41" t="inlineStr">
        <is>
          <t>محمود عبد العزيز</t>
        </is>
      </c>
      <c r="K502" s="41" t="inlineStr">
        <is>
          <t xml:space="preserve">حودة عز </t>
        </is>
      </c>
      <c r="L502" s="42" t="n">
        <v>5500</v>
      </c>
      <c r="M502" s="42" t="n">
        <v>5000</v>
      </c>
      <c r="N502" s="42" t="n"/>
      <c r="O502" s="42" t="n"/>
      <c r="P502" s="42" t="n"/>
      <c r="Q502" s="42" t="n">
        <v>500</v>
      </c>
      <c r="R502" s="43">
        <f>IF($B502="","",N($S502)-N($Q502))</f>
        <v/>
      </c>
      <c r="S502" s="43">
        <f>IF($B502="","",N($L502)+N($N502)+N($P502))</f>
        <v/>
      </c>
      <c r="T502" s="42" t="n"/>
      <c r="U502" s="42" t="n"/>
      <c r="V502" s="42" t="n"/>
      <c r="W502" s="42" t="n"/>
      <c r="X502" s="42" t="n"/>
      <c r="Y502" s="42" t="n"/>
      <c r="Z502" s="42" t="n"/>
      <c r="AA502" s="42" t="n"/>
      <c r="AB502" s="42" t="n"/>
      <c r="AC502" s="42" t="n"/>
      <c r="AD502" s="42" t="n"/>
      <c r="AE502" s="42" t="n"/>
      <c r="AF502" s="43">
        <f>IF($B502="","",SUM($T502:$AE502))</f>
        <v/>
      </c>
      <c r="AG502" s="43">
        <f>IF($B502="","",N($M502)-N($AF502))</f>
        <v/>
      </c>
      <c r="AH502" s="43">
        <f>IF($B502="","",N($L502)-N($AF502))</f>
        <v/>
      </c>
      <c r="AI502" s="149">
        <f>IF($B502="","",IF(N($L502)=0,"",(N($L502)-N($AF502))/N($L502)))</f>
        <v/>
      </c>
    </row>
    <row r="503">
      <c r="A503" s="39">
        <f>IF($B503="","",COUNTA($B$4:$B503))</f>
        <v/>
      </c>
      <c r="B503" s="45" t="n">
        <v>46079</v>
      </c>
      <c r="C503" s="46" t="n">
        <v>2101</v>
      </c>
      <c r="D503" s="46" t="inlineStr">
        <is>
          <t>؟؟</t>
        </is>
      </c>
      <c r="E503" s="46" t="inlineStr">
        <is>
          <t>1*40</t>
        </is>
      </c>
      <c r="F503" s="46" t="inlineStr">
        <is>
          <t>الفحم</t>
        </is>
      </c>
      <c r="G503" s="46" t="inlineStr">
        <is>
          <t>المكس</t>
        </is>
      </c>
      <c r="H503" s="46" t="inlineStr">
        <is>
          <t>762815/0</t>
        </is>
      </c>
      <c r="I503" s="46" t="inlineStr">
        <is>
          <t>س ن ا 9452</t>
        </is>
      </c>
      <c r="J503" s="46" t="inlineStr">
        <is>
          <t>احمد عاطف</t>
        </is>
      </c>
      <c r="K503" s="46" t="inlineStr">
        <is>
          <t xml:space="preserve">السائق </t>
        </is>
      </c>
      <c r="L503" s="47" t="n">
        <v>5700</v>
      </c>
      <c r="M503" s="47" t="n">
        <v>5100</v>
      </c>
      <c r="N503" s="47" t="n"/>
      <c r="O503" s="47" t="n">
        <v>200</v>
      </c>
      <c r="P503" s="47" t="n"/>
      <c r="Q503" s="47" t="n">
        <v>400</v>
      </c>
      <c r="R503" s="43">
        <f>IF($B503="","",N($S503)-N($Q503))</f>
        <v/>
      </c>
      <c r="S503" s="43">
        <f>IF($B503="","",N($L503)+N($N503)+N($P503))</f>
        <v/>
      </c>
      <c r="T503" s="47" t="n"/>
      <c r="U503" s="47" t="n"/>
      <c r="V503" s="47" t="n"/>
      <c r="W503" s="47" t="n"/>
      <c r="X503" s="47" t="n"/>
      <c r="Y503" s="47" t="n"/>
      <c r="Z503" s="47" t="n"/>
      <c r="AA503" s="47" t="n"/>
      <c r="AB503" s="47" t="n"/>
      <c r="AC503" s="47" t="n"/>
      <c r="AD503" s="47" t="n"/>
      <c r="AE503" s="47" t="n"/>
      <c r="AF503" s="43">
        <f>IF($B503="","",SUM($T503:$AE503))</f>
        <v/>
      </c>
      <c r="AG503" s="43">
        <f>IF($B503="","",N($M503)-N($AF503))</f>
        <v/>
      </c>
      <c r="AH503" s="43">
        <f>IF($B503="","",N($L503)-N($AF503))</f>
        <v/>
      </c>
      <c r="AI503" s="149">
        <f>IF($B503="","",IF(N($L503)=0,"",(N($L503)-N($AF503))/N($L503)))</f>
        <v/>
      </c>
    </row>
    <row r="504">
      <c r="A504" s="39">
        <f>IF($B504="","",COUNTA($B$4:$B504))</f>
        <v/>
      </c>
      <c r="B504" s="40" t="n">
        <v>46079</v>
      </c>
      <c r="C504" s="41" t="n">
        <v>2197</v>
      </c>
      <c r="D504" s="41" t="inlineStr">
        <is>
          <t xml:space="preserve">محمد يحى </t>
        </is>
      </c>
      <c r="E504" s="41" t="inlineStr">
        <is>
          <t>1*40</t>
        </is>
      </c>
      <c r="F504" s="41" t="inlineStr">
        <is>
          <t>اروماتيك</t>
        </is>
      </c>
      <c r="G504" s="41" t="inlineStr">
        <is>
          <t>بنى سويف</t>
        </is>
      </c>
      <c r="H504" s="41" t="inlineStr">
        <is>
          <t>381766/3</t>
        </is>
      </c>
      <c r="I504" s="41" t="inlineStr">
        <is>
          <t>ط ف ر 1474</t>
        </is>
      </c>
      <c r="J504" s="41" t="inlineStr">
        <is>
          <t xml:space="preserve">جمال على </t>
        </is>
      </c>
      <c r="K504" s="41" t="inlineStr">
        <is>
          <t xml:space="preserve">كريم خليف </t>
        </is>
      </c>
      <c r="L504" s="42" t="n">
        <v>19000</v>
      </c>
      <c r="M504" s="42" t="n">
        <v>10100</v>
      </c>
      <c r="N504" s="42" t="n"/>
      <c r="O504" s="42" t="n">
        <v>200</v>
      </c>
      <c r="P504" s="42" t="n"/>
      <c r="Q504" s="42" t="n">
        <v>8700</v>
      </c>
      <c r="R504" s="43">
        <f>IF($B504="","",N($S504)-N($Q504))</f>
        <v/>
      </c>
      <c r="S504" s="43">
        <f>IF($B504="","",N($L504)+N($N504)+N($P504))</f>
        <v/>
      </c>
      <c r="T504" s="42" t="n"/>
      <c r="U504" s="42" t="n"/>
      <c r="V504" s="42" t="n"/>
      <c r="W504" s="42" t="n"/>
      <c r="X504" s="42" t="n"/>
      <c r="Y504" s="42" t="n"/>
      <c r="Z504" s="42" t="n"/>
      <c r="AA504" s="42" t="n"/>
      <c r="AB504" s="42" t="n"/>
      <c r="AC504" s="42" t="n"/>
      <c r="AD504" s="42" t="n"/>
      <c r="AE504" s="42" t="n"/>
      <c r="AF504" s="43">
        <f>IF($B504="","",SUM($T504:$AE504))</f>
        <v/>
      </c>
      <c r="AG504" s="43">
        <f>IF($B504="","",N($M504)-N($AF504))</f>
        <v/>
      </c>
      <c r="AH504" s="43">
        <f>IF($B504="","",N($L504)-N($AF504))</f>
        <v/>
      </c>
      <c r="AI504" s="149">
        <f>IF($B504="","",IF(N($L504)=0,"",(N($L504)-N($AF504))/N($L504)))</f>
        <v/>
      </c>
    </row>
    <row r="505">
      <c r="A505" s="39">
        <f>IF($B505="","",COUNTA($B$4:$B505))</f>
        <v/>
      </c>
      <c r="B505" s="45" t="n">
        <v>46079</v>
      </c>
      <c r="C505" s="46" t="n">
        <v>2198</v>
      </c>
      <c r="D505" s="46" t="inlineStr">
        <is>
          <t>كمال رزق خ</t>
        </is>
      </c>
      <c r="E505" s="46" t="inlineStr">
        <is>
          <t>1*40 ث</t>
        </is>
      </c>
      <c r="F505" s="46" t="inlineStr">
        <is>
          <t xml:space="preserve">الفرسان </t>
        </is>
      </c>
      <c r="G505" s="46" t="inlineStr">
        <is>
          <t xml:space="preserve">اكتوبر </t>
        </is>
      </c>
      <c r="H505" s="46" t="inlineStr">
        <is>
          <t>508941/5</t>
        </is>
      </c>
      <c r="I505" s="46" t="inlineStr">
        <is>
          <t>س ن ر 8979</t>
        </is>
      </c>
      <c r="J505" s="46" t="inlineStr">
        <is>
          <t xml:space="preserve">عماد سعيد </t>
        </is>
      </c>
      <c r="K505" s="46" t="inlineStr">
        <is>
          <t xml:space="preserve">السائق </t>
        </is>
      </c>
      <c r="L505" s="47" t="n">
        <v>14000</v>
      </c>
      <c r="M505" s="47" t="n">
        <v>8100</v>
      </c>
      <c r="N505" s="47" t="n"/>
      <c r="O505" s="47" t="n">
        <v>200</v>
      </c>
      <c r="P505" s="47" t="n"/>
      <c r="Q505" s="47" t="n">
        <v>5700</v>
      </c>
      <c r="R505" s="43">
        <f>IF($B505="","",N($S505)-N($Q505))</f>
        <v/>
      </c>
      <c r="S505" s="43">
        <f>IF($B505="","",N($L505)+N($N505)+N($P505))</f>
        <v/>
      </c>
      <c r="T505" s="47" t="n"/>
      <c r="U505" s="47" t="n"/>
      <c r="V505" s="47" t="n"/>
      <c r="W505" s="47" t="n"/>
      <c r="X505" s="47" t="n"/>
      <c r="Y505" s="47" t="n"/>
      <c r="Z505" s="47" t="n"/>
      <c r="AA505" s="47" t="n"/>
      <c r="AB505" s="47" t="n"/>
      <c r="AC505" s="47" t="n"/>
      <c r="AD505" s="47" t="n"/>
      <c r="AE505" s="47" t="n"/>
      <c r="AF505" s="43">
        <f>IF($B505="","",SUM($T505:$AE505))</f>
        <v/>
      </c>
      <c r="AG505" s="43">
        <f>IF($B505="","",N($M505)-N($AF505))</f>
        <v/>
      </c>
      <c r="AH505" s="43">
        <f>IF($B505="","",N($L505)-N($AF505))</f>
        <v/>
      </c>
      <c r="AI505" s="149">
        <f>IF($B505="","",IF(N($L505)=0,"",(N($L505)-N($AF505))/N($L505)))</f>
        <v/>
      </c>
    </row>
    <row r="506">
      <c r="A506" s="39">
        <f>IF($B506="","",COUNTA($B$4:$B506))</f>
        <v/>
      </c>
      <c r="B506" s="40" t="n">
        <v>46081</v>
      </c>
      <c r="C506" s="41" t="n">
        <v>2251</v>
      </c>
      <c r="D506" s="41" t="inlineStr">
        <is>
          <t>كمال رزق خ</t>
        </is>
      </c>
      <c r="E506" s="41" t="inlineStr">
        <is>
          <t>1*40 ث</t>
        </is>
      </c>
      <c r="F506" s="41" t="inlineStr">
        <is>
          <t xml:space="preserve">تى فارم </t>
        </is>
      </c>
      <c r="G506" s="41" t="inlineStr">
        <is>
          <t xml:space="preserve">النوبارية </t>
        </is>
      </c>
      <c r="H506" s="41" t="n">
        <v>110866</v>
      </c>
      <c r="I506" s="41" t="inlineStr">
        <is>
          <t>س ن ر 8979</t>
        </is>
      </c>
      <c r="J506" s="41" t="inlineStr">
        <is>
          <t xml:space="preserve">عماد سعيد </t>
        </is>
      </c>
      <c r="K506" s="41" t="inlineStr">
        <is>
          <t xml:space="preserve">عماد سعيد </t>
        </is>
      </c>
      <c r="L506" s="42" t="n">
        <v>11000</v>
      </c>
      <c r="M506" s="42" t="n">
        <v>7100</v>
      </c>
      <c r="N506" s="42" t="n"/>
      <c r="O506" s="42" t="n">
        <v>200</v>
      </c>
      <c r="P506" s="42" t="n"/>
      <c r="Q506" s="42" t="n">
        <v>3700</v>
      </c>
      <c r="R506" s="43">
        <f>IF($B506="","",N($S506)-N($Q506))</f>
        <v/>
      </c>
      <c r="S506" s="43">
        <f>IF($B506="","",N($L506)+N($N506)+N($P506))</f>
        <v/>
      </c>
      <c r="T506" s="42" t="n"/>
      <c r="U506" s="42" t="n"/>
      <c r="V506" s="42" t="n"/>
      <c r="W506" s="42" t="n"/>
      <c r="X506" s="42" t="n"/>
      <c r="Y506" s="42" t="n"/>
      <c r="Z506" s="42" t="n"/>
      <c r="AA506" s="42" t="n"/>
      <c r="AB506" s="42" t="n"/>
      <c r="AC506" s="42" t="n"/>
      <c r="AD506" s="42" t="n"/>
      <c r="AE506" s="42" t="n"/>
      <c r="AF506" s="43">
        <f>IF($B506="","",SUM($T506:$AE506))</f>
        <v/>
      </c>
      <c r="AG506" s="43">
        <f>IF($B506="","",N($M506)-N($AF506))</f>
        <v/>
      </c>
      <c r="AH506" s="43">
        <f>IF($B506="","",N($L506)-N($AF506))</f>
        <v/>
      </c>
      <c r="AI506" s="149">
        <f>IF($B506="","",IF(N($L506)=0,"",(N($L506)-N($AF506))/N($L506)))</f>
        <v/>
      </c>
    </row>
    <row r="507">
      <c r="A507" s="39">
        <f>IF($B507="","",COUNTA($B$4:$B507))</f>
        <v/>
      </c>
      <c r="B507" s="45" t="n">
        <v>46081</v>
      </c>
      <c r="C507" s="46" t="n">
        <v>2252</v>
      </c>
      <c r="D507" s="46" t="inlineStr">
        <is>
          <t>حماد خ</t>
        </is>
      </c>
      <c r="E507" s="46" t="inlineStr">
        <is>
          <t>1*40 ث</t>
        </is>
      </c>
      <c r="F507" s="46" t="inlineStr">
        <is>
          <t xml:space="preserve">تى فارم </t>
        </is>
      </c>
      <c r="G507" s="46" t="inlineStr">
        <is>
          <t xml:space="preserve">النوبارية </t>
        </is>
      </c>
      <c r="H507" s="46" t="inlineStr">
        <is>
          <t>609345/1</t>
        </is>
      </c>
      <c r="I507" s="46" t="inlineStr">
        <is>
          <t>س ن ب 1649</t>
        </is>
      </c>
      <c r="J507" s="46" t="inlineStr">
        <is>
          <t xml:space="preserve">محمد عاطف </t>
        </is>
      </c>
      <c r="K507" s="46" t="inlineStr">
        <is>
          <t xml:space="preserve">محمد صابر </t>
        </is>
      </c>
      <c r="L507" s="47" t="n">
        <v>11500</v>
      </c>
      <c r="M507" s="47" t="n">
        <v>7100</v>
      </c>
      <c r="N507" s="47" t="n"/>
      <c r="O507" s="47" t="n">
        <v>200</v>
      </c>
      <c r="P507" s="47" t="n"/>
      <c r="Q507" s="47" t="n">
        <v>4200</v>
      </c>
      <c r="R507" s="43">
        <f>IF($B507="","",N($S507)-N($Q507))</f>
        <v/>
      </c>
      <c r="S507" s="43">
        <f>IF($B507="","",N($L507)+N($N507)+N($P507))</f>
        <v/>
      </c>
      <c r="T507" s="47" t="n"/>
      <c r="U507" s="47" t="n"/>
      <c r="V507" s="47" t="n"/>
      <c r="W507" s="47" t="n"/>
      <c r="X507" s="47" t="n"/>
      <c r="Y507" s="47" t="n"/>
      <c r="Z507" s="47" t="n"/>
      <c r="AA507" s="47" t="n"/>
      <c r="AB507" s="47" t="n"/>
      <c r="AC507" s="47" t="n"/>
      <c r="AD507" s="47" t="n"/>
      <c r="AE507" s="47" t="n"/>
      <c r="AF507" s="43">
        <f>IF($B507="","",SUM($T507:$AE507))</f>
        <v/>
      </c>
      <c r="AG507" s="43">
        <f>IF($B507="","",N($M507)-N($AF507))</f>
        <v/>
      </c>
      <c r="AH507" s="43">
        <f>IF($B507="","",N($L507)-N($AF507))</f>
        <v/>
      </c>
      <c r="AI507" s="149">
        <f>IF($B507="","",IF(N($L507)=0,"",(N($L507)-N($AF507))/N($L507)))</f>
        <v/>
      </c>
    </row>
    <row r="508">
      <c r="A508" s="39">
        <f>IF($B508="","",COUNTA($B$4:$B508))</f>
        <v/>
      </c>
      <c r="B508" s="40" t="n">
        <v>46081</v>
      </c>
      <c r="C508" s="41" t="n">
        <v>2254</v>
      </c>
      <c r="D508" s="41" t="inlineStr">
        <is>
          <t>حماد خ</t>
        </is>
      </c>
      <c r="E508" s="41" t="inlineStr">
        <is>
          <t>1*40 ث</t>
        </is>
      </c>
      <c r="F508" s="41" t="inlineStr">
        <is>
          <t xml:space="preserve">تى فارم </t>
        </is>
      </c>
      <c r="G508" s="41" t="inlineStr">
        <is>
          <t xml:space="preserve">النوبارية </t>
        </is>
      </c>
      <c r="H508" s="41" t="inlineStr">
        <is>
          <t>281436/9</t>
        </is>
      </c>
      <c r="I508" s="41" t="inlineStr">
        <is>
          <t>س ق ا 9635</t>
        </is>
      </c>
      <c r="J508" s="41" t="inlineStr">
        <is>
          <t xml:space="preserve">معتمد حسين </t>
        </is>
      </c>
      <c r="K508" s="41" t="inlineStr">
        <is>
          <t xml:space="preserve">محمد صابر </t>
        </is>
      </c>
      <c r="L508" s="42" t="n">
        <v>11500</v>
      </c>
      <c r="M508" s="42" t="n">
        <v>7100</v>
      </c>
      <c r="N508" s="42" t="n"/>
      <c r="O508" s="42" t="n">
        <v>200</v>
      </c>
      <c r="P508" s="42" t="n"/>
      <c r="Q508" s="42" t="n">
        <v>4200</v>
      </c>
      <c r="R508" s="43">
        <f>IF($B508="","",N($S508)-N($Q508))</f>
        <v/>
      </c>
      <c r="S508" s="43">
        <f>IF($B508="","",N($L508)+N($N508)+N($P508))</f>
        <v/>
      </c>
      <c r="T508" s="42" t="n"/>
      <c r="U508" s="42" t="n"/>
      <c r="V508" s="42" t="n"/>
      <c r="W508" s="42" t="n"/>
      <c r="X508" s="42" t="n"/>
      <c r="Y508" s="42" t="n"/>
      <c r="Z508" s="42" t="n"/>
      <c r="AA508" s="42" t="n"/>
      <c r="AB508" s="42" t="n"/>
      <c r="AC508" s="42" t="n"/>
      <c r="AD508" s="42" t="n"/>
      <c r="AE508" s="42" t="n"/>
      <c r="AF508" s="43">
        <f>IF($B508="","",SUM($T508:$AE508))</f>
        <v/>
      </c>
      <c r="AG508" s="43">
        <f>IF($B508="","",N($M508)-N($AF508))</f>
        <v/>
      </c>
      <c r="AH508" s="43">
        <f>IF($B508="","",N($L508)-N($AF508))</f>
        <v/>
      </c>
      <c r="AI508" s="149">
        <f>IF($B508="","",IF(N($L508)=0,"",(N($L508)-N($AF508))/N($L508)))</f>
        <v/>
      </c>
    </row>
    <row r="509">
      <c r="A509" s="39">
        <f>IF($B509="","",COUNTA($B$4:$B509))</f>
        <v/>
      </c>
      <c r="B509" s="45" t="n">
        <v>46081</v>
      </c>
      <c r="C509" s="46" t="n">
        <v>2199</v>
      </c>
      <c r="D509" s="46" t="inlineStr">
        <is>
          <t>استوريا خ</t>
        </is>
      </c>
      <c r="E509" s="46" t="inlineStr">
        <is>
          <t>1*40 ث</t>
        </is>
      </c>
      <c r="F509" s="46" t="inlineStr">
        <is>
          <t xml:space="preserve">تى فارم </t>
        </is>
      </c>
      <c r="G509" s="46" t="inlineStr">
        <is>
          <t xml:space="preserve">النوبارية </t>
        </is>
      </c>
      <c r="H509" s="46" t="inlineStr">
        <is>
          <t>281706/0</t>
        </is>
      </c>
      <c r="I509" s="46" t="inlineStr">
        <is>
          <t>س ع ف 5219</t>
        </is>
      </c>
      <c r="J509" s="46" t="inlineStr">
        <is>
          <t>منيا صامويل</t>
        </is>
      </c>
      <c r="K509" s="46" t="inlineStr">
        <is>
          <t>فارس</t>
        </is>
      </c>
      <c r="L509" s="47" t="n">
        <v>11000</v>
      </c>
      <c r="M509" s="47" t="n">
        <v>7100</v>
      </c>
      <c r="N509" s="47" t="n"/>
      <c r="O509" s="47" t="n">
        <v>200</v>
      </c>
      <c r="P509" s="47" t="n"/>
      <c r="Q509" s="47" t="n">
        <v>3700</v>
      </c>
      <c r="R509" s="43">
        <f>IF($B509="","",N($S509)-N($Q509))</f>
        <v/>
      </c>
      <c r="S509" s="43">
        <f>IF($B509="","",N($L509)+N($N509)+N($P509))</f>
        <v/>
      </c>
      <c r="T509" s="47" t="n"/>
      <c r="U509" s="47" t="n"/>
      <c r="V509" s="47" t="n"/>
      <c r="W509" s="47" t="n"/>
      <c r="X509" s="47" t="n"/>
      <c r="Y509" s="47" t="n"/>
      <c r="Z509" s="47" t="n"/>
      <c r="AA509" s="47" t="n"/>
      <c r="AB509" s="47" t="n"/>
      <c r="AC509" s="47" t="n"/>
      <c r="AD509" s="47" t="n"/>
      <c r="AE509" s="47" t="n"/>
      <c r="AF509" s="43">
        <f>IF($B509="","",SUM($T509:$AE509))</f>
        <v/>
      </c>
      <c r="AG509" s="43">
        <f>IF($B509="","",N($M509)-N($AF509))</f>
        <v/>
      </c>
      <c r="AH509" s="43">
        <f>IF($B509="","",N($L509)-N($AF509))</f>
        <v/>
      </c>
      <c r="AI509" s="149">
        <f>IF($B509="","",IF(N($L509)=0,"",(N($L509)-N($AF509))/N($L509)))</f>
        <v/>
      </c>
    </row>
    <row r="510">
      <c r="A510" s="39">
        <f>IF($B510="","",COUNTA($B$4:$B510))</f>
        <v/>
      </c>
      <c r="B510" s="40" t="n">
        <v>46081</v>
      </c>
      <c r="C510" s="41" t="n">
        <v>2200</v>
      </c>
      <c r="D510" s="41" t="inlineStr">
        <is>
          <t xml:space="preserve">محمد يحى </t>
        </is>
      </c>
      <c r="E510" s="41" t="inlineStr">
        <is>
          <t>1*40 ث</t>
        </is>
      </c>
      <c r="F510" s="41" t="inlineStr">
        <is>
          <t xml:space="preserve">تى فارم </t>
        </is>
      </c>
      <c r="G510" s="41" t="inlineStr">
        <is>
          <t xml:space="preserve">النوبارية </t>
        </is>
      </c>
      <c r="H510" s="41" t="inlineStr">
        <is>
          <t>953050/0</t>
        </is>
      </c>
      <c r="I510" s="41" t="inlineStr">
        <is>
          <t>ط ف ر 1474</t>
        </is>
      </c>
      <c r="J510" s="41" t="inlineStr">
        <is>
          <t xml:space="preserve">جمال على </t>
        </is>
      </c>
      <c r="K510" s="41" t="inlineStr">
        <is>
          <t xml:space="preserve">كريم خليف </t>
        </is>
      </c>
      <c r="L510" s="42" t="n">
        <v>11000</v>
      </c>
      <c r="M510" s="42" t="n">
        <v>7100</v>
      </c>
      <c r="N510" s="42" t="n"/>
      <c r="O510" s="42" t="n">
        <v>200</v>
      </c>
      <c r="P510" s="42" t="n"/>
      <c r="Q510" s="42" t="n">
        <v>3700</v>
      </c>
      <c r="R510" s="43">
        <f>IF($B510="","",N($S510)-N($Q510))</f>
        <v/>
      </c>
      <c r="S510" s="43">
        <f>IF($B510="","",N($L510)+N($N510)+N($P510))</f>
        <v/>
      </c>
      <c r="T510" s="42" t="n"/>
      <c r="U510" s="42" t="n"/>
      <c r="V510" s="42" t="n"/>
      <c r="W510" s="42" t="n"/>
      <c r="X510" s="42" t="n"/>
      <c r="Y510" s="42" t="n"/>
      <c r="Z510" s="42" t="n"/>
      <c r="AA510" s="42" t="n"/>
      <c r="AB510" s="42" t="n"/>
      <c r="AC510" s="42" t="n"/>
      <c r="AD510" s="42" t="n"/>
      <c r="AE510" s="42" t="n"/>
      <c r="AF510" s="43">
        <f>IF($B510="","",SUM($T510:$AE510))</f>
        <v/>
      </c>
      <c r="AG510" s="43">
        <f>IF($B510="","",N($M510)-N($AF510))</f>
        <v/>
      </c>
      <c r="AH510" s="43">
        <f>IF($B510="","",N($L510)-N($AF510))</f>
        <v/>
      </c>
      <c r="AI510" s="149">
        <f>IF($B510="","",IF(N($L510)=0,"",(N($L510)-N($AF510))/N($L510)))</f>
        <v/>
      </c>
    </row>
    <row r="511">
      <c r="A511" s="39">
        <f>IF($B511="","",COUNTA($B$4:$B511))</f>
        <v/>
      </c>
      <c r="B511" s="45" t="n">
        <v>46081</v>
      </c>
      <c r="C511" s="46" t="n">
        <v>2259</v>
      </c>
      <c r="D511" s="46" t="inlineStr">
        <is>
          <t>احمد عبدو خ</t>
        </is>
      </c>
      <c r="E511" s="46" t="inlineStr">
        <is>
          <t>1*40 ث</t>
        </is>
      </c>
      <c r="F511" s="46" t="inlineStr">
        <is>
          <t xml:space="preserve">تى فارم </t>
        </is>
      </c>
      <c r="G511" s="46" t="inlineStr">
        <is>
          <t xml:space="preserve">النوبارية </t>
        </is>
      </c>
      <c r="H511" s="46" t="inlineStr">
        <is>
          <t>859845/7</t>
        </is>
      </c>
      <c r="I511" s="46" t="inlineStr">
        <is>
          <t>س ا ه 8198</t>
        </is>
      </c>
      <c r="J511" s="46" t="inlineStr">
        <is>
          <t xml:space="preserve">محمد ابراهيم </t>
        </is>
      </c>
      <c r="K511" s="46" t="inlineStr">
        <is>
          <t xml:space="preserve">علاء علام </t>
        </is>
      </c>
      <c r="L511" s="47" t="n">
        <v>11000</v>
      </c>
      <c r="M511" s="47" t="n">
        <v>7100</v>
      </c>
      <c r="N511" s="47" t="n"/>
      <c r="O511" s="47" t="n">
        <v>200</v>
      </c>
      <c r="P511" s="47" t="n"/>
      <c r="Q511" s="47" t="n">
        <v>3700</v>
      </c>
      <c r="R511" s="43">
        <f>IF($B511="","",N($S511)-N($Q511))</f>
        <v/>
      </c>
      <c r="S511" s="43">
        <f>IF($B511="","",N($L511)+N($N511)+N($P511))</f>
        <v/>
      </c>
      <c r="T511" s="47" t="n"/>
      <c r="U511" s="47" t="n"/>
      <c r="V511" s="47" t="n"/>
      <c r="W511" s="47" t="n"/>
      <c r="X511" s="47" t="n"/>
      <c r="Y511" s="47" t="n"/>
      <c r="Z511" s="47" t="n"/>
      <c r="AA511" s="47" t="n"/>
      <c r="AB511" s="47" t="n"/>
      <c r="AC511" s="47" t="n"/>
      <c r="AD511" s="47" t="n"/>
      <c r="AE511" s="47" t="n"/>
      <c r="AF511" s="43">
        <f>IF($B511="","",SUM($T511:$AE511))</f>
        <v/>
      </c>
      <c r="AG511" s="43">
        <f>IF($B511="","",N($M511)-N($AF511))</f>
        <v/>
      </c>
      <c r="AH511" s="43">
        <f>IF($B511="","",N($L511)-N($AF511))</f>
        <v/>
      </c>
      <c r="AI511" s="149">
        <f>IF($B511="","",IF(N($L511)=0,"",(N($L511)-N($AF511))/N($L511)))</f>
        <v/>
      </c>
    </row>
    <row r="512">
      <c r="A512" s="39">
        <f>IF($B512="","",COUNTA($B$4:$B512))</f>
        <v/>
      </c>
      <c r="B512" s="40" t="n">
        <v>46081</v>
      </c>
      <c r="C512" s="41" t="n">
        <v>2260</v>
      </c>
      <c r="D512" s="41" t="inlineStr">
        <is>
          <t xml:space="preserve">محمد يحى </t>
        </is>
      </c>
      <c r="E512" s="41" t="inlineStr">
        <is>
          <t>1*40 ث</t>
        </is>
      </c>
      <c r="F512" s="41" t="inlineStr">
        <is>
          <t xml:space="preserve">تى فارم </t>
        </is>
      </c>
      <c r="G512" s="41" t="inlineStr">
        <is>
          <t xml:space="preserve">النوبارية </t>
        </is>
      </c>
      <c r="H512" s="41" t="inlineStr">
        <is>
          <t>112966/4</t>
        </is>
      </c>
      <c r="I512" s="41" t="inlineStr">
        <is>
          <t>ط ف ر 1474</t>
        </is>
      </c>
      <c r="J512" s="41" t="inlineStr">
        <is>
          <t xml:space="preserve">جمال على </t>
        </is>
      </c>
      <c r="K512" s="41" t="inlineStr">
        <is>
          <t xml:space="preserve">كريم خليف </t>
        </is>
      </c>
      <c r="L512" s="42" t="n">
        <v>11000</v>
      </c>
      <c r="M512" s="42" t="n">
        <v>7100</v>
      </c>
      <c r="N512" s="42" t="n"/>
      <c r="O512" s="42" t="n">
        <v>200</v>
      </c>
      <c r="P512" s="42" t="n"/>
      <c r="Q512" s="42" t="n">
        <v>3700</v>
      </c>
      <c r="R512" s="43">
        <f>IF($B512="","",N($S512)-N($Q512))</f>
        <v/>
      </c>
      <c r="S512" s="43">
        <f>IF($B512="","",N($L512)+N($N512)+N($P512))</f>
        <v/>
      </c>
      <c r="T512" s="42" t="n"/>
      <c r="U512" s="42" t="n"/>
      <c r="V512" s="42" t="n"/>
      <c r="W512" s="42" t="n"/>
      <c r="X512" s="42" t="n"/>
      <c r="Y512" s="42" t="n"/>
      <c r="Z512" s="42" t="n"/>
      <c r="AA512" s="42" t="n"/>
      <c r="AB512" s="42" t="n"/>
      <c r="AC512" s="42" t="n"/>
      <c r="AD512" s="42" t="n"/>
      <c r="AE512" s="42" t="n"/>
      <c r="AF512" s="43">
        <f>IF($B512="","",SUM($T512:$AE512))</f>
        <v/>
      </c>
      <c r="AG512" s="43">
        <f>IF($B512="","",N($M512)-N($AF512))</f>
        <v/>
      </c>
      <c r="AH512" s="43">
        <f>IF($B512="","",N($L512)-N($AF512))</f>
        <v/>
      </c>
      <c r="AI512" s="149">
        <f>IF($B512="","",IF(N($L512)=0,"",(N($L512)-N($AF512))/N($L512)))</f>
        <v/>
      </c>
    </row>
    <row r="513">
      <c r="A513" s="39">
        <f>IF($B513="","",COUNTA($B$4:$B513))</f>
        <v/>
      </c>
      <c r="B513" s="45" t="n">
        <v>46081</v>
      </c>
      <c r="C513" s="46" t="n">
        <v>2081</v>
      </c>
      <c r="D513" s="46" t="inlineStr">
        <is>
          <t>احمد عبدو خ</t>
        </is>
      </c>
      <c r="E513" s="46" t="inlineStr">
        <is>
          <t>1*40 ث</t>
        </is>
      </c>
      <c r="F513" s="46" t="inlineStr">
        <is>
          <t xml:space="preserve">الفتح </t>
        </is>
      </c>
      <c r="G513" s="46" t="inlineStr">
        <is>
          <t xml:space="preserve">النوبارية </t>
        </is>
      </c>
      <c r="H513" s="46" t="inlineStr">
        <is>
          <t>496126/9</t>
        </is>
      </c>
      <c r="I513" s="46" t="inlineStr">
        <is>
          <t>س و ب 5219</t>
        </is>
      </c>
      <c r="J513" s="46" t="inlineStr">
        <is>
          <t xml:space="preserve">محمد قبارى </t>
        </is>
      </c>
      <c r="K513" s="46" t="inlineStr">
        <is>
          <t xml:space="preserve">البيبى </t>
        </is>
      </c>
      <c r="L513" s="47" t="n">
        <v>13000</v>
      </c>
      <c r="M513" s="47" t="n">
        <v>7100</v>
      </c>
      <c r="N513" s="47" t="n"/>
      <c r="O513" s="47" t="n">
        <v>200</v>
      </c>
      <c r="P513" s="47" t="n"/>
      <c r="Q513" s="47" t="n">
        <v>5700</v>
      </c>
      <c r="R513" s="43">
        <f>IF($B513="","",N($S513)-N($Q513))</f>
        <v/>
      </c>
      <c r="S513" s="43">
        <f>IF($B513="","",N($L513)+N($N513)+N($P513))</f>
        <v/>
      </c>
      <c r="T513" s="47" t="n"/>
      <c r="U513" s="47" t="n"/>
      <c r="V513" s="47" t="n"/>
      <c r="W513" s="47" t="n"/>
      <c r="X513" s="47" t="n"/>
      <c r="Y513" s="47" t="n"/>
      <c r="Z513" s="47" t="n"/>
      <c r="AA513" s="47" t="n"/>
      <c r="AB513" s="47" t="n"/>
      <c r="AC513" s="47" t="n"/>
      <c r="AD513" s="47" t="n"/>
      <c r="AE513" s="47" t="n"/>
      <c r="AF513" s="43">
        <f>IF($B513="","",SUM($T513:$AE513))</f>
        <v/>
      </c>
      <c r="AG513" s="43">
        <f>IF($B513="","",N($M513)-N($AF513))</f>
        <v/>
      </c>
      <c r="AH513" s="43">
        <f>IF($B513="","",N($L513)-N($AF513))</f>
        <v/>
      </c>
      <c r="AI513" s="149">
        <f>IF($B513="","",IF(N($L513)=0,"",(N($L513)-N($AF513))/N($L513)))</f>
        <v/>
      </c>
    </row>
    <row r="514">
      <c r="A514" s="39">
        <f>IF($B514="","",COUNTA($B$4:$B514))</f>
        <v/>
      </c>
      <c r="B514" s="40" t="n">
        <v>46081</v>
      </c>
      <c r="C514" s="41" t="n">
        <v>2080</v>
      </c>
      <c r="D514" s="41" t="inlineStr">
        <is>
          <t>احمد عبدو خ</t>
        </is>
      </c>
      <c r="E514" s="41" t="inlineStr">
        <is>
          <t>1*40 ث</t>
        </is>
      </c>
      <c r="F514" s="41" t="inlineStr">
        <is>
          <t xml:space="preserve">الفتح </t>
        </is>
      </c>
      <c r="G514" s="41" t="inlineStr">
        <is>
          <t xml:space="preserve">النوبارية </t>
        </is>
      </c>
      <c r="H514" s="41" t="inlineStr">
        <is>
          <t>169575/6</t>
        </is>
      </c>
      <c r="I514" s="41" t="inlineStr">
        <is>
          <t>س ف ب 4187</t>
        </is>
      </c>
      <c r="J514" s="41" t="inlineStr">
        <is>
          <t xml:space="preserve">نور محمد </t>
        </is>
      </c>
      <c r="K514" s="41" t="inlineStr">
        <is>
          <t xml:space="preserve">البيبى </t>
        </is>
      </c>
      <c r="L514" s="42" t="n">
        <v>13000</v>
      </c>
      <c r="M514" s="42" t="n">
        <v>7100</v>
      </c>
      <c r="N514" s="42" t="n"/>
      <c r="O514" s="42" t="n">
        <v>200</v>
      </c>
      <c r="P514" s="42" t="n"/>
      <c r="Q514" s="42" t="n">
        <v>5700</v>
      </c>
      <c r="R514" s="43">
        <f>IF($B514="","",N($S514)-N($Q514))</f>
        <v/>
      </c>
      <c r="S514" s="43">
        <f>IF($B514="","",N($L514)+N($N514)+N($P514))</f>
        <v/>
      </c>
      <c r="T514" s="42" t="n"/>
      <c r="U514" s="42" t="n"/>
      <c r="V514" s="42" t="n"/>
      <c r="W514" s="42" t="n"/>
      <c r="X514" s="42" t="n"/>
      <c r="Y514" s="42" t="n"/>
      <c r="Z514" s="42" t="n"/>
      <c r="AA514" s="42" t="n"/>
      <c r="AB514" s="42" t="n"/>
      <c r="AC514" s="42" t="n"/>
      <c r="AD514" s="42" t="n"/>
      <c r="AE514" s="42" t="n"/>
      <c r="AF514" s="43">
        <f>IF($B514="","",SUM($T514:$AE514))</f>
        <v/>
      </c>
      <c r="AG514" s="43">
        <f>IF($B514="","",N($M514)-N($AF514))</f>
        <v/>
      </c>
      <c r="AH514" s="43">
        <f>IF($B514="","",N($L514)-N($AF514))</f>
        <v/>
      </c>
      <c r="AI514" s="149">
        <f>IF($B514="","",IF(N($L514)=0,"",(N($L514)-N($AF514))/N($L514)))</f>
        <v/>
      </c>
    </row>
    <row r="515">
      <c r="A515" s="39">
        <f>IF($B515="","",COUNTA($B$4:$B515))</f>
        <v/>
      </c>
      <c r="B515" s="45" t="n">
        <v>46081</v>
      </c>
      <c r="C515" s="46" t="n">
        <v>2079</v>
      </c>
      <c r="D515" s="46" t="inlineStr">
        <is>
          <t>الجوهرى خ</t>
        </is>
      </c>
      <c r="E515" s="46" t="inlineStr">
        <is>
          <t>1*40 ث</t>
        </is>
      </c>
      <c r="F515" s="46" t="inlineStr">
        <is>
          <t xml:space="preserve">الفتح </t>
        </is>
      </c>
      <c r="G515" s="46" t="inlineStr">
        <is>
          <t xml:space="preserve">النوبارية </t>
        </is>
      </c>
      <c r="H515" s="46" t="inlineStr">
        <is>
          <t>582446/6</t>
        </is>
      </c>
      <c r="I515" s="46" t="inlineStr">
        <is>
          <t>ب د ن 5341</t>
        </is>
      </c>
      <c r="J515" s="46" t="inlineStr">
        <is>
          <t>ربيع شلبى</t>
        </is>
      </c>
      <c r="K515" s="46" t="inlineStr">
        <is>
          <t xml:space="preserve">محمد صلاح </t>
        </is>
      </c>
      <c r="L515" s="47" t="n">
        <v>11000</v>
      </c>
      <c r="M515" s="47" t="n">
        <v>6100</v>
      </c>
      <c r="N515" s="47" t="n"/>
      <c r="O515" s="47" t="n">
        <v>200</v>
      </c>
      <c r="P515" s="47" t="n"/>
      <c r="Q515" s="47" t="n">
        <v>4700</v>
      </c>
      <c r="R515" s="43">
        <f>IF($B515="","",N($S515)-N($Q515))</f>
        <v/>
      </c>
      <c r="S515" s="43">
        <f>IF($B515="","",N($L515)+N($N515)+N($P515))</f>
        <v/>
      </c>
      <c r="T515" s="47" t="n"/>
      <c r="U515" s="47" t="n"/>
      <c r="V515" s="47" t="n"/>
      <c r="W515" s="47" t="n"/>
      <c r="X515" s="47" t="n"/>
      <c r="Y515" s="47" t="n"/>
      <c r="Z515" s="47" t="n"/>
      <c r="AA515" s="47" t="n"/>
      <c r="AB515" s="47" t="n"/>
      <c r="AC515" s="47" t="n"/>
      <c r="AD515" s="47" t="n"/>
      <c r="AE515" s="47" t="n"/>
      <c r="AF515" s="43">
        <f>IF($B515="","",SUM($T515:$AE515))</f>
        <v/>
      </c>
      <c r="AG515" s="43">
        <f>IF($B515="","",N($M515)-N($AF515))</f>
        <v/>
      </c>
      <c r="AH515" s="43">
        <f>IF($B515="","",N($L515)-N($AF515))</f>
        <v/>
      </c>
      <c r="AI515" s="149">
        <f>IF($B515="","",IF(N($L515)=0,"",(N($L515)-N($AF515))/N($L515)))</f>
        <v/>
      </c>
    </row>
    <row r="516">
      <c r="A516" s="39">
        <f>IF($B516="","",COUNTA($B$4:$B516))</f>
        <v/>
      </c>
      <c r="B516" s="40" t="n">
        <v>46081</v>
      </c>
      <c r="C516" s="41" t="n">
        <v>2078</v>
      </c>
      <c r="D516" s="41" t="inlineStr">
        <is>
          <t>اشرف الجمل</t>
        </is>
      </c>
      <c r="E516" s="41" t="inlineStr">
        <is>
          <t>1*40 ث</t>
        </is>
      </c>
      <c r="F516" s="41" t="n"/>
      <c r="G516" s="41" t="inlineStr">
        <is>
          <t xml:space="preserve">النوبارية </t>
        </is>
      </c>
      <c r="H516" s="41" t="inlineStr">
        <is>
          <t>926227/0</t>
        </is>
      </c>
      <c r="I516" s="41" t="inlineStr">
        <is>
          <t>س م ى 3829</t>
        </is>
      </c>
      <c r="J516" s="41" t="inlineStr">
        <is>
          <t xml:space="preserve">محمد امين </t>
        </is>
      </c>
      <c r="K516" s="41" t="inlineStr">
        <is>
          <t>اشرف الجمل</t>
        </is>
      </c>
      <c r="L516" s="42" t="n">
        <v>13000</v>
      </c>
      <c r="M516" s="42" t="n">
        <v>6100</v>
      </c>
      <c r="N516" s="42" t="n"/>
      <c r="O516" s="42" t="n">
        <v>200</v>
      </c>
      <c r="P516" s="42" t="n"/>
      <c r="Q516" s="42" t="n">
        <v>6700</v>
      </c>
      <c r="R516" s="43">
        <f>IF($B516="","",N($S516)-N($Q516))</f>
        <v/>
      </c>
      <c r="S516" s="43">
        <f>IF($B516="","",N($L516)+N($N516)+N($P516))</f>
        <v/>
      </c>
      <c r="T516" s="42" t="n"/>
      <c r="U516" s="42" t="n"/>
      <c r="V516" s="42" t="n"/>
      <c r="W516" s="42" t="n"/>
      <c r="X516" s="42" t="n"/>
      <c r="Y516" s="42" t="n"/>
      <c r="Z516" s="42" t="n"/>
      <c r="AA516" s="42" t="n"/>
      <c r="AB516" s="42" t="n"/>
      <c r="AC516" s="42" t="n"/>
      <c r="AD516" s="42" t="n"/>
      <c r="AE516" s="42" t="n"/>
      <c r="AF516" s="43">
        <f>IF($B516="","",SUM($T516:$AE516))</f>
        <v/>
      </c>
      <c r="AG516" s="43">
        <f>IF($B516="","",N($M516)-N($AF516))</f>
        <v/>
      </c>
      <c r="AH516" s="43">
        <f>IF($B516="","",N($L516)-N($AF516))</f>
        <v/>
      </c>
      <c r="AI516" s="149">
        <f>IF($B516="","",IF(N($L516)=0,"",(N($L516)-N($AF516))/N($L516)))</f>
        <v/>
      </c>
    </row>
    <row r="517">
      <c r="A517" s="39">
        <f>IF($B517="","",COUNTA($B$4:$B517))</f>
        <v/>
      </c>
      <c r="B517" s="45" t="n">
        <v>46081</v>
      </c>
      <c r="C517" s="46" t="n">
        <v>2253</v>
      </c>
      <c r="D517" s="46" t="inlineStr">
        <is>
          <t>الانصارى خ</t>
        </is>
      </c>
      <c r="E517" s="46" t="inlineStr">
        <is>
          <t>1*40</t>
        </is>
      </c>
      <c r="F517" s="46" t="inlineStr">
        <is>
          <t xml:space="preserve">اروماتيك </t>
        </is>
      </c>
      <c r="G517" s="46" t="inlineStr">
        <is>
          <t>بنى سويف</t>
        </is>
      </c>
      <c r="H517" s="46" t="inlineStr">
        <is>
          <t>687014/3</t>
        </is>
      </c>
      <c r="I517" s="46" t="inlineStr">
        <is>
          <t>ب ص ا 2574</t>
        </is>
      </c>
      <c r="J517" s="46" t="inlineStr">
        <is>
          <t xml:space="preserve">احمد عادل </t>
        </is>
      </c>
      <c r="K517" s="46" t="inlineStr">
        <is>
          <t xml:space="preserve">احمد خليف </t>
        </is>
      </c>
      <c r="L517" s="47" t="n">
        <v>19000</v>
      </c>
      <c r="M517" s="47" t="n">
        <v>10100</v>
      </c>
      <c r="N517" s="47" t="n"/>
      <c r="O517" s="47" t="n">
        <v>200</v>
      </c>
      <c r="P517" s="47" t="n"/>
      <c r="Q517" s="47" t="n">
        <v>8700</v>
      </c>
      <c r="R517" s="43">
        <f>IF($B517="","",N($S517)-N($Q517))</f>
        <v/>
      </c>
      <c r="S517" s="43">
        <f>IF($B517="","",N($L517)+N($N517)+N($P517))</f>
        <v/>
      </c>
      <c r="T517" s="47" t="n"/>
      <c r="U517" s="47" t="n"/>
      <c r="V517" s="47" t="n"/>
      <c r="W517" s="47" t="n"/>
      <c r="X517" s="47" t="n"/>
      <c r="Y517" s="47" t="n"/>
      <c r="Z517" s="47" t="n"/>
      <c r="AA517" s="47" t="n"/>
      <c r="AB517" s="47" t="n"/>
      <c r="AC517" s="47" t="n"/>
      <c r="AD517" s="47" t="n"/>
      <c r="AE517" s="47" t="n"/>
      <c r="AF517" s="43">
        <f>IF($B517="","",SUM($T517:$AE517))</f>
        <v/>
      </c>
      <c r="AG517" s="43">
        <f>IF($B517="","",N($M517)-N($AF517))</f>
        <v/>
      </c>
      <c r="AH517" s="43">
        <f>IF($B517="","",N($L517)-N($AF517))</f>
        <v/>
      </c>
      <c r="AI517" s="149">
        <f>IF($B517="","",IF(N($L517)=0,"",(N($L517)-N($AF517))/N($L517)))</f>
        <v/>
      </c>
    </row>
    <row r="518">
      <c r="A518" s="39">
        <f>IF($B518="","",COUNTA($B$4:$B518))</f>
        <v/>
      </c>
      <c r="B518" s="40" t="n">
        <v>46081</v>
      </c>
      <c r="C518" s="41" t="n">
        <v>2077</v>
      </c>
      <c r="D518" s="41" t="inlineStr">
        <is>
          <t xml:space="preserve">جمعة </t>
        </is>
      </c>
      <c r="E518" s="41" t="inlineStr">
        <is>
          <t>1*40 ث</t>
        </is>
      </c>
      <c r="F518" s="41" t="inlineStr">
        <is>
          <t xml:space="preserve">الفتح </t>
        </is>
      </c>
      <c r="G518" s="41" t="inlineStr">
        <is>
          <t xml:space="preserve">النوبارية </t>
        </is>
      </c>
      <c r="H518" s="41" t="inlineStr">
        <is>
          <t>122604/4</t>
        </is>
      </c>
      <c r="I518" s="41" t="inlineStr">
        <is>
          <t>س و ا 4256</t>
        </is>
      </c>
      <c r="J518" s="41" t="inlineStr">
        <is>
          <t>السيد شوال</t>
        </is>
      </c>
      <c r="K518" s="41" t="inlineStr">
        <is>
          <t>وليد المهندس</t>
        </is>
      </c>
      <c r="L518" s="42" t="n">
        <v>11000</v>
      </c>
      <c r="M518" s="42" t="n">
        <v>6100</v>
      </c>
      <c r="N518" s="42" t="n"/>
      <c r="O518" s="42" t="n">
        <v>200</v>
      </c>
      <c r="P518" s="42" t="n"/>
      <c r="Q518" s="42" t="n">
        <v>4700</v>
      </c>
      <c r="R518" s="43">
        <f>IF($B518="","",N($S518)-N($Q518))</f>
        <v/>
      </c>
      <c r="S518" s="43">
        <f>IF($B518="","",N($L518)+N($N518)+N($P518))</f>
        <v/>
      </c>
      <c r="T518" s="42" t="n"/>
      <c r="U518" s="42" t="n"/>
      <c r="V518" s="42" t="n"/>
      <c r="W518" s="42" t="n"/>
      <c r="X518" s="42" t="n"/>
      <c r="Y518" s="42" t="n"/>
      <c r="Z518" s="42" t="n"/>
      <c r="AA518" s="42" t="n"/>
      <c r="AB518" s="42" t="n"/>
      <c r="AC518" s="42" t="n"/>
      <c r="AD518" s="42" t="n"/>
      <c r="AE518" s="42" t="n"/>
      <c r="AF518" s="43">
        <f>IF($B518="","",SUM($T518:$AE518))</f>
        <v/>
      </c>
      <c r="AG518" s="43">
        <f>IF($B518="","",N($M518)-N($AF518))</f>
        <v/>
      </c>
      <c r="AH518" s="43">
        <f>IF($B518="","",N($L518)-N($AF518))</f>
        <v/>
      </c>
      <c r="AI518" s="149">
        <f>IF($B518="","",IF(N($L518)=0,"",(N($L518)-N($AF518))/N($L518)))</f>
        <v/>
      </c>
    </row>
    <row r="519">
      <c r="A519" s="39">
        <f>IF($B519="","",COUNTA($B$4:$B519))</f>
        <v/>
      </c>
      <c r="B519" s="45" t="n">
        <v>46081</v>
      </c>
      <c r="C519" s="46" t="n">
        <v>2103</v>
      </c>
      <c r="D519" s="46" t="inlineStr">
        <is>
          <t>حاتم البحر  ق</t>
        </is>
      </c>
      <c r="E519" s="46" t="inlineStr">
        <is>
          <t>1*20</t>
        </is>
      </c>
      <c r="F519" s="46" t="inlineStr">
        <is>
          <t xml:space="preserve">النخلة تكس </t>
        </is>
      </c>
      <c r="G519" s="46" t="inlineStr">
        <is>
          <t>العاشر</t>
        </is>
      </c>
      <c r="H519" s="46" t="inlineStr">
        <is>
          <t>229331/7</t>
        </is>
      </c>
      <c r="I519" s="46" t="inlineStr">
        <is>
          <t>ب س ا 6842</t>
        </is>
      </c>
      <c r="J519" s="46" t="inlineStr">
        <is>
          <t xml:space="preserve">اسلام ابراهيم </t>
        </is>
      </c>
      <c r="K519" s="46" t="inlineStr">
        <is>
          <t xml:space="preserve">عبدة مصياح </t>
        </is>
      </c>
      <c r="L519" s="47" t="n">
        <v>12500</v>
      </c>
      <c r="M519" s="47" t="n">
        <v>8100</v>
      </c>
      <c r="N519" s="47" t="n"/>
      <c r="O519" s="47" t="n">
        <v>200</v>
      </c>
      <c r="P519" s="47" t="n"/>
      <c r="Q519" s="47" t="n">
        <v>4200</v>
      </c>
      <c r="R519" s="43">
        <f>IF($B519="","",N($S519)-N($Q519))</f>
        <v/>
      </c>
      <c r="S519" s="43">
        <f>IF($B519="","",N($L519)+N($N519)+N($P519))</f>
        <v/>
      </c>
      <c r="T519" s="47" t="n"/>
      <c r="U519" s="47" t="n"/>
      <c r="V519" s="47" t="n"/>
      <c r="W519" s="47" t="n"/>
      <c r="X519" s="47" t="n"/>
      <c r="Y519" s="47" t="n"/>
      <c r="Z519" s="47" t="n"/>
      <c r="AA519" s="47" t="n"/>
      <c r="AB519" s="47" t="n"/>
      <c r="AC519" s="47" t="n"/>
      <c r="AD519" s="47" t="n"/>
      <c r="AE519" s="47" t="n"/>
      <c r="AF519" s="43">
        <f>IF($B519="","",SUM($T519:$AE519))</f>
        <v/>
      </c>
      <c r="AG519" s="43">
        <f>IF($B519="","",N($M519)-N($AF519))</f>
        <v/>
      </c>
      <c r="AH519" s="43">
        <f>IF($B519="","",N($L519)-N($AF519))</f>
        <v/>
      </c>
      <c r="AI519" s="149">
        <f>IF($B519="","",IF(N($L519)=0,"",(N($L519)-N($AF519))/N($L519)))</f>
        <v/>
      </c>
    </row>
    <row r="520">
      <c r="A520" s="39">
        <f>IF($B520="","",COUNTA($B$4:$B520))</f>
        <v/>
      </c>
      <c r="B520" s="40" t="n">
        <v>46081</v>
      </c>
      <c r="C520" s="41" t="n">
        <v>2202</v>
      </c>
      <c r="D520" s="41" t="inlineStr">
        <is>
          <t>المكتب</t>
        </is>
      </c>
      <c r="E520" s="41" t="inlineStr">
        <is>
          <t>1*40</t>
        </is>
      </c>
      <c r="F520" s="41" t="inlineStr">
        <is>
          <t xml:space="preserve">فلكس بى </t>
        </is>
      </c>
      <c r="G520" s="41" t="inlineStr">
        <is>
          <t xml:space="preserve">اكتوبر </t>
        </is>
      </c>
      <c r="H520" s="41" t="inlineStr">
        <is>
          <t>901645/2</t>
        </is>
      </c>
      <c r="I520" s="41" t="inlineStr">
        <is>
          <t>س ع م 8737</t>
        </is>
      </c>
      <c r="J520" s="41" t="inlineStr">
        <is>
          <t xml:space="preserve">محمود بكر </t>
        </is>
      </c>
      <c r="K520" s="41" t="inlineStr">
        <is>
          <t>المكتب</t>
        </is>
      </c>
      <c r="L520" s="42" t="n">
        <v>12500</v>
      </c>
      <c r="M520" s="42" t="n">
        <v>6000</v>
      </c>
      <c r="N520" s="42" t="n"/>
      <c r="O520" s="42" t="n"/>
      <c r="P520" s="42" t="n"/>
      <c r="Q520" s="42" t="n">
        <v>6500</v>
      </c>
      <c r="R520" s="43">
        <f>IF($B520="","",N($S520)-N($Q520))</f>
        <v/>
      </c>
      <c r="S520" s="43">
        <f>IF($B520="","",N($L520)+N($N520)+N($P520))</f>
        <v/>
      </c>
      <c r="T520" s="42" t="n">
        <v>1450</v>
      </c>
      <c r="U520" s="42" t="n">
        <v>550</v>
      </c>
      <c r="V520" s="42" t="n"/>
      <c r="W520" s="42" t="n">
        <v>150</v>
      </c>
      <c r="X520" s="42" t="n">
        <v>60</v>
      </c>
      <c r="Y520" s="42" t="n">
        <v>120</v>
      </c>
      <c r="Z520" s="42" t="n"/>
      <c r="AA520" s="42" t="n"/>
      <c r="AB520" s="42" t="n"/>
      <c r="AC520" s="42" t="n"/>
      <c r="AD520" s="42" t="n"/>
      <c r="AE520" s="42" t="n">
        <v>3450</v>
      </c>
      <c r="AF520" s="43">
        <f>IF($B520="","",SUM($T520:$AE520))</f>
        <v/>
      </c>
      <c r="AG520" s="43">
        <f>IF($B520="","",N($M520)-N($AF520))</f>
        <v/>
      </c>
      <c r="AH520" s="43">
        <f>IF($B520="","",N($L520)-N($AF520))</f>
        <v/>
      </c>
      <c r="AI520" s="149">
        <f>IF($B520="","",IF(N($L520)=0,"",(N($L520)-N($AF520))/N($L520)))</f>
        <v/>
      </c>
    </row>
    <row r="521">
      <c r="A521" s="39">
        <f>IF($B521="","",COUNTA($B$4:$B521))</f>
        <v/>
      </c>
      <c r="B521" s="45" t="n">
        <v>46082</v>
      </c>
      <c r="C521" s="46" t="n">
        <v>1844</v>
      </c>
      <c r="D521" s="46" t="inlineStr">
        <is>
          <t xml:space="preserve">بدوى صلاح </t>
        </is>
      </c>
      <c r="E521" s="46" t="inlineStr">
        <is>
          <t xml:space="preserve">طرد </t>
        </is>
      </c>
      <c r="F521" s="46" t="inlineStr">
        <is>
          <t xml:space="preserve">فلكس بى </t>
        </is>
      </c>
      <c r="G521" s="46" t="inlineStr">
        <is>
          <t xml:space="preserve">اكتوبر </t>
        </is>
      </c>
      <c r="H521" s="46" t="n">
        <v>84341</v>
      </c>
      <c r="I521" s="46" t="inlineStr">
        <is>
          <t>ص ع ا 7538</t>
        </is>
      </c>
      <c r="J521" s="46" t="inlineStr">
        <is>
          <t xml:space="preserve">رمضان الصاوى </t>
        </is>
      </c>
      <c r="K521" s="46" t="inlineStr">
        <is>
          <t>الصاوى</t>
        </is>
      </c>
      <c r="L521" s="47" t="n">
        <v>12500</v>
      </c>
      <c r="M521" s="47" t="n">
        <v>7100</v>
      </c>
      <c r="N521" s="47" t="n"/>
      <c r="O521" s="47" t="n">
        <v>200</v>
      </c>
      <c r="P521" s="47" t="n"/>
      <c r="Q521" s="47" t="n">
        <v>5200</v>
      </c>
      <c r="R521" s="43">
        <f>IF($B521="","",N($S521)-N($Q521))</f>
        <v/>
      </c>
      <c r="S521" s="43">
        <f>IF($B521="","",N($L521)+N($N521)+N($P521))</f>
        <v/>
      </c>
      <c r="T521" s="47" t="n"/>
      <c r="U521" s="47" t="n"/>
      <c r="V521" s="47" t="n"/>
      <c r="W521" s="47" t="n"/>
      <c r="X521" s="47" t="n"/>
      <c r="Y521" s="47" t="n"/>
      <c r="Z521" s="47" t="n"/>
      <c r="AA521" s="47" t="n"/>
      <c r="AB521" s="47" t="n"/>
      <c r="AC521" s="47" t="n"/>
      <c r="AD521" s="47" t="n"/>
      <c r="AE521" s="47" t="n"/>
      <c r="AF521" s="43">
        <f>IF($B521="","",SUM($T521:$AE521))</f>
        <v/>
      </c>
      <c r="AG521" s="43">
        <f>IF($B521="","",N($M521)-N($AF521))</f>
        <v/>
      </c>
      <c r="AH521" s="43">
        <f>IF($B521="","",N($L521)-N($AF521))</f>
        <v/>
      </c>
      <c r="AI521" s="149">
        <f>IF($B521="","",IF(N($L521)=0,"",(N($L521)-N($AF521))/N($L521)))</f>
        <v/>
      </c>
    </row>
    <row r="522">
      <c r="A522" s="39">
        <f>IF($B522="","",COUNTA($B$4:$B522))</f>
        <v/>
      </c>
      <c r="B522" s="40" t="n">
        <v>46082</v>
      </c>
      <c r="C522" s="41" t="n">
        <v>2083</v>
      </c>
      <c r="D522" s="41" t="inlineStr">
        <is>
          <t>المكتب</t>
        </is>
      </c>
      <c r="E522" s="41" t="inlineStr">
        <is>
          <t>2*20</t>
        </is>
      </c>
      <c r="F522" s="41" t="inlineStr">
        <is>
          <t xml:space="preserve">ريجينا </t>
        </is>
      </c>
      <c r="G522" s="41" t="inlineStr">
        <is>
          <t xml:space="preserve">السادات </t>
        </is>
      </c>
      <c r="H522" s="41" t="inlineStr">
        <is>
          <t>208678/8-323736/0</t>
        </is>
      </c>
      <c r="I522" s="41" t="inlineStr">
        <is>
          <t>س ع م 8737</t>
        </is>
      </c>
      <c r="J522" s="41" t="inlineStr">
        <is>
          <t xml:space="preserve">محمود بكر </t>
        </is>
      </c>
      <c r="K522" s="41" t="inlineStr">
        <is>
          <t>المكتب</t>
        </is>
      </c>
      <c r="L522" s="42" t="n">
        <v>15500</v>
      </c>
      <c r="M522" s="42" t="n">
        <v>6000</v>
      </c>
      <c r="N522" s="42" t="n"/>
      <c r="O522" s="42" t="n"/>
      <c r="P522" s="42" t="n"/>
      <c r="Q522" s="42" t="n">
        <v>9500</v>
      </c>
      <c r="R522" s="43">
        <f>IF($B522="","",N($S522)-N($Q522))</f>
        <v/>
      </c>
      <c r="S522" s="43">
        <f>IF($B522="","",N($L522)+N($N522)+N($P522))</f>
        <v/>
      </c>
      <c r="T522" s="42" t="n">
        <v>1600</v>
      </c>
      <c r="U522" s="42" t="n">
        <v>600</v>
      </c>
      <c r="V522" s="42" t="n"/>
      <c r="W522" s="42" t="n">
        <v>200</v>
      </c>
      <c r="X522" s="42" t="n">
        <v>60</v>
      </c>
      <c r="Y522" s="42" t="n">
        <v>60</v>
      </c>
      <c r="Z522" s="42" t="n"/>
      <c r="AA522" s="42" t="n"/>
      <c r="AB522" s="42" t="n"/>
      <c r="AC522" s="42" t="n"/>
      <c r="AD522" s="42" t="n"/>
      <c r="AE522" s="42" t="n">
        <v>2600</v>
      </c>
      <c r="AF522" s="43">
        <f>IF($B522="","",SUM($T522:$AE522))</f>
        <v/>
      </c>
      <c r="AG522" s="43">
        <f>IF($B522="","",N($M522)-N($AF522))</f>
        <v/>
      </c>
      <c r="AH522" s="43">
        <f>IF($B522="","",N($L522)-N($AF522))</f>
        <v/>
      </c>
      <c r="AI522" s="149">
        <f>IF($B522="","",IF(N($L522)=0,"",(N($L522)-N($AF522))/N($L522)))</f>
        <v/>
      </c>
    </row>
    <row r="523">
      <c r="A523" s="39">
        <f>IF($B523="","",COUNTA($B$4:$B523))</f>
        <v/>
      </c>
      <c r="B523" s="45" t="n">
        <v>46082</v>
      </c>
      <c r="C523" s="46" t="n">
        <v>2255</v>
      </c>
      <c r="D523" s="46" t="inlineStr">
        <is>
          <t>الشريف خ</t>
        </is>
      </c>
      <c r="E523" s="46" t="inlineStr">
        <is>
          <t>2*20</t>
        </is>
      </c>
      <c r="F523" s="46" t="inlineStr">
        <is>
          <t xml:space="preserve">ريجينا </t>
        </is>
      </c>
      <c r="G523" s="46" t="inlineStr">
        <is>
          <t xml:space="preserve">السادات </t>
        </is>
      </c>
      <c r="H523" s="46" t="inlineStr">
        <is>
          <t>202873/5-285350/4</t>
        </is>
      </c>
      <c r="I523" s="46" t="inlineStr">
        <is>
          <t>ب س ا 7385</t>
        </is>
      </c>
      <c r="J523" s="46" t="inlineStr">
        <is>
          <t xml:space="preserve">محمد ابو ادم </t>
        </is>
      </c>
      <c r="K523" s="46" t="inlineStr">
        <is>
          <t xml:space="preserve">ابو ادم </t>
        </is>
      </c>
      <c r="L523" s="47" t="n">
        <v>15500</v>
      </c>
      <c r="M523" s="47" t="n">
        <v>8100</v>
      </c>
      <c r="N523" s="47" t="n"/>
      <c r="O523" s="47" t="n">
        <v>200</v>
      </c>
      <c r="P523" s="47" t="n"/>
      <c r="Q523" s="47" t="n">
        <v>7200</v>
      </c>
      <c r="R523" s="43">
        <f>IF($B523="","",N($S523)-N($Q523))</f>
        <v/>
      </c>
      <c r="S523" s="43">
        <f>IF($B523="","",N($L523)+N($N523)+N($P523))</f>
        <v/>
      </c>
      <c r="T523" s="47" t="n"/>
      <c r="U523" s="47" t="n"/>
      <c r="V523" s="47" t="n"/>
      <c r="W523" s="47" t="n"/>
      <c r="X523" s="47" t="n"/>
      <c r="Y523" s="47" t="n"/>
      <c r="Z523" s="47" t="n"/>
      <c r="AA523" s="47" t="n"/>
      <c r="AB523" s="47" t="n"/>
      <c r="AC523" s="47" t="n"/>
      <c r="AD523" s="47" t="n"/>
      <c r="AE523" s="47" t="n"/>
      <c r="AF523" s="43">
        <f>IF($B523="","",SUM($T523:$AE523))</f>
        <v/>
      </c>
      <c r="AG523" s="43">
        <f>IF($B523="","",N($M523)-N($AF523))</f>
        <v/>
      </c>
      <c r="AH523" s="43">
        <f>IF($B523="","",N($L523)-N($AF523))</f>
        <v/>
      </c>
      <c r="AI523" s="149">
        <f>IF($B523="","",IF(N($L523)=0,"",(N($L523)-N($AF523))/N($L523)))</f>
        <v/>
      </c>
    </row>
    <row r="524">
      <c r="A524" s="39">
        <f>IF($B524="","",COUNTA($B$4:$B524))</f>
        <v/>
      </c>
      <c r="B524" s="40" t="n">
        <v>46082</v>
      </c>
      <c r="C524" s="41" t="n">
        <v>2256</v>
      </c>
      <c r="D524" s="41" t="inlineStr">
        <is>
          <t xml:space="preserve">ابراهيم سمارة </t>
        </is>
      </c>
      <c r="E524" s="41" t="inlineStr">
        <is>
          <t>2*20</t>
        </is>
      </c>
      <c r="F524" s="41" t="inlineStr">
        <is>
          <t xml:space="preserve">ريجينا </t>
        </is>
      </c>
      <c r="G524" s="41" t="inlineStr">
        <is>
          <t xml:space="preserve">السادات </t>
        </is>
      </c>
      <c r="H524" s="41" t="inlineStr">
        <is>
          <t>351321/4-203013/5</t>
        </is>
      </c>
      <c r="I524" s="41" t="inlineStr">
        <is>
          <t>ب ع ا 4826</t>
        </is>
      </c>
      <c r="J524" s="41" t="inlineStr">
        <is>
          <t xml:space="preserve">سامح السيد </t>
        </is>
      </c>
      <c r="K524" s="41" t="inlineStr">
        <is>
          <t xml:space="preserve">ابو ادم </t>
        </is>
      </c>
      <c r="L524" s="42" t="n">
        <v>15500</v>
      </c>
      <c r="M524" s="42" t="n">
        <v>8100</v>
      </c>
      <c r="N524" s="42" t="n"/>
      <c r="O524" s="42" t="n">
        <v>200</v>
      </c>
      <c r="P524" s="42" t="n"/>
      <c r="Q524" s="42" t="n">
        <v>7200</v>
      </c>
      <c r="R524" s="43">
        <f>IF($B524="","",N($S524)-N($Q524))</f>
        <v/>
      </c>
      <c r="S524" s="43">
        <f>IF($B524="","",N($L524)+N($N524)+N($P524))</f>
        <v/>
      </c>
      <c r="T524" s="42" t="n"/>
      <c r="U524" s="42" t="n"/>
      <c r="V524" s="42" t="n"/>
      <c r="W524" s="42" t="n"/>
      <c r="X524" s="42" t="n"/>
      <c r="Y524" s="42" t="n"/>
      <c r="Z524" s="42" t="n"/>
      <c r="AA524" s="42" t="n"/>
      <c r="AB524" s="42" t="n"/>
      <c r="AC524" s="42" t="n"/>
      <c r="AD524" s="42" t="n"/>
      <c r="AE524" s="42" t="n"/>
      <c r="AF524" s="43">
        <f>IF($B524="","",SUM($T524:$AE524))</f>
        <v/>
      </c>
      <c r="AG524" s="43">
        <f>IF($B524="","",N($M524)-N($AF524))</f>
        <v/>
      </c>
      <c r="AH524" s="43">
        <f>IF($B524="","",N($L524)-N($AF524))</f>
        <v/>
      </c>
      <c r="AI524" s="149">
        <f>IF($B524="","",IF(N($L524)=0,"",(N($L524)-N($AF524))/N($L524)))</f>
        <v/>
      </c>
    </row>
    <row r="525">
      <c r="A525" s="39">
        <f>IF($B525="","",COUNTA($B$4:$B525))</f>
        <v/>
      </c>
      <c r="B525" s="45" t="n">
        <v>46082</v>
      </c>
      <c r="C525" s="46" t="n">
        <v>2257</v>
      </c>
      <c r="D525" s="46" t="inlineStr">
        <is>
          <t>صعيدى 2 خ</t>
        </is>
      </c>
      <c r="E525" s="46" t="inlineStr">
        <is>
          <t>2*20</t>
        </is>
      </c>
      <c r="F525" s="46" t="inlineStr">
        <is>
          <t xml:space="preserve">ريجينا </t>
        </is>
      </c>
      <c r="G525" s="46" t="inlineStr">
        <is>
          <t xml:space="preserve">السادات </t>
        </is>
      </c>
      <c r="H525" s="46" t="inlineStr">
        <is>
          <t>216983/5-356653/3</t>
        </is>
      </c>
      <c r="I525" s="46" t="inlineStr">
        <is>
          <t>س ه ف 1874</t>
        </is>
      </c>
      <c r="J525" s="46" t="inlineStr">
        <is>
          <t>هانى عزت</t>
        </is>
      </c>
      <c r="K525" s="46" t="inlineStr">
        <is>
          <t xml:space="preserve">محمد الصعيدى </t>
        </is>
      </c>
      <c r="L525" s="47" t="n">
        <v>15500</v>
      </c>
      <c r="M525" s="47" t="n">
        <v>6100</v>
      </c>
      <c r="N525" s="47" t="n"/>
      <c r="O525" s="47" t="n">
        <v>200</v>
      </c>
      <c r="P525" s="47" t="n"/>
      <c r="Q525" s="47" t="n">
        <v>9200</v>
      </c>
      <c r="R525" s="43">
        <f>IF($B525="","",N($S525)-N($Q525))</f>
        <v/>
      </c>
      <c r="S525" s="43">
        <f>IF($B525="","",N($L525)+N($N525)+N($P525))</f>
        <v/>
      </c>
      <c r="T525" s="47" t="n"/>
      <c r="U525" s="47" t="n"/>
      <c r="V525" s="47" t="n"/>
      <c r="W525" s="47" t="n"/>
      <c r="X525" s="47" t="n"/>
      <c r="Y525" s="47" t="n"/>
      <c r="Z525" s="47" t="n"/>
      <c r="AA525" s="47" t="n"/>
      <c r="AB525" s="47" t="n"/>
      <c r="AC525" s="47" t="n"/>
      <c r="AD525" s="47" t="n"/>
      <c r="AE525" s="47" t="n"/>
      <c r="AF525" s="43">
        <f>IF($B525="","",SUM($T525:$AE525))</f>
        <v/>
      </c>
      <c r="AG525" s="43">
        <f>IF($B525="","",N($M525)-N($AF525))</f>
        <v/>
      </c>
      <c r="AH525" s="43">
        <f>IF($B525="","",N($L525)-N($AF525))</f>
        <v/>
      </c>
      <c r="AI525" s="149">
        <f>IF($B525="","",IF(N($L525)=0,"",(N($L525)-N($AF525))/N($L525)))</f>
        <v/>
      </c>
    </row>
    <row r="526">
      <c r="A526" s="39">
        <f>IF($B526="","",COUNTA($B$4:$B526))</f>
        <v/>
      </c>
      <c r="B526" s="40" t="n">
        <v>46082</v>
      </c>
      <c r="C526" s="41" t="n">
        <v>2258</v>
      </c>
      <c r="D526" s="41" t="inlineStr">
        <is>
          <t>صعيدى 2 خ</t>
        </is>
      </c>
      <c r="E526" s="41" t="inlineStr">
        <is>
          <t>2*20</t>
        </is>
      </c>
      <c r="F526" s="41" t="inlineStr">
        <is>
          <t xml:space="preserve">ريجينا </t>
        </is>
      </c>
      <c r="G526" s="41" t="inlineStr">
        <is>
          <t xml:space="preserve">السادات </t>
        </is>
      </c>
      <c r="H526" s="41" t="inlineStr">
        <is>
          <t>723784/5-202676/8</t>
        </is>
      </c>
      <c r="I526" s="41" t="inlineStr">
        <is>
          <t>س ل ج 2521</t>
        </is>
      </c>
      <c r="J526" s="41" t="inlineStr">
        <is>
          <t xml:space="preserve">احمد القط </t>
        </is>
      </c>
      <c r="K526" s="41" t="inlineStr">
        <is>
          <t xml:space="preserve">محمد الصعيدى </t>
        </is>
      </c>
      <c r="L526" s="42" t="n">
        <v>15500</v>
      </c>
      <c r="M526" s="42" t="n">
        <v>6100</v>
      </c>
      <c r="N526" s="42" t="n"/>
      <c r="O526" s="42" t="n">
        <v>200</v>
      </c>
      <c r="P526" s="42" t="n"/>
      <c r="Q526" s="42" t="n">
        <v>9200</v>
      </c>
      <c r="R526" s="43">
        <f>IF($B526="","",N($S526)-N($Q526))</f>
        <v/>
      </c>
      <c r="S526" s="43">
        <f>IF($B526="","",N($L526)+N($N526)+N($P526))</f>
        <v/>
      </c>
      <c r="T526" s="42" t="n"/>
      <c r="U526" s="42" t="n"/>
      <c r="V526" s="42" t="n"/>
      <c r="W526" s="42" t="n"/>
      <c r="X526" s="42" t="n"/>
      <c r="Y526" s="42" t="n"/>
      <c r="Z526" s="42" t="n"/>
      <c r="AA526" s="42" t="n"/>
      <c r="AB526" s="42" t="n"/>
      <c r="AC526" s="42" t="n"/>
      <c r="AD526" s="42" t="n"/>
      <c r="AE526" s="42" t="n"/>
      <c r="AF526" s="43">
        <f>IF($B526="","",SUM($T526:$AE526))</f>
        <v/>
      </c>
      <c r="AG526" s="43">
        <f>IF($B526="","",N($M526)-N($AF526))</f>
        <v/>
      </c>
      <c r="AH526" s="43">
        <f>IF($B526="","",N($L526)-N($AF526))</f>
        <v/>
      </c>
      <c r="AI526" s="149">
        <f>IF($B526="","",IF(N($L526)=0,"",(N($L526)-N($AF526))/N($L526)))</f>
        <v/>
      </c>
    </row>
    <row r="527">
      <c r="A527" s="39">
        <f>IF($B527="","",COUNTA($B$4:$B527))</f>
        <v/>
      </c>
      <c r="B527" s="45" t="n">
        <v>46083</v>
      </c>
      <c r="C527" s="46" t="n">
        <v>2082</v>
      </c>
      <c r="D527" s="46" t="inlineStr">
        <is>
          <t>المكتب</t>
        </is>
      </c>
      <c r="E527" s="46" t="inlineStr">
        <is>
          <t>1*40 ث</t>
        </is>
      </c>
      <c r="F527" s="46" t="inlineStr">
        <is>
          <t xml:space="preserve">تى فارم </t>
        </is>
      </c>
      <c r="G527" s="46" t="inlineStr">
        <is>
          <t xml:space="preserve">النوبارية </t>
        </is>
      </c>
      <c r="H527" s="46" t="inlineStr">
        <is>
          <t>113228/9</t>
        </is>
      </c>
      <c r="I527" s="46" t="inlineStr">
        <is>
          <t>س ع م 8737</t>
        </is>
      </c>
      <c r="J527" s="46" t="inlineStr">
        <is>
          <t xml:space="preserve">محمود بكر </t>
        </is>
      </c>
      <c r="K527" s="46" t="inlineStr">
        <is>
          <t>المكتب</t>
        </is>
      </c>
      <c r="L527" s="47" t="n">
        <v>11500</v>
      </c>
      <c r="M527" s="47" t="n">
        <v>6000</v>
      </c>
      <c r="N527" s="47" t="n"/>
      <c r="O527" s="47" t="n"/>
      <c r="P527" s="47" t="n"/>
      <c r="Q527" s="47" t="n">
        <v>5500</v>
      </c>
      <c r="R527" s="43">
        <f>IF($B527="","",N($S527)-N($Q527))</f>
        <v/>
      </c>
      <c r="S527" s="43">
        <f>IF($B527="","",N($L527)+N($N527)+N($P527))</f>
        <v/>
      </c>
      <c r="T527" s="47" t="n">
        <v>1500</v>
      </c>
      <c r="U527" s="47" t="n">
        <v>550</v>
      </c>
      <c r="V527" s="47" t="n"/>
      <c r="W527" s="47" t="n">
        <v>150</v>
      </c>
      <c r="X527" s="47" t="n">
        <v>60</v>
      </c>
      <c r="Y527" s="47" t="n">
        <v>120</v>
      </c>
      <c r="Z527" s="47" t="n"/>
      <c r="AA527" s="47" t="n"/>
      <c r="AB527" s="47" t="n"/>
      <c r="AC527" s="47" t="n"/>
      <c r="AD527" s="47" t="n"/>
      <c r="AE527" s="47" t="n">
        <v>2030</v>
      </c>
      <c r="AF527" s="43">
        <f>IF($B527="","",SUM($T527:$AE527))</f>
        <v/>
      </c>
      <c r="AG527" s="43">
        <f>IF($B527="","",N($M527)-N($AF527))</f>
        <v/>
      </c>
      <c r="AH527" s="43">
        <f>IF($B527="","",N($L527)-N($AF527))</f>
        <v/>
      </c>
      <c r="AI527" s="149">
        <f>IF($B527="","",IF(N($L527)=0,"",(N($L527)-N($AF527))/N($L527)))</f>
        <v/>
      </c>
    </row>
    <row r="528">
      <c r="A528" s="39">
        <f>IF($B528="","",COUNTA($B$4:$B528))</f>
        <v/>
      </c>
      <c r="B528" s="40" t="n">
        <v>46083</v>
      </c>
      <c r="C528" s="41" t="n">
        <v>1845</v>
      </c>
      <c r="D528" s="41" t="inlineStr">
        <is>
          <t>كمال رزق خ</t>
        </is>
      </c>
      <c r="E528" s="41" t="inlineStr">
        <is>
          <t xml:space="preserve">1*40 </t>
        </is>
      </c>
      <c r="F528" s="41" t="inlineStr">
        <is>
          <t xml:space="preserve">نرجين </t>
        </is>
      </c>
      <c r="G528" s="41" t="inlineStr">
        <is>
          <t xml:space="preserve">العالمين </t>
        </is>
      </c>
      <c r="H528" s="41" t="inlineStr">
        <is>
          <t>695468/3</t>
        </is>
      </c>
      <c r="I528" s="41" t="inlineStr">
        <is>
          <t>س ن ر 8979</t>
        </is>
      </c>
      <c r="J528" s="41" t="inlineStr">
        <is>
          <t xml:space="preserve">عماد سعيد </t>
        </is>
      </c>
      <c r="K528" s="41" t="inlineStr">
        <is>
          <t xml:space="preserve">عماد سعيد </t>
        </is>
      </c>
      <c r="L528" s="42" t="n">
        <v>11700</v>
      </c>
      <c r="M528" s="42" t="n">
        <v>8100</v>
      </c>
      <c r="N528" s="42" t="n"/>
      <c r="O528" s="42" t="n">
        <v>200</v>
      </c>
      <c r="P528" s="42" t="n"/>
      <c r="Q528" s="42" t="n">
        <v>3400</v>
      </c>
      <c r="R528" s="43">
        <f>IF($B528="","",N($S528)-N($Q528))</f>
        <v/>
      </c>
      <c r="S528" s="43">
        <f>IF($B528="","",N($L528)+N($N528)+N($P528))</f>
        <v/>
      </c>
      <c r="T528" s="42" t="n"/>
      <c r="U528" s="42" t="n"/>
      <c r="V528" s="42" t="n"/>
      <c r="W528" s="42" t="n"/>
      <c r="X528" s="42" t="n"/>
      <c r="Y528" s="42" t="n"/>
      <c r="Z528" s="42" t="n"/>
      <c r="AA528" s="42" t="n"/>
      <c r="AB528" s="42" t="n"/>
      <c r="AC528" s="42" t="n"/>
      <c r="AD528" s="42" t="n"/>
      <c r="AE528" s="42" t="n"/>
      <c r="AF528" s="43">
        <f>IF($B528="","",SUM($T528:$AE528))</f>
        <v/>
      </c>
      <c r="AG528" s="43">
        <f>IF($B528="","",N($M528)-N($AF528))</f>
        <v/>
      </c>
      <c r="AH528" s="43">
        <f>IF($B528="","",N($L528)-N($AF528))</f>
        <v/>
      </c>
      <c r="AI528" s="149">
        <f>IF($B528="","",IF(N($L528)=0,"",(N($L528)-N($AF528))/N($L528)))</f>
        <v/>
      </c>
    </row>
    <row r="529">
      <c r="A529" s="39">
        <f>IF($B529="","",COUNTA($B$4:$B529))</f>
        <v/>
      </c>
      <c r="B529" s="45" t="n">
        <v>46084</v>
      </c>
      <c r="C529" s="46" t="n">
        <v>2108</v>
      </c>
      <c r="D529" s="46" t="inlineStr">
        <is>
          <t>استوريا خ</t>
        </is>
      </c>
      <c r="E529" s="46" t="inlineStr">
        <is>
          <t>1*40</t>
        </is>
      </c>
      <c r="F529" s="46" t="inlineStr">
        <is>
          <t xml:space="preserve">بليسد ترى </t>
        </is>
      </c>
      <c r="G529" s="46" t="inlineStr">
        <is>
          <t>الاسماعيليه</t>
        </is>
      </c>
      <c r="H529" s="46" t="inlineStr">
        <is>
          <t>347385/2</t>
        </is>
      </c>
      <c r="I529" s="46" t="inlineStr">
        <is>
          <t>ب ج ط 3417</t>
        </is>
      </c>
      <c r="J529" s="46" t="inlineStr">
        <is>
          <t xml:space="preserve">محمد الشريدى </t>
        </is>
      </c>
      <c r="K529" s="46" t="inlineStr">
        <is>
          <t xml:space="preserve">استوريا </t>
        </is>
      </c>
      <c r="L529" s="47" t="n">
        <v>17000</v>
      </c>
      <c r="M529" s="47" t="n">
        <v>9100</v>
      </c>
      <c r="N529" s="47" t="n"/>
      <c r="O529" s="47" t="n">
        <v>200</v>
      </c>
      <c r="P529" s="47" t="n"/>
      <c r="Q529" s="47" t="n">
        <v>7700</v>
      </c>
      <c r="R529" s="43">
        <f>IF($B529="","",N($S529)-N($Q529))</f>
        <v/>
      </c>
      <c r="S529" s="43">
        <f>IF($B529="","",N($L529)+N($N529)+N($P529))</f>
        <v/>
      </c>
      <c r="T529" s="47" t="n"/>
      <c r="U529" s="47" t="n"/>
      <c r="V529" s="47" t="n"/>
      <c r="W529" s="47" t="n"/>
      <c r="X529" s="47" t="n"/>
      <c r="Y529" s="47" t="n"/>
      <c r="Z529" s="47" t="n"/>
      <c r="AA529" s="47" t="n"/>
      <c r="AB529" s="47" t="n"/>
      <c r="AC529" s="47" t="n"/>
      <c r="AD529" s="47" t="n"/>
      <c r="AE529" s="47" t="n"/>
      <c r="AF529" s="43">
        <f>IF($B529="","",SUM($T529:$AE529))</f>
        <v/>
      </c>
      <c r="AG529" s="43">
        <f>IF($B529="","",N($M529)-N($AF529))</f>
        <v/>
      </c>
      <c r="AH529" s="43">
        <f>IF($B529="","",N($L529)-N($AF529))</f>
        <v/>
      </c>
      <c r="AI529" s="149">
        <f>IF($B529="","",IF(N($L529)=0,"",(N($L529)-N($AF529))/N($L529)))</f>
        <v/>
      </c>
    </row>
    <row r="530">
      <c r="A530" s="39">
        <f>IF($B530="","",COUNTA($B$4:$B530))</f>
        <v/>
      </c>
      <c r="B530" s="40" t="n">
        <v>46084</v>
      </c>
      <c r="C530" s="41" t="n">
        <v>2110</v>
      </c>
      <c r="D530" s="41" t="inlineStr">
        <is>
          <t>احمد عبدو خ</t>
        </is>
      </c>
      <c r="E530" s="41" t="inlineStr">
        <is>
          <t>1*40</t>
        </is>
      </c>
      <c r="F530" s="41" t="inlineStr">
        <is>
          <t xml:space="preserve">بليسد ترى </t>
        </is>
      </c>
      <c r="G530" s="41" t="inlineStr">
        <is>
          <t>الاسماعيليه</t>
        </is>
      </c>
      <c r="H530" s="41" t="inlineStr">
        <is>
          <t>251150/7</t>
        </is>
      </c>
      <c r="I530" s="41" t="inlineStr">
        <is>
          <t>س ا ه 8198</t>
        </is>
      </c>
      <c r="J530" s="41" t="inlineStr">
        <is>
          <t xml:space="preserve">محمد ابراهيم </t>
        </is>
      </c>
      <c r="K530" s="41" t="inlineStr">
        <is>
          <t xml:space="preserve">علاء علام </t>
        </is>
      </c>
      <c r="L530" s="42" t="n">
        <v>17000</v>
      </c>
      <c r="M530" s="42" t="n">
        <v>9100</v>
      </c>
      <c r="N530" s="42" t="n"/>
      <c r="O530" s="42" t="n">
        <v>200</v>
      </c>
      <c r="P530" s="42" t="n"/>
      <c r="Q530" s="42" t="n">
        <v>7700</v>
      </c>
      <c r="R530" s="43">
        <f>IF($B530="","",N($S530)-N($Q530))</f>
        <v/>
      </c>
      <c r="S530" s="43">
        <f>IF($B530="","",N($L530)+N($N530)+N($P530))</f>
        <v/>
      </c>
      <c r="T530" s="42" t="n"/>
      <c r="U530" s="42" t="n"/>
      <c r="V530" s="42" t="n"/>
      <c r="W530" s="42" t="n"/>
      <c r="X530" s="42" t="n"/>
      <c r="Y530" s="42" t="n"/>
      <c r="Z530" s="42" t="n"/>
      <c r="AA530" s="42" t="n"/>
      <c r="AB530" s="42" t="n"/>
      <c r="AC530" s="42" t="n"/>
      <c r="AD530" s="42" t="n"/>
      <c r="AE530" s="42" t="n"/>
      <c r="AF530" s="43">
        <f>IF($B530="","",SUM($T530:$AE530))</f>
        <v/>
      </c>
      <c r="AG530" s="43">
        <f>IF($B530="","",N($M530)-N($AF530))</f>
        <v/>
      </c>
      <c r="AH530" s="43">
        <f>IF($B530="","",N($L530)-N($AF530))</f>
        <v/>
      </c>
      <c r="AI530" s="149">
        <f>IF($B530="","",IF(N($L530)=0,"",(N($L530)-N($AF530))/N($L530)))</f>
        <v/>
      </c>
    </row>
    <row r="531">
      <c r="A531" s="39">
        <f>IF($B531="","",COUNTA($B$4:$B531))</f>
        <v/>
      </c>
      <c r="B531" s="45" t="n">
        <v>46084</v>
      </c>
      <c r="C531" s="46" t="n">
        <v>2107</v>
      </c>
      <c r="D531" s="46" t="inlineStr">
        <is>
          <t xml:space="preserve">بدوى صلاح </t>
        </is>
      </c>
      <c r="E531" s="46" t="inlineStr">
        <is>
          <t>1*40</t>
        </is>
      </c>
      <c r="F531" s="46" t="inlineStr">
        <is>
          <t xml:space="preserve">بليسد ترى </t>
        </is>
      </c>
      <c r="G531" s="46" t="inlineStr">
        <is>
          <t>الاسماعيليه</t>
        </is>
      </c>
      <c r="H531" s="46" t="inlineStr">
        <is>
          <t>554168/0</t>
        </is>
      </c>
      <c r="I531" s="46" t="inlineStr">
        <is>
          <t>ص ع ا 7538</t>
        </is>
      </c>
      <c r="J531" s="46" t="inlineStr">
        <is>
          <t xml:space="preserve">رمضان الصاوى </t>
        </is>
      </c>
      <c r="K531" s="46" t="inlineStr">
        <is>
          <t xml:space="preserve">الصاوى </t>
        </is>
      </c>
      <c r="L531" s="47" t="n">
        <v>17000</v>
      </c>
      <c r="M531" s="47" t="n">
        <v>9100</v>
      </c>
      <c r="N531" s="47" t="n"/>
      <c r="O531" s="47" t="n">
        <v>200</v>
      </c>
      <c r="P531" s="47" t="n"/>
      <c r="Q531" s="47" t="n">
        <v>7700</v>
      </c>
      <c r="R531" s="43">
        <f>IF($B531="","",N($S531)-N($Q531))</f>
        <v/>
      </c>
      <c r="S531" s="43">
        <f>IF($B531="","",N($L531)+N($N531)+N($P531))</f>
        <v/>
      </c>
      <c r="T531" s="47" t="n"/>
      <c r="U531" s="47" t="n"/>
      <c r="V531" s="47" t="n"/>
      <c r="W531" s="47" t="n"/>
      <c r="X531" s="47" t="n"/>
      <c r="Y531" s="47" t="n"/>
      <c r="Z531" s="47" t="n"/>
      <c r="AA531" s="47" t="n"/>
      <c r="AB531" s="47" t="n"/>
      <c r="AC531" s="47" t="n"/>
      <c r="AD531" s="47" t="n"/>
      <c r="AE531" s="47" t="n"/>
      <c r="AF531" s="43">
        <f>IF($B531="","",SUM($T531:$AE531))</f>
        <v/>
      </c>
      <c r="AG531" s="43">
        <f>IF($B531="","",N($M531)-N($AF531))</f>
        <v/>
      </c>
      <c r="AH531" s="43">
        <f>IF($B531="","",N($L531)-N($AF531))</f>
        <v/>
      </c>
      <c r="AI531" s="149">
        <f>IF($B531="","",IF(N($L531)=0,"",(N($L531)-N($AF531))/N($L531)))</f>
        <v/>
      </c>
    </row>
    <row r="532">
      <c r="A532" s="39">
        <f>IF($B532="","",COUNTA($B$4:$B532))</f>
        <v/>
      </c>
      <c r="B532" s="40" t="n">
        <v>46084</v>
      </c>
      <c r="C532" s="41" t="n">
        <v>2109</v>
      </c>
      <c r="D532" s="41" t="inlineStr">
        <is>
          <t>استوريا خ</t>
        </is>
      </c>
      <c r="E532" s="41" t="inlineStr">
        <is>
          <t>1*40</t>
        </is>
      </c>
      <c r="F532" s="41" t="inlineStr">
        <is>
          <t xml:space="preserve">بليسد ترى </t>
        </is>
      </c>
      <c r="G532" s="41" t="inlineStr">
        <is>
          <t>الاسماعيليه</t>
        </is>
      </c>
      <c r="H532" s="41" t="inlineStr">
        <is>
          <t>655042/3</t>
        </is>
      </c>
      <c r="I532" s="41" t="inlineStr">
        <is>
          <t>ب و ا 5761</t>
        </is>
      </c>
      <c r="J532" s="41" t="inlineStr">
        <is>
          <t xml:space="preserve">احمد السيد </t>
        </is>
      </c>
      <c r="K532" s="41" t="inlineStr">
        <is>
          <t>استوريا</t>
        </is>
      </c>
      <c r="L532" s="42" t="n">
        <v>17000</v>
      </c>
      <c r="M532" s="42" t="n">
        <v>9100</v>
      </c>
      <c r="N532" s="42" t="n"/>
      <c r="O532" s="42" t="n">
        <v>200</v>
      </c>
      <c r="P532" s="42" t="n"/>
      <c r="Q532" s="42" t="n">
        <v>7700</v>
      </c>
      <c r="R532" s="43">
        <f>IF($B532="","",N($S532)-N($Q532))</f>
        <v/>
      </c>
      <c r="S532" s="43">
        <f>IF($B532="","",N($L532)+N($N532)+N($P532))</f>
        <v/>
      </c>
      <c r="T532" s="42" t="n"/>
      <c r="U532" s="42" t="n"/>
      <c r="V532" s="42" t="n"/>
      <c r="W532" s="42" t="n"/>
      <c r="X532" s="42" t="n"/>
      <c r="Y532" s="42" t="n"/>
      <c r="Z532" s="42" t="n"/>
      <c r="AA532" s="42" t="n"/>
      <c r="AB532" s="42" t="n"/>
      <c r="AC532" s="42" t="n"/>
      <c r="AD532" s="42" t="n"/>
      <c r="AE532" s="42" t="n"/>
      <c r="AF532" s="43">
        <f>IF($B532="","",SUM($T532:$AE532))</f>
        <v/>
      </c>
      <c r="AG532" s="43">
        <f>IF($B532="","",N($M532)-N($AF532))</f>
        <v/>
      </c>
      <c r="AH532" s="43">
        <f>IF($B532="","",N($L532)-N($AF532))</f>
        <v/>
      </c>
      <c r="AI532" s="149">
        <f>IF($B532="","",IF(N($L532)=0,"",(N($L532)-N($AF532))/N($L532)))</f>
        <v/>
      </c>
    </row>
    <row r="533">
      <c r="A533" s="39">
        <f>IF($B533="","",COUNTA($B$4:$B533))</f>
        <v/>
      </c>
      <c r="B533" s="45" t="n">
        <v>46084</v>
      </c>
      <c r="C533" s="46" t="n">
        <v>2106</v>
      </c>
      <c r="D533" s="46" t="inlineStr">
        <is>
          <t xml:space="preserve">محمد يحى </t>
        </is>
      </c>
      <c r="E533" s="46" t="inlineStr">
        <is>
          <t>1*40</t>
        </is>
      </c>
      <c r="F533" s="46" t="inlineStr">
        <is>
          <t xml:space="preserve">نتس لاند </t>
        </is>
      </c>
      <c r="G533" s="46" t="inlineStr">
        <is>
          <t xml:space="preserve">بورسعيد /الصالحية </t>
        </is>
      </c>
      <c r="H533" s="46" t="inlineStr">
        <is>
          <t>569314/1</t>
        </is>
      </c>
      <c r="I533" s="46" t="inlineStr">
        <is>
          <t>ط ف ر 1474</t>
        </is>
      </c>
      <c r="J533" s="46" t="inlineStr">
        <is>
          <t xml:space="preserve">جمال على </t>
        </is>
      </c>
      <c r="K533" s="46" t="inlineStr">
        <is>
          <t xml:space="preserve">كريم خليف </t>
        </is>
      </c>
      <c r="L533" s="47" t="n">
        <v>20000</v>
      </c>
      <c r="M533" s="47" t="n">
        <v>9100</v>
      </c>
      <c r="N533" s="47" t="n"/>
      <c r="O533" s="47" t="n">
        <v>200</v>
      </c>
      <c r="P533" s="47" t="n"/>
      <c r="Q533" s="47" t="n">
        <v>10700</v>
      </c>
      <c r="R533" s="43">
        <f>IF($B533="","",N($S533)-N($Q533))</f>
        <v/>
      </c>
      <c r="S533" s="43">
        <f>IF($B533="","",N($L533)+N($N533)+N($P533))</f>
        <v/>
      </c>
      <c r="T533" s="47" t="n"/>
      <c r="U533" s="47" t="n"/>
      <c r="V533" s="47" t="n"/>
      <c r="W533" s="47" t="n"/>
      <c r="X533" s="47" t="n"/>
      <c r="Y533" s="47" t="n"/>
      <c r="Z533" s="47" t="n"/>
      <c r="AA533" s="47" t="n"/>
      <c r="AB533" s="47" t="n"/>
      <c r="AC533" s="47" t="n"/>
      <c r="AD533" s="47" t="n"/>
      <c r="AE533" s="47" t="n"/>
      <c r="AF533" s="43">
        <f>IF($B533="","",SUM($T533:$AE533))</f>
        <v/>
      </c>
      <c r="AG533" s="43">
        <f>IF($B533="","",N($M533)-N($AF533))</f>
        <v/>
      </c>
      <c r="AH533" s="43">
        <f>IF($B533="","",N($L533)-N($AF533))</f>
        <v/>
      </c>
      <c r="AI533" s="149">
        <f>IF($B533="","",IF(N($L533)=0,"",(N($L533)-N($AF533))/N($L533)))</f>
        <v/>
      </c>
    </row>
    <row r="534">
      <c r="A534" s="39">
        <f>IF($B534="","",COUNTA($B$4:$B534))</f>
        <v/>
      </c>
      <c r="B534" s="40" t="n">
        <v>46084</v>
      </c>
      <c r="C534" s="41" t="n">
        <v>2115</v>
      </c>
      <c r="D534" s="41" t="inlineStr">
        <is>
          <t>الانصارى خ</t>
        </is>
      </c>
      <c r="E534" s="41" t="inlineStr">
        <is>
          <t>1*40</t>
        </is>
      </c>
      <c r="F534" s="41" t="inlineStr">
        <is>
          <t xml:space="preserve">نتس لاند </t>
        </is>
      </c>
      <c r="G534" s="41" t="inlineStr">
        <is>
          <t xml:space="preserve">بورسعيد /الصالحية </t>
        </is>
      </c>
      <c r="H534" s="41" t="inlineStr">
        <is>
          <t>304302/0</t>
        </is>
      </c>
      <c r="I534" s="41" t="inlineStr">
        <is>
          <t>ب ص ا 2574</t>
        </is>
      </c>
      <c r="J534" s="41" t="inlineStr">
        <is>
          <t xml:space="preserve">احمد عادل </t>
        </is>
      </c>
      <c r="K534" s="41" t="inlineStr">
        <is>
          <t xml:space="preserve">احمد خليف </t>
        </is>
      </c>
      <c r="L534" s="42" t="n">
        <v>20000</v>
      </c>
      <c r="M534" s="42" t="n">
        <v>9100</v>
      </c>
      <c r="N534" s="42" t="n"/>
      <c r="O534" s="42" t="n">
        <v>200</v>
      </c>
      <c r="P534" s="42" t="n"/>
      <c r="Q534" s="42" t="n">
        <v>10700</v>
      </c>
      <c r="R534" s="43">
        <f>IF($B534="","",N($S534)-N($Q534))</f>
        <v/>
      </c>
      <c r="S534" s="43">
        <f>IF($B534="","",N($L534)+N($N534)+N($P534))</f>
        <v/>
      </c>
      <c r="T534" s="42" t="n"/>
      <c r="U534" s="42" t="n"/>
      <c r="V534" s="42" t="n"/>
      <c r="W534" s="42" t="n"/>
      <c r="X534" s="42" t="n"/>
      <c r="Y534" s="42" t="n"/>
      <c r="Z534" s="42" t="n"/>
      <c r="AA534" s="42" t="n"/>
      <c r="AB534" s="42" t="n"/>
      <c r="AC534" s="42" t="n"/>
      <c r="AD534" s="42" t="n"/>
      <c r="AE534" s="42" t="n"/>
      <c r="AF534" s="43">
        <f>IF($B534="","",SUM($T534:$AE534))</f>
        <v/>
      </c>
      <c r="AG534" s="43">
        <f>IF($B534="","",N($M534)-N($AF534))</f>
        <v/>
      </c>
      <c r="AH534" s="43">
        <f>IF($B534="","",N($L534)-N($AF534))</f>
        <v/>
      </c>
      <c r="AI534" s="149">
        <f>IF($B534="","",IF(N($L534)=0,"",(N($L534)-N($AF534))/N($L534)))</f>
        <v/>
      </c>
    </row>
    <row r="535">
      <c r="A535" s="39">
        <f>IF($B535="","",COUNTA($B$4:$B535))</f>
        <v/>
      </c>
      <c r="B535" s="45" t="n">
        <v>46084</v>
      </c>
      <c r="C535" s="46" t="n">
        <v>2113</v>
      </c>
      <c r="D535" s="46" t="inlineStr">
        <is>
          <t>احمد عبدو خ</t>
        </is>
      </c>
      <c r="E535" s="46" t="inlineStr">
        <is>
          <t>1*40</t>
        </is>
      </c>
      <c r="F535" s="46" t="inlineStr">
        <is>
          <t xml:space="preserve">انترواكو </t>
        </is>
      </c>
      <c r="G535" s="46" t="inlineStr">
        <is>
          <t xml:space="preserve">القناطر </t>
        </is>
      </c>
      <c r="H535" s="46" t="inlineStr">
        <is>
          <t>534110/0</t>
        </is>
      </c>
      <c r="I535" s="46" t="inlineStr">
        <is>
          <t>ع ر ب 1573</t>
        </is>
      </c>
      <c r="J535" s="46" t="inlineStr">
        <is>
          <t xml:space="preserve">محمد السيد </t>
        </is>
      </c>
      <c r="K535" s="46" t="inlineStr">
        <is>
          <t xml:space="preserve">حمو مرزوق </t>
        </is>
      </c>
      <c r="L535" s="47" t="n">
        <v>15000</v>
      </c>
      <c r="M535" s="47" t="n">
        <v>8100</v>
      </c>
      <c r="N535" s="47" t="n"/>
      <c r="O535" s="47" t="n">
        <v>200</v>
      </c>
      <c r="P535" s="47" t="n"/>
      <c r="Q535" s="47" t="n">
        <v>6700</v>
      </c>
      <c r="R535" s="43">
        <f>IF($B535="","",N($S535)-N($Q535))</f>
        <v/>
      </c>
      <c r="S535" s="43">
        <f>IF($B535="","",N($L535)+N($N535)+N($P535))</f>
        <v/>
      </c>
      <c r="T535" s="47" t="n"/>
      <c r="U535" s="47" t="n"/>
      <c r="V535" s="47" t="n"/>
      <c r="W535" s="47" t="n"/>
      <c r="X535" s="47" t="n"/>
      <c r="Y535" s="47" t="n"/>
      <c r="Z535" s="47" t="n"/>
      <c r="AA535" s="47" t="n"/>
      <c r="AB535" s="47" t="n"/>
      <c r="AC535" s="47" t="n"/>
      <c r="AD535" s="47" t="n"/>
      <c r="AE535" s="47" t="n"/>
      <c r="AF535" s="43">
        <f>IF($B535="","",SUM($T535:$AE535))</f>
        <v/>
      </c>
      <c r="AG535" s="43">
        <f>IF($B535="","",N($M535)-N($AF535))</f>
        <v/>
      </c>
      <c r="AH535" s="43">
        <f>IF($B535="","",N($L535)-N($AF535))</f>
        <v/>
      </c>
      <c r="AI535" s="149">
        <f>IF($B535="","",IF(N($L535)=0,"",(N($L535)-N($AF535))/N($L535)))</f>
        <v/>
      </c>
    </row>
    <row r="536">
      <c r="A536" s="39">
        <f>IF($B536="","",COUNTA($B$4:$B536))</f>
        <v/>
      </c>
      <c r="B536" s="40" t="n">
        <v>46084</v>
      </c>
      <c r="C536" s="41" t="n">
        <v>2114</v>
      </c>
      <c r="D536" s="41" t="inlineStr">
        <is>
          <t>الجوهرى خ</t>
        </is>
      </c>
      <c r="E536" s="41" t="inlineStr">
        <is>
          <t>1*40</t>
        </is>
      </c>
      <c r="F536" s="41" t="inlineStr">
        <is>
          <t xml:space="preserve">انترواكو </t>
        </is>
      </c>
      <c r="G536" s="41" t="inlineStr">
        <is>
          <t xml:space="preserve">القناطر </t>
        </is>
      </c>
      <c r="H536" s="41" t="inlineStr">
        <is>
          <t>971025/5</t>
        </is>
      </c>
      <c r="I536" s="41" t="inlineStr">
        <is>
          <t>ع ب س 7849</t>
        </is>
      </c>
      <c r="J536" s="41" t="inlineStr">
        <is>
          <t xml:space="preserve">احمد ابو كريم </t>
        </is>
      </c>
      <c r="K536" s="41" t="inlineStr">
        <is>
          <t xml:space="preserve">ابو ادم </t>
        </is>
      </c>
      <c r="L536" s="42" t="n">
        <v>15000</v>
      </c>
      <c r="M536" s="42" t="n">
        <v>8100</v>
      </c>
      <c r="N536" s="42" t="n"/>
      <c r="O536" s="42" t="n">
        <v>200</v>
      </c>
      <c r="P536" s="42" t="n"/>
      <c r="Q536" s="42" t="n">
        <v>6700</v>
      </c>
      <c r="R536" s="43">
        <f>IF($B536="","",N($S536)-N($Q536))</f>
        <v/>
      </c>
      <c r="S536" s="43">
        <f>IF($B536="","",N($L536)+N($N536)+N($P536))</f>
        <v/>
      </c>
      <c r="T536" s="42" t="n"/>
      <c r="U536" s="42" t="n"/>
      <c r="V536" s="42" t="n"/>
      <c r="W536" s="42" t="n"/>
      <c r="X536" s="42" t="n"/>
      <c r="Y536" s="42" t="n"/>
      <c r="Z536" s="42" t="n"/>
      <c r="AA536" s="42" t="n"/>
      <c r="AB536" s="42" t="n"/>
      <c r="AC536" s="42" t="n"/>
      <c r="AD536" s="42" t="n"/>
      <c r="AE536" s="42" t="n"/>
      <c r="AF536" s="43">
        <f>IF($B536="","",SUM($T536:$AE536))</f>
        <v/>
      </c>
      <c r="AG536" s="43">
        <f>IF($B536="","",N($M536)-N($AF536))</f>
        <v/>
      </c>
      <c r="AH536" s="43">
        <f>IF($B536="","",N($L536)-N($AF536))</f>
        <v/>
      </c>
      <c r="AI536" s="149">
        <f>IF($B536="","",IF(N($L536)=0,"",(N($L536)-N($AF536))/N($L536)))</f>
        <v/>
      </c>
    </row>
    <row r="537">
      <c r="A537" s="39">
        <f>IF($B537="","",COUNTA($B$4:$B537))</f>
        <v/>
      </c>
      <c r="B537" s="45" t="n">
        <v>46084</v>
      </c>
      <c r="C537" s="46" t="n">
        <v>2111</v>
      </c>
      <c r="D537" s="46" t="inlineStr">
        <is>
          <t xml:space="preserve">علاء علام </t>
        </is>
      </c>
      <c r="E537" s="46" t="inlineStr">
        <is>
          <t>1*40 ث</t>
        </is>
      </c>
      <c r="F537" s="46" t="inlineStr">
        <is>
          <t xml:space="preserve">انترواكو </t>
        </is>
      </c>
      <c r="G537" s="46" t="inlineStr">
        <is>
          <t xml:space="preserve">ك الدوار </t>
        </is>
      </c>
      <c r="H537" s="46" t="inlineStr">
        <is>
          <t>544571/7</t>
        </is>
      </c>
      <c r="I537" s="46" t="inlineStr">
        <is>
          <t>س ل ب 5917</t>
        </is>
      </c>
      <c r="J537" s="46" t="inlineStr">
        <is>
          <t>مصطفى علاء</t>
        </is>
      </c>
      <c r="K537" s="46" t="inlineStr">
        <is>
          <t xml:space="preserve">علاء علام </t>
        </is>
      </c>
      <c r="L537" s="47" t="n">
        <v>9000</v>
      </c>
      <c r="M537" s="47" t="n">
        <v>7100</v>
      </c>
      <c r="N537" s="47" t="n"/>
      <c r="O537" s="47" t="n">
        <v>200</v>
      </c>
      <c r="P537" s="47" t="n"/>
      <c r="Q537" s="47" t="n">
        <v>1700</v>
      </c>
      <c r="R537" s="43">
        <f>IF($B537="","",N($S537)-N($Q537))</f>
        <v/>
      </c>
      <c r="S537" s="43">
        <f>IF($B537="","",N($L537)+N($N537)+N($P537))</f>
        <v/>
      </c>
      <c r="T537" s="47" t="n"/>
      <c r="U537" s="47" t="n"/>
      <c r="V537" s="47" t="n"/>
      <c r="W537" s="47" t="n"/>
      <c r="X537" s="47" t="n"/>
      <c r="Y537" s="47" t="n"/>
      <c r="Z537" s="47" t="n"/>
      <c r="AA537" s="47" t="n"/>
      <c r="AB537" s="47" t="n"/>
      <c r="AC537" s="47" t="n"/>
      <c r="AD537" s="47" t="n"/>
      <c r="AE537" s="47" t="n"/>
      <c r="AF537" s="43">
        <f>IF($B537="","",SUM($T537:$AE537))</f>
        <v/>
      </c>
      <c r="AG537" s="43">
        <f>IF($B537="","",N($M537)-N($AF537))</f>
        <v/>
      </c>
      <c r="AH537" s="43">
        <f>IF($B537="","",N($L537)-N($AF537))</f>
        <v/>
      </c>
      <c r="AI537" s="149">
        <f>IF($B537="","",IF(N($L537)=0,"",(N($L537)-N($AF537))/N($L537)))</f>
        <v/>
      </c>
    </row>
    <row r="538">
      <c r="A538" s="39">
        <f>IF($B538="","",COUNTA($B$4:$B538))</f>
        <v/>
      </c>
      <c r="B538" s="40" t="n">
        <v>46084</v>
      </c>
      <c r="C538" s="41" t="n">
        <v>2112</v>
      </c>
      <c r="D538" s="41" t="inlineStr">
        <is>
          <t>اشرف الجمل</t>
        </is>
      </c>
      <c r="E538" s="41" t="inlineStr">
        <is>
          <t>1*40</t>
        </is>
      </c>
      <c r="F538" s="41" t="inlineStr">
        <is>
          <t xml:space="preserve">انترواكو </t>
        </is>
      </c>
      <c r="G538" s="41" t="inlineStr">
        <is>
          <t xml:space="preserve">ك الدوار </t>
        </is>
      </c>
      <c r="H538" s="41" t="inlineStr">
        <is>
          <t>997769/0</t>
        </is>
      </c>
      <c r="I538" s="41" t="inlineStr">
        <is>
          <t>س ص ب 3829</t>
        </is>
      </c>
      <c r="J538" s="41" t="inlineStr">
        <is>
          <t xml:space="preserve">محمد امين </t>
        </is>
      </c>
      <c r="K538" s="41" t="inlineStr">
        <is>
          <t xml:space="preserve">اشرف الجمل </t>
        </is>
      </c>
      <c r="L538" s="42" t="n">
        <v>9000</v>
      </c>
      <c r="M538" s="42" t="n">
        <v>7100</v>
      </c>
      <c r="N538" s="42" t="n"/>
      <c r="O538" s="42" t="n">
        <v>200</v>
      </c>
      <c r="P538" s="42" t="n"/>
      <c r="Q538" s="42" t="n">
        <v>1700</v>
      </c>
      <c r="R538" s="43">
        <f>IF($B538="","",N($S538)-N($Q538))</f>
        <v/>
      </c>
      <c r="S538" s="43">
        <f>IF($B538="","",N($L538)+N($N538)+N($P538))</f>
        <v/>
      </c>
      <c r="T538" s="42" t="n"/>
      <c r="U538" s="42" t="n"/>
      <c r="V538" s="42" t="n"/>
      <c r="W538" s="42" t="n"/>
      <c r="X538" s="42" t="n"/>
      <c r="Y538" s="42" t="n"/>
      <c r="Z538" s="42" t="n"/>
      <c r="AA538" s="42" t="n"/>
      <c r="AB538" s="42" t="n"/>
      <c r="AC538" s="42" t="n"/>
      <c r="AD538" s="42" t="n"/>
      <c r="AE538" s="42" t="n"/>
      <c r="AF538" s="43">
        <f>IF($B538="","",SUM($T538:$AE538))</f>
        <v/>
      </c>
      <c r="AG538" s="43">
        <f>IF($B538="","",N($M538)-N($AF538))</f>
        <v/>
      </c>
      <c r="AH538" s="43">
        <f>IF($B538="","",N($L538)-N($AF538))</f>
        <v/>
      </c>
      <c r="AI538" s="149">
        <f>IF($B538="","",IF(N($L538)=0,"",(N($L538)-N($AF538))/N($L538)))</f>
        <v/>
      </c>
    </row>
    <row r="539">
      <c r="A539" s="39">
        <f>IF($B539="","",COUNTA($B$4:$B539))</f>
        <v/>
      </c>
      <c r="B539" s="45" t="n">
        <v>46084</v>
      </c>
      <c r="C539" s="46" t="n">
        <v>2105</v>
      </c>
      <c r="D539" s="46" t="inlineStr">
        <is>
          <t>المكتب</t>
        </is>
      </c>
      <c r="E539" s="46" t="inlineStr">
        <is>
          <t>1*40</t>
        </is>
      </c>
      <c r="F539" s="46" t="inlineStr">
        <is>
          <t xml:space="preserve">تومكو </t>
        </is>
      </c>
      <c r="G539" s="46" t="inlineStr">
        <is>
          <t xml:space="preserve">المنيا </t>
        </is>
      </c>
      <c r="H539" s="46" t="inlineStr">
        <is>
          <t>403036/3</t>
        </is>
      </c>
      <c r="I539" s="46" t="inlineStr">
        <is>
          <t>س ع م 8737</t>
        </is>
      </c>
      <c r="J539" s="46" t="inlineStr">
        <is>
          <t xml:space="preserve">محمود بكر </t>
        </is>
      </c>
      <c r="K539" s="46" t="inlineStr">
        <is>
          <t>المكتب</t>
        </is>
      </c>
      <c r="L539" s="47" t="n">
        <v>30000</v>
      </c>
      <c r="M539" s="47" t="n">
        <v>10000</v>
      </c>
      <c r="N539" s="47" t="n"/>
      <c r="O539" s="47" t="n"/>
      <c r="P539" s="47" t="n"/>
      <c r="Q539" s="47" t="n">
        <v>20000</v>
      </c>
      <c r="R539" s="43">
        <f>IF($B539="","",N($S539)-N($Q539))</f>
        <v/>
      </c>
      <c r="S539" s="43">
        <f>IF($B539="","",N($L539)+N($N539)+N($P539))</f>
        <v/>
      </c>
      <c r="T539" s="47" t="n">
        <v>2700</v>
      </c>
      <c r="U539" s="47" t="n">
        <v>1200</v>
      </c>
      <c r="V539" s="47" t="n"/>
      <c r="W539" s="47" t="n">
        <v>150</v>
      </c>
      <c r="X539" s="47" t="n">
        <v>180</v>
      </c>
      <c r="Y539" s="47" t="n">
        <v>120</v>
      </c>
      <c r="Z539" s="47" t="n"/>
      <c r="AA539" s="47" t="n"/>
      <c r="AB539" s="47" t="n">
        <v>250</v>
      </c>
      <c r="AC539" s="47" t="n">
        <v>150</v>
      </c>
      <c r="AD539" s="47" t="n">
        <v>200</v>
      </c>
      <c r="AE539" s="47" t="n">
        <v>6200</v>
      </c>
      <c r="AF539" s="43">
        <f>IF($B539="","",SUM($T539:$AE539))</f>
        <v/>
      </c>
      <c r="AG539" s="43">
        <f>IF($B539="","",N($M539)-N($AF539))</f>
        <v/>
      </c>
      <c r="AH539" s="43">
        <f>IF($B539="","",N($L539)-N($AF539))</f>
        <v/>
      </c>
      <c r="AI539" s="149">
        <f>IF($B539="","",IF(N($L539)=0,"",(N($L539)-N($AF539))/N($L539)))</f>
        <v/>
      </c>
    </row>
    <row r="540">
      <c r="A540" s="39">
        <f>IF($B540="","",COUNTA($B$4:$B540))</f>
        <v/>
      </c>
      <c r="B540" s="40" t="n">
        <v>46084</v>
      </c>
      <c r="C540" s="41" t="n">
        <v>1846</v>
      </c>
      <c r="D540" s="41" t="inlineStr">
        <is>
          <t>الشريف خ</t>
        </is>
      </c>
      <c r="E540" s="41" t="inlineStr">
        <is>
          <t>1*40</t>
        </is>
      </c>
      <c r="F540" s="41" t="inlineStr">
        <is>
          <t xml:space="preserve">السويدى بوليمرز </t>
        </is>
      </c>
      <c r="G540" s="41" t="inlineStr">
        <is>
          <t xml:space="preserve">العاشر </t>
        </is>
      </c>
      <c r="H540" s="41" t="inlineStr">
        <is>
          <t>683902/3</t>
        </is>
      </c>
      <c r="I540" s="41" t="inlineStr">
        <is>
          <t>ب د ف 8596</t>
        </is>
      </c>
      <c r="J540" s="41" t="inlineStr">
        <is>
          <t xml:space="preserve">محمد عبد المجيد </t>
        </is>
      </c>
      <c r="K540" s="41" t="inlineStr">
        <is>
          <t xml:space="preserve">ابو ادم </t>
        </is>
      </c>
      <c r="L540" s="42" t="n">
        <v>14500</v>
      </c>
      <c r="M540" s="42" t="n">
        <v>7100</v>
      </c>
      <c r="N540" s="42" t="n">
        <v>1100</v>
      </c>
      <c r="O540" s="42" t="n">
        <v>200</v>
      </c>
      <c r="P540" s="42" t="n"/>
      <c r="Q540" s="42" t="n">
        <v>6100</v>
      </c>
      <c r="R540" s="43">
        <f>IF($B540="","",N($S540)-N($Q540))</f>
        <v/>
      </c>
      <c r="S540" s="43">
        <f>IF($B540="","",N($L540)+N($N540)+N($P540))</f>
        <v/>
      </c>
      <c r="T540" s="42" t="n"/>
      <c r="U540" s="42" t="n"/>
      <c r="V540" s="42" t="n"/>
      <c r="W540" s="42" t="n"/>
      <c r="X540" s="42" t="n"/>
      <c r="Y540" s="42" t="n"/>
      <c r="Z540" s="42" t="n"/>
      <c r="AA540" s="42" t="n"/>
      <c r="AB540" s="42" t="n"/>
      <c r="AC540" s="42" t="n"/>
      <c r="AD540" s="42" t="n"/>
      <c r="AE540" s="42" t="n"/>
      <c r="AF540" s="43">
        <f>IF($B540="","",SUM($T540:$AE540))</f>
        <v/>
      </c>
      <c r="AG540" s="43">
        <f>IF($B540="","",N($M540)-N($AF540))</f>
        <v/>
      </c>
      <c r="AH540" s="43">
        <f>IF($B540="","",N($L540)-N($AF540))</f>
        <v/>
      </c>
      <c r="AI540" s="149">
        <f>IF($B540="","",IF(N($L540)=0,"",(N($L540)-N($AF540))/N($L540)))</f>
        <v/>
      </c>
    </row>
    <row r="541">
      <c r="A541" s="39">
        <f>IF($B541="","",COUNTA($B$4:$B541))</f>
        <v/>
      </c>
      <c r="B541" s="45" t="n">
        <v>46084</v>
      </c>
      <c r="C541" s="46" t="n">
        <v>2261</v>
      </c>
      <c r="D541" s="46" t="inlineStr">
        <is>
          <t>عباد الرحمن</t>
        </is>
      </c>
      <c r="E541" s="46" t="inlineStr">
        <is>
          <t>1*40</t>
        </is>
      </c>
      <c r="F541" s="46" t="inlineStr">
        <is>
          <t xml:space="preserve">بليسد ترى </t>
        </is>
      </c>
      <c r="G541" s="46" t="inlineStr">
        <is>
          <t>الاسماعيليه</t>
        </is>
      </c>
      <c r="H541" s="46" t="inlineStr">
        <is>
          <t>935464/9</t>
        </is>
      </c>
      <c r="I541" s="46" t="inlineStr">
        <is>
          <t>س ع ن 1989</t>
        </is>
      </c>
      <c r="J541" s="46" t="inlineStr">
        <is>
          <t xml:space="preserve">سعد شهاب </t>
        </is>
      </c>
      <c r="K541" s="46" t="inlineStr">
        <is>
          <t xml:space="preserve">احمد فؤاد </t>
        </is>
      </c>
      <c r="L541" s="47" t="n">
        <v>17000</v>
      </c>
      <c r="M541" s="47" t="n">
        <v>9100</v>
      </c>
      <c r="N541" s="47" t="n"/>
      <c r="O541" s="47" t="n">
        <v>200</v>
      </c>
      <c r="P541" s="47" t="n"/>
      <c r="Q541" s="47" t="n">
        <v>7700</v>
      </c>
      <c r="R541" s="43">
        <f>IF($B541="","",N($S541)-N($Q541))</f>
        <v/>
      </c>
      <c r="S541" s="43">
        <f>IF($B541="","",N($L541)+N($N541)+N($P541))</f>
        <v/>
      </c>
      <c r="T541" s="47" t="n"/>
      <c r="U541" s="47" t="n"/>
      <c r="V541" s="47" t="n"/>
      <c r="W541" s="47" t="n"/>
      <c r="X541" s="47" t="n"/>
      <c r="Y541" s="47" t="n"/>
      <c r="Z541" s="47" t="n"/>
      <c r="AA541" s="47" t="n"/>
      <c r="AB541" s="47" t="n"/>
      <c r="AC541" s="47" t="n"/>
      <c r="AD541" s="47" t="n"/>
      <c r="AE541" s="47" t="n"/>
      <c r="AF541" s="43">
        <f>IF($B541="","",SUM($T541:$AE541))</f>
        <v/>
      </c>
      <c r="AG541" s="43">
        <f>IF($B541="","",N($M541)-N($AF541))</f>
        <v/>
      </c>
      <c r="AH541" s="43">
        <f>IF($B541="","",N($L541)-N($AF541))</f>
        <v/>
      </c>
      <c r="AI541" s="149">
        <f>IF($B541="","",IF(N($L541)=0,"",(N($L541)-N($AF541))/N($L541)))</f>
        <v/>
      </c>
    </row>
    <row r="542">
      <c r="A542" s="39">
        <f>IF($B542="","",COUNTA($B$4:$B542))</f>
        <v/>
      </c>
      <c r="B542" s="40" t="n">
        <v>46084</v>
      </c>
      <c r="C542" s="41" t="n">
        <v>2262</v>
      </c>
      <c r="D542" s="41" t="inlineStr">
        <is>
          <t>احمد خطاب</t>
        </is>
      </c>
      <c r="E542" s="41" t="inlineStr">
        <is>
          <t>1*40</t>
        </is>
      </c>
      <c r="F542" s="41" t="inlineStr">
        <is>
          <t xml:space="preserve">بليسد ترى </t>
        </is>
      </c>
      <c r="G542" s="41" t="inlineStr">
        <is>
          <t>الاسماعيليه</t>
        </is>
      </c>
      <c r="H542" s="41" t="inlineStr">
        <is>
          <t>762528/0</t>
        </is>
      </c>
      <c r="I542" s="41" t="inlineStr">
        <is>
          <t>ب د ف 8472</t>
        </is>
      </c>
      <c r="J542" s="41" t="inlineStr">
        <is>
          <t xml:space="preserve">احمد عبد الدايم </t>
        </is>
      </c>
      <c r="K542" s="41" t="inlineStr">
        <is>
          <t xml:space="preserve">احمد يحى </t>
        </is>
      </c>
      <c r="L542" s="42" t="n">
        <v>17000</v>
      </c>
      <c r="M542" s="42" t="n">
        <v>9100</v>
      </c>
      <c r="N542" s="42" t="n"/>
      <c r="O542" s="42" t="n">
        <v>200</v>
      </c>
      <c r="P542" s="42" t="n"/>
      <c r="Q542" s="42" t="n">
        <v>7700</v>
      </c>
      <c r="R542" s="43">
        <f>IF($B542="","",N($S542)-N($Q542))</f>
        <v/>
      </c>
      <c r="S542" s="43">
        <f>IF($B542="","",N($L542)+N($N542)+N($P542))</f>
        <v/>
      </c>
      <c r="T542" s="42" t="n"/>
      <c r="U542" s="42" t="n"/>
      <c r="V542" s="42" t="n"/>
      <c r="W542" s="42" t="n"/>
      <c r="X542" s="42" t="n"/>
      <c r="Y542" s="42" t="n"/>
      <c r="Z542" s="42" t="n"/>
      <c r="AA542" s="42" t="n"/>
      <c r="AB542" s="42" t="n"/>
      <c r="AC542" s="42" t="n"/>
      <c r="AD542" s="42" t="n"/>
      <c r="AE542" s="42" t="n"/>
      <c r="AF542" s="43">
        <f>IF($B542="","",SUM($T542:$AE542))</f>
        <v/>
      </c>
      <c r="AG542" s="43">
        <f>IF($B542="","",N($M542)-N($AF542))</f>
        <v/>
      </c>
      <c r="AH542" s="43">
        <f>IF($B542="","",N($L542)-N($AF542))</f>
        <v/>
      </c>
      <c r="AI542" s="149">
        <f>IF($B542="","",IF(N($L542)=0,"",(N($L542)-N($AF542))/N($L542)))</f>
        <v/>
      </c>
    </row>
    <row r="543">
      <c r="A543" s="39">
        <f>IF($B543="","",COUNTA($B$4:$B543))</f>
        <v/>
      </c>
      <c r="B543" s="45" t="n">
        <v>46084</v>
      </c>
      <c r="C543" s="46" t="n">
        <v>2263</v>
      </c>
      <c r="D543" s="46" t="inlineStr">
        <is>
          <t>كمال رزق خ</t>
        </is>
      </c>
      <c r="E543" s="46" t="inlineStr">
        <is>
          <t>1*40</t>
        </is>
      </c>
      <c r="F543" s="46" t="inlineStr">
        <is>
          <t xml:space="preserve">بليسد ترى </t>
        </is>
      </c>
      <c r="G543" s="46" t="inlineStr">
        <is>
          <t>الاسماعيليه</t>
        </is>
      </c>
      <c r="H543" s="46" t="inlineStr">
        <is>
          <t>519680/5</t>
        </is>
      </c>
      <c r="I543" s="46" t="inlineStr">
        <is>
          <t>س ن ر 8979</t>
        </is>
      </c>
      <c r="J543" s="46" t="inlineStr">
        <is>
          <t xml:space="preserve">عماد سعيد </t>
        </is>
      </c>
      <c r="K543" s="46" t="inlineStr">
        <is>
          <t xml:space="preserve">عماد سعيد </t>
        </is>
      </c>
      <c r="L543" s="47" t="n">
        <v>17000</v>
      </c>
      <c r="M543" s="47" t="n">
        <v>9100</v>
      </c>
      <c r="N543" s="47" t="n"/>
      <c r="O543" s="47" t="n">
        <v>200</v>
      </c>
      <c r="P543" s="47" t="n"/>
      <c r="Q543" s="47" t="n">
        <v>7700</v>
      </c>
      <c r="R543" s="43">
        <f>IF($B543="","",N($S543)-N($Q543))</f>
        <v/>
      </c>
      <c r="S543" s="43">
        <f>IF($B543="","",N($L543)+N($N543)+N($P543))</f>
        <v/>
      </c>
      <c r="T543" s="47" t="n"/>
      <c r="U543" s="47" t="n"/>
      <c r="V543" s="47" t="n"/>
      <c r="W543" s="47" t="n"/>
      <c r="X543" s="47" t="n"/>
      <c r="Y543" s="47" t="n"/>
      <c r="Z543" s="47" t="n"/>
      <c r="AA543" s="47" t="n"/>
      <c r="AB543" s="47" t="n"/>
      <c r="AC543" s="47" t="n"/>
      <c r="AD543" s="47" t="n"/>
      <c r="AE543" s="47" t="n"/>
      <c r="AF543" s="43">
        <f>IF($B543="","",SUM($T543:$AE543))</f>
        <v/>
      </c>
      <c r="AG543" s="43">
        <f>IF($B543="","",N($M543)-N($AF543))</f>
        <v/>
      </c>
      <c r="AH543" s="43">
        <f>IF($B543="","",N($L543)-N($AF543))</f>
        <v/>
      </c>
      <c r="AI543" s="149">
        <f>IF($B543="","",IF(N($L543)=0,"",(N($L543)-N($AF543))/N($L543)))</f>
        <v/>
      </c>
    </row>
    <row r="544">
      <c r="A544" s="39">
        <f>IF($B544="","",COUNTA($B$4:$B544))</f>
        <v/>
      </c>
      <c r="B544" s="40" t="n">
        <v>46085</v>
      </c>
      <c r="C544" s="41" t="n">
        <v>2264</v>
      </c>
      <c r="D544" s="41" t="inlineStr">
        <is>
          <t>حماد خ</t>
        </is>
      </c>
      <c r="E544" s="41" t="inlineStr">
        <is>
          <t>1*40</t>
        </is>
      </c>
      <c r="F544" s="41" t="inlineStr">
        <is>
          <t xml:space="preserve">الريعى </t>
        </is>
      </c>
      <c r="G544" s="41" t="inlineStr">
        <is>
          <t xml:space="preserve">الشرقية </t>
        </is>
      </c>
      <c r="H544" s="41" t="inlineStr">
        <is>
          <t>696049/5</t>
        </is>
      </c>
      <c r="I544" s="41" t="inlineStr">
        <is>
          <t>س ل ى 9682</t>
        </is>
      </c>
      <c r="J544" s="41" t="inlineStr">
        <is>
          <t xml:space="preserve">محمود احمد </t>
        </is>
      </c>
      <c r="K544" s="41" t="inlineStr">
        <is>
          <t xml:space="preserve">محمد صابر </t>
        </is>
      </c>
      <c r="L544" s="42" t="n">
        <v>16000</v>
      </c>
      <c r="M544" s="42" t="n">
        <v>8100</v>
      </c>
      <c r="N544" s="42" t="n"/>
      <c r="O544" s="42" t="n">
        <v>200</v>
      </c>
      <c r="P544" s="42" t="n"/>
      <c r="Q544" s="42" t="n">
        <v>7700</v>
      </c>
      <c r="R544" s="43">
        <f>IF($B544="","",N($S544)-N($Q544))</f>
        <v/>
      </c>
      <c r="S544" s="43">
        <f>IF($B544="","",N($L544)+N($N544)+N($P544))</f>
        <v/>
      </c>
      <c r="T544" s="42" t="n"/>
      <c r="U544" s="42" t="n"/>
      <c r="V544" s="42" t="n"/>
      <c r="W544" s="42" t="n"/>
      <c r="X544" s="42" t="n"/>
      <c r="Y544" s="42" t="n"/>
      <c r="Z544" s="42" t="n"/>
      <c r="AA544" s="42" t="n"/>
      <c r="AB544" s="42" t="n"/>
      <c r="AC544" s="42" t="n"/>
      <c r="AD544" s="42" t="n"/>
      <c r="AE544" s="42" t="n"/>
      <c r="AF544" s="43">
        <f>IF($B544="","",SUM($T544:$AE544))</f>
        <v/>
      </c>
      <c r="AG544" s="43">
        <f>IF($B544="","",N($M544)-N($AF544))</f>
        <v/>
      </c>
      <c r="AH544" s="43">
        <f>IF($B544="","",N($L544)-N($AF544))</f>
        <v/>
      </c>
      <c r="AI544" s="149">
        <f>IF($B544="","",IF(N($L544)=0,"",(N($L544)-N($AF544))/N($L544)))</f>
        <v/>
      </c>
    </row>
    <row r="545">
      <c r="A545" s="39">
        <f>IF($B545="","",COUNTA($B$4:$B545))</f>
        <v/>
      </c>
      <c r="B545" s="45" t="n">
        <v>46085</v>
      </c>
      <c r="C545" s="46" t="n">
        <v>2265</v>
      </c>
      <c r="D545" s="46" t="inlineStr">
        <is>
          <t xml:space="preserve">مينا حكيم </t>
        </is>
      </c>
      <c r="E545" s="46" t="inlineStr">
        <is>
          <t>1*40</t>
        </is>
      </c>
      <c r="F545" s="46" t="inlineStr">
        <is>
          <t xml:space="preserve">الريعى </t>
        </is>
      </c>
      <c r="G545" s="46" t="inlineStr">
        <is>
          <t xml:space="preserve">الشرقية </t>
        </is>
      </c>
      <c r="H545" s="46" t="inlineStr">
        <is>
          <t>104471/4</t>
        </is>
      </c>
      <c r="I545" s="46" t="inlineStr">
        <is>
          <t>س و ج 8178</t>
        </is>
      </c>
      <c r="J545" s="46" t="inlineStr">
        <is>
          <t>راشد عبد القادر</t>
        </is>
      </c>
      <c r="K545" s="46" t="inlineStr">
        <is>
          <t xml:space="preserve">سعيد التك </t>
        </is>
      </c>
      <c r="L545" s="47" t="n">
        <v>16000</v>
      </c>
      <c r="M545" s="47" t="n">
        <v>8100</v>
      </c>
      <c r="N545" s="47" t="n"/>
      <c r="O545" s="47" t="n">
        <v>200</v>
      </c>
      <c r="P545" s="47" t="n"/>
      <c r="Q545" s="47" t="n">
        <v>7700</v>
      </c>
      <c r="R545" s="43">
        <f>IF($B545="","",N($S545)-N($Q545))</f>
        <v/>
      </c>
      <c r="S545" s="43">
        <f>IF($B545="","",N($L545)+N($N545)+N($P545))</f>
        <v/>
      </c>
      <c r="T545" s="47" t="n"/>
      <c r="U545" s="47" t="n"/>
      <c r="V545" s="47" t="n"/>
      <c r="W545" s="47" t="n"/>
      <c r="X545" s="47" t="n"/>
      <c r="Y545" s="47" t="n"/>
      <c r="Z545" s="47" t="n"/>
      <c r="AA545" s="47" t="n"/>
      <c r="AB545" s="47" t="n"/>
      <c r="AC545" s="47" t="n"/>
      <c r="AD545" s="47" t="n"/>
      <c r="AE545" s="47" t="n"/>
      <c r="AF545" s="43">
        <f>IF($B545="","",SUM($T545:$AE545))</f>
        <v/>
      </c>
      <c r="AG545" s="43">
        <f>IF($B545="","",N($M545)-N($AF545))</f>
        <v/>
      </c>
      <c r="AH545" s="43">
        <f>IF($B545="","",N($L545)-N($AF545))</f>
        <v/>
      </c>
      <c r="AI545" s="149">
        <f>IF($B545="","",IF(N($L545)=0,"",(N($L545)-N($AF545))/N($L545)))</f>
        <v/>
      </c>
    </row>
    <row r="546">
      <c r="A546" s="39">
        <f>IF($B546="","",COUNTA($B$4:$B546))</f>
        <v/>
      </c>
      <c r="B546" s="40" t="n">
        <v>46085</v>
      </c>
      <c r="C546" s="41" t="n">
        <v>2266</v>
      </c>
      <c r="D546" s="41" t="inlineStr">
        <is>
          <t>استوريا خ</t>
        </is>
      </c>
      <c r="E546" s="41" t="inlineStr">
        <is>
          <t>1*40</t>
        </is>
      </c>
      <c r="F546" s="41" t="inlineStr">
        <is>
          <t xml:space="preserve">الريعى </t>
        </is>
      </c>
      <c r="G546" s="41" t="inlineStr">
        <is>
          <t xml:space="preserve">الشرقية </t>
        </is>
      </c>
      <c r="H546" s="41" t="inlineStr">
        <is>
          <t>482621/0</t>
        </is>
      </c>
      <c r="I546" s="41" t="inlineStr">
        <is>
          <t>س ق ب 4561</t>
        </is>
      </c>
      <c r="J546" s="41" t="inlineStr">
        <is>
          <t xml:space="preserve">احمد محروس </t>
        </is>
      </c>
      <c r="K546" s="41" t="inlineStr">
        <is>
          <t xml:space="preserve">السائق </t>
        </is>
      </c>
      <c r="L546" s="42" t="n">
        <v>15500</v>
      </c>
      <c r="M546" s="42" t="n">
        <v>8100</v>
      </c>
      <c r="N546" s="42" t="n"/>
      <c r="O546" s="42" t="n">
        <v>200</v>
      </c>
      <c r="P546" s="42" t="n"/>
      <c r="Q546" s="42" t="n">
        <v>7200</v>
      </c>
      <c r="R546" s="43">
        <f>IF($B546="","",N($S546)-N($Q546))</f>
        <v/>
      </c>
      <c r="S546" s="43">
        <f>IF($B546="","",N($L546)+N($N546)+N($P546))</f>
        <v/>
      </c>
      <c r="T546" s="42" t="n"/>
      <c r="U546" s="42" t="n"/>
      <c r="V546" s="42" t="n"/>
      <c r="W546" s="42" t="n"/>
      <c r="X546" s="42" t="n"/>
      <c r="Y546" s="42" t="n"/>
      <c r="Z546" s="42" t="n"/>
      <c r="AA546" s="42" t="n"/>
      <c r="AB546" s="42" t="n"/>
      <c r="AC546" s="42" t="n"/>
      <c r="AD546" s="42" t="n"/>
      <c r="AE546" s="42" t="n"/>
      <c r="AF546" s="43">
        <f>IF($B546="","",SUM($T546:$AE546))</f>
        <v/>
      </c>
      <c r="AG546" s="43">
        <f>IF($B546="","",N($M546)-N($AF546))</f>
        <v/>
      </c>
      <c r="AH546" s="43">
        <f>IF($B546="","",N($L546)-N($AF546))</f>
        <v/>
      </c>
      <c r="AI546" s="149">
        <f>IF($B546="","",IF(N($L546)=0,"",(N($L546)-N($AF546))/N($L546)))</f>
        <v/>
      </c>
    </row>
    <row r="547">
      <c r="A547" s="39">
        <f>IF($B547="","",COUNTA($B$4:$B547))</f>
        <v/>
      </c>
      <c r="B547" s="45" t="n">
        <v>46085</v>
      </c>
      <c r="C547" s="46" t="n">
        <v>1847</v>
      </c>
      <c r="D547" s="46" t="inlineStr">
        <is>
          <t xml:space="preserve">احمد محسن </t>
        </is>
      </c>
      <c r="E547" s="46" t="inlineStr">
        <is>
          <t>1*40</t>
        </is>
      </c>
      <c r="F547" s="46" t="inlineStr">
        <is>
          <t>الكرم</t>
        </is>
      </c>
      <c r="G547" s="46" t="inlineStr">
        <is>
          <t xml:space="preserve">المعادى </t>
        </is>
      </c>
      <c r="H547" s="46" t="inlineStr">
        <is>
          <t>760968/5</t>
        </is>
      </c>
      <c r="I547" s="46" t="inlineStr">
        <is>
          <t>س ع ا 7219</t>
        </is>
      </c>
      <c r="J547" s="46" t="inlineStr">
        <is>
          <t xml:space="preserve">طلعت محمد </t>
        </is>
      </c>
      <c r="K547" s="46" t="inlineStr">
        <is>
          <t xml:space="preserve">احمد محسن </t>
        </is>
      </c>
      <c r="L547" s="47" t="n">
        <v>15000</v>
      </c>
      <c r="M547" s="47" t="n">
        <v>7100</v>
      </c>
      <c r="N547" s="47" t="n"/>
      <c r="O547" s="47" t="n">
        <v>200</v>
      </c>
      <c r="P547" s="47" t="n"/>
      <c r="Q547" s="47" t="n">
        <v>7700</v>
      </c>
      <c r="R547" s="43">
        <f>IF($B547="","",N($S547)-N($Q547))</f>
        <v/>
      </c>
      <c r="S547" s="43">
        <f>IF($B547="","",N($L547)+N($N547)+N($P547))</f>
        <v/>
      </c>
      <c r="T547" s="47" t="n"/>
      <c r="U547" s="47" t="n"/>
      <c r="V547" s="47" t="n"/>
      <c r="W547" s="47" t="n"/>
      <c r="X547" s="47" t="n"/>
      <c r="Y547" s="47" t="n"/>
      <c r="Z547" s="47" t="n"/>
      <c r="AA547" s="47" t="n"/>
      <c r="AB547" s="47" t="n"/>
      <c r="AC547" s="47" t="n"/>
      <c r="AD547" s="47" t="n"/>
      <c r="AE547" s="47" t="n"/>
      <c r="AF547" s="43">
        <f>IF($B547="","",SUM($T547:$AE547))</f>
        <v/>
      </c>
      <c r="AG547" s="43">
        <f>IF($B547="","",N($M547)-N($AF547))</f>
        <v/>
      </c>
      <c r="AH547" s="43">
        <f>IF($B547="","",N($L547)-N($AF547))</f>
        <v/>
      </c>
      <c r="AI547" s="149">
        <f>IF($B547="","",IF(N($L547)=0,"",(N($L547)-N($AF547))/N($L547)))</f>
        <v/>
      </c>
    </row>
    <row r="548">
      <c r="A548" s="39">
        <f>IF($B548="","",COUNTA($B$4:$B548))</f>
        <v/>
      </c>
      <c r="B548" s="40" t="n">
        <v>46085</v>
      </c>
      <c r="C548" s="41" t="n">
        <v>2303</v>
      </c>
      <c r="D548" s="41" t="inlineStr">
        <is>
          <t>؟؟</t>
        </is>
      </c>
      <c r="E548" s="41" t="inlineStr">
        <is>
          <t>1*40</t>
        </is>
      </c>
      <c r="F548" s="41" t="inlineStr">
        <is>
          <t xml:space="preserve">محمد رمضان </t>
        </is>
      </c>
      <c r="G548" s="41" t="inlineStr">
        <is>
          <t xml:space="preserve">ابيس </t>
        </is>
      </c>
      <c r="H548" s="41" t="inlineStr">
        <is>
          <t>521060/9</t>
        </is>
      </c>
      <c r="I548" s="41" t="inlineStr">
        <is>
          <t>س د ى 6838</t>
        </is>
      </c>
      <c r="J548" s="41" t="inlineStr">
        <is>
          <t xml:space="preserve">احمد حسن </t>
        </is>
      </c>
      <c r="K548" s="41" t="inlineStr">
        <is>
          <t xml:space="preserve">الحنوتى </t>
        </is>
      </c>
      <c r="L548" s="42" t="n">
        <v>6000</v>
      </c>
      <c r="M548" s="42" t="n">
        <v>5100</v>
      </c>
      <c r="N548" s="42" t="n"/>
      <c r="O548" s="42" t="n">
        <v>200</v>
      </c>
      <c r="P548" s="42" t="n"/>
      <c r="Q548" s="42" t="n">
        <v>700</v>
      </c>
      <c r="R548" s="43">
        <f>IF($B548="","",N($S548)-N($Q548))</f>
        <v/>
      </c>
      <c r="S548" s="43">
        <f>IF($B548="","",N($L548)+N($N548)+N($P548))</f>
        <v/>
      </c>
      <c r="T548" s="42" t="n"/>
      <c r="U548" s="42" t="n"/>
      <c r="V548" s="42" t="n"/>
      <c r="W548" s="42" t="n"/>
      <c r="X548" s="42" t="n"/>
      <c r="Y548" s="42" t="n"/>
      <c r="Z548" s="42" t="n"/>
      <c r="AA548" s="42" t="n"/>
      <c r="AB548" s="42" t="n"/>
      <c r="AC548" s="42" t="n"/>
      <c r="AD548" s="42" t="n"/>
      <c r="AE548" s="42" t="n"/>
      <c r="AF548" s="43">
        <f>IF($B548="","",SUM($T548:$AE548))</f>
        <v/>
      </c>
      <c r="AG548" s="43">
        <f>IF($B548="","",N($M548)-N($AF548))</f>
        <v/>
      </c>
      <c r="AH548" s="43">
        <f>IF($B548="","",N($L548)-N($AF548))</f>
        <v/>
      </c>
      <c r="AI548" s="149">
        <f>IF($B548="","",IF(N($L548)=0,"",(N($L548)-N($AF548))/N($L548)))</f>
        <v/>
      </c>
    </row>
    <row r="549">
      <c r="A549" s="39">
        <f>IF($B549="","",COUNTA($B$4:$B549))</f>
        <v/>
      </c>
      <c r="B549" s="45" t="n">
        <v>46085</v>
      </c>
      <c r="C549" s="46" t="n">
        <v>2304</v>
      </c>
      <c r="D549" s="46" t="inlineStr">
        <is>
          <t xml:space="preserve">ابراهيم الصعيدى </t>
        </is>
      </c>
      <c r="E549" s="46" t="inlineStr">
        <is>
          <t>1*40</t>
        </is>
      </c>
      <c r="F549" s="46" t="inlineStr">
        <is>
          <t xml:space="preserve">محمد رمضان </t>
        </is>
      </c>
      <c r="G549" s="46" t="inlineStr">
        <is>
          <t xml:space="preserve">ابيس </t>
        </is>
      </c>
      <c r="H549" s="46" t="inlineStr">
        <is>
          <t>293411/4</t>
        </is>
      </c>
      <c r="I549" s="46" t="inlineStr">
        <is>
          <t>س د و 2823</t>
        </is>
      </c>
      <c r="J549" s="46" t="inlineStr">
        <is>
          <t xml:space="preserve">محمد فوزى </t>
        </is>
      </c>
      <c r="K549" s="46" t="inlineStr">
        <is>
          <t xml:space="preserve">ابراهيم الصعيدى </t>
        </is>
      </c>
      <c r="L549" s="47" t="n">
        <v>6000</v>
      </c>
      <c r="M549" s="47" t="n">
        <v>5000</v>
      </c>
      <c r="N549" s="47" t="n"/>
      <c r="O549" s="47" t="n"/>
      <c r="P549" s="47" t="n"/>
      <c r="Q549" s="47" t="n">
        <v>1000</v>
      </c>
      <c r="R549" s="43">
        <f>IF($B549="","",N($S549)-N($Q549))</f>
        <v/>
      </c>
      <c r="S549" s="43">
        <f>IF($B549="","",N($L549)+N($N549)+N($P549))</f>
        <v/>
      </c>
      <c r="T549" s="47" t="n"/>
      <c r="U549" s="47" t="n"/>
      <c r="V549" s="47" t="n"/>
      <c r="W549" s="47" t="n"/>
      <c r="X549" s="47" t="n"/>
      <c r="Y549" s="47" t="n"/>
      <c r="Z549" s="47" t="n"/>
      <c r="AA549" s="47" t="n"/>
      <c r="AB549" s="47" t="n"/>
      <c r="AC549" s="47" t="n"/>
      <c r="AD549" s="47" t="n"/>
      <c r="AE549" s="47" t="n"/>
      <c r="AF549" s="43">
        <f>IF($B549="","",SUM($T549:$AE549))</f>
        <v/>
      </c>
      <c r="AG549" s="43">
        <f>IF($B549="","",N($M549)-N($AF549))</f>
        <v/>
      </c>
      <c r="AH549" s="43">
        <f>IF($B549="","",N($L549)-N($AF549))</f>
        <v/>
      </c>
      <c r="AI549" s="149">
        <f>IF($B549="","",IF(N($L549)=0,"",(N($L549)-N($AF549))/N($L549)))</f>
        <v/>
      </c>
    </row>
    <row r="550">
      <c r="A550" s="39">
        <f>IF($B550="","",COUNTA($B$4:$B550))</f>
        <v/>
      </c>
      <c r="B550" s="40" t="n">
        <v>46085</v>
      </c>
      <c r="C550" s="41" t="n">
        <v>2305</v>
      </c>
      <c r="D550" s="41" t="inlineStr">
        <is>
          <t>ايوب</t>
        </is>
      </c>
      <c r="E550" s="41" t="inlineStr">
        <is>
          <t>1*20</t>
        </is>
      </c>
      <c r="F550" s="41" t="n"/>
      <c r="G550" s="41" t="inlineStr">
        <is>
          <t xml:space="preserve">ابيس </t>
        </is>
      </c>
      <c r="H550" s="41" t="inlineStr">
        <is>
          <t>230952/3</t>
        </is>
      </c>
      <c r="I550" s="41" t="inlineStr">
        <is>
          <t>ب ا ج 7235</t>
        </is>
      </c>
      <c r="J550" s="41" t="inlineStr">
        <is>
          <t xml:space="preserve">حسام محمد </t>
        </is>
      </c>
      <c r="K550" s="41" t="inlineStr">
        <is>
          <t xml:space="preserve">ايوب </t>
        </is>
      </c>
      <c r="L550" s="42" t="n">
        <v>4500</v>
      </c>
      <c r="M550" s="42" t="n">
        <v>3000</v>
      </c>
      <c r="N550" s="42" t="n"/>
      <c r="O550" s="42" t="n"/>
      <c r="P550" s="42" t="n"/>
      <c r="Q550" s="42" t="n">
        <v>1500</v>
      </c>
      <c r="R550" s="43">
        <f>IF($B550="","",N($S550)-N($Q550))</f>
        <v/>
      </c>
      <c r="S550" s="43">
        <f>IF($B550="","",N($L550)+N($N550)+N($P550))</f>
        <v/>
      </c>
      <c r="T550" s="42" t="n"/>
      <c r="U550" s="42" t="n"/>
      <c r="V550" s="42" t="n"/>
      <c r="W550" s="42" t="n"/>
      <c r="X550" s="42" t="n"/>
      <c r="Y550" s="42" t="n"/>
      <c r="Z550" s="42" t="n"/>
      <c r="AA550" s="42" t="n"/>
      <c r="AB550" s="42" t="n"/>
      <c r="AC550" s="42" t="n"/>
      <c r="AD550" s="42" t="n"/>
      <c r="AE550" s="42" t="n"/>
      <c r="AF550" s="43">
        <f>IF($B550="","",SUM($T550:$AE550))</f>
        <v/>
      </c>
      <c r="AG550" s="43">
        <f>IF($B550="","",N($M550)-N($AF550))</f>
        <v/>
      </c>
      <c r="AH550" s="43">
        <f>IF($B550="","",N($L550)-N($AF550))</f>
        <v/>
      </c>
      <c r="AI550" s="149">
        <f>IF($B550="","",IF(N($L550)=0,"",(N($L550)-N($AF550))/N($L550)))</f>
        <v/>
      </c>
    </row>
    <row r="551">
      <c r="A551" s="39">
        <f>IF($B551="","",COUNTA($B$4:$B551))</f>
        <v/>
      </c>
      <c r="B551" s="45" t="n">
        <v>46085</v>
      </c>
      <c r="C551" s="46" t="n">
        <v>2268</v>
      </c>
      <c r="D551" s="46" t="inlineStr">
        <is>
          <t>رمزى ابو النور</t>
        </is>
      </c>
      <c r="E551" s="46" t="inlineStr">
        <is>
          <t>1*40</t>
        </is>
      </c>
      <c r="F551" s="46" t="inlineStr">
        <is>
          <t xml:space="preserve">بليسد ترى </t>
        </is>
      </c>
      <c r="G551" s="46" t="inlineStr">
        <is>
          <t>الاسماعيليه</t>
        </is>
      </c>
      <c r="H551" s="46" t="inlineStr">
        <is>
          <t>854402/3</t>
        </is>
      </c>
      <c r="I551" s="46" t="inlineStr">
        <is>
          <t>ع ا ن 2969</t>
        </is>
      </c>
      <c r="J551" s="46" t="inlineStr">
        <is>
          <t xml:space="preserve">ممدوح فتح الله </t>
        </is>
      </c>
      <c r="K551" s="46" t="inlineStr">
        <is>
          <t xml:space="preserve">الليبر </t>
        </is>
      </c>
      <c r="L551" s="47" t="n">
        <v>17000</v>
      </c>
      <c r="M551" s="47" t="n">
        <v>9100</v>
      </c>
      <c r="N551" s="47" t="n"/>
      <c r="O551" s="47" t="n">
        <v>200</v>
      </c>
      <c r="P551" s="47" t="n"/>
      <c r="Q551" s="47" t="n">
        <v>7700</v>
      </c>
      <c r="R551" s="43">
        <f>IF($B551="","",N($S551)-N($Q551))</f>
        <v/>
      </c>
      <c r="S551" s="43">
        <f>IF($B551="","",N($L551)+N($N551)+N($P551))</f>
        <v/>
      </c>
      <c r="T551" s="47" t="n"/>
      <c r="U551" s="47" t="n"/>
      <c r="V551" s="47" t="n"/>
      <c r="W551" s="47" t="n"/>
      <c r="X551" s="47" t="n"/>
      <c r="Y551" s="47" t="n"/>
      <c r="Z551" s="47" t="n"/>
      <c r="AA551" s="47" t="n"/>
      <c r="AB551" s="47" t="n"/>
      <c r="AC551" s="47" t="n"/>
      <c r="AD551" s="47" t="n"/>
      <c r="AE551" s="47" t="n"/>
      <c r="AF551" s="43">
        <f>IF($B551="","",SUM($T551:$AE551))</f>
        <v/>
      </c>
      <c r="AG551" s="43">
        <f>IF($B551="","",N($M551)-N($AF551))</f>
        <v/>
      </c>
      <c r="AH551" s="43">
        <f>IF($B551="","",N($L551)-N($AF551))</f>
        <v/>
      </c>
      <c r="AI551" s="149">
        <f>IF($B551="","",IF(N($L551)=0,"",(N($L551)-N($AF551))/N($L551)))</f>
        <v/>
      </c>
    </row>
    <row r="552">
      <c r="A552" s="39">
        <f>IF($B552="","",COUNTA($B$4:$B552))</f>
        <v/>
      </c>
      <c r="B552" s="40" t="n">
        <v>46085</v>
      </c>
      <c r="C552" s="41" t="n">
        <v>2270</v>
      </c>
      <c r="D552" s="41" t="inlineStr">
        <is>
          <t>احمد عبدو خ</t>
        </is>
      </c>
      <c r="E552" s="41" t="inlineStr">
        <is>
          <t>1*40</t>
        </is>
      </c>
      <c r="F552" s="41" t="inlineStr">
        <is>
          <t xml:space="preserve">بليسد ترى </t>
        </is>
      </c>
      <c r="G552" s="41" t="inlineStr">
        <is>
          <t>الاسماعيليه</t>
        </is>
      </c>
      <c r="H552" s="41" t="inlineStr">
        <is>
          <t>711393/6</t>
        </is>
      </c>
      <c r="I552" s="41" t="inlineStr">
        <is>
          <t>ع ر ب 1573</t>
        </is>
      </c>
      <c r="J552" s="41" t="inlineStr">
        <is>
          <t xml:space="preserve">محمد السيد </t>
        </is>
      </c>
      <c r="K552" s="41" t="inlineStr">
        <is>
          <t xml:space="preserve">حمو مرزوق </t>
        </is>
      </c>
      <c r="L552" s="42" t="n">
        <v>17500</v>
      </c>
      <c r="M552" s="42" t="n">
        <v>9100</v>
      </c>
      <c r="N552" s="42" t="n"/>
      <c r="O552" s="42" t="n">
        <v>200</v>
      </c>
      <c r="P552" s="42" t="n"/>
      <c r="Q552" s="42" t="n">
        <v>8200</v>
      </c>
      <c r="R552" s="43">
        <f>IF($B552="","",N($S552)-N($Q552))</f>
        <v/>
      </c>
      <c r="S552" s="43">
        <f>IF($B552="","",N($L552)+N($N552)+N($P552))</f>
        <v/>
      </c>
      <c r="T552" s="42" t="n"/>
      <c r="U552" s="42" t="n"/>
      <c r="V552" s="42" t="n"/>
      <c r="W552" s="42" t="n"/>
      <c r="X552" s="42" t="n"/>
      <c r="Y552" s="42" t="n"/>
      <c r="Z552" s="42" t="n"/>
      <c r="AA552" s="42" t="n"/>
      <c r="AB552" s="42" t="n"/>
      <c r="AC552" s="42" t="n"/>
      <c r="AD552" s="42" t="n"/>
      <c r="AE552" s="42" t="n"/>
      <c r="AF552" s="43">
        <f>IF($B552="","",SUM($T552:$AE552))</f>
        <v/>
      </c>
      <c r="AG552" s="43">
        <f>IF($B552="","",N($M552)-N($AF552))</f>
        <v/>
      </c>
      <c r="AH552" s="43">
        <f>IF($B552="","",N($L552)-N($AF552))</f>
        <v/>
      </c>
      <c r="AI552" s="149">
        <f>IF($B552="","",IF(N($L552)=0,"",(N($L552)-N($AF552))/N($L552)))</f>
        <v/>
      </c>
    </row>
    <row r="553">
      <c r="A553" s="39">
        <f>IF($B553="","",COUNTA($B$4:$B553))</f>
        <v/>
      </c>
      <c r="B553" s="45" t="n">
        <v>46085</v>
      </c>
      <c r="C553" s="46" t="n">
        <v>2269</v>
      </c>
      <c r="D553" s="46" t="inlineStr">
        <is>
          <t xml:space="preserve">محمد علومة </t>
        </is>
      </c>
      <c r="E553" s="46" t="inlineStr">
        <is>
          <t>1*40</t>
        </is>
      </c>
      <c r="F553" s="46" t="inlineStr">
        <is>
          <t xml:space="preserve">بليسد ترى </t>
        </is>
      </c>
      <c r="G553" s="46" t="inlineStr">
        <is>
          <t>الاسماعيليه</t>
        </is>
      </c>
      <c r="H553" s="46" t="inlineStr">
        <is>
          <t>820461/9</t>
        </is>
      </c>
      <c r="I553" s="46" t="inlineStr">
        <is>
          <t>س ن ب 2637</t>
        </is>
      </c>
      <c r="J553" s="46" t="inlineStr">
        <is>
          <t xml:space="preserve">حسام سمير </t>
        </is>
      </c>
      <c r="K553" s="46" t="inlineStr">
        <is>
          <t xml:space="preserve">محمد علومة </t>
        </is>
      </c>
      <c r="L553" s="47" t="n">
        <v>17000</v>
      </c>
      <c r="M553" s="47" t="n">
        <v>9100</v>
      </c>
      <c r="N553" s="47" t="n"/>
      <c r="O553" s="47" t="n">
        <v>200</v>
      </c>
      <c r="P553" s="47" t="n"/>
      <c r="Q553" s="47" t="n">
        <v>7700</v>
      </c>
      <c r="R553" s="43">
        <f>IF($B553="","",N($S553)-N($Q553))</f>
        <v/>
      </c>
      <c r="S553" s="43">
        <f>IF($B553="","",N($L553)+N($N553)+N($P553))</f>
        <v/>
      </c>
      <c r="T553" s="47" t="n"/>
      <c r="U553" s="47" t="n"/>
      <c r="V553" s="47" t="n"/>
      <c r="W553" s="47" t="n"/>
      <c r="X553" s="47" t="n"/>
      <c r="Y553" s="47" t="n"/>
      <c r="Z553" s="47" t="n"/>
      <c r="AA553" s="47" t="n"/>
      <c r="AB553" s="47" t="n"/>
      <c r="AC553" s="47" t="n"/>
      <c r="AD553" s="47" t="n"/>
      <c r="AE553" s="47" t="n"/>
      <c r="AF553" s="43">
        <f>IF($B553="","",SUM($T553:$AE553))</f>
        <v/>
      </c>
      <c r="AG553" s="43">
        <f>IF($B553="","",N($M553)-N($AF553))</f>
        <v/>
      </c>
      <c r="AH553" s="43">
        <f>IF($B553="","",N($L553)-N($AF553))</f>
        <v/>
      </c>
      <c r="AI553" s="149">
        <f>IF($B553="","",IF(N($L553)=0,"",(N($L553)-N($AF553))/N($L553)))</f>
        <v/>
      </c>
    </row>
    <row r="554">
      <c r="A554" s="39">
        <f>IF($B554="","",COUNTA($B$4:$B554))</f>
        <v/>
      </c>
      <c r="B554" s="40" t="n">
        <v>46085</v>
      </c>
      <c r="C554" s="41" t="n">
        <v>2301</v>
      </c>
      <c r="D554" s="41" t="inlineStr">
        <is>
          <t>صعيدى 2 خ</t>
        </is>
      </c>
      <c r="E554" s="41" t="inlineStr">
        <is>
          <t>2*20</t>
        </is>
      </c>
      <c r="F554" s="41" t="inlineStr">
        <is>
          <t>اكما</t>
        </is>
      </c>
      <c r="G554" s="41" t="inlineStr">
        <is>
          <t>بنى سويف</t>
        </is>
      </c>
      <c r="H554" s="41" t="inlineStr">
        <is>
          <t>022495/0/052331/2</t>
        </is>
      </c>
      <c r="I554" s="41" t="inlineStr">
        <is>
          <t>س ه ف 1874</t>
        </is>
      </c>
      <c r="J554" s="41" t="inlineStr">
        <is>
          <t>هانى عزت</t>
        </is>
      </c>
      <c r="K554" s="41" t="inlineStr">
        <is>
          <t xml:space="preserve">محمد الصعيدى </t>
        </is>
      </c>
      <c r="L554" s="42" t="n">
        <v>23000</v>
      </c>
      <c r="M554" s="42" t="n">
        <v>11100</v>
      </c>
      <c r="N554" s="42" t="n"/>
      <c r="O554" s="42" t="n">
        <v>200</v>
      </c>
      <c r="P554" s="42" t="n"/>
      <c r="Q554" s="42" t="n">
        <v>11700</v>
      </c>
      <c r="R554" s="43">
        <f>IF($B554="","",N($S554)-N($Q554))</f>
        <v/>
      </c>
      <c r="S554" s="43">
        <f>IF($B554="","",N($L554)+N($N554)+N($P554))</f>
        <v/>
      </c>
      <c r="T554" s="42" t="n"/>
      <c r="U554" s="42" t="n"/>
      <c r="V554" s="42" t="n"/>
      <c r="W554" s="42" t="n"/>
      <c r="X554" s="42" t="n"/>
      <c r="Y554" s="42" t="n"/>
      <c r="Z554" s="42" t="n"/>
      <c r="AA554" s="42" t="n"/>
      <c r="AB554" s="42" t="n"/>
      <c r="AC554" s="42" t="n"/>
      <c r="AD554" s="42" t="n"/>
      <c r="AE554" s="42" t="n"/>
      <c r="AF554" s="43">
        <f>IF($B554="","",SUM($T554:$AE554))</f>
        <v/>
      </c>
      <c r="AG554" s="43">
        <f>IF($B554="","",N($M554)-N($AF554))</f>
        <v/>
      </c>
      <c r="AH554" s="43">
        <f>IF($B554="","",N($L554)-N($AF554))</f>
        <v/>
      </c>
      <c r="AI554" s="149">
        <f>IF($B554="","",IF(N($L554)=0,"",(N($L554)-N($AF554))/N($L554)))</f>
        <v/>
      </c>
    </row>
    <row r="555">
      <c r="A555" s="39">
        <f>IF($B555="","",COUNTA($B$4:$B555))</f>
        <v/>
      </c>
      <c r="B555" s="45" t="n">
        <v>46085</v>
      </c>
      <c r="C555" s="46" t="n">
        <v>2302</v>
      </c>
      <c r="D555" s="46" t="inlineStr">
        <is>
          <t>صعيدى 2 خ</t>
        </is>
      </c>
      <c r="E555" s="46" t="inlineStr">
        <is>
          <t>2*20</t>
        </is>
      </c>
      <c r="F555" s="46" t="inlineStr">
        <is>
          <t>اكما</t>
        </is>
      </c>
      <c r="G555" s="46" t="inlineStr">
        <is>
          <t>بنى سويف</t>
        </is>
      </c>
      <c r="H555" s="46" t="inlineStr">
        <is>
          <t>203786/3-203634/2</t>
        </is>
      </c>
      <c r="I555" s="46" t="inlineStr">
        <is>
          <t>س ل ج 2521</t>
        </is>
      </c>
      <c r="J555" s="46" t="inlineStr">
        <is>
          <t xml:space="preserve">احمد جمال </t>
        </is>
      </c>
      <c r="K555" s="46" t="inlineStr">
        <is>
          <t xml:space="preserve">محمد الصعيدى </t>
        </is>
      </c>
      <c r="L555" s="47" t="n">
        <v>23000</v>
      </c>
      <c r="M555" s="47" t="n">
        <v>11100</v>
      </c>
      <c r="N555" s="47" t="n"/>
      <c r="O555" s="47" t="n">
        <v>200</v>
      </c>
      <c r="P555" s="47" t="n"/>
      <c r="Q555" s="47" t="n">
        <v>11700</v>
      </c>
      <c r="R555" s="43">
        <f>IF($B555="","",N($S555)-N($Q555))</f>
        <v/>
      </c>
      <c r="S555" s="43">
        <f>IF($B555="","",N($L555)+N($N555)+N($P555))</f>
        <v/>
      </c>
      <c r="T555" s="47" t="n"/>
      <c r="U555" s="47" t="n"/>
      <c r="V555" s="47" t="n"/>
      <c r="W555" s="47" t="n"/>
      <c r="X555" s="47" t="n"/>
      <c r="Y555" s="47" t="n"/>
      <c r="Z555" s="47" t="n"/>
      <c r="AA555" s="47" t="n"/>
      <c r="AB555" s="47" t="n"/>
      <c r="AC555" s="47" t="n"/>
      <c r="AD555" s="47" t="n"/>
      <c r="AE555" s="47" t="n"/>
      <c r="AF555" s="43">
        <f>IF($B555="","",SUM($T555:$AE555))</f>
        <v/>
      </c>
      <c r="AG555" s="43">
        <f>IF($B555="","",N($M555)-N($AF555))</f>
        <v/>
      </c>
      <c r="AH555" s="43">
        <f>IF($B555="","",N($L555)-N($AF555))</f>
        <v/>
      </c>
      <c r="AI555" s="149">
        <f>IF($B555="","",IF(N($L555)=0,"",(N($L555)-N($AF555))/N($L555)))</f>
        <v/>
      </c>
    </row>
    <row r="556">
      <c r="A556" s="39">
        <f>IF($B556="","",COUNTA($B$4:$B556))</f>
        <v/>
      </c>
      <c r="B556" s="40" t="n">
        <v>46086</v>
      </c>
      <c r="C556" s="41" t="n">
        <v>2203</v>
      </c>
      <c r="D556" s="41" t="inlineStr">
        <is>
          <t>المكتب</t>
        </is>
      </c>
      <c r="E556" s="41" t="inlineStr">
        <is>
          <t>1*20</t>
        </is>
      </c>
      <c r="F556" s="41" t="inlineStr">
        <is>
          <t xml:space="preserve">بوليدو </t>
        </is>
      </c>
      <c r="G556" s="41" t="inlineStr">
        <is>
          <t xml:space="preserve">اكتوبر </t>
        </is>
      </c>
      <c r="H556" s="41" t="inlineStr">
        <is>
          <t>292983/2</t>
        </is>
      </c>
      <c r="I556" s="41" t="inlineStr">
        <is>
          <t>س ع م 8737</t>
        </is>
      </c>
      <c r="J556" s="41" t="inlineStr">
        <is>
          <t xml:space="preserve">محمود بكر </t>
        </is>
      </c>
      <c r="K556" s="41" t="inlineStr">
        <is>
          <t>المكتب</t>
        </is>
      </c>
      <c r="L556" s="42" t="n">
        <v>12700</v>
      </c>
      <c r="M556" s="42" t="n">
        <v>7000</v>
      </c>
      <c r="N556" s="42" t="n"/>
      <c r="O556" s="42" t="n"/>
      <c r="P556" s="42" t="n"/>
      <c r="Q556" s="42" t="n">
        <v>5700</v>
      </c>
      <c r="R556" s="43">
        <f>IF($B556="","",N($S556)-N($Q556))</f>
        <v/>
      </c>
      <c r="S556" s="43">
        <f>IF($B556="","",N($L556)+N($N556)+N($P556))</f>
        <v/>
      </c>
      <c r="T556" s="42" t="n">
        <v>1450</v>
      </c>
      <c r="U556" s="42" t="n">
        <v>550</v>
      </c>
      <c r="V556" s="42" t="n"/>
      <c r="W556" s="42" t="n">
        <v>150</v>
      </c>
      <c r="X556" s="42" t="n">
        <v>110</v>
      </c>
      <c r="Y556" s="42" t="n">
        <v>120</v>
      </c>
      <c r="Z556" s="42" t="n"/>
      <c r="AA556" s="42" t="n"/>
      <c r="AB556" s="42" t="n">
        <v>250</v>
      </c>
      <c r="AC556" s="42" t="n"/>
      <c r="AD556" s="42" t="n"/>
      <c r="AE556" s="42" t="n">
        <v>3900</v>
      </c>
      <c r="AF556" s="43">
        <f>IF($B556="","",SUM($T556:$AE556))</f>
        <v/>
      </c>
      <c r="AG556" s="43">
        <f>IF($B556="","",N($M556)-N($AF556))</f>
        <v/>
      </c>
      <c r="AH556" s="43">
        <f>IF($B556="","",N($L556)-N($AF556))</f>
        <v/>
      </c>
      <c r="AI556" s="149">
        <f>IF($B556="","",IF(N($L556)=0,"",(N($L556)-N($AF556))/N($L556)))</f>
        <v/>
      </c>
    </row>
    <row r="557">
      <c r="A557" s="39">
        <f>IF($B557="","",COUNTA($B$4:$B557))</f>
        <v/>
      </c>
      <c r="B557" s="45" t="n">
        <v>46086</v>
      </c>
      <c r="C557" s="46" t="n">
        <v>2116</v>
      </c>
      <c r="D557" s="46" t="inlineStr">
        <is>
          <t>كمال رزق خ</t>
        </is>
      </c>
      <c r="E557" s="46" t="inlineStr">
        <is>
          <t>1*40</t>
        </is>
      </c>
      <c r="F557" s="46" t="inlineStr">
        <is>
          <t xml:space="preserve">محمد رمضان </t>
        </is>
      </c>
      <c r="G557" s="46" t="inlineStr">
        <is>
          <t xml:space="preserve">دمنهور </t>
        </is>
      </c>
      <c r="H557" s="46" t="inlineStr">
        <is>
          <t>636906/9</t>
        </is>
      </c>
      <c r="I557" s="46" t="inlineStr">
        <is>
          <t>س ن ر 8979</t>
        </is>
      </c>
      <c r="J557" s="46" t="inlineStr">
        <is>
          <t xml:space="preserve">عماد سعيد </t>
        </is>
      </c>
      <c r="K557" s="46" t="inlineStr">
        <is>
          <t xml:space="preserve">عماد سعيد </t>
        </is>
      </c>
      <c r="L557" s="47" t="n">
        <v>8000</v>
      </c>
      <c r="M557" s="47" t="n">
        <v>6100</v>
      </c>
      <c r="N557" s="47" t="n"/>
      <c r="O557" s="47" t="n">
        <v>200</v>
      </c>
      <c r="P557" s="47" t="n"/>
      <c r="Q557" s="47" t="n">
        <v>1700</v>
      </c>
      <c r="R557" s="43">
        <f>IF($B557="","",N($S557)-N($Q557))</f>
        <v/>
      </c>
      <c r="S557" s="43">
        <f>IF($B557="","",N($L557)+N($N557)+N($P557))</f>
        <v/>
      </c>
      <c r="T557" s="47" t="n"/>
      <c r="U557" s="47" t="n"/>
      <c r="V557" s="47" t="n"/>
      <c r="W557" s="47" t="n"/>
      <c r="X557" s="47" t="n"/>
      <c r="Y557" s="47" t="n"/>
      <c r="Z557" s="47" t="n"/>
      <c r="AA557" s="47" t="n"/>
      <c r="AB557" s="47" t="n"/>
      <c r="AC557" s="47" t="n"/>
      <c r="AD557" s="47" t="n"/>
      <c r="AE557" s="47" t="n"/>
      <c r="AF557" s="43">
        <f>IF($B557="","",SUM($T557:$AE557))</f>
        <v/>
      </c>
      <c r="AG557" s="43">
        <f>IF($B557="","",N($M557)-N($AF557))</f>
        <v/>
      </c>
      <c r="AH557" s="43">
        <f>IF($B557="","",N($L557)-N($AF557))</f>
        <v/>
      </c>
      <c r="AI557" s="149">
        <f>IF($B557="","",IF(N($L557)=0,"",(N($L557)-N($AF557))/N($L557)))</f>
        <v/>
      </c>
    </row>
    <row r="558">
      <c r="A558" s="39">
        <f>IF($B558="","",COUNTA($B$4:$B558))</f>
        <v/>
      </c>
      <c r="B558" s="40" t="n">
        <v>46086</v>
      </c>
      <c r="C558" s="41" t="n">
        <v>2306</v>
      </c>
      <c r="D558" s="41" t="inlineStr">
        <is>
          <t xml:space="preserve">علاء علام </t>
        </is>
      </c>
      <c r="E558" s="41" t="inlineStr">
        <is>
          <t>1*40</t>
        </is>
      </c>
      <c r="F558" s="41" t="inlineStr">
        <is>
          <t xml:space="preserve">محمد رمضان </t>
        </is>
      </c>
      <c r="G558" s="41" t="inlineStr">
        <is>
          <t xml:space="preserve">ابيس </t>
        </is>
      </c>
      <c r="H558" s="41" t="inlineStr">
        <is>
          <t>441098/3</t>
        </is>
      </c>
      <c r="I558" s="41" t="inlineStr">
        <is>
          <t>س ل ب 5917</t>
        </is>
      </c>
      <c r="J558" s="41" t="inlineStr">
        <is>
          <t xml:space="preserve">وجية </t>
        </is>
      </c>
      <c r="K558" s="41" t="inlineStr">
        <is>
          <t xml:space="preserve">علاء علام </t>
        </is>
      </c>
      <c r="L558" s="42" t="n">
        <v>6000</v>
      </c>
      <c r="M558" s="42" t="n">
        <v>5100</v>
      </c>
      <c r="N558" s="42" t="n"/>
      <c r="O558" s="42" t="n">
        <v>100</v>
      </c>
      <c r="P558" s="42" t="n"/>
      <c r="Q558" s="42" t="n">
        <v>800</v>
      </c>
      <c r="R558" s="43">
        <f>IF($B558="","",N($S558)-N($Q558))</f>
        <v/>
      </c>
      <c r="S558" s="43">
        <f>IF($B558="","",N($L558)+N($N558)+N($P558))</f>
        <v/>
      </c>
      <c r="T558" s="42" t="n"/>
      <c r="U558" s="42" t="n"/>
      <c r="V558" s="42" t="n"/>
      <c r="W558" s="42" t="n"/>
      <c r="X558" s="42" t="n"/>
      <c r="Y558" s="42" t="n"/>
      <c r="Z558" s="42" t="n"/>
      <c r="AA558" s="42" t="n"/>
      <c r="AB558" s="42" t="n"/>
      <c r="AC558" s="42" t="n"/>
      <c r="AD558" s="42" t="n"/>
      <c r="AE558" s="42" t="n"/>
      <c r="AF558" s="43">
        <f>IF($B558="","",SUM($T558:$AE558))</f>
        <v/>
      </c>
      <c r="AG558" s="43">
        <f>IF($B558="","",N($M558)-N($AF558))</f>
        <v/>
      </c>
      <c r="AH558" s="43">
        <f>IF($B558="","",N($L558)-N($AF558))</f>
        <v/>
      </c>
      <c r="AI558" s="149">
        <f>IF($B558="","",IF(N($L558)=0,"",(N($L558)-N($AF558))/N($L558)))</f>
        <v/>
      </c>
    </row>
    <row r="559">
      <c r="A559" s="39">
        <f>IF($B559="","",COUNTA($B$4:$B559))</f>
        <v/>
      </c>
      <c r="B559" s="45" t="n">
        <v>46088</v>
      </c>
      <c r="C559" s="46" t="n">
        <v>2205</v>
      </c>
      <c r="D559" s="46" t="inlineStr">
        <is>
          <t>احمد عبدو خ</t>
        </is>
      </c>
      <c r="E559" s="46" t="inlineStr">
        <is>
          <t>1*40 ث</t>
        </is>
      </c>
      <c r="F559" s="46" t="inlineStr">
        <is>
          <t xml:space="preserve">تى فارم </t>
        </is>
      </c>
      <c r="G559" s="46" t="inlineStr">
        <is>
          <t xml:space="preserve">النوبارية </t>
        </is>
      </c>
      <c r="H559" s="46" t="inlineStr">
        <is>
          <t>956967/2</t>
        </is>
      </c>
      <c r="I559" s="46" t="inlineStr">
        <is>
          <t>ع ر ب 1573</t>
        </is>
      </c>
      <c r="J559" s="46" t="inlineStr">
        <is>
          <t xml:space="preserve">محمد السيد </t>
        </is>
      </c>
      <c r="K559" s="46" t="inlineStr">
        <is>
          <t xml:space="preserve">حمو مرزوق </t>
        </is>
      </c>
      <c r="L559" s="47" t="n">
        <v>11000</v>
      </c>
      <c r="M559" s="47" t="n">
        <v>7100</v>
      </c>
      <c r="N559" s="47" t="n"/>
      <c r="O559" s="47" t="n">
        <v>200</v>
      </c>
      <c r="P559" s="47" t="n"/>
      <c r="Q559" s="47" t="n">
        <v>3700</v>
      </c>
      <c r="R559" s="43">
        <f>IF($B559="","",N($S559)-N($Q559))</f>
        <v/>
      </c>
      <c r="S559" s="43">
        <f>IF($B559="","",N($L559)+N($N559)+N($P559))</f>
        <v/>
      </c>
      <c r="T559" s="47" t="n"/>
      <c r="U559" s="47" t="n"/>
      <c r="V559" s="47" t="n"/>
      <c r="W559" s="47" t="n"/>
      <c r="X559" s="47" t="n"/>
      <c r="Y559" s="47" t="n"/>
      <c r="Z559" s="47" t="n"/>
      <c r="AA559" s="47" t="n"/>
      <c r="AB559" s="47" t="n"/>
      <c r="AC559" s="47" t="n"/>
      <c r="AD559" s="47" t="n"/>
      <c r="AE559" s="47" t="n"/>
      <c r="AF559" s="43">
        <f>IF($B559="","",SUM($T559:$AE559))</f>
        <v/>
      </c>
      <c r="AG559" s="43">
        <f>IF($B559="","",N($M559)-N($AF559))</f>
        <v/>
      </c>
      <c r="AH559" s="43">
        <f>IF($B559="","",N($L559)-N($AF559))</f>
        <v/>
      </c>
      <c r="AI559" s="149">
        <f>IF($B559="","",IF(N($L559)=0,"",(N($L559)-N($AF559))/N($L559)))</f>
        <v/>
      </c>
    </row>
    <row r="560">
      <c r="A560" s="39">
        <f>IF($B560="","",COUNTA($B$4:$B560))</f>
        <v/>
      </c>
      <c r="B560" s="40" t="n">
        <v>46088</v>
      </c>
      <c r="C560" s="41" t="n">
        <v>2204</v>
      </c>
      <c r="D560" s="41" t="inlineStr">
        <is>
          <t>كمال رزق خ</t>
        </is>
      </c>
      <c r="E560" s="41" t="inlineStr">
        <is>
          <t>1*40 ث</t>
        </is>
      </c>
      <c r="F560" s="41" t="inlineStr">
        <is>
          <t xml:space="preserve">تى فارم </t>
        </is>
      </c>
      <c r="G560" s="41" t="inlineStr">
        <is>
          <t xml:space="preserve">النوبارية </t>
        </is>
      </c>
      <c r="H560" s="41" t="inlineStr">
        <is>
          <t>922598/8</t>
        </is>
      </c>
      <c r="I560" s="41" t="inlineStr">
        <is>
          <t>س ن ر 8979</t>
        </is>
      </c>
      <c r="J560" s="41" t="inlineStr">
        <is>
          <t xml:space="preserve">عماد سعيد </t>
        </is>
      </c>
      <c r="K560" s="41" t="inlineStr">
        <is>
          <t xml:space="preserve">عماد سعيد </t>
        </is>
      </c>
      <c r="L560" s="42" t="n">
        <v>11000</v>
      </c>
      <c r="M560" s="42" t="n">
        <v>7100</v>
      </c>
      <c r="N560" s="42" t="n"/>
      <c r="O560" s="42" t="n">
        <v>200</v>
      </c>
      <c r="P560" s="42" t="n"/>
      <c r="Q560" s="42" t="n">
        <v>3700</v>
      </c>
      <c r="R560" s="43">
        <f>IF($B560="","",N($S560)-N($Q560))</f>
        <v/>
      </c>
      <c r="S560" s="43">
        <f>IF($B560="","",N($L560)+N($N560)+N($P560))</f>
        <v/>
      </c>
      <c r="T560" s="42" t="n"/>
      <c r="U560" s="42" t="n"/>
      <c r="V560" s="42" t="n"/>
      <c r="W560" s="42" t="n"/>
      <c r="X560" s="42" t="n"/>
      <c r="Y560" s="42" t="n"/>
      <c r="Z560" s="42" t="n"/>
      <c r="AA560" s="42" t="n"/>
      <c r="AB560" s="42" t="n"/>
      <c r="AC560" s="42" t="n"/>
      <c r="AD560" s="42" t="n"/>
      <c r="AE560" s="42" t="n"/>
      <c r="AF560" s="43">
        <f>IF($B560="","",SUM($T560:$AE560))</f>
        <v/>
      </c>
      <c r="AG560" s="43">
        <f>IF($B560="","",N($M560)-N($AF560))</f>
        <v/>
      </c>
      <c r="AH560" s="43">
        <f>IF($B560="","",N($L560)-N($AF560))</f>
        <v/>
      </c>
      <c r="AI560" s="149">
        <f>IF($B560="","",IF(N($L560)=0,"",(N($L560)-N($AF560))/N($L560)))</f>
        <v/>
      </c>
    </row>
    <row r="561">
      <c r="A561" s="39">
        <f>IF($B561="","",COUNTA($B$4:$B561))</f>
        <v/>
      </c>
      <c r="B561" s="45" t="n">
        <v>46088</v>
      </c>
      <c r="C561" s="46" t="n">
        <v>2085</v>
      </c>
      <c r="D561" s="46" t="inlineStr">
        <is>
          <t>الانصارى خ</t>
        </is>
      </c>
      <c r="E561" s="46" t="inlineStr">
        <is>
          <t>1*40 ث</t>
        </is>
      </c>
      <c r="F561" s="46" t="inlineStr">
        <is>
          <t xml:space="preserve">ميما فودز </t>
        </is>
      </c>
      <c r="G561" s="46" t="inlineStr">
        <is>
          <t xml:space="preserve">العبور </t>
        </is>
      </c>
      <c r="H561" s="46" t="inlineStr">
        <is>
          <t>844264/9</t>
        </is>
      </c>
      <c r="I561" s="46" t="inlineStr">
        <is>
          <t>ب ص ا 2574</t>
        </is>
      </c>
      <c r="J561" s="46" t="inlineStr">
        <is>
          <t xml:space="preserve">احمد عادل </t>
        </is>
      </c>
      <c r="K561" s="46" t="inlineStr">
        <is>
          <t xml:space="preserve">احمد خليف </t>
        </is>
      </c>
      <c r="L561" s="47" t="n">
        <v>16000</v>
      </c>
      <c r="M561" s="47" t="n">
        <v>9100</v>
      </c>
      <c r="N561" s="47" t="n"/>
      <c r="O561" s="47" t="n">
        <v>200</v>
      </c>
      <c r="P561" s="47" t="n"/>
      <c r="Q561" s="47" t="n">
        <v>6700</v>
      </c>
      <c r="R561" s="43">
        <f>IF($B561="","",N($S561)-N($Q561))</f>
        <v/>
      </c>
      <c r="S561" s="43">
        <f>IF($B561="","",N($L561)+N($N561)+N($P561))</f>
        <v/>
      </c>
      <c r="T561" s="47" t="n"/>
      <c r="U561" s="47" t="n"/>
      <c r="V561" s="47" t="n"/>
      <c r="W561" s="47" t="n"/>
      <c r="X561" s="47" t="n"/>
      <c r="Y561" s="47" t="n"/>
      <c r="Z561" s="47" t="n"/>
      <c r="AA561" s="47" t="n"/>
      <c r="AB561" s="47" t="n"/>
      <c r="AC561" s="47" t="n"/>
      <c r="AD561" s="47" t="n"/>
      <c r="AE561" s="47" t="n"/>
      <c r="AF561" s="43">
        <f>IF($B561="","",SUM($T561:$AE561))</f>
        <v/>
      </c>
      <c r="AG561" s="43">
        <f>IF($B561="","",N($M561)-N($AF561))</f>
        <v/>
      </c>
      <c r="AH561" s="43">
        <f>IF($B561="","",N($L561)-N($AF561))</f>
        <v/>
      </c>
      <c r="AI561" s="149">
        <f>IF($B561="","",IF(N($L561)=0,"",(N($L561)-N($AF561))/N($L561)))</f>
        <v/>
      </c>
    </row>
    <row r="562">
      <c r="A562" s="39">
        <f>IF($B562="","",COUNTA($B$4:$B562))</f>
        <v/>
      </c>
      <c r="B562" s="40" t="n">
        <v>46088</v>
      </c>
      <c r="C562" s="41" t="n">
        <v>2084</v>
      </c>
      <c r="D562" s="41" t="inlineStr">
        <is>
          <t>المكتب</t>
        </is>
      </c>
      <c r="E562" s="41" t="inlineStr">
        <is>
          <t>1*40 ث</t>
        </is>
      </c>
      <c r="F562" s="41" t="inlineStr">
        <is>
          <t xml:space="preserve">ميما فودز </t>
        </is>
      </c>
      <c r="G562" s="41" t="inlineStr">
        <is>
          <t xml:space="preserve">العبور </t>
        </is>
      </c>
      <c r="H562" s="41" t="inlineStr">
        <is>
          <t>691137/2</t>
        </is>
      </c>
      <c r="I562" s="41" t="inlineStr">
        <is>
          <t>س ع م 8737</t>
        </is>
      </c>
      <c r="J562" s="41" t="inlineStr">
        <is>
          <t xml:space="preserve">محمود بكر </t>
        </is>
      </c>
      <c r="K562" s="41" t="inlineStr">
        <is>
          <t>المكتب</t>
        </is>
      </c>
      <c r="L562" s="42" t="n">
        <v>16000</v>
      </c>
      <c r="M562" s="42" t="n">
        <v>8000</v>
      </c>
      <c r="N562" s="42" t="n"/>
      <c r="O562" s="42" t="n"/>
      <c r="P562" s="42" t="n"/>
      <c r="Q562" s="42" t="n">
        <v>8000</v>
      </c>
      <c r="R562" s="43">
        <f>IF($B562="","",N($S562)-N($Q562))</f>
        <v/>
      </c>
      <c r="S562" s="43">
        <f>IF($B562="","",N($L562)+N($N562)+N($P562))</f>
        <v/>
      </c>
      <c r="T562" s="42" t="n">
        <v>1700</v>
      </c>
      <c r="U562" s="42" t="n">
        <v>700</v>
      </c>
      <c r="V562" s="42" t="n"/>
      <c r="W562" s="42" t="n">
        <v>150</v>
      </c>
      <c r="X562" s="42" t="n">
        <v>130</v>
      </c>
      <c r="Y562" s="42" t="n">
        <v>120</v>
      </c>
      <c r="Z562" s="42" t="n"/>
      <c r="AA562" s="42" t="n"/>
      <c r="AB562" s="42" t="n"/>
      <c r="AC562" s="42" t="n"/>
      <c r="AD562" s="42" t="n"/>
      <c r="AE562" s="42" t="n">
        <v>3980</v>
      </c>
      <c r="AF562" s="43">
        <f>IF($B562="","",SUM($T562:$AE562))</f>
        <v/>
      </c>
      <c r="AG562" s="43">
        <f>IF($B562="","",N($M562)-N($AF562))</f>
        <v/>
      </c>
      <c r="AH562" s="43">
        <f>IF($B562="","",N($L562)-N($AF562))</f>
        <v/>
      </c>
      <c r="AI562" s="149">
        <f>IF($B562="","",IF(N($L562)=0,"",(N($L562)-N($AF562))/N($L562)))</f>
        <v/>
      </c>
    </row>
    <row r="563">
      <c r="A563" s="39">
        <f>IF($B563="","",COUNTA($B$4:$B563))</f>
        <v/>
      </c>
      <c r="B563" s="45" t="n">
        <v>46089</v>
      </c>
      <c r="C563" s="46" t="n">
        <v>2086</v>
      </c>
      <c r="D563" s="46" t="inlineStr">
        <is>
          <t>احمد عبدو خ</t>
        </is>
      </c>
      <c r="E563" s="46" t="inlineStr">
        <is>
          <t>1*40 ث</t>
        </is>
      </c>
      <c r="F563" s="46" t="inlineStr">
        <is>
          <t xml:space="preserve">انتراكوا </t>
        </is>
      </c>
      <c r="G563" s="46" t="inlineStr">
        <is>
          <t>القناطر</t>
        </is>
      </c>
      <c r="H563" s="46" t="inlineStr">
        <is>
          <t>996944/1</t>
        </is>
      </c>
      <c r="I563" s="46" t="inlineStr">
        <is>
          <t>ع ر ب 1573</t>
        </is>
      </c>
      <c r="J563" s="46" t="inlineStr">
        <is>
          <t xml:space="preserve">محمد السيد </t>
        </is>
      </c>
      <c r="K563" s="46" t="inlineStr">
        <is>
          <t xml:space="preserve">حمو مرزوق </t>
        </is>
      </c>
      <c r="L563" s="47" t="n">
        <v>15000</v>
      </c>
      <c r="M563" s="47" t="n">
        <v>8100</v>
      </c>
      <c r="N563" s="47" t="n"/>
      <c r="O563" s="47" t="n">
        <v>200</v>
      </c>
      <c r="P563" s="47" t="n"/>
      <c r="Q563" s="47" t="n">
        <v>6700</v>
      </c>
      <c r="R563" s="43">
        <f>IF($B563="","",N($S563)-N($Q563))</f>
        <v/>
      </c>
      <c r="S563" s="43">
        <f>IF($B563="","",N($L563)+N($N563)+N($P563))</f>
        <v/>
      </c>
      <c r="T563" s="47" t="n"/>
      <c r="U563" s="47" t="n"/>
      <c r="V563" s="47" t="n"/>
      <c r="W563" s="47" t="n"/>
      <c r="X563" s="47" t="n"/>
      <c r="Y563" s="47" t="n"/>
      <c r="Z563" s="47" t="n"/>
      <c r="AA563" s="47" t="n"/>
      <c r="AB563" s="47" t="n"/>
      <c r="AC563" s="47" t="n"/>
      <c r="AD563" s="47" t="n"/>
      <c r="AE563" s="47" t="n"/>
      <c r="AF563" s="43">
        <f>IF($B563="","",SUM($T563:$AE563))</f>
        <v/>
      </c>
      <c r="AG563" s="43">
        <f>IF($B563="","",N($M563)-N($AF563))</f>
        <v/>
      </c>
      <c r="AH563" s="43">
        <f>IF($B563="","",N($L563)-N($AF563))</f>
        <v/>
      </c>
      <c r="AI563" s="149">
        <f>IF($B563="","",IF(N($L563)=0,"",(N($L563)-N($AF563))/N($L563)))</f>
        <v/>
      </c>
    </row>
    <row r="564">
      <c r="A564" s="39">
        <f>IF($B564="","",COUNTA($B$4:$B564))</f>
        <v/>
      </c>
      <c r="B564" s="40" t="n">
        <v>46089</v>
      </c>
      <c r="C564" s="41" t="n">
        <v>2089</v>
      </c>
      <c r="D564" s="41" t="inlineStr">
        <is>
          <t>المكتب</t>
        </is>
      </c>
      <c r="E564" s="41" t="inlineStr">
        <is>
          <t>1*40 ث</t>
        </is>
      </c>
      <c r="F564" s="41" t="inlineStr">
        <is>
          <t xml:space="preserve">انتراكوا </t>
        </is>
      </c>
      <c r="G564" s="41" t="inlineStr">
        <is>
          <t>القناطر</t>
        </is>
      </c>
      <c r="H564" s="41" t="n"/>
      <c r="I564" s="41" t="inlineStr">
        <is>
          <t>س ع م 8737</t>
        </is>
      </c>
      <c r="J564" s="41" t="inlineStr">
        <is>
          <t xml:space="preserve">محمود بكر </t>
        </is>
      </c>
      <c r="K564" s="41" t="inlineStr">
        <is>
          <t>المكتب</t>
        </is>
      </c>
      <c r="L564" s="42" t="n">
        <v>15000</v>
      </c>
      <c r="M564" s="42" t="n">
        <v>7000</v>
      </c>
      <c r="N564" s="42" t="n"/>
      <c r="O564" s="42" t="n"/>
      <c r="P564" s="42" t="n"/>
      <c r="Q564" s="42" t="n">
        <v>8000</v>
      </c>
      <c r="R564" s="43">
        <f>IF($B564="","",N($S564)-N($Q564))</f>
        <v/>
      </c>
      <c r="S564" s="43">
        <f>IF($B564="","",N($L564)+N($N564)+N($P564))</f>
        <v/>
      </c>
      <c r="T564" s="42" t="n">
        <v>1700</v>
      </c>
      <c r="U564" s="42" t="n">
        <v>700</v>
      </c>
      <c r="V564" s="42" t="n"/>
      <c r="W564" s="42" t="n">
        <v>150</v>
      </c>
      <c r="X564" s="42" t="n">
        <v>90</v>
      </c>
      <c r="Y564" s="42" t="n">
        <v>120</v>
      </c>
      <c r="Z564" s="42" t="n"/>
      <c r="AA564" s="42" t="n"/>
      <c r="AB564" s="42" t="n">
        <v>250</v>
      </c>
      <c r="AC564" s="42" t="n">
        <v>50</v>
      </c>
      <c r="AD564" s="42" t="n">
        <v>300</v>
      </c>
      <c r="AE564" s="42" t="n">
        <v>4740</v>
      </c>
      <c r="AF564" s="43">
        <f>IF($B564="","",SUM($T564:$AE564))</f>
        <v/>
      </c>
      <c r="AG564" s="43">
        <f>IF($B564="","",N($M564)-N($AF564))</f>
        <v/>
      </c>
      <c r="AH564" s="43">
        <f>IF($B564="","",N($L564)-N($AF564))</f>
        <v/>
      </c>
      <c r="AI564" s="149">
        <f>IF($B564="","",IF(N($L564)=0,"",(N($L564)-N($AF564))/N($L564)))</f>
        <v/>
      </c>
    </row>
    <row r="565">
      <c r="A565" s="39">
        <f>IF($B565="","",COUNTA($B$4:$B565))</f>
        <v/>
      </c>
      <c r="B565" s="45" t="n">
        <v>46089</v>
      </c>
      <c r="C565" s="46" t="n">
        <v>2088</v>
      </c>
      <c r="D565" s="46" t="inlineStr">
        <is>
          <t>الانصارى خ</t>
        </is>
      </c>
      <c r="E565" s="46" t="inlineStr">
        <is>
          <t>1*40 ث</t>
        </is>
      </c>
      <c r="F565" s="46" t="inlineStr">
        <is>
          <t xml:space="preserve">انتراكوا </t>
        </is>
      </c>
      <c r="G565" s="46" t="inlineStr">
        <is>
          <t xml:space="preserve">القناطر </t>
        </is>
      </c>
      <c r="H565" s="46" t="n"/>
      <c r="I565" s="46" t="inlineStr">
        <is>
          <t>ب ص ا 2574</t>
        </is>
      </c>
      <c r="J565" s="46" t="inlineStr">
        <is>
          <t xml:space="preserve">احمد عادل </t>
        </is>
      </c>
      <c r="K565" s="46" t="inlineStr">
        <is>
          <t xml:space="preserve">احمد خليف </t>
        </is>
      </c>
      <c r="L565" s="47" t="n">
        <v>15000</v>
      </c>
      <c r="M565" s="47" t="n">
        <v>8100</v>
      </c>
      <c r="N565" s="47" t="n"/>
      <c r="O565" s="47" t="n">
        <v>200</v>
      </c>
      <c r="P565" s="47" t="n"/>
      <c r="Q565" s="47" t="n">
        <v>6700</v>
      </c>
      <c r="R565" s="43">
        <f>IF($B565="","",N($S565)-N($Q565))</f>
        <v/>
      </c>
      <c r="S565" s="43">
        <f>IF($B565="","",N($L565)+N($N565)+N($P565))</f>
        <v/>
      </c>
      <c r="T565" s="47" t="n"/>
      <c r="U565" s="47" t="n"/>
      <c r="V565" s="47" t="n"/>
      <c r="W565" s="47" t="n"/>
      <c r="X565" s="47" t="n"/>
      <c r="Y565" s="47" t="n"/>
      <c r="Z565" s="47" t="n"/>
      <c r="AA565" s="47" t="n"/>
      <c r="AB565" s="47" t="n"/>
      <c r="AC565" s="47" t="n"/>
      <c r="AD565" s="47" t="n"/>
      <c r="AE565" s="47" t="n"/>
      <c r="AF565" s="43">
        <f>IF($B565="","",SUM($T565:$AE565))</f>
        <v/>
      </c>
      <c r="AG565" s="43">
        <f>IF($B565="","",N($M565)-N($AF565))</f>
        <v/>
      </c>
      <c r="AH565" s="43">
        <f>IF($B565="","",N($L565)-N($AF565))</f>
        <v/>
      </c>
      <c r="AI565" s="149">
        <f>IF($B565="","",IF(N($L565)=0,"",(N($L565)-N($AF565))/N($L565)))</f>
        <v/>
      </c>
    </row>
    <row r="566">
      <c r="A566" s="39">
        <f>IF($B566="","",COUNTA($B$4:$B566))</f>
        <v/>
      </c>
      <c r="B566" s="40" t="n">
        <v>46089</v>
      </c>
      <c r="C566" s="41" t="n">
        <v>2087</v>
      </c>
      <c r="D566" s="41" t="inlineStr">
        <is>
          <t>احمد عبدو خ</t>
        </is>
      </c>
      <c r="E566" s="41" t="inlineStr">
        <is>
          <t>1*40 ث</t>
        </is>
      </c>
      <c r="F566" s="41" t="inlineStr">
        <is>
          <t xml:space="preserve">انتراكوا </t>
        </is>
      </c>
      <c r="G566" s="41" t="inlineStr">
        <is>
          <t xml:space="preserve">القناطر </t>
        </is>
      </c>
      <c r="H566" s="41" t="n"/>
      <c r="I566" s="41" t="inlineStr">
        <is>
          <t>س ل ب 5917</t>
        </is>
      </c>
      <c r="J566" s="41" t="inlineStr">
        <is>
          <t xml:space="preserve">محمد ابراهيم </t>
        </is>
      </c>
      <c r="K566" s="41" t="inlineStr">
        <is>
          <t xml:space="preserve">علاء علام </t>
        </is>
      </c>
      <c r="L566" s="42" t="n">
        <v>15000</v>
      </c>
      <c r="M566" s="42" t="n">
        <v>8100</v>
      </c>
      <c r="N566" s="42" t="n"/>
      <c r="O566" s="42" t="n">
        <v>200</v>
      </c>
      <c r="P566" s="42" t="n"/>
      <c r="Q566" s="42" t="n">
        <v>6700</v>
      </c>
      <c r="R566" s="43">
        <f>IF($B566="","",N($S566)-N($Q566))</f>
        <v/>
      </c>
      <c r="S566" s="43">
        <f>IF($B566="","",N($L566)+N($N566)+N($P566))</f>
        <v/>
      </c>
      <c r="T566" s="42" t="n"/>
      <c r="U566" s="42" t="n"/>
      <c r="V566" s="42" t="n"/>
      <c r="W566" s="42" t="n"/>
      <c r="X566" s="42" t="n"/>
      <c r="Y566" s="42" t="n"/>
      <c r="Z566" s="42" t="n"/>
      <c r="AA566" s="42" t="n"/>
      <c r="AB566" s="42" t="n"/>
      <c r="AC566" s="42" t="n"/>
      <c r="AD566" s="42" t="n"/>
      <c r="AE566" s="42" t="n"/>
      <c r="AF566" s="43">
        <f>IF($B566="","",SUM($T566:$AE566))</f>
        <v/>
      </c>
      <c r="AG566" s="43">
        <f>IF($B566="","",N($M566)-N($AF566))</f>
        <v/>
      </c>
      <c r="AH566" s="43">
        <f>IF($B566="","",N($L566)-N($AF566))</f>
        <v/>
      </c>
      <c r="AI566" s="149">
        <f>IF($B566="","",IF(N($L566)=0,"",(N($L566)-N($AF566))/N($L566)))</f>
        <v/>
      </c>
    </row>
    <row r="567">
      <c r="A567" s="39">
        <f>IF($B567="","",COUNTA($B$4:$B567))</f>
        <v/>
      </c>
      <c r="B567" s="45" t="n">
        <v>46089</v>
      </c>
      <c r="C567" s="46" t="n">
        <v>2271</v>
      </c>
      <c r="D567" s="46" t="inlineStr">
        <is>
          <t xml:space="preserve">محمد يحى </t>
        </is>
      </c>
      <c r="E567" s="46" t="inlineStr">
        <is>
          <t xml:space="preserve">1*40 </t>
        </is>
      </c>
      <c r="F567" s="46" t="inlineStr">
        <is>
          <t xml:space="preserve">الدولية للادوية </t>
        </is>
      </c>
      <c r="G567" s="46" t="inlineStr">
        <is>
          <t>الاسماعيليه</t>
        </is>
      </c>
      <c r="H567" s="46" t="inlineStr">
        <is>
          <t>461283/5</t>
        </is>
      </c>
      <c r="I567" s="46" t="inlineStr">
        <is>
          <t>ط ف ر 1474</t>
        </is>
      </c>
      <c r="J567" s="46" t="inlineStr">
        <is>
          <t xml:space="preserve">جمال على </t>
        </is>
      </c>
      <c r="K567" s="46" t="inlineStr">
        <is>
          <t xml:space="preserve">كريم خليف </t>
        </is>
      </c>
      <c r="L567" s="47" t="n">
        <v>17000</v>
      </c>
      <c r="M567" s="47" t="n">
        <v>9100</v>
      </c>
      <c r="N567" s="47" t="n"/>
      <c r="O567" s="47" t="n">
        <v>200</v>
      </c>
      <c r="P567" s="47" t="n"/>
      <c r="Q567" s="47" t="n">
        <v>7700</v>
      </c>
      <c r="R567" s="43">
        <f>IF($B567="","",N($S567)-N($Q567))</f>
        <v/>
      </c>
      <c r="S567" s="43">
        <f>IF($B567="","",N($L567)+N($N567)+N($P567))</f>
        <v/>
      </c>
      <c r="T567" s="47" t="n"/>
      <c r="U567" s="47" t="n"/>
      <c r="V567" s="47" t="n"/>
      <c r="W567" s="47" t="n"/>
      <c r="X567" s="47" t="n"/>
      <c r="Y567" s="47" t="n"/>
      <c r="Z567" s="47" t="n"/>
      <c r="AA567" s="47" t="n"/>
      <c r="AB567" s="47" t="n"/>
      <c r="AC567" s="47" t="n"/>
      <c r="AD567" s="47" t="n"/>
      <c r="AE567" s="47" t="n"/>
      <c r="AF567" s="43">
        <f>IF($B567="","",SUM($T567:$AE567))</f>
        <v/>
      </c>
      <c r="AG567" s="43">
        <f>IF($B567="","",N($M567)-N($AF567))</f>
        <v/>
      </c>
      <c r="AH567" s="43">
        <f>IF($B567="","",N($L567)-N($AF567))</f>
        <v/>
      </c>
      <c r="AI567" s="149">
        <f>IF($B567="","",IF(N($L567)=0,"",(N($L567)-N($AF567))/N($L567)))</f>
        <v/>
      </c>
    </row>
    <row r="568">
      <c r="A568" s="39">
        <f>IF($B568="","",COUNTA($B$4:$B568))</f>
        <v/>
      </c>
      <c r="B568" s="40" t="n">
        <v>46089</v>
      </c>
      <c r="C568" s="41" t="n">
        <v>2272</v>
      </c>
      <c r="D568" s="41" t="inlineStr">
        <is>
          <t>كمال رزق خ</t>
        </is>
      </c>
      <c r="E568" s="41" t="inlineStr">
        <is>
          <t>1*40</t>
        </is>
      </c>
      <c r="F568" s="41" t="inlineStr">
        <is>
          <t xml:space="preserve">الدولية للادوية </t>
        </is>
      </c>
      <c r="G568" s="41" t="inlineStr">
        <is>
          <t>الاسماعيليه</t>
        </is>
      </c>
      <c r="H568" s="41" t="inlineStr">
        <is>
          <t>832098/8</t>
        </is>
      </c>
      <c r="I568" s="41" t="inlineStr">
        <is>
          <t>س ن ر 8979</t>
        </is>
      </c>
      <c r="J568" s="41" t="inlineStr">
        <is>
          <t xml:space="preserve">عماد سعيد </t>
        </is>
      </c>
      <c r="K568" s="41" t="inlineStr">
        <is>
          <t xml:space="preserve">عماد سعيد </t>
        </is>
      </c>
      <c r="L568" s="42" t="n">
        <v>17000</v>
      </c>
      <c r="M568" s="42" t="n">
        <v>9100</v>
      </c>
      <c r="N568" s="42" t="n"/>
      <c r="O568" s="42" t="n">
        <v>200</v>
      </c>
      <c r="P568" s="42" t="n"/>
      <c r="Q568" s="42" t="n">
        <v>7700</v>
      </c>
      <c r="R568" s="43">
        <f>IF($B568="","",N($S568)-N($Q568))</f>
        <v/>
      </c>
      <c r="S568" s="43">
        <f>IF($B568="","",N($L568)+N($N568)+N($P568))</f>
        <v/>
      </c>
      <c r="T568" s="42" t="n"/>
      <c r="U568" s="42" t="n"/>
      <c r="V568" s="42" t="n"/>
      <c r="W568" s="42" t="n"/>
      <c r="X568" s="42" t="n"/>
      <c r="Y568" s="42" t="n"/>
      <c r="Z568" s="42" t="n"/>
      <c r="AA568" s="42" t="n"/>
      <c r="AB568" s="42" t="n"/>
      <c r="AC568" s="42" t="n"/>
      <c r="AD568" s="42" t="n"/>
      <c r="AE568" s="42" t="n"/>
      <c r="AF568" s="43">
        <f>IF($B568="","",SUM($T568:$AE568))</f>
        <v/>
      </c>
      <c r="AG568" s="43">
        <f>IF($B568="","",N($M568)-N($AF568))</f>
        <v/>
      </c>
      <c r="AH568" s="43">
        <f>IF($B568="","",N($L568)-N($AF568))</f>
        <v/>
      </c>
      <c r="AI568" s="149">
        <f>IF($B568="","",IF(N($L568)=0,"",(N($L568)-N($AF568))/N($L568)))</f>
        <v/>
      </c>
    </row>
    <row r="569">
      <c r="A569" s="39">
        <f>IF($B569="","",COUNTA($B$4:$B569))</f>
        <v/>
      </c>
      <c r="B569" s="45" t="n">
        <v>46090</v>
      </c>
      <c r="C569" s="46" t="n">
        <v>2117</v>
      </c>
      <c r="D569" s="46" t="inlineStr">
        <is>
          <t xml:space="preserve">احمد محسن </t>
        </is>
      </c>
      <c r="E569" s="46" t="inlineStr">
        <is>
          <t>1*40</t>
        </is>
      </c>
      <c r="F569" s="46" t="inlineStr">
        <is>
          <t xml:space="preserve">مكارم تكس </t>
        </is>
      </c>
      <c r="G569" s="46" t="inlineStr">
        <is>
          <t>ابورواش</t>
        </is>
      </c>
      <c r="H569" s="46" t="inlineStr">
        <is>
          <t>533430/3</t>
        </is>
      </c>
      <c r="I569" s="46" t="inlineStr">
        <is>
          <t>س ع ا 7219</t>
        </is>
      </c>
      <c r="J569" s="46" t="inlineStr">
        <is>
          <t xml:space="preserve">طلعت محمد </t>
        </is>
      </c>
      <c r="K569" s="46" t="inlineStr">
        <is>
          <t xml:space="preserve">احمد محسن </t>
        </is>
      </c>
      <c r="L569" s="47" t="n">
        <v>13500</v>
      </c>
      <c r="M569" s="47" t="n">
        <v>7100</v>
      </c>
      <c r="N569" s="47" t="n"/>
      <c r="O569" s="47" t="n">
        <v>200</v>
      </c>
      <c r="P569" s="47" t="n"/>
      <c r="Q569" s="47" t="n">
        <v>6200</v>
      </c>
      <c r="R569" s="43">
        <f>IF($B569="","",N($S569)-N($Q569))</f>
        <v/>
      </c>
      <c r="S569" s="43">
        <f>IF($B569="","",N($L569)+N($N569)+N($P569))</f>
        <v/>
      </c>
      <c r="T569" s="47" t="n"/>
      <c r="U569" s="47" t="n"/>
      <c r="V569" s="47" t="n"/>
      <c r="W569" s="47" t="n"/>
      <c r="X569" s="47" t="n"/>
      <c r="Y569" s="47" t="n"/>
      <c r="Z569" s="47" t="n"/>
      <c r="AA569" s="47" t="n"/>
      <c r="AB569" s="47" t="n"/>
      <c r="AC569" s="47" t="n"/>
      <c r="AD569" s="47" t="n"/>
      <c r="AE569" s="47" t="n"/>
      <c r="AF569" s="43">
        <f>IF($B569="","",SUM($T569:$AE569))</f>
        <v/>
      </c>
      <c r="AG569" s="43">
        <f>IF($B569="","",N($M569)-N($AF569))</f>
        <v/>
      </c>
      <c r="AH569" s="43">
        <f>IF($B569="","",N($L569)-N($AF569))</f>
        <v/>
      </c>
      <c r="AI569" s="149">
        <f>IF($B569="","",IF(N($L569)=0,"",(N($L569)-N($AF569))/N($L569)))</f>
        <v/>
      </c>
    </row>
    <row r="570">
      <c r="A570" s="39">
        <f>IF($B570="","",COUNTA($B$4:$B570))</f>
        <v/>
      </c>
      <c r="B570" s="40" t="n">
        <v>46090</v>
      </c>
      <c r="C570" s="41" t="n">
        <v>2091</v>
      </c>
      <c r="D570" s="41" t="inlineStr">
        <is>
          <t>حاتم البحر  ق</t>
        </is>
      </c>
      <c r="E570" s="41" t="inlineStr">
        <is>
          <t>1*20</t>
        </is>
      </c>
      <c r="F570" s="41" t="inlineStr">
        <is>
          <t xml:space="preserve">المصرية </t>
        </is>
      </c>
      <c r="G570" s="41" t="inlineStr">
        <is>
          <t xml:space="preserve">الجيزة </t>
        </is>
      </c>
      <c r="H570" s="41" t="inlineStr">
        <is>
          <t>719601/7</t>
        </is>
      </c>
      <c r="I570" s="41" t="inlineStr">
        <is>
          <t>ب ر ا 2548</t>
        </is>
      </c>
      <c r="J570" s="41" t="inlineStr">
        <is>
          <t xml:space="preserve">محمد صقر </t>
        </is>
      </c>
      <c r="K570" s="41" t="inlineStr">
        <is>
          <t>صقر</t>
        </is>
      </c>
      <c r="L570" s="42" t="n">
        <v>10500</v>
      </c>
      <c r="M570" s="42" t="n">
        <v>8100</v>
      </c>
      <c r="N570" s="42" t="n"/>
      <c r="O570" s="42" t="n">
        <v>200</v>
      </c>
      <c r="P570" s="42" t="n"/>
      <c r="Q570" s="42" t="n">
        <v>2200</v>
      </c>
      <c r="R570" s="43">
        <f>IF($B570="","",N($S570)-N($Q570))</f>
        <v/>
      </c>
      <c r="S570" s="43">
        <f>IF($B570="","",N($L570)+N($N570)+N($P570))</f>
        <v/>
      </c>
      <c r="T570" s="42" t="n"/>
      <c r="U570" s="42" t="n"/>
      <c r="V570" s="42" t="n"/>
      <c r="W570" s="42" t="n"/>
      <c r="X570" s="42" t="n"/>
      <c r="Y570" s="42" t="n"/>
      <c r="Z570" s="42" t="n"/>
      <c r="AA570" s="42" t="n"/>
      <c r="AB570" s="42" t="n"/>
      <c r="AC570" s="42" t="n"/>
      <c r="AD570" s="42" t="n"/>
      <c r="AE570" s="42" t="n"/>
      <c r="AF570" s="43">
        <f>IF($B570="","",SUM($T570:$AE570))</f>
        <v/>
      </c>
      <c r="AG570" s="43">
        <f>IF($B570="","",N($M570)-N($AF570))</f>
        <v/>
      </c>
      <c r="AH570" s="43">
        <f>IF($B570="","",N($L570)-N($AF570))</f>
        <v/>
      </c>
      <c r="AI570" s="149">
        <f>IF($B570="","",IF(N($L570)=0,"",(N($L570)-N($AF570))/N($L570)))</f>
        <v/>
      </c>
    </row>
    <row r="571">
      <c r="A571" s="39">
        <f>IF($B571="","",COUNTA($B$4:$B571))</f>
        <v/>
      </c>
      <c r="B571" s="45" t="n">
        <v>46090</v>
      </c>
      <c r="C571" s="46" t="n">
        <v>2092</v>
      </c>
      <c r="D571" s="46" t="inlineStr">
        <is>
          <t>الشريف خ</t>
        </is>
      </c>
      <c r="E571" s="46" t="inlineStr">
        <is>
          <t>1*40</t>
        </is>
      </c>
      <c r="F571" s="46" t="inlineStr">
        <is>
          <t xml:space="preserve">انالسيز </t>
        </is>
      </c>
      <c r="G571" s="46" t="inlineStr">
        <is>
          <t>بلبيس</t>
        </is>
      </c>
      <c r="H571" s="46" t="inlineStr">
        <is>
          <t>555301/7</t>
        </is>
      </c>
      <c r="I571" s="46" t="inlineStr">
        <is>
          <t>ع ب س 9238</t>
        </is>
      </c>
      <c r="J571" s="46" t="inlineStr">
        <is>
          <t xml:space="preserve">ابراهيم رضا </t>
        </is>
      </c>
      <c r="K571" s="46" t="inlineStr">
        <is>
          <t xml:space="preserve">ابراهيم الصعيدى </t>
        </is>
      </c>
      <c r="L571" s="47" t="n">
        <v>14000</v>
      </c>
      <c r="M571" s="47" t="n">
        <v>9100</v>
      </c>
      <c r="N571" s="47" t="n"/>
      <c r="O571" s="47" t="n">
        <v>200</v>
      </c>
      <c r="P571" s="47" t="n"/>
      <c r="Q571" s="47" t="n">
        <v>4700</v>
      </c>
      <c r="R571" s="43">
        <f>IF($B571="","",N($S571)-N($Q571))</f>
        <v/>
      </c>
      <c r="S571" s="43">
        <f>IF($B571="","",N($L571)+N($N571)+N($P571))</f>
        <v/>
      </c>
      <c r="T571" s="47" t="n"/>
      <c r="U571" s="47" t="n"/>
      <c r="V571" s="47" t="n"/>
      <c r="W571" s="47" t="n"/>
      <c r="X571" s="47" t="n"/>
      <c r="Y571" s="47" t="n"/>
      <c r="Z571" s="47" t="n"/>
      <c r="AA571" s="47" t="n"/>
      <c r="AB571" s="47" t="n"/>
      <c r="AC571" s="47" t="n"/>
      <c r="AD571" s="47" t="n"/>
      <c r="AE571" s="47" t="n"/>
      <c r="AF571" s="43">
        <f>IF($B571="","",SUM($T571:$AE571))</f>
        <v/>
      </c>
      <c r="AG571" s="43">
        <f>IF($B571="","",N($M571)-N($AF571))</f>
        <v/>
      </c>
      <c r="AH571" s="43">
        <f>IF($B571="","",N($L571)-N($AF571))</f>
        <v/>
      </c>
      <c r="AI571" s="149">
        <f>IF($B571="","",IF(N($L571)=0,"",(N($L571)-N($AF571))/N($L571)))</f>
        <v/>
      </c>
    </row>
    <row r="572">
      <c r="A572" s="39">
        <f>IF($B572="","",COUNTA($B$4:$B572))</f>
        <v/>
      </c>
      <c r="B572" s="40" t="n">
        <v>46090</v>
      </c>
      <c r="C572" s="41" t="n">
        <v>2090</v>
      </c>
      <c r="D572" s="41" t="inlineStr">
        <is>
          <t>مخزن</t>
        </is>
      </c>
      <c r="E572" s="41" t="inlineStr">
        <is>
          <t>1*40</t>
        </is>
      </c>
      <c r="F572" s="41" t="inlineStr">
        <is>
          <t xml:space="preserve">المجد </t>
        </is>
      </c>
      <c r="G572" s="41" t="inlineStr">
        <is>
          <t xml:space="preserve">النوبارية </t>
        </is>
      </c>
      <c r="H572" s="41" t="inlineStr">
        <is>
          <t>812823/3</t>
        </is>
      </c>
      <c r="I572" s="41" t="inlineStr">
        <is>
          <t>س ل ا 5468</t>
        </is>
      </c>
      <c r="J572" s="41" t="inlineStr">
        <is>
          <t xml:space="preserve">حسام محمد </t>
        </is>
      </c>
      <c r="K572" s="41" t="inlineStr">
        <is>
          <t xml:space="preserve">احمد مخزن </t>
        </is>
      </c>
      <c r="L572" s="42" t="n">
        <v>11500</v>
      </c>
      <c r="M572" s="42" t="n">
        <v>7100</v>
      </c>
      <c r="N572" s="42" t="n"/>
      <c r="O572" s="42" t="n">
        <v>200</v>
      </c>
      <c r="P572" s="42" t="n"/>
      <c r="Q572" s="42" t="n">
        <v>4200</v>
      </c>
      <c r="R572" s="43">
        <f>IF($B572="","",N($S572)-N($Q572))</f>
        <v/>
      </c>
      <c r="S572" s="43">
        <f>IF($B572="","",N($L572)+N($N572)+N($P572))</f>
        <v/>
      </c>
      <c r="T572" s="42" t="n"/>
      <c r="U572" s="42" t="n"/>
      <c r="V572" s="42" t="n"/>
      <c r="W572" s="42" t="n"/>
      <c r="X572" s="42" t="n"/>
      <c r="Y572" s="42" t="n"/>
      <c r="Z572" s="42" t="n"/>
      <c r="AA572" s="42" t="n"/>
      <c r="AB572" s="42" t="n"/>
      <c r="AC572" s="42" t="n"/>
      <c r="AD572" s="42" t="n"/>
      <c r="AE572" s="42" t="n"/>
      <c r="AF572" s="43">
        <f>IF($B572="","",SUM($T572:$AE572))</f>
        <v/>
      </c>
      <c r="AG572" s="43">
        <f>IF($B572="","",N($M572)-N($AF572))</f>
        <v/>
      </c>
      <c r="AH572" s="43">
        <f>IF($B572="","",N($L572)-N($AF572))</f>
        <v/>
      </c>
      <c r="AI572" s="149">
        <f>IF($B572="","",IF(N($L572)=0,"",(N($L572)-N($AF572))/N($L572)))</f>
        <v/>
      </c>
    </row>
    <row r="573">
      <c r="A573" s="39">
        <f>IF($B573="","",COUNTA($B$4:$B573))</f>
        <v/>
      </c>
      <c r="B573" s="45" t="n">
        <v>46090</v>
      </c>
      <c r="C573" s="46" t="n">
        <v>2273</v>
      </c>
      <c r="D573" s="46" t="inlineStr">
        <is>
          <t>احمد خطاب</t>
        </is>
      </c>
      <c r="E573" s="46" t="inlineStr">
        <is>
          <t>1*40</t>
        </is>
      </c>
      <c r="F573" s="46" t="inlineStr">
        <is>
          <t xml:space="preserve">الدولية للمستلزمات </t>
        </is>
      </c>
      <c r="G573" s="46" t="inlineStr">
        <is>
          <t>الاسماعيليه</t>
        </is>
      </c>
      <c r="H573" s="46" t="inlineStr">
        <is>
          <t>285501/7</t>
        </is>
      </c>
      <c r="I573" s="46" t="inlineStr">
        <is>
          <t>ب ل ص 9415</t>
        </is>
      </c>
      <c r="J573" s="46" t="inlineStr">
        <is>
          <t xml:space="preserve">صبحى جميل </t>
        </is>
      </c>
      <c r="K573" s="46" t="inlineStr">
        <is>
          <t>استوريا</t>
        </is>
      </c>
      <c r="L573" s="47" t="n">
        <v>17000</v>
      </c>
      <c r="M573" s="47" t="n">
        <v>9100</v>
      </c>
      <c r="N573" s="47" t="n"/>
      <c r="O573" s="47" t="n">
        <v>200</v>
      </c>
      <c r="P573" s="47" t="n"/>
      <c r="Q573" s="47" t="n">
        <v>7700</v>
      </c>
      <c r="R573" s="43">
        <f>IF($B573="","",N($S573)-N($Q573))</f>
        <v/>
      </c>
      <c r="S573" s="43">
        <f>IF($B573="","",N($L573)+N($N573)+N($P573))</f>
        <v/>
      </c>
      <c r="T573" s="47" t="n"/>
      <c r="U573" s="47" t="n"/>
      <c r="V573" s="47" t="n"/>
      <c r="W573" s="47" t="n"/>
      <c r="X573" s="47" t="n"/>
      <c r="Y573" s="47" t="n"/>
      <c r="Z573" s="47" t="n"/>
      <c r="AA573" s="47" t="n"/>
      <c r="AB573" s="47" t="n"/>
      <c r="AC573" s="47" t="n"/>
      <c r="AD573" s="47" t="n"/>
      <c r="AE573" s="47" t="n"/>
      <c r="AF573" s="43">
        <f>IF($B573="","",SUM($T573:$AE573))</f>
        <v/>
      </c>
      <c r="AG573" s="43">
        <f>IF($B573="","",N($M573)-N($AF573))</f>
        <v/>
      </c>
      <c r="AH573" s="43">
        <f>IF($B573="","",N($L573)-N($AF573))</f>
        <v/>
      </c>
      <c r="AI573" s="149">
        <f>IF($B573="","",IF(N($L573)=0,"",(N($L573)-N($AF573))/N($L573)))</f>
        <v/>
      </c>
    </row>
    <row r="574">
      <c r="A574" s="39">
        <f>IF($B574="","",COUNTA($B$4:$B574))</f>
        <v/>
      </c>
      <c r="B574" s="40" t="n">
        <v>46090</v>
      </c>
      <c r="C574" s="41" t="n">
        <v>2274</v>
      </c>
      <c r="D574" s="41" t="inlineStr">
        <is>
          <t>احمد خطاب</t>
        </is>
      </c>
      <c r="E574" s="41" t="inlineStr">
        <is>
          <t>1*40</t>
        </is>
      </c>
      <c r="F574" s="41" t="inlineStr">
        <is>
          <t xml:space="preserve">الدولية للمستلزمات </t>
        </is>
      </c>
      <c r="G574" s="41" t="inlineStr">
        <is>
          <t>الاسماعيليه</t>
        </is>
      </c>
      <c r="H574" s="41" t="inlineStr">
        <is>
          <t>538177/5</t>
        </is>
      </c>
      <c r="I574" s="41" t="inlineStr">
        <is>
          <t>ط ف ر 2464</t>
        </is>
      </c>
      <c r="J574" s="41" t="inlineStr">
        <is>
          <t xml:space="preserve">نبيل جميل </t>
        </is>
      </c>
      <c r="K574" s="41" t="inlineStr">
        <is>
          <t xml:space="preserve">استوريا </t>
        </is>
      </c>
      <c r="L574" s="42" t="n">
        <v>17000</v>
      </c>
      <c r="M574" s="42" t="n">
        <v>9100</v>
      </c>
      <c r="N574" s="42" t="n"/>
      <c r="O574" s="42" t="n">
        <v>200</v>
      </c>
      <c r="P574" s="42" t="n"/>
      <c r="Q574" s="42" t="n">
        <v>7700</v>
      </c>
      <c r="R574" s="43">
        <f>IF($B574="","",N($S574)-N($Q574))</f>
        <v/>
      </c>
      <c r="S574" s="43">
        <f>IF($B574="","",N($L574)+N($N574)+N($P574))</f>
        <v/>
      </c>
      <c r="T574" s="42" t="n"/>
      <c r="U574" s="42" t="n"/>
      <c r="V574" s="42" t="n"/>
      <c r="W574" s="42" t="n"/>
      <c r="X574" s="42" t="n"/>
      <c r="Y574" s="42" t="n"/>
      <c r="Z574" s="42" t="n"/>
      <c r="AA574" s="42" t="n"/>
      <c r="AB574" s="42" t="n"/>
      <c r="AC574" s="42" t="n"/>
      <c r="AD574" s="42" t="n"/>
      <c r="AE574" s="42" t="n"/>
      <c r="AF574" s="43">
        <f>IF($B574="","",SUM($T574:$AE574))</f>
        <v/>
      </c>
      <c r="AG574" s="43">
        <f>IF($B574="","",N($M574)-N($AF574))</f>
        <v/>
      </c>
      <c r="AH574" s="43">
        <f>IF($B574="","",N($L574)-N($AF574))</f>
        <v/>
      </c>
      <c r="AI574" s="149">
        <f>IF($B574="","",IF(N($L574)=0,"",(N($L574)-N($AF574))/N($L574)))</f>
        <v/>
      </c>
    </row>
    <row r="575">
      <c r="A575" s="39">
        <f>IF($B575="","",COUNTA($B$4:$B575))</f>
        <v/>
      </c>
      <c r="B575" s="45" t="n">
        <v>46090</v>
      </c>
      <c r="C575" s="46" t="n">
        <v>2275</v>
      </c>
      <c r="D575" s="46" t="inlineStr">
        <is>
          <t>الليبر</t>
        </is>
      </c>
      <c r="E575" s="46" t="inlineStr">
        <is>
          <t>1*40</t>
        </is>
      </c>
      <c r="F575" s="46" t="inlineStr">
        <is>
          <t xml:space="preserve">الريعى </t>
        </is>
      </c>
      <c r="G575" s="46" t="inlineStr">
        <is>
          <t xml:space="preserve">الشرقية </t>
        </is>
      </c>
      <c r="H575" s="46" t="inlineStr">
        <is>
          <t>811582/1</t>
        </is>
      </c>
      <c r="I575" s="46" t="inlineStr">
        <is>
          <t>ب ى ر 1435</t>
        </is>
      </c>
      <c r="J575" s="46" t="inlineStr">
        <is>
          <t xml:space="preserve">عمرو محمد </t>
        </is>
      </c>
      <c r="K575" s="46" t="inlineStr">
        <is>
          <t xml:space="preserve">الليبر </t>
        </is>
      </c>
      <c r="L575" s="47" t="n">
        <v>17000</v>
      </c>
      <c r="M575" s="47" t="n">
        <v>9100</v>
      </c>
      <c r="N575" s="47" t="n"/>
      <c r="O575" s="47" t="n">
        <v>200</v>
      </c>
      <c r="P575" s="47" t="n"/>
      <c r="Q575" s="47" t="n">
        <v>7700</v>
      </c>
      <c r="R575" s="43">
        <f>IF($B575="","",N($S575)-N($Q575))</f>
        <v/>
      </c>
      <c r="S575" s="43">
        <f>IF($B575="","",N($L575)+N($N575)+N($P575))</f>
        <v/>
      </c>
      <c r="T575" s="47" t="n"/>
      <c r="U575" s="47" t="n"/>
      <c r="V575" s="47" t="n"/>
      <c r="W575" s="47" t="n"/>
      <c r="X575" s="47" t="n"/>
      <c r="Y575" s="47" t="n"/>
      <c r="Z575" s="47" t="n"/>
      <c r="AA575" s="47" t="n"/>
      <c r="AB575" s="47" t="n"/>
      <c r="AC575" s="47" t="n"/>
      <c r="AD575" s="47" t="n"/>
      <c r="AE575" s="47" t="n"/>
      <c r="AF575" s="43">
        <f>IF($B575="","",SUM($T575:$AE575))</f>
        <v/>
      </c>
      <c r="AG575" s="43">
        <f>IF($B575="","",N($M575)-N($AF575))</f>
        <v/>
      </c>
      <c r="AH575" s="43">
        <f>IF($B575="","",N($L575)-N($AF575))</f>
        <v/>
      </c>
      <c r="AI575" s="149">
        <f>IF($B575="","",IF(N($L575)=0,"",(N($L575)-N($AF575))/N($L575)))</f>
        <v/>
      </c>
    </row>
    <row r="576">
      <c r="A576" s="39">
        <f>IF($B576="","",COUNTA($B$4:$B576))</f>
        <v/>
      </c>
      <c r="B576" s="40" t="n">
        <v>46091</v>
      </c>
      <c r="C576" s="41" t="n">
        <v>2276</v>
      </c>
      <c r="D576" s="41" t="inlineStr">
        <is>
          <t>المكتب</t>
        </is>
      </c>
      <c r="E576" s="41" t="inlineStr">
        <is>
          <t>1*40</t>
        </is>
      </c>
      <c r="F576" s="41" t="inlineStr">
        <is>
          <t xml:space="preserve">يونايتد  </t>
        </is>
      </c>
      <c r="G576" s="41" t="inlineStr">
        <is>
          <t xml:space="preserve">العاشر </t>
        </is>
      </c>
      <c r="H576" s="41" t="inlineStr">
        <is>
          <t>679214/7</t>
        </is>
      </c>
      <c r="I576" s="41" t="inlineStr">
        <is>
          <t>س ع م 8737</t>
        </is>
      </c>
      <c r="J576" s="41" t="inlineStr">
        <is>
          <t xml:space="preserve">محمود بكر </t>
        </is>
      </c>
      <c r="K576" s="41" t="inlineStr">
        <is>
          <t>المكتب</t>
        </is>
      </c>
      <c r="L576" s="42" t="n">
        <v>14500</v>
      </c>
      <c r="M576" s="42" t="n">
        <v>8000</v>
      </c>
      <c r="N576" s="42" t="n"/>
      <c r="O576" s="42" t="n"/>
      <c r="P576" s="42" t="n"/>
      <c r="Q576" s="42" t="n">
        <v>6500</v>
      </c>
      <c r="R576" s="43">
        <f>IF($B576="","",N($S576)-N($Q576))</f>
        <v/>
      </c>
      <c r="S576" s="43">
        <f>IF($B576="","",N($L576)+N($N576)+N($P576))</f>
        <v/>
      </c>
      <c r="T576" s="42" t="n">
        <v>1500</v>
      </c>
      <c r="U576" s="42" t="n">
        <v>600</v>
      </c>
      <c r="V576" s="42" t="n"/>
      <c r="W576" s="42" t="n">
        <v>150</v>
      </c>
      <c r="X576" s="42" t="n">
        <v>130</v>
      </c>
      <c r="Y576" s="42" t="n">
        <v>60</v>
      </c>
      <c r="Z576" s="42" t="n"/>
      <c r="AA576" s="42" t="n"/>
      <c r="AB576" s="42" t="n"/>
      <c r="AC576" s="42" t="n"/>
      <c r="AD576" s="42" t="n"/>
      <c r="AE576" s="42" t="n">
        <v>4000</v>
      </c>
      <c r="AF576" s="43">
        <f>IF($B576="","",SUM($T576:$AE576))</f>
        <v/>
      </c>
      <c r="AG576" s="43">
        <f>IF($B576="","",N($M576)-N($AF576))</f>
        <v/>
      </c>
      <c r="AH576" s="43">
        <f>IF($B576="","",N($L576)-N($AF576))</f>
        <v/>
      </c>
      <c r="AI576" s="149">
        <f>IF($B576="","",IF(N($L576)=0,"",(N($L576)-N($AF576))/N($L576)))</f>
        <v/>
      </c>
    </row>
    <row r="577">
      <c r="A577" s="39">
        <f>IF($B577="","",COUNTA($B$4:$B577))</f>
        <v/>
      </c>
      <c r="B577" s="45" t="n">
        <v>46091</v>
      </c>
      <c r="C577" s="46" t="n">
        <v>2277</v>
      </c>
      <c r="D577" s="46" t="inlineStr">
        <is>
          <t xml:space="preserve">علاء علام </t>
        </is>
      </c>
      <c r="E577" s="46" t="inlineStr">
        <is>
          <t>1*40</t>
        </is>
      </c>
      <c r="F577" s="46" t="inlineStr">
        <is>
          <t xml:space="preserve">نتس لاند </t>
        </is>
      </c>
      <c r="G577" s="46" t="inlineStr">
        <is>
          <t xml:space="preserve">بورسعيد </t>
        </is>
      </c>
      <c r="H577" s="46" t="inlineStr">
        <is>
          <t>330075/8</t>
        </is>
      </c>
      <c r="I577" s="46" t="inlineStr">
        <is>
          <t>س ل ب 5917</t>
        </is>
      </c>
      <c r="J577" s="46" t="inlineStr">
        <is>
          <t xml:space="preserve">محمد ابراهيم </t>
        </is>
      </c>
      <c r="K577" s="46" t="inlineStr">
        <is>
          <t xml:space="preserve">علاء علام </t>
        </is>
      </c>
      <c r="L577" s="47" t="n">
        <v>22000</v>
      </c>
      <c r="M577" s="47" t="n">
        <v>10100</v>
      </c>
      <c r="N577" s="47" t="n"/>
      <c r="O577" s="47" t="n">
        <v>200</v>
      </c>
      <c r="P577" s="47" t="n"/>
      <c r="Q577" s="47" t="n">
        <v>11700</v>
      </c>
      <c r="R577" s="43">
        <f>IF($B577="","",N($S577)-N($Q577))</f>
        <v/>
      </c>
      <c r="S577" s="43">
        <f>IF($B577="","",N($L577)+N($N577)+N($P577))</f>
        <v/>
      </c>
      <c r="T577" s="47" t="n"/>
      <c r="U577" s="47" t="n"/>
      <c r="V577" s="47" t="n"/>
      <c r="W577" s="47" t="n"/>
      <c r="X577" s="47" t="n"/>
      <c r="Y577" s="47" t="n"/>
      <c r="Z577" s="47" t="n"/>
      <c r="AA577" s="47" t="n"/>
      <c r="AB577" s="47" t="n"/>
      <c r="AC577" s="47" t="n"/>
      <c r="AD577" s="47" t="n"/>
      <c r="AE577" s="47" t="n"/>
      <c r="AF577" s="43">
        <f>IF($B577="","",SUM($T577:$AE577))</f>
        <v/>
      </c>
      <c r="AG577" s="43">
        <f>IF($B577="","",N($M577)-N($AF577))</f>
        <v/>
      </c>
      <c r="AH577" s="43">
        <f>IF($B577="","",N($L577)-N($AF577))</f>
        <v/>
      </c>
      <c r="AI577" s="149">
        <f>IF($B577="","",IF(N($L577)=0,"",(N($L577)-N($AF577))/N($L577)))</f>
        <v/>
      </c>
    </row>
    <row r="578">
      <c r="A578" s="39">
        <f>IF($B578="","",COUNTA($B$4:$B578))</f>
        <v/>
      </c>
      <c r="B578" s="40" t="n">
        <v>46091</v>
      </c>
      <c r="C578" s="41" t="n">
        <v>2278</v>
      </c>
      <c r="D578" s="41" t="inlineStr">
        <is>
          <t xml:space="preserve">عماد سعيد </t>
        </is>
      </c>
      <c r="E578" s="41" t="inlineStr">
        <is>
          <t>1*40</t>
        </is>
      </c>
      <c r="F578" s="41" t="inlineStr">
        <is>
          <t xml:space="preserve">نتس لاند </t>
        </is>
      </c>
      <c r="G578" s="41" t="inlineStr">
        <is>
          <t xml:space="preserve">بورسعيد </t>
        </is>
      </c>
      <c r="H578" s="41" t="inlineStr">
        <is>
          <t>540229/4</t>
        </is>
      </c>
      <c r="I578" s="41" t="inlineStr">
        <is>
          <t>س ن ر 8979</t>
        </is>
      </c>
      <c r="J578" s="41" t="inlineStr">
        <is>
          <t xml:space="preserve">عماد سعيد </t>
        </is>
      </c>
      <c r="K578" s="41" t="inlineStr">
        <is>
          <t xml:space="preserve">عماد سعيد </t>
        </is>
      </c>
      <c r="L578" s="42" t="n">
        <v>22000</v>
      </c>
      <c r="M578" s="42" t="n">
        <v>10100</v>
      </c>
      <c r="N578" s="42" t="n"/>
      <c r="O578" s="42" t="n">
        <v>200</v>
      </c>
      <c r="P578" s="42" t="n"/>
      <c r="Q578" s="42" t="n">
        <v>11700</v>
      </c>
      <c r="R578" s="43">
        <f>IF($B578="","",N($S578)-N($Q578))</f>
        <v/>
      </c>
      <c r="S578" s="43">
        <f>IF($B578="","",N($L578)+N($N578)+N($P578))</f>
        <v/>
      </c>
      <c r="T578" s="42" t="n"/>
      <c r="U578" s="42" t="n"/>
      <c r="V578" s="42" t="n"/>
      <c r="W578" s="42" t="n"/>
      <c r="X578" s="42" t="n"/>
      <c r="Y578" s="42" t="n"/>
      <c r="Z578" s="42" t="n"/>
      <c r="AA578" s="42" t="n"/>
      <c r="AB578" s="42" t="n"/>
      <c r="AC578" s="42" t="n"/>
      <c r="AD578" s="42" t="n"/>
      <c r="AE578" s="42" t="n"/>
      <c r="AF578" s="43">
        <f>IF($B578="","",SUM($T578:$AE578))</f>
        <v/>
      </c>
      <c r="AG578" s="43">
        <f>IF($B578="","",N($M578)-N($AF578))</f>
        <v/>
      </c>
      <c r="AH578" s="43">
        <f>IF($B578="","",N($L578)-N($AF578))</f>
        <v/>
      </c>
      <c r="AI578" s="149">
        <f>IF($B578="","",IF(N($L578)=0,"",(N($L578)-N($AF578))/N($L578)))</f>
        <v/>
      </c>
    </row>
    <row r="579">
      <c r="A579" s="39">
        <f>IF($B579="","",COUNTA($B$4:$B579))</f>
        <v/>
      </c>
      <c r="B579" s="45" t="n">
        <v>46091</v>
      </c>
      <c r="C579" s="46" t="n">
        <v>2279</v>
      </c>
      <c r="D579" s="46" t="inlineStr">
        <is>
          <t xml:space="preserve">محمد يحى </t>
        </is>
      </c>
      <c r="E579" s="46" t="inlineStr">
        <is>
          <t>1*40</t>
        </is>
      </c>
      <c r="F579" s="46" t="inlineStr">
        <is>
          <t xml:space="preserve">نتس لاند </t>
        </is>
      </c>
      <c r="G579" s="46" t="inlineStr">
        <is>
          <t xml:space="preserve">بورسعيد </t>
        </is>
      </c>
      <c r="H579" s="46" t="inlineStr">
        <is>
          <t>668460/6</t>
        </is>
      </c>
      <c r="I579" s="46" t="inlineStr">
        <is>
          <t>ط ف ر 1474</t>
        </is>
      </c>
      <c r="J579" s="46" t="inlineStr">
        <is>
          <t xml:space="preserve">جمال على </t>
        </is>
      </c>
      <c r="K579" s="46" t="inlineStr">
        <is>
          <t xml:space="preserve">كريم خليف </t>
        </is>
      </c>
      <c r="L579" s="47" t="n">
        <v>20000</v>
      </c>
      <c r="M579" s="47" t="n">
        <v>10100</v>
      </c>
      <c r="N579" s="47" t="n"/>
      <c r="O579" s="47" t="n">
        <v>200</v>
      </c>
      <c r="P579" s="47" t="n"/>
      <c r="Q579" s="47" t="n">
        <v>9700</v>
      </c>
      <c r="R579" s="43">
        <f>IF($B579="","",N($S579)-N($Q579))</f>
        <v/>
      </c>
      <c r="S579" s="43">
        <f>IF($B579="","",N($L579)+N($N579)+N($P579))</f>
        <v/>
      </c>
      <c r="T579" s="47" t="n"/>
      <c r="U579" s="47" t="n"/>
      <c r="V579" s="47" t="n"/>
      <c r="W579" s="47" t="n"/>
      <c r="X579" s="47" t="n"/>
      <c r="Y579" s="47" t="n"/>
      <c r="Z579" s="47" t="n"/>
      <c r="AA579" s="47" t="n"/>
      <c r="AB579" s="47" t="n"/>
      <c r="AC579" s="47" t="n"/>
      <c r="AD579" s="47" t="n"/>
      <c r="AE579" s="47" t="n"/>
      <c r="AF579" s="43">
        <f>IF($B579="","",SUM($T579:$AE579))</f>
        <v/>
      </c>
      <c r="AG579" s="43">
        <f>IF($B579="","",N($M579)-N($AF579))</f>
        <v/>
      </c>
      <c r="AH579" s="43">
        <f>IF($B579="","",N($L579)-N($AF579))</f>
        <v/>
      </c>
      <c r="AI579" s="149">
        <f>IF($B579="","",IF(N($L579)=0,"",(N($L579)-N($AF579))/N($L579)))</f>
        <v/>
      </c>
    </row>
    <row r="580">
      <c r="A580" s="39">
        <f>IF($B580="","",COUNTA($B$4:$B580))</f>
        <v/>
      </c>
      <c r="B580" s="40" t="n">
        <v>46091</v>
      </c>
      <c r="C580" s="41" t="n">
        <v>2280</v>
      </c>
      <c r="D580" s="41" t="inlineStr">
        <is>
          <t>احمد عبدو خ</t>
        </is>
      </c>
      <c r="E580" s="41" t="inlineStr">
        <is>
          <t>1*40</t>
        </is>
      </c>
      <c r="F580" s="41" t="inlineStr">
        <is>
          <t xml:space="preserve">نتس لاند </t>
        </is>
      </c>
      <c r="G580" s="41" t="inlineStr">
        <is>
          <t xml:space="preserve">بورسعيد </t>
        </is>
      </c>
      <c r="H580" s="41" t="inlineStr">
        <is>
          <t>295211/0</t>
        </is>
      </c>
      <c r="I580" s="41" t="inlineStr">
        <is>
          <t>ع ر ب 1573</t>
        </is>
      </c>
      <c r="J580" s="41" t="inlineStr">
        <is>
          <t xml:space="preserve">محمد السيد </t>
        </is>
      </c>
      <c r="K580" s="41" t="inlineStr">
        <is>
          <t xml:space="preserve">حمو مرزوق </t>
        </is>
      </c>
      <c r="L580" s="42" t="n">
        <v>22000</v>
      </c>
      <c r="M580" s="42" t="n">
        <v>10100</v>
      </c>
      <c r="N580" s="42" t="n"/>
      <c r="O580" s="42" t="n">
        <v>200</v>
      </c>
      <c r="P580" s="42" t="n"/>
      <c r="Q580" s="42" t="n">
        <v>11700</v>
      </c>
      <c r="R580" s="43">
        <f>IF($B580="","",N($S580)-N($Q580))</f>
        <v/>
      </c>
      <c r="S580" s="43">
        <f>IF($B580="","",N($L580)+N($N580)+N($P580))</f>
        <v/>
      </c>
      <c r="T580" s="42" t="n"/>
      <c r="U580" s="42" t="n"/>
      <c r="V580" s="42" t="n"/>
      <c r="W580" s="42" t="n"/>
      <c r="X580" s="42" t="n"/>
      <c r="Y580" s="42" t="n"/>
      <c r="Z580" s="42" t="n"/>
      <c r="AA580" s="42" t="n"/>
      <c r="AB580" s="42" t="n"/>
      <c r="AC580" s="42" t="n"/>
      <c r="AD580" s="42" t="n"/>
      <c r="AE580" s="42" t="n"/>
      <c r="AF580" s="43">
        <f>IF($B580="","",SUM($T580:$AE580))</f>
        <v/>
      </c>
      <c r="AG580" s="43">
        <f>IF($B580="","",N($M580)-N($AF580))</f>
        <v/>
      </c>
      <c r="AH580" s="43">
        <f>IF($B580="","",N($L580)-N($AF580))</f>
        <v/>
      </c>
      <c r="AI580" s="149">
        <f>IF($B580="","",IF(N($L580)=0,"",(N($L580)-N($AF580))/N($L580)))</f>
        <v/>
      </c>
    </row>
    <row r="581">
      <c r="A581" s="39">
        <f>IF($B581="","",COUNTA($B$4:$B581))</f>
        <v/>
      </c>
      <c r="B581" s="45" t="n">
        <v>46091</v>
      </c>
      <c r="C581" s="46" t="n">
        <v>2281</v>
      </c>
      <c r="D581" s="46" t="inlineStr">
        <is>
          <t>الانصارى خ</t>
        </is>
      </c>
      <c r="E581" s="46" t="inlineStr">
        <is>
          <t>1*40</t>
        </is>
      </c>
      <c r="F581" s="46" t="inlineStr">
        <is>
          <t xml:space="preserve">نتس لاند </t>
        </is>
      </c>
      <c r="G581" s="46" t="inlineStr">
        <is>
          <t xml:space="preserve">بورسعيد </t>
        </is>
      </c>
      <c r="H581" s="46" t="inlineStr">
        <is>
          <t>001481/8</t>
        </is>
      </c>
      <c r="I581" s="46" t="inlineStr">
        <is>
          <t>ب ص ا 2574</t>
        </is>
      </c>
      <c r="J581" s="46" t="inlineStr">
        <is>
          <t xml:space="preserve">احمد عادل </t>
        </is>
      </c>
      <c r="K581" s="46" t="inlineStr">
        <is>
          <t xml:space="preserve">احمد خليف </t>
        </is>
      </c>
      <c r="L581" s="47" t="n">
        <v>20000</v>
      </c>
      <c r="M581" s="47" t="n">
        <v>10100</v>
      </c>
      <c r="N581" s="47" t="n"/>
      <c r="O581" s="47" t="n">
        <v>200</v>
      </c>
      <c r="P581" s="47" t="n"/>
      <c r="Q581" s="47" t="n">
        <v>9700</v>
      </c>
      <c r="R581" s="43">
        <f>IF($B581="","",N($S581)-N($Q581))</f>
        <v/>
      </c>
      <c r="S581" s="43">
        <f>IF($B581="","",N($L581)+N($N581)+N($P581))</f>
        <v/>
      </c>
      <c r="T581" s="47" t="n"/>
      <c r="U581" s="47" t="n"/>
      <c r="V581" s="47" t="n"/>
      <c r="W581" s="47" t="n"/>
      <c r="X581" s="47" t="n"/>
      <c r="Y581" s="47" t="n"/>
      <c r="Z581" s="47" t="n"/>
      <c r="AA581" s="47" t="n"/>
      <c r="AB581" s="47" t="n"/>
      <c r="AC581" s="47" t="n"/>
      <c r="AD581" s="47" t="n"/>
      <c r="AE581" s="47" t="n"/>
      <c r="AF581" s="43">
        <f>IF($B581="","",SUM($T581:$AE581))</f>
        <v/>
      </c>
      <c r="AG581" s="43">
        <f>IF($B581="","",N($M581)-N($AF581))</f>
        <v/>
      </c>
      <c r="AH581" s="43">
        <f>IF($B581="","",N($L581)-N($AF581))</f>
        <v/>
      </c>
      <c r="AI581" s="149">
        <f>IF($B581="","",IF(N($L581)=0,"",(N($L581)-N($AF581))/N($L581)))</f>
        <v/>
      </c>
    </row>
    <row r="582">
      <c r="A582" s="39">
        <f>IF($B582="","",COUNTA($B$4:$B582))</f>
        <v/>
      </c>
      <c r="B582" s="40" t="n">
        <v>46091</v>
      </c>
      <c r="C582" s="41" t="n">
        <v>2282</v>
      </c>
      <c r="D582" s="41" t="inlineStr">
        <is>
          <t xml:space="preserve">محمد سعيد </t>
        </is>
      </c>
      <c r="E582" s="41" t="inlineStr">
        <is>
          <t>1*40</t>
        </is>
      </c>
      <c r="F582" s="41" t="inlineStr">
        <is>
          <t xml:space="preserve">ماتيرا </t>
        </is>
      </c>
      <c r="G582" s="41" t="inlineStr">
        <is>
          <t xml:space="preserve">العاشر </t>
        </is>
      </c>
      <c r="H582" s="41" t="inlineStr">
        <is>
          <t>522560/1</t>
        </is>
      </c>
      <c r="I582" s="41" t="inlineStr">
        <is>
          <t>س ف ب 4187</t>
        </is>
      </c>
      <c r="J582" s="41" t="inlineStr">
        <is>
          <t xml:space="preserve">نور محمد </t>
        </is>
      </c>
      <c r="K582" s="41" t="inlineStr">
        <is>
          <t xml:space="preserve">حمو البيبى </t>
        </is>
      </c>
      <c r="L582" s="42" t="n">
        <v>16000</v>
      </c>
      <c r="M582" s="42" t="n">
        <v>8600</v>
      </c>
      <c r="N582" s="42" t="n"/>
      <c r="O582" s="42" t="n">
        <v>200</v>
      </c>
      <c r="P582" s="42" t="n"/>
      <c r="Q582" s="42" t="n">
        <v>7200</v>
      </c>
      <c r="R582" s="43">
        <f>IF($B582="","",N($S582)-N($Q582))</f>
        <v/>
      </c>
      <c r="S582" s="43">
        <f>IF($B582="","",N($L582)+N($N582)+N($P582))</f>
        <v/>
      </c>
      <c r="T582" s="42" t="n"/>
      <c r="U582" s="42" t="n"/>
      <c r="V582" s="42" t="n"/>
      <c r="W582" s="42" t="n"/>
      <c r="X582" s="42" t="n"/>
      <c r="Y582" s="42" t="n"/>
      <c r="Z582" s="42" t="n"/>
      <c r="AA582" s="42" t="n"/>
      <c r="AB582" s="42" t="n"/>
      <c r="AC582" s="42" t="n"/>
      <c r="AD582" s="42" t="n"/>
      <c r="AE582" s="42" t="n"/>
      <c r="AF582" s="43">
        <f>IF($B582="","",SUM($T582:$AE582))</f>
        <v/>
      </c>
      <c r="AG582" s="43">
        <f>IF($B582="","",N($M582)-N($AF582))</f>
        <v/>
      </c>
      <c r="AH582" s="43">
        <f>IF($B582="","",N($L582)-N($AF582))</f>
        <v/>
      </c>
      <c r="AI582" s="149">
        <f>IF($B582="","",IF(N($L582)=0,"",(N($L582)-N($AF582))/N($L582)))</f>
        <v/>
      </c>
    </row>
    <row r="583">
      <c r="A583" s="39">
        <f>IF($B583="","",COUNTA($B$4:$B583))</f>
        <v/>
      </c>
      <c r="B583" s="45" t="n">
        <v>46092</v>
      </c>
      <c r="C583" s="46" t="n">
        <v>2206</v>
      </c>
      <c r="D583" s="46" t="inlineStr">
        <is>
          <t>الوردانى</t>
        </is>
      </c>
      <c r="E583" s="46" t="inlineStr">
        <is>
          <t>1*40 ث</t>
        </is>
      </c>
      <c r="F583" s="46" t="inlineStr">
        <is>
          <t xml:space="preserve">الفيحاء </t>
        </is>
      </c>
      <c r="G583" s="46" t="inlineStr">
        <is>
          <t xml:space="preserve">السادات </t>
        </is>
      </c>
      <c r="H583" s="46" t="inlineStr">
        <is>
          <t>653043/6</t>
        </is>
      </c>
      <c r="I583" s="46" t="inlineStr">
        <is>
          <t>س ع ه 2426</t>
        </is>
      </c>
      <c r="J583" s="46" t="inlineStr">
        <is>
          <t xml:space="preserve">اسلام الوردانى </t>
        </is>
      </c>
      <c r="K583" s="46" t="inlineStr">
        <is>
          <t xml:space="preserve">الوردانى </t>
        </is>
      </c>
      <c r="L583" s="47" t="n">
        <v>14000</v>
      </c>
      <c r="M583" s="47" t="n">
        <v>10100</v>
      </c>
      <c r="N583" s="47" t="n"/>
      <c r="O583" s="47" t="n">
        <v>200</v>
      </c>
      <c r="P583" s="47" t="n"/>
      <c r="Q583" s="47" t="n">
        <v>3700</v>
      </c>
      <c r="R583" s="43">
        <f>IF($B583="","",N($S583)-N($Q583))</f>
        <v/>
      </c>
      <c r="S583" s="43">
        <f>IF($B583="","",N($L583)+N($N583)+N($P583))</f>
        <v/>
      </c>
      <c r="T583" s="47" t="n"/>
      <c r="U583" s="47" t="n"/>
      <c r="V583" s="47" t="n"/>
      <c r="W583" s="47" t="n"/>
      <c r="X583" s="47" t="n"/>
      <c r="Y583" s="47" t="n"/>
      <c r="Z583" s="47" t="n"/>
      <c r="AA583" s="47" t="n"/>
      <c r="AB583" s="47" t="n"/>
      <c r="AC583" s="47" t="n"/>
      <c r="AD583" s="47" t="n"/>
      <c r="AE583" s="47" t="n"/>
      <c r="AF583" s="43">
        <f>IF($B583="","",SUM($T583:$AE583))</f>
        <v/>
      </c>
      <c r="AG583" s="43">
        <f>IF($B583="","",N($M583)-N($AF583))</f>
        <v/>
      </c>
      <c r="AH583" s="43">
        <f>IF($B583="","",N($L583)-N($AF583))</f>
        <v/>
      </c>
      <c r="AI583" s="149">
        <f>IF($B583="","",IF(N($L583)=0,"",(N($L583)-N($AF583))/N($L583)))</f>
        <v/>
      </c>
    </row>
    <row r="584">
      <c r="A584" s="39">
        <f>IF($B584="","",COUNTA($B$4:$B584))</f>
        <v/>
      </c>
      <c r="B584" s="40" t="n">
        <v>46092</v>
      </c>
      <c r="C584" s="41" t="n">
        <v>2207</v>
      </c>
      <c r="D584" s="41" t="inlineStr">
        <is>
          <t>احمد عبدو خ</t>
        </is>
      </c>
      <c r="E584" s="41" t="inlineStr">
        <is>
          <t>2*20</t>
        </is>
      </c>
      <c r="F584" s="41" t="n"/>
      <c r="G584" s="41" t="inlineStr">
        <is>
          <t>بنى سويف</t>
        </is>
      </c>
      <c r="H584" s="41" t="inlineStr">
        <is>
          <t>39702/4-103629/3</t>
        </is>
      </c>
      <c r="I584" s="41" t="inlineStr">
        <is>
          <t>س ر ا 6671</t>
        </is>
      </c>
      <c r="J584" s="41" t="inlineStr">
        <is>
          <t xml:space="preserve">السيد بدوى </t>
        </is>
      </c>
      <c r="K584" s="41" t="inlineStr">
        <is>
          <t xml:space="preserve">حمو مرزوق </t>
        </is>
      </c>
      <c r="L584" s="42" t="n">
        <v>25000</v>
      </c>
      <c r="M584" s="42" t="n">
        <v>14100</v>
      </c>
      <c r="N584" s="42" t="n"/>
      <c r="O584" s="42" t="n">
        <v>200</v>
      </c>
      <c r="P584" s="42" t="n"/>
      <c r="Q584" s="42" t="n">
        <v>10700</v>
      </c>
      <c r="R584" s="43">
        <f>IF($B584="","",N($S584)-N($Q584))</f>
        <v/>
      </c>
      <c r="S584" s="43">
        <f>IF($B584="","",N($L584)+N($N584)+N($P584))</f>
        <v/>
      </c>
      <c r="T584" s="42" t="n"/>
      <c r="U584" s="42" t="n"/>
      <c r="V584" s="42" t="n"/>
      <c r="W584" s="42" t="n"/>
      <c r="X584" s="42" t="n"/>
      <c r="Y584" s="42" t="n"/>
      <c r="Z584" s="42" t="n"/>
      <c r="AA584" s="42" t="n"/>
      <c r="AB584" s="42" t="n"/>
      <c r="AC584" s="42" t="n"/>
      <c r="AD584" s="42" t="n"/>
      <c r="AE584" s="42" t="n"/>
      <c r="AF584" s="43">
        <f>IF($B584="","",SUM($T584:$AE584))</f>
        <v/>
      </c>
      <c r="AG584" s="43">
        <f>IF($B584="","",N($M584)-N($AF584))</f>
        <v/>
      </c>
      <c r="AH584" s="43">
        <f>IF($B584="","",N($L584)-N($AF584))</f>
        <v/>
      </c>
      <c r="AI584" s="149">
        <f>IF($B584="","",IF(N($L584)=0,"",(N($L584)-N($AF584))/N($L584)))</f>
        <v/>
      </c>
    </row>
    <row r="585">
      <c r="A585" s="39">
        <f>IF($B585="","",COUNTA($B$4:$B585))</f>
        <v/>
      </c>
      <c r="B585" s="45" t="n">
        <v>46092</v>
      </c>
      <c r="C585" s="46" t="n">
        <v>2208</v>
      </c>
      <c r="D585" s="46" t="inlineStr">
        <is>
          <t>احمد عبدو خ</t>
        </is>
      </c>
      <c r="E585" s="46" t="inlineStr">
        <is>
          <t>2*20</t>
        </is>
      </c>
      <c r="F585" s="46" t="inlineStr">
        <is>
          <t>اكما</t>
        </is>
      </c>
      <c r="G585" s="46" t="inlineStr">
        <is>
          <t>بنى سويف</t>
        </is>
      </c>
      <c r="H585" s="46" t="inlineStr">
        <is>
          <t>046925/0-366183/1</t>
        </is>
      </c>
      <c r="I585" s="46" t="inlineStr">
        <is>
          <t>ق ف ر 7381</t>
        </is>
      </c>
      <c r="J585" s="46" t="inlineStr">
        <is>
          <t>محمد الجوهرى</t>
        </is>
      </c>
      <c r="K585" s="46" t="inlineStr">
        <is>
          <t xml:space="preserve">سمير بركة </t>
        </is>
      </c>
      <c r="L585" s="47" t="n">
        <v>25000</v>
      </c>
      <c r="M585" s="47" t="n">
        <v>14100</v>
      </c>
      <c r="N585" s="47" t="n"/>
      <c r="O585" s="47" t="n">
        <v>200</v>
      </c>
      <c r="P585" s="47" t="n"/>
      <c r="Q585" s="47" t="n">
        <v>10700</v>
      </c>
      <c r="R585" s="43">
        <f>IF($B585="","",N($S585)-N($Q585))</f>
        <v/>
      </c>
      <c r="S585" s="43">
        <f>IF($B585="","",N($L585)+N($N585)+N($P585))</f>
        <v/>
      </c>
      <c r="T585" s="47" t="n"/>
      <c r="U585" s="47" t="n"/>
      <c r="V585" s="47" t="n"/>
      <c r="W585" s="47" t="n"/>
      <c r="X585" s="47" t="n"/>
      <c r="Y585" s="47" t="n"/>
      <c r="Z585" s="47" t="n"/>
      <c r="AA585" s="47" t="n"/>
      <c r="AB585" s="47" t="n"/>
      <c r="AC585" s="47" t="n"/>
      <c r="AD585" s="47" t="n"/>
      <c r="AE585" s="47" t="n"/>
      <c r="AF585" s="43">
        <f>IF($B585="","",SUM($T585:$AE585))</f>
        <v/>
      </c>
      <c r="AG585" s="43">
        <f>IF($B585="","",N($M585)-N($AF585))</f>
        <v/>
      </c>
      <c r="AH585" s="43">
        <f>IF($B585="","",N($L585)-N($AF585))</f>
        <v/>
      </c>
      <c r="AI585" s="149">
        <f>IF($B585="","",IF(N($L585)=0,"",(N($L585)-N($AF585))/N($L585)))</f>
        <v/>
      </c>
    </row>
    <row r="586">
      <c r="A586" s="39">
        <f>IF($B586="","",COUNTA($B$4:$B586))</f>
        <v/>
      </c>
      <c r="B586" s="40" t="n">
        <v>46092</v>
      </c>
      <c r="C586" s="41" t="n">
        <v>2209</v>
      </c>
      <c r="D586" s="41" t="inlineStr">
        <is>
          <t>الشريف خ</t>
        </is>
      </c>
      <c r="E586" s="41" t="inlineStr">
        <is>
          <t>2*20</t>
        </is>
      </c>
      <c r="F586" s="41" t="inlineStr">
        <is>
          <t>اكما</t>
        </is>
      </c>
      <c r="G586" s="41" t="inlineStr">
        <is>
          <t>بنى سويف</t>
        </is>
      </c>
      <c r="H586" s="41" t="inlineStr">
        <is>
          <t>23478/5-235668/1</t>
        </is>
      </c>
      <c r="I586" s="41" t="inlineStr">
        <is>
          <t>ص ع  ا 7825</t>
        </is>
      </c>
      <c r="J586" s="41" t="inlineStr">
        <is>
          <t xml:space="preserve">محمد محمد عبد العزيز </t>
        </is>
      </c>
      <c r="K586" s="41" t="inlineStr">
        <is>
          <t xml:space="preserve">رامى الميت </t>
        </is>
      </c>
      <c r="L586" s="42" t="n">
        <v>25000</v>
      </c>
      <c r="M586" s="42" t="n">
        <v>14100</v>
      </c>
      <c r="N586" s="42" t="n"/>
      <c r="O586" s="42" t="n">
        <v>200</v>
      </c>
      <c r="P586" s="42" t="n"/>
      <c r="Q586" s="42" t="n">
        <v>10700</v>
      </c>
      <c r="R586" s="43">
        <f>IF($B586="","",N($S586)-N($Q586))</f>
        <v/>
      </c>
      <c r="S586" s="43">
        <f>IF($B586="","",N($L586)+N($N586)+N($P586))</f>
        <v/>
      </c>
      <c r="T586" s="42" t="n"/>
      <c r="U586" s="42" t="n"/>
      <c r="V586" s="42" t="n"/>
      <c r="W586" s="42" t="n"/>
      <c r="X586" s="42" t="n"/>
      <c r="Y586" s="42" t="n"/>
      <c r="Z586" s="42" t="n"/>
      <c r="AA586" s="42" t="n"/>
      <c r="AB586" s="42" t="n"/>
      <c r="AC586" s="42" t="n"/>
      <c r="AD586" s="42" t="n"/>
      <c r="AE586" s="42" t="n"/>
      <c r="AF586" s="43">
        <f>IF($B586="","",SUM($T586:$AE586))</f>
        <v/>
      </c>
      <c r="AG586" s="43">
        <f>IF($B586="","",N($M586)-N($AF586))</f>
        <v/>
      </c>
      <c r="AH586" s="43">
        <f>IF($B586="","",N($L586)-N($AF586))</f>
        <v/>
      </c>
      <c r="AI586" s="149">
        <f>IF($B586="","",IF(N($L586)=0,"",(N($L586)-N($AF586))/N($L586)))</f>
        <v/>
      </c>
    </row>
    <row r="587">
      <c r="A587" s="39">
        <f>IF($B587="","",COUNTA($B$4:$B587))</f>
        <v/>
      </c>
      <c r="B587" s="45" t="n">
        <v>46092</v>
      </c>
      <c r="C587" s="46" t="n">
        <v>2210</v>
      </c>
      <c r="D587" s="46" t="inlineStr">
        <is>
          <t>احمد سونة</t>
        </is>
      </c>
      <c r="E587" s="46" t="inlineStr">
        <is>
          <t>2*20</t>
        </is>
      </c>
      <c r="F587" s="46" t="inlineStr">
        <is>
          <t>اكما</t>
        </is>
      </c>
      <c r="G587" s="46" t="inlineStr">
        <is>
          <t>بنى سويف</t>
        </is>
      </c>
      <c r="H587" s="46" t="inlineStr">
        <is>
          <t>171420/9-969581/5</t>
        </is>
      </c>
      <c r="I587" s="46" t="inlineStr">
        <is>
          <t>ب د ن 2361</t>
        </is>
      </c>
      <c r="J587" s="46" t="inlineStr">
        <is>
          <t xml:space="preserve">سمير حسنى </t>
        </is>
      </c>
      <c r="K587" s="46" t="inlineStr">
        <is>
          <t xml:space="preserve">احمد عباس </t>
        </is>
      </c>
      <c r="L587" s="47" t="n">
        <v>25000</v>
      </c>
      <c r="M587" s="47" t="n">
        <v>14100</v>
      </c>
      <c r="N587" s="47" t="n"/>
      <c r="O587" s="47" t="n">
        <v>200</v>
      </c>
      <c r="P587" s="47" t="n"/>
      <c r="Q587" s="47" t="n">
        <v>10700</v>
      </c>
      <c r="R587" s="43">
        <f>IF($B587="","",N($S587)-N($Q587))</f>
        <v/>
      </c>
      <c r="S587" s="43">
        <f>IF($B587="","",N($L587)+N($N587)+N($P587))</f>
        <v/>
      </c>
      <c r="T587" s="47" t="n"/>
      <c r="U587" s="47" t="n"/>
      <c r="V587" s="47" t="n"/>
      <c r="W587" s="47" t="n"/>
      <c r="X587" s="47" t="n"/>
      <c r="Y587" s="47" t="n"/>
      <c r="Z587" s="47" t="n"/>
      <c r="AA587" s="47" t="n"/>
      <c r="AB587" s="47" t="n"/>
      <c r="AC587" s="47" t="n"/>
      <c r="AD587" s="47" t="n"/>
      <c r="AE587" s="47" t="n"/>
      <c r="AF587" s="43">
        <f>IF($B587="","",SUM($T587:$AE587))</f>
        <v/>
      </c>
      <c r="AG587" s="43">
        <f>IF($B587="","",N($M587)-N($AF587))</f>
        <v/>
      </c>
      <c r="AH587" s="43">
        <f>IF($B587="","",N($L587)-N($AF587))</f>
        <v/>
      </c>
      <c r="AI587" s="149">
        <f>IF($B587="","",IF(N($L587)=0,"",(N($L587)-N($AF587))/N($L587)))</f>
        <v/>
      </c>
    </row>
    <row r="588">
      <c r="A588" s="39">
        <f>IF($B588="","",COUNTA($B$4:$B588))</f>
        <v/>
      </c>
      <c r="B588" s="40" t="n">
        <v>46092</v>
      </c>
      <c r="C588" s="41" t="n">
        <v>2211</v>
      </c>
      <c r="D588" s="41" t="inlineStr">
        <is>
          <t>الشريف خ</t>
        </is>
      </c>
      <c r="E588" s="41" t="inlineStr">
        <is>
          <t>2*20</t>
        </is>
      </c>
      <c r="F588" s="41" t="inlineStr">
        <is>
          <t>اكما</t>
        </is>
      </c>
      <c r="G588" s="41" t="inlineStr">
        <is>
          <t>بنى سويف</t>
        </is>
      </c>
      <c r="H588" s="41" t="inlineStr">
        <is>
          <t>126401/9-280870/7</t>
        </is>
      </c>
      <c r="I588" s="41" t="inlineStr">
        <is>
          <t>ب ب ا 4936</t>
        </is>
      </c>
      <c r="J588" s="41" t="inlineStr">
        <is>
          <t xml:space="preserve">دياب ياسين </t>
        </is>
      </c>
      <c r="K588" s="41" t="inlineStr">
        <is>
          <t xml:space="preserve">الميت </t>
        </is>
      </c>
      <c r="L588" s="42" t="n">
        <v>25000</v>
      </c>
      <c r="M588" s="42" t="n">
        <v>14100</v>
      </c>
      <c r="N588" s="42" t="n"/>
      <c r="O588" s="42" t="n">
        <v>200</v>
      </c>
      <c r="P588" s="42" t="n"/>
      <c r="Q588" s="42" t="n">
        <v>10700</v>
      </c>
      <c r="R588" s="43">
        <f>IF($B588="","",N($S588)-N($Q588))</f>
        <v/>
      </c>
      <c r="S588" s="43">
        <f>IF($B588="","",N($L588)+N($N588)+N($P588))</f>
        <v/>
      </c>
      <c r="T588" s="42" t="n"/>
      <c r="U588" s="42" t="n"/>
      <c r="V588" s="42" t="n"/>
      <c r="W588" s="42" t="n"/>
      <c r="X588" s="42" t="n"/>
      <c r="Y588" s="42" t="n"/>
      <c r="Z588" s="42" t="n"/>
      <c r="AA588" s="42" t="n"/>
      <c r="AB588" s="42" t="n"/>
      <c r="AC588" s="42" t="n"/>
      <c r="AD588" s="42" t="n"/>
      <c r="AE588" s="42" t="n"/>
      <c r="AF588" s="43">
        <f>IF($B588="","",SUM($T588:$AE588))</f>
        <v/>
      </c>
      <c r="AG588" s="43">
        <f>IF($B588="","",N($M588)-N($AF588))</f>
        <v/>
      </c>
      <c r="AH588" s="43">
        <f>IF($B588="","",N($L588)-N($AF588))</f>
        <v/>
      </c>
      <c r="AI588" s="149">
        <f>IF($B588="","",IF(N($L588)=0,"",(N($L588)-N($AF588))/N($L588)))</f>
        <v/>
      </c>
    </row>
    <row r="589">
      <c r="A589" s="39">
        <f>IF($B589="","",COUNTA($B$4:$B589))</f>
        <v/>
      </c>
      <c r="B589" s="45" t="n">
        <v>46092</v>
      </c>
      <c r="C589" s="46" t="n">
        <v>2286</v>
      </c>
      <c r="D589" s="46" t="inlineStr">
        <is>
          <t>المكتب</t>
        </is>
      </c>
      <c r="E589" s="46" t="inlineStr">
        <is>
          <t>2*20</t>
        </is>
      </c>
      <c r="F589" s="46" t="inlineStr">
        <is>
          <t>اكما</t>
        </is>
      </c>
      <c r="G589" s="46" t="inlineStr">
        <is>
          <t>بنى سويف</t>
        </is>
      </c>
      <c r="H589" s="46" t="inlineStr">
        <is>
          <t>267506/4-24474/6</t>
        </is>
      </c>
      <c r="I589" s="46" t="inlineStr">
        <is>
          <t>س ع م 8737</t>
        </is>
      </c>
      <c r="J589" s="46" t="inlineStr">
        <is>
          <t xml:space="preserve">محمود بكر </t>
        </is>
      </c>
      <c r="K589" s="46" t="inlineStr">
        <is>
          <t>المكتب</t>
        </is>
      </c>
      <c r="L589" s="47" t="n">
        <v>25000</v>
      </c>
      <c r="M589" s="47" t="n">
        <v>10000</v>
      </c>
      <c r="N589" s="47" t="n"/>
      <c r="O589" s="47" t="n"/>
      <c r="P589" s="47" t="n"/>
      <c r="Q589" s="47" t="n">
        <v>15000</v>
      </c>
      <c r="R589" s="43">
        <f>IF($B589="","",N($S589)-N($Q589))</f>
        <v/>
      </c>
      <c r="S589" s="43">
        <f>IF($B589="","",N($L589)+N($N589)+N($P589))</f>
        <v/>
      </c>
      <c r="T589" s="47" t="n">
        <v>2000</v>
      </c>
      <c r="U589" s="47" t="n">
        <v>900</v>
      </c>
      <c r="V589" s="47" t="n"/>
      <c r="W589" s="47" t="n">
        <v>200</v>
      </c>
      <c r="X589" s="47" t="n">
        <v>180</v>
      </c>
      <c r="Y589" s="47" t="n">
        <v>60</v>
      </c>
      <c r="Z589" s="47" t="n"/>
      <c r="AA589" s="47" t="n"/>
      <c r="AB589" s="47" t="n"/>
      <c r="AC589" s="47" t="n"/>
      <c r="AD589" s="47" t="n"/>
      <c r="AE589" s="47" t="n">
        <v>6470</v>
      </c>
      <c r="AF589" s="43">
        <f>IF($B589="","",SUM($T589:$AE589))</f>
        <v/>
      </c>
      <c r="AG589" s="43">
        <f>IF($B589="","",N($M589)-N($AF589))</f>
        <v/>
      </c>
      <c r="AH589" s="43">
        <f>IF($B589="","",N($L589)-N($AF589))</f>
        <v/>
      </c>
      <c r="AI589" s="149">
        <f>IF($B589="","",IF(N($L589)=0,"",(N($L589)-N($AF589))/N($L589)))</f>
        <v/>
      </c>
    </row>
    <row r="590">
      <c r="A590" s="39">
        <f>IF($B590="","",COUNTA($B$4:$B590))</f>
        <v/>
      </c>
      <c r="B590" s="40" t="n">
        <v>46092</v>
      </c>
      <c r="C590" s="41" t="n">
        <v>2287</v>
      </c>
      <c r="D590" s="41" t="inlineStr">
        <is>
          <t>الشريف خ</t>
        </is>
      </c>
      <c r="E590" s="41" t="inlineStr">
        <is>
          <t>2*20</t>
        </is>
      </c>
      <c r="F590" s="41" t="inlineStr">
        <is>
          <t>اكما</t>
        </is>
      </c>
      <c r="G590" s="41" t="inlineStr">
        <is>
          <t>بنى سويف</t>
        </is>
      </c>
      <c r="H590" s="41" t="inlineStr">
        <is>
          <t>355023/1-327145/3</t>
        </is>
      </c>
      <c r="I590" s="41" t="inlineStr">
        <is>
          <t>ب س ا 5683</t>
        </is>
      </c>
      <c r="J590" s="41" t="inlineStr">
        <is>
          <t xml:space="preserve">محمد ابراهيم </t>
        </is>
      </c>
      <c r="K590" s="41" t="inlineStr">
        <is>
          <t>محمد حلمى</t>
        </is>
      </c>
      <c r="L590" s="42" t="n">
        <v>25000</v>
      </c>
      <c r="M590" s="42" t="n">
        <v>14100</v>
      </c>
      <c r="N590" s="42" t="n"/>
      <c r="O590" s="42" t="n">
        <v>200</v>
      </c>
      <c r="P590" s="42" t="n"/>
      <c r="Q590" s="42" t="n">
        <v>10700</v>
      </c>
      <c r="R590" s="43">
        <f>IF($B590="","",N($S590)-N($Q590))</f>
        <v/>
      </c>
      <c r="S590" s="43">
        <f>IF($B590="","",N($L590)+N($N590)+N($P590))</f>
        <v/>
      </c>
      <c r="T590" s="42" t="n"/>
      <c r="U590" s="42" t="n"/>
      <c r="V590" s="42" t="n"/>
      <c r="W590" s="42" t="n"/>
      <c r="X590" s="42" t="n"/>
      <c r="Y590" s="42" t="n"/>
      <c r="Z590" s="42" t="n"/>
      <c r="AA590" s="42" t="n"/>
      <c r="AB590" s="42" t="n"/>
      <c r="AC590" s="42" t="n"/>
      <c r="AD590" s="42" t="n"/>
      <c r="AE590" s="42" t="n"/>
      <c r="AF590" s="43">
        <f>IF($B590="","",SUM($T590:$AE590))</f>
        <v/>
      </c>
      <c r="AG590" s="43">
        <f>IF($B590="","",N($M590)-N($AF590))</f>
        <v/>
      </c>
      <c r="AH590" s="43">
        <f>IF($B590="","",N($L590)-N($AF590))</f>
        <v/>
      </c>
      <c r="AI590" s="149">
        <f>IF($B590="","",IF(N($L590)=0,"",(N($L590)-N($AF590))/N($L590)))</f>
        <v/>
      </c>
    </row>
    <row r="591">
      <c r="A591" s="39">
        <f>IF($B591="","",COUNTA($B$4:$B591))</f>
        <v/>
      </c>
      <c r="B591" s="45" t="n">
        <v>46092</v>
      </c>
      <c r="C591" s="46" t="n">
        <v>2285</v>
      </c>
      <c r="D591" s="46" t="inlineStr">
        <is>
          <t xml:space="preserve">البيبى </t>
        </is>
      </c>
      <c r="E591" s="46" t="inlineStr">
        <is>
          <t>2*20</t>
        </is>
      </c>
      <c r="F591" s="46" t="inlineStr">
        <is>
          <t>اكما</t>
        </is>
      </c>
      <c r="G591" s="46" t="inlineStr">
        <is>
          <t>بنى سويف</t>
        </is>
      </c>
      <c r="H591" s="46" t="inlineStr">
        <is>
          <t>218507/9-329197/4</t>
        </is>
      </c>
      <c r="I591" s="46" t="inlineStr">
        <is>
          <t>س ف ب 4187</t>
        </is>
      </c>
      <c r="J591" s="46" t="inlineStr">
        <is>
          <t xml:space="preserve">نور محمد </t>
        </is>
      </c>
      <c r="K591" s="46" t="inlineStr">
        <is>
          <t xml:space="preserve">حمو البيبى </t>
        </is>
      </c>
      <c r="L591" s="47" t="n">
        <v>25000</v>
      </c>
      <c r="M591" s="47" t="n">
        <v>14100</v>
      </c>
      <c r="N591" s="47" t="n"/>
      <c r="O591" s="47" t="n">
        <v>200</v>
      </c>
      <c r="P591" s="47" t="n"/>
      <c r="Q591" s="47" t="n">
        <v>10700</v>
      </c>
      <c r="R591" s="43">
        <f>IF($B591="","",N($S591)-N($Q591))</f>
        <v/>
      </c>
      <c r="S591" s="43">
        <f>IF($B591="","",N($L591)+N($N591)+N($P591))</f>
        <v/>
      </c>
      <c r="T591" s="47" t="n"/>
      <c r="U591" s="47" t="n"/>
      <c r="V591" s="47" t="n"/>
      <c r="W591" s="47" t="n"/>
      <c r="X591" s="47" t="n"/>
      <c r="Y591" s="47" t="n"/>
      <c r="Z591" s="47" t="n"/>
      <c r="AA591" s="47" t="n"/>
      <c r="AB591" s="47" t="n"/>
      <c r="AC591" s="47" t="n"/>
      <c r="AD591" s="47" t="n"/>
      <c r="AE591" s="47" t="n"/>
      <c r="AF591" s="43">
        <f>IF($B591="","",SUM($T591:$AE591))</f>
        <v/>
      </c>
      <c r="AG591" s="43">
        <f>IF($B591="","",N($M591)-N($AF591))</f>
        <v/>
      </c>
      <c r="AH591" s="43">
        <f>IF($B591="","",N($L591)-N($AF591))</f>
        <v/>
      </c>
      <c r="AI591" s="149">
        <f>IF($B591="","",IF(N($L591)=0,"",(N($L591)-N($AF591))/N($L591)))</f>
        <v/>
      </c>
    </row>
    <row r="592">
      <c r="A592" s="39">
        <f>IF($B592="","",COUNTA($B$4:$B592))</f>
        <v/>
      </c>
      <c r="B592" s="40" t="n">
        <v>46092</v>
      </c>
      <c r="C592" s="41" t="n">
        <v>2284</v>
      </c>
      <c r="D592" s="41" t="inlineStr">
        <is>
          <t>الجوهرى خ</t>
        </is>
      </c>
      <c r="E592" s="41" t="inlineStr">
        <is>
          <t>2*20</t>
        </is>
      </c>
      <c r="F592" s="41" t="inlineStr">
        <is>
          <t xml:space="preserve">اكما </t>
        </is>
      </c>
      <c r="G592" s="41" t="inlineStr">
        <is>
          <t>بنى سويف</t>
        </is>
      </c>
      <c r="H592" s="41" t="inlineStr">
        <is>
          <t>182276/0-316364/5</t>
        </is>
      </c>
      <c r="I592" s="41" t="inlineStr">
        <is>
          <t>ب د ن 5341</t>
        </is>
      </c>
      <c r="J592" s="41" t="inlineStr">
        <is>
          <t xml:space="preserve">ربيع الشحات </t>
        </is>
      </c>
      <c r="K592" s="41" t="inlineStr">
        <is>
          <t xml:space="preserve">ابو ادم </t>
        </is>
      </c>
      <c r="L592" s="42" t="n">
        <v>25000</v>
      </c>
      <c r="M592" s="42" t="n">
        <v>14100</v>
      </c>
      <c r="N592" s="42" t="n"/>
      <c r="O592" s="42" t="n">
        <v>200</v>
      </c>
      <c r="P592" s="42" t="n">
        <v>1500</v>
      </c>
      <c r="Q592" s="42" t="n">
        <v>12200</v>
      </c>
      <c r="R592" s="43">
        <f>IF($B592="","",N($S592)-N($Q592))</f>
        <v/>
      </c>
      <c r="S592" s="43">
        <f>IF($B592="","",N($L592)+N($N592)+N($P592))</f>
        <v/>
      </c>
      <c r="T592" s="42" t="n"/>
      <c r="U592" s="42" t="n"/>
      <c r="V592" s="42" t="n"/>
      <c r="W592" s="42" t="n"/>
      <c r="X592" s="42" t="n"/>
      <c r="Y592" s="42" t="n"/>
      <c r="Z592" s="42" t="n"/>
      <c r="AA592" s="42" t="n"/>
      <c r="AB592" s="42" t="n"/>
      <c r="AC592" s="42" t="n"/>
      <c r="AD592" s="42" t="n"/>
      <c r="AE592" s="42" t="n"/>
      <c r="AF592" s="43">
        <f>IF($B592="","",SUM($T592:$AE592))</f>
        <v/>
      </c>
      <c r="AG592" s="43">
        <f>IF($B592="","",N($M592)-N($AF592))</f>
        <v/>
      </c>
      <c r="AH592" s="43">
        <f>IF($B592="","",N($L592)-N($AF592))</f>
        <v/>
      </c>
      <c r="AI592" s="149">
        <f>IF($B592="","",IF(N($L592)=0,"",(N($L592)-N($AF592))/N($L592)))</f>
        <v/>
      </c>
    </row>
    <row r="593">
      <c r="A593" s="39">
        <f>IF($B593="","",COUNTA($B$4:$B593))</f>
        <v/>
      </c>
      <c r="B593" s="45" t="n">
        <v>46092</v>
      </c>
      <c r="C593" s="46" t="n">
        <v>2283</v>
      </c>
      <c r="D593" s="46" t="inlineStr">
        <is>
          <t xml:space="preserve">الجوهرى </t>
        </is>
      </c>
      <c r="E593" s="46" t="inlineStr">
        <is>
          <t>2*20</t>
        </is>
      </c>
      <c r="F593" s="46" t="inlineStr">
        <is>
          <t xml:space="preserve">اكما </t>
        </is>
      </c>
      <c r="G593" s="46" t="inlineStr">
        <is>
          <t>بنى سويف</t>
        </is>
      </c>
      <c r="H593" s="46" t="inlineStr">
        <is>
          <t>059905/9-078411/8</t>
        </is>
      </c>
      <c r="I593" s="46" t="inlineStr">
        <is>
          <t>ع ص ا 1989</t>
        </is>
      </c>
      <c r="J593" s="46" t="inlineStr">
        <is>
          <t xml:space="preserve">طاهر ابراهيم </t>
        </is>
      </c>
      <c r="K593" s="46" t="inlineStr">
        <is>
          <t xml:space="preserve">ابو ادم </t>
        </is>
      </c>
      <c r="L593" s="47" t="n">
        <v>25000</v>
      </c>
      <c r="M593" s="47" t="n">
        <v>14100</v>
      </c>
      <c r="N593" s="47" t="n"/>
      <c r="O593" s="47" t="n">
        <v>200</v>
      </c>
      <c r="P593" s="47" t="n">
        <v>1500</v>
      </c>
      <c r="Q593" s="47" t="n">
        <v>12200</v>
      </c>
      <c r="R593" s="43">
        <f>IF($B593="","",N($S593)-N($Q593))</f>
        <v/>
      </c>
      <c r="S593" s="43">
        <f>IF($B593="","",N($L593)+N($N593)+N($P593))</f>
        <v/>
      </c>
      <c r="T593" s="47" t="n"/>
      <c r="U593" s="47" t="n"/>
      <c r="V593" s="47" t="n"/>
      <c r="W593" s="47" t="n"/>
      <c r="X593" s="47" t="n"/>
      <c r="Y593" s="47" t="n"/>
      <c r="Z593" s="47" t="n"/>
      <c r="AA593" s="47" t="n"/>
      <c r="AB593" s="47" t="n"/>
      <c r="AC593" s="47" t="n"/>
      <c r="AD593" s="47" t="n"/>
      <c r="AE593" s="47" t="n"/>
      <c r="AF593" s="43">
        <f>IF($B593="","",SUM($T593:$AE593))</f>
        <v/>
      </c>
      <c r="AG593" s="43">
        <f>IF($B593="","",N($M593)-N($AF593))</f>
        <v/>
      </c>
      <c r="AH593" s="43">
        <f>IF($B593="","",N($L593)-N($AF593))</f>
        <v/>
      </c>
      <c r="AI593" s="149">
        <f>IF($B593="","",IF(N($L593)=0,"",(N($L593)-N($AF593))/N($L593)))</f>
        <v/>
      </c>
    </row>
    <row r="594">
      <c r="A594" s="39">
        <f>IF($B594="","",COUNTA($B$4:$B594))</f>
        <v/>
      </c>
      <c r="B594" s="40" t="n">
        <v>46092</v>
      </c>
      <c r="C594" s="41" t="n">
        <v>2094</v>
      </c>
      <c r="D594" s="41" t="inlineStr">
        <is>
          <t>احمد عبدو خ</t>
        </is>
      </c>
      <c r="E594" s="41" t="inlineStr">
        <is>
          <t>1*40 ث</t>
        </is>
      </c>
      <c r="F594" s="41" t="inlineStr">
        <is>
          <t xml:space="preserve">سوبر فروت </t>
        </is>
      </c>
      <c r="G594" s="41" t="inlineStr">
        <is>
          <t xml:space="preserve">النوبارية </t>
        </is>
      </c>
      <c r="H594" s="41" t="inlineStr">
        <is>
          <t>122338/9</t>
        </is>
      </c>
      <c r="I594" s="41" t="inlineStr">
        <is>
          <t>ع ر ب 1573</t>
        </is>
      </c>
      <c r="J594" s="41" t="inlineStr">
        <is>
          <t xml:space="preserve">محمد السيد </t>
        </is>
      </c>
      <c r="K594" s="41" t="inlineStr">
        <is>
          <t xml:space="preserve">حمو مرزوق </t>
        </is>
      </c>
      <c r="L594" s="42" t="n">
        <v>12500</v>
      </c>
      <c r="M594" s="42" t="n">
        <v>8100</v>
      </c>
      <c r="N594" s="42" t="n"/>
      <c r="O594" s="42" t="n">
        <v>200</v>
      </c>
      <c r="P594" s="42" t="n"/>
      <c r="Q594" s="42" t="n">
        <v>4200</v>
      </c>
      <c r="R594" s="43">
        <f>IF($B594="","",N($S594)-N($Q594))</f>
        <v/>
      </c>
      <c r="S594" s="43">
        <f>IF($B594="","",N($L594)+N($N594)+N($P594))</f>
        <v/>
      </c>
      <c r="T594" s="42" t="n"/>
      <c r="U594" s="42" t="n"/>
      <c r="V594" s="42" t="n"/>
      <c r="W594" s="42" t="n"/>
      <c r="X594" s="42" t="n"/>
      <c r="Y594" s="42" t="n"/>
      <c r="Z594" s="42" t="n"/>
      <c r="AA594" s="42" t="n"/>
      <c r="AB594" s="42" t="n"/>
      <c r="AC594" s="42" t="n"/>
      <c r="AD594" s="42" t="n"/>
      <c r="AE594" s="42" t="n"/>
      <c r="AF594" s="43">
        <f>IF($B594="","",SUM($T594:$AE594))</f>
        <v/>
      </c>
      <c r="AG594" s="43">
        <f>IF($B594="","",N($M594)-N($AF594))</f>
        <v/>
      </c>
      <c r="AH594" s="43">
        <f>IF($B594="","",N($L594)-N($AF594))</f>
        <v/>
      </c>
      <c r="AI594" s="149">
        <f>IF($B594="","",IF(N($L594)=0,"",(N($L594)-N($AF594))/N($L594)))</f>
        <v/>
      </c>
    </row>
    <row r="595">
      <c r="A595" s="39">
        <f>IF($B595="","",COUNTA($B$4:$B595))</f>
        <v/>
      </c>
      <c r="B595" s="45" t="n">
        <v>46092</v>
      </c>
      <c r="C595" s="46" t="n">
        <v>2095</v>
      </c>
      <c r="D595" s="46" t="inlineStr">
        <is>
          <t>كمال رزق خ</t>
        </is>
      </c>
      <c r="E595" s="46" t="inlineStr">
        <is>
          <t>1*40 ث</t>
        </is>
      </c>
      <c r="F595" s="46" t="inlineStr">
        <is>
          <t xml:space="preserve">سوبر فروت </t>
        </is>
      </c>
      <c r="G595" s="46" t="inlineStr">
        <is>
          <t xml:space="preserve">النوبارية </t>
        </is>
      </c>
      <c r="H595" s="46" t="inlineStr">
        <is>
          <t>935880/4</t>
        </is>
      </c>
      <c r="I595" s="46" t="inlineStr">
        <is>
          <t>س ن ر 8979</t>
        </is>
      </c>
      <c r="J595" s="46" t="inlineStr">
        <is>
          <t xml:space="preserve">عماد سعيد </t>
        </is>
      </c>
      <c r="K595" s="46" t="inlineStr">
        <is>
          <t xml:space="preserve">عماد سعيد </t>
        </is>
      </c>
      <c r="L595" s="47" t="n">
        <v>12500</v>
      </c>
      <c r="M595" s="47" t="n">
        <v>8100</v>
      </c>
      <c r="N595" s="47" t="n"/>
      <c r="O595" s="47" t="n">
        <v>200</v>
      </c>
      <c r="P595" s="47" t="n"/>
      <c r="Q595" s="47" t="n">
        <v>4200</v>
      </c>
      <c r="R595" s="43">
        <f>IF($B595="","",N($S595)-N($Q595))</f>
        <v/>
      </c>
      <c r="S595" s="43">
        <f>IF($B595="","",N($L595)+N($N595)+N($P595))</f>
        <v/>
      </c>
      <c r="T595" s="47" t="n"/>
      <c r="U595" s="47" t="n"/>
      <c r="V595" s="47" t="n"/>
      <c r="W595" s="47" t="n"/>
      <c r="X595" s="47" t="n"/>
      <c r="Y595" s="47" t="n"/>
      <c r="Z595" s="47" t="n"/>
      <c r="AA595" s="47" t="n"/>
      <c r="AB595" s="47" t="n"/>
      <c r="AC595" s="47" t="n"/>
      <c r="AD595" s="47" t="n"/>
      <c r="AE595" s="47" t="n"/>
      <c r="AF595" s="43">
        <f>IF($B595="","",SUM($T595:$AE595))</f>
        <v/>
      </c>
      <c r="AG595" s="43">
        <f>IF($B595="","",N($M595)-N($AF595))</f>
        <v/>
      </c>
      <c r="AH595" s="43">
        <f>IF($B595="","",N($L595)-N($AF595))</f>
        <v/>
      </c>
      <c r="AI595" s="149">
        <f>IF($B595="","",IF(N($L595)=0,"",(N($L595)-N($AF595))/N($L595)))</f>
        <v/>
      </c>
    </row>
    <row r="596">
      <c r="A596" s="39">
        <f>IF($B596="","",COUNTA($B$4:$B596))</f>
        <v/>
      </c>
      <c r="B596" s="40" t="n">
        <v>46092</v>
      </c>
      <c r="C596" s="41" t="n">
        <v>2093</v>
      </c>
      <c r="D596" s="41" t="inlineStr">
        <is>
          <t>؟؟</t>
        </is>
      </c>
      <c r="E596" s="41" t="inlineStr">
        <is>
          <t>1*40</t>
        </is>
      </c>
      <c r="F596" s="41" t="inlineStr">
        <is>
          <t xml:space="preserve">محمد رمضان </t>
        </is>
      </c>
      <c r="G596" s="41" t="inlineStr">
        <is>
          <t xml:space="preserve">ابيس </t>
        </is>
      </c>
      <c r="H596" s="41" t="inlineStr">
        <is>
          <t>382190/0</t>
        </is>
      </c>
      <c r="I596" s="41" t="inlineStr">
        <is>
          <t>س ن ا 9452</t>
        </is>
      </c>
      <c r="J596" s="41" t="inlineStr">
        <is>
          <t xml:space="preserve">احمد عاطف </t>
        </is>
      </c>
      <c r="K596" s="41" t="inlineStr">
        <is>
          <t xml:space="preserve">احمد نبيلة </t>
        </is>
      </c>
      <c r="L596" s="42" t="n">
        <v>6000</v>
      </c>
      <c r="M596" s="42" t="n">
        <v>5100</v>
      </c>
      <c r="N596" s="42" t="n"/>
      <c r="O596" s="42" t="n">
        <v>200</v>
      </c>
      <c r="P596" s="42" t="n"/>
      <c r="Q596" s="42" t="n">
        <v>700</v>
      </c>
      <c r="R596" s="43">
        <f>IF($B596="","",N($S596)-N($Q596))</f>
        <v/>
      </c>
      <c r="S596" s="43">
        <f>IF($B596="","",N($L596)+N($N596)+N($P596))</f>
        <v/>
      </c>
      <c r="T596" s="42" t="n"/>
      <c r="U596" s="42" t="n"/>
      <c r="V596" s="42" t="n"/>
      <c r="W596" s="42" t="n"/>
      <c r="X596" s="42" t="n"/>
      <c r="Y596" s="42" t="n"/>
      <c r="Z596" s="42" t="n"/>
      <c r="AA596" s="42" t="n"/>
      <c r="AB596" s="42" t="n"/>
      <c r="AC596" s="42" t="n"/>
      <c r="AD596" s="42" t="n"/>
      <c r="AE596" s="42" t="n"/>
      <c r="AF596" s="43">
        <f>IF($B596="","",SUM($T596:$AE596))</f>
        <v/>
      </c>
      <c r="AG596" s="43">
        <f>IF($B596="","",N($M596)-N($AF596))</f>
        <v/>
      </c>
      <c r="AH596" s="43">
        <f>IF($B596="","",N($L596)-N($AF596))</f>
        <v/>
      </c>
      <c r="AI596" s="149">
        <f>IF($B596="","",IF(N($L596)=0,"",(N($L596)-N($AF596))/N($L596)))</f>
        <v/>
      </c>
    </row>
    <row r="597">
      <c r="A597" s="39">
        <f>IF($B597="","",COUNTA($B$4:$B597))</f>
        <v/>
      </c>
      <c r="B597" s="45" t="n">
        <v>46092</v>
      </c>
      <c r="C597" s="46" t="n">
        <v>2292</v>
      </c>
      <c r="D597" s="46" t="inlineStr">
        <is>
          <t xml:space="preserve">محمد يحى </t>
        </is>
      </c>
      <c r="E597" s="46" t="inlineStr">
        <is>
          <t>1*40</t>
        </is>
      </c>
      <c r="F597" s="46" t="inlineStr">
        <is>
          <t xml:space="preserve">جرين اب </t>
        </is>
      </c>
      <c r="G597" s="46" t="inlineStr">
        <is>
          <t>بنى سويف</t>
        </is>
      </c>
      <c r="H597" s="46" t="inlineStr">
        <is>
          <t>583653/9</t>
        </is>
      </c>
      <c r="I597" s="46" t="inlineStr">
        <is>
          <t>ط ف ر 1474</t>
        </is>
      </c>
      <c r="J597" s="46" t="inlineStr">
        <is>
          <t xml:space="preserve">جمال على </t>
        </is>
      </c>
      <c r="K597" s="46" t="inlineStr">
        <is>
          <t xml:space="preserve">كريم خليف </t>
        </is>
      </c>
      <c r="L597" s="47" t="n">
        <v>20000</v>
      </c>
      <c r="M597" s="47" t="n">
        <v>10100</v>
      </c>
      <c r="N597" s="47" t="n"/>
      <c r="O597" s="47" t="n">
        <v>200</v>
      </c>
      <c r="P597" s="47" t="n"/>
      <c r="Q597" s="47" t="n">
        <v>9700</v>
      </c>
      <c r="R597" s="43">
        <f>IF($B597="","",N($S597)-N($Q597))</f>
        <v/>
      </c>
      <c r="S597" s="43">
        <f>IF($B597="","",N($L597)+N($N597)+N($P597))</f>
        <v/>
      </c>
      <c r="T597" s="47" t="n"/>
      <c r="U597" s="47" t="n"/>
      <c r="V597" s="47" t="n"/>
      <c r="W597" s="47" t="n"/>
      <c r="X597" s="47" t="n"/>
      <c r="Y597" s="47" t="n"/>
      <c r="Z597" s="47" t="n"/>
      <c r="AA597" s="47" t="n"/>
      <c r="AB597" s="47" t="n"/>
      <c r="AC597" s="47" t="n"/>
      <c r="AD597" s="47" t="n"/>
      <c r="AE597" s="47" t="n"/>
      <c r="AF597" s="43">
        <f>IF($B597="","",SUM($T597:$AE597))</f>
        <v/>
      </c>
      <c r="AG597" s="43">
        <f>IF($B597="","",N($M597)-N($AF597))</f>
        <v/>
      </c>
      <c r="AH597" s="43">
        <f>IF($B597="","",N($L597)-N($AF597))</f>
        <v/>
      </c>
      <c r="AI597" s="149">
        <f>IF($B597="","",IF(N($L597)=0,"",(N($L597)-N($AF597))/N($L597)))</f>
        <v/>
      </c>
    </row>
    <row r="598">
      <c r="A598" s="39">
        <f>IF($B598="","",COUNTA($B$4:$B598))</f>
        <v/>
      </c>
      <c r="B598" s="40" t="n">
        <v>46093</v>
      </c>
      <c r="C598" s="41" t="n">
        <v>2096</v>
      </c>
      <c r="D598" s="41" t="n"/>
      <c r="E598" s="41" t="inlineStr">
        <is>
          <t>2*20</t>
        </is>
      </c>
      <c r="F598" s="41" t="inlineStr">
        <is>
          <t xml:space="preserve">المصرية للفحم </t>
        </is>
      </c>
      <c r="G598" s="41" t="inlineStr">
        <is>
          <t xml:space="preserve">المكس </t>
        </is>
      </c>
      <c r="H598" s="41" t="inlineStr">
        <is>
          <t>218189/2-343650/7</t>
        </is>
      </c>
      <c r="I598" s="41" t="inlineStr">
        <is>
          <t>س ف ب 1974</t>
        </is>
      </c>
      <c r="J598" s="41" t="inlineStr">
        <is>
          <t>السيد ابو طالب</t>
        </is>
      </c>
      <c r="K598" s="41" t="inlineStr">
        <is>
          <t xml:space="preserve">الضانى </t>
        </is>
      </c>
      <c r="L598" s="42" t="n">
        <v>9500</v>
      </c>
      <c r="M598" s="42" t="n">
        <v>7100</v>
      </c>
      <c r="N598" s="42" t="n"/>
      <c r="O598" s="42" t="n"/>
      <c r="P598" s="42" t="n"/>
      <c r="Q598" s="42" t="n">
        <v>2400</v>
      </c>
      <c r="R598" s="43">
        <f>IF($B598="","",N($S598)-N($Q598))</f>
        <v/>
      </c>
      <c r="S598" s="43">
        <f>IF($B598="","",N($L598)+N($N598)+N($P598))</f>
        <v/>
      </c>
      <c r="T598" s="42" t="n"/>
      <c r="U598" s="42" t="n"/>
      <c r="V598" s="42" t="n"/>
      <c r="W598" s="42" t="n"/>
      <c r="X598" s="42" t="n"/>
      <c r="Y598" s="42" t="n"/>
      <c r="Z598" s="42" t="n"/>
      <c r="AA598" s="42" t="n"/>
      <c r="AB598" s="42" t="n"/>
      <c r="AC598" s="42" t="n"/>
      <c r="AD598" s="42" t="n"/>
      <c r="AE598" s="42" t="n"/>
      <c r="AF598" s="43">
        <f>IF($B598="","",SUM($T598:$AE598))</f>
        <v/>
      </c>
      <c r="AG598" s="43">
        <f>IF($B598="","",N($M598)-N($AF598))</f>
        <v/>
      </c>
      <c r="AH598" s="43">
        <f>IF($B598="","",N($L598)-N($AF598))</f>
        <v/>
      </c>
      <c r="AI598" s="149">
        <f>IF($B598="","",IF(N($L598)=0,"",(N($L598)-N($AF598))/N($L598)))</f>
        <v/>
      </c>
    </row>
    <row r="599">
      <c r="A599" s="39">
        <f>IF($B599="","",COUNTA($B$4:$B599))</f>
        <v/>
      </c>
      <c r="B599" s="45" t="n">
        <v>46093</v>
      </c>
      <c r="C599" s="46" t="n">
        <v>1848</v>
      </c>
      <c r="D599" s="46" t="inlineStr">
        <is>
          <t>احمد عبدو خ</t>
        </is>
      </c>
      <c r="E599" s="46" t="inlineStr">
        <is>
          <t>1*40</t>
        </is>
      </c>
      <c r="F599" s="46" t="inlineStr">
        <is>
          <t xml:space="preserve">جرين اب </t>
        </is>
      </c>
      <c r="G599" s="46" t="inlineStr">
        <is>
          <t>بلبيس</t>
        </is>
      </c>
      <c r="H599" s="46" t="inlineStr">
        <is>
          <t>970175/4</t>
        </is>
      </c>
      <c r="I599" s="46" t="inlineStr">
        <is>
          <t>س ل ب 8198</t>
        </is>
      </c>
      <c r="J599" s="46" t="inlineStr">
        <is>
          <t xml:space="preserve">مصطفى علاء </t>
        </is>
      </c>
      <c r="K599" s="46" t="inlineStr">
        <is>
          <t xml:space="preserve">علاء علام </t>
        </is>
      </c>
      <c r="L599" s="47" t="n">
        <v>16000</v>
      </c>
      <c r="M599" s="47" t="n">
        <v>9100</v>
      </c>
      <c r="N599" s="47" t="n"/>
      <c r="O599" s="47" t="n">
        <v>200</v>
      </c>
      <c r="P599" s="47" t="n"/>
      <c r="Q599" s="47" t="n">
        <v>6700</v>
      </c>
      <c r="R599" s="43">
        <f>IF($B599="","",N($S599)-N($Q599))</f>
        <v/>
      </c>
      <c r="S599" s="43">
        <f>IF($B599="","",N($L599)+N($N599)+N($P599))</f>
        <v/>
      </c>
      <c r="T599" s="47" t="n"/>
      <c r="U599" s="47" t="n"/>
      <c r="V599" s="47" t="n"/>
      <c r="W599" s="47" t="n"/>
      <c r="X599" s="47" t="n"/>
      <c r="Y599" s="47" t="n"/>
      <c r="Z599" s="47" t="n"/>
      <c r="AA599" s="47" t="n"/>
      <c r="AB599" s="47" t="n"/>
      <c r="AC599" s="47" t="n"/>
      <c r="AD599" s="47" t="n"/>
      <c r="AE599" s="47" t="n"/>
      <c r="AF599" s="43">
        <f>IF($B599="","",SUM($T599:$AE599))</f>
        <v/>
      </c>
      <c r="AG599" s="43">
        <f>IF($B599="","",N($M599)-N($AF599))</f>
        <v/>
      </c>
      <c r="AH599" s="43">
        <f>IF($B599="","",N($L599)-N($AF599))</f>
        <v/>
      </c>
      <c r="AI599" s="149">
        <f>IF($B599="","",IF(N($L599)=0,"",(N($L599)-N($AF599))/N($L599)))</f>
        <v/>
      </c>
    </row>
    <row r="600">
      <c r="A600" s="39">
        <f>IF($B600="","",COUNTA($B$4:$B600))</f>
        <v/>
      </c>
      <c r="B600" s="40" t="n">
        <v>46093</v>
      </c>
      <c r="C600" s="41" t="n">
        <v>2293</v>
      </c>
      <c r="D600" s="41" t="inlineStr">
        <is>
          <t>الانصارى خ</t>
        </is>
      </c>
      <c r="E600" s="41" t="inlineStr">
        <is>
          <t>1*40 ث</t>
        </is>
      </c>
      <c r="F600" s="41" t="inlineStr">
        <is>
          <t xml:space="preserve">انتراكوا </t>
        </is>
      </c>
      <c r="G600" s="41" t="inlineStr">
        <is>
          <t xml:space="preserve">القناطر </t>
        </is>
      </c>
      <c r="H600" s="41" t="inlineStr">
        <is>
          <t>580432/3</t>
        </is>
      </c>
      <c r="I600" s="41" t="inlineStr">
        <is>
          <t>ب ص ا 2574</t>
        </is>
      </c>
      <c r="J600" s="41" t="inlineStr">
        <is>
          <t xml:space="preserve">احمد عادل </t>
        </is>
      </c>
      <c r="K600" s="41" t="inlineStr">
        <is>
          <t xml:space="preserve">احمد خليف </t>
        </is>
      </c>
      <c r="L600" s="42" t="n">
        <v>16500</v>
      </c>
      <c r="M600" s="42" t="n">
        <v>9100</v>
      </c>
      <c r="N600" s="42" t="n"/>
      <c r="O600" s="42" t="n">
        <v>200</v>
      </c>
      <c r="P600" s="42" t="n"/>
      <c r="Q600" s="42" t="n">
        <v>7200</v>
      </c>
      <c r="R600" s="43">
        <f>IF($B600="","",N($S600)-N($Q600))</f>
        <v/>
      </c>
      <c r="S600" s="43">
        <f>IF($B600="","",N($L600)+N($N600)+N($P600))</f>
        <v/>
      </c>
      <c r="T600" s="42" t="n"/>
      <c r="U600" s="42" t="n"/>
      <c r="V600" s="42" t="n"/>
      <c r="W600" s="42" t="n"/>
      <c r="X600" s="42" t="n"/>
      <c r="Y600" s="42" t="n"/>
      <c r="Z600" s="42" t="n"/>
      <c r="AA600" s="42" t="n"/>
      <c r="AB600" s="42" t="n"/>
      <c r="AC600" s="42" t="n"/>
      <c r="AD600" s="42" t="n"/>
      <c r="AE600" s="42" t="n"/>
      <c r="AF600" s="43">
        <f>IF($B600="","",SUM($T600:$AE600))</f>
        <v/>
      </c>
      <c r="AG600" s="43">
        <f>IF($B600="","",N($M600)-N($AF600))</f>
        <v/>
      </c>
      <c r="AH600" s="43">
        <f>IF($B600="","",N($L600)-N($AF600))</f>
        <v/>
      </c>
      <c r="AI600" s="149">
        <f>IF($B600="","",IF(N($L600)=0,"",(N($L600)-N($AF600))/N($L600)))</f>
        <v/>
      </c>
    </row>
    <row r="601">
      <c r="A601" s="39">
        <f>IF($B601="","",COUNTA($B$4:$B601))</f>
        <v/>
      </c>
      <c r="B601" s="45" t="n">
        <v>46093</v>
      </c>
      <c r="C601" s="46" t="n">
        <v>2297</v>
      </c>
      <c r="D601" s="46" t="inlineStr">
        <is>
          <t>المكتب</t>
        </is>
      </c>
      <c r="E601" s="46" t="inlineStr">
        <is>
          <t>1*40 ث</t>
        </is>
      </c>
      <c r="F601" s="46" t="inlineStr">
        <is>
          <t xml:space="preserve">انتراكوا </t>
        </is>
      </c>
      <c r="G601" s="46" t="inlineStr">
        <is>
          <t>بنى سويف</t>
        </is>
      </c>
      <c r="H601" s="46" t="inlineStr">
        <is>
          <t>414569/7</t>
        </is>
      </c>
      <c r="I601" s="46" t="inlineStr">
        <is>
          <t>س ع م 8737</t>
        </is>
      </c>
      <c r="J601" s="46" t="inlineStr">
        <is>
          <t xml:space="preserve">محمود بكر </t>
        </is>
      </c>
      <c r="K601" s="46" t="inlineStr">
        <is>
          <t>المكتب</t>
        </is>
      </c>
      <c r="L601" s="47" t="n">
        <v>24000</v>
      </c>
      <c r="M601" s="47" t="n">
        <v>10000</v>
      </c>
      <c r="N601" s="47" t="n"/>
      <c r="O601" s="47" t="n"/>
      <c r="P601" s="47" t="n"/>
      <c r="Q601" s="47" t="n">
        <v>14000</v>
      </c>
      <c r="R601" s="43">
        <f>IF($B601="","",N($S601)-N($Q601))</f>
        <v/>
      </c>
      <c r="S601" s="43">
        <f>IF($B601="","",N($L601)+N($N601)+N($P601))</f>
        <v/>
      </c>
      <c r="T601" s="47" t="n">
        <v>2700</v>
      </c>
      <c r="U601" s="47" t="n">
        <v>1200</v>
      </c>
      <c r="V601" s="47" t="n"/>
      <c r="W601" s="47" t="n">
        <v>150</v>
      </c>
      <c r="X601" s="47" t="n">
        <v>180</v>
      </c>
      <c r="Y601" s="47" t="n">
        <v>60</v>
      </c>
      <c r="Z601" s="47" t="n"/>
      <c r="AA601" s="47" t="n"/>
      <c r="AB601" s="47" t="n">
        <v>250</v>
      </c>
      <c r="AC601" s="47" t="n"/>
      <c r="AD601" s="47" t="n"/>
      <c r="AE601" s="47" t="n">
        <v>7300</v>
      </c>
      <c r="AF601" s="43">
        <f>IF($B601="","",SUM($T601:$AE601))</f>
        <v/>
      </c>
      <c r="AG601" s="43">
        <f>IF($B601="","",N($M601)-N($AF601))</f>
        <v/>
      </c>
      <c r="AH601" s="43">
        <f>IF($B601="","",N($L601)-N($AF601))</f>
        <v/>
      </c>
      <c r="AI601" s="149">
        <f>IF($B601="","",IF(N($L601)=0,"",(N($L601)-N($AF601))/N($L601)))</f>
        <v/>
      </c>
    </row>
    <row r="602">
      <c r="A602" s="39">
        <f>IF($B602="","",COUNTA($B$4:$B602))</f>
        <v/>
      </c>
      <c r="B602" s="40" t="n">
        <v>46093</v>
      </c>
      <c r="C602" s="41" t="n">
        <v>1392</v>
      </c>
      <c r="D602" s="41" t="inlineStr">
        <is>
          <t>ايوب</t>
        </is>
      </c>
      <c r="E602" s="41" t="inlineStr">
        <is>
          <t>1*20</t>
        </is>
      </c>
      <c r="F602" s="41" t="inlineStr">
        <is>
          <t xml:space="preserve">جرين اب </t>
        </is>
      </c>
      <c r="G602" s="41" t="inlineStr">
        <is>
          <t>بنى سويف</t>
        </is>
      </c>
      <c r="H602" s="41" t="inlineStr">
        <is>
          <t>024977/0</t>
        </is>
      </c>
      <c r="I602" s="41" t="inlineStr">
        <is>
          <t>ب س ج 1392</t>
        </is>
      </c>
      <c r="J602" s="41" t="inlineStr">
        <is>
          <t xml:space="preserve">مصطفى محمد </t>
        </is>
      </c>
      <c r="K602" s="41" t="inlineStr">
        <is>
          <t xml:space="preserve">ايوب </t>
        </is>
      </c>
      <c r="L602" s="42" t="n">
        <v>16000</v>
      </c>
      <c r="M602" s="42" t="n">
        <v>8100</v>
      </c>
      <c r="N602" s="42" t="n"/>
      <c r="O602" s="42" t="n">
        <v>200</v>
      </c>
      <c r="P602" s="42" t="n"/>
      <c r="Q602" s="42" t="n">
        <v>7700</v>
      </c>
      <c r="R602" s="43">
        <f>IF($B602="","",N($S602)-N($Q602))</f>
        <v/>
      </c>
      <c r="S602" s="43">
        <f>IF($B602="","",N($L602)+N($N602)+N($P602))</f>
        <v/>
      </c>
      <c r="T602" s="42" t="n"/>
      <c r="U602" s="42" t="n"/>
      <c r="V602" s="42" t="n"/>
      <c r="W602" s="42" t="n"/>
      <c r="X602" s="42" t="n"/>
      <c r="Y602" s="42" t="n"/>
      <c r="Z602" s="42" t="n"/>
      <c r="AA602" s="42" t="n"/>
      <c r="AB602" s="42" t="n"/>
      <c r="AC602" s="42" t="n"/>
      <c r="AD602" s="42" t="n"/>
      <c r="AE602" s="42" t="n"/>
      <c r="AF602" s="43">
        <f>IF($B602="","",SUM($T602:$AE602))</f>
        <v/>
      </c>
      <c r="AG602" s="43">
        <f>IF($B602="","",N($M602)-N($AF602))</f>
        <v/>
      </c>
      <c r="AH602" s="43">
        <f>IF($B602="","",N($L602)-N($AF602))</f>
        <v/>
      </c>
      <c r="AI602" s="149">
        <f>IF($B602="","",IF(N($L602)=0,"",(N($L602)-N($AF602))/N($L602)))</f>
        <v/>
      </c>
    </row>
    <row r="603">
      <c r="A603" s="39">
        <f>IF($B603="","",COUNTA($B$4:$B603))</f>
        <v/>
      </c>
      <c r="B603" s="45" t="n">
        <v>46093</v>
      </c>
      <c r="C603" s="46" t="n">
        <v>2294</v>
      </c>
      <c r="D603" s="46" t="inlineStr">
        <is>
          <t>حاتم البحر  ق</t>
        </is>
      </c>
      <c r="E603" s="46" t="inlineStr">
        <is>
          <t>1*20</t>
        </is>
      </c>
      <c r="F603" s="46" t="inlineStr">
        <is>
          <t xml:space="preserve">اركانا </t>
        </is>
      </c>
      <c r="G603" s="46" t="inlineStr">
        <is>
          <t xml:space="preserve">اكتوبر </t>
        </is>
      </c>
      <c r="H603" s="46" t="inlineStr">
        <is>
          <t>147604/0</t>
        </is>
      </c>
      <c r="I603" s="46" t="inlineStr">
        <is>
          <t>ب ن س 6958</t>
        </is>
      </c>
      <c r="J603" s="46" t="inlineStr">
        <is>
          <t xml:space="preserve">محمد صبحى </t>
        </is>
      </c>
      <c r="K603" s="46" t="inlineStr">
        <is>
          <t>رومانى</t>
        </is>
      </c>
      <c r="L603" s="47" t="n">
        <v>11000</v>
      </c>
      <c r="M603" s="47" t="n">
        <v>7100</v>
      </c>
      <c r="N603" s="47" t="n"/>
      <c r="O603" s="47" t="n">
        <v>200</v>
      </c>
      <c r="P603" s="47" t="n"/>
      <c r="Q603" s="47" t="n">
        <v>3700</v>
      </c>
      <c r="R603" s="43">
        <f>IF($B603="","",N($S603)-N($Q603))</f>
        <v/>
      </c>
      <c r="S603" s="43">
        <f>IF($B603="","",N($L603)+N($N603)+N($P603))</f>
        <v/>
      </c>
      <c r="T603" s="47" t="n"/>
      <c r="U603" s="47" t="n"/>
      <c r="V603" s="47" t="n"/>
      <c r="W603" s="47" t="n"/>
      <c r="X603" s="47" t="n"/>
      <c r="Y603" s="47" t="n"/>
      <c r="Z603" s="47" t="n"/>
      <c r="AA603" s="47" t="n"/>
      <c r="AB603" s="47" t="n"/>
      <c r="AC603" s="47" t="n"/>
      <c r="AD603" s="47" t="n"/>
      <c r="AE603" s="47" t="n"/>
      <c r="AF603" s="43">
        <f>IF($B603="","",SUM($T603:$AE603))</f>
        <v/>
      </c>
      <c r="AG603" s="43">
        <f>IF($B603="","",N($M603)-N($AF603))</f>
        <v/>
      </c>
      <c r="AH603" s="43">
        <f>IF($B603="","",N($L603)-N($AF603))</f>
        <v/>
      </c>
      <c r="AI603" s="149">
        <f>IF($B603="","",IF(N($L603)=0,"",(N($L603)-N($AF603))/N($L603)))</f>
        <v/>
      </c>
    </row>
    <row r="604">
      <c r="A604" s="39">
        <f>IF($B604="","",COUNTA($B$4:$B604))</f>
        <v/>
      </c>
      <c r="B604" s="40" t="n">
        <v>46093</v>
      </c>
      <c r="C604" s="41" t="n">
        <v>2213</v>
      </c>
      <c r="D604" s="41" t="inlineStr">
        <is>
          <t>كارم الشريف</t>
        </is>
      </c>
      <c r="E604" s="41" t="inlineStr">
        <is>
          <t>1*40 ث</t>
        </is>
      </c>
      <c r="F604" s="41" t="inlineStr">
        <is>
          <t>نايكس</t>
        </is>
      </c>
      <c r="G604" s="41" t="inlineStr">
        <is>
          <t xml:space="preserve">العاشر </t>
        </is>
      </c>
      <c r="H604" s="41" t="inlineStr">
        <is>
          <t>629238/1</t>
        </is>
      </c>
      <c r="I604" s="41" t="inlineStr">
        <is>
          <t>ب د ف 8931</t>
        </is>
      </c>
      <c r="J604" s="41" t="inlineStr">
        <is>
          <t xml:space="preserve">شعبان عمر </t>
        </is>
      </c>
      <c r="K604" s="41" t="inlineStr">
        <is>
          <t xml:space="preserve">ايمن رمضان </t>
        </is>
      </c>
      <c r="L604" s="42" t="n">
        <v>18000</v>
      </c>
      <c r="M604" s="42" t="n">
        <v>10100</v>
      </c>
      <c r="N604" s="42" t="n"/>
      <c r="O604" s="42" t="n">
        <v>200</v>
      </c>
      <c r="P604" s="42" t="n">
        <v>2000</v>
      </c>
      <c r="Q604" s="42" t="n">
        <v>9700</v>
      </c>
      <c r="R604" s="43">
        <f>IF($B604="","",N($S604)-N($Q604))</f>
        <v/>
      </c>
      <c r="S604" s="43">
        <f>IF($B604="","",N($L604)+N($N604)+N($P604))</f>
        <v/>
      </c>
      <c r="T604" s="42" t="n"/>
      <c r="U604" s="42" t="n"/>
      <c r="V604" s="42" t="n"/>
      <c r="W604" s="42" t="n"/>
      <c r="X604" s="42" t="n"/>
      <c r="Y604" s="42" t="n"/>
      <c r="Z604" s="42" t="n"/>
      <c r="AA604" s="42" t="n"/>
      <c r="AB604" s="42" t="n"/>
      <c r="AC604" s="42" t="n"/>
      <c r="AD604" s="42" t="n"/>
      <c r="AE604" s="42" t="n"/>
      <c r="AF604" s="43">
        <f>IF($B604="","",SUM($T604:$AE604))</f>
        <v/>
      </c>
      <c r="AG604" s="43">
        <f>IF($B604="","",N($M604)-N($AF604))</f>
        <v/>
      </c>
      <c r="AH604" s="43">
        <f>IF($B604="","",N($L604)-N($AF604))</f>
        <v/>
      </c>
      <c r="AI604" s="149">
        <f>IF($B604="","",IF(N($L604)=0,"",(N($L604)-N($AF604))/N($L604)))</f>
        <v/>
      </c>
    </row>
    <row r="605">
      <c r="A605" s="39">
        <f>IF($B605="","",COUNTA($B$4:$B605))</f>
        <v/>
      </c>
      <c r="B605" s="45" t="n">
        <v>46095</v>
      </c>
      <c r="C605" s="46" t="n">
        <v>2097</v>
      </c>
      <c r="D605" s="46" t="inlineStr">
        <is>
          <t xml:space="preserve">محمد سعيد </t>
        </is>
      </c>
      <c r="E605" s="46" t="inlineStr">
        <is>
          <t>1*40 ث</t>
        </is>
      </c>
      <c r="F605" s="46" t="inlineStr">
        <is>
          <t xml:space="preserve">الفرسان </t>
        </is>
      </c>
      <c r="G605" s="46" t="inlineStr">
        <is>
          <t xml:space="preserve">اكتوبر </t>
        </is>
      </c>
      <c r="H605" s="46" t="inlineStr">
        <is>
          <t>155864/6</t>
        </is>
      </c>
      <c r="I605" s="46" t="inlineStr">
        <is>
          <t>س ع ه 3237</t>
        </is>
      </c>
      <c r="J605" s="46" t="inlineStr">
        <is>
          <t xml:space="preserve">محمد صالح </t>
        </is>
      </c>
      <c r="K605" s="46" t="inlineStr">
        <is>
          <t xml:space="preserve">البيبى </t>
        </is>
      </c>
      <c r="L605" s="47" t="n">
        <v>16000</v>
      </c>
      <c r="M605" s="47" t="n">
        <v>9100</v>
      </c>
      <c r="N605" s="47" t="n"/>
      <c r="O605" s="47" t="n">
        <v>200</v>
      </c>
      <c r="P605" s="47" t="n"/>
      <c r="Q605" s="47" t="n">
        <v>6700</v>
      </c>
      <c r="R605" s="43">
        <f>IF($B605="","",N($S605)-N($Q605))</f>
        <v/>
      </c>
      <c r="S605" s="43">
        <f>IF($B605="","",N($L605)+N($N605)+N($P605))</f>
        <v/>
      </c>
      <c r="T605" s="47" t="n"/>
      <c r="U605" s="47" t="n"/>
      <c r="V605" s="47" t="n"/>
      <c r="W605" s="47" t="n"/>
      <c r="X605" s="47" t="n"/>
      <c r="Y605" s="47" t="n"/>
      <c r="Z605" s="47" t="n"/>
      <c r="AA605" s="47" t="n"/>
      <c r="AB605" s="47" t="n"/>
      <c r="AC605" s="47" t="n"/>
      <c r="AD605" s="47" t="n"/>
      <c r="AE605" s="47" t="n"/>
      <c r="AF605" s="43">
        <f>IF($B605="","",SUM($T605:$AE605))</f>
        <v/>
      </c>
      <c r="AG605" s="43">
        <f>IF($B605="","",N($M605)-N($AF605))</f>
        <v/>
      </c>
      <c r="AH605" s="43">
        <f>IF($B605="","",N($L605)-N($AF605))</f>
        <v/>
      </c>
      <c r="AI605" s="149">
        <f>IF($B605="","",IF(N($L605)=0,"",(N($L605)-N($AF605))/N($L605)))</f>
        <v/>
      </c>
    </row>
    <row r="606">
      <c r="A606" s="39">
        <f>IF($B606="","",COUNTA($B$4:$B606))</f>
        <v/>
      </c>
      <c r="B606" s="40" t="n">
        <v>46095</v>
      </c>
      <c r="C606" s="41" t="n">
        <v>2216</v>
      </c>
      <c r="D606" s="41" t="inlineStr">
        <is>
          <t xml:space="preserve">محمد سعيد </t>
        </is>
      </c>
      <c r="E606" s="41" t="inlineStr">
        <is>
          <t xml:space="preserve">1*40 </t>
        </is>
      </c>
      <c r="F606" s="41" t="inlineStr">
        <is>
          <t xml:space="preserve">تى فارم </t>
        </is>
      </c>
      <c r="G606" s="41" t="inlineStr">
        <is>
          <t xml:space="preserve">النوبارية </t>
        </is>
      </c>
      <c r="H606" s="41" t="inlineStr">
        <is>
          <t>405239/9</t>
        </is>
      </c>
      <c r="I606" s="41" t="inlineStr">
        <is>
          <t>س ف ب 4187</t>
        </is>
      </c>
      <c r="J606" s="41" t="inlineStr">
        <is>
          <t xml:space="preserve">نور محمد </t>
        </is>
      </c>
      <c r="K606" s="41" t="inlineStr">
        <is>
          <t xml:space="preserve">البيبى </t>
        </is>
      </c>
      <c r="L606" s="42" t="n">
        <v>13000</v>
      </c>
      <c r="M606" s="42" t="n">
        <v>7100</v>
      </c>
      <c r="N606" s="42" t="n"/>
      <c r="O606" s="42" t="n">
        <v>200</v>
      </c>
      <c r="P606" s="42" t="n"/>
      <c r="Q606" s="42" t="n">
        <v>5700</v>
      </c>
      <c r="R606" s="43">
        <f>IF($B606="","",N($S606)-N($Q606))</f>
        <v/>
      </c>
      <c r="S606" s="43">
        <f>IF($B606="","",N($L606)+N($N606)+N($P606))</f>
        <v/>
      </c>
      <c r="T606" s="42" t="n"/>
      <c r="U606" s="42" t="n"/>
      <c r="V606" s="42" t="n"/>
      <c r="W606" s="42" t="n"/>
      <c r="X606" s="42" t="n"/>
      <c r="Y606" s="42" t="n"/>
      <c r="Z606" s="42" t="n"/>
      <c r="AA606" s="42" t="n"/>
      <c r="AB606" s="42" t="n"/>
      <c r="AC606" s="42" t="n"/>
      <c r="AD606" s="42" t="n"/>
      <c r="AE606" s="42" t="n"/>
      <c r="AF606" s="43">
        <f>IF($B606="","",SUM($T606:$AE606))</f>
        <v/>
      </c>
      <c r="AG606" s="43">
        <f>IF($B606="","",N($M606)-N($AF606))</f>
        <v/>
      </c>
      <c r="AH606" s="43">
        <f>IF($B606="","",N($L606)-N($AF606))</f>
        <v/>
      </c>
      <c r="AI606" s="149">
        <f>IF($B606="","",IF(N($L606)=0,"",(N($L606)-N($AF606))/N($L606)))</f>
        <v/>
      </c>
    </row>
    <row r="607">
      <c r="A607" s="39">
        <f>IF($B607="","",COUNTA($B$4:$B607))</f>
        <v/>
      </c>
      <c r="B607" s="45" t="n">
        <v>46095</v>
      </c>
      <c r="C607" s="46" t="n">
        <v>2214</v>
      </c>
      <c r="D607" s="46" t="inlineStr">
        <is>
          <t>حريقة خ</t>
        </is>
      </c>
      <c r="E607" s="46" t="inlineStr">
        <is>
          <t>1*40</t>
        </is>
      </c>
      <c r="F607" s="46" t="inlineStr">
        <is>
          <t xml:space="preserve">تى فارم </t>
        </is>
      </c>
      <c r="G607" s="46" t="inlineStr">
        <is>
          <t xml:space="preserve">النوبارية </t>
        </is>
      </c>
      <c r="H607" s="46" t="inlineStr">
        <is>
          <t>001542/5</t>
        </is>
      </c>
      <c r="I607" s="46" t="inlineStr">
        <is>
          <t xml:space="preserve">ب ر ا2571 </t>
        </is>
      </c>
      <c r="J607" s="46" t="inlineStr">
        <is>
          <t xml:space="preserve">رجب عبد ربة </t>
        </is>
      </c>
      <c r="K607" s="46" t="inlineStr">
        <is>
          <t xml:space="preserve">ابو ادم </t>
        </is>
      </c>
      <c r="L607" s="47" t="n">
        <v>13500</v>
      </c>
      <c r="M607" s="47" t="n">
        <v>7100</v>
      </c>
      <c r="N607" s="47" t="n"/>
      <c r="O607" s="47" t="n">
        <v>200</v>
      </c>
      <c r="P607" s="47" t="n"/>
      <c r="Q607" s="47" t="n">
        <v>6200</v>
      </c>
      <c r="R607" s="43">
        <f>IF($B607="","",N($S607)-N($Q607))</f>
        <v/>
      </c>
      <c r="S607" s="43">
        <f>IF($B607="","",N($L607)+N($N607)+N($P607))</f>
        <v/>
      </c>
      <c r="T607" s="47" t="n"/>
      <c r="U607" s="47" t="n"/>
      <c r="V607" s="47" t="n"/>
      <c r="W607" s="47" t="n"/>
      <c r="X607" s="47" t="n"/>
      <c r="Y607" s="47" t="n"/>
      <c r="Z607" s="47" t="n"/>
      <c r="AA607" s="47" t="n"/>
      <c r="AB607" s="47" t="n"/>
      <c r="AC607" s="47" t="n"/>
      <c r="AD607" s="47" t="n"/>
      <c r="AE607" s="47" t="n"/>
      <c r="AF607" s="43">
        <f>IF($B607="","",SUM($T607:$AE607))</f>
        <v/>
      </c>
      <c r="AG607" s="43">
        <f>IF($B607="","",N($M607)-N($AF607))</f>
        <v/>
      </c>
      <c r="AH607" s="43">
        <f>IF($B607="","",N($L607)-N($AF607))</f>
        <v/>
      </c>
      <c r="AI607" s="149">
        <f>IF($B607="","",IF(N($L607)=0,"",(N($L607)-N($AF607))/N($L607)))</f>
        <v/>
      </c>
    </row>
    <row r="608">
      <c r="A608" s="39">
        <f>IF($B608="","",COUNTA($B$4:$B608))</f>
        <v/>
      </c>
      <c r="B608" s="40" t="n">
        <v>46095</v>
      </c>
      <c r="C608" s="41" t="n">
        <v>2215</v>
      </c>
      <c r="D608" s="41" t="inlineStr">
        <is>
          <t>حاتم البحر  ق</t>
        </is>
      </c>
      <c r="E608" s="41" t="inlineStr">
        <is>
          <t>1*40 ث</t>
        </is>
      </c>
      <c r="F608" s="41" t="inlineStr">
        <is>
          <t xml:space="preserve">تى فارم </t>
        </is>
      </c>
      <c r="G608" s="41" t="inlineStr">
        <is>
          <t xml:space="preserve">النوبارية </t>
        </is>
      </c>
      <c r="H608" s="41" t="inlineStr">
        <is>
          <t>405220/7</t>
        </is>
      </c>
      <c r="I608" s="41" t="inlineStr">
        <is>
          <t>س ع ف 4573</t>
        </is>
      </c>
      <c r="J608" s="41" t="inlineStr">
        <is>
          <t xml:space="preserve">هانى غريب </t>
        </is>
      </c>
      <c r="K608" s="41" t="inlineStr">
        <is>
          <t xml:space="preserve">حودة مصرية </t>
        </is>
      </c>
      <c r="L608" s="42" t="n">
        <v>13000</v>
      </c>
      <c r="M608" s="42" t="n">
        <v>7100</v>
      </c>
      <c r="N608" s="42" t="n"/>
      <c r="O608" s="42" t="n">
        <v>200</v>
      </c>
      <c r="P608" s="42" t="n"/>
      <c r="Q608" s="42" t="n">
        <v>5700</v>
      </c>
      <c r="R608" s="43">
        <f>IF($B608="","",N($S608)-N($Q608))</f>
        <v/>
      </c>
      <c r="S608" s="43">
        <f>IF($B608="","",N($L608)+N($N608)+N($P608))</f>
        <v/>
      </c>
      <c r="T608" s="42" t="n"/>
      <c r="U608" s="42" t="n"/>
      <c r="V608" s="42" t="n"/>
      <c r="W608" s="42" t="n"/>
      <c r="X608" s="42" t="n"/>
      <c r="Y608" s="42" t="n"/>
      <c r="Z608" s="42" t="n"/>
      <c r="AA608" s="42" t="n"/>
      <c r="AB608" s="42" t="n"/>
      <c r="AC608" s="42" t="n"/>
      <c r="AD608" s="42" t="n"/>
      <c r="AE608" s="42" t="n"/>
      <c r="AF608" s="43">
        <f>IF($B608="","",SUM($T608:$AE608))</f>
        <v/>
      </c>
      <c r="AG608" s="43">
        <f>IF($B608="","",N($M608)-N($AF608))</f>
        <v/>
      </c>
      <c r="AH608" s="43">
        <f>IF($B608="","",N($L608)-N($AF608))</f>
        <v/>
      </c>
      <c r="AI608" s="149">
        <f>IF($B608="","",IF(N($L608)=0,"",(N($L608)-N($AF608))/N($L608)))</f>
        <v/>
      </c>
    </row>
    <row r="609">
      <c r="A609" s="39">
        <f>IF($B609="","",COUNTA($B$4:$B609))</f>
        <v/>
      </c>
      <c r="B609" s="45" t="n">
        <v>46095</v>
      </c>
      <c r="C609" s="46" t="n">
        <v>2308</v>
      </c>
      <c r="D609" s="46" t="inlineStr">
        <is>
          <t>مخزن</t>
        </is>
      </c>
      <c r="E609" s="46" t="inlineStr">
        <is>
          <t>1*40</t>
        </is>
      </c>
      <c r="F609" s="46" t="inlineStr">
        <is>
          <t xml:space="preserve">تى فارم </t>
        </is>
      </c>
      <c r="G609" s="46" t="inlineStr">
        <is>
          <t xml:space="preserve">النوبارية </t>
        </is>
      </c>
      <c r="H609" s="46" t="inlineStr">
        <is>
          <t>956476/2</t>
        </is>
      </c>
      <c r="I609" s="46" t="inlineStr">
        <is>
          <t>س ل ا 5468</t>
        </is>
      </c>
      <c r="J609" s="46" t="inlineStr">
        <is>
          <t>حسام الدين محمد</t>
        </is>
      </c>
      <c r="K609" s="46" t="inlineStr">
        <is>
          <t>مخزن</t>
        </is>
      </c>
      <c r="L609" s="47" t="n">
        <v>13500</v>
      </c>
      <c r="M609" s="47" t="n">
        <v>7100</v>
      </c>
      <c r="N609" s="47" t="n"/>
      <c r="O609" s="47" t="n">
        <v>200</v>
      </c>
      <c r="P609" s="47" t="n"/>
      <c r="Q609" s="47" t="n">
        <v>6200</v>
      </c>
      <c r="R609" s="43">
        <f>IF($B609="","",N($S609)-N($Q609))</f>
        <v/>
      </c>
      <c r="S609" s="43">
        <f>IF($B609="","",N($L609)+N($N609)+N($P609))</f>
        <v/>
      </c>
      <c r="T609" s="47" t="n"/>
      <c r="U609" s="47" t="n"/>
      <c r="V609" s="47" t="n"/>
      <c r="W609" s="47" t="n"/>
      <c r="X609" s="47" t="n"/>
      <c r="Y609" s="47" t="n"/>
      <c r="Z609" s="47" t="n"/>
      <c r="AA609" s="47" t="n"/>
      <c r="AB609" s="47" t="n"/>
      <c r="AC609" s="47" t="n"/>
      <c r="AD609" s="47" t="n"/>
      <c r="AE609" s="47" t="n"/>
      <c r="AF609" s="43">
        <f>IF($B609="","",SUM($T609:$AE609))</f>
        <v/>
      </c>
      <c r="AG609" s="43">
        <f>IF($B609="","",N($M609)-N($AF609))</f>
        <v/>
      </c>
      <c r="AH609" s="43">
        <f>IF($B609="","",N($L609)-N($AF609))</f>
        <v/>
      </c>
      <c r="AI609" s="149">
        <f>IF($B609="","",IF(N($L609)=0,"",(N($L609)-N($AF609))/N($L609)))</f>
        <v/>
      </c>
    </row>
    <row r="610">
      <c r="A610" s="39">
        <f>IF($B610="","",COUNTA($B$4:$B610))</f>
        <v/>
      </c>
      <c r="B610" s="40" t="n">
        <v>46095</v>
      </c>
      <c r="C610" s="41" t="n">
        <v>2307</v>
      </c>
      <c r="D610" s="41" t="inlineStr">
        <is>
          <t xml:space="preserve">محمد يحى </t>
        </is>
      </c>
      <c r="E610" s="41" t="inlineStr">
        <is>
          <t>1*40</t>
        </is>
      </c>
      <c r="F610" s="41" t="inlineStr">
        <is>
          <t xml:space="preserve">تى فارم </t>
        </is>
      </c>
      <c r="G610" s="41" t="inlineStr">
        <is>
          <t xml:space="preserve">النوبارية </t>
        </is>
      </c>
      <c r="H610" s="41" t="inlineStr">
        <is>
          <t>001878/5</t>
        </is>
      </c>
      <c r="I610" s="41" t="inlineStr">
        <is>
          <t>ط ق ر 1474</t>
        </is>
      </c>
      <c r="J610" s="41" t="inlineStr">
        <is>
          <t xml:space="preserve">جمال على </t>
        </is>
      </c>
      <c r="K610" s="41" t="inlineStr">
        <is>
          <t xml:space="preserve">كريم خليف </t>
        </is>
      </c>
      <c r="L610" s="42" t="n">
        <v>13500</v>
      </c>
      <c r="M610" s="42" t="n">
        <v>7100</v>
      </c>
      <c r="N610" s="42" t="n"/>
      <c r="O610" s="42" t="n">
        <v>200</v>
      </c>
      <c r="P610" s="42" t="n"/>
      <c r="Q610" s="42" t="n">
        <v>6200</v>
      </c>
      <c r="R610" s="43">
        <f>IF($B610="","",N($S610)-N($Q610))</f>
        <v/>
      </c>
      <c r="S610" s="43">
        <f>IF($B610="","",N($L610)+N($N610)+N($P610))</f>
        <v/>
      </c>
      <c r="T610" s="42" t="n"/>
      <c r="U610" s="42" t="n"/>
      <c r="V610" s="42" t="n"/>
      <c r="W610" s="42" t="n"/>
      <c r="X610" s="42" t="n"/>
      <c r="Y610" s="42" t="n"/>
      <c r="Z610" s="42" t="n"/>
      <c r="AA610" s="42" t="n"/>
      <c r="AB610" s="42" t="n"/>
      <c r="AC610" s="42" t="n"/>
      <c r="AD610" s="42" t="n"/>
      <c r="AE610" s="42" t="n"/>
      <c r="AF610" s="43">
        <f>IF($B610="","",SUM($T610:$AE610))</f>
        <v/>
      </c>
      <c r="AG610" s="43">
        <f>IF($B610="","",N($M610)-N($AF610))</f>
        <v/>
      </c>
      <c r="AH610" s="43">
        <f>IF($B610="","",N($L610)-N($AF610))</f>
        <v/>
      </c>
      <c r="AI610" s="149">
        <f>IF($B610="","",IF(N($L610)=0,"",(N($L610)-N($AF610))/N($L610)))</f>
        <v/>
      </c>
    </row>
    <row r="611">
      <c r="A611" s="39">
        <f>IF($B611="","",COUNTA($B$4:$B611))</f>
        <v/>
      </c>
      <c r="B611" s="45" t="n">
        <v>46095</v>
      </c>
      <c r="C611" s="46" t="n">
        <v>2352</v>
      </c>
      <c r="D611" s="46" t="inlineStr">
        <is>
          <t>احمد عبدو خ</t>
        </is>
      </c>
      <c r="E611" s="46" t="inlineStr">
        <is>
          <t>1*40 ث</t>
        </is>
      </c>
      <c r="F611" s="46" t="inlineStr">
        <is>
          <t>سنابل الخير</t>
        </is>
      </c>
      <c r="G611" s="46" t="inlineStr">
        <is>
          <t xml:space="preserve">المنيا </t>
        </is>
      </c>
      <c r="H611" s="46" t="inlineStr">
        <is>
          <t>703694/8</t>
        </is>
      </c>
      <c r="I611" s="46" t="inlineStr">
        <is>
          <t>ع ر ب 1573</t>
        </is>
      </c>
      <c r="J611" s="46" t="inlineStr">
        <is>
          <t xml:space="preserve">محمد السيد </t>
        </is>
      </c>
      <c r="K611" s="46" t="inlineStr">
        <is>
          <t xml:space="preserve">حمو مرزوق </t>
        </is>
      </c>
      <c r="L611" s="47" t="n">
        <v>31000</v>
      </c>
      <c r="M611" s="47" t="n">
        <v>13100</v>
      </c>
      <c r="N611" s="47" t="n"/>
      <c r="O611" s="47" t="n">
        <v>200</v>
      </c>
      <c r="P611" s="47" t="n"/>
      <c r="Q611" s="47" t="n">
        <v>17700</v>
      </c>
      <c r="R611" s="43">
        <f>IF($B611="","",N($S611)-N($Q611))</f>
        <v/>
      </c>
      <c r="S611" s="43">
        <f>IF($B611="","",N($L611)+N($N611)+N($P611))</f>
        <v/>
      </c>
      <c r="T611" s="47" t="n"/>
      <c r="U611" s="47" t="n"/>
      <c r="V611" s="47" t="n"/>
      <c r="W611" s="47" t="n"/>
      <c r="X611" s="47" t="n"/>
      <c r="Y611" s="47" t="n"/>
      <c r="Z611" s="47" t="n"/>
      <c r="AA611" s="47" t="n"/>
      <c r="AB611" s="47" t="n"/>
      <c r="AC611" s="47" t="n"/>
      <c r="AD611" s="47" t="n"/>
      <c r="AE611" s="47" t="n"/>
      <c r="AF611" s="43">
        <f>IF($B611="","",SUM($T611:$AE611))</f>
        <v/>
      </c>
      <c r="AG611" s="43">
        <f>IF($B611="","",N($M611)-N($AF611))</f>
        <v/>
      </c>
      <c r="AH611" s="43">
        <f>IF($B611="","",N($L611)-N($AF611))</f>
        <v/>
      </c>
      <c r="AI611" s="149">
        <f>IF($B611="","",IF(N($L611)=0,"",(N($L611)-N($AF611))/N($L611)))</f>
        <v/>
      </c>
    </row>
    <row r="612">
      <c r="A612" s="39">
        <f>IF($B612="","",COUNTA($B$4:$B612))</f>
        <v/>
      </c>
      <c r="B612" s="40" t="n">
        <v>46095</v>
      </c>
      <c r="C612" s="41" t="n">
        <v>2351</v>
      </c>
      <c r="D612" s="41" t="inlineStr">
        <is>
          <t>رجب عبد العال خ</t>
        </is>
      </c>
      <c r="E612" s="41" t="inlineStr">
        <is>
          <t>1*40 ث</t>
        </is>
      </c>
      <c r="F612" s="41" t="inlineStr">
        <is>
          <t>سنابل الخير</t>
        </is>
      </c>
      <c r="G612" s="41" t="inlineStr">
        <is>
          <t xml:space="preserve">المنيا </t>
        </is>
      </c>
      <c r="H612" s="41" t="inlineStr">
        <is>
          <t>703694/8</t>
        </is>
      </c>
      <c r="I612" s="41" t="inlineStr">
        <is>
          <t>س ا ى 3767</t>
        </is>
      </c>
      <c r="J612" s="41" t="inlineStr">
        <is>
          <t xml:space="preserve">عمرو محمد </t>
        </is>
      </c>
      <c r="K612" s="41" t="inlineStr">
        <is>
          <t xml:space="preserve">الفرجانى </t>
        </is>
      </c>
      <c r="L612" s="42" t="n">
        <v>31000</v>
      </c>
      <c r="M612" s="42" t="n">
        <v>14100</v>
      </c>
      <c r="N612" s="42" t="n"/>
      <c r="O612" s="42" t="n">
        <v>200</v>
      </c>
      <c r="P612" s="42" t="n"/>
      <c r="Q612" s="42" t="n">
        <v>16700</v>
      </c>
      <c r="R612" s="43">
        <f>IF($B612="","",N($S612)-N($Q612))</f>
        <v/>
      </c>
      <c r="S612" s="43">
        <f>IF($B612="","",N($L612)+N($N612)+N($P612))</f>
        <v/>
      </c>
      <c r="T612" s="42" t="n"/>
      <c r="U612" s="42" t="n"/>
      <c r="V612" s="42" t="n"/>
      <c r="W612" s="42" t="n"/>
      <c r="X612" s="42" t="n"/>
      <c r="Y612" s="42" t="n"/>
      <c r="Z612" s="42" t="n"/>
      <c r="AA612" s="42" t="n"/>
      <c r="AB612" s="42" t="n"/>
      <c r="AC612" s="42" t="n"/>
      <c r="AD612" s="42" t="n"/>
      <c r="AE612" s="42" t="n"/>
      <c r="AF612" s="43">
        <f>IF($B612="","",SUM($T612:$AE612))</f>
        <v/>
      </c>
      <c r="AG612" s="43">
        <f>IF($B612="","",N($M612)-N($AF612))</f>
        <v/>
      </c>
      <c r="AH612" s="43">
        <f>IF($B612="","",N($L612)-N($AF612))</f>
        <v/>
      </c>
      <c r="AI612" s="149">
        <f>IF($B612="","",IF(N($L612)=0,"",(N($L612)-N($AF612))/N($L612)))</f>
        <v/>
      </c>
    </row>
    <row r="613">
      <c r="A613" s="39">
        <f>IF($B613="","",COUNTA($B$4:$B613))</f>
        <v/>
      </c>
      <c r="B613" s="45" t="n">
        <v>46095</v>
      </c>
      <c r="C613" s="46" t="n">
        <v>2353</v>
      </c>
      <c r="D613" s="46" t="inlineStr">
        <is>
          <t>كمال رزق خ</t>
        </is>
      </c>
      <c r="E613" s="46" t="inlineStr">
        <is>
          <t>1*40 ث</t>
        </is>
      </c>
      <c r="F613" s="46" t="inlineStr">
        <is>
          <t>سنابل الخير</t>
        </is>
      </c>
      <c r="G613" s="46" t="inlineStr">
        <is>
          <t xml:space="preserve">المنيا </t>
        </is>
      </c>
      <c r="H613" s="46" t="inlineStr">
        <is>
          <t>939119/3</t>
        </is>
      </c>
      <c r="I613" s="46" t="inlineStr">
        <is>
          <t>س ن ر 8979</t>
        </is>
      </c>
      <c r="J613" s="46" t="inlineStr">
        <is>
          <t xml:space="preserve">عماد سعيد </t>
        </is>
      </c>
      <c r="K613" s="46" t="inlineStr">
        <is>
          <t xml:space="preserve">عماد سعيد </t>
        </is>
      </c>
      <c r="L613" s="47" t="n">
        <v>31000</v>
      </c>
      <c r="M613" s="47" t="n">
        <v>15100</v>
      </c>
      <c r="N613" s="47" t="n"/>
      <c r="O613" s="47" t="n">
        <v>200</v>
      </c>
      <c r="P613" s="47" t="n"/>
      <c r="Q613" s="47" t="n">
        <v>15700</v>
      </c>
      <c r="R613" s="43">
        <f>IF($B613="","",N($S613)-N($Q613))</f>
        <v/>
      </c>
      <c r="S613" s="43">
        <f>IF($B613="","",N($L613)+N($N613)+N($P613))</f>
        <v/>
      </c>
      <c r="T613" s="47" t="n"/>
      <c r="U613" s="47" t="n"/>
      <c r="V613" s="47" t="n"/>
      <c r="W613" s="47" t="n"/>
      <c r="X613" s="47" t="n"/>
      <c r="Y613" s="47" t="n"/>
      <c r="Z613" s="47" t="n"/>
      <c r="AA613" s="47" t="n"/>
      <c r="AB613" s="47" t="n"/>
      <c r="AC613" s="47" t="n"/>
      <c r="AD613" s="47" t="n"/>
      <c r="AE613" s="47" t="n"/>
      <c r="AF613" s="43">
        <f>IF($B613="","",SUM($T613:$AE613))</f>
        <v/>
      </c>
      <c r="AG613" s="43">
        <f>IF($B613="","",N($M613)-N($AF613))</f>
        <v/>
      </c>
      <c r="AH613" s="43">
        <f>IF($B613="","",N($L613)-N($AF613))</f>
        <v/>
      </c>
      <c r="AI613" s="149">
        <f>IF($B613="","",IF(N($L613)=0,"",(N($L613)-N($AF613))/N($L613)))</f>
        <v/>
      </c>
    </row>
    <row r="614">
      <c r="A614" s="39">
        <f>IF($B614="","",COUNTA($B$4:$B614))</f>
        <v/>
      </c>
      <c r="B614" s="40" t="n">
        <v>46095</v>
      </c>
      <c r="C614" s="41" t="n">
        <v>2300</v>
      </c>
      <c r="D614" s="41" t="inlineStr">
        <is>
          <t xml:space="preserve">بدوى صلاح </t>
        </is>
      </c>
      <c r="E614" s="41" t="inlineStr">
        <is>
          <t>1*20</t>
        </is>
      </c>
      <c r="F614" s="41" t="inlineStr">
        <is>
          <t xml:space="preserve">الكرنك </t>
        </is>
      </c>
      <c r="G614" s="41" t="inlineStr">
        <is>
          <t>الاسماعيليه</t>
        </is>
      </c>
      <c r="H614" s="41" t="inlineStr">
        <is>
          <t>321990/7</t>
        </is>
      </c>
      <c r="I614" s="41" t="inlineStr">
        <is>
          <t>ب د ن 2193</t>
        </is>
      </c>
      <c r="J614" s="41" t="inlineStr">
        <is>
          <t>وليد جاد</t>
        </is>
      </c>
      <c r="K614" s="41" t="inlineStr">
        <is>
          <t xml:space="preserve">رومانى </t>
        </is>
      </c>
      <c r="L614" s="42" t="n">
        <v>13500</v>
      </c>
      <c r="M614" s="42" t="n">
        <v>8100</v>
      </c>
      <c r="N614" s="42" t="n"/>
      <c r="O614" s="42" t="n">
        <v>200</v>
      </c>
      <c r="P614" s="42" t="n">
        <v>1500</v>
      </c>
      <c r="Q614" s="42" t="n">
        <v>6700</v>
      </c>
      <c r="R614" s="43">
        <f>IF($B614="","",N($S614)-N($Q614))</f>
        <v/>
      </c>
      <c r="S614" s="43">
        <f>IF($B614="","",N($L614)+N($N614)+N($P614))</f>
        <v/>
      </c>
      <c r="T614" s="42" t="n"/>
      <c r="U614" s="42" t="n"/>
      <c r="V614" s="42" t="n"/>
      <c r="W614" s="42" t="n"/>
      <c r="X614" s="42" t="n"/>
      <c r="Y614" s="42" t="n"/>
      <c r="Z614" s="42" t="n"/>
      <c r="AA614" s="42" t="n"/>
      <c r="AB614" s="42" t="n"/>
      <c r="AC614" s="42" t="n"/>
      <c r="AD614" s="42" t="n"/>
      <c r="AE614" s="42" t="n"/>
      <c r="AF614" s="43">
        <f>IF($B614="","",SUM($T614:$AE614))</f>
        <v/>
      </c>
      <c r="AG614" s="43">
        <f>IF($B614="","",N($M614)-N($AF614))</f>
        <v/>
      </c>
      <c r="AH614" s="43">
        <f>IF($B614="","",N($L614)-N($AF614))</f>
        <v/>
      </c>
      <c r="AI614" s="149">
        <f>IF($B614="","",IF(N($L614)=0,"",(N($L614)-N($AF614))/N($L614)))</f>
        <v/>
      </c>
    </row>
    <row r="615">
      <c r="A615" s="39">
        <f>IF($B615="","",COUNTA($B$4:$B615))</f>
        <v/>
      </c>
      <c r="B615" s="45" t="n">
        <v>46095</v>
      </c>
      <c r="C615" s="46" t="n">
        <v>2299</v>
      </c>
      <c r="D615" s="46" t="inlineStr">
        <is>
          <t>احمد عبدو خ</t>
        </is>
      </c>
      <c r="E615" s="46" t="inlineStr">
        <is>
          <t>1*40</t>
        </is>
      </c>
      <c r="F615" s="46" t="inlineStr">
        <is>
          <t xml:space="preserve">الكرنك </t>
        </is>
      </c>
      <c r="G615" s="46" t="inlineStr">
        <is>
          <t>الاسماعيليه</t>
        </is>
      </c>
      <c r="H615" s="46" t="inlineStr">
        <is>
          <t>641485/3</t>
        </is>
      </c>
      <c r="I615" s="46" t="inlineStr">
        <is>
          <t>س ل ب 5917</t>
        </is>
      </c>
      <c r="J615" s="46" t="inlineStr">
        <is>
          <t xml:space="preserve">محمد ابراهيم </t>
        </is>
      </c>
      <c r="K615" s="46" t="inlineStr">
        <is>
          <t xml:space="preserve">علاء علام </t>
        </is>
      </c>
      <c r="L615" s="47" t="n">
        <v>17000</v>
      </c>
      <c r="M615" s="47" t="n">
        <v>9100</v>
      </c>
      <c r="N615" s="47" t="n"/>
      <c r="O615" s="47" t="n">
        <v>200</v>
      </c>
      <c r="P615" s="47" t="n"/>
      <c r="Q615" s="47" t="n">
        <v>7700</v>
      </c>
      <c r="R615" s="43">
        <f>IF($B615="","",N($S615)-N($Q615))</f>
        <v/>
      </c>
      <c r="S615" s="43">
        <f>IF($B615="","",N($L615)+N($N615)+N($P615))</f>
        <v/>
      </c>
      <c r="T615" s="47" t="n"/>
      <c r="U615" s="47" t="n"/>
      <c r="V615" s="47" t="n"/>
      <c r="W615" s="47" t="n"/>
      <c r="X615" s="47" t="n"/>
      <c r="Y615" s="47" t="n"/>
      <c r="Z615" s="47" t="n"/>
      <c r="AA615" s="47" t="n"/>
      <c r="AB615" s="47" t="n"/>
      <c r="AC615" s="47" t="n"/>
      <c r="AD615" s="47" t="n"/>
      <c r="AE615" s="47" t="n"/>
      <c r="AF615" s="43">
        <f>IF($B615="","",SUM($T615:$AE615))</f>
        <v/>
      </c>
      <c r="AG615" s="43">
        <f>IF($B615="","",N($M615)-N($AF615))</f>
        <v/>
      </c>
      <c r="AH615" s="43">
        <f>IF($B615="","",N($L615)-N($AF615))</f>
        <v/>
      </c>
      <c r="AI615" s="149">
        <f>IF($B615="","",IF(N($L615)=0,"",(N($L615)-N($AF615))/N($L615)))</f>
        <v/>
      </c>
    </row>
    <row r="616">
      <c r="A616" s="39">
        <f>IF($B616="","",COUNTA($B$4:$B616))</f>
        <v/>
      </c>
      <c r="B616" s="40" t="n">
        <v>46096</v>
      </c>
      <c r="C616" s="41" t="n">
        <v>2356</v>
      </c>
      <c r="D616" s="41" t="inlineStr">
        <is>
          <t xml:space="preserve">محمد يحى </t>
        </is>
      </c>
      <c r="E616" s="41" t="inlineStr">
        <is>
          <t>1*40</t>
        </is>
      </c>
      <c r="F616" s="41" t="inlineStr">
        <is>
          <t>اكما</t>
        </is>
      </c>
      <c r="G616" s="41" t="inlineStr">
        <is>
          <t>بنى سويف</t>
        </is>
      </c>
      <c r="H616" s="41" t="inlineStr">
        <is>
          <t>364654/1</t>
        </is>
      </c>
      <c r="I616" s="41" t="inlineStr">
        <is>
          <t>ط ف ر1474</t>
        </is>
      </c>
      <c r="J616" s="41" t="inlineStr">
        <is>
          <t xml:space="preserve">جمال على </t>
        </is>
      </c>
      <c r="K616" s="41" t="inlineStr">
        <is>
          <t xml:space="preserve">كريم خليف </t>
        </is>
      </c>
      <c r="L616" s="42" t="n">
        <v>20000</v>
      </c>
      <c r="M616" s="42" t="n">
        <v>10100</v>
      </c>
      <c r="N616" s="42" t="n"/>
      <c r="O616" s="42" t="n">
        <v>200</v>
      </c>
      <c r="P616" s="42" t="n"/>
      <c r="Q616" s="42" t="n">
        <v>9700</v>
      </c>
      <c r="R616" s="43">
        <f>IF($B616="","",N($S616)-N($Q616))</f>
        <v/>
      </c>
      <c r="S616" s="43">
        <f>IF($B616="","",N($L616)+N($N616)+N($P616))</f>
        <v/>
      </c>
      <c r="T616" s="42" t="n"/>
      <c r="U616" s="42" t="n"/>
      <c r="V616" s="42" t="n"/>
      <c r="W616" s="42" t="n"/>
      <c r="X616" s="42" t="n"/>
      <c r="Y616" s="42" t="n"/>
      <c r="Z616" s="42" t="n"/>
      <c r="AA616" s="42" t="n"/>
      <c r="AB616" s="42" t="n"/>
      <c r="AC616" s="42" t="n"/>
      <c r="AD616" s="42" t="n"/>
      <c r="AE616" s="42" t="n"/>
      <c r="AF616" s="43">
        <f>IF($B616="","",SUM($T616:$AE616))</f>
        <v/>
      </c>
      <c r="AG616" s="43">
        <f>IF($B616="","",N($M616)-N($AF616))</f>
        <v/>
      </c>
      <c r="AH616" s="43">
        <f>IF($B616="","",N($L616)-N($AF616))</f>
        <v/>
      </c>
      <c r="AI616" s="149">
        <f>IF($B616="","",IF(N($L616)=0,"",(N($L616)-N($AF616))/N($L616)))</f>
        <v/>
      </c>
    </row>
    <row r="617">
      <c r="A617" s="39">
        <f>IF($B617="","",COUNTA($B$4:$B617))</f>
        <v/>
      </c>
      <c r="B617" s="45" t="n">
        <v>46096</v>
      </c>
      <c r="C617" s="46" t="n">
        <v>2357</v>
      </c>
      <c r="D617" s="46" t="inlineStr">
        <is>
          <t xml:space="preserve">احمد محسن </t>
        </is>
      </c>
      <c r="E617" s="46" t="inlineStr">
        <is>
          <t>1*40</t>
        </is>
      </c>
      <c r="F617" s="46" t="inlineStr">
        <is>
          <t>اكما</t>
        </is>
      </c>
      <c r="G617" s="46" t="inlineStr">
        <is>
          <t>بنى سويف</t>
        </is>
      </c>
      <c r="H617" s="46" t="inlineStr">
        <is>
          <t>364642/8</t>
        </is>
      </c>
      <c r="I617" s="46" t="inlineStr">
        <is>
          <t>س ع ا 7219</t>
        </is>
      </c>
      <c r="J617" s="46" t="inlineStr">
        <is>
          <t xml:space="preserve">طلعت محمد </t>
        </is>
      </c>
      <c r="K617" s="46" t="inlineStr">
        <is>
          <t xml:space="preserve">احمد محسن </t>
        </is>
      </c>
      <c r="L617" s="47" t="n">
        <v>19000</v>
      </c>
      <c r="M617" s="47" t="n">
        <v>10100</v>
      </c>
      <c r="N617" s="47" t="n"/>
      <c r="O617" s="47" t="n">
        <v>200</v>
      </c>
      <c r="P617" s="47" t="n"/>
      <c r="Q617" s="47" t="n">
        <v>8700</v>
      </c>
      <c r="R617" s="43">
        <f>IF($B617="","",N($S617)-N($Q617))</f>
        <v/>
      </c>
      <c r="S617" s="43">
        <f>IF($B617="","",N($L617)+N($N617)+N($P617))</f>
        <v/>
      </c>
      <c r="T617" s="47" t="n"/>
      <c r="U617" s="47" t="n"/>
      <c r="V617" s="47" t="n"/>
      <c r="W617" s="47" t="n"/>
      <c r="X617" s="47" t="n"/>
      <c r="Y617" s="47" t="n"/>
      <c r="Z617" s="47" t="n"/>
      <c r="AA617" s="47" t="n"/>
      <c r="AB617" s="47" t="n"/>
      <c r="AC617" s="47" t="n"/>
      <c r="AD617" s="47" t="n"/>
      <c r="AE617" s="47" t="n"/>
      <c r="AF617" s="43">
        <f>IF($B617="","",SUM($T617:$AE617))</f>
        <v/>
      </c>
      <c r="AG617" s="43">
        <f>IF($B617="","",N($M617)-N($AF617))</f>
        <v/>
      </c>
      <c r="AH617" s="43">
        <f>IF($B617="","",N($L617)-N($AF617))</f>
        <v/>
      </c>
      <c r="AI617" s="149">
        <f>IF($B617="","",IF(N($L617)=0,"",(N($L617)-N($AF617))/N($L617)))</f>
        <v/>
      </c>
    </row>
    <row r="618">
      <c r="A618" s="39">
        <f>IF($B618="","",COUNTA($B$4:$B618))</f>
        <v/>
      </c>
      <c r="B618" s="40" t="n">
        <v>46096</v>
      </c>
      <c r="C618" s="41" t="n">
        <v>2355</v>
      </c>
      <c r="D618" s="41" t="inlineStr">
        <is>
          <t>حاتم البحر  ق</t>
        </is>
      </c>
      <c r="E618" s="41" t="inlineStr">
        <is>
          <t>1*20</t>
        </is>
      </c>
      <c r="F618" s="41" t="n"/>
      <c r="G618" s="41" t="inlineStr">
        <is>
          <t>العاشر</t>
        </is>
      </c>
      <c r="H618" s="41" t="inlineStr">
        <is>
          <t>126278/7</t>
        </is>
      </c>
      <c r="I618" s="41" t="inlineStr">
        <is>
          <t>ب د ن 6519</t>
        </is>
      </c>
      <c r="J618" s="41" t="inlineStr">
        <is>
          <t>عبد العزيز</t>
        </is>
      </c>
      <c r="K618" s="41" t="inlineStr">
        <is>
          <t xml:space="preserve">السائق </t>
        </is>
      </c>
      <c r="L618" s="42" t="n">
        <v>15000</v>
      </c>
      <c r="M618" s="42" t="n">
        <v>10100</v>
      </c>
      <c r="N618" s="42" t="n"/>
      <c r="O618" s="42" t="n">
        <v>200</v>
      </c>
      <c r="P618" s="42" t="n"/>
      <c r="Q618" s="42" t="n">
        <v>4700</v>
      </c>
      <c r="R618" s="43">
        <f>IF($B618="","",N($S618)-N($Q618))</f>
        <v/>
      </c>
      <c r="S618" s="43">
        <f>IF($B618="","",N($L618)+N($N618)+N($P618))</f>
        <v/>
      </c>
      <c r="T618" s="42" t="n"/>
      <c r="U618" s="42" t="n"/>
      <c r="V618" s="42" t="n"/>
      <c r="W618" s="42" t="n"/>
      <c r="X618" s="42" t="n"/>
      <c r="Y618" s="42" t="n"/>
      <c r="Z618" s="42" t="n"/>
      <c r="AA618" s="42" t="n"/>
      <c r="AB618" s="42" t="n"/>
      <c r="AC618" s="42" t="n"/>
      <c r="AD618" s="42" t="n"/>
      <c r="AE618" s="42" t="n"/>
      <c r="AF618" s="43">
        <f>IF($B618="","",SUM($T618:$AE618))</f>
        <v/>
      </c>
      <c r="AG618" s="43">
        <f>IF($B618="","",N($M618)-N($AF618))</f>
        <v/>
      </c>
      <c r="AH618" s="43">
        <f>IF($B618="","",N($L618)-N($AF618))</f>
        <v/>
      </c>
      <c r="AI618" s="149">
        <f>IF($B618="","",IF(N($L618)=0,"",(N($L618)-N($AF618))/N($L618)))</f>
        <v/>
      </c>
    </row>
    <row r="619">
      <c r="A619" s="39">
        <f>IF($B619="","",COUNTA($B$4:$B619))</f>
        <v/>
      </c>
      <c r="B619" s="45" t="n">
        <v>46096</v>
      </c>
      <c r="C619" s="46" t="n">
        <v>2358</v>
      </c>
      <c r="D619" s="46" t="inlineStr">
        <is>
          <t>حاتم البحر  ق</t>
        </is>
      </c>
      <c r="E619" s="46" t="inlineStr">
        <is>
          <t>1*20</t>
        </is>
      </c>
      <c r="F619" s="46" t="inlineStr">
        <is>
          <t xml:space="preserve">ايتال دور </t>
        </is>
      </c>
      <c r="G619" s="46" t="inlineStr">
        <is>
          <t xml:space="preserve">اكتوبر </t>
        </is>
      </c>
      <c r="H619" s="46" t="inlineStr">
        <is>
          <t>124349/5</t>
        </is>
      </c>
      <c r="I619" s="46" t="inlineStr">
        <is>
          <t>ب ر ا 2548</t>
        </is>
      </c>
      <c r="J619" s="46" t="inlineStr">
        <is>
          <t xml:space="preserve">محمد صقر </t>
        </is>
      </c>
      <c r="K619" s="46" t="inlineStr">
        <is>
          <t>رومانى</t>
        </is>
      </c>
      <c r="L619" s="47" t="n">
        <v>10000</v>
      </c>
      <c r="M619" s="47" t="n">
        <v>8100</v>
      </c>
      <c r="N619" s="47" t="n"/>
      <c r="O619" s="47" t="n">
        <v>200</v>
      </c>
      <c r="P619" s="47" t="n"/>
      <c r="Q619" s="47" t="n">
        <v>1700</v>
      </c>
      <c r="R619" s="43">
        <f>IF($B619="","",N($S619)-N($Q619))</f>
        <v/>
      </c>
      <c r="S619" s="43">
        <f>IF($B619="","",N($L619)+N($N619)+N($P619))</f>
        <v/>
      </c>
      <c r="T619" s="47" t="n"/>
      <c r="U619" s="47" t="n"/>
      <c r="V619" s="47" t="n"/>
      <c r="W619" s="47" t="n"/>
      <c r="X619" s="47" t="n"/>
      <c r="Y619" s="47" t="n"/>
      <c r="Z619" s="47" t="n"/>
      <c r="AA619" s="47" t="n"/>
      <c r="AB619" s="47" t="n"/>
      <c r="AC619" s="47" t="n"/>
      <c r="AD619" s="47" t="n"/>
      <c r="AE619" s="47" t="n"/>
      <c r="AF619" s="43">
        <f>IF($B619="","",SUM($T619:$AE619))</f>
        <v/>
      </c>
      <c r="AG619" s="43">
        <f>IF($B619="","",N($M619)-N($AF619))</f>
        <v/>
      </c>
      <c r="AH619" s="43">
        <f>IF($B619="","",N($L619)-N($AF619))</f>
        <v/>
      </c>
      <c r="AI619" s="149">
        <f>IF($B619="","",IF(N($L619)=0,"",(N($L619)-N($AF619))/N($L619)))</f>
        <v/>
      </c>
    </row>
    <row r="620">
      <c r="A620" s="39">
        <f>IF($B620="","",COUNTA($B$4:$B620))</f>
        <v/>
      </c>
      <c r="B620" s="40" t="n">
        <v>46096</v>
      </c>
      <c r="C620" s="41" t="n">
        <v>2354</v>
      </c>
      <c r="D620" s="41" t="inlineStr">
        <is>
          <t xml:space="preserve">البيبى </t>
        </is>
      </c>
      <c r="E620" s="41" t="inlineStr">
        <is>
          <t>1*40</t>
        </is>
      </c>
      <c r="F620" s="41" t="inlineStr">
        <is>
          <t xml:space="preserve">الكرنك </t>
        </is>
      </c>
      <c r="G620" s="41" t="inlineStr">
        <is>
          <t>الاسماعيليه</t>
        </is>
      </c>
      <c r="H620" s="41" t="inlineStr">
        <is>
          <t>390247/2</t>
        </is>
      </c>
      <c r="I620" s="41" t="inlineStr">
        <is>
          <t>س ف ب 4187</t>
        </is>
      </c>
      <c r="J620" s="41" t="inlineStr">
        <is>
          <t xml:space="preserve">نور محمد </t>
        </is>
      </c>
      <c r="K620" s="41" t="inlineStr">
        <is>
          <t xml:space="preserve">البيبى </t>
        </is>
      </c>
      <c r="L620" s="42" t="n">
        <v>20000</v>
      </c>
      <c r="M620" s="42" t="n">
        <v>10100</v>
      </c>
      <c r="N620" s="42" t="n"/>
      <c r="O620" s="42" t="n">
        <v>200</v>
      </c>
      <c r="P620" s="42" t="n"/>
      <c r="Q620" s="42" t="n">
        <v>9700</v>
      </c>
      <c r="R620" s="43">
        <f>IF($B620="","",N($S620)-N($Q620))</f>
        <v/>
      </c>
      <c r="S620" s="43">
        <f>IF($B620="","",N($L620)+N($N620)+N($P620))</f>
        <v/>
      </c>
      <c r="T620" s="42" t="n"/>
      <c r="U620" s="42" t="n"/>
      <c r="V620" s="42" t="n"/>
      <c r="W620" s="42" t="n"/>
      <c r="X620" s="42" t="n"/>
      <c r="Y620" s="42" t="n"/>
      <c r="Z620" s="42" t="n"/>
      <c r="AA620" s="42" t="n"/>
      <c r="AB620" s="42" t="n"/>
      <c r="AC620" s="42" t="n"/>
      <c r="AD620" s="42" t="n"/>
      <c r="AE620" s="42" t="n"/>
      <c r="AF620" s="43">
        <f>IF($B620="","",SUM($T620:$AE620))</f>
        <v/>
      </c>
      <c r="AG620" s="43">
        <f>IF($B620="","",N($M620)-N($AF620))</f>
        <v/>
      </c>
      <c r="AH620" s="43">
        <f>IF($B620="","",N($L620)-N($AF620))</f>
        <v/>
      </c>
      <c r="AI620" s="149">
        <f>IF($B620="","",IF(N($L620)=0,"",(N($L620)-N($AF620))/N($L620)))</f>
        <v/>
      </c>
    </row>
    <row r="621">
      <c r="A621" s="39">
        <f>IF($B621="","",COUNTA($B$4:$B621))</f>
        <v/>
      </c>
      <c r="B621" s="45" t="n">
        <v>46096</v>
      </c>
      <c r="C621" s="46" t="n">
        <v>2359</v>
      </c>
      <c r="D621" s="46" t="inlineStr">
        <is>
          <t>المكتب</t>
        </is>
      </c>
      <c r="E621" s="46" t="inlineStr">
        <is>
          <t>1*40</t>
        </is>
      </c>
      <c r="F621" s="46" t="inlineStr">
        <is>
          <t>الفارس</t>
        </is>
      </c>
      <c r="G621" s="46" t="inlineStr">
        <is>
          <t xml:space="preserve">المنيا </t>
        </is>
      </c>
      <c r="H621" s="46" t="inlineStr">
        <is>
          <t>432235/6</t>
        </is>
      </c>
      <c r="I621" s="46" t="inlineStr">
        <is>
          <t>س ع م 8737</t>
        </is>
      </c>
      <c r="J621" s="46" t="inlineStr">
        <is>
          <t xml:space="preserve">حودة بكر </t>
        </is>
      </c>
      <c r="K621" s="46" t="inlineStr">
        <is>
          <t>المكتب</t>
        </is>
      </c>
      <c r="L621" s="47" t="n">
        <v>29000</v>
      </c>
      <c r="M621" s="47" t="n">
        <v>12000</v>
      </c>
      <c r="N621" s="47" t="n"/>
      <c r="O621" s="47" t="n"/>
      <c r="P621" s="47" t="n"/>
      <c r="Q621" s="47" t="n">
        <v>17000</v>
      </c>
      <c r="R621" s="43">
        <f>IF($B621="","",N($S621)-N($Q621))</f>
        <v/>
      </c>
      <c r="S621" s="43">
        <f>IF($B621="","",N($L621)+N($N621)+N($P621))</f>
        <v/>
      </c>
      <c r="T621" s="47" t="n">
        <v>2500</v>
      </c>
      <c r="U621" s="47" t="n">
        <v>1100</v>
      </c>
      <c r="V621" s="47" t="n"/>
      <c r="W621" s="47" t="n">
        <v>150</v>
      </c>
      <c r="X621" s="47" t="n">
        <v>180</v>
      </c>
      <c r="Y621" s="47" t="n">
        <v>60</v>
      </c>
      <c r="Z621" s="47" t="n"/>
      <c r="AA621" s="47" t="n"/>
      <c r="AB621" s="47" t="n"/>
      <c r="AC621" s="47" t="n">
        <v>200</v>
      </c>
      <c r="AD621" s="47" t="n"/>
      <c r="AE621" s="47" t="n">
        <v>7610</v>
      </c>
      <c r="AF621" s="43">
        <f>IF($B621="","",SUM($T621:$AE621))</f>
        <v/>
      </c>
      <c r="AG621" s="43">
        <f>IF($B621="","",N($M621)-N($AF621))</f>
        <v/>
      </c>
      <c r="AH621" s="43">
        <f>IF($B621="","",N($L621)-N($AF621))</f>
        <v/>
      </c>
      <c r="AI621" s="149">
        <f>IF($B621="","",IF(N($L621)=0,"",(N($L621)-N($AF621))/N($L621)))</f>
        <v/>
      </c>
    </row>
    <row r="622">
      <c r="A622" s="39">
        <f>IF($B622="","",COUNTA($B$4:$B622))</f>
        <v/>
      </c>
      <c r="B622" s="40" t="n">
        <v>46096</v>
      </c>
      <c r="C622" s="41" t="n">
        <v>2360</v>
      </c>
      <c r="D622" s="41" t="inlineStr">
        <is>
          <t>احمد عبدو خ</t>
        </is>
      </c>
      <c r="E622" s="41" t="inlineStr">
        <is>
          <t>1*40</t>
        </is>
      </c>
      <c r="F622" s="41" t="inlineStr">
        <is>
          <t>الفارس</t>
        </is>
      </c>
      <c r="G622" s="41" t="inlineStr">
        <is>
          <t xml:space="preserve">المنيا </t>
        </is>
      </c>
      <c r="H622" s="41" t="inlineStr">
        <is>
          <t>619981/1</t>
        </is>
      </c>
      <c r="I622" s="41" t="inlineStr">
        <is>
          <t>س ر ا 6671</t>
        </is>
      </c>
      <c r="J622" s="41" t="inlineStr">
        <is>
          <t xml:space="preserve">السيد بدوى </t>
        </is>
      </c>
      <c r="K622" s="41" t="inlineStr">
        <is>
          <t xml:space="preserve">حمو مرزوق </t>
        </is>
      </c>
      <c r="L622" s="42" t="n">
        <v>29000</v>
      </c>
      <c r="M622" s="42" t="n">
        <v>15100</v>
      </c>
      <c r="N622" s="42" t="n"/>
      <c r="O622" s="42" t="n">
        <v>200</v>
      </c>
      <c r="P622" s="42" t="n"/>
      <c r="Q622" s="42" t="n">
        <v>13700</v>
      </c>
      <c r="R622" s="43">
        <f>IF($B622="","",N($S622)-N($Q622))</f>
        <v/>
      </c>
      <c r="S622" s="43">
        <f>IF($B622="","",N($L622)+N($N622)+N($P622))</f>
        <v/>
      </c>
      <c r="T622" s="42" t="n"/>
      <c r="U622" s="42" t="n"/>
      <c r="V622" s="42" t="n"/>
      <c r="W622" s="42" t="n"/>
      <c r="X622" s="42" t="n"/>
      <c r="Y622" s="42" t="n"/>
      <c r="Z622" s="42" t="n"/>
      <c r="AA622" s="42" t="n"/>
      <c r="AB622" s="42" t="n"/>
      <c r="AC622" s="42" t="n"/>
      <c r="AD622" s="42" t="n"/>
      <c r="AE622" s="42" t="n"/>
      <c r="AF622" s="43">
        <f>IF($B622="","",SUM($T622:$AE622))</f>
        <v/>
      </c>
      <c r="AG622" s="43">
        <f>IF($B622="","",N($M622)-N($AF622))</f>
        <v/>
      </c>
      <c r="AH622" s="43">
        <f>IF($B622="","",N($L622)-N($AF622))</f>
        <v/>
      </c>
      <c r="AI622" s="149">
        <f>IF($B622="","",IF(N($L622)=0,"",(N($L622)-N($AF622))/N($L622)))</f>
        <v/>
      </c>
    </row>
    <row r="623">
      <c r="A623" s="39">
        <f>IF($B623="","",COUNTA($B$4:$B623))</f>
        <v/>
      </c>
      <c r="B623" s="45" t="n">
        <v>46096</v>
      </c>
      <c r="C623" s="46" t="n">
        <v>2217</v>
      </c>
      <c r="D623" s="46" t="inlineStr">
        <is>
          <t>الوردانى</t>
        </is>
      </c>
      <c r="E623" s="46" t="inlineStr">
        <is>
          <t>1*40</t>
        </is>
      </c>
      <c r="F623" s="46" t="inlineStr">
        <is>
          <t xml:space="preserve">تى فارم </t>
        </is>
      </c>
      <c r="G623" s="46" t="inlineStr">
        <is>
          <t xml:space="preserve">النوبارية </t>
        </is>
      </c>
      <c r="H623" s="46" t="inlineStr">
        <is>
          <t>123154/5</t>
        </is>
      </c>
      <c r="I623" s="46" t="inlineStr">
        <is>
          <t>س ع ه 2426</t>
        </is>
      </c>
      <c r="J623" s="46" t="inlineStr">
        <is>
          <t xml:space="preserve">اسلام الوردانى </t>
        </is>
      </c>
      <c r="K623" s="46" t="inlineStr">
        <is>
          <t xml:space="preserve">الوردانى </t>
        </is>
      </c>
      <c r="L623" s="47" t="n">
        <v>15000</v>
      </c>
      <c r="M623" s="47" t="n">
        <v>10100</v>
      </c>
      <c r="N623" s="47" t="n"/>
      <c r="O623" s="47" t="n">
        <v>200</v>
      </c>
      <c r="P623" s="47" t="n"/>
      <c r="Q623" s="47" t="n">
        <v>4700</v>
      </c>
      <c r="R623" s="43">
        <f>IF($B623="","",N($S623)-N($Q623))</f>
        <v/>
      </c>
      <c r="S623" s="43">
        <f>IF($B623="","",N($L623)+N($N623)+N($P623))</f>
        <v/>
      </c>
      <c r="T623" s="47" t="n"/>
      <c r="U623" s="47" t="n"/>
      <c r="V623" s="47" t="n"/>
      <c r="W623" s="47" t="n"/>
      <c r="X623" s="47" t="n"/>
      <c r="Y623" s="47" t="n"/>
      <c r="Z623" s="47" t="n"/>
      <c r="AA623" s="47" t="n"/>
      <c r="AB623" s="47" t="n"/>
      <c r="AC623" s="47" t="n"/>
      <c r="AD623" s="47" t="n"/>
      <c r="AE623" s="47" t="n"/>
      <c r="AF623" s="43">
        <f>IF($B623="","",SUM($T623:$AE623))</f>
        <v/>
      </c>
      <c r="AG623" s="43">
        <f>IF($B623="","",N($M623)-N($AF623))</f>
        <v/>
      </c>
      <c r="AH623" s="43">
        <f>IF($B623="","",N($L623)-N($AF623))</f>
        <v/>
      </c>
      <c r="AI623" s="149">
        <f>IF($B623="","",IF(N($L623)=0,"",(N($L623)-N($AF623))/N($L623)))</f>
        <v/>
      </c>
    </row>
    <row r="624">
      <c r="A624" s="39">
        <f>IF($B624="","",COUNTA($B$4:$B624))</f>
        <v/>
      </c>
      <c r="B624" s="40" t="n">
        <v>46096</v>
      </c>
      <c r="C624" s="41" t="n">
        <v>2218</v>
      </c>
      <c r="D624" s="41" t="inlineStr">
        <is>
          <t xml:space="preserve">محمد سعيد </t>
        </is>
      </c>
      <c r="E624" s="41" t="inlineStr">
        <is>
          <t>1*40</t>
        </is>
      </c>
      <c r="F624" s="41" t="inlineStr">
        <is>
          <t xml:space="preserve">تى فارم </t>
        </is>
      </c>
      <c r="G624" s="41" t="inlineStr">
        <is>
          <t xml:space="preserve">النوبارية </t>
        </is>
      </c>
      <c r="H624" s="41" t="inlineStr">
        <is>
          <t>405210/4</t>
        </is>
      </c>
      <c r="I624" s="41" t="inlineStr">
        <is>
          <t>س ق ا 3745</t>
        </is>
      </c>
      <c r="J624" s="41" t="inlineStr">
        <is>
          <t>سعيد غراب</t>
        </is>
      </c>
      <c r="K624" s="41" t="inlineStr">
        <is>
          <t xml:space="preserve">سمارة </t>
        </is>
      </c>
      <c r="L624" s="42" t="n">
        <v>13000</v>
      </c>
      <c r="M624" s="42" t="n">
        <v>8100</v>
      </c>
      <c r="N624" s="42" t="n"/>
      <c r="O624" s="42" t="n">
        <v>200</v>
      </c>
      <c r="P624" s="42" t="n"/>
      <c r="Q624" s="42" t="n">
        <v>4700</v>
      </c>
      <c r="R624" s="43">
        <f>IF($B624="","",N($S624)-N($Q624))</f>
        <v/>
      </c>
      <c r="S624" s="43">
        <f>IF($B624="","",N($L624)+N($N624)+N($P624))</f>
        <v/>
      </c>
      <c r="T624" s="42" t="n"/>
      <c r="U624" s="42" t="n"/>
      <c r="V624" s="42" t="n"/>
      <c r="W624" s="42" t="n"/>
      <c r="X624" s="42" t="n"/>
      <c r="Y624" s="42" t="n"/>
      <c r="Z624" s="42" t="n"/>
      <c r="AA624" s="42" t="n"/>
      <c r="AB624" s="42" t="n"/>
      <c r="AC624" s="42" t="n"/>
      <c r="AD624" s="42" t="n"/>
      <c r="AE624" s="42" t="n"/>
      <c r="AF624" s="43">
        <f>IF($B624="","",SUM($T624:$AE624))</f>
        <v/>
      </c>
      <c r="AG624" s="43">
        <f>IF($B624="","",N($M624)-N($AF624))</f>
        <v/>
      </c>
      <c r="AH624" s="43">
        <f>IF($B624="","",N($L624)-N($AF624))</f>
        <v/>
      </c>
      <c r="AI624" s="149">
        <f>IF($B624="","",IF(N($L624)=0,"",(N($L624)-N($AF624))/N($L624)))</f>
        <v/>
      </c>
    </row>
    <row r="625">
      <c r="A625" s="39">
        <f>IF($B625="","",COUNTA($B$4:$B625))</f>
        <v/>
      </c>
      <c r="B625" s="45" t="n">
        <v>46096</v>
      </c>
      <c r="C625" s="46" t="n">
        <v>2220</v>
      </c>
      <c r="D625" s="46" t="inlineStr">
        <is>
          <t>حاتم البحر  ق</t>
        </is>
      </c>
      <c r="E625" s="46" t="inlineStr">
        <is>
          <t>1*40</t>
        </is>
      </c>
      <c r="F625" s="46" t="inlineStr">
        <is>
          <t xml:space="preserve">تى فارم </t>
        </is>
      </c>
      <c r="G625" s="46" t="inlineStr">
        <is>
          <t xml:space="preserve">النوبارية </t>
        </is>
      </c>
      <c r="H625" s="46" t="inlineStr">
        <is>
          <t>550076/0</t>
        </is>
      </c>
      <c r="I625" s="46" t="inlineStr">
        <is>
          <t>س ق ر 9913</t>
        </is>
      </c>
      <c r="J625" s="46" t="inlineStr">
        <is>
          <t xml:space="preserve">ياسر الصول </t>
        </is>
      </c>
      <c r="K625" s="46" t="inlineStr">
        <is>
          <t>سامح الصول</t>
        </is>
      </c>
      <c r="L625" s="47" t="n">
        <v>13000</v>
      </c>
      <c r="M625" s="47" t="n">
        <v>8100</v>
      </c>
      <c r="N625" s="47" t="n"/>
      <c r="O625" s="47" t="n">
        <v>200</v>
      </c>
      <c r="P625" s="47" t="n"/>
      <c r="Q625" s="47" t="n">
        <v>4700</v>
      </c>
      <c r="R625" s="43">
        <f>IF($B625="","",N($S625)-N($Q625))</f>
        <v/>
      </c>
      <c r="S625" s="43">
        <f>IF($B625="","",N($L625)+N($N625)+N($P625))</f>
        <v/>
      </c>
      <c r="T625" s="47" t="n"/>
      <c r="U625" s="47" t="n"/>
      <c r="V625" s="47" t="n"/>
      <c r="W625" s="47" t="n"/>
      <c r="X625" s="47" t="n"/>
      <c r="Y625" s="47" t="n"/>
      <c r="Z625" s="47" t="n"/>
      <c r="AA625" s="47" t="n"/>
      <c r="AB625" s="47" t="n"/>
      <c r="AC625" s="47" t="n"/>
      <c r="AD625" s="47" t="n"/>
      <c r="AE625" s="47" t="n"/>
      <c r="AF625" s="43">
        <f>IF($B625="","",SUM($T625:$AE625))</f>
        <v/>
      </c>
      <c r="AG625" s="43">
        <f>IF($B625="","",N($M625)-N($AF625))</f>
        <v/>
      </c>
      <c r="AH625" s="43">
        <f>IF($B625="","",N($L625)-N($AF625))</f>
        <v/>
      </c>
      <c r="AI625" s="149">
        <f>IF($B625="","",IF(N($L625)=0,"",(N($L625)-N($AF625))/N($L625)))</f>
        <v/>
      </c>
    </row>
    <row r="626">
      <c r="A626" s="39">
        <f>IF($B626="","",COUNTA($B$4:$B626))</f>
        <v/>
      </c>
      <c r="B626" s="40" t="n">
        <v>46096</v>
      </c>
      <c r="C626" s="41" t="n">
        <v>2219</v>
      </c>
      <c r="D626" s="41" t="inlineStr">
        <is>
          <t>حاتم البحر  ق</t>
        </is>
      </c>
      <c r="E626" s="41" t="inlineStr">
        <is>
          <t>1*40</t>
        </is>
      </c>
      <c r="F626" s="41" t="inlineStr">
        <is>
          <t xml:space="preserve">تى فارم </t>
        </is>
      </c>
      <c r="G626" s="41" t="inlineStr">
        <is>
          <t xml:space="preserve">النوبارية </t>
        </is>
      </c>
      <c r="H626" s="41" t="inlineStr">
        <is>
          <t>113574/0</t>
        </is>
      </c>
      <c r="I626" s="41" t="inlineStr">
        <is>
          <t>س ن ر 9744</t>
        </is>
      </c>
      <c r="J626" s="41" t="inlineStr">
        <is>
          <t xml:space="preserve">محمد رمضان </t>
        </is>
      </c>
      <c r="K626" s="41" t="inlineStr">
        <is>
          <t xml:space="preserve">حودة خليف </t>
        </is>
      </c>
      <c r="L626" s="42" t="n">
        <v>14500</v>
      </c>
      <c r="M626" s="42" t="n">
        <v>8100</v>
      </c>
      <c r="N626" s="42" t="n"/>
      <c r="O626" s="42" t="n">
        <v>200</v>
      </c>
      <c r="P626" s="42" t="n"/>
      <c r="Q626" s="42" t="n">
        <v>6200</v>
      </c>
      <c r="R626" s="43">
        <f>IF($B626="","",N($S626)-N($Q626))</f>
        <v/>
      </c>
      <c r="S626" s="43">
        <f>IF($B626="","",N($L626)+N($N626)+N($P626))</f>
        <v/>
      </c>
      <c r="T626" s="42" t="n"/>
      <c r="U626" s="42" t="n"/>
      <c r="V626" s="42" t="n"/>
      <c r="W626" s="42" t="n"/>
      <c r="X626" s="42" t="n"/>
      <c r="Y626" s="42" t="n"/>
      <c r="Z626" s="42" t="n"/>
      <c r="AA626" s="42" t="n"/>
      <c r="AB626" s="42" t="n"/>
      <c r="AC626" s="42" t="n"/>
      <c r="AD626" s="42" t="n"/>
      <c r="AE626" s="42" t="n"/>
      <c r="AF626" s="43">
        <f>IF($B626="","",SUM($T626:$AE626))</f>
        <v/>
      </c>
      <c r="AG626" s="43">
        <f>IF($B626="","",N($M626)-N($AF626))</f>
        <v/>
      </c>
      <c r="AH626" s="43">
        <f>IF($B626="","",N($L626)-N($AF626))</f>
        <v/>
      </c>
      <c r="AI626" s="149">
        <f>IF($B626="","",IF(N($L626)=0,"",(N($L626)-N($AF626))/N($L626)))</f>
        <v/>
      </c>
    </row>
    <row r="627">
      <c r="A627" s="39">
        <f>IF($B627="","",COUNTA($B$4:$B627))</f>
        <v/>
      </c>
      <c r="B627" s="45" t="n">
        <v>46096</v>
      </c>
      <c r="C627" s="46" t="n">
        <v>2221</v>
      </c>
      <c r="D627" s="46" t="inlineStr">
        <is>
          <t>حاتم البحر  ق</t>
        </is>
      </c>
      <c r="E627" s="46" t="inlineStr">
        <is>
          <t>1*40</t>
        </is>
      </c>
      <c r="F627" s="46" t="inlineStr">
        <is>
          <t xml:space="preserve">تى فارم </t>
        </is>
      </c>
      <c r="G627" s="46" t="inlineStr">
        <is>
          <t xml:space="preserve">النوبارية </t>
        </is>
      </c>
      <c r="H627" s="46" t="inlineStr">
        <is>
          <t>405252/6</t>
        </is>
      </c>
      <c r="I627" s="46" t="inlineStr">
        <is>
          <t>س و ر 2353</t>
        </is>
      </c>
      <c r="J627" s="46" t="inlineStr">
        <is>
          <t xml:space="preserve">ناصر محمود </t>
        </is>
      </c>
      <c r="K627" s="46" t="inlineStr">
        <is>
          <t>سامح الصول</t>
        </is>
      </c>
      <c r="L627" s="47" t="n">
        <v>13000</v>
      </c>
      <c r="M627" s="47" t="n">
        <v>8100</v>
      </c>
      <c r="N627" s="47" t="n"/>
      <c r="O627" s="47" t="n">
        <v>200</v>
      </c>
      <c r="P627" s="47" t="n"/>
      <c r="Q627" s="47" t="n">
        <v>4700</v>
      </c>
      <c r="R627" s="43">
        <f>IF($B627="","",N($S627)-N($Q627))</f>
        <v/>
      </c>
      <c r="S627" s="43">
        <f>IF($B627="","",N($L627)+N($N627)+N($P627))</f>
        <v/>
      </c>
      <c r="T627" s="47" t="n"/>
      <c r="U627" s="47" t="n"/>
      <c r="V627" s="47" t="n"/>
      <c r="W627" s="47" t="n"/>
      <c r="X627" s="47" t="n"/>
      <c r="Y627" s="47" t="n"/>
      <c r="Z627" s="47" t="n"/>
      <c r="AA627" s="47" t="n"/>
      <c r="AB627" s="47" t="n"/>
      <c r="AC627" s="47" t="n"/>
      <c r="AD627" s="47" t="n"/>
      <c r="AE627" s="47" t="n"/>
      <c r="AF627" s="43">
        <f>IF($B627="","",SUM($T627:$AE627))</f>
        <v/>
      </c>
      <c r="AG627" s="43">
        <f>IF($B627="","",N($M627)-N($AF627))</f>
        <v/>
      </c>
      <c r="AH627" s="43">
        <f>IF($B627="","",N($L627)-N($AF627))</f>
        <v/>
      </c>
      <c r="AI627" s="149">
        <f>IF($B627="","",IF(N($L627)=0,"",(N($L627)-N($AF627))/N($L627)))</f>
        <v/>
      </c>
    </row>
    <row r="628">
      <c r="A628" s="39">
        <f>IF($B628="","",COUNTA($B$4:$B628))</f>
        <v/>
      </c>
      <c r="B628" s="40" t="n">
        <v>46096</v>
      </c>
      <c r="C628" s="41" t="n">
        <v>2222</v>
      </c>
      <c r="D628" s="41" t="inlineStr">
        <is>
          <t xml:space="preserve">حودة عز </t>
        </is>
      </c>
      <c r="E628" s="41" t="inlineStr">
        <is>
          <t>1*40</t>
        </is>
      </c>
      <c r="F628" s="41" t="inlineStr">
        <is>
          <t xml:space="preserve">تى فارم </t>
        </is>
      </c>
      <c r="G628" s="41" t="inlineStr">
        <is>
          <t xml:space="preserve">النوبارية </t>
        </is>
      </c>
      <c r="H628" s="41" t="inlineStr">
        <is>
          <t>611228/3</t>
        </is>
      </c>
      <c r="I628" s="41" t="inlineStr">
        <is>
          <t>س ن ف 1927</t>
        </is>
      </c>
      <c r="J628" s="41" t="inlineStr">
        <is>
          <t xml:space="preserve">حودة عز </t>
        </is>
      </c>
      <c r="K628" s="41" t="inlineStr">
        <is>
          <t xml:space="preserve">حودة عز </t>
        </is>
      </c>
      <c r="L628" s="42" t="n">
        <v>13000</v>
      </c>
      <c r="M628" s="42" t="n">
        <v>10100</v>
      </c>
      <c r="N628" s="42" t="n"/>
      <c r="O628" s="42" t="n">
        <v>200</v>
      </c>
      <c r="P628" s="42" t="n"/>
      <c r="Q628" s="42" t="n">
        <v>2700</v>
      </c>
      <c r="R628" s="43">
        <f>IF($B628="","",N($S628)-N($Q628))</f>
        <v/>
      </c>
      <c r="S628" s="43">
        <f>IF($B628="","",N($L628)+N($N628)+N($P628))</f>
        <v/>
      </c>
      <c r="T628" s="42" t="n"/>
      <c r="U628" s="42" t="n"/>
      <c r="V628" s="42" t="n"/>
      <c r="W628" s="42" t="n"/>
      <c r="X628" s="42" t="n"/>
      <c r="Y628" s="42" t="n"/>
      <c r="Z628" s="42" t="n"/>
      <c r="AA628" s="42" t="n"/>
      <c r="AB628" s="42" t="n"/>
      <c r="AC628" s="42" t="n"/>
      <c r="AD628" s="42" t="n"/>
      <c r="AE628" s="42" t="n"/>
      <c r="AF628" s="43">
        <f>IF($B628="","",SUM($T628:$AE628))</f>
        <v/>
      </c>
      <c r="AG628" s="43">
        <f>IF($B628="","",N($M628)-N($AF628))</f>
        <v/>
      </c>
      <c r="AH628" s="43">
        <f>IF($B628="","",N($L628)-N($AF628))</f>
        <v/>
      </c>
      <c r="AI628" s="149">
        <f>IF($B628="","",IF(N($L628)=0,"",(N($L628)-N($AF628))/N($L628)))</f>
        <v/>
      </c>
    </row>
    <row r="629">
      <c r="A629" s="39">
        <f>IF($B629="","",COUNTA($B$4:$B629))</f>
        <v/>
      </c>
      <c r="B629" s="45" t="n">
        <v>46096</v>
      </c>
      <c r="C629" s="46" t="n">
        <v>2099</v>
      </c>
      <c r="D629" s="46" t="inlineStr">
        <is>
          <t>حمادة ذكى</t>
        </is>
      </c>
      <c r="E629" s="46" t="inlineStr">
        <is>
          <t>1*40</t>
        </is>
      </c>
      <c r="F629" s="46" t="inlineStr">
        <is>
          <t xml:space="preserve">اورينت </t>
        </is>
      </c>
      <c r="G629" s="46" t="inlineStr">
        <is>
          <t xml:space="preserve">العاشر </t>
        </is>
      </c>
      <c r="H629" s="46" t="inlineStr">
        <is>
          <t>550652/6</t>
        </is>
      </c>
      <c r="I629" s="46" t="inlineStr">
        <is>
          <t>س ق ا 4698</t>
        </is>
      </c>
      <c r="J629" s="46" t="inlineStr">
        <is>
          <t xml:space="preserve">ناصر سعد </t>
        </is>
      </c>
      <c r="K629" s="46" t="inlineStr">
        <is>
          <t xml:space="preserve">حمادة ذكى </t>
        </is>
      </c>
      <c r="L629" s="47" t="n">
        <v>15500</v>
      </c>
      <c r="M629" s="47" t="n">
        <v>8100</v>
      </c>
      <c r="N629" s="47" t="n"/>
      <c r="O629" s="47" t="n">
        <v>200</v>
      </c>
      <c r="P629" s="47" t="n"/>
      <c r="Q629" s="47" t="n">
        <v>7200</v>
      </c>
      <c r="R629" s="43">
        <f>IF($B629="","",N($S629)-N($Q629))</f>
        <v/>
      </c>
      <c r="S629" s="43">
        <f>IF($B629="","",N($L629)+N($N629)+N($P629))</f>
        <v/>
      </c>
      <c r="T629" s="47" t="n"/>
      <c r="U629" s="47" t="n"/>
      <c r="V629" s="47" t="n"/>
      <c r="W629" s="47" t="n"/>
      <c r="X629" s="47" t="n"/>
      <c r="Y629" s="47" t="n"/>
      <c r="Z629" s="47" t="n"/>
      <c r="AA629" s="47" t="n"/>
      <c r="AB629" s="47" t="n"/>
      <c r="AC629" s="47" t="n"/>
      <c r="AD629" s="47" t="n"/>
      <c r="AE629" s="47" t="n"/>
      <c r="AF629" s="43">
        <f>IF($B629="","",SUM($T629:$AE629))</f>
        <v/>
      </c>
      <c r="AG629" s="43">
        <f>IF($B629="","",N($M629)-N($AF629))</f>
        <v/>
      </c>
      <c r="AH629" s="43">
        <f>IF($B629="","",N($L629)-N($AF629))</f>
        <v/>
      </c>
      <c r="AI629" s="149">
        <f>IF($B629="","",IF(N($L629)=0,"",(N($L629)-N($AF629))/N($L629)))</f>
        <v/>
      </c>
    </row>
    <row r="630">
      <c r="A630" s="39">
        <f>IF($B630="","",COUNTA($B$4:$B630))</f>
        <v/>
      </c>
      <c r="B630" s="40" t="n">
        <v>46096</v>
      </c>
      <c r="C630" s="41" t="n">
        <v>2098</v>
      </c>
      <c r="D630" s="41" t="inlineStr">
        <is>
          <t xml:space="preserve">بدوى صلاح </t>
        </is>
      </c>
      <c r="E630" s="41" t="inlineStr">
        <is>
          <t>1*40</t>
        </is>
      </c>
      <c r="F630" s="41" t="inlineStr">
        <is>
          <t xml:space="preserve">اورينت </t>
        </is>
      </c>
      <c r="G630" s="41" t="inlineStr">
        <is>
          <t xml:space="preserve">العاشر </t>
        </is>
      </c>
      <c r="H630" s="41" t="inlineStr">
        <is>
          <t>501068/3</t>
        </is>
      </c>
      <c r="I630" s="41" t="inlineStr">
        <is>
          <t>ص ع ا 7538</t>
        </is>
      </c>
      <c r="J630" s="41" t="inlineStr">
        <is>
          <t xml:space="preserve">رمضان الصاوى </t>
        </is>
      </c>
      <c r="K630" s="41" t="inlineStr">
        <is>
          <t xml:space="preserve">رمضان الصاوى </t>
        </is>
      </c>
      <c r="L630" s="42" t="n">
        <v>16000</v>
      </c>
      <c r="M630" s="42" t="n">
        <v>9100</v>
      </c>
      <c r="N630" s="42" t="n"/>
      <c r="O630" s="42" t="n">
        <v>200</v>
      </c>
      <c r="P630" s="42" t="n"/>
      <c r="Q630" s="42" t="n">
        <v>6700</v>
      </c>
      <c r="R630" s="43">
        <f>IF($B630="","",N($S630)-N($Q630))</f>
        <v/>
      </c>
      <c r="S630" s="43">
        <f>IF($B630="","",N($L630)+N($N630)+N($P630))</f>
        <v/>
      </c>
      <c r="T630" s="42" t="n"/>
      <c r="U630" s="42" t="n"/>
      <c r="V630" s="42" t="n"/>
      <c r="W630" s="42" t="n"/>
      <c r="X630" s="42" t="n"/>
      <c r="Y630" s="42" t="n"/>
      <c r="Z630" s="42" t="n"/>
      <c r="AA630" s="42" t="n"/>
      <c r="AB630" s="42" t="n"/>
      <c r="AC630" s="42" t="n"/>
      <c r="AD630" s="42" t="n"/>
      <c r="AE630" s="42" t="n"/>
      <c r="AF630" s="43">
        <f>IF($B630="","",SUM($T630:$AE630))</f>
        <v/>
      </c>
      <c r="AG630" s="43">
        <f>IF($B630="","",N($M630)-N($AF630))</f>
        <v/>
      </c>
      <c r="AH630" s="43">
        <f>IF($B630="","",N($L630)-N($AF630))</f>
        <v/>
      </c>
      <c r="AI630" s="149">
        <f>IF($B630="","",IF(N($L630)=0,"",(N($L630)-N($AF630))/N($L630)))</f>
        <v/>
      </c>
    </row>
    <row r="631">
      <c r="A631" s="39">
        <f>IF($B631="","",COUNTA($B$4:$B631))</f>
        <v/>
      </c>
      <c r="B631" s="45" t="n">
        <v>46096</v>
      </c>
      <c r="C631" s="46" t="n">
        <v>2100</v>
      </c>
      <c r="D631" s="46" t="inlineStr">
        <is>
          <t>احمد عبدو خ</t>
        </is>
      </c>
      <c r="E631" s="46" t="inlineStr">
        <is>
          <t>1*40</t>
        </is>
      </c>
      <c r="F631" s="46" t="inlineStr">
        <is>
          <t xml:space="preserve">الدولية </t>
        </is>
      </c>
      <c r="G631" s="46" t="inlineStr">
        <is>
          <t xml:space="preserve">السادات </t>
        </is>
      </c>
      <c r="H631" s="46" t="inlineStr">
        <is>
          <t>552806/6</t>
        </is>
      </c>
      <c r="I631" s="46" t="inlineStr">
        <is>
          <t>س ا ه 8198</t>
        </is>
      </c>
      <c r="J631" s="46" t="inlineStr">
        <is>
          <t xml:space="preserve">مصطفى علاء </t>
        </is>
      </c>
      <c r="K631" s="46" t="inlineStr">
        <is>
          <t xml:space="preserve">علاء علام </t>
        </is>
      </c>
      <c r="L631" s="47" t="n">
        <v>12500</v>
      </c>
      <c r="M631" s="47" t="n">
        <v>8100</v>
      </c>
      <c r="N631" s="47" t="n"/>
      <c r="O631" s="47" t="n">
        <v>200</v>
      </c>
      <c r="P631" s="47" t="n"/>
      <c r="Q631" s="47" t="n">
        <v>4200</v>
      </c>
      <c r="R631" s="43">
        <f>IF($B631="","",N($S631)-N($Q631))</f>
        <v/>
      </c>
      <c r="S631" s="43">
        <f>IF($B631="","",N($L631)+N($N631)+N($P631))</f>
        <v/>
      </c>
      <c r="T631" s="47" t="n"/>
      <c r="U631" s="47" t="n"/>
      <c r="V631" s="47" t="n"/>
      <c r="W631" s="47" t="n"/>
      <c r="X631" s="47" t="n"/>
      <c r="Y631" s="47" t="n"/>
      <c r="Z631" s="47" t="n"/>
      <c r="AA631" s="47" t="n"/>
      <c r="AB631" s="47" t="n"/>
      <c r="AC631" s="47" t="n"/>
      <c r="AD631" s="47" t="n"/>
      <c r="AE631" s="47" t="n"/>
      <c r="AF631" s="43">
        <f>IF($B631="","",SUM($T631:$AE631))</f>
        <v/>
      </c>
      <c r="AG631" s="43">
        <f>IF($B631="","",N($M631)-N($AF631))</f>
        <v/>
      </c>
      <c r="AH631" s="43">
        <f>IF($B631="","",N($L631)-N($AF631))</f>
        <v/>
      </c>
      <c r="AI631" s="149">
        <f>IF($B631="","",IF(N($L631)=0,"",(N($L631)-N($AF631))/N($L631)))</f>
        <v/>
      </c>
    </row>
    <row r="632">
      <c r="A632" s="39">
        <f>IF($B632="","",COUNTA($B$4:$B632))</f>
        <v/>
      </c>
      <c r="B632" s="40" t="n">
        <v>46096</v>
      </c>
      <c r="C632" s="41" t="n">
        <v>2118</v>
      </c>
      <c r="D632" s="41" t="inlineStr">
        <is>
          <t xml:space="preserve">عبد الله عتمان </t>
        </is>
      </c>
      <c r="E632" s="41" t="inlineStr">
        <is>
          <t>1*40</t>
        </is>
      </c>
      <c r="F632" s="41" t="inlineStr">
        <is>
          <t xml:space="preserve">الدولية </t>
        </is>
      </c>
      <c r="G632" s="41" t="inlineStr">
        <is>
          <t>العاشر</t>
        </is>
      </c>
      <c r="H632" s="41" t="inlineStr">
        <is>
          <t>871454/9</t>
        </is>
      </c>
      <c r="I632" s="41" t="inlineStr">
        <is>
          <t>ب رط 1864</t>
        </is>
      </c>
      <c r="J632" s="41" t="inlineStr">
        <is>
          <t xml:space="preserve">محمد ابو هبل </t>
        </is>
      </c>
      <c r="K632" s="41" t="inlineStr">
        <is>
          <t xml:space="preserve">الليبر </t>
        </is>
      </c>
      <c r="L632" s="42" t="n">
        <v>15000</v>
      </c>
      <c r="M632" s="42" t="n">
        <v>8100</v>
      </c>
      <c r="N632" s="42" t="n"/>
      <c r="O632" s="42" t="n">
        <v>200</v>
      </c>
      <c r="P632" s="42" t="n"/>
      <c r="Q632" s="42" t="n">
        <v>6700</v>
      </c>
      <c r="R632" s="43">
        <f>IF($B632="","",N($S632)-N($Q632))</f>
        <v/>
      </c>
      <c r="S632" s="43">
        <f>IF($B632="","",N($L632)+N($N632)+N($P632))</f>
        <v/>
      </c>
      <c r="T632" s="42" t="n"/>
      <c r="U632" s="42" t="n"/>
      <c r="V632" s="42" t="n"/>
      <c r="W632" s="42" t="n"/>
      <c r="X632" s="42" t="n"/>
      <c r="Y632" s="42" t="n"/>
      <c r="Z632" s="42" t="n"/>
      <c r="AA632" s="42" t="n"/>
      <c r="AB632" s="42" t="n"/>
      <c r="AC632" s="42" t="n"/>
      <c r="AD632" s="42" t="n"/>
      <c r="AE632" s="42" t="n"/>
      <c r="AF632" s="43">
        <f>IF($B632="","",SUM($T632:$AE632))</f>
        <v/>
      </c>
      <c r="AG632" s="43">
        <f>IF($B632="","",N($M632)-N($AF632))</f>
        <v/>
      </c>
      <c r="AH632" s="43">
        <f>IF($B632="","",N($L632)-N($AF632))</f>
        <v/>
      </c>
      <c r="AI632" s="149">
        <f>IF($B632="","",IF(N($L632)=0,"",(N($L632)-N($AF632))/N($L632)))</f>
        <v/>
      </c>
    </row>
    <row r="633">
      <c r="A633" s="39">
        <f>IF($B633="","",COUNTA($B$4:$B633))</f>
        <v/>
      </c>
      <c r="B633" s="45" t="n">
        <v>46096</v>
      </c>
      <c r="C633" s="46" t="n">
        <v>2119</v>
      </c>
      <c r="D633" s="46" t="inlineStr">
        <is>
          <t xml:space="preserve">ابو ركبة </t>
        </is>
      </c>
      <c r="E633" s="46" t="inlineStr">
        <is>
          <t>1*40</t>
        </is>
      </c>
      <c r="F633" s="46" t="inlineStr">
        <is>
          <t xml:space="preserve">الدولية </t>
        </is>
      </c>
      <c r="G633" s="46" t="inlineStr">
        <is>
          <t xml:space="preserve">العاشر </t>
        </is>
      </c>
      <c r="H633" s="46" t="inlineStr">
        <is>
          <t>066742/1</t>
        </is>
      </c>
      <c r="I633" s="46" t="inlineStr">
        <is>
          <t>ب م و 9582</t>
        </is>
      </c>
      <c r="J633" s="46" t="inlineStr">
        <is>
          <t xml:space="preserve">ايهاب رجب </t>
        </is>
      </c>
      <c r="K633" s="46" t="inlineStr">
        <is>
          <t xml:space="preserve">الليبر </t>
        </is>
      </c>
      <c r="L633" s="47" t="n">
        <v>15300</v>
      </c>
      <c r="M633" s="47" t="n">
        <v>8100</v>
      </c>
      <c r="N633" s="47" t="n"/>
      <c r="O633" s="47" t="n">
        <v>200</v>
      </c>
      <c r="P633" s="47" t="n"/>
      <c r="Q633" s="47" t="n">
        <v>7000</v>
      </c>
      <c r="R633" s="43">
        <f>IF($B633="","",N($S633)-N($Q633))</f>
        <v/>
      </c>
      <c r="S633" s="43">
        <f>IF($B633="","",N($L633)+N($N633)+N($P633))</f>
        <v/>
      </c>
      <c r="T633" s="47" t="n"/>
      <c r="U633" s="47" t="n"/>
      <c r="V633" s="47" t="n"/>
      <c r="W633" s="47" t="n"/>
      <c r="X633" s="47" t="n"/>
      <c r="Y633" s="47" t="n"/>
      <c r="Z633" s="47" t="n"/>
      <c r="AA633" s="47" t="n"/>
      <c r="AB633" s="47" t="n"/>
      <c r="AC633" s="47" t="n"/>
      <c r="AD633" s="47" t="n"/>
      <c r="AE633" s="47" t="n"/>
      <c r="AF633" s="43">
        <f>IF($B633="","",SUM($T633:$AE633))</f>
        <v/>
      </c>
      <c r="AG633" s="43">
        <f>IF($B633="","",N($M633)-N($AF633))</f>
        <v/>
      </c>
      <c r="AH633" s="43">
        <f>IF($B633="","",N($L633)-N($AF633))</f>
        <v/>
      </c>
      <c r="AI633" s="149">
        <f>IF($B633="","",IF(N($L633)=0,"",(N($L633)-N($AF633))/N($L633)))</f>
        <v/>
      </c>
    </row>
    <row r="634">
      <c r="A634" s="39">
        <f>IF($B634="","",COUNTA($B$4:$B634))</f>
        <v/>
      </c>
      <c r="B634" s="40" t="n">
        <v>46096</v>
      </c>
      <c r="C634" s="41" t="n">
        <v>2120</v>
      </c>
      <c r="D634" s="41" t="inlineStr">
        <is>
          <t xml:space="preserve">عبد الله عتمان </t>
        </is>
      </c>
      <c r="E634" s="41" t="inlineStr">
        <is>
          <t>1*40</t>
        </is>
      </c>
      <c r="F634" s="41" t="inlineStr">
        <is>
          <t xml:space="preserve">الدولية </t>
        </is>
      </c>
      <c r="G634" s="41" t="inlineStr">
        <is>
          <t>العاشر</t>
        </is>
      </c>
      <c r="H634" s="41" t="inlineStr">
        <is>
          <t>905713/4</t>
        </is>
      </c>
      <c r="I634" s="41" t="inlineStr">
        <is>
          <t>ط ف ر 2494</t>
        </is>
      </c>
      <c r="J634" s="41" t="inlineStr">
        <is>
          <t xml:space="preserve">عادل صبحى </t>
        </is>
      </c>
      <c r="K634" s="41" t="inlineStr">
        <is>
          <t xml:space="preserve">الليبر </t>
        </is>
      </c>
      <c r="L634" s="42" t="n">
        <v>15000</v>
      </c>
      <c r="M634" s="42" t="n">
        <v>8100</v>
      </c>
      <c r="N634" s="42" t="n"/>
      <c r="O634" s="42" t="n">
        <v>200</v>
      </c>
      <c r="P634" s="42" t="n"/>
      <c r="Q634" s="42" t="n">
        <v>6700</v>
      </c>
      <c r="R634" s="43">
        <f>IF($B634="","",N($S634)-N($Q634))</f>
        <v/>
      </c>
      <c r="S634" s="43">
        <f>IF($B634="","",N($L634)+N($N634)+N($P634))</f>
        <v/>
      </c>
      <c r="T634" s="42" t="n"/>
      <c r="U634" s="42" t="n"/>
      <c r="V634" s="42" t="n"/>
      <c r="W634" s="42" t="n"/>
      <c r="X634" s="42" t="n"/>
      <c r="Y634" s="42" t="n"/>
      <c r="Z634" s="42" t="n"/>
      <c r="AA634" s="42" t="n"/>
      <c r="AB634" s="42" t="n"/>
      <c r="AC634" s="42" t="n"/>
      <c r="AD634" s="42" t="n"/>
      <c r="AE634" s="42" t="n"/>
      <c r="AF634" s="43">
        <f>IF($B634="","",SUM($T634:$AE634))</f>
        <v/>
      </c>
      <c r="AG634" s="43">
        <f>IF($B634="","",N($M634)-N($AF634))</f>
        <v/>
      </c>
      <c r="AH634" s="43">
        <f>IF($B634="","",N($L634)-N($AF634))</f>
        <v/>
      </c>
      <c r="AI634" s="149">
        <f>IF($B634="","",IF(N($L634)=0,"",(N($L634)-N($AF634))/N($L634)))</f>
        <v/>
      </c>
    </row>
    <row r="635">
      <c r="A635" s="39">
        <f>IF($B635="","",COUNTA($B$4:$B635))</f>
        <v/>
      </c>
      <c r="B635" s="45" t="n">
        <v>46096</v>
      </c>
      <c r="C635" s="46" t="n">
        <v>2121</v>
      </c>
      <c r="D635" s="46" t="inlineStr">
        <is>
          <t>الشريف خ</t>
        </is>
      </c>
      <c r="E635" s="46" t="inlineStr">
        <is>
          <t>1*40</t>
        </is>
      </c>
      <c r="F635" s="46" t="inlineStr">
        <is>
          <t xml:space="preserve">الدولية </t>
        </is>
      </c>
      <c r="G635" s="46" t="inlineStr">
        <is>
          <t xml:space="preserve">العاشر </t>
        </is>
      </c>
      <c r="H635" s="46" t="inlineStr">
        <is>
          <t>898957/0</t>
        </is>
      </c>
      <c r="I635" s="46" t="inlineStr">
        <is>
          <t>ب د ف 7864</t>
        </is>
      </c>
      <c r="J635" s="46" t="inlineStr">
        <is>
          <t xml:space="preserve">اشرف عتمان </t>
        </is>
      </c>
      <c r="K635" s="46" t="inlineStr">
        <is>
          <t xml:space="preserve">العاشر </t>
        </is>
      </c>
      <c r="L635" s="47" t="n">
        <v>15000</v>
      </c>
      <c r="M635" s="47" t="n">
        <v>8100</v>
      </c>
      <c r="N635" s="47" t="n"/>
      <c r="O635" s="47" t="n">
        <v>200</v>
      </c>
      <c r="P635" s="47" t="n"/>
      <c r="Q635" s="47" t="n">
        <v>6700</v>
      </c>
      <c r="R635" s="43">
        <f>IF($B635="","",N($S635)-N($Q635))</f>
        <v/>
      </c>
      <c r="S635" s="43">
        <f>IF($B635="","",N($L635)+N($N635)+N($P635))</f>
        <v/>
      </c>
      <c r="T635" s="47" t="n"/>
      <c r="U635" s="47" t="n"/>
      <c r="V635" s="47" t="n"/>
      <c r="W635" s="47" t="n"/>
      <c r="X635" s="47" t="n"/>
      <c r="Y635" s="47" t="n"/>
      <c r="Z635" s="47" t="n"/>
      <c r="AA635" s="47" t="n"/>
      <c r="AB635" s="47" t="n"/>
      <c r="AC635" s="47" t="n"/>
      <c r="AD635" s="47" t="n"/>
      <c r="AE635" s="47" t="n"/>
      <c r="AF635" s="43">
        <f>IF($B635="","",SUM($T635:$AE635))</f>
        <v/>
      </c>
      <c r="AG635" s="43">
        <f>IF($B635="","",N($M635)-N($AF635))</f>
        <v/>
      </c>
      <c r="AH635" s="43">
        <f>IF($B635="","",N($L635)-N($AF635))</f>
        <v/>
      </c>
      <c r="AI635" s="149">
        <f>IF($B635="","",IF(N($L635)=0,"",(N($L635)-N($AF635))/N($L635)))</f>
        <v/>
      </c>
    </row>
    <row r="636">
      <c r="A636" s="39">
        <f>IF($B636="","",COUNTA($B$4:$B636))</f>
        <v/>
      </c>
      <c r="B636" s="40" t="n">
        <v>46096</v>
      </c>
      <c r="C636" s="41" t="n">
        <v>2122</v>
      </c>
      <c r="D636" s="41" t="inlineStr">
        <is>
          <t>استوريا خ</t>
        </is>
      </c>
      <c r="E636" s="41" t="inlineStr">
        <is>
          <t>1*40</t>
        </is>
      </c>
      <c r="F636" s="41" t="inlineStr">
        <is>
          <t xml:space="preserve">الدولية </t>
        </is>
      </c>
      <c r="G636" s="41" t="inlineStr">
        <is>
          <t xml:space="preserve">الحسينية </t>
        </is>
      </c>
      <c r="H636" s="41" t="inlineStr">
        <is>
          <t>810449/7</t>
        </is>
      </c>
      <c r="I636" s="41" t="inlineStr">
        <is>
          <t>ب د ف 5732</t>
        </is>
      </c>
      <c r="J636" s="41" t="inlineStr">
        <is>
          <t xml:space="preserve">السيد عبد الحى </t>
        </is>
      </c>
      <c r="K636" s="41" t="inlineStr">
        <is>
          <t>استوريا</t>
        </is>
      </c>
      <c r="L636" s="42" t="n">
        <v>17500</v>
      </c>
      <c r="M636" s="42" t="n">
        <v>8100</v>
      </c>
      <c r="N636" s="42" t="n"/>
      <c r="O636" s="42" t="n">
        <v>200</v>
      </c>
      <c r="P636" s="42" t="n"/>
      <c r="Q636" s="42" t="n">
        <v>9200</v>
      </c>
      <c r="R636" s="43">
        <f>IF($B636="","",N($S636)-N($Q636))</f>
        <v/>
      </c>
      <c r="S636" s="43">
        <f>IF($B636="","",N($L636)+N($N636)+N($P636))</f>
        <v/>
      </c>
      <c r="T636" s="42" t="n"/>
      <c r="U636" s="42" t="n"/>
      <c r="V636" s="42" t="n"/>
      <c r="W636" s="42" t="n"/>
      <c r="X636" s="42" t="n"/>
      <c r="Y636" s="42" t="n"/>
      <c r="Z636" s="42" t="n"/>
      <c r="AA636" s="42" t="n"/>
      <c r="AB636" s="42" t="n"/>
      <c r="AC636" s="42" t="n"/>
      <c r="AD636" s="42" t="n"/>
      <c r="AE636" s="42" t="n"/>
      <c r="AF636" s="43">
        <f>IF($B636="","",SUM($T636:$AE636))</f>
        <v/>
      </c>
      <c r="AG636" s="43">
        <f>IF($B636="","",N($M636)-N($AF636))</f>
        <v/>
      </c>
      <c r="AH636" s="43">
        <f>IF($B636="","",N($L636)-N($AF636))</f>
        <v/>
      </c>
      <c r="AI636" s="149">
        <f>IF($B636="","",IF(N($L636)=0,"",(N($L636)-N($AF636))/N($L636)))</f>
        <v/>
      </c>
    </row>
    <row r="637">
      <c r="A637" s="39">
        <f>IF($B637="","",COUNTA($B$4:$B637))</f>
        <v/>
      </c>
      <c r="B637" s="45" t="n">
        <v>46096</v>
      </c>
      <c r="C637" s="46" t="n">
        <v>2123</v>
      </c>
      <c r="D637" s="46" t="inlineStr">
        <is>
          <t>كمال رزق خ</t>
        </is>
      </c>
      <c r="E637" s="46" t="inlineStr">
        <is>
          <t>1*40</t>
        </is>
      </c>
      <c r="F637" s="46" t="inlineStr">
        <is>
          <t>الدولية</t>
        </is>
      </c>
      <c r="G637" s="46" t="inlineStr">
        <is>
          <t xml:space="preserve">الحسينية </t>
        </is>
      </c>
      <c r="H637" s="46" t="inlineStr">
        <is>
          <t>521844/9</t>
        </is>
      </c>
      <c r="I637" s="46" t="inlineStr">
        <is>
          <t>س د ه 1295</t>
        </is>
      </c>
      <c r="J637" s="46" t="inlineStr">
        <is>
          <t xml:space="preserve">حليمى عرفة </t>
        </is>
      </c>
      <c r="K637" s="46" t="inlineStr">
        <is>
          <t xml:space="preserve">ابراهيم كامل </t>
        </is>
      </c>
      <c r="L637" s="47" t="n">
        <v>17500</v>
      </c>
      <c r="M637" s="47" t="n">
        <v>8100</v>
      </c>
      <c r="N637" s="47" t="n"/>
      <c r="O637" s="47" t="n">
        <v>200</v>
      </c>
      <c r="P637" s="47" t="n"/>
      <c r="Q637" s="47" t="n">
        <v>9200</v>
      </c>
      <c r="R637" s="43">
        <f>IF($B637="","",N($S637)-N($Q637))</f>
        <v/>
      </c>
      <c r="S637" s="43">
        <f>IF($B637="","",N($L637)+N($N637)+N($P637))</f>
        <v/>
      </c>
      <c r="T637" s="47" t="n"/>
      <c r="U637" s="47" t="n"/>
      <c r="V637" s="47" t="n"/>
      <c r="W637" s="47" t="n"/>
      <c r="X637" s="47" t="n"/>
      <c r="Y637" s="47" t="n"/>
      <c r="Z637" s="47" t="n"/>
      <c r="AA637" s="47" t="n"/>
      <c r="AB637" s="47" t="n"/>
      <c r="AC637" s="47" t="n"/>
      <c r="AD637" s="47" t="n"/>
      <c r="AE637" s="47" t="n"/>
      <c r="AF637" s="43">
        <f>IF($B637="","",SUM($T637:$AE637))</f>
        <v/>
      </c>
      <c r="AG637" s="43">
        <f>IF($B637="","",N($M637)-N($AF637))</f>
        <v/>
      </c>
      <c r="AH637" s="43">
        <f>IF($B637="","",N($L637)-N($AF637))</f>
        <v/>
      </c>
      <c r="AI637" s="149">
        <f>IF($B637="","",IF(N($L637)=0,"",(N($L637)-N($AF637))/N($L637)))</f>
        <v/>
      </c>
    </row>
    <row r="638">
      <c r="A638" s="39">
        <f>IF($B638="","",COUNTA($B$4:$B638))</f>
        <v/>
      </c>
      <c r="B638" s="40" t="n">
        <v>46096</v>
      </c>
      <c r="C638" s="41" t="n">
        <v>2124</v>
      </c>
      <c r="D638" s="41" t="inlineStr">
        <is>
          <t>عتريس مخيمر  خ</t>
        </is>
      </c>
      <c r="E638" s="41" t="inlineStr">
        <is>
          <t>1*40</t>
        </is>
      </c>
      <c r="F638" s="41" t="inlineStr">
        <is>
          <t xml:space="preserve">الدولية </t>
        </is>
      </c>
      <c r="G638" s="41" t="inlineStr">
        <is>
          <t xml:space="preserve">الحسينية </t>
        </is>
      </c>
      <c r="H638" s="41" t="inlineStr">
        <is>
          <t>646485/5</t>
        </is>
      </c>
      <c r="I638" s="41" t="inlineStr">
        <is>
          <t>ب ص ا 2574</t>
        </is>
      </c>
      <c r="J638" s="41" t="inlineStr">
        <is>
          <t xml:space="preserve">محمد البحيرى </t>
        </is>
      </c>
      <c r="K638" s="41" t="inlineStr">
        <is>
          <t xml:space="preserve">احمد خليف </t>
        </is>
      </c>
      <c r="L638" s="42" t="n">
        <v>17500</v>
      </c>
      <c r="M638" s="42" t="n">
        <v>8100</v>
      </c>
      <c r="N638" s="42" t="n"/>
      <c r="O638" s="42" t="n">
        <v>200</v>
      </c>
      <c r="P638" s="42" t="n"/>
      <c r="Q638" s="42" t="n">
        <v>9200</v>
      </c>
      <c r="R638" s="43">
        <f>IF($B638="","",N($S638)-N($Q638))</f>
        <v/>
      </c>
      <c r="S638" s="43">
        <f>IF($B638="","",N($L638)+N($N638)+N($P638))</f>
        <v/>
      </c>
      <c r="T638" s="42" t="n"/>
      <c r="U638" s="42" t="n"/>
      <c r="V638" s="42" t="n"/>
      <c r="W638" s="42" t="n"/>
      <c r="X638" s="42" t="n"/>
      <c r="Y638" s="42" t="n"/>
      <c r="Z638" s="42" t="n"/>
      <c r="AA638" s="42" t="n"/>
      <c r="AB638" s="42" t="n"/>
      <c r="AC638" s="42" t="n"/>
      <c r="AD638" s="42" t="n"/>
      <c r="AE638" s="42" t="n"/>
      <c r="AF638" s="43">
        <f>IF($B638="","",SUM($T638:$AE638))</f>
        <v/>
      </c>
      <c r="AG638" s="43">
        <f>IF($B638="","",N($M638)-N($AF638))</f>
        <v/>
      </c>
      <c r="AH638" s="43">
        <f>IF($B638="","",N($L638)-N($AF638))</f>
        <v/>
      </c>
      <c r="AI638" s="149">
        <f>IF($B638="","",IF(N($L638)=0,"",(N($L638)-N($AF638))/N($L638)))</f>
        <v/>
      </c>
    </row>
    <row r="639">
      <c r="A639" s="39">
        <f>IF($B639="","",COUNTA($B$4:$B639))</f>
        <v/>
      </c>
      <c r="B639" s="45" t="n">
        <v>46096</v>
      </c>
      <c r="C639" s="46" t="n">
        <v>2125</v>
      </c>
      <c r="D639" s="46" t="inlineStr">
        <is>
          <t>استوريا خ</t>
        </is>
      </c>
      <c r="E639" s="46" t="inlineStr">
        <is>
          <t>1*40</t>
        </is>
      </c>
      <c r="F639" s="46" t="inlineStr">
        <is>
          <t xml:space="preserve">الدولية </t>
        </is>
      </c>
      <c r="G639" s="46" t="inlineStr">
        <is>
          <t xml:space="preserve">الحسينية </t>
        </is>
      </c>
      <c r="H639" s="46" t="inlineStr">
        <is>
          <t>901415/7</t>
        </is>
      </c>
      <c r="I639" s="46" t="inlineStr">
        <is>
          <t>ب د ف 9317</t>
        </is>
      </c>
      <c r="J639" s="46" t="inlineStr">
        <is>
          <t xml:space="preserve">سعيد فطيم </t>
        </is>
      </c>
      <c r="K639" s="46" t="inlineStr">
        <is>
          <t>استوريا</t>
        </is>
      </c>
      <c r="L639" s="47" t="n">
        <v>17500</v>
      </c>
      <c r="M639" s="47" t="n">
        <v>8100</v>
      </c>
      <c r="N639" s="47" t="n"/>
      <c r="O639" s="47" t="n">
        <v>200</v>
      </c>
      <c r="P639" s="47" t="n"/>
      <c r="Q639" s="47" t="n">
        <v>9200</v>
      </c>
      <c r="R639" s="43">
        <f>IF($B639="","",N($S639)-N($Q639))</f>
        <v/>
      </c>
      <c r="S639" s="43">
        <f>IF($B639="","",N($L639)+N($N639)+N($P639))</f>
        <v/>
      </c>
      <c r="T639" s="47" t="n"/>
      <c r="U639" s="47" t="n"/>
      <c r="V639" s="47" t="n"/>
      <c r="W639" s="47" t="n"/>
      <c r="X639" s="47" t="n"/>
      <c r="Y639" s="47" t="n"/>
      <c r="Z639" s="47" t="n"/>
      <c r="AA639" s="47" t="n"/>
      <c r="AB639" s="47" t="n"/>
      <c r="AC639" s="47" t="n"/>
      <c r="AD639" s="47" t="n"/>
      <c r="AE639" s="47" t="n"/>
      <c r="AF639" s="43">
        <f>IF($B639="","",SUM($T639:$AE639))</f>
        <v/>
      </c>
      <c r="AG639" s="43">
        <f>IF($B639="","",N($M639)-N($AF639))</f>
        <v/>
      </c>
      <c r="AH639" s="43">
        <f>IF($B639="","",N($L639)-N($AF639))</f>
        <v/>
      </c>
      <c r="AI639" s="149">
        <f>IF($B639="","",IF(N($L639)=0,"",(N($L639)-N($AF639))/N($L639)))</f>
        <v/>
      </c>
    </row>
    <row r="640">
      <c r="A640" s="39">
        <f>IF($B640="","",COUNTA($B$4:$B640))</f>
        <v/>
      </c>
      <c r="B640" s="40" t="n">
        <v>46097</v>
      </c>
      <c r="C640" s="41" t="n">
        <v>2365</v>
      </c>
      <c r="D640" s="41" t="inlineStr">
        <is>
          <t xml:space="preserve">علاء علام </t>
        </is>
      </c>
      <c r="E640" s="41" t="inlineStr">
        <is>
          <t>1*40</t>
        </is>
      </c>
      <c r="F640" s="41" t="inlineStr">
        <is>
          <t xml:space="preserve">جرين لاند </t>
        </is>
      </c>
      <c r="G640" s="41" t="inlineStr">
        <is>
          <t xml:space="preserve">ك الدوار </t>
        </is>
      </c>
      <c r="H640" s="41" t="inlineStr">
        <is>
          <t>971440/9</t>
        </is>
      </c>
      <c r="I640" s="41" t="inlineStr">
        <is>
          <t>س ا ه 8198</t>
        </is>
      </c>
      <c r="J640" s="41" t="inlineStr">
        <is>
          <t xml:space="preserve">مصطى كرم </t>
        </is>
      </c>
      <c r="K640" s="41" t="inlineStr">
        <is>
          <t xml:space="preserve">علاء علام </t>
        </is>
      </c>
      <c r="L640" s="42" t="n">
        <v>10000</v>
      </c>
      <c r="M640" s="42" t="n">
        <v>7100</v>
      </c>
      <c r="N640" s="42" t="n"/>
      <c r="O640" s="42" t="n">
        <v>200</v>
      </c>
      <c r="P640" s="42" t="n"/>
      <c r="Q640" s="42" t="n">
        <v>2700</v>
      </c>
      <c r="R640" s="43">
        <f>IF($B640="","",N($S640)-N($Q640))</f>
        <v/>
      </c>
      <c r="S640" s="43">
        <f>IF($B640="","",N($L640)+N($N640)+N($P640))</f>
        <v/>
      </c>
      <c r="T640" s="42" t="n"/>
      <c r="U640" s="42" t="n"/>
      <c r="V640" s="42" t="n"/>
      <c r="W640" s="42" t="n"/>
      <c r="X640" s="42" t="n"/>
      <c r="Y640" s="42" t="n"/>
      <c r="Z640" s="42" t="n"/>
      <c r="AA640" s="42" t="n"/>
      <c r="AB640" s="42" t="n"/>
      <c r="AC640" s="42" t="n"/>
      <c r="AD640" s="42" t="n"/>
      <c r="AE640" s="42" t="n"/>
      <c r="AF640" s="43">
        <f>IF($B640="","",SUM($T640:$AE640))</f>
        <v/>
      </c>
      <c r="AG640" s="43">
        <f>IF($B640="","",N($M640)-N($AF640))</f>
        <v/>
      </c>
      <c r="AH640" s="43">
        <f>IF($B640="","",N($L640)-N($AF640))</f>
        <v/>
      </c>
      <c r="AI640" s="149">
        <f>IF($B640="","",IF(N($L640)=0,"",(N($L640)-N($AF640))/N($L640)))</f>
        <v/>
      </c>
    </row>
    <row r="641">
      <c r="A641" s="39">
        <f>IF($B641="","",COUNTA($B$4:$B641))</f>
        <v/>
      </c>
      <c r="B641" s="45" t="n">
        <v>46097</v>
      </c>
      <c r="C641" s="46" t="n">
        <v>2364</v>
      </c>
      <c r="D641" s="46" t="inlineStr">
        <is>
          <t xml:space="preserve">محمد سعيد </t>
        </is>
      </c>
      <c r="E641" s="46" t="inlineStr">
        <is>
          <t>1*40</t>
        </is>
      </c>
      <c r="F641" s="46" t="inlineStr">
        <is>
          <t xml:space="preserve">انتراكوا </t>
        </is>
      </c>
      <c r="G641" s="46" t="inlineStr">
        <is>
          <t xml:space="preserve">السادات </t>
        </is>
      </c>
      <c r="H641" s="46" t="inlineStr">
        <is>
          <t>884343/7</t>
        </is>
      </c>
      <c r="I641" s="46" t="inlineStr">
        <is>
          <t>س ق ا 3745</t>
        </is>
      </c>
      <c r="J641" s="46" t="inlineStr">
        <is>
          <t xml:space="preserve">سمارة محمد </t>
        </is>
      </c>
      <c r="K641" s="46" t="inlineStr">
        <is>
          <t>احمد نصير</t>
        </is>
      </c>
      <c r="L641" s="47" t="n">
        <v>14000</v>
      </c>
      <c r="M641" s="47" t="n">
        <v>8100</v>
      </c>
      <c r="N641" s="47" t="n"/>
      <c r="O641" s="47" t="n">
        <v>200</v>
      </c>
      <c r="P641" s="47" t="n"/>
      <c r="Q641" s="47" t="n">
        <v>5700</v>
      </c>
      <c r="R641" s="43">
        <f>IF($B641="","",N($S641)-N($Q641))</f>
        <v/>
      </c>
      <c r="S641" s="43">
        <f>IF($B641="","",N($L641)+N($N641)+N($P641))</f>
        <v/>
      </c>
      <c r="T641" s="47" t="n"/>
      <c r="U641" s="47" t="n"/>
      <c r="V641" s="47" t="n"/>
      <c r="W641" s="47" t="n"/>
      <c r="X641" s="47" t="n"/>
      <c r="Y641" s="47" t="n"/>
      <c r="Z641" s="47" t="n"/>
      <c r="AA641" s="47" t="n"/>
      <c r="AB641" s="47" t="n"/>
      <c r="AC641" s="47" t="n"/>
      <c r="AD641" s="47" t="n"/>
      <c r="AE641" s="47" t="n"/>
      <c r="AF641" s="43">
        <f>IF($B641="","",SUM($T641:$AE641))</f>
        <v/>
      </c>
      <c r="AG641" s="43">
        <f>IF($B641="","",N($M641)-N($AF641))</f>
        <v/>
      </c>
      <c r="AH641" s="43">
        <f>IF($B641="","",N($L641)-N($AF641))</f>
        <v/>
      </c>
      <c r="AI641" s="149">
        <f>IF($B641="","",IF(N($L641)=0,"",(N($L641)-N($AF641))/N($L641)))</f>
        <v/>
      </c>
    </row>
    <row r="642">
      <c r="A642" s="39">
        <f>IF($B642="","",COUNTA($B$4:$B642))</f>
        <v/>
      </c>
      <c r="B642" s="40" t="n">
        <v>46097</v>
      </c>
      <c r="C642" s="41" t="n">
        <v>2361</v>
      </c>
      <c r="D642" s="41" t="inlineStr">
        <is>
          <t>عتريس مخيمر  خ</t>
        </is>
      </c>
      <c r="E642" s="41" t="inlineStr">
        <is>
          <t>1*40</t>
        </is>
      </c>
      <c r="F642" s="41" t="inlineStr">
        <is>
          <t xml:space="preserve">يونايتد  </t>
        </is>
      </c>
      <c r="G642" s="41" t="inlineStr">
        <is>
          <t>العاشر</t>
        </is>
      </c>
      <c r="H642" s="41" t="inlineStr">
        <is>
          <t>701486/7</t>
        </is>
      </c>
      <c r="I642" s="41" t="inlineStr">
        <is>
          <t>ط ف ر 1474</t>
        </is>
      </c>
      <c r="J642" s="41" t="inlineStr">
        <is>
          <t xml:space="preserve">جمال على </t>
        </is>
      </c>
      <c r="K642" s="41" t="inlineStr">
        <is>
          <t xml:space="preserve">كريم خليف </t>
        </is>
      </c>
      <c r="L642" s="42" t="n">
        <v>16000</v>
      </c>
      <c r="M642" s="42" t="n">
        <v>9100</v>
      </c>
      <c r="N642" s="42" t="n"/>
      <c r="O642" s="42" t="n">
        <v>200</v>
      </c>
      <c r="P642" s="42" t="n"/>
      <c r="Q642" s="42" t="n">
        <v>6700</v>
      </c>
      <c r="R642" s="43">
        <f>IF($B642="","",N($S642)-N($Q642))</f>
        <v/>
      </c>
      <c r="S642" s="43">
        <f>IF($B642="","",N($L642)+N($N642)+N($P642))</f>
        <v/>
      </c>
      <c r="T642" s="42" t="n"/>
      <c r="U642" s="42" t="n"/>
      <c r="V642" s="42" t="n"/>
      <c r="W642" s="42" t="n"/>
      <c r="X642" s="42" t="n"/>
      <c r="Y642" s="42" t="n"/>
      <c r="Z642" s="42" t="n"/>
      <c r="AA642" s="42" t="n"/>
      <c r="AB642" s="42" t="n"/>
      <c r="AC642" s="42" t="n"/>
      <c r="AD642" s="42" t="n"/>
      <c r="AE642" s="42" t="n"/>
      <c r="AF642" s="43">
        <f>IF($B642="","",SUM($T642:$AE642))</f>
        <v/>
      </c>
      <c r="AG642" s="43">
        <f>IF($B642="","",N($M642)-N($AF642))</f>
        <v/>
      </c>
      <c r="AH642" s="43">
        <f>IF($B642="","",N($L642)-N($AF642))</f>
        <v/>
      </c>
      <c r="AI642" s="149">
        <f>IF($B642="","",IF(N($L642)=0,"",(N($L642)-N($AF642))/N($L642)))</f>
        <v/>
      </c>
    </row>
    <row r="643">
      <c r="A643" s="39">
        <f>IF($B643="","",COUNTA($B$4:$B643))</f>
        <v/>
      </c>
      <c r="B643" s="45" t="n">
        <v>46097</v>
      </c>
      <c r="C643" s="46" t="n">
        <v>2126</v>
      </c>
      <c r="D643" s="46" t="inlineStr">
        <is>
          <t>كمال رزق خ</t>
        </is>
      </c>
      <c r="E643" s="46" t="inlineStr">
        <is>
          <t>1*40</t>
        </is>
      </c>
      <c r="F643" s="46" t="inlineStr">
        <is>
          <t xml:space="preserve">الكرم </t>
        </is>
      </c>
      <c r="G643" s="46" t="inlineStr">
        <is>
          <t xml:space="preserve">المعادى </t>
        </is>
      </c>
      <c r="H643" s="46" t="inlineStr">
        <is>
          <t>224347/4</t>
        </is>
      </c>
      <c r="I643" s="46" t="inlineStr">
        <is>
          <t>س ن ر 8979</t>
        </is>
      </c>
      <c r="J643" s="46" t="inlineStr">
        <is>
          <t>عماد سعيد</t>
        </is>
      </c>
      <c r="K643" s="46" t="inlineStr">
        <is>
          <t xml:space="preserve">عماد سعيد </t>
        </is>
      </c>
      <c r="L643" s="47" t="n">
        <v>15000</v>
      </c>
      <c r="M643" s="47" t="n">
        <v>8100</v>
      </c>
      <c r="N643" s="47" t="n"/>
      <c r="O643" s="47" t="n">
        <v>200</v>
      </c>
      <c r="P643" s="47" t="n"/>
      <c r="Q643" s="47" t="n">
        <v>6700</v>
      </c>
      <c r="R643" s="43">
        <f>IF($B643="","",N($S643)-N($Q643))</f>
        <v/>
      </c>
      <c r="S643" s="43">
        <f>IF($B643="","",N($L643)+N($N643)+N($P643))</f>
        <v/>
      </c>
      <c r="T643" s="47" t="n"/>
      <c r="U643" s="47" t="n"/>
      <c r="V643" s="47" t="n"/>
      <c r="W643" s="47" t="n"/>
      <c r="X643" s="47" t="n"/>
      <c r="Y643" s="47" t="n"/>
      <c r="Z643" s="47" t="n"/>
      <c r="AA643" s="47" t="n"/>
      <c r="AB643" s="47" t="n"/>
      <c r="AC643" s="47" t="n"/>
      <c r="AD643" s="47" t="n"/>
      <c r="AE643" s="47" t="n"/>
      <c r="AF643" s="43">
        <f>IF($B643="","",SUM($T643:$AE643))</f>
        <v/>
      </c>
      <c r="AG643" s="43">
        <f>IF($B643="","",N($M643)-N($AF643))</f>
        <v/>
      </c>
      <c r="AH643" s="43">
        <f>IF($B643="","",N($L643)-N($AF643))</f>
        <v/>
      </c>
      <c r="AI643" s="149">
        <f>IF($B643="","",IF(N($L643)=0,"",(N($L643)-N($AF643))/N($L643)))</f>
        <v/>
      </c>
    </row>
    <row r="644">
      <c r="A644" s="39">
        <f>IF($B644="","",COUNTA($B$4:$B644))</f>
        <v/>
      </c>
      <c r="B644" s="40" t="n">
        <v>46097</v>
      </c>
      <c r="C644" s="41" t="n">
        <v>2128</v>
      </c>
      <c r="D644" s="41" t="inlineStr">
        <is>
          <t>احمد عبدو خ</t>
        </is>
      </c>
      <c r="E644" s="41" t="inlineStr">
        <is>
          <t>1*40</t>
        </is>
      </c>
      <c r="F644" s="41" t="inlineStr">
        <is>
          <t xml:space="preserve">الكرم </t>
        </is>
      </c>
      <c r="G644" s="41" t="inlineStr">
        <is>
          <t xml:space="preserve">المعادى </t>
        </is>
      </c>
      <c r="H644" s="41" t="inlineStr">
        <is>
          <t>634486/5</t>
        </is>
      </c>
      <c r="I644" s="41" t="inlineStr">
        <is>
          <t>ع ر ب 1573</t>
        </is>
      </c>
      <c r="J644" s="41" t="inlineStr">
        <is>
          <t xml:space="preserve">محمد السيد </t>
        </is>
      </c>
      <c r="K644" s="41" t="inlineStr">
        <is>
          <t xml:space="preserve">حمو مرزوق </t>
        </is>
      </c>
      <c r="L644" s="42" t="n">
        <v>14500</v>
      </c>
      <c r="M644" s="42" t="n">
        <v>8100</v>
      </c>
      <c r="N644" s="42" t="n"/>
      <c r="O644" s="42" t="n">
        <v>200</v>
      </c>
      <c r="P644" s="42" t="n"/>
      <c r="Q644" s="42" t="n">
        <v>6200</v>
      </c>
      <c r="R644" s="43">
        <f>IF($B644="","",N($S644)-N($Q644))</f>
        <v/>
      </c>
      <c r="S644" s="43">
        <f>IF($B644="","",N($L644)+N($N644)+N($P644))</f>
        <v/>
      </c>
      <c r="T644" s="42" t="n"/>
      <c r="U644" s="42" t="n"/>
      <c r="V644" s="42" t="n"/>
      <c r="W644" s="42" t="n"/>
      <c r="X644" s="42" t="n"/>
      <c r="Y644" s="42" t="n"/>
      <c r="Z644" s="42" t="n"/>
      <c r="AA644" s="42" t="n"/>
      <c r="AB644" s="42" t="n"/>
      <c r="AC644" s="42" t="n"/>
      <c r="AD644" s="42" t="n"/>
      <c r="AE644" s="42" t="n"/>
      <c r="AF644" s="43">
        <f>IF($B644="","",SUM($T644:$AE644))</f>
        <v/>
      </c>
      <c r="AG644" s="43">
        <f>IF($B644="","",N($M644)-N($AF644))</f>
        <v/>
      </c>
      <c r="AH644" s="43">
        <f>IF($B644="","",N($L644)-N($AF644))</f>
        <v/>
      </c>
      <c r="AI644" s="149">
        <f>IF($B644="","",IF(N($L644)=0,"",(N($L644)-N($AF644))/N($L644)))</f>
        <v/>
      </c>
    </row>
    <row r="645">
      <c r="A645" s="39">
        <f>IF($B645="","",COUNTA($B$4:$B645))</f>
        <v/>
      </c>
      <c r="B645" s="45" t="n">
        <v>46097</v>
      </c>
      <c r="C645" s="46" t="n">
        <v>2127</v>
      </c>
      <c r="D645" s="46" t="inlineStr">
        <is>
          <t>كمال رزق خ</t>
        </is>
      </c>
      <c r="E645" s="46" t="inlineStr">
        <is>
          <t>1*40</t>
        </is>
      </c>
      <c r="F645" s="46" t="inlineStr">
        <is>
          <t xml:space="preserve">الجمل </t>
        </is>
      </c>
      <c r="G645" s="46" t="inlineStr">
        <is>
          <t xml:space="preserve">اكتوبر </t>
        </is>
      </c>
      <c r="H645" s="46" t="inlineStr">
        <is>
          <t>224347/4</t>
        </is>
      </c>
      <c r="I645" s="46" t="inlineStr">
        <is>
          <t>س ن ر 8979</t>
        </is>
      </c>
      <c r="J645" s="46" t="inlineStr">
        <is>
          <t xml:space="preserve">عماد سعيد </t>
        </is>
      </c>
      <c r="K645" s="46" t="inlineStr">
        <is>
          <t xml:space="preserve">عماد سعيد </t>
        </is>
      </c>
      <c r="L645" s="47" t="n">
        <v>14000</v>
      </c>
      <c r="M645" s="47" t="n">
        <v>8100</v>
      </c>
      <c r="N645" s="47" t="n">
        <v>2500</v>
      </c>
      <c r="O645" s="47" t="n">
        <v>200</v>
      </c>
      <c r="P645" s="47" t="n"/>
      <c r="Q645" s="47" t="n">
        <v>3200</v>
      </c>
      <c r="R645" s="43">
        <f>IF($B645="","",N($S645)-N($Q645))</f>
        <v/>
      </c>
      <c r="S645" s="43">
        <f>IF($B645="","",N($L645)+N($N645)+N($P645))</f>
        <v/>
      </c>
      <c r="T645" s="47" t="n"/>
      <c r="U645" s="47" t="n"/>
      <c r="V645" s="47" t="n"/>
      <c r="W645" s="47" t="n"/>
      <c r="X645" s="47" t="n"/>
      <c r="Y645" s="47" t="n"/>
      <c r="Z645" s="47" t="n"/>
      <c r="AA645" s="47" t="n"/>
      <c r="AB645" s="47" t="n"/>
      <c r="AC645" s="47" t="n"/>
      <c r="AD645" s="47" t="n"/>
      <c r="AE645" s="47" t="n"/>
      <c r="AF645" s="43">
        <f>IF($B645="","",SUM($T645:$AE645))</f>
        <v/>
      </c>
      <c r="AG645" s="43">
        <f>IF($B645="","",N($M645)-N($AF645))</f>
        <v/>
      </c>
      <c r="AH645" s="43">
        <f>IF($B645="","",N($L645)-N($AF645))</f>
        <v/>
      </c>
      <c r="AI645" s="149">
        <f>IF($B645="","",IF(N($L645)=0,"",(N($L645)-N($AF645))/N($L645)))</f>
        <v/>
      </c>
    </row>
    <row r="646">
      <c r="A646" s="39">
        <f>IF($B646="","",COUNTA($B$4:$B646))</f>
        <v/>
      </c>
      <c r="B646" s="40" t="n">
        <v>46097</v>
      </c>
      <c r="C646" s="41" t="n">
        <v>2129</v>
      </c>
      <c r="D646" s="41" t="inlineStr">
        <is>
          <t>احمد عبدو خ</t>
        </is>
      </c>
      <c r="E646" s="41" t="inlineStr">
        <is>
          <t>1*40</t>
        </is>
      </c>
      <c r="F646" s="41" t="inlineStr">
        <is>
          <t xml:space="preserve">شمال افريقيا </t>
        </is>
      </c>
      <c r="G646" s="41" t="inlineStr">
        <is>
          <t>بنى سويف</t>
        </is>
      </c>
      <c r="H646" s="41" t="inlineStr">
        <is>
          <t>634486/5</t>
        </is>
      </c>
      <c r="I646" s="41" t="inlineStr">
        <is>
          <t>ع ر ب 1573</t>
        </is>
      </c>
      <c r="J646" s="41" t="inlineStr">
        <is>
          <t xml:space="preserve">محمد السيد </t>
        </is>
      </c>
      <c r="K646" s="41" t="inlineStr">
        <is>
          <t xml:space="preserve">حمو مرزوق </t>
        </is>
      </c>
      <c r="L646" s="42" t="n">
        <v>20000</v>
      </c>
      <c r="M646" s="42" t="n">
        <v>10100</v>
      </c>
      <c r="N646" s="42" t="n">
        <v>2500</v>
      </c>
      <c r="O646" s="42" t="n">
        <v>200</v>
      </c>
      <c r="P646" s="42" t="n"/>
      <c r="Q646" s="42" t="n">
        <v>7200</v>
      </c>
      <c r="R646" s="43">
        <f>IF($B646="","",N($S646)-N($Q646))</f>
        <v/>
      </c>
      <c r="S646" s="43">
        <f>IF($B646="","",N($L646)+N($N646)+N($P646))</f>
        <v/>
      </c>
      <c r="T646" s="42" t="n"/>
      <c r="U646" s="42" t="n"/>
      <c r="V646" s="42" t="n"/>
      <c r="W646" s="42" t="n"/>
      <c r="X646" s="42" t="n"/>
      <c r="Y646" s="42" t="n"/>
      <c r="Z646" s="42" t="n"/>
      <c r="AA646" s="42" t="n"/>
      <c r="AB646" s="42" t="n"/>
      <c r="AC646" s="42" t="n"/>
      <c r="AD646" s="42" t="n"/>
      <c r="AE646" s="42" t="n"/>
      <c r="AF646" s="43">
        <f>IF($B646="","",SUM($T646:$AE646))</f>
        <v/>
      </c>
      <c r="AG646" s="43">
        <f>IF($B646="","",N($M646)-N($AF646))</f>
        <v/>
      </c>
      <c r="AH646" s="43">
        <f>IF($B646="","",N($L646)-N($AF646))</f>
        <v/>
      </c>
      <c r="AI646" s="149">
        <f>IF($B646="","",IF(N($L646)=0,"",(N($L646)-N($AF646))/N($L646)))</f>
        <v/>
      </c>
    </row>
    <row r="647">
      <c r="A647" s="39">
        <f>IF($B647="","",COUNTA($B$4:$B647))</f>
        <v/>
      </c>
      <c r="B647" s="45" t="n">
        <v>46097</v>
      </c>
      <c r="C647" s="46" t="n">
        <v>2130</v>
      </c>
      <c r="D647" s="46" t="inlineStr">
        <is>
          <t>ايوب</t>
        </is>
      </c>
      <c r="E647" s="46" t="inlineStr">
        <is>
          <t>1*20</t>
        </is>
      </c>
      <c r="F647" s="46" t="inlineStr">
        <is>
          <t xml:space="preserve">ام اى </t>
        </is>
      </c>
      <c r="G647" s="46" t="inlineStr">
        <is>
          <t xml:space="preserve">العبور </t>
        </is>
      </c>
      <c r="H647" s="46" t="inlineStr">
        <is>
          <t>302385/3</t>
        </is>
      </c>
      <c r="I647" s="46" t="inlineStr">
        <is>
          <t>ب د ن 5863</t>
        </is>
      </c>
      <c r="J647" s="46" t="inlineStr">
        <is>
          <t>احمد سعيد</t>
        </is>
      </c>
      <c r="K647" s="46" t="inlineStr">
        <is>
          <t xml:space="preserve">ايوب </t>
        </is>
      </c>
      <c r="L647" s="47" t="n">
        <v>12500</v>
      </c>
      <c r="M647" s="47" t="n">
        <v>6100</v>
      </c>
      <c r="N647" s="47" t="n">
        <v>2600</v>
      </c>
      <c r="O647" s="47" t="n">
        <v>200</v>
      </c>
      <c r="P647" s="47" t="n"/>
      <c r="Q647" s="47" t="n">
        <v>3600</v>
      </c>
      <c r="R647" s="43">
        <f>IF($B647="","",N($S647)-N($Q647))</f>
        <v/>
      </c>
      <c r="S647" s="43">
        <f>IF($B647="","",N($L647)+N($N647)+N($P647))</f>
        <v/>
      </c>
      <c r="T647" s="47" t="n"/>
      <c r="U647" s="47" t="n"/>
      <c r="V647" s="47" t="n"/>
      <c r="W647" s="47" t="n"/>
      <c r="X647" s="47" t="n"/>
      <c r="Y647" s="47" t="n"/>
      <c r="Z647" s="47" t="n"/>
      <c r="AA647" s="47" t="n"/>
      <c r="AB647" s="47" t="n"/>
      <c r="AC647" s="47" t="n"/>
      <c r="AD647" s="47" t="n"/>
      <c r="AE647" s="47" t="n"/>
      <c r="AF647" s="43">
        <f>IF($B647="","",SUM($T647:$AE647))</f>
        <v/>
      </c>
      <c r="AG647" s="43">
        <f>IF($B647="","",N($M647)-N($AF647))</f>
        <v/>
      </c>
      <c r="AH647" s="43">
        <f>IF($B647="","",N($L647)-N($AF647))</f>
        <v/>
      </c>
      <c r="AI647" s="149">
        <f>IF($B647="","",IF(N($L647)=0,"",(N($L647)-N($AF647))/N($L647)))</f>
        <v/>
      </c>
    </row>
    <row r="648">
      <c r="A648" s="39">
        <f>IF($B648="","",COUNTA($B$4:$B648))</f>
        <v/>
      </c>
      <c r="B648" s="40" t="n">
        <v>46097</v>
      </c>
      <c r="C648" s="41" t="n">
        <v>2223</v>
      </c>
      <c r="D648" s="41" t="inlineStr">
        <is>
          <t>الوردانى</t>
        </is>
      </c>
      <c r="E648" s="41" t="inlineStr">
        <is>
          <t>1*40</t>
        </is>
      </c>
      <c r="F648" s="41" t="inlineStr">
        <is>
          <t xml:space="preserve">تى فارم </t>
        </is>
      </c>
      <c r="G648" s="41" t="inlineStr">
        <is>
          <t xml:space="preserve">النوبارية </t>
        </is>
      </c>
      <c r="H648" s="41" t="inlineStr">
        <is>
          <t>001872/2</t>
        </is>
      </c>
      <c r="I648" s="41" t="inlineStr">
        <is>
          <t>س ع ه 2426</t>
        </is>
      </c>
      <c r="J648" s="41" t="inlineStr">
        <is>
          <t xml:space="preserve">اسلام الوردانى </t>
        </is>
      </c>
      <c r="K648" s="41" t="inlineStr">
        <is>
          <t xml:space="preserve">الوردانى </t>
        </is>
      </c>
      <c r="L648" s="42" t="n">
        <v>15000</v>
      </c>
      <c r="M648" s="42" t="n">
        <v>10100</v>
      </c>
      <c r="N648" s="42" t="n"/>
      <c r="O648" s="42" t="n">
        <v>200</v>
      </c>
      <c r="P648" s="42" t="n"/>
      <c r="Q648" s="42" t="n">
        <v>4700</v>
      </c>
      <c r="R648" s="43">
        <f>IF($B648="","",N($S648)-N($Q648))</f>
        <v/>
      </c>
      <c r="S648" s="43">
        <f>IF($B648="","",N($L648)+N($N648)+N($P648))</f>
        <v/>
      </c>
      <c r="T648" s="42" t="n"/>
      <c r="U648" s="42" t="n"/>
      <c r="V648" s="42" t="n"/>
      <c r="W648" s="42" t="n"/>
      <c r="X648" s="42" t="n"/>
      <c r="Y648" s="42" t="n"/>
      <c r="Z648" s="42" t="n"/>
      <c r="AA648" s="42" t="n"/>
      <c r="AB648" s="42" t="n"/>
      <c r="AC648" s="42" t="n"/>
      <c r="AD648" s="42" t="n"/>
      <c r="AE648" s="42" t="n"/>
      <c r="AF648" s="43">
        <f>IF($B648="","",SUM($T648:$AE648))</f>
        <v/>
      </c>
      <c r="AG648" s="43">
        <f>IF($B648="","",N($M648)-N($AF648))</f>
        <v/>
      </c>
      <c r="AH648" s="43">
        <f>IF($B648="","",N($L648)-N($AF648))</f>
        <v/>
      </c>
      <c r="AI648" s="149">
        <f>IF($B648="","",IF(N($L648)=0,"",(N($L648)-N($AF648))/N($L648)))</f>
        <v/>
      </c>
    </row>
    <row r="649">
      <c r="A649" s="39">
        <f>IF($B649="","",COUNTA($B$4:$B649))</f>
        <v/>
      </c>
      <c r="B649" s="45" t="n">
        <v>46097</v>
      </c>
      <c r="C649" s="46" t="n">
        <v>2366</v>
      </c>
      <c r="D649" s="46" t="inlineStr">
        <is>
          <t xml:space="preserve">علاء علام </t>
        </is>
      </c>
      <c r="E649" s="46" t="inlineStr">
        <is>
          <t>1*40</t>
        </is>
      </c>
      <c r="F649" s="46" t="inlineStr">
        <is>
          <t xml:space="preserve">جرين لاند </t>
        </is>
      </c>
      <c r="G649" s="46" t="inlineStr">
        <is>
          <t xml:space="preserve">ك الدوار </t>
        </is>
      </c>
      <c r="H649" s="46" t="inlineStr">
        <is>
          <t>577811/6</t>
        </is>
      </c>
      <c r="I649" s="46" t="inlineStr">
        <is>
          <t>س ل ب 5917</t>
        </is>
      </c>
      <c r="J649" s="46" t="inlineStr">
        <is>
          <t xml:space="preserve">محمد ابراهيم </t>
        </is>
      </c>
      <c r="K649" s="46" t="inlineStr">
        <is>
          <t xml:space="preserve">علاء علام </t>
        </is>
      </c>
      <c r="L649" s="47" t="n">
        <v>10000</v>
      </c>
      <c r="M649" s="47" t="n">
        <v>7100</v>
      </c>
      <c r="N649" s="47" t="n"/>
      <c r="O649" s="47" t="n">
        <v>200</v>
      </c>
      <c r="P649" s="47" t="n"/>
      <c r="Q649" s="47" t="n">
        <v>2700</v>
      </c>
      <c r="R649" s="43">
        <f>IF($B649="","",N($S649)-N($Q649))</f>
        <v/>
      </c>
      <c r="S649" s="43">
        <f>IF($B649="","",N($L649)+N($N649)+N($P649))</f>
        <v/>
      </c>
      <c r="T649" s="47" t="n"/>
      <c r="U649" s="47" t="n"/>
      <c r="V649" s="47" t="n"/>
      <c r="W649" s="47" t="n"/>
      <c r="X649" s="47" t="n"/>
      <c r="Y649" s="47" t="n"/>
      <c r="Z649" s="47" t="n"/>
      <c r="AA649" s="47" t="n"/>
      <c r="AB649" s="47" t="n"/>
      <c r="AC649" s="47" t="n"/>
      <c r="AD649" s="47" t="n"/>
      <c r="AE649" s="47" t="n"/>
      <c r="AF649" s="43">
        <f>IF($B649="","",SUM($T649:$AE649))</f>
        <v/>
      </c>
      <c r="AG649" s="43">
        <f>IF($B649="","",N($M649)-N($AF649))</f>
        <v/>
      </c>
      <c r="AH649" s="43">
        <f>IF($B649="","",N($L649)-N($AF649))</f>
        <v/>
      </c>
      <c r="AI649" s="149">
        <f>IF($B649="","",IF(N($L649)=0,"",(N($L649)-N($AF649))/N($L649)))</f>
        <v/>
      </c>
    </row>
    <row r="650">
      <c r="A650" s="39">
        <f>IF($B650="","",COUNTA($B$4:$B650))</f>
        <v/>
      </c>
      <c r="B650" s="40" t="n">
        <v>46100</v>
      </c>
      <c r="C650" s="41" t="n">
        <v>2132</v>
      </c>
      <c r="D650" s="41" t="inlineStr">
        <is>
          <t xml:space="preserve">حمو مرزوق </t>
        </is>
      </c>
      <c r="E650" s="41" t="inlineStr">
        <is>
          <t>2*20</t>
        </is>
      </c>
      <c r="F650" s="41" t="inlineStr">
        <is>
          <t xml:space="preserve">الدولية للفحم </t>
        </is>
      </c>
      <c r="G650" s="41" t="inlineStr">
        <is>
          <t>المكس</t>
        </is>
      </c>
      <c r="H650" s="41" t="inlineStr">
        <is>
          <t>309591/5-250237/4</t>
        </is>
      </c>
      <c r="I650" s="41" t="inlineStr">
        <is>
          <t>س ر ا 6671</t>
        </is>
      </c>
      <c r="J650" s="41" t="inlineStr">
        <is>
          <t xml:space="preserve">السيد مرسى </t>
        </is>
      </c>
      <c r="K650" s="41" t="inlineStr">
        <is>
          <t xml:space="preserve">حمو مرزوق </t>
        </is>
      </c>
      <c r="L650" s="42" t="n">
        <v>9500</v>
      </c>
      <c r="M650" s="42" t="n">
        <v>7100</v>
      </c>
      <c r="N650" s="42" t="n"/>
      <c r="O650" s="42" t="n"/>
      <c r="P650" s="42" t="n"/>
      <c r="Q650" s="42" t="n">
        <v>2400</v>
      </c>
      <c r="R650" s="43">
        <f>IF($B650="","",N($S650)-N($Q650))</f>
        <v/>
      </c>
      <c r="S650" s="43">
        <f>IF($B650="","",N($L650)+N($N650)+N($P650))</f>
        <v/>
      </c>
      <c r="T650" s="42" t="n"/>
      <c r="U650" s="42" t="n"/>
      <c r="V650" s="42" t="n"/>
      <c r="W650" s="42" t="n"/>
      <c r="X650" s="42" t="n"/>
      <c r="Y650" s="42" t="n"/>
      <c r="Z650" s="42" t="n"/>
      <c r="AA650" s="42" t="n"/>
      <c r="AB650" s="42" t="n"/>
      <c r="AC650" s="42" t="n"/>
      <c r="AD650" s="42" t="n"/>
      <c r="AE650" s="42" t="n"/>
      <c r="AF650" s="43">
        <f>IF($B650="","",SUM($T650:$AE650))</f>
        <v/>
      </c>
      <c r="AG650" s="43">
        <f>IF($B650="","",N($M650)-N($AF650))</f>
        <v/>
      </c>
      <c r="AH650" s="43">
        <f>IF($B650="","",N($L650)-N($AF650))</f>
        <v/>
      </c>
      <c r="AI650" s="149">
        <f>IF($B650="","",IF(N($L650)=0,"",(N($L650)-N($AF650))/N($L650)))</f>
        <v/>
      </c>
    </row>
    <row r="651">
      <c r="A651" s="39">
        <f>IF($B651="","",COUNTA($B$4:$B651))</f>
        <v/>
      </c>
      <c r="B651" s="45" t="n">
        <v>46100</v>
      </c>
      <c r="C651" s="46" t="n">
        <v>2134</v>
      </c>
      <c r="D651" s="46" t="inlineStr">
        <is>
          <t>كمال رزق خ</t>
        </is>
      </c>
      <c r="E651" s="46" t="inlineStr">
        <is>
          <t>1*40</t>
        </is>
      </c>
      <c r="F651" s="46" t="inlineStr">
        <is>
          <t xml:space="preserve">العربية </t>
        </is>
      </c>
      <c r="G651" s="46" t="inlineStr">
        <is>
          <t xml:space="preserve">اكتوبر </t>
        </is>
      </c>
      <c r="H651" s="46" t="inlineStr">
        <is>
          <t>847202/4</t>
        </is>
      </c>
      <c r="I651" s="46" t="inlineStr">
        <is>
          <t>س م ر 8979</t>
        </is>
      </c>
      <c r="J651" s="46" t="inlineStr">
        <is>
          <t xml:space="preserve">عماد سعيد </t>
        </is>
      </c>
      <c r="K651" s="46" t="inlineStr">
        <is>
          <t xml:space="preserve">عماد سعيد </t>
        </is>
      </c>
      <c r="L651" s="47" t="n">
        <v>14000</v>
      </c>
      <c r="M651" s="47" t="n">
        <v>8100</v>
      </c>
      <c r="N651" s="47" t="n"/>
      <c r="O651" s="47" t="n">
        <v>200</v>
      </c>
      <c r="P651" s="47" t="n"/>
      <c r="Q651" s="47" t="n">
        <v>5700</v>
      </c>
      <c r="R651" s="43">
        <f>IF($B651="","",N($S651)-N($Q651))</f>
        <v/>
      </c>
      <c r="S651" s="43">
        <f>IF($B651="","",N($L651)+N($N651)+N($P651))</f>
        <v/>
      </c>
      <c r="T651" s="47" t="n"/>
      <c r="U651" s="47" t="n"/>
      <c r="V651" s="47" t="n"/>
      <c r="W651" s="47" t="n"/>
      <c r="X651" s="47" t="n"/>
      <c r="Y651" s="47" t="n"/>
      <c r="Z651" s="47" t="n"/>
      <c r="AA651" s="47" t="n"/>
      <c r="AB651" s="47" t="n"/>
      <c r="AC651" s="47" t="n"/>
      <c r="AD651" s="47" t="n"/>
      <c r="AE651" s="47" t="n"/>
      <c r="AF651" s="43">
        <f>IF($B651="","",SUM($T651:$AE651))</f>
        <v/>
      </c>
      <c r="AG651" s="43">
        <f>IF($B651="","",N($M651)-N($AF651))</f>
        <v/>
      </c>
      <c r="AH651" s="43">
        <f>IF($B651="","",N($L651)-N($AF651))</f>
        <v/>
      </c>
      <c r="AI651" s="149">
        <f>IF($B651="","",IF(N($L651)=0,"",(N($L651)-N($AF651))/N($L651)))</f>
        <v/>
      </c>
    </row>
    <row r="652">
      <c r="A652" s="39">
        <f>IF($B652="","",COUNTA($B$4:$B652))</f>
        <v/>
      </c>
      <c r="B652" s="40" t="n">
        <v>46100</v>
      </c>
      <c r="C652" s="41" t="n">
        <v>2133</v>
      </c>
      <c r="D652" s="41" t="inlineStr">
        <is>
          <t>عتريس مخيمر  خ</t>
        </is>
      </c>
      <c r="E652" s="41" t="inlineStr">
        <is>
          <t>1*40</t>
        </is>
      </c>
      <c r="F652" s="41" t="n"/>
      <c r="G652" s="41" t="inlineStr">
        <is>
          <t>بورسعيد</t>
        </is>
      </c>
      <c r="H652" s="41" t="inlineStr">
        <is>
          <t>016351/9</t>
        </is>
      </c>
      <c r="I652" s="41" t="inlineStr">
        <is>
          <t>ب ص ا 2574</t>
        </is>
      </c>
      <c r="J652" s="41" t="inlineStr">
        <is>
          <t xml:space="preserve">محمد البحيرى </t>
        </is>
      </c>
      <c r="K652" s="41" t="inlineStr">
        <is>
          <t xml:space="preserve">احمد خليف </t>
        </is>
      </c>
      <c r="L652" s="42" t="n">
        <v>16000</v>
      </c>
      <c r="M652" s="42" t="n">
        <v>9100</v>
      </c>
      <c r="N652" s="42" t="n"/>
      <c r="O652" s="42" t="n">
        <v>200</v>
      </c>
      <c r="P652" s="42" t="n"/>
      <c r="Q652" s="42" t="n">
        <v>6700</v>
      </c>
      <c r="R652" s="43">
        <f>IF($B652="","",N($S652)-N($Q652))</f>
        <v/>
      </c>
      <c r="S652" s="43">
        <f>IF($B652="","",N($L652)+N($N652)+N($P652))</f>
        <v/>
      </c>
      <c r="T652" s="42" t="n"/>
      <c r="U652" s="42" t="n"/>
      <c r="V652" s="42" t="n"/>
      <c r="W652" s="42" t="n"/>
      <c r="X652" s="42" t="n"/>
      <c r="Y652" s="42" t="n"/>
      <c r="Z652" s="42" t="n"/>
      <c r="AA652" s="42" t="n"/>
      <c r="AB652" s="42" t="n"/>
      <c r="AC652" s="42" t="n"/>
      <c r="AD652" s="42" t="n"/>
      <c r="AE652" s="42" t="n"/>
      <c r="AF652" s="43">
        <f>IF($B652="","",SUM($T652:$AE652))</f>
        <v/>
      </c>
      <c r="AG652" s="43">
        <f>IF($B652="","",N($M652)-N($AF652))</f>
        <v/>
      </c>
      <c r="AH652" s="43">
        <f>IF($B652="","",N($L652)-N($AF652))</f>
        <v/>
      </c>
      <c r="AI652" s="149">
        <f>IF($B652="","",IF(N($L652)=0,"",(N($L652)-N($AF652))/N($L652)))</f>
        <v/>
      </c>
    </row>
    <row r="653">
      <c r="A653" s="39">
        <f>IF($B653="","",COUNTA($B$4:$B653))</f>
        <v/>
      </c>
      <c r="B653" s="45" t="n">
        <v>46100</v>
      </c>
      <c r="C653" s="46" t="n">
        <v>2136</v>
      </c>
      <c r="D653" s="46" t="inlineStr">
        <is>
          <t>حاتم البحر  ق</t>
        </is>
      </c>
      <c r="E653" s="46" t="inlineStr">
        <is>
          <t>2*20</t>
        </is>
      </c>
      <c r="F653" s="46" t="inlineStr">
        <is>
          <t xml:space="preserve">مصر بنى سويف </t>
        </is>
      </c>
      <c r="G653" s="46" t="inlineStr">
        <is>
          <t>بنى سويف</t>
        </is>
      </c>
      <c r="H653" s="46" t="inlineStr">
        <is>
          <t>372229/4-102485/0</t>
        </is>
      </c>
      <c r="I653" s="46" t="inlineStr">
        <is>
          <t>س ر ا 6671</t>
        </is>
      </c>
      <c r="J653" s="46" t="inlineStr">
        <is>
          <t xml:space="preserve">السيد مرسى </t>
        </is>
      </c>
      <c r="K653" s="46" t="inlineStr">
        <is>
          <t xml:space="preserve">حمو مرزوق </t>
        </is>
      </c>
      <c r="L653" s="47" t="n">
        <v>29000</v>
      </c>
      <c r="M653" s="47" t="n">
        <v>14100</v>
      </c>
      <c r="N653" s="47" t="n"/>
      <c r="O653" s="47" t="n">
        <v>200</v>
      </c>
      <c r="P653" s="47" t="n"/>
      <c r="Q653" s="47" t="n">
        <v>14700</v>
      </c>
      <c r="R653" s="43">
        <f>IF($B653="","",N($S653)-N($Q653))</f>
        <v/>
      </c>
      <c r="S653" s="43">
        <f>IF($B653="","",N($L653)+N($N653)+N($P653))</f>
        <v/>
      </c>
      <c r="T653" s="47" t="n"/>
      <c r="U653" s="47" t="n"/>
      <c r="V653" s="47" t="n"/>
      <c r="W653" s="47" t="n"/>
      <c r="X653" s="47" t="n"/>
      <c r="Y653" s="47" t="n"/>
      <c r="Z653" s="47" t="n"/>
      <c r="AA653" s="47" t="n"/>
      <c r="AB653" s="47" t="n"/>
      <c r="AC653" s="47" t="n"/>
      <c r="AD653" s="47" t="n"/>
      <c r="AE653" s="47" t="n"/>
      <c r="AF653" s="43">
        <f>IF($B653="","",SUM($T653:$AE653))</f>
        <v/>
      </c>
      <c r="AG653" s="43">
        <f>IF($B653="","",N($M653)-N($AF653))</f>
        <v/>
      </c>
      <c r="AH653" s="43">
        <f>IF($B653="","",N($L653)-N($AF653))</f>
        <v/>
      </c>
      <c r="AI653" s="149">
        <f>IF($B653="","",IF(N($L653)=0,"",(N($L653)-N($AF653))/N($L653)))</f>
        <v/>
      </c>
    </row>
    <row r="654">
      <c r="A654" s="39">
        <f>IF($B654="","",COUNTA($B$4:$B654))</f>
        <v/>
      </c>
      <c r="B654" s="40" t="n">
        <v>46105</v>
      </c>
      <c r="C654" s="41" t="n">
        <v>2137</v>
      </c>
      <c r="D654" s="41" t="inlineStr">
        <is>
          <t xml:space="preserve">محمد يحى </t>
        </is>
      </c>
      <c r="E654" s="41" t="inlineStr">
        <is>
          <t>1*40</t>
        </is>
      </c>
      <c r="F654" s="41" t="inlineStr">
        <is>
          <t xml:space="preserve">فود لاين </t>
        </is>
      </c>
      <c r="G654" s="41" t="inlineStr">
        <is>
          <t xml:space="preserve">اكتوبر </t>
        </is>
      </c>
      <c r="H654" s="41" t="inlineStr">
        <is>
          <t>592300/7</t>
        </is>
      </c>
      <c r="I654" s="41" t="inlineStr">
        <is>
          <t>ع ر ب 1573</t>
        </is>
      </c>
      <c r="J654" s="41" t="inlineStr">
        <is>
          <t xml:space="preserve">محمد السيد </t>
        </is>
      </c>
      <c r="K654" s="41" t="inlineStr">
        <is>
          <t xml:space="preserve">حمو مرزوق </t>
        </is>
      </c>
      <c r="L654" s="42" t="n">
        <v>14000</v>
      </c>
      <c r="M654" s="42" t="n">
        <v>8100</v>
      </c>
      <c r="N654" s="42" t="n"/>
      <c r="O654" s="42" t="n">
        <v>200</v>
      </c>
      <c r="P654" s="42" t="n"/>
      <c r="Q654" s="42" t="n">
        <v>5700</v>
      </c>
      <c r="R654" s="43">
        <f>IF($B654="","",N($S654)-N($Q654))</f>
        <v/>
      </c>
      <c r="S654" s="43">
        <f>IF($B654="","",N($L654)+N($N654)+N($P654))</f>
        <v/>
      </c>
      <c r="T654" s="42" t="n"/>
      <c r="U654" s="42" t="n"/>
      <c r="V654" s="42" t="n"/>
      <c r="W654" s="42" t="n"/>
      <c r="X654" s="42" t="n"/>
      <c r="Y654" s="42" t="n"/>
      <c r="Z654" s="42" t="n"/>
      <c r="AA654" s="42" t="n"/>
      <c r="AB654" s="42" t="n"/>
      <c r="AC654" s="42" t="n"/>
      <c r="AD654" s="42" t="n"/>
      <c r="AE654" s="42" t="n"/>
      <c r="AF654" s="43">
        <f>IF($B654="","",SUM($T654:$AE654))</f>
        <v/>
      </c>
      <c r="AG654" s="43">
        <f>IF($B654="","",N($M654)-N($AF654))</f>
        <v/>
      </c>
      <c r="AH654" s="43">
        <f>IF($B654="","",N($L654)-N($AF654))</f>
        <v/>
      </c>
      <c r="AI654" s="149">
        <f>IF($B654="","",IF(N($L654)=0,"",(N($L654)-N($AF654))/N($L654)))</f>
        <v/>
      </c>
    </row>
    <row r="655">
      <c r="A655" s="39">
        <f>IF($B655="","",COUNTA($B$4:$B655))</f>
        <v/>
      </c>
      <c r="B655" s="45" t="n">
        <v>46105</v>
      </c>
      <c r="C655" s="46" t="n">
        <v>2406</v>
      </c>
      <c r="D655" s="46" t="inlineStr">
        <is>
          <t>رجب عبد العال خ</t>
        </is>
      </c>
      <c r="E655" s="46" t="inlineStr">
        <is>
          <t>1*20</t>
        </is>
      </c>
      <c r="F655" s="46" t="inlineStr">
        <is>
          <t xml:space="preserve">ريجينا </t>
        </is>
      </c>
      <c r="G655" s="46" t="inlineStr">
        <is>
          <t xml:space="preserve">السادات </t>
        </is>
      </c>
      <c r="H655" s="46" t="inlineStr">
        <is>
          <t>276323/8</t>
        </is>
      </c>
      <c r="I655" s="46" t="inlineStr">
        <is>
          <t>م ا ر 6836</t>
        </is>
      </c>
      <c r="J655" s="46" t="inlineStr">
        <is>
          <t xml:space="preserve">عبد الهادى </t>
        </is>
      </c>
      <c r="K655" s="46" t="inlineStr">
        <is>
          <t xml:space="preserve">ايمن جيدا </t>
        </is>
      </c>
      <c r="L655" s="47" t="n">
        <v>12500</v>
      </c>
      <c r="M655" s="47" t="n">
        <v>8100</v>
      </c>
      <c r="N655" s="47" t="n"/>
      <c r="O655" s="47" t="n">
        <v>200</v>
      </c>
      <c r="P655" s="47" t="n"/>
      <c r="Q655" s="47" t="n">
        <v>4200</v>
      </c>
      <c r="R655" s="43">
        <f>IF($B655="","",N($S655)-N($Q655))</f>
        <v/>
      </c>
      <c r="S655" s="43">
        <f>IF($B655="","",N($L655)+N($N655)+N($P655))</f>
        <v/>
      </c>
      <c r="T655" s="47" t="n"/>
      <c r="U655" s="47" t="n"/>
      <c r="V655" s="47" t="n"/>
      <c r="W655" s="47" t="n"/>
      <c r="X655" s="47" t="n"/>
      <c r="Y655" s="47" t="n"/>
      <c r="Z655" s="47" t="n"/>
      <c r="AA655" s="47" t="n"/>
      <c r="AB655" s="47" t="n"/>
      <c r="AC655" s="47" t="n"/>
      <c r="AD655" s="47" t="n"/>
      <c r="AE655" s="47" t="n"/>
      <c r="AF655" s="43">
        <f>IF($B655="","",SUM($T655:$AE655))</f>
        <v/>
      </c>
      <c r="AG655" s="43">
        <f>IF($B655="","",N($M655)-N($AF655))</f>
        <v/>
      </c>
      <c r="AH655" s="43">
        <f>IF($B655="","",N($L655)-N($AF655))</f>
        <v/>
      </c>
      <c r="AI655" s="149">
        <f>IF($B655="","",IF(N($L655)=0,"",(N($L655)-N($AF655))/N($L655)))</f>
        <v/>
      </c>
    </row>
    <row r="656">
      <c r="A656" s="39">
        <f>IF($B656="","",COUNTA($B$4:$B656))</f>
        <v/>
      </c>
      <c r="B656" s="40" t="n">
        <v>46105</v>
      </c>
      <c r="C656" s="41" t="n">
        <v>2142</v>
      </c>
      <c r="D656" s="41" t="inlineStr">
        <is>
          <t>المكتب</t>
        </is>
      </c>
      <c r="E656" s="41" t="inlineStr">
        <is>
          <t>2*20</t>
        </is>
      </c>
      <c r="F656" s="41" t="inlineStr">
        <is>
          <t xml:space="preserve">ريجينا </t>
        </is>
      </c>
      <c r="G656" s="41" t="inlineStr">
        <is>
          <t xml:space="preserve">السادات </t>
        </is>
      </c>
      <c r="H656" s="41" t="inlineStr">
        <is>
          <t>194105/2-321411/8</t>
        </is>
      </c>
      <c r="I656" s="41" t="inlineStr">
        <is>
          <t>س ع م 8737</t>
        </is>
      </c>
      <c r="J656" s="41" t="inlineStr">
        <is>
          <t xml:space="preserve">محمود بكر </t>
        </is>
      </c>
      <c r="K656" s="41" t="inlineStr">
        <is>
          <t>المكتب</t>
        </is>
      </c>
      <c r="L656" s="42" t="n">
        <v>17500</v>
      </c>
      <c r="M656" s="42" t="n">
        <v>7000</v>
      </c>
      <c r="N656" s="42" t="n"/>
      <c r="O656" s="42" t="n"/>
      <c r="P656" s="42" t="n"/>
      <c r="Q656" s="42" t="n">
        <v>10500</v>
      </c>
      <c r="R656" s="43">
        <f>IF($B656="","",N($S656)-N($Q656))</f>
        <v/>
      </c>
      <c r="S656" s="43">
        <f>IF($B656="","",N($L656)+N($N656)+N($P656))</f>
        <v/>
      </c>
      <c r="T656" s="42" t="n">
        <v>1600</v>
      </c>
      <c r="U656" s="42" t="n">
        <v>600</v>
      </c>
      <c r="V656" s="42" t="n"/>
      <c r="W656" s="42" t="n">
        <v>200</v>
      </c>
      <c r="X656" s="42" t="n">
        <v>60</v>
      </c>
      <c r="Y656" s="42" t="n">
        <v>120</v>
      </c>
      <c r="Z656" s="42" t="n"/>
      <c r="AA656" s="42" t="n"/>
      <c r="AB656" s="42" t="n">
        <v>250</v>
      </c>
      <c r="AC656" s="42" t="n"/>
      <c r="AD656" s="42" t="n"/>
      <c r="AE656" s="42" t="n">
        <v>3000</v>
      </c>
      <c r="AF656" s="43">
        <f>IF($B656="","",SUM($T656:$AE656))</f>
        <v/>
      </c>
      <c r="AG656" s="43">
        <f>IF($B656="","",N($M656)-N($AF656))</f>
        <v/>
      </c>
      <c r="AH656" s="43">
        <f>IF($B656="","",N($L656)-N($AF656))</f>
        <v/>
      </c>
      <c r="AI656" s="149">
        <f>IF($B656="","",IF(N($L656)=0,"",(N($L656)-N($AF656))/N($L656)))</f>
        <v/>
      </c>
    </row>
    <row r="657">
      <c r="A657" s="39">
        <f>IF($B657="","",COUNTA($B$4:$B657))</f>
        <v/>
      </c>
      <c r="B657" s="45" t="n">
        <v>46105</v>
      </c>
      <c r="C657" s="46" t="n">
        <v>2138</v>
      </c>
      <c r="D657" s="46" t="inlineStr">
        <is>
          <t xml:space="preserve">محمد لطفى </t>
        </is>
      </c>
      <c r="E657" s="46" t="inlineStr">
        <is>
          <t>2*20</t>
        </is>
      </c>
      <c r="F657" s="46" t="inlineStr">
        <is>
          <t xml:space="preserve">ريجينا </t>
        </is>
      </c>
      <c r="G657" s="46" t="inlineStr">
        <is>
          <t xml:space="preserve">السادات </t>
        </is>
      </c>
      <c r="H657" s="46" t="inlineStr">
        <is>
          <t>221967/7-296061/0</t>
        </is>
      </c>
      <c r="I657" s="46" t="inlineStr">
        <is>
          <t>ق ب ع 5358</t>
        </is>
      </c>
      <c r="J657" s="46" t="inlineStr">
        <is>
          <t xml:space="preserve">كريم الغامرى </t>
        </is>
      </c>
      <c r="K657" s="46" t="inlineStr">
        <is>
          <t xml:space="preserve">كريم الغامرى </t>
        </is>
      </c>
      <c r="L657" s="47" t="n">
        <v>17500</v>
      </c>
      <c r="M657" s="47" t="n">
        <v>9100</v>
      </c>
      <c r="N657" s="47" t="n"/>
      <c r="O657" s="47" t="n">
        <v>200</v>
      </c>
      <c r="P657" s="47" t="n"/>
      <c r="Q657" s="47" t="n">
        <v>8200</v>
      </c>
      <c r="R657" s="43">
        <f>IF($B657="","",N($S657)-N($Q657))</f>
        <v/>
      </c>
      <c r="S657" s="43">
        <f>IF($B657="","",N($L657)+N($N657)+N($P657))</f>
        <v/>
      </c>
      <c r="T657" s="47" t="n"/>
      <c r="U657" s="47" t="n"/>
      <c r="V657" s="47" t="n"/>
      <c r="W657" s="47" t="n"/>
      <c r="X657" s="47" t="n"/>
      <c r="Y657" s="47" t="n"/>
      <c r="Z657" s="47" t="n"/>
      <c r="AA657" s="47" t="n"/>
      <c r="AB657" s="47" t="n"/>
      <c r="AC657" s="47" t="n"/>
      <c r="AD657" s="47" t="n"/>
      <c r="AE657" s="47" t="n"/>
      <c r="AF657" s="43">
        <f>IF($B657="","",SUM($T657:$AE657))</f>
        <v/>
      </c>
      <c r="AG657" s="43">
        <f>IF($B657="","",N($M657)-N($AF657))</f>
        <v/>
      </c>
      <c r="AH657" s="43">
        <f>IF($B657="","",N($L657)-N($AF657))</f>
        <v/>
      </c>
      <c r="AI657" s="149">
        <f>IF($B657="","",IF(N($L657)=0,"",(N($L657)-N($AF657))/N($L657)))</f>
        <v/>
      </c>
    </row>
    <row r="658">
      <c r="A658" s="39">
        <f>IF($B658="","",COUNTA($B$4:$B658))</f>
        <v/>
      </c>
      <c r="B658" s="40" t="n">
        <v>46105</v>
      </c>
      <c r="C658" s="41" t="n">
        <v>2139</v>
      </c>
      <c r="D658" s="41" t="inlineStr">
        <is>
          <t>رجب عبد العال خ</t>
        </is>
      </c>
      <c r="E658" s="41" t="inlineStr">
        <is>
          <t>2*20</t>
        </is>
      </c>
      <c r="F658" s="41" t="inlineStr">
        <is>
          <t xml:space="preserve">ريجينا </t>
        </is>
      </c>
      <c r="G658" s="41" t="inlineStr">
        <is>
          <t xml:space="preserve">السادات </t>
        </is>
      </c>
      <c r="H658" s="41" t="inlineStr">
        <is>
          <t>046201/9-163069/9</t>
        </is>
      </c>
      <c r="I658" s="41" t="inlineStr">
        <is>
          <t>س ن ب 3982</t>
        </is>
      </c>
      <c r="J658" s="41" t="inlineStr">
        <is>
          <t xml:space="preserve">محمد ابراهيم </t>
        </is>
      </c>
      <c r="K658" s="41" t="inlineStr">
        <is>
          <t xml:space="preserve">محمد ابراهيم </t>
        </is>
      </c>
      <c r="L658" s="42" t="n">
        <v>17500</v>
      </c>
      <c r="M658" s="42" t="n">
        <v>9100</v>
      </c>
      <c r="N658" s="42" t="n"/>
      <c r="O658" s="42" t="n">
        <v>200</v>
      </c>
      <c r="P658" s="42" t="n">
        <v>3000</v>
      </c>
      <c r="Q658" s="42" t="n">
        <v>11200</v>
      </c>
      <c r="R658" s="43">
        <f>IF($B658="","",N($S658)-N($Q658))</f>
        <v/>
      </c>
      <c r="S658" s="43">
        <f>IF($B658="","",N($L658)+N($N658)+N($P658))</f>
        <v/>
      </c>
      <c r="T658" s="42" t="n"/>
      <c r="U658" s="42" t="n"/>
      <c r="V658" s="42" t="n"/>
      <c r="W658" s="42" t="n"/>
      <c r="X658" s="42" t="n"/>
      <c r="Y658" s="42" t="n"/>
      <c r="Z658" s="42" t="n"/>
      <c r="AA658" s="42" t="n"/>
      <c r="AB658" s="42" t="n"/>
      <c r="AC658" s="42" t="n"/>
      <c r="AD658" s="42" t="n"/>
      <c r="AE658" s="42" t="n"/>
      <c r="AF658" s="43">
        <f>IF($B658="","",SUM($T658:$AE658))</f>
        <v/>
      </c>
      <c r="AG658" s="43">
        <f>IF($B658="","",N($M658)-N($AF658))</f>
        <v/>
      </c>
      <c r="AH658" s="43">
        <f>IF($B658="","",N($L658)-N($AF658))</f>
        <v/>
      </c>
      <c r="AI658" s="149">
        <f>IF($B658="","",IF(N($L658)=0,"",(N($L658)-N($AF658))/N($L658)))</f>
        <v/>
      </c>
    </row>
    <row r="659">
      <c r="A659" s="39">
        <f>IF($B659="","",COUNTA($B$4:$B659))</f>
        <v/>
      </c>
      <c r="B659" s="45" t="n">
        <v>46105</v>
      </c>
      <c r="C659" s="46" t="n">
        <v>2141</v>
      </c>
      <c r="D659" s="46" t="inlineStr">
        <is>
          <t>الانصارى خ</t>
        </is>
      </c>
      <c r="E659" s="46" t="inlineStr">
        <is>
          <t>2*20</t>
        </is>
      </c>
      <c r="F659" s="46" t="inlineStr">
        <is>
          <t xml:space="preserve">ريجينا </t>
        </is>
      </c>
      <c r="G659" s="46" t="inlineStr">
        <is>
          <t xml:space="preserve">السادات </t>
        </is>
      </c>
      <c r="H659" s="46" t="inlineStr">
        <is>
          <t>246597/1-273741/5</t>
        </is>
      </c>
      <c r="I659" s="46" t="inlineStr">
        <is>
          <t>ب ص ا 2574</t>
        </is>
      </c>
      <c r="J659" s="46" t="inlineStr">
        <is>
          <t xml:space="preserve">محمد البحيرى </t>
        </is>
      </c>
      <c r="K659" s="46" t="inlineStr">
        <is>
          <t xml:space="preserve">احمد عادل </t>
        </is>
      </c>
      <c r="L659" s="47" t="n">
        <v>17500</v>
      </c>
      <c r="M659" s="47" t="n">
        <v>9100</v>
      </c>
      <c r="N659" s="47" t="n"/>
      <c r="O659" s="47" t="n">
        <v>200</v>
      </c>
      <c r="P659" s="47" t="n"/>
      <c r="Q659" s="47" t="n">
        <v>8200</v>
      </c>
      <c r="R659" s="43">
        <f>IF($B659="","",N($S659)-N($Q659))</f>
        <v/>
      </c>
      <c r="S659" s="43">
        <f>IF($B659="","",N($L659)+N($N659)+N($P659))</f>
        <v/>
      </c>
      <c r="T659" s="47" t="n"/>
      <c r="U659" s="47" t="n"/>
      <c r="V659" s="47" t="n"/>
      <c r="W659" s="47" t="n"/>
      <c r="X659" s="47" t="n"/>
      <c r="Y659" s="47" t="n"/>
      <c r="Z659" s="47" t="n"/>
      <c r="AA659" s="47" t="n"/>
      <c r="AB659" s="47" t="n"/>
      <c r="AC659" s="47" t="n"/>
      <c r="AD659" s="47" t="n"/>
      <c r="AE659" s="47" t="n"/>
      <c r="AF659" s="43">
        <f>IF($B659="","",SUM($T659:$AE659))</f>
        <v/>
      </c>
      <c r="AG659" s="43">
        <f>IF($B659="","",N($M659)-N($AF659))</f>
        <v/>
      </c>
      <c r="AH659" s="43">
        <f>IF($B659="","",N($L659)-N($AF659))</f>
        <v/>
      </c>
      <c r="AI659" s="149">
        <f>IF($B659="","",IF(N($L659)=0,"",(N($L659)-N($AF659))/N($L659)))</f>
        <v/>
      </c>
    </row>
    <row r="660">
      <c r="A660" s="39">
        <f>IF($B660="","",COUNTA($B$4:$B660))</f>
        <v/>
      </c>
      <c r="B660" s="40" t="n">
        <v>46105</v>
      </c>
      <c r="C660" s="41" t="n">
        <v>2143</v>
      </c>
      <c r="D660" s="41" t="inlineStr">
        <is>
          <t xml:space="preserve">محمد سعيد </t>
        </is>
      </c>
      <c r="E660" s="41" t="inlineStr">
        <is>
          <t>2*20</t>
        </is>
      </c>
      <c r="F660" s="41" t="inlineStr">
        <is>
          <t xml:space="preserve">ريجينا </t>
        </is>
      </c>
      <c r="G660" s="41" t="inlineStr">
        <is>
          <t xml:space="preserve">السادات </t>
        </is>
      </c>
      <c r="H660" s="41" t="inlineStr">
        <is>
          <t>297305/2-190714/0</t>
        </is>
      </c>
      <c r="I660" s="41" t="inlineStr">
        <is>
          <t>س ع ن 7393</t>
        </is>
      </c>
      <c r="J660" s="41" t="inlineStr">
        <is>
          <t xml:space="preserve">مصطفى احمد </t>
        </is>
      </c>
      <c r="K660" s="41" t="inlineStr">
        <is>
          <t xml:space="preserve">القناوى </t>
        </is>
      </c>
      <c r="L660" s="42" t="n">
        <v>17500</v>
      </c>
      <c r="M660" s="42" t="n">
        <v>9100</v>
      </c>
      <c r="N660" s="42" t="n"/>
      <c r="O660" s="42" t="n">
        <v>200</v>
      </c>
      <c r="P660" s="42" t="n">
        <v>3000</v>
      </c>
      <c r="Q660" s="42" t="n">
        <v>11200</v>
      </c>
      <c r="R660" s="43">
        <f>IF($B660="","",N($S660)-N($Q660))</f>
        <v/>
      </c>
      <c r="S660" s="43">
        <f>IF($B660="","",N($L660)+N($N660)+N($P660))</f>
        <v/>
      </c>
      <c r="T660" s="42" t="n"/>
      <c r="U660" s="42" t="n"/>
      <c r="V660" s="42" t="n"/>
      <c r="W660" s="42" t="n"/>
      <c r="X660" s="42" t="n"/>
      <c r="Y660" s="42" t="n"/>
      <c r="Z660" s="42" t="n"/>
      <c r="AA660" s="42" t="n"/>
      <c r="AB660" s="42" t="n"/>
      <c r="AC660" s="42" t="n"/>
      <c r="AD660" s="42" t="n"/>
      <c r="AE660" s="42" t="n"/>
      <c r="AF660" s="43">
        <f>IF($B660="","",SUM($T660:$AE660))</f>
        <v/>
      </c>
      <c r="AG660" s="43">
        <f>IF($B660="","",N($M660)-N($AF660))</f>
        <v/>
      </c>
      <c r="AH660" s="43">
        <f>IF($B660="","",N($L660)-N($AF660))</f>
        <v/>
      </c>
      <c r="AI660" s="149">
        <f>IF($B660="","",IF(N($L660)=0,"",(N($L660)-N($AF660))/N($L660)))</f>
        <v/>
      </c>
    </row>
    <row r="661">
      <c r="A661" s="39">
        <f>IF($B661="","",COUNTA($B$4:$B661))</f>
        <v/>
      </c>
      <c r="B661" s="45" t="n">
        <v>46105</v>
      </c>
      <c r="C661" s="46" t="n">
        <v>2401</v>
      </c>
      <c r="D661" s="46" t="inlineStr">
        <is>
          <t>رجب عبد العال خ</t>
        </is>
      </c>
      <c r="E661" s="46" t="inlineStr">
        <is>
          <t>2*20</t>
        </is>
      </c>
      <c r="F661" s="46" t="inlineStr">
        <is>
          <t xml:space="preserve">ريجينا </t>
        </is>
      </c>
      <c r="G661" s="46" t="inlineStr">
        <is>
          <t xml:space="preserve">السادات </t>
        </is>
      </c>
      <c r="H661" s="46" t="inlineStr">
        <is>
          <t>341932/4-324267/1</t>
        </is>
      </c>
      <c r="I661" s="46" t="inlineStr">
        <is>
          <t>ق س ن 1359</t>
        </is>
      </c>
      <c r="J661" s="46" t="inlineStr">
        <is>
          <t xml:space="preserve">احمد حمدان </t>
        </is>
      </c>
      <c r="K661" s="46" t="inlineStr">
        <is>
          <t xml:space="preserve">مروان </t>
        </is>
      </c>
      <c r="L661" s="47" t="n">
        <v>17500</v>
      </c>
      <c r="M661" s="47" t="n">
        <v>9100</v>
      </c>
      <c r="N661" s="47" t="n"/>
      <c r="O661" s="47" t="n">
        <v>200</v>
      </c>
      <c r="P661" s="47" t="n">
        <v>3000</v>
      </c>
      <c r="Q661" s="47" t="n">
        <v>11200</v>
      </c>
      <c r="R661" s="43">
        <f>IF($B661="","",N($S661)-N($Q661))</f>
        <v/>
      </c>
      <c r="S661" s="43">
        <f>IF($B661="","",N($L661)+N($N661)+N($P661))</f>
        <v/>
      </c>
      <c r="T661" s="47" t="n"/>
      <c r="U661" s="47" t="n"/>
      <c r="V661" s="47" t="n"/>
      <c r="W661" s="47" t="n"/>
      <c r="X661" s="47" t="n"/>
      <c r="Y661" s="47" t="n"/>
      <c r="Z661" s="47" t="n"/>
      <c r="AA661" s="47" t="n"/>
      <c r="AB661" s="47" t="n"/>
      <c r="AC661" s="47" t="n"/>
      <c r="AD661" s="47" t="n"/>
      <c r="AE661" s="47" t="n"/>
      <c r="AF661" s="43">
        <f>IF($B661="","",SUM($T661:$AE661))</f>
        <v/>
      </c>
      <c r="AG661" s="43">
        <f>IF($B661="","",N($M661)-N($AF661))</f>
        <v/>
      </c>
      <c r="AH661" s="43">
        <f>IF($B661="","",N($L661)-N($AF661))</f>
        <v/>
      </c>
      <c r="AI661" s="149">
        <f>IF($B661="","",IF(N($L661)=0,"",(N($L661)-N($AF661))/N($L661)))</f>
        <v/>
      </c>
    </row>
    <row r="662">
      <c r="A662" s="39">
        <f>IF($B662="","",COUNTA($B$4:$B662))</f>
        <v/>
      </c>
      <c r="B662" s="40" t="n">
        <v>46106</v>
      </c>
      <c r="C662" s="41" t="n">
        <v>2402</v>
      </c>
      <c r="D662" s="41" t="inlineStr">
        <is>
          <t xml:space="preserve">عم فتحى </t>
        </is>
      </c>
      <c r="E662" s="41" t="inlineStr">
        <is>
          <t>2*20</t>
        </is>
      </c>
      <c r="F662" s="41" t="inlineStr">
        <is>
          <t xml:space="preserve">ريجينا </t>
        </is>
      </c>
      <c r="G662" s="41" t="inlineStr">
        <is>
          <t xml:space="preserve">السادات </t>
        </is>
      </c>
      <c r="H662" s="41" t="inlineStr">
        <is>
          <t>317930/5-222479/7</t>
        </is>
      </c>
      <c r="I662" s="41" t="inlineStr">
        <is>
          <t>س ن ر 5945</t>
        </is>
      </c>
      <c r="J662" s="41" t="inlineStr">
        <is>
          <t xml:space="preserve">محمد السيد </t>
        </is>
      </c>
      <c r="K662" s="41" t="inlineStr">
        <is>
          <t>جبص</t>
        </is>
      </c>
      <c r="L662" s="42" t="n">
        <v>18000</v>
      </c>
      <c r="M662" s="42" t="n">
        <v>10100</v>
      </c>
      <c r="N662" s="42" t="n"/>
      <c r="O662" s="42" t="n">
        <v>200</v>
      </c>
      <c r="P662" s="42" t="n">
        <v>3000</v>
      </c>
      <c r="Q662" s="42" t="n">
        <v>10700</v>
      </c>
      <c r="R662" s="43">
        <f>IF($B662="","",N($S662)-N($Q662))</f>
        <v/>
      </c>
      <c r="S662" s="43">
        <f>IF($B662="","",N($L662)+N($N662)+N($P662))</f>
        <v/>
      </c>
      <c r="T662" s="42" t="n"/>
      <c r="U662" s="42" t="n"/>
      <c r="V662" s="42" t="n"/>
      <c r="W662" s="42" t="n"/>
      <c r="X662" s="42" t="n"/>
      <c r="Y662" s="42" t="n"/>
      <c r="Z662" s="42" t="n"/>
      <c r="AA662" s="42" t="n"/>
      <c r="AB662" s="42" t="n"/>
      <c r="AC662" s="42" t="n"/>
      <c r="AD662" s="42" t="n"/>
      <c r="AE662" s="42" t="n"/>
      <c r="AF662" s="43">
        <f>IF($B662="","",SUM($T662:$AE662))</f>
        <v/>
      </c>
      <c r="AG662" s="43">
        <f>IF($B662="","",N($M662)-N($AF662))</f>
        <v/>
      </c>
      <c r="AH662" s="43">
        <f>IF($B662="","",N($L662)-N($AF662))</f>
        <v/>
      </c>
      <c r="AI662" s="149">
        <f>IF($B662="","",IF(N($L662)=0,"",(N($L662)-N($AF662))/N($L662)))</f>
        <v/>
      </c>
    </row>
    <row r="663">
      <c r="A663" s="39">
        <f>IF($B663="","",COUNTA($B$4:$B663))</f>
        <v/>
      </c>
      <c r="B663" s="45" t="n">
        <v>46106</v>
      </c>
      <c r="C663" s="46" t="n">
        <v>2403</v>
      </c>
      <c r="D663" s="46" t="inlineStr">
        <is>
          <t xml:space="preserve">عم فتحى </t>
        </is>
      </c>
      <c r="E663" s="46" t="inlineStr">
        <is>
          <t>2*20</t>
        </is>
      </c>
      <c r="F663" s="46" t="inlineStr">
        <is>
          <t xml:space="preserve">ريجينا </t>
        </is>
      </c>
      <c r="G663" s="46" t="inlineStr">
        <is>
          <t xml:space="preserve">السادات </t>
        </is>
      </c>
      <c r="H663" s="46" t="inlineStr">
        <is>
          <t>088999/4-265246/6</t>
        </is>
      </c>
      <c r="I663" s="46" t="inlineStr">
        <is>
          <t>س ع ه 5165</t>
        </is>
      </c>
      <c r="J663" s="46" t="inlineStr">
        <is>
          <t xml:space="preserve">ابراهيم محمد </t>
        </is>
      </c>
      <c r="K663" s="46" t="inlineStr">
        <is>
          <t xml:space="preserve">حبص </t>
        </is>
      </c>
      <c r="L663" s="47" t="n">
        <v>18000</v>
      </c>
      <c r="M663" s="47" t="n">
        <v>10100</v>
      </c>
      <c r="N663" s="47" t="n"/>
      <c r="O663" s="47" t="n">
        <v>200</v>
      </c>
      <c r="P663" s="47" t="n">
        <v>3000</v>
      </c>
      <c r="Q663" s="47" t="n">
        <v>10700</v>
      </c>
      <c r="R663" s="43">
        <f>IF($B663="","",N($S663)-N($Q663))</f>
        <v/>
      </c>
      <c r="S663" s="43">
        <f>IF($B663="","",N($L663)+N($N663)+N($P663))</f>
        <v/>
      </c>
      <c r="T663" s="47" t="n"/>
      <c r="U663" s="47" t="n"/>
      <c r="V663" s="47" t="n"/>
      <c r="W663" s="47" t="n"/>
      <c r="X663" s="47" t="n"/>
      <c r="Y663" s="47" t="n"/>
      <c r="Z663" s="47" t="n"/>
      <c r="AA663" s="47" t="n"/>
      <c r="AB663" s="47" t="n"/>
      <c r="AC663" s="47" t="n"/>
      <c r="AD663" s="47" t="n"/>
      <c r="AE663" s="47" t="n"/>
      <c r="AF663" s="43">
        <f>IF($B663="","",SUM($T663:$AE663))</f>
        <v/>
      </c>
      <c r="AG663" s="43">
        <f>IF($B663="","",N($M663)-N($AF663))</f>
        <v/>
      </c>
      <c r="AH663" s="43">
        <f>IF($B663="","",N($L663)-N($AF663))</f>
        <v/>
      </c>
      <c r="AI663" s="149">
        <f>IF($B663="","",IF(N($L663)=0,"",(N($L663)-N($AF663))/N($L663)))</f>
        <v/>
      </c>
    </row>
    <row r="664">
      <c r="A664" s="39">
        <f>IF($B664="","",COUNTA($B$4:$B664))</f>
        <v/>
      </c>
      <c r="B664" s="40" t="n">
        <v>46106</v>
      </c>
      <c r="C664" s="41" t="n">
        <v>2404</v>
      </c>
      <c r="D664" s="41" t="inlineStr">
        <is>
          <t xml:space="preserve">عم فتحى </t>
        </is>
      </c>
      <c r="E664" s="41" t="inlineStr">
        <is>
          <t>2*20</t>
        </is>
      </c>
      <c r="F664" s="41" t="inlineStr">
        <is>
          <t xml:space="preserve">ريجينا </t>
        </is>
      </c>
      <c r="G664" s="41" t="inlineStr">
        <is>
          <t xml:space="preserve">السادات </t>
        </is>
      </c>
      <c r="H664" s="41" t="inlineStr">
        <is>
          <t>348297/3-283748/2</t>
        </is>
      </c>
      <c r="I664" s="41" t="inlineStr">
        <is>
          <t>س ع ه 1871</t>
        </is>
      </c>
      <c r="J664" s="41" t="inlineStr">
        <is>
          <t xml:space="preserve">محمد  على </t>
        </is>
      </c>
      <c r="K664" s="41" t="inlineStr">
        <is>
          <t xml:space="preserve">حبص </t>
        </is>
      </c>
      <c r="L664" s="42" t="n">
        <v>18000</v>
      </c>
      <c r="M664" s="42" t="n">
        <v>10100</v>
      </c>
      <c r="N664" s="42" t="n"/>
      <c r="O664" s="42" t="n">
        <v>200</v>
      </c>
      <c r="P664" s="42" t="n">
        <v>3000</v>
      </c>
      <c r="Q664" s="42" t="n">
        <v>10700</v>
      </c>
      <c r="R664" s="43">
        <f>IF($B664="","",N($S664)-N($Q664))</f>
        <v/>
      </c>
      <c r="S664" s="43">
        <f>IF($B664="","",N($L664)+N($N664)+N($P664))</f>
        <v/>
      </c>
      <c r="T664" s="42" t="n"/>
      <c r="U664" s="42" t="n"/>
      <c r="V664" s="42" t="n"/>
      <c r="W664" s="42" t="n"/>
      <c r="X664" s="42" t="n"/>
      <c r="Y664" s="42" t="n"/>
      <c r="Z664" s="42" t="n"/>
      <c r="AA664" s="42" t="n"/>
      <c r="AB664" s="42" t="n"/>
      <c r="AC664" s="42" t="n"/>
      <c r="AD664" s="42" t="n"/>
      <c r="AE664" s="42" t="n"/>
      <c r="AF664" s="43">
        <f>IF($B664="","",SUM($T664:$AE664))</f>
        <v/>
      </c>
      <c r="AG664" s="43">
        <f>IF($B664="","",N($M664)-N($AF664))</f>
        <v/>
      </c>
      <c r="AH664" s="43">
        <f>IF($B664="","",N($L664)-N($AF664))</f>
        <v/>
      </c>
      <c r="AI664" s="149">
        <f>IF($B664="","",IF(N($L664)=0,"",(N($L664)-N($AF664))/N($L664)))</f>
        <v/>
      </c>
    </row>
    <row r="665">
      <c r="A665" s="39">
        <f>IF($B665="","",COUNTA($B$4:$B665))</f>
        <v/>
      </c>
      <c r="B665" s="45" t="n">
        <v>46106</v>
      </c>
      <c r="C665" s="46" t="n">
        <v>2367</v>
      </c>
      <c r="D665" s="46" t="inlineStr">
        <is>
          <t xml:space="preserve">احمد محسن </t>
        </is>
      </c>
      <c r="E665" s="46" t="inlineStr">
        <is>
          <t xml:space="preserve">1*40 </t>
        </is>
      </c>
      <c r="F665" s="46" t="inlineStr">
        <is>
          <t xml:space="preserve">السويدى بوليمرز </t>
        </is>
      </c>
      <c r="G665" s="46" t="inlineStr">
        <is>
          <t xml:space="preserve">العاشر </t>
        </is>
      </c>
      <c r="H665" s="46" t="inlineStr">
        <is>
          <t>416675/0</t>
        </is>
      </c>
      <c r="I665" s="46" t="inlineStr">
        <is>
          <t>س ع ا 7219</t>
        </is>
      </c>
      <c r="J665" s="46" t="inlineStr">
        <is>
          <t xml:space="preserve">طلعت محمد </t>
        </is>
      </c>
      <c r="K665" s="46" t="inlineStr">
        <is>
          <t xml:space="preserve">احمد محسن </t>
        </is>
      </c>
      <c r="L665" s="47" t="n">
        <v>16000</v>
      </c>
      <c r="M665" s="47" t="n">
        <v>9100</v>
      </c>
      <c r="N665" s="47" t="n"/>
      <c r="O665" s="47" t="n">
        <v>200</v>
      </c>
      <c r="P665" s="47" t="n"/>
      <c r="Q665" s="47" t="n">
        <v>6700</v>
      </c>
      <c r="R665" s="43">
        <f>IF($B665="","",N($S665)-N($Q665))</f>
        <v/>
      </c>
      <c r="S665" s="43">
        <f>IF($B665="","",N($L665)+N($N665)+N($P665))</f>
        <v/>
      </c>
      <c r="T665" s="47" t="n"/>
      <c r="U665" s="47" t="n"/>
      <c r="V665" s="47" t="n"/>
      <c r="W665" s="47" t="n"/>
      <c r="X665" s="47" t="n"/>
      <c r="Y665" s="47" t="n"/>
      <c r="Z665" s="47" t="n"/>
      <c r="AA665" s="47" t="n"/>
      <c r="AB665" s="47" t="n"/>
      <c r="AC665" s="47" t="n"/>
      <c r="AD665" s="47" t="n"/>
      <c r="AE665" s="47" t="n"/>
      <c r="AF665" s="43">
        <f>IF($B665="","",SUM($T665:$AE665))</f>
        <v/>
      </c>
      <c r="AG665" s="43">
        <f>IF($B665="","",N($M665)-N($AF665))</f>
        <v/>
      </c>
      <c r="AH665" s="43">
        <f>IF($B665="","",N($L665)-N($AF665))</f>
        <v/>
      </c>
      <c r="AI665" s="149">
        <f>IF($B665="","",IF(N($L665)=0,"",(N($L665)-N($AF665))/N($L665)))</f>
        <v/>
      </c>
    </row>
    <row r="666">
      <c r="A666" s="39">
        <f>IF($B666="","",COUNTA($B$4:$B666))</f>
        <v/>
      </c>
      <c r="B666" s="40" t="n">
        <v>46105</v>
      </c>
      <c r="C666" s="41" t="n">
        <v>2368</v>
      </c>
      <c r="D666" s="41" t="inlineStr">
        <is>
          <t>عتريس مخيمر  خ</t>
        </is>
      </c>
      <c r="E666" s="41" t="inlineStr">
        <is>
          <t>1*20</t>
        </is>
      </c>
      <c r="F666" s="41" t="inlineStr">
        <is>
          <t xml:space="preserve">يونيتك </t>
        </is>
      </c>
      <c r="G666" s="41" t="inlineStr">
        <is>
          <t xml:space="preserve">اكتوبر </t>
        </is>
      </c>
      <c r="H666" s="41" t="inlineStr">
        <is>
          <t>385183/4</t>
        </is>
      </c>
      <c r="I666" s="41" t="inlineStr">
        <is>
          <t>ب د ف 6145</t>
        </is>
      </c>
      <c r="J666" s="41" t="inlineStr">
        <is>
          <t xml:space="preserve">محمد على </t>
        </is>
      </c>
      <c r="K666" s="41" t="inlineStr">
        <is>
          <t xml:space="preserve">فلافيو </t>
        </is>
      </c>
      <c r="L666" s="42" t="n">
        <v>12000</v>
      </c>
      <c r="M666" s="42" t="n">
        <v>8100</v>
      </c>
      <c r="N666" s="42" t="n"/>
      <c r="O666" s="42" t="n">
        <v>200</v>
      </c>
      <c r="P666" s="42" t="n"/>
      <c r="Q666" s="42" t="n">
        <v>3700</v>
      </c>
      <c r="R666" s="43">
        <f>IF($B666="","",N($S666)-N($Q666))</f>
        <v/>
      </c>
      <c r="S666" s="43">
        <f>IF($B666="","",N($L666)+N($N666)+N($P666))</f>
        <v/>
      </c>
      <c r="T666" s="42" t="n"/>
      <c r="U666" s="42" t="n"/>
      <c r="V666" s="42" t="n"/>
      <c r="W666" s="42" t="n"/>
      <c r="X666" s="42" t="n"/>
      <c r="Y666" s="42" t="n"/>
      <c r="Z666" s="42" t="n"/>
      <c r="AA666" s="42" t="n"/>
      <c r="AB666" s="42" t="n"/>
      <c r="AC666" s="42" t="n"/>
      <c r="AD666" s="42" t="n"/>
      <c r="AE666" s="42" t="n"/>
      <c r="AF666" s="43">
        <f>IF($B666="","",SUM($T666:$AE666))</f>
        <v/>
      </c>
      <c r="AG666" s="43">
        <f>IF($B666="","",N($M666)-N($AF666))</f>
        <v/>
      </c>
      <c r="AH666" s="43">
        <f>IF($B666="","",N($L666)-N($AF666))</f>
        <v/>
      </c>
      <c r="AI666" s="149">
        <f>IF($B666="","",IF(N($L666)=0,"",(N($L666)-N($AF666))/N($L666)))</f>
        <v/>
      </c>
    </row>
    <row r="667">
      <c r="A667" s="39">
        <f>IF($B667="","",COUNTA($B$4:$B667))</f>
        <v/>
      </c>
      <c r="B667" s="45" t="n">
        <v>46105</v>
      </c>
      <c r="C667" s="46" t="n">
        <v>2140</v>
      </c>
      <c r="D667" s="46" t="inlineStr">
        <is>
          <t>الدهشان</t>
        </is>
      </c>
      <c r="E667" s="46" t="inlineStr">
        <is>
          <t>1*40</t>
        </is>
      </c>
      <c r="F667" s="46" t="inlineStr">
        <is>
          <t xml:space="preserve">الامل </t>
        </is>
      </c>
      <c r="G667" s="46" t="inlineStr">
        <is>
          <t xml:space="preserve">العاشر </t>
        </is>
      </c>
      <c r="H667" s="46" t="inlineStr">
        <is>
          <t>919890/4</t>
        </is>
      </c>
      <c r="I667" s="46" t="inlineStr">
        <is>
          <t>س ل ب 5917</t>
        </is>
      </c>
      <c r="J667" s="46" t="inlineStr">
        <is>
          <t xml:space="preserve">محمد ابراهيم </t>
        </is>
      </c>
      <c r="K667" s="46" t="inlineStr">
        <is>
          <t xml:space="preserve">علاء علام </t>
        </is>
      </c>
      <c r="L667" s="47" t="n">
        <v>15500</v>
      </c>
      <c r="M667" s="47" t="n">
        <v>8100</v>
      </c>
      <c r="N667" s="47" t="n"/>
      <c r="O667" s="47" t="n">
        <v>200</v>
      </c>
      <c r="P667" s="47" t="n"/>
      <c r="Q667" s="47" t="n">
        <v>7200</v>
      </c>
      <c r="R667" s="43">
        <f>IF($B667="","",N($S667)-N($Q667))</f>
        <v/>
      </c>
      <c r="S667" s="43">
        <f>IF($B667="","",N($L667)+N($N667)+N($P667))</f>
        <v/>
      </c>
      <c r="T667" s="47" t="n"/>
      <c r="U667" s="47" t="n"/>
      <c r="V667" s="47" t="n"/>
      <c r="W667" s="47" t="n"/>
      <c r="X667" s="47" t="n"/>
      <c r="Y667" s="47" t="n"/>
      <c r="Z667" s="47" t="n"/>
      <c r="AA667" s="47" t="n"/>
      <c r="AB667" s="47" t="n"/>
      <c r="AC667" s="47" t="n"/>
      <c r="AD667" s="47" t="n"/>
      <c r="AE667" s="47" t="n"/>
      <c r="AF667" s="43">
        <f>IF($B667="","",SUM($T667:$AE667))</f>
        <v/>
      </c>
      <c r="AG667" s="43">
        <f>IF($B667="","",N($M667)-N($AF667))</f>
        <v/>
      </c>
      <c r="AH667" s="43">
        <f>IF($B667="","",N($L667)-N($AF667))</f>
        <v/>
      </c>
      <c r="AI667" s="149">
        <f>IF($B667="","",IF(N($L667)=0,"",(N($L667)-N($AF667))/N($L667)))</f>
        <v/>
      </c>
    </row>
    <row r="668">
      <c r="A668" s="39">
        <f>IF($B668="","",COUNTA($B$4:$B668))</f>
        <v/>
      </c>
      <c r="B668" s="40" t="n">
        <v>46106</v>
      </c>
      <c r="C668" s="41" t="n">
        <v>2362</v>
      </c>
      <c r="D668" s="41" t="inlineStr">
        <is>
          <t xml:space="preserve">محمد يحى </t>
        </is>
      </c>
      <c r="E668" s="41" t="inlineStr">
        <is>
          <t>1*40 ث</t>
        </is>
      </c>
      <c r="F668" s="41" t="inlineStr">
        <is>
          <t>الصديق</t>
        </is>
      </c>
      <c r="G668" s="41" t="inlineStr">
        <is>
          <t xml:space="preserve">وادى النطرون </t>
        </is>
      </c>
      <c r="H668" s="41" t="inlineStr">
        <is>
          <t>937981/3</t>
        </is>
      </c>
      <c r="I668" s="41" t="inlineStr">
        <is>
          <t>ع ر ب 1573</t>
        </is>
      </c>
      <c r="J668" s="41" t="inlineStr">
        <is>
          <t xml:space="preserve">محمد السيد </t>
        </is>
      </c>
      <c r="K668" s="41" t="inlineStr">
        <is>
          <t xml:space="preserve">حمو مرزوق </t>
        </is>
      </c>
      <c r="L668" s="42" t="n">
        <v>13000</v>
      </c>
      <c r="M668" s="42" t="n">
        <v>8100</v>
      </c>
      <c r="N668" s="42" t="n"/>
      <c r="O668" s="42" t="n">
        <v>200</v>
      </c>
      <c r="P668" s="42" t="n"/>
      <c r="Q668" s="42" t="n">
        <v>4700</v>
      </c>
      <c r="R668" s="43">
        <f>IF($B668="","",N($S668)-N($Q668))</f>
        <v/>
      </c>
      <c r="S668" s="43">
        <f>IF($B668="","",N($L668)+N($N668)+N($P668))</f>
        <v/>
      </c>
      <c r="T668" s="42" t="n"/>
      <c r="U668" s="42" t="n"/>
      <c r="V668" s="42" t="n"/>
      <c r="W668" s="42" t="n"/>
      <c r="X668" s="42" t="n"/>
      <c r="Y668" s="42" t="n"/>
      <c r="Z668" s="42" t="n"/>
      <c r="AA668" s="42" t="n"/>
      <c r="AB668" s="42" t="n"/>
      <c r="AC668" s="42" t="n"/>
      <c r="AD668" s="42" t="n"/>
      <c r="AE668" s="42" t="n"/>
      <c r="AF668" s="43">
        <f>IF($B668="","",SUM($T668:$AE668))</f>
        <v/>
      </c>
      <c r="AG668" s="43">
        <f>IF($B668="","",N($M668)-N($AF668))</f>
        <v/>
      </c>
      <c r="AH668" s="43">
        <f>IF($B668="","",N($L668)-N($AF668))</f>
        <v/>
      </c>
      <c r="AI668" s="149">
        <f>IF($B668="","",IF(N($L668)=0,"",(N($L668)-N($AF668))/N($L668)))</f>
        <v/>
      </c>
    </row>
    <row r="669">
      <c r="A669" s="39">
        <f>IF($B669="","",COUNTA($B$4:$B669))</f>
        <v/>
      </c>
      <c r="B669" s="45" t="n">
        <v>46106</v>
      </c>
      <c r="C669" s="46" t="n">
        <v>2363</v>
      </c>
      <c r="D669" s="46" t="inlineStr">
        <is>
          <t>كمال رزق خ</t>
        </is>
      </c>
      <c r="E669" s="46" t="inlineStr">
        <is>
          <t>1*40 ث</t>
        </is>
      </c>
      <c r="F669" s="46" t="inlineStr">
        <is>
          <t xml:space="preserve">الصديق </t>
        </is>
      </c>
      <c r="G669" s="46" t="inlineStr">
        <is>
          <t xml:space="preserve">وادى النطرون </t>
        </is>
      </c>
      <c r="H669" s="46" t="inlineStr">
        <is>
          <t>940219/5</t>
        </is>
      </c>
      <c r="I669" s="46" t="inlineStr">
        <is>
          <t>س ن ر 8979</t>
        </is>
      </c>
      <c r="J669" s="46" t="inlineStr">
        <is>
          <t xml:space="preserve">عماد سعيد </t>
        </is>
      </c>
      <c r="K669" s="46" t="inlineStr">
        <is>
          <t xml:space="preserve">عماد سعيد </t>
        </is>
      </c>
      <c r="L669" s="47" t="n">
        <v>14800</v>
      </c>
      <c r="M669" s="47" t="n">
        <v>8100</v>
      </c>
      <c r="N669" s="47" t="n"/>
      <c r="O669" s="47" t="n">
        <v>200</v>
      </c>
      <c r="P669" s="47" t="n"/>
      <c r="Q669" s="47" t="n">
        <v>6500</v>
      </c>
      <c r="R669" s="43">
        <f>IF($B669="","",N($S669)-N($Q669))</f>
        <v/>
      </c>
      <c r="S669" s="43">
        <f>IF($B669="","",N($L669)+N($N669)+N($P669))</f>
        <v/>
      </c>
      <c r="T669" s="47" t="n"/>
      <c r="U669" s="47" t="n"/>
      <c r="V669" s="47" t="n"/>
      <c r="W669" s="47" t="n"/>
      <c r="X669" s="47" t="n"/>
      <c r="Y669" s="47" t="n"/>
      <c r="Z669" s="47" t="n"/>
      <c r="AA669" s="47" t="n"/>
      <c r="AB669" s="47" t="n"/>
      <c r="AC669" s="47" t="n"/>
      <c r="AD669" s="47" t="n"/>
      <c r="AE669" s="47" t="n"/>
      <c r="AF669" s="43">
        <f>IF($B669="","",SUM($T669:$AE669))</f>
        <v/>
      </c>
      <c r="AG669" s="43">
        <f>IF($B669="","",N($M669)-N($AF669))</f>
        <v/>
      </c>
      <c r="AH669" s="43">
        <f>IF($B669="","",N($L669)-N($AF669))</f>
        <v/>
      </c>
      <c r="AI669" s="149">
        <f>IF($B669="","",IF(N($L669)=0,"",(N($L669)-N($AF669))/N($L669)))</f>
        <v/>
      </c>
    </row>
    <row r="670">
      <c r="A670" s="39">
        <f>IF($B670="","",COUNTA($B$4:$B670))</f>
        <v/>
      </c>
      <c r="B670" s="40" t="n">
        <v>46106</v>
      </c>
      <c r="C670" s="41" t="n">
        <v>2372</v>
      </c>
      <c r="D670" s="41" t="inlineStr">
        <is>
          <t>المكتب</t>
        </is>
      </c>
      <c r="E670" s="41" t="inlineStr">
        <is>
          <t>2*20</t>
        </is>
      </c>
      <c r="F670" s="41" t="inlineStr">
        <is>
          <t xml:space="preserve">اكما </t>
        </is>
      </c>
      <c r="G670" s="41" t="inlineStr">
        <is>
          <t>بنى سويف</t>
        </is>
      </c>
      <c r="H670" s="41" t="inlineStr">
        <is>
          <t>191021/3-119089/9</t>
        </is>
      </c>
      <c r="I670" s="41" t="inlineStr">
        <is>
          <t>س ع م 8737</t>
        </is>
      </c>
      <c r="J670" s="41" t="inlineStr">
        <is>
          <t xml:space="preserve">محمود بكر </t>
        </is>
      </c>
      <c r="K670" s="41" t="inlineStr">
        <is>
          <t xml:space="preserve">المكتب </t>
        </is>
      </c>
      <c r="L670" s="42" t="n">
        <v>25000</v>
      </c>
      <c r="M670" s="42" t="n">
        <v>10000</v>
      </c>
      <c r="N670" s="42" t="n"/>
      <c r="O670" s="42" t="n"/>
      <c r="P670" s="42" t="n"/>
      <c r="Q670" s="42" t="n">
        <v>15000</v>
      </c>
      <c r="R670" s="43">
        <f>IF($B670="","",N($S670)-N($Q670))</f>
        <v/>
      </c>
      <c r="S670" s="43">
        <f>IF($B670="","",N($L670)+N($N670)+N($P670))</f>
        <v/>
      </c>
      <c r="T670" s="42" t="n">
        <v>2000</v>
      </c>
      <c r="U670" s="42" t="n">
        <v>900</v>
      </c>
      <c r="V670" s="42" t="n"/>
      <c r="W670" s="42" t="n">
        <v>200</v>
      </c>
      <c r="X670" s="42" t="n">
        <v>180</v>
      </c>
      <c r="Y670" s="42" t="n">
        <v>60</v>
      </c>
      <c r="Z670" s="42" t="n"/>
      <c r="AA670" s="42" t="n"/>
      <c r="AB670" s="42" t="n"/>
      <c r="AC670" s="42" t="n">
        <v>450</v>
      </c>
      <c r="AD670" s="42" t="n"/>
      <c r="AE670" s="42" t="n">
        <v>6060</v>
      </c>
      <c r="AF670" s="43">
        <f>IF($B670="","",SUM($T670:$AE670))</f>
        <v/>
      </c>
      <c r="AG670" s="43">
        <f>IF($B670="","",N($M670)-N($AF670))</f>
        <v/>
      </c>
      <c r="AH670" s="43">
        <f>IF($B670="","",N($L670)-N($AF670))</f>
        <v/>
      </c>
      <c r="AI670" s="149">
        <f>IF($B670="","",IF(N($L670)=0,"",(N($L670)-N($AF670))/N($L670)))</f>
        <v/>
      </c>
    </row>
    <row r="671">
      <c r="A671" s="39">
        <f>IF($B671="","",COUNTA($B$4:$B671))</f>
        <v/>
      </c>
      <c r="B671" s="45" t="n">
        <v>46106</v>
      </c>
      <c r="C671" s="46" t="n">
        <v>2369</v>
      </c>
      <c r="D671" s="46" t="inlineStr">
        <is>
          <t>الشريف خ</t>
        </is>
      </c>
      <c r="E671" s="46" t="inlineStr">
        <is>
          <t>2*20</t>
        </is>
      </c>
      <c r="F671" s="46" t="inlineStr">
        <is>
          <t xml:space="preserve">اكما </t>
        </is>
      </c>
      <c r="G671" s="46" t="inlineStr">
        <is>
          <t>بنى سويف</t>
        </is>
      </c>
      <c r="H671" s="46" t="inlineStr">
        <is>
          <t>446034/6-192493/0</t>
        </is>
      </c>
      <c r="I671" s="46" t="inlineStr">
        <is>
          <t>ب ط ع 3576</t>
        </is>
      </c>
      <c r="J671" s="46" t="inlineStr">
        <is>
          <t xml:space="preserve">محمد الميت </t>
        </is>
      </c>
      <c r="K671" s="46" t="inlineStr">
        <is>
          <t xml:space="preserve">السائق </t>
        </is>
      </c>
      <c r="L671" s="47" t="n">
        <v>25000</v>
      </c>
      <c r="M671" s="47" t="n">
        <v>14100</v>
      </c>
      <c r="N671" s="47" t="n"/>
      <c r="O671" s="47" t="n">
        <v>200</v>
      </c>
      <c r="P671" s="47" t="n"/>
      <c r="Q671" s="47" t="n">
        <v>10700</v>
      </c>
      <c r="R671" s="43">
        <f>IF($B671="","",N($S671)-N($Q671))</f>
        <v/>
      </c>
      <c r="S671" s="43">
        <f>IF($B671="","",N($L671)+N($N671)+N($P671))</f>
        <v/>
      </c>
      <c r="T671" s="47" t="n"/>
      <c r="U671" s="47" t="n"/>
      <c r="V671" s="47" t="n"/>
      <c r="W671" s="47" t="n"/>
      <c r="X671" s="47" t="n"/>
      <c r="Y671" s="47" t="n"/>
      <c r="Z671" s="47" t="n"/>
      <c r="AA671" s="47" t="n"/>
      <c r="AB671" s="47" t="n"/>
      <c r="AC671" s="47" t="n"/>
      <c r="AD671" s="47" t="n"/>
      <c r="AE671" s="47" t="n"/>
      <c r="AF671" s="43">
        <f>IF($B671="","",SUM($T671:$AE671))</f>
        <v/>
      </c>
      <c r="AG671" s="43">
        <f>IF($B671="","",N($M671)-N($AF671))</f>
        <v/>
      </c>
      <c r="AH671" s="43">
        <f>IF($B671="","",N($L671)-N($AF671))</f>
        <v/>
      </c>
      <c r="AI671" s="149">
        <f>IF($B671="","",IF(N($L671)=0,"",(N($L671)-N($AF671))/N($L671)))</f>
        <v/>
      </c>
    </row>
    <row r="672">
      <c r="A672" s="39">
        <f>IF($B672="","",COUNTA($B$4:$B672))</f>
        <v/>
      </c>
      <c r="B672" s="40" t="n">
        <v>46106</v>
      </c>
      <c r="C672" s="41" t="n">
        <v>2370</v>
      </c>
      <c r="D672" s="41" t="inlineStr">
        <is>
          <t xml:space="preserve">محمد لطفى </t>
        </is>
      </c>
      <c r="E672" s="41" t="inlineStr">
        <is>
          <t>2*20</t>
        </is>
      </c>
      <c r="F672" s="41" t="inlineStr">
        <is>
          <t xml:space="preserve">اكما </t>
        </is>
      </c>
      <c r="G672" s="41" t="inlineStr">
        <is>
          <t>بنى سويف</t>
        </is>
      </c>
      <c r="H672" s="41" t="inlineStr">
        <is>
          <t>300159/9-066823/4</t>
        </is>
      </c>
      <c r="I672" s="41" t="inlineStr">
        <is>
          <t>ق ب ع 5358</t>
        </is>
      </c>
      <c r="J672" s="41" t="inlineStr">
        <is>
          <t xml:space="preserve">كريم الغامرى </t>
        </is>
      </c>
      <c r="K672" s="41" t="inlineStr">
        <is>
          <t xml:space="preserve">الغامرى </t>
        </is>
      </c>
      <c r="L672" s="42" t="n">
        <v>25000</v>
      </c>
      <c r="M672" s="42" t="n">
        <v>14100</v>
      </c>
      <c r="N672" s="42" t="n"/>
      <c r="O672" s="42" t="n">
        <v>200</v>
      </c>
      <c r="P672" s="42" t="n"/>
      <c r="Q672" s="42" t="n">
        <v>10700</v>
      </c>
      <c r="R672" s="43">
        <f>IF($B672="","",N($S672)-N($Q672))</f>
        <v/>
      </c>
      <c r="S672" s="43">
        <f>IF($B672="","",N($L672)+N($N672)+N($P672))</f>
        <v/>
      </c>
      <c r="T672" s="42" t="n"/>
      <c r="U672" s="42" t="n"/>
      <c r="V672" s="42" t="n"/>
      <c r="W672" s="42" t="n"/>
      <c r="X672" s="42" t="n"/>
      <c r="Y672" s="42" t="n"/>
      <c r="Z672" s="42" t="n"/>
      <c r="AA672" s="42" t="n"/>
      <c r="AB672" s="42" t="n"/>
      <c r="AC672" s="42" t="n"/>
      <c r="AD672" s="42" t="n"/>
      <c r="AE672" s="42" t="n"/>
      <c r="AF672" s="43">
        <f>IF($B672="","",SUM($T672:$AE672))</f>
        <v/>
      </c>
      <c r="AG672" s="43">
        <f>IF($B672="","",N($M672)-N($AF672))</f>
        <v/>
      </c>
      <c r="AH672" s="43">
        <f>IF($B672="","",N($L672)-N($AF672))</f>
        <v/>
      </c>
      <c r="AI672" s="149">
        <f>IF($B672="","",IF(N($L672)=0,"",(N($L672)-N($AF672))/N($L672)))</f>
        <v/>
      </c>
    </row>
    <row r="673">
      <c r="A673" s="39">
        <f>IF($B673="","",COUNTA($B$4:$B673))</f>
        <v/>
      </c>
      <c r="B673" s="45" t="n">
        <v>46106</v>
      </c>
      <c r="C673" s="46" t="n">
        <v>2371</v>
      </c>
      <c r="D673" s="46" t="inlineStr">
        <is>
          <t>الانصارى خ</t>
        </is>
      </c>
      <c r="E673" s="46" t="inlineStr">
        <is>
          <t>2*20</t>
        </is>
      </c>
      <c r="F673" s="46" t="inlineStr">
        <is>
          <t xml:space="preserve">اكما </t>
        </is>
      </c>
      <c r="G673" s="46" t="inlineStr">
        <is>
          <t>بنى سويف</t>
        </is>
      </c>
      <c r="H673" s="46" t="inlineStr">
        <is>
          <t>255669/1-262937/6</t>
        </is>
      </c>
      <c r="I673" s="46" t="inlineStr">
        <is>
          <t>ب ص ا 2574</t>
        </is>
      </c>
      <c r="J673" s="46" t="inlineStr">
        <is>
          <t xml:space="preserve">محمد البحيرى </t>
        </is>
      </c>
      <c r="K673" s="46" t="inlineStr">
        <is>
          <t xml:space="preserve">بنى سويف </t>
        </is>
      </c>
      <c r="L673" s="47" t="n">
        <v>25000</v>
      </c>
      <c r="M673" s="47" t="n">
        <v>14100</v>
      </c>
      <c r="N673" s="47" t="n"/>
      <c r="O673" s="47" t="n">
        <v>200</v>
      </c>
      <c r="P673" s="47" t="n"/>
      <c r="Q673" s="47" t="n">
        <v>10700</v>
      </c>
      <c r="R673" s="43">
        <f>IF($B673="","",N($S673)-N($Q673))</f>
        <v/>
      </c>
      <c r="S673" s="43">
        <f>IF($B673="","",N($L673)+N($N673)+N($P673))</f>
        <v/>
      </c>
      <c r="T673" s="47" t="n"/>
      <c r="U673" s="47" t="n"/>
      <c r="V673" s="47" t="n"/>
      <c r="W673" s="47" t="n"/>
      <c r="X673" s="47" t="n"/>
      <c r="Y673" s="47" t="n"/>
      <c r="Z673" s="47" t="n"/>
      <c r="AA673" s="47" t="n"/>
      <c r="AB673" s="47" t="n"/>
      <c r="AC673" s="47" t="n"/>
      <c r="AD673" s="47" t="n"/>
      <c r="AE673" s="47" t="n"/>
      <c r="AF673" s="43">
        <f>IF($B673="","",SUM($T673:$AE673))</f>
        <v/>
      </c>
      <c r="AG673" s="43">
        <f>IF($B673="","",N($M673)-N($AF673))</f>
        <v/>
      </c>
      <c r="AH673" s="43">
        <f>IF($B673="","",N($L673)-N($AF673))</f>
        <v/>
      </c>
      <c r="AI673" s="149">
        <f>IF($B673="","",IF(N($L673)=0,"",(N($L673)-N($AF673))/N($L673)))</f>
        <v/>
      </c>
    </row>
    <row r="674">
      <c r="A674" s="39">
        <f>IF($B674="","",COUNTA($B$4:$B674))</f>
        <v/>
      </c>
      <c r="B674" s="40" t="n">
        <v>46106</v>
      </c>
      <c r="C674" s="41" t="n">
        <v>2408</v>
      </c>
      <c r="D674" s="41" t="inlineStr">
        <is>
          <t>كمال رزق خ</t>
        </is>
      </c>
      <c r="E674" s="41" t="inlineStr">
        <is>
          <t>2*20</t>
        </is>
      </c>
      <c r="F674" s="41" t="inlineStr">
        <is>
          <t xml:space="preserve">ريجينا </t>
        </is>
      </c>
      <c r="G674" s="41" t="inlineStr">
        <is>
          <t xml:space="preserve">السادات </t>
        </is>
      </c>
      <c r="H674" s="41" t="inlineStr">
        <is>
          <t>372277/3-075888/6</t>
        </is>
      </c>
      <c r="I674" s="41" t="inlineStr">
        <is>
          <t>س ن ر 8418</t>
        </is>
      </c>
      <c r="J674" s="41" t="inlineStr">
        <is>
          <t xml:space="preserve">محمد عطية </t>
        </is>
      </c>
      <c r="K674" s="41" t="inlineStr">
        <is>
          <t xml:space="preserve">محمد فوزى </t>
        </is>
      </c>
      <c r="L674" s="42" t="n">
        <v>17500</v>
      </c>
      <c r="M674" s="42" t="n">
        <v>9100</v>
      </c>
      <c r="N674" s="42" t="n"/>
      <c r="O674" s="42" t="n">
        <v>200</v>
      </c>
      <c r="P674" s="42" t="n">
        <v>3000</v>
      </c>
      <c r="Q674" s="42" t="n">
        <v>11200</v>
      </c>
      <c r="R674" s="43">
        <f>IF($B674="","",N($S674)-N($Q674))</f>
        <v/>
      </c>
      <c r="S674" s="43">
        <f>IF($B674="","",N($L674)+N($N674)+N($P674))</f>
        <v/>
      </c>
      <c r="T674" s="42" t="n"/>
      <c r="U674" s="42" t="n"/>
      <c r="V674" s="42" t="n"/>
      <c r="W674" s="42" t="n"/>
      <c r="X674" s="42" t="n"/>
      <c r="Y674" s="42" t="n"/>
      <c r="Z674" s="42" t="n"/>
      <c r="AA674" s="42" t="n"/>
      <c r="AB674" s="42" t="n"/>
      <c r="AC674" s="42" t="n"/>
      <c r="AD674" s="42" t="n"/>
      <c r="AE674" s="42" t="n"/>
      <c r="AF674" s="43">
        <f>IF($B674="","",SUM($T674:$AE674))</f>
        <v/>
      </c>
      <c r="AG674" s="43">
        <f>IF($B674="","",N($M674)-N($AF674))</f>
        <v/>
      </c>
      <c r="AH674" s="43">
        <f>IF($B674="","",N($L674)-N($AF674))</f>
        <v/>
      </c>
      <c r="AI674" s="149">
        <f>IF($B674="","",IF(N($L674)=0,"",(N($L674)-N($AF674))/N($L674)))</f>
        <v/>
      </c>
    </row>
    <row r="675">
      <c r="A675" s="39">
        <f>IF($B675="","",COUNTA($B$4:$B675))</f>
        <v/>
      </c>
      <c r="B675" s="45" t="n">
        <v>46106</v>
      </c>
      <c r="C675" s="46" t="n">
        <v>2405</v>
      </c>
      <c r="D675" s="46" t="inlineStr">
        <is>
          <t xml:space="preserve">ولعان </t>
        </is>
      </c>
      <c r="E675" s="46" t="inlineStr">
        <is>
          <t>2*20</t>
        </is>
      </c>
      <c r="F675" s="46" t="inlineStr">
        <is>
          <t xml:space="preserve">ريجينا </t>
        </is>
      </c>
      <c r="G675" s="46" t="inlineStr">
        <is>
          <t xml:space="preserve">السادات </t>
        </is>
      </c>
      <c r="H675" s="46" t="inlineStr">
        <is>
          <t>358530/7-743457/9</t>
        </is>
      </c>
      <c r="I675" s="46" t="inlineStr">
        <is>
          <t>س م ا 6137</t>
        </is>
      </c>
      <c r="J675" s="46" t="inlineStr">
        <is>
          <t xml:space="preserve">ايمن عبد العزيز </t>
        </is>
      </c>
      <c r="K675" s="46" t="inlineStr">
        <is>
          <t xml:space="preserve">الضانى </t>
        </is>
      </c>
      <c r="L675" s="47" t="n">
        <v>17500</v>
      </c>
      <c r="M675" s="47" t="n">
        <v>9100</v>
      </c>
      <c r="N675" s="47" t="n"/>
      <c r="O675" s="47" t="n">
        <v>200</v>
      </c>
      <c r="P675" s="47" t="n">
        <v>3000</v>
      </c>
      <c r="Q675" s="47" t="n">
        <v>11200</v>
      </c>
      <c r="R675" s="43">
        <f>IF($B675="","",N($S675)-N($Q675))</f>
        <v/>
      </c>
      <c r="S675" s="43">
        <f>IF($B675="","",N($L675)+N($N675)+N($P675))</f>
        <v/>
      </c>
      <c r="T675" s="47" t="n"/>
      <c r="U675" s="47" t="n"/>
      <c r="V675" s="47" t="n"/>
      <c r="W675" s="47" t="n"/>
      <c r="X675" s="47" t="n"/>
      <c r="Y675" s="47" t="n"/>
      <c r="Z675" s="47" t="n"/>
      <c r="AA675" s="47" t="n"/>
      <c r="AB675" s="47" t="n"/>
      <c r="AC675" s="47" t="n"/>
      <c r="AD675" s="47" t="n"/>
      <c r="AE675" s="47" t="n"/>
      <c r="AF675" s="43">
        <f>IF($B675="","",SUM($T675:$AE675))</f>
        <v/>
      </c>
      <c r="AG675" s="43">
        <f>IF($B675="","",N($M675)-N($AF675))</f>
        <v/>
      </c>
      <c r="AH675" s="43">
        <f>IF($B675="","",N($L675)-N($AF675))</f>
        <v/>
      </c>
      <c r="AI675" s="149">
        <f>IF($B675="","",IF(N($L675)=0,"",(N($L675)-N($AF675))/N($L675)))</f>
        <v/>
      </c>
    </row>
    <row r="676">
      <c r="A676" s="39">
        <f>IF($B676="","",COUNTA($B$4:$B676))</f>
        <v/>
      </c>
      <c r="B676" s="40" t="n">
        <v>46106</v>
      </c>
      <c r="C676" s="41" t="n">
        <v>2147</v>
      </c>
      <c r="D676" s="41" t="inlineStr">
        <is>
          <t>حماد خ</t>
        </is>
      </c>
      <c r="E676" s="41" t="inlineStr">
        <is>
          <t>2*20</t>
        </is>
      </c>
      <c r="F676" s="41" t="inlineStr">
        <is>
          <t xml:space="preserve">ريجينا </t>
        </is>
      </c>
      <c r="G676" s="41" t="inlineStr">
        <is>
          <t xml:space="preserve">السادات </t>
        </is>
      </c>
      <c r="H676" s="41" t="inlineStr">
        <is>
          <t>340477/3-029700/1</t>
        </is>
      </c>
      <c r="I676" s="41" t="inlineStr">
        <is>
          <t>س ع ه 2717</t>
        </is>
      </c>
      <c r="J676" s="41" t="inlineStr">
        <is>
          <t xml:space="preserve">محمد الجنيدى </t>
        </is>
      </c>
      <c r="K676" s="41" t="inlineStr">
        <is>
          <t xml:space="preserve">محمد الجنيدى </t>
        </is>
      </c>
      <c r="L676" s="42" t="n">
        <v>17500</v>
      </c>
      <c r="M676" s="42" t="n">
        <v>9100</v>
      </c>
      <c r="N676" s="42" t="n"/>
      <c r="O676" s="42" t="n">
        <v>200</v>
      </c>
      <c r="P676" s="42" t="n">
        <v>3000</v>
      </c>
      <c r="Q676" s="42" t="n">
        <v>11200</v>
      </c>
      <c r="R676" s="43">
        <f>IF($B676="","",N($S676)-N($Q676))</f>
        <v/>
      </c>
      <c r="S676" s="43">
        <f>IF($B676="","",N($L676)+N($N676)+N($P676))</f>
        <v/>
      </c>
      <c r="T676" s="42" t="n"/>
      <c r="U676" s="42" t="n"/>
      <c r="V676" s="42" t="n"/>
      <c r="W676" s="42" t="n"/>
      <c r="X676" s="42" t="n"/>
      <c r="Y676" s="42" t="n"/>
      <c r="Z676" s="42" t="n"/>
      <c r="AA676" s="42" t="n"/>
      <c r="AB676" s="42" t="n"/>
      <c r="AC676" s="42" t="n"/>
      <c r="AD676" s="42" t="n"/>
      <c r="AE676" s="42" t="n"/>
      <c r="AF676" s="43">
        <f>IF($B676="","",SUM($T676:$AE676))</f>
        <v/>
      </c>
      <c r="AG676" s="43">
        <f>IF($B676="","",N($M676)-N($AF676))</f>
        <v/>
      </c>
      <c r="AH676" s="43">
        <f>IF($B676="","",N($L676)-N($AF676))</f>
        <v/>
      </c>
      <c r="AI676" s="149">
        <f>IF($B676="","",IF(N($L676)=0,"",(N($L676)-N($AF676))/N($L676)))</f>
        <v/>
      </c>
    </row>
    <row r="677">
      <c r="A677" s="39">
        <f>IF($B677="","",COUNTA($B$4:$B677))</f>
        <v/>
      </c>
      <c r="B677" s="45" t="n">
        <v>46106</v>
      </c>
      <c r="C677" s="46" t="n">
        <v>2145</v>
      </c>
      <c r="D677" s="46" t="inlineStr">
        <is>
          <t>رجب عبد العال خ</t>
        </is>
      </c>
      <c r="E677" s="46" t="inlineStr">
        <is>
          <t>2*20</t>
        </is>
      </c>
      <c r="F677" s="46" t="inlineStr">
        <is>
          <t xml:space="preserve">ريجينا </t>
        </is>
      </c>
      <c r="G677" s="46" t="inlineStr">
        <is>
          <t xml:space="preserve">السادات </t>
        </is>
      </c>
      <c r="H677" s="46" t="inlineStr">
        <is>
          <t>053313/3-228557/1</t>
        </is>
      </c>
      <c r="I677" s="46" t="inlineStr">
        <is>
          <t>س ل ص 7422</t>
        </is>
      </c>
      <c r="J677" s="46" t="inlineStr">
        <is>
          <t xml:space="preserve">عطية ناصر </t>
        </is>
      </c>
      <c r="K677" s="46" t="n"/>
      <c r="L677" s="47" t="n">
        <v>17500</v>
      </c>
      <c r="M677" s="47" t="n">
        <v>9100</v>
      </c>
      <c r="N677" s="47" t="n"/>
      <c r="O677" s="47" t="n">
        <v>200</v>
      </c>
      <c r="P677" s="47" t="n">
        <v>3000</v>
      </c>
      <c r="Q677" s="47" t="n">
        <v>11200</v>
      </c>
      <c r="R677" s="43">
        <f>IF($B677="","",N($S677)-N($Q677))</f>
        <v/>
      </c>
      <c r="S677" s="43">
        <f>IF($B677="","",N($L677)+N($N677)+N($P677))</f>
        <v/>
      </c>
      <c r="T677" s="47" t="n"/>
      <c r="U677" s="47" t="n"/>
      <c r="V677" s="47" t="n"/>
      <c r="W677" s="47" t="n"/>
      <c r="X677" s="47" t="n"/>
      <c r="Y677" s="47" t="n"/>
      <c r="Z677" s="47" t="n"/>
      <c r="AA677" s="47" t="n"/>
      <c r="AB677" s="47" t="n"/>
      <c r="AC677" s="47" t="n"/>
      <c r="AD677" s="47" t="n"/>
      <c r="AE677" s="47" t="n"/>
      <c r="AF677" s="43">
        <f>IF($B677="","",SUM($T677:$AE677))</f>
        <v/>
      </c>
      <c r="AG677" s="43">
        <f>IF($B677="","",N($M677)-N($AF677))</f>
        <v/>
      </c>
      <c r="AH677" s="43">
        <f>IF($B677="","",N($L677)-N($AF677))</f>
        <v/>
      </c>
      <c r="AI677" s="149">
        <f>IF($B677="","",IF(N($L677)=0,"",(N($L677)-N($AF677))/N($L677)))</f>
        <v/>
      </c>
    </row>
    <row r="678">
      <c r="A678" s="39">
        <f>IF($B678="","",COUNTA($B$4:$B678))</f>
        <v/>
      </c>
      <c r="B678" s="40" t="n">
        <v>46106</v>
      </c>
      <c r="C678" s="41" t="n">
        <v>2144</v>
      </c>
      <c r="D678" s="41" t="inlineStr">
        <is>
          <t>كمال رزق خ</t>
        </is>
      </c>
      <c r="E678" s="41" t="inlineStr">
        <is>
          <t>2*20</t>
        </is>
      </c>
      <c r="F678" s="41" t="inlineStr">
        <is>
          <t xml:space="preserve">ريجينا </t>
        </is>
      </c>
      <c r="G678" s="41" t="inlineStr">
        <is>
          <t xml:space="preserve">السادات </t>
        </is>
      </c>
      <c r="H678" s="41" t="inlineStr">
        <is>
          <t>232075/8-321884/0</t>
        </is>
      </c>
      <c r="I678" s="41" t="inlineStr">
        <is>
          <t>س د ه 5989</t>
        </is>
      </c>
      <c r="J678" s="41" t="inlineStr">
        <is>
          <t xml:space="preserve">محمد العربى </t>
        </is>
      </c>
      <c r="K678" s="41" t="inlineStr">
        <is>
          <t xml:space="preserve">محمد العربى </t>
        </is>
      </c>
      <c r="L678" s="42" t="n">
        <v>17500</v>
      </c>
      <c r="M678" s="42" t="n">
        <v>9100</v>
      </c>
      <c r="N678" s="42" t="n"/>
      <c r="O678" s="42" t="n">
        <v>200</v>
      </c>
      <c r="P678" s="42" t="n">
        <v>3000</v>
      </c>
      <c r="Q678" s="42" t="n">
        <v>11200</v>
      </c>
      <c r="R678" s="43">
        <f>IF($B678="","",N($S678)-N($Q678))</f>
        <v/>
      </c>
      <c r="S678" s="43">
        <f>IF($B678="","",N($L678)+N($N678)+N($P678))</f>
        <v/>
      </c>
      <c r="T678" s="42" t="n"/>
      <c r="U678" s="42" t="n"/>
      <c r="V678" s="42" t="n"/>
      <c r="W678" s="42" t="n"/>
      <c r="X678" s="42" t="n"/>
      <c r="Y678" s="42" t="n"/>
      <c r="Z678" s="42" t="n"/>
      <c r="AA678" s="42" t="n"/>
      <c r="AB678" s="42" t="n"/>
      <c r="AC678" s="42" t="n"/>
      <c r="AD678" s="42" t="n"/>
      <c r="AE678" s="42" t="n"/>
      <c r="AF678" s="43">
        <f>IF($B678="","",SUM($T678:$AE678))</f>
        <v/>
      </c>
      <c r="AG678" s="43">
        <f>IF($B678="","",N($M678)-N($AF678))</f>
        <v/>
      </c>
      <c r="AH678" s="43">
        <f>IF($B678="","",N($L678)-N($AF678))</f>
        <v/>
      </c>
      <c r="AI678" s="149">
        <f>IF($B678="","",IF(N($L678)=0,"",(N($L678)-N($AF678))/N($L678)))</f>
        <v/>
      </c>
    </row>
    <row r="679">
      <c r="A679" s="39">
        <f>IF($B679="","",COUNTA($B$4:$B679))</f>
        <v/>
      </c>
      <c r="B679" s="45" t="n">
        <v>46106</v>
      </c>
      <c r="C679" s="46" t="n">
        <v>2148</v>
      </c>
      <c r="D679" s="46" t="inlineStr">
        <is>
          <t>رجب عبد العال خ</t>
        </is>
      </c>
      <c r="E679" s="46" t="inlineStr">
        <is>
          <t>2*20</t>
        </is>
      </c>
      <c r="F679" s="46" t="inlineStr">
        <is>
          <t xml:space="preserve">ريجينا </t>
        </is>
      </c>
      <c r="G679" s="46" t="inlineStr">
        <is>
          <t xml:space="preserve">السادات </t>
        </is>
      </c>
      <c r="H679" s="46" t="inlineStr">
        <is>
          <t>131473/9-329293/1</t>
        </is>
      </c>
      <c r="I679" s="46" t="inlineStr">
        <is>
          <t>س ص ا 1461</t>
        </is>
      </c>
      <c r="J679" s="46" t="inlineStr">
        <is>
          <t xml:space="preserve">حسن حسان </t>
        </is>
      </c>
      <c r="K679" s="46" t="inlineStr">
        <is>
          <t xml:space="preserve">حسن حسان </t>
        </is>
      </c>
      <c r="L679" s="47" t="n">
        <v>17500</v>
      </c>
      <c r="M679" s="47" t="n">
        <v>9100</v>
      </c>
      <c r="N679" s="47" t="n"/>
      <c r="O679" s="47" t="n">
        <v>200</v>
      </c>
      <c r="P679" s="47" t="n">
        <v>3000</v>
      </c>
      <c r="Q679" s="47" t="n">
        <v>11200</v>
      </c>
      <c r="R679" s="43">
        <f>IF($B679="","",N($S679)-N($Q679))</f>
        <v/>
      </c>
      <c r="S679" s="43">
        <f>IF($B679="","",N($L679)+N($N679)+N($P679))</f>
        <v/>
      </c>
      <c r="T679" s="47" t="n"/>
      <c r="U679" s="47" t="n"/>
      <c r="V679" s="47" t="n"/>
      <c r="W679" s="47" t="n"/>
      <c r="X679" s="47" t="n"/>
      <c r="Y679" s="47" t="n"/>
      <c r="Z679" s="47" t="n"/>
      <c r="AA679" s="47" t="n"/>
      <c r="AB679" s="47" t="n"/>
      <c r="AC679" s="47" t="n"/>
      <c r="AD679" s="47" t="n"/>
      <c r="AE679" s="47" t="n"/>
      <c r="AF679" s="43">
        <f>IF($B679="","",SUM($T679:$AE679))</f>
        <v/>
      </c>
      <c r="AG679" s="43">
        <f>IF($B679="","",N($M679)-N($AF679))</f>
        <v/>
      </c>
      <c r="AH679" s="43">
        <f>IF($B679="","",N($L679)-N($AF679))</f>
        <v/>
      </c>
      <c r="AI679" s="149">
        <f>IF($B679="","",IF(N($L679)=0,"",(N($L679)-N($AF679))/N($L679)))</f>
        <v/>
      </c>
    </row>
    <row r="680">
      <c r="A680" s="39">
        <f>IF($B680="","",COUNTA($B$4:$B680))</f>
        <v/>
      </c>
      <c r="B680" s="40" t="n">
        <v>46106</v>
      </c>
      <c r="C680" s="41" t="n">
        <v>2149</v>
      </c>
      <c r="D680" s="41" t="inlineStr">
        <is>
          <t xml:space="preserve">محمد عبد الكريم </t>
        </is>
      </c>
      <c r="E680" s="41" t="inlineStr">
        <is>
          <t>2*20</t>
        </is>
      </c>
      <c r="F680" s="41" t="inlineStr">
        <is>
          <t xml:space="preserve">ريجينا </t>
        </is>
      </c>
      <c r="G680" s="41" t="inlineStr">
        <is>
          <t xml:space="preserve">السادات </t>
        </is>
      </c>
      <c r="H680" s="41" t="inlineStr">
        <is>
          <t>221708/3-634039/7</t>
        </is>
      </c>
      <c r="I680" s="41" t="inlineStr">
        <is>
          <t>ع ى ا 2328</t>
        </is>
      </c>
      <c r="J680" s="41" t="inlineStr">
        <is>
          <t xml:space="preserve">خالد مسعد </t>
        </is>
      </c>
      <c r="K680" s="41" t="inlineStr">
        <is>
          <t xml:space="preserve">محمد عبد الكريم </t>
        </is>
      </c>
      <c r="L680" s="42" t="n">
        <v>18000</v>
      </c>
      <c r="M680" s="42" t="n">
        <v>10100</v>
      </c>
      <c r="N680" s="42" t="n"/>
      <c r="O680" s="42" t="n">
        <v>200</v>
      </c>
      <c r="P680" s="42" t="n">
        <v>3000</v>
      </c>
      <c r="Q680" s="42" t="n">
        <v>10700</v>
      </c>
      <c r="R680" s="43">
        <f>IF($B680="","",N($S680)-N($Q680))</f>
        <v/>
      </c>
      <c r="S680" s="43">
        <f>IF($B680="","",N($L680)+N($N680)+N($P680))</f>
        <v/>
      </c>
      <c r="T680" s="42" t="n"/>
      <c r="U680" s="42" t="n"/>
      <c r="V680" s="42" t="n"/>
      <c r="W680" s="42" t="n"/>
      <c r="X680" s="42" t="n"/>
      <c r="Y680" s="42" t="n"/>
      <c r="Z680" s="42" t="n"/>
      <c r="AA680" s="42" t="n"/>
      <c r="AB680" s="42" t="n"/>
      <c r="AC680" s="42" t="n"/>
      <c r="AD680" s="42" t="n"/>
      <c r="AE680" s="42" t="n"/>
      <c r="AF680" s="43">
        <f>IF($B680="","",SUM($T680:$AE680))</f>
        <v/>
      </c>
      <c r="AG680" s="43">
        <f>IF($B680="","",N($M680)-N($AF680))</f>
        <v/>
      </c>
      <c r="AH680" s="43">
        <f>IF($B680="","",N($L680)-N($AF680))</f>
        <v/>
      </c>
      <c r="AI680" s="149">
        <f>IF($B680="","",IF(N($L680)=0,"",(N($L680)-N($AF680))/N($L680)))</f>
        <v/>
      </c>
    </row>
    <row r="681">
      <c r="A681" s="39">
        <f>IF($B681="","",COUNTA($B$4:$B681))</f>
        <v/>
      </c>
      <c r="B681" s="45" t="n">
        <v>46106</v>
      </c>
      <c r="C681" s="46" t="n">
        <v>2146</v>
      </c>
      <c r="D681" s="46" t="inlineStr">
        <is>
          <t>رجب عبد العال خ</t>
        </is>
      </c>
      <c r="E681" s="46" t="inlineStr">
        <is>
          <t>2*20</t>
        </is>
      </c>
      <c r="F681" s="46" t="inlineStr">
        <is>
          <t xml:space="preserve">ريجينا </t>
        </is>
      </c>
      <c r="G681" s="46" t="inlineStr">
        <is>
          <t xml:space="preserve">السادات </t>
        </is>
      </c>
      <c r="H681" s="46" t="inlineStr">
        <is>
          <t>125907/1-387602/5</t>
        </is>
      </c>
      <c r="I681" s="46" t="inlineStr">
        <is>
          <t>س ن ب 3982</t>
        </is>
      </c>
      <c r="J681" s="46" t="inlineStr">
        <is>
          <t xml:space="preserve">حمد ابراهيم </t>
        </is>
      </c>
      <c r="K681" s="46" t="inlineStr">
        <is>
          <t xml:space="preserve">محمد ابراهيم </t>
        </is>
      </c>
      <c r="L681" s="47" t="n">
        <v>17000</v>
      </c>
      <c r="M681" s="47" t="n">
        <v>10100</v>
      </c>
      <c r="N681" s="47" t="n"/>
      <c r="O681" s="47" t="n">
        <v>200</v>
      </c>
      <c r="P681" s="47" t="n"/>
      <c r="Q681" s="47" t="n">
        <v>6700</v>
      </c>
      <c r="R681" s="43">
        <f>IF($B681="","",N($S681)-N($Q681))</f>
        <v/>
      </c>
      <c r="S681" s="43">
        <f>IF($B681="","",N($L681)+N($N681)+N($P681))</f>
        <v/>
      </c>
      <c r="T681" s="47" t="n"/>
      <c r="U681" s="47" t="n"/>
      <c r="V681" s="47" t="n"/>
      <c r="W681" s="47" t="n"/>
      <c r="X681" s="47" t="n"/>
      <c r="Y681" s="47" t="n"/>
      <c r="Z681" s="47" t="n"/>
      <c r="AA681" s="47" t="n"/>
      <c r="AB681" s="47" t="n"/>
      <c r="AC681" s="47" t="n"/>
      <c r="AD681" s="47" t="n"/>
      <c r="AE681" s="47" t="n"/>
      <c r="AF681" s="43">
        <f>IF($B681="","",SUM($T681:$AE681))</f>
        <v/>
      </c>
      <c r="AG681" s="43">
        <f>IF($B681="","",N($M681)-N($AF681))</f>
        <v/>
      </c>
      <c r="AH681" s="43">
        <f>IF($B681="","",N($L681)-N($AF681))</f>
        <v/>
      </c>
      <c r="AI681" s="149">
        <f>IF($B681="","",IF(N($L681)=0,"",(N($L681)-N($AF681))/N($L681)))</f>
        <v/>
      </c>
    </row>
    <row r="682">
      <c r="A682" s="39">
        <f>IF($B682="","",COUNTA($B$4:$B682))</f>
        <v/>
      </c>
      <c r="B682" s="40" t="n">
        <v>46106</v>
      </c>
      <c r="C682" s="41" t="n">
        <v>2407</v>
      </c>
      <c r="D682" s="41" t="inlineStr">
        <is>
          <t xml:space="preserve">عم فتحى </t>
        </is>
      </c>
      <c r="E682" s="41" t="inlineStr">
        <is>
          <t>2*20</t>
        </is>
      </c>
      <c r="F682" s="41" t="inlineStr">
        <is>
          <t xml:space="preserve">ريجينا </t>
        </is>
      </c>
      <c r="G682" s="41" t="inlineStr">
        <is>
          <t xml:space="preserve">السادات </t>
        </is>
      </c>
      <c r="H682" s="41" t="inlineStr">
        <is>
          <t>974678/6-263653/6</t>
        </is>
      </c>
      <c r="I682" s="41" t="inlineStr">
        <is>
          <t>ف ا ن 6735</t>
        </is>
      </c>
      <c r="J682" s="41" t="inlineStr">
        <is>
          <t xml:space="preserve">ناصر فتحى </t>
        </is>
      </c>
      <c r="K682" s="41" t="inlineStr">
        <is>
          <t xml:space="preserve">جبص </t>
        </is>
      </c>
      <c r="L682" s="42" t="n">
        <v>18000</v>
      </c>
      <c r="M682" s="42" t="n">
        <v>10100</v>
      </c>
      <c r="N682" s="42" t="n"/>
      <c r="O682" s="42" t="n">
        <v>200</v>
      </c>
      <c r="P682" s="42" t="n">
        <v>3000</v>
      </c>
      <c r="Q682" s="42" t="n">
        <v>10700</v>
      </c>
      <c r="R682" s="43">
        <f>IF($B682="","",N($S682)-N($Q682))</f>
        <v/>
      </c>
      <c r="S682" s="43">
        <f>IF($B682="","",N($L682)+N($N682)+N($P682))</f>
        <v/>
      </c>
      <c r="T682" s="42" t="n"/>
      <c r="U682" s="42" t="n"/>
      <c r="V682" s="42" t="n"/>
      <c r="W682" s="42" t="n"/>
      <c r="X682" s="42" t="n"/>
      <c r="Y682" s="42" t="n"/>
      <c r="Z682" s="42" t="n"/>
      <c r="AA682" s="42" t="n"/>
      <c r="AB682" s="42" t="n"/>
      <c r="AC682" s="42" t="n"/>
      <c r="AD682" s="42" t="n"/>
      <c r="AE682" s="42" t="n"/>
      <c r="AF682" s="43">
        <f>IF($B682="","",SUM($T682:$AE682))</f>
        <v/>
      </c>
      <c r="AG682" s="43">
        <f>IF($B682="","",N($M682)-N($AF682))</f>
        <v/>
      </c>
      <c r="AH682" s="43">
        <f>IF($B682="","",N($L682)-N($AF682))</f>
        <v/>
      </c>
      <c r="AI682" s="149">
        <f>IF($B682="","",IF(N($L682)=0,"",(N($L682)-N($AF682))/N($L682)))</f>
        <v/>
      </c>
    </row>
    <row r="683">
      <c r="A683" s="39">
        <f>IF($B683="","",COUNTA($B$4:$B683))</f>
        <v/>
      </c>
      <c r="B683" s="45" t="n">
        <v>46107</v>
      </c>
      <c r="C683" s="46" t="n">
        <v>2373</v>
      </c>
      <c r="D683" s="46" t="inlineStr">
        <is>
          <t>الشريف خ</t>
        </is>
      </c>
      <c r="E683" s="46" t="inlineStr">
        <is>
          <t>2*20</t>
        </is>
      </c>
      <c r="F683" s="46" t="inlineStr">
        <is>
          <t xml:space="preserve">مصر بنى سويف </t>
        </is>
      </c>
      <c r="G683" s="46" t="inlineStr">
        <is>
          <t>بنى سويف</t>
        </is>
      </c>
      <c r="H683" s="46" t="inlineStr">
        <is>
          <t>035570/8-307605/3</t>
        </is>
      </c>
      <c r="I683" s="46" t="inlineStr">
        <is>
          <t>ب د ف 9156</t>
        </is>
      </c>
      <c r="J683" s="46" t="inlineStr">
        <is>
          <t xml:space="preserve">محمد انور </t>
        </is>
      </c>
      <c r="K683" s="46" t="inlineStr">
        <is>
          <t xml:space="preserve">انور الشريف </t>
        </is>
      </c>
      <c r="L683" s="47" t="n">
        <v>25000</v>
      </c>
      <c r="M683" s="47" t="n">
        <v>14100</v>
      </c>
      <c r="N683" s="47" t="n"/>
      <c r="O683" s="47" t="n">
        <v>200</v>
      </c>
      <c r="P683" s="47" t="n"/>
      <c r="Q683" s="47" t="n">
        <v>10700</v>
      </c>
      <c r="R683" s="43">
        <f>IF($B683="","",N($S683)-N($Q683))</f>
        <v/>
      </c>
      <c r="S683" s="43">
        <f>IF($B683="","",N($L683)+N($N683)+N($P683))</f>
        <v/>
      </c>
      <c r="T683" s="47" t="n"/>
      <c r="U683" s="47" t="n"/>
      <c r="V683" s="47" t="n"/>
      <c r="W683" s="47" t="n"/>
      <c r="X683" s="47" t="n"/>
      <c r="Y683" s="47" t="n"/>
      <c r="Z683" s="47" t="n"/>
      <c r="AA683" s="47" t="n"/>
      <c r="AB683" s="47" t="n"/>
      <c r="AC683" s="47" t="n"/>
      <c r="AD683" s="47" t="n"/>
      <c r="AE683" s="47" t="n"/>
      <c r="AF683" s="43">
        <f>IF($B683="","",SUM($T683:$AE683))</f>
        <v/>
      </c>
      <c r="AG683" s="43">
        <f>IF($B683="","",N($M683)-N($AF683))</f>
        <v/>
      </c>
      <c r="AH683" s="43">
        <f>IF($B683="","",N($L683)-N($AF683))</f>
        <v/>
      </c>
      <c r="AI683" s="149">
        <f>IF($B683="","",IF(N($L683)=0,"",(N($L683)-N($AF683))/N($L683)))</f>
        <v/>
      </c>
    </row>
    <row r="684">
      <c r="A684" s="39">
        <f>IF($B684="","",COUNTA($B$4:$B684))</f>
        <v/>
      </c>
      <c r="B684" s="40" t="n">
        <v>46107</v>
      </c>
      <c r="C684" s="41" t="n">
        <v>2374</v>
      </c>
      <c r="D684" s="41" t="inlineStr">
        <is>
          <t xml:space="preserve">بلال العربى </t>
        </is>
      </c>
      <c r="E684" s="41" t="inlineStr">
        <is>
          <t>2*20</t>
        </is>
      </c>
      <c r="F684" s="41" t="inlineStr">
        <is>
          <t xml:space="preserve">مصر بنى سويف </t>
        </is>
      </c>
      <c r="G684" s="41" t="inlineStr">
        <is>
          <t>بنى سويف</t>
        </is>
      </c>
      <c r="H684" s="41" t="inlineStr">
        <is>
          <t>341376/9-058472/2</t>
        </is>
      </c>
      <c r="I684" s="41" t="inlineStr">
        <is>
          <t>ب ن س 7348</t>
        </is>
      </c>
      <c r="J684" s="41" t="inlineStr">
        <is>
          <t xml:space="preserve">ايمن احمد </t>
        </is>
      </c>
      <c r="K684" s="41" t="inlineStr">
        <is>
          <t xml:space="preserve">احمد عباس </t>
        </is>
      </c>
      <c r="L684" s="42" t="n">
        <v>25000</v>
      </c>
      <c r="M684" s="42" t="n">
        <v>14100</v>
      </c>
      <c r="N684" s="42" t="n"/>
      <c r="O684" s="42" t="n">
        <v>200</v>
      </c>
      <c r="P684" s="42" t="n"/>
      <c r="Q684" s="42" t="n">
        <v>10700</v>
      </c>
      <c r="R684" s="43">
        <f>IF($B684="","",N($S684)-N($Q684))</f>
        <v/>
      </c>
      <c r="S684" s="43">
        <f>IF($B684="","",N($L684)+N($N684)+N($P684))</f>
        <v/>
      </c>
      <c r="T684" s="42" t="n"/>
      <c r="U684" s="42" t="n"/>
      <c r="V684" s="42" t="n"/>
      <c r="W684" s="42" t="n"/>
      <c r="X684" s="42" t="n"/>
      <c r="Y684" s="42" t="n"/>
      <c r="Z684" s="42" t="n"/>
      <c r="AA684" s="42" t="n"/>
      <c r="AB684" s="42" t="n"/>
      <c r="AC684" s="42" t="n"/>
      <c r="AD684" s="42" t="n"/>
      <c r="AE684" s="42" t="n"/>
      <c r="AF684" s="43">
        <f>IF($B684="","",SUM($T684:$AE684))</f>
        <v/>
      </c>
      <c r="AG684" s="43">
        <f>IF($B684="","",N($M684)-N($AF684))</f>
        <v/>
      </c>
      <c r="AH684" s="43">
        <f>IF($B684="","",N($L684)-N($AF684))</f>
        <v/>
      </c>
      <c r="AI684" s="149">
        <f>IF($B684="","",IF(N($L684)=0,"",(N($L684)-N($AF684))/N($L684)))</f>
        <v/>
      </c>
    </row>
    <row r="685">
      <c r="A685" s="39">
        <f>IF($B685="","",COUNTA($B$4:$B685))</f>
        <v/>
      </c>
      <c r="B685" s="45" t="n">
        <v>46107</v>
      </c>
      <c r="C685" s="46" t="n">
        <v>2375</v>
      </c>
      <c r="D685" s="46" t="inlineStr">
        <is>
          <t>اسلام محروس</t>
        </is>
      </c>
      <c r="E685" s="46" t="inlineStr">
        <is>
          <t>2*20</t>
        </is>
      </c>
      <c r="F685" s="46" t="inlineStr">
        <is>
          <t xml:space="preserve">مصر بنى سويف </t>
        </is>
      </c>
      <c r="G685" s="46" t="inlineStr">
        <is>
          <t>بنى سويف</t>
        </is>
      </c>
      <c r="H685" s="46" t="inlineStr">
        <is>
          <t>279507/3-812748/4</t>
        </is>
      </c>
      <c r="I685" s="46" t="inlineStr">
        <is>
          <t>ب ق ص 9275</t>
        </is>
      </c>
      <c r="J685" s="46" t="inlineStr">
        <is>
          <t xml:space="preserve">محمد احمد </t>
        </is>
      </c>
      <c r="K685" s="46" t="n"/>
      <c r="L685" s="47" t="n">
        <v>25000</v>
      </c>
      <c r="M685" s="47" t="n">
        <v>14100</v>
      </c>
      <c r="N685" s="47" t="n"/>
      <c r="O685" s="47" t="n">
        <v>200</v>
      </c>
      <c r="P685" s="47" t="n"/>
      <c r="Q685" s="47" t="n">
        <v>10700</v>
      </c>
      <c r="R685" s="43">
        <f>IF($B685="","",N($S685)-N($Q685))</f>
        <v/>
      </c>
      <c r="S685" s="43">
        <f>IF($B685="","",N($L685)+N($N685)+N($P685))</f>
        <v/>
      </c>
      <c r="T685" s="47" t="n"/>
      <c r="U685" s="47" t="n"/>
      <c r="V685" s="47" t="n"/>
      <c r="W685" s="47" t="n"/>
      <c r="X685" s="47" t="n"/>
      <c r="Y685" s="47" t="n"/>
      <c r="Z685" s="47" t="n"/>
      <c r="AA685" s="47" t="n"/>
      <c r="AB685" s="47" t="n"/>
      <c r="AC685" s="47" t="n"/>
      <c r="AD685" s="47" t="n"/>
      <c r="AE685" s="47" t="n"/>
      <c r="AF685" s="43">
        <f>IF($B685="","",SUM($T685:$AE685))</f>
        <v/>
      </c>
      <c r="AG685" s="43">
        <f>IF($B685="","",N($M685)-N($AF685))</f>
        <v/>
      </c>
      <c r="AH685" s="43">
        <f>IF($B685="","",N($L685)-N($AF685))</f>
        <v/>
      </c>
      <c r="AI685" s="149">
        <f>IF($B685="","",IF(N($L685)=0,"",(N($L685)-N($AF685))/N($L685)))</f>
        <v/>
      </c>
    </row>
    <row r="686">
      <c r="A686" s="39">
        <f>IF($B686="","",COUNTA($B$4:$B686))</f>
        <v/>
      </c>
      <c r="B686" s="40" t="n">
        <v>46107</v>
      </c>
      <c r="C686" s="41" t="n">
        <v>2376</v>
      </c>
      <c r="D686" s="41" t="inlineStr">
        <is>
          <t>الشريف خ</t>
        </is>
      </c>
      <c r="E686" s="41" t="inlineStr">
        <is>
          <t>2*20</t>
        </is>
      </c>
      <c r="F686" s="41" t="n"/>
      <c r="G686" s="41" t="inlineStr">
        <is>
          <t>بنى سويف</t>
        </is>
      </c>
      <c r="H686" s="41" t="inlineStr">
        <is>
          <t>247911/8-211613/3</t>
        </is>
      </c>
      <c r="I686" s="41" t="inlineStr">
        <is>
          <t>ب س ا 7385</t>
        </is>
      </c>
      <c r="J686" s="41" t="inlineStr">
        <is>
          <t xml:space="preserve">محمد ابو ادم </t>
        </is>
      </c>
      <c r="K686" s="41" t="inlineStr">
        <is>
          <t xml:space="preserve">السائق </t>
        </is>
      </c>
      <c r="L686" s="42" t="n">
        <v>25000</v>
      </c>
      <c r="M686" s="42" t="n">
        <v>14100</v>
      </c>
      <c r="N686" s="42" t="n"/>
      <c r="O686" s="42" t="n">
        <v>200</v>
      </c>
      <c r="P686" s="42" t="n"/>
      <c r="Q686" s="42" t="n">
        <v>10700</v>
      </c>
      <c r="R686" s="43">
        <f>IF($B686="","",N($S686)-N($Q686))</f>
        <v/>
      </c>
      <c r="S686" s="43">
        <f>IF($B686="","",N($L686)+N($N686)+N($P686))</f>
        <v/>
      </c>
      <c r="T686" s="42" t="n"/>
      <c r="U686" s="42" t="n"/>
      <c r="V686" s="42" t="n"/>
      <c r="W686" s="42" t="n"/>
      <c r="X686" s="42" t="n"/>
      <c r="Y686" s="42" t="n"/>
      <c r="Z686" s="42" t="n"/>
      <c r="AA686" s="42" t="n"/>
      <c r="AB686" s="42" t="n"/>
      <c r="AC686" s="42" t="n"/>
      <c r="AD686" s="42" t="n"/>
      <c r="AE686" s="42" t="n"/>
      <c r="AF686" s="43">
        <f>IF($B686="","",SUM($T686:$AE686))</f>
        <v/>
      </c>
      <c r="AG686" s="43">
        <f>IF($B686="","",N($M686)-N($AF686))</f>
        <v/>
      </c>
      <c r="AH686" s="43">
        <f>IF($B686="","",N($L686)-N($AF686))</f>
        <v/>
      </c>
      <c r="AI686" s="149">
        <f>IF($B686="","",IF(N($L686)=0,"",(N($L686)-N($AF686))/N($L686)))</f>
        <v/>
      </c>
    </row>
    <row r="687">
      <c r="A687" s="39">
        <f>IF($B687="","",COUNTA($B$4:$B687))</f>
        <v/>
      </c>
      <c r="B687" s="45" t="n">
        <v>46107</v>
      </c>
      <c r="C687" s="46" t="n">
        <v>2377</v>
      </c>
      <c r="D687" s="46" t="inlineStr">
        <is>
          <t>احمد خطاب</t>
        </is>
      </c>
      <c r="E687" s="46" t="inlineStr">
        <is>
          <t>2*20</t>
        </is>
      </c>
      <c r="F687" s="46" t="inlineStr">
        <is>
          <t xml:space="preserve">مصر بنى سويف </t>
        </is>
      </c>
      <c r="G687" s="46" t="inlineStr">
        <is>
          <t>بنى سويف</t>
        </is>
      </c>
      <c r="H687" s="46" t="inlineStr">
        <is>
          <t>058449/2-736079/5</t>
        </is>
      </c>
      <c r="I687" s="46" t="inlineStr">
        <is>
          <t>ب د ف 6718</t>
        </is>
      </c>
      <c r="J687" s="46" t="inlineStr">
        <is>
          <t xml:space="preserve">احمد سلامة </t>
        </is>
      </c>
      <c r="K687" s="46" t="inlineStr">
        <is>
          <t xml:space="preserve">احمد عباس </t>
        </is>
      </c>
      <c r="L687" s="47" t="n">
        <v>25000</v>
      </c>
      <c r="M687" s="47" t="n">
        <v>14100</v>
      </c>
      <c r="N687" s="47" t="n"/>
      <c r="O687" s="47" t="n">
        <v>200</v>
      </c>
      <c r="P687" s="47" t="n"/>
      <c r="Q687" s="47" t="n">
        <v>10700</v>
      </c>
      <c r="R687" s="43">
        <f>IF($B687="","",N($S687)-N($Q687))</f>
        <v/>
      </c>
      <c r="S687" s="43">
        <f>IF($B687="","",N($L687)+N($N687)+N($P687))</f>
        <v/>
      </c>
      <c r="T687" s="47" t="n"/>
      <c r="U687" s="47" t="n"/>
      <c r="V687" s="47" t="n"/>
      <c r="W687" s="47" t="n"/>
      <c r="X687" s="47" t="n"/>
      <c r="Y687" s="47" t="n"/>
      <c r="Z687" s="47" t="n"/>
      <c r="AA687" s="47" t="n"/>
      <c r="AB687" s="47" t="n"/>
      <c r="AC687" s="47" t="n"/>
      <c r="AD687" s="47" t="n"/>
      <c r="AE687" s="47" t="n"/>
      <c r="AF687" s="43">
        <f>IF($B687="","",SUM($T687:$AE687))</f>
        <v/>
      </c>
      <c r="AG687" s="43">
        <f>IF($B687="","",N($M687)-N($AF687))</f>
        <v/>
      </c>
      <c r="AH687" s="43">
        <f>IF($B687="","",N($L687)-N($AF687))</f>
        <v/>
      </c>
      <c r="AI687" s="149">
        <f>IF($B687="","",IF(N($L687)=0,"",(N($L687)-N($AF687))/N($L687)))</f>
        <v/>
      </c>
    </row>
    <row r="688">
      <c r="A688" s="39">
        <f>IF($B688="","",COUNTA($B$4:$B688))</f>
        <v/>
      </c>
      <c r="B688" s="40" t="n">
        <v>46107</v>
      </c>
      <c r="C688" s="41" t="n">
        <v>2378</v>
      </c>
      <c r="D688" s="41" t="inlineStr">
        <is>
          <t>الانصارى خ</t>
        </is>
      </c>
      <c r="E688" s="41" t="inlineStr">
        <is>
          <t>2*20</t>
        </is>
      </c>
      <c r="F688" s="41" t="inlineStr">
        <is>
          <t xml:space="preserve">مصر بنى سويف </t>
        </is>
      </c>
      <c r="G688" s="41" t="inlineStr">
        <is>
          <t>بنى سويف</t>
        </is>
      </c>
      <c r="H688" s="41" t="inlineStr">
        <is>
          <t>978012/3-810397/0</t>
        </is>
      </c>
      <c r="I688" s="41" t="inlineStr">
        <is>
          <t>ب ص ا 2574</t>
        </is>
      </c>
      <c r="J688" s="41" t="inlineStr">
        <is>
          <t xml:space="preserve">محمد البحيرى </t>
        </is>
      </c>
      <c r="K688" s="41" t="inlineStr">
        <is>
          <t xml:space="preserve">احمد خليف </t>
        </is>
      </c>
      <c r="L688" s="42" t="n">
        <v>25000</v>
      </c>
      <c r="M688" s="42" t="n">
        <v>14100</v>
      </c>
      <c r="N688" s="42" t="n"/>
      <c r="O688" s="42" t="n">
        <v>200</v>
      </c>
      <c r="P688" s="42" t="n"/>
      <c r="Q688" s="42" t="n">
        <v>10700</v>
      </c>
      <c r="R688" s="43">
        <f>IF($B688="","",N($S688)-N($Q688))</f>
        <v/>
      </c>
      <c r="S688" s="43">
        <f>IF($B688="","",N($L688)+N($N688)+N($P688))</f>
        <v/>
      </c>
      <c r="T688" s="42" t="n"/>
      <c r="U688" s="42" t="n"/>
      <c r="V688" s="42" t="n"/>
      <c r="W688" s="42" t="n"/>
      <c r="X688" s="42" t="n"/>
      <c r="Y688" s="42" t="n"/>
      <c r="Z688" s="42" t="n"/>
      <c r="AA688" s="42" t="n"/>
      <c r="AB688" s="42" t="n"/>
      <c r="AC688" s="42" t="n"/>
      <c r="AD688" s="42" t="n"/>
      <c r="AE688" s="42" t="n"/>
      <c r="AF688" s="43">
        <f>IF($B688="","",SUM($T688:$AE688))</f>
        <v/>
      </c>
      <c r="AG688" s="43">
        <f>IF($B688="","",N($M688)-N($AF688))</f>
        <v/>
      </c>
      <c r="AH688" s="43">
        <f>IF($B688="","",N($L688)-N($AF688))</f>
        <v/>
      </c>
      <c r="AI688" s="149">
        <f>IF($B688="","",IF(N($L688)=0,"",(N($L688)-N($AF688))/N($L688)))</f>
        <v/>
      </c>
    </row>
    <row r="689">
      <c r="A689" s="39">
        <f>IF($B689="","",COUNTA($B$4:$B689))</f>
        <v/>
      </c>
      <c r="B689" s="45" t="n">
        <v>46108</v>
      </c>
      <c r="C689" s="46" t="n">
        <v>2380</v>
      </c>
      <c r="D689" s="46" t="inlineStr">
        <is>
          <t xml:space="preserve">محمد يحى </t>
        </is>
      </c>
      <c r="E689" s="46" t="inlineStr">
        <is>
          <t>1*40</t>
        </is>
      </c>
      <c r="F689" s="46" t="inlineStr">
        <is>
          <t xml:space="preserve">اروماتيك </t>
        </is>
      </c>
      <c r="G689" s="46" t="inlineStr">
        <is>
          <t>بنى سويف</t>
        </is>
      </c>
      <c r="H689" s="46" t="inlineStr">
        <is>
          <t>404105/4</t>
        </is>
      </c>
      <c r="I689" s="46" t="inlineStr">
        <is>
          <t>ع ر ب 1573</t>
        </is>
      </c>
      <c r="J689" s="46" t="inlineStr">
        <is>
          <t xml:space="preserve">محمد السيد </t>
        </is>
      </c>
      <c r="K689" s="46" t="inlineStr">
        <is>
          <t xml:space="preserve">حمو مرزوق </t>
        </is>
      </c>
      <c r="L689" s="47" t="n">
        <v>20000</v>
      </c>
      <c r="M689" s="47" t="n">
        <v>10100</v>
      </c>
      <c r="N689" s="47" t="n"/>
      <c r="O689" s="47" t="n">
        <v>200</v>
      </c>
      <c r="P689" s="47" t="n"/>
      <c r="Q689" s="47" t="n">
        <v>9700</v>
      </c>
      <c r="R689" s="43">
        <f>IF($B689="","",N($S689)-N($Q689))</f>
        <v/>
      </c>
      <c r="S689" s="43">
        <f>IF($B689="","",N($L689)+N($N689)+N($P689))</f>
        <v/>
      </c>
      <c r="T689" s="47" t="n"/>
      <c r="U689" s="47" t="n"/>
      <c r="V689" s="47" t="n"/>
      <c r="W689" s="47" t="n"/>
      <c r="X689" s="47" t="n"/>
      <c r="Y689" s="47" t="n"/>
      <c r="Z689" s="47" t="n"/>
      <c r="AA689" s="47" t="n"/>
      <c r="AB689" s="47" t="n"/>
      <c r="AC689" s="47" t="n"/>
      <c r="AD689" s="47" t="n"/>
      <c r="AE689" s="47" t="n"/>
      <c r="AF689" s="43">
        <f>IF($B689="","",SUM($T689:$AE689))</f>
        <v/>
      </c>
      <c r="AG689" s="43">
        <f>IF($B689="","",N($M689)-N($AF689))</f>
        <v/>
      </c>
      <c r="AH689" s="43">
        <f>IF($B689="","",N($L689)-N($AF689))</f>
        <v/>
      </c>
      <c r="AI689" s="149">
        <f>IF($B689="","",IF(N($L689)=0,"",(N($L689)-N($AF689))/N($L689)))</f>
        <v/>
      </c>
    </row>
    <row r="690">
      <c r="A690" s="39">
        <f>IF($B690="","",COUNTA($B$4:$B690))</f>
        <v/>
      </c>
      <c r="B690" s="40" t="n">
        <v>46108</v>
      </c>
      <c r="C690" s="41" t="n">
        <v>2379</v>
      </c>
      <c r="D690" s="41" t="inlineStr">
        <is>
          <t>المكتب</t>
        </is>
      </c>
      <c r="E690" s="41" t="inlineStr">
        <is>
          <t>2*20</t>
        </is>
      </c>
      <c r="F690" s="41" t="inlineStr">
        <is>
          <t>اكما</t>
        </is>
      </c>
      <c r="G690" s="41" t="inlineStr">
        <is>
          <t>بنى سويف</t>
        </is>
      </c>
      <c r="H690" s="41" t="inlineStr">
        <is>
          <t>684239/7-784392/8</t>
        </is>
      </c>
      <c r="I690" s="41" t="inlineStr">
        <is>
          <t>س ع م 8737</t>
        </is>
      </c>
      <c r="J690" s="41" t="inlineStr">
        <is>
          <t xml:space="preserve">محمود بكر </t>
        </is>
      </c>
      <c r="K690" s="41" t="inlineStr">
        <is>
          <t>المكتب</t>
        </is>
      </c>
      <c r="L690" s="42" t="n">
        <v>25000</v>
      </c>
      <c r="M690" s="42" t="n">
        <v>12000</v>
      </c>
      <c r="N690" s="42" t="n"/>
      <c r="O690" s="42" t="n"/>
      <c r="P690" s="42" t="n"/>
      <c r="Q690" s="42" t="n">
        <v>13000</v>
      </c>
      <c r="R690" s="43">
        <f>IF($B690="","",N($S690)-N($Q690))</f>
        <v/>
      </c>
      <c r="S690" s="43">
        <f>IF($B690="","",N($L690)+N($N690)+N($P690))</f>
        <v/>
      </c>
      <c r="T690" s="42" t="n">
        <v>2000</v>
      </c>
      <c r="U690" s="42" t="n">
        <v>900</v>
      </c>
      <c r="V690" s="42" t="n"/>
      <c r="W690" s="42" t="n">
        <v>200</v>
      </c>
      <c r="X690" s="42" t="n">
        <v>180</v>
      </c>
      <c r="Y690" s="42" t="n">
        <v>60</v>
      </c>
      <c r="Z690" s="42" t="n"/>
      <c r="AA690" s="42" t="n"/>
      <c r="AB690" s="42" t="n"/>
      <c r="AC690" s="42" t="n"/>
      <c r="AD690" s="42" t="n">
        <v>100</v>
      </c>
      <c r="AE690" s="42" t="n"/>
      <c r="AF690" s="43">
        <f>IF($B690="","",SUM($T690:$AE690))</f>
        <v/>
      </c>
      <c r="AG690" s="43">
        <f>IF($B690="","",N($M690)-N($AF690))</f>
        <v/>
      </c>
      <c r="AH690" s="43">
        <f>IF($B690="","",N($L690)-N($AF690))</f>
        <v/>
      </c>
      <c r="AI690" s="149">
        <f>IF($B690="","",IF(N($L690)=0,"",(N($L690)-N($AF690))/N($L690)))</f>
        <v/>
      </c>
    </row>
    <row r="691">
      <c r="A691" s="39">
        <f>IF($B691="","",COUNTA($B$4:$B691))</f>
        <v/>
      </c>
      <c r="B691" s="45" t="n">
        <v>46108</v>
      </c>
      <c r="C691" s="46" t="n">
        <v>2409</v>
      </c>
      <c r="D691" s="46" t="inlineStr">
        <is>
          <t>استوريا خ</t>
        </is>
      </c>
      <c r="E691" s="46" t="inlineStr">
        <is>
          <t>1*40</t>
        </is>
      </c>
      <c r="F691" s="46" t="inlineStr">
        <is>
          <t xml:space="preserve">ليجند </t>
        </is>
      </c>
      <c r="G691" s="46" t="inlineStr">
        <is>
          <t xml:space="preserve">العباسية </t>
        </is>
      </c>
      <c r="H691" s="46" t="inlineStr">
        <is>
          <t>539727/0</t>
        </is>
      </c>
      <c r="I691" s="46" t="inlineStr">
        <is>
          <t>ب د م 1423</t>
        </is>
      </c>
      <c r="J691" s="46" t="inlineStr">
        <is>
          <t xml:space="preserve">محمد عبد الباسط </t>
        </is>
      </c>
      <c r="K691" s="46" t="inlineStr">
        <is>
          <t>استوريا</t>
        </is>
      </c>
      <c r="L691" s="47" t="n">
        <v>14500</v>
      </c>
      <c r="M691" s="47" t="n">
        <v>8100</v>
      </c>
      <c r="N691" s="47" t="n"/>
      <c r="O691" s="47" t="n">
        <v>200</v>
      </c>
      <c r="P691" s="47" t="n"/>
      <c r="Q691" s="47" t="n">
        <v>6200</v>
      </c>
      <c r="R691" s="43">
        <f>IF($B691="","",N($S691)-N($Q691))</f>
        <v/>
      </c>
      <c r="S691" s="43">
        <f>IF($B691="","",N($L691)+N($N691)+N($P691))</f>
        <v/>
      </c>
      <c r="T691" s="47" t="n"/>
      <c r="U691" s="47" t="n"/>
      <c r="V691" s="47" t="n"/>
      <c r="W691" s="47" t="n"/>
      <c r="X691" s="47" t="n"/>
      <c r="Y691" s="47" t="n"/>
      <c r="Z691" s="47" t="n"/>
      <c r="AA691" s="47" t="n"/>
      <c r="AB691" s="47" t="n"/>
      <c r="AC691" s="47" t="n"/>
      <c r="AD691" s="47" t="n"/>
      <c r="AE691" s="47" t="n"/>
      <c r="AF691" s="43">
        <f>IF($B691="","",SUM($T691:$AE691))</f>
        <v/>
      </c>
      <c r="AG691" s="43">
        <f>IF($B691="","",N($M691)-N($AF691))</f>
        <v/>
      </c>
      <c r="AH691" s="43">
        <f>IF($B691="","",N($L691)-N($AF691))</f>
        <v/>
      </c>
      <c r="AI691" s="149">
        <f>IF($B691="","",IF(N($L691)=0,"",(N($L691)-N($AF691))/N($L691)))</f>
        <v/>
      </c>
    </row>
    <row r="692">
      <c r="A692" s="39">
        <f>IF($B692="","",COUNTA($B$4:$B692))</f>
        <v/>
      </c>
      <c r="B692" s="40" t="n">
        <v>46109</v>
      </c>
      <c r="C692" s="41" t="n">
        <v>2381</v>
      </c>
      <c r="D692" s="41" t="inlineStr">
        <is>
          <t>الانصارى خ</t>
        </is>
      </c>
      <c r="E692" s="41" t="inlineStr">
        <is>
          <t>1*40</t>
        </is>
      </c>
      <c r="F692" s="41" t="inlineStr">
        <is>
          <t xml:space="preserve">جرين اب </t>
        </is>
      </c>
      <c r="G692" s="41" t="inlineStr">
        <is>
          <t>بنى سويف</t>
        </is>
      </c>
      <c r="H692" s="41" t="inlineStr">
        <is>
          <t>853704/8</t>
        </is>
      </c>
      <c r="I692" s="41" t="inlineStr">
        <is>
          <t>ب ص ا 2574</t>
        </is>
      </c>
      <c r="J692" s="41" t="inlineStr">
        <is>
          <t xml:space="preserve">محمد البحيرى </t>
        </is>
      </c>
      <c r="K692" s="41" t="inlineStr">
        <is>
          <t xml:space="preserve">احمد خليف </t>
        </is>
      </c>
      <c r="L692" s="42" t="n">
        <v>20000</v>
      </c>
      <c r="M692" s="42" t="n">
        <v>12100</v>
      </c>
      <c r="N692" s="42" t="n"/>
      <c r="O692" s="42" t="n">
        <v>200</v>
      </c>
      <c r="P692" s="42" t="n"/>
      <c r="Q692" s="42" t="n">
        <v>7700</v>
      </c>
      <c r="R692" s="43">
        <f>IF($B692="","",N($S692)-N($Q692))</f>
        <v/>
      </c>
      <c r="S692" s="43">
        <f>IF($B692="","",N($L692)+N($N692)+N($P692))</f>
        <v/>
      </c>
      <c r="T692" s="42" t="n"/>
      <c r="U692" s="42" t="n"/>
      <c r="V692" s="42" t="n"/>
      <c r="W692" s="42" t="n"/>
      <c r="X692" s="42" t="n"/>
      <c r="Y692" s="42" t="n"/>
      <c r="Z692" s="42" t="n"/>
      <c r="AA692" s="42" t="n"/>
      <c r="AB692" s="42" t="n"/>
      <c r="AC692" s="42" t="n"/>
      <c r="AD692" s="42" t="n"/>
      <c r="AE692" s="42" t="n"/>
      <c r="AF692" s="43">
        <f>IF($B692="","",SUM($T692:$AE692))</f>
        <v/>
      </c>
      <c r="AG692" s="43">
        <f>IF($B692="","",N($M692)-N($AF692))</f>
        <v/>
      </c>
      <c r="AH692" s="43">
        <f>IF($B692="","",N($L692)-N($AF692))</f>
        <v/>
      </c>
      <c r="AI692" s="149">
        <f>IF($B692="","",IF(N($L692)=0,"",(N($L692)-N($AF692))/N($L692)))</f>
        <v/>
      </c>
    </row>
    <row r="693">
      <c r="A693" s="39">
        <f>IF($B693="","",COUNTA($B$4:$B693))</f>
        <v/>
      </c>
      <c r="B693" s="45" t="n">
        <v>46109</v>
      </c>
      <c r="C693" s="46" t="n">
        <v>2410</v>
      </c>
      <c r="D693" s="46" t="inlineStr">
        <is>
          <t xml:space="preserve">رباح </t>
        </is>
      </c>
      <c r="E693" s="46" t="inlineStr">
        <is>
          <t>1*40</t>
        </is>
      </c>
      <c r="F693" s="46" t="inlineStr">
        <is>
          <t xml:space="preserve">فابريك </t>
        </is>
      </c>
      <c r="G693" s="46" t="inlineStr">
        <is>
          <t>العاشر</t>
        </is>
      </c>
      <c r="H693" s="46" t="inlineStr">
        <is>
          <t>612169/8</t>
        </is>
      </c>
      <c r="I693" s="46" t="inlineStr">
        <is>
          <t>س ص ا 1461</t>
        </is>
      </c>
      <c r="J693" s="46" t="inlineStr">
        <is>
          <t xml:space="preserve">رباح محمد </t>
        </is>
      </c>
      <c r="K693" s="46" t="inlineStr">
        <is>
          <t>رباح</t>
        </is>
      </c>
      <c r="L693" s="47" t="n">
        <v>16000</v>
      </c>
      <c r="M693" s="47" t="n">
        <v>7100</v>
      </c>
      <c r="N693" s="47" t="n">
        <v>2500</v>
      </c>
      <c r="O693" s="47" t="n">
        <v>200</v>
      </c>
      <c r="P693" s="47" t="n"/>
      <c r="Q693" s="47" t="n">
        <v>6200</v>
      </c>
      <c r="R693" s="43">
        <f>IF($B693="","",N($S693)-N($Q693))</f>
        <v/>
      </c>
      <c r="S693" s="43">
        <f>IF($B693="","",N($L693)+N($N693)+N($P693))</f>
        <v/>
      </c>
      <c r="T693" s="47" t="n"/>
      <c r="U693" s="47" t="n"/>
      <c r="V693" s="47" t="n"/>
      <c r="W693" s="47" t="n"/>
      <c r="X693" s="47" t="n"/>
      <c r="Y693" s="47" t="n"/>
      <c r="Z693" s="47" t="n"/>
      <c r="AA693" s="47" t="n"/>
      <c r="AB693" s="47" t="n"/>
      <c r="AC693" s="47" t="n"/>
      <c r="AD693" s="47" t="n"/>
      <c r="AE693" s="47" t="n"/>
      <c r="AF693" s="43">
        <f>IF($B693="","",SUM($T693:$AE693))</f>
        <v/>
      </c>
      <c r="AG693" s="43">
        <f>IF($B693="","",N($M693)-N($AF693))</f>
        <v/>
      </c>
      <c r="AH693" s="43">
        <f>IF($B693="","",N($L693)-N($AF693))</f>
        <v/>
      </c>
      <c r="AI693" s="149">
        <f>IF($B693="","",IF(N($L693)=0,"",(N($L693)-N($AF693))/N($L693)))</f>
        <v/>
      </c>
    </row>
    <row r="694">
      <c r="A694" s="39">
        <f>IF($B694="","",COUNTA($B$4:$B694))</f>
        <v/>
      </c>
      <c r="B694" s="40" t="n">
        <v>46109</v>
      </c>
      <c r="C694" s="41" t="n">
        <v>2382</v>
      </c>
      <c r="D694" s="41" t="inlineStr">
        <is>
          <t xml:space="preserve">محمد يحى </t>
        </is>
      </c>
      <c r="E694" s="41" t="inlineStr">
        <is>
          <t>1*40 ث</t>
        </is>
      </c>
      <c r="F694" s="41" t="inlineStr">
        <is>
          <t xml:space="preserve">نايلكس </t>
        </is>
      </c>
      <c r="G694" s="41" t="inlineStr">
        <is>
          <t xml:space="preserve">وادى النطرون </t>
        </is>
      </c>
      <c r="H694" s="41" t="inlineStr">
        <is>
          <t>313638/1</t>
        </is>
      </c>
      <c r="I694" s="41" t="inlineStr">
        <is>
          <t>ط ف ر 1474</t>
        </is>
      </c>
      <c r="J694" s="41" t="inlineStr">
        <is>
          <t xml:space="preserve">جمال على </t>
        </is>
      </c>
      <c r="K694" s="41" t="inlineStr">
        <is>
          <t xml:space="preserve">كريم خليف </t>
        </is>
      </c>
      <c r="L694" s="42" t="n">
        <v>13000</v>
      </c>
      <c r="M694" s="42" t="n">
        <v>8100</v>
      </c>
      <c r="N694" s="42" t="n"/>
      <c r="O694" s="42" t="n">
        <v>200</v>
      </c>
      <c r="P694" s="42" t="n"/>
      <c r="Q694" s="42" t="n">
        <v>4700</v>
      </c>
      <c r="R694" s="43">
        <f>IF($B694="","",N($S694)-N($Q694))</f>
        <v/>
      </c>
      <c r="S694" s="43">
        <f>IF($B694="","",N($L694)+N($N694)+N($P694))</f>
        <v/>
      </c>
      <c r="T694" s="42" t="n"/>
      <c r="U694" s="42" t="n"/>
      <c r="V694" s="42" t="n"/>
      <c r="W694" s="42" t="n"/>
      <c r="X694" s="42" t="n"/>
      <c r="Y694" s="42" t="n"/>
      <c r="Z694" s="42" t="n"/>
      <c r="AA694" s="42" t="n"/>
      <c r="AB694" s="42" t="n"/>
      <c r="AC694" s="42" t="n"/>
      <c r="AD694" s="42" t="n"/>
      <c r="AE694" s="42" t="n"/>
      <c r="AF694" s="43">
        <f>IF($B694="","",SUM($T694:$AE694))</f>
        <v/>
      </c>
      <c r="AG694" s="43">
        <f>IF($B694="","",N($M694)-N($AF694))</f>
        <v/>
      </c>
      <c r="AH694" s="43">
        <f>IF($B694="","",N($L694)-N($AF694))</f>
        <v/>
      </c>
      <c r="AI694" s="149">
        <f>IF($B694="","",IF(N($L694)=0,"",(N($L694)-N($AF694))/N($L694)))</f>
        <v/>
      </c>
    </row>
    <row r="695">
      <c r="A695" s="39">
        <f>IF($B695="","",COUNTA($B$4:$B695))</f>
        <v/>
      </c>
      <c r="B695" s="45" t="n">
        <v>46109</v>
      </c>
      <c r="C695" s="46" t="n">
        <v>2383</v>
      </c>
      <c r="D695" s="46" t="inlineStr">
        <is>
          <t xml:space="preserve">محمد يحى </t>
        </is>
      </c>
      <c r="E695" s="46" t="inlineStr">
        <is>
          <t>1*40 ث</t>
        </is>
      </c>
      <c r="F695" s="46" t="inlineStr">
        <is>
          <t xml:space="preserve">نايلكس </t>
        </is>
      </c>
      <c r="G695" s="46" t="inlineStr">
        <is>
          <t xml:space="preserve">وادى النطرون </t>
        </is>
      </c>
      <c r="H695" s="46" t="inlineStr">
        <is>
          <t>374229/1</t>
        </is>
      </c>
      <c r="I695" s="46" t="inlineStr">
        <is>
          <t>ع ر ب 1573</t>
        </is>
      </c>
      <c r="J695" s="46" t="inlineStr">
        <is>
          <t xml:space="preserve">محمد السيد </t>
        </is>
      </c>
      <c r="K695" s="46" t="inlineStr">
        <is>
          <t xml:space="preserve">حمو مرزوق </t>
        </is>
      </c>
      <c r="L695" s="47" t="n">
        <v>13000</v>
      </c>
      <c r="M695" s="47" t="n">
        <v>8100</v>
      </c>
      <c r="N695" s="47" t="n"/>
      <c r="O695" s="47" t="n">
        <v>200</v>
      </c>
      <c r="P695" s="47" t="n"/>
      <c r="Q695" s="47" t="n">
        <v>4700</v>
      </c>
      <c r="R695" s="43">
        <f>IF($B695="","",N($S695)-N($Q695))</f>
        <v/>
      </c>
      <c r="S695" s="43">
        <f>IF($B695="","",N($L695)+N($N695)+N($P695))</f>
        <v/>
      </c>
      <c r="T695" s="47" t="n"/>
      <c r="U695" s="47" t="n"/>
      <c r="V695" s="47" t="n"/>
      <c r="W695" s="47" t="n"/>
      <c r="X695" s="47" t="n"/>
      <c r="Y695" s="47" t="n"/>
      <c r="Z695" s="47" t="n"/>
      <c r="AA695" s="47" t="n"/>
      <c r="AB695" s="47" t="n"/>
      <c r="AC695" s="47" t="n"/>
      <c r="AD695" s="47" t="n"/>
      <c r="AE695" s="47" t="n"/>
      <c r="AF695" s="43">
        <f>IF($B695="","",SUM($T695:$AE695))</f>
        <v/>
      </c>
      <c r="AG695" s="43">
        <f>IF($B695="","",N($M695)-N($AF695))</f>
        <v/>
      </c>
      <c r="AH695" s="43">
        <f>IF($B695="","",N($L695)-N($AF695))</f>
        <v/>
      </c>
      <c r="AI695" s="149">
        <f>IF($B695="","",IF(N($L695)=0,"",(N($L695)-N($AF695))/N($L695)))</f>
        <v/>
      </c>
    </row>
    <row r="696">
      <c r="A696" s="39">
        <f>IF($B696="","",COUNTA($B$4:$B696))</f>
        <v/>
      </c>
      <c r="B696" s="40" t="n">
        <v>46109</v>
      </c>
      <c r="C696" s="41" t="n">
        <v>2384</v>
      </c>
      <c r="D696" s="41" t="inlineStr">
        <is>
          <t xml:space="preserve">محمد سعيد </t>
        </is>
      </c>
      <c r="E696" s="41" t="inlineStr">
        <is>
          <t>1*40</t>
        </is>
      </c>
      <c r="F696" s="41" t="inlineStr">
        <is>
          <t>الامراء</t>
        </is>
      </c>
      <c r="G696" s="41" t="inlineStr">
        <is>
          <t xml:space="preserve">اكتوبر </t>
        </is>
      </c>
      <c r="H696" s="41" t="inlineStr">
        <is>
          <t>437029/4</t>
        </is>
      </c>
      <c r="I696" s="41" t="inlineStr">
        <is>
          <t>س ف ب 4187</t>
        </is>
      </c>
      <c r="J696" s="41" t="inlineStr">
        <is>
          <t xml:space="preserve">نور محمد صالح </t>
        </is>
      </c>
      <c r="K696" s="41" t="inlineStr">
        <is>
          <t xml:space="preserve">البيبى </t>
        </is>
      </c>
      <c r="L696" s="42" t="n">
        <v>13700</v>
      </c>
      <c r="M696" s="42" t="n">
        <v>10100</v>
      </c>
      <c r="N696" s="42" t="n"/>
      <c r="O696" s="42" t="n">
        <v>200</v>
      </c>
      <c r="P696" s="42" t="n"/>
      <c r="Q696" s="42" t="n">
        <v>3400</v>
      </c>
      <c r="R696" s="43">
        <f>IF($B696="","",N($S696)-N($Q696))</f>
        <v/>
      </c>
      <c r="S696" s="43">
        <f>IF($B696="","",N($L696)+N($N696)+N($P696))</f>
        <v/>
      </c>
      <c r="T696" s="42" t="n"/>
      <c r="U696" s="42" t="n"/>
      <c r="V696" s="42" t="n"/>
      <c r="W696" s="42" t="n"/>
      <c r="X696" s="42" t="n"/>
      <c r="Y696" s="42" t="n"/>
      <c r="Z696" s="42" t="n"/>
      <c r="AA696" s="42" t="n"/>
      <c r="AB696" s="42" t="n"/>
      <c r="AC696" s="42" t="n"/>
      <c r="AD696" s="42" t="n"/>
      <c r="AE696" s="42" t="n"/>
      <c r="AF696" s="43">
        <f>IF($B696="","",SUM($T696:$AE696))</f>
        <v/>
      </c>
      <c r="AG696" s="43">
        <f>IF($B696="","",N($M696)-N($AF696))</f>
        <v/>
      </c>
      <c r="AH696" s="43">
        <f>IF($B696="","",N($L696)-N($AF696))</f>
        <v/>
      </c>
      <c r="AI696" s="149">
        <f>IF($B696="","",IF(N($L696)=0,"",(N($L696)-N($AF696))/N($L696)))</f>
        <v/>
      </c>
    </row>
    <row r="697">
      <c r="A697" s="39">
        <f>IF($B697="","",COUNTA($B$4:$B697))</f>
        <v/>
      </c>
      <c r="B697" s="45" t="n">
        <v>46109</v>
      </c>
      <c r="C697" s="46" t="n">
        <v>2451</v>
      </c>
      <c r="D697" s="46" t="inlineStr">
        <is>
          <t xml:space="preserve">كمال رزق </t>
        </is>
      </c>
      <c r="E697" s="46" t="inlineStr">
        <is>
          <t>1*40</t>
        </is>
      </c>
      <c r="F697" s="46" t="inlineStr">
        <is>
          <t xml:space="preserve">الحناوى </t>
        </is>
      </c>
      <c r="G697" s="46" t="inlineStr">
        <is>
          <t xml:space="preserve">السادات س و ت ابو قير </t>
        </is>
      </c>
      <c r="H697" s="46" t="inlineStr">
        <is>
          <t>972647/5</t>
        </is>
      </c>
      <c r="I697" s="46" t="inlineStr">
        <is>
          <t>س ن ر 8979</t>
        </is>
      </c>
      <c r="J697" s="46" t="inlineStr">
        <is>
          <t xml:space="preserve">عماد سعيد </t>
        </is>
      </c>
      <c r="K697" s="46" t="inlineStr">
        <is>
          <t xml:space="preserve">عماد سعيد </t>
        </is>
      </c>
      <c r="L697" s="47" t="n">
        <v>12500</v>
      </c>
      <c r="M697" s="47" t="n">
        <v>8100</v>
      </c>
      <c r="N697" s="47" t="n"/>
      <c r="O697" s="47" t="n">
        <v>200</v>
      </c>
      <c r="P697" s="47" t="n">
        <v>3500</v>
      </c>
      <c r="Q697" s="47" t="n">
        <v>7700</v>
      </c>
      <c r="R697" s="43">
        <f>IF($B697="","",N($S697)-N($Q697))</f>
        <v/>
      </c>
      <c r="S697" s="43">
        <f>IF($B697="","",N($L697)+N($N697)+N($P697))</f>
        <v/>
      </c>
      <c r="T697" s="47" t="n"/>
      <c r="U697" s="47" t="n"/>
      <c r="V697" s="47" t="n"/>
      <c r="W697" s="47" t="n"/>
      <c r="X697" s="47" t="n"/>
      <c r="Y697" s="47" t="n"/>
      <c r="Z697" s="47" t="n"/>
      <c r="AA697" s="47" t="n"/>
      <c r="AB697" s="47" t="n"/>
      <c r="AC697" s="47" t="n"/>
      <c r="AD697" s="47" t="n"/>
      <c r="AE697" s="47" t="n"/>
      <c r="AF697" s="43">
        <f>IF($B697="","",SUM($T697:$AE697))</f>
        <v/>
      </c>
      <c r="AG697" s="43">
        <f>IF($B697="","",N($M697)-N($AF697))</f>
        <v/>
      </c>
      <c r="AH697" s="43">
        <f>IF($B697="","",N($L697)-N($AF697))</f>
        <v/>
      </c>
      <c r="AI697" s="149">
        <f>IF($B697="","",IF(N($L697)=0,"",(N($L697)-N($AF697))/N($L697)))</f>
        <v/>
      </c>
    </row>
    <row r="698">
      <c r="A698" s="39">
        <f>IF($B698="","",COUNTA($B$4:$B698))</f>
        <v/>
      </c>
      <c r="B698" s="40" t="n">
        <v>46110</v>
      </c>
      <c r="C698" s="41" t="n">
        <v>2150</v>
      </c>
      <c r="D698" s="41" t="inlineStr">
        <is>
          <t>الدهشان</t>
        </is>
      </c>
      <c r="E698" s="41" t="inlineStr">
        <is>
          <t>1*40</t>
        </is>
      </c>
      <c r="F698" s="41" t="inlineStr">
        <is>
          <t>اجروفود</t>
        </is>
      </c>
      <c r="G698" s="41" t="inlineStr">
        <is>
          <t xml:space="preserve">الفيوم </t>
        </is>
      </c>
      <c r="H698" s="41" t="inlineStr">
        <is>
          <t>669261/2</t>
        </is>
      </c>
      <c r="I698" s="41" t="inlineStr">
        <is>
          <t>س ا ه 8198</t>
        </is>
      </c>
      <c r="J698" s="41" t="inlineStr">
        <is>
          <t xml:space="preserve">مصطفى علاء </t>
        </is>
      </c>
      <c r="K698" s="41" t="inlineStr">
        <is>
          <t xml:space="preserve">علاء علام </t>
        </is>
      </c>
      <c r="L698" s="42" t="n">
        <v>18500</v>
      </c>
      <c r="M698" s="42" t="n">
        <v>10100</v>
      </c>
      <c r="N698" s="42" t="n"/>
      <c r="O698" s="42" t="n">
        <v>200</v>
      </c>
      <c r="P698" s="42" t="n"/>
      <c r="Q698" s="42" t="n">
        <v>8200</v>
      </c>
      <c r="R698" s="43">
        <f>IF($B698="","",N($S698)-N($Q698))</f>
        <v/>
      </c>
      <c r="S698" s="43">
        <f>IF($B698="","",N($L698)+N($N698)+N($P698))</f>
        <v/>
      </c>
      <c r="T698" s="42" t="n"/>
      <c r="U698" s="42" t="n"/>
      <c r="V698" s="42" t="n"/>
      <c r="W698" s="42" t="n"/>
      <c r="X698" s="42" t="n"/>
      <c r="Y698" s="42" t="n"/>
      <c r="Z698" s="42" t="n"/>
      <c r="AA698" s="42" t="n"/>
      <c r="AB698" s="42" t="n"/>
      <c r="AC698" s="42" t="n"/>
      <c r="AD698" s="42" t="n"/>
      <c r="AE698" s="42" t="n"/>
      <c r="AF698" s="43">
        <f>IF($B698="","",SUM($T698:$AE698))</f>
        <v/>
      </c>
      <c r="AG698" s="43">
        <f>IF($B698="","",N($M698)-N($AF698))</f>
        <v/>
      </c>
      <c r="AH698" s="43">
        <f>IF($B698="","",N($L698)-N($AF698))</f>
        <v/>
      </c>
      <c r="AI698" s="149">
        <f>IF($B698="","",IF(N($L698)=0,"",(N($L698)-N($AF698))/N($L698)))</f>
        <v/>
      </c>
    </row>
    <row r="699">
      <c r="A699" s="39">
        <f>IF($B699="","",COUNTA($B$4:$B699))</f>
        <v/>
      </c>
      <c r="B699" s="45" t="n">
        <v>46110</v>
      </c>
      <c r="C699" s="46" t="n">
        <v>2452</v>
      </c>
      <c r="D699" s="46" t="inlineStr">
        <is>
          <t>حاتم البحر  ق</t>
        </is>
      </c>
      <c r="E699" s="46" t="inlineStr">
        <is>
          <t>1*20</t>
        </is>
      </c>
      <c r="F699" s="46" t="inlineStr">
        <is>
          <t xml:space="preserve">السويدى بوليمرز </t>
        </is>
      </c>
      <c r="G699" s="46" t="inlineStr">
        <is>
          <t xml:space="preserve">العاشر </t>
        </is>
      </c>
      <c r="H699" s="46" t="inlineStr">
        <is>
          <t>250519/4</t>
        </is>
      </c>
      <c r="I699" s="46" t="inlineStr">
        <is>
          <t>ب ج ع 4963</t>
        </is>
      </c>
      <c r="J699" s="46" t="inlineStr">
        <is>
          <t xml:space="preserve">محمد جمال </t>
        </is>
      </c>
      <c r="K699" s="46" t="inlineStr">
        <is>
          <t>رومانى</t>
        </is>
      </c>
      <c r="L699" s="47" t="n">
        <v>15000</v>
      </c>
      <c r="M699" s="47" t="n">
        <v>8100</v>
      </c>
      <c r="N699" s="47" t="n"/>
      <c r="O699" s="47" t="n">
        <v>200</v>
      </c>
      <c r="P699" s="47" t="n"/>
      <c r="Q699" s="47" t="n">
        <v>6700</v>
      </c>
      <c r="R699" s="43">
        <f>IF($B699="","",N($S699)-N($Q699))</f>
        <v/>
      </c>
      <c r="S699" s="43">
        <f>IF($B699="","",N($L699)+N($N699)+N($P699))</f>
        <v/>
      </c>
      <c r="T699" s="47" t="n"/>
      <c r="U699" s="47" t="n"/>
      <c r="V699" s="47" t="n"/>
      <c r="W699" s="47" t="n"/>
      <c r="X699" s="47" t="n"/>
      <c r="Y699" s="47" t="n"/>
      <c r="Z699" s="47" t="n"/>
      <c r="AA699" s="47" t="n"/>
      <c r="AB699" s="47" t="n"/>
      <c r="AC699" s="47" t="n"/>
      <c r="AD699" s="47" t="n"/>
      <c r="AE699" s="47" t="n"/>
      <c r="AF699" s="43">
        <f>IF($B699="","",SUM($T699:$AE699))</f>
        <v/>
      </c>
      <c r="AG699" s="43">
        <f>IF($B699="","",N($M699)-N($AF699))</f>
        <v/>
      </c>
      <c r="AH699" s="43">
        <f>IF($B699="","",N($L699)-N($AF699))</f>
        <v/>
      </c>
      <c r="AI699" s="149">
        <f>IF($B699="","",IF(N($L699)=0,"",(N($L699)-N($AF699))/N($L699)))</f>
        <v/>
      </c>
    </row>
    <row r="700">
      <c r="A700" s="39">
        <f>IF($B700="","",COUNTA($B$4:$B700))</f>
        <v/>
      </c>
      <c r="B700" s="40" t="n">
        <v>46110</v>
      </c>
      <c r="C700" s="41" t="n">
        <v>2456</v>
      </c>
      <c r="D700" s="41" t="inlineStr">
        <is>
          <t xml:space="preserve">محمد يحى </t>
        </is>
      </c>
      <c r="E700" s="41" t="inlineStr">
        <is>
          <t>1*40 ث</t>
        </is>
      </c>
      <c r="F700" s="41" t="inlineStr">
        <is>
          <t xml:space="preserve">انتراكوا </t>
        </is>
      </c>
      <c r="G700" s="41" t="inlineStr">
        <is>
          <t>الاسماعيليه</t>
        </is>
      </c>
      <c r="H700" s="41" t="n"/>
      <c r="I700" s="41" t="inlineStr">
        <is>
          <t>ع ر ب 1573</t>
        </is>
      </c>
      <c r="J700" s="41" t="inlineStr">
        <is>
          <t xml:space="preserve">محمد السيد </t>
        </is>
      </c>
      <c r="K700" s="41" t="inlineStr">
        <is>
          <t xml:space="preserve">حمو مرزوق </t>
        </is>
      </c>
      <c r="L700" s="42" t="n">
        <v>20000</v>
      </c>
      <c r="M700" s="42" t="n">
        <v>10100</v>
      </c>
      <c r="N700" s="42" t="n"/>
      <c r="O700" s="42" t="n">
        <v>200</v>
      </c>
      <c r="P700" s="42" t="n"/>
      <c r="Q700" s="42" t="n">
        <v>9700</v>
      </c>
      <c r="R700" s="43">
        <f>IF($B700="","",N($S700)-N($Q700))</f>
        <v/>
      </c>
      <c r="S700" s="43">
        <f>IF($B700="","",N($L700)+N($N700)+N($P700))</f>
        <v/>
      </c>
      <c r="T700" s="42" t="n"/>
      <c r="U700" s="42" t="n"/>
      <c r="V700" s="42" t="n"/>
      <c r="W700" s="42" t="n"/>
      <c r="X700" s="42" t="n"/>
      <c r="Y700" s="42" t="n"/>
      <c r="Z700" s="42" t="n"/>
      <c r="AA700" s="42" t="n"/>
      <c r="AB700" s="42" t="n"/>
      <c r="AC700" s="42" t="n"/>
      <c r="AD700" s="42" t="n"/>
      <c r="AE700" s="42" t="n"/>
      <c r="AF700" s="43">
        <f>IF($B700="","",SUM($T700:$AE700))</f>
        <v/>
      </c>
      <c r="AG700" s="43">
        <f>IF($B700="","",N($M700)-N($AF700))</f>
        <v/>
      </c>
      <c r="AH700" s="43">
        <f>IF($B700="","",N($L700)-N($AF700))</f>
        <v/>
      </c>
      <c r="AI700" s="149">
        <f>IF($B700="","",IF(N($L700)=0,"",(N($L700)-N($AF700))/N($L700)))</f>
        <v/>
      </c>
    </row>
    <row r="701">
      <c r="A701" s="39">
        <f>IF($B701="","",COUNTA($B$4:$B701))</f>
        <v/>
      </c>
      <c r="B701" s="45" t="n">
        <v>46110</v>
      </c>
      <c r="C701" s="46" t="n">
        <v>2453</v>
      </c>
      <c r="D701" s="46" t="inlineStr">
        <is>
          <t xml:space="preserve">كمال رزق </t>
        </is>
      </c>
      <c r="E701" s="46" t="inlineStr">
        <is>
          <t>1*40 ث</t>
        </is>
      </c>
      <c r="F701" s="46" t="inlineStr">
        <is>
          <t xml:space="preserve">انتراكوا </t>
        </is>
      </c>
      <c r="G701" s="46" t="inlineStr">
        <is>
          <t xml:space="preserve">القناطر </t>
        </is>
      </c>
      <c r="H701" s="46" t="inlineStr">
        <is>
          <t>158703/2</t>
        </is>
      </c>
      <c r="I701" s="46" t="inlineStr">
        <is>
          <t>س ن ر 8979</t>
        </is>
      </c>
      <c r="J701" s="46" t="inlineStr">
        <is>
          <t xml:space="preserve">عماد سعيد </t>
        </is>
      </c>
      <c r="K701" s="46" t="inlineStr">
        <is>
          <t xml:space="preserve">عماد سعيد </t>
        </is>
      </c>
      <c r="L701" s="47" t="n">
        <v>16500</v>
      </c>
      <c r="M701" s="47" t="n">
        <v>8100</v>
      </c>
      <c r="N701" s="47" t="n"/>
      <c r="O701" s="47" t="n">
        <v>200</v>
      </c>
      <c r="P701" s="47" t="n"/>
      <c r="Q701" s="47" t="n">
        <v>8200</v>
      </c>
      <c r="R701" s="43">
        <f>IF($B701="","",N($S701)-N($Q701))</f>
        <v/>
      </c>
      <c r="S701" s="43">
        <f>IF($B701="","",N($L701)+N($N701)+N($P701))</f>
        <v/>
      </c>
      <c r="T701" s="47" t="n"/>
      <c r="U701" s="47" t="n"/>
      <c r="V701" s="47" t="n"/>
      <c r="W701" s="47" t="n"/>
      <c r="X701" s="47" t="n"/>
      <c r="Y701" s="47" t="n"/>
      <c r="Z701" s="47" t="n"/>
      <c r="AA701" s="47" t="n"/>
      <c r="AB701" s="47" t="n"/>
      <c r="AC701" s="47" t="n"/>
      <c r="AD701" s="47" t="n"/>
      <c r="AE701" s="47" t="n"/>
      <c r="AF701" s="43">
        <f>IF($B701="","",SUM($T701:$AE701))</f>
        <v/>
      </c>
      <c r="AG701" s="43">
        <f>IF($B701="","",N($M701)-N($AF701))</f>
        <v/>
      </c>
      <c r="AH701" s="43">
        <f>IF($B701="","",N($L701)-N($AF701))</f>
        <v/>
      </c>
      <c r="AI701" s="149">
        <f>IF($B701="","",IF(N($L701)=0,"",(N($L701)-N($AF701))/N($L701)))</f>
        <v/>
      </c>
    </row>
    <row r="702">
      <c r="A702" s="39">
        <f>IF($B702="","",COUNTA($B$4:$B702))</f>
        <v/>
      </c>
      <c r="B702" s="40" t="n">
        <v>46110</v>
      </c>
      <c r="C702" s="41" t="n">
        <v>2454</v>
      </c>
      <c r="D702" s="41" t="inlineStr">
        <is>
          <t xml:space="preserve">محمد يحى </t>
        </is>
      </c>
      <c r="E702" s="41" t="inlineStr">
        <is>
          <t>1*40 ث</t>
        </is>
      </c>
      <c r="F702" s="41" t="inlineStr">
        <is>
          <t xml:space="preserve">انتراكوا </t>
        </is>
      </c>
      <c r="G702" s="41" t="inlineStr">
        <is>
          <t xml:space="preserve">القناطر </t>
        </is>
      </c>
      <c r="H702" s="41" t="inlineStr">
        <is>
          <t>122180/3</t>
        </is>
      </c>
      <c r="I702" s="41" t="inlineStr">
        <is>
          <t>س ر ا 6671</t>
        </is>
      </c>
      <c r="J702" s="41" t="inlineStr">
        <is>
          <t xml:space="preserve">السيد مرسى </t>
        </is>
      </c>
      <c r="K702" s="41" t="inlineStr">
        <is>
          <t xml:space="preserve">حمو مرزوق </t>
        </is>
      </c>
      <c r="L702" s="42" t="n">
        <v>16500</v>
      </c>
      <c r="M702" s="42" t="n">
        <v>8100</v>
      </c>
      <c r="N702" s="42" t="n"/>
      <c r="O702" s="42" t="n">
        <v>200</v>
      </c>
      <c r="P702" s="42" t="n"/>
      <c r="Q702" s="42" t="n">
        <v>8200</v>
      </c>
      <c r="R702" s="43">
        <f>IF($B702="","",N($S702)-N($Q702))</f>
        <v/>
      </c>
      <c r="S702" s="43">
        <f>IF($B702="","",N($L702)+N($N702)+N($P702))</f>
        <v/>
      </c>
      <c r="T702" s="42" t="n"/>
      <c r="U702" s="42" t="n"/>
      <c r="V702" s="42" t="n"/>
      <c r="W702" s="42" t="n"/>
      <c r="X702" s="42" t="n"/>
      <c r="Y702" s="42" t="n"/>
      <c r="Z702" s="42" t="n"/>
      <c r="AA702" s="42" t="n"/>
      <c r="AB702" s="42" t="n"/>
      <c r="AC702" s="42" t="n"/>
      <c r="AD702" s="42" t="n"/>
      <c r="AE702" s="42" t="n"/>
      <c r="AF702" s="43">
        <f>IF($B702="","",SUM($T702:$AE702))</f>
        <v/>
      </c>
      <c r="AG702" s="43">
        <f>IF($B702="","",N($M702)-N($AF702))</f>
        <v/>
      </c>
      <c r="AH702" s="43">
        <f>IF($B702="","",N($L702)-N($AF702))</f>
        <v/>
      </c>
      <c r="AI702" s="149">
        <f>IF($B702="","",IF(N($L702)=0,"",(N($L702)-N($AF702))/N($L702)))</f>
        <v/>
      </c>
    </row>
    <row r="703">
      <c r="A703" s="39">
        <f>IF($B703="","",COUNTA($B$4:$B703))</f>
        <v/>
      </c>
      <c r="B703" s="45" t="n">
        <v>46110</v>
      </c>
      <c r="C703" s="46" t="n">
        <v>2455</v>
      </c>
      <c r="D703" s="46" t="inlineStr">
        <is>
          <t>الشريف خ</t>
        </is>
      </c>
      <c r="E703" s="46" t="inlineStr">
        <is>
          <t>1*40</t>
        </is>
      </c>
      <c r="F703" s="46" t="inlineStr">
        <is>
          <t xml:space="preserve">الوكس </t>
        </is>
      </c>
      <c r="G703" s="46" t="inlineStr">
        <is>
          <t xml:space="preserve">م نصر </t>
        </is>
      </c>
      <c r="H703" s="46" t="inlineStr">
        <is>
          <t>573195/3</t>
        </is>
      </c>
      <c r="I703" s="46" t="inlineStr">
        <is>
          <t>ب د ف 7612</t>
        </is>
      </c>
      <c r="J703" s="46" t="inlineStr">
        <is>
          <t xml:space="preserve">احمد سامى </t>
        </is>
      </c>
      <c r="K703" s="46" t="inlineStr">
        <is>
          <t xml:space="preserve">ابو ادم </t>
        </is>
      </c>
      <c r="L703" s="47" t="n">
        <v>16000</v>
      </c>
      <c r="M703" s="47" t="n">
        <v>9100</v>
      </c>
      <c r="N703" s="47" t="n"/>
      <c r="O703" s="47" t="n">
        <v>200</v>
      </c>
      <c r="P703" s="47" t="n">
        <v>3000</v>
      </c>
      <c r="Q703" s="47" t="n">
        <v>9700</v>
      </c>
      <c r="R703" s="43">
        <f>IF($B703="","",N($S703)-N($Q703))</f>
        <v/>
      </c>
      <c r="S703" s="43">
        <f>IF($B703="","",N($L703)+N($N703)+N($P703))</f>
        <v/>
      </c>
      <c r="T703" s="47" t="n"/>
      <c r="U703" s="47" t="n"/>
      <c r="V703" s="47" t="n"/>
      <c r="W703" s="47" t="n"/>
      <c r="X703" s="47" t="n"/>
      <c r="Y703" s="47" t="n"/>
      <c r="Z703" s="47" t="n"/>
      <c r="AA703" s="47" t="n"/>
      <c r="AB703" s="47" t="n"/>
      <c r="AC703" s="47" t="n"/>
      <c r="AD703" s="47" t="n"/>
      <c r="AE703" s="47" t="n"/>
      <c r="AF703" s="43">
        <f>IF($B703="","",SUM($T703:$AE703))</f>
        <v/>
      </c>
      <c r="AG703" s="43">
        <f>IF($B703="","",N($M703)-N($AF703))</f>
        <v/>
      </c>
      <c r="AH703" s="43">
        <f>IF($B703="","",N($L703)-N($AF703))</f>
        <v/>
      </c>
      <c r="AI703" s="149">
        <f>IF($B703="","",IF(N($L703)=0,"",(N($L703)-N($AF703))/N($L703)))</f>
        <v/>
      </c>
    </row>
    <row r="704">
      <c r="A704" s="39">
        <f>IF($B704="","",COUNTA($B$4:$B704))</f>
        <v/>
      </c>
      <c r="B704" s="40" t="n">
        <v>46110</v>
      </c>
      <c r="C704" s="41" t="n">
        <v>2385</v>
      </c>
      <c r="D704" s="41" t="inlineStr">
        <is>
          <t>الانصارى خ</t>
        </is>
      </c>
      <c r="E704" s="41" t="inlineStr">
        <is>
          <t>1*40</t>
        </is>
      </c>
      <c r="F704" s="41" t="inlineStr">
        <is>
          <t xml:space="preserve">السويدى بوليمرز </t>
        </is>
      </c>
      <c r="G704" s="41" t="inlineStr">
        <is>
          <t>العاشر</t>
        </is>
      </c>
      <c r="H704" s="41" t="inlineStr">
        <is>
          <t>384207/6</t>
        </is>
      </c>
      <c r="I704" s="41" t="inlineStr">
        <is>
          <t>ب ص ا 2574</t>
        </is>
      </c>
      <c r="J704" s="41" t="inlineStr">
        <is>
          <t xml:space="preserve">محمد البحيرى </t>
        </is>
      </c>
      <c r="K704" s="41" t="inlineStr">
        <is>
          <t xml:space="preserve">احمد خليف </t>
        </is>
      </c>
      <c r="L704" s="42" t="n">
        <v>16000</v>
      </c>
      <c r="M704" s="42" t="n">
        <v>8100</v>
      </c>
      <c r="N704" s="42" t="n"/>
      <c r="O704" s="42" t="n">
        <v>200</v>
      </c>
      <c r="P704" s="42" t="n"/>
      <c r="Q704" s="42" t="n">
        <v>7700</v>
      </c>
      <c r="R704" s="43">
        <f>IF($B704="","",N($S704)-N($Q704))</f>
        <v/>
      </c>
      <c r="S704" s="43">
        <f>IF($B704="","",N($L704)+N($N704)+N($P704))</f>
        <v/>
      </c>
      <c r="T704" s="42" t="n"/>
      <c r="U704" s="42" t="n"/>
      <c r="V704" s="42" t="n"/>
      <c r="W704" s="42" t="n"/>
      <c r="X704" s="42" t="n"/>
      <c r="Y704" s="42" t="n"/>
      <c r="Z704" s="42" t="n"/>
      <c r="AA704" s="42" t="n"/>
      <c r="AB704" s="42" t="n"/>
      <c r="AC704" s="42" t="n"/>
      <c r="AD704" s="42" t="n"/>
      <c r="AE704" s="42" t="n"/>
      <c r="AF704" s="43">
        <f>IF($B704="","",SUM($T704:$AE704))</f>
        <v/>
      </c>
      <c r="AG704" s="43">
        <f>IF($B704="","",N($M704)-N($AF704))</f>
        <v/>
      </c>
      <c r="AH704" s="43">
        <f>IF($B704="","",N($L704)-N($AF704))</f>
        <v/>
      </c>
      <c r="AI704" s="149">
        <f>IF($B704="","",IF(N($L704)=0,"",(N($L704)-N($AF704))/N($L704)))</f>
        <v/>
      </c>
    </row>
    <row r="705">
      <c r="A705" s="39">
        <f>IF($B705="","",COUNTA($B$4:$B705))</f>
        <v/>
      </c>
      <c r="B705" s="45" t="n">
        <v>46110</v>
      </c>
      <c r="C705" s="46" t="n">
        <v>2503</v>
      </c>
      <c r="D705" s="46" t="inlineStr">
        <is>
          <t>صعيدى 2 خ</t>
        </is>
      </c>
      <c r="E705" s="46" t="inlineStr">
        <is>
          <t>1*40</t>
        </is>
      </c>
      <c r="F705" s="46" t="inlineStr">
        <is>
          <t xml:space="preserve">السويدى بوليمرز </t>
        </is>
      </c>
      <c r="G705" s="46" t="inlineStr">
        <is>
          <t>العاشر</t>
        </is>
      </c>
      <c r="H705" s="46" t="inlineStr">
        <is>
          <t>548766/7</t>
        </is>
      </c>
      <c r="I705" s="46" t="inlineStr">
        <is>
          <t>س وب 2689</t>
        </is>
      </c>
      <c r="J705" s="46" t="inlineStr">
        <is>
          <t xml:space="preserve">ابو رامى </t>
        </is>
      </c>
      <c r="K705" s="46" t="inlineStr">
        <is>
          <t xml:space="preserve">محمد الصعيدى </t>
        </is>
      </c>
      <c r="L705" s="47" t="n">
        <v>16000</v>
      </c>
      <c r="M705" s="47" t="n">
        <v>8100</v>
      </c>
      <c r="N705" s="47" t="n"/>
      <c r="O705" s="47" t="n">
        <v>200</v>
      </c>
      <c r="P705" s="47" t="n"/>
      <c r="Q705" s="47" t="n">
        <v>7700</v>
      </c>
      <c r="R705" s="43">
        <f>IF($B705="","",N($S705)-N($Q705))</f>
        <v/>
      </c>
      <c r="S705" s="43">
        <f>IF($B705="","",N($L705)+N($N705)+N($P705))</f>
        <v/>
      </c>
      <c r="T705" s="47" t="n"/>
      <c r="U705" s="47" t="n"/>
      <c r="V705" s="47" t="n"/>
      <c r="W705" s="47" t="n"/>
      <c r="X705" s="47" t="n"/>
      <c r="Y705" s="47" t="n"/>
      <c r="Z705" s="47" t="n"/>
      <c r="AA705" s="47" t="n"/>
      <c r="AB705" s="47" t="n"/>
      <c r="AC705" s="47" t="n"/>
      <c r="AD705" s="47" t="n"/>
      <c r="AE705" s="47" t="n"/>
      <c r="AF705" s="43">
        <f>IF($B705="","",SUM($T705:$AE705))</f>
        <v/>
      </c>
      <c r="AG705" s="43">
        <f>IF($B705="","",N($M705)-N($AF705))</f>
        <v/>
      </c>
      <c r="AH705" s="43">
        <f>IF($B705="","",N($L705)-N($AF705))</f>
        <v/>
      </c>
      <c r="AI705" s="149">
        <f>IF($B705="","",IF(N($L705)=0,"",(N($L705)-N($AF705))/N($L705)))</f>
        <v/>
      </c>
    </row>
    <row r="706">
      <c r="A706" s="39">
        <f>IF($B706="","",COUNTA($B$4:$B706))</f>
        <v/>
      </c>
      <c r="B706" s="40" t="n">
        <v>46110</v>
      </c>
      <c r="C706" s="41" t="n">
        <v>2457</v>
      </c>
      <c r="D706" s="41" t="inlineStr">
        <is>
          <t>رجب عبد العال خ</t>
        </is>
      </c>
      <c r="E706" s="41" t="inlineStr">
        <is>
          <t>1*20</t>
        </is>
      </c>
      <c r="F706" s="41" t="inlineStr">
        <is>
          <t xml:space="preserve">جيمستون </t>
        </is>
      </c>
      <c r="G706" s="41" t="inlineStr">
        <is>
          <t xml:space="preserve">انشاص </t>
        </is>
      </c>
      <c r="H706" s="41" t="inlineStr">
        <is>
          <t>237007/4</t>
        </is>
      </c>
      <c r="I706" s="41" t="inlineStr">
        <is>
          <t>ب ه ا 8734</t>
        </is>
      </c>
      <c r="J706" s="41" t="inlineStr">
        <is>
          <t xml:space="preserve">محمد عمران </t>
        </is>
      </c>
      <c r="K706" s="41" t="inlineStr">
        <is>
          <t>رومانى</t>
        </is>
      </c>
      <c r="L706" s="42" t="n">
        <v>14500</v>
      </c>
      <c r="M706" s="42" t="n">
        <v>8100</v>
      </c>
      <c r="N706" s="42" t="n"/>
      <c r="O706" s="42" t="n">
        <v>200</v>
      </c>
      <c r="P706" s="42" t="n"/>
      <c r="Q706" s="42" t="n">
        <v>6200</v>
      </c>
      <c r="R706" s="43">
        <f>IF($B706="","",N($S706)-N($Q706))</f>
        <v/>
      </c>
      <c r="S706" s="43">
        <f>IF($B706="","",N($L706)+N($N706)+N($P706))</f>
        <v/>
      </c>
      <c r="T706" s="42" t="n"/>
      <c r="U706" s="42" t="n"/>
      <c r="V706" s="42" t="n"/>
      <c r="W706" s="42" t="n"/>
      <c r="X706" s="42" t="n"/>
      <c r="Y706" s="42" t="n"/>
      <c r="Z706" s="42" t="n"/>
      <c r="AA706" s="42" t="n"/>
      <c r="AB706" s="42" t="n"/>
      <c r="AC706" s="42" t="n"/>
      <c r="AD706" s="42" t="n"/>
      <c r="AE706" s="42" t="n"/>
      <c r="AF706" s="43">
        <f>IF($B706="","",SUM($T706:$AE706))</f>
        <v/>
      </c>
      <c r="AG706" s="43">
        <f>IF($B706="","",N($M706)-N($AF706))</f>
        <v/>
      </c>
      <c r="AH706" s="43">
        <f>IF($B706="","",N($L706)-N($AF706))</f>
        <v/>
      </c>
      <c r="AI706" s="149">
        <f>IF($B706="","",IF(N($L706)=0,"",(N($L706)-N($AF706))/N($L706)))</f>
        <v/>
      </c>
    </row>
    <row r="707">
      <c r="A707" s="39">
        <f>IF($B707="","",COUNTA($B$4:$B707))</f>
        <v/>
      </c>
      <c r="B707" s="45" t="n">
        <v>46110</v>
      </c>
      <c r="C707" s="46" t="n">
        <v>2501</v>
      </c>
      <c r="D707" s="46" t="inlineStr">
        <is>
          <t xml:space="preserve">احمد سرور </t>
        </is>
      </c>
      <c r="E707" s="46" t="inlineStr">
        <is>
          <t>1*40</t>
        </is>
      </c>
      <c r="F707" s="46" t="inlineStr">
        <is>
          <t xml:space="preserve">السويدى بوليمرز </t>
        </is>
      </c>
      <c r="G707" s="46" t="inlineStr">
        <is>
          <t>العاشر</t>
        </is>
      </c>
      <c r="H707" s="46" t="inlineStr">
        <is>
          <t>571094/6</t>
        </is>
      </c>
      <c r="I707" s="46" t="inlineStr">
        <is>
          <t>س ع ن 5352</t>
        </is>
      </c>
      <c r="J707" s="46" t="inlineStr">
        <is>
          <t xml:space="preserve">هشام فؤاد </t>
        </is>
      </c>
      <c r="K707" s="46" t="inlineStr">
        <is>
          <t xml:space="preserve">بلاك هورس </t>
        </is>
      </c>
      <c r="L707" s="47" t="n">
        <v>16000</v>
      </c>
      <c r="M707" s="47" t="n">
        <v>8100</v>
      </c>
      <c r="N707" s="47" t="n"/>
      <c r="O707" s="47" t="n">
        <v>200</v>
      </c>
      <c r="P707" s="47" t="n"/>
      <c r="Q707" s="47" t="n">
        <v>7700</v>
      </c>
      <c r="R707" s="43">
        <f>IF($B707="","",N($S707)-N($Q707))</f>
        <v/>
      </c>
      <c r="S707" s="43">
        <f>IF($B707="","",N($L707)+N($N707)+N($P707))</f>
        <v/>
      </c>
      <c r="T707" s="47" t="n"/>
      <c r="U707" s="47" t="n"/>
      <c r="V707" s="47" t="n"/>
      <c r="W707" s="47" t="n"/>
      <c r="X707" s="47" t="n"/>
      <c r="Y707" s="47" t="n"/>
      <c r="Z707" s="47" t="n"/>
      <c r="AA707" s="47" t="n"/>
      <c r="AB707" s="47" t="n"/>
      <c r="AC707" s="47" t="n"/>
      <c r="AD707" s="47" t="n"/>
      <c r="AE707" s="47" t="n"/>
      <c r="AF707" s="43">
        <f>IF($B707="","",SUM($T707:$AE707))</f>
        <v/>
      </c>
      <c r="AG707" s="43">
        <f>IF($B707="","",N($M707)-N($AF707))</f>
        <v/>
      </c>
      <c r="AH707" s="43">
        <f>IF($B707="","",N($L707)-N($AF707))</f>
        <v/>
      </c>
      <c r="AI707" s="149">
        <f>IF($B707="","",IF(N($L707)=0,"",(N($L707)-N($AF707))/N($L707)))</f>
        <v/>
      </c>
    </row>
    <row r="708">
      <c r="A708" s="39">
        <f>IF($B708="","",COUNTA($B$4:$B708))</f>
        <v/>
      </c>
      <c r="B708" s="40" t="n">
        <v>46110</v>
      </c>
      <c r="C708" s="41" t="n">
        <v>2504</v>
      </c>
      <c r="D708" s="41" t="inlineStr">
        <is>
          <t>صعيدى 2 خ</t>
        </is>
      </c>
      <c r="E708" s="41" t="inlineStr">
        <is>
          <t>1*40</t>
        </is>
      </c>
      <c r="F708" s="41" t="inlineStr">
        <is>
          <t xml:space="preserve">السويدى بوليمرز </t>
        </is>
      </c>
      <c r="G708" s="41" t="inlineStr">
        <is>
          <t xml:space="preserve">العاشر </t>
        </is>
      </c>
      <c r="H708" s="41" t="inlineStr">
        <is>
          <t>936724/4</t>
        </is>
      </c>
      <c r="I708" s="41" t="inlineStr">
        <is>
          <t>س ر ا 9611</t>
        </is>
      </c>
      <c r="J708" s="41" t="inlineStr">
        <is>
          <t xml:space="preserve">ياسر محمد </t>
        </is>
      </c>
      <c r="K708" s="41" t="inlineStr">
        <is>
          <t xml:space="preserve">محمد الصعيدى </t>
        </is>
      </c>
      <c r="L708" s="42" t="n">
        <v>16000</v>
      </c>
      <c r="M708" s="42" t="n">
        <v>8100</v>
      </c>
      <c r="N708" s="42" t="n"/>
      <c r="O708" s="42" t="n">
        <v>200</v>
      </c>
      <c r="P708" s="42" t="n"/>
      <c r="Q708" s="42" t="n">
        <v>7700</v>
      </c>
      <c r="R708" s="43">
        <f>IF($B708="","",N($S708)-N($Q708))</f>
        <v/>
      </c>
      <c r="S708" s="43">
        <f>IF($B708="","",N($L708)+N($N708)+N($P708))</f>
        <v/>
      </c>
      <c r="T708" s="42" t="n"/>
      <c r="U708" s="42" t="n"/>
      <c r="V708" s="42" t="n"/>
      <c r="W708" s="42" t="n"/>
      <c r="X708" s="42" t="n"/>
      <c r="Y708" s="42" t="n"/>
      <c r="Z708" s="42" t="n"/>
      <c r="AA708" s="42" t="n"/>
      <c r="AB708" s="42" t="n"/>
      <c r="AC708" s="42" t="n"/>
      <c r="AD708" s="42" t="n"/>
      <c r="AE708" s="42" t="n"/>
      <c r="AF708" s="43">
        <f>IF($B708="","",SUM($T708:$AE708))</f>
        <v/>
      </c>
      <c r="AG708" s="43">
        <f>IF($B708="","",N($M708)-N($AF708))</f>
        <v/>
      </c>
      <c r="AH708" s="43">
        <f>IF($B708="","",N($L708)-N($AF708))</f>
        <v/>
      </c>
      <c r="AI708" s="149">
        <f>IF($B708="","",IF(N($L708)=0,"",(N($L708)-N($AF708))/N($L708)))</f>
        <v/>
      </c>
    </row>
    <row r="709">
      <c r="A709" s="39">
        <f>IF($B709="","",COUNTA($B$4:$B709))</f>
        <v/>
      </c>
      <c r="B709" s="45" t="n">
        <v>46110</v>
      </c>
      <c r="C709" s="46" t="n">
        <v>2502</v>
      </c>
      <c r="D709" s="46" t="inlineStr">
        <is>
          <t>صعيدى 2 خ</t>
        </is>
      </c>
      <c r="E709" s="46" t="inlineStr">
        <is>
          <t>1*40</t>
        </is>
      </c>
      <c r="F709" s="46" t="inlineStr">
        <is>
          <t xml:space="preserve">السويدى بوليمرز </t>
        </is>
      </c>
      <c r="G709" s="46" t="inlineStr">
        <is>
          <t>العاشر</t>
        </is>
      </c>
      <c r="H709" s="46" t="inlineStr">
        <is>
          <t>401571/9</t>
        </is>
      </c>
      <c r="I709" s="46" t="inlineStr">
        <is>
          <t>س ن ف 1927</t>
        </is>
      </c>
      <c r="J709" s="46" t="inlineStr">
        <is>
          <t xml:space="preserve">وليد زيزو </t>
        </is>
      </c>
      <c r="K709" s="46" t="inlineStr">
        <is>
          <t xml:space="preserve">محمد الصعيدى </t>
        </is>
      </c>
      <c r="L709" s="47" t="n">
        <v>16000</v>
      </c>
      <c r="M709" s="47" t="n">
        <v>8100</v>
      </c>
      <c r="N709" s="47" t="n"/>
      <c r="O709" s="47" t="n">
        <v>200</v>
      </c>
      <c r="P709" s="47" t="n"/>
      <c r="Q709" s="47" t="n">
        <v>7700</v>
      </c>
      <c r="R709" s="43">
        <f>IF($B709="","",N($S709)-N($Q709))</f>
        <v/>
      </c>
      <c r="S709" s="43">
        <f>IF($B709="","",N($L709)+N($N709)+N($P709))</f>
        <v/>
      </c>
      <c r="T709" s="47" t="n"/>
      <c r="U709" s="47" t="n"/>
      <c r="V709" s="47" t="n"/>
      <c r="W709" s="47" t="n"/>
      <c r="X709" s="47" t="n"/>
      <c r="Y709" s="47" t="n"/>
      <c r="Z709" s="47" t="n"/>
      <c r="AA709" s="47" t="n"/>
      <c r="AB709" s="47" t="n"/>
      <c r="AC709" s="47" t="n"/>
      <c r="AD709" s="47" t="n"/>
      <c r="AE709" s="47" t="n"/>
      <c r="AF709" s="43">
        <f>IF($B709="","",SUM($T709:$AE709))</f>
        <v/>
      </c>
      <c r="AG709" s="43">
        <f>IF($B709="","",N($M709)-N($AF709))</f>
        <v/>
      </c>
      <c r="AH709" s="43">
        <f>IF($B709="","",N($L709)-N($AF709))</f>
        <v/>
      </c>
      <c r="AI709" s="149">
        <f>IF($B709="","",IF(N($L709)=0,"",(N($L709)-N($AF709))/N($L709)))</f>
        <v/>
      </c>
    </row>
    <row r="710">
      <c r="A710" s="39">
        <f>IF($B710="","",COUNTA($B$4:$B710))</f>
        <v/>
      </c>
      <c r="B710" s="40" t="n">
        <v>46111</v>
      </c>
      <c r="C710" s="41" t="n">
        <v>2458</v>
      </c>
      <c r="D710" s="41" t="inlineStr">
        <is>
          <t>حريقة</t>
        </is>
      </c>
      <c r="E710" s="41" t="inlineStr">
        <is>
          <t>1*40</t>
        </is>
      </c>
      <c r="F710" s="41" t="inlineStr">
        <is>
          <t xml:space="preserve">السويدى بوليمرز </t>
        </is>
      </c>
      <c r="G710" s="41" t="inlineStr">
        <is>
          <t xml:space="preserve">العاشر </t>
        </is>
      </c>
      <c r="H710" s="41" t="inlineStr">
        <is>
          <t>734863/3</t>
        </is>
      </c>
      <c r="I710" s="41" t="inlineStr">
        <is>
          <t>س ع ه 9535</t>
        </is>
      </c>
      <c r="J710" s="41" t="inlineStr">
        <is>
          <t xml:space="preserve">حسن جمال </t>
        </is>
      </c>
      <c r="K710" s="41" t="inlineStr">
        <is>
          <t xml:space="preserve">الرحمة </t>
        </is>
      </c>
      <c r="L710" s="42" t="n">
        <v>16000</v>
      </c>
      <c r="M710" s="42" t="n">
        <v>8100</v>
      </c>
      <c r="N710" s="42" t="n">
        <v>2500</v>
      </c>
      <c r="O710" s="42" t="n">
        <v>200</v>
      </c>
      <c r="P710" s="42" t="n"/>
      <c r="Q710" s="42" t="n">
        <v>5200</v>
      </c>
      <c r="R710" s="43">
        <f>IF($B710="","",N($S710)-N($Q710))</f>
        <v/>
      </c>
      <c r="S710" s="43">
        <f>IF($B710="","",N($L710)+N($N710)+N($P710))</f>
        <v/>
      </c>
      <c r="T710" s="42" t="n"/>
      <c r="U710" s="42" t="n"/>
      <c r="V710" s="42" t="n"/>
      <c r="W710" s="42" t="n"/>
      <c r="X710" s="42" t="n"/>
      <c r="Y710" s="42" t="n"/>
      <c r="Z710" s="42" t="n"/>
      <c r="AA710" s="42" t="n"/>
      <c r="AB710" s="42" t="n"/>
      <c r="AC710" s="42" t="n"/>
      <c r="AD710" s="42" t="n"/>
      <c r="AE710" s="42" t="n"/>
      <c r="AF710" s="43">
        <f>IF($B710="","",SUM($T710:$AE710))</f>
        <v/>
      </c>
      <c r="AG710" s="43">
        <f>IF($B710="","",N($M710)-N($AF710))</f>
        <v/>
      </c>
      <c r="AH710" s="43">
        <f>IF($B710="","",N($L710)-N($AF710))</f>
        <v/>
      </c>
      <c r="AI710" s="149">
        <f>IF($B710="","",IF(N($L710)=0,"",(N($L710)-N($AF710))/N($L710)))</f>
        <v/>
      </c>
    </row>
    <row r="711">
      <c r="A711" s="39">
        <f>IF($B711="","",COUNTA($B$4:$B711))</f>
        <v/>
      </c>
      <c r="B711" s="45" t="n">
        <v>46111</v>
      </c>
      <c r="C711" s="46" t="n">
        <v>2388</v>
      </c>
      <c r="D711" s="46" t="inlineStr">
        <is>
          <t>ايوب</t>
        </is>
      </c>
      <c r="E711" s="46" t="inlineStr">
        <is>
          <t>1*20</t>
        </is>
      </c>
      <c r="F711" s="46" t="inlineStr">
        <is>
          <t xml:space="preserve">السويدى بوليمرز </t>
        </is>
      </c>
      <c r="G711" s="46" t="inlineStr">
        <is>
          <t xml:space="preserve">العاشر </t>
        </is>
      </c>
      <c r="H711" s="46" t="inlineStr">
        <is>
          <t>303531/5</t>
        </is>
      </c>
      <c r="I711" s="46" t="inlineStr">
        <is>
          <t>ب د ن 5863</t>
        </is>
      </c>
      <c r="J711" s="46" t="inlineStr">
        <is>
          <t xml:space="preserve">احمد السعيد </t>
        </is>
      </c>
      <c r="K711" s="46" t="inlineStr">
        <is>
          <t xml:space="preserve">ايوب </t>
        </is>
      </c>
      <c r="L711" s="47" t="n">
        <v>15000</v>
      </c>
      <c r="M711" s="47" t="n"/>
      <c r="N711" s="47" t="n">
        <v>2600</v>
      </c>
      <c r="O711" s="47" t="n">
        <v>300</v>
      </c>
      <c r="P711" s="47" t="n"/>
      <c r="Q711" s="47" t="n">
        <v>12100</v>
      </c>
      <c r="R711" s="43">
        <f>IF($B711="","",N($S711)-N($Q711))</f>
        <v/>
      </c>
      <c r="S711" s="43">
        <f>IF($B711="","",N($L711)+N($N711)+N($P711))</f>
        <v/>
      </c>
      <c r="T711" s="47" t="n"/>
      <c r="U711" s="47" t="n"/>
      <c r="V711" s="47" t="n"/>
      <c r="W711" s="47" t="n"/>
      <c r="X711" s="47" t="n"/>
      <c r="Y711" s="47" t="n"/>
      <c r="Z711" s="47" t="n"/>
      <c r="AA711" s="47" t="n"/>
      <c r="AB711" s="47" t="n"/>
      <c r="AC711" s="47" t="n"/>
      <c r="AD711" s="47" t="n"/>
      <c r="AE711" s="47" t="n"/>
      <c r="AF711" s="43">
        <f>IF($B711="","",SUM($T711:$AE711))</f>
        <v/>
      </c>
      <c r="AG711" s="43">
        <f>IF($B711="","",N($M711)-N($AF711))</f>
        <v/>
      </c>
      <c r="AH711" s="43">
        <f>IF($B711="","",N($L711)-N($AF711))</f>
        <v/>
      </c>
      <c r="AI711" s="149">
        <f>IF($B711="","",IF(N($L711)=0,"",(N($L711)-N($AF711))/N($L711)))</f>
        <v/>
      </c>
    </row>
    <row r="712">
      <c r="A712" s="39">
        <f>IF($B712="","",COUNTA($B$4:$B712))</f>
        <v/>
      </c>
      <c r="B712" s="40" t="n">
        <v>46111</v>
      </c>
      <c r="C712" s="41" t="n">
        <v>2387</v>
      </c>
      <c r="D712" s="41" t="inlineStr">
        <is>
          <t>الشريف خ</t>
        </is>
      </c>
      <c r="E712" s="41" t="inlineStr">
        <is>
          <t>2*20</t>
        </is>
      </c>
      <c r="F712" s="41" t="inlineStr">
        <is>
          <t xml:space="preserve">السويدى بوليمرز </t>
        </is>
      </c>
      <c r="G712" s="41" t="inlineStr">
        <is>
          <t xml:space="preserve">العاشر </t>
        </is>
      </c>
      <c r="H712" s="41" t="inlineStr">
        <is>
          <t>228077/9-225318/2</t>
        </is>
      </c>
      <c r="I712" s="41" t="inlineStr">
        <is>
          <t>ب ج ط 5138</t>
        </is>
      </c>
      <c r="J712" s="41" t="inlineStr">
        <is>
          <t xml:space="preserve">هانى النبيل </t>
        </is>
      </c>
      <c r="K712" s="41" t="inlineStr">
        <is>
          <t xml:space="preserve">اشرف الحجرى </t>
        </is>
      </c>
      <c r="L712" s="42" t="n">
        <v>20000</v>
      </c>
      <c r="M712" s="42" t="n">
        <v>12100</v>
      </c>
      <c r="N712" s="42" t="n"/>
      <c r="O712" s="42" t="n">
        <v>200</v>
      </c>
      <c r="P712" s="42" t="n"/>
      <c r="Q712" s="42" t="n">
        <v>7700</v>
      </c>
      <c r="R712" s="43">
        <f>IF($B712="","",N($S712)-N($Q712))</f>
        <v/>
      </c>
      <c r="S712" s="43">
        <f>IF($B712="","",N($L712)+N($N712)+N($P712))</f>
        <v/>
      </c>
      <c r="T712" s="42" t="n"/>
      <c r="U712" s="42" t="n"/>
      <c r="V712" s="42" t="n"/>
      <c r="W712" s="42" t="n"/>
      <c r="X712" s="42" t="n"/>
      <c r="Y712" s="42" t="n"/>
      <c r="Z712" s="42" t="n"/>
      <c r="AA712" s="42" t="n"/>
      <c r="AB712" s="42" t="n"/>
      <c r="AC712" s="42" t="n"/>
      <c r="AD712" s="42" t="n"/>
      <c r="AE712" s="42" t="n"/>
      <c r="AF712" s="43">
        <f>IF($B712="","",SUM($T712:$AE712))</f>
        <v/>
      </c>
      <c r="AG712" s="43">
        <f>IF($B712="","",N($M712)-N($AF712))</f>
        <v/>
      </c>
      <c r="AH712" s="43">
        <f>IF($B712="","",N($L712)-N($AF712))</f>
        <v/>
      </c>
      <c r="AI712" s="149">
        <f>IF($B712="","",IF(N($L712)=0,"",(N($L712)-N($AF712))/N($L712)))</f>
        <v/>
      </c>
    </row>
    <row r="713">
      <c r="A713" s="39">
        <f>IF($B713="","",COUNTA($B$4:$B713))</f>
        <v/>
      </c>
      <c r="B713" s="45" t="n">
        <v>46111</v>
      </c>
      <c r="C713" s="46" t="n">
        <v>2462</v>
      </c>
      <c r="D713" s="46" t="inlineStr">
        <is>
          <t>رجب عبد العال خ</t>
        </is>
      </c>
      <c r="E713" s="46" t="inlineStr">
        <is>
          <t>1*20</t>
        </is>
      </c>
      <c r="F713" s="46" t="inlineStr">
        <is>
          <t xml:space="preserve">فارم السويدى </t>
        </is>
      </c>
      <c r="G713" s="46" t="inlineStr">
        <is>
          <t xml:space="preserve">العاشر </t>
        </is>
      </c>
      <c r="H713" s="46" t="inlineStr">
        <is>
          <t>389953/8</t>
        </is>
      </c>
      <c r="I713" s="46" t="inlineStr">
        <is>
          <t>ب د ف 6342</t>
        </is>
      </c>
      <c r="J713" s="46" t="inlineStr">
        <is>
          <t xml:space="preserve">عبد الواحد </t>
        </is>
      </c>
      <c r="K713" s="46" t="inlineStr">
        <is>
          <t xml:space="preserve">صبحى الصعيدى </t>
        </is>
      </c>
      <c r="L713" s="47" t="n">
        <v>14500</v>
      </c>
      <c r="M713" s="47" t="n">
        <v>8100</v>
      </c>
      <c r="N713" s="47" t="n"/>
      <c r="O713" s="47" t="n">
        <v>200</v>
      </c>
      <c r="P713" s="47" t="n"/>
      <c r="Q713" s="47" t="n">
        <v>6200</v>
      </c>
      <c r="R713" s="43">
        <f>IF($B713="","",N($S713)-N($Q713))</f>
        <v/>
      </c>
      <c r="S713" s="43">
        <f>IF($B713="","",N($L713)+N($N713)+N($P713))</f>
        <v/>
      </c>
      <c r="T713" s="47" t="n"/>
      <c r="U713" s="47" t="n"/>
      <c r="V713" s="47" t="n"/>
      <c r="W713" s="47" t="n"/>
      <c r="X713" s="47" t="n"/>
      <c r="Y713" s="47" t="n"/>
      <c r="Z713" s="47" t="n"/>
      <c r="AA713" s="47" t="n"/>
      <c r="AB713" s="47" t="n"/>
      <c r="AC713" s="47" t="n"/>
      <c r="AD713" s="47" t="n"/>
      <c r="AE713" s="47" t="n"/>
      <c r="AF713" s="43">
        <f>IF($B713="","",SUM($T713:$AE713))</f>
        <v/>
      </c>
      <c r="AG713" s="43">
        <f>IF($B713="","",N($M713)-N($AF713))</f>
        <v/>
      </c>
      <c r="AH713" s="43">
        <f>IF($B713="","",N($L713)-N($AF713))</f>
        <v/>
      </c>
      <c r="AI713" s="149">
        <f>IF($B713="","",IF(N($L713)=0,"",(N($L713)-N($AF713))/N($L713)))</f>
        <v/>
      </c>
    </row>
    <row r="714">
      <c r="A714" s="39">
        <f>IF($B714="","",COUNTA($B$4:$B714))</f>
        <v/>
      </c>
      <c r="B714" s="40" t="n">
        <v>46111</v>
      </c>
      <c r="C714" s="41" t="n">
        <v>2461</v>
      </c>
      <c r="D714" s="41" t="inlineStr">
        <is>
          <t>الرومانى</t>
        </is>
      </c>
      <c r="E714" s="41" t="inlineStr">
        <is>
          <t>1*20</t>
        </is>
      </c>
      <c r="F714" s="41" t="inlineStr">
        <is>
          <t xml:space="preserve">كومبو هيوم </t>
        </is>
      </c>
      <c r="G714" s="41" t="inlineStr">
        <is>
          <t xml:space="preserve">السادات </t>
        </is>
      </c>
      <c r="H714" s="41" t="inlineStr">
        <is>
          <t>142308/2</t>
        </is>
      </c>
      <c r="I714" s="41" t="inlineStr">
        <is>
          <t>ب ف ر 3546</t>
        </is>
      </c>
      <c r="J714" s="41" t="inlineStr">
        <is>
          <t xml:space="preserve">ابراهيم محمد </t>
        </is>
      </c>
      <c r="K714" s="41" t="inlineStr">
        <is>
          <t>رومانى</t>
        </is>
      </c>
      <c r="L714" s="42" t="n">
        <v>10000</v>
      </c>
      <c r="M714" s="42" t="n">
        <v>7100</v>
      </c>
      <c r="N714" s="42" t="n"/>
      <c r="O714" s="42" t="n">
        <v>200</v>
      </c>
      <c r="P714" s="42" t="n"/>
      <c r="Q714" s="42" t="n">
        <v>2700</v>
      </c>
      <c r="R714" s="43">
        <f>IF($B714="","",N($S714)-N($Q714))</f>
        <v/>
      </c>
      <c r="S714" s="43">
        <f>IF($B714="","",N($L714)+N($N714)+N($P714))</f>
        <v/>
      </c>
      <c r="T714" s="42" t="n"/>
      <c r="U714" s="42" t="n"/>
      <c r="V714" s="42" t="n"/>
      <c r="W714" s="42" t="n"/>
      <c r="X714" s="42" t="n"/>
      <c r="Y714" s="42" t="n"/>
      <c r="Z714" s="42" t="n"/>
      <c r="AA714" s="42" t="n"/>
      <c r="AB714" s="42" t="n"/>
      <c r="AC714" s="42" t="n"/>
      <c r="AD714" s="42" t="n"/>
      <c r="AE714" s="42" t="n"/>
      <c r="AF714" s="43">
        <f>IF($B714="","",SUM($T714:$AE714))</f>
        <v/>
      </c>
      <c r="AG714" s="43">
        <f>IF($B714="","",N($M714)-N($AF714))</f>
        <v/>
      </c>
      <c r="AH714" s="43">
        <f>IF($B714="","",N($L714)-N($AF714))</f>
        <v/>
      </c>
      <c r="AI714" s="149">
        <f>IF($B714="","",IF(N($L714)=0,"",(N($L714)-N($AF714))/N($L714)))</f>
        <v/>
      </c>
    </row>
    <row r="715">
      <c r="A715" s="39">
        <f>IF($B715="","",COUNTA($B$4:$B715))</f>
        <v/>
      </c>
      <c r="B715" s="45" t="n">
        <v>46111</v>
      </c>
      <c r="C715" s="46" t="n">
        <v>2467</v>
      </c>
      <c r="D715" s="46" t="inlineStr">
        <is>
          <t>الانصارى خ</t>
        </is>
      </c>
      <c r="E715" s="46" t="inlineStr">
        <is>
          <t>1*20</t>
        </is>
      </c>
      <c r="F715" s="46" t="inlineStr">
        <is>
          <t xml:space="preserve">السويدى بوليمرز </t>
        </is>
      </c>
      <c r="G715" s="46" t="inlineStr">
        <is>
          <t xml:space="preserve">العاشر </t>
        </is>
      </c>
      <c r="H715" s="46" t="inlineStr">
        <is>
          <t>190015/3</t>
        </is>
      </c>
      <c r="I715" s="46" t="inlineStr">
        <is>
          <t>ب ص ا 2574</t>
        </is>
      </c>
      <c r="J715" s="46" t="inlineStr">
        <is>
          <t xml:space="preserve">محمد البحيرى </t>
        </is>
      </c>
      <c r="K715" s="46" t="inlineStr">
        <is>
          <t xml:space="preserve">احمد عادل </t>
        </is>
      </c>
      <c r="L715" s="47" t="n">
        <v>16000</v>
      </c>
      <c r="M715" s="47" t="n">
        <v>8100</v>
      </c>
      <c r="N715" s="47" t="n"/>
      <c r="O715" s="47" t="n">
        <v>200</v>
      </c>
      <c r="P715" s="47" t="n"/>
      <c r="Q715" s="47" t="n">
        <v>7700</v>
      </c>
      <c r="R715" s="43">
        <f>IF($B715="","",N($S715)-N($Q715))</f>
        <v/>
      </c>
      <c r="S715" s="43">
        <f>IF($B715="","",N($L715)+N($N715)+N($P715))</f>
        <v/>
      </c>
      <c r="T715" s="47" t="n"/>
      <c r="U715" s="47" t="n"/>
      <c r="V715" s="47" t="n"/>
      <c r="W715" s="47" t="n"/>
      <c r="X715" s="47" t="n"/>
      <c r="Y715" s="47" t="n"/>
      <c r="Z715" s="47" t="n"/>
      <c r="AA715" s="47" t="n"/>
      <c r="AB715" s="47" t="n"/>
      <c r="AC715" s="47" t="n"/>
      <c r="AD715" s="47" t="n"/>
      <c r="AE715" s="47" t="n"/>
      <c r="AF715" s="43">
        <f>IF($B715="","",SUM($T715:$AE715))</f>
        <v/>
      </c>
      <c r="AG715" s="43">
        <f>IF($B715="","",N($M715)-N($AF715))</f>
        <v/>
      </c>
      <c r="AH715" s="43">
        <f>IF($B715="","",N($L715)-N($AF715))</f>
        <v/>
      </c>
      <c r="AI715" s="149">
        <f>IF($B715="","",IF(N($L715)=0,"",(N($L715)-N($AF715))/N($L715)))</f>
        <v/>
      </c>
    </row>
    <row r="716">
      <c r="A716" s="39">
        <f>IF($B716="","",COUNTA($B$4:$B716))</f>
        <v/>
      </c>
      <c r="B716" s="40" t="n">
        <v>46111</v>
      </c>
      <c r="C716" s="41" t="n">
        <v>2466</v>
      </c>
      <c r="D716" s="41" t="inlineStr">
        <is>
          <t>صعيدى 2 خ</t>
        </is>
      </c>
      <c r="E716" s="41" t="inlineStr">
        <is>
          <t>1*40</t>
        </is>
      </c>
      <c r="F716" s="41" t="inlineStr">
        <is>
          <t xml:space="preserve">انتراكوا </t>
        </is>
      </c>
      <c r="G716" s="41" t="inlineStr">
        <is>
          <t xml:space="preserve">السادات </t>
        </is>
      </c>
      <c r="H716" s="41" t="inlineStr">
        <is>
          <t>936999/1</t>
        </is>
      </c>
      <c r="I716" s="41" t="inlineStr">
        <is>
          <t>س و ب 2689</t>
        </is>
      </c>
      <c r="J716" s="41" t="inlineStr">
        <is>
          <t xml:space="preserve">محمد السيد </t>
        </is>
      </c>
      <c r="K716" s="41" t="inlineStr">
        <is>
          <t xml:space="preserve">محمد الصعيدى </t>
        </is>
      </c>
      <c r="L716" s="42" t="n">
        <v>14800</v>
      </c>
      <c r="M716" s="42" t="n">
        <v>8100</v>
      </c>
      <c r="N716" s="42" t="n"/>
      <c r="O716" s="42" t="n">
        <v>200</v>
      </c>
      <c r="P716" s="42" t="n"/>
      <c r="Q716" s="42" t="n">
        <v>6500</v>
      </c>
      <c r="R716" s="43">
        <f>IF($B716="","",N($S716)-N($Q716))</f>
        <v/>
      </c>
      <c r="S716" s="43">
        <f>IF($B716="","",N($L716)+N($N716)+N($P716))</f>
        <v/>
      </c>
      <c r="T716" s="42" t="n"/>
      <c r="U716" s="42" t="n"/>
      <c r="V716" s="42" t="n"/>
      <c r="W716" s="42" t="n"/>
      <c r="X716" s="42" t="n"/>
      <c r="Y716" s="42" t="n"/>
      <c r="Z716" s="42" t="n"/>
      <c r="AA716" s="42" t="n"/>
      <c r="AB716" s="42" t="n"/>
      <c r="AC716" s="42" t="n"/>
      <c r="AD716" s="42" t="n"/>
      <c r="AE716" s="42" t="n"/>
      <c r="AF716" s="43">
        <f>IF($B716="","",SUM($T716:$AE716))</f>
        <v/>
      </c>
      <c r="AG716" s="43">
        <f>IF($B716="","",N($M716)-N($AF716))</f>
        <v/>
      </c>
      <c r="AH716" s="43">
        <f>IF($B716="","",N($L716)-N($AF716))</f>
        <v/>
      </c>
      <c r="AI716" s="149">
        <f>IF($B716="","",IF(N($L716)=0,"",(N($L716)-N($AF716))/N($L716)))</f>
        <v/>
      </c>
    </row>
    <row r="717">
      <c r="A717" s="39">
        <f>IF($B717="","",COUNTA($B$4:$B717))</f>
        <v/>
      </c>
      <c r="B717" s="45" t="n">
        <v>46111</v>
      </c>
      <c r="C717" s="46" t="n">
        <v>2465</v>
      </c>
      <c r="D717" s="46" t="inlineStr">
        <is>
          <t>صعيدى 2 خ</t>
        </is>
      </c>
      <c r="E717" s="46" t="inlineStr">
        <is>
          <t>1*40 ث</t>
        </is>
      </c>
      <c r="F717" s="46" t="inlineStr">
        <is>
          <t xml:space="preserve">انتراكوا </t>
        </is>
      </c>
      <c r="G717" s="46" t="inlineStr">
        <is>
          <t xml:space="preserve">السادات </t>
        </is>
      </c>
      <c r="H717" s="46" t="inlineStr">
        <is>
          <t>07891/4</t>
        </is>
      </c>
      <c r="I717" s="46" t="inlineStr">
        <is>
          <t>س ر ا 9611</t>
        </is>
      </c>
      <c r="J717" s="46" t="inlineStr">
        <is>
          <t xml:space="preserve">ياسر على </t>
        </is>
      </c>
      <c r="K717" s="46" t="inlineStr">
        <is>
          <t xml:space="preserve">محمد الصعيدى </t>
        </is>
      </c>
      <c r="L717" s="47" t="n">
        <v>14800</v>
      </c>
      <c r="M717" s="47" t="n">
        <v>8100</v>
      </c>
      <c r="N717" s="47" t="n"/>
      <c r="O717" s="47" t="n">
        <v>200</v>
      </c>
      <c r="P717" s="47" t="n"/>
      <c r="Q717" s="47" t="n">
        <v>6500</v>
      </c>
      <c r="R717" s="43">
        <f>IF($B717="","",N($S717)-N($Q717))</f>
        <v/>
      </c>
      <c r="S717" s="43">
        <f>IF($B717="","",N($L717)+N($N717)+N($P717))</f>
        <v/>
      </c>
      <c r="T717" s="47" t="n"/>
      <c r="U717" s="47" t="n"/>
      <c r="V717" s="47" t="n"/>
      <c r="W717" s="47" t="n"/>
      <c r="X717" s="47" t="n"/>
      <c r="Y717" s="47" t="n"/>
      <c r="Z717" s="47" t="n"/>
      <c r="AA717" s="47" t="n"/>
      <c r="AB717" s="47" t="n"/>
      <c r="AC717" s="47" t="n"/>
      <c r="AD717" s="47" t="n"/>
      <c r="AE717" s="47" t="n"/>
      <c r="AF717" s="43">
        <f>IF($B717="","",SUM($T717:$AE717))</f>
        <v/>
      </c>
      <c r="AG717" s="43">
        <f>IF($B717="","",N($M717)-N($AF717))</f>
        <v/>
      </c>
      <c r="AH717" s="43">
        <f>IF($B717="","",N($L717)-N($AF717))</f>
        <v/>
      </c>
      <c r="AI717" s="149">
        <f>IF($B717="","",IF(N($L717)=0,"",(N($L717)-N($AF717))/N($L717)))</f>
        <v/>
      </c>
    </row>
    <row r="718">
      <c r="A718" s="39">
        <f>IF($B718="","",COUNTA($B$4:$B718))</f>
        <v/>
      </c>
      <c r="B718" s="40" t="n">
        <v>46111</v>
      </c>
      <c r="C718" s="41" t="n">
        <v>2464</v>
      </c>
      <c r="D718" s="41" t="inlineStr">
        <is>
          <t xml:space="preserve">كمال رزق </t>
        </is>
      </c>
      <c r="E718" s="41" t="inlineStr">
        <is>
          <t>1*40 ث</t>
        </is>
      </c>
      <c r="F718" s="41" t="inlineStr">
        <is>
          <t xml:space="preserve">انتراكوا </t>
        </is>
      </c>
      <c r="G718" s="41" t="inlineStr">
        <is>
          <t xml:space="preserve">السادات </t>
        </is>
      </c>
      <c r="H718" s="41" t="inlineStr">
        <is>
          <t>119440/2</t>
        </is>
      </c>
      <c r="I718" s="41" t="inlineStr">
        <is>
          <t>س ن ر 8979</t>
        </is>
      </c>
      <c r="J718" s="41" t="inlineStr">
        <is>
          <t xml:space="preserve">عماد سعيد </t>
        </is>
      </c>
      <c r="K718" s="41" t="inlineStr">
        <is>
          <t xml:space="preserve">عماد سعيد </t>
        </is>
      </c>
      <c r="L718" s="42" t="n">
        <v>16500</v>
      </c>
      <c r="M718" s="42" t="n">
        <v>8100</v>
      </c>
      <c r="N718" s="42" t="n"/>
      <c r="O718" s="42" t="n">
        <v>200</v>
      </c>
      <c r="P718" s="42" t="n"/>
      <c r="Q718" s="42" t="n">
        <v>8200</v>
      </c>
      <c r="R718" s="43">
        <f>IF($B718="","",N($S718)-N($Q718))</f>
        <v/>
      </c>
      <c r="S718" s="43">
        <f>IF($B718="","",N($L718)+N($N718)+N($P718))</f>
        <v/>
      </c>
      <c r="T718" s="42" t="n"/>
      <c r="U718" s="42" t="n"/>
      <c r="V718" s="42" t="n"/>
      <c r="W718" s="42" t="n"/>
      <c r="X718" s="42" t="n"/>
      <c r="Y718" s="42" t="n"/>
      <c r="Z718" s="42" t="n"/>
      <c r="AA718" s="42" t="n"/>
      <c r="AB718" s="42" t="n"/>
      <c r="AC718" s="42" t="n"/>
      <c r="AD718" s="42" t="n"/>
      <c r="AE718" s="42" t="n"/>
      <c r="AF718" s="43">
        <f>IF($B718="","",SUM($T718:$AE718))</f>
        <v/>
      </c>
      <c r="AG718" s="43">
        <f>IF($B718="","",N($M718)-N($AF718))</f>
        <v/>
      </c>
      <c r="AH718" s="43">
        <f>IF($B718="","",N($L718)-N($AF718))</f>
        <v/>
      </c>
      <c r="AI718" s="149">
        <f>IF($B718="","",IF(N($L718)=0,"",(N($L718)-N($AF718))/N($L718)))</f>
        <v/>
      </c>
    </row>
    <row r="719">
      <c r="A719" s="39">
        <f>IF($B719="","",COUNTA($B$4:$B719))</f>
        <v/>
      </c>
      <c r="B719" s="45" t="n">
        <v>46111</v>
      </c>
      <c r="C719" s="46" t="n">
        <v>2463</v>
      </c>
      <c r="D719" s="46" t="inlineStr">
        <is>
          <t xml:space="preserve">محمد يحى </t>
        </is>
      </c>
      <c r="E719" s="46" t="inlineStr">
        <is>
          <t>1*40 ث</t>
        </is>
      </c>
      <c r="F719" s="46" t="inlineStr">
        <is>
          <t xml:space="preserve">انتراكوا </t>
        </is>
      </c>
      <c r="G719" s="46" t="inlineStr">
        <is>
          <t xml:space="preserve">السادات </t>
        </is>
      </c>
      <c r="H719" s="46" t="inlineStr">
        <is>
          <t>983193/9</t>
        </is>
      </c>
      <c r="I719" s="46" t="inlineStr">
        <is>
          <t>س ر ا 6671</t>
        </is>
      </c>
      <c r="J719" s="46" t="inlineStr">
        <is>
          <t xml:space="preserve">السيد مرسى </t>
        </is>
      </c>
      <c r="K719" s="46" t="inlineStr">
        <is>
          <t xml:space="preserve">حمو مرزوق </t>
        </is>
      </c>
      <c r="L719" s="47" t="n">
        <v>14800</v>
      </c>
      <c r="M719" s="47" t="n">
        <v>8100</v>
      </c>
      <c r="N719" s="47" t="n"/>
      <c r="O719" s="47" t="n">
        <v>200</v>
      </c>
      <c r="P719" s="47" t="n"/>
      <c r="Q719" s="47" t="n">
        <v>6500</v>
      </c>
      <c r="R719" s="43">
        <f>IF($B719="","",N($S719)-N($Q719))</f>
        <v/>
      </c>
      <c r="S719" s="43">
        <f>IF($B719="","",N($L719)+N($N719)+N($P719))</f>
        <v/>
      </c>
      <c r="T719" s="47" t="n"/>
      <c r="U719" s="47" t="n"/>
      <c r="V719" s="47" t="n"/>
      <c r="W719" s="47" t="n"/>
      <c r="X719" s="47" t="n"/>
      <c r="Y719" s="47" t="n"/>
      <c r="Z719" s="47" t="n"/>
      <c r="AA719" s="47" t="n"/>
      <c r="AB719" s="47" t="n"/>
      <c r="AC719" s="47" t="n"/>
      <c r="AD719" s="47" t="n"/>
      <c r="AE719" s="47" t="n"/>
      <c r="AF719" s="43">
        <f>IF($B719="","",SUM($T719:$AE719))</f>
        <v/>
      </c>
      <c r="AG719" s="43">
        <f>IF($B719="","",N($M719)-N($AF719))</f>
        <v/>
      </c>
      <c r="AH719" s="43">
        <f>IF($B719="","",N($L719)-N($AF719))</f>
        <v/>
      </c>
      <c r="AI719" s="149">
        <f>IF($B719="","",IF(N($L719)=0,"",(N($L719)-N($AF719))/N($L719)))</f>
        <v/>
      </c>
    </row>
    <row r="720">
      <c r="A720" s="39">
        <f>IF($B720="","",COUNTA($B$4:$B720))</f>
        <v/>
      </c>
      <c r="B720" s="40" t="n">
        <v>46111</v>
      </c>
      <c r="C720" s="41" t="n">
        <v>2460</v>
      </c>
      <c r="D720" s="41" t="inlineStr">
        <is>
          <t>الدهشان</t>
        </is>
      </c>
      <c r="E720" s="41" t="inlineStr">
        <is>
          <t>1*40 ث</t>
        </is>
      </c>
      <c r="F720" s="41" t="n"/>
      <c r="G720" s="41" t="inlineStr">
        <is>
          <t xml:space="preserve">القناطر </t>
        </is>
      </c>
      <c r="H720" s="41" t="inlineStr">
        <is>
          <t>554471/4</t>
        </is>
      </c>
      <c r="I720" s="41" t="inlineStr">
        <is>
          <t>س ل ب 5917</t>
        </is>
      </c>
      <c r="J720" s="41" t="inlineStr">
        <is>
          <t xml:space="preserve">محمد ابراهيم </t>
        </is>
      </c>
      <c r="K720" s="41" t="inlineStr">
        <is>
          <t xml:space="preserve">علاء علام </t>
        </is>
      </c>
      <c r="L720" s="42" t="n">
        <v>16500</v>
      </c>
      <c r="M720" s="42" t="n">
        <v>8100</v>
      </c>
      <c r="N720" s="42" t="n"/>
      <c r="O720" s="42" t="n">
        <v>200</v>
      </c>
      <c r="P720" s="42" t="n"/>
      <c r="Q720" s="42" t="n">
        <v>8200</v>
      </c>
      <c r="R720" s="43">
        <f>IF($B720="","",N($S720)-N($Q720))</f>
        <v/>
      </c>
      <c r="S720" s="43">
        <f>IF($B720="","",N($L720)+N($N720)+N($P720))</f>
        <v/>
      </c>
      <c r="T720" s="42" t="n"/>
      <c r="U720" s="42" t="n"/>
      <c r="V720" s="42" t="n"/>
      <c r="W720" s="42" t="n"/>
      <c r="X720" s="42" t="n"/>
      <c r="Y720" s="42" t="n"/>
      <c r="Z720" s="42" t="n"/>
      <c r="AA720" s="42" t="n"/>
      <c r="AB720" s="42" t="n"/>
      <c r="AC720" s="42" t="n"/>
      <c r="AD720" s="42" t="n"/>
      <c r="AE720" s="42" t="n"/>
      <c r="AF720" s="43">
        <f>IF($B720="","",SUM($T720:$AE720))</f>
        <v/>
      </c>
      <c r="AG720" s="43">
        <f>IF($B720="","",N($M720)-N($AF720))</f>
        <v/>
      </c>
      <c r="AH720" s="43">
        <f>IF($B720="","",N($L720)-N($AF720))</f>
        <v/>
      </c>
      <c r="AI720" s="149">
        <f>IF($B720="","",IF(N($L720)=0,"",(N($L720)-N($AF720))/N($L720)))</f>
        <v/>
      </c>
    </row>
    <row r="721">
      <c r="A721" s="39">
        <f>IF($B721="","",COUNTA($B$4:$B721))</f>
        <v/>
      </c>
      <c r="B721" s="45" t="n">
        <v>46111</v>
      </c>
      <c r="C721" s="46" t="n">
        <v>2459</v>
      </c>
      <c r="D721" s="46" t="inlineStr">
        <is>
          <t xml:space="preserve">محمد يحى </t>
        </is>
      </c>
      <c r="E721" s="46" t="inlineStr">
        <is>
          <t>1*40 ث</t>
        </is>
      </c>
      <c r="F721" s="46" t="inlineStr">
        <is>
          <t xml:space="preserve">انتراكوا </t>
        </is>
      </c>
      <c r="G721" s="46" t="inlineStr">
        <is>
          <t xml:space="preserve">السادات </t>
        </is>
      </c>
      <c r="H721" s="46" t="inlineStr">
        <is>
          <t>909627/0</t>
        </is>
      </c>
      <c r="I721" s="46" t="inlineStr">
        <is>
          <t>ط ف ر 1474</t>
        </is>
      </c>
      <c r="J721" s="46" t="inlineStr">
        <is>
          <t xml:space="preserve">جمال على </t>
        </is>
      </c>
      <c r="K721" s="46" t="inlineStr">
        <is>
          <t xml:space="preserve">كريم خليف </t>
        </is>
      </c>
      <c r="L721" s="47" t="n">
        <v>16500</v>
      </c>
      <c r="M721" s="47" t="n">
        <v>8100</v>
      </c>
      <c r="N721" s="47" t="n"/>
      <c r="O721" s="47" t="n">
        <v>200</v>
      </c>
      <c r="P721" s="47" t="n"/>
      <c r="Q721" s="47" t="n">
        <v>8200</v>
      </c>
      <c r="R721" s="43">
        <f>IF($B721="","",N($S721)-N($Q721))</f>
        <v/>
      </c>
      <c r="S721" s="43">
        <f>IF($B721="","",N($L721)+N($N721)+N($P721))</f>
        <v/>
      </c>
      <c r="T721" s="47" t="n"/>
      <c r="U721" s="47" t="n"/>
      <c r="V721" s="47" t="n"/>
      <c r="W721" s="47" t="n"/>
      <c r="X721" s="47" t="n"/>
      <c r="Y721" s="47" t="n"/>
      <c r="Z721" s="47" t="n"/>
      <c r="AA721" s="47" t="n"/>
      <c r="AB721" s="47" t="n"/>
      <c r="AC721" s="47" t="n"/>
      <c r="AD721" s="47" t="n"/>
      <c r="AE721" s="47" t="n"/>
      <c r="AF721" s="43">
        <f>IF($B721="","",SUM($T721:$AE721))</f>
        <v/>
      </c>
      <c r="AG721" s="43">
        <f>IF($B721="","",N($M721)-N($AF721))</f>
        <v/>
      </c>
      <c r="AH721" s="43">
        <f>IF($B721="","",N($L721)-N($AF721))</f>
        <v/>
      </c>
      <c r="AI721" s="149">
        <f>IF($B721="","",IF(N($L721)=0,"",(N($L721)-N($AF721))/N($L721)))</f>
        <v/>
      </c>
    </row>
    <row r="722">
      <c r="A722" s="39">
        <f>IF($B722="","",COUNTA($B$4:$B722))</f>
        <v/>
      </c>
      <c r="B722" s="40" t="n">
        <v>46113</v>
      </c>
      <c r="C722" s="41" t="n">
        <v>2414</v>
      </c>
      <c r="D722" s="41" t="inlineStr">
        <is>
          <t>رجب عبد العال خ</t>
        </is>
      </c>
      <c r="E722" s="41" t="inlineStr">
        <is>
          <t>1*40</t>
        </is>
      </c>
      <c r="F722" s="41" t="inlineStr">
        <is>
          <t xml:space="preserve">اورينت </t>
        </is>
      </c>
      <c r="G722" s="41" t="inlineStr">
        <is>
          <t xml:space="preserve">العاشر </t>
        </is>
      </c>
      <c r="H722" s="41" t="inlineStr">
        <is>
          <t>510267/7</t>
        </is>
      </c>
      <c r="I722" s="41" t="inlineStr">
        <is>
          <t>س ل ى 8432</t>
        </is>
      </c>
      <c r="J722" s="41" t="inlineStr">
        <is>
          <t xml:space="preserve">احمد عادل </t>
        </is>
      </c>
      <c r="K722" s="41" t="inlineStr">
        <is>
          <t>الجمل</t>
        </is>
      </c>
      <c r="L722" s="42" t="n">
        <v>15000</v>
      </c>
      <c r="M722" s="42" t="n">
        <v>9100</v>
      </c>
      <c r="N722" s="42" t="n"/>
      <c r="O722" s="42" t="n">
        <v>200</v>
      </c>
      <c r="P722" s="42" t="n"/>
      <c r="Q722" s="42" t="n">
        <v>5700</v>
      </c>
      <c r="R722" s="43">
        <f>IF($B722="","",N($S722)-N($Q722))</f>
        <v/>
      </c>
      <c r="S722" s="43">
        <f>IF($B722="","",N($L722)+N($N722)+N($P722))</f>
        <v/>
      </c>
      <c r="T722" s="42" t="n"/>
      <c r="U722" s="42" t="n"/>
      <c r="V722" s="42" t="n"/>
      <c r="W722" s="42" t="n"/>
      <c r="X722" s="42" t="n"/>
      <c r="Y722" s="42" t="n"/>
      <c r="Z722" s="42" t="n"/>
      <c r="AA722" s="42" t="n"/>
      <c r="AB722" s="42" t="n"/>
      <c r="AC722" s="42" t="n"/>
      <c r="AD722" s="42" t="n"/>
      <c r="AE722" s="42" t="n"/>
      <c r="AF722" s="43">
        <f>IF($B722="","",SUM($T722:$AE722))</f>
        <v/>
      </c>
      <c r="AG722" s="43">
        <f>IF($B722="","",N($M722)-N($AF722))</f>
        <v/>
      </c>
      <c r="AH722" s="43">
        <f>IF($B722="","",N($L722)-N($AF722))</f>
        <v/>
      </c>
      <c r="AI722" s="149">
        <f>IF($B722="","",IF(N($L722)=0,"",(N($L722)-N($AF722))/N($L722)))</f>
        <v/>
      </c>
    </row>
    <row r="723">
      <c r="A723" s="39">
        <f>IF($B723="","",COUNTA($B$4:$B723))</f>
        <v/>
      </c>
      <c r="B723" s="45" t="n">
        <v>46113</v>
      </c>
      <c r="C723" s="46" t="n">
        <v>2412</v>
      </c>
      <c r="D723" s="46" t="inlineStr">
        <is>
          <t xml:space="preserve">احمد محسن </t>
        </is>
      </c>
      <c r="E723" s="46" t="inlineStr">
        <is>
          <t>1*40</t>
        </is>
      </c>
      <c r="F723" s="46" t="inlineStr">
        <is>
          <t xml:space="preserve">اورينت </t>
        </is>
      </c>
      <c r="G723" s="46" t="inlineStr">
        <is>
          <t xml:space="preserve">العاشر </t>
        </is>
      </c>
      <c r="H723" s="46" t="inlineStr">
        <is>
          <t>859067/1</t>
        </is>
      </c>
      <c r="I723" s="46" t="inlineStr">
        <is>
          <t>س ه ف 1387</t>
        </is>
      </c>
      <c r="J723" s="46" t="inlineStr">
        <is>
          <t xml:space="preserve">ابراهيم محمود </t>
        </is>
      </c>
      <c r="K723" s="46" t="inlineStr">
        <is>
          <t xml:space="preserve">احمد محسن </t>
        </is>
      </c>
      <c r="L723" s="47" t="n">
        <v>15000</v>
      </c>
      <c r="M723" s="47" t="n">
        <v>8100</v>
      </c>
      <c r="N723" s="47" t="n"/>
      <c r="O723" s="47" t="n">
        <v>200</v>
      </c>
      <c r="P723" s="47" t="n"/>
      <c r="Q723" s="47" t="n">
        <v>6700</v>
      </c>
      <c r="R723" s="43">
        <f>IF($B723="","",N($S723)-N($Q723))</f>
        <v/>
      </c>
      <c r="S723" s="43">
        <f>IF($B723="","",N($L723)+N($N723)+N($P723))</f>
        <v/>
      </c>
      <c r="T723" s="47" t="n"/>
      <c r="U723" s="47" t="n"/>
      <c r="V723" s="47" t="n"/>
      <c r="W723" s="47" t="n"/>
      <c r="X723" s="47" t="n"/>
      <c r="Y723" s="47" t="n"/>
      <c r="Z723" s="47" t="n"/>
      <c r="AA723" s="47" t="n"/>
      <c r="AB723" s="47" t="n"/>
      <c r="AC723" s="47" t="n"/>
      <c r="AD723" s="47" t="n"/>
      <c r="AE723" s="47" t="n"/>
      <c r="AF723" s="43">
        <f>IF($B723="","",SUM($T723:$AE723))</f>
        <v/>
      </c>
      <c r="AG723" s="43">
        <f>IF($B723="","",N($M723)-N($AF723))</f>
        <v/>
      </c>
      <c r="AH723" s="43">
        <f>IF($B723="","",N($L723)-N($AF723))</f>
        <v/>
      </c>
      <c r="AI723" s="149">
        <f>IF($B723="","",IF(N($L723)=0,"",(N($L723)-N($AF723))/N($L723)))</f>
        <v/>
      </c>
    </row>
    <row r="724">
      <c r="A724" s="39">
        <f>IF($B724="","",COUNTA($B$4:$B724))</f>
        <v/>
      </c>
      <c r="B724" s="40" t="n">
        <v>46113</v>
      </c>
      <c r="C724" s="41" t="n">
        <v>2411</v>
      </c>
      <c r="D724" s="41" t="n"/>
      <c r="E724" s="41" t="inlineStr">
        <is>
          <t>1*40</t>
        </is>
      </c>
      <c r="F724" s="41" t="inlineStr">
        <is>
          <t xml:space="preserve">برفكت </t>
        </is>
      </c>
      <c r="G724" s="41" t="inlineStr">
        <is>
          <t xml:space="preserve">الكينج مريوط </t>
        </is>
      </c>
      <c r="H724" s="41" t="inlineStr">
        <is>
          <t>643679/6</t>
        </is>
      </c>
      <c r="I724" s="41" t="inlineStr">
        <is>
          <t>س ا ج 8593</t>
        </is>
      </c>
      <c r="J724" s="41" t="inlineStr">
        <is>
          <t xml:space="preserve">السيد عبد القادر </t>
        </is>
      </c>
      <c r="K724" s="41" t="inlineStr">
        <is>
          <t xml:space="preserve">قبارى السمكرى </t>
        </is>
      </c>
      <c r="L724" s="42" t="n">
        <v>7000</v>
      </c>
      <c r="M724" s="42" t="n">
        <v>6100</v>
      </c>
      <c r="N724" s="42" t="n"/>
      <c r="O724" s="42" t="n">
        <v>200</v>
      </c>
      <c r="P724" s="42" t="n"/>
      <c r="Q724" s="42" t="n">
        <v>700</v>
      </c>
      <c r="R724" s="43">
        <f>IF($B724="","",N($S724)-N($Q724))</f>
        <v/>
      </c>
      <c r="S724" s="43">
        <f>IF($B724="","",N($L724)+N($N724)+N($P724))</f>
        <v/>
      </c>
      <c r="T724" s="42" t="n"/>
      <c r="U724" s="42" t="n"/>
      <c r="V724" s="42" t="n"/>
      <c r="W724" s="42" t="n"/>
      <c r="X724" s="42" t="n"/>
      <c r="Y724" s="42" t="n"/>
      <c r="Z724" s="42" t="n"/>
      <c r="AA724" s="42" t="n"/>
      <c r="AB724" s="42" t="n"/>
      <c r="AC724" s="42" t="n"/>
      <c r="AD724" s="42" t="n"/>
      <c r="AE724" s="42" t="n"/>
      <c r="AF724" s="43">
        <f>IF($B724="","",SUM($T724:$AE724))</f>
        <v/>
      </c>
      <c r="AG724" s="43">
        <f>IF($B724="","",N($M724)-N($AF724))</f>
        <v/>
      </c>
      <c r="AH724" s="43">
        <f>IF($B724="","",N($L724)-N($AF724))</f>
        <v/>
      </c>
      <c r="AI724" s="149">
        <f>IF($B724="","",IF(N($L724)=0,"",(N($L724)-N($AF724))/N($L724)))</f>
        <v/>
      </c>
    </row>
    <row r="725">
      <c r="A725" s="39">
        <f>IF($B725="","",COUNTA($B$4:$B725))</f>
        <v/>
      </c>
      <c r="B725" s="45" t="n">
        <v>46113</v>
      </c>
      <c r="C725" s="46" t="n">
        <v>2413</v>
      </c>
      <c r="D725" s="46" t="inlineStr">
        <is>
          <t xml:space="preserve">محمد سعيد </t>
        </is>
      </c>
      <c r="E725" s="46" t="inlineStr">
        <is>
          <t>1*40</t>
        </is>
      </c>
      <c r="F725" s="46" t="inlineStr">
        <is>
          <t xml:space="preserve">اورينت </t>
        </is>
      </c>
      <c r="G725" s="46" t="inlineStr">
        <is>
          <t>العاشر</t>
        </is>
      </c>
      <c r="H725" s="46" t="inlineStr">
        <is>
          <t>659104/4</t>
        </is>
      </c>
      <c r="I725" s="46" t="inlineStr">
        <is>
          <t>س ف ب 4187</t>
        </is>
      </c>
      <c r="J725" s="46" t="inlineStr">
        <is>
          <t xml:space="preserve">نور الفايد </t>
        </is>
      </c>
      <c r="K725" s="46" t="inlineStr">
        <is>
          <t xml:space="preserve">البيبى </t>
        </is>
      </c>
      <c r="L725" s="47" t="n">
        <v>15000</v>
      </c>
      <c r="M725" s="47" t="n">
        <v>7100</v>
      </c>
      <c r="N725" s="47" t="n"/>
      <c r="O725" s="47" t="n">
        <v>200</v>
      </c>
      <c r="P725" s="47" t="n"/>
      <c r="Q725" s="47" t="n">
        <v>7700</v>
      </c>
      <c r="R725" s="43">
        <f>IF($B725="","",N($S725)-N($Q725))</f>
        <v/>
      </c>
      <c r="S725" s="43">
        <f>IF($B725="","",N($L725)+N($N725)+N($P725))</f>
        <v/>
      </c>
      <c r="T725" s="47" t="n"/>
      <c r="U725" s="47" t="n"/>
      <c r="V725" s="47" t="n"/>
      <c r="W725" s="47" t="n"/>
      <c r="X725" s="47" t="n"/>
      <c r="Y725" s="47" t="n"/>
      <c r="Z725" s="47" t="n"/>
      <c r="AA725" s="47" t="n"/>
      <c r="AB725" s="47" t="n"/>
      <c r="AC725" s="47" t="n"/>
      <c r="AD725" s="47" t="n"/>
      <c r="AE725" s="47" t="n"/>
      <c r="AF725" s="43">
        <f>IF($B725="","",SUM($T725:$AE725))</f>
        <v/>
      </c>
      <c r="AG725" s="43">
        <f>IF($B725="","",N($M725)-N($AF725))</f>
        <v/>
      </c>
      <c r="AH725" s="43">
        <f>IF($B725="","",N($L725)-N($AF725))</f>
        <v/>
      </c>
      <c r="AI725" s="149">
        <f>IF($B725="","",IF(N($L725)=0,"",(N($L725)-N($AF725))/N($L725)))</f>
        <v/>
      </c>
    </row>
    <row r="726">
      <c r="A726" s="39">
        <f>IF($B726="","",COUNTA($B$4:$B726))</f>
        <v/>
      </c>
      <c r="B726" s="40" t="n">
        <v>46113</v>
      </c>
      <c r="C726" s="41" t="n">
        <v>2389</v>
      </c>
      <c r="D726" s="41" t="inlineStr">
        <is>
          <t xml:space="preserve">بدوى صلاح </t>
        </is>
      </c>
      <c r="E726" s="41" t="inlineStr">
        <is>
          <t>1*20</t>
        </is>
      </c>
      <c r="F726" s="41" t="inlineStr">
        <is>
          <t xml:space="preserve">فروت اند كوكيز </t>
        </is>
      </c>
      <c r="G726" s="41" t="inlineStr">
        <is>
          <t>بورسعيد</t>
        </is>
      </c>
      <c r="H726" s="41" t="inlineStr">
        <is>
          <t>220148/8</t>
        </is>
      </c>
      <c r="I726" s="41" t="inlineStr">
        <is>
          <t>ب د ن 2193</t>
        </is>
      </c>
      <c r="J726" s="41" t="inlineStr">
        <is>
          <t xml:space="preserve">احمد جاد </t>
        </is>
      </c>
      <c r="K726" s="41" t="inlineStr">
        <is>
          <t>رومانى</t>
        </is>
      </c>
      <c r="L726" s="42" t="n">
        <v>12500</v>
      </c>
      <c r="M726" s="42" t="n">
        <v>8100</v>
      </c>
      <c r="N726" s="42" t="n"/>
      <c r="O726" s="42" t="n">
        <v>200</v>
      </c>
      <c r="P726" s="42" t="n"/>
      <c r="Q726" s="42" t="n">
        <v>4200</v>
      </c>
      <c r="R726" s="43">
        <f>IF($B726="","",N($S726)-N($Q726))</f>
        <v/>
      </c>
      <c r="S726" s="43">
        <f>IF($B726="","",N($L726)+N($N726)+N($P726))</f>
        <v/>
      </c>
      <c r="T726" s="42" t="n"/>
      <c r="U726" s="42" t="n"/>
      <c r="V726" s="42" t="n"/>
      <c r="W726" s="42" t="n"/>
      <c r="X726" s="42" t="n"/>
      <c r="Y726" s="42" t="n"/>
      <c r="Z726" s="42" t="n"/>
      <c r="AA726" s="42" t="n"/>
      <c r="AB726" s="42" t="n"/>
      <c r="AC726" s="42" t="n"/>
      <c r="AD726" s="42" t="n"/>
      <c r="AE726" s="42" t="n"/>
      <c r="AF726" s="43">
        <f>IF($B726="","",SUM($T726:$AE726))</f>
        <v/>
      </c>
      <c r="AG726" s="43">
        <f>IF($B726="","",N($M726)-N($AF726))</f>
        <v/>
      </c>
      <c r="AH726" s="43">
        <f>IF($B726="","",N($L726)-N($AF726))</f>
        <v/>
      </c>
      <c r="AI726" s="149">
        <f>IF($B726="","",IF(N($L726)=0,"",(N($L726)-N($AF726))/N($L726)))</f>
        <v/>
      </c>
    </row>
    <row r="727">
      <c r="A727" s="39">
        <f>IF($B727="","",COUNTA($B$4:$B727))</f>
        <v/>
      </c>
      <c r="B727" s="45" t="n">
        <v>46113</v>
      </c>
      <c r="C727" s="46" t="n">
        <v>2468</v>
      </c>
      <c r="D727" s="46" t="inlineStr">
        <is>
          <t>رجب عبد العال خ</t>
        </is>
      </c>
      <c r="E727" s="46" t="inlineStr">
        <is>
          <t>1*40</t>
        </is>
      </c>
      <c r="F727" s="46" t="inlineStr">
        <is>
          <t xml:space="preserve">ايتامكو </t>
        </is>
      </c>
      <c r="G727" s="46" t="inlineStr">
        <is>
          <t xml:space="preserve">ط التحدى </t>
        </is>
      </c>
      <c r="H727" s="46" t="inlineStr">
        <is>
          <t>811866/7</t>
        </is>
      </c>
      <c r="I727" s="46" t="inlineStr">
        <is>
          <t>س ل ص 7422</t>
        </is>
      </c>
      <c r="J727" s="46" t="inlineStr">
        <is>
          <t xml:space="preserve">عطية ناصر </t>
        </is>
      </c>
      <c r="K727" s="46" t="inlineStr">
        <is>
          <t xml:space="preserve">محمد مجدى </t>
        </is>
      </c>
      <c r="L727" s="47" t="n">
        <v>12800</v>
      </c>
      <c r="M727" s="47" t="n">
        <v>8100</v>
      </c>
      <c r="N727" s="47" t="n"/>
      <c r="O727" s="47" t="n">
        <v>200</v>
      </c>
      <c r="P727" s="47" t="n"/>
      <c r="Q727" s="47" t="n">
        <v>4500</v>
      </c>
      <c r="R727" s="43">
        <f>IF($B727="","",N($S727)-N($Q727))</f>
        <v/>
      </c>
      <c r="S727" s="43">
        <f>IF($B727="","",N($L727)+N($N727)+N($P727))</f>
        <v/>
      </c>
      <c r="T727" s="47" t="n"/>
      <c r="U727" s="47" t="n"/>
      <c r="V727" s="47" t="n"/>
      <c r="W727" s="47" t="n"/>
      <c r="X727" s="47" t="n"/>
      <c r="Y727" s="47" t="n"/>
      <c r="Z727" s="47" t="n"/>
      <c r="AA727" s="47" t="n"/>
      <c r="AB727" s="47" t="n"/>
      <c r="AC727" s="47" t="n"/>
      <c r="AD727" s="47" t="n"/>
      <c r="AE727" s="47" t="n"/>
      <c r="AF727" s="43">
        <f>IF($B727="","",SUM($T727:$AE727))</f>
        <v/>
      </c>
      <c r="AG727" s="43">
        <f>IF($B727="","",N($M727)-N($AF727))</f>
        <v/>
      </c>
      <c r="AH727" s="43">
        <f>IF($B727="","",N($L727)-N($AF727))</f>
        <v/>
      </c>
      <c r="AI727" s="149">
        <f>IF($B727="","",IF(N($L727)=0,"",(N($L727)-N($AF727))/N($L727)))</f>
        <v/>
      </c>
    </row>
    <row r="728">
      <c r="A728" s="39">
        <f>IF($B728="","",COUNTA($B$4:$B728))</f>
        <v/>
      </c>
      <c r="B728" s="40" t="n">
        <v>46113</v>
      </c>
      <c r="C728" s="41" t="n">
        <v>2469</v>
      </c>
      <c r="D728" s="41" t="inlineStr">
        <is>
          <t xml:space="preserve">محمد سعيد </t>
        </is>
      </c>
      <c r="E728" s="41" t="inlineStr">
        <is>
          <t>1*40</t>
        </is>
      </c>
      <c r="F728" s="41" t="inlineStr">
        <is>
          <t xml:space="preserve">ايتامكو </t>
        </is>
      </c>
      <c r="G728" s="41" t="inlineStr">
        <is>
          <t xml:space="preserve">ط التحدى </t>
        </is>
      </c>
      <c r="H728" s="41" t="inlineStr">
        <is>
          <t>166663/2</t>
        </is>
      </c>
      <c r="I728" s="41" t="inlineStr">
        <is>
          <t>س د ه 5615</t>
        </is>
      </c>
      <c r="J728" s="41" t="inlineStr">
        <is>
          <t xml:space="preserve">هانى متولى </t>
        </is>
      </c>
      <c r="K728" s="41" t="inlineStr">
        <is>
          <t xml:space="preserve">مسلم صابر </t>
        </is>
      </c>
      <c r="L728" s="42" t="n">
        <v>12800</v>
      </c>
      <c r="M728" s="42" t="n">
        <v>8100</v>
      </c>
      <c r="N728" s="42" t="n"/>
      <c r="O728" s="42" t="n">
        <v>200</v>
      </c>
      <c r="P728" s="42" t="n"/>
      <c r="Q728" s="42" t="n">
        <v>4500</v>
      </c>
      <c r="R728" s="43">
        <f>IF($B728="","",N($S728)-N($Q728))</f>
        <v/>
      </c>
      <c r="S728" s="43">
        <f>IF($B728="","",N($L728)+N($N728)+N($P728))</f>
        <v/>
      </c>
      <c r="T728" s="42" t="n"/>
      <c r="U728" s="42" t="n"/>
      <c r="V728" s="42" t="n"/>
      <c r="W728" s="42" t="n"/>
      <c r="X728" s="42" t="n"/>
      <c r="Y728" s="42" t="n"/>
      <c r="Z728" s="42" t="n"/>
      <c r="AA728" s="42" t="n"/>
      <c r="AB728" s="42" t="n"/>
      <c r="AC728" s="42" t="n"/>
      <c r="AD728" s="42" t="n"/>
      <c r="AE728" s="42" t="n"/>
      <c r="AF728" s="43">
        <f>IF($B728="","",SUM($T728:$AE728))</f>
        <v/>
      </c>
      <c r="AG728" s="43">
        <f>IF($B728="","",N($M728)-N($AF728))</f>
        <v/>
      </c>
      <c r="AH728" s="43">
        <f>IF($B728="","",N($L728)-N($AF728))</f>
        <v/>
      </c>
      <c r="AI728" s="149">
        <f>IF($B728="","",IF(N($L728)=0,"",(N($L728)-N($AF728))/N($L728)))</f>
        <v/>
      </c>
    </row>
    <row r="729">
      <c r="A729" s="39">
        <f>IF($B729="","",COUNTA($B$4:$B729))</f>
        <v/>
      </c>
      <c r="B729" s="45" t="n">
        <v>46113</v>
      </c>
      <c r="C729" s="46" t="n">
        <v>2470</v>
      </c>
      <c r="D729" s="46" t="inlineStr">
        <is>
          <t xml:space="preserve">ابراهيم عفيفى </t>
        </is>
      </c>
      <c r="E729" s="46" t="inlineStr">
        <is>
          <t>1*40</t>
        </is>
      </c>
      <c r="F729" s="46" t="inlineStr">
        <is>
          <t xml:space="preserve">ايتامكو </t>
        </is>
      </c>
      <c r="G729" s="46" t="inlineStr">
        <is>
          <t xml:space="preserve">ط التحدى </t>
        </is>
      </c>
      <c r="H729" s="46" t="inlineStr">
        <is>
          <t>638601/0</t>
        </is>
      </c>
      <c r="I729" s="46" t="inlineStr">
        <is>
          <t>ق ف ب 6594</t>
        </is>
      </c>
      <c r="J729" s="46" t="inlineStr">
        <is>
          <t xml:space="preserve">ابراهيم عفيفى </t>
        </is>
      </c>
      <c r="K729" s="46" t="inlineStr">
        <is>
          <t xml:space="preserve">ابراهيم عفيفى </t>
        </is>
      </c>
      <c r="L729" s="47" t="n">
        <v>12800</v>
      </c>
      <c r="M729" s="47" t="n">
        <v>8100</v>
      </c>
      <c r="N729" s="47" t="n"/>
      <c r="O729" s="47" t="n">
        <v>200</v>
      </c>
      <c r="P729" s="47" t="n"/>
      <c r="Q729" s="47" t="n">
        <v>4500</v>
      </c>
      <c r="R729" s="43">
        <f>IF($B729="","",N($S729)-N($Q729))</f>
        <v/>
      </c>
      <c r="S729" s="43">
        <f>IF($B729="","",N($L729)+N($N729)+N($P729))</f>
        <v/>
      </c>
      <c r="T729" s="47" t="n"/>
      <c r="U729" s="47" t="n"/>
      <c r="V729" s="47" t="n"/>
      <c r="W729" s="47" t="n"/>
      <c r="X729" s="47" t="n"/>
      <c r="Y729" s="47" t="n"/>
      <c r="Z729" s="47" t="n"/>
      <c r="AA729" s="47" t="n"/>
      <c r="AB729" s="47" t="n"/>
      <c r="AC729" s="47" t="n"/>
      <c r="AD729" s="47" t="n"/>
      <c r="AE729" s="47" t="n"/>
      <c r="AF729" s="43">
        <f>IF($B729="","",SUM($T729:$AE729))</f>
        <v/>
      </c>
      <c r="AG729" s="43">
        <f>IF($B729="","",N($M729)-N($AF729))</f>
        <v/>
      </c>
      <c r="AH729" s="43">
        <f>IF($B729="","",N($L729)-N($AF729))</f>
        <v/>
      </c>
      <c r="AI729" s="149">
        <f>IF($B729="","",IF(N($L729)=0,"",(N($L729)-N($AF729))/N($L729)))</f>
        <v/>
      </c>
    </row>
    <row r="730">
      <c r="A730" s="39">
        <f>IF($B730="","",COUNTA($B$4:$B730))</f>
        <v/>
      </c>
      <c r="B730" s="40" t="n">
        <v>46113</v>
      </c>
      <c r="C730" s="41" t="n">
        <v>2471</v>
      </c>
      <c r="D730" s="41" t="inlineStr">
        <is>
          <t xml:space="preserve">احمد عزت </t>
        </is>
      </c>
      <c r="E730" s="41" t="inlineStr">
        <is>
          <t>1*40</t>
        </is>
      </c>
      <c r="F730" s="41" t="inlineStr">
        <is>
          <t xml:space="preserve">ايتامكو </t>
        </is>
      </c>
      <c r="G730" s="41" t="inlineStr">
        <is>
          <t xml:space="preserve">ط التحدى </t>
        </is>
      </c>
      <c r="H730" s="41" t="inlineStr">
        <is>
          <t>800016/9</t>
        </is>
      </c>
      <c r="I730" s="41" t="inlineStr">
        <is>
          <t>ل ق ص 4689</t>
        </is>
      </c>
      <c r="J730" s="41" t="inlineStr">
        <is>
          <t xml:space="preserve">احمد عبد الله </t>
        </is>
      </c>
      <c r="K730" s="41" t="inlineStr">
        <is>
          <t xml:space="preserve">احمد عادل </t>
        </is>
      </c>
      <c r="L730" s="42" t="n">
        <v>12800</v>
      </c>
      <c r="M730" s="42" t="n">
        <v>8100</v>
      </c>
      <c r="N730" s="42" t="n"/>
      <c r="O730" s="42" t="n">
        <v>200</v>
      </c>
      <c r="P730" s="42" t="n"/>
      <c r="Q730" s="42" t="n">
        <v>4500</v>
      </c>
      <c r="R730" s="43">
        <f>IF($B730="","",N($S730)-N($Q730))</f>
        <v/>
      </c>
      <c r="S730" s="43">
        <f>IF($B730="","",N($L730)+N($N730)+N($P730))</f>
        <v/>
      </c>
      <c r="T730" s="42" t="n"/>
      <c r="U730" s="42" t="n"/>
      <c r="V730" s="42" t="n"/>
      <c r="W730" s="42" t="n"/>
      <c r="X730" s="42" t="n"/>
      <c r="Y730" s="42" t="n"/>
      <c r="Z730" s="42" t="n"/>
      <c r="AA730" s="42" t="n"/>
      <c r="AB730" s="42" t="n"/>
      <c r="AC730" s="42" t="n"/>
      <c r="AD730" s="42" t="n"/>
      <c r="AE730" s="42" t="n"/>
      <c r="AF730" s="43">
        <f>IF($B730="","",SUM($T730:$AE730))</f>
        <v/>
      </c>
      <c r="AG730" s="43">
        <f>IF($B730="","",N($M730)-N($AF730))</f>
        <v/>
      </c>
      <c r="AH730" s="43">
        <f>IF($B730="","",N($L730)-N($AF730))</f>
        <v/>
      </c>
      <c r="AI730" s="149">
        <f>IF($B730="","",IF(N($L730)=0,"",(N($L730)-N($AF730))/N($L730)))</f>
        <v/>
      </c>
    </row>
    <row r="731">
      <c r="A731" s="39">
        <f>IF($B731="","",COUNTA($B$4:$B731))</f>
        <v/>
      </c>
      <c r="B731" s="45" t="n">
        <v>46113</v>
      </c>
      <c r="C731" s="46" t="n">
        <v>2472</v>
      </c>
      <c r="D731" s="46" t="inlineStr">
        <is>
          <t xml:space="preserve">محمد سعيد </t>
        </is>
      </c>
      <c r="E731" s="46" t="inlineStr">
        <is>
          <t>1*40</t>
        </is>
      </c>
      <c r="F731" s="46" t="inlineStr">
        <is>
          <t xml:space="preserve">ايتامكو </t>
        </is>
      </c>
      <c r="G731" s="46" t="inlineStr">
        <is>
          <t xml:space="preserve">ط التحدى </t>
        </is>
      </c>
      <c r="H731" s="46" t="inlineStr">
        <is>
          <t>857072/0</t>
        </is>
      </c>
      <c r="I731" s="46" t="inlineStr">
        <is>
          <t>س  ع ه 3237</t>
        </is>
      </c>
      <c r="J731" s="46" t="inlineStr">
        <is>
          <t xml:space="preserve">محمد صالح </t>
        </is>
      </c>
      <c r="K731" s="46" t="inlineStr">
        <is>
          <t xml:space="preserve">البيبى </t>
        </is>
      </c>
      <c r="L731" s="47" t="n">
        <v>12800</v>
      </c>
      <c r="M731" s="47" t="n">
        <v>8100</v>
      </c>
      <c r="N731" s="47" t="n"/>
      <c r="O731" s="47" t="n">
        <v>200</v>
      </c>
      <c r="P731" s="47" t="n"/>
      <c r="Q731" s="47" t="n">
        <v>4500</v>
      </c>
      <c r="R731" s="43">
        <f>IF($B731="","",N($S731)-N($Q731))</f>
        <v/>
      </c>
      <c r="S731" s="43">
        <f>IF($B731="","",N($L731)+N($N731)+N($P731))</f>
        <v/>
      </c>
      <c r="T731" s="47" t="n"/>
      <c r="U731" s="47" t="n"/>
      <c r="V731" s="47" t="n"/>
      <c r="W731" s="47" t="n"/>
      <c r="X731" s="47" t="n"/>
      <c r="Y731" s="47" t="n"/>
      <c r="Z731" s="47" t="n"/>
      <c r="AA731" s="47" t="n"/>
      <c r="AB731" s="47" t="n"/>
      <c r="AC731" s="47" t="n"/>
      <c r="AD731" s="47" t="n"/>
      <c r="AE731" s="47" t="n"/>
      <c r="AF731" s="43">
        <f>IF($B731="","",SUM($T731:$AE731))</f>
        <v/>
      </c>
      <c r="AG731" s="43">
        <f>IF($B731="","",N($M731)-N($AF731))</f>
        <v/>
      </c>
      <c r="AH731" s="43">
        <f>IF($B731="","",N($L731)-N($AF731))</f>
        <v/>
      </c>
      <c r="AI731" s="149">
        <f>IF($B731="","",IF(N($L731)=0,"",(N($L731)-N($AF731))/N($L731)))</f>
        <v/>
      </c>
    </row>
    <row r="732">
      <c r="A732" s="39">
        <f>IF($B732="","",COUNTA($B$4:$B732))</f>
        <v/>
      </c>
      <c r="B732" s="40" t="n">
        <v>46113</v>
      </c>
      <c r="C732" s="41" t="n">
        <v>2473</v>
      </c>
      <c r="D732" s="41" t="inlineStr">
        <is>
          <t>الدهشان</t>
        </is>
      </c>
      <c r="E732" s="41" t="inlineStr">
        <is>
          <t>1*40</t>
        </is>
      </c>
      <c r="F732" s="41" t="inlineStr">
        <is>
          <t xml:space="preserve">ايتامكو </t>
        </is>
      </c>
      <c r="G732" s="41" t="inlineStr">
        <is>
          <t xml:space="preserve">ط التحدى </t>
        </is>
      </c>
      <c r="H732" s="41" t="inlineStr">
        <is>
          <t>599170/4</t>
        </is>
      </c>
      <c r="I732" s="41" t="inlineStr">
        <is>
          <t>س و ه 8198</t>
        </is>
      </c>
      <c r="J732" s="41" t="inlineStr">
        <is>
          <t xml:space="preserve">حمد ابراهيم </t>
        </is>
      </c>
      <c r="K732" s="41" t="inlineStr">
        <is>
          <t xml:space="preserve">علاء علام </t>
        </is>
      </c>
      <c r="L732" s="42" t="n">
        <v>12800</v>
      </c>
      <c r="M732" s="42" t="n">
        <v>8100</v>
      </c>
      <c r="N732" s="42" t="n"/>
      <c r="O732" s="42" t="n">
        <v>200</v>
      </c>
      <c r="P732" s="42" t="n"/>
      <c r="Q732" s="42" t="n">
        <v>4500</v>
      </c>
      <c r="R732" s="43">
        <f>IF($B732="","",N($S732)-N($Q732))</f>
        <v/>
      </c>
      <c r="S732" s="43">
        <f>IF($B732="","",N($L732)+N($N732)+N($P732))</f>
        <v/>
      </c>
      <c r="T732" s="42" t="n"/>
      <c r="U732" s="42" t="n"/>
      <c r="V732" s="42" t="n"/>
      <c r="W732" s="42" t="n"/>
      <c r="X732" s="42" t="n"/>
      <c r="Y732" s="42" t="n"/>
      <c r="Z732" s="42" t="n"/>
      <c r="AA732" s="42" t="n"/>
      <c r="AB732" s="42" t="n"/>
      <c r="AC732" s="42" t="n"/>
      <c r="AD732" s="42" t="n"/>
      <c r="AE732" s="42" t="n"/>
      <c r="AF732" s="43">
        <f>IF($B732="","",SUM($T732:$AE732))</f>
        <v/>
      </c>
      <c r="AG732" s="43">
        <f>IF($B732="","",N($M732)-N($AF732))</f>
        <v/>
      </c>
      <c r="AH732" s="43">
        <f>IF($B732="","",N($L732)-N($AF732))</f>
        <v/>
      </c>
      <c r="AI732" s="149">
        <f>IF($B732="","",IF(N($L732)=0,"",(N($L732)-N($AF732))/N($L732)))</f>
        <v/>
      </c>
    </row>
    <row r="733">
      <c r="A733" s="39">
        <f>IF($B733="","",COUNTA($B$4:$B733))</f>
        <v/>
      </c>
      <c r="B733" s="45" t="n">
        <v>46113</v>
      </c>
      <c r="C733" s="46" t="n">
        <v>2312</v>
      </c>
      <c r="D733" s="46" t="inlineStr">
        <is>
          <t>احمد خطاب</t>
        </is>
      </c>
      <c r="E733" s="46" t="inlineStr">
        <is>
          <t>1*40</t>
        </is>
      </c>
      <c r="F733" s="46" t="inlineStr">
        <is>
          <t xml:space="preserve">الريعى </t>
        </is>
      </c>
      <c r="G733" s="46" t="inlineStr">
        <is>
          <t xml:space="preserve">الشرقية </t>
        </is>
      </c>
      <c r="H733" s="46" t="inlineStr">
        <is>
          <t>84114/1</t>
        </is>
      </c>
      <c r="I733" s="46" t="inlineStr">
        <is>
          <t>ع ج ق 8754</t>
        </is>
      </c>
      <c r="J733" s="46" t="inlineStr">
        <is>
          <t xml:space="preserve">مصطفى ابو الغيط </t>
        </is>
      </c>
      <c r="K733" s="46" t="inlineStr">
        <is>
          <t xml:space="preserve">السيد بربرى </t>
        </is>
      </c>
      <c r="L733" s="47" t="n">
        <v>19000</v>
      </c>
      <c r="M733" s="47" t="n">
        <v>9100</v>
      </c>
      <c r="N733" s="47" t="n"/>
      <c r="O733" s="47" t="n">
        <v>200</v>
      </c>
      <c r="P733" s="47" t="n">
        <v>3000</v>
      </c>
      <c r="Q733" s="47" t="n">
        <v>12700</v>
      </c>
      <c r="R733" s="43">
        <f>IF($B733="","",N($S733)-N($Q733))</f>
        <v/>
      </c>
      <c r="S733" s="43">
        <f>IF($B733="","",N($L733)+N($N733)+N($P733))</f>
        <v/>
      </c>
      <c r="T733" s="47" t="n"/>
      <c r="U733" s="47" t="n"/>
      <c r="V733" s="47" t="n"/>
      <c r="W733" s="47" t="n"/>
      <c r="X733" s="47" t="n"/>
      <c r="Y733" s="47" t="n"/>
      <c r="Z733" s="47" t="n"/>
      <c r="AA733" s="47" t="n"/>
      <c r="AB733" s="47" t="n"/>
      <c r="AC733" s="47" t="n"/>
      <c r="AD733" s="47" t="n"/>
      <c r="AE733" s="47" t="n"/>
      <c r="AF733" s="43">
        <f>IF($B733="","",SUM($T733:$AE733))</f>
        <v/>
      </c>
      <c r="AG733" s="43">
        <f>IF($B733="","",N($M733)-N($AF733))</f>
        <v/>
      </c>
      <c r="AH733" s="43">
        <f>IF($B733="","",N($L733)-N($AF733))</f>
        <v/>
      </c>
      <c r="AI733" s="149">
        <f>IF($B733="","",IF(N($L733)=0,"",(N($L733)-N($AF733))/N($L733)))</f>
        <v/>
      </c>
    </row>
    <row r="734">
      <c r="A734" s="39">
        <f>IF($B734="","",COUNTA($B$4:$B734))</f>
        <v/>
      </c>
      <c r="B734" s="40" t="n">
        <v>46113</v>
      </c>
      <c r="C734" s="41" t="n">
        <v>2313</v>
      </c>
      <c r="D734" s="41" t="inlineStr">
        <is>
          <t xml:space="preserve">محمد مجدى </t>
        </is>
      </c>
      <c r="E734" s="41" t="inlineStr">
        <is>
          <t>1*40</t>
        </is>
      </c>
      <c r="F734" s="41" t="inlineStr">
        <is>
          <t xml:space="preserve">الريعى </t>
        </is>
      </c>
      <c r="G734" s="41" t="inlineStr">
        <is>
          <t xml:space="preserve">الشرقية </t>
        </is>
      </c>
      <c r="H734" s="41" t="inlineStr">
        <is>
          <t>403976/8</t>
        </is>
      </c>
      <c r="I734" s="41" t="inlineStr">
        <is>
          <t>ع ر ب 1573</t>
        </is>
      </c>
      <c r="J734" s="41" t="inlineStr">
        <is>
          <t xml:space="preserve">محمد السيد </t>
        </is>
      </c>
      <c r="K734" s="41" t="inlineStr">
        <is>
          <t xml:space="preserve">حمو مرزوق </t>
        </is>
      </c>
      <c r="L734" s="42" t="n">
        <v>17000</v>
      </c>
      <c r="M734" s="42" t="n">
        <v>9100</v>
      </c>
      <c r="N734" s="42" t="n"/>
      <c r="O734" s="42" t="n">
        <v>200</v>
      </c>
      <c r="P734" s="42" t="n"/>
      <c r="Q734" s="42" t="n">
        <v>7700</v>
      </c>
      <c r="R734" s="43">
        <f>IF($B734="","",N($S734)-N($Q734))</f>
        <v/>
      </c>
      <c r="S734" s="43">
        <f>IF($B734="","",N($L734)+N($N734)+N($P734))</f>
        <v/>
      </c>
      <c r="T734" s="42" t="n"/>
      <c r="U734" s="42" t="n"/>
      <c r="V734" s="42" t="n"/>
      <c r="W734" s="42" t="n"/>
      <c r="X734" s="42" t="n"/>
      <c r="Y734" s="42" t="n"/>
      <c r="Z734" s="42" t="n"/>
      <c r="AA734" s="42" t="n"/>
      <c r="AB734" s="42" t="n"/>
      <c r="AC734" s="42" t="n"/>
      <c r="AD734" s="42" t="n"/>
      <c r="AE734" s="42" t="n"/>
      <c r="AF734" s="43">
        <f>IF($B734="","",SUM($T734:$AE734))</f>
        <v/>
      </c>
      <c r="AG734" s="43">
        <f>IF($B734="","",N($M734)-N($AF734))</f>
        <v/>
      </c>
      <c r="AH734" s="43">
        <f>IF($B734="","",N($L734)-N($AF734))</f>
        <v/>
      </c>
      <c r="AI734" s="149">
        <f>IF($B734="","",IF(N($L734)=0,"",(N($L734)-N($AF734))/N($L734)))</f>
        <v/>
      </c>
    </row>
    <row r="735">
      <c r="A735" s="39">
        <f>IF($B735="","",COUNTA($B$4:$B735))</f>
        <v/>
      </c>
      <c r="B735" s="45" t="n">
        <v>46113</v>
      </c>
      <c r="C735" s="46" t="n">
        <v>2310</v>
      </c>
      <c r="D735" s="46" t="inlineStr">
        <is>
          <t xml:space="preserve">محمد يحى </t>
        </is>
      </c>
      <c r="E735" s="46" t="inlineStr">
        <is>
          <t>1*40</t>
        </is>
      </c>
      <c r="F735" s="46" t="inlineStr">
        <is>
          <t xml:space="preserve">الريعى </t>
        </is>
      </c>
      <c r="G735" s="46" t="inlineStr">
        <is>
          <t xml:space="preserve">الشرقية </t>
        </is>
      </c>
      <c r="H735" s="46" t="inlineStr">
        <is>
          <t>466931/6</t>
        </is>
      </c>
      <c r="I735" s="46" t="inlineStr">
        <is>
          <t>ط ف ر 1474</t>
        </is>
      </c>
      <c r="J735" s="46" t="inlineStr">
        <is>
          <t xml:space="preserve">جمال على </t>
        </is>
      </c>
      <c r="K735" s="46" t="inlineStr">
        <is>
          <t xml:space="preserve">كريم خليف </t>
        </is>
      </c>
      <c r="L735" s="47" t="n">
        <v>18000</v>
      </c>
      <c r="M735" s="47" t="n">
        <v>9100</v>
      </c>
      <c r="N735" s="47" t="n"/>
      <c r="O735" s="47" t="n">
        <v>200</v>
      </c>
      <c r="P735" s="47" t="n"/>
      <c r="Q735" s="47" t="n">
        <v>8700</v>
      </c>
      <c r="R735" s="43">
        <f>IF($B735="","",N($S735)-N($Q735))</f>
        <v/>
      </c>
      <c r="S735" s="43">
        <f>IF($B735="","",N($L735)+N($N735)+N($P735))</f>
        <v/>
      </c>
      <c r="T735" s="47" t="n"/>
      <c r="U735" s="47" t="n"/>
      <c r="V735" s="47" t="n"/>
      <c r="W735" s="47" t="n"/>
      <c r="X735" s="47" t="n"/>
      <c r="Y735" s="47" t="n"/>
      <c r="Z735" s="47" t="n"/>
      <c r="AA735" s="47" t="n"/>
      <c r="AB735" s="47" t="n"/>
      <c r="AC735" s="47" t="n"/>
      <c r="AD735" s="47" t="n"/>
      <c r="AE735" s="47" t="n"/>
      <c r="AF735" s="43">
        <f>IF($B735="","",SUM($T735:$AE735))</f>
        <v/>
      </c>
      <c r="AG735" s="43">
        <f>IF($B735="","",N($M735)-N($AF735))</f>
        <v/>
      </c>
      <c r="AH735" s="43">
        <f>IF($B735="","",N($L735)-N($AF735))</f>
        <v/>
      </c>
      <c r="AI735" s="149">
        <f>IF($B735="","",IF(N($L735)=0,"",(N($L735)-N($AF735))/N($L735)))</f>
        <v/>
      </c>
    </row>
    <row r="736">
      <c r="A736" s="39">
        <f>IF($B736="","",COUNTA($B$4:$B736))</f>
        <v/>
      </c>
      <c r="B736" s="40" t="n">
        <v>46113</v>
      </c>
      <c r="C736" s="41" t="n">
        <v>2311</v>
      </c>
      <c r="D736" s="41" t="inlineStr">
        <is>
          <t>الانصارى خ</t>
        </is>
      </c>
      <c r="E736" s="41" t="inlineStr">
        <is>
          <t>1*40</t>
        </is>
      </c>
      <c r="F736" s="41" t="inlineStr">
        <is>
          <t xml:space="preserve">الريعى </t>
        </is>
      </c>
      <c r="G736" s="41" t="inlineStr">
        <is>
          <t xml:space="preserve">الشرقية </t>
        </is>
      </c>
      <c r="H736" s="41" t="inlineStr">
        <is>
          <t>813195/9</t>
        </is>
      </c>
      <c r="I736" s="41" t="inlineStr">
        <is>
          <t>ب ص ا 2574</t>
        </is>
      </c>
      <c r="J736" s="41" t="inlineStr">
        <is>
          <t xml:space="preserve">محمد البحيرى </t>
        </is>
      </c>
      <c r="K736" s="41" t="inlineStr">
        <is>
          <t xml:space="preserve">احمد خليف </t>
        </is>
      </c>
      <c r="L736" s="42" t="n">
        <v>18000</v>
      </c>
      <c r="M736" s="42" t="n">
        <v>9100</v>
      </c>
      <c r="N736" s="42" t="n"/>
      <c r="O736" s="42" t="n">
        <v>200</v>
      </c>
      <c r="P736" s="42" t="n"/>
      <c r="Q736" s="42" t="n">
        <v>8700</v>
      </c>
      <c r="R736" s="43">
        <f>IF($B736="","",N($S736)-N($Q736))</f>
        <v/>
      </c>
      <c r="S736" s="43">
        <f>IF($B736="","",N($L736)+N($N736)+N($P736))</f>
        <v/>
      </c>
      <c r="T736" s="42" t="n"/>
      <c r="U736" s="42" t="n"/>
      <c r="V736" s="42" t="n"/>
      <c r="W736" s="42" t="n"/>
      <c r="X736" s="42" t="n"/>
      <c r="Y736" s="42" t="n"/>
      <c r="Z736" s="42" t="n"/>
      <c r="AA736" s="42" t="n"/>
      <c r="AB736" s="42" t="n"/>
      <c r="AC736" s="42" t="n"/>
      <c r="AD736" s="42" t="n"/>
      <c r="AE736" s="42" t="n"/>
      <c r="AF736" s="43">
        <f>IF($B736="","",SUM($T736:$AE736))</f>
        <v/>
      </c>
      <c r="AG736" s="43">
        <f>IF($B736="","",N($M736)-N($AF736))</f>
        <v/>
      </c>
      <c r="AH736" s="43">
        <f>IF($B736="","",N($L736)-N($AF736))</f>
        <v/>
      </c>
      <c r="AI736" s="149">
        <f>IF($B736="","",IF(N($L736)=0,"",(N($L736)-N($AF736))/N($L736)))</f>
        <v/>
      </c>
    </row>
    <row r="737">
      <c r="A737" s="39">
        <f>IF($B737="","",COUNTA($B$4:$B737))</f>
        <v/>
      </c>
      <c r="B737" s="45" t="n">
        <v>46114</v>
      </c>
      <c r="C737" s="46" t="n">
        <v>2224</v>
      </c>
      <c r="D737" s="46" t="inlineStr">
        <is>
          <t xml:space="preserve">محمد يحى </t>
        </is>
      </c>
      <c r="E737" s="46" t="inlineStr">
        <is>
          <t>1*40 ث</t>
        </is>
      </c>
      <c r="F737" s="46" t="inlineStr">
        <is>
          <t xml:space="preserve">ميما فودز </t>
        </is>
      </c>
      <c r="G737" s="46" t="inlineStr">
        <is>
          <t xml:space="preserve">العبور </t>
        </is>
      </c>
      <c r="H737" s="46" t="inlineStr">
        <is>
          <t>876756/5</t>
        </is>
      </c>
      <c r="I737" s="46" t="inlineStr">
        <is>
          <t>ع ر ب 1573</t>
        </is>
      </c>
      <c r="J737" s="46" t="inlineStr">
        <is>
          <t xml:space="preserve">محمد السيد </t>
        </is>
      </c>
      <c r="K737" s="46" t="inlineStr">
        <is>
          <t xml:space="preserve">حمو مرزوق </t>
        </is>
      </c>
      <c r="L737" s="47" t="n">
        <v>17500</v>
      </c>
      <c r="M737" s="47" t="n">
        <v>10100</v>
      </c>
      <c r="N737" s="47" t="n"/>
      <c r="O737" s="47" t="n">
        <v>200</v>
      </c>
      <c r="P737" s="47" t="n"/>
      <c r="Q737" s="47" t="n">
        <v>7200</v>
      </c>
      <c r="R737" s="43">
        <f>IF($B737="","",N($S737)-N($Q737))</f>
        <v/>
      </c>
      <c r="S737" s="43">
        <f>IF($B737="","",N($L737)+N($N737)+N($P737))</f>
        <v/>
      </c>
      <c r="T737" s="47" t="n"/>
      <c r="U737" s="47" t="n"/>
      <c r="V737" s="47" t="n"/>
      <c r="W737" s="47" t="n"/>
      <c r="X737" s="47" t="n"/>
      <c r="Y737" s="47" t="n"/>
      <c r="Z737" s="47" t="n"/>
      <c r="AA737" s="47" t="n"/>
      <c r="AB737" s="47" t="n"/>
      <c r="AC737" s="47" t="n"/>
      <c r="AD737" s="47" t="n"/>
      <c r="AE737" s="47" t="n"/>
      <c r="AF737" s="43">
        <f>IF($B737="","",SUM($T737:$AE737))</f>
        <v/>
      </c>
      <c r="AG737" s="43">
        <f>IF($B737="","",N($M737)-N($AF737))</f>
        <v/>
      </c>
      <c r="AH737" s="43">
        <f>IF($B737="","",N($L737)-N($AF737))</f>
        <v/>
      </c>
      <c r="AI737" s="149">
        <f>IF($B737="","",IF(N($L737)=0,"",(N($L737)-N($AF737))/N($L737)))</f>
        <v/>
      </c>
    </row>
    <row r="738">
      <c r="A738" s="39">
        <f>IF($B738="","",COUNTA($B$4:$B738))</f>
        <v/>
      </c>
      <c r="B738" s="40" t="n">
        <v>46114</v>
      </c>
      <c r="C738" s="41" t="n">
        <v>2390</v>
      </c>
      <c r="D738" s="41" t="inlineStr">
        <is>
          <t xml:space="preserve">محمد يحى </t>
        </is>
      </c>
      <c r="E738" s="41" t="inlineStr">
        <is>
          <t xml:space="preserve">1*40 </t>
        </is>
      </c>
      <c r="F738" s="41" t="inlineStr">
        <is>
          <t xml:space="preserve">هيربون </t>
        </is>
      </c>
      <c r="G738" s="41" t="inlineStr">
        <is>
          <t xml:space="preserve">الفيوم </t>
        </is>
      </c>
      <c r="H738" s="41" t="inlineStr">
        <is>
          <t>450709/0</t>
        </is>
      </c>
      <c r="I738" s="41" t="inlineStr">
        <is>
          <t>س ر ا 6671</t>
        </is>
      </c>
      <c r="J738" s="41" t="inlineStr">
        <is>
          <t xml:space="preserve">السيد بدوى </t>
        </is>
      </c>
      <c r="K738" s="41" t="inlineStr">
        <is>
          <t xml:space="preserve">حمو مرزوق </t>
        </is>
      </c>
      <c r="L738" s="42" t="n">
        <v>18000</v>
      </c>
      <c r="M738" s="42" t="n">
        <v>10100</v>
      </c>
      <c r="N738" s="42" t="n"/>
      <c r="O738" s="42" t="n">
        <v>200</v>
      </c>
      <c r="P738" s="42" t="n"/>
      <c r="Q738" s="42" t="n">
        <v>7700</v>
      </c>
      <c r="R738" s="43">
        <f>IF($B738="","",N($S738)-N($Q738))</f>
        <v/>
      </c>
      <c r="S738" s="43">
        <f>IF($B738="","",N($L738)+N($N738)+N($P738))</f>
        <v/>
      </c>
      <c r="T738" s="42" t="n"/>
      <c r="U738" s="42" t="n"/>
      <c r="V738" s="42" t="n"/>
      <c r="W738" s="42" t="n"/>
      <c r="X738" s="42" t="n"/>
      <c r="Y738" s="42" t="n"/>
      <c r="Z738" s="42" t="n"/>
      <c r="AA738" s="42" t="n"/>
      <c r="AB738" s="42" t="n"/>
      <c r="AC738" s="42" t="n"/>
      <c r="AD738" s="42" t="n"/>
      <c r="AE738" s="42" t="n"/>
      <c r="AF738" s="43">
        <f>IF($B738="","",SUM($T738:$AE738))</f>
        <v/>
      </c>
      <c r="AG738" s="43">
        <f>IF($B738="","",N($M738)-N($AF738))</f>
        <v/>
      </c>
      <c r="AH738" s="43">
        <f>IF($B738="","",N($L738)-N($AF738))</f>
        <v/>
      </c>
      <c r="AI738" s="149">
        <f>IF($B738="","",IF(N($L738)=0,"",(N($L738)-N($AF738))/N($L738)))</f>
        <v/>
      </c>
    </row>
    <row r="739">
      <c r="A739" s="39">
        <f>IF($B739="","",COUNTA($B$4:$B739))</f>
        <v/>
      </c>
      <c r="B739" s="45" t="n">
        <v>46114</v>
      </c>
      <c r="C739" s="46" t="n">
        <v>2225</v>
      </c>
      <c r="D739" s="46" t="inlineStr">
        <is>
          <t>المكتب</t>
        </is>
      </c>
      <c r="E739" s="46" t="inlineStr">
        <is>
          <t>2*20</t>
        </is>
      </c>
      <c r="F739" s="46" t="inlineStr">
        <is>
          <t xml:space="preserve">مصر بنى سويف </t>
        </is>
      </c>
      <c r="G739" s="46" t="inlineStr">
        <is>
          <t>بنى سويف</t>
        </is>
      </c>
      <c r="H739" s="46" t="inlineStr">
        <is>
          <t>127346/9-324121/1</t>
        </is>
      </c>
      <c r="I739" s="46" t="inlineStr">
        <is>
          <t>س ع م 8737</t>
        </is>
      </c>
      <c r="J739" s="46" t="inlineStr">
        <is>
          <t xml:space="preserve">محمود المصرى </t>
        </is>
      </c>
      <c r="K739" s="46" t="inlineStr">
        <is>
          <t>المكتب</t>
        </is>
      </c>
      <c r="L739" s="47" t="n">
        <v>25000</v>
      </c>
      <c r="M739" s="47" t="n">
        <v>12000</v>
      </c>
      <c r="N739" s="47" t="n"/>
      <c r="O739" s="47" t="n"/>
      <c r="P739" s="47" t="n"/>
      <c r="Q739" s="47" t="n">
        <v>13000</v>
      </c>
      <c r="R739" s="43">
        <f>IF($B739="","",N($S739)-N($Q739))</f>
        <v/>
      </c>
      <c r="S739" s="43">
        <f>IF($B739="","",N($L739)+N($N739)+N($P739))</f>
        <v/>
      </c>
      <c r="T739" s="47" t="n">
        <v>2100</v>
      </c>
      <c r="U739" s="47" t="n">
        <v>900</v>
      </c>
      <c r="V739" s="47" t="n"/>
      <c r="W739" s="47" t="n">
        <v>200</v>
      </c>
      <c r="X739" s="47" t="n">
        <v>160</v>
      </c>
      <c r="Y739" s="47" t="n">
        <v>120</v>
      </c>
      <c r="Z739" s="47" t="n"/>
      <c r="AA739" s="47" t="n"/>
      <c r="AB739" s="47" t="n">
        <v>250</v>
      </c>
      <c r="AC739" s="47" t="n">
        <v>250</v>
      </c>
      <c r="AD739" s="47" t="n">
        <v>400</v>
      </c>
      <c r="AE739" s="47" t="n">
        <v>7500</v>
      </c>
      <c r="AF739" s="43">
        <f>IF($B739="","",SUM($T739:$AE739))</f>
        <v/>
      </c>
      <c r="AG739" s="43">
        <f>IF($B739="","",N($M739)-N($AF739))</f>
        <v/>
      </c>
      <c r="AH739" s="43">
        <f>IF($B739="","",N($L739)-N($AF739))</f>
        <v/>
      </c>
      <c r="AI739" s="149">
        <f>IF($B739="","",IF(N($L739)=0,"",(N($L739)-N($AF739))/N($L739)))</f>
        <v/>
      </c>
    </row>
    <row r="740">
      <c r="A740" s="39">
        <f>IF($B740="","",COUNTA($B$4:$B740))</f>
        <v/>
      </c>
      <c r="B740" s="40" t="n">
        <v>46114</v>
      </c>
      <c r="C740" s="41" t="n">
        <v>2314</v>
      </c>
      <c r="D740" s="41" t="inlineStr">
        <is>
          <t xml:space="preserve">كمال رزق </t>
        </is>
      </c>
      <c r="E740" s="41" t="inlineStr">
        <is>
          <t>1*40</t>
        </is>
      </c>
      <c r="F740" s="41" t="inlineStr">
        <is>
          <t>ميجابورت</t>
        </is>
      </c>
      <c r="G740" s="41" t="inlineStr">
        <is>
          <t xml:space="preserve">حلوان </t>
        </is>
      </c>
      <c r="H740" s="41" t="inlineStr">
        <is>
          <t>538882/7</t>
        </is>
      </c>
      <c r="I740" s="41" t="inlineStr">
        <is>
          <t>س ن ر 8979</t>
        </is>
      </c>
      <c r="J740" s="41" t="inlineStr">
        <is>
          <t xml:space="preserve">عماد سعيد </t>
        </is>
      </c>
      <c r="K740" s="41" t="inlineStr">
        <is>
          <t xml:space="preserve">عماد سعيد </t>
        </is>
      </c>
      <c r="L740" s="42" t="n">
        <v>16000</v>
      </c>
      <c r="M740" s="42" t="n">
        <v>9100</v>
      </c>
      <c r="N740" s="42" t="n"/>
      <c r="O740" s="42" t="n">
        <v>200</v>
      </c>
      <c r="P740" s="42" t="n"/>
      <c r="Q740" s="42" t="n">
        <v>6700</v>
      </c>
      <c r="R740" s="43">
        <f>IF($B740="","",N($S740)-N($Q740))</f>
        <v/>
      </c>
      <c r="S740" s="43">
        <f>IF($B740="","",N($L740)+N($N740)+N($P740))</f>
        <v/>
      </c>
      <c r="T740" s="42" t="n"/>
      <c r="U740" s="42" t="n"/>
      <c r="V740" s="42" t="n"/>
      <c r="W740" s="42" t="n"/>
      <c r="X740" s="42" t="n"/>
      <c r="Y740" s="42" t="n"/>
      <c r="Z740" s="42" t="n"/>
      <c r="AA740" s="42" t="n"/>
      <c r="AB740" s="42" t="n"/>
      <c r="AC740" s="42" t="n"/>
      <c r="AD740" s="42" t="n"/>
      <c r="AE740" s="42" t="n"/>
      <c r="AF740" s="43">
        <f>IF($B740="","",SUM($T740:$AE740))</f>
        <v/>
      </c>
      <c r="AG740" s="43">
        <f>IF($B740="","",N($M740)-N($AF740))</f>
        <v/>
      </c>
      <c r="AH740" s="43">
        <f>IF($B740="","",N($L740)-N($AF740))</f>
        <v/>
      </c>
      <c r="AI740" s="149">
        <f>IF($B740="","",IF(N($L740)=0,"",(N($L740)-N($AF740))/N($L740)))</f>
        <v/>
      </c>
    </row>
    <row r="741">
      <c r="A741" s="39">
        <f>IF($B741="","",COUNTA($B$4:$B741))</f>
        <v/>
      </c>
      <c r="B741" s="45" t="n">
        <v>46114</v>
      </c>
      <c r="C741" s="46" t="n">
        <v>2315</v>
      </c>
      <c r="D741" s="46" t="inlineStr">
        <is>
          <t xml:space="preserve">محمد يحى </t>
        </is>
      </c>
      <c r="E741" s="46" t="inlineStr">
        <is>
          <t>1*40</t>
        </is>
      </c>
      <c r="F741" s="46" t="inlineStr">
        <is>
          <t xml:space="preserve">الريعى </t>
        </is>
      </c>
      <c r="G741" s="46" t="inlineStr">
        <is>
          <t xml:space="preserve">الشرقية </t>
        </is>
      </c>
      <c r="H741" s="46" t="inlineStr">
        <is>
          <t>491887/9</t>
        </is>
      </c>
      <c r="I741" s="46" t="inlineStr">
        <is>
          <t>ط ف ر 1474</t>
        </is>
      </c>
      <c r="J741" s="46" t="inlineStr">
        <is>
          <t xml:space="preserve">جمال على </t>
        </is>
      </c>
      <c r="K741" s="46" t="inlineStr">
        <is>
          <t xml:space="preserve">كريم خليف </t>
        </is>
      </c>
      <c r="L741" s="47" t="n">
        <v>18000</v>
      </c>
      <c r="M741" s="47" t="n">
        <v>9100</v>
      </c>
      <c r="N741" s="47" t="n"/>
      <c r="O741" s="47" t="n">
        <v>200</v>
      </c>
      <c r="P741" s="47" t="n"/>
      <c r="Q741" s="47" t="n">
        <v>8700</v>
      </c>
      <c r="R741" s="43">
        <f>IF($B741="","",N($S741)-N($Q741))</f>
        <v/>
      </c>
      <c r="S741" s="43">
        <f>IF($B741="","",N($L741)+N($N741)+N($P741))</f>
        <v/>
      </c>
      <c r="T741" s="47" t="n"/>
      <c r="U741" s="47" t="n"/>
      <c r="V741" s="47" t="n"/>
      <c r="W741" s="47" t="n"/>
      <c r="X741" s="47" t="n"/>
      <c r="Y741" s="47" t="n"/>
      <c r="Z741" s="47" t="n"/>
      <c r="AA741" s="47" t="n"/>
      <c r="AB741" s="47" t="n"/>
      <c r="AC741" s="47" t="n"/>
      <c r="AD741" s="47" t="n"/>
      <c r="AE741" s="47" t="n"/>
      <c r="AF741" s="43">
        <f>IF($B741="","",SUM($T741:$AE741))</f>
        <v/>
      </c>
      <c r="AG741" s="43">
        <f>IF($B741="","",N($M741)-N($AF741))</f>
        <v/>
      </c>
      <c r="AH741" s="43">
        <f>IF($B741="","",N($L741)-N($AF741))</f>
        <v/>
      </c>
      <c r="AI741" s="149">
        <f>IF($B741="","",IF(N($L741)=0,"",(N($L741)-N($AF741))/N($L741)))</f>
        <v/>
      </c>
    </row>
    <row r="742">
      <c r="A742" s="39">
        <f>IF($B742="","",COUNTA($B$4:$B742))</f>
        <v/>
      </c>
      <c r="B742" s="40" t="n">
        <v>46114</v>
      </c>
      <c r="C742" s="41" t="n">
        <v>2316</v>
      </c>
      <c r="D742" s="41" t="inlineStr">
        <is>
          <t>الانصارى خ</t>
        </is>
      </c>
      <c r="E742" s="41" t="inlineStr">
        <is>
          <t>1*40</t>
        </is>
      </c>
      <c r="F742" s="41" t="inlineStr">
        <is>
          <t xml:space="preserve">الريعى </t>
        </is>
      </c>
      <c r="G742" s="41" t="inlineStr">
        <is>
          <t xml:space="preserve">الشرقية </t>
        </is>
      </c>
      <c r="H742" s="41" t="inlineStr">
        <is>
          <t>490808/9</t>
        </is>
      </c>
      <c r="I742" s="41" t="inlineStr">
        <is>
          <t>ب ص ا 2574</t>
        </is>
      </c>
      <c r="J742" s="41" t="inlineStr">
        <is>
          <t xml:space="preserve">محمد البحيرى </t>
        </is>
      </c>
      <c r="K742" s="41" t="inlineStr">
        <is>
          <t xml:space="preserve">احمد خليف </t>
        </is>
      </c>
      <c r="L742" s="42" t="n">
        <v>18000</v>
      </c>
      <c r="M742" s="42" t="n">
        <v>9100</v>
      </c>
      <c r="N742" s="42" t="n"/>
      <c r="O742" s="42" t="n">
        <v>200</v>
      </c>
      <c r="P742" s="42" t="n"/>
      <c r="Q742" s="42" t="n">
        <v>8700</v>
      </c>
      <c r="R742" s="43">
        <f>IF($B742="","",N($S742)-N($Q742))</f>
        <v/>
      </c>
      <c r="S742" s="43">
        <f>IF($B742="","",N($L742)+N($N742)+N($P742))</f>
        <v/>
      </c>
      <c r="T742" s="42" t="n"/>
      <c r="U742" s="42" t="n"/>
      <c r="V742" s="42" t="n"/>
      <c r="W742" s="42" t="n"/>
      <c r="X742" s="42" t="n"/>
      <c r="Y742" s="42" t="n"/>
      <c r="Z742" s="42" t="n"/>
      <c r="AA742" s="42" t="n"/>
      <c r="AB742" s="42" t="n"/>
      <c r="AC742" s="42" t="n"/>
      <c r="AD742" s="42" t="n"/>
      <c r="AE742" s="42" t="n"/>
      <c r="AF742" s="43">
        <f>IF($B742="","",SUM($T742:$AE742))</f>
        <v/>
      </c>
      <c r="AG742" s="43">
        <f>IF($B742="","",N($M742)-N($AF742))</f>
        <v/>
      </c>
      <c r="AH742" s="43">
        <f>IF($B742="","",N($L742)-N($AF742))</f>
        <v/>
      </c>
      <c r="AI742" s="149">
        <f>IF($B742="","",IF(N($L742)=0,"",(N($L742)-N($AF742))/N($L742)))</f>
        <v/>
      </c>
    </row>
    <row r="743">
      <c r="A743" s="39">
        <f>IF($B743="","",COUNTA($B$4:$B743))</f>
        <v/>
      </c>
      <c r="B743" s="45" t="n">
        <v>46116</v>
      </c>
      <c r="C743" s="46" t="n">
        <v>2391</v>
      </c>
      <c r="D743" s="46" t="inlineStr">
        <is>
          <t xml:space="preserve">ولعان </t>
        </is>
      </c>
      <c r="E743" s="46" t="inlineStr">
        <is>
          <t>2*20</t>
        </is>
      </c>
      <c r="F743" s="46" t="inlineStr">
        <is>
          <t xml:space="preserve">الدولية للفحم </t>
        </is>
      </c>
      <c r="G743" s="46" t="inlineStr">
        <is>
          <t>برج العرب</t>
        </is>
      </c>
      <c r="H743" s="46" t="inlineStr">
        <is>
          <t>26418/3-116080/2</t>
        </is>
      </c>
      <c r="I743" s="46" t="inlineStr">
        <is>
          <t>س ل م 5926</t>
        </is>
      </c>
      <c r="J743" s="46" t="inlineStr">
        <is>
          <t xml:space="preserve">ياسر محمد </t>
        </is>
      </c>
      <c r="K743" s="46" t="inlineStr">
        <is>
          <t xml:space="preserve">محمد عبد الكريم </t>
        </is>
      </c>
      <c r="L743" s="47" t="n">
        <v>11000</v>
      </c>
      <c r="M743" s="47" t="n">
        <v>8000</v>
      </c>
      <c r="N743" s="47" t="n"/>
      <c r="O743" s="47" t="n"/>
      <c r="P743" s="47" t="n"/>
      <c r="Q743" s="47" t="n">
        <v>3000</v>
      </c>
      <c r="R743" s="43">
        <f>IF($B743="","",N($S743)-N($Q743))</f>
        <v/>
      </c>
      <c r="S743" s="43">
        <f>IF($B743="","",N($L743)+N($N743)+N($P743))</f>
        <v/>
      </c>
      <c r="T743" s="47" t="n"/>
      <c r="U743" s="47" t="n"/>
      <c r="V743" s="47" t="n"/>
      <c r="W743" s="47" t="n"/>
      <c r="X743" s="47" t="n"/>
      <c r="Y743" s="47" t="n"/>
      <c r="Z743" s="47" t="n"/>
      <c r="AA743" s="47" t="n"/>
      <c r="AB743" s="47" t="n"/>
      <c r="AC743" s="47" t="n"/>
      <c r="AD743" s="47" t="n"/>
      <c r="AE743" s="47" t="n"/>
      <c r="AF743" s="43">
        <f>IF($B743="","",SUM($T743:$AE743))</f>
        <v/>
      </c>
      <c r="AG743" s="43">
        <f>IF($B743="","",N($M743)-N($AF743))</f>
        <v/>
      </c>
      <c r="AH743" s="43">
        <f>IF($B743="","",N($L743)-N($AF743))</f>
        <v/>
      </c>
      <c r="AI743" s="149">
        <f>IF($B743="","",IF(N($L743)=0,"",(N($L743)-N($AF743))/N($L743)))</f>
        <v/>
      </c>
    </row>
    <row r="744">
      <c r="A744" s="39">
        <f>IF($B744="","",COUNTA($B$4:$B744))</f>
        <v/>
      </c>
      <c r="B744" s="40" t="n">
        <v>46116</v>
      </c>
      <c r="C744" s="41" t="n">
        <v>2392</v>
      </c>
      <c r="D744" s="41" t="inlineStr">
        <is>
          <t xml:space="preserve">علاء علام </t>
        </is>
      </c>
      <c r="E744" s="41" t="inlineStr">
        <is>
          <t>1*20</t>
        </is>
      </c>
      <c r="F744" s="41" t="inlineStr">
        <is>
          <t xml:space="preserve">الدولية للفحم </t>
        </is>
      </c>
      <c r="G744" s="41" t="inlineStr">
        <is>
          <t>برج العرب</t>
        </is>
      </c>
      <c r="H744" s="41" t="inlineStr">
        <is>
          <t>553014/0</t>
        </is>
      </c>
      <c r="I744" s="41" t="inlineStr">
        <is>
          <t>س ا ه 8198</t>
        </is>
      </c>
      <c r="J744" s="41" t="inlineStr">
        <is>
          <t xml:space="preserve">ايمن عبدة </t>
        </is>
      </c>
      <c r="K744" s="41" t="inlineStr">
        <is>
          <t xml:space="preserve">علاء علام </t>
        </is>
      </c>
      <c r="L744" s="42" t="n">
        <v>8000</v>
      </c>
      <c r="M744" s="42" t="n">
        <v>7100</v>
      </c>
      <c r="N744" s="42" t="n"/>
      <c r="O744" s="42" t="n">
        <v>100</v>
      </c>
      <c r="P744" s="42" t="n"/>
      <c r="Q744" s="42" t="n">
        <v>800</v>
      </c>
      <c r="R744" s="43">
        <f>IF($B744="","",N($S744)-N($Q744))</f>
        <v/>
      </c>
      <c r="S744" s="43">
        <f>IF($B744="","",N($L744)+N($N744)+N($P744))</f>
        <v/>
      </c>
      <c r="T744" s="42" t="n"/>
      <c r="U744" s="42" t="n"/>
      <c r="V744" s="42" t="n"/>
      <c r="W744" s="42" t="n"/>
      <c r="X744" s="42" t="n"/>
      <c r="Y744" s="42" t="n"/>
      <c r="Z744" s="42" t="n"/>
      <c r="AA744" s="42" t="n"/>
      <c r="AB744" s="42" t="n"/>
      <c r="AC744" s="42" t="n"/>
      <c r="AD744" s="42" t="n"/>
      <c r="AE744" s="42" t="n"/>
      <c r="AF744" s="43">
        <f>IF($B744="","",SUM($T744:$AE744))</f>
        <v/>
      </c>
      <c r="AG744" s="43">
        <f>IF($B744="","",N($M744)-N($AF744))</f>
        <v/>
      </c>
      <c r="AH744" s="43">
        <f>IF($B744="","",N($L744)-N($AF744))</f>
        <v/>
      </c>
      <c r="AI744" s="149">
        <f>IF($B744="","",IF(N($L744)=0,"",(N($L744)-N($AF744))/N($L744)))</f>
        <v/>
      </c>
    </row>
    <row r="745">
      <c r="A745" s="39">
        <f>IF($B745="","",COUNTA($B$4:$B745))</f>
        <v/>
      </c>
      <c r="B745" s="45" t="n">
        <v>46116</v>
      </c>
      <c r="C745" s="46" t="n">
        <v>2393</v>
      </c>
      <c r="D745" s="46" t="inlineStr">
        <is>
          <t>عتريس مخيمر  خ</t>
        </is>
      </c>
      <c r="E745" s="46" t="inlineStr">
        <is>
          <t>1*40</t>
        </is>
      </c>
      <c r="F745" s="46" t="inlineStr">
        <is>
          <t xml:space="preserve">ايجل واى </t>
        </is>
      </c>
      <c r="G745" s="46" t="inlineStr">
        <is>
          <t xml:space="preserve">السادات </t>
        </is>
      </c>
      <c r="H745" s="46" t="inlineStr">
        <is>
          <t>527507/8</t>
        </is>
      </c>
      <c r="I745" s="46" t="inlineStr">
        <is>
          <t>ب ص ا 2574</t>
        </is>
      </c>
      <c r="J745" s="46" t="inlineStr">
        <is>
          <t xml:space="preserve">محمد البحيرى </t>
        </is>
      </c>
      <c r="K745" s="46" t="inlineStr">
        <is>
          <t xml:space="preserve">احمد خليف </t>
        </is>
      </c>
      <c r="L745" s="47" t="n">
        <v>12500</v>
      </c>
      <c r="M745" s="47" t="n">
        <v>7100</v>
      </c>
      <c r="N745" s="47" t="n"/>
      <c r="O745" s="47" t="n">
        <v>200</v>
      </c>
      <c r="P745" s="47" t="n"/>
      <c r="Q745" s="47" t="n">
        <v>5200</v>
      </c>
      <c r="R745" s="43">
        <f>IF($B745="","",N($S745)-N($Q745))</f>
        <v/>
      </c>
      <c r="S745" s="43">
        <f>IF($B745="","",N($L745)+N($N745)+N($P745))</f>
        <v/>
      </c>
      <c r="T745" s="47" t="n"/>
      <c r="U745" s="47" t="n"/>
      <c r="V745" s="47" t="n"/>
      <c r="W745" s="47" t="n"/>
      <c r="X745" s="47" t="n"/>
      <c r="Y745" s="47" t="n"/>
      <c r="Z745" s="47" t="n"/>
      <c r="AA745" s="47" t="n"/>
      <c r="AB745" s="47" t="n"/>
      <c r="AC745" s="47" t="n"/>
      <c r="AD745" s="47" t="n"/>
      <c r="AE745" s="47" t="n"/>
      <c r="AF745" s="43">
        <f>IF($B745="","",SUM($T745:$AE745))</f>
        <v/>
      </c>
      <c r="AG745" s="43">
        <f>IF($B745="","",N($M745)-N($AF745))</f>
        <v/>
      </c>
      <c r="AH745" s="43">
        <f>IF($B745="","",N($L745)-N($AF745))</f>
        <v/>
      </c>
      <c r="AI745" s="149">
        <f>IF($B745="","",IF(N($L745)=0,"",(N($L745)-N($AF745))/N($L745)))</f>
        <v/>
      </c>
    </row>
    <row r="746">
      <c r="A746" s="39">
        <f>IF($B746="","",COUNTA($B$4:$B746))</f>
        <v/>
      </c>
      <c r="B746" s="40" t="n">
        <v>46116</v>
      </c>
      <c r="C746" s="41" t="n">
        <v>2394</v>
      </c>
      <c r="D746" s="41" t="inlineStr">
        <is>
          <t xml:space="preserve">محمد يحى </t>
        </is>
      </c>
      <c r="E746" s="41" t="inlineStr">
        <is>
          <t>1*40 ث</t>
        </is>
      </c>
      <c r="F746" s="41" t="inlineStr">
        <is>
          <t xml:space="preserve">تومكو للاستيراد </t>
        </is>
      </c>
      <c r="G746" s="41" t="inlineStr">
        <is>
          <t xml:space="preserve">المنيا </t>
        </is>
      </c>
      <c r="H746" s="41" t="inlineStr">
        <is>
          <t>536318/8</t>
        </is>
      </c>
      <c r="I746" s="41" t="inlineStr">
        <is>
          <t>ع ر ب 1573</t>
        </is>
      </c>
      <c r="J746" s="41" t="inlineStr">
        <is>
          <t xml:space="preserve">محمد السيد </t>
        </is>
      </c>
      <c r="K746" s="41" t="inlineStr">
        <is>
          <t xml:space="preserve">حمو مرزوق </t>
        </is>
      </c>
      <c r="L746" s="42" t="n">
        <v>31000</v>
      </c>
      <c r="M746" s="42" t="n">
        <v>12100</v>
      </c>
      <c r="N746" s="42" t="n"/>
      <c r="O746" s="42" t="n">
        <v>200</v>
      </c>
      <c r="P746" s="42" t="n"/>
      <c r="Q746" s="42" t="n">
        <v>18700</v>
      </c>
      <c r="R746" s="43">
        <f>IF($B746="","",N($S746)-N($Q746))</f>
        <v/>
      </c>
      <c r="S746" s="43">
        <f>IF($B746="","",N($L746)+N($N746)+N($P746))</f>
        <v/>
      </c>
      <c r="T746" s="42" t="n"/>
      <c r="U746" s="42" t="n"/>
      <c r="V746" s="42" t="n"/>
      <c r="W746" s="42" t="n"/>
      <c r="X746" s="42" t="n"/>
      <c r="Y746" s="42" t="n"/>
      <c r="Z746" s="42" t="n"/>
      <c r="AA746" s="42" t="n"/>
      <c r="AB746" s="42" t="n"/>
      <c r="AC746" s="42" t="n"/>
      <c r="AD746" s="42" t="n"/>
      <c r="AE746" s="42" t="n"/>
      <c r="AF746" s="43">
        <f>IF($B746="","",SUM($T746:$AE746))</f>
        <v/>
      </c>
      <c r="AG746" s="43">
        <f>IF($B746="","",N($M746)-N($AF746))</f>
        <v/>
      </c>
      <c r="AH746" s="43">
        <f>IF($B746="","",N($L746)-N($AF746))</f>
        <v/>
      </c>
      <c r="AI746" s="149">
        <f>IF($B746="","",IF(N($L746)=0,"",(N($L746)-N($AF746))/N($L746)))</f>
        <v/>
      </c>
    </row>
    <row r="747">
      <c r="A747" s="39">
        <f>IF($B747="","",COUNTA($B$4:$B747))</f>
        <v/>
      </c>
      <c r="B747" s="45" t="n">
        <v>46117</v>
      </c>
      <c r="C747" s="46" t="n">
        <v>2399</v>
      </c>
      <c r="D747" s="46" t="inlineStr">
        <is>
          <t>حماد خ</t>
        </is>
      </c>
      <c r="E747" s="46" t="inlineStr">
        <is>
          <t>1*40</t>
        </is>
      </c>
      <c r="F747" s="46" t="inlineStr">
        <is>
          <t xml:space="preserve">حصن </t>
        </is>
      </c>
      <c r="G747" s="46" t="inlineStr">
        <is>
          <t xml:space="preserve">العاشر </t>
        </is>
      </c>
      <c r="H747" s="46" t="inlineStr">
        <is>
          <t>526744/3</t>
        </is>
      </c>
      <c r="I747" s="46" t="inlineStr">
        <is>
          <t>س ل ب 5917</t>
        </is>
      </c>
      <c r="J747" s="46" t="inlineStr">
        <is>
          <t xml:space="preserve">محمد ابراهيم </t>
        </is>
      </c>
      <c r="K747" s="46" t="inlineStr">
        <is>
          <t xml:space="preserve">علاء علام </t>
        </is>
      </c>
      <c r="L747" s="47" t="n">
        <v>16000</v>
      </c>
      <c r="M747" s="47" t="n">
        <v>9100</v>
      </c>
      <c r="N747" s="47" t="n"/>
      <c r="O747" s="47" t="n">
        <v>200</v>
      </c>
      <c r="P747" s="47" t="n"/>
      <c r="Q747" s="47" t="n">
        <v>6700</v>
      </c>
      <c r="R747" s="43">
        <f>IF($B747="","",N($S747)-N($Q747))</f>
        <v/>
      </c>
      <c r="S747" s="43">
        <f>IF($B747="","",N($L747)+N($N747)+N($P747))</f>
        <v/>
      </c>
      <c r="T747" s="47" t="n"/>
      <c r="U747" s="47" t="n"/>
      <c r="V747" s="47" t="n"/>
      <c r="W747" s="47" t="n"/>
      <c r="X747" s="47" t="n"/>
      <c r="Y747" s="47" t="n"/>
      <c r="Z747" s="47" t="n"/>
      <c r="AA747" s="47" t="n"/>
      <c r="AB747" s="47" t="n"/>
      <c r="AC747" s="47" t="n"/>
      <c r="AD747" s="47" t="n"/>
      <c r="AE747" s="47" t="n"/>
      <c r="AF747" s="43">
        <f>IF($B747="","",SUM($T747:$AE747))</f>
        <v/>
      </c>
      <c r="AG747" s="43">
        <f>IF($B747="","",N($M747)-N($AF747))</f>
        <v/>
      </c>
      <c r="AH747" s="43">
        <f>IF($B747="","",N($L747)-N($AF747))</f>
        <v/>
      </c>
      <c r="AI747" s="149">
        <f>IF($B747="","",IF(N($L747)=0,"",(N($L747)-N($AF747))/N($L747)))</f>
        <v/>
      </c>
    </row>
    <row r="748">
      <c r="A748" s="39">
        <f>IF($B748="","",COUNTA($B$4:$B748))</f>
        <v/>
      </c>
      <c r="B748" s="40" t="n">
        <v>46117</v>
      </c>
      <c r="C748" s="41" t="n">
        <v>2397</v>
      </c>
      <c r="D748" s="41" t="inlineStr">
        <is>
          <t xml:space="preserve">محمد يحى </t>
        </is>
      </c>
      <c r="E748" s="41" t="inlineStr">
        <is>
          <t>1*40</t>
        </is>
      </c>
      <c r="F748" s="41" t="inlineStr">
        <is>
          <t>وادى الرياض</t>
        </is>
      </c>
      <c r="G748" s="41" t="inlineStr">
        <is>
          <t>الاسماعيليه</t>
        </is>
      </c>
      <c r="H748" s="41" t="inlineStr">
        <is>
          <t>799484/8</t>
        </is>
      </c>
      <c r="I748" s="41" t="inlineStr">
        <is>
          <t>س ر ا 6671</t>
        </is>
      </c>
      <c r="J748" s="41" t="inlineStr">
        <is>
          <t xml:space="preserve">السيد بدوى </t>
        </is>
      </c>
      <c r="K748" s="41" t="inlineStr">
        <is>
          <t xml:space="preserve">حمو مرزوق </t>
        </is>
      </c>
      <c r="L748" s="42" t="n">
        <v>18500</v>
      </c>
      <c r="M748" s="42" t="n">
        <v>9100</v>
      </c>
      <c r="N748" s="42" t="n"/>
      <c r="O748" s="42" t="n">
        <v>200</v>
      </c>
      <c r="P748" s="42" t="n"/>
      <c r="Q748" s="42" t="n">
        <v>9200</v>
      </c>
      <c r="R748" s="43">
        <f>IF($B748="","",N($S748)-N($Q748))</f>
        <v/>
      </c>
      <c r="S748" s="43">
        <f>IF($B748="","",N($L748)+N($N748)+N($P748))</f>
        <v/>
      </c>
      <c r="T748" s="42" t="n"/>
      <c r="U748" s="42" t="n"/>
      <c r="V748" s="42" t="n"/>
      <c r="W748" s="42" t="n"/>
      <c r="X748" s="42" t="n"/>
      <c r="Y748" s="42" t="n"/>
      <c r="Z748" s="42" t="n"/>
      <c r="AA748" s="42" t="n"/>
      <c r="AB748" s="42" t="n"/>
      <c r="AC748" s="42" t="n"/>
      <c r="AD748" s="42" t="n"/>
      <c r="AE748" s="42" t="n"/>
      <c r="AF748" s="43">
        <f>IF($B748="","",SUM($T748:$AE748))</f>
        <v/>
      </c>
      <c r="AG748" s="43">
        <f>IF($B748="","",N($M748)-N($AF748))</f>
        <v/>
      </c>
      <c r="AH748" s="43">
        <f>IF($B748="","",N($L748)-N($AF748))</f>
        <v/>
      </c>
      <c r="AI748" s="149">
        <f>IF($B748="","",IF(N($L748)=0,"",(N($L748)-N($AF748))/N($L748)))</f>
        <v/>
      </c>
    </row>
    <row r="749">
      <c r="A749" s="39">
        <f>IF($B749="","",COUNTA($B$4:$B749))</f>
        <v/>
      </c>
      <c r="B749" s="45" t="n">
        <v>46117</v>
      </c>
      <c r="C749" s="46" t="n">
        <v>2398</v>
      </c>
      <c r="D749" s="46" t="inlineStr">
        <is>
          <t>المكتب</t>
        </is>
      </c>
      <c r="E749" s="46" t="inlineStr">
        <is>
          <t>1*40</t>
        </is>
      </c>
      <c r="F749" s="46" t="inlineStr">
        <is>
          <t>وادى الرياض</t>
        </is>
      </c>
      <c r="G749" s="46" t="inlineStr">
        <is>
          <t>الاسماعيليه</t>
        </is>
      </c>
      <c r="H749" s="46" t="inlineStr">
        <is>
          <t>439573/3</t>
        </is>
      </c>
      <c r="I749" s="46" t="inlineStr">
        <is>
          <t>س ع م 8737</t>
        </is>
      </c>
      <c r="J749" s="46" t="inlineStr">
        <is>
          <t xml:space="preserve">محمود المصرى </t>
        </is>
      </c>
      <c r="K749" s="46" t="inlineStr">
        <is>
          <t xml:space="preserve">المكتب </t>
        </is>
      </c>
      <c r="L749" s="47" t="n">
        <v>18700</v>
      </c>
      <c r="M749" s="47" t="n">
        <v>9000</v>
      </c>
      <c r="N749" s="47" t="n"/>
      <c r="O749" s="47" t="n"/>
      <c r="P749" s="47" t="n"/>
      <c r="Q749" s="47" t="n">
        <v>9700</v>
      </c>
      <c r="R749" s="43">
        <f>IF($B749="","",N($S749)-N($Q749))</f>
        <v/>
      </c>
      <c r="S749" s="43">
        <f>IF($B749="","",N($L749)+N($N749)+N($P749))</f>
        <v/>
      </c>
      <c r="T749" s="47" t="n">
        <v>1700</v>
      </c>
      <c r="U749" s="47" t="n">
        <v>650</v>
      </c>
      <c r="V749" s="47" t="n"/>
      <c r="W749" s="47" t="n">
        <v>200</v>
      </c>
      <c r="X749" s="47" t="n">
        <v>160</v>
      </c>
      <c r="Y749" s="47" t="n">
        <v>60</v>
      </c>
      <c r="Z749" s="47" t="n"/>
      <c r="AA749" s="47" t="n"/>
      <c r="AB749" s="47" t="n">
        <v>250</v>
      </c>
      <c r="AC749" s="47" t="n">
        <v>45</v>
      </c>
      <c r="AD749" s="47" t="n"/>
      <c r="AE749" s="47" t="n">
        <v>7070</v>
      </c>
      <c r="AF749" s="43">
        <f>IF($B749="","",SUM($T749:$AE749))</f>
        <v/>
      </c>
      <c r="AG749" s="43">
        <f>IF($B749="","",N($M749)-N($AF749))</f>
        <v/>
      </c>
      <c r="AH749" s="43">
        <f>IF($B749="","",N($L749)-N($AF749))</f>
        <v/>
      </c>
      <c r="AI749" s="149">
        <f>IF($B749="","",IF(N($L749)=0,"",(N($L749)-N($AF749))/N($L749)))</f>
        <v/>
      </c>
    </row>
    <row r="750">
      <c r="A750" s="39">
        <f>IF($B750="","",COUNTA($B$4:$B750))</f>
        <v/>
      </c>
      <c r="B750" s="40" t="n">
        <v>46117</v>
      </c>
      <c r="C750" s="41" t="n">
        <v>2400</v>
      </c>
      <c r="D750" s="41" t="inlineStr">
        <is>
          <t>عتريس مخيمر  خ</t>
        </is>
      </c>
      <c r="E750" s="41" t="inlineStr">
        <is>
          <t>2*20</t>
        </is>
      </c>
      <c r="F750" s="41" t="inlineStr">
        <is>
          <t xml:space="preserve">السويدى بوليمرز </t>
        </is>
      </c>
      <c r="G750" s="41" t="inlineStr">
        <is>
          <t>العاشر</t>
        </is>
      </c>
      <c r="H750" s="41" t="inlineStr">
        <is>
          <t>347156/8-344231/7</t>
        </is>
      </c>
      <c r="I750" s="41" t="inlineStr">
        <is>
          <t>ب ص ا 2574</t>
        </is>
      </c>
      <c r="J750" s="41" t="inlineStr">
        <is>
          <t xml:space="preserve">محمد البحيرى </t>
        </is>
      </c>
      <c r="K750" s="41" t="inlineStr">
        <is>
          <t xml:space="preserve">احمد خليف </t>
        </is>
      </c>
      <c r="L750" s="42" t="n">
        <v>20000</v>
      </c>
      <c r="M750" s="42" t="n">
        <v>12100</v>
      </c>
      <c r="N750" s="42" t="n"/>
      <c r="O750" s="42" t="n">
        <v>200</v>
      </c>
      <c r="P750" s="42" t="n"/>
      <c r="Q750" s="42" t="n">
        <v>7700</v>
      </c>
      <c r="R750" s="43">
        <f>IF($B750="","",N($S750)-N($Q750))</f>
        <v/>
      </c>
      <c r="S750" s="43">
        <f>IF($B750="","",N($L750)+N($N750)+N($P750))</f>
        <v/>
      </c>
      <c r="T750" s="42" t="n"/>
      <c r="U750" s="42" t="n"/>
      <c r="V750" s="42" t="n"/>
      <c r="W750" s="42" t="n"/>
      <c r="X750" s="42" t="n"/>
      <c r="Y750" s="42" t="n"/>
      <c r="Z750" s="42" t="n"/>
      <c r="AA750" s="42" t="n"/>
      <c r="AB750" s="42" t="n"/>
      <c r="AC750" s="42" t="n"/>
      <c r="AD750" s="42" t="n"/>
      <c r="AE750" s="42" t="n"/>
      <c r="AF750" s="43">
        <f>IF($B750="","",SUM($T750:$AE750))</f>
        <v/>
      </c>
      <c r="AG750" s="43">
        <f>IF($B750="","",N($M750)-N($AF750))</f>
        <v/>
      </c>
      <c r="AH750" s="43">
        <f>IF($B750="","",N($L750)-N($AF750))</f>
        <v/>
      </c>
      <c r="AI750" s="149">
        <f>IF($B750="","",IF(N($L750)=0,"",(N($L750)-N($AF750))/N($L750)))</f>
        <v/>
      </c>
    </row>
    <row r="751">
      <c r="A751" s="39">
        <f>IF($B751="","",COUNTA($B$4:$B751))</f>
        <v/>
      </c>
      <c r="B751" s="45" t="n">
        <v>46117</v>
      </c>
      <c r="C751" s="46" t="n">
        <v>2396</v>
      </c>
      <c r="D751" s="46" t="inlineStr">
        <is>
          <t xml:space="preserve">محمد سعيد </t>
        </is>
      </c>
      <c r="E751" s="46" t="inlineStr">
        <is>
          <t>1*20</t>
        </is>
      </c>
      <c r="F751" s="46" t="inlineStr">
        <is>
          <t xml:space="preserve">السويدى بوليمرز </t>
        </is>
      </c>
      <c r="G751" s="46" t="inlineStr">
        <is>
          <t>العاشر</t>
        </is>
      </c>
      <c r="H751" s="46" t="inlineStr">
        <is>
          <t>103108/5</t>
        </is>
      </c>
      <c r="I751" s="46" t="inlineStr">
        <is>
          <t>س ف ب 4187</t>
        </is>
      </c>
      <c r="J751" s="46" t="inlineStr">
        <is>
          <t xml:space="preserve">تور محمد </t>
        </is>
      </c>
      <c r="K751" s="46" t="inlineStr">
        <is>
          <t xml:space="preserve">البيبى </t>
        </is>
      </c>
      <c r="L751" s="47" t="n">
        <v>16000</v>
      </c>
      <c r="M751" s="47" t="n">
        <v>9100</v>
      </c>
      <c r="N751" s="47" t="n"/>
      <c r="O751" s="47" t="n">
        <v>200</v>
      </c>
      <c r="P751" s="47" t="n"/>
      <c r="Q751" s="47" t="n">
        <v>6700</v>
      </c>
      <c r="R751" s="43">
        <f>IF($B751="","",N($S751)-N($Q751))</f>
        <v/>
      </c>
      <c r="S751" s="43">
        <f>IF($B751="","",N($L751)+N($N751)+N($P751))</f>
        <v/>
      </c>
      <c r="T751" s="47" t="n"/>
      <c r="U751" s="47" t="n"/>
      <c r="V751" s="47" t="n"/>
      <c r="W751" s="47" t="n"/>
      <c r="X751" s="47" t="n"/>
      <c r="Y751" s="47" t="n"/>
      <c r="Z751" s="47" t="n"/>
      <c r="AA751" s="47" t="n"/>
      <c r="AB751" s="47" t="n"/>
      <c r="AC751" s="47" t="n"/>
      <c r="AD751" s="47" t="n"/>
      <c r="AE751" s="47" t="n"/>
      <c r="AF751" s="43">
        <f>IF($B751="","",SUM($T751:$AE751))</f>
        <v/>
      </c>
      <c r="AG751" s="43">
        <f>IF($B751="","",N($M751)-N($AF751))</f>
        <v/>
      </c>
      <c r="AH751" s="43">
        <f>IF($B751="","",N($L751)-N($AF751))</f>
        <v/>
      </c>
      <c r="AI751" s="149">
        <f>IF($B751="","",IF(N($L751)=0,"",(N($L751)-N($AF751))/N($L751)))</f>
        <v/>
      </c>
    </row>
    <row r="752">
      <c r="A752" s="39">
        <f>IF($B752="","",COUNTA($B$4:$B752))</f>
        <v/>
      </c>
      <c r="B752" s="40" t="n">
        <v>46117</v>
      </c>
      <c r="C752" s="41" t="n">
        <v>2395</v>
      </c>
      <c r="D752" s="41" t="inlineStr">
        <is>
          <t>صعيدى 4</t>
        </is>
      </c>
      <c r="E752" s="41" t="inlineStr">
        <is>
          <t>2*20</t>
        </is>
      </c>
      <c r="F752" s="41" t="inlineStr">
        <is>
          <t xml:space="preserve">الدولية للفحم </t>
        </is>
      </c>
      <c r="G752" s="41" t="inlineStr">
        <is>
          <t>البرج</t>
        </is>
      </c>
      <c r="H752" s="41" t="inlineStr">
        <is>
          <t>153882/9-117548/8</t>
        </is>
      </c>
      <c r="I752" s="41" t="inlineStr">
        <is>
          <t>ط و ط 1458</t>
        </is>
      </c>
      <c r="J752" s="41" t="inlineStr">
        <is>
          <t xml:space="preserve">هانى عزت </t>
        </is>
      </c>
      <c r="K752" s="41" t="inlineStr">
        <is>
          <t xml:space="preserve">محمد الصعيدى </t>
        </is>
      </c>
      <c r="L752" s="42" t="n">
        <v>11000</v>
      </c>
      <c r="M752" s="42" t="n">
        <v>9100</v>
      </c>
      <c r="N752" s="42" t="n"/>
      <c r="O752" s="42" t="n"/>
      <c r="P752" s="42" t="n"/>
      <c r="Q752" s="42" t="n">
        <v>1900</v>
      </c>
      <c r="R752" s="43">
        <f>IF($B752="","",N($S752)-N($Q752))</f>
        <v/>
      </c>
      <c r="S752" s="43">
        <f>IF($B752="","",N($L752)+N($N752)+N($P752))</f>
        <v/>
      </c>
      <c r="T752" s="42" t="n"/>
      <c r="U752" s="42" t="n"/>
      <c r="V752" s="42" t="n"/>
      <c r="W752" s="42" t="n"/>
      <c r="X752" s="42" t="n"/>
      <c r="Y752" s="42" t="n"/>
      <c r="Z752" s="42" t="n"/>
      <c r="AA752" s="42" t="n"/>
      <c r="AB752" s="42" t="n"/>
      <c r="AC752" s="42" t="n"/>
      <c r="AD752" s="42" t="n"/>
      <c r="AE752" s="42" t="n"/>
      <c r="AF752" s="43">
        <f>IF($B752="","",SUM($T752:$AE752))</f>
        <v/>
      </c>
      <c r="AG752" s="43">
        <f>IF($B752="","",N($M752)-N($AF752))</f>
        <v/>
      </c>
      <c r="AH752" s="43">
        <f>IF($B752="","",N($L752)-N($AF752))</f>
        <v/>
      </c>
      <c r="AI752" s="149">
        <f>IF($B752="","",IF(N($L752)=0,"",(N($L752)-N($AF752))/N($L752)))</f>
        <v/>
      </c>
    </row>
    <row r="753">
      <c r="A753" s="39">
        <f>IF($B753="","",COUNTA($B$4:$B753))</f>
        <v/>
      </c>
      <c r="B753" s="45" t="n">
        <v>46117</v>
      </c>
      <c r="C753" s="46" t="n">
        <v>2416</v>
      </c>
      <c r="D753" s="46" t="inlineStr">
        <is>
          <t xml:space="preserve">محمد يحى </t>
        </is>
      </c>
      <c r="E753" s="46" t="inlineStr">
        <is>
          <t>1*45</t>
        </is>
      </c>
      <c r="F753" s="46" t="inlineStr">
        <is>
          <t xml:space="preserve">يوريتال </t>
        </is>
      </c>
      <c r="G753" s="46" t="inlineStr">
        <is>
          <t xml:space="preserve">العبور </t>
        </is>
      </c>
      <c r="H753" s="46" t="inlineStr">
        <is>
          <t>472560/2</t>
        </is>
      </c>
      <c r="I753" s="46" t="inlineStr">
        <is>
          <t>ط ف ر 1474</t>
        </is>
      </c>
      <c r="J753" s="46" t="inlineStr">
        <is>
          <t xml:space="preserve">جمال على </t>
        </is>
      </c>
      <c r="K753" s="46" t="inlineStr">
        <is>
          <t xml:space="preserve">كريم خليف </t>
        </is>
      </c>
      <c r="L753" s="47" t="n">
        <v>15500</v>
      </c>
      <c r="M753" s="47" t="n">
        <v>9100</v>
      </c>
      <c r="N753" s="47" t="n"/>
      <c r="O753" s="47" t="n">
        <v>200</v>
      </c>
      <c r="P753" s="47" t="n"/>
      <c r="Q753" s="47" t="n">
        <v>6200</v>
      </c>
      <c r="R753" s="43">
        <f>IF($B753="","",N($S753)-N($Q753))</f>
        <v/>
      </c>
      <c r="S753" s="43">
        <f>IF($B753="","",N($L753)+N($N753)+N($P753))</f>
        <v/>
      </c>
      <c r="T753" s="47" t="n"/>
      <c r="U753" s="47" t="n"/>
      <c r="V753" s="47" t="n"/>
      <c r="W753" s="47" t="n"/>
      <c r="X753" s="47" t="n"/>
      <c r="Y753" s="47" t="n"/>
      <c r="Z753" s="47" t="n"/>
      <c r="AA753" s="47" t="n"/>
      <c r="AB753" s="47" t="n"/>
      <c r="AC753" s="47" t="n"/>
      <c r="AD753" s="47" t="n"/>
      <c r="AE753" s="47" t="n"/>
      <c r="AF753" s="43">
        <f>IF($B753="","",SUM($T753:$AE753))</f>
        <v/>
      </c>
      <c r="AG753" s="43">
        <f>IF($B753="","",N($M753)-N($AF753))</f>
        <v/>
      </c>
      <c r="AH753" s="43">
        <f>IF($B753="","",N($L753)-N($AF753))</f>
        <v/>
      </c>
      <c r="AI753" s="149">
        <f>IF($B753="","",IF(N($L753)=0,"",(N($L753)-N($AF753))/N($L753)))</f>
        <v/>
      </c>
    </row>
    <row r="754">
      <c r="A754" s="39">
        <f>IF($B754="","",COUNTA($B$4:$B754))</f>
        <v/>
      </c>
      <c r="B754" s="40" t="n">
        <v>46118</v>
      </c>
      <c r="C754" s="41" t="n">
        <v>2317</v>
      </c>
      <c r="D754" s="41" t="inlineStr">
        <is>
          <t xml:space="preserve">محمد يحى </t>
        </is>
      </c>
      <c r="E754" s="41" t="inlineStr">
        <is>
          <t>1*40 ث</t>
        </is>
      </c>
      <c r="F754" s="41" t="n"/>
      <c r="G754" s="41" t="inlineStr">
        <is>
          <t xml:space="preserve">دهشور </t>
        </is>
      </c>
      <c r="H754" s="41" t="inlineStr">
        <is>
          <t>505398/4</t>
        </is>
      </c>
      <c r="I754" s="41" t="inlineStr">
        <is>
          <t>س ص ى 2794</t>
        </is>
      </c>
      <c r="J754" s="41" t="inlineStr">
        <is>
          <t xml:space="preserve">خالد السيد </t>
        </is>
      </c>
      <c r="K754" s="41" t="inlineStr">
        <is>
          <t xml:space="preserve">ابو كارما </t>
        </is>
      </c>
      <c r="L754" s="42" t="n">
        <v>17500</v>
      </c>
      <c r="M754" s="42" t="n">
        <v>10100</v>
      </c>
      <c r="N754" s="42" t="n"/>
      <c r="O754" s="42" t="n">
        <v>200</v>
      </c>
      <c r="P754" s="42" t="n"/>
      <c r="Q754" s="42" t="n">
        <v>7200</v>
      </c>
      <c r="R754" s="43">
        <f>IF($B754="","",N($S754)-N($Q754))</f>
        <v/>
      </c>
      <c r="S754" s="43">
        <f>IF($B754="","",N($L754)+N($N754)+N($P754))</f>
        <v/>
      </c>
      <c r="T754" s="42" t="n"/>
      <c r="U754" s="42" t="n"/>
      <c r="V754" s="42" t="n"/>
      <c r="W754" s="42" t="n"/>
      <c r="X754" s="42" t="n"/>
      <c r="Y754" s="42" t="n"/>
      <c r="Z754" s="42" t="n"/>
      <c r="AA754" s="42" t="n"/>
      <c r="AB754" s="42" t="n"/>
      <c r="AC754" s="42" t="n"/>
      <c r="AD754" s="42" t="n"/>
      <c r="AE754" s="42" t="n"/>
      <c r="AF754" s="43">
        <f>IF($B754="","",SUM($T754:$AE754))</f>
        <v/>
      </c>
      <c r="AG754" s="43">
        <f>IF($B754="","",N($M754)-N($AF754))</f>
        <v/>
      </c>
      <c r="AH754" s="43">
        <f>IF($B754="","",N($L754)-N($AF754))</f>
        <v/>
      </c>
      <c r="AI754" s="149">
        <f>IF($B754="","",IF(N($L754)=0,"",(N($L754)-N($AF754))/N($L754)))</f>
        <v/>
      </c>
    </row>
    <row r="755">
      <c r="A755" s="39">
        <f>IF($B755="","",COUNTA($B$4:$B755))</f>
        <v/>
      </c>
      <c r="B755" s="45" t="n">
        <v>46118</v>
      </c>
      <c r="C755" s="46" t="n">
        <v>2318</v>
      </c>
      <c r="D755" s="46" t="inlineStr">
        <is>
          <t>رجب عبد العال خ</t>
        </is>
      </c>
      <c r="E755" s="46" t="inlineStr">
        <is>
          <t>1*40 ث</t>
        </is>
      </c>
      <c r="F755" s="46" t="inlineStr">
        <is>
          <t xml:space="preserve">نورملا </t>
        </is>
      </c>
      <c r="G755" s="46" t="inlineStr">
        <is>
          <t xml:space="preserve">دهشور </t>
        </is>
      </c>
      <c r="H755" s="46" t="inlineStr">
        <is>
          <t>169880/3</t>
        </is>
      </c>
      <c r="I755" s="46" t="inlineStr">
        <is>
          <t>ب ا ع 3281</t>
        </is>
      </c>
      <c r="J755" s="46" t="inlineStr">
        <is>
          <t xml:space="preserve">حسين </t>
        </is>
      </c>
      <c r="K755" s="46" t="inlineStr">
        <is>
          <t xml:space="preserve">ابراهيم انور </t>
        </is>
      </c>
      <c r="L755" s="47" t="n">
        <v>17500</v>
      </c>
      <c r="M755" s="47" t="n">
        <v>10100</v>
      </c>
      <c r="N755" s="47" t="n"/>
      <c r="O755" s="47" t="n">
        <v>200</v>
      </c>
      <c r="P755" s="47" t="n"/>
      <c r="Q755" s="47" t="n">
        <v>7200</v>
      </c>
      <c r="R755" s="43">
        <f>IF($B755="","",N($S755)-N($Q755))</f>
        <v/>
      </c>
      <c r="S755" s="43">
        <f>IF($B755="","",N($L755)+N($N755)+N($P755))</f>
        <v/>
      </c>
      <c r="T755" s="47" t="n"/>
      <c r="U755" s="47" t="n"/>
      <c r="V755" s="47" t="n"/>
      <c r="W755" s="47" t="n"/>
      <c r="X755" s="47" t="n"/>
      <c r="Y755" s="47" t="n"/>
      <c r="Z755" s="47" t="n"/>
      <c r="AA755" s="47" t="n"/>
      <c r="AB755" s="47" t="n"/>
      <c r="AC755" s="47" t="n"/>
      <c r="AD755" s="47" t="n"/>
      <c r="AE755" s="47" t="n"/>
      <c r="AF755" s="43">
        <f>IF($B755="","",SUM($T755:$AE755))</f>
        <v/>
      </c>
      <c r="AG755" s="43">
        <f>IF($B755="","",N($M755)-N($AF755))</f>
        <v/>
      </c>
      <c r="AH755" s="43">
        <f>IF($B755="","",N($L755)-N($AF755))</f>
        <v/>
      </c>
      <c r="AI755" s="149">
        <f>IF($B755="","",IF(N($L755)=0,"",(N($L755)-N($AF755))/N($L755)))</f>
        <v/>
      </c>
    </row>
    <row r="756">
      <c r="A756" s="39">
        <f>IF($B756="","",COUNTA($B$4:$B756))</f>
        <v/>
      </c>
      <c r="B756" s="40" t="n">
        <v>46118</v>
      </c>
      <c r="C756" s="41" t="n">
        <v>2319</v>
      </c>
      <c r="D756" s="41" t="inlineStr">
        <is>
          <t>رجب عبد العال خ</t>
        </is>
      </c>
      <c r="E756" s="41" t="inlineStr">
        <is>
          <t>1*40 ث</t>
        </is>
      </c>
      <c r="F756" s="41" t="inlineStr">
        <is>
          <t xml:space="preserve">نورملا </t>
        </is>
      </c>
      <c r="G756" s="41" t="inlineStr">
        <is>
          <t xml:space="preserve">دهشور </t>
        </is>
      </c>
      <c r="H756" s="41" t="inlineStr">
        <is>
          <t>659002/9</t>
        </is>
      </c>
      <c r="I756" s="41" t="inlineStr">
        <is>
          <t>س ق ب 5641</t>
        </is>
      </c>
      <c r="J756" s="41" t="inlineStr">
        <is>
          <t xml:space="preserve">محمد جابر </t>
        </is>
      </c>
      <c r="K756" s="41" t="inlineStr">
        <is>
          <t xml:space="preserve">ابراهيم انور </t>
        </is>
      </c>
      <c r="L756" s="42" t="n">
        <v>17500</v>
      </c>
      <c r="M756" s="42" t="n">
        <v>10100</v>
      </c>
      <c r="N756" s="42" t="n"/>
      <c r="O756" s="42" t="n">
        <v>200</v>
      </c>
      <c r="P756" s="42" t="n"/>
      <c r="Q756" s="42" t="n">
        <v>7200</v>
      </c>
      <c r="R756" s="43">
        <f>IF($B756="","",N($S756)-N($Q756))</f>
        <v/>
      </c>
      <c r="S756" s="43">
        <f>IF($B756="","",N($L756)+N($N756)+N($P756))</f>
        <v/>
      </c>
      <c r="T756" s="42" t="n"/>
      <c r="U756" s="42" t="n"/>
      <c r="V756" s="42" t="n"/>
      <c r="W756" s="42" t="n"/>
      <c r="X756" s="42" t="n"/>
      <c r="Y756" s="42" t="n"/>
      <c r="Z756" s="42" t="n"/>
      <c r="AA756" s="42" t="n"/>
      <c r="AB756" s="42" t="n"/>
      <c r="AC756" s="42" t="n"/>
      <c r="AD756" s="42" t="n"/>
      <c r="AE756" s="42" t="n"/>
      <c r="AF756" s="43">
        <f>IF($B756="","",SUM($T756:$AE756))</f>
        <v/>
      </c>
      <c r="AG756" s="43">
        <f>IF($B756="","",N($M756)-N($AF756))</f>
        <v/>
      </c>
      <c r="AH756" s="43">
        <f>IF($B756="","",N($L756)-N($AF756))</f>
        <v/>
      </c>
      <c r="AI756" s="149">
        <f>IF($B756="","",IF(N($L756)=0,"",(N($L756)-N($AF756))/N($L756)))</f>
        <v/>
      </c>
    </row>
    <row r="757">
      <c r="A757" s="39">
        <f>IF($B757="","",COUNTA($B$4:$B757))</f>
        <v/>
      </c>
      <c r="B757" s="45" t="n">
        <v>46118</v>
      </c>
      <c r="C757" s="46" t="n">
        <v>2320</v>
      </c>
      <c r="D757" s="46" t="n"/>
      <c r="E757" s="46" t="inlineStr">
        <is>
          <t>1*40 ث</t>
        </is>
      </c>
      <c r="F757" s="46" t="inlineStr">
        <is>
          <t>محمود مسعود</t>
        </is>
      </c>
      <c r="G757" s="46" t="inlineStr">
        <is>
          <t xml:space="preserve">التوفيقية </t>
        </is>
      </c>
      <c r="H757" s="46" t="inlineStr">
        <is>
          <t>602890/2</t>
        </is>
      </c>
      <c r="I757" s="46" t="inlineStr">
        <is>
          <t>س و ب 5294</t>
        </is>
      </c>
      <c r="J757" s="46" t="inlineStr">
        <is>
          <t xml:space="preserve">حسن عواد </t>
        </is>
      </c>
      <c r="K757" s="46" t="inlineStr">
        <is>
          <t xml:space="preserve">سامى جمال </t>
        </is>
      </c>
      <c r="L757" s="47" t="n">
        <v>12500</v>
      </c>
      <c r="M757" s="47" t="n">
        <v>8100</v>
      </c>
      <c r="N757" s="47" t="n"/>
      <c r="O757" s="47" t="n">
        <v>200</v>
      </c>
      <c r="P757" s="47" t="n"/>
      <c r="Q757" s="47" t="n">
        <v>4200</v>
      </c>
      <c r="R757" s="43">
        <f>IF($B757="","",N($S757)-N($Q757))</f>
        <v/>
      </c>
      <c r="S757" s="43">
        <f>IF($B757="","",N($L757)+N($N757)+N($P757))</f>
        <v/>
      </c>
      <c r="T757" s="47" t="n"/>
      <c r="U757" s="47" t="n"/>
      <c r="V757" s="47" t="n"/>
      <c r="W757" s="47" t="n"/>
      <c r="X757" s="47" t="n"/>
      <c r="Y757" s="47" t="n"/>
      <c r="Z757" s="47" t="n"/>
      <c r="AA757" s="47" t="n"/>
      <c r="AB757" s="47" t="n"/>
      <c r="AC757" s="47" t="n"/>
      <c r="AD757" s="47" t="n"/>
      <c r="AE757" s="47" t="n"/>
      <c r="AF757" s="43">
        <f>IF($B757="","",SUM($T757:$AE757))</f>
        <v/>
      </c>
      <c r="AG757" s="43">
        <f>IF($B757="","",N($M757)-N($AF757))</f>
        <v/>
      </c>
      <c r="AH757" s="43">
        <f>IF($B757="","",N($L757)-N($AF757))</f>
        <v/>
      </c>
      <c r="AI757" s="149">
        <f>IF($B757="","",IF(N($L757)=0,"",(N($L757)-N($AF757))/N($L757)))</f>
        <v/>
      </c>
    </row>
    <row r="758">
      <c r="A758" s="39">
        <f>IF($B758="","",COUNTA($B$4:$B758))</f>
        <v/>
      </c>
      <c r="B758" s="40" t="n">
        <v>46118</v>
      </c>
      <c r="C758" s="41" t="n">
        <v>2321</v>
      </c>
      <c r="D758" s="41" t="inlineStr">
        <is>
          <t xml:space="preserve">اليابانى </t>
        </is>
      </c>
      <c r="E758" s="41" t="inlineStr">
        <is>
          <t>1*40 ث</t>
        </is>
      </c>
      <c r="F758" s="41" t="inlineStr">
        <is>
          <t>محمود مسعود</t>
        </is>
      </c>
      <c r="G758" s="41" t="inlineStr">
        <is>
          <t xml:space="preserve">التوفيقية </t>
        </is>
      </c>
      <c r="H758" s="41" t="inlineStr">
        <is>
          <t>903302/7</t>
        </is>
      </c>
      <c r="I758" s="41" t="inlineStr">
        <is>
          <t>س و ب 3426</t>
        </is>
      </c>
      <c r="J758" s="41" t="inlineStr">
        <is>
          <t xml:space="preserve">اسلام محمد </t>
        </is>
      </c>
      <c r="K758" s="41" t="inlineStr">
        <is>
          <t>محمود عباد</t>
        </is>
      </c>
      <c r="L758" s="42" t="n">
        <v>12500</v>
      </c>
      <c r="M758" s="42" t="n">
        <v>8100</v>
      </c>
      <c r="N758" s="42" t="n"/>
      <c r="O758" s="42" t="n">
        <v>200</v>
      </c>
      <c r="P758" s="42" t="n"/>
      <c r="Q758" s="42" t="n">
        <v>4200</v>
      </c>
      <c r="R758" s="43">
        <f>IF($B758="","",N($S758)-N($Q758))</f>
        <v/>
      </c>
      <c r="S758" s="43">
        <f>IF($B758="","",N($L758)+N($N758)+N($P758))</f>
        <v/>
      </c>
      <c r="T758" s="42" t="n"/>
      <c r="U758" s="42" t="n"/>
      <c r="V758" s="42" t="n"/>
      <c r="W758" s="42" t="n"/>
      <c r="X758" s="42" t="n"/>
      <c r="Y758" s="42" t="n"/>
      <c r="Z758" s="42" t="n"/>
      <c r="AA758" s="42" t="n"/>
      <c r="AB758" s="42" t="n"/>
      <c r="AC758" s="42" t="n"/>
      <c r="AD758" s="42" t="n"/>
      <c r="AE758" s="42" t="n"/>
      <c r="AF758" s="43">
        <f>IF($B758="","",SUM($T758:$AE758))</f>
        <v/>
      </c>
      <c r="AG758" s="43">
        <f>IF($B758="","",N($M758)-N($AF758))</f>
        <v/>
      </c>
      <c r="AH758" s="43">
        <f>IF($B758="","",N($L758)-N($AF758))</f>
        <v/>
      </c>
      <c r="AI758" s="149">
        <f>IF($B758="","",IF(N($L758)=0,"",(N($L758)-N($AF758))/N($L758)))</f>
        <v/>
      </c>
    </row>
    <row r="759">
      <c r="A759" s="39">
        <f>IF($B759="","",COUNTA($B$4:$B759))</f>
        <v/>
      </c>
      <c r="B759" s="45" t="n">
        <v>46118</v>
      </c>
      <c r="C759" s="46" t="n">
        <v>2475</v>
      </c>
      <c r="D759" s="46" t="inlineStr">
        <is>
          <t xml:space="preserve">محمد يحى </t>
        </is>
      </c>
      <c r="E759" s="46" t="inlineStr">
        <is>
          <t>1*40 ث</t>
        </is>
      </c>
      <c r="F759" s="46" t="inlineStr">
        <is>
          <t xml:space="preserve">نايلكس </t>
        </is>
      </c>
      <c r="G759" s="46" t="inlineStr">
        <is>
          <t xml:space="preserve">اكتوبر </t>
        </is>
      </c>
      <c r="H759" s="46" t="inlineStr">
        <is>
          <t>697742/6</t>
        </is>
      </c>
      <c r="I759" s="46" t="inlineStr">
        <is>
          <t>ع ر ب 1573</t>
        </is>
      </c>
      <c r="J759" s="46" t="inlineStr">
        <is>
          <t xml:space="preserve">محمد السيد </t>
        </is>
      </c>
      <c r="K759" s="46" t="inlineStr">
        <is>
          <t xml:space="preserve">حمو مرزوق </t>
        </is>
      </c>
      <c r="L759" s="47" t="n">
        <v>15500</v>
      </c>
      <c r="M759" s="47" t="n">
        <v>9100</v>
      </c>
      <c r="N759" s="47" t="n"/>
      <c r="O759" s="47" t="n">
        <v>200</v>
      </c>
      <c r="P759" s="47" t="n"/>
      <c r="Q759" s="47" t="n">
        <v>6200</v>
      </c>
      <c r="R759" s="43">
        <f>IF($B759="","",N($S759)-N($Q759))</f>
        <v/>
      </c>
      <c r="S759" s="43">
        <f>IF($B759="","",N($L759)+N($N759)+N($P759))</f>
        <v/>
      </c>
      <c r="T759" s="47" t="n"/>
      <c r="U759" s="47" t="n"/>
      <c r="V759" s="47" t="n"/>
      <c r="W759" s="47" t="n"/>
      <c r="X759" s="47" t="n"/>
      <c r="Y759" s="47" t="n"/>
      <c r="Z759" s="47" t="n"/>
      <c r="AA759" s="47" t="n"/>
      <c r="AB759" s="47" t="n"/>
      <c r="AC759" s="47" t="n"/>
      <c r="AD759" s="47" t="n"/>
      <c r="AE759" s="47" t="n"/>
      <c r="AF759" s="43">
        <f>IF($B759="","",SUM($T759:$AE759))</f>
        <v/>
      </c>
      <c r="AG759" s="43">
        <f>IF($B759="","",N($M759)-N($AF759))</f>
        <v/>
      </c>
      <c r="AH759" s="43">
        <f>IF($B759="","",N($L759)-N($AF759))</f>
        <v/>
      </c>
      <c r="AI759" s="149">
        <f>IF($B759="","",IF(N($L759)=0,"",(N($L759)-N($AF759))/N($L759)))</f>
        <v/>
      </c>
    </row>
    <row r="760">
      <c r="A760" s="39">
        <f>IF($B760="","",COUNTA($B$4:$B760))</f>
        <v/>
      </c>
      <c r="B760" s="40" t="n">
        <v>46118</v>
      </c>
      <c r="C760" s="41" t="n">
        <v>2476</v>
      </c>
      <c r="D760" s="41" t="inlineStr">
        <is>
          <t xml:space="preserve">محمد يحى </t>
        </is>
      </c>
      <c r="E760" s="41" t="inlineStr">
        <is>
          <t>1*40 ث</t>
        </is>
      </c>
      <c r="F760" s="41" t="inlineStr">
        <is>
          <t xml:space="preserve">نايلكس </t>
        </is>
      </c>
      <c r="G760" s="41" t="inlineStr">
        <is>
          <t xml:space="preserve">اكتوبر </t>
        </is>
      </c>
      <c r="H760" s="41" t="inlineStr">
        <is>
          <t>697742/6</t>
        </is>
      </c>
      <c r="I760" s="41" t="inlineStr">
        <is>
          <t>س ر ا 6671</t>
        </is>
      </c>
      <c r="J760" s="41" t="inlineStr">
        <is>
          <t xml:space="preserve">السيد مرسى </t>
        </is>
      </c>
      <c r="K760" s="41" t="inlineStr">
        <is>
          <t xml:space="preserve">حمو مرزوق </t>
        </is>
      </c>
      <c r="L760" s="42" t="n">
        <v>15500</v>
      </c>
      <c r="M760" s="42" t="n">
        <v>9100</v>
      </c>
      <c r="N760" s="42" t="n"/>
      <c r="O760" s="42" t="n">
        <v>200</v>
      </c>
      <c r="P760" s="42" t="n"/>
      <c r="Q760" s="42" t="n">
        <v>6200</v>
      </c>
      <c r="R760" s="43">
        <f>IF($B760="","",N($S760)-N($Q760))</f>
        <v/>
      </c>
      <c r="S760" s="43">
        <f>IF($B760="","",N($L760)+N($N760)+N($P760))</f>
        <v/>
      </c>
      <c r="T760" s="42" t="n"/>
      <c r="U760" s="42" t="n"/>
      <c r="V760" s="42" t="n"/>
      <c r="W760" s="42" t="n"/>
      <c r="X760" s="42" t="n"/>
      <c r="Y760" s="42" t="n"/>
      <c r="Z760" s="42" t="n"/>
      <c r="AA760" s="42" t="n"/>
      <c r="AB760" s="42" t="n"/>
      <c r="AC760" s="42" t="n"/>
      <c r="AD760" s="42" t="n"/>
      <c r="AE760" s="42" t="n"/>
      <c r="AF760" s="43">
        <f>IF($B760="","",SUM($T760:$AE760))</f>
        <v/>
      </c>
      <c r="AG760" s="43">
        <f>IF($B760="","",N($M760)-N($AF760))</f>
        <v/>
      </c>
      <c r="AH760" s="43">
        <f>IF($B760="","",N($L760)-N($AF760))</f>
        <v/>
      </c>
      <c r="AI760" s="149">
        <f>IF($B760="","",IF(N($L760)=0,"",(N($L760)-N($AF760))/N($L760)))</f>
        <v/>
      </c>
    </row>
    <row r="761">
      <c r="A761" s="39">
        <f>IF($B761="","",COUNTA($B$4:$B761))</f>
        <v/>
      </c>
      <c r="B761" s="45" t="n">
        <v>46118</v>
      </c>
      <c r="C761" s="46" t="n">
        <v>2477</v>
      </c>
      <c r="D761" s="46" t="inlineStr">
        <is>
          <t xml:space="preserve">محمد سعيد </t>
        </is>
      </c>
      <c r="E761" s="46" t="inlineStr">
        <is>
          <t>1*40 ث</t>
        </is>
      </c>
      <c r="F761" s="46" t="inlineStr">
        <is>
          <t xml:space="preserve">نايلكس </t>
        </is>
      </c>
      <c r="G761" s="46" t="inlineStr">
        <is>
          <t xml:space="preserve">اكتوبر </t>
        </is>
      </c>
      <c r="H761" s="46" t="inlineStr">
        <is>
          <t>571751/1</t>
        </is>
      </c>
      <c r="I761" s="46" t="inlineStr">
        <is>
          <t>س ع ه 3237</t>
        </is>
      </c>
      <c r="J761" s="46" t="inlineStr">
        <is>
          <t xml:space="preserve">محمد صالح </t>
        </is>
      </c>
      <c r="K761" s="46" t="inlineStr">
        <is>
          <t xml:space="preserve">البيبى </t>
        </is>
      </c>
      <c r="L761" s="47" t="n">
        <v>15500</v>
      </c>
      <c r="M761" s="47" t="n">
        <v>9100</v>
      </c>
      <c r="N761" s="47" t="n"/>
      <c r="O761" s="47" t="n">
        <v>200</v>
      </c>
      <c r="P761" s="47" t="n"/>
      <c r="Q761" s="47" t="n">
        <v>6200</v>
      </c>
      <c r="R761" s="43">
        <f>IF($B761="","",N($S761)-N($Q761))</f>
        <v/>
      </c>
      <c r="S761" s="43">
        <f>IF($B761="","",N($L761)+N($N761)+N($P761))</f>
        <v/>
      </c>
      <c r="T761" s="47" t="n"/>
      <c r="U761" s="47" t="n"/>
      <c r="V761" s="47" t="n"/>
      <c r="W761" s="47" t="n"/>
      <c r="X761" s="47" t="n"/>
      <c r="Y761" s="47" t="n"/>
      <c r="Z761" s="47" t="n"/>
      <c r="AA761" s="47" t="n"/>
      <c r="AB761" s="47" t="n"/>
      <c r="AC761" s="47" t="n"/>
      <c r="AD761" s="47" t="n"/>
      <c r="AE761" s="47" t="n"/>
      <c r="AF761" s="43">
        <f>IF($B761="","",SUM($T761:$AE761))</f>
        <v/>
      </c>
      <c r="AG761" s="43">
        <f>IF($B761="","",N($M761)-N($AF761))</f>
        <v/>
      </c>
      <c r="AH761" s="43">
        <f>IF($B761="","",N($L761)-N($AF761))</f>
        <v/>
      </c>
      <c r="AI761" s="149">
        <f>IF($B761="","",IF(N($L761)=0,"",(N($L761)-N($AF761))/N($L761)))</f>
        <v/>
      </c>
    </row>
    <row r="762">
      <c r="A762" s="39">
        <f>IF($B762="","",COUNTA($B$4:$B762))</f>
        <v/>
      </c>
      <c r="B762" s="40" t="n">
        <v>46118</v>
      </c>
      <c r="C762" s="41" t="n">
        <v>2474</v>
      </c>
      <c r="D762" s="41" t="inlineStr">
        <is>
          <t xml:space="preserve">محمد يحى </t>
        </is>
      </c>
      <c r="E762" s="41" t="inlineStr">
        <is>
          <t>1*40</t>
        </is>
      </c>
      <c r="F762" s="41" t="inlineStr">
        <is>
          <t xml:space="preserve">يونايتد باك </t>
        </is>
      </c>
      <c r="G762" s="41" t="inlineStr">
        <is>
          <t>العاشر</t>
        </is>
      </c>
      <c r="H762" s="41" t="inlineStr">
        <is>
          <t>890451/9</t>
        </is>
      </c>
      <c r="I762" s="41" t="inlineStr">
        <is>
          <t>ط ف ر 1474</t>
        </is>
      </c>
      <c r="J762" s="41" t="inlineStr">
        <is>
          <t xml:space="preserve">جمال على </t>
        </is>
      </c>
      <c r="K762" s="41" t="inlineStr">
        <is>
          <t xml:space="preserve">كريم خليف </t>
        </is>
      </c>
      <c r="L762" s="42" t="n">
        <v>15500</v>
      </c>
      <c r="M762" s="42" t="n">
        <v>9100</v>
      </c>
      <c r="N762" s="42" t="n"/>
      <c r="O762" s="42" t="n">
        <v>200</v>
      </c>
      <c r="P762" s="42" t="n"/>
      <c r="Q762" s="42" t="n">
        <v>6200</v>
      </c>
      <c r="R762" s="43">
        <f>IF($B762="","",N($S762)-N($Q762))</f>
        <v/>
      </c>
      <c r="S762" s="43">
        <f>IF($B762="","",N($L762)+N($N762)+N($P762))</f>
        <v/>
      </c>
      <c r="T762" s="42" t="n"/>
      <c r="U762" s="42" t="n"/>
      <c r="V762" s="42" t="n"/>
      <c r="W762" s="42" t="n"/>
      <c r="X762" s="42" t="n"/>
      <c r="Y762" s="42" t="n"/>
      <c r="Z762" s="42" t="n"/>
      <c r="AA762" s="42" t="n"/>
      <c r="AB762" s="42" t="n"/>
      <c r="AC762" s="42" t="n"/>
      <c r="AD762" s="42" t="n"/>
      <c r="AE762" s="42" t="n"/>
      <c r="AF762" s="43">
        <f>IF($B762="","",SUM($T762:$AE762))</f>
        <v/>
      </c>
      <c r="AG762" s="43">
        <f>IF($B762="","",N($M762)-N($AF762))</f>
        <v/>
      </c>
      <c r="AH762" s="43">
        <f>IF($B762="","",N($L762)-N($AF762))</f>
        <v/>
      </c>
      <c r="AI762" s="149">
        <f>IF($B762="","",IF(N($L762)=0,"",(N($L762)-N($AF762))/N($L762)))</f>
        <v/>
      </c>
    </row>
    <row r="763">
      <c r="A763" s="39">
        <f>IF($B763="","",COUNTA($B$4:$B763))</f>
        <v/>
      </c>
      <c r="B763" s="45" t="n">
        <v>46118</v>
      </c>
      <c r="C763" s="46" t="n">
        <v>2420</v>
      </c>
      <c r="D763" s="46" t="inlineStr">
        <is>
          <t xml:space="preserve">احمد محسن </t>
        </is>
      </c>
      <c r="E763" s="46" t="inlineStr">
        <is>
          <t>1*40</t>
        </is>
      </c>
      <c r="F763" s="46" t="inlineStr">
        <is>
          <t xml:space="preserve">اتش دى </t>
        </is>
      </c>
      <c r="G763" s="46" t="inlineStr">
        <is>
          <t>العاشر</t>
        </is>
      </c>
      <c r="H763" s="46" t="inlineStr">
        <is>
          <t>520040/7</t>
        </is>
      </c>
      <c r="I763" s="46" t="inlineStr">
        <is>
          <t>س ع ا 7219</t>
        </is>
      </c>
      <c r="J763" s="46" t="inlineStr">
        <is>
          <t xml:space="preserve">طلعت محمد </t>
        </is>
      </c>
      <c r="K763" s="46" t="inlineStr">
        <is>
          <t xml:space="preserve">احمد محسن </t>
        </is>
      </c>
      <c r="L763" s="47" t="n">
        <v>15500</v>
      </c>
      <c r="M763" s="47" t="n">
        <v>9100</v>
      </c>
      <c r="N763" s="47" t="n"/>
      <c r="O763" s="47" t="n">
        <v>200</v>
      </c>
      <c r="P763" s="47" t="n"/>
      <c r="Q763" s="47" t="n">
        <v>6200</v>
      </c>
      <c r="R763" s="43">
        <f>IF($B763="","",N($S763)-N($Q763))</f>
        <v/>
      </c>
      <c r="S763" s="43">
        <f>IF($B763="","",N($L763)+N($N763)+N($P763))</f>
        <v/>
      </c>
      <c r="T763" s="47" t="n"/>
      <c r="U763" s="47" t="n"/>
      <c r="V763" s="47" t="n"/>
      <c r="W763" s="47" t="n"/>
      <c r="X763" s="47" t="n"/>
      <c r="Y763" s="47" t="n"/>
      <c r="Z763" s="47" t="n"/>
      <c r="AA763" s="47" t="n"/>
      <c r="AB763" s="47" t="n"/>
      <c r="AC763" s="47" t="n"/>
      <c r="AD763" s="47" t="n"/>
      <c r="AE763" s="47" t="n"/>
      <c r="AF763" s="43">
        <f>IF($B763="","",SUM($T763:$AE763))</f>
        <v/>
      </c>
      <c r="AG763" s="43">
        <f>IF($B763="","",N($M763)-N($AF763))</f>
        <v/>
      </c>
      <c r="AH763" s="43">
        <f>IF($B763="","",N($L763)-N($AF763))</f>
        <v/>
      </c>
      <c r="AI763" s="149">
        <f>IF($B763="","",IF(N($L763)=0,"",(N($L763)-N($AF763))/N($L763)))</f>
        <v/>
      </c>
    </row>
    <row r="764">
      <c r="A764" s="39">
        <f>IF($B764="","",COUNTA($B$4:$B764))</f>
        <v/>
      </c>
      <c r="B764" s="40" t="n">
        <v>46118</v>
      </c>
      <c r="C764" s="41" t="n">
        <v>2419</v>
      </c>
      <c r="D764" s="41" t="inlineStr">
        <is>
          <t>ايوب</t>
        </is>
      </c>
      <c r="E764" s="41" t="inlineStr">
        <is>
          <t>1*40</t>
        </is>
      </c>
      <c r="F764" s="41" t="inlineStr">
        <is>
          <t xml:space="preserve">ايتامكو </t>
        </is>
      </c>
      <c r="G764" s="41" t="inlineStr">
        <is>
          <t xml:space="preserve">ط التحدى </t>
        </is>
      </c>
      <c r="H764" s="41" t="inlineStr">
        <is>
          <t>625151/0</t>
        </is>
      </c>
      <c r="I764" s="41" t="inlineStr">
        <is>
          <t>ط ف ر 5195</t>
        </is>
      </c>
      <c r="J764" s="41" t="inlineStr">
        <is>
          <t xml:space="preserve">شريف الصعيدى </t>
        </is>
      </c>
      <c r="K764" s="41" t="inlineStr">
        <is>
          <t xml:space="preserve">ايوب </t>
        </is>
      </c>
      <c r="L764" s="42" t="n">
        <v>12500</v>
      </c>
      <c r="M764" s="42" t="n">
        <v>8100</v>
      </c>
      <c r="N764" s="42" t="n"/>
      <c r="O764" s="42" t="n">
        <v>200</v>
      </c>
      <c r="P764" s="42" t="n"/>
      <c r="Q764" s="42" t="n">
        <v>4200</v>
      </c>
      <c r="R764" s="43">
        <f>IF($B764="","",N($S764)-N($Q764))</f>
        <v/>
      </c>
      <c r="S764" s="43">
        <f>IF($B764="","",N($L764)+N($N764)+N($P764))</f>
        <v/>
      </c>
      <c r="T764" s="42" t="n"/>
      <c r="U764" s="42" t="n"/>
      <c r="V764" s="42" t="n"/>
      <c r="W764" s="42" t="n"/>
      <c r="X764" s="42" t="n"/>
      <c r="Y764" s="42" t="n"/>
      <c r="Z764" s="42" t="n"/>
      <c r="AA764" s="42" t="n"/>
      <c r="AB764" s="42" t="n"/>
      <c r="AC764" s="42" t="n"/>
      <c r="AD764" s="42" t="n"/>
      <c r="AE764" s="42" t="n"/>
      <c r="AF764" s="43">
        <f>IF($B764="","",SUM($T764:$AE764))</f>
        <v/>
      </c>
      <c r="AG764" s="43">
        <f>IF($B764="","",N($M764)-N($AF764))</f>
        <v/>
      </c>
      <c r="AH764" s="43">
        <f>IF($B764="","",N($L764)-N($AF764))</f>
        <v/>
      </c>
      <c r="AI764" s="149">
        <f>IF($B764="","",IF(N($L764)=0,"",(N($L764)-N($AF764))/N($L764)))</f>
        <v/>
      </c>
    </row>
    <row r="765">
      <c r="A765" s="39">
        <f>IF($B765="","",COUNTA($B$4:$B765))</f>
        <v/>
      </c>
      <c r="B765" s="45" t="n">
        <v>46118</v>
      </c>
      <c r="C765" s="46" t="n">
        <v>2551</v>
      </c>
      <c r="D765" s="46" t="inlineStr">
        <is>
          <t>المكتب</t>
        </is>
      </c>
      <c r="E765" s="46" t="inlineStr">
        <is>
          <t>1*40</t>
        </is>
      </c>
      <c r="F765" s="46" t="inlineStr">
        <is>
          <t>المستقبل</t>
        </is>
      </c>
      <c r="G765" s="46" t="inlineStr">
        <is>
          <t xml:space="preserve">الخطاطبة </t>
        </is>
      </c>
      <c r="H765" s="46" t="inlineStr">
        <is>
          <t>247410/5</t>
        </is>
      </c>
      <c r="I765" s="46" t="inlineStr">
        <is>
          <t>س ع م 8737</t>
        </is>
      </c>
      <c r="J765" s="46" t="inlineStr">
        <is>
          <t xml:space="preserve">محمود المصرى </t>
        </is>
      </c>
      <c r="K765" s="46" t="inlineStr">
        <is>
          <t xml:space="preserve">المكتب </t>
        </is>
      </c>
      <c r="L765" s="47" t="n">
        <v>12500</v>
      </c>
      <c r="M765" s="47" t="n">
        <v>8000</v>
      </c>
      <c r="N765" s="47" t="n"/>
      <c r="O765" s="47" t="n"/>
      <c r="P765" s="47" t="n"/>
      <c r="Q765" s="47" t="n">
        <v>4500</v>
      </c>
      <c r="R765" s="43">
        <f>IF($B765="","",N($S765)-N($Q765))</f>
        <v/>
      </c>
      <c r="S765" s="43">
        <f>IF($B765="","",N($L765)+N($N765)+N($P765))</f>
        <v/>
      </c>
      <c r="T765" s="47" t="n">
        <v>1300</v>
      </c>
      <c r="U765" s="47" t="n">
        <v>450</v>
      </c>
      <c r="V765" s="47" t="n"/>
      <c r="W765" s="47" t="n">
        <v>200</v>
      </c>
      <c r="X765" s="47" t="n">
        <v>60</v>
      </c>
      <c r="Y765" s="47" t="n">
        <v>60</v>
      </c>
      <c r="Z765" s="47" t="n"/>
      <c r="AA765" s="47" t="n"/>
      <c r="AB765" s="47" t="n"/>
      <c r="AC765" s="47" t="n">
        <v>60</v>
      </c>
      <c r="AD765" s="47" t="n">
        <v>20</v>
      </c>
      <c r="AE765" s="47" t="n">
        <v>4660</v>
      </c>
      <c r="AF765" s="43">
        <f>IF($B765="","",SUM($T765:$AE765))</f>
        <v/>
      </c>
      <c r="AG765" s="43">
        <f>IF($B765="","",N($M765)-N($AF765))</f>
        <v/>
      </c>
      <c r="AH765" s="43">
        <f>IF($B765="","",N($L765)-N($AF765))</f>
        <v/>
      </c>
      <c r="AI765" s="149">
        <f>IF($B765="","",IF(N($L765)=0,"",(N($L765)-N($AF765))/N($L765)))</f>
        <v/>
      </c>
    </row>
    <row r="766">
      <c r="A766" s="39">
        <f>IF($B766="","",COUNTA($B$4:$B766))</f>
        <v/>
      </c>
      <c r="B766" s="40" t="n">
        <v>46119</v>
      </c>
      <c r="C766" s="41" t="n">
        <v>2421</v>
      </c>
      <c r="D766" s="41" t="inlineStr">
        <is>
          <t xml:space="preserve">ابراهيم سمارة </t>
        </is>
      </c>
      <c r="E766" s="41" t="inlineStr">
        <is>
          <t>1*40</t>
        </is>
      </c>
      <c r="F766" s="41" t="inlineStr">
        <is>
          <t xml:space="preserve">ايتامكو </t>
        </is>
      </c>
      <c r="G766" s="41" t="inlineStr">
        <is>
          <t xml:space="preserve">ط التحدى </t>
        </is>
      </c>
      <c r="H766" s="41" t="inlineStr">
        <is>
          <t>467942/2</t>
        </is>
      </c>
      <c r="I766" s="41" t="inlineStr">
        <is>
          <t>س د و 2868</t>
        </is>
      </c>
      <c r="J766" s="41" t="inlineStr">
        <is>
          <t xml:space="preserve">احمد حسين </t>
        </is>
      </c>
      <c r="K766" s="41" t="inlineStr">
        <is>
          <t xml:space="preserve">حودة نصرية </t>
        </is>
      </c>
      <c r="L766" s="42" t="n">
        <v>12800</v>
      </c>
      <c r="M766" s="42" t="n">
        <v>8100</v>
      </c>
      <c r="N766" s="42" t="n"/>
      <c r="O766" s="42" t="n">
        <v>100</v>
      </c>
      <c r="P766" s="42" t="n"/>
      <c r="Q766" s="42" t="n">
        <v>4600</v>
      </c>
      <c r="R766" s="43">
        <f>IF($B766="","",N($S766)-N($Q766))</f>
        <v/>
      </c>
      <c r="S766" s="43">
        <f>IF($B766="","",N($L766)+N($N766)+N($P766))</f>
        <v/>
      </c>
      <c r="T766" s="42" t="n"/>
      <c r="U766" s="42" t="n"/>
      <c r="V766" s="42" t="n"/>
      <c r="W766" s="42" t="n"/>
      <c r="X766" s="42" t="n"/>
      <c r="Y766" s="42" t="n"/>
      <c r="Z766" s="42" t="n"/>
      <c r="AA766" s="42" t="n"/>
      <c r="AB766" s="42" t="n"/>
      <c r="AC766" s="42" t="n"/>
      <c r="AD766" s="42" t="n"/>
      <c r="AE766" s="42" t="n"/>
      <c r="AF766" s="43">
        <f>IF($B766="","",SUM($T766:$AE766))</f>
        <v/>
      </c>
      <c r="AG766" s="43">
        <f>IF($B766="","",N($M766)-N($AF766))</f>
        <v/>
      </c>
      <c r="AH766" s="43">
        <f>IF($B766="","",N($L766)-N($AF766))</f>
        <v/>
      </c>
      <c r="AI766" s="149">
        <f>IF($B766="","",IF(N($L766)=0,"",(N($L766)-N($AF766))/N($L766)))</f>
        <v/>
      </c>
    </row>
    <row r="767">
      <c r="A767" s="39">
        <f>IF($B767="","",COUNTA($B$4:$B767))</f>
        <v/>
      </c>
      <c r="B767" s="45" t="n">
        <v>46119</v>
      </c>
      <c r="C767" s="46" t="n">
        <v>2422</v>
      </c>
      <c r="D767" s="46" t="inlineStr">
        <is>
          <t>رجب عبد العال خ</t>
        </is>
      </c>
      <c r="E767" s="46" t="inlineStr">
        <is>
          <t>1*40</t>
        </is>
      </c>
      <c r="F767" s="46" t="inlineStr">
        <is>
          <t xml:space="preserve">ايتامكو </t>
        </is>
      </c>
      <c r="G767" s="46" t="inlineStr">
        <is>
          <t xml:space="preserve">ط التحدى </t>
        </is>
      </c>
      <c r="H767" s="46" t="inlineStr">
        <is>
          <t>468699/3</t>
        </is>
      </c>
      <c r="I767" s="46" t="inlineStr">
        <is>
          <t>س ع ف 2574</t>
        </is>
      </c>
      <c r="J767" s="46" t="inlineStr">
        <is>
          <t xml:space="preserve">خميس البنا </t>
        </is>
      </c>
      <c r="K767" s="46" t="inlineStr">
        <is>
          <t>خميس البنا</t>
        </is>
      </c>
      <c r="L767" s="47" t="n">
        <v>12800</v>
      </c>
      <c r="M767" s="47" t="n">
        <v>8100</v>
      </c>
      <c r="N767" s="47" t="n"/>
      <c r="O767" s="47" t="n">
        <v>200</v>
      </c>
      <c r="P767" s="47" t="n"/>
      <c r="Q767" s="47" t="n">
        <v>4500</v>
      </c>
      <c r="R767" s="43">
        <f>IF($B767="","",N($S767)-N($Q767))</f>
        <v/>
      </c>
      <c r="S767" s="43">
        <f>IF($B767="","",N($L767)+N($N767)+N($P767))</f>
        <v/>
      </c>
      <c r="T767" s="47" t="n"/>
      <c r="U767" s="47" t="n"/>
      <c r="V767" s="47" t="n"/>
      <c r="W767" s="47" t="n"/>
      <c r="X767" s="47" t="n"/>
      <c r="Y767" s="47" t="n"/>
      <c r="Z767" s="47" t="n"/>
      <c r="AA767" s="47" t="n"/>
      <c r="AB767" s="47" t="n"/>
      <c r="AC767" s="47" t="n"/>
      <c r="AD767" s="47" t="n"/>
      <c r="AE767" s="47" t="n"/>
      <c r="AF767" s="43">
        <f>IF($B767="","",SUM($T767:$AE767))</f>
        <v/>
      </c>
      <c r="AG767" s="43">
        <f>IF($B767="","",N($M767)-N($AF767))</f>
        <v/>
      </c>
      <c r="AH767" s="43">
        <f>IF($B767="","",N($L767)-N($AF767))</f>
        <v/>
      </c>
      <c r="AI767" s="149">
        <f>IF($B767="","",IF(N($L767)=0,"",(N($L767)-N($AF767))/N($L767)))</f>
        <v/>
      </c>
    </row>
    <row r="768">
      <c r="A768" s="39">
        <f>IF($B768="","",COUNTA($B$4:$B768))</f>
        <v/>
      </c>
      <c r="B768" s="40" t="n">
        <v>46119</v>
      </c>
      <c r="C768" s="41" t="n">
        <v>2423</v>
      </c>
      <c r="D768" s="41" t="inlineStr">
        <is>
          <t>رجب عبد العال خ</t>
        </is>
      </c>
      <c r="E768" s="41" t="inlineStr">
        <is>
          <t>1*40</t>
        </is>
      </c>
      <c r="F768" s="41" t="inlineStr">
        <is>
          <t xml:space="preserve">ايتامكو </t>
        </is>
      </c>
      <c r="G768" s="41" t="inlineStr">
        <is>
          <t xml:space="preserve">ط التحدى </t>
        </is>
      </c>
      <c r="H768" s="41" t="inlineStr">
        <is>
          <t>565897/2</t>
        </is>
      </c>
      <c r="I768" s="41" t="inlineStr">
        <is>
          <t>س ى ف 3846</t>
        </is>
      </c>
      <c r="J768" s="41" t="inlineStr">
        <is>
          <t xml:space="preserve">عبد القادر </t>
        </is>
      </c>
      <c r="K768" s="41" t="inlineStr">
        <is>
          <t>خميس البنا</t>
        </is>
      </c>
      <c r="L768" s="42" t="n">
        <v>12800</v>
      </c>
      <c r="M768" s="42" t="n">
        <v>8100</v>
      </c>
      <c r="N768" s="42" t="n"/>
      <c r="O768" s="42" t="n">
        <v>200</v>
      </c>
      <c r="P768" s="42" t="n"/>
      <c r="Q768" s="42" t="n">
        <v>4500</v>
      </c>
      <c r="R768" s="43">
        <f>IF($B768="","",N($S768)-N($Q768))</f>
        <v/>
      </c>
      <c r="S768" s="43">
        <f>IF($B768="","",N($L768)+N($N768)+N($P768))</f>
        <v/>
      </c>
      <c r="T768" s="42" t="n"/>
      <c r="U768" s="42" t="n"/>
      <c r="V768" s="42" t="n"/>
      <c r="W768" s="42" t="n"/>
      <c r="X768" s="42" t="n"/>
      <c r="Y768" s="42" t="n"/>
      <c r="Z768" s="42" t="n"/>
      <c r="AA768" s="42" t="n"/>
      <c r="AB768" s="42" t="n"/>
      <c r="AC768" s="42" t="n"/>
      <c r="AD768" s="42" t="n"/>
      <c r="AE768" s="42" t="n"/>
      <c r="AF768" s="43">
        <f>IF($B768="","",SUM($T768:$AE768))</f>
        <v/>
      </c>
      <c r="AG768" s="43">
        <f>IF($B768="","",N($M768)-N($AF768))</f>
        <v/>
      </c>
      <c r="AH768" s="43">
        <f>IF($B768="","",N($L768)-N($AF768))</f>
        <v/>
      </c>
      <c r="AI768" s="149">
        <f>IF($B768="","",IF(N($L768)=0,"",(N($L768)-N($AF768))/N($L768)))</f>
        <v/>
      </c>
    </row>
    <row r="769">
      <c r="A769" s="39">
        <f>IF($B769="","",COUNTA($B$4:$B769))</f>
        <v/>
      </c>
      <c r="B769" s="45" t="n">
        <v>46119</v>
      </c>
      <c r="C769" s="46" t="n">
        <v>2424</v>
      </c>
      <c r="D769" s="46" t="inlineStr">
        <is>
          <t>رجب عبد العال خ</t>
        </is>
      </c>
      <c r="E769" s="46" t="inlineStr">
        <is>
          <t>1*40</t>
        </is>
      </c>
      <c r="F769" s="46" t="inlineStr">
        <is>
          <t xml:space="preserve">ايتامكو </t>
        </is>
      </c>
      <c r="G769" s="46" t="inlineStr">
        <is>
          <t xml:space="preserve">ط التحدى </t>
        </is>
      </c>
      <c r="H769" s="46" t="inlineStr">
        <is>
          <t>514769/1</t>
        </is>
      </c>
      <c r="I769" s="46" t="inlineStr">
        <is>
          <t>س ل ى 8432</t>
        </is>
      </c>
      <c r="J769" s="46" t="inlineStr">
        <is>
          <t xml:space="preserve">احمد عادل </t>
        </is>
      </c>
      <c r="K769" s="46" t="inlineStr">
        <is>
          <t xml:space="preserve">طارق الجمل </t>
        </is>
      </c>
      <c r="L769" s="47" t="n">
        <v>12800</v>
      </c>
      <c r="M769" s="47" t="n">
        <v>8100</v>
      </c>
      <c r="N769" s="47" t="n"/>
      <c r="O769" s="47" t="n">
        <v>200</v>
      </c>
      <c r="P769" s="47" t="n"/>
      <c r="Q769" s="47" t="n">
        <v>4500</v>
      </c>
      <c r="R769" s="43">
        <f>IF($B769="","",N($S769)-N($Q769))</f>
        <v/>
      </c>
      <c r="S769" s="43">
        <f>IF($B769="","",N($L769)+N($N769)+N($P769))</f>
        <v/>
      </c>
      <c r="T769" s="47" t="n"/>
      <c r="U769" s="47" t="n"/>
      <c r="V769" s="47" t="n"/>
      <c r="W769" s="47" t="n"/>
      <c r="X769" s="47" t="n"/>
      <c r="Y769" s="47" t="n"/>
      <c r="Z769" s="47" t="n"/>
      <c r="AA769" s="47" t="n"/>
      <c r="AB769" s="47" t="n"/>
      <c r="AC769" s="47" t="n"/>
      <c r="AD769" s="47" t="n"/>
      <c r="AE769" s="47" t="n"/>
      <c r="AF769" s="43">
        <f>IF($B769="","",SUM($T769:$AE769))</f>
        <v/>
      </c>
      <c r="AG769" s="43">
        <f>IF($B769="","",N($M769)-N($AF769))</f>
        <v/>
      </c>
      <c r="AH769" s="43">
        <f>IF($B769="","",N($L769)-N($AF769))</f>
        <v/>
      </c>
      <c r="AI769" s="149">
        <f>IF($B769="","",IF(N($L769)=0,"",(N($L769)-N($AF769))/N($L769)))</f>
        <v/>
      </c>
    </row>
    <row r="770">
      <c r="A770" s="39">
        <f>IF($B770="","",COUNTA($B$4:$B770))</f>
        <v/>
      </c>
      <c r="B770" s="40" t="n">
        <v>46119</v>
      </c>
      <c r="C770" s="41" t="n">
        <v>2425</v>
      </c>
      <c r="D770" s="41" t="inlineStr">
        <is>
          <t>رجب عبد العال خ</t>
        </is>
      </c>
      <c r="E770" s="41" t="inlineStr">
        <is>
          <t>1*40</t>
        </is>
      </c>
      <c r="F770" s="41" t="inlineStr">
        <is>
          <t xml:space="preserve">ايتامكو </t>
        </is>
      </c>
      <c r="G770" s="41" t="inlineStr">
        <is>
          <t xml:space="preserve">ط التحدى </t>
        </is>
      </c>
      <c r="H770" s="41" t="inlineStr">
        <is>
          <t>430575/9</t>
        </is>
      </c>
      <c r="I770" s="41" t="inlineStr">
        <is>
          <t>س ا ل 1769</t>
        </is>
      </c>
      <c r="J770" s="41" t="inlineStr">
        <is>
          <t xml:space="preserve">جابر محمد </t>
        </is>
      </c>
      <c r="K770" s="41" t="inlineStr">
        <is>
          <t>خميس البنا</t>
        </is>
      </c>
      <c r="L770" s="42" t="n">
        <v>12800</v>
      </c>
      <c r="M770" s="42" t="n">
        <v>8100</v>
      </c>
      <c r="N770" s="42" t="n"/>
      <c r="O770" s="42" t="n">
        <v>200</v>
      </c>
      <c r="P770" s="42" t="n"/>
      <c r="Q770" s="42" t="n">
        <v>4500</v>
      </c>
      <c r="R770" s="43">
        <f>IF($B770="","",N($S770)-N($Q770))</f>
        <v/>
      </c>
      <c r="S770" s="43">
        <f>IF($B770="","",N($L770)+N($N770)+N($P770))</f>
        <v/>
      </c>
      <c r="T770" s="42" t="n"/>
      <c r="U770" s="42" t="n"/>
      <c r="V770" s="42" t="n"/>
      <c r="W770" s="42" t="n"/>
      <c r="X770" s="42" t="n"/>
      <c r="Y770" s="42" t="n"/>
      <c r="Z770" s="42" t="n"/>
      <c r="AA770" s="42" t="n"/>
      <c r="AB770" s="42" t="n"/>
      <c r="AC770" s="42" t="n"/>
      <c r="AD770" s="42" t="n"/>
      <c r="AE770" s="42" t="n"/>
      <c r="AF770" s="43">
        <f>IF($B770="","",SUM($T770:$AE770))</f>
        <v/>
      </c>
      <c r="AG770" s="43">
        <f>IF($B770="","",N($M770)-N($AF770))</f>
        <v/>
      </c>
      <c r="AH770" s="43">
        <f>IF($B770="","",N($L770)-N($AF770))</f>
        <v/>
      </c>
      <c r="AI770" s="149">
        <f>IF($B770="","",IF(N($L770)=0,"",(N($L770)-N($AF770))/N($L770)))</f>
        <v/>
      </c>
    </row>
    <row r="771">
      <c r="A771" s="39">
        <f>IF($B771="","",COUNTA($B$4:$B771))</f>
        <v/>
      </c>
      <c r="B771" s="45" t="n">
        <v>46119</v>
      </c>
      <c r="C771" s="46" t="n">
        <v>2478</v>
      </c>
      <c r="D771" s="46" t="inlineStr">
        <is>
          <t>عتريس مخيمر  خ</t>
        </is>
      </c>
      <c r="E771" s="46" t="inlineStr">
        <is>
          <t>1*40</t>
        </is>
      </c>
      <c r="F771" s="46" t="inlineStr">
        <is>
          <t xml:space="preserve">انرجى فيجن </t>
        </is>
      </c>
      <c r="G771" s="46" t="inlineStr">
        <is>
          <t xml:space="preserve">م نصر </t>
        </is>
      </c>
      <c r="H771" s="46" t="inlineStr">
        <is>
          <t>445934/3</t>
        </is>
      </c>
      <c r="I771" s="46" t="inlineStr">
        <is>
          <t>ب ص ا 2574</t>
        </is>
      </c>
      <c r="J771" s="46" t="inlineStr">
        <is>
          <t xml:space="preserve">محمد البحيرى </t>
        </is>
      </c>
      <c r="K771" s="46" t="inlineStr">
        <is>
          <t xml:space="preserve">احمد خليف </t>
        </is>
      </c>
      <c r="L771" s="47" t="n">
        <v>14500</v>
      </c>
      <c r="M771" s="47" t="n">
        <v>9100</v>
      </c>
      <c r="N771" s="47" t="n"/>
      <c r="O771" s="47" t="n">
        <v>200</v>
      </c>
      <c r="P771" s="47" t="n"/>
      <c r="Q771" s="47" t="n">
        <v>5200</v>
      </c>
      <c r="R771" s="43">
        <f>IF($B771="","",N($S771)-N($Q771))</f>
        <v/>
      </c>
      <c r="S771" s="43">
        <f>IF($B771="","",N($L771)+N($N771)+N($P771))</f>
        <v/>
      </c>
      <c r="T771" s="47" t="n"/>
      <c r="U771" s="47" t="n"/>
      <c r="V771" s="47" t="n"/>
      <c r="W771" s="47" t="n"/>
      <c r="X771" s="47" t="n"/>
      <c r="Y771" s="47" t="n"/>
      <c r="Z771" s="47" t="n"/>
      <c r="AA771" s="47" t="n"/>
      <c r="AB771" s="47" t="n"/>
      <c r="AC771" s="47" t="n"/>
      <c r="AD771" s="47" t="n"/>
      <c r="AE771" s="47" t="n"/>
      <c r="AF771" s="43">
        <f>IF($B771="","",SUM($T771:$AE771))</f>
        <v/>
      </c>
      <c r="AG771" s="43">
        <f>IF($B771="","",N($M771)-N($AF771))</f>
        <v/>
      </c>
      <c r="AH771" s="43">
        <f>IF($B771="","",N($L771)-N($AF771))</f>
        <v/>
      </c>
      <c r="AI771" s="149">
        <f>IF($B771="","",IF(N($L771)=0,"",(N($L771)-N($AF771))/N($L771)))</f>
        <v/>
      </c>
    </row>
    <row r="772">
      <c r="A772" s="39">
        <f>IF($B772="","",COUNTA($B$4:$B772))</f>
        <v/>
      </c>
      <c r="B772" s="40" t="n">
        <v>46119</v>
      </c>
      <c r="C772" s="41" t="n">
        <v>2479</v>
      </c>
      <c r="D772" s="41" t="inlineStr">
        <is>
          <t xml:space="preserve">احمد محسن </t>
        </is>
      </c>
      <c r="E772" s="41" t="inlineStr">
        <is>
          <t>1*40</t>
        </is>
      </c>
      <c r="F772" s="41" t="inlineStr">
        <is>
          <t xml:space="preserve">انرجى فيجن </t>
        </is>
      </c>
      <c r="G772" s="41" t="inlineStr">
        <is>
          <t xml:space="preserve">م نصر </t>
        </is>
      </c>
      <c r="H772" s="41" t="inlineStr">
        <is>
          <t>903851/0</t>
        </is>
      </c>
      <c r="I772" s="41" t="inlineStr">
        <is>
          <t>س ه ف 1387</t>
        </is>
      </c>
      <c r="J772" s="41" t="inlineStr">
        <is>
          <t xml:space="preserve">ابراهيم محمود </t>
        </is>
      </c>
      <c r="K772" s="41" t="inlineStr">
        <is>
          <t xml:space="preserve">احمد محسن </t>
        </is>
      </c>
      <c r="L772" s="42" t="n">
        <v>14500</v>
      </c>
      <c r="M772" s="42" t="n">
        <v>9100</v>
      </c>
      <c r="N772" s="42" t="n"/>
      <c r="O772" s="42" t="n">
        <v>200</v>
      </c>
      <c r="P772" s="42" t="n"/>
      <c r="Q772" s="42" t="n">
        <v>5200</v>
      </c>
      <c r="R772" s="43">
        <f>IF($B772="","",N($S772)-N($Q772))</f>
        <v/>
      </c>
      <c r="S772" s="43">
        <f>IF($B772="","",N($L772)+N($N772)+N($P772))</f>
        <v/>
      </c>
      <c r="T772" s="42" t="n"/>
      <c r="U772" s="42" t="n"/>
      <c r="V772" s="42" t="n"/>
      <c r="W772" s="42" t="n"/>
      <c r="X772" s="42" t="n"/>
      <c r="Y772" s="42" t="n"/>
      <c r="Z772" s="42" t="n"/>
      <c r="AA772" s="42" t="n"/>
      <c r="AB772" s="42" t="n"/>
      <c r="AC772" s="42" t="n"/>
      <c r="AD772" s="42" t="n"/>
      <c r="AE772" s="42" t="n"/>
      <c r="AF772" s="43">
        <f>IF($B772="","",SUM($T772:$AE772))</f>
        <v/>
      </c>
      <c r="AG772" s="43">
        <f>IF($B772="","",N($M772)-N($AF772))</f>
        <v/>
      </c>
      <c r="AH772" s="43">
        <f>IF($B772="","",N($L772)-N($AF772))</f>
        <v/>
      </c>
      <c r="AI772" s="149">
        <f>IF($B772="","",IF(N($L772)=0,"",(N($L772)-N($AF772))/N($L772)))</f>
        <v/>
      </c>
    </row>
    <row r="773">
      <c r="A773" s="39">
        <f>IF($B773="","",COUNTA($B$4:$B773))</f>
        <v/>
      </c>
      <c r="B773" s="45" t="n">
        <v>46119</v>
      </c>
      <c r="C773" s="46" t="n">
        <v>2426</v>
      </c>
      <c r="D773" s="46" t="inlineStr">
        <is>
          <t xml:space="preserve">سراج حتاتة </t>
        </is>
      </c>
      <c r="E773" s="46" t="inlineStr">
        <is>
          <t>1*40</t>
        </is>
      </c>
      <c r="F773" s="46" t="inlineStr">
        <is>
          <t xml:space="preserve">اجرو لاند </t>
        </is>
      </c>
      <c r="G773" s="46" t="inlineStr">
        <is>
          <t xml:space="preserve">ايتاى البارود </t>
        </is>
      </c>
      <c r="H773" s="46" t="inlineStr">
        <is>
          <t>617938/0</t>
        </is>
      </c>
      <c r="I773" s="46" t="inlineStr">
        <is>
          <t>ب د ه 1827</t>
        </is>
      </c>
      <c r="J773" s="46" t="inlineStr">
        <is>
          <t xml:space="preserve">احمد سالم </t>
        </is>
      </c>
      <c r="K773" s="46" t="inlineStr">
        <is>
          <t xml:space="preserve">حتاتة </t>
        </is>
      </c>
      <c r="L773" s="47" t="n">
        <v>10000</v>
      </c>
      <c r="M773" s="47" t="n">
        <v>9000</v>
      </c>
      <c r="N773" s="47" t="n"/>
      <c r="O773" s="47" t="n"/>
      <c r="P773" s="47" t="n"/>
      <c r="Q773" s="47" t="n">
        <v>1000</v>
      </c>
      <c r="R773" s="43">
        <f>IF($B773="","",N($S773)-N($Q773))</f>
        <v/>
      </c>
      <c r="S773" s="43">
        <f>IF($B773="","",N($L773)+N($N773)+N($P773))</f>
        <v/>
      </c>
      <c r="T773" s="47" t="n"/>
      <c r="U773" s="47" t="n"/>
      <c r="V773" s="47" t="n"/>
      <c r="W773" s="47" t="n"/>
      <c r="X773" s="47" t="n"/>
      <c r="Y773" s="47" t="n"/>
      <c r="Z773" s="47" t="n"/>
      <c r="AA773" s="47" t="n"/>
      <c r="AB773" s="47" t="n"/>
      <c r="AC773" s="47" t="n"/>
      <c r="AD773" s="47" t="n"/>
      <c r="AE773" s="47" t="n"/>
      <c r="AF773" s="43">
        <f>IF($B773="","",SUM($T773:$AE773))</f>
        <v/>
      </c>
      <c r="AG773" s="43">
        <f>IF($B773="","",N($M773)-N($AF773))</f>
        <v/>
      </c>
      <c r="AH773" s="43">
        <f>IF($B773="","",N($L773)-N($AF773))</f>
        <v/>
      </c>
      <c r="AI773" s="149">
        <f>IF($B773="","",IF(N($L773)=0,"",(N($L773)-N($AF773))/N($L773)))</f>
        <v/>
      </c>
    </row>
    <row r="774">
      <c r="A774" s="39">
        <f>IF($B774="","",COUNTA($B$4:$B774))</f>
        <v/>
      </c>
      <c r="B774" s="40" t="n">
        <v>46119</v>
      </c>
      <c r="C774" s="41" t="n">
        <v>2428</v>
      </c>
      <c r="D774" s="41" t="inlineStr">
        <is>
          <t xml:space="preserve">احمد خيرى </t>
        </is>
      </c>
      <c r="E774" s="41" t="inlineStr">
        <is>
          <t>1*40</t>
        </is>
      </c>
      <c r="F774" s="41" t="inlineStr">
        <is>
          <t xml:space="preserve">اجرو لاند </t>
        </is>
      </c>
      <c r="G774" s="41" t="inlineStr">
        <is>
          <t xml:space="preserve">ايتاى البارود </t>
        </is>
      </c>
      <c r="H774" s="41" t="inlineStr">
        <is>
          <t>893020/8</t>
        </is>
      </c>
      <c r="I774" s="41" t="inlineStr">
        <is>
          <t>ب د ط 5837</t>
        </is>
      </c>
      <c r="J774" s="41" t="inlineStr">
        <is>
          <t xml:space="preserve">اسلام النجار </t>
        </is>
      </c>
      <c r="K774" s="41" t="inlineStr">
        <is>
          <t xml:space="preserve">فاست </t>
        </is>
      </c>
      <c r="L774" s="42" t="n">
        <v>10000</v>
      </c>
      <c r="M774" s="42" t="n">
        <v>9100</v>
      </c>
      <c r="N774" s="42" t="n"/>
      <c r="O774" s="42" t="n"/>
      <c r="P774" s="42" t="n"/>
      <c r="Q774" s="42" t="n">
        <v>900</v>
      </c>
      <c r="R774" s="43">
        <f>IF($B774="","",N($S774)-N($Q774))</f>
        <v/>
      </c>
      <c r="S774" s="43">
        <f>IF($B774="","",N($L774)+N($N774)+N($P774))</f>
        <v/>
      </c>
      <c r="T774" s="42" t="n"/>
      <c r="U774" s="42" t="n"/>
      <c r="V774" s="42" t="n"/>
      <c r="W774" s="42" t="n"/>
      <c r="X774" s="42" t="n"/>
      <c r="Y774" s="42" t="n"/>
      <c r="Z774" s="42" t="n"/>
      <c r="AA774" s="42" t="n"/>
      <c r="AB774" s="42" t="n"/>
      <c r="AC774" s="42" t="n"/>
      <c r="AD774" s="42" t="n"/>
      <c r="AE774" s="42" t="n"/>
      <c r="AF774" s="43">
        <f>IF($B774="","",SUM($T774:$AE774))</f>
        <v/>
      </c>
      <c r="AG774" s="43">
        <f>IF($B774="","",N($M774)-N($AF774))</f>
        <v/>
      </c>
      <c r="AH774" s="43">
        <f>IF($B774="","",N($L774)-N($AF774))</f>
        <v/>
      </c>
      <c r="AI774" s="149">
        <f>IF($B774="","",IF(N($L774)=0,"",(N($L774)-N($AF774))/N($L774)))</f>
        <v/>
      </c>
    </row>
    <row r="775">
      <c r="A775" s="39">
        <f>IF($B775="","",COUNTA($B$4:$B775))</f>
        <v/>
      </c>
      <c r="B775" s="45" t="n">
        <v>46119</v>
      </c>
      <c r="C775" s="46" t="n">
        <v>2427</v>
      </c>
      <c r="D775" s="46" t="inlineStr">
        <is>
          <t xml:space="preserve">سراج حتاتة </t>
        </is>
      </c>
      <c r="E775" s="46" t="inlineStr">
        <is>
          <t>1*40</t>
        </is>
      </c>
      <c r="F775" s="46" t="inlineStr">
        <is>
          <t xml:space="preserve">اجرو لاند </t>
        </is>
      </c>
      <c r="G775" s="46" t="inlineStr">
        <is>
          <t xml:space="preserve">ايتاى البارود </t>
        </is>
      </c>
      <c r="H775" s="46" t="inlineStr">
        <is>
          <t>566515/8</t>
        </is>
      </c>
      <c r="I775" s="46" t="inlineStr">
        <is>
          <t>ب ب ا 4569</t>
        </is>
      </c>
      <c r="J775" s="46" t="inlineStr">
        <is>
          <t xml:space="preserve">سراج عاطف </t>
        </is>
      </c>
      <c r="K775" s="46" t="inlineStr">
        <is>
          <t xml:space="preserve">حتاتة </t>
        </is>
      </c>
      <c r="L775" s="47" t="n">
        <v>10000</v>
      </c>
      <c r="M775" s="47" t="n">
        <v>9000</v>
      </c>
      <c r="N775" s="47" t="n"/>
      <c r="O775" s="47" t="n"/>
      <c r="P775" s="47" t="n"/>
      <c r="Q775" s="47" t="n">
        <v>1000</v>
      </c>
      <c r="R775" s="43">
        <f>IF($B775="","",N($S775)-N($Q775))</f>
        <v/>
      </c>
      <c r="S775" s="43">
        <f>IF($B775="","",N($L775)+N($N775)+N($P775))</f>
        <v/>
      </c>
      <c r="T775" s="47" t="n"/>
      <c r="U775" s="47" t="n"/>
      <c r="V775" s="47" t="n"/>
      <c r="W775" s="47" t="n"/>
      <c r="X775" s="47" t="n"/>
      <c r="Y775" s="47" t="n"/>
      <c r="Z775" s="47" t="n"/>
      <c r="AA775" s="47" t="n"/>
      <c r="AB775" s="47" t="n"/>
      <c r="AC775" s="47" t="n"/>
      <c r="AD775" s="47" t="n"/>
      <c r="AE775" s="47" t="n"/>
      <c r="AF775" s="43">
        <f>IF($B775="","",SUM($T775:$AE775))</f>
        <v/>
      </c>
      <c r="AG775" s="43">
        <f>IF($B775="","",N($M775)-N($AF775))</f>
        <v/>
      </c>
      <c r="AH775" s="43">
        <f>IF($B775="","",N($L775)-N($AF775))</f>
        <v/>
      </c>
      <c r="AI775" s="149">
        <f>IF($B775="","",IF(N($L775)=0,"",(N($L775)-N($AF775))/N($L775)))</f>
        <v/>
      </c>
    </row>
    <row r="776">
      <c r="A776" s="39">
        <f>IF($B776="","",COUNTA($B$4:$B776))</f>
        <v/>
      </c>
      <c r="B776" s="40" t="n">
        <v>46119</v>
      </c>
      <c r="C776" s="41" t="n">
        <v>2429</v>
      </c>
      <c r="D776" s="41" t="n"/>
      <c r="E776" s="41" t="inlineStr">
        <is>
          <t>1*40</t>
        </is>
      </c>
      <c r="F776" s="41" t="inlineStr">
        <is>
          <t xml:space="preserve">اجرو لاند </t>
        </is>
      </c>
      <c r="G776" s="41" t="inlineStr">
        <is>
          <t xml:space="preserve">ايتاى البارود </t>
        </is>
      </c>
      <c r="H776" s="41" t="inlineStr">
        <is>
          <t>580168/9</t>
        </is>
      </c>
      <c r="I776" s="41" t="inlineStr">
        <is>
          <t>ب د ف 6354</t>
        </is>
      </c>
      <c r="J776" s="41" t="inlineStr">
        <is>
          <t xml:space="preserve">ناصر السعيد </t>
        </is>
      </c>
      <c r="K776" s="41" t="inlineStr">
        <is>
          <t xml:space="preserve">اسلام راضى </t>
        </is>
      </c>
      <c r="L776" s="42" t="n">
        <v>10000</v>
      </c>
      <c r="M776" s="42" t="n">
        <v>9100</v>
      </c>
      <c r="N776" s="42" t="n"/>
      <c r="O776" s="42" t="n"/>
      <c r="P776" s="42" t="n"/>
      <c r="Q776" s="42" t="n">
        <v>900</v>
      </c>
      <c r="R776" s="43">
        <f>IF($B776="","",N($S776)-N($Q776))</f>
        <v/>
      </c>
      <c r="S776" s="43">
        <f>IF($B776="","",N($L776)+N($N776)+N($P776))</f>
        <v/>
      </c>
      <c r="T776" s="42" t="n"/>
      <c r="U776" s="42" t="n"/>
      <c r="V776" s="42" t="n"/>
      <c r="W776" s="42" t="n"/>
      <c r="X776" s="42" t="n"/>
      <c r="Y776" s="42" t="n"/>
      <c r="Z776" s="42" t="n"/>
      <c r="AA776" s="42" t="n"/>
      <c r="AB776" s="42" t="n"/>
      <c r="AC776" s="42" t="n"/>
      <c r="AD776" s="42" t="n"/>
      <c r="AE776" s="42" t="n"/>
      <c r="AF776" s="43">
        <f>IF($B776="","",SUM($T776:$AE776))</f>
        <v/>
      </c>
      <c r="AG776" s="43">
        <f>IF($B776="","",N($M776)-N($AF776))</f>
        <v/>
      </c>
      <c r="AH776" s="43">
        <f>IF($B776="","",N($L776)-N($AF776))</f>
        <v/>
      </c>
      <c r="AI776" s="149">
        <f>IF($B776="","",IF(N($L776)=0,"",(N($L776)-N($AF776))/N($L776)))</f>
        <v/>
      </c>
    </row>
    <row r="777">
      <c r="A777" s="39">
        <f>IF($B777="","",COUNTA($B$4:$B777))</f>
        <v/>
      </c>
      <c r="B777" s="45" t="n">
        <v>46120</v>
      </c>
      <c r="C777" s="46" t="n">
        <v>2433</v>
      </c>
      <c r="D777" s="46" t="inlineStr">
        <is>
          <t xml:space="preserve">هاشم </t>
        </is>
      </c>
      <c r="E777" s="46" t="inlineStr">
        <is>
          <t>بلاتات</t>
        </is>
      </c>
      <c r="F777" s="46" t="inlineStr">
        <is>
          <t xml:space="preserve">ام كى </t>
        </is>
      </c>
      <c r="G777" s="46" t="inlineStr">
        <is>
          <t xml:space="preserve">شق التعبان </t>
        </is>
      </c>
      <c r="H777" s="46" t="n"/>
      <c r="I777" s="46" t="inlineStr">
        <is>
          <t xml:space="preserve">3767 ط ف ر </t>
        </is>
      </c>
      <c r="J777" s="46" t="inlineStr">
        <is>
          <t xml:space="preserve">وليد حمد </t>
        </is>
      </c>
      <c r="K777" s="46" t="inlineStr">
        <is>
          <t xml:space="preserve">اوبرا </t>
        </is>
      </c>
      <c r="L777" s="47" t="n">
        <v>15000</v>
      </c>
      <c r="M777" s="47" t="n">
        <v>9100</v>
      </c>
      <c r="N777" s="47" t="n"/>
      <c r="O777" s="47" t="n">
        <v>200</v>
      </c>
      <c r="P777" s="47" t="n"/>
      <c r="Q777" s="47" t="n">
        <v>5700</v>
      </c>
      <c r="R777" s="43">
        <f>IF($B777="","",N($S777)-N($Q777))</f>
        <v/>
      </c>
      <c r="S777" s="43">
        <f>IF($B777="","",N($L777)+N($N777)+N($P777))</f>
        <v/>
      </c>
      <c r="T777" s="47" t="n"/>
      <c r="U777" s="47" t="n"/>
      <c r="V777" s="47" t="n"/>
      <c r="W777" s="47" t="n"/>
      <c r="X777" s="47" t="n"/>
      <c r="Y777" s="47" t="n"/>
      <c r="Z777" s="47" t="n"/>
      <c r="AA777" s="47" t="n"/>
      <c r="AB777" s="47" t="n"/>
      <c r="AC777" s="47" t="n"/>
      <c r="AD777" s="47" t="n"/>
      <c r="AE777" s="47" t="n"/>
      <c r="AF777" s="43">
        <f>IF($B777="","",SUM($T777:$AE777))</f>
        <v/>
      </c>
      <c r="AG777" s="43">
        <f>IF($B777="","",N($M777)-N($AF777))</f>
        <v/>
      </c>
      <c r="AH777" s="43">
        <f>IF($B777="","",N($L777)-N($AF777))</f>
        <v/>
      </c>
      <c r="AI777" s="149">
        <f>IF($B777="","",IF(N($L777)=0,"",(N($L777)-N($AF777))/N($L777)))</f>
        <v/>
      </c>
    </row>
    <row r="778">
      <c r="A778" s="39">
        <f>IF($B778="","",COUNTA($B$4:$B778))</f>
        <v/>
      </c>
      <c r="B778" s="40" t="n">
        <v>46120</v>
      </c>
      <c r="C778" s="41" t="n">
        <v>2323</v>
      </c>
      <c r="D778" s="41" t="inlineStr">
        <is>
          <t xml:space="preserve">هاشم </t>
        </is>
      </c>
      <c r="E778" s="41" t="inlineStr">
        <is>
          <t>1*20</t>
        </is>
      </c>
      <c r="F778" s="41" t="inlineStr">
        <is>
          <t xml:space="preserve">الشركة الدولية للغزل </t>
        </is>
      </c>
      <c r="G778" s="41" t="inlineStr">
        <is>
          <t>برج العرب</t>
        </is>
      </c>
      <c r="H778" s="41" t="inlineStr">
        <is>
          <t>276775/3</t>
        </is>
      </c>
      <c r="I778" s="41" t="inlineStr">
        <is>
          <t>ب ن و 6924</t>
        </is>
      </c>
      <c r="J778" s="41" t="inlineStr">
        <is>
          <t xml:space="preserve">محمد صلاح </t>
        </is>
      </c>
      <c r="K778" s="41" t="inlineStr">
        <is>
          <t xml:space="preserve">اوبرا </t>
        </is>
      </c>
      <c r="L778" s="42" t="n">
        <v>6500</v>
      </c>
      <c r="M778" s="42" t="n">
        <v>5100</v>
      </c>
      <c r="N778" s="42" t="n"/>
      <c r="O778" s="42" t="n">
        <v>200</v>
      </c>
      <c r="P778" s="42" t="n"/>
      <c r="Q778" s="42" t="n">
        <v>1200</v>
      </c>
      <c r="R778" s="43">
        <f>IF($B778="","",N($S778)-N($Q778))</f>
        <v/>
      </c>
      <c r="S778" s="43">
        <f>IF($B778="","",N($L778)+N($N778)+N($P778))</f>
        <v/>
      </c>
      <c r="T778" s="42" t="n"/>
      <c r="U778" s="42" t="n"/>
      <c r="V778" s="42" t="n"/>
      <c r="W778" s="42" t="n"/>
      <c r="X778" s="42" t="n"/>
      <c r="Y778" s="42" t="n"/>
      <c r="Z778" s="42" t="n"/>
      <c r="AA778" s="42" t="n"/>
      <c r="AB778" s="42" t="n"/>
      <c r="AC778" s="42" t="n"/>
      <c r="AD778" s="42" t="n"/>
      <c r="AE778" s="42" t="n"/>
      <c r="AF778" s="43">
        <f>IF($B778="","",SUM($T778:$AE778))</f>
        <v/>
      </c>
      <c r="AG778" s="43">
        <f>IF($B778="","",N($M778)-N($AF778))</f>
        <v/>
      </c>
      <c r="AH778" s="43">
        <f>IF($B778="","",N($L778)-N($AF778))</f>
        <v/>
      </c>
      <c r="AI778" s="149">
        <f>IF($B778="","",IF(N($L778)=0,"",(N($L778)-N($AF778))/N($L778)))</f>
        <v/>
      </c>
    </row>
    <row r="779">
      <c r="A779" s="39">
        <f>IF($B779="","",COUNTA($B$4:$B779))</f>
        <v/>
      </c>
      <c r="B779" s="45" t="n">
        <v>46120</v>
      </c>
      <c r="C779" s="46" t="n">
        <v>2431</v>
      </c>
      <c r="D779" s="46" t="inlineStr">
        <is>
          <t>ايوب</t>
        </is>
      </c>
      <c r="E779" s="46" t="inlineStr">
        <is>
          <t>1*20</t>
        </is>
      </c>
      <c r="F779" s="46" t="inlineStr">
        <is>
          <t xml:space="preserve">سوفتكس </t>
        </is>
      </c>
      <c r="G779" s="46" t="inlineStr">
        <is>
          <t xml:space="preserve">العاشر </t>
        </is>
      </c>
      <c r="H779" s="46" t="inlineStr">
        <is>
          <t>110264/0</t>
        </is>
      </c>
      <c r="I779" s="46" t="inlineStr">
        <is>
          <t>ب د ن 5863</t>
        </is>
      </c>
      <c r="J779" s="46" t="inlineStr">
        <is>
          <t xml:space="preserve">احمد سعيد </t>
        </is>
      </c>
      <c r="K779" s="46" t="inlineStr">
        <is>
          <t xml:space="preserve">ايوب </t>
        </is>
      </c>
      <c r="L779" s="47" t="n">
        <v>12500</v>
      </c>
      <c r="M779" s="47" t="n">
        <v>7100</v>
      </c>
      <c r="N779" s="47" t="n">
        <v>2600</v>
      </c>
      <c r="O779" s="47" t="n">
        <v>200</v>
      </c>
      <c r="P779" s="47" t="n"/>
      <c r="Q779" s="47" t="n">
        <v>2600</v>
      </c>
      <c r="R779" s="43">
        <f>IF($B779="","",N($S779)-N($Q779))</f>
        <v/>
      </c>
      <c r="S779" s="43">
        <f>IF($B779="","",N($L779)+N($N779)+N($P779))</f>
        <v/>
      </c>
      <c r="T779" s="47" t="n"/>
      <c r="U779" s="47" t="n"/>
      <c r="V779" s="47" t="n"/>
      <c r="W779" s="47" t="n"/>
      <c r="X779" s="47" t="n"/>
      <c r="Y779" s="47" t="n"/>
      <c r="Z779" s="47" t="n"/>
      <c r="AA779" s="47" t="n"/>
      <c r="AB779" s="47" t="n"/>
      <c r="AC779" s="47" t="n"/>
      <c r="AD779" s="47" t="n"/>
      <c r="AE779" s="47" t="n"/>
      <c r="AF779" s="43">
        <f>IF($B779="","",SUM($T779:$AE779))</f>
        <v/>
      </c>
      <c r="AG779" s="43">
        <f>IF($B779="","",N($M779)-N($AF779))</f>
        <v/>
      </c>
      <c r="AH779" s="43">
        <f>IF($B779="","",N($L779)-N($AF779))</f>
        <v/>
      </c>
      <c r="AI779" s="149">
        <f>IF($B779="","",IF(N($L779)=0,"",(N($L779)-N($AF779))/N($L779)))</f>
        <v/>
      </c>
    </row>
    <row r="780">
      <c r="A780" s="39">
        <f>IF($B780="","",COUNTA($B$4:$B780))</f>
        <v/>
      </c>
      <c r="B780" s="40" t="n">
        <v>46120</v>
      </c>
      <c r="C780" s="41" t="n">
        <v>2432</v>
      </c>
      <c r="D780" s="41" t="inlineStr">
        <is>
          <t>ايوب</t>
        </is>
      </c>
      <c r="E780" s="41" t="inlineStr">
        <is>
          <t>1*20</t>
        </is>
      </c>
      <c r="F780" s="41" t="inlineStr">
        <is>
          <t xml:space="preserve">مصر العبور </t>
        </is>
      </c>
      <c r="G780" s="41" t="inlineStr">
        <is>
          <t xml:space="preserve">العبور </t>
        </is>
      </c>
      <c r="H780" s="41" t="inlineStr">
        <is>
          <t>110264/0</t>
        </is>
      </c>
      <c r="I780" s="41" t="inlineStr">
        <is>
          <t>ب د ن 5863</t>
        </is>
      </c>
      <c r="J780" s="41" t="inlineStr">
        <is>
          <t xml:space="preserve">احمد سعيد </t>
        </is>
      </c>
      <c r="K780" s="41" t="inlineStr">
        <is>
          <t xml:space="preserve">ايوب </t>
        </is>
      </c>
      <c r="L780" s="42" t="n">
        <v>12500</v>
      </c>
      <c r="M780" s="42" t="n">
        <v>7100</v>
      </c>
      <c r="N780" s="42" t="n"/>
      <c r="O780" s="42" t="n">
        <v>200</v>
      </c>
      <c r="P780" s="42" t="n"/>
      <c r="Q780" s="42" t="n">
        <v>5200</v>
      </c>
      <c r="R780" s="43">
        <f>IF($B780="","",N($S780)-N($Q780))</f>
        <v/>
      </c>
      <c r="S780" s="43">
        <f>IF($B780="","",N($L780)+N($N780)+N($P780))</f>
        <v/>
      </c>
      <c r="T780" s="42" t="n"/>
      <c r="U780" s="42" t="n"/>
      <c r="V780" s="42" t="n"/>
      <c r="W780" s="42" t="n"/>
      <c r="X780" s="42" t="n"/>
      <c r="Y780" s="42" t="n"/>
      <c r="Z780" s="42" t="n"/>
      <c r="AA780" s="42" t="n"/>
      <c r="AB780" s="42" t="n"/>
      <c r="AC780" s="42" t="n"/>
      <c r="AD780" s="42" t="n"/>
      <c r="AE780" s="42" t="n"/>
      <c r="AF780" s="43">
        <f>IF($B780="","",SUM($T780:$AE780))</f>
        <v/>
      </c>
      <c r="AG780" s="43">
        <f>IF($B780="","",N($M780)-N($AF780))</f>
        <v/>
      </c>
      <c r="AH780" s="43">
        <f>IF($B780="","",N($L780)-N($AF780))</f>
        <v/>
      </c>
      <c r="AI780" s="149">
        <f>IF($B780="","",IF(N($L780)=0,"",(N($L780)-N($AF780))/N($L780)))</f>
        <v/>
      </c>
    </row>
    <row r="781">
      <c r="A781" s="39">
        <f>IF($B781="","",COUNTA($B$4:$B781))</f>
        <v/>
      </c>
      <c r="B781" s="45" t="n">
        <v>46120</v>
      </c>
      <c r="C781" s="46" t="n">
        <v>2480</v>
      </c>
      <c r="D781" s="46" t="inlineStr">
        <is>
          <t>رجب عبد العال</t>
        </is>
      </c>
      <c r="E781" s="46" t="inlineStr">
        <is>
          <t>1*20</t>
        </is>
      </c>
      <c r="F781" s="46" t="inlineStr">
        <is>
          <t xml:space="preserve">وزارة الدفاع </t>
        </is>
      </c>
      <c r="G781" s="46" t="inlineStr">
        <is>
          <t>م نصر</t>
        </is>
      </c>
      <c r="H781" s="46" t="inlineStr">
        <is>
          <t>304115/1</t>
        </is>
      </c>
      <c r="I781" s="46" t="inlineStr">
        <is>
          <t>ب ف ا 9712</t>
        </is>
      </c>
      <c r="J781" s="46" t="inlineStr">
        <is>
          <t>على الحداد</t>
        </is>
      </c>
      <c r="K781" s="46" t="inlineStr">
        <is>
          <t>رومانى</t>
        </is>
      </c>
      <c r="L781" s="47" t="n">
        <v>12000</v>
      </c>
      <c r="M781" s="47" t="n">
        <v>8100</v>
      </c>
      <c r="N781" s="47" t="n"/>
      <c r="O781" s="47" t="n">
        <v>200</v>
      </c>
      <c r="P781" s="47" t="n"/>
      <c r="Q781" s="47" t="n">
        <v>3700</v>
      </c>
      <c r="R781" s="43">
        <f>IF($B781="","",N($S781)-N($Q781))</f>
        <v/>
      </c>
      <c r="S781" s="43">
        <f>IF($B781="","",N($L781)+N($N781)+N($P781))</f>
        <v/>
      </c>
      <c r="T781" s="47" t="n"/>
      <c r="U781" s="47" t="n"/>
      <c r="V781" s="47" t="n"/>
      <c r="W781" s="47" t="n"/>
      <c r="X781" s="47" t="n"/>
      <c r="Y781" s="47" t="n"/>
      <c r="Z781" s="47" t="n"/>
      <c r="AA781" s="47" t="n"/>
      <c r="AB781" s="47" t="n"/>
      <c r="AC781" s="47" t="n"/>
      <c r="AD781" s="47" t="n"/>
      <c r="AE781" s="47" t="n"/>
      <c r="AF781" s="43">
        <f>IF($B781="","",SUM($T781:$AE781))</f>
        <v/>
      </c>
      <c r="AG781" s="43">
        <f>IF($B781="","",N($M781)-N($AF781))</f>
        <v/>
      </c>
      <c r="AH781" s="43">
        <f>IF($B781="","",N($L781)-N($AF781))</f>
        <v/>
      </c>
      <c r="AI781" s="149">
        <f>IF($B781="","",IF(N($L781)=0,"",(N($L781)-N($AF781))/N($L781)))</f>
        <v/>
      </c>
    </row>
    <row r="782">
      <c r="A782" s="39">
        <f>IF($B782="","",COUNTA($B$4:$B782))</f>
        <v/>
      </c>
      <c r="B782" s="40" t="n">
        <v>46120</v>
      </c>
      <c r="C782" s="41" t="n">
        <v>2481</v>
      </c>
      <c r="D782" s="41" t="inlineStr">
        <is>
          <t>المكتب</t>
        </is>
      </c>
      <c r="E782" s="41" t="inlineStr">
        <is>
          <t>1*20</t>
        </is>
      </c>
      <c r="F782" s="41" t="inlineStr">
        <is>
          <t xml:space="preserve">العسل </t>
        </is>
      </c>
      <c r="G782" s="41" t="inlineStr">
        <is>
          <t xml:space="preserve">مطوبس </t>
        </is>
      </c>
      <c r="H782" s="41" t="inlineStr">
        <is>
          <t>126651/1</t>
        </is>
      </c>
      <c r="I782" s="41" t="inlineStr">
        <is>
          <t>س ع م 8737</t>
        </is>
      </c>
      <c r="J782" s="41" t="inlineStr">
        <is>
          <t xml:space="preserve">محمود المصرى </t>
        </is>
      </c>
      <c r="K782" s="41" t="inlineStr">
        <is>
          <t>المكتب</t>
        </is>
      </c>
      <c r="L782" s="42" t="n">
        <v>9000</v>
      </c>
      <c r="M782" s="42" t="n">
        <v>5000</v>
      </c>
      <c r="N782" s="42" t="n"/>
      <c r="O782" s="42" t="n"/>
      <c r="P782" s="42" t="n"/>
      <c r="Q782" s="42" t="n">
        <v>4000</v>
      </c>
      <c r="R782" s="43">
        <f>IF($B782="","",N($S782)-N($Q782))</f>
        <v/>
      </c>
      <c r="S782" s="43">
        <f>IF($B782="","",N($L782)+N($N782)+N($P782))</f>
        <v/>
      </c>
      <c r="T782" s="42" t="n">
        <v>1500</v>
      </c>
      <c r="U782" s="42" t="n">
        <v>550</v>
      </c>
      <c r="V782" s="42" t="n">
        <v>800</v>
      </c>
      <c r="W782" s="42" t="n">
        <v>200</v>
      </c>
      <c r="X782" s="42" t="n">
        <v>60</v>
      </c>
      <c r="Y782" s="42" t="n">
        <v>60</v>
      </c>
      <c r="Z782" s="42" t="n"/>
      <c r="AA782" s="42" t="n"/>
      <c r="AB782" s="42" t="n">
        <v>250</v>
      </c>
      <c r="AC782" s="42" t="n">
        <v>110</v>
      </c>
      <c r="AD782" s="42" t="n"/>
      <c r="AE782" s="42" t="n"/>
      <c r="AF782" s="43">
        <f>IF($B782="","",SUM($T782:$AE782))</f>
        <v/>
      </c>
      <c r="AG782" s="43">
        <f>IF($B782="","",N($M782)-N($AF782))</f>
        <v/>
      </c>
      <c r="AH782" s="43">
        <f>IF($B782="","",N($L782)-N($AF782))</f>
        <v/>
      </c>
      <c r="AI782" s="149">
        <f>IF($B782="","",IF(N($L782)=0,"",(N($L782)-N($AF782))/N($L782)))</f>
        <v/>
      </c>
    </row>
    <row r="783">
      <c r="A783" s="39">
        <f>IF($B783="","",COUNTA($B$4:$B783))</f>
        <v/>
      </c>
      <c r="B783" s="45" t="n">
        <v>46120</v>
      </c>
      <c r="C783" s="46" t="n">
        <v>2324</v>
      </c>
      <c r="D783" s="46" t="inlineStr">
        <is>
          <t>رجب عبد العال</t>
        </is>
      </c>
      <c r="E783" s="46" t="inlineStr">
        <is>
          <t>1*40 ث</t>
        </is>
      </c>
      <c r="F783" s="46" t="inlineStr">
        <is>
          <t xml:space="preserve">المصرية السعودية </t>
        </is>
      </c>
      <c r="G783" s="46" t="inlineStr">
        <is>
          <t xml:space="preserve">السادات </t>
        </is>
      </c>
      <c r="H783" s="46" t="inlineStr">
        <is>
          <t>96706/0</t>
        </is>
      </c>
      <c r="I783" s="46" t="inlineStr">
        <is>
          <t>س ق ب5641</t>
        </is>
      </c>
      <c r="J783" s="46" t="inlineStr">
        <is>
          <t xml:space="preserve">انور ابراهيم </t>
        </is>
      </c>
      <c r="K783" s="46" t="inlineStr">
        <is>
          <t xml:space="preserve">ابراهيم انور </t>
        </is>
      </c>
      <c r="L783" s="47" t="n">
        <v>14800</v>
      </c>
      <c r="M783" s="47" t="n">
        <v>8100</v>
      </c>
      <c r="N783" s="47" t="n"/>
      <c r="O783" s="47" t="n">
        <v>200</v>
      </c>
      <c r="P783" s="47" t="n"/>
      <c r="Q783" s="47" t="n">
        <v>6500</v>
      </c>
      <c r="R783" s="43">
        <f>IF($B783="","",N($S783)-N($Q783))</f>
        <v/>
      </c>
      <c r="S783" s="43">
        <f>IF($B783="","",N($L783)+N($N783)+N($P783))</f>
        <v/>
      </c>
      <c r="T783" s="47" t="n"/>
      <c r="U783" s="47" t="n"/>
      <c r="V783" s="47" t="n"/>
      <c r="W783" s="47" t="n"/>
      <c r="X783" s="47" t="n"/>
      <c r="Y783" s="47" t="n"/>
      <c r="Z783" s="47" t="n"/>
      <c r="AA783" s="47" t="n"/>
      <c r="AB783" s="47" t="n"/>
      <c r="AC783" s="47" t="n"/>
      <c r="AD783" s="47" t="n"/>
      <c r="AE783" s="47" t="n"/>
      <c r="AF783" s="43">
        <f>IF($B783="","",SUM($T783:$AE783))</f>
        <v/>
      </c>
      <c r="AG783" s="43">
        <f>IF($B783="","",N($M783)-N($AF783))</f>
        <v/>
      </c>
      <c r="AH783" s="43">
        <f>IF($B783="","",N($L783)-N($AF783))</f>
        <v/>
      </c>
      <c r="AI783" s="149">
        <f>IF($B783="","",IF(N($L783)=0,"",(N($L783)-N($AF783))/N($L783)))</f>
        <v/>
      </c>
    </row>
    <row r="784">
      <c r="A784" s="39">
        <f>IF($B784="","",COUNTA($B$4:$B784))</f>
        <v/>
      </c>
      <c r="B784" s="40" t="n">
        <v>46120</v>
      </c>
      <c r="C784" s="41" t="n">
        <v>2325</v>
      </c>
      <c r="D784" s="41" t="inlineStr">
        <is>
          <t xml:space="preserve">هيبة </t>
        </is>
      </c>
      <c r="E784" s="41" t="inlineStr">
        <is>
          <t>1*40 ث</t>
        </is>
      </c>
      <c r="F784" s="41" t="inlineStr">
        <is>
          <t xml:space="preserve">المصرية السعودية </t>
        </is>
      </c>
      <c r="G784" s="41" t="inlineStr">
        <is>
          <t xml:space="preserve">السادات </t>
        </is>
      </c>
      <c r="H784" s="41" t="inlineStr">
        <is>
          <t>916746/0</t>
        </is>
      </c>
      <c r="I784" s="41" t="inlineStr">
        <is>
          <t>س ن ر 4347</t>
        </is>
      </c>
      <c r="J784" s="41" t="inlineStr">
        <is>
          <t xml:space="preserve">هانى محمود </t>
        </is>
      </c>
      <c r="K784" s="41" t="inlineStr">
        <is>
          <t xml:space="preserve">مصطفى ابو هيبة </t>
        </is>
      </c>
      <c r="L784" s="42" t="n">
        <v>14800</v>
      </c>
      <c r="M784" s="42" t="n">
        <v>8100</v>
      </c>
      <c r="N784" s="42" t="n"/>
      <c r="O784" s="42" t="n">
        <v>200</v>
      </c>
      <c r="P784" s="42" t="n"/>
      <c r="Q784" s="42" t="n">
        <v>6500</v>
      </c>
      <c r="R784" s="43">
        <f>IF($B784="","",N($S784)-N($Q784))</f>
        <v/>
      </c>
      <c r="S784" s="43">
        <f>IF($B784="","",N($L784)+N($N784)+N($P784))</f>
        <v/>
      </c>
      <c r="T784" s="42" t="n"/>
      <c r="U784" s="42" t="n"/>
      <c r="V784" s="42" t="n"/>
      <c r="W784" s="42" t="n"/>
      <c r="X784" s="42" t="n"/>
      <c r="Y784" s="42" t="n"/>
      <c r="Z784" s="42" t="n"/>
      <c r="AA784" s="42" t="n"/>
      <c r="AB784" s="42" t="n"/>
      <c r="AC784" s="42" t="n"/>
      <c r="AD784" s="42" t="n"/>
      <c r="AE784" s="42" t="n"/>
      <c r="AF784" s="43">
        <f>IF($B784="","",SUM($T784:$AE784))</f>
        <v/>
      </c>
      <c r="AG784" s="43">
        <f>IF($B784="","",N($M784)-N($AF784))</f>
        <v/>
      </c>
      <c r="AH784" s="43">
        <f>IF($B784="","",N($L784)-N($AF784))</f>
        <v/>
      </c>
      <c r="AI784" s="149">
        <f>IF($B784="","",IF(N($L784)=0,"",(N($L784)-N($AF784))/N($L784)))</f>
        <v/>
      </c>
    </row>
    <row r="785">
      <c r="A785" s="39">
        <f>IF($B785="","",COUNTA($B$4:$B785))</f>
        <v/>
      </c>
      <c r="B785" s="45" t="n">
        <v>46120</v>
      </c>
      <c r="C785" s="46" t="n">
        <v>2553</v>
      </c>
      <c r="D785" s="46" t="n"/>
      <c r="E785" s="46" t="inlineStr">
        <is>
          <t>1*40</t>
        </is>
      </c>
      <c r="F785" s="46" t="inlineStr">
        <is>
          <t xml:space="preserve">الفرسان </t>
        </is>
      </c>
      <c r="G785" s="46" t="inlineStr">
        <is>
          <t xml:space="preserve">اكتوبر </t>
        </is>
      </c>
      <c r="H785" s="46" t="inlineStr">
        <is>
          <t>842188/2</t>
        </is>
      </c>
      <c r="I785" s="46" t="inlineStr">
        <is>
          <t>ب د ف 6354</t>
        </is>
      </c>
      <c r="J785" s="46" t="inlineStr">
        <is>
          <t xml:space="preserve">ناصر السعيد </t>
        </is>
      </c>
      <c r="K785" s="46" t="inlineStr">
        <is>
          <t xml:space="preserve">اسلام راضى </t>
        </is>
      </c>
      <c r="L785" s="47" t="n">
        <v>13500</v>
      </c>
      <c r="M785" s="47" t="n">
        <v>6100</v>
      </c>
      <c r="N785" s="47" t="n"/>
      <c r="O785" s="47" t="n"/>
      <c r="P785" s="47" t="n"/>
      <c r="Q785" s="47" t="n">
        <v>7400</v>
      </c>
      <c r="R785" s="43">
        <f>IF($B785="","",N($S785)-N($Q785))</f>
        <v/>
      </c>
      <c r="S785" s="43">
        <f>IF($B785="","",N($L785)+N($N785)+N($P785))</f>
        <v/>
      </c>
      <c r="T785" s="47" t="n"/>
      <c r="U785" s="47" t="n"/>
      <c r="V785" s="47" t="n"/>
      <c r="W785" s="47" t="n"/>
      <c r="X785" s="47" t="n"/>
      <c r="Y785" s="47" t="n"/>
      <c r="Z785" s="47" t="n"/>
      <c r="AA785" s="47" t="n"/>
      <c r="AB785" s="47" t="n"/>
      <c r="AC785" s="47" t="n"/>
      <c r="AD785" s="47" t="n"/>
      <c r="AE785" s="47" t="n"/>
      <c r="AF785" s="43">
        <f>IF($B785="","",SUM($T785:$AE785))</f>
        <v/>
      </c>
      <c r="AG785" s="43">
        <f>IF($B785="","",N($M785)-N($AF785))</f>
        <v/>
      </c>
      <c r="AH785" s="43">
        <f>IF($B785="","",N($L785)-N($AF785))</f>
        <v/>
      </c>
      <c r="AI785" s="149">
        <f>IF($B785="","",IF(N($L785)=0,"",(N($L785)-N($AF785))/N($L785)))</f>
        <v/>
      </c>
    </row>
    <row r="786">
      <c r="A786" s="39">
        <f>IF($B786="","",COUNTA($B$4:$B786))</f>
        <v/>
      </c>
      <c r="B786" s="40" t="n">
        <v>46120</v>
      </c>
      <c r="C786" s="41" t="n">
        <v>2557</v>
      </c>
      <c r="D786" s="41" t="inlineStr">
        <is>
          <t>حماد خ</t>
        </is>
      </c>
      <c r="E786" s="41" t="inlineStr">
        <is>
          <t>1*40</t>
        </is>
      </c>
      <c r="F786" s="41" t="inlineStr">
        <is>
          <t xml:space="preserve">الفرسان </t>
        </is>
      </c>
      <c r="G786" s="41" t="inlineStr">
        <is>
          <t xml:space="preserve">اكتوبر </t>
        </is>
      </c>
      <c r="H786" s="41" t="inlineStr">
        <is>
          <t>859042/9</t>
        </is>
      </c>
      <c r="I786" s="41" t="inlineStr">
        <is>
          <t>س ا ه 8198</t>
        </is>
      </c>
      <c r="J786" s="41" t="inlineStr">
        <is>
          <t xml:space="preserve">ايمن عبدة </t>
        </is>
      </c>
      <c r="K786" s="41" t="inlineStr">
        <is>
          <t xml:space="preserve">علاء علام </t>
        </is>
      </c>
      <c r="L786" s="42" t="n">
        <v>13500</v>
      </c>
      <c r="M786" s="42" t="n">
        <v>9100</v>
      </c>
      <c r="N786" s="42" t="n"/>
      <c r="O786" s="42" t="n">
        <v>200</v>
      </c>
      <c r="P786" s="42" t="n"/>
      <c r="Q786" s="42" t="n">
        <v>4200</v>
      </c>
      <c r="R786" s="43">
        <f>IF($B786="","",N($S786)-N($Q786))</f>
        <v/>
      </c>
      <c r="S786" s="43">
        <f>IF($B786="","",N($L786)+N($N786)+N($P786))</f>
        <v/>
      </c>
      <c r="T786" s="42" t="n"/>
      <c r="U786" s="42" t="n"/>
      <c r="V786" s="42" t="n"/>
      <c r="W786" s="42" t="n"/>
      <c r="X786" s="42" t="n"/>
      <c r="Y786" s="42" t="n"/>
      <c r="Z786" s="42" t="n"/>
      <c r="AA786" s="42" t="n"/>
      <c r="AB786" s="42" t="n"/>
      <c r="AC786" s="42" t="n"/>
      <c r="AD786" s="42" t="n"/>
      <c r="AE786" s="42" t="n"/>
      <c r="AF786" s="43">
        <f>IF($B786="","",SUM($T786:$AE786))</f>
        <v/>
      </c>
      <c r="AG786" s="43">
        <f>IF($B786="","",N($M786)-N($AF786))</f>
        <v/>
      </c>
      <c r="AH786" s="43">
        <f>IF($B786="","",N($L786)-N($AF786))</f>
        <v/>
      </c>
      <c r="AI786" s="149">
        <f>IF($B786="","",IF(N($L786)=0,"",(N($L786)-N($AF786))/N($L786)))</f>
        <v/>
      </c>
    </row>
    <row r="787">
      <c r="A787" s="39">
        <f>IF($B787="","",COUNTA($B$4:$B787))</f>
        <v/>
      </c>
      <c r="B787" s="45" t="n">
        <v>46120</v>
      </c>
      <c r="C787" s="46" t="n">
        <v>2554</v>
      </c>
      <c r="D787" s="46" t="inlineStr">
        <is>
          <t xml:space="preserve">بدوى صلاح </t>
        </is>
      </c>
      <c r="E787" s="46" t="inlineStr">
        <is>
          <t>1*40</t>
        </is>
      </c>
      <c r="F787" s="46" t="inlineStr">
        <is>
          <t xml:space="preserve">الفرسان </t>
        </is>
      </c>
      <c r="G787" s="46" t="inlineStr">
        <is>
          <t xml:space="preserve">اكتوبر </t>
        </is>
      </c>
      <c r="H787" s="46" t="inlineStr">
        <is>
          <t>839794/0</t>
        </is>
      </c>
      <c r="I787" s="46" t="inlineStr">
        <is>
          <t>ب د ن 4175</t>
        </is>
      </c>
      <c r="J787" s="46" t="inlineStr">
        <is>
          <t xml:space="preserve">سعد الصاوى </t>
        </is>
      </c>
      <c r="K787" s="46" t="inlineStr">
        <is>
          <t xml:space="preserve">رمضان الصاوى </t>
        </is>
      </c>
      <c r="L787" s="47" t="n">
        <v>13500</v>
      </c>
      <c r="M787" s="47" t="n">
        <v>9100</v>
      </c>
      <c r="N787" s="47" t="n"/>
      <c r="O787" s="47" t="n">
        <v>200</v>
      </c>
      <c r="P787" s="47" t="n"/>
      <c r="Q787" s="47" t="n">
        <v>4200</v>
      </c>
      <c r="R787" s="43">
        <f>IF($B787="","",N($S787)-N($Q787))</f>
        <v/>
      </c>
      <c r="S787" s="43">
        <f>IF($B787="","",N($L787)+N($N787)+N($P787))</f>
        <v/>
      </c>
      <c r="T787" s="47" t="n"/>
      <c r="U787" s="47" t="n"/>
      <c r="V787" s="47" t="n"/>
      <c r="W787" s="47" t="n"/>
      <c r="X787" s="47" t="n"/>
      <c r="Y787" s="47" t="n"/>
      <c r="Z787" s="47" t="n"/>
      <c r="AA787" s="47" t="n"/>
      <c r="AB787" s="47" t="n"/>
      <c r="AC787" s="47" t="n"/>
      <c r="AD787" s="47" t="n"/>
      <c r="AE787" s="47" t="n"/>
      <c r="AF787" s="43">
        <f>IF($B787="","",SUM($T787:$AE787))</f>
        <v/>
      </c>
      <c r="AG787" s="43">
        <f>IF($B787="","",N($M787)-N($AF787))</f>
        <v/>
      </c>
      <c r="AH787" s="43">
        <f>IF($B787="","",N($L787)-N($AF787))</f>
        <v/>
      </c>
      <c r="AI787" s="149">
        <f>IF($B787="","",IF(N($L787)=0,"",(N($L787)-N($AF787))/N($L787)))</f>
        <v/>
      </c>
    </row>
    <row r="788">
      <c r="A788" s="39">
        <f>IF($B788="","",COUNTA($B$4:$B788))</f>
        <v/>
      </c>
      <c r="B788" s="40" t="n">
        <v>46120</v>
      </c>
      <c r="C788" s="41" t="n">
        <v>2555</v>
      </c>
      <c r="D788" s="41" t="inlineStr">
        <is>
          <t>عتريس مخيمر  خ</t>
        </is>
      </c>
      <c r="E788" s="41" t="inlineStr">
        <is>
          <t>1*40</t>
        </is>
      </c>
      <c r="F788" s="41" t="n"/>
      <c r="G788" s="41" t="inlineStr">
        <is>
          <t xml:space="preserve">اكتوبر </t>
        </is>
      </c>
      <c r="H788" s="41" t="inlineStr">
        <is>
          <t>855674/3</t>
        </is>
      </c>
      <c r="I788" s="41" t="inlineStr">
        <is>
          <t>ط ف ر 1474</t>
        </is>
      </c>
      <c r="J788" s="41" t="inlineStr">
        <is>
          <t xml:space="preserve">جمال على </t>
        </is>
      </c>
      <c r="K788" s="41" t="inlineStr">
        <is>
          <t xml:space="preserve">كريم خليف </t>
        </is>
      </c>
      <c r="L788" s="42" t="n">
        <v>13500</v>
      </c>
      <c r="M788" s="42" t="n">
        <v>9100</v>
      </c>
      <c r="N788" s="42" t="n"/>
      <c r="O788" s="42" t="n">
        <v>200</v>
      </c>
      <c r="P788" s="42" t="n"/>
      <c r="Q788" s="42" t="n">
        <v>4200</v>
      </c>
      <c r="R788" s="43">
        <f>IF($B788="","",N($S788)-N($Q788))</f>
        <v/>
      </c>
      <c r="S788" s="43">
        <f>IF($B788="","",N($L788)+N($N788)+N($P788))</f>
        <v/>
      </c>
      <c r="T788" s="42" t="n"/>
      <c r="U788" s="42" t="n"/>
      <c r="V788" s="42" t="n"/>
      <c r="W788" s="42" t="n"/>
      <c r="X788" s="42" t="n"/>
      <c r="Y788" s="42" t="n"/>
      <c r="Z788" s="42" t="n"/>
      <c r="AA788" s="42" t="n"/>
      <c r="AB788" s="42" t="n"/>
      <c r="AC788" s="42" t="n"/>
      <c r="AD788" s="42" t="n"/>
      <c r="AE788" s="42" t="n"/>
      <c r="AF788" s="43">
        <f>IF($B788="","",SUM($T788:$AE788))</f>
        <v/>
      </c>
      <c r="AG788" s="43">
        <f>IF($B788="","",N($M788)-N($AF788))</f>
        <v/>
      </c>
      <c r="AH788" s="43">
        <f>IF($B788="","",N($L788)-N($AF788))</f>
        <v/>
      </c>
      <c r="AI788" s="149">
        <f>IF($B788="","",IF(N($L788)=0,"",(N($L788)-N($AF788))/N($L788)))</f>
        <v/>
      </c>
    </row>
    <row r="789">
      <c r="A789" s="39">
        <f>IF($B789="","",COUNTA($B$4:$B789))</f>
        <v/>
      </c>
      <c r="B789" s="45" t="n">
        <v>46120</v>
      </c>
      <c r="C789" s="46" t="n">
        <v>2556</v>
      </c>
      <c r="D789" s="46" t="inlineStr">
        <is>
          <t xml:space="preserve">احمد محسن </t>
        </is>
      </c>
      <c r="E789" s="46" t="inlineStr">
        <is>
          <t>1*40</t>
        </is>
      </c>
      <c r="F789" s="46" t="inlineStr">
        <is>
          <t xml:space="preserve">المصرية الاوربية </t>
        </is>
      </c>
      <c r="G789" s="46" t="inlineStr">
        <is>
          <t xml:space="preserve">الفيوم </t>
        </is>
      </c>
      <c r="H789" s="46" t="inlineStr">
        <is>
          <t>521657/4</t>
        </is>
      </c>
      <c r="I789" s="46" t="inlineStr">
        <is>
          <t>س ه ف 1387</t>
        </is>
      </c>
      <c r="J789" s="46" t="inlineStr">
        <is>
          <t xml:space="preserve">احمد ابراهيم </t>
        </is>
      </c>
      <c r="K789" s="46" t="inlineStr">
        <is>
          <t xml:space="preserve">احمد محسن </t>
        </is>
      </c>
      <c r="L789" s="47" t="n">
        <v>18500</v>
      </c>
      <c r="M789" s="47" t="n">
        <v>10100</v>
      </c>
      <c r="N789" s="47" t="n"/>
      <c r="O789" s="47" t="n">
        <v>200</v>
      </c>
      <c r="P789" s="47" t="n"/>
      <c r="Q789" s="47" t="n">
        <v>8200</v>
      </c>
      <c r="R789" s="43">
        <f>IF($B789="","",N($S789)-N($Q789))</f>
        <v/>
      </c>
      <c r="S789" s="43">
        <f>IF($B789="","",N($L789)+N($N789)+N($P789))</f>
        <v/>
      </c>
      <c r="T789" s="47" t="n"/>
      <c r="U789" s="47" t="n"/>
      <c r="V789" s="47" t="n"/>
      <c r="W789" s="47" t="n"/>
      <c r="X789" s="47" t="n"/>
      <c r="Y789" s="47" t="n"/>
      <c r="Z789" s="47" t="n"/>
      <c r="AA789" s="47" t="n"/>
      <c r="AB789" s="47" t="n"/>
      <c r="AC789" s="47" t="n"/>
      <c r="AD789" s="47" t="n"/>
      <c r="AE789" s="47" t="n"/>
      <c r="AF789" s="43">
        <f>IF($B789="","",SUM($T789:$AE789))</f>
        <v/>
      </c>
      <c r="AG789" s="43">
        <f>IF($B789="","",N($M789)-N($AF789))</f>
        <v/>
      </c>
      <c r="AH789" s="43">
        <f>IF($B789="","",N($L789)-N($AF789))</f>
        <v/>
      </c>
      <c r="AI789" s="149">
        <f>IF($B789="","",IF(N($L789)=0,"",(N($L789)-N($AF789))/N($L789)))</f>
        <v/>
      </c>
    </row>
    <row r="790">
      <c r="A790" s="39">
        <f>IF($B790="","",COUNTA($B$4:$B790))</f>
        <v/>
      </c>
      <c r="B790" s="40" t="n">
        <v>46120</v>
      </c>
      <c r="C790" s="41" t="n">
        <v>2430</v>
      </c>
      <c r="D790" s="41" t="inlineStr">
        <is>
          <t>الشريف خ</t>
        </is>
      </c>
      <c r="E790" s="41" t="inlineStr">
        <is>
          <t>1*40</t>
        </is>
      </c>
      <c r="F790" s="41" t="inlineStr">
        <is>
          <t>وادى الرياض</t>
        </is>
      </c>
      <c r="G790" s="41" t="inlineStr">
        <is>
          <t>الاسماعيليه</t>
        </is>
      </c>
      <c r="H790" s="41" t="inlineStr">
        <is>
          <t>629797/0</t>
        </is>
      </c>
      <c r="I790" s="41" t="inlineStr">
        <is>
          <t>ب ط ع3576</t>
        </is>
      </c>
      <c r="J790" s="41" t="inlineStr">
        <is>
          <t xml:space="preserve">محمد الميت </t>
        </is>
      </c>
      <c r="K790" s="41" t="inlineStr">
        <is>
          <t xml:space="preserve">الميت </t>
        </is>
      </c>
      <c r="L790" s="42" t="n">
        <v>18500</v>
      </c>
      <c r="M790" s="42" t="n">
        <v>9100</v>
      </c>
      <c r="N790" s="42" t="n"/>
      <c r="O790" s="42" t="n">
        <v>200</v>
      </c>
      <c r="P790" s="42" t="n"/>
      <c r="Q790" s="42" t="n">
        <v>9200</v>
      </c>
      <c r="R790" s="43">
        <f>IF($B790="","",N($S790)-N($Q790))</f>
        <v/>
      </c>
      <c r="S790" s="43">
        <f>IF($B790="","",N($L790)+N($N790)+N($P790))</f>
        <v/>
      </c>
      <c r="T790" s="42" t="n"/>
      <c r="U790" s="42" t="n"/>
      <c r="V790" s="42" t="n"/>
      <c r="W790" s="42" t="n"/>
      <c r="X790" s="42" t="n"/>
      <c r="Y790" s="42" t="n"/>
      <c r="Z790" s="42" t="n"/>
      <c r="AA790" s="42" t="n"/>
      <c r="AB790" s="42" t="n"/>
      <c r="AC790" s="42" t="n"/>
      <c r="AD790" s="42" t="n"/>
      <c r="AE790" s="42" t="n"/>
      <c r="AF790" s="43">
        <f>IF($B790="","",SUM($T790:$AE790))</f>
        <v/>
      </c>
      <c r="AG790" s="43">
        <f>IF($B790="","",N($M790)-N($AF790))</f>
        <v/>
      </c>
      <c r="AH790" s="43">
        <f>IF($B790="","",N($L790)-N($AF790))</f>
        <v/>
      </c>
      <c r="AI790" s="149">
        <f>IF($B790="","",IF(N($L790)=0,"",(N($L790)-N($AF790))/N($L790)))</f>
        <v/>
      </c>
    </row>
    <row r="791">
      <c r="A791" s="39">
        <f>IF($B791="","",COUNTA($B$4:$B791))</f>
        <v/>
      </c>
      <c r="B791" s="45" t="n">
        <v>46120</v>
      </c>
      <c r="C791" s="46" t="n">
        <v>2558</v>
      </c>
      <c r="D791" s="46" t="inlineStr">
        <is>
          <t>المكتب</t>
        </is>
      </c>
      <c r="E791" s="46" t="inlineStr">
        <is>
          <t>1*40</t>
        </is>
      </c>
      <c r="F791" s="46" t="inlineStr">
        <is>
          <t>وادى الرياض</t>
        </is>
      </c>
      <c r="G791" s="46" t="inlineStr">
        <is>
          <t>الاسماعيليه</t>
        </is>
      </c>
      <c r="H791" s="46" t="inlineStr">
        <is>
          <t>455187/5</t>
        </is>
      </c>
      <c r="I791" s="46" t="inlineStr">
        <is>
          <t>س ع م 8737</t>
        </is>
      </c>
      <c r="J791" s="46" t="inlineStr">
        <is>
          <t xml:space="preserve">محمود المصرى </t>
        </is>
      </c>
      <c r="K791" s="46" t="inlineStr">
        <is>
          <t xml:space="preserve">المكتب </t>
        </is>
      </c>
      <c r="L791" s="47" t="n">
        <v>18700</v>
      </c>
      <c r="M791" s="47" t="n">
        <v>9000</v>
      </c>
      <c r="N791" s="47" t="n"/>
      <c r="O791" s="47" t="n"/>
      <c r="P791" s="47" t="n"/>
      <c r="Q791" s="47" t="n">
        <v>9700</v>
      </c>
      <c r="R791" s="43">
        <f>IF($B791="","",N($S791)-N($Q791))</f>
        <v/>
      </c>
      <c r="S791" s="43">
        <f>IF($B791="","",N($L791)+N($N791)+N($P791))</f>
        <v/>
      </c>
      <c r="T791" s="47" t="n">
        <v>1700</v>
      </c>
      <c r="U791" s="47" t="n">
        <v>650</v>
      </c>
      <c r="V791" s="47" t="n"/>
      <c r="W791" s="47" t="n">
        <v>200</v>
      </c>
      <c r="X791" s="47" t="n">
        <v>160</v>
      </c>
      <c r="Y791" s="47" t="n">
        <v>60</v>
      </c>
      <c r="Z791" s="47" t="n"/>
      <c r="AA791" s="47" t="n"/>
      <c r="AB791" s="47" t="n"/>
      <c r="AC791" s="47" t="n">
        <v>50</v>
      </c>
      <c r="AD791" s="47" t="n">
        <v>60</v>
      </c>
      <c r="AE791" s="47" t="n">
        <v>5150</v>
      </c>
      <c r="AF791" s="43">
        <f>IF($B791="","",SUM($T791:$AE791))</f>
        <v/>
      </c>
      <c r="AG791" s="43">
        <f>IF($B791="","",N($M791)-N($AF791))</f>
        <v/>
      </c>
      <c r="AH791" s="43">
        <f>IF($B791="","",N($L791)-N($AF791))</f>
        <v/>
      </c>
      <c r="AI791" s="149">
        <f>IF($B791="","",IF(N($L791)=0,"",(N($L791)-N($AF791))/N($L791)))</f>
        <v/>
      </c>
    </row>
    <row r="792">
      <c r="A792" s="39">
        <f>IF($B792="","",COUNTA($B$4:$B792))</f>
        <v/>
      </c>
      <c r="B792" s="40" t="n">
        <v>46120</v>
      </c>
      <c r="C792" s="41" t="n">
        <v>2552</v>
      </c>
      <c r="D792" s="41" t="inlineStr">
        <is>
          <t xml:space="preserve">محمد يحى </t>
        </is>
      </c>
      <c r="E792" s="41" t="inlineStr">
        <is>
          <t>1*40</t>
        </is>
      </c>
      <c r="F792" s="41" t="inlineStr">
        <is>
          <t>وادى الرياض</t>
        </is>
      </c>
      <c r="G792" s="41" t="inlineStr">
        <is>
          <t>الاسماعيليه</t>
        </is>
      </c>
      <c r="H792" s="41" t="inlineStr">
        <is>
          <t>731001/9</t>
        </is>
      </c>
      <c r="I792" s="41" t="inlineStr">
        <is>
          <t>ب ص ا 2574</t>
        </is>
      </c>
      <c r="J792" s="41" t="inlineStr">
        <is>
          <t xml:space="preserve">محمد البحيرى </t>
        </is>
      </c>
      <c r="K792" s="41" t="inlineStr">
        <is>
          <t xml:space="preserve">احمد خليف </t>
        </is>
      </c>
      <c r="L792" s="42" t="n">
        <v>17500</v>
      </c>
      <c r="M792" s="42" t="n">
        <v>9100</v>
      </c>
      <c r="N792" s="42" t="n"/>
      <c r="O792" s="42" t="n">
        <v>200</v>
      </c>
      <c r="P792" s="42" t="n"/>
      <c r="Q792" s="42" t="n">
        <v>8200</v>
      </c>
      <c r="R792" s="43">
        <f>IF($B792="","",N($S792)-N($Q792))</f>
        <v/>
      </c>
      <c r="S792" s="43">
        <f>IF($B792="","",N($L792)+N($N792)+N($P792))</f>
        <v/>
      </c>
      <c r="T792" s="42" t="n"/>
      <c r="U792" s="42" t="n"/>
      <c r="V792" s="42" t="n"/>
      <c r="W792" s="42" t="n"/>
      <c r="X792" s="42" t="n"/>
      <c r="Y792" s="42" t="n"/>
      <c r="Z792" s="42" t="n"/>
      <c r="AA792" s="42" t="n"/>
      <c r="AB792" s="42" t="n"/>
      <c r="AC792" s="42" t="n"/>
      <c r="AD792" s="42" t="n"/>
      <c r="AE792" s="42" t="n"/>
      <c r="AF792" s="43">
        <f>IF($B792="","",SUM($T792:$AE792))</f>
        <v/>
      </c>
      <c r="AG792" s="43">
        <f>IF($B792="","",N($M792)-N($AF792))</f>
        <v/>
      </c>
      <c r="AH792" s="43">
        <f>IF($B792="","",N($L792)-N($AF792))</f>
        <v/>
      </c>
      <c r="AI792" s="149">
        <f>IF($B792="","",IF(N($L792)=0,"",(N($L792)-N($AF792))/N($L792)))</f>
        <v/>
      </c>
    </row>
    <row r="793">
      <c r="A793" s="39">
        <f>IF($B793="","",COUNTA($B$4:$B793))</f>
        <v/>
      </c>
      <c r="B793" s="45" t="n">
        <v>46121</v>
      </c>
      <c r="C793" s="46" t="n">
        <v>2327</v>
      </c>
      <c r="D793" s="46" t="inlineStr">
        <is>
          <t>حماد خ</t>
        </is>
      </c>
      <c r="E793" s="46" t="inlineStr">
        <is>
          <t>1*40 ث</t>
        </is>
      </c>
      <c r="F793" s="46" t="inlineStr">
        <is>
          <t xml:space="preserve">ال موندو </t>
        </is>
      </c>
      <c r="G793" s="46" t="inlineStr">
        <is>
          <t xml:space="preserve">ابيس </t>
        </is>
      </c>
      <c r="H793" s="46" t="inlineStr">
        <is>
          <t>852798/0</t>
        </is>
      </c>
      <c r="I793" s="46" t="inlineStr">
        <is>
          <t>س ل ب 5917</t>
        </is>
      </c>
      <c r="J793" s="46" t="inlineStr">
        <is>
          <t xml:space="preserve">محمد ابراهيم </t>
        </is>
      </c>
      <c r="K793" s="46" t="inlineStr">
        <is>
          <t xml:space="preserve">علاء علام </t>
        </is>
      </c>
      <c r="L793" s="47" t="n">
        <v>14800</v>
      </c>
      <c r="M793" s="47" t="n">
        <v>8100</v>
      </c>
      <c r="N793" s="47" t="n"/>
      <c r="O793" s="47" t="n">
        <v>200</v>
      </c>
      <c r="P793" s="47" t="n"/>
      <c r="Q793" s="47" t="n">
        <v>6500</v>
      </c>
      <c r="R793" s="43">
        <f>IF($B793="","",N($S793)-N($Q793))</f>
        <v/>
      </c>
      <c r="S793" s="43">
        <f>IF($B793="","",N($L793)+N($N793)+N($P793))</f>
        <v/>
      </c>
      <c r="T793" s="47" t="n"/>
      <c r="U793" s="47" t="n"/>
      <c r="V793" s="47" t="n"/>
      <c r="W793" s="47" t="n"/>
      <c r="X793" s="47" t="n"/>
      <c r="Y793" s="47" t="n"/>
      <c r="Z793" s="47" t="n"/>
      <c r="AA793" s="47" t="n"/>
      <c r="AB793" s="47" t="n"/>
      <c r="AC793" s="47" t="n"/>
      <c r="AD793" s="47" t="n"/>
      <c r="AE793" s="47" t="n"/>
      <c r="AF793" s="43">
        <f>IF($B793="","",SUM($T793:$AE793))</f>
        <v/>
      </c>
      <c r="AG793" s="43">
        <f>IF($B793="","",N($M793)-N($AF793))</f>
        <v/>
      </c>
      <c r="AH793" s="43">
        <f>IF($B793="","",N($L793)-N($AF793))</f>
        <v/>
      </c>
      <c r="AI793" s="149">
        <f>IF($B793="","",IF(N($L793)=0,"",(N($L793)-N($AF793))/N($L793)))</f>
        <v/>
      </c>
    </row>
    <row r="794">
      <c r="A794" s="39">
        <f>IF($B794="","",COUNTA($B$4:$B794))</f>
        <v/>
      </c>
      <c r="B794" s="40" t="n">
        <v>46121</v>
      </c>
      <c r="C794" s="41" t="n">
        <v>2482</v>
      </c>
      <c r="D794" s="41" t="inlineStr">
        <is>
          <t>استوريا خ</t>
        </is>
      </c>
      <c r="E794" s="41" t="inlineStr">
        <is>
          <t>1*20</t>
        </is>
      </c>
      <c r="F794" s="41" t="inlineStr">
        <is>
          <t>الزهراء</t>
        </is>
      </c>
      <c r="G794" s="41" t="inlineStr">
        <is>
          <t xml:space="preserve">سموحة </t>
        </is>
      </c>
      <c r="H794" s="41" t="inlineStr">
        <is>
          <t>293932/9</t>
        </is>
      </c>
      <c r="I794" s="41" t="inlineStr">
        <is>
          <t>س ع ف 4932</t>
        </is>
      </c>
      <c r="J794" s="41" t="inlineStr">
        <is>
          <t xml:space="preserve">احمد شريف </t>
        </is>
      </c>
      <c r="K794" s="41" t="inlineStr">
        <is>
          <t xml:space="preserve">الشريف </t>
        </is>
      </c>
      <c r="L794" s="42" t="n">
        <v>5500</v>
      </c>
      <c r="M794" s="42" t="n">
        <v>5100</v>
      </c>
      <c r="N794" s="42" t="n"/>
      <c r="O794" s="42" t="n">
        <v>200</v>
      </c>
      <c r="P794" s="42" t="n"/>
      <c r="Q794" s="42" t="n">
        <v>200</v>
      </c>
      <c r="R794" s="43">
        <f>IF($B794="","",N($S794)-N($Q794))</f>
        <v/>
      </c>
      <c r="S794" s="43">
        <f>IF($B794="","",N($L794)+N($N794)+N($P794))</f>
        <v/>
      </c>
      <c r="T794" s="42" t="n"/>
      <c r="U794" s="42" t="n"/>
      <c r="V794" s="42" t="n"/>
      <c r="W794" s="42" t="n"/>
      <c r="X794" s="42" t="n"/>
      <c r="Y794" s="42" t="n"/>
      <c r="Z794" s="42" t="n"/>
      <c r="AA794" s="42" t="n"/>
      <c r="AB794" s="42" t="n"/>
      <c r="AC794" s="42" t="n"/>
      <c r="AD794" s="42" t="n"/>
      <c r="AE794" s="42" t="n"/>
      <c r="AF794" s="43">
        <f>IF($B794="","",SUM($T794:$AE794))</f>
        <v/>
      </c>
      <c r="AG794" s="43">
        <f>IF($B794="","",N($M794)-N($AF794))</f>
        <v/>
      </c>
      <c r="AH794" s="43">
        <f>IF($B794="","",N($L794)-N($AF794))</f>
        <v/>
      </c>
      <c r="AI794" s="149">
        <f>IF($B794="","",IF(N($L794)=0,"",(N($L794)-N($AF794))/N($L794)))</f>
        <v/>
      </c>
    </row>
    <row r="795">
      <c r="A795" s="39">
        <f>IF($B795="","",COUNTA($B$4:$B795))</f>
        <v/>
      </c>
      <c r="B795" s="45" t="n">
        <v>46121</v>
      </c>
      <c r="C795" s="46" t="n">
        <v>2483</v>
      </c>
      <c r="D795" s="46" t="inlineStr">
        <is>
          <t xml:space="preserve">كمال رزق </t>
        </is>
      </c>
      <c r="E795" s="46" t="inlineStr">
        <is>
          <t>1*40 ث</t>
        </is>
      </c>
      <c r="F795" s="46" t="inlineStr">
        <is>
          <t xml:space="preserve">انتراكوا </t>
        </is>
      </c>
      <c r="G795" s="46" t="inlineStr">
        <is>
          <t xml:space="preserve">السادات </t>
        </is>
      </c>
      <c r="H795" s="46" t="inlineStr">
        <is>
          <t>552151/3</t>
        </is>
      </c>
      <c r="I795" s="46" t="inlineStr">
        <is>
          <t>س ه ا 3941</t>
        </is>
      </c>
      <c r="J795" s="46" t="inlineStr">
        <is>
          <t xml:space="preserve">محمد العمرى </t>
        </is>
      </c>
      <c r="K795" s="46" t="inlineStr">
        <is>
          <t xml:space="preserve">حديدة </t>
        </is>
      </c>
      <c r="L795" s="47" t="n">
        <v>14000</v>
      </c>
      <c r="M795" s="47" t="n">
        <v>8100</v>
      </c>
      <c r="N795" s="47" t="n"/>
      <c r="O795" s="47" t="n">
        <v>200</v>
      </c>
      <c r="P795" s="47" t="n"/>
      <c r="Q795" s="47" t="n">
        <v>5700</v>
      </c>
      <c r="R795" s="43">
        <f>IF($B795="","",N($S795)-N($Q795))</f>
        <v/>
      </c>
      <c r="S795" s="43">
        <f>IF($B795="","",N($L795)+N($N795)+N($P795))</f>
        <v/>
      </c>
      <c r="T795" s="47" t="n"/>
      <c r="U795" s="47" t="n"/>
      <c r="V795" s="47" t="n"/>
      <c r="W795" s="47" t="n"/>
      <c r="X795" s="47" t="n"/>
      <c r="Y795" s="47" t="n"/>
      <c r="Z795" s="47" t="n"/>
      <c r="AA795" s="47" t="n"/>
      <c r="AB795" s="47" t="n"/>
      <c r="AC795" s="47" t="n"/>
      <c r="AD795" s="47" t="n"/>
      <c r="AE795" s="47" t="n"/>
      <c r="AF795" s="43">
        <f>IF($B795="","",SUM($T795:$AE795))</f>
        <v/>
      </c>
      <c r="AG795" s="43">
        <f>IF($B795="","",N($M795)-N($AF795))</f>
        <v/>
      </c>
      <c r="AH795" s="43">
        <f>IF($B795="","",N($L795)-N($AF795))</f>
        <v/>
      </c>
      <c r="AI795" s="149">
        <f>IF($B795="","",IF(N($L795)=0,"",(N($L795)-N($AF795))/N($L795)))</f>
        <v/>
      </c>
    </row>
    <row r="796">
      <c r="A796" s="39">
        <f>IF($B796="","",COUNTA($B$4:$B796))</f>
        <v/>
      </c>
      <c r="B796" s="40" t="n">
        <v>46121</v>
      </c>
      <c r="C796" s="41" t="n">
        <v>2484</v>
      </c>
      <c r="D796" s="41" t="inlineStr">
        <is>
          <t>رجب عبد العال</t>
        </is>
      </c>
      <c r="E796" s="41" t="inlineStr">
        <is>
          <t>1*40 ث</t>
        </is>
      </c>
      <c r="F796" s="41" t="inlineStr">
        <is>
          <t xml:space="preserve">انتراكوا </t>
        </is>
      </c>
      <c r="G796" s="41" t="inlineStr">
        <is>
          <t xml:space="preserve">السادات </t>
        </is>
      </c>
      <c r="H796" s="41" t="inlineStr">
        <is>
          <t>653622/5</t>
        </is>
      </c>
      <c r="I796" s="41" t="inlineStr">
        <is>
          <t>س ع م 6856</t>
        </is>
      </c>
      <c r="J796" s="41" t="inlineStr">
        <is>
          <t xml:space="preserve">احمد محمد </t>
        </is>
      </c>
      <c r="K796" s="41" t="inlineStr">
        <is>
          <t xml:space="preserve">حديدة </t>
        </is>
      </c>
      <c r="L796" s="42" t="n">
        <v>14800</v>
      </c>
      <c r="M796" s="42" t="n">
        <v>8100</v>
      </c>
      <c r="N796" s="42" t="n"/>
      <c r="O796" s="42" t="n">
        <v>200</v>
      </c>
      <c r="P796" s="42" t="n">
        <v>1700</v>
      </c>
      <c r="Q796" s="42" t="n">
        <v>8200</v>
      </c>
      <c r="R796" s="43">
        <f>IF($B796="","",N($S796)-N($Q796))</f>
        <v/>
      </c>
      <c r="S796" s="43">
        <f>IF($B796="","",N($L796)+N($N796)+N($P796))</f>
        <v/>
      </c>
      <c r="T796" s="42" t="n"/>
      <c r="U796" s="42" t="n"/>
      <c r="V796" s="42" t="n"/>
      <c r="W796" s="42" t="n"/>
      <c r="X796" s="42" t="n"/>
      <c r="Y796" s="42" t="n"/>
      <c r="Z796" s="42" t="n"/>
      <c r="AA796" s="42" t="n"/>
      <c r="AB796" s="42" t="n"/>
      <c r="AC796" s="42" t="n"/>
      <c r="AD796" s="42" t="n"/>
      <c r="AE796" s="42" t="n"/>
      <c r="AF796" s="43">
        <f>IF($B796="","",SUM($T796:$AE796))</f>
        <v/>
      </c>
      <c r="AG796" s="43">
        <f>IF($B796="","",N($M796)-N($AF796))</f>
        <v/>
      </c>
      <c r="AH796" s="43">
        <f>IF($B796="","",N($L796)-N($AF796))</f>
        <v/>
      </c>
      <c r="AI796" s="149">
        <f>IF($B796="","",IF(N($L796)=0,"",(N($L796)-N($AF796))/N($L796)))</f>
        <v/>
      </c>
    </row>
    <row r="797">
      <c r="A797" s="39">
        <f>IF($B797="","",COUNTA($B$4:$B797))</f>
        <v/>
      </c>
      <c r="B797" s="45" t="n">
        <v>46121</v>
      </c>
      <c r="C797" s="46" t="n">
        <v>2485</v>
      </c>
      <c r="D797" s="46" t="inlineStr">
        <is>
          <t>عتريس مخيمر  خ</t>
        </is>
      </c>
      <c r="E797" s="46" t="inlineStr">
        <is>
          <t>1*40 ث</t>
        </is>
      </c>
      <c r="F797" s="46" t="inlineStr">
        <is>
          <t xml:space="preserve">انتراكوا </t>
        </is>
      </c>
      <c r="G797" s="46" t="inlineStr">
        <is>
          <t xml:space="preserve">السادات </t>
        </is>
      </c>
      <c r="H797" s="46" t="inlineStr">
        <is>
          <t>983533/8</t>
        </is>
      </c>
      <c r="I797" s="46" t="inlineStr">
        <is>
          <t>ط ف ر 1474</t>
        </is>
      </c>
      <c r="J797" s="46" t="inlineStr">
        <is>
          <t xml:space="preserve">جمال على </t>
        </is>
      </c>
      <c r="K797" s="46" t="inlineStr">
        <is>
          <t xml:space="preserve">كريم خليف </t>
        </is>
      </c>
      <c r="L797" s="47" t="n">
        <v>14500</v>
      </c>
      <c r="M797" s="47" t="n">
        <v>8100</v>
      </c>
      <c r="N797" s="47" t="n"/>
      <c r="O797" s="47" t="n">
        <v>200</v>
      </c>
      <c r="P797" s="47" t="n"/>
      <c r="Q797" s="47" t="n">
        <v>6200</v>
      </c>
      <c r="R797" s="43">
        <f>IF($B797="","",N($S797)-N($Q797))</f>
        <v/>
      </c>
      <c r="S797" s="43">
        <f>IF($B797="","",N($L797)+N($N797)+N($P797))</f>
        <v/>
      </c>
      <c r="T797" s="47" t="n"/>
      <c r="U797" s="47" t="n"/>
      <c r="V797" s="47" t="n"/>
      <c r="W797" s="47" t="n"/>
      <c r="X797" s="47" t="n"/>
      <c r="Y797" s="47" t="n"/>
      <c r="Z797" s="47" t="n"/>
      <c r="AA797" s="47" t="n"/>
      <c r="AB797" s="47" t="n"/>
      <c r="AC797" s="47" t="n"/>
      <c r="AD797" s="47" t="n"/>
      <c r="AE797" s="47" t="n"/>
      <c r="AF797" s="43">
        <f>IF($B797="","",SUM($T797:$AE797))</f>
        <v/>
      </c>
      <c r="AG797" s="43">
        <f>IF($B797="","",N($M797)-N($AF797))</f>
        <v/>
      </c>
      <c r="AH797" s="43">
        <f>IF($B797="","",N($L797)-N($AF797))</f>
        <v/>
      </c>
      <c r="AI797" s="149">
        <f>IF($B797="","",IF(N($L797)=0,"",(N($L797)-N($AF797))/N($L797)))</f>
        <v/>
      </c>
    </row>
    <row r="798">
      <c r="A798" s="39">
        <f>IF($B798="","",COUNTA($B$4:$B798))</f>
        <v/>
      </c>
      <c r="B798" s="40" t="n">
        <v>46121</v>
      </c>
      <c r="C798" s="41" t="n">
        <v>2487</v>
      </c>
      <c r="D798" s="41" t="inlineStr">
        <is>
          <t xml:space="preserve">محمد يحى </t>
        </is>
      </c>
      <c r="E798" s="41" t="inlineStr">
        <is>
          <t>1*40 ث</t>
        </is>
      </c>
      <c r="F798" s="41" t="inlineStr">
        <is>
          <t xml:space="preserve">انتراكوا </t>
        </is>
      </c>
      <c r="G798" s="41" t="inlineStr">
        <is>
          <t xml:space="preserve">السادات </t>
        </is>
      </c>
      <c r="H798" s="41" t="inlineStr">
        <is>
          <t>514651/5</t>
        </is>
      </c>
      <c r="I798" s="41" t="inlineStr">
        <is>
          <t>ع ر ب 1573</t>
        </is>
      </c>
      <c r="J798" s="41" t="inlineStr">
        <is>
          <t>شريف الامير</t>
        </is>
      </c>
      <c r="K798" s="41" t="inlineStr">
        <is>
          <t xml:space="preserve">حمو مرزوق </t>
        </is>
      </c>
      <c r="L798" s="42" t="n">
        <v>15000</v>
      </c>
      <c r="M798" s="42" t="n">
        <v>8100</v>
      </c>
      <c r="N798" s="42" t="n"/>
      <c r="O798" s="42" t="n">
        <v>200</v>
      </c>
      <c r="P798" s="42" t="n"/>
      <c r="Q798" s="42" t="n">
        <v>6700</v>
      </c>
      <c r="R798" s="43">
        <f>IF($B798="","",N($S798)-N($Q798))</f>
        <v/>
      </c>
      <c r="S798" s="43">
        <f>IF($B798="","",N($L798)+N($N798)+N($P798))</f>
        <v/>
      </c>
      <c r="T798" s="42" t="n"/>
      <c r="U798" s="42" t="n"/>
      <c r="V798" s="42" t="n"/>
      <c r="W798" s="42" t="n"/>
      <c r="X798" s="42" t="n"/>
      <c r="Y798" s="42" t="n"/>
      <c r="Z798" s="42" t="n"/>
      <c r="AA798" s="42" t="n"/>
      <c r="AB798" s="42" t="n"/>
      <c r="AC798" s="42" t="n"/>
      <c r="AD798" s="42" t="n"/>
      <c r="AE798" s="42" t="n"/>
      <c r="AF798" s="43">
        <f>IF($B798="","",SUM($T798:$AE798))</f>
        <v/>
      </c>
      <c r="AG798" s="43">
        <f>IF($B798="","",N($M798)-N($AF798))</f>
        <v/>
      </c>
      <c r="AH798" s="43">
        <f>IF($B798="","",N($L798)-N($AF798))</f>
        <v/>
      </c>
      <c r="AI798" s="149">
        <f>IF($B798="","",IF(N($L798)=0,"",(N($L798)-N($AF798))/N($L798)))</f>
        <v/>
      </c>
    </row>
    <row r="799">
      <c r="A799" s="39">
        <f>IF($B799="","",COUNTA($B$4:$B799))</f>
        <v/>
      </c>
      <c r="B799" s="45" t="n">
        <v>46121</v>
      </c>
      <c r="C799" s="46" t="n">
        <v>2562</v>
      </c>
      <c r="D799" s="46" t="inlineStr">
        <is>
          <t>صعيدى 4</t>
        </is>
      </c>
      <c r="E799" s="46" t="inlineStr">
        <is>
          <t>2*20</t>
        </is>
      </c>
      <c r="F799" s="46" t="inlineStr">
        <is>
          <t>لوجيا</t>
        </is>
      </c>
      <c r="G799" s="46" t="inlineStr">
        <is>
          <t>الصف</t>
        </is>
      </c>
      <c r="H799" s="46" t="inlineStr">
        <is>
          <t>631887/1-322912/2</t>
        </is>
      </c>
      <c r="I799" s="46" t="inlineStr">
        <is>
          <t>س ل ح 2521</t>
        </is>
      </c>
      <c r="J799" s="46" t="inlineStr">
        <is>
          <t xml:space="preserve">احمد القط </t>
        </is>
      </c>
      <c r="K799" s="46" t="inlineStr">
        <is>
          <t xml:space="preserve">محمد الصعيدى </t>
        </is>
      </c>
      <c r="L799" s="47" t="n">
        <v>25000</v>
      </c>
      <c r="M799" s="47" t="n">
        <v>10100</v>
      </c>
      <c r="N799" s="47" t="n"/>
      <c r="O799" s="47" t="n">
        <v>200</v>
      </c>
      <c r="P799" s="47" t="n"/>
      <c r="Q799" s="47" t="n">
        <v>14700</v>
      </c>
      <c r="R799" s="43">
        <f>IF($B799="","",N($S799)-N($Q799))</f>
        <v/>
      </c>
      <c r="S799" s="43">
        <f>IF($B799="","",N($L799)+N($N799)+N($P799))</f>
        <v/>
      </c>
      <c r="T799" s="47" t="n"/>
      <c r="U799" s="47" t="n"/>
      <c r="V799" s="47" t="n"/>
      <c r="W799" s="47" t="n"/>
      <c r="X799" s="47" t="n"/>
      <c r="Y799" s="47" t="n"/>
      <c r="Z799" s="47" t="n"/>
      <c r="AA799" s="47" t="n"/>
      <c r="AB799" s="47" t="n"/>
      <c r="AC799" s="47" t="n"/>
      <c r="AD799" s="47" t="n"/>
      <c r="AE799" s="47" t="n"/>
      <c r="AF799" s="43">
        <f>IF($B799="","",SUM($T799:$AE799))</f>
        <v/>
      </c>
      <c r="AG799" s="43">
        <f>IF($B799="","",N($M799)-N($AF799))</f>
        <v/>
      </c>
      <c r="AH799" s="43">
        <f>IF($B799="","",N($L799)-N($AF799))</f>
        <v/>
      </c>
      <c r="AI799" s="149">
        <f>IF($B799="","",IF(N($L799)=0,"",(N($L799)-N($AF799))/N($L799)))</f>
        <v/>
      </c>
    </row>
    <row r="800">
      <c r="A800" s="39">
        <f>IF($B800="","",COUNTA($B$4:$B800))</f>
        <v/>
      </c>
      <c r="B800" s="40" t="n">
        <v>46121</v>
      </c>
      <c r="C800" s="41" t="n">
        <v>2564</v>
      </c>
      <c r="D800" s="41" t="inlineStr">
        <is>
          <t>صعيدى 4</t>
        </is>
      </c>
      <c r="E800" s="41" t="inlineStr">
        <is>
          <t>2*20</t>
        </is>
      </c>
      <c r="F800" s="41" t="inlineStr">
        <is>
          <t>لوجيا</t>
        </is>
      </c>
      <c r="G800" s="41" t="inlineStr">
        <is>
          <t>الصف</t>
        </is>
      </c>
      <c r="H800" s="41" t="inlineStr">
        <is>
          <t>318562/0-618130/4</t>
        </is>
      </c>
      <c r="I800" s="41" t="inlineStr">
        <is>
          <t>س ه ف 1874</t>
        </is>
      </c>
      <c r="J800" s="41" t="inlineStr">
        <is>
          <t xml:space="preserve">باسم عبد السلام </t>
        </is>
      </c>
      <c r="K800" s="41" t="inlineStr">
        <is>
          <t xml:space="preserve">محمد الصعيدى </t>
        </is>
      </c>
      <c r="L800" s="42" t="n">
        <v>25000</v>
      </c>
      <c r="M800" s="42" t="n">
        <v>10100</v>
      </c>
      <c r="N800" s="42" t="n"/>
      <c r="O800" s="42" t="n">
        <v>200</v>
      </c>
      <c r="P800" s="42" t="n"/>
      <c r="Q800" s="42" t="n">
        <v>14700</v>
      </c>
      <c r="R800" s="43">
        <f>IF($B800="","",N($S800)-N($Q800))</f>
        <v/>
      </c>
      <c r="S800" s="43">
        <f>IF($B800="","",N($L800)+N($N800)+N($P800))</f>
        <v/>
      </c>
      <c r="T800" s="42" t="n"/>
      <c r="U800" s="42" t="n"/>
      <c r="V800" s="42" t="n"/>
      <c r="W800" s="42" t="n"/>
      <c r="X800" s="42" t="n"/>
      <c r="Y800" s="42" t="n"/>
      <c r="Z800" s="42" t="n"/>
      <c r="AA800" s="42" t="n"/>
      <c r="AB800" s="42" t="n"/>
      <c r="AC800" s="42" t="n"/>
      <c r="AD800" s="42" t="n"/>
      <c r="AE800" s="42" t="n"/>
      <c r="AF800" s="43">
        <f>IF($B800="","",SUM($T800:$AE800))</f>
        <v/>
      </c>
      <c r="AG800" s="43">
        <f>IF($B800="","",N($M800)-N($AF800))</f>
        <v/>
      </c>
      <c r="AH800" s="43">
        <f>IF($B800="","",N($L800)-N($AF800))</f>
        <v/>
      </c>
      <c r="AI800" s="149">
        <f>IF($B800="","",IF(N($L800)=0,"",(N($L800)-N($AF800))/N($L800)))</f>
        <v/>
      </c>
    </row>
    <row r="801">
      <c r="A801" s="39">
        <f>IF($B801="","",COUNTA($B$4:$B801))</f>
        <v/>
      </c>
      <c r="B801" s="45" t="n">
        <v>46121</v>
      </c>
      <c r="C801" s="46" t="n">
        <v>2565</v>
      </c>
      <c r="D801" s="46" t="inlineStr">
        <is>
          <t>المكتب</t>
        </is>
      </c>
      <c r="E801" s="46" t="inlineStr">
        <is>
          <t>2*20</t>
        </is>
      </c>
      <c r="F801" s="46" t="inlineStr">
        <is>
          <t>لوجيا</t>
        </is>
      </c>
      <c r="G801" s="46" t="inlineStr">
        <is>
          <t>الصف</t>
        </is>
      </c>
      <c r="H801" s="46" t="inlineStr">
        <is>
          <t>266973/9-383112/4</t>
        </is>
      </c>
      <c r="I801" s="46" t="inlineStr">
        <is>
          <t>س ع م 8737</t>
        </is>
      </c>
      <c r="J801" s="46" t="inlineStr">
        <is>
          <t xml:space="preserve">محمود المصرى </t>
        </is>
      </c>
      <c r="K801" s="46" t="inlineStr">
        <is>
          <t xml:space="preserve">المكتب </t>
        </is>
      </c>
      <c r="L801" s="47" t="n">
        <v>25000</v>
      </c>
      <c r="M801" s="47" t="n">
        <v>10000</v>
      </c>
      <c r="N801" s="47" t="n"/>
      <c r="O801" s="47" t="n"/>
      <c r="P801" s="47" t="n"/>
      <c r="Q801" s="47" t="n">
        <v>15000</v>
      </c>
      <c r="R801" s="43">
        <f>IF($B801="","",N($S801)-N($Q801))</f>
        <v/>
      </c>
      <c r="S801" s="43">
        <f>IF($B801="","",N($L801)+N($N801)+N($P801))</f>
        <v/>
      </c>
      <c r="T801" s="47" t="n">
        <v>2100</v>
      </c>
      <c r="U801" s="47" t="n">
        <v>900</v>
      </c>
      <c r="V801" s="47" t="n"/>
      <c r="W801" s="47" t="n">
        <v>200</v>
      </c>
      <c r="X801" s="47" t="n">
        <v>60</v>
      </c>
      <c r="Y801" s="47" t="n">
        <v>180</v>
      </c>
      <c r="Z801" s="47" t="n"/>
      <c r="AA801" s="47" t="n"/>
      <c r="AB801" s="47" t="n"/>
      <c r="AC801" s="47" t="n">
        <v>100</v>
      </c>
      <c r="AD801" s="47" t="n">
        <v>30</v>
      </c>
      <c r="AE801" s="47" t="n">
        <v>4420</v>
      </c>
      <c r="AF801" s="43">
        <f>IF($B801="","",SUM($T801:$AE801))</f>
        <v/>
      </c>
      <c r="AG801" s="43">
        <f>IF($B801="","",N($M801)-N($AF801))</f>
        <v/>
      </c>
      <c r="AH801" s="43">
        <f>IF($B801="","",N($L801)-N($AF801))</f>
        <v/>
      </c>
      <c r="AI801" s="149">
        <f>IF($B801="","",IF(N($L801)=0,"",(N($L801)-N($AF801))/N($L801)))</f>
        <v/>
      </c>
    </row>
    <row r="802">
      <c r="A802" s="39">
        <f>IF($B802="","",COUNTA($B$4:$B802))</f>
        <v/>
      </c>
      <c r="B802" s="40" t="n">
        <v>46121</v>
      </c>
      <c r="C802" s="41" t="n">
        <v>2560</v>
      </c>
      <c r="D802" s="41" t="inlineStr">
        <is>
          <t>صعيدى 4</t>
        </is>
      </c>
      <c r="E802" s="41" t="inlineStr">
        <is>
          <t>2*20</t>
        </is>
      </c>
      <c r="F802" s="41" t="inlineStr">
        <is>
          <t>لوجيا</t>
        </is>
      </c>
      <c r="G802" s="41" t="inlineStr">
        <is>
          <t xml:space="preserve">الصف </t>
        </is>
      </c>
      <c r="H802" s="41" t="inlineStr">
        <is>
          <t>390817/0-361983/5</t>
        </is>
      </c>
      <c r="I802" s="41" t="inlineStr">
        <is>
          <t>س ن ف 5149</t>
        </is>
      </c>
      <c r="J802" s="41" t="inlineStr">
        <is>
          <t xml:space="preserve">وليد زيزو </t>
        </is>
      </c>
      <c r="K802" s="41" t="inlineStr">
        <is>
          <t xml:space="preserve">محمد الصعيدى </t>
        </is>
      </c>
      <c r="L802" s="42" t="n">
        <v>25000</v>
      </c>
      <c r="M802" s="42" t="n">
        <v>10100</v>
      </c>
      <c r="N802" s="42" t="n"/>
      <c r="O802" s="42" t="n">
        <v>200</v>
      </c>
      <c r="P802" s="42" t="n"/>
      <c r="Q802" s="42" t="n">
        <v>14700</v>
      </c>
      <c r="R802" s="43">
        <f>IF($B802="","",N($S802)-N($Q802))</f>
        <v/>
      </c>
      <c r="S802" s="43">
        <f>IF($B802="","",N($L802)+N($N802)+N($P802))</f>
        <v/>
      </c>
      <c r="T802" s="42" t="n"/>
      <c r="U802" s="42" t="n"/>
      <c r="V802" s="42" t="n"/>
      <c r="W802" s="42" t="n"/>
      <c r="X802" s="42" t="n"/>
      <c r="Y802" s="42" t="n"/>
      <c r="Z802" s="42" t="n"/>
      <c r="AA802" s="42" t="n"/>
      <c r="AB802" s="42" t="n"/>
      <c r="AC802" s="42" t="n"/>
      <c r="AD802" s="42" t="n"/>
      <c r="AE802" s="42" t="n"/>
      <c r="AF802" s="43">
        <f>IF($B802="","",SUM($T802:$AE802))</f>
        <v/>
      </c>
      <c r="AG802" s="43">
        <f>IF($B802="","",N($M802)-N($AF802))</f>
        <v/>
      </c>
      <c r="AH802" s="43">
        <f>IF($B802="","",N($L802)-N($AF802))</f>
        <v/>
      </c>
      <c r="AI802" s="149">
        <f>IF($B802="","",IF(N($L802)=0,"",(N($L802)-N($AF802))/N($L802)))</f>
        <v/>
      </c>
    </row>
    <row r="803">
      <c r="A803" s="39">
        <f>IF($B803="","",COUNTA($B$4:$B803))</f>
        <v/>
      </c>
      <c r="B803" s="45" t="n">
        <v>46121</v>
      </c>
      <c r="C803" s="46" t="n">
        <v>2567</v>
      </c>
      <c r="D803" s="46" t="inlineStr">
        <is>
          <t>صعيدى 4</t>
        </is>
      </c>
      <c r="E803" s="46" t="inlineStr">
        <is>
          <t>2*20</t>
        </is>
      </c>
      <c r="F803" s="46" t="inlineStr">
        <is>
          <t>لوجيا</t>
        </is>
      </c>
      <c r="G803" s="46" t="inlineStr">
        <is>
          <t>الصف</t>
        </is>
      </c>
      <c r="H803" s="46" t="inlineStr">
        <is>
          <t>376610/4-200304/2</t>
        </is>
      </c>
      <c r="I803" s="46" t="inlineStr">
        <is>
          <t>س ف ب 3176</t>
        </is>
      </c>
      <c r="J803" s="46" t="inlineStr">
        <is>
          <t xml:space="preserve">السيد عبد العزيز </t>
        </is>
      </c>
      <c r="K803" s="46" t="inlineStr">
        <is>
          <t xml:space="preserve">محمد الصعيدى </t>
        </is>
      </c>
      <c r="L803" s="47" t="n">
        <v>25000</v>
      </c>
      <c r="M803" s="47" t="n">
        <v>9600</v>
      </c>
      <c r="N803" s="47" t="n"/>
      <c r="O803" s="47" t="n">
        <v>200</v>
      </c>
      <c r="P803" s="47" t="n"/>
      <c r="Q803" s="47" t="n">
        <v>15200</v>
      </c>
      <c r="R803" s="43">
        <f>IF($B803="","",N($S803)-N($Q803))</f>
        <v/>
      </c>
      <c r="S803" s="43">
        <f>IF($B803="","",N($L803)+N($N803)+N($P803))</f>
        <v/>
      </c>
      <c r="T803" s="47" t="n"/>
      <c r="U803" s="47" t="n"/>
      <c r="V803" s="47" t="n"/>
      <c r="W803" s="47" t="n"/>
      <c r="X803" s="47" t="n"/>
      <c r="Y803" s="47" t="n"/>
      <c r="Z803" s="47" t="n"/>
      <c r="AA803" s="47" t="n"/>
      <c r="AB803" s="47" t="n"/>
      <c r="AC803" s="47" t="n"/>
      <c r="AD803" s="47" t="n"/>
      <c r="AE803" s="47" t="n"/>
      <c r="AF803" s="43">
        <f>IF($B803="","",SUM($T803:$AE803))</f>
        <v/>
      </c>
      <c r="AG803" s="43">
        <f>IF($B803="","",N($M803)-N($AF803))</f>
        <v/>
      </c>
      <c r="AH803" s="43">
        <f>IF($B803="","",N($L803)-N($AF803))</f>
        <v/>
      </c>
      <c r="AI803" s="149">
        <f>IF($B803="","",IF(N($L803)=0,"",(N($L803)-N($AF803))/N($L803)))</f>
        <v/>
      </c>
    </row>
    <row r="804">
      <c r="A804" s="39">
        <f>IF($B804="","",COUNTA($B$4:$B804))</f>
        <v/>
      </c>
      <c r="B804" s="40" t="n">
        <v>46121</v>
      </c>
      <c r="C804" s="41" t="n">
        <v>2566</v>
      </c>
      <c r="D804" s="41" t="inlineStr">
        <is>
          <t>الانصارى خ</t>
        </is>
      </c>
      <c r="E804" s="41" t="inlineStr">
        <is>
          <t>2*20</t>
        </is>
      </c>
      <c r="F804" s="41" t="inlineStr">
        <is>
          <t>لوجيا</t>
        </is>
      </c>
      <c r="G804" s="41" t="inlineStr">
        <is>
          <t xml:space="preserve">الصف </t>
        </is>
      </c>
      <c r="H804" s="41" t="inlineStr">
        <is>
          <t>228409/4-657034/8</t>
        </is>
      </c>
      <c r="I804" s="41" t="inlineStr">
        <is>
          <t>ب ص ا 2574</t>
        </is>
      </c>
      <c r="J804" s="41" t="inlineStr">
        <is>
          <t xml:space="preserve">محمد البحيرى </t>
        </is>
      </c>
      <c r="K804" s="41" t="inlineStr">
        <is>
          <t xml:space="preserve">احمد خليف </t>
        </is>
      </c>
      <c r="L804" s="42" t="n">
        <v>25000</v>
      </c>
      <c r="M804" s="42" t="n">
        <v>12100</v>
      </c>
      <c r="N804" s="42" t="n"/>
      <c r="O804" s="42" t="n">
        <v>200</v>
      </c>
      <c r="P804" s="42" t="n"/>
      <c r="Q804" s="42" t="n">
        <v>12700</v>
      </c>
      <c r="R804" s="43">
        <f>IF($B804="","",N($S804)-N($Q804))</f>
        <v/>
      </c>
      <c r="S804" s="43">
        <f>IF($B804="","",N($L804)+N($N804)+N($P804))</f>
        <v/>
      </c>
      <c r="T804" s="42" t="n"/>
      <c r="U804" s="42" t="n"/>
      <c r="V804" s="42" t="n"/>
      <c r="W804" s="42" t="n"/>
      <c r="X804" s="42" t="n"/>
      <c r="Y804" s="42" t="n"/>
      <c r="Z804" s="42" t="n"/>
      <c r="AA804" s="42" t="n"/>
      <c r="AB804" s="42" t="n"/>
      <c r="AC804" s="42" t="n"/>
      <c r="AD804" s="42" t="n"/>
      <c r="AE804" s="42" t="n"/>
      <c r="AF804" s="43">
        <f>IF($B804="","",SUM($T804:$AE804))</f>
        <v/>
      </c>
      <c r="AG804" s="43">
        <f>IF($B804="","",N($M804)-N($AF804))</f>
        <v/>
      </c>
      <c r="AH804" s="43">
        <f>IF($B804="","",N($L804)-N($AF804))</f>
        <v/>
      </c>
      <c r="AI804" s="149">
        <f>IF($B804="","",IF(N($L804)=0,"",(N($L804)-N($AF804))/N($L804)))</f>
        <v/>
      </c>
    </row>
    <row r="805">
      <c r="A805" s="39">
        <f>IF($B805="","",COUNTA($B$4:$B805))</f>
        <v/>
      </c>
      <c r="B805" s="45" t="n">
        <v>46121</v>
      </c>
      <c r="C805" s="46" t="n">
        <v>2559</v>
      </c>
      <c r="D805" s="46" t="inlineStr">
        <is>
          <t xml:space="preserve">محمد لطفى </t>
        </is>
      </c>
      <c r="E805" s="46" t="inlineStr">
        <is>
          <t>2*20</t>
        </is>
      </c>
      <c r="F805" s="46" t="inlineStr">
        <is>
          <t>لوجيا</t>
        </is>
      </c>
      <c r="G805" s="46" t="inlineStr">
        <is>
          <t>الصف</t>
        </is>
      </c>
      <c r="H805" s="46" t="inlineStr">
        <is>
          <t>319295/4-283833/1</t>
        </is>
      </c>
      <c r="I805" s="46" t="inlineStr">
        <is>
          <t>ق ب ع 5358</t>
        </is>
      </c>
      <c r="J805" s="46" t="inlineStr">
        <is>
          <t xml:space="preserve">كريم الغامرى </t>
        </is>
      </c>
      <c r="K805" s="46" t="inlineStr">
        <is>
          <t xml:space="preserve">الغامرى </t>
        </is>
      </c>
      <c r="L805" s="47" t="n">
        <v>25000</v>
      </c>
      <c r="M805" s="47" t="n">
        <v>12100</v>
      </c>
      <c r="N805" s="47" t="n"/>
      <c r="O805" s="47" t="n">
        <v>200</v>
      </c>
      <c r="P805" s="47" t="n"/>
      <c r="Q805" s="47" t="n">
        <v>12700</v>
      </c>
      <c r="R805" s="43">
        <f>IF($B805="","",N($S805)-N($Q805))</f>
        <v/>
      </c>
      <c r="S805" s="43">
        <f>IF($B805="","",N($L805)+N($N805)+N($P805))</f>
        <v/>
      </c>
      <c r="T805" s="47" t="n"/>
      <c r="U805" s="47" t="n"/>
      <c r="V805" s="47" t="n"/>
      <c r="W805" s="47" t="n"/>
      <c r="X805" s="47" t="n"/>
      <c r="Y805" s="47" t="n"/>
      <c r="Z805" s="47" t="n"/>
      <c r="AA805" s="47" t="n"/>
      <c r="AB805" s="47" t="n"/>
      <c r="AC805" s="47" t="n"/>
      <c r="AD805" s="47" t="n"/>
      <c r="AE805" s="47" t="n"/>
      <c r="AF805" s="43">
        <f>IF($B805="","",SUM($T805:$AE805))</f>
        <v/>
      </c>
      <c r="AG805" s="43">
        <f>IF($B805="","",N($M805)-N($AF805))</f>
        <v/>
      </c>
      <c r="AH805" s="43">
        <f>IF($B805="","",N($L805)-N($AF805))</f>
        <v/>
      </c>
      <c r="AI805" s="149">
        <f>IF($B805="","",IF(N($L805)=0,"",(N($L805)-N($AF805))/N($L805)))</f>
        <v/>
      </c>
    </row>
    <row r="806">
      <c r="A806" s="39">
        <f>IF($B806="","",COUNTA($B$4:$B806))</f>
        <v/>
      </c>
      <c r="B806" s="40" t="n">
        <v>46121</v>
      </c>
      <c r="C806" s="41" t="n">
        <v>2561</v>
      </c>
      <c r="D806" s="41" t="inlineStr">
        <is>
          <t>محمد عتمان</t>
        </is>
      </c>
      <c r="E806" s="41" t="inlineStr">
        <is>
          <t>2*20</t>
        </is>
      </c>
      <c r="F806" s="41" t="inlineStr">
        <is>
          <t>لوجيا</t>
        </is>
      </c>
      <c r="G806" s="41" t="inlineStr">
        <is>
          <t>الصف</t>
        </is>
      </c>
      <c r="H806" s="41" t="inlineStr">
        <is>
          <t>024169/7-234790/5</t>
        </is>
      </c>
      <c r="I806" s="41" t="inlineStr">
        <is>
          <t>ب ر ط 3956</t>
        </is>
      </c>
      <c r="J806" s="41" t="inlineStr">
        <is>
          <t xml:space="preserve">محمد عبد اللطيف </t>
        </is>
      </c>
      <c r="K806" s="41" t="inlineStr">
        <is>
          <t xml:space="preserve">سامى رمضان </t>
        </is>
      </c>
      <c r="L806" s="42" t="n">
        <v>25000</v>
      </c>
      <c r="M806" s="42" t="n">
        <v>12100</v>
      </c>
      <c r="N806" s="42" t="n"/>
      <c r="O806" s="42" t="n">
        <v>200</v>
      </c>
      <c r="P806" s="42" t="n"/>
      <c r="Q806" s="42" t="n">
        <v>12700</v>
      </c>
      <c r="R806" s="43">
        <f>IF($B806="","",N($S806)-N($Q806))</f>
        <v/>
      </c>
      <c r="S806" s="43">
        <f>IF($B806="","",N($L806)+N($N806)+N($P806))</f>
        <v/>
      </c>
      <c r="T806" s="42" t="n"/>
      <c r="U806" s="42" t="n"/>
      <c r="V806" s="42" t="n"/>
      <c r="W806" s="42" t="n"/>
      <c r="X806" s="42" t="n"/>
      <c r="Y806" s="42" t="n"/>
      <c r="Z806" s="42" t="n"/>
      <c r="AA806" s="42" t="n"/>
      <c r="AB806" s="42" t="n"/>
      <c r="AC806" s="42" t="n"/>
      <c r="AD806" s="42" t="n"/>
      <c r="AE806" s="42" t="n"/>
      <c r="AF806" s="43">
        <f>IF($B806="","",SUM($T806:$AE806))</f>
        <v/>
      </c>
      <c r="AG806" s="43">
        <f>IF($B806="","",N($M806)-N($AF806))</f>
        <v/>
      </c>
      <c r="AH806" s="43">
        <f>IF($B806="","",N($L806)-N($AF806))</f>
        <v/>
      </c>
      <c r="AI806" s="149">
        <f>IF($B806="","",IF(N($L806)=0,"",(N($L806)-N($AF806))/N($L806)))</f>
        <v/>
      </c>
    </row>
    <row r="807">
      <c r="A807" s="39">
        <f>IF($B807="","",COUNTA($B$4:$B807))</f>
        <v/>
      </c>
      <c r="B807" s="45" t="n">
        <v>46121</v>
      </c>
      <c r="C807" s="46" t="n">
        <v>2563</v>
      </c>
      <c r="D807" s="46" t="inlineStr">
        <is>
          <t>الشريف خ</t>
        </is>
      </c>
      <c r="E807" s="46" t="inlineStr">
        <is>
          <t>2*20</t>
        </is>
      </c>
      <c r="F807" s="46" t="inlineStr">
        <is>
          <t>لوجيا</t>
        </is>
      </c>
      <c r="G807" s="46" t="inlineStr">
        <is>
          <t>الصف</t>
        </is>
      </c>
      <c r="H807" s="46" t="inlineStr">
        <is>
          <t>228450/2-379093/5</t>
        </is>
      </c>
      <c r="I807" s="46" t="inlineStr">
        <is>
          <t>ب ب ا 9425</t>
        </is>
      </c>
      <c r="J807" s="46" t="inlineStr">
        <is>
          <t xml:space="preserve">احمد الصيفى </t>
        </is>
      </c>
      <c r="K807" s="46" t="inlineStr">
        <is>
          <t>الصيفى</t>
        </is>
      </c>
      <c r="L807" s="47" t="n">
        <v>25000</v>
      </c>
      <c r="M807" s="47" t="n">
        <v>12100</v>
      </c>
      <c r="N807" s="47" t="n"/>
      <c r="O807" s="47" t="n">
        <v>200</v>
      </c>
      <c r="P807" s="47" t="n"/>
      <c r="Q807" s="47" t="n">
        <v>12700</v>
      </c>
      <c r="R807" s="43">
        <f>IF($B807="","",N($S807)-N($Q807))</f>
        <v/>
      </c>
      <c r="S807" s="43">
        <f>IF($B807="","",N($L807)+N($N807)+N($P807))</f>
        <v/>
      </c>
      <c r="T807" s="47" t="n"/>
      <c r="U807" s="47" t="n"/>
      <c r="V807" s="47" t="n"/>
      <c r="W807" s="47" t="n"/>
      <c r="X807" s="47" t="n"/>
      <c r="Y807" s="47" t="n"/>
      <c r="Z807" s="47" t="n"/>
      <c r="AA807" s="47" t="n"/>
      <c r="AB807" s="47" t="n"/>
      <c r="AC807" s="47" t="n"/>
      <c r="AD807" s="47" t="n"/>
      <c r="AE807" s="47" t="n"/>
      <c r="AF807" s="43">
        <f>IF($B807="","",SUM($T807:$AE807))</f>
        <v/>
      </c>
      <c r="AG807" s="43">
        <f>IF($B807="","",N($M807)-N($AF807))</f>
        <v/>
      </c>
      <c r="AH807" s="43">
        <f>IF($B807="","",N($L807)-N($AF807))</f>
        <v/>
      </c>
      <c r="AI807" s="149">
        <f>IF($B807="","",IF(N($L807)=0,"",(N($L807)-N($AF807))/N($L807)))</f>
        <v/>
      </c>
    </row>
    <row r="808">
      <c r="A808" s="39">
        <f>IF($B808="","",COUNTA($B$4:$B808))</f>
        <v/>
      </c>
      <c r="B808" s="40" t="n">
        <v>46123</v>
      </c>
      <c r="C808" s="41" t="n">
        <v>2575</v>
      </c>
      <c r="D808" s="41" t="inlineStr">
        <is>
          <t xml:space="preserve">محمد لطفى </t>
        </is>
      </c>
      <c r="E808" s="41" t="inlineStr">
        <is>
          <t>2*20</t>
        </is>
      </c>
      <c r="F808" s="41" t="inlineStr">
        <is>
          <t>لوجيا</t>
        </is>
      </c>
      <c r="G808" s="41" t="inlineStr">
        <is>
          <t>الصف</t>
        </is>
      </c>
      <c r="H808" s="41" t="inlineStr">
        <is>
          <t>634883/4-376079/1</t>
        </is>
      </c>
      <c r="I808" s="41" t="inlineStr">
        <is>
          <t>ق ب ع 5358</t>
        </is>
      </c>
      <c r="J808" s="41" t="inlineStr">
        <is>
          <t xml:space="preserve">كريم الغامرى </t>
        </is>
      </c>
      <c r="K808" s="41" t="inlineStr">
        <is>
          <t xml:space="preserve">كريم الغامرى </t>
        </is>
      </c>
      <c r="L808" s="42" t="n">
        <v>25000</v>
      </c>
      <c r="M808" s="42" t="n">
        <v>12100</v>
      </c>
      <c r="N808" s="42" t="n"/>
      <c r="O808" s="42" t="n">
        <v>200</v>
      </c>
      <c r="P808" s="42" t="n"/>
      <c r="Q808" s="42" t="n">
        <v>12700</v>
      </c>
      <c r="R808" s="43">
        <f>IF($B808="","",N($S808)-N($Q808))</f>
        <v/>
      </c>
      <c r="S808" s="43">
        <f>IF($B808="","",N($L808)+N($N808)+N($P808))</f>
        <v/>
      </c>
      <c r="T808" s="42" t="n"/>
      <c r="U808" s="42" t="n"/>
      <c r="V808" s="42" t="n"/>
      <c r="W808" s="42" t="n"/>
      <c r="X808" s="42" t="n"/>
      <c r="Y808" s="42" t="n"/>
      <c r="Z808" s="42" t="n"/>
      <c r="AA808" s="42" t="n"/>
      <c r="AB808" s="42" t="n"/>
      <c r="AC808" s="42" t="n"/>
      <c r="AD808" s="42" t="n"/>
      <c r="AE808" s="42" t="n"/>
      <c r="AF808" s="43">
        <f>IF($B808="","",SUM($T808:$AE808))</f>
        <v/>
      </c>
      <c r="AG808" s="43">
        <f>IF($B808="","",N($M808)-N($AF808))</f>
        <v/>
      </c>
      <c r="AH808" s="43">
        <f>IF($B808="","",N($L808)-N($AF808))</f>
        <v/>
      </c>
      <c r="AI808" s="149">
        <f>IF($B808="","",IF(N($L808)=0,"",(N($L808)-N($AF808))/N($L808)))</f>
        <v/>
      </c>
    </row>
    <row r="809">
      <c r="A809" s="39">
        <f>IF($B809="","",COUNTA($B$4:$B809))</f>
        <v/>
      </c>
      <c r="B809" s="45" t="n">
        <v>46123</v>
      </c>
      <c r="C809" s="46" t="n">
        <v>2576</v>
      </c>
      <c r="D809" s="46" t="inlineStr">
        <is>
          <t>صعيدى 4</t>
        </is>
      </c>
      <c r="E809" s="46" t="inlineStr">
        <is>
          <t>2*20</t>
        </is>
      </c>
      <c r="F809" s="46" t="inlineStr">
        <is>
          <t>لوجيا</t>
        </is>
      </c>
      <c r="G809" s="46" t="inlineStr">
        <is>
          <t>الصف</t>
        </is>
      </c>
      <c r="H809" s="46" t="inlineStr">
        <is>
          <t>375184/5-363846/4</t>
        </is>
      </c>
      <c r="I809" s="46" t="inlineStr">
        <is>
          <t>س ف ب 3176</t>
        </is>
      </c>
      <c r="J809" s="46" t="inlineStr">
        <is>
          <t xml:space="preserve">السيد عبد العزيز </t>
        </is>
      </c>
      <c r="K809" s="46" t="inlineStr">
        <is>
          <t xml:space="preserve">محمد الصعيدى </t>
        </is>
      </c>
      <c r="L809" s="47" t="n">
        <v>25000</v>
      </c>
      <c r="M809" s="47" t="n">
        <v>12100</v>
      </c>
      <c r="N809" s="47" t="n"/>
      <c r="O809" s="47" t="n">
        <v>200</v>
      </c>
      <c r="P809" s="47" t="n"/>
      <c r="Q809" s="47" t="n">
        <v>12700</v>
      </c>
      <c r="R809" s="43">
        <f>IF($B809="","",N($S809)-N($Q809))</f>
        <v/>
      </c>
      <c r="S809" s="43">
        <f>IF($B809="","",N($L809)+N($N809)+N($P809))</f>
        <v/>
      </c>
      <c r="T809" s="47" t="n"/>
      <c r="U809" s="47" t="n"/>
      <c r="V809" s="47" t="n"/>
      <c r="W809" s="47" t="n"/>
      <c r="X809" s="47" t="n"/>
      <c r="Y809" s="47" t="n"/>
      <c r="Z809" s="47" t="n"/>
      <c r="AA809" s="47" t="n"/>
      <c r="AB809" s="47" t="n"/>
      <c r="AC809" s="47" t="n"/>
      <c r="AD809" s="47" t="n"/>
      <c r="AE809" s="47" t="n"/>
      <c r="AF809" s="43">
        <f>IF($B809="","",SUM($T809:$AE809))</f>
        <v/>
      </c>
      <c r="AG809" s="43">
        <f>IF($B809="","",N($M809)-N($AF809))</f>
        <v/>
      </c>
      <c r="AH809" s="43">
        <f>IF($B809="","",N($L809)-N($AF809))</f>
        <v/>
      </c>
      <c r="AI809" s="149">
        <f>IF($B809="","",IF(N($L809)=0,"",(N($L809)-N($AF809))/N($L809)))</f>
        <v/>
      </c>
    </row>
    <row r="810">
      <c r="A810" s="39">
        <f>IF($B810="","",COUNTA($B$4:$B810))</f>
        <v/>
      </c>
      <c r="B810" s="40" t="n">
        <v>46123</v>
      </c>
      <c r="C810" s="41" t="n">
        <v>2568</v>
      </c>
      <c r="D810" s="41" t="inlineStr">
        <is>
          <t>الدهشان</t>
        </is>
      </c>
      <c r="E810" s="41" t="inlineStr">
        <is>
          <t>2*20</t>
        </is>
      </c>
      <c r="F810" s="41" t="inlineStr">
        <is>
          <t>لوجيا</t>
        </is>
      </c>
      <c r="G810" s="41" t="inlineStr">
        <is>
          <t>الصف</t>
        </is>
      </c>
      <c r="H810" s="41" t="inlineStr">
        <is>
          <t>314564/2-234494/8</t>
        </is>
      </c>
      <c r="I810" s="41" t="inlineStr">
        <is>
          <t>ق ع و 2185</t>
        </is>
      </c>
      <c r="J810" s="41" t="inlineStr">
        <is>
          <t xml:space="preserve">محمد صلاح </t>
        </is>
      </c>
      <c r="K810" s="41" t="inlineStr">
        <is>
          <t xml:space="preserve">السائق </t>
        </is>
      </c>
      <c r="L810" s="42" t="n">
        <v>25000</v>
      </c>
      <c r="M810" s="42" t="n">
        <v>12100</v>
      </c>
      <c r="N810" s="42" t="n"/>
      <c r="O810" s="42" t="n">
        <v>200</v>
      </c>
      <c r="P810" s="42" t="n"/>
      <c r="Q810" s="42" t="n">
        <v>12700</v>
      </c>
      <c r="R810" s="43">
        <f>IF($B810="","",N($S810)-N($Q810))</f>
        <v/>
      </c>
      <c r="S810" s="43">
        <f>IF($B810="","",N($L810)+N($N810)+N($P810))</f>
        <v/>
      </c>
      <c r="T810" s="42" t="n"/>
      <c r="U810" s="42" t="n"/>
      <c r="V810" s="42" t="n"/>
      <c r="W810" s="42" t="n"/>
      <c r="X810" s="42" t="n"/>
      <c r="Y810" s="42" t="n"/>
      <c r="Z810" s="42" t="n"/>
      <c r="AA810" s="42" t="n"/>
      <c r="AB810" s="42" t="n"/>
      <c r="AC810" s="42" t="n"/>
      <c r="AD810" s="42" t="n"/>
      <c r="AE810" s="42" t="n"/>
      <c r="AF810" s="43">
        <f>IF($B810="","",SUM($T810:$AE810))</f>
        <v/>
      </c>
      <c r="AG810" s="43">
        <f>IF($B810="","",N($M810)-N($AF810))</f>
        <v/>
      </c>
      <c r="AH810" s="43">
        <f>IF($B810="","",N($L810)-N($AF810))</f>
        <v/>
      </c>
      <c r="AI810" s="149">
        <f>IF($B810="","",IF(N($L810)=0,"",(N($L810)-N($AF810))/N($L810)))</f>
        <v/>
      </c>
    </row>
    <row r="811">
      <c r="A811" s="39">
        <f>IF($B811="","",COUNTA($B$4:$B811))</f>
        <v/>
      </c>
      <c r="B811" s="45" t="n">
        <v>46123</v>
      </c>
      <c r="C811" s="46" t="n">
        <v>2569</v>
      </c>
      <c r="D811" s="46" t="inlineStr">
        <is>
          <t>الشريف خ</t>
        </is>
      </c>
      <c r="E811" s="46" t="inlineStr">
        <is>
          <t>2*20</t>
        </is>
      </c>
      <c r="F811" s="46" t="inlineStr">
        <is>
          <t>لوجيا</t>
        </is>
      </c>
      <c r="G811" s="46" t="inlineStr">
        <is>
          <t xml:space="preserve">الصف </t>
        </is>
      </c>
      <c r="H811" s="46" t="inlineStr">
        <is>
          <t>344664/2-379257/9</t>
        </is>
      </c>
      <c r="I811" s="46" t="inlineStr">
        <is>
          <t>ب ر ط 1726</t>
        </is>
      </c>
      <c r="J811" s="46" t="inlineStr">
        <is>
          <t xml:space="preserve">ابراهيم الميت </t>
        </is>
      </c>
      <c r="K811" s="46" t="inlineStr">
        <is>
          <t xml:space="preserve">الميت </t>
        </is>
      </c>
      <c r="L811" s="47" t="n">
        <v>25000</v>
      </c>
      <c r="M811" s="47" t="n">
        <v>12100</v>
      </c>
      <c r="N811" s="47" t="n"/>
      <c r="O811" s="47" t="n">
        <v>200</v>
      </c>
      <c r="P811" s="47" t="n"/>
      <c r="Q811" s="47" t="n">
        <v>12700</v>
      </c>
      <c r="R811" s="43">
        <f>IF($B811="","",N($S811)-N($Q811))</f>
        <v/>
      </c>
      <c r="S811" s="43">
        <f>IF($B811="","",N($L811)+N($N811)+N($P811))</f>
        <v/>
      </c>
      <c r="T811" s="47" t="n"/>
      <c r="U811" s="47" t="n"/>
      <c r="V811" s="47" t="n"/>
      <c r="W811" s="47" t="n"/>
      <c r="X811" s="47" t="n"/>
      <c r="Y811" s="47" t="n"/>
      <c r="Z811" s="47" t="n"/>
      <c r="AA811" s="47" t="n"/>
      <c r="AB811" s="47" t="n"/>
      <c r="AC811" s="47" t="n"/>
      <c r="AD811" s="47" t="n"/>
      <c r="AE811" s="47" t="n"/>
      <c r="AF811" s="43">
        <f>IF($B811="","",SUM($T811:$AE811))</f>
        <v/>
      </c>
      <c r="AG811" s="43">
        <f>IF($B811="","",N($M811)-N($AF811))</f>
        <v/>
      </c>
      <c r="AH811" s="43">
        <f>IF($B811="","",N($L811)-N($AF811))</f>
        <v/>
      </c>
      <c r="AI811" s="149">
        <f>IF($B811="","",IF(N($L811)=0,"",(N($L811)-N($AF811))/N($L811)))</f>
        <v/>
      </c>
    </row>
    <row r="812">
      <c r="A812" s="39">
        <f>IF($B812="","",COUNTA($B$4:$B812))</f>
        <v/>
      </c>
      <c r="B812" s="40" t="n">
        <v>46123</v>
      </c>
      <c r="C812" s="41" t="n">
        <v>2570</v>
      </c>
      <c r="D812" s="41" t="inlineStr">
        <is>
          <t>صعيدى 4</t>
        </is>
      </c>
      <c r="E812" s="41" t="inlineStr">
        <is>
          <t>2*20</t>
        </is>
      </c>
      <c r="F812" s="41" t="inlineStr">
        <is>
          <t>لوجيا</t>
        </is>
      </c>
      <c r="G812" s="41" t="inlineStr">
        <is>
          <t>الصف</t>
        </is>
      </c>
      <c r="H812" s="41" t="inlineStr">
        <is>
          <t>398126/3-230038/5</t>
        </is>
      </c>
      <c r="I812" s="41" t="inlineStr">
        <is>
          <t>س ن ف 5149</t>
        </is>
      </c>
      <c r="J812" s="41" t="inlineStr">
        <is>
          <t xml:space="preserve">وليد زيزو </t>
        </is>
      </c>
      <c r="K812" s="41" t="inlineStr">
        <is>
          <t xml:space="preserve">محمد الصعيدى </t>
        </is>
      </c>
      <c r="L812" s="42" t="n">
        <v>25000</v>
      </c>
      <c r="M812" s="42" t="n">
        <v>12100</v>
      </c>
      <c r="N812" s="42" t="n"/>
      <c r="O812" s="42" t="n">
        <v>200</v>
      </c>
      <c r="P812" s="42" t="n"/>
      <c r="Q812" s="42" t="n">
        <v>12700</v>
      </c>
      <c r="R812" s="43">
        <f>IF($B812="","",N($S812)-N($Q812))</f>
        <v/>
      </c>
      <c r="S812" s="43">
        <f>IF($B812="","",N($L812)+N($N812)+N($P812))</f>
        <v/>
      </c>
      <c r="T812" s="42" t="n"/>
      <c r="U812" s="42" t="n"/>
      <c r="V812" s="42" t="n"/>
      <c r="W812" s="42" t="n"/>
      <c r="X812" s="42" t="n"/>
      <c r="Y812" s="42" t="n"/>
      <c r="Z812" s="42" t="n"/>
      <c r="AA812" s="42" t="n"/>
      <c r="AB812" s="42" t="n"/>
      <c r="AC812" s="42" t="n"/>
      <c r="AD812" s="42" t="n"/>
      <c r="AE812" s="42" t="n"/>
      <c r="AF812" s="43">
        <f>IF($B812="","",SUM($T812:$AE812))</f>
        <v/>
      </c>
      <c r="AG812" s="43">
        <f>IF($B812="","",N($M812)-N($AF812))</f>
        <v/>
      </c>
      <c r="AH812" s="43">
        <f>IF($B812="","",N($L812)-N($AF812))</f>
        <v/>
      </c>
      <c r="AI812" s="149">
        <f>IF($B812="","",IF(N($L812)=0,"",(N($L812)-N($AF812))/N($L812)))</f>
        <v/>
      </c>
    </row>
    <row r="813">
      <c r="A813" s="39">
        <f>IF($B813="","",COUNTA($B$4:$B813))</f>
        <v/>
      </c>
      <c r="B813" s="45" t="n">
        <v>46123</v>
      </c>
      <c r="C813" s="46" t="n">
        <v>2571</v>
      </c>
      <c r="D813" s="46" t="inlineStr">
        <is>
          <t>صعيدى 4</t>
        </is>
      </c>
      <c r="E813" s="46" t="inlineStr">
        <is>
          <t>2*20</t>
        </is>
      </c>
      <c r="F813" s="46" t="inlineStr">
        <is>
          <t>لوجيا</t>
        </is>
      </c>
      <c r="G813" s="46" t="inlineStr">
        <is>
          <t>الصف</t>
        </is>
      </c>
      <c r="H813" s="46" t="inlineStr">
        <is>
          <t>236113/8-359462/9</t>
        </is>
      </c>
      <c r="I813" s="46" t="inlineStr">
        <is>
          <t>س ل ج 2521</t>
        </is>
      </c>
      <c r="J813" s="46" t="inlineStr">
        <is>
          <t xml:space="preserve">احمد القط </t>
        </is>
      </c>
      <c r="K813" s="46" t="inlineStr">
        <is>
          <t xml:space="preserve">محمد الصعيدى </t>
        </is>
      </c>
      <c r="L813" s="47" t="n">
        <v>25000</v>
      </c>
      <c r="M813" s="47" t="n">
        <v>12100</v>
      </c>
      <c r="N813" s="47" t="n"/>
      <c r="O813" s="47" t="n">
        <v>200</v>
      </c>
      <c r="P813" s="47" t="n"/>
      <c r="Q813" s="47" t="n">
        <v>12700</v>
      </c>
      <c r="R813" s="43">
        <f>IF($B813="","",N($S813)-N($Q813))</f>
        <v/>
      </c>
      <c r="S813" s="43">
        <f>IF($B813="","",N($L813)+N($N813)+N($P813))</f>
        <v/>
      </c>
      <c r="T813" s="47" t="n"/>
      <c r="U813" s="47" t="n"/>
      <c r="V813" s="47" t="n"/>
      <c r="W813" s="47" t="n"/>
      <c r="X813" s="47" t="n"/>
      <c r="Y813" s="47" t="n"/>
      <c r="Z813" s="47" t="n"/>
      <c r="AA813" s="47" t="n"/>
      <c r="AB813" s="47" t="n"/>
      <c r="AC813" s="47" t="n"/>
      <c r="AD813" s="47" t="n"/>
      <c r="AE813" s="47" t="n"/>
      <c r="AF813" s="43">
        <f>IF($B813="","",SUM($T813:$AE813))</f>
        <v/>
      </c>
      <c r="AG813" s="43">
        <f>IF($B813="","",N($M813)-N($AF813))</f>
        <v/>
      </c>
      <c r="AH813" s="43">
        <f>IF($B813="","",N($L813)-N($AF813))</f>
        <v/>
      </c>
      <c r="AI813" s="149">
        <f>IF($B813="","",IF(N($L813)=0,"",(N($L813)-N($AF813))/N($L813)))</f>
        <v/>
      </c>
    </row>
    <row r="814">
      <c r="A814" s="39">
        <f>IF($B814="","",COUNTA($B$4:$B814))</f>
        <v/>
      </c>
      <c r="B814" s="40" t="n">
        <v>46123</v>
      </c>
      <c r="C814" s="41" t="n">
        <v>2572</v>
      </c>
      <c r="D814" s="41" t="inlineStr">
        <is>
          <t>صعيدى 4</t>
        </is>
      </c>
      <c r="E814" s="41" t="inlineStr">
        <is>
          <t>2*20</t>
        </is>
      </c>
      <c r="F814" s="41" t="inlineStr">
        <is>
          <t>لوجيا</t>
        </is>
      </c>
      <c r="G814" s="41" t="inlineStr">
        <is>
          <t xml:space="preserve">الصف </t>
        </is>
      </c>
      <c r="H814" s="41" t="inlineStr">
        <is>
          <t>211127/3-613150/9</t>
        </is>
      </c>
      <c r="I814" s="41" t="inlineStr">
        <is>
          <t>س ه ف 1874</t>
        </is>
      </c>
      <c r="J814" s="41" t="inlineStr">
        <is>
          <t xml:space="preserve">باسم عبد السلام </t>
        </is>
      </c>
      <c r="K814" s="41" t="inlineStr">
        <is>
          <t xml:space="preserve">محمد الصعيدى </t>
        </is>
      </c>
      <c r="L814" s="42" t="n">
        <v>25000</v>
      </c>
      <c r="M814" s="42" t="n">
        <v>12100</v>
      </c>
      <c r="N814" s="42" t="n"/>
      <c r="O814" s="42" t="n">
        <v>200</v>
      </c>
      <c r="P814" s="42" t="n"/>
      <c r="Q814" s="42" t="n">
        <v>12700</v>
      </c>
      <c r="R814" s="43">
        <f>IF($B814="","",N($S814)-N($Q814))</f>
        <v/>
      </c>
      <c r="S814" s="43">
        <f>IF($B814="","",N($L814)+N($N814)+N($P814))</f>
        <v/>
      </c>
      <c r="T814" s="42" t="n"/>
      <c r="U814" s="42" t="n"/>
      <c r="V814" s="42" t="n"/>
      <c r="W814" s="42" t="n"/>
      <c r="X814" s="42" t="n"/>
      <c r="Y814" s="42" t="n"/>
      <c r="Z814" s="42" t="n"/>
      <c r="AA814" s="42" t="n"/>
      <c r="AB814" s="42" t="n"/>
      <c r="AC814" s="42" t="n"/>
      <c r="AD814" s="42" t="n"/>
      <c r="AE814" s="42" t="n"/>
      <c r="AF814" s="43">
        <f>IF($B814="","",SUM($T814:$AE814))</f>
        <v/>
      </c>
      <c r="AG814" s="43">
        <f>IF($B814="","",N($M814)-N($AF814))</f>
        <v/>
      </c>
      <c r="AH814" s="43">
        <f>IF($B814="","",N($L814)-N($AF814))</f>
        <v/>
      </c>
      <c r="AI814" s="149">
        <f>IF($B814="","",IF(N($L814)=0,"",(N($L814)-N($AF814))/N($L814)))</f>
        <v/>
      </c>
    </row>
    <row r="815">
      <c r="A815" s="39">
        <f>IF($B815="","",COUNTA($B$4:$B815))</f>
        <v/>
      </c>
      <c r="B815" s="45" t="n">
        <v>46123</v>
      </c>
      <c r="C815" s="46" t="n">
        <v>2573</v>
      </c>
      <c r="D815" s="46" t="inlineStr">
        <is>
          <t xml:space="preserve">الانصارى </t>
        </is>
      </c>
      <c r="E815" s="46" t="inlineStr">
        <is>
          <t>2*20</t>
        </is>
      </c>
      <c r="F815" s="46" t="inlineStr">
        <is>
          <t>لوجيا</t>
        </is>
      </c>
      <c r="G815" s="46" t="inlineStr">
        <is>
          <t xml:space="preserve">الصف </t>
        </is>
      </c>
      <c r="H815" s="46" t="inlineStr">
        <is>
          <t>348859/6-234116/1</t>
        </is>
      </c>
      <c r="I815" s="46" t="inlineStr">
        <is>
          <t>ب ص ا 2574</t>
        </is>
      </c>
      <c r="J815" s="46" t="inlineStr">
        <is>
          <t xml:space="preserve">محمد البحيرى </t>
        </is>
      </c>
      <c r="K815" s="46" t="inlineStr">
        <is>
          <t xml:space="preserve">احمد خليف </t>
        </is>
      </c>
      <c r="L815" s="47" t="n">
        <v>25000</v>
      </c>
      <c r="M815" s="47" t="n">
        <v>12100</v>
      </c>
      <c r="N815" s="47" t="n"/>
      <c r="O815" s="47" t="n">
        <v>200</v>
      </c>
      <c r="P815" s="47" t="n"/>
      <c r="Q815" s="47" t="n">
        <v>12700</v>
      </c>
      <c r="R815" s="43">
        <f>IF($B815="","",N($S815)-N($Q815))</f>
        <v/>
      </c>
      <c r="S815" s="43">
        <f>IF($B815="","",N($L815)+N($N815)+N($P815))</f>
        <v/>
      </c>
      <c r="T815" s="47" t="n"/>
      <c r="U815" s="47" t="n"/>
      <c r="V815" s="47" t="n"/>
      <c r="W815" s="47" t="n"/>
      <c r="X815" s="47" t="n"/>
      <c r="Y815" s="47" t="n"/>
      <c r="Z815" s="47" t="n"/>
      <c r="AA815" s="47" t="n"/>
      <c r="AB815" s="47" t="n"/>
      <c r="AC815" s="47" t="n"/>
      <c r="AD815" s="47" t="n"/>
      <c r="AE815" s="47" t="n"/>
      <c r="AF815" s="43">
        <f>IF($B815="","",SUM($T815:$AE815))</f>
        <v/>
      </c>
      <c r="AG815" s="43">
        <f>IF($B815="","",N($M815)-N($AF815))</f>
        <v/>
      </c>
      <c r="AH815" s="43">
        <f>IF($B815="","",N($L815)-N($AF815))</f>
        <v/>
      </c>
      <c r="AI815" s="149">
        <f>IF($B815="","",IF(N($L815)=0,"",(N($L815)-N($AF815))/N($L815)))</f>
        <v/>
      </c>
    </row>
    <row r="816">
      <c r="A816" s="39">
        <f>IF($B816="","",COUNTA($B$4:$B816))</f>
        <v/>
      </c>
      <c r="B816" s="40" t="n">
        <v>46123</v>
      </c>
      <c r="C816" s="41" t="n">
        <v>2574</v>
      </c>
      <c r="D816" s="41" t="inlineStr">
        <is>
          <t>المكتب</t>
        </is>
      </c>
      <c r="E816" s="41" t="inlineStr">
        <is>
          <t>2*20</t>
        </is>
      </c>
      <c r="F816" s="41" t="inlineStr">
        <is>
          <t>لوجيا</t>
        </is>
      </c>
      <c r="G816" s="41" t="inlineStr">
        <is>
          <t>الصف</t>
        </is>
      </c>
      <c r="H816" s="41" t="inlineStr">
        <is>
          <t>391869/7-231260/0</t>
        </is>
      </c>
      <c r="I816" s="41" t="inlineStr">
        <is>
          <t>س ع م 8737</t>
        </is>
      </c>
      <c r="J816" s="41" t="inlineStr">
        <is>
          <t xml:space="preserve">محمود المصرى </t>
        </is>
      </c>
      <c r="K816" s="41" t="inlineStr">
        <is>
          <t xml:space="preserve">المكتب </t>
        </is>
      </c>
      <c r="L816" s="42" t="n">
        <v>25000</v>
      </c>
      <c r="M816" s="42" t="n">
        <v>12100</v>
      </c>
      <c r="N816" s="42" t="n"/>
      <c r="O816" s="42" t="n"/>
      <c r="P816" s="42" t="n"/>
      <c r="Q816" s="42" t="n">
        <v>12900</v>
      </c>
      <c r="R816" s="43">
        <f>IF($B816="","",N($S816)-N($Q816))</f>
        <v/>
      </c>
      <c r="S816" s="43">
        <f>IF($B816="","",N($L816)+N($N816)+N($P816))</f>
        <v/>
      </c>
      <c r="T816" s="42" t="n">
        <v>2100</v>
      </c>
      <c r="U816" s="42" t="n">
        <v>900</v>
      </c>
      <c r="V816" s="42" t="n"/>
      <c r="W816" s="42" t="n">
        <v>200</v>
      </c>
      <c r="X816" s="42" t="n">
        <v>180</v>
      </c>
      <c r="Y816" s="42" t="n">
        <v>60</v>
      </c>
      <c r="Z816" s="42" t="n"/>
      <c r="AA816" s="42" t="n"/>
      <c r="AB816" s="42" t="n">
        <v>250</v>
      </c>
      <c r="AC816" s="42" t="n">
        <v>750</v>
      </c>
      <c r="AD816" s="42" t="n">
        <v>200</v>
      </c>
      <c r="AE816" s="42" t="n">
        <v>5600</v>
      </c>
      <c r="AF816" s="43">
        <f>IF($B816="","",SUM($T816:$AE816))</f>
        <v/>
      </c>
      <c r="AG816" s="43">
        <f>IF($B816="","",N($M816)-N($AF816))</f>
        <v/>
      </c>
      <c r="AH816" s="43">
        <f>IF($B816="","",N($L816)-N($AF816))</f>
        <v/>
      </c>
      <c r="AI816" s="149">
        <f>IF($B816="","",IF(N($L816)=0,"",(N($L816)-N($AF816))/N($L816)))</f>
        <v/>
      </c>
    </row>
    <row r="817">
      <c r="A817" s="39">
        <f>IF($B817="","",COUNTA($B$4:$B817))</f>
        <v/>
      </c>
      <c r="B817" s="45" t="n">
        <v>46123</v>
      </c>
      <c r="C817" s="46" t="n">
        <v>2226</v>
      </c>
      <c r="D817" s="46" t="inlineStr">
        <is>
          <t xml:space="preserve">حسين محمد </t>
        </is>
      </c>
      <c r="E817" s="46" t="inlineStr">
        <is>
          <t>1*40</t>
        </is>
      </c>
      <c r="F817" s="46" t="inlineStr">
        <is>
          <t xml:space="preserve">ايتامكو </t>
        </is>
      </c>
      <c r="G817" s="46" t="inlineStr">
        <is>
          <t xml:space="preserve">ط التحدى </t>
        </is>
      </c>
      <c r="H817" s="46" t="inlineStr">
        <is>
          <t>450339/2</t>
        </is>
      </c>
      <c r="I817" s="46" t="inlineStr">
        <is>
          <t>س و ب 7914</t>
        </is>
      </c>
      <c r="J817" s="46" t="inlineStr">
        <is>
          <t xml:space="preserve">محمد على </t>
        </is>
      </c>
      <c r="K817" s="46" t="inlineStr">
        <is>
          <t xml:space="preserve">حودة صالح </t>
        </is>
      </c>
      <c r="L817" s="47" t="n">
        <v>12500</v>
      </c>
      <c r="M817" s="47" t="n">
        <v>7100</v>
      </c>
      <c r="N817" s="47" t="n"/>
      <c r="O817" s="47" t="n">
        <v>200</v>
      </c>
      <c r="P817" s="47" t="n"/>
      <c r="Q817" s="47" t="n">
        <v>5200</v>
      </c>
      <c r="R817" s="43">
        <f>IF($B817="","",N($S817)-N($Q817))</f>
        <v/>
      </c>
      <c r="S817" s="43">
        <f>IF($B817="","",N($L817)+N($N817)+N($P817))</f>
        <v/>
      </c>
      <c r="T817" s="47" t="n"/>
      <c r="U817" s="47" t="n"/>
      <c r="V817" s="47" t="n"/>
      <c r="W817" s="47" t="n"/>
      <c r="X817" s="47" t="n"/>
      <c r="Y817" s="47" t="n"/>
      <c r="Z817" s="47" t="n"/>
      <c r="AA817" s="47" t="n"/>
      <c r="AB817" s="47" t="n"/>
      <c r="AC817" s="47" t="n"/>
      <c r="AD817" s="47" t="n"/>
      <c r="AE817" s="47" t="n"/>
      <c r="AF817" s="43">
        <f>IF($B817="","",SUM($T817:$AE817))</f>
        <v/>
      </c>
      <c r="AG817" s="43">
        <f>IF($B817="","",N($M817)-N($AF817))</f>
        <v/>
      </c>
      <c r="AH817" s="43">
        <f>IF($B817="","",N($L817)-N($AF817))</f>
        <v/>
      </c>
      <c r="AI817" s="149">
        <f>IF($B817="","",IF(N($L817)=0,"",(N($L817)-N($AF817))/N($L817)))</f>
        <v/>
      </c>
    </row>
    <row r="818">
      <c r="A818" s="39">
        <f>IF($B818="","",COUNTA($B$4:$B818))</f>
        <v/>
      </c>
      <c r="B818" s="40" t="n">
        <v>46123</v>
      </c>
      <c r="C818" s="41" t="n">
        <v>2488</v>
      </c>
      <c r="D818" s="41" t="inlineStr">
        <is>
          <t xml:space="preserve">حسين محمد </t>
        </is>
      </c>
      <c r="E818" s="41" t="inlineStr">
        <is>
          <t>1*40</t>
        </is>
      </c>
      <c r="F818" s="41" t="inlineStr">
        <is>
          <t xml:space="preserve">ايتامكو </t>
        </is>
      </c>
      <c r="G818" s="41" t="inlineStr">
        <is>
          <t xml:space="preserve">ط التحدى </t>
        </is>
      </c>
      <c r="H818" s="41" t="inlineStr">
        <is>
          <t>95231/0</t>
        </is>
      </c>
      <c r="I818" s="41" t="inlineStr">
        <is>
          <t>ب د ه 4897</t>
        </is>
      </c>
      <c r="J818" s="41" t="inlineStr">
        <is>
          <t xml:space="preserve">احمد الروبى </t>
        </is>
      </c>
      <c r="K818" s="41" t="inlineStr">
        <is>
          <t xml:space="preserve">الروبى </t>
        </is>
      </c>
      <c r="L818" s="42" t="n">
        <v>12500</v>
      </c>
      <c r="M818" s="42" t="n">
        <v>7100</v>
      </c>
      <c r="N818" s="42" t="n"/>
      <c r="O818" s="42" t="n">
        <v>200</v>
      </c>
      <c r="P818" s="42" t="n"/>
      <c r="Q818" s="42" t="n">
        <v>5200</v>
      </c>
      <c r="R818" s="43">
        <f>IF($B818="","",N($S818)-N($Q818))</f>
        <v/>
      </c>
      <c r="S818" s="43">
        <f>IF($B818="","",N($L818)+N($N818)+N($P818))</f>
        <v/>
      </c>
      <c r="T818" s="42" t="n"/>
      <c r="U818" s="42" t="n"/>
      <c r="V818" s="42" t="n"/>
      <c r="W818" s="42" t="n"/>
      <c r="X818" s="42" t="n"/>
      <c r="Y818" s="42" t="n"/>
      <c r="Z818" s="42" t="n"/>
      <c r="AA818" s="42" t="n"/>
      <c r="AB818" s="42" t="n"/>
      <c r="AC818" s="42" t="n"/>
      <c r="AD818" s="42" t="n"/>
      <c r="AE818" s="42" t="n"/>
      <c r="AF818" s="43">
        <f>IF($B818="","",SUM($T818:$AE818))</f>
        <v/>
      </c>
      <c r="AG818" s="43">
        <f>IF($B818="","",N($M818)-N($AF818))</f>
        <v/>
      </c>
      <c r="AH818" s="43">
        <f>IF($B818="","",N($L818)-N($AF818))</f>
        <v/>
      </c>
      <c r="AI818" s="149">
        <f>IF($B818="","",IF(N($L818)=0,"",(N($L818)-N($AF818))/N($L818)))</f>
        <v/>
      </c>
    </row>
    <row r="819">
      <c r="A819" s="39">
        <f>IF($B819="","",COUNTA($B$4:$B819))</f>
        <v/>
      </c>
      <c r="B819" s="45" t="n">
        <v>46123</v>
      </c>
      <c r="C819" s="46" t="n">
        <v>2489</v>
      </c>
      <c r="D819" s="46" t="inlineStr">
        <is>
          <t>مخزن</t>
        </is>
      </c>
      <c r="E819" s="46" t="inlineStr">
        <is>
          <t>1*40</t>
        </is>
      </c>
      <c r="F819" s="46" t="inlineStr">
        <is>
          <t xml:space="preserve">ايتامكو </t>
        </is>
      </c>
      <c r="G819" s="46" t="inlineStr">
        <is>
          <t xml:space="preserve">ط التحدى </t>
        </is>
      </c>
      <c r="H819" s="46" t="inlineStr">
        <is>
          <t>593999/9</t>
        </is>
      </c>
      <c r="I819" s="46" t="inlineStr">
        <is>
          <t>س ل م 5468</t>
        </is>
      </c>
      <c r="J819" s="46" t="inlineStr">
        <is>
          <t>حسام الدين محمد</t>
        </is>
      </c>
      <c r="K819" s="46" t="inlineStr">
        <is>
          <t xml:space="preserve">مخزن </t>
        </is>
      </c>
      <c r="L819" s="47" t="n">
        <v>12500</v>
      </c>
      <c r="M819" s="47" t="n">
        <v>7100</v>
      </c>
      <c r="N819" s="47" t="n"/>
      <c r="O819" s="47" t="n">
        <v>200</v>
      </c>
      <c r="P819" s="47" t="n"/>
      <c r="Q819" s="47" t="n">
        <v>5200</v>
      </c>
      <c r="R819" s="43">
        <f>IF($B819="","",N($S819)-N($Q819))</f>
        <v/>
      </c>
      <c r="S819" s="43">
        <f>IF($B819="","",N($L819)+N($N819)+N($P819))</f>
        <v/>
      </c>
      <c r="T819" s="47" t="n"/>
      <c r="U819" s="47" t="n"/>
      <c r="V819" s="47" t="n"/>
      <c r="W819" s="47" t="n"/>
      <c r="X819" s="47" t="n"/>
      <c r="Y819" s="47" t="n"/>
      <c r="Z819" s="47" t="n"/>
      <c r="AA819" s="47" t="n"/>
      <c r="AB819" s="47" t="n"/>
      <c r="AC819" s="47" t="n"/>
      <c r="AD819" s="47" t="n"/>
      <c r="AE819" s="47" t="n"/>
      <c r="AF819" s="43">
        <f>IF($B819="","",SUM($T819:$AE819))</f>
        <v/>
      </c>
      <c r="AG819" s="43">
        <f>IF($B819="","",N($M819)-N($AF819))</f>
        <v/>
      </c>
      <c r="AH819" s="43">
        <f>IF($B819="","",N($L819)-N($AF819))</f>
        <v/>
      </c>
      <c r="AI819" s="149">
        <f>IF($B819="","",IF(N($L819)=0,"",(N($L819)-N($AF819))/N($L819)))</f>
        <v/>
      </c>
    </row>
    <row r="820">
      <c r="A820" s="39">
        <f>IF($B820="","",COUNTA($B$4:$B820))</f>
        <v/>
      </c>
      <c r="B820" s="40" t="n">
        <v>46123</v>
      </c>
      <c r="C820" s="41" t="n">
        <v>2490</v>
      </c>
      <c r="D820" s="41" t="inlineStr">
        <is>
          <t xml:space="preserve">ابراهيم الصعيدى </t>
        </is>
      </c>
      <c r="E820" s="41" t="inlineStr">
        <is>
          <t>1*40</t>
        </is>
      </c>
      <c r="F820" s="41" t="inlineStr">
        <is>
          <t xml:space="preserve">ايتامكو </t>
        </is>
      </c>
      <c r="G820" s="41" t="inlineStr">
        <is>
          <t xml:space="preserve">ط التحدى </t>
        </is>
      </c>
      <c r="H820" s="41" t="inlineStr">
        <is>
          <t>599378/8</t>
        </is>
      </c>
      <c r="I820" s="41" t="inlineStr">
        <is>
          <t>س د و 2832</t>
        </is>
      </c>
      <c r="J820" s="41" t="inlineStr">
        <is>
          <t xml:space="preserve">محمد فوزى </t>
        </is>
      </c>
      <c r="K820" s="41" t="inlineStr">
        <is>
          <t xml:space="preserve">ابراهيم الصعيدى </t>
        </is>
      </c>
      <c r="L820" s="42" t="n">
        <v>12500</v>
      </c>
      <c r="M820" s="42" t="n">
        <v>7000</v>
      </c>
      <c r="N820" s="42" t="n"/>
      <c r="O820" s="42" t="n"/>
      <c r="P820" s="42" t="n"/>
      <c r="Q820" s="42" t="n">
        <v>5500</v>
      </c>
      <c r="R820" s="43">
        <f>IF($B820="","",N($S820)-N($Q820))</f>
        <v/>
      </c>
      <c r="S820" s="43">
        <f>IF($B820="","",N($L820)+N($N820)+N($P820))</f>
        <v/>
      </c>
      <c r="T820" s="42" t="n"/>
      <c r="U820" s="42" t="n"/>
      <c r="V820" s="42" t="n"/>
      <c r="W820" s="42" t="n"/>
      <c r="X820" s="42" t="n"/>
      <c r="Y820" s="42" t="n"/>
      <c r="Z820" s="42" t="n"/>
      <c r="AA820" s="42" t="n"/>
      <c r="AB820" s="42" t="n"/>
      <c r="AC820" s="42" t="n"/>
      <c r="AD820" s="42" t="n"/>
      <c r="AE820" s="42" t="n"/>
      <c r="AF820" s="43">
        <f>IF($B820="","",SUM($T820:$AE820))</f>
        <v/>
      </c>
      <c r="AG820" s="43">
        <f>IF($B820="","",N($M820)-N($AF820))</f>
        <v/>
      </c>
      <c r="AH820" s="43">
        <f>IF($B820="","",N($L820)-N($AF820))</f>
        <v/>
      </c>
      <c r="AI820" s="149">
        <f>IF($B820="","",IF(N($L820)=0,"",(N($L820)-N($AF820))/N($L820)))</f>
        <v/>
      </c>
    </row>
    <row r="821">
      <c r="A821" s="39">
        <f>IF($B821="","",COUNTA($B$4:$B821))</f>
        <v/>
      </c>
      <c r="B821" s="45" t="n">
        <v>46123</v>
      </c>
      <c r="C821" s="46" t="n">
        <v>2491</v>
      </c>
      <c r="D821" s="46" t="inlineStr">
        <is>
          <t>هانى مراد</t>
        </is>
      </c>
      <c r="E821" s="46" t="inlineStr">
        <is>
          <t>1*40</t>
        </is>
      </c>
      <c r="F821" s="46" t="inlineStr">
        <is>
          <t xml:space="preserve">ايتامكو </t>
        </is>
      </c>
      <c r="G821" s="46" t="inlineStr">
        <is>
          <t xml:space="preserve">ط التحدى </t>
        </is>
      </c>
      <c r="H821" s="46" t="inlineStr">
        <is>
          <t>594511/6</t>
        </is>
      </c>
      <c r="I821" s="46" t="inlineStr">
        <is>
          <t>س د ل 2549</t>
        </is>
      </c>
      <c r="J821" s="46" t="inlineStr">
        <is>
          <t>متولى عبد الوهاب</t>
        </is>
      </c>
      <c r="K821" s="46" t="inlineStr">
        <is>
          <t xml:space="preserve">هانى مراد </t>
        </is>
      </c>
      <c r="L821" s="47" t="n">
        <v>12500</v>
      </c>
      <c r="M821" s="47" t="n">
        <v>7100</v>
      </c>
      <c r="N821" s="47" t="n"/>
      <c r="O821" s="47" t="n">
        <v>200</v>
      </c>
      <c r="P821" s="47" t="n"/>
      <c r="Q821" s="47" t="n">
        <v>5200</v>
      </c>
      <c r="R821" s="43">
        <f>IF($B821="","",N($S821)-N($Q821))</f>
        <v/>
      </c>
      <c r="S821" s="43">
        <f>IF($B821="","",N($L821)+N($N821)+N($P821))</f>
        <v/>
      </c>
      <c r="T821" s="47" t="n"/>
      <c r="U821" s="47" t="n"/>
      <c r="V821" s="47" t="n"/>
      <c r="W821" s="47" t="n"/>
      <c r="X821" s="47" t="n"/>
      <c r="Y821" s="47" t="n"/>
      <c r="Z821" s="47" t="n"/>
      <c r="AA821" s="47" t="n"/>
      <c r="AB821" s="47" t="n"/>
      <c r="AC821" s="47" t="n"/>
      <c r="AD821" s="47" t="n"/>
      <c r="AE821" s="47" t="n"/>
      <c r="AF821" s="43">
        <f>IF($B821="","",SUM($T821:$AE821))</f>
        <v/>
      </c>
      <c r="AG821" s="43">
        <f>IF($B821="","",N($M821)-N($AF821))</f>
        <v/>
      </c>
      <c r="AH821" s="43">
        <f>IF($B821="","",N($L821)-N($AF821))</f>
        <v/>
      </c>
      <c r="AI821" s="149">
        <f>IF($B821="","",IF(N($L821)=0,"",(N($L821)-N($AF821))/N($L821)))</f>
        <v/>
      </c>
    </row>
    <row r="822">
      <c r="A822" s="39">
        <f>IF($B822="","",COUNTA($B$4:$B822))</f>
        <v/>
      </c>
      <c r="B822" s="40" t="n">
        <v>46123</v>
      </c>
      <c r="C822" s="41" t="n">
        <v>2492</v>
      </c>
      <c r="D822" s="41" t="inlineStr">
        <is>
          <t>رجب عبد العال</t>
        </is>
      </c>
      <c r="E822" s="41" t="inlineStr">
        <is>
          <t>1*40</t>
        </is>
      </c>
      <c r="F822" s="41" t="n"/>
      <c r="G822" s="41" t="inlineStr">
        <is>
          <t xml:space="preserve">ط التحدى </t>
        </is>
      </c>
      <c r="H822" s="41" t="inlineStr">
        <is>
          <t>450136/3</t>
        </is>
      </c>
      <c r="I822" s="41" t="inlineStr">
        <is>
          <t>س ل ص 7422</t>
        </is>
      </c>
      <c r="J822" s="41" t="inlineStr">
        <is>
          <t xml:space="preserve">عطية ناصر </t>
        </is>
      </c>
      <c r="K822" s="41" t="inlineStr">
        <is>
          <t xml:space="preserve">محمد مجدى </t>
        </is>
      </c>
      <c r="L822" s="42" t="n">
        <v>12800</v>
      </c>
      <c r="M822" s="42" t="n">
        <v>7100</v>
      </c>
      <c r="N822" s="42" t="n"/>
      <c r="O822" s="42" t="n">
        <v>200</v>
      </c>
      <c r="P822" s="42" t="n"/>
      <c r="Q822" s="42" t="n">
        <v>5500</v>
      </c>
      <c r="R822" s="43">
        <f>IF($B822="","",N($S822)-N($Q822))</f>
        <v/>
      </c>
      <c r="S822" s="43">
        <f>IF($B822="","",N($L822)+N($N822)+N($P822))</f>
        <v/>
      </c>
      <c r="T822" s="42" t="n"/>
      <c r="U822" s="42" t="n"/>
      <c r="V822" s="42" t="n"/>
      <c r="W822" s="42" t="n"/>
      <c r="X822" s="42" t="n"/>
      <c r="Y822" s="42" t="n"/>
      <c r="Z822" s="42" t="n"/>
      <c r="AA822" s="42" t="n"/>
      <c r="AB822" s="42" t="n"/>
      <c r="AC822" s="42" t="n"/>
      <c r="AD822" s="42" t="n"/>
      <c r="AE822" s="42" t="n"/>
      <c r="AF822" s="43">
        <f>IF($B822="","",SUM($T822:$AE822))</f>
        <v/>
      </c>
      <c r="AG822" s="43">
        <f>IF($B822="","",N($M822)-N($AF822))</f>
        <v/>
      </c>
      <c r="AH822" s="43">
        <f>IF($B822="","",N($L822)-N($AF822))</f>
        <v/>
      </c>
      <c r="AI822" s="149">
        <f>IF($B822="","",IF(N($L822)=0,"",(N($L822)-N($AF822))/N($L822)))</f>
        <v/>
      </c>
    </row>
    <row r="823">
      <c r="A823" s="39">
        <f>IF($B823="","",COUNTA($B$4:$B823))</f>
        <v/>
      </c>
      <c r="B823" s="45" t="n">
        <v>46123</v>
      </c>
      <c r="C823" s="46" t="n">
        <v>2493</v>
      </c>
      <c r="D823" s="46" t="inlineStr">
        <is>
          <t>استوريا خ</t>
        </is>
      </c>
      <c r="E823" s="46" t="inlineStr">
        <is>
          <t>1*40</t>
        </is>
      </c>
      <c r="F823" s="46" t="inlineStr">
        <is>
          <t xml:space="preserve">ايتامكو </t>
        </is>
      </c>
      <c r="G823" s="46" t="inlineStr">
        <is>
          <t xml:space="preserve">ط التحدى </t>
        </is>
      </c>
      <c r="H823" s="46" t="inlineStr">
        <is>
          <t>522450/2</t>
        </is>
      </c>
      <c r="I823" s="46" t="inlineStr">
        <is>
          <t>ر ب ا 4119</t>
        </is>
      </c>
      <c r="J823" s="46" t="inlineStr">
        <is>
          <t xml:space="preserve">محمد الشناوى </t>
        </is>
      </c>
      <c r="K823" s="46" t="inlineStr">
        <is>
          <t xml:space="preserve">محمد الشناوى </t>
        </is>
      </c>
      <c r="L823" s="47" t="n">
        <v>12500</v>
      </c>
      <c r="M823" s="47" t="n">
        <v>7100</v>
      </c>
      <c r="N823" s="47" t="n"/>
      <c r="O823" s="47" t="n">
        <v>200</v>
      </c>
      <c r="P823" s="47" t="n"/>
      <c r="Q823" s="47" t="n">
        <v>5200</v>
      </c>
      <c r="R823" s="43">
        <f>IF($B823="","",N($S823)-N($Q823))</f>
        <v/>
      </c>
      <c r="S823" s="43">
        <f>IF($B823="","",N($L823)+N($N823)+N($P823))</f>
        <v/>
      </c>
      <c r="T823" s="47" t="n"/>
      <c r="U823" s="47" t="n"/>
      <c r="V823" s="47" t="n"/>
      <c r="W823" s="47" t="n"/>
      <c r="X823" s="47" t="n"/>
      <c r="Y823" s="47" t="n"/>
      <c r="Z823" s="47" t="n"/>
      <c r="AA823" s="47" t="n"/>
      <c r="AB823" s="47" t="n"/>
      <c r="AC823" s="47" t="n"/>
      <c r="AD823" s="47" t="n"/>
      <c r="AE823" s="47" t="n"/>
      <c r="AF823" s="43">
        <f>IF($B823="","",SUM($T823:$AE823))</f>
        <v/>
      </c>
      <c r="AG823" s="43">
        <f>IF($B823="","",N($M823)-N($AF823))</f>
        <v/>
      </c>
      <c r="AH823" s="43">
        <f>IF($B823="","",N($L823)-N($AF823))</f>
        <v/>
      </c>
      <c r="AI823" s="149">
        <f>IF($B823="","",IF(N($L823)=0,"",(N($L823)-N($AF823))/N($L823)))</f>
        <v/>
      </c>
    </row>
    <row r="824">
      <c r="A824" s="39">
        <f>IF($B824="","",COUNTA($B$4:$B824))</f>
        <v/>
      </c>
      <c r="B824" s="40" t="n">
        <v>46123</v>
      </c>
      <c r="C824" s="41" t="n">
        <v>2494</v>
      </c>
      <c r="D824" s="41" t="inlineStr">
        <is>
          <t>رجب عبد العال</t>
        </is>
      </c>
      <c r="E824" s="41" t="inlineStr">
        <is>
          <t>1*40</t>
        </is>
      </c>
      <c r="F824" s="41" t="inlineStr">
        <is>
          <t xml:space="preserve">ايتامكو </t>
        </is>
      </c>
      <c r="G824" s="41" t="inlineStr">
        <is>
          <t xml:space="preserve">ط التحدى </t>
        </is>
      </c>
      <c r="H824" s="41" t="inlineStr">
        <is>
          <t>450910/6</t>
        </is>
      </c>
      <c r="I824" s="41" t="inlineStr">
        <is>
          <t>س ص ى 3829</t>
        </is>
      </c>
      <c r="J824" s="41" t="inlineStr">
        <is>
          <t xml:space="preserve">طارق الدمل </t>
        </is>
      </c>
      <c r="K824" s="41" t="inlineStr">
        <is>
          <t xml:space="preserve">طارق الجمل </t>
        </is>
      </c>
      <c r="L824" s="42" t="n">
        <v>12500</v>
      </c>
      <c r="M824" s="42" t="n">
        <v>7100</v>
      </c>
      <c r="N824" s="42" t="n"/>
      <c r="O824" s="42" t="n">
        <v>200</v>
      </c>
      <c r="P824" s="42" t="n"/>
      <c r="Q824" s="42" t="n">
        <v>5200</v>
      </c>
      <c r="R824" s="43">
        <f>IF($B824="","",N($S824)-N($Q824))</f>
        <v/>
      </c>
      <c r="S824" s="43">
        <f>IF($B824="","",N($L824)+N($N824)+N($P824))</f>
        <v/>
      </c>
      <c r="T824" s="42" t="n"/>
      <c r="U824" s="42" t="n"/>
      <c r="V824" s="42" t="n"/>
      <c r="W824" s="42" t="n"/>
      <c r="X824" s="42" t="n"/>
      <c r="Y824" s="42" t="n"/>
      <c r="Z824" s="42" t="n"/>
      <c r="AA824" s="42" t="n"/>
      <c r="AB824" s="42" t="n"/>
      <c r="AC824" s="42" t="n"/>
      <c r="AD824" s="42" t="n"/>
      <c r="AE824" s="42" t="n"/>
      <c r="AF824" s="43">
        <f>IF($B824="","",SUM($T824:$AE824))</f>
        <v/>
      </c>
      <c r="AG824" s="43">
        <f>IF($B824="","",N($M824)-N($AF824))</f>
        <v/>
      </c>
      <c r="AH824" s="43">
        <f>IF($B824="","",N($L824)-N($AF824))</f>
        <v/>
      </c>
      <c r="AI824" s="149">
        <f>IF($B824="","",IF(N($L824)=0,"",(N($L824)-N($AF824))/N($L824)))</f>
        <v/>
      </c>
    </row>
    <row r="825">
      <c r="A825" s="39">
        <f>IF($B825="","",COUNTA($B$4:$B825))</f>
        <v/>
      </c>
      <c r="B825" s="45" t="n">
        <v>46123</v>
      </c>
      <c r="C825" s="46" t="n">
        <v>2495</v>
      </c>
      <c r="D825" s="46" t="inlineStr">
        <is>
          <t>استوريا خ</t>
        </is>
      </c>
      <c r="E825" s="46" t="inlineStr">
        <is>
          <t>1*40</t>
        </is>
      </c>
      <c r="F825" s="46" t="inlineStr">
        <is>
          <t xml:space="preserve">ايتامكو </t>
        </is>
      </c>
      <c r="G825" s="46" t="inlineStr">
        <is>
          <t xml:space="preserve">ط التحدى </t>
        </is>
      </c>
      <c r="H825" s="46" t="inlineStr">
        <is>
          <t>450568/8</t>
        </is>
      </c>
      <c r="I825" s="46" t="inlineStr">
        <is>
          <t>ب ج ع 5791</t>
        </is>
      </c>
      <c r="J825" s="46" t="inlineStr">
        <is>
          <t xml:space="preserve">السيد عبد السلام </t>
        </is>
      </c>
      <c r="K825" s="46" t="inlineStr">
        <is>
          <t>استوريا</t>
        </is>
      </c>
      <c r="L825" s="47" t="n">
        <v>12500</v>
      </c>
      <c r="M825" s="47" t="n">
        <v>7100</v>
      </c>
      <c r="N825" s="47" t="n"/>
      <c r="O825" s="47" t="n">
        <v>200</v>
      </c>
      <c r="P825" s="47" t="n"/>
      <c r="Q825" s="47" t="n">
        <v>5200</v>
      </c>
      <c r="R825" s="43">
        <f>IF($B825="","",N($S825)-N($Q825))</f>
        <v/>
      </c>
      <c r="S825" s="43">
        <f>IF($B825="","",N($L825)+N($N825)+N($P825))</f>
        <v/>
      </c>
      <c r="T825" s="47" t="n"/>
      <c r="U825" s="47" t="n"/>
      <c r="V825" s="47" t="n"/>
      <c r="W825" s="47" t="n"/>
      <c r="X825" s="47" t="n"/>
      <c r="Y825" s="47" t="n"/>
      <c r="Z825" s="47" t="n"/>
      <c r="AA825" s="47" t="n"/>
      <c r="AB825" s="47" t="n"/>
      <c r="AC825" s="47" t="n"/>
      <c r="AD825" s="47" t="n"/>
      <c r="AE825" s="47" t="n"/>
      <c r="AF825" s="43">
        <f>IF($B825="","",SUM($T825:$AE825))</f>
        <v/>
      </c>
      <c r="AG825" s="43">
        <f>IF($B825="","",N($M825)-N($AF825))</f>
        <v/>
      </c>
      <c r="AH825" s="43">
        <f>IF($B825="","",N($L825)-N($AF825))</f>
        <v/>
      </c>
      <c r="AI825" s="149">
        <f>IF($B825="","",IF(N($L825)=0,"",(N($L825)-N($AF825))/N($L825)))</f>
        <v/>
      </c>
    </row>
    <row r="826">
      <c r="A826" s="39">
        <f>IF($B826="","",COUNTA($B$4:$B826))</f>
        <v/>
      </c>
      <c r="B826" s="40" t="n">
        <v>46123</v>
      </c>
      <c r="C826" s="41" t="n">
        <v>2496</v>
      </c>
      <c r="D826" s="41" t="inlineStr">
        <is>
          <t xml:space="preserve">حاتم البحر </t>
        </is>
      </c>
      <c r="E826" s="41" t="inlineStr">
        <is>
          <t>1*40</t>
        </is>
      </c>
      <c r="F826" s="41" t="inlineStr">
        <is>
          <t xml:space="preserve">ايتامكو </t>
        </is>
      </c>
      <c r="G826" s="41" t="inlineStr">
        <is>
          <t xml:space="preserve">ط التحدى </t>
        </is>
      </c>
      <c r="H826" s="41" t="inlineStr">
        <is>
          <t>542342/0</t>
        </is>
      </c>
      <c r="I826" s="41" t="inlineStr">
        <is>
          <t>س ب ج 4379</t>
        </is>
      </c>
      <c r="J826" s="41" t="inlineStr">
        <is>
          <t xml:space="preserve">ماهر ابو الليف </t>
        </is>
      </c>
      <c r="K826" s="41" t="inlineStr">
        <is>
          <t xml:space="preserve">احمد عيد </t>
        </is>
      </c>
      <c r="L826" s="42" t="n">
        <v>12500</v>
      </c>
      <c r="M826" s="42" t="n">
        <v>7100</v>
      </c>
      <c r="N826" s="42" t="n"/>
      <c r="O826" s="42" t="n">
        <v>200</v>
      </c>
      <c r="P826" s="42" t="n"/>
      <c r="Q826" s="42" t="n">
        <v>5200</v>
      </c>
      <c r="R826" s="43">
        <f>IF($B826="","",N($S826)-N($Q826))</f>
        <v/>
      </c>
      <c r="S826" s="43">
        <f>IF($B826="","",N($L826)+N($N826)+N($P826))</f>
        <v/>
      </c>
      <c r="T826" s="42" t="n"/>
      <c r="U826" s="42" t="n"/>
      <c r="V826" s="42" t="n"/>
      <c r="W826" s="42" t="n"/>
      <c r="X826" s="42" t="n"/>
      <c r="Y826" s="42" t="n"/>
      <c r="Z826" s="42" t="n"/>
      <c r="AA826" s="42" t="n"/>
      <c r="AB826" s="42" t="n"/>
      <c r="AC826" s="42" t="n"/>
      <c r="AD826" s="42" t="n"/>
      <c r="AE826" s="42" t="n"/>
      <c r="AF826" s="43">
        <f>IF($B826="","",SUM($T826:$AE826))</f>
        <v/>
      </c>
      <c r="AG826" s="43">
        <f>IF($B826="","",N($M826)-N($AF826))</f>
        <v/>
      </c>
      <c r="AH826" s="43">
        <f>IF($B826="","",N($L826)-N($AF826))</f>
        <v/>
      </c>
      <c r="AI826" s="149">
        <f>IF($B826="","",IF(N($L826)=0,"",(N($L826)-N($AF826))/N($L826)))</f>
        <v/>
      </c>
    </row>
    <row r="827">
      <c r="A827" s="39">
        <f>IF($B827="","",COUNTA($B$4:$B827))</f>
        <v/>
      </c>
      <c r="B827" s="45" t="n">
        <v>46123</v>
      </c>
      <c r="C827" s="46" t="n">
        <v>2497</v>
      </c>
      <c r="D827" s="46" t="inlineStr">
        <is>
          <t>حماد خ</t>
        </is>
      </c>
      <c r="E827" s="46" t="inlineStr">
        <is>
          <t>1*40</t>
        </is>
      </c>
      <c r="F827" s="46" t="inlineStr">
        <is>
          <t xml:space="preserve">ايتامكو </t>
        </is>
      </c>
      <c r="G827" s="46" t="inlineStr">
        <is>
          <t xml:space="preserve">ط التحدى </t>
        </is>
      </c>
      <c r="H827" s="46" t="inlineStr">
        <is>
          <t>450195/4</t>
        </is>
      </c>
      <c r="I827" s="46" t="inlineStr">
        <is>
          <t>س ع ه 2363</t>
        </is>
      </c>
      <c r="J827" s="46" t="inlineStr">
        <is>
          <t xml:space="preserve">شعبان السيد </t>
        </is>
      </c>
      <c r="K827" s="46" t="inlineStr">
        <is>
          <t xml:space="preserve">شعبان </t>
        </is>
      </c>
      <c r="L827" s="47" t="n">
        <v>12800</v>
      </c>
      <c r="M827" s="47" t="n">
        <v>7100</v>
      </c>
      <c r="N827" s="47" t="n"/>
      <c r="O827" s="47" t="n">
        <v>200</v>
      </c>
      <c r="P827" s="47" t="n"/>
      <c r="Q827" s="47" t="n">
        <v>5500</v>
      </c>
      <c r="R827" s="43">
        <f>IF($B827="","",N($S827)-N($Q827))</f>
        <v/>
      </c>
      <c r="S827" s="43">
        <f>IF($B827="","",N($L827)+N($N827)+N($P827))</f>
        <v/>
      </c>
      <c r="T827" s="47" t="n"/>
      <c r="U827" s="47" t="n"/>
      <c r="V827" s="47" t="n"/>
      <c r="W827" s="47" t="n"/>
      <c r="X827" s="47" t="n"/>
      <c r="Y827" s="47" t="n"/>
      <c r="Z827" s="47" t="n"/>
      <c r="AA827" s="47" t="n"/>
      <c r="AB827" s="47" t="n"/>
      <c r="AC827" s="47" t="n"/>
      <c r="AD827" s="47" t="n"/>
      <c r="AE827" s="47" t="n"/>
      <c r="AF827" s="43">
        <f>IF($B827="","",SUM($T827:$AE827))</f>
        <v/>
      </c>
      <c r="AG827" s="43">
        <f>IF($B827="","",N($M827)-N($AF827))</f>
        <v/>
      </c>
      <c r="AH827" s="43">
        <f>IF($B827="","",N($L827)-N($AF827))</f>
        <v/>
      </c>
      <c r="AI827" s="149">
        <f>IF($B827="","",IF(N($L827)=0,"",(N($L827)-N($AF827))/N($L827)))</f>
        <v/>
      </c>
    </row>
    <row r="828">
      <c r="A828" s="39">
        <f>IF($B828="","",COUNTA($B$4:$B828))</f>
        <v/>
      </c>
      <c r="B828" s="40" t="n">
        <v>46123</v>
      </c>
      <c r="C828" s="41" t="n">
        <v>2498</v>
      </c>
      <c r="D828" s="41" t="inlineStr">
        <is>
          <t>استوريا خ</t>
        </is>
      </c>
      <c r="E828" s="41" t="inlineStr">
        <is>
          <t>1*40</t>
        </is>
      </c>
      <c r="F828" s="41" t="inlineStr">
        <is>
          <t xml:space="preserve">ايتامكو </t>
        </is>
      </c>
      <c r="G828" s="41" t="inlineStr">
        <is>
          <t xml:space="preserve">ط التحدى </t>
        </is>
      </c>
      <c r="H828" s="41" t="inlineStr">
        <is>
          <t>450245/7</t>
        </is>
      </c>
      <c r="I828" s="41" t="inlineStr">
        <is>
          <t>ب ن و 7245</t>
        </is>
      </c>
      <c r="J828" s="41" t="inlineStr">
        <is>
          <t xml:space="preserve">رجب </t>
        </is>
      </c>
      <c r="K828" s="41" t="inlineStr">
        <is>
          <t xml:space="preserve">محمد الشناوى </t>
        </is>
      </c>
      <c r="L828" s="42" t="n">
        <v>12500</v>
      </c>
      <c r="M828" s="42" t="n">
        <v>7100</v>
      </c>
      <c r="N828" s="42" t="n"/>
      <c r="O828" s="42" t="n">
        <v>200</v>
      </c>
      <c r="P828" s="42" t="n"/>
      <c r="Q828" s="42" t="n">
        <v>5200</v>
      </c>
      <c r="R828" s="43">
        <f>IF($B828="","",N($S828)-N($Q828))</f>
        <v/>
      </c>
      <c r="S828" s="43">
        <f>IF($B828="","",N($L828)+N($N828)+N($P828))</f>
        <v/>
      </c>
      <c r="T828" s="42" t="n"/>
      <c r="U828" s="42" t="n"/>
      <c r="V828" s="42" t="n"/>
      <c r="W828" s="42" t="n"/>
      <c r="X828" s="42" t="n"/>
      <c r="Y828" s="42" t="n"/>
      <c r="Z828" s="42" t="n"/>
      <c r="AA828" s="42" t="n"/>
      <c r="AB828" s="42" t="n"/>
      <c r="AC828" s="42" t="n"/>
      <c r="AD828" s="42" t="n"/>
      <c r="AE828" s="42" t="n"/>
      <c r="AF828" s="43">
        <f>IF($B828="","",SUM($T828:$AE828))</f>
        <v/>
      </c>
      <c r="AG828" s="43">
        <f>IF($B828="","",N($M828)-N($AF828))</f>
        <v/>
      </c>
      <c r="AH828" s="43">
        <f>IF($B828="","",N($L828)-N($AF828))</f>
        <v/>
      </c>
      <c r="AI828" s="149">
        <f>IF($B828="","",IF(N($L828)=0,"",(N($L828)-N($AF828))/N($L828)))</f>
        <v/>
      </c>
    </row>
    <row r="829">
      <c r="A829" s="39">
        <f>IF($B829="","",COUNTA($B$4:$B829))</f>
        <v/>
      </c>
      <c r="B829" s="45" t="n">
        <v>46123</v>
      </c>
      <c r="C829" s="46" t="n">
        <v>2499</v>
      </c>
      <c r="D829" s="46" t="inlineStr">
        <is>
          <t xml:space="preserve">احمد عبدو </t>
        </is>
      </c>
      <c r="E829" s="46" t="inlineStr">
        <is>
          <t>1*40</t>
        </is>
      </c>
      <c r="F829" s="46" t="inlineStr">
        <is>
          <t xml:space="preserve">ايتامكو </t>
        </is>
      </c>
      <c r="G829" s="46" t="inlineStr">
        <is>
          <t xml:space="preserve">ط التحدى </t>
        </is>
      </c>
      <c r="H829" s="46" t="inlineStr">
        <is>
          <t>595130/9</t>
        </is>
      </c>
      <c r="I829" s="46" t="inlineStr">
        <is>
          <t>س ل ب 5917</t>
        </is>
      </c>
      <c r="J829" s="46" t="inlineStr">
        <is>
          <t xml:space="preserve">محمد ابراهيم </t>
        </is>
      </c>
      <c r="K829" s="46" t="inlineStr">
        <is>
          <t xml:space="preserve">علاء علام </t>
        </is>
      </c>
      <c r="L829" s="47" t="n">
        <v>12500</v>
      </c>
      <c r="M829" s="47" t="n">
        <v>7100</v>
      </c>
      <c r="N829" s="47" t="n"/>
      <c r="O829" s="47" t="n">
        <v>200</v>
      </c>
      <c r="P829" s="47" t="n"/>
      <c r="Q829" s="47" t="n">
        <v>5200</v>
      </c>
      <c r="R829" s="43">
        <f>IF($B829="","",N($S829)-N($Q829))</f>
        <v/>
      </c>
      <c r="S829" s="43">
        <f>IF($B829="","",N($L829)+N($N829)+N($P829))</f>
        <v/>
      </c>
      <c r="T829" s="47" t="n"/>
      <c r="U829" s="47" t="n"/>
      <c r="V829" s="47" t="n"/>
      <c r="W829" s="47" t="n"/>
      <c r="X829" s="47" t="n"/>
      <c r="Y829" s="47" t="n"/>
      <c r="Z829" s="47" t="n"/>
      <c r="AA829" s="47" t="n"/>
      <c r="AB829" s="47" t="n"/>
      <c r="AC829" s="47" t="n"/>
      <c r="AD829" s="47" t="n"/>
      <c r="AE829" s="47" t="n"/>
      <c r="AF829" s="43">
        <f>IF($B829="","",SUM($T829:$AE829))</f>
        <v/>
      </c>
      <c r="AG829" s="43">
        <f>IF($B829="","",N($M829)-N($AF829))</f>
        <v/>
      </c>
      <c r="AH829" s="43">
        <f>IF($B829="","",N($L829)-N($AF829))</f>
        <v/>
      </c>
      <c r="AI829" s="149">
        <f>IF($B829="","",IF(N($L829)=0,"",(N($L829)-N($AF829))/N($L829)))</f>
        <v/>
      </c>
    </row>
    <row r="830">
      <c r="A830" s="39">
        <f>IF($B830="","",COUNTA($B$4:$B830))</f>
        <v/>
      </c>
      <c r="B830" s="40" t="n">
        <v>46123</v>
      </c>
      <c r="C830" s="41" t="n">
        <v>2500</v>
      </c>
      <c r="D830" s="41" t="inlineStr">
        <is>
          <t xml:space="preserve">احمد عبدو </t>
        </is>
      </c>
      <c r="E830" s="41" t="inlineStr">
        <is>
          <t>1*40</t>
        </is>
      </c>
      <c r="F830" s="41" t="inlineStr">
        <is>
          <t xml:space="preserve">ايتامكو </t>
        </is>
      </c>
      <c r="G830" s="41" t="inlineStr">
        <is>
          <t xml:space="preserve">ط التحدى </t>
        </is>
      </c>
      <c r="H830" s="41" t="inlineStr">
        <is>
          <t>695019/7</t>
        </is>
      </c>
      <c r="I830" s="41" t="inlineStr">
        <is>
          <t>س ا ه 8198</t>
        </is>
      </c>
      <c r="J830" s="41" t="inlineStr">
        <is>
          <t xml:space="preserve">ايمن عبدة </t>
        </is>
      </c>
      <c r="K830" s="41" t="inlineStr">
        <is>
          <t xml:space="preserve">علاء علام </t>
        </is>
      </c>
      <c r="L830" s="42" t="n">
        <v>12500</v>
      </c>
      <c r="M830" s="42" t="n">
        <v>7100</v>
      </c>
      <c r="N830" s="42" t="n"/>
      <c r="O830" s="42" t="n">
        <v>200</v>
      </c>
      <c r="P830" s="42" t="n"/>
      <c r="Q830" s="42" t="n">
        <v>5200</v>
      </c>
      <c r="R830" s="43">
        <f>IF($B830="","",N($S830)-N($Q830))</f>
        <v/>
      </c>
      <c r="S830" s="43">
        <f>IF($B830="","",N($L830)+N($N830)+N($P830))</f>
        <v/>
      </c>
      <c r="T830" s="42" t="n"/>
      <c r="U830" s="42" t="n"/>
      <c r="V830" s="42" t="n"/>
      <c r="W830" s="42" t="n"/>
      <c r="X830" s="42" t="n"/>
      <c r="Y830" s="42" t="n"/>
      <c r="Z830" s="42" t="n"/>
      <c r="AA830" s="42" t="n"/>
      <c r="AB830" s="42" t="n"/>
      <c r="AC830" s="42" t="n"/>
      <c r="AD830" s="42" t="n"/>
      <c r="AE830" s="42" t="n"/>
      <c r="AF830" s="43">
        <f>IF($B830="","",SUM($T830:$AE830))</f>
        <v/>
      </c>
      <c r="AG830" s="43">
        <f>IF($B830="","",N($M830)-N($AF830))</f>
        <v/>
      </c>
      <c r="AH830" s="43">
        <f>IF($B830="","",N($L830)-N($AF830))</f>
        <v/>
      </c>
      <c r="AI830" s="149">
        <f>IF($B830="","",IF(N($L830)=0,"",(N($L830)-N($AF830))/N($L830)))</f>
        <v/>
      </c>
    </row>
    <row r="831">
      <c r="A831" s="39">
        <f>IF($B831="","",COUNTA($B$4:$B831))</f>
        <v/>
      </c>
      <c r="B831" s="45" t="n">
        <v>46123</v>
      </c>
      <c r="C831" s="46" t="n">
        <v>2436</v>
      </c>
      <c r="D831" s="46" t="inlineStr">
        <is>
          <t>عتريس مخيمر  خ</t>
        </is>
      </c>
      <c r="E831" s="46" t="inlineStr">
        <is>
          <t>1*40 ث</t>
        </is>
      </c>
      <c r="F831" s="46" t="inlineStr">
        <is>
          <t xml:space="preserve">ميجا مار </t>
        </is>
      </c>
      <c r="G831" s="46" t="inlineStr">
        <is>
          <t xml:space="preserve">السادات </t>
        </is>
      </c>
      <c r="H831" s="46" t="inlineStr">
        <is>
          <t>656969/8</t>
        </is>
      </c>
      <c r="I831" s="46" t="inlineStr">
        <is>
          <t>ط ف ر 1474</t>
        </is>
      </c>
      <c r="J831" s="46" t="inlineStr">
        <is>
          <t xml:space="preserve">جمال على </t>
        </is>
      </c>
      <c r="K831" s="46" t="inlineStr">
        <is>
          <t xml:space="preserve">كريم خليف </t>
        </is>
      </c>
      <c r="L831" s="47" t="n">
        <v>14500</v>
      </c>
      <c r="M831" s="47" t="n">
        <v>8100</v>
      </c>
      <c r="N831" s="47" t="n"/>
      <c r="O831" s="47" t="n">
        <v>200</v>
      </c>
      <c r="P831" s="47" t="n"/>
      <c r="Q831" s="47" t="n">
        <v>6200</v>
      </c>
      <c r="R831" s="43">
        <f>IF($B831="","",N($S831)-N($Q831))</f>
        <v/>
      </c>
      <c r="S831" s="43">
        <f>IF($B831="","",N($L831)+N($N831)+N($P831))</f>
        <v/>
      </c>
      <c r="T831" s="47" t="n"/>
      <c r="U831" s="47" t="n"/>
      <c r="V831" s="47" t="n"/>
      <c r="W831" s="47" t="n"/>
      <c r="X831" s="47" t="n"/>
      <c r="Y831" s="47" t="n"/>
      <c r="Z831" s="47" t="n"/>
      <c r="AA831" s="47" t="n"/>
      <c r="AB831" s="47" t="n"/>
      <c r="AC831" s="47" t="n"/>
      <c r="AD831" s="47" t="n"/>
      <c r="AE831" s="47" t="n"/>
      <c r="AF831" s="43">
        <f>IF($B831="","",SUM($T831:$AE831))</f>
        <v/>
      </c>
      <c r="AG831" s="43">
        <f>IF($B831="","",N($M831)-N($AF831))</f>
        <v/>
      </c>
      <c r="AH831" s="43">
        <f>IF($B831="","",N($L831)-N($AF831))</f>
        <v/>
      </c>
      <c r="AI831" s="149">
        <f>IF($B831="","",IF(N($L831)=0,"",(N($L831)-N($AF831))/N($L831)))</f>
        <v/>
      </c>
    </row>
    <row r="832">
      <c r="A832" s="39">
        <f>IF($B832="","",COUNTA($B$4:$B832))</f>
        <v/>
      </c>
      <c r="B832" s="40" t="n">
        <v>46123</v>
      </c>
      <c r="C832" s="41" t="n">
        <v>2435</v>
      </c>
      <c r="D832" s="41" t="inlineStr">
        <is>
          <t xml:space="preserve">محمد يحى </t>
        </is>
      </c>
      <c r="E832" s="41" t="inlineStr">
        <is>
          <t>1*40 ث</t>
        </is>
      </c>
      <c r="F832" s="41" t="inlineStr">
        <is>
          <t xml:space="preserve">ميجا مار </t>
        </is>
      </c>
      <c r="G832" s="41" t="inlineStr">
        <is>
          <t xml:space="preserve">السادات </t>
        </is>
      </c>
      <c r="H832" s="41" t="inlineStr">
        <is>
          <t>507519/2</t>
        </is>
      </c>
      <c r="I832" s="41" t="inlineStr">
        <is>
          <t>ع ر ب 1573</t>
        </is>
      </c>
      <c r="J832" s="41" t="inlineStr">
        <is>
          <t>شريف الامير</t>
        </is>
      </c>
      <c r="K832" s="41" t="inlineStr">
        <is>
          <t xml:space="preserve">حمو مرزوق </t>
        </is>
      </c>
      <c r="L832" s="42" t="n">
        <v>15000</v>
      </c>
      <c r="M832" s="42" t="n">
        <v>8100</v>
      </c>
      <c r="N832" s="42" t="n"/>
      <c r="O832" s="42" t="n">
        <v>200</v>
      </c>
      <c r="P832" s="42" t="n"/>
      <c r="Q832" s="42" t="n">
        <v>6700</v>
      </c>
      <c r="R832" s="43">
        <f>IF($B832="","",N($S832)-N($Q832))</f>
        <v/>
      </c>
      <c r="S832" s="43">
        <f>IF($B832="","",N($L832)+N($N832)+N($P832))</f>
        <v/>
      </c>
      <c r="T832" s="42" t="n"/>
      <c r="U832" s="42" t="n"/>
      <c r="V832" s="42" t="n"/>
      <c r="W832" s="42" t="n"/>
      <c r="X832" s="42" t="n"/>
      <c r="Y832" s="42" t="n"/>
      <c r="Z832" s="42" t="n"/>
      <c r="AA832" s="42" t="n"/>
      <c r="AB832" s="42" t="n"/>
      <c r="AC832" s="42" t="n"/>
      <c r="AD832" s="42" t="n"/>
      <c r="AE832" s="42" t="n"/>
      <c r="AF832" s="43">
        <f>IF($B832="","",SUM($T832:$AE832))</f>
        <v/>
      </c>
      <c r="AG832" s="43">
        <f>IF($B832="","",N($M832)-N($AF832))</f>
        <v/>
      </c>
      <c r="AH832" s="43">
        <f>IF($B832="","",N($L832)-N($AF832))</f>
        <v/>
      </c>
      <c r="AI832" s="149">
        <f>IF($B832="","",IF(N($L832)=0,"",(N($L832)-N($AF832))/N($L832)))</f>
        <v/>
      </c>
    </row>
    <row r="833">
      <c r="A833" s="39">
        <f>IF($B833="","",COUNTA($B$4:$B833))</f>
        <v/>
      </c>
      <c r="B833" s="45" t="n">
        <v>46124</v>
      </c>
      <c r="C833" s="46" t="n">
        <v>2446</v>
      </c>
      <c r="D833" s="46" t="inlineStr">
        <is>
          <t>حماد خ</t>
        </is>
      </c>
      <c r="E833" s="46" t="inlineStr">
        <is>
          <t>1*40</t>
        </is>
      </c>
      <c r="F833" s="46" t="inlineStr">
        <is>
          <t>البارق</t>
        </is>
      </c>
      <c r="G833" s="46" t="inlineStr">
        <is>
          <t>بلبيس</t>
        </is>
      </c>
      <c r="H833" s="46" t="inlineStr">
        <is>
          <t>900996/8</t>
        </is>
      </c>
      <c r="I833" s="46" t="inlineStr">
        <is>
          <t>س ن ر 8852</t>
        </is>
      </c>
      <c r="J833" s="46" t="inlineStr">
        <is>
          <t xml:space="preserve">احمد محمود </t>
        </is>
      </c>
      <c r="K833" s="46" t="inlineStr">
        <is>
          <t xml:space="preserve">محمد صابر </t>
        </is>
      </c>
      <c r="L833" s="47" t="n">
        <v>15000</v>
      </c>
      <c r="M833" s="47" t="n">
        <v>8100</v>
      </c>
      <c r="N833" s="47" t="n"/>
      <c r="O833" s="47" t="n">
        <v>200</v>
      </c>
      <c r="P833" s="47" t="n"/>
      <c r="Q833" s="47" t="n">
        <v>6700</v>
      </c>
      <c r="R833" s="43">
        <f>IF($B833="","",N($S833)-N($Q833))</f>
        <v/>
      </c>
      <c r="S833" s="43">
        <f>IF($B833="","",N($L833)+N($N833)+N($P833))</f>
        <v/>
      </c>
      <c r="T833" s="47" t="n"/>
      <c r="U833" s="47" t="n"/>
      <c r="V833" s="47" t="n"/>
      <c r="W833" s="47" t="n"/>
      <c r="X833" s="47" t="n"/>
      <c r="Y833" s="47" t="n"/>
      <c r="Z833" s="47" t="n"/>
      <c r="AA833" s="47" t="n"/>
      <c r="AB833" s="47" t="n"/>
      <c r="AC833" s="47" t="n"/>
      <c r="AD833" s="47" t="n"/>
      <c r="AE833" s="47" t="n"/>
      <c r="AF833" s="43">
        <f>IF($B833="","",SUM($T833:$AE833))</f>
        <v/>
      </c>
      <c r="AG833" s="43">
        <f>IF($B833="","",N($M833)-N($AF833))</f>
        <v/>
      </c>
      <c r="AH833" s="43">
        <f>IF($B833="","",N($L833)-N($AF833))</f>
        <v/>
      </c>
      <c r="AI833" s="149">
        <f>IF($B833="","",IF(N($L833)=0,"",(N($L833)-N($AF833))/N($L833)))</f>
        <v/>
      </c>
    </row>
    <row r="834">
      <c r="A834" s="39">
        <f>IF($B834="","",COUNTA($B$4:$B834))</f>
        <v/>
      </c>
      <c r="B834" s="40" t="n">
        <v>46124</v>
      </c>
      <c r="C834" s="41" t="n">
        <v>2445</v>
      </c>
      <c r="D834" s="41" t="inlineStr">
        <is>
          <t>حماد خ</t>
        </is>
      </c>
      <c r="E834" s="41" t="inlineStr">
        <is>
          <t>1*40</t>
        </is>
      </c>
      <c r="F834" s="41" t="inlineStr">
        <is>
          <t>البارق</t>
        </is>
      </c>
      <c r="G834" s="41" t="inlineStr">
        <is>
          <t>بلبيس</t>
        </is>
      </c>
      <c r="H834" s="41" t="inlineStr">
        <is>
          <t>909002/8</t>
        </is>
      </c>
      <c r="I834" s="41" t="inlineStr">
        <is>
          <t>س ن ب 1649</t>
        </is>
      </c>
      <c r="J834" s="41" t="inlineStr">
        <is>
          <t xml:space="preserve">محمد عاطف </t>
        </is>
      </c>
      <c r="K834" s="41" t="inlineStr">
        <is>
          <t xml:space="preserve">محمد صابر </t>
        </is>
      </c>
      <c r="L834" s="42" t="n">
        <v>15000</v>
      </c>
      <c r="M834" s="42" t="n">
        <v>8100</v>
      </c>
      <c r="N834" s="42" t="n"/>
      <c r="O834" s="42" t="n">
        <v>200</v>
      </c>
      <c r="P834" s="42" t="n"/>
      <c r="Q834" s="42" t="n">
        <v>6700</v>
      </c>
      <c r="R834" s="43">
        <f>IF($B834="","",N($S834)-N($Q834))</f>
        <v/>
      </c>
      <c r="S834" s="43">
        <f>IF($B834="","",N($L834)+N($N834)+N($P834))</f>
        <v/>
      </c>
      <c r="T834" s="42" t="n"/>
      <c r="U834" s="42" t="n"/>
      <c r="V834" s="42" t="n"/>
      <c r="W834" s="42" t="n"/>
      <c r="X834" s="42" t="n"/>
      <c r="Y834" s="42" t="n"/>
      <c r="Z834" s="42" t="n"/>
      <c r="AA834" s="42" t="n"/>
      <c r="AB834" s="42" t="n"/>
      <c r="AC834" s="42" t="n"/>
      <c r="AD834" s="42" t="n"/>
      <c r="AE834" s="42" t="n"/>
      <c r="AF834" s="43">
        <f>IF($B834="","",SUM($T834:$AE834))</f>
        <v/>
      </c>
      <c r="AG834" s="43">
        <f>IF($B834="","",N($M834)-N($AF834))</f>
        <v/>
      </c>
      <c r="AH834" s="43">
        <f>IF($B834="","",N($L834)-N($AF834))</f>
        <v/>
      </c>
      <c r="AI834" s="149">
        <f>IF($B834="","",IF(N($L834)=0,"",(N($L834)-N($AF834))/N($L834)))</f>
        <v/>
      </c>
    </row>
    <row r="835">
      <c r="A835" s="39">
        <f>IF($B835="","",COUNTA($B$4:$B835))</f>
        <v/>
      </c>
      <c r="B835" s="45" t="n">
        <v>46124</v>
      </c>
      <c r="C835" s="46" t="n">
        <v>2444</v>
      </c>
      <c r="D835" s="46" t="inlineStr">
        <is>
          <t>ايوب</t>
        </is>
      </c>
      <c r="E835" s="46" t="inlineStr">
        <is>
          <t>1*40</t>
        </is>
      </c>
      <c r="F835" s="46" t="inlineStr">
        <is>
          <t>البارق</t>
        </is>
      </c>
      <c r="G835" s="46" t="inlineStr">
        <is>
          <t>بلبيس</t>
        </is>
      </c>
      <c r="H835" s="46" t="inlineStr">
        <is>
          <t>903532/9</t>
        </is>
      </c>
      <c r="I835" s="46" t="inlineStr">
        <is>
          <t>ط ف ر 5195</t>
        </is>
      </c>
      <c r="J835" s="46" t="inlineStr">
        <is>
          <t xml:space="preserve">شريف الصعيدى </t>
        </is>
      </c>
      <c r="K835" s="46" t="inlineStr">
        <is>
          <t xml:space="preserve">ايوب </t>
        </is>
      </c>
      <c r="L835" s="47" t="n">
        <v>15000</v>
      </c>
      <c r="M835" s="47" t="n">
        <v>8100</v>
      </c>
      <c r="N835" s="47" t="n"/>
      <c r="O835" s="47" t="n">
        <v>200</v>
      </c>
      <c r="P835" s="47" t="n"/>
      <c r="Q835" s="47" t="n">
        <v>6700</v>
      </c>
      <c r="R835" s="43">
        <f>IF($B835="","",N($S835)-N($Q835))</f>
        <v/>
      </c>
      <c r="S835" s="43">
        <f>IF($B835="","",N($L835)+N($N835)+N($P835))</f>
        <v/>
      </c>
      <c r="T835" s="47" t="n"/>
      <c r="U835" s="47" t="n"/>
      <c r="V835" s="47" t="n"/>
      <c r="W835" s="47" t="n"/>
      <c r="X835" s="47" t="n"/>
      <c r="Y835" s="47" t="n"/>
      <c r="Z835" s="47" t="n"/>
      <c r="AA835" s="47" t="n"/>
      <c r="AB835" s="47" t="n"/>
      <c r="AC835" s="47" t="n"/>
      <c r="AD835" s="47" t="n"/>
      <c r="AE835" s="47" t="n"/>
      <c r="AF835" s="43">
        <f>IF($B835="","",SUM($T835:$AE835))</f>
        <v/>
      </c>
      <c r="AG835" s="43">
        <f>IF($B835="","",N($M835)-N($AF835))</f>
        <v/>
      </c>
      <c r="AH835" s="43">
        <f>IF($B835="","",N($L835)-N($AF835))</f>
        <v/>
      </c>
      <c r="AI835" s="149">
        <f>IF($B835="","",IF(N($L835)=0,"",(N($L835)-N($AF835))/N($L835)))</f>
        <v/>
      </c>
    </row>
    <row r="836">
      <c r="A836" s="39">
        <f>IF($B836="","",COUNTA($B$4:$B836))</f>
        <v/>
      </c>
      <c r="B836" s="40" t="n">
        <v>46124</v>
      </c>
      <c r="C836" s="41" t="n">
        <v>2443</v>
      </c>
      <c r="D836" s="41" t="inlineStr">
        <is>
          <t xml:space="preserve">كمال رزق </t>
        </is>
      </c>
      <c r="E836" s="41" t="inlineStr">
        <is>
          <t>1*40</t>
        </is>
      </c>
      <c r="F836" s="41" t="inlineStr">
        <is>
          <t>نيو بيبى</t>
        </is>
      </c>
      <c r="G836" s="41" t="inlineStr">
        <is>
          <t xml:space="preserve">العاشر </t>
        </is>
      </c>
      <c r="H836" s="41" t="inlineStr">
        <is>
          <t>532753/7</t>
        </is>
      </c>
      <c r="I836" s="41" t="inlineStr">
        <is>
          <t>س ن ر 8979</t>
        </is>
      </c>
      <c r="J836" s="41" t="inlineStr">
        <is>
          <t xml:space="preserve">احمد طة </t>
        </is>
      </c>
      <c r="K836" s="41" t="inlineStr">
        <is>
          <t xml:space="preserve">عماد سعيد </t>
        </is>
      </c>
      <c r="L836" s="42" t="n">
        <v>15000</v>
      </c>
      <c r="M836" s="42" t="n">
        <v>8100</v>
      </c>
      <c r="N836" s="42" t="n"/>
      <c r="O836" s="42" t="n">
        <v>200</v>
      </c>
      <c r="P836" s="42" t="n"/>
      <c r="Q836" s="42" t="n">
        <v>6700</v>
      </c>
      <c r="R836" s="43">
        <f>IF($B836="","",N($S836)-N($Q836))</f>
        <v/>
      </c>
      <c r="S836" s="43">
        <f>IF($B836="","",N($L836)+N($N836)+N($P836))</f>
        <v/>
      </c>
      <c r="T836" s="42" t="n"/>
      <c r="U836" s="42" t="n"/>
      <c r="V836" s="42" t="n"/>
      <c r="W836" s="42" t="n"/>
      <c r="X836" s="42" t="n"/>
      <c r="Y836" s="42" t="n"/>
      <c r="Z836" s="42" t="n"/>
      <c r="AA836" s="42" t="n"/>
      <c r="AB836" s="42" t="n"/>
      <c r="AC836" s="42" t="n"/>
      <c r="AD836" s="42" t="n"/>
      <c r="AE836" s="42" t="n"/>
      <c r="AF836" s="43">
        <f>IF($B836="","",SUM($T836:$AE836))</f>
        <v/>
      </c>
      <c r="AG836" s="43">
        <f>IF($B836="","",N($M836)-N($AF836))</f>
        <v/>
      </c>
      <c r="AH836" s="43">
        <f>IF($B836="","",N($L836)-N($AF836))</f>
        <v/>
      </c>
      <c r="AI836" s="149">
        <f>IF($B836="","",IF(N($L836)=0,"",(N($L836)-N($AF836))/N($L836)))</f>
        <v/>
      </c>
    </row>
    <row r="837">
      <c r="A837" s="39">
        <f>IF($B837="","",COUNTA($B$4:$B837))</f>
        <v/>
      </c>
      <c r="B837" s="45" t="n">
        <v>46124</v>
      </c>
      <c r="C837" s="46" t="n">
        <v>2442</v>
      </c>
      <c r="D837" s="46" t="inlineStr">
        <is>
          <t xml:space="preserve">احمد محسن </t>
        </is>
      </c>
      <c r="E837" s="46" t="inlineStr">
        <is>
          <t>1*40</t>
        </is>
      </c>
      <c r="F837" s="46" t="inlineStr">
        <is>
          <t>نيو بيبى</t>
        </is>
      </c>
      <c r="G837" s="46" t="inlineStr">
        <is>
          <t>العاشر</t>
        </is>
      </c>
      <c r="H837" s="46" t="inlineStr">
        <is>
          <t>021740/9</t>
        </is>
      </c>
      <c r="I837" s="46" t="inlineStr">
        <is>
          <t>س ع ا 7219</t>
        </is>
      </c>
      <c r="J837" s="46" t="inlineStr">
        <is>
          <t xml:space="preserve">طلعت محمد </t>
        </is>
      </c>
      <c r="K837" s="46" t="inlineStr">
        <is>
          <t xml:space="preserve">احمد محسن </t>
        </is>
      </c>
      <c r="L837" s="47" t="n">
        <v>15000</v>
      </c>
      <c r="M837" s="47" t="n">
        <v>8100</v>
      </c>
      <c r="N837" s="47" t="n"/>
      <c r="O837" s="47" t="n">
        <v>200</v>
      </c>
      <c r="P837" s="47" t="n"/>
      <c r="Q837" s="47" t="n">
        <v>6700</v>
      </c>
      <c r="R837" s="43">
        <f>IF($B837="","",N($S837)-N($Q837))</f>
        <v/>
      </c>
      <c r="S837" s="43">
        <f>IF($B837="","",N($L837)+N($N837)+N($P837))</f>
        <v/>
      </c>
      <c r="T837" s="47" t="n"/>
      <c r="U837" s="47" t="n"/>
      <c r="V837" s="47" t="n"/>
      <c r="W837" s="47" t="n"/>
      <c r="X837" s="47" t="n"/>
      <c r="Y837" s="47" t="n"/>
      <c r="Z837" s="47" t="n"/>
      <c r="AA837" s="47" t="n"/>
      <c r="AB837" s="47" t="n"/>
      <c r="AC837" s="47" t="n"/>
      <c r="AD837" s="47" t="n"/>
      <c r="AE837" s="47" t="n"/>
      <c r="AF837" s="43">
        <f>IF($B837="","",SUM($T837:$AE837))</f>
        <v/>
      </c>
      <c r="AG837" s="43">
        <f>IF($B837="","",N($M837)-N($AF837))</f>
        <v/>
      </c>
      <c r="AH837" s="43">
        <f>IF($B837="","",N($L837)-N($AF837))</f>
        <v/>
      </c>
      <c r="AI837" s="149">
        <f>IF($B837="","",IF(N($L837)=0,"",(N($L837)-N($AF837))/N($L837)))</f>
        <v/>
      </c>
    </row>
    <row r="838">
      <c r="A838" s="39">
        <f>IF($B838="","",COUNTA($B$4:$B838))</f>
        <v/>
      </c>
      <c r="B838" s="40" t="n">
        <v>46124</v>
      </c>
      <c r="C838" s="41" t="n">
        <v>2441</v>
      </c>
      <c r="D838" s="41" t="inlineStr">
        <is>
          <t>استوريا خ</t>
        </is>
      </c>
      <c r="E838" s="41" t="inlineStr">
        <is>
          <t>1*40</t>
        </is>
      </c>
      <c r="F838" s="41" t="inlineStr">
        <is>
          <t>نيو بيبى</t>
        </is>
      </c>
      <c r="G838" s="41" t="inlineStr">
        <is>
          <t>العاشر</t>
        </is>
      </c>
      <c r="H838" s="41" t="inlineStr">
        <is>
          <t>410716/7</t>
        </is>
      </c>
      <c r="I838" s="41" t="inlineStr">
        <is>
          <t>ب ل ص 9635</t>
        </is>
      </c>
      <c r="J838" s="41" t="inlineStr">
        <is>
          <t xml:space="preserve">ايهاب السيد </t>
        </is>
      </c>
      <c r="K838" s="41" t="inlineStr">
        <is>
          <t>استوريا</t>
        </is>
      </c>
      <c r="L838" s="42" t="n">
        <v>15000</v>
      </c>
      <c r="M838" s="42" t="n">
        <v>8100</v>
      </c>
      <c r="N838" s="42" t="n"/>
      <c r="O838" s="42" t="n">
        <v>200</v>
      </c>
      <c r="P838" s="42" t="n"/>
      <c r="Q838" s="42" t="n">
        <v>6700</v>
      </c>
      <c r="R838" s="43">
        <f>IF($B838="","",N($S838)-N($Q838))</f>
        <v/>
      </c>
      <c r="S838" s="43">
        <f>IF($B838="","",N($L838)+N($N838)+N($P838))</f>
        <v/>
      </c>
      <c r="T838" s="42" t="n">
        <v>500</v>
      </c>
      <c r="U838" s="42" t="n"/>
      <c r="V838" s="42" t="n"/>
      <c r="W838" s="42" t="n"/>
      <c r="X838" s="42" t="n"/>
      <c r="Y838" s="42" t="n"/>
      <c r="Z838" s="42" t="n"/>
      <c r="AA838" s="42" t="n"/>
      <c r="AB838" s="42" t="n"/>
      <c r="AC838" s="42" t="n"/>
      <c r="AD838" s="42" t="n"/>
      <c r="AE838" s="42" t="n"/>
      <c r="AF838" s="43">
        <f>IF($B838="","",SUM($T838:$AE838))</f>
        <v/>
      </c>
      <c r="AG838" s="43">
        <f>IF($B838="","",N($M838)-N($AF838))</f>
        <v/>
      </c>
      <c r="AH838" s="43">
        <f>IF($B838="","",N($L838)-N($AF838))</f>
        <v/>
      </c>
      <c r="AI838" s="149">
        <f>IF($B838="","",IF(N($L838)=0,"",(N($L838)-N($AF838))/N($L838)))</f>
        <v/>
      </c>
    </row>
    <row r="839">
      <c r="A839" s="39">
        <f>IF($B839="","",COUNTA($B$4:$B839))</f>
        <v/>
      </c>
      <c r="B839" s="45" t="n">
        <v>46124</v>
      </c>
      <c r="C839" s="46" t="n">
        <v>2440</v>
      </c>
      <c r="D839" s="46" t="inlineStr">
        <is>
          <t>استوريا خ</t>
        </is>
      </c>
      <c r="E839" s="46" t="inlineStr">
        <is>
          <t>1*40</t>
        </is>
      </c>
      <c r="F839" s="46" t="inlineStr">
        <is>
          <t>نيو بيبى</t>
        </is>
      </c>
      <c r="G839" s="46" t="inlineStr">
        <is>
          <t>العاشر</t>
        </is>
      </c>
      <c r="H839" s="46" t="inlineStr">
        <is>
          <t>410580/0</t>
        </is>
      </c>
      <c r="I839" s="46" t="inlineStr">
        <is>
          <t>ب ن س 1739</t>
        </is>
      </c>
      <c r="J839" s="46" t="inlineStr">
        <is>
          <t>محمد عبد الله</t>
        </is>
      </c>
      <c r="K839" s="46" t="inlineStr">
        <is>
          <t>استوريا</t>
        </is>
      </c>
      <c r="L839" s="47" t="n">
        <v>16000</v>
      </c>
      <c r="M839" s="47" t="n">
        <v>8100</v>
      </c>
      <c r="N839" s="47" t="n"/>
      <c r="O839" s="47" t="n">
        <v>200</v>
      </c>
      <c r="P839" s="47" t="n"/>
      <c r="Q839" s="47" t="n">
        <v>7700</v>
      </c>
      <c r="R839" s="43">
        <f>IF($B839="","",N($S839)-N($Q839))</f>
        <v/>
      </c>
      <c r="S839" s="43">
        <f>IF($B839="","",N($L839)+N($N839)+N($P839))</f>
        <v/>
      </c>
      <c r="T839" s="47" t="n"/>
      <c r="U839" s="47" t="n"/>
      <c r="V839" s="47" t="n"/>
      <c r="W839" s="47" t="n"/>
      <c r="X839" s="47" t="n"/>
      <c r="Y839" s="47" t="n"/>
      <c r="Z839" s="47" t="n"/>
      <c r="AA839" s="47" t="n"/>
      <c r="AB839" s="47" t="n"/>
      <c r="AC839" s="47" t="n"/>
      <c r="AD839" s="47" t="n"/>
      <c r="AE839" s="47" t="n"/>
      <c r="AF839" s="43">
        <f>IF($B839="","",SUM($T839:$AE839))</f>
        <v/>
      </c>
      <c r="AG839" s="43">
        <f>IF($B839="","",N($M839)-N($AF839))</f>
        <v/>
      </c>
      <c r="AH839" s="43">
        <f>IF($B839="","",N($L839)-N($AF839))</f>
        <v/>
      </c>
      <c r="AI839" s="149">
        <f>IF($B839="","",IF(N($L839)=0,"",(N($L839)-N($AF839))/N($L839)))</f>
        <v/>
      </c>
    </row>
    <row r="840">
      <c r="A840" s="39">
        <f>IF($B840="","",COUNTA($B$4:$B840))</f>
        <v/>
      </c>
      <c r="B840" s="40" t="n">
        <v>46124</v>
      </c>
      <c r="C840" s="41" t="n">
        <v>2439</v>
      </c>
      <c r="D840" s="41" t="inlineStr">
        <is>
          <t>استوريا خ</t>
        </is>
      </c>
      <c r="E840" s="41" t="inlineStr">
        <is>
          <t>1*40</t>
        </is>
      </c>
      <c r="F840" s="41" t="inlineStr">
        <is>
          <t>نيو بيبى</t>
        </is>
      </c>
      <c r="G840" s="41" t="inlineStr">
        <is>
          <t xml:space="preserve">العاشر </t>
        </is>
      </c>
      <c r="H840" s="41" t="inlineStr">
        <is>
          <t>410506/1</t>
        </is>
      </c>
      <c r="I840" s="41" t="inlineStr">
        <is>
          <t>ص ع ا 5139</t>
        </is>
      </c>
      <c r="J840" s="41" t="inlineStr">
        <is>
          <t xml:space="preserve">السيد شحاتة </t>
        </is>
      </c>
      <c r="K840" s="41" t="inlineStr">
        <is>
          <t>استوريا</t>
        </is>
      </c>
      <c r="L840" s="42" t="n">
        <v>15500</v>
      </c>
      <c r="M840" s="42" t="n">
        <v>8100</v>
      </c>
      <c r="N840" s="42" t="n"/>
      <c r="O840" s="42" t="n">
        <v>200</v>
      </c>
      <c r="P840" s="42" t="n"/>
      <c r="Q840" s="42" t="n">
        <v>7200</v>
      </c>
      <c r="R840" s="43">
        <f>IF($B840="","",N($S840)-N($Q840))</f>
        <v/>
      </c>
      <c r="S840" s="43">
        <f>IF($B840="","",N($L840)+N($N840)+N($P840))</f>
        <v/>
      </c>
      <c r="T840" s="42" t="n"/>
      <c r="U840" s="42" t="n"/>
      <c r="V840" s="42" t="n"/>
      <c r="W840" s="42" t="n"/>
      <c r="X840" s="42" t="n"/>
      <c r="Y840" s="42" t="n"/>
      <c r="Z840" s="42" t="n"/>
      <c r="AA840" s="42" t="n"/>
      <c r="AB840" s="42" t="n"/>
      <c r="AC840" s="42" t="n"/>
      <c r="AD840" s="42" t="n"/>
      <c r="AE840" s="42" t="n"/>
      <c r="AF840" s="43">
        <f>IF($B840="","",SUM($T840:$AE840))</f>
        <v/>
      </c>
      <c r="AG840" s="43">
        <f>IF($B840="","",N($M840)-N($AF840))</f>
        <v/>
      </c>
      <c r="AH840" s="43">
        <f>IF($B840="","",N($L840)-N($AF840))</f>
        <v/>
      </c>
      <c r="AI840" s="149">
        <f>IF($B840="","",IF(N($L840)=0,"",(N($L840)-N($AF840))/N($L840)))</f>
        <v/>
      </c>
    </row>
    <row r="841">
      <c r="A841" s="39">
        <f>IF($B841="","",COUNTA($B$4:$B841))</f>
        <v/>
      </c>
      <c r="B841" s="45" t="n">
        <v>46124</v>
      </c>
      <c r="C841" s="46" t="n">
        <v>2438</v>
      </c>
      <c r="D841" s="46" t="inlineStr">
        <is>
          <t>استوريا خ</t>
        </is>
      </c>
      <c r="E841" s="46" t="inlineStr">
        <is>
          <t>1*40</t>
        </is>
      </c>
      <c r="F841" s="46" t="inlineStr">
        <is>
          <t>نيو بيبى</t>
        </is>
      </c>
      <c r="G841" s="46" t="inlineStr">
        <is>
          <t>العاشر</t>
        </is>
      </c>
      <c r="H841" s="46" t="inlineStr">
        <is>
          <t>410356/2</t>
        </is>
      </c>
      <c r="I841" s="46" t="inlineStr">
        <is>
          <t>ب و ا 5761</t>
        </is>
      </c>
      <c r="J841" s="46" t="inlineStr">
        <is>
          <t xml:space="preserve">احمد السيد </t>
        </is>
      </c>
      <c r="K841" s="46" t="inlineStr">
        <is>
          <t>استوريا</t>
        </is>
      </c>
      <c r="L841" s="47" t="n">
        <v>15500</v>
      </c>
      <c r="M841" s="47" t="n">
        <v>8100</v>
      </c>
      <c r="N841" s="47" t="n"/>
      <c r="O841" s="47" t="n">
        <v>200</v>
      </c>
      <c r="P841" s="47" t="n"/>
      <c r="Q841" s="47" t="n">
        <v>7200</v>
      </c>
      <c r="R841" s="43">
        <f>IF($B841="","",N($S841)-N($Q841))</f>
        <v/>
      </c>
      <c r="S841" s="43">
        <f>IF($B841="","",N($L841)+N($N841)+N($P841))</f>
        <v/>
      </c>
      <c r="T841" s="47" t="n"/>
      <c r="U841" s="47" t="n"/>
      <c r="V841" s="47" t="n"/>
      <c r="W841" s="47" t="n"/>
      <c r="X841" s="47" t="n"/>
      <c r="Y841" s="47" t="n"/>
      <c r="Z841" s="47" t="n"/>
      <c r="AA841" s="47" t="n"/>
      <c r="AB841" s="47" t="n"/>
      <c r="AC841" s="47" t="n"/>
      <c r="AD841" s="47" t="n"/>
      <c r="AE841" s="47" t="n"/>
      <c r="AF841" s="43">
        <f>IF($B841="","",SUM($T841:$AE841))</f>
        <v/>
      </c>
      <c r="AG841" s="43">
        <f>IF($B841="","",N($M841)-N($AF841))</f>
        <v/>
      </c>
      <c r="AH841" s="43">
        <f>IF($B841="","",N($L841)-N($AF841))</f>
        <v/>
      </c>
      <c r="AI841" s="149">
        <f>IF($B841="","",IF(N($L841)=0,"",(N($L841)-N($AF841))/N($L841)))</f>
        <v/>
      </c>
    </row>
    <row r="842">
      <c r="A842" s="39">
        <f>IF($B842="","",COUNTA($B$4:$B842))</f>
        <v/>
      </c>
      <c r="B842" s="40" t="n">
        <v>46124</v>
      </c>
      <c r="C842" s="41" t="n">
        <v>2437</v>
      </c>
      <c r="D842" s="41" t="inlineStr">
        <is>
          <t>استوريا خ</t>
        </is>
      </c>
      <c r="E842" s="41" t="inlineStr">
        <is>
          <t>1*40</t>
        </is>
      </c>
      <c r="F842" s="41" t="inlineStr">
        <is>
          <t>نيو بيبى</t>
        </is>
      </c>
      <c r="G842" s="41" t="inlineStr">
        <is>
          <t>العاشر</t>
        </is>
      </c>
      <c r="H842" s="41" t="inlineStr">
        <is>
          <t>105760/9</t>
        </is>
      </c>
      <c r="I842" s="41" t="inlineStr">
        <is>
          <t>ب ج ط 3417</t>
        </is>
      </c>
      <c r="J842" s="41" t="inlineStr">
        <is>
          <t xml:space="preserve">محمد الشريدى </t>
        </is>
      </c>
      <c r="K842" s="41" t="inlineStr">
        <is>
          <t>استوريا</t>
        </is>
      </c>
      <c r="L842" s="42" t="n">
        <v>15500</v>
      </c>
      <c r="M842" s="42" t="n">
        <v>8100</v>
      </c>
      <c r="N842" s="42" t="n"/>
      <c r="O842" s="42" t="n">
        <v>200</v>
      </c>
      <c r="P842" s="42" t="n"/>
      <c r="Q842" s="42" t="n">
        <v>7200</v>
      </c>
      <c r="R842" s="43">
        <f>IF($B842="","",N($S842)-N($Q842))</f>
        <v/>
      </c>
      <c r="S842" s="43">
        <f>IF($B842="","",N($L842)+N($N842)+N($P842))</f>
        <v/>
      </c>
      <c r="T842" s="42" t="n"/>
      <c r="U842" s="42" t="n"/>
      <c r="V842" s="42" t="n"/>
      <c r="W842" s="42" t="n"/>
      <c r="X842" s="42" t="n"/>
      <c r="Y842" s="42" t="n"/>
      <c r="Z842" s="42" t="n"/>
      <c r="AA842" s="42" t="n"/>
      <c r="AB842" s="42" t="n"/>
      <c r="AC842" s="42" t="n"/>
      <c r="AD842" s="42" t="n"/>
      <c r="AE842" s="42" t="n"/>
      <c r="AF842" s="43">
        <f>IF($B842="","",SUM($T842:$AE842))</f>
        <v/>
      </c>
      <c r="AG842" s="43">
        <f>IF($B842="","",N($M842)-N($AF842))</f>
        <v/>
      </c>
      <c r="AH842" s="43">
        <f>IF($B842="","",N($L842)-N($AF842))</f>
        <v/>
      </c>
      <c r="AI842" s="149">
        <f>IF($B842="","",IF(N($L842)=0,"",(N($L842)-N($AF842))/N($L842)))</f>
        <v/>
      </c>
    </row>
    <row r="843">
      <c r="A843" s="39">
        <f>IF($B843="","",COUNTA($B$4:$B843))</f>
        <v/>
      </c>
      <c r="B843" s="45" t="n">
        <v>46124</v>
      </c>
      <c r="C843" s="46" t="n">
        <v>2233</v>
      </c>
      <c r="D843" s="46" t="inlineStr">
        <is>
          <t xml:space="preserve">الانصارى </t>
        </is>
      </c>
      <c r="E843" s="46" t="inlineStr">
        <is>
          <t>1*40</t>
        </is>
      </c>
      <c r="F843" s="46" t="inlineStr">
        <is>
          <t xml:space="preserve">جلوبال جرين </t>
        </is>
      </c>
      <c r="G843" s="46" t="inlineStr">
        <is>
          <t xml:space="preserve">الفيوم </t>
        </is>
      </c>
      <c r="H843" s="46" t="inlineStr">
        <is>
          <t>659719/1</t>
        </is>
      </c>
      <c r="I843" s="46" t="inlineStr">
        <is>
          <t>ب ص ا 2574</t>
        </is>
      </c>
      <c r="J843" s="46" t="inlineStr">
        <is>
          <t xml:space="preserve">محمد البحيرى </t>
        </is>
      </c>
      <c r="K843" s="46" t="inlineStr">
        <is>
          <t xml:space="preserve">احمد خليف </t>
        </is>
      </c>
      <c r="L843" s="47" t="n">
        <v>18500</v>
      </c>
      <c r="M843" s="47" t="n">
        <v>9100</v>
      </c>
      <c r="N843" s="47" t="n"/>
      <c r="O843" s="47" t="n">
        <v>200</v>
      </c>
      <c r="P843" s="47" t="n"/>
      <c r="Q843" s="47" t="n">
        <v>9200</v>
      </c>
      <c r="R843" s="43">
        <f>IF($B843="","",N($S843)-N($Q843))</f>
        <v/>
      </c>
      <c r="S843" s="43">
        <f>IF($B843="","",N($L843)+N($N843)+N($P843))</f>
        <v/>
      </c>
      <c r="T843" s="47" t="n"/>
      <c r="U843" s="47" t="n"/>
      <c r="V843" s="47" t="n"/>
      <c r="W843" s="47" t="n"/>
      <c r="X843" s="47" t="n"/>
      <c r="Y843" s="47" t="n"/>
      <c r="Z843" s="47" t="n"/>
      <c r="AA843" s="47" t="n"/>
      <c r="AB843" s="47" t="n"/>
      <c r="AC843" s="47" t="n"/>
      <c r="AD843" s="47" t="n"/>
      <c r="AE843" s="47" t="n"/>
      <c r="AF843" s="43">
        <f>IF($B843="","",SUM($T843:$AE843))</f>
        <v/>
      </c>
      <c r="AG843" s="43">
        <f>IF($B843="","",N($M843)-N($AF843))</f>
        <v/>
      </c>
      <c r="AH843" s="43">
        <f>IF($B843="","",N($L843)-N($AF843))</f>
        <v/>
      </c>
      <c r="AI843" s="149">
        <f>IF($B843="","",IF(N($L843)=0,"",(N($L843)-N($AF843))/N($L843)))</f>
        <v/>
      </c>
    </row>
    <row r="844">
      <c r="A844" s="39">
        <f>IF($B844="","",COUNTA($B$4:$B844))</f>
        <v/>
      </c>
      <c r="B844" s="40" t="n">
        <v>46124</v>
      </c>
      <c r="C844" s="41" t="n">
        <v>2231</v>
      </c>
      <c r="D844" s="41" t="inlineStr">
        <is>
          <t xml:space="preserve">محمد يحى </t>
        </is>
      </c>
      <c r="E844" s="41" t="inlineStr">
        <is>
          <t>1*40 ث</t>
        </is>
      </c>
      <c r="F844" s="41" t="inlineStr">
        <is>
          <t xml:space="preserve">هيتاك </t>
        </is>
      </c>
      <c r="G844" s="41" t="inlineStr">
        <is>
          <t xml:space="preserve">السادات </t>
        </is>
      </c>
      <c r="H844" s="41" t="inlineStr">
        <is>
          <t>104178/3</t>
        </is>
      </c>
      <c r="I844" s="41" t="inlineStr">
        <is>
          <t>ع ر ب 1573</t>
        </is>
      </c>
      <c r="J844" s="41" t="inlineStr">
        <is>
          <t xml:space="preserve">محمد السيد </t>
        </is>
      </c>
      <c r="K844" s="41" t="inlineStr">
        <is>
          <t xml:space="preserve">حمو مرزوق </t>
        </is>
      </c>
      <c r="L844" s="42" t="n">
        <v>15000</v>
      </c>
      <c r="M844" s="42" t="n">
        <v>8100</v>
      </c>
      <c r="N844" s="42" t="n"/>
      <c r="O844" s="42" t="n">
        <v>200</v>
      </c>
      <c r="P844" s="42" t="n"/>
      <c r="Q844" s="42" t="n">
        <v>6700</v>
      </c>
      <c r="R844" s="43">
        <f>IF($B844="","",N($S844)-N($Q844))</f>
        <v/>
      </c>
      <c r="S844" s="43">
        <f>IF($B844="","",N($L844)+N($N844)+N($P844))</f>
        <v/>
      </c>
      <c r="T844" s="42" t="n"/>
      <c r="U844" s="42" t="n"/>
      <c r="V844" s="42" t="n"/>
      <c r="W844" s="42" t="n"/>
      <c r="X844" s="42" t="n"/>
      <c r="Y844" s="42" t="n"/>
      <c r="Z844" s="42" t="n"/>
      <c r="AA844" s="42" t="n"/>
      <c r="AB844" s="42" t="n"/>
      <c r="AC844" s="42" t="n"/>
      <c r="AD844" s="42" t="n"/>
      <c r="AE844" s="42" t="n"/>
      <c r="AF844" s="43">
        <f>IF($B844="","",SUM($T844:$AE844))</f>
        <v/>
      </c>
      <c r="AG844" s="43">
        <f>IF($B844="","",N($M844)-N($AF844))</f>
        <v/>
      </c>
      <c r="AH844" s="43">
        <f>IF($B844="","",N($L844)-N($AF844))</f>
        <v/>
      </c>
      <c r="AI844" s="149">
        <f>IF($B844="","",IF(N($L844)=0,"",(N($L844)-N($AF844))/N($L844)))</f>
        <v/>
      </c>
    </row>
    <row r="845">
      <c r="A845" s="39">
        <f>IF($B845="","",COUNTA($B$4:$B845))</f>
        <v/>
      </c>
      <c r="B845" s="45" t="n">
        <v>46124</v>
      </c>
      <c r="C845" s="46" t="n">
        <v>2232</v>
      </c>
      <c r="D845" s="46" t="inlineStr">
        <is>
          <t>عتريس مخيمر  خ</t>
        </is>
      </c>
      <c r="E845" s="46" t="inlineStr">
        <is>
          <t>1*40 ث</t>
        </is>
      </c>
      <c r="F845" s="46" t="inlineStr">
        <is>
          <t xml:space="preserve">الفرسان </t>
        </is>
      </c>
      <c r="G845" s="46" t="inlineStr">
        <is>
          <t xml:space="preserve">اكتوبر </t>
        </is>
      </c>
      <c r="H845" s="46" t="inlineStr">
        <is>
          <t>570881/8</t>
        </is>
      </c>
      <c r="I845" s="46" t="inlineStr">
        <is>
          <t>ط ف ر 1474</t>
        </is>
      </c>
      <c r="J845" s="46" t="inlineStr">
        <is>
          <t xml:space="preserve">جمال على </t>
        </is>
      </c>
      <c r="K845" s="46" t="inlineStr">
        <is>
          <t xml:space="preserve">كريم خليف </t>
        </is>
      </c>
      <c r="L845" s="47" t="n">
        <v>15500</v>
      </c>
      <c r="M845" s="47" t="n">
        <v>8100</v>
      </c>
      <c r="N845" s="47" t="n"/>
      <c r="O845" s="47" t="n">
        <v>200</v>
      </c>
      <c r="P845" s="47" t="n"/>
      <c r="Q845" s="47" t="n">
        <v>7200</v>
      </c>
      <c r="R845" s="43">
        <f>IF($B845="","",N($S845)-N($Q845))</f>
        <v/>
      </c>
      <c r="S845" s="43">
        <f>IF($B845="","",N($L845)+N($N845)+N($P845))</f>
        <v/>
      </c>
      <c r="T845" s="47" t="n"/>
      <c r="U845" s="47" t="n"/>
      <c r="V845" s="47" t="n"/>
      <c r="W845" s="47" t="n"/>
      <c r="X845" s="47" t="n"/>
      <c r="Y845" s="47" t="n"/>
      <c r="Z845" s="47" t="n"/>
      <c r="AA845" s="47" t="n"/>
      <c r="AB845" s="47" t="n"/>
      <c r="AC845" s="47" t="n"/>
      <c r="AD845" s="47" t="n"/>
      <c r="AE845" s="47" t="n"/>
      <c r="AF845" s="43">
        <f>IF($B845="","",SUM($T845:$AE845))</f>
        <v/>
      </c>
      <c r="AG845" s="43">
        <f>IF($B845="","",N($M845)-N($AF845))</f>
        <v/>
      </c>
      <c r="AH845" s="43">
        <f>IF($B845="","",N($L845)-N($AF845))</f>
        <v/>
      </c>
      <c r="AI845" s="149">
        <f>IF($B845="","",IF(N($L845)=0,"",(N($L845)-N($AF845))/N($L845)))</f>
        <v/>
      </c>
    </row>
    <row r="846">
      <c r="A846" s="39">
        <f>IF($B846="","",COUNTA($B$4:$B846))</f>
        <v/>
      </c>
      <c r="B846" s="40" t="n">
        <v>46124</v>
      </c>
      <c r="C846" s="41" t="n">
        <v>2234</v>
      </c>
      <c r="D846" s="41" t="inlineStr">
        <is>
          <t>المكتب</t>
        </is>
      </c>
      <c r="E846" s="41" t="inlineStr">
        <is>
          <t>1*40</t>
        </is>
      </c>
      <c r="F846" s="41" t="inlineStr">
        <is>
          <t xml:space="preserve">يونايتد باك </t>
        </is>
      </c>
      <c r="G846" s="41" t="inlineStr">
        <is>
          <t xml:space="preserve">اكتوبر </t>
        </is>
      </c>
      <c r="H846" s="41" t="inlineStr">
        <is>
          <t>404523/6</t>
        </is>
      </c>
      <c r="I846" s="41" t="inlineStr">
        <is>
          <t>س ع م 8737</t>
        </is>
      </c>
      <c r="J846" s="41" t="inlineStr">
        <is>
          <t xml:space="preserve">محمود المصرى </t>
        </is>
      </c>
      <c r="K846" s="41" t="inlineStr">
        <is>
          <t xml:space="preserve">المكتب </t>
        </is>
      </c>
      <c r="L846" s="42" t="n">
        <v>13500</v>
      </c>
      <c r="M846" s="42" t="n">
        <v>7000</v>
      </c>
      <c r="N846" s="42" t="n"/>
      <c r="O846" s="42" t="n"/>
      <c r="P846" s="42" t="n"/>
      <c r="Q846" s="42" t="n">
        <v>6500</v>
      </c>
      <c r="R846" s="43">
        <f>IF($B846="","",N($S846)-N($Q846))</f>
        <v/>
      </c>
      <c r="S846" s="43">
        <f>IF($B846="","",N($L846)+N($N846)+N($P846))</f>
        <v/>
      </c>
      <c r="T846" s="42" t="n">
        <v>1500</v>
      </c>
      <c r="U846" s="42" t="n">
        <v>700</v>
      </c>
      <c r="V846" s="42" t="n"/>
      <c r="W846" s="42" t="n">
        <v>200</v>
      </c>
      <c r="X846" s="42" t="n">
        <v>170</v>
      </c>
      <c r="Y846" s="42" t="n">
        <v>135</v>
      </c>
      <c r="Z846" s="42" t="n"/>
      <c r="AA846" s="42" t="n"/>
      <c r="AB846" s="42" t="n"/>
      <c r="AC846" s="42" t="n">
        <v>70</v>
      </c>
      <c r="AD846" s="42" t="n">
        <v>800</v>
      </c>
      <c r="AE846" s="42" t="n">
        <v>6210</v>
      </c>
      <c r="AF846" s="43">
        <f>IF($B846="","",SUM($T846:$AE846))</f>
        <v/>
      </c>
      <c r="AG846" s="43">
        <f>IF($B846="","",N($M846)-N($AF846))</f>
        <v/>
      </c>
      <c r="AH846" s="43">
        <f>IF($B846="","",N($L846)-N($AF846))</f>
        <v/>
      </c>
      <c r="AI846" s="149">
        <f>IF($B846="","",IF(N($L846)=0,"",(N($L846)-N($AF846))/N($L846)))</f>
        <v/>
      </c>
    </row>
    <row r="847">
      <c r="A847" s="39">
        <f>IF($B847="","",COUNTA($B$4:$B847))</f>
        <v/>
      </c>
      <c r="B847" s="45" t="n">
        <v>46124</v>
      </c>
      <c r="C847" s="46" t="n">
        <v>2228</v>
      </c>
      <c r="D847" s="46" t="inlineStr">
        <is>
          <t xml:space="preserve">هاشم </t>
        </is>
      </c>
      <c r="E847" s="46" t="inlineStr">
        <is>
          <t>1*20</t>
        </is>
      </c>
      <c r="F847" s="46" t="inlineStr">
        <is>
          <t xml:space="preserve">جولدن فيو </t>
        </is>
      </c>
      <c r="G847" s="46" t="inlineStr">
        <is>
          <t>مينا القمح</t>
        </is>
      </c>
      <c r="H847" s="46" t="inlineStr">
        <is>
          <t>284718/1</t>
        </is>
      </c>
      <c r="I847" s="46" t="inlineStr">
        <is>
          <t>ب د م 1389</t>
        </is>
      </c>
      <c r="J847" s="46" t="inlineStr">
        <is>
          <t xml:space="preserve">احمد عبد المنعم </t>
        </is>
      </c>
      <c r="K847" s="46" t="inlineStr">
        <is>
          <t xml:space="preserve">اوبرا </t>
        </is>
      </c>
      <c r="L847" s="47" t="n">
        <v>12500</v>
      </c>
      <c r="M847" s="47" t="n">
        <v>7100</v>
      </c>
      <c r="N847" s="47" t="n"/>
      <c r="O847" s="47" t="n">
        <v>200</v>
      </c>
      <c r="P847" s="47" t="n"/>
      <c r="Q847" s="47" t="n">
        <v>5200</v>
      </c>
      <c r="R847" s="43">
        <f>IF($B847="","",N($S847)-N($Q847))</f>
        <v/>
      </c>
      <c r="S847" s="43">
        <f>IF($B847="","",N($L847)+N($N847)+N($P847))</f>
        <v/>
      </c>
      <c r="T847" s="47" t="n"/>
      <c r="U847" s="47" t="n"/>
      <c r="V847" s="47" t="n"/>
      <c r="W847" s="47" t="n"/>
      <c r="X847" s="47" t="n"/>
      <c r="Y847" s="47" t="n"/>
      <c r="Z847" s="47" t="n"/>
      <c r="AA847" s="47" t="n"/>
      <c r="AB847" s="47" t="n"/>
      <c r="AC847" s="47" t="n"/>
      <c r="AD847" s="47" t="n"/>
      <c r="AE847" s="47" t="n"/>
      <c r="AF847" s="43">
        <f>IF($B847="","",SUM($T847:$AE847))</f>
        <v/>
      </c>
      <c r="AG847" s="43">
        <f>IF($B847="","",N($M847)-N($AF847))</f>
        <v/>
      </c>
      <c r="AH847" s="43">
        <f>IF($B847="","",N($L847)-N($AF847))</f>
        <v/>
      </c>
      <c r="AI847" s="149">
        <f>IF($B847="","",IF(N($L847)=0,"",(N($L847)-N($AF847))/N($L847)))</f>
        <v/>
      </c>
    </row>
    <row r="848">
      <c r="A848" s="39">
        <f>IF($B848="","",COUNTA($B$4:$B848))</f>
        <v/>
      </c>
      <c r="B848" s="40" t="n">
        <v>46124</v>
      </c>
      <c r="C848" s="41" t="n">
        <v>2229</v>
      </c>
      <c r="D848" s="41" t="inlineStr">
        <is>
          <t>الشريف خ</t>
        </is>
      </c>
      <c r="E848" s="41" t="inlineStr">
        <is>
          <t>2*20</t>
        </is>
      </c>
      <c r="F848" s="41" t="inlineStr">
        <is>
          <t xml:space="preserve">سينجر </t>
        </is>
      </c>
      <c r="G848" s="41" t="inlineStr">
        <is>
          <t xml:space="preserve">الصف </t>
        </is>
      </c>
      <c r="H848" s="41" t="inlineStr">
        <is>
          <t>315096/6-634407/1</t>
        </is>
      </c>
      <c r="I848" s="41" t="inlineStr">
        <is>
          <t>ب ر ط 1726</t>
        </is>
      </c>
      <c r="J848" s="41" t="inlineStr">
        <is>
          <t xml:space="preserve">ابراهيم الميت </t>
        </is>
      </c>
      <c r="K848" s="41" t="inlineStr">
        <is>
          <t xml:space="preserve">الميت </t>
        </is>
      </c>
      <c r="L848" s="42" t="n">
        <v>25000</v>
      </c>
      <c r="M848" s="42" t="n">
        <v>12100</v>
      </c>
      <c r="N848" s="42" t="n"/>
      <c r="O848" s="42" t="n">
        <v>200</v>
      </c>
      <c r="P848" s="42" t="n"/>
      <c r="Q848" s="42" t="n">
        <v>12700</v>
      </c>
      <c r="R848" s="43">
        <f>IF($B848="","",N($S848)-N($Q848))</f>
        <v/>
      </c>
      <c r="S848" s="43">
        <f>IF($B848="","",N($L848)+N($N848)+N($P848))</f>
        <v/>
      </c>
      <c r="T848" s="42" t="n"/>
      <c r="U848" s="42" t="n"/>
      <c r="V848" s="42" t="n"/>
      <c r="W848" s="42" t="n"/>
      <c r="X848" s="42" t="n"/>
      <c r="Y848" s="42" t="n"/>
      <c r="Z848" s="42" t="n"/>
      <c r="AA848" s="42" t="n"/>
      <c r="AB848" s="42" t="n"/>
      <c r="AC848" s="42" t="n"/>
      <c r="AD848" s="42" t="n"/>
      <c r="AE848" s="42" t="n"/>
      <c r="AF848" s="43">
        <f>IF($B848="","",SUM($T848:$AE848))</f>
        <v/>
      </c>
      <c r="AG848" s="43">
        <f>IF($B848="","",N($M848)-N($AF848))</f>
        <v/>
      </c>
      <c r="AH848" s="43">
        <f>IF($B848="","",N($L848)-N($AF848))</f>
        <v/>
      </c>
      <c r="AI848" s="149">
        <f>IF($B848="","",IF(N($L848)=0,"",(N($L848)-N($AF848))/N($L848)))</f>
        <v/>
      </c>
    </row>
    <row r="849">
      <c r="A849" s="39">
        <f>IF($B849="","",COUNTA($B$4:$B849))</f>
        <v/>
      </c>
      <c r="B849" s="45" t="n">
        <v>46124</v>
      </c>
      <c r="C849" s="46" t="n">
        <v>2230</v>
      </c>
      <c r="D849" s="46" t="inlineStr">
        <is>
          <t>الشريف خ</t>
        </is>
      </c>
      <c r="E849" s="46" t="inlineStr">
        <is>
          <t>2*20</t>
        </is>
      </c>
      <c r="F849" s="46" t="inlineStr">
        <is>
          <t xml:space="preserve">سينجر </t>
        </is>
      </c>
      <c r="G849" s="46" t="inlineStr">
        <is>
          <t>الصف</t>
        </is>
      </c>
      <c r="H849" s="46" t="inlineStr">
        <is>
          <t>187532/6-247705/0</t>
        </is>
      </c>
      <c r="I849" s="46" t="inlineStr">
        <is>
          <t>ب ط ع 3576</t>
        </is>
      </c>
      <c r="J849" s="46" t="inlineStr">
        <is>
          <t xml:space="preserve">محمد مبروك </t>
        </is>
      </c>
      <c r="K849" s="46" t="inlineStr">
        <is>
          <t xml:space="preserve">الميت </t>
        </is>
      </c>
      <c r="L849" s="47" t="n">
        <v>25000</v>
      </c>
      <c r="M849" s="47" t="n">
        <v>12100</v>
      </c>
      <c r="N849" s="47" t="n"/>
      <c r="O849" s="47" t="n">
        <v>200</v>
      </c>
      <c r="P849" s="47" t="n"/>
      <c r="Q849" s="47" t="n">
        <v>12700</v>
      </c>
      <c r="R849" s="43">
        <f>IF($B849="","",N($S849)-N($Q849))</f>
        <v/>
      </c>
      <c r="S849" s="43">
        <f>IF($B849="","",N($L849)+N($N849)+N($P849))</f>
        <v/>
      </c>
      <c r="T849" s="47" t="n"/>
      <c r="U849" s="47" t="n"/>
      <c r="V849" s="47" t="n"/>
      <c r="W849" s="47" t="n"/>
      <c r="X849" s="47" t="n"/>
      <c r="Y849" s="47" t="n"/>
      <c r="Z849" s="47" t="n"/>
      <c r="AA849" s="47" t="n"/>
      <c r="AB849" s="47" t="n"/>
      <c r="AC849" s="47" t="n"/>
      <c r="AD849" s="47" t="n"/>
      <c r="AE849" s="47" t="n"/>
      <c r="AF849" s="43">
        <f>IF($B849="","",SUM($T849:$AE849))</f>
        <v/>
      </c>
      <c r="AG849" s="43">
        <f>IF($B849="","",N($M849)-N($AF849))</f>
        <v/>
      </c>
      <c r="AH849" s="43">
        <f>IF($B849="","",N($L849)-N($AF849))</f>
        <v/>
      </c>
      <c r="AI849" s="149">
        <f>IF($B849="","",IF(N($L849)=0,"",(N($L849)-N($AF849))/N($L849)))</f>
        <v/>
      </c>
    </row>
    <row r="850">
      <c r="A850" s="39">
        <f>IF($B850="","",COUNTA($B$4:$B850))</f>
        <v/>
      </c>
      <c r="B850" s="40" t="n">
        <v>46125</v>
      </c>
      <c r="C850" s="41" t="n">
        <v>2447</v>
      </c>
      <c r="D850" s="41" t="inlineStr">
        <is>
          <t>صعيدى 4</t>
        </is>
      </c>
      <c r="E850" s="41" t="inlineStr">
        <is>
          <t>2*20</t>
        </is>
      </c>
      <c r="F850" s="41" t="inlineStr">
        <is>
          <t xml:space="preserve">الدولية للفحم </t>
        </is>
      </c>
      <c r="G850" s="41" t="inlineStr">
        <is>
          <t>برج العرب</t>
        </is>
      </c>
      <c r="H850" s="41" t="inlineStr">
        <is>
          <t>528204/4-105418/4</t>
        </is>
      </c>
      <c r="I850" s="41" t="inlineStr">
        <is>
          <t>س ن ف 5149</t>
        </is>
      </c>
      <c r="J850" s="41" t="inlineStr">
        <is>
          <t>وليد عبد العزيز</t>
        </is>
      </c>
      <c r="K850" s="41" t="inlineStr">
        <is>
          <t xml:space="preserve">محمد الصعيدى </t>
        </is>
      </c>
      <c r="L850" s="42" t="n">
        <v>11000</v>
      </c>
      <c r="M850" s="42" t="n">
        <v>5100</v>
      </c>
      <c r="N850" s="42" t="n"/>
      <c r="O850" s="42" t="n"/>
      <c r="P850" s="42" t="n"/>
      <c r="Q850" s="42" t="n">
        <v>5900</v>
      </c>
      <c r="R850" s="43">
        <f>IF($B850="","",N($S850)-N($Q850))</f>
        <v/>
      </c>
      <c r="S850" s="43">
        <f>IF($B850="","",N($L850)+N($N850)+N($P850))</f>
        <v/>
      </c>
      <c r="T850" s="42" t="n"/>
      <c r="U850" s="42" t="n"/>
      <c r="V850" s="42" t="n"/>
      <c r="W850" s="42" t="n"/>
      <c r="X850" s="42" t="n"/>
      <c r="Y850" s="42" t="n"/>
      <c r="Z850" s="42" t="n"/>
      <c r="AA850" s="42" t="n"/>
      <c r="AB850" s="42" t="n"/>
      <c r="AC850" s="42" t="n"/>
      <c r="AD850" s="42" t="n"/>
      <c r="AE850" s="42" t="n"/>
      <c r="AF850" s="43">
        <f>IF($B850="","",SUM($T850:$AE850))</f>
        <v/>
      </c>
      <c r="AG850" s="43">
        <f>IF($B850="","",N($M850)-N($AF850))</f>
        <v/>
      </c>
      <c r="AH850" s="43">
        <f>IF($B850="","",N($L850)-N($AF850))</f>
        <v/>
      </c>
      <c r="AI850" s="149">
        <f>IF($B850="","",IF(N($L850)=0,"",(N($L850)-N($AF850))/N($L850)))</f>
        <v/>
      </c>
    </row>
    <row r="851">
      <c r="A851" s="39">
        <f>IF($B851="","",COUNTA($B$4:$B851))</f>
        <v/>
      </c>
      <c r="B851" s="45" t="n">
        <v>46125</v>
      </c>
      <c r="C851" s="46" t="n">
        <v>2448</v>
      </c>
      <c r="D851" s="46" t="inlineStr">
        <is>
          <t>صعيدى 4</t>
        </is>
      </c>
      <c r="E851" s="46" t="inlineStr">
        <is>
          <t>2*20</t>
        </is>
      </c>
      <c r="F851" s="46" t="inlineStr">
        <is>
          <t xml:space="preserve">الدولية للفحم </t>
        </is>
      </c>
      <c r="G851" s="46" t="inlineStr">
        <is>
          <t>برج العرب</t>
        </is>
      </c>
      <c r="H851" s="46" t="inlineStr">
        <is>
          <t>396783/8-277769/8</t>
        </is>
      </c>
      <c r="I851" s="46" t="inlineStr">
        <is>
          <t>س ف ب 3176</t>
        </is>
      </c>
      <c r="J851" s="46" t="inlineStr">
        <is>
          <t xml:space="preserve">السيد عبد العزيز </t>
        </is>
      </c>
      <c r="K851" s="46" t="inlineStr">
        <is>
          <t xml:space="preserve">محمد الصعيدى </t>
        </is>
      </c>
      <c r="L851" s="47" t="n">
        <v>11000</v>
      </c>
      <c r="M851" s="47" t="n">
        <v>5100</v>
      </c>
      <c r="N851" s="47" t="n"/>
      <c r="O851" s="47" t="n"/>
      <c r="P851" s="47" t="n"/>
      <c r="Q851" s="47" t="n">
        <v>5900</v>
      </c>
      <c r="R851" s="43">
        <f>IF($B851="","",N($S851)-N($Q851))</f>
        <v/>
      </c>
      <c r="S851" s="43">
        <f>IF($B851="","",N($L851)+N($N851)+N($P851))</f>
        <v/>
      </c>
      <c r="T851" s="47" t="n"/>
      <c r="U851" s="47" t="n"/>
      <c r="V851" s="47" t="n"/>
      <c r="W851" s="47" t="n"/>
      <c r="X851" s="47" t="n"/>
      <c r="Y851" s="47" t="n"/>
      <c r="Z851" s="47" t="n"/>
      <c r="AA851" s="47" t="n"/>
      <c r="AB851" s="47" t="n"/>
      <c r="AC851" s="47" t="n"/>
      <c r="AD851" s="47" t="n"/>
      <c r="AE851" s="47" t="n"/>
      <c r="AF851" s="43">
        <f>IF($B851="","",SUM($T851:$AE851))</f>
        <v/>
      </c>
      <c r="AG851" s="43">
        <f>IF($B851="","",N($M851)-N($AF851))</f>
        <v/>
      </c>
      <c r="AH851" s="43">
        <f>IF($B851="","",N($L851)-N($AF851))</f>
        <v/>
      </c>
      <c r="AI851" s="149">
        <f>IF($B851="","",IF(N($L851)=0,"",(N($L851)-N($AF851))/N($L851)))</f>
        <v/>
      </c>
    </row>
    <row r="852">
      <c r="A852" s="39">
        <f>IF($B852="","",COUNTA($B$4:$B852))</f>
        <v/>
      </c>
      <c r="B852" s="40" t="n">
        <v>46125</v>
      </c>
      <c r="C852" s="41" t="n">
        <v>2449</v>
      </c>
      <c r="D852" s="41" t="inlineStr">
        <is>
          <t>صعيدى 4</t>
        </is>
      </c>
      <c r="E852" s="41" t="inlineStr">
        <is>
          <t>2*20</t>
        </is>
      </c>
      <c r="F852" s="41" t="inlineStr">
        <is>
          <t xml:space="preserve">الدولية للفحم </t>
        </is>
      </c>
      <c r="G852" s="41" t="inlineStr">
        <is>
          <t>برج العرب</t>
        </is>
      </c>
      <c r="H852" s="41" t="inlineStr">
        <is>
          <t>320099/4-297669/4</t>
        </is>
      </c>
      <c r="I852" s="41" t="inlineStr">
        <is>
          <t>س ه ف 1874</t>
        </is>
      </c>
      <c r="J852" s="41" t="inlineStr">
        <is>
          <t xml:space="preserve">باسم عبد السلام </t>
        </is>
      </c>
      <c r="K852" s="41" t="inlineStr">
        <is>
          <t xml:space="preserve">محمد الصعيدى </t>
        </is>
      </c>
      <c r="L852" s="42" t="n">
        <v>11000</v>
      </c>
      <c r="M852" s="42" t="n">
        <v>5100</v>
      </c>
      <c r="N852" s="42" t="n"/>
      <c r="O852" s="42" t="n"/>
      <c r="P852" s="42" t="n"/>
      <c r="Q852" s="42" t="n">
        <v>5900</v>
      </c>
      <c r="R852" s="43">
        <f>IF($B852="","",N($S852)-N($Q852))</f>
        <v/>
      </c>
      <c r="S852" s="43">
        <f>IF($B852="","",N($L852)+N($N852)+N($P852))</f>
        <v/>
      </c>
      <c r="T852" s="42" t="n"/>
      <c r="U852" s="42" t="n"/>
      <c r="V852" s="42" t="n"/>
      <c r="W852" s="42" t="n"/>
      <c r="X852" s="42" t="n"/>
      <c r="Y852" s="42" t="n"/>
      <c r="Z852" s="42" t="n"/>
      <c r="AA852" s="42" t="n"/>
      <c r="AB852" s="42" t="n"/>
      <c r="AC852" s="42" t="n"/>
      <c r="AD852" s="42" t="n"/>
      <c r="AE852" s="42" t="n"/>
      <c r="AF852" s="43">
        <f>IF($B852="","",SUM($T852:$AE852))</f>
        <v/>
      </c>
      <c r="AG852" s="43">
        <f>IF($B852="","",N($M852)-N($AF852))</f>
        <v/>
      </c>
      <c r="AH852" s="43">
        <f>IF($B852="","",N($L852)-N($AF852))</f>
        <v/>
      </c>
      <c r="AI852" s="149">
        <f>IF($B852="","",IF(N($L852)=0,"",(N($L852)-N($AF852))/N($L852)))</f>
        <v/>
      </c>
    </row>
    <row r="853">
      <c r="A853" s="39">
        <f>IF($B853="","",COUNTA($B$4:$B853))</f>
        <v/>
      </c>
      <c r="B853" s="45" t="n">
        <v>46125</v>
      </c>
      <c r="C853" s="46" t="n">
        <v>2450</v>
      </c>
      <c r="D853" s="46" t="inlineStr">
        <is>
          <t>صعيدى 4</t>
        </is>
      </c>
      <c r="E853" s="46" t="inlineStr">
        <is>
          <t>1*20</t>
        </is>
      </c>
      <c r="F853" s="46" t="inlineStr">
        <is>
          <t xml:space="preserve">الدولية للفحم </t>
        </is>
      </c>
      <c r="G853" s="46" t="inlineStr">
        <is>
          <t>برج العرب</t>
        </is>
      </c>
      <c r="H853" s="46" t="inlineStr">
        <is>
          <t>261702/0</t>
        </is>
      </c>
      <c r="I853" s="46" t="inlineStr">
        <is>
          <t>س ل ج 2521</t>
        </is>
      </c>
      <c r="J853" s="46" t="inlineStr">
        <is>
          <t xml:space="preserve">احمد القط </t>
        </is>
      </c>
      <c r="K853" s="46" t="inlineStr">
        <is>
          <t xml:space="preserve">محمد الصعيدى </t>
        </is>
      </c>
      <c r="L853" s="47" t="n">
        <v>7500</v>
      </c>
      <c r="M853" s="47" t="n">
        <v>5100</v>
      </c>
      <c r="N853" s="47" t="n"/>
      <c r="O853" s="47" t="n"/>
      <c r="P853" s="47" t="n"/>
      <c r="Q853" s="47" t="n">
        <v>2400</v>
      </c>
      <c r="R853" s="43">
        <f>IF($B853="","",N($S853)-N($Q853))</f>
        <v/>
      </c>
      <c r="S853" s="43">
        <f>IF($B853="","",N($L853)+N($N853)+N($P853))</f>
        <v/>
      </c>
      <c r="T853" s="47" t="n"/>
      <c r="U853" s="47" t="n"/>
      <c r="V853" s="47" t="n"/>
      <c r="W853" s="47" t="n"/>
      <c r="X853" s="47" t="n"/>
      <c r="Y853" s="47" t="n"/>
      <c r="Z853" s="47" t="n"/>
      <c r="AA853" s="47" t="n"/>
      <c r="AB853" s="47" t="n"/>
      <c r="AC853" s="47" t="n"/>
      <c r="AD853" s="47" t="n"/>
      <c r="AE853" s="47" t="n"/>
      <c r="AF853" s="43">
        <f>IF($B853="","",SUM($T853:$AE853))</f>
        <v/>
      </c>
      <c r="AG853" s="43">
        <f>IF($B853="","",N($M853)-N($AF853))</f>
        <v/>
      </c>
      <c r="AH853" s="43">
        <f>IF($B853="","",N($L853)-N($AF853))</f>
        <v/>
      </c>
      <c r="AI853" s="149">
        <f>IF($B853="","",IF(N($L853)=0,"",(N($L853)-N($AF853))/N($L853)))</f>
        <v/>
      </c>
    </row>
    <row r="854">
      <c r="A854" s="39">
        <f>IF($B854="","",COUNTA($B$4:$B854))</f>
        <v/>
      </c>
      <c r="B854" s="40" t="n">
        <v>46124</v>
      </c>
      <c r="C854" s="41" t="n">
        <v>2227</v>
      </c>
      <c r="D854" s="41" t="n"/>
      <c r="E854" s="41" t="inlineStr">
        <is>
          <t xml:space="preserve">دبابة </t>
        </is>
      </c>
      <c r="F854" s="41" t="inlineStr">
        <is>
          <t xml:space="preserve">المتحدة </t>
        </is>
      </c>
      <c r="G854" s="41" t="inlineStr">
        <is>
          <t>العاشر</t>
        </is>
      </c>
      <c r="H854" s="41" t="inlineStr">
        <is>
          <t xml:space="preserve">2 بالتة </t>
        </is>
      </c>
      <c r="I854" s="41" t="inlineStr">
        <is>
          <t>س ص ى 2138</t>
        </is>
      </c>
      <c r="J854" s="41" t="inlineStr">
        <is>
          <t xml:space="preserve">حمادة البدرى </t>
        </is>
      </c>
      <c r="K854" s="41" t="n"/>
      <c r="L854" s="42" t="n">
        <v>3500</v>
      </c>
      <c r="M854" s="42" t="n">
        <v>2000</v>
      </c>
      <c r="N854" s="42" t="n"/>
      <c r="O854" s="42" t="n"/>
      <c r="P854" s="42" t="n"/>
      <c r="Q854" s="42" t="n">
        <v>1500</v>
      </c>
      <c r="R854" s="43">
        <f>IF($B854="","",N($S854)-N($Q854))</f>
        <v/>
      </c>
      <c r="S854" s="43">
        <f>IF($B854="","",N($L854)+N($N854)+N($P854))</f>
        <v/>
      </c>
      <c r="T854" s="42" t="n"/>
      <c r="U854" s="42" t="n"/>
      <c r="V854" s="42" t="n"/>
      <c r="W854" s="42" t="n"/>
      <c r="X854" s="42" t="n"/>
      <c r="Y854" s="42" t="n"/>
      <c r="Z854" s="42" t="n"/>
      <c r="AA854" s="42" t="n"/>
      <c r="AB854" s="42" t="n"/>
      <c r="AC854" s="42" t="n"/>
      <c r="AD854" s="42" t="n"/>
      <c r="AE854" s="42" t="n"/>
      <c r="AF854" s="43">
        <f>IF($B854="","",SUM($T854:$AE854))</f>
        <v/>
      </c>
      <c r="AG854" s="43">
        <f>IF($B854="","",N($M854)-N($AF854))</f>
        <v/>
      </c>
      <c r="AH854" s="43">
        <f>IF($B854="","",N($L854)-N($AF854))</f>
        <v/>
      </c>
      <c r="AI854" s="149">
        <f>IF($B854="","",IF(N($L854)=0,"",(N($L854)-N($AF854))/N($L854)))</f>
        <v/>
      </c>
    </row>
    <row r="855">
      <c r="A855" s="39">
        <f>IF($B855="","",COUNTA($B$4:$B855))</f>
        <v/>
      </c>
      <c r="B855" s="45" t="n">
        <v>46126</v>
      </c>
      <c r="C855" s="46" t="n">
        <v>2328</v>
      </c>
      <c r="D855" s="46" t="inlineStr">
        <is>
          <t xml:space="preserve">كمال رزق </t>
        </is>
      </c>
      <c r="E855" s="46" t="inlineStr">
        <is>
          <t>1*40</t>
        </is>
      </c>
      <c r="F855" s="46" t="inlineStr">
        <is>
          <t xml:space="preserve">خورى استاند </t>
        </is>
      </c>
      <c r="G855" s="46" t="inlineStr">
        <is>
          <t xml:space="preserve">العاشر </t>
        </is>
      </c>
      <c r="H855" s="46" t="inlineStr">
        <is>
          <t>801384/0</t>
        </is>
      </c>
      <c r="I855" s="46" t="inlineStr">
        <is>
          <t>س ن ر 8979</t>
        </is>
      </c>
      <c r="J855" s="46" t="inlineStr">
        <is>
          <t xml:space="preserve">احمد طة </t>
        </is>
      </c>
      <c r="K855" s="46" t="inlineStr">
        <is>
          <t xml:space="preserve">عماد سعيد </t>
        </is>
      </c>
      <c r="L855" s="47" t="n">
        <v>16000</v>
      </c>
      <c r="M855" s="47" t="n">
        <v>8100</v>
      </c>
      <c r="N855" s="47" t="n"/>
      <c r="O855" s="47" t="n">
        <v>200</v>
      </c>
      <c r="P855" s="47" t="n"/>
      <c r="Q855" s="47" t="n">
        <v>7700</v>
      </c>
      <c r="R855" s="43">
        <f>IF($B855="","",N($S855)-N($Q855))</f>
        <v/>
      </c>
      <c r="S855" s="43">
        <f>IF($B855="","",N($L855)+N($N855)+N($P855))</f>
        <v/>
      </c>
      <c r="T855" s="47" t="n"/>
      <c r="U855" s="47" t="n"/>
      <c r="V855" s="47" t="n"/>
      <c r="W855" s="47" t="n"/>
      <c r="X855" s="47" t="n"/>
      <c r="Y855" s="47" t="n"/>
      <c r="Z855" s="47" t="n"/>
      <c r="AA855" s="47" t="n"/>
      <c r="AB855" s="47" t="n"/>
      <c r="AC855" s="47" t="n"/>
      <c r="AD855" s="47" t="n"/>
      <c r="AE855" s="47" t="n"/>
      <c r="AF855" s="43">
        <f>IF($B855="","",SUM($T855:$AE855))</f>
        <v/>
      </c>
      <c r="AG855" s="43">
        <f>IF($B855="","",N($M855)-N($AF855))</f>
        <v/>
      </c>
      <c r="AH855" s="43">
        <f>IF($B855="","",N($L855)-N($AF855))</f>
        <v/>
      </c>
      <c r="AI855" s="149">
        <f>IF($B855="","",IF(N($L855)=0,"",(N($L855)-N($AF855))/N($L855)))</f>
        <v/>
      </c>
    </row>
    <row r="856">
      <c r="A856" s="39">
        <f>IF($B856="","",COUNTA($B$4:$B856))</f>
        <v/>
      </c>
      <c r="B856" s="40" t="n">
        <v>46126</v>
      </c>
      <c r="C856" s="41" t="n">
        <v>2329</v>
      </c>
      <c r="D856" s="41" t="inlineStr">
        <is>
          <t xml:space="preserve">احمد عبدو </t>
        </is>
      </c>
      <c r="E856" s="41" t="inlineStr">
        <is>
          <t>1*40</t>
        </is>
      </c>
      <c r="F856" s="41" t="n"/>
      <c r="G856" s="41" t="inlineStr">
        <is>
          <t>العاشر</t>
        </is>
      </c>
      <c r="H856" s="41" t="inlineStr">
        <is>
          <t>827948/3</t>
        </is>
      </c>
      <c r="I856" s="41" t="inlineStr">
        <is>
          <t>س ا ه 8198</t>
        </is>
      </c>
      <c r="J856" s="41" t="inlineStr">
        <is>
          <t xml:space="preserve">ايمن عبدة </t>
        </is>
      </c>
      <c r="K856" s="41" t="inlineStr">
        <is>
          <t xml:space="preserve">علاء علام </t>
        </is>
      </c>
      <c r="L856" s="42" t="n">
        <v>16000</v>
      </c>
      <c r="M856" s="42" t="n">
        <v>8100</v>
      </c>
      <c r="N856" s="42" t="n"/>
      <c r="O856" s="42" t="n">
        <v>200</v>
      </c>
      <c r="P856" s="42" t="n"/>
      <c r="Q856" s="42" t="n">
        <v>7700</v>
      </c>
      <c r="R856" s="43">
        <f>IF($B856="","",N($S856)-N($Q856))</f>
        <v/>
      </c>
      <c r="S856" s="43">
        <f>IF($B856="","",N($L856)+N($N856)+N($P856))</f>
        <v/>
      </c>
      <c r="T856" s="42" t="n"/>
      <c r="U856" s="42" t="n"/>
      <c r="V856" s="42" t="n"/>
      <c r="W856" s="42" t="n"/>
      <c r="X856" s="42" t="n"/>
      <c r="Y856" s="42" t="n"/>
      <c r="Z856" s="42" t="n"/>
      <c r="AA856" s="42" t="n"/>
      <c r="AB856" s="42" t="n"/>
      <c r="AC856" s="42" t="n"/>
      <c r="AD856" s="42" t="n"/>
      <c r="AE856" s="42" t="n"/>
      <c r="AF856" s="43">
        <f>IF($B856="","",SUM($T856:$AE856))</f>
        <v/>
      </c>
      <c r="AG856" s="43">
        <f>IF($B856="","",N($M856)-N($AF856))</f>
        <v/>
      </c>
      <c r="AH856" s="43">
        <f>IF($B856="","",N($L856)-N($AF856))</f>
        <v/>
      </c>
      <c r="AI856" s="149">
        <f>IF($B856="","",IF(N($L856)=0,"",(N($L856)-N($AF856))/N($L856)))</f>
        <v/>
      </c>
    </row>
    <row r="857">
      <c r="A857" s="39">
        <f>IF($B857="","",COUNTA($B$4:$B857))</f>
        <v/>
      </c>
      <c r="B857" s="45" t="n">
        <v>46126</v>
      </c>
      <c r="C857" s="46" t="n">
        <v>2330</v>
      </c>
      <c r="D857" s="46" t="inlineStr">
        <is>
          <t xml:space="preserve">الانصارى </t>
        </is>
      </c>
      <c r="E857" s="46" t="inlineStr">
        <is>
          <t>1*40</t>
        </is>
      </c>
      <c r="F857" s="46" t="inlineStr">
        <is>
          <t xml:space="preserve">خورى استاند </t>
        </is>
      </c>
      <c r="G857" s="46" t="inlineStr">
        <is>
          <t>العاشر</t>
        </is>
      </c>
      <c r="H857" s="46" t="inlineStr">
        <is>
          <t>601085/0</t>
        </is>
      </c>
      <c r="I857" s="46" t="inlineStr">
        <is>
          <t>ب ص ا 2574</t>
        </is>
      </c>
      <c r="J857" s="46" t="inlineStr">
        <is>
          <t xml:space="preserve">محمد البحيرى </t>
        </is>
      </c>
      <c r="K857" s="46" t="inlineStr">
        <is>
          <t xml:space="preserve">احمد خليف </t>
        </is>
      </c>
      <c r="L857" s="47" t="n">
        <v>16000</v>
      </c>
      <c r="M857" s="47" t="n">
        <v>8100</v>
      </c>
      <c r="N857" s="47" t="n"/>
      <c r="O857" s="47" t="n">
        <v>200</v>
      </c>
      <c r="P857" s="47" t="n"/>
      <c r="Q857" s="47" t="n">
        <v>7700</v>
      </c>
      <c r="R857" s="43">
        <f>IF($B857="","",N($S857)-N($Q857))</f>
        <v/>
      </c>
      <c r="S857" s="43">
        <f>IF($B857="","",N($L857)+N($N857)+N($P857))</f>
        <v/>
      </c>
      <c r="T857" s="47" t="n"/>
      <c r="U857" s="47" t="n"/>
      <c r="V857" s="47" t="n"/>
      <c r="W857" s="47" t="n"/>
      <c r="X857" s="47" t="n"/>
      <c r="Y857" s="47" t="n"/>
      <c r="Z857" s="47" t="n"/>
      <c r="AA857" s="47" t="n"/>
      <c r="AB857" s="47" t="n"/>
      <c r="AC857" s="47" t="n"/>
      <c r="AD857" s="47" t="n"/>
      <c r="AE857" s="47" t="n"/>
      <c r="AF857" s="43">
        <f>IF($B857="","",SUM($T857:$AE857))</f>
        <v/>
      </c>
      <c r="AG857" s="43">
        <f>IF($B857="","",N($M857)-N($AF857))</f>
        <v/>
      </c>
      <c r="AH857" s="43">
        <f>IF($B857="","",N($L857)-N($AF857))</f>
        <v/>
      </c>
      <c r="AI857" s="149">
        <f>IF($B857="","",IF(N($L857)=0,"",(N($L857)-N($AF857))/N($L857)))</f>
        <v/>
      </c>
    </row>
    <row r="858">
      <c r="A858" s="39">
        <f>IF($B858="","",COUNTA($B$4:$B858))</f>
        <v/>
      </c>
      <c r="B858" s="40" t="n">
        <v>46126</v>
      </c>
      <c r="C858" s="41" t="n">
        <v>2601</v>
      </c>
      <c r="D858" s="41" t="inlineStr">
        <is>
          <t xml:space="preserve">محمد يحى </t>
        </is>
      </c>
      <c r="E858" s="41" t="inlineStr">
        <is>
          <t>1*40</t>
        </is>
      </c>
      <c r="F858" s="41" t="inlineStr">
        <is>
          <t xml:space="preserve">ميجا مار </t>
        </is>
      </c>
      <c r="G858" s="41" t="inlineStr">
        <is>
          <t xml:space="preserve">السادات </t>
        </is>
      </c>
      <c r="H858" s="41" t="n"/>
      <c r="I858" s="41" t="inlineStr">
        <is>
          <t>س ر ا 6671</t>
        </is>
      </c>
      <c r="J858" s="41" t="inlineStr">
        <is>
          <t xml:space="preserve">السيد بدوى </t>
        </is>
      </c>
      <c r="K858" s="41" t="inlineStr">
        <is>
          <t xml:space="preserve">حمو مرزوق </t>
        </is>
      </c>
      <c r="L858" s="42" t="n">
        <v>15000</v>
      </c>
      <c r="M858" s="42" t="n">
        <v>10100</v>
      </c>
      <c r="N858" s="42" t="n"/>
      <c r="O858" s="42" t="n">
        <v>200</v>
      </c>
      <c r="P858" s="42" t="n"/>
      <c r="Q858" s="42" t="n">
        <v>4700</v>
      </c>
      <c r="R858" s="43">
        <f>IF($B858="","",N($S858)-N($Q858))</f>
        <v/>
      </c>
      <c r="S858" s="43">
        <f>IF($B858="","",N($L858)+N($N858)+N($P858))</f>
        <v/>
      </c>
      <c r="T858" s="42" t="n"/>
      <c r="U858" s="42" t="n"/>
      <c r="V858" s="42" t="n"/>
      <c r="W858" s="42" t="n"/>
      <c r="X858" s="42" t="n"/>
      <c r="Y858" s="42" t="n"/>
      <c r="Z858" s="42" t="n"/>
      <c r="AA858" s="42" t="n"/>
      <c r="AB858" s="42" t="n"/>
      <c r="AC858" s="42" t="n"/>
      <c r="AD858" s="42" t="n"/>
      <c r="AE858" s="42" t="n"/>
      <c r="AF858" s="43">
        <f>IF($B858="","",SUM($T858:$AE858))</f>
        <v/>
      </c>
      <c r="AG858" s="43">
        <f>IF($B858="","",N($M858)-N($AF858))</f>
        <v/>
      </c>
      <c r="AH858" s="43">
        <f>IF($B858="","",N($L858)-N($AF858))</f>
        <v/>
      </c>
      <c r="AI858" s="149">
        <f>IF($B858="","",IF(N($L858)=0,"",(N($L858)-N($AF858))/N($L858)))</f>
        <v/>
      </c>
    </row>
    <row r="859">
      <c r="A859" s="39">
        <f>IF($B859="","",COUNTA($B$4:$B859))</f>
        <v/>
      </c>
      <c r="B859" s="45" t="n">
        <v>46126</v>
      </c>
      <c r="C859" s="46" t="n">
        <v>2602</v>
      </c>
      <c r="D859" s="46" t="inlineStr">
        <is>
          <t xml:space="preserve">هاشم </t>
        </is>
      </c>
      <c r="E859" s="46" t="inlineStr">
        <is>
          <t>1*20</t>
        </is>
      </c>
      <c r="F859" s="46" t="inlineStr">
        <is>
          <t xml:space="preserve">المصرية ميديكال </t>
        </is>
      </c>
      <c r="G859" s="46" t="inlineStr">
        <is>
          <t xml:space="preserve">العاشر </t>
        </is>
      </c>
      <c r="H859" s="46" t="inlineStr">
        <is>
          <t>242882/7</t>
        </is>
      </c>
      <c r="I859" s="46" t="inlineStr">
        <is>
          <t>ب ن س 3124</t>
        </is>
      </c>
      <c r="J859" s="46" t="inlineStr">
        <is>
          <t xml:space="preserve">محمد عبد القادر </t>
        </is>
      </c>
      <c r="K859" s="46" t="inlineStr">
        <is>
          <t xml:space="preserve">اوبرا </t>
        </is>
      </c>
      <c r="L859" s="47" t="n">
        <v>12000</v>
      </c>
      <c r="M859" s="47" t="n">
        <v>7100</v>
      </c>
      <c r="N859" s="47" t="n"/>
      <c r="O859" s="47" t="n">
        <v>200</v>
      </c>
      <c r="P859" s="47" t="n"/>
      <c r="Q859" s="47" t="n">
        <v>4700</v>
      </c>
      <c r="R859" s="43">
        <f>IF($B859="","",N($S859)-N($Q859))</f>
        <v/>
      </c>
      <c r="S859" s="43">
        <f>IF($B859="","",N($L859)+N($N859)+N($P859))</f>
        <v/>
      </c>
      <c r="T859" s="47" t="n"/>
      <c r="U859" s="47" t="n"/>
      <c r="V859" s="47" t="n"/>
      <c r="W859" s="47" t="n"/>
      <c r="X859" s="47" t="n"/>
      <c r="Y859" s="47" t="n"/>
      <c r="Z859" s="47" t="n"/>
      <c r="AA859" s="47" t="n"/>
      <c r="AB859" s="47" t="n"/>
      <c r="AC859" s="47" t="n"/>
      <c r="AD859" s="47" t="n"/>
      <c r="AE859" s="47" t="n"/>
      <c r="AF859" s="43">
        <f>IF($B859="","",SUM($T859:$AE859))</f>
        <v/>
      </c>
      <c r="AG859" s="43">
        <f>IF($B859="","",N($M859)-N($AF859))</f>
        <v/>
      </c>
      <c r="AH859" s="43">
        <f>IF($B859="","",N($L859)-N($AF859))</f>
        <v/>
      </c>
      <c r="AI859" s="149">
        <f>IF($B859="","",IF(N($L859)=0,"",(N($L859)-N($AF859))/N($L859)))</f>
        <v/>
      </c>
    </row>
    <row r="860">
      <c r="A860" s="39">
        <f>IF($B860="","",COUNTA($B$4:$B860))</f>
        <v/>
      </c>
      <c r="B860" s="40" t="n">
        <v>46128</v>
      </c>
      <c r="C860" s="41" t="n">
        <v>2235</v>
      </c>
      <c r="D860" s="41" t="inlineStr">
        <is>
          <t>عتريس مخيمر  خ</t>
        </is>
      </c>
      <c r="E860" s="41" t="inlineStr">
        <is>
          <t>1*40 ث</t>
        </is>
      </c>
      <c r="F860" s="41" t="inlineStr">
        <is>
          <t xml:space="preserve">البستانية </t>
        </is>
      </c>
      <c r="G860" s="41" t="inlineStr">
        <is>
          <t xml:space="preserve">السادات </t>
        </is>
      </c>
      <c r="H860" s="41" t="inlineStr">
        <is>
          <t>363874/9</t>
        </is>
      </c>
      <c r="I860" s="41" t="inlineStr">
        <is>
          <t>ب ص ا 2574</t>
        </is>
      </c>
      <c r="J860" s="41" t="inlineStr">
        <is>
          <t xml:space="preserve">محمد البحيرى </t>
        </is>
      </c>
      <c r="K860" s="41" t="inlineStr">
        <is>
          <t xml:space="preserve">احمد خليف </t>
        </is>
      </c>
      <c r="L860" s="42" t="n">
        <v>14000</v>
      </c>
      <c r="M860" s="42" t="n">
        <v>8100</v>
      </c>
      <c r="N860" s="42" t="n"/>
      <c r="O860" s="42" t="n">
        <v>200</v>
      </c>
      <c r="P860" s="42" t="n"/>
      <c r="Q860" s="42" t="n">
        <v>5700</v>
      </c>
      <c r="R860" s="43">
        <f>IF($B860="","",N($S860)-N($Q860))</f>
        <v/>
      </c>
      <c r="S860" s="43">
        <f>IF($B860="","",N($L860)+N($N860)+N($P860))</f>
        <v/>
      </c>
      <c r="T860" s="42" t="n"/>
      <c r="U860" s="42" t="n"/>
      <c r="V860" s="42" t="n"/>
      <c r="W860" s="42" t="n"/>
      <c r="X860" s="42" t="n"/>
      <c r="Y860" s="42" t="n"/>
      <c r="Z860" s="42" t="n"/>
      <c r="AA860" s="42" t="n"/>
      <c r="AB860" s="42" t="n"/>
      <c r="AC860" s="42" t="n"/>
      <c r="AD860" s="42" t="n"/>
      <c r="AE860" s="42" t="n"/>
      <c r="AF860" s="43">
        <f>IF($B860="","",SUM($T860:$AE860))</f>
        <v/>
      </c>
      <c r="AG860" s="43">
        <f>IF($B860="","",N($M860)-N($AF860))</f>
        <v/>
      </c>
      <c r="AH860" s="43">
        <f>IF($B860="","",N($L860)-N($AF860))</f>
        <v/>
      </c>
      <c r="AI860" s="149">
        <f>IF($B860="","",IF(N($L860)=0,"",(N($L860)-N($AF860))/N($L860)))</f>
        <v/>
      </c>
    </row>
    <row r="861">
      <c r="A861" s="39">
        <f>IF($B861="","",COUNTA($B$4:$B861))</f>
        <v/>
      </c>
      <c r="B861" s="45" t="n">
        <v>46128</v>
      </c>
      <c r="C861" s="46" t="n">
        <v>2236</v>
      </c>
      <c r="D861" s="46" t="inlineStr">
        <is>
          <t>المكتب</t>
        </is>
      </c>
      <c r="E861" s="46" t="inlineStr">
        <is>
          <t>1*40 ث</t>
        </is>
      </c>
      <c r="F861" s="46" t="inlineStr">
        <is>
          <t xml:space="preserve">البستانية </t>
        </is>
      </c>
      <c r="G861" s="46" t="inlineStr">
        <is>
          <t xml:space="preserve">السادات </t>
        </is>
      </c>
      <c r="H861" s="46" t="inlineStr">
        <is>
          <t>350812/8</t>
        </is>
      </c>
      <c r="I861" s="46" t="inlineStr">
        <is>
          <t>س ع م 8737</t>
        </is>
      </c>
      <c r="J861" s="46" t="inlineStr">
        <is>
          <t xml:space="preserve">محمود المصرى </t>
        </is>
      </c>
      <c r="K861" s="46" t="inlineStr">
        <is>
          <t xml:space="preserve">المكتب </t>
        </is>
      </c>
      <c r="L861" s="47" t="n">
        <v>14000</v>
      </c>
      <c r="M861" s="47" t="n">
        <v>3000</v>
      </c>
      <c r="N861" s="47" t="n"/>
      <c r="O861" s="47" t="n"/>
      <c r="P861" s="47" t="n"/>
      <c r="Q861" s="47" t="n">
        <v>11000</v>
      </c>
      <c r="R861" s="43">
        <f>IF($B861="","",N($S861)-N($Q861))</f>
        <v/>
      </c>
      <c r="S861" s="43">
        <f>IF($B861="","",N($L861)+N($N861)+N($P861))</f>
        <v/>
      </c>
      <c r="T861" s="47" t="n">
        <v>1500</v>
      </c>
      <c r="U861" s="47" t="n">
        <v>550</v>
      </c>
      <c r="V861" s="47" t="n"/>
      <c r="W861" s="47" t="n">
        <v>200</v>
      </c>
      <c r="X861" s="47" t="n">
        <v>60</v>
      </c>
      <c r="Y861" s="47" t="n">
        <v>60</v>
      </c>
      <c r="Z861" s="47" t="n"/>
      <c r="AA861" s="47" t="n"/>
      <c r="AB861" s="47" t="n"/>
      <c r="AC861" s="47" t="n">
        <v>130</v>
      </c>
      <c r="AD861" s="47" t="n"/>
      <c r="AE861" s="47" t="n"/>
      <c r="AF861" s="43">
        <f>IF($B861="","",SUM($T861:$AE861))</f>
        <v/>
      </c>
      <c r="AG861" s="43">
        <f>IF($B861="","",N($M861)-N($AF861))</f>
        <v/>
      </c>
      <c r="AH861" s="43">
        <f>IF($B861="","",N($L861)-N($AF861))</f>
        <v/>
      </c>
      <c r="AI861" s="149">
        <f>IF($B861="","",IF(N($L861)=0,"",(N($L861)-N($AF861))/N($L861)))</f>
        <v/>
      </c>
    </row>
    <row r="862">
      <c r="A862" s="39">
        <f>IF($B862="","",COUNTA($B$4:$B862))</f>
        <v/>
      </c>
      <c r="B862" s="40" t="n">
        <v>46128</v>
      </c>
      <c r="C862" s="41" t="n">
        <v>2603</v>
      </c>
      <c r="D862" s="41" t="inlineStr">
        <is>
          <t xml:space="preserve">بدوى صلاح </t>
        </is>
      </c>
      <c r="E862" s="41" t="inlineStr">
        <is>
          <t>1*20</t>
        </is>
      </c>
      <c r="F862" s="41" t="inlineStr">
        <is>
          <t xml:space="preserve">الدولية للبن </t>
        </is>
      </c>
      <c r="G862" s="41" t="inlineStr">
        <is>
          <t xml:space="preserve">اكتوبر </t>
        </is>
      </c>
      <c r="H862" s="41" t="inlineStr">
        <is>
          <t>201181/3-248999/2</t>
        </is>
      </c>
      <c r="I862" s="41" t="inlineStr">
        <is>
          <t>ب س ا 7954</t>
        </is>
      </c>
      <c r="J862" s="41" t="inlineStr">
        <is>
          <t xml:space="preserve">ايهاب السيد </t>
        </is>
      </c>
      <c r="K862" s="41" t="inlineStr">
        <is>
          <t>رومانى</t>
        </is>
      </c>
      <c r="L862" s="42" t="n">
        <v>11500</v>
      </c>
      <c r="M862" s="42" t="n">
        <v>7100</v>
      </c>
      <c r="N862" s="42" t="n"/>
      <c r="O862" s="42" t="n">
        <v>200</v>
      </c>
      <c r="P862" s="42" t="n"/>
      <c r="Q862" s="42" t="n">
        <v>4200</v>
      </c>
      <c r="R862" s="43">
        <f>IF($B862="","",N($S862)-N($Q862))</f>
        <v/>
      </c>
      <c r="S862" s="43">
        <f>IF($B862="","",N($L862)+N($N862)+N($P862))</f>
        <v/>
      </c>
      <c r="T862" s="42" t="n"/>
      <c r="U862" s="42" t="n"/>
      <c r="V862" s="42" t="n"/>
      <c r="W862" s="42" t="n"/>
      <c r="X862" s="42" t="n"/>
      <c r="Y862" s="42" t="n"/>
      <c r="Z862" s="42" t="n"/>
      <c r="AA862" s="42" t="n"/>
      <c r="AB862" s="42" t="n"/>
      <c r="AC862" s="42" t="n"/>
      <c r="AD862" s="42" t="n"/>
      <c r="AE862" s="42" t="n"/>
      <c r="AF862" s="43">
        <f>IF($B862="","",SUM($T862:$AE862))</f>
        <v/>
      </c>
      <c r="AG862" s="43">
        <f>IF($B862="","",N($M862)-N($AF862))</f>
        <v/>
      </c>
      <c r="AH862" s="43">
        <f>IF($B862="","",N($L862)-N($AF862))</f>
        <v/>
      </c>
      <c r="AI862" s="149">
        <f>IF($B862="","",IF(N($L862)=0,"",(N($L862)-N($AF862))/N($L862)))</f>
        <v/>
      </c>
    </row>
    <row r="863">
      <c r="A863" s="39">
        <f>IF($B863="","",COUNTA($B$4:$B863))</f>
        <v/>
      </c>
      <c r="B863" s="45" t="n">
        <v>46128</v>
      </c>
      <c r="C863" s="46" t="n">
        <v>2237</v>
      </c>
      <c r="D863" s="46" t="inlineStr">
        <is>
          <t xml:space="preserve">محمد يحى </t>
        </is>
      </c>
      <c r="E863" s="46" t="inlineStr">
        <is>
          <t>1*40</t>
        </is>
      </c>
      <c r="F863" s="46" t="inlineStr">
        <is>
          <t xml:space="preserve">ريجينا </t>
        </is>
      </c>
      <c r="G863" s="46" t="inlineStr">
        <is>
          <t xml:space="preserve">السادات </t>
        </is>
      </c>
      <c r="H863" s="46" t="n"/>
      <c r="I863" s="46" t="inlineStr">
        <is>
          <t>س ر ا 6671</t>
        </is>
      </c>
      <c r="J863" s="46" t="inlineStr">
        <is>
          <t xml:space="preserve">احمد الحسينى </t>
        </is>
      </c>
      <c r="K863" s="46" t="inlineStr">
        <is>
          <t xml:space="preserve">حمو مرزوق </t>
        </is>
      </c>
      <c r="L863" s="47" t="n">
        <v>12500</v>
      </c>
      <c r="M863" s="47" t="n">
        <v>8100</v>
      </c>
      <c r="N863" s="47" t="n"/>
      <c r="O863" s="47" t="n">
        <v>200</v>
      </c>
      <c r="P863" s="47" t="n"/>
      <c r="Q863" s="47" t="n">
        <v>4200</v>
      </c>
      <c r="R863" s="43">
        <f>IF($B863="","",N($S863)-N($Q863))</f>
        <v/>
      </c>
      <c r="S863" s="43">
        <f>IF($B863="","",N($L863)+N($N863)+N($P863))</f>
        <v/>
      </c>
      <c r="T863" s="47" t="n"/>
      <c r="U863" s="47" t="n"/>
      <c r="V863" s="47" t="n"/>
      <c r="W863" s="47" t="n"/>
      <c r="X863" s="47" t="n"/>
      <c r="Y863" s="47" t="n"/>
      <c r="Z863" s="47" t="n"/>
      <c r="AA863" s="47" t="n"/>
      <c r="AB863" s="47" t="n"/>
      <c r="AC863" s="47" t="n"/>
      <c r="AD863" s="47" t="n"/>
      <c r="AE863" s="47" t="n"/>
      <c r="AF863" s="43">
        <f>IF($B863="","",SUM($T863:$AE863))</f>
        <v/>
      </c>
      <c r="AG863" s="43">
        <f>IF($B863="","",N($M863)-N($AF863))</f>
        <v/>
      </c>
      <c r="AH863" s="43">
        <f>IF($B863="","",N($L863)-N($AF863))</f>
        <v/>
      </c>
      <c r="AI863" s="149">
        <f>IF($B863="","",IF(N($L863)=0,"",(N($L863)-N($AF863))/N($L863)))</f>
        <v/>
      </c>
    </row>
    <row r="864">
      <c r="A864" s="39">
        <f>IF($B864="","",COUNTA($B$4:$B864))</f>
        <v/>
      </c>
      <c r="B864" s="40" t="n">
        <v>46128</v>
      </c>
      <c r="C864" s="41" t="n">
        <v>2604</v>
      </c>
      <c r="D864" s="41" t="inlineStr">
        <is>
          <t xml:space="preserve">الانصارى </t>
        </is>
      </c>
      <c r="E864" s="41" t="inlineStr">
        <is>
          <t>1*40</t>
        </is>
      </c>
      <c r="F864" s="41" t="inlineStr">
        <is>
          <t xml:space="preserve">ريجينا </t>
        </is>
      </c>
      <c r="G864" s="41" t="inlineStr">
        <is>
          <t xml:space="preserve">السادات </t>
        </is>
      </c>
      <c r="H864" s="41" t="inlineStr">
        <is>
          <t>665804/6</t>
        </is>
      </c>
      <c r="I864" s="41" t="inlineStr">
        <is>
          <t>ط ف ر 1474</t>
        </is>
      </c>
      <c r="J864" s="41" t="inlineStr">
        <is>
          <t xml:space="preserve">جمال على </t>
        </is>
      </c>
      <c r="K864" s="41" t="inlineStr">
        <is>
          <t xml:space="preserve">كريم خليف </t>
        </is>
      </c>
      <c r="L864" s="42" t="n">
        <v>12500</v>
      </c>
      <c r="M864" s="42" t="n">
        <v>8100</v>
      </c>
      <c r="N864" s="42" t="n"/>
      <c r="O864" s="42" t="n">
        <v>200</v>
      </c>
      <c r="P864" s="42" t="n"/>
      <c r="Q864" s="42" t="n">
        <v>4200</v>
      </c>
      <c r="R864" s="43">
        <f>IF($B864="","",N($S864)-N($Q864))</f>
        <v/>
      </c>
      <c r="S864" s="43">
        <f>IF($B864="","",N($L864)+N($N864)+N($P864))</f>
        <v/>
      </c>
      <c r="T864" s="42" t="n"/>
      <c r="U864" s="42" t="n"/>
      <c r="V864" s="42" t="n"/>
      <c r="W864" s="42" t="n"/>
      <c r="X864" s="42" t="n"/>
      <c r="Y864" s="42" t="n"/>
      <c r="Z864" s="42" t="n"/>
      <c r="AA864" s="42" t="n"/>
      <c r="AB864" s="42" t="n"/>
      <c r="AC864" s="42" t="n"/>
      <c r="AD864" s="42" t="n"/>
      <c r="AE864" s="42" t="n"/>
      <c r="AF864" s="43">
        <f>IF($B864="","",SUM($T864:$AE864))</f>
        <v/>
      </c>
      <c r="AG864" s="43">
        <f>IF($B864="","",N($M864)-N($AF864))</f>
        <v/>
      </c>
      <c r="AH864" s="43">
        <f>IF($B864="","",N($L864)-N($AF864))</f>
        <v/>
      </c>
      <c r="AI864" s="149">
        <f>IF($B864="","",IF(N($L864)=0,"",(N($L864)-N($AF864))/N($L864)))</f>
        <v/>
      </c>
    </row>
    <row r="865">
      <c r="A865" s="39">
        <f>IF($B865="","",COUNTA($B$4:$B865))</f>
        <v/>
      </c>
      <c r="B865" s="45" t="n">
        <v>46128</v>
      </c>
      <c r="C865" s="46" t="n">
        <v>2605</v>
      </c>
      <c r="D865" s="46" t="inlineStr">
        <is>
          <t>المكتب</t>
        </is>
      </c>
      <c r="E865" s="46" t="inlineStr">
        <is>
          <t>1*40</t>
        </is>
      </c>
      <c r="F865" s="46" t="inlineStr">
        <is>
          <t xml:space="preserve">ريجينا </t>
        </is>
      </c>
      <c r="G865" s="46" t="inlineStr">
        <is>
          <t xml:space="preserve">السادات </t>
        </is>
      </c>
      <c r="H865" s="46" t="inlineStr">
        <is>
          <t>894309/8</t>
        </is>
      </c>
      <c r="I865" s="46" t="inlineStr">
        <is>
          <t>س ع م 8737</t>
        </is>
      </c>
      <c r="J865" s="46" t="inlineStr">
        <is>
          <t xml:space="preserve">محمود المصرى </t>
        </is>
      </c>
      <c r="K865" s="46" t="inlineStr">
        <is>
          <t xml:space="preserve">المكتب </t>
        </is>
      </c>
      <c r="L865" s="47" t="n">
        <v>12500</v>
      </c>
      <c r="M865" s="47" t="n">
        <v>2100</v>
      </c>
      <c r="N865" s="47" t="n"/>
      <c r="O865" s="47" t="n"/>
      <c r="P865" s="47" t="n"/>
      <c r="Q865" s="47" t="n">
        <v>10400</v>
      </c>
      <c r="R865" s="43">
        <f>IF($B865="","",N($S865)-N($Q865))</f>
        <v/>
      </c>
      <c r="S865" s="43">
        <f>IF($B865="","",N($L865)+N($N865)+N($P865))</f>
        <v/>
      </c>
      <c r="T865" s="47" t="n">
        <v>1500</v>
      </c>
      <c r="U865" s="47" t="n">
        <v>450</v>
      </c>
      <c r="V865" s="47" t="n"/>
      <c r="W865" s="47" t="n">
        <v>200</v>
      </c>
      <c r="X865" s="47" t="n">
        <v>110</v>
      </c>
      <c r="Y865" s="47" t="n">
        <v>120</v>
      </c>
      <c r="Z865" s="47" t="n"/>
      <c r="AA865" s="47" t="n"/>
      <c r="AB865" s="47" t="n">
        <v>100</v>
      </c>
      <c r="AC865" s="47" t="n">
        <v>50</v>
      </c>
      <c r="AD865" s="47" t="n">
        <v>120</v>
      </c>
      <c r="AE865" s="47" t="n"/>
      <c r="AF865" s="43">
        <f>IF($B865="","",SUM($T865:$AE865))</f>
        <v/>
      </c>
      <c r="AG865" s="43">
        <f>IF($B865="","",N($M865)-N($AF865))</f>
        <v/>
      </c>
      <c r="AH865" s="43">
        <f>IF($B865="","",N($L865)-N($AF865))</f>
        <v/>
      </c>
      <c r="AI865" s="149">
        <f>IF($B865="","",IF(N($L865)=0,"",(N($L865)-N($AF865))/N($L865)))</f>
        <v/>
      </c>
    </row>
    <row r="866">
      <c r="A866" s="39">
        <f>IF($B866="","",COUNTA($B$4:$B866))</f>
        <v/>
      </c>
      <c r="B866" s="40" t="n">
        <v>46128</v>
      </c>
      <c r="C866" s="41" t="n">
        <v>2577</v>
      </c>
      <c r="D866" s="41" t="inlineStr">
        <is>
          <t xml:space="preserve">احمد عبدو </t>
        </is>
      </c>
      <c r="E866" s="41" t="inlineStr">
        <is>
          <t>1*40</t>
        </is>
      </c>
      <c r="F866" s="41" t="inlineStr">
        <is>
          <t xml:space="preserve">ايجل واى </t>
        </is>
      </c>
      <c r="G866" s="41" t="inlineStr">
        <is>
          <t xml:space="preserve">السادات </t>
        </is>
      </c>
      <c r="H866" s="41" t="inlineStr">
        <is>
          <t>900789/6</t>
        </is>
      </c>
      <c r="I866" s="41" t="inlineStr">
        <is>
          <t>س ا ه 8198</t>
        </is>
      </c>
      <c r="J866" s="41" t="inlineStr">
        <is>
          <t xml:space="preserve">ايمن عبدة </t>
        </is>
      </c>
      <c r="K866" s="41" t="inlineStr">
        <is>
          <t xml:space="preserve">علاء علام </t>
        </is>
      </c>
      <c r="L866" s="42" t="n">
        <v>12800</v>
      </c>
      <c r="M866" s="42" t="n">
        <v>8100</v>
      </c>
      <c r="N866" s="42" t="n"/>
      <c r="O866" s="42" t="n">
        <v>200</v>
      </c>
      <c r="P866" s="42" t="n"/>
      <c r="Q866" s="42" t="n">
        <v>4500</v>
      </c>
      <c r="R866" s="43">
        <f>IF($B866="","",N($S866)-N($Q866))</f>
        <v/>
      </c>
      <c r="S866" s="43">
        <f>IF($B866="","",N($L866)+N($N866)+N($P866))</f>
        <v/>
      </c>
      <c r="T866" s="42" t="n"/>
      <c r="U866" s="42" t="n"/>
      <c r="V866" s="42" t="n"/>
      <c r="W866" s="42" t="n"/>
      <c r="X866" s="42" t="n"/>
      <c r="Y866" s="42" t="n"/>
      <c r="Z866" s="42" t="n"/>
      <c r="AA866" s="42" t="n"/>
      <c r="AB866" s="42" t="n"/>
      <c r="AC866" s="42" t="n"/>
      <c r="AD866" s="42" t="n"/>
      <c r="AE866" s="42" t="n"/>
      <c r="AF866" s="43">
        <f>IF($B866="","",SUM($T866:$AE866))</f>
        <v/>
      </c>
      <c r="AG866" s="43">
        <f>IF($B866="","",N($M866)-N($AF866))</f>
        <v/>
      </c>
      <c r="AH866" s="43">
        <f>IF($B866="","",N($L866)-N($AF866))</f>
        <v/>
      </c>
      <c r="AI866" s="149">
        <f>IF($B866="","",IF(N($L866)=0,"",(N($L866)-N($AF866))/N($L866)))</f>
        <v/>
      </c>
    </row>
    <row r="867">
      <c r="A867" s="39">
        <f>IF($B867="","",COUNTA($B$4:$B867))</f>
        <v/>
      </c>
      <c r="B867" s="45" t="n">
        <v>46130</v>
      </c>
      <c r="C867" s="46" t="n">
        <v>2611</v>
      </c>
      <c r="D867" s="46" t="inlineStr">
        <is>
          <t>استوريا خ</t>
        </is>
      </c>
      <c r="E867" s="46" t="inlineStr">
        <is>
          <t>1*40</t>
        </is>
      </c>
      <c r="F867" s="46" t="inlineStr">
        <is>
          <t xml:space="preserve">يوروتال </t>
        </is>
      </c>
      <c r="G867" s="46" t="inlineStr">
        <is>
          <t xml:space="preserve">العبور </t>
        </is>
      </c>
      <c r="H867" s="46" t="inlineStr">
        <is>
          <t>602068/8</t>
        </is>
      </c>
      <c r="I867" s="46" t="inlineStr">
        <is>
          <t>ب ن ص 1438</t>
        </is>
      </c>
      <c r="J867" s="46" t="inlineStr">
        <is>
          <t>محمد نصر</t>
        </is>
      </c>
      <c r="K867" s="46" t="inlineStr">
        <is>
          <t>استوريا</t>
        </is>
      </c>
      <c r="L867" s="47" t="n">
        <v>15500</v>
      </c>
      <c r="M867" s="47" t="n">
        <v>8100</v>
      </c>
      <c r="N867" s="47" t="n"/>
      <c r="O867" s="47" t="n">
        <v>200</v>
      </c>
      <c r="P867" s="47" t="n"/>
      <c r="Q867" s="47" t="n">
        <v>7200</v>
      </c>
      <c r="R867" s="43">
        <f>IF($B867="","",N($S867)-N($Q867))</f>
        <v/>
      </c>
      <c r="S867" s="43">
        <f>IF($B867="","",N($L867)+N($N867)+N($P867))</f>
        <v/>
      </c>
      <c r="T867" s="47" t="n"/>
      <c r="U867" s="47" t="n"/>
      <c r="V867" s="47" t="n"/>
      <c r="W867" s="47" t="n"/>
      <c r="X867" s="47" t="n"/>
      <c r="Y867" s="47" t="n"/>
      <c r="Z867" s="47" t="n"/>
      <c r="AA867" s="47" t="n"/>
      <c r="AB867" s="47" t="n"/>
      <c r="AC867" s="47" t="n"/>
      <c r="AD867" s="47" t="n"/>
      <c r="AE867" s="47" t="n"/>
      <c r="AF867" s="43">
        <f>IF($B867="","",SUM($T867:$AE867))</f>
        <v/>
      </c>
      <c r="AG867" s="43">
        <f>IF($B867="","",N($M867)-N($AF867))</f>
        <v/>
      </c>
      <c r="AH867" s="43">
        <f>IF($B867="","",N($L867)-N($AF867))</f>
        <v/>
      </c>
      <c r="AI867" s="149">
        <f>IF($B867="","",IF(N($L867)=0,"",(N($L867)-N($AF867))/N($L867)))</f>
        <v/>
      </c>
    </row>
    <row r="868">
      <c r="A868" s="39">
        <f>IF($B868="","",COUNTA($B$4:$B868))</f>
        <v/>
      </c>
      <c r="B868" s="40" t="n">
        <v>46130</v>
      </c>
      <c r="C868" s="41" t="n">
        <v>2607</v>
      </c>
      <c r="D868" s="41" t="inlineStr">
        <is>
          <t xml:space="preserve">عبد الله عتمان </t>
        </is>
      </c>
      <c r="E868" s="41" t="inlineStr">
        <is>
          <t>1*40</t>
        </is>
      </c>
      <c r="F868" s="41" t="inlineStr">
        <is>
          <t xml:space="preserve">يوروتال </t>
        </is>
      </c>
      <c r="G868" s="41" t="inlineStr">
        <is>
          <t xml:space="preserve">العبور </t>
        </is>
      </c>
      <c r="H868" s="41" t="inlineStr">
        <is>
          <t>419982/9</t>
        </is>
      </c>
      <c r="I868" s="41" t="inlineStr">
        <is>
          <t>ب ر ط 1864</t>
        </is>
      </c>
      <c r="J868" s="41" t="inlineStr">
        <is>
          <t xml:space="preserve">محمد صبحى </t>
        </is>
      </c>
      <c r="K868" s="41" t="inlineStr">
        <is>
          <t>الليبر</t>
        </is>
      </c>
      <c r="L868" s="42" t="n">
        <v>15000</v>
      </c>
      <c r="M868" s="42" t="n">
        <v>8100</v>
      </c>
      <c r="N868" s="42" t="n"/>
      <c r="O868" s="42" t="n">
        <v>200</v>
      </c>
      <c r="P868" s="42" t="n"/>
      <c r="Q868" s="42" t="n">
        <v>6700</v>
      </c>
      <c r="R868" s="43">
        <f>IF($B868="","",N($S868)-N($Q868))</f>
        <v/>
      </c>
      <c r="S868" s="43">
        <f>IF($B868="","",N($L868)+N($N868)+N($P868))</f>
        <v/>
      </c>
      <c r="T868" s="42" t="n"/>
      <c r="U868" s="42" t="n"/>
      <c r="V868" s="42" t="n"/>
      <c r="W868" s="42" t="n"/>
      <c r="X868" s="42" t="n"/>
      <c r="Y868" s="42" t="n"/>
      <c r="Z868" s="42" t="n"/>
      <c r="AA868" s="42" t="n"/>
      <c r="AB868" s="42" t="n"/>
      <c r="AC868" s="42" t="n"/>
      <c r="AD868" s="42" t="n"/>
      <c r="AE868" s="42" t="n"/>
      <c r="AF868" s="43">
        <f>IF($B868="","",SUM($T868:$AE868))</f>
        <v/>
      </c>
      <c r="AG868" s="43">
        <f>IF($B868="","",N($M868)-N($AF868))</f>
        <v/>
      </c>
      <c r="AH868" s="43">
        <f>IF($B868="","",N($L868)-N($AF868))</f>
        <v/>
      </c>
      <c r="AI868" s="149">
        <f>IF($B868="","",IF(N($L868)=0,"",(N($L868)-N($AF868))/N($L868)))</f>
        <v/>
      </c>
    </row>
    <row r="869">
      <c r="A869" s="39">
        <f>IF($B869="","",COUNTA($B$4:$B869))</f>
        <v/>
      </c>
      <c r="B869" s="45" t="n">
        <v>46130</v>
      </c>
      <c r="C869" s="46" t="n">
        <v>2608</v>
      </c>
      <c r="D869" s="46" t="inlineStr">
        <is>
          <t>رمزى ابو النور</t>
        </is>
      </c>
      <c r="E869" s="46" t="inlineStr">
        <is>
          <t>1*40</t>
        </is>
      </c>
      <c r="F869" s="46" t="inlineStr">
        <is>
          <t xml:space="preserve">يوروتال </t>
        </is>
      </c>
      <c r="G869" s="46" t="inlineStr">
        <is>
          <t xml:space="preserve">العبور </t>
        </is>
      </c>
      <c r="H869" s="46" t="inlineStr">
        <is>
          <t>250537/7</t>
        </is>
      </c>
      <c r="I869" s="46" t="inlineStr">
        <is>
          <t>ب ص ا 8643</t>
        </is>
      </c>
      <c r="J869" s="46" t="inlineStr">
        <is>
          <t xml:space="preserve">محروس عبد الكريم </t>
        </is>
      </c>
      <c r="K869" s="46" t="inlineStr">
        <is>
          <t>الليبر</t>
        </is>
      </c>
      <c r="L869" s="47" t="n">
        <v>15500</v>
      </c>
      <c r="M869" s="47" t="n">
        <v>8100</v>
      </c>
      <c r="N869" s="47" t="n"/>
      <c r="O869" s="47" t="n">
        <v>200</v>
      </c>
      <c r="P869" s="47" t="n"/>
      <c r="Q869" s="47" t="n">
        <v>7200</v>
      </c>
      <c r="R869" s="43">
        <f>IF($B869="","",N($S869)-N($Q869))</f>
        <v/>
      </c>
      <c r="S869" s="43">
        <f>IF($B869="","",N($L869)+N($N869)+N($P869))</f>
        <v/>
      </c>
      <c r="T869" s="47" t="n"/>
      <c r="U869" s="47" t="n"/>
      <c r="V869" s="47" t="n"/>
      <c r="W869" s="47" t="n"/>
      <c r="X869" s="47" t="n"/>
      <c r="Y869" s="47" t="n"/>
      <c r="Z869" s="47" t="n"/>
      <c r="AA869" s="47" t="n"/>
      <c r="AB869" s="47" t="n"/>
      <c r="AC869" s="47" t="n"/>
      <c r="AD869" s="47" t="n"/>
      <c r="AE869" s="47" t="n"/>
      <c r="AF869" s="43">
        <f>IF($B869="","",SUM($T869:$AE869))</f>
        <v/>
      </c>
      <c r="AG869" s="43">
        <f>IF($B869="","",N($M869)-N($AF869))</f>
        <v/>
      </c>
      <c r="AH869" s="43">
        <f>IF($B869="","",N($L869)-N($AF869))</f>
        <v/>
      </c>
      <c r="AI869" s="149">
        <f>IF($B869="","",IF(N($L869)=0,"",(N($L869)-N($AF869))/N($L869)))</f>
        <v/>
      </c>
    </row>
    <row r="870">
      <c r="A870" s="39">
        <f>IF($B870="","",COUNTA($B$4:$B870))</f>
        <v/>
      </c>
      <c r="B870" s="40" t="n">
        <v>46130</v>
      </c>
      <c r="C870" s="41" t="n">
        <v>2609</v>
      </c>
      <c r="D870" s="41" t="inlineStr">
        <is>
          <t>استوريا خ</t>
        </is>
      </c>
      <c r="E870" s="41" t="inlineStr">
        <is>
          <t>1*40</t>
        </is>
      </c>
      <c r="F870" s="41" t="inlineStr">
        <is>
          <t xml:space="preserve">يوروتال </t>
        </is>
      </c>
      <c r="G870" s="41" t="inlineStr">
        <is>
          <t xml:space="preserve">العبور </t>
        </is>
      </c>
      <c r="H870" s="41" t="inlineStr">
        <is>
          <t>694134/0</t>
        </is>
      </c>
      <c r="I870" s="41" t="inlineStr">
        <is>
          <t>ب ن و 7245</t>
        </is>
      </c>
      <c r="J870" s="41" t="inlineStr">
        <is>
          <t xml:space="preserve">رجب رجبب </t>
        </is>
      </c>
      <c r="K870" s="41" t="inlineStr">
        <is>
          <t>استوريا</t>
        </is>
      </c>
      <c r="L870" s="42" t="n">
        <v>15500</v>
      </c>
      <c r="M870" s="42" t="n">
        <v>8100</v>
      </c>
      <c r="N870" s="42" t="n"/>
      <c r="O870" s="42" t="n">
        <v>200</v>
      </c>
      <c r="P870" s="42" t="n"/>
      <c r="Q870" s="42" t="n">
        <v>7200</v>
      </c>
      <c r="R870" s="43">
        <f>IF($B870="","",N($S870)-N($Q870))</f>
        <v/>
      </c>
      <c r="S870" s="43">
        <f>IF($B870="","",N($L870)+N($N870)+N($P870))</f>
        <v/>
      </c>
      <c r="T870" s="42" t="n"/>
      <c r="U870" s="42" t="n"/>
      <c r="V870" s="42" t="n"/>
      <c r="W870" s="42" t="n"/>
      <c r="X870" s="42" t="n"/>
      <c r="Y870" s="42" t="n"/>
      <c r="Z870" s="42" t="n"/>
      <c r="AA870" s="42" t="n"/>
      <c r="AB870" s="42" t="n"/>
      <c r="AC870" s="42" t="n"/>
      <c r="AD870" s="42" t="n"/>
      <c r="AE870" s="42" t="n"/>
      <c r="AF870" s="43">
        <f>IF($B870="","",SUM($T870:$AE870))</f>
        <v/>
      </c>
      <c r="AG870" s="43">
        <f>IF($B870="","",N($M870)-N($AF870))</f>
        <v/>
      </c>
      <c r="AH870" s="43">
        <f>IF($B870="","",N($L870)-N($AF870))</f>
        <v/>
      </c>
      <c r="AI870" s="149">
        <f>IF($B870="","",IF(N($L870)=0,"",(N($L870)-N($AF870))/N($L870)))</f>
        <v/>
      </c>
    </row>
    <row r="871">
      <c r="A871" s="39">
        <f>IF($B871="","",COUNTA($B$4:$B871))</f>
        <v/>
      </c>
      <c r="B871" s="45" t="n">
        <v>46130</v>
      </c>
      <c r="C871" s="46" t="n">
        <v>2610</v>
      </c>
      <c r="D871" s="46" t="inlineStr">
        <is>
          <t>استوريا خ</t>
        </is>
      </c>
      <c r="E871" s="46" t="inlineStr">
        <is>
          <t>1*40</t>
        </is>
      </c>
      <c r="F871" s="46" t="inlineStr">
        <is>
          <t xml:space="preserve">يوروتال </t>
        </is>
      </c>
      <c r="G871" s="46" t="inlineStr">
        <is>
          <t xml:space="preserve">العبور </t>
        </is>
      </c>
      <c r="H871" s="46" t="inlineStr">
        <is>
          <t>614276/8</t>
        </is>
      </c>
      <c r="I871" s="46" t="inlineStr">
        <is>
          <t>ب س ج 2536</t>
        </is>
      </c>
      <c r="J871" s="46" t="inlineStr">
        <is>
          <t xml:space="preserve">احمد جرجر </t>
        </is>
      </c>
      <c r="K871" s="46" t="inlineStr">
        <is>
          <t>استوريا</t>
        </is>
      </c>
      <c r="L871" s="47" t="n">
        <v>15500</v>
      </c>
      <c r="M871" s="47" t="n">
        <v>8100</v>
      </c>
      <c r="N871" s="47" t="n"/>
      <c r="O871" s="47" t="n">
        <v>200</v>
      </c>
      <c r="P871" s="47" t="n"/>
      <c r="Q871" s="47" t="n">
        <v>7200</v>
      </c>
      <c r="R871" s="43">
        <f>IF($B871="","",N($S871)-N($Q871))</f>
        <v/>
      </c>
      <c r="S871" s="43">
        <f>IF($B871="","",N($L871)+N($N871)+N($P871))</f>
        <v/>
      </c>
      <c r="T871" s="47" t="n"/>
      <c r="U871" s="47" t="n"/>
      <c r="V871" s="47" t="n"/>
      <c r="W871" s="47" t="n"/>
      <c r="X871" s="47" t="n"/>
      <c r="Y871" s="47" t="n"/>
      <c r="Z871" s="47" t="n"/>
      <c r="AA871" s="47" t="n"/>
      <c r="AB871" s="47" t="n"/>
      <c r="AC871" s="47" t="n"/>
      <c r="AD871" s="47" t="n"/>
      <c r="AE871" s="47" t="n"/>
      <c r="AF871" s="43">
        <f>IF($B871="","",SUM($T871:$AE871))</f>
        <v/>
      </c>
      <c r="AG871" s="43">
        <f>IF($B871="","",N($M871)-N($AF871))</f>
        <v/>
      </c>
      <c r="AH871" s="43">
        <f>IF($B871="","",N($L871)-N($AF871))</f>
        <v/>
      </c>
      <c r="AI871" s="149">
        <f>IF($B871="","",IF(N($L871)=0,"",(N($L871)-N($AF871))/N($L871)))</f>
        <v/>
      </c>
    </row>
    <row r="872">
      <c r="A872" s="39">
        <f>IF($B872="","",COUNTA($B$4:$B872))</f>
        <v/>
      </c>
      <c r="B872" s="40" t="n">
        <v>46130</v>
      </c>
      <c r="C872" s="41" t="n">
        <v>2612</v>
      </c>
      <c r="D872" s="41" t="inlineStr">
        <is>
          <t xml:space="preserve">كمال رزق </t>
        </is>
      </c>
      <c r="E872" s="41" t="inlineStr">
        <is>
          <t>1*40</t>
        </is>
      </c>
      <c r="F872" s="41" t="inlineStr">
        <is>
          <t xml:space="preserve">يوروتال </t>
        </is>
      </c>
      <c r="G872" s="41" t="inlineStr">
        <is>
          <t xml:space="preserve">العبور </t>
        </is>
      </c>
      <c r="H872" s="41" t="inlineStr">
        <is>
          <t>935760/0</t>
        </is>
      </c>
      <c r="I872" s="41" t="inlineStr">
        <is>
          <t>س ن ر 979</t>
        </is>
      </c>
      <c r="J872" s="41" t="inlineStr">
        <is>
          <t xml:space="preserve">عماد سعيد </t>
        </is>
      </c>
      <c r="K872" s="41" t="inlineStr">
        <is>
          <t xml:space="preserve">عماد سعيد </t>
        </is>
      </c>
      <c r="L872" s="42" t="n">
        <v>15000</v>
      </c>
      <c r="M872" s="42" t="n">
        <v>8100</v>
      </c>
      <c r="N872" s="42" t="n"/>
      <c r="O872" s="42" t="n">
        <v>200</v>
      </c>
      <c r="P872" s="42" t="n"/>
      <c r="Q872" s="42" t="n">
        <v>6700</v>
      </c>
      <c r="R872" s="43">
        <f>IF($B872="","",N($S872)-N($Q872))</f>
        <v/>
      </c>
      <c r="S872" s="43">
        <f>IF($B872="","",N($L872)+N($N872)+N($P872))</f>
        <v/>
      </c>
      <c r="T872" s="42" t="n"/>
      <c r="U872" s="42" t="n"/>
      <c r="V872" s="42" t="n"/>
      <c r="W872" s="42" t="n"/>
      <c r="X872" s="42" t="n"/>
      <c r="Y872" s="42" t="n"/>
      <c r="Z872" s="42" t="n"/>
      <c r="AA872" s="42" t="n"/>
      <c r="AB872" s="42" t="n"/>
      <c r="AC872" s="42" t="n"/>
      <c r="AD872" s="42" t="n"/>
      <c r="AE872" s="42" t="n"/>
      <c r="AF872" s="43">
        <f>IF($B872="","",SUM($T872:$AE872))</f>
        <v/>
      </c>
      <c r="AG872" s="43">
        <f>IF($B872="","",N($M872)-N($AF872))</f>
        <v/>
      </c>
      <c r="AH872" s="43">
        <f>IF($B872="","",N($L872)-N($AF872))</f>
        <v/>
      </c>
      <c r="AI872" s="149">
        <f>IF($B872="","",IF(N($L872)=0,"",(N($L872)-N($AF872))/N($L872)))</f>
        <v/>
      </c>
    </row>
    <row r="873">
      <c r="A873" s="39">
        <f>IF($B873="","",COUNTA($B$4:$B873))</f>
        <v/>
      </c>
      <c r="B873" s="45" t="n">
        <v>46130</v>
      </c>
      <c r="C873" s="46" t="n">
        <v>2613</v>
      </c>
      <c r="D873" s="46" t="inlineStr">
        <is>
          <t xml:space="preserve">احمد محسن </t>
        </is>
      </c>
      <c r="E873" s="46" t="inlineStr">
        <is>
          <t>1*40</t>
        </is>
      </c>
      <c r="F873" s="46" t="inlineStr">
        <is>
          <t xml:space="preserve">يوروتال </t>
        </is>
      </c>
      <c r="G873" s="46" t="inlineStr">
        <is>
          <t xml:space="preserve">العبور </t>
        </is>
      </c>
      <c r="H873" s="46" t="inlineStr">
        <is>
          <t>413760/0</t>
        </is>
      </c>
      <c r="I873" s="46" t="inlineStr">
        <is>
          <t>س ه ف 1387</t>
        </is>
      </c>
      <c r="J873" s="46" t="inlineStr">
        <is>
          <t xml:space="preserve">ابراهيم محمود </t>
        </is>
      </c>
      <c r="K873" s="46" t="inlineStr">
        <is>
          <t xml:space="preserve">احمد محسن </t>
        </is>
      </c>
      <c r="L873" s="47" t="n">
        <v>15000</v>
      </c>
      <c r="M873" s="47" t="n">
        <v>8100</v>
      </c>
      <c r="N873" s="47" t="n"/>
      <c r="O873" s="47" t="n">
        <v>200</v>
      </c>
      <c r="P873" s="47" t="n"/>
      <c r="Q873" s="47" t="n">
        <v>6700</v>
      </c>
      <c r="R873" s="43">
        <f>IF($B873="","",N($S873)-N($Q873))</f>
        <v/>
      </c>
      <c r="S873" s="43">
        <f>IF($B873="","",N($L873)+N($N873)+N($P873))</f>
        <v/>
      </c>
      <c r="T873" s="47" t="n"/>
      <c r="U873" s="47" t="n"/>
      <c r="V873" s="47" t="n"/>
      <c r="W873" s="47" t="n"/>
      <c r="X873" s="47" t="n"/>
      <c r="Y873" s="47" t="n"/>
      <c r="Z873" s="47" t="n"/>
      <c r="AA873" s="47" t="n"/>
      <c r="AB873" s="47" t="n"/>
      <c r="AC873" s="47" t="n"/>
      <c r="AD873" s="47" t="n"/>
      <c r="AE873" s="47" t="n"/>
      <c r="AF873" s="43">
        <f>IF($B873="","",SUM($T873:$AE873))</f>
        <v/>
      </c>
      <c r="AG873" s="43">
        <f>IF($B873="","",N($M873)-N($AF873))</f>
        <v/>
      </c>
      <c r="AH873" s="43">
        <f>IF($B873="","",N($L873)-N($AF873))</f>
        <v/>
      </c>
      <c r="AI873" s="149">
        <f>IF($B873="","",IF(N($L873)=0,"",(N($L873)-N($AF873))/N($L873)))</f>
        <v/>
      </c>
    </row>
    <row r="874">
      <c r="A874" s="39">
        <f>IF($B874="","",COUNTA($B$4:$B874))</f>
        <v/>
      </c>
      <c r="B874" s="40" t="n">
        <v>46130</v>
      </c>
      <c r="C874" s="41" t="n">
        <v>2246</v>
      </c>
      <c r="D874" s="41" t="inlineStr">
        <is>
          <t>الشريف خ</t>
        </is>
      </c>
      <c r="E874" s="41" t="inlineStr">
        <is>
          <t>2*20</t>
        </is>
      </c>
      <c r="F874" s="41" t="inlineStr">
        <is>
          <t xml:space="preserve">السويدى بوليمرز </t>
        </is>
      </c>
      <c r="G874" s="41" t="inlineStr">
        <is>
          <t xml:space="preserve">العاشر </t>
        </is>
      </c>
      <c r="H874" s="41" t="inlineStr">
        <is>
          <t>283518/1-0514754/0</t>
        </is>
      </c>
      <c r="I874" s="41" t="inlineStr">
        <is>
          <t>ب ر ط 1726</t>
        </is>
      </c>
      <c r="J874" s="41" t="inlineStr">
        <is>
          <t xml:space="preserve">ابراهيم الميت </t>
        </is>
      </c>
      <c r="K874" s="41" t="inlineStr">
        <is>
          <t xml:space="preserve">الميت </t>
        </is>
      </c>
      <c r="L874" s="42" t="n">
        <v>20000</v>
      </c>
      <c r="M874" s="42" t="n">
        <v>11100</v>
      </c>
      <c r="N874" s="42" t="n"/>
      <c r="O874" s="42" t="n">
        <v>200</v>
      </c>
      <c r="P874" s="42" t="n"/>
      <c r="Q874" s="42" t="n">
        <v>8700</v>
      </c>
      <c r="R874" s="43">
        <f>IF($B874="","",N($S874)-N($Q874))</f>
        <v/>
      </c>
      <c r="S874" s="43">
        <f>IF($B874="","",N($L874)+N($N874)+N($P874))</f>
        <v/>
      </c>
      <c r="T874" s="42" t="n"/>
      <c r="U874" s="42" t="n"/>
      <c r="V874" s="42" t="n"/>
      <c r="W874" s="42" t="n"/>
      <c r="X874" s="42" t="n"/>
      <c r="Y874" s="42" t="n"/>
      <c r="Z874" s="42" t="n"/>
      <c r="AA874" s="42" t="n"/>
      <c r="AB874" s="42" t="n"/>
      <c r="AC874" s="42" t="n"/>
      <c r="AD874" s="42" t="n"/>
      <c r="AE874" s="42" t="n"/>
      <c r="AF874" s="43">
        <f>IF($B874="","",SUM($T874:$AE874))</f>
        <v/>
      </c>
      <c r="AG874" s="43">
        <f>IF($B874="","",N($M874)-N($AF874))</f>
        <v/>
      </c>
      <c r="AH874" s="43">
        <f>IF($B874="","",N($L874)-N($AF874))</f>
        <v/>
      </c>
      <c r="AI874" s="149">
        <f>IF($B874="","",IF(N($L874)=0,"",(N($L874)-N($AF874))/N($L874)))</f>
        <v/>
      </c>
    </row>
    <row r="875">
      <c r="A875" s="39">
        <f>IF($B875="","",COUNTA($B$4:$B875))</f>
        <v/>
      </c>
      <c r="B875" s="45" t="n">
        <v>46130</v>
      </c>
      <c r="C875" s="46" t="n">
        <v>2244</v>
      </c>
      <c r="D875" s="46" t="inlineStr">
        <is>
          <t>الشريف خ</t>
        </is>
      </c>
      <c r="E875" s="46" t="inlineStr">
        <is>
          <t>2*20</t>
        </is>
      </c>
      <c r="F875" s="46" t="inlineStr">
        <is>
          <t xml:space="preserve">السويدى بوليمرز </t>
        </is>
      </c>
      <c r="G875" s="46" t="inlineStr">
        <is>
          <t xml:space="preserve">العاشر </t>
        </is>
      </c>
      <c r="H875" s="46" t="inlineStr">
        <is>
          <t>213452/0-270961/9</t>
        </is>
      </c>
      <c r="I875" s="46" t="inlineStr">
        <is>
          <t>ب س ا 7385</t>
        </is>
      </c>
      <c r="J875" s="46" t="inlineStr">
        <is>
          <t>محمد خليل</t>
        </is>
      </c>
      <c r="K875" s="46" t="inlineStr">
        <is>
          <t xml:space="preserve">الميت </t>
        </is>
      </c>
      <c r="L875" s="47" t="n">
        <v>20000</v>
      </c>
      <c r="M875" s="47" t="n">
        <v>11100</v>
      </c>
      <c r="N875" s="47" t="n"/>
      <c r="O875" s="47" t="n">
        <v>200</v>
      </c>
      <c r="P875" s="47" t="n"/>
      <c r="Q875" s="47" t="n">
        <v>8700</v>
      </c>
      <c r="R875" s="43">
        <f>IF($B875="","",N($S875)-N($Q875))</f>
        <v/>
      </c>
      <c r="S875" s="43">
        <f>IF($B875="","",N($L875)+N($N875)+N($P875))</f>
        <v/>
      </c>
      <c r="T875" s="47" t="n"/>
      <c r="U875" s="47" t="n"/>
      <c r="V875" s="47" t="n"/>
      <c r="W875" s="47" t="n"/>
      <c r="X875" s="47" t="n"/>
      <c r="Y875" s="47" t="n"/>
      <c r="Z875" s="47" t="n"/>
      <c r="AA875" s="47" t="n"/>
      <c r="AB875" s="47" t="n"/>
      <c r="AC875" s="47" t="n"/>
      <c r="AD875" s="47" t="n"/>
      <c r="AE875" s="47" t="n"/>
      <c r="AF875" s="43">
        <f>IF($B875="","",SUM($T875:$AE875))</f>
        <v/>
      </c>
      <c r="AG875" s="43">
        <f>IF($B875="","",N($M875)-N($AF875))</f>
        <v/>
      </c>
      <c r="AH875" s="43">
        <f>IF($B875="","",N($L875)-N($AF875))</f>
        <v/>
      </c>
      <c r="AI875" s="149">
        <f>IF($B875="","",IF(N($L875)=0,"",(N($L875)-N($AF875))/N($L875)))</f>
        <v/>
      </c>
    </row>
    <row r="876">
      <c r="A876" s="39">
        <f>IF($B876="","",COUNTA($B$4:$B876))</f>
        <v/>
      </c>
      <c r="B876" s="40" t="n">
        <v>46130</v>
      </c>
      <c r="C876" s="41" t="n">
        <v>2238</v>
      </c>
      <c r="D876" s="41" t="inlineStr">
        <is>
          <t>عتريس مخيمر  خ</t>
        </is>
      </c>
      <c r="E876" s="41" t="inlineStr">
        <is>
          <t>2*20</t>
        </is>
      </c>
      <c r="F876" s="41" t="inlineStr">
        <is>
          <t xml:space="preserve">السويدى بوليمرز </t>
        </is>
      </c>
      <c r="G876" s="41" t="inlineStr">
        <is>
          <t>العاشر</t>
        </is>
      </c>
      <c r="H876" s="41" t="inlineStr">
        <is>
          <t>264989/1-244682/6</t>
        </is>
      </c>
      <c r="I876" s="41" t="inlineStr">
        <is>
          <t>ب ص ا 2574</t>
        </is>
      </c>
      <c r="J876" s="41" t="inlineStr">
        <is>
          <t xml:space="preserve">محمد البحيرى </t>
        </is>
      </c>
      <c r="K876" s="41" t="inlineStr">
        <is>
          <t xml:space="preserve">احمد خليف </t>
        </is>
      </c>
      <c r="L876" s="42" t="n">
        <v>20000</v>
      </c>
      <c r="M876" s="42" t="n">
        <v>11100</v>
      </c>
      <c r="N876" s="42" t="n"/>
      <c r="O876" s="42" t="n">
        <v>200</v>
      </c>
      <c r="P876" s="42" t="n"/>
      <c r="Q876" s="42" t="n">
        <v>8700</v>
      </c>
      <c r="R876" s="43">
        <f>IF($B876="","",N($S876)-N($Q876))</f>
        <v/>
      </c>
      <c r="S876" s="43">
        <f>IF($B876="","",N($L876)+N($N876)+N($P876))</f>
        <v/>
      </c>
      <c r="T876" s="42" t="n"/>
      <c r="U876" s="42" t="n"/>
      <c r="V876" s="42" t="n"/>
      <c r="W876" s="42" t="n"/>
      <c r="X876" s="42" t="n"/>
      <c r="Y876" s="42" t="n"/>
      <c r="Z876" s="42" t="n"/>
      <c r="AA876" s="42" t="n"/>
      <c r="AB876" s="42" t="n"/>
      <c r="AC876" s="42" t="n"/>
      <c r="AD876" s="42" t="n"/>
      <c r="AE876" s="42" t="n"/>
      <c r="AF876" s="43">
        <f>IF($B876="","",SUM($T876:$AE876))</f>
        <v/>
      </c>
      <c r="AG876" s="43">
        <f>IF($B876="","",N($M876)-N($AF876))</f>
        <v/>
      </c>
      <c r="AH876" s="43">
        <f>IF($B876="","",N($L876)-N($AF876))</f>
        <v/>
      </c>
      <c r="AI876" s="149">
        <f>IF($B876="","",IF(N($L876)=0,"",(N($L876)-N($AF876))/N($L876)))</f>
        <v/>
      </c>
    </row>
    <row r="877">
      <c r="A877" s="39">
        <f>IF($B877="","",COUNTA($B$4:$B877))</f>
        <v/>
      </c>
      <c r="B877" s="45" t="n">
        <v>46130</v>
      </c>
      <c r="C877" s="46" t="n">
        <v>2240</v>
      </c>
      <c r="D877" s="46" t="inlineStr">
        <is>
          <t xml:space="preserve">محمد لطفى </t>
        </is>
      </c>
      <c r="E877" s="46" t="inlineStr">
        <is>
          <t>2*20</t>
        </is>
      </c>
      <c r="F877" s="46" t="inlineStr">
        <is>
          <t xml:space="preserve">السويدى بوليمرز </t>
        </is>
      </c>
      <c r="G877" s="46" t="inlineStr">
        <is>
          <t xml:space="preserve">العاشر </t>
        </is>
      </c>
      <c r="H877" s="46" t="inlineStr">
        <is>
          <t>275956/4-267464/1</t>
        </is>
      </c>
      <c r="I877" s="46" t="inlineStr">
        <is>
          <t>ق ب ع 5358</t>
        </is>
      </c>
      <c r="J877" s="46" t="inlineStr">
        <is>
          <t xml:space="preserve">كريم الغامرى </t>
        </is>
      </c>
      <c r="K877" s="46" t="inlineStr">
        <is>
          <t xml:space="preserve">الغامرى </t>
        </is>
      </c>
      <c r="L877" s="47" t="n">
        <v>20500</v>
      </c>
      <c r="M877" s="47" t="n">
        <v>11100</v>
      </c>
      <c r="N877" s="47" t="n"/>
      <c r="O877" s="47" t="n">
        <v>200</v>
      </c>
      <c r="P877" s="47" t="n"/>
      <c r="Q877" s="47" t="n">
        <v>9200</v>
      </c>
      <c r="R877" s="43">
        <f>IF($B877="","",N($S877)-N($Q877))</f>
        <v/>
      </c>
      <c r="S877" s="43">
        <f>IF($B877="","",N($L877)+N($N877)+N($P877))</f>
        <v/>
      </c>
      <c r="T877" s="47" t="n"/>
      <c r="U877" s="47" t="n"/>
      <c r="V877" s="47" t="n"/>
      <c r="W877" s="47" t="n"/>
      <c r="X877" s="47" t="n"/>
      <c r="Y877" s="47" t="n"/>
      <c r="Z877" s="47" t="n"/>
      <c r="AA877" s="47" t="n"/>
      <c r="AB877" s="47" t="n"/>
      <c r="AC877" s="47" t="n"/>
      <c r="AD877" s="47" t="n"/>
      <c r="AE877" s="47" t="n"/>
      <c r="AF877" s="43">
        <f>IF($B877="","",SUM($T877:$AE877))</f>
        <v/>
      </c>
      <c r="AG877" s="43">
        <f>IF($B877="","",N($M877)-N($AF877))</f>
        <v/>
      </c>
      <c r="AH877" s="43">
        <f>IF($B877="","",N($L877)-N($AF877))</f>
        <v/>
      </c>
      <c r="AI877" s="149">
        <f>IF($B877="","",IF(N($L877)=0,"",(N($L877)-N($AF877))/N($L877)))</f>
        <v/>
      </c>
    </row>
    <row r="878">
      <c r="A878" s="39">
        <f>IF($B878="","",COUNTA($B$4:$B878))</f>
        <v/>
      </c>
      <c r="B878" s="40" t="n">
        <v>46130</v>
      </c>
      <c r="C878" s="41" t="n">
        <v>2243</v>
      </c>
      <c r="D878" s="41" t="inlineStr">
        <is>
          <t>الدهشان</t>
        </is>
      </c>
      <c r="E878" s="41" t="inlineStr">
        <is>
          <t>2*20</t>
        </is>
      </c>
      <c r="F878" s="41" t="inlineStr">
        <is>
          <t xml:space="preserve">السويدى بوليمرز </t>
        </is>
      </c>
      <c r="G878" s="41" t="inlineStr">
        <is>
          <t xml:space="preserve">العاشر </t>
        </is>
      </c>
      <c r="H878" s="41" t="inlineStr">
        <is>
          <t>028017/1-033824/7</t>
        </is>
      </c>
      <c r="I878" s="41" t="inlineStr">
        <is>
          <t>ق ع و 2185</t>
        </is>
      </c>
      <c r="J878" s="41" t="inlineStr">
        <is>
          <t xml:space="preserve">خالد محمود </t>
        </is>
      </c>
      <c r="K878" s="41" t="inlineStr">
        <is>
          <t xml:space="preserve">الغامرى </t>
        </is>
      </c>
      <c r="L878" s="42" t="n">
        <v>20500</v>
      </c>
      <c r="M878" s="42" t="n">
        <v>11100</v>
      </c>
      <c r="N878" s="42" t="n"/>
      <c r="O878" s="42" t="n">
        <v>200</v>
      </c>
      <c r="P878" s="42" t="n"/>
      <c r="Q878" s="42" t="n">
        <v>9200</v>
      </c>
      <c r="R878" s="43">
        <f>IF($B878="","",N($S878)-N($Q878))</f>
        <v/>
      </c>
      <c r="S878" s="43">
        <f>IF($B878="","",N($L878)+N($N878)+N($P878))</f>
        <v/>
      </c>
      <c r="T878" s="42" t="n"/>
      <c r="U878" s="42" t="n"/>
      <c r="V878" s="42" t="n"/>
      <c r="W878" s="42" t="n"/>
      <c r="X878" s="42" t="n"/>
      <c r="Y878" s="42" t="n"/>
      <c r="Z878" s="42" t="n"/>
      <c r="AA878" s="42" t="n"/>
      <c r="AB878" s="42" t="n"/>
      <c r="AC878" s="42" t="n"/>
      <c r="AD878" s="42" t="n"/>
      <c r="AE878" s="42" t="n"/>
      <c r="AF878" s="43">
        <f>IF($B878="","",SUM($T878:$AE878))</f>
        <v/>
      </c>
      <c r="AG878" s="43">
        <f>IF($B878="","",N($M878)-N($AF878))</f>
        <v/>
      </c>
      <c r="AH878" s="43">
        <f>IF($B878="","",N($L878)-N($AF878))</f>
        <v/>
      </c>
      <c r="AI878" s="149">
        <f>IF($B878="","",IF(N($L878)=0,"",(N($L878)-N($AF878))/N($L878)))</f>
        <v/>
      </c>
    </row>
    <row r="879">
      <c r="A879" s="39">
        <f>IF($B879="","",COUNTA($B$4:$B879))</f>
        <v/>
      </c>
      <c r="B879" s="45" t="n">
        <v>46130</v>
      </c>
      <c r="C879" s="46" t="n">
        <v>2239</v>
      </c>
      <c r="D879" s="46" t="inlineStr">
        <is>
          <t>صعيدى 4</t>
        </is>
      </c>
      <c r="E879" s="46" t="inlineStr">
        <is>
          <t>2*20</t>
        </is>
      </c>
      <c r="F879" s="46" t="inlineStr">
        <is>
          <t xml:space="preserve">السويدى بوليمرز </t>
        </is>
      </c>
      <c r="G879" s="46" t="inlineStr">
        <is>
          <t>العاشر</t>
        </is>
      </c>
      <c r="H879" s="46" t="inlineStr">
        <is>
          <t>234749/0-019592/7</t>
        </is>
      </c>
      <c r="I879" s="46" t="inlineStr">
        <is>
          <t>س ف ب 3176</t>
        </is>
      </c>
      <c r="J879" s="46" t="inlineStr">
        <is>
          <t xml:space="preserve">السيد عبد العزيز </t>
        </is>
      </c>
      <c r="K879" s="46" t="inlineStr">
        <is>
          <t xml:space="preserve">محمد الصعيدى </t>
        </is>
      </c>
      <c r="L879" s="47" t="n">
        <v>20500</v>
      </c>
      <c r="M879" s="47" t="n">
        <v>9100</v>
      </c>
      <c r="N879" s="47" t="n"/>
      <c r="O879" s="47" t="n">
        <v>200</v>
      </c>
      <c r="P879" s="47" t="n"/>
      <c r="Q879" s="47" t="n">
        <v>11200</v>
      </c>
      <c r="R879" s="43">
        <f>IF($B879="","",N($S879)-N($Q879))</f>
        <v/>
      </c>
      <c r="S879" s="43">
        <f>IF($B879="","",N($L879)+N($N879)+N($P879))</f>
        <v/>
      </c>
      <c r="T879" s="47" t="n"/>
      <c r="U879" s="47" t="n"/>
      <c r="V879" s="47" t="n"/>
      <c r="W879" s="47" t="n"/>
      <c r="X879" s="47" t="n"/>
      <c r="Y879" s="47" t="n"/>
      <c r="Z879" s="47" t="n"/>
      <c r="AA879" s="47" t="n"/>
      <c r="AB879" s="47" t="n"/>
      <c r="AC879" s="47" t="n"/>
      <c r="AD879" s="47" t="n"/>
      <c r="AE879" s="47" t="n"/>
      <c r="AF879" s="43">
        <f>IF($B879="","",SUM($T879:$AE879))</f>
        <v/>
      </c>
      <c r="AG879" s="43">
        <f>IF($B879="","",N($M879)-N($AF879))</f>
        <v/>
      </c>
      <c r="AH879" s="43">
        <f>IF($B879="","",N($L879)-N($AF879))</f>
        <v/>
      </c>
      <c r="AI879" s="149">
        <f>IF($B879="","",IF(N($L879)=0,"",(N($L879)-N($AF879))/N($L879)))</f>
        <v/>
      </c>
    </row>
    <row r="880">
      <c r="A880" s="39">
        <f>IF($B880="","",COUNTA($B$4:$B880))</f>
        <v/>
      </c>
      <c r="B880" s="40" t="n">
        <v>46130</v>
      </c>
      <c r="C880" s="41" t="n">
        <v>2241</v>
      </c>
      <c r="D880" s="41" t="inlineStr">
        <is>
          <t>صعيدى 4</t>
        </is>
      </c>
      <c r="E880" s="41" t="inlineStr">
        <is>
          <t>2*20</t>
        </is>
      </c>
      <c r="F880" s="41" t="inlineStr">
        <is>
          <t xml:space="preserve">السويدى بوليمرز </t>
        </is>
      </c>
      <c r="G880" s="41" t="inlineStr">
        <is>
          <t xml:space="preserve">العاشر </t>
        </is>
      </c>
      <c r="H880" s="41" t="inlineStr">
        <is>
          <t>280756/0-271704/4</t>
        </is>
      </c>
      <c r="I880" s="41" t="inlineStr">
        <is>
          <t>س ل ج 2521</t>
        </is>
      </c>
      <c r="J880" s="41" t="inlineStr">
        <is>
          <t xml:space="preserve">احمد جمال </t>
        </is>
      </c>
      <c r="K880" s="41" t="inlineStr">
        <is>
          <t xml:space="preserve">محمد الصعيدى </t>
        </is>
      </c>
      <c r="L880" s="42" t="n">
        <v>20500</v>
      </c>
      <c r="M880" s="42" t="n">
        <v>9100</v>
      </c>
      <c r="N880" s="42" t="n"/>
      <c r="O880" s="42" t="n">
        <v>200</v>
      </c>
      <c r="P880" s="42" t="n"/>
      <c r="Q880" s="42" t="n">
        <v>11200</v>
      </c>
      <c r="R880" s="43">
        <f>IF($B880="","",N($S880)-N($Q880))</f>
        <v/>
      </c>
      <c r="S880" s="43">
        <f>IF($B880="","",N($L880)+N($N880)+N($P880))</f>
        <v/>
      </c>
      <c r="T880" s="42" t="n"/>
      <c r="U880" s="42" t="n"/>
      <c r="V880" s="42" t="n"/>
      <c r="W880" s="42" t="n"/>
      <c r="X880" s="42" t="n"/>
      <c r="Y880" s="42" t="n"/>
      <c r="Z880" s="42" t="n"/>
      <c r="AA880" s="42" t="n"/>
      <c r="AB880" s="42" t="n"/>
      <c r="AC880" s="42" t="n"/>
      <c r="AD880" s="42" t="n"/>
      <c r="AE880" s="42" t="n"/>
      <c r="AF880" s="43">
        <f>IF($B880="","",SUM($T880:$AE880))</f>
        <v/>
      </c>
      <c r="AG880" s="43">
        <f>IF($B880="","",N($M880)-N($AF880))</f>
        <v/>
      </c>
      <c r="AH880" s="43">
        <f>IF($B880="","",N($L880)-N($AF880))</f>
        <v/>
      </c>
      <c r="AI880" s="149">
        <f>IF($B880="","",IF(N($L880)=0,"",(N($L880)-N($AF880))/N($L880)))</f>
        <v/>
      </c>
    </row>
    <row r="881">
      <c r="A881" s="39">
        <f>IF($B881="","",COUNTA($B$4:$B881))</f>
        <v/>
      </c>
      <c r="B881" s="45" t="n">
        <v>46130</v>
      </c>
      <c r="C881" s="46" t="n">
        <v>2242</v>
      </c>
      <c r="D881" s="46" t="inlineStr">
        <is>
          <t>رجب عبد العال</t>
        </is>
      </c>
      <c r="E881" s="46" t="inlineStr">
        <is>
          <t>1*20</t>
        </is>
      </c>
      <c r="F881" s="46" t="inlineStr">
        <is>
          <t xml:space="preserve">السويدى بوليمرز </t>
        </is>
      </c>
      <c r="G881" s="46" t="inlineStr">
        <is>
          <t xml:space="preserve">العاشر </t>
        </is>
      </c>
      <c r="H881" s="46" t="inlineStr">
        <is>
          <t>2667736/0</t>
        </is>
      </c>
      <c r="I881" s="46" t="inlineStr">
        <is>
          <t>م ل ف 3512</t>
        </is>
      </c>
      <c r="J881" s="46" t="inlineStr">
        <is>
          <t xml:space="preserve">زنهم عبد المنعم </t>
        </is>
      </c>
      <c r="K881" s="46" t="inlineStr">
        <is>
          <t xml:space="preserve">ايمن جيدة </t>
        </is>
      </c>
      <c r="L881" s="47" t="n">
        <v>16000</v>
      </c>
      <c r="M881" s="47" t="n">
        <v>8100</v>
      </c>
      <c r="N881" s="47" t="n"/>
      <c r="O881" s="47" t="n">
        <v>200</v>
      </c>
      <c r="P881" s="47" t="n"/>
      <c r="Q881" s="47" t="n">
        <v>7700</v>
      </c>
      <c r="R881" s="43">
        <f>IF($B881="","",N($S881)-N($Q881))</f>
        <v/>
      </c>
      <c r="S881" s="43">
        <f>IF($B881="","",N($L881)+N($N881)+N($P881))</f>
        <v/>
      </c>
      <c r="T881" s="47" t="n"/>
      <c r="U881" s="47" t="n"/>
      <c r="V881" s="47" t="n"/>
      <c r="W881" s="47" t="n"/>
      <c r="X881" s="47" t="n"/>
      <c r="Y881" s="47" t="n"/>
      <c r="Z881" s="47" t="n"/>
      <c r="AA881" s="47" t="n"/>
      <c r="AB881" s="47" t="n"/>
      <c r="AC881" s="47" t="n"/>
      <c r="AD881" s="47" t="n"/>
      <c r="AE881" s="47" t="n"/>
      <c r="AF881" s="43">
        <f>IF($B881="","",SUM($T881:$AE881))</f>
        <v/>
      </c>
      <c r="AG881" s="43">
        <f>IF($B881="","",N($M881)-N($AF881))</f>
        <v/>
      </c>
      <c r="AH881" s="43">
        <f>IF($B881="","",N($L881)-N($AF881))</f>
        <v/>
      </c>
      <c r="AI881" s="149">
        <f>IF($B881="","",IF(N($L881)=0,"",(N($L881)-N($AF881))/N($L881)))</f>
        <v/>
      </c>
    </row>
    <row r="882">
      <c r="A882" s="39">
        <f>IF($B882="","",COUNTA($B$4:$B882))</f>
        <v/>
      </c>
      <c r="B882" s="40" t="n">
        <v>46130</v>
      </c>
      <c r="C882" s="41" t="n">
        <v>2582</v>
      </c>
      <c r="D882" s="41" t="inlineStr">
        <is>
          <t xml:space="preserve">محمد يحى </t>
        </is>
      </c>
      <c r="E882" s="41" t="inlineStr">
        <is>
          <t>1*40</t>
        </is>
      </c>
      <c r="F882" s="41" t="inlineStr">
        <is>
          <t xml:space="preserve">الفرسان </t>
        </is>
      </c>
      <c r="G882" s="41" t="inlineStr">
        <is>
          <t xml:space="preserve">اكتوبر </t>
        </is>
      </c>
      <c r="H882" s="41" t="inlineStr">
        <is>
          <t>738767/1</t>
        </is>
      </c>
      <c r="I882" s="41" t="inlineStr">
        <is>
          <t>س ر ا 6671</t>
        </is>
      </c>
      <c r="J882" s="41" t="inlineStr">
        <is>
          <t xml:space="preserve">احمد الحسينى </t>
        </is>
      </c>
      <c r="K882" s="41" t="inlineStr">
        <is>
          <t xml:space="preserve">حمو مرزوق </t>
        </is>
      </c>
      <c r="L882" s="42" t="n">
        <v>16000</v>
      </c>
      <c r="M882" s="42" t="n">
        <v>8100</v>
      </c>
      <c r="N882" s="42" t="n"/>
      <c r="O882" s="42" t="n">
        <v>200</v>
      </c>
      <c r="P882" s="42" t="n"/>
      <c r="Q882" s="42" t="n">
        <v>7700</v>
      </c>
      <c r="R882" s="43">
        <f>IF($B882="","",N($S882)-N($Q882))</f>
        <v/>
      </c>
      <c r="S882" s="43">
        <f>IF($B882="","",N($L882)+N($N882)+N($P882))</f>
        <v/>
      </c>
      <c r="T882" s="42" t="n"/>
      <c r="U882" s="42" t="n"/>
      <c r="V882" s="42" t="n"/>
      <c r="W882" s="42" t="n"/>
      <c r="X882" s="42" t="n"/>
      <c r="Y882" s="42" t="n"/>
      <c r="Z882" s="42" t="n"/>
      <c r="AA882" s="42" t="n"/>
      <c r="AB882" s="42" t="n"/>
      <c r="AC882" s="42" t="n"/>
      <c r="AD882" s="42" t="n"/>
      <c r="AE882" s="42" t="n"/>
      <c r="AF882" s="43">
        <f>IF($B882="","",SUM($T882:$AE882))</f>
        <v/>
      </c>
      <c r="AG882" s="43">
        <f>IF($B882="","",N($M882)-N($AF882))</f>
        <v/>
      </c>
      <c r="AH882" s="43">
        <f>IF($B882="","",N($L882)-N($AF882))</f>
        <v/>
      </c>
      <c r="AI882" s="149">
        <f>IF($B882="","",IF(N($L882)=0,"",(N($L882)-N($AF882))/N($L882)))</f>
        <v/>
      </c>
    </row>
    <row r="883">
      <c r="A883" s="39">
        <f>IF($B883="","",COUNTA($B$4:$B883))</f>
        <v/>
      </c>
      <c r="B883" s="45" t="n">
        <v>46130</v>
      </c>
      <c r="C883" s="46" t="n">
        <v>2583</v>
      </c>
      <c r="D883" s="46" t="inlineStr">
        <is>
          <t>عتريس مخيمر  خ</t>
        </is>
      </c>
      <c r="E883" s="46" t="inlineStr">
        <is>
          <t>1*40</t>
        </is>
      </c>
      <c r="F883" s="46" t="inlineStr">
        <is>
          <t xml:space="preserve">الفرسان </t>
        </is>
      </c>
      <c r="G883" s="46" t="inlineStr">
        <is>
          <t xml:space="preserve">اكتوبر </t>
        </is>
      </c>
      <c r="H883" s="46" t="inlineStr">
        <is>
          <t>614812/9</t>
        </is>
      </c>
      <c r="I883" s="46" t="inlineStr">
        <is>
          <t>ط ف ر 1474</t>
        </is>
      </c>
      <c r="J883" s="46" t="inlineStr">
        <is>
          <t xml:space="preserve">جمال على </t>
        </is>
      </c>
      <c r="K883" s="46" t="inlineStr">
        <is>
          <t xml:space="preserve">كريم خليف </t>
        </is>
      </c>
      <c r="L883" s="47" t="n">
        <v>13500</v>
      </c>
      <c r="M883" s="47" t="n">
        <v>8100</v>
      </c>
      <c r="N883" s="47" t="n"/>
      <c r="O883" s="47" t="n">
        <v>200</v>
      </c>
      <c r="P883" s="47" t="n"/>
      <c r="Q883" s="47" t="n">
        <v>5200</v>
      </c>
      <c r="R883" s="43">
        <f>IF($B883="","",N($S883)-N($Q883))</f>
        <v/>
      </c>
      <c r="S883" s="43">
        <f>IF($B883="","",N($L883)+N($N883)+N($P883))</f>
        <v/>
      </c>
      <c r="T883" s="47" t="n"/>
      <c r="U883" s="47" t="n"/>
      <c r="V883" s="47" t="n"/>
      <c r="W883" s="47" t="n"/>
      <c r="X883" s="47" t="n"/>
      <c r="Y883" s="47" t="n"/>
      <c r="Z883" s="47" t="n"/>
      <c r="AA883" s="47" t="n"/>
      <c r="AB883" s="47" t="n"/>
      <c r="AC883" s="47" t="n"/>
      <c r="AD883" s="47" t="n"/>
      <c r="AE883" s="47" t="n"/>
      <c r="AF883" s="43">
        <f>IF($B883="","",SUM($T883:$AE883))</f>
        <v/>
      </c>
      <c r="AG883" s="43">
        <f>IF($B883="","",N($M883)-N($AF883))</f>
        <v/>
      </c>
      <c r="AH883" s="43">
        <f>IF($B883="","",N($L883)-N($AF883))</f>
        <v/>
      </c>
      <c r="AI883" s="149">
        <f>IF($B883="","",IF(N($L883)=0,"",(N($L883)-N($AF883))/N($L883)))</f>
        <v/>
      </c>
    </row>
    <row r="884">
      <c r="A884" s="39">
        <f>IF($B884="","",COUNTA($B$4:$B884))</f>
        <v/>
      </c>
      <c r="B884" s="40" t="n">
        <v>46130</v>
      </c>
      <c r="C884" s="41" t="n">
        <v>2578</v>
      </c>
      <c r="D884" s="41" t="inlineStr">
        <is>
          <t>رجب عبد العال</t>
        </is>
      </c>
      <c r="E884" s="41" t="inlineStr">
        <is>
          <t>1*40</t>
        </is>
      </c>
      <c r="F884" s="41" t="inlineStr">
        <is>
          <t xml:space="preserve">الفرسان </t>
        </is>
      </c>
      <c r="G884" s="41" t="inlineStr">
        <is>
          <t xml:space="preserve">اكتوبر </t>
        </is>
      </c>
      <c r="H884" s="41" t="inlineStr">
        <is>
          <t>412480/9</t>
        </is>
      </c>
      <c r="I884" s="41" t="inlineStr">
        <is>
          <t>س د ى 2812</t>
        </is>
      </c>
      <c r="J884" s="41" t="inlineStr">
        <is>
          <t xml:space="preserve">مجدى عب الصبور </t>
        </is>
      </c>
      <c r="K884" s="41" t="inlineStr">
        <is>
          <t>غزال</t>
        </is>
      </c>
      <c r="L884" s="42" t="n">
        <v>13500</v>
      </c>
      <c r="M884" s="42" t="n">
        <v>8100</v>
      </c>
      <c r="N884" s="42" t="n"/>
      <c r="O884" s="42" t="n">
        <v>200</v>
      </c>
      <c r="P884" s="42" t="n"/>
      <c r="Q884" s="42" t="n">
        <v>5200</v>
      </c>
      <c r="R884" s="43">
        <f>IF($B884="","",N($S884)-N($Q884))</f>
        <v/>
      </c>
      <c r="S884" s="43">
        <f>IF($B884="","",N($L884)+N($N884)+N($P884))</f>
        <v/>
      </c>
      <c r="T884" s="42" t="n"/>
      <c r="U884" s="42" t="n"/>
      <c r="V884" s="42" t="n"/>
      <c r="W884" s="42" t="n"/>
      <c r="X884" s="42" t="n"/>
      <c r="Y884" s="42" t="n"/>
      <c r="Z884" s="42" t="n"/>
      <c r="AA884" s="42" t="n"/>
      <c r="AB884" s="42" t="n"/>
      <c r="AC884" s="42" t="n"/>
      <c r="AD884" s="42" t="n"/>
      <c r="AE884" s="42" t="n"/>
      <c r="AF884" s="43">
        <f>IF($B884="","",SUM($T884:$AE884))</f>
        <v/>
      </c>
      <c r="AG884" s="43">
        <f>IF($B884="","",N($M884)-N($AF884))</f>
        <v/>
      </c>
      <c r="AH884" s="43">
        <f>IF($B884="","",N($L884)-N($AF884))</f>
        <v/>
      </c>
      <c r="AI884" s="149">
        <f>IF($B884="","",IF(N($L884)=0,"",(N($L884)-N($AF884))/N($L884)))</f>
        <v/>
      </c>
    </row>
    <row r="885">
      <c r="A885" s="39">
        <f>IF($B885="","",COUNTA($B$4:$B885))</f>
        <v/>
      </c>
      <c r="B885" s="45" t="n">
        <v>46130</v>
      </c>
      <c r="C885" s="46" t="n">
        <v>2579</v>
      </c>
      <c r="D885" s="46" t="inlineStr">
        <is>
          <t>استوريا خ</t>
        </is>
      </c>
      <c r="E885" s="46" t="inlineStr">
        <is>
          <t>1*40</t>
        </is>
      </c>
      <c r="F885" s="46" t="inlineStr">
        <is>
          <t xml:space="preserve">الفرسان </t>
        </is>
      </c>
      <c r="G885" s="46" t="inlineStr">
        <is>
          <t>اكبوبر</t>
        </is>
      </c>
      <c r="H885" s="46" t="inlineStr">
        <is>
          <t>723750/5</t>
        </is>
      </c>
      <c r="I885" s="46" t="inlineStr">
        <is>
          <t>ب د ف 6341</t>
        </is>
      </c>
      <c r="J885" s="46" t="inlineStr">
        <is>
          <t xml:space="preserve">على عبد الباسط </t>
        </is>
      </c>
      <c r="K885" s="46" t="inlineStr">
        <is>
          <t>استوريا</t>
        </is>
      </c>
      <c r="L885" s="47" t="n">
        <v>13500</v>
      </c>
      <c r="M885" s="47" t="n">
        <v>8100</v>
      </c>
      <c r="N885" s="47" t="n"/>
      <c r="O885" s="47" t="n">
        <v>200</v>
      </c>
      <c r="P885" s="47" t="n"/>
      <c r="Q885" s="47" t="n">
        <v>5200</v>
      </c>
      <c r="R885" s="43">
        <f>IF($B885="","",N($S885)-N($Q885))</f>
        <v/>
      </c>
      <c r="S885" s="43">
        <f>IF($B885="","",N($L885)+N($N885)+N($P885))</f>
        <v/>
      </c>
      <c r="T885" s="47" t="n"/>
      <c r="U885" s="47" t="n"/>
      <c r="V885" s="47" t="n"/>
      <c r="W885" s="47" t="n"/>
      <c r="X885" s="47" t="n"/>
      <c r="Y885" s="47" t="n"/>
      <c r="Z885" s="47" t="n"/>
      <c r="AA885" s="47" t="n"/>
      <c r="AB885" s="47" t="n"/>
      <c r="AC885" s="47" t="n"/>
      <c r="AD885" s="47" t="n"/>
      <c r="AE885" s="47" t="n"/>
      <c r="AF885" s="43">
        <f>IF($B885="","",SUM($T885:$AE885))</f>
        <v/>
      </c>
      <c r="AG885" s="43">
        <f>IF($B885="","",N($M885)-N($AF885))</f>
        <v/>
      </c>
      <c r="AH885" s="43">
        <f>IF($B885="","",N($L885)-N($AF885))</f>
        <v/>
      </c>
      <c r="AI885" s="149">
        <f>IF($B885="","",IF(N($L885)=0,"",(N($L885)-N($AF885))/N($L885)))</f>
        <v/>
      </c>
    </row>
    <row r="886">
      <c r="A886" s="39">
        <f>IF($B886="","",COUNTA($B$4:$B886))</f>
        <v/>
      </c>
      <c r="B886" s="40" t="n">
        <v>46130</v>
      </c>
      <c r="C886" s="41" t="n">
        <v>2580</v>
      </c>
      <c r="D886" s="41" t="inlineStr">
        <is>
          <t xml:space="preserve">احمد عبدو </t>
        </is>
      </c>
      <c r="E886" s="41" t="inlineStr">
        <is>
          <t>1*40</t>
        </is>
      </c>
      <c r="F886" s="41" t="inlineStr">
        <is>
          <t xml:space="preserve">الفرسان </t>
        </is>
      </c>
      <c r="G886" s="41" t="inlineStr">
        <is>
          <t xml:space="preserve">اكتوبر </t>
        </is>
      </c>
      <c r="H886" s="41" t="inlineStr">
        <is>
          <t>550006/9</t>
        </is>
      </c>
      <c r="I886" s="41" t="inlineStr">
        <is>
          <t>س ل ب 5917</t>
        </is>
      </c>
      <c r="J886" s="41" t="inlineStr">
        <is>
          <t xml:space="preserve">محمد ابراهيم </t>
        </is>
      </c>
      <c r="K886" s="41" t="inlineStr">
        <is>
          <t xml:space="preserve">علاء علام </t>
        </is>
      </c>
      <c r="L886" s="42" t="n">
        <v>13500</v>
      </c>
      <c r="M886" s="42" t="n">
        <v>8100</v>
      </c>
      <c r="N886" s="42" t="n"/>
      <c r="O886" s="42" t="n">
        <v>200</v>
      </c>
      <c r="P886" s="42" t="n"/>
      <c r="Q886" s="42" t="n">
        <v>5200</v>
      </c>
      <c r="R886" s="43">
        <f>IF($B886="","",N($S886)-N($Q886))</f>
        <v/>
      </c>
      <c r="S886" s="43">
        <f>IF($B886="","",N($L886)+N($N886)+N($P886))</f>
        <v/>
      </c>
      <c r="T886" s="42" t="n"/>
      <c r="U886" s="42" t="n"/>
      <c r="V886" s="42" t="n"/>
      <c r="W886" s="42" t="n"/>
      <c r="X886" s="42" t="n"/>
      <c r="Y886" s="42" t="n"/>
      <c r="Z886" s="42" t="n"/>
      <c r="AA886" s="42" t="n"/>
      <c r="AB886" s="42" t="n"/>
      <c r="AC886" s="42" t="n"/>
      <c r="AD886" s="42" t="n"/>
      <c r="AE886" s="42" t="n"/>
      <c r="AF886" s="43">
        <f>IF($B886="","",SUM($T886:$AE886))</f>
        <v/>
      </c>
      <c r="AG886" s="43">
        <f>IF($B886="","",N($M886)-N($AF886))</f>
        <v/>
      </c>
      <c r="AH886" s="43">
        <f>IF($B886="","",N($L886)-N($AF886))</f>
        <v/>
      </c>
      <c r="AI886" s="149">
        <f>IF($B886="","",IF(N($L886)=0,"",(N($L886)-N($AF886))/N($L886)))</f>
        <v/>
      </c>
    </row>
    <row r="887">
      <c r="A887" s="39">
        <f>IF($B887="","",COUNTA($B$4:$B887))</f>
        <v/>
      </c>
      <c r="B887" s="45" t="n">
        <v>46130</v>
      </c>
      <c r="C887" s="46" t="n">
        <v>2581</v>
      </c>
      <c r="D887" s="46" t="inlineStr">
        <is>
          <t xml:space="preserve">احمد عبدو </t>
        </is>
      </c>
      <c r="E887" s="46" t="inlineStr">
        <is>
          <t>1*40</t>
        </is>
      </c>
      <c r="F887" s="46" t="inlineStr">
        <is>
          <t xml:space="preserve">الفرسان </t>
        </is>
      </c>
      <c r="G887" s="46" t="inlineStr">
        <is>
          <t xml:space="preserve">اكتوبر </t>
        </is>
      </c>
      <c r="H887" s="46" t="inlineStr">
        <is>
          <t>637647/7</t>
        </is>
      </c>
      <c r="I887" s="46" t="inlineStr">
        <is>
          <t>س ا ه 8198</t>
        </is>
      </c>
      <c r="J887" s="46" t="inlineStr">
        <is>
          <t xml:space="preserve">ايمن عبدة </t>
        </is>
      </c>
      <c r="K887" s="46" t="inlineStr">
        <is>
          <t xml:space="preserve">علاء علام </t>
        </is>
      </c>
      <c r="L887" s="47" t="n">
        <v>13500</v>
      </c>
      <c r="M887" s="47" t="n">
        <v>8100</v>
      </c>
      <c r="N887" s="47" t="n"/>
      <c r="O887" s="47" t="n">
        <v>200</v>
      </c>
      <c r="P887" s="47" t="n"/>
      <c r="Q887" s="47" t="n">
        <v>5200</v>
      </c>
      <c r="R887" s="43">
        <f>IF($B887="","",N($S887)-N($Q887))</f>
        <v/>
      </c>
      <c r="S887" s="43">
        <f>IF($B887="","",N($L887)+N($N887)+N($P887))</f>
        <v/>
      </c>
      <c r="T887" s="47" t="n"/>
      <c r="U887" s="47" t="n"/>
      <c r="V887" s="47" t="n"/>
      <c r="W887" s="47" t="n"/>
      <c r="X887" s="47" t="n"/>
      <c r="Y887" s="47" t="n"/>
      <c r="Z887" s="47" t="n"/>
      <c r="AA887" s="47" t="n"/>
      <c r="AB887" s="47" t="n"/>
      <c r="AC887" s="47" t="n"/>
      <c r="AD887" s="47" t="n"/>
      <c r="AE887" s="47" t="n"/>
      <c r="AF887" s="43">
        <f>IF($B887="","",SUM($T887:$AE887))</f>
        <v/>
      </c>
      <c r="AG887" s="43">
        <f>IF($B887="","",N($M887)-N($AF887))</f>
        <v/>
      </c>
      <c r="AH887" s="43">
        <f>IF($B887="","",N($L887)-N($AF887))</f>
        <v/>
      </c>
      <c r="AI887" s="149">
        <f>IF($B887="","",IF(N($L887)=0,"",(N($L887)-N($AF887))/N($L887)))</f>
        <v/>
      </c>
    </row>
    <row r="888">
      <c r="A888" s="39">
        <f>IF($B888="","",COUNTA($B$4:$B888))</f>
        <v/>
      </c>
      <c r="B888" s="40" t="n">
        <v>46131</v>
      </c>
      <c r="C888" s="41" t="n">
        <v>2620</v>
      </c>
      <c r="D888" s="41" t="inlineStr">
        <is>
          <t>ايوب</t>
        </is>
      </c>
      <c r="E888" s="41" t="inlineStr">
        <is>
          <t>1*20</t>
        </is>
      </c>
      <c r="F888" s="41" t="inlineStr">
        <is>
          <t xml:space="preserve">السعد </t>
        </is>
      </c>
      <c r="G888" s="41" t="inlineStr">
        <is>
          <t xml:space="preserve">مؤسسة الذكاة </t>
        </is>
      </c>
      <c r="H888" s="41" t="inlineStr">
        <is>
          <t>640804/3</t>
        </is>
      </c>
      <c r="I888" s="41" t="inlineStr">
        <is>
          <t>ب د ن 5863</t>
        </is>
      </c>
      <c r="J888" s="41" t="inlineStr">
        <is>
          <t xml:space="preserve">احمد سعيد </t>
        </is>
      </c>
      <c r="K888" s="41" t="inlineStr">
        <is>
          <t xml:space="preserve">ايوب </t>
        </is>
      </c>
      <c r="L888" s="42" t="n">
        <v>14500</v>
      </c>
      <c r="M888" s="42" t="n">
        <v>8100</v>
      </c>
      <c r="N888" s="42" t="n"/>
      <c r="O888" s="42" t="n">
        <v>200</v>
      </c>
      <c r="P888" s="42" t="n"/>
      <c r="Q888" s="42" t="n">
        <v>6200</v>
      </c>
      <c r="R888" s="43">
        <f>IF($B888="","",N($S888)-N($Q888))</f>
        <v/>
      </c>
      <c r="S888" s="43">
        <f>IF($B888="","",N($L888)+N($N888)+N($P888))</f>
        <v/>
      </c>
      <c r="T888" s="42" t="n"/>
      <c r="U888" s="42" t="n"/>
      <c r="V888" s="42" t="n"/>
      <c r="W888" s="42" t="n"/>
      <c r="X888" s="42" t="n"/>
      <c r="Y888" s="42" t="n"/>
      <c r="Z888" s="42" t="n"/>
      <c r="AA888" s="42" t="n"/>
      <c r="AB888" s="42" t="n"/>
      <c r="AC888" s="42" t="n"/>
      <c r="AD888" s="42" t="n"/>
      <c r="AE888" s="42" t="n"/>
      <c r="AF888" s="43">
        <f>IF($B888="","",SUM($T888:$AE888))</f>
        <v/>
      </c>
      <c r="AG888" s="43">
        <f>IF($B888="","",N($M888)-N($AF888))</f>
        <v/>
      </c>
      <c r="AH888" s="43">
        <f>IF($B888="","",N($L888)-N($AF888))</f>
        <v/>
      </c>
      <c r="AI888" s="149">
        <f>IF($B888="","",IF(N($L888)=0,"",(N($L888)-N($AF888))/N($L888)))</f>
        <v/>
      </c>
    </row>
    <row r="889">
      <c r="A889" s="39">
        <f>IF($B889="","",COUNTA($B$4:$B889))</f>
        <v/>
      </c>
      <c r="B889" s="45" t="n">
        <v>46131</v>
      </c>
      <c r="C889" s="46" t="n">
        <v>2247</v>
      </c>
      <c r="D889" s="46" t="inlineStr">
        <is>
          <t xml:space="preserve">كمال رزق </t>
        </is>
      </c>
      <c r="E889" s="46" t="inlineStr">
        <is>
          <t>1*20</t>
        </is>
      </c>
      <c r="F889" s="46" t="inlineStr">
        <is>
          <t xml:space="preserve">اوبال شعراوى </t>
        </is>
      </c>
      <c r="G889" s="46" t="inlineStr">
        <is>
          <t>شبرا / ج م نصر</t>
        </is>
      </c>
      <c r="H889" s="46" t="inlineStr">
        <is>
          <t>830429/5</t>
        </is>
      </c>
      <c r="I889" s="46" t="inlineStr">
        <is>
          <t>س ن ر 8979</t>
        </is>
      </c>
      <c r="J889" s="46" t="inlineStr">
        <is>
          <t xml:space="preserve">عماد سعيد </t>
        </is>
      </c>
      <c r="K889" s="46" t="inlineStr">
        <is>
          <t xml:space="preserve">عماد سعيد </t>
        </is>
      </c>
      <c r="L889" s="47" t="n">
        <v>19000</v>
      </c>
      <c r="M889" s="47" t="n">
        <v>10100</v>
      </c>
      <c r="N889" s="47" t="n"/>
      <c r="O889" s="47" t="n">
        <v>200</v>
      </c>
      <c r="P889" s="47" t="n"/>
      <c r="Q889" s="47" t="n">
        <v>8700</v>
      </c>
      <c r="R889" s="43">
        <f>IF($B889="","",N($S889)-N($Q889))</f>
        <v/>
      </c>
      <c r="S889" s="43">
        <f>IF($B889="","",N($L889)+N($N889)+N($P889))</f>
        <v/>
      </c>
      <c r="T889" s="47" t="n"/>
      <c r="U889" s="47" t="n"/>
      <c r="V889" s="47" t="n"/>
      <c r="W889" s="47" t="n"/>
      <c r="X889" s="47" t="n"/>
      <c r="Y889" s="47" t="n"/>
      <c r="Z889" s="47" t="n"/>
      <c r="AA889" s="47" t="n"/>
      <c r="AB889" s="47" t="n"/>
      <c r="AC889" s="47" t="n"/>
      <c r="AD889" s="47" t="n"/>
      <c r="AE889" s="47" t="n"/>
      <c r="AF889" s="43">
        <f>IF($B889="","",SUM($T889:$AE889))</f>
        <v/>
      </c>
      <c r="AG889" s="43">
        <f>IF($B889="","",N($M889)-N($AF889))</f>
        <v/>
      </c>
      <c r="AH889" s="43">
        <f>IF($B889="","",N($L889)-N($AF889))</f>
        <v/>
      </c>
      <c r="AI889" s="149">
        <f>IF($B889="","",IF(N($L889)=0,"",(N($L889)-N($AF889))/N($L889)))</f>
        <v/>
      </c>
    </row>
    <row r="890">
      <c r="A890" s="39">
        <f>IF($B890="","",COUNTA($B$4:$B890))</f>
        <v/>
      </c>
      <c r="B890" s="40" t="n">
        <v>46131</v>
      </c>
      <c r="C890" s="41" t="n">
        <v>2615</v>
      </c>
      <c r="D890" s="41" t="inlineStr">
        <is>
          <t>استوريا خ</t>
        </is>
      </c>
      <c r="E890" s="41" t="inlineStr">
        <is>
          <t>1*40</t>
        </is>
      </c>
      <c r="F890" s="41" t="n"/>
      <c r="G890" s="41" t="inlineStr">
        <is>
          <t xml:space="preserve">العاشر </t>
        </is>
      </c>
      <c r="H890" s="41" t="inlineStr">
        <is>
          <t>608248/3</t>
        </is>
      </c>
      <c r="I890" s="41" t="inlineStr">
        <is>
          <t>ب ل ص 9635</t>
        </is>
      </c>
      <c r="J890" s="41" t="inlineStr">
        <is>
          <t xml:space="preserve">ايهاب السيد </t>
        </is>
      </c>
      <c r="K890" s="41" t="inlineStr">
        <is>
          <t>استوريا</t>
        </is>
      </c>
      <c r="L890" s="42" t="n">
        <v>15500</v>
      </c>
      <c r="M890" s="42" t="n">
        <v>8100</v>
      </c>
      <c r="N890" s="42" t="n"/>
      <c r="O890" s="42" t="n">
        <v>200</v>
      </c>
      <c r="P890" s="42" t="n"/>
      <c r="Q890" s="42" t="n">
        <v>7200</v>
      </c>
      <c r="R890" s="43">
        <f>IF($B890="","",N($S890)-N($Q890))</f>
        <v/>
      </c>
      <c r="S890" s="43">
        <f>IF($B890="","",N($L890)+N($N890)+N($P890))</f>
        <v/>
      </c>
      <c r="T890" s="42" t="n"/>
      <c r="U890" s="42" t="n"/>
      <c r="V890" s="42" t="n"/>
      <c r="W890" s="42" t="n"/>
      <c r="X890" s="42" t="n"/>
      <c r="Y890" s="42" t="n"/>
      <c r="Z890" s="42" t="n"/>
      <c r="AA890" s="42" t="n"/>
      <c r="AB890" s="42" t="n"/>
      <c r="AC890" s="42" t="n"/>
      <c r="AD890" s="42" t="n"/>
      <c r="AE890" s="42" t="n"/>
      <c r="AF890" s="43">
        <f>IF($B890="","",SUM($T890:$AE890))</f>
        <v/>
      </c>
      <c r="AG890" s="43">
        <f>IF($B890="","",N($M890)-N($AF890))</f>
        <v/>
      </c>
      <c r="AH890" s="43">
        <f>IF($B890="","",N($L890)-N($AF890))</f>
        <v/>
      </c>
      <c r="AI890" s="149">
        <f>IF($B890="","",IF(N($L890)=0,"",(N($L890)-N($AF890))/N($L890)))</f>
        <v/>
      </c>
    </row>
    <row r="891">
      <c r="A891" s="39">
        <f>IF($B891="","",COUNTA($B$4:$B891))</f>
        <v/>
      </c>
      <c r="B891" s="45" t="n">
        <v>46131</v>
      </c>
      <c r="C891" s="46" t="n">
        <v>2614</v>
      </c>
      <c r="D891" s="46" t="inlineStr">
        <is>
          <t>ايوب</t>
        </is>
      </c>
      <c r="E891" s="46" t="inlineStr">
        <is>
          <t>1*40</t>
        </is>
      </c>
      <c r="F891" s="46" t="inlineStr">
        <is>
          <t xml:space="preserve">اورينت </t>
        </is>
      </c>
      <c r="G891" s="46" t="inlineStr">
        <is>
          <t>العاشر</t>
        </is>
      </c>
      <c r="H891" s="46" t="inlineStr">
        <is>
          <t>441560/0</t>
        </is>
      </c>
      <c r="I891" s="46" t="inlineStr">
        <is>
          <t>ط ف ر 5195</t>
        </is>
      </c>
      <c r="J891" s="46" t="inlineStr">
        <is>
          <t xml:space="preserve">شريف الصعيدى </t>
        </is>
      </c>
      <c r="K891" s="46" t="inlineStr">
        <is>
          <t xml:space="preserve">ايوب </t>
        </is>
      </c>
      <c r="L891" s="47" t="n">
        <v>15000</v>
      </c>
      <c r="M891" s="47" t="n">
        <v>8100</v>
      </c>
      <c r="N891" s="47" t="n"/>
      <c r="O891" s="47" t="n">
        <v>200</v>
      </c>
      <c r="P891" s="47" t="n"/>
      <c r="Q891" s="47" t="n">
        <v>6700</v>
      </c>
      <c r="R891" s="43">
        <f>IF($B891="","",N($S891)-N($Q891))</f>
        <v/>
      </c>
      <c r="S891" s="43">
        <f>IF($B891="","",N($L891)+N($N891)+N($P891))</f>
        <v/>
      </c>
      <c r="T891" s="47" t="n"/>
      <c r="U891" s="47" t="n"/>
      <c r="V891" s="47" t="n"/>
      <c r="W891" s="47" t="n"/>
      <c r="X891" s="47" t="n"/>
      <c r="Y891" s="47" t="n"/>
      <c r="Z891" s="47" t="n"/>
      <c r="AA891" s="47" t="n"/>
      <c r="AB891" s="47" t="n"/>
      <c r="AC891" s="47" t="n"/>
      <c r="AD891" s="47" t="n"/>
      <c r="AE891" s="47" t="n"/>
      <c r="AF891" s="43">
        <f>IF($B891="","",SUM($T891:$AE891))</f>
        <v/>
      </c>
      <c r="AG891" s="43">
        <f>IF($B891="","",N($M891)-N($AF891))</f>
        <v/>
      </c>
      <c r="AH891" s="43">
        <f>IF($B891="","",N($L891)-N($AF891))</f>
        <v/>
      </c>
      <c r="AI891" s="149">
        <f>IF($B891="","",IF(N($L891)=0,"",(N($L891)-N($AF891))/N($L891)))</f>
        <v/>
      </c>
    </row>
    <row r="892">
      <c r="A892" s="39">
        <f>IF($B892="","",COUNTA($B$4:$B892))</f>
        <v/>
      </c>
      <c r="B892" s="40" t="n">
        <v>46131</v>
      </c>
      <c r="C892" s="41" t="n">
        <v>2616</v>
      </c>
      <c r="D892" s="41" t="inlineStr">
        <is>
          <t>استوريا خ</t>
        </is>
      </c>
      <c r="E892" s="41" t="inlineStr">
        <is>
          <t>1*40</t>
        </is>
      </c>
      <c r="F892" s="41" t="inlineStr">
        <is>
          <t xml:space="preserve">اورينت </t>
        </is>
      </c>
      <c r="G892" s="41" t="inlineStr">
        <is>
          <t xml:space="preserve">العاشر </t>
        </is>
      </c>
      <c r="H892" s="41" t="inlineStr">
        <is>
          <t>645334/3</t>
        </is>
      </c>
      <c r="I892" s="41" t="inlineStr">
        <is>
          <t>ب ن و 7245</t>
        </is>
      </c>
      <c r="J892" s="41" t="inlineStr">
        <is>
          <t xml:space="preserve">رجب رجبب </t>
        </is>
      </c>
      <c r="K892" s="41" t="inlineStr">
        <is>
          <t>استوريا</t>
        </is>
      </c>
      <c r="L892" s="42" t="n">
        <v>15500</v>
      </c>
      <c r="M892" s="42" t="n">
        <v>8100</v>
      </c>
      <c r="N892" s="42" t="n"/>
      <c r="O892" s="42" t="n">
        <v>200</v>
      </c>
      <c r="P892" s="42" t="n"/>
      <c r="Q892" s="42" t="n">
        <v>7200</v>
      </c>
      <c r="R892" s="43">
        <f>IF($B892="","",N($S892)-N($Q892))</f>
        <v/>
      </c>
      <c r="S892" s="43">
        <f>IF($B892="","",N($L892)+N($N892)+N($P892))</f>
        <v/>
      </c>
      <c r="T892" s="42" t="n"/>
      <c r="U892" s="42" t="n"/>
      <c r="V892" s="42" t="n"/>
      <c r="W892" s="42" t="n"/>
      <c r="X892" s="42" t="n"/>
      <c r="Y892" s="42" t="n"/>
      <c r="Z892" s="42" t="n"/>
      <c r="AA892" s="42" t="n"/>
      <c r="AB892" s="42" t="n"/>
      <c r="AC892" s="42" t="n"/>
      <c r="AD892" s="42" t="n"/>
      <c r="AE892" s="42" t="n"/>
      <c r="AF892" s="43">
        <f>IF($B892="","",SUM($T892:$AE892))</f>
        <v/>
      </c>
      <c r="AG892" s="43">
        <f>IF($B892="","",N($M892)-N($AF892))</f>
        <v/>
      </c>
      <c r="AH892" s="43">
        <f>IF($B892="","",N($L892)-N($AF892))</f>
        <v/>
      </c>
      <c r="AI892" s="149">
        <f>IF($B892="","",IF(N($L892)=0,"",(N($L892)-N($AF892))/N($L892)))</f>
        <v/>
      </c>
    </row>
    <row r="893">
      <c r="A893" s="39">
        <f>IF($B893="","",COUNTA($B$4:$B893))</f>
        <v/>
      </c>
      <c r="B893" s="45" t="n">
        <v>46131</v>
      </c>
      <c r="C893" s="46" t="n">
        <v>2617</v>
      </c>
      <c r="D893" s="46" t="inlineStr">
        <is>
          <t xml:space="preserve">استوريا </t>
        </is>
      </c>
      <c r="E893" s="46" t="inlineStr">
        <is>
          <t>1*40</t>
        </is>
      </c>
      <c r="F893" s="46" t="inlineStr">
        <is>
          <t xml:space="preserve">اورينت </t>
        </is>
      </c>
      <c r="G893" s="46" t="inlineStr">
        <is>
          <t>العاشر</t>
        </is>
      </c>
      <c r="H893" s="46" t="inlineStr">
        <is>
          <t>950349/0</t>
        </is>
      </c>
      <c r="I893" s="46" t="inlineStr">
        <is>
          <t>ص ع ا 5139</t>
        </is>
      </c>
      <c r="J893" s="46" t="inlineStr">
        <is>
          <t>محمد محمود</t>
        </is>
      </c>
      <c r="K893" s="46" t="inlineStr">
        <is>
          <t>استوريا</t>
        </is>
      </c>
      <c r="L893" s="47" t="n">
        <v>15500</v>
      </c>
      <c r="M893" s="47" t="n">
        <v>8100</v>
      </c>
      <c r="N893" s="47" t="n"/>
      <c r="O893" s="47" t="n">
        <v>200</v>
      </c>
      <c r="P893" s="47" t="n"/>
      <c r="Q893" s="47" t="n">
        <v>7200</v>
      </c>
      <c r="R893" s="43">
        <f>IF($B893="","",N($S893)-N($Q893))</f>
        <v/>
      </c>
      <c r="S893" s="43">
        <f>IF($B893="","",N($L893)+N($N893)+N($P893))</f>
        <v/>
      </c>
      <c r="T893" s="47" t="n"/>
      <c r="U893" s="47" t="n"/>
      <c r="V893" s="47" t="n"/>
      <c r="W893" s="47" t="n"/>
      <c r="X893" s="47" t="n"/>
      <c r="Y893" s="47" t="n"/>
      <c r="Z893" s="47" t="n"/>
      <c r="AA893" s="47" t="n"/>
      <c r="AB893" s="47" t="n"/>
      <c r="AC893" s="47" t="n"/>
      <c r="AD893" s="47" t="n"/>
      <c r="AE893" s="47" t="n"/>
      <c r="AF893" s="43">
        <f>IF($B893="","",SUM($T893:$AE893))</f>
        <v/>
      </c>
      <c r="AG893" s="43">
        <f>IF($B893="","",N($M893)-N($AF893))</f>
        <v/>
      </c>
      <c r="AH893" s="43">
        <f>IF($B893="","",N($L893)-N($AF893))</f>
        <v/>
      </c>
      <c r="AI893" s="149">
        <f>IF($B893="","",IF(N($L893)=0,"",(N($L893)-N($AF893))/N($L893)))</f>
        <v/>
      </c>
    </row>
    <row r="894">
      <c r="A894" s="39">
        <f>IF($B894="","",COUNTA($B$4:$B894))</f>
        <v/>
      </c>
      <c r="B894" s="40" t="n">
        <v>46131</v>
      </c>
      <c r="C894" s="41" t="n">
        <v>2618</v>
      </c>
      <c r="D894" s="41" t="inlineStr">
        <is>
          <t xml:space="preserve">احمد يوسف </t>
        </is>
      </c>
      <c r="E894" s="41" t="inlineStr">
        <is>
          <t>1*40</t>
        </is>
      </c>
      <c r="F894" s="41" t="inlineStr">
        <is>
          <t xml:space="preserve">اورينت </t>
        </is>
      </c>
      <c r="G894" s="41" t="inlineStr">
        <is>
          <t>العاشر</t>
        </is>
      </c>
      <c r="H894" s="41" t="inlineStr">
        <is>
          <t>709792/5</t>
        </is>
      </c>
      <c r="I894" s="41" t="inlineStr">
        <is>
          <t>ب د ف 9245</t>
        </is>
      </c>
      <c r="J894" s="41" t="inlineStr">
        <is>
          <t xml:space="preserve">محمد صبحى </t>
        </is>
      </c>
      <c r="K894" s="41" t="inlineStr">
        <is>
          <t>الليبر</t>
        </is>
      </c>
      <c r="L894" s="42" t="n">
        <v>15500</v>
      </c>
      <c r="M894" s="42" t="n">
        <v>8100</v>
      </c>
      <c r="N894" s="42" t="n"/>
      <c r="O894" s="42" t="n">
        <v>200</v>
      </c>
      <c r="P894" s="42" t="n"/>
      <c r="Q894" s="42" t="n">
        <v>7200</v>
      </c>
      <c r="R894" s="43">
        <f>IF($B894="","",N($S894)-N($Q894))</f>
        <v/>
      </c>
      <c r="S894" s="43">
        <f>IF($B894="","",N($L894)+N($N894)+N($P894))</f>
        <v/>
      </c>
      <c r="T894" s="42" t="n"/>
      <c r="U894" s="42" t="n"/>
      <c r="V894" s="42" t="n"/>
      <c r="W894" s="42" t="n"/>
      <c r="X894" s="42" t="n"/>
      <c r="Y894" s="42" t="n"/>
      <c r="Z894" s="42" t="n"/>
      <c r="AA894" s="42" t="n"/>
      <c r="AB894" s="42" t="n"/>
      <c r="AC894" s="42" t="n"/>
      <c r="AD894" s="42" t="n"/>
      <c r="AE894" s="42" t="n"/>
      <c r="AF894" s="43">
        <f>IF($B894="","",SUM($T894:$AE894))</f>
        <v/>
      </c>
      <c r="AG894" s="43">
        <f>IF($B894="","",N($M894)-N($AF894))</f>
        <v/>
      </c>
      <c r="AH894" s="43">
        <f>IF($B894="","",N($L894)-N($AF894))</f>
        <v/>
      </c>
      <c r="AI894" s="149">
        <f>IF($B894="","",IF(N($L894)=0,"",(N($L894)-N($AF894))/N($L894)))</f>
        <v/>
      </c>
    </row>
    <row r="895">
      <c r="A895" s="39">
        <f>IF($B895="","",COUNTA($B$4:$B895))</f>
        <v/>
      </c>
      <c r="B895" s="45" t="n">
        <v>46131</v>
      </c>
      <c r="C895" s="46" t="n">
        <v>2619</v>
      </c>
      <c r="D895" s="46" t="inlineStr">
        <is>
          <t>احمد خطاب</t>
        </is>
      </c>
      <c r="E895" s="46" t="inlineStr">
        <is>
          <t>1*40</t>
        </is>
      </c>
      <c r="F895" s="46" t="inlineStr">
        <is>
          <t xml:space="preserve">اورينت </t>
        </is>
      </c>
      <c r="G895" s="46" t="inlineStr">
        <is>
          <t>العاشر</t>
        </is>
      </c>
      <c r="H895" s="46" t="inlineStr">
        <is>
          <t>883924/3</t>
        </is>
      </c>
      <c r="I895" s="46" t="inlineStr">
        <is>
          <t>ع د ج 6994</t>
        </is>
      </c>
      <c r="J895" s="46" t="inlineStr">
        <is>
          <t xml:space="preserve">جمال صبرة </t>
        </is>
      </c>
      <c r="K895" s="46" t="inlineStr">
        <is>
          <t>الليبر</t>
        </is>
      </c>
      <c r="L895" s="47" t="n">
        <v>15500</v>
      </c>
      <c r="M895" s="47" t="n">
        <v>8100</v>
      </c>
      <c r="N895" s="47" t="n"/>
      <c r="O895" s="47" t="n">
        <v>200</v>
      </c>
      <c r="P895" s="47" t="n"/>
      <c r="Q895" s="47" t="n">
        <v>7200</v>
      </c>
      <c r="R895" s="43">
        <f>IF($B895="","",N($S895)-N($Q895))</f>
        <v/>
      </c>
      <c r="S895" s="43">
        <f>IF($B895="","",N($L895)+N($N895)+N($P895))</f>
        <v/>
      </c>
      <c r="T895" s="47" t="n"/>
      <c r="U895" s="47" t="n"/>
      <c r="V895" s="47" t="n"/>
      <c r="W895" s="47" t="n"/>
      <c r="X895" s="47" t="n"/>
      <c r="Y895" s="47" t="n"/>
      <c r="Z895" s="47" t="n"/>
      <c r="AA895" s="47" t="n"/>
      <c r="AB895" s="47" t="n"/>
      <c r="AC895" s="47" t="n"/>
      <c r="AD895" s="47" t="n"/>
      <c r="AE895" s="47" t="n"/>
      <c r="AF895" s="43">
        <f>IF($B895="","",SUM($T895:$AE895))</f>
        <v/>
      </c>
      <c r="AG895" s="43">
        <f>IF($B895="","",N($M895)-N($AF895))</f>
        <v/>
      </c>
      <c r="AH895" s="43">
        <f>IF($B895="","",N($L895)-N($AF895))</f>
        <v/>
      </c>
      <c r="AI895" s="149">
        <f>IF($B895="","",IF(N($L895)=0,"",(N($L895)-N($AF895))/N($L895)))</f>
        <v/>
      </c>
    </row>
    <row r="896">
      <c r="A896" s="39">
        <f>IF($B896="","",COUNTA($B$4:$B896))</f>
        <v/>
      </c>
      <c r="B896" s="40" t="n">
        <v>46131</v>
      </c>
      <c r="C896" s="41" t="n">
        <v>2331</v>
      </c>
      <c r="D896" s="41" t="inlineStr">
        <is>
          <t>احمد رمضان</t>
        </is>
      </c>
      <c r="E896" s="41" t="inlineStr">
        <is>
          <t>1*40</t>
        </is>
      </c>
      <c r="F896" s="41" t="inlineStr">
        <is>
          <t xml:space="preserve">السويدى بوليمرز </t>
        </is>
      </c>
      <c r="G896" s="41" t="inlineStr">
        <is>
          <t xml:space="preserve">العاشر </t>
        </is>
      </c>
      <c r="H896" s="41" t="inlineStr">
        <is>
          <t>614938/5</t>
        </is>
      </c>
      <c r="I896" s="41" t="inlineStr">
        <is>
          <t>ر ب ن 1719</t>
        </is>
      </c>
      <c r="J896" s="41" t="inlineStr">
        <is>
          <t xml:space="preserve">مصطفى عاطف </t>
        </is>
      </c>
      <c r="K896" s="41" t="inlineStr">
        <is>
          <t xml:space="preserve">محمد رزق </t>
        </is>
      </c>
      <c r="L896" s="42" t="n">
        <v>16000</v>
      </c>
      <c r="M896" s="42" t="n">
        <v>9100</v>
      </c>
      <c r="N896" s="42" t="n"/>
      <c r="O896" s="42" t="n">
        <v>200</v>
      </c>
      <c r="P896" s="42" t="n"/>
      <c r="Q896" s="42" t="n">
        <v>6700</v>
      </c>
      <c r="R896" s="43">
        <f>IF($B896="","",N($S896)-N($Q896))</f>
        <v/>
      </c>
      <c r="S896" s="43">
        <f>IF($B896="","",N($L896)+N($N896)+N($P896))</f>
        <v/>
      </c>
      <c r="T896" s="42" t="n"/>
      <c r="U896" s="42" t="n"/>
      <c r="V896" s="42" t="n"/>
      <c r="W896" s="42" t="n"/>
      <c r="X896" s="42" t="n"/>
      <c r="Y896" s="42" t="n"/>
      <c r="Z896" s="42" t="n"/>
      <c r="AA896" s="42" t="n"/>
      <c r="AB896" s="42" t="n"/>
      <c r="AC896" s="42" t="n"/>
      <c r="AD896" s="42" t="n"/>
      <c r="AE896" s="42" t="n"/>
      <c r="AF896" s="43">
        <f>IF($B896="","",SUM($T896:$AE896))</f>
        <v/>
      </c>
      <c r="AG896" s="43">
        <f>IF($B896="","",N($M896)-N($AF896))</f>
        <v/>
      </c>
      <c r="AH896" s="43">
        <f>IF($B896="","",N($L896)-N($AF896))</f>
        <v/>
      </c>
      <c r="AI896" s="149">
        <f>IF($B896="","",IF(N($L896)=0,"",(N($L896)-N($AF896))/N($L896)))</f>
        <v/>
      </c>
    </row>
    <row r="897">
      <c r="A897" s="39">
        <f>IF($B897="","",COUNTA($B$4:$B897))</f>
        <v/>
      </c>
      <c r="B897" s="45" t="n">
        <v>46131</v>
      </c>
      <c r="C897" s="46" t="n">
        <v>2332</v>
      </c>
      <c r="D897" s="46" t="inlineStr">
        <is>
          <t xml:space="preserve">محمد سعيد </t>
        </is>
      </c>
      <c r="E897" s="46" t="inlineStr">
        <is>
          <t>1*40</t>
        </is>
      </c>
      <c r="F897" s="46" t="inlineStr">
        <is>
          <t xml:space="preserve">السويدى بوليمرز </t>
        </is>
      </c>
      <c r="G897" s="46" t="inlineStr">
        <is>
          <t xml:space="preserve">العاشر </t>
        </is>
      </c>
      <c r="H897" s="46" t="inlineStr">
        <is>
          <t>584323/0</t>
        </is>
      </c>
      <c r="I897" s="46" t="inlineStr">
        <is>
          <t>س ق ا 3745</t>
        </is>
      </c>
      <c r="J897" s="46" t="inlineStr">
        <is>
          <t xml:space="preserve">سمارة محمد </t>
        </is>
      </c>
      <c r="K897" s="46" t="inlineStr">
        <is>
          <t>احمد نصير</t>
        </is>
      </c>
      <c r="L897" s="47" t="n">
        <v>16000</v>
      </c>
      <c r="M897" s="47" t="n">
        <v>10100</v>
      </c>
      <c r="N897" s="47" t="n"/>
      <c r="O897" s="47" t="n">
        <v>200</v>
      </c>
      <c r="P897" s="47" t="n"/>
      <c r="Q897" s="47" t="n">
        <v>5700</v>
      </c>
      <c r="R897" s="43">
        <f>IF($B897="","",N($S897)-N($Q897))</f>
        <v/>
      </c>
      <c r="S897" s="43">
        <f>IF($B897="","",N($L897)+N($N897)+N($P897))</f>
        <v/>
      </c>
      <c r="T897" s="47" t="n"/>
      <c r="U897" s="47" t="n"/>
      <c r="V897" s="47" t="n"/>
      <c r="W897" s="47" t="n"/>
      <c r="X897" s="47" t="n"/>
      <c r="Y897" s="47" t="n"/>
      <c r="Z897" s="47" t="n"/>
      <c r="AA897" s="47" t="n"/>
      <c r="AB897" s="47" t="n"/>
      <c r="AC897" s="47" t="n"/>
      <c r="AD897" s="47" t="n"/>
      <c r="AE897" s="47" t="n"/>
      <c r="AF897" s="43">
        <f>IF($B897="","",SUM($T897:$AE897))</f>
        <v/>
      </c>
      <c r="AG897" s="43">
        <f>IF($B897="","",N($M897)-N($AF897))</f>
        <v/>
      </c>
      <c r="AH897" s="43">
        <f>IF($B897="","",N($L897)-N($AF897))</f>
        <v/>
      </c>
      <c r="AI897" s="149">
        <f>IF($B897="","",IF(N($L897)=0,"",(N($L897)-N($AF897))/N($L897)))</f>
        <v/>
      </c>
    </row>
    <row r="898">
      <c r="A898" s="39">
        <f>IF($B898="","",COUNTA($B$4:$B898))</f>
        <v/>
      </c>
      <c r="B898" s="40" t="n">
        <v>46131</v>
      </c>
      <c r="C898" s="41" t="n">
        <v>2708</v>
      </c>
      <c r="D898" s="41" t="inlineStr">
        <is>
          <t xml:space="preserve">محمد يحى </t>
        </is>
      </c>
      <c r="E898" s="41" t="inlineStr">
        <is>
          <t>1*20</t>
        </is>
      </c>
      <c r="F898" s="41" t="inlineStr">
        <is>
          <t xml:space="preserve">السويدى بوليمرز </t>
        </is>
      </c>
      <c r="G898" s="41" t="inlineStr">
        <is>
          <t xml:space="preserve">العاشر </t>
        </is>
      </c>
      <c r="H898" s="41" t="inlineStr">
        <is>
          <t>200846/0</t>
        </is>
      </c>
      <c r="I898" s="41" t="inlineStr">
        <is>
          <t>ع ر ب 1573</t>
        </is>
      </c>
      <c r="J898" s="41" t="inlineStr">
        <is>
          <t xml:space="preserve">محمد السيد </t>
        </is>
      </c>
      <c r="K898" s="41" t="inlineStr">
        <is>
          <t xml:space="preserve">حمو مرزوق </t>
        </is>
      </c>
      <c r="L898" s="42" t="n">
        <v>16000</v>
      </c>
      <c r="M898" s="42" t="n">
        <v>8100</v>
      </c>
      <c r="N898" s="42" t="n"/>
      <c r="O898" s="42" t="n">
        <v>200</v>
      </c>
      <c r="P898" s="42" t="n"/>
      <c r="Q898" s="42" t="n">
        <v>7700</v>
      </c>
      <c r="R898" s="43">
        <f>IF($B898="","",N($S898)-N($Q898))</f>
        <v/>
      </c>
      <c r="S898" s="43">
        <f>IF($B898="","",N($L898)+N($N898)+N($P898))</f>
        <v/>
      </c>
      <c r="T898" s="42" t="n"/>
      <c r="U898" s="42" t="n"/>
      <c r="V898" s="42" t="n"/>
      <c r="W898" s="42" t="n"/>
      <c r="X898" s="42" t="n"/>
      <c r="Y898" s="42" t="n"/>
      <c r="Z898" s="42" t="n"/>
      <c r="AA898" s="42" t="n"/>
      <c r="AB898" s="42" t="n"/>
      <c r="AC898" s="42" t="n"/>
      <c r="AD898" s="42" t="n"/>
      <c r="AE898" s="42" t="n"/>
      <c r="AF898" s="43">
        <f>IF($B898="","",SUM($T898:$AE898))</f>
        <v/>
      </c>
      <c r="AG898" s="43">
        <f>IF($B898="","",N($M898)-N($AF898))</f>
        <v/>
      </c>
      <c r="AH898" s="43">
        <f>IF($B898="","",N($L898)-N($AF898))</f>
        <v/>
      </c>
      <c r="AI898" s="149">
        <f>IF($B898="","",IF(N($L898)=0,"",(N($L898)-N($AF898))/N($L898)))</f>
        <v/>
      </c>
    </row>
    <row r="899">
      <c r="A899" s="39">
        <f>IF($B899="","",COUNTA($B$4:$B899))</f>
        <v/>
      </c>
      <c r="B899" s="45" t="n">
        <v>46131</v>
      </c>
      <c r="C899" s="46" t="n">
        <v>2703</v>
      </c>
      <c r="D899" s="46" t="inlineStr">
        <is>
          <t>صعيدى 4</t>
        </is>
      </c>
      <c r="E899" s="46" t="inlineStr">
        <is>
          <t>2*20</t>
        </is>
      </c>
      <c r="F899" s="46" t="inlineStr">
        <is>
          <t xml:space="preserve">السويدى بوليمرز </t>
        </is>
      </c>
      <c r="G899" s="46" t="inlineStr">
        <is>
          <t xml:space="preserve">العاشر </t>
        </is>
      </c>
      <c r="H899" s="46" t="inlineStr">
        <is>
          <t>027794/3-239333/9</t>
        </is>
      </c>
      <c r="I899" s="46" t="inlineStr">
        <is>
          <t>س ن ف 5149</t>
        </is>
      </c>
      <c r="J899" s="46" t="inlineStr">
        <is>
          <t xml:space="preserve">وليد زيزو </t>
        </is>
      </c>
      <c r="K899" s="46" t="inlineStr">
        <is>
          <t xml:space="preserve">محمد الصعيدى </t>
        </is>
      </c>
      <c r="L899" s="47" t="n">
        <v>20500</v>
      </c>
      <c r="M899" s="47" t="n">
        <v>10100</v>
      </c>
      <c r="N899" s="47" t="n"/>
      <c r="O899" s="47" t="n">
        <v>200</v>
      </c>
      <c r="P899" s="47" t="n"/>
      <c r="Q899" s="47" t="n">
        <v>10200</v>
      </c>
      <c r="R899" s="43">
        <f>IF($B899="","",N($S899)-N($Q899))</f>
        <v/>
      </c>
      <c r="S899" s="43">
        <f>IF($B899="","",N($L899)+N($N899)+N($P899))</f>
        <v/>
      </c>
      <c r="T899" s="47" t="n"/>
      <c r="U899" s="47" t="n"/>
      <c r="V899" s="47" t="n"/>
      <c r="W899" s="47" t="n"/>
      <c r="X899" s="47" t="n"/>
      <c r="Y899" s="47" t="n"/>
      <c r="Z899" s="47" t="n"/>
      <c r="AA899" s="47" t="n"/>
      <c r="AB899" s="47" t="n"/>
      <c r="AC899" s="47" t="n"/>
      <c r="AD899" s="47" t="n"/>
      <c r="AE899" s="47" t="n"/>
      <c r="AF899" s="43">
        <f>IF($B899="","",SUM($T899:$AE899))</f>
        <v/>
      </c>
      <c r="AG899" s="43">
        <f>IF($B899="","",N($M899)-N($AF899))</f>
        <v/>
      </c>
      <c r="AH899" s="43">
        <f>IF($B899="","",N($L899)-N($AF899))</f>
        <v/>
      </c>
      <c r="AI899" s="149">
        <f>IF($B899="","",IF(N($L899)=0,"",(N($L899)-N($AF899))/N($L899)))</f>
        <v/>
      </c>
    </row>
    <row r="900">
      <c r="A900" s="39">
        <f>IF($B900="","",COUNTA($B$4:$B900))</f>
        <v/>
      </c>
      <c r="B900" s="40" t="n">
        <v>46131</v>
      </c>
      <c r="C900" s="41" t="n">
        <v>2249</v>
      </c>
      <c r="D900" s="41" t="inlineStr">
        <is>
          <t xml:space="preserve">بلال العربى </t>
        </is>
      </c>
      <c r="E900" s="41" t="inlineStr">
        <is>
          <t>2*20</t>
        </is>
      </c>
      <c r="F900" s="41" t="inlineStr">
        <is>
          <t xml:space="preserve">السويدى بوليمرز </t>
        </is>
      </c>
      <c r="G900" s="41" t="inlineStr">
        <is>
          <t xml:space="preserve">العاشر </t>
        </is>
      </c>
      <c r="H900" s="41" t="inlineStr">
        <is>
          <t>069110/9-298847/3</t>
        </is>
      </c>
      <c r="I900" s="41" t="inlineStr">
        <is>
          <t>ب ر ط 1563</t>
        </is>
      </c>
      <c r="J900" s="41" t="inlineStr">
        <is>
          <t xml:space="preserve">احمد صلاح </t>
        </is>
      </c>
      <c r="K900" s="41" t="inlineStr">
        <is>
          <t xml:space="preserve">احمد عباس </t>
        </is>
      </c>
      <c r="L900" s="42" t="n">
        <v>20500</v>
      </c>
      <c r="M900" s="42" t="n">
        <v>11100</v>
      </c>
      <c r="N900" s="42" t="n"/>
      <c r="O900" s="42" t="n">
        <v>200</v>
      </c>
      <c r="P900" s="42" t="n"/>
      <c r="Q900" s="42" t="n">
        <v>9200</v>
      </c>
      <c r="R900" s="43">
        <f>IF($B900="","",N($S900)-N($Q900))</f>
        <v/>
      </c>
      <c r="S900" s="43">
        <f>IF($B900="","",N($L900)+N($N900)+N($P900))</f>
        <v/>
      </c>
      <c r="T900" s="42" t="n"/>
      <c r="U900" s="42" t="n"/>
      <c r="V900" s="42" t="n"/>
      <c r="W900" s="42" t="n"/>
      <c r="X900" s="42" t="n"/>
      <c r="Y900" s="42" t="n"/>
      <c r="Z900" s="42" t="n"/>
      <c r="AA900" s="42" t="n"/>
      <c r="AB900" s="42" t="n"/>
      <c r="AC900" s="42" t="n"/>
      <c r="AD900" s="42" t="n"/>
      <c r="AE900" s="42" t="n"/>
      <c r="AF900" s="43">
        <f>IF($B900="","",SUM($T900:$AE900))</f>
        <v/>
      </c>
      <c r="AG900" s="43">
        <f>IF($B900="","",N($M900)-N($AF900))</f>
        <v/>
      </c>
      <c r="AH900" s="43">
        <f>IF($B900="","",N($L900)-N($AF900))</f>
        <v/>
      </c>
      <c r="AI900" s="149">
        <f>IF($B900="","",IF(N($L900)=0,"",(N($L900)-N($AF900))/N($L900)))</f>
        <v/>
      </c>
    </row>
    <row r="901">
      <c r="A901" s="39">
        <f>IF($B901="","",COUNTA($B$4:$B901))</f>
        <v/>
      </c>
      <c r="B901" s="45" t="n">
        <v>46131</v>
      </c>
      <c r="C901" s="46" t="n">
        <v>2248</v>
      </c>
      <c r="D901" s="46" t="inlineStr">
        <is>
          <t>اسلام محروس</t>
        </is>
      </c>
      <c r="E901" s="46" t="inlineStr">
        <is>
          <t>2*20</t>
        </is>
      </c>
      <c r="F901" s="46" t="inlineStr">
        <is>
          <t xml:space="preserve">السويدى بوليمرز </t>
        </is>
      </c>
      <c r="G901" s="46" t="inlineStr">
        <is>
          <t>العاشر</t>
        </is>
      </c>
      <c r="H901" s="46" t="inlineStr">
        <is>
          <t>037778/9-239440/9</t>
        </is>
      </c>
      <c r="I901" s="46" t="inlineStr">
        <is>
          <t>ب ج ل 9874</t>
        </is>
      </c>
      <c r="J901" s="46" t="inlineStr">
        <is>
          <t xml:space="preserve">احمد اشرف </t>
        </is>
      </c>
      <c r="K901" s="46" t="inlineStr">
        <is>
          <t xml:space="preserve">احمد عباس </t>
        </is>
      </c>
      <c r="L901" s="47" t="n">
        <v>20500</v>
      </c>
      <c r="M901" s="47" t="n">
        <v>11100</v>
      </c>
      <c r="N901" s="47" t="n"/>
      <c r="O901" s="47" t="n">
        <v>200</v>
      </c>
      <c r="P901" s="47" t="n"/>
      <c r="Q901" s="47" t="n">
        <v>9200</v>
      </c>
      <c r="R901" s="43">
        <f>IF($B901="","",N($S901)-N($Q901))</f>
        <v/>
      </c>
      <c r="S901" s="43">
        <f>IF($B901="","",N($L901)+N($N901)+N($P901))</f>
        <v/>
      </c>
      <c r="T901" s="47" t="n"/>
      <c r="U901" s="47" t="n"/>
      <c r="V901" s="47" t="n"/>
      <c r="W901" s="47" t="n"/>
      <c r="X901" s="47" t="n"/>
      <c r="Y901" s="47" t="n"/>
      <c r="Z901" s="47" t="n"/>
      <c r="AA901" s="47" t="n"/>
      <c r="AB901" s="47" t="n"/>
      <c r="AC901" s="47" t="n"/>
      <c r="AD901" s="47" t="n"/>
      <c r="AE901" s="47" t="n"/>
      <c r="AF901" s="43">
        <f>IF($B901="","",SUM($T901:$AE901))</f>
        <v/>
      </c>
      <c r="AG901" s="43">
        <f>IF($B901="","",N($M901)-N($AF901))</f>
        <v/>
      </c>
      <c r="AH901" s="43">
        <f>IF($B901="","",N($L901)-N($AF901))</f>
        <v/>
      </c>
      <c r="AI901" s="149">
        <f>IF($B901="","",IF(N($L901)=0,"",(N($L901)-N($AF901))/N($L901)))</f>
        <v/>
      </c>
    </row>
    <row r="902">
      <c r="A902" s="39">
        <f>IF($B902="","",COUNTA($B$4:$B902))</f>
        <v/>
      </c>
      <c r="B902" s="40" t="n">
        <v>46131</v>
      </c>
      <c r="C902" s="41" t="n">
        <v>2705</v>
      </c>
      <c r="D902" s="41" t="inlineStr">
        <is>
          <t xml:space="preserve">العربى </t>
        </is>
      </c>
      <c r="E902" s="41" t="inlineStr">
        <is>
          <t>2*20</t>
        </is>
      </c>
      <c r="F902" s="41" t="inlineStr">
        <is>
          <t xml:space="preserve">السويدى بوليمرز </t>
        </is>
      </c>
      <c r="G902" s="41" t="inlineStr">
        <is>
          <t xml:space="preserve">العاشر </t>
        </is>
      </c>
      <c r="H902" s="41" t="inlineStr">
        <is>
          <t>279775/4-23844/1</t>
        </is>
      </c>
      <c r="I902" s="41" t="inlineStr">
        <is>
          <t>ع و ج 647</t>
        </is>
      </c>
      <c r="J902" s="41" t="inlineStr">
        <is>
          <t xml:space="preserve">احمد خطاب </t>
        </is>
      </c>
      <c r="K902" s="41" t="inlineStr">
        <is>
          <t>الليبر</t>
        </is>
      </c>
      <c r="L902" s="42" t="n">
        <v>20500</v>
      </c>
      <c r="M902" s="42" t="n">
        <v>11100</v>
      </c>
      <c r="N902" s="42" t="n"/>
      <c r="O902" s="42" t="n">
        <v>200</v>
      </c>
      <c r="P902" s="42" t="n"/>
      <c r="Q902" s="42" t="n">
        <v>9200</v>
      </c>
      <c r="R902" s="43">
        <f>IF($B902="","",N($S902)-N($Q902))</f>
        <v/>
      </c>
      <c r="S902" s="43">
        <f>IF($B902="","",N($L902)+N($N902)+N($P902))</f>
        <v/>
      </c>
      <c r="T902" s="42" t="n"/>
      <c r="U902" s="42" t="n"/>
      <c r="V902" s="42" t="n"/>
      <c r="W902" s="42" t="n"/>
      <c r="X902" s="42" t="n"/>
      <c r="Y902" s="42" t="n"/>
      <c r="Z902" s="42" t="n"/>
      <c r="AA902" s="42" t="n"/>
      <c r="AB902" s="42" t="n"/>
      <c r="AC902" s="42" t="n"/>
      <c r="AD902" s="42" t="n"/>
      <c r="AE902" s="42" t="n"/>
      <c r="AF902" s="43">
        <f>IF($B902="","",SUM($T902:$AE902))</f>
        <v/>
      </c>
      <c r="AG902" s="43">
        <f>IF($B902="","",N($M902)-N($AF902))</f>
        <v/>
      </c>
      <c r="AH902" s="43">
        <f>IF($B902="","",N($L902)-N($AF902))</f>
        <v/>
      </c>
      <c r="AI902" s="149">
        <f>IF($B902="","",IF(N($L902)=0,"",(N($L902)-N($AF902))/N($L902)))</f>
        <v/>
      </c>
    </row>
    <row r="903">
      <c r="A903" s="39">
        <f>IF($B903="","",COUNTA($B$4:$B903))</f>
        <v/>
      </c>
      <c r="B903" s="45" t="n">
        <v>46131</v>
      </c>
      <c r="C903" s="46" t="n">
        <v>2704</v>
      </c>
      <c r="D903" s="46" t="inlineStr">
        <is>
          <t xml:space="preserve">العربى </t>
        </is>
      </c>
      <c r="E903" s="46" t="inlineStr">
        <is>
          <t>2*20</t>
        </is>
      </c>
      <c r="F903" s="46" t="inlineStr">
        <is>
          <t xml:space="preserve">السويدى بوليمرز </t>
        </is>
      </c>
      <c r="G903" s="46" t="inlineStr">
        <is>
          <t xml:space="preserve">العاشر </t>
        </is>
      </c>
      <c r="H903" s="46" t="inlineStr">
        <is>
          <t>026971/6-0144425/7</t>
        </is>
      </c>
      <c r="I903" s="46" t="inlineStr">
        <is>
          <t>ع ل ا 9978</t>
        </is>
      </c>
      <c r="J903" s="46" t="inlineStr">
        <is>
          <t xml:space="preserve">احمد فريد </t>
        </is>
      </c>
      <c r="K903" s="46" t="inlineStr">
        <is>
          <t>الليبر</t>
        </is>
      </c>
      <c r="L903" s="47" t="n">
        <v>20500</v>
      </c>
      <c r="M903" s="47" t="n">
        <v>11100</v>
      </c>
      <c r="N903" s="47" t="n"/>
      <c r="O903" s="47" t="n">
        <v>200</v>
      </c>
      <c r="P903" s="47" t="n"/>
      <c r="Q903" s="47" t="n">
        <v>9200</v>
      </c>
      <c r="R903" s="43">
        <f>IF($B903="","",N($S903)-N($Q903))</f>
        <v/>
      </c>
      <c r="S903" s="43">
        <f>IF($B903="","",N($L903)+N($N903)+N($P903))</f>
        <v/>
      </c>
      <c r="T903" s="47" t="n"/>
      <c r="U903" s="47" t="n"/>
      <c r="V903" s="47" t="n"/>
      <c r="W903" s="47" t="n"/>
      <c r="X903" s="47" t="n"/>
      <c r="Y903" s="47" t="n"/>
      <c r="Z903" s="47" t="n"/>
      <c r="AA903" s="47" t="n"/>
      <c r="AB903" s="47" t="n"/>
      <c r="AC903" s="47" t="n"/>
      <c r="AD903" s="47" t="n"/>
      <c r="AE903" s="47" t="n"/>
      <c r="AF903" s="43">
        <f>IF($B903="","",SUM($T903:$AE903))</f>
        <v/>
      </c>
      <c r="AG903" s="43">
        <f>IF($B903="","",N($M903)-N($AF903))</f>
        <v/>
      </c>
      <c r="AH903" s="43">
        <f>IF($B903="","",N($L903)-N($AF903))</f>
        <v/>
      </c>
      <c r="AI903" s="149">
        <f>IF($B903="","",IF(N($L903)=0,"",(N($L903)-N($AF903))/N($L903)))</f>
        <v/>
      </c>
    </row>
    <row r="904">
      <c r="A904" s="39">
        <f>IF($B904="","",COUNTA($B$4:$B904))</f>
        <v/>
      </c>
      <c r="B904" s="40" t="n">
        <v>46131</v>
      </c>
      <c r="C904" s="41" t="n">
        <v>2701</v>
      </c>
      <c r="D904" s="41" t="inlineStr">
        <is>
          <t>رمزى ابو النور</t>
        </is>
      </c>
      <c r="E904" s="41" t="inlineStr">
        <is>
          <t>2*20</t>
        </is>
      </c>
      <c r="F904" s="41" t="inlineStr">
        <is>
          <t xml:space="preserve">السويدى بوليمرز </t>
        </is>
      </c>
      <c r="G904" s="41" t="inlineStr">
        <is>
          <t xml:space="preserve">العاشر </t>
        </is>
      </c>
      <c r="H904" s="41" t="inlineStr">
        <is>
          <t>38036/0-278497/3</t>
        </is>
      </c>
      <c r="I904" s="41" t="inlineStr">
        <is>
          <t>ب ر ج 3897</t>
        </is>
      </c>
      <c r="J904" s="41" t="inlineStr">
        <is>
          <t xml:space="preserve">كرم محمد </t>
        </is>
      </c>
      <c r="K904" s="41" t="inlineStr">
        <is>
          <t>الليبر</t>
        </is>
      </c>
      <c r="L904" s="42" t="n">
        <v>20500</v>
      </c>
      <c r="M904" s="42" t="n">
        <v>11100</v>
      </c>
      <c r="N904" s="42" t="n"/>
      <c r="O904" s="42" t="n">
        <v>200</v>
      </c>
      <c r="P904" s="42" t="n"/>
      <c r="Q904" s="42" t="n">
        <v>9200</v>
      </c>
      <c r="R904" s="43">
        <f>IF($B904="","",N($S904)-N($Q904))</f>
        <v/>
      </c>
      <c r="S904" s="43">
        <f>IF($B904="","",N($L904)+N($N904)+N($P904))</f>
        <v/>
      </c>
      <c r="T904" s="42" t="n"/>
      <c r="U904" s="42" t="n"/>
      <c r="V904" s="42" t="n"/>
      <c r="W904" s="42" t="n"/>
      <c r="X904" s="42" t="n"/>
      <c r="Y904" s="42" t="n"/>
      <c r="Z904" s="42" t="n"/>
      <c r="AA904" s="42" t="n"/>
      <c r="AB904" s="42" t="n"/>
      <c r="AC904" s="42" t="n"/>
      <c r="AD904" s="42" t="n"/>
      <c r="AE904" s="42" t="n"/>
      <c r="AF904" s="43">
        <f>IF($B904="","",SUM($T904:$AE904))</f>
        <v/>
      </c>
      <c r="AG904" s="43">
        <f>IF($B904="","",N($M904)-N($AF904))</f>
        <v/>
      </c>
      <c r="AH904" s="43">
        <f>IF($B904="","",N($L904)-N($AF904))</f>
        <v/>
      </c>
      <c r="AI904" s="149">
        <f>IF($B904="","",IF(N($L904)=0,"",(N($L904)-N($AF904))/N($L904)))</f>
        <v/>
      </c>
    </row>
    <row r="905">
      <c r="A905" s="39">
        <f>IF($B905="","",COUNTA($B$4:$B905))</f>
        <v/>
      </c>
      <c r="B905" s="45" t="n">
        <v>46131</v>
      </c>
      <c r="C905" s="46" t="n">
        <v>2702</v>
      </c>
      <c r="D905" s="46" t="inlineStr">
        <is>
          <t>رمزى ابو النور</t>
        </is>
      </c>
      <c r="E905" s="46" t="inlineStr">
        <is>
          <t>2*20</t>
        </is>
      </c>
      <c r="F905" s="46" t="inlineStr">
        <is>
          <t xml:space="preserve">السويدى بوليمرز </t>
        </is>
      </c>
      <c r="G905" s="46" t="inlineStr">
        <is>
          <t xml:space="preserve">العاشر </t>
        </is>
      </c>
      <c r="H905" s="46" t="inlineStr">
        <is>
          <t>011349/3-219215/1</t>
        </is>
      </c>
      <c r="I905" s="46" t="inlineStr">
        <is>
          <t>ص ع ا 4913</t>
        </is>
      </c>
      <c r="J905" s="46" t="inlineStr">
        <is>
          <t xml:space="preserve">شعبان بسيونى </t>
        </is>
      </c>
      <c r="K905" s="46" t="inlineStr">
        <is>
          <t>الليبر</t>
        </is>
      </c>
      <c r="L905" s="47" t="n">
        <v>20500</v>
      </c>
      <c r="M905" s="47" t="n">
        <v>11100</v>
      </c>
      <c r="N905" s="47" t="n"/>
      <c r="O905" s="47" t="n">
        <v>200</v>
      </c>
      <c r="P905" s="47" t="n"/>
      <c r="Q905" s="47" t="n">
        <v>9200</v>
      </c>
      <c r="R905" s="43">
        <f>IF($B905="","",N($S905)-N($Q905))</f>
        <v/>
      </c>
      <c r="S905" s="43">
        <f>IF($B905="","",N($L905)+N($N905)+N($P905))</f>
        <v/>
      </c>
      <c r="T905" s="47" t="n"/>
      <c r="U905" s="47" t="n"/>
      <c r="V905" s="47" t="n"/>
      <c r="W905" s="47" t="n"/>
      <c r="X905" s="47" t="n"/>
      <c r="Y905" s="47" t="n"/>
      <c r="Z905" s="47" t="n"/>
      <c r="AA905" s="47" t="n"/>
      <c r="AB905" s="47" t="n"/>
      <c r="AC905" s="47" t="n"/>
      <c r="AD905" s="47" t="n"/>
      <c r="AE905" s="47" t="n"/>
      <c r="AF905" s="43">
        <f>IF($B905="","",SUM($T905:$AE905))</f>
        <v/>
      </c>
      <c r="AG905" s="43">
        <f>IF($B905="","",N($M905)-N($AF905))</f>
        <v/>
      </c>
      <c r="AH905" s="43">
        <f>IF($B905="","",N($L905)-N($AF905))</f>
        <v/>
      </c>
      <c r="AI905" s="149">
        <f>IF($B905="","",IF(N($L905)=0,"",(N($L905)-N($AF905))/N($L905)))</f>
        <v/>
      </c>
    </row>
    <row r="906">
      <c r="A906" s="39">
        <f>IF($B906="","",COUNTA($B$4:$B906))</f>
        <v/>
      </c>
      <c r="B906" s="40" t="n">
        <v>46131</v>
      </c>
      <c r="C906" s="41" t="n">
        <v>2707</v>
      </c>
      <c r="D906" s="41" t="inlineStr">
        <is>
          <t>عتريس مخيمر  خ</t>
        </is>
      </c>
      <c r="E906" s="41" t="inlineStr">
        <is>
          <t>1*40 ث</t>
        </is>
      </c>
      <c r="F906" s="41" t="inlineStr">
        <is>
          <t xml:space="preserve">فود الليانس </t>
        </is>
      </c>
      <c r="G906" s="41" t="inlineStr">
        <is>
          <t xml:space="preserve">ابو غالب </t>
        </is>
      </c>
      <c r="H906" s="41" t="inlineStr">
        <is>
          <t>502313/9</t>
        </is>
      </c>
      <c r="I906" s="41" t="inlineStr">
        <is>
          <t>ط ف ر 1474</t>
        </is>
      </c>
      <c r="J906" s="41" t="inlineStr">
        <is>
          <t xml:space="preserve">جمال على </t>
        </is>
      </c>
      <c r="K906" s="41" t="inlineStr">
        <is>
          <t xml:space="preserve">كريم خليف </t>
        </is>
      </c>
      <c r="L906" s="42" t="n">
        <v>15000</v>
      </c>
      <c r="M906" s="42" t="n">
        <v>8100</v>
      </c>
      <c r="N906" s="42" t="n"/>
      <c r="O906" s="42" t="n">
        <v>200</v>
      </c>
      <c r="P906" s="42" t="n"/>
      <c r="Q906" s="42" t="n">
        <v>6700</v>
      </c>
      <c r="R906" s="43">
        <f>IF($B906="","",N($S906)-N($Q906))</f>
        <v/>
      </c>
      <c r="S906" s="43">
        <f>IF($B906="","",N($L906)+N($N906)+N($P906))</f>
        <v/>
      </c>
      <c r="T906" s="42" t="n"/>
      <c r="U906" s="42" t="n"/>
      <c r="V906" s="42" t="n"/>
      <c r="W906" s="42" t="n"/>
      <c r="X906" s="42" t="n"/>
      <c r="Y906" s="42" t="n"/>
      <c r="Z906" s="42" t="n"/>
      <c r="AA906" s="42" t="n"/>
      <c r="AB906" s="42" t="n"/>
      <c r="AC906" s="42" t="n"/>
      <c r="AD906" s="42" t="n"/>
      <c r="AE906" s="42" t="n"/>
      <c r="AF906" s="43">
        <f>IF($B906="","",SUM($T906:$AE906))</f>
        <v/>
      </c>
      <c r="AG906" s="43">
        <f>IF($B906="","",N($M906)-N($AF906))</f>
        <v/>
      </c>
      <c r="AH906" s="43">
        <f>IF($B906="","",N($L906)-N($AF906))</f>
        <v/>
      </c>
      <c r="AI906" s="149">
        <f>IF($B906="","",IF(N($L906)=0,"",(N($L906)-N($AF906))/N($L906)))</f>
        <v/>
      </c>
    </row>
    <row r="907">
      <c r="A907" s="39">
        <f>IF($B907="","",COUNTA($B$4:$B907))</f>
        <v/>
      </c>
      <c r="B907" s="45" t="n">
        <v>46131</v>
      </c>
      <c r="C907" s="46" t="n">
        <v>2636</v>
      </c>
      <c r="D907" s="46" t="inlineStr">
        <is>
          <t xml:space="preserve">استوريا </t>
        </is>
      </c>
      <c r="E907" s="46" t="inlineStr">
        <is>
          <t>1*40</t>
        </is>
      </c>
      <c r="F907" s="46" t="inlineStr">
        <is>
          <t xml:space="preserve">استيل لاند </t>
        </is>
      </c>
      <c r="G907" s="46" t="inlineStr">
        <is>
          <t xml:space="preserve">العاشر </t>
        </is>
      </c>
      <c r="H907" s="46" t="inlineStr">
        <is>
          <t>100113/7</t>
        </is>
      </c>
      <c r="I907" s="46" t="inlineStr">
        <is>
          <t>ب ح ع 7962</t>
        </is>
      </c>
      <c r="J907" s="46" t="inlineStr">
        <is>
          <t xml:space="preserve">على العبد </t>
        </is>
      </c>
      <c r="K907" s="46" t="inlineStr">
        <is>
          <t>استوريا</t>
        </is>
      </c>
      <c r="L907" s="47" t="n">
        <v>15500</v>
      </c>
      <c r="M907" s="47" t="n">
        <v>8100</v>
      </c>
      <c r="N907" s="47" t="n"/>
      <c r="O907" s="47" t="n">
        <v>200</v>
      </c>
      <c r="P907" s="47" t="n"/>
      <c r="Q907" s="47" t="n">
        <v>7200</v>
      </c>
      <c r="R907" s="43">
        <f>IF($B907="","",N($S907)-N($Q907))</f>
        <v/>
      </c>
      <c r="S907" s="43">
        <f>IF($B907="","",N($L907)+N($N907)+N($P907))</f>
        <v/>
      </c>
      <c r="T907" s="47" t="n"/>
      <c r="U907" s="47" t="n"/>
      <c r="V907" s="47" t="n"/>
      <c r="W907" s="47" t="n"/>
      <c r="X907" s="47" t="n"/>
      <c r="Y907" s="47" t="n"/>
      <c r="Z907" s="47" t="n"/>
      <c r="AA907" s="47" t="n"/>
      <c r="AB907" s="47" t="n"/>
      <c r="AC907" s="47" t="n"/>
      <c r="AD907" s="47" t="n"/>
      <c r="AE907" s="47" t="n"/>
      <c r="AF907" s="43">
        <f>IF($B907="","",SUM($T907:$AE907))</f>
        <v/>
      </c>
      <c r="AG907" s="43">
        <f>IF($B907="","",N($M907)-N($AF907))</f>
        <v/>
      </c>
      <c r="AH907" s="43">
        <f>IF($B907="","",N($L907)-N($AF907))</f>
        <v/>
      </c>
      <c r="AI907" s="149">
        <f>IF($B907="","",IF(N($L907)=0,"",(N($L907)-N($AF907))/N($L907)))</f>
        <v/>
      </c>
    </row>
    <row r="908">
      <c r="A908" s="39">
        <f>IF($B908="","",COUNTA($B$4:$B908))</f>
        <v/>
      </c>
      <c r="B908" s="40" t="n">
        <v>46131</v>
      </c>
      <c r="C908" s="41" t="n">
        <v>2637</v>
      </c>
      <c r="D908" s="41" t="inlineStr">
        <is>
          <t xml:space="preserve">احمد محسن </t>
        </is>
      </c>
      <c r="E908" s="41" t="inlineStr">
        <is>
          <t>1*40</t>
        </is>
      </c>
      <c r="F908" s="41" t="inlineStr">
        <is>
          <t xml:space="preserve">استيل لاند </t>
        </is>
      </c>
      <c r="G908" s="41" t="inlineStr">
        <is>
          <t xml:space="preserve">العاشر </t>
        </is>
      </c>
      <c r="H908" s="41" t="inlineStr">
        <is>
          <t>231117/9</t>
        </is>
      </c>
      <c r="I908" s="41" t="inlineStr">
        <is>
          <t>س ه ف 1387</t>
        </is>
      </c>
      <c r="J908" s="41" t="inlineStr">
        <is>
          <t xml:space="preserve">ابراهيم محمود </t>
        </is>
      </c>
      <c r="K908" s="41" t="inlineStr">
        <is>
          <t xml:space="preserve">احمد محسن </t>
        </is>
      </c>
      <c r="L908" s="42" t="n">
        <v>15000</v>
      </c>
      <c r="M908" s="42" t="n">
        <v>8100</v>
      </c>
      <c r="N908" s="42" t="n"/>
      <c r="O908" s="42" t="n">
        <v>200</v>
      </c>
      <c r="P908" s="42" t="n"/>
      <c r="Q908" s="42" t="n">
        <v>6700</v>
      </c>
      <c r="R908" s="43">
        <f>IF($B908="","",N($S908)-N($Q908))</f>
        <v/>
      </c>
      <c r="S908" s="43">
        <f>IF($B908="","",N($L908)+N($N908)+N($P908))</f>
        <v/>
      </c>
      <c r="T908" s="42" t="n"/>
      <c r="U908" s="42" t="n"/>
      <c r="V908" s="42" t="n"/>
      <c r="W908" s="42" t="n"/>
      <c r="X908" s="42" t="n"/>
      <c r="Y908" s="42" t="n"/>
      <c r="Z908" s="42" t="n"/>
      <c r="AA908" s="42" t="n"/>
      <c r="AB908" s="42" t="n"/>
      <c r="AC908" s="42" t="n"/>
      <c r="AD908" s="42" t="n"/>
      <c r="AE908" s="42" t="n"/>
      <c r="AF908" s="43">
        <f>IF($B908="","",SUM($T908:$AE908))</f>
        <v/>
      </c>
      <c r="AG908" s="43">
        <f>IF($B908="","",N($M908)-N($AF908))</f>
        <v/>
      </c>
      <c r="AH908" s="43">
        <f>IF($B908="","",N($L908)-N($AF908))</f>
        <v/>
      </c>
      <c r="AI908" s="149">
        <f>IF($B908="","",IF(N($L908)=0,"",(N($L908)-N($AF908))/N($L908)))</f>
        <v/>
      </c>
    </row>
    <row r="909">
      <c r="A909" s="39">
        <f>IF($B909="","",COUNTA($B$4:$B909))</f>
        <v/>
      </c>
      <c r="B909" s="45" t="n">
        <v>46131</v>
      </c>
      <c r="C909" s="46" t="n">
        <v>2638</v>
      </c>
      <c r="D909" s="46" t="inlineStr">
        <is>
          <t xml:space="preserve">احمد عزت </t>
        </is>
      </c>
      <c r="E909" s="46" t="inlineStr">
        <is>
          <t>1*40</t>
        </is>
      </c>
      <c r="F909" s="46" t="inlineStr">
        <is>
          <t xml:space="preserve">استيل لاند </t>
        </is>
      </c>
      <c r="G909" s="46" t="inlineStr">
        <is>
          <t xml:space="preserve">العاشر </t>
        </is>
      </c>
      <c r="H909" s="46" t="inlineStr">
        <is>
          <t>231185/7</t>
        </is>
      </c>
      <c r="I909" s="46" t="inlineStr">
        <is>
          <t>ب د ن 6918</t>
        </is>
      </c>
      <c r="J909" s="46" t="inlineStr">
        <is>
          <t xml:space="preserve">هيثم خالد </t>
        </is>
      </c>
      <c r="K909" s="46" t="inlineStr">
        <is>
          <t>الليبر</t>
        </is>
      </c>
      <c r="L909" s="47" t="n">
        <v>15500</v>
      </c>
      <c r="M909" s="47" t="n">
        <v>8100</v>
      </c>
      <c r="N909" s="47" t="n"/>
      <c r="O909" s="47" t="n">
        <v>200</v>
      </c>
      <c r="P909" s="47" t="n"/>
      <c r="Q909" s="47" t="n">
        <v>7200</v>
      </c>
      <c r="R909" s="43">
        <f>IF($B909="","",N($S909)-N($Q909))</f>
        <v/>
      </c>
      <c r="S909" s="43">
        <f>IF($B909="","",N($L909)+N($N909)+N($P909))</f>
        <v/>
      </c>
      <c r="T909" s="47" t="n"/>
      <c r="U909" s="47" t="n"/>
      <c r="V909" s="47" t="n"/>
      <c r="W909" s="47" t="n"/>
      <c r="X909" s="47" t="n"/>
      <c r="Y909" s="47" t="n"/>
      <c r="Z909" s="47" t="n"/>
      <c r="AA909" s="47" t="n"/>
      <c r="AB909" s="47" t="n"/>
      <c r="AC909" s="47" t="n"/>
      <c r="AD909" s="47" t="n"/>
      <c r="AE909" s="47" t="n"/>
      <c r="AF909" s="43">
        <f>IF($B909="","",SUM($T909:$AE909))</f>
        <v/>
      </c>
      <c r="AG909" s="43">
        <f>IF($B909="","",N($M909)-N($AF909))</f>
        <v/>
      </c>
      <c r="AH909" s="43">
        <f>IF($B909="","",N($L909)-N($AF909))</f>
        <v/>
      </c>
      <c r="AI909" s="149">
        <f>IF($B909="","",IF(N($L909)=0,"",(N($L909)-N($AF909))/N($L909)))</f>
        <v/>
      </c>
    </row>
    <row r="910">
      <c r="A910" s="39">
        <f>IF($B910="","",COUNTA($B$4:$B910))</f>
        <v/>
      </c>
      <c r="B910" s="40" t="n">
        <v>46131</v>
      </c>
      <c r="C910" s="41" t="n">
        <v>2639</v>
      </c>
      <c r="D910" s="41" t="inlineStr">
        <is>
          <t xml:space="preserve">احمد عزت </t>
        </is>
      </c>
      <c r="E910" s="41" t="inlineStr">
        <is>
          <t>1*40</t>
        </is>
      </c>
      <c r="F910" s="41" t="inlineStr">
        <is>
          <t xml:space="preserve">استيل لاند </t>
        </is>
      </c>
      <c r="G910" s="41" t="inlineStr">
        <is>
          <t xml:space="preserve">العاشر </t>
        </is>
      </c>
      <c r="H910" s="41" t="inlineStr">
        <is>
          <t>254097/7</t>
        </is>
      </c>
      <c r="I910" s="41" t="inlineStr">
        <is>
          <t>ب ر ط 7293</t>
        </is>
      </c>
      <c r="J910" s="41" t="inlineStr">
        <is>
          <t xml:space="preserve">سامى على </t>
        </is>
      </c>
      <c r="K910" s="41" t="inlineStr">
        <is>
          <t>الليبر</t>
        </is>
      </c>
      <c r="L910" s="42" t="n">
        <v>15500</v>
      </c>
      <c r="M910" s="42" t="n">
        <v>8100</v>
      </c>
      <c r="N910" s="42" t="n"/>
      <c r="O910" s="42" t="n">
        <v>200</v>
      </c>
      <c r="P910" s="42" t="n"/>
      <c r="Q910" s="42" t="n">
        <v>7200</v>
      </c>
      <c r="R910" s="43">
        <f>IF($B910="","",N($S910)-N($Q910))</f>
        <v/>
      </c>
      <c r="S910" s="43">
        <f>IF($B910="","",N($L910)+N($N910)+N($P910))</f>
        <v/>
      </c>
      <c r="T910" s="42" t="n"/>
      <c r="U910" s="42" t="n"/>
      <c r="V910" s="42" t="n"/>
      <c r="W910" s="42" t="n"/>
      <c r="X910" s="42" t="n"/>
      <c r="Y910" s="42" t="n"/>
      <c r="Z910" s="42" t="n"/>
      <c r="AA910" s="42" t="n"/>
      <c r="AB910" s="42" t="n"/>
      <c r="AC910" s="42" t="n"/>
      <c r="AD910" s="42" t="n"/>
      <c r="AE910" s="42" t="n"/>
      <c r="AF910" s="43">
        <f>IF($B910="","",SUM($T910:$AE910))</f>
        <v/>
      </c>
      <c r="AG910" s="43">
        <f>IF($B910="","",N($M910)-N($AF910))</f>
        <v/>
      </c>
      <c r="AH910" s="43">
        <f>IF($B910="","",N($L910)-N($AF910))</f>
        <v/>
      </c>
      <c r="AI910" s="149">
        <f>IF($B910="","",IF(N($L910)=0,"",(N($L910)-N($AF910))/N($L910)))</f>
        <v/>
      </c>
    </row>
    <row r="911">
      <c r="A911" s="39">
        <f>IF($B911="","",COUNTA($B$4:$B911))</f>
        <v/>
      </c>
      <c r="B911" s="45" t="n">
        <v>46131</v>
      </c>
      <c r="C911" s="46" t="n">
        <v>2333</v>
      </c>
      <c r="D911" s="46" t="inlineStr">
        <is>
          <t>حماد خ</t>
        </is>
      </c>
      <c r="E911" s="46" t="inlineStr">
        <is>
          <t>1*40</t>
        </is>
      </c>
      <c r="F911" s="46" t="inlineStr">
        <is>
          <t xml:space="preserve">الاكرامى </t>
        </is>
      </c>
      <c r="G911" s="46" t="inlineStr">
        <is>
          <t xml:space="preserve">العاشر </t>
        </is>
      </c>
      <c r="H911" s="46" t="inlineStr">
        <is>
          <t>579816/8</t>
        </is>
      </c>
      <c r="I911" s="46" t="inlineStr">
        <is>
          <t>س ا ه 8198</t>
        </is>
      </c>
      <c r="J911" s="46" t="inlineStr">
        <is>
          <t xml:space="preserve">مصطفى علاء </t>
        </is>
      </c>
      <c r="K911" s="46" t="inlineStr">
        <is>
          <t xml:space="preserve">علاء علام </t>
        </is>
      </c>
      <c r="L911" s="47" t="n">
        <v>16000</v>
      </c>
      <c r="M911" s="47" t="n">
        <v>9100</v>
      </c>
      <c r="N911" s="47" t="n"/>
      <c r="O911" s="47" t="n">
        <v>200</v>
      </c>
      <c r="P911" s="47" t="n"/>
      <c r="Q911" s="47" t="n">
        <v>6700</v>
      </c>
      <c r="R911" s="43">
        <f>IF($B911="","",N($S911)-N($Q911))</f>
        <v/>
      </c>
      <c r="S911" s="43">
        <f>IF($B911="","",N($L911)+N($N911)+N($P911))</f>
        <v/>
      </c>
      <c r="T911" s="47" t="n"/>
      <c r="U911" s="47" t="n"/>
      <c r="V911" s="47" t="n"/>
      <c r="W911" s="47" t="n"/>
      <c r="X911" s="47" t="n"/>
      <c r="Y911" s="47" t="n"/>
      <c r="Z911" s="47" t="n"/>
      <c r="AA911" s="47" t="n"/>
      <c r="AB911" s="47" t="n"/>
      <c r="AC911" s="47" t="n"/>
      <c r="AD911" s="47" t="n"/>
      <c r="AE911" s="47" t="n"/>
      <c r="AF911" s="43">
        <f>IF($B911="","",SUM($T911:$AE911))</f>
        <v/>
      </c>
      <c r="AG911" s="43">
        <f>IF($B911="","",N($M911)-N($AF911))</f>
        <v/>
      </c>
      <c r="AH911" s="43">
        <f>IF($B911="","",N($L911)-N($AF911))</f>
        <v/>
      </c>
      <c r="AI911" s="149">
        <f>IF($B911="","",IF(N($L911)=0,"",(N($L911)-N($AF911))/N($L911)))</f>
        <v/>
      </c>
    </row>
    <row r="912">
      <c r="A912" s="39">
        <f>IF($B912="","",COUNTA($B$4:$B912))</f>
        <v/>
      </c>
      <c r="B912" s="40" t="n">
        <v>46132</v>
      </c>
      <c r="C912" s="41" t="n">
        <v>2334</v>
      </c>
      <c r="D912" s="41" t="n"/>
      <c r="E912" s="41" t="inlineStr">
        <is>
          <t>1*20</t>
        </is>
      </c>
      <c r="F912" s="41" t="inlineStr">
        <is>
          <t xml:space="preserve">الدولية للفحم </t>
        </is>
      </c>
      <c r="G912" s="41" t="inlineStr">
        <is>
          <t>برج العرب</t>
        </is>
      </c>
      <c r="H912" s="41" t="inlineStr">
        <is>
          <t>052938/0</t>
        </is>
      </c>
      <c r="I912" s="41" t="inlineStr">
        <is>
          <t>ب ه ا 9178</t>
        </is>
      </c>
      <c r="J912" s="41" t="inlineStr">
        <is>
          <t xml:space="preserve">محمد حمدى </t>
        </is>
      </c>
      <c r="K912" s="41" t="inlineStr">
        <is>
          <t>رومانى</t>
        </is>
      </c>
      <c r="L912" s="42" t="n">
        <v>9100</v>
      </c>
      <c r="M912" s="42" t="n">
        <v>5100</v>
      </c>
      <c r="N912" s="42" t="n"/>
      <c r="O912" s="42" t="n">
        <v>200</v>
      </c>
      <c r="P912" s="42" t="n"/>
      <c r="Q912" s="42" t="n">
        <v>3800</v>
      </c>
      <c r="R912" s="43">
        <f>IF($B912="","",N($S912)-N($Q912))</f>
        <v/>
      </c>
      <c r="S912" s="43">
        <f>IF($B912="","",N($L912)+N($N912)+N($P912))</f>
        <v/>
      </c>
      <c r="T912" s="42" t="n"/>
      <c r="U912" s="42" t="n"/>
      <c r="V912" s="42" t="n"/>
      <c r="W912" s="42" t="n"/>
      <c r="X912" s="42" t="n"/>
      <c r="Y912" s="42" t="n"/>
      <c r="Z912" s="42" t="n"/>
      <c r="AA912" s="42" t="n"/>
      <c r="AB912" s="42" t="n"/>
      <c r="AC912" s="42" t="n"/>
      <c r="AD912" s="42" t="n"/>
      <c r="AE912" s="42" t="n"/>
      <c r="AF912" s="43">
        <f>IF($B912="","",SUM($T912:$AE912))</f>
        <v/>
      </c>
      <c r="AG912" s="43">
        <f>IF($B912="","",N($M912)-N($AF912))</f>
        <v/>
      </c>
      <c r="AH912" s="43">
        <f>IF($B912="","",N($L912)-N($AF912))</f>
        <v/>
      </c>
      <c r="AI912" s="149">
        <f>IF($B912="","",IF(N($L912)=0,"",(N($L912)-N($AF912))/N($L912)))</f>
        <v/>
      </c>
    </row>
    <row r="913">
      <c r="A913" s="39">
        <f>IF($B913="","",COUNTA($B$4:$B913))</f>
        <v/>
      </c>
      <c r="B913" s="45" t="n">
        <v>46132</v>
      </c>
      <c r="C913" s="46" t="n">
        <v>2335</v>
      </c>
      <c r="D913" s="46" t="inlineStr">
        <is>
          <t>المكتب</t>
        </is>
      </c>
      <c r="E913" s="46" t="inlineStr">
        <is>
          <t>2*20</t>
        </is>
      </c>
      <c r="F913" s="46" t="inlineStr">
        <is>
          <t xml:space="preserve">الدولية للفحم </t>
        </is>
      </c>
      <c r="G913" s="46" t="inlineStr">
        <is>
          <t>برج العرب</t>
        </is>
      </c>
      <c r="H913" s="46" t="inlineStr">
        <is>
          <t>395690/7-103355/0</t>
        </is>
      </c>
      <c r="I913" s="46" t="inlineStr">
        <is>
          <t>س ع م 8737</t>
        </is>
      </c>
      <c r="J913" s="46" t="inlineStr">
        <is>
          <t xml:space="preserve">محمد مرزوق </t>
        </is>
      </c>
      <c r="K913" s="46" t="inlineStr">
        <is>
          <t xml:space="preserve">المكتب </t>
        </is>
      </c>
      <c r="L913" s="47" t="n">
        <v>10500</v>
      </c>
      <c r="M913" s="47" t="n">
        <v>2000</v>
      </c>
      <c r="N913" s="47" t="n"/>
      <c r="O913" s="47" t="n"/>
      <c r="P913" s="47" t="n"/>
      <c r="Q913" s="47" t="n">
        <v>8500</v>
      </c>
      <c r="R913" s="43">
        <f>IF($B913="","",N($S913)-N($Q913))</f>
        <v/>
      </c>
      <c r="S913" s="43">
        <f>IF($B913="","",N($L913)+N($N913)+N($P913))</f>
        <v/>
      </c>
      <c r="T913" s="47" t="n">
        <v>1400</v>
      </c>
      <c r="U913" s="47" t="n">
        <v>0</v>
      </c>
      <c r="V913" s="47" t="n"/>
      <c r="W913" s="47" t="n">
        <v>200</v>
      </c>
      <c r="X913" s="47" t="n">
        <v>200</v>
      </c>
      <c r="Y913" s="47" t="n"/>
      <c r="Z913" s="47" t="n"/>
      <c r="AA913" s="47" t="n"/>
      <c r="AB913" s="47" t="n">
        <v>200</v>
      </c>
      <c r="AC913" s="47" t="n"/>
      <c r="AD913" s="47" t="n"/>
      <c r="AE913" s="47" t="n"/>
      <c r="AF913" s="43">
        <f>IF($B913="","",SUM($T913:$AE913))</f>
        <v/>
      </c>
      <c r="AG913" s="43">
        <f>IF($B913="","",N($M913)-N($AF913))</f>
        <v/>
      </c>
      <c r="AH913" s="43">
        <f>IF($B913="","",N($L913)-N($AF913))</f>
        <v/>
      </c>
      <c r="AI913" s="149">
        <f>IF($B913="","",IF(N($L913)=0,"",(N($L913)-N($AF913))/N($L913)))</f>
        <v/>
      </c>
    </row>
    <row r="914">
      <c r="A914" s="39">
        <f>IF($B914="","",COUNTA($B$4:$B914))</f>
        <v/>
      </c>
      <c r="B914" s="40" t="n">
        <v>46132</v>
      </c>
      <c r="C914" s="41" t="n">
        <v>2336</v>
      </c>
      <c r="D914" s="41" t="inlineStr">
        <is>
          <t xml:space="preserve">ولعان </t>
        </is>
      </c>
      <c r="E914" s="41" t="inlineStr">
        <is>
          <t>2*20</t>
        </is>
      </c>
      <c r="F914" s="41" t="inlineStr">
        <is>
          <t xml:space="preserve">الدولية للفحم </t>
        </is>
      </c>
      <c r="G914" s="41" t="inlineStr">
        <is>
          <t>برج العرب</t>
        </is>
      </c>
      <c r="H914" s="41" t="inlineStr">
        <is>
          <t>572947/2-603489/1</t>
        </is>
      </c>
      <c r="I914" s="41" t="inlineStr">
        <is>
          <t>س ف ب 1974</t>
        </is>
      </c>
      <c r="J914" s="41" t="inlineStr">
        <is>
          <t>السيد ابو طالب</t>
        </is>
      </c>
      <c r="K914" s="41" t="inlineStr">
        <is>
          <t xml:space="preserve">برح العرب </t>
        </is>
      </c>
      <c r="L914" s="42" t="n">
        <v>11000</v>
      </c>
      <c r="M914" s="42" t="n">
        <v>7000</v>
      </c>
      <c r="N914" s="42" t="n"/>
      <c r="O914" s="42" t="n"/>
      <c r="P914" s="42" t="n"/>
      <c r="Q914" s="42" t="n">
        <v>4000</v>
      </c>
      <c r="R914" s="43">
        <f>IF($B914="","",N($S914)-N($Q914))</f>
        <v/>
      </c>
      <c r="S914" s="43">
        <f>IF($B914="","",N($L914)+N($N914)+N($P914))</f>
        <v/>
      </c>
      <c r="T914" s="42" t="n"/>
      <c r="U914" s="42" t="n"/>
      <c r="V914" s="42" t="n"/>
      <c r="W914" s="42" t="n"/>
      <c r="X914" s="42" t="n"/>
      <c r="Y914" s="42" t="n"/>
      <c r="Z914" s="42" t="n"/>
      <c r="AA914" s="42" t="n"/>
      <c r="AB914" s="42" t="n"/>
      <c r="AC914" s="42" t="n"/>
      <c r="AD914" s="42" t="n"/>
      <c r="AE914" s="42" t="n"/>
      <c r="AF914" s="43">
        <f>IF($B914="","",SUM($T914:$AE914))</f>
        <v/>
      </c>
      <c r="AG914" s="43">
        <f>IF($B914="","",N($M914)-N($AF914))</f>
        <v/>
      </c>
      <c r="AH914" s="43">
        <f>IF($B914="","",N($L914)-N($AF914))</f>
        <v/>
      </c>
      <c r="AI914" s="149">
        <f>IF($B914="","",IF(N($L914)=0,"",(N($L914)-N($AF914))/N($L914)))</f>
        <v/>
      </c>
    </row>
    <row r="915">
      <c r="A915" s="39">
        <f>IF($B915="","",COUNTA($B$4:$B915))</f>
        <v/>
      </c>
      <c r="B915" s="45" t="n">
        <v>46132</v>
      </c>
      <c r="C915" s="46" t="n">
        <v>2337</v>
      </c>
      <c r="D915" s="46" t="inlineStr">
        <is>
          <t>عتريس مخيمر  خ</t>
        </is>
      </c>
      <c r="E915" s="46" t="inlineStr">
        <is>
          <t>1*40 ث</t>
        </is>
      </c>
      <c r="F915" s="46" t="inlineStr">
        <is>
          <t>المنسى</t>
        </is>
      </c>
      <c r="G915" s="46" t="inlineStr">
        <is>
          <t xml:space="preserve">ك الزيات </t>
        </is>
      </c>
      <c r="H915" s="46" t="inlineStr">
        <is>
          <t>959068/6</t>
        </is>
      </c>
      <c r="I915" s="46" t="inlineStr">
        <is>
          <t>ط ف ر 1474</t>
        </is>
      </c>
      <c r="J915" s="46" t="inlineStr">
        <is>
          <t xml:space="preserve">جمال على </t>
        </is>
      </c>
      <c r="K915" s="46" t="inlineStr">
        <is>
          <t xml:space="preserve">كريم خليف </t>
        </is>
      </c>
      <c r="L915" s="47" t="n">
        <v>14000</v>
      </c>
      <c r="M915" s="47" t="n">
        <v>8100</v>
      </c>
      <c r="N915" s="47" t="n"/>
      <c r="O915" s="47" t="n">
        <v>200</v>
      </c>
      <c r="P915" s="47" t="n"/>
      <c r="Q915" s="47" t="n">
        <v>5700</v>
      </c>
      <c r="R915" s="43">
        <f>IF($B915="","",N($S915)-N($Q915))</f>
        <v/>
      </c>
      <c r="S915" s="43">
        <f>IF($B915="","",N($L915)+N($N915)+N($P915))</f>
        <v/>
      </c>
      <c r="T915" s="47" t="n"/>
      <c r="U915" s="47" t="n"/>
      <c r="V915" s="47" t="n"/>
      <c r="W915" s="47" t="n"/>
      <c r="X915" s="47" t="n"/>
      <c r="Y915" s="47" t="n"/>
      <c r="Z915" s="47" t="n"/>
      <c r="AA915" s="47" t="n"/>
      <c r="AB915" s="47" t="n"/>
      <c r="AC915" s="47" t="n"/>
      <c r="AD915" s="47" t="n"/>
      <c r="AE915" s="47" t="n"/>
      <c r="AF915" s="43">
        <f>IF($B915="","",SUM($T915:$AE915))</f>
        <v/>
      </c>
      <c r="AG915" s="43">
        <f>IF($B915="","",N($M915)-N($AF915))</f>
        <v/>
      </c>
      <c r="AH915" s="43">
        <f>IF($B915="","",N($L915)-N($AF915))</f>
        <v/>
      </c>
      <c r="AI915" s="149">
        <f>IF($B915="","",IF(N($L915)=0,"",(N($L915)-N($AF915))/N($L915)))</f>
        <v/>
      </c>
    </row>
    <row r="916">
      <c r="A916" s="39">
        <f>IF($B916="","",COUNTA($B$4:$B916))</f>
        <v/>
      </c>
      <c r="B916" s="40" t="n">
        <v>46132</v>
      </c>
      <c r="C916" s="41" t="n">
        <v>2338</v>
      </c>
      <c r="D916" s="41" t="inlineStr">
        <is>
          <t xml:space="preserve">كمال رزق </t>
        </is>
      </c>
      <c r="E916" s="41" t="inlineStr">
        <is>
          <t>1*40 ث</t>
        </is>
      </c>
      <c r="F916" s="41" t="inlineStr">
        <is>
          <t>المنسى</t>
        </is>
      </c>
      <c r="G916" s="41" t="inlineStr">
        <is>
          <t xml:space="preserve">ك الزيات </t>
        </is>
      </c>
      <c r="H916" s="41" t="inlineStr">
        <is>
          <t>970722/9</t>
        </is>
      </c>
      <c r="I916" s="41" t="inlineStr">
        <is>
          <t>س ن ر 8979</t>
        </is>
      </c>
      <c r="J916" s="41" t="inlineStr">
        <is>
          <t xml:space="preserve">عماد سعيد </t>
        </is>
      </c>
      <c r="K916" s="41" t="inlineStr">
        <is>
          <t xml:space="preserve">عماد سعيد </t>
        </is>
      </c>
      <c r="L916" s="42" t="n">
        <v>14000</v>
      </c>
      <c r="M916" s="42" t="n">
        <v>8100</v>
      </c>
      <c r="N916" s="42" t="n"/>
      <c r="O916" s="42" t="n">
        <v>200</v>
      </c>
      <c r="P916" s="42" t="n"/>
      <c r="Q916" s="42" t="n">
        <v>5700</v>
      </c>
      <c r="R916" s="43">
        <f>IF($B916="","",N($S916)-N($Q916))</f>
        <v/>
      </c>
      <c r="S916" s="43">
        <f>IF($B916="","",N($L916)+N($N916)+N($P916))</f>
        <v/>
      </c>
      <c r="T916" s="42" t="n"/>
      <c r="U916" s="42" t="n"/>
      <c r="V916" s="42" t="n"/>
      <c r="W916" s="42" t="n"/>
      <c r="X916" s="42" t="n"/>
      <c r="Y916" s="42" t="n"/>
      <c r="Z916" s="42" t="n"/>
      <c r="AA916" s="42" t="n"/>
      <c r="AB916" s="42" t="n"/>
      <c r="AC916" s="42" t="n"/>
      <c r="AD916" s="42" t="n"/>
      <c r="AE916" s="42" t="n"/>
      <c r="AF916" s="43">
        <f>IF($B916="","",SUM($T916:$AE916))</f>
        <v/>
      </c>
      <c r="AG916" s="43">
        <f>IF($B916="","",N($M916)-N($AF916))</f>
        <v/>
      </c>
      <c r="AH916" s="43">
        <f>IF($B916="","",N($L916)-N($AF916))</f>
        <v/>
      </c>
      <c r="AI916" s="149">
        <f>IF($B916="","",IF(N($L916)=0,"",(N($L916)-N($AF916))/N($L916)))</f>
        <v/>
      </c>
    </row>
    <row r="917">
      <c r="A917" s="39">
        <f>IF($B917="","",COUNTA($B$4:$B917))</f>
        <v/>
      </c>
      <c r="B917" s="45" t="n">
        <v>46132</v>
      </c>
      <c r="C917" s="46" t="n">
        <v>2659</v>
      </c>
      <c r="D917" s="46" t="inlineStr">
        <is>
          <t>حريقة</t>
        </is>
      </c>
      <c r="E917" s="46" t="inlineStr">
        <is>
          <t>1*40</t>
        </is>
      </c>
      <c r="F917" s="46" t="inlineStr">
        <is>
          <t xml:space="preserve">الريعى </t>
        </is>
      </c>
      <c r="G917" s="46" t="inlineStr">
        <is>
          <t xml:space="preserve">الشرفية </t>
        </is>
      </c>
      <c r="H917" s="46" t="inlineStr">
        <is>
          <t>193486/8</t>
        </is>
      </c>
      <c r="I917" s="46" t="inlineStr">
        <is>
          <t>ب ج ع 9542</t>
        </is>
      </c>
      <c r="J917" s="46" t="inlineStr">
        <is>
          <t xml:space="preserve">كمال عبد الله </t>
        </is>
      </c>
      <c r="K917" s="46" t="inlineStr">
        <is>
          <t xml:space="preserve">كمال </t>
        </is>
      </c>
      <c r="L917" s="47" t="n">
        <v>17000</v>
      </c>
      <c r="M917" s="47" t="n">
        <v>10100</v>
      </c>
      <c r="N917" s="47" t="n"/>
      <c r="O917" s="47" t="n">
        <v>200</v>
      </c>
      <c r="P917" s="47" t="n"/>
      <c r="Q917" s="47" t="n">
        <v>6700</v>
      </c>
      <c r="R917" s="43">
        <f>IF($B917="","",N($S917)-N($Q917))</f>
        <v/>
      </c>
      <c r="S917" s="43">
        <f>IF($B917="","",N($L917)+N($N917)+N($P917))</f>
        <v/>
      </c>
      <c r="T917" s="47" t="n"/>
      <c r="U917" s="47" t="n"/>
      <c r="V917" s="47" t="n"/>
      <c r="W917" s="47" t="n"/>
      <c r="X917" s="47" t="n"/>
      <c r="Y917" s="47" t="n"/>
      <c r="Z917" s="47" t="n"/>
      <c r="AA917" s="47" t="n"/>
      <c r="AB917" s="47" t="n"/>
      <c r="AC917" s="47" t="n"/>
      <c r="AD917" s="47" t="n"/>
      <c r="AE917" s="47" t="n"/>
      <c r="AF917" s="43">
        <f>IF($B917="","",SUM($T917:$AE917))</f>
        <v/>
      </c>
      <c r="AG917" s="43">
        <f>IF($B917="","",N($M917)-N($AF917))</f>
        <v/>
      </c>
      <c r="AH917" s="43">
        <f>IF($B917="","",N($L917)-N($AF917))</f>
        <v/>
      </c>
      <c r="AI917" s="149">
        <f>IF($B917="","",IF(N($L917)=0,"",(N($L917)-N($AF917))/N($L917)))</f>
        <v/>
      </c>
    </row>
    <row r="918">
      <c r="A918" s="39">
        <f>IF($B918="","",COUNTA($B$4:$B918))</f>
        <v/>
      </c>
      <c r="B918" s="40" t="n">
        <v>46132</v>
      </c>
      <c r="C918" s="41" t="n">
        <v>2661</v>
      </c>
      <c r="D918" s="41" t="inlineStr">
        <is>
          <t>الشريف خ</t>
        </is>
      </c>
      <c r="E918" s="41" t="inlineStr">
        <is>
          <t>1*40</t>
        </is>
      </c>
      <c r="F918" s="41" t="inlineStr">
        <is>
          <t xml:space="preserve">الريعى </t>
        </is>
      </c>
      <c r="G918" s="41" t="inlineStr">
        <is>
          <t xml:space="preserve">الشرفية </t>
        </is>
      </c>
      <c r="H918" s="41" t="inlineStr">
        <is>
          <t>728027/6</t>
        </is>
      </c>
      <c r="I918" s="41" t="inlineStr">
        <is>
          <t>ب د ف 5827</t>
        </is>
      </c>
      <c r="J918" s="41" t="inlineStr">
        <is>
          <t xml:space="preserve">سعيد رجب </t>
        </is>
      </c>
      <c r="K918" s="41" t="inlineStr">
        <is>
          <t>الليبر</t>
        </is>
      </c>
      <c r="L918" s="42" t="n">
        <v>18000</v>
      </c>
      <c r="M918" s="42" t="n">
        <v>10100</v>
      </c>
      <c r="N918" s="42" t="n"/>
      <c r="O918" s="42" t="n">
        <v>200</v>
      </c>
      <c r="P918" s="42" t="n"/>
      <c r="Q918" s="42" t="n">
        <v>7700</v>
      </c>
      <c r="R918" s="43">
        <f>IF($B918="","",N($S918)-N($Q918))</f>
        <v/>
      </c>
      <c r="S918" s="43">
        <f>IF($B918="","",N($L918)+N($N918)+N($P918))</f>
        <v/>
      </c>
      <c r="T918" s="42" t="n"/>
      <c r="U918" s="42" t="n"/>
      <c r="V918" s="42" t="n"/>
      <c r="W918" s="42" t="n"/>
      <c r="X918" s="42" t="n"/>
      <c r="Y918" s="42" t="n"/>
      <c r="Z918" s="42" t="n"/>
      <c r="AA918" s="42" t="n"/>
      <c r="AB918" s="42" t="n"/>
      <c r="AC918" s="42" t="n"/>
      <c r="AD918" s="42" t="n"/>
      <c r="AE918" s="42" t="n"/>
      <c r="AF918" s="43">
        <f>IF($B918="","",SUM($T918:$AE918))</f>
        <v/>
      </c>
      <c r="AG918" s="43">
        <f>IF($B918="","",N($M918)-N($AF918))</f>
        <v/>
      </c>
      <c r="AH918" s="43">
        <f>IF($B918="","",N($L918)-N($AF918))</f>
        <v/>
      </c>
      <c r="AI918" s="149">
        <f>IF($B918="","",IF(N($L918)=0,"",(N($L918)-N($AF918))/N($L918)))</f>
        <v/>
      </c>
    </row>
    <row r="919">
      <c r="A919" s="39">
        <f>IF($B919="","",COUNTA($B$4:$B919))</f>
        <v/>
      </c>
      <c r="B919" s="45" t="n">
        <v>46132</v>
      </c>
      <c r="C919" s="46" t="n">
        <v>2657</v>
      </c>
      <c r="D919" s="46" t="inlineStr">
        <is>
          <t xml:space="preserve">احمد حلاوة </t>
        </is>
      </c>
      <c r="E919" s="46" t="inlineStr">
        <is>
          <t>2*20</t>
        </is>
      </c>
      <c r="F919" s="46" t="inlineStr">
        <is>
          <t xml:space="preserve">المتحدة للمسابك </t>
        </is>
      </c>
      <c r="G919" s="46" t="inlineStr">
        <is>
          <t xml:space="preserve">العاشر </t>
        </is>
      </c>
      <c r="H919" s="46" t="inlineStr">
        <is>
          <t>220111/7-220820/3</t>
        </is>
      </c>
      <c r="I919" s="46" t="inlineStr">
        <is>
          <t>ع ب ق 3671</t>
        </is>
      </c>
      <c r="J919" s="46" t="inlineStr">
        <is>
          <t xml:space="preserve">سامح محمد </t>
        </is>
      </c>
      <c r="K919" s="46" t="inlineStr">
        <is>
          <t xml:space="preserve">مصطفى عاشور </t>
        </is>
      </c>
      <c r="L919" s="47" t="n">
        <v>20500</v>
      </c>
      <c r="M919" s="47" t="n">
        <v>11100</v>
      </c>
      <c r="N919" s="47" t="n"/>
      <c r="O919" s="47" t="n">
        <v>200</v>
      </c>
      <c r="P919" s="47" t="n"/>
      <c r="Q919" s="47" t="n">
        <v>9200</v>
      </c>
      <c r="R919" s="43">
        <f>IF($B919="","",N($S919)-N($Q919))</f>
        <v/>
      </c>
      <c r="S919" s="43">
        <f>IF($B919="","",N($L919)+N($N919)+N($P919))</f>
        <v/>
      </c>
      <c r="T919" s="47" t="n"/>
      <c r="U919" s="47" t="n"/>
      <c r="V919" s="47" t="n"/>
      <c r="W919" s="47" t="n"/>
      <c r="X919" s="47" t="n"/>
      <c r="Y919" s="47" t="n"/>
      <c r="Z919" s="47" t="n"/>
      <c r="AA919" s="47" t="n"/>
      <c r="AB919" s="47" t="n"/>
      <c r="AC919" s="47" t="n"/>
      <c r="AD919" s="47" t="n"/>
      <c r="AE919" s="47" t="n"/>
      <c r="AF919" s="43">
        <f>IF($B919="","",SUM($T919:$AE919))</f>
        <v/>
      </c>
      <c r="AG919" s="43">
        <f>IF($B919="","",N($M919)-N($AF919))</f>
        <v/>
      </c>
      <c r="AH919" s="43">
        <f>IF($B919="","",N($L919)-N($AF919))</f>
        <v/>
      </c>
      <c r="AI919" s="149">
        <f>IF($B919="","",IF(N($L919)=0,"",(N($L919)-N($AF919))/N($L919)))</f>
        <v/>
      </c>
    </row>
    <row r="920">
      <c r="A920" s="39">
        <f>IF($B920="","",COUNTA($B$4:$B920))</f>
        <v/>
      </c>
      <c r="B920" s="40" t="n">
        <v>46132</v>
      </c>
      <c r="C920" s="41" t="n">
        <v>2656</v>
      </c>
      <c r="D920" s="41" t="inlineStr">
        <is>
          <t>احمد خطاب</t>
        </is>
      </c>
      <c r="E920" s="41" t="inlineStr">
        <is>
          <t>2*20</t>
        </is>
      </c>
      <c r="F920" s="41" t="inlineStr">
        <is>
          <t xml:space="preserve">المتحدة للمسابك </t>
        </is>
      </c>
      <c r="G920" s="41" t="inlineStr">
        <is>
          <t>العاشر</t>
        </is>
      </c>
      <c r="H920" s="41" t="inlineStr">
        <is>
          <t>291985/0-218326/8</t>
        </is>
      </c>
      <c r="I920" s="41" t="inlineStr">
        <is>
          <t>ع ا ل 7987</t>
        </is>
      </c>
      <c r="J920" s="41" t="inlineStr">
        <is>
          <t xml:space="preserve">محمد عطية </t>
        </is>
      </c>
      <c r="K920" s="41" t="inlineStr">
        <is>
          <t xml:space="preserve">احمد خطاب </t>
        </is>
      </c>
      <c r="L920" s="42" t="n">
        <v>20500</v>
      </c>
      <c r="M920" s="42" t="n">
        <v>11100</v>
      </c>
      <c r="N920" s="42" t="n"/>
      <c r="O920" s="42" t="n">
        <v>200</v>
      </c>
      <c r="P920" s="42" t="n"/>
      <c r="Q920" s="42" t="n">
        <v>9200</v>
      </c>
      <c r="R920" s="43">
        <f>IF($B920="","",N($S920)-N($Q920))</f>
        <v/>
      </c>
      <c r="S920" s="43">
        <f>IF($B920="","",N($L920)+N($N920)+N($P920))</f>
        <v/>
      </c>
      <c r="T920" s="42" t="n"/>
      <c r="U920" s="42" t="n"/>
      <c r="V920" s="42" t="n"/>
      <c r="W920" s="42" t="n"/>
      <c r="X920" s="42" t="n"/>
      <c r="Y920" s="42" t="n"/>
      <c r="Z920" s="42" t="n"/>
      <c r="AA920" s="42" t="n"/>
      <c r="AB920" s="42" t="n"/>
      <c r="AC920" s="42" t="n"/>
      <c r="AD920" s="42" t="n"/>
      <c r="AE920" s="42" t="n"/>
      <c r="AF920" s="43">
        <f>IF($B920="","",SUM($T920:$AE920))</f>
        <v/>
      </c>
      <c r="AG920" s="43">
        <f>IF($B920="","",N($M920)-N($AF920))</f>
        <v/>
      </c>
      <c r="AH920" s="43">
        <f>IF($B920="","",N($L920)-N($AF920))</f>
        <v/>
      </c>
      <c r="AI920" s="149">
        <f>IF($B920="","",IF(N($L920)=0,"",(N($L920)-N($AF920))/N($L920)))</f>
        <v/>
      </c>
    </row>
    <row r="921">
      <c r="A921" s="39">
        <f>IF($B921="","",COUNTA($B$4:$B921))</f>
        <v/>
      </c>
      <c r="B921" s="45" t="n">
        <v>46132</v>
      </c>
      <c r="C921" s="46" t="n">
        <v>2655</v>
      </c>
      <c r="D921" s="46" t="inlineStr">
        <is>
          <t>محمد عتمان</t>
        </is>
      </c>
      <c r="E921" s="46" t="inlineStr">
        <is>
          <t>2*20</t>
        </is>
      </c>
      <c r="F921" s="46" t="inlineStr">
        <is>
          <t xml:space="preserve">المتحدة للمسابك </t>
        </is>
      </c>
      <c r="G921" s="46" t="inlineStr">
        <is>
          <t xml:space="preserve">العاشر </t>
        </is>
      </c>
      <c r="H921" s="46" t="inlineStr">
        <is>
          <t>218295/5-192001/9</t>
        </is>
      </c>
      <c r="I921" s="46" t="inlineStr">
        <is>
          <t>ب د ف 9153</t>
        </is>
      </c>
      <c r="J921" s="46" t="inlineStr">
        <is>
          <t xml:space="preserve">عبد المولى </t>
        </is>
      </c>
      <c r="K921" s="46" t="inlineStr">
        <is>
          <t xml:space="preserve">حودة شارون </t>
        </is>
      </c>
      <c r="L921" s="47" t="n">
        <v>20500</v>
      </c>
      <c r="M921" s="47" t="n">
        <v>11100</v>
      </c>
      <c r="N921" s="47" t="n"/>
      <c r="O921" s="47" t="n">
        <v>200</v>
      </c>
      <c r="P921" s="47" t="n"/>
      <c r="Q921" s="47" t="n">
        <v>9200</v>
      </c>
      <c r="R921" s="43">
        <f>IF($B921="","",N($S921)-N($Q921))</f>
        <v/>
      </c>
      <c r="S921" s="43">
        <f>IF($B921="","",N($L921)+N($N921)+N($P921))</f>
        <v/>
      </c>
      <c r="T921" s="47" t="n"/>
      <c r="U921" s="47" t="n"/>
      <c r="V921" s="47" t="n"/>
      <c r="W921" s="47" t="n"/>
      <c r="X921" s="47" t="n"/>
      <c r="Y921" s="47" t="n"/>
      <c r="Z921" s="47" t="n"/>
      <c r="AA921" s="47" t="n"/>
      <c r="AB921" s="47" t="n"/>
      <c r="AC921" s="47" t="n"/>
      <c r="AD921" s="47" t="n"/>
      <c r="AE921" s="47" t="n"/>
      <c r="AF921" s="43">
        <f>IF($B921="","",SUM($T921:$AE921))</f>
        <v/>
      </c>
      <c r="AG921" s="43">
        <f>IF($B921="","",N($M921)-N($AF921))</f>
        <v/>
      </c>
      <c r="AH921" s="43">
        <f>IF($B921="","",N($L921)-N($AF921))</f>
        <v/>
      </c>
      <c r="AI921" s="149">
        <f>IF($B921="","",IF(N($L921)=0,"",(N($L921)-N($AF921))/N($L921)))</f>
        <v/>
      </c>
    </row>
    <row r="922">
      <c r="A922" s="39">
        <f>IF($B922="","",COUNTA($B$4:$B922))</f>
        <v/>
      </c>
      <c r="B922" s="40" t="n">
        <v>46132</v>
      </c>
      <c r="C922" s="41" t="n">
        <v>2654</v>
      </c>
      <c r="D922" s="41" t="inlineStr">
        <is>
          <t>صعيدى 4</t>
        </is>
      </c>
      <c r="E922" s="41" t="inlineStr">
        <is>
          <t>2*20</t>
        </is>
      </c>
      <c r="F922" s="41" t="inlineStr">
        <is>
          <t xml:space="preserve">المتحدة للمسابك </t>
        </is>
      </c>
      <c r="G922" s="41" t="inlineStr">
        <is>
          <t xml:space="preserve">العاشر </t>
        </is>
      </c>
      <c r="H922" s="41" t="inlineStr">
        <is>
          <t>191981/0-300884/8</t>
        </is>
      </c>
      <c r="I922" s="41" t="inlineStr">
        <is>
          <t>س ف ب 3176</t>
        </is>
      </c>
      <c r="J922" s="41" t="inlineStr">
        <is>
          <t xml:space="preserve">السيد عبد العزيز </t>
        </is>
      </c>
      <c r="K922" s="41" t="inlineStr">
        <is>
          <t xml:space="preserve">محمد الصعيدى </t>
        </is>
      </c>
      <c r="L922" s="42" t="n">
        <v>20500</v>
      </c>
      <c r="M922" s="42" t="n">
        <v>10100</v>
      </c>
      <c r="N922" s="42" t="n"/>
      <c r="O922" s="42" t="n">
        <v>200</v>
      </c>
      <c r="P922" s="42" t="n"/>
      <c r="Q922" s="42" t="n">
        <v>10200</v>
      </c>
      <c r="R922" s="43">
        <f>IF($B922="","",N($S922)-N($Q922))</f>
        <v/>
      </c>
      <c r="S922" s="43">
        <f>IF($B922="","",N($L922)+N($N922)+N($P922))</f>
        <v/>
      </c>
      <c r="T922" s="42" t="n"/>
      <c r="U922" s="42" t="n"/>
      <c r="V922" s="42" t="n"/>
      <c r="W922" s="42" t="n"/>
      <c r="X922" s="42" t="n"/>
      <c r="Y922" s="42" t="n"/>
      <c r="Z922" s="42" t="n"/>
      <c r="AA922" s="42" t="n"/>
      <c r="AB922" s="42" t="n"/>
      <c r="AC922" s="42" t="n"/>
      <c r="AD922" s="42" t="n"/>
      <c r="AE922" s="42" t="n"/>
      <c r="AF922" s="43">
        <f>IF($B922="","",SUM($T922:$AE922))</f>
        <v/>
      </c>
      <c r="AG922" s="43">
        <f>IF($B922="","",N($M922)-N($AF922))</f>
        <v/>
      </c>
      <c r="AH922" s="43">
        <f>IF($B922="","",N($L922)-N($AF922))</f>
        <v/>
      </c>
      <c r="AI922" s="149">
        <f>IF($B922="","",IF(N($L922)=0,"",(N($L922)-N($AF922))/N($L922)))</f>
        <v/>
      </c>
    </row>
    <row r="923">
      <c r="A923" s="39">
        <f>IF($B923="","",COUNTA($B$4:$B923))</f>
        <v/>
      </c>
      <c r="B923" s="45" t="n">
        <v>46132</v>
      </c>
      <c r="C923" s="46" t="n">
        <v>2653</v>
      </c>
      <c r="D923" s="46" t="inlineStr">
        <is>
          <t>صعيدى 4</t>
        </is>
      </c>
      <c r="E923" s="46" t="inlineStr">
        <is>
          <t>2*20</t>
        </is>
      </c>
      <c r="F923" s="46" t="inlineStr">
        <is>
          <t xml:space="preserve">المتحدة للمسابك </t>
        </is>
      </c>
      <c r="G923" s="46" t="inlineStr">
        <is>
          <t xml:space="preserve">العاشر </t>
        </is>
      </c>
      <c r="H923" s="46" t="inlineStr">
        <is>
          <t>243110/5-327861/5</t>
        </is>
      </c>
      <c r="I923" s="46" t="inlineStr">
        <is>
          <t>س ل ج 2521</t>
        </is>
      </c>
      <c r="J923" s="46" t="inlineStr">
        <is>
          <t xml:space="preserve">احمد جمال </t>
        </is>
      </c>
      <c r="K923" s="46" t="inlineStr">
        <is>
          <t xml:space="preserve">محمد الصعيدى </t>
        </is>
      </c>
      <c r="L923" s="47" t="n">
        <v>20500</v>
      </c>
      <c r="M923" s="47" t="n">
        <v>10100</v>
      </c>
      <c r="N923" s="47" t="n"/>
      <c r="O923" s="47" t="n">
        <v>200</v>
      </c>
      <c r="P923" s="47" t="n"/>
      <c r="Q923" s="47" t="n">
        <v>10200</v>
      </c>
      <c r="R923" s="43">
        <f>IF($B923="","",N($S923)-N($Q923))</f>
        <v/>
      </c>
      <c r="S923" s="43">
        <f>IF($B923="","",N($L923)+N($N923)+N($P923))</f>
        <v/>
      </c>
      <c r="T923" s="47" t="n"/>
      <c r="U923" s="47" t="n"/>
      <c r="V923" s="47" t="n"/>
      <c r="W923" s="47" t="n"/>
      <c r="X923" s="47" t="n"/>
      <c r="Y923" s="47" t="n"/>
      <c r="Z923" s="47" t="n"/>
      <c r="AA923" s="47" t="n"/>
      <c r="AB923" s="47" t="n"/>
      <c r="AC923" s="47" t="n"/>
      <c r="AD923" s="47" t="n"/>
      <c r="AE923" s="47" t="n"/>
      <c r="AF923" s="43">
        <f>IF($B923="","",SUM($T923:$AE923))</f>
        <v/>
      </c>
      <c r="AG923" s="43">
        <f>IF($B923="","",N($M923)-N($AF923))</f>
        <v/>
      </c>
      <c r="AH923" s="43">
        <f>IF($B923="","",N($L923)-N($AF923))</f>
        <v/>
      </c>
      <c r="AI923" s="149">
        <f>IF($B923="","",IF(N($L923)=0,"",(N($L923)-N($AF923))/N($L923)))</f>
        <v/>
      </c>
    </row>
    <row r="924">
      <c r="A924" s="39">
        <f>IF($B924="","",COUNTA($B$4:$B924))</f>
        <v/>
      </c>
      <c r="B924" s="40" t="n">
        <v>46132</v>
      </c>
      <c r="C924" s="41" t="n">
        <v>2652</v>
      </c>
      <c r="D924" s="41" t="inlineStr">
        <is>
          <t xml:space="preserve">الانصارى </t>
        </is>
      </c>
      <c r="E924" s="41" t="inlineStr">
        <is>
          <t>2*20</t>
        </is>
      </c>
      <c r="F924" s="41" t="inlineStr">
        <is>
          <t xml:space="preserve">المتحدة للمسابك </t>
        </is>
      </c>
      <c r="G924" s="41" t="inlineStr">
        <is>
          <t xml:space="preserve">العاشر </t>
        </is>
      </c>
      <c r="H924" s="41" t="inlineStr">
        <is>
          <t>121053/1-101348/8</t>
        </is>
      </c>
      <c r="I924" s="41" t="inlineStr">
        <is>
          <t>ب ص ا 2574</t>
        </is>
      </c>
      <c r="J924" s="41" t="inlineStr">
        <is>
          <t xml:space="preserve">محمد البحيرى </t>
        </is>
      </c>
      <c r="K924" s="41" t="inlineStr">
        <is>
          <t xml:space="preserve">احمد خليف </t>
        </is>
      </c>
      <c r="L924" s="42" t="n">
        <v>20000</v>
      </c>
      <c r="M924" s="42" t="n">
        <v>11100</v>
      </c>
      <c r="N924" s="42" t="n"/>
      <c r="O924" s="42" t="n">
        <v>200</v>
      </c>
      <c r="P924" s="42" t="n"/>
      <c r="Q924" s="42" t="n">
        <v>8700</v>
      </c>
      <c r="R924" s="43">
        <f>IF($B924="","",N($S924)-N($Q924))</f>
        <v/>
      </c>
      <c r="S924" s="43">
        <f>IF($B924="","",N($L924)+N($N924)+N($P924))</f>
        <v/>
      </c>
      <c r="T924" s="42" t="n"/>
      <c r="U924" s="42" t="n"/>
      <c r="V924" s="42" t="n"/>
      <c r="W924" s="42" t="n"/>
      <c r="X924" s="42" t="n"/>
      <c r="Y924" s="42" t="n"/>
      <c r="Z924" s="42" t="n"/>
      <c r="AA924" s="42" t="n"/>
      <c r="AB924" s="42" t="n"/>
      <c r="AC924" s="42" t="n"/>
      <c r="AD924" s="42" t="n"/>
      <c r="AE924" s="42" t="n"/>
      <c r="AF924" s="43">
        <f>IF($B924="","",SUM($T924:$AE924))</f>
        <v/>
      </c>
      <c r="AG924" s="43">
        <f>IF($B924="","",N($M924)-N($AF924))</f>
        <v/>
      </c>
      <c r="AH924" s="43">
        <f>IF($B924="","",N($L924)-N($AF924))</f>
        <v/>
      </c>
      <c r="AI924" s="149">
        <f>IF($B924="","",IF(N($L924)=0,"",(N($L924)-N($AF924))/N($L924)))</f>
        <v/>
      </c>
    </row>
    <row r="925">
      <c r="A925" s="39">
        <f>IF($B925="","",COUNTA($B$4:$B925))</f>
        <v/>
      </c>
      <c r="B925" s="45" t="n">
        <v>46132</v>
      </c>
      <c r="C925" s="46" t="n">
        <v>2621</v>
      </c>
      <c r="D925" s="46" t="inlineStr">
        <is>
          <t>الشريف خ</t>
        </is>
      </c>
      <c r="E925" s="46" t="inlineStr">
        <is>
          <t>1*40</t>
        </is>
      </c>
      <c r="F925" s="46" t="inlineStr">
        <is>
          <t>ناتورالى</t>
        </is>
      </c>
      <c r="G925" s="46" t="inlineStr">
        <is>
          <t xml:space="preserve">جسر السويس </t>
        </is>
      </c>
      <c r="H925" s="46" t="inlineStr">
        <is>
          <t>728863/6</t>
        </is>
      </c>
      <c r="I925" s="46" t="inlineStr">
        <is>
          <t>ب س ا 7235</t>
        </is>
      </c>
      <c r="J925" s="46" t="inlineStr">
        <is>
          <t xml:space="preserve">عادل رضا </t>
        </is>
      </c>
      <c r="K925" s="46" t="inlineStr">
        <is>
          <t>الليبر</t>
        </is>
      </c>
      <c r="L925" s="47" t="n">
        <v>15000</v>
      </c>
      <c r="M925" s="47" t="n">
        <v>8100</v>
      </c>
      <c r="N925" s="47" t="n"/>
      <c r="O925" s="47" t="n">
        <v>200</v>
      </c>
      <c r="P925" s="47" t="n"/>
      <c r="Q925" s="47" t="n">
        <v>6700</v>
      </c>
      <c r="R925" s="43">
        <f>IF($B925="","",N($S925)-N($Q925))</f>
        <v/>
      </c>
      <c r="S925" s="43">
        <f>IF($B925="","",N($L925)+N($N925)+N($P925))</f>
        <v/>
      </c>
      <c r="T925" s="47" t="n"/>
      <c r="U925" s="47" t="n"/>
      <c r="V925" s="47" t="n"/>
      <c r="W925" s="47" t="n"/>
      <c r="X925" s="47" t="n"/>
      <c r="Y925" s="47" t="n"/>
      <c r="Z925" s="47" t="n"/>
      <c r="AA925" s="47" t="n"/>
      <c r="AB925" s="47" t="n"/>
      <c r="AC925" s="47" t="n"/>
      <c r="AD925" s="47" t="n"/>
      <c r="AE925" s="47" t="n"/>
      <c r="AF925" s="43">
        <f>IF($B925="","",SUM($T925:$AE925))</f>
        <v/>
      </c>
      <c r="AG925" s="43">
        <f>IF($B925="","",N($M925)-N($AF925))</f>
        <v/>
      </c>
      <c r="AH925" s="43">
        <f>IF($B925="","",N($L925)-N($AF925))</f>
        <v/>
      </c>
      <c r="AI925" s="149">
        <f>IF($B925="","",IF(N($L925)=0,"",(N($L925)-N($AF925))/N($L925)))</f>
        <v/>
      </c>
    </row>
    <row r="926">
      <c r="A926" s="39">
        <f>IF($B926="","",COUNTA($B$4:$B926))</f>
        <v/>
      </c>
      <c r="B926" s="40" t="n">
        <v>46132</v>
      </c>
      <c r="C926" s="41" t="n">
        <v>2622</v>
      </c>
      <c r="D926" s="41" t="inlineStr">
        <is>
          <t>الجوهرى</t>
        </is>
      </c>
      <c r="E926" s="41" t="inlineStr">
        <is>
          <t>1*40</t>
        </is>
      </c>
      <c r="F926" s="41" t="inlineStr">
        <is>
          <t>ناتورالى</t>
        </is>
      </c>
      <c r="G926" s="41" t="inlineStr">
        <is>
          <t xml:space="preserve">جسر السويس </t>
        </is>
      </c>
      <c r="H926" s="41" t="inlineStr">
        <is>
          <t>588548/2</t>
        </is>
      </c>
      <c r="I926" s="41" t="inlineStr">
        <is>
          <t>ب س ا 1534</t>
        </is>
      </c>
      <c r="J926" s="41" t="inlineStr">
        <is>
          <t xml:space="preserve">عادل الحليسى </t>
        </is>
      </c>
      <c r="K926" s="41" t="inlineStr">
        <is>
          <t>اكتوبر</t>
        </is>
      </c>
      <c r="L926" s="42" t="n">
        <v>13500</v>
      </c>
      <c r="M926" s="42" t="n">
        <v>8100</v>
      </c>
      <c r="N926" s="42" t="n"/>
      <c r="O926" s="42" t="n">
        <v>200</v>
      </c>
      <c r="P926" s="42" t="n"/>
      <c r="Q926" s="42" t="n">
        <v>5200</v>
      </c>
      <c r="R926" s="43">
        <f>IF($B926="","",N($S926)-N($Q926))</f>
        <v/>
      </c>
      <c r="S926" s="43">
        <f>IF($B926="","",N($L926)+N($N926)+N($P926))</f>
        <v/>
      </c>
      <c r="T926" s="42" t="n"/>
      <c r="U926" s="42" t="n"/>
      <c r="V926" s="42" t="n"/>
      <c r="W926" s="42" t="n"/>
      <c r="X926" s="42" t="n"/>
      <c r="Y926" s="42" t="n"/>
      <c r="Z926" s="42" t="n"/>
      <c r="AA926" s="42" t="n"/>
      <c r="AB926" s="42" t="n"/>
      <c r="AC926" s="42" t="n"/>
      <c r="AD926" s="42" t="n"/>
      <c r="AE926" s="42" t="n"/>
      <c r="AF926" s="43">
        <f>IF($B926="","",SUM($T926:$AE926))</f>
        <v/>
      </c>
      <c r="AG926" s="43">
        <f>IF($B926="","",N($M926)-N($AF926))</f>
        <v/>
      </c>
      <c r="AH926" s="43">
        <f>IF($B926="","",N($L926)-N($AF926))</f>
        <v/>
      </c>
      <c r="AI926" s="149">
        <f>IF($B926="","",IF(N($L926)=0,"",(N($L926)-N($AF926))/N($L926)))</f>
        <v/>
      </c>
    </row>
    <row r="927">
      <c r="A927" s="39">
        <f>IF($B927="","",COUNTA($B$4:$B927))</f>
        <v/>
      </c>
      <c r="B927" s="45" t="n">
        <v>46132</v>
      </c>
      <c r="C927" s="46" t="n">
        <v>2623</v>
      </c>
      <c r="D927" s="46" t="inlineStr">
        <is>
          <t xml:space="preserve">استوريا </t>
        </is>
      </c>
      <c r="E927" s="46" t="inlineStr">
        <is>
          <t>1*40</t>
        </is>
      </c>
      <c r="F927" s="46" t="inlineStr">
        <is>
          <t>ناتورالى</t>
        </is>
      </c>
      <c r="G927" s="46" t="inlineStr">
        <is>
          <t xml:space="preserve">مؤسسة الذكاة </t>
        </is>
      </c>
      <c r="H927" s="46" t="inlineStr">
        <is>
          <t>960346/0</t>
        </is>
      </c>
      <c r="I927" s="46" t="inlineStr">
        <is>
          <t>ب ج ع 8961</t>
        </is>
      </c>
      <c r="J927" s="46" t="inlineStr">
        <is>
          <t xml:space="preserve">محمد محمود </t>
        </is>
      </c>
      <c r="K927" s="46" t="inlineStr">
        <is>
          <t>استوريا</t>
        </is>
      </c>
      <c r="L927" s="47" t="n">
        <v>14500</v>
      </c>
      <c r="M927" s="47" t="n">
        <v>8100</v>
      </c>
      <c r="N927" s="47" t="n"/>
      <c r="O927" s="47" t="n">
        <v>200</v>
      </c>
      <c r="P927" s="47" t="n"/>
      <c r="Q927" s="47" t="n">
        <v>6200</v>
      </c>
      <c r="R927" s="43">
        <f>IF($B927="","",N($S927)-N($Q927))</f>
        <v/>
      </c>
      <c r="S927" s="43">
        <f>IF($B927="","",N($L927)+N($N927)+N($P927))</f>
        <v/>
      </c>
      <c r="T927" s="47" t="n"/>
      <c r="U927" s="47" t="n"/>
      <c r="V927" s="47" t="n"/>
      <c r="W927" s="47" t="n"/>
      <c r="X927" s="47" t="n"/>
      <c r="Y927" s="47" t="n"/>
      <c r="Z927" s="47" t="n"/>
      <c r="AA927" s="47" t="n"/>
      <c r="AB927" s="47" t="n"/>
      <c r="AC927" s="47" t="n"/>
      <c r="AD927" s="47" t="n"/>
      <c r="AE927" s="47" t="n"/>
      <c r="AF927" s="43">
        <f>IF($B927="","",SUM($T927:$AE927))</f>
        <v/>
      </c>
      <c r="AG927" s="43">
        <f>IF($B927="","",N($M927)-N($AF927))</f>
        <v/>
      </c>
      <c r="AH927" s="43">
        <f>IF($B927="","",N($L927)-N($AF927))</f>
        <v/>
      </c>
      <c r="AI927" s="149">
        <f>IF($B927="","",IF(N($L927)=0,"",(N($L927)-N($AF927))/N($L927)))</f>
        <v/>
      </c>
    </row>
    <row r="928">
      <c r="A928" s="39">
        <f>IF($B928="","",COUNTA($B$4:$B928))</f>
        <v/>
      </c>
      <c r="B928" s="40" t="n">
        <v>46132</v>
      </c>
      <c r="C928" s="41" t="n">
        <v>2624</v>
      </c>
      <c r="D928" s="41" t="inlineStr">
        <is>
          <t xml:space="preserve">فوزى محمد </t>
        </is>
      </c>
      <c r="E928" s="41" t="inlineStr">
        <is>
          <t>1*40</t>
        </is>
      </c>
      <c r="F928" s="41" t="inlineStr">
        <is>
          <t>ناتورالى</t>
        </is>
      </c>
      <c r="G928" s="41" t="inlineStr">
        <is>
          <t xml:space="preserve">مؤسسة الذكاة </t>
        </is>
      </c>
      <c r="H928" s="41" t="inlineStr">
        <is>
          <t>689727/7</t>
        </is>
      </c>
      <c r="I928" s="41" t="inlineStr">
        <is>
          <t>ب ى ط 8257</t>
        </is>
      </c>
      <c r="J928" s="41" t="inlineStr">
        <is>
          <t xml:space="preserve">رجب شعبان </t>
        </is>
      </c>
      <c r="K928" s="41" t="inlineStr">
        <is>
          <t xml:space="preserve">شارون </t>
        </is>
      </c>
      <c r="L928" s="42" t="n">
        <v>15000</v>
      </c>
      <c r="M928" s="42" t="n">
        <v>8100</v>
      </c>
      <c r="N928" s="42" t="n"/>
      <c r="O928" s="42" t="n">
        <v>200</v>
      </c>
      <c r="P928" s="42" t="n"/>
      <c r="Q928" s="42" t="n">
        <v>6700</v>
      </c>
      <c r="R928" s="43">
        <f>IF($B928="","",N($S928)-N($Q928))</f>
        <v/>
      </c>
      <c r="S928" s="43">
        <f>IF($B928="","",N($L928)+N($N928)+N($P928))</f>
        <v/>
      </c>
      <c r="T928" s="42" t="n"/>
      <c r="U928" s="42" t="n"/>
      <c r="V928" s="42" t="n"/>
      <c r="W928" s="42" t="n"/>
      <c r="X928" s="42" t="n"/>
      <c r="Y928" s="42" t="n"/>
      <c r="Z928" s="42" t="n"/>
      <c r="AA928" s="42" t="n"/>
      <c r="AB928" s="42" t="n"/>
      <c r="AC928" s="42" t="n"/>
      <c r="AD928" s="42" t="n"/>
      <c r="AE928" s="42" t="n"/>
      <c r="AF928" s="43">
        <f>IF($B928="","",SUM($T928:$AE928))</f>
        <v/>
      </c>
      <c r="AG928" s="43">
        <f>IF($B928="","",N($M928)-N($AF928))</f>
        <v/>
      </c>
      <c r="AH928" s="43">
        <f>IF($B928="","",N($L928)-N($AF928))</f>
        <v/>
      </c>
      <c r="AI928" s="149">
        <f>IF($B928="","",IF(N($L928)=0,"",(N($L928)-N($AF928))/N($L928)))</f>
        <v/>
      </c>
    </row>
    <row r="929">
      <c r="A929" s="39">
        <f>IF($B929="","",COUNTA($B$4:$B929))</f>
        <v/>
      </c>
      <c r="B929" s="45" t="n">
        <v>46132</v>
      </c>
      <c r="C929" s="46" t="n">
        <v>2625</v>
      </c>
      <c r="D929" s="46" t="inlineStr">
        <is>
          <t>حماد خ</t>
        </is>
      </c>
      <c r="E929" s="46" t="inlineStr">
        <is>
          <t>1*40</t>
        </is>
      </c>
      <c r="F929" s="46" t="inlineStr">
        <is>
          <t>ناتورالى</t>
        </is>
      </c>
      <c r="G929" s="46" t="inlineStr">
        <is>
          <t xml:space="preserve">مؤسسة الذكاة </t>
        </is>
      </c>
      <c r="H929" s="46" t="inlineStr">
        <is>
          <t>593511/4</t>
        </is>
      </c>
      <c r="I929" s="46" t="inlineStr">
        <is>
          <t>س ل ب 5917</t>
        </is>
      </c>
      <c r="J929" s="46" t="inlineStr">
        <is>
          <t xml:space="preserve">علاء علام </t>
        </is>
      </c>
      <c r="K929" s="46" t="inlineStr">
        <is>
          <t xml:space="preserve">علاء علام </t>
        </is>
      </c>
      <c r="L929" s="47" t="n">
        <v>14500</v>
      </c>
      <c r="M929" s="47" t="n">
        <v>8100</v>
      </c>
      <c r="N929" s="47" t="n"/>
      <c r="O929" s="47" t="n">
        <v>200</v>
      </c>
      <c r="P929" s="47" t="n"/>
      <c r="Q929" s="47" t="n">
        <v>6200</v>
      </c>
      <c r="R929" s="43">
        <f>IF($B929="","",N($S929)-N($Q929))</f>
        <v/>
      </c>
      <c r="S929" s="43">
        <f>IF($B929="","",N($L929)+N($N929)+N($P929))</f>
        <v/>
      </c>
      <c r="T929" s="47" t="n"/>
      <c r="U929" s="47" t="n"/>
      <c r="V929" s="47" t="n"/>
      <c r="W929" s="47" t="n"/>
      <c r="X929" s="47" t="n"/>
      <c r="Y929" s="47" t="n"/>
      <c r="Z929" s="47" t="n"/>
      <c r="AA929" s="47" t="n"/>
      <c r="AB929" s="47" t="n"/>
      <c r="AC929" s="47" t="n"/>
      <c r="AD929" s="47" t="n"/>
      <c r="AE929" s="47" t="n"/>
      <c r="AF929" s="43">
        <f>IF($B929="","",SUM($T929:$AE929))</f>
        <v/>
      </c>
      <c r="AG929" s="43">
        <f>IF($B929="","",N($M929)-N($AF929))</f>
        <v/>
      </c>
      <c r="AH929" s="43">
        <f>IF($B929="","",N($L929)-N($AF929))</f>
        <v/>
      </c>
      <c r="AI929" s="149">
        <f>IF($B929="","",IF(N($L929)=0,"",(N($L929)-N($AF929))/N($L929)))</f>
        <v/>
      </c>
    </row>
    <row r="930">
      <c r="A930" s="39">
        <f>IF($B930="","",COUNTA($B$4:$B930))</f>
        <v/>
      </c>
      <c r="B930" s="40" t="n">
        <v>46132</v>
      </c>
      <c r="C930" s="41" t="n">
        <v>2626</v>
      </c>
      <c r="D930" s="41" t="inlineStr">
        <is>
          <t xml:space="preserve">ابو مينا </t>
        </is>
      </c>
      <c r="E930" s="41" t="inlineStr">
        <is>
          <t>1*40</t>
        </is>
      </c>
      <c r="F930" s="41" t="inlineStr">
        <is>
          <t>ناتورالى</t>
        </is>
      </c>
      <c r="G930" s="41" t="inlineStr">
        <is>
          <t xml:space="preserve">دمياط </t>
        </is>
      </c>
      <c r="H930" s="41" t="inlineStr">
        <is>
          <t>746722/3</t>
        </is>
      </c>
      <c r="I930" s="41" t="inlineStr">
        <is>
          <t>س ق ر 9974</t>
        </is>
      </c>
      <c r="J930" s="41" t="inlineStr">
        <is>
          <t xml:space="preserve">محمد حسان </t>
        </is>
      </c>
      <c r="K930" s="41" t="inlineStr">
        <is>
          <t xml:space="preserve">ابو مينا </t>
        </is>
      </c>
      <c r="L930" s="42" t="n">
        <v>13500</v>
      </c>
      <c r="M930" s="42" t="n">
        <v>8100</v>
      </c>
      <c r="N930" s="42" t="n"/>
      <c r="O930" s="42" t="n">
        <v>200</v>
      </c>
      <c r="P930" s="42" t="n"/>
      <c r="Q930" s="42" t="n">
        <v>5200</v>
      </c>
      <c r="R930" s="43">
        <f>IF($B930="","",N($S930)-N($Q930))</f>
        <v/>
      </c>
      <c r="S930" s="43">
        <f>IF($B930="","",N($L930)+N($N930)+N($P930))</f>
        <v/>
      </c>
      <c r="T930" s="42" t="n"/>
      <c r="U930" s="42" t="n"/>
      <c r="V930" s="42" t="n"/>
      <c r="W930" s="42" t="n"/>
      <c r="X930" s="42" t="n"/>
      <c r="Y930" s="42" t="n"/>
      <c r="Z930" s="42" t="n"/>
      <c r="AA930" s="42" t="n"/>
      <c r="AB930" s="42" t="n"/>
      <c r="AC930" s="42" t="n"/>
      <c r="AD930" s="42" t="n"/>
      <c r="AE930" s="42" t="n"/>
      <c r="AF930" s="43">
        <f>IF($B930="","",SUM($T930:$AE930))</f>
        <v/>
      </c>
      <c r="AG930" s="43">
        <f>IF($B930="","",N($M930)-N($AF930))</f>
        <v/>
      </c>
      <c r="AH930" s="43">
        <f>IF($B930="","",N($L930)-N($AF930))</f>
        <v/>
      </c>
      <c r="AI930" s="149">
        <f>IF($B930="","",IF(N($L930)=0,"",(N($L930)-N($AF930))/N($L930)))</f>
        <v/>
      </c>
    </row>
    <row r="931">
      <c r="A931" s="39">
        <f>IF($B931="","",COUNTA($B$4:$B931))</f>
        <v/>
      </c>
      <c r="B931" s="45" t="n">
        <v>46132</v>
      </c>
      <c r="C931" s="46" t="n">
        <v>2629</v>
      </c>
      <c r="D931" s="46" t="inlineStr">
        <is>
          <t xml:space="preserve">احمد يوسف </t>
        </is>
      </c>
      <c r="E931" s="46" t="inlineStr">
        <is>
          <t>1*40</t>
        </is>
      </c>
      <c r="F931" s="46" t="inlineStr">
        <is>
          <t>ناتورالى</t>
        </is>
      </c>
      <c r="G931" s="46" t="inlineStr">
        <is>
          <t xml:space="preserve">اكتوبر </t>
        </is>
      </c>
      <c r="H931" s="46" t="inlineStr">
        <is>
          <t>647114/1</t>
        </is>
      </c>
      <c r="I931" s="46" t="inlineStr">
        <is>
          <t>ب د ن 6941</t>
        </is>
      </c>
      <c r="J931" s="46" t="inlineStr">
        <is>
          <t xml:space="preserve">عبد الخالق </t>
        </is>
      </c>
      <c r="K931" s="46" t="inlineStr">
        <is>
          <t xml:space="preserve">شارون </t>
        </is>
      </c>
      <c r="L931" s="47" t="n">
        <v>13500</v>
      </c>
      <c r="M931" s="47" t="n">
        <v>8100</v>
      </c>
      <c r="N931" s="47" t="n"/>
      <c r="O931" s="47" t="n">
        <v>200</v>
      </c>
      <c r="P931" s="47" t="n"/>
      <c r="Q931" s="47" t="n">
        <v>5200</v>
      </c>
      <c r="R931" s="43">
        <f>IF($B931="","",N($S931)-N($Q931))</f>
        <v/>
      </c>
      <c r="S931" s="43">
        <f>IF($B931="","",N($L931)+N($N931)+N($P931))</f>
        <v/>
      </c>
      <c r="T931" s="47" t="n"/>
      <c r="U931" s="47" t="n"/>
      <c r="V931" s="47" t="n"/>
      <c r="W931" s="47" t="n"/>
      <c r="X931" s="47" t="n"/>
      <c r="Y931" s="47" t="n"/>
      <c r="Z931" s="47" t="n"/>
      <c r="AA931" s="47" t="n"/>
      <c r="AB931" s="47" t="n"/>
      <c r="AC931" s="47" t="n"/>
      <c r="AD931" s="47" t="n"/>
      <c r="AE931" s="47" t="n"/>
      <c r="AF931" s="43">
        <f>IF($B931="","",SUM($T931:$AE931))</f>
        <v/>
      </c>
      <c r="AG931" s="43">
        <f>IF($B931="","",N($M931)-N($AF931))</f>
        <v/>
      </c>
      <c r="AH931" s="43">
        <f>IF($B931="","",N($L931)-N($AF931))</f>
        <v/>
      </c>
      <c r="AI931" s="149">
        <f>IF($B931="","",IF(N($L931)=0,"",(N($L931)-N($AF931))/N($L931)))</f>
        <v/>
      </c>
    </row>
    <row r="932">
      <c r="A932" s="39">
        <f>IF($B932="","",COUNTA($B$4:$B932))</f>
        <v/>
      </c>
      <c r="B932" s="40" t="n">
        <v>46132</v>
      </c>
      <c r="C932" s="41" t="n">
        <v>2630</v>
      </c>
      <c r="D932" s="41" t="inlineStr">
        <is>
          <t xml:space="preserve">استوريا </t>
        </is>
      </c>
      <c r="E932" s="41" t="inlineStr">
        <is>
          <t>1*40</t>
        </is>
      </c>
      <c r="F932" s="41" t="inlineStr">
        <is>
          <t>ناتورالى</t>
        </is>
      </c>
      <c r="G932" s="41" t="inlineStr">
        <is>
          <t xml:space="preserve">اكتوبر </t>
        </is>
      </c>
      <c r="H932" s="41" t="inlineStr">
        <is>
          <t>623758/6</t>
        </is>
      </c>
      <c r="I932" s="41" t="inlineStr">
        <is>
          <t>س ع ه 9139</t>
        </is>
      </c>
      <c r="J932" s="41" t="inlineStr">
        <is>
          <t xml:space="preserve">سعد احمد </t>
        </is>
      </c>
      <c r="K932" s="41" t="inlineStr">
        <is>
          <t xml:space="preserve">عرابى </t>
        </is>
      </c>
      <c r="L932" s="42" t="n">
        <v>13500</v>
      </c>
      <c r="M932" s="42" t="n">
        <v>8100</v>
      </c>
      <c r="N932" s="42" t="n"/>
      <c r="O932" s="42" t="n">
        <v>200</v>
      </c>
      <c r="P932" s="42" t="n"/>
      <c r="Q932" s="42" t="n">
        <v>5200</v>
      </c>
      <c r="R932" s="43">
        <f>IF($B932="","",N($S932)-N($Q932))</f>
        <v/>
      </c>
      <c r="S932" s="43">
        <f>IF($B932="","",N($L932)+N($N932)+N($P932))</f>
        <v/>
      </c>
      <c r="T932" s="42" t="n"/>
      <c r="U932" s="42" t="n"/>
      <c r="V932" s="42" t="n"/>
      <c r="W932" s="42" t="n"/>
      <c r="X932" s="42" t="n"/>
      <c r="Y932" s="42" t="n"/>
      <c r="Z932" s="42" t="n"/>
      <c r="AA932" s="42" t="n"/>
      <c r="AB932" s="42" t="n"/>
      <c r="AC932" s="42" t="n"/>
      <c r="AD932" s="42" t="n"/>
      <c r="AE932" s="42" t="n"/>
      <c r="AF932" s="43">
        <f>IF($B932="","",SUM($T932:$AE932))</f>
        <v/>
      </c>
      <c r="AG932" s="43">
        <f>IF($B932="","",N($M932)-N($AF932))</f>
        <v/>
      </c>
      <c r="AH932" s="43">
        <f>IF($B932="","",N($L932)-N($AF932))</f>
        <v/>
      </c>
      <c r="AI932" s="149">
        <f>IF($B932="","",IF(N($L932)=0,"",(N($L932)-N($AF932))/N($L932)))</f>
        <v/>
      </c>
    </row>
    <row r="933">
      <c r="A933" s="39">
        <f>IF($B933="","",COUNTA($B$4:$B933))</f>
        <v/>
      </c>
      <c r="B933" s="45" t="n">
        <v>46132</v>
      </c>
      <c r="C933" s="46" t="n">
        <v>2631</v>
      </c>
      <c r="D933" s="46" t="inlineStr">
        <is>
          <t xml:space="preserve">استوريا </t>
        </is>
      </c>
      <c r="E933" s="46" t="inlineStr">
        <is>
          <t>1*40</t>
        </is>
      </c>
      <c r="F933" s="46" t="inlineStr">
        <is>
          <t>ناتورالى</t>
        </is>
      </c>
      <c r="G933" s="46" t="inlineStr">
        <is>
          <t xml:space="preserve">اكتوبر </t>
        </is>
      </c>
      <c r="H933" s="46" t="inlineStr">
        <is>
          <t>504553/0</t>
        </is>
      </c>
      <c r="I933" s="46" t="inlineStr">
        <is>
          <t>س ع ه 7868</t>
        </is>
      </c>
      <c r="J933" s="46" t="inlineStr">
        <is>
          <t xml:space="preserve">محمد على </t>
        </is>
      </c>
      <c r="K933" s="46" t="inlineStr">
        <is>
          <t xml:space="preserve">عرابى </t>
        </is>
      </c>
      <c r="L933" s="47" t="n">
        <v>13500</v>
      </c>
      <c r="M933" s="47" t="n">
        <v>8100</v>
      </c>
      <c r="N933" s="47" t="n"/>
      <c r="O933" s="47" t="n">
        <v>200</v>
      </c>
      <c r="P933" s="47" t="n"/>
      <c r="Q933" s="47" t="n">
        <v>5200</v>
      </c>
      <c r="R933" s="43">
        <f>IF($B933="","",N($S933)-N($Q933))</f>
        <v/>
      </c>
      <c r="S933" s="43">
        <f>IF($B933="","",N($L933)+N($N933)+N($P933))</f>
        <v/>
      </c>
      <c r="T933" s="47" t="n"/>
      <c r="U933" s="47" t="n"/>
      <c r="V933" s="47" t="n"/>
      <c r="W933" s="47" t="n"/>
      <c r="X933" s="47" t="n"/>
      <c r="Y933" s="47" t="n"/>
      <c r="Z933" s="47" t="n"/>
      <c r="AA933" s="47" t="n"/>
      <c r="AB933" s="47" t="n"/>
      <c r="AC933" s="47" t="n"/>
      <c r="AD933" s="47" t="n"/>
      <c r="AE933" s="47" t="n"/>
      <c r="AF933" s="43">
        <f>IF($B933="","",SUM($T933:$AE933))</f>
        <v/>
      </c>
      <c r="AG933" s="43">
        <f>IF($B933="","",N($M933)-N($AF933))</f>
        <v/>
      </c>
      <c r="AH933" s="43">
        <f>IF($B933="","",N($L933)-N($AF933))</f>
        <v/>
      </c>
      <c r="AI933" s="149">
        <f>IF($B933="","",IF(N($L933)=0,"",(N($L933)-N($AF933))/N($L933)))</f>
        <v/>
      </c>
    </row>
    <row r="934">
      <c r="A934" s="39">
        <f>IF($B934="","",COUNTA($B$4:$B934))</f>
        <v/>
      </c>
      <c r="B934" s="40" t="n">
        <v>46132</v>
      </c>
      <c r="C934" s="41" t="n">
        <v>2632</v>
      </c>
      <c r="D934" s="41" t="inlineStr">
        <is>
          <t>الجوهرى</t>
        </is>
      </c>
      <c r="E934" s="41" t="inlineStr">
        <is>
          <t>1*40</t>
        </is>
      </c>
      <c r="F934" s="41" t="inlineStr">
        <is>
          <t>ناتورالى</t>
        </is>
      </c>
      <c r="G934" s="41" t="inlineStr">
        <is>
          <t xml:space="preserve">اكتوبر </t>
        </is>
      </c>
      <c r="H934" s="41" t="inlineStr">
        <is>
          <t>414372/5</t>
        </is>
      </c>
      <c r="I934" s="41" t="inlineStr">
        <is>
          <t>س ف ب 4785</t>
        </is>
      </c>
      <c r="J934" s="41" t="inlineStr">
        <is>
          <t xml:space="preserve">محمد على </t>
        </is>
      </c>
      <c r="K934" s="41" t="inlineStr">
        <is>
          <t>كريم شنبو</t>
        </is>
      </c>
      <c r="L934" s="42" t="n">
        <v>13500</v>
      </c>
      <c r="M934" s="42" t="n">
        <v>8100</v>
      </c>
      <c r="N934" s="42" t="n"/>
      <c r="O934" s="42" t="n">
        <v>200</v>
      </c>
      <c r="P934" s="42" t="n"/>
      <c r="Q934" s="42" t="n">
        <v>5200</v>
      </c>
      <c r="R934" s="43">
        <f>IF($B934="","",N($S934)-N($Q934))</f>
        <v/>
      </c>
      <c r="S934" s="43">
        <f>IF($B934="","",N($L934)+N($N934)+N($P934))</f>
        <v/>
      </c>
      <c r="T934" s="42" t="n"/>
      <c r="U934" s="42" t="n"/>
      <c r="V934" s="42" t="n"/>
      <c r="W934" s="42" t="n"/>
      <c r="X934" s="42" t="n"/>
      <c r="Y934" s="42" t="n"/>
      <c r="Z934" s="42" t="n"/>
      <c r="AA934" s="42" t="n"/>
      <c r="AB934" s="42" t="n"/>
      <c r="AC934" s="42" t="n"/>
      <c r="AD934" s="42" t="n"/>
      <c r="AE934" s="42" t="n"/>
      <c r="AF934" s="43">
        <f>IF($B934="","",SUM($T934:$AE934))</f>
        <v/>
      </c>
      <c r="AG934" s="43">
        <f>IF($B934="","",N($M934)-N($AF934))</f>
        <v/>
      </c>
      <c r="AH934" s="43">
        <f>IF($B934="","",N($L934)-N($AF934))</f>
        <v/>
      </c>
      <c r="AI934" s="149">
        <f>IF($B934="","",IF(N($L934)=0,"",(N($L934)-N($AF934))/N($L934)))</f>
        <v/>
      </c>
    </row>
    <row r="935">
      <c r="A935" s="39">
        <f>IF($B935="","",COUNTA($B$4:$B935))</f>
        <v/>
      </c>
      <c r="B935" s="45" t="n">
        <v>46132</v>
      </c>
      <c r="C935" s="46" t="n">
        <v>2634</v>
      </c>
      <c r="D935" s="46" t="inlineStr">
        <is>
          <t xml:space="preserve">طارق العرقى </t>
        </is>
      </c>
      <c r="E935" s="46" t="inlineStr">
        <is>
          <t>1*40</t>
        </is>
      </c>
      <c r="F935" s="46" t="inlineStr">
        <is>
          <t>ناتورالى</t>
        </is>
      </c>
      <c r="G935" s="46" t="inlineStr">
        <is>
          <t xml:space="preserve">اكتوبر </t>
        </is>
      </c>
      <c r="H935" s="46" t="inlineStr">
        <is>
          <t>838616/9</t>
        </is>
      </c>
      <c r="I935" s="46" t="inlineStr">
        <is>
          <t>س ن ر 8722</t>
        </is>
      </c>
      <c r="J935" s="46" t="inlineStr">
        <is>
          <t xml:space="preserve">احمد عبد العظيم </t>
        </is>
      </c>
      <c r="K935" s="46" t="inlineStr">
        <is>
          <t xml:space="preserve">طارق العراقى </t>
        </is>
      </c>
      <c r="L935" s="47" t="n">
        <v>14000</v>
      </c>
      <c r="M935" s="47" t="n">
        <v>8100</v>
      </c>
      <c r="N935" s="47" t="n"/>
      <c r="O935" s="47" t="n">
        <v>200</v>
      </c>
      <c r="P935" s="47" t="n"/>
      <c r="Q935" s="47" t="n">
        <v>5700</v>
      </c>
      <c r="R935" s="43">
        <f>IF($B935="","",N($S935)-N($Q935))</f>
        <v/>
      </c>
      <c r="S935" s="43">
        <f>IF($B935="","",N($L935)+N($N935)+N($P935))</f>
        <v/>
      </c>
      <c r="T935" s="47" t="n"/>
      <c r="U935" s="47" t="n"/>
      <c r="V935" s="47" t="n"/>
      <c r="W935" s="47" t="n"/>
      <c r="X935" s="47" t="n"/>
      <c r="Y935" s="47" t="n"/>
      <c r="Z935" s="47" t="n"/>
      <c r="AA935" s="47" t="n"/>
      <c r="AB935" s="47" t="n"/>
      <c r="AC935" s="47" t="n"/>
      <c r="AD935" s="47" t="n"/>
      <c r="AE935" s="47" t="n"/>
      <c r="AF935" s="43">
        <f>IF($B935="","",SUM($T935:$AE935))</f>
        <v/>
      </c>
      <c r="AG935" s="43">
        <f>IF($B935="","",N($M935)-N($AF935))</f>
        <v/>
      </c>
      <c r="AH935" s="43">
        <f>IF($B935="","",N($L935)-N($AF935))</f>
        <v/>
      </c>
      <c r="AI935" s="149">
        <f>IF($B935="","",IF(N($L935)=0,"",(N($L935)-N($AF935))/N($L935)))</f>
        <v/>
      </c>
    </row>
    <row r="936">
      <c r="A936" s="39">
        <f>IF($B936="","",COUNTA($B$4:$B936))</f>
        <v/>
      </c>
      <c r="B936" s="40" t="n">
        <v>46132</v>
      </c>
      <c r="C936" s="41" t="n">
        <v>2635</v>
      </c>
      <c r="D936" s="41" t="inlineStr">
        <is>
          <t xml:space="preserve">طارق العرقى </t>
        </is>
      </c>
      <c r="E936" s="41" t="inlineStr">
        <is>
          <t>1*40</t>
        </is>
      </c>
      <c r="F936" s="41" t="inlineStr">
        <is>
          <t>ناتورالى</t>
        </is>
      </c>
      <c r="G936" s="41" t="inlineStr">
        <is>
          <t xml:space="preserve">اكتوبر </t>
        </is>
      </c>
      <c r="H936" s="41" t="inlineStr">
        <is>
          <t>555311/9</t>
        </is>
      </c>
      <c r="I936" s="41" t="inlineStr">
        <is>
          <t>س ن ر 8733</t>
        </is>
      </c>
      <c r="J936" s="41" t="inlineStr">
        <is>
          <t xml:space="preserve">ماهر على </t>
        </is>
      </c>
      <c r="K936" s="41" t="inlineStr">
        <is>
          <t xml:space="preserve">طارق العراقى </t>
        </is>
      </c>
      <c r="L936" s="42" t="n">
        <v>14000</v>
      </c>
      <c r="M936" s="42" t="n">
        <v>8100</v>
      </c>
      <c r="N936" s="42" t="n"/>
      <c r="O936" s="42" t="n">
        <v>200</v>
      </c>
      <c r="P936" s="42" t="n"/>
      <c r="Q936" s="42" t="n">
        <v>5700</v>
      </c>
      <c r="R936" s="43">
        <f>IF($B936="","",N($S936)-N($Q936))</f>
        <v/>
      </c>
      <c r="S936" s="43">
        <f>IF($B936="","",N($L936)+N($N936)+N($P936))</f>
        <v/>
      </c>
      <c r="T936" s="42" t="n"/>
      <c r="U936" s="42" t="n"/>
      <c r="V936" s="42" t="n"/>
      <c r="W936" s="42" t="n"/>
      <c r="X936" s="42" t="n"/>
      <c r="Y936" s="42" t="n"/>
      <c r="Z936" s="42" t="n"/>
      <c r="AA936" s="42" t="n"/>
      <c r="AB936" s="42" t="n"/>
      <c r="AC936" s="42" t="n"/>
      <c r="AD936" s="42" t="n"/>
      <c r="AE936" s="42" t="n"/>
      <c r="AF936" s="43">
        <f>IF($B936="","",SUM($T936:$AE936))</f>
        <v/>
      </c>
      <c r="AG936" s="43">
        <f>IF($B936="","",N($M936)-N($AF936))</f>
        <v/>
      </c>
      <c r="AH936" s="43">
        <f>IF($B936="","",N($L936)-N($AF936))</f>
        <v/>
      </c>
      <c r="AI936" s="149">
        <f>IF($B936="","",IF(N($L936)=0,"",(N($L936)-N($AF936))/N($L936)))</f>
        <v/>
      </c>
    </row>
    <row r="937">
      <c r="A937" s="39">
        <f>IF($B937="","",COUNTA($B$4:$B937))</f>
        <v/>
      </c>
      <c r="B937" s="45" t="n">
        <v>46132</v>
      </c>
      <c r="C937" s="46" t="n">
        <v>2628</v>
      </c>
      <c r="D937" s="46" t="inlineStr">
        <is>
          <t>صفيحة</t>
        </is>
      </c>
      <c r="E937" s="46" t="inlineStr">
        <is>
          <t>1*40</t>
        </is>
      </c>
      <c r="F937" s="46" t="inlineStr">
        <is>
          <t>ناتورالى</t>
        </is>
      </c>
      <c r="G937" s="46" t="inlineStr">
        <is>
          <t xml:space="preserve">ابيس </t>
        </is>
      </c>
      <c r="H937" s="46" t="inlineStr">
        <is>
          <t>538480/2</t>
        </is>
      </c>
      <c r="I937" s="46" t="inlineStr">
        <is>
          <t>س ص ا 2259</t>
        </is>
      </c>
      <c r="J937" s="46" t="inlineStr">
        <is>
          <t xml:space="preserve">سعيد عبد الخالق </t>
        </is>
      </c>
      <c r="K937" s="46" t="inlineStr">
        <is>
          <t>صفيحة</t>
        </is>
      </c>
      <c r="L937" s="47" t="n">
        <v>5500</v>
      </c>
      <c r="M937" s="47" t="n">
        <v>5000</v>
      </c>
      <c r="N937" s="47" t="n"/>
      <c r="O937" s="47" t="n"/>
      <c r="P937" s="47" t="n"/>
      <c r="Q937" s="47" t="n">
        <v>500</v>
      </c>
      <c r="R937" s="43">
        <f>IF($B937="","",N($S937)-N($Q937))</f>
        <v/>
      </c>
      <c r="S937" s="43">
        <f>IF($B937="","",N($L937)+N($N937)+N($P937))</f>
        <v/>
      </c>
      <c r="T937" s="47" t="n"/>
      <c r="U937" s="47" t="n"/>
      <c r="V937" s="47" t="n"/>
      <c r="W937" s="47" t="n"/>
      <c r="X937" s="47" t="n"/>
      <c r="Y937" s="47" t="n"/>
      <c r="Z937" s="47" t="n"/>
      <c r="AA937" s="47" t="n"/>
      <c r="AB937" s="47" t="n"/>
      <c r="AC937" s="47" t="n"/>
      <c r="AD937" s="47" t="n"/>
      <c r="AE937" s="47" t="n"/>
      <c r="AF937" s="43">
        <f>IF($B937="","",SUM($T937:$AE937))</f>
        <v/>
      </c>
      <c r="AG937" s="43">
        <f>IF($B937="","",N($M937)-N($AF937))</f>
        <v/>
      </c>
      <c r="AH937" s="43">
        <f>IF($B937="","",N($L937)-N($AF937))</f>
        <v/>
      </c>
      <c r="AI937" s="149">
        <f>IF($B937="","",IF(N($L937)=0,"",(N($L937)-N($AF937))/N($L937)))</f>
        <v/>
      </c>
    </row>
    <row r="938">
      <c r="A938" s="39">
        <f>IF($B938="","",COUNTA($B$4:$B938))</f>
        <v/>
      </c>
      <c r="B938" s="40" t="n">
        <v>46132</v>
      </c>
      <c r="C938" s="41" t="n">
        <v>2505</v>
      </c>
      <c r="D938" s="41" t="inlineStr">
        <is>
          <t>الرومانى</t>
        </is>
      </c>
      <c r="E938" s="41" t="inlineStr">
        <is>
          <t>1*20</t>
        </is>
      </c>
      <c r="F938" s="41" t="inlineStr">
        <is>
          <t xml:space="preserve">فامص فود </t>
        </is>
      </c>
      <c r="G938" s="41" t="inlineStr">
        <is>
          <t xml:space="preserve">دمياط </t>
        </is>
      </c>
      <c r="H938" s="41" t="inlineStr">
        <is>
          <t>215890/1</t>
        </is>
      </c>
      <c r="I938" s="41" t="inlineStr">
        <is>
          <t>ب د ن 7459</t>
        </is>
      </c>
      <c r="J938" s="41" t="inlineStr">
        <is>
          <t xml:space="preserve">حامد سعيد </t>
        </is>
      </c>
      <c r="K938" s="41" t="inlineStr">
        <is>
          <t>رومانى</t>
        </is>
      </c>
      <c r="L938" s="42" t="n">
        <v>11000</v>
      </c>
      <c r="M938" s="42" t="n">
        <v>7100</v>
      </c>
      <c r="N938" s="42" t="n"/>
      <c r="O938" s="42" t="n">
        <v>200</v>
      </c>
      <c r="P938" s="42" t="n"/>
      <c r="Q938" s="42" t="n">
        <v>3700</v>
      </c>
      <c r="R938" s="43">
        <f>IF($B938="","",N($S938)-N($Q938))</f>
        <v/>
      </c>
      <c r="S938" s="43">
        <f>IF($B938="","",N($L938)+N($N938)+N($P938))</f>
        <v/>
      </c>
      <c r="T938" s="42" t="n"/>
      <c r="U938" s="42" t="n"/>
      <c r="V938" s="42" t="n"/>
      <c r="W938" s="42" t="n"/>
      <c r="X938" s="42" t="n"/>
      <c r="Y938" s="42" t="n"/>
      <c r="Z938" s="42" t="n"/>
      <c r="AA938" s="42" t="n"/>
      <c r="AB938" s="42" t="n"/>
      <c r="AC938" s="42" t="n"/>
      <c r="AD938" s="42" t="n"/>
      <c r="AE938" s="42" t="n"/>
      <c r="AF938" s="43">
        <f>IF($B938="","",SUM($T938:$AE938))</f>
        <v/>
      </c>
      <c r="AG938" s="43">
        <f>IF($B938="","",N($M938)-N($AF938))</f>
        <v/>
      </c>
      <c r="AH938" s="43">
        <f>IF($B938="","",N($L938)-N($AF938))</f>
        <v/>
      </c>
      <c r="AI938" s="149">
        <f>IF($B938="","",IF(N($L938)=0,"",(N($L938)-N($AF938))/N($L938)))</f>
        <v/>
      </c>
    </row>
    <row r="939">
      <c r="A939" s="39">
        <f>IF($B939="","",COUNTA($B$4:$B939))</f>
        <v/>
      </c>
      <c r="B939" s="45" t="n">
        <v>46132</v>
      </c>
      <c r="C939" s="46" t="n">
        <v>2627</v>
      </c>
      <c r="D939" s="46" t="inlineStr">
        <is>
          <t xml:space="preserve">الشندويلى </t>
        </is>
      </c>
      <c r="E939" s="46" t="inlineStr">
        <is>
          <t>1*40</t>
        </is>
      </c>
      <c r="F939" s="46" t="inlineStr">
        <is>
          <t>ناتورالى</t>
        </is>
      </c>
      <c r="G939" s="46" t="inlineStr">
        <is>
          <t xml:space="preserve">ابيس </t>
        </is>
      </c>
      <c r="H939" s="46" t="inlineStr">
        <is>
          <t>674811/8</t>
        </is>
      </c>
      <c r="I939" s="46" t="inlineStr">
        <is>
          <t>س م ا 4681</t>
        </is>
      </c>
      <c r="J939" s="46" t="inlineStr">
        <is>
          <t xml:space="preserve">ابراهيم حسن </t>
        </is>
      </c>
      <c r="K939" s="46" t="inlineStr">
        <is>
          <t xml:space="preserve">ابراهيم الشندويلى </t>
        </is>
      </c>
      <c r="L939" s="47" t="n">
        <v>7000</v>
      </c>
      <c r="M939" s="47" t="n">
        <v>6100</v>
      </c>
      <c r="N939" s="47" t="n"/>
      <c r="O939" s="47" t="n"/>
      <c r="P939" s="47" t="n"/>
      <c r="Q939" s="47" t="n">
        <v>900</v>
      </c>
      <c r="R939" s="43">
        <f>IF($B939="","",N($S939)-N($Q939))</f>
        <v/>
      </c>
      <c r="S939" s="43">
        <f>IF($B939="","",N($L939)+N($N939)+N($P939))</f>
        <v/>
      </c>
      <c r="T939" s="47" t="n"/>
      <c r="U939" s="47" t="n"/>
      <c r="V939" s="47" t="n"/>
      <c r="W939" s="47" t="n"/>
      <c r="X939" s="47" t="n"/>
      <c r="Y939" s="47" t="n"/>
      <c r="Z939" s="47" t="n"/>
      <c r="AA939" s="47" t="n"/>
      <c r="AB939" s="47" t="n"/>
      <c r="AC939" s="47" t="n"/>
      <c r="AD939" s="47" t="n"/>
      <c r="AE939" s="47" t="n"/>
      <c r="AF939" s="43">
        <f>IF($B939="","",SUM($T939:$AE939))</f>
        <v/>
      </c>
      <c r="AG939" s="43">
        <f>IF($B939="","",N($M939)-N($AF939))</f>
        <v/>
      </c>
      <c r="AH939" s="43">
        <f>IF($B939="","",N($L939)-N($AF939))</f>
        <v/>
      </c>
      <c r="AI939" s="149">
        <f>IF($B939="","",IF(N($L939)=0,"",(N($L939)-N($AF939))/N($L939)))</f>
        <v/>
      </c>
    </row>
    <row r="940">
      <c r="A940" s="39">
        <f>IF($B940="","",COUNTA($B$4:$B940))</f>
        <v/>
      </c>
      <c r="B940" s="40" t="n">
        <v>46132</v>
      </c>
      <c r="C940" s="41" t="n">
        <v>2640</v>
      </c>
      <c r="D940" s="41" t="inlineStr">
        <is>
          <t xml:space="preserve">استوريا </t>
        </is>
      </c>
      <c r="E940" s="41" t="inlineStr">
        <is>
          <t>1*40</t>
        </is>
      </c>
      <c r="F940" s="41" t="inlineStr">
        <is>
          <t xml:space="preserve">مصر العبور </t>
        </is>
      </c>
      <c r="G940" s="41" t="inlineStr">
        <is>
          <t xml:space="preserve">جسر السويس </t>
        </is>
      </c>
      <c r="H940" s="41" t="inlineStr">
        <is>
          <t>889529/3</t>
        </is>
      </c>
      <c r="I940" s="41" t="inlineStr">
        <is>
          <t>س و ا 6513</t>
        </is>
      </c>
      <c r="J940" s="41" t="inlineStr">
        <is>
          <t>محمد صابر</t>
        </is>
      </c>
      <c r="K940" s="41" t="inlineStr">
        <is>
          <t>استوريا</t>
        </is>
      </c>
      <c r="L940" s="42" t="n">
        <v>15500</v>
      </c>
      <c r="M940" s="42" t="n">
        <v>8100</v>
      </c>
      <c r="N940" s="42" t="n"/>
      <c r="O940" s="42" t="n">
        <v>200</v>
      </c>
      <c r="P940" s="42" t="n"/>
      <c r="Q940" s="42" t="n">
        <v>7200</v>
      </c>
      <c r="R940" s="43">
        <f>IF($B940="","",N($S940)-N($Q940))</f>
        <v/>
      </c>
      <c r="S940" s="43">
        <f>IF($B940="","",N($L940)+N($N940)+N($P940))</f>
        <v/>
      </c>
      <c r="T940" s="42" t="n">
        <v>500</v>
      </c>
      <c r="U940" s="42" t="n"/>
      <c r="V940" s="42" t="n"/>
      <c r="W940" s="42" t="n"/>
      <c r="X940" s="42" t="n"/>
      <c r="Y940" s="42" t="n"/>
      <c r="Z940" s="42" t="n"/>
      <c r="AA940" s="42" t="n"/>
      <c r="AB940" s="42" t="n"/>
      <c r="AC940" s="42" t="n"/>
      <c r="AD940" s="42" t="n"/>
      <c r="AE940" s="42" t="n"/>
      <c r="AF940" s="43">
        <f>IF($B940="","",SUM($T940:$AE940))</f>
        <v/>
      </c>
      <c r="AG940" s="43">
        <f>IF($B940="","",N($M940)-N($AF940))</f>
        <v/>
      </c>
      <c r="AH940" s="43">
        <f>IF($B940="","",N($L940)-N($AF940))</f>
        <v/>
      </c>
      <c r="AI940" s="149">
        <f>IF($B940="","",IF(N($L940)=0,"",(N($L940)-N($AF940))/N($L940)))</f>
        <v/>
      </c>
    </row>
    <row r="941">
      <c r="A941" s="39">
        <f>IF($B941="","",COUNTA($B$4:$B941))</f>
        <v/>
      </c>
      <c r="B941" s="45" t="n">
        <v>46132</v>
      </c>
      <c r="C941" s="46" t="n">
        <v>2633</v>
      </c>
      <c r="D941" s="46" t="inlineStr">
        <is>
          <t xml:space="preserve">محمد سعيد </t>
        </is>
      </c>
      <c r="E941" s="46" t="inlineStr">
        <is>
          <t>1*40</t>
        </is>
      </c>
      <c r="F941" s="46" t="inlineStr">
        <is>
          <t>ناتورالى</t>
        </is>
      </c>
      <c r="G941" s="46" t="inlineStr">
        <is>
          <t xml:space="preserve">اكتوبر </t>
        </is>
      </c>
      <c r="H941" s="46" t="inlineStr">
        <is>
          <t>543145/4</t>
        </is>
      </c>
      <c r="I941" s="46" t="inlineStr">
        <is>
          <t>س ع ه 3237</t>
        </is>
      </c>
      <c r="J941" s="46" t="inlineStr">
        <is>
          <t xml:space="preserve">محمد صالح </t>
        </is>
      </c>
      <c r="K941" s="46" t="inlineStr">
        <is>
          <t xml:space="preserve">حمو البيبى </t>
        </is>
      </c>
      <c r="L941" s="47" t="n">
        <v>13500</v>
      </c>
      <c r="M941" s="47" t="n">
        <v>8100</v>
      </c>
      <c r="N941" s="47" t="n"/>
      <c r="O941" s="47" t="n">
        <v>200</v>
      </c>
      <c r="P941" s="47" t="n"/>
      <c r="Q941" s="47" t="n">
        <v>5200</v>
      </c>
      <c r="R941" s="43">
        <f>IF($B941="","",N($S941)-N($Q941))</f>
        <v/>
      </c>
      <c r="S941" s="43">
        <f>IF($B941="","",N($L941)+N($N941)+N($P941))</f>
        <v/>
      </c>
      <c r="T941" s="47" t="n"/>
      <c r="U941" s="47" t="n"/>
      <c r="V941" s="47" t="n"/>
      <c r="W941" s="47" t="n"/>
      <c r="X941" s="47" t="n"/>
      <c r="Y941" s="47" t="n"/>
      <c r="Z941" s="47" t="n"/>
      <c r="AA941" s="47" t="n"/>
      <c r="AB941" s="47" t="n"/>
      <c r="AC941" s="47" t="n"/>
      <c r="AD941" s="47" t="n"/>
      <c r="AE941" s="47" t="n"/>
      <c r="AF941" s="43">
        <f>IF($B941="","",SUM($T941:$AE941))</f>
        <v/>
      </c>
      <c r="AG941" s="43">
        <f>IF($B941="","",N($M941)-N($AF941))</f>
        <v/>
      </c>
      <c r="AH941" s="43">
        <f>IF($B941="","",N($L941)-N($AF941))</f>
        <v/>
      </c>
      <c r="AI941" s="149">
        <f>IF($B941="","",IF(N($L941)=0,"",(N($L941)-N($AF941))/N($L941)))</f>
        <v/>
      </c>
    </row>
    <row r="942">
      <c r="A942" s="39">
        <f>IF($B942="","",COUNTA($B$4:$B942))</f>
        <v/>
      </c>
      <c r="B942" s="40" t="n">
        <v>46133</v>
      </c>
      <c r="C942" s="41" t="n">
        <v>2584</v>
      </c>
      <c r="D942" s="41" t="inlineStr">
        <is>
          <t xml:space="preserve">محمد يحى </t>
        </is>
      </c>
      <c r="E942" s="41" t="inlineStr">
        <is>
          <t>1*40 ث</t>
        </is>
      </c>
      <c r="F942" s="41" t="inlineStr">
        <is>
          <t xml:space="preserve">الفرسان </t>
        </is>
      </c>
      <c r="G942" s="41" t="inlineStr">
        <is>
          <t xml:space="preserve">اكتوبر </t>
        </is>
      </c>
      <c r="H942" s="41" t="inlineStr">
        <is>
          <t>104171/5</t>
        </is>
      </c>
      <c r="I942" s="41" t="inlineStr">
        <is>
          <t>س ر ا 6671</t>
        </is>
      </c>
      <c r="J942" s="41" t="inlineStr">
        <is>
          <t xml:space="preserve">احمد الحسينى </t>
        </is>
      </c>
      <c r="K942" s="41" t="inlineStr">
        <is>
          <t xml:space="preserve">حمو مرزوق </t>
        </is>
      </c>
      <c r="L942" s="42" t="n">
        <v>16000</v>
      </c>
      <c r="M942" s="42" t="n">
        <v>9100</v>
      </c>
      <c r="N942" s="42" t="n"/>
      <c r="O942" s="42" t="n">
        <v>200</v>
      </c>
      <c r="P942" s="42" t="n"/>
      <c r="Q942" s="42" t="n">
        <v>6700</v>
      </c>
      <c r="R942" s="43">
        <f>IF($B942="","",N($S942)-N($Q942))</f>
        <v/>
      </c>
      <c r="S942" s="43">
        <f>IF($B942="","",N($L942)+N($N942)+N($P942))</f>
        <v/>
      </c>
      <c r="T942" s="42" t="n"/>
      <c r="U942" s="42" t="n"/>
      <c r="V942" s="42" t="n"/>
      <c r="W942" s="42" t="n"/>
      <c r="X942" s="42" t="n"/>
      <c r="Y942" s="42" t="n"/>
      <c r="Z942" s="42" t="n"/>
      <c r="AA942" s="42" t="n"/>
      <c r="AB942" s="42" t="n"/>
      <c r="AC942" s="42" t="n"/>
      <c r="AD942" s="42" t="n"/>
      <c r="AE942" s="42" t="n"/>
      <c r="AF942" s="43">
        <f>IF($B942="","",SUM($T942:$AE942))</f>
        <v/>
      </c>
      <c r="AG942" s="43">
        <f>IF($B942="","",N($M942)-N($AF942))</f>
        <v/>
      </c>
      <c r="AH942" s="43">
        <f>IF($B942="","",N($L942)-N($AF942))</f>
        <v/>
      </c>
      <c r="AI942" s="149">
        <f>IF($B942="","",IF(N($L942)=0,"",(N($L942)-N($AF942))/N($L942)))</f>
        <v/>
      </c>
    </row>
    <row r="943">
      <c r="A943" s="39">
        <f>IF($B943="","",COUNTA($B$4:$B943))</f>
        <v/>
      </c>
      <c r="B943" s="45" t="n">
        <v>46133</v>
      </c>
      <c r="C943" s="46" t="n">
        <v>2585</v>
      </c>
      <c r="D943" s="46" t="inlineStr">
        <is>
          <t xml:space="preserve">محمد يحى </t>
        </is>
      </c>
      <c r="E943" s="46" t="inlineStr">
        <is>
          <t>1*40 ث</t>
        </is>
      </c>
      <c r="F943" s="46" t="inlineStr">
        <is>
          <t xml:space="preserve">الفرسان </t>
        </is>
      </c>
      <c r="G943" s="46" t="inlineStr">
        <is>
          <t xml:space="preserve">اكتوبر </t>
        </is>
      </c>
      <c r="H943" s="46" t="inlineStr">
        <is>
          <t>820486/3</t>
        </is>
      </c>
      <c r="I943" s="46" t="inlineStr">
        <is>
          <t>ع ر ب 1573</t>
        </is>
      </c>
      <c r="J943" s="46" t="inlineStr">
        <is>
          <t xml:space="preserve">محمد السيد </t>
        </is>
      </c>
      <c r="K943" s="46" t="inlineStr">
        <is>
          <t xml:space="preserve">حمو مرزوق </t>
        </is>
      </c>
      <c r="L943" s="47" t="n">
        <v>16000</v>
      </c>
      <c r="M943" s="47" t="n">
        <v>9100</v>
      </c>
      <c r="N943" s="47" t="n"/>
      <c r="O943" s="47" t="n">
        <v>200</v>
      </c>
      <c r="P943" s="47" t="n"/>
      <c r="Q943" s="47" t="n">
        <v>6700</v>
      </c>
      <c r="R943" s="43">
        <f>IF($B943="","",N($S943)-N($Q943))</f>
        <v/>
      </c>
      <c r="S943" s="43">
        <f>IF($B943="","",N($L943)+N($N943)+N($P943))</f>
        <v/>
      </c>
      <c r="T943" s="47" t="n"/>
      <c r="U943" s="47" t="n"/>
      <c r="V943" s="47" t="n"/>
      <c r="W943" s="47" t="n"/>
      <c r="X943" s="47" t="n"/>
      <c r="Y943" s="47" t="n"/>
      <c r="Z943" s="47" t="n"/>
      <c r="AA943" s="47" t="n"/>
      <c r="AB943" s="47" t="n"/>
      <c r="AC943" s="47" t="n"/>
      <c r="AD943" s="47" t="n"/>
      <c r="AE943" s="47" t="n"/>
      <c r="AF943" s="43">
        <f>IF($B943="","",SUM($T943:$AE943))</f>
        <v/>
      </c>
      <c r="AG943" s="43">
        <f>IF($B943="","",N($M943)-N($AF943))</f>
        <v/>
      </c>
      <c r="AH943" s="43">
        <f>IF($B943="","",N($L943)-N($AF943))</f>
        <v/>
      </c>
      <c r="AI943" s="149">
        <f>IF($B943="","",IF(N($L943)=0,"",(N($L943)-N($AF943))/N($L943)))</f>
        <v/>
      </c>
    </row>
    <row r="944">
      <c r="A944" s="39">
        <f>IF($B944="","",COUNTA($B$4:$B944))</f>
        <v/>
      </c>
      <c r="B944" s="40" t="n">
        <v>46133</v>
      </c>
      <c r="C944" s="41" t="n">
        <v>2590</v>
      </c>
      <c r="D944" s="41" t="inlineStr">
        <is>
          <t>الزوز</t>
        </is>
      </c>
      <c r="E944" s="41" t="inlineStr">
        <is>
          <t>1*40</t>
        </is>
      </c>
      <c r="F944" s="41" t="inlineStr">
        <is>
          <t xml:space="preserve">فيرست </t>
        </is>
      </c>
      <c r="G944" s="41" t="inlineStr">
        <is>
          <t xml:space="preserve">العبور / ت ابو قير </t>
        </is>
      </c>
      <c r="H944" s="41" t="inlineStr">
        <is>
          <t>954793/8</t>
        </is>
      </c>
      <c r="I944" s="41" t="inlineStr">
        <is>
          <t>س م ب 2945</t>
        </is>
      </c>
      <c r="J944" s="41" t="inlineStr">
        <is>
          <t xml:space="preserve">صلاح الزوز </t>
        </is>
      </c>
      <c r="K944" s="41" t="inlineStr">
        <is>
          <t xml:space="preserve">صلاح الزوز </t>
        </is>
      </c>
      <c r="L944" s="42" t="n">
        <v>19000</v>
      </c>
      <c r="M944" s="42" t="n">
        <v>10100</v>
      </c>
      <c r="N944" s="42" t="n"/>
      <c r="O944" s="42" t="n">
        <v>200</v>
      </c>
      <c r="P944" s="42" t="n"/>
      <c r="Q944" s="42" t="n">
        <v>8700</v>
      </c>
      <c r="R944" s="43">
        <f>IF($B944="","",N($S944)-N($Q944))</f>
        <v/>
      </c>
      <c r="S944" s="43">
        <f>IF($B944="","",N($L944)+N($N944)+N($P944))</f>
        <v/>
      </c>
      <c r="T944" s="42" t="n"/>
      <c r="U944" s="42" t="n"/>
      <c r="V944" s="42" t="n"/>
      <c r="W944" s="42" t="n"/>
      <c r="X944" s="42" t="n"/>
      <c r="Y944" s="42" t="n"/>
      <c r="Z944" s="42" t="n"/>
      <c r="AA944" s="42" t="n"/>
      <c r="AB944" s="42" t="n"/>
      <c r="AC944" s="42" t="n"/>
      <c r="AD944" s="42" t="n"/>
      <c r="AE944" s="42" t="n"/>
      <c r="AF944" s="43">
        <f>IF($B944="","",SUM($T944:$AE944))</f>
        <v/>
      </c>
      <c r="AG944" s="43">
        <f>IF($B944="","",N($M944)-N($AF944))</f>
        <v/>
      </c>
      <c r="AH944" s="43">
        <f>IF($B944="","",N($L944)-N($AF944))</f>
        <v/>
      </c>
      <c r="AI944" s="149">
        <f>IF($B944="","",IF(N($L944)=0,"",(N($L944)-N($AF944))/N($L944)))</f>
        <v/>
      </c>
    </row>
    <row r="945">
      <c r="A945" s="39">
        <f>IF($B945="","",COUNTA($B$4:$B945))</f>
        <v/>
      </c>
      <c r="B945" s="45" t="n">
        <v>46133</v>
      </c>
      <c r="C945" s="46" t="n">
        <v>2589</v>
      </c>
      <c r="D945" s="46" t="inlineStr">
        <is>
          <t>محمد نبيل</t>
        </is>
      </c>
      <c r="E945" s="46" t="inlineStr">
        <is>
          <t>2*20</t>
        </is>
      </c>
      <c r="F945" s="46" t="inlineStr">
        <is>
          <t xml:space="preserve">المتحدة للمسابك </t>
        </is>
      </c>
      <c r="G945" s="46" t="inlineStr">
        <is>
          <t xml:space="preserve">العاشر </t>
        </is>
      </c>
      <c r="H945" s="46" t="inlineStr">
        <is>
          <t>291507/3-223662/7</t>
        </is>
      </c>
      <c r="I945" s="46" t="inlineStr">
        <is>
          <t>ب ر ط 6415</t>
        </is>
      </c>
      <c r="J945" s="46" t="inlineStr">
        <is>
          <t xml:space="preserve">مدحت السيد </t>
        </is>
      </c>
      <c r="K945" s="46" t="inlineStr">
        <is>
          <t xml:space="preserve">عمرو خفاجة </t>
        </is>
      </c>
      <c r="L945" s="47" t="n">
        <v>20500</v>
      </c>
      <c r="M945" s="47" t="n">
        <v>11100</v>
      </c>
      <c r="N945" s="47" t="n"/>
      <c r="O945" s="47" t="n">
        <v>200</v>
      </c>
      <c r="P945" s="47" t="n"/>
      <c r="Q945" s="47" t="n">
        <v>9200</v>
      </c>
      <c r="R945" s="43">
        <f>IF($B945="","",N($S945)-N($Q945))</f>
        <v/>
      </c>
      <c r="S945" s="43">
        <f>IF($B945="","",N($L945)+N($N945)+N($P945))</f>
        <v/>
      </c>
      <c r="T945" s="47" t="n"/>
      <c r="U945" s="47" t="n"/>
      <c r="V945" s="47" t="n"/>
      <c r="W945" s="47" t="n"/>
      <c r="X945" s="47" t="n"/>
      <c r="Y945" s="47" t="n"/>
      <c r="Z945" s="47" t="n"/>
      <c r="AA945" s="47" t="n"/>
      <c r="AB945" s="47" t="n"/>
      <c r="AC945" s="47" t="n"/>
      <c r="AD945" s="47" t="n"/>
      <c r="AE945" s="47" t="n"/>
      <c r="AF945" s="43">
        <f>IF($B945="","",SUM($T945:$AE945))</f>
        <v/>
      </c>
      <c r="AG945" s="43">
        <f>IF($B945="","",N($M945)-N($AF945))</f>
        <v/>
      </c>
      <c r="AH945" s="43">
        <f>IF($B945="","",N($L945)-N($AF945))</f>
        <v/>
      </c>
      <c r="AI945" s="149">
        <f>IF($B945="","",IF(N($L945)=0,"",(N($L945)-N($AF945))/N($L945)))</f>
        <v/>
      </c>
    </row>
    <row r="946">
      <c r="A946" s="39">
        <f>IF($B946="","",COUNTA($B$4:$B946))</f>
        <v/>
      </c>
      <c r="B946" s="40" t="n">
        <v>46133</v>
      </c>
      <c r="C946" s="41" t="n">
        <v>2588</v>
      </c>
      <c r="D946" s="41" t="inlineStr">
        <is>
          <t>محمد نبيل</t>
        </is>
      </c>
      <c r="E946" s="41" t="inlineStr">
        <is>
          <t>2*20</t>
        </is>
      </c>
      <c r="F946" s="41" t="inlineStr">
        <is>
          <t xml:space="preserve">المتحدة للمسابك </t>
        </is>
      </c>
      <c r="G946" s="41" t="inlineStr">
        <is>
          <t xml:space="preserve">العاشر </t>
        </is>
      </c>
      <c r="H946" s="41" t="inlineStr">
        <is>
          <t>154266/6-320909/0</t>
        </is>
      </c>
      <c r="I946" s="41" t="inlineStr">
        <is>
          <t>ب ج ط 7896</t>
        </is>
      </c>
      <c r="J946" s="41" t="inlineStr">
        <is>
          <t xml:space="preserve">رمضان سامى </t>
        </is>
      </c>
      <c r="K946" s="41" t="inlineStr">
        <is>
          <t xml:space="preserve">عمرو خفاجة </t>
        </is>
      </c>
      <c r="L946" s="42" t="n">
        <v>20500</v>
      </c>
      <c r="M946" s="42" t="n">
        <v>11100</v>
      </c>
      <c r="N946" s="42" t="n"/>
      <c r="O946" s="42" t="n">
        <v>200</v>
      </c>
      <c r="P946" s="42" t="n"/>
      <c r="Q946" s="42" t="n">
        <v>9200</v>
      </c>
      <c r="R946" s="43">
        <f>IF($B946="","",N($S946)-N($Q946))</f>
        <v/>
      </c>
      <c r="S946" s="43">
        <f>IF($B946="","",N($L946)+N($N946)+N($P946))</f>
        <v/>
      </c>
      <c r="T946" s="42" t="n"/>
      <c r="U946" s="42" t="n"/>
      <c r="V946" s="42" t="n"/>
      <c r="W946" s="42" t="n"/>
      <c r="X946" s="42" t="n"/>
      <c r="Y946" s="42" t="n"/>
      <c r="Z946" s="42" t="n"/>
      <c r="AA946" s="42" t="n"/>
      <c r="AB946" s="42" t="n"/>
      <c r="AC946" s="42" t="n"/>
      <c r="AD946" s="42" t="n"/>
      <c r="AE946" s="42" t="n"/>
      <c r="AF946" s="43">
        <f>IF($B946="","",SUM($T946:$AE946))</f>
        <v/>
      </c>
      <c r="AG946" s="43">
        <f>IF($B946="","",N($M946)-N($AF946))</f>
        <v/>
      </c>
      <c r="AH946" s="43">
        <f>IF($B946="","",N($L946)-N($AF946))</f>
        <v/>
      </c>
      <c r="AI946" s="149">
        <f>IF($B946="","",IF(N($L946)=0,"",(N($L946)-N($AF946))/N($L946)))</f>
        <v/>
      </c>
    </row>
    <row r="947">
      <c r="A947" s="39">
        <f>IF($B947="","",COUNTA($B$4:$B947))</f>
        <v/>
      </c>
      <c r="B947" s="45" t="n">
        <v>46133</v>
      </c>
      <c r="C947" s="46" t="n">
        <v>2587</v>
      </c>
      <c r="D947" s="46" t="inlineStr">
        <is>
          <t xml:space="preserve">احمد عزت </t>
        </is>
      </c>
      <c r="E947" s="46" t="inlineStr">
        <is>
          <t>2*20</t>
        </is>
      </c>
      <c r="F947" s="46" t="inlineStr">
        <is>
          <t xml:space="preserve">المتحدة للمسابك </t>
        </is>
      </c>
      <c r="G947" s="46" t="inlineStr">
        <is>
          <t xml:space="preserve">العاشر </t>
        </is>
      </c>
      <c r="H947" s="46" t="inlineStr">
        <is>
          <t>241962/4-320046/6</t>
        </is>
      </c>
      <c r="I947" s="46" t="inlineStr">
        <is>
          <t>ب ر ط 6243</t>
        </is>
      </c>
      <c r="J947" s="46" t="inlineStr">
        <is>
          <t xml:space="preserve">مصطفى عبد الستار </t>
        </is>
      </c>
      <c r="K947" s="46" t="inlineStr">
        <is>
          <t xml:space="preserve">عمرو خفاجة </t>
        </is>
      </c>
      <c r="L947" s="47" t="n">
        <v>20500</v>
      </c>
      <c r="M947" s="47" t="n">
        <v>11100</v>
      </c>
      <c r="N947" s="47" t="n"/>
      <c r="O947" s="47" t="n">
        <v>200</v>
      </c>
      <c r="P947" s="47" t="n"/>
      <c r="Q947" s="47" t="n">
        <v>9200</v>
      </c>
      <c r="R947" s="43">
        <f>IF($B947="","",N($S947)-N($Q947))</f>
        <v/>
      </c>
      <c r="S947" s="43">
        <f>IF($B947="","",N($L947)+N($N947)+N($P947))</f>
        <v/>
      </c>
      <c r="T947" s="47" t="n"/>
      <c r="U947" s="47" t="n"/>
      <c r="V947" s="47" t="n"/>
      <c r="W947" s="47" t="n"/>
      <c r="X947" s="47" t="n"/>
      <c r="Y947" s="47" t="n"/>
      <c r="Z947" s="47" t="n"/>
      <c r="AA947" s="47" t="n"/>
      <c r="AB947" s="47" t="n"/>
      <c r="AC947" s="47" t="n"/>
      <c r="AD947" s="47" t="n"/>
      <c r="AE947" s="47" t="n"/>
      <c r="AF947" s="43">
        <f>IF($B947="","",SUM($T947:$AE947))</f>
        <v/>
      </c>
      <c r="AG947" s="43">
        <f>IF($B947="","",N($M947)-N($AF947))</f>
        <v/>
      </c>
      <c r="AH947" s="43">
        <f>IF($B947="","",N($L947)-N($AF947))</f>
        <v/>
      </c>
      <c r="AI947" s="149">
        <f>IF($B947="","",IF(N($L947)=0,"",(N($L947)-N($AF947))/N($L947)))</f>
        <v/>
      </c>
    </row>
    <row r="948">
      <c r="A948" s="39">
        <f>IF($B948="","",COUNTA($B$4:$B948))</f>
        <v/>
      </c>
      <c r="B948" s="40" t="n">
        <v>46133</v>
      </c>
      <c r="C948" s="41" t="n">
        <v>2586</v>
      </c>
      <c r="D948" s="41" t="inlineStr">
        <is>
          <t xml:space="preserve">ثابت السمديسى </t>
        </is>
      </c>
      <c r="E948" s="41" t="inlineStr">
        <is>
          <t>2*20</t>
        </is>
      </c>
      <c r="F948" s="41" t="inlineStr">
        <is>
          <t xml:space="preserve">المتحدة للمسابك </t>
        </is>
      </c>
      <c r="G948" s="41" t="inlineStr">
        <is>
          <t xml:space="preserve">العاشر </t>
        </is>
      </c>
      <c r="H948" s="41" t="inlineStr">
        <is>
          <t>315613/2-300504/7</t>
        </is>
      </c>
      <c r="I948" s="41" t="inlineStr">
        <is>
          <t>ب د ف 7154</t>
        </is>
      </c>
      <c r="J948" s="41" t="inlineStr">
        <is>
          <t xml:space="preserve">جمعة ايوب </t>
        </is>
      </c>
      <c r="K948" s="41" t="inlineStr">
        <is>
          <t xml:space="preserve">ثابت </t>
        </is>
      </c>
      <c r="L948" s="42" t="n">
        <v>20500</v>
      </c>
      <c r="M948" s="42" t="n">
        <v>11100</v>
      </c>
      <c r="N948" s="42" t="n"/>
      <c r="O948" s="42" t="n">
        <v>200</v>
      </c>
      <c r="P948" s="42" t="n"/>
      <c r="Q948" s="42" t="n">
        <v>9200</v>
      </c>
      <c r="R948" s="43">
        <f>IF($B948="","",N($S948)-N($Q948))</f>
        <v/>
      </c>
      <c r="S948" s="43">
        <f>IF($B948="","",N($L948)+N($N948)+N($P948))</f>
        <v/>
      </c>
      <c r="T948" s="42" t="n"/>
      <c r="U948" s="42" t="n"/>
      <c r="V948" s="42" t="n"/>
      <c r="W948" s="42" t="n"/>
      <c r="X948" s="42" t="n"/>
      <c r="Y948" s="42" t="n"/>
      <c r="Z948" s="42" t="n"/>
      <c r="AA948" s="42" t="n"/>
      <c r="AB948" s="42" t="n"/>
      <c r="AC948" s="42" t="n"/>
      <c r="AD948" s="42" t="n"/>
      <c r="AE948" s="42" t="n"/>
      <c r="AF948" s="43">
        <f>IF($B948="","",SUM($T948:$AE948))</f>
        <v/>
      </c>
      <c r="AG948" s="43">
        <f>IF($B948="","",N($M948)-N($AF948))</f>
        <v/>
      </c>
      <c r="AH948" s="43">
        <f>IF($B948="","",N($L948)-N($AF948))</f>
        <v/>
      </c>
      <c r="AI948" s="149">
        <f>IF($B948="","",IF(N($L948)=0,"",(N($L948)-N($AF948))/N($L948)))</f>
        <v/>
      </c>
    </row>
    <row r="949">
      <c r="A949" s="39">
        <f>IF($B949="","",COUNTA($B$4:$B949))</f>
        <v/>
      </c>
      <c r="B949" s="45" t="n">
        <v>46133</v>
      </c>
      <c r="C949" s="46" t="n">
        <v>2591</v>
      </c>
      <c r="D949" s="46" t="inlineStr">
        <is>
          <t>الشريف خ</t>
        </is>
      </c>
      <c r="E949" s="46" t="inlineStr">
        <is>
          <t>2*20</t>
        </is>
      </c>
      <c r="F949" s="46" t="inlineStr">
        <is>
          <t xml:space="preserve">المتحدة للمسابك </t>
        </is>
      </c>
      <c r="G949" s="46" t="inlineStr">
        <is>
          <t xml:space="preserve">العاشر </t>
        </is>
      </c>
      <c r="H949" s="46" t="inlineStr">
        <is>
          <t>201310/6-220184/2</t>
        </is>
      </c>
      <c r="I949" s="46" t="inlineStr">
        <is>
          <t>ص ع ا 7825</t>
        </is>
      </c>
      <c r="J949" s="46" t="inlineStr">
        <is>
          <t xml:space="preserve">رامى الميت </t>
        </is>
      </c>
      <c r="K949" s="46" t="inlineStr">
        <is>
          <t xml:space="preserve">الميت </t>
        </is>
      </c>
      <c r="L949" s="47" t="n">
        <v>20500</v>
      </c>
      <c r="M949" s="47" t="n">
        <v>11100</v>
      </c>
      <c r="N949" s="47" t="n"/>
      <c r="O949" s="47" t="n">
        <v>200</v>
      </c>
      <c r="P949" s="47" t="n"/>
      <c r="Q949" s="47" t="n">
        <v>9200</v>
      </c>
      <c r="R949" s="43">
        <f>IF($B949="","",N($S949)-N($Q949))</f>
        <v/>
      </c>
      <c r="S949" s="43">
        <f>IF($B949="","",N($L949)+N($N949)+N($P949))</f>
        <v/>
      </c>
      <c r="T949" s="47" t="n"/>
      <c r="U949" s="47" t="n"/>
      <c r="V949" s="47" t="n"/>
      <c r="W949" s="47" t="n"/>
      <c r="X949" s="47" t="n"/>
      <c r="Y949" s="47" t="n"/>
      <c r="Z949" s="47" t="n"/>
      <c r="AA949" s="47" t="n"/>
      <c r="AB949" s="47" t="n"/>
      <c r="AC949" s="47" t="n"/>
      <c r="AD949" s="47" t="n"/>
      <c r="AE949" s="47" t="n"/>
      <c r="AF949" s="43">
        <f>IF($B949="","",SUM($T949:$AE949))</f>
        <v/>
      </c>
      <c r="AG949" s="43">
        <f>IF($B949="","",N($M949)-N($AF949))</f>
        <v/>
      </c>
      <c r="AH949" s="43">
        <f>IF($B949="","",N($L949)-N($AF949))</f>
        <v/>
      </c>
      <c r="AI949" s="149">
        <f>IF($B949="","",IF(N($L949)=0,"",(N($L949)-N($AF949))/N($L949)))</f>
        <v/>
      </c>
    </row>
    <row r="950">
      <c r="A950" s="39">
        <f>IF($B950="","",COUNTA($B$4:$B950))</f>
        <v/>
      </c>
      <c r="B950" s="40" t="n">
        <v>46133</v>
      </c>
      <c r="C950" s="41" t="n">
        <v>2594</v>
      </c>
      <c r="D950" s="41" t="inlineStr">
        <is>
          <t>محمد نبيل</t>
        </is>
      </c>
      <c r="E950" s="41" t="inlineStr">
        <is>
          <t>2*20</t>
        </is>
      </c>
      <c r="F950" s="41" t="inlineStr">
        <is>
          <t xml:space="preserve">المتحدة للمسابك </t>
        </is>
      </c>
      <c r="G950" s="41" t="inlineStr">
        <is>
          <t xml:space="preserve">العاشر </t>
        </is>
      </c>
      <c r="H950" s="41" t="inlineStr">
        <is>
          <t>209604/0-381120/8</t>
        </is>
      </c>
      <c r="I950" s="41" t="inlineStr">
        <is>
          <t>ب ر ط 6931</t>
        </is>
      </c>
      <c r="J950" s="41" t="inlineStr">
        <is>
          <t xml:space="preserve">اسلام بركة </t>
        </is>
      </c>
      <c r="K950" s="41" t="inlineStr">
        <is>
          <t xml:space="preserve">عمرو خفاجة </t>
        </is>
      </c>
      <c r="L950" s="42" t="n">
        <v>20500</v>
      </c>
      <c r="M950" s="42" t="n">
        <v>11100</v>
      </c>
      <c r="N950" s="42" t="n"/>
      <c r="O950" s="42" t="n">
        <v>200</v>
      </c>
      <c r="P950" s="42" t="n"/>
      <c r="Q950" s="42" t="n">
        <v>9200</v>
      </c>
      <c r="R950" s="43">
        <f>IF($B950="","",N($S950)-N($Q950))</f>
        <v/>
      </c>
      <c r="S950" s="43">
        <f>IF($B950="","",N($L950)+N($N950)+N($P950))</f>
        <v/>
      </c>
      <c r="T950" s="42" t="n"/>
      <c r="U950" s="42" t="n"/>
      <c r="V950" s="42" t="n"/>
      <c r="W950" s="42" t="n"/>
      <c r="X950" s="42" t="n"/>
      <c r="Y950" s="42" t="n"/>
      <c r="Z950" s="42" t="n"/>
      <c r="AA950" s="42" t="n"/>
      <c r="AB950" s="42" t="n"/>
      <c r="AC950" s="42" t="n"/>
      <c r="AD950" s="42" t="n"/>
      <c r="AE950" s="42" t="n"/>
      <c r="AF950" s="43">
        <f>IF($B950="","",SUM($T950:$AE950))</f>
        <v/>
      </c>
      <c r="AG950" s="43">
        <f>IF($B950="","",N($M950)-N($AF950))</f>
        <v/>
      </c>
      <c r="AH950" s="43">
        <f>IF($B950="","",N($L950)-N($AF950))</f>
        <v/>
      </c>
      <c r="AI950" s="149">
        <f>IF($B950="","",IF(N($L950)=0,"",(N($L950)-N($AF950))/N($L950)))</f>
        <v/>
      </c>
    </row>
    <row r="951">
      <c r="A951" s="39">
        <f>IF($B951="","",COUNTA($B$4:$B951))</f>
        <v/>
      </c>
      <c r="B951" s="45" t="n">
        <v>46133</v>
      </c>
      <c r="C951" s="46" t="n">
        <v>2592</v>
      </c>
      <c r="D951" s="46" t="inlineStr">
        <is>
          <t xml:space="preserve">نوسكو </t>
        </is>
      </c>
      <c r="E951" s="46" t="inlineStr">
        <is>
          <t>1*40</t>
        </is>
      </c>
      <c r="F951" s="46" t="inlineStr">
        <is>
          <t xml:space="preserve">الريعى </t>
        </is>
      </c>
      <c r="G951" s="46" t="inlineStr">
        <is>
          <t>ابو حماد</t>
        </is>
      </c>
      <c r="H951" s="46" t="inlineStr">
        <is>
          <t>137005/3</t>
        </is>
      </c>
      <c r="I951" s="46" t="inlineStr">
        <is>
          <t>س د ه 1715</t>
        </is>
      </c>
      <c r="J951" s="46" t="inlineStr">
        <is>
          <t xml:space="preserve">مصطفى فهمى </t>
        </is>
      </c>
      <c r="K951" s="46" t="inlineStr">
        <is>
          <t xml:space="preserve">نوسكو </t>
        </is>
      </c>
      <c r="L951" s="47" t="n">
        <v>17000</v>
      </c>
      <c r="M951" s="47" t="n">
        <v>9100</v>
      </c>
      <c r="N951" s="47" t="n"/>
      <c r="O951" s="47" t="n">
        <v>200</v>
      </c>
      <c r="P951" s="47" t="n"/>
      <c r="Q951" s="47" t="n">
        <v>7700</v>
      </c>
      <c r="R951" s="43">
        <f>IF($B951="","",N($S951)-N($Q951))</f>
        <v/>
      </c>
      <c r="S951" s="43">
        <f>IF($B951="","",N($L951)+N($N951)+N($P951))</f>
        <v/>
      </c>
      <c r="T951" s="47" t="n"/>
      <c r="U951" s="47" t="n"/>
      <c r="V951" s="47" t="n"/>
      <c r="W951" s="47" t="n"/>
      <c r="X951" s="47" t="n"/>
      <c r="Y951" s="47" t="n"/>
      <c r="Z951" s="47" t="n"/>
      <c r="AA951" s="47" t="n"/>
      <c r="AB951" s="47" t="n"/>
      <c r="AC951" s="47" t="n"/>
      <c r="AD951" s="47" t="n"/>
      <c r="AE951" s="47" t="n"/>
      <c r="AF951" s="43">
        <f>IF($B951="","",SUM($T951:$AE951))</f>
        <v/>
      </c>
      <c r="AG951" s="43">
        <f>IF($B951="","",N($M951)-N($AF951))</f>
        <v/>
      </c>
      <c r="AH951" s="43">
        <f>IF($B951="","",N($L951)-N($AF951))</f>
        <v/>
      </c>
      <c r="AI951" s="149">
        <f>IF($B951="","",IF(N($L951)=0,"",(N($L951)-N($AF951))/N($L951)))</f>
        <v/>
      </c>
    </row>
    <row r="952">
      <c r="A952" s="39">
        <f>IF($B952="","",COUNTA($B$4:$B952))</f>
        <v/>
      </c>
      <c r="B952" s="40" t="n">
        <v>46133</v>
      </c>
      <c r="C952" s="41" t="n">
        <v>2593</v>
      </c>
      <c r="D952" s="41" t="inlineStr">
        <is>
          <t xml:space="preserve">نوسكو </t>
        </is>
      </c>
      <c r="E952" s="41" t="inlineStr">
        <is>
          <t>1*40</t>
        </is>
      </c>
      <c r="F952" s="41" t="inlineStr">
        <is>
          <t xml:space="preserve">الريعى </t>
        </is>
      </c>
      <c r="G952" s="41" t="inlineStr">
        <is>
          <t>ابو حماد</t>
        </is>
      </c>
      <c r="H952" s="41" t="inlineStr">
        <is>
          <t>193481/0</t>
        </is>
      </c>
      <c r="I952" s="41" t="inlineStr">
        <is>
          <t>س ق ر 6252</t>
        </is>
      </c>
      <c r="J952" s="41" t="inlineStr">
        <is>
          <t xml:space="preserve">احمد بهاء </t>
        </is>
      </c>
      <c r="K952" s="41" t="inlineStr">
        <is>
          <t xml:space="preserve">نوسكو </t>
        </is>
      </c>
      <c r="L952" s="42" t="n">
        <v>17000</v>
      </c>
      <c r="M952" s="42" t="n">
        <v>9100</v>
      </c>
      <c r="N952" s="42" t="n"/>
      <c r="O952" s="42" t="n">
        <v>200</v>
      </c>
      <c r="P952" s="42" t="n"/>
      <c r="Q952" s="42" t="n">
        <v>7700</v>
      </c>
      <c r="R952" s="43">
        <f>IF($B952="","",N($S952)-N($Q952))</f>
        <v/>
      </c>
      <c r="S952" s="43">
        <f>IF($B952="","",N($L952)+N($N952)+N($P952))</f>
        <v/>
      </c>
      <c r="T952" s="42" t="n"/>
      <c r="U952" s="42" t="n"/>
      <c r="V952" s="42" t="n"/>
      <c r="W952" s="42" t="n"/>
      <c r="X952" s="42" t="n"/>
      <c r="Y952" s="42" t="n"/>
      <c r="Z952" s="42" t="n"/>
      <c r="AA952" s="42" t="n"/>
      <c r="AB952" s="42" t="n"/>
      <c r="AC952" s="42" t="n"/>
      <c r="AD952" s="42" t="n"/>
      <c r="AE952" s="42" t="n"/>
      <c r="AF952" s="43">
        <f>IF($B952="","",SUM($T952:$AE952))</f>
        <v/>
      </c>
      <c r="AG952" s="43">
        <f>IF($B952="","",N($M952)-N($AF952))</f>
        <v/>
      </c>
      <c r="AH952" s="43">
        <f>IF($B952="","",N($L952)-N($AF952))</f>
        <v/>
      </c>
      <c r="AI952" s="149">
        <f>IF($B952="","",IF(N($L952)=0,"",(N($L952)-N($AF952))/N($L952)))</f>
        <v/>
      </c>
    </row>
    <row r="953">
      <c r="A953" s="39">
        <f>IF($B953="","",COUNTA($B$4:$B953))</f>
        <v/>
      </c>
      <c r="B953" s="45" t="n">
        <v>46133</v>
      </c>
      <c r="C953" s="46" t="n">
        <v>2709</v>
      </c>
      <c r="D953" s="46" t="inlineStr">
        <is>
          <t>حريقة</t>
        </is>
      </c>
      <c r="E953" s="46" t="inlineStr">
        <is>
          <t>1*40</t>
        </is>
      </c>
      <c r="F953" s="46" t="inlineStr">
        <is>
          <t xml:space="preserve">السويدى بوليمرز </t>
        </is>
      </c>
      <c r="G953" s="46" t="inlineStr">
        <is>
          <t xml:space="preserve">العاشر </t>
        </is>
      </c>
      <c r="H953" s="46" t="inlineStr">
        <is>
          <t>006632/0</t>
        </is>
      </c>
      <c r="I953" s="46" t="inlineStr">
        <is>
          <t>ص ع ا 4935</t>
        </is>
      </c>
      <c r="J953" s="46" t="inlineStr">
        <is>
          <t xml:space="preserve">ابراهيم عيد </t>
        </is>
      </c>
      <c r="K953" s="46" t="n"/>
      <c r="L953" s="47" t="n">
        <v>16000</v>
      </c>
      <c r="M953" s="47" t="n">
        <v>8200</v>
      </c>
      <c r="N953" s="47" t="n"/>
      <c r="O953" s="47" t="n">
        <v>200</v>
      </c>
      <c r="P953" s="47" t="n"/>
      <c r="Q953" s="47" t="n">
        <v>7600</v>
      </c>
      <c r="R953" s="43">
        <f>IF($B953="","",N($S953)-N($Q953))</f>
        <v/>
      </c>
      <c r="S953" s="43">
        <f>IF($B953="","",N($L953)+N($N953)+N($P953))</f>
        <v/>
      </c>
      <c r="T953" s="47" t="n"/>
      <c r="U953" s="47" t="n"/>
      <c r="V953" s="47" t="n"/>
      <c r="W953" s="47" t="n"/>
      <c r="X953" s="47" t="n"/>
      <c r="Y953" s="47" t="n"/>
      <c r="Z953" s="47" t="n"/>
      <c r="AA953" s="47" t="n"/>
      <c r="AB953" s="47" t="n"/>
      <c r="AC953" s="47" t="n"/>
      <c r="AD953" s="47" t="n"/>
      <c r="AE953" s="47" t="n"/>
      <c r="AF953" s="43">
        <f>IF($B953="","",SUM($T953:$AE953))</f>
        <v/>
      </c>
      <c r="AG953" s="43">
        <f>IF($B953="","",N($M953)-N($AF953))</f>
        <v/>
      </c>
      <c r="AH953" s="43">
        <f>IF($B953="","",N($L953)-N($AF953))</f>
        <v/>
      </c>
      <c r="AI953" s="149">
        <f>IF($B953="","",IF(N($L953)=0,"",(N($L953)-N($AF953))/N($L953)))</f>
        <v/>
      </c>
    </row>
    <row r="954">
      <c r="A954" s="39">
        <f>IF($B954="","",COUNTA($B$4:$B954))</f>
        <v/>
      </c>
      <c r="B954" s="40" t="n">
        <v>46133</v>
      </c>
      <c r="C954" s="41" t="n">
        <v>2710</v>
      </c>
      <c r="D954" s="41" t="inlineStr">
        <is>
          <t xml:space="preserve">بدوى صلاح </t>
        </is>
      </c>
      <c r="E954" s="41" t="inlineStr">
        <is>
          <t>1*40</t>
        </is>
      </c>
      <c r="F954" s="41" t="inlineStr">
        <is>
          <t xml:space="preserve">السويدى بوليمرز </t>
        </is>
      </c>
      <c r="G954" s="41" t="inlineStr">
        <is>
          <t xml:space="preserve">العاشر </t>
        </is>
      </c>
      <c r="H954" s="41" t="inlineStr">
        <is>
          <t>636933/2</t>
        </is>
      </c>
      <c r="I954" s="41" t="inlineStr">
        <is>
          <t>س ا و 5242</t>
        </is>
      </c>
      <c r="J954" s="41" t="inlineStr">
        <is>
          <t xml:space="preserve">وليد فتحى </t>
        </is>
      </c>
      <c r="K954" s="41" t="inlineStr">
        <is>
          <t>محمود سعيد</t>
        </is>
      </c>
      <c r="L954" s="42" t="n">
        <v>16000</v>
      </c>
      <c r="M954" s="42" t="n">
        <v>8200</v>
      </c>
      <c r="N954" s="42" t="n"/>
      <c r="O954" s="42" t="n">
        <v>200</v>
      </c>
      <c r="P954" s="42" t="n"/>
      <c r="Q954" s="42" t="n">
        <v>7600</v>
      </c>
      <c r="R954" s="43">
        <f>IF($B954="","",N($S954)-N($Q954))</f>
        <v/>
      </c>
      <c r="S954" s="43">
        <f>IF($B954="","",N($L954)+N($N954)+N($P954))</f>
        <v/>
      </c>
      <c r="T954" s="42" t="n"/>
      <c r="U954" s="42" t="n"/>
      <c r="V954" s="42" t="n"/>
      <c r="W954" s="42" t="n"/>
      <c r="X954" s="42" t="n"/>
      <c r="Y954" s="42" t="n"/>
      <c r="Z954" s="42" t="n"/>
      <c r="AA954" s="42" t="n"/>
      <c r="AB954" s="42" t="n"/>
      <c r="AC954" s="42" t="n"/>
      <c r="AD954" s="42" t="n"/>
      <c r="AE954" s="42" t="n"/>
      <c r="AF954" s="43">
        <f>IF($B954="","",SUM($T954:$AE954))</f>
        <v/>
      </c>
      <c r="AG954" s="43">
        <f>IF($B954="","",N($M954)-N($AF954))</f>
        <v/>
      </c>
      <c r="AH954" s="43">
        <f>IF($B954="","",N($L954)-N($AF954))</f>
        <v/>
      </c>
      <c r="AI954" s="149">
        <f>IF($B954="","",IF(N($L954)=0,"",(N($L954)-N($AF954))/N($L954)))</f>
        <v/>
      </c>
    </row>
    <row r="955">
      <c r="A955" s="39">
        <f>IF($B955="","",COUNTA($B$4:$B955))</f>
        <v/>
      </c>
      <c r="B955" s="45" t="n">
        <v>46133</v>
      </c>
      <c r="C955" s="46" t="n">
        <v>2711</v>
      </c>
      <c r="D955" s="46" t="inlineStr">
        <is>
          <t>حريقة</t>
        </is>
      </c>
      <c r="E955" s="46" t="inlineStr">
        <is>
          <t>1*40</t>
        </is>
      </c>
      <c r="F955" s="46" t="inlineStr">
        <is>
          <t xml:space="preserve">السويدى بوليمرز </t>
        </is>
      </c>
      <c r="G955" s="46" t="inlineStr">
        <is>
          <t xml:space="preserve">العاشر </t>
        </is>
      </c>
      <c r="H955" s="46" t="inlineStr">
        <is>
          <t>615180/2</t>
        </is>
      </c>
      <c r="I955" s="46" t="inlineStr">
        <is>
          <t>س م ب 1718</t>
        </is>
      </c>
      <c r="J955" s="46" t="inlineStr">
        <is>
          <t xml:space="preserve">حسين ابو زيد </t>
        </is>
      </c>
      <c r="K955" s="46" t="inlineStr">
        <is>
          <t xml:space="preserve">حسين </t>
        </is>
      </c>
      <c r="L955" s="47" t="n">
        <v>16000</v>
      </c>
      <c r="M955" s="47" t="n">
        <v>8200</v>
      </c>
      <c r="N955" s="47" t="n"/>
      <c r="O955" s="47" t="n">
        <v>200</v>
      </c>
      <c r="P955" s="47" t="n"/>
      <c r="Q955" s="47" t="n">
        <v>7600</v>
      </c>
      <c r="R955" s="43">
        <f>IF($B955="","",N($S955)-N($Q955))</f>
        <v/>
      </c>
      <c r="S955" s="43">
        <f>IF($B955="","",N($L955)+N($N955)+N($P955))</f>
        <v/>
      </c>
      <c r="T955" s="47" t="n"/>
      <c r="U955" s="47" t="n"/>
      <c r="V955" s="47" t="n"/>
      <c r="W955" s="47" t="n"/>
      <c r="X955" s="47" t="n"/>
      <c r="Y955" s="47" t="n"/>
      <c r="Z955" s="47" t="n"/>
      <c r="AA955" s="47" t="n"/>
      <c r="AB955" s="47" t="n"/>
      <c r="AC955" s="47" t="n"/>
      <c r="AD955" s="47" t="n"/>
      <c r="AE955" s="47" t="n"/>
      <c r="AF955" s="43">
        <f>IF($B955="","",SUM($T955:$AE955))</f>
        <v/>
      </c>
      <c r="AG955" s="43">
        <f>IF($B955="","",N($M955)-N($AF955))</f>
        <v/>
      </c>
      <c r="AH955" s="43">
        <f>IF($B955="","",N($L955)-N($AF955))</f>
        <v/>
      </c>
      <c r="AI955" s="149">
        <f>IF($B955="","",IF(N($L955)=0,"",(N($L955)-N($AF955))/N($L955)))</f>
        <v/>
      </c>
    </row>
    <row r="956">
      <c r="A956" s="39">
        <f>IF($B956="","",COUNTA($B$4:$B956))</f>
        <v/>
      </c>
      <c r="B956" s="40" t="n">
        <v>46133</v>
      </c>
      <c r="C956" s="41" t="n">
        <v>2712</v>
      </c>
      <c r="D956" s="41" t="inlineStr">
        <is>
          <t>الشريف خ</t>
        </is>
      </c>
      <c r="E956" s="41" t="inlineStr">
        <is>
          <t>1*40</t>
        </is>
      </c>
      <c r="F956" s="41" t="inlineStr">
        <is>
          <t xml:space="preserve">السويدى بوليمرز </t>
        </is>
      </c>
      <c r="G956" s="41" t="inlineStr">
        <is>
          <t xml:space="preserve">العاشر </t>
        </is>
      </c>
      <c r="H956" s="41" t="inlineStr">
        <is>
          <t>561151/1</t>
        </is>
      </c>
      <c r="I956" s="41" t="inlineStr">
        <is>
          <t>ع ر و 4731</t>
        </is>
      </c>
      <c r="J956" s="41" t="inlineStr">
        <is>
          <t xml:space="preserve">مصطفى رايد </t>
        </is>
      </c>
      <c r="K956" s="41" t="inlineStr">
        <is>
          <t xml:space="preserve">مصطفى زايد </t>
        </is>
      </c>
      <c r="L956" s="42" t="n">
        <v>16000</v>
      </c>
      <c r="M956" s="42" t="n">
        <v>8200</v>
      </c>
      <c r="N956" s="42" t="n">
        <v>1100</v>
      </c>
      <c r="O956" s="42" t="n">
        <v>200</v>
      </c>
      <c r="P956" s="42" t="n"/>
      <c r="Q956" s="42" t="n">
        <v>6500</v>
      </c>
      <c r="R956" s="43">
        <f>IF($B956="","",N($S956)-N($Q956))</f>
        <v/>
      </c>
      <c r="S956" s="43">
        <f>IF($B956="","",N($L956)+N($N956)+N($P956))</f>
        <v/>
      </c>
      <c r="T956" s="42" t="n"/>
      <c r="U956" s="42" t="n"/>
      <c r="V956" s="42" t="n"/>
      <c r="W956" s="42" t="n"/>
      <c r="X956" s="42" t="n"/>
      <c r="Y956" s="42" t="n"/>
      <c r="Z956" s="42" t="n"/>
      <c r="AA956" s="42" t="n"/>
      <c r="AB956" s="42" t="n"/>
      <c r="AC956" s="42" t="n"/>
      <c r="AD956" s="42" t="n"/>
      <c r="AE956" s="42" t="n"/>
      <c r="AF956" s="43">
        <f>IF($B956="","",SUM($T956:$AE956))</f>
        <v/>
      </c>
      <c r="AG956" s="43">
        <f>IF($B956="","",N($M956)-N($AF956))</f>
        <v/>
      </c>
      <c r="AH956" s="43">
        <f>IF($B956="","",N($L956)-N($AF956))</f>
        <v/>
      </c>
      <c r="AI956" s="149">
        <f>IF($B956="","",IF(N($L956)=0,"",(N($L956)-N($AF956))/N($L956)))</f>
        <v/>
      </c>
    </row>
    <row r="957">
      <c r="A957" s="39">
        <f>IF($B957="","",COUNTA($B$4:$B957))</f>
        <v/>
      </c>
      <c r="B957" s="45" t="n">
        <v>46133</v>
      </c>
      <c r="C957" s="46" t="n">
        <v>2713</v>
      </c>
      <c r="D957" s="46" t="inlineStr">
        <is>
          <t xml:space="preserve">بدوى صلاح </t>
        </is>
      </c>
      <c r="E957" s="46" t="inlineStr">
        <is>
          <t>1*40</t>
        </is>
      </c>
      <c r="F957" s="46" t="inlineStr">
        <is>
          <t xml:space="preserve">السويدى بوليمرز </t>
        </is>
      </c>
      <c r="G957" s="46" t="inlineStr">
        <is>
          <t xml:space="preserve">العاشر </t>
        </is>
      </c>
      <c r="H957" s="46" t="inlineStr">
        <is>
          <t>485056/5</t>
        </is>
      </c>
      <c r="I957" s="46" t="inlineStr">
        <is>
          <t>ب س ا 4168</t>
        </is>
      </c>
      <c r="J957" s="46" t="inlineStr">
        <is>
          <t xml:space="preserve">على محمد </t>
        </is>
      </c>
      <c r="K957" s="46" t="inlineStr">
        <is>
          <t xml:space="preserve">عبد الله </t>
        </is>
      </c>
      <c r="L957" s="47" t="n">
        <v>16000</v>
      </c>
      <c r="M957" s="47" t="n">
        <v>8200</v>
      </c>
      <c r="N957" s="47" t="n"/>
      <c r="O957" s="47" t="n">
        <v>200</v>
      </c>
      <c r="P957" s="47" t="n"/>
      <c r="Q957" s="47" t="n">
        <v>7600</v>
      </c>
      <c r="R957" s="43">
        <f>IF($B957="","",N($S957)-N($Q957))</f>
        <v/>
      </c>
      <c r="S957" s="43">
        <f>IF($B957="","",N($L957)+N($N957)+N($P957))</f>
        <v/>
      </c>
      <c r="T957" s="47" t="n"/>
      <c r="U957" s="47" t="n"/>
      <c r="V957" s="47" t="n"/>
      <c r="W957" s="47" t="n"/>
      <c r="X957" s="47" t="n"/>
      <c r="Y957" s="47" t="n"/>
      <c r="Z957" s="47" t="n"/>
      <c r="AA957" s="47" t="n"/>
      <c r="AB957" s="47" t="n"/>
      <c r="AC957" s="47" t="n"/>
      <c r="AD957" s="47" t="n"/>
      <c r="AE957" s="47" t="n"/>
      <c r="AF957" s="43">
        <f>IF($B957="","",SUM($T957:$AE957))</f>
        <v/>
      </c>
      <c r="AG957" s="43">
        <f>IF($B957="","",N($M957)-N($AF957))</f>
        <v/>
      </c>
      <c r="AH957" s="43">
        <f>IF($B957="","",N($L957)-N($AF957))</f>
        <v/>
      </c>
      <c r="AI957" s="149">
        <f>IF($B957="","",IF(N($L957)=0,"",(N($L957)-N($AF957))/N($L957)))</f>
        <v/>
      </c>
    </row>
    <row r="958">
      <c r="A958" s="39">
        <f>IF($B958="","",COUNTA($B$4:$B958))</f>
        <v/>
      </c>
      <c r="B958" s="40" t="n">
        <v>46133</v>
      </c>
      <c r="C958" s="41" t="n">
        <v>2642</v>
      </c>
      <c r="D958" s="41" t="inlineStr">
        <is>
          <t>ايوب</t>
        </is>
      </c>
      <c r="E958" s="41" t="inlineStr">
        <is>
          <t>1*40</t>
        </is>
      </c>
      <c r="F958" s="41" t="n"/>
      <c r="G958" s="41" t="inlineStr">
        <is>
          <t xml:space="preserve">العاشر </t>
        </is>
      </c>
      <c r="H958" s="41" t="inlineStr">
        <is>
          <t>853998/8</t>
        </is>
      </c>
      <c r="I958" s="41" t="inlineStr">
        <is>
          <t>ط ف ر 5195</t>
        </is>
      </c>
      <c r="J958" s="41" t="inlineStr">
        <is>
          <t xml:space="preserve">شريف الصعيدى </t>
        </is>
      </c>
      <c r="K958" s="41" t="inlineStr">
        <is>
          <t xml:space="preserve">ايوب </t>
        </is>
      </c>
      <c r="L958" s="42" t="n">
        <v>15000</v>
      </c>
      <c r="M958" s="42" t="n">
        <v>8100</v>
      </c>
      <c r="N958" s="42" t="n"/>
      <c r="O958" s="42" t="n">
        <v>200</v>
      </c>
      <c r="P958" s="42" t="n"/>
      <c r="Q958" s="42" t="n">
        <v>6700</v>
      </c>
      <c r="R958" s="43">
        <f>IF($B958="","",N($S958)-N($Q958))</f>
        <v/>
      </c>
      <c r="S958" s="43">
        <f>IF($B958="","",N($L958)+N($N958)+N($P958))</f>
        <v/>
      </c>
      <c r="T958" s="42" t="n"/>
      <c r="U958" s="42" t="n"/>
      <c r="V958" s="42" t="n"/>
      <c r="W958" s="42" t="n"/>
      <c r="X958" s="42" t="n"/>
      <c r="Y958" s="42" t="n"/>
      <c r="Z958" s="42" t="n"/>
      <c r="AA958" s="42" t="n"/>
      <c r="AB958" s="42" t="n"/>
      <c r="AC958" s="42" t="n"/>
      <c r="AD958" s="42" t="n"/>
      <c r="AE958" s="42" t="n"/>
      <c r="AF958" s="43">
        <f>IF($B958="","",SUM($T958:$AE958))</f>
        <v/>
      </c>
      <c r="AG958" s="43">
        <f>IF($B958="","",N($M958)-N($AF958))</f>
        <v/>
      </c>
      <c r="AH958" s="43">
        <f>IF($B958="","",N($L958)-N($AF958))</f>
        <v/>
      </c>
      <c r="AI958" s="149">
        <f>IF($B958="","",IF(N($L958)=0,"",(N($L958)-N($AF958))/N($L958)))</f>
        <v/>
      </c>
    </row>
    <row r="959">
      <c r="A959" s="39">
        <f>IF($B959="","",COUNTA($B$4:$B959))</f>
        <v/>
      </c>
      <c r="B959" s="45" t="n">
        <v>46133</v>
      </c>
      <c r="C959" s="46" t="n">
        <v>2641</v>
      </c>
      <c r="D959" s="46" t="inlineStr">
        <is>
          <t xml:space="preserve">حسين محمد </t>
        </is>
      </c>
      <c r="E959" s="46" t="inlineStr">
        <is>
          <t>1*40</t>
        </is>
      </c>
      <c r="F959" s="46" t="inlineStr">
        <is>
          <t xml:space="preserve">اورينت </t>
        </is>
      </c>
      <c r="G959" s="46" t="inlineStr">
        <is>
          <t xml:space="preserve">العاشر </t>
        </is>
      </c>
      <c r="H959" s="46" t="inlineStr">
        <is>
          <t>409076/6</t>
        </is>
      </c>
      <c r="I959" s="46" t="inlineStr">
        <is>
          <t>ب ا ج 5368</t>
        </is>
      </c>
      <c r="J959" s="46" t="inlineStr">
        <is>
          <t xml:space="preserve">اسامة طة </t>
        </is>
      </c>
      <c r="K959" s="46" t="inlineStr">
        <is>
          <t>الليبر</t>
        </is>
      </c>
      <c r="L959" s="47" t="n">
        <v>15500</v>
      </c>
      <c r="M959" s="47" t="n">
        <v>9100</v>
      </c>
      <c r="N959" s="47" t="n"/>
      <c r="O959" s="47" t="n">
        <v>200</v>
      </c>
      <c r="P959" s="47" t="n"/>
      <c r="Q959" s="47" t="n">
        <v>6200</v>
      </c>
      <c r="R959" s="43">
        <f>IF($B959="","",N($S959)-N($Q959))</f>
        <v/>
      </c>
      <c r="S959" s="43">
        <f>IF($B959="","",N($L959)+N($N959)+N($P959))</f>
        <v/>
      </c>
      <c r="T959" s="47" t="n"/>
      <c r="U959" s="47" t="n"/>
      <c r="V959" s="47" t="n"/>
      <c r="W959" s="47" t="n"/>
      <c r="X959" s="47" t="n"/>
      <c r="Y959" s="47" t="n"/>
      <c r="Z959" s="47" t="n"/>
      <c r="AA959" s="47" t="n"/>
      <c r="AB959" s="47" t="n"/>
      <c r="AC959" s="47" t="n"/>
      <c r="AD959" s="47" t="n"/>
      <c r="AE959" s="47" t="n"/>
      <c r="AF959" s="43">
        <f>IF($B959="","",SUM($T959:$AE959))</f>
        <v/>
      </c>
      <c r="AG959" s="43">
        <f>IF($B959="","",N($M959)-N($AF959))</f>
        <v/>
      </c>
      <c r="AH959" s="43">
        <f>IF($B959="","",N($L959)-N($AF959))</f>
        <v/>
      </c>
      <c r="AI959" s="149">
        <f>IF($B959="","",IF(N($L959)=0,"",(N($L959)-N($AF959))/N($L959)))</f>
        <v/>
      </c>
    </row>
    <row r="960">
      <c r="A960" s="39">
        <f>IF($B960="","",COUNTA($B$4:$B960))</f>
        <v/>
      </c>
      <c r="B960" s="40" t="n">
        <v>46133</v>
      </c>
      <c r="C960" s="41" t="n">
        <v>2508</v>
      </c>
      <c r="D960" s="41" t="inlineStr">
        <is>
          <t xml:space="preserve">محمد سعيد </t>
        </is>
      </c>
      <c r="E960" s="41" t="inlineStr">
        <is>
          <t>1*40 ث</t>
        </is>
      </c>
      <c r="F960" s="41" t="inlineStr">
        <is>
          <t xml:space="preserve">ميما فودز </t>
        </is>
      </c>
      <c r="G960" s="41" t="inlineStr">
        <is>
          <t xml:space="preserve">السادات </t>
        </is>
      </c>
      <c r="H960" s="41" t="inlineStr">
        <is>
          <t>34847/5</t>
        </is>
      </c>
      <c r="I960" s="41" t="inlineStr">
        <is>
          <t>س ف ب 4187</t>
        </is>
      </c>
      <c r="J960" s="41" t="inlineStr">
        <is>
          <t xml:space="preserve">نور </t>
        </is>
      </c>
      <c r="K960" s="41" t="inlineStr">
        <is>
          <t xml:space="preserve">حمو البيبى </t>
        </is>
      </c>
      <c r="L960" s="42" t="n">
        <v>14800</v>
      </c>
      <c r="M960" s="42" t="n">
        <v>9100</v>
      </c>
      <c r="N960" s="42" t="n"/>
      <c r="O960" s="42" t="n">
        <v>200</v>
      </c>
      <c r="P960" s="42" t="n"/>
      <c r="Q960" s="42" t="n">
        <v>5500</v>
      </c>
      <c r="R960" s="43">
        <f>IF($B960="","",N($S960)-N($Q960))</f>
        <v/>
      </c>
      <c r="S960" s="43">
        <f>IF($B960="","",N($L960)+N($N960)+N($P960))</f>
        <v/>
      </c>
      <c r="T960" s="42" t="n"/>
      <c r="U960" s="42" t="n"/>
      <c r="V960" s="42" t="n"/>
      <c r="W960" s="42" t="n"/>
      <c r="X960" s="42" t="n"/>
      <c r="Y960" s="42" t="n"/>
      <c r="Z960" s="42" t="n"/>
      <c r="AA960" s="42" t="n"/>
      <c r="AB960" s="42" t="n"/>
      <c r="AC960" s="42" t="n"/>
      <c r="AD960" s="42" t="n"/>
      <c r="AE960" s="42" t="n"/>
      <c r="AF960" s="43">
        <f>IF($B960="","",SUM($T960:$AE960))</f>
        <v/>
      </c>
      <c r="AG960" s="43">
        <f>IF($B960="","",N($M960)-N($AF960))</f>
        <v/>
      </c>
      <c r="AH960" s="43">
        <f>IF($B960="","",N($L960)-N($AF960))</f>
        <v/>
      </c>
      <c r="AI960" s="149">
        <f>IF($B960="","",IF(N($L960)=0,"",(N($L960)-N($AF960))/N($L960)))</f>
        <v/>
      </c>
    </row>
    <row r="961">
      <c r="A961" s="39">
        <f>IF($B961="","",COUNTA($B$4:$B961))</f>
        <v/>
      </c>
      <c r="B961" s="45" t="n">
        <v>46134</v>
      </c>
      <c r="C961" s="46" t="n">
        <v>2643</v>
      </c>
      <c r="D961" s="46" t="inlineStr">
        <is>
          <t>عتريس مخيمر  خ</t>
        </is>
      </c>
      <c r="E961" s="46" t="inlineStr">
        <is>
          <t>1*40 ث</t>
        </is>
      </c>
      <c r="F961" s="46" t="inlineStr">
        <is>
          <t xml:space="preserve">ماى فارم </t>
        </is>
      </c>
      <c r="G961" s="46" t="inlineStr">
        <is>
          <t xml:space="preserve">النوبارية </t>
        </is>
      </c>
      <c r="H961" s="46" t="n"/>
      <c r="I961" s="46" t="inlineStr">
        <is>
          <t>ط ف ر 1474</t>
        </is>
      </c>
      <c r="J961" s="46" t="inlineStr">
        <is>
          <t xml:space="preserve">جمال على </t>
        </is>
      </c>
      <c r="K961" s="46" t="inlineStr">
        <is>
          <t xml:space="preserve">كريم خليف </t>
        </is>
      </c>
      <c r="L961" s="47" t="n">
        <v>12500</v>
      </c>
      <c r="M961" s="47" t="n">
        <v>7100</v>
      </c>
      <c r="N961" s="47" t="n"/>
      <c r="O961" s="47" t="n">
        <v>200</v>
      </c>
      <c r="P961" s="47" t="n"/>
      <c r="Q961" s="47" t="n">
        <v>5200</v>
      </c>
      <c r="R961" s="43">
        <f>IF($B961="","",N($S961)-N($Q961))</f>
        <v/>
      </c>
      <c r="S961" s="43">
        <f>IF($B961="","",N($L961)+N($N961)+N($P961))</f>
        <v/>
      </c>
      <c r="T961" s="47" t="n"/>
      <c r="U961" s="47" t="n"/>
      <c r="V961" s="47" t="n"/>
      <c r="W961" s="47" t="n"/>
      <c r="X961" s="47" t="n"/>
      <c r="Y961" s="47" t="n"/>
      <c r="Z961" s="47" t="n"/>
      <c r="AA961" s="47" t="n"/>
      <c r="AB961" s="47" t="n"/>
      <c r="AC961" s="47" t="n"/>
      <c r="AD961" s="47" t="n"/>
      <c r="AE961" s="47" t="n"/>
      <c r="AF961" s="43">
        <f>IF($B961="","",SUM($T961:$AE961))</f>
        <v/>
      </c>
      <c r="AG961" s="43">
        <f>IF($B961="","",N($M961)-N($AF961))</f>
        <v/>
      </c>
      <c r="AH961" s="43">
        <f>IF($B961="","",N($L961)-N($AF961))</f>
        <v/>
      </c>
      <c r="AI961" s="149">
        <f>IF($B961="","",IF(N($L961)=0,"",(N($L961)-N($AF961))/N($L961)))</f>
        <v/>
      </c>
    </row>
    <row r="962">
      <c r="A962" s="39">
        <f>IF($B962="","",COUNTA($B$4:$B962))</f>
        <v/>
      </c>
      <c r="B962" s="40" t="n">
        <v>46134</v>
      </c>
      <c r="C962" s="41" t="n">
        <v>2717</v>
      </c>
      <c r="D962" s="41" t="inlineStr">
        <is>
          <t>الشريف خ</t>
        </is>
      </c>
      <c r="E962" s="41" t="inlineStr">
        <is>
          <t>1*40</t>
        </is>
      </c>
      <c r="F962" s="41" t="inlineStr">
        <is>
          <t xml:space="preserve">اكما </t>
        </is>
      </c>
      <c r="G962" s="41" t="inlineStr">
        <is>
          <t>بنى سويف</t>
        </is>
      </c>
      <c r="H962" s="41" t="inlineStr">
        <is>
          <t>843517/1</t>
        </is>
      </c>
      <c r="I962" s="41" t="inlineStr">
        <is>
          <t>ب د ف 9317</t>
        </is>
      </c>
      <c r="J962" s="41" t="inlineStr">
        <is>
          <t xml:space="preserve">سعيد فطيم </t>
        </is>
      </c>
      <c r="K962" s="41" t="inlineStr">
        <is>
          <t>استوريا</t>
        </is>
      </c>
      <c r="L962" s="42" t="n">
        <v>19000</v>
      </c>
      <c r="M962" s="42" t="n">
        <v>10100</v>
      </c>
      <c r="N962" s="42" t="n"/>
      <c r="O962" s="42" t="n">
        <v>200</v>
      </c>
      <c r="P962" s="42" t="n"/>
      <c r="Q962" s="42" t="n">
        <v>8700</v>
      </c>
      <c r="R962" s="43">
        <f>IF($B962="","",N($S962)-N($Q962))</f>
        <v/>
      </c>
      <c r="S962" s="43">
        <f>IF($B962="","",N($L962)+N($N962)+N($P962))</f>
        <v/>
      </c>
      <c r="T962" s="42" t="n"/>
      <c r="U962" s="42" t="n"/>
      <c r="V962" s="42" t="n"/>
      <c r="W962" s="42" t="n"/>
      <c r="X962" s="42" t="n"/>
      <c r="Y962" s="42" t="n"/>
      <c r="Z962" s="42" t="n"/>
      <c r="AA962" s="42" t="n"/>
      <c r="AB962" s="42" t="n"/>
      <c r="AC962" s="42" t="n"/>
      <c r="AD962" s="42" t="n"/>
      <c r="AE962" s="42" t="n"/>
      <c r="AF962" s="43">
        <f>IF($B962="","",SUM($T962:$AE962))</f>
        <v/>
      </c>
      <c r="AG962" s="43">
        <f>IF($B962="","",N($M962)-N($AF962))</f>
        <v/>
      </c>
      <c r="AH962" s="43">
        <f>IF($B962="","",N($L962)-N($AF962))</f>
        <v/>
      </c>
      <c r="AI962" s="149">
        <f>IF($B962="","",IF(N($L962)=0,"",(N($L962)-N($AF962))/N($L962)))</f>
        <v/>
      </c>
    </row>
    <row r="963">
      <c r="A963" s="39">
        <f>IF($B963="","",COUNTA($B$4:$B963))</f>
        <v/>
      </c>
      <c r="B963" s="45" t="n">
        <v>46134</v>
      </c>
      <c r="C963" s="46" t="n">
        <v>2718</v>
      </c>
      <c r="D963" s="46" t="inlineStr">
        <is>
          <t>الشريف خ</t>
        </is>
      </c>
      <c r="E963" s="46" t="inlineStr">
        <is>
          <t>1*40</t>
        </is>
      </c>
      <c r="F963" s="46" t="inlineStr">
        <is>
          <t xml:space="preserve">اكما </t>
        </is>
      </c>
      <c r="G963" s="46" t="inlineStr">
        <is>
          <t>بنى سويف</t>
        </is>
      </c>
      <c r="H963" s="46" t="inlineStr">
        <is>
          <t>85492/4</t>
        </is>
      </c>
      <c r="I963" s="46" t="inlineStr">
        <is>
          <t>ب د ف 4785</t>
        </is>
      </c>
      <c r="J963" s="46" t="inlineStr">
        <is>
          <t xml:space="preserve">جمعة ربيع </t>
        </is>
      </c>
      <c r="K963" s="46" t="inlineStr">
        <is>
          <t>استوريا</t>
        </is>
      </c>
      <c r="L963" s="47" t="n">
        <v>19000</v>
      </c>
      <c r="M963" s="47" t="n">
        <v>10100</v>
      </c>
      <c r="N963" s="47" t="n"/>
      <c r="O963" s="47" t="n">
        <v>200</v>
      </c>
      <c r="P963" s="47" t="n"/>
      <c r="Q963" s="47" t="n">
        <v>8700</v>
      </c>
      <c r="R963" s="43">
        <f>IF($B963="","",N($S963)-N($Q963))</f>
        <v/>
      </c>
      <c r="S963" s="43">
        <f>IF($B963="","",N($L963)+N($N963)+N($P963))</f>
        <v/>
      </c>
      <c r="T963" s="47" t="n"/>
      <c r="U963" s="47" t="n"/>
      <c r="V963" s="47" t="n"/>
      <c r="W963" s="47" t="n"/>
      <c r="X963" s="47" t="n"/>
      <c r="Y963" s="47" t="n"/>
      <c r="Z963" s="47" t="n"/>
      <c r="AA963" s="47" t="n"/>
      <c r="AB963" s="47" t="n"/>
      <c r="AC963" s="47" t="n"/>
      <c r="AD963" s="47" t="n"/>
      <c r="AE963" s="47" t="n"/>
      <c r="AF963" s="43">
        <f>IF($B963="","",SUM($T963:$AE963))</f>
        <v/>
      </c>
      <c r="AG963" s="43">
        <f>IF($B963="","",N($M963)-N($AF963))</f>
        <v/>
      </c>
      <c r="AH963" s="43">
        <f>IF($B963="","",N($L963)-N($AF963))</f>
        <v/>
      </c>
      <c r="AI963" s="149">
        <f>IF($B963="","",IF(N($L963)=0,"",(N($L963)-N($AF963))/N($L963)))</f>
        <v/>
      </c>
    </row>
    <row r="964">
      <c r="A964" s="39">
        <f>IF($B964="","",COUNTA($B$4:$B964))</f>
        <v/>
      </c>
      <c r="B964" s="40" t="n">
        <v>46134</v>
      </c>
      <c r="C964" s="41" t="n">
        <v>2595</v>
      </c>
      <c r="D964" s="41" t="inlineStr">
        <is>
          <t>ايوب</t>
        </is>
      </c>
      <c r="E964" s="41" t="inlineStr">
        <is>
          <t>1*20</t>
        </is>
      </c>
      <c r="F964" s="41" t="inlineStr">
        <is>
          <t xml:space="preserve">الوفاق </t>
        </is>
      </c>
      <c r="G964" s="41" t="inlineStr">
        <is>
          <t xml:space="preserve">العاشر </t>
        </is>
      </c>
      <c r="H964" s="41" t="inlineStr">
        <is>
          <t>287665/3</t>
        </is>
      </c>
      <c r="I964" s="41" t="inlineStr">
        <is>
          <t>ب س ج 1392</t>
        </is>
      </c>
      <c r="J964" s="41" t="inlineStr">
        <is>
          <t xml:space="preserve">مصطفى مسعود </t>
        </is>
      </c>
      <c r="K964" s="41" t="inlineStr">
        <is>
          <t xml:space="preserve">ايوب </t>
        </is>
      </c>
      <c r="L964" s="42" t="n">
        <v>12500</v>
      </c>
      <c r="M964" s="42" t="n">
        <v>8100</v>
      </c>
      <c r="N964" s="42" t="n"/>
      <c r="O964" s="42" t="n">
        <v>200</v>
      </c>
      <c r="P964" s="42" t="n"/>
      <c r="Q964" s="42" t="n">
        <v>4200</v>
      </c>
      <c r="R964" s="43">
        <f>IF($B964="","",N($S964)-N($Q964))</f>
        <v/>
      </c>
      <c r="S964" s="43">
        <f>IF($B964="","",N($L964)+N($N964)+N($P964))</f>
        <v/>
      </c>
      <c r="T964" s="42" t="n"/>
      <c r="U964" s="42" t="n"/>
      <c r="V964" s="42" t="n"/>
      <c r="W964" s="42" t="n"/>
      <c r="X964" s="42" t="n"/>
      <c r="Y964" s="42" t="n"/>
      <c r="Z964" s="42" t="n"/>
      <c r="AA964" s="42" t="n"/>
      <c r="AB964" s="42" t="n"/>
      <c r="AC964" s="42" t="n"/>
      <c r="AD964" s="42" t="n"/>
      <c r="AE964" s="42" t="n"/>
      <c r="AF964" s="43">
        <f>IF($B964="","",SUM($T964:$AE964))</f>
        <v/>
      </c>
      <c r="AG964" s="43">
        <f>IF($B964="","",N($M964)-N($AF964))</f>
        <v/>
      </c>
      <c r="AH964" s="43">
        <f>IF($B964="","",N($L964)-N($AF964))</f>
        <v/>
      </c>
      <c r="AI964" s="149">
        <f>IF($B964="","",IF(N($L964)=0,"",(N($L964)-N($AF964))/N($L964)))</f>
        <v/>
      </c>
    </row>
    <row r="965">
      <c r="A965" s="39">
        <f>IF($B965="","",COUNTA($B$4:$B965))</f>
        <v/>
      </c>
      <c r="B965" s="45" t="n">
        <v>46134</v>
      </c>
      <c r="C965" s="46" t="n">
        <v>2596</v>
      </c>
      <c r="D965" s="46" t="inlineStr">
        <is>
          <t xml:space="preserve">بدوى صلاح </t>
        </is>
      </c>
      <c r="E965" s="46" t="inlineStr">
        <is>
          <t>1*20</t>
        </is>
      </c>
      <c r="F965" s="46" t="inlineStr">
        <is>
          <t xml:space="preserve">الوفاق </t>
        </is>
      </c>
      <c r="G965" s="46" t="inlineStr">
        <is>
          <t xml:space="preserve">العاشر </t>
        </is>
      </c>
      <c r="H965" s="46" t="inlineStr">
        <is>
          <t>644929/2</t>
        </is>
      </c>
      <c r="I965" s="46" t="inlineStr">
        <is>
          <t>ب د ن 2193</t>
        </is>
      </c>
      <c r="J965" s="46" t="inlineStr">
        <is>
          <t xml:space="preserve">احمد جاد </t>
        </is>
      </c>
      <c r="K965" s="46" t="inlineStr">
        <is>
          <t>رومانى</t>
        </is>
      </c>
      <c r="L965" s="47" t="n">
        <v>15000</v>
      </c>
      <c r="M965" s="47" t="n">
        <v>8100</v>
      </c>
      <c r="N965" s="47" t="n"/>
      <c r="O965" s="47" t="n">
        <v>200</v>
      </c>
      <c r="P965" s="47" t="n"/>
      <c r="Q965" s="47" t="n">
        <v>6700</v>
      </c>
      <c r="R965" s="43">
        <f>IF($B965="","",N($S965)-N($Q965))</f>
        <v/>
      </c>
      <c r="S965" s="43">
        <f>IF($B965="","",N($L965)+N($N965)+N($P965))</f>
        <v/>
      </c>
      <c r="T965" s="47" t="n"/>
      <c r="U965" s="47" t="n"/>
      <c r="V965" s="47" t="n"/>
      <c r="W965" s="47" t="n"/>
      <c r="X965" s="47" t="n"/>
      <c r="Y965" s="47" t="n"/>
      <c r="Z965" s="47" t="n"/>
      <c r="AA965" s="47" t="n"/>
      <c r="AB965" s="47" t="n"/>
      <c r="AC965" s="47" t="n"/>
      <c r="AD965" s="47" t="n"/>
      <c r="AE965" s="47" t="n"/>
      <c r="AF965" s="43">
        <f>IF($B965="","",SUM($T965:$AE965))</f>
        <v/>
      </c>
      <c r="AG965" s="43">
        <f>IF($B965="","",N($M965)-N($AF965))</f>
        <v/>
      </c>
      <c r="AH965" s="43">
        <f>IF($B965="","",N($L965)-N($AF965))</f>
        <v/>
      </c>
      <c r="AI965" s="149">
        <f>IF($B965="","",IF(N($L965)=0,"",(N($L965)-N($AF965))/N($L965)))</f>
        <v/>
      </c>
    </row>
    <row r="966">
      <c r="A966" s="39">
        <f>IF($B966="","",COUNTA($B$4:$B966))</f>
        <v/>
      </c>
      <c r="B966" s="40" t="n">
        <v>46134</v>
      </c>
      <c r="C966" s="41" t="n">
        <v>2597</v>
      </c>
      <c r="D966" s="41" t="inlineStr">
        <is>
          <t>حماد خ</t>
        </is>
      </c>
      <c r="E966" s="41" t="inlineStr">
        <is>
          <t>1*20</t>
        </is>
      </c>
      <c r="F966" s="41" t="inlineStr">
        <is>
          <t xml:space="preserve">الوفاق </t>
        </is>
      </c>
      <c r="G966" s="41" t="inlineStr">
        <is>
          <t xml:space="preserve">العاشر </t>
        </is>
      </c>
      <c r="H966" s="41" t="inlineStr">
        <is>
          <t>414142/0</t>
        </is>
      </c>
      <c r="I966" s="41" t="inlineStr">
        <is>
          <t>س ا ه 8198</t>
        </is>
      </c>
      <c r="J966" s="41" t="inlineStr">
        <is>
          <t xml:space="preserve">احمد خميس </t>
        </is>
      </c>
      <c r="K966" s="41" t="inlineStr">
        <is>
          <t xml:space="preserve">علاء علام </t>
        </is>
      </c>
      <c r="L966" s="42" t="n">
        <v>16000</v>
      </c>
      <c r="M966" s="42" t="n">
        <v>9100</v>
      </c>
      <c r="N966" s="42" t="n"/>
      <c r="O966" s="42" t="n">
        <v>200</v>
      </c>
      <c r="P966" s="42" t="n"/>
      <c r="Q966" s="42" t="n">
        <v>6700</v>
      </c>
      <c r="R966" s="43">
        <f>IF($B966="","",N($S966)-N($Q966))</f>
        <v/>
      </c>
      <c r="S966" s="43">
        <f>IF($B966="","",N($L966)+N($N966)+N($P966))</f>
        <v/>
      </c>
      <c r="T966" s="42" t="n"/>
      <c r="U966" s="42" t="n"/>
      <c r="V966" s="42" t="n"/>
      <c r="W966" s="42" t="n"/>
      <c r="X966" s="42" t="n"/>
      <c r="Y966" s="42" t="n"/>
      <c r="Z966" s="42" t="n"/>
      <c r="AA966" s="42" t="n"/>
      <c r="AB966" s="42" t="n"/>
      <c r="AC966" s="42" t="n"/>
      <c r="AD966" s="42" t="n"/>
      <c r="AE966" s="42" t="n"/>
      <c r="AF966" s="43">
        <f>IF($B966="","",SUM($T966:$AE966))</f>
        <v/>
      </c>
      <c r="AG966" s="43">
        <f>IF($B966="","",N($M966)-N($AF966))</f>
        <v/>
      </c>
      <c r="AH966" s="43">
        <f>IF($B966="","",N($L966)-N($AF966))</f>
        <v/>
      </c>
      <c r="AI966" s="149">
        <f>IF($B966="","",IF(N($L966)=0,"",(N($L966)-N($AF966))/N($L966)))</f>
        <v/>
      </c>
    </row>
    <row r="967">
      <c r="A967" s="39">
        <f>IF($B967="","",COUNTA($B$4:$B967))</f>
        <v/>
      </c>
      <c r="B967" s="45" t="n">
        <v>46134</v>
      </c>
      <c r="C967" s="46" t="n">
        <v>2598</v>
      </c>
      <c r="D967" s="46" t="inlineStr">
        <is>
          <t xml:space="preserve">نوسكو </t>
        </is>
      </c>
      <c r="E967" s="46" t="inlineStr">
        <is>
          <t>1*40</t>
        </is>
      </c>
      <c r="F967" s="46" t="inlineStr">
        <is>
          <t xml:space="preserve">الوفاق </t>
        </is>
      </c>
      <c r="G967" s="46" t="inlineStr">
        <is>
          <t>العاشر</t>
        </is>
      </c>
      <c r="H967" s="46" t="inlineStr">
        <is>
          <t>552928/0</t>
        </is>
      </c>
      <c r="I967" s="46" t="inlineStr">
        <is>
          <t>س ل ص 9688</t>
        </is>
      </c>
      <c r="J967" s="46" t="inlineStr">
        <is>
          <t xml:space="preserve">علام عنتر </t>
        </is>
      </c>
      <c r="K967" s="46" t="inlineStr">
        <is>
          <t xml:space="preserve">محمد رشاد </t>
        </is>
      </c>
      <c r="L967" s="47" t="n">
        <v>16000</v>
      </c>
      <c r="M967" s="47" t="n">
        <v>9100</v>
      </c>
      <c r="N967" s="47" t="n"/>
      <c r="O967" s="47" t="n">
        <v>200</v>
      </c>
      <c r="P967" s="47" t="n"/>
      <c r="Q967" s="47" t="n">
        <v>6700</v>
      </c>
      <c r="R967" s="43">
        <f>IF($B967="","",N($S967)-N($Q967))</f>
        <v/>
      </c>
      <c r="S967" s="43">
        <f>IF($B967="","",N($L967)+N($N967)+N($P967))</f>
        <v/>
      </c>
      <c r="T967" s="47" t="n"/>
      <c r="U967" s="47" t="n"/>
      <c r="V967" s="47" t="n"/>
      <c r="W967" s="47" t="n"/>
      <c r="X967" s="47" t="n"/>
      <c r="Y967" s="47" t="n"/>
      <c r="Z967" s="47" t="n"/>
      <c r="AA967" s="47" t="n"/>
      <c r="AB967" s="47" t="n"/>
      <c r="AC967" s="47" t="n"/>
      <c r="AD967" s="47" t="n"/>
      <c r="AE967" s="47" t="n"/>
      <c r="AF967" s="43">
        <f>IF($B967="","",SUM($T967:$AE967))</f>
        <v/>
      </c>
      <c r="AG967" s="43">
        <f>IF($B967="","",N($M967)-N($AF967))</f>
        <v/>
      </c>
      <c r="AH967" s="43">
        <f>IF($B967="","",N($L967)-N($AF967))</f>
        <v/>
      </c>
      <c r="AI967" s="149">
        <f>IF($B967="","",IF(N($L967)=0,"",(N($L967)-N($AF967))/N($L967)))</f>
        <v/>
      </c>
    </row>
    <row r="968">
      <c r="A968" s="39">
        <f>IF($B968="","",COUNTA($B$4:$B968))</f>
        <v/>
      </c>
      <c r="B968" s="40" t="n">
        <v>46134</v>
      </c>
      <c r="C968" s="41" t="n">
        <v>2756</v>
      </c>
      <c r="D968" s="41" t="inlineStr">
        <is>
          <t>ايوب</t>
        </is>
      </c>
      <c r="E968" s="41" t="inlineStr">
        <is>
          <t>1*20</t>
        </is>
      </c>
      <c r="F968" s="41" t="inlineStr">
        <is>
          <t xml:space="preserve">الوفاق </t>
        </is>
      </c>
      <c r="G968" s="41" t="inlineStr">
        <is>
          <t xml:space="preserve">العاشر </t>
        </is>
      </c>
      <c r="H968" s="41" t="inlineStr">
        <is>
          <t>226758/0</t>
        </is>
      </c>
      <c r="I968" s="41" t="inlineStr">
        <is>
          <t>ب د ن 5863</t>
        </is>
      </c>
      <c r="J968" s="41" t="inlineStr">
        <is>
          <t xml:space="preserve">احمد السعيد </t>
        </is>
      </c>
      <c r="K968" s="41" t="inlineStr">
        <is>
          <t xml:space="preserve">ايوب </t>
        </is>
      </c>
      <c r="L968" s="42" t="n">
        <v>12500</v>
      </c>
      <c r="M968" s="42" t="n">
        <v>8100</v>
      </c>
      <c r="N968" s="42" t="n"/>
      <c r="O968" s="42" t="n">
        <v>200</v>
      </c>
      <c r="P968" s="42" t="n"/>
      <c r="Q968" s="42" t="n">
        <v>4200</v>
      </c>
      <c r="R968" s="43">
        <f>IF($B968="","",N($S968)-N($Q968))</f>
        <v/>
      </c>
      <c r="S968" s="43">
        <f>IF($B968="","",N($L968)+N($N968)+N($P968))</f>
        <v/>
      </c>
      <c r="T968" s="42" t="n">
        <v>6700</v>
      </c>
      <c r="U968" s="42" t="n"/>
      <c r="V968" s="42" t="n"/>
      <c r="W968" s="42" t="n"/>
      <c r="X968" s="42" t="n"/>
      <c r="Y968" s="42" t="n"/>
      <c r="Z968" s="42" t="n"/>
      <c r="AA968" s="42" t="n"/>
      <c r="AB968" s="42" t="n"/>
      <c r="AC968" s="42" t="n"/>
      <c r="AD968" s="42" t="n"/>
      <c r="AE968" s="42" t="n"/>
      <c r="AF968" s="43">
        <f>IF($B968="","",SUM($T968:$AE968))</f>
        <v/>
      </c>
      <c r="AG968" s="43">
        <f>IF($B968="","",N($M968)-N($AF968))</f>
        <v/>
      </c>
      <c r="AH968" s="43">
        <f>IF($B968="","",N($L968)-N($AF968))</f>
        <v/>
      </c>
      <c r="AI968" s="149">
        <f>IF($B968="","",IF(N($L968)=0,"",(N($L968)-N($AF968))/N($L968)))</f>
        <v/>
      </c>
    </row>
    <row r="969">
      <c r="A969" s="39">
        <f>IF($B969="","",COUNTA($B$4:$B969))</f>
        <v/>
      </c>
      <c r="B969" s="45" t="n">
        <v>46134</v>
      </c>
      <c r="C969" s="46" t="n">
        <v>2722</v>
      </c>
      <c r="D969" s="46" t="inlineStr">
        <is>
          <t xml:space="preserve">حسين محمد </t>
        </is>
      </c>
      <c r="E969" s="46" t="inlineStr">
        <is>
          <t>1*40</t>
        </is>
      </c>
      <c r="F969" s="46" t="inlineStr">
        <is>
          <t xml:space="preserve">اروماتيك </t>
        </is>
      </c>
      <c r="G969" s="46" t="inlineStr">
        <is>
          <t>بنى سويف</t>
        </is>
      </c>
      <c r="H969" s="46" t="inlineStr">
        <is>
          <t>543727/7</t>
        </is>
      </c>
      <c r="I969" s="46" t="inlineStr">
        <is>
          <t>س د ى 8789</t>
        </is>
      </c>
      <c r="J969" s="46" t="inlineStr">
        <is>
          <t>احمد رمضان</t>
        </is>
      </c>
      <c r="K969" s="46" t="inlineStr">
        <is>
          <t xml:space="preserve">محمود صالح </t>
        </is>
      </c>
      <c r="L969" s="47" t="n">
        <v>20500</v>
      </c>
      <c r="M969" s="47" t="n">
        <v>9100</v>
      </c>
      <c r="N969" s="47" t="n">
        <v>2500</v>
      </c>
      <c r="O969" s="47" t="n">
        <v>200</v>
      </c>
      <c r="P969" s="47" t="n"/>
      <c r="Q969" s="47" t="n">
        <v>8700</v>
      </c>
      <c r="R969" s="43">
        <f>IF($B969="","",N($S969)-N($Q969))</f>
        <v/>
      </c>
      <c r="S969" s="43">
        <f>IF($B969="","",N($L969)+N($N969)+N($P969))</f>
        <v/>
      </c>
      <c r="T969" s="47" t="n"/>
      <c r="U969" s="47" t="n"/>
      <c r="V969" s="47" t="n"/>
      <c r="W969" s="47" t="n"/>
      <c r="X969" s="47" t="n"/>
      <c r="Y969" s="47" t="n"/>
      <c r="Z969" s="47" t="n"/>
      <c r="AA969" s="47" t="n"/>
      <c r="AB969" s="47" t="n"/>
      <c r="AC969" s="47" t="n"/>
      <c r="AD969" s="47" t="n"/>
      <c r="AE969" s="47" t="n"/>
      <c r="AF969" s="43">
        <f>IF($B969="","",SUM($T969:$AE969))</f>
        <v/>
      </c>
      <c r="AG969" s="43">
        <f>IF($B969="","",N($M969)-N($AF969))</f>
        <v/>
      </c>
      <c r="AH969" s="43">
        <f>IF($B969="","",N($L969)-N($AF969))</f>
        <v/>
      </c>
      <c r="AI969" s="149">
        <f>IF($B969="","",IF(N($L969)=0,"",(N($L969)-N($AF969))/N($L969)))</f>
        <v/>
      </c>
    </row>
    <row r="970">
      <c r="A970" s="39">
        <f>IF($B970="","",COUNTA($B$4:$B970))</f>
        <v/>
      </c>
      <c r="B970" s="40" t="n">
        <v>46134</v>
      </c>
      <c r="C970" s="41" t="n">
        <v>2751</v>
      </c>
      <c r="D970" s="41" t="inlineStr">
        <is>
          <t xml:space="preserve">الانصارى </t>
        </is>
      </c>
      <c r="E970" s="41" t="inlineStr">
        <is>
          <t>2*20</t>
        </is>
      </c>
      <c r="F970" s="41" t="inlineStr">
        <is>
          <t xml:space="preserve">المتحدة للمسابك </t>
        </is>
      </c>
      <c r="G970" s="41" t="inlineStr">
        <is>
          <t xml:space="preserve">العاشر </t>
        </is>
      </c>
      <c r="H970" s="41" t="inlineStr">
        <is>
          <t>191837/2-291393/3</t>
        </is>
      </c>
      <c r="I970" s="41" t="inlineStr">
        <is>
          <t>ب ص ا 2574</t>
        </is>
      </c>
      <c r="J970" s="41" t="inlineStr">
        <is>
          <t xml:space="preserve">محمد البحيرى </t>
        </is>
      </c>
      <c r="K970" s="41" t="inlineStr">
        <is>
          <t xml:space="preserve">احمد خليف </t>
        </is>
      </c>
      <c r="L970" s="42" t="n">
        <v>20000</v>
      </c>
      <c r="M970" s="42" t="n">
        <v>11100</v>
      </c>
      <c r="N970" s="42" t="n"/>
      <c r="O970" s="42" t="n">
        <v>200</v>
      </c>
      <c r="P970" s="42" t="n"/>
      <c r="Q970" s="42" t="n">
        <v>8700</v>
      </c>
      <c r="R970" s="43">
        <f>IF($B970="","",N($S970)-N($Q970))</f>
        <v/>
      </c>
      <c r="S970" s="43">
        <f>IF($B970="","",N($L970)+N($N970)+N($P970))</f>
        <v/>
      </c>
      <c r="T970" s="42" t="n"/>
      <c r="U970" s="42" t="n"/>
      <c r="V970" s="42" t="n"/>
      <c r="W970" s="42" t="n"/>
      <c r="X970" s="42" t="n"/>
      <c r="Y970" s="42" t="n"/>
      <c r="Z970" s="42" t="n"/>
      <c r="AA970" s="42" t="n"/>
      <c r="AB970" s="42" t="n"/>
      <c r="AC970" s="42" t="n"/>
      <c r="AD970" s="42" t="n"/>
      <c r="AE970" s="42" t="n"/>
      <c r="AF970" s="43">
        <f>IF($B970="","",SUM($T970:$AE970))</f>
        <v/>
      </c>
      <c r="AG970" s="43">
        <f>IF($B970="","",N($M970)-N($AF970))</f>
        <v/>
      </c>
      <c r="AH970" s="43">
        <f>IF($B970="","",N($L970)-N($AF970))</f>
        <v/>
      </c>
      <c r="AI970" s="149">
        <f>IF($B970="","",IF(N($L970)=0,"",(N($L970)-N($AF970))/N($L970)))</f>
        <v/>
      </c>
    </row>
    <row r="971">
      <c r="A971" s="39">
        <f>IF($B971="","",COUNTA($B$4:$B971))</f>
        <v/>
      </c>
      <c r="B971" s="45" t="n">
        <v>46134</v>
      </c>
      <c r="C971" s="46" t="n">
        <v>2752</v>
      </c>
      <c r="D971" s="46" t="inlineStr">
        <is>
          <t>الشريف خ</t>
        </is>
      </c>
      <c r="E971" s="46" t="inlineStr">
        <is>
          <t>2*20</t>
        </is>
      </c>
      <c r="F971" s="46" t="inlineStr">
        <is>
          <t xml:space="preserve">المتحدة للمسابك </t>
        </is>
      </c>
      <c r="G971" s="46" t="inlineStr">
        <is>
          <t xml:space="preserve">العاشر </t>
        </is>
      </c>
      <c r="H971" s="46" t="inlineStr">
        <is>
          <t>192198/8-243170/1</t>
        </is>
      </c>
      <c r="I971" s="46" t="inlineStr">
        <is>
          <t>ب س ا 7385</t>
        </is>
      </c>
      <c r="J971" s="46" t="inlineStr">
        <is>
          <t xml:space="preserve">محمد خليل </t>
        </is>
      </c>
      <c r="K971" s="46" t="inlineStr">
        <is>
          <t xml:space="preserve">ابو ادم </t>
        </is>
      </c>
      <c r="L971" s="47" t="n">
        <v>20000</v>
      </c>
      <c r="M971" s="47" t="n">
        <v>11100</v>
      </c>
      <c r="N971" s="47" t="n"/>
      <c r="O971" s="47" t="n">
        <v>200</v>
      </c>
      <c r="P971" s="47" t="n"/>
      <c r="Q971" s="47" t="n">
        <v>8700</v>
      </c>
      <c r="R971" s="43">
        <f>IF($B971="","",N($S971)-N($Q971))</f>
        <v/>
      </c>
      <c r="S971" s="43">
        <f>IF($B971="","",N($L971)+N($N971)+N($P971))</f>
        <v/>
      </c>
      <c r="T971" s="47" t="n"/>
      <c r="U971" s="47" t="n"/>
      <c r="V971" s="47" t="n"/>
      <c r="W971" s="47" t="n"/>
      <c r="X971" s="47" t="n"/>
      <c r="Y971" s="47" t="n"/>
      <c r="Z971" s="47" t="n"/>
      <c r="AA971" s="47" t="n"/>
      <c r="AB971" s="47" t="n"/>
      <c r="AC971" s="47" t="n"/>
      <c r="AD971" s="47" t="n"/>
      <c r="AE971" s="47" t="n"/>
      <c r="AF971" s="43">
        <f>IF($B971="","",SUM($T971:$AE971))</f>
        <v/>
      </c>
      <c r="AG971" s="43">
        <f>IF($B971="","",N($M971)-N($AF971))</f>
        <v/>
      </c>
      <c r="AH971" s="43">
        <f>IF($B971="","",N($L971)-N($AF971))</f>
        <v/>
      </c>
      <c r="AI971" s="149">
        <f>IF($B971="","",IF(N($L971)=0,"",(N($L971)-N($AF971))/N($L971)))</f>
        <v/>
      </c>
    </row>
    <row r="972">
      <c r="A972" s="39">
        <f>IF($B972="","",COUNTA($B$4:$B972))</f>
        <v/>
      </c>
      <c r="B972" s="40" t="n">
        <v>46134</v>
      </c>
      <c r="C972" s="41" t="n">
        <v>2753</v>
      </c>
      <c r="D972" s="41" t="inlineStr">
        <is>
          <t>الشريف خ</t>
        </is>
      </c>
      <c r="E972" s="41" t="inlineStr">
        <is>
          <t>2*20</t>
        </is>
      </c>
      <c r="F972" s="41" t="inlineStr">
        <is>
          <t xml:space="preserve">المتحدة للمسابك </t>
        </is>
      </c>
      <c r="G972" s="41" t="inlineStr">
        <is>
          <t xml:space="preserve">العاشر </t>
        </is>
      </c>
      <c r="H972" s="41" t="inlineStr">
        <is>
          <t>292896/2-192173/5</t>
        </is>
      </c>
      <c r="I972" s="41" t="inlineStr">
        <is>
          <t>ب د ف 4512</t>
        </is>
      </c>
      <c r="J972" s="41" t="inlineStr">
        <is>
          <t xml:space="preserve">احمد السيد </t>
        </is>
      </c>
      <c r="K972" s="41" t="inlineStr">
        <is>
          <t xml:space="preserve">محمد ابو ادم </t>
        </is>
      </c>
      <c r="L972" s="42" t="n">
        <v>20000</v>
      </c>
      <c r="M972" s="42" t="n">
        <v>11100</v>
      </c>
      <c r="N972" s="42" t="n"/>
      <c r="O972" s="42" t="n">
        <v>200</v>
      </c>
      <c r="P972" s="42" t="n"/>
      <c r="Q972" s="42" t="n">
        <v>8700</v>
      </c>
      <c r="R972" s="43">
        <f>IF($B972="","",N($S972)-N($Q972))</f>
        <v/>
      </c>
      <c r="S972" s="43">
        <f>IF($B972="","",N($L972)+N($N972)+N($P972))</f>
        <v/>
      </c>
      <c r="T972" s="42" t="n"/>
      <c r="U972" s="42" t="n"/>
      <c r="V972" s="42" t="n"/>
      <c r="W972" s="42" t="n"/>
      <c r="X972" s="42" t="n"/>
      <c r="Y972" s="42" t="n"/>
      <c r="Z972" s="42" t="n"/>
      <c r="AA972" s="42" t="n"/>
      <c r="AB972" s="42" t="n"/>
      <c r="AC972" s="42" t="n"/>
      <c r="AD972" s="42" t="n"/>
      <c r="AE972" s="42" t="n"/>
      <c r="AF972" s="43">
        <f>IF($B972="","",SUM($T972:$AE972))</f>
        <v/>
      </c>
      <c r="AG972" s="43">
        <f>IF($B972="","",N($M972)-N($AF972))</f>
        <v/>
      </c>
      <c r="AH972" s="43">
        <f>IF($B972="","",N($L972)-N($AF972))</f>
        <v/>
      </c>
      <c r="AI972" s="149">
        <f>IF($B972="","",IF(N($L972)=0,"",(N($L972)-N($AF972))/N($L972)))</f>
        <v/>
      </c>
    </row>
    <row r="973">
      <c r="A973" s="39">
        <f>IF($B973="","",COUNTA($B$4:$B973))</f>
        <v/>
      </c>
      <c r="B973" s="45" t="n">
        <v>46134</v>
      </c>
      <c r="C973" s="46" t="n">
        <v>2754</v>
      </c>
      <c r="D973" s="46" t="inlineStr">
        <is>
          <t>المكتب</t>
        </is>
      </c>
      <c r="E973" s="46" t="inlineStr">
        <is>
          <t>2*20</t>
        </is>
      </c>
      <c r="F973" s="46" t="inlineStr">
        <is>
          <t xml:space="preserve">المتحدة للمسابك </t>
        </is>
      </c>
      <c r="G973" s="46" t="inlineStr">
        <is>
          <t xml:space="preserve">العاشر </t>
        </is>
      </c>
      <c r="H973" s="46" t="inlineStr">
        <is>
          <t>192145/8-300845/2</t>
        </is>
      </c>
      <c r="I973" s="46" t="inlineStr">
        <is>
          <t>س ع م 8737</t>
        </is>
      </c>
      <c r="J973" s="46" t="inlineStr">
        <is>
          <t xml:space="preserve">جلال حسنى </t>
        </is>
      </c>
      <c r="K973" s="46" t="inlineStr">
        <is>
          <t xml:space="preserve">المكتب </t>
        </is>
      </c>
      <c r="L973" s="47" t="n">
        <v>25500</v>
      </c>
      <c r="M973" s="47" t="n">
        <v>11000</v>
      </c>
      <c r="N973" s="47" t="n"/>
      <c r="O973" s="47" t="n"/>
      <c r="P973" s="47" t="n"/>
      <c r="Q973" s="47" t="n">
        <v>14500</v>
      </c>
      <c r="R973" s="43">
        <f>IF($B973="","",N($S973)-N($Q973))</f>
        <v/>
      </c>
      <c r="S973" s="43">
        <f>IF($B973="","",N($L973)+N($N973)+N($P973))</f>
        <v/>
      </c>
      <c r="T973" s="47" t="n"/>
      <c r="U973" s="47" t="n"/>
      <c r="V973" s="47" t="n"/>
      <c r="W973" s="47" t="n"/>
      <c r="X973" s="47" t="n"/>
      <c r="Y973" s="47" t="n"/>
      <c r="Z973" s="47" t="n"/>
      <c r="AA973" s="47" t="n"/>
      <c r="AB973" s="47" t="n"/>
      <c r="AC973" s="47" t="n"/>
      <c r="AD973" s="47" t="n"/>
      <c r="AE973" s="47" t="n"/>
      <c r="AF973" s="43">
        <f>IF($B973="","",SUM($T973:$AE973))</f>
        <v/>
      </c>
      <c r="AG973" s="43">
        <f>IF($B973="","",N($M973)-N($AF973))</f>
        <v/>
      </c>
      <c r="AH973" s="43">
        <f>IF($B973="","",N($L973)-N($AF973))</f>
        <v/>
      </c>
      <c r="AI973" s="149">
        <f>IF($B973="","",IF(N($L973)=0,"",(N($L973)-N($AF973))/N($L973)))</f>
        <v/>
      </c>
    </row>
    <row r="974">
      <c r="A974" s="39">
        <f>IF($B974="","",COUNTA($B$4:$B974))</f>
        <v/>
      </c>
      <c r="B974" s="40" t="n">
        <v>46134</v>
      </c>
      <c r="C974" s="41" t="n">
        <v>2755</v>
      </c>
      <c r="D974" s="41" t="inlineStr">
        <is>
          <t xml:space="preserve">احمد عزت </t>
        </is>
      </c>
      <c r="E974" s="41" t="inlineStr">
        <is>
          <t>2*20</t>
        </is>
      </c>
      <c r="F974" s="41" t="inlineStr">
        <is>
          <t xml:space="preserve">المتحدة للمسابك </t>
        </is>
      </c>
      <c r="G974" s="41" t="inlineStr">
        <is>
          <t xml:space="preserve">العاشر </t>
        </is>
      </c>
      <c r="H974" s="41" t="inlineStr">
        <is>
          <t>102556/0-120133/4</t>
        </is>
      </c>
      <c r="I974" s="41" t="inlineStr">
        <is>
          <t>ص ه د 4296</t>
        </is>
      </c>
      <c r="J974" s="41" t="inlineStr">
        <is>
          <t xml:space="preserve">كريم لطفى </t>
        </is>
      </c>
      <c r="K974" s="41" t="inlineStr">
        <is>
          <t xml:space="preserve">عمرو خفاجة </t>
        </is>
      </c>
      <c r="L974" s="42" t="n">
        <v>20500</v>
      </c>
      <c r="M974" s="42" t="n">
        <v>11100</v>
      </c>
      <c r="N974" s="42" t="n"/>
      <c r="O974" s="42" t="n">
        <v>200</v>
      </c>
      <c r="P974" s="42" t="n"/>
      <c r="Q974" s="42" t="n">
        <v>9200</v>
      </c>
      <c r="R974" s="43">
        <f>IF($B974="","",N($S974)-N($Q974))</f>
        <v/>
      </c>
      <c r="S974" s="43">
        <f>IF($B974="","",N($L974)+N($N974)+N($P974))</f>
        <v/>
      </c>
      <c r="T974" s="42" t="n"/>
      <c r="U974" s="42" t="n"/>
      <c r="V974" s="42" t="n"/>
      <c r="W974" s="42" t="n"/>
      <c r="X974" s="42" t="n"/>
      <c r="Y974" s="42" t="n"/>
      <c r="Z974" s="42" t="n"/>
      <c r="AA974" s="42" t="n"/>
      <c r="AB974" s="42" t="n"/>
      <c r="AC974" s="42" t="n"/>
      <c r="AD974" s="42" t="n"/>
      <c r="AE974" s="42" t="n"/>
      <c r="AF974" s="43">
        <f>IF($B974="","",SUM($T974:$AE974))</f>
        <v/>
      </c>
      <c r="AG974" s="43">
        <f>IF($B974="","",N($M974)-N($AF974))</f>
        <v/>
      </c>
      <c r="AH974" s="43">
        <f>IF($B974="","",N($L974)-N($AF974))</f>
        <v/>
      </c>
      <c r="AI974" s="149">
        <f>IF($B974="","",IF(N($L974)=0,"",(N($L974)-N($AF974))/N($L974)))</f>
        <v/>
      </c>
    </row>
    <row r="975">
      <c r="A975" s="39">
        <f>IF($B975="","",COUNTA($B$4:$B975))</f>
        <v/>
      </c>
      <c r="B975" s="45" t="n">
        <v>46134</v>
      </c>
      <c r="C975" s="46" t="n">
        <v>2724</v>
      </c>
      <c r="D975" s="46" t="inlineStr">
        <is>
          <t xml:space="preserve">كمال رزق </t>
        </is>
      </c>
      <c r="E975" s="46" t="inlineStr">
        <is>
          <t>1*40</t>
        </is>
      </c>
      <c r="F975" s="46" t="inlineStr">
        <is>
          <t xml:space="preserve">يوروتال </t>
        </is>
      </c>
      <c r="G975" s="46" t="inlineStr">
        <is>
          <t xml:space="preserve">العبور </t>
        </is>
      </c>
      <c r="H975" s="46" t="inlineStr">
        <is>
          <t>784648/2</t>
        </is>
      </c>
      <c r="I975" s="46" t="inlineStr">
        <is>
          <t>س ن ر 8979</t>
        </is>
      </c>
      <c r="J975" s="46" t="inlineStr">
        <is>
          <t xml:space="preserve">عماد سعيد </t>
        </is>
      </c>
      <c r="K975" s="46" t="inlineStr">
        <is>
          <t xml:space="preserve">عماد سعيد </t>
        </is>
      </c>
      <c r="L975" s="47" t="n">
        <v>15000</v>
      </c>
      <c r="M975" s="47" t="n">
        <v>8100</v>
      </c>
      <c r="N975" s="47" t="n"/>
      <c r="O975" s="47" t="n">
        <v>200</v>
      </c>
      <c r="P975" s="47" t="n"/>
      <c r="Q975" s="47" t="n">
        <v>6700</v>
      </c>
      <c r="R975" s="43">
        <f>IF($B975="","",N($S975)-N($Q975))</f>
        <v/>
      </c>
      <c r="S975" s="43">
        <f>IF($B975="","",N($L975)+N($N975)+N($P975))</f>
        <v/>
      </c>
      <c r="T975" s="47" t="n"/>
      <c r="U975" s="47" t="n"/>
      <c r="V975" s="47" t="n"/>
      <c r="W975" s="47" t="n"/>
      <c r="X975" s="47" t="n"/>
      <c r="Y975" s="47" t="n"/>
      <c r="Z975" s="47" t="n"/>
      <c r="AA975" s="47" t="n"/>
      <c r="AB975" s="47" t="n"/>
      <c r="AC975" s="47" t="n"/>
      <c r="AD975" s="47" t="n"/>
      <c r="AE975" s="47" t="n"/>
      <c r="AF975" s="43">
        <f>IF($B975="","",SUM($T975:$AE975))</f>
        <v/>
      </c>
      <c r="AG975" s="43">
        <f>IF($B975="","",N($M975)-N($AF975))</f>
        <v/>
      </c>
      <c r="AH975" s="43">
        <f>IF($B975="","",N($L975)-N($AF975))</f>
        <v/>
      </c>
      <c r="AI975" s="149">
        <f>IF($B975="","",IF(N($L975)=0,"",(N($L975)-N($AF975))/N($L975)))</f>
        <v/>
      </c>
    </row>
    <row r="976">
      <c r="A976" s="39">
        <f>IF($B976="","",COUNTA($B$4:$B976))</f>
        <v/>
      </c>
      <c r="B976" s="40" t="n">
        <v>46134</v>
      </c>
      <c r="C976" s="41" t="n">
        <v>2720</v>
      </c>
      <c r="D976" s="41" t="inlineStr">
        <is>
          <t>ايوب</t>
        </is>
      </c>
      <c r="E976" s="41" t="inlineStr">
        <is>
          <t>1*20</t>
        </is>
      </c>
      <c r="F976" s="41" t="inlineStr">
        <is>
          <t xml:space="preserve">يوروتال </t>
        </is>
      </c>
      <c r="G976" s="41" t="inlineStr">
        <is>
          <t>العبور</t>
        </is>
      </c>
      <c r="H976" s="41" t="inlineStr">
        <is>
          <t>770578/4</t>
        </is>
      </c>
      <c r="I976" s="41" t="inlineStr">
        <is>
          <t>ب ر ط 6478</t>
        </is>
      </c>
      <c r="J976" s="41" t="inlineStr">
        <is>
          <t xml:space="preserve">محمد سعد </t>
        </is>
      </c>
      <c r="K976" s="41" t="inlineStr">
        <is>
          <t xml:space="preserve">ايوب </t>
        </is>
      </c>
      <c r="L976" s="42" t="n">
        <v>12500</v>
      </c>
      <c r="M976" s="42" t="n">
        <v>7100</v>
      </c>
      <c r="N976" s="42" t="n"/>
      <c r="O976" s="42" t="n">
        <v>200</v>
      </c>
      <c r="P976" s="42" t="n"/>
      <c r="Q976" s="42" t="n">
        <v>5200</v>
      </c>
      <c r="R976" s="43">
        <f>IF($B976="","",N($S976)-N($Q976))</f>
        <v/>
      </c>
      <c r="S976" s="43">
        <f>IF($B976="","",N($L976)+N($N976)+N($P976))</f>
        <v/>
      </c>
      <c r="T976" s="42" t="n"/>
      <c r="U976" s="42" t="n"/>
      <c r="V976" s="42" t="n"/>
      <c r="W976" s="42" t="n"/>
      <c r="X976" s="42" t="n"/>
      <c r="Y976" s="42" t="n"/>
      <c r="Z976" s="42" t="n"/>
      <c r="AA976" s="42" t="n"/>
      <c r="AB976" s="42" t="n"/>
      <c r="AC976" s="42" t="n"/>
      <c r="AD976" s="42" t="n"/>
      <c r="AE976" s="42" t="n"/>
      <c r="AF976" s="43">
        <f>IF($B976="","",SUM($T976:$AE976))</f>
        <v/>
      </c>
      <c r="AG976" s="43">
        <f>IF($B976="","",N($M976)-N($AF976))</f>
        <v/>
      </c>
      <c r="AH976" s="43">
        <f>IF($B976="","",N($L976)-N($AF976))</f>
        <v/>
      </c>
      <c r="AI976" s="149">
        <f>IF($B976="","",IF(N($L976)=0,"",(N($L976)-N($AF976))/N($L976)))</f>
        <v/>
      </c>
    </row>
    <row r="977">
      <c r="A977" s="39">
        <f>IF($B977="","",COUNTA($B$4:$B977))</f>
        <v/>
      </c>
      <c r="B977" s="45" t="n">
        <v>46134</v>
      </c>
      <c r="C977" s="46" t="n">
        <v>2719</v>
      </c>
      <c r="D977" s="46" t="inlineStr">
        <is>
          <t xml:space="preserve">حاتم البحر </t>
        </is>
      </c>
      <c r="E977" s="46" t="inlineStr">
        <is>
          <t>1*20 ot</t>
        </is>
      </c>
      <c r="F977" s="46" t="inlineStr">
        <is>
          <t xml:space="preserve">يوروتال </t>
        </is>
      </c>
      <c r="G977" s="46" t="inlineStr">
        <is>
          <t>العبور</t>
        </is>
      </c>
      <c r="H977" s="46" t="inlineStr">
        <is>
          <t>287340/9</t>
        </is>
      </c>
      <c r="I977" s="46" t="inlineStr">
        <is>
          <t>ب ا ط 5138</t>
        </is>
      </c>
      <c r="J977" s="46" t="inlineStr">
        <is>
          <t xml:space="preserve">محمود احمد </t>
        </is>
      </c>
      <c r="K977" s="46" t="inlineStr">
        <is>
          <t>رومانى</t>
        </is>
      </c>
      <c r="L977" s="47" t="n">
        <v>14500</v>
      </c>
      <c r="M977" s="47" t="n">
        <v>9100</v>
      </c>
      <c r="N977" s="47" t="n"/>
      <c r="O977" s="47" t="n">
        <v>200</v>
      </c>
      <c r="P977" s="47" t="n"/>
      <c r="Q977" s="47" t="n">
        <v>5200</v>
      </c>
      <c r="R977" s="43">
        <f>IF($B977="","",N($S977)-N($Q977))</f>
        <v/>
      </c>
      <c r="S977" s="43">
        <f>IF($B977="","",N($L977)+N($N977)+N($P977))</f>
        <v/>
      </c>
      <c r="T977" s="47" t="n"/>
      <c r="U977" s="47" t="n"/>
      <c r="V977" s="47" t="n"/>
      <c r="W977" s="47" t="n"/>
      <c r="X977" s="47" t="n"/>
      <c r="Y977" s="47" t="n"/>
      <c r="Z977" s="47" t="n"/>
      <c r="AA977" s="47" t="n"/>
      <c r="AB977" s="47" t="n"/>
      <c r="AC977" s="47" t="n"/>
      <c r="AD977" s="47" t="n"/>
      <c r="AE977" s="47" t="n"/>
      <c r="AF977" s="43">
        <f>IF($B977="","",SUM($T977:$AE977))</f>
        <v/>
      </c>
      <c r="AG977" s="43">
        <f>IF($B977="","",N($M977)-N($AF977))</f>
        <v/>
      </c>
      <c r="AH977" s="43">
        <f>IF($B977="","",N($L977)-N($AF977))</f>
        <v/>
      </c>
      <c r="AI977" s="149">
        <f>IF($B977="","",IF(N($L977)=0,"",(N($L977)-N($AF977))/N($L977)))</f>
        <v/>
      </c>
    </row>
    <row r="978">
      <c r="A978" s="39">
        <f>IF($B978="","",COUNTA($B$4:$B978))</f>
        <v/>
      </c>
      <c r="B978" s="40" t="n">
        <v>46134</v>
      </c>
      <c r="C978" s="41" t="n">
        <v>2723</v>
      </c>
      <c r="D978" s="41" t="inlineStr">
        <is>
          <t xml:space="preserve">احمدعامر </t>
        </is>
      </c>
      <c r="E978" s="41" t="inlineStr">
        <is>
          <t>1*40</t>
        </is>
      </c>
      <c r="F978" s="41" t="inlineStr">
        <is>
          <t xml:space="preserve">يوروتال </t>
        </is>
      </c>
      <c r="G978" s="41" t="inlineStr">
        <is>
          <t>العبور</t>
        </is>
      </c>
      <c r="H978" s="41" t="inlineStr">
        <is>
          <t>662460/8</t>
        </is>
      </c>
      <c r="I978" s="41" t="inlineStr">
        <is>
          <t>ط ف ر 7848</t>
        </is>
      </c>
      <c r="J978" s="41" t="inlineStr">
        <is>
          <t xml:space="preserve">محمد خالد </t>
        </is>
      </c>
      <c r="K978" s="41" t="inlineStr">
        <is>
          <t xml:space="preserve">ابو رحاب </t>
        </is>
      </c>
      <c r="L978" s="42" t="n">
        <v>15000</v>
      </c>
      <c r="M978" s="42" t="n">
        <v>8100</v>
      </c>
      <c r="N978" s="42" t="n"/>
      <c r="O978" s="42" t="n">
        <v>200</v>
      </c>
      <c r="P978" s="42" t="n"/>
      <c r="Q978" s="42" t="n">
        <v>6700</v>
      </c>
      <c r="R978" s="43">
        <f>IF($B978="","",N($S978)-N($Q978))</f>
        <v/>
      </c>
      <c r="S978" s="43">
        <f>IF($B978="","",N($L978)+N($N978)+N($P978))</f>
        <v/>
      </c>
      <c r="T978" s="42" t="n"/>
      <c r="U978" s="42" t="n"/>
      <c r="V978" s="42" t="n"/>
      <c r="W978" s="42" t="n"/>
      <c r="X978" s="42" t="n"/>
      <c r="Y978" s="42" t="n"/>
      <c r="Z978" s="42" t="n"/>
      <c r="AA978" s="42" t="n"/>
      <c r="AB978" s="42" t="n"/>
      <c r="AC978" s="42" t="n"/>
      <c r="AD978" s="42" t="n"/>
      <c r="AE978" s="42" t="n"/>
      <c r="AF978" s="43">
        <f>IF($B978="","",SUM($T978:$AE978))</f>
        <v/>
      </c>
      <c r="AG978" s="43">
        <f>IF($B978="","",N($M978)-N($AF978))</f>
        <v/>
      </c>
      <c r="AH978" s="43">
        <f>IF($B978="","",N($L978)-N($AF978))</f>
        <v/>
      </c>
      <c r="AI978" s="149">
        <f>IF($B978="","",IF(N($L978)=0,"",(N($L978)-N($AF978))/N($L978)))</f>
        <v/>
      </c>
    </row>
    <row r="979">
      <c r="A979" s="39">
        <f>IF($B979="","",COUNTA($B$4:$B979))</f>
        <v/>
      </c>
      <c r="B979" s="45" t="n">
        <v>46134</v>
      </c>
      <c r="C979" s="46" t="n">
        <v>2721</v>
      </c>
      <c r="D979" s="46" t="n"/>
      <c r="E979" s="46" t="inlineStr">
        <is>
          <t>1*40</t>
        </is>
      </c>
      <c r="F979" s="46" t="inlineStr">
        <is>
          <t xml:space="preserve">يوروتال </t>
        </is>
      </c>
      <c r="G979" s="46" t="inlineStr">
        <is>
          <t>العبور</t>
        </is>
      </c>
      <c r="H979" s="46" t="inlineStr">
        <is>
          <t>408432/5</t>
        </is>
      </c>
      <c r="I979" s="46" t="inlineStr">
        <is>
          <t>ق ر ف 6891</t>
        </is>
      </c>
      <c r="J979" s="46" t="inlineStr">
        <is>
          <t xml:space="preserve">عرفة مسعود </t>
        </is>
      </c>
      <c r="K979" s="46" t="inlineStr">
        <is>
          <t xml:space="preserve">احمد منصور </t>
        </is>
      </c>
      <c r="L979" s="47" t="n">
        <v>15000</v>
      </c>
      <c r="M979" s="47" t="n">
        <v>10100</v>
      </c>
      <c r="N979" s="47" t="n"/>
      <c r="O979" s="47" t="n">
        <v>200</v>
      </c>
      <c r="P979" s="47" t="n"/>
      <c r="Q979" s="47" t="n">
        <v>4700</v>
      </c>
      <c r="R979" s="43">
        <f>IF($B979="","",N($S979)-N($Q979))</f>
        <v/>
      </c>
      <c r="S979" s="43">
        <f>IF($B979="","",N($L979)+N($N979)+N($P979))</f>
        <v/>
      </c>
      <c r="T979" s="47" t="n"/>
      <c r="U979" s="47" t="n"/>
      <c r="V979" s="47" t="n"/>
      <c r="W979" s="47" t="n"/>
      <c r="X979" s="47" t="n"/>
      <c r="Y979" s="47" t="n"/>
      <c r="Z979" s="47" t="n"/>
      <c r="AA979" s="47" t="n"/>
      <c r="AB979" s="47" t="n"/>
      <c r="AC979" s="47" t="n"/>
      <c r="AD979" s="47" t="n"/>
      <c r="AE979" s="47" t="n"/>
      <c r="AF979" s="43">
        <f>IF($B979="","",SUM($T979:$AE979))</f>
        <v/>
      </c>
      <c r="AG979" s="43">
        <f>IF($B979="","",N($M979)-N($AF979))</f>
        <v/>
      </c>
      <c r="AH979" s="43">
        <f>IF($B979="","",N($L979)-N($AF979))</f>
        <v/>
      </c>
      <c r="AI979" s="149">
        <f>IF($B979="","",IF(N($L979)=0,"",(N($L979)-N($AF979))/N($L979)))</f>
        <v/>
      </c>
    </row>
    <row r="980">
      <c r="A980" s="39">
        <f>IF($B980="","",COUNTA($B$4:$B980))</f>
        <v/>
      </c>
      <c r="B980" s="40" t="n">
        <v>46135</v>
      </c>
      <c r="C980" s="41" t="n">
        <v>2510</v>
      </c>
      <c r="D980" s="41" t="n"/>
      <c r="E980" s="41" t="inlineStr">
        <is>
          <t>1*40</t>
        </is>
      </c>
      <c r="F980" s="41" t="inlineStr">
        <is>
          <t>وادى الرياض</t>
        </is>
      </c>
      <c r="G980" s="41" t="inlineStr">
        <is>
          <t>الاسماعيليه</t>
        </is>
      </c>
      <c r="H980" s="41" t="inlineStr">
        <is>
          <t>424249/9</t>
        </is>
      </c>
      <c r="I980" s="41" t="inlineStr">
        <is>
          <t>س ن ا 9814</t>
        </is>
      </c>
      <c r="J980" s="41" t="inlineStr">
        <is>
          <t xml:space="preserve">محمد حمدى </t>
        </is>
      </c>
      <c r="K980" s="41" t="inlineStr">
        <is>
          <t xml:space="preserve">محمد حمدى </t>
        </is>
      </c>
      <c r="L980" s="42" t="n">
        <v>18500</v>
      </c>
      <c r="M980" s="42" t="n">
        <v>10100</v>
      </c>
      <c r="N980" s="42" t="n"/>
      <c r="O980" s="42" t="n"/>
      <c r="P980" s="42" t="n"/>
      <c r="Q980" s="42" t="n">
        <v>8400</v>
      </c>
      <c r="R980" s="43">
        <f>IF($B980="","",N($S980)-N($Q980))</f>
        <v/>
      </c>
      <c r="S980" s="43">
        <f>IF($B980="","",N($L980)+N($N980)+N($P980))</f>
        <v/>
      </c>
      <c r="T980" s="42" t="n"/>
      <c r="U980" s="42" t="n"/>
      <c r="V980" s="42" t="n"/>
      <c r="W980" s="42" t="n"/>
      <c r="X980" s="42" t="n"/>
      <c r="Y980" s="42" t="n"/>
      <c r="Z980" s="42" t="n"/>
      <c r="AA980" s="42" t="n"/>
      <c r="AB980" s="42" t="n"/>
      <c r="AC980" s="42" t="n"/>
      <c r="AD980" s="42" t="n"/>
      <c r="AE980" s="42" t="n"/>
      <c r="AF980" s="43">
        <f>IF($B980="","",SUM($T980:$AE980))</f>
        <v/>
      </c>
      <c r="AG980" s="43">
        <f>IF($B980="","",N($M980)-N($AF980))</f>
        <v/>
      </c>
      <c r="AH980" s="43">
        <f>IF($B980="","",N($L980)-N($AF980))</f>
        <v/>
      </c>
      <c r="AI980" s="149">
        <f>IF($B980="","",IF(N($L980)=0,"",(N($L980)-N($AF980))/N($L980)))</f>
        <v/>
      </c>
    </row>
    <row r="981">
      <c r="A981" s="39">
        <f>IF($B981="","",COUNTA($B$4:$B981))</f>
        <v/>
      </c>
      <c r="B981" s="45" t="n">
        <v>46135</v>
      </c>
      <c r="C981" s="46" t="n">
        <v>2511</v>
      </c>
      <c r="D981" s="46" t="inlineStr">
        <is>
          <t>الشريف خ</t>
        </is>
      </c>
      <c r="E981" s="46" t="inlineStr">
        <is>
          <t>1*40</t>
        </is>
      </c>
      <c r="F981" s="46" t="inlineStr">
        <is>
          <t>وادى الرياض</t>
        </is>
      </c>
      <c r="G981" s="46" t="inlineStr">
        <is>
          <t>الاسماعيليه</t>
        </is>
      </c>
      <c r="H981" s="46" t="inlineStr">
        <is>
          <t>518897/5</t>
        </is>
      </c>
      <c r="I981" s="46" t="inlineStr">
        <is>
          <t>ب ج ط 5138</t>
        </is>
      </c>
      <c r="J981" s="46" t="inlineStr">
        <is>
          <t xml:space="preserve">هانى نبيل </t>
        </is>
      </c>
      <c r="K981" s="46" t="inlineStr">
        <is>
          <t xml:space="preserve">اشرف الحجرى </t>
        </is>
      </c>
      <c r="L981" s="47" t="n">
        <v>18000</v>
      </c>
      <c r="M981" s="47" t="n">
        <v>8100</v>
      </c>
      <c r="N981" s="47" t="n"/>
      <c r="O981" s="47" t="n">
        <v>200</v>
      </c>
      <c r="P981" s="47" t="n"/>
      <c r="Q981" s="47" t="n">
        <v>9700</v>
      </c>
      <c r="R981" s="43">
        <f>IF($B981="","",N($S981)-N($Q981))</f>
        <v/>
      </c>
      <c r="S981" s="43">
        <f>IF($B981="","",N($L981)+N($N981)+N($P981))</f>
        <v/>
      </c>
      <c r="T981" s="47" t="n"/>
      <c r="U981" s="47" t="n"/>
      <c r="V981" s="47" t="n"/>
      <c r="W981" s="47" t="n"/>
      <c r="X981" s="47" t="n"/>
      <c r="Y981" s="47" t="n"/>
      <c r="Z981" s="47" t="n"/>
      <c r="AA981" s="47" t="n"/>
      <c r="AB981" s="47" t="n"/>
      <c r="AC981" s="47" t="n"/>
      <c r="AD981" s="47" t="n"/>
      <c r="AE981" s="47" t="n"/>
      <c r="AF981" s="43">
        <f>IF($B981="","",SUM($T981:$AE981))</f>
        <v/>
      </c>
      <c r="AG981" s="43">
        <f>IF($B981="","",N($M981)-N($AF981))</f>
        <v/>
      </c>
      <c r="AH981" s="43">
        <f>IF($B981="","",N($L981)-N($AF981))</f>
        <v/>
      </c>
      <c r="AI981" s="149">
        <f>IF($B981="","",IF(N($L981)=0,"",(N($L981)-N($AF981))/N($L981)))</f>
        <v/>
      </c>
    </row>
    <row r="982">
      <c r="A982" s="39">
        <f>IF($B982="","",COUNTA($B$4:$B982))</f>
        <v/>
      </c>
      <c r="B982" s="40" t="n">
        <v>46135</v>
      </c>
      <c r="C982" s="41" t="n">
        <v>2509</v>
      </c>
      <c r="D982" s="41" t="inlineStr">
        <is>
          <t>رامى رماح</t>
        </is>
      </c>
      <c r="E982" s="41" t="inlineStr">
        <is>
          <t>2*20</t>
        </is>
      </c>
      <c r="F982" s="41" t="inlineStr">
        <is>
          <t xml:space="preserve">السويدى بوليمرز </t>
        </is>
      </c>
      <c r="G982" s="41" t="inlineStr">
        <is>
          <t xml:space="preserve">العاشر </t>
        </is>
      </c>
      <c r="H982" s="41" t="inlineStr">
        <is>
          <t>283121/4-251452/9</t>
        </is>
      </c>
      <c r="I982" s="41" t="inlineStr">
        <is>
          <t>ب ص ا 7231</t>
        </is>
      </c>
      <c r="J982" s="41" t="inlineStr">
        <is>
          <t xml:space="preserve">احمد بلتاجى </t>
        </is>
      </c>
      <c r="K982" s="41" t="inlineStr">
        <is>
          <t xml:space="preserve">احمد عباس </t>
        </is>
      </c>
      <c r="L982" s="42" t="n">
        <v>20500</v>
      </c>
      <c r="M982" s="42" t="n">
        <v>7100</v>
      </c>
      <c r="N982" s="42" t="n">
        <v>1100</v>
      </c>
      <c r="O982" s="42" t="n">
        <v>200</v>
      </c>
      <c r="P982" s="42" t="n"/>
      <c r="Q982" s="42" t="n">
        <v>12100</v>
      </c>
      <c r="R982" s="43">
        <f>IF($B982="","",N($S982)-N($Q982))</f>
        <v/>
      </c>
      <c r="S982" s="43">
        <f>IF($B982="","",N($L982)+N($N982)+N($P982))</f>
        <v/>
      </c>
      <c r="T982" s="42" t="n"/>
      <c r="U982" s="42" t="n"/>
      <c r="V982" s="42" t="n"/>
      <c r="W982" s="42" t="n"/>
      <c r="X982" s="42" t="n"/>
      <c r="Y982" s="42" t="n"/>
      <c r="Z982" s="42" t="n"/>
      <c r="AA982" s="42" t="n"/>
      <c r="AB982" s="42" t="n"/>
      <c r="AC982" s="42" t="n"/>
      <c r="AD982" s="42" t="n"/>
      <c r="AE982" s="42" t="n"/>
      <c r="AF982" s="43">
        <f>IF($B982="","",SUM($T982:$AE982))</f>
        <v/>
      </c>
      <c r="AG982" s="43">
        <f>IF($B982="","",N($M982)-N($AF982))</f>
        <v/>
      </c>
      <c r="AH982" s="43">
        <f>IF($B982="","",N($L982)-N($AF982))</f>
        <v/>
      </c>
      <c r="AI982" s="149">
        <f>IF($B982="","",IF(N($L982)=0,"",(N($L982)-N($AF982))/N($L982)))</f>
        <v/>
      </c>
    </row>
    <row r="983">
      <c r="A983" s="39">
        <f>IF($B983="","",COUNTA($B$4:$B983))</f>
        <v/>
      </c>
      <c r="B983" s="45" t="n">
        <v>46135</v>
      </c>
      <c r="C983" s="46" t="n">
        <v>2647</v>
      </c>
      <c r="D983" s="46" t="inlineStr">
        <is>
          <t>حماد خ</t>
        </is>
      </c>
      <c r="E983" s="46" t="inlineStr">
        <is>
          <t>1*40</t>
        </is>
      </c>
      <c r="F983" s="46" t="inlineStr">
        <is>
          <t xml:space="preserve">البستانية </t>
        </is>
      </c>
      <c r="G983" s="46" t="inlineStr">
        <is>
          <t xml:space="preserve">السادات </t>
        </is>
      </c>
      <c r="H983" s="46" t="inlineStr">
        <is>
          <t>725123/2</t>
        </is>
      </c>
      <c r="I983" s="46" t="inlineStr">
        <is>
          <t>س ل ب 5917</t>
        </is>
      </c>
      <c r="J983" s="46" t="inlineStr">
        <is>
          <t xml:space="preserve">محمد ابراهيم </t>
        </is>
      </c>
      <c r="K983" s="46" t="inlineStr">
        <is>
          <t xml:space="preserve">علاء علام </t>
        </is>
      </c>
      <c r="L983" s="47" t="n">
        <v>12800</v>
      </c>
      <c r="M983" s="47" t="n">
        <v>8100</v>
      </c>
      <c r="N983" s="47" t="n"/>
      <c r="O983" s="47" t="n">
        <v>200</v>
      </c>
      <c r="P983" s="47" t="n"/>
      <c r="Q983" s="47" t="n">
        <v>4500</v>
      </c>
      <c r="R983" s="43">
        <f>IF($B983="","",N($S983)-N($Q983))</f>
        <v/>
      </c>
      <c r="S983" s="43">
        <f>IF($B983="","",N($L983)+N($N983)+N($P983))</f>
        <v/>
      </c>
      <c r="T983" s="47" t="n"/>
      <c r="U983" s="47" t="n"/>
      <c r="V983" s="47" t="n"/>
      <c r="W983" s="47" t="n"/>
      <c r="X983" s="47" t="n"/>
      <c r="Y983" s="47" t="n"/>
      <c r="Z983" s="47" t="n"/>
      <c r="AA983" s="47" t="n"/>
      <c r="AB983" s="47" t="n"/>
      <c r="AC983" s="47" t="n"/>
      <c r="AD983" s="47" t="n"/>
      <c r="AE983" s="47" t="n"/>
      <c r="AF983" s="43">
        <f>IF($B983="","",SUM($T983:$AE983))</f>
        <v/>
      </c>
      <c r="AG983" s="43">
        <f>IF($B983="","",N($M983)-N($AF983))</f>
        <v/>
      </c>
      <c r="AH983" s="43">
        <f>IF($B983="","",N($L983)-N($AF983))</f>
        <v/>
      </c>
      <c r="AI983" s="149">
        <f>IF($B983="","",IF(N($L983)=0,"",(N($L983)-N($AF983))/N($L983)))</f>
        <v/>
      </c>
    </row>
    <row r="984">
      <c r="A984" s="39">
        <f>IF($B984="","",COUNTA($B$4:$B984))</f>
        <v/>
      </c>
      <c r="B984" s="40" t="n">
        <v>46135</v>
      </c>
      <c r="C984" s="41" t="n">
        <v>2648</v>
      </c>
      <c r="D984" s="41" t="inlineStr">
        <is>
          <t>رجب عبد العال</t>
        </is>
      </c>
      <c r="E984" s="41" t="inlineStr">
        <is>
          <t>1*40</t>
        </is>
      </c>
      <c r="F984" s="41" t="inlineStr">
        <is>
          <t xml:space="preserve">البستانية </t>
        </is>
      </c>
      <c r="G984" s="41" t="inlineStr">
        <is>
          <t xml:space="preserve">السادات </t>
        </is>
      </c>
      <c r="H984" s="41" t="inlineStr">
        <is>
          <t>675152/0</t>
        </is>
      </c>
      <c r="I984" s="41" t="inlineStr">
        <is>
          <t>س ل ى 8432</t>
        </is>
      </c>
      <c r="J984" s="41" t="inlineStr">
        <is>
          <t>طارق الجمل</t>
        </is>
      </c>
      <c r="K984" s="41" t="inlineStr">
        <is>
          <t xml:space="preserve">طارق الجمل </t>
        </is>
      </c>
      <c r="L984" s="42" t="n">
        <v>12800</v>
      </c>
      <c r="M984" s="42" t="n">
        <v>8100</v>
      </c>
      <c r="N984" s="42" t="n"/>
      <c r="O984" s="42" t="n">
        <v>200</v>
      </c>
      <c r="P984" s="42" t="n"/>
      <c r="Q984" s="42" t="n">
        <v>4500</v>
      </c>
      <c r="R984" s="43">
        <f>IF($B984="","",N($S984)-N($Q984))</f>
        <v/>
      </c>
      <c r="S984" s="43">
        <f>IF($B984="","",N($L984)+N($N984)+N($P984))</f>
        <v/>
      </c>
      <c r="T984" s="42" t="n"/>
      <c r="U984" s="42" t="n"/>
      <c r="V984" s="42" t="n"/>
      <c r="W984" s="42" t="n"/>
      <c r="X984" s="42" t="n"/>
      <c r="Y984" s="42" t="n"/>
      <c r="Z984" s="42" t="n"/>
      <c r="AA984" s="42" t="n"/>
      <c r="AB984" s="42" t="n"/>
      <c r="AC984" s="42" t="n"/>
      <c r="AD984" s="42" t="n"/>
      <c r="AE984" s="42" t="n"/>
      <c r="AF984" s="43">
        <f>IF($B984="","",SUM($T984:$AE984))</f>
        <v/>
      </c>
      <c r="AG984" s="43">
        <f>IF($B984="","",N($M984)-N($AF984))</f>
        <v/>
      </c>
      <c r="AH984" s="43">
        <f>IF($B984="","",N($L984)-N($AF984))</f>
        <v/>
      </c>
      <c r="AI984" s="149">
        <f>IF($B984="","",IF(N($L984)=0,"",(N($L984)-N($AF984))/N($L984)))</f>
        <v/>
      </c>
    </row>
    <row r="985">
      <c r="A985" s="39">
        <f>IF($B985="","",COUNTA($B$4:$B985))</f>
        <v/>
      </c>
      <c r="B985" s="45" t="n">
        <v>46135</v>
      </c>
      <c r="C985" s="46" t="n">
        <v>2649</v>
      </c>
      <c r="D985" s="46" t="inlineStr">
        <is>
          <t xml:space="preserve">الانصارى </t>
        </is>
      </c>
      <c r="E985" s="46" t="inlineStr">
        <is>
          <t>1*40</t>
        </is>
      </c>
      <c r="F985" s="46" t="inlineStr">
        <is>
          <t xml:space="preserve">البستانية </t>
        </is>
      </c>
      <c r="G985" s="46" t="inlineStr">
        <is>
          <t xml:space="preserve">السادات </t>
        </is>
      </c>
      <c r="H985" s="46" t="inlineStr">
        <is>
          <t>774930/0</t>
        </is>
      </c>
      <c r="I985" s="46" t="inlineStr">
        <is>
          <t>ط ف ر 1474</t>
        </is>
      </c>
      <c r="J985" s="46" t="inlineStr">
        <is>
          <t xml:space="preserve">جمال على </t>
        </is>
      </c>
      <c r="K985" s="46" t="inlineStr">
        <is>
          <t xml:space="preserve">كريم خليف </t>
        </is>
      </c>
      <c r="L985" s="47" t="n">
        <v>12500</v>
      </c>
      <c r="M985" s="47" t="n">
        <v>8100</v>
      </c>
      <c r="N985" s="47" t="n"/>
      <c r="O985" s="47" t="n">
        <v>200</v>
      </c>
      <c r="P985" s="47" t="n"/>
      <c r="Q985" s="47" t="n">
        <v>4200</v>
      </c>
      <c r="R985" s="43">
        <f>IF($B985="","",N($S985)-N($Q985))</f>
        <v/>
      </c>
      <c r="S985" s="43">
        <f>IF($B985="","",N($L985)+N($N985)+N($P985))</f>
        <v/>
      </c>
      <c r="T985" s="47" t="n"/>
      <c r="U985" s="47" t="n"/>
      <c r="V985" s="47" t="n"/>
      <c r="W985" s="47" t="n"/>
      <c r="X985" s="47" t="n"/>
      <c r="Y985" s="47" t="n"/>
      <c r="Z985" s="47" t="n"/>
      <c r="AA985" s="47" t="n"/>
      <c r="AB985" s="47" t="n"/>
      <c r="AC985" s="47" t="n"/>
      <c r="AD985" s="47" t="n"/>
      <c r="AE985" s="47" t="n"/>
      <c r="AF985" s="43">
        <f>IF($B985="","",SUM($T985:$AE985))</f>
        <v/>
      </c>
      <c r="AG985" s="43">
        <f>IF($B985="","",N($M985)-N($AF985))</f>
        <v/>
      </c>
      <c r="AH985" s="43">
        <f>IF($B985="","",N($L985)-N($AF985))</f>
        <v/>
      </c>
      <c r="AI985" s="149">
        <f>IF($B985="","",IF(N($L985)=0,"",(N($L985)-N($AF985))/N($L985)))</f>
        <v/>
      </c>
    </row>
    <row r="986">
      <c r="A986" s="39">
        <f>IF($B986="","",COUNTA($B$4:$B986))</f>
        <v/>
      </c>
      <c r="B986" s="40" t="n">
        <v>46135</v>
      </c>
      <c r="C986" s="41" t="n">
        <v>2650</v>
      </c>
      <c r="D986" s="41" t="inlineStr">
        <is>
          <t xml:space="preserve">محمد يحى </t>
        </is>
      </c>
      <c r="E986" s="41" t="inlineStr">
        <is>
          <t>1*40</t>
        </is>
      </c>
      <c r="F986" s="41" t="inlineStr">
        <is>
          <t xml:space="preserve">البستانية </t>
        </is>
      </c>
      <c r="G986" s="41" t="inlineStr">
        <is>
          <t xml:space="preserve">السادات </t>
        </is>
      </c>
      <c r="H986" s="41" t="inlineStr">
        <is>
          <t>786889/2</t>
        </is>
      </c>
      <c r="I986" s="41" t="inlineStr">
        <is>
          <t>ع ر ب 1573</t>
        </is>
      </c>
      <c r="J986" s="41" t="inlineStr">
        <is>
          <t xml:space="preserve">محمد السيد </t>
        </is>
      </c>
      <c r="K986" s="41" t="inlineStr">
        <is>
          <t xml:space="preserve">حمو مرزوق </t>
        </is>
      </c>
      <c r="L986" s="42" t="n">
        <v>12500</v>
      </c>
      <c r="M986" s="42" t="n">
        <v>9100</v>
      </c>
      <c r="N986" s="42" t="n"/>
      <c r="O986" s="42" t="n">
        <v>200</v>
      </c>
      <c r="P986" s="42" t="n"/>
      <c r="Q986" s="42" t="n">
        <v>3200</v>
      </c>
      <c r="R986" s="43">
        <f>IF($B986="","",N($S986)-N($Q986))</f>
        <v/>
      </c>
      <c r="S986" s="43">
        <f>IF($B986="","",N($L986)+N($N986)+N($P986))</f>
        <v/>
      </c>
      <c r="T986" s="42" t="n"/>
      <c r="U986" s="42" t="n"/>
      <c r="V986" s="42" t="n"/>
      <c r="W986" s="42" t="n"/>
      <c r="X986" s="42" t="n"/>
      <c r="Y986" s="42" t="n"/>
      <c r="Z986" s="42" t="n"/>
      <c r="AA986" s="42" t="n"/>
      <c r="AB986" s="42" t="n"/>
      <c r="AC986" s="42" t="n"/>
      <c r="AD986" s="42" t="n"/>
      <c r="AE986" s="42" t="n"/>
      <c r="AF986" s="43">
        <f>IF($B986="","",SUM($T986:$AE986))</f>
        <v/>
      </c>
      <c r="AG986" s="43">
        <f>IF($B986="","",N($M986)-N($AF986))</f>
        <v/>
      </c>
      <c r="AH986" s="43">
        <f>IF($B986="","",N($L986)-N($AF986))</f>
        <v/>
      </c>
      <c r="AI986" s="149">
        <f>IF($B986="","",IF(N($L986)=0,"",(N($L986)-N($AF986))/N($L986)))</f>
        <v/>
      </c>
    </row>
    <row r="987">
      <c r="A987" s="39">
        <f>IF($B987="","",COUNTA($B$4:$B987))</f>
        <v/>
      </c>
      <c r="B987" s="45" t="n">
        <v>46135</v>
      </c>
      <c r="C987" s="46" t="n">
        <v>2662</v>
      </c>
      <c r="D987" s="46" t="inlineStr">
        <is>
          <t xml:space="preserve">محمد يحى </t>
        </is>
      </c>
      <c r="E987" s="46" t="inlineStr">
        <is>
          <t>1*40</t>
        </is>
      </c>
      <c r="F987" s="46" t="inlineStr">
        <is>
          <t xml:space="preserve">البستانية </t>
        </is>
      </c>
      <c r="G987" s="46" t="inlineStr">
        <is>
          <t xml:space="preserve">السادات </t>
        </is>
      </c>
      <c r="H987" s="46" t="inlineStr">
        <is>
          <t>794406/1</t>
        </is>
      </c>
      <c r="I987" s="46" t="inlineStr">
        <is>
          <t>س ر ا 6671</t>
        </is>
      </c>
      <c r="J987" s="46" t="inlineStr">
        <is>
          <t xml:space="preserve">احمد الحسينى </t>
        </is>
      </c>
      <c r="K987" s="46" t="inlineStr">
        <is>
          <t xml:space="preserve">حمو مرزوق </t>
        </is>
      </c>
      <c r="L987" s="47" t="n">
        <v>12500</v>
      </c>
      <c r="M987" s="47" t="n">
        <v>9100</v>
      </c>
      <c r="N987" s="47" t="n"/>
      <c r="O987" s="47" t="n">
        <v>200</v>
      </c>
      <c r="P987" s="47" t="n"/>
      <c r="Q987" s="47" t="n">
        <v>3200</v>
      </c>
      <c r="R987" s="43">
        <f>IF($B987="","",N($S987)-N($Q987))</f>
        <v/>
      </c>
      <c r="S987" s="43">
        <f>IF($B987="","",N($L987)+N($N987)+N($P987))</f>
        <v/>
      </c>
      <c r="T987" s="47" t="n"/>
      <c r="U987" s="47" t="n"/>
      <c r="V987" s="47" t="n"/>
      <c r="W987" s="47" t="n"/>
      <c r="X987" s="47" t="n"/>
      <c r="Y987" s="47" t="n"/>
      <c r="Z987" s="47" t="n"/>
      <c r="AA987" s="47" t="n"/>
      <c r="AB987" s="47" t="n"/>
      <c r="AC987" s="47" t="n"/>
      <c r="AD987" s="47" t="n"/>
      <c r="AE987" s="47" t="n"/>
      <c r="AF987" s="43">
        <f>IF($B987="","",SUM($T987:$AE987))</f>
        <v/>
      </c>
      <c r="AG987" s="43">
        <f>IF($B987="","",N($M987)-N($AF987))</f>
        <v/>
      </c>
      <c r="AH987" s="43">
        <f>IF($B987="","",N($L987)-N($AF987))</f>
        <v/>
      </c>
      <c r="AI987" s="149">
        <f>IF($B987="","",IF(N($L987)=0,"",(N($L987)-N($AF987))/N($L987)))</f>
        <v/>
      </c>
    </row>
    <row r="988">
      <c r="A988" s="39">
        <f>IF($B988="","",COUNTA($B$4:$B988))</f>
        <v/>
      </c>
      <c r="B988" s="40" t="n">
        <v>46135</v>
      </c>
      <c r="C988" s="41" t="n">
        <v>2645</v>
      </c>
      <c r="D988" s="41" t="inlineStr">
        <is>
          <t xml:space="preserve">استوريا </t>
        </is>
      </c>
      <c r="E988" s="41" t="inlineStr">
        <is>
          <t>1*40</t>
        </is>
      </c>
      <c r="F988" s="41" t="inlineStr">
        <is>
          <t xml:space="preserve">اورينت </t>
        </is>
      </c>
      <c r="G988" s="41" t="inlineStr">
        <is>
          <t xml:space="preserve">العاشر </t>
        </is>
      </c>
      <c r="H988" s="41" t="inlineStr">
        <is>
          <t>647041/0</t>
        </is>
      </c>
      <c r="I988" s="41" t="inlineStr">
        <is>
          <t>ب و ا 3126</t>
        </is>
      </c>
      <c r="J988" s="41" t="inlineStr">
        <is>
          <t xml:space="preserve">احمد السيد </t>
        </is>
      </c>
      <c r="K988" s="41" t="inlineStr">
        <is>
          <t>استوريا</t>
        </is>
      </c>
      <c r="L988" s="42" t="n">
        <v>15500</v>
      </c>
      <c r="M988" s="42" t="n">
        <v>8100</v>
      </c>
      <c r="N988" s="42" t="n"/>
      <c r="O988" s="42" t="n">
        <v>200</v>
      </c>
      <c r="P988" s="42" t="n"/>
      <c r="Q988" s="42" t="n">
        <v>7200</v>
      </c>
      <c r="R988" s="43">
        <f>IF($B988="","",N($S988)-N($Q988))</f>
        <v/>
      </c>
      <c r="S988" s="43">
        <f>IF($B988="","",N($L988)+N($N988)+N($P988))</f>
        <v/>
      </c>
      <c r="T988" s="42" t="n"/>
      <c r="U988" s="42" t="n"/>
      <c r="V988" s="42" t="n"/>
      <c r="W988" s="42" t="n"/>
      <c r="X988" s="42" t="n"/>
      <c r="Y988" s="42" t="n"/>
      <c r="Z988" s="42" t="n"/>
      <c r="AA988" s="42" t="n"/>
      <c r="AB988" s="42" t="n"/>
      <c r="AC988" s="42" t="n"/>
      <c r="AD988" s="42" t="n"/>
      <c r="AE988" s="42" t="n"/>
      <c r="AF988" s="43">
        <f>IF($B988="","",SUM($T988:$AE988))</f>
        <v/>
      </c>
      <c r="AG988" s="43">
        <f>IF($B988="","",N($M988)-N($AF988))</f>
        <v/>
      </c>
      <c r="AH988" s="43">
        <f>IF($B988="","",N($L988)-N($AF988))</f>
        <v/>
      </c>
      <c r="AI988" s="149">
        <f>IF($B988="","",IF(N($L988)=0,"",(N($L988)-N($AF988))/N($L988)))</f>
        <v/>
      </c>
    </row>
    <row r="989">
      <c r="A989" s="39">
        <f>IF($B989="","",COUNTA($B$4:$B989))</f>
        <v/>
      </c>
      <c r="B989" s="45" t="n">
        <v>46135</v>
      </c>
      <c r="C989" s="46" t="n">
        <v>2646</v>
      </c>
      <c r="D989" s="46" t="inlineStr">
        <is>
          <t xml:space="preserve">استوريا </t>
        </is>
      </c>
      <c r="E989" s="46" t="inlineStr">
        <is>
          <t>1*40</t>
        </is>
      </c>
      <c r="F989" s="46" t="inlineStr">
        <is>
          <t xml:space="preserve">اورينت </t>
        </is>
      </c>
      <c r="G989" s="46" t="inlineStr">
        <is>
          <t xml:space="preserve">العاشر </t>
        </is>
      </c>
      <c r="H989" s="46" t="inlineStr">
        <is>
          <t>402679/8</t>
        </is>
      </c>
      <c r="I989" s="46" t="inlineStr">
        <is>
          <t>ص ع ا 5139</t>
        </is>
      </c>
      <c r="J989" s="46" t="inlineStr">
        <is>
          <t xml:space="preserve">السيد شحاتة </t>
        </is>
      </c>
      <c r="K989" s="46" t="inlineStr">
        <is>
          <t>استوريا</t>
        </is>
      </c>
      <c r="L989" s="47" t="n">
        <v>15500</v>
      </c>
      <c r="M989" s="47" t="n">
        <v>8100</v>
      </c>
      <c r="N989" s="47" t="n"/>
      <c r="O989" s="47" t="n">
        <v>200</v>
      </c>
      <c r="P989" s="47" t="n"/>
      <c r="Q989" s="47" t="n">
        <v>7200</v>
      </c>
      <c r="R989" s="43">
        <f>IF($B989="","",N($S989)-N($Q989))</f>
        <v/>
      </c>
      <c r="S989" s="43">
        <f>IF($B989="","",N($L989)+N($N989)+N($P989))</f>
        <v/>
      </c>
      <c r="T989" s="47" t="n"/>
      <c r="U989" s="47" t="n"/>
      <c r="V989" s="47" t="n"/>
      <c r="W989" s="47" t="n"/>
      <c r="X989" s="47" t="n"/>
      <c r="Y989" s="47" t="n"/>
      <c r="Z989" s="47" t="n"/>
      <c r="AA989" s="47" t="n"/>
      <c r="AB989" s="47" t="n"/>
      <c r="AC989" s="47" t="n"/>
      <c r="AD989" s="47" t="n"/>
      <c r="AE989" s="47" t="n"/>
      <c r="AF989" s="43">
        <f>IF($B989="","",SUM($T989:$AE989))</f>
        <v/>
      </c>
      <c r="AG989" s="43">
        <f>IF($B989="","",N($M989)-N($AF989))</f>
        <v/>
      </c>
      <c r="AH989" s="43">
        <f>IF($B989="","",N($L989)-N($AF989))</f>
        <v/>
      </c>
      <c r="AI989" s="149">
        <f>IF($B989="","",IF(N($L989)=0,"",(N($L989)-N($AF989))/N($L989)))</f>
        <v/>
      </c>
    </row>
    <row r="990">
      <c r="A990" s="39">
        <f>IF($B990="","",COUNTA($B$4:$B990))</f>
        <v/>
      </c>
      <c r="B990" s="40" t="n">
        <v>46135</v>
      </c>
      <c r="C990" s="41" t="n">
        <v>2644</v>
      </c>
      <c r="D990" s="41" t="inlineStr">
        <is>
          <t xml:space="preserve">استوريا </t>
        </is>
      </c>
      <c r="E990" s="41" t="inlineStr">
        <is>
          <t>1*40</t>
        </is>
      </c>
      <c r="F990" s="41" t="inlineStr">
        <is>
          <t xml:space="preserve">اورينت </t>
        </is>
      </c>
      <c r="G990" s="41" t="inlineStr">
        <is>
          <t xml:space="preserve">العااشر </t>
        </is>
      </c>
      <c r="H990" s="41" t="inlineStr">
        <is>
          <t>831651/1</t>
        </is>
      </c>
      <c r="I990" s="41" t="inlineStr">
        <is>
          <t>ب د ن 5486</t>
        </is>
      </c>
      <c r="J990" s="41" t="inlineStr">
        <is>
          <t xml:space="preserve">هيثم عاطف </t>
        </is>
      </c>
      <c r="K990" s="41" t="inlineStr">
        <is>
          <t>استوريا</t>
        </is>
      </c>
      <c r="L990" s="42" t="n">
        <v>15500</v>
      </c>
      <c r="M990" s="42" t="n">
        <v>8100</v>
      </c>
      <c r="N990" s="42" t="n"/>
      <c r="O990" s="42" t="n">
        <v>200</v>
      </c>
      <c r="P990" s="42" t="n"/>
      <c r="Q990" s="42" t="n">
        <v>7200</v>
      </c>
      <c r="R990" s="43">
        <f>IF($B990="","",N($S990)-N($Q990))</f>
        <v/>
      </c>
      <c r="S990" s="43">
        <f>IF($B990="","",N($L990)+N($N990)+N($P990))</f>
        <v/>
      </c>
      <c r="T990" s="42" t="n"/>
      <c r="U990" s="42" t="n"/>
      <c r="V990" s="42" t="n"/>
      <c r="W990" s="42" t="n"/>
      <c r="X990" s="42" t="n"/>
      <c r="Y990" s="42" t="n"/>
      <c r="Z990" s="42" t="n"/>
      <c r="AA990" s="42" t="n"/>
      <c r="AB990" s="42" t="n"/>
      <c r="AC990" s="42" t="n"/>
      <c r="AD990" s="42" t="n"/>
      <c r="AE990" s="42" t="n"/>
      <c r="AF990" s="43">
        <f>IF($B990="","",SUM($T990:$AE990))</f>
        <v/>
      </c>
      <c r="AG990" s="43">
        <f>IF($B990="","",N($M990)-N($AF990))</f>
        <v/>
      </c>
      <c r="AH990" s="43">
        <f>IF($B990="","",N($L990)-N($AF990))</f>
        <v/>
      </c>
      <c r="AI990" s="149">
        <f>IF($B990="","",IF(N($L990)=0,"",(N($L990)-N($AF990))/N($L990)))</f>
        <v/>
      </c>
    </row>
    <row r="991">
      <c r="A991" s="39">
        <f>IF($B991="","",COUNTA($B$4:$B991))</f>
        <v/>
      </c>
      <c r="B991" s="45" t="n">
        <v>46135</v>
      </c>
      <c r="C991" s="46" t="n">
        <v>2802</v>
      </c>
      <c r="D991" s="46" t="inlineStr">
        <is>
          <t xml:space="preserve">محمد يحى </t>
        </is>
      </c>
      <c r="E991" s="46" t="inlineStr">
        <is>
          <t>1*40</t>
        </is>
      </c>
      <c r="F991" s="46" t="inlineStr">
        <is>
          <t xml:space="preserve">مينترا </t>
        </is>
      </c>
      <c r="G991" s="46" t="inlineStr">
        <is>
          <t>م نصر</t>
        </is>
      </c>
      <c r="H991" s="46" t="n"/>
      <c r="I991" s="46" t="inlineStr">
        <is>
          <t>ع ر ب 1573</t>
        </is>
      </c>
      <c r="J991" s="46" t="inlineStr">
        <is>
          <t xml:space="preserve">محمد السيد </t>
        </is>
      </c>
      <c r="K991" s="46" t="inlineStr">
        <is>
          <t xml:space="preserve">حمو مرزوق </t>
        </is>
      </c>
      <c r="L991" s="47" t="n">
        <v>24000</v>
      </c>
      <c r="M991" s="47" t="n">
        <v>10100</v>
      </c>
      <c r="N991" s="47" t="n"/>
      <c r="O991" s="47" t="n">
        <v>200</v>
      </c>
      <c r="P991" s="47" t="n"/>
      <c r="Q991" s="47" t="n">
        <v>13700</v>
      </c>
      <c r="R991" s="43">
        <f>IF($B991="","",N($S991)-N($Q991))</f>
        <v/>
      </c>
      <c r="S991" s="43">
        <f>IF($B991="","",N($L991)+N($N991)+N($P991))</f>
        <v/>
      </c>
      <c r="T991" s="47" t="n"/>
      <c r="U991" s="47" t="n"/>
      <c r="V991" s="47" t="n"/>
      <c r="W991" s="47" t="n"/>
      <c r="X991" s="47" t="n"/>
      <c r="Y991" s="47" t="n"/>
      <c r="Z991" s="47" t="n"/>
      <c r="AA991" s="47" t="n"/>
      <c r="AB991" s="47" t="n"/>
      <c r="AC991" s="47" t="n"/>
      <c r="AD991" s="47" t="n"/>
      <c r="AE991" s="47" t="n"/>
      <c r="AF991" s="43">
        <f>IF($B991="","",SUM($T991:$AE991))</f>
        <v/>
      </c>
      <c r="AG991" s="43">
        <f>IF($B991="","",N($M991)-N($AF991))</f>
        <v/>
      </c>
      <c r="AH991" s="43">
        <f>IF($B991="","",N($L991)-N($AF991))</f>
        <v/>
      </c>
      <c r="AI991" s="149">
        <f>IF($B991="","",IF(N($L991)=0,"",(N($L991)-N($AF991))/N($L991)))</f>
        <v/>
      </c>
    </row>
    <row r="992">
      <c r="A992" s="39">
        <f>IF($B992="","",COUNTA($B$4:$B992))</f>
        <v/>
      </c>
      <c r="B992" s="40" t="n">
        <v>46135</v>
      </c>
      <c r="C992" s="41" t="n">
        <v>2803</v>
      </c>
      <c r="D992" s="41" t="inlineStr">
        <is>
          <t xml:space="preserve">كمال رزق </t>
        </is>
      </c>
      <c r="E992" s="41" t="inlineStr">
        <is>
          <t>1*40</t>
        </is>
      </c>
      <c r="F992" s="41" t="inlineStr">
        <is>
          <t xml:space="preserve">نايلكس </t>
        </is>
      </c>
      <c r="G992" s="41" t="inlineStr">
        <is>
          <t xml:space="preserve">اكتوبر </t>
        </is>
      </c>
      <c r="H992" s="41" t="n"/>
      <c r="I992" s="41" t="inlineStr">
        <is>
          <t>س ن ر 8979</t>
        </is>
      </c>
      <c r="J992" s="41" t="inlineStr">
        <is>
          <t xml:space="preserve">عماد سعيد </t>
        </is>
      </c>
      <c r="K992" s="41" t="inlineStr">
        <is>
          <t xml:space="preserve">عماد سعيد </t>
        </is>
      </c>
      <c r="L992" s="42" t="n">
        <v>16000</v>
      </c>
      <c r="M992" s="42" t="n">
        <v>9100</v>
      </c>
      <c r="N992" s="42" t="n"/>
      <c r="O992" s="42" t="n">
        <v>200</v>
      </c>
      <c r="P992" s="42" t="n">
        <v>2500</v>
      </c>
      <c r="Q992" s="42" t="n">
        <v>9200</v>
      </c>
      <c r="R992" s="43">
        <f>IF($B992="","",N($S992)-N($Q992))</f>
        <v/>
      </c>
      <c r="S992" s="43">
        <f>IF($B992="","",N($L992)+N($N992)+N($P992))</f>
        <v/>
      </c>
      <c r="T992" s="42" t="n"/>
      <c r="U992" s="42" t="n"/>
      <c r="V992" s="42" t="n"/>
      <c r="W992" s="42" t="n"/>
      <c r="X992" s="42" t="n"/>
      <c r="Y992" s="42" t="n"/>
      <c r="Z992" s="42" t="n"/>
      <c r="AA992" s="42" t="n"/>
      <c r="AB992" s="42" t="n"/>
      <c r="AC992" s="42" t="n"/>
      <c r="AD992" s="42" t="n"/>
      <c r="AE992" s="42" t="n"/>
      <c r="AF992" s="43">
        <f>IF($B992="","",SUM($T992:$AE992))</f>
        <v/>
      </c>
      <c r="AG992" s="43">
        <f>IF($B992="","",N($M992)-N($AF992))</f>
        <v/>
      </c>
      <c r="AH992" s="43">
        <f>IF($B992="","",N($L992)-N($AF992))</f>
        <v/>
      </c>
      <c r="AI992" s="149">
        <f>IF($B992="","",IF(N($L992)=0,"",(N($L992)-N($AF992))/N($L992)))</f>
        <v/>
      </c>
    </row>
    <row r="993">
      <c r="A993" s="39">
        <f>IF($B993="","",COUNTA($B$4:$B993))</f>
        <v/>
      </c>
      <c r="B993" s="45" t="n">
        <v>46135</v>
      </c>
      <c r="C993" s="46" t="n">
        <v>2804</v>
      </c>
      <c r="D993" s="46" t="inlineStr">
        <is>
          <t xml:space="preserve">الانصارى </t>
        </is>
      </c>
      <c r="E993" s="46" t="inlineStr">
        <is>
          <t>1*40</t>
        </is>
      </c>
      <c r="F993" s="46" t="n"/>
      <c r="G993" s="46" t="inlineStr">
        <is>
          <t xml:space="preserve">العاشر </t>
        </is>
      </c>
      <c r="H993" s="46" t="n"/>
      <c r="I993" s="46" t="inlineStr">
        <is>
          <t>ب ص ا 2574</t>
        </is>
      </c>
      <c r="J993" s="46" t="inlineStr">
        <is>
          <t xml:space="preserve">محمد البحيرى </t>
        </is>
      </c>
      <c r="K993" s="46" t="inlineStr">
        <is>
          <t xml:space="preserve">احمد خليف </t>
        </is>
      </c>
      <c r="L993" s="47" t="n">
        <v>16000</v>
      </c>
      <c r="M993" s="47" t="n">
        <v>8100</v>
      </c>
      <c r="N993" s="47" t="n"/>
      <c r="O993" s="47" t="n">
        <v>200</v>
      </c>
      <c r="P993" s="47" t="n"/>
      <c r="Q993" s="47" t="n">
        <v>7700</v>
      </c>
      <c r="R993" s="43">
        <f>IF($B993="","",N($S993)-N($Q993))</f>
        <v/>
      </c>
      <c r="S993" s="43">
        <f>IF($B993="","",N($L993)+N($N993)+N($P993))</f>
        <v/>
      </c>
      <c r="T993" s="47" t="n"/>
      <c r="U993" s="47" t="n"/>
      <c r="V993" s="47" t="n"/>
      <c r="W993" s="47" t="n"/>
      <c r="X993" s="47" t="n"/>
      <c r="Y993" s="47" t="n"/>
      <c r="Z993" s="47" t="n"/>
      <c r="AA993" s="47" t="n"/>
      <c r="AB993" s="47" t="n"/>
      <c r="AC993" s="47" t="n"/>
      <c r="AD993" s="47" t="n"/>
      <c r="AE993" s="47" t="n"/>
      <c r="AF993" s="43">
        <f>IF($B993="","",SUM($T993:$AE993))</f>
        <v/>
      </c>
      <c r="AG993" s="43">
        <f>IF($B993="","",N($M993)-N($AF993))</f>
        <v/>
      </c>
      <c r="AH993" s="43">
        <f>IF($B993="","",N($L993)-N($AF993))</f>
        <v/>
      </c>
      <c r="AI993" s="149">
        <f>IF($B993="","",IF(N($L993)=0,"",(N($L993)-N($AF993))/N($L993)))</f>
        <v/>
      </c>
    </row>
    <row r="994">
      <c r="A994" s="39">
        <f>IF($B994="","",COUNTA($B$4:$B994))</f>
        <v/>
      </c>
      <c r="B994" s="40" t="n">
        <v>46135</v>
      </c>
      <c r="C994" s="41" t="n">
        <v>2339</v>
      </c>
      <c r="D994" s="41" t="inlineStr">
        <is>
          <t>المكتب</t>
        </is>
      </c>
      <c r="E994" s="41" t="inlineStr">
        <is>
          <t>1*40</t>
        </is>
      </c>
      <c r="F994" s="41" t="inlineStr">
        <is>
          <t xml:space="preserve">بيوند هوريزون </t>
        </is>
      </c>
      <c r="G994" s="41" t="inlineStr">
        <is>
          <t xml:space="preserve">الاقصر </t>
        </is>
      </c>
      <c r="H994" s="41" t="inlineStr">
        <is>
          <t>44176/4</t>
        </is>
      </c>
      <c r="I994" s="41" t="inlineStr">
        <is>
          <t>س ع م 8737</t>
        </is>
      </c>
      <c r="J994" s="41" t="inlineStr">
        <is>
          <t xml:space="preserve">جلال حسنى </t>
        </is>
      </c>
      <c r="K994" s="41" t="inlineStr">
        <is>
          <t xml:space="preserve">المكتب </t>
        </is>
      </c>
      <c r="L994" s="42" t="n">
        <v>40000</v>
      </c>
      <c r="M994" s="42" t="n">
        <v>6000</v>
      </c>
      <c r="N994" s="42" t="n"/>
      <c r="O994" s="42" t="n"/>
      <c r="P994" s="42" t="n"/>
      <c r="Q994" s="42" t="n">
        <v>34000</v>
      </c>
      <c r="R994" s="43">
        <f>IF($B994="","",N($S994)-N($Q994))</f>
        <v/>
      </c>
      <c r="S994" s="43">
        <f>IF($B994="","",N($L994)+N($N994)+N($P994))</f>
        <v/>
      </c>
      <c r="T994" s="42" t="n"/>
      <c r="U994" s="42" t="n"/>
      <c r="V994" s="42" t="n"/>
      <c r="W994" s="42" t="n"/>
      <c r="X994" s="42" t="n"/>
      <c r="Y994" s="42" t="n"/>
      <c r="Z994" s="42" t="n"/>
      <c r="AA994" s="42" t="n"/>
      <c r="AB994" s="42" t="n"/>
      <c r="AC994" s="42" t="n"/>
      <c r="AD994" s="42" t="n"/>
      <c r="AE994" s="42" t="n"/>
      <c r="AF994" s="43">
        <f>IF($B994="","",SUM($T994:$AE994))</f>
        <v/>
      </c>
      <c r="AG994" s="43">
        <f>IF($B994="","",N($M994)-N($AF994))</f>
        <v/>
      </c>
      <c r="AH994" s="43">
        <f>IF($B994="","",N($L994)-N($AF994))</f>
        <v/>
      </c>
      <c r="AI994" s="149">
        <f>IF($B994="","",IF(N($L994)=0,"",(N($L994)-N($AF994))/N($L994)))</f>
        <v/>
      </c>
    </row>
    <row r="995">
      <c r="A995" s="39">
        <f>IF($B995="","",COUNTA($B$4:$B995))</f>
        <v/>
      </c>
      <c r="B995" s="45" t="n">
        <v>46135</v>
      </c>
      <c r="C995" s="46" t="n">
        <v>2801</v>
      </c>
      <c r="D995" s="46" t="inlineStr">
        <is>
          <t xml:space="preserve">حاتم البحر </t>
        </is>
      </c>
      <c r="E995" s="46" t="inlineStr">
        <is>
          <t>1*20</t>
        </is>
      </c>
      <c r="F995" s="46" t="inlineStr">
        <is>
          <t xml:space="preserve">النخلة تكس </t>
        </is>
      </c>
      <c r="G995" s="46" t="inlineStr">
        <is>
          <t xml:space="preserve">العاشر </t>
        </is>
      </c>
      <c r="H995" s="46" t="n"/>
      <c r="I995" s="46" t="inlineStr">
        <is>
          <t>ب ن و 9621</t>
        </is>
      </c>
      <c r="J995" s="46" t="inlineStr">
        <is>
          <t xml:space="preserve">احمد نوار </t>
        </is>
      </c>
      <c r="K995" s="46" t="inlineStr">
        <is>
          <t>رومانى</t>
        </is>
      </c>
      <c r="L995" s="47" t="n">
        <v>15000</v>
      </c>
      <c r="M995" s="47" t="n">
        <v>7100</v>
      </c>
      <c r="N995" s="47" t="n"/>
      <c r="O995" s="47" t="n">
        <v>200</v>
      </c>
      <c r="P995" s="47" t="n"/>
      <c r="Q995" s="47" t="n">
        <v>7700</v>
      </c>
      <c r="R995" s="43">
        <f>IF($B995="","",N($S995)-N($Q995))</f>
        <v/>
      </c>
      <c r="S995" s="43">
        <f>IF($B995="","",N($L995)+N($N995)+N($P995))</f>
        <v/>
      </c>
      <c r="T995" s="47" t="n"/>
      <c r="U995" s="47" t="n"/>
      <c r="V995" s="47" t="n"/>
      <c r="W995" s="47" t="n"/>
      <c r="X995" s="47" t="n"/>
      <c r="Y995" s="47" t="n"/>
      <c r="Z995" s="47" t="n"/>
      <c r="AA995" s="47" t="n"/>
      <c r="AB995" s="47" t="n"/>
      <c r="AC995" s="47" t="n"/>
      <c r="AD995" s="47" t="n"/>
      <c r="AE995" s="47" t="n"/>
      <c r="AF995" s="43">
        <f>IF($B995="","",SUM($T995:$AE995))</f>
        <v/>
      </c>
      <c r="AG995" s="43">
        <f>IF($B995="","",N($M995)-N($AF995))</f>
        <v/>
      </c>
      <c r="AH995" s="43">
        <f>IF($B995="","",N($L995)-N($AF995))</f>
        <v/>
      </c>
      <c r="AI995" s="149">
        <f>IF($B995="","",IF(N($L995)=0,"",(N($L995)-N($AF995))/N($L995)))</f>
        <v/>
      </c>
    </row>
    <row r="996">
      <c r="A996" s="39">
        <f>IF($B996="","",COUNTA($B$4:$B996))</f>
        <v/>
      </c>
      <c r="B996" s="40" t="n">
        <v>46135</v>
      </c>
      <c r="C996" s="41" t="n">
        <v>2757</v>
      </c>
      <c r="D996" s="41" t="inlineStr">
        <is>
          <t xml:space="preserve">احمد عبدو </t>
        </is>
      </c>
      <c r="E996" s="41" t="inlineStr">
        <is>
          <t>1*40</t>
        </is>
      </c>
      <c r="F996" s="41" t="inlineStr">
        <is>
          <t xml:space="preserve">الريعى </t>
        </is>
      </c>
      <c r="G996" s="41" t="inlineStr">
        <is>
          <t xml:space="preserve">الشرقية </t>
        </is>
      </c>
      <c r="H996" s="41" t="inlineStr">
        <is>
          <t>416748/1</t>
        </is>
      </c>
      <c r="I996" s="41" t="inlineStr">
        <is>
          <t>ق و ب 6219</t>
        </is>
      </c>
      <c r="J996" s="41" t="inlineStr">
        <is>
          <t xml:space="preserve">محمد نجاح </t>
        </is>
      </c>
      <c r="K996" s="41" t="inlineStr">
        <is>
          <t xml:space="preserve">عصام كمونة </t>
        </is>
      </c>
      <c r="L996" s="42" t="n">
        <v>18500</v>
      </c>
      <c r="M996" s="42" t="n">
        <v>12100</v>
      </c>
      <c r="N996" s="42" t="n"/>
      <c r="O996" s="42" t="n">
        <v>200</v>
      </c>
      <c r="P996" s="42" t="n"/>
      <c r="Q996" s="42" t="n">
        <v>6200</v>
      </c>
      <c r="R996" s="43">
        <f>IF($B996="","",N($S996)-N($Q996))</f>
        <v/>
      </c>
      <c r="S996" s="43">
        <f>IF($B996="","",N($L996)+N($N996)+N($P996))</f>
        <v/>
      </c>
      <c r="T996" s="42" t="n"/>
      <c r="U996" s="42" t="n"/>
      <c r="V996" s="42" t="n"/>
      <c r="W996" s="42" t="n"/>
      <c r="X996" s="42" t="n"/>
      <c r="Y996" s="42" t="n"/>
      <c r="Z996" s="42" t="n"/>
      <c r="AA996" s="42" t="n"/>
      <c r="AB996" s="42" t="n"/>
      <c r="AC996" s="42" t="n"/>
      <c r="AD996" s="42" t="n"/>
      <c r="AE996" s="42" t="n"/>
      <c r="AF996" s="43">
        <f>IF($B996="","",SUM($T996:$AE996))</f>
        <v/>
      </c>
      <c r="AG996" s="43">
        <f>IF($B996="","",N($M996)-N($AF996))</f>
        <v/>
      </c>
      <c r="AH996" s="43">
        <f>IF($B996="","",N($L996)-N($AF996))</f>
        <v/>
      </c>
      <c r="AI996" s="149">
        <f>IF($B996="","",IF(N($L996)=0,"",(N($L996)-N($AF996))/N($L996)))</f>
        <v/>
      </c>
    </row>
    <row r="997">
      <c r="A997" s="39">
        <f>IF($B997="","",COUNTA($B$4:$B997))</f>
        <v/>
      </c>
      <c r="B997" s="45" t="n">
        <v>46135</v>
      </c>
      <c r="C997" s="46" t="n">
        <v>2758</v>
      </c>
      <c r="D997" s="46" t="inlineStr">
        <is>
          <t xml:space="preserve">احمد عبدو </t>
        </is>
      </c>
      <c r="E997" s="46" t="inlineStr">
        <is>
          <t>1*40</t>
        </is>
      </c>
      <c r="F997" s="46" t="inlineStr">
        <is>
          <t xml:space="preserve">الريعى </t>
        </is>
      </c>
      <c r="G997" s="46" t="inlineStr">
        <is>
          <t xml:space="preserve">الشرقية </t>
        </is>
      </c>
      <c r="H997" s="46" t="inlineStr">
        <is>
          <t>954015/6</t>
        </is>
      </c>
      <c r="I997" s="46" t="inlineStr">
        <is>
          <t>ق س ن 5236</t>
        </is>
      </c>
      <c r="J997" s="46" t="inlineStr">
        <is>
          <t xml:space="preserve">عصام كمونة </t>
        </is>
      </c>
      <c r="K997" s="46" t="inlineStr">
        <is>
          <t xml:space="preserve">عصام كمونة </t>
        </is>
      </c>
      <c r="L997" s="47" t="n">
        <v>18500</v>
      </c>
      <c r="M997" s="47" t="n">
        <v>12100</v>
      </c>
      <c r="N997" s="47" t="n"/>
      <c r="O997" s="47" t="n">
        <v>200</v>
      </c>
      <c r="P997" s="47" t="n"/>
      <c r="Q997" s="47" t="n">
        <v>6200</v>
      </c>
      <c r="R997" s="43">
        <f>IF($B997="","",N($S997)-N($Q997))</f>
        <v/>
      </c>
      <c r="S997" s="43">
        <f>IF($B997="","",N($L997)+N($N997)+N($P997))</f>
        <v/>
      </c>
      <c r="T997" s="47" t="n"/>
      <c r="U997" s="47" t="n"/>
      <c r="V997" s="47" t="n"/>
      <c r="W997" s="47" t="n"/>
      <c r="X997" s="47" t="n"/>
      <c r="Y997" s="47" t="n"/>
      <c r="Z997" s="47" t="n"/>
      <c r="AA997" s="47" t="n"/>
      <c r="AB997" s="47" t="n"/>
      <c r="AC997" s="47" t="n"/>
      <c r="AD997" s="47" t="n"/>
      <c r="AE997" s="47" t="n"/>
      <c r="AF997" s="43">
        <f>IF($B997="","",SUM($T997:$AE997))</f>
        <v/>
      </c>
      <c r="AG997" s="43">
        <f>IF($B997="","",N($M997)-N($AF997))</f>
        <v/>
      </c>
      <c r="AH997" s="43">
        <f>IF($B997="","",N($L997)-N($AF997))</f>
        <v/>
      </c>
      <c r="AI997" s="149">
        <f>IF($B997="","",IF(N($L997)=0,"",(N($L997)-N($AF997))/N($L997)))</f>
        <v/>
      </c>
    </row>
    <row r="998">
      <c r="A998" s="39">
        <f>IF($B998="","",COUNTA($B$4:$B998))</f>
        <v/>
      </c>
      <c r="B998" s="40" t="n">
        <v>46138</v>
      </c>
      <c r="C998" s="41" t="n">
        <v>2763</v>
      </c>
      <c r="D998" s="41" t="inlineStr">
        <is>
          <t>المكتب</t>
        </is>
      </c>
      <c r="E998" s="41" t="inlineStr">
        <is>
          <t>1*40</t>
        </is>
      </c>
      <c r="F998" s="41" t="inlineStr">
        <is>
          <t xml:space="preserve">جيمستون </t>
        </is>
      </c>
      <c r="G998" s="41" t="inlineStr">
        <is>
          <t xml:space="preserve">طنطا </t>
        </is>
      </c>
      <c r="H998" s="41" t="inlineStr">
        <is>
          <t>410023/9</t>
        </is>
      </c>
      <c r="I998" s="41" t="inlineStr">
        <is>
          <t>س ع م 8737</t>
        </is>
      </c>
      <c r="J998" s="41" t="inlineStr">
        <is>
          <t xml:space="preserve">احمد عوض </t>
        </is>
      </c>
      <c r="K998" s="41" t="inlineStr">
        <is>
          <t xml:space="preserve">المكتب </t>
        </is>
      </c>
      <c r="L998" s="42" t="n">
        <v>12500</v>
      </c>
      <c r="M998" s="42" t="n">
        <v>3000</v>
      </c>
      <c r="N998" s="42" t="n"/>
      <c r="O998" s="42" t="n"/>
      <c r="P998" s="42" t="n"/>
      <c r="Q998" s="42" t="n">
        <v>9500</v>
      </c>
      <c r="R998" s="43">
        <f>IF($B998="","",N($S998)-N($Q998))</f>
        <v/>
      </c>
      <c r="S998" s="43">
        <f>IF($B998="","",N($L998)+N($N998)+N($P998))</f>
        <v/>
      </c>
      <c r="T998" s="42" t="n"/>
      <c r="U998" s="42" t="n"/>
      <c r="V998" s="42" t="n"/>
      <c r="W998" s="42" t="n"/>
      <c r="X998" s="42" t="n"/>
      <c r="Y998" s="42" t="n"/>
      <c r="Z998" s="42" t="n"/>
      <c r="AA998" s="42" t="n"/>
      <c r="AB998" s="42" t="n"/>
      <c r="AC998" s="42" t="n"/>
      <c r="AD998" s="42" t="n"/>
      <c r="AE998" s="42" t="n"/>
      <c r="AF998" s="43">
        <f>IF($B998="","",SUM($T998:$AE998))</f>
        <v/>
      </c>
      <c r="AG998" s="43">
        <f>IF($B998="","",N($M998)-N($AF998))</f>
        <v/>
      </c>
      <c r="AH998" s="43">
        <f>IF($B998="","",N($L998)-N($AF998))</f>
        <v/>
      </c>
      <c r="AI998" s="149">
        <f>IF($B998="","",IF(N($L998)=0,"",(N($L998)-N($AF998))/N($L998)))</f>
        <v/>
      </c>
    </row>
    <row r="999">
      <c r="A999" s="39">
        <f>IF($B999="","",COUNTA($B$4:$B999))</f>
        <v/>
      </c>
      <c r="B999" s="45" t="n">
        <v>46138</v>
      </c>
      <c r="C999" s="46" t="n">
        <v>2664</v>
      </c>
      <c r="D999" s="46" t="inlineStr">
        <is>
          <t xml:space="preserve">محمد يحى </t>
        </is>
      </c>
      <c r="E999" s="46" t="inlineStr">
        <is>
          <t>1*40 ث</t>
        </is>
      </c>
      <c r="F999" s="46" t="inlineStr">
        <is>
          <t xml:space="preserve">جرين ميدوز </t>
        </is>
      </c>
      <c r="G999" s="46" t="inlineStr">
        <is>
          <t xml:space="preserve">اكتوبر </t>
        </is>
      </c>
      <c r="H999" s="46" t="inlineStr">
        <is>
          <t>906044/7</t>
        </is>
      </c>
      <c r="I999" s="46" t="inlineStr">
        <is>
          <t>س ر ا 6671</t>
        </is>
      </c>
      <c r="J999" s="46" t="inlineStr">
        <is>
          <t xml:space="preserve">احمد الحسينى </t>
        </is>
      </c>
      <c r="K999" s="46" t="inlineStr">
        <is>
          <t xml:space="preserve">حمو مرزوق </t>
        </is>
      </c>
      <c r="L999" s="47" t="n">
        <v>16000</v>
      </c>
      <c r="M999" s="47" t="n">
        <v>8100</v>
      </c>
      <c r="N999" s="47" t="n"/>
      <c r="O999" s="47" t="n">
        <v>200</v>
      </c>
      <c r="P999" s="47" t="n"/>
      <c r="Q999" s="47" t="n">
        <v>7700</v>
      </c>
      <c r="R999" s="43">
        <f>IF($B999="","",N($S999)-N($Q999))</f>
        <v/>
      </c>
      <c r="S999" s="43">
        <f>IF($B999="","",N($L999)+N($N999)+N($P999))</f>
        <v/>
      </c>
      <c r="T999" s="47" t="n"/>
      <c r="U999" s="47" t="n"/>
      <c r="V999" s="47" t="n"/>
      <c r="W999" s="47" t="n"/>
      <c r="X999" s="47" t="n"/>
      <c r="Y999" s="47" t="n"/>
      <c r="Z999" s="47" t="n"/>
      <c r="AA999" s="47" t="n"/>
      <c r="AB999" s="47" t="n"/>
      <c r="AC999" s="47" t="n"/>
      <c r="AD999" s="47" t="n"/>
      <c r="AE999" s="47" t="n"/>
      <c r="AF999" s="43">
        <f>IF($B999="","",SUM($T999:$AE999))</f>
        <v/>
      </c>
      <c r="AG999" s="43">
        <f>IF($B999="","",N($M999)-N($AF999))</f>
        <v/>
      </c>
      <c r="AH999" s="43">
        <f>IF($B999="","",N($L999)-N($AF999))</f>
        <v/>
      </c>
      <c r="AI999" s="149">
        <f>IF($B999="","",IF(N($L999)=0,"",(N($L999)-N($AF999))/N($L999)))</f>
        <v/>
      </c>
    </row>
    <row r="1000">
      <c r="A1000" s="39">
        <f>IF($B1000="","",COUNTA($B$4:$B1000))</f>
        <v/>
      </c>
      <c r="B1000" s="40" t="n">
        <v>46138</v>
      </c>
      <c r="C1000" s="41" t="n">
        <v>2667</v>
      </c>
      <c r="D1000" s="41" t="inlineStr">
        <is>
          <t xml:space="preserve">نوسكو </t>
        </is>
      </c>
      <c r="E1000" s="41" t="inlineStr">
        <is>
          <t>1*40</t>
        </is>
      </c>
      <c r="F1000" s="41" t="inlineStr">
        <is>
          <t xml:space="preserve">المصرية </t>
        </is>
      </c>
      <c r="G1000" s="41" t="inlineStr">
        <is>
          <t xml:space="preserve">م بدر </t>
        </is>
      </c>
      <c r="H1000" s="41" t="inlineStr">
        <is>
          <t>756716/7</t>
        </is>
      </c>
      <c r="I1000" s="41" t="inlineStr">
        <is>
          <t>س ق ر 6252</t>
        </is>
      </c>
      <c r="J1000" s="41" t="inlineStr">
        <is>
          <t xml:space="preserve">احمد بهاء </t>
        </is>
      </c>
      <c r="K1000" s="41" t="inlineStr">
        <is>
          <t xml:space="preserve">نوسكو </t>
        </is>
      </c>
      <c r="L1000" s="42" t="n">
        <v>16000</v>
      </c>
      <c r="M1000" s="42" t="n">
        <v>8100</v>
      </c>
      <c r="N1000" s="42" t="n"/>
      <c r="O1000" s="42" t="n">
        <v>200</v>
      </c>
      <c r="P1000" s="42" t="n">
        <v>2500</v>
      </c>
      <c r="Q1000" s="42" t="n">
        <v>10200</v>
      </c>
      <c r="R1000" s="43">
        <f>IF($B1000="","",N($S1000)-N($Q1000))</f>
        <v/>
      </c>
      <c r="S1000" s="43">
        <f>IF($B1000="","",N($L1000)+N($N1000)+N($P1000))</f>
        <v/>
      </c>
      <c r="T1000" s="42" t="n"/>
      <c r="U1000" s="42" t="n"/>
      <c r="V1000" s="42" t="n"/>
      <c r="W1000" s="42" t="n"/>
      <c r="X1000" s="42" t="n"/>
      <c r="Y1000" s="42" t="n"/>
      <c r="Z1000" s="42" t="n"/>
      <c r="AA1000" s="42" t="n"/>
      <c r="AB1000" s="42" t="n"/>
      <c r="AC1000" s="42" t="n"/>
      <c r="AD1000" s="42" t="n"/>
      <c r="AE1000" s="42" t="n"/>
      <c r="AF1000" s="43">
        <f>IF($B1000="","",SUM($T1000:$AE1000))</f>
        <v/>
      </c>
      <c r="AG1000" s="43">
        <f>IF($B1000="","",N($M1000)-N($AF1000))</f>
        <v/>
      </c>
      <c r="AH1000" s="43">
        <f>IF($B1000="","",N($L1000)-N($AF1000))</f>
        <v/>
      </c>
      <c r="AI1000" s="149">
        <f>IF($B1000="","",IF(N($L1000)=0,"",(N($L1000)-N($AF1000))/N($L1000)))</f>
        <v/>
      </c>
    </row>
    <row r="1001">
      <c r="A1001" s="39">
        <f>IF($B1001="","",COUNTA($B$4:$B1001))</f>
        <v/>
      </c>
      <c r="B1001" s="45" t="n">
        <v>46138</v>
      </c>
      <c r="C1001" s="46" t="n">
        <v>2666</v>
      </c>
      <c r="D1001" s="46" t="inlineStr">
        <is>
          <t xml:space="preserve">علاء علام </t>
        </is>
      </c>
      <c r="E1001" s="46" t="inlineStr">
        <is>
          <t>1*40 ث</t>
        </is>
      </c>
      <c r="F1001" s="46" t="inlineStr">
        <is>
          <t xml:space="preserve">جرين لاند </t>
        </is>
      </c>
      <c r="G1001" s="46" t="inlineStr">
        <is>
          <t xml:space="preserve">ك الدوار </t>
        </is>
      </c>
      <c r="H1001" s="46" t="inlineStr">
        <is>
          <t>941337/0</t>
        </is>
      </c>
      <c r="I1001" s="46" t="inlineStr">
        <is>
          <t>س ل ب 5917</t>
        </is>
      </c>
      <c r="J1001" s="46" t="inlineStr">
        <is>
          <t>محمد ابراهيم</t>
        </is>
      </c>
      <c r="K1001" s="46" t="inlineStr">
        <is>
          <t xml:space="preserve">علاء علام </t>
        </is>
      </c>
      <c r="L1001" s="47" t="n">
        <v>10000</v>
      </c>
      <c r="M1001" s="47" t="n">
        <v>7100</v>
      </c>
      <c r="N1001" s="47" t="n"/>
      <c r="O1001" s="47" t="n">
        <v>200</v>
      </c>
      <c r="P1001" s="47" t="n"/>
      <c r="Q1001" s="47" t="n"/>
      <c r="R1001" s="43">
        <f>IF($B1001="","",N($S1001)-N($Q1001))</f>
        <v/>
      </c>
      <c r="S1001" s="43">
        <f>IF($B1001="","",N($L1001)+N($N1001)+N($P1001))</f>
        <v/>
      </c>
      <c r="T1001" s="47" t="n"/>
      <c r="U1001" s="47" t="n"/>
      <c r="V1001" s="47" t="n"/>
      <c r="W1001" s="47" t="n"/>
      <c r="X1001" s="47" t="n"/>
      <c r="Y1001" s="47" t="n"/>
      <c r="Z1001" s="47" t="n"/>
      <c r="AA1001" s="47" t="n"/>
      <c r="AB1001" s="47" t="n"/>
      <c r="AC1001" s="47" t="n"/>
      <c r="AD1001" s="47" t="n"/>
      <c r="AE1001" s="47" t="n"/>
      <c r="AF1001" s="43">
        <f>IF($B1001="","",SUM($T1001:$AE1001))</f>
        <v/>
      </c>
      <c r="AG1001" s="43">
        <f>IF($B1001="","",N($M1001)-N($AF1001))</f>
        <v/>
      </c>
      <c r="AH1001" s="43">
        <f>IF($B1001="","",N($L1001)-N($AF1001))</f>
        <v/>
      </c>
      <c r="AI1001" s="149">
        <f>IF($B1001="","",IF(N($L1001)=0,"",(N($L1001)-N($AF1001))/N($L1001)))</f>
        <v/>
      </c>
    </row>
    <row r="1002">
      <c r="A1002" s="39">
        <f>IF($B1002="","",COUNTA($B$4:$B1002))</f>
        <v/>
      </c>
      <c r="B1002" s="40" t="n">
        <v>46138</v>
      </c>
      <c r="C1002" s="41" t="n">
        <v>2665</v>
      </c>
      <c r="D1002" s="41" t="inlineStr">
        <is>
          <t>حماد خ</t>
        </is>
      </c>
      <c r="E1002" s="41" t="inlineStr">
        <is>
          <t>1*40 ث</t>
        </is>
      </c>
      <c r="F1002" s="41" t="inlineStr">
        <is>
          <t xml:space="preserve">جرين لاند </t>
        </is>
      </c>
      <c r="G1002" s="41" t="inlineStr">
        <is>
          <t xml:space="preserve">ك الدوار </t>
        </is>
      </c>
      <c r="H1002" s="41" t="inlineStr">
        <is>
          <t>818603/4</t>
        </is>
      </c>
      <c r="I1002" s="41" t="inlineStr">
        <is>
          <t>س ق ب 2847</t>
        </is>
      </c>
      <c r="J1002" s="41" t="inlineStr">
        <is>
          <t xml:space="preserve">حمدى شعبان </t>
        </is>
      </c>
      <c r="K1002" s="41" t="inlineStr">
        <is>
          <t xml:space="preserve">محمد صابر </t>
        </is>
      </c>
      <c r="L1002" s="42" t="n">
        <v>9500</v>
      </c>
      <c r="M1002" s="42" t="n">
        <v>7100</v>
      </c>
      <c r="N1002" s="42" t="n"/>
      <c r="O1002" s="42" t="n">
        <v>200</v>
      </c>
      <c r="P1002" s="42" t="n"/>
      <c r="Q1002" s="42" t="n">
        <v>2200</v>
      </c>
      <c r="R1002" s="43">
        <f>IF($B1002="","",N($S1002)-N($Q1002))</f>
        <v/>
      </c>
      <c r="S1002" s="43">
        <f>IF($B1002="","",N($L1002)+N($N1002)+N($P1002))</f>
        <v/>
      </c>
      <c r="T1002" s="42" t="n"/>
      <c r="U1002" s="42" t="n"/>
      <c r="V1002" s="42" t="n"/>
      <c r="W1002" s="42" t="n"/>
      <c r="X1002" s="42" t="n"/>
      <c r="Y1002" s="42" t="n"/>
      <c r="Z1002" s="42" t="n"/>
      <c r="AA1002" s="42" t="n"/>
      <c r="AB1002" s="42" t="n"/>
      <c r="AC1002" s="42" t="n"/>
      <c r="AD1002" s="42" t="n"/>
      <c r="AE1002" s="42" t="n"/>
      <c r="AF1002" s="43">
        <f>IF($B1002="","",SUM($T1002:$AE1002))</f>
        <v/>
      </c>
      <c r="AG1002" s="43">
        <f>IF($B1002="","",N($M1002)-N($AF1002))</f>
        <v/>
      </c>
      <c r="AH1002" s="43">
        <f>IF($B1002="","",N($L1002)-N($AF1002))</f>
        <v/>
      </c>
      <c r="AI1002" s="149">
        <f>IF($B1002="","",IF(N($L1002)=0,"",(N($L1002)-N($AF1002))/N($L1002)))</f>
        <v/>
      </c>
    </row>
    <row r="1003">
      <c r="A1003" s="39">
        <f>IF($B1003="","",COUNTA($B$4:$B1003))</f>
        <v/>
      </c>
      <c r="B1003" s="45" t="n">
        <v>46138</v>
      </c>
      <c r="C1003" s="46" t="n">
        <v>2341</v>
      </c>
      <c r="D1003" s="46" t="inlineStr">
        <is>
          <t xml:space="preserve">الانصارى </t>
        </is>
      </c>
      <c r="E1003" s="46" t="inlineStr">
        <is>
          <t xml:space="preserve">1*40 </t>
        </is>
      </c>
      <c r="F1003" s="46" t="inlineStr">
        <is>
          <t>كرستال عصفور</t>
        </is>
      </c>
      <c r="G1003" s="46" t="inlineStr">
        <is>
          <t xml:space="preserve">شبرا  </t>
        </is>
      </c>
      <c r="H1003" s="46" t="inlineStr">
        <is>
          <t>62559/5</t>
        </is>
      </c>
      <c r="I1003" s="46" t="inlineStr">
        <is>
          <t>ب ص ا 2574</t>
        </is>
      </c>
      <c r="J1003" s="46" t="inlineStr">
        <is>
          <t xml:space="preserve">محمد البحيرى </t>
        </is>
      </c>
      <c r="K1003" s="46" t="inlineStr">
        <is>
          <t xml:space="preserve">احمد خليف </t>
        </is>
      </c>
      <c r="L1003" s="47" t="n">
        <v>15000</v>
      </c>
      <c r="M1003" s="47" t="n">
        <v>8100</v>
      </c>
      <c r="N1003" s="47" t="n"/>
      <c r="O1003" s="47" t="n">
        <v>200</v>
      </c>
      <c r="P1003" s="47" t="n"/>
      <c r="Q1003" s="47" t="n">
        <v>6700</v>
      </c>
      <c r="R1003" s="43">
        <f>IF($B1003="","",N($S1003)-N($Q1003))</f>
        <v/>
      </c>
      <c r="S1003" s="43">
        <f>IF($B1003="","",N($L1003)+N($N1003)+N($P1003))</f>
        <v/>
      </c>
      <c r="T1003" s="47" t="n"/>
      <c r="U1003" s="47" t="n"/>
      <c r="V1003" s="47" t="n"/>
      <c r="W1003" s="47" t="n"/>
      <c r="X1003" s="47" t="n"/>
      <c r="Y1003" s="47" t="n"/>
      <c r="Z1003" s="47" t="n"/>
      <c r="AA1003" s="47" t="n"/>
      <c r="AB1003" s="47" t="n"/>
      <c r="AC1003" s="47" t="n"/>
      <c r="AD1003" s="47" t="n"/>
      <c r="AE1003" s="47" t="n"/>
      <c r="AF1003" s="43">
        <f>IF($B1003="","",SUM($T1003:$AE1003))</f>
        <v/>
      </c>
      <c r="AG1003" s="43">
        <f>IF($B1003="","",N($M1003)-N($AF1003))</f>
        <v/>
      </c>
      <c r="AH1003" s="43">
        <f>IF($B1003="","",N($L1003)-N($AF1003))</f>
        <v/>
      </c>
      <c r="AI1003" s="149">
        <f>IF($B1003="","",IF(N($L1003)=0,"",(N($L1003)-N($AF1003))/N($L1003)))</f>
        <v/>
      </c>
    </row>
    <row r="1004">
      <c r="A1004" s="39">
        <f>IF($B1004="","",COUNTA($B$4:$B1004))</f>
        <v/>
      </c>
      <c r="B1004" s="40" t="n">
        <v>46138</v>
      </c>
      <c r="C1004" s="41" t="n">
        <v>2340</v>
      </c>
      <c r="D1004" s="41" t="inlineStr">
        <is>
          <t xml:space="preserve">هاشم </t>
        </is>
      </c>
      <c r="E1004" s="41" t="inlineStr">
        <is>
          <t>1*40</t>
        </is>
      </c>
      <c r="F1004" s="41" t="inlineStr">
        <is>
          <t>كرستال عصفور</t>
        </is>
      </c>
      <c r="G1004" s="41" t="inlineStr">
        <is>
          <t xml:space="preserve">شبرا  </t>
        </is>
      </c>
      <c r="H1004" s="41" t="inlineStr">
        <is>
          <t>547730/0</t>
        </is>
      </c>
      <c r="I1004" s="41" t="inlineStr">
        <is>
          <t>ط ف ر 1871</t>
        </is>
      </c>
      <c r="J1004" s="41" t="inlineStr">
        <is>
          <t xml:space="preserve">جمال شلبى </t>
        </is>
      </c>
      <c r="K1004" s="41" t="n"/>
      <c r="L1004" s="42" t="n">
        <v>16000</v>
      </c>
      <c r="M1004" s="42" t="n">
        <v>8100</v>
      </c>
      <c r="N1004" s="42" t="n"/>
      <c r="O1004" s="42" t="n">
        <v>200</v>
      </c>
      <c r="P1004" s="42" t="n"/>
      <c r="Q1004" s="42" t="n">
        <v>7700</v>
      </c>
      <c r="R1004" s="43">
        <f>IF($B1004="","",N($S1004)-N($Q1004))</f>
        <v/>
      </c>
      <c r="S1004" s="43">
        <f>IF($B1004="","",N($L1004)+N($N1004)+N($P1004))</f>
        <v/>
      </c>
      <c r="T1004" s="42" t="n"/>
      <c r="U1004" s="42" t="n"/>
      <c r="V1004" s="42" t="n"/>
      <c r="W1004" s="42" t="n"/>
      <c r="X1004" s="42" t="n"/>
      <c r="Y1004" s="42" t="n"/>
      <c r="Z1004" s="42" t="n"/>
      <c r="AA1004" s="42" t="n"/>
      <c r="AB1004" s="42" t="n"/>
      <c r="AC1004" s="42" t="n"/>
      <c r="AD1004" s="42" t="n"/>
      <c r="AE1004" s="42" t="n"/>
      <c r="AF1004" s="43">
        <f>IF($B1004="","",SUM($T1004:$AE1004))</f>
        <v/>
      </c>
      <c r="AG1004" s="43">
        <f>IF($B1004="","",N($M1004)-N($AF1004))</f>
        <v/>
      </c>
      <c r="AH1004" s="43">
        <f>IF($B1004="","",N($L1004)-N($AF1004))</f>
        <v/>
      </c>
      <c r="AI1004" s="149">
        <f>IF($B1004="","",IF(N($L1004)=0,"",(N($L1004)-N($AF1004))/N($L1004)))</f>
        <v/>
      </c>
    </row>
    <row r="1005">
      <c r="A1005" s="39">
        <f>IF($B1005="","",COUNTA($B$4:$B1005))</f>
        <v/>
      </c>
      <c r="B1005" s="45" t="n">
        <v>46138</v>
      </c>
      <c r="C1005" s="46" t="n">
        <v>2727</v>
      </c>
      <c r="D1005" s="46" t="inlineStr">
        <is>
          <t>محمد نبيل</t>
        </is>
      </c>
      <c r="E1005" s="46" t="inlineStr">
        <is>
          <t>1*40</t>
        </is>
      </c>
      <c r="F1005" s="46" t="inlineStr">
        <is>
          <t>كرستال عصفور</t>
        </is>
      </c>
      <c r="G1005" s="46" t="inlineStr">
        <is>
          <t xml:space="preserve">شبرا  </t>
        </is>
      </c>
      <c r="H1005" s="46" t="inlineStr">
        <is>
          <t>520762/0</t>
        </is>
      </c>
      <c r="I1005" s="46" t="inlineStr">
        <is>
          <t>ب ب ه 9753</t>
        </is>
      </c>
      <c r="J1005" s="46" t="inlineStr">
        <is>
          <t xml:space="preserve">عمرو صبحى </t>
        </is>
      </c>
      <c r="K1005" s="46" t="n"/>
      <c r="L1005" s="47" t="n">
        <v>15500</v>
      </c>
      <c r="M1005" s="47" t="n">
        <v>7100</v>
      </c>
      <c r="N1005" s="47" t="n">
        <v>1100</v>
      </c>
      <c r="O1005" s="47" t="n">
        <v>200</v>
      </c>
      <c r="P1005" s="47" t="n"/>
      <c r="Q1005" s="47" t="n">
        <v>7100</v>
      </c>
      <c r="R1005" s="43">
        <f>IF($B1005="","",N($S1005)-N($Q1005))</f>
        <v/>
      </c>
      <c r="S1005" s="43">
        <f>IF($B1005="","",N($L1005)+N($N1005)+N($P1005))</f>
        <v/>
      </c>
      <c r="T1005" s="47" t="n"/>
      <c r="U1005" s="47" t="n"/>
      <c r="V1005" s="47" t="n"/>
      <c r="W1005" s="47" t="n"/>
      <c r="X1005" s="47" t="n"/>
      <c r="Y1005" s="47" t="n"/>
      <c r="Z1005" s="47" t="n"/>
      <c r="AA1005" s="47" t="n"/>
      <c r="AB1005" s="47" t="n"/>
      <c r="AC1005" s="47" t="n"/>
      <c r="AD1005" s="47" t="n"/>
      <c r="AE1005" s="47" t="n"/>
      <c r="AF1005" s="43">
        <f>IF($B1005="","",SUM($T1005:$AE1005))</f>
        <v/>
      </c>
      <c r="AG1005" s="43">
        <f>IF($B1005="","",N($M1005)-N($AF1005))</f>
        <v/>
      </c>
      <c r="AH1005" s="43">
        <f>IF($B1005="","",N($L1005)-N($AF1005))</f>
        <v/>
      </c>
      <c r="AI1005" s="149">
        <f>IF($B1005="","",IF(N($L1005)=0,"",(N($L1005)-N($AF1005))/N($L1005)))</f>
        <v/>
      </c>
    </row>
    <row r="1006">
      <c r="A1006" s="39">
        <f>IF($B1006="","",COUNTA($B$4:$B1006))</f>
        <v/>
      </c>
      <c r="B1006" s="40" t="n">
        <v>46138</v>
      </c>
      <c r="C1006" s="41" t="n">
        <v>2726</v>
      </c>
      <c r="D1006" s="41" t="inlineStr">
        <is>
          <t xml:space="preserve">عتدل المحلاوى </t>
        </is>
      </c>
      <c r="E1006" s="41" t="inlineStr">
        <is>
          <t>1*40</t>
        </is>
      </c>
      <c r="F1006" s="41" t="inlineStr">
        <is>
          <t>كرستال عصفور</t>
        </is>
      </c>
      <c r="G1006" s="41" t="inlineStr">
        <is>
          <t xml:space="preserve">شبرا  </t>
        </is>
      </c>
      <c r="H1006" s="41" t="inlineStr">
        <is>
          <t>430130/5</t>
        </is>
      </c>
      <c r="I1006" s="41" t="inlineStr">
        <is>
          <t>ع ل ص 9382</t>
        </is>
      </c>
      <c r="J1006" s="41" t="inlineStr">
        <is>
          <t xml:space="preserve">محمد النونو </t>
        </is>
      </c>
      <c r="K1006" s="41" t="n"/>
      <c r="L1006" s="42" t="n">
        <v>15000</v>
      </c>
      <c r="M1006" s="42" t="n">
        <v>7100</v>
      </c>
      <c r="N1006" s="42" t="n"/>
      <c r="O1006" s="42" t="n">
        <v>200</v>
      </c>
      <c r="P1006" s="42" t="n"/>
      <c r="Q1006" s="42" t="n"/>
      <c r="R1006" s="43">
        <f>IF($B1006="","",N($S1006)-N($Q1006))</f>
        <v/>
      </c>
      <c r="S1006" s="43">
        <f>IF($B1006="","",N($L1006)+N($N1006)+N($P1006))</f>
        <v/>
      </c>
      <c r="T1006" s="42" t="n"/>
      <c r="U1006" s="42" t="n"/>
      <c r="V1006" s="42" t="n"/>
      <c r="W1006" s="42" t="n"/>
      <c r="X1006" s="42" t="n"/>
      <c r="Y1006" s="42" t="n"/>
      <c r="Z1006" s="42" t="n"/>
      <c r="AA1006" s="42" t="n"/>
      <c r="AB1006" s="42" t="n"/>
      <c r="AC1006" s="42" t="n"/>
      <c r="AD1006" s="42" t="n"/>
      <c r="AE1006" s="42" t="n"/>
      <c r="AF1006" s="43">
        <f>IF($B1006="","",SUM($T1006:$AE1006))</f>
        <v/>
      </c>
      <c r="AG1006" s="43">
        <f>IF($B1006="","",N($M1006)-N($AF1006))</f>
        <v/>
      </c>
      <c r="AH1006" s="43">
        <f>IF($B1006="","",N($L1006)-N($AF1006))</f>
        <v/>
      </c>
      <c r="AI1006" s="149">
        <f>IF($B1006="","",IF(N($L1006)=0,"",(N($L1006)-N($AF1006))/N($L1006)))</f>
        <v/>
      </c>
    </row>
    <row r="1007">
      <c r="A1007" s="39">
        <f>IF($B1007="","",COUNTA($B$4:$B1007))</f>
        <v/>
      </c>
      <c r="B1007" s="45" t="n">
        <v>46138</v>
      </c>
      <c r="C1007" s="46" t="n">
        <v>2725</v>
      </c>
      <c r="D1007" s="46" t="inlineStr">
        <is>
          <t>عتريس مخيمر  خ</t>
        </is>
      </c>
      <c r="E1007" s="46" t="inlineStr">
        <is>
          <t>1*40</t>
        </is>
      </c>
      <c r="F1007" s="46" t="inlineStr">
        <is>
          <t>كرستال عصفور</t>
        </is>
      </c>
      <c r="G1007" s="46" t="inlineStr">
        <is>
          <t xml:space="preserve">شبرا  </t>
        </is>
      </c>
      <c r="H1007" s="46" t="inlineStr">
        <is>
          <t>774930/0</t>
        </is>
      </c>
      <c r="I1007" s="46" t="inlineStr">
        <is>
          <t>ط ف ر 1474</t>
        </is>
      </c>
      <c r="J1007" s="46" t="inlineStr">
        <is>
          <t>جمال علي</t>
        </is>
      </c>
      <c r="K1007" s="46" t="inlineStr">
        <is>
          <t xml:space="preserve">كريم خليف </t>
        </is>
      </c>
      <c r="L1007" s="47" t="n">
        <v>15000</v>
      </c>
      <c r="M1007" s="47" t="n">
        <v>7100</v>
      </c>
      <c r="N1007" s="47" t="n"/>
      <c r="O1007" s="47" t="n">
        <v>200</v>
      </c>
      <c r="P1007" s="47" t="n"/>
      <c r="Q1007" s="47" t="n">
        <v>7700</v>
      </c>
      <c r="R1007" s="43">
        <f>IF($B1007="","",N($S1007)-N($Q1007))</f>
        <v/>
      </c>
      <c r="S1007" s="43">
        <f>IF($B1007="","",N($L1007)+N($N1007)+N($P1007))</f>
        <v/>
      </c>
      <c r="T1007" s="47" t="n"/>
      <c r="U1007" s="47" t="n"/>
      <c r="V1007" s="47" t="n"/>
      <c r="W1007" s="47" t="n"/>
      <c r="X1007" s="47" t="n"/>
      <c r="Y1007" s="47" t="n"/>
      <c r="Z1007" s="47" t="n"/>
      <c r="AA1007" s="47" t="n"/>
      <c r="AB1007" s="47" t="n"/>
      <c r="AC1007" s="47" t="n"/>
      <c r="AD1007" s="47" t="n"/>
      <c r="AE1007" s="47" t="n"/>
      <c r="AF1007" s="43">
        <f>IF($B1007="","",SUM($T1007:$AE1007))</f>
        <v/>
      </c>
      <c r="AG1007" s="43">
        <f>IF($B1007="","",N($M1007)-N($AF1007))</f>
        <v/>
      </c>
      <c r="AH1007" s="43">
        <f>IF($B1007="","",N($L1007)-N($AF1007))</f>
        <v/>
      </c>
      <c r="AI1007" s="149">
        <f>IF($B1007="","",IF(N($L1007)=0,"",(N($L1007)-N($AF1007))/N($L1007)))</f>
        <v/>
      </c>
    </row>
    <row r="1008">
      <c r="A1008" s="39">
        <f>IF($B1008="","",COUNTA($B$4:$B1008))</f>
        <v/>
      </c>
      <c r="B1008" s="40" t="n">
        <v>46138</v>
      </c>
      <c r="C1008" s="41" t="n">
        <v>2728</v>
      </c>
      <c r="D1008" s="41" t="inlineStr">
        <is>
          <t>محمد نبيل</t>
        </is>
      </c>
      <c r="E1008" s="41" t="inlineStr">
        <is>
          <t>1*40</t>
        </is>
      </c>
      <c r="F1008" s="41" t="inlineStr">
        <is>
          <t>كرستال عصفور</t>
        </is>
      </c>
      <c r="G1008" s="41" t="inlineStr">
        <is>
          <t xml:space="preserve">شبرا  </t>
        </is>
      </c>
      <c r="H1008" s="41" t="inlineStr">
        <is>
          <t>877657/4</t>
        </is>
      </c>
      <c r="I1008" s="41" t="inlineStr">
        <is>
          <t>ل ق ا 3978</t>
        </is>
      </c>
      <c r="J1008" s="41" t="inlineStr">
        <is>
          <t>محمود رفاعى</t>
        </is>
      </c>
      <c r="K1008" s="41" t="n"/>
      <c r="L1008" s="42" t="n">
        <v>15500</v>
      </c>
      <c r="M1008" s="42" t="n">
        <v>7100</v>
      </c>
      <c r="N1008" s="42" t="n">
        <v>1100</v>
      </c>
      <c r="O1008" s="42" t="n">
        <v>200</v>
      </c>
      <c r="P1008" s="42" t="n"/>
      <c r="Q1008" s="42" t="n">
        <v>7100</v>
      </c>
      <c r="R1008" s="43">
        <f>IF($B1008="","",N($S1008)-N($Q1008))</f>
        <v/>
      </c>
      <c r="S1008" s="43">
        <f>IF($B1008="","",N($L1008)+N($N1008)+N($P1008))</f>
        <v/>
      </c>
      <c r="T1008" s="42" t="n"/>
      <c r="U1008" s="42" t="n"/>
      <c r="V1008" s="42" t="n"/>
      <c r="W1008" s="42" t="n"/>
      <c r="X1008" s="42" t="n"/>
      <c r="Y1008" s="42" t="n"/>
      <c r="Z1008" s="42" t="n"/>
      <c r="AA1008" s="42" t="n"/>
      <c r="AB1008" s="42" t="n"/>
      <c r="AC1008" s="42" t="n"/>
      <c r="AD1008" s="42" t="n"/>
      <c r="AE1008" s="42" t="n"/>
      <c r="AF1008" s="43">
        <f>IF($B1008="","",SUM($T1008:$AE1008))</f>
        <v/>
      </c>
      <c r="AG1008" s="43">
        <f>IF($B1008="","",N($M1008)-N($AF1008))</f>
        <v/>
      </c>
      <c r="AH1008" s="43">
        <f>IF($B1008="","",N($L1008)-N($AF1008))</f>
        <v/>
      </c>
      <c r="AI1008" s="149">
        <f>IF($B1008="","",IF(N($L1008)=0,"",(N($L1008)-N($AF1008))/N($L1008)))</f>
        <v/>
      </c>
    </row>
    <row r="1009">
      <c r="A1009" s="39">
        <f>IF($B1009="","",COUNTA($B$4:$B1009))</f>
        <v/>
      </c>
      <c r="B1009" s="45" t="n">
        <v>46138</v>
      </c>
      <c r="C1009" s="46" t="n">
        <v>2761</v>
      </c>
      <c r="D1009" s="46" t="inlineStr">
        <is>
          <t xml:space="preserve">ولعان </t>
        </is>
      </c>
      <c r="E1009" s="46" t="inlineStr">
        <is>
          <t>2*20</t>
        </is>
      </c>
      <c r="F1009" s="46" t="inlineStr">
        <is>
          <t>سفنكس</t>
        </is>
      </c>
      <c r="G1009" s="46" t="inlineStr">
        <is>
          <t xml:space="preserve">م حرة </t>
        </is>
      </c>
      <c r="H1009" s="46" t="inlineStr">
        <is>
          <t>192050/7-290981/0</t>
        </is>
      </c>
      <c r="I1009" s="46" t="inlineStr">
        <is>
          <t>س م ب 1352</t>
        </is>
      </c>
      <c r="J1009" s="46" t="inlineStr">
        <is>
          <t xml:space="preserve">قبارى محمد </t>
        </is>
      </c>
      <c r="K1009" s="46" t="inlineStr">
        <is>
          <t xml:space="preserve">محمد رمضان </t>
        </is>
      </c>
      <c r="L1009" s="47" t="n">
        <v>9500</v>
      </c>
      <c r="M1009" s="47" t="n">
        <v>8000</v>
      </c>
      <c r="N1009" s="47" t="n"/>
      <c r="O1009" s="47" t="n"/>
      <c r="P1009" s="47" t="n"/>
      <c r="Q1009" s="47" t="n">
        <v>1500</v>
      </c>
      <c r="R1009" s="43">
        <f>IF($B1009="","",N($S1009)-N($Q1009))</f>
        <v/>
      </c>
      <c r="S1009" s="43">
        <f>IF($B1009="","",N($L1009)+N($N1009)+N($P1009))</f>
        <v/>
      </c>
      <c r="T1009" s="47" t="n"/>
      <c r="U1009" s="47" t="n"/>
      <c r="V1009" s="47" t="n"/>
      <c r="W1009" s="47" t="n"/>
      <c r="X1009" s="47" t="n"/>
      <c r="Y1009" s="47" t="n"/>
      <c r="Z1009" s="47" t="n"/>
      <c r="AA1009" s="47" t="n"/>
      <c r="AB1009" s="47" t="n"/>
      <c r="AC1009" s="47" t="n"/>
      <c r="AD1009" s="47" t="n"/>
      <c r="AE1009" s="47" t="n"/>
      <c r="AF1009" s="43">
        <f>IF($B1009="","",SUM($T1009:$AE1009))</f>
        <v/>
      </c>
      <c r="AG1009" s="43">
        <f>IF($B1009="","",N($M1009)-N($AF1009))</f>
        <v/>
      </c>
      <c r="AH1009" s="43">
        <f>IF($B1009="","",N($L1009)-N($AF1009))</f>
        <v/>
      </c>
      <c r="AI1009" s="149">
        <f>IF($B1009="","",IF(N($L1009)=0,"",(N($L1009)-N($AF1009))/N($L1009)))</f>
        <v/>
      </c>
    </row>
    <row r="1010">
      <c r="A1010" s="39">
        <f>IF($B1010="","",COUNTA($B$4:$B1010))</f>
        <v/>
      </c>
      <c r="B1010" s="40" t="n">
        <v>46138</v>
      </c>
      <c r="C1010" s="41" t="n">
        <v>2762</v>
      </c>
      <c r="D1010" s="41" t="inlineStr">
        <is>
          <t xml:space="preserve">ولعان </t>
        </is>
      </c>
      <c r="E1010" s="41" t="inlineStr">
        <is>
          <t>2*20</t>
        </is>
      </c>
      <c r="F1010" s="41" t="inlineStr">
        <is>
          <t>سفنكس</t>
        </is>
      </c>
      <c r="G1010" s="41" t="inlineStr">
        <is>
          <t xml:space="preserve">م حرة </t>
        </is>
      </c>
      <c r="H1010" s="41" t="inlineStr">
        <is>
          <t>625432/1-209064/0</t>
        </is>
      </c>
      <c r="I1010" s="41" t="inlineStr">
        <is>
          <t>س م ص 5448</t>
        </is>
      </c>
      <c r="J1010" s="41" t="inlineStr">
        <is>
          <t xml:space="preserve">احمد شحاتة </t>
        </is>
      </c>
      <c r="K1010" s="41" t="inlineStr">
        <is>
          <t xml:space="preserve">محمد رمضان </t>
        </is>
      </c>
      <c r="L1010" s="42" t="n">
        <v>9500</v>
      </c>
      <c r="M1010" s="42" t="n">
        <v>8000</v>
      </c>
      <c r="N1010" s="42" t="n"/>
      <c r="O1010" s="42" t="n"/>
      <c r="P1010" s="42" t="n"/>
      <c r="Q1010" s="42" t="n">
        <v>1500</v>
      </c>
      <c r="R1010" s="43">
        <f>IF($B1010="","",N($S1010)-N($Q1010))</f>
        <v/>
      </c>
      <c r="S1010" s="43">
        <f>IF($B1010="","",N($L1010)+N($N1010)+N($P1010))</f>
        <v/>
      </c>
      <c r="T1010" s="42" t="n"/>
      <c r="U1010" s="42" t="n"/>
      <c r="V1010" s="42" t="n"/>
      <c r="W1010" s="42" t="n"/>
      <c r="X1010" s="42" t="n"/>
      <c r="Y1010" s="42" t="n"/>
      <c r="Z1010" s="42" t="n"/>
      <c r="AA1010" s="42" t="n"/>
      <c r="AB1010" s="42" t="n"/>
      <c r="AC1010" s="42" t="n"/>
      <c r="AD1010" s="42" t="n"/>
      <c r="AE1010" s="42" t="n"/>
      <c r="AF1010" s="43">
        <f>IF($B1010="","",SUM($T1010:$AE1010))</f>
        <v/>
      </c>
      <c r="AG1010" s="43">
        <f>IF($B1010="","",N($M1010)-N($AF1010))</f>
        <v/>
      </c>
      <c r="AH1010" s="43">
        <f>IF($B1010="","",N($L1010)-N($AF1010))</f>
        <v/>
      </c>
      <c r="AI1010" s="149">
        <f>IF($B1010="","",IF(N($L1010)=0,"",(N($L1010)-N($AF1010))/N($L1010)))</f>
        <v/>
      </c>
    </row>
    <row r="1011">
      <c r="A1011" s="39">
        <f>IF($B1011="","",COUNTA($B$4:$B1011))</f>
        <v/>
      </c>
      <c r="B1011" s="45" t="n">
        <v>46138</v>
      </c>
      <c r="C1011" s="46" t="n">
        <v>2764</v>
      </c>
      <c r="D1011" s="46" t="inlineStr">
        <is>
          <t xml:space="preserve">ولعان </t>
        </is>
      </c>
      <c r="E1011" s="46" t="inlineStr">
        <is>
          <t>2*20</t>
        </is>
      </c>
      <c r="F1011" s="46" t="inlineStr">
        <is>
          <t>سفنكس</t>
        </is>
      </c>
      <c r="G1011" s="46" t="inlineStr">
        <is>
          <t xml:space="preserve">م حرة </t>
        </is>
      </c>
      <c r="H1011" s="46" t="inlineStr">
        <is>
          <t>211849/6-104523/0</t>
        </is>
      </c>
      <c r="I1011" s="46" t="inlineStr">
        <is>
          <t>س ف ب 1974</t>
        </is>
      </c>
      <c r="J1011" s="46" t="inlineStr">
        <is>
          <t>عبد الرحمن</t>
        </is>
      </c>
      <c r="K1011" s="46" t="inlineStr">
        <is>
          <t xml:space="preserve">محمد رمضان </t>
        </is>
      </c>
      <c r="L1011" s="47" t="n">
        <v>9500</v>
      </c>
      <c r="M1011" s="47" t="n">
        <v>8000</v>
      </c>
      <c r="N1011" s="47" t="n"/>
      <c r="O1011" s="47" t="n"/>
      <c r="P1011" s="47" t="n"/>
      <c r="Q1011" s="47" t="n">
        <v>1500</v>
      </c>
      <c r="R1011" s="43">
        <f>IF($B1011="","",N($S1011)-N($Q1011))</f>
        <v/>
      </c>
      <c r="S1011" s="43">
        <f>IF($B1011="","",N($L1011)+N($N1011)+N($P1011))</f>
        <v/>
      </c>
      <c r="T1011" s="47" t="n"/>
      <c r="U1011" s="47" t="n"/>
      <c r="V1011" s="47" t="n"/>
      <c r="W1011" s="47" t="n"/>
      <c r="X1011" s="47" t="n"/>
      <c r="Y1011" s="47" t="n"/>
      <c r="Z1011" s="47" t="n"/>
      <c r="AA1011" s="47" t="n"/>
      <c r="AB1011" s="47" t="n"/>
      <c r="AC1011" s="47" t="n"/>
      <c r="AD1011" s="47" t="n"/>
      <c r="AE1011" s="47" t="n"/>
      <c r="AF1011" s="43">
        <f>IF($B1011="","",SUM($T1011:$AE1011))</f>
        <v/>
      </c>
      <c r="AG1011" s="43">
        <f>IF($B1011="","",N($M1011)-N($AF1011))</f>
        <v/>
      </c>
      <c r="AH1011" s="43">
        <f>IF($B1011="","",N($L1011)-N($AF1011))</f>
        <v/>
      </c>
      <c r="AI1011" s="149">
        <f>IF($B1011="","",IF(N($L1011)=0,"",(N($L1011)-N($AF1011))/N($L1011)))</f>
        <v/>
      </c>
    </row>
    <row r="1012">
      <c r="A1012" s="39">
        <f>IF($B1012="","",COUNTA($B$4:$B1012))</f>
        <v/>
      </c>
      <c r="B1012" s="40" t="n">
        <v>46138</v>
      </c>
      <c r="C1012" s="41" t="n">
        <v>2765</v>
      </c>
      <c r="D1012" s="41" t="inlineStr">
        <is>
          <t xml:space="preserve">ولعان </t>
        </is>
      </c>
      <c r="E1012" s="41" t="inlineStr">
        <is>
          <t>2*20</t>
        </is>
      </c>
      <c r="F1012" s="41" t="inlineStr">
        <is>
          <t>سفنكس</t>
        </is>
      </c>
      <c r="G1012" s="41" t="inlineStr">
        <is>
          <t xml:space="preserve">م حرة </t>
        </is>
      </c>
      <c r="H1012" s="41" t="inlineStr">
        <is>
          <t>239314/5-200578/6</t>
        </is>
      </c>
      <c r="I1012" s="41" t="inlineStr">
        <is>
          <t>س و ا 2654</t>
        </is>
      </c>
      <c r="J1012" s="41" t="inlineStr">
        <is>
          <t xml:space="preserve">سعيد ابراهيم </t>
        </is>
      </c>
      <c r="K1012" s="41" t="inlineStr">
        <is>
          <t xml:space="preserve">محمد رمضان </t>
        </is>
      </c>
      <c r="L1012" s="42" t="n">
        <v>9500</v>
      </c>
      <c r="M1012" s="42" t="n">
        <v>8000</v>
      </c>
      <c r="N1012" s="42" t="n"/>
      <c r="O1012" s="42" t="n"/>
      <c r="P1012" s="42" t="n"/>
      <c r="Q1012" s="42" t="n">
        <v>1500</v>
      </c>
      <c r="R1012" s="43">
        <f>IF($B1012="","",N($S1012)-N($Q1012))</f>
        <v/>
      </c>
      <c r="S1012" s="43">
        <f>IF($B1012="","",N($L1012)+N($N1012)+N($P1012))</f>
        <v/>
      </c>
      <c r="T1012" s="42" t="n"/>
      <c r="U1012" s="42" t="n"/>
      <c r="V1012" s="42" t="n"/>
      <c r="W1012" s="42" t="n"/>
      <c r="X1012" s="42" t="n"/>
      <c r="Y1012" s="42" t="n"/>
      <c r="Z1012" s="42" t="n"/>
      <c r="AA1012" s="42" t="n"/>
      <c r="AB1012" s="42" t="n"/>
      <c r="AC1012" s="42" t="n"/>
      <c r="AD1012" s="42" t="n"/>
      <c r="AE1012" s="42" t="n"/>
      <c r="AF1012" s="43">
        <f>IF($B1012="","",SUM($T1012:$AE1012))</f>
        <v/>
      </c>
      <c r="AG1012" s="43">
        <f>IF($B1012="","",N($M1012)-N($AF1012))</f>
        <v/>
      </c>
      <c r="AH1012" s="43">
        <f>IF($B1012="","",N($L1012)-N($AF1012))</f>
        <v/>
      </c>
      <c r="AI1012" s="149">
        <f>IF($B1012="","",IF(N($L1012)=0,"",(N($L1012)-N($AF1012))/N($L1012)))</f>
        <v/>
      </c>
    </row>
    <row r="1013">
      <c r="A1013" s="39">
        <f>IF($B1013="","",COUNTA($B$4:$B1013))</f>
        <v/>
      </c>
      <c r="B1013" s="45" t="n">
        <v>46138</v>
      </c>
      <c r="C1013" s="46" t="n">
        <v>2760</v>
      </c>
      <c r="D1013" s="46" t="inlineStr">
        <is>
          <t xml:space="preserve">عزوز </t>
        </is>
      </c>
      <c r="E1013" s="46" t="inlineStr">
        <is>
          <t>2*20</t>
        </is>
      </c>
      <c r="F1013" s="46" t="inlineStr">
        <is>
          <t>سفنكس</t>
        </is>
      </c>
      <c r="G1013" s="46" t="inlineStr">
        <is>
          <t xml:space="preserve">م حرة </t>
        </is>
      </c>
      <c r="H1013" s="46" t="inlineStr">
        <is>
          <t>625439/0-120302/3</t>
        </is>
      </c>
      <c r="I1013" s="46" t="inlineStr">
        <is>
          <t>س ن ف 3647</t>
        </is>
      </c>
      <c r="J1013" s="46" t="inlineStr">
        <is>
          <t xml:space="preserve">اسامة عزوز </t>
        </is>
      </c>
      <c r="K1013" s="46" t="inlineStr">
        <is>
          <t xml:space="preserve">عزوز </t>
        </is>
      </c>
      <c r="L1013" s="47" t="n">
        <v>9500</v>
      </c>
      <c r="M1013" s="47" t="n">
        <v>8100</v>
      </c>
      <c r="N1013" s="47" t="n"/>
      <c r="O1013" s="47" t="n"/>
      <c r="P1013" s="47" t="n"/>
      <c r="Q1013" s="47" t="n">
        <v>1400</v>
      </c>
      <c r="R1013" s="43">
        <f>IF($B1013="","",N($S1013)-N($Q1013))</f>
        <v/>
      </c>
      <c r="S1013" s="43">
        <f>IF($B1013="","",N($L1013)+N($N1013)+N($P1013))</f>
        <v/>
      </c>
      <c r="T1013" s="47" t="n"/>
      <c r="U1013" s="47" t="n"/>
      <c r="V1013" s="47" t="n"/>
      <c r="W1013" s="47" t="n"/>
      <c r="X1013" s="47" t="n"/>
      <c r="Y1013" s="47" t="n"/>
      <c r="Z1013" s="47" t="n"/>
      <c r="AA1013" s="47" t="n"/>
      <c r="AB1013" s="47" t="n"/>
      <c r="AC1013" s="47" t="n"/>
      <c r="AD1013" s="47" t="n"/>
      <c r="AE1013" s="47" t="n"/>
      <c r="AF1013" s="43">
        <f>IF($B1013="","",SUM($T1013:$AE1013))</f>
        <v/>
      </c>
      <c r="AG1013" s="43">
        <f>IF($B1013="","",N($M1013)-N($AF1013))</f>
        <v/>
      </c>
      <c r="AH1013" s="43">
        <f>IF($B1013="","",N($L1013)-N($AF1013))</f>
        <v/>
      </c>
      <c r="AI1013" s="149">
        <f>IF($B1013="","",IF(N($L1013)=0,"",(N($L1013)-N($AF1013))/N($L1013)))</f>
        <v/>
      </c>
    </row>
    <row r="1014">
      <c r="A1014" s="39">
        <f>IF($B1014="","",COUNTA($B$4:$B1014))</f>
        <v/>
      </c>
      <c r="B1014" s="40" t="n">
        <v>46138</v>
      </c>
      <c r="C1014" s="41" t="n">
        <v>2759</v>
      </c>
      <c r="D1014" s="41" t="inlineStr">
        <is>
          <t xml:space="preserve">عزوز </t>
        </is>
      </c>
      <c r="E1014" s="41" t="inlineStr">
        <is>
          <t>2*20</t>
        </is>
      </c>
      <c r="F1014" s="41" t="inlineStr">
        <is>
          <t>سفنكس</t>
        </is>
      </c>
      <c r="G1014" s="41" t="inlineStr">
        <is>
          <t xml:space="preserve">م حرة </t>
        </is>
      </c>
      <c r="H1014" s="41" t="inlineStr">
        <is>
          <t>241949/7-191897/9</t>
        </is>
      </c>
      <c r="I1014" s="41" t="inlineStr">
        <is>
          <t>س و ا 3924</t>
        </is>
      </c>
      <c r="J1014" s="41" t="inlineStr">
        <is>
          <t xml:space="preserve">عزوز قبارى </t>
        </is>
      </c>
      <c r="K1014" s="41" t="inlineStr">
        <is>
          <t xml:space="preserve">عزوز </t>
        </is>
      </c>
      <c r="L1014" s="42" t="n">
        <v>9500</v>
      </c>
      <c r="M1014" s="42" t="n">
        <v>8100</v>
      </c>
      <c r="N1014" s="42" t="n"/>
      <c r="O1014" s="42" t="n"/>
      <c r="P1014" s="42" t="n"/>
      <c r="Q1014" s="42" t="n">
        <v>1400</v>
      </c>
      <c r="R1014" s="43">
        <f>IF($B1014="","",N($S1014)-N($Q1014))</f>
        <v/>
      </c>
      <c r="S1014" s="43">
        <f>IF($B1014="","",N($L1014)+N($N1014)+N($P1014))</f>
        <v/>
      </c>
      <c r="T1014" s="42" t="n"/>
      <c r="U1014" s="42" t="n"/>
      <c r="V1014" s="42" t="n"/>
      <c r="W1014" s="42" t="n"/>
      <c r="X1014" s="42" t="n"/>
      <c r="Y1014" s="42" t="n"/>
      <c r="Z1014" s="42" t="n"/>
      <c r="AA1014" s="42" t="n"/>
      <c r="AB1014" s="42" t="n"/>
      <c r="AC1014" s="42" t="n"/>
      <c r="AD1014" s="42" t="n"/>
      <c r="AE1014" s="42" t="n"/>
      <c r="AF1014" s="43">
        <f>IF($B1014="","",SUM($T1014:$AE1014))</f>
        <v/>
      </c>
      <c r="AG1014" s="43">
        <f>IF($B1014="","",N($M1014)-N($AF1014))</f>
        <v/>
      </c>
      <c r="AH1014" s="43">
        <f>IF($B1014="","",N($L1014)-N($AF1014))</f>
        <v/>
      </c>
      <c r="AI1014" s="149">
        <f>IF($B1014="","",IF(N($L1014)=0,"",(N($L1014)-N($AF1014))/N($L1014)))</f>
        <v/>
      </c>
    </row>
    <row r="1015">
      <c r="A1015" s="39">
        <f>IF($B1015="","",COUNTA($B$4:$B1015))</f>
        <v/>
      </c>
      <c r="B1015" s="45" t="n">
        <v>46139</v>
      </c>
      <c r="C1015" s="46" t="n">
        <v>2730</v>
      </c>
      <c r="D1015" s="46" t="inlineStr">
        <is>
          <t>محمد عتمان</t>
        </is>
      </c>
      <c r="E1015" s="46" t="inlineStr">
        <is>
          <t>1*40</t>
        </is>
      </c>
      <c r="F1015" s="46" t="inlineStr">
        <is>
          <t xml:space="preserve">اورينت </t>
        </is>
      </c>
      <c r="G1015" s="46" t="inlineStr">
        <is>
          <t xml:space="preserve">العاشر </t>
        </is>
      </c>
      <c r="H1015" s="46" t="inlineStr">
        <is>
          <t>966677/3</t>
        </is>
      </c>
      <c r="I1015" s="46" t="inlineStr">
        <is>
          <t>ص ع ا 1524</t>
        </is>
      </c>
      <c r="J1015" s="46" t="inlineStr">
        <is>
          <t xml:space="preserve">عبد العزيز </t>
        </is>
      </c>
      <c r="K1015" s="46" t="inlineStr">
        <is>
          <t>استوريا</t>
        </is>
      </c>
      <c r="L1015" s="47" t="n">
        <v>15300</v>
      </c>
      <c r="M1015" s="47" t="n">
        <v>8100</v>
      </c>
      <c r="N1015" s="47" t="n"/>
      <c r="O1015" s="47" t="n">
        <v>200</v>
      </c>
      <c r="P1015" s="47" t="n"/>
      <c r="Q1015" s="47" t="n">
        <v>7000</v>
      </c>
      <c r="R1015" s="43">
        <f>IF($B1015="","",N($S1015)-N($Q1015))</f>
        <v/>
      </c>
      <c r="S1015" s="43">
        <f>IF($B1015="","",N($L1015)+N($N1015)+N($P1015))</f>
        <v/>
      </c>
      <c r="T1015" s="47" t="n"/>
      <c r="U1015" s="47" t="n"/>
      <c r="V1015" s="47" t="n"/>
      <c r="W1015" s="47" t="n"/>
      <c r="X1015" s="47" t="n"/>
      <c r="Y1015" s="47" t="n"/>
      <c r="Z1015" s="47" t="n"/>
      <c r="AA1015" s="47" t="n"/>
      <c r="AB1015" s="47" t="n"/>
      <c r="AC1015" s="47" t="n"/>
      <c r="AD1015" s="47" t="n"/>
      <c r="AE1015" s="47" t="n"/>
      <c r="AF1015" s="43">
        <f>IF($B1015="","",SUM($T1015:$AE1015))</f>
        <v/>
      </c>
      <c r="AG1015" s="43">
        <f>IF($B1015="","",N($M1015)-N($AF1015))</f>
        <v/>
      </c>
      <c r="AH1015" s="43">
        <f>IF($B1015="","",N($L1015)-N($AF1015))</f>
        <v/>
      </c>
      <c r="AI1015" s="149">
        <f>IF($B1015="","",IF(N($L1015)=0,"",(N($L1015)-N($AF1015))/N($L1015)))</f>
        <v/>
      </c>
    </row>
    <row r="1016">
      <c r="A1016" s="39">
        <f>IF($B1016="","",COUNTA($B$4:$B1016))</f>
        <v/>
      </c>
      <c r="B1016" s="40" t="n">
        <v>46139</v>
      </c>
      <c r="C1016" s="41" t="n">
        <v>2729</v>
      </c>
      <c r="D1016" s="41" t="inlineStr">
        <is>
          <t xml:space="preserve">حاتم البحر </t>
        </is>
      </c>
      <c r="E1016" s="41" t="inlineStr">
        <is>
          <t>1*20</t>
        </is>
      </c>
      <c r="F1016" s="41" t="inlineStr">
        <is>
          <t>ايزيس</t>
        </is>
      </c>
      <c r="G1016" s="41" t="inlineStr">
        <is>
          <t xml:space="preserve">جمصة </t>
        </is>
      </c>
      <c r="H1016" s="41" t="inlineStr">
        <is>
          <t>202350/7</t>
        </is>
      </c>
      <c r="I1016" s="41" t="inlineStr">
        <is>
          <t>ب ص ا 1439</t>
        </is>
      </c>
      <c r="J1016" s="41" t="inlineStr">
        <is>
          <t xml:space="preserve">كرم مسعد </t>
        </is>
      </c>
      <c r="K1016" s="41" t="inlineStr">
        <is>
          <t>رومانى</t>
        </is>
      </c>
      <c r="L1016" s="42" t="n">
        <v>10000</v>
      </c>
      <c r="M1016" s="42" t="n">
        <v>7100</v>
      </c>
      <c r="N1016" s="42" t="n"/>
      <c r="O1016" s="42" t="n">
        <v>200</v>
      </c>
      <c r="P1016" s="42" t="n"/>
      <c r="Q1016" s="42" t="n">
        <v>2700</v>
      </c>
      <c r="R1016" s="43">
        <f>IF($B1016="","",N($S1016)-N($Q1016))</f>
        <v/>
      </c>
      <c r="S1016" s="43">
        <f>IF($B1016="","",N($L1016)+N($N1016)+N($P1016))</f>
        <v/>
      </c>
      <c r="T1016" s="42" t="n"/>
      <c r="U1016" s="42" t="n"/>
      <c r="V1016" s="42" t="n"/>
      <c r="W1016" s="42" t="n"/>
      <c r="X1016" s="42" t="n"/>
      <c r="Y1016" s="42" t="n"/>
      <c r="Z1016" s="42" t="n"/>
      <c r="AA1016" s="42" t="n"/>
      <c r="AB1016" s="42" t="n"/>
      <c r="AC1016" s="42" t="n"/>
      <c r="AD1016" s="42" t="n"/>
      <c r="AE1016" s="42" t="n"/>
      <c r="AF1016" s="43">
        <f>IF($B1016="","",SUM($T1016:$AE1016))</f>
        <v/>
      </c>
      <c r="AG1016" s="43">
        <f>IF($B1016="","",N($M1016)-N($AF1016))</f>
        <v/>
      </c>
      <c r="AH1016" s="43">
        <f>IF($B1016="","",N($L1016)-N($AF1016))</f>
        <v/>
      </c>
      <c r="AI1016" s="149">
        <f>IF($B1016="","",IF(N($L1016)=0,"",(N($L1016)-N($AF1016))/N($L1016)))</f>
        <v/>
      </c>
    </row>
    <row r="1017">
      <c r="A1017" s="39">
        <f>IF($B1017="","",COUNTA($B$4:$B1017))</f>
        <v/>
      </c>
      <c r="B1017" s="45" t="n">
        <v>46139</v>
      </c>
      <c r="C1017" s="46" t="n">
        <v>2731</v>
      </c>
      <c r="D1017" s="46" t="inlineStr">
        <is>
          <t xml:space="preserve">احمد عزت </t>
        </is>
      </c>
      <c r="E1017" s="46" t="inlineStr">
        <is>
          <t>1*40</t>
        </is>
      </c>
      <c r="F1017" s="46" t="inlineStr">
        <is>
          <t xml:space="preserve">ادفاليو </t>
        </is>
      </c>
      <c r="G1017" s="46" t="inlineStr">
        <is>
          <t xml:space="preserve">العاشر </t>
        </is>
      </c>
      <c r="H1017" s="46" t="inlineStr">
        <is>
          <t>887941/5</t>
        </is>
      </c>
      <c r="I1017" s="46" t="inlineStr">
        <is>
          <t>ب ج ى 7831</t>
        </is>
      </c>
      <c r="J1017" s="46" t="inlineStr">
        <is>
          <t xml:space="preserve">هشام احمد </t>
        </is>
      </c>
      <c r="K1017" s="46" t="inlineStr">
        <is>
          <t>الليبر</t>
        </is>
      </c>
      <c r="L1017" s="47" t="n">
        <v>15500</v>
      </c>
      <c r="M1017" s="47" t="n">
        <v>8100</v>
      </c>
      <c r="N1017" s="47" t="n"/>
      <c r="O1017" s="47" t="n">
        <v>200</v>
      </c>
      <c r="P1017" s="47" t="n"/>
      <c r="Q1017" s="47" t="n">
        <v>7200</v>
      </c>
      <c r="R1017" s="43">
        <f>IF($B1017="","",N($S1017)-N($Q1017))</f>
        <v/>
      </c>
      <c r="S1017" s="43">
        <f>IF($B1017="","",N($L1017)+N($N1017)+N($P1017))</f>
        <v/>
      </c>
      <c r="T1017" s="47" t="n"/>
      <c r="U1017" s="47" t="n"/>
      <c r="V1017" s="47" t="n"/>
      <c r="W1017" s="47" t="n"/>
      <c r="X1017" s="47" t="n"/>
      <c r="Y1017" s="47" t="n"/>
      <c r="Z1017" s="47" t="n"/>
      <c r="AA1017" s="47" t="n"/>
      <c r="AB1017" s="47" t="n"/>
      <c r="AC1017" s="47" t="n"/>
      <c r="AD1017" s="47" t="n"/>
      <c r="AE1017" s="47" t="n"/>
      <c r="AF1017" s="43">
        <f>IF($B1017="","",SUM($T1017:$AE1017))</f>
        <v/>
      </c>
      <c r="AG1017" s="43">
        <f>IF($B1017="","",N($M1017)-N($AF1017))</f>
        <v/>
      </c>
      <c r="AH1017" s="43">
        <f>IF($B1017="","",N($L1017)-N($AF1017))</f>
        <v/>
      </c>
      <c r="AI1017" s="149">
        <f>IF($B1017="","",IF(N($L1017)=0,"",(N($L1017)-N($AF1017))/N($L1017)))</f>
        <v/>
      </c>
    </row>
    <row r="1018">
      <c r="A1018" s="39">
        <f>IF($B1018="","",COUNTA($B$4:$B1018))</f>
        <v/>
      </c>
      <c r="B1018" s="40" t="n">
        <v>46139</v>
      </c>
      <c r="C1018" s="41" t="n">
        <v>2342</v>
      </c>
      <c r="D1018" s="41" t="inlineStr">
        <is>
          <t>المكتب</t>
        </is>
      </c>
      <c r="E1018" s="41" t="inlineStr">
        <is>
          <t>1*40 ث</t>
        </is>
      </c>
      <c r="F1018" s="41" t="inlineStr">
        <is>
          <t xml:space="preserve">انتراكو </t>
        </is>
      </c>
      <c r="G1018" s="41" t="inlineStr">
        <is>
          <t>الاسماعيليه</t>
        </is>
      </c>
      <c r="H1018" s="41" t="inlineStr">
        <is>
          <t>998079/6</t>
        </is>
      </c>
      <c r="I1018" s="41" t="inlineStr">
        <is>
          <t>س ع م 8737</t>
        </is>
      </c>
      <c r="J1018" s="41" t="inlineStr">
        <is>
          <t xml:space="preserve">احمد عوض </t>
        </is>
      </c>
      <c r="K1018" s="41" t="inlineStr">
        <is>
          <t xml:space="preserve">المكتب </t>
        </is>
      </c>
      <c r="L1018" s="42" t="n">
        <v>20000</v>
      </c>
      <c r="M1018" s="42" t="n">
        <v>3000</v>
      </c>
      <c r="N1018" s="42" t="n"/>
      <c r="O1018" s="42" t="n"/>
      <c r="P1018" s="42" t="n"/>
      <c r="Q1018" s="42" t="n">
        <v>17000</v>
      </c>
      <c r="R1018" s="43">
        <f>IF($B1018="","",N($S1018)-N($Q1018))</f>
        <v/>
      </c>
      <c r="S1018" s="43">
        <f>IF($B1018="","",N($L1018)+N($N1018)+N($P1018))</f>
        <v/>
      </c>
      <c r="T1018" s="42" t="n"/>
      <c r="U1018" s="42" t="n"/>
      <c r="V1018" s="42" t="n"/>
      <c r="W1018" s="42" t="n"/>
      <c r="X1018" s="42" t="n"/>
      <c r="Y1018" s="42" t="n"/>
      <c r="Z1018" s="42" t="n"/>
      <c r="AA1018" s="42" t="n"/>
      <c r="AB1018" s="42" t="n"/>
      <c r="AC1018" s="42" t="n"/>
      <c r="AD1018" s="42" t="n"/>
      <c r="AE1018" s="42" t="n"/>
      <c r="AF1018" s="43">
        <f>IF($B1018="","",SUM($T1018:$AE1018))</f>
        <v/>
      </c>
      <c r="AG1018" s="43">
        <f>IF($B1018="","",N($M1018)-N($AF1018))</f>
        <v/>
      </c>
      <c r="AH1018" s="43">
        <f>IF($B1018="","",N($L1018)-N($AF1018))</f>
        <v/>
      </c>
      <c r="AI1018" s="149">
        <f>IF($B1018="","",IF(N($L1018)=0,"",(N($L1018)-N($AF1018))/N($L1018)))</f>
        <v/>
      </c>
    </row>
    <row r="1019">
      <c r="A1019" s="39">
        <f>IF($B1019="","",COUNTA($B$4:$B1019))</f>
        <v/>
      </c>
      <c r="B1019" s="45" t="n">
        <v>46140</v>
      </c>
      <c r="C1019" s="46" t="n">
        <v>2345</v>
      </c>
      <c r="D1019" s="46" t="inlineStr">
        <is>
          <t>احمد خطاب</t>
        </is>
      </c>
      <c r="E1019" s="46" t="inlineStr">
        <is>
          <t>1*40 ث</t>
        </is>
      </c>
      <c r="F1019" s="46" t="inlineStr">
        <is>
          <t xml:space="preserve">انتراكو </t>
        </is>
      </c>
      <c r="G1019" s="46" t="inlineStr">
        <is>
          <t xml:space="preserve">النوبارية </t>
        </is>
      </c>
      <c r="H1019" s="46" t="inlineStr">
        <is>
          <t>901855/5</t>
        </is>
      </c>
      <c r="I1019" s="46" t="inlineStr">
        <is>
          <t>ع ص ا 2257</t>
        </is>
      </c>
      <c r="J1019" s="46" t="inlineStr">
        <is>
          <t xml:space="preserve">عماد عبد الرازق </t>
        </is>
      </c>
      <c r="K1019" s="46" t="inlineStr">
        <is>
          <t xml:space="preserve">ياسر غربية </t>
        </is>
      </c>
      <c r="L1019" s="47" t="n">
        <v>12500</v>
      </c>
      <c r="M1019" s="47" t="n">
        <v>8100</v>
      </c>
      <c r="N1019" s="47" t="n"/>
      <c r="O1019" s="47" t="n">
        <v>200</v>
      </c>
      <c r="P1019" s="47" t="n">
        <v>1000</v>
      </c>
      <c r="Q1019" s="47" t="n">
        <v>5200</v>
      </c>
      <c r="R1019" s="43">
        <f>IF($B1019="","",N($S1019)-N($Q1019))</f>
        <v/>
      </c>
      <c r="S1019" s="43">
        <f>IF($B1019="","",N($L1019)+N($N1019)+N($P1019))</f>
        <v/>
      </c>
      <c r="T1019" s="47" t="n"/>
      <c r="U1019" s="47" t="n"/>
      <c r="V1019" s="47" t="n"/>
      <c r="W1019" s="47" t="n"/>
      <c r="X1019" s="47" t="n"/>
      <c r="Y1019" s="47" t="n"/>
      <c r="Z1019" s="47" t="n"/>
      <c r="AA1019" s="47" t="n"/>
      <c r="AB1019" s="47" t="n"/>
      <c r="AC1019" s="47" t="n"/>
      <c r="AD1019" s="47" t="n"/>
      <c r="AE1019" s="47" t="n"/>
      <c r="AF1019" s="43">
        <f>IF($B1019="","",SUM($T1019:$AE1019))</f>
        <v/>
      </c>
      <c r="AG1019" s="43">
        <f>IF($B1019="","",N($M1019)-N($AF1019))</f>
        <v/>
      </c>
      <c r="AH1019" s="43">
        <f>IF($B1019="","",N($L1019)-N($AF1019))</f>
        <v/>
      </c>
      <c r="AI1019" s="149">
        <f>IF($B1019="","",IF(N($L1019)=0,"",(N($L1019)-N($AF1019))/N($L1019)))</f>
        <v/>
      </c>
    </row>
    <row r="1020">
      <c r="A1020" s="39">
        <f>IF($B1020="","",COUNTA($B$4:$B1020))</f>
        <v/>
      </c>
      <c r="B1020" s="40" t="n">
        <v>46140</v>
      </c>
      <c r="C1020" s="41" t="n">
        <v>2346</v>
      </c>
      <c r="D1020" s="41" t="inlineStr">
        <is>
          <t xml:space="preserve">الميكانيكى </t>
        </is>
      </c>
      <c r="E1020" s="41" t="inlineStr">
        <is>
          <t>1*40 ث</t>
        </is>
      </c>
      <c r="F1020" s="41" t="inlineStr">
        <is>
          <t xml:space="preserve">انتراكو </t>
        </is>
      </c>
      <c r="G1020" s="41" t="inlineStr">
        <is>
          <t xml:space="preserve">النوبارية </t>
        </is>
      </c>
      <c r="H1020" s="41" t="inlineStr">
        <is>
          <t>934899/0</t>
        </is>
      </c>
      <c r="I1020" s="41" t="inlineStr">
        <is>
          <t>س د ى 4174</t>
        </is>
      </c>
      <c r="J1020" s="41" t="inlineStr">
        <is>
          <t xml:space="preserve">محموج سيد </t>
        </is>
      </c>
      <c r="K1020" s="41" t="inlineStr">
        <is>
          <t xml:space="preserve">ممدوح الميكانيكى </t>
        </is>
      </c>
      <c r="L1020" s="42" t="n">
        <v>12500</v>
      </c>
      <c r="M1020" s="42" t="n">
        <v>4100</v>
      </c>
      <c r="N1020" s="42" t="n"/>
      <c r="O1020" s="42" t="n">
        <v>200</v>
      </c>
      <c r="P1020" s="42" t="n"/>
      <c r="Q1020" s="42" t="n">
        <v>8200</v>
      </c>
      <c r="R1020" s="43">
        <f>IF($B1020="","",N($S1020)-N($Q1020))</f>
        <v/>
      </c>
      <c r="S1020" s="43">
        <f>IF($B1020="","",N($L1020)+N($N1020)+N($P1020))</f>
        <v/>
      </c>
      <c r="T1020" s="42" t="n"/>
      <c r="U1020" s="42" t="n"/>
      <c r="V1020" s="42" t="n"/>
      <c r="W1020" s="42" t="n"/>
      <c r="X1020" s="42" t="n"/>
      <c r="Y1020" s="42" t="n"/>
      <c r="Z1020" s="42" t="n"/>
      <c r="AA1020" s="42" t="n"/>
      <c r="AB1020" s="42" t="n"/>
      <c r="AC1020" s="42" t="n"/>
      <c r="AD1020" s="42" t="n"/>
      <c r="AE1020" s="42" t="n"/>
      <c r="AF1020" s="43">
        <f>IF($B1020="","",SUM($T1020:$AE1020))</f>
        <v/>
      </c>
      <c r="AG1020" s="43">
        <f>IF($B1020="","",N($M1020)-N($AF1020))</f>
        <v/>
      </c>
      <c r="AH1020" s="43">
        <f>IF($B1020="","",N($L1020)-N($AF1020))</f>
        <v/>
      </c>
      <c r="AI1020" s="149">
        <f>IF($B1020="","",IF(N($L1020)=0,"",(N($L1020)-N($AF1020))/N($L1020)))</f>
        <v/>
      </c>
    </row>
    <row r="1021">
      <c r="A1021" s="39">
        <f>IF($B1021="","",COUNTA($B$4:$B1021))</f>
        <v/>
      </c>
      <c r="B1021" s="45" t="n">
        <v>46140</v>
      </c>
      <c r="C1021" s="46" t="n">
        <v>2347</v>
      </c>
      <c r="D1021" s="46" t="inlineStr">
        <is>
          <t>عتريس مخيمر  خ</t>
        </is>
      </c>
      <c r="E1021" s="46" t="inlineStr">
        <is>
          <t>1*40 ث</t>
        </is>
      </c>
      <c r="F1021" s="46" t="inlineStr">
        <is>
          <t xml:space="preserve">انتراكو </t>
        </is>
      </c>
      <c r="G1021" s="46" t="inlineStr">
        <is>
          <t xml:space="preserve">النوبارية </t>
        </is>
      </c>
      <c r="H1021" s="46" t="inlineStr">
        <is>
          <t>528486/5</t>
        </is>
      </c>
      <c r="I1021" s="46" t="inlineStr">
        <is>
          <t>ط ف ر 1474</t>
        </is>
      </c>
      <c r="J1021" s="46" t="inlineStr">
        <is>
          <t xml:space="preserve">جمال على </t>
        </is>
      </c>
      <c r="K1021" s="46" t="inlineStr">
        <is>
          <t xml:space="preserve">كريم خليف </t>
        </is>
      </c>
      <c r="L1021" s="47" t="n">
        <v>12500</v>
      </c>
      <c r="M1021" s="47" t="n">
        <v>8100</v>
      </c>
      <c r="N1021" s="47" t="n"/>
      <c r="O1021" s="47" t="n">
        <v>200</v>
      </c>
      <c r="P1021" s="47" t="n"/>
      <c r="Q1021" s="47" t="n">
        <v>4200</v>
      </c>
      <c r="R1021" s="43">
        <f>IF($B1021="","",N($S1021)-N($Q1021))</f>
        <v/>
      </c>
      <c r="S1021" s="43">
        <f>IF($B1021="","",N($L1021)+N($N1021)+N($P1021))</f>
        <v/>
      </c>
      <c r="T1021" s="47" t="n"/>
      <c r="U1021" s="47" t="n"/>
      <c r="V1021" s="47" t="n"/>
      <c r="W1021" s="47" t="n"/>
      <c r="X1021" s="47" t="n"/>
      <c r="Y1021" s="47" t="n"/>
      <c r="Z1021" s="47" t="n"/>
      <c r="AA1021" s="47" t="n"/>
      <c r="AB1021" s="47" t="n"/>
      <c r="AC1021" s="47" t="n"/>
      <c r="AD1021" s="47" t="n"/>
      <c r="AE1021" s="47" t="n"/>
      <c r="AF1021" s="43">
        <f>IF($B1021="","",SUM($T1021:$AE1021))</f>
        <v/>
      </c>
      <c r="AG1021" s="43">
        <f>IF($B1021="","",N($M1021)-N($AF1021))</f>
        <v/>
      </c>
      <c r="AH1021" s="43">
        <f>IF($B1021="","",N($L1021)-N($AF1021))</f>
        <v/>
      </c>
      <c r="AI1021" s="149">
        <f>IF($B1021="","",IF(N($L1021)=0,"",(N($L1021)-N($AF1021))/N($L1021)))</f>
        <v/>
      </c>
    </row>
    <row r="1022">
      <c r="A1022" s="39">
        <f>IF($B1022="","",COUNTA($B$4:$B1022))</f>
        <v/>
      </c>
      <c r="B1022" s="40" t="n">
        <v>46140</v>
      </c>
      <c r="C1022" s="41" t="n">
        <v>2343</v>
      </c>
      <c r="D1022" s="41" t="inlineStr">
        <is>
          <t>اسلام محروس</t>
        </is>
      </c>
      <c r="E1022" s="41" t="inlineStr">
        <is>
          <t xml:space="preserve">19 طرد </t>
        </is>
      </c>
      <c r="F1022" s="41" t="inlineStr">
        <is>
          <t xml:space="preserve">المصرية اليابانية </t>
        </is>
      </c>
      <c r="G1022" s="41" t="inlineStr">
        <is>
          <t xml:space="preserve">العاشر </t>
        </is>
      </c>
      <c r="H1022" s="41" t="n"/>
      <c r="I1022" s="41" t="inlineStr">
        <is>
          <t>ص ع ا 7462</t>
        </is>
      </c>
      <c r="J1022" s="41" t="inlineStr">
        <is>
          <t xml:space="preserve">طاهر الحجرى </t>
        </is>
      </c>
      <c r="K1022" s="41" t="inlineStr">
        <is>
          <t xml:space="preserve">الحجرى </t>
        </is>
      </c>
      <c r="L1022" s="42" t="n">
        <v>20000</v>
      </c>
      <c r="M1022" s="42" t="n">
        <v>12100</v>
      </c>
      <c r="N1022" s="42" t="n"/>
      <c r="O1022" s="42" t="n">
        <v>200</v>
      </c>
      <c r="P1022" s="42" t="n"/>
      <c r="Q1022" s="42" t="n">
        <v>7700</v>
      </c>
      <c r="R1022" s="43">
        <f>IF($B1022="","",N($S1022)-N($Q1022))</f>
        <v/>
      </c>
      <c r="S1022" s="43">
        <f>IF($B1022="","",N($L1022)+N($N1022)+N($P1022))</f>
        <v/>
      </c>
      <c r="T1022" s="42" t="n"/>
      <c r="U1022" s="42" t="n"/>
      <c r="V1022" s="42" t="n"/>
      <c r="W1022" s="42" t="n"/>
      <c r="X1022" s="42" t="n"/>
      <c r="Y1022" s="42" t="n"/>
      <c r="Z1022" s="42" t="n"/>
      <c r="AA1022" s="42" t="n"/>
      <c r="AB1022" s="42" t="n"/>
      <c r="AC1022" s="42" t="n"/>
      <c r="AD1022" s="42" t="n"/>
      <c r="AE1022" s="42" t="n"/>
      <c r="AF1022" s="43">
        <f>IF($B1022="","",SUM($T1022:$AE1022))</f>
        <v/>
      </c>
      <c r="AG1022" s="43">
        <f>IF($B1022="","",N($M1022)-N($AF1022))</f>
        <v/>
      </c>
      <c r="AH1022" s="43">
        <f>IF($B1022="","",N($L1022)-N($AF1022))</f>
        <v/>
      </c>
      <c r="AI1022" s="149">
        <f>IF($B1022="","",IF(N($L1022)=0,"",(N($L1022)-N($AF1022))/N($L1022)))</f>
        <v/>
      </c>
    </row>
    <row r="1023">
      <c r="A1023" s="39">
        <f>IF($B1023="","",COUNTA($B$4:$B1023))</f>
        <v/>
      </c>
      <c r="B1023" s="45" t="n">
        <v>46140</v>
      </c>
      <c r="C1023" s="46" t="n">
        <v>2344</v>
      </c>
      <c r="D1023" s="46" t="inlineStr">
        <is>
          <t>الشريف</t>
        </is>
      </c>
      <c r="E1023" s="46" t="inlineStr">
        <is>
          <t>22 طرد</t>
        </is>
      </c>
      <c r="F1023" s="46" t="inlineStr">
        <is>
          <t xml:space="preserve">المصرية اليابانية </t>
        </is>
      </c>
      <c r="G1023" s="46" t="inlineStr">
        <is>
          <t xml:space="preserve">العاشر </t>
        </is>
      </c>
      <c r="H1023" s="46" t="n"/>
      <c r="I1023" s="46" t="inlineStr">
        <is>
          <t>ع ا ن 3438</t>
        </is>
      </c>
      <c r="J1023" s="46" t="inlineStr">
        <is>
          <t xml:space="preserve">احمد زايد </t>
        </is>
      </c>
      <c r="K1023" s="46" t="inlineStr">
        <is>
          <t xml:space="preserve">ابو ادم </t>
        </is>
      </c>
      <c r="L1023" s="47" t="n">
        <v>20000</v>
      </c>
      <c r="M1023" s="47" t="n">
        <v>12100</v>
      </c>
      <c r="N1023" s="47" t="n"/>
      <c r="O1023" s="47" t="n">
        <v>200</v>
      </c>
      <c r="P1023" s="47" t="n"/>
      <c r="Q1023" s="47" t="n">
        <v>7700</v>
      </c>
      <c r="R1023" s="43">
        <f>IF($B1023="","",N($S1023)-N($Q1023))</f>
        <v/>
      </c>
      <c r="S1023" s="43">
        <f>IF($B1023="","",N($L1023)+N($N1023)+N($P1023))</f>
        <v/>
      </c>
      <c r="T1023" s="47" t="n"/>
      <c r="U1023" s="47" t="n"/>
      <c r="V1023" s="47" t="n"/>
      <c r="W1023" s="47" t="n"/>
      <c r="X1023" s="47" t="n"/>
      <c r="Y1023" s="47" t="n"/>
      <c r="Z1023" s="47" t="n"/>
      <c r="AA1023" s="47" t="n"/>
      <c r="AB1023" s="47" t="n"/>
      <c r="AC1023" s="47" t="n"/>
      <c r="AD1023" s="47" t="n"/>
      <c r="AE1023" s="47" t="n"/>
      <c r="AF1023" s="43">
        <f>IF($B1023="","",SUM($T1023:$AE1023))</f>
        <v/>
      </c>
      <c r="AG1023" s="43">
        <f>IF($B1023="","",N($M1023)-N($AF1023))</f>
        <v/>
      </c>
      <c r="AH1023" s="43">
        <f>IF($B1023="","",N($L1023)-N($AF1023))</f>
        <v/>
      </c>
      <c r="AI1023" s="149">
        <f>IF($B1023="","",IF(N($L1023)=0,"",(N($L1023)-N($AF1023))/N($L1023)))</f>
        <v/>
      </c>
    </row>
    <row r="1024">
      <c r="A1024" s="39">
        <f>IF($B1024="","",COUNTA($B$4:$B1024))</f>
        <v/>
      </c>
      <c r="B1024" s="40" t="n">
        <v>46140</v>
      </c>
      <c r="C1024" s="41" t="n">
        <v>2811</v>
      </c>
      <c r="D1024" s="41" t="inlineStr">
        <is>
          <t>حماد خ</t>
        </is>
      </c>
      <c r="E1024" s="41" t="inlineStr">
        <is>
          <t>2*20</t>
        </is>
      </c>
      <c r="F1024" s="41" t="inlineStr">
        <is>
          <t>سفير</t>
        </is>
      </c>
      <c r="G1024" s="41" t="inlineStr">
        <is>
          <t xml:space="preserve">اكتوبر </t>
        </is>
      </c>
      <c r="H1024" s="41" t="inlineStr">
        <is>
          <t>243764/3-336713/1</t>
        </is>
      </c>
      <c r="I1024" s="41" t="inlineStr">
        <is>
          <t>س ل م 7831</t>
        </is>
      </c>
      <c r="J1024" s="41" t="inlineStr">
        <is>
          <t xml:space="preserve">فارس الورى </t>
        </is>
      </c>
      <c r="K1024" s="41" t="inlineStr">
        <is>
          <t xml:space="preserve">البورى </t>
        </is>
      </c>
      <c r="L1024" s="42" t="n">
        <v>19200</v>
      </c>
      <c r="M1024" s="42" t="n">
        <v>11100</v>
      </c>
      <c r="N1024" s="42" t="n"/>
      <c r="O1024" s="42" t="n">
        <v>200</v>
      </c>
      <c r="P1024" s="42" t="n"/>
      <c r="Q1024" s="42" t="n">
        <v>7900</v>
      </c>
      <c r="R1024" s="43">
        <f>IF($B1024="","",N($S1024)-N($Q1024))</f>
        <v/>
      </c>
      <c r="S1024" s="43">
        <f>IF($B1024="","",N($L1024)+N($N1024)+N($P1024))</f>
        <v/>
      </c>
      <c r="T1024" s="42" t="n"/>
      <c r="U1024" s="42" t="n"/>
      <c r="V1024" s="42" t="n"/>
      <c r="W1024" s="42" t="n"/>
      <c r="X1024" s="42" t="n"/>
      <c r="Y1024" s="42" t="n"/>
      <c r="Z1024" s="42" t="n"/>
      <c r="AA1024" s="42" t="n"/>
      <c r="AB1024" s="42" t="n"/>
      <c r="AC1024" s="42" t="n"/>
      <c r="AD1024" s="42" t="n"/>
      <c r="AE1024" s="42" t="n"/>
      <c r="AF1024" s="43">
        <f>IF($B1024="","",SUM($T1024:$AE1024))</f>
        <v/>
      </c>
      <c r="AG1024" s="43">
        <f>IF($B1024="","",N($M1024)-N($AF1024))</f>
        <v/>
      </c>
      <c r="AH1024" s="43">
        <f>IF($B1024="","",N($L1024)-N($AF1024))</f>
        <v/>
      </c>
      <c r="AI1024" s="149">
        <f>IF($B1024="","",IF(N($L1024)=0,"",(N($L1024)-N($AF1024))/N($L1024)))</f>
        <v/>
      </c>
    </row>
    <row r="1025">
      <c r="A1025" s="39">
        <f>IF($B1025="","",COUNTA($B$4:$B1025))</f>
        <v/>
      </c>
      <c r="B1025" s="45" t="n">
        <v>46140</v>
      </c>
      <c r="C1025" s="46" t="n">
        <v>2810</v>
      </c>
      <c r="D1025" s="46" t="inlineStr">
        <is>
          <t xml:space="preserve">احمد محسن </t>
        </is>
      </c>
      <c r="E1025" s="46" t="inlineStr">
        <is>
          <t>1*40</t>
        </is>
      </c>
      <c r="F1025" s="46" t="inlineStr">
        <is>
          <t xml:space="preserve">ايتامكو </t>
        </is>
      </c>
      <c r="G1025" s="46" t="inlineStr">
        <is>
          <t xml:space="preserve">ط التحدى </t>
        </is>
      </c>
      <c r="H1025" s="46" t="inlineStr">
        <is>
          <t>451279/5</t>
        </is>
      </c>
      <c r="I1025" s="46" t="inlineStr">
        <is>
          <t>س ه ف 1387</t>
        </is>
      </c>
      <c r="J1025" s="46" t="inlineStr">
        <is>
          <t xml:space="preserve">عصام المغربى </t>
        </is>
      </c>
      <c r="K1025" s="46" t="inlineStr">
        <is>
          <t xml:space="preserve">احمد محسن </t>
        </is>
      </c>
      <c r="L1025" s="47" t="n">
        <v>12800</v>
      </c>
      <c r="M1025" s="47" t="n">
        <v>8100</v>
      </c>
      <c r="N1025" s="47" t="n"/>
      <c r="O1025" s="47" t="n">
        <v>200</v>
      </c>
      <c r="P1025" s="47" t="n">
        <v>12000</v>
      </c>
      <c r="Q1025" s="47" t="n">
        <v>16500</v>
      </c>
      <c r="R1025" s="43">
        <f>IF($B1025="","",N($S1025)-N($Q1025))</f>
        <v/>
      </c>
      <c r="S1025" s="43">
        <f>IF($B1025="","",N($L1025)+N($N1025)+N($P1025))</f>
        <v/>
      </c>
      <c r="T1025" s="47" t="n"/>
      <c r="U1025" s="47" t="n"/>
      <c r="V1025" s="47" t="n"/>
      <c r="W1025" s="47" t="n"/>
      <c r="X1025" s="47" t="n"/>
      <c r="Y1025" s="47" t="n"/>
      <c r="Z1025" s="47" t="n"/>
      <c r="AA1025" s="47" t="n"/>
      <c r="AB1025" s="47" t="n"/>
      <c r="AC1025" s="47" t="n"/>
      <c r="AD1025" s="47" t="n"/>
      <c r="AE1025" s="47" t="n"/>
      <c r="AF1025" s="43">
        <f>IF($B1025="","",SUM($T1025:$AE1025))</f>
        <v/>
      </c>
      <c r="AG1025" s="43">
        <f>IF($B1025="","",N($M1025)-N($AF1025))</f>
        <v/>
      </c>
      <c r="AH1025" s="43">
        <f>IF($B1025="","",N($L1025)-N($AF1025))</f>
        <v/>
      </c>
      <c r="AI1025" s="149">
        <f>IF($B1025="","",IF(N($L1025)=0,"",(N($L1025)-N($AF1025))/N($L1025)))</f>
        <v/>
      </c>
    </row>
    <row r="1026">
      <c r="A1026" s="39">
        <f>IF($B1026="","",COUNTA($B$4:$B1026))</f>
        <v/>
      </c>
      <c r="B1026" s="40" t="n">
        <v>46140</v>
      </c>
      <c r="C1026" s="41" t="n">
        <v>2805</v>
      </c>
      <c r="D1026" s="41" t="inlineStr">
        <is>
          <t xml:space="preserve">محمد سعيد </t>
        </is>
      </c>
      <c r="E1026" s="41" t="inlineStr">
        <is>
          <t>1*40</t>
        </is>
      </c>
      <c r="F1026" s="41" t="inlineStr">
        <is>
          <t xml:space="preserve">ايتامكو </t>
        </is>
      </c>
      <c r="G1026" s="41" t="inlineStr">
        <is>
          <t xml:space="preserve">ط التحدى </t>
        </is>
      </c>
      <c r="H1026" s="41" t="inlineStr">
        <is>
          <t>694277/7</t>
        </is>
      </c>
      <c r="I1026" s="41" t="inlineStr">
        <is>
          <t>س ن ب 9512</t>
        </is>
      </c>
      <c r="J1026" s="41" t="inlineStr">
        <is>
          <t xml:space="preserve">محمد عبد الحكيم </t>
        </is>
      </c>
      <c r="K1026" s="41" t="inlineStr">
        <is>
          <t xml:space="preserve">خفاجة </t>
        </is>
      </c>
      <c r="L1026" s="42" t="n">
        <v>12800</v>
      </c>
      <c r="M1026" s="42" t="n">
        <v>8100</v>
      </c>
      <c r="N1026" s="42" t="n"/>
      <c r="O1026" s="42" t="n">
        <v>200</v>
      </c>
      <c r="P1026" s="42" t="n"/>
      <c r="Q1026" s="42" t="n">
        <v>4500</v>
      </c>
      <c r="R1026" s="43">
        <f>IF($B1026="","",N($S1026)-N($Q1026))</f>
        <v/>
      </c>
      <c r="S1026" s="43">
        <f>IF($B1026="","",N($L1026)+N($N1026)+N($P1026))</f>
        <v/>
      </c>
      <c r="T1026" s="42" t="n"/>
      <c r="U1026" s="42" t="n"/>
      <c r="V1026" s="42" t="n"/>
      <c r="W1026" s="42" t="n"/>
      <c r="X1026" s="42" t="n"/>
      <c r="Y1026" s="42" t="n"/>
      <c r="Z1026" s="42" t="n"/>
      <c r="AA1026" s="42" t="n"/>
      <c r="AB1026" s="42" t="n"/>
      <c r="AC1026" s="42" t="n"/>
      <c r="AD1026" s="42" t="n"/>
      <c r="AE1026" s="42" t="n"/>
      <c r="AF1026" s="43">
        <f>IF($B1026="","",SUM($T1026:$AE1026))</f>
        <v/>
      </c>
      <c r="AG1026" s="43">
        <f>IF($B1026="","",N($M1026)-N($AF1026))</f>
        <v/>
      </c>
      <c r="AH1026" s="43">
        <f>IF($B1026="","",N($L1026)-N($AF1026))</f>
        <v/>
      </c>
      <c r="AI1026" s="149">
        <f>IF($B1026="","",IF(N($L1026)=0,"",(N($L1026)-N($AF1026))/N($L1026)))</f>
        <v/>
      </c>
    </row>
    <row r="1027">
      <c r="A1027" s="39">
        <f>IF($B1027="","",COUNTA($B$4:$B1027))</f>
        <v/>
      </c>
      <c r="B1027" s="45" t="n">
        <v>46140</v>
      </c>
      <c r="C1027" s="46" t="n">
        <v>2806</v>
      </c>
      <c r="D1027" s="46" t="inlineStr">
        <is>
          <t>رجب عبد العال</t>
        </is>
      </c>
      <c r="E1027" s="46" t="inlineStr">
        <is>
          <t>1*40</t>
        </is>
      </c>
      <c r="F1027" s="46" t="n"/>
      <c r="G1027" s="46" t="inlineStr">
        <is>
          <t xml:space="preserve">ط التحدى </t>
        </is>
      </c>
      <c r="H1027" s="46" t="inlineStr">
        <is>
          <t>694446/6</t>
        </is>
      </c>
      <c r="I1027" s="46" t="inlineStr">
        <is>
          <t>س ل ى 8432</t>
        </is>
      </c>
      <c r="J1027" s="46" t="inlineStr">
        <is>
          <t>طارق الجمل</t>
        </is>
      </c>
      <c r="K1027" s="46" t="inlineStr">
        <is>
          <t xml:space="preserve">الجمل </t>
        </is>
      </c>
      <c r="L1027" s="47" t="n">
        <v>12800</v>
      </c>
      <c r="M1027" s="47" t="n">
        <v>8100</v>
      </c>
      <c r="N1027" s="47" t="n"/>
      <c r="O1027" s="47" t="n">
        <v>200</v>
      </c>
      <c r="P1027" s="47" t="n"/>
      <c r="Q1027" s="47" t="n">
        <v>4500</v>
      </c>
      <c r="R1027" s="43">
        <f>IF($B1027="","",N($S1027)-N($Q1027))</f>
        <v/>
      </c>
      <c r="S1027" s="43">
        <f>IF($B1027="","",N($L1027)+N($N1027)+N($P1027))</f>
        <v/>
      </c>
      <c r="T1027" s="47" t="n"/>
      <c r="U1027" s="47" t="n"/>
      <c r="V1027" s="47" t="n"/>
      <c r="W1027" s="47" t="n"/>
      <c r="X1027" s="47" t="n"/>
      <c r="Y1027" s="47" t="n"/>
      <c r="Z1027" s="47" t="n"/>
      <c r="AA1027" s="47" t="n"/>
      <c r="AB1027" s="47" t="n"/>
      <c r="AC1027" s="47" t="n"/>
      <c r="AD1027" s="47" t="n"/>
      <c r="AE1027" s="47" t="n"/>
      <c r="AF1027" s="43">
        <f>IF($B1027="","",SUM($T1027:$AE1027))</f>
        <v/>
      </c>
      <c r="AG1027" s="43">
        <f>IF($B1027="","",N($M1027)-N($AF1027))</f>
        <v/>
      </c>
      <c r="AH1027" s="43">
        <f>IF($B1027="","",N($L1027)-N($AF1027))</f>
        <v/>
      </c>
      <c r="AI1027" s="149">
        <f>IF($B1027="","",IF(N($L1027)=0,"",(N($L1027)-N($AF1027))/N($L1027)))</f>
        <v/>
      </c>
    </row>
    <row r="1028">
      <c r="A1028" s="39">
        <f>IF($B1028="","",COUNTA($B$4:$B1028))</f>
        <v/>
      </c>
      <c r="B1028" s="40" t="n">
        <v>46140</v>
      </c>
      <c r="C1028" s="41" t="n">
        <v>2807</v>
      </c>
      <c r="D1028" s="41" t="inlineStr">
        <is>
          <t>الجمل</t>
        </is>
      </c>
      <c r="E1028" s="41" t="inlineStr">
        <is>
          <t>1*40</t>
        </is>
      </c>
      <c r="F1028" s="41" t="inlineStr">
        <is>
          <t xml:space="preserve">ايتامكو </t>
        </is>
      </c>
      <c r="G1028" s="41" t="inlineStr">
        <is>
          <t xml:space="preserve">ط التحدى </t>
        </is>
      </c>
      <c r="H1028" s="41" t="inlineStr">
        <is>
          <t>694605/2</t>
        </is>
      </c>
      <c r="I1028" s="41" t="inlineStr">
        <is>
          <t>س ص ى 3829</t>
        </is>
      </c>
      <c r="J1028" s="41" t="inlineStr">
        <is>
          <t xml:space="preserve">محمد امين </t>
        </is>
      </c>
      <c r="K1028" s="41" t="inlineStr">
        <is>
          <t xml:space="preserve">الجمل </t>
        </is>
      </c>
      <c r="L1028" s="42" t="n">
        <v>12800</v>
      </c>
      <c r="M1028" s="42" t="n">
        <v>8100</v>
      </c>
      <c r="N1028" s="42" t="n"/>
      <c r="O1028" s="42" t="n">
        <v>200</v>
      </c>
      <c r="P1028" s="42" t="n"/>
      <c r="Q1028" s="42" t="n">
        <v>4500</v>
      </c>
      <c r="R1028" s="43">
        <f>IF($B1028="","",N($S1028)-N($Q1028))</f>
        <v/>
      </c>
      <c r="S1028" s="43">
        <f>IF($B1028="","",N($L1028)+N($N1028)+N($P1028))</f>
        <v/>
      </c>
      <c r="T1028" s="42" t="n"/>
      <c r="U1028" s="42" t="n"/>
      <c r="V1028" s="42" t="n"/>
      <c r="W1028" s="42" t="n"/>
      <c r="X1028" s="42" t="n"/>
      <c r="Y1028" s="42" t="n"/>
      <c r="Z1028" s="42" t="n"/>
      <c r="AA1028" s="42" t="n"/>
      <c r="AB1028" s="42" t="n"/>
      <c r="AC1028" s="42" t="n"/>
      <c r="AD1028" s="42" t="n"/>
      <c r="AE1028" s="42" t="n"/>
      <c r="AF1028" s="43">
        <f>IF($B1028="","",SUM($T1028:$AE1028))</f>
        <v/>
      </c>
      <c r="AG1028" s="43">
        <f>IF($B1028="","",N($M1028)-N($AF1028))</f>
        <v/>
      </c>
      <c r="AH1028" s="43">
        <f>IF($B1028="","",N($L1028)-N($AF1028))</f>
        <v/>
      </c>
      <c r="AI1028" s="149">
        <f>IF($B1028="","",IF(N($L1028)=0,"",(N($L1028)-N($AF1028))/N($L1028)))</f>
        <v/>
      </c>
    </row>
    <row r="1029">
      <c r="A1029" s="39">
        <f>IF($B1029="","",COUNTA($B$4:$B1029))</f>
        <v/>
      </c>
      <c r="B1029" s="45" t="n">
        <v>46140</v>
      </c>
      <c r="C1029" s="46" t="n">
        <v>2808</v>
      </c>
      <c r="D1029" s="46" t="inlineStr">
        <is>
          <t>رجب عبد العال</t>
        </is>
      </c>
      <c r="E1029" s="46" t="inlineStr">
        <is>
          <t>1*40</t>
        </is>
      </c>
      <c r="F1029" s="46" t="inlineStr">
        <is>
          <t xml:space="preserve">ايتامكو </t>
        </is>
      </c>
      <c r="G1029" s="46" t="inlineStr">
        <is>
          <t xml:space="preserve">ط التحدى </t>
        </is>
      </c>
      <c r="H1029" s="46" t="inlineStr">
        <is>
          <t>695016/0</t>
        </is>
      </c>
      <c r="I1029" s="46" t="inlineStr">
        <is>
          <t>س ا و 6323</t>
        </is>
      </c>
      <c r="J1029" s="46" t="inlineStr">
        <is>
          <t xml:space="preserve">عمرو عبد الكريم </t>
        </is>
      </c>
      <c r="K1029" s="46" t="inlineStr">
        <is>
          <t xml:space="preserve">خفاجة </t>
        </is>
      </c>
      <c r="L1029" s="47" t="n">
        <v>12800</v>
      </c>
      <c r="M1029" s="47" t="n">
        <v>8100</v>
      </c>
      <c r="N1029" s="47" t="n"/>
      <c r="O1029" s="47" t="n">
        <v>200</v>
      </c>
      <c r="P1029" s="47" t="n"/>
      <c r="Q1029" s="47" t="n">
        <v>4500</v>
      </c>
      <c r="R1029" s="43">
        <f>IF($B1029="","",N($S1029)-N($Q1029))</f>
        <v/>
      </c>
      <c r="S1029" s="43">
        <f>IF($B1029="","",N($L1029)+N($N1029)+N($P1029))</f>
        <v/>
      </c>
      <c r="T1029" s="47" t="n"/>
      <c r="U1029" s="47" t="n"/>
      <c r="V1029" s="47" t="n"/>
      <c r="W1029" s="47" t="n"/>
      <c r="X1029" s="47" t="n"/>
      <c r="Y1029" s="47" t="n"/>
      <c r="Z1029" s="47" t="n"/>
      <c r="AA1029" s="47" t="n"/>
      <c r="AB1029" s="47" t="n"/>
      <c r="AC1029" s="47" t="n"/>
      <c r="AD1029" s="47" t="n"/>
      <c r="AE1029" s="47" t="n"/>
      <c r="AF1029" s="43">
        <f>IF($B1029="","",SUM($T1029:$AE1029))</f>
        <v/>
      </c>
      <c r="AG1029" s="43">
        <f>IF($B1029="","",N($M1029)-N($AF1029))</f>
        <v/>
      </c>
      <c r="AH1029" s="43">
        <f>IF($B1029="","",N($L1029)-N($AF1029))</f>
        <v/>
      </c>
      <c r="AI1029" s="149">
        <f>IF($B1029="","",IF(N($L1029)=0,"",(N($L1029)-N($AF1029))/N($L1029)))</f>
        <v/>
      </c>
    </row>
    <row r="1030">
      <c r="A1030" s="39">
        <f>IF($B1030="","",COUNTA($B$4:$B1030))</f>
        <v/>
      </c>
      <c r="B1030" s="40" t="n">
        <v>46140</v>
      </c>
      <c r="C1030" s="41" t="n">
        <v>2809</v>
      </c>
      <c r="D1030" s="41" t="inlineStr">
        <is>
          <t xml:space="preserve">محمد يحى </t>
        </is>
      </c>
      <c r="E1030" s="41" t="inlineStr">
        <is>
          <t>1*40</t>
        </is>
      </c>
      <c r="F1030" s="41" t="inlineStr">
        <is>
          <t xml:space="preserve">ايتامكو </t>
        </is>
      </c>
      <c r="G1030" s="41" t="inlineStr">
        <is>
          <t xml:space="preserve">ط التحدى </t>
        </is>
      </c>
      <c r="H1030" s="41" t="inlineStr">
        <is>
          <t>901192/0</t>
        </is>
      </c>
      <c r="I1030" s="41" t="inlineStr">
        <is>
          <t>س ر ا 6671</t>
        </is>
      </c>
      <c r="J1030" s="41" t="inlineStr">
        <is>
          <t xml:space="preserve">احمد الحسينى </t>
        </is>
      </c>
      <c r="K1030" s="41" t="inlineStr">
        <is>
          <t xml:space="preserve">حمو مرزوق </t>
        </is>
      </c>
      <c r="L1030" s="42" t="n">
        <v>12800</v>
      </c>
      <c r="M1030" s="42" t="n">
        <v>8100</v>
      </c>
      <c r="N1030" s="42" t="n"/>
      <c r="O1030" s="42" t="n">
        <v>200</v>
      </c>
      <c r="P1030" s="42" t="n"/>
      <c r="Q1030" s="42" t="n">
        <v>4500</v>
      </c>
      <c r="R1030" s="43">
        <f>IF($B1030="","",N($S1030)-N($Q1030))</f>
        <v/>
      </c>
      <c r="S1030" s="43">
        <f>IF($B1030="","",N($L1030)+N($N1030)+N($P1030))</f>
        <v/>
      </c>
      <c r="T1030" s="42" t="n"/>
      <c r="U1030" s="42" t="n"/>
      <c r="V1030" s="42" t="n"/>
      <c r="W1030" s="42" t="n"/>
      <c r="X1030" s="42" t="n"/>
      <c r="Y1030" s="42" t="n"/>
      <c r="Z1030" s="42" t="n"/>
      <c r="AA1030" s="42" t="n"/>
      <c r="AB1030" s="42" t="n"/>
      <c r="AC1030" s="42" t="n"/>
      <c r="AD1030" s="42" t="n"/>
      <c r="AE1030" s="42" t="n"/>
      <c r="AF1030" s="43">
        <f>IF($B1030="","",SUM($T1030:$AE1030))</f>
        <v/>
      </c>
      <c r="AG1030" s="43">
        <f>IF($B1030="","",N($M1030)-N($AF1030))</f>
        <v/>
      </c>
      <c r="AH1030" s="43">
        <f>IF($B1030="","",N($L1030)-N($AF1030))</f>
        <v/>
      </c>
      <c r="AI1030" s="149">
        <f>IF($B1030="","",IF(N($L1030)=0,"",(N($L1030)-N($AF1030))/N($L1030)))</f>
        <v/>
      </c>
    </row>
    <row r="1031">
      <c r="A1031" s="39">
        <f>IF($B1031="","",COUNTA($B$4:$B1031))</f>
        <v/>
      </c>
      <c r="B1031" s="45" t="n">
        <v>46140</v>
      </c>
      <c r="C1031" s="46" t="n">
        <v>2512</v>
      </c>
      <c r="D1031" s="46" t="inlineStr">
        <is>
          <t xml:space="preserve">محمد يحى </t>
        </is>
      </c>
      <c r="E1031" s="46" t="inlineStr">
        <is>
          <t>1*40 ث</t>
        </is>
      </c>
      <c r="F1031" s="46" t="inlineStr">
        <is>
          <t xml:space="preserve">جرين ميدوز </t>
        </is>
      </c>
      <c r="G1031" s="46" t="inlineStr">
        <is>
          <t xml:space="preserve">اكتوبر </t>
        </is>
      </c>
      <c r="H1031" s="46" t="inlineStr">
        <is>
          <t>542487/4</t>
        </is>
      </c>
      <c r="I1031" s="46" t="inlineStr">
        <is>
          <t>ع ر ب 1573</t>
        </is>
      </c>
      <c r="J1031" s="46" t="inlineStr">
        <is>
          <t xml:space="preserve">محمد السيد </t>
        </is>
      </c>
      <c r="K1031" s="46" t="inlineStr">
        <is>
          <t xml:space="preserve">حمو مرزوق </t>
        </is>
      </c>
      <c r="L1031" s="47" t="n">
        <v>16000</v>
      </c>
      <c r="M1031" s="47" t="n">
        <v>8100</v>
      </c>
      <c r="N1031" s="47" t="n"/>
      <c r="O1031" s="47" t="n">
        <v>200</v>
      </c>
      <c r="P1031" s="47" t="n"/>
      <c r="Q1031" s="47" t="n">
        <v>7700</v>
      </c>
      <c r="R1031" s="43">
        <f>IF($B1031="","",N($S1031)-N($Q1031))</f>
        <v/>
      </c>
      <c r="S1031" s="43">
        <f>IF($B1031="","",N($L1031)+N($N1031)+N($P1031))</f>
        <v/>
      </c>
      <c r="T1031" s="47" t="n"/>
      <c r="U1031" s="47" t="n"/>
      <c r="V1031" s="47" t="n"/>
      <c r="W1031" s="47" t="n"/>
      <c r="X1031" s="47" t="n"/>
      <c r="Y1031" s="47" t="n"/>
      <c r="Z1031" s="47" t="n"/>
      <c r="AA1031" s="47" t="n"/>
      <c r="AB1031" s="47" t="n"/>
      <c r="AC1031" s="47" t="n"/>
      <c r="AD1031" s="47" t="n"/>
      <c r="AE1031" s="47" t="n"/>
      <c r="AF1031" s="43">
        <f>IF($B1031="","",SUM($T1031:$AE1031))</f>
        <v/>
      </c>
      <c r="AG1031" s="43">
        <f>IF($B1031="","",N($M1031)-N($AF1031))</f>
        <v/>
      </c>
      <c r="AH1031" s="43">
        <f>IF($B1031="","",N($L1031)-N($AF1031))</f>
        <v/>
      </c>
      <c r="AI1031" s="149">
        <f>IF($B1031="","",IF(N($L1031)=0,"",(N($L1031)-N($AF1031))/N($L1031)))</f>
        <v/>
      </c>
    </row>
    <row r="1032">
      <c r="A1032" s="39">
        <f>IF($B1032="","",COUNTA($B$4:$B1032))</f>
        <v/>
      </c>
      <c r="B1032" s="40" t="n">
        <v>46141</v>
      </c>
      <c r="C1032" s="41" t="n">
        <v>2668</v>
      </c>
      <c r="D1032" s="41" t="inlineStr">
        <is>
          <t>الجمل</t>
        </is>
      </c>
      <c r="E1032" s="41" t="inlineStr">
        <is>
          <t>1*40</t>
        </is>
      </c>
      <c r="F1032" s="41" t="inlineStr">
        <is>
          <t xml:space="preserve">ايتامكو </t>
        </is>
      </c>
      <c r="G1032" s="41" t="inlineStr">
        <is>
          <t xml:space="preserve">ط التحدى </t>
        </is>
      </c>
      <c r="H1032" s="41" t="inlineStr">
        <is>
          <t>901322/3</t>
        </is>
      </c>
      <c r="I1032" s="41" t="inlineStr">
        <is>
          <t xml:space="preserve">  س ص ى 3829</t>
        </is>
      </c>
      <c r="J1032" s="41" t="inlineStr">
        <is>
          <t>طارق الجمل</t>
        </is>
      </c>
      <c r="K1032" s="41" t="inlineStr">
        <is>
          <t xml:space="preserve">طارق الجمل </t>
        </is>
      </c>
      <c r="L1032" s="42" t="n">
        <v>12800</v>
      </c>
      <c r="M1032" s="42" t="n">
        <v>8100</v>
      </c>
      <c r="N1032" s="42" t="n"/>
      <c r="O1032" s="42" t="n">
        <v>200</v>
      </c>
      <c r="P1032" s="42" t="n"/>
      <c r="Q1032" s="42" t="n">
        <v>4500</v>
      </c>
      <c r="R1032" s="43">
        <f>IF($B1032="","",N($S1032)-N($Q1032))</f>
        <v/>
      </c>
      <c r="S1032" s="43">
        <f>IF($B1032="","",N($L1032)+N($N1032)+N($P1032))</f>
        <v/>
      </c>
      <c r="T1032" s="42" t="n"/>
      <c r="U1032" s="42" t="n"/>
      <c r="V1032" s="42" t="n"/>
      <c r="W1032" s="42" t="n"/>
      <c r="X1032" s="42" t="n"/>
      <c r="Y1032" s="42" t="n"/>
      <c r="Z1032" s="42" t="n"/>
      <c r="AA1032" s="42" t="n"/>
      <c r="AB1032" s="42" t="n"/>
      <c r="AC1032" s="42" t="n"/>
      <c r="AD1032" s="42" t="n"/>
      <c r="AE1032" s="42" t="n"/>
      <c r="AF1032" s="43">
        <f>IF($B1032="","",SUM($T1032:$AE1032))</f>
        <v/>
      </c>
      <c r="AG1032" s="43">
        <f>IF($B1032="","",N($M1032)-N($AF1032))</f>
        <v/>
      </c>
      <c r="AH1032" s="43">
        <f>IF($B1032="","",N($L1032)-N($AF1032))</f>
        <v/>
      </c>
      <c r="AI1032" s="149">
        <f>IF($B1032="","",IF(N($L1032)=0,"",(N($L1032)-N($AF1032))/N($L1032)))</f>
        <v/>
      </c>
    </row>
    <row r="1033">
      <c r="A1033" s="39">
        <f>IF($B1033="","",COUNTA($B$4:$B1033))</f>
        <v/>
      </c>
      <c r="B1033" s="45" t="n">
        <v>46141</v>
      </c>
      <c r="C1033" s="46" t="n">
        <v>2669</v>
      </c>
      <c r="D1033" s="46" t="inlineStr">
        <is>
          <t xml:space="preserve">ابراهيم سمارة </t>
        </is>
      </c>
      <c r="E1033" s="46" t="inlineStr">
        <is>
          <t>1*40</t>
        </is>
      </c>
      <c r="F1033" s="46" t="inlineStr">
        <is>
          <t xml:space="preserve">ايتامكو </t>
        </is>
      </c>
      <c r="G1033" s="46" t="inlineStr">
        <is>
          <t xml:space="preserve">ط التحدى </t>
        </is>
      </c>
      <c r="H1033" s="46" t="inlineStr">
        <is>
          <t>498903/4</t>
        </is>
      </c>
      <c r="I1033" s="46" t="inlineStr">
        <is>
          <t>س ه ا 5896</t>
        </is>
      </c>
      <c r="J1033" s="46" t="inlineStr">
        <is>
          <t xml:space="preserve">ابراهيم السيد </t>
        </is>
      </c>
      <c r="K1033" s="46" t="inlineStr">
        <is>
          <t xml:space="preserve">حودة نصرية </t>
        </is>
      </c>
      <c r="L1033" s="47" t="n">
        <v>12800</v>
      </c>
      <c r="M1033" s="47" t="n">
        <v>8100</v>
      </c>
      <c r="N1033" s="47" t="n"/>
      <c r="O1033" s="47" t="n">
        <v>100</v>
      </c>
      <c r="P1033" s="47" t="n"/>
      <c r="Q1033" s="47" t="n">
        <v>4600</v>
      </c>
      <c r="R1033" s="43">
        <f>IF($B1033="","",N($S1033)-N($Q1033))</f>
        <v/>
      </c>
      <c r="S1033" s="43">
        <f>IF($B1033="","",N($L1033)+N($N1033)+N($P1033))</f>
        <v/>
      </c>
      <c r="T1033" s="47" t="n"/>
      <c r="U1033" s="47" t="n"/>
      <c r="V1033" s="47" t="n"/>
      <c r="W1033" s="47" t="n"/>
      <c r="X1033" s="47" t="n"/>
      <c r="Y1033" s="47" t="n"/>
      <c r="Z1033" s="47" t="n"/>
      <c r="AA1033" s="47" t="n"/>
      <c r="AB1033" s="47" t="n"/>
      <c r="AC1033" s="47" t="n"/>
      <c r="AD1033" s="47" t="n"/>
      <c r="AE1033" s="47" t="n"/>
      <c r="AF1033" s="43">
        <f>IF($B1033="","",SUM($T1033:$AE1033))</f>
        <v/>
      </c>
      <c r="AG1033" s="43">
        <f>IF($B1033="","",N($M1033)-N($AF1033))</f>
        <v/>
      </c>
      <c r="AH1033" s="43">
        <f>IF($B1033="","",N($L1033)-N($AF1033))</f>
        <v/>
      </c>
      <c r="AI1033" s="149">
        <f>IF($B1033="","",IF(N($L1033)=0,"",(N($L1033)-N($AF1033))/N($L1033)))</f>
        <v/>
      </c>
    </row>
    <row r="1034">
      <c r="A1034" s="39">
        <f>IF($B1034="","",COUNTA($B$4:$B1034))</f>
        <v/>
      </c>
      <c r="B1034" s="40" t="n">
        <v>46141</v>
      </c>
      <c r="C1034" s="41" t="n">
        <v>2670</v>
      </c>
      <c r="D1034" s="41" t="inlineStr">
        <is>
          <t xml:space="preserve">ابراهيم سمارة </t>
        </is>
      </c>
      <c r="E1034" s="41" t="inlineStr">
        <is>
          <t>1*40</t>
        </is>
      </c>
      <c r="F1034" s="41" t="inlineStr">
        <is>
          <t xml:space="preserve">ايتامكو </t>
        </is>
      </c>
      <c r="G1034" s="41" t="inlineStr">
        <is>
          <t xml:space="preserve">ط التحدى </t>
        </is>
      </c>
      <c r="H1034" s="41" t="inlineStr">
        <is>
          <t>695166/0</t>
        </is>
      </c>
      <c r="I1034" s="41" t="inlineStr">
        <is>
          <t>س د و 2868</t>
        </is>
      </c>
      <c r="J1034" s="41" t="inlineStr">
        <is>
          <t xml:space="preserve">حودة نصرية </t>
        </is>
      </c>
      <c r="K1034" s="41" t="inlineStr">
        <is>
          <t xml:space="preserve">حودة نصرية </t>
        </is>
      </c>
      <c r="L1034" s="42" t="n">
        <v>12800</v>
      </c>
      <c r="M1034" s="42" t="n">
        <v>8100</v>
      </c>
      <c r="N1034" s="42" t="n"/>
      <c r="O1034" s="42" t="n">
        <v>100</v>
      </c>
      <c r="P1034" s="42" t="n"/>
      <c r="Q1034" s="42" t="n">
        <v>4600</v>
      </c>
      <c r="R1034" s="43">
        <f>IF($B1034="","",N($S1034)-N($Q1034))</f>
        <v/>
      </c>
      <c r="S1034" s="43">
        <f>IF($B1034="","",N($L1034)+N($N1034)+N($P1034))</f>
        <v/>
      </c>
      <c r="T1034" s="42" t="n"/>
      <c r="U1034" s="42" t="n"/>
      <c r="V1034" s="42" t="n"/>
      <c r="W1034" s="42" t="n"/>
      <c r="X1034" s="42" t="n"/>
      <c r="Y1034" s="42" t="n"/>
      <c r="Z1034" s="42" t="n"/>
      <c r="AA1034" s="42" t="n"/>
      <c r="AB1034" s="42" t="n"/>
      <c r="AC1034" s="42" t="n"/>
      <c r="AD1034" s="42" t="n"/>
      <c r="AE1034" s="42" t="n"/>
      <c r="AF1034" s="43">
        <f>IF($B1034="","",SUM($T1034:$AE1034))</f>
        <v/>
      </c>
      <c r="AG1034" s="43">
        <f>IF($B1034="","",N($M1034)-N($AF1034))</f>
        <v/>
      </c>
      <c r="AH1034" s="43">
        <f>IF($B1034="","",N($L1034)-N($AF1034))</f>
        <v/>
      </c>
      <c r="AI1034" s="149">
        <f>IF($B1034="","",IF(N($L1034)=0,"",(N($L1034)-N($AF1034))/N($L1034)))</f>
        <v/>
      </c>
    </row>
    <row r="1035">
      <c r="A1035" s="39">
        <f>IF($B1035="","",COUNTA($B$4:$B1035))</f>
        <v/>
      </c>
      <c r="B1035" s="45" t="n">
        <v>46141</v>
      </c>
      <c r="C1035" s="46" t="n">
        <v>2671</v>
      </c>
      <c r="D1035" s="46" t="inlineStr">
        <is>
          <t>حماد خ</t>
        </is>
      </c>
      <c r="E1035" s="46" t="inlineStr">
        <is>
          <t>1*40</t>
        </is>
      </c>
      <c r="F1035" s="46" t="inlineStr">
        <is>
          <t xml:space="preserve">ايتامكو </t>
        </is>
      </c>
      <c r="G1035" s="46" t="inlineStr">
        <is>
          <t xml:space="preserve">ط التحدى </t>
        </is>
      </c>
      <c r="H1035" s="46" t="inlineStr">
        <is>
          <t>438708/9</t>
        </is>
      </c>
      <c r="I1035" s="46" t="inlineStr">
        <is>
          <t>س ا ه 8198</t>
        </is>
      </c>
      <c r="J1035" s="46" t="inlineStr">
        <is>
          <t xml:space="preserve">ايمن عبدة </t>
        </is>
      </c>
      <c r="K1035" s="46" t="inlineStr">
        <is>
          <t xml:space="preserve">علاء علام </t>
        </is>
      </c>
      <c r="L1035" s="47" t="n">
        <v>12800</v>
      </c>
      <c r="M1035" s="47" t="n">
        <v>8100</v>
      </c>
      <c r="N1035" s="47" t="n"/>
      <c r="O1035" s="47" t="n">
        <v>200</v>
      </c>
      <c r="P1035" s="47" t="n"/>
      <c r="Q1035" s="47" t="n">
        <v>4500</v>
      </c>
      <c r="R1035" s="43">
        <f>IF($B1035="","",N($S1035)-N($Q1035))</f>
        <v/>
      </c>
      <c r="S1035" s="43">
        <f>IF($B1035="","",N($L1035)+N($N1035)+N($P1035))</f>
        <v/>
      </c>
      <c r="T1035" s="47" t="n"/>
      <c r="U1035" s="47" t="n"/>
      <c r="V1035" s="47" t="n"/>
      <c r="W1035" s="47" t="n"/>
      <c r="X1035" s="47" t="n"/>
      <c r="Y1035" s="47" t="n"/>
      <c r="Z1035" s="47" t="n"/>
      <c r="AA1035" s="47" t="n"/>
      <c r="AB1035" s="47" t="n"/>
      <c r="AC1035" s="47" t="n"/>
      <c r="AD1035" s="47" t="n"/>
      <c r="AE1035" s="47" t="n"/>
      <c r="AF1035" s="43">
        <f>IF($B1035="","",SUM($T1035:$AE1035))</f>
        <v/>
      </c>
      <c r="AG1035" s="43">
        <f>IF($B1035="","",N($M1035)-N($AF1035))</f>
        <v/>
      </c>
      <c r="AH1035" s="43">
        <f>IF($B1035="","",N($L1035)-N($AF1035))</f>
        <v/>
      </c>
      <c r="AI1035" s="149">
        <f>IF($B1035="","",IF(N($L1035)=0,"",(N($L1035)-N($AF1035))/N($L1035)))</f>
        <v/>
      </c>
    </row>
    <row r="1036">
      <c r="A1036" s="39">
        <f>IF($B1036="","",COUNTA($B$4:$B1036))</f>
        <v/>
      </c>
      <c r="B1036" s="40" t="n">
        <v>46141</v>
      </c>
      <c r="C1036" s="41" t="n">
        <v>2812</v>
      </c>
      <c r="D1036" s="41" t="inlineStr">
        <is>
          <t xml:space="preserve">الانصارى </t>
        </is>
      </c>
      <c r="E1036" s="41" t="inlineStr">
        <is>
          <t>2*20</t>
        </is>
      </c>
      <c r="F1036" s="41" t="inlineStr">
        <is>
          <t xml:space="preserve">مصر بنى سويف </t>
        </is>
      </c>
      <c r="G1036" s="41" t="inlineStr">
        <is>
          <t>بنى سويف</t>
        </is>
      </c>
      <c r="H1036" s="41" t="inlineStr">
        <is>
          <t>231478/5-485270/0</t>
        </is>
      </c>
      <c r="I1036" s="41" t="inlineStr">
        <is>
          <t>ب ص ا 2574</t>
        </is>
      </c>
      <c r="J1036" s="41" t="inlineStr">
        <is>
          <t xml:space="preserve">محمد البحيرى </t>
        </is>
      </c>
      <c r="K1036" s="41" t="inlineStr">
        <is>
          <t xml:space="preserve">احمد خليف </t>
        </is>
      </c>
      <c r="L1036" s="42" t="n">
        <v>24000</v>
      </c>
      <c r="M1036" s="42" t="n">
        <v>12100</v>
      </c>
      <c r="N1036" s="42" t="n"/>
      <c r="O1036" s="42" t="n">
        <v>200</v>
      </c>
      <c r="P1036" s="42" t="n"/>
      <c r="Q1036" s="42" t="n">
        <v>11700</v>
      </c>
      <c r="R1036" s="43">
        <f>IF($B1036="","",N($S1036)-N($Q1036))</f>
        <v/>
      </c>
      <c r="S1036" s="43">
        <f>IF($B1036="","",N($L1036)+N($N1036)+N($P1036))</f>
        <v/>
      </c>
      <c r="T1036" s="42" t="n"/>
      <c r="U1036" s="42" t="n"/>
      <c r="V1036" s="42" t="n"/>
      <c r="W1036" s="42" t="n"/>
      <c r="X1036" s="42" t="n"/>
      <c r="Y1036" s="42" t="n"/>
      <c r="Z1036" s="42" t="n"/>
      <c r="AA1036" s="42" t="n"/>
      <c r="AB1036" s="42" t="n"/>
      <c r="AC1036" s="42" t="n"/>
      <c r="AD1036" s="42" t="n"/>
      <c r="AE1036" s="42" t="n"/>
      <c r="AF1036" s="43">
        <f>IF($B1036="","",SUM($T1036:$AE1036))</f>
        <v/>
      </c>
      <c r="AG1036" s="43">
        <f>IF($B1036="","",N($M1036)-N($AF1036))</f>
        <v/>
      </c>
      <c r="AH1036" s="43">
        <f>IF($B1036="","",N($L1036)-N($AF1036))</f>
        <v/>
      </c>
      <c r="AI1036" s="149">
        <f>IF($B1036="","",IF(N($L1036)=0,"",(N($L1036)-N($AF1036))/N($L1036)))</f>
        <v/>
      </c>
    </row>
    <row r="1037">
      <c r="A1037" s="39">
        <f>IF($B1037="","",COUNTA($B$4:$B1037))</f>
        <v/>
      </c>
      <c r="B1037" s="45" t="n">
        <v>46141</v>
      </c>
      <c r="C1037" s="46" t="n">
        <v>2813</v>
      </c>
      <c r="D1037" s="46" t="inlineStr">
        <is>
          <t>محمد عتمان</t>
        </is>
      </c>
      <c r="E1037" s="46" t="inlineStr">
        <is>
          <t>2*20</t>
        </is>
      </c>
      <c r="F1037" s="46" t="inlineStr">
        <is>
          <t xml:space="preserve">مصر بنى سويف </t>
        </is>
      </c>
      <c r="G1037" s="46" t="inlineStr">
        <is>
          <t>بنى سويف</t>
        </is>
      </c>
      <c r="H1037" s="46" t="inlineStr">
        <is>
          <t>004717/9-201069/5</t>
        </is>
      </c>
      <c r="I1037" s="46" t="inlineStr">
        <is>
          <t>ب د ن 6518</t>
        </is>
      </c>
      <c r="J1037" s="46" t="inlineStr">
        <is>
          <t xml:space="preserve">محمد الكيلانى </t>
        </is>
      </c>
      <c r="K1037" s="46" t="inlineStr">
        <is>
          <t>استوريا</t>
        </is>
      </c>
      <c r="L1037" s="47" t="n">
        <v>25000</v>
      </c>
      <c r="M1037" s="47" t="n">
        <v>12100</v>
      </c>
      <c r="N1037" s="47" t="n"/>
      <c r="O1037" s="47" t="n">
        <v>200</v>
      </c>
      <c r="P1037" s="47" t="n"/>
      <c r="Q1037" s="47" t="n">
        <v>12700</v>
      </c>
      <c r="R1037" s="43">
        <f>IF($B1037="","",N($S1037)-N($Q1037))</f>
        <v/>
      </c>
      <c r="S1037" s="43">
        <f>IF($B1037="","",N($L1037)+N($N1037)+N($P1037))</f>
        <v/>
      </c>
      <c r="T1037" s="47" t="n"/>
      <c r="U1037" s="47" t="n"/>
      <c r="V1037" s="47" t="n"/>
      <c r="W1037" s="47" t="n"/>
      <c r="X1037" s="47" t="n"/>
      <c r="Y1037" s="47" t="n"/>
      <c r="Z1037" s="47" t="n"/>
      <c r="AA1037" s="47" t="n"/>
      <c r="AB1037" s="47" t="n"/>
      <c r="AC1037" s="47" t="n"/>
      <c r="AD1037" s="47" t="n"/>
      <c r="AE1037" s="47" t="n"/>
      <c r="AF1037" s="43">
        <f>IF($B1037="","",SUM($T1037:$AE1037))</f>
        <v/>
      </c>
      <c r="AG1037" s="43">
        <f>IF($B1037="","",N($M1037)-N($AF1037))</f>
        <v/>
      </c>
      <c r="AH1037" s="43">
        <f>IF($B1037="","",N($L1037)-N($AF1037))</f>
        <v/>
      </c>
      <c r="AI1037" s="149">
        <f>IF($B1037="","",IF(N($L1037)=0,"",(N($L1037)-N($AF1037))/N($L1037)))</f>
        <v/>
      </c>
    </row>
    <row r="1038">
      <c r="A1038" s="39">
        <f>IF($B1038="","",COUNTA($B$4:$B1038))</f>
        <v/>
      </c>
      <c r="B1038" s="40" t="n">
        <v>46141</v>
      </c>
      <c r="C1038" s="41" t="n">
        <v>2770</v>
      </c>
      <c r="D1038" s="41" t="inlineStr">
        <is>
          <t xml:space="preserve">احمد عبدو </t>
        </is>
      </c>
      <c r="E1038" s="41" t="inlineStr">
        <is>
          <t>1*40</t>
        </is>
      </c>
      <c r="F1038" s="41" t="inlineStr">
        <is>
          <t>ظلال الشام</t>
        </is>
      </c>
      <c r="G1038" s="41" t="inlineStr">
        <is>
          <t xml:space="preserve">دمياط </t>
        </is>
      </c>
      <c r="H1038" s="41" t="inlineStr">
        <is>
          <t>737020/8</t>
        </is>
      </c>
      <c r="I1038" s="41" t="inlineStr">
        <is>
          <t>س ل ب 5917</t>
        </is>
      </c>
      <c r="J1038" s="41" t="inlineStr">
        <is>
          <t xml:space="preserve">محمد الطاير </t>
        </is>
      </c>
      <c r="K1038" s="41" t="inlineStr">
        <is>
          <t xml:space="preserve">علاء علام </t>
        </is>
      </c>
      <c r="L1038" s="42" t="n">
        <v>14000</v>
      </c>
      <c r="M1038" s="42" t="n">
        <v>8100</v>
      </c>
      <c r="N1038" s="42" t="n"/>
      <c r="O1038" s="42" t="n">
        <v>200</v>
      </c>
      <c r="P1038" s="42" t="n"/>
      <c r="Q1038" s="42" t="n">
        <v>5700</v>
      </c>
      <c r="R1038" s="43">
        <f>IF($B1038="","",N($S1038)-N($Q1038))</f>
        <v/>
      </c>
      <c r="S1038" s="43">
        <f>IF($B1038="","",N($L1038)+N($N1038)+N($P1038))</f>
        <v/>
      </c>
      <c r="T1038" s="42" t="n"/>
      <c r="U1038" s="42" t="n"/>
      <c r="V1038" s="42" t="n"/>
      <c r="W1038" s="42" t="n"/>
      <c r="X1038" s="42" t="n"/>
      <c r="Y1038" s="42" t="n"/>
      <c r="Z1038" s="42" t="n"/>
      <c r="AA1038" s="42" t="n"/>
      <c r="AB1038" s="42" t="n"/>
      <c r="AC1038" s="42" t="n"/>
      <c r="AD1038" s="42" t="n"/>
      <c r="AE1038" s="42" t="n"/>
      <c r="AF1038" s="43">
        <f>IF($B1038="","",SUM($T1038:$AE1038))</f>
        <v/>
      </c>
      <c r="AG1038" s="43">
        <f>IF($B1038="","",N($M1038)-N($AF1038))</f>
        <v/>
      </c>
      <c r="AH1038" s="43">
        <f>IF($B1038="","",N($L1038)-N($AF1038))</f>
        <v/>
      </c>
      <c r="AI1038" s="149">
        <f>IF($B1038="","",IF(N($L1038)=0,"",(N($L1038)-N($AF1038))/N($L1038)))</f>
        <v/>
      </c>
    </row>
    <row r="1039">
      <c r="A1039" s="39">
        <f>IF($B1039="","",COUNTA($B$4:$B1039))</f>
        <v/>
      </c>
      <c r="B1039" s="45" t="n">
        <v>46141</v>
      </c>
      <c r="C1039" s="46" t="n">
        <v>2771</v>
      </c>
      <c r="D1039" s="46" t="inlineStr">
        <is>
          <t xml:space="preserve">احمد عبدو </t>
        </is>
      </c>
      <c r="E1039" s="46" t="inlineStr">
        <is>
          <t>1*40</t>
        </is>
      </c>
      <c r="F1039" s="46" t="inlineStr">
        <is>
          <t>ظلال الشام</t>
        </is>
      </c>
      <c r="G1039" s="46" t="inlineStr">
        <is>
          <t xml:space="preserve">العاشر </t>
        </is>
      </c>
      <c r="H1039" s="46" t="inlineStr">
        <is>
          <t>505354/0</t>
        </is>
      </c>
      <c r="I1039" s="46" t="inlineStr">
        <is>
          <t>س ف ب 4187</t>
        </is>
      </c>
      <c r="J1039" s="46" t="inlineStr">
        <is>
          <t xml:space="preserve">نور محمد </t>
        </is>
      </c>
      <c r="K1039" s="46" t="inlineStr">
        <is>
          <t xml:space="preserve">حمو البيبى </t>
        </is>
      </c>
      <c r="L1039" s="47" t="n">
        <v>16000</v>
      </c>
      <c r="M1039" s="47" t="n">
        <v>8900</v>
      </c>
      <c r="N1039" s="47" t="n"/>
      <c r="O1039" s="47" t="n">
        <v>200</v>
      </c>
      <c r="P1039" s="47" t="n"/>
      <c r="Q1039" s="47" t="n">
        <v>6900</v>
      </c>
      <c r="R1039" s="43">
        <f>IF($B1039="","",N($S1039)-N($Q1039))</f>
        <v/>
      </c>
      <c r="S1039" s="43">
        <f>IF($B1039="","",N($L1039)+N($N1039)+N($P1039))</f>
        <v/>
      </c>
      <c r="T1039" s="47" t="n"/>
      <c r="U1039" s="47" t="n"/>
      <c r="V1039" s="47" t="n"/>
      <c r="W1039" s="47" t="n"/>
      <c r="X1039" s="47" t="n"/>
      <c r="Y1039" s="47" t="n"/>
      <c r="Z1039" s="47" t="n"/>
      <c r="AA1039" s="47" t="n"/>
      <c r="AB1039" s="47" t="n"/>
      <c r="AC1039" s="47" t="n"/>
      <c r="AD1039" s="47" t="n"/>
      <c r="AE1039" s="47" t="n"/>
      <c r="AF1039" s="43">
        <f>IF($B1039="","",SUM($T1039:$AE1039))</f>
        <v/>
      </c>
      <c r="AG1039" s="43">
        <f>IF($B1039="","",N($M1039)-N($AF1039))</f>
        <v/>
      </c>
      <c r="AH1039" s="43">
        <f>IF($B1039="","",N($L1039)-N($AF1039))</f>
        <v/>
      </c>
      <c r="AI1039" s="149">
        <f>IF($B1039="","",IF(N($L1039)=0,"",(N($L1039)-N($AF1039))/N($L1039)))</f>
        <v/>
      </c>
    </row>
    <row r="1040">
      <c r="A1040" s="39">
        <f>IF($B1040="","",COUNTA($B$4:$B1040))</f>
        <v/>
      </c>
      <c r="B1040" s="40" t="n">
        <v>46141</v>
      </c>
      <c r="C1040" s="41" t="n">
        <v>2772</v>
      </c>
      <c r="D1040" s="41" t="inlineStr">
        <is>
          <t xml:space="preserve">محمد يحى </t>
        </is>
      </c>
      <c r="E1040" s="41" t="inlineStr">
        <is>
          <t>1*40 ث</t>
        </is>
      </c>
      <c r="F1040" s="41" t="inlineStr">
        <is>
          <t xml:space="preserve">مصر استراليا </t>
        </is>
      </c>
      <c r="G1040" s="41" t="inlineStr">
        <is>
          <t>مزارع دينا</t>
        </is>
      </c>
      <c r="H1040" s="41" t="inlineStr">
        <is>
          <t>125099/3</t>
        </is>
      </c>
      <c r="I1040" s="41" t="inlineStr">
        <is>
          <t>س ر ا 6671</t>
        </is>
      </c>
      <c r="J1040" s="41" t="inlineStr">
        <is>
          <t xml:space="preserve">احمد الحسينى </t>
        </is>
      </c>
      <c r="K1040" s="41" t="inlineStr">
        <is>
          <t xml:space="preserve">حمو مرزوق </t>
        </is>
      </c>
      <c r="L1040" s="42" t="n">
        <v>15000</v>
      </c>
      <c r="M1040" s="42" t="n">
        <v>8100</v>
      </c>
      <c r="N1040" s="42" t="n"/>
      <c r="O1040" s="42" t="n">
        <v>200</v>
      </c>
      <c r="P1040" s="42" t="n"/>
      <c r="Q1040" s="42" t="n"/>
      <c r="R1040" s="43">
        <f>IF($B1040="","",N($S1040)-N($Q1040))</f>
        <v/>
      </c>
      <c r="S1040" s="43">
        <f>IF($B1040="","",N($L1040)+N($N1040)+N($P1040))</f>
        <v/>
      </c>
      <c r="T1040" s="42" t="n"/>
      <c r="U1040" s="42" t="n"/>
      <c r="V1040" s="42" t="n"/>
      <c r="W1040" s="42" t="n"/>
      <c r="X1040" s="42" t="n"/>
      <c r="Y1040" s="42" t="n"/>
      <c r="Z1040" s="42" t="n"/>
      <c r="AA1040" s="42" t="n"/>
      <c r="AB1040" s="42" t="n"/>
      <c r="AC1040" s="42" t="n"/>
      <c r="AD1040" s="42" t="n"/>
      <c r="AE1040" s="42" t="n"/>
      <c r="AF1040" s="43">
        <f>IF($B1040="","",SUM($T1040:$AE1040))</f>
        <v/>
      </c>
      <c r="AG1040" s="43">
        <f>IF($B1040="","",N($M1040)-N($AF1040))</f>
        <v/>
      </c>
      <c r="AH1040" s="43">
        <f>IF($B1040="","",N($L1040)-N($AF1040))</f>
        <v/>
      </c>
      <c r="AI1040" s="149">
        <f>IF($B1040="","",IF(N($L1040)=0,"",(N($L1040)-N($AF1040))/N($L1040)))</f>
        <v/>
      </c>
    </row>
    <row r="1041">
      <c r="A1041" s="39">
        <f>IF($B1041="","",COUNTA($B$4:$B1041))</f>
        <v/>
      </c>
      <c r="B1041" s="45" t="n">
        <v>46141</v>
      </c>
      <c r="C1041" s="46" t="n">
        <v>2773</v>
      </c>
      <c r="D1041" s="46" t="inlineStr">
        <is>
          <t>الزوز</t>
        </is>
      </c>
      <c r="E1041" s="46" t="inlineStr">
        <is>
          <t>1*40 ث</t>
        </is>
      </c>
      <c r="F1041" s="46" t="inlineStr">
        <is>
          <t xml:space="preserve">مصر استراليا </t>
        </is>
      </c>
      <c r="G1041" s="46" t="inlineStr">
        <is>
          <t>مزارع دينا</t>
        </is>
      </c>
      <c r="H1041" s="46" t="inlineStr">
        <is>
          <t>106968/0</t>
        </is>
      </c>
      <c r="I1041" s="46" t="inlineStr">
        <is>
          <t>س م ب 2945</t>
        </is>
      </c>
      <c r="J1041" s="46" t="inlineStr">
        <is>
          <t xml:space="preserve">صلاح الزوز </t>
        </is>
      </c>
      <c r="K1041" s="46" t="inlineStr">
        <is>
          <t xml:space="preserve">صلاح الزوز </t>
        </is>
      </c>
      <c r="L1041" s="47" t="n">
        <v>14500</v>
      </c>
      <c r="M1041" s="47" t="n">
        <v>8100</v>
      </c>
      <c r="N1041" s="47" t="n"/>
      <c r="O1041" s="47" t="n">
        <v>200</v>
      </c>
      <c r="P1041" s="47" t="n"/>
      <c r="Q1041" s="47" t="n">
        <v>6200</v>
      </c>
      <c r="R1041" s="43">
        <f>IF($B1041="","",N($S1041)-N($Q1041))</f>
        <v/>
      </c>
      <c r="S1041" s="43">
        <f>IF($B1041="","",N($L1041)+N($N1041)+N($P1041))</f>
        <v/>
      </c>
      <c r="T1041" s="47" t="n"/>
      <c r="U1041" s="47" t="n"/>
      <c r="V1041" s="47" t="n"/>
      <c r="W1041" s="47" t="n"/>
      <c r="X1041" s="47" t="n"/>
      <c r="Y1041" s="47" t="n"/>
      <c r="Z1041" s="47" t="n"/>
      <c r="AA1041" s="47" t="n"/>
      <c r="AB1041" s="47" t="n"/>
      <c r="AC1041" s="47" t="n"/>
      <c r="AD1041" s="47" t="n"/>
      <c r="AE1041" s="47" t="n"/>
      <c r="AF1041" s="43">
        <f>IF($B1041="","",SUM($T1041:$AE1041))</f>
        <v/>
      </c>
      <c r="AG1041" s="43">
        <f>IF($B1041="","",N($M1041)-N($AF1041))</f>
        <v/>
      </c>
      <c r="AH1041" s="43">
        <f>IF($B1041="","",N($L1041)-N($AF1041))</f>
        <v/>
      </c>
      <c r="AI1041" s="149">
        <f>IF($B1041="","",IF(N($L1041)=0,"",(N($L1041)-N($AF1041))/N($L1041)))</f>
        <v/>
      </c>
    </row>
    <row r="1042">
      <c r="A1042" s="39">
        <f>IF($B1042="","",COUNTA($B$4:$B1042))</f>
        <v/>
      </c>
      <c r="B1042" s="40" t="n">
        <v>46141</v>
      </c>
      <c r="C1042" s="41" t="n">
        <v>2766</v>
      </c>
      <c r="D1042" s="41" t="inlineStr">
        <is>
          <t>عتريس مخيمر  خ</t>
        </is>
      </c>
      <c r="E1042" s="41" t="inlineStr">
        <is>
          <t>1*40</t>
        </is>
      </c>
      <c r="F1042" s="41" t="inlineStr">
        <is>
          <t xml:space="preserve">السويدى بوليمرز </t>
        </is>
      </c>
      <c r="G1042" s="41" t="inlineStr">
        <is>
          <t xml:space="preserve">العاشر </t>
        </is>
      </c>
      <c r="H1042" s="41" t="inlineStr">
        <is>
          <t>637093/8</t>
        </is>
      </c>
      <c r="I1042" s="41" t="inlineStr">
        <is>
          <t>ق ل ب 4872</t>
        </is>
      </c>
      <c r="J1042" s="41" t="inlineStr">
        <is>
          <t xml:space="preserve">ايمن مسعد </t>
        </is>
      </c>
      <c r="K1042" s="41" t="n"/>
      <c r="L1042" s="42" t="n">
        <v>16000</v>
      </c>
      <c r="M1042" s="42" t="n">
        <v>9100</v>
      </c>
      <c r="N1042" s="42" t="n"/>
      <c r="O1042" s="42" t="n">
        <v>200</v>
      </c>
      <c r="P1042" s="42" t="n"/>
      <c r="Q1042" s="42" t="n">
        <v>6700</v>
      </c>
      <c r="R1042" s="43">
        <f>IF($B1042="","",N($S1042)-N($Q1042))</f>
        <v/>
      </c>
      <c r="S1042" s="43">
        <f>IF($B1042="","",N($L1042)+N($N1042)+N($P1042))</f>
        <v/>
      </c>
      <c r="T1042" s="42" t="n"/>
      <c r="U1042" s="42" t="n"/>
      <c r="V1042" s="42" t="n"/>
      <c r="W1042" s="42" t="n"/>
      <c r="X1042" s="42" t="n"/>
      <c r="Y1042" s="42" t="n"/>
      <c r="Z1042" s="42" t="n"/>
      <c r="AA1042" s="42" t="n"/>
      <c r="AB1042" s="42" t="n"/>
      <c r="AC1042" s="42" t="n"/>
      <c r="AD1042" s="42" t="n"/>
      <c r="AE1042" s="42" t="n"/>
      <c r="AF1042" s="43">
        <f>IF($B1042="","",SUM($T1042:$AE1042))</f>
        <v/>
      </c>
      <c r="AG1042" s="43">
        <f>IF($B1042="","",N($M1042)-N($AF1042))</f>
        <v/>
      </c>
      <c r="AH1042" s="43">
        <f>IF($B1042="","",N($L1042)-N($AF1042))</f>
        <v/>
      </c>
      <c r="AI1042" s="149">
        <f>IF($B1042="","",IF(N($L1042)=0,"",(N($L1042)-N($AF1042))/N($L1042)))</f>
        <v/>
      </c>
    </row>
    <row r="1043">
      <c r="A1043" s="39">
        <f>IF($B1043="","",COUNTA($B$4:$B1043))</f>
        <v/>
      </c>
      <c r="B1043" s="45" t="n">
        <v>46141</v>
      </c>
      <c r="C1043" s="46" t="n">
        <v>2767</v>
      </c>
      <c r="D1043" s="46" t="inlineStr">
        <is>
          <t>عتريس مخيمر  خ</t>
        </is>
      </c>
      <c r="E1043" s="46" t="inlineStr">
        <is>
          <t>1*40</t>
        </is>
      </c>
      <c r="F1043" s="46" t="inlineStr">
        <is>
          <t xml:space="preserve">السويدى بوليمرز </t>
        </is>
      </c>
      <c r="G1043" s="46" t="inlineStr">
        <is>
          <t xml:space="preserve">العاشر </t>
        </is>
      </c>
      <c r="H1043" s="46" t="inlineStr">
        <is>
          <t>893362/4</t>
        </is>
      </c>
      <c r="I1043" s="46" t="inlineStr">
        <is>
          <t>ق ف ن 2865</t>
        </is>
      </c>
      <c r="J1043" s="46" t="inlineStr">
        <is>
          <t xml:space="preserve">مصطفى البعلاوى </t>
        </is>
      </c>
      <c r="K1043" s="46" t="inlineStr">
        <is>
          <t xml:space="preserve">ايمن مسعد </t>
        </is>
      </c>
      <c r="L1043" s="47" t="n">
        <v>16000</v>
      </c>
      <c r="M1043" s="47" t="n">
        <v>9100</v>
      </c>
      <c r="N1043" s="47" t="n"/>
      <c r="O1043" s="47" t="n">
        <v>200</v>
      </c>
      <c r="P1043" s="47" t="n"/>
      <c r="Q1043" s="47" t="n">
        <v>6700</v>
      </c>
      <c r="R1043" s="43">
        <f>IF($B1043="","",N($S1043)-N($Q1043))</f>
        <v/>
      </c>
      <c r="S1043" s="43">
        <f>IF($B1043="","",N($L1043)+N($N1043)+N($P1043))</f>
        <v/>
      </c>
      <c r="T1043" s="47" t="n"/>
      <c r="U1043" s="47" t="n"/>
      <c r="V1043" s="47" t="n"/>
      <c r="W1043" s="47" t="n"/>
      <c r="X1043" s="47" t="n"/>
      <c r="Y1043" s="47" t="n"/>
      <c r="Z1043" s="47" t="n"/>
      <c r="AA1043" s="47" t="n"/>
      <c r="AB1043" s="47" t="n"/>
      <c r="AC1043" s="47" t="n"/>
      <c r="AD1043" s="47" t="n"/>
      <c r="AE1043" s="47" t="n"/>
      <c r="AF1043" s="43">
        <f>IF($B1043="","",SUM($T1043:$AE1043))</f>
        <v/>
      </c>
      <c r="AG1043" s="43">
        <f>IF($B1043="","",N($M1043)-N($AF1043))</f>
        <v/>
      </c>
      <c r="AH1043" s="43">
        <f>IF($B1043="","",N($L1043)-N($AF1043))</f>
        <v/>
      </c>
      <c r="AI1043" s="149">
        <f>IF($B1043="","",IF(N($L1043)=0,"",(N($L1043)-N($AF1043))/N($L1043)))</f>
        <v/>
      </c>
    </row>
    <row r="1044">
      <c r="A1044" s="39">
        <f>IF($B1044="","",COUNTA($B$4:$B1044))</f>
        <v/>
      </c>
      <c r="B1044" s="40" t="n">
        <v>46141</v>
      </c>
      <c r="C1044" s="41" t="n">
        <v>2768</v>
      </c>
      <c r="D1044" s="41" t="inlineStr">
        <is>
          <t>عتريس مخيمر  خ</t>
        </is>
      </c>
      <c r="E1044" s="41" t="inlineStr">
        <is>
          <t>1*40</t>
        </is>
      </c>
      <c r="F1044" s="41" t="inlineStr">
        <is>
          <t xml:space="preserve">السويدى بوليمرز </t>
        </is>
      </c>
      <c r="G1044" s="41" t="inlineStr">
        <is>
          <t xml:space="preserve">العاشر </t>
        </is>
      </c>
      <c r="H1044" s="41" t="inlineStr">
        <is>
          <t>644906/1</t>
        </is>
      </c>
      <c r="I1044" s="41" t="inlineStr">
        <is>
          <t>ق ف ن 1594</t>
        </is>
      </c>
      <c r="J1044" s="41" t="inlineStr">
        <is>
          <t xml:space="preserve">حسين ابراهيم </t>
        </is>
      </c>
      <c r="K1044" s="41" t="inlineStr">
        <is>
          <t xml:space="preserve">ايمن مسعد </t>
        </is>
      </c>
      <c r="L1044" s="42" t="n">
        <v>16000</v>
      </c>
      <c r="M1044" s="42" t="n">
        <v>9100</v>
      </c>
      <c r="N1044" s="42" t="n"/>
      <c r="O1044" s="42" t="n">
        <v>200</v>
      </c>
      <c r="P1044" s="42" t="n"/>
      <c r="Q1044" s="42" t="n">
        <v>6700</v>
      </c>
      <c r="R1044" s="43">
        <f>IF($B1044="","",N($S1044)-N($Q1044))</f>
        <v/>
      </c>
      <c r="S1044" s="43">
        <f>IF($B1044="","",N($L1044)+N($N1044)+N($P1044))</f>
        <v/>
      </c>
      <c r="T1044" s="42" t="n"/>
      <c r="U1044" s="42" t="n"/>
      <c r="V1044" s="42" t="n"/>
      <c r="W1044" s="42" t="n"/>
      <c r="X1044" s="42" t="n"/>
      <c r="Y1044" s="42" t="n"/>
      <c r="Z1044" s="42" t="n"/>
      <c r="AA1044" s="42" t="n"/>
      <c r="AB1044" s="42" t="n"/>
      <c r="AC1044" s="42" t="n"/>
      <c r="AD1044" s="42" t="n"/>
      <c r="AE1044" s="42" t="n"/>
      <c r="AF1044" s="43">
        <f>IF($B1044="","",SUM($T1044:$AE1044))</f>
        <v/>
      </c>
      <c r="AG1044" s="43">
        <f>IF($B1044="","",N($M1044)-N($AF1044))</f>
        <v/>
      </c>
      <c r="AH1044" s="43">
        <f>IF($B1044="","",N($L1044)-N($AF1044))</f>
        <v/>
      </c>
      <c r="AI1044" s="149">
        <f>IF($B1044="","",IF(N($L1044)=0,"",(N($L1044)-N($AF1044))/N($L1044)))</f>
        <v/>
      </c>
    </row>
    <row r="1045">
      <c r="A1045" s="39">
        <f>IF($B1045="","",COUNTA($B$4:$B1045))</f>
        <v/>
      </c>
      <c r="B1045" s="45" t="n">
        <v>46141</v>
      </c>
      <c r="C1045" s="46" t="n">
        <v>2769</v>
      </c>
      <c r="D1045" s="46" t="inlineStr">
        <is>
          <t xml:space="preserve">حاتم البحر </t>
        </is>
      </c>
      <c r="E1045" s="46" t="inlineStr">
        <is>
          <t>1*40</t>
        </is>
      </c>
      <c r="F1045" s="46" t="inlineStr">
        <is>
          <t xml:space="preserve">السويدى بوليمرز </t>
        </is>
      </c>
      <c r="G1045" s="46" t="inlineStr">
        <is>
          <t>العاشر</t>
        </is>
      </c>
      <c r="H1045" s="46" t="inlineStr">
        <is>
          <t>377365/3</t>
        </is>
      </c>
      <c r="I1045" s="46" t="inlineStr">
        <is>
          <t>م د ى 4123</t>
        </is>
      </c>
      <c r="J1045" s="46" t="inlineStr">
        <is>
          <t xml:space="preserve">احمد الغامرى </t>
        </is>
      </c>
      <c r="K1045" s="46" t="n"/>
      <c r="L1045" s="47" t="n">
        <v>16000</v>
      </c>
      <c r="M1045" s="47" t="n">
        <v>9100</v>
      </c>
      <c r="N1045" s="47" t="n"/>
      <c r="O1045" s="47" t="n">
        <v>200</v>
      </c>
      <c r="P1045" s="47" t="n"/>
      <c r="Q1045" s="47" t="n">
        <v>6700</v>
      </c>
      <c r="R1045" s="43">
        <f>IF($B1045="","",N($S1045)-N($Q1045))</f>
        <v/>
      </c>
      <c r="S1045" s="43">
        <f>IF($B1045="","",N($L1045)+N($N1045)+N($P1045))</f>
        <v/>
      </c>
      <c r="T1045" s="47" t="n"/>
      <c r="U1045" s="47" t="n"/>
      <c r="V1045" s="47" t="n"/>
      <c r="W1045" s="47" t="n"/>
      <c r="X1045" s="47" t="n"/>
      <c r="Y1045" s="47" t="n"/>
      <c r="Z1045" s="47" t="n"/>
      <c r="AA1045" s="47" t="n"/>
      <c r="AB1045" s="47" t="n"/>
      <c r="AC1045" s="47" t="n"/>
      <c r="AD1045" s="47" t="n"/>
      <c r="AE1045" s="47" t="n"/>
      <c r="AF1045" s="43">
        <f>IF($B1045="","",SUM($T1045:$AE1045))</f>
        <v/>
      </c>
      <c r="AG1045" s="43">
        <f>IF($B1045="","",N($M1045)-N($AF1045))</f>
        <v/>
      </c>
      <c r="AH1045" s="43">
        <f>IF($B1045="","",N($L1045)-N($AF1045))</f>
        <v/>
      </c>
      <c r="AI1045" s="149">
        <f>IF($B1045="","",IF(N($L1045)=0,"",(N($L1045)-N($AF1045))/N($L1045)))</f>
        <v/>
      </c>
    </row>
    <row r="1046">
      <c r="A1046" s="39">
        <f>IF($B1046="","",COUNTA($B$4:$B1046))</f>
        <v/>
      </c>
      <c r="B1046" s="40" t="n">
        <v>46141</v>
      </c>
      <c r="C1046" s="41" t="n">
        <v>2735</v>
      </c>
      <c r="D1046" s="41" t="inlineStr">
        <is>
          <t>مينا حكيم</t>
        </is>
      </c>
      <c r="E1046" s="41" t="inlineStr">
        <is>
          <t>1*40</t>
        </is>
      </c>
      <c r="F1046" s="41" t="inlineStr">
        <is>
          <t xml:space="preserve">السويدى بوليمرز </t>
        </is>
      </c>
      <c r="G1046" s="41" t="inlineStr">
        <is>
          <t>العاشر</t>
        </is>
      </c>
      <c r="H1046" s="41" t="inlineStr">
        <is>
          <t>542310/3</t>
        </is>
      </c>
      <c r="I1046" s="41" t="inlineStr">
        <is>
          <t>س ا ى 7585</t>
        </is>
      </c>
      <c r="J1046" s="41" t="n"/>
      <c r="K1046" s="41" t="inlineStr">
        <is>
          <t xml:space="preserve">مينا حكيم </t>
        </is>
      </c>
      <c r="L1046" s="42" t="n">
        <v>16000</v>
      </c>
      <c r="M1046" s="42" t="n">
        <v>10100</v>
      </c>
      <c r="N1046" s="42" t="n">
        <v>2500</v>
      </c>
      <c r="O1046" s="42" t="n">
        <v>200</v>
      </c>
      <c r="P1046" s="42" t="n"/>
      <c r="Q1046" s="42" t="n">
        <v>3200</v>
      </c>
      <c r="R1046" s="43">
        <f>IF($B1046="","",N($S1046)-N($Q1046))</f>
        <v/>
      </c>
      <c r="S1046" s="43">
        <f>IF($B1046="","",N($L1046)+N($N1046)+N($P1046))</f>
        <v/>
      </c>
      <c r="T1046" s="42" t="n"/>
      <c r="U1046" s="42" t="n"/>
      <c r="V1046" s="42" t="n"/>
      <c r="W1046" s="42" t="n"/>
      <c r="X1046" s="42" t="n"/>
      <c r="Y1046" s="42" t="n"/>
      <c r="Z1046" s="42" t="n"/>
      <c r="AA1046" s="42" t="n"/>
      <c r="AB1046" s="42" t="n"/>
      <c r="AC1046" s="42" t="n"/>
      <c r="AD1046" s="42" t="n"/>
      <c r="AE1046" s="42" t="n"/>
      <c r="AF1046" s="43">
        <f>IF($B1046="","",SUM($T1046:$AE1046))</f>
        <v/>
      </c>
      <c r="AG1046" s="43">
        <f>IF($B1046="","",N($M1046)-N($AF1046))</f>
        <v/>
      </c>
      <c r="AH1046" s="43">
        <f>IF($B1046="","",N($L1046)-N($AF1046))</f>
        <v/>
      </c>
      <c r="AI1046" s="149">
        <f>IF($B1046="","",IF(N($L1046)=0,"",(N($L1046)-N($AF1046))/N($L1046)))</f>
        <v/>
      </c>
    </row>
    <row r="1047">
      <c r="A1047" s="39">
        <f>IF($B1047="","",COUNTA($B$4:$B1047))</f>
        <v/>
      </c>
      <c r="B1047" s="45" t="n">
        <v>46141</v>
      </c>
      <c r="C1047" s="46" t="n">
        <v>2732</v>
      </c>
      <c r="D1047" s="46" t="inlineStr">
        <is>
          <t xml:space="preserve">حاتم البحر </t>
        </is>
      </c>
      <c r="E1047" s="46" t="inlineStr">
        <is>
          <t>1*40</t>
        </is>
      </c>
      <c r="F1047" s="46" t="inlineStr">
        <is>
          <t>كرستال عصفور</t>
        </is>
      </c>
      <c r="G1047" s="46" t="inlineStr">
        <is>
          <t xml:space="preserve">شبرا  </t>
        </is>
      </c>
      <c r="H1047" s="46" t="inlineStr">
        <is>
          <t>834086/2</t>
        </is>
      </c>
      <c r="I1047" s="46" t="inlineStr">
        <is>
          <t>س ر ا 5527</t>
        </is>
      </c>
      <c r="J1047" s="46" t="inlineStr">
        <is>
          <t xml:space="preserve">محمد عبد الكريم </t>
        </is>
      </c>
      <c r="K1047" s="46" t="inlineStr">
        <is>
          <t xml:space="preserve">سعد ماضى </t>
        </is>
      </c>
      <c r="L1047" s="47" t="n">
        <v>16000</v>
      </c>
      <c r="M1047" s="47" t="n">
        <v>9100</v>
      </c>
      <c r="N1047" s="47" t="n">
        <v>2800</v>
      </c>
      <c r="O1047" s="47" t="n">
        <v>200</v>
      </c>
      <c r="P1047" s="47" t="n"/>
      <c r="Q1047" s="47" t="n">
        <v>3900</v>
      </c>
      <c r="R1047" s="43">
        <f>IF($B1047="","",N($S1047)-N($Q1047))</f>
        <v/>
      </c>
      <c r="S1047" s="43">
        <f>IF($B1047="","",N($L1047)+N($N1047)+N($P1047))</f>
        <v/>
      </c>
      <c r="T1047" s="47" t="n"/>
      <c r="U1047" s="47" t="n"/>
      <c r="V1047" s="47" t="n"/>
      <c r="W1047" s="47" t="n"/>
      <c r="X1047" s="47" t="n"/>
      <c r="Y1047" s="47" t="n"/>
      <c r="Z1047" s="47" t="n"/>
      <c r="AA1047" s="47" t="n"/>
      <c r="AB1047" s="47" t="n"/>
      <c r="AC1047" s="47" t="n"/>
      <c r="AD1047" s="47" t="n"/>
      <c r="AE1047" s="47" t="n"/>
      <c r="AF1047" s="43">
        <f>IF($B1047="","",SUM($T1047:$AE1047))</f>
        <v/>
      </c>
      <c r="AG1047" s="43">
        <f>IF($B1047="","",N($M1047)-N($AF1047))</f>
        <v/>
      </c>
      <c r="AH1047" s="43">
        <f>IF($B1047="","",N($L1047)-N($AF1047))</f>
        <v/>
      </c>
      <c r="AI1047" s="149">
        <f>IF($B1047="","",IF(N($L1047)=0,"",(N($L1047)-N($AF1047))/N($L1047)))</f>
        <v/>
      </c>
    </row>
    <row r="1048">
      <c r="A1048" s="39">
        <f>IF($B1048="","",COUNTA($B$4:$B1048))</f>
        <v/>
      </c>
      <c r="B1048" s="40" t="n">
        <v>46141</v>
      </c>
      <c r="C1048" s="41" t="n">
        <v>2815</v>
      </c>
      <c r="D1048" s="41" t="inlineStr">
        <is>
          <t>الجوهرى</t>
        </is>
      </c>
      <c r="E1048" s="41" t="inlineStr">
        <is>
          <t>1*40</t>
        </is>
      </c>
      <c r="F1048" s="41" t="inlineStr">
        <is>
          <t>كرستال عصفور</t>
        </is>
      </c>
      <c r="G1048" s="41" t="inlineStr">
        <is>
          <t xml:space="preserve">شبرا  </t>
        </is>
      </c>
      <c r="H1048" s="41" t="inlineStr">
        <is>
          <t>850024/0</t>
        </is>
      </c>
      <c r="I1048" s="41" t="inlineStr">
        <is>
          <t>ب ج ع 4618</t>
        </is>
      </c>
      <c r="J1048" s="41" t="inlineStr">
        <is>
          <t>سعيد غلاب</t>
        </is>
      </c>
      <c r="K1048" s="41" t="inlineStr">
        <is>
          <t xml:space="preserve">شارون </t>
        </is>
      </c>
      <c r="L1048" s="42" t="n">
        <v>16000</v>
      </c>
      <c r="M1048" s="42" t="n">
        <v>8100</v>
      </c>
      <c r="N1048" s="42" t="n">
        <v>2000</v>
      </c>
      <c r="O1048" s="42" t="n">
        <v>200</v>
      </c>
      <c r="P1048" s="42" t="n"/>
      <c r="Q1048" s="42" t="n">
        <v>5700</v>
      </c>
      <c r="R1048" s="43">
        <f>IF($B1048="","",N($S1048)-N($Q1048))</f>
        <v/>
      </c>
      <c r="S1048" s="43">
        <f>IF($B1048="","",N($L1048)+N($N1048)+N($P1048))</f>
        <v/>
      </c>
      <c r="T1048" s="42" t="n"/>
      <c r="U1048" s="42" t="n"/>
      <c r="V1048" s="42" t="n"/>
      <c r="W1048" s="42" t="n"/>
      <c r="X1048" s="42" t="n"/>
      <c r="Y1048" s="42" t="n"/>
      <c r="Z1048" s="42" t="n"/>
      <c r="AA1048" s="42" t="n"/>
      <c r="AB1048" s="42" t="n"/>
      <c r="AC1048" s="42" t="n"/>
      <c r="AD1048" s="42" t="n"/>
      <c r="AE1048" s="42" t="n"/>
      <c r="AF1048" s="43">
        <f>IF($B1048="","",SUM($T1048:$AE1048))</f>
        <v/>
      </c>
      <c r="AG1048" s="43">
        <f>IF($B1048="","",N($M1048)-N($AF1048))</f>
        <v/>
      </c>
      <c r="AH1048" s="43">
        <f>IF($B1048="","",N($L1048)-N($AF1048))</f>
        <v/>
      </c>
      <c r="AI1048" s="149">
        <f>IF($B1048="","",IF(N($L1048)=0,"",(N($L1048)-N($AF1048))/N($L1048)))</f>
        <v/>
      </c>
    </row>
    <row r="1049">
      <c r="A1049" s="39">
        <f>IF($B1049="","",COUNTA($B$4:$B1049))</f>
        <v/>
      </c>
      <c r="B1049" s="45" t="n">
        <v>46141</v>
      </c>
      <c r="C1049" s="46" t="n">
        <v>2816</v>
      </c>
      <c r="D1049" s="46" t="inlineStr">
        <is>
          <t>الشريف</t>
        </is>
      </c>
      <c r="E1049" s="46" t="inlineStr">
        <is>
          <t>1*40</t>
        </is>
      </c>
      <c r="F1049" s="46" t="inlineStr">
        <is>
          <t>كرستال عصفور</t>
        </is>
      </c>
      <c r="G1049" s="46" t="inlineStr">
        <is>
          <t xml:space="preserve">شبرا  </t>
        </is>
      </c>
      <c r="H1049" s="46" t="inlineStr">
        <is>
          <t>849575/6</t>
        </is>
      </c>
      <c r="I1049" s="46" t="inlineStr">
        <is>
          <t>ب ف ط 3271</t>
        </is>
      </c>
      <c r="J1049" s="46" t="inlineStr">
        <is>
          <t xml:space="preserve">رامى حسين </t>
        </is>
      </c>
      <c r="K1049" s="46" t="inlineStr">
        <is>
          <t xml:space="preserve">شارون </t>
        </is>
      </c>
      <c r="L1049" s="47" t="n">
        <v>16000</v>
      </c>
      <c r="M1049" s="47" t="n">
        <v>8100</v>
      </c>
      <c r="N1049" s="47" t="n"/>
      <c r="O1049" s="47" t="n">
        <v>200</v>
      </c>
      <c r="P1049" s="47" t="n"/>
      <c r="Q1049" s="47" t="n">
        <v>7700</v>
      </c>
      <c r="R1049" s="43">
        <f>IF($B1049="","",N($S1049)-N($Q1049))</f>
        <v/>
      </c>
      <c r="S1049" s="43">
        <f>IF($B1049="","",N($L1049)+N($N1049)+N($P1049))</f>
        <v/>
      </c>
      <c r="T1049" s="47" t="n"/>
      <c r="U1049" s="47" t="n"/>
      <c r="V1049" s="47" t="n"/>
      <c r="W1049" s="47" t="n"/>
      <c r="X1049" s="47" t="n"/>
      <c r="Y1049" s="47" t="n"/>
      <c r="Z1049" s="47" t="n"/>
      <c r="AA1049" s="47" t="n"/>
      <c r="AB1049" s="47" t="n"/>
      <c r="AC1049" s="47" t="n"/>
      <c r="AD1049" s="47" t="n"/>
      <c r="AE1049" s="47" t="n"/>
      <c r="AF1049" s="43">
        <f>IF($B1049="","",SUM($T1049:$AE1049))</f>
        <v/>
      </c>
      <c r="AG1049" s="43">
        <f>IF($B1049="","",N($M1049)-N($AF1049))</f>
        <v/>
      </c>
      <c r="AH1049" s="43">
        <f>IF($B1049="","",N($L1049)-N($AF1049))</f>
        <v/>
      </c>
      <c r="AI1049" s="149">
        <f>IF($B1049="","",IF(N($L1049)=0,"",(N($L1049)-N($AF1049))/N($L1049)))</f>
        <v/>
      </c>
    </row>
    <row r="1050">
      <c r="A1050" s="39">
        <f>IF($B1050="","",COUNTA($B$4:$B1050))</f>
        <v/>
      </c>
      <c r="B1050" s="40" t="n">
        <v>46141</v>
      </c>
      <c r="C1050" s="41" t="n">
        <v>2348</v>
      </c>
      <c r="D1050" s="41" t="inlineStr">
        <is>
          <t>المكتب</t>
        </is>
      </c>
      <c r="E1050" s="41" t="inlineStr">
        <is>
          <t>2*20</t>
        </is>
      </c>
      <c r="F1050" s="41" t="inlineStr">
        <is>
          <t xml:space="preserve">الحناوى </t>
        </is>
      </c>
      <c r="G1050" s="41" t="inlineStr">
        <is>
          <t xml:space="preserve">السادات </t>
        </is>
      </c>
      <c r="H1050" s="41" t="inlineStr">
        <is>
          <t>266541/9-157520/9</t>
        </is>
      </c>
      <c r="I1050" s="41" t="inlineStr">
        <is>
          <t>س ع م 8737</t>
        </is>
      </c>
      <c r="J1050" s="41" t="inlineStr">
        <is>
          <t xml:space="preserve">احمد عوض </t>
        </is>
      </c>
      <c r="K1050" s="41" t="inlineStr">
        <is>
          <t xml:space="preserve">المكتب </t>
        </is>
      </c>
      <c r="L1050" s="42" t="n">
        <v>12800</v>
      </c>
      <c r="M1050" s="42" t="n">
        <v>3000</v>
      </c>
      <c r="N1050" s="42" t="n"/>
      <c r="O1050" s="42" t="n"/>
      <c r="P1050" s="42" t="n"/>
      <c r="Q1050" s="42" t="n">
        <v>9800</v>
      </c>
      <c r="R1050" s="43">
        <f>IF($B1050="","",N($S1050)-N($Q1050))</f>
        <v/>
      </c>
      <c r="S1050" s="43">
        <f>IF($B1050="","",N($L1050)+N($N1050)+N($P1050))</f>
        <v/>
      </c>
      <c r="T1050" s="42" t="n"/>
      <c r="U1050" s="42" t="n"/>
      <c r="V1050" s="42" t="n"/>
      <c r="W1050" s="42" t="n"/>
      <c r="X1050" s="42" t="n"/>
      <c r="Y1050" s="42" t="n"/>
      <c r="Z1050" s="42" t="n"/>
      <c r="AA1050" s="42" t="n"/>
      <c r="AB1050" s="42" t="n"/>
      <c r="AC1050" s="42" t="n"/>
      <c r="AD1050" s="42" t="n"/>
      <c r="AE1050" s="42" t="n"/>
      <c r="AF1050" s="43">
        <f>IF($B1050="","",SUM($T1050:$AE1050))</f>
        <v/>
      </c>
      <c r="AG1050" s="43">
        <f>IF($B1050="","",N($M1050)-N($AF1050))</f>
        <v/>
      </c>
      <c r="AH1050" s="43">
        <f>IF($B1050="","",N($L1050)-N($AF1050))</f>
        <v/>
      </c>
      <c r="AI1050" s="149">
        <f>IF($B1050="","",IF(N($L1050)=0,"",(N($L1050)-N($AF1050))/N($L1050)))</f>
        <v/>
      </c>
    </row>
    <row r="1051">
      <c r="A1051" s="39">
        <f>IF($B1051="","",COUNTA($B$4:$B1051))</f>
        <v/>
      </c>
      <c r="B1051" s="45" t="n">
        <v>46142</v>
      </c>
      <c r="C1051" s="46" t="n">
        <v>2517</v>
      </c>
      <c r="D1051" s="46" t="inlineStr">
        <is>
          <t>رجب عبد العال</t>
        </is>
      </c>
      <c r="E1051" s="46" t="inlineStr">
        <is>
          <t>2*20</t>
        </is>
      </c>
      <c r="F1051" s="46" t="inlineStr">
        <is>
          <t xml:space="preserve">مطاحن التاج </t>
        </is>
      </c>
      <c r="G1051" s="46" t="inlineStr">
        <is>
          <t xml:space="preserve">اكتوبر </t>
        </is>
      </c>
      <c r="H1051" s="46" t="inlineStr">
        <is>
          <t>200437/3-202184/9</t>
        </is>
      </c>
      <c r="I1051" s="46" t="inlineStr">
        <is>
          <t>س ل ا 6325</t>
        </is>
      </c>
      <c r="J1051" s="46" t="inlineStr">
        <is>
          <t xml:space="preserve">احمد عبد المنعم </t>
        </is>
      </c>
      <c r="K1051" s="46" t="inlineStr">
        <is>
          <t>غزال</t>
        </is>
      </c>
      <c r="L1051" s="47" t="n">
        <v>19200</v>
      </c>
      <c r="M1051" s="47" t="n">
        <v>10100</v>
      </c>
      <c r="N1051" s="47" t="n"/>
      <c r="O1051" s="47" t="n">
        <v>200</v>
      </c>
      <c r="P1051" s="47" t="n"/>
      <c r="Q1051" s="47" t="n">
        <v>8900</v>
      </c>
      <c r="R1051" s="43">
        <f>IF($B1051="","",N($S1051)-N($Q1051))</f>
        <v/>
      </c>
      <c r="S1051" s="43">
        <f>IF($B1051="","",N($L1051)+N($N1051)+N($P1051))</f>
        <v/>
      </c>
      <c r="T1051" s="47" t="n"/>
      <c r="U1051" s="47" t="n"/>
      <c r="V1051" s="47" t="n"/>
      <c r="W1051" s="47" t="n"/>
      <c r="X1051" s="47" t="n"/>
      <c r="Y1051" s="47" t="n"/>
      <c r="Z1051" s="47" t="n"/>
      <c r="AA1051" s="47" t="n"/>
      <c r="AB1051" s="47" t="n"/>
      <c r="AC1051" s="47" t="n"/>
      <c r="AD1051" s="47" t="n"/>
      <c r="AE1051" s="47" t="n"/>
      <c r="AF1051" s="43">
        <f>IF($B1051="","",SUM($T1051:$AE1051))</f>
        <v/>
      </c>
      <c r="AG1051" s="43">
        <f>IF($B1051="","",N($M1051)-N($AF1051))</f>
        <v/>
      </c>
      <c r="AH1051" s="43">
        <f>IF($B1051="","",N($L1051)-N($AF1051))</f>
        <v/>
      </c>
      <c r="AI1051" s="149">
        <f>IF($B1051="","",IF(N($L1051)=0,"",(N($L1051)-N($AF1051))/N($L1051)))</f>
        <v/>
      </c>
    </row>
    <row r="1052">
      <c r="A1052" s="39">
        <f>IF($B1052="","",COUNTA($B$4:$B1052))</f>
        <v/>
      </c>
      <c r="B1052" s="40" t="n">
        <v>46142</v>
      </c>
      <c r="C1052" s="41" t="n">
        <v>2516</v>
      </c>
      <c r="D1052" s="41" t="inlineStr">
        <is>
          <t>رجب عبد العال</t>
        </is>
      </c>
      <c r="E1052" s="41" t="inlineStr">
        <is>
          <t>2*20</t>
        </is>
      </c>
      <c r="F1052" s="41" t="inlineStr">
        <is>
          <t xml:space="preserve">مطاحن التاج </t>
        </is>
      </c>
      <c r="G1052" s="41" t="inlineStr">
        <is>
          <t xml:space="preserve">اكتوبر </t>
        </is>
      </c>
      <c r="H1052" s="41" t="inlineStr">
        <is>
          <t>139436/2-196774/1</t>
        </is>
      </c>
      <c r="I1052" s="41" t="inlineStr">
        <is>
          <t>س ل م 7518</t>
        </is>
      </c>
      <c r="J1052" s="41" t="inlineStr">
        <is>
          <t xml:space="preserve">محمد عبد المنعم </t>
        </is>
      </c>
      <c r="K1052" s="41" t="inlineStr">
        <is>
          <t>غزال</t>
        </is>
      </c>
      <c r="L1052" s="42" t="n">
        <v>19200</v>
      </c>
      <c r="M1052" s="42" t="n">
        <v>10100</v>
      </c>
      <c r="N1052" s="42" t="n"/>
      <c r="O1052" s="42" t="n">
        <v>200</v>
      </c>
      <c r="P1052" s="42" t="n"/>
      <c r="Q1052" s="42" t="n">
        <v>8900</v>
      </c>
      <c r="R1052" s="43">
        <f>IF($B1052="","",N($S1052)-N($Q1052))</f>
        <v/>
      </c>
      <c r="S1052" s="43">
        <f>IF($B1052="","",N($L1052)+N($N1052)+N($P1052))</f>
        <v/>
      </c>
      <c r="T1052" s="42" t="n"/>
      <c r="U1052" s="42" t="n"/>
      <c r="V1052" s="42" t="n"/>
      <c r="W1052" s="42" t="n"/>
      <c r="X1052" s="42" t="n"/>
      <c r="Y1052" s="42" t="n"/>
      <c r="Z1052" s="42" t="n"/>
      <c r="AA1052" s="42" t="n"/>
      <c r="AB1052" s="42" t="n"/>
      <c r="AC1052" s="42" t="n"/>
      <c r="AD1052" s="42" t="n"/>
      <c r="AE1052" s="42" t="n"/>
      <c r="AF1052" s="43">
        <f>IF($B1052="","",SUM($T1052:$AE1052))</f>
        <v/>
      </c>
      <c r="AG1052" s="43">
        <f>IF($B1052="","",N($M1052)-N($AF1052))</f>
        <v/>
      </c>
      <c r="AH1052" s="43">
        <f>IF($B1052="","",N($L1052)-N($AF1052))</f>
        <v/>
      </c>
      <c r="AI1052" s="149">
        <f>IF($B1052="","",IF(N($L1052)=0,"",(N($L1052)-N($AF1052))/N($L1052)))</f>
        <v/>
      </c>
    </row>
    <row r="1053">
      <c r="A1053" s="39">
        <f>IF($B1053="","",COUNTA($B$4:$B1053))</f>
        <v/>
      </c>
      <c r="B1053" s="45" t="n">
        <v>46142</v>
      </c>
      <c r="C1053" s="46" t="n">
        <v>2515</v>
      </c>
      <c r="D1053" s="46" t="inlineStr">
        <is>
          <t>رجب عبد العال</t>
        </is>
      </c>
      <c r="E1053" s="46" t="inlineStr">
        <is>
          <t>2*20</t>
        </is>
      </c>
      <c r="F1053" s="46" t="inlineStr">
        <is>
          <t xml:space="preserve">مطاحن التاج </t>
        </is>
      </c>
      <c r="G1053" s="46" t="inlineStr">
        <is>
          <t xml:space="preserve">اكتوبر </t>
        </is>
      </c>
      <c r="H1053" s="46" t="inlineStr">
        <is>
          <t>623595/6-623356/8</t>
        </is>
      </c>
      <c r="I1053" s="46" t="inlineStr">
        <is>
          <t>س د ى 2812</t>
        </is>
      </c>
      <c r="J1053" s="46" t="inlineStr">
        <is>
          <t xml:space="preserve">اشرف محمد </t>
        </is>
      </c>
      <c r="K1053" s="46" t="inlineStr">
        <is>
          <t>غزال</t>
        </is>
      </c>
      <c r="L1053" s="47" t="n">
        <v>19200</v>
      </c>
      <c r="M1053" s="47" t="n">
        <v>10100</v>
      </c>
      <c r="N1053" s="47" t="n"/>
      <c r="O1053" s="47" t="n">
        <v>200</v>
      </c>
      <c r="P1053" s="47" t="n"/>
      <c r="Q1053" s="47" t="n">
        <v>8900</v>
      </c>
      <c r="R1053" s="43">
        <f>IF($B1053="","",N($S1053)-N($Q1053))</f>
        <v/>
      </c>
      <c r="S1053" s="43">
        <f>IF($B1053="","",N($L1053)+N($N1053)+N($P1053))</f>
        <v/>
      </c>
      <c r="T1053" s="47" t="n"/>
      <c r="U1053" s="47" t="n"/>
      <c r="V1053" s="47" t="n"/>
      <c r="W1053" s="47" t="n"/>
      <c r="X1053" s="47" t="n"/>
      <c r="Y1053" s="47" t="n"/>
      <c r="Z1053" s="47" t="n"/>
      <c r="AA1053" s="47" t="n"/>
      <c r="AB1053" s="47" t="n"/>
      <c r="AC1053" s="47" t="n"/>
      <c r="AD1053" s="47" t="n"/>
      <c r="AE1053" s="47" t="n"/>
      <c r="AF1053" s="43">
        <f>IF($B1053="","",SUM($T1053:$AE1053))</f>
        <v/>
      </c>
      <c r="AG1053" s="43">
        <f>IF($B1053="","",N($M1053)-N($AF1053))</f>
        <v/>
      </c>
      <c r="AH1053" s="43">
        <f>IF($B1053="","",N($L1053)-N($AF1053))</f>
        <v/>
      </c>
      <c r="AI1053" s="149">
        <f>IF($B1053="","",IF(N($L1053)=0,"",(N($L1053)-N($AF1053))/N($L1053)))</f>
        <v/>
      </c>
    </row>
    <row r="1054">
      <c r="A1054" s="39">
        <f>IF($B1054="","",COUNTA($B$4:$B1054))</f>
        <v/>
      </c>
      <c r="B1054" s="40" t="n">
        <v>46142</v>
      </c>
      <c r="C1054" s="41" t="n">
        <v>2518</v>
      </c>
      <c r="D1054" s="41" t="inlineStr">
        <is>
          <t>رجب عبد العال</t>
        </is>
      </c>
      <c r="E1054" s="41" t="inlineStr">
        <is>
          <t>2*20</t>
        </is>
      </c>
      <c r="F1054" s="41" t="inlineStr">
        <is>
          <t xml:space="preserve">مطاحن التاج </t>
        </is>
      </c>
      <c r="G1054" s="41" t="inlineStr">
        <is>
          <t xml:space="preserve">اكتوبر </t>
        </is>
      </c>
      <c r="H1054" s="41" t="inlineStr">
        <is>
          <t>347973/3-546242/6</t>
        </is>
      </c>
      <c r="I1054" s="41" t="inlineStr">
        <is>
          <t>س د و 4584</t>
        </is>
      </c>
      <c r="J1054" s="41" t="inlineStr">
        <is>
          <t xml:space="preserve">محمود مصطفى </t>
        </is>
      </c>
      <c r="K1054" s="41" t="inlineStr">
        <is>
          <t>غزال</t>
        </is>
      </c>
      <c r="L1054" s="42" t="n">
        <v>19200</v>
      </c>
      <c r="M1054" s="42" t="n">
        <v>10100</v>
      </c>
      <c r="N1054" s="42" t="n"/>
      <c r="O1054" s="42" t="n">
        <v>200</v>
      </c>
      <c r="P1054" s="42" t="n"/>
      <c r="Q1054" s="42" t="n">
        <v>8900</v>
      </c>
      <c r="R1054" s="43">
        <f>IF($B1054="","",N($S1054)-N($Q1054))</f>
        <v/>
      </c>
      <c r="S1054" s="43">
        <f>IF($B1054="","",N($L1054)+N($N1054)+N($P1054))</f>
        <v/>
      </c>
      <c r="T1054" s="42" t="n"/>
      <c r="U1054" s="42" t="n"/>
      <c r="V1054" s="42" t="n"/>
      <c r="W1054" s="42" t="n"/>
      <c r="X1054" s="42" t="n"/>
      <c r="Y1054" s="42" t="n"/>
      <c r="Z1054" s="42" t="n"/>
      <c r="AA1054" s="42" t="n"/>
      <c r="AB1054" s="42" t="n"/>
      <c r="AC1054" s="42" t="n"/>
      <c r="AD1054" s="42" t="n"/>
      <c r="AE1054" s="42" t="n"/>
      <c r="AF1054" s="43">
        <f>IF($B1054="","",SUM($T1054:$AE1054))</f>
        <v/>
      </c>
      <c r="AG1054" s="43">
        <f>IF($B1054="","",N($M1054)-N($AF1054))</f>
        <v/>
      </c>
      <c r="AH1054" s="43">
        <f>IF($B1054="","",N($L1054)-N($AF1054))</f>
        <v/>
      </c>
      <c r="AI1054" s="149">
        <f>IF($B1054="","",IF(N($L1054)=0,"",(N($L1054)-N($AF1054))/N($L1054)))</f>
        <v/>
      </c>
    </row>
    <row r="1055">
      <c r="A1055" s="39">
        <f>IF($B1055="","",COUNTA($B$4:$B1055))</f>
        <v/>
      </c>
      <c r="B1055" s="45" t="n">
        <v>46142</v>
      </c>
      <c r="C1055" s="46" t="n">
        <v>2514</v>
      </c>
      <c r="D1055" s="46" t="inlineStr">
        <is>
          <t>رجب عبد العال</t>
        </is>
      </c>
      <c r="E1055" s="46" t="inlineStr">
        <is>
          <t>2*20</t>
        </is>
      </c>
      <c r="F1055" s="46" t="inlineStr">
        <is>
          <t xml:space="preserve">مطاحن التاج </t>
        </is>
      </c>
      <c r="G1055" s="46" t="inlineStr">
        <is>
          <t xml:space="preserve">اكتوبر </t>
        </is>
      </c>
      <c r="H1055" s="46" t="inlineStr">
        <is>
          <t>238344/7-026002/7</t>
        </is>
      </c>
      <c r="I1055" s="46" t="inlineStr">
        <is>
          <t>ق د ن 6891</t>
        </is>
      </c>
      <c r="J1055" s="46" t="inlineStr">
        <is>
          <t xml:space="preserve">متولى منصور </t>
        </is>
      </c>
      <c r="K1055" s="46" t="inlineStr">
        <is>
          <t xml:space="preserve">احمد منصور </t>
        </is>
      </c>
      <c r="L1055" s="47" t="n">
        <v>19200</v>
      </c>
      <c r="M1055" s="47" t="n">
        <v>9100</v>
      </c>
      <c r="N1055" s="47" t="n">
        <v>1100</v>
      </c>
      <c r="O1055" s="47" t="n">
        <v>200</v>
      </c>
      <c r="P1055" s="47" t="n"/>
      <c r="Q1055" s="47" t="n">
        <v>8800</v>
      </c>
      <c r="R1055" s="43">
        <f>IF($B1055="","",N($S1055)-N($Q1055))</f>
        <v/>
      </c>
      <c r="S1055" s="43">
        <f>IF($B1055="","",N($L1055)+N($N1055)+N($P1055))</f>
        <v/>
      </c>
      <c r="T1055" s="47" t="n"/>
      <c r="U1055" s="47" t="n"/>
      <c r="V1055" s="47" t="n"/>
      <c r="W1055" s="47" t="n"/>
      <c r="X1055" s="47" t="n"/>
      <c r="Y1055" s="47" t="n"/>
      <c r="Z1055" s="47" t="n"/>
      <c r="AA1055" s="47" t="n"/>
      <c r="AB1055" s="47" t="n"/>
      <c r="AC1055" s="47" t="n"/>
      <c r="AD1055" s="47" t="n"/>
      <c r="AE1055" s="47" t="n"/>
      <c r="AF1055" s="43">
        <f>IF($B1055="","",SUM($T1055:$AE1055))</f>
        <v/>
      </c>
      <c r="AG1055" s="43">
        <f>IF($B1055="","",N($M1055)-N($AF1055))</f>
        <v/>
      </c>
      <c r="AH1055" s="43">
        <f>IF($B1055="","",N($L1055)-N($AF1055))</f>
        <v/>
      </c>
      <c r="AI1055" s="149">
        <f>IF($B1055="","",IF(N($L1055)=0,"",(N($L1055)-N($AF1055))/N($L1055)))</f>
        <v/>
      </c>
    </row>
    <row r="1056">
      <c r="A1056" s="39">
        <f>IF($B1056="","",COUNTA($B$4:$B1056))</f>
        <v/>
      </c>
      <c r="B1056" s="40" t="n">
        <v>46142</v>
      </c>
      <c r="C1056" s="41" t="n"/>
      <c r="D1056" s="41" t="inlineStr">
        <is>
          <t xml:space="preserve">محمد يحى </t>
        </is>
      </c>
      <c r="E1056" s="41" t="inlineStr">
        <is>
          <t>1*40</t>
        </is>
      </c>
      <c r="F1056" s="41" t="inlineStr">
        <is>
          <t xml:space="preserve">خط المطابخ </t>
        </is>
      </c>
      <c r="G1056" s="41" t="inlineStr">
        <is>
          <t xml:space="preserve">المريوطية </t>
        </is>
      </c>
      <c r="H1056" s="41" t="inlineStr">
        <is>
          <t>675042/2</t>
        </is>
      </c>
      <c r="I1056" s="41" t="inlineStr">
        <is>
          <t>ع ر ب 1574</t>
        </is>
      </c>
      <c r="J1056" s="41" t="inlineStr">
        <is>
          <t xml:space="preserve">محمد السيد </t>
        </is>
      </c>
      <c r="K1056" s="41" t="inlineStr">
        <is>
          <t xml:space="preserve">حمو مرزوق </t>
        </is>
      </c>
      <c r="L1056" s="42" t="n">
        <v>15000</v>
      </c>
      <c r="M1056" s="42" t="n">
        <v>8100</v>
      </c>
      <c r="N1056" s="42" t="n"/>
      <c r="O1056" s="42" t="n">
        <v>200</v>
      </c>
      <c r="P1056" s="42" t="n"/>
      <c r="Q1056" s="42" t="n"/>
      <c r="R1056" s="43">
        <f>IF($B1056="","",N($S1056)-N($Q1056))</f>
        <v/>
      </c>
      <c r="S1056" s="43">
        <f>IF($B1056="","",N($L1056)+N($N1056)+N($P1056))</f>
        <v/>
      </c>
      <c r="T1056" s="42" t="n"/>
      <c r="U1056" s="42" t="n"/>
      <c r="V1056" s="42" t="n"/>
      <c r="W1056" s="42" t="n"/>
      <c r="X1056" s="42" t="n"/>
      <c r="Y1056" s="42" t="n"/>
      <c r="Z1056" s="42" t="n"/>
      <c r="AA1056" s="42" t="n"/>
      <c r="AB1056" s="42" t="n"/>
      <c r="AC1056" s="42" t="n"/>
      <c r="AD1056" s="42" t="n"/>
      <c r="AE1056" s="42" t="n"/>
      <c r="AF1056" s="43">
        <f>IF($B1056="","",SUM($T1056:$AE1056))</f>
        <v/>
      </c>
      <c r="AG1056" s="43">
        <f>IF($B1056="","",N($M1056)-N($AF1056))</f>
        <v/>
      </c>
      <c r="AH1056" s="43">
        <f>IF($B1056="","",N($L1056)-N($AF1056))</f>
        <v/>
      </c>
      <c r="AI1056" s="149">
        <f>IF($B1056="","",IF(N($L1056)=0,"",(N($L1056)-N($AF1056))/N($L1056)))</f>
        <v/>
      </c>
    </row>
    <row r="1057">
      <c r="A1057" s="39">
        <f>IF($B1057="","",COUNTA($B$4:$B1057))</f>
        <v/>
      </c>
      <c r="B1057" s="45" t="n">
        <v>46142</v>
      </c>
      <c r="C1057" s="46" t="n">
        <v>2673</v>
      </c>
      <c r="D1057" s="46" t="inlineStr">
        <is>
          <t>حماد خ</t>
        </is>
      </c>
      <c r="E1057" s="46" t="inlineStr">
        <is>
          <t>1*40</t>
        </is>
      </c>
      <c r="F1057" s="46" t="inlineStr">
        <is>
          <t xml:space="preserve">خط المطابخ </t>
        </is>
      </c>
      <c r="G1057" s="46" t="inlineStr">
        <is>
          <t xml:space="preserve">المريوطية </t>
        </is>
      </c>
      <c r="H1057" s="46" t="inlineStr">
        <is>
          <t>899467/7</t>
        </is>
      </c>
      <c r="I1057" s="46" t="inlineStr">
        <is>
          <t>س ا ه 8198</t>
        </is>
      </c>
      <c r="J1057" s="46" t="inlineStr">
        <is>
          <t xml:space="preserve">ايمن عبدة </t>
        </is>
      </c>
      <c r="K1057" s="46" t="inlineStr">
        <is>
          <t xml:space="preserve">علاء علام </t>
        </is>
      </c>
      <c r="L1057" s="47" t="n">
        <v>15000</v>
      </c>
      <c r="M1057" s="47" t="n">
        <v>8100</v>
      </c>
      <c r="N1057" s="47" t="n"/>
      <c r="O1057" s="47" t="n">
        <v>200</v>
      </c>
      <c r="P1057" s="47" t="n"/>
      <c r="Q1057" s="47" t="n">
        <v>6700</v>
      </c>
      <c r="R1057" s="43">
        <f>IF($B1057="","",N($S1057)-N($Q1057))</f>
        <v/>
      </c>
      <c r="S1057" s="43">
        <f>IF($B1057="","",N($L1057)+N($N1057)+N($P1057))</f>
        <v/>
      </c>
      <c r="T1057" s="47" t="n"/>
      <c r="U1057" s="47" t="n"/>
      <c r="V1057" s="47" t="n"/>
      <c r="W1057" s="47" t="n"/>
      <c r="X1057" s="47" t="n"/>
      <c r="Y1057" s="47" t="n"/>
      <c r="Z1057" s="47" t="n"/>
      <c r="AA1057" s="47" t="n"/>
      <c r="AB1057" s="47" t="n"/>
      <c r="AC1057" s="47" t="n"/>
      <c r="AD1057" s="47" t="n"/>
      <c r="AE1057" s="47" t="n"/>
      <c r="AF1057" s="43">
        <f>IF($B1057="","",SUM($T1057:$AE1057))</f>
        <v/>
      </c>
      <c r="AG1057" s="43">
        <f>IF($B1057="","",N($M1057)-N($AF1057))</f>
        <v/>
      </c>
      <c r="AH1057" s="43">
        <f>IF($B1057="","",N($L1057)-N($AF1057))</f>
        <v/>
      </c>
      <c r="AI1057" s="149">
        <f>IF($B1057="","",IF(N($L1057)=0,"",(N($L1057)-N($AF1057))/N($L1057)))</f>
        <v/>
      </c>
    </row>
    <row r="1058">
      <c r="A1058" s="39">
        <f>IF($B1058="","",COUNTA($B$4:$B1058))</f>
        <v/>
      </c>
      <c r="B1058" s="40" t="n">
        <v>46142</v>
      </c>
      <c r="C1058" s="41" t="n">
        <v>2814</v>
      </c>
      <c r="D1058" s="41" t="inlineStr">
        <is>
          <t>المكتب</t>
        </is>
      </c>
      <c r="E1058" s="41" t="inlineStr">
        <is>
          <t>1*40</t>
        </is>
      </c>
      <c r="F1058" s="41" t="inlineStr">
        <is>
          <t xml:space="preserve">المكارم تكس </t>
        </is>
      </c>
      <c r="G1058" s="41" t="inlineStr">
        <is>
          <t>ابو رواش</t>
        </is>
      </c>
      <c r="H1058" s="41" t="inlineStr">
        <is>
          <t>598780/6</t>
        </is>
      </c>
      <c r="I1058" s="41" t="inlineStr">
        <is>
          <t>س ع م 8737</t>
        </is>
      </c>
      <c r="J1058" s="41" t="inlineStr">
        <is>
          <t xml:space="preserve">جلال حسنى </t>
        </is>
      </c>
      <c r="K1058" s="41" t="inlineStr">
        <is>
          <t xml:space="preserve">المكتب </t>
        </is>
      </c>
      <c r="L1058" s="42" t="n">
        <v>13500</v>
      </c>
      <c r="M1058" s="42" t="n">
        <v>2500</v>
      </c>
      <c r="N1058" s="42" t="n"/>
      <c r="O1058" s="42" t="n"/>
      <c r="P1058" s="42" t="n"/>
      <c r="Q1058" s="42" t="n">
        <v>11000</v>
      </c>
      <c r="R1058" s="43">
        <f>IF($B1058="","",N($S1058)-N($Q1058))</f>
        <v/>
      </c>
      <c r="S1058" s="43">
        <f>IF($B1058="","",N($L1058)+N($N1058)+N($P1058))</f>
        <v/>
      </c>
      <c r="T1058" s="42" t="n">
        <v>1300</v>
      </c>
      <c r="U1058" s="42" t="n">
        <v>650</v>
      </c>
      <c r="V1058" s="42" t="n"/>
      <c r="W1058" s="42" t="n">
        <v>60</v>
      </c>
      <c r="X1058" s="42" t="n">
        <v>110</v>
      </c>
      <c r="Y1058" s="42" t="n">
        <v>50</v>
      </c>
      <c r="Z1058" s="42" t="n"/>
      <c r="AA1058" s="42" t="n"/>
      <c r="AB1058" s="42" t="n"/>
      <c r="AC1058" s="42" t="n"/>
      <c r="AD1058" s="42" t="n">
        <v>120</v>
      </c>
      <c r="AE1058" s="42" t="n"/>
      <c r="AF1058" s="43">
        <f>IF($B1058="","",SUM($T1058:$AE1058))</f>
        <v/>
      </c>
      <c r="AG1058" s="43">
        <f>IF($B1058="","",N($M1058)-N($AF1058))</f>
        <v/>
      </c>
      <c r="AH1058" s="43">
        <f>IF($B1058="","",N($L1058)-N($AF1058))</f>
        <v/>
      </c>
      <c r="AI1058" s="149">
        <f>IF($B1058="","",IF(N($L1058)=0,"",(N($L1058)-N($AF1058))/N($L1058)))</f>
        <v/>
      </c>
    </row>
    <row r="1059">
      <c r="A1059" s="39">
        <f>IF($B1059="","",COUNTA($B$4:$B1059))</f>
        <v/>
      </c>
      <c r="B1059" s="45" t="n">
        <v>46142</v>
      </c>
      <c r="C1059" s="46" t="n">
        <v>2817</v>
      </c>
      <c r="D1059" s="46" t="inlineStr">
        <is>
          <t>المكتب</t>
        </is>
      </c>
      <c r="E1059" s="46" t="inlineStr">
        <is>
          <t>1*40</t>
        </is>
      </c>
      <c r="F1059" s="46" t="inlineStr">
        <is>
          <t xml:space="preserve">الحناوى </t>
        </is>
      </c>
      <c r="G1059" s="46" t="inlineStr">
        <is>
          <t xml:space="preserve">السادات </t>
        </is>
      </c>
      <c r="H1059" s="46" t="inlineStr">
        <is>
          <t>598780/6</t>
        </is>
      </c>
      <c r="I1059" s="46" t="inlineStr">
        <is>
          <t>س ع م 8737</t>
        </is>
      </c>
      <c r="J1059" s="46" t="inlineStr">
        <is>
          <t xml:space="preserve">جلال حسنى </t>
        </is>
      </c>
      <c r="K1059" s="46" t="inlineStr">
        <is>
          <t xml:space="preserve">المكتب </t>
        </is>
      </c>
      <c r="L1059" s="47" t="n">
        <v>12500</v>
      </c>
      <c r="M1059" s="47" t="n">
        <v>2500</v>
      </c>
      <c r="N1059" s="47" t="n"/>
      <c r="O1059" s="47" t="n"/>
      <c r="P1059" s="47" t="n"/>
      <c r="Q1059" s="47" t="n">
        <v>10000</v>
      </c>
      <c r="R1059" s="43">
        <f>IF($B1059="","",N($S1059)-N($Q1059))</f>
        <v/>
      </c>
      <c r="S1059" s="43">
        <f>IF($B1059="","",N($L1059)+N($N1059)+N($P1059))</f>
        <v/>
      </c>
      <c r="T1059" s="47" t="n">
        <v>1300</v>
      </c>
      <c r="U1059" s="47" t="n">
        <v>650</v>
      </c>
      <c r="V1059" s="47" t="n"/>
      <c r="W1059" s="47" t="n"/>
      <c r="X1059" s="47" t="n"/>
      <c r="Y1059" s="47" t="n"/>
      <c r="Z1059" s="47" t="n"/>
      <c r="AA1059" s="47" t="n"/>
      <c r="AB1059" s="47" t="n"/>
      <c r="AC1059" s="47" t="n"/>
      <c r="AD1059" s="47" t="n">
        <v>2850</v>
      </c>
      <c r="AE1059" s="47" t="n"/>
      <c r="AF1059" s="43">
        <f>IF($B1059="","",SUM($T1059:$AE1059))</f>
        <v/>
      </c>
      <c r="AG1059" s="43">
        <f>IF($B1059="","",N($M1059)-N($AF1059))</f>
        <v/>
      </c>
      <c r="AH1059" s="43">
        <f>IF($B1059="","",N($L1059)-N($AF1059))</f>
        <v/>
      </c>
      <c r="AI1059" s="149">
        <f>IF($B1059="","",IF(N($L1059)=0,"",(N($L1059)-N($AF1059))/N($L1059)))</f>
        <v/>
      </c>
    </row>
    <row r="1060">
      <c r="A1060" s="39">
        <f>IF($B1060="","",COUNTA($B$4:$B1060))</f>
        <v/>
      </c>
      <c r="B1060" s="40" t="n">
        <v>46142</v>
      </c>
      <c r="C1060" s="41" t="n">
        <v>2774</v>
      </c>
      <c r="D1060" s="41" t="inlineStr">
        <is>
          <t>عتريس مخيمر  خ</t>
        </is>
      </c>
      <c r="E1060" s="41" t="inlineStr">
        <is>
          <t>1*40</t>
        </is>
      </c>
      <c r="F1060" s="41" t="inlineStr">
        <is>
          <t xml:space="preserve">سمارت لاند </t>
        </is>
      </c>
      <c r="G1060" s="41" t="inlineStr">
        <is>
          <t>بنى سويف</t>
        </is>
      </c>
      <c r="H1060" s="41" t="inlineStr">
        <is>
          <t>408209/2</t>
        </is>
      </c>
      <c r="I1060" s="41" t="inlineStr">
        <is>
          <t>ط ف ر 1474</t>
        </is>
      </c>
      <c r="J1060" s="41" t="inlineStr">
        <is>
          <t xml:space="preserve">جمال على </t>
        </is>
      </c>
      <c r="K1060" s="41" t="inlineStr">
        <is>
          <t xml:space="preserve">كريم خليف </t>
        </is>
      </c>
      <c r="L1060" s="42" t="n">
        <v>20000</v>
      </c>
      <c r="M1060" s="42" t="n">
        <v>10100</v>
      </c>
      <c r="N1060" s="42" t="n"/>
      <c r="O1060" s="42" t="n">
        <v>200</v>
      </c>
      <c r="P1060" s="42" t="n"/>
      <c r="Q1060" s="42" t="n">
        <v>9700</v>
      </c>
      <c r="R1060" s="43">
        <f>IF($B1060="","",N($S1060)-N($Q1060))</f>
        <v/>
      </c>
      <c r="S1060" s="43">
        <f>IF($B1060="","",N($L1060)+N($N1060)+N($P1060))</f>
        <v/>
      </c>
      <c r="T1060" s="42" t="n"/>
      <c r="U1060" s="42" t="n"/>
      <c r="V1060" s="42" t="n"/>
      <c r="W1060" s="42" t="n"/>
      <c r="X1060" s="42" t="n"/>
      <c r="Y1060" s="42" t="n"/>
      <c r="Z1060" s="42" t="n"/>
      <c r="AA1060" s="42" t="n"/>
      <c r="AB1060" s="42" t="n"/>
      <c r="AC1060" s="42" t="n"/>
      <c r="AD1060" s="42" t="n"/>
      <c r="AE1060" s="42" t="n"/>
      <c r="AF1060" s="43">
        <f>IF($B1060="","",SUM($T1060:$AE1060))</f>
        <v/>
      </c>
      <c r="AG1060" s="43">
        <f>IF($B1060="","",N($M1060)-N($AF1060))</f>
        <v/>
      </c>
      <c r="AH1060" s="43">
        <f>IF($B1060="","",N($L1060)-N($AF1060))</f>
        <v/>
      </c>
      <c r="AI1060" s="149">
        <f>IF($B1060="","",IF(N($L1060)=0,"",(N($L1060)-N($AF1060))/N($L1060)))</f>
        <v/>
      </c>
    </row>
    <row r="1061">
      <c r="A1061" s="39">
        <f>IF($B1061="","",COUNTA($B$4:$B1061))</f>
        <v/>
      </c>
      <c r="B1061" s="45" t="n">
        <v>46142</v>
      </c>
      <c r="C1061" s="46" t="n">
        <v>2349</v>
      </c>
      <c r="D1061" s="46" t="inlineStr">
        <is>
          <t xml:space="preserve">كريم خليف </t>
        </is>
      </c>
      <c r="E1061" s="46" t="inlineStr">
        <is>
          <t>1*40</t>
        </is>
      </c>
      <c r="F1061" s="46" t="n"/>
      <c r="G1061" s="46" t="inlineStr">
        <is>
          <t xml:space="preserve">المكس </t>
        </is>
      </c>
      <c r="H1061" s="46" t="inlineStr">
        <is>
          <t>632683/4</t>
        </is>
      </c>
      <c r="I1061" s="46" t="inlineStr">
        <is>
          <t>ط ف ر 1474</t>
        </is>
      </c>
      <c r="J1061" s="46" t="inlineStr">
        <is>
          <t xml:space="preserve">جمال على </t>
        </is>
      </c>
      <c r="K1061" s="46" t="inlineStr">
        <is>
          <t xml:space="preserve">كريم خليف </t>
        </is>
      </c>
      <c r="L1061" s="47" t="n">
        <v>6000</v>
      </c>
      <c r="M1061" s="47" t="n">
        <v>5100</v>
      </c>
      <c r="N1061" s="47" t="n"/>
      <c r="O1061" s="47" t="n"/>
      <c r="P1061" s="47" t="n"/>
      <c r="Q1061" s="47" t="n">
        <v>900</v>
      </c>
      <c r="R1061" s="43">
        <f>IF($B1061="","",N($S1061)-N($Q1061))</f>
        <v/>
      </c>
      <c r="S1061" s="43">
        <f>IF($B1061="","",N($L1061)+N($N1061)+N($P1061))</f>
        <v/>
      </c>
      <c r="T1061" s="47" t="n"/>
      <c r="U1061" s="47" t="n"/>
      <c r="V1061" s="47" t="n"/>
      <c r="W1061" s="47" t="n"/>
      <c r="X1061" s="47" t="n"/>
      <c r="Y1061" s="47" t="n"/>
      <c r="Z1061" s="47" t="n"/>
      <c r="AA1061" s="47" t="n"/>
      <c r="AB1061" s="47" t="n"/>
      <c r="AC1061" s="47" t="n"/>
      <c r="AD1061" s="47" t="n"/>
      <c r="AE1061" s="47" t="n"/>
      <c r="AF1061" s="43">
        <f>IF($B1061="","",SUM($T1061:$AE1061))</f>
        <v/>
      </c>
      <c r="AG1061" s="43">
        <f>IF($B1061="","",N($M1061)-N($AF1061))</f>
        <v/>
      </c>
      <c r="AH1061" s="43">
        <f>IF($B1061="","",N($L1061)-N($AF1061))</f>
        <v/>
      </c>
      <c r="AI1061" s="149">
        <f>IF($B1061="","",IF(N($L1061)=0,"",(N($L1061)-N($AF1061))/N($L1061)))</f>
        <v/>
      </c>
    </row>
    <row r="1062">
      <c r="A1062" s="39">
        <f>IF($B1062="","",COUNTA($B$4:$B1062))</f>
        <v/>
      </c>
      <c r="B1062" s="40" t="n">
        <v>46142</v>
      </c>
      <c r="C1062" s="41" t="n">
        <v>2350</v>
      </c>
      <c r="D1062" s="41" t="inlineStr">
        <is>
          <t>عتريس مخيمر  خ</t>
        </is>
      </c>
      <c r="E1062" s="41" t="inlineStr">
        <is>
          <t>2*20</t>
        </is>
      </c>
      <c r="F1062" s="41" t="inlineStr">
        <is>
          <t xml:space="preserve">الدولية للبن </t>
        </is>
      </c>
      <c r="G1062" s="41" t="inlineStr">
        <is>
          <t xml:space="preserve">الحوامدية </t>
        </is>
      </c>
      <c r="H1062" s="41" t="inlineStr">
        <is>
          <t>237838/3-239988/0</t>
        </is>
      </c>
      <c r="I1062" s="41" t="inlineStr">
        <is>
          <t>ب ص ا 2574</t>
        </is>
      </c>
      <c r="J1062" s="41" t="inlineStr">
        <is>
          <t xml:space="preserve">محمد البحيرى </t>
        </is>
      </c>
      <c r="K1062" s="41" t="inlineStr">
        <is>
          <t xml:space="preserve">احمد خليف </t>
        </is>
      </c>
      <c r="L1062" s="42" t="n">
        <v>19000</v>
      </c>
      <c r="M1062" s="42" t="n">
        <v>11100</v>
      </c>
      <c r="N1062" s="42" t="n"/>
      <c r="O1062" s="42" t="n">
        <v>200</v>
      </c>
      <c r="P1062" s="42" t="n"/>
      <c r="Q1062" s="42" t="n">
        <v>7700</v>
      </c>
      <c r="R1062" s="43">
        <f>IF($B1062="","",N($S1062)-N($Q1062))</f>
        <v/>
      </c>
      <c r="S1062" s="43">
        <f>IF($B1062="","",N($L1062)+N($N1062)+N($P1062))</f>
        <v/>
      </c>
      <c r="T1062" s="42" t="n"/>
      <c r="U1062" s="42" t="n"/>
      <c r="V1062" s="42" t="n"/>
      <c r="W1062" s="42" t="n"/>
      <c r="X1062" s="42" t="n"/>
      <c r="Y1062" s="42" t="n"/>
      <c r="Z1062" s="42" t="n"/>
      <c r="AA1062" s="42" t="n"/>
      <c r="AB1062" s="42" t="n"/>
      <c r="AC1062" s="42" t="n"/>
      <c r="AD1062" s="42" t="n"/>
      <c r="AE1062" s="42" t="n"/>
      <c r="AF1062" s="43">
        <f>IF($B1062="","",SUM($T1062:$AE1062))</f>
        <v/>
      </c>
      <c r="AG1062" s="43">
        <f>IF($B1062="","",N($M1062)-N($AF1062))</f>
        <v/>
      </c>
      <c r="AH1062" s="43">
        <f>IF($B1062="","",N($L1062)-N($AF1062))</f>
        <v/>
      </c>
      <c r="AI1062" s="149">
        <f>IF($B1062="","",IF(N($L1062)=0,"",(N($L1062)-N($AF1062))/N($L1062)))</f>
        <v/>
      </c>
    </row>
    <row r="1063">
      <c r="A1063" s="39">
        <f>IF($B1063="","",COUNTA($B$4:$B1063))</f>
        <v/>
      </c>
      <c r="B1063" s="45" t="n">
        <v>46142</v>
      </c>
      <c r="C1063" s="46" t="n">
        <v>2513</v>
      </c>
      <c r="D1063" s="46" t="inlineStr">
        <is>
          <t xml:space="preserve">خالد اسماعيل </t>
        </is>
      </c>
      <c r="E1063" s="46" t="inlineStr">
        <is>
          <t>1*20</t>
        </is>
      </c>
      <c r="F1063" s="46" t="inlineStr">
        <is>
          <t xml:space="preserve">مطاحن التاج </t>
        </is>
      </c>
      <c r="G1063" s="46" t="inlineStr">
        <is>
          <t xml:space="preserve">اكتوبر </t>
        </is>
      </c>
      <c r="H1063" s="46" t="inlineStr">
        <is>
          <t>245291/0</t>
        </is>
      </c>
      <c r="I1063" s="46" t="inlineStr">
        <is>
          <t>ب د ف 8253</t>
        </is>
      </c>
      <c r="J1063" s="46" t="inlineStr">
        <is>
          <t xml:space="preserve">خالد اسماعيل </t>
        </is>
      </c>
      <c r="K1063" s="46" t="inlineStr">
        <is>
          <t xml:space="preserve">خالد اسماعيل </t>
        </is>
      </c>
      <c r="L1063" s="47" t="n">
        <v>13000</v>
      </c>
      <c r="M1063" s="47" t="n">
        <v>13000</v>
      </c>
      <c r="N1063" s="47" t="n"/>
      <c r="O1063" s="47" t="n"/>
      <c r="P1063" s="47" t="n"/>
      <c r="Q1063" s="47" t="n"/>
      <c r="R1063" s="43">
        <f>IF($B1063="","",N($S1063)-N($Q1063))</f>
        <v/>
      </c>
      <c r="S1063" s="43">
        <f>IF($B1063="","",N($L1063)+N($N1063)+N($P1063))</f>
        <v/>
      </c>
      <c r="T1063" s="47" t="n"/>
      <c r="U1063" s="47" t="n"/>
      <c r="V1063" s="47" t="n"/>
      <c r="W1063" s="47" t="n"/>
      <c r="X1063" s="47" t="n"/>
      <c r="Y1063" s="47" t="n"/>
      <c r="Z1063" s="47" t="n"/>
      <c r="AA1063" s="47" t="n"/>
      <c r="AB1063" s="47" t="n"/>
      <c r="AC1063" s="47" t="n"/>
      <c r="AD1063" s="47" t="n"/>
      <c r="AE1063" s="47" t="n"/>
      <c r="AF1063" s="43">
        <f>IF($B1063="","",SUM($T1063:$AE1063))</f>
        <v/>
      </c>
      <c r="AG1063" s="43">
        <f>IF($B1063="","",N($M1063)-N($AF1063))</f>
        <v/>
      </c>
      <c r="AH1063" s="43">
        <f>IF($B1063="","",N($L1063)-N($AF1063))</f>
        <v/>
      </c>
      <c r="AI1063" s="149">
        <f>IF($B1063="","",IF(N($L1063)=0,"",(N($L1063)-N($AF1063))/N($L1063)))</f>
        <v/>
      </c>
    </row>
    <row r="1064">
      <c r="A1064" s="39">
        <f>IF($B1064="","",COUNTA($B$4:$B1064))</f>
        <v/>
      </c>
      <c r="B1064" s="40" t="n">
        <v>46144</v>
      </c>
      <c r="C1064" s="41" t="n">
        <v>2777</v>
      </c>
      <c r="D1064" s="41" t="inlineStr">
        <is>
          <t>المكتب</t>
        </is>
      </c>
      <c r="E1064" s="41" t="inlineStr">
        <is>
          <t>1*40</t>
        </is>
      </c>
      <c r="F1064" s="41" t="inlineStr">
        <is>
          <t xml:space="preserve">ايجل واى </t>
        </is>
      </c>
      <c r="G1064" s="41" t="inlineStr">
        <is>
          <t xml:space="preserve">السادات </t>
        </is>
      </c>
      <c r="H1064" s="41" t="inlineStr">
        <is>
          <t>475590/9</t>
        </is>
      </c>
      <c r="I1064" s="41" t="inlineStr">
        <is>
          <t>س ع م 8737</t>
        </is>
      </c>
      <c r="J1064" s="41" t="inlineStr">
        <is>
          <t xml:space="preserve">جلال حسنى </t>
        </is>
      </c>
      <c r="K1064" s="41" t="inlineStr">
        <is>
          <t xml:space="preserve">المكتب </t>
        </is>
      </c>
      <c r="L1064" s="42" t="n">
        <v>12500</v>
      </c>
      <c r="M1064" s="42" t="n">
        <v>2000</v>
      </c>
      <c r="N1064" s="42" t="n"/>
      <c r="O1064" s="42" t="n"/>
      <c r="P1064" s="42" t="n"/>
      <c r="Q1064" s="42" t="n">
        <v>9400</v>
      </c>
      <c r="R1064" s="43">
        <f>IF($B1064="","",N($S1064)-N($Q1064))</f>
        <v/>
      </c>
      <c r="S1064" s="43">
        <f>IF($B1064="","",N($L1064)+N($N1064)+N($P1064))</f>
        <v/>
      </c>
      <c r="T1064" s="42" t="n">
        <v>1300</v>
      </c>
      <c r="U1064" s="42" t="n">
        <v>600</v>
      </c>
      <c r="V1064" s="42" t="n"/>
      <c r="W1064" s="42" t="n">
        <v>50</v>
      </c>
      <c r="X1064" s="42" t="n">
        <v>50</v>
      </c>
      <c r="Y1064" s="42" t="n">
        <v>60</v>
      </c>
      <c r="Z1064" s="42" t="n">
        <v>30</v>
      </c>
      <c r="AA1064" s="42" t="n"/>
      <c r="AB1064" s="42" t="n"/>
      <c r="AC1064" s="42" t="n"/>
      <c r="AD1064" s="42" t="n">
        <v>1900</v>
      </c>
      <c r="AE1064" s="42" t="n"/>
      <c r="AF1064" s="43">
        <f>IF($B1064="","",SUM($T1064:$AE1064))</f>
        <v/>
      </c>
      <c r="AG1064" s="43">
        <f>IF($B1064="","",N($M1064)-N($AF1064))</f>
        <v/>
      </c>
      <c r="AH1064" s="43">
        <f>IF($B1064="","",N($L1064)-N($AF1064))</f>
        <v/>
      </c>
      <c r="AI1064" s="149">
        <f>IF($B1064="","",IF(N($L1064)=0,"",(N($L1064)-N($AF1064))/N($L1064)))</f>
        <v/>
      </c>
    </row>
    <row r="1065">
      <c r="A1065" s="39">
        <f>IF($B1065="","",COUNTA($B$4:$B1065))</f>
        <v/>
      </c>
      <c r="B1065" s="45" t="n">
        <v>46144</v>
      </c>
      <c r="C1065" s="46" t="n">
        <v>2776</v>
      </c>
      <c r="D1065" s="46" t="inlineStr">
        <is>
          <t xml:space="preserve">عتريس مخيمر </t>
        </is>
      </c>
      <c r="E1065" s="46" t="inlineStr">
        <is>
          <t>1*40</t>
        </is>
      </c>
      <c r="F1065" s="46" t="inlineStr">
        <is>
          <t xml:space="preserve">بافريا </t>
        </is>
      </c>
      <c r="G1065" s="46" t="inlineStr">
        <is>
          <t xml:space="preserve">جسر السويس </t>
        </is>
      </c>
      <c r="H1065" s="46" t="inlineStr">
        <is>
          <t>575845/7</t>
        </is>
      </c>
      <c r="I1065" s="46" t="inlineStr">
        <is>
          <t>ط ف ر 1474</t>
        </is>
      </c>
      <c r="J1065" s="46" t="inlineStr">
        <is>
          <t xml:space="preserve">جمال على </t>
        </is>
      </c>
      <c r="K1065" s="46" t="inlineStr">
        <is>
          <t xml:space="preserve">كريم خليف </t>
        </is>
      </c>
      <c r="L1065" s="47" t="n">
        <v>15500</v>
      </c>
      <c r="M1065" s="47" t="n">
        <v>9100</v>
      </c>
      <c r="N1065" s="47" t="n"/>
      <c r="O1065" s="47" t="n">
        <v>200</v>
      </c>
      <c r="P1065" s="47" t="n">
        <v>2500</v>
      </c>
      <c r="Q1065" s="47" t="n">
        <v>8700</v>
      </c>
      <c r="R1065" s="43">
        <f>IF($B1065="","",N($S1065)-N($Q1065))</f>
        <v/>
      </c>
      <c r="S1065" s="43">
        <f>IF($B1065="","",N($L1065)+N($N1065)+N($P1065))</f>
        <v/>
      </c>
      <c r="T1065" s="47" t="n"/>
      <c r="U1065" s="47" t="n"/>
      <c r="V1065" s="47" t="n"/>
      <c r="W1065" s="47" t="n"/>
      <c r="X1065" s="47" t="n"/>
      <c r="Y1065" s="47" t="n"/>
      <c r="Z1065" s="47" t="n"/>
      <c r="AA1065" s="47" t="n"/>
      <c r="AB1065" s="47" t="n"/>
      <c r="AC1065" s="47" t="n"/>
      <c r="AD1065" s="47" t="n"/>
      <c r="AE1065" s="47" t="n"/>
      <c r="AF1065" s="43">
        <f>IF($B1065="","",SUM($T1065:$AE1065))</f>
        <v/>
      </c>
      <c r="AG1065" s="43">
        <f>IF($B1065="","",N($M1065)-N($AF1065))</f>
        <v/>
      </c>
      <c r="AH1065" s="43">
        <f>IF($B1065="","",N($L1065)-N($AF1065))</f>
        <v/>
      </c>
      <c r="AI1065" s="149">
        <f>IF($B1065="","",IF(N($L1065)=0,"",(N($L1065)-N($AF1065))/N($L1065)))</f>
        <v/>
      </c>
    </row>
    <row r="1066">
      <c r="A1066" s="39">
        <f>IF($B1066="","",COUNTA($B$4:$B1066))</f>
        <v/>
      </c>
      <c r="B1066" s="40" t="n">
        <v>46144</v>
      </c>
      <c r="C1066" s="41" t="n">
        <v>2775</v>
      </c>
      <c r="D1066" s="41" t="inlineStr">
        <is>
          <t>حماد خ</t>
        </is>
      </c>
      <c r="E1066" s="41" t="inlineStr">
        <is>
          <t>1*40</t>
        </is>
      </c>
      <c r="F1066" s="41" t="inlineStr">
        <is>
          <t>ناتورالى</t>
        </is>
      </c>
      <c r="G1066" s="41" t="inlineStr">
        <is>
          <t xml:space="preserve">اكتوبر </t>
        </is>
      </c>
      <c r="H1066" s="41" t="inlineStr">
        <is>
          <t>420710/3</t>
        </is>
      </c>
      <c r="I1066" s="41" t="inlineStr">
        <is>
          <t>س ل ب 5917</t>
        </is>
      </c>
      <c r="J1066" s="41" t="inlineStr">
        <is>
          <t xml:space="preserve">محمد ابراهيم </t>
        </is>
      </c>
      <c r="K1066" s="41" t="inlineStr">
        <is>
          <t xml:space="preserve">علاء علام </t>
        </is>
      </c>
      <c r="L1066" s="42" t="n">
        <v>13500</v>
      </c>
      <c r="M1066" s="42" t="n">
        <v>8100</v>
      </c>
      <c r="N1066" s="42" t="n"/>
      <c r="O1066" s="42" t="n">
        <v>200</v>
      </c>
      <c r="P1066" s="42" t="n"/>
      <c r="Q1066" s="42" t="n">
        <v>5200</v>
      </c>
      <c r="R1066" s="43">
        <f>IF($B1066="","",N($S1066)-N($Q1066))</f>
        <v/>
      </c>
      <c r="S1066" s="43">
        <f>IF($B1066="","",N($L1066)+N($N1066)+N($P1066))</f>
        <v/>
      </c>
      <c r="T1066" s="42" t="n"/>
      <c r="U1066" s="42" t="n"/>
      <c r="V1066" s="42" t="n"/>
      <c r="W1066" s="42" t="n"/>
      <c r="X1066" s="42" t="n"/>
      <c r="Y1066" s="42" t="n"/>
      <c r="Z1066" s="42" t="n"/>
      <c r="AA1066" s="42" t="n"/>
      <c r="AB1066" s="42" t="n"/>
      <c r="AC1066" s="42" t="n"/>
      <c r="AD1066" s="42" t="n"/>
      <c r="AE1066" s="42" t="n"/>
      <c r="AF1066" s="43">
        <f>IF($B1066="","",SUM($T1066:$AE1066))</f>
        <v/>
      </c>
      <c r="AG1066" s="43">
        <f>IF($B1066="","",N($M1066)-N($AF1066))</f>
        <v/>
      </c>
      <c r="AH1066" s="43">
        <f>IF($B1066="","",N($L1066)-N($AF1066))</f>
        <v/>
      </c>
      <c r="AI1066" s="149">
        <f>IF($B1066="","",IF(N($L1066)=0,"",(N($L1066)-N($AF1066))/N($L1066)))</f>
        <v/>
      </c>
    </row>
    <row r="1067">
      <c r="A1067" s="39">
        <f>IF($B1067="","",COUNTA($B$4:$B1067))</f>
        <v/>
      </c>
      <c r="B1067" s="45" t="n">
        <v>46144</v>
      </c>
      <c r="C1067" s="46" t="n">
        <v>2818</v>
      </c>
      <c r="D1067" s="46" t="inlineStr">
        <is>
          <t>محمد عتمان</t>
        </is>
      </c>
      <c r="E1067" s="46" t="inlineStr">
        <is>
          <t>2*20</t>
        </is>
      </c>
      <c r="F1067" s="46" t="inlineStr">
        <is>
          <t xml:space="preserve">العسل </t>
        </is>
      </c>
      <c r="G1067" s="46" t="inlineStr">
        <is>
          <t xml:space="preserve">دسوق </t>
        </is>
      </c>
      <c r="H1067" s="46" t="inlineStr">
        <is>
          <t>669639/8</t>
        </is>
      </c>
      <c r="I1067" s="46" t="inlineStr">
        <is>
          <t>ب د ن 6518</t>
        </is>
      </c>
      <c r="J1067" s="46" t="inlineStr">
        <is>
          <t xml:space="preserve">محمد الكيلانى </t>
        </is>
      </c>
      <c r="K1067" s="46" t="inlineStr">
        <is>
          <t>استوريا</t>
        </is>
      </c>
      <c r="L1067" s="47" t="n">
        <v>14000</v>
      </c>
      <c r="M1067" s="47" t="n">
        <v>8100</v>
      </c>
      <c r="N1067" s="47" t="n"/>
      <c r="O1067" s="47" t="n">
        <v>200</v>
      </c>
      <c r="P1067" s="47" t="n"/>
      <c r="Q1067" s="47" t="n">
        <v>5700</v>
      </c>
      <c r="R1067" s="43">
        <f>IF($B1067="","",N($S1067)-N($Q1067))</f>
        <v/>
      </c>
      <c r="S1067" s="43">
        <f>IF($B1067="","",N($L1067)+N($N1067)+N($P1067))</f>
        <v/>
      </c>
      <c r="T1067" s="47" t="n"/>
      <c r="U1067" s="47" t="n"/>
      <c r="V1067" s="47" t="n"/>
      <c r="W1067" s="47" t="n"/>
      <c r="X1067" s="47" t="n"/>
      <c r="Y1067" s="47" t="n"/>
      <c r="Z1067" s="47" t="n"/>
      <c r="AA1067" s="47" t="n"/>
      <c r="AB1067" s="47" t="n"/>
      <c r="AC1067" s="47" t="n"/>
      <c r="AD1067" s="47" t="n"/>
      <c r="AE1067" s="47" t="n"/>
      <c r="AF1067" s="43">
        <f>IF($B1067="","",SUM($T1067:$AE1067))</f>
        <v/>
      </c>
      <c r="AG1067" s="43">
        <f>IF($B1067="","",N($M1067)-N($AF1067))</f>
        <v/>
      </c>
      <c r="AH1067" s="43">
        <f>IF($B1067="","",N($L1067)-N($AF1067))</f>
        <v/>
      </c>
      <c r="AI1067" s="149">
        <f>IF($B1067="","",IF(N($L1067)=0,"",(N($L1067)-N($AF1067))/N($L1067)))</f>
        <v/>
      </c>
    </row>
    <row r="1068">
      <c r="A1068" s="39">
        <f>IF($B1068="","",COUNTA($B$4:$B1068))</f>
        <v/>
      </c>
      <c r="B1068" s="40" t="n">
        <v>46144</v>
      </c>
      <c r="C1068" s="41" t="n">
        <v>2820</v>
      </c>
      <c r="D1068" s="41" t="inlineStr">
        <is>
          <t xml:space="preserve">كمال رزق </t>
        </is>
      </c>
      <c r="E1068" s="41" t="inlineStr">
        <is>
          <t>1*20</t>
        </is>
      </c>
      <c r="F1068" s="41" t="inlineStr">
        <is>
          <t xml:space="preserve">مينا تك </t>
        </is>
      </c>
      <c r="G1068" s="41" t="inlineStr">
        <is>
          <t xml:space="preserve">العبور </t>
        </is>
      </c>
      <c r="H1068" s="41" t="inlineStr">
        <is>
          <t>538417/5</t>
        </is>
      </c>
      <c r="I1068" s="41" t="inlineStr">
        <is>
          <t>ع ل ج 5474</t>
        </is>
      </c>
      <c r="J1068" s="41" t="inlineStr">
        <is>
          <t xml:space="preserve">حسن الشال </t>
        </is>
      </c>
      <c r="K1068" s="41" t="inlineStr">
        <is>
          <t>رومانى</t>
        </is>
      </c>
      <c r="L1068" s="42" t="n">
        <v>15000</v>
      </c>
      <c r="M1068" s="42" t="n">
        <v>8100</v>
      </c>
      <c r="N1068" s="42" t="n"/>
      <c r="O1068" s="42" t="n">
        <v>200</v>
      </c>
      <c r="P1068" s="42" t="n"/>
      <c r="Q1068" s="42" t="n">
        <v>6700</v>
      </c>
      <c r="R1068" s="43">
        <f>IF($B1068="","",N($S1068)-N($Q1068))</f>
        <v/>
      </c>
      <c r="S1068" s="43">
        <f>IF($B1068="","",N($L1068)+N($N1068)+N($P1068))</f>
        <v/>
      </c>
      <c r="T1068" s="42" t="inlineStr">
        <is>
          <t>؟؟؟</t>
        </is>
      </c>
      <c r="U1068" s="42" t="n"/>
      <c r="V1068" s="42" t="n"/>
      <c r="W1068" s="42" t="n"/>
      <c r="X1068" s="42" t="n"/>
      <c r="Y1068" s="42" t="n"/>
      <c r="Z1068" s="42" t="n"/>
      <c r="AA1068" s="42" t="n"/>
      <c r="AB1068" s="42" t="n"/>
      <c r="AC1068" s="42" t="n"/>
      <c r="AD1068" s="42" t="n"/>
      <c r="AE1068" s="42" t="n"/>
      <c r="AF1068" s="43">
        <f>IF($B1068="","",SUM($T1068:$AE1068))</f>
        <v/>
      </c>
      <c r="AG1068" s="43">
        <f>IF($B1068="","",N($M1068)-N($AF1068))</f>
        <v/>
      </c>
      <c r="AH1068" s="43">
        <f>IF($B1068="","",N($L1068)-N($AF1068))</f>
        <v/>
      </c>
      <c r="AI1068" s="149">
        <f>IF($B1068="","",IF(N($L1068)=0,"",(N($L1068)-N($AF1068))/N($L1068)))</f>
        <v/>
      </c>
    </row>
    <row r="1069">
      <c r="A1069" s="39">
        <f>IF($B1069="","",COUNTA($B$4:$B1069))</f>
        <v/>
      </c>
      <c r="B1069" s="45" t="n">
        <v>46145</v>
      </c>
      <c r="C1069" s="46" t="n">
        <v>2821</v>
      </c>
      <c r="D1069" s="46" t="inlineStr">
        <is>
          <t xml:space="preserve">عتريس مخيمر </t>
        </is>
      </c>
      <c r="E1069" s="46" t="inlineStr">
        <is>
          <t>2*20</t>
        </is>
      </c>
      <c r="F1069" s="46" t="inlineStr">
        <is>
          <t xml:space="preserve">اكما </t>
        </is>
      </c>
      <c r="G1069" s="46" t="inlineStr">
        <is>
          <t>بنى سويف</t>
        </is>
      </c>
      <c r="H1069" s="46" t="inlineStr">
        <is>
          <t>223019/5-244834/0</t>
        </is>
      </c>
      <c r="I1069" s="46" t="inlineStr">
        <is>
          <t>ب ص ا 2574</t>
        </is>
      </c>
      <c r="J1069" s="46" t="inlineStr">
        <is>
          <t xml:space="preserve">محمد البحيرى </t>
        </is>
      </c>
      <c r="K1069" s="46" t="inlineStr">
        <is>
          <t xml:space="preserve">احمد خليف </t>
        </is>
      </c>
      <c r="L1069" s="47" t="n">
        <v>24000</v>
      </c>
      <c r="M1069" s="47" t="n">
        <v>12100</v>
      </c>
      <c r="N1069" s="47" t="n"/>
      <c r="O1069" s="47" t="n">
        <v>200</v>
      </c>
      <c r="P1069" s="47" t="n"/>
      <c r="Q1069" s="47" t="n">
        <v>11700</v>
      </c>
      <c r="R1069" s="43">
        <f>IF($B1069="","",N($S1069)-N($Q1069))</f>
        <v/>
      </c>
      <c r="S1069" s="43">
        <f>IF($B1069="","",N($L1069)+N($N1069)+N($P1069))</f>
        <v/>
      </c>
      <c r="T1069" s="47" t="n"/>
      <c r="U1069" s="47" t="n"/>
      <c r="V1069" s="47" t="n"/>
      <c r="W1069" s="47" t="n"/>
      <c r="X1069" s="47" t="n"/>
      <c r="Y1069" s="47" t="n"/>
      <c r="Z1069" s="47" t="n"/>
      <c r="AA1069" s="47" t="n"/>
      <c r="AB1069" s="47" t="n"/>
      <c r="AC1069" s="47" t="n"/>
      <c r="AD1069" s="47" t="n"/>
      <c r="AE1069" s="47" t="n"/>
      <c r="AF1069" s="43">
        <f>IF($B1069="","",SUM($T1069:$AE1069))</f>
        <v/>
      </c>
      <c r="AG1069" s="43">
        <f>IF($B1069="","",N($M1069)-N($AF1069))</f>
        <v/>
      </c>
      <c r="AH1069" s="43">
        <f>IF($B1069="","",N($L1069)-N($AF1069))</f>
        <v/>
      </c>
      <c r="AI1069" s="149">
        <f>IF($B1069="","",IF(N($L1069)=0,"",(N($L1069)-N($AF1069))/N($L1069)))</f>
        <v/>
      </c>
    </row>
    <row r="1070">
      <c r="A1070" s="39">
        <f>IF($B1070="","",COUNTA($B$4:$B1070))</f>
        <v/>
      </c>
      <c r="B1070" s="40" t="n">
        <v>46145</v>
      </c>
      <c r="C1070" s="41" t="n">
        <v>2674</v>
      </c>
      <c r="D1070" s="41" t="inlineStr">
        <is>
          <t xml:space="preserve">محمد يحى </t>
        </is>
      </c>
      <c r="E1070" s="41" t="inlineStr">
        <is>
          <t>1*40</t>
        </is>
      </c>
      <c r="F1070" s="41" t="inlineStr">
        <is>
          <t xml:space="preserve">اسطنبول </t>
        </is>
      </c>
      <c r="G1070" s="41" t="inlineStr">
        <is>
          <t xml:space="preserve">العاشر </t>
        </is>
      </c>
      <c r="H1070" s="41" t="inlineStr">
        <is>
          <t>570481/4</t>
        </is>
      </c>
      <c r="I1070" s="41" t="inlineStr">
        <is>
          <t>ع ر ب 1573</t>
        </is>
      </c>
      <c r="J1070" s="41" t="inlineStr">
        <is>
          <t xml:space="preserve">محمد السيد </t>
        </is>
      </c>
      <c r="K1070" s="41" t="inlineStr">
        <is>
          <t xml:space="preserve">حمو مرزوق </t>
        </is>
      </c>
      <c r="L1070" s="42" t="n">
        <v>15000</v>
      </c>
      <c r="M1070" s="42" t="n">
        <v>8100</v>
      </c>
      <c r="N1070" s="42" t="n"/>
      <c r="O1070" s="42" t="n">
        <v>200</v>
      </c>
      <c r="P1070" s="42" t="n"/>
      <c r="Q1070" s="42" t="n"/>
      <c r="R1070" s="43">
        <f>IF($B1070="","",N($S1070)-N($Q1070))</f>
        <v/>
      </c>
      <c r="S1070" s="43">
        <f>IF($B1070="","",N($L1070)+N($N1070)+N($P1070))</f>
        <v/>
      </c>
      <c r="T1070" s="42" t="n"/>
      <c r="U1070" s="42" t="n"/>
      <c r="V1070" s="42" t="n"/>
      <c r="W1070" s="42" t="n"/>
      <c r="X1070" s="42" t="n"/>
      <c r="Y1070" s="42" t="n"/>
      <c r="Z1070" s="42" t="n"/>
      <c r="AA1070" s="42" t="n"/>
      <c r="AB1070" s="42" t="n"/>
      <c r="AC1070" s="42" t="n"/>
      <c r="AD1070" s="42" t="n"/>
      <c r="AE1070" s="42" t="n"/>
      <c r="AF1070" s="43">
        <f>IF($B1070="","",SUM($T1070:$AE1070))</f>
        <v/>
      </c>
      <c r="AG1070" s="43">
        <f>IF($B1070="","",N($M1070)-N($AF1070))</f>
        <v/>
      </c>
      <c r="AH1070" s="43">
        <f>IF($B1070="","",N($L1070)-N($AF1070))</f>
        <v/>
      </c>
      <c r="AI1070" s="149">
        <f>IF($B1070="","",IF(N($L1070)=0,"",(N($L1070)-N($AF1070))/N($L1070)))</f>
        <v/>
      </c>
    </row>
    <row r="1071">
      <c r="A1071" s="39">
        <f>IF($B1071="","",COUNTA($B$4:$B1071))</f>
        <v/>
      </c>
      <c r="B1071" s="45" t="n">
        <v>46145</v>
      </c>
      <c r="C1071" s="46" t="n">
        <v>2781</v>
      </c>
      <c r="D1071" s="46" t="inlineStr">
        <is>
          <t>المكتب</t>
        </is>
      </c>
      <c r="E1071" s="46" t="inlineStr">
        <is>
          <t>2*20</t>
        </is>
      </c>
      <c r="F1071" s="46" t="inlineStr">
        <is>
          <t xml:space="preserve">ريجينا </t>
        </is>
      </c>
      <c r="G1071" s="46" t="inlineStr">
        <is>
          <t xml:space="preserve">السادات </t>
        </is>
      </c>
      <c r="H1071" s="46" t="inlineStr">
        <is>
          <t>379027/4-280300/6</t>
        </is>
      </c>
      <c r="I1071" s="46" t="inlineStr">
        <is>
          <t>س ع م 8737</t>
        </is>
      </c>
      <c r="J1071" s="46" t="inlineStr">
        <is>
          <t xml:space="preserve">جلال حسنى </t>
        </is>
      </c>
      <c r="K1071" s="46" t="inlineStr">
        <is>
          <t xml:space="preserve">المكتب </t>
        </is>
      </c>
      <c r="L1071" s="47" t="n">
        <v>17000</v>
      </c>
      <c r="M1071" s="47" t="n">
        <v>2000</v>
      </c>
      <c r="N1071" s="47" t="n"/>
      <c r="O1071" s="47" t="n"/>
      <c r="P1071" s="47" t="n"/>
      <c r="Q1071" s="47" t="n">
        <v>8900</v>
      </c>
      <c r="R1071" s="43">
        <f>IF($B1071="","",N($S1071)-N($Q1071))</f>
        <v/>
      </c>
      <c r="S1071" s="43">
        <f>IF($B1071="","",N($L1071)+N($N1071)+N($P1071))</f>
        <v/>
      </c>
      <c r="T1071" s="47" t="n">
        <v>1500</v>
      </c>
      <c r="U1071" s="47" t="n">
        <v>700</v>
      </c>
      <c r="V1071" s="47" t="n"/>
      <c r="W1071" s="47" t="n">
        <v>50</v>
      </c>
      <c r="X1071" s="47" t="n">
        <v>80</v>
      </c>
      <c r="Y1071" s="47" t="n">
        <v>60</v>
      </c>
      <c r="Z1071" s="47" t="n"/>
      <c r="AA1071" s="47" t="n"/>
      <c r="AB1071" s="47" t="n"/>
      <c r="AC1071" s="47" t="n">
        <v>600</v>
      </c>
      <c r="AD1071" s="47" t="n">
        <v>1660</v>
      </c>
      <c r="AE1071" s="47" t="n"/>
      <c r="AF1071" s="43">
        <f>IF($B1071="","",SUM($T1071:$AE1071))</f>
        <v/>
      </c>
      <c r="AG1071" s="43">
        <f>IF($B1071="","",N($M1071)-N($AF1071))</f>
        <v/>
      </c>
      <c r="AH1071" s="43">
        <f>IF($B1071="","",N($L1071)-N($AF1071))</f>
        <v/>
      </c>
      <c r="AI1071" s="149">
        <f>IF($B1071="","",IF(N($L1071)=0,"",(N($L1071)-N($AF1071))/N($L1071)))</f>
        <v/>
      </c>
    </row>
    <row r="1072">
      <c r="A1072" s="39">
        <f>IF($B1072="","",COUNTA($B$4:$B1072))</f>
        <v/>
      </c>
      <c r="B1072" s="40" t="n">
        <v>46145</v>
      </c>
      <c r="C1072" s="41" t="n">
        <v>2779</v>
      </c>
      <c r="D1072" s="41" t="inlineStr">
        <is>
          <t xml:space="preserve">محمد يحى </t>
        </is>
      </c>
      <c r="E1072" s="41" t="inlineStr">
        <is>
          <t>2*20</t>
        </is>
      </c>
      <c r="F1072" s="41" t="inlineStr">
        <is>
          <t xml:space="preserve">ريجينا </t>
        </is>
      </c>
      <c r="G1072" s="41" t="inlineStr">
        <is>
          <t xml:space="preserve">السادات </t>
        </is>
      </c>
      <c r="H1072" s="41" t="inlineStr">
        <is>
          <t>216003/5-732388/9</t>
        </is>
      </c>
      <c r="I1072" s="41" t="inlineStr">
        <is>
          <t>س ر ا 6671</t>
        </is>
      </c>
      <c r="J1072" s="41" t="inlineStr">
        <is>
          <t xml:space="preserve">احمد الحسينى </t>
        </is>
      </c>
      <c r="K1072" s="41" t="inlineStr">
        <is>
          <t xml:space="preserve">حمو مرزوق </t>
        </is>
      </c>
      <c r="L1072" s="42" t="n">
        <v>17000</v>
      </c>
      <c r="M1072" s="42" t="n">
        <v>8100</v>
      </c>
      <c r="N1072" s="42" t="n"/>
      <c r="O1072" s="42" t="n">
        <v>200</v>
      </c>
      <c r="P1072" s="42" t="n"/>
      <c r="Q1072" s="42" t="n"/>
      <c r="R1072" s="43">
        <f>IF($B1072="","",N($S1072)-N($Q1072))</f>
        <v/>
      </c>
      <c r="S1072" s="43">
        <f>IF($B1072="","",N($L1072)+N($N1072)+N($P1072))</f>
        <v/>
      </c>
      <c r="T1072" s="42" t="n"/>
      <c r="U1072" s="42" t="n"/>
      <c r="V1072" s="42" t="n"/>
      <c r="W1072" s="42" t="n"/>
      <c r="X1072" s="42" t="n"/>
      <c r="Y1072" s="42" t="n"/>
      <c r="Z1072" s="42" t="n"/>
      <c r="AA1072" s="42" t="n"/>
      <c r="AB1072" s="42" t="n"/>
      <c r="AC1072" s="42" t="n"/>
      <c r="AD1072" s="42" t="n"/>
      <c r="AE1072" s="42" t="n"/>
      <c r="AF1072" s="43">
        <f>IF($B1072="","",SUM($T1072:$AE1072))</f>
        <v/>
      </c>
      <c r="AG1072" s="43">
        <f>IF($B1072="","",N($M1072)-N($AF1072))</f>
        <v/>
      </c>
      <c r="AH1072" s="43">
        <f>IF($B1072="","",N($L1072)-N($AF1072))</f>
        <v/>
      </c>
      <c r="AI1072" s="149">
        <f>IF($B1072="","",IF(N($L1072)=0,"",(N($L1072)-N($AF1072))/N($L1072)))</f>
        <v/>
      </c>
    </row>
    <row r="1073">
      <c r="A1073" s="39">
        <f>IF($B1073="","",COUNTA($B$4:$B1073))</f>
        <v/>
      </c>
      <c r="B1073" s="45" t="n">
        <v>46145</v>
      </c>
      <c r="C1073" s="46" t="n">
        <v>2778</v>
      </c>
      <c r="D1073" s="46" t="inlineStr">
        <is>
          <t>رجب عبد العال</t>
        </is>
      </c>
      <c r="E1073" s="46" t="inlineStr">
        <is>
          <t>2*20</t>
        </is>
      </c>
      <c r="F1073" s="46" t="inlineStr">
        <is>
          <t xml:space="preserve">ريجينا </t>
        </is>
      </c>
      <c r="G1073" s="46" t="inlineStr">
        <is>
          <t xml:space="preserve">السادات </t>
        </is>
      </c>
      <c r="H1073" s="46" t="inlineStr">
        <is>
          <t>128911/6-289612/3</t>
        </is>
      </c>
      <c r="I1073" s="46" t="inlineStr">
        <is>
          <t>س د ى 2812</t>
        </is>
      </c>
      <c r="J1073" s="46" t="inlineStr">
        <is>
          <t xml:space="preserve">محمد رزق </t>
        </is>
      </c>
      <c r="K1073" s="46" t="inlineStr">
        <is>
          <t>غزال</t>
        </is>
      </c>
      <c r="L1073" s="47" t="n">
        <v>17500</v>
      </c>
      <c r="M1073" s="47" t="n">
        <v>8100</v>
      </c>
      <c r="N1073" s="47" t="n"/>
      <c r="O1073" s="47" t="n">
        <v>200</v>
      </c>
      <c r="P1073" s="47" t="n"/>
      <c r="Q1073" s="47" t="n"/>
      <c r="R1073" s="43">
        <f>IF($B1073="","",N($S1073)-N($Q1073))</f>
        <v/>
      </c>
      <c r="S1073" s="43">
        <f>IF($B1073="","",N($L1073)+N($N1073)+N($P1073))</f>
        <v/>
      </c>
      <c r="T1073" s="47" t="n"/>
      <c r="U1073" s="47" t="n"/>
      <c r="V1073" s="47" t="n"/>
      <c r="W1073" s="47" t="n"/>
      <c r="X1073" s="47" t="n"/>
      <c r="Y1073" s="47" t="n"/>
      <c r="Z1073" s="47" t="n"/>
      <c r="AA1073" s="47" t="n"/>
      <c r="AB1073" s="47" t="n"/>
      <c r="AC1073" s="47" t="n"/>
      <c r="AD1073" s="47" t="n"/>
      <c r="AE1073" s="47" t="n"/>
      <c r="AF1073" s="43">
        <f>IF($B1073="","",SUM($T1073:$AE1073))</f>
        <v/>
      </c>
      <c r="AG1073" s="43">
        <f>IF($B1073="","",N($M1073)-N($AF1073))</f>
        <v/>
      </c>
      <c r="AH1073" s="43">
        <f>IF($B1073="","",N($L1073)-N($AF1073))</f>
        <v/>
      </c>
      <c r="AI1073" s="149">
        <f>IF($B1073="","",IF(N($L1073)=0,"",(N($L1073)-N($AF1073))/N($L1073)))</f>
        <v/>
      </c>
    </row>
    <row r="1074">
      <c r="A1074" s="39">
        <f>IF($B1074="","",COUNTA($B$4:$B1074))</f>
        <v/>
      </c>
      <c r="B1074" s="40" t="n">
        <v>46145</v>
      </c>
      <c r="C1074" s="41" t="n">
        <v>2519</v>
      </c>
      <c r="D1074" s="41" t="n"/>
      <c r="E1074" s="41" t="inlineStr">
        <is>
          <t>1*40</t>
        </is>
      </c>
      <c r="F1074" s="41" t="inlineStr">
        <is>
          <t xml:space="preserve">فرست </t>
        </is>
      </c>
      <c r="G1074" s="41" t="inlineStr">
        <is>
          <t xml:space="preserve">العبور </t>
        </is>
      </c>
      <c r="H1074" s="41" t="inlineStr">
        <is>
          <t>705653/6</t>
        </is>
      </c>
      <c r="I1074" s="41" t="inlineStr">
        <is>
          <t>ب ج ى 7423</t>
        </is>
      </c>
      <c r="J1074" s="41" t="inlineStr">
        <is>
          <t xml:space="preserve">ابراهيم محمد </t>
        </is>
      </c>
      <c r="K1074" s="41" t="n"/>
      <c r="L1074" s="42" t="n">
        <v>16000</v>
      </c>
      <c r="M1074" s="42" t="n">
        <v>8100</v>
      </c>
      <c r="N1074" s="42" t="n">
        <v>2500</v>
      </c>
      <c r="O1074" s="42" t="n">
        <v>200</v>
      </c>
      <c r="P1074" s="42" t="n"/>
      <c r="Q1074" s="42" t="n"/>
      <c r="R1074" s="43">
        <f>IF($B1074="","",N($S1074)-N($Q1074))</f>
        <v/>
      </c>
      <c r="S1074" s="43">
        <f>IF($B1074="","",N($L1074)+N($N1074)+N($P1074))</f>
        <v/>
      </c>
      <c r="T1074" s="42" t="n"/>
      <c r="U1074" s="42" t="n"/>
      <c r="V1074" s="42" t="n"/>
      <c r="W1074" s="42" t="n"/>
      <c r="X1074" s="42" t="n"/>
      <c r="Y1074" s="42" t="n"/>
      <c r="Z1074" s="42" t="n"/>
      <c r="AA1074" s="42" t="n"/>
      <c r="AB1074" s="42" t="n"/>
      <c r="AC1074" s="42" t="n"/>
      <c r="AD1074" s="42" t="n"/>
      <c r="AE1074" s="42" t="n"/>
      <c r="AF1074" s="43">
        <f>IF($B1074="","",SUM($T1074:$AE1074))</f>
        <v/>
      </c>
      <c r="AG1074" s="43">
        <f>IF($B1074="","",N($M1074)-N($AF1074))</f>
        <v/>
      </c>
      <c r="AH1074" s="43">
        <f>IF($B1074="","",N($L1074)-N($AF1074))</f>
        <v/>
      </c>
      <c r="AI1074" s="149">
        <f>IF($B1074="","",IF(N($L1074)=0,"",(N($L1074)-N($AF1074))/N($L1074)))</f>
        <v/>
      </c>
    </row>
    <row r="1075">
      <c r="A1075" s="39">
        <f>IF($B1075="","",COUNTA($B$4:$B1075))</f>
        <v/>
      </c>
      <c r="B1075" s="45" t="n">
        <v>46145</v>
      </c>
      <c r="C1075" s="46" t="n">
        <v>2852</v>
      </c>
      <c r="D1075" s="46" t="inlineStr">
        <is>
          <t xml:space="preserve">احمد عبدو </t>
        </is>
      </c>
      <c r="E1075" s="46" t="inlineStr">
        <is>
          <t>1*40</t>
        </is>
      </c>
      <c r="F1075" s="46" t="inlineStr">
        <is>
          <t xml:space="preserve">فيرست </t>
        </is>
      </c>
      <c r="G1075" s="46" t="inlineStr">
        <is>
          <t xml:space="preserve">العبور </t>
        </is>
      </c>
      <c r="H1075" s="46" t="inlineStr">
        <is>
          <t>751082/7</t>
        </is>
      </c>
      <c r="I1075" s="46" t="inlineStr">
        <is>
          <t>س ع ه 3237</t>
        </is>
      </c>
      <c r="J1075" s="46" t="inlineStr">
        <is>
          <t xml:space="preserve">ابو نور </t>
        </is>
      </c>
      <c r="K1075" s="46" t="inlineStr">
        <is>
          <t xml:space="preserve">حمو البيبى </t>
        </is>
      </c>
      <c r="L1075" s="47" t="n">
        <v>15700</v>
      </c>
      <c r="M1075" s="47" t="n">
        <v>8100</v>
      </c>
      <c r="N1075" s="47" t="n"/>
      <c r="O1075" s="47" t="n">
        <v>200</v>
      </c>
      <c r="P1075" s="47" t="n"/>
      <c r="Q1075" s="47" t="n">
        <v>7400</v>
      </c>
      <c r="R1075" s="43">
        <f>IF($B1075="","",N($S1075)-N($Q1075))</f>
        <v/>
      </c>
      <c r="S1075" s="43">
        <f>IF($B1075="","",N($L1075)+N($N1075)+N($P1075))</f>
        <v/>
      </c>
      <c r="T1075" s="47" t="n"/>
      <c r="U1075" s="47" t="n"/>
      <c r="V1075" s="47" t="n"/>
      <c r="W1075" s="47" t="n"/>
      <c r="X1075" s="47" t="n"/>
      <c r="Y1075" s="47" t="n"/>
      <c r="Z1075" s="47" t="n"/>
      <c r="AA1075" s="47" t="n"/>
      <c r="AB1075" s="47" t="n"/>
      <c r="AC1075" s="47" t="n"/>
      <c r="AD1075" s="47" t="n"/>
      <c r="AE1075" s="47" t="n"/>
      <c r="AF1075" s="43">
        <f>IF($B1075="","",SUM($T1075:$AE1075))</f>
        <v/>
      </c>
      <c r="AG1075" s="43">
        <f>IF($B1075="","",N($M1075)-N($AF1075))</f>
        <v/>
      </c>
      <c r="AH1075" s="43">
        <f>IF($B1075="","",N($L1075)-N($AF1075))</f>
        <v/>
      </c>
      <c r="AI1075" s="149">
        <f>IF($B1075="","",IF(N($L1075)=0,"",(N($L1075)-N($AF1075))/N($L1075)))</f>
        <v/>
      </c>
    </row>
    <row r="1076">
      <c r="A1076" s="39">
        <f>IF($B1076="","",COUNTA($B$4:$B1076))</f>
        <v/>
      </c>
      <c r="B1076" s="40" t="n">
        <v>46145</v>
      </c>
      <c r="C1076" s="41" t="n">
        <v>2853</v>
      </c>
      <c r="D1076" s="41" t="inlineStr">
        <is>
          <t xml:space="preserve">نوسكو </t>
        </is>
      </c>
      <c r="E1076" s="41" t="inlineStr">
        <is>
          <t>1*40</t>
        </is>
      </c>
      <c r="F1076" s="41" t="inlineStr">
        <is>
          <t xml:space="preserve">فرست </t>
        </is>
      </c>
      <c r="G1076" s="41" t="inlineStr">
        <is>
          <t xml:space="preserve">العبور </t>
        </is>
      </c>
      <c r="H1076" s="41" t="inlineStr">
        <is>
          <t>696351/2</t>
        </is>
      </c>
      <c r="I1076" s="41" t="inlineStr">
        <is>
          <t>س ق ر 6252</t>
        </is>
      </c>
      <c r="J1076" s="41" t="inlineStr">
        <is>
          <t xml:space="preserve">احمد جابر </t>
        </is>
      </c>
      <c r="K1076" s="41" t="inlineStr">
        <is>
          <t xml:space="preserve">نوسكو </t>
        </is>
      </c>
      <c r="L1076" s="42" t="n">
        <v>16000</v>
      </c>
      <c r="M1076" s="42" t="n">
        <v>8100</v>
      </c>
      <c r="N1076" s="42" t="n"/>
      <c r="O1076" s="42" t="n">
        <v>200</v>
      </c>
      <c r="P1076" s="42" t="n"/>
      <c r="Q1076" s="42" t="n">
        <v>7700</v>
      </c>
      <c r="R1076" s="43">
        <f>IF($B1076="","",N($S1076)-N($Q1076))</f>
        <v/>
      </c>
      <c r="S1076" s="43">
        <f>IF($B1076="","",N($L1076)+N($N1076)+N($P1076))</f>
        <v/>
      </c>
      <c r="T1076" s="42" t="n"/>
      <c r="U1076" s="42" t="n"/>
      <c r="V1076" s="42" t="n"/>
      <c r="W1076" s="42" t="n"/>
      <c r="X1076" s="42" t="n"/>
      <c r="Y1076" s="42" t="n"/>
      <c r="Z1076" s="42" t="n"/>
      <c r="AA1076" s="42" t="n"/>
      <c r="AB1076" s="42" t="n"/>
      <c r="AC1076" s="42" t="n"/>
      <c r="AD1076" s="42" t="n"/>
      <c r="AE1076" s="42" t="n"/>
      <c r="AF1076" s="43">
        <f>IF($B1076="","",SUM($T1076:$AE1076))</f>
        <v/>
      </c>
      <c r="AG1076" s="43">
        <f>IF($B1076="","",N($M1076)-N($AF1076))</f>
        <v/>
      </c>
      <c r="AH1076" s="43">
        <f>IF($B1076="","",N($L1076)-N($AF1076))</f>
        <v/>
      </c>
      <c r="AI1076" s="149">
        <f>IF($B1076="","",IF(N($L1076)=0,"",(N($L1076)-N($AF1076))/N($L1076)))</f>
        <v/>
      </c>
    </row>
    <row r="1077">
      <c r="A1077" s="39">
        <f>IF($B1077="","",COUNTA($B$4:$B1077))</f>
        <v/>
      </c>
      <c r="B1077" s="45" t="n">
        <v>46145</v>
      </c>
      <c r="C1077" s="46" t="n">
        <v>2780</v>
      </c>
      <c r="D1077" s="46" t="inlineStr">
        <is>
          <t xml:space="preserve">نوسكو </t>
        </is>
      </c>
      <c r="E1077" s="46" t="inlineStr">
        <is>
          <t>1*40</t>
        </is>
      </c>
      <c r="F1077" s="46" t="inlineStr">
        <is>
          <t xml:space="preserve">ماكستيلا </t>
        </is>
      </c>
      <c r="G1077" s="46" t="inlineStr">
        <is>
          <t xml:space="preserve">م بدر </t>
        </is>
      </c>
      <c r="H1077" s="46" t="inlineStr">
        <is>
          <t>508171/5</t>
        </is>
      </c>
      <c r="I1077" s="46" t="inlineStr">
        <is>
          <t>س ل ص 9688</t>
        </is>
      </c>
      <c r="J1077" s="46" t="inlineStr">
        <is>
          <t xml:space="preserve">سامى محمود </t>
        </is>
      </c>
      <c r="K1077" s="46" t="inlineStr">
        <is>
          <t xml:space="preserve">نوسكو </t>
        </is>
      </c>
      <c r="L1077" s="47" t="n">
        <v>16000</v>
      </c>
      <c r="M1077" s="47" t="n">
        <v>8100</v>
      </c>
      <c r="N1077" s="47" t="n"/>
      <c r="O1077" s="47" t="n">
        <v>200</v>
      </c>
      <c r="P1077" s="47" t="n"/>
      <c r="Q1077" s="47" t="n">
        <v>7700</v>
      </c>
      <c r="R1077" s="43">
        <f>IF($B1077="","",N($S1077)-N($Q1077))</f>
        <v/>
      </c>
      <c r="S1077" s="43">
        <f>IF($B1077="","",N($L1077)+N($N1077)+N($P1077))</f>
        <v/>
      </c>
      <c r="T1077" s="47" t="n"/>
      <c r="U1077" s="47" t="n"/>
      <c r="V1077" s="47" t="n"/>
      <c r="W1077" s="47" t="n"/>
      <c r="X1077" s="47" t="n"/>
      <c r="Y1077" s="47" t="n"/>
      <c r="Z1077" s="47" t="n"/>
      <c r="AA1077" s="47" t="n"/>
      <c r="AB1077" s="47" t="n"/>
      <c r="AC1077" s="47" t="n"/>
      <c r="AD1077" s="47" t="n"/>
      <c r="AE1077" s="47" t="n"/>
      <c r="AF1077" s="43">
        <f>IF($B1077="","",SUM($T1077:$AE1077))</f>
        <v/>
      </c>
      <c r="AG1077" s="43">
        <f>IF($B1077="","",N($M1077)-N($AF1077))</f>
        <v/>
      </c>
      <c r="AH1077" s="43">
        <f>IF($B1077="","",N($L1077)-N($AF1077))</f>
        <v/>
      </c>
      <c r="AI1077" s="149">
        <f>IF($B1077="","",IF(N($L1077)=0,"",(N($L1077)-N($AF1077))/N($L1077)))</f>
        <v/>
      </c>
    </row>
    <row r="1078">
      <c r="A1078" s="39">
        <f>IF($B1078="","",COUNTA($B$4:$B1078))</f>
        <v/>
      </c>
      <c r="B1078" s="40" t="n">
        <v>46146</v>
      </c>
      <c r="C1078" s="41" t="n">
        <v>2782</v>
      </c>
      <c r="D1078" s="41" t="n"/>
      <c r="E1078" s="41" t="inlineStr">
        <is>
          <t>1*40</t>
        </is>
      </c>
      <c r="F1078" s="41" t="inlineStr">
        <is>
          <t xml:space="preserve">الكوثر </t>
        </is>
      </c>
      <c r="G1078" s="41" t="inlineStr">
        <is>
          <t>بلبيس</t>
        </is>
      </c>
      <c r="H1078" s="41" t="inlineStr">
        <is>
          <t>404115/7</t>
        </is>
      </c>
      <c r="I1078" s="41" t="inlineStr">
        <is>
          <t>ط ق ر 1474</t>
        </is>
      </c>
      <c r="J1078" s="41" t="inlineStr">
        <is>
          <t xml:space="preserve">جمال على </t>
        </is>
      </c>
      <c r="K1078" s="41" t="inlineStr">
        <is>
          <t xml:space="preserve">كريم خليف </t>
        </is>
      </c>
      <c r="L1078" s="42" t="n">
        <v>9100</v>
      </c>
      <c r="M1078" s="42" t="n">
        <v>9100</v>
      </c>
      <c r="N1078" s="42" t="n"/>
      <c r="O1078" s="42" t="n"/>
      <c r="P1078" s="42" t="n"/>
      <c r="Q1078" s="42" t="n"/>
      <c r="R1078" s="43">
        <f>IF($B1078="","",N($S1078)-N($Q1078))</f>
        <v/>
      </c>
      <c r="S1078" s="43">
        <f>IF($B1078="","",N($L1078)+N($N1078)+N($P1078))</f>
        <v/>
      </c>
      <c r="T1078" s="42" t="n"/>
      <c r="U1078" s="42" t="n"/>
      <c r="V1078" s="42" t="n"/>
      <c r="W1078" s="42" t="n"/>
      <c r="X1078" s="42" t="n"/>
      <c r="Y1078" s="42" t="n"/>
      <c r="Z1078" s="42" t="n"/>
      <c r="AA1078" s="42" t="n"/>
      <c r="AB1078" s="42" t="n"/>
      <c r="AC1078" s="42" t="n"/>
      <c r="AD1078" s="42" t="n"/>
      <c r="AE1078" s="42" t="n"/>
      <c r="AF1078" s="43">
        <f>IF($B1078="","",SUM($T1078:$AE1078))</f>
        <v/>
      </c>
      <c r="AG1078" s="43">
        <f>IF($B1078="","",N($M1078)-N($AF1078))</f>
        <v/>
      </c>
      <c r="AH1078" s="43">
        <f>IF($B1078="","",N($L1078)-N($AF1078))</f>
        <v/>
      </c>
      <c r="AI1078" s="149">
        <f>IF($B1078="","",IF(N($L1078)=0,"",(N($L1078)-N($AF1078))/N($L1078)))</f>
        <v/>
      </c>
    </row>
    <row r="1079">
      <c r="A1079" s="39">
        <f>IF($B1079="","",COUNTA($B$4:$B1079))</f>
        <v/>
      </c>
      <c r="B1079" s="45" t="n">
        <v>46146</v>
      </c>
      <c r="C1079" s="46" t="n">
        <v>2783</v>
      </c>
      <c r="D1079" s="46" t="n"/>
      <c r="E1079" s="46" t="inlineStr">
        <is>
          <t>1*40</t>
        </is>
      </c>
      <c r="F1079" s="46" t="inlineStr">
        <is>
          <t xml:space="preserve">الكوثر </t>
        </is>
      </c>
      <c r="G1079" s="46" t="inlineStr">
        <is>
          <t>بلبيس</t>
        </is>
      </c>
      <c r="H1079" s="46" t="inlineStr">
        <is>
          <t>414492/0</t>
        </is>
      </c>
      <c r="I1079" s="46" t="inlineStr">
        <is>
          <t>ص ع ا4932</t>
        </is>
      </c>
      <c r="J1079" s="46" t="inlineStr">
        <is>
          <t xml:space="preserve">احمد رمضان </t>
        </is>
      </c>
      <c r="K1079" s="46" t="inlineStr">
        <is>
          <t xml:space="preserve">حودة عيد </t>
        </is>
      </c>
      <c r="L1079" s="47" t="n">
        <v>9100</v>
      </c>
      <c r="M1079" s="47" t="n">
        <v>9100</v>
      </c>
      <c r="N1079" s="47" t="n"/>
      <c r="O1079" s="47" t="n"/>
      <c r="P1079" s="47" t="n"/>
      <c r="Q1079" s="47" t="n"/>
      <c r="R1079" s="43">
        <f>IF($B1079="","",N($S1079)-N($Q1079))</f>
        <v/>
      </c>
      <c r="S1079" s="43">
        <f>IF($B1079="","",N($L1079)+N($N1079)+N($P1079))</f>
        <v/>
      </c>
      <c r="T1079" s="47" t="n"/>
      <c r="U1079" s="47" t="n"/>
      <c r="V1079" s="47" t="n"/>
      <c r="W1079" s="47" t="n"/>
      <c r="X1079" s="47" t="n"/>
      <c r="Y1079" s="47" t="n"/>
      <c r="Z1079" s="47" t="n"/>
      <c r="AA1079" s="47" t="n"/>
      <c r="AB1079" s="47" t="n"/>
      <c r="AC1079" s="47" t="n"/>
      <c r="AD1079" s="47" t="n"/>
      <c r="AE1079" s="47" t="n"/>
      <c r="AF1079" s="43">
        <f>IF($B1079="","",SUM($T1079:$AE1079))</f>
        <v/>
      </c>
      <c r="AG1079" s="43">
        <f>IF($B1079="","",N($M1079)-N($AF1079))</f>
        <v/>
      </c>
      <c r="AH1079" s="43">
        <f>IF($B1079="","",N($L1079)-N($AF1079))</f>
        <v/>
      </c>
      <c r="AI1079" s="149">
        <f>IF($B1079="","",IF(N($L1079)=0,"",(N($L1079)-N($AF1079))/N($L1079)))</f>
        <v/>
      </c>
    </row>
    <row r="1080">
      <c r="A1080" s="39">
        <f>IF($B1080="","",COUNTA($B$4:$B1080))</f>
        <v/>
      </c>
      <c r="B1080" s="40" t="n">
        <v>46146</v>
      </c>
      <c r="C1080" s="41" t="n">
        <v>2736</v>
      </c>
      <c r="D1080" s="41" t="inlineStr">
        <is>
          <t>صعيدى 5</t>
        </is>
      </c>
      <c r="E1080" s="41" t="inlineStr">
        <is>
          <t>2*20</t>
        </is>
      </c>
      <c r="F1080" s="41" t="inlineStr">
        <is>
          <t xml:space="preserve">اكما </t>
        </is>
      </c>
      <c r="G1080" s="41" t="inlineStr">
        <is>
          <t>بنى سويف</t>
        </is>
      </c>
      <c r="H1080" s="41" t="inlineStr">
        <is>
          <t>213393/2-211761/8</t>
        </is>
      </c>
      <c r="I1080" s="41" t="inlineStr">
        <is>
          <t>س ه ف 1874</t>
        </is>
      </c>
      <c r="J1080" s="41" t="inlineStr">
        <is>
          <t xml:space="preserve">باسم عبد السلام </t>
        </is>
      </c>
      <c r="K1080" s="41" t="inlineStr">
        <is>
          <t xml:space="preserve">محمد الصعيدى </t>
        </is>
      </c>
      <c r="L1080" s="42" t="n">
        <v>24000</v>
      </c>
      <c r="M1080" s="42" t="n">
        <v>12100</v>
      </c>
      <c r="N1080" s="42" t="n"/>
      <c r="O1080" s="42" t="n">
        <v>200</v>
      </c>
      <c r="P1080" s="42" t="n"/>
      <c r="Q1080" s="42" t="n">
        <v>11700</v>
      </c>
      <c r="R1080" s="43">
        <f>IF($B1080="","",N($S1080)-N($Q1080))</f>
        <v/>
      </c>
      <c r="S1080" s="43">
        <f>IF($B1080="","",N($L1080)+N($N1080)+N($P1080))</f>
        <v/>
      </c>
      <c r="T1080" s="42" t="n"/>
      <c r="U1080" s="42" t="n"/>
      <c r="V1080" s="42" t="n"/>
      <c r="W1080" s="42" t="n"/>
      <c r="X1080" s="42" t="n"/>
      <c r="Y1080" s="42" t="n"/>
      <c r="Z1080" s="42" t="n"/>
      <c r="AA1080" s="42" t="n"/>
      <c r="AB1080" s="42" t="n"/>
      <c r="AC1080" s="42" t="n"/>
      <c r="AD1080" s="42" t="n"/>
      <c r="AE1080" s="42" t="n"/>
      <c r="AF1080" s="43">
        <f>IF($B1080="","",SUM($T1080:$AE1080))</f>
        <v/>
      </c>
      <c r="AG1080" s="43">
        <f>IF($B1080="","",N($M1080)-N($AF1080))</f>
        <v/>
      </c>
      <c r="AH1080" s="43">
        <f>IF($B1080="","",N($L1080)-N($AF1080))</f>
        <v/>
      </c>
      <c r="AI1080" s="149">
        <f>IF($B1080="","",IF(N($L1080)=0,"",(N($L1080)-N($AF1080))/N($L1080)))</f>
        <v/>
      </c>
    </row>
    <row r="1081">
      <c r="A1081" s="39">
        <f>IF($B1081="","",COUNTA($B$4:$B1081))</f>
        <v/>
      </c>
      <c r="B1081" s="45" t="n">
        <v>46146</v>
      </c>
      <c r="C1081" s="46" t="n">
        <v>2737</v>
      </c>
      <c r="D1081" s="46" t="inlineStr">
        <is>
          <t>صعيدى 5</t>
        </is>
      </c>
      <c r="E1081" s="46" t="inlineStr">
        <is>
          <t>2*20</t>
        </is>
      </c>
      <c r="F1081" s="46" t="inlineStr">
        <is>
          <t xml:space="preserve">اكما </t>
        </is>
      </c>
      <c r="G1081" s="46" t="inlineStr">
        <is>
          <t>بنى سويف</t>
        </is>
      </c>
      <c r="H1081" s="46" t="inlineStr">
        <is>
          <t>194377/0-236266/0</t>
        </is>
      </c>
      <c r="I1081" s="46" t="inlineStr">
        <is>
          <t>س ل ج 2521</t>
        </is>
      </c>
      <c r="J1081" s="46" t="inlineStr">
        <is>
          <t xml:space="preserve">احمد جمال </t>
        </is>
      </c>
      <c r="K1081" s="46" t="inlineStr">
        <is>
          <t xml:space="preserve">محمد الصعيدى </t>
        </is>
      </c>
      <c r="L1081" s="47" t="n">
        <v>24000</v>
      </c>
      <c r="M1081" s="47" t="n">
        <v>12100</v>
      </c>
      <c r="N1081" s="47" t="n"/>
      <c r="O1081" s="47" t="n">
        <v>200</v>
      </c>
      <c r="P1081" s="47" t="n"/>
      <c r="Q1081" s="47" t="n">
        <v>11700</v>
      </c>
      <c r="R1081" s="43">
        <f>IF($B1081="","",N($S1081)-N($Q1081))</f>
        <v/>
      </c>
      <c r="S1081" s="43">
        <f>IF($B1081="","",N($L1081)+N($N1081)+N($P1081))</f>
        <v/>
      </c>
      <c r="T1081" s="47" t="n"/>
      <c r="U1081" s="47" t="n"/>
      <c r="V1081" s="47" t="n"/>
      <c r="W1081" s="47" t="n"/>
      <c r="X1081" s="47" t="n"/>
      <c r="Y1081" s="47" t="n"/>
      <c r="Z1081" s="47" t="n"/>
      <c r="AA1081" s="47" t="n"/>
      <c r="AB1081" s="47" t="n"/>
      <c r="AC1081" s="47" t="n"/>
      <c r="AD1081" s="47" t="n"/>
      <c r="AE1081" s="47" t="n"/>
      <c r="AF1081" s="43">
        <f>IF($B1081="","",SUM($T1081:$AE1081))</f>
        <v/>
      </c>
      <c r="AG1081" s="43">
        <f>IF($B1081="","",N($M1081)-N($AF1081))</f>
        <v/>
      </c>
      <c r="AH1081" s="43">
        <f>IF($B1081="","",N($L1081)-N($AF1081))</f>
        <v/>
      </c>
      <c r="AI1081" s="149">
        <f>IF($B1081="","",IF(N($L1081)=0,"",(N($L1081)-N($AF1081))/N($L1081)))</f>
        <v/>
      </c>
    </row>
    <row r="1082">
      <c r="A1082" s="39">
        <f>IF($B1082="","",COUNTA($B$4:$B1082))</f>
        <v/>
      </c>
      <c r="B1082" s="40" t="n">
        <v>46146</v>
      </c>
      <c r="C1082" s="41" t="n">
        <v>2738</v>
      </c>
      <c r="D1082" s="41" t="inlineStr">
        <is>
          <t>صعيدى 5</t>
        </is>
      </c>
      <c r="E1082" s="41" t="inlineStr">
        <is>
          <t>2*20</t>
        </is>
      </c>
      <c r="F1082" s="41" t="inlineStr">
        <is>
          <t xml:space="preserve">اكما </t>
        </is>
      </c>
      <c r="G1082" s="41" t="inlineStr">
        <is>
          <t>بنى سويف</t>
        </is>
      </c>
      <c r="H1082" s="41" t="inlineStr">
        <is>
          <t>532605/2-052110/6</t>
        </is>
      </c>
      <c r="I1082" s="41" t="inlineStr">
        <is>
          <t>س ف ب 3176</t>
        </is>
      </c>
      <c r="J1082" s="41" t="inlineStr">
        <is>
          <t xml:space="preserve">السيد عبد العزيز </t>
        </is>
      </c>
      <c r="K1082" s="41" t="inlineStr">
        <is>
          <t xml:space="preserve">محمد الصعيدى </t>
        </is>
      </c>
      <c r="L1082" s="42" t="n">
        <v>24000</v>
      </c>
      <c r="M1082" s="42" t="n">
        <v>12100</v>
      </c>
      <c r="N1082" s="42" t="n"/>
      <c r="O1082" s="42" t="n">
        <v>200</v>
      </c>
      <c r="P1082" s="42" t="n">
        <v>1500</v>
      </c>
      <c r="Q1082" s="42" t="n">
        <v>13200</v>
      </c>
      <c r="R1082" s="43">
        <f>IF($B1082="","",N($S1082)-N($Q1082))</f>
        <v/>
      </c>
      <c r="S1082" s="43">
        <f>IF($B1082="","",N($L1082)+N($N1082)+N($P1082))</f>
        <v/>
      </c>
      <c r="T1082" s="42" t="n"/>
      <c r="U1082" s="42" t="n"/>
      <c r="V1082" s="42" t="n"/>
      <c r="W1082" s="42" t="n"/>
      <c r="X1082" s="42" t="n"/>
      <c r="Y1082" s="42" t="n"/>
      <c r="Z1082" s="42" t="n"/>
      <c r="AA1082" s="42" t="n"/>
      <c r="AB1082" s="42" t="n"/>
      <c r="AC1082" s="42" t="n"/>
      <c r="AD1082" s="42" t="n"/>
      <c r="AE1082" s="42" t="n"/>
      <c r="AF1082" s="43">
        <f>IF($B1082="","",SUM($T1082:$AE1082))</f>
        <v/>
      </c>
      <c r="AG1082" s="43">
        <f>IF($B1082="","",N($M1082)-N($AF1082))</f>
        <v/>
      </c>
      <c r="AH1082" s="43">
        <f>IF($B1082="","",N($L1082)-N($AF1082))</f>
        <v/>
      </c>
      <c r="AI1082" s="149">
        <f>IF($B1082="","",IF(N($L1082)=0,"",(N($L1082)-N($AF1082))/N($L1082)))</f>
        <v/>
      </c>
    </row>
    <row r="1083">
      <c r="A1083" s="39">
        <f>IF($B1083="","",COUNTA($B$4:$B1083))</f>
        <v/>
      </c>
      <c r="B1083" s="45" t="n">
        <v>46146</v>
      </c>
      <c r="C1083" s="46" t="n">
        <v>2739</v>
      </c>
      <c r="D1083" s="46" t="inlineStr">
        <is>
          <t xml:space="preserve">عتريس مخيمر </t>
        </is>
      </c>
      <c r="E1083" s="46" t="inlineStr">
        <is>
          <t>2*20</t>
        </is>
      </c>
      <c r="F1083" s="46" t="inlineStr">
        <is>
          <t xml:space="preserve">اكما </t>
        </is>
      </c>
      <c r="G1083" s="46" t="inlineStr">
        <is>
          <t>بنى سويف</t>
        </is>
      </c>
      <c r="H1083" s="46" t="inlineStr">
        <is>
          <t>4292875/2-308443/7</t>
        </is>
      </c>
      <c r="I1083" s="46" t="inlineStr">
        <is>
          <t>ب ص ا 2574</t>
        </is>
      </c>
      <c r="J1083" s="46" t="inlineStr">
        <is>
          <t xml:space="preserve">محمد البحيرى </t>
        </is>
      </c>
      <c r="K1083" s="46" t="inlineStr">
        <is>
          <t xml:space="preserve">احمد خليف </t>
        </is>
      </c>
      <c r="L1083" s="47" t="n">
        <v>24000</v>
      </c>
      <c r="M1083" s="47" t="n">
        <v>12100</v>
      </c>
      <c r="N1083" s="47" t="n"/>
      <c r="O1083" s="47" t="n">
        <v>200</v>
      </c>
      <c r="P1083" s="47" t="n"/>
      <c r="Q1083" s="47" t="n">
        <v>11700</v>
      </c>
      <c r="R1083" s="43">
        <f>IF($B1083="","",N($S1083)-N($Q1083))</f>
        <v/>
      </c>
      <c r="S1083" s="43">
        <f>IF($B1083="","",N($L1083)+N($N1083)+N($P1083))</f>
        <v/>
      </c>
      <c r="T1083" s="47" t="n"/>
      <c r="U1083" s="47" t="n"/>
      <c r="V1083" s="47" t="n"/>
      <c r="W1083" s="47" t="n"/>
      <c r="X1083" s="47" t="n"/>
      <c r="Y1083" s="47" t="n"/>
      <c r="Z1083" s="47" t="n"/>
      <c r="AA1083" s="47" t="n"/>
      <c r="AB1083" s="47" t="n"/>
      <c r="AC1083" s="47" t="n"/>
      <c r="AD1083" s="47" t="n"/>
      <c r="AE1083" s="47" t="n"/>
      <c r="AF1083" s="43">
        <f>IF($B1083="","",SUM($T1083:$AE1083))</f>
        <v/>
      </c>
      <c r="AG1083" s="43">
        <f>IF($B1083="","",N($M1083)-N($AF1083))</f>
        <v/>
      </c>
      <c r="AH1083" s="43">
        <f>IF($B1083="","",N($L1083)-N($AF1083))</f>
        <v/>
      </c>
      <c r="AI1083" s="149">
        <f>IF($B1083="","",IF(N($L1083)=0,"",(N($L1083)-N($AF1083))/N($L1083)))</f>
        <v/>
      </c>
    </row>
    <row r="1084">
      <c r="A1084" s="39">
        <f>IF($B1084="","",COUNTA($B$4:$B1084))</f>
        <v/>
      </c>
      <c r="B1084" s="40" t="n">
        <v>46146</v>
      </c>
      <c r="C1084" s="41" t="n">
        <v>2743</v>
      </c>
      <c r="D1084" s="41" t="inlineStr">
        <is>
          <t>اسلام محروس</t>
        </is>
      </c>
      <c r="E1084" s="41" t="inlineStr">
        <is>
          <t>1*40 ث</t>
        </is>
      </c>
      <c r="F1084" s="41" t="inlineStr">
        <is>
          <t>البوشى</t>
        </is>
      </c>
      <c r="G1084" s="41" t="inlineStr">
        <is>
          <t xml:space="preserve">العاشر </t>
        </is>
      </c>
      <c r="H1084" s="41" t="inlineStr">
        <is>
          <t>924746/4</t>
        </is>
      </c>
      <c r="I1084" s="41" t="inlineStr">
        <is>
          <t>ب د ف 3891</t>
        </is>
      </c>
      <c r="J1084" s="41" t="inlineStr">
        <is>
          <t>اشرف الحجرى</t>
        </is>
      </c>
      <c r="K1084" s="41" t="inlineStr">
        <is>
          <t xml:space="preserve">الحجرى </t>
        </is>
      </c>
      <c r="L1084" s="42" t="n">
        <v>17500</v>
      </c>
      <c r="M1084" s="42" t="n">
        <v>10100</v>
      </c>
      <c r="N1084" s="42" t="n"/>
      <c r="O1084" s="42" t="n">
        <v>200</v>
      </c>
      <c r="P1084" s="42" t="n"/>
      <c r="Q1084" s="42" t="n">
        <v>7200</v>
      </c>
      <c r="R1084" s="43">
        <f>IF($B1084="","",N($S1084)-N($Q1084))</f>
        <v/>
      </c>
      <c r="S1084" s="43">
        <f>IF($B1084="","",N($L1084)+N($N1084)+N($P1084))</f>
        <v/>
      </c>
      <c r="T1084" s="42" t="n"/>
      <c r="U1084" s="42" t="n"/>
      <c r="V1084" s="42" t="n"/>
      <c r="W1084" s="42" t="n"/>
      <c r="X1084" s="42" t="n"/>
      <c r="Y1084" s="42" t="n"/>
      <c r="Z1084" s="42" t="n"/>
      <c r="AA1084" s="42" t="n"/>
      <c r="AB1084" s="42" t="n"/>
      <c r="AC1084" s="42" t="n"/>
      <c r="AD1084" s="42" t="n"/>
      <c r="AE1084" s="42" t="n"/>
      <c r="AF1084" s="43">
        <f>IF($B1084="","",SUM($T1084:$AE1084))</f>
        <v/>
      </c>
      <c r="AG1084" s="43">
        <f>IF($B1084="","",N($M1084)-N($AF1084))</f>
        <v/>
      </c>
      <c r="AH1084" s="43">
        <f>IF($B1084="","",N($L1084)-N($AF1084))</f>
        <v/>
      </c>
      <c r="AI1084" s="149">
        <f>IF($B1084="","",IF(N($L1084)=0,"",(N($L1084)-N($AF1084))/N($L1084)))</f>
        <v/>
      </c>
    </row>
    <row r="1085">
      <c r="A1085" s="39">
        <f>IF($B1085="","",COUNTA($B$4:$B1085))</f>
        <v/>
      </c>
      <c r="B1085" s="45" t="n">
        <v>46146</v>
      </c>
      <c r="C1085" s="46" t="n">
        <v>2742</v>
      </c>
      <c r="D1085" s="46" t="n"/>
      <c r="E1085" s="46" t="inlineStr">
        <is>
          <t>1*40 ث</t>
        </is>
      </c>
      <c r="F1085" s="46" t="inlineStr">
        <is>
          <t>البوشى</t>
        </is>
      </c>
      <c r="G1085" s="46" t="inlineStr">
        <is>
          <t xml:space="preserve">العاشر </t>
        </is>
      </c>
      <c r="H1085" s="46" t="inlineStr">
        <is>
          <t>581291/5</t>
        </is>
      </c>
      <c r="I1085" s="46" t="inlineStr">
        <is>
          <t>ب ن و 7164</t>
        </is>
      </c>
      <c r="J1085" s="46" t="inlineStr">
        <is>
          <t xml:space="preserve">عمرو ابو النور </t>
        </is>
      </c>
      <c r="K1085" s="46" t="inlineStr">
        <is>
          <t>الليبر</t>
        </is>
      </c>
      <c r="L1085" s="47" t="n">
        <v>17500</v>
      </c>
      <c r="M1085" s="47" t="n">
        <v>10100</v>
      </c>
      <c r="N1085" s="47" t="n"/>
      <c r="O1085" s="47" t="n">
        <v>200</v>
      </c>
      <c r="P1085" s="47" t="n"/>
      <c r="Q1085" s="47" t="n"/>
      <c r="R1085" s="43">
        <f>IF($B1085="","",N($S1085)-N($Q1085))</f>
        <v/>
      </c>
      <c r="S1085" s="43">
        <f>IF($B1085="","",N($L1085)+N($N1085)+N($P1085))</f>
        <v/>
      </c>
      <c r="T1085" s="47" t="n"/>
      <c r="U1085" s="47" t="n"/>
      <c r="V1085" s="47" t="n"/>
      <c r="W1085" s="47" t="n"/>
      <c r="X1085" s="47" t="n"/>
      <c r="Y1085" s="47" t="n"/>
      <c r="Z1085" s="47" t="n"/>
      <c r="AA1085" s="47" t="n"/>
      <c r="AB1085" s="47" t="n"/>
      <c r="AC1085" s="47" t="n"/>
      <c r="AD1085" s="47" t="n"/>
      <c r="AE1085" s="47" t="n"/>
      <c r="AF1085" s="43">
        <f>IF($B1085="","",SUM($T1085:$AE1085))</f>
        <v/>
      </c>
      <c r="AG1085" s="43">
        <f>IF($B1085="","",N($M1085)-N($AF1085))</f>
        <v/>
      </c>
      <c r="AH1085" s="43">
        <f>IF($B1085="","",N($L1085)-N($AF1085))</f>
        <v/>
      </c>
      <c r="AI1085" s="149">
        <f>IF($B1085="","",IF(N($L1085)=0,"",(N($L1085)-N($AF1085))/N($L1085)))</f>
        <v/>
      </c>
    </row>
    <row r="1086">
      <c r="A1086" s="39">
        <f>IF($B1086="","",COUNTA($B$4:$B1086))</f>
        <v/>
      </c>
      <c r="B1086" s="40" t="n">
        <v>46146</v>
      </c>
      <c r="C1086" s="41" t="n">
        <v>2676</v>
      </c>
      <c r="D1086" s="41" t="inlineStr">
        <is>
          <t>المكتب</t>
        </is>
      </c>
      <c r="E1086" s="41" t="inlineStr">
        <is>
          <t>1*40</t>
        </is>
      </c>
      <c r="F1086" s="41" t="inlineStr">
        <is>
          <t xml:space="preserve">منتريد </t>
        </is>
      </c>
      <c r="G1086" s="41" t="inlineStr">
        <is>
          <t xml:space="preserve">جسر السويس </t>
        </is>
      </c>
      <c r="H1086" s="41" t="inlineStr">
        <is>
          <t>794235/5</t>
        </is>
      </c>
      <c r="I1086" s="41" t="inlineStr">
        <is>
          <t>س ع م 8737</t>
        </is>
      </c>
      <c r="J1086" s="41" t="inlineStr">
        <is>
          <t xml:space="preserve">جلال حسنى </t>
        </is>
      </c>
      <c r="K1086" s="41" t="inlineStr">
        <is>
          <t xml:space="preserve">المكتب </t>
        </is>
      </c>
      <c r="L1086" s="42" t="n">
        <v>15000</v>
      </c>
      <c r="M1086" s="42" t="n">
        <v>3000</v>
      </c>
      <c r="N1086" s="42" t="n"/>
      <c r="O1086" s="42" t="n"/>
      <c r="P1086" s="42" t="n"/>
      <c r="Q1086" s="42" t="n">
        <v>15000</v>
      </c>
      <c r="R1086" s="43">
        <f>IF($B1086="","",N($S1086)-N($Q1086))</f>
        <v/>
      </c>
      <c r="S1086" s="43">
        <f>IF($B1086="","",N($L1086)+N($N1086)+N($P1086))</f>
        <v/>
      </c>
      <c r="T1086" s="42" t="n">
        <v>1600</v>
      </c>
      <c r="U1086" s="42" t="n">
        <v>700</v>
      </c>
      <c r="V1086" s="42" t="n"/>
      <c r="W1086" s="42" t="n">
        <v>30</v>
      </c>
      <c r="X1086" s="42" t="n">
        <v>60</v>
      </c>
      <c r="Y1086" s="42" t="n">
        <v>100</v>
      </c>
      <c r="Z1086" s="42" t="n"/>
      <c r="AA1086" s="42" t="n"/>
      <c r="AB1086" s="42" t="n"/>
      <c r="AC1086" s="42" t="n"/>
      <c r="AD1086" s="42" t="n">
        <v>690</v>
      </c>
      <c r="AE1086" s="42" t="n"/>
      <c r="AF1086" s="43">
        <f>IF($B1086="","",SUM($T1086:$AE1086))</f>
        <v/>
      </c>
      <c r="AG1086" s="43">
        <f>IF($B1086="","",N($M1086)-N($AF1086))</f>
        <v/>
      </c>
      <c r="AH1086" s="43">
        <f>IF($B1086="","",N($L1086)-N($AF1086))</f>
        <v/>
      </c>
      <c r="AI1086" s="149">
        <f>IF($B1086="","",IF(N($L1086)=0,"",(N($L1086)-N($AF1086))/N($L1086)))</f>
        <v/>
      </c>
    </row>
    <row r="1087">
      <c r="A1087" s="39">
        <f>IF($B1087="","",COUNTA($B$4:$B1087))</f>
        <v/>
      </c>
      <c r="B1087" s="45" t="n">
        <v>46147</v>
      </c>
      <c r="C1087" s="46" t="n">
        <v>2677</v>
      </c>
      <c r="D1087" s="46" t="inlineStr">
        <is>
          <t xml:space="preserve">استوريا </t>
        </is>
      </c>
      <c r="E1087" s="46" t="inlineStr">
        <is>
          <t>1*40</t>
        </is>
      </c>
      <c r="F1087" s="46" t="inlineStr">
        <is>
          <t xml:space="preserve">سيناتور </t>
        </is>
      </c>
      <c r="G1087" s="46" t="inlineStr">
        <is>
          <t xml:space="preserve">سفاجا </t>
        </is>
      </c>
      <c r="H1087" s="46" t="inlineStr">
        <is>
          <t>537089/4</t>
        </is>
      </c>
      <c r="I1087" s="46" t="inlineStr">
        <is>
          <t>ط ف ر 1761</t>
        </is>
      </c>
      <c r="J1087" s="46" t="inlineStr">
        <is>
          <t xml:space="preserve">محمود ربيع </t>
        </is>
      </c>
      <c r="K1087" s="46" t="inlineStr">
        <is>
          <t>استوريا</t>
        </is>
      </c>
      <c r="L1087" s="47" t="n">
        <v>36000</v>
      </c>
      <c r="M1087" s="47" t="n">
        <v>15100</v>
      </c>
      <c r="N1087" s="47" t="n"/>
      <c r="O1087" s="47" t="n">
        <v>200</v>
      </c>
      <c r="P1087" s="47" t="n"/>
      <c r="Q1087" s="47" t="n"/>
      <c r="R1087" s="43">
        <f>IF($B1087="","",N($S1087)-N($Q1087))</f>
        <v/>
      </c>
      <c r="S1087" s="43">
        <f>IF($B1087="","",N($L1087)+N($N1087)+N($P1087))</f>
        <v/>
      </c>
      <c r="T1087" s="47" t="n"/>
      <c r="U1087" s="47" t="n"/>
      <c r="V1087" s="47" t="n"/>
      <c r="W1087" s="47" t="n"/>
      <c r="X1087" s="47" t="n"/>
      <c r="Y1087" s="47" t="n"/>
      <c r="Z1087" s="47" t="n"/>
      <c r="AA1087" s="47" t="n"/>
      <c r="AB1087" s="47" t="n"/>
      <c r="AC1087" s="47" t="n"/>
      <c r="AD1087" s="47" t="n"/>
      <c r="AE1087" s="47" t="n"/>
      <c r="AF1087" s="43">
        <f>IF($B1087="","",SUM($T1087:$AE1087))</f>
        <v/>
      </c>
      <c r="AG1087" s="43">
        <f>IF($B1087="","",N($M1087)-N($AF1087))</f>
        <v/>
      </c>
      <c r="AH1087" s="43">
        <f>IF($B1087="","",N($L1087)-N($AF1087))</f>
        <v/>
      </c>
      <c r="AI1087" s="149">
        <f>IF($B1087="","",IF(N($L1087)=0,"",(N($L1087)-N($AF1087))/N($L1087)))</f>
        <v/>
      </c>
    </row>
    <row r="1088">
      <c r="A1088" s="39">
        <f>IF($B1088="","",COUNTA($B$4:$B1088))</f>
        <v/>
      </c>
      <c r="B1088" s="40" t="n">
        <v>46147</v>
      </c>
      <c r="C1088" s="41" t="n">
        <v>2791</v>
      </c>
      <c r="D1088" s="41" t="inlineStr">
        <is>
          <t>ايوب</t>
        </is>
      </c>
      <c r="E1088" s="41" t="inlineStr">
        <is>
          <t>1*20</t>
        </is>
      </c>
      <c r="F1088" s="41" t="inlineStr">
        <is>
          <t xml:space="preserve">مينا تك </t>
        </is>
      </c>
      <c r="G1088" s="41" t="inlineStr">
        <is>
          <t xml:space="preserve">العاشر </t>
        </is>
      </c>
      <c r="H1088" s="41" t="inlineStr">
        <is>
          <t>300648/1</t>
        </is>
      </c>
      <c r="I1088" s="41" t="inlineStr">
        <is>
          <t>ب ر ط 6478</t>
        </is>
      </c>
      <c r="J1088" s="41" t="inlineStr">
        <is>
          <t xml:space="preserve">شلبى محمد </t>
        </is>
      </c>
      <c r="K1088" s="41" t="inlineStr">
        <is>
          <t xml:space="preserve">ايوب </t>
        </is>
      </c>
      <c r="L1088" s="42" t="n">
        <v>14500</v>
      </c>
      <c r="M1088" s="42" t="n">
        <v>8100</v>
      </c>
      <c r="N1088" s="42" t="n"/>
      <c r="O1088" s="42" t="n">
        <v>200</v>
      </c>
      <c r="P1088" s="42" t="n"/>
      <c r="Q1088" s="42" t="n"/>
      <c r="R1088" s="43">
        <f>IF($B1088="","",N($S1088)-N($Q1088))</f>
        <v/>
      </c>
      <c r="S1088" s="43">
        <f>IF($B1088="","",N($L1088)+N($N1088)+N($P1088))</f>
        <v/>
      </c>
      <c r="T1088" s="42" t="n"/>
      <c r="U1088" s="42" t="n"/>
      <c r="V1088" s="42" t="n"/>
      <c r="W1088" s="42" t="n"/>
      <c r="X1088" s="42" t="n"/>
      <c r="Y1088" s="42" t="n"/>
      <c r="Z1088" s="42" t="n"/>
      <c r="AA1088" s="42" t="n"/>
      <c r="AB1088" s="42" t="n"/>
      <c r="AC1088" s="42" t="n"/>
      <c r="AD1088" s="42" t="n"/>
      <c r="AE1088" s="42" t="n"/>
      <c r="AF1088" s="43">
        <f>IF($B1088="","",SUM($T1088:$AE1088))</f>
        <v/>
      </c>
      <c r="AG1088" s="43">
        <f>IF($B1088="","",N($M1088)-N($AF1088))</f>
        <v/>
      </c>
      <c r="AH1088" s="43">
        <f>IF($B1088="","",N($L1088)-N($AF1088))</f>
        <v/>
      </c>
      <c r="AI1088" s="149">
        <f>IF($B1088="","",IF(N($L1088)=0,"",(N($L1088)-N($AF1088))/N($L1088)))</f>
        <v/>
      </c>
    </row>
    <row r="1089">
      <c r="A1089" s="39">
        <f>IF($B1089="","",COUNTA($B$4:$B1089))</f>
        <v/>
      </c>
      <c r="B1089" s="45" t="n">
        <v>46147</v>
      </c>
      <c r="C1089" s="46" t="n">
        <v>2792</v>
      </c>
      <c r="D1089" s="46" t="inlineStr">
        <is>
          <t xml:space="preserve">هاشم </t>
        </is>
      </c>
      <c r="E1089" s="46" t="inlineStr">
        <is>
          <t>1*20</t>
        </is>
      </c>
      <c r="F1089" s="46" t="inlineStr">
        <is>
          <t>خورى ستاند</t>
        </is>
      </c>
      <c r="G1089" s="46" t="inlineStr">
        <is>
          <t>العاشر</t>
        </is>
      </c>
      <c r="H1089" s="46" t="inlineStr">
        <is>
          <t>038410/8</t>
        </is>
      </c>
      <c r="I1089" s="46" t="inlineStr">
        <is>
          <t>ب ن س 3124</t>
        </is>
      </c>
      <c r="J1089" s="46" t="inlineStr">
        <is>
          <t xml:space="preserve">محمد عبد القادر </t>
        </is>
      </c>
      <c r="K1089" s="46" t="inlineStr">
        <is>
          <t>اوبرا</t>
        </is>
      </c>
      <c r="L1089" s="47" t="n">
        <v>12500</v>
      </c>
      <c r="M1089" s="47" t="n">
        <v>8100</v>
      </c>
      <c r="N1089" s="47" t="n"/>
      <c r="O1089" s="47" t="n">
        <v>200</v>
      </c>
      <c r="P1089" s="47" t="n"/>
      <c r="Q1089" s="47" t="n">
        <v>4200</v>
      </c>
      <c r="R1089" s="43">
        <f>IF($B1089="","",N($S1089)-N($Q1089))</f>
        <v/>
      </c>
      <c r="S1089" s="43">
        <f>IF($B1089="","",N($L1089)+N($N1089)+N($P1089))</f>
        <v/>
      </c>
      <c r="T1089" s="47" t="n"/>
      <c r="U1089" s="47" t="n"/>
      <c r="V1089" s="47" t="n"/>
      <c r="W1089" s="47" t="n"/>
      <c r="X1089" s="47" t="n"/>
      <c r="Y1089" s="47" t="n"/>
      <c r="Z1089" s="47" t="n"/>
      <c r="AA1089" s="47" t="n"/>
      <c r="AB1089" s="47" t="n"/>
      <c r="AC1089" s="47" t="n"/>
      <c r="AD1089" s="47" t="n"/>
      <c r="AE1089" s="47" t="n"/>
      <c r="AF1089" s="43">
        <f>IF($B1089="","",SUM($T1089:$AE1089))</f>
        <v/>
      </c>
      <c r="AG1089" s="43">
        <f>IF($B1089="","",N($M1089)-N($AF1089))</f>
        <v/>
      </c>
      <c r="AH1089" s="43">
        <f>IF($B1089="","",N($L1089)-N($AF1089))</f>
        <v/>
      </c>
      <c r="AI1089" s="149">
        <f>IF($B1089="","",IF(N($L1089)=0,"",(N($L1089)-N($AF1089))/N($L1089)))</f>
        <v/>
      </c>
    </row>
    <row r="1090">
      <c r="A1090" s="39">
        <f>IF($B1090="","",COUNTA($B$4:$B1090))</f>
        <v/>
      </c>
      <c r="B1090" s="40" t="n">
        <v>46147</v>
      </c>
      <c r="C1090" s="41" t="n">
        <v>2793</v>
      </c>
      <c r="D1090" s="41" t="inlineStr">
        <is>
          <t>محمد عتمان</t>
        </is>
      </c>
      <c r="E1090" s="41" t="inlineStr">
        <is>
          <t>1*40</t>
        </is>
      </c>
      <c r="F1090" s="41" t="inlineStr">
        <is>
          <t xml:space="preserve">يونايتد باك </t>
        </is>
      </c>
      <c r="G1090" s="41" t="inlineStr">
        <is>
          <t xml:space="preserve">العاشر </t>
        </is>
      </c>
      <c r="H1090" s="41" t="inlineStr">
        <is>
          <t>481699/8</t>
        </is>
      </c>
      <c r="I1090" s="41" t="inlineStr">
        <is>
          <t>ص ع ا 5124</t>
        </is>
      </c>
      <c r="J1090" s="41" t="inlineStr">
        <is>
          <t xml:space="preserve">محمد عبد التواب </t>
        </is>
      </c>
      <c r="K1090" s="41" t="inlineStr">
        <is>
          <t xml:space="preserve">حودة عيد </t>
        </is>
      </c>
      <c r="L1090" s="42" t="n">
        <v>16000</v>
      </c>
      <c r="M1090" s="42" t="n">
        <v>8100</v>
      </c>
      <c r="N1090" s="42" t="n"/>
      <c r="O1090" s="42" t="n">
        <v>200</v>
      </c>
      <c r="P1090" s="42" t="n"/>
      <c r="Q1090" s="42" t="n">
        <v>7700</v>
      </c>
      <c r="R1090" s="43">
        <f>IF($B1090="","",N($S1090)-N($Q1090))</f>
        <v/>
      </c>
      <c r="S1090" s="43">
        <f>IF($B1090="","",N($L1090)+N($N1090)+N($P1090))</f>
        <v/>
      </c>
      <c r="T1090" s="42" t="n"/>
      <c r="U1090" s="42" t="n"/>
      <c r="V1090" s="42" t="n"/>
      <c r="W1090" s="42" t="n"/>
      <c r="X1090" s="42" t="n"/>
      <c r="Y1090" s="42" t="n"/>
      <c r="Z1090" s="42" t="n"/>
      <c r="AA1090" s="42" t="n"/>
      <c r="AB1090" s="42" t="n"/>
      <c r="AC1090" s="42" t="n"/>
      <c r="AD1090" s="42" t="n"/>
      <c r="AE1090" s="42" t="n"/>
      <c r="AF1090" s="43">
        <f>IF($B1090="","",SUM($T1090:$AE1090))</f>
        <v/>
      </c>
      <c r="AG1090" s="43">
        <f>IF($B1090="","",N($M1090)-N($AF1090))</f>
        <v/>
      </c>
      <c r="AH1090" s="43">
        <f>IF($B1090="","",N($L1090)-N($AF1090))</f>
        <v/>
      </c>
      <c r="AI1090" s="149">
        <f>IF($B1090="","",IF(N($L1090)=0,"",(N($L1090)-N($AF1090))/N($L1090)))</f>
        <v/>
      </c>
    </row>
    <row r="1091">
      <c r="A1091" s="39">
        <f>IF($B1091="","",COUNTA($B$4:$B1091))</f>
        <v/>
      </c>
      <c r="B1091" s="45" t="n">
        <v>46147</v>
      </c>
      <c r="C1091" s="46" t="n">
        <v>2794</v>
      </c>
      <c r="D1091" s="46" t="inlineStr">
        <is>
          <t xml:space="preserve">ابو ركبة </t>
        </is>
      </c>
      <c r="E1091" s="46" t="inlineStr">
        <is>
          <t>1*40</t>
        </is>
      </c>
      <c r="F1091" s="46" t="inlineStr">
        <is>
          <t xml:space="preserve">جرين لاينز </t>
        </is>
      </c>
      <c r="G1091" s="46" t="inlineStr">
        <is>
          <t xml:space="preserve">العاشر </t>
        </is>
      </c>
      <c r="H1091" s="46" t="inlineStr">
        <is>
          <t>843612/6</t>
        </is>
      </c>
      <c r="I1091" s="46" t="inlineStr">
        <is>
          <t>ب ق ا 8236</t>
        </is>
      </c>
      <c r="J1091" s="46" t="inlineStr">
        <is>
          <t xml:space="preserve">محمد سعيد </t>
        </is>
      </c>
      <c r="K1091" s="46" t="inlineStr">
        <is>
          <t>الليبر</t>
        </is>
      </c>
      <c r="L1091" s="47" t="n">
        <v>16000</v>
      </c>
      <c r="M1091" s="47" t="n">
        <v>8100</v>
      </c>
      <c r="N1091" s="47" t="n"/>
      <c r="O1091" s="47" t="n">
        <v>200</v>
      </c>
      <c r="P1091" s="47" t="n"/>
      <c r="Q1091" s="47" t="n">
        <v>7700</v>
      </c>
      <c r="R1091" s="43">
        <f>IF($B1091="","",N($S1091)-N($Q1091))</f>
        <v/>
      </c>
      <c r="S1091" s="43">
        <f>IF($B1091="","",N($L1091)+N($N1091)+N($P1091))</f>
        <v/>
      </c>
      <c r="T1091" s="47" t="n"/>
      <c r="U1091" s="47" t="n"/>
      <c r="V1091" s="47" t="n"/>
      <c r="W1091" s="47" t="n"/>
      <c r="X1091" s="47" t="n"/>
      <c r="Y1091" s="47" t="n"/>
      <c r="Z1091" s="47" t="n"/>
      <c r="AA1091" s="47" t="n"/>
      <c r="AB1091" s="47" t="n"/>
      <c r="AC1091" s="47" t="n"/>
      <c r="AD1091" s="47" t="n"/>
      <c r="AE1091" s="47" t="n"/>
      <c r="AF1091" s="43">
        <f>IF($B1091="","",SUM($T1091:$AE1091))</f>
        <v/>
      </c>
      <c r="AG1091" s="43">
        <f>IF($B1091="","",N($M1091)-N($AF1091))</f>
        <v/>
      </c>
      <c r="AH1091" s="43">
        <f>IF($B1091="","",N($L1091)-N($AF1091))</f>
        <v/>
      </c>
      <c r="AI1091" s="149">
        <f>IF($B1091="","",IF(N($L1091)=0,"",(N($L1091)-N($AF1091))/N($L1091)))</f>
        <v/>
      </c>
    </row>
    <row r="1092">
      <c r="A1092" s="39">
        <f>IF($B1092="","",COUNTA($B$4:$B1092))</f>
        <v/>
      </c>
      <c r="B1092" s="40" t="n">
        <v>46147</v>
      </c>
      <c r="C1092" s="41" t="n">
        <v>2786</v>
      </c>
      <c r="D1092" s="41" t="inlineStr">
        <is>
          <t>حريقة</t>
        </is>
      </c>
      <c r="E1092" s="41" t="inlineStr">
        <is>
          <t>2*20</t>
        </is>
      </c>
      <c r="F1092" s="41" t="inlineStr">
        <is>
          <t xml:space="preserve">المتحدة للمسابك </t>
        </is>
      </c>
      <c r="G1092" s="41" t="inlineStr">
        <is>
          <t xml:space="preserve">العاشر </t>
        </is>
      </c>
      <c r="H1092" s="41" t="inlineStr">
        <is>
          <t>303739/9-200074/2</t>
        </is>
      </c>
      <c r="I1092" s="41" t="inlineStr">
        <is>
          <t>ب د ف 8463</t>
        </is>
      </c>
      <c r="J1092" s="41" t="inlineStr">
        <is>
          <t xml:space="preserve">اسلام جمعة </t>
        </is>
      </c>
      <c r="K1092" s="41" t="inlineStr">
        <is>
          <t>اسلام ابو خير</t>
        </is>
      </c>
      <c r="L1092" s="42" t="n">
        <v>20000</v>
      </c>
      <c r="M1092" s="42" t="n">
        <v>12100</v>
      </c>
      <c r="N1092" s="42" t="n"/>
      <c r="O1092" s="42" t="n">
        <v>200</v>
      </c>
      <c r="P1092" s="42" t="n"/>
      <c r="Q1092" s="42" t="n"/>
      <c r="R1092" s="43">
        <f>IF($B1092="","",N($S1092)-N($Q1092))</f>
        <v/>
      </c>
      <c r="S1092" s="43">
        <f>IF($B1092="","",N($L1092)+N($N1092)+N($P1092))</f>
        <v/>
      </c>
      <c r="T1092" s="42" t="n"/>
      <c r="U1092" s="42" t="n"/>
      <c r="V1092" s="42" t="n"/>
      <c r="W1092" s="42" t="n"/>
      <c r="X1092" s="42" t="n"/>
      <c r="Y1092" s="42" t="n"/>
      <c r="Z1092" s="42" t="n"/>
      <c r="AA1092" s="42" t="n"/>
      <c r="AB1092" s="42" t="n"/>
      <c r="AC1092" s="42" t="n"/>
      <c r="AD1092" s="42" t="n"/>
      <c r="AE1092" s="42" t="n"/>
      <c r="AF1092" s="43">
        <f>IF($B1092="","",SUM($T1092:$AE1092))</f>
        <v/>
      </c>
      <c r="AG1092" s="43">
        <f>IF($B1092="","",N($M1092)-N($AF1092))</f>
        <v/>
      </c>
      <c r="AH1092" s="43">
        <f>IF($B1092="","",N($L1092)-N($AF1092))</f>
        <v/>
      </c>
      <c r="AI1092" s="149">
        <f>IF($B1092="","",IF(N($L1092)=0,"",(N($L1092)-N($AF1092))/N($L1092)))</f>
        <v/>
      </c>
    </row>
    <row r="1093">
      <c r="A1093" s="39">
        <f>IF($B1093="","",COUNTA($B$4:$B1093))</f>
        <v/>
      </c>
      <c r="B1093" s="45" t="n">
        <v>46147</v>
      </c>
      <c r="C1093" s="46" t="n">
        <v>2787</v>
      </c>
      <c r="D1093" s="46" t="inlineStr">
        <is>
          <t xml:space="preserve">عتريس مخيمر </t>
        </is>
      </c>
      <c r="E1093" s="46" t="inlineStr">
        <is>
          <t>2*20</t>
        </is>
      </c>
      <c r="F1093" s="46" t="inlineStr">
        <is>
          <t xml:space="preserve">المتحدة للمسابك </t>
        </is>
      </c>
      <c r="G1093" s="46" t="inlineStr">
        <is>
          <t xml:space="preserve">العاشر </t>
        </is>
      </c>
      <c r="H1093" s="46" t="inlineStr">
        <is>
          <t>303544/1-200055/2</t>
        </is>
      </c>
      <c r="I1093" s="46" t="inlineStr">
        <is>
          <t>ب س ا 4738</t>
        </is>
      </c>
      <c r="J1093" s="46" t="inlineStr">
        <is>
          <t xml:space="preserve">صابر خليفة </t>
        </is>
      </c>
      <c r="K1093" s="46" t="inlineStr">
        <is>
          <t xml:space="preserve">صبرى خليفة </t>
        </is>
      </c>
      <c r="L1093" s="47" t="n">
        <v>20000</v>
      </c>
      <c r="M1093" s="47" t="n">
        <v>12100</v>
      </c>
      <c r="N1093" s="47" t="n"/>
      <c r="O1093" s="47" t="n">
        <v>200</v>
      </c>
      <c r="P1093" s="47" t="n"/>
      <c r="Q1093" s="47" t="n">
        <v>7700</v>
      </c>
      <c r="R1093" s="43">
        <f>IF($B1093="","",N($S1093)-N($Q1093))</f>
        <v/>
      </c>
      <c r="S1093" s="43">
        <f>IF($B1093="","",N($L1093)+N($N1093)+N($P1093))</f>
        <v/>
      </c>
      <c r="T1093" s="47" t="n"/>
      <c r="U1093" s="47" t="n"/>
      <c r="V1093" s="47" t="n"/>
      <c r="W1093" s="47" t="n"/>
      <c r="X1093" s="47" t="n"/>
      <c r="Y1093" s="47" t="n"/>
      <c r="Z1093" s="47" t="n"/>
      <c r="AA1093" s="47" t="n"/>
      <c r="AB1093" s="47" t="n"/>
      <c r="AC1093" s="47" t="n"/>
      <c r="AD1093" s="47" t="n"/>
      <c r="AE1093" s="47" t="n"/>
      <c r="AF1093" s="43">
        <f>IF($B1093="","",SUM($T1093:$AE1093))</f>
        <v/>
      </c>
      <c r="AG1093" s="43">
        <f>IF($B1093="","",N($M1093)-N($AF1093))</f>
        <v/>
      </c>
      <c r="AH1093" s="43">
        <f>IF($B1093="","",N($L1093)-N($AF1093))</f>
        <v/>
      </c>
      <c r="AI1093" s="149">
        <f>IF($B1093="","",IF(N($L1093)=0,"",(N($L1093)-N($AF1093))/N($L1093)))</f>
        <v/>
      </c>
    </row>
    <row r="1094">
      <c r="A1094" s="39">
        <f>IF($B1094="","",COUNTA($B$4:$B1094))</f>
        <v/>
      </c>
      <c r="B1094" s="40" t="n">
        <v>46147</v>
      </c>
      <c r="C1094" s="41" t="n">
        <v>2788</v>
      </c>
      <c r="D1094" s="41" t="inlineStr">
        <is>
          <t xml:space="preserve">احمد سونة </t>
        </is>
      </c>
      <c r="E1094" s="41" t="inlineStr">
        <is>
          <t>1*20</t>
        </is>
      </c>
      <c r="F1094" s="41" t="inlineStr">
        <is>
          <t xml:space="preserve">المتحدة للمسابك </t>
        </is>
      </c>
      <c r="G1094" s="41" t="inlineStr">
        <is>
          <t xml:space="preserve">العاشر </t>
        </is>
      </c>
      <c r="H1094" s="41" t="inlineStr">
        <is>
          <t>202261/8</t>
        </is>
      </c>
      <c r="I1094" s="41" t="inlineStr">
        <is>
          <t>ع ا ل 9323</t>
        </is>
      </c>
      <c r="J1094" s="41" t="inlineStr">
        <is>
          <t xml:space="preserve">فتحى احمد </t>
        </is>
      </c>
      <c r="K1094" s="41" t="inlineStr">
        <is>
          <t xml:space="preserve">اشرف حجرى </t>
        </is>
      </c>
      <c r="L1094" s="42" t="n">
        <v>20000</v>
      </c>
      <c r="M1094" s="42" t="n">
        <v>9100</v>
      </c>
      <c r="N1094" s="42" t="n"/>
      <c r="O1094" s="42" t="n">
        <v>200</v>
      </c>
      <c r="P1094" s="42" t="n"/>
      <c r="Q1094" s="42" t="n">
        <v>10700</v>
      </c>
      <c r="R1094" s="43">
        <f>IF($B1094="","",N($S1094)-N($Q1094))</f>
        <v/>
      </c>
      <c r="S1094" s="43">
        <f>IF($B1094="","",N($L1094)+N($N1094)+N($P1094))</f>
        <v/>
      </c>
      <c r="T1094" s="42" t="n"/>
      <c r="U1094" s="42" t="n"/>
      <c r="V1094" s="42" t="n"/>
      <c r="W1094" s="42" t="n"/>
      <c r="X1094" s="42" t="n"/>
      <c r="Y1094" s="42" t="n"/>
      <c r="Z1094" s="42" t="n"/>
      <c r="AA1094" s="42" t="n"/>
      <c r="AB1094" s="42" t="n"/>
      <c r="AC1094" s="42" t="n"/>
      <c r="AD1094" s="42" t="n"/>
      <c r="AE1094" s="42" t="n"/>
      <c r="AF1094" s="43">
        <f>IF($B1094="","",SUM($T1094:$AE1094))</f>
        <v/>
      </c>
      <c r="AG1094" s="43">
        <f>IF($B1094="","",N($M1094)-N($AF1094))</f>
        <v/>
      </c>
      <c r="AH1094" s="43">
        <f>IF($B1094="","",N($L1094)-N($AF1094))</f>
        <v/>
      </c>
      <c r="AI1094" s="149">
        <f>IF($B1094="","",IF(N($L1094)=0,"",(N($L1094)-N($AF1094))/N($L1094)))</f>
        <v/>
      </c>
    </row>
    <row r="1095">
      <c r="A1095" s="39">
        <f>IF($B1095="","",COUNTA($B$4:$B1095))</f>
        <v/>
      </c>
      <c r="B1095" s="45" t="n">
        <v>46147</v>
      </c>
      <c r="C1095" s="46" t="n">
        <v>2789</v>
      </c>
      <c r="D1095" s="46" t="inlineStr">
        <is>
          <t xml:space="preserve">حماد </t>
        </is>
      </c>
      <c r="E1095" s="46" t="inlineStr">
        <is>
          <t>2*20</t>
        </is>
      </c>
      <c r="F1095" s="46" t="n"/>
      <c r="G1095" s="46" t="inlineStr">
        <is>
          <t>العاشر</t>
        </is>
      </c>
      <c r="H1095" s="46" t="inlineStr">
        <is>
          <t>208953/3</t>
        </is>
      </c>
      <c r="I1095" s="46" t="inlineStr">
        <is>
          <t>س ع ا 8296</t>
        </is>
      </c>
      <c r="J1095" s="46" t="inlineStr">
        <is>
          <t xml:space="preserve">محمد اشرف </t>
        </is>
      </c>
      <c r="K1095" s="46" t="inlineStr">
        <is>
          <t xml:space="preserve">مصطفى الونش </t>
        </is>
      </c>
      <c r="L1095" s="47" t="n">
        <v>20000</v>
      </c>
      <c r="M1095" s="47" t="n">
        <v>12100</v>
      </c>
      <c r="N1095" s="47" t="n"/>
      <c r="O1095" s="47" t="n">
        <v>200</v>
      </c>
      <c r="P1095" s="47" t="n"/>
      <c r="Q1095" s="47" t="n">
        <v>7700</v>
      </c>
      <c r="R1095" s="43">
        <f>IF($B1095="","",N($S1095)-N($Q1095))</f>
        <v/>
      </c>
      <c r="S1095" s="43">
        <f>IF($B1095="","",N($L1095)+N($N1095)+N($P1095))</f>
        <v/>
      </c>
      <c r="T1095" s="47" t="n"/>
      <c r="U1095" s="47" t="n"/>
      <c r="V1095" s="47" t="n"/>
      <c r="W1095" s="47" t="n"/>
      <c r="X1095" s="47" t="n"/>
      <c r="Y1095" s="47" t="n"/>
      <c r="Z1095" s="47" t="n"/>
      <c r="AA1095" s="47" t="n"/>
      <c r="AB1095" s="47" t="n"/>
      <c r="AC1095" s="47" t="n"/>
      <c r="AD1095" s="47" t="n"/>
      <c r="AE1095" s="47" t="n"/>
      <c r="AF1095" s="43">
        <f>IF($B1095="","",SUM($T1095:$AE1095))</f>
        <v/>
      </c>
      <c r="AG1095" s="43">
        <f>IF($B1095="","",N($M1095)-N($AF1095))</f>
        <v/>
      </c>
      <c r="AH1095" s="43">
        <f>IF($B1095="","",N($L1095)-N($AF1095))</f>
        <v/>
      </c>
      <c r="AI1095" s="149">
        <f>IF($B1095="","",IF(N($L1095)=0,"",(N($L1095)-N($AF1095))/N($L1095)))</f>
        <v/>
      </c>
    </row>
    <row r="1096">
      <c r="A1096" s="39">
        <f>IF($B1096="","",COUNTA($B$4:$B1096))</f>
        <v/>
      </c>
      <c r="B1096" s="40" t="n">
        <v>46147</v>
      </c>
      <c r="C1096" s="41" t="n">
        <v>2790</v>
      </c>
      <c r="D1096" s="41" t="inlineStr">
        <is>
          <t xml:space="preserve">حماد </t>
        </is>
      </c>
      <c r="E1096" s="41" t="inlineStr">
        <is>
          <t>2*20</t>
        </is>
      </c>
      <c r="F1096" s="41" t="inlineStr">
        <is>
          <t xml:space="preserve">المتحدة للمسابك </t>
        </is>
      </c>
      <c r="G1096" s="41" t="inlineStr">
        <is>
          <t xml:space="preserve">العاشر </t>
        </is>
      </c>
      <c r="H1096" s="41" t="inlineStr">
        <is>
          <t>867343/0-200056/8</t>
        </is>
      </c>
      <c r="I1096" s="41" t="inlineStr">
        <is>
          <t>ح ى ا 9561</t>
        </is>
      </c>
      <c r="J1096" s="41" t="inlineStr">
        <is>
          <t xml:space="preserve">عمرو محمد </t>
        </is>
      </c>
      <c r="K1096" s="41" t="inlineStr">
        <is>
          <t xml:space="preserve">مصطفى الونش </t>
        </is>
      </c>
      <c r="L1096" s="42" t="n">
        <v>20000</v>
      </c>
      <c r="M1096" s="42" t="n">
        <v>12100</v>
      </c>
      <c r="N1096" s="42" t="n"/>
      <c r="O1096" s="42" t="n">
        <v>200</v>
      </c>
      <c r="P1096" s="42" t="n"/>
      <c r="Q1096" s="42" t="n">
        <v>7700</v>
      </c>
      <c r="R1096" s="43">
        <f>IF($B1096="","",N($S1096)-N($Q1096))</f>
        <v/>
      </c>
      <c r="S1096" s="43">
        <f>IF($B1096="","",N($L1096)+N($N1096)+N($P1096))</f>
        <v/>
      </c>
      <c r="T1096" s="42" t="n"/>
      <c r="U1096" s="42" t="n"/>
      <c r="V1096" s="42" t="n"/>
      <c r="W1096" s="42" t="n"/>
      <c r="X1096" s="42" t="n"/>
      <c r="Y1096" s="42" t="n"/>
      <c r="Z1096" s="42" t="n"/>
      <c r="AA1096" s="42" t="n"/>
      <c r="AB1096" s="42" t="n"/>
      <c r="AC1096" s="42" t="n"/>
      <c r="AD1096" s="42" t="n"/>
      <c r="AE1096" s="42" t="n"/>
      <c r="AF1096" s="43">
        <f>IF($B1096="","",SUM($T1096:$AE1096))</f>
        <v/>
      </c>
      <c r="AG1096" s="43">
        <f>IF($B1096="","",N($M1096)-N($AF1096))</f>
        <v/>
      </c>
      <c r="AH1096" s="43">
        <f>IF($B1096="","",N($L1096)-N($AF1096))</f>
        <v/>
      </c>
      <c r="AI1096" s="149">
        <f>IF($B1096="","",IF(N($L1096)=0,"",(N($L1096)-N($AF1096))/N($L1096)))</f>
        <v/>
      </c>
    </row>
    <row r="1097">
      <c r="A1097" s="39">
        <f>IF($B1097="","",COUNTA($B$4:$B1097))</f>
        <v/>
      </c>
      <c r="B1097" s="45" t="n">
        <v>46147</v>
      </c>
      <c r="C1097" s="46" t="n">
        <v>2785</v>
      </c>
      <c r="D1097" s="46" t="inlineStr">
        <is>
          <t xml:space="preserve">حاتم البحر </t>
        </is>
      </c>
      <c r="E1097" s="46" t="inlineStr">
        <is>
          <t>1*20</t>
        </is>
      </c>
      <c r="F1097" s="46" t="inlineStr">
        <is>
          <t xml:space="preserve">السويدى بوليمرز </t>
        </is>
      </c>
      <c r="G1097" s="46" t="inlineStr">
        <is>
          <t xml:space="preserve">العاشر </t>
        </is>
      </c>
      <c r="H1097" s="46" t="inlineStr">
        <is>
          <t>200081/9</t>
        </is>
      </c>
      <c r="I1097" s="46" t="inlineStr">
        <is>
          <t>ب د ن 3172</t>
        </is>
      </c>
      <c r="J1097" s="46" t="inlineStr">
        <is>
          <t xml:space="preserve">ناصر محمد </t>
        </is>
      </c>
      <c r="K1097" s="46" t="inlineStr">
        <is>
          <t>رومانى</t>
        </is>
      </c>
      <c r="L1097" s="47" t="n">
        <v>15000</v>
      </c>
      <c r="M1097" s="47" t="n">
        <v>8100</v>
      </c>
      <c r="N1097" s="47" t="n"/>
      <c r="O1097" s="47" t="n">
        <v>200</v>
      </c>
      <c r="P1097" s="47" t="n"/>
      <c r="Q1097" s="47" t="n">
        <v>6700</v>
      </c>
      <c r="R1097" s="43">
        <f>IF($B1097="","",N($S1097)-N($Q1097))</f>
        <v/>
      </c>
      <c r="S1097" s="43">
        <f>IF($B1097="","",N($L1097)+N($N1097)+N($P1097))</f>
        <v/>
      </c>
      <c r="T1097" s="47" t="n"/>
      <c r="U1097" s="47" t="n"/>
      <c r="V1097" s="47" t="n"/>
      <c r="W1097" s="47" t="n"/>
      <c r="X1097" s="47" t="n"/>
      <c r="Y1097" s="47" t="n"/>
      <c r="Z1097" s="47" t="n"/>
      <c r="AA1097" s="47" t="n"/>
      <c r="AB1097" s="47" t="n"/>
      <c r="AC1097" s="47" t="n"/>
      <c r="AD1097" s="47" t="n"/>
      <c r="AE1097" s="47" t="n"/>
      <c r="AF1097" s="43">
        <f>IF($B1097="","",SUM($T1097:$AE1097))</f>
        <v/>
      </c>
      <c r="AG1097" s="43">
        <f>IF($B1097="","",N($M1097)-N($AF1097))</f>
        <v/>
      </c>
      <c r="AH1097" s="43">
        <f>IF($B1097="","",N($L1097)-N($AF1097))</f>
        <v/>
      </c>
      <c r="AI1097" s="149">
        <f>IF($B1097="","",IF(N($L1097)=0,"",(N($L1097)-N($AF1097))/N($L1097)))</f>
        <v/>
      </c>
    </row>
    <row r="1098">
      <c r="A1098" s="39">
        <f>IF($B1098="","",COUNTA($B$4:$B1098))</f>
        <v/>
      </c>
      <c r="B1098" s="40" t="n">
        <v>46147</v>
      </c>
      <c r="C1098" s="41" t="n">
        <v>2744</v>
      </c>
      <c r="D1098" s="41" t="inlineStr">
        <is>
          <t>رامى رماح</t>
        </is>
      </c>
      <c r="E1098" s="41" t="inlineStr">
        <is>
          <t>2*20</t>
        </is>
      </c>
      <c r="F1098" s="41" t="inlineStr">
        <is>
          <t xml:space="preserve">اكما </t>
        </is>
      </c>
      <c r="G1098" s="41" t="inlineStr">
        <is>
          <t>بنى سويف</t>
        </is>
      </c>
      <c r="H1098" s="41" t="inlineStr">
        <is>
          <t>197871/3-239903/1</t>
        </is>
      </c>
      <c r="I1098" s="41" t="inlineStr">
        <is>
          <t>ب ع ا 6124</t>
        </is>
      </c>
      <c r="J1098" s="41" t="inlineStr">
        <is>
          <t xml:space="preserve">عماد قنديل </t>
        </is>
      </c>
      <c r="K1098" s="41" t="n"/>
      <c r="L1098" s="42" t="n">
        <v>24000</v>
      </c>
      <c r="M1098" s="42" t="n">
        <v>10200</v>
      </c>
      <c r="N1098" s="42" t="n"/>
      <c r="O1098" s="42" t="n">
        <v>200</v>
      </c>
      <c r="P1098" s="42" t="n"/>
      <c r="Q1098" s="42" t="n">
        <v>13600</v>
      </c>
      <c r="R1098" s="43">
        <f>IF($B1098="","",N($S1098)-N($Q1098))</f>
        <v/>
      </c>
      <c r="S1098" s="43">
        <f>IF($B1098="","",N($L1098)+N($N1098)+N($P1098))</f>
        <v/>
      </c>
      <c r="T1098" s="42" t="n"/>
      <c r="U1098" s="42" t="n"/>
      <c r="V1098" s="42" t="n"/>
      <c r="W1098" s="42" t="n"/>
      <c r="X1098" s="42" t="n"/>
      <c r="Y1098" s="42" t="n"/>
      <c r="Z1098" s="42" t="n"/>
      <c r="AA1098" s="42" t="n"/>
      <c r="AB1098" s="42" t="n"/>
      <c r="AC1098" s="42" t="n"/>
      <c r="AD1098" s="42" t="n"/>
      <c r="AE1098" s="42" t="n"/>
      <c r="AF1098" s="43">
        <f>IF($B1098="","",SUM($T1098:$AE1098))</f>
        <v/>
      </c>
      <c r="AG1098" s="43">
        <f>IF($B1098="","",N($M1098)-N($AF1098))</f>
        <v/>
      </c>
      <c r="AH1098" s="43">
        <f>IF($B1098="","",N($L1098)-N($AF1098))</f>
        <v/>
      </c>
      <c r="AI1098" s="149">
        <f>IF($B1098="","",IF(N($L1098)=0,"",(N($L1098)-N($AF1098))/N($L1098)))</f>
        <v/>
      </c>
    </row>
    <row r="1099">
      <c r="A1099" s="39">
        <f>IF($B1099="","",COUNTA($B$4:$B1099))</f>
        <v/>
      </c>
      <c r="B1099" s="45" t="n">
        <v>46147</v>
      </c>
      <c r="C1099" s="46" t="n">
        <v>2746</v>
      </c>
      <c r="D1099" s="46" t="inlineStr">
        <is>
          <t xml:space="preserve">كمال رزق </t>
        </is>
      </c>
      <c r="E1099" s="46" t="inlineStr">
        <is>
          <t>1*40</t>
        </is>
      </c>
      <c r="F1099" s="46" t="inlineStr">
        <is>
          <t xml:space="preserve">مينا تك </t>
        </is>
      </c>
      <c r="G1099" s="46" t="inlineStr">
        <is>
          <t xml:space="preserve">م بدر </t>
        </is>
      </c>
      <c r="H1099" s="46" t="inlineStr">
        <is>
          <t>161463/2</t>
        </is>
      </c>
      <c r="I1099" s="46" t="inlineStr">
        <is>
          <t>س ن ر 5299</t>
        </is>
      </c>
      <c r="J1099" s="46" t="inlineStr">
        <is>
          <t xml:space="preserve">محمد احمد </t>
        </is>
      </c>
      <c r="K1099" s="46" t="inlineStr">
        <is>
          <t>ابو طالب</t>
        </is>
      </c>
      <c r="L1099" s="47" t="n">
        <v>16000</v>
      </c>
      <c r="M1099" s="47" t="n">
        <v>8100</v>
      </c>
      <c r="N1099" s="47" t="n">
        <v>2500</v>
      </c>
      <c r="O1099" s="47" t="n">
        <v>200</v>
      </c>
      <c r="P1099" s="47" t="n"/>
      <c r="Q1099" s="47" t="n">
        <v>5200</v>
      </c>
      <c r="R1099" s="43">
        <f>IF($B1099="","",N($S1099)-N($Q1099))</f>
        <v/>
      </c>
      <c r="S1099" s="43">
        <f>IF($B1099="","",N($L1099)+N($N1099)+N($P1099))</f>
        <v/>
      </c>
      <c r="T1099" s="47" t="n"/>
      <c r="U1099" s="47" t="n"/>
      <c r="V1099" s="47" t="n"/>
      <c r="W1099" s="47" t="n"/>
      <c r="X1099" s="47" t="n"/>
      <c r="Y1099" s="47" t="n"/>
      <c r="Z1099" s="47" t="n"/>
      <c r="AA1099" s="47" t="n"/>
      <c r="AB1099" s="47" t="n"/>
      <c r="AC1099" s="47" t="n"/>
      <c r="AD1099" s="47" t="n"/>
      <c r="AE1099" s="47" t="n"/>
      <c r="AF1099" s="43">
        <f>IF($B1099="","",SUM($T1099:$AE1099))</f>
        <v/>
      </c>
      <c r="AG1099" s="43">
        <f>IF($B1099="","",N($M1099)-N($AF1099))</f>
        <v/>
      </c>
      <c r="AH1099" s="43">
        <f>IF($B1099="","",N($L1099)-N($AF1099))</f>
        <v/>
      </c>
      <c r="AI1099" s="149">
        <f>IF($B1099="","",IF(N($L1099)=0,"",(N($L1099)-N($AF1099))/N($L1099)))</f>
        <v/>
      </c>
    </row>
    <row r="1100">
      <c r="A1100" s="39">
        <f>IF($B1100="","",COUNTA($B$4:$B1100))</f>
        <v/>
      </c>
      <c r="B1100" s="40" t="n">
        <v>46147</v>
      </c>
      <c r="C1100" s="41" t="n">
        <v>2678</v>
      </c>
      <c r="D1100" s="41" t="n"/>
      <c r="E1100" s="41" t="inlineStr">
        <is>
          <t>1*40</t>
        </is>
      </c>
      <c r="F1100" s="41" t="inlineStr">
        <is>
          <t xml:space="preserve">المصرية للغزل </t>
        </is>
      </c>
      <c r="G1100" s="41" t="inlineStr">
        <is>
          <t xml:space="preserve">العاشر </t>
        </is>
      </c>
      <c r="H1100" s="41" t="inlineStr">
        <is>
          <t>862558/8</t>
        </is>
      </c>
      <c r="I1100" s="41" t="inlineStr">
        <is>
          <t>س م ج 4299</t>
        </is>
      </c>
      <c r="J1100" s="41" t="inlineStr">
        <is>
          <t xml:space="preserve">احمد سمير </t>
        </is>
      </c>
      <c r="K1100" s="41" t="inlineStr">
        <is>
          <t>الليبر</t>
        </is>
      </c>
      <c r="L1100" s="42" t="n">
        <v>15500</v>
      </c>
      <c r="M1100" s="42" t="n">
        <v>8100</v>
      </c>
      <c r="N1100" s="42" t="n"/>
      <c r="O1100" s="42" t="n">
        <v>200</v>
      </c>
      <c r="P1100" s="42" t="n"/>
      <c r="Q1100" s="42" t="n"/>
      <c r="R1100" s="43">
        <f>IF($B1100="","",N($S1100)-N($Q1100))</f>
        <v/>
      </c>
      <c r="S1100" s="43">
        <f>IF($B1100="","",N($L1100)+N($N1100)+N($P1100))</f>
        <v/>
      </c>
      <c r="T1100" s="42" t="n"/>
      <c r="U1100" s="42" t="n"/>
      <c r="V1100" s="42" t="n"/>
      <c r="W1100" s="42" t="n"/>
      <c r="X1100" s="42" t="n"/>
      <c r="Y1100" s="42" t="n"/>
      <c r="Z1100" s="42" t="n"/>
      <c r="AA1100" s="42" t="n"/>
      <c r="AB1100" s="42" t="n"/>
      <c r="AC1100" s="42" t="n"/>
      <c r="AD1100" s="42" t="n"/>
      <c r="AE1100" s="42" t="n"/>
      <c r="AF1100" s="43">
        <f>IF($B1100="","",SUM($T1100:$AE1100))</f>
        <v/>
      </c>
      <c r="AG1100" s="43">
        <f>IF($B1100="","",N($M1100)-N($AF1100))</f>
        <v/>
      </c>
      <c r="AH1100" s="43">
        <f>IF($B1100="","",N($L1100)-N($AF1100))</f>
        <v/>
      </c>
      <c r="AI1100" s="149">
        <f>IF($B1100="","",IF(N($L1100)=0,"",(N($L1100)-N($AF1100))/N($L1100)))</f>
        <v/>
      </c>
    </row>
    <row r="1101">
      <c r="A1101" s="39">
        <f>IF($B1101="","",COUNTA($B$4:$B1101))</f>
        <v/>
      </c>
      <c r="B1101" s="45" t="n">
        <v>46147</v>
      </c>
      <c r="C1101" s="46" t="n">
        <v>2855</v>
      </c>
      <c r="D1101" s="46" t="inlineStr">
        <is>
          <t xml:space="preserve">احمد عبدو </t>
        </is>
      </c>
      <c r="E1101" s="46" t="inlineStr">
        <is>
          <t>1*40</t>
        </is>
      </c>
      <c r="F1101" s="46" t="inlineStr">
        <is>
          <t>كرستال عصفور</t>
        </is>
      </c>
      <c r="G1101" s="46" t="inlineStr">
        <is>
          <t xml:space="preserve">شبرا  </t>
        </is>
      </c>
      <c r="H1101" s="46" t="inlineStr">
        <is>
          <t>566048/1</t>
        </is>
      </c>
      <c r="I1101" s="46" t="inlineStr">
        <is>
          <t>س د ن 9737</t>
        </is>
      </c>
      <c r="J1101" s="46" t="inlineStr">
        <is>
          <t xml:space="preserve">اسلام محمد </t>
        </is>
      </c>
      <c r="K1101" s="46" t="inlineStr">
        <is>
          <t xml:space="preserve">محمد صبرة </t>
        </is>
      </c>
      <c r="L1101" s="47" t="n">
        <v>15000</v>
      </c>
      <c r="M1101" s="47" t="n">
        <v>8200</v>
      </c>
      <c r="N1101" s="47" t="n"/>
      <c r="O1101" s="47" t="n">
        <v>200</v>
      </c>
      <c r="P1101" s="47" t="n"/>
      <c r="Q1101" s="47" t="n">
        <v>6600</v>
      </c>
      <c r="R1101" s="43">
        <f>IF($B1101="","",N($S1101)-N($Q1101))</f>
        <v/>
      </c>
      <c r="S1101" s="43">
        <f>IF($B1101="","",N($L1101)+N($N1101)+N($P1101))</f>
        <v/>
      </c>
      <c r="T1101" s="47" t="n"/>
      <c r="U1101" s="47" t="n"/>
      <c r="V1101" s="47" t="n"/>
      <c r="W1101" s="47" t="n"/>
      <c r="X1101" s="47" t="n"/>
      <c r="Y1101" s="47" t="n"/>
      <c r="Z1101" s="47" t="n"/>
      <c r="AA1101" s="47" t="n"/>
      <c r="AB1101" s="47" t="n"/>
      <c r="AC1101" s="47" t="n"/>
      <c r="AD1101" s="47" t="n"/>
      <c r="AE1101" s="47" t="n"/>
      <c r="AF1101" s="43">
        <f>IF($B1101="","",SUM($T1101:$AE1101))</f>
        <v/>
      </c>
      <c r="AG1101" s="43">
        <f>IF($B1101="","",N($M1101)-N($AF1101))</f>
        <v/>
      </c>
      <c r="AH1101" s="43">
        <f>IF($B1101="","",N($L1101)-N($AF1101))</f>
        <v/>
      </c>
      <c r="AI1101" s="149">
        <f>IF($B1101="","",IF(N($L1101)=0,"",(N($L1101)-N($AF1101))/N($L1101)))</f>
        <v/>
      </c>
    </row>
    <row r="1102">
      <c r="A1102" s="39">
        <f>IF($B1102="","",COUNTA($B$4:$B1102))</f>
        <v/>
      </c>
      <c r="B1102" s="40" t="n">
        <v>46147</v>
      </c>
      <c r="C1102" s="41" t="n">
        <v>2856</v>
      </c>
      <c r="D1102" s="41" t="inlineStr">
        <is>
          <t xml:space="preserve">احمد عبدو </t>
        </is>
      </c>
      <c r="E1102" s="41" t="inlineStr">
        <is>
          <t>1*40</t>
        </is>
      </c>
      <c r="F1102" s="41" t="inlineStr">
        <is>
          <t>كرستال عصفور</t>
        </is>
      </c>
      <c r="G1102" s="41" t="inlineStr">
        <is>
          <t xml:space="preserve">شبرا  </t>
        </is>
      </c>
      <c r="H1102" s="41" t="inlineStr">
        <is>
          <t>557659/9</t>
        </is>
      </c>
      <c r="I1102" s="41" t="inlineStr">
        <is>
          <t>س ن ا 5213</t>
        </is>
      </c>
      <c r="J1102" s="41" t="inlineStr">
        <is>
          <t xml:space="preserve">ابوحباجة </t>
        </is>
      </c>
      <c r="K1102" s="41" t="inlineStr">
        <is>
          <t xml:space="preserve">محمد صبرة </t>
        </is>
      </c>
      <c r="L1102" s="42" t="n">
        <v>15000</v>
      </c>
      <c r="M1102" s="42" t="n">
        <v>8200</v>
      </c>
      <c r="N1102" s="42" t="n"/>
      <c r="O1102" s="42" t="n">
        <v>200</v>
      </c>
      <c r="P1102" s="42" t="n"/>
      <c r="Q1102" s="42" t="n">
        <v>6600</v>
      </c>
      <c r="R1102" s="43">
        <f>IF($B1102="","",N($S1102)-N($Q1102))</f>
        <v/>
      </c>
      <c r="S1102" s="43">
        <f>IF($B1102="","",N($L1102)+N($N1102)+N($P1102))</f>
        <v/>
      </c>
      <c r="T1102" s="42" t="n"/>
      <c r="U1102" s="42" t="n"/>
      <c r="V1102" s="42" t="n"/>
      <c r="W1102" s="42" t="n"/>
      <c r="X1102" s="42" t="n"/>
      <c r="Y1102" s="42" t="n"/>
      <c r="Z1102" s="42" t="n"/>
      <c r="AA1102" s="42" t="n"/>
      <c r="AB1102" s="42" t="n"/>
      <c r="AC1102" s="42" t="n"/>
      <c r="AD1102" s="42" t="n"/>
      <c r="AE1102" s="42" t="n"/>
      <c r="AF1102" s="43">
        <f>IF($B1102="","",SUM($T1102:$AE1102))</f>
        <v/>
      </c>
      <c r="AG1102" s="43">
        <f>IF($B1102="","",N($M1102)-N($AF1102))</f>
        <v/>
      </c>
      <c r="AH1102" s="43">
        <f>IF($B1102="","",N($L1102)-N($AF1102))</f>
        <v/>
      </c>
      <c r="AI1102" s="149">
        <f>IF($B1102="","",IF(N($L1102)=0,"",(N($L1102)-N($AF1102))/N($L1102)))</f>
        <v/>
      </c>
    </row>
    <row r="1103">
      <c r="A1103" s="39">
        <f>IF($B1103="","",COUNTA($B$4:$B1103))</f>
        <v/>
      </c>
      <c r="B1103" s="45" t="n">
        <v>46147</v>
      </c>
      <c r="C1103" s="46" t="n">
        <v>2857</v>
      </c>
      <c r="D1103" s="46" t="inlineStr">
        <is>
          <t>المكتب</t>
        </is>
      </c>
      <c r="E1103" s="46" t="inlineStr">
        <is>
          <t>1*40</t>
        </is>
      </c>
      <c r="F1103" s="46" t="inlineStr">
        <is>
          <t>كرستال عصفور</t>
        </is>
      </c>
      <c r="G1103" s="46" t="inlineStr">
        <is>
          <t xml:space="preserve">شبرا  </t>
        </is>
      </c>
      <c r="H1103" s="46" t="inlineStr">
        <is>
          <t>794235/5</t>
        </is>
      </c>
      <c r="I1103" s="46" t="inlineStr">
        <is>
          <t>س ع م 8737</t>
        </is>
      </c>
      <c r="J1103" s="46" t="inlineStr">
        <is>
          <t xml:space="preserve">جلال حسنى </t>
        </is>
      </c>
      <c r="K1103" s="46" t="inlineStr">
        <is>
          <t xml:space="preserve">المكتب </t>
        </is>
      </c>
      <c r="L1103" s="47" t="n">
        <v>16000</v>
      </c>
      <c r="M1103" s="47" t="n">
        <v>2000</v>
      </c>
      <c r="N1103" s="47" t="n">
        <v>1100</v>
      </c>
      <c r="O1103" s="47" t="n"/>
      <c r="P1103" s="47" t="n"/>
      <c r="Q1103" s="47" t="n">
        <v>12900</v>
      </c>
      <c r="R1103" s="43">
        <f>IF($B1103="","",N($S1103)-N($Q1103))</f>
        <v/>
      </c>
      <c r="S1103" s="43">
        <f>IF($B1103="","",N($L1103)+N($N1103)+N($P1103))</f>
        <v/>
      </c>
      <c r="T1103" s="47" t="n">
        <v>1600</v>
      </c>
      <c r="U1103" s="47" t="n">
        <v>700</v>
      </c>
      <c r="V1103" s="47" t="n"/>
      <c r="W1103" s="47" t="n"/>
      <c r="X1103" s="47" t="n"/>
      <c r="Y1103" s="47" t="n"/>
      <c r="Z1103" s="47" t="n"/>
      <c r="AA1103" s="47" t="n"/>
      <c r="AB1103" s="47" t="n"/>
      <c r="AC1103" s="47" t="n"/>
      <c r="AD1103" s="47" t="n"/>
      <c r="AE1103" s="47" t="n"/>
      <c r="AF1103" s="43">
        <f>IF($B1103="","",SUM($T1103:$AE1103))</f>
        <v/>
      </c>
      <c r="AG1103" s="43">
        <f>IF($B1103="","",N($M1103)-N($AF1103))</f>
        <v/>
      </c>
      <c r="AH1103" s="43">
        <f>IF($B1103="","",N($L1103)-N($AF1103))</f>
        <v/>
      </c>
      <c r="AI1103" s="149">
        <f>IF($B1103="","",IF(N($L1103)=0,"",(N($L1103)-N($AF1103))/N($L1103)))</f>
        <v/>
      </c>
    </row>
    <row r="1104">
      <c r="A1104" s="39">
        <f>IF($B1104="","",COUNTA($B$4:$B1104))</f>
        <v/>
      </c>
      <c r="B1104" s="40" t="n">
        <v>46150</v>
      </c>
      <c r="C1104" s="41" t="n">
        <v>2800</v>
      </c>
      <c r="D1104" s="41" t="inlineStr">
        <is>
          <t>المكتب</t>
        </is>
      </c>
      <c r="E1104" s="41" t="inlineStr">
        <is>
          <t>2*20</t>
        </is>
      </c>
      <c r="F1104" s="41" t="inlineStr">
        <is>
          <t xml:space="preserve">اكما </t>
        </is>
      </c>
      <c r="G1104" s="41" t="inlineStr">
        <is>
          <t>بنى سويف</t>
        </is>
      </c>
      <c r="H1104" s="41" t="inlineStr">
        <is>
          <t>214215/9-192696/6</t>
        </is>
      </c>
      <c r="I1104" s="41" t="inlineStr">
        <is>
          <t>س ع م 8737</t>
        </is>
      </c>
      <c r="J1104" s="41" t="inlineStr">
        <is>
          <t xml:space="preserve">جلال حسنى </t>
        </is>
      </c>
      <c r="K1104" s="41" t="inlineStr">
        <is>
          <t xml:space="preserve">المكتب </t>
        </is>
      </c>
      <c r="L1104" s="42" t="n">
        <v>24000</v>
      </c>
      <c r="M1104" s="42" t="n">
        <v>4000</v>
      </c>
      <c r="N1104" s="42" t="n"/>
      <c r="O1104" s="42" t="n"/>
      <c r="P1104" s="42" t="n"/>
      <c r="Q1104" s="42" t="n">
        <v>20000</v>
      </c>
      <c r="R1104" s="43">
        <f>IF($B1104="","",N($S1104)-N($Q1104))</f>
        <v/>
      </c>
      <c r="S1104" s="43">
        <f>IF($B1104="","",N($L1104)+N($N1104)+N($P1104))</f>
        <v/>
      </c>
      <c r="T1104" s="42" t="n"/>
      <c r="U1104" s="42" t="n"/>
      <c r="V1104" s="42" t="n"/>
      <c r="W1104" s="42" t="n"/>
      <c r="X1104" s="42" t="n"/>
      <c r="Y1104" s="42" t="n"/>
      <c r="Z1104" s="42" t="n"/>
      <c r="AA1104" s="42" t="n"/>
      <c r="AB1104" s="42" t="n"/>
      <c r="AC1104" s="42" t="n"/>
      <c r="AD1104" s="42" t="n"/>
      <c r="AE1104" s="42" t="n"/>
      <c r="AF1104" s="43">
        <f>IF($B1104="","",SUM($T1104:$AE1104))</f>
        <v/>
      </c>
      <c r="AG1104" s="43">
        <f>IF($B1104="","",N($M1104)-N($AF1104))</f>
        <v/>
      </c>
      <c r="AH1104" s="43">
        <f>IF($B1104="","",N($L1104)-N($AF1104))</f>
        <v/>
      </c>
      <c r="AI1104" s="149">
        <f>IF($B1104="","",IF(N($L1104)=0,"",(N($L1104)-N($AF1104))/N($L1104)))</f>
        <v/>
      </c>
    </row>
    <row r="1105">
      <c r="A1105" s="39">
        <f>IF($B1105="","",COUNTA($B$4:$B1105))</f>
        <v/>
      </c>
      <c r="B1105" s="45" t="n">
        <v>46150</v>
      </c>
      <c r="C1105" s="46" t="n">
        <v>2799</v>
      </c>
      <c r="D1105" s="46" t="inlineStr">
        <is>
          <t xml:space="preserve">عتريس مخيمر </t>
        </is>
      </c>
      <c r="E1105" s="46" t="inlineStr">
        <is>
          <t>2*20</t>
        </is>
      </c>
      <c r="F1105" s="46" t="inlineStr">
        <is>
          <t xml:space="preserve">اكما </t>
        </is>
      </c>
      <c r="G1105" s="46" t="inlineStr">
        <is>
          <t>بنى سويف</t>
        </is>
      </c>
      <c r="H1105" s="46" t="inlineStr">
        <is>
          <t>232389/3-04967/5</t>
        </is>
      </c>
      <c r="I1105" s="46" t="inlineStr">
        <is>
          <t>ب ص ا 2574</t>
        </is>
      </c>
      <c r="J1105" s="46" t="inlineStr">
        <is>
          <t xml:space="preserve">محمد البحيرى </t>
        </is>
      </c>
      <c r="K1105" s="46" t="inlineStr">
        <is>
          <t xml:space="preserve">احمد خليف </t>
        </is>
      </c>
      <c r="L1105" s="47" t="n">
        <v>24000</v>
      </c>
      <c r="M1105" s="47" t="n">
        <v>12100</v>
      </c>
      <c r="N1105" s="47" t="n"/>
      <c r="O1105" s="47" t="n">
        <v>200</v>
      </c>
      <c r="P1105" s="47" t="n"/>
      <c r="Q1105" s="47" t="n">
        <v>11700</v>
      </c>
      <c r="R1105" s="43">
        <f>IF($B1105="","",N($S1105)-N($Q1105))</f>
        <v/>
      </c>
      <c r="S1105" s="43">
        <f>IF($B1105="","",N($L1105)+N($N1105)+N($P1105))</f>
        <v/>
      </c>
      <c r="T1105" s="47" t="n"/>
      <c r="U1105" s="47" t="n"/>
      <c r="V1105" s="47" t="n"/>
      <c r="W1105" s="47" t="n"/>
      <c r="X1105" s="47" t="n"/>
      <c r="Y1105" s="47" t="n"/>
      <c r="Z1105" s="47" t="n"/>
      <c r="AA1105" s="47" t="n"/>
      <c r="AB1105" s="47" t="n"/>
      <c r="AC1105" s="47" t="n"/>
      <c r="AD1105" s="47" t="n"/>
      <c r="AE1105" s="47" t="n"/>
      <c r="AF1105" s="43">
        <f>IF($B1105="","",SUM($T1105:$AE1105))</f>
        <v/>
      </c>
      <c r="AG1105" s="43">
        <f>IF($B1105="","",N($M1105)-N($AF1105))</f>
        <v/>
      </c>
      <c r="AH1105" s="43">
        <f>IF($B1105="","",N($L1105)-N($AF1105))</f>
        <v/>
      </c>
      <c r="AI1105" s="149">
        <f>IF($B1105="","",IF(N($L1105)=0,"",(N($L1105)-N($AF1105))/N($L1105)))</f>
        <v/>
      </c>
    </row>
    <row r="1106">
      <c r="A1106" s="39">
        <f>IF($B1106="","",COUNTA($B$4:$B1106))</f>
        <v/>
      </c>
      <c r="B1106" s="40" t="n">
        <v>46150</v>
      </c>
      <c r="C1106" s="41" t="n">
        <v>2798</v>
      </c>
      <c r="D1106" s="41" t="inlineStr">
        <is>
          <t>صعيدى 5</t>
        </is>
      </c>
      <c r="E1106" s="41" t="inlineStr">
        <is>
          <t>2*20</t>
        </is>
      </c>
      <c r="F1106" s="41" t="inlineStr">
        <is>
          <t xml:space="preserve">اكما </t>
        </is>
      </c>
      <c r="G1106" s="41" t="inlineStr">
        <is>
          <t>بنى سويف</t>
        </is>
      </c>
      <c r="H1106" s="41" t="inlineStr">
        <is>
          <t>216886/3-169997/3</t>
        </is>
      </c>
      <c r="I1106" s="41" t="inlineStr">
        <is>
          <t>س ل ج 2521</t>
        </is>
      </c>
      <c r="J1106" s="41" t="inlineStr">
        <is>
          <t xml:space="preserve">اجمد جمال </t>
        </is>
      </c>
      <c r="K1106" s="41" t="inlineStr">
        <is>
          <t xml:space="preserve">محمد الصعيدى </t>
        </is>
      </c>
      <c r="L1106" s="42" t="n">
        <v>24000</v>
      </c>
      <c r="M1106" s="42" t="n">
        <v>12100</v>
      </c>
      <c r="N1106" s="42" t="n"/>
      <c r="O1106" s="42" t="n">
        <v>200</v>
      </c>
      <c r="P1106" s="42" t="n"/>
      <c r="Q1106" s="42" t="n">
        <v>11700</v>
      </c>
      <c r="R1106" s="43">
        <f>IF($B1106="","",N($S1106)-N($Q1106))</f>
        <v/>
      </c>
      <c r="S1106" s="43">
        <f>IF($B1106="","",N($L1106)+N($N1106)+N($P1106))</f>
        <v/>
      </c>
      <c r="T1106" s="42" t="n"/>
      <c r="U1106" s="42" t="n"/>
      <c r="V1106" s="42" t="n"/>
      <c r="W1106" s="42" t="n"/>
      <c r="X1106" s="42" t="n"/>
      <c r="Y1106" s="42" t="n"/>
      <c r="Z1106" s="42" t="n"/>
      <c r="AA1106" s="42" t="n"/>
      <c r="AB1106" s="42" t="n"/>
      <c r="AC1106" s="42" t="n"/>
      <c r="AD1106" s="42" t="n"/>
      <c r="AE1106" s="42" t="n"/>
      <c r="AF1106" s="43">
        <f>IF($B1106="","",SUM($T1106:$AE1106))</f>
        <v/>
      </c>
      <c r="AG1106" s="43">
        <f>IF($B1106="","",N($M1106)-N($AF1106))</f>
        <v/>
      </c>
      <c r="AH1106" s="43">
        <f>IF($B1106="","",N($L1106)-N($AF1106))</f>
        <v/>
      </c>
      <c r="AI1106" s="149">
        <f>IF($B1106="","",IF(N($L1106)=0,"",(N($L1106)-N($AF1106))/N($L1106)))</f>
        <v/>
      </c>
    </row>
    <row r="1107">
      <c r="A1107" s="39">
        <f>IF($B1107="","",COUNTA($B$4:$B1107))</f>
        <v/>
      </c>
      <c r="B1107" s="45" t="n">
        <v>46149</v>
      </c>
      <c r="C1107" s="46" t="n">
        <v>2796</v>
      </c>
      <c r="D1107" s="46" t="inlineStr">
        <is>
          <t xml:space="preserve">استوريا </t>
        </is>
      </c>
      <c r="E1107" s="46" t="inlineStr">
        <is>
          <t>2*20</t>
        </is>
      </c>
      <c r="F1107" s="46" t="inlineStr">
        <is>
          <t xml:space="preserve">اكما </t>
        </is>
      </c>
      <c r="G1107" s="46" t="inlineStr">
        <is>
          <t>بنى سويف</t>
        </is>
      </c>
      <c r="H1107" s="46" t="inlineStr">
        <is>
          <t>107522/0-234740/0</t>
        </is>
      </c>
      <c r="I1107" s="46" t="inlineStr">
        <is>
          <t>ط ف ر 2464</t>
        </is>
      </c>
      <c r="J1107" s="46" t="inlineStr">
        <is>
          <t xml:space="preserve">نبيل جميل </t>
        </is>
      </c>
      <c r="K1107" s="46" t="inlineStr">
        <is>
          <t xml:space="preserve">عتمان </t>
        </is>
      </c>
      <c r="L1107" s="47" t="n">
        <v>24000</v>
      </c>
      <c r="M1107" s="47" t="n">
        <v>12100</v>
      </c>
      <c r="N1107" s="47" t="n"/>
      <c r="O1107" s="47" t="n">
        <v>200</v>
      </c>
      <c r="P1107" s="47" t="n"/>
      <c r="Q1107" s="47" t="n"/>
      <c r="R1107" s="43">
        <f>IF($B1107="","",N($S1107)-N($Q1107))</f>
        <v/>
      </c>
      <c r="S1107" s="43">
        <f>IF($B1107="","",N($L1107)+N($N1107)+N($P1107))</f>
        <v/>
      </c>
      <c r="T1107" s="47" t="n"/>
      <c r="U1107" s="47" t="n"/>
      <c r="V1107" s="47" t="n"/>
      <c r="W1107" s="47" t="n"/>
      <c r="X1107" s="47" t="n"/>
      <c r="Y1107" s="47" t="n"/>
      <c r="Z1107" s="47" t="n"/>
      <c r="AA1107" s="47" t="n"/>
      <c r="AB1107" s="47" t="n"/>
      <c r="AC1107" s="47" t="n"/>
      <c r="AD1107" s="47" t="n"/>
      <c r="AE1107" s="47" t="n"/>
      <c r="AF1107" s="43">
        <f>IF($B1107="","",SUM($T1107:$AE1107))</f>
        <v/>
      </c>
      <c r="AG1107" s="43">
        <f>IF($B1107="","",N($M1107)-N($AF1107))</f>
        <v/>
      </c>
      <c r="AH1107" s="43">
        <f>IF($B1107="","",N($L1107)-N($AF1107))</f>
        <v/>
      </c>
      <c r="AI1107" s="149">
        <f>IF($B1107="","",IF(N($L1107)=0,"",(N($L1107)-N($AF1107))/N($L1107)))</f>
        <v/>
      </c>
    </row>
    <row r="1108">
      <c r="A1108" s="39">
        <f>IF($B1108="","",COUNTA($B$4:$B1108))</f>
        <v/>
      </c>
      <c r="B1108" s="40" t="n">
        <v>46149</v>
      </c>
      <c r="C1108" s="41" t="n">
        <v>2795</v>
      </c>
      <c r="D1108" s="41" t="inlineStr">
        <is>
          <t>الشريف</t>
        </is>
      </c>
      <c r="E1108" s="41" t="inlineStr">
        <is>
          <t>2*20</t>
        </is>
      </c>
      <c r="F1108" s="41" t="inlineStr">
        <is>
          <t xml:space="preserve">اكما </t>
        </is>
      </c>
      <c r="G1108" s="41" t="inlineStr">
        <is>
          <t>بنى سويف</t>
        </is>
      </c>
      <c r="H1108" s="41" t="inlineStr">
        <is>
          <t>231357/1-2059963/1</t>
        </is>
      </c>
      <c r="I1108" s="41" t="inlineStr">
        <is>
          <t>ب د ف 9317</t>
        </is>
      </c>
      <c r="J1108" s="41" t="inlineStr">
        <is>
          <t xml:space="preserve">سعيد فطيم </t>
        </is>
      </c>
      <c r="K1108" s="41" t="inlineStr">
        <is>
          <t xml:space="preserve">فطيم </t>
        </is>
      </c>
      <c r="L1108" s="42" t="n">
        <v>24000</v>
      </c>
      <c r="M1108" s="42" t="n">
        <v>12100</v>
      </c>
      <c r="N1108" s="42" t="n"/>
      <c r="O1108" s="42" t="n">
        <v>200</v>
      </c>
      <c r="P1108" s="42" t="n"/>
      <c r="Q1108" s="42" t="n">
        <v>11700</v>
      </c>
      <c r="R1108" s="43">
        <f>IF($B1108="","",N($S1108)-N($Q1108))</f>
        <v/>
      </c>
      <c r="S1108" s="43">
        <f>IF($B1108="","",N($L1108)+N($N1108)+N($P1108))</f>
        <v/>
      </c>
      <c r="T1108" s="42" t="n"/>
      <c r="U1108" s="42" t="n"/>
      <c r="V1108" s="42" t="n"/>
      <c r="W1108" s="42" t="n"/>
      <c r="X1108" s="42" t="n"/>
      <c r="Y1108" s="42" t="n"/>
      <c r="Z1108" s="42" t="n"/>
      <c r="AA1108" s="42" t="n"/>
      <c r="AB1108" s="42" t="n"/>
      <c r="AC1108" s="42" t="n"/>
      <c r="AD1108" s="42" t="n"/>
      <c r="AE1108" s="42" t="n"/>
      <c r="AF1108" s="43">
        <f>IF($B1108="","",SUM($T1108:$AE1108))</f>
        <v/>
      </c>
      <c r="AG1108" s="43">
        <f>IF($B1108="","",N($M1108)-N($AF1108))</f>
        <v/>
      </c>
      <c r="AH1108" s="43">
        <f>IF($B1108="","",N($L1108)-N($AF1108))</f>
        <v/>
      </c>
      <c r="AI1108" s="149">
        <f>IF($B1108="","",IF(N($L1108)=0,"",(N($L1108)-N($AF1108))/N($L1108)))</f>
        <v/>
      </c>
    </row>
    <row r="1109">
      <c r="A1109" s="39">
        <f>IF($B1109="","",COUNTA($B$4:$B1109))</f>
        <v/>
      </c>
      <c r="B1109" s="45" t="n">
        <v>46149</v>
      </c>
      <c r="C1109" s="46" t="n">
        <v>2797</v>
      </c>
      <c r="D1109" s="46" t="inlineStr">
        <is>
          <t>ايوب</t>
        </is>
      </c>
      <c r="E1109" s="46" t="inlineStr">
        <is>
          <t>1*20</t>
        </is>
      </c>
      <c r="F1109" s="46" t="inlineStr">
        <is>
          <t>جاب الله الباذ</t>
        </is>
      </c>
      <c r="G1109" s="46" t="inlineStr">
        <is>
          <t xml:space="preserve">المنصورة </t>
        </is>
      </c>
      <c r="H1109" s="46" t="inlineStr">
        <is>
          <t>304073/0</t>
        </is>
      </c>
      <c r="I1109" s="46" t="inlineStr">
        <is>
          <t>ب ج 7235</t>
        </is>
      </c>
      <c r="J1109" s="46" t="inlineStr">
        <is>
          <t xml:space="preserve">ياسر عبد الفتاح </t>
        </is>
      </c>
      <c r="K1109" s="46" t="inlineStr">
        <is>
          <t xml:space="preserve">ايوب </t>
        </is>
      </c>
      <c r="L1109" s="47" t="n">
        <v>12500</v>
      </c>
      <c r="M1109" s="47" t="n">
        <v>7100</v>
      </c>
      <c r="N1109" s="47" t="n"/>
      <c r="O1109" s="47" t="n">
        <v>200</v>
      </c>
      <c r="P1109" s="47" t="n">
        <v>7000</v>
      </c>
      <c r="Q1109" s="47" t="n"/>
      <c r="R1109" s="43">
        <f>IF($B1109="","",N($S1109)-N($Q1109))</f>
        <v/>
      </c>
      <c r="S1109" s="43">
        <f>IF($B1109="","",N($L1109)+N($N1109)+N($P1109))</f>
        <v/>
      </c>
      <c r="T1109" s="47" t="n"/>
      <c r="U1109" s="47" t="n"/>
      <c r="V1109" s="47" t="n"/>
      <c r="W1109" s="47" t="n"/>
      <c r="X1109" s="47" t="n"/>
      <c r="Y1109" s="47" t="n"/>
      <c r="Z1109" s="47" t="n"/>
      <c r="AA1109" s="47" t="n"/>
      <c r="AB1109" s="47" t="n"/>
      <c r="AC1109" s="47" t="n"/>
      <c r="AD1109" s="47" t="n"/>
      <c r="AE1109" s="47" t="n"/>
      <c r="AF1109" s="43">
        <f>IF($B1109="","",SUM($T1109:$AE1109))</f>
        <v/>
      </c>
      <c r="AG1109" s="43">
        <f>IF($B1109="","",N($M1109)-N($AF1109))</f>
        <v/>
      </c>
      <c r="AH1109" s="43">
        <f>IF($B1109="","",N($L1109)-N($AF1109))</f>
        <v/>
      </c>
      <c r="AI1109" s="149">
        <f>IF($B1109="","",IF(N($L1109)=0,"",(N($L1109)-N($AF1109))/N($L1109)))</f>
        <v/>
      </c>
    </row>
    <row r="1110">
      <c r="A1110" s="39">
        <f>IF($B1110="","",COUNTA($B$4:$B1110))</f>
        <v/>
      </c>
      <c r="B1110" s="40" t="n">
        <v>46149</v>
      </c>
      <c r="C1110" s="41" t="n">
        <v>2859</v>
      </c>
      <c r="D1110" s="41" t="inlineStr">
        <is>
          <t xml:space="preserve">حمو مرزوق </t>
        </is>
      </c>
      <c r="E1110" s="41" t="inlineStr">
        <is>
          <t>2*20</t>
        </is>
      </c>
      <c r="F1110" s="41" t="inlineStr">
        <is>
          <t xml:space="preserve">الدولية للفحم </t>
        </is>
      </c>
      <c r="G1110" s="41" t="inlineStr">
        <is>
          <t>برج العرب</t>
        </is>
      </c>
      <c r="H1110" s="41" t="inlineStr">
        <is>
          <t>156349/1-69696/3</t>
        </is>
      </c>
      <c r="I1110" s="41" t="inlineStr">
        <is>
          <t>س را 6671</t>
        </is>
      </c>
      <c r="J1110" s="41" t="inlineStr">
        <is>
          <t xml:space="preserve">احمد الحسينى </t>
        </is>
      </c>
      <c r="K1110" s="41" t="inlineStr">
        <is>
          <t xml:space="preserve">حمو مرزوق </t>
        </is>
      </c>
      <c r="L1110" s="42" t="n">
        <v>11000</v>
      </c>
      <c r="M1110" s="42" t="n">
        <v>5100</v>
      </c>
      <c r="N1110" s="42" t="n"/>
      <c r="O1110" s="42" t="n"/>
      <c r="P1110" s="42" t="n"/>
      <c r="Q1110" s="42" t="n">
        <v>5900</v>
      </c>
      <c r="R1110" s="43">
        <f>IF($B1110="","",N($S1110)-N($Q1110))</f>
        <v/>
      </c>
      <c r="S1110" s="43">
        <f>IF($B1110="","",N($L1110)+N($N1110)+N($P1110))</f>
        <v/>
      </c>
      <c r="T1110" s="42" t="n"/>
      <c r="U1110" s="42" t="n"/>
      <c r="V1110" s="42" t="n"/>
      <c r="W1110" s="42" t="n"/>
      <c r="X1110" s="42" t="n"/>
      <c r="Y1110" s="42" t="n"/>
      <c r="Z1110" s="42" t="n"/>
      <c r="AA1110" s="42" t="n"/>
      <c r="AB1110" s="42" t="n"/>
      <c r="AC1110" s="42" t="n"/>
      <c r="AD1110" s="42" t="n"/>
      <c r="AE1110" s="42" t="n"/>
      <c r="AF1110" s="43">
        <f>IF($B1110="","",SUM($T1110:$AE1110))</f>
        <v/>
      </c>
      <c r="AG1110" s="43">
        <f>IF($B1110="","",N($M1110)-N($AF1110))</f>
        <v/>
      </c>
      <c r="AH1110" s="43">
        <f>IF($B1110="","",N($L1110)-N($AF1110))</f>
        <v/>
      </c>
      <c r="AI1110" s="149">
        <f>IF($B1110="","",IF(N($L1110)=0,"",(N($L1110)-N($AF1110))/N($L1110)))</f>
        <v/>
      </c>
    </row>
    <row r="1111">
      <c r="A1111" s="39">
        <f>IF($B1111="","",COUNTA($B$4:$B1111))</f>
        <v/>
      </c>
      <c r="B1111" s="45" t="n">
        <v>46149</v>
      </c>
      <c r="C1111" s="46" t="n">
        <v>2860</v>
      </c>
      <c r="D1111" s="46" t="inlineStr">
        <is>
          <t xml:space="preserve">حمو مرزوق </t>
        </is>
      </c>
      <c r="E1111" s="46" t="inlineStr">
        <is>
          <t>1*20</t>
        </is>
      </c>
      <c r="F1111" s="46" t="inlineStr">
        <is>
          <t xml:space="preserve">الدولية للفحم </t>
        </is>
      </c>
      <c r="G1111" s="46" t="inlineStr">
        <is>
          <t>برج العرب</t>
        </is>
      </c>
      <c r="H1111" s="46" t="inlineStr">
        <is>
          <t>586680/0</t>
        </is>
      </c>
      <c r="I1111" s="46" t="inlineStr">
        <is>
          <t>ع ر ب 1574</t>
        </is>
      </c>
      <c r="J1111" s="46" t="inlineStr">
        <is>
          <t xml:space="preserve">محمد السيد </t>
        </is>
      </c>
      <c r="K1111" s="46" t="inlineStr">
        <is>
          <t xml:space="preserve">حمو مرزوق </t>
        </is>
      </c>
      <c r="L1111" s="47" t="n">
        <v>8000</v>
      </c>
      <c r="M1111" s="47" t="n">
        <v>5100</v>
      </c>
      <c r="N1111" s="47" t="n"/>
      <c r="O1111" s="47" t="n"/>
      <c r="P1111" s="47" t="n"/>
      <c r="Q1111" s="47" t="n">
        <v>2900</v>
      </c>
      <c r="R1111" s="43">
        <f>IF($B1111="","",N($S1111)-N($Q1111))</f>
        <v/>
      </c>
      <c r="S1111" s="43">
        <f>IF($B1111="","",N($L1111)+N($N1111)+N($P1111))</f>
        <v/>
      </c>
      <c r="T1111" s="47" t="n"/>
      <c r="U1111" s="47" t="n"/>
      <c r="V1111" s="47" t="n"/>
      <c r="W1111" s="47" t="n"/>
      <c r="X1111" s="47" t="n"/>
      <c r="Y1111" s="47" t="n"/>
      <c r="Z1111" s="47" t="n"/>
      <c r="AA1111" s="47" t="n"/>
      <c r="AB1111" s="47" t="n"/>
      <c r="AC1111" s="47" t="n"/>
      <c r="AD1111" s="47" t="n"/>
      <c r="AE1111" s="47" t="n"/>
      <c r="AF1111" s="43">
        <f>IF($B1111="","",SUM($T1111:$AE1111))</f>
        <v/>
      </c>
      <c r="AG1111" s="43">
        <f>IF($B1111="","",N($M1111)-N($AF1111))</f>
        <v/>
      </c>
      <c r="AH1111" s="43">
        <f>IF($B1111="","",N($L1111)-N($AF1111))</f>
        <v/>
      </c>
      <c r="AI1111" s="149">
        <f>IF($B1111="","",IF(N($L1111)=0,"",(N($L1111)-N($AF1111))/N($L1111)))</f>
        <v/>
      </c>
    </row>
    <row r="1112">
      <c r="A1112" s="39">
        <f>IF($B1112="","",COUNTA($B$4:$B1112))</f>
        <v/>
      </c>
      <c r="B1112" s="40" t="n">
        <v>46149</v>
      </c>
      <c r="C1112" s="41" t="n">
        <v>2858</v>
      </c>
      <c r="D1112" s="41" t="inlineStr">
        <is>
          <t xml:space="preserve">ولعان </t>
        </is>
      </c>
      <c r="E1112" s="41" t="inlineStr">
        <is>
          <t>2*20</t>
        </is>
      </c>
      <c r="F1112" s="41" t="inlineStr">
        <is>
          <t xml:space="preserve">الدولية للفحم </t>
        </is>
      </c>
      <c r="G1112" s="41" t="inlineStr">
        <is>
          <t>برج العرب</t>
        </is>
      </c>
      <c r="H1112" s="41" t="inlineStr">
        <is>
          <t>330163/3-205861/2</t>
        </is>
      </c>
      <c r="I1112" s="41" t="inlineStr">
        <is>
          <t>س م ب 1352</t>
        </is>
      </c>
      <c r="J1112" s="41" t="inlineStr">
        <is>
          <t xml:space="preserve">قبارى محمد </t>
        </is>
      </c>
      <c r="K1112" s="41" t="inlineStr">
        <is>
          <t xml:space="preserve">محمد رمضان </t>
        </is>
      </c>
      <c r="L1112" s="42" t="n">
        <v>11000</v>
      </c>
      <c r="M1112" s="42" t="n">
        <v>5000</v>
      </c>
      <c r="N1112" s="42" t="n"/>
      <c r="O1112" s="42" t="n"/>
      <c r="P1112" s="42" t="n"/>
      <c r="Q1112" s="42" t="n">
        <v>6000</v>
      </c>
      <c r="R1112" s="43">
        <f>IF($B1112="","",N($S1112)-N($Q1112))</f>
        <v/>
      </c>
      <c r="S1112" s="43">
        <f>IF($B1112="","",N($L1112)+N($N1112)+N($P1112))</f>
        <v/>
      </c>
      <c r="T1112" s="42" t="n"/>
      <c r="U1112" s="42" t="n"/>
      <c r="V1112" s="42" t="n"/>
      <c r="W1112" s="42" t="n"/>
      <c r="X1112" s="42" t="n"/>
      <c r="Y1112" s="42" t="n"/>
      <c r="Z1112" s="42" t="n"/>
      <c r="AA1112" s="42" t="n"/>
      <c r="AB1112" s="42" t="n"/>
      <c r="AC1112" s="42" t="n"/>
      <c r="AD1112" s="42" t="n"/>
      <c r="AE1112" s="42" t="n"/>
      <c r="AF1112" s="43">
        <f>IF($B1112="","",SUM($T1112:$AE1112))</f>
        <v/>
      </c>
      <c r="AG1112" s="43">
        <f>IF($B1112="","",N($M1112)-N($AF1112))</f>
        <v/>
      </c>
      <c r="AH1112" s="43">
        <f>IF($B1112="","",N($L1112)-N($AF1112))</f>
        <v/>
      </c>
      <c r="AI1112" s="149">
        <f>IF($B1112="","",IF(N($L1112)=0,"",(N($L1112)-N($AF1112))/N($L1112)))</f>
        <v/>
      </c>
    </row>
    <row r="1113">
      <c r="A1113" s="39">
        <f>IF($B1113="","",COUNTA($B$4:$B1113))</f>
        <v/>
      </c>
      <c r="B1113" s="45" t="n">
        <v>46149</v>
      </c>
      <c r="C1113" s="46" t="n">
        <v>2951</v>
      </c>
      <c r="D1113" s="46" t="inlineStr">
        <is>
          <t xml:space="preserve">استوريا </t>
        </is>
      </c>
      <c r="E1113" s="46" t="inlineStr">
        <is>
          <t>1*40</t>
        </is>
      </c>
      <c r="F1113" s="46" t="inlineStr">
        <is>
          <t xml:space="preserve">اكما </t>
        </is>
      </c>
      <c r="G1113" s="46" t="inlineStr">
        <is>
          <t>بنى سويف</t>
        </is>
      </c>
      <c r="H1113" s="46" t="inlineStr">
        <is>
          <t>026539/3</t>
        </is>
      </c>
      <c r="I1113" s="46" t="inlineStr">
        <is>
          <t>س م ج 4866</t>
        </is>
      </c>
      <c r="J1113" s="46" t="inlineStr">
        <is>
          <t xml:space="preserve">سيد ابو ضيف </t>
        </is>
      </c>
      <c r="K1113" s="46" t="inlineStr">
        <is>
          <t>استوريا</t>
        </is>
      </c>
      <c r="L1113" s="47" t="n">
        <v>19000</v>
      </c>
      <c r="M1113" s="47" t="n">
        <v>9100</v>
      </c>
      <c r="N1113" s="47" t="n"/>
      <c r="O1113" s="47" t="n">
        <v>200</v>
      </c>
      <c r="P1113" s="47" t="n"/>
      <c r="Q1113" s="47" t="n"/>
      <c r="R1113" s="43">
        <f>IF($B1113="","",N($S1113)-N($Q1113))</f>
        <v/>
      </c>
      <c r="S1113" s="43">
        <f>IF($B1113="","",N($L1113)+N($N1113)+N($P1113))</f>
        <v/>
      </c>
      <c r="T1113" s="47" t="n"/>
      <c r="U1113" s="47" t="n"/>
      <c r="V1113" s="47" t="n"/>
      <c r="W1113" s="47" t="n"/>
      <c r="X1113" s="47" t="n"/>
      <c r="Y1113" s="47" t="n"/>
      <c r="Z1113" s="47" t="n"/>
      <c r="AA1113" s="47" t="n"/>
      <c r="AB1113" s="47" t="n"/>
      <c r="AC1113" s="47" t="n"/>
      <c r="AD1113" s="47" t="n"/>
      <c r="AE1113" s="47" t="n"/>
      <c r="AF1113" s="43">
        <f>IF($B1113="","",SUM($T1113:$AE1113))</f>
        <v/>
      </c>
      <c r="AG1113" s="43">
        <f>IF($B1113="","",N($M1113)-N($AF1113))</f>
        <v/>
      </c>
      <c r="AH1113" s="43">
        <f>IF($B1113="","",N($L1113)-N($AF1113))</f>
        <v/>
      </c>
      <c r="AI1113" s="149">
        <f>IF($B1113="","",IF(N($L1113)=0,"",(N($L1113)-N($AF1113))/N($L1113)))</f>
        <v/>
      </c>
    </row>
    <row r="1114">
      <c r="A1114" s="39">
        <f>IF($B1114="","",COUNTA($B$4:$B1114))</f>
        <v/>
      </c>
      <c r="B1114" s="40" t="n">
        <v>46149</v>
      </c>
      <c r="C1114" s="41" t="n">
        <v>2952</v>
      </c>
      <c r="D1114" s="41" t="inlineStr">
        <is>
          <t>المكتب</t>
        </is>
      </c>
      <c r="E1114" s="41" t="inlineStr">
        <is>
          <t>1*40</t>
        </is>
      </c>
      <c r="F1114" s="41" t="inlineStr">
        <is>
          <t xml:space="preserve">اكما </t>
        </is>
      </c>
      <c r="G1114" s="41" t="inlineStr">
        <is>
          <t>بنى سويف</t>
        </is>
      </c>
      <c r="H1114" s="41" t="inlineStr">
        <is>
          <t>335351/7</t>
        </is>
      </c>
      <c r="I1114" s="41" t="inlineStr">
        <is>
          <t>س ع م 8737</t>
        </is>
      </c>
      <c r="J1114" s="41" t="inlineStr">
        <is>
          <t xml:space="preserve">جلال حسنى </t>
        </is>
      </c>
      <c r="K1114" s="41" t="inlineStr">
        <is>
          <t xml:space="preserve">المكتب </t>
        </is>
      </c>
      <c r="L1114" s="42" t="n">
        <v>19000</v>
      </c>
      <c r="M1114" s="42" t="n">
        <v>5000</v>
      </c>
      <c r="N1114" s="42" t="n"/>
      <c r="O1114" s="42" t="n"/>
      <c r="P1114" s="42" t="n"/>
      <c r="Q1114" s="42" t="n">
        <v>14000</v>
      </c>
      <c r="R1114" s="43">
        <f>IF($B1114="","",N($S1114)-N($Q1114))</f>
        <v/>
      </c>
      <c r="S1114" s="43">
        <f>IF($B1114="","",N($L1114)+N($N1114)+N($P1114))</f>
        <v/>
      </c>
      <c r="T1114" s="42" t="n"/>
      <c r="U1114" s="42" t="n"/>
      <c r="V1114" s="42" t="n"/>
      <c r="W1114" s="42" t="n"/>
      <c r="X1114" s="42" t="n"/>
      <c r="Y1114" s="42" t="n"/>
      <c r="Z1114" s="42" t="n"/>
      <c r="AA1114" s="42" t="n"/>
      <c r="AB1114" s="42" t="n"/>
      <c r="AC1114" s="42" t="n"/>
      <c r="AD1114" s="42" t="n"/>
      <c r="AE1114" s="42" t="n"/>
      <c r="AF1114" s="43">
        <f>IF($B1114="","",SUM($T1114:$AE1114))</f>
        <v/>
      </c>
      <c r="AG1114" s="43">
        <f>IF($B1114="","",N($M1114)-N($AF1114))</f>
        <v/>
      </c>
      <c r="AH1114" s="43">
        <f>IF($B1114="","",N($L1114)-N($AF1114))</f>
        <v/>
      </c>
      <c r="AI1114" s="149">
        <f>IF($B1114="","",IF(N($L1114)=0,"",(N($L1114)-N($AF1114))/N($L1114)))</f>
        <v/>
      </c>
    </row>
    <row r="1115">
      <c r="A1115" s="39">
        <f>IF($B1115="","",COUNTA($B$4:$B1115))</f>
        <v/>
      </c>
      <c r="B1115" s="45" t="n">
        <v>46149</v>
      </c>
      <c r="C1115" s="46" t="n">
        <v>2953</v>
      </c>
      <c r="D1115" s="46" t="inlineStr">
        <is>
          <t xml:space="preserve">استوريا </t>
        </is>
      </c>
      <c r="E1115" s="46" t="inlineStr">
        <is>
          <t>1*40</t>
        </is>
      </c>
      <c r="F1115" s="46" t="inlineStr">
        <is>
          <t xml:space="preserve">اكما </t>
        </is>
      </c>
      <c r="G1115" s="46" t="inlineStr">
        <is>
          <t>بنى سويف</t>
        </is>
      </c>
      <c r="H1115" s="46" t="inlineStr">
        <is>
          <t>551498/6</t>
        </is>
      </c>
      <c r="I1115" s="46" t="inlineStr">
        <is>
          <t>ب ل ص 9415</t>
        </is>
      </c>
      <c r="J1115" s="46" t="inlineStr">
        <is>
          <t xml:space="preserve">صبحى جميل </t>
        </is>
      </c>
      <c r="K1115" s="46" t="inlineStr">
        <is>
          <t>استوريا</t>
        </is>
      </c>
      <c r="L1115" s="47" t="n">
        <v>19000</v>
      </c>
      <c r="M1115" s="47" t="n">
        <v>9100</v>
      </c>
      <c r="N1115" s="47" t="n"/>
      <c r="O1115" s="47" t="n">
        <v>200</v>
      </c>
      <c r="P1115" s="47" t="n"/>
      <c r="Q1115" s="47" t="n"/>
      <c r="R1115" s="43">
        <f>IF($B1115="","",N($S1115)-N($Q1115))</f>
        <v/>
      </c>
      <c r="S1115" s="43">
        <f>IF($B1115="","",N($L1115)+N($N1115)+N($P1115))</f>
        <v/>
      </c>
      <c r="T1115" s="47" t="n"/>
      <c r="U1115" s="47" t="n"/>
      <c r="V1115" s="47" t="n"/>
      <c r="W1115" s="47" t="n"/>
      <c r="X1115" s="47" t="n"/>
      <c r="Y1115" s="47" t="n"/>
      <c r="Z1115" s="47" t="n"/>
      <c r="AA1115" s="47" t="n"/>
      <c r="AB1115" s="47" t="n"/>
      <c r="AC1115" s="47" t="n"/>
      <c r="AD1115" s="47" t="n"/>
      <c r="AE1115" s="47" t="n"/>
      <c r="AF1115" s="43">
        <f>IF($B1115="","",SUM($T1115:$AE1115))</f>
        <v/>
      </c>
      <c r="AG1115" s="43">
        <f>IF($B1115="","",N($M1115)-N($AF1115))</f>
        <v/>
      </c>
      <c r="AH1115" s="43">
        <f>IF($B1115="","",N($L1115)-N($AF1115))</f>
        <v/>
      </c>
      <c r="AI1115" s="149">
        <f>IF($B1115="","",IF(N($L1115)=0,"",(N($L1115)-N($AF1115))/N($L1115)))</f>
        <v/>
      </c>
    </row>
    <row r="1116">
      <c r="A1116" s="39">
        <f>IF($B1116="","",COUNTA($B$4:$B1116))</f>
        <v/>
      </c>
      <c r="B1116" s="40" t="n">
        <v>46149</v>
      </c>
      <c r="C1116" s="41" t="n">
        <v>2954</v>
      </c>
      <c r="D1116" s="41" t="inlineStr">
        <is>
          <t>البيبى</t>
        </is>
      </c>
      <c r="E1116" s="41" t="inlineStr">
        <is>
          <t>1*40</t>
        </is>
      </c>
      <c r="F1116" s="41" t="inlineStr">
        <is>
          <t xml:space="preserve">اكما </t>
        </is>
      </c>
      <c r="G1116" s="41" t="inlineStr">
        <is>
          <t>بنى سويف</t>
        </is>
      </c>
      <c r="H1116" s="41" t="inlineStr">
        <is>
          <t>224186/0</t>
        </is>
      </c>
      <c r="I1116" s="41" t="inlineStr">
        <is>
          <t>س ف ب 4187</t>
        </is>
      </c>
      <c r="J1116" s="41" t="inlineStr">
        <is>
          <t xml:space="preserve">نور محمد </t>
        </is>
      </c>
      <c r="K1116" s="41" t="inlineStr">
        <is>
          <t xml:space="preserve">حمو البيبى </t>
        </is>
      </c>
      <c r="L1116" s="42" t="n">
        <v>19000</v>
      </c>
      <c r="M1116" s="42" t="n">
        <v>9100</v>
      </c>
      <c r="N1116" s="42" t="n"/>
      <c r="O1116" s="42" t="n">
        <v>200</v>
      </c>
      <c r="P1116" s="42" t="n"/>
      <c r="Q1116" s="42" t="n">
        <v>9700</v>
      </c>
      <c r="R1116" s="43">
        <f>IF($B1116="","",N($S1116)-N($Q1116))</f>
        <v/>
      </c>
      <c r="S1116" s="43">
        <f>IF($B1116="","",N($L1116)+N($N1116)+N($P1116))</f>
        <v/>
      </c>
      <c r="T1116" s="42" t="n"/>
      <c r="U1116" s="42" t="n"/>
      <c r="V1116" s="42" t="n"/>
      <c r="W1116" s="42" t="n"/>
      <c r="X1116" s="42" t="n"/>
      <c r="Y1116" s="42" t="n"/>
      <c r="Z1116" s="42" t="n"/>
      <c r="AA1116" s="42" t="n"/>
      <c r="AB1116" s="42" t="n"/>
      <c r="AC1116" s="42" t="n"/>
      <c r="AD1116" s="42" t="n"/>
      <c r="AE1116" s="42" t="n"/>
      <c r="AF1116" s="43">
        <f>IF($B1116="","",SUM($T1116:$AE1116))</f>
        <v/>
      </c>
      <c r="AG1116" s="43">
        <f>IF($B1116="","",N($M1116)-N($AF1116))</f>
        <v/>
      </c>
      <c r="AH1116" s="43">
        <f>IF($B1116="","",N($L1116)-N($AF1116))</f>
        <v/>
      </c>
      <c r="AI1116" s="149">
        <f>IF($B1116="","",IF(N($L1116)=0,"",(N($L1116)-N($AF1116))/N($L1116)))</f>
        <v/>
      </c>
    </row>
    <row r="1117">
      <c r="A1117" s="39">
        <f>IF($B1117="","",COUNTA($B$4:$B1117))</f>
        <v/>
      </c>
      <c r="B1117" s="45" t="n">
        <v>46149</v>
      </c>
      <c r="C1117" s="46" t="n">
        <v>2955</v>
      </c>
      <c r="D1117" s="46" t="inlineStr">
        <is>
          <t>البيبى</t>
        </is>
      </c>
      <c r="E1117" s="46" t="inlineStr">
        <is>
          <t>1*40</t>
        </is>
      </c>
      <c r="F1117" s="46" t="inlineStr">
        <is>
          <t xml:space="preserve">اكما </t>
        </is>
      </c>
      <c r="G1117" s="46" t="inlineStr">
        <is>
          <t>بنى سويف</t>
        </is>
      </c>
      <c r="H1117" s="46" t="inlineStr">
        <is>
          <t>662980/0</t>
        </is>
      </c>
      <c r="I1117" s="46" t="inlineStr">
        <is>
          <t>س ع ه 3237</t>
        </is>
      </c>
      <c r="J1117" s="46" t="inlineStr">
        <is>
          <t xml:space="preserve">محمد صالح </t>
        </is>
      </c>
      <c r="K1117" s="46" t="inlineStr">
        <is>
          <t xml:space="preserve">حمو البيبى </t>
        </is>
      </c>
      <c r="L1117" s="47" t="n">
        <v>19000</v>
      </c>
      <c r="M1117" s="47" t="n">
        <v>9100</v>
      </c>
      <c r="N1117" s="47" t="n"/>
      <c r="O1117" s="47" t="n">
        <v>200</v>
      </c>
      <c r="P1117" s="47" t="n"/>
      <c r="Q1117" s="47" t="n">
        <v>9700</v>
      </c>
      <c r="R1117" s="43">
        <f>IF($B1117="","",N($S1117)-N($Q1117))</f>
        <v/>
      </c>
      <c r="S1117" s="43">
        <f>IF($B1117="","",N($L1117)+N($N1117)+N($P1117))</f>
        <v/>
      </c>
      <c r="T1117" s="47" t="n"/>
      <c r="U1117" s="47" t="n"/>
      <c r="V1117" s="47" t="n"/>
      <c r="W1117" s="47" t="n"/>
      <c r="X1117" s="47" t="n"/>
      <c r="Y1117" s="47" t="n"/>
      <c r="Z1117" s="47" t="n"/>
      <c r="AA1117" s="47" t="n"/>
      <c r="AB1117" s="47" t="n"/>
      <c r="AC1117" s="47" t="n"/>
      <c r="AD1117" s="47" t="n"/>
      <c r="AE1117" s="47" t="n"/>
      <c r="AF1117" s="43">
        <f>IF($B1117="","",SUM($T1117:$AE1117))</f>
        <v/>
      </c>
      <c r="AG1117" s="43">
        <f>IF($B1117="","",N($M1117)-N($AF1117))</f>
        <v/>
      </c>
      <c r="AH1117" s="43">
        <f>IF($B1117="","",N($L1117)-N($AF1117))</f>
        <v/>
      </c>
      <c r="AI1117" s="149">
        <f>IF($B1117="","",IF(N($L1117)=0,"",(N($L1117)-N($AF1117))/N($L1117)))</f>
        <v/>
      </c>
    </row>
    <row r="1118">
      <c r="A1118" s="39">
        <f>IF($B1118="","",COUNTA($B$4:$B1118))</f>
        <v/>
      </c>
      <c r="B1118" s="40" t="n">
        <v>46149</v>
      </c>
      <c r="C1118" s="41" t="n">
        <v>2956</v>
      </c>
      <c r="D1118" s="41" t="inlineStr">
        <is>
          <t>البيبى</t>
        </is>
      </c>
      <c r="E1118" s="41" t="inlineStr">
        <is>
          <t>1*40</t>
        </is>
      </c>
      <c r="F1118" s="41" t="inlineStr">
        <is>
          <t xml:space="preserve">اكما </t>
        </is>
      </c>
      <c r="G1118" s="41" t="inlineStr">
        <is>
          <t>بنى سويف</t>
        </is>
      </c>
      <c r="H1118" s="41" t="inlineStr">
        <is>
          <t>549854/5</t>
        </is>
      </c>
      <c r="I1118" s="41" t="inlineStr">
        <is>
          <t>س و ب 5219</t>
        </is>
      </c>
      <c r="J1118" s="41" t="inlineStr">
        <is>
          <t xml:space="preserve">محمد عبد القادر </t>
        </is>
      </c>
      <c r="K1118" s="41" t="inlineStr">
        <is>
          <t xml:space="preserve">حمو البيبى </t>
        </is>
      </c>
      <c r="L1118" s="42" t="n">
        <v>19000</v>
      </c>
      <c r="M1118" s="42" t="n">
        <v>9100</v>
      </c>
      <c r="N1118" s="42" t="n"/>
      <c r="O1118" s="42" t="n">
        <v>200</v>
      </c>
      <c r="P1118" s="42" t="n"/>
      <c r="Q1118" s="42" t="n">
        <v>9700</v>
      </c>
      <c r="R1118" s="43">
        <f>IF($B1118="","",N($S1118)-N($Q1118))</f>
        <v/>
      </c>
      <c r="S1118" s="43">
        <f>IF($B1118="","",N($L1118)+N($N1118)+N($P1118))</f>
        <v/>
      </c>
      <c r="T1118" s="42" t="n"/>
      <c r="U1118" s="42" t="n"/>
      <c r="V1118" s="42" t="n"/>
      <c r="W1118" s="42" t="n"/>
      <c r="X1118" s="42" t="n"/>
      <c r="Y1118" s="42" t="n"/>
      <c r="Z1118" s="42" t="n"/>
      <c r="AA1118" s="42" t="n"/>
      <c r="AB1118" s="42" t="n"/>
      <c r="AC1118" s="42" t="n"/>
      <c r="AD1118" s="42" t="n"/>
      <c r="AE1118" s="42" t="n"/>
      <c r="AF1118" s="43">
        <f>IF($B1118="","",SUM($T1118:$AE1118))</f>
        <v/>
      </c>
      <c r="AG1118" s="43">
        <f>IF($B1118="","",N($M1118)-N($AF1118))</f>
        <v/>
      </c>
      <c r="AH1118" s="43">
        <f>IF($B1118="","",N($L1118)-N($AF1118))</f>
        <v/>
      </c>
      <c r="AI1118" s="149">
        <f>IF($B1118="","",IF(N($L1118)=0,"",(N($L1118)-N($AF1118))/N($L1118)))</f>
        <v/>
      </c>
    </row>
    <row r="1119">
      <c r="A1119" s="39">
        <f>IF($B1119="","",COUNTA($B$4:$B1119))</f>
        <v/>
      </c>
      <c r="B1119" s="45" t="n">
        <v>46149</v>
      </c>
      <c r="C1119" s="46" t="n">
        <v>2957</v>
      </c>
      <c r="D1119" s="46" t="inlineStr">
        <is>
          <t xml:space="preserve">احمد سونة </t>
        </is>
      </c>
      <c r="E1119" s="46" t="inlineStr">
        <is>
          <t>1*40</t>
        </is>
      </c>
      <c r="F1119" s="46" t="inlineStr">
        <is>
          <t xml:space="preserve">اكما </t>
        </is>
      </c>
      <c r="G1119" s="46" t="inlineStr">
        <is>
          <t>بنى سويف</t>
        </is>
      </c>
      <c r="H1119" s="46" t="inlineStr">
        <is>
          <t>222144/2</t>
        </is>
      </c>
      <c r="I1119" s="46" t="inlineStr">
        <is>
          <t>ع ا ل 9323</t>
        </is>
      </c>
      <c r="J1119" s="46" t="inlineStr">
        <is>
          <t xml:space="preserve">فتحى احمد </t>
        </is>
      </c>
      <c r="K1119" s="46" t="inlineStr">
        <is>
          <t xml:space="preserve">اشرف الخجرى </t>
        </is>
      </c>
      <c r="L1119" s="47" t="n">
        <v>19000</v>
      </c>
      <c r="M1119" s="47" t="n">
        <v>10100</v>
      </c>
      <c r="N1119" s="47" t="n"/>
      <c r="O1119" s="47" t="n">
        <v>200</v>
      </c>
      <c r="P1119" s="47" t="n"/>
      <c r="Q1119" s="47" t="n">
        <v>8700</v>
      </c>
      <c r="R1119" s="43">
        <f>IF($B1119="","",N($S1119)-N($Q1119))</f>
        <v/>
      </c>
      <c r="S1119" s="43">
        <f>IF($B1119="","",N($L1119)+N($N1119)+N($P1119))</f>
        <v/>
      </c>
      <c r="T1119" s="47" t="n"/>
      <c r="U1119" s="47" t="n"/>
      <c r="V1119" s="47" t="n"/>
      <c r="W1119" s="47" t="n"/>
      <c r="X1119" s="47" t="n"/>
      <c r="Y1119" s="47" t="n"/>
      <c r="Z1119" s="47" t="n"/>
      <c r="AA1119" s="47" t="n"/>
      <c r="AB1119" s="47" t="n"/>
      <c r="AC1119" s="47" t="n"/>
      <c r="AD1119" s="47" t="n"/>
      <c r="AE1119" s="47" t="n"/>
      <c r="AF1119" s="43">
        <f>IF($B1119="","",SUM($T1119:$AE1119))</f>
        <v/>
      </c>
      <c r="AG1119" s="43">
        <f>IF($B1119="","",N($M1119)-N($AF1119))</f>
        <v/>
      </c>
      <c r="AH1119" s="43">
        <f>IF($B1119="","",N($L1119)-N($AF1119))</f>
        <v/>
      </c>
      <c r="AI1119" s="149">
        <f>IF($B1119="","",IF(N($L1119)=0,"",(N($L1119)-N($AF1119))/N($L1119)))</f>
        <v/>
      </c>
    </row>
    <row r="1120">
      <c r="A1120" s="39">
        <f>IF($B1120="","",COUNTA($B$4:$B1120))</f>
        <v/>
      </c>
      <c r="B1120" s="40" t="n">
        <v>46151</v>
      </c>
      <c r="C1120" s="41" t="n">
        <v>2823</v>
      </c>
      <c r="D1120" s="41" t="inlineStr">
        <is>
          <t>الرومانى</t>
        </is>
      </c>
      <c r="E1120" s="41" t="inlineStr">
        <is>
          <t>1*20</t>
        </is>
      </c>
      <c r="F1120" s="41" t="inlineStr">
        <is>
          <t xml:space="preserve">برفكت </t>
        </is>
      </c>
      <c r="G1120" s="41" t="inlineStr">
        <is>
          <t>العاشر</t>
        </is>
      </c>
      <c r="H1120" s="41" t="inlineStr">
        <is>
          <t>324258/4</t>
        </is>
      </c>
      <c r="I1120" s="41" t="inlineStr">
        <is>
          <t>ب د ط 2689</t>
        </is>
      </c>
      <c r="J1120" s="41" t="inlineStr">
        <is>
          <t xml:space="preserve">هيثم </t>
        </is>
      </c>
      <c r="K1120" s="41" t="inlineStr">
        <is>
          <t>رومانى</t>
        </is>
      </c>
      <c r="L1120" s="42" t="n">
        <v>14500</v>
      </c>
      <c r="M1120" s="42" t="n">
        <v>9100</v>
      </c>
      <c r="N1120" s="42" t="n"/>
      <c r="O1120" s="42" t="n">
        <v>200</v>
      </c>
      <c r="P1120" s="42" t="n"/>
      <c r="Q1120" s="42" t="n"/>
      <c r="R1120" s="43">
        <f>IF($B1120="","",N($S1120)-N($Q1120))</f>
        <v/>
      </c>
      <c r="S1120" s="43">
        <f>IF($B1120="","",N($L1120)+N($N1120)+N($P1120))</f>
        <v/>
      </c>
      <c r="T1120" s="42" t="n"/>
      <c r="U1120" s="42" t="n"/>
      <c r="V1120" s="42" t="n"/>
      <c r="W1120" s="42" t="n"/>
      <c r="X1120" s="42" t="n"/>
      <c r="Y1120" s="42" t="n"/>
      <c r="Z1120" s="42" t="n"/>
      <c r="AA1120" s="42" t="n"/>
      <c r="AB1120" s="42" t="n"/>
      <c r="AC1120" s="42" t="n"/>
      <c r="AD1120" s="42" t="n"/>
      <c r="AE1120" s="42" t="n"/>
      <c r="AF1120" s="43">
        <f>IF($B1120="","",SUM($T1120:$AE1120))</f>
        <v/>
      </c>
      <c r="AG1120" s="43">
        <f>IF($B1120="","",N($M1120)-N($AF1120))</f>
        <v/>
      </c>
      <c r="AH1120" s="43">
        <f>IF($B1120="","",N($L1120)-N($AF1120))</f>
        <v/>
      </c>
      <c r="AI1120" s="149">
        <f>IF($B1120="","",IF(N($L1120)=0,"",(N($L1120)-N($AF1120))/N($L1120)))</f>
        <v/>
      </c>
    </row>
    <row r="1121">
      <c r="A1121" s="39">
        <f>IF($B1121="","",COUNTA($B$4:$B1121))</f>
        <v/>
      </c>
      <c r="B1121" s="45" t="n">
        <v>46151</v>
      </c>
      <c r="C1121" s="46" t="n">
        <v>2824</v>
      </c>
      <c r="D1121" s="46" t="inlineStr">
        <is>
          <t xml:space="preserve">كريم خليف </t>
        </is>
      </c>
      <c r="E1121" s="46" t="inlineStr">
        <is>
          <t>1*40</t>
        </is>
      </c>
      <c r="F1121" s="46" t="inlineStr">
        <is>
          <t xml:space="preserve">برفكت </t>
        </is>
      </c>
      <c r="G1121" s="46" t="inlineStr">
        <is>
          <t>برج العرب</t>
        </is>
      </c>
      <c r="H1121" s="46" t="inlineStr">
        <is>
          <t>647115/7</t>
        </is>
      </c>
      <c r="I1121" s="46" t="inlineStr">
        <is>
          <t>ط ف ر 1474</t>
        </is>
      </c>
      <c r="J1121" s="46" t="inlineStr">
        <is>
          <t xml:space="preserve">جمال على </t>
        </is>
      </c>
      <c r="K1121" s="46" t="inlineStr">
        <is>
          <t xml:space="preserve">كريم خليف </t>
        </is>
      </c>
      <c r="L1121" s="47" t="n">
        <v>7500</v>
      </c>
      <c r="M1121" s="47" t="n">
        <v>5100</v>
      </c>
      <c r="N1121" s="47" t="n"/>
      <c r="O1121" s="47" t="n"/>
      <c r="P1121" s="47" t="n"/>
      <c r="Q1121" s="47" t="n">
        <v>2400</v>
      </c>
      <c r="R1121" s="43">
        <f>IF($B1121="","",N($S1121)-N($Q1121))</f>
        <v/>
      </c>
      <c r="S1121" s="43">
        <f>IF($B1121="","",N($L1121)+N($N1121)+N($P1121))</f>
        <v/>
      </c>
      <c r="T1121" s="47" t="n"/>
      <c r="U1121" s="47" t="n"/>
      <c r="V1121" s="47" t="n"/>
      <c r="W1121" s="47" t="n"/>
      <c r="X1121" s="47" t="n"/>
      <c r="Y1121" s="47" t="n"/>
      <c r="Z1121" s="47" t="n"/>
      <c r="AA1121" s="47" t="n"/>
      <c r="AB1121" s="47" t="n"/>
      <c r="AC1121" s="47" t="n"/>
      <c r="AD1121" s="47" t="n"/>
      <c r="AE1121" s="47" t="n"/>
      <c r="AF1121" s="43">
        <f>IF($B1121="","",SUM($T1121:$AE1121))</f>
        <v/>
      </c>
      <c r="AG1121" s="43">
        <f>IF($B1121="","",N($M1121)-N($AF1121))</f>
        <v/>
      </c>
      <c r="AH1121" s="43">
        <f>IF($B1121="","",N($L1121)-N($AF1121))</f>
        <v/>
      </c>
      <c r="AI1121" s="149">
        <f>IF($B1121="","",IF(N($L1121)=0,"",(N($L1121)-N($AF1121))/N($L1121)))</f>
        <v/>
      </c>
    </row>
    <row r="1122">
      <c r="A1122" s="39">
        <f>IF($B1122="","",COUNTA($B$4:$B1122))</f>
        <v/>
      </c>
      <c r="B1122" s="40" t="n">
        <v>46152</v>
      </c>
      <c r="C1122" s="41" t="n">
        <v>2961</v>
      </c>
      <c r="D1122" s="41" t="inlineStr">
        <is>
          <t xml:space="preserve">محمد مجدى </t>
        </is>
      </c>
      <c r="E1122" s="41" t="inlineStr">
        <is>
          <t>1*40</t>
        </is>
      </c>
      <c r="F1122" s="41" t="inlineStr">
        <is>
          <t xml:space="preserve">السويدى بوليمرز </t>
        </is>
      </c>
      <c r="G1122" s="41" t="inlineStr">
        <is>
          <t xml:space="preserve">العاشر </t>
        </is>
      </c>
      <c r="H1122" s="41" t="inlineStr">
        <is>
          <t>545572/8</t>
        </is>
      </c>
      <c r="I1122" s="41" t="inlineStr">
        <is>
          <t>ع ر ب 1573</t>
        </is>
      </c>
      <c r="J1122" s="41" t="inlineStr">
        <is>
          <t xml:space="preserve">محمد السيد </t>
        </is>
      </c>
      <c r="K1122" s="41" t="inlineStr">
        <is>
          <t xml:space="preserve">حمو مرزوق </t>
        </is>
      </c>
      <c r="L1122" s="42" t="n">
        <v>16000</v>
      </c>
      <c r="M1122" s="42" t="n">
        <v>10100</v>
      </c>
      <c r="N1122" s="42" t="n"/>
      <c r="O1122" s="42" t="n">
        <v>200</v>
      </c>
      <c r="P1122" s="42" t="n"/>
      <c r="Q1122" s="42" t="n">
        <v>5700</v>
      </c>
      <c r="R1122" s="43">
        <f>IF($B1122="","",N($S1122)-N($Q1122))</f>
        <v/>
      </c>
      <c r="S1122" s="43">
        <f>IF($B1122="","",N($L1122)+N($N1122)+N($P1122))</f>
        <v/>
      </c>
      <c r="T1122" s="42" t="n"/>
      <c r="U1122" s="42" t="n"/>
      <c r="V1122" s="42" t="n"/>
      <c r="W1122" s="42" t="n"/>
      <c r="X1122" s="42" t="n"/>
      <c r="Y1122" s="42" t="n"/>
      <c r="Z1122" s="42" t="n"/>
      <c r="AA1122" s="42" t="n"/>
      <c r="AB1122" s="42" t="n"/>
      <c r="AC1122" s="42" t="n"/>
      <c r="AD1122" s="42" t="n"/>
      <c r="AE1122" s="42" t="n"/>
      <c r="AF1122" s="43">
        <f>IF($B1122="","",SUM($T1122:$AE1122))</f>
        <v/>
      </c>
      <c r="AG1122" s="43">
        <f>IF($B1122="","",N($M1122)-N($AF1122))</f>
        <v/>
      </c>
      <c r="AH1122" s="43">
        <f>IF($B1122="","",N($L1122)-N($AF1122))</f>
        <v/>
      </c>
      <c r="AI1122" s="149">
        <f>IF($B1122="","",IF(N($L1122)=0,"",(N($L1122)-N($AF1122))/N($L1122)))</f>
        <v/>
      </c>
    </row>
    <row r="1123">
      <c r="A1123" s="39">
        <f>IF($B1123="","",COUNTA($B$4:$B1123))</f>
        <v/>
      </c>
      <c r="B1123" s="45" t="n">
        <v>46152</v>
      </c>
      <c r="C1123" s="46" t="n">
        <v>2958</v>
      </c>
      <c r="D1123" s="46" t="inlineStr">
        <is>
          <t xml:space="preserve">احمد سونة </t>
        </is>
      </c>
      <c r="E1123" s="46" t="inlineStr">
        <is>
          <t>1*40</t>
        </is>
      </c>
      <c r="F1123" s="46" t="inlineStr">
        <is>
          <t xml:space="preserve">السويدى بوليمرز </t>
        </is>
      </c>
      <c r="G1123" s="46" t="inlineStr">
        <is>
          <t>العاشر</t>
        </is>
      </c>
      <c r="H1123" s="46" t="inlineStr">
        <is>
          <t>466246/5</t>
        </is>
      </c>
      <c r="I1123" s="46" t="inlineStr">
        <is>
          <t>ع ا ل 9323</t>
        </is>
      </c>
      <c r="J1123" s="46" t="inlineStr">
        <is>
          <t xml:space="preserve">فتحى احمد متولى </t>
        </is>
      </c>
      <c r="K1123" s="46" t="inlineStr">
        <is>
          <t xml:space="preserve">اشرف الحجرى </t>
        </is>
      </c>
      <c r="L1123" s="47" t="n">
        <v>16000</v>
      </c>
      <c r="M1123" s="47" t="n">
        <v>8100</v>
      </c>
      <c r="N1123" s="47" t="n"/>
      <c r="O1123" s="47" t="n">
        <v>200</v>
      </c>
      <c r="P1123" s="47" t="n"/>
      <c r="Q1123" s="47" t="n">
        <v>7700</v>
      </c>
      <c r="R1123" s="43">
        <f>IF($B1123="","",N($S1123)-N($Q1123))</f>
        <v/>
      </c>
      <c r="S1123" s="43">
        <f>IF($B1123="","",N($L1123)+N($N1123)+N($P1123))</f>
        <v/>
      </c>
      <c r="T1123" s="47" t="n"/>
      <c r="U1123" s="47" t="n"/>
      <c r="V1123" s="47" t="n"/>
      <c r="W1123" s="47" t="n"/>
      <c r="X1123" s="47" t="n"/>
      <c r="Y1123" s="47" t="n"/>
      <c r="Z1123" s="47" t="n"/>
      <c r="AA1123" s="47" t="n"/>
      <c r="AB1123" s="47" t="n"/>
      <c r="AC1123" s="47" t="n"/>
      <c r="AD1123" s="47" t="n"/>
      <c r="AE1123" s="47" t="n"/>
      <c r="AF1123" s="43">
        <f>IF($B1123="","",SUM($T1123:$AE1123))</f>
        <v/>
      </c>
      <c r="AG1123" s="43">
        <f>IF($B1123="","",N($M1123)-N($AF1123))</f>
        <v/>
      </c>
      <c r="AH1123" s="43">
        <f>IF($B1123="","",N($L1123)-N($AF1123))</f>
        <v/>
      </c>
      <c r="AI1123" s="149">
        <f>IF($B1123="","",IF(N($L1123)=0,"",(N($L1123)-N($AF1123))/N($L1123)))</f>
        <v/>
      </c>
    </row>
    <row r="1124">
      <c r="A1124" s="39">
        <f>IF($B1124="","",COUNTA($B$4:$B1124))</f>
        <v/>
      </c>
      <c r="B1124" s="40" t="n">
        <v>46152</v>
      </c>
      <c r="C1124" s="41" t="n">
        <v>2959</v>
      </c>
      <c r="D1124" s="41" t="inlineStr">
        <is>
          <t xml:space="preserve">عتريس مخيمر </t>
        </is>
      </c>
      <c r="E1124" s="41" t="inlineStr">
        <is>
          <t>1*40</t>
        </is>
      </c>
      <c r="F1124" s="41" t="inlineStr">
        <is>
          <t xml:space="preserve">السويدى بوليمرز </t>
        </is>
      </c>
      <c r="G1124" s="41" t="inlineStr">
        <is>
          <t xml:space="preserve">العاشر </t>
        </is>
      </c>
      <c r="H1124" s="41" t="inlineStr">
        <is>
          <t>450761/1</t>
        </is>
      </c>
      <c r="I1124" s="41" t="inlineStr">
        <is>
          <t>ب ص ا 2574</t>
        </is>
      </c>
      <c r="J1124" s="41" t="inlineStr">
        <is>
          <t xml:space="preserve">محمد البحيرى </t>
        </is>
      </c>
      <c r="K1124" s="41" t="inlineStr">
        <is>
          <t xml:space="preserve">احمد خليف </t>
        </is>
      </c>
      <c r="L1124" s="42" t="n">
        <v>16000</v>
      </c>
      <c r="M1124" s="42" t="n">
        <v>8100</v>
      </c>
      <c r="N1124" s="42" t="n"/>
      <c r="O1124" s="42" t="n">
        <v>200</v>
      </c>
      <c r="P1124" s="42" t="n"/>
      <c r="Q1124" s="42" t="n">
        <v>7700</v>
      </c>
      <c r="R1124" s="43">
        <f>IF($B1124="","",N($S1124)-N($Q1124))</f>
        <v/>
      </c>
      <c r="S1124" s="43">
        <f>IF($B1124="","",N($L1124)+N($N1124)+N($P1124))</f>
        <v/>
      </c>
      <c r="T1124" s="42" t="n"/>
      <c r="U1124" s="42" t="n"/>
      <c r="V1124" s="42" t="n"/>
      <c r="W1124" s="42" t="n"/>
      <c r="X1124" s="42" t="n"/>
      <c r="Y1124" s="42" t="n"/>
      <c r="Z1124" s="42" t="n"/>
      <c r="AA1124" s="42" t="n"/>
      <c r="AB1124" s="42" t="n"/>
      <c r="AC1124" s="42" t="n"/>
      <c r="AD1124" s="42" t="n"/>
      <c r="AE1124" s="42" t="n"/>
      <c r="AF1124" s="43">
        <f>IF($B1124="","",SUM($T1124:$AE1124))</f>
        <v/>
      </c>
      <c r="AG1124" s="43">
        <f>IF($B1124="","",N($M1124)-N($AF1124))</f>
        <v/>
      </c>
      <c r="AH1124" s="43">
        <f>IF($B1124="","",N($L1124)-N($AF1124))</f>
        <v/>
      </c>
      <c r="AI1124" s="149">
        <f>IF($B1124="","",IF(N($L1124)=0,"",(N($L1124)-N($AF1124))/N($L1124)))</f>
        <v/>
      </c>
    </row>
    <row r="1125">
      <c r="A1125" s="39">
        <f>IF($B1125="","",COUNTA($B$4:$B1125))</f>
        <v/>
      </c>
      <c r="B1125" s="45" t="n">
        <v>46152</v>
      </c>
      <c r="C1125" s="46" t="n">
        <v>2960</v>
      </c>
      <c r="D1125" s="46" t="inlineStr">
        <is>
          <t xml:space="preserve">الانصارى </t>
        </is>
      </c>
      <c r="E1125" s="46" t="inlineStr">
        <is>
          <t>1*40</t>
        </is>
      </c>
      <c r="F1125" s="46" t="inlineStr">
        <is>
          <t xml:space="preserve">السويدى بوليمرز </t>
        </is>
      </c>
      <c r="G1125" s="46" t="inlineStr">
        <is>
          <t>العاشر</t>
        </is>
      </c>
      <c r="H1125" s="46" t="inlineStr">
        <is>
          <t>833973/8</t>
        </is>
      </c>
      <c r="I1125" s="46" t="inlineStr">
        <is>
          <t>ط ف ر 1474</t>
        </is>
      </c>
      <c r="J1125" s="46" t="inlineStr">
        <is>
          <t xml:space="preserve">جمال على </t>
        </is>
      </c>
      <c r="K1125" s="46" t="inlineStr">
        <is>
          <t xml:space="preserve">كريم خليف </t>
        </is>
      </c>
      <c r="L1125" s="47" t="n">
        <v>16000</v>
      </c>
      <c r="M1125" s="47" t="n">
        <v>8100</v>
      </c>
      <c r="N1125" s="47" t="n"/>
      <c r="O1125" s="47" t="n">
        <v>200</v>
      </c>
      <c r="P1125" s="47" t="n"/>
      <c r="Q1125" s="47" t="n">
        <v>7700</v>
      </c>
      <c r="R1125" s="43">
        <f>IF($B1125="","",N($S1125)-N($Q1125))</f>
        <v/>
      </c>
      <c r="S1125" s="43">
        <f>IF($B1125="","",N($L1125)+N($N1125)+N($P1125))</f>
        <v/>
      </c>
      <c r="T1125" s="47" t="n"/>
      <c r="U1125" s="47" t="n"/>
      <c r="V1125" s="47" t="n"/>
      <c r="W1125" s="47" t="n"/>
      <c r="X1125" s="47" t="n"/>
      <c r="Y1125" s="47" t="n"/>
      <c r="Z1125" s="47" t="n"/>
      <c r="AA1125" s="47" t="n"/>
      <c r="AB1125" s="47" t="n"/>
      <c r="AC1125" s="47" t="n"/>
      <c r="AD1125" s="47" t="n"/>
      <c r="AE1125" s="47" t="n"/>
      <c r="AF1125" s="43">
        <f>IF($B1125="","",SUM($T1125:$AE1125))</f>
        <v/>
      </c>
      <c r="AG1125" s="43">
        <f>IF($B1125="","",N($M1125)-N($AF1125))</f>
        <v/>
      </c>
      <c r="AH1125" s="43">
        <f>IF($B1125="","",N($L1125)-N($AF1125))</f>
        <v/>
      </c>
      <c r="AI1125" s="149">
        <f>IF($B1125="","",IF(N($L1125)=0,"",(N($L1125)-N($AF1125))/N($L1125)))</f>
        <v/>
      </c>
    </row>
    <row r="1126">
      <c r="A1126" s="39">
        <f>IF($B1126="","",COUNTA($B$4:$B1126))</f>
        <v/>
      </c>
      <c r="B1126" s="40" t="n">
        <v>46152</v>
      </c>
      <c r="C1126" s="41" t="n">
        <v>2962</v>
      </c>
      <c r="D1126" s="41" t="inlineStr">
        <is>
          <t xml:space="preserve">احمد عبدو </t>
        </is>
      </c>
      <c r="E1126" s="41" t="inlineStr">
        <is>
          <t>1*40</t>
        </is>
      </c>
      <c r="F1126" s="41" t="inlineStr">
        <is>
          <t xml:space="preserve">السويدى بوليمرز </t>
        </is>
      </c>
      <c r="G1126" s="41" t="inlineStr">
        <is>
          <t xml:space="preserve">العاشر </t>
        </is>
      </c>
      <c r="H1126" s="41" t="inlineStr">
        <is>
          <t>444503/0</t>
        </is>
      </c>
      <c r="I1126" s="41" t="inlineStr">
        <is>
          <t>س ا ه 8198</t>
        </is>
      </c>
      <c r="J1126" s="41" t="inlineStr">
        <is>
          <t xml:space="preserve">وجية صبور </t>
        </is>
      </c>
      <c r="K1126" s="41" t="inlineStr">
        <is>
          <t xml:space="preserve">علاء علام </t>
        </is>
      </c>
      <c r="L1126" s="42" t="n">
        <v>16000</v>
      </c>
      <c r="M1126" s="42" t="n">
        <v>8100</v>
      </c>
      <c r="N1126" s="42" t="n"/>
      <c r="O1126" s="42" t="n">
        <v>200</v>
      </c>
      <c r="P1126" s="42" t="n"/>
      <c r="Q1126" s="42" t="n">
        <v>7700</v>
      </c>
      <c r="R1126" s="43">
        <f>IF($B1126="","",N($S1126)-N($Q1126))</f>
        <v/>
      </c>
      <c r="S1126" s="43">
        <f>IF($B1126="","",N($L1126)+N($N1126)+N($P1126))</f>
        <v/>
      </c>
      <c r="T1126" s="42" t="n"/>
      <c r="U1126" s="42" t="n"/>
      <c r="V1126" s="42" t="n"/>
      <c r="W1126" s="42" t="n"/>
      <c r="X1126" s="42" t="n"/>
      <c r="Y1126" s="42" t="n"/>
      <c r="Z1126" s="42" t="n"/>
      <c r="AA1126" s="42" t="n"/>
      <c r="AB1126" s="42" t="n"/>
      <c r="AC1126" s="42" t="n"/>
      <c r="AD1126" s="42" t="n"/>
      <c r="AE1126" s="42" t="n"/>
      <c r="AF1126" s="43">
        <f>IF($B1126="","",SUM($T1126:$AE1126))</f>
        <v/>
      </c>
      <c r="AG1126" s="43">
        <f>IF($B1126="","",N($M1126)-N($AF1126))</f>
        <v/>
      </c>
      <c r="AH1126" s="43">
        <f>IF($B1126="","",N($L1126)-N($AF1126))</f>
        <v/>
      </c>
      <c r="AI1126" s="149">
        <f>IF($B1126="","",IF(N($L1126)=0,"",(N($L1126)-N($AF1126))/N($L1126)))</f>
        <v/>
      </c>
    </row>
    <row r="1127">
      <c r="A1127" s="39">
        <f>IF($B1127="","",COUNTA($B$4:$B1127))</f>
        <v/>
      </c>
      <c r="B1127" s="45" t="n">
        <v>46152</v>
      </c>
      <c r="C1127" s="46" t="n">
        <v>2963</v>
      </c>
      <c r="D1127" s="46" t="n"/>
      <c r="E1127" s="46" t="inlineStr">
        <is>
          <t>1*40</t>
        </is>
      </c>
      <c r="F1127" s="46" t="inlineStr">
        <is>
          <t>المعمار</t>
        </is>
      </c>
      <c r="G1127" s="46" t="inlineStr">
        <is>
          <t xml:space="preserve">م بدر </t>
        </is>
      </c>
      <c r="H1127" s="46" t="inlineStr">
        <is>
          <t>430691/8</t>
        </is>
      </c>
      <c r="I1127" s="46" t="inlineStr">
        <is>
          <t>ب د ف 8674</t>
        </is>
      </c>
      <c r="J1127" s="46" t="inlineStr">
        <is>
          <t xml:space="preserve">عماد كساب </t>
        </is>
      </c>
      <c r="K1127" s="46" t="inlineStr">
        <is>
          <t>الليبر</t>
        </is>
      </c>
      <c r="L1127" s="47" t="n">
        <v>16000</v>
      </c>
      <c r="M1127" s="47" t="n">
        <v>8100</v>
      </c>
      <c r="N1127" s="47" t="n"/>
      <c r="O1127" s="47" t="n">
        <v>200</v>
      </c>
      <c r="P1127" s="47" t="n"/>
      <c r="Q1127" s="47" t="n"/>
      <c r="R1127" s="43">
        <f>IF($B1127="","",N($S1127)-N($Q1127))</f>
        <v/>
      </c>
      <c r="S1127" s="43">
        <f>IF($B1127="","",N($L1127)+N($N1127)+N($P1127))</f>
        <v/>
      </c>
      <c r="T1127" s="47" t="n"/>
      <c r="U1127" s="47" t="n"/>
      <c r="V1127" s="47" t="n"/>
      <c r="W1127" s="47" t="n"/>
      <c r="X1127" s="47" t="n"/>
      <c r="Y1127" s="47" t="n"/>
      <c r="Z1127" s="47" t="n"/>
      <c r="AA1127" s="47" t="n"/>
      <c r="AB1127" s="47" t="n"/>
      <c r="AC1127" s="47" t="n"/>
      <c r="AD1127" s="47" t="n"/>
      <c r="AE1127" s="47" t="n"/>
      <c r="AF1127" s="43">
        <f>IF($B1127="","",SUM($T1127:$AE1127))</f>
        <v/>
      </c>
      <c r="AG1127" s="43">
        <f>IF($B1127="","",N($M1127)-N($AF1127))</f>
        <v/>
      </c>
      <c r="AH1127" s="43">
        <f>IF($B1127="","",N($L1127)-N($AF1127))</f>
        <v/>
      </c>
      <c r="AI1127" s="149">
        <f>IF($B1127="","",IF(N($L1127)=0,"",(N($L1127)-N($AF1127))/N($L1127)))</f>
        <v/>
      </c>
    </row>
    <row r="1128">
      <c r="A1128" s="39">
        <f>IF($B1128="","",COUNTA($B$4:$B1128))</f>
        <v/>
      </c>
      <c r="B1128" s="40" t="n">
        <v>46152</v>
      </c>
      <c r="C1128" s="41" t="n">
        <v>2964</v>
      </c>
      <c r="D1128" s="41" t="inlineStr">
        <is>
          <t>المكتب</t>
        </is>
      </c>
      <c r="E1128" s="41" t="inlineStr">
        <is>
          <t>1*40</t>
        </is>
      </c>
      <c r="F1128" s="41" t="inlineStr">
        <is>
          <t xml:space="preserve">ايجل واى </t>
        </is>
      </c>
      <c r="G1128" s="41" t="inlineStr">
        <is>
          <t xml:space="preserve">السادات </t>
        </is>
      </c>
      <c r="H1128" s="41" t="inlineStr">
        <is>
          <t>700391/8</t>
        </is>
      </c>
      <c r="I1128" s="41" t="inlineStr">
        <is>
          <t>س ع م 8737</t>
        </is>
      </c>
      <c r="J1128" s="41" t="inlineStr">
        <is>
          <t xml:space="preserve">جلال حسنى </t>
        </is>
      </c>
      <c r="K1128" s="41" t="inlineStr">
        <is>
          <t xml:space="preserve">المكتب </t>
        </is>
      </c>
      <c r="L1128" s="42" t="n">
        <v>12500</v>
      </c>
      <c r="M1128" s="42" t="n">
        <v>3100</v>
      </c>
      <c r="N1128" s="42" t="n"/>
      <c r="O1128" s="42" t="n"/>
      <c r="P1128" s="42" t="n"/>
      <c r="Q1128" s="42" t="n">
        <v>9400</v>
      </c>
      <c r="R1128" s="43">
        <f>IF($B1128="","",N($S1128)-N($Q1128))</f>
        <v/>
      </c>
      <c r="S1128" s="43">
        <f>IF($B1128="","",N($L1128)+N($N1128)+N($P1128))</f>
        <v/>
      </c>
      <c r="T1128" s="42" t="n"/>
      <c r="U1128" s="42" t="n"/>
      <c r="V1128" s="42" t="n"/>
      <c r="W1128" s="42" t="n"/>
      <c r="X1128" s="42" t="n"/>
      <c r="Y1128" s="42" t="n"/>
      <c r="Z1128" s="42" t="n"/>
      <c r="AA1128" s="42" t="n"/>
      <c r="AB1128" s="42" t="n"/>
      <c r="AC1128" s="42" t="n"/>
      <c r="AD1128" s="42" t="n"/>
      <c r="AE1128" s="42" t="n"/>
      <c r="AF1128" s="43">
        <f>IF($B1128="","",SUM($T1128:$AE1128))</f>
        <v/>
      </c>
      <c r="AG1128" s="43">
        <f>IF($B1128="","",N($M1128)-N($AF1128))</f>
        <v/>
      </c>
      <c r="AH1128" s="43">
        <f>IF($B1128="","",N($L1128)-N($AF1128))</f>
        <v/>
      </c>
      <c r="AI1128" s="149">
        <f>IF($B1128="","",IF(N($L1128)=0,"",(N($L1128)-N($AF1128))/N($L1128)))</f>
        <v/>
      </c>
    </row>
    <row r="1129">
      <c r="A1129" s="39">
        <f>IF($B1129="","",COUNTA($B$4:$B1129))</f>
        <v/>
      </c>
      <c r="B1129" s="45" t="n">
        <v>46152</v>
      </c>
      <c r="C1129" s="46" t="n">
        <v>2825</v>
      </c>
      <c r="D1129" s="46" t="n"/>
      <c r="E1129" s="46" t="inlineStr">
        <is>
          <t>فرش</t>
        </is>
      </c>
      <c r="F1129" s="46" t="n"/>
      <c r="G1129" s="46" t="inlineStr">
        <is>
          <t xml:space="preserve">العبور </t>
        </is>
      </c>
      <c r="H1129" s="46" t="inlineStr">
        <is>
          <t xml:space="preserve">2 بلتة </t>
        </is>
      </c>
      <c r="I1129" s="46" t="inlineStr">
        <is>
          <t>س د ص 7566</t>
        </is>
      </c>
      <c r="J1129" s="46" t="inlineStr">
        <is>
          <t xml:space="preserve">محمود رضوان </t>
        </is>
      </c>
      <c r="K1129" s="46" t="inlineStr">
        <is>
          <t xml:space="preserve">احمد </t>
        </is>
      </c>
      <c r="L1129" s="47" t="n">
        <v>2100</v>
      </c>
      <c r="M1129" s="47" t="n">
        <v>2100</v>
      </c>
      <c r="N1129" s="47" t="n"/>
      <c r="O1129" s="47" t="n"/>
      <c r="P1129" s="47" t="n"/>
      <c r="Q1129" s="47" t="n"/>
      <c r="R1129" s="43">
        <f>IF($B1129="","",N($S1129)-N($Q1129))</f>
        <v/>
      </c>
      <c r="S1129" s="43">
        <f>IF($B1129="","",N($L1129)+N($N1129)+N($P1129))</f>
        <v/>
      </c>
      <c r="T1129" s="47" t="n"/>
      <c r="U1129" s="47" t="n"/>
      <c r="V1129" s="47" t="n"/>
      <c r="W1129" s="47" t="n"/>
      <c r="X1129" s="47" t="n"/>
      <c r="Y1129" s="47" t="n"/>
      <c r="Z1129" s="47" t="n"/>
      <c r="AA1129" s="47" t="n"/>
      <c r="AB1129" s="47" t="n"/>
      <c r="AC1129" s="47" t="n"/>
      <c r="AD1129" s="47" t="n"/>
      <c r="AE1129" s="47" t="n"/>
      <c r="AF1129" s="43">
        <f>IF($B1129="","",SUM($T1129:$AE1129))</f>
        <v/>
      </c>
      <c r="AG1129" s="43">
        <f>IF($B1129="","",N($M1129)-N($AF1129))</f>
        <v/>
      </c>
      <c r="AH1129" s="43">
        <f>IF($B1129="","",N($L1129)-N($AF1129))</f>
        <v/>
      </c>
      <c r="AI1129" s="149">
        <f>IF($B1129="","",IF(N($L1129)=0,"",(N($L1129)-N($AF1129))/N($L1129)))</f>
        <v/>
      </c>
    </row>
    <row r="1130">
      <c r="A1130" s="39">
        <f>IF($B1130="","",COUNTA($B$4:$B1130))</f>
        <v/>
      </c>
      <c r="B1130" s="40" t="n">
        <v>46153</v>
      </c>
      <c r="C1130" s="41" t="n">
        <v>2965</v>
      </c>
      <c r="D1130" s="41" t="inlineStr">
        <is>
          <t>الشريف</t>
        </is>
      </c>
      <c r="E1130" s="41" t="inlineStr">
        <is>
          <t>1*40</t>
        </is>
      </c>
      <c r="F1130" s="41" t="inlineStr">
        <is>
          <t xml:space="preserve">المصرية لمستلزمات للتكيفات </t>
        </is>
      </c>
      <c r="G1130" s="41" t="inlineStr">
        <is>
          <t xml:space="preserve">انشاص / ج العبور </t>
        </is>
      </c>
      <c r="H1130" s="41" t="inlineStr">
        <is>
          <t>834120/0</t>
        </is>
      </c>
      <c r="I1130" s="41" t="inlineStr">
        <is>
          <t>ص ع ا 7541</t>
        </is>
      </c>
      <c r="J1130" s="41" t="inlineStr">
        <is>
          <t xml:space="preserve">حمود هجرس </t>
        </is>
      </c>
      <c r="K1130" s="41" t="inlineStr">
        <is>
          <t xml:space="preserve">شارون </t>
        </is>
      </c>
      <c r="L1130" s="42" t="n">
        <v>16000</v>
      </c>
      <c r="M1130" s="42" t="n">
        <v>9100</v>
      </c>
      <c r="N1130" s="42" t="n"/>
      <c r="O1130" s="42" t="n">
        <v>200</v>
      </c>
      <c r="P1130" s="42" t="n"/>
      <c r="Q1130" s="42" t="n">
        <v>6700</v>
      </c>
      <c r="R1130" s="43">
        <f>IF($B1130="","",N($S1130)-N($Q1130))</f>
        <v/>
      </c>
      <c r="S1130" s="43">
        <f>IF($B1130="","",N($L1130)+N($N1130)+N($P1130))</f>
        <v/>
      </c>
      <c r="T1130" s="42" t="n"/>
      <c r="U1130" s="42" t="n"/>
      <c r="V1130" s="42" t="n"/>
      <c r="W1130" s="42" t="n"/>
      <c r="X1130" s="42" t="n"/>
      <c r="Y1130" s="42" t="n"/>
      <c r="Z1130" s="42" t="n"/>
      <c r="AA1130" s="42" t="n"/>
      <c r="AB1130" s="42" t="n"/>
      <c r="AC1130" s="42" t="n"/>
      <c r="AD1130" s="42" t="n"/>
      <c r="AE1130" s="42" t="n"/>
      <c r="AF1130" s="43">
        <f>IF($B1130="","",SUM($T1130:$AE1130))</f>
        <v/>
      </c>
      <c r="AG1130" s="43">
        <f>IF($B1130="","",N($M1130)-N($AF1130))</f>
        <v/>
      </c>
      <c r="AH1130" s="43">
        <f>IF($B1130="","",N($L1130)-N($AF1130))</f>
        <v/>
      </c>
      <c r="AI1130" s="149">
        <f>IF($B1130="","",IF(N($L1130)=0,"",(N($L1130)-N($AF1130))/N($L1130)))</f>
        <v/>
      </c>
    </row>
    <row r="1131">
      <c r="A1131" s="39">
        <f>IF($B1131="","",COUNTA($B$4:$B1131))</f>
        <v/>
      </c>
      <c r="B1131" s="45" t="n">
        <v>46153</v>
      </c>
      <c r="C1131" s="46" t="n">
        <v>2966</v>
      </c>
      <c r="D1131" s="46" t="inlineStr">
        <is>
          <t xml:space="preserve">احمدعامر </t>
        </is>
      </c>
      <c r="E1131" s="46" t="inlineStr">
        <is>
          <t>1*40</t>
        </is>
      </c>
      <c r="F1131" s="46" t="inlineStr">
        <is>
          <t xml:space="preserve">المصرية لمستلزمات للتكيفات </t>
        </is>
      </c>
      <c r="G1131" s="46" t="inlineStr">
        <is>
          <t xml:space="preserve">اشاص / ج العبور </t>
        </is>
      </c>
      <c r="H1131" s="46" t="inlineStr">
        <is>
          <t>839787/3</t>
        </is>
      </c>
      <c r="I1131" s="46" t="inlineStr">
        <is>
          <t>ع ل ا 9882</t>
        </is>
      </c>
      <c r="J1131" s="46" t="inlineStr">
        <is>
          <t>صلاح الدين</t>
        </is>
      </c>
      <c r="K1131" s="46" t="inlineStr">
        <is>
          <t xml:space="preserve">ابو رحاب </t>
        </is>
      </c>
      <c r="L1131" s="47" t="n">
        <v>16000</v>
      </c>
      <c r="M1131" s="47" t="n">
        <v>9100</v>
      </c>
      <c r="N1131" s="47" t="n"/>
      <c r="O1131" s="47" t="n">
        <v>200</v>
      </c>
      <c r="P1131" s="47" t="n"/>
      <c r="Q1131" s="47" t="n"/>
      <c r="R1131" s="43">
        <f>IF($B1131="","",N($S1131)-N($Q1131))</f>
        <v/>
      </c>
      <c r="S1131" s="43">
        <f>IF($B1131="","",N($L1131)+N($N1131)+N($P1131))</f>
        <v/>
      </c>
      <c r="T1131" s="47" t="n"/>
      <c r="U1131" s="47" t="n"/>
      <c r="V1131" s="47" t="n"/>
      <c r="W1131" s="47" t="n"/>
      <c r="X1131" s="47" t="n"/>
      <c r="Y1131" s="47" t="n"/>
      <c r="Z1131" s="47" t="n"/>
      <c r="AA1131" s="47" t="n"/>
      <c r="AB1131" s="47" t="n"/>
      <c r="AC1131" s="47" t="n"/>
      <c r="AD1131" s="47" t="n"/>
      <c r="AE1131" s="47" t="n"/>
      <c r="AF1131" s="43">
        <f>IF($B1131="","",SUM($T1131:$AE1131))</f>
        <v/>
      </c>
      <c r="AG1131" s="43">
        <f>IF($B1131="","",N($M1131)-N($AF1131))</f>
        <v/>
      </c>
      <c r="AH1131" s="43">
        <f>IF($B1131="","",N($L1131)-N($AF1131))</f>
        <v/>
      </c>
      <c r="AI1131" s="149">
        <f>IF($B1131="","",IF(N($L1131)=0,"",(N($L1131)-N($AF1131))/N($L1131)))</f>
        <v/>
      </c>
    </row>
    <row r="1132">
      <c r="A1132" s="39">
        <f>IF($B1132="","",COUNTA($B$4:$B1132))</f>
        <v/>
      </c>
      <c r="B1132" s="40" t="n">
        <v>46153</v>
      </c>
      <c r="C1132" s="41" t="n">
        <v>2967</v>
      </c>
      <c r="D1132" s="41" t="inlineStr">
        <is>
          <t xml:space="preserve">محمد مجدى </t>
        </is>
      </c>
      <c r="E1132" s="41" t="inlineStr">
        <is>
          <t>2*20</t>
        </is>
      </c>
      <c r="F1132" s="41" t="inlineStr">
        <is>
          <t xml:space="preserve">ريجينا </t>
        </is>
      </c>
      <c r="G1132" s="41" t="inlineStr">
        <is>
          <t xml:space="preserve">السادات </t>
        </is>
      </c>
      <c r="H1132" s="41" t="inlineStr">
        <is>
          <t>337321/8-265376/5</t>
        </is>
      </c>
      <c r="I1132" s="41" t="inlineStr">
        <is>
          <t>س ر ا 6671</t>
        </is>
      </c>
      <c r="J1132" s="41" t="inlineStr">
        <is>
          <t xml:space="preserve">احمد الحسينى </t>
        </is>
      </c>
      <c r="K1132" s="41" t="inlineStr">
        <is>
          <t xml:space="preserve">حمو مرزوق </t>
        </is>
      </c>
      <c r="L1132" s="42" t="n">
        <v>17000</v>
      </c>
      <c r="M1132" s="42" t="n">
        <v>9100</v>
      </c>
      <c r="N1132" s="42" t="n"/>
      <c r="O1132" s="42" t="n">
        <v>200</v>
      </c>
      <c r="P1132" s="42" t="n"/>
      <c r="Q1132" s="42" t="n">
        <v>7700</v>
      </c>
      <c r="R1132" s="43">
        <f>IF($B1132="","",N($S1132)-N($Q1132))</f>
        <v/>
      </c>
      <c r="S1132" s="43">
        <f>IF($B1132="","",N($L1132)+N($N1132)+N($P1132))</f>
        <v/>
      </c>
      <c r="T1132" s="42" t="n"/>
      <c r="U1132" s="42" t="n"/>
      <c r="V1132" s="42" t="n"/>
      <c r="W1132" s="42" t="n"/>
      <c r="X1132" s="42" t="n"/>
      <c r="Y1132" s="42" t="n"/>
      <c r="Z1132" s="42" t="n"/>
      <c r="AA1132" s="42" t="n"/>
      <c r="AB1132" s="42" t="n"/>
      <c r="AC1132" s="42" t="n"/>
      <c r="AD1132" s="42" t="n"/>
      <c r="AE1132" s="42" t="n"/>
      <c r="AF1132" s="43">
        <f>IF($B1132="","",SUM($T1132:$AE1132))</f>
        <v/>
      </c>
      <c r="AG1132" s="43">
        <f>IF($B1132="","",N($M1132)-N($AF1132))</f>
        <v/>
      </c>
      <c r="AH1132" s="43">
        <f>IF($B1132="","",N($L1132)-N($AF1132))</f>
        <v/>
      </c>
      <c r="AI1132" s="149">
        <f>IF($B1132="","",IF(N($L1132)=0,"",(N($L1132)-N($AF1132))/N($L1132)))</f>
        <v/>
      </c>
    </row>
    <row r="1133">
      <c r="A1133" s="39">
        <f>IF($B1133="","",COUNTA($B$4:$B1133))</f>
        <v/>
      </c>
      <c r="B1133" s="45" t="n">
        <v>46153</v>
      </c>
      <c r="C1133" s="46" t="n">
        <v>2968</v>
      </c>
      <c r="D1133" s="46" t="inlineStr">
        <is>
          <t xml:space="preserve">محمد مجدى </t>
        </is>
      </c>
      <c r="E1133" s="46" t="inlineStr">
        <is>
          <t>1*20</t>
        </is>
      </c>
      <c r="F1133" s="46" t="inlineStr">
        <is>
          <t xml:space="preserve">ريجينا </t>
        </is>
      </c>
      <c r="G1133" s="46" t="inlineStr">
        <is>
          <t xml:space="preserve">السادات </t>
        </is>
      </c>
      <c r="H1133" s="46" t="inlineStr">
        <is>
          <t>216914/5</t>
        </is>
      </c>
      <c r="I1133" s="46" t="inlineStr">
        <is>
          <t>ع ر ب 1573</t>
        </is>
      </c>
      <c r="J1133" s="46" t="inlineStr">
        <is>
          <t xml:space="preserve">محمد السيد </t>
        </is>
      </c>
      <c r="K1133" s="46" t="inlineStr">
        <is>
          <t xml:space="preserve">حمو مرزوق </t>
        </is>
      </c>
      <c r="L1133" s="47" t="n">
        <v>12500</v>
      </c>
      <c r="M1133" s="47" t="n">
        <v>8100</v>
      </c>
      <c r="N1133" s="47" t="n"/>
      <c r="O1133" s="47" t="n">
        <v>200</v>
      </c>
      <c r="P1133" s="47" t="n"/>
      <c r="Q1133" s="47" t="n">
        <v>4200</v>
      </c>
      <c r="R1133" s="43">
        <f>IF($B1133="","",N($S1133)-N($Q1133))</f>
        <v/>
      </c>
      <c r="S1133" s="43">
        <f>IF($B1133="","",N($L1133)+N($N1133)+N($P1133))</f>
        <v/>
      </c>
      <c r="T1133" s="47" t="n"/>
      <c r="U1133" s="47" t="n"/>
      <c r="V1133" s="47" t="n"/>
      <c r="W1133" s="47" t="n"/>
      <c r="X1133" s="47" t="n"/>
      <c r="Y1133" s="47" t="n"/>
      <c r="Z1133" s="47" t="n"/>
      <c r="AA1133" s="47" t="n"/>
      <c r="AB1133" s="47" t="n"/>
      <c r="AC1133" s="47" t="n"/>
      <c r="AD1133" s="47" t="n"/>
      <c r="AE1133" s="47" t="n"/>
      <c r="AF1133" s="43">
        <f>IF($B1133="","",SUM($T1133:$AE1133))</f>
        <v/>
      </c>
      <c r="AG1133" s="43">
        <f>IF($B1133="","",N($M1133)-N($AF1133))</f>
        <v/>
      </c>
      <c r="AH1133" s="43">
        <f>IF($B1133="","",N($L1133)-N($AF1133))</f>
        <v/>
      </c>
      <c r="AI1133" s="149">
        <f>IF($B1133="","",IF(N($L1133)=0,"",(N($L1133)-N($AF1133))/N($L1133)))</f>
        <v/>
      </c>
    </row>
    <row r="1134">
      <c r="A1134" s="39">
        <f>IF($B1134="","",COUNTA($B$4:$B1134))</f>
        <v/>
      </c>
      <c r="B1134" s="40" t="n">
        <v>46153</v>
      </c>
      <c r="C1134" s="41" t="n">
        <v>2969</v>
      </c>
      <c r="D1134" s="41" t="inlineStr">
        <is>
          <t>المكتب</t>
        </is>
      </c>
      <c r="E1134" s="41" t="inlineStr">
        <is>
          <t>2*20</t>
        </is>
      </c>
      <c r="F1134" s="41" t="inlineStr">
        <is>
          <t xml:space="preserve">ريجينا </t>
        </is>
      </c>
      <c r="G1134" s="41" t="inlineStr">
        <is>
          <t xml:space="preserve">السادات </t>
        </is>
      </c>
      <c r="H1134" s="41" t="inlineStr">
        <is>
          <t>236055/8-728416/5</t>
        </is>
      </c>
      <c r="I1134" s="41" t="inlineStr">
        <is>
          <t>س ع م 8737</t>
        </is>
      </c>
      <c r="J1134" s="41" t="inlineStr">
        <is>
          <t xml:space="preserve">جلال حسنى </t>
        </is>
      </c>
      <c r="K1134" s="41" t="inlineStr">
        <is>
          <t xml:space="preserve">المكتب </t>
        </is>
      </c>
      <c r="L1134" s="42" t="n">
        <v>17500</v>
      </c>
      <c r="M1134" s="42" t="n">
        <v>3100</v>
      </c>
      <c r="N1134" s="42" t="n"/>
      <c r="O1134" s="42" t="n"/>
      <c r="P1134" s="42" t="n"/>
      <c r="Q1134" s="42" t="n">
        <v>14400</v>
      </c>
      <c r="R1134" s="43">
        <f>IF($B1134="","",N($S1134)-N($Q1134))</f>
        <v/>
      </c>
      <c r="S1134" s="43">
        <f>IF($B1134="","",N($L1134)+N($N1134)+N($P1134))</f>
        <v/>
      </c>
      <c r="T1134" s="42" t="n"/>
      <c r="U1134" s="42" t="n"/>
      <c r="V1134" s="42" t="n"/>
      <c r="W1134" s="42" t="n"/>
      <c r="X1134" s="42" t="n"/>
      <c r="Y1134" s="42" t="n"/>
      <c r="Z1134" s="42" t="n"/>
      <c r="AA1134" s="42" t="n"/>
      <c r="AB1134" s="42" t="n"/>
      <c r="AC1134" s="42" t="n"/>
      <c r="AD1134" s="42" t="n"/>
      <c r="AE1134" s="42" t="n"/>
      <c r="AF1134" s="43">
        <f>IF($B1134="","",SUM($T1134:$AE1134))</f>
        <v/>
      </c>
      <c r="AG1134" s="43">
        <f>IF($B1134="","",N($M1134)-N($AF1134))</f>
        <v/>
      </c>
      <c r="AH1134" s="43">
        <f>IF($B1134="","",N($L1134)-N($AF1134))</f>
        <v/>
      </c>
      <c r="AI1134" s="149">
        <f>IF($B1134="","",IF(N($L1134)=0,"",(N($L1134)-N($AF1134))/N($L1134)))</f>
        <v/>
      </c>
    </row>
    <row r="1135">
      <c r="A1135" s="39">
        <f>IF($B1135="","",COUNTA($B$4:$B1135))</f>
        <v/>
      </c>
      <c r="B1135" s="45" t="n">
        <v>46153</v>
      </c>
      <c r="C1135" s="46" t="n">
        <v>2687</v>
      </c>
      <c r="D1135" s="46" t="inlineStr">
        <is>
          <t xml:space="preserve">عتريس مخيمر </t>
        </is>
      </c>
      <c r="E1135" s="46" t="inlineStr">
        <is>
          <t>2*20</t>
        </is>
      </c>
      <c r="F1135" s="46" t="inlineStr">
        <is>
          <t xml:space="preserve">ريجينا </t>
        </is>
      </c>
      <c r="G1135" s="46" t="inlineStr">
        <is>
          <t xml:space="preserve">السادات </t>
        </is>
      </c>
      <c r="H1135" s="46" t="n"/>
      <c r="I1135" s="46" t="inlineStr">
        <is>
          <t>ب ص ل 2574</t>
        </is>
      </c>
      <c r="J1135" s="46" t="inlineStr">
        <is>
          <t xml:space="preserve">محمد البحيرى </t>
        </is>
      </c>
      <c r="K1135" s="46" t="inlineStr">
        <is>
          <t xml:space="preserve">احمد خليف </t>
        </is>
      </c>
      <c r="L1135" s="47" t="n">
        <v>17000</v>
      </c>
      <c r="M1135" s="47" t="n">
        <v>8100</v>
      </c>
      <c r="N1135" s="47" t="n"/>
      <c r="O1135" s="47" t="n">
        <v>200</v>
      </c>
      <c r="P1135" s="47" t="n">
        <v>2000</v>
      </c>
      <c r="Q1135" s="47" t="n">
        <v>10700</v>
      </c>
      <c r="R1135" s="43">
        <f>IF($B1135="","",N($S1135)-N($Q1135))</f>
        <v/>
      </c>
      <c r="S1135" s="43">
        <f>IF($B1135="","",N($L1135)+N($N1135)+N($P1135))</f>
        <v/>
      </c>
      <c r="T1135" s="47" t="n"/>
      <c r="U1135" s="47" t="n"/>
      <c r="V1135" s="47" t="n"/>
      <c r="W1135" s="47" t="n"/>
      <c r="X1135" s="47" t="n"/>
      <c r="Y1135" s="47" t="n"/>
      <c r="Z1135" s="47" t="n"/>
      <c r="AA1135" s="47" t="n"/>
      <c r="AB1135" s="47" t="n"/>
      <c r="AC1135" s="47" t="n"/>
      <c r="AD1135" s="47" t="n"/>
      <c r="AE1135" s="47" t="n"/>
      <c r="AF1135" s="43">
        <f>IF($B1135="","",SUM($T1135:$AE1135))</f>
        <v/>
      </c>
      <c r="AG1135" s="43">
        <f>IF($B1135="","",N($M1135)-N($AF1135))</f>
        <v/>
      </c>
      <c r="AH1135" s="43">
        <f>IF($B1135="","",N($L1135)-N($AF1135))</f>
        <v/>
      </c>
      <c r="AI1135" s="149">
        <f>IF($B1135="","",IF(N($L1135)=0,"",(N($L1135)-N($AF1135))/N($L1135)))</f>
        <v/>
      </c>
    </row>
    <row r="1136">
      <c r="A1136" s="39">
        <f>IF($B1136="","",COUNTA($B$4:$B1136))</f>
        <v/>
      </c>
      <c r="B1136" s="40" t="n">
        <v>46153</v>
      </c>
      <c r="C1136" s="41" t="n">
        <v>2682</v>
      </c>
      <c r="D1136" s="41" t="inlineStr">
        <is>
          <t xml:space="preserve">مسلم صبرة </t>
        </is>
      </c>
      <c r="E1136" s="41" t="inlineStr">
        <is>
          <t>1*40</t>
        </is>
      </c>
      <c r="F1136" s="41" t="inlineStr">
        <is>
          <t xml:space="preserve">اية اس </t>
        </is>
      </c>
      <c r="G1136" s="41" t="inlineStr">
        <is>
          <t>العامرية</t>
        </is>
      </c>
      <c r="H1136" s="41" t="inlineStr">
        <is>
          <t>450225/1</t>
        </is>
      </c>
      <c r="I1136" s="41" t="inlineStr">
        <is>
          <t>س ا و 3696</t>
        </is>
      </c>
      <c r="J1136" s="41" t="inlineStr">
        <is>
          <t xml:space="preserve">طارق الجمل </t>
        </is>
      </c>
      <c r="K1136" s="41" t="inlineStr">
        <is>
          <t xml:space="preserve">مسلم صبرة </t>
        </is>
      </c>
      <c r="L1136" s="42" t="n">
        <v>6000</v>
      </c>
      <c r="M1136" s="42" t="n">
        <v>5000</v>
      </c>
      <c r="N1136" s="42" t="n"/>
      <c r="O1136" s="42" t="n"/>
      <c r="P1136" s="42" t="n"/>
      <c r="Q1136" s="42" t="n">
        <v>1000</v>
      </c>
      <c r="R1136" s="43">
        <f>IF($B1136="","",N($S1136)-N($Q1136))</f>
        <v/>
      </c>
      <c r="S1136" s="43">
        <f>IF($B1136="","",N($L1136)+N($N1136)+N($P1136))</f>
        <v/>
      </c>
      <c r="T1136" s="42" t="n"/>
      <c r="U1136" s="42" t="n"/>
      <c r="V1136" s="42" t="n"/>
      <c r="W1136" s="42" t="n"/>
      <c r="X1136" s="42" t="n"/>
      <c r="Y1136" s="42" t="n"/>
      <c r="Z1136" s="42" t="n"/>
      <c r="AA1136" s="42" t="n"/>
      <c r="AB1136" s="42" t="n"/>
      <c r="AC1136" s="42" t="n"/>
      <c r="AD1136" s="42" t="n"/>
      <c r="AE1136" s="42" t="n"/>
      <c r="AF1136" s="43">
        <f>IF($B1136="","",SUM($T1136:$AE1136))</f>
        <v/>
      </c>
      <c r="AG1136" s="43">
        <f>IF($B1136="","",N($M1136)-N($AF1136))</f>
        <v/>
      </c>
      <c r="AH1136" s="43">
        <f>IF($B1136="","",N($L1136)-N($AF1136))</f>
        <v/>
      </c>
      <c r="AI1136" s="149">
        <f>IF($B1136="","",IF(N($L1136)=0,"",(N($L1136)-N($AF1136))/N($L1136)))</f>
        <v/>
      </c>
    </row>
    <row r="1137">
      <c r="A1137" s="39">
        <f>IF($B1137="","",COUNTA($B$4:$B1137))</f>
        <v/>
      </c>
      <c r="B1137" s="45" t="n">
        <v>46153</v>
      </c>
      <c r="C1137" s="46" t="n">
        <v>2681</v>
      </c>
      <c r="D1137" s="46" t="inlineStr">
        <is>
          <t xml:space="preserve">الشندويلى </t>
        </is>
      </c>
      <c r="E1137" s="46" t="inlineStr">
        <is>
          <t>1*40</t>
        </is>
      </c>
      <c r="F1137" s="46" t="inlineStr">
        <is>
          <t xml:space="preserve">اية اس </t>
        </is>
      </c>
      <c r="G1137" s="46" t="inlineStr">
        <is>
          <t>العامرية</t>
        </is>
      </c>
      <c r="H1137" s="46" t="inlineStr">
        <is>
          <t>795970/0</t>
        </is>
      </c>
      <c r="I1137" s="46" t="inlineStr">
        <is>
          <t>س ن ف 9371</t>
        </is>
      </c>
      <c r="J1137" s="46" t="inlineStr">
        <is>
          <t xml:space="preserve">محمد طلعت </t>
        </is>
      </c>
      <c r="K1137" s="46" t="inlineStr">
        <is>
          <t xml:space="preserve">ابراهيم الشندويلى </t>
        </is>
      </c>
      <c r="L1137" s="47" t="n">
        <v>6000</v>
      </c>
      <c r="M1137" s="47" t="n">
        <v>5100</v>
      </c>
      <c r="N1137" s="47" t="n"/>
      <c r="O1137" s="47" t="n"/>
      <c r="P1137" s="47" t="n"/>
      <c r="Q1137" s="47" t="n">
        <v>900</v>
      </c>
      <c r="R1137" s="43">
        <f>IF($B1137="","",N($S1137)-N($Q1137))</f>
        <v/>
      </c>
      <c r="S1137" s="43">
        <f>IF($B1137="","",N($L1137)+N($N1137)+N($P1137))</f>
        <v/>
      </c>
      <c r="T1137" s="47" t="n"/>
      <c r="U1137" s="47" t="n"/>
      <c r="V1137" s="47" t="n"/>
      <c r="W1137" s="47" t="n"/>
      <c r="X1137" s="47" t="n"/>
      <c r="Y1137" s="47" t="n"/>
      <c r="Z1137" s="47" t="n"/>
      <c r="AA1137" s="47" t="n"/>
      <c r="AB1137" s="47" t="n"/>
      <c r="AC1137" s="47" t="n"/>
      <c r="AD1137" s="47" t="n"/>
      <c r="AE1137" s="47" t="n"/>
      <c r="AF1137" s="43">
        <f>IF($B1137="","",SUM($T1137:$AE1137))</f>
        <v/>
      </c>
      <c r="AG1137" s="43">
        <f>IF($B1137="","",N($M1137)-N($AF1137))</f>
        <v/>
      </c>
      <c r="AH1137" s="43">
        <f>IF($B1137="","",N($L1137)-N($AF1137))</f>
        <v/>
      </c>
      <c r="AI1137" s="149">
        <f>IF($B1137="","",IF(N($L1137)=0,"",(N($L1137)-N($AF1137))/N($L1137)))</f>
        <v/>
      </c>
    </row>
    <row r="1138">
      <c r="A1138" s="39">
        <f>IF($B1138="","",COUNTA($B$4:$B1138))</f>
        <v/>
      </c>
      <c r="B1138" s="40" t="n">
        <v>46153</v>
      </c>
      <c r="C1138" s="41" t="n">
        <v>2680</v>
      </c>
      <c r="D1138" s="41" t="inlineStr">
        <is>
          <t xml:space="preserve">محمد جاد </t>
        </is>
      </c>
      <c r="E1138" s="41" t="inlineStr">
        <is>
          <t>1*40</t>
        </is>
      </c>
      <c r="F1138" s="41" t="inlineStr">
        <is>
          <t xml:space="preserve">اية اس </t>
        </is>
      </c>
      <c r="G1138" s="41" t="inlineStr">
        <is>
          <t>العامرية</t>
        </is>
      </c>
      <c r="H1138" s="41" t="inlineStr">
        <is>
          <t>593835/4</t>
        </is>
      </c>
      <c r="I1138" s="41" t="inlineStr">
        <is>
          <t>ع ن س 4361</t>
        </is>
      </c>
      <c r="J1138" s="41" t="inlineStr">
        <is>
          <t xml:space="preserve">محمد جاد </t>
        </is>
      </c>
      <c r="K1138" s="41" t="inlineStr">
        <is>
          <t xml:space="preserve">محمد جاد </t>
        </is>
      </c>
      <c r="L1138" s="42" t="n">
        <v>6000</v>
      </c>
      <c r="M1138" s="42" t="n">
        <v>5100</v>
      </c>
      <c r="N1138" s="42" t="n"/>
      <c r="O1138" s="42" t="n"/>
      <c r="P1138" s="42" t="n"/>
      <c r="Q1138" s="42" t="n">
        <v>900</v>
      </c>
      <c r="R1138" s="43">
        <f>IF($B1138="","",N($S1138)-N($Q1138))</f>
        <v/>
      </c>
      <c r="S1138" s="43">
        <f>IF($B1138="","",N($L1138)+N($N1138)+N($P1138))</f>
        <v/>
      </c>
      <c r="T1138" s="42" t="n"/>
      <c r="U1138" s="42" t="n"/>
      <c r="V1138" s="42" t="n"/>
      <c r="W1138" s="42" t="n"/>
      <c r="X1138" s="42" t="n"/>
      <c r="Y1138" s="42" t="n"/>
      <c r="Z1138" s="42" t="n"/>
      <c r="AA1138" s="42" t="n"/>
      <c r="AB1138" s="42" t="n"/>
      <c r="AC1138" s="42" t="n"/>
      <c r="AD1138" s="42" t="n"/>
      <c r="AE1138" s="42" t="n"/>
      <c r="AF1138" s="43">
        <f>IF($B1138="","",SUM($T1138:$AE1138))</f>
        <v/>
      </c>
      <c r="AG1138" s="43">
        <f>IF($B1138="","",N($M1138)-N($AF1138))</f>
        <v/>
      </c>
      <c r="AH1138" s="43">
        <f>IF($B1138="","",N($L1138)-N($AF1138))</f>
        <v/>
      </c>
      <c r="AI1138" s="149">
        <f>IF($B1138="","",IF(N($L1138)=0,"",(N($L1138)-N($AF1138))/N($L1138)))</f>
        <v/>
      </c>
    </row>
    <row r="1139">
      <c r="A1139" s="39">
        <f>IF($B1139="","",COUNTA($B$4:$B1139))</f>
        <v/>
      </c>
      <c r="B1139" s="45" t="n">
        <v>46153</v>
      </c>
      <c r="C1139" s="46" t="n">
        <v>2679</v>
      </c>
      <c r="D1139" s="46" t="inlineStr">
        <is>
          <t xml:space="preserve">صابر عاشور </t>
        </is>
      </c>
      <c r="E1139" s="46" t="inlineStr">
        <is>
          <t>1*40</t>
        </is>
      </c>
      <c r="F1139" s="46" t="inlineStr">
        <is>
          <t xml:space="preserve">اية اس </t>
        </is>
      </c>
      <c r="G1139" s="46" t="inlineStr">
        <is>
          <t xml:space="preserve">العامرية </t>
        </is>
      </c>
      <c r="H1139" s="46" t="inlineStr">
        <is>
          <t>593614/0</t>
        </is>
      </c>
      <c r="I1139" s="46" t="inlineStr">
        <is>
          <t>س ن ا 5634</t>
        </is>
      </c>
      <c r="J1139" s="46" t="inlineStr">
        <is>
          <t xml:space="preserve">صابر عاشور </t>
        </is>
      </c>
      <c r="K1139" s="46" t="inlineStr">
        <is>
          <t xml:space="preserve">صابر عاشور </t>
        </is>
      </c>
      <c r="L1139" s="47" t="n">
        <v>6000</v>
      </c>
      <c r="M1139" s="47" t="n">
        <v>5000</v>
      </c>
      <c r="N1139" s="47" t="n"/>
      <c r="O1139" s="47" t="n"/>
      <c r="P1139" s="47" t="n"/>
      <c r="Q1139" s="47" t="n">
        <v>1000</v>
      </c>
      <c r="R1139" s="43">
        <f>IF($B1139="","",N($S1139)-N($Q1139))</f>
        <v/>
      </c>
      <c r="S1139" s="43">
        <f>IF($B1139="","",N($L1139)+N($N1139)+N($P1139))</f>
        <v/>
      </c>
      <c r="T1139" s="47" t="n"/>
      <c r="U1139" s="47" t="n"/>
      <c r="V1139" s="47" t="n"/>
      <c r="W1139" s="47" t="n"/>
      <c r="X1139" s="47" t="n"/>
      <c r="Y1139" s="47" t="n"/>
      <c r="Z1139" s="47" t="n"/>
      <c r="AA1139" s="47" t="n"/>
      <c r="AB1139" s="47" t="n"/>
      <c r="AC1139" s="47" t="n"/>
      <c r="AD1139" s="47" t="n"/>
      <c r="AE1139" s="47" t="n"/>
      <c r="AF1139" s="43">
        <f>IF($B1139="","",SUM($T1139:$AE1139))</f>
        <v/>
      </c>
      <c r="AG1139" s="43">
        <f>IF($B1139="","",N($M1139)-N($AF1139))</f>
        <v/>
      </c>
      <c r="AH1139" s="43">
        <f>IF($B1139="","",N($L1139)-N($AF1139))</f>
        <v/>
      </c>
      <c r="AI1139" s="149">
        <f>IF($B1139="","",IF(N($L1139)=0,"",(N($L1139)-N($AF1139))/N($L1139)))</f>
        <v/>
      </c>
    </row>
    <row r="1140">
      <c r="A1140" s="39">
        <f>IF($B1140="","",COUNTA($B$4:$B1140))</f>
        <v/>
      </c>
      <c r="B1140" s="40" t="n">
        <v>46153</v>
      </c>
      <c r="C1140" s="41" t="n">
        <v>2684</v>
      </c>
      <c r="D1140" s="41" t="inlineStr">
        <is>
          <t xml:space="preserve">ماجد فاست </t>
        </is>
      </c>
      <c r="E1140" s="41" t="inlineStr">
        <is>
          <t>1*20 فلا</t>
        </is>
      </c>
      <c r="F1140" s="41" t="inlineStr">
        <is>
          <t xml:space="preserve">اية اس </t>
        </is>
      </c>
      <c r="G1140" s="41" t="inlineStr">
        <is>
          <t>العامرية</t>
        </is>
      </c>
      <c r="H1140" s="41" t="inlineStr">
        <is>
          <t>350044/0</t>
        </is>
      </c>
      <c r="I1140" s="41" t="inlineStr">
        <is>
          <t>س ع ه 6436</t>
        </is>
      </c>
      <c r="J1140" s="41" t="inlineStr">
        <is>
          <t xml:space="preserve">محمود محمد </t>
        </is>
      </c>
      <c r="K1140" s="41" t="inlineStr">
        <is>
          <t xml:space="preserve">ا/ماجد </t>
        </is>
      </c>
      <c r="L1140" s="42" t="n">
        <v>15000</v>
      </c>
      <c r="M1140" s="42" t="n">
        <v>5000</v>
      </c>
      <c r="N1140" s="42" t="n"/>
      <c r="O1140" s="42" t="n"/>
      <c r="P1140" s="42" t="n"/>
      <c r="Q1140" s="42" t="n">
        <v>10000</v>
      </c>
      <c r="R1140" s="43">
        <f>IF($B1140="","",N($S1140)-N($Q1140))</f>
        <v/>
      </c>
      <c r="S1140" s="43">
        <f>IF($B1140="","",N($L1140)+N($N1140)+N($P1140))</f>
        <v/>
      </c>
      <c r="T1140" s="42" t="n"/>
      <c r="U1140" s="42" t="n"/>
      <c r="V1140" s="42" t="n"/>
      <c r="W1140" s="42" t="n"/>
      <c r="X1140" s="42" t="n"/>
      <c r="Y1140" s="42" t="n"/>
      <c r="Z1140" s="42" t="n"/>
      <c r="AA1140" s="42" t="n"/>
      <c r="AB1140" s="42" t="n"/>
      <c r="AC1140" s="42" t="n"/>
      <c r="AD1140" s="42" t="n"/>
      <c r="AE1140" s="42" t="n"/>
      <c r="AF1140" s="43">
        <f>IF($B1140="","",SUM($T1140:$AE1140))</f>
        <v/>
      </c>
      <c r="AG1140" s="43">
        <f>IF($B1140="","",N($M1140)-N($AF1140))</f>
        <v/>
      </c>
      <c r="AH1140" s="43">
        <f>IF($B1140="","",N($L1140)-N($AF1140))</f>
        <v/>
      </c>
      <c r="AI1140" s="149">
        <f>IF($B1140="","",IF(N($L1140)=0,"",(N($L1140)-N($AF1140))/N($L1140)))</f>
        <v/>
      </c>
    </row>
    <row r="1141">
      <c r="A1141" s="39">
        <f>IF($B1141="","",COUNTA($B$4:$B1141))</f>
        <v/>
      </c>
      <c r="B1141" s="45" t="n">
        <v>46153</v>
      </c>
      <c r="C1141" s="46" t="n">
        <v>2683</v>
      </c>
      <c r="D1141" s="46" t="inlineStr">
        <is>
          <t xml:space="preserve">مسلم صبرة </t>
        </is>
      </c>
      <c r="E1141" s="46" t="inlineStr">
        <is>
          <t>1*40</t>
        </is>
      </c>
      <c r="F1141" s="46" t="inlineStr">
        <is>
          <t xml:space="preserve">اية اس </t>
        </is>
      </c>
      <c r="G1141" s="46" t="inlineStr">
        <is>
          <t xml:space="preserve">العامرية </t>
        </is>
      </c>
      <c r="H1141" s="46" t="inlineStr">
        <is>
          <t>450550/1</t>
        </is>
      </c>
      <c r="I1141" s="46" t="inlineStr">
        <is>
          <t>س د ه 5615</t>
        </is>
      </c>
      <c r="J1141" s="46" t="inlineStr">
        <is>
          <t xml:space="preserve">هانى متولى </t>
        </is>
      </c>
      <c r="K1141" s="46" t="inlineStr">
        <is>
          <t xml:space="preserve">مسلم صبرة </t>
        </is>
      </c>
      <c r="L1141" s="47" t="n">
        <v>6000</v>
      </c>
      <c r="M1141" s="47" t="n">
        <v>5000</v>
      </c>
      <c r="N1141" s="47" t="n"/>
      <c r="O1141" s="47" t="n"/>
      <c r="P1141" s="47" t="n"/>
      <c r="Q1141" s="47" t="n">
        <v>1000</v>
      </c>
      <c r="R1141" s="43">
        <f>IF($B1141="","",N($S1141)-N($Q1141))</f>
        <v/>
      </c>
      <c r="S1141" s="43">
        <f>IF($B1141="","",N($L1141)+N($N1141)+N($P1141))</f>
        <v/>
      </c>
      <c r="T1141" s="47" t="n"/>
      <c r="U1141" s="47" t="n"/>
      <c r="V1141" s="47" t="n"/>
      <c r="W1141" s="47" t="n"/>
      <c r="X1141" s="47" t="n"/>
      <c r="Y1141" s="47" t="n"/>
      <c r="Z1141" s="47" t="n"/>
      <c r="AA1141" s="47" t="n"/>
      <c r="AB1141" s="47" t="n"/>
      <c r="AC1141" s="47" t="n"/>
      <c r="AD1141" s="47" t="n"/>
      <c r="AE1141" s="47" t="n"/>
      <c r="AF1141" s="43">
        <f>IF($B1141="","",SUM($T1141:$AE1141))</f>
        <v/>
      </c>
      <c r="AG1141" s="43">
        <f>IF($B1141="","",N($M1141)-N($AF1141))</f>
        <v/>
      </c>
      <c r="AH1141" s="43">
        <f>IF($B1141="","",N($L1141)-N($AF1141))</f>
        <v/>
      </c>
      <c r="AI1141" s="149">
        <f>IF($B1141="","",IF(N($L1141)=0,"",(N($L1141)-N($AF1141))/N($L1141)))</f>
        <v/>
      </c>
    </row>
    <row r="1142">
      <c r="A1142" s="39">
        <f>IF($B1142="","",COUNTA($B$4:$B1142))</f>
        <v/>
      </c>
      <c r="B1142" s="40" t="n">
        <v>46153</v>
      </c>
      <c r="C1142" s="41" t="n">
        <v>2686</v>
      </c>
      <c r="D1142" s="41" t="inlineStr">
        <is>
          <t xml:space="preserve">الانصارى </t>
        </is>
      </c>
      <c r="E1142" s="41" t="inlineStr">
        <is>
          <t>1*40</t>
        </is>
      </c>
      <c r="F1142" s="41" t="inlineStr">
        <is>
          <t>دلتا للتجارة</t>
        </is>
      </c>
      <c r="G1142" s="41" t="inlineStr">
        <is>
          <t xml:space="preserve">م بدر </t>
        </is>
      </c>
      <c r="H1142" s="41" t="inlineStr">
        <is>
          <t>857368/0</t>
        </is>
      </c>
      <c r="I1142" s="41" t="inlineStr">
        <is>
          <t>ط ف ر 1474</t>
        </is>
      </c>
      <c r="J1142" s="41" t="inlineStr">
        <is>
          <t xml:space="preserve">جمال على </t>
        </is>
      </c>
      <c r="K1142" s="41" t="inlineStr">
        <is>
          <t xml:space="preserve">كريم خليف </t>
        </is>
      </c>
      <c r="L1142" s="42" t="n">
        <v>15000</v>
      </c>
      <c r="M1142" s="42" t="n">
        <v>8100</v>
      </c>
      <c r="N1142" s="42" t="n"/>
      <c r="O1142" s="42" t="n">
        <v>200</v>
      </c>
      <c r="P1142" s="42" t="n"/>
      <c r="Q1142" s="42" t="n">
        <v>6700</v>
      </c>
      <c r="R1142" s="43">
        <f>IF($B1142="","",N($S1142)-N($Q1142))</f>
        <v/>
      </c>
      <c r="S1142" s="43">
        <f>IF($B1142="","",N($L1142)+N($N1142)+N($P1142))</f>
        <v/>
      </c>
      <c r="T1142" s="42" t="n"/>
      <c r="U1142" s="42" t="n"/>
      <c r="V1142" s="42" t="n"/>
      <c r="W1142" s="42" t="n"/>
      <c r="X1142" s="42" t="n"/>
      <c r="Y1142" s="42" t="n"/>
      <c r="Z1142" s="42" t="n"/>
      <c r="AA1142" s="42" t="n"/>
      <c r="AB1142" s="42" t="n"/>
      <c r="AC1142" s="42" t="n"/>
      <c r="AD1142" s="42" t="n"/>
      <c r="AE1142" s="42" t="n"/>
      <c r="AF1142" s="43">
        <f>IF($B1142="","",SUM($T1142:$AE1142))</f>
        <v/>
      </c>
      <c r="AG1142" s="43">
        <f>IF($B1142="","",N($M1142)-N($AF1142))</f>
        <v/>
      </c>
      <c r="AH1142" s="43">
        <f>IF($B1142="","",N($L1142)-N($AF1142))</f>
        <v/>
      </c>
      <c r="AI1142" s="149">
        <f>IF($B1142="","",IF(N($L1142)=0,"",(N($L1142)-N($AF1142))/N($L1142)))</f>
        <v/>
      </c>
    </row>
    <row r="1143">
      <c r="A1143" s="39">
        <f>IF($B1143="","",COUNTA($B$4:$B1143))</f>
        <v/>
      </c>
      <c r="B1143" s="45" t="n">
        <v>46153</v>
      </c>
      <c r="C1143" s="46" t="n">
        <v>2685</v>
      </c>
      <c r="D1143" s="46" t="inlineStr">
        <is>
          <t xml:space="preserve">احمد سونة </t>
        </is>
      </c>
      <c r="E1143" s="46" t="inlineStr">
        <is>
          <t>1*40</t>
        </is>
      </c>
      <c r="F1143" s="46" t="inlineStr">
        <is>
          <t>دلتا للتجارة</t>
        </is>
      </c>
      <c r="G1143" s="46" t="inlineStr">
        <is>
          <t xml:space="preserve">م بدر </t>
        </is>
      </c>
      <c r="H1143" s="46" t="inlineStr">
        <is>
          <t>688903/7</t>
        </is>
      </c>
      <c r="I1143" s="46" t="inlineStr">
        <is>
          <t>ع ا ل 9323</t>
        </is>
      </c>
      <c r="J1143" s="46" t="inlineStr">
        <is>
          <t xml:space="preserve">فتحى احمد </t>
        </is>
      </c>
      <c r="K1143" s="46" t="inlineStr">
        <is>
          <t xml:space="preserve">اشرف الحجرى </t>
        </is>
      </c>
      <c r="L1143" s="47" t="n">
        <v>15500</v>
      </c>
      <c r="M1143" s="47" t="n">
        <v>8100</v>
      </c>
      <c r="N1143" s="47" t="n"/>
      <c r="O1143" s="47" t="n">
        <v>200</v>
      </c>
      <c r="P1143" s="47" t="n"/>
      <c r="Q1143" s="47" t="n">
        <v>7200</v>
      </c>
      <c r="R1143" s="43">
        <f>IF($B1143="","",N($S1143)-N($Q1143))</f>
        <v/>
      </c>
      <c r="S1143" s="43">
        <f>IF($B1143="","",N($L1143)+N($N1143)+N($P1143))</f>
        <v/>
      </c>
      <c r="T1143" s="47" t="n"/>
      <c r="U1143" s="47" t="n"/>
      <c r="V1143" s="47" t="n"/>
      <c r="W1143" s="47" t="n"/>
      <c r="X1143" s="47" t="n"/>
      <c r="Y1143" s="47" t="n"/>
      <c r="Z1143" s="47" t="n"/>
      <c r="AA1143" s="47" t="n"/>
      <c r="AB1143" s="47" t="n"/>
      <c r="AC1143" s="47" t="n"/>
      <c r="AD1143" s="47" t="n"/>
      <c r="AE1143" s="47" t="n"/>
      <c r="AF1143" s="43">
        <f>IF($B1143="","",SUM($T1143:$AE1143))</f>
        <v/>
      </c>
      <c r="AG1143" s="43">
        <f>IF($B1143="","",N($M1143)-N($AF1143))</f>
        <v/>
      </c>
      <c r="AH1143" s="43">
        <f>IF($B1143="","",N($L1143)-N($AF1143))</f>
        <v/>
      </c>
      <c r="AI1143" s="149">
        <f>IF($B1143="","",IF(N($L1143)=0,"",(N($L1143)-N($AF1143))/N($L1143)))</f>
        <v/>
      </c>
    </row>
    <row r="1144">
      <c r="A1144" s="39">
        <f>IF($B1144="","",COUNTA($B$4:$B1144))</f>
        <v/>
      </c>
      <c r="B1144" s="40" t="n">
        <v>46153</v>
      </c>
      <c r="C1144" s="41" t="n">
        <v>2826</v>
      </c>
      <c r="D1144" s="41" t="inlineStr">
        <is>
          <t>الجوهرى</t>
        </is>
      </c>
      <c r="E1144" s="41" t="inlineStr">
        <is>
          <t>1*40</t>
        </is>
      </c>
      <c r="F1144" s="41" t="inlineStr">
        <is>
          <t>اورينت</t>
        </is>
      </c>
      <c r="G1144" s="41" t="inlineStr">
        <is>
          <t xml:space="preserve">العاشر </t>
        </is>
      </c>
      <c r="H1144" s="41" t="inlineStr">
        <is>
          <t>937301/7</t>
        </is>
      </c>
      <c r="I1144" s="41" t="inlineStr">
        <is>
          <t>ع ص ا 1989</t>
        </is>
      </c>
      <c r="J1144" s="41" t="inlineStr">
        <is>
          <t xml:space="preserve">طاهر النونو </t>
        </is>
      </c>
      <c r="K1144" s="41" t="inlineStr">
        <is>
          <t xml:space="preserve">ابو ادم </t>
        </is>
      </c>
      <c r="L1144" s="42" t="n">
        <v>15300</v>
      </c>
      <c r="M1144" s="42" t="n">
        <v>8100</v>
      </c>
      <c r="N1144" s="42" t="n"/>
      <c r="O1144" s="42" t="n">
        <v>200</v>
      </c>
      <c r="P1144" s="42" t="n"/>
      <c r="Q1144" s="42" t="n">
        <v>7000</v>
      </c>
      <c r="R1144" s="43">
        <f>IF($B1144="","",N($S1144)-N($Q1144))</f>
        <v/>
      </c>
      <c r="S1144" s="43">
        <f>IF($B1144="","",N($L1144)+N($N1144)+N($P1144))</f>
        <v/>
      </c>
      <c r="T1144" s="42" t="n"/>
      <c r="U1144" s="42" t="n"/>
      <c r="V1144" s="42" t="n"/>
      <c r="W1144" s="42" t="n"/>
      <c r="X1144" s="42" t="n"/>
      <c r="Y1144" s="42" t="n"/>
      <c r="Z1144" s="42" t="n"/>
      <c r="AA1144" s="42" t="n"/>
      <c r="AB1144" s="42" t="n"/>
      <c r="AC1144" s="42" t="n"/>
      <c r="AD1144" s="42" t="n"/>
      <c r="AE1144" s="42" t="n"/>
      <c r="AF1144" s="43">
        <f>IF($B1144="","",SUM($T1144:$AE1144))</f>
        <v/>
      </c>
      <c r="AG1144" s="43">
        <f>IF($B1144="","",N($M1144)-N($AF1144))</f>
        <v/>
      </c>
      <c r="AH1144" s="43">
        <f>IF($B1144="","",N($L1144)-N($AF1144))</f>
        <v/>
      </c>
      <c r="AI1144" s="149">
        <f>IF($B1144="","",IF(N($L1144)=0,"",(N($L1144)-N($AF1144))/N($L1144)))</f>
        <v/>
      </c>
    </row>
    <row r="1145">
      <c r="A1145" s="39">
        <f>IF($B1145="","",COUNTA($B$4:$B1145))</f>
        <v/>
      </c>
      <c r="B1145" s="45" t="n">
        <v>46153</v>
      </c>
      <c r="C1145" s="46" t="n">
        <v>2827</v>
      </c>
      <c r="D1145" s="46" t="inlineStr">
        <is>
          <t>حريقة</t>
        </is>
      </c>
      <c r="E1145" s="46" t="inlineStr">
        <is>
          <t>1*40</t>
        </is>
      </c>
      <c r="F1145" s="46" t="inlineStr">
        <is>
          <t xml:space="preserve">اورينت </t>
        </is>
      </c>
      <c r="G1145" s="46" t="inlineStr">
        <is>
          <t xml:space="preserve">العاشر </t>
        </is>
      </c>
      <c r="H1145" s="46" t="inlineStr">
        <is>
          <t>410097/1</t>
        </is>
      </c>
      <c r="I1145" s="46" t="inlineStr">
        <is>
          <t>س ن ر 7728</t>
        </is>
      </c>
      <c r="J1145" s="46" t="inlineStr">
        <is>
          <t xml:space="preserve">حسن يوسف </t>
        </is>
      </c>
      <c r="K1145" s="46" t="inlineStr">
        <is>
          <t xml:space="preserve">ياسر عزام </t>
        </is>
      </c>
      <c r="L1145" s="47" t="n">
        <v>15300</v>
      </c>
      <c r="M1145" s="47" t="n">
        <v>8100</v>
      </c>
      <c r="N1145" s="47" t="n"/>
      <c r="O1145" s="47" t="n">
        <v>200</v>
      </c>
      <c r="P1145" s="47" t="n"/>
      <c r="Q1145" s="47" t="n"/>
      <c r="R1145" s="43">
        <f>IF($B1145="","",N($S1145)-N($Q1145))</f>
        <v/>
      </c>
      <c r="S1145" s="43">
        <f>IF($B1145="","",N($L1145)+N($N1145)+N($P1145))</f>
        <v/>
      </c>
      <c r="T1145" s="47" t="n"/>
      <c r="U1145" s="47" t="n"/>
      <c r="V1145" s="47" t="n"/>
      <c r="W1145" s="47" t="n"/>
      <c r="X1145" s="47" t="n"/>
      <c r="Y1145" s="47" t="n"/>
      <c r="Z1145" s="47" t="n"/>
      <c r="AA1145" s="47" t="n"/>
      <c r="AB1145" s="47" t="n"/>
      <c r="AC1145" s="47" t="n"/>
      <c r="AD1145" s="47" t="n"/>
      <c r="AE1145" s="47" t="n"/>
      <c r="AF1145" s="43">
        <f>IF($B1145="","",SUM($T1145:$AE1145))</f>
        <v/>
      </c>
      <c r="AG1145" s="43">
        <f>IF($B1145="","",N($M1145)-N($AF1145))</f>
        <v/>
      </c>
      <c r="AH1145" s="43">
        <f>IF($B1145="","",N($L1145)-N($AF1145))</f>
        <v/>
      </c>
      <c r="AI1145" s="149">
        <f>IF($B1145="","",IF(N($L1145)=0,"",(N($L1145)-N($AF1145))/N($L1145)))</f>
        <v/>
      </c>
    </row>
    <row r="1146">
      <c r="A1146" s="39">
        <f>IF($B1146="","",COUNTA($B$4:$B1146))</f>
        <v/>
      </c>
      <c r="B1146" s="40" t="n">
        <v>46153</v>
      </c>
      <c r="C1146" s="41" t="n">
        <v>2828</v>
      </c>
      <c r="D1146" s="41" t="inlineStr">
        <is>
          <t>حريقة</t>
        </is>
      </c>
      <c r="E1146" s="41" t="inlineStr">
        <is>
          <t>1*40</t>
        </is>
      </c>
      <c r="F1146" s="41" t="inlineStr">
        <is>
          <t>اورينت</t>
        </is>
      </c>
      <c r="G1146" s="41" t="inlineStr">
        <is>
          <t>العاشر</t>
        </is>
      </c>
      <c r="H1146" s="41" t="inlineStr">
        <is>
          <t>795475/3</t>
        </is>
      </c>
      <c r="I1146" s="41" t="inlineStr">
        <is>
          <t>س د و 8545</t>
        </is>
      </c>
      <c r="J1146" s="41" t="inlineStr">
        <is>
          <t xml:space="preserve">احمد فريد </t>
        </is>
      </c>
      <c r="K1146" s="41" t="inlineStr">
        <is>
          <t xml:space="preserve">ياسر عزام </t>
        </is>
      </c>
      <c r="L1146" s="42" t="n">
        <v>15500</v>
      </c>
      <c r="M1146" s="42" t="n">
        <v>8100</v>
      </c>
      <c r="N1146" s="42" t="n"/>
      <c r="O1146" s="42" t="n">
        <v>200</v>
      </c>
      <c r="P1146" s="42" t="n"/>
      <c r="Q1146" s="42" t="n"/>
      <c r="R1146" s="43">
        <f>IF($B1146="","",N($S1146)-N($Q1146))</f>
        <v/>
      </c>
      <c r="S1146" s="43">
        <f>IF($B1146="","",N($L1146)+N($N1146)+N($P1146))</f>
        <v/>
      </c>
      <c r="T1146" s="42" t="n"/>
      <c r="U1146" s="42" t="n"/>
      <c r="V1146" s="42" t="n"/>
      <c r="W1146" s="42" t="n"/>
      <c r="X1146" s="42" t="n"/>
      <c r="Y1146" s="42" t="n"/>
      <c r="Z1146" s="42" t="n"/>
      <c r="AA1146" s="42" t="n"/>
      <c r="AB1146" s="42" t="n"/>
      <c r="AC1146" s="42" t="n"/>
      <c r="AD1146" s="42" t="n"/>
      <c r="AE1146" s="42" t="n"/>
      <c r="AF1146" s="43">
        <f>IF($B1146="","",SUM($T1146:$AE1146))</f>
        <v/>
      </c>
      <c r="AG1146" s="43">
        <f>IF($B1146="","",N($M1146)-N($AF1146))</f>
        <v/>
      </c>
      <c r="AH1146" s="43">
        <f>IF($B1146="","",N($L1146)-N($AF1146))</f>
        <v/>
      </c>
      <c r="AI1146" s="149">
        <f>IF($B1146="","",IF(N($L1146)=0,"",(N($L1146)-N($AF1146))/N($L1146)))</f>
        <v/>
      </c>
    </row>
    <row r="1147">
      <c r="A1147" s="39">
        <f>IF($B1147="","",COUNTA($B$4:$B1147))</f>
        <v/>
      </c>
      <c r="B1147" s="45" t="n">
        <v>46153</v>
      </c>
      <c r="C1147" s="46" t="n">
        <v>2829</v>
      </c>
      <c r="D1147" s="46" t="inlineStr">
        <is>
          <t xml:space="preserve">فوزى محمد </t>
        </is>
      </c>
      <c r="E1147" s="46" t="inlineStr">
        <is>
          <t>1*40</t>
        </is>
      </c>
      <c r="F1147" s="46" t="inlineStr">
        <is>
          <t>اورينت</t>
        </is>
      </c>
      <c r="G1147" s="46" t="inlineStr">
        <is>
          <t>العاشر</t>
        </is>
      </c>
      <c r="H1147" s="46" t="inlineStr">
        <is>
          <t>801790/6</t>
        </is>
      </c>
      <c r="I1147" s="46" t="inlineStr">
        <is>
          <t>ب د ف 7891</t>
        </is>
      </c>
      <c r="J1147" s="46" t="inlineStr">
        <is>
          <t xml:space="preserve">احمد مصبااح </t>
        </is>
      </c>
      <c r="K1147" s="46" t="inlineStr">
        <is>
          <t xml:space="preserve">ابو ادم </t>
        </is>
      </c>
      <c r="L1147" s="47" t="n">
        <v>15300</v>
      </c>
      <c r="M1147" s="47" t="n">
        <v>8100</v>
      </c>
      <c r="N1147" s="47" t="n"/>
      <c r="O1147" s="47" t="n">
        <v>200</v>
      </c>
      <c r="P1147" s="47" t="n"/>
      <c r="Q1147" s="47" t="n">
        <v>7000</v>
      </c>
      <c r="R1147" s="43">
        <f>IF($B1147="","",N($S1147)-N($Q1147))</f>
        <v/>
      </c>
      <c r="S1147" s="43">
        <f>IF($B1147="","",N($L1147)+N($N1147)+N($P1147))</f>
        <v/>
      </c>
      <c r="T1147" s="47" t="n"/>
      <c r="U1147" s="47" t="n"/>
      <c r="V1147" s="47" t="n"/>
      <c r="W1147" s="47" t="n"/>
      <c r="X1147" s="47" t="n"/>
      <c r="Y1147" s="47" t="n"/>
      <c r="Z1147" s="47" t="n"/>
      <c r="AA1147" s="47" t="n"/>
      <c r="AB1147" s="47" t="n"/>
      <c r="AC1147" s="47" t="n"/>
      <c r="AD1147" s="47" t="n"/>
      <c r="AE1147" s="47" t="n"/>
      <c r="AF1147" s="43">
        <f>IF($B1147="","",SUM($T1147:$AE1147))</f>
        <v/>
      </c>
      <c r="AG1147" s="43">
        <f>IF($B1147="","",N($M1147)-N($AF1147))</f>
        <v/>
      </c>
      <c r="AH1147" s="43">
        <f>IF($B1147="","",N($L1147)-N($AF1147))</f>
        <v/>
      </c>
      <c r="AI1147" s="149">
        <f>IF($B1147="","",IF(N($L1147)=0,"",(N($L1147)-N($AF1147))/N($L1147)))</f>
        <v/>
      </c>
    </row>
    <row r="1148">
      <c r="A1148" s="39">
        <f>IF($B1148="","",COUNTA($B$4:$B1148))</f>
        <v/>
      </c>
      <c r="B1148" s="40" t="n">
        <v>46153</v>
      </c>
      <c r="C1148" s="41" t="n">
        <v>2830</v>
      </c>
      <c r="D1148" s="41" t="inlineStr">
        <is>
          <t xml:space="preserve">فوزى محمد </t>
        </is>
      </c>
      <c r="E1148" s="41" t="inlineStr">
        <is>
          <t>1*40</t>
        </is>
      </c>
      <c r="F1148" s="41" t="inlineStr">
        <is>
          <t>اورينت</t>
        </is>
      </c>
      <c r="G1148" s="41" t="inlineStr">
        <is>
          <t xml:space="preserve">العاشر </t>
        </is>
      </c>
      <c r="H1148" s="41" t="inlineStr">
        <is>
          <t>852002/1</t>
        </is>
      </c>
      <c r="I1148" s="41" t="inlineStr">
        <is>
          <t>ب ر ج 5693</t>
        </is>
      </c>
      <c r="J1148" s="41" t="inlineStr">
        <is>
          <t xml:space="preserve">احمد كشك </t>
        </is>
      </c>
      <c r="K1148" s="41" t="inlineStr">
        <is>
          <t xml:space="preserve">ابو ادم </t>
        </is>
      </c>
      <c r="L1148" s="42" t="n">
        <v>15300</v>
      </c>
      <c r="M1148" s="42" t="n">
        <v>8100</v>
      </c>
      <c r="N1148" s="42" t="n"/>
      <c r="O1148" s="42" t="n">
        <v>200</v>
      </c>
      <c r="P1148" s="42" t="n"/>
      <c r="Q1148" s="42" t="n"/>
      <c r="R1148" s="43">
        <f>IF($B1148="","",N($S1148)-N($Q1148))</f>
        <v/>
      </c>
      <c r="S1148" s="43">
        <f>IF($B1148="","",N($L1148)+N($N1148)+N($P1148))</f>
        <v/>
      </c>
      <c r="T1148" s="42" t="n"/>
      <c r="U1148" s="42" t="n"/>
      <c r="V1148" s="42" t="n"/>
      <c r="W1148" s="42" t="n"/>
      <c r="X1148" s="42" t="n"/>
      <c r="Y1148" s="42" t="n"/>
      <c r="Z1148" s="42" t="n"/>
      <c r="AA1148" s="42" t="n"/>
      <c r="AB1148" s="42" t="n"/>
      <c r="AC1148" s="42" t="n"/>
      <c r="AD1148" s="42" t="n"/>
      <c r="AE1148" s="42" t="n"/>
      <c r="AF1148" s="43">
        <f>IF($B1148="","",SUM($T1148:$AE1148))</f>
        <v/>
      </c>
      <c r="AG1148" s="43">
        <f>IF($B1148="","",N($M1148)-N($AF1148))</f>
        <v/>
      </c>
      <c r="AH1148" s="43">
        <f>IF($B1148="","",N($L1148)-N($AF1148))</f>
        <v/>
      </c>
      <c r="AI1148" s="149">
        <f>IF($B1148="","",IF(N($L1148)=0,"",(N($L1148)-N($AF1148))/N($L1148)))</f>
        <v/>
      </c>
    </row>
    <row r="1149">
      <c r="A1149" s="39">
        <f>IF($B1149="","",COUNTA($B$4:$B1149))</f>
        <v/>
      </c>
      <c r="B1149" s="45" t="n">
        <v>46153</v>
      </c>
      <c r="C1149" s="46" t="n">
        <v>2831</v>
      </c>
      <c r="D1149" s="46" t="inlineStr">
        <is>
          <t>الجوهرى</t>
        </is>
      </c>
      <c r="E1149" s="46" t="inlineStr">
        <is>
          <t>1*40</t>
        </is>
      </c>
      <c r="F1149" s="46" t="inlineStr">
        <is>
          <t>اورينات</t>
        </is>
      </c>
      <c r="G1149" s="46" t="inlineStr">
        <is>
          <t>العاشر</t>
        </is>
      </c>
      <c r="H1149" s="46" t="inlineStr">
        <is>
          <t>528913/9</t>
        </is>
      </c>
      <c r="I1149" s="46" t="inlineStr">
        <is>
          <t>ب ل ر 7516</t>
        </is>
      </c>
      <c r="J1149" s="46" t="inlineStr">
        <is>
          <t xml:space="preserve">ياسر الحلبى </t>
        </is>
      </c>
      <c r="K1149" s="46" t="inlineStr">
        <is>
          <t xml:space="preserve">ابو ادم </t>
        </is>
      </c>
      <c r="L1149" s="47" t="n">
        <v>15300</v>
      </c>
      <c r="M1149" s="47" t="n">
        <v>8100</v>
      </c>
      <c r="N1149" s="47" t="n"/>
      <c r="O1149" s="47" t="n">
        <v>200</v>
      </c>
      <c r="P1149" s="47" t="n"/>
      <c r="Q1149" s="47" t="n">
        <v>7000</v>
      </c>
      <c r="R1149" s="43">
        <f>IF($B1149="","",N($S1149)-N($Q1149))</f>
        <v/>
      </c>
      <c r="S1149" s="43">
        <f>IF($B1149="","",N($L1149)+N($N1149)+N($P1149))</f>
        <v/>
      </c>
      <c r="T1149" s="47" t="n"/>
      <c r="U1149" s="47" t="n"/>
      <c r="V1149" s="47" t="n"/>
      <c r="W1149" s="47" t="n"/>
      <c r="X1149" s="47" t="n"/>
      <c r="Y1149" s="47" t="n"/>
      <c r="Z1149" s="47" t="n"/>
      <c r="AA1149" s="47" t="n"/>
      <c r="AB1149" s="47" t="n"/>
      <c r="AC1149" s="47" t="n"/>
      <c r="AD1149" s="47" t="n"/>
      <c r="AE1149" s="47" t="n"/>
      <c r="AF1149" s="43">
        <f>IF($B1149="","",SUM($T1149:$AE1149))</f>
        <v/>
      </c>
      <c r="AG1149" s="43">
        <f>IF($B1149="","",N($M1149)-N($AF1149))</f>
        <v/>
      </c>
      <c r="AH1149" s="43">
        <f>IF($B1149="","",N($L1149)-N($AF1149))</f>
        <v/>
      </c>
      <c r="AI1149" s="149">
        <f>IF($B1149="","",IF(N($L1149)=0,"",(N($L1149)-N($AF1149))/N($L1149)))</f>
        <v/>
      </c>
    </row>
    <row r="1150">
      <c r="A1150" s="39">
        <f>IF($B1150="","",COUNTA($B$4:$B1150))</f>
        <v/>
      </c>
      <c r="B1150" s="40" t="n">
        <v>46153</v>
      </c>
      <c r="C1150" s="41" t="n">
        <v>2832</v>
      </c>
      <c r="D1150" s="41" t="inlineStr">
        <is>
          <t xml:space="preserve">جمعة </t>
        </is>
      </c>
      <c r="E1150" s="41" t="inlineStr">
        <is>
          <t>1*40</t>
        </is>
      </c>
      <c r="F1150" s="41" t="inlineStr">
        <is>
          <t>اورينت</t>
        </is>
      </c>
      <c r="G1150" s="41" t="inlineStr">
        <is>
          <t xml:space="preserve">العاشر </t>
        </is>
      </c>
      <c r="H1150" s="41" t="inlineStr">
        <is>
          <t>823498/0</t>
        </is>
      </c>
      <c r="I1150" s="41" t="inlineStr">
        <is>
          <t>ع ف ا 4275</t>
        </is>
      </c>
      <c r="J1150" s="41" t="inlineStr">
        <is>
          <t xml:space="preserve">محمود رجب </t>
        </is>
      </c>
      <c r="K1150" s="41" t="inlineStr">
        <is>
          <t xml:space="preserve">فتحى مصرية </t>
        </is>
      </c>
      <c r="L1150" s="42" t="n">
        <v>15300</v>
      </c>
      <c r="M1150" s="42" t="n">
        <v>8100</v>
      </c>
      <c r="N1150" s="42" t="n"/>
      <c r="O1150" s="42" t="n">
        <v>200</v>
      </c>
      <c r="P1150" s="42" t="n"/>
      <c r="Q1150" s="42" t="n">
        <v>7000</v>
      </c>
      <c r="R1150" s="43">
        <f>IF($B1150="","",N($S1150)-N($Q1150))</f>
        <v/>
      </c>
      <c r="S1150" s="43">
        <f>IF($B1150="","",N($L1150)+N($N1150)+N($P1150))</f>
        <v/>
      </c>
      <c r="T1150" s="42" t="n"/>
      <c r="U1150" s="42" t="n"/>
      <c r="V1150" s="42" t="n"/>
      <c r="W1150" s="42" t="n"/>
      <c r="X1150" s="42" t="n"/>
      <c r="Y1150" s="42" t="n"/>
      <c r="Z1150" s="42" t="n"/>
      <c r="AA1150" s="42" t="n"/>
      <c r="AB1150" s="42" t="n"/>
      <c r="AC1150" s="42" t="n"/>
      <c r="AD1150" s="42" t="n"/>
      <c r="AE1150" s="42" t="n"/>
      <c r="AF1150" s="43">
        <f>IF($B1150="","",SUM($T1150:$AE1150))</f>
        <v/>
      </c>
      <c r="AG1150" s="43">
        <f>IF($B1150="","",N($M1150)-N($AF1150))</f>
        <v/>
      </c>
      <c r="AH1150" s="43">
        <f>IF($B1150="","",N($L1150)-N($AF1150))</f>
        <v/>
      </c>
      <c r="AI1150" s="149">
        <f>IF($B1150="","",IF(N($L1150)=0,"",(N($L1150)-N($AF1150))/N($L1150)))</f>
        <v/>
      </c>
    </row>
    <row r="1151">
      <c r="A1151" s="39">
        <f>IF($B1151="","",COUNTA($B$4:$B1151))</f>
        <v/>
      </c>
      <c r="B1151" s="45" t="n">
        <v>46153</v>
      </c>
      <c r="C1151" s="46" t="n">
        <v>2901</v>
      </c>
      <c r="D1151" s="46" t="inlineStr">
        <is>
          <t xml:space="preserve">احمد عبدو </t>
        </is>
      </c>
      <c r="E1151" s="46" t="inlineStr">
        <is>
          <t>1*40</t>
        </is>
      </c>
      <c r="F1151" s="46" t="inlineStr">
        <is>
          <t xml:space="preserve">البستانية </t>
        </is>
      </c>
      <c r="G1151" s="46" t="inlineStr">
        <is>
          <t xml:space="preserve">م دينا </t>
        </is>
      </c>
      <c r="H1151" s="46" t="inlineStr">
        <is>
          <t>344286/5</t>
        </is>
      </c>
      <c r="I1151" s="46" t="inlineStr">
        <is>
          <t>س و ر 5828</t>
        </is>
      </c>
      <c r="J1151" s="46" t="inlineStr">
        <is>
          <t xml:space="preserve">ناصر محمد </t>
        </is>
      </c>
      <c r="K1151" s="46" t="inlineStr">
        <is>
          <t xml:space="preserve">حمو البيبى </t>
        </is>
      </c>
      <c r="L1151" s="47" t="n">
        <v>12800</v>
      </c>
      <c r="M1151" s="47" t="n">
        <v>7100</v>
      </c>
      <c r="N1151" s="47" t="n"/>
      <c r="O1151" s="47" t="n">
        <v>200</v>
      </c>
      <c r="P1151" s="47" t="n"/>
      <c r="Q1151" s="47" t="n">
        <v>5500</v>
      </c>
      <c r="R1151" s="43">
        <f>IF($B1151="","",N($S1151)-N($Q1151))</f>
        <v/>
      </c>
      <c r="S1151" s="43">
        <f>IF($B1151="","",N($L1151)+N($N1151)+N($P1151))</f>
        <v/>
      </c>
      <c r="T1151" s="47" t="n"/>
      <c r="U1151" s="47" t="n"/>
      <c r="V1151" s="47" t="n"/>
      <c r="W1151" s="47" t="n"/>
      <c r="X1151" s="47" t="n"/>
      <c r="Y1151" s="47" t="n"/>
      <c r="Z1151" s="47" t="n"/>
      <c r="AA1151" s="47" t="n"/>
      <c r="AB1151" s="47" t="n"/>
      <c r="AC1151" s="47" t="n"/>
      <c r="AD1151" s="47" t="n"/>
      <c r="AE1151" s="47" t="n"/>
      <c r="AF1151" s="43">
        <f>IF($B1151="","",SUM($T1151:$AE1151))</f>
        <v/>
      </c>
      <c r="AG1151" s="43">
        <f>IF($B1151="","",N($M1151)-N($AF1151))</f>
        <v/>
      </c>
      <c r="AH1151" s="43">
        <f>IF($B1151="","",N($L1151)-N($AF1151))</f>
        <v/>
      </c>
      <c r="AI1151" s="149">
        <f>IF($B1151="","",IF(N($L1151)=0,"",(N($L1151)-N($AF1151))/N($L1151)))</f>
        <v/>
      </c>
    </row>
    <row r="1152">
      <c r="A1152" s="39">
        <f>IF($B1152="","",COUNTA($B$4:$B1152))</f>
        <v/>
      </c>
      <c r="B1152" s="40" t="n">
        <v>46153</v>
      </c>
      <c r="C1152" s="41" t="n">
        <v>2903</v>
      </c>
      <c r="D1152" s="41" t="inlineStr">
        <is>
          <t>الجمل</t>
        </is>
      </c>
      <c r="E1152" s="41" t="inlineStr">
        <is>
          <t>1*40</t>
        </is>
      </c>
      <c r="F1152" s="41" t="inlineStr">
        <is>
          <t xml:space="preserve">البستانية </t>
        </is>
      </c>
      <c r="G1152" s="41" t="inlineStr">
        <is>
          <t xml:space="preserve">م دينا </t>
        </is>
      </c>
      <c r="H1152" s="41" t="inlineStr">
        <is>
          <t>721923/3</t>
        </is>
      </c>
      <c r="I1152" s="41" t="inlineStr">
        <is>
          <t>س ص ى 3829</t>
        </is>
      </c>
      <c r="J1152" s="41" t="inlineStr">
        <is>
          <t xml:space="preserve">امين عبد الحافظ </t>
        </is>
      </c>
      <c r="K1152" s="41" t="inlineStr">
        <is>
          <t xml:space="preserve">طارق الجمل </t>
        </is>
      </c>
      <c r="L1152" s="42" t="n">
        <v>12800</v>
      </c>
      <c r="M1152" s="42" t="n">
        <v>7100</v>
      </c>
      <c r="N1152" s="42" t="n"/>
      <c r="O1152" s="42" t="n">
        <v>200</v>
      </c>
      <c r="P1152" s="42" t="n"/>
      <c r="Q1152" s="42" t="n">
        <v>5500</v>
      </c>
      <c r="R1152" s="43">
        <f>IF($B1152="","",N($S1152)-N($Q1152))</f>
        <v/>
      </c>
      <c r="S1152" s="43">
        <f>IF($B1152="","",N($L1152)+N($N1152)+N($P1152))</f>
        <v/>
      </c>
      <c r="T1152" s="42" t="n"/>
      <c r="U1152" s="42" t="n"/>
      <c r="V1152" s="42" t="n"/>
      <c r="W1152" s="42" t="n"/>
      <c r="X1152" s="42" t="n"/>
      <c r="Y1152" s="42" t="n"/>
      <c r="Z1152" s="42" t="n"/>
      <c r="AA1152" s="42" t="n"/>
      <c r="AB1152" s="42" t="n"/>
      <c r="AC1152" s="42" t="n"/>
      <c r="AD1152" s="42" t="n"/>
      <c r="AE1152" s="42" t="n"/>
      <c r="AF1152" s="43">
        <f>IF($B1152="","",SUM($T1152:$AE1152))</f>
        <v/>
      </c>
      <c r="AG1152" s="43">
        <f>IF($B1152="","",N($M1152)-N($AF1152))</f>
        <v/>
      </c>
      <c r="AH1152" s="43">
        <f>IF($B1152="","",N($L1152)-N($AF1152))</f>
        <v/>
      </c>
      <c r="AI1152" s="149">
        <f>IF($B1152="","",IF(N($L1152)=0,"",(N($L1152)-N($AF1152))/N($L1152)))</f>
        <v/>
      </c>
    </row>
    <row r="1153">
      <c r="A1153" s="39">
        <f>IF($B1153="","",COUNTA($B$4:$B1153))</f>
        <v/>
      </c>
      <c r="B1153" s="45" t="n">
        <v>46153</v>
      </c>
      <c r="C1153" s="46" t="n">
        <v>2904</v>
      </c>
      <c r="D1153" s="46" t="inlineStr">
        <is>
          <t xml:space="preserve">ابراهيم سمارة </t>
        </is>
      </c>
      <c r="E1153" s="46" t="inlineStr">
        <is>
          <t>1*40</t>
        </is>
      </c>
      <c r="F1153" s="46" t="inlineStr">
        <is>
          <t xml:space="preserve">البستانية </t>
        </is>
      </c>
      <c r="G1153" s="46" t="inlineStr">
        <is>
          <t xml:space="preserve">السادات </t>
        </is>
      </c>
      <c r="H1153" s="46" t="inlineStr">
        <is>
          <t>238258/0</t>
        </is>
      </c>
      <c r="I1153" s="46" t="inlineStr">
        <is>
          <t>س ه ا 5896</t>
        </is>
      </c>
      <c r="J1153" s="46" t="inlineStr">
        <is>
          <t xml:space="preserve">ابراهيم السيد </t>
        </is>
      </c>
      <c r="K1153" s="46" t="inlineStr">
        <is>
          <t xml:space="preserve">السائق </t>
        </is>
      </c>
      <c r="L1153" s="47" t="n">
        <v>12800</v>
      </c>
      <c r="M1153" s="47" t="n">
        <v>7100</v>
      </c>
      <c r="N1153" s="47" t="n"/>
      <c r="O1153" s="47" t="n">
        <v>100</v>
      </c>
      <c r="P1153" s="47" t="n"/>
      <c r="Q1153" s="47" t="n">
        <v>5600</v>
      </c>
      <c r="R1153" s="43">
        <f>IF($B1153="","",N($S1153)-N($Q1153))</f>
        <v/>
      </c>
      <c r="S1153" s="43">
        <f>IF($B1153="","",N($L1153)+N($N1153)+N($P1153))</f>
        <v/>
      </c>
      <c r="T1153" s="47" t="n"/>
      <c r="U1153" s="47" t="n"/>
      <c r="V1153" s="47" t="n"/>
      <c r="W1153" s="47" t="n"/>
      <c r="X1153" s="47" t="n"/>
      <c r="Y1153" s="47" t="n"/>
      <c r="Z1153" s="47" t="n"/>
      <c r="AA1153" s="47" t="n"/>
      <c r="AB1153" s="47" t="n"/>
      <c r="AC1153" s="47" t="n"/>
      <c r="AD1153" s="47" t="n"/>
      <c r="AE1153" s="47" t="n"/>
      <c r="AF1153" s="43">
        <f>IF($B1153="","",SUM($T1153:$AE1153))</f>
        <v/>
      </c>
      <c r="AG1153" s="43">
        <f>IF($B1153="","",N($M1153)-N($AF1153))</f>
        <v/>
      </c>
      <c r="AH1153" s="43">
        <f>IF($B1153="","",N($L1153)-N($AF1153))</f>
        <v/>
      </c>
      <c r="AI1153" s="149">
        <f>IF($B1153="","",IF(N($L1153)=0,"",(N($L1153)-N($AF1153))/N($L1153)))</f>
        <v/>
      </c>
    </row>
    <row r="1154">
      <c r="A1154" s="39">
        <f>IF($B1154="","",COUNTA($B$4:$B1154))</f>
        <v/>
      </c>
      <c r="B1154" s="40" t="n">
        <v>46153</v>
      </c>
      <c r="C1154" s="41" t="n">
        <v>2905</v>
      </c>
      <c r="D1154" s="41" t="inlineStr">
        <is>
          <t xml:space="preserve">ابراهيم سمارة </t>
        </is>
      </c>
      <c r="E1154" s="41" t="inlineStr">
        <is>
          <t>1*40</t>
        </is>
      </c>
      <c r="F1154" s="41" t="inlineStr">
        <is>
          <t xml:space="preserve">البستانية </t>
        </is>
      </c>
      <c r="G1154" s="41" t="inlineStr">
        <is>
          <t xml:space="preserve">السادات </t>
        </is>
      </c>
      <c r="H1154" s="41" t="inlineStr">
        <is>
          <t>295654/1</t>
        </is>
      </c>
      <c r="I1154" s="41" t="inlineStr">
        <is>
          <t>س د و 2868</t>
        </is>
      </c>
      <c r="J1154" s="41" t="inlineStr">
        <is>
          <t xml:space="preserve">حودة نصرية </t>
        </is>
      </c>
      <c r="K1154" s="41" t="inlineStr">
        <is>
          <t xml:space="preserve">السائق </t>
        </is>
      </c>
      <c r="L1154" s="42" t="n">
        <v>12800</v>
      </c>
      <c r="M1154" s="42" t="n">
        <v>7100</v>
      </c>
      <c r="N1154" s="42" t="n"/>
      <c r="O1154" s="42" t="n">
        <v>100</v>
      </c>
      <c r="P1154" s="42" t="n"/>
      <c r="Q1154" s="42" t="n">
        <v>5600</v>
      </c>
      <c r="R1154" s="43">
        <f>IF($B1154="","",N($S1154)-N($Q1154))</f>
        <v/>
      </c>
      <c r="S1154" s="43">
        <f>IF($B1154="","",N($L1154)+N($N1154)+N($P1154))</f>
        <v/>
      </c>
      <c r="T1154" s="42" t="n"/>
      <c r="U1154" s="42" t="n"/>
      <c r="V1154" s="42" t="n"/>
      <c r="W1154" s="42" t="n"/>
      <c r="X1154" s="42" t="n"/>
      <c r="Y1154" s="42" t="n"/>
      <c r="Z1154" s="42" t="n"/>
      <c r="AA1154" s="42" t="n"/>
      <c r="AB1154" s="42" t="n"/>
      <c r="AC1154" s="42" t="n"/>
      <c r="AD1154" s="42" t="n"/>
      <c r="AE1154" s="42" t="n"/>
      <c r="AF1154" s="43">
        <f>IF($B1154="","",SUM($T1154:$AE1154))</f>
        <v/>
      </c>
      <c r="AG1154" s="43">
        <f>IF($B1154="","",N($M1154)-N($AF1154))</f>
        <v/>
      </c>
      <c r="AH1154" s="43">
        <f>IF($B1154="","",N($L1154)-N($AF1154))</f>
        <v/>
      </c>
      <c r="AI1154" s="149">
        <f>IF($B1154="","",IF(N($L1154)=0,"",(N($L1154)-N($AF1154))/N($L1154)))</f>
        <v/>
      </c>
    </row>
    <row r="1155">
      <c r="A1155" s="39">
        <f>IF($B1155="","",COUNTA($B$4:$B1155))</f>
        <v/>
      </c>
      <c r="B1155" s="45" t="n">
        <v>46153</v>
      </c>
      <c r="C1155" s="46" t="n">
        <v>2906</v>
      </c>
      <c r="D1155" s="46" t="inlineStr">
        <is>
          <t xml:space="preserve">حاتم البحر </t>
        </is>
      </c>
      <c r="E1155" s="46" t="inlineStr">
        <is>
          <t>1*40</t>
        </is>
      </c>
      <c r="F1155" s="46" t="inlineStr">
        <is>
          <t xml:space="preserve">البستانية </t>
        </is>
      </c>
      <c r="G1155" s="46" t="inlineStr">
        <is>
          <t xml:space="preserve">السادات </t>
        </is>
      </c>
      <c r="H1155" s="46" t="inlineStr">
        <is>
          <t>350524/3</t>
        </is>
      </c>
      <c r="I1155" s="46" t="inlineStr">
        <is>
          <t>س ن ا 1534</t>
        </is>
      </c>
      <c r="J1155" s="46" t="inlineStr">
        <is>
          <t xml:space="preserve">مينا ميلاد </t>
        </is>
      </c>
      <c r="K1155" s="46" t="inlineStr">
        <is>
          <t xml:space="preserve">ميمى حكيم </t>
        </is>
      </c>
      <c r="L1155" s="47" t="n">
        <v>12800</v>
      </c>
      <c r="M1155" s="47" t="n">
        <v>7100</v>
      </c>
      <c r="N1155" s="47" t="n"/>
      <c r="O1155" s="47" t="n">
        <v>200</v>
      </c>
      <c r="P1155" s="47" t="n"/>
      <c r="Q1155" s="47" t="n">
        <v>5500</v>
      </c>
      <c r="R1155" s="43">
        <f>IF($B1155="","",N($S1155)-N($Q1155))</f>
        <v/>
      </c>
      <c r="S1155" s="43">
        <f>IF($B1155="","",N($L1155)+N($N1155)+N($P1155))</f>
        <v/>
      </c>
      <c r="T1155" s="47" t="n"/>
      <c r="U1155" s="47" t="n"/>
      <c r="V1155" s="47" t="n"/>
      <c r="W1155" s="47" t="n"/>
      <c r="X1155" s="47" t="n"/>
      <c r="Y1155" s="47" t="n"/>
      <c r="Z1155" s="47" t="n"/>
      <c r="AA1155" s="47" t="n"/>
      <c r="AB1155" s="47" t="n"/>
      <c r="AC1155" s="47" t="n"/>
      <c r="AD1155" s="47" t="n"/>
      <c r="AE1155" s="47" t="n"/>
      <c r="AF1155" s="43">
        <f>IF($B1155="","",SUM($T1155:$AE1155))</f>
        <v/>
      </c>
      <c r="AG1155" s="43">
        <f>IF($B1155="","",N($M1155)-N($AF1155))</f>
        <v/>
      </c>
      <c r="AH1155" s="43">
        <f>IF($B1155="","",N($L1155)-N($AF1155))</f>
        <v/>
      </c>
      <c r="AI1155" s="149">
        <f>IF($B1155="","",IF(N($L1155)=0,"",(N($L1155)-N($AF1155))/N($L1155)))</f>
        <v/>
      </c>
    </row>
    <row r="1156">
      <c r="A1156" s="39">
        <f>IF($B1156="","",COUNTA($B$4:$B1156))</f>
        <v/>
      </c>
      <c r="B1156" s="40" t="n">
        <v>46153</v>
      </c>
      <c r="C1156" s="41" t="n">
        <v>2907</v>
      </c>
      <c r="D1156" s="41" t="inlineStr">
        <is>
          <t xml:space="preserve">احمد طة </t>
        </is>
      </c>
      <c r="E1156" s="41" t="inlineStr">
        <is>
          <t>1*40</t>
        </is>
      </c>
      <c r="F1156" s="41" t="inlineStr">
        <is>
          <t xml:space="preserve">البستانية </t>
        </is>
      </c>
      <c r="G1156" s="41" t="inlineStr">
        <is>
          <t xml:space="preserve">السادات </t>
        </is>
      </c>
      <c r="H1156" s="41" t="inlineStr">
        <is>
          <t>186728/9</t>
        </is>
      </c>
      <c r="I1156" s="41" t="inlineStr">
        <is>
          <t>س ق ا 7829</t>
        </is>
      </c>
      <c r="J1156" s="41" t="inlineStr">
        <is>
          <t xml:space="preserve">هشام احمد </t>
        </is>
      </c>
      <c r="K1156" s="41" t="inlineStr">
        <is>
          <t xml:space="preserve">احمد طة </t>
        </is>
      </c>
      <c r="L1156" s="42" t="n">
        <v>12800</v>
      </c>
      <c r="M1156" s="42" t="n">
        <v>7100</v>
      </c>
      <c r="N1156" s="42" t="n"/>
      <c r="O1156" s="42" t="n">
        <v>200</v>
      </c>
      <c r="P1156" s="42" t="n"/>
      <c r="Q1156" s="42" t="n">
        <v>5500</v>
      </c>
      <c r="R1156" s="43">
        <f>IF($B1156="","",N($S1156)-N($Q1156))</f>
        <v/>
      </c>
      <c r="S1156" s="43">
        <f>IF($B1156="","",N($L1156)+N($N1156)+N($P1156))</f>
        <v/>
      </c>
      <c r="T1156" s="42" t="n"/>
      <c r="U1156" s="42" t="n"/>
      <c r="V1156" s="42" t="n"/>
      <c r="W1156" s="42" t="n"/>
      <c r="X1156" s="42" t="n"/>
      <c r="Y1156" s="42" t="n"/>
      <c r="Z1156" s="42" t="n"/>
      <c r="AA1156" s="42" t="n"/>
      <c r="AB1156" s="42" t="n"/>
      <c r="AC1156" s="42" t="n"/>
      <c r="AD1156" s="42" t="n"/>
      <c r="AE1156" s="42" t="n"/>
      <c r="AF1156" s="43">
        <f>IF($B1156="","",SUM($T1156:$AE1156))</f>
        <v/>
      </c>
      <c r="AG1156" s="43">
        <f>IF($B1156="","",N($M1156)-N($AF1156))</f>
        <v/>
      </c>
      <c r="AH1156" s="43">
        <f>IF($B1156="","",N($L1156)-N($AF1156))</f>
        <v/>
      </c>
      <c r="AI1156" s="149">
        <f>IF($B1156="","",IF(N($L1156)=0,"",(N($L1156)-N($AF1156))/N($L1156)))</f>
        <v/>
      </c>
    </row>
    <row r="1157">
      <c r="A1157" s="39">
        <f>IF($B1157="","",COUNTA($B$4:$B1157))</f>
        <v/>
      </c>
      <c r="B1157" s="45" t="n">
        <v>46153</v>
      </c>
      <c r="C1157" s="46" t="n">
        <v>2747</v>
      </c>
      <c r="D1157" s="46" t="inlineStr">
        <is>
          <t>محمد نبيل</t>
        </is>
      </c>
      <c r="E1157" s="46" t="inlineStr">
        <is>
          <t>1*40</t>
        </is>
      </c>
      <c r="F1157" s="46" t="inlineStr">
        <is>
          <t xml:space="preserve">البستانية </t>
        </is>
      </c>
      <c r="G1157" s="46" t="inlineStr">
        <is>
          <t xml:space="preserve">السادات </t>
        </is>
      </c>
      <c r="H1157" s="46" t="inlineStr">
        <is>
          <t>611702/3</t>
        </is>
      </c>
      <c r="I1157" s="46" t="inlineStr">
        <is>
          <t>س ن ر 9412</t>
        </is>
      </c>
      <c r="J1157" s="46" t="inlineStr">
        <is>
          <t xml:space="preserve">احمد شحاتة </t>
        </is>
      </c>
      <c r="K1157" s="46" t="inlineStr">
        <is>
          <t xml:space="preserve">فتحى مصرية </t>
        </is>
      </c>
      <c r="L1157" s="47" t="n">
        <v>12800</v>
      </c>
      <c r="M1157" s="47" t="n">
        <v>7100</v>
      </c>
      <c r="N1157" s="47" t="n"/>
      <c r="O1157" s="47" t="n">
        <v>200</v>
      </c>
      <c r="P1157" s="47" t="n"/>
      <c r="Q1157" s="47" t="n">
        <v>5500</v>
      </c>
      <c r="R1157" s="43">
        <f>IF($B1157="","",N($S1157)-N($Q1157))</f>
        <v/>
      </c>
      <c r="S1157" s="43">
        <f>IF($B1157="","",N($L1157)+N($N1157)+N($P1157))</f>
        <v/>
      </c>
      <c r="T1157" s="47" t="n"/>
      <c r="U1157" s="47" t="n"/>
      <c r="V1157" s="47" t="n"/>
      <c r="W1157" s="47" t="n"/>
      <c r="X1157" s="47" t="n"/>
      <c r="Y1157" s="47" t="n"/>
      <c r="Z1157" s="47" t="n"/>
      <c r="AA1157" s="47" t="n"/>
      <c r="AB1157" s="47" t="n"/>
      <c r="AC1157" s="47" t="n"/>
      <c r="AD1157" s="47" t="n"/>
      <c r="AE1157" s="47" t="n"/>
      <c r="AF1157" s="43">
        <f>IF($B1157="","",SUM($T1157:$AE1157))</f>
        <v/>
      </c>
      <c r="AG1157" s="43">
        <f>IF($B1157="","",N($M1157)-N($AF1157))</f>
        <v/>
      </c>
      <c r="AH1157" s="43">
        <f>IF($B1157="","",N($L1157)-N($AF1157))</f>
        <v/>
      </c>
      <c r="AI1157" s="149">
        <f>IF($B1157="","",IF(N($L1157)=0,"",(N($L1157)-N($AF1157))/N($L1157)))</f>
        <v/>
      </c>
    </row>
    <row r="1158">
      <c r="A1158" s="39">
        <f>IF($B1158="","",COUNTA($B$4:$B1158))</f>
        <v/>
      </c>
      <c r="B1158" s="40" t="n">
        <v>46153</v>
      </c>
      <c r="C1158" s="41" t="n">
        <v>2748</v>
      </c>
      <c r="D1158" s="41" t="inlineStr">
        <is>
          <t xml:space="preserve">ابو مينا </t>
        </is>
      </c>
      <c r="E1158" s="41" t="inlineStr">
        <is>
          <t>1*40</t>
        </is>
      </c>
      <c r="F1158" s="41" t="inlineStr">
        <is>
          <t xml:space="preserve">البستانية </t>
        </is>
      </c>
      <c r="G1158" s="41" t="inlineStr">
        <is>
          <t xml:space="preserve">السادات </t>
        </is>
      </c>
      <c r="H1158" s="41" t="inlineStr">
        <is>
          <t>430364/6</t>
        </is>
      </c>
      <c r="I1158" s="41" t="inlineStr">
        <is>
          <t>س ن ب 7913</t>
        </is>
      </c>
      <c r="J1158" s="41" t="inlineStr">
        <is>
          <t xml:space="preserve">محمد احمد </t>
        </is>
      </c>
      <c r="K1158" s="41" t="inlineStr">
        <is>
          <t xml:space="preserve">ابو مينا </t>
        </is>
      </c>
      <c r="L1158" s="42" t="n">
        <v>12800</v>
      </c>
      <c r="M1158" s="42" t="n">
        <v>7100</v>
      </c>
      <c r="N1158" s="42" t="n"/>
      <c r="O1158" s="42" t="n">
        <v>200</v>
      </c>
      <c r="P1158" s="42" t="n"/>
      <c r="Q1158" s="42" t="n">
        <v>5500</v>
      </c>
      <c r="R1158" s="43">
        <f>IF($B1158="","",N($S1158)-N($Q1158))</f>
        <v/>
      </c>
      <c r="S1158" s="43">
        <f>IF($B1158="","",N($L1158)+N($N1158)+N($P1158))</f>
        <v/>
      </c>
      <c r="T1158" s="42" t="n"/>
      <c r="U1158" s="42" t="n"/>
      <c r="V1158" s="42" t="n"/>
      <c r="W1158" s="42" t="n"/>
      <c r="X1158" s="42" t="n"/>
      <c r="Y1158" s="42" t="n"/>
      <c r="Z1158" s="42" t="n"/>
      <c r="AA1158" s="42" t="n"/>
      <c r="AB1158" s="42" t="n"/>
      <c r="AC1158" s="42" t="n"/>
      <c r="AD1158" s="42" t="n"/>
      <c r="AE1158" s="42" t="n"/>
      <c r="AF1158" s="43">
        <f>IF($B1158="","",SUM($T1158:$AE1158))</f>
        <v/>
      </c>
      <c r="AG1158" s="43">
        <f>IF($B1158="","",N($M1158)-N($AF1158))</f>
        <v/>
      </c>
      <c r="AH1158" s="43">
        <f>IF($B1158="","",N($L1158)-N($AF1158))</f>
        <v/>
      </c>
      <c r="AI1158" s="149">
        <f>IF($B1158="","",IF(N($L1158)=0,"",(N($L1158)-N($AF1158))/N($L1158)))</f>
        <v/>
      </c>
    </row>
    <row r="1159">
      <c r="A1159" s="39">
        <f>IF($B1159="","",COUNTA($B$4:$B1159))</f>
        <v/>
      </c>
      <c r="B1159" s="45" t="n">
        <v>46153</v>
      </c>
      <c r="C1159" s="46" t="n">
        <v>2749</v>
      </c>
      <c r="D1159" s="46" t="inlineStr">
        <is>
          <t xml:space="preserve">حاتم البحر </t>
        </is>
      </c>
      <c r="E1159" s="46" t="inlineStr">
        <is>
          <t>1*40</t>
        </is>
      </c>
      <c r="F1159" s="46" t="inlineStr">
        <is>
          <t xml:space="preserve">البستانية </t>
        </is>
      </c>
      <c r="G1159" s="46" t="inlineStr">
        <is>
          <t xml:space="preserve">السادات </t>
        </is>
      </c>
      <c r="H1159" s="46" t="inlineStr">
        <is>
          <t>888550/5</t>
        </is>
      </c>
      <c r="I1159" s="46" t="inlineStr">
        <is>
          <t>س م ى 2173</t>
        </is>
      </c>
      <c r="J1159" s="46" t="inlineStr">
        <is>
          <t>مينا صموئيل</t>
        </is>
      </c>
      <c r="K1159" s="46" t="inlineStr">
        <is>
          <t>مينا</t>
        </is>
      </c>
      <c r="L1159" s="47" t="n">
        <v>12800</v>
      </c>
      <c r="M1159" s="47" t="n">
        <v>7100</v>
      </c>
      <c r="N1159" s="47" t="n"/>
      <c r="O1159" s="47" t="n">
        <v>200</v>
      </c>
      <c r="P1159" s="47" t="n"/>
      <c r="Q1159" s="47" t="n">
        <v>5500</v>
      </c>
      <c r="R1159" s="43">
        <f>IF($B1159="","",N($S1159)-N($Q1159))</f>
        <v/>
      </c>
      <c r="S1159" s="43">
        <f>IF($B1159="","",N($L1159)+N($N1159)+N($P1159))</f>
        <v/>
      </c>
      <c r="T1159" s="47" t="n"/>
      <c r="U1159" s="47" t="n"/>
      <c r="V1159" s="47" t="n"/>
      <c r="W1159" s="47" t="n"/>
      <c r="X1159" s="47" t="n"/>
      <c r="Y1159" s="47" t="n"/>
      <c r="Z1159" s="47" t="n"/>
      <c r="AA1159" s="47" t="n"/>
      <c r="AB1159" s="47" t="n"/>
      <c r="AC1159" s="47" t="n"/>
      <c r="AD1159" s="47" t="n"/>
      <c r="AE1159" s="47" t="n"/>
      <c r="AF1159" s="43">
        <f>IF($B1159="","",SUM($T1159:$AE1159))</f>
        <v/>
      </c>
      <c r="AG1159" s="43">
        <f>IF($B1159="","",N($M1159)-N($AF1159))</f>
        <v/>
      </c>
      <c r="AH1159" s="43">
        <f>IF($B1159="","",N($L1159)-N($AF1159))</f>
        <v/>
      </c>
      <c r="AI1159" s="149">
        <f>IF($B1159="","",IF(N($L1159)=0,"",(N($L1159)-N($AF1159))/N($L1159)))</f>
        <v/>
      </c>
    </row>
    <row r="1160">
      <c r="A1160" s="39">
        <f>IF($B1160="","",COUNTA($B$4:$B1160))</f>
        <v/>
      </c>
      <c r="B1160" s="40" t="n">
        <v>46153</v>
      </c>
      <c r="C1160" s="41" t="n">
        <v>2750</v>
      </c>
      <c r="D1160" s="41" t="inlineStr">
        <is>
          <t xml:space="preserve">حاتم البحر </t>
        </is>
      </c>
      <c r="E1160" s="41" t="inlineStr">
        <is>
          <t>1*40</t>
        </is>
      </c>
      <c r="F1160" s="41" t="inlineStr">
        <is>
          <t xml:space="preserve">البستانية </t>
        </is>
      </c>
      <c r="G1160" s="41" t="inlineStr">
        <is>
          <t xml:space="preserve">السادات </t>
        </is>
      </c>
      <c r="H1160" s="41" t="inlineStr">
        <is>
          <t>627888/4</t>
        </is>
      </c>
      <c r="I1160" s="41" t="inlineStr">
        <is>
          <t>س ع م 3523</t>
        </is>
      </c>
      <c r="J1160" s="41" t="inlineStr">
        <is>
          <t xml:space="preserve">سعيد قبيصى </t>
        </is>
      </c>
      <c r="K1160" s="41" t="inlineStr">
        <is>
          <t xml:space="preserve">السائق </t>
        </is>
      </c>
      <c r="L1160" s="42" t="n">
        <v>12800</v>
      </c>
      <c r="M1160" s="42" t="n">
        <v>7100</v>
      </c>
      <c r="N1160" s="42" t="n"/>
      <c r="O1160" s="42" t="n">
        <v>200</v>
      </c>
      <c r="P1160" s="42" t="n"/>
      <c r="Q1160" s="42" t="n">
        <v>5500</v>
      </c>
      <c r="R1160" s="43">
        <f>IF($B1160="","",N($S1160)-N($Q1160))</f>
        <v/>
      </c>
      <c r="S1160" s="43">
        <f>IF($B1160="","",N($L1160)+N($N1160)+N($P1160))</f>
        <v/>
      </c>
      <c r="T1160" s="42" t="n"/>
      <c r="U1160" s="42" t="n"/>
      <c r="V1160" s="42" t="n"/>
      <c r="W1160" s="42" t="n"/>
      <c r="X1160" s="42" t="n"/>
      <c r="Y1160" s="42" t="n"/>
      <c r="Z1160" s="42" t="n"/>
      <c r="AA1160" s="42" t="n"/>
      <c r="AB1160" s="42" t="n"/>
      <c r="AC1160" s="42" t="n"/>
      <c r="AD1160" s="42" t="n"/>
      <c r="AE1160" s="42" t="n"/>
      <c r="AF1160" s="43">
        <f>IF($B1160="","",SUM($T1160:$AE1160))</f>
        <v/>
      </c>
      <c r="AG1160" s="43">
        <f>IF($B1160="","",N($M1160)-N($AF1160))</f>
        <v/>
      </c>
      <c r="AH1160" s="43">
        <f>IF($B1160="","",N($L1160)-N($AF1160))</f>
        <v/>
      </c>
      <c r="AI1160" s="149">
        <f>IF($B1160="","",IF(N($L1160)=0,"",(N($L1160)-N($AF1160))/N($L1160)))</f>
        <v/>
      </c>
    </row>
    <row r="1161">
      <c r="A1161" s="39">
        <f>IF($B1161="","",COUNTA($B$4:$B1161))</f>
        <v/>
      </c>
      <c r="B1161" s="45" t="n">
        <v>46153</v>
      </c>
      <c r="C1161" s="46" t="n">
        <v>2902</v>
      </c>
      <c r="D1161" s="46" t="inlineStr">
        <is>
          <t xml:space="preserve">كمال رزق </t>
        </is>
      </c>
      <c r="E1161" s="46" t="inlineStr">
        <is>
          <t>1*40</t>
        </is>
      </c>
      <c r="F1161" s="46" t="inlineStr">
        <is>
          <t xml:space="preserve">البستانية </t>
        </is>
      </c>
      <c r="G1161" s="46" t="inlineStr">
        <is>
          <t xml:space="preserve">السادات </t>
        </is>
      </c>
      <c r="H1161" s="46" t="inlineStr">
        <is>
          <t>548755/2</t>
        </is>
      </c>
      <c r="I1161" s="46" t="inlineStr">
        <is>
          <t>س ن م 1592</t>
        </is>
      </c>
      <c r="J1161" s="46" t="inlineStr">
        <is>
          <t>حمدى العراقلى</t>
        </is>
      </c>
      <c r="K1161" s="46" t="inlineStr">
        <is>
          <t xml:space="preserve">عماد سعيد </t>
        </is>
      </c>
      <c r="L1161" s="47" t="n">
        <v>12800</v>
      </c>
      <c r="M1161" s="47" t="n">
        <v>8100</v>
      </c>
      <c r="N1161" s="47" t="n"/>
      <c r="O1161" s="47" t="n">
        <v>200</v>
      </c>
      <c r="P1161" s="47" t="n"/>
      <c r="Q1161" s="47" t="n">
        <v>4500</v>
      </c>
      <c r="R1161" s="43">
        <f>IF($B1161="","",N($S1161)-N($Q1161))</f>
        <v/>
      </c>
      <c r="S1161" s="43">
        <f>IF($B1161="","",N($L1161)+N($N1161)+N($P1161))</f>
        <v/>
      </c>
      <c r="T1161" s="47" t="n"/>
      <c r="U1161" s="47" t="n"/>
      <c r="V1161" s="47" t="n"/>
      <c r="W1161" s="47" t="n"/>
      <c r="X1161" s="47" t="n"/>
      <c r="Y1161" s="47" t="n"/>
      <c r="Z1161" s="47" t="n"/>
      <c r="AA1161" s="47" t="n"/>
      <c r="AB1161" s="47" t="n"/>
      <c r="AC1161" s="47" t="n"/>
      <c r="AD1161" s="47" t="n"/>
      <c r="AE1161" s="47" t="n"/>
      <c r="AF1161" s="43">
        <f>IF($B1161="","",SUM($T1161:$AE1161))</f>
        <v/>
      </c>
      <c r="AG1161" s="43">
        <f>IF($B1161="","",N($M1161)-N($AF1161))</f>
        <v/>
      </c>
      <c r="AH1161" s="43">
        <f>IF($B1161="","",N($L1161)-N($AF1161))</f>
        <v/>
      </c>
      <c r="AI1161" s="149">
        <f>IF($B1161="","",IF(N($L1161)=0,"",(N($L1161)-N($AF1161))/N($L1161)))</f>
        <v/>
      </c>
    </row>
    <row r="1162">
      <c r="A1162" s="39">
        <f>IF($B1162="","",COUNTA($B$4:$B1162))</f>
        <v/>
      </c>
      <c r="B1162" s="40" t="n">
        <v>46154</v>
      </c>
      <c r="C1162" s="41" t="n">
        <v>2908</v>
      </c>
      <c r="D1162" s="41" t="inlineStr">
        <is>
          <t>الشريف</t>
        </is>
      </c>
      <c r="E1162" s="41" t="inlineStr">
        <is>
          <t>2*20</t>
        </is>
      </c>
      <c r="F1162" s="41" t="inlineStr">
        <is>
          <t xml:space="preserve">صان رايز </t>
        </is>
      </c>
      <c r="G1162" s="41" t="inlineStr">
        <is>
          <t xml:space="preserve">عرب مساعد </t>
        </is>
      </c>
      <c r="H1162" s="41" t="inlineStr">
        <is>
          <t>096464/0-438836/3</t>
        </is>
      </c>
      <c r="I1162" s="41" t="inlineStr">
        <is>
          <t>ب ر ط 1726</t>
        </is>
      </c>
      <c r="J1162" s="41" t="inlineStr">
        <is>
          <t xml:space="preserve">محمد سعيد </t>
        </is>
      </c>
      <c r="K1162" s="41" t="inlineStr">
        <is>
          <t xml:space="preserve">الميت </t>
        </is>
      </c>
      <c r="L1162" s="42" t="n">
        <v>23000</v>
      </c>
      <c r="M1162" s="42" t="n">
        <v>12100</v>
      </c>
      <c r="N1162" s="42" t="n"/>
      <c r="O1162" s="42" t="n">
        <v>200</v>
      </c>
      <c r="P1162" s="42" t="n"/>
      <c r="Q1162" s="42" t="n">
        <v>10700</v>
      </c>
      <c r="R1162" s="43">
        <f>IF($B1162="","",N($S1162)-N($Q1162))</f>
        <v/>
      </c>
      <c r="S1162" s="43">
        <f>IF($B1162="","",N($L1162)+N($N1162)+N($P1162))</f>
        <v/>
      </c>
      <c r="T1162" s="42" t="n"/>
      <c r="U1162" s="42" t="n"/>
      <c r="V1162" s="42" t="n"/>
      <c r="W1162" s="42" t="n"/>
      <c r="X1162" s="42" t="n"/>
      <c r="Y1162" s="42" t="n"/>
      <c r="Z1162" s="42" t="n"/>
      <c r="AA1162" s="42" t="n"/>
      <c r="AB1162" s="42" t="n"/>
      <c r="AC1162" s="42" t="n"/>
      <c r="AD1162" s="42" t="n"/>
      <c r="AE1162" s="42" t="n"/>
      <c r="AF1162" s="43">
        <f>IF($B1162="","",SUM($T1162:$AE1162))</f>
        <v/>
      </c>
      <c r="AG1162" s="43">
        <f>IF($B1162="","",N($M1162)-N($AF1162))</f>
        <v/>
      </c>
      <c r="AH1162" s="43">
        <f>IF($B1162="","",N($L1162)-N($AF1162))</f>
        <v/>
      </c>
      <c r="AI1162" s="149">
        <f>IF($B1162="","",IF(N($L1162)=0,"",(N($L1162)-N($AF1162))/N($L1162)))</f>
        <v/>
      </c>
    </row>
    <row r="1163">
      <c r="A1163" s="39">
        <f>IF($B1163="","",COUNTA($B$4:$B1163))</f>
        <v/>
      </c>
      <c r="B1163" s="45" t="n">
        <v>46154</v>
      </c>
      <c r="C1163" s="46" t="n">
        <v>2911</v>
      </c>
      <c r="D1163" s="46" t="inlineStr">
        <is>
          <t>الشريف</t>
        </is>
      </c>
      <c r="E1163" s="46" t="inlineStr">
        <is>
          <t>2*20</t>
        </is>
      </c>
      <c r="F1163" s="46" t="n"/>
      <c r="G1163" s="46" t="inlineStr">
        <is>
          <t xml:space="preserve">عرب مساعد </t>
        </is>
      </c>
      <c r="H1163" s="46" t="inlineStr">
        <is>
          <t>632504/7-989160/1</t>
        </is>
      </c>
      <c r="I1163" s="46" t="inlineStr">
        <is>
          <t>ص ع ا 7825</t>
        </is>
      </c>
      <c r="J1163" s="46" t="inlineStr">
        <is>
          <t xml:space="preserve">رامى الميت </t>
        </is>
      </c>
      <c r="K1163" s="46" t="inlineStr">
        <is>
          <t xml:space="preserve">الميت </t>
        </is>
      </c>
      <c r="L1163" s="47" t="n">
        <v>23000</v>
      </c>
      <c r="M1163" s="47" t="n">
        <v>12100</v>
      </c>
      <c r="N1163" s="47" t="n"/>
      <c r="O1163" s="47" t="n">
        <v>200</v>
      </c>
      <c r="P1163" s="47" t="n"/>
      <c r="Q1163" s="47" t="n">
        <v>10700</v>
      </c>
      <c r="R1163" s="43">
        <f>IF($B1163="","",N($S1163)-N($Q1163))</f>
        <v/>
      </c>
      <c r="S1163" s="43">
        <f>IF($B1163="","",N($L1163)+N($N1163)+N($P1163))</f>
        <v/>
      </c>
      <c r="T1163" s="47" t="n"/>
      <c r="U1163" s="47" t="n"/>
      <c r="V1163" s="47" t="n"/>
      <c r="W1163" s="47" t="n"/>
      <c r="X1163" s="47" t="n"/>
      <c r="Y1163" s="47" t="n"/>
      <c r="Z1163" s="47" t="n"/>
      <c r="AA1163" s="47" t="n"/>
      <c r="AB1163" s="47" t="n"/>
      <c r="AC1163" s="47" t="n"/>
      <c r="AD1163" s="47" t="n"/>
      <c r="AE1163" s="47" t="n"/>
      <c r="AF1163" s="43">
        <f>IF($B1163="","",SUM($T1163:$AE1163))</f>
        <v/>
      </c>
      <c r="AG1163" s="43">
        <f>IF($B1163="","",N($M1163)-N($AF1163))</f>
        <v/>
      </c>
      <c r="AH1163" s="43">
        <f>IF($B1163="","",N($L1163)-N($AF1163))</f>
        <v/>
      </c>
      <c r="AI1163" s="149">
        <f>IF($B1163="","",IF(N($L1163)=0,"",(N($L1163)-N($AF1163))/N($L1163)))</f>
        <v/>
      </c>
    </row>
    <row r="1164">
      <c r="A1164" s="39">
        <f>IF($B1164="","",COUNTA($B$4:$B1164))</f>
        <v/>
      </c>
      <c r="B1164" s="40" t="n">
        <v>46154</v>
      </c>
      <c r="C1164" s="41" t="n">
        <v>2912</v>
      </c>
      <c r="D1164" s="41" t="inlineStr">
        <is>
          <t>اسلام محروس</t>
        </is>
      </c>
      <c r="E1164" s="41" t="inlineStr">
        <is>
          <t>2*20</t>
        </is>
      </c>
      <c r="F1164" s="41" t="inlineStr">
        <is>
          <t xml:space="preserve">صان رايز </t>
        </is>
      </c>
      <c r="G1164" s="41" t="inlineStr">
        <is>
          <t xml:space="preserve">عرب مساعد </t>
        </is>
      </c>
      <c r="H1164" s="41" t="inlineStr">
        <is>
          <t>354873/0-277764/0</t>
        </is>
      </c>
      <c r="I1164" s="41" t="inlineStr">
        <is>
          <t>ص ع ا 7462</t>
        </is>
      </c>
      <c r="J1164" s="41" t="inlineStr">
        <is>
          <t xml:space="preserve">طاهر الحجرى </t>
        </is>
      </c>
      <c r="K1164" s="41" t="inlineStr">
        <is>
          <t xml:space="preserve">الحجرى </t>
        </is>
      </c>
      <c r="L1164" s="42" t="n">
        <v>23000</v>
      </c>
      <c r="M1164" s="42" t="n">
        <v>12100</v>
      </c>
      <c r="N1164" s="42" t="n"/>
      <c r="O1164" s="42" t="n">
        <v>200</v>
      </c>
      <c r="P1164" s="42" t="n"/>
      <c r="Q1164" s="42" t="n">
        <v>10700</v>
      </c>
      <c r="R1164" s="43">
        <f>IF($B1164="","",N($S1164)-N($Q1164))</f>
        <v/>
      </c>
      <c r="S1164" s="43">
        <f>IF($B1164="","",N($L1164)+N($N1164)+N($P1164))</f>
        <v/>
      </c>
      <c r="T1164" s="42" t="n"/>
      <c r="U1164" s="42" t="n"/>
      <c r="V1164" s="42" t="n"/>
      <c r="W1164" s="42" t="n"/>
      <c r="X1164" s="42" t="n"/>
      <c r="Y1164" s="42" t="n"/>
      <c r="Z1164" s="42" t="n"/>
      <c r="AA1164" s="42" t="n"/>
      <c r="AB1164" s="42" t="n"/>
      <c r="AC1164" s="42" t="n"/>
      <c r="AD1164" s="42" t="n"/>
      <c r="AE1164" s="42" t="n"/>
      <c r="AF1164" s="43">
        <f>IF($B1164="","",SUM($T1164:$AE1164))</f>
        <v/>
      </c>
      <c r="AG1164" s="43">
        <f>IF($B1164="","",N($M1164)-N($AF1164))</f>
        <v/>
      </c>
      <c r="AH1164" s="43">
        <f>IF($B1164="","",N($L1164)-N($AF1164))</f>
        <v/>
      </c>
      <c r="AI1164" s="149">
        <f>IF($B1164="","",IF(N($L1164)=0,"",(N($L1164)-N($AF1164))/N($L1164)))</f>
        <v/>
      </c>
    </row>
    <row r="1165">
      <c r="A1165" s="39">
        <f>IF($B1165="","",COUNTA($B$4:$B1165))</f>
        <v/>
      </c>
      <c r="B1165" s="45" t="n">
        <v>46154</v>
      </c>
      <c r="C1165" s="46" t="n">
        <v>2688</v>
      </c>
      <c r="D1165" s="46" t="inlineStr">
        <is>
          <t xml:space="preserve">احمد عبدو </t>
        </is>
      </c>
      <c r="E1165" s="46" t="inlineStr">
        <is>
          <t>1*40</t>
        </is>
      </c>
      <c r="F1165" s="46" t="inlineStr">
        <is>
          <t xml:space="preserve">الريعى </t>
        </is>
      </c>
      <c r="G1165" s="46" t="inlineStr">
        <is>
          <t>ابو حماد</t>
        </is>
      </c>
      <c r="H1165" s="46" t="inlineStr">
        <is>
          <t>693085/6</t>
        </is>
      </c>
      <c r="I1165" s="46" t="inlineStr">
        <is>
          <t>س ا ه 8198</t>
        </is>
      </c>
      <c r="J1165" s="46" t="inlineStr">
        <is>
          <t xml:space="preserve">وجية علد الصابور </t>
        </is>
      </c>
      <c r="K1165" s="46" t="inlineStr">
        <is>
          <t xml:space="preserve">علاء علام </t>
        </is>
      </c>
      <c r="L1165" s="47" t="n">
        <v>17000</v>
      </c>
      <c r="M1165" s="47" t="n">
        <v>9100</v>
      </c>
      <c r="N1165" s="47" t="n"/>
      <c r="O1165" s="47" t="n">
        <v>200</v>
      </c>
      <c r="P1165" s="47" t="n"/>
      <c r="Q1165" s="47" t="n">
        <v>7700</v>
      </c>
      <c r="R1165" s="43">
        <f>IF($B1165="","",N($S1165)-N($Q1165))</f>
        <v/>
      </c>
      <c r="S1165" s="43">
        <f>IF($B1165="","",N($L1165)+N($N1165)+N($P1165))</f>
        <v/>
      </c>
      <c r="T1165" s="47" t="n"/>
      <c r="U1165" s="47" t="n"/>
      <c r="V1165" s="47" t="n"/>
      <c r="W1165" s="47" t="n"/>
      <c r="X1165" s="47" t="n"/>
      <c r="Y1165" s="47" t="n"/>
      <c r="Z1165" s="47" t="n"/>
      <c r="AA1165" s="47" t="n"/>
      <c r="AB1165" s="47" t="n"/>
      <c r="AC1165" s="47" t="n"/>
      <c r="AD1165" s="47" t="n"/>
      <c r="AE1165" s="47" t="n"/>
      <c r="AF1165" s="43">
        <f>IF($B1165="","",SUM($T1165:$AE1165))</f>
        <v/>
      </c>
      <c r="AG1165" s="43">
        <f>IF($B1165="","",N($M1165)-N($AF1165))</f>
        <v/>
      </c>
      <c r="AH1165" s="43">
        <f>IF($B1165="","",N($L1165)-N($AF1165))</f>
        <v/>
      </c>
      <c r="AI1165" s="149">
        <f>IF($B1165="","",IF(N($L1165)=0,"",(N($L1165)-N($AF1165))/N($L1165)))</f>
        <v/>
      </c>
    </row>
    <row r="1166">
      <c r="A1166" s="39">
        <f>IF($B1166="","",COUNTA($B$4:$B1166))</f>
        <v/>
      </c>
      <c r="B1166" s="40" t="n">
        <v>46154</v>
      </c>
      <c r="C1166" s="41" t="n">
        <v>2689</v>
      </c>
      <c r="D1166" s="41" t="inlineStr">
        <is>
          <t xml:space="preserve">الانصارى </t>
        </is>
      </c>
      <c r="E1166" s="41" t="inlineStr">
        <is>
          <t>1*40</t>
        </is>
      </c>
      <c r="F1166" s="41" t="inlineStr">
        <is>
          <t xml:space="preserve">الريعى </t>
        </is>
      </c>
      <c r="G1166" s="41" t="inlineStr">
        <is>
          <t>ابو حماد</t>
        </is>
      </c>
      <c r="H1166" s="41" t="inlineStr">
        <is>
          <t>608690/5</t>
        </is>
      </c>
      <c r="I1166" s="41" t="inlineStr">
        <is>
          <t>ط ف ر 1474</t>
        </is>
      </c>
      <c r="J1166" s="41" t="inlineStr">
        <is>
          <t xml:space="preserve">جمال على </t>
        </is>
      </c>
      <c r="K1166" s="41" t="inlineStr">
        <is>
          <t xml:space="preserve">كريم خليف </t>
        </is>
      </c>
      <c r="L1166" s="42" t="n">
        <v>17000</v>
      </c>
      <c r="M1166" s="42" t="n">
        <v>9100</v>
      </c>
      <c r="N1166" s="42" t="n"/>
      <c r="O1166" s="42" t="n">
        <v>200</v>
      </c>
      <c r="P1166" s="42" t="n"/>
      <c r="Q1166" s="42" t="n">
        <v>7700</v>
      </c>
      <c r="R1166" s="43">
        <f>IF($B1166="","",N($S1166)-N($Q1166))</f>
        <v/>
      </c>
      <c r="S1166" s="43">
        <f>IF($B1166="","",N($L1166)+N($N1166)+N($P1166))</f>
        <v/>
      </c>
      <c r="T1166" s="42" t="n"/>
      <c r="U1166" s="42" t="n"/>
      <c r="V1166" s="42" t="n"/>
      <c r="W1166" s="42" t="n"/>
      <c r="X1166" s="42" t="n"/>
      <c r="Y1166" s="42" t="n"/>
      <c r="Z1166" s="42" t="n"/>
      <c r="AA1166" s="42" t="n"/>
      <c r="AB1166" s="42" t="n"/>
      <c r="AC1166" s="42" t="n"/>
      <c r="AD1166" s="42" t="n"/>
      <c r="AE1166" s="42" t="n"/>
      <c r="AF1166" s="43">
        <f>IF($B1166="","",SUM($T1166:$AE1166))</f>
        <v/>
      </c>
      <c r="AG1166" s="43">
        <f>IF($B1166="","",N($M1166)-N($AF1166))</f>
        <v/>
      </c>
      <c r="AH1166" s="43">
        <f>IF($B1166="","",N($L1166)-N($AF1166))</f>
        <v/>
      </c>
      <c r="AI1166" s="149">
        <f>IF($B1166="","",IF(N($L1166)=0,"",(N($L1166)-N($AF1166))/N($L1166)))</f>
        <v/>
      </c>
    </row>
    <row r="1167">
      <c r="A1167" s="39">
        <f>IF($B1167="","",COUNTA($B$4:$B1167))</f>
        <v/>
      </c>
      <c r="B1167" s="45" t="n">
        <v>46154</v>
      </c>
      <c r="C1167" s="46" t="n">
        <v>2913</v>
      </c>
      <c r="D1167" s="46" t="inlineStr">
        <is>
          <t>الشريف</t>
        </is>
      </c>
      <c r="E1167" s="46" t="inlineStr">
        <is>
          <t>2*20</t>
        </is>
      </c>
      <c r="F1167" s="46" t="inlineStr">
        <is>
          <t xml:space="preserve">اكما </t>
        </is>
      </c>
      <c r="G1167" s="46" t="inlineStr">
        <is>
          <t>بنى سويف</t>
        </is>
      </c>
      <c r="H1167" s="46" t="inlineStr">
        <is>
          <t>264937/8-289705/5</t>
        </is>
      </c>
      <c r="I1167" s="46" t="inlineStr">
        <is>
          <t>ب ط ا 1934</t>
        </is>
      </c>
      <c r="J1167" s="46" t="inlineStr">
        <is>
          <t xml:space="preserve">ابراهيم الميت </t>
        </is>
      </c>
      <c r="K1167" s="46" t="inlineStr">
        <is>
          <t xml:space="preserve">الميت </t>
        </is>
      </c>
      <c r="L1167" s="47" t="n">
        <v>24000</v>
      </c>
      <c r="M1167" s="47" t="n">
        <v>12100</v>
      </c>
      <c r="N1167" s="47" t="n"/>
      <c r="O1167" s="47" t="n">
        <v>200</v>
      </c>
      <c r="P1167" s="47" t="n"/>
      <c r="Q1167" s="47" t="n">
        <v>11700</v>
      </c>
      <c r="R1167" s="43">
        <f>IF($B1167="","",N($S1167)-N($Q1167))</f>
        <v/>
      </c>
      <c r="S1167" s="43">
        <f>IF($B1167="","",N($L1167)+N($N1167)+N($P1167))</f>
        <v/>
      </c>
      <c r="T1167" s="47" t="n"/>
      <c r="U1167" s="47" t="n"/>
      <c r="V1167" s="47" t="n"/>
      <c r="W1167" s="47" t="n"/>
      <c r="X1167" s="47" t="n"/>
      <c r="Y1167" s="47" t="n"/>
      <c r="Z1167" s="47" t="n"/>
      <c r="AA1167" s="47" t="n"/>
      <c r="AB1167" s="47" t="n"/>
      <c r="AC1167" s="47" t="n"/>
      <c r="AD1167" s="47" t="n"/>
      <c r="AE1167" s="47" t="n"/>
      <c r="AF1167" s="43">
        <f>IF($B1167="","",SUM($T1167:$AE1167))</f>
        <v/>
      </c>
      <c r="AG1167" s="43">
        <f>IF($B1167="","",N($M1167)-N($AF1167))</f>
        <v/>
      </c>
      <c r="AH1167" s="43">
        <f>IF($B1167="","",N($L1167)-N($AF1167))</f>
        <v/>
      </c>
      <c r="AI1167" s="149">
        <f>IF($B1167="","",IF(N($L1167)=0,"",(N($L1167)-N($AF1167))/N($L1167)))</f>
        <v/>
      </c>
    </row>
    <row r="1168">
      <c r="A1168" s="39">
        <f>IF($B1168="","",COUNTA($B$4:$B1168))</f>
        <v/>
      </c>
      <c r="B1168" s="40" t="n">
        <v>46154</v>
      </c>
      <c r="C1168" s="41" t="n">
        <v>2910</v>
      </c>
      <c r="D1168" s="41" t="inlineStr">
        <is>
          <t>الشريف</t>
        </is>
      </c>
      <c r="E1168" s="41" t="inlineStr">
        <is>
          <t>2*20</t>
        </is>
      </c>
      <c r="F1168" s="41" t="inlineStr">
        <is>
          <t xml:space="preserve">اكما </t>
        </is>
      </c>
      <c r="G1168" s="41" t="inlineStr">
        <is>
          <t>بنى سويف</t>
        </is>
      </c>
      <c r="H1168" s="41" t="inlineStr">
        <is>
          <t>268034/9-078474/0</t>
        </is>
      </c>
      <c r="I1168" s="41" t="inlineStr">
        <is>
          <t>ب ط ع 3576</t>
        </is>
      </c>
      <c r="J1168" s="41" t="inlineStr">
        <is>
          <t xml:space="preserve">محمد الميت </t>
        </is>
      </c>
      <c r="K1168" s="41" t="inlineStr">
        <is>
          <t xml:space="preserve">الميت </t>
        </is>
      </c>
      <c r="L1168" s="42" t="n">
        <v>24000</v>
      </c>
      <c r="M1168" s="42" t="n">
        <v>12100</v>
      </c>
      <c r="N1168" s="42" t="n"/>
      <c r="O1168" s="42" t="n">
        <v>200</v>
      </c>
      <c r="P1168" s="42" t="n"/>
      <c r="Q1168" s="42" t="n">
        <v>11700</v>
      </c>
      <c r="R1168" s="43">
        <f>IF($B1168="","",N($S1168)-N($Q1168))</f>
        <v/>
      </c>
      <c r="S1168" s="43">
        <f>IF($B1168="","",N($L1168)+N($N1168)+N($P1168))</f>
        <v/>
      </c>
      <c r="T1168" s="42" t="n"/>
      <c r="U1168" s="42" t="n"/>
      <c r="V1168" s="42" t="n"/>
      <c r="W1168" s="42" t="n"/>
      <c r="X1168" s="42" t="n"/>
      <c r="Y1168" s="42" t="n"/>
      <c r="Z1168" s="42" t="n"/>
      <c r="AA1168" s="42" t="n"/>
      <c r="AB1168" s="42" t="n"/>
      <c r="AC1168" s="42" t="n"/>
      <c r="AD1168" s="42" t="n"/>
      <c r="AE1168" s="42" t="n"/>
      <c r="AF1168" s="43">
        <f>IF($B1168="","",SUM($T1168:$AE1168))</f>
        <v/>
      </c>
      <c r="AG1168" s="43">
        <f>IF($B1168="","",N($M1168)-N($AF1168))</f>
        <v/>
      </c>
      <c r="AH1168" s="43">
        <f>IF($B1168="","",N($L1168)-N($AF1168))</f>
        <v/>
      </c>
      <c r="AI1168" s="149">
        <f>IF($B1168="","",IF(N($L1168)=0,"",(N($L1168)-N($AF1168))/N($L1168)))</f>
        <v/>
      </c>
    </row>
    <row r="1169">
      <c r="A1169" s="39">
        <f>IF($B1169="","",COUNTA($B$4:$B1169))</f>
        <v/>
      </c>
      <c r="B1169" s="45" t="n">
        <v>46154</v>
      </c>
      <c r="C1169" s="46" t="n">
        <v>2909</v>
      </c>
      <c r="D1169" s="46" t="inlineStr">
        <is>
          <t>اسلام محروس</t>
        </is>
      </c>
      <c r="E1169" s="46" t="inlineStr">
        <is>
          <t>2*20</t>
        </is>
      </c>
      <c r="F1169" s="46" t="inlineStr">
        <is>
          <t xml:space="preserve">اكما </t>
        </is>
      </c>
      <c r="G1169" s="46" t="inlineStr">
        <is>
          <t>بنى سويف</t>
        </is>
      </c>
      <c r="H1169" s="46" t="inlineStr">
        <is>
          <t>565741/5-229749/0</t>
        </is>
      </c>
      <c r="I1169" s="46" t="inlineStr">
        <is>
          <t>ب د ف 3891</t>
        </is>
      </c>
      <c r="J1169" s="46" t="inlineStr">
        <is>
          <t>اشرف الحجرى</t>
        </is>
      </c>
      <c r="K1169" s="46" t="inlineStr">
        <is>
          <t xml:space="preserve">الحجرى </t>
        </is>
      </c>
      <c r="L1169" s="47" t="n">
        <v>24000</v>
      </c>
      <c r="M1169" s="47" t="n">
        <v>12100</v>
      </c>
      <c r="N1169" s="47" t="n"/>
      <c r="O1169" s="47" t="n">
        <v>200</v>
      </c>
      <c r="P1169" s="47" t="n"/>
      <c r="Q1169" s="47" t="n">
        <v>11700</v>
      </c>
      <c r="R1169" s="43">
        <f>IF($B1169="","",N($S1169)-N($Q1169))</f>
        <v/>
      </c>
      <c r="S1169" s="43">
        <f>IF($B1169="","",N($L1169)+N($N1169)+N($P1169))</f>
        <v/>
      </c>
      <c r="T1169" s="47" t="n"/>
      <c r="U1169" s="47" t="n"/>
      <c r="V1169" s="47" t="n"/>
      <c r="W1169" s="47" t="n"/>
      <c r="X1169" s="47" t="n"/>
      <c r="Y1169" s="47" t="n"/>
      <c r="Z1169" s="47" t="n"/>
      <c r="AA1169" s="47" t="n"/>
      <c r="AB1169" s="47" t="n"/>
      <c r="AC1169" s="47" t="n"/>
      <c r="AD1169" s="47" t="n"/>
      <c r="AE1169" s="47" t="n"/>
      <c r="AF1169" s="43">
        <f>IF($B1169="","",SUM($T1169:$AE1169))</f>
        <v/>
      </c>
      <c r="AG1169" s="43">
        <f>IF($B1169="","",N($M1169)-N($AF1169))</f>
        <v/>
      </c>
      <c r="AH1169" s="43">
        <f>IF($B1169="","",N($L1169)-N($AF1169))</f>
        <v/>
      </c>
      <c r="AI1169" s="149">
        <f>IF($B1169="","",IF(N($L1169)=0,"",(N($L1169)-N($AF1169))/N($L1169)))</f>
        <v/>
      </c>
    </row>
    <row r="1170">
      <c r="A1170" s="39">
        <f>IF($B1170="","",COUNTA($B$4:$B1170))</f>
        <v/>
      </c>
      <c r="B1170" s="40" t="n">
        <v>46154</v>
      </c>
      <c r="C1170" s="41" t="n">
        <v>2915</v>
      </c>
      <c r="D1170" s="41" t="inlineStr">
        <is>
          <t xml:space="preserve">احمد سونة </t>
        </is>
      </c>
      <c r="E1170" s="41" t="inlineStr">
        <is>
          <t>2*20</t>
        </is>
      </c>
      <c r="F1170" s="41" t="inlineStr">
        <is>
          <t xml:space="preserve">اكما </t>
        </is>
      </c>
      <c r="G1170" s="41" t="inlineStr">
        <is>
          <t>بنى سويف</t>
        </is>
      </c>
      <c r="H1170" s="41" t="inlineStr">
        <is>
          <t>214121/0-126860/3</t>
        </is>
      </c>
      <c r="I1170" s="41" t="inlineStr">
        <is>
          <t>ع ا ل 9323</t>
        </is>
      </c>
      <c r="J1170" s="41" t="inlineStr">
        <is>
          <t xml:space="preserve">فتحى متولى </t>
        </is>
      </c>
      <c r="K1170" s="41" t="inlineStr">
        <is>
          <t xml:space="preserve">محمد خطاب </t>
        </is>
      </c>
      <c r="L1170" s="42" t="n">
        <v>24000</v>
      </c>
      <c r="M1170" s="42" t="n">
        <v>12100</v>
      </c>
      <c r="N1170" s="42" t="n"/>
      <c r="O1170" s="42" t="n">
        <v>200</v>
      </c>
      <c r="P1170" s="42" t="n"/>
      <c r="Q1170" s="42" t="n">
        <v>11700</v>
      </c>
      <c r="R1170" s="43">
        <f>IF($B1170="","",N($S1170)-N($Q1170))</f>
        <v/>
      </c>
      <c r="S1170" s="43">
        <f>IF($B1170="","",N($L1170)+N($N1170)+N($P1170))</f>
        <v/>
      </c>
      <c r="T1170" s="42" t="n"/>
      <c r="U1170" s="42" t="n"/>
      <c r="V1170" s="42" t="n"/>
      <c r="W1170" s="42" t="n"/>
      <c r="X1170" s="42" t="n"/>
      <c r="Y1170" s="42" t="n"/>
      <c r="Z1170" s="42" t="n"/>
      <c r="AA1170" s="42" t="n"/>
      <c r="AB1170" s="42" t="n"/>
      <c r="AC1170" s="42" t="n"/>
      <c r="AD1170" s="42" t="n"/>
      <c r="AE1170" s="42" t="n"/>
      <c r="AF1170" s="43">
        <f>IF($B1170="","",SUM($T1170:$AE1170))</f>
        <v/>
      </c>
      <c r="AG1170" s="43">
        <f>IF($B1170="","",N($M1170)-N($AF1170))</f>
        <v/>
      </c>
      <c r="AH1170" s="43">
        <f>IF($B1170="","",N($L1170)-N($AF1170))</f>
        <v/>
      </c>
      <c r="AI1170" s="149">
        <f>IF($B1170="","",IF(N($L1170)=0,"",(N($L1170)-N($AF1170))/N($L1170)))</f>
        <v/>
      </c>
    </row>
    <row r="1171">
      <c r="A1171" s="39">
        <f>IF($B1171="","",COUNTA($B$4:$B1171))</f>
        <v/>
      </c>
      <c r="B1171" s="45" t="n">
        <v>46154</v>
      </c>
      <c r="C1171" s="46" t="n">
        <v>2833</v>
      </c>
      <c r="D1171" s="46" t="inlineStr">
        <is>
          <t>ايوب</t>
        </is>
      </c>
      <c r="E1171" s="46" t="inlineStr">
        <is>
          <t>1*20</t>
        </is>
      </c>
      <c r="F1171" s="46" t="inlineStr">
        <is>
          <t>براندايد</t>
        </is>
      </c>
      <c r="G1171" s="46" t="inlineStr">
        <is>
          <t xml:space="preserve">مؤسسة الذكاة </t>
        </is>
      </c>
      <c r="H1171" s="46" t="inlineStr">
        <is>
          <t>287280/4</t>
        </is>
      </c>
      <c r="I1171" s="46" t="inlineStr">
        <is>
          <t>ب د ن 5863</t>
        </is>
      </c>
      <c r="J1171" s="46" t="inlineStr">
        <is>
          <t xml:space="preserve">احمد السعيد </t>
        </is>
      </c>
      <c r="K1171" s="46" t="inlineStr">
        <is>
          <t xml:space="preserve">ايوب </t>
        </is>
      </c>
      <c r="L1171" s="47" t="n">
        <v>12000</v>
      </c>
      <c r="M1171" s="47" t="n">
        <v>7100</v>
      </c>
      <c r="N1171" s="47" t="n"/>
      <c r="O1171" s="47" t="n">
        <v>200</v>
      </c>
      <c r="P1171" s="47" t="n"/>
      <c r="Q1171" s="47" t="n"/>
      <c r="R1171" s="43">
        <f>IF($B1171="","",N($S1171)-N($Q1171))</f>
        <v/>
      </c>
      <c r="S1171" s="43">
        <f>IF($B1171="","",N($L1171)+N($N1171)+N($P1171))</f>
        <v/>
      </c>
      <c r="T1171" s="47" t="n"/>
      <c r="U1171" s="47" t="n"/>
      <c r="V1171" s="47" t="n"/>
      <c r="W1171" s="47" t="n"/>
      <c r="X1171" s="47" t="n"/>
      <c r="Y1171" s="47" t="n"/>
      <c r="Z1171" s="47" t="n"/>
      <c r="AA1171" s="47" t="n"/>
      <c r="AB1171" s="47" t="n"/>
      <c r="AC1171" s="47" t="n"/>
      <c r="AD1171" s="47" t="n"/>
      <c r="AE1171" s="47" t="n"/>
      <c r="AF1171" s="43">
        <f>IF($B1171="","",SUM($T1171:$AE1171))</f>
        <v/>
      </c>
      <c r="AG1171" s="43">
        <f>IF($B1171="","",N($M1171)-N($AF1171))</f>
        <v/>
      </c>
      <c r="AH1171" s="43">
        <f>IF($B1171="","",N($L1171)-N($AF1171))</f>
        <v/>
      </c>
      <c r="AI1171" s="149">
        <f>IF($B1171="","",IF(N($L1171)=0,"",(N($L1171)-N($AF1171))/N($L1171)))</f>
        <v/>
      </c>
    </row>
    <row r="1172">
      <c r="A1172" s="39">
        <f>IF($B1172="","",COUNTA($B$4:$B1172))</f>
        <v/>
      </c>
      <c r="B1172" s="40" t="n">
        <v>46154</v>
      </c>
      <c r="C1172" s="41" t="n">
        <v>2971</v>
      </c>
      <c r="D1172" s="41" t="inlineStr">
        <is>
          <t>رمزى ابو النور</t>
        </is>
      </c>
      <c r="E1172" s="41" t="inlineStr">
        <is>
          <t>1*20</t>
        </is>
      </c>
      <c r="F1172" s="41" t="inlineStr">
        <is>
          <t xml:space="preserve">اورجانيك </t>
        </is>
      </c>
      <c r="G1172" s="41" t="inlineStr">
        <is>
          <t>بنى سويف</t>
        </is>
      </c>
      <c r="H1172" s="41" t="inlineStr">
        <is>
          <t>283055/4</t>
        </is>
      </c>
      <c r="I1172" s="41" t="inlineStr">
        <is>
          <t>ب ر ا 2548</t>
        </is>
      </c>
      <c r="J1172" s="41" t="inlineStr">
        <is>
          <t xml:space="preserve">محمد صقر </t>
        </is>
      </c>
      <c r="K1172" s="41" t="inlineStr">
        <is>
          <t>رومانى</t>
        </is>
      </c>
      <c r="L1172" s="42" t="n">
        <v>16000</v>
      </c>
      <c r="M1172" s="42" t="n">
        <v>9100</v>
      </c>
      <c r="N1172" s="42" t="n"/>
      <c r="O1172" s="42" t="n">
        <v>200</v>
      </c>
      <c r="P1172" s="42" t="n"/>
      <c r="Q1172" s="42" t="n">
        <v>6700</v>
      </c>
      <c r="R1172" s="43">
        <f>IF($B1172="","",N($S1172)-N($Q1172))</f>
        <v/>
      </c>
      <c r="S1172" s="43">
        <f>IF($B1172="","",N($L1172)+N($N1172)+N($P1172))</f>
        <v/>
      </c>
      <c r="T1172" s="42" t="n"/>
      <c r="U1172" s="42" t="n"/>
      <c r="V1172" s="42" t="n"/>
      <c r="W1172" s="42" t="n"/>
      <c r="X1172" s="42" t="n"/>
      <c r="Y1172" s="42" t="n"/>
      <c r="Z1172" s="42" t="n"/>
      <c r="AA1172" s="42" t="n"/>
      <c r="AB1172" s="42" t="n"/>
      <c r="AC1172" s="42" t="n"/>
      <c r="AD1172" s="42" t="n"/>
      <c r="AE1172" s="42" t="n"/>
      <c r="AF1172" s="43">
        <f>IF($B1172="","",SUM($T1172:$AE1172))</f>
        <v/>
      </c>
      <c r="AG1172" s="43">
        <f>IF($B1172="","",N($M1172)-N($AF1172))</f>
        <v/>
      </c>
      <c r="AH1172" s="43">
        <f>IF($B1172="","",N($L1172)-N($AF1172))</f>
        <v/>
      </c>
      <c r="AI1172" s="149">
        <f>IF($B1172="","",IF(N($L1172)=0,"",(N($L1172)-N($AF1172))/N($L1172)))</f>
        <v/>
      </c>
    </row>
    <row r="1173">
      <c r="A1173" s="39">
        <f>IF($B1173="","",COUNTA($B$4:$B1173))</f>
        <v/>
      </c>
      <c r="B1173" s="45" t="n">
        <v>46155</v>
      </c>
      <c r="C1173" s="46" t="n">
        <v>2916</v>
      </c>
      <c r="D1173" s="46" t="inlineStr">
        <is>
          <t xml:space="preserve">الانصارى </t>
        </is>
      </c>
      <c r="E1173" s="46" t="inlineStr">
        <is>
          <t>1*40 ث</t>
        </is>
      </c>
      <c r="F1173" s="46" t="inlineStr">
        <is>
          <t>الرافة</t>
        </is>
      </c>
      <c r="G1173" s="46" t="inlineStr">
        <is>
          <t xml:space="preserve">م بدر </t>
        </is>
      </c>
      <c r="H1173" s="46" t="inlineStr">
        <is>
          <t>943310/8</t>
        </is>
      </c>
      <c r="I1173" s="46" t="inlineStr">
        <is>
          <t>ط ف ر 1474</t>
        </is>
      </c>
      <c r="J1173" s="46" t="inlineStr">
        <is>
          <t xml:space="preserve">جمال على </t>
        </is>
      </c>
      <c r="K1173" s="46" t="inlineStr">
        <is>
          <t xml:space="preserve">كريم خليف </t>
        </is>
      </c>
      <c r="L1173" s="47" t="n">
        <v>15000</v>
      </c>
      <c r="M1173" s="47" t="n">
        <v>8100</v>
      </c>
      <c r="N1173" s="47" t="n"/>
      <c r="O1173" s="47" t="n">
        <v>200</v>
      </c>
      <c r="P1173" s="47" t="n"/>
      <c r="Q1173" s="47" t="n">
        <v>6700</v>
      </c>
      <c r="R1173" s="43">
        <f>IF($B1173="","",N($S1173)-N($Q1173))</f>
        <v/>
      </c>
      <c r="S1173" s="43">
        <f>IF($B1173="","",N($L1173)+N($N1173)+N($P1173))</f>
        <v/>
      </c>
      <c r="T1173" s="47" t="n"/>
      <c r="U1173" s="47" t="n"/>
      <c r="V1173" s="47" t="n"/>
      <c r="W1173" s="47" t="n"/>
      <c r="X1173" s="47" t="n"/>
      <c r="Y1173" s="47" t="n"/>
      <c r="Z1173" s="47" t="n"/>
      <c r="AA1173" s="47" t="n"/>
      <c r="AB1173" s="47" t="n"/>
      <c r="AC1173" s="47" t="n"/>
      <c r="AD1173" s="47" t="n"/>
      <c r="AE1173" s="47" t="n"/>
      <c r="AF1173" s="43">
        <f>IF($B1173="","",SUM($T1173:$AE1173))</f>
        <v/>
      </c>
      <c r="AG1173" s="43">
        <f>IF($B1173="","",N($M1173)-N($AF1173))</f>
        <v/>
      </c>
      <c r="AH1173" s="43">
        <f>IF($B1173="","",N($L1173)-N($AF1173))</f>
        <v/>
      </c>
      <c r="AI1173" s="149">
        <f>IF($B1173="","",IF(N($L1173)=0,"",(N($L1173)-N($AF1173))/N($L1173)))</f>
        <v/>
      </c>
    </row>
    <row r="1174">
      <c r="A1174" s="39">
        <f>IF($B1174="","",COUNTA($B$4:$B1174))</f>
        <v/>
      </c>
      <c r="B1174" s="40" t="n">
        <v>46155</v>
      </c>
      <c r="C1174" s="41" t="n">
        <v>2836</v>
      </c>
      <c r="D1174" s="41" t="inlineStr">
        <is>
          <t xml:space="preserve">محمد مجدى </t>
        </is>
      </c>
      <c r="E1174" s="41" t="inlineStr">
        <is>
          <t>1*40 ث</t>
        </is>
      </c>
      <c r="F1174" s="41" t="inlineStr">
        <is>
          <t xml:space="preserve">اورينت </t>
        </is>
      </c>
      <c r="G1174" s="41" t="inlineStr">
        <is>
          <t xml:space="preserve">العاشر </t>
        </is>
      </c>
      <c r="H1174" s="41" t="inlineStr">
        <is>
          <t>586974/2</t>
        </is>
      </c>
      <c r="I1174" s="41" t="inlineStr">
        <is>
          <t>ع ر ب 1573</t>
        </is>
      </c>
      <c r="J1174" s="41" t="inlineStr">
        <is>
          <t xml:space="preserve">محمد السيد </t>
        </is>
      </c>
      <c r="K1174" s="41" t="inlineStr">
        <is>
          <t xml:space="preserve">مرزوق </t>
        </is>
      </c>
      <c r="L1174" s="42" t="n">
        <v>15500</v>
      </c>
      <c r="M1174" s="42" t="n">
        <v>8100</v>
      </c>
      <c r="N1174" s="42" t="n"/>
      <c r="O1174" s="42" t="n">
        <v>200</v>
      </c>
      <c r="P1174" s="42" t="n"/>
      <c r="Q1174" s="42" t="n">
        <v>7200</v>
      </c>
      <c r="R1174" s="43">
        <f>IF($B1174="","",N($S1174)-N($Q1174))</f>
        <v/>
      </c>
      <c r="S1174" s="43">
        <f>IF($B1174="","",N($L1174)+N($N1174)+N($P1174))</f>
        <v/>
      </c>
      <c r="T1174" s="42" t="n"/>
      <c r="U1174" s="42" t="n"/>
      <c r="V1174" s="42" t="n"/>
      <c r="W1174" s="42" t="n"/>
      <c r="X1174" s="42" t="n"/>
      <c r="Y1174" s="42" t="n"/>
      <c r="Z1174" s="42" t="n"/>
      <c r="AA1174" s="42" t="n"/>
      <c r="AB1174" s="42" t="n"/>
      <c r="AC1174" s="42" t="n"/>
      <c r="AD1174" s="42" t="n"/>
      <c r="AE1174" s="42" t="n"/>
      <c r="AF1174" s="43">
        <f>IF($B1174="","",SUM($T1174:$AE1174))</f>
        <v/>
      </c>
      <c r="AG1174" s="43">
        <f>IF($B1174="","",N($M1174)-N($AF1174))</f>
        <v/>
      </c>
      <c r="AH1174" s="43">
        <f>IF($B1174="","",N($L1174)-N($AF1174))</f>
        <v/>
      </c>
      <c r="AI1174" s="149">
        <f>IF($B1174="","",IF(N($L1174)=0,"",(N($L1174)-N($AF1174))/N($L1174)))</f>
        <v/>
      </c>
    </row>
    <row r="1175">
      <c r="A1175" s="39">
        <f>IF($B1175="","",COUNTA($B$4:$B1175))</f>
        <v/>
      </c>
      <c r="B1175" s="45" t="n">
        <v>46155</v>
      </c>
      <c r="C1175" s="46" t="n">
        <v>2835</v>
      </c>
      <c r="D1175" s="46" t="inlineStr">
        <is>
          <t xml:space="preserve">محمد الكيلانى </t>
        </is>
      </c>
      <c r="E1175" s="46" t="inlineStr">
        <is>
          <t>1*40</t>
        </is>
      </c>
      <c r="F1175" s="46" t="inlineStr">
        <is>
          <t xml:space="preserve">الكرم </t>
        </is>
      </c>
      <c r="G1175" s="46" t="inlineStr">
        <is>
          <t xml:space="preserve">العاشر </t>
        </is>
      </c>
      <c r="H1175" s="46" t="inlineStr">
        <is>
          <t>788840/9</t>
        </is>
      </c>
      <c r="I1175" s="46" t="inlineStr">
        <is>
          <t>ص ع ا 1524</t>
        </is>
      </c>
      <c r="J1175" s="46" t="inlineStr">
        <is>
          <t xml:space="preserve">عبد العزيز </t>
        </is>
      </c>
      <c r="K1175" s="46" t="inlineStr">
        <is>
          <t>استوريا</t>
        </is>
      </c>
      <c r="L1175" s="47" t="n">
        <v>15500</v>
      </c>
      <c r="M1175" s="47" t="n">
        <v>8100</v>
      </c>
      <c r="N1175" s="47" t="n"/>
      <c r="O1175" s="47" t="n">
        <v>200</v>
      </c>
      <c r="P1175" s="47" t="n"/>
      <c r="Q1175" s="47" t="n"/>
      <c r="R1175" s="43">
        <f>IF($B1175="","",N($S1175)-N($Q1175))</f>
        <v/>
      </c>
      <c r="S1175" s="43">
        <f>IF($B1175="","",N($L1175)+N($N1175)+N($P1175))</f>
        <v/>
      </c>
      <c r="T1175" s="47" t="n"/>
      <c r="U1175" s="47" t="n"/>
      <c r="V1175" s="47" t="n"/>
      <c r="W1175" s="47" t="n"/>
      <c r="X1175" s="47" t="n"/>
      <c r="Y1175" s="47" t="n"/>
      <c r="Z1175" s="47" t="n"/>
      <c r="AA1175" s="47" t="n"/>
      <c r="AB1175" s="47" t="n"/>
      <c r="AC1175" s="47" t="n"/>
      <c r="AD1175" s="47" t="n"/>
      <c r="AE1175" s="47" t="n"/>
      <c r="AF1175" s="43">
        <f>IF($B1175="","",SUM($T1175:$AE1175))</f>
        <v/>
      </c>
      <c r="AG1175" s="43">
        <f>IF($B1175="","",N($M1175)-N($AF1175))</f>
        <v/>
      </c>
      <c r="AH1175" s="43">
        <f>IF($B1175="","",N($L1175)-N($AF1175))</f>
        <v/>
      </c>
      <c r="AI1175" s="149">
        <f>IF($B1175="","",IF(N($L1175)=0,"",(N($L1175)-N($AF1175))/N($L1175)))</f>
        <v/>
      </c>
    </row>
    <row r="1176">
      <c r="A1176" s="39">
        <f>IF($B1176="","",COUNTA($B$4:$B1176))</f>
        <v/>
      </c>
      <c r="B1176" s="40" t="n">
        <v>46155</v>
      </c>
      <c r="C1176" s="41" t="n">
        <v>2697</v>
      </c>
      <c r="D1176" s="41" t="inlineStr">
        <is>
          <t xml:space="preserve">محمد سعيد </t>
        </is>
      </c>
      <c r="E1176" s="41" t="inlineStr">
        <is>
          <t>1*40</t>
        </is>
      </c>
      <c r="F1176" s="41" t="inlineStr">
        <is>
          <t xml:space="preserve">البستانية </t>
        </is>
      </c>
      <c r="G1176" s="41" t="inlineStr">
        <is>
          <t xml:space="preserve">السادات </t>
        </is>
      </c>
      <c r="H1176" s="41" t="inlineStr">
        <is>
          <t>586083/2</t>
        </is>
      </c>
      <c r="I1176" s="41" t="inlineStr">
        <is>
          <t>س ع ه 3237</t>
        </is>
      </c>
      <c r="J1176" s="41" t="inlineStr">
        <is>
          <t xml:space="preserve">محمد صالح </t>
        </is>
      </c>
      <c r="K1176" s="41" t="inlineStr">
        <is>
          <t xml:space="preserve">حمو البيبى </t>
        </is>
      </c>
      <c r="L1176" s="42" t="n">
        <v>12800</v>
      </c>
      <c r="M1176" s="42" t="n">
        <v>7100</v>
      </c>
      <c r="N1176" s="42" t="n"/>
      <c r="O1176" s="42" t="n">
        <v>200</v>
      </c>
      <c r="P1176" s="42" t="n"/>
      <c r="Q1176" s="42" t="n"/>
      <c r="R1176" s="43">
        <f>IF($B1176="","",N($S1176)-N($Q1176))</f>
        <v/>
      </c>
      <c r="S1176" s="43">
        <f>IF($B1176="","",N($L1176)+N($N1176)+N($P1176))</f>
        <v/>
      </c>
      <c r="T1176" s="42" t="n"/>
      <c r="U1176" s="42" t="n"/>
      <c r="V1176" s="42" t="n"/>
      <c r="W1176" s="42" t="n"/>
      <c r="X1176" s="42" t="n"/>
      <c r="Y1176" s="42" t="n"/>
      <c r="Z1176" s="42" t="n"/>
      <c r="AA1176" s="42" t="n"/>
      <c r="AB1176" s="42" t="n"/>
      <c r="AC1176" s="42" t="n"/>
      <c r="AD1176" s="42" t="n"/>
      <c r="AE1176" s="42" t="n"/>
      <c r="AF1176" s="43">
        <f>IF($B1176="","",SUM($T1176:$AE1176))</f>
        <v/>
      </c>
      <c r="AG1176" s="43">
        <f>IF($B1176="","",N($M1176)-N($AF1176))</f>
        <v/>
      </c>
      <c r="AH1176" s="43">
        <f>IF($B1176="","",N($L1176)-N($AF1176))</f>
        <v/>
      </c>
      <c r="AI1176" s="149">
        <f>IF($B1176="","",IF(N($L1176)=0,"",(N($L1176)-N($AF1176))/N($L1176)))</f>
        <v/>
      </c>
    </row>
    <row r="1177">
      <c r="A1177" s="39">
        <f>IF($B1177="","",COUNTA($B$4:$B1177))</f>
        <v/>
      </c>
      <c r="B1177" s="45" t="n">
        <v>46155</v>
      </c>
      <c r="C1177" s="46" t="n">
        <v>2698</v>
      </c>
      <c r="D1177" s="46" t="inlineStr">
        <is>
          <t xml:space="preserve">محمد سعيد </t>
        </is>
      </c>
      <c r="E1177" s="46" t="inlineStr">
        <is>
          <t>1*40</t>
        </is>
      </c>
      <c r="F1177" s="46" t="inlineStr">
        <is>
          <t xml:space="preserve">البستانية </t>
        </is>
      </c>
      <c r="G1177" s="46" t="inlineStr">
        <is>
          <t xml:space="preserve">السادات </t>
        </is>
      </c>
      <c r="H1177" s="46" t="inlineStr">
        <is>
          <t>492410/1</t>
        </is>
      </c>
      <c r="I1177" s="46" t="inlineStr">
        <is>
          <t>س د ه 8284</t>
        </is>
      </c>
      <c r="J1177" s="46" t="inlineStr">
        <is>
          <t xml:space="preserve">حسن اسماعيل </t>
        </is>
      </c>
      <c r="K1177" s="46" t="inlineStr">
        <is>
          <t>ابو هبش</t>
        </is>
      </c>
      <c r="L1177" s="47" t="n">
        <v>12800</v>
      </c>
      <c r="M1177" s="47" t="n">
        <v>7100</v>
      </c>
      <c r="N1177" s="47" t="n"/>
      <c r="O1177" s="47" t="n">
        <v>200</v>
      </c>
      <c r="P1177" s="47" t="n"/>
      <c r="Q1177" s="47" t="n"/>
      <c r="R1177" s="43">
        <f>IF($B1177="","",N($S1177)-N($Q1177))</f>
        <v/>
      </c>
      <c r="S1177" s="43">
        <f>IF($B1177="","",N($L1177)+N($N1177)+N($P1177))</f>
        <v/>
      </c>
      <c r="T1177" s="47" t="n"/>
      <c r="U1177" s="47" t="n"/>
      <c r="V1177" s="47" t="n"/>
      <c r="W1177" s="47" t="n"/>
      <c r="X1177" s="47" t="n"/>
      <c r="Y1177" s="47" t="n"/>
      <c r="Z1177" s="47" t="n"/>
      <c r="AA1177" s="47" t="n"/>
      <c r="AB1177" s="47" t="n"/>
      <c r="AC1177" s="47" t="n"/>
      <c r="AD1177" s="47" t="n"/>
      <c r="AE1177" s="47" t="n"/>
      <c r="AF1177" s="43">
        <f>IF($B1177="","",SUM($T1177:$AE1177))</f>
        <v/>
      </c>
      <c r="AG1177" s="43">
        <f>IF($B1177="","",N($M1177)-N($AF1177))</f>
        <v/>
      </c>
      <c r="AH1177" s="43">
        <f>IF($B1177="","",N($L1177)-N($AF1177))</f>
        <v/>
      </c>
      <c r="AI1177" s="149">
        <f>IF($B1177="","",IF(N($L1177)=0,"",(N($L1177)-N($AF1177))/N($L1177)))</f>
        <v/>
      </c>
    </row>
    <row r="1178">
      <c r="A1178" s="39">
        <f>IF($B1178="","",COUNTA($B$4:$B1178))</f>
        <v/>
      </c>
      <c r="B1178" s="40" t="n">
        <v>46155</v>
      </c>
      <c r="C1178" s="41" t="n">
        <v>2695</v>
      </c>
      <c r="D1178" s="41" t="inlineStr">
        <is>
          <t>غزال</t>
        </is>
      </c>
      <c r="E1178" s="41" t="inlineStr">
        <is>
          <t>1*40</t>
        </is>
      </c>
      <c r="F1178" s="41" t="inlineStr">
        <is>
          <t xml:space="preserve">البستانية </t>
        </is>
      </c>
      <c r="G1178" s="41" t="inlineStr">
        <is>
          <t xml:space="preserve">السادات </t>
        </is>
      </c>
      <c r="H1178" s="41" t="inlineStr">
        <is>
          <t>625168/0</t>
        </is>
      </c>
      <c r="I1178" s="41" t="inlineStr">
        <is>
          <t>س د ه 2616</t>
        </is>
      </c>
      <c r="J1178" s="41" t="inlineStr">
        <is>
          <t xml:space="preserve">عمر </t>
        </is>
      </c>
      <c r="K1178" s="41" t="inlineStr">
        <is>
          <t>اشرف غزال</t>
        </is>
      </c>
      <c r="L1178" s="42" t="n">
        <v>12800</v>
      </c>
      <c r="M1178" s="42" t="n">
        <v>7100</v>
      </c>
      <c r="N1178" s="42" t="n"/>
      <c r="O1178" s="42" t="n">
        <v>200</v>
      </c>
      <c r="P1178" s="42" t="n"/>
      <c r="Q1178" s="42" t="n">
        <v>5500</v>
      </c>
      <c r="R1178" s="43">
        <f>IF($B1178="","",N($S1178)-N($Q1178))</f>
        <v/>
      </c>
      <c r="S1178" s="43">
        <f>IF($B1178="","",N($L1178)+N($N1178)+N($P1178))</f>
        <v/>
      </c>
      <c r="T1178" s="42" t="n"/>
      <c r="U1178" s="42" t="n"/>
      <c r="V1178" s="42" t="n"/>
      <c r="W1178" s="42" t="n"/>
      <c r="X1178" s="42" t="n"/>
      <c r="Y1178" s="42" t="n"/>
      <c r="Z1178" s="42" t="n"/>
      <c r="AA1178" s="42" t="n"/>
      <c r="AB1178" s="42" t="n"/>
      <c r="AC1178" s="42" t="n"/>
      <c r="AD1178" s="42" t="n"/>
      <c r="AE1178" s="42" t="n"/>
      <c r="AF1178" s="43">
        <f>IF($B1178="","",SUM($T1178:$AE1178))</f>
        <v/>
      </c>
      <c r="AG1178" s="43">
        <f>IF($B1178="","",N($M1178)-N($AF1178))</f>
        <v/>
      </c>
      <c r="AH1178" s="43">
        <f>IF($B1178="","",N($L1178)-N($AF1178))</f>
        <v/>
      </c>
      <c r="AI1178" s="149">
        <f>IF($B1178="","",IF(N($L1178)=0,"",(N($L1178)-N($AF1178))/N($L1178)))</f>
        <v/>
      </c>
    </row>
    <row r="1179">
      <c r="A1179" s="39">
        <f>IF($B1179="","",COUNTA($B$4:$B1179))</f>
        <v/>
      </c>
      <c r="B1179" s="45" t="n">
        <v>46155</v>
      </c>
      <c r="C1179" s="46" t="n">
        <v>2696</v>
      </c>
      <c r="D1179" s="46" t="inlineStr">
        <is>
          <t xml:space="preserve">محمد سعيد </t>
        </is>
      </c>
      <c r="E1179" s="46" t="inlineStr">
        <is>
          <t>1*40</t>
        </is>
      </c>
      <c r="F1179" s="46" t="inlineStr">
        <is>
          <t xml:space="preserve">البستانية </t>
        </is>
      </c>
      <c r="G1179" s="46" t="inlineStr">
        <is>
          <t xml:space="preserve">السادات </t>
        </is>
      </c>
      <c r="H1179" s="46" t="inlineStr">
        <is>
          <t>530631/2</t>
        </is>
      </c>
      <c r="I1179" s="46" t="inlineStr">
        <is>
          <t>س و ب 5219</t>
        </is>
      </c>
      <c r="J1179" s="46" t="inlineStr">
        <is>
          <t xml:space="preserve">محمد عبد القادر </t>
        </is>
      </c>
      <c r="K1179" s="46" t="inlineStr">
        <is>
          <t xml:space="preserve">السمكرى </t>
        </is>
      </c>
      <c r="L1179" s="47" t="n">
        <v>12800</v>
      </c>
      <c r="M1179" s="47" t="n">
        <v>7100</v>
      </c>
      <c r="N1179" s="47" t="n"/>
      <c r="O1179" s="47" t="n">
        <v>200</v>
      </c>
      <c r="P1179" s="47" t="n"/>
      <c r="Q1179" s="47" t="n"/>
      <c r="R1179" s="43">
        <f>IF($B1179="","",N($S1179)-N($Q1179))</f>
        <v/>
      </c>
      <c r="S1179" s="43">
        <f>IF($B1179="","",N($L1179)+N($N1179)+N($P1179))</f>
        <v/>
      </c>
      <c r="T1179" s="47" t="n"/>
      <c r="U1179" s="47" t="n"/>
      <c r="V1179" s="47" t="n"/>
      <c r="W1179" s="47" t="n"/>
      <c r="X1179" s="47" t="n"/>
      <c r="Y1179" s="47" t="n"/>
      <c r="Z1179" s="47" t="n"/>
      <c r="AA1179" s="47" t="n"/>
      <c r="AB1179" s="47" t="n"/>
      <c r="AC1179" s="47" t="n"/>
      <c r="AD1179" s="47" t="n"/>
      <c r="AE1179" s="47" t="n"/>
      <c r="AF1179" s="43">
        <f>IF($B1179="","",SUM($T1179:$AE1179))</f>
        <v/>
      </c>
      <c r="AG1179" s="43">
        <f>IF($B1179="","",N($M1179)-N($AF1179))</f>
        <v/>
      </c>
      <c r="AH1179" s="43">
        <f>IF($B1179="","",N($L1179)-N($AF1179))</f>
        <v/>
      </c>
      <c r="AI1179" s="149">
        <f>IF($B1179="","",IF(N($L1179)=0,"",(N($L1179)-N($AF1179))/N($L1179)))</f>
        <v/>
      </c>
    </row>
    <row r="1180">
      <c r="A1180" s="39">
        <f>IF($B1180="","",COUNTA($B$4:$B1180))</f>
        <v/>
      </c>
      <c r="B1180" s="40" t="n">
        <v>46155</v>
      </c>
      <c r="C1180" s="41" t="n">
        <v>2693</v>
      </c>
      <c r="D1180" s="41" t="inlineStr">
        <is>
          <t xml:space="preserve">نوسكو </t>
        </is>
      </c>
      <c r="E1180" s="41" t="inlineStr">
        <is>
          <t>1*40</t>
        </is>
      </c>
      <c r="F1180" s="41" t="inlineStr">
        <is>
          <t xml:space="preserve">البستانية </t>
        </is>
      </c>
      <c r="G1180" s="41" t="inlineStr">
        <is>
          <t xml:space="preserve">السادات </t>
        </is>
      </c>
      <c r="H1180" s="41" t="inlineStr">
        <is>
          <t>674275/9</t>
        </is>
      </c>
      <c r="I1180" s="41" t="inlineStr">
        <is>
          <t>س د ه 1715</t>
        </is>
      </c>
      <c r="J1180" s="41" t="inlineStr">
        <is>
          <t xml:space="preserve">مصطفى فهمى </t>
        </is>
      </c>
      <c r="K1180" s="41" t="inlineStr">
        <is>
          <t xml:space="preserve">نوسكو </t>
        </is>
      </c>
      <c r="L1180" s="42" t="n">
        <v>12800</v>
      </c>
      <c r="M1180" s="42" t="n">
        <v>7100</v>
      </c>
      <c r="N1180" s="42" t="n"/>
      <c r="O1180" s="42" t="n">
        <v>200</v>
      </c>
      <c r="P1180" s="42" t="n"/>
      <c r="Q1180" s="42" t="n">
        <v>5500</v>
      </c>
      <c r="R1180" s="43">
        <f>IF($B1180="","",N($S1180)-N($Q1180))</f>
        <v/>
      </c>
      <c r="S1180" s="43">
        <f>IF($B1180="","",N($L1180)+N($N1180)+N($P1180))</f>
        <v/>
      </c>
      <c r="T1180" s="42" t="n"/>
      <c r="U1180" s="42" t="n"/>
      <c r="V1180" s="42" t="n"/>
      <c r="W1180" s="42" t="n"/>
      <c r="X1180" s="42" t="n"/>
      <c r="Y1180" s="42" t="n"/>
      <c r="Z1180" s="42" t="n"/>
      <c r="AA1180" s="42" t="n"/>
      <c r="AB1180" s="42" t="n"/>
      <c r="AC1180" s="42" t="n"/>
      <c r="AD1180" s="42" t="n"/>
      <c r="AE1180" s="42" t="n"/>
      <c r="AF1180" s="43">
        <f>IF($B1180="","",SUM($T1180:$AE1180))</f>
        <v/>
      </c>
      <c r="AG1180" s="43">
        <f>IF($B1180="","",N($M1180)-N($AF1180))</f>
        <v/>
      </c>
      <c r="AH1180" s="43">
        <f>IF($B1180="","",N($L1180)-N($AF1180))</f>
        <v/>
      </c>
      <c r="AI1180" s="149">
        <f>IF($B1180="","",IF(N($L1180)=0,"",(N($L1180)-N($AF1180))/N($L1180)))</f>
        <v/>
      </c>
    </row>
    <row r="1181">
      <c r="A1181" s="39">
        <f>IF($B1181="","",COUNTA($B$4:$B1181))</f>
        <v/>
      </c>
      <c r="B1181" s="45" t="n">
        <v>46155</v>
      </c>
      <c r="C1181" s="46" t="n">
        <v>2694</v>
      </c>
      <c r="D1181" s="46" t="inlineStr">
        <is>
          <t xml:space="preserve">نوسكو </t>
        </is>
      </c>
      <c r="E1181" s="46" t="inlineStr">
        <is>
          <t>1*40</t>
        </is>
      </c>
      <c r="F1181" s="46" t="inlineStr">
        <is>
          <t xml:space="preserve">البستانية </t>
        </is>
      </c>
      <c r="G1181" s="46" t="inlineStr">
        <is>
          <t xml:space="preserve">السادات </t>
        </is>
      </c>
      <c r="H1181" s="46" t="inlineStr">
        <is>
          <t>522649/6</t>
        </is>
      </c>
      <c r="I1181" s="46" t="inlineStr">
        <is>
          <t>س ق ر 6252</t>
        </is>
      </c>
      <c r="J1181" s="46" t="inlineStr">
        <is>
          <t xml:space="preserve">احمد بهاء </t>
        </is>
      </c>
      <c r="K1181" s="46" t="inlineStr">
        <is>
          <t xml:space="preserve">نوسكو </t>
        </is>
      </c>
      <c r="L1181" s="47" t="n">
        <v>12800</v>
      </c>
      <c r="M1181" s="47" t="n">
        <v>7100</v>
      </c>
      <c r="N1181" s="47" t="n"/>
      <c r="O1181" s="47" t="n">
        <v>200</v>
      </c>
      <c r="P1181" s="47" t="n"/>
      <c r="Q1181" s="47" t="n">
        <v>5500</v>
      </c>
      <c r="R1181" s="43">
        <f>IF($B1181="","",N($S1181)-N($Q1181))</f>
        <v/>
      </c>
      <c r="S1181" s="43">
        <f>IF($B1181="","",N($L1181)+N($N1181)+N($P1181))</f>
        <v/>
      </c>
      <c r="T1181" s="47" t="n"/>
      <c r="U1181" s="47" t="n"/>
      <c r="V1181" s="47" t="n"/>
      <c r="W1181" s="47" t="n"/>
      <c r="X1181" s="47" t="n"/>
      <c r="Y1181" s="47" t="n"/>
      <c r="Z1181" s="47" t="n"/>
      <c r="AA1181" s="47" t="n"/>
      <c r="AB1181" s="47" t="n"/>
      <c r="AC1181" s="47" t="n"/>
      <c r="AD1181" s="47" t="n"/>
      <c r="AE1181" s="47" t="n"/>
      <c r="AF1181" s="43">
        <f>IF($B1181="","",SUM($T1181:$AE1181))</f>
        <v/>
      </c>
      <c r="AG1181" s="43">
        <f>IF($B1181="","",N($M1181)-N($AF1181))</f>
        <v/>
      </c>
      <c r="AH1181" s="43">
        <f>IF($B1181="","",N($L1181)-N($AF1181))</f>
        <v/>
      </c>
      <c r="AI1181" s="149">
        <f>IF($B1181="","",IF(N($L1181)=0,"",(N($L1181)-N($AF1181))/N($L1181)))</f>
        <v/>
      </c>
    </row>
    <row r="1182">
      <c r="A1182" s="39">
        <f>IF($B1182="","",COUNTA($B$4:$B1182))</f>
        <v/>
      </c>
      <c r="B1182" s="40" t="n">
        <v>46155</v>
      </c>
      <c r="C1182" s="41" t="n">
        <v>2690</v>
      </c>
      <c r="D1182" s="41" t="inlineStr">
        <is>
          <t xml:space="preserve">محمد سعيد </t>
        </is>
      </c>
      <c r="E1182" s="41" t="inlineStr">
        <is>
          <t>1*40</t>
        </is>
      </c>
      <c r="F1182" s="41" t="inlineStr">
        <is>
          <t xml:space="preserve">البستانية </t>
        </is>
      </c>
      <c r="G1182" s="41" t="inlineStr">
        <is>
          <t xml:space="preserve">السادات </t>
        </is>
      </c>
      <c r="H1182" s="41" t="inlineStr">
        <is>
          <t>553119/8</t>
        </is>
      </c>
      <c r="I1182" s="41" t="inlineStr">
        <is>
          <t>س ق ا 5681</t>
        </is>
      </c>
      <c r="J1182" s="41" t="inlineStr">
        <is>
          <t xml:space="preserve">مصطفى صابر </t>
        </is>
      </c>
      <c r="K1182" s="41" t="inlineStr">
        <is>
          <t xml:space="preserve">ابو هبش </t>
        </is>
      </c>
      <c r="L1182" s="42" t="n">
        <v>12800</v>
      </c>
      <c r="M1182" s="42" t="n">
        <v>7100</v>
      </c>
      <c r="N1182" s="42" t="n"/>
      <c r="O1182" s="42" t="n">
        <v>200</v>
      </c>
      <c r="P1182" s="42" t="n"/>
      <c r="Q1182" s="42" t="n"/>
      <c r="R1182" s="43">
        <f>IF($B1182="","",N($S1182)-N($Q1182))</f>
        <v/>
      </c>
      <c r="S1182" s="43">
        <f>IF($B1182="","",N($L1182)+N($N1182)+N($P1182))</f>
        <v/>
      </c>
      <c r="T1182" s="42" t="n"/>
      <c r="U1182" s="42" t="n"/>
      <c r="V1182" s="42" t="n"/>
      <c r="W1182" s="42" t="n"/>
      <c r="X1182" s="42" t="n"/>
      <c r="Y1182" s="42" t="n"/>
      <c r="Z1182" s="42" t="n"/>
      <c r="AA1182" s="42" t="n"/>
      <c r="AB1182" s="42" t="n"/>
      <c r="AC1182" s="42" t="n"/>
      <c r="AD1182" s="42" t="n"/>
      <c r="AE1182" s="42" t="n"/>
      <c r="AF1182" s="43">
        <f>IF($B1182="","",SUM($T1182:$AE1182))</f>
        <v/>
      </c>
      <c r="AG1182" s="43">
        <f>IF($B1182="","",N($M1182)-N($AF1182))</f>
        <v/>
      </c>
      <c r="AH1182" s="43">
        <f>IF($B1182="","",N($L1182)-N($AF1182))</f>
        <v/>
      </c>
      <c r="AI1182" s="149">
        <f>IF($B1182="","",IF(N($L1182)=0,"",(N($L1182)-N($AF1182))/N($L1182)))</f>
        <v/>
      </c>
    </row>
    <row r="1183">
      <c r="A1183" s="39">
        <f>IF($B1183="","",COUNTA($B$4:$B1183))</f>
        <v/>
      </c>
      <c r="B1183" s="45" t="n">
        <v>46155</v>
      </c>
      <c r="C1183" s="46" t="n">
        <v>2691</v>
      </c>
      <c r="D1183" s="46" t="inlineStr">
        <is>
          <t xml:space="preserve">ابو مينا </t>
        </is>
      </c>
      <c r="E1183" s="46" t="inlineStr">
        <is>
          <t>1*40</t>
        </is>
      </c>
      <c r="F1183" s="46" t="inlineStr">
        <is>
          <t xml:space="preserve">البستانية </t>
        </is>
      </c>
      <c r="G1183" s="46" t="inlineStr">
        <is>
          <t xml:space="preserve">السادات </t>
        </is>
      </c>
      <c r="H1183" s="46" t="inlineStr">
        <is>
          <t>536932/4</t>
        </is>
      </c>
      <c r="I1183" s="46" t="inlineStr">
        <is>
          <t>س ق ر 9974</t>
        </is>
      </c>
      <c r="J1183" s="46" t="inlineStr">
        <is>
          <t xml:space="preserve">محمد حسان </t>
        </is>
      </c>
      <c r="K1183" s="46" t="inlineStr">
        <is>
          <t xml:space="preserve">ابو مينا </t>
        </is>
      </c>
      <c r="L1183" s="47" t="n">
        <v>12800</v>
      </c>
      <c r="M1183" s="47" t="n">
        <v>7100</v>
      </c>
      <c r="N1183" s="47" t="n"/>
      <c r="O1183" s="47" t="n">
        <v>200</v>
      </c>
      <c r="P1183" s="47" t="n"/>
      <c r="Q1183" s="47" t="n">
        <v>5500</v>
      </c>
      <c r="R1183" s="43">
        <f>IF($B1183="","",N($S1183)-N($Q1183))</f>
        <v/>
      </c>
      <c r="S1183" s="43">
        <f>IF($B1183="","",N($L1183)+N($N1183)+N($P1183))</f>
        <v/>
      </c>
      <c r="T1183" s="47" t="n"/>
      <c r="U1183" s="47" t="n"/>
      <c r="V1183" s="47" t="n"/>
      <c r="W1183" s="47" t="n"/>
      <c r="X1183" s="47" t="n"/>
      <c r="Y1183" s="47" t="n"/>
      <c r="Z1183" s="47" t="n"/>
      <c r="AA1183" s="47" t="n"/>
      <c r="AB1183" s="47" t="n"/>
      <c r="AC1183" s="47" t="n"/>
      <c r="AD1183" s="47" t="n"/>
      <c r="AE1183" s="47" t="n"/>
      <c r="AF1183" s="43">
        <f>IF($B1183="","",SUM($T1183:$AE1183))</f>
        <v/>
      </c>
      <c r="AG1183" s="43">
        <f>IF($B1183="","",N($M1183)-N($AF1183))</f>
        <v/>
      </c>
      <c r="AH1183" s="43">
        <f>IF($B1183="","",N($L1183)-N($AF1183))</f>
        <v/>
      </c>
      <c r="AI1183" s="149">
        <f>IF($B1183="","",IF(N($L1183)=0,"",(N($L1183)-N($AF1183))/N($L1183)))</f>
        <v/>
      </c>
    </row>
    <row r="1184">
      <c r="A1184" s="39">
        <f>IF($B1184="","",COUNTA($B$4:$B1184))</f>
        <v/>
      </c>
      <c r="B1184" s="40" t="n">
        <v>46155</v>
      </c>
      <c r="C1184" s="41" t="n">
        <v>2692</v>
      </c>
      <c r="D1184" s="41" t="inlineStr">
        <is>
          <t>غزال</t>
        </is>
      </c>
      <c r="E1184" s="41" t="inlineStr">
        <is>
          <t>1*40</t>
        </is>
      </c>
      <c r="F1184" s="41" t="inlineStr">
        <is>
          <t xml:space="preserve">البستانية </t>
        </is>
      </c>
      <c r="G1184" s="41" t="inlineStr">
        <is>
          <t xml:space="preserve">السادات </t>
        </is>
      </c>
      <c r="H1184" s="41" t="inlineStr">
        <is>
          <t>503862/6</t>
        </is>
      </c>
      <c r="I1184" s="41" t="inlineStr">
        <is>
          <t>س م ى 4213</t>
        </is>
      </c>
      <c r="J1184" s="41" t="inlineStr">
        <is>
          <t xml:space="preserve">محمد محمود </t>
        </is>
      </c>
      <c r="K1184" s="41" t="inlineStr">
        <is>
          <t>غزا ل</t>
        </is>
      </c>
      <c r="L1184" s="42" t="n">
        <v>12800</v>
      </c>
      <c r="M1184" s="42" t="n">
        <v>7100</v>
      </c>
      <c r="N1184" s="42" t="n"/>
      <c r="O1184" s="42" t="n">
        <v>200</v>
      </c>
      <c r="P1184" s="42" t="n">
        <v>2000</v>
      </c>
      <c r="Q1184" s="42" t="n">
        <v>7500</v>
      </c>
      <c r="R1184" s="43">
        <f>IF($B1184="","",N($S1184)-N($Q1184))</f>
        <v/>
      </c>
      <c r="S1184" s="43">
        <f>IF($B1184="","",N($L1184)+N($N1184)+N($P1184))</f>
        <v/>
      </c>
      <c r="T1184" s="42" t="n"/>
      <c r="U1184" s="42" t="n"/>
      <c r="V1184" s="42" t="n"/>
      <c r="W1184" s="42" t="n"/>
      <c r="X1184" s="42" t="n"/>
      <c r="Y1184" s="42" t="n"/>
      <c r="Z1184" s="42" t="n"/>
      <c r="AA1184" s="42" t="n"/>
      <c r="AB1184" s="42" t="n"/>
      <c r="AC1184" s="42" t="n"/>
      <c r="AD1184" s="42" t="n"/>
      <c r="AE1184" s="42" t="n"/>
      <c r="AF1184" s="43">
        <f>IF($B1184="","",SUM($T1184:$AE1184))</f>
        <v/>
      </c>
      <c r="AG1184" s="43">
        <f>IF($B1184="","",N($M1184)-N($AF1184))</f>
        <v/>
      </c>
      <c r="AH1184" s="43">
        <f>IF($B1184="","",N($L1184)-N($AF1184))</f>
        <v/>
      </c>
      <c r="AI1184" s="149">
        <f>IF($B1184="","",IF(N($L1184)=0,"",(N($L1184)-N($AF1184))/N($L1184)))</f>
        <v/>
      </c>
    </row>
    <row r="1185">
      <c r="A1185" s="39">
        <f>IF($B1185="","",COUNTA($B$4:$B1185))</f>
        <v/>
      </c>
      <c r="B1185" s="45" t="n">
        <v>46155</v>
      </c>
      <c r="C1185" s="46" t="n">
        <v>2525</v>
      </c>
      <c r="D1185" s="46" t="inlineStr">
        <is>
          <t>حريقة</t>
        </is>
      </c>
      <c r="E1185" s="46" t="inlineStr">
        <is>
          <t>1*40</t>
        </is>
      </c>
      <c r="F1185" s="46" t="inlineStr">
        <is>
          <t xml:space="preserve">البستانية </t>
        </is>
      </c>
      <c r="G1185" s="46" t="inlineStr">
        <is>
          <t xml:space="preserve">السادات </t>
        </is>
      </c>
      <c r="H1185" s="46" t="inlineStr">
        <is>
          <t>449982/0</t>
        </is>
      </c>
      <c r="I1185" s="46" t="inlineStr">
        <is>
          <t>س ل ص 7855</t>
        </is>
      </c>
      <c r="J1185" s="46" t="inlineStr">
        <is>
          <t xml:space="preserve">عبد العال </t>
        </is>
      </c>
      <c r="K1185" s="46" t="inlineStr">
        <is>
          <t>محمد بيسو</t>
        </is>
      </c>
      <c r="L1185" s="47" t="n">
        <v>12800</v>
      </c>
      <c r="M1185" s="47" t="n">
        <v>7100</v>
      </c>
      <c r="N1185" s="47" t="n"/>
      <c r="O1185" s="47" t="n">
        <v>200</v>
      </c>
      <c r="P1185" s="47" t="n"/>
      <c r="Q1185" s="47" t="n"/>
      <c r="R1185" s="43">
        <f>IF($B1185="","",N($S1185)-N($Q1185))</f>
        <v/>
      </c>
      <c r="S1185" s="43">
        <f>IF($B1185="","",N($L1185)+N($N1185)+N($P1185))</f>
        <v/>
      </c>
      <c r="T1185" s="47" t="n"/>
      <c r="U1185" s="47" t="n"/>
      <c r="V1185" s="47" t="n"/>
      <c r="W1185" s="47" t="n"/>
      <c r="X1185" s="47" t="n"/>
      <c r="Y1185" s="47" t="n"/>
      <c r="Z1185" s="47" t="n"/>
      <c r="AA1185" s="47" t="n"/>
      <c r="AB1185" s="47" t="n"/>
      <c r="AC1185" s="47" t="n"/>
      <c r="AD1185" s="47" t="n"/>
      <c r="AE1185" s="47" t="n"/>
      <c r="AF1185" s="43">
        <f>IF($B1185="","",SUM($T1185:$AE1185))</f>
        <v/>
      </c>
      <c r="AG1185" s="43">
        <f>IF($B1185="","",N($M1185)-N($AF1185))</f>
        <v/>
      </c>
      <c r="AH1185" s="43">
        <f>IF($B1185="","",N($L1185)-N($AF1185))</f>
        <v/>
      </c>
      <c r="AI1185" s="149">
        <f>IF($B1185="","",IF(N($L1185)=0,"",(N($L1185)-N($AF1185))/N($L1185)))</f>
        <v/>
      </c>
    </row>
    <row r="1186">
      <c r="A1186" s="39">
        <f>IF($B1186="","",COUNTA($B$4:$B1186))</f>
        <v/>
      </c>
      <c r="B1186" s="40" t="n">
        <v>46155</v>
      </c>
      <c r="C1186" s="41" t="n">
        <v>2526</v>
      </c>
      <c r="D1186" s="41" t="inlineStr">
        <is>
          <t xml:space="preserve">احمدعامر </t>
        </is>
      </c>
      <c r="E1186" s="41" t="inlineStr">
        <is>
          <t>1*40</t>
        </is>
      </c>
      <c r="F1186" s="41" t="inlineStr">
        <is>
          <t xml:space="preserve">البستانية </t>
        </is>
      </c>
      <c r="G1186" s="41" t="inlineStr">
        <is>
          <t xml:space="preserve">السادات </t>
        </is>
      </c>
      <c r="H1186" s="41" t="inlineStr">
        <is>
          <t>973586/7</t>
        </is>
      </c>
      <c r="I1186" s="41" t="inlineStr">
        <is>
          <t>ب ر ط 1745</t>
        </is>
      </c>
      <c r="J1186" s="41" t="inlineStr">
        <is>
          <t xml:space="preserve">عبد الله ايوب </t>
        </is>
      </c>
      <c r="K1186" s="41" t="inlineStr">
        <is>
          <t xml:space="preserve">ابو رحاب </t>
        </is>
      </c>
      <c r="L1186" s="42" t="n">
        <v>12800</v>
      </c>
      <c r="M1186" s="42" t="n">
        <v>7100</v>
      </c>
      <c r="N1186" s="42" t="n"/>
      <c r="O1186" s="42" t="n">
        <v>200</v>
      </c>
      <c r="P1186" s="42" t="n"/>
      <c r="Q1186" s="42" t="n"/>
      <c r="R1186" s="43">
        <f>IF($B1186="","",N($S1186)-N($Q1186))</f>
        <v/>
      </c>
      <c r="S1186" s="43">
        <f>IF($B1186="","",N($L1186)+N($N1186)+N($P1186))</f>
        <v/>
      </c>
      <c r="T1186" s="42" t="n"/>
      <c r="U1186" s="42" t="n"/>
      <c r="V1186" s="42" t="n"/>
      <c r="W1186" s="42" t="n"/>
      <c r="X1186" s="42" t="n"/>
      <c r="Y1186" s="42" t="n"/>
      <c r="Z1186" s="42" t="n"/>
      <c r="AA1186" s="42" t="n"/>
      <c r="AB1186" s="42" t="n"/>
      <c r="AC1186" s="42" t="n"/>
      <c r="AD1186" s="42" t="n"/>
      <c r="AE1186" s="42" t="n"/>
      <c r="AF1186" s="43">
        <f>IF($B1186="","",SUM($T1186:$AE1186))</f>
        <v/>
      </c>
      <c r="AG1186" s="43">
        <f>IF($B1186="","",N($M1186)-N($AF1186))</f>
        <v/>
      </c>
      <c r="AH1186" s="43">
        <f>IF($B1186="","",N($L1186)-N($AF1186))</f>
        <v/>
      </c>
      <c r="AI1186" s="149">
        <f>IF($B1186="","",IF(N($L1186)=0,"",(N($L1186)-N($AF1186))/N($L1186)))</f>
        <v/>
      </c>
    </row>
    <row r="1187">
      <c r="A1187" s="39">
        <f>IF($B1187="","",COUNTA($B$4:$B1187))</f>
        <v/>
      </c>
      <c r="B1187" s="45" t="n">
        <v>46155</v>
      </c>
      <c r="C1187" s="46" t="n">
        <v>2527</v>
      </c>
      <c r="D1187" s="46" t="n"/>
      <c r="E1187" s="46" t="inlineStr">
        <is>
          <t>1*40</t>
        </is>
      </c>
      <c r="F1187" s="46" t="inlineStr">
        <is>
          <t xml:space="preserve">البستانية </t>
        </is>
      </c>
      <c r="G1187" s="46" t="inlineStr">
        <is>
          <t xml:space="preserve">السادات </t>
        </is>
      </c>
      <c r="H1187" s="46" t="inlineStr">
        <is>
          <t>778376/6</t>
        </is>
      </c>
      <c r="I1187" s="46" t="inlineStr">
        <is>
          <t>س ل ب 6957</t>
        </is>
      </c>
      <c r="J1187" s="46" t="inlineStr">
        <is>
          <t xml:space="preserve">سامح على </t>
        </is>
      </c>
      <c r="K1187" s="46" t="inlineStr">
        <is>
          <t xml:space="preserve">عويضة </t>
        </is>
      </c>
      <c r="L1187" s="47" t="n">
        <v>12800</v>
      </c>
      <c r="M1187" s="47" t="n">
        <v>7100</v>
      </c>
      <c r="N1187" s="47" t="n"/>
      <c r="O1187" s="47" t="n">
        <v>200</v>
      </c>
      <c r="P1187" s="47" t="n"/>
      <c r="Q1187" s="47" t="n"/>
      <c r="R1187" s="43">
        <f>IF($B1187="","",N($S1187)-N($Q1187))</f>
        <v/>
      </c>
      <c r="S1187" s="43">
        <f>IF($B1187="","",N($L1187)+N($N1187)+N($P1187))</f>
        <v/>
      </c>
      <c r="T1187" s="47" t="n"/>
      <c r="U1187" s="47" t="n"/>
      <c r="V1187" s="47" t="n"/>
      <c r="W1187" s="47" t="n"/>
      <c r="X1187" s="47" t="n"/>
      <c r="Y1187" s="47" t="n"/>
      <c r="Z1187" s="47" t="n"/>
      <c r="AA1187" s="47" t="n"/>
      <c r="AB1187" s="47" t="n"/>
      <c r="AC1187" s="47" t="n"/>
      <c r="AD1187" s="47" t="n"/>
      <c r="AE1187" s="47" t="n"/>
      <c r="AF1187" s="43">
        <f>IF($B1187="","",SUM($T1187:$AE1187))</f>
        <v/>
      </c>
      <c r="AG1187" s="43">
        <f>IF($B1187="","",N($M1187)-N($AF1187))</f>
        <v/>
      </c>
      <c r="AH1187" s="43">
        <f>IF($B1187="","",N($L1187)-N($AF1187))</f>
        <v/>
      </c>
      <c r="AI1187" s="149">
        <f>IF($B1187="","",IF(N($L1187)=0,"",(N($L1187)-N($AF1187))/N($L1187)))</f>
        <v/>
      </c>
    </row>
    <row r="1188">
      <c r="A1188" s="39">
        <f>IF($B1188="","",COUNTA($B$4:$B1188))</f>
        <v/>
      </c>
      <c r="B1188" s="40" t="n">
        <v>46155</v>
      </c>
      <c r="C1188" s="41" t="n">
        <v>2523</v>
      </c>
      <c r="D1188" s="41" t="inlineStr">
        <is>
          <t xml:space="preserve">الالبو </t>
        </is>
      </c>
      <c r="E1188" s="41" t="inlineStr">
        <is>
          <t>1*40</t>
        </is>
      </c>
      <c r="F1188" s="41" t="inlineStr">
        <is>
          <t xml:space="preserve">البستانية </t>
        </is>
      </c>
      <c r="G1188" s="41" t="inlineStr">
        <is>
          <t xml:space="preserve">السادات </t>
        </is>
      </c>
      <c r="H1188" s="41" t="inlineStr">
        <is>
          <t>505467/4</t>
        </is>
      </c>
      <c r="I1188" s="41" t="inlineStr">
        <is>
          <t>ب ه ا 7694</t>
        </is>
      </c>
      <c r="J1188" s="41" t="inlineStr">
        <is>
          <t xml:space="preserve">محمد صالح </t>
        </is>
      </c>
      <c r="K1188" s="41" t="inlineStr">
        <is>
          <t xml:space="preserve">احمد البو </t>
        </is>
      </c>
      <c r="L1188" s="42" t="n">
        <v>12800</v>
      </c>
      <c r="M1188" s="42" t="n">
        <v>7100</v>
      </c>
      <c r="N1188" s="42" t="n"/>
      <c r="O1188" s="42" t="n">
        <v>200</v>
      </c>
      <c r="P1188" s="42" t="n"/>
      <c r="Q1188" s="42" t="n">
        <v>5500</v>
      </c>
      <c r="R1188" s="43">
        <f>IF($B1188="","",N($S1188)-N($Q1188))</f>
        <v/>
      </c>
      <c r="S1188" s="43">
        <f>IF($B1188="","",N($L1188)+N($N1188)+N($P1188))</f>
        <v/>
      </c>
      <c r="T1188" s="42" t="n"/>
      <c r="U1188" s="42" t="n"/>
      <c r="V1188" s="42" t="n"/>
      <c r="W1188" s="42" t="n"/>
      <c r="X1188" s="42" t="n"/>
      <c r="Y1188" s="42" t="n"/>
      <c r="Z1188" s="42" t="n"/>
      <c r="AA1188" s="42" t="n"/>
      <c r="AB1188" s="42" t="n"/>
      <c r="AC1188" s="42" t="n"/>
      <c r="AD1188" s="42" t="n"/>
      <c r="AE1188" s="42" t="n"/>
      <c r="AF1188" s="43">
        <f>IF($B1188="","",SUM($T1188:$AE1188))</f>
        <v/>
      </c>
      <c r="AG1188" s="43">
        <f>IF($B1188="","",N($M1188)-N($AF1188))</f>
        <v/>
      </c>
      <c r="AH1188" s="43">
        <f>IF($B1188="","",N($L1188)-N($AF1188))</f>
        <v/>
      </c>
      <c r="AI1188" s="149">
        <f>IF($B1188="","",IF(N($L1188)=0,"",(N($L1188)-N($AF1188))/N($L1188)))</f>
        <v/>
      </c>
    </row>
    <row r="1189">
      <c r="A1189" s="39">
        <f>IF($B1189="","",COUNTA($B$4:$B1189))</f>
        <v/>
      </c>
      <c r="B1189" s="45" t="n">
        <v>46155</v>
      </c>
      <c r="C1189" s="46" t="n">
        <v>2524</v>
      </c>
      <c r="D1189" s="46" t="inlineStr">
        <is>
          <t xml:space="preserve">محمد سعيد </t>
        </is>
      </c>
      <c r="E1189" s="46" t="inlineStr">
        <is>
          <t>1*40</t>
        </is>
      </c>
      <c r="F1189" s="46" t="inlineStr">
        <is>
          <t xml:space="preserve">البستانية </t>
        </is>
      </c>
      <c r="G1189" s="46" t="inlineStr">
        <is>
          <t xml:space="preserve">السادات </t>
        </is>
      </c>
      <c r="H1189" s="46" t="inlineStr">
        <is>
          <t>741834/0</t>
        </is>
      </c>
      <c r="I1189" s="46" t="inlineStr">
        <is>
          <t>س ا ج 8593</t>
        </is>
      </c>
      <c r="J1189" s="46" t="inlineStr">
        <is>
          <t xml:space="preserve">السيد عبد القادر </t>
        </is>
      </c>
      <c r="K1189" s="46" t="inlineStr">
        <is>
          <t xml:space="preserve">السمكرى </t>
        </is>
      </c>
      <c r="L1189" s="47" t="n">
        <v>12800</v>
      </c>
      <c r="M1189" s="47" t="n">
        <v>7100</v>
      </c>
      <c r="N1189" s="47" t="n"/>
      <c r="O1189" s="47" t="n">
        <v>200</v>
      </c>
      <c r="P1189" s="47" t="n"/>
      <c r="Q1189" s="47" t="n"/>
      <c r="R1189" s="43">
        <f>IF($B1189="","",N($S1189)-N($Q1189))</f>
        <v/>
      </c>
      <c r="S1189" s="43">
        <f>IF($B1189="","",N($L1189)+N($N1189)+N($P1189))</f>
        <v/>
      </c>
      <c r="T1189" s="47" t="n"/>
      <c r="U1189" s="47" t="n"/>
      <c r="V1189" s="47" t="n"/>
      <c r="W1189" s="47" t="n"/>
      <c r="X1189" s="47" t="n"/>
      <c r="Y1189" s="47" t="n"/>
      <c r="Z1189" s="47" t="n"/>
      <c r="AA1189" s="47" t="n"/>
      <c r="AB1189" s="47" t="n"/>
      <c r="AC1189" s="47" t="n"/>
      <c r="AD1189" s="47" t="n"/>
      <c r="AE1189" s="47" t="n"/>
      <c r="AF1189" s="43">
        <f>IF($B1189="","",SUM($T1189:$AE1189))</f>
        <v/>
      </c>
      <c r="AG1189" s="43">
        <f>IF($B1189="","",N($M1189)-N($AF1189))</f>
        <v/>
      </c>
      <c r="AH1189" s="43">
        <f>IF($B1189="","",N($L1189)-N($AF1189))</f>
        <v/>
      </c>
      <c r="AI1189" s="149">
        <f>IF($B1189="","",IF(N($L1189)=0,"",(N($L1189)-N($AF1189))/N($L1189)))</f>
        <v/>
      </c>
    </row>
    <row r="1190">
      <c r="A1190" s="39">
        <f>IF($B1190="","",COUNTA($B$4:$B1190))</f>
        <v/>
      </c>
      <c r="B1190" s="40" t="n">
        <v>46155</v>
      </c>
      <c r="C1190" s="41" t="n">
        <v>2520</v>
      </c>
      <c r="D1190" s="41" t="inlineStr">
        <is>
          <t xml:space="preserve">احمد سونة </t>
        </is>
      </c>
      <c r="E1190" s="41" t="inlineStr">
        <is>
          <t>1*40</t>
        </is>
      </c>
      <c r="F1190" s="41" t="inlineStr">
        <is>
          <t xml:space="preserve">البستانية </t>
        </is>
      </c>
      <c r="G1190" s="41" t="inlineStr">
        <is>
          <t xml:space="preserve">السادات </t>
        </is>
      </c>
      <c r="H1190" s="41" t="inlineStr">
        <is>
          <t>444135/2</t>
        </is>
      </c>
      <c r="I1190" s="41" t="inlineStr">
        <is>
          <t>س ع ه 2236</t>
        </is>
      </c>
      <c r="J1190" s="41" t="inlineStr">
        <is>
          <t xml:space="preserve">عماد ابراهيم </t>
        </is>
      </c>
      <c r="K1190" s="41" t="inlineStr">
        <is>
          <t>ايمن منير</t>
        </is>
      </c>
      <c r="L1190" s="42" t="n">
        <v>12800</v>
      </c>
      <c r="M1190" s="42" t="n">
        <v>7100</v>
      </c>
      <c r="N1190" s="42" t="n"/>
      <c r="O1190" s="42" t="n">
        <v>200</v>
      </c>
      <c r="P1190" s="42" t="n"/>
      <c r="Q1190" s="42" t="n"/>
      <c r="R1190" s="43">
        <f>IF($B1190="","",N($S1190)-N($Q1190))</f>
        <v/>
      </c>
      <c r="S1190" s="43">
        <f>IF($B1190="","",N($L1190)+N($N1190)+N($P1190))</f>
        <v/>
      </c>
      <c r="T1190" s="42" t="n"/>
      <c r="U1190" s="42" t="n"/>
      <c r="V1190" s="42" t="n"/>
      <c r="W1190" s="42" t="n"/>
      <c r="X1190" s="42" t="n"/>
      <c r="Y1190" s="42" t="n"/>
      <c r="Z1190" s="42" t="n"/>
      <c r="AA1190" s="42" t="n"/>
      <c r="AB1190" s="42" t="n"/>
      <c r="AC1190" s="42" t="n"/>
      <c r="AD1190" s="42" t="n"/>
      <c r="AE1190" s="42" t="n"/>
      <c r="AF1190" s="43">
        <f>IF($B1190="","",SUM($T1190:$AE1190))</f>
        <v/>
      </c>
      <c r="AG1190" s="43">
        <f>IF($B1190="","",N($M1190)-N($AF1190))</f>
        <v/>
      </c>
      <c r="AH1190" s="43">
        <f>IF($B1190="","",N($L1190)-N($AF1190))</f>
        <v/>
      </c>
      <c r="AI1190" s="149">
        <f>IF($B1190="","",IF(N($L1190)=0,"",(N($L1190)-N($AF1190))/N($L1190)))</f>
        <v/>
      </c>
    </row>
    <row r="1191">
      <c r="A1191" s="39">
        <f>IF($B1191="","",COUNTA($B$4:$B1191))</f>
        <v/>
      </c>
      <c r="B1191" s="45" t="n">
        <v>46155</v>
      </c>
      <c r="C1191" s="46" t="n">
        <v>2521</v>
      </c>
      <c r="D1191" s="46" t="inlineStr">
        <is>
          <t xml:space="preserve">حاتم البحر </t>
        </is>
      </c>
      <c r="E1191" s="46" t="inlineStr">
        <is>
          <t>1*40</t>
        </is>
      </c>
      <c r="F1191" s="46" t="inlineStr">
        <is>
          <t xml:space="preserve">البستانية </t>
        </is>
      </c>
      <c r="G1191" s="46" t="inlineStr">
        <is>
          <t xml:space="preserve">السادات </t>
        </is>
      </c>
      <c r="H1191" s="46" t="inlineStr">
        <is>
          <t>576591/8</t>
        </is>
      </c>
      <c r="I1191" s="46" t="inlineStr">
        <is>
          <t>س ن ب 2185</t>
        </is>
      </c>
      <c r="J1191" s="46" t="inlineStr">
        <is>
          <t>محمود ابو سنة</t>
        </is>
      </c>
      <c r="K1191" s="46" t="inlineStr">
        <is>
          <t xml:space="preserve">ميمى حكيم </t>
        </is>
      </c>
      <c r="L1191" s="47" t="n">
        <v>12800</v>
      </c>
      <c r="M1191" s="47" t="n">
        <v>7100</v>
      </c>
      <c r="N1191" s="47" t="n"/>
      <c r="O1191" s="47" t="n">
        <v>200</v>
      </c>
      <c r="P1191" s="47" t="n"/>
      <c r="Q1191" s="47" t="n">
        <v>5500</v>
      </c>
      <c r="R1191" s="43">
        <f>IF($B1191="","",N($S1191)-N($Q1191))</f>
        <v/>
      </c>
      <c r="S1191" s="43">
        <f>IF($B1191="","",N($L1191)+N($N1191)+N($P1191))</f>
        <v/>
      </c>
      <c r="T1191" s="47" t="n"/>
      <c r="U1191" s="47" t="n"/>
      <c r="V1191" s="47" t="n"/>
      <c r="W1191" s="47" t="n"/>
      <c r="X1191" s="47" t="n"/>
      <c r="Y1191" s="47" t="n"/>
      <c r="Z1191" s="47" t="n"/>
      <c r="AA1191" s="47" t="n"/>
      <c r="AB1191" s="47" t="n"/>
      <c r="AC1191" s="47" t="n"/>
      <c r="AD1191" s="47" t="n"/>
      <c r="AE1191" s="47" t="n"/>
      <c r="AF1191" s="43">
        <f>IF($B1191="","",SUM($T1191:$AE1191))</f>
        <v/>
      </c>
      <c r="AG1191" s="43">
        <f>IF($B1191="","",N($M1191)-N($AF1191))</f>
        <v/>
      </c>
      <c r="AH1191" s="43">
        <f>IF($B1191="","",N($L1191)-N($AF1191))</f>
        <v/>
      </c>
      <c r="AI1191" s="149">
        <f>IF($B1191="","",IF(N($L1191)=0,"",(N($L1191)-N($AF1191))/N($L1191)))</f>
        <v/>
      </c>
    </row>
    <row r="1192">
      <c r="A1192" s="39">
        <f>IF($B1192="","",COUNTA($B$4:$B1192))</f>
        <v/>
      </c>
      <c r="B1192" s="40" t="n">
        <v>46155</v>
      </c>
      <c r="C1192" s="41" t="n">
        <v>2522</v>
      </c>
      <c r="D1192" s="41" t="inlineStr">
        <is>
          <t xml:space="preserve">حاتم البحر </t>
        </is>
      </c>
      <c r="E1192" s="41" t="inlineStr">
        <is>
          <t>1*40</t>
        </is>
      </c>
      <c r="F1192" s="41" t="inlineStr">
        <is>
          <t xml:space="preserve">البستانية </t>
        </is>
      </c>
      <c r="G1192" s="41" t="inlineStr">
        <is>
          <t xml:space="preserve">السادات </t>
        </is>
      </c>
      <c r="H1192" s="41" t="inlineStr">
        <is>
          <t>875558/0</t>
        </is>
      </c>
      <c r="I1192" s="41" t="inlineStr">
        <is>
          <t>س ل ب 8564</t>
        </is>
      </c>
      <c r="J1192" s="41" t="inlineStr">
        <is>
          <t xml:space="preserve">محمد ابراهيم </t>
        </is>
      </c>
      <c r="K1192" s="41" t="inlineStr">
        <is>
          <t xml:space="preserve">ميمى حكيم </t>
        </is>
      </c>
      <c r="L1192" s="42" t="n">
        <v>12800</v>
      </c>
      <c r="M1192" s="42" t="n">
        <v>7100</v>
      </c>
      <c r="N1192" s="42" t="n"/>
      <c r="O1192" s="42" t="n">
        <v>200</v>
      </c>
      <c r="P1192" s="42" t="n"/>
      <c r="Q1192" s="42" t="n">
        <v>5500</v>
      </c>
      <c r="R1192" s="43">
        <f>IF($B1192="","",N($S1192)-N($Q1192))</f>
        <v/>
      </c>
      <c r="S1192" s="43">
        <f>IF($B1192="","",N($L1192)+N($N1192)+N($P1192))</f>
        <v/>
      </c>
      <c r="T1192" s="42" t="n"/>
      <c r="U1192" s="42" t="n"/>
      <c r="V1192" s="42" t="n"/>
      <c r="W1192" s="42" t="n"/>
      <c r="X1192" s="42" t="n"/>
      <c r="Y1192" s="42" t="n"/>
      <c r="Z1192" s="42" t="n"/>
      <c r="AA1192" s="42" t="n"/>
      <c r="AB1192" s="42" t="n"/>
      <c r="AC1192" s="42" t="n"/>
      <c r="AD1192" s="42" t="n"/>
      <c r="AE1192" s="42" t="n"/>
      <c r="AF1192" s="43">
        <f>IF($B1192="","",SUM($T1192:$AE1192))</f>
        <v/>
      </c>
      <c r="AG1192" s="43">
        <f>IF($B1192="","",N($M1192)-N($AF1192))</f>
        <v/>
      </c>
      <c r="AH1192" s="43">
        <f>IF($B1192="","",N($L1192)-N($AF1192))</f>
        <v/>
      </c>
      <c r="AI1192" s="149">
        <f>IF($B1192="","",IF(N($L1192)=0,"",(N($L1192)-N($AF1192))/N($L1192)))</f>
        <v/>
      </c>
    </row>
    <row r="1193">
      <c r="A1193" s="39">
        <f>IF($B1193="","",COUNTA($B$4:$B1193))</f>
        <v/>
      </c>
      <c r="B1193" s="45" t="n">
        <v>46155</v>
      </c>
      <c r="C1193" s="46" t="n">
        <v>2982</v>
      </c>
      <c r="D1193" s="46" t="inlineStr">
        <is>
          <t>اسلام محروس</t>
        </is>
      </c>
      <c r="E1193" s="46" t="inlineStr">
        <is>
          <t>2*20</t>
        </is>
      </c>
      <c r="F1193" s="46" t="inlineStr">
        <is>
          <t xml:space="preserve">صن رايز </t>
        </is>
      </c>
      <c r="G1193" s="46" t="inlineStr">
        <is>
          <t xml:space="preserve">عرب مساعد </t>
        </is>
      </c>
      <c r="H1193" s="46" t="inlineStr">
        <is>
          <t>329816/7-409785/6</t>
        </is>
      </c>
      <c r="I1193" s="46" t="inlineStr">
        <is>
          <t>ط ف ر 1861</t>
        </is>
      </c>
      <c r="J1193" s="46" t="inlineStr">
        <is>
          <t>محمد ياسين</t>
        </is>
      </c>
      <c r="K1193" s="46" t="inlineStr">
        <is>
          <t xml:space="preserve">ابو ادم </t>
        </is>
      </c>
      <c r="L1193" s="47" t="n">
        <v>23000</v>
      </c>
      <c r="M1193" s="47" t="n">
        <v>10100</v>
      </c>
      <c r="N1193" s="47" t="n"/>
      <c r="O1193" s="47" t="n">
        <v>200</v>
      </c>
      <c r="P1193" s="47" t="n"/>
      <c r="Q1193" s="47" t="n">
        <v>12700</v>
      </c>
      <c r="R1193" s="43">
        <f>IF($B1193="","",N($S1193)-N($Q1193))</f>
        <v/>
      </c>
      <c r="S1193" s="43">
        <f>IF($B1193="","",N($L1193)+N($N1193)+N($P1193))</f>
        <v/>
      </c>
      <c r="T1193" s="47" t="n"/>
      <c r="U1193" s="47" t="n"/>
      <c r="V1193" s="47" t="n"/>
      <c r="W1193" s="47" t="n"/>
      <c r="X1193" s="47" t="n"/>
      <c r="Y1193" s="47" t="n"/>
      <c r="Z1193" s="47" t="n"/>
      <c r="AA1193" s="47" t="n"/>
      <c r="AB1193" s="47" t="n"/>
      <c r="AC1193" s="47" t="n"/>
      <c r="AD1193" s="47" t="n"/>
      <c r="AE1193" s="47" t="n"/>
      <c r="AF1193" s="43">
        <f>IF($B1193="","",SUM($T1193:$AE1193))</f>
        <v/>
      </c>
      <c r="AG1193" s="43">
        <f>IF($B1193="","",N($M1193)-N($AF1193))</f>
        <v/>
      </c>
      <c r="AH1193" s="43">
        <f>IF($B1193="","",N($L1193)-N($AF1193))</f>
        <v/>
      </c>
      <c r="AI1193" s="149">
        <f>IF($B1193="","",IF(N($L1193)=0,"",(N($L1193)-N($AF1193))/N($L1193)))</f>
        <v/>
      </c>
    </row>
    <row r="1194">
      <c r="A1194" s="39">
        <f>IF($B1194="","",COUNTA($B$4:$B1194))</f>
        <v/>
      </c>
      <c r="B1194" s="40" t="n">
        <v>46155</v>
      </c>
      <c r="C1194" s="41" t="n">
        <v>2983</v>
      </c>
      <c r="D1194" s="41" t="n"/>
      <c r="E1194" s="41" t="inlineStr">
        <is>
          <t>2*20</t>
        </is>
      </c>
      <c r="F1194" s="41" t="inlineStr">
        <is>
          <t xml:space="preserve">صن رايز </t>
        </is>
      </c>
      <c r="G1194" s="41" t="inlineStr">
        <is>
          <t xml:space="preserve">عرب مساعد </t>
        </is>
      </c>
      <c r="H1194" s="41" t="inlineStr">
        <is>
          <t>073754/3-197816/5</t>
        </is>
      </c>
      <c r="I1194" s="41" t="inlineStr">
        <is>
          <t>ب د ف 5831</t>
        </is>
      </c>
      <c r="J1194" s="41" t="inlineStr">
        <is>
          <t xml:space="preserve">سامى رمضان </t>
        </is>
      </c>
      <c r="K1194" s="41" t="inlineStr">
        <is>
          <t xml:space="preserve">سامى رمضان </t>
        </is>
      </c>
      <c r="L1194" s="42" t="n">
        <v>23000</v>
      </c>
      <c r="M1194" s="42" t="n">
        <v>10100</v>
      </c>
      <c r="N1194" s="42" t="n"/>
      <c r="O1194" s="42" t="n">
        <v>200</v>
      </c>
      <c r="P1194" s="42" t="n"/>
      <c r="Q1194" s="42" t="n"/>
      <c r="R1194" s="43">
        <f>IF($B1194="","",N($S1194)-N($Q1194))</f>
        <v/>
      </c>
      <c r="S1194" s="43">
        <f>IF($B1194="","",N($L1194)+N($N1194)+N($P1194))</f>
        <v/>
      </c>
      <c r="T1194" s="42" t="n"/>
      <c r="U1194" s="42" t="n"/>
      <c r="V1194" s="42" t="n"/>
      <c r="W1194" s="42" t="n"/>
      <c r="X1194" s="42" t="n"/>
      <c r="Y1194" s="42" t="n"/>
      <c r="Z1194" s="42" t="n"/>
      <c r="AA1194" s="42" t="n"/>
      <c r="AB1194" s="42" t="n"/>
      <c r="AC1194" s="42" t="n"/>
      <c r="AD1194" s="42" t="n"/>
      <c r="AE1194" s="42" t="n"/>
      <c r="AF1194" s="43">
        <f>IF($B1194="","",SUM($T1194:$AE1194))</f>
        <v/>
      </c>
      <c r="AG1194" s="43">
        <f>IF($B1194="","",N($M1194)-N($AF1194))</f>
        <v/>
      </c>
      <c r="AH1194" s="43">
        <f>IF($B1194="","",N($L1194)-N($AF1194))</f>
        <v/>
      </c>
      <c r="AI1194" s="149">
        <f>IF($B1194="","",IF(N($L1194)=0,"",(N($L1194)-N($AF1194))/N($L1194)))</f>
        <v/>
      </c>
    </row>
    <row r="1195">
      <c r="A1195" s="39">
        <f>IF($B1195="","",COUNTA($B$4:$B1195))</f>
        <v/>
      </c>
      <c r="B1195" s="45" t="n">
        <v>46155</v>
      </c>
      <c r="C1195" s="46" t="n">
        <v>2977</v>
      </c>
      <c r="D1195" s="46" t="inlineStr">
        <is>
          <t xml:space="preserve">وزة </t>
        </is>
      </c>
      <c r="E1195" s="46" t="inlineStr">
        <is>
          <t>2*20</t>
        </is>
      </c>
      <c r="F1195" s="46" t="inlineStr">
        <is>
          <t xml:space="preserve">الدولية للفحم </t>
        </is>
      </c>
      <c r="G1195" s="46" t="inlineStr">
        <is>
          <t>برج العرب</t>
        </is>
      </c>
      <c r="H1195" s="46" t="inlineStr">
        <is>
          <t>682446/9-230804/0</t>
        </is>
      </c>
      <c r="I1195" s="46" t="inlineStr">
        <is>
          <t>س ن ب 6745</t>
        </is>
      </c>
      <c r="J1195" s="46" t="inlineStr">
        <is>
          <t xml:space="preserve">احمد محمد </t>
        </is>
      </c>
      <c r="K1195" s="46" t="inlineStr">
        <is>
          <t xml:space="preserve">وزة </t>
        </is>
      </c>
      <c r="L1195" s="47" t="n">
        <v>11000</v>
      </c>
      <c r="M1195" s="47" t="n">
        <v>9100</v>
      </c>
      <c r="N1195" s="47" t="n"/>
      <c r="O1195" s="47" t="n"/>
      <c r="P1195" s="47" t="n"/>
      <c r="Q1195" s="47" t="n">
        <v>1900</v>
      </c>
      <c r="R1195" s="43">
        <f>IF($B1195="","",N($S1195)-N($Q1195))</f>
        <v/>
      </c>
      <c r="S1195" s="43">
        <f>IF($B1195="","",N($L1195)+N($N1195)+N($P1195))</f>
        <v/>
      </c>
      <c r="T1195" s="47" t="n"/>
      <c r="U1195" s="47" t="n"/>
      <c r="V1195" s="47" t="n"/>
      <c r="W1195" s="47" t="n"/>
      <c r="X1195" s="47" t="n"/>
      <c r="Y1195" s="47" t="n"/>
      <c r="Z1195" s="47" t="n"/>
      <c r="AA1195" s="47" t="n"/>
      <c r="AB1195" s="47" t="n"/>
      <c r="AC1195" s="47" t="n"/>
      <c r="AD1195" s="47" t="n"/>
      <c r="AE1195" s="47" t="n"/>
      <c r="AF1195" s="43">
        <f>IF($B1195="","",SUM($T1195:$AE1195))</f>
        <v/>
      </c>
      <c r="AG1195" s="43">
        <f>IF($B1195="","",N($M1195)-N($AF1195))</f>
        <v/>
      </c>
      <c r="AH1195" s="43">
        <f>IF($B1195="","",N($L1195)-N($AF1195))</f>
        <v/>
      </c>
      <c r="AI1195" s="149">
        <f>IF($B1195="","",IF(N($L1195)=0,"",(N($L1195)-N($AF1195))/N($L1195)))</f>
        <v/>
      </c>
    </row>
    <row r="1196">
      <c r="A1196" s="39">
        <f>IF($B1196="","",COUNTA($B$4:$B1196))</f>
        <v/>
      </c>
      <c r="B1196" s="40" t="n">
        <v>46155</v>
      </c>
      <c r="C1196" s="41" t="n">
        <v>2978</v>
      </c>
      <c r="D1196" s="41" t="n"/>
      <c r="E1196" s="41" t="inlineStr">
        <is>
          <t>2*20</t>
        </is>
      </c>
      <c r="F1196" s="41" t="inlineStr">
        <is>
          <t xml:space="preserve">الدولية للفحم </t>
        </is>
      </c>
      <c r="G1196" s="41" t="inlineStr">
        <is>
          <t>برج العرب</t>
        </is>
      </c>
      <c r="H1196" s="41" t="inlineStr">
        <is>
          <t>126774/4-174982/0</t>
        </is>
      </c>
      <c r="I1196" s="41" t="inlineStr">
        <is>
          <t>س ف ب 3125</t>
        </is>
      </c>
      <c r="J1196" s="41" t="inlineStr">
        <is>
          <t>حمدى ماهر</t>
        </is>
      </c>
      <c r="K1196" s="41" t="inlineStr">
        <is>
          <t xml:space="preserve">اوشة </t>
        </is>
      </c>
      <c r="L1196" s="42" t="n">
        <v>11000</v>
      </c>
      <c r="M1196" s="42" t="n">
        <v>9100</v>
      </c>
      <c r="N1196" s="42" t="n"/>
      <c r="O1196" s="42" t="n"/>
      <c r="P1196" s="42" t="n"/>
      <c r="Q1196" s="42" t="n">
        <v>1900</v>
      </c>
      <c r="R1196" s="43">
        <f>IF($B1196="","",N($S1196)-N($Q1196))</f>
        <v/>
      </c>
      <c r="S1196" s="43">
        <f>IF($B1196="","",N($L1196)+N($N1196)+N($P1196))</f>
        <v/>
      </c>
      <c r="T1196" s="42" t="n"/>
      <c r="U1196" s="42" t="n"/>
      <c r="V1196" s="42" t="n"/>
      <c r="W1196" s="42" t="n"/>
      <c r="X1196" s="42" t="n"/>
      <c r="Y1196" s="42" t="n"/>
      <c r="Z1196" s="42" t="n"/>
      <c r="AA1196" s="42" t="n"/>
      <c r="AB1196" s="42" t="n"/>
      <c r="AC1196" s="42" t="n"/>
      <c r="AD1196" s="42" t="n"/>
      <c r="AE1196" s="42" t="n"/>
      <c r="AF1196" s="43">
        <f>IF($B1196="","",SUM($T1196:$AE1196))</f>
        <v/>
      </c>
      <c r="AG1196" s="43">
        <f>IF($B1196="","",N($M1196)-N($AF1196))</f>
        <v/>
      </c>
      <c r="AH1196" s="43">
        <f>IF($B1196="","",N($L1196)-N($AF1196))</f>
        <v/>
      </c>
      <c r="AI1196" s="149">
        <f>IF($B1196="","",IF(N($L1196)=0,"",(N($L1196)-N($AF1196))/N($L1196)))</f>
        <v/>
      </c>
    </row>
    <row r="1197">
      <c r="A1197" s="39">
        <f>IF($B1197="","",COUNTA($B$4:$B1197))</f>
        <v/>
      </c>
      <c r="B1197" s="45" t="n">
        <v>46155</v>
      </c>
      <c r="C1197" s="46" t="n">
        <v>2979</v>
      </c>
      <c r="D1197" s="46" t="inlineStr">
        <is>
          <t xml:space="preserve">سيد بدوى </t>
        </is>
      </c>
      <c r="E1197" s="46" t="inlineStr">
        <is>
          <t>2*20</t>
        </is>
      </c>
      <c r="F1197" s="46" t="n"/>
      <c r="G1197" s="46" t="inlineStr">
        <is>
          <t>برج العرب</t>
        </is>
      </c>
      <c r="H1197" s="46" t="inlineStr">
        <is>
          <t>017523/8-422624/9</t>
        </is>
      </c>
      <c r="I1197" s="46" t="inlineStr">
        <is>
          <t>س د ص 8948</t>
        </is>
      </c>
      <c r="J1197" s="46" t="inlineStr">
        <is>
          <t xml:space="preserve">السيد بدوى </t>
        </is>
      </c>
      <c r="K1197" s="46" t="inlineStr">
        <is>
          <t xml:space="preserve">السيد بدوى </t>
        </is>
      </c>
      <c r="L1197" s="47" t="n">
        <v>11000</v>
      </c>
      <c r="M1197" s="47" t="n">
        <v>9100</v>
      </c>
      <c r="N1197" s="47" t="n"/>
      <c r="O1197" s="47" t="n"/>
      <c r="P1197" s="47" t="n"/>
      <c r="Q1197" s="47" t="n">
        <v>1900</v>
      </c>
      <c r="R1197" s="43">
        <f>IF($B1197="","",N($S1197)-N($Q1197))</f>
        <v/>
      </c>
      <c r="S1197" s="43">
        <f>IF($B1197="","",N($L1197)+N($N1197)+N($P1197))</f>
        <v/>
      </c>
      <c r="T1197" s="47" t="n"/>
      <c r="U1197" s="47" t="n"/>
      <c r="V1197" s="47" t="n"/>
      <c r="W1197" s="47" t="n"/>
      <c r="X1197" s="47" t="n"/>
      <c r="Y1197" s="47" t="n"/>
      <c r="Z1197" s="47" t="n"/>
      <c r="AA1197" s="47" t="n"/>
      <c r="AB1197" s="47" t="n"/>
      <c r="AC1197" s="47" t="n"/>
      <c r="AD1197" s="47" t="n"/>
      <c r="AE1197" s="47" t="n"/>
      <c r="AF1197" s="43">
        <f>IF($B1197="","",SUM($T1197:$AE1197))</f>
        <v/>
      </c>
      <c r="AG1197" s="43">
        <f>IF($B1197="","",N($M1197)-N($AF1197))</f>
        <v/>
      </c>
      <c r="AH1197" s="43">
        <f>IF($B1197="","",N($L1197)-N($AF1197))</f>
        <v/>
      </c>
      <c r="AI1197" s="149">
        <f>IF($B1197="","",IF(N($L1197)=0,"",(N($L1197)-N($AF1197))/N($L1197)))</f>
        <v/>
      </c>
    </row>
    <row r="1198">
      <c r="A1198" s="39">
        <f>IF($B1198="","",COUNTA($B$4:$B1198))</f>
        <v/>
      </c>
      <c r="B1198" s="40" t="n">
        <v>46155</v>
      </c>
      <c r="C1198" s="41" t="n">
        <v>2984</v>
      </c>
      <c r="D1198" s="41" t="inlineStr">
        <is>
          <t xml:space="preserve">الانصارى </t>
        </is>
      </c>
      <c r="E1198" s="41" t="inlineStr">
        <is>
          <t>2*20</t>
        </is>
      </c>
      <c r="F1198" s="41" t="inlineStr">
        <is>
          <t xml:space="preserve">لوجيا </t>
        </is>
      </c>
      <c r="G1198" s="41" t="inlineStr">
        <is>
          <t>الصف</t>
        </is>
      </c>
      <c r="H1198" s="41" t="inlineStr">
        <is>
          <t>389594/0-743870/1</t>
        </is>
      </c>
      <c r="I1198" s="41" t="inlineStr">
        <is>
          <t>ب ص ا 2574</t>
        </is>
      </c>
      <c r="J1198" s="41" t="inlineStr">
        <is>
          <t xml:space="preserve">محمد البحيرى </t>
        </is>
      </c>
      <c r="K1198" s="41" t="inlineStr">
        <is>
          <t xml:space="preserve">احمد خليف </t>
        </is>
      </c>
      <c r="L1198" s="42" t="n">
        <v>25000</v>
      </c>
      <c r="M1198" s="42" t="n">
        <v>11100</v>
      </c>
      <c r="N1198" s="42" t="n"/>
      <c r="O1198" s="42" t="n">
        <v>200</v>
      </c>
      <c r="P1198" s="42" t="n"/>
      <c r="Q1198" s="42" t="n">
        <v>13700</v>
      </c>
      <c r="R1198" s="43">
        <f>IF($B1198="","",N($S1198)-N($Q1198))</f>
        <v/>
      </c>
      <c r="S1198" s="43">
        <f>IF($B1198="","",N($L1198)+N($N1198)+N($P1198))</f>
        <v/>
      </c>
      <c r="T1198" s="42" t="n"/>
      <c r="U1198" s="42" t="n"/>
      <c r="V1198" s="42" t="n"/>
      <c r="W1198" s="42" t="n"/>
      <c r="X1198" s="42" t="n"/>
      <c r="Y1198" s="42" t="n"/>
      <c r="Z1198" s="42" t="n"/>
      <c r="AA1198" s="42" t="n"/>
      <c r="AB1198" s="42" t="n"/>
      <c r="AC1198" s="42" t="n"/>
      <c r="AD1198" s="42" t="n"/>
      <c r="AE1198" s="42" t="n"/>
      <c r="AF1198" s="43">
        <f>IF($B1198="","",SUM($T1198:$AE1198))</f>
        <v/>
      </c>
      <c r="AG1198" s="43">
        <f>IF($B1198="","",N($M1198)-N($AF1198))</f>
        <v/>
      </c>
      <c r="AH1198" s="43">
        <f>IF($B1198="","",N($L1198)-N($AF1198))</f>
        <v/>
      </c>
      <c r="AI1198" s="149">
        <f>IF($B1198="","",IF(N($L1198)=0,"",(N($L1198)-N($AF1198))/N($L1198)))</f>
        <v/>
      </c>
    </row>
    <row r="1199">
      <c r="A1199" s="39">
        <f>IF($B1199="","",COUNTA($B$4:$B1199))</f>
        <v/>
      </c>
      <c r="B1199" s="45" t="n">
        <v>46155</v>
      </c>
      <c r="C1199" s="46" t="n">
        <v>2985</v>
      </c>
      <c r="D1199" s="46" t="inlineStr">
        <is>
          <t>صعيدى 5</t>
        </is>
      </c>
      <c r="E1199" s="46" t="inlineStr">
        <is>
          <t>2*20</t>
        </is>
      </c>
      <c r="F1199" s="46" t="inlineStr">
        <is>
          <t xml:space="preserve">لوجيا </t>
        </is>
      </c>
      <c r="G1199" s="46" t="inlineStr">
        <is>
          <t xml:space="preserve">الصف </t>
        </is>
      </c>
      <c r="H1199" s="46" t="inlineStr">
        <is>
          <t>106042/5-114310/2</t>
        </is>
      </c>
      <c r="I1199" s="46" t="inlineStr">
        <is>
          <t>س ه ف 1874</t>
        </is>
      </c>
      <c r="J1199" s="46" t="inlineStr">
        <is>
          <t xml:space="preserve">باسم عبد السلام </t>
        </is>
      </c>
      <c r="K1199" s="46" t="inlineStr">
        <is>
          <t xml:space="preserve">محمد الصعيدى </t>
        </is>
      </c>
      <c r="L1199" s="47" t="n">
        <v>25000</v>
      </c>
      <c r="M1199" s="47" t="n">
        <v>11100</v>
      </c>
      <c r="N1199" s="47" t="n"/>
      <c r="O1199" s="47" t="n">
        <v>200</v>
      </c>
      <c r="P1199" s="47" t="n">
        <v>1500</v>
      </c>
      <c r="Q1199" s="47" t="n"/>
      <c r="R1199" s="43">
        <f>IF($B1199="","",N($S1199)-N($Q1199))</f>
        <v/>
      </c>
      <c r="S1199" s="43">
        <f>IF($B1199="","",N($L1199)+N($N1199)+N($P1199))</f>
        <v/>
      </c>
      <c r="T1199" s="47" t="n"/>
      <c r="U1199" s="47" t="n"/>
      <c r="V1199" s="47" t="n"/>
      <c r="W1199" s="47" t="n"/>
      <c r="X1199" s="47" t="n"/>
      <c r="Y1199" s="47" t="n"/>
      <c r="Z1199" s="47" t="n"/>
      <c r="AA1199" s="47" t="n"/>
      <c r="AB1199" s="47" t="n"/>
      <c r="AC1199" s="47" t="n"/>
      <c r="AD1199" s="47" t="n"/>
      <c r="AE1199" s="47" t="n"/>
      <c r="AF1199" s="43">
        <f>IF($B1199="","",SUM($T1199:$AE1199))</f>
        <v/>
      </c>
      <c r="AG1199" s="43">
        <f>IF($B1199="","",N($M1199)-N($AF1199))</f>
        <v/>
      </c>
      <c r="AH1199" s="43">
        <f>IF($B1199="","",N($L1199)-N($AF1199))</f>
        <v/>
      </c>
      <c r="AI1199" s="149">
        <f>IF($B1199="","",IF(N($L1199)=0,"",(N($L1199)-N($AF1199))/N($L1199)))</f>
        <v/>
      </c>
    </row>
    <row r="1200">
      <c r="A1200" s="39">
        <f>IF($B1200="","",COUNTA($B$4:$B1200))</f>
        <v/>
      </c>
      <c r="B1200" s="40" t="n">
        <v>46155</v>
      </c>
      <c r="C1200" s="41" t="n">
        <v>2987</v>
      </c>
      <c r="D1200" s="41" t="inlineStr">
        <is>
          <t xml:space="preserve">احمد سونة </t>
        </is>
      </c>
      <c r="E1200" s="41" t="inlineStr">
        <is>
          <t>2*20</t>
        </is>
      </c>
      <c r="F1200" s="41" t="inlineStr">
        <is>
          <t xml:space="preserve">لوجيا </t>
        </is>
      </c>
      <c r="G1200" s="41" t="inlineStr">
        <is>
          <t xml:space="preserve">الصف </t>
        </is>
      </c>
      <c r="H1200" s="41" t="inlineStr">
        <is>
          <t>314830/9-311001/7</t>
        </is>
      </c>
      <c r="I1200" s="41" t="inlineStr">
        <is>
          <t>ع ا ل 9323</t>
        </is>
      </c>
      <c r="J1200" s="41" t="inlineStr">
        <is>
          <t xml:space="preserve">فتحى احمد </t>
        </is>
      </c>
      <c r="K1200" s="41" t="inlineStr">
        <is>
          <t xml:space="preserve">اشرف الخحجرى </t>
        </is>
      </c>
      <c r="L1200" s="42" t="n">
        <v>25000</v>
      </c>
      <c r="M1200" s="42" t="n">
        <v>11100</v>
      </c>
      <c r="N1200" s="42" t="n"/>
      <c r="O1200" s="42" t="n">
        <v>200</v>
      </c>
      <c r="P1200" s="42" t="n"/>
      <c r="Q1200" s="42" t="n"/>
      <c r="R1200" s="43">
        <f>IF($B1200="","",N($S1200)-N($Q1200))</f>
        <v/>
      </c>
      <c r="S1200" s="43">
        <f>IF($B1200="","",N($L1200)+N($N1200)+N($P1200))</f>
        <v/>
      </c>
      <c r="T1200" s="42" t="n"/>
      <c r="U1200" s="42" t="n"/>
      <c r="V1200" s="42" t="n"/>
      <c r="W1200" s="42" t="n"/>
      <c r="X1200" s="42" t="n"/>
      <c r="Y1200" s="42" t="n"/>
      <c r="Z1200" s="42" t="n"/>
      <c r="AA1200" s="42" t="n"/>
      <c r="AB1200" s="42" t="n"/>
      <c r="AC1200" s="42" t="n"/>
      <c r="AD1200" s="42" t="n"/>
      <c r="AE1200" s="42" t="n"/>
      <c r="AF1200" s="43">
        <f>IF($B1200="","",SUM($T1200:$AE1200))</f>
        <v/>
      </c>
      <c r="AG1200" s="43">
        <f>IF($B1200="","",N($M1200)-N($AF1200))</f>
        <v/>
      </c>
      <c r="AH1200" s="43">
        <f>IF($B1200="","",N($L1200)-N($AF1200))</f>
        <v/>
      </c>
      <c r="AI1200" s="149">
        <f>IF($B1200="","",IF(N($L1200)=0,"",(N($L1200)-N($AF1200))/N($L1200)))</f>
        <v/>
      </c>
    </row>
    <row r="1201">
      <c r="A1201" s="39">
        <f>IF($B1201="","",COUNTA($B$4:$B1201))</f>
        <v/>
      </c>
      <c r="B1201" s="45" t="n">
        <v>46155</v>
      </c>
      <c r="C1201" s="46" t="n">
        <v>2988</v>
      </c>
      <c r="D1201" s="46" t="inlineStr">
        <is>
          <t>الشريف</t>
        </is>
      </c>
      <c r="E1201" s="46" t="inlineStr">
        <is>
          <t>2*20</t>
        </is>
      </c>
      <c r="F1201" s="46" t="inlineStr">
        <is>
          <t xml:space="preserve">لوجيا </t>
        </is>
      </c>
      <c r="G1201" s="46" t="inlineStr">
        <is>
          <t xml:space="preserve">الصف </t>
        </is>
      </c>
      <c r="H1201" s="46" t="inlineStr">
        <is>
          <t>027655/6-601056/4</t>
        </is>
      </c>
      <c r="I1201" s="46" t="inlineStr">
        <is>
          <t>ب ب ا 9425</t>
        </is>
      </c>
      <c r="J1201" s="46" t="inlineStr">
        <is>
          <t xml:space="preserve">احمد الصيفى </t>
        </is>
      </c>
      <c r="K1201" s="46" t="inlineStr">
        <is>
          <t xml:space="preserve">الصيفى </t>
        </is>
      </c>
      <c r="L1201" s="47" t="n">
        <v>25000</v>
      </c>
      <c r="M1201" s="47" t="n">
        <v>11100</v>
      </c>
      <c r="N1201" s="47" t="n"/>
      <c r="O1201" s="47" t="n">
        <v>200</v>
      </c>
      <c r="P1201" s="47" t="n"/>
      <c r="Q1201" s="47" t="n">
        <v>13700</v>
      </c>
      <c r="R1201" s="43">
        <f>IF($B1201="","",N($S1201)-N($Q1201))</f>
        <v/>
      </c>
      <c r="S1201" s="43">
        <f>IF($B1201="","",N($L1201)+N($N1201)+N($P1201))</f>
        <v/>
      </c>
      <c r="T1201" s="47" t="n"/>
      <c r="U1201" s="47" t="n"/>
      <c r="V1201" s="47" t="n"/>
      <c r="W1201" s="47" t="n"/>
      <c r="X1201" s="47" t="n"/>
      <c r="Y1201" s="47" t="n"/>
      <c r="Z1201" s="47" t="n"/>
      <c r="AA1201" s="47" t="n"/>
      <c r="AB1201" s="47" t="n"/>
      <c r="AC1201" s="47" t="n"/>
      <c r="AD1201" s="47" t="n"/>
      <c r="AE1201" s="47" t="n"/>
      <c r="AF1201" s="43">
        <f>IF($B1201="","",SUM($T1201:$AE1201))</f>
        <v/>
      </c>
      <c r="AG1201" s="43">
        <f>IF($B1201="","",N($M1201)-N($AF1201))</f>
        <v/>
      </c>
      <c r="AH1201" s="43">
        <f>IF($B1201="","",N($L1201)-N($AF1201))</f>
        <v/>
      </c>
      <c r="AI1201" s="149">
        <f>IF($B1201="","",IF(N($L1201)=0,"",(N($L1201)-N($AF1201))/N($L1201)))</f>
        <v/>
      </c>
    </row>
    <row r="1202">
      <c r="A1202" s="39">
        <f>IF($B1202="","",COUNTA($B$4:$B1202))</f>
        <v/>
      </c>
      <c r="B1202" s="40" t="n">
        <v>46155</v>
      </c>
      <c r="C1202" s="41" t="n">
        <v>2980</v>
      </c>
      <c r="D1202" s="41" t="inlineStr">
        <is>
          <t>صعيدى 5</t>
        </is>
      </c>
      <c r="E1202" s="41" t="inlineStr">
        <is>
          <t>2*20</t>
        </is>
      </c>
      <c r="F1202" s="41" t="inlineStr">
        <is>
          <t xml:space="preserve">لوجيا </t>
        </is>
      </c>
      <c r="G1202" s="41" t="inlineStr">
        <is>
          <t xml:space="preserve">الصف </t>
        </is>
      </c>
      <c r="H1202" s="41" t="inlineStr">
        <is>
          <t>260750/7-397095/3</t>
        </is>
      </c>
      <c r="I1202" s="41" t="inlineStr">
        <is>
          <t>س ف ب 3176</t>
        </is>
      </c>
      <c r="J1202" s="41" t="inlineStr">
        <is>
          <t xml:space="preserve">السيد عبد العزيز </t>
        </is>
      </c>
      <c r="K1202" s="41" t="inlineStr">
        <is>
          <t xml:space="preserve">محمد الصعيدى </t>
        </is>
      </c>
      <c r="L1202" s="42" t="n">
        <v>25000</v>
      </c>
      <c r="M1202" s="42" t="n">
        <v>11100</v>
      </c>
      <c r="N1202" s="42" t="n"/>
      <c r="O1202" s="42" t="n">
        <v>200</v>
      </c>
      <c r="P1202" s="42" t="n"/>
      <c r="Q1202" s="42" t="n"/>
      <c r="R1202" s="43">
        <f>IF($B1202="","",N($S1202)-N($Q1202))</f>
        <v/>
      </c>
      <c r="S1202" s="43">
        <f>IF($B1202="","",N($L1202)+N($N1202)+N($P1202))</f>
        <v/>
      </c>
      <c r="T1202" s="42" t="n"/>
      <c r="U1202" s="42" t="n"/>
      <c r="V1202" s="42" t="n"/>
      <c r="W1202" s="42" t="n"/>
      <c r="X1202" s="42" t="n"/>
      <c r="Y1202" s="42" t="n"/>
      <c r="Z1202" s="42" t="n"/>
      <c r="AA1202" s="42" t="n"/>
      <c r="AB1202" s="42" t="n"/>
      <c r="AC1202" s="42" t="n"/>
      <c r="AD1202" s="42" t="n"/>
      <c r="AE1202" s="42" t="n"/>
      <c r="AF1202" s="43">
        <f>IF($B1202="","",SUM($T1202:$AE1202))</f>
        <v/>
      </c>
      <c r="AG1202" s="43">
        <f>IF($B1202="","",N($M1202)-N($AF1202))</f>
        <v/>
      </c>
      <c r="AH1202" s="43">
        <f>IF($B1202="","",N($L1202)-N($AF1202))</f>
        <v/>
      </c>
      <c r="AI1202" s="149">
        <f>IF($B1202="","",IF(N($L1202)=0,"",(N($L1202)-N($AF1202))/N($L1202)))</f>
        <v/>
      </c>
    </row>
    <row r="1203">
      <c r="A1203" s="39">
        <f>IF($B1203="","",COUNTA($B$4:$B1203))</f>
        <v/>
      </c>
      <c r="B1203" s="45" t="n">
        <v>46155</v>
      </c>
      <c r="C1203" s="46" t="n">
        <v>2981</v>
      </c>
      <c r="D1203" s="46" t="inlineStr">
        <is>
          <t>صعيدى 5</t>
        </is>
      </c>
      <c r="E1203" s="46" t="inlineStr">
        <is>
          <t>2*20</t>
        </is>
      </c>
      <c r="F1203" s="46" t="inlineStr">
        <is>
          <t xml:space="preserve">لوجيا </t>
        </is>
      </c>
      <c r="G1203" s="46" t="inlineStr">
        <is>
          <t xml:space="preserve">الصف </t>
        </is>
      </c>
      <c r="H1203" s="46" t="inlineStr">
        <is>
          <t>312184/9-630006/0</t>
        </is>
      </c>
      <c r="I1203" s="46" t="inlineStr">
        <is>
          <t>س ل ج 2521</t>
        </is>
      </c>
      <c r="J1203" s="46" t="inlineStr">
        <is>
          <t xml:space="preserve">احمد القط </t>
        </is>
      </c>
      <c r="K1203" s="46" t="inlineStr">
        <is>
          <t xml:space="preserve">محمد الصعيدى </t>
        </is>
      </c>
      <c r="L1203" s="47" t="n">
        <v>25000</v>
      </c>
      <c r="M1203" s="47" t="n">
        <v>11100</v>
      </c>
      <c r="N1203" s="47" t="n"/>
      <c r="O1203" s="47" t="n">
        <v>200</v>
      </c>
      <c r="P1203" s="47" t="n"/>
      <c r="Q1203" s="47" t="n"/>
      <c r="R1203" s="43">
        <f>IF($B1203="","",N($S1203)-N($Q1203))</f>
        <v/>
      </c>
      <c r="S1203" s="43">
        <f>IF($B1203="","",N($L1203)+N($N1203)+N($P1203))</f>
        <v/>
      </c>
      <c r="T1203" s="47" t="n"/>
      <c r="U1203" s="47" t="n"/>
      <c r="V1203" s="47" t="n"/>
      <c r="W1203" s="47" t="n"/>
      <c r="X1203" s="47" t="n"/>
      <c r="Y1203" s="47" t="n"/>
      <c r="Z1203" s="47" t="n"/>
      <c r="AA1203" s="47" t="n"/>
      <c r="AB1203" s="47" t="n"/>
      <c r="AC1203" s="47" t="n"/>
      <c r="AD1203" s="47" t="n"/>
      <c r="AE1203" s="47" t="n"/>
      <c r="AF1203" s="43">
        <f>IF($B1203="","",SUM($T1203:$AE1203))</f>
        <v/>
      </c>
      <c r="AG1203" s="43">
        <f>IF($B1203="","",N($M1203)-N($AF1203))</f>
        <v/>
      </c>
      <c r="AH1203" s="43">
        <f>IF($B1203="","",N($L1203)-N($AF1203))</f>
        <v/>
      </c>
      <c r="AI1203" s="149">
        <f>IF($B1203="","",IF(N($L1203)=0,"",(N($L1203)-N($AF1203))/N($L1203)))</f>
        <v/>
      </c>
    </row>
    <row r="1204">
      <c r="A1204" s="39">
        <f>IF($B1204="","",COUNTA($B$4:$B1204))</f>
        <v/>
      </c>
      <c r="B1204" s="40" t="n">
        <v>46155</v>
      </c>
      <c r="C1204" s="41" t="n">
        <v>2972</v>
      </c>
      <c r="D1204" s="41" t="inlineStr">
        <is>
          <t>اسلام محروس</t>
        </is>
      </c>
      <c r="E1204" s="41" t="inlineStr">
        <is>
          <t>2*20</t>
        </is>
      </c>
      <c r="F1204" s="41" t="inlineStr">
        <is>
          <t xml:space="preserve">لوجيا </t>
        </is>
      </c>
      <c r="G1204" s="41" t="inlineStr">
        <is>
          <t>الصف</t>
        </is>
      </c>
      <c r="H1204" s="41" t="inlineStr">
        <is>
          <t>226463/9-178990/5</t>
        </is>
      </c>
      <c r="I1204" s="41" t="inlineStr">
        <is>
          <t>ب د ف 9217</t>
        </is>
      </c>
      <c r="J1204" s="41" t="inlineStr">
        <is>
          <t xml:space="preserve">يسرى الصيفى </t>
        </is>
      </c>
      <c r="K1204" s="41" t="inlineStr">
        <is>
          <t xml:space="preserve">الصيفى </t>
        </is>
      </c>
      <c r="L1204" s="42" t="n">
        <v>25000</v>
      </c>
      <c r="M1204" s="42" t="n">
        <v>11100</v>
      </c>
      <c r="N1204" s="42" t="n"/>
      <c r="O1204" s="42" t="n">
        <v>200</v>
      </c>
      <c r="P1204" s="42" t="n"/>
      <c r="Q1204" s="42" t="n">
        <v>13700</v>
      </c>
      <c r="R1204" s="43">
        <f>IF($B1204="","",N($S1204)-N($Q1204))</f>
        <v/>
      </c>
      <c r="S1204" s="43">
        <f>IF($B1204="","",N($L1204)+N($N1204)+N($P1204))</f>
        <v/>
      </c>
      <c r="T1204" s="42" t="n"/>
      <c r="U1204" s="42" t="n"/>
      <c r="V1204" s="42" t="n"/>
      <c r="W1204" s="42" t="n"/>
      <c r="X1204" s="42" t="n"/>
      <c r="Y1204" s="42" t="n"/>
      <c r="Z1204" s="42" t="n"/>
      <c r="AA1204" s="42" t="n"/>
      <c r="AB1204" s="42" t="n"/>
      <c r="AC1204" s="42" t="n"/>
      <c r="AD1204" s="42" t="n"/>
      <c r="AE1204" s="42" t="n"/>
      <c r="AF1204" s="43">
        <f>IF($B1204="","",SUM($T1204:$AE1204))</f>
        <v/>
      </c>
      <c r="AG1204" s="43">
        <f>IF($B1204="","",N($M1204)-N($AF1204))</f>
        <v/>
      </c>
      <c r="AH1204" s="43">
        <f>IF($B1204="","",N($L1204)-N($AF1204))</f>
        <v/>
      </c>
      <c r="AI1204" s="149">
        <f>IF($B1204="","",IF(N($L1204)=0,"",(N($L1204)-N($AF1204))/N($L1204)))</f>
        <v/>
      </c>
    </row>
    <row r="1205">
      <c r="A1205" s="39">
        <f>IF($B1205="","",COUNTA($B$4:$B1205))</f>
        <v/>
      </c>
      <c r="B1205" s="45" t="n">
        <v>46155</v>
      </c>
      <c r="C1205" s="46" t="n">
        <v>2973</v>
      </c>
      <c r="D1205" s="46" t="inlineStr">
        <is>
          <t>اسلام محروس</t>
        </is>
      </c>
      <c r="E1205" s="46" t="inlineStr">
        <is>
          <t>2*20</t>
        </is>
      </c>
      <c r="F1205" s="46" t="inlineStr">
        <is>
          <t xml:space="preserve">لوجيا </t>
        </is>
      </c>
      <c r="G1205" s="46" t="inlineStr">
        <is>
          <t>الصف</t>
        </is>
      </c>
      <c r="H1205" s="46" t="inlineStr">
        <is>
          <t>269020/2-164797/5</t>
        </is>
      </c>
      <c r="I1205" s="46" t="inlineStr">
        <is>
          <t>ب س ا 2648</t>
        </is>
      </c>
      <c r="J1205" s="46" t="inlineStr">
        <is>
          <t xml:space="preserve">عمار الصيفى </t>
        </is>
      </c>
      <c r="K1205" s="46" t="inlineStr">
        <is>
          <t xml:space="preserve">الصيفى </t>
        </is>
      </c>
      <c r="L1205" s="47" t="n">
        <v>25000</v>
      </c>
      <c r="M1205" s="47" t="n">
        <v>11100</v>
      </c>
      <c r="N1205" s="47" t="n"/>
      <c r="O1205" s="47" t="n">
        <v>200</v>
      </c>
      <c r="P1205" s="47" t="n"/>
      <c r="Q1205" s="47" t="n">
        <v>13700</v>
      </c>
      <c r="R1205" s="43">
        <f>IF($B1205="","",N($S1205)-N($Q1205))</f>
        <v/>
      </c>
      <c r="S1205" s="43">
        <f>IF($B1205="","",N($L1205)+N($N1205)+N($P1205))</f>
        <v/>
      </c>
      <c r="T1205" s="47" t="n"/>
      <c r="U1205" s="47" t="n"/>
      <c r="V1205" s="47" t="n"/>
      <c r="W1205" s="47" t="n"/>
      <c r="X1205" s="47" t="n"/>
      <c r="Y1205" s="47" t="n"/>
      <c r="Z1205" s="47" t="n"/>
      <c r="AA1205" s="47" t="n"/>
      <c r="AB1205" s="47" t="n"/>
      <c r="AC1205" s="47" t="n"/>
      <c r="AD1205" s="47" t="n"/>
      <c r="AE1205" s="47" t="n"/>
      <c r="AF1205" s="43">
        <f>IF($B1205="","",SUM($T1205:$AE1205))</f>
        <v/>
      </c>
      <c r="AG1205" s="43">
        <f>IF($B1205="","",N($M1205)-N($AF1205))</f>
        <v/>
      </c>
      <c r="AH1205" s="43">
        <f>IF($B1205="","",N($L1205)-N($AF1205))</f>
        <v/>
      </c>
      <c r="AI1205" s="149">
        <f>IF($B1205="","",IF(N($L1205)=0,"",(N($L1205)-N($AF1205))/N($L1205)))</f>
        <v/>
      </c>
    </row>
    <row r="1206">
      <c r="A1206" s="39">
        <f>IF($B1206="","",COUNTA($B$4:$B1206))</f>
        <v/>
      </c>
      <c r="B1206" s="40" t="n">
        <v>46155</v>
      </c>
      <c r="C1206" s="41" t="n">
        <v>2974</v>
      </c>
      <c r="D1206" s="41" t="inlineStr">
        <is>
          <t>الشريف</t>
        </is>
      </c>
      <c r="E1206" s="41" t="inlineStr">
        <is>
          <t>2*20</t>
        </is>
      </c>
      <c r="F1206" s="41" t="inlineStr">
        <is>
          <t xml:space="preserve">لوجيا </t>
        </is>
      </c>
      <c r="G1206" s="41" t="inlineStr">
        <is>
          <t>الصف</t>
        </is>
      </c>
      <c r="H1206" s="41" t="inlineStr">
        <is>
          <t>194202/1-251456/4</t>
        </is>
      </c>
      <c r="I1206" s="41" t="inlineStr">
        <is>
          <t>ب س ا 7385</t>
        </is>
      </c>
      <c r="J1206" s="41" t="inlineStr">
        <is>
          <t>محمد خليل</t>
        </is>
      </c>
      <c r="K1206" s="41" t="inlineStr">
        <is>
          <t>ابو ادم</t>
        </is>
      </c>
      <c r="L1206" s="42" t="n">
        <v>25000</v>
      </c>
      <c r="M1206" s="42" t="n">
        <v>11100</v>
      </c>
      <c r="N1206" s="42" t="n"/>
      <c r="O1206" s="42" t="n">
        <v>200</v>
      </c>
      <c r="P1206" s="42" t="n"/>
      <c r="Q1206" s="42" t="n"/>
      <c r="R1206" s="43">
        <f>IF($B1206="","",N($S1206)-N($Q1206))</f>
        <v/>
      </c>
      <c r="S1206" s="43">
        <f>IF($B1206="","",N($L1206)+N($N1206)+N($P1206))</f>
        <v/>
      </c>
      <c r="T1206" s="42" t="n"/>
      <c r="U1206" s="42" t="n"/>
      <c r="V1206" s="42" t="n"/>
      <c r="W1206" s="42" t="n"/>
      <c r="X1206" s="42" t="n"/>
      <c r="Y1206" s="42" t="n"/>
      <c r="Z1206" s="42" t="n"/>
      <c r="AA1206" s="42" t="n"/>
      <c r="AB1206" s="42" t="n"/>
      <c r="AC1206" s="42" t="n"/>
      <c r="AD1206" s="42" t="n"/>
      <c r="AE1206" s="42" t="n"/>
      <c r="AF1206" s="43">
        <f>IF($B1206="","",SUM($T1206:$AE1206))</f>
        <v/>
      </c>
      <c r="AG1206" s="43">
        <f>IF($B1206="","",N($M1206)-N($AF1206))</f>
        <v/>
      </c>
      <c r="AH1206" s="43">
        <f>IF($B1206="","",N($L1206)-N($AF1206))</f>
        <v/>
      </c>
      <c r="AI1206" s="149">
        <f>IF($B1206="","",IF(N($L1206)=0,"",(N($L1206)-N($AF1206))/N($L1206)))</f>
        <v/>
      </c>
    </row>
    <row r="1207">
      <c r="A1207" s="39">
        <f>IF($B1207="","",COUNTA($B$4:$B1207))</f>
        <v/>
      </c>
      <c r="B1207" s="45" t="n">
        <v>46155</v>
      </c>
      <c r="C1207" s="46" t="n">
        <v>2975</v>
      </c>
      <c r="D1207" s="46" t="inlineStr">
        <is>
          <t>احمد خطاب</t>
        </is>
      </c>
      <c r="E1207" s="46" t="inlineStr">
        <is>
          <t>2*20</t>
        </is>
      </c>
      <c r="F1207" s="46" t="inlineStr">
        <is>
          <t xml:space="preserve">لوجيا </t>
        </is>
      </c>
      <c r="G1207" s="46" t="inlineStr">
        <is>
          <t>الصف</t>
        </is>
      </c>
      <c r="H1207" s="46" t="inlineStr">
        <is>
          <t>760150/5-315892/3</t>
        </is>
      </c>
      <c r="I1207" s="46" t="inlineStr">
        <is>
          <t>ب د ف 8472</t>
        </is>
      </c>
      <c r="J1207" s="46" t="inlineStr">
        <is>
          <t xml:space="preserve">احمد يحى </t>
        </is>
      </c>
      <c r="K1207" s="46" t="inlineStr">
        <is>
          <t xml:space="preserve">الصيفى </t>
        </is>
      </c>
      <c r="L1207" s="47" t="n">
        <v>25000</v>
      </c>
      <c r="M1207" s="47" t="n">
        <v>11100</v>
      </c>
      <c r="N1207" s="47" t="n"/>
      <c r="O1207" s="47" t="n">
        <v>200</v>
      </c>
      <c r="P1207" s="47" t="n"/>
      <c r="Q1207" s="47" t="n">
        <v>13700</v>
      </c>
      <c r="R1207" s="43">
        <f>IF($B1207="","",N($S1207)-N($Q1207))</f>
        <v/>
      </c>
      <c r="S1207" s="43">
        <f>IF($B1207="","",N($L1207)+N($N1207)+N($P1207))</f>
        <v/>
      </c>
      <c r="T1207" s="47" t="n"/>
      <c r="U1207" s="47" t="n"/>
      <c r="V1207" s="47" t="n"/>
      <c r="W1207" s="47" t="n"/>
      <c r="X1207" s="47" t="n"/>
      <c r="Y1207" s="47" t="n"/>
      <c r="Z1207" s="47" t="n"/>
      <c r="AA1207" s="47" t="n"/>
      <c r="AB1207" s="47" t="n"/>
      <c r="AC1207" s="47" t="n"/>
      <c r="AD1207" s="47" t="n"/>
      <c r="AE1207" s="47" t="n"/>
      <c r="AF1207" s="43">
        <f>IF($B1207="","",SUM($T1207:$AE1207))</f>
        <v/>
      </c>
      <c r="AG1207" s="43">
        <f>IF($B1207="","",N($M1207)-N($AF1207))</f>
        <v/>
      </c>
      <c r="AH1207" s="43">
        <f>IF($B1207="","",N($L1207)-N($AF1207))</f>
        <v/>
      </c>
      <c r="AI1207" s="149">
        <f>IF($B1207="","",IF(N($L1207)=0,"",(N($L1207)-N($AF1207))/N($L1207)))</f>
        <v/>
      </c>
    </row>
    <row r="1208">
      <c r="A1208" s="39">
        <f>IF($B1208="","",COUNTA($B$4:$B1208))</f>
        <v/>
      </c>
      <c r="B1208" s="40" t="n">
        <v>46155</v>
      </c>
      <c r="C1208" s="41" t="n">
        <v>2976</v>
      </c>
      <c r="D1208" s="41" t="inlineStr">
        <is>
          <t>الشريف</t>
        </is>
      </c>
      <c r="E1208" s="41" t="inlineStr">
        <is>
          <t>2*20</t>
        </is>
      </c>
      <c r="F1208" s="41" t="inlineStr">
        <is>
          <t xml:space="preserve">لوجيا </t>
        </is>
      </c>
      <c r="G1208" s="41" t="inlineStr">
        <is>
          <t xml:space="preserve">الصف </t>
        </is>
      </c>
      <c r="H1208" s="41" t="inlineStr">
        <is>
          <t>318639/4-110263/9</t>
        </is>
      </c>
      <c r="I1208" s="41" t="inlineStr">
        <is>
          <t>ب د ف 7612</t>
        </is>
      </c>
      <c r="J1208" s="41" t="inlineStr">
        <is>
          <t xml:space="preserve">احمد سامى </t>
        </is>
      </c>
      <c r="K1208" s="41" t="inlineStr">
        <is>
          <t xml:space="preserve">الصيفى </t>
        </is>
      </c>
      <c r="L1208" s="42" t="n">
        <v>25000</v>
      </c>
      <c r="M1208" s="42" t="n">
        <v>11100</v>
      </c>
      <c r="N1208" s="42" t="n"/>
      <c r="O1208" s="42" t="n">
        <v>200</v>
      </c>
      <c r="P1208" s="42" t="n"/>
      <c r="Q1208" s="42" t="n"/>
      <c r="R1208" s="43">
        <f>IF($B1208="","",N($S1208)-N($Q1208))</f>
        <v/>
      </c>
      <c r="S1208" s="43">
        <f>IF($B1208="","",N($L1208)+N($N1208)+N($P1208))</f>
        <v/>
      </c>
      <c r="T1208" s="42" t="n"/>
      <c r="U1208" s="42" t="n"/>
      <c r="V1208" s="42" t="n"/>
      <c r="W1208" s="42" t="n"/>
      <c r="X1208" s="42" t="n"/>
      <c r="Y1208" s="42" t="n"/>
      <c r="Z1208" s="42" t="n"/>
      <c r="AA1208" s="42" t="n"/>
      <c r="AB1208" s="42" t="n"/>
      <c r="AC1208" s="42" t="n"/>
      <c r="AD1208" s="42" t="n"/>
      <c r="AE1208" s="42" t="n"/>
      <c r="AF1208" s="43">
        <f>IF($B1208="","",SUM($T1208:$AE1208))</f>
        <v/>
      </c>
      <c r="AG1208" s="43">
        <f>IF($B1208="","",N($M1208)-N($AF1208))</f>
        <v/>
      </c>
      <c r="AH1208" s="43">
        <f>IF($B1208="","",N($L1208)-N($AF1208))</f>
        <v/>
      </c>
      <c r="AI1208" s="149">
        <f>IF($B1208="","",IF(N($L1208)=0,"",(N($L1208)-N($AF1208))/N($L1208)))</f>
        <v/>
      </c>
    </row>
    <row r="1209">
      <c r="A1209" s="39">
        <f>IF($B1209="","",COUNTA($B$4:$B1209))</f>
        <v/>
      </c>
      <c r="B1209" s="45" t="n">
        <v>46155</v>
      </c>
      <c r="C1209" s="46" t="n">
        <v>2986</v>
      </c>
      <c r="D1209" s="46" t="inlineStr">
        <is>
          <t>المكتب</t>
        </is>
      </c>
      <c r="E1209" s="46" t="inlineStr">
        <is>
          <t>2*20</t>
        </is>
      </c>
      <c r="F1209" s="46" t="inlineStr">
        <is>
          <t xml:space="preserve">لوجيا </t>
        </is>
      </c>
      <c r="G1209" s="46" t="inlineStr">
        <is>
          <t xml:space="preserve">الصف </t>
        </is>
      </c>
      <c r="H1209" s="46" t="inlineStr">
        <is>
          <t>103213/0-103117/6</t>
        </is>
      </c>
      <c r="I1209" s="46" t="inlineStr">
        <is>
          <t>س ع م 8737</t>
        </is>
      </c>
      <c r="J1209" s="46" t="inlineStr">
        <is>
          <t xml:space="preserve">جلال حسنى </t>
        </is>
      </c>
      <c r="K1209" s="46" t="inlineStr">
        <is>
          <t xml:space="preserve">المكتب </t>
        </is>
      </c>
      <c r="L1209" s="47" t="n">
        <v>25000</v>
      </c>
      <c r="M1209" s="47" t="n">
        <v>5100</v>
      </c>
      <c r="N1209" s="47" t="n"/>
      <c r="O1209" s="47" t="n"/>
      <c r="P1209" s="47" t="n"/>
      <c r="Q1209" s="47" t="n">
        <v>19900</v>
      </c>
      <c r="R1209" s="43">
        <f>IF($B1209="","",N($S1209)-N($Q1209))</f>
        <v/>
      </c>
      <c r="S1209" s="43">
        <f>IF($B1209="","",N($L1209)+N($N1209)+N($P1209))</f>
        <v/>
      </c>
      <c r="T1209" s="47" t="n"/>
      <c r="U1209" s="47" t="n"/>
      <c r="V1209" s="47" t="n"/>
      <c r="W1209" s="47" t="n"/>
      <c r="X1209" s="47" t="n"/>
      <c r="Y1209" s="47" t="n"/>
      <c r="Z1209" s="47" t="n"/>
      <c r="AA1209" s="47" t="n"/>
      <c r="AB1209" s="47" t="n"/>
      <c r="AC1209" s="47" t="n"/>
      <c r="AD1209" s="47" t="n"/>
      <c r="AE1209" s="47" t="n"/>
      <c r="AF1209" s="43">
        <f>IF($B1209="","",SUM($T1209:$AE1209))</f>
        <v/>
      </c>
      <c r="AG1209" s="43">
        <f>IF($B1209="","",N($M1209)-N($AF1209))</f>
        <v/>
      </c>
      <c r="AH1209" s="43">
        <f>IF($B1209="","",N($L1209)-N($AF1209))</f>
        <v/>
      </c>
      <c r="AI1209" s="149">
        <f>IF($B1209="","",IF(N($L1209)=0,"",(N($L1209)-N($AF1209))/N($L1209)))</f>
        <v/>
      </c>
    </row>
    <row r="1210">
      <c r="A1210" s="39">
        <f>IF($B1210="","",COUNTA($B$4:$B1210))</f>
        <v/>
      </c>
      <c r="B1210" s="40" t="n">
        <v>46156</v>
      </c>
      <c r="C1210" s="41" t="n">
        <v>2840</v>
      </c>
      <c r="D1210" s="41" t="inlineStr">
        <is>
          <t xml:space="preserve">احمد محسن </t>
        </is>
      </c>
      <c r="E1210" s="41" t="inlineStr">
        <is>
          <t>1*40</t>
        </is>
      </c>
      <c r="F1210" s="41" t="inlineStr">
        <is>
          <t>ناتورالى</t>
        </is>
      </c>
      <c r="G1210" s="41" t="inlineStr">
        <is>
          <t>ق الاسد /</t>
        </is>
      </c>
      <c r="H1210" s="41" t="inlineStr">
        <is>
          <t>751579/5</t>
        </is>
      </c>
      <c r="I1210" s="41" t="inlineStr">
        <is>
          <t>س ع ا 7219</t>
        </is>
      </c>
      <c r="J1210" s="41" t="inlineStr">
        <is>
          <t xml:space="preserve">رمضان السيد </t>
        </is>
      </c>
      <c r="K1210" s="41" t="inlineStr">
        <is>
          <t xml:space="preserve">احمد محسن </t>
        </is>
      </c>
      <c r="L1210" s="42" t="n">
        <v>15500</v>
      </c>
      <c r="M1210" s="42" t="n">
        <v>8100</v>
      </c>
      <c r="N1210" s="42" t="n"/>
      <c r="O1210" s="42" t="n">
        <v>200</v>
      </c>
      <c r="P1210" s="42" t="n"/>
      <c r="Q1210" s="42" t="n">
        <v>7200</v>
      </c>
      <c r="R1210" s="43">
        <f>IF($B1210="","",N($S1210)-N($Q1210))</f>
        <v/>
      </c>
      <c r="S1210" s="43">
        <f>IF($B1210="","",N($L1210)+N($N1210)+N($P1210))</f>
        <v/>
      </c>
      <c r="T1210" s="42" t="n"/>
      <c r="U1210" s="42" t="n"/>
      <c r="V1210" s="42" t="n"/>
      <c r="W1210" s="42" t="n"/>
      <c r="X1210" s="42" t="n"/>
      <c r="Y1210" s="42" t="n"/>
      <c r="Z1210" s="42" t="n"/>
      <c r="AA1210" s="42" t="n"/>
      <c r="AB1210" s="42" t="n"/>
      <c r="AC1210" s="42" t="n"/>
      <c r="AD1210" s="42" t="n"/>
      <c r="AE1210" s="42" t="n"/>
      <c r="AF1210" s="43">
        <f>IF($B1210="","",SUM($T1210:$AE1210))</f>
        <v/>
      </c>
      <c r="AG1210" s="43">
        <f>IF($B1210="","",N($M1210)-N($AF1210))</f>
        <v/>
      </c>
      <c r="AH1210" s="43">
        <f>IF($B1210="","",N($L1210)-N($AF1210))</f>
        <v/>
      </c>
      <c r="AI1210" s="149">
        <f>IF($B1210="","",IF(N($L1210)=0,"",(N($L1210)-N($AF1210))/N($L1210)))</f>
        <v/>
      </c>
    </row>
    <row r="1211">
      <c r="A1211" s="39">
        <f>IF($B1211="","",COUNTA($B$4:$B1211))</f>
        <v/>
      </c>
      <c r="B1211" s="45" t="n">
        <v>46156</v>
      </c>
      <c r="C1211" s="46" t="n">
        <v>2841</v>
      </c>
      <c r="D1211" s="46" t="inlineStr">
        <is>
          <t xml:space="preserve">استوريا </t>
        </is>
      </c>
      <c r="E1211" s="46" t="inlineStr">
        <is>
          <t>1*40</t>
        </is>
      </c>
      <c r="F1211" s="46" t="inlineStr">
        <is>
          <t>ناتورالى</t>
        </is>
      </c>
      <c r="G1211" s="46" t="inlineStr">
        <is>
          <t xml:space="preserve">شبرا منت </t>
        </is>
      </c>
      <c r="H1211" s="46" t="inlineStr">
        <is>
          <t>481781/6</t>
        </is>
      </c>
      <c r="I1211" s="46" t="inlineStr">
        <is>
          <t>ف ر ب 5461</t>
        </is>
      </c>
      <c r="J1211" s="46" t="inlineStr">
        <is>
          <t xml:space="preserve">احمد السيد </t>
        </is>
      </c>
      <c r="K1211" s="46" t="inlineStr">
        <is>
          <t>استوريا</t>
        </is>
      </c>
      <c r="L1211" s="47" t="n">
        <v>14000</v>
      </c>
      <c r="M1211" s="47" t="n">
        <v>8100</v>
      </c>
      <c r="N1211" s="47" t="n"/>
      <c r="O1211" s="47" t="n">
        <v>200</v>
      </c>
      <c r="P1211" s="47" t="n"/>
      <c r="Q1211" s="47" t="n"/>
      <c r="R1211" s="43">
        <f>IF($B1211="","",N($S1211)-N($Q1211))</f>
        <v/>
      </c>
      <c r="S1211" s="43">
        <f>IF($B1211="","",N($L1211)+N($N1211)+N($P1211))</f>
        <v/>
      </c>
      <c r="T1211" s="47" t="n"/>
      <c r="U1211" s="47" t="n"/>
      <c r="V1211" s="47" t="n"/>
      <c r="W1211" s="47" t="n"/>
      <c r="X1211" s="47" t="n"/>
      <c r="Y1211" s="47" t="n"/>
      <c r="Z1211" s="47" t="n"/>
      <c r="AA1211" s="47" t="n"/>
      <c r="AB1211" s="47" t="n"/>
      <c r="AC1211" s="47" t="n"/>
      <c r="AD1211" s="47" t="n"/>
      <c r="AE1211" s="47" t="n"/>
      <c r="AF1211" s="43">
        <f>IF($B1211="","",SUM($T1211:$AE1211))</f>
        <v/>
      </c>
      <c r="AG1211" s="43">
        <f>IF($B1211="","",N($M1211)-N($AF1211))</f>
        <v/>
      </c>
      <c r="AH1211" s="43">
        <f>IF($B1211="","",N($L1211)-N($AF1211))</f>
        <v/>
      </c>
      <c r="AI1211" s="149">
        <f>IF($B1211="","",IF(N($L1211)=0,"",(N($L1211)-N($AF1211))/N($L1211)))</f>
        <v/>
      </c>
    </row>
    <row r="1212">
      <c r="A1212" s="39">
        <f>IF($B1212="","",COUNTA($B$4:$B1212))</f>
        <v/>
      </c>
      <c r="B1212" s="40" t="n">
        <v>46156</v>
      </c>
      <c r="C1212" s="41" t="n">
        <v>2842</v>
      </c>
      <c r="D1212" s="41" t="inlineStr">
        <is>
          <t xml:space="preserve">احمد محسن </t>
        </is>
      </c>
      <c r="E1212" s="41" t="inlineStr">
        <is>
          <t>1*40</t>
        </is>
      </c>
      <c r="F1212" s="41" t="inlineStr">
        <is>
          <t>ناتورالى</t>
        </is>
      </c>
      <c r="G1212" s="41" t="inlineStr">
        <is>
          <t xml:space="preserve">شبرا </t>
        </is>
      </c>
      <c r="H1212" s="41" t="inlineStr">
        <is>
          <t>427251/9</t>
        </is>
      </c>
      <c r="I1212" s="41" t="inlineStr">
        <is>
          <t>س ه ف 1387</t>
        </is>
      </c>
      <c r="J1212" s="41" t="inlineStr">
        <is>
          <t xml:space="preserve">عصام المغربى </t>
        </is>
      </c>
      <c r="K1212" s="41" t="inlineStr">
        <is>
          <t xml:space="preserve">احمد محسن </t>
        </is>
      </c>
      <c r="L1212" s="42" t="n">
        <v>15500</v>
      </c>
      <c r="M1212" s="42" t="n">
        <v>5100</v>
      </c>
      <c r="N1212" s="42" t="n"/>
      <c r="O1212" s="42" t="n">
        <v>200</v>
      </c>
      <c r="P1212" s="42" t="n"/>
      <c r="Q1212" s="42" t="n">
        <v>10200</v>
      </c>
      <c r="R1212" s="43">
        <f>IF($B1212="","",N($S1212)-N($Q1212))</f>
        <v/>
      </c>
      <c r="S1212" s="43">
        <f>IF($B1212="","",N($L1212)+N($N1212)+N($P1212))</f>
        <v/>
      </c>
      <c r="T1212" s="42" t="n"/>
      <c r="U1212" s="42" t="n"/>
      <c r="V1212" s="42" t="n"/>
      <c r="W1212" s="42" t="n"/>
      <c r="X1212" s="42" t="n"/>
      <c r="Y1212" s="42" t="n"/>
      <c r="Z1212" s="42" t="n"/>
      <c r="AA1212" s="42" t="n"/>
      <c r="AB1212" s="42" t="n"/>
      <c r="AC1212" s="42" t="n"/>
      <c r="AD1212" s="42" t="n"/>
      <c r="AE1212" s="42" t="n"/>
      <c r="AF1212" s="43">
        <f>IF($B1212="","",SUM($T1212:$AE1212))</f>
        <v/>
      </c>
      <c r="AG1212" s="43">
        <f>IF($B1212="","",N($M1212)-N($AF1212))</f>
        <v/>
      </c>
      <c r="AH1212" s="43">
        <f>IF($B1212="","",N($L1212)-N($AF1212))</f>
        <v/>
      </c>
      <c r="AI1212" s="149">
        <f>IF($B1212="","",IF(N($L1212)=0,"",(N($L1212)-N($AF1212))/N($L1212)))</f>
        <v/>
      </c>
    </row>
    <row r="1213">
      <c r="A1213" s="39">
        <f>IF($B1213="","",COUNTA($B$4:$B1213))</f>
        <v/>
      </c>
      <c r="B1213" s="45" t="n">
        <v>46156</v>
      </c>
      <c r="C1213" s="46" t="n">
        <v>2843</v>
      </c>
      <c r="D1213" s="46" t="inlineStr">
        <is>
          <t xml:space="preserve">احمد عبدو </t>
        </is>
      </c>
      <c r="E1213" s="46" t="inlineStr">
        <is>
          <t>1*40</t>
        </is>
      </c>
      <c r="F1213" s="46" t="inlineStr">
        <is>
          <t>ناتورالى</t>
        </is>
      </c>
      <c r="G1213" s="46" t="inlineStr">
        <is>
          <t xml:space="preserve">اكتوبر </t>
        </is>
      </c>
      <c r="H1213" s="46" t="inlineStr">
        <is>
          <t>855615/8</t>
        </is>
      </c>
      <c r="I1213" s="46" t="inlineStr">
        <is>
          <t>س ا ه 8198</t>
        </is>
      </c>
      <c r="J1213" s="46" t="inlineStr">
        <is>
          <t xml:space="preserve">وجية عبد الصابور </t>
        </is>
      </c>
      <c r="K1213" s="46" t="inlineStr">
        <is>
          <t xml:space="preserve">علاء علام </t>
        </is>
      </c>
      <c r="L1213" s="47" t="n">
        <v>13500</v>
      </c>
      <c r="M1213" s="47" t="n">
        <v>8100</v>
      </c>
      <c r="N1213" s="47" t="n"/>
      <c r="O1213" s="47" t="n">
        <v>200</v>
      </c>
      <c r="P1213" s="47" t="n"/>
      <c r="Q1213" s="47" t="n">
        <v>5200</v>
      </c>
      <c r="R1213" s="43">
        <f>IF($B1213="","",N($S1213)-N($Q1213))</f>
        <v/>
      </c>
      <c r="S1213" s="43">
        <f>IF($B1213="","",N($L1213)+N($N1213)+N($P1213))</f>
        <v/>
      </c>
      <c r="T1213" s="47" t="n"/>
      <c r="U1213" s="47" t="n"/>
      <c r="V1213" s="47" t="n"/>
      <c r="W1213" s="47" t="n"/>
      <c r="X1213" s="47" t="n"/>
      <c r="Y1213" s="47" t="n"/>
      <c r="Z1213" s="47" t="n"/>
      <c r="AA1213" s="47" t="n"/>
      <c r="AB1213" s="47" t="n"/>
      <c r="AC1213" s="47" t="n"/>
      <c r="AD1213" s="47" t="n"/>
      <c r="AE1213" s="47" t="n"/>
      <c r="AF1213" s="43">
        <f>IF($B1213="","",SUM($T1213:$AE1213))</f>
        <v/>
      </c>
      <c r="AG1213" s="43">
        <f>IF($B1213="","",N($M1213)-N($AF1213))</f>
        <v/>
      </c>
      <c r="AH1213" s="43">
        <f>IF($B1213="","",N($L1213)-N($AF1213))</f>
        <v/>
      </c>
      <c r="AI1213" s="149">
        <f>IF($B1213="","",IF(N($L1213)=0,"",(N($L1213)-N($AF1213))/N($L1213)))</f>
        <v/>
      </c>
    </row>
    <row r="1214">
      <c r="A1214" s="39">
        <f>IF($B1214="","",COUNTA($B$4:$B1214))</f>
        <v/>
      </c>
      <c r="B1214" s="40" t="n">
        <v>46157</v>
      </c>
      <c r="C1214" s="41" t="n">
        <v>2861</v>
      </c>
      <c r="D1214" s="41" t="inlineStr">
        <is>
          <t xml:space="preserve">محمد مجدى </t>
        </is>
      </c>
      <c r="E1214" s="41" t="inlineStr">
        <is>
          <t>1*40 ث</t>
        </is>
      </c>
      <c r="F1214" s="41" t="inlineStr">
        <is>
          <t xml:space="preserve">البراوى </t>
        </is>
      </c>
      <c r="G1214" s="41" t="inlineStr">
        <is>
          <t xml:space="preserve">التوفيقية </t>
        </is>
      </c>
      <c r="H1214" s="41" t="inlineStr">
        <is>
          <t>915150/7</t>
        </is>
      </c>
      <c r="I1214" s="41" t="inlineStr">
        <is>
          <t>ع ر ب 1573</t>
        </is>
      </c>
      <c r="J1214" s="41" t="inlineStr">
        <is>
          <t xml:space="preserve">محمد السيد </t>
        </is>
      </c>
      <c r="K1214" s="41" t="inlineStr">
        <is>
          <t xml:space="preserve">حمو مرزوق </t>
        </is>
      </c>
      <c r="L1214" s="42" t="n">
        <v>13000</v>
      </c>
      <c r="M1214" s="42" t="n">
        <v>7100</v>
      </c>
      <c r="N1214" s="42" t="n"/>
      <c r="O1214" s="42" t="n">
        <v>200</v>
      </c>
      <c r="P1214" s="42" t="n"/>
      <c r="Q1214" s="42" t="n"/>
      <c r="R1214" s="43">
        <f>IF($B1214="","",N($S1214)-N($Q1214))</f>
        <v/>
      </c>
      <c r="S1214" s="43">
        <f>IF($B1214="","",N($L1214)+N($N1214)+N($P1214))</f>
        <v/>
      </c>
      <c r="T1214" s="42" t="n"/>
      <c r="U1214" s="42" t="n"/>
      <c r="V1214" s="42" t="n"/>
      <c r="W1214" s="42" t="n"/>
      <c r="X1214" s="42" t="n"/>
      <c r="Y1214" s="42" t="n"/>
      <c r="Z1214" s="42" t="n"/>
      <c r="AA1214" s="42" t="n"/>
      <c r="AB1214" s="42" t="n"/>
      <c r="AC1214" s="42" t="n"/>
      <c r="AD1214" s="42" t="n"/>
      <c r="AE1214" s="42" t="n"/>
      <c r="AF1214" s="43">
        <f>IF($B1214="","",SUM($T1214:$AE1214))</f>
        <v/>
      </c>
      <c r="AG1214" s="43">
        <f>IF($B1214="","",N($M1214)-N($AF1214))</f>
        <v/>
      </c>
      <c r="AH1214" s="43">
        <f>IF($B1214="","",N($L1214)-N($AF1214))</f>
        <v/>
      </c>
      <c r="AI1214" s="149">
        <f>IF($B1214="","",IF(N($L1214)=0,"",(N($L1214)-N($AF1214))/N($L1214)))</f>
        <v/>
      </c>
    </row>
    <row r="1215">
      <c r="A1215" s="39">
        <f>IF($B1215="","",COUNTA($B$4:$B1215))</f>
        <v/>
      </c>
      <c r="B1215" s="45" t="n">
        <v>46157</v>
      </c>
      <c r="C1215" s="46" t="n">
        <v>2862</v>
      </c>
      <c r="D1215" s="46" t="inlineStr">
        <is>
          <t xml:space="preserve">محمد مجدى </t>
        </is>
      </c>
      <c r="E1215" s="46" t="inlineStr">
        <is>
          <t>1*40 ث</t>
        </is>
      </c>
      <c r="F1215" s="46" t="inlineStr">
        <is>
          <t xml:space="preserve">البراوى </t>
        </is>
      </c>
      <c r="G1215" s="46" t="inlineStr">
        <is>
          <t xml:space="preserve">التوفيقية </t>
        </is>
      </c>
      <c r="H1215" s="46" t="inlineStr">
        <is>
          <t>602261/0</t>
        </is>
      </c>
      <c r="I1215" s="46" t="inlineStr">
        <is>
          <t>س ر ا 6671</t>
        </is>
      </c>
      <c r="J1215" s="46" t="inlineStr">
        <is>
          <t xml:space="preserve">احمد الحسينى </t>
        </is>
      </c>
      <c r="K1215" s="46" t="inlineStr">
        <is>
          <t xml:space="preserve">حمو مرزوق </t>
        </is>
      </c>
      <c r="L1215" s="47" t="n">
        <v>13000</v>
      </c>
      <c r="M1215" s="47" t="n">
        <v>7100</v>
      </c>
      <c r="N1215" s="47" t="n"/>
      <c r="O1215" s="47" t="n">
        <v>200</v>
      </c>
      <c r="P1215" s="47" t="n"/>
      <c r="Q1215" s="47" t="n"/>
      <c r="R1215" s="43">
        <f>IF($B1215="","",N($S1215)-N($Q1215))</f>
        <v/>
      </c>
      <c r="S1215" s="43">
        <f>IF($B1215="","",N($L1215)+N($N1215)+N($P1215))</f>
        <v/>
      </c>
      <c r="T1215" s="47" t="n"/>
      <c r="U1215" s="47" t="n"/>
      <c r="V1215" s="47" t="n"/>
      <c r="W1215" s="47" t="n"/>
      <c r="X1215" s="47" t="n"/>
      <c r="Y1215" s="47" t="n"/>
      <c r="Z1215" s="47" t="n"/>
      <c r="AA1215" s="47" t="n"/>
      <c r="AB1215" s="47" t="n"/>
      <c r="AC1215" s="47" t="n"/>
      <c r="AD1215" s="47" t="n"/>
      <c r="AE1215" s="47" t="n"/>
      <c r="AF1215" s="43">
        <f>IF($B1215="","",SUM($T1215:$AE1215))</f>
        <v/>
      </c>
      <c r="AG1215" s="43">
        <f>IF($B1215="","",N($M1215)-N($AF1215))</f>
        <v/>
      </c>
      <c r="AH1215" s="43">
        <f>IF($B1215="","",N($L1215)-N($AF1215))</f>
        <v/>
      </c>
      <c r="AI1215" s="149">
        <f>IF($B1215="","",IF(N($L1215)=0,"",(N($L1215)-N($AF1215))/N($L1215)))</f>
        <v/>
      </c>
    </row>
    <row r="1216">
      <c r="A1216" s="39">
        <f>IF($B1216="","",COUNTA($B$4:$B1216))</f>
        <v/>
      </c>
      <c r="B1216" s="40" t="n">
        <v>46157</v>
      </c>
      <c r="C1216" s="41" t="n">
        <v>2863</v>
      </c>
      <c r="D1216" s="41" t="inlineStr">
        <is>
          <t>صفيحة</t>
        </is>
      </c>
      <c r="E1216" s="41" t="inlineStr">
        <is>
          <t>1*40</t>
        </is>
      </c>
      <c r="F1216" s="41" t="inlineStr">
        <is>
          <t xml:space="preserve">الدولية للفحم </t>
        </is>
      </c>
      <c r="G1216" s="41" t="inlineStr">
        <is>
          <t xml:space="preserve">المكس </t>
        </is>
      </c>
      <c r="H1216" s="41" t="inlineStr">
        <is>
          <t>615667/1</t>
        </is>
      </c>
      <c r="I1216" s="41" t="inlineStr">
        <is>
          <t>س ص ا 2259</t>
        </is>
      </c>
      <c r="J1216" s="41" t="inlineStr">
        <is>
          <t xml:space="preserve">سعيد عبد الرازق </t>
        </is>
      </c>
      <c r="K1216" s="41" t="inlineStr">
        <is>
          <t xml:space="preserve">صفيحة </t>
        </is>
      </c>
      <c r="L1216" s="42" t="n">
        <v>6000</v>
      </c>
      <c r="M1216" s="42" t="n">
        <v>5000</v>
      </c>
      <c r="N1216" s="42" t="n"/>
      <c r="O1216" s="42" t="n"/>
      <c r="P1216" s="42" t="n"/>
      <c r="Q1216" s="42" t="n">
        <v>1000</v>
      </c>
      <c r="R1216" s="43">
        <f>IF($B1216="","",N($S1216)-N($Q1216))</f>
        <v/>
      </c>
      <c r="S1216" s="43">
        <f>IF($B1216="","",N($L1216)+N($N1216)+N($P1216))</f>
        <v/>
      </c>
      <c r="T1216" s="42" t="n"/>
      <c r="U1216" s="42" t="n"/>
      <c r="V1216" s="42" t="n"/>
      <c r="W1216" s="42" t="n"/>
      <c r="X1216" s="42" t="n"/>
      <c r="Y1216" s="42" t="n"/>
      <c r="Z1216" s="42" t="n"/>
      <c r="AA1216" s="42" t="n"/>
      <c r="AB1216" s="42" t="n"/>
      <c r="AC1216" s="42" t="n"/>
      <c r="AD1216" s="42" t="n"/>
      <c r="AE1216" s="42" t="n"/>
      <c r="AF1216" s="43">
        <f>IF($B1216="","",SUM($T1216:$AE1216))</f>
        <v/>
      </c>
      <c r="AG1216" s="43">
        <f>IF($B1216="","",N($M1216)-N($AF1216))</f>
        <v/>
      </c>
      <c r="AH1216" s="43">
        <f>IF($B1216="","",N($L1216)-N($AF1216))</f>
        <v/>
      </c>
      <c r="AI1216" s="149">
        <f>IF($B1216="","",IF(N($L1216)=0,"",(N($L1216)-N($AF1216))/N($L1216)))</f>
        <v/>
      </c>
    </row>
    <row r="1217">
      <c r="A1217" s="39">
        <f>IF($B1217="","",COUNTA($B$4:$B1217))</f>
        <v/>
      </c>
      <c r="B1217" s="45" t="n">
        <v>46158</v>
      </c>
      <c r="C1217" s="46" t="n">
        <v>2838</v>
      </c>
      <c r="D1217" s="46" t="inlineStr">
        <is>
          <t>المكتب</t>
        </is>
      </c>
      <c r="E1217" s="46" t="inlineStr">
        <is>
          <t>1*40</t>
        </is>
      </c>
      <c r="F1217" s="46" t="inlineStr">
        <is>
          <t xml:space="preserve">اكما </t>
        </is>
      </c>
      <c r="G1217" s="46" t="inlineStr">
        <is>
          <t>بنى سويف</t>
        </is>
      </c>
      <c r="H1217" s="46" t="inlineStr">
        <is>
          <t>848845/9</t>
        </is>
      </c>
      <c r="I1217" s="46" t="inlineStr">
        <is>
          <t>س ع م 8737</t>
        </is>
      </c>
      <c r="J1217" s="46" t="inlineStr">
        <is>
          <t xml:space="preserve">جلال حسنى </t>
        </is>
      </c>
      <c r="K1217" s="46" t="inlineStr">
        <is>
          <t xml:space="preserve">المكتب </t>
        </is>
      </c>
      <c r="L1217" s="47" t="n">
        <v>19000</v>
      </c>
      <c r="M1217" s="47" t="n">
        <v>4100</v>
      </c>
      <c r="N1217" s="47" t="n"/>
      <c r="O1217" s="47" t="n"/>
      <c r="P1217" s="47" t="n"/>
      <c r="Q1217" s="47" t="n">
        <v>14900</v>
      </c>
      <c r="R1217" s="43">
        <f>IF($B1217="","",N($S1217)-N($Q1217))</f>
        <v/>
      </c>
      <c r="S1217" s="43">
        <f>IF($B1217="","",N($L1217)+N($N1217)+N($P1217))</f>
        <v/>
      </c>
      <c r="T1217" s="47" t="n"/>
      <c r="U1217" s="47" t="n"/>
      <c r="V1217" s="47" t="n"/>
      <c r="W1217" s="47" t="n"/>
      <c r="X1217" s="47" t="n"/>
      <c r="Y1217" s="47" t="n"/>
      <c r="Z1217" s="47" t="n"/>
      <c r="AA1217" s="47" t="n"/>
      <c r="AB1217" s="47" t="n"/>
      <c r="AC1217" s="47" t="n"/>
      <c r="AD1217" s="47" t="n"/>
      <c r="AE1217" s="47" t="n"/>
      <c r="AF1217" s="43">
        <f>IF($B1217="","",SUM($T1217:$AE1217))</f>
        <v/>
      </c>
      <c r="AG1217" s="43">
        <f>IF($B1217="","",N($M1217)-N($AF1217))</f>
        <v/>
      </c>
      <c r="AH1217" s="43">
        <f>IF($B1217="","",N($L1217)-N($AF1217))</f>
        <v/>
      </c>
      <c r="AI1217" s="149">
        <f>IF($B1217="","",IF(N($L1217)=0,"",(N($L1217)-N($AF1217))/N($L1217)))</f>
        <v/>
      </c>
    </row>
    <row r="1218">
      <c r="A1218" s="39">
        <f>IF($B1218="","",COUNTA($B$4:$B1218))</f>
        <v/>
      </c>
      <c r="B1218" s="40" t="n">
        <v>46158</v>
      </c>
      <c r="C1218" s="41" t="n">
        <v>2839</v>
      </c>
      <c r="D1218" s="41" t="inlineStr">
        <is>
          <t xml:space="preserve">الانصارى </t>
        </is>
      </c>
      <c r="E1218" s="41" t="inlineStr">
        <is>
          <t>1*40</t>
        </is>
      </c>
      <c r="F1218" s="41" t="inlineStr">
        <is>
          <t xml:space="preserve">اكما </t>
        </is>
      </c>
      <c r="G1218" s="41" t="inlineStr">
        <is>
          <t>بنى سويف</t>
        </is>
      </c>
      <c r="H1218" s="41" t="inlineStr">
        <is>
          <t>852133/0</t>
        </is>
      </c>
      <c r="I1218" s="41" t="inlineStr">
        <is>
          <t>ب ص ا 2574</t>
        </is>
      </c>
      <c r="J1218" s="41" t="inlineStr">
        <is>
          <t xml:space="preserve">محمد البحيرى </t>
        </is>
      </c>
      <c r="K1218" s="41" t="inlineStr">
        <is>
          <t xml:space="preserve">احمد خليف </t>
        </is>
      </c>
      <c r="L1218" s="42" t="n">
        <v>19000</v>
      </c>
      <c r="M1218" s="42" t="n">
        <v>9100</v>
      </c>
      <c r="N1218" s="42" t="n"/>
      <c r="O1218" s="42" t="n">
        <v>200</v>
      </c>
      <c r="P1218" s="42" t="n"/>
      <c r="Q1218" s="42" t="n"/>
      <c r="R1218" s="43">
        <f>IF($B1218="","",N($S1218)-N($Q1218))</f>
        <v/>
      </c>
      <c r="S1218" s="43">
        <f>IF($B1218="","",N($L1218)+N($N1218)+N($P1218))</f>
        <v/>
      </c>
      <c r="T1218" s="42" t="n"/>
      <c r="U1218" s="42" t="n"/>
      <c r="V1218" s="42" t="n"/>
      <c r="W1218" s="42" t="n"/>
      <c r="X1218" s="42" t="n"/>
      <c r="Y1218" s="42" t="n"/>
      <c r="Z1218" s="42" t="n"/>
      <c r="AA1218" s="42" t="n"/>
      <c r="AB1218" s="42" t="n"/>
      <c r="AC1218" s="42" t="n"/>
      <c r="AD1218" s="42" t="n"/>
      <c r="AE1218" s="42" t="n"/>
      <c r="AF1218" s="43">
        <f>IF($B1218="","",SUM($T1218:$AE1218))</f>
        <v/>
      </c>
      <c r="AG1218" s="43">
        <f>IF($B1218="","",N($M1218)-N($AF1218))</f>
        <v/>
      </c>
      <c r="AH1218" s="43">
        <f>IF($B1218="","",N($L1218)-N($AF1218))</f>
        <v/>
      </c>
      <c r="AI1218" s="149">
        <f>IF($B1218="","",IF(N($L1218)=0,"",(N($L1218)-N($AF1218))/N($L1218)))</f>
        <v/>
      </c>
    </row>
    <row r="1219">
      <c r="A1219" s="39">
        <f>IF($B1219="","",COUNTA($B$4:$B1219))</f>
        <v/>
      </c>
      <c r="B1219" s="45" t="n">
        <v>46158</v>
      </c>
      <c r="C1219" s="46" t="n">
        <v>2992</v>
      </c>
      <c r="D1219" s="46" t="inlineStr">
        <is>
          <t xml:space="preserve">محمد مجدى </t>
        </is>
      </c>
      <c r="E1219" s="46" t="inlineStr">
        <is>
          <t>1*40</t>
        </is>
      </c>
      <c r="F1219" s="46" t="inlineStr">
        <is>
          <t xml:space="preserve">المصرية الاوربية </t>
        </is>
      </c>
      <c r="G1219" s="46" t="inlineStr">
        <is>
          <t xml:space="preserve">الفيوم </t>
        </is>
      </c>
      <c r="H1219" s="46" t="n"/>
      <c r="I1219" s="46" t="inlineStr">
        <is>
          <t>س ر ا 6671</t>
        </is>
      </c>
      <c r="J1219" s="46" t="inlineStr">
        <is>
          <t xml:space="preserve">احمد الحسينى </t>
        </is>
      </c>
      <c r="K1219" s="46" t="inlineStr">
        <is>
          <t xml:space="preserve">حمو مرزوق </t>
        </is>
      </c>
      <c r="L1219" s="47" t="n">
        <v>18000</v>
      </c>
      <c r="M1219" s="47" t="n">
        <v>9100</v>
      </c>
      <c r="N1219" s="47" t="n"/>
      <c r="O1219" s="47" t="n">
        <v>200</v>
      </c>
      <c r="P1219" s="47" t="n"/>
      <c r="Q1219" s="47" t="n"/>
      <c r="R1219" s="43">
        <f>IF($B1219="","",N($S1219)-N($Q1219))</f>
        <v/>
      </c>
      <c r="S1219" s="43">
        <f>IF($B1219="","",N($L1219)+N($N1219)+N($P1219))</f>
        <v/>
      </c>
      <c r="T1219" s="47" t="n"/>
      <c r="U1219" s="47" t="n"/>
      <c r="V1219" s="47" t="n"/>
      <c r="W1219" s="47" t="n"/>
      <c r="X1219" s="47" t="n"/>
      <c r="Y1219" s="47" t="n"/>
      <c r="Z1219" s="47" t="n"/>
      <c r="AA1219" s="47" t="n"/>
      <c r="AB1219" s="47" t="n"/>
      <c r="AC1219" s="47" t="n"/>
      <c r="AD1219" s="47" t="n"/>
      <c r="AE1219" s="47" t="n"/>
      <c r="AF1219" s="43">
        <f>IF($B1219="","",SUM($T1219:$AE1219))</f>
        <v/>
      </c>
      <c r="AG1219" s="43">
        <f>IF($B1219="","",N($M1219)-N($AF1219))</f>
        <v/>
      </c>
      <c r="AH1219" s="43">
        <f>IF($B1219="","",N($L1219)-N($AF1219))</f>
        <v/>
      </c>
      <c r="AI1219" s="149">
        <f>IF($B1219="","",IF(N($L1219)=0,"",(N($L1219)-N($AF1219))/N($L1219)))</f>
        <v/>
      </c>
    </row>
    <row r="1220">
      <c r="A1220" s="39">
        <f>IF($B1220="","",COUNTA($B$4:$B1220))</f>
        <v/>
      </c>
      <c r="B1220" s="40" t="n">
        <v>46158</v>
      </c>
      <c r="C1220" s="41" t="n">
        <v>2989</v>
      </c>
      <c r="D1220" s="41" t="inlineStr">
        <is>
          <t xml:space="preserve">حاتم البحر </t>
        </is>
      </c>
      <c r="E1220" s="41" t="inlineStr">
        <is>
          <t>1*20</t>
        </is>
      </c>
      <c r="F1220" s="41" t="inlineStr">
        <is>
          <t xml:space="preserve">المستقبل للمواسير </t>
        </is>
      </c>
      <c r="G1220" s="41" t="inlineStr">
        <is>
          <t xml:space="preserve">اكتوبر </t>
        </is>
      </c>
      <c r="H1220" s="41" t="inlineStr">
        <is>
          <t>395614/0</t>
        </is>
      </c>
      <c r="I1220" s="41" t="inlineStr">
        <is>
          <t>ب و ا 3691</t>
        </is>
      </c>
      <c r="J1220" s="41" t="inlineStr">
        <is>
          <t xml:space="preserve">طارق زيدان </t>
        </is>
      </c>
      <c r="K1220" s="41" t="inlineStr">
        <is>
          <t xml:space="preserve">طارق زيدان </t>
        </is>
      </c>
      <c r="L1220" s="42" t="n">
        <v>13500</v>
      </c>
      <c r="M1220" s="42" t="n">
        <v>7100</v>
      </c>
      <c r="N1220" s="42" t="n"/>
      <c r="O1220" s="42" t="n">
        <v>200</v>
      </c>
      <c r="P1220" s="42" t="n"/>
      <c r="Q1220" s="42" t="n">
        <v>6200</v>
      </c>
      <c r="R1220" s="43">
        <f>IF($B1220="","",N($S1220)-N($Q1220))</f>
        <v/>
      </c>
      <c r="S1220" s="43">
        <f>IF($B1220="","",N($L1220)+N($N1220)+N($P1220))</f>
        <v/>
      </c>
      <c r="T1220" s="42" t="n"/>
      <c r="U1220" s="42" t="n"/>
      <c r="V1220" s="42" t="n"/>
      <c r="W1220" s="42" t="n"/>
      <c r="X1220" s="42" t="n"/>
      <c r="Y1220" s="42" t="n"/>
      <c r="Z1220" s="42" t="n"/>
      <c r="AA1220" s="42" t="n"/>
      <c r="AB1220" s="42" t="n"/>
      <c r="AC1220" s="42" t="n"/>
      <c r="AD1220" s="42" t="n"/>
      <c r="AE1220" s="42" t="n"/>
      <c r="AF1220" s="43">
        <f>IF($B1220="","",SUM($T1220:$AE1220))</f>
        <v/>
      </c>
      <c r="AG1220" s="43">
        <f>IF($B1220="","",N($M1220)-N($AF1220))</f>
        <v/>
      </c>
      <c r="AH1220" s="43">
        <f>IF($B1220="","",N($L1220)-N($AF1220))</f>
        <v/>
      </c>
      <c r="AI1220" s="149">
        <f>IF($B1220="","",IF(N($L1220)=0,"",(N($L1220)-N($AF1220))/N($L1220)))</f>
        <v/>
      </c>
    </row>
    <row r="1221">
      <c r="A1221" s="39">
        <f>IF($B1221="","",COUNTA($B$4:$B1221))</f>
        <v/>
      </c>
      <c r="B1221" s="45" t="n">
        <v>46158</v>
      </c>
      <c r="C1221" s="46" t="n">
        <v>2990</v>
      </c>
      <c r="D1221" s="46" t="inlineStr">
        <is>
          <t xml:space="preserve">احمد عبدو </t>
        </is>
      </c>
      <c r="E1221" s="46" t="inlineStr">
        <is>
          <t>1*40</t>
        </is>
      </c>
      <c r="F1221" s="46" t="inlineStr">
        <is>
          <t xml:space="preserve">المستقبل للمواسير </t>
        </is>
      </c>
      <c r="G1221" s="46" t="inlineStr">
        <is>
          <t xml:space="preserve">اكتوبر </t>
        </is>
      </c>
      <c r="H1221" s="46" t="inlineStr">
        <is>
          <t>517440/7</t>
        </is>
      </c>
      <c r="I1221" s="46" t="inlineStr">
        <is>
          <t>س ل ب5917</t>
        </is>
      </c>
      <c r="J1221" s="46" t="inlineStr">
        <is>
          <t xml:space="preserve">هشامخ محمد </t>
        </is>
      </c>
      <c r="K1221" s="46" t="inlineStr">
        <is>
          <t xml:space="preserve">علاء علام </t>
        </is>
      </c>
      <c r="L1221" s="47" t="n">
        <v>13500</v>
      </c>
      <c r="M1221" s="47" t="n">
        <v>8100</v>
      </c>
      <c r="N1221" s="47" t="n"/>
      <c r="O1221" s="47" t="n">
        <v>200</v>
      </c>
      <c r="P1221" s="47" t="n"/>
      <c r="Q1221" s="47" t="n">
        <v>5200</v>
      </c>
      <c r="R1221" s="43">
        <f>IF($B1221="","",N($S1221)-N($Q1221))</f>
        <v/>
      </c>
      <c r="S1221" s="43">
        <f>IF($B1221="","",N($L1221)+N($N1221)+N($P1221))</f>
        <v/>
      </c>
      <c r="T1221" s="47" t="n"/>
      <c r="U1221" s="47" t="n"/>
      <c r="V1221" s="47" t="n"/>
      <c r="W1221" s="47" t="n"/>
      <c r="X1221" s="47" t="n"/>
      <c r="Y1221" s="47" t="n"/>
      <c r="Z1221" s="47" t="n"/>
      <c r="AA1221" s="47" t="n"/>
      <c r="AB1221" s="47" t="n"/>
      <c r="AC1221" s="47" t="n"/>
      <c r="AD1221" s="47" t="n"/>
      <c r="AE1221" s="47" t="n"/>
      <c r="AF1221" s="43">
        <f>IF($B1221="","",SUM($T1221:$AE1221))</f>
        <v/>
      </c>
      <c r="AG1221" s="43">
        <f>IF($B1221="","",N($M1221)-N($AF1221))</f>
        <v/>
      </c>
      <c r="AH1221" s="43">
        <f>IF($B1221="","",N($L1221)-N($AF1221))</f>
        <v/>
      </c>
      <c r="AI1221" s="149">
        <f>IF($B1221="","",IF(N($L1221)=0,"",(N($L1221)-N($AF1221))/N($L1221)))</f>
        <v/>
      </c>
    </row>
    <row r="1222">
      <c r="A1222" s="39">
        <f>IF($B1222="","",COUNTA($B$4:$B1222))</f>
        <v/>
      </c>
      <c r="B1222" s="40" t="n">
        <v>46158</v>
      </c>
      <c r="C1222" s="41" t="n">
        <v>2991</v>
      </c>
      <c r="D1222" s="41" t="inlineStr">
        <is>
          <t xml:space="preserve">محمد مجدى </t>
        </is>
      </c>
      <c r="E1222" s="41" t="inlineStr">
        <is>
          <t>1*40</t>
        </is>
      </c>
      <c r="F1222" s="41" t="inlineStr">
        <is>
          <t xml:space="preserve">المستقبل للمواسير </t>
        </is>
      </c>
      <c r="G1222" s="41" t="inlineStr">
        <is>
          <t xml:space="preserve">اكتوبر </t>
        </is>
      </c>
      <c r="H1222" s="41" t="inlineStr">
        <is>
          <t>614893/6</t>
        </is>
      </c>
      <c r="I1222" s="41" t="inlineStr">
        <is>
          <t>ع ر ب 1573</t>
        </is>
      </c>
      <c r="J1222" s="41" t="inlineStr">
        <is>
          <t xml:space="preserve">محمد السيد </t>
        </is>
      </c>
      <c r="K1222" s="41" t="inlineStr">
        <is>
          <t xml:space="preserve">حمو مرزوق </t>
        </is>
      </c>
      <c r="L1222" s="42" t="n">
        <v>13500</v>
      </c>
      <c r="M1222" s="42" t="n">
        <v>8100</v>
      </c>
      <c r="N1222" s="42" t="n"/>
      <c r="O1222" s="42" t="n">
        <v>200</v>
      </c>
      <c r="P1222" s="42" t="n"/>
      <c r="Q1222" s="42" t="n"/>
      <c r="R1222" s="43">
        <f>IF($B1222="","",N($S1222)-N($Q1222))</f>
        <v/>
      </c>
      <c r="S1222" s="43">
        <f>IF($B1222="","",N($L1222)+N($N1222)+N($P1222))</f>
        <v/>
      </c>
      <c r="T1222" s="42" t="n"/>
      <c r="U1222" s="42" t="n"/>
      <c r="V1222" s="42" t="n"/>
      <c r="W1222" s="42" t="n"/>
      <c r="X1222" s="42" t="n"/>
      <c r="Y1222" s="42" t="n"/>
      <c r="Z1222" s="42" t="n"/>
      <c r="AA1222" s="42" t="n"/>
      <c r="AB1222" s="42" t="n"/>
      <c r="AC1222" s="42" t="n"/>
      <c r="AD1222" s="42" t="n"/>
      <c r="AE1222" s="42" t="n"/>
      <c r="AF1222" s="43">
        <f>IF($B1222="","",SUM($T1222:$AE1222))</f>
        <v/>
      </c>
      <c r="AG1222" s="43">
        <f>IF($B1222="","",N($M1222)-N($AF1222))</f>
        <v/>
      </c>
      <c r="AH1222" s="43">
        <f>IF($B1222="","",N($L1222)-N($AF1222))</f>
        <v/>
      </c>
      <c r="AI1222" s="149">
        <f>IF($B1222="","",IF(N($L1222)=0,"",(N($L1222)-N($AF1222))/N($L1222)))</f>
        <v/>
      </c>
    </row>
    <row r="1223">
      <c r="A1223" s="39">
        <f>IF($B1223="","",COUNTA($B$4:$B1223))</f>
        <v/>
      </c>
      <c r="B1223" s="45" t="n">
        <v>46159</v>
      </c>
      <c r="C1223" s="46" t="n">
        <v>2844</v>
      </c>
      <c r="D1223" s="46" t="inlineStr">
        <is>
          <t xml:space="preserve">بدوى صلاح </t>
        </is>
      </c>
      <c r="E1223" s="46" t="inlineStr">
        <is>
          <t>1*20</t>
        </is>
      </c>
      <c r="F1223" s="46" t="inlineStr">
        <is>
          <t xml:space="preserve">مؤسسة الامل </t>
        </is>
      </c>
      <c r="G1223" s="46" t="inlineStr">
        <is>
          <t xml:space="preserve">العاشر </t>
        </is>
      </c>
      <c r="H1223" s="46" t="inlineStr">
        <is>
          <t>213111/7</t>
        </is>
      </c>
      <c r="I1223" s="46" t="inlineStr">
        <is>
          <t>ب د ن 2193</t>
        </is>
      </c>
      <c r="J1223" s="46" t="inlineStr">
        <is>
          <t xml:space="preserve">احمد جاد </t>
        </is>
      </c>
      <c r="K1223" s="46" t="inlineStr">
        <is>
          <t>رومانى</t>
        </is>
      </c>
      <c r="L1223" s="47" t="n">
        <v>14500</v>
      </c>
      <c r="M1223" s="47" t="n">
        <v>8100</v>
      </c>
      <c r="N1223" s="47" t="n"/>
      <c r="O1223" s="47" t="n">
        <v>200</v>
      </c>
      <c r="P1223" s="47" t="n"/>
      <c r="Q1223" s="47" t="n">
        <v>6200</v>
      </c>
      <c r="R1223" s="43">
        <f>IF($B1223="","",N($S1223)-N($Q1223))</f>
        <v/>
      </c>
      <c r="S1223" s="43">
        <f>IF($B1223="","",N($L1223)+N($N1223)+N($P1223))</f>
        <v/>
      </c>
      <c r="T1223" s="47" t="n"/>
      <c r="U1223" s="47" t="n"/>
      <c r="V1223" s="47" t="n"/>
      <c r="W1223" s="47" t="n"/>
      <c r="X1223" s="47" t="n"/>
      <c r="Y1223" s="47" t="n"/>
      <c r="Z1223" s="47" t="n"/>
      <c r="AA1223" s="47" t="n"/>
      <c r="AB1223" s="47" t="n"/>
      <c r="AC1223" s="47" t="n"/>
      <c r="AD1223" s="47" t="n"/>
      <c r="AE1223" s="47" t="n"/>
      <c r="AF1223" s="43">
        <f>IF($B1223="","",SUM($T1223:$AE1223))</f>
        <v/>
      </c>
      <c r="AG1223" s="43">
        <f>IF($B1223="","",N($M1223)-N($AF1223))</f>
        <v/>
      </c>
      <c r="AH1223" s="43">
        <f>IF($B1223="","",N($L1223)-N($AF1223))</f>
        <v/>
      </c>
      <c r="AI1223" s="149">
        <f>IF($B1223="","",IF(N($L1223)=0,"",(N($L1223)-N($AF1223))/N($L1223)))</f>
        <v/>
      </c>
    </row>
    <row r="1224">
      <c r="A1224" s="39">
        <f>IF($B1224="","",COUNTA($B$4:$B1224))</f>
        <v/>
      </c>
      <c r="B1224" s="40" t="n">
        <v>46159</v>
      </c>
      <c r="C1224" s="41" t="n">
        <v>2846</v>
      </c>
      <c r="D1224" s="41" t="inlineStr">
        <is>
          <t xml:space="preserve">حماد </t>
        </is>
      </c>
      <c r="E1224" s="41" t="inlineStr">
        <is>
          <t>1*40</t>
        </is>
      </c>
      <c r="F1224" s="41" t="inlineStr">
        <is>
          <t xml:space="preserve">كيربلس </t>
        </is>
      </c>
      <c r="G1224" s="41" t="inlineStr">
        <is>
          <t xml:space="preserve">العاشر </t>
        </is>
      </c>
      <c r="H1224" s="41" t="inlineStr">
        <is>
          <t>783449/5</t>
        </is>
      </c>
      <c r="I1224" s="41" t="inlineStr">
        <is>
          <t>س ا ه 8198</t>
        </is>
      </c>
      <c r="J1224" s="41" t="inlineStr">
        <is>
          <t xml:space="preserve">وجية </t>
        </is>
      </c>
      <c r="K1224" s="41" t="inlineStr">
        <is>
          <t xml:space="preserve">علاء علام </t>
        </is>
      </c>
      <c r="L1224" s="42" t="n">
        <v>13500</v>
      </c>
      <c r="M1224" s="42" t="n">
        <v>8100</v>
      </c>
      <c r="N1224" s="42" t="n"/>
      <c r="O1224" s="42" t="n">
        <v>200</v>
      </c>
      <c r="P1224" s="42" t="n"/>
      <c r="Q1224" s="42" t="n">
        <v>5200</v>
      </c>
      <c r="R1224" s="43">
        <f>IF($B1224="","",N($S1224)-N($Q1224))</f>
        <v/>
      </c>
      <c r="S1224" s="43">
        <f>IF($B1224="","",N($L1224)+N($N1224)+N($P1224))</f>
        <v/>
      </c>
      <c r="T1224" s="42" t="n"/>
      <c r="U1224" s="42" t="n"/>
      <c r="V1224" s="42" t="n"/>
      <c r="W1224" s="42" t="n"/>
      <c r="X1224" s="42" t="n"/>
      <c r="Y1224" s="42" t="n"/>
      <c r="Z1224" s="42" t="n"/>
      <c r="AA1224" s="42" t="n"/>
      <c r="AB1224" s="42" t="n"/>
      <c r="AC1224" s="42" t="n"/>
      <c r="AD1224" s="42" t="n"/>
      <c r="AE1224" s="42" t="n"/>
      <c r="AF1224" s="43">
        <f>IF($B1224="","",SUM($T1224:$AE1224))</f>
        <v/>
      </c>
      <c r="AG1224" s="43">
        <f>IF($B1224="","",N($M1224)-N($AF1224))</f>
        <v/>
      </c>
      <c r="AH1224" s="43">
        <f>IF($B1224="","",N($L1224)-N($AF1224))</f>
        <v/>
      </c>
      <c r="AI1224" s="149">
        <f>IF($B1224="","",IF(N($L1224)=0,"",(N($L1224)-N($AF1224))/N($L1224)))</f>
        <v/>
      </c>
    </row>
    <row r="1225">
      <c r="A1225" s="39">
        <f>IF($B1225="","",COUNTA($B$4:$B1225))</f>
        <v/>
      </c>
      <c r="B1225" s="45" t="n">
        <v>46159</v>
      </c>
      <c r="C1225" s="46" t="n">
        <v>2847</v>
      </c>
      <c r="D1225" s="46" t="inlineStr">
        <is>
          <t>رمزى ابو النور</t>
        </is>
      </c>
      <c r="E1225" s="46" t="inlineStr">
        <is>
          <t>1*40</t>
        </is>
      </c>
      <c r="F1225" s="46" t="inlineStr">
        <is>
          <t xml:space="preserve">كيربلس </t>
        </is>
      </c>
      <c r="G1225" s="46" t="inlineStr">
        <is>
          <t xml:space="preserve">العاشر </t>
        </is>
      </c>
      <c r="H1225" s="46" t="inlineStr">
        <is>
          <t>432573/6</t>
        </is>
      </c>
      <c r="I1225" s="46" t="inlineStr">
        <is>
          <t>ط ف ر 1868</t>
        </is>
      </c>
      <c r="J1225" s="46" t="inlineStr">
        <is>
          <t xml:space="preserve">مجاور عتمان </t>
        </is>
      </c>
      <c r="K1225" s="46" t="inlineStr">
        <is>
          <t>استوريا</t>
        </is>
      </c>
      <c r="L1225" s="47" t="n">
        <v>15500</v>
      </c>
      <c r="M1225" s="47" t="n">
        <v>8100</v>
      </c>
      <c r="N1225" s="47" t="n"/>
      <c r="O1225" s="47" t="n">
        <v>200</v>
      </c>
      <c r="P1225" s="47" t="n"/>
      <c r="Q1225" s="47" t="n">
        <v>7200</v>
      </c>
      <c r="R1225" s="43">
        <f>IF($B1225="","",N($S1225)-N($Q1225))</f>
        <v/>
      </c>
      <c r="S1225" s="43">
        <f>IF($B1225="","",N($L1225)+N($N1225)+N($P1225))</f>
        <v/>
      </c>
      <c r="T1225" s="47" t="n"/>
      <c r="U1225" s="47" t="n"/>
      <c r="V1225" s="47" t="n"/>
      <c r="W1225" s="47" t="n"/>
      <c r="X1225" s="47" t="n"/>
      <c r="Y1225" s="47" t="n"/>
      <c r="Z1225" s="47" t="n"/>
      <c r="AA1225" s="47" t="n"/>
      <c r="AB1225" s="47" t="n"/>
      <c r="AC1225" s="47" t="n"/>
      <c r="AD1225" s="47" t="n"/>
      <c r="AE1225" s="47" t="n"/>
      <c r="AF1225" s="43">
        <f>IF($B1225="","",SUM($T1225:$AE1225))</f>
        <v/>
      </c>
      <c r="AG1225" s="43">
        <f>IF($B1225="","",N($M1225)-N($AF1225))</f>
        <v/>
      </c>
      <c r="AH1225" s="43">
        <f>IF($B1225="","",N($L1225)-N($AF1225))</f>
        <v/>
      </c>
      <c r="AI1225" s="149">
        <f>IF($B1225="","",IF(N($L1225)=0,"",(N($L1225)-N($AF1225))/N($L1225)))</f>
        <v/>
      </c>
    </row>
    <row r="1226">
      <c r="A1226" s="39">
        <f>IF($B1226="","",COUNTA($B$4:$B1226))</f>
        <v/>
      </c>
      <c r="B1226" s="40" t="n">
        <v>46159</v>
      </c>
      <c r="C1226" s="41" t="n">
        <v>2528</v>
      </c>
      <c r="D1226" s="41" t="inlineStr">
        <is>
          <t xml:space="preserve">عتريس مخيمر </t>
        </is>
      </c>
      <c r="E1226" s="41" t="inlineStr">
        <is>
          <t>10 طر د</t>
        </is>
      </c>
      <c r="F1226" s="41" t="inlineStr">
        <is>
          <t xml:space="preserve">سيلوباك </t>
        </is>
      </c>
      <c r="G1226" s="41" t="inlineStr">
        <is>
          <t xml:space="preserve">اكتوبر </t>
        </is>
      </c>
      <c r="H1226" s="41" t="inlineStr">
        <is>
          <t>741175/0</t>
        </is>
      </c>
      <c r="I1226" s="41" t="inlineStr">
        <is>
          <t>ط ف ر 1474</t>
        </is>
      </c>
      <c r="J1226" s="41" t="inlineStr">
        <is>
          <t xml:space="preserve">جمال على </t>
        </is>
      </c>
      <c r="K1226" s="41" t="inlineStr">
        <is>
          <t xml:space="preserve">كريم خليف </t>
        </is>
      </c>
      <c r="L1226" s="42" t="n">
        <v>13000</v>
      </c>
      <c r="M1226" s="42" t="n">
        <v>8100</v>
      </c>
      <c r="N1226" s="42" t="n"/>
      <c r="O1226" s="42" t="n">
        <v>200</v>
      </c>
      <c r="P1226" s="42" t="n"/>
      <c r="Q1226" s="42" t="n">
        <v>4700</v>
      </c>
      <c r="R1226" s="43">
        <f>IF($B1226="","",N($S1226)-N($Q1226))</f>
        <v/>
      </c>
      <c r="S1226" s="43">
        <f>IF($B1226="","",N($L1226)+N($N1226)+N($P1226))</f>
        <v/>
      </c>
      <c r="T1226" s="42" t="n"/>
      <c r="U1226" s="42" t="n"/>
      <c r="V1226" s="42" t="n"/>
      <c r="W1226" s="42" t="n"/>
      <c r="X1226" s="42" t="n"/>
      <c r="Y1226" s="42" t="n"/>
      <c r="Z1226" s="42" t="n"/>
      <c r="AA1226" s="42" t="n"/>
      <c r="AB1226" s="42" t="n"/>
      <c r="AC1226" s="42" t="n"/>
      <c r="AD1226" s="42" t="n"/>
      <c r="AE1226" s="42" t="n"/>
      <c r="AF1226" s="43">
        <f>IF($B1226="","",SUM($T1226:$AE1226))</f>
        <v/>
      </c>
      <c r="AG1226" s="43">
        <f>IF($B1226="","",N($M1226)-N($AF1226))</f>
        <v/>
      </c>
      <c r="AH1226" s="43">
        <f>IF($B1226="","",N($L1226)-N($AF1226))</f>
        <v/>
      </c>
      <c r="AI1226" s="149">
        <f>IF($B1226="","",IF(N($L1226)=0,"",(N($L1226)-N($AF1226))/N($L1226)))</f>
        <v/>
      </c>
    </row>
    <row r="1227">
      <c r="A1227" s="39">
        <f>IF($B1227="","",COUNTA($B$4:$B1227))</f>
        <v/>
      </c>
      <c r="B1227" s="45" t="n">
        <v>46159</v>
      </c>
      <c r="C1227" s="46" t="n">
        <v>2848</v>
      </c>
      <c r="D1227" s="46" t="inlineStr">
        <is>
          <t>احمد خطاب</t>
        </is>
      </c>
      <c r="E1227" s="46" t="inlineStr">
        <is>
          <t>1*40</t>
        </is>
      </c>
      <c r="F1227" s="46" t="inlineStr">
        <is>
          <t xml:space="preserve">المصرية للتريكو </t>
        </is>
      </c>
      <c r="G1227" s="46" t="inlineStr">
        <is>
          <t xml:space="preserve">العاشر </t>
        </is>
      </c>
      <c r="H1227" s="46" t="inlineStr">
        <is>
          <t>642946/0</t>
        </is>
      </c>
      <c r="I1227" s="46" t="inlineStr">
        <is>
          <t>ع ل ا 9978</t>
        </is>
      </c>
      <c r="J1227" s="46" t="inlineStr">
        <is>
          <t xml:space="preserve">احمد فريد </t>
        </is>
      </c>
      <c r="K1227" s="46" t="inlineStr">
        <is>
          <t>الليبر</t>
        </is>
      </c>
      <c r="L1227" s="47" t="n">
        <v>15500</v>
      </c>
      <c r="M1227" s="47" t="n">
        <v>8100</v>
      </c>
      <c r="N1227" s="47" t="n"/>
      <c r="O1227" s="47" t="n">
        <v>200</v>
      </c>
      <c r="P1227" s="47" t="n"/>
      <c r="Q1227" s="47" t="n">
        <v>7200</v>
      </c>
      <c r="R1227" s="43">
        <f>IF($B1227="","",N($S1227)-N($Q1227))</f>
        <v/>
      </c>
      <c r="S1227" s="43">
        <f>IF($B1227="","",N($L1227)+N($N1227)+N($P1227))</f>
        <v/>
      </c>
      <c r="T1227" s="47" t="n"/>
      <c r="U1227" s="47" t="n"/>
      <c r="V1227" s="47" t="n"/>
      <c r="W1227" s="47" t="n"/>
      <c r="X1227" s="47" t="n"/>
      <c r="Y1227" s="47" t="n"/>
      <c r="Z1227" s="47" t="n"/>
      <c r="AA1227" s="47" t="n"/>
      <c r="AB1227" s="47" t="n"/>
      <c r="AC1227" s="47" t="n"/>
      <c r="AD1227" s="47" t="n"/>
      <c r="AE1227" s="47" t="n"/>
      <c r="AF1227" s="43">
        <f>IF($B1227="","",SUM($T1227:$AE1227))</f>
        <v/>
      </c>
      <c r="AG1227" s="43">
        <f>IF($B1227="","",N($M1227)-N($AF1227))</f>
        <v/>
      </c>
      <c r="AH1227" s="43">
        <f>IF($B1227="","",N($L1227)-N($AF1227))</f>
        <v/>
      </c>
      <c r="AI1227" s="149">
        <f>IF($B1227="","",IF(N($L1227)=0,"",(N($L1227)-N($AF1227))/N($L1227)))</f>
        <v/>
      </c>
    </row>
    <row r="1228">
      <c r="A1228" s="39">
        <f>IF($B1228="","",COUNTA($B$4:$B1228))</f>
        <v/>
      </c>
      <c r="B1228" s="40" t="n">
        <v>46159</v>
      </c>
      <c r="C1228" s="41" t="n">
        <v>2849</v>
      </c>
      <c r="D1228" s="41" t="inlineStr">
        <is>
          <t xml:space="preserve">هاشم </t>
        </is>
      </c>
      <c r="E1228" s="41" t="inlineStr">
        <is>
          <t>1*20</t>
        </is>
      </c>
      <c r="F1228" s="41" t="inlineStr">
        <is>
          <t xml:space="preserve">المصرية للتريكو </t>
        </is>
      </c>
      <c r="G1228" s="41" t="inlineStr">
        <is>
          <t xml:space="preserve">العاشر </t>
        </is>
      </c>
      <c r="H1228" s="41" t="inlineStr">
        <is>
          <t>202218/7</t>
        </is>
      </c>
      <c r="I1228" s="41" t="inlineStr">
        <is>
          <t>ب ج ع 5892</t>
        </is>
      </c>
      <c r="J1228" s="41" t="inlineStr">
        <is>
          <t xml:space="preserve">محمد رضا </t>
        </is>
      </c>
      <c r="K1228" s="41" t="inlineStr">
        <is>
          <t xml:space="preserve">عصفور </t>
        </is>
      </c>
      <c r="L1228" s="42" t="n">
        <v>14500</v>
      </c>
      <c r="M1228" s="42" t="n">
        <v>8100</v>
      </c>
      <c r="N1228" s="42" t="n"/>
      <c r="O1228" s="42" t="n">
        <v>200</v>
      </c>
      <c r="P1228" s="42" t="n"/>
      <c r="Q1228" s="42" t="n">
        <v>6200</v>
      </c>
      <c r="R1228" s="43">
        <f>IF($B1228="","",N($S1228)-N($Q1228))</f>
        <v/>
      </c>
      <c r="S1228" s="43">
        <f>IF($B1228="","",N($L1228)+N($N1228)+N($P1228))</f>
        <v/>
      </c>
      <c r="T1228" s="42" t="n"/>
      <c r="U1228" s="42" t="n"/>
      <c r="V1228" s="42" t="n"/>
      <c r="W1228" s="42" t="n"/>
      <c r="X1228" s="42" t="n"/>
      <c r="Y1228" s="42" t="n"/>
      <c r="Z1228" s="42" t="n"/>
      <c r="AA1228" s="42" t="n"/>
      <c r="AB1228" s="42" t="n"/>
      <c r="AC1228" s="42" t="n"/>
      <c r="AD1228" s="42" t="n"/>
      <c r="AE1228" s="42" t="n"/>
      <c r="AF1228" s="43">
        <f>IF($B1228="","",SUM($T1228:$AE1228))</f>
        <v/>
      </c>
      <c r="AG1228" s="43">
        <f>IF($B1228="","",N($M1228)-N($AF1228))</f>
        <v/>
      </c>
      <c r="AH1228" s="43">
        <f>IF($B1228="","",N($L1228)-N($AF1228))</f>
        <v/>
      </c>
      <c r="AI1228" s="149">
        <f>IF($B1228="","",IF(N($L1228)=0,"",(N($L1228)-N($AF1228))/N($L1228)))</f>
        <v/>
      </c>
    </row>
    <row r="1229">
      <c r="A1229" s="39">
        <f>IF($B1229="","",COUNTA($B$4:$B1229))</f>
        <v/>
      </c>
      <c r="B1229" s="45" t="n">
        <v>46159</v>
      </c>
      <c r="C1229" s="46" t="n">
        <v>2850</v>
      </c>
      <c r="D1229" s="46" t="inlineStr">
        <is>
          <t>ايوب</t>
        </is>
      </c>
      <c r="E1229" s="46" t="inlineStr">
        <is>
          <t>1*20</t>
        </is>
      </c>
      <c r="F1229" s="46" t="inlineStr">
        <is>
          <t xml:space="preserve">ذا رووك </t>
        </is>
      </c>
      <c r="G1229" s="46" t="inlineStr">
        <is>
          <t xml:space="preserve">العاشر </t>
        </is>
      </c>
      <c r="H1229" s="46" t="inlineStr">
        <is>
          <t>222636/4</t>
        </is>
      </c>
      <c r="I1229" s="46" t="inlineStr">
        <is>
          <t>ب ر ط 6478</t>
        </is>
      </c>
      <c r="J1229" s="46" t="inlineStr">
        <is>
          <t xml:space="preserve">عبدة شلبى </t>
        </is>
      </c>
      <c r="K1229" s="46" t="inlineStr">
        <is>
          <t xml:space="preserve">ايوب </t>
        </is>
      </c>
      <c r="L1229" s="47" t="n">
        <v>15000</v>
      </c>
      <c r="M1229" s="47" t="n"/>
      <c r="N1229" s="47" t="n">
        <v>2500</v>
      </c>
      <c r="O1229" s="47" t="n">
        <v>200</v>
      </c>
      <c r="P1229" s="47" t="n"/>
      <c r="Q1229" s="47" t="n"/>
      <c r="R1229" s="43">
        <f>IF($B1229="","",N($S1229)-N($Q1229))</f>
        <v/>
      </c>
      <c r="S1229" s="43">
        <f>IF($B1229="","",N($L1229)+N($N1229)+N($P1229))</f>
        <v/>
      </c>
      <c r="T1229" s="47" t="n"/>
      <c r="U1229" s="47" t="n"/>
      <c r="V1229" s="47" t="n"/>
      <c r="W1229" s="47" t="n"/>
      <c r="X1229" s="47" t="n"/>
      <c r="Y1229" s="47" t="n"/>
      <c r="Z1229" s="47" t="n"/>
      <c r="AA1229" s="47" t="n"/>
      <c r="AB1229" s="47" t="n"/>
      <c r="AC1229" s="47" t="n"/>
      <c r="AD1229" s="47" t="n"/>
      <c r="AE1229" s="47" t="n"/>
      <c r="AF1229" s="43">
        <f>IF($B1229="","",SUM($T1229:$AE1229))</f>
        <v/>
      </c>
      <c r="AG1229" s="43">
        <f>IF($B1229="","",N($M1229)-N($AF1229))</f>
        <v/>
      </c>
      <c r="AH1229" s="43">
        <f>IF($B1229="","",N($L1229)-N($AF1229))</f>
        <v/>
      </c>
      <c r="AI1229" s="149">
        <f>IF($B1229="","",IF(N($L1229)=0,"",(N($L1229)-N($AF1229))/N($L1229)))</f>
        <v/>
      </c>
    </row>
    <row r="1230">
      <c r="A1230" s="39">
        <f>IF($B1230="","",COUNTA($B$4:$B1230))</f>
        <v/>
      </c>
      <c r="B1230" s="40" t="n">
        <v>46160</v>
      </c>
      <c r="C1230" s="41" t="n">
        <v>2864</v>
      </c>
      <c r="D1230" s="41" t="inlineStr">
        <is>
          <t xml:space="preserve">استوريا </t>
        </is>
      </c>
      <c r="E1230" s="41" t="inlineStr">
        <is>
          <t>1*20</t>
        </is>
      </c>
      <c r="F1230" s="41" t="inlineStr">
        <is>
          <t>المصرية ميدكال</t>
        </is>
      </c>
      <c r="G1230" s="41" t="inlineStr">
        <is>
          <t xml:space="preserve">العاشر </t>
        </is>
      </c>
      <c r="H1230" s="41" t="inlineStr">
        <is>
          <t>363111/5</t>
        </is>
      </c>
      <c r="I1230" s="41" t="inlineStr">
        <is>
          <t>ب ه ا 7982</t>
        </is>
      </c>
      <c r="J1230" s="41" t="inlineStr">
        <is>
          <t xml:space="preserve">صبرى بكر </t>
        </is>
      </c>
      <c r="K1230" s="41" t="inlineStr">
        <is>
          <t>رومانى</t>
        </is>
      </c>
      <c r="L1230" s="42" t="n">
        <v>12500</v>
      </c>
      <c r="M1230" s="42" t="n">
        <v>7100</v>
      </c>
      <c r="N1230" s="42" t="n"/>
      <c r="O1230" s="42" t="n">
        <v>200</v>
      </c>
      <c r="P1230" s="42" t="n"/>
      <c r="Q1230" s="42" t="n"/>
      <c r="R1230" s="43">
        <f>IF($B1230="","",N($S1230)-N($Q1230))</f>
        <v/>
      </c>
      <c r="S1230" s="43">
        <f>IF($B1230="","",N($L1230)+N($N1230)+N($P1230))</f>
        <v/>
      </c>
      <c r="T1230" s="42" t="n"/>
      <c r="U1230" s="42" t="n"/>
      <c r="V1230" s="42" t="n"/>
      <c r="W1230" s="42" t="n"/>
      <c r="X1230" s="42" t="n"/>
      <c r="Y1230" s="42" t="n"/>
      <c r="Z1230" s="42" t="n"/>
      <c r="AA1230" s="42" t="n"/>
      <c r="AB1230" s="42" t="n"/>
      <c r="AC1230" s="42" t="n"/>
      <c r="AD1230" s="42" t="n"/>
      <c r="AE1230" s="42" t="n"/>
      <c r="AF1230" s="43">
        <f>IF($B1230="","",SUM($T1230:$AE1230))</f>
        <v/>
      </c>
      <c r="AG1230" s="43">
        <f>IF($B1230="","",N($M1230)-N($AF1230))</f>
        <v/>
      </c>
      <c r="AH1230" s="43">
        <f>IF($B1230="","",N($L1230)-N($AF1230))</f>
        <v/>
      </c>
      <c r="AI1230" s="149">
        <f>IF($B1230="","",IF(N($L1230)=0,"",(N($L1230)-N($AF1230))/N($L1230)))</f>
        <v/>
      </c>
    </row>
    <row r="1231">
      <c r="A1231" s="39">
        <f>IF($B1231="","",COUNTA($B$4:$B1231))</f>
        <v/>
      </c>
      <c r="B1231" s="45" t="n">
        <v>46160</v>
      </c>
      <c r="C1231" s="46" t="n">
        <v>2530</v>
      </c>
      <c r="D1231" s="46" t="inlineStr">
        <is>
          <t xml:space="preserve">حماد </t>
        </is>
      </c>
      <c r="E1231" s="46" t="inlineStr">
        <is>
          <t>1*40</t>
        </is>
      </c>
      <c r="F1231" s="46" t="n"/>
      <c r="G1231" s="46" t="inlineStr">
        <is>
          <t>الزاوية الحمراء</t>
        </is>
      </c>
      <c r="H1231" s="46" t="inlineStr">
        <is>
          <t>158591/7</t>
        </is>
      </c>
      <c r="I1231" s="46" t="inlineStr">
        <is>
          <t>س ل ب 5917</t>
        </is>
      </c>
      <c r="J1231" s="46" t="inlineStr">
        <is>
          <t xml:space="preserve">مصطفى علاء </t>
        </is>
      </c>
      <c r="K1231" s="46" t="inlineStr">
        <is>
          <t xml:space="preserve">علاء علام </t>
        </is>
      </c>
      <c r="L1231" s="47" t="n">
        <v>15500</v>
      </c>
      <c r="M1231" s="47" t="n">
        <v>8100</v>
      </c>
      <c r="N1231" s="47" t="n"/>
      <c r="O1231" s="47" t="n">
        <v>200</v>
      </c>
      <c r="P1231" s="47" t="n"/>
      <c r="Q1231" s="47" t="n">
        <v>7200</v>
      </c>
      <c r="R1231" s="43">
        <f>IF($B1231="","",N($S1231)-N($Q1231))</f>
        <v/>
      </c>
      <c r="S1231" s="43">
        <f>IF($B1231="","",N($L1231)+N($N1231)+N($P1231))</f>
        <v/>
      </c>
      <c r="T1231" s="47" t="n"/>
      <c r="U1231" s="47" t="n"/>
      <c r="V1231" s="47" t="n"/>
      <c r="W1231" s="47" t="n"/>
      <c r="X1231" s="47" t="n"/>
      <c r="Y1231" s="47" t="n"/>
      <c r="Z1231" s="47" t="n"/>
      <c r="AA1231" s="47" t="n"/>
      <c r="AB1231" s="47" t="n"/>
      <c r="AC1231" s="47" t="n"/>
      <c r="AD1231" s="47" t="n"/>
      <c r="AE1231" s="47" t="n"/>
      <c r="AF1231" s="43">
        <f>IF($B1231="","",SUM($T1231:$AE1231))</f>
        <v/>
      </c>
      <c r="AG1231" s="43">
        <f>IF($B1231="","",N($M1231)-N($AF1231))</f>
        <v/>
      </c>
      <c r="AH1231" s="43">
        <f>IF($B1231="","",N($L1231)-N($AF1231))</f>
        <v/>
      </c>
      <c r="AI1231" s="149">
        <f>IF($B1231="","",IF(N($L1231)=0,"",(N($L1231)-N($AF1231))/N($L1231)))</f>
        <v/>
      </c>
    </row>
    <row r="1232">
      <c r="A1232" s="39">
        <f>IF($B1232="","",COUNTA($B$4:$B1232))</f>
        <v/>
      </c>
      <c r="B1232" s="40" t="n">
        <v>46160</v>
      </c>
      <c r="C1232" s="41" t="n">
        <v>2529</v>
      </c>
      <c r="D1232" s="41" t="inlineStr">
        <is>
          <t xml:space="preserve">محمد مجدى </t>
        </is>
      </c>
      <c r="E1232" s="41" t="inlineStr">
        <is>
          <t>1*40</t>
        </is>
      </c>
      <c r="F1232" s="41" t="inlineStr">
        <is>
          <t>انرجين فيجن</t>
        </is>
      </c>
      <c r="G1232" s="41" t="inlineStr">
        <is>
          <t xml:space="preserve">العالمين </t>
        </is>
      </c>
      <c r="H1232" s="41" t="inlineStr">
        <is>
          <t>715998/6</t>
        </is>
      </c>
      <c r="I1232" s="41" t="inlineStr">
        <is>
          <t>ع ر ب 1573</t>
        </is>
      </c>
      <c r="J1232" s="41" t="inlineStr">
        <is>
          <t xml:space="preserve">محمد السيد </t>
        </is>
      </c>
      <c r="K1232" s="41" t="inlineStr">
        <is>
          <t xml:space="preserve">حمو مرزوق </t>
        </is>
      </c>
      <c r="L1232" s="42" t="n">
        <v>15500</v>
      </c>
      <c r="M1232" s="42" t="n">
        <v>8100</v>
      </c>
      <c r="N1232" s="42" t="n"/>
      <c r="O1232" s="42" t="n">
        <v>200</v>
      </c>
      <c r="P1232" s="42" t="n"/>
      <c r="Q1232" s="42" t="n"/>
      <c r="R1232" s="43">
        <f>IF($B1232="","",N($S1232)-N($Q1232))</f>
        <v/>
      </c>
      <c r="S1232" s="43">
        <f>IF($B1232="","",N($L1232)+N($N1232)+N($P1232))</f>
        <v/>
      </c>
      <c r="T1232" s="42" t="n"/>
      <c r="U1232" s="42" t="n"/>
      <c r="V1232" s="42" t="n"/>
      <c r="W1232" s="42" t="n"/>
      <c r="X1232" s="42" t="n"/>
      <c r="Y1232" s="42" t="n"/>
      <c r="Z1232" s="42" t="n"/>
      <c r="AA1232" s="42" t="n"/>
      <c r="AB1232" s="42" t="n"/>
      <c r="AC1232" s="42" t="n"/>
      <c r="AD1232" s="42" t="n"/>
      <c r="AE1232" s="42" t="n"/>
      <c r="AF1232" s="43">
        <f>IF($B1232="","",SUM($T1232:$AE1232))</f>
        <v/>
      </c>
      <c r="AG1232" s="43">
        <f>IF($B1232="","",N($M1232)-N($AF1232))</f>
        <v/>
      </c>
      <c r="AH1232" s="43">
        <f>IF($B1232="","",N($L1232)-N($AF1232))</f>
        <v/>
      </c>
      <c r="AI1232" s="149">
        <f>IF($B1232="","",IF(N($L1232)=0,"",(N($L1232)-N($AF1232))/N($L1232)))</f>
        <v/>
      </c>
    </row>
    <row r="1233">
      <c r="A1233" s="39">
        <f>IF($B1233="","",COUNTA($B$4:$B1233))</f>
        <v/>
      </c>
      <c r="B1233" s="45" t="n">
        <v>46160</v>
      </c>
      <c r="C1233" s="46" t="n">
        <v>2917</v>
      </c>
      <c r="D1233" s="46" t="inlineStr">
        <is>
          <t xml:space="preserve">احمد محسن </t>
        </is>
      </c>
      <c r="E1233" s="46" t="inlineStr">
        <is>
          <t>1*40</t>
        </is>
      </c>
      <c r="F1233" s="46" t="inlineStr">
        <is>
          <t xml:space="preserve">الاكرامى </t>
        </is>
      </c>
      <c r="G1233" s="46" t="inlineStr">
        <is>
          <t xml:space="preserve">العاشر </t>
        </is>
      </c>
      <c r="H1233" s="46" t="inlineStr">
        <is>
          <t>853986/8</t>
        </is>
      </c>
      <c r="I1233" s="46" t="inlineStr">
        <is>
          <t>س ع م 7219</t>
        </is>
      </c>
      <c r="J1233" s="46" t="inlineStr">
        <is>
          <t xml:space="preserve">رمضان رشاد </t>
        </is>
      </c>
      <c r="K1233" s="46" t="inlineStr">
        <is>
          <t xml:space="preserve">احمد محسن </t>
        </is>
      </c>
      <c r="L1233" s="47" t="n">
        <v>16000</v>
      </c>
      <c r="M1233" s="47" t="n">
        <v>8100</v>
      </c>
      <c r="N1233" s="47" t="n"/>
      <c r="O1233" s="47" t="n">
        <v>200</v>
      </c>
      <c r="P1233" s="47" t="n"/>
      <c r="Q1233" s="47" t="n"/>
      <c r="R1233" s="43">
        <f>IF($B1233="","",N($S1233)-N($Q1233))</f>
        <v/>
      </c>
      <c r="S1233" s="43">
        <f>IF($B1233="","",N($L1233)+N($N1233)+N($P1233))</f>
        <v/>
      </c>
      <c r="T1233" s="47" t="n"/>
      <c r="U1233" s="47" t="n"/>
      <c r="V1233" s="47" t="n"/>
      <c r="W1233" s="47" t="n"/>
      <c r="X1233" s="47" t="n"/>
      <c r="Y1233" s="47" t="n"/>
      <c r="Z1233" s="47" t="n"/>
      <c r="AA1233" s="47" t="n"/>
      <c r="AB1233" s="47" t="n"/>
      <c r="AC1233" s="47" t="n"/>
      <c r="AD1233" s="47" t="n"/>
      <c r="AE1233" s="47" t="n"/>
      <c r="AF1233" s="43">
        <f>IF($B1233="","",SUM($T1233:$AE1233))</f>
        <v/>
      </c>
      <c r="AG1233" s="43">
        <f>IF($B1233="","",N($M1233)-N($AF1233))</f>
        <v/>
      </c>
      <c r="AH1233" s="43">
        <f>IF($B1233="","",N($L1233)-N($AF1233))</f>
        <v/>
      </c>
      <c r="AI1233" s="149">
        <f>IF($B1233="","",IF(N($L1233)=0,"",(N($L1233)-N($AF1233))/N($L1233)))</f>
        <v/>
      </c>
    </row>
    <row r="1234">
      <c r="A1234" s="39">
        <f>IF($B1234="","",COUNTA($B$4:$B1234))</f>
        <v/>
      </c>
      <c r="B1234" s="40" t="n">
        <v>46160</v>
      </c>
      <c r="C1234" s="41" t="n">
        <v>2993</v>
      </c>
      <c r="D1234" s="41" t="inlineStr">
        <is>
          <t xml:space="preserve">الانصارى </t>
        </is>
      </c>
      <c r="E1234" s="41" t="inlineStr">
        <is>
          <t>1*40</t>
        </is>
      </c>
      <c r="F1234" s="41" t="inlineStr">
        <is>
          <t xml:space="preserve">السويدى بوليمرز </t>
        </is>
      </c>
      <c r="G1234" s="41" t="inlineStr">
        <is>
          <t>العاشر</t>
        </is>
      </c>
      <c r="H1234" s="41" t="inlineStr">
        <is>
          <t>718510/1</t>
        </is>
      </c>
      <c r="I1234" s="41" t="inlineStr">
        <is>
          <t>ب ص ا 2574</t>
        </is>
      </c>
      <c r="J1234" s="41" t="inlineStr">
        <is>
          <t xml:space="preserve">محمد البحيرى </t>
        </is>
      </c>
      <c r="K1234" s="41" t="inlineStr">
        <is>
          <t xml:space="preserve">احمد خليف </t>
        </is>
      </c>
      <c r="L1234" s="42" t="n">
        <v>16000</v>
      </c>
      <c r="M1234" s="42" t="n">
        <v>8100</v>
      </c>
      <c r="N1234" s="42" t="n"/>
      <c r="O1234" s="42" t="n">
        <v>200</v>
      </c>
      <c r="P1234" s="42" t="n"/>
      <c r="Q1234" s="42" t="n"/>
      <c r="R1234" s="43">
        <f>IF($B1234="","",N($S1234)-N($Q1234))</f>
        <v/>
      </c>
      <c r="S1234" s="43">
        <f>IF($B1234="","",N($L1234)+N($N1234)+N($P1234))</f>
        <v/>
      </c>
      <c r="T1234" s="42" t="n"/>
      <c r="U1234" s="42" t="n"/>
      <c r="V1234" s="42" t="n"/>
      <c r="W1234" s="42" t="n"/>
      <c r="X1234" s="42" t="n"/>
      <c r="Y1234" s="42" t="n"/>
      <c r="Z1234" s="42" t="n"/>
      <c r="AA1234" s="42" t="n"/>
      <c r="AB1234" s="42" t="n"/>
      <c r="AC1234" s="42" t="n"/>
      <c r="AD1234" s="42" t="n"/>
      <c r="AE1234" s="42" t="n"/>
      <c r="AF1234" s="43">
        <f>IF($B1234="","",SUM($T1234:$AE1234))</f>
        <v/>
      </c>
      <c r="AG1234" s="43">
        <f>IF($B1234="","",N($M1234)-N($AF1234))</f>
        <v/>
      </c>
      <c r="AH1234" s="43">
        <f>IF($B1234="","",N($L1234)-N($AF1234))</f>
        <v/>
      </c>
      <c r="AI1234" s="149">
        <f>IF($B1234="","",IF(N($L1234)=0,"",(N($L1234)-N($AF1234))/N($L1234)))</f>
        <v/>
      </c>
    </row>
    <row r="1235">
      <c r="A1235" s="39">
        <f>IF($B1235="","",COUNTA($B$4:$B1235))</f>
        <v/>
      </c>
      <c r="B1235" s="45" t="n">
        <v>46160</v>
      </c>
      <c r="C1235" s="46" t="n">
        <v>2994</v>
      </c>
      <c r="D1235" s="46" t="inlineStr">
        <is>
          <t xml:space="preserve">عتريس مخيمر </t>
        </is>
      </c>
      <c r="E1235" s="46" t="inlineStr">
        <is>
          <t>1*40</t>
        </is>
      </c>
      <c r="F1235" s="46" t="inlineStr">
        <is>
          <t xml:space="preserve">السويدى بوليمرز </t>
        </is>
      </c>
      <c r="G1235" s="46" t="inlineStr">
        <is>
          <t xml:space="preserve">العاشر </t>
        </is>
      </c>
      <c r="H1235" s="46" t="inlineStr">
        <is>
          <t>561773/2</t>
        </is>
      </c>
      <c r="I1235" s="46" t="inlineStr">
        <is>
          <t>ط ف ر 1474</t>
        </is>
      </c>
      <c r="J1235" s="46" t="inlineStr">
        <is>
          <t xml:space="preserve">جماال على </t>
        </is>
      </c>
      <c r="K1235" s="46" t="inlineStr">
        <is>
          <t xml:space="preserve">خوليف </t>
        </is>
      </c>
      <c r="L1235" s="47" t="n">
        <v>16000</v>
      </c>
      <c r="M1235" s="47" t="n">
        <v>8100</v>
      </c>
      <c r="N1235" s="47" t="n"/>
      <c r="O1235" s="47" t="n">
        <v>200</v>
      </c>
      <c r="P1235" s="47" t="n"/>
      <c r="Q1235" s="47" t="n"/>
      <c r="R1235" s="43">
        <f>IF($B1235="","",N($S1235)-N($Q1235))</f>
        <v/>
      </c>
      <c r="S1235" s="43">
        <f>IF($B1235="","",N($L1235)+N($N1235)+N($P1235))</f>
        <v/>
      </c>
      <c r="T1235" s="47" t="n"/>
      <c r="U1235" s="47" t="n"/>
      <c r="V1235" s="47" t="n"/>
      <c r="W1235" s="47" t="n"/>
      <c r="X1235" s="47" t="n"/>
      <c r="Y1235" s="47" t="n"/>
      <c r="Z1235" s="47" t="n"/>
      <c r="AA1235" s="47" t="n"/>
      <c r="AB1235" s="47" t="n"/>
      <c r="AC1235" s="47" t="n"/>
      <c r="AD1235" s="47" t="n"/>
      <c r="AE1235" s="47" t="n"/>
      <c r="AF1235" s="43">
        <f>IF($B1235="","",SUM($T1235:$AE1235))</f>
        <v/>
      </c>
      <c r="AG1235" s="43">
        <f>IF($B1235="","",N($M1235)-N($AF1235))</f>
        <v/>
      </c>
      <c r="AH1235" s="43">
        <f>IF($B1235="","",N($L1235)-N($AF1235))</f>
        <v/>
      </c>
      <c r="AI1235" s="149">
        <f>IF($B1235="","",IF(N($L1235)=0,"",(N($L1235)-N($AF1235))/N($L1235)))</f>
        <v/>
      </c>
    </row>
    <row r="1236">
      <c r="A1236" s="39">
        <f>IF($B1236="","",COUNTA($B$4:$B1236))</f>
        <v/>
      </c>
      <c r="B1236" s="40" t="n">
        <v>46160</v>
      </c>
      <c r="C1236" s="41" t="n">
        <v>2995</v>
      </c>
      <c r="D1236" s="41" t="inlineStr">
        <is>
          <t xml:space="preserve">حاتم البحر </t>
        </is>
      </c>
      <c r="E1236" s="41" t="inlineStr">
        <is>
          <t>1*40</t>
        </is>
      </c>
      <c r="F1236" s="41" t="inlineStr">
        <is>
          <t xml:space="preserve">السويدى بوليمرز </t>
        </is>
      </c>
      <c r="G1236" s="41" t="inlineStr">
        <is>
          <t>العاشر</t>
        </is>
      </c>
      <c r="H1236" s="41" t="inlineStr">
        <is>
          <t>550163/8</t>
        </is>
      </c>
      <c r="I1236" s="41" t="inlineStr">
        <is>
          <t>م د ى 4123</t>
        </is>
      </c>
      <c r="J1236" s="41" t="inlineStr">
        <is>
          <t xml:space="preserve">احمد الغامرى </t>
        </is>
      </c>
      <c r="K1236" s="41" t="inlineStr">
        <is>
          <t xml:space="preserve">حودة عيد </t>
        </is>
      </c>
      <c r="L1236" s="42" t="n">
        <v>16000</v>
      </c>
      <c r="M1236" s="42" t="n">
        <v>8100</v>
      </c>
      <c r="N1236" s="42" t="n"/>
      <c r="O1236" s="42" t="n">
        <v>200</v>
      </c>
      <c r="P1236" s="42" t="n"/>
      <c r="Q1236" s="42" t="n"/>
      <c r="R1236" s="43">
        <f>IF($B1236="","",N($S1236)-N($Q1236))</f>
        <v/>
      </c>
      <c r="S1236" s="43">
        <f>IF($B1236="","",N($L1236)+N($N1236)+N($P1236))</f>
        <v/>
      </c>
      <c r="T1236" s="42" t="n"/>
      <c r="U1236" s="42" t="n"/>
      <c r="V1236" s="42" t="n"/>
      <c r="W1236" s="42" t="n"/>
      <c r="X1236" s="42" t="n"/>
      <c r="Y1236" s="42" t="n"/>
      <c r="Z1236" s="42" t="n"/>
      <c r="AA1236" s="42" t="n"/>
      <c r="AB1236" s="42" t="n"/>
      <c r="AC1236" s="42" t="n"/>
      <c r="AD1236" s="42" t="n"/>
      <c r="AE1236" s="42" t="n"/>
      <c r="AF1236" s="43">
        <f>IF($B1236="","",SUM($T1236:$AE1236))</f>
        <v/>
      </c>
      <c r="AG1236" s="43">
        <f>IF($B1236="","",N($M1236)-N($AF1236))</f>
        <v/>
      </c>
      <c r="AH1236" s="43">
        <f>IF($B1236="","",N($L1236)-N($AF1236))</f>
        <v/>
      </c>
      <c r="AI1236" s="149">
        <f>IF($B1236="","",IF(N($L1236)=0,"",(N($L1236)-N($AF1236))/N($L1236)))</f>
        <v/>
      </c>
    </row>
    <row r="1237">
      <c r="A1237" s="39">
        <f>IF($B1237="","",COUNTA($B$4:$B1237))</f>
        <v/>
      </c>
      <c r="B1237" s="45" t="n">
        <v>46160</v>
      </c>
      <c r="C1237" s="46" t="n">
        <v>2996</v>
      </c>
      <c r="D1237" s="46" t="inlineStr">
        <is>
          <t xml:space="preserve">محمد مجدى </t>
        </is>
      </c>
      <c r="E1237" s="46" t="inlineStr">
        <is>
          <t>1*40</t>
        </is>
      </c>
      <c r="F1237" s="46" t="inlineStr">
        <is>
          <t xml:space="preserve">السويدى بوليمرز </t>
        </is>
      </c>
      <c r="G1237" s="46" t="inlineStr">
        <is>
          <t xml:space="preserve">العاشر </t>
        </is>
      </c>
      <c r="H1237" s="46" t="inlineStr">
        <is>
          <t>637461/5</t>
        </is>
      </c>
      <c r="I1237" s="46" t="inlineStr">
        <is>
          <t>س ر ا 6671</t>
        </is>
      </c>
      <c r="J1237" s="46" t="inlineStr">
        <is>
          <t xml:space="preserve">احمد الحسينى </t>
        </is>
      </c>
      <c r="K1237" s="46" t="inlineStr">
        <is>
          <t xml:space="preserve">حمو مرزوق </t>
        </is>
      </c>
      <c r="L1237" s="47" t="n">
        <v>16000</v>
      </c>
      <c r="M1237" s="47" t="n">
        <v>8100</v>
      </c>
      <c r="N1237" s="47" t="n"/>
      <c r="O1237" s="47" t="n">
        <v>200</v>
      </c>
      <c r="P1237" s="47" t="n"/>
      <c r="Q1237" s="47" t="n"/>
      <c r="R1237" s="43">
        <f>IF($B1237="","",N($S1237)-N($Q1237))</f>
        <v/>
      </c>
      <c r="S1237" s="43">
        <f>IF($B1237="","",N($L1237)+N($N1237)+N($P1237))</f>
        <v/>
      </c>
      <c r="T1237" s="47" t="n"/>
      <c r="U1237" s="47" t="n"/>
      <c r="V1237" s="47" t="n"/>
      <c r="W1237" s="47" t="n"/>
      <c r="X1237" s="47" t="n"/>
      <c r="Y1237" s="47" t="n"/>
      <c r="Z1237" s="47" t="n"/>
      <c r="AA1237" s="47" t="n"/>
      <c r="AB1237" s="47" t="n"/>
      <c r="AC1237" s="47" t="n"/>
      <c r="AD1237" s="47" t="n"/>
      <c r="AE1237" s="47" t="n"/>
      <c r="AF1237" s="43">
        <f>IF($B1237="","",SUM($T1237:$AE1237))</f>
        <v/>
      </c>
      <c r="AG1237" s="43">
        <f>IF($B1237="","",N($M1237)-N($AF1237))</f>
        <v/>
      </c>
      <c r="AH1237" s="43">
        <f>IF($B1237="","",N($L1237)-N($AF1237))</f>
        <v/>
      </c>
      <c r="AI1237" s="149">
        <f>IF($B1237="","",IF(N($L1237)=0,"",(N($L1237)-N($AF1237))/N($L1237)))</f>
        <v/>
      </c>
    </row>
    <row r="1238">
      <c r="A1238" s="39">
        <f>IF($B1238="","",COUNTA($B$4:$B1238))</f>
        <v/>
      </c>
      <c r="B1238" s="40" t="n">
        <v>46160</v>
      </c>
      <c r="C1238" s="41" t="n">
        <v>2997</v>
      </c>
      <c r="D1238" s="41" t="inlineStr">
        <is>
          <t xml:space="preserve">حماد </t>
        </is>
      </c>
      <c r="E1238" s="41" t="inlineStr">
        <is>
          <t>1*40</t>
        </is>
      </c>
      <c r="F1238" s="41" t="inlineStr">
        <is>
          <t xml:space="preserve">السويدى بوليمرز </t>
        </is>
      </c>
      <c r="G1238" s="41" t="inlineStr">
        <is>
          <t xml:space="preserve">العاشر </t>
        </is>
      </c>
      <c r="H1238" s="41" t="inlineStr">
        <is>
          <t>783449/5</t>
        </is>
      </c>
      <c r="I1238" s="41" t="inlineStr">
        <is>
          <t>س ا ه 8198</t>
        </is>
      </c>
      <c r="J1238" s="41" t="inlineStr">
        <is>
          <t xml:space="preserve">وجية صبور </t>
        </is>
      </c>
      <c r="K1238" s="41" t="inlineStr">
        <is>
          <t xml:space="preserve">علاء علام </t>
        </is>
      </c>
      <c r="L1238" s="42" t="n">
        <v>16000</v>
      </c>
      <c r="M1238" s="42" t="n">
        <v>8100</v>
      </c>
      <c r="N1238" s="42" t="n">
        <v>2500</v>
      </c>
      <c r="O1238" s="42" t="n">
        <v>200</v>
      </c>
      <c r="P1238" s="42" t="n"/>
      <c r="Q1238" s="42" t="n">
        <v>5200</v>
      </c>
      <c r="R1238" s="43">
        <f>IF($B1238="","",N($S1238)-N($Q1238))</f>
        <v/>
      </c>
      <c r="S1238" s="43">
        <f>IF($B1238="","",N($L1238)+N($N1238)+N($P1238))</f>
        <v/>
      </c>
      <c r="T1238" s="42" t="n"/>
      <c r="U1238" s="42" t="n"/>
      <c r="V1238" s="42" t="n"/>
      <c r="W1238" s="42" t="n"/>
      <c r="X1238" s="42" t="n"/>
      <c r="Y1238" s="42" t="n"/>
      <c r="Z1238" s="42" t="n"/>
      <c r="AA1238" s="42" t="n"/>
      <c r="AB1238" s="42" t="n"/>
      <c r="AC1238" s="42" t="n"/>
      <c r="AD1238" s="42" t="n"/>
      <c r="AE1238" s="42" t="n"/>
      <c r="AF1238" s="43">
        <f>IF($B1238="","",SUM($T1238:$AE1238))</f>
        <v/>
      </c>
      <c r="AG1238" s="43">
        <f>IF($B1238="","",N($M1238)-N($AF1238))</f>
        <v/>
      </c>
      <c r="AH1238" s="43">
        <f>IF($B1238="","",N($L1238)-N($AF1238))</f>
        <v/>
      </c>
      <c r="AI1238" s="149">
        <f>IF($B1238="","",IF(N($L1238)=0,"",(N($L1238)-N($AF1238))/N($L1238)))</f>
        <v/>
      </c>
    </row>
    <row r="1239">
      <c r="A1239" s="39">
        <f>IF($B1239="","",COUNTA($B$4:$B1239))</f>
        <v/>
      </c>
      <c r="B1239" s="45" t="n">
        <v>46160</v>
      </c>
      <c r="C1239" s="46" t="n">
        <v>2531</v>
      </c>
      <c r="D1239" s="46" t="inlineStr">
        <is>
          <t>الرومانى</t>
        </is>
      </c>
      <c r="E1239" s="46" t="inlineStr">
        <is>
          <t>1*20</t>
        </is>
      </c>
      <c r="F1239" s="46" t="inlineStr">
        <is>
          <t xml:space="preserve">فارما سويدى </t>
        </is>
      </c>
      <c r="G1239" s="46" t="inlineStr">
        <is>
          <t xml:space="preserve">العاشر </t>
        </is>
      </c>
      <c r="H1239" s="46" t="inlineStr">
        <is>
          <t>121670/3</t>
        </is>
      </c>
      <c r="I1239" s="46" t="inlineStr">
        <is>
          <t>ب د ط 2689</t>
        </is>
      </c>
      <c r="J1239" s="46" t="inlineStr">
        <is>
          <t xml:space="preserve">هيثم  </t>
        </is>
      </c>
      <c r="K1239" s="46" t="inlineStr">
        <is>
          <t>رومانى</t>
        </is>
      </c>
      <c r="L1239" s="47" t="n">
        <v>13000</v>
      </c>
      <c r="M1239" s="47" t="n">
        <v>8100</v>
      </c>
      <c r="N1239" s="47" t="n"/>
      <c r="O1239" s="47" t="n">
        <v>200</v>
      </c>
      <c r="P1239" s="47" t="n"/>
      <c r="Q1239" s="47" t="n">
        <v>4700</v>
      </c>
      <c r="R1239" s="43">
        <f>IF($B1239="","",N($S1239)-N($Q1239))</f>
        <v/>
      </c>
      <c r="S1239" s="43">
        <f>IF($B1239="","",N($L1239)+N($N1239)+N($P1239))</f>
        <v/>
      </c>
      <c r="T1239" s="47" t="n"/>
      <c r="U1239" s="47" t="n"/>
      <c r="V1239" s="47" t="n"/>
      <c r="W1239" s="47" t="n"/>
      <c r="X1239" s="47" t="n"/>
      <c r="Y1239" s="47" t="n"/>
      <c r="Z1239" s="47" t="n"/>
      <c r="AA1239" s="47" t="n"/>
      <c r="AB1239" s="47" t="n"/>
      <c r="AC1239" s="47" t="n"/>
      <c r="AD1239" s="47" t="n"/>
      <c r="AE1239" s="47" t="n"/>
      <c r="AF1239" s="43">
        <f>IF($B1239="","",SUM($T1239:$AE1239))</f>
        <v/>
      </c>
      <c r="AG1239" s="43">
        <f>IF($B1239="","",N($M1239)-N($AF1239))</f>
        <v/>
      </c>
      <c r="AH1239" s="43">
        <f>IF($B1239="","",N($L1239)-N($AF1239))</f>
        <v/>
      </c>
      <c r="AI1239" s="149">
        <f>IF($B1239="","",IF(N($L1239)=0,"",(N($L1239)-N($AF1239))/N($L1239)))</f>
        <v/>
      </c>
    </row>
    <row r="1240">
      <c r="A1240" s="39">
        <f>IF($B1240="","",COUNTA($B$4:$B1240))</f>
        <v/>
      </c>
      <c r="B1240" s="40" t="n">
        <v>46161</v>
      </c>
      <c r="C1240" s="41" t="n">
        <v>2998</v>
      </c>
      <c r="D1240" s="41" t="inlineStr">
        <is>
          <t>الرومانى</t>
        </is>
      </c>
      <c r="E1240" s="41" t="inlineStr">
        <is>
          <t>1*20</t>
        </is>
      </c>
      <c r="F1240" s="41" t="inlineStr">
        <is>
          <t xml:space="preserve">اتش بى فولر </t>
        </is>
      </c>
      <c r="G1240" s="41" t="inlineStr">
        <is>
          <t xml:space="preserve">اكتوبر </t>
        </is>
      </c>
      <c r="H1240" s="41" t="inlineStr">
        <is>
          <t>174841/4</t>
        </is>
      </c>
      <c r="I1240" s="41" t="inlineStr">
        <is>
          <t>ب ن و 9621</t>
        </is>
      </c>
      <c r="J1240" s="41" t="inlineStr">
        <is>
          <t xml:space="preserve">احمد نوار </t>
        </is>
      </c>
      <c r="K1240" s="41" t="inlineStr">
        <is>
          <t>رومانى</t>
        </is>
      </c>
      <c r="L1240" s="42" t="n">
        <v>11000</v>
      </c>
      <c r="M1240" s="42" t="n">
        <v>8100</v>
      </c>
      <c r="N1240" s="42" t="n"/>
      <c r="O1240" s="42" t="n">
        <v>200</v>
      </c>
      <c r="P1240" s="42" t="n"/>
      <c r="Q1240" s="42" t="n">
        <v>2700</v>
      </c>
      <c r="R1240" s="43">
        <f>IF($B1240="","",N($S1240)-N($Q1240))</f>
        <v/>
      </c>
      <c r="S1240" s="43">
        <f>IF($B1240="","",N($L1240)+N($N1240)+N($P1240))</f>
        <v/>
      </c>
      <c r="T1240" s="42" t="n"/>
      <c r="U1240" s="42" t="n"/>
      <c r="V1240" s="42" t="n"/>
      <c r="W1240" s="42" t="n"/>
      <c r="X1240" s="42" t="n"/>
      <c r="Y1240" s="42" t="n"/>
      <c r="Z1240" s="42" t="n"/>
      <c r="AA1240" s="42" t="n"/>
      <c r="AB1240" s="42" t="n"/>
      <c r="AC1240" s="42" t="n"/>
      <c r="AD1240" s="42" t="n"/>
      <c r="AE1240" s="42" t="n"/>
      <c r="AF1240" s="43">
        <f>IF($B1240="","",SUM($T1240:$AE1240))</f>
        <v/>
      </c>
      <c r="AG1240" s="43">
        <f>IF($B1240="","",N($M1240)-N($AF1240))</f>
        <v/>
      </c>
      <c r="AH1240" s="43">
        <f>IF($B1240="","",N($L1240)-N($AF1240))</f>
        <v/>
      </c>
      <c r="AI1240" s="149">
        <f>IF($B1240="","",IF(N($L1240)=0,"",(N($L1240)-N($AF1240))/N($L1240)))</f>
        <v/>
      </c>
    </row>
    <row r="1241">
      <c r="A1241" s="39">
        <f>IF($B1241="","",COUNTA($B$4:$B1241))</f>
        <v/>
      </c>
      <c r="B1241" s="45" t="n">
        <v>46161</v>
      </c>
      <c r="C1241" s="46" t="n">
        <v>3051</v>
      </c>
      <c r="D1241" s="46" t="inlineStr">
        <is>
          <t xml:space="preserve">حاتم البحر </t>
        </is>
      </c>
      <c r="E1241" s="46" t="inlineStr">
        <is>
          <t>2*20</t>
        </is>
      </c>
      <c r="F1241" s="46" t="inlineStr">
        <is>
          <t xml:space="preserve">المستقبل للمواسير </t>
        </is>
      </c>
      <c r="G1241" s="46" t="inlineStr">
        <is>
          <t xml:space="preserve">اكتوبر </t>
        </is>
      </c>
      <c r="H1241" s="46" t="inlineStr">
        <is>
          <t>300462/5-310899/3</t>
        </is>
      </c>
      <c r="I1241" s="46" t="inlineStr">
        <is>
          <t>ع ر ب 1573</t>
        </is>
      </c>
      <c r="J1241" s="46" t="inlineStr">
        <is>
          <t xml:space="preserve">محمد السيد </t>
        </is>
      </c>
      <c r="K1241" s="46" t="inlineStr">
        <is>
          <t xml:space="preserve">حمو مرزوق </t>
        </is>
      </c>
      <c r="L1241" s="47" t="n">
        <v>18500</v>
      </c>
      <c r="M1241" s="47" t="n">
        <v>10100</v>
      </c>
      <c r="N1241" s="47" t="n"/>
      <c r="O1241" s="47" t="n">
        <v>200</v>
      </c>
      <c r="P1241" s="47" t="n"/>
      <c r="Q1241" s="47" t="n"/>
      <c r="R1241" s="43">
        <f>IF($B1241="","",N($S1241)-N($Q1241))</f>
        <v/>
      </c>
      <c r="S1241" s="43">
        <f>IF($B1241="","",N($L1241)+N($N1241)+N($P1241))</f>
        <v/>
      </c>
      <c r="T1241" s="47" t="n"/>
      <c r="U1241" s="47" t="n"/>
      <c r="V1241" s="47" t="n"/>
      <c r="W1241" s="47" t="n"/>
      <c r="X1241" s="47" t="n"/>
      <c r="Y1241" s="47" t="n"/>
      <c r="Z1241" s="47" t="n"/>
      <c r="AA1241" s="47" t="n"/>
      <c r="AB1241" s="47" t="n"/>
      <c r="AC1241" s="47" t="n"/>
      <c r="AD1241" s="47" t="n"/>
      <c r="AE1241" s="47" t="n"/>
      <c r="AF1241" s="43">
        <f>IF($B1241="","",SUM($T1241:$AE1241))</f>
        <v/>
      </c>
      <c r="AG1241" s="43">
        <f>IF($B1241="","",N($M1241)-N($AF1241))</f>
        <v/>
      </c>
      <c r="AH1241" s="43">
        <f>IF($B1241="","",N($L1241)-N($AF1241))</f>
        <v/>
      </c>
      <c r="AI1241" s="149">
        <f>IF($B1241="","",IF(N($L1241)=0,"",(N($L1241)-N($AF1241))/N($L1241)))</f>
        <v/>
      </c>
    </row>
    <row r="1242">
      <c r="A1242" s="39">
        <f>IF($B1242="","",COUNTA($B$4:$B1242))</f>
        <v/>
      </c>
      <c r="B1242" s="40" t="n">
        <v>46161</v>
      </c>
      <c r="C1242" s="41" t="n">
        <v>3000</v>
      </c>
      <c r="D1242" s="41" t="inlineStr">
        <is>
          <t xml:space="preserve">حاتم البحر </t>
        </is>
      </c>
      <c r="E1242" s="41" t="inlineStr">
        <is>
          <t>2*20</t>
        </is>
      </c>
      <c r="F1242" s="41" t="inlineStr">
        <is>
          <t xml:space="preserve">المستقبل للمواسير </t>
        </is>
      </c>
      <c r="G1242" s="41" t="inlineStr">
        <is>
          <t xml:space="preserve">اكتوبر </t>
        </is>
      </c>
      <c r="H1242" s="41" t="n"/>
      <c r="I1242" s="41" t="inlineStr">
        <is>
          <t>س ر ا 6671</t>
        </is>
      </c>
      <c r="J1242" s="41" t="inlineStr">
        <is>
          <t xml:space="preserve">احمد الحسينى </t>
        </is>
      </c>
      <c r="K1242" s="41" t="inlineStr">
        <is>
          <t xml:space="preserve">حمو مرزوق </t>
        </is>
      </c>
      <c r="L1242" s="42" t="n">
        <v>18500</v>
      </c>
      <c r="M1242" s="42" t="n">
        <v>10100</v>
      </c>
      <c r="N1242" s="42" t="n"/>
      <c r="O1242" s="42" t="n">
        <v>200</v>
      </c>
      <c r="P1242" s="42" t="n"/>
      <c r="Q1242" s="42" t="n"/>
      <c r="R1242" s="43">
        <f>IF($B1242="","",N($S1242)-N($Q1242))</f>
        <v/>
      </c>
      <c r="S1242" s="43">
        <f>IF($B1242="","",N($L1242)+N($N1242)+N($P1242))</f>
        <v/>
      </c>
      <c r="T1242" s="42" t="n"/>
      <c r="U1242" s="42" t="n"/>
      <c r="V1242" s="42" t="n"/>
      <c r="W1242" s="42" t="n"/>
      <c r="X1242" s="42" t="n"/>
      <c r="Y1242" s="42" t="n"/>
      <c r="Z1242" s="42" t="n"/>
      <c r="AA1242" s="42" t="n"/>
      <c r="AB1242" s="42" t="n"/>
      <c r="AC1242" s="42" t="n"/>
      <c r="AD1242" s="42" t="n"/>
      <c r="AE1242" s="42" t="n"/>
      <c r="AF1242" s="43">
        <f>IF($B1242="","",SUM($T1242:$AE1242))</f>
        <v/>
      </c>
      <c r="AG1242" s="43">
        <f>IF($B1242="","",N($M1242)-N($AF1242))</f>
        <v/>
      </c>
      <c r="AH1242" s="43">
        <f>IF($B1242="","",N($L1242)-N($AF1242))</f>
        <v/>
      </c>
      <c r="AI1242" s="149">
        <f>IF($B1242="","",IF(N($L1242)=0,"",(N($L1242)-N($AF1242))/N($L1242)))</f>
        <v/>
      </c>
    </row>
    <row r="1243">
      <c r="A1243" s="39">
        <f>IF($B1243="","",COUNTA($B$4:$B1243))</f>
        <v/>
      </c>
      <c r="B1243" s="45" t="n">
        <v>46161</v>
      </c>
      <c r="C1243" s="46" t="n">
        <v>2999</v>
      </c>
      <c r="D1243" s="46" t="inlineStr">
        <is>
          <t xml:space="preserve">عتريس مخيمر </t>
        </is>
      </c>
      <c r="E1243" s="46" t="inlineStr">
        <is>
          <t>1*40</t>
        </is>
      </c>
      <c r="F1243" s="46" t="inlineStr">
        <is>
          <t xml:space="preserve">ميجا بورت </t>
        </is>
      </c>
      <c r="G1243" s="46" t="inlineStr">
        <is>
          <t xml:space="preserve">القاهرة </t>
        </is>
      </c>
      <c r="H1243" s="46" t="inlineStr">
        <is>
          <t>717302/0</t>
        </is>
      </c>
      <c r="I1243" s="46" t="inlineStr">
        <is>
          <t>ط ف ر 1474</t>
        </is>
      </c>
      <c r="J1243" s="46" t="inlineStr">
        <is>
          <t xml:space="preserve">جمال على </t>
        </is>
      </c>
      <c r="K1243" s="46" t="inlineStr">
        <is>
          <t xml:space="preserve">كريم خليف </t>
        </is>
      </c>
      <c r="L1243" s="47" t="n">
        <v>16000</v>
      </c>
      <c r="M1243" s="47" t="n">
        <v>10100</v>
      </c>
      <c r="N1243" s="47" t="n"/>
      <c r="O1243" s="47" t="n">
        <v>200</v>
      </c>
      <c r="P1243" s="47" t="n"/>
      <c r="Q1243" s="47" t="n"/>
      <c r="R1243" s="43">
        <f>IF($B1243="","",N($S1243)-N($Q1243))</f>
        <v/>
      </c>
      <c r="S1243" s="43">
        <f>IF($B1243="","",N($L1243)+N($N1243)+N($P1243))</f>
        <v/>
      </c>
      <c r="T1243" s="47" t="n"/>
      <c r="U1243" s="47" t="n"/>
      <c r="V1243" s="47" t="n"/>
      <c r="W1243" s="47" t="n"/>
      <c r="X1243" s="47" t="n"/>
      <c r="Y1243" s="47" t="n"/>
      <c r="Z1243" s="47" t="n"/>
      <c r="AA1243" s="47" t="n"/>
      <c r="AB1243" s="47" t="n"/>
      <c r="AC1243" s="47" t="n"/>
      <c r="AD1243" s="47" t="n"/>
      <c r="AE1243" s="47" t="n"/>
      <c r="AF1243" s="43">
        <f>IF($B1243="","",SUM($T1243:$AE1243))</f>
        <v/>
      </c>
      <c r="AG1243" s="43">
        <f>IF($B1243="","",N($M1243)-N($AF1243))</f>
        <v/>
      </c>
      <c r="AH1243" s="43">
        <f>IF($B1243="","",N($L1243)-N($AF1243))</f>
        <v/>
      </c>
      <c r="AI1243" s="149">
        <f>IF($B1243="","",IF(N($L1243)=0,"",(N($L1243)-N($AF1243))/N($L1243)))</f>
        <v/>
      </c>
    </row>
    <row r="1244">
      <c r="A1244" s="39">
        <f>IF($B1244="","",COUNTA($B$4:$B1244))</f>
        <v/>
      </c>
      <c r="B1244" s="40" t="n">
        <v>46161</v>
      </c>
      <c r="C1244" s="41" t="n">
        <v>2918</v>
      </c>
      <c r="D1244" s="41" t="inlineStr">
        <is>
          <t>نجمة بحرى</t>
        </is>
      </c>
      <c r="E1244" s="41" t="inlineStr">
        <is>
          <t>1*40</t>
        </is>
      </c>
      <c r="F1244" s="41" t="inlineStr">
        <is>
          <t xml:space="preserve">يونايتد باك </t>
        </is>
      </c>
      <c r="G1244" s="41" t="inlineStr">
        <is>
          <t xml:space="preserve">العاشر </t>
        </is>
      </c>
      <c r="H1244" s="41" t="inlineStr">
        <is>
          <t>346773/6</t>
        </is>
      </c>
      <c r="I1244" s="41" t="inlineStr">
        <is>
          <t>س ط ى 5967</t>
        </is>
      </c>
      <c r="J1244" s="41" t="inlineStr">
        <is>
          <t xml:space="preserve">هانى على </t>
        </is>
      </c>
      <c r="K1244" s="41" t="inlineStr">
        <is>
          <t xml:space="preserve">نجمة بحرى </t>
        </is>
      </c>
      <c r="L1244" s="42" t="n">
        <v>15500</v>
      </c>
      <c r="M1244" s="42" t="n">
        <v>8100</v>
      </c>
      <c r="N1244" s="42" t="n"/>
      <c r="O1244" s="42" t="n"/>
      <c r="P1244" s="42" t="n"/>
      <c r="Q1244" s="42" t="n">
        <v>7400</v>
      </c>
      <c r="R1244" s="43">
        <f>IF($B1244="","",N($S1244)-N($Q1244))</f>
        <v/>
      </c>
      <c r="S1244" s="43">
        <f>IF($B1244="","",N($L1244)+N($N1244)+N($P1244))</f>
        <v/>
      </c>
      <c r="T1244" s="42" t="n"/>
      <c r="U1244" s="42" t="n"/>
      <c r="V1244" s="42" t="n"/>
      <c r="W1244" s="42" t="n"/>
      <c r="X1244" s="42" t="n"/>
      <c r="Y1244" s="42" t="n"/>
      <c r="Z1244" s="42" t="n"/>
      <c r="AA1244" s="42" t="n"/>
      <c r="AB1244" s="42" t="n"/>
      <c r="AC1244" s="42" t="n"/>
      <c r="AD1244" s="42" t="n"/>
      <c r="AE1244" s="42" t="n"/>
      <c r="AF1244" s="43">
        <f>IF($B1244="","",SUM($T1244:$AE1244))</f>
        <v/>
      </c>
      <c r="AG1244" s="43">
        <f>IF($B1244="","",N($M1244)-N($AF1244))</f>
        <v/>
      </c>
      <c r="AH1244" s="43">
        <f>IF($B1244="","",N($L1244)-N($AF1244))</f>
        <v/>
      </c>
      <c r="AI1244" s="149">
        <f>IF($B1244="","",IF(N($L1244)=0,"",(N($L1244)-N($AF1244))/N($L1244)))</f>
        <v/>
      </c>
    </row>
    <row r="1245">
      <c r="A1245" s="39">
        <f>IF($B1245="","",COUNTA($B$4:$B1245))</f>
        <v/>
      </c>
      <c r="B1245" s="45" t="n">
        <v>46161</v>
      </c>
      <c r="C1245" s="46" t="n">
        <v>2919</v>
      </c>
      <c r="D1245" s="46" t="inlineStr">
        <is>
          <t xml:space="preserve">الانصارى </t>
        </is>
      </c>
      <c r="E1245" s="46" t="inlineStr">
        <is>
          <t>1*40</t>
        </is>
      </c>
      <c r="F1245" s="46" t="inlineStr">
        <is>
          <t xml:space="preserve">يونايتد باك </t>
        </is>
      </c>
      <c r="G1245" s="46" t="inlineStr">
        <is>
          <t xml:space="preserve">العاشر </t>
        </is>
      </c>
      <c r="H1245" s="46" t="inlineStr">
        <is>
          <t>835949/9</t>
        </is>
      </c>
      <c r="I1245" s="46" t="inlineStr">
        <is>
          <t>ب ص ا 2574</t>
        </is>
      </c>
      <c r="J1245" s="46" t="inlineStr">
        <is>
          <t xml:space="preserve">محمد البحيرى </t>
        </is>
      </c>
      <c r="K1245" s="46" t="inlineStr">
        <is>
          <t xml:space="preserve">احمد خليف </t>
        </is>
      </c>
      <c r="L1245" s="47" t="n">
        <v>16000</v>
      </c>
      <c r="M1245" s="47" t="n">
        <v>8100</v>
      </c>
      <c r="N1245" s="47" t="n"/>
      <c r="O1245" s="47" t="n">
        <v>200</v>
      </c>
      <c r="P1245" s="47" t="n"/>
      <c r="Q1245" s="47" t="n"/>
      <c r="R1245" s="43">
        <f>IF($B1245="","",N($S1245)-N($Q1245))</f>
        <v/>
      </c>
      <c r="S1245" s="43">
        <f>IF($B1245="","",N($L1245)+N($N1245)+N($P1245))</f>
        <v/>
      </c>
      <c r="T1245" s="47" t="n"/>
      <c r="U1245" s="47" t="n"/>
      <c r="V1245" s="47" t="n"/>
      <c r="W1245" s="47" t="n"/>
      <c r="X1245" s="47" t="n"/>
      <c r="Y1245" s="47" t="n"/>
      <c r="Z1245" s="47" t="n"/>
      <c r="AA1245" s="47" t="n"/>
      <c r="AB1245" s="47" t="n"/>
      <c r="AC1245" s="47" t="n"/>
      <c r="AD1245" s="47" t="n"/>
      <c r="AE1245" s="47" t="n"/>
      <c r="AF1245" s="43">
        <f>IF($B1245="","",SUM($T1245:$AE1245))</f>
        <v/>
      </c>
      <c r="AG1245" s="43">
        <f>IF($B1245="","",N($M1245)-N($AF1245))</f>
        <v/>
      </c>
      <c r="AH1245" s="43">
        <f>IF($B1245="","",N($L1245)-N($AF1245))</f>
        <v/>
      </c>
      <c r="AI1245" s="149">
        <f>IF($B1245="","",IF(N($L1245)=0,"",(N($L1245)-N($AF1245))/N($L1245)))</f>
        <v/>
      </c>
    </row>
    <row r="1246">
      <c r="A1246" s="39">
        <f>IF($B1246="","",COUNTA($B$4:$B1246))</f>
        <v/>
      </c>
      <c r="B1246" s="40" t="n">
        <v>46161</v>
      </c>
      <c r="C1246" s="41" t="n">
        <v>3005</v>
      </c>
      <c r="D1246" s="41" t="inlineStr">
        <is>
          <t>نجمة بحرى</t>
        </is>
      </c>
      <c r="E1246" s="41" t="inlineStr">
        <is>
          <t>1*40</t>
        </is>
      </c>
      <c r="F1246" s="41" t="inlineStr">
        <is>
          <t>كير بلس</t>
        </is>
      </c>
      <c r="G1246" s="41" t="inlineStr">
        <is>
          <t xml:space="preserve">العاشر </t>
        </is>
      </c>
      <c r="H1246" s="41" t="inlineStr">
        <is>
          <t>865252/9</t>
        </is>
      </c>
      <c r="I1246" s="41" t="inlineStr">
        <is>
          <t>س ا ه 6126</t>
        </is>
      </c>
      <c r="J1246" s="41" t="inlineStr">
        <is>
          <t xml:space="preserve">ابراهيم حمامة </t>
        </is>
      </c>
      <c r="K1246" s="41" t="inlineStr">
        <is>
          <t xml:space="preserve">نجمة بحرى </t>
        </is>
      </c>
      <c r="L1246" s="42" t="n">
        <v>15000</v>
      </c>
      <c r="M1246" s="42" t="n">
        <v>8100</v>
      </c>
      <c r="N1246" s="42" t="n"/>
      <c r="O1246" s="42" t="n"/>
      <c r="P1246" s="42" t="n"/>
      <c r="Q1246" s="42" t="n">
        <v>6900</v>
      </c>
      <c r="R1246" s="43">
        <f>IF($B1246="","",N($S1246)-N($Q1246))</f>
        <v/>
      </c>
      <c r="S1246" s="43">
        <f>IF($B1246="","",N($L1246)+N($N1246)+N($P1246))</f>
        <v/>
      </c>
      <c r="T1246" s="42" t="n"/>
      <c r="U1246" s="42" t="n"/>
      <c r="V1246" s="42" t="n"/>
      <c r="W1246" s="42" t="n"/>
      <c r="X1246" s="42" t="n"/>
      <c r="Y1246" s="42" t="n"/>
      <c r="Z1246" s="42" t="n"/>
      <c r="AA1246" s="42" t="n"/>
      <c r="AB1246" s="42" t="n"/>
      <c r="AC1246" s="42" t="n"/>
      <c r="AD1246" s="42" t="n"/>
      <c r="AE1246" s="42" t="n"/>
      <c r="AF1246" s="43">
        <f>IF($B1246="","",SUM($T1246:$AE1246))</f>
        <v/>
      </c>
      <c r="AG1246" s="43">
        <f>IF($B1246="","",N($M1246)-N($AF1246))</f>
        <v/>
      </c>
      <c r="AH1246" s="43">
        <f>IF($B1246="","",N($L1246)-N($AF1246))</f>
        <v/>
      </c>
      <c r="AI1246" s="149">
        <f>IF($B1246="","",IF(N($L1246)=0,"",(N($L1246)-N($AF1246))/N($L1246)))</f>
        <v/>
      </c>
    </row>
    <row r="1247">
      <c r="A1247" s="39">
        <f>IF($B1247="","",COUNTA($B$4:$B1247))</f>
        <v/>
      </c>
      <c r="B1247" s="45" t="n">
        <v>46161</v>
      </c>
      <c r="C1247" s="46" t="n">
        <v>3009</v>
      </c>
      <c r="D1247" s="46" t="inlineStr">
        <is>
          <t>نجمة بحرى</t>
        </is>
      </c>
      <c r="E1247" s="46" t="inlineStr">
        <is>
          <t>1*40</t>
        </is>
      </c>
      <c r="F1247" s="46" t="inlineStr">
        <is>
          <t>كير بلس</t>
        </is>
      </c>
      <c r="G1247" s="46" t="inlineStr">
        <is>
          <t xml:space="preserve">العاشر </t>
        </is>
      </c>
      <c r="H1247" s="46" t="inlineStr">
        <is>
          <t>741007/0</t>
        </is>
      </c>
      <c r="I1247" s="46" t="inlineStr">
        <is>
          <t>س ق ر 9962</t>
        </is>
      </c>
      <c r="J1247" s="46" t="inlineStr">
        <is>
          <t xml:space="preserve">ياسر عبد الدايم </t>
        </is>
      </c>
      <c r="K1247" s="46" t="inlineStr">
        <is>
          <t xml:space="preserve">نجمة بحرى </t>
        </is>
      </c>
      <c r="L1247" s="47" t="n">
        <v>15000</v>
      </c>
      <c r="M1247" s="47" t="n">
        <v>8100</v>
      </c>
      <c r="N1247" s="47" t="n"/>
      <c r="O1247" s="47" t="n"/>
      <c r="P1247" s="47" t="n"/>
      <c r="Q1247" s="47" t="n">
        <v>6900</v>
      </c>
      <c r="R1247" s="43">
        <f>IF($B1247="","",N($S1247)-N($Q1247))</f>
        <v/>
      </c>
      <c r="S1247" s="43">
        <f>IF($B1247="","",N($L1247)+N($N1247)+N($P1247))</f>
        <v/>
      </c>
      <c r="T1247" s="47" t="n"/>
      <c r="U1247" s="47" t="n"/>
      <c r="V1247" s="47" t="n"/>
      <c r="W1247" s="47" t="n"/>
      <c r="X1247" s="47" t="n"/>
      <c r="Y1247" s="47" t="n"/>
      <c r="Z1247" s="47" t="n"/>
      <c r="AA1247" s="47" t="n"/>
      <c r="AB1247" s="47" t="n"/>
      <c r="AC1247" s="47" t="n"/>
      <c r="AD1247" s="47" t="n"/>
      <c r="AE1247" s="47" t="n"/>
      <c r="AF1247" s="43">
        <f>IF($B1247="","",SUM($T1247:$AE1247))</f>
        <v/>
      </c>
      <c r="AG1247" s="43">
        <f>IF($B1247="","",N($M1247)-N($AF1247))</f>
        <v/>
      </c>
      <c r="AH1247" s="43">
        <f>IF($B1247="","",N($L1247)-N($AF1247))</f>
        <v/>
      </c>
      <c r="AI1247" s="149">
        <f>IF($B1247="","",IF(N($L1247)=0,"",(N($L1247)-N($AF1247))/N($L1247)))</f>
        <v/>
      </c>
    </row>
    <row r="1248">
      <c r="A1248" s="39">
        <f>IF($B1248="","",COUNTA($B$4:$B1248))</f>
        <v/>
      </c>
      <c r="B1248" s="40" t="n">
        <v>46161</v>
      </c>
      <c r="C1248" s="41" t="n">
        <v>3007</v>
      </c>
      <c r="D1248" s="41" t="inlineStr">
        <is>
          <t>المكتب</t>
        </is>
      </c>
      <c r="E1248" s="41" t="inlineStr">
        <is>
          <t>1*40</t>
        </is>
      </c>
      <c r="F1248" s="41" t="inlineStr">
        <is>
          <t>كير بلس</t>
        </is>
      </c>
      <c r="G1248" s="41" t="inlineStr">
        <is>
          <t xml:space="preserve">العاشر </t>
        </is>
      </c>
      <c r="H1248" s="41" t="inlineStr">
        <is>
          <t>700711/1</t>
        </is>
      </c>
      <c r="I1248" s="41" t="inlineStr">
        <is>
          <t>س ع م 8737</t>
        </is>
      </c>
      <c r="J1248" s="41" t="inlineStr">
        <is>
          <t xml:space="preserve">جلال حسنى </t>
        </is>
      </c>
      <c r="K1248" s="41" t="inlineStr">
        <is>
          <t xml:space="preserve">المكتب </t>
        </is>
      </c>
      <c r="L1248" s="42" t="n">
        <v>15300</v>
      </c>
      <c r="M1248" s="42" t="n">
        <v>3000</v>
      </c>
      <c r="N1248" s="42" t="n"/>
      <c r="O1248" s="42" t="n"/>
      <c r="P1248" s="42" t="n"/>
      <c r="Q1248" s="42" t="n">
        <v>12300</v>
      </c>
      <c r="R1248" s="43">
        <f>IF($B1248="","",N($S1248)-N($Q1248))</f>
        <v/>
      </c>
      <c r="S1248" s="43">
        <f>IF($B1248="","",N($L1248)+N($N1248)+N($P1248))</f>
        <v/>
      </c>
      <c r="T1248" s="42" t="n"/>
      <c r="U1248" s="42" t="n"/>
      <c r="V1248" s="42" t="n"/>
      <c r="W1248" s="42" t="n"/>
      <c r="X1248" s="42" t="n"/>
      <c r="Y1248" s="42" t="n"/>
      <c r="Z1248" s="42" t="n"/>
      <c r="AA1248" s="42" t="n"/>
      <c r="AB1248" s="42" t="n"/>
      <c r="AC1248" s="42" t="n"/>
      <c r="AD1248" s="42" t="n"/>
      <c r="AE1248" s="42" t="n"/>
      <c r="AF1248" s="43">
        <f>IF($B1248="","",SUM($T1248:$AE1248))</f>
        <v/>
      </c>
      <c r="AG1248" s="43">
        <f>IF($B1248="","",N($M1248)-N($AF1248))</f>
        <v/>
      </c>
      <c r="AH1248" s="43">
        <f>IF($B1248="","",N($L1248)-N($AF1248))</f>
        <v/>
      </c>
      <c r="AI1248" s="149">
        <f>IF($B1248="","",IF(N($L1248)=0,"",(N($L1248)-N($AF1248))/N($L1248)))</f>
        <v/>
      </c>
    </row>
    <row r="1249">
      <c r="A1249" s="39">
        <f>IF($B1249="","",COUNTA($B$4:$B1249))</f>
        <v/>
      </c>
      <c r="B1249" s="45" t="n">
        <v>46161</v>
      </c>
      <c r="C1249" s="46" t="n">
        <v>3003</v>
      </c>
      <c r="D1249" s="46" t="inlineStr">
        <is>
          <t xml:space="preserve">احمد محسن </t>
        </is>
      </c>
      <c r="E1249" s="46" t="inlineStr">
        <is>
          <t>1*40</t>
        </is>
      </c>
      <c r="F1249" s="46" t="inlineStr">
        <is>
          <t>كير بلس</t>
        </is>
      </c>
      <c r="G1249" s="46" t="inlineStr">
        <is>
          <t>العاشر</t>
        </is>
      </c>
      <c r="H1249" s="46" t="inlineStr">
        <is>
          <t>950704/2</t>
        </is>
      </c>
      <c r="I1249" s="46" t="inlineStr">
        <is>
          <t>س ه ف 1387</t>
        </is>
      </c>
      <c r="J1249" s="46" t="inlineStr">
        <is>
          <t xml:space="preserve">عصام  </t>
        </is>
      </c>
      <c r="K1249" s="46" t="inlineStr">
        <is>
          <t xml:space="preserve">احمد محسن </t>
        </is>
      </c>
      <c r="L1249" s="47" t="n">
        <v>15300</v>
      </c>
      <c r="M1249" s="47" t="n">
        <v>8100</v>
      </c>
      <c r="N1249" s="47" t="n"/>
      <c r="O1249" s="47" t="n">
        <v>200</v>
      </c>
      <c r="P1249" s="47" t="n"/>
      <c r="Q1249" s="47" t="n"/>
      <c r="R1249" s="43">
        <f>IF($B1249="","",N($S1249)-N($Q1249))</f>
        <v/>
      </c>
      <c r="S1249" s="43">
        <f>IF($B1249="","",N($L1249)+N($N1249)+N($P1249))</f>
        <v/>
      </c>
      <c r="T1249" s="47" t="n"/>
      <c r="U1249" s="47" t="n"/>
      <c r="V1249" s="47" t="n"/>
      <c r="W1249" s="47" t="n"/>
      <c r="X1249" s="47" t="n"/>
      <c r="Y1249" s="47" t="n"/>
      <c r="Z1249" s="47" t="n"/>
      <c r="AA1249" s="47" t="n"/>
      <c r="AB1249" s="47" t="n"/>
      <c r="AC1249" s="47" t="n"/>
      <c r="AD1249" s="47" t="n"/>
      <c r="AE1249" s="47" t="n"/>
      <c r="AF1249" s="43">
        <f>IF($B1249="","",SUM($T1249:$AE1249))</f>
        <v/>
      </c>
      <c r="AG1249" s="43">
        <f>IF($B1249="","",N($M1249)-N($AF1249))</f>
        <v/>
      </c>
      <c r="AH1249" s="43">
        <f>IF($B1249="","",N($L1249)-N($AF1249))</f>
        <v/>
      </c>
      <c r="AI1249" s="149">
        <f>IF($B1249="","",IF(N($L1249)=0,"",(N($L1249)-N($AF1249))/N($L1249)))</f>
        <v/>
      </c>
    </row>
    <row r="1250">
      <c r="A1250" s="39">
        <f>IF($B1250="","",COUNTA($B$4:$B1250))</f>
        <v/>
      </c>
      <c r="B1250" s="40" t="n">
        <v>46161</v>
      </c>
      <c r="C1250" s="41" t="n">
        <v>3004</v>
      </c>
      <c r="D1250" s="41" t="inlineStr">
        <is>
          <t xml:space="preserve">استوريا </t>
        </is>
      </c>
      <c r="E1250" s="41" t="inlineStr">
        <is>
          <t>1*40</t>
        </is>
      </c>
      <c r="F1250" s="41" t="inlineStr">
        <is>
          <t>كير بلس</t>
        </is>
      </c>
      <c r="G1250" s="41" t="inlineStr">
        <is>
          <t xml:space="preserve">العاشر </t>
        </is>
      </c>
      <c r="H1250" s="41" t="inlineStr">
        <is>
          <t>734873/6</t>
        </is>
      </c>
      <c r="I1250" s="41" t="inlineStr">
        <is>
          <t>ب ط ع 3718</t>
        </is>
      </c>
      <c r="J1250" s="41" t="inlineStr">
        <is>
          <t xml:space="preserve">جمعة رجب </t>
        </is>
      </c>
      <c r="K1250" s="41" t="inlineStr">
        <is>
          <t>استوريا</t>
        </is>
      </c>
      <c r="L1250" s="42" t="n">
        <v>15300</v>
      </c>
      <c r="M1250" s="42" t="n">
        <v>8100</v>
      </c>
      <c r="N1250" s="42" t="n"/>
      <c r="O1250" s="42" t="n">
        <v>200</v>
      </c>
      <c r="P1250" s="42" t="n"/>
      <c r="Q1250" s="42" t="n"/>
      <c r="R1250" s="43">
        <f>IF($B1250="","",N($S1250)-N($Q1250))</f>
        <v/>
      </c>
      <c r="S1250" s="43">
        <f>IF($B1250="","",N($L1250)+N($N1250)+N($P1250))</f>
        <v/>
      </c>
      <c r="T1250" s="42" t="n"/>
      <c r="U1250" s="42" t="n"/>
      <c r="V1250" s="42" t="n"/>
      <c r="W1250" s="42" t="n"/>
      <c r="X1250" s="42" t="n"/>
      <c r="Y1250" s="42" t="n"/>
      <c r="Z1250" s="42" t="n"/>
      <c r="AA1250" s="42" t="n"/>
      <c r="AB1250" s="42" t="n"/>
      <c r="AC1250" s="42" t="n"/>
      <c r="AD1250" s="42" t="n"/>
      <c r="AE1250" s="42" t="n"/>
      <c r="AF1250" s="43">
        <f>IF($B1250="","",SUM($T1250:$AE1250))</f>
        <v/>
      </c>
      <c r="AG1250" s="43">
        <f>IF($B1250="","",N($M1250)-N($AF1250))</f>
        <v/>
      </c>
      <c r="AH1250" s="43">
        <f>IF($B1250="","",N($L1250)-N($AF1250))</f>
        <v/>
      </c>
      <c r="AI1250" s="149">
        <f>IF($B1250="","",IF(N($L1250)=0,"",(N($L1250)-N($AF1250))/N($L1250)))</f>
        <v/>
      </c>
    </row>
    <row r="1251">
      <c r="A1251" s="39">
        <f>IF($B1251="","",COUNTA($B$4:$B1251))</f>
        <v/>
      </c>
      <c r="B1251" s="45" t="n">
        <v>46161</v>
      </c>
      <c r="C1251" s="46" t="n">
        <v>3002</v>
      </c>
      <c r="D1251" s="46" t="inlineStr">
        <is>
          <t xml:space="preserve">استوريا </t>
        </is>
      </c>
      <c r="E1251" s="46" t="inlineStr">
        <is>
          <t>1*40</t>
        </is>
      </c>
      <c r="F1251" s="46" t="inlineStr">
        <is>
          <t>كير بلس</t>
        </is>
      </c>
      <c r="G1251" s="46" t="inlineStr">
        <is>
          <t xml:space="preserve">العاشر </t>
        </is>
      </c>
      <c r="H1251" s="46" t="inlineStr">
        <is>
          <t>561361/5</t>
        </is>
      </c>
      <c r="I1251" s="46" t="inlineStr">
        <is>
          <t>ب ط ع 2176</t>
        </is>
      </c>
      <c r="J1251" s="46" t="inlineStr">
        <is>
          <t xml:space="preserve">على ابو سعدة </t>
        </is>
      </c>
      <c r="K1251" s="46" t="n"/>
      <c r="L1251" s="47" t="n">
        <v>15300</v>
      </c>
      <c r="M1251" s="47" t="n">
        <v>8100</v>
      </c>
      <c r="N1251" s="47" t="n"/>
      <c r="O1251" s="47" t="n">
        <v>200</v>
      </c>
      <c r="P1251" s="47" t="n"/>
      <c r="Q1251" s="47" t="n"/>
      <c r="R1251" s="43">
        <f>IF($B1251="","",N($S1251)-N($Q1251))</f>
        <v/>
      </c>
      <c r="S1251" s="43">
        <f>IF($B1251="","",N($L1251)+N($N1251)+N($P1251))</f>
        <v/>
      </c>
      <c r="T1251" s="47" t="n"/>
      <c r="U1251" s="47" t="n"/>
      <c r="V1251" s="47" t="n"/>
      <c r="W1251" s="47" t="n"/>
      <c r="X1251" s="47" t="n"/>
      <c r="Y1251" s="47" t="n"/>
      <c r="Z1251" s="47" t="n"/>
      <c r="AA1251" s="47" t="n"/>
      <c r="AB1251" s="47" t="n"/>
      <c r="AC1251" s="47" t="n"/>
      <c r="AD1251" s="47" t="n"/>
      <c r="AE1251" s="47" t="n"/>
      <c r="AF1251" s="43">
        <f>IF($B1251="","",SUM($T1251:$AE1251))</f>
        <v/>
      </c>
      <c r="AG1251" s="43">
        <f>IF($B1251="","",N($M1251)-N($AF1251))</f>
        <v/>
      </c>
      <c r="AH1251" s="43">
        <f>IF($B1251="","",N($L1251)-N($AF1251))</f>
        <v/>
      </c>
      <c r="AI1251" s="149">
        <f>IF($B1251="","",IF(N($L1251)=0,"",(N($L1251)-N($AF1251))/N($L1251)))</f>
        <v/>
      </c>
    </row>
    <row r="1252">
      <c r="A1252" s="39">
        <f>IF($B1252="","",COUNTA($B$4:$B1252))</f>
        <v/>
      </c>
      <c r="B1252" s="40" t="n">
        <v>46161</v>
      </c>
      <c r="C1252" s="41" t="n">
        <v>3001</v>
      </c>
      <c r="D1252" s="41" t="inlineStr">
        <is>
          <t xml:space="preserve">استوريا </t>
        </is>
      </c>
      <c r="E1252" s="41" t="inlineStr">
        <is>
          <t>1*40</t>
        </is>
      </c>
      <c r="F1252" s="41" t="inlineStr">
        <is>
          <t>كير بلس</t>
        </is>
      </c>
      <c r="G1252" s="41" t="inlineStr">
        <is>
          <t>العاشر</t>
        </is>
      </c>
      <c r="H1252" s="41" t="inlineStr">
        <is>
          <t>897029/6</t>
        </is>
      </c>
      <c r="I1252" s="41" t="inlineStr">
        <is>
          <t>ب ع ا 8596</t>
        </is>
      </c>
      <c r="J1252" s="41" t="inlineStr">
        <is>
          <t xml:space="preserve">محمد عتمان </t>
        </is>
      </c>
      <c r="K1252" s="41" t="inlineStr">
        <is>
          <t>استوريا</t>
        </is>
      </c>
      <c r="L1252" s="42" t="n">
        <v>15300</v>
      </c>
      <c r="M1252" s="42" t="n">
        <v>8100</v>
      </c>
      <c r="N1252" s="42" t="n"/>
      <c r="O1252" s="42" t="n">
        <v>200</v>
      </c>
      <c r="P1252" s="42" t="n"/>
      <c r="Q1252" s="42" t="n"/>
      <c r="R1252" s="43">
        <f>IF($B1252="","",N($S1252)-N($Q1252))</f>
        <v/>
      </c>
      <c r="S1252" s="43">
        <f>IF($B1252="","",N($L1252)+N($N1252)+N($P1252))</f>
        <v/>
      </c>
      <c r="T1252" s="42" t="n"/>
      <c r="U1252" s="42" t="n"/>
      <c r="V1252" s="42" t="n"/>
      <c r="W1252" s="42" t="n"/>
      <c r="X1252" s="42" t="n"/>
      <c r="Y1252" s="42" t="n"/>
      <c r="Z1252" s="42" t="n"/>
      <c r="AA1252" s="42" t="n"/>
      <c r="AB1252" s="42" t="n"/>
      <c r="AC1252" s="42" t="n"/>
      <c r="AD1252" s="42" t="n"/>
      <c r="AE1252" s="42" t="n"/>
      <c r="AF1252" s="43">
        <f>IF($B1252="","",SUM($T1252:$AE1252))</f>
        <v/>
      </c>
      <c r="AG1252" s="43">
        <f>IF($B1252="","",N($M1252)-N($AF1252))</f>
        <v/>
      </c>
      <c r="AH1252" s="43">
        <f>IF($B1252="","",N($L1252)-N($AF1252))</f>
        <v/>
      </c>
      <c r="AI1252" s="149">
        <f>IF($B1252="","",IF(N($L1252)=0,"",(N($L1252)-N($AF1252))/N($L1252)))</f>
        <v/>
      </c>
    </row>
    <row r="1253">
      <c r="A1253" s="39">
        <f>IF($B1253="","",COUNTA($B$4:$B1253))</f>
        <v/>
      </c>
      <c r="B1253" s="45" t="n">
        <v>46161</v>
      </c>
      <c r="C1253" s="46" t="n">
        <v>3008</v>
      </c>
      <c r="D1253" s="46" t="inlineStr">
        <is>
          <t xml:space="preserve">استوريا </t>
        </is>
      </c>
      <c r="E1253" s="46" t="inlineStr">
        <is>
          <t>1*40</t>
        </is>
      </c>
      <c r="F1253" s="46" t="inlineStr">
        <is>
          <t>كير بلس</t>
        </is>
      </c>
      <c r="G1253" s="46" t="inlineStr">
        <is>
          <t>العاشر</t>
        </is>
      </c>
      <c r="H1253" s="46" t="inlineStr">
        <is>
          <t>839103/0</t>
        </is>
      </c>
      <c r="I1253" s="46" t="inlineStr">
        <is>
          <t>ب ن و 7245</t>
        </is>
      </c>
      <c r="J1253" s="46" t="inlineStr">
        <is>
          <t xml:space="preserve">رجب رجب </t>
        </is>
      </c>
      <c r="K1253" s="46" t="inlineStr">
        <is>
          <t>استوريا</t>
        </is>
      </c>
      <c r="L1253" s="47" t="n">
        <v>15300</v>
      </c>
      <c r="M1253" s="47" t="n">
        <v>8100</v>
      </c>
      <c r="N1253" s="47" t="n"/>
      <c r="O1253" s="47" t="n">
        <v>200</v>
      </c>
      <c r="P1253" s="47" t="n"/>
      <c r="Q1253" s="47" t="n"/>
      <c r="R1253" s="43">
        <f>IF($B1253="","",N($S1253)-N($Q1253))</f>
        <v/>
      </c>
      <c r="S1253" s="43">
        <f>IF($B1253="","",N($L1253)+N($N1253)+N($P1253))</f>
        <v/>
      </c>
      <c r="T1253" s="47" t="n"/>
      <c r="U1253" s="47" t="n"/>
      <c r="V1253" s="47" t="n"/>
      <c r="W1253" s="47" t="n"/>
      <c r="X1253" s="47" t="n"/>
      <c r="Y1253" s="47" t="n"/>
      <c r="Z1253" s="47" t="n"/>
      <c r="AA1253" s="47" t="n"/>
      <c r="AB1253" s="47" t="n"/>
      <c r="AC1253" s="47" t="n"/>
      <c r="AD1253" s="47" t="n"/>
      <c r="AE1253" s="47" t="n"/>
      <c r="AF1253" s="43">
        <f>IF($B1253="","",SUM($T1253:$AE1253))</f>
        <v/>
      </c>
      <c r="AG1253" s="43">
        <f>IF($B1253="","",N($M1253)-N($AF1253))</f>
        <v/>
      </c>
      <c r="AH1253" s="43">
        <f>IF($B1253="","",N($L1253)-N($AF1253))</f>
        <v/>
      </c>
      <c r="AI1253" s="149">
        <f>IF($B1253="","",IF(N($L1253)=0,"",(N($L1253)-N($AF1253))/N($L1253)))</f>
        <v/>
      </c>
    </row>
    <row r="1254">
      <c r="A1254" s="39">
        <f>IF($B1254="","",COUNTA($B$4:$B1254))</f>
        <v/>
      </c>
      <c r="B1254" s="40" t="n">
        <v>46161</v>
      </c>
      <c r="C1254" s="41" t="n">
        <v>3006</v>
      </c>
      <c r="D1254" s="41" t="inlineStr">
        <is>
          <t xml:space="preserve">استوريا </t>
        </is>
      </c>
      <c r="E1254" s="41" t="inlineStr">
        <is>
          <t>1*40</t>
        </is>
      </c>
      <c r="F1254" s="41" t="inlineStr">
        <is>
          <t>كير بلس</t>
        </is>
      </c>
      <c r="G1254" s="41" t="inlineStr">
        <is>
          <t>العاشر</t>
        </is>
      </c>
      <c r="H1254" s="41" t="inlineStr">
        <is>
          <t>704603/6</t>
        </is>
      </c>
      <c r="I1254" s="41" t="inlineStr">
        <is>
          <t>ف ر ل 54825</t>
        </is>
      </c>
      <c r="J1254" s="41" t="inlineStr">
        <is>
          <t xml:space="preserve">ابراهيم رجب </t>
        </is>
      </c>
      <c r="K1254" s="41" t="inlineStr">
        <is>
          <t>استوريا</t>
        </is>
      </c>
      <c r="L1254" s="42" t="n">
        <v>15300</v>
      </c>
      <c r="M1254" s="42" t="n">
        <v>8100</v>
      </c>
      <c r="N1254" s="42" t="n"/>
      <c r="O1254" s="42" t="n">
        <v>200</v>
      </c>
      <c r="P1254" s="42" t="n"/>
      <c r="Q1254" s="42" t="n"/>
      <c r="R1254" s="43">
        <f>IF($B1254="","",N($S1254)-N($Q1254))</f>
        <v/>
      </c>
      <c r="S1254" s="43">
        <f>IF($B1254="","",N($L1254)+N($N1254)+N($P1254))</f>
        <v/>
      </c>
      <c r="T1254" s="42" t="n"/>
      <c r="U1254" s="42" t="n"/>
      <c r="V1254" s="42" t="n"/>
      <c r="W1254" s="42" t="n"/>
      <c r="X1254" s="42" t="n"/>
      <c r="Y1254" s="42" t="n"/>
      <c r="Z1254" s="42" t="n"/>
      <c r="AA1254" s="42" t="n"/>
      <c r="AB1254" s="42" t="n"/>
      <c r="AC1254" s="42" t="n"/>
      <c r="AD1254" s="42" t="n"/>
      <c r="AE1254" s="42" t="n"/>
      <c r="AF1254" s="43">
        <f>IF($B1254="","",SUM($T1254:$AE1254))</f>
        <v/>
      </c>
      <c r="AG1254" s="43">
        <f>IF($B1254="","",N($M1254)-N($AF1254))</f>
        <v/>
      </c>
      <c r="AH1254" s="43">
        <f>IF($B1254="","",N($L1254)-N($AF1254))</f>
        <v/>
      </c>
      <c r="AI1254" s="149">
        <f>IF($B1254="","",IF(N($L1254)=0,"",(N($L1254)-N($AF1254))/N($L1254)))</f>
        <v/>
      </c>
    </row>
    <row r="1255">
      <c r="A1255" s="39">
        <f>IF($B1255="","",COUNTA($B$4:$B1255))</f>
        <v/>
      </c>
      <c r="B1255" s="45" t="n">
        <v>46162</v>
      </c>
      <c r="C1255" s="46" t="n">
        <v>3010</v>
      </c>
      <c r="D1255" s="46" t="inlineStr">
        <is>
          <t xml:space="preserve">احمد محسن </t>
        </is>
      </c>
      <c r="E1255" s="46" t="inlineStr">
        <is>
          <t>1*40</t>
        </is>
      </c>
      <c r="F1255" s="46" t="inlineStr">
        <is>
          <t xml:space="preserve">نيموس </t>
        </is>
      </c>
      <c r="G1255" s="46" t="inlineStr">
        <is>
          <t xml:space="preserve">اكتوبر </t>
        </is>
      </c>
      <c r="H1255" s="46" t="inlineStr">
        <is>
          <t>891477/6</t>
        </is>
      </c>
      <c r="I1255" s="46" t="inlineStr">
        <is>
          <t>س ع ا 7219</t>
        </is>
      </c>
      <c r="J1255" s="46" t="inlineStr">
        <is>
          <t xml:space="preserve">رمضان محمد </t>
        </is>
      </c>
      <c r="K1255" s="46" t="inlineStr">
        <is>
          <t xml:space="preserve">احمد محسن </t>
        </is>
      </c>
      <c r="L1255" s="47" t="n">
        <v>13500</v>
      </c>
      <c r="M1255" s="47" t="n">
        <v>8100</v>
      </c>
      <c r="N1255" s="47" t="n"/>
      <c r="O1255" s="47" t="n">
        <v>200</v>
      </c>
      <c r="P1255" s="47" t="n"/>
      <c r="Q1255" s="47" t="n"/>
      <c r="R1255" s="43">
        <f>IF($B1255="","",N($S1255)-N($Q1255))</f>
        <v/>
      </c>
      <c r="S1255" s="43">
        <f>IF($B1255="","",N($L1255)+N($N1255)+N($P1255))</f>
        <v/>
      </c>
      <c r="T1255" s="47" t="n"/>
      <c r="U1255" s="47" t="n"/>
      <c r="V1255" s="47" t="n"/>
      <c r="W1255" s="47" t="n"/>
      <c r="X1255" s="47" t="n"/>
      <c r="Y1255" s="47" t="n"/>
      <c r="Z1255" s="47" t="n"/>
      <c r="AA1255" s="47" t="n"/>
      <c r="AB1255" s="47" t="n"/>
      <c r="AC1255" s="47" t="n"/>
      <c r="AD1255" s="47" t="n"/>
      <c r="AE1255" s="47" t="n"/>
      <c r="AF1255" s="43">
        <f>IF($B1255="","",SUM($T1255:$AE1255))</f>
        <v/>
      </c>
      <c r="AG1255" s="43">
        <f>IF($B1255="","",N($M1255)-N($AF1255))</f>
        <v/>
      </c>
      <c r="AH1255" s="43">
        <f>IF($B1255="","",N($L1255)-N($AF1255))</f>
        <v/>
      </c>
      <c r="AI1255" s="149">
        <f>IF($B1255="","",IF(N($L1255)=0,"",(N($L1255)-N($AF1255))/N($L1255)))</f>
        <v/>
      </c>
    </row>
    <row r="1256">
      <c r="A1256" s="39">
        <f>IF($B1256="","",COUNTA($B$4:$B1256))</f>
        <v/>
      </c>
      <c r="B1256" s="40" t="n">
        <v>46162</v>
      </c>
      <c r="C1256" s="41" t="n">
        <v>3011</v>
      </c>
      <c r="D1256" s="41" t="inlineStr">
        <is>
          <t>حريقة</t>
        </is>
      </c>
      <c r="E1256" s="41" t="inlineStr">
        <is>
          <t>1*40</t>
        </is>
      </c>
      <c r="F1256" s="41" t="inlineStr">
        <is>
          <t xml:space="preserve">نيموس </t>
        </is>
      </c>
      <c r="G1256" s="41" t="inlineStr">
        <is>
          <t xml:space="preserve">اكتوبر </t>
        </is>
      </c>
      <c r="H1256" s="41" t="inlineStr">
        <is>
          <t>809233/4</t>
        </is>
      </c>
      <c r="I1256" s="41" t="inlineStr">
        <is>
          <t>س م ص 1779</t>
        </is>
      </c>
      <c r="J1256" s="41" t="inlineStr">
        <is>
          <t xml:space="preserve">ابراهيم محمد </t>
        </is>
      </c>
      <c r="K1256" s="41" t="inlineStr">
        <is>
          <t>عبد الغنى</t>
        </is>
      </c>
      <c r="L1256" s="42" t="n">
        <v>13800</v>
      </c>
      <c r="M1256" s="42" t="n">
        <v>8100</v>
      </c>
      <c r="N1256" s="42" t="n"/>
      <c r="O1256" s="42" t="n">
        <v>200</v>
      </c>
      <c r="P1256" s="42" t="n"/>
      <c r="Q1256" s="42" t="n"/>
      <c r="R1256" s="43">
        <f>IF($B1256="","",N($S1256)-N($Q1256))</f>
        <v/>
      </c>
      <c r="S1256" s="43">
        <f>IF($B1256="","",N($L1256)+N($N1256)+N($P1256))</f>
        <v/>
      </c>
      <c r="T1256" s="42" t="n"/>
      <c r="U1256" s="42" t="n"/>
      <c r="V1256" s="42" t="n"/>
      <c r="W1256" s="42" t="n"/>
      <c r="X1256" s="42" t="n"/>
      <c r="Y1256" s="42" t="n"/>
      <c r="Z1256" s="42" t="n"/>
      <c r="AA1256" s="42" t="n"/>
      <c r="AB1256" s="42" t="n"/>
      <c r="AC1256" s="42" t="n"/>
      <c r="AD1256" s="42" t="n"/>
      <c r="AE1256" s="42" t="n"/>
      <c r="AF1256" s="43">
        <f>IF($B1256="","",SUM($T1256:$AE1256))</f>
        <v/>
      </c>
      <c r="AG1256" s="43">
        <f>IF($B1256="","",N($M1256)-N($AF1256))</f>
        <v/>
      </c>
      <c r="AH1256" s="43">
        <f>IF($B1256="","",N($L1256)-N($AF1256))</f>
        <v/>
      </c>
      <c r="AI1256" s="149">
        <f>IF($B1256="","",IF(N($L1256)=0,"",(N($L1256)-N($AF1256))/N($L1256)))</f>
        <v/>
      </c>
    </row>
    <row r="1257">
      <c r="A1257" s="39">
        <f>IF($B1257="","",COUNTA($B$4:$B1257))</f>
        <v/>
      </c>
      <c r="B1257" s="45" t="n">
        <v>46162</v>
      </c>
      <c r="C1257" s="46" t="n">
        <v>3013</v>
      </c>
      <c r="D1257" s="46" t="inlineStr">
        <is>
          <t xml:space="preserve">حماد </t>
        </is>
      </c>
      <c r="E1257" s="46" t="inlineStr">
        <is>
          <t>1*40</t>
        </is>
      </c>
      <c r="F1257" s="46" t="inlineStr">
        <is>
          <t xml:space="preserve">ايقون </t>
        </is>
      </c>
      <c r="G1257" s="46" t="inlineStr">
        <is>
          <t xml:space="preserve">العبور </t>
        </is>
      </c>
      <c r="H1257" s="46" t="inlineStr">
        <is>
          <t>445848/8</t>
        </is>
      </c>
      <c r="I1257" s="46" t="inlineStr">
        <is>
          <t>س ل ب 5719</t>
        </is>
      </c>
      <c r="J1257" s="46" t="inlineStr">
        <is>
          <t xml:space="preserve">مصطفى علاء </t>
        </is>
      </c>
      <c r="K1257" s="46" t="inlineStr">
        <is>
          <t xml:space="preserve">علاء علام </t>
        </is>
      </c>
      <c r="L1257" s="47" t="n">
        <v>15500</v>
      </c>
      <c r="M1257" s="47" t="n">
        <v>8100</v>
      </c>
      <c r="N1257" s="47" t="n"/>
      <c r="O1257" s="47" t="n">
        <v>200</v>
      </c>
      <c r="P1257" s="47" t="n"/>
      <c r="Q1257" s="47" t="n">
        <v>7200</v>
      </c>
      <c r="R1257" s="43">
        <f>IF($B1257="","",N($S1257)-N($Q1257))</f>
        <v/>
      </c>
      <c r="S1257" s="43">
        <f>IF($B1257="","",N($L1257)+N($N1257)+N($P1257))</f>
        <v/>
      </c>
      <c r="T1257" s="47" t="n"/>
      <c r="U1257" s="47" t="n"/>
      <c r="V1257" s="47" t="n"/>
      <c r="W1257" s="47" t="n"/>
      <c r="X1257" s="47" t="n"/>
      <c r="Y1257" s="47" t="n"/>
      <c r="Z1257" s="47" t="n"/>
      <c r="AA1257" s="47" t="n"/>
      <c r="AB1257" s="47" t="n"/>
      <c r="AC1257" s="47" t="n"/>
      <c r="AD1257" s="47" t="n"/>
      <c r="AE1257" s="47" t="n"/>
      <c r="AF1257" s="43">
        <f>IF($B1257="","",SUM($T1257:$AE1257))</f>
        <v/>
      </c>
      <c r="AG1257" s="43">
        <f>IF($B1257="","",N($M1257)-N($AF1257))</f>
        <v/>
      </c>
      <c r="AH1257" s="43">
        <f>IF($B1257="","",N($L1257)-N($AF1257))</f>
        <v/>
      </c>
      <c r="AI1257" s="149">
        <f>IF($B1257="","",IF(N($L1257)=0,"",(N($L1257)-N($AF1257))/N($L1257)))</f>
        <v/>
      </c>
    </row>
    <row r="1258">
      <c r="A1258" s="39">
        <f>IF($B1258="","",COUNTA($B$4:$B1258))</f>
        <v/>
      </c>
      <c r="B1258" s="40" t="n">
        <v>46162</v>
      </c>
      <c r="C1258" s="41" t="n">
        <v>2532</v>
      </c>
      <c r="D1258" s="41" t="inlineStr">
        <is>
          <t xml:space="preserve">استوريا </t>
        </is>
      </c>
      <c r="E1258" s="41" t="inlineStr">
        <is>
          <t>1*20</t>
        </is>
      </c>
      <c r="F1258" s="41" t="inlineStr">
        <is>
          <t xml:space="preserve">نوفارن </t>
        </is>
      </c>
      <c r="G1258" s="41" t="inlineStr">
        <is>
          <t>ابو رواش</t>
        </is>
      </c>
      <c r="H1258" s="41" t="inlineStr">
        <is>
          <t>315062/6</t>
        </is>
      </c>
      <c r="I1258" s="41" t="inlineStr">
        <is>
          <t>س ع ف 4932</t>
        </is>
      </c>
      <c r="J1258" s="41" t="inlineStr">
        <is>
          <t xml:space="preserve">احمد الشريف </t>
        </is>
      </c>
      <c r="K1258" s="41" t="inlineStr">
        <is>
          <t xml:space="preserve">احمد الشريف </t>
        </is>
      </c>
      <c r="L1258" s="42" t="n">
        <v>13000</v>
      </c>
      <c r="M1258" s="42" t="n">
        <v>7100</v>
      </c>
      <c r="N1258" s="42" t="n"/>
      <c r="O1258" s="42" t="n">
        <v>200</v>
      </c>
      <c r="P1258" s="42" t="n"/>
      <c r="Q1258" s="42" t="n"/>
      <c r="R1258" s="43">
        <f>IF($B1258="","",N($S1258)-N($Q1258))</f>
        <v/>
      </c>
      <c r="S1258" s="43">
        <f>IF($B1258="","",N($L1258)+N($N1258)+N($P1258))</f>
        <v/>
      </c>
      <c r="T1258" s="42" t="n"/>
      <c r="U1258" s="42" t="n"/>
      <c r="V1258" s="42" t="n"/>
      <c r="W1258" s="42" t="n"/>
      <c r="X1258" s="42" t="n"/>
      <c r="Y1258" s="42" t="n"/>
      <c r="Z1258" s="42" t="n"/>
      <c r="AA1258" s="42" t="n"/>
      <c r="AB1258" s="42" t="n"/>
      <c r="AC1258" s="42" t="n"/>
      <c r="AD1258" s="42" t="n"/>
      <c r="AE1258" s="42" t="n"/>
      <c r="AF1258" s="43">
        <f>IF($B1258="","",SUM($T1258:$AE1258))</f>
        <v/>
      </c>
      <c r="AG1258" s="43">
        <f>IF($B1258="","",N($M1258)-N($AF1258))</f>
        <v/>
      </c>
      <c r="AH1258" s="43">
        <f>IF($B1258="","",N($L1258)-N($AF1258))</f>
        <v/>
      </c>
      <c r="AI1258" s="149">
        <f>IF($B1258="","",IF(N($L1258)=0,"",(N($L1258)-N($AF1258))/N($L1258)))</f>
        <v/>
      </c>
    </row>
    <row r="1259">
      <c r="A1259" s="39">
        <f>IF($B1259="","",COUNTA($B$4:$B1259))</f>
        <v/>
      </c>
      <c r="B1259" s="45" t="n">
        <v>46162</v>
      </c>
      <c r="C1259" s="46" t="n">
        <v>2921</v>
      </c>
      <c r="D1259" s="46" t="inlineStr">
        <is>
          <t xml:space="preserve">نيصة </t>
        </is>
      </c>
      <c r="E1259" s="46" t="inlineStr">
        <is>
          <t>1*40</t>
        </is>
      </c>
      <c r="F1259" s="46" t="inlineStr">
        <is>
          <t xml:space="preserve">اركانا </t>
        </is>
      </c>
      <c r="G1259" s="46" t="inlineStr">
        <is>
          <t xml:space="preserve">اكتوبر </t>
        </is>
      </c>
      <c r="H1259" s="46" t="inlineStr">
        <is>
          <t>661024/2</t>
        </is>
      </c>
      <c r="I1259" s="46" t="inlineStr">
        <is>
          <t>ب م ا 6173</t>
        </is>
      </c>
      <c r="J1259" s="46" t="inlineStr">
        <is>
          <t xml:space="preserve">محمد فرغلى </t>
        </is>
      </c>
      <c r="K1259" s="46" t="n"/>
      <c r="L1259" s="47" t="n">
        <v>13500</v>
      </c>
      <c r="M1259" s="47" t="n">
        <v>7100</v>
      </c>
      <c r="N1259" s="47" t="n">
        <v>2500</v>
      </c>
      <c r="O1259" s="47" t="n">
        <v>200</v>
      </c>
      <c r="P1259" s="47" t="n"/>
      <c r="Q1259" s="47" t="n">
        <v>3700</v>
      </c>
      <c r="R1259" s="43">
        <f>IF($B1259="","",N($S1259)-N($Q1259))</f>
        <v/>
      </c>
      <c r="S1259" s="43">
        <f>IF($B1259="","",N($L1259)+N($N1259)+N($P1259))</f>
        <v/>
      </c>
      <c r="T1259" s="47" t="n"/>
      <c r="U1259" s="47" t="n"/>
      <c r="V1259" s="47" t="n"/>
      <c r="W1259" s="47" t="n"/>
      <c r="X1259" s="47" t="n"/>
      <c r="Y1259" s="47" t="n"/>
      <c r="Z1259" s="47" t="n"/>
      <c r="AA1259" s="47" t="n"/>
      <c r="AB1259" s="47" t="n"/>
      <c r="AC1259" s="47" t="n"/>
      <c r="AD1259" s="47" t="n"/>
      <c r="AE1259" s="47" t="n"/>
      <c r="AF1259" s="43">
        <f>IF($B1259="","",SUM($T1259:$AE1259))</f>
        <v/>
      </c>
      <c r="AG1259" s="43">
        <f>IF($B1259="","",N($M1259)-N($AF1259))</f>
        <v/>
      </c>
      <c r="AH1259" s="43">
        <f>IF($B1259="","",N($L1259)-N($AF1259))</f>
        <v/>
      </c>
      <c r="AI1259" s="149">
        <f>IF($B1259="","",IF(N($L1259)=0,"",(N($L1259)-N($AF1259))/N($L1259)))</f>
        <v/>
      </c>
    </row>
    <row r="1260">
      <c r="A1260" s="39">
        <f>IF($B1260="","",COUNTA($B$4:$B1260))</f>
        <v/>
      </c>
      <c r="B1260" s="40" t="n">
        <v>46162</v>
      </c>
      <c r="C1260" s="41" t="n">
        <v>3059</v>
      </c>
      <c r="D1260" s="41" t="inlineStr">
        <is>
          <t xml:space="preserve">عتريس مخيمر </t>
        </is>
      </c>
      <c r="E1260" s="41" t="inlineStr">
        <is>
          <t>1*40</t>
        </is>
      </c>
      <c r="F1260" s="41" t="inlineStr">
        <is>
          <t xml:space="preserve">الاكرامى </t>
        </is>
      </c>
      <c r="G1260" s="41" t="inlineStr">
        <is>
          <t xml:space="preserve">العاشر </t>
        </is>
      </c>
      <c r="H1260" s="41" t="inlineStr">
        <is>
          <t>619434/6</t>
        </is>
      </c>
      <c r="I1260" s="41" t="inlineStr">
        <is>
          <t>ب ص ا 2574</t>
        </is>
      </c>
      <c r="J1260" s="41" t="inlineStr">
        <is>
          <t xml:space="preserve">محمد البحيرى </t>
        </is>
      </c>
      <c r="K1260" s="41" t="inlineStr">
        <is>
          <t xml:space="preserve">احمد خليف </t>
        </is>
      </c>
      <c r="L1260" s="42" t="n">
        <v>16000</v>
      </c>
      <c r="M1260" s="42" t="n">
        <v>9100</v>
      </c>
      <c r="N1260" s="42" t="n"/>
      <c r="O1260" s="42" t="n">
        <v>200</v>
      </c>
      <c r="P1260" s="42" t="n"/>
      <c r="Q1260" s="42" t="n"/>
      <c r="R1260" s="43">
        <f>IF($B1260="","",N($S1260)-N($Q1260))</f>
        <v/>
      </c>
      <c r="S1260" s="43">
        <f>IF($B1260="","",N($L1260)+N($N1260)+N($P1260))</f>
        <v/>
      </c>
      <c r="T1260" s="42" t="n"/>
      <c r="U1260" s="42" t="n"/>
      <c r="V1260" s="42" t="n"/>
      <c r="W1260" s="42" t="n"/>
      <c r="X1260" s="42" t="n"/>
      <c r="Y1260" s="42" t="n"/>
      <c r="Z1260" s="42" t="n"/>
      <c r="AA1260" s="42" t="n"/>
      <c r="AB1260" s="42" t="n"/>
      <c r="AC1260" s="42" t="n"/>
      <c r="AD1260" s="42" t="n"/>
      <c r="AE1260" s="42" t="n"/>
      <c r="AF1260" s="43">
        <f>IF($B1260="","",SUM($T1260:$AE1260))</f>
        <v/>
      </c>
      <c r="AG1260" s="43">
        <f>IF($B1260="","",N($M1260)-N($AF1260))</f>
        <v/>
      </c>
      <c r="AH1260" s="43">
        <f>IF($B1260="","",N($L1260)-N($AF1260))</f>
        <v/>
      </c>
      <c r="AI1260" s="149">
        <f>IF($B1260="","",IF(N($L1260)=0,"",(N($L1260)-N($AF1260))/N($L1260)))</f>
        <v/>
      </c>
    </row>
    <row r="1261">
      <c r="A1261" s="39">
        <f>IF($B1261="","",COUNTA($B$4:$B1261))</f>
        <v/>
      </c>
      <c r="B1261" s="45" t="n">
        <v>46162</v>
      </c>
      <c r="C1261" s="46" t="n">
        <v>3054</v>
      </c>
      <c r="D1261" s="46" t="inlineStr">
        <is>
          <t xml:space="preserve">حماد </t>
        </is>
      </c>
      <c r="E1261" s="46" t="inlineStr">
        <is>
          <t>1*40</t>
        </is>
      </c>
      <c r="F1261" s="46" t="inlineStr">
        <is>
          <t xml:space="preserve">نوفارم ميدل ايست </t>
        </is>
      </c>
      <c r="G1261" s="46" t="inlineStr">
        <is>
          <t xml:space="preserve">ابو رواش </t>
        </is>
      </c>
      <c r="H1261" s="46" t="inlineStr">
        <is>
          <t>002239/3</t>
        </is>
      </c>
      <c r="I1261" s="46" t="inlineStr">
        <is>
          <t>س ا ه 8198</t>
        </is>
      </c>
      <c r="J1261" s="46" t="inlineStr">
        <is>
          <t xml:space="preserve">وجية صبور </t>
        </is>
      </c>
      <c r="K1261" s="46" t="inlineStr">
        <is>
          <t xml:space="preserve">علاء علام </t>
        </is>
      </c>
      <c r="L1261" s="47" t="n">
        <v>13500</v>
      </c>
      <c r="M1261" s="47" t="n">
        <v>8100</v>
      </c>
      <c r="N1261" s="47" t="n"/>
      <c r="O1261" s="47" t="n">
        <v>200</v>
      </c>
      <c r="P1261" s="47" t="n"/>
      <c r="Q1261" s="47" t="n">
        <v>5200</v>
      </c>
      <c r="R1261" s="43">
        <f>IF($B1261="","",N($S1261)-N($Q1261))</f>
        <v/>
      </c>
      <c r="S1261" s="43">
        <f>IF($B1261="","",N($L1261)+N($N1261)+N($P1261))</f>
        <v/>
      </c>
      <c r="T1261" s="47" t="n"/>
      <c r="U1261" s="47" t="n"/>
      <c r="V1261" s="47" t="n"/>
      <c r="W1261" s="47" t="n"/>
      <c r="X1261" s="47" t="n"/>
      <c r="Y1261" s="47" t="n"/>
      <c r="Z1261" s="47" t="n"/>
      <c r="AA1261" s="47" t="n"/>
      <c r="AB1261" s="47" t="n"/>
      <c r="AC1261" s="47" t="n"/>
      <c r="AD1261" s="47" t="n"/>
      <c r="AE1261" s="47" t="n"/>
      <c r="AF1261" s="43">
        <f>IF($B1261="","",SUM($T1261:$AE1261))</f>
        <v/>
      </c>
      <c r="AG1261" s="43">
        <f>IF($B1261="","",N($M1261)-N($AF1261))</f>
        <v/>
      </c>
      <c r="AH1261" s="43">
        <f>IF($B1261="","",N($L1261)-N($AF1261))</f>
        <v/>
      </c>
      <c r="AI1261" s="149">
        <f>IF($B1261="","",IF(N($L1261)=0,"",(N($L1261)-N($AF1261))/N($L1261)))</f>
        <v/>
      </c>
    </row>
    <row r="1262">
      <c r="A1262" s="39">
        <f>IF($B1262="","",COUNTA($B$4:$B1262))</f>
        <v/>
      </c>
      <c r="B1262" s="40" t="n">
        <v>46162</v>
      </c>
      <c r="C1262" s="41" t="n">
        <v>3053</v>
      </c>
      <c r="D1262" s="41" t="n"/>
      <c r="E1262" s="41" t="inlineStr">
        <is>
          <t>1*20</t>
        </is>
      </c>
      <c r="F1262" s="41" t="inlineStr">
        <is>
          <t xml:space="preserve">يوروكيم </t>
        </is>
      </c>
      <c r="G1262" s="41" t="inlineStr">
        <is>
          <t xml:space="preserve">شبين الكوم </t>
        </is>
      </c>
      <c r="H1262" s="41" t="inlineStr">
        <is>
          <t>365766/9</t>
        </is>
      </c>
      <c r="I1262" s="41" t="inlineStr">
        <is>
          <t>ب ل ا 8713</t>
        </is>
      </c>
      <c r="J1262" s="41" t="inlineStr">
        <is>
          <t xml:space="preserve">مؤمن محمد </t>
        </is>
      </c>
      <c r="K1262" s="41" t="inlineStr">
        <is>
          <t xml:space="preserve">فلافيو </t>
        </is>
      </c>
      <c r="L1262" s="42" t="n">
        <v>13000</v>
      </c>
      <c r="M1262" s="42" t="n">
        <v>9100</v>
      </c>
      <c r="N1262" s="42" t="n"/>
      <c r="O1262" s="42" t="n">
        <v>200</v>
      </c>
      <c r="P1262" s="42" t="n">
        <v>2500</v>
      </c>
      <c r="Q1262" s="42" t="n">
        <v>6200</v>
      </c>
      <c r="R1262" s="43">
        <f>IF($B1262="","",N($S1262)-N($Q1262))</f>
        <v/>
      </c>
      <c r="S1262" s="43">
        <f>IF($B1262="","",N($L1262)+N($N1262)+N($P1262))</f>
        <v/>
      </c>
      <c r="T1262" s="42" t="n"/>
      <c r="U1262" s="42" t="n"/>
      <c r="V1262" s="42" t="n"/>
      <c r="W1262" s="42" t="n"/>
      <c r="X1262" s="42" t="n"/>
      <c r="Y1262" s="42" t="n"/>
      <c r="Z1262" s="42" t="n"/>
      <c r="AA1262" s="42" t="n"/>
      <c r="AB1262" s="42" t="n"/>
      <c r="AC1262" s="42" t="n"/>
      <c r="AD1262" s="42" t="n"/>
      <c r="AE1262" s="42" t="n"/>
      <c r="AF1262" s="43">
        <f>IF($B1262="","",SUM($T1262:$AE1262))</f>
        <v/>
      </c>
      <c r="AG1262" s="43">
        <f>IF($B1262="","",N($M1262)-N($AF1262))</f>
        <v/>
      </c>
      <c r="AH1262" s="43">
        <f>IF($B1262="","",N($L1262)-N($AF1262))</f>
        <v/>
      </c>
      <c r="AI1262" s="149">
        <f>IF($B1262="","",IF(N($L1262)=0,"",(N($L1262)-N($AF1262))/N($L1262)))</f>
        <v/>
      </c>
    </row>
    <row r="1263">
      <c r="A1263" s="39">
        <f>IF($B1263="","",COUNTA($B$4:$B1263))</f>
        <v/>
      </c>
      <c r="B1263" s="45" t="n">
        <v>46162</v>
      </c>
      <c r="C1263" s="46" t="n">
        <v>3055</v>
      </c>
      <c r="D1263" s="46" t="inlineStr">
        <is>
          <t>صعيدى 5</t>
        </is>
      </c>
      <c r="E1263" s="46" t="inlineStr">
        <is>
          <t>2*20</t>
        </is>
      </c>
      <c r="F1263" s="46" t="inlineStr">
        <is>
          <t xml:space="preserve">يوروكيم </t>
        </is>
      </c>
      <c r="G1263" s="46" t="inlineStr">
        <is>
          <t xml:space="preserve">شبين الكوم </t>
        </is>
      </c>
      <c r="H1263" s="46" t="inlineStr">
        <is>
          <t>285894/8/174440/5</t>
        </is>
      </c>
      <c r="I1263" s="46" t="inlineStr">
        <is>
          <t>س ه ف 1874</t>
        </is>
      </c>
      <c r="J1263" s="46" t="inlineStr">
        <is>
          <t xml:space="preserve">باسم عبد السلام </t>
        </is>
      </c>
      <c r="K1263" s="46" t="inlineStr">
        <is>
          <t xml:space="preserve">محمد الصعيدى </t>
        </is>
      </c>
      <c r="L1263" s="47" t="n">
        <v>16500</v>
      </c>
      <c r="M1263" s="47" t="n">
        <v>9100</v>
      </c>
      <c r="N1263" s="47" t="n"/>
      <c r="O1263" s="47" t="n">
        <v>200</v>
      </c>
      <c r="P1263" s="47" t="n">
        <v>2500</v>
      </c>
      <c r="Q1263" s="47" t="n"/>
      <c r="R1263" s="43">
        <f>IF($B1263="","",N($S1263)-N($Q1263))</f>
        <v/>
      </c>
      <c r="S1263" s="43">
        <f>IF($B1263="","",N($L1263)+N($N1263)+N($P1263))</f>
        <v/>
      </c>
      <c r="T1263" s="47" t="n"/>
      <c r="U1263" s="47" t="n"/>
      <c r="V1263" s="47" t="n"/>
      <c r="W1263" s="47" t="n"/>
      <c r="X1263" s="47" t="n"/>
      <c r="Y1263" s="47" t="n"/>
      <c r="Z1263" s="47" t="n"/>
      <c r="AA1263" s="47" t="n"/>
      <c r="AB1263" s="47" t="n"/>
      <c r="AC1263" s="47" t="n"/>
      <c r="AD1263" s="47" t="n"/>
      <c r="AE1263" s="47" t="n"/>
      <c r="AF1263" s="43">
        <f>IF($B1263="","",SUM($T1263:$AE1263))</f>
        <v/>
      </c>
      <c r="AG1263" s="43">
        <f>IF($B1263="","",N($M1263)-N($AF1263))</f>
        <v/>
      </c>
      <c r="AH1263" s="43">
        <f>IF($B1263="","",N($L1263)-N($AF1263))</f>
        <v/>
      </c>
      <c r="AI1263" s="149">
        <f>IF($B1263="","",IF(N($L1263)=0,"",(N($L1263)-N($AF1263))/N($L1263)))</f>
        <v/>
      </c>
    </row>
    <row r="1264">
      <c r="A1264" s="39">
        <f>IF($B1264="","",COUNTA($B$4:$B1264))</f>
        <v/>
      </c>
      <c r="B1264" s="40" t="n">
        <v>46162</v>
      </c>
      <c r="C1264" s="41" t="n">
        <v>3056</v>
      </c>
      <c r="D1264" s="41" t="inlineStr">
        <is>
          <t>المكتب</t>
        </is>
      </c>
      <c r="E1264" s="41" t="inlineStr">
        <is>
          <t>2*20</t>
        </is>
      </c>
      <c r="F1264" s="41" t="inlineStr">
        <is>
          <t xml:space="preserve">يوروكيم </t>
        </is>
      </c>
      <c r="G1264" s="41" t="inlineStr">
        <is>
          <t xml:space="preserve">شبين الكوم </t>
        </is>
      </c>
      <c r="H1264" s="41" t="inlineStr">
        <is>
          <t>601875/0-202107/6</t>
        </is>
      </c>
      <c r="I1264" s="41" t="inlineStr">
        <is>
          <t>س ع م 8737</t>
        </is>
      </c>
      <c r="J1264" s="41" t="inlineStr">
        <is>
          <t xml:space="preserve">جلال حسنى </t>
        </is>
      </c>
      <c r="K1264" s="41" t="inlineStr">
        <is>
          <t xml:space="preserve">المكتب </t>
        </is>
      </c>
      <c r="L1264" s="42" t="n">
        <v>18500</v>
      </c>
      <c r="M1264" s="42" t="n">
        <v>5100</v>
      </c>
      <c r="N1264" s="42" t="n"/>
      <c r="O1264" s="42" t="n"/>
      <c r="P1264" s="42" t="n">
        <v>2500</v>
      </c>
      <c r="Q1264" s="42" t="n">
        <v>15900</v>
      </c>
      <c r="R1264" s="43">
        <f>IF($B1264="","",N($S1264)-N($Q1264))</f>
        <v/>
      </c>
      <c r="S1264" s="43">
        <f>IF($B1264="","",N($L1264)+N($N1264)+N($P1264))</f>
        <v/>
      </c>
      <c r="T1264" s="42" t="n"/>
      <c r="U1264" s="42" t="n"/>
      <c r="V1264" s="42" t="n"/>
      <c r="W1264" s="42" t="n"/>
      <c r="X1264" s="42" t="n"/>
      <c r="Y1264" s="42" t="n"/>
      <c r="Z1264" s="42" t="n"/>
      <c r="AA1264" s="42" t="n"/>
      <c r="AB1264" s="42" t="n"/>
      <c r="AC1264" s="42" t="n"/>
      <c r="AD1264" s="42" t="n"/>
      <c r="AE1264" s="42" t="n"/>
      <c r="AF1264" s="43">
        <f>IF($B1264="","",SUM($T1264:$AE1264))</f>
        <v/>
      </c>
      <c r="AG1264" s="43">
        <f>IF($B1264="","",N($M1264)-N($AF1264))</f>
        <v/>
      </c>
      <c r="AH1264" s="43">
        <f>IF($B1264="","",N($L1264)-N($AF1264))</f>
        <v/>
      </c>
      <c r="AI1264" s="149">
        <f>IF($B1264="","",IF(N($L1264)=0,"",(N($L1264)-N($AF1264))/N($L1264)))</f>
        <v/>
      </c>
    </row>
    <row r="1265">
      <c r="A1265" s="39">
        <f>IF($B1265="","",COUNTA($B$4:$B1265))</f>
        <v/>
      </c>
      <c r="B1265" s="45" t="n">
        <v>46162</v>
      </c>
      <c r="C1265" s="46" t="n">
        <v>3052</v>
      </c>
      <c r="D1265" s="46" t="inlineStr">
        <is>
          <t>حمادة ذكى</t>
        </is>
      </c>
      <c r="E1265" s="46" t="inlineStr">
        <is>
          <t>1*40</t>
        </is>
      </c>
      <c r="F1265" s="46" t="n"/>
      <c r="G1265" s="46" t="inlineStr">
        <is>
          <t>بنى سويف</t>
        </is>
      </c>
      <c r="H1265" s="46" t="inlineStr">
        <is>
          <t>222996/8</t>
        </is>
      </c>
      <c r="I1265" s="46" t="inlineStr">
        <is>
          <t>س ر ا 9197</t>
        </is>
      </c>
      <c r="J1265" s="46" t="inlineStr">
        <is>
          <t xml:space="preserve">السيد طة </t>
        </is>
      </c>
      <c r="K1265" s="46" t="inlineStr">
        <is>
          <t xml:space="preserve">حمادة ذكى </t>
        </is>
      </c>
      <c r="L1265" s="47" t="n">
        <v>19000</v>
      </c>
      <c r="M1265" s="47" t="n">
        <v>10100</v>
      </c>
      <c r="N1265" s="47" t="n"/>
      <c r="O1265" s="47" t="n">
        <v>200</v>
      </c>
      <c r="P1265" s="47" t="n"/>
      <c r="Q1265" s="47" t="n"/>
      <c r="R1265" s="43">
        <f>IF($B1265="","",N($S1265)-N($Q1265))</f>
        <v/>
      </c>
      <c r="S1265" s="43">
        <f>IF($B1265="","",N($L1265)+N($N1265)+N($P1265))</f>
        <v/>
      </c>
      <c r="T1265" s="47" t="n"/>
      <c r="U1265" s="47" t="n"/>
      <c r="V1265" s="47" t="n"/>
      <c r="W1265" s="47" t="n"/>
      <c r="X1265" s="47" t="n"/>
      <c r="Y1265" s="47" t="n"/>
      <c r="Z1265" s="47" t="n"/>
      <c r="AA1265" s="47" t="n"/>
      <c r="AB1265" s="47" t="n"/>
      <c r="AC1265" s="47" t="n"/>
      <c r="AD1265" s="47" t="n"/>
      <c r="AE1265" s="47" t="n"/>
      <c r="AF1265" s="43">
        <f>IF($B1265="","",SUM($T1265:$AE1265))</f>
        <v/>
      </c>
      <c r="AG1265" s="43">
        <f>IF($B1265="","",N($M1265)-N($AF1265))</f>
        <v/>
      </c>
      <c r="AH1265" s="43">
        <f>IF($B1265="","",N($L1265)-N($AF1265))</f>
        <v/>
      </c>
      <c r="AI1265" s="149">
        <f>IF($B1265="","",IF(N($L1265)=0,"",(N($L1265)-N($AF1265))/N($L1265)))</f>
        <v/>
      </c>
    </row>
    <row r="1266">
      <c r="A1266" s="39">
        <f>IF($B1266="","",COUNTA($B$4:$B1266))</f>
        <v/>
      </c>
      <c r="B1266" s="40" t="n">
        <v>46163</v>
      </c>
      <c r="C1266" s="41" t="n">
        <v>3014</v>
      </c>
      <c r="D1266" s="41" t="inlineStr">
        <is>
          <t xml:space="preserve">نوسكو </t>
        </is>
      </c>
      <c r="E1266" s="41" t="inlineStr">
        <is>
          <t>1*40</t>
        </is>
      </c>
      <c r="F1266" s="41" t="inlineStr">
        <is>
          <t xml:space="preserve">الريعى </t>
        </is>
      </c>
      <c r="G1266" s="41" t="inlineStr">
        <is>
          <t>ابو حماد</t>
        </is>
      </c>
      <c r="H1266" s="41" t="inlineStr">
        <is>
          <t>101969/5</t>
        </is>
      </c>
      <c r="I1266" s="41" t="inlineStr">
        <is>
          <t>س ق ر 1715</t>
        </is>
      </c>
      <c r="J1266" s="41" t="inlineStr">
        <is>
          <t xml:space="preserve">احمد بهاء </t>
        </is>
      </c>
      <c r="K1266" s="41" t="inlineStr">
        <is>
          <t xml:space="preserve">نوسكو </t>
        </is>
      </c>
      <c r="L1266" s="42" t="n">
        <v>17500</v>
      </c>
      <c r="M1266" s="42" t="n">
        <v>9100</v>
      </c>
      <c r="N1266" s="42" t="n"/>
      <c r="O1266" s="42" t="n">
        <v>200</v>
      </c>
      <c r="P1266" s="42" t="n">
        <v>2500</v>
      </c>
      <c r="Q1266" s="42" t="n">
        <v>10700</v>
      </c>
      <c r="R1266" s="43">
        <f>IF($B1266="","",N($S1266)-N($Q1266))</f>
        <v/>
      </c>
      <c r="S1266" s="43">
        <f>IF($B1266="","",N($L1266)+N($N1266)+N($P1266))</f>
        <v/>
      </c>
      <c r="T1266" s="42" t="n"/>
      <c r="U1266" s="42" t="n"/>
      <c r="V1266" s="42" t="n"/>
      <c r="W1266" s="42" t="n"/>
      <c r="X1266" s="42" t="n"/>
      <c r="Y1266" s="42" t="n"/>
      <c r="Z1266" s="42" t="n"/>
      <c r="AA1266" s="42" t="n"/>
      <c r="AB1266" s="42" t="n"/>
      <c r="AC1266" s="42" t="n"/>
      <c r="AD1266" s="42" t="n"/>
      <c r="AE1266" s="42" t="n"/>
      <c r="AF1266" s="43">
        <f>IF($B1266="","",SUM($T1266:$AE1266))</f>
        <v/>
      </c>
      <c r="AG1266" s="43">
        <f>IF($B1266="","",N($M1266)-N($AF1266))</f>
        <v/>
      </c>
      <c r="AH1266" s="43">
        <f>IF($B1266="","",N($L1266)-N($AF1266))</f>
        <v/>
      </c>
      <c r="AI1266" s="149">
        <f>IF($B1266="","",IF(N($L1266)=0,"",(N($L1266)-N($AF1266))/N($L1266)))</f>
        <v/>
      </c>
    </row>
    <row r="1267">
      <c r="A1267" s="39">
        <f>IF($B1267="","",COUNTA($B$4:$B1267))</f>
        <v/>
      </c>
      <c r="B1267" s="45" t="n">
        <v>46163</v>
      </c>
      <c r="C1267" s="46" t="n">
        <v>3015</v>
      </c>
      <c r="D1267" s="46" t="inlineStr">
        <is>
          <t xml:space="preserve">نوسكو </t>
        </is>
      </c>
      <c r="E1267" s="46" t="inlineStr">
        <is>
          <t>1*40</t>
        </is>
      </c>
      <c r="F1267" s="46" t="inlineStr">
        <is>
          <t xml:space="preserve">الريعى </t>
        </is>
      </c>
      <c r="G1267" s="46" t="inlineStr">
        <is>
          <t>ابو حماد</t>
        </is>
      </c>
      <c r="H1267" s="46" t="inlineStr">
        <is>
          <t>670462/0</t>
        </is>
      </c>
      <c r="I1267" s="46" t="inlineStr">
        <is>
          <t>س د ه 1715</t>
        </is>
      </c>
      <c r="J1267" s="46" t="inlineStr">
        <is>
          <t xml:space="preserve">مصطفى فهمى </t>
        </is>
      </c>
      <c r="K1267" s="46" t="inlineStr">
        <is>
          <t xml:space="preserve">نوسكو </t>
        </is>
      </c>
      <c r="L1267" s="47" t="n">
        <v>17500</v>
      </c>
      <c r="M1267" s="47" t="n">
        <v>9100</v>
      </c>
      <c r="N1267" s="47" t="n"/>
      <c r="O1267" s="47" t="n">
        <v>200</v>
      </c>
      <c r="P1267" s="47" t="n"/>
      <c r="Q1267" s="47" t="n"/>
      <c r="R1267" s="43">
        <f>IF($B1267="","",N($S1267)-N($Q1267))</f>
        <v/>
      </c>
      <c r="S1267" s="43">
        <f>IF($B1267="","",N($L1267)+N($N1267)+N($P1267))</f>
        <v/>
      </c>
      <c r="T1267" s="47" t="n"/>
      <c r="U1267" s="47" t="n"/>
      <c r="V1267" s="47" t="n"/>
      <c r="W1267" s="47" t="n"/>
      <c r="X1267" s="47" t="n"/>
      <c r="Y1267" s="47" t="n"/>
      <c r="Z1267" s="47" t="n"/>
      <c r="AA1267" s="47" t="n"/>
      <c r="AB1267" s="47" t="n"/>
      <c r="AC1267" s="47" t="n"/>
      <c r="AD1267" s="47" t="n"/>
      <c r="AE1267" s="47" t="n"/>
      <c r="AF1267" s="43">
        <f>IF($B1267="","",SUM($T1267:$AE1267))</f>
        <v/>
      </c>
      <c r="AG1267" s="43">
        <f>IF($B1267="","",N($M1267)-N($AF1267))</f>
        <v/>
      </c>
      <c r="AH1267" s="43">
        <f>IF($B1267="","",N($L1267)-N($AF1267))</f>
        <v/>
      </c>
      <c r="AI1267" s="149">
        <f>IF($B1267="","",IF(N($L1267)=0,"",(N($L1267)-N($AF1267))/N($L1267)))</f>
        <v/>
      </c>
    </row>
    <row r="1268">
      <c r="A1268" s="39">
        <f>IF($B1268="","",COUNTA($B$4:$B1268))</f>
        <v/>
      </c>
      <c r="B1268" s="40" t="n">
        <v>46163</v>
      </c>
      <c r="C1268" s="41" t="n">
        <v>2922</v>
      </c>
      <c r="D1268" s="41" t="inlineStr">
        <is>
          <t xml:space="preserve">حماد </t>
        </is>
      </c>
      <c r="E1268" s="41" t="inlineStr">
        <is>
          <t>1*40</t>
        </is>
      </c>
      <c r="F1268" s="41" t="inlineStr">
        <is>
          <t>كايروفود</t>
        </is>
      </c>
      <c r="G1268" s="41" t="inlineStr">
        <is>
          <t xml:space="preserve">السادات </t>
        </is>
      </c>
      <c r="H1268" s="41" t="inlineStr">
        <is>
          <t>541009/2</t>
        </is>
      </c>
      <c r="I1268" s="41" t="inlineStr">
        <is>
          <t>س ا ه 8798</t>
        </is>
      </c>
      <c r="J1268" s="41" t="inlineStr">
        <is>
          <t xml:space="preserve">ايمن عبدة </t>
        </is>
      </c>
      <c r="K1268" s="41" t="inlineStr">
        <is>
          <t xml:space="preserve">علاء علام </t>
        </is>
      </c>
      <c r="L1268" s="42" t="n">
        <v>12500</v>
      </c>
      <c r="M1268" s="42" t="n">
        <v>7100</v>
      </c>
      <c r="N1268" s="42" t="n">
        <v>1400</v>
      </c>
      <c r="O1268" s="42" t="n">
        <v>200</v>
      </c>
      <c r="P1268" s="42" t="n"/>
      <c r="Q1268" s="42" t="n">
        <v>3800</v>
      </c>
      <c r="R1268" s="43">
        <f>IF($B1268="","",N($S1268)-N($Q1268))</f>
        <v/>
      </c>
      <c r="S1268" s="43">
        <f>IF($B1268="","",N($L1268)+N($N1268)+N($P1268))</f>
        <v/>
      </c>
      <c r="T1268" s="42" t="n"/>
      <c r="U1268" s="42" t="n"/>
      <c r="V1268" s="42" t="n"/>
      <c r="W1268" s="42" t="n"/>
      <c r="X1268" s="42" t="n"/>
      <c r="Y1268" s="42" t="n"/>
      <c r="Z1268" s="42" t="n"/>
      <c r="AA1268" s="42" t="n"/>
      <c r="AB1268" s="42" t="n"/>
      <c r="AC1268" s="42" t="n"/>
      <c r="AD1268" s="42" t="n"/>
      <c r="AE1268" s="42" t="n"/>
      <c r="AF1268" s="43">
        <f>IF($B1268="","",SUM($T1268:$AE1268))</f>
        <v/>
      </c>
      <c r="AG1268" s="43">
        <f>IF($B1268="","",N($M1268)-N($AF1268))</f>
        <v/>
      </c>
      <c r="AH1268" s="43">
        <f>IF($B1268="","",N($L1268)-N($AF1268))</f>
        <v/>
      </c>
      <c r="AI1268" s="149">
        <f>IF($B1268="","",IF(N($L1268)=0,"",(N($L1268)-N($AF1268))/N($L1268)))</f>
        <v/>
      </c>
    </row>
    <row r="1269">
      <c r="A1269" s="39">
        <f>IF($B1269="","",COUNTA($B$4:$B1269))</f>
        <v/>
      </c>
      <c r="B1269" s="45" t="n">
        <v>46163</v>
      </c>
      <c r="C1269" s="46" t="n">
        <v>2920</v>
      </c>
      <c r="D1269" s="46" t="inlineStr">
        <is>
          <t xml:space="preserve">عتريس مخيمر </t>
        </is>
      </c>
      <c r="E1269" s="46" t="inlineStr">
        <is>
          <t>1*40</t>
        </is>
      </c>
      <c r="F1269" s="46" t="inlineStr">
        <is>
          <t xml:space="preserve">فلامنكو </t>
        </is>
      </c>
      <c r="G1269" s="46" t="inlineStr">
        <is>
          <t xml:space="preserve">جسر السويس </t>
        </is>
      </c>
      <c r="H1269" s="46" t="inlineStr">
        <is>
          <t>400690/8</t>
        </is>
      </c>
      <c r="I1269" s="46" t="inlineStr">
        <is>
          <t>ط ف ر 1474</t>
        </is>
      </c>
      <c r="J1269" s="46" t="inlineStr">
        <is>
          <t xml:space="preserve">جمال على </t>
        </is>
      </c>
      <c r="K1269" s="46" t="inlineStr">
        <is>
          <t xml:space="preserve">كريم خليف </t>
        </is>
      </c>
      <c r="L1269" s="47" t="n">
        <v>19000</v>
      </c>
      <c r="M1269" s="47" t="n">
        <v>9100</v>
      </c>
      <c r="N1269" s="47" t="n"/>
      <c r="O1269" s="47" t="n">
        <v>200</v>
      </c>
      <c r="P1269" s="47" t="n"/>
      <c r="Q1269" s="47" t="n"/>
      <c r="R1269" s="43">
        <f>IF($B1269="","",N($S1269)-N($Q1269))</f>
        <v/>
      </c>
      <c r="S1269" s="43">
        <f>IF($B1269="","",N($L1269)+N($N1269)+N($P1269))</f>
        <v/>
      </c>
      <c r="T1269" s="47" t="n"/>
      <c r="U1269" s="47" t="n"/>
      <c r="V1269" s="47" t="n"/>
      <c r="W1269" s="47" t="n"/>
      <c r="X1269" s="47" t="n"/>
      <c r="Y1269" s="47" t="n"/>
      <c r="Z1269" s="47" t="n"/>
      <c r="AA1269" s="47" t="n"/>
      <c r="AB1269" s="47" t="n"/>
      <c r="AC1269" s="47" t="n"/>
      <c r="AD1269" s="47" t="n"/>
      <c r="AE1269" s="47" t="n"/>
      <c r="AF1269" s="43">
        <f>IF($B1269="","",SUM($T1269:$AE1269))</f>
        <v/>
      </c>
      <c r="AG1269" s="43">
        <f>IF($B1269="","",N($M1269)-N($AF1269))</f>
        <v/>
      </c>
      <c r="AH1269" s="43">
        <f>IF($B1269="","",N($L1269)-N($AF1269))</f>
        <v/>
      </c>
      <c r="AI1269" s="149">
        <f>IF($B1269="","",IF(N($L1269)=0,"",(N($L1269)-N($AF1269))/N($L1269)))</f>
        <v/>
      </c>
    </row>
    <row r="1270">
      <c r="A1270" s="39">
        <f>IF($B1270="","",COUNTA($B$4:$B1270))</f>
        <v/>
      </c>
      <c r="B1270" s="40" t="n">
        <v>46163</v>
      </c>
      <c r="C1270" s="41" t="n">
        <v>2926</v>
      </c>
      <c r="D1270" s="41" t="inlineStr">
        <is>
          <t>محمد مراد</t>
        </is>
      </c>
      <c r="E1270" s="41" t="inlineStr">
        <is>
          <t>1*40</t>
        </is>
      </c>
      <c r="F1270" s="41" t="inlineStr">
        <is>
          <t xml:space="preserve">وادى الرياض </t>
        </is>
      </c>
      <c r="G1270" s="41" t="inlineStr">
        <is>
          <t>الاسماعيليه</t>
        </is>
      </c>
      <c r="H1270" s="41" t="inlineStr">
        <is>
          <t>140286/4</t>
        </is>
      </c>
      <c r="I1270" s="41" t="inlineStr">
        <is>
          <t>ب د ف 7843</t>
        </is>
      </c>
      <c r="J1270" s="41" t="inlineStr">
        <is>
          <t xml:space="preserve">حسام رمضان </t>
        </is>
      </c>
      <c r="K1270" s="41" t="inlineStr">
        <is>
          <t xml:space="preserve">محمد مراد </t>
        </is>
      </c>
      <c r="L1270" s="42" t="n">
        <v>17000</v>
      </c>
      <c r="M1270" s="42" t="n">
        <v>10100</v>
      </c>
      <c r="N1270" s="42" t="n"/>
      <c r="O1270" s="42" t="n"/>
      <c r="P1270" s="42" t="n"/>
      <c r="Q1270" s="42" t="n">
        <v>6900</v>
      </c>
      <c r="R1270" s="43">
        <f>IF($B1270="","",N($S1270)-N($Q1270))</f>
        <v/>
      </c>
      <c r="S1270" s="43">
        <f>IF($B1270="","",N($L1270)+N($N1270)+N($P1270))</f>
        <v/>
      </c>
      <c r="T1270" s="42" t="n"/>
      <c r="U1270" s="42" t="n"/>
      <c r="V1270" s="42" t="n"/>
      <c r="W1270" s="42" t="n"/>
      <c r="X1270" s="42" t="n"/>
      <c r="Y1270" s="42" t="n"/>
      <c r="Z1270" s="42" t="n"/>
      <c r="AA1270" s="42" t="n"/>
      <c r="AB1270" s="42" t="n"/>
      <c r="AC1270" s="42" t="n"/>
      <c r="AD1270" s="42" t="n"/>
      <c r="AE1270" s="42" t="n"/>
      <c r="AF1270" s="43">
        <f>IF($B1270="","",SUM($T1270:$AE1270))</f>
        <v/>
      </c>
      <c r="AG1270" s="43">
        <f>IF($B1270="","",N($M1270)-N($AF1270))</f>
        <v/>
      </c>
      <c r="AH1270" s="43">
        <f>IF($B1270="","",N($L1270)-N($AF1270))</f>
        <v/>
      </c>
      <c r="AI1270" s="149">
        <f>IF($B1270="","",IF(N($L1270)=0,"",(N($L1270)-N($AF1270))/N($L1270)))</f>
        <v/>
      </c>
    </row>
    <row r="1271">
      <c r="A1271" s="39">
        <f>IF($B1271="","",COUNTA($B$4:$B1271))</f>
        <v/>
      </c>
      <c r="B1271" s="45" t="n">
        <v>46163</v>
      </c>
      <c r="C1271" s="46" t="n">
        <v>2927</v>
      </c>
      <c r="D1271" s="46" t="inlineStr">
        <is>
          <t>المكتب</t>
        </is>
      </c>
      <c r="E1271" s="46" t="inlineStr">
        <is>
          <t>1*40</t>
        </is>
      </c>
      <c r="F1271" s="46" t="inlineStr">
        <is>
          <t xml:space="preserve">وادى الرياض </t>
        </is>
      </c>
      <c r="G1271" s="46" t="inlineStr">
        <is>
          <t>الاسماعيليه</t>
        </is>
      </c>
      <c r="H1271" s="46" t="inlineStr">
        <is>
          <t>757547/7</t>
        </is>
      </c>
      <c r="I1271" s="46" t="inlineStr">
        <is>
          <t>س ع م 8737</t>
        </is>
      </c>
      <c r="J1271" s="46" t="inlineStr">
        <is>
          <t xml:space="preserve">جلال حسنى </t>
        </is>
      </c>
      <c r="K1271" s="46" t="inlineStr">
        <is>
          <t xml:space="preserve">المكتب </t>
        </is>
      </c>
      <c r="L1271" s="47" t="n">
        <v>18000</v>
      </c>
      <c r="M1271" s="47" t="n">
        <v>3000</v>
      </c>
      <c r="N1271" s="47" t="n"/>
      <c r="O1271" s="47" t="n"/>
      <c r="P1271" s="47" t="n"/>
      <c r="Q1271" s="47" t="n">
        <v>15000</v>
      </c>
      <c r="R1271" s="43">
        <f>IF($B1271="","",N($S1271)-N($Q1271))</f>
        <v/>
      </c>
      <c r="S1271" s="43">
        <f>IF($B1271="","",N($L1271)+N($N1271)+N($P1271))</f>
        <v/>
      </c>
      <c r="T1271" s="47" t="n"/>
      <c r="U1271" s="47" t="n"/>
      <c r="V1271" s="47" t="n"/>
      <c r="W1271" s="47" t="n"/>
      <c r="X1271" s="47" t="n"/>
      <c r="Y1271" s="47" t="n"/>
      <c r="Z1271" s="47" t="n"/>
      <c r="AA1271" s="47" t="n"/>
      <c r="AB1271" s="47" t="n"/>
      <c r="AC1271" s="47" t="n"/>
      <c r="AD1271" s="47" t="n"/>
      <c r="AE1271" s="47" t="n"/>
      <c r="AF1271" s="43">
        <f>IF($B1271="","",SUM($T1271:$AE1271))</f>
        <v/>
      </c>
      <c r="AG1271" s="43">
        <f>IF($B1271="","",N($M1271)-N($AF1271))</f>
        <v/>
      </c>
      <c r="AH1271" s="43">
        <f>IF($B1271="","",N($L1271)-N($AF1271))</f>
        <v/>
      </c>
      <c r="AI1271" s="149">
        <f>IF($B1271="","",IF(N($L1271)=0,"",(N($L1271)-N($AF1271))/N($L1271)))</f>
        <v/>
      </c>
    </row>
    <row r="1272">
      <c r="A1272" s="39">
        <f>IF($B1272="","",COUNTA($B$4:$B1272))</f>
        <v/>
      </c>
      <c r="B1272" s="40" t="n">
        <v>46163</v>
      </c>
      <c r="C1272" s="41" t="n">
        <v>2928</v>
      </c>
      <c r="D1272" s="41" t="inlineStr">
        <is>
          <t xml:space="preserve">عتريس مخيمر </t>
        </is>
      </c>
      <c r="E1272" s="41" t="inlineStr">
        <is>
          <t>1*40</t>
        </is>
      </c>
      <c r="F1272" s="41" t="inlineStr">
        <is>
          <t xml:space="preserve">وادى الرياض </t>
        </is>
      </c>
      <c r="G1272" s="41" t="inlineStr">
        <is>
          <t>الاسماعيليه</t>
        </is>
      </c>
      <c r="H1272" s="41" t="inlineStr">
        <is>
          <t>572229/7</t>
        </is>
      </c>
      <c r="I1272" s="41" t="inlineStr">
        <is>
          <t>ب ص ا 2574</t>
        </is>
      </c>
      <c r="J1272" s="41" t="inlineStr">
        <is>
          <t xml:space="preserve">محمد البحيرى </t>
        </is>
      </c>
      <c r="K1272" s="41" t="inlineStr">
        <is>
          <t xml:space="preserve">احمد خليف </t>
        </is>
      </c>
      <c r="L1272" s="42" t="n">
        <v>18000</v>
      </c>
      <c r="M1272" s="42" t="n">
        <v>9100</v>
      </c>
      <c r="N1272" s="42" t="n">
        <v>1100</v>
      </c>
      <c r="O1272" s="42" t="n">
        <v>200</v>
      </c>
      <c r="P1272" s="42" t="n"/>
      <c r="Q1272" s="42" t="n"/>
      <c r="R1272" s="43">
        <f>IF($B1272="","",N($S1272)-N($Q1272))</f>
        <v/>
      </c>
      <c r="S1272" s="43">
        <f>IF($B1272="","",N($L1272)+N($N1272)+N($P1272))</f>
        <v/>
      </c>
      <c r="T1272" s="42" t="n"/>
      <c r="U1272" s="42" t="n"/>
      <c r="V1272" s="42" t="n"/>
      <c r="W1272" s="42" t="n"/>
      <c r="X1272" s="42" t="n"/>
      <c r="Y1272" s="42" t="n"/>
      <c r="Z1272" s="42" t="n"/>
      <c r="AA1272" s="42" t="n"/>
      <c r="AB1272" s="42" t="n"/>
      <c r="AC1272" s="42" t="n"/>
      <c r="AD1272" s="42" t="n"/>
      <c r="AE1272" s="42" t="n"/>
      <c r="AF1272" s="43">
        <f>IF($B1272="","",SUM($T1272:$AE1272))</f>
        <v/>
      </c>
      <c r="AG1272" s="43">
        <f>IF($B1272="","",N($M1272)-N($AF1272))</f>
        <v/>
      </c>
      <c r="AH1272" s="43">
        <f>IF($B1272="","",N($L1272)-N($AF1272))</f>
        <v/>
      </c>
      <c r="AI1272" s="149">
        <f>IF($B1272="","",IF(N($L1272)=0,"",(N($L1272)-N($AF1272))/N($L1272)))</f>
        <v/>
      </c>
    </row>
    <row r="1273">
      <c r="A1273" s="39">
        <f>IF($B1273="","",COUNTA($B$4:$B1273))</f>
        <v/>
      </c>
      <c r="B1273" s="45" t="n">
        <v>46163</v>
      </c>
      <c r="C1273" s="46" t="n">
        <v>2925</v>
      </c>
      <c r="D1273" s="46" t="inlineStr">
        <is>
          <t xml:space="preserve">حاتم البحر </t>
        </is>
      </c>
      <c r="E1273" s="46" t="inlineStr">
        <is>
          <t>1*40</t>
        </is>
      </c>
      <c r="F1273" s="46" t="inlineStr">
        <is>
          <t xml:space="preserve">ايجل فون </t>
        </is>
      </c>
      <c r="G1273" s="46" t="inlineStr">
        <is>
          <t xml:space="preserve">السادات </t>
        </is>
      </c>
      <c r="H1273" s="46" t="inlineStr">
        <is>
          <t>636129/0</t>
        </is>
      </c>
      <c r="I1273" s="46" t="inlineStr">
        <is>
          <t>س د س 8918</t>
        </is>
      </c>
      <c r="J1273" s="46" t="inlineStr">
        <is>
          <t xml:space="preserve">عبد القادر محمود </t>
        </is>
      </c>
      <c r="K1273" s="46" t="inlineStr">
        <is>
          <t xml:space="preserve">سعيد قبارى </t>
        </is>
      </c>
      <c r="L1273" s="47" t="n">
        <v>12800</v>
      </c>
      <c r="M1273" s="47" t="n">
        <v>8100</v>
      </c>
      <c r="N1273" s="47" t="n"/>
      <c r="O1273" s="47" t="n">
        <v>200</v>
      </c>
      <c r="P1273" s="47" t="n"/>
      <c r="Q1273" s="47" t="n"/>
      <c r="R1273" s="43">
        <f>IF($B1273="","",N($S1273)-N($Q1273))</f>
        <v/>
      </c>
      <c r="S1273" s="43">
        <f>IF($B1273="","",N($L1273)+N($N1273)+N($P1273))</f>
        <v/>
      </c>
      <c r="T1273" s="47" t="n"/>
      <c r="U1273" s="47" t="n"/>
      <c r="V1273" s="47" t="n"/>
      <c r="W1273" s="47" t="n"/>
      <c r="X1273" s="47" t="n"/>
      <c r="Y1273" s="47" t="n"/>
      <c r="Z1273" s="47" t="n"/>
      <c r="AA1273" s="47" t="n"/>
      <c r="AB1273" s="47" t="n"/>
      <c r="AC1273" s="47" t="n"/>
      <c r="AD1273" s="47" t="n"/>
      <c r="AE1273" s="47" t="n"/>
      <c r="AF1273" s="43">
        <f>IF($B1273="","",SUM($T1273:$AE1273))</f>
        <v/>
      </c>
      <c r="AG1273" s="43">
        <f>IF($B1273="","",N($M1273)-N($AF1273))</f>
        <v/>
      </c>
      <c r="AH1273" s="43">
        <f>IF($B1273="","",N($L1273)-N($AF1273))</f>
        <v/>
      </c>
      <c r="AI1273" s="149">
        <f>IF($B1273="","",IF(N($L1273)=0,"",(N($L1273)-N($AF1273))/N($L1273)))</f>
        <v/>
      </c>
    </row>
    <row r="1274">
      <c r="A1274" s="39">
        <f>IF($B1274="","",COUNTA($B$4:$B1274))</f>
        <v/>
      </c>
      <c r="B1274" s="40" t="n">
        <v>46163</v>
      </c>
      <c r="C1274" s="41" t="n">
        <v>2924</v>
      </c>
      <c r="D1274" s="41" t="inlineStr">
        <is>
          <t xml:space="preserve">اللبانى </t>
        </is>
      </c>
      <c r="E1274" s="41" t="inlineStr">
        <is>
          <t>1*40</t>
        </is>
      </c>
      <c r="F1274" s="41" t="inlineStr">
        <is>
          <t xml:space="preserve">الريعى </t>
        </is>
      </c>
      <c r="G1274" s="41" t="inlineStr">
        <is>
          <t xml:space="preserve">ابو حماد </t>
        </is>
      </c>
      <c r="H1274" s="41" t="inlineStr">
        <is>
          <t>531721/7</t>
        </is>
      </c>
      <c r="I1274" s="41" t="inlineStr">
        <is>
          <t>س ع م 1318</t>
        </is>
      </c>
      <c r="J1274" s="41" t="inlineStr">
        <is>
          <t xml:space="preserve">على السيد </t>
        </is>
      </c>
      <c r="K1274" s="41" t="inlineStr">
        <is>
          <t xml:space="preserve">محمد اللبانى </t>
        </is>
      </c>
      <c r="L1274" s="42" t="n">
        <v>18000</v>
      </c>
      <c r="M1274" s="42" t="n">
        <v>8100</v>
      </c>
      <c r="N1274" s="42" t="n">
        <v>2500</v>
      </c>
      <c r="O1274" s="42" t="n">
        <v>200</v>
      </c>
      <c r="P1274" s="42" t="n"/>
      <c r="Q1274" s="42" t="n">
        <v>7200</v>
      </c>
      <c r="R1274" s="43">
        <f>IF($B1274="","",N($S1274)-N($Q1274))</f>
        <v/>
      </c>
      <c r="S1274" s="43">
        <f>IF($B1274="","",N($L1274)+N($N1274)+N($P1274))</f>
        <v/>
      </c>
      <c r="T1274" s="42" t="n"/>
      <c r="U1274" s="42" t="n"/>
      <c r="V1274" s="42" t="n"/>
      <c r="W1274" s="42" t="n"/>
      <c r="X1274" s="42" t="n"/>
      <c r="Y1274" s="42" t="n"/>
      <c r="Z1274" s="42" t="n"/>
      <c r="AA1274" s="42" t="n"/>
      <c r="AB1274" s="42" t="n"/>
      <c r="AC1274" s="42" t="n"/>
      <c r="AD1274" s="42" t="n"/>
      <c r="AE1274" s="42" t="n"/>
      <c r="AF1274" s="43">
        <f>IF($B1274="","",SUM($T1274:$AE1274))</f>
        <v/>
      </c>
      <c r="AG1274" s="43">
        <f>IF($B1274="","",N($M1274)-N($AF1274))</f>
        <v/>
      </c>
      <c r="AH1274" s="43">
        <f>IF($B1274="","",N($L1274)-N($AF1274))</f>
        <v/>
      </c>
      <c r="AI1274" s="149">
        <f>IF($B1274="","",IF(N($L1274)=0,"",(N($L1274)-N($AF1274))/N($L1274)))</f>
        <v/>
      </c>
    </row>
    <row r="1275">
      <c r="A1275" s="39">
        <f>IF($B1275="","",COUNTA($B$4:$B1275))</f>
        <v/>
      </c>
      <c r="B1275" s="45" t="n">
        <v>46163</v>
      </c>
      <c r="C1275" s="46" t="n">
        <v>2923</v>
      </c>
      <c r="D1275" s="46" t="inlineStr">
        <is>
          <t xml:space="preserve">اللبانى </t>
        </is>
      </c>
      <c r="E1275" s="46" t="inlineStr">
        <is>
          <t>1*40</t>
        </is>
      </c>
      <c r="F1275" s="46" t="inlineStr">
        <is>
          <t xml:space="preserve">موندليز </t>
        </is>
      </c>
      <c r="G1275" s="46" t="inlineStr">
        <is>
          <t xml:space="preserve">العاشر </t>
        </is>
      </c>
      <c r="H1275" s="46" t="inlineStr">
        <is>
          <t>680144/0</t>
        </is>
      </c>
      <c r="I1275" s="46" t="inlineStr">
        <is>
          <t>ف ى ج 8316</t>
        </is>
      </c>
      <c r="J1275" s="46" t="inlineStr">
        <is>
          <t xml:space="preserve">مجدى عزب </t>
        </is>
      </c>
      <c r="K1275" s="46" t="inlineStr">
        <is>
          <t xml:space="preserve">محمد اللبانى </t>
        </is>
      </c>
      <c r="L1275" s="47" t="n">
        <v>16000</v>
      </c>
      <c r="M1275" s="47" t="n">
        <v>8100</v>
      </c>
      <c r="N1275" s="47" t="n">
        <v>2500</v>
      </c>
      <c r="O1275" s="47" t="n">
        <v>200</v>
      </c>
      <c r="P1275" s="47" t="n"/>
      <c r="Q1275" s="47" t="n">
        <v>5200</v>
      </c>
      <c r="R1275" s="43">
        <f>IF($B1275="","",N($S1275)-N($Q1275))</f>
        <v/>
      </c>
      <c r="S1275" s="43">
        <f>IF($B1275="","",N($L1275)+N($N1275)+N($P1275))</f>
        <v/>
      </c>
      <c r="T1275" s="47" t="n"/>
      <c r="U1275" s="47" t="n"/>
      <c r="V1275" s="47" t="n"/>
      <c r="W1275" s="47" t="n"/>
      <c r="X1275" s="47" t="n"/>
      <c r="Y1275" s="47" t="n"/>
      <c r="Z1275" s="47" t="n"/>
      <c r="AA1275" s="47" t="n"/>
      <c r="AB1275" s="47" t="n"/>
      <c r="AC1275" s="47" t="n"/>
      <c r="AD1275" s="47" t="n"/>
      <c r="AE1275" s="47" t="n"/>
      <c r="AF1275" s="43">
        <f>IF($B1275="","",SUM($T1275:$AE1275))</f>
        <v/>
      </c>
      <c r="AG1275" s="43">
        <f>IF($B1275="","",N($M1275)-N($AF1275))</f>
        <v/>
      </c>
      <c r="AH1275" s="43">
        <f>IF($B1275="","",N($L1275)-N($AF1275))</f>
        <v/>
      </c>
      <c r="AI1275" s="149">
        <f>IF($B1275="","",IF(N($L1275)=0,"",(N($L1275)-N($AF1275))/N($L1275)))</f>
        <v/>
      </c>
    </row>
    <row r="1276">
      <c r="A1276" s="39">
        <f>IF($B1276="","",COUNTA($B$4:$B1276))</f>
        <v/>
      </c>
      <c r="B1276" s="40" t="n">
        <v>46163</v>
      </c>
      <c r="C1276" s="41" t="n">
        <v>3058</v>
      </c>
      <c r="D1276" s="41" t="n"/>
      <c r="E1276" s="41" t="inlineStr">
        <is>
          <t>2*20</t>
        </is>
      </c>
      <c r="F1276" s="41" t="inlineStr">
        <is>
          <t xml:space="preserve">اكما </t>
        </is>
      </c>
      <c r="G1276" s="41" t="inlineStr">
        <is>
          <t>بنى سويف</t>
        </is>
      </c>
      <c r="H1276" s="41" t="inlineStr">
        <is>
          <t>071294/9-046557/7</t>
        </is>
      </c>
      <c r="I1276" s="41" t="inlineStr">
        <is>
          <t>م س ع 5298</t>
        </is>
      </c>
      <c r="J1276" s="41" t="inlineStr">
        <is>
          <t xml:space="preserve">احمد السعدنى </t>
        </is>
      </c>
      <c r="K1276" s="41" t="inlineStr">
        <is>
          <t xml:space="preserve">السعدنى </t>
        </is>
      </c>
      <c r="L1276" s="42" t="n">
        <v>25000</v>
      </c>
      <c r="M1276" s="42" t="n">
        <v>15100</v>
      </c>
      <c r="N1276" s="42" t="n"/>
      <c r="O1276" s="42" t="n">
        <v>200</v>
      </c>
      <c r="P1276" s="42" t="n"/>
      <c r="Q1276" s="42" t="n">
        <v>9700</v>
      </c>
      <c r="R1276" s="43">
        <f>IF($B1276="","",N($S1276)-N($Q1276))</f>
        <v/>
      </c>
      <c r="S1276" s="43">
        <f>IF($B1276="","",N($L1276)+N($N1276)+N($P1276))</f>
        <v/>
      </c>
      <c r="T1276" s="42" t="n"/>
      <c r="U1276" s="42" t="n"/>
      <c r="V1276" s="42" t="n"/>
      <c r="W1276" s="42" t="n"/>
      <c r="X1276" s="42" t="n"/>
      <c r="Y1276" s="42" t="n"/>
      <c r="Z1276" s="42" t="n"/>
      <c r="AA1276" s="42" t="n"/>
      <c r="AB1276" s="42" t="n"/>
      <c r="AC1276" s="42" t="n"/>
      <c r="AD1276" s="42" t="n"/>
      <c r="AE1276" s="42" t="n"/>
      <c r="AF1276" s="43">
        <f>IF($B1276="","",SUM($T1276:$AE1276))</f>
        <v/>
      </c>
      <c r="AG1276" s="43">
        <f>IF($B1276="","",N($M1276)-N($AF1276))</f>
        <v/>
      </c>
      <c r="AH1276" s="43">
        <f>IF($B1276="","",N($L1276)-N($AF1276))</f>
        <v/>
      </c>
      <c r="AI1276" s="149">
        <f>IF($B1276="","",IF(N($L1276)=0,"",(N($L1276)-N($AF1276))/N($L1276)))</f>
        <v/>
      </c>
    </row>
    <row r="1277">
      <c r="A1277" s="39">
        <f>IF($B1277="","",COUNTA($B$4:$B1277))</f>
        <v/>
      </c>
      <c r="B1277" s="45" t="n">
        <v>46163</v>
      </c>
      <c r="C1277" s="46" t="n">
        <v>3057</v>
      </c>
      <c r="D1277" s="46" t="n"/>
      <c r="E1277" s="46" t="inlineStr">
        <is>
          <t>2*20</t>
        </is>
      </c>
      <c r="F1277" s="46" t="inlineStr">
        <is>
          <t xml:space="preserve">اكما </t>
        </is>
      </c>
      <c r="G1277" s="46" t="inlineStr">
        <is>
          <t>بنى سويف</t>
        </is>
      </c>
      <c r="H1277" s="46" t="inlineStr">
        <is>
          <t>064273/3-088144/5</t>
        </is>
      </c>
      <c r="I1277" s="46" t="inlineStr">
        <is>
          <t>م د ى 3854</t>
        </is>
      </c>
      <c r="J1277" s="46" t="inlineStr">
        <is>
          <t xml:space="preserve">محمد السعدنى </t>
        </is>
      </c>
      <c r="K1277" s="46" t="inlineStr">
        <is>
          <t xml:space="preserve">السعدنى </t>
        </is>
      </c>
      <c r="L1277" s="47" t="n">
        <v>25000</v>
      </c>
      <c r="M1277" s="47" t="n">
        <v>15100</v>
      </c>
      <c r="N1277" s="47" t="n"/>
      <c r="O1277" s="47" t="n">
        <v>200</v>
      </c>
      <c r="P1277" s="47" t="n"/>
      <c r="Q1277" s="47" t="n">
        <v>9700</v>
      </c>
      <c r="R1277" s="43">
        <f>IF($B1277="","",N($S1277)-N($Q1277))</f>
        <v/>
      </c>
      <c r="S1277" s="43">
        <f>IF($B1277="","",N($L1277)+N($N1277)+N($P1277))</f>
        <v/>
      </c>
      <c r="T1277" s="47" t="n"/>
      <c r="U1277" s="47" t="n"/>
      <c r="V1277" s="47" t="n"/>
      <c r="W1277" s="47" t="n"/>
      <c r="X1277" s="47" t="n"/>
      <c r="Y1277" s="47" t="n"/>
      <c r="Z1277" s="47" t="n"/>
      <c r="AA1277" s="47" t="n"/>
      <c r="AB1277" s="47" t="n"/>
      <c r="AC1277" s="47" t="n"/>
      <c r="AD1277" s="47" t="n"/>
      <c r="AE1277" s="47" t="n"/>
      <c r="AF1277" s="43">
        <f>IF($B1277="","",SUM($T1277:$AE1277))</f>
        <v/>
      </c>
      <c r="AG1277" s="43">
        <f>IF($B1277="","",N($M1277)-N($AF1277))</f>
        <v/>
      </c>
      <c r="AH1277" s="43">
        <f>IF($B1277="","",N($L1277)-N($AF1277))</f>
        <v/>
      </c>
      <c r="AI1277" s="149">
        <f>IF($B1277="","",IF(N($L1277)=0,"",(N($L1277)-N($AF1277))/N($L1277)))</f>
        <v/>
      </c>
    </row>
    <row r="1278">
      <c r="A1278" s="39">
        <f>IF($B1278="","",COUNTA($B$4:$B1278))</f>
        <v/>
      </c>
      <c r="B1278" s="40" t="n">
        <v>46163</v>
      </c>
      <c r="C1278" s="41" t="n">
        <v>3064</v>
      </c>
      <c r="D1278" s="41" t="inlineStr">
        <is>
          <t>اسلام محروس</t>
        </is>
      </c>
      <c r="E1278" s="41" t="inlineStr">
        <is>
          <t>2*20</t>
        </is>
      </c>
      <c r="F1278" s="41" t="inlineStr">
        <is>
          <t xml:space="preserve">اكما </t>
        </is>
      </c>
      <c r="G1278" s="41" t="inlineStr">
        <is>
          <t>بنى سويف</t>
        </is>
      </c>
      <c r="H1278" s="41" t="inlineStr">
        <is>
          <t>140238/6-090125/9</t>
        </is>
      </c>
      <c r="I1278" s="41" t="inlineStr">
        <is>
          <t>ب س ا 2648</t>
        </is>
      </c>
      <c r="J1278" s="41" t="inlineStr">
        <is>
          <t xml:space="preserve">عبدة الصيفى </t>
        </is>
      </c>
      <c r="K1278" s="41" t="inlineStr">
        <is>
          <t xml:space="preserve">الصيفى </t>
        </is>
      </c>
      <c r="L1278" s="42" t="n">
        <v>24000</v>
      </c>
      <c r="M1278" s="42" t="n">
        <v>13100</v>
      </c>
      <c r="N1278" s="42" t="n"/>
      <c r="O1278" s="42" t="n">
        <v>200</v>
      </c>
      <c r="P1278" s="42" t="n"/>
      <c r="Q1278" s="42" t="n">
        <v>10700</v>
      </c>
      <c r="R1278" s="43">
        <f>IF($B1278="","",N($S1278)-N($Q1278))</f>
        <v/>
      </c>
      <c r="S1278" s="43">
        <f>IF($B1278="","",N($L1278)+N($N1278)+N($P1278))</f>
        <v/>
      </c>
      <c r="T1278" s="42" t="n"/>
      <c r="U1278" s="42" t="n"/>
      <c r="V1278" s="42" t="n"/>
      <c r="W1278" s="42" t="n"/>
      <c r="X1278" s="42" t="n"/>
      <c r="Y1278" s="42" t="n"/>
      <c r="Z1278" s="42" t="n"/>
      <c r="AA1278" s="42" t="n"/>
      <c r="AB1278" s="42" t="n"/>
      <c r="AC1278" s="42" t="n"/>
      <c r="AD1278" s="42" t="n"/>
      <c r="AE1278" s="42" t="n"/>
      <c r="AF1278" s="43">
        <f>IF($B1278="","",SUM($T1278:$AE1278))</f>
        <v/>
      </c>
      <c r="AG1278" s="43">
        <f>IF($B1278="","",N($M1278)-N($AF1278))</f>
        <v/>
      </c>
      <c r="AH1278" s="43">
        <f>IF($B1278="","",N($L1278)-N($AF1278))</f>
        <v/>
      </c>
      <c r="AI1278" s="149">
        <f>IF($B1278="","",IF(N($L1278)=0,"",(N($L1278)-N($AF1278))/N($L1278)))</f>
        <v/>
      </c>
    </row>
    <row r="1279">
      <c r="A1279" s="39">
        <f>IF($B1279="","",COUNTA($B$4:$B1279))</f>
        <v/>
      </c>
      <c r="B1279" s="45" t="n">
        <v>46163</v>
      </c>
      <c r="C1279" s="46" t="n">
        <v>3063</v>
      </c>
      <c r="D1279" s="46" t="inlineStr">
        <is>
          <t>الشريف</t>
        </is>
      </c>
      <c r="E1279" s="46" t="inlineStr">
        <is>
          <t>2*20</t>
        </is>
      </c>
      <c r="F1279" s="46" t="inlineStr">
        <is>
          <t xml:space="preserve">اكما </t>
        </is>
      </c>
      <c r="G1279" s="46" t="inlineStr">
        <is>
          <t>بنى سويف</t>
        </is>
      </c>
      <c r="H1279" s="46" t="inlineStr">
        <is>
          <t>260069/7-195221/1</t>
        </is>
      </c>
      <c r="I1279" s="46" t="inlineStr">
        <is>
          <t>ب ج ط 5138</t>
        </is>
      </c>
      <c r="J1279" s="46" t="inlineStr">
        <is>
          <t xml:space="preserve">هانى نبيل </t>
        </is>
      </c>
      <c r="K1279" s="46" t="inlineStr">
        <is>
          <t xml:space="preserve">اشرف الخحجرى </t>
        </is>
      </c>
      <c r="L1279" s="47" t="n">
        <v>24000</v>
      </c>
      <c r="M1279" s="47" t="n">
        <v>13100</v>
      </c>
      <c r="N1279" s="47" t="n"/>
      <c r="O1279" s="47" t="n">
        <v>200</v>
      </c>
      <c r="P1279" s="47" t="n"/>
      <c r="Q1279" s="47" t="n"/>
      <c r="R1279" s="43">
        <f>IF($B1279="","",N($S1279)-N($Q1279))</f>
        <v/>
      </c>
      <c r="S1279" s="43">
        <f>IF($B1279="","",N($L1279)+N($N1279)+N($P1279))</f>
        <v/>
      </c>
      <c r="T1279" s="47" t="n"/>
      <c r="U1279" s="47" t="n"/>
      <c r="V1279" s="47" t="n"/>
      <c r="W1279" s="47" t="n"/>
      <c r="X1279" s="47" t="n"/>
      <c r="Y1279" s="47" t="n"/>
      <c r="Z1279" s="47" t="n"/>
      <c r="AA1279" s="47" t="n"/>
      <c r="AB1279" s="47" t="n"/>
      <c r="AC1279" s="47" t="n"/>
      <c r="AD1279" s="47" t="n"/>
      <c r="AE1279" s="47" t="n"/>
      <c r="AF1279" s="43">
        <f>IF($B1279="","",SUM($T1279:$AE1279))</f>
        <v/>
      </c>
      <c r="AG1279" s="43">
        <f>IF($B1279="","",N($M1279)-N($AF1279))</f>
        <v/>
      </c>
      <c r="AH1279" s="43">
        <f>IF($B1279="","",N($L1279)-N($AF1279))</f>
        <v/>
      </c>
      <c r="AI1279" s="149">
        <f>IF($B1279="","",IF(N($L1279)=0,"",(N($L1279)-N($AF1279))/N($L1279)))</f>
        <v/>
      </c>
    </row>
    <row r="1280">
      <c r="A1280" s="39">
        <f>IF($B1280="","",COUNTA($B$4:$B1280))</f>
        <v/>
      </c>
      <c r="B1280" s="40" t="n">
        <v>46163</v>
      </c>
      <c r="C1280" s="41" t="n">
        <v>3062</v>
      </c>
      <c r="D1280" s="41" t="inlineStr">
        <is>
          <t>الشريف</t>
        </is>
      </c>
      <c r="E1280" s="41" t="inlineStr">
        <is>
          <t>2*20</t>
        </is>
      </c>
      <c r="F1280" s="41" t="inlineStr">
        <is>
          <t xml:space="preserve">اكما </t>
        </is>
      </c>
      <c r="G1280" s="41" t="inlineStr">
        <is>
          <t>بنى سويف</t>
        </is>
      </c>
      <c r="H1280" s="41" t="inlineStr">
        <is>
          <t>313475/5-584165/9</t>
        </is>
      </c>
      <c r="I1280" s="41" t="inlineStr">
        <is>
          <t>ص ع ا 2825</t>
        </is>
      </c>
      <c r="J1280" s="41" t="inlineStr">
        <is>
          <t xml:space="preserve">رامى الميت </t>
        </is>
      </c>
      <c r="K1280" s="41" t="inlineStr">
        <is>
          <t xml:space="preserve">الميت </t>
        </is>
      </c>
      <c r="L1280" s="42" t="n">
        <v>24000</v>
      </c>
      <c r="M1280" s="42" t="n">
        <v>13100</v>
      </c>
      <c r="N1280" s="42" t="n"/>
      <c r="O1280" s="42" t="n">
        <v>200</v>
      </c>
      <c r="P1280" s="42" t="n"/>
      <c r="Q1280" s="42" t="n"/>
      <c r="R1280" s="43">
        <f>IF($B1280="","",N($S1280)-N($Q1280))</f>
        <v/>
      </c>
      <c r="S1280" s="43">
        <f>IF($B1280="","",N($L1280)+N($N1280)+N($P1280))</f>
        <v/>
      </c>
      <c r="T1280" s="42" t="n"/>
      <c r="U1280" s="42" t="n"/>
      <c r="V1280" s="42" t="n"/>
      <c r="W1280" s="42" t="n"/>
      <c r="X1280" s="42" t="n"/>
      <c r="Y1280" s="42" t="n"/>
      <c r="Z1280" s="42" t="n"/>
      <c r="AA1280" s="42" t="n"/>
      <c r="AB1280" s="42" t="n"/>
      <c r="AC1280" s="42" t="n"/>
      <c r="AD1280" s="42" t="n"/>
      <c r="AE1280" s="42" t="n"/>
      <c r="AF1280" s="43">
        <f>IF($B1280="","",SUM($T1280:$AE1280))</f>
        <v/>
      </c>
      <c r="AG1280" s="43">
        <f>IF($B1280="","",N($M1280)-N($AF1280))</f>
        <v/>
      </c>
      <c r="AH1280" s="43">
        <f>IF($B1280="","",N($L1280)-N($AF1280))</f>
        <v/>
      </c>
      <c r="AI1280" s="149">
        <f>IF($B1280="","",IF(N($L1280)=0,"",(N($L1280)-N($AF1280))/N($L1280)))</f>
        <v/>
      </c>
    </row>
    <row r="1281">
      <c r="A1281" s="39">
        <f>IF($B1281="","",COUNTA($B$4:$B1281))</f>
        <v/>
      </c>
      <c r="B1281" s="45" t="n">
        <v>46163</v>
      </c>
      <c r="C1281" s="46" t="n">
        <v>3061</v>
      </c>
      <c r="D1281" s="46" t="inlineStr">
        <is>
          <t>الشريف</t>
        </is>
      </c>
      <c r="E1281" s="46" t="inlineStr">
        <is>
          <t>2*20</t>
        </is>
      </c>
      <c r="F1281" s="46" t="inlineStr">
        <is>
          <t xml:space="preserve">اكما </t>
        </is>
      </c>
      <c r="G1281" s="46" t="inlineStr">
        <is>
          <t>بنى سويف</t>
        </is>
      </c>
      <c r="H1281" s="46" t="inlineStr">
        <is>
          <t>111240/8-076759/1</t>
        </is>
      </c>
      <c r="I1281" s="46" t="inlineStr">
        <is>
          <t>ب ب ا 9425</t>
        </is>
      </c>
      <c r="J1281" s="46" t="inlineStr">
        <is>
          <t xml:space="preserve">احمد الصيفى </t>
        </is>
      </c>
      <c r="K1281" s="46" t="inlineStr">
        <is>
          <t xml:space="preserve">الصيفى </t>
        </is>
      </c>
      <c r="L1281" s="47" t="n">
        <v>24000</v>
      </c>
      <c r="M1281" s="47" t="n">
        <v>13100</v>
      </c>
      <c r="N1281" s="47" t="n"/>
      <c r="O1281" s="47" t="n">
        <v>200</v>
      </c>
      <c r="P1281" s="47" t="n"/>
      <c r="Q1281" s="47" t="n"/>
      <c r="R1281" s="43">
        <f>IF($B1281="","",N($S1281)-N($Q1281))</f>
        <v/>
      </c>
      <c r="S1281" s="43">
        <f>IF($B1281="","",N($L1281)+N($N1281)+N($P1281))</f>
        <v/>
      </c>
      <c r="T1281" s="47" t="n"/>
      <c r="U1281" s="47" t="n"/>
      <c r="V1281" s="47" t="n"/>
      <c r="W1281" s="47" t="n"/>
      <c r="X1281" s="47" t="n"/>
      <c r="Y1281" s="47" t="n"/>
      <c r="Z1281" s="47" t="n"/>
      <c r="AA1281" s="47" t="n"/>
      <c r="AB1281" s="47" t="n"/>
      <c r="AC1281" s="47" t="n"/>
      <c r="AD1281" s="47" t="n"/>
      <c r="AE1281" s="47" t="n"/>
      <c r="AF1281" s="43">
        <f>IF($B1281="","",SUM($T1281:$AE1281))</f>
        <v/>
      </c>
      <c r="AG1281" s="43">
        <f>IF($B1281="","",N($M1281)-N($AF1281))</f>
        <v/>
      </c>
      <c r="AH1281" s="43">
        <f>IF($B1281="","",N($L1281)-N($AF1281))</f>
        <v/>
      </c>
      <c r="AI1281" s="149">
        <f>IF($B1281="","",IF(N($L1281)=0,"",(N($L1281)-N($AF1281))/N($L1281)))</f>
        <v/>
      </c>
    </row>
    <row r="1282">
      <c r="A1282" s="39">
        <f>IF($B1282="","",COUNTA($B$4:$B1282))</f>
        <v/>
      </c>
      <c r="B1282" s="40" t="n">
        <v>46163</v>
      </c>
      <c r="C1282" s="41" t="n">
        <v>3060</v>
      </c>
      <c r="D1282" s="41" t="inlineStr">
        <is>
          <t>الشريف</t>
        </is>
      </c>
      <c r="E1282" s="41" t="inlineStr">
        <is>
          <t>2*20</t>
        </is>
      </c>
      <c r="F1282" s="41" t="inlineStr">
        <is>
          <t xml:space="preserve">اكما </t>
        </is>
      </c>
      <c r="G1282" s="41" t="inlineStr">
        <is>
          <t>بنى سويف</t>
        </is>
      </c>
      <c r="H1282" s="41" t="inlineStr">
        <is>
          <t>329428/6-192149/7</t>
        </is>
      </c>
      <c r="I1282" s="41" t="inlineStr">
        <is>
          <t>ب س ا 7385</t>
        </is>
      </c>
      <c r="J1282" s="41" t="inlineStr">
        <is>
          <t xml:space="preserve">محمد ابو ادم </t>
        </is>
      </c>
      <c r="K1282" s="41" t="inlineStr">
        <is>
          <t xml:space="preserve">ابو ادم </t>
        </is>
      </c>
      <c r="L1282" s="42" t="n">
        <v>24000</v>
      </c>
      <c r="M1282" s="42" t="n">
        <v>13100</v>
      </c>
      <c r="N1282" s="42" t="n"/>
      <c r="O1282" s="42" t="n">
        <v>200</v>
      </c>
      <c r="P1282" s="42" t="n"/>
      <c r="Q1282" s="42" t="n"/>
      <c r="R1282" s="43">
        <f>IF($B1282="","",N($S1282)-N($Q1282))</f>
        <v/>
      </c>
      <c r="S1282" s="43">
        <f>IF($B1282="","",N($L1282)+N($N1282)+N($P1282))</f>
        <v/>
      </c>
      <c r="T1282" s="42" t="n"/>
      <c r="U1282" s="42" t="n"/>
      <c r="V1282" s="42" t="n"/>
      <c r="W1282" s="42" t="n"/>
      <c r="X1282" s="42" t="n"/>
      <c r="Y1282" s="42" t="n"/>
      <c r="Z1282" s="42" t="n"/>
      <c r="AA1282" s="42" t="n"/>
      <c r="AB1282" s="42" t="n"/>
      <c r="AC1282" s="42" t="n"/>
      <c r="AD1282" s="42" t="n"/>
      <c r="AE1282" s="42" t="n"/>
      <c r="AF1282" s="43">
        <f>IF($B1282="","",SUM($T1282:$AE1282))</f>
        <v/>
      </c>
      <c r="AG1282" s="43">
        <f>IF($B1282="","",N($M1282)-N($AF1282))</f>
        <v/>
      </c>
      <c r="AH1282" s="43">
        <f>IF($B1282="","",N($L1282)-N($AF1282))</f>
        <v/>
      </c>
      <c r="AI1282" s="149">
        <f>IF($B1282="","",IF(N($L1282)=0,"",(N($L1282)-N($AF1282))/N($L1282)))</f>
        <v/>
      </c>
    </row>
    <row r="1283">
      <c r="A1283" s="39">
        <f>IF($B1283="","",COUNTA($B$4:$B1283))</f>
        <v/>
      </c>
      <c r="B1283" s="45" t="n">
        <v>46165</v>
      </c>
      <c r="C1283" s="46" t="n">
        <v>2535</v>
      </c>
      <c r="D1283" s="46" t="inlineStr">
        <is>
          <t xml:space="preserve">احمد عبدو </t>
        </is>
      </c>
      <c r="E1283" s="46" t="inlineStr">
        <is>
          <t>2*20</t>
        </is>
      </c>
      <c r="F1283" s="46" t="inlineStr">
        <is>
          <t xml:space="preserve">اكما </t>
        </is>
      </c>
      <c r="G1283" s="46" t="inlineStr">
        <is>
          <t>بنى سويف</t>
        </is>
      </c>
      <c r="H1283" s="46" t="inlineStr">
        <is>
          <t>185313/0-233457/1</t>
        </is>
      </c>
      <c r="I1283" s="46" t="inlineStr">
        <is>
          <t>ق ه ر 1538</t>
        </is>
      </c>
      <c r="J1283" s="46" t="inlineStr">
        <is>
          <t xml:space="preserve">ايمن عبد الجواد </t>
        </is>
      </c>
      <c r="K1283" s="46" t="inlineStr">
        <is>
          <t xml:space="preserve">عبد الجواد </t>
        </is>
      </c>
      <c r="L1283" s="47" t="n">
        <v>25000</v>
      </c>
      <c r="M1283" s="47" t="n">
        <v>10100</v>
      </c>
      <c r="N1283" s="47" t="n"/>
      <c r="O1283" s="47" t="n">
        <v>200</v>
      </c>
      <c r="P1283" s="47" t="n"/>
      <c r="Q1283" s="47" t="n">
        <v>14700</v>
      </c>
      <c r="R1283" s="43">
        <f>IF($B1283="","",N($S1283)-N($Q1283))</f>
        <v/>
      </c>
      <c r="S1283" s="43">
        <f>IF($B1283="","",N($L1283)+N($N1283)+N($P1283))</f>
        <v/>
      </c>
      <c r="T1283" s="47" t="n"/>
      <c r="U1283" s="47" t="n"/>
      <c r="V1283" s="47" t="n"/>
      <c r="W1283" s="47" t="n"/>
      <c r="X1283" s="47" t="n"/>
      <c r="Y1283" s="47" t="n"/>
      <c r="Z1283" s="47" t="n"/>
      <c r="AA1283" s="47" t="n"/>
      <c r="AB1283" s="47" t="n"/>
      <c r="AC1283" s="47" t="n"/>
      <c r="AD1283" s="47" t="n"/>
      <c r="AE1283" s="47" t="n"/>
      <c r="AF1283" s="43">
        <f>IF($B1283="","",SUM($T1283:$AE1283))</f>
        <v/>
      </c>
      <c r="AG1283" s="43">
        <f>IF($B1283="","",N($M1283)-N($AF1283))</f>
        <v/>
      </c>
      <c r="AH1283" s="43">
        <f>IF($B1283="","",N($L1283)-N($AF1283))</f>
        <v/>
      </c>
      <c r="AI1283" s="149">
        <f>IF($B1283="","",IF(N($L1283)=0,"",(N($L1283)-N($AF1283))/N($L1283)))</f>
        <v/>
      </c>
    </row>
    <row r="1284">
      <c r="A1284" s="39">
        <f>IF($B1284="","",COUNTA($B$4:$B1284))</f>
        <v/>
      </c>
      <c r="B1284" s="40" t="n">
        <v>46165</v>
      </c>
      <c r="C1284" s="41" t="n">
        <v>3069</v>
      </c>
      <c r="D1284" s="41" t="n"/>
      <c r="E1284" s="41" t="inlineStr">
        <is>
          <t>1*40</t>
        </is>
      </c>
      <c r="F1284" s="41" t="inlineStr">
        <is>
          <t xml:space="preserve">هالة مهدى </t>
        </is>
      </c>
      <c r="G1284" s="41" t="inlineStr">
        <is>
          <t xml:space="preserve">محرم بك </t>
        </is>
      </c>
      <c r="H1284" s="41" t="inlineStr">
        <is>
          <t>740850/2</t>
        </is>
      </c>
      <c r="I1284" s="41" t="inlineStr">
        <is>
          <t>س ع ن 1241</t>
        </is>
      </c>
      <c r="J1284" s="41" t="inlineStr">
        <is>
          <t xml:space="preserve">محمد عبد الحكيم </t>
        </is>
      </c>
      <c r="K1284" s="41" t="inlineStr">
        <is>
          <t xml:space="preserve">ابراهيم ابو طالب </t>
        </is>
      </c>
      <c r="L1284" s="42" t="n">
        <v>6000</v>
      </c>
      <c r="M1284" s="42" t="n">
        <v>2100</v>
      </c>
      <c r="N1284" s="42" t="n"/>
      <c r="O1284" s="42" t="n"/>
      <c r="P1284" s="42" t="n"/>
      <c r="Q1284" s="42" t="n">
        <v>3900</v>
      </c>
      <c r="R1284" s="43">
        <f>IF($B1284="","",N($S1284)-N($Q1284))</f>
        <v/>
      </c>
      <c r="S1284" s="43">
        <f>IF($B1284="","",N($L1284)+N($N1284)+N($P1284))</f>
        <v/>
      </c>
      <c r="T1284" s="42" t="n"/>
      <c r="U1284" s="42" t="n"/>
      <c r="V1284" s="42" t="n"/>
      <c r="W1284" s="42" t="n"/>
      <c r="X1284" s="42" t="n"/>
      <c r="Y1284" s="42" t="n"/>
      <c r="Z1284" s="42" t="n"/>
      <c r="AA1284" s="42" t="n"/>
      <c r="AB1284" s="42" t="n"/>
      <c r="AC1284" s="42" t="n"/>
      <c r="AD1284" s="42" t="n"/>
      <c r="AE1284" s="42" t="n"/>
      <c r="AF1284" s="43">
        <f>IF($B1284="","",SUM($T1284:$AE1284))</f>
        <v/>
      </c>
      <c r="AG1284" s="43">
        <f>IF($B1284="","",N($M1284)-N($AF1284))</f>
        <v/>
      </c>
      <c r="AH1284" s="43">
        <f>IF($B1284="","",N($L1284)-N($AF1284))</f>
        <v/>
      </c>
      <c r="AI1284" s="149">
        <f>IF($B1284="","",IF(N($L1284)=0,"",(N($L1284)-N($AF1284))/N($L1284)))</f>
        <v/>
      </c>
    </row>
    <row r="1285">
      <c r="A1285" s="39">
        <f>IF($B1285="","",COUNTA($B$4:$B1285))</f>
        <v/>
      </c>
      <c r="B1285" s="45" t="n">
        <v>46165</v>
      </c>
      <c r="C1285" s="46" t="n">
        <v>3066</v>
      </c>
      <c r="D1285" s="46" t="n"/>
      <c r="E1285" s="46" t="inlineStr">
        <is>
          <t>1*40</t>
        </is>
      </c>
      <c r="F1285" s="46" t="inlineStr">
        <is>
          <t xml:space="preserve">هالة مهدى </t>
        </is>
      </c>
      <c r="G1285" s="46" t="inlineStr">
        <is>
          <t xml:space="preserve">محرم بك </t>
        </is>
      </c>
      <c r="H1285" s="46" t="inlineStr">
        <is>
          <t>723222/8</t>
        </is>
      </c>
      <c r="I1285" s="46" t="inlineStr">
        <is>
          <t>س ق ر 3889</t>
        </is>
      </c>
      <c r="J1285" s="46" t="inlineStr">
        <is>
          <t xml:space="preserve">خميس لسيد </t>
        </is>
      </c>
      <c r="K1285" s="46" t="inlineStr">
        <is>
          <t xml:space="preserve">السيد رزق </t>
        </is>
      </c>
      <c r="L1285" s="47" t="n">
        <v>9000</v>
      </c>
      <c r="M1285" s="47" t="n">
        <v>7100</v>
      </c>
      <c r="N1285" s="47" t="n"/>
      <c r="O1285" s="47" t="n"/>
      <c r="P1285" s="47" t="n"/>
      <c r="Q1285" s="47" t="n">
        <v>1900</v>
      </c>
      <c r="R1285" s="43">
        <f>IF($B1285="","",N($S1285)-N($Q1285))</f>
        <v/>
      </c>
      <c r="S1285" s="43">
        <f>IF($B1285="","",N($L1285)+N($N1285)+N($P1285))</f>
        <v/>
      </c>
      <c r="T1285" s="47" t="n"/>
      <c r="U1285" s="47" t="n"/>
      <c r="V1285" s="47" t="n"/>
      <c r="W1285" s="47" t="n"/>
      <c r="X1285" s="47" t="n"/>
      <c r="Y1285" s="47" t="n"/>
      <c r="Z1285" s="47" t="n"/>
      <c r="AA1285" s="47" t="n"/>
      <c r="AB1285" s="47" t="n"/>
      <c r="AC1285" s="47" t="n"/>
      <c r="AD1285" s="47" t="n"/>
      <c r="AE1285" s="47" t="n"/>
      <c r="AF1285" s="43">
        <f>IF($B1285="","",SUM($T1285:$AE1285))</f>
        <v/>
      </c>
      <c r="AG1285" s="43">
        <f>IF($B1285="","",N($M1285)-N($AF1285))</f>
        <v/>
      </c>
      <c r="AH1285" s="43">
        <f>IF($B1285="","",N($L1285)-N($AF1285))</f>
        <v/>
      </c>
      <c r="AI1285" s="149">
        <f>IF($B1285="","",IF(N($L1285)=0,"",(N($L1285)-N($AF1285))/N($L1285)))</f>
        <v/>
      </c>
    </row>
    <row r="1286">
      <c r="A1286" s="39">
        <f>IF($B1286="","",COUNTA($B$4:$B1286))</f>
        <v/>
      </c>
      <c r="B1286" s="40" t="n">
        <v>46165</v>
      </c>
      <c r="C1286" s="41" t="n">
        <v>3065</v>
      </c>
      <c r="D1286" s="41" t="inlineStr">
        <is>
          <t xml:space="preserve">حماد </t>
        </is>
      </c>
      <c r="E1286" s="41" t="inlineStr">
        <is>
          <t>1*40</t>
        </is>
      </c>
      <c r="F1286" s="41" t="inlineStr">
        <is>
          <t xml:space="preserve">الكرنك </t>
        </is>
      </c>
      <c r="G1286" s="41" t="inlineStr">
        <is>
          <t>الاسماعيليه</t>
        </is>
      </c>
      <c r="H1286" s="41" t="inlineStr">
        <is>
          <t>580996/4</t>
        </is>
      </c>
      <c r="I1286" s="41" t="inlineStr">
        <is>
          <t>س ل ب 5917</t>
        </is>
      </c>
      <c r="J1286" s="41" t="inlineStr">
        <is>
          <t xml:space="preserve">هشام محمد </t>
        </is>
      </c>
      <c r="K1286" s="41" t="inlineStr">
        <is>
          <t xml:space="preserve">علاء علام </t>
        </is>
      </c>
      <c r="L1286" s="42" t="n">
        <v>18000</v>
      </c>
      <c r="M1286" s="42" t="n">
        <v>10100</v>
      </c>
      <c r="N1286" s="42" t="n"/>
      <c r="O1286" s="42" t="n">
        <v>200</v>
      </c>
      <c r="P1286" s="42" t="n"/>
      <c r="Q1286" s="42" t="n">
        <v>7700</v>
      </c>
      <c r="R1286" s="43">
        <f>IF($B1286="","",N($S1286)-N($Q1286))</f>
        <v/>
      </c>
      <c r="S1286" s="43">
        <f>IF($B1286="","",N($L1286)+N($N1286)+N($P1286))</f>
        <v/>
      </c>
      <c r="T1286" s="42" t="n"/>
      <c r="U1286" s="42" t="n"/>
      <c r="V1286" s="42" t="n"/>
      <c r="W1286" s="42" t="n"/>
      <c r="X1286" s="42" t="n"/>
      <c r="Y1286" s="42" t="n"/>
      <c r="Z1286" s="42" t="n"/>
      <c r="AA1286" s="42" t="n"/>
      <c r="AB1286" s="42" t="n"/>
      <c r="AC1286" s="42" t="n"/>
      <c r="AD1286" s="42" t="n"/>
      <c r="AE1286" s="42" t="n"/>
      <c r="AF1286" s="43">
        <f>IF($B1286="","",SUM($T1286:$AE1286))</f>
        <v/>
      </c>
      <c r="AG1286" s="43">
        <f>IF($B1286="","",N($M1286)-N($AF1286))</f>
        <v/>
      </c>
      <c r="AH1286" s="43">
        <f>IF($B1286="","",N($L1286)-N($AF1286))</f>
        <v/>
      </c>
      <c r="AI1286" s="149">
        <f>IF($B1286="","",IF(N($L1286)=0,"",(N($L1286)-N($AF1286))/N($L1286)))</f>
        <v/>
      </c>
    </row>
    <row r="1287">
      <c r="A1287" s="39">
        <f>IF($B1287="","",COUNTA($B$4:$B1287))</f>
        <v/>
      </c>
      <c r="B1287" s="45" t="n">
        <v>46165</v>
      </c>
      <c r="C1287" s="46" t="n">
        <v>3068</v>
      </c>
      <c r="D1287" s="46" t="inlineStr">
        <is>
          <t xml:space="preserve">عتريس مخيمر </t>
        </is>
      </c>
      <c r="E1287" s="46" t="inlineStr">
        <is>
          <t>1*40</t>
        </is>
      </c>
      <c r="F1287" s="46" t="inlineStr">
        <is>
          <t xml:space="preserve">الكرنك </t>
        </is>
      </c>
      <c r="G1287" s="46" t="inlineStr">
        <is>
          <t>الاسماعيليه</t>
        </is>
      </c>
      <c r="H1287" s="46" t="inlineStr">
        <is>
          <t>501908/9</t>
        </is>
      </c>
      <c r="I1287" s="46" t="inlineStr">
        <is>
          <t>ب ص ا 2574</t>
        </is>
      </c>
      <c r="J1287" s="46" t="inlineStr">
        <is>
          <t xml:space="preserve">محمد البحيرى </t>
        </is>
      </c>
      <c r="K1287" s="46" t="inlineStr">
        <is>
          <t xml:space="preserve">احمد خليف </t>
        </is>
      </c>
      <c r="L1287" s="47" t="n">
        <v>18000</v>
      </c>
      <c r="M1287" s="47" t="n">
        <v>10100</v>
      </c>
      <c r="N1287" s="47" t="n"/>
      <c r="O1287" s="47" t="n">
        <v>200</v>
      </c>
      <c r="P1287" s="47" t="n"/>
      <c r="Q1287" s="47" t="n"/>
      <c r="R1287" s="43">
        <f>IF($B1287="","",N($S1287)-N($Q1287))</f>
        <v/>
      </c>
      <c r="S1287" s="43">
        <f>IF($B1287="","",N($L1287)+N($N1287)+N($P1287))</f>
        <v/>
      </c>
      <c r="T1287" s="47" t="n"/>
      <c r="U1287" s="47" t="n"/>
      <c r="V1287" s="47" t="n"/>
      <c r="W1287" s="47" t="n"/>
      <c r="X1287" s="47" t="n"/>
      <c r="Y1287" s="47" t="n"/>
      <c r="Z1287" s="47" t="n"/>
      <c r="AA1287" s="47" t="n"/>
      <c r="AB1287" s="47" t="n"/>
      <c r="AC1287" s="47" t="n"/>
      <c r="AD1287" s="47" t="n"/>
      <c r="AE1287" s="47" t="n"/>
      <c r="AF1287" s="43">
        <f>IF($B1287="","",SUM($T1287:$AE1287))</f>
        <v/>
      </c>
      <c r="AG1287" s="43">
        <f>IF($B1287="","",N($M1287)-N($AF1287))</f>
        <v/>
      </c>
      <c r="AH1287" s="43">
        <f>IF($B1287="","",N($L1287)-N($AF1287))</f>
        <v/>
      </c>
      <c r="AI1287" s="149">
        <f>IF($B1287="","",IF(N($L1287)=0,"",(N($L1287)-N($AF1287))/N($L1287)))</f>
        <v/>
      </c>
    </row>
    <row r="1288">
      <c r="A1288" s="39">
        <f>IF($B1288="","",COUNTA($B$4:$B1288))</f>
        <v/>
      </c>
      <c r="B1288" s="40" t="n">
        <v>46165</v>
      </c>
      <c r="C1288" s="41" t="n">
        <v>3067</v>
      </c>
      <c r="D1288" s="41" t="inlineStr">
        <is>
          <t>المكتب</t>
        </is>
      </c>
      <c r="E1288" s="41" t="inlineStr">
        <is>
          <t>1*40</t>
        </is>
      </c>
      <c r="F1288" s="41" t="inlineStr">
        <is>
          <t xml:space="preserve">اروماتك </t>
        </is>
      </c>
      <c r="G1288" s="41" t="inlineStr">
        <is>
          <t>بنى سويف</t>
        </is>
      </c>
      <c r="H1288" s="41" t="inlineStr">
        <is>
          <t>516083/9</t>
        </is>
      </c>
      <c r="I1288" s="41" t="inlineStr">
        <is>
          <t>س ع م 8737</t>
        </is>
      </c>
      <c r="J1288" s="41" t="inlineStr">
        <is>
          <t xml:space="preserve">جلال حسنى </t>
        </is>
      </c>
      <c r="K1288" s="41" t="inlineStr">
        <is>
          <t xml:space="preserve">المكتب </t>
        </is>
      </c>
      <c r="L1288" s="42" t="n">
        <v>20000</v>
      </c>
      <c r="M1288" s="42" t="n">
        <v>5100</v>
      </c>
      <c r="N1288" s="42" t="n"/>
      <c r="O1288" s="42" t="n"/>
      <c r="P1288" s="42" t="n"/>
      <c r="Q1288" s="42" t="n">
        <v>14900</v>
      </c>
      <c r="R1288" s="43">
        <f>IF($B1288="","",N($S1288)-N($Q1288))</f>
        <v/>
      </c>
      <c r="S1288" s="43">
        <f>IF($B1288="","",N($L1288)+N($N1288)+N($P1288))</f>
        <v/>
      </c>
      <c r="T1288" s="42" t="n"/>
      <c r="U1288" s="42" t="n"/>
      <c r="V1288" s="42" t="n"/>
      <c r="W1288" s="42" t="n"/>
      <c r="X1288" s="42" t="n"/>
      <c r="Y1288" s="42" t="n"/>
      <c r="Z1288" s="42" t="n"/>
      <c r="AA1288" s="42" t="n"/>
      <c r="AB1288" s="42" t="n"/>
      <c r="AC1288" s="42" t="n"/>
      <c r="AD1288" s="42" t="n"/>
      <c r="AE1288" s="42" t="n"/>
      <c r="AF1288" s="43">
        <f>IF($B1288="","",SUM($T1288:$AE1288))</f>
        <v/>
      </c>
      <c r="AG1288" s="43">
        <f>IF($B1288="","",N($M1288)-N($AF1288))</f>
        <v/>
      </c>
      <c r="AH1288" s="43">
        <f>IF($B1288="","",N($L1288)-N($AF1288))</f>
        <v/>
      </c>
      <c r="AI1288" s="149">
        <f>IF($B1288="","",IF(N($L1288)=0,"",(N($L1288)-N($AF1288))/N($L1288)))</f>
        <v/>
      </c>
    </row>
    <row r="1289">
      <c r="A1289" s="39">
        <f>IF($B1289="","",COUNTA($B$4:$B1289))</f>
        <v/>
      </c>
      <c r="B1289" s="45" t="n">
        <v>46165</v>
      </c>
      <c r="C1289" s="46" t="n">
        <v>2866</v>
      </c>
      <c r="D1289" s="46" t="inlineStr">
        <is>
          <t>الرومانى</t>
        </is>
      </c>
      <c r="E1289" s="46" t="inlineStr">
        <is>
          <t>1*20</t>
        </is>
      </c>
      <c r="F1289" s="46" t="inlineStr">
        <is>
          <t xml:space="preserve">انالسيز </t>
        </is>
      </c>
      <c r="G1289" s="46" t="inlineStr">
        <is>
          <t>بلبيس</t>
        </is>
      </c>
      <c r="H1289" s="46" t="inlineStr">
        <is>
          <t>247006/0</t>
        </is>
      </c>
      <c r="I1289" s="46" t="inlineStr">
        <is>
          <t>ب ن و 9621</t>
        </is>
      </c>
      <c r="J1289" s="46" t="inlineStr">
        <is>
          <t xml:space="preserve">احمد نوار </t>
        </is>
      </c>
      <c r="K1289" s="46" t="inlineStr">
        <is>
          <t>رومانى</t>
        </is>
      </c>
      <c r="L1289" s="47" t="n">
        <v>12500</v>
      </c>
      <c r="M1289" s="47" t="n">
        <v>7100</v>
      </c>
      <c r="N1289" s="47" t="n"/>
      <c r="O1289" s="47" t="n">
        <v>200</v>
      </c>
      <c r="P1289" s="47" t="n"/>
      <c r="Q1289" s="47" t="n">
        <v>5200</v>
      </c>
      <c r="R1289" s="43">
        <f>IF($B1289="","",N($S1289)-N($Q1289))</f>
        <v/>
      </c>
      <c r="S1289" s="43">
        <f>IF($B1289="","",N($L1289)+N($N1289)+N($P1289))</f>
        <v/>
      </c>
      <c r="T1289" s="47" t="n"/>
      <c r="U1289" s="47" t="n"/>
      <c r="V1289" s="47" t="n"/>
      <c r="W1289" s="47" t="n"/>
      <c r="X1289" s="47" t="n"/>
      <c r="Y1289" s="47" t="n"/>
      <c r="Z1289" s="47" t="n"/>
      <c r="AA1289" s="47" t="n"/>
      <c r="AB1289" s="47" t="n"/>
      <c r="AC1289" s="47" t="n"/>
      <c r="AD1289" s="47" t="n"/>
      <c r="AE1289" s="47" t="n"/>
      <c r="AF1289" s="43">
        <f>IF($B1289="","",SUM($T1289:$AE1289))</f>
        <v/>
      </c>
      <c r="AG1289" s="43">
        <f>IF($B1289="","",N($M1289)-N($AF1289))</f>
        <v/>
      </c>
      <c r="AH1289" s="43">
        <f>IF($B1289="","",N($L1289)-N($AF1289))</f>
        <v/>
      </c>
      <c r="AI1289" s="149">
        <f>IF($B1289="","",IF(N($L1289)=0,"",(N($L1289)-N($AF1289))/N($L1289)))</f>
        <v/>
      </c>
    </row>
    <row r="1290">
      <c r="A1290" s="39">
        <f>IF($B1290="","",COUNTA($B$4:$B1290))</f>
        <v/>
      </c>
      <c r="B1290" s="40" t="n">
        <v>46165</v>
      </c>
      <c r="C1290" s="41" t="n">
        <v>2867</v>
      </c>
      <c r="D1290" s="41" t="n"/>
      <c r="E1290" s="41" t="inlineStr">
        <is>
          <t>1*40</t>
        </is>
      </c>
      <c r="F1290" s="41" t="inlineStr">
        <is>
          <t xml:space="preserve">ريجينا </t>
        </is>
      </c>
      <c r="G1290" s="41" t="inlineStr">
        <is>
          <t xml:space="preserve">السادات </t>
        </is>
      </c>
      <c r="H1290" s="41" t="inlineStr">
        <is>
          <t>659152/7</t>
        </is>
      </c>
      <c r="I1290" s="41" t="inlineStr">
        <is>
          <t>س د ى 9695</t>
        </is>
      </c>
      <c r="J1290" s="41" t="inlineStr">
        <is>
          <t xml:space="preserve">محمد مرزوق </t>
        </is>
      </c>
      <c r="K1290" s="41" t="inlineStr">
        <is>
          <t xml:space="preserve">ابراهيم ابو طالب </t>
        </is>
      </c>
      <c r="L1290" s="42" t="n">
        <v>12000</v>
      </c>
      <c r="M1290" s="42" t="n">
        <v>3100</v>
      </c>
      <c r="N1290" s="42" t="n"/>
      <c r="O1290" s="42" t="n"/>
      <c r="P1290" s="42" t="n"/>
      <c r="Q1290" s="42" t="n">
        <v>8900</v>
      </c>
      <c r="R1290" s="43">
        <f>IF($B1290="","",N($S1290)-N($Q1290))</f>
        <v/>
      </c>
      <c r="S1290" s="43">
        <f>IF($B1290="","",N($L1290)+N($N1290)+N($P1290))</f>
        <v/>
      </c>
      <c r="T1290" s="42" t="n"/>
      <c r="U1290" s="42" t="n"/>
      <c r="V1290" s="42" t="n"/>
      <c r="W1290" s="42" t="n"/>
      <c r="X1290" s="42" t="n"/>
      <c r="Y1290" s="42" t="n"/>
      <c r="Z1290" s="42" t="n"/>
      <c r="AA1290" s="42" t="n"/>
      <c r="AB1290" s="42" t="n"/>
      <c r="AC1290" s="42" t="n"/>
      <c r="AD1290" s="42" t="n"/>
      <c r="AE1290" s="42" t="n"/>
      <c r="AF1290" s="43">
        <f>IF($B1290="","",SUM($T1290:$AE1290))</f>
        <v/>
      </c>
      <c r="AG1290" s="43">
        <f>IF($B1290="","",N($M1290)-N($AF1290))</f>
        <v/>
      </c>
      <c r="AH1290" s="43">
        <f>IF($B1290="","",N($L1290)-N($AF1290))</f>
        <v/>
      </c>
      <c r="AI1290" s="149">
        <f>IF($B1290="","",IF(N($L1290)=0,"",(N($L1290)-N($AF1290))/N($L1290)))</f>
        <v/>
      </c>
    </row>
    <row r="1291">
      <c r="A1291" s="39">
        <f>IF($B1291="","",COUNTA($B$4:$B1291))</f>
        <v/>
      </c>
      <c r="B1291" s="45" t="n">
        <v>46165</v>
      </c>
      <c r="C1291" s="46" t="n">
        <v>2868</v>
      </c>
      <c r="D1291" s="46" t="inlineStr">
        <is>
          <t xml:space="preserve">عتريس مخيمر </t>
        </is>
      </c>
      <c r="E1291" s="46" t="inlineStr">
        <is>
          <t>1*40</t>
        </is>
      </c>
      <c r="F1291" s="46" t="inlineStr">
        <is>
          <t xml:space="preserve">ريجينا </t>
        </is>
      </c>
      <c r="G1291" s="46" t="inlineStr">
        <is>
          <t xml:space="preserve">السادات </t>
        </is>
      </c>
      <c r="H1291" s="46" t="inlineStr">
        <is>
          <t>447826/1</t>
        </is>
      </c>
      <c r="I1291" s="46" t="inlineStr">
        <is>
          <t>ط ف ر 1474</t>
        </is>
      </c>
      <c r="J1291" s="46" t="inlineStr">
        <is>
          <t xml:space="preserve">جمال على </t>
        </is>
      </c>
      <c r="K1291" s="46" t="inlineStr">
        <is>
          <t xml:space="preserve">كريم خليف </t>
        </is>
      </c>
      <c r="L1291" s="47" t="n">
        <v>12500</v>
      </c>
      <c r="M1291" s="47" t="n">
        <v>8100</v>
      </c>
      <c r="N1291" s="47" t="n"/>
      <c r="O1291" s="47" t="n">
        <v>200</v>
      </c>
      <c r="P1291" s="47" t="n"/>
      <c r="Q1291" s="47" t="n"/>
      <c r="R1291" s="43">
        <f>IF($B1291="","",N($S1291)-N($Q1291))</f>
        <v/>
      </c>
      <c r="S1291" s="43">
        <f>IF($B1291="","",N($L1291)+N($N1291)+N($P1291))</f>
        <v/>
      </c>
      <c r="T1291" s="47" t="n"/>
      <c r="U1291" s="47" t="n"/>
      <c r="V1291" s="47" t="n"/>
      <c r="W1291" s="47" t="n"/>
      <c r="X1291" s="47" t="n"/>
      <c r="Y1291" s="47" t="n"/>
      <c r="Z1291" s="47" t="n"/>
      <c r="AA1291" s="47" t="n"/>
      <c r="AB1291" s="47" t="n"/>
      <c r="AC1291" s="47" t="n"/>
      <c r="AD1291" s="47" t="n"/>
      <c r="AE1291" s="47" t="n"/>
      <c r="AF1291" s="43">
        <f>IF($B1291="","",SUM($T1291:$AE1291))</f>
        <v/>
      </c>
      <c r="AG1291" s="43">
        <f>IF($B1291="","",N($M1291)-N($AF1291))</f>
        <v/>
      </c>
      <c r="AH1291" s="43">
        <f>IF($B1291="","",N($L1291)-N($AF1291))</f>
        <v/>
      </c>
      <c r="AI1291" s="149">
        <f>IF($B1291="","",IF(N($L1291)=0,"",(N($L1291)-N($AF1291))/N($L1291)))</f>
        <v/>
      </c>
    </row>
    <row r="1292">
      <c r="A1292" s="39">
        <f>IF($B1292="","",COUNTA($B$4:$B1292))</f>
        <v/>
      </c>
      <c r="B1292" s="40" t="n">
        <v>46165</v>
      </c>
      <c r="C1292" s="41" t="n">
        <v>2540</v>
      </c>
      <c r="D1292" s="41" t="inlineStr">
        <is>
          <t>الشريف</t>
        </is>
      </c>
      <c r="E1292" s="41" t="inlineStr">
        <is>
          <t>1*40</t>
        </is>
      </c>
      <c r="F1292" s="41" t="inlineStr">
        <is>
          <t xml:space="preserve">المصرية الاوربية </t>
        </is>
      </c>
      <c r="G1292" s="41" t="inlineStr">
        <is>
          <t xml:space="preserve">الفيوم </t>
        </is>
      </c>
      <c r="H1292" s="41" t="inlineStr">
        <is>
          <t>444110/7</t>
        </is>
      </c>
      <c r="I1292" s="41" t="inlineStr">
        <is>
          <t>ب ج ط 5138</t>
        </is>
      </c>
      <c r="J1292" s="41" t="inlineStr">
        <is>
          <t xml:space="preserve">هانى نبيل </t>
        </is>
      </c>
      <c r="K1292" s="41" t="inlineStr">
        <is>
          <t xml:space="preserve">الحجرى </t>
        </is>
      </c>
      <c r="L1292" s="42" t="n">
        <v>19000</v>
      </c>
      <c r="M1292" s="42" t="n">
        <v>12100</v>
      </c>
      <c r="N1292" s="42" t="n">
        <v>3000</v>
      </c>
      <c r="O1292" s="42" t="n">
        <v>200</v>
      </c>
      <c r="P1292" s="42" t="n"/>
      <c r="Q1292" s="42" t="n"/>
      <c r="R1292" s="43">
        <f>IF($B1292="","",N($S1292)-N($Q1292))</f>
        <v/>
      </c>
      <c r="S1292" s="43">
        <f>IF($B1292="","",N($L1292)+N($N1292)+N($P1292))</f>
        <v/>
      </c>
      <c r="T1292" s="42" t="n"/>
      <c r="U1292" s="42" t="n"/>
      <c r="V1292" s="42" t="n"/>
      <c r="W1292" s="42" t="n"/>
      <c r="X1292" s="42" t="n"/>
      <c r="Y1292" s="42" t="n"/>
      <c r="Z1292" s="42" t="n"/>
      <c r="AA1292" s="42" t="n"/>
      <c r="AB1292" s="42" t="n"/>
      <c r="AC1292" s="42" t="n"/>
      <c r="AD1292" s="42" t="n"/>
      <c r="AE1292" s="42" t="n"/>
      <c r="AF1292" s="43">
        <f>IF($B1292="","",SUM($T1292:$AE1292))</f>
        <v/>
      </c>
      <c r="AG1292" s="43">
        <f>IF($B1292="","",N($M1292)-N($AF1292))</f>
        <v/>
      </c>
      <c r="AH1292" s="43">
        <f>IF($B1292="","",N($L1292)-N($AF1292))</f>
        <v/>
      </c>
      <c r="AI1292" s="149">
        <f>IF($B1292="","",IF(N($L1292)=0,"",(N($L1292)-N($AF1292))/N($L1292)))</f>
        <v/>
      </c>
    </row>
    <row r="1293">
      <c r="A1293" s="39">
        <f>IF($B1293="","",COUNTA($B$4:$B1293))</f>
        <v/>
      </c>
      <c r="B1293" s="45" t="n">
        <v>46165</v>
      </c>
      <c r="C1293" s="46" t="n">
        <v>2539</v>
      </c>
      <c r="D1293" s="46" t="inlineStr">
        <is>
          <t>اسلام محروس</t>
        </is>
      </c>
      <c r="E1293" s="46" t="inlineStr">
        <is>
          <t>1*40</t>
        </is>
      </c>
      <c r="F1293" s="46" t="inlineStr">
        <is>
          <t xml:space="preserve">المصرية الاوربية </t>
        </is>
      </c>
      <c r="G1293" s="46" t="inlineStr">
        <is>
          <t xml:space="preserve">الفيوم </t>
        </is>
      </c>
      <c r="H1293" s="46" t="inlineStr">
        <is>
          <t>087750/0</t>
        </is>
      </c>
      <c r="I1293" s="46" t="inlineStr">
        <is>
          <t>ب د ف 3891</t>
        </is>
      </c>
      <c r="J1293" s="46" t="inlineStr">
        <is>
          <t xml:space="preserve">اشرف الحجرى </t>
        </is>
      </c>
      <c r="K1293" s="46" t="inlineStr">
        <is>
          <t xml:space="preserve">الحجرى </t>
        </is>
      </c>
      <c r="L1293" s="47" t="n">
        <v>19000</v>
      </c>
      <c r="M1293" s="47" t="n">
        <v>12100</v>
      </c>
      <c r="N1293" s="47" t="n">
        <v>3000</v>
      </c>
      <c r="O1293" s="47" t="n">
        <v>200</v>
      </c>
      <c r="P1293" s="47" t="n"/>
      <c r="Q1293" s="47" t="n">
        <v>3700</v>
      </c>
      <c r="R1293" s="43">
        <f>IF($B1293="","",N($S1293)-N($Q1293))</f>
        <v/>
      </c>
      <c r="S1293" s="43">
        <f>IF($B1293="","",N($L1293)+N($N1293)+N($P1293))</f>
        <v/>
      </c>
      <c r="T1293" s="47" t="n"/>
      <c r="U1293" s="47" t="n"/>
      <c r="V1293" s="47" t="n"/>
      <c r="W1293" s="47" t="n"/>
      <c r="X1293" s="47" t="n"/>
      <c r="Y1293" s="47" t="n"/>
      <c r="Z1293" s="47" t="n"/>
      <c r="AA1293" s="47" t="n"/>
      <c r="AB1293" s="47" t="n"/>
      <c r="AC1293" s="47" t="n"/>
      <c r="AD1293" s="47" t="n"/>
      <c r="AE1293" s="47" t="n"/>
      <c r="AF1293" s="43">
        <f>IF($B1293="","",SUM($T1293:$AE1293))</f>
        <v/>
      </c>
      <c r="AG1293" s="43">
        <f>IF($B1293="","",N($M1293)-N($AF1293))</f>
        <v/>
      </c>
      <c r="AH1293" s="43">
        <f>IF($B1293="","",N($L1293)-N($AF1293))</f>
        <v/>
      </c>
      <c r="AI1293" s="149">
        <f>IF($B1293="","",IF(N($L1293)=0,"",(N($L1293)-N($AF1293))/N($L1293)))</f>
        <v/>
      </c>
    </row>
    <row r="1294">
      <c r="A1294" s="39">
        <f>IF($B1294="","",COUNTA($B$4:$B1294))</f>
        <v/>
      </c>
      <c r="B1294" s="40" t="n">
        <v>46165</v>
      </c>
      <c r="C1294" s="41" t="n">
        <v>2536</v>
      </c>
      <c r="D1294" s="41" t="n"/>
      <c r="E1294" s="41" t="inlineStr">
        <is>
          <t>1*40</t>
        </is>
      </c>
      <c r="F1294" s="41" t="inlineStr">
        <is>
          <t xml:space="preserve">يونايتد باك </t>
        </is>
      </c>
      <c r="G1294" s="41" t="inlineStr">
        <is>
          <t xml:space="preserve">اكتوبر </t>
        </is>
      </c>
      <c r="H1294" s="41" t="inlineStr">
        <is>
          <t>640330/0</t>
        </is>
      </c>
      <c r="I1294" s="41" t="inlineStr">
        <is>
          <t>س ن ر 8979</t>
        </is>
      </c>
      <c r="J1294" s="41" t="inlineStr">
        <is>
          <t xml:space="preserve">عماد سعيد </t>
        </is>
      </c>
      <c r="K1294" s="41" t="inlineStr">
        <is>
          <t xml:space="preserve">عماد سعيد </t>
        </is>
      </c>
      <c r="L1294" s="42" t="n">
        <v>13800</v>
      </c>
      <c r="M1294" s="42" t="n">
        <v>8100</v>
      </c>
      <c r="N1294" s="42" t="n"/>
      <c r="O1294" s="42" t="n">
        <v>200</v>
      </c>
      <c r="P1294" s="42" t="n"/>
      <c r="Q1294" s="42" t="n"/>
      <c r="R1294" s="43">
        <f>IF($B1294="","",N($S1294)-N($Q1294))</f>
        <v/>
      </c>
      <c r="S1294" s="43">
        <f>IF($B1294="","",N($L1294)+N($N1294)+N($P1294))</f>
        <v/>
      </c>
      <c r="T1294" s="42" t="n"/>
      <c r="U1294" s="42" t="n"/>
      <c r="V1294" s="42" t="n"/>
      <c r="W1294" s="42" t="n"/>
      <c r="X1294" s="42" t="n"/>
      <c r="Y1294" s="42" t="n"/>
      <c r="Z1294" s="42" t="n"/>
      <c r="AA1294" s="42" t="n"/>
      <c r="AB1294" s="42" t="n"/>
      <c r="AC1294" s="42" t="n"/>
      <c r="AD1294" s="42" t="n"/>
      <c r="AE1294" s="42" t="n"/>
      <c r="AF1294" s="43">
        <f>IF($B1294="","",SUM($T1294:$AE1294))</f>
        <v/>
      </c>
      <c r="AG1294" s="43">
        <f>IF($B1294="","",N($M1294)-N($AF1294))</f>
        <v/>
      </c>
      <c r="AH1294" s="43">
        <f>IF($B1294="","",N($L1294)-N($AF1294))</f>
        <v/>
      </c>
      <c r="AI1294" s="149">
        <f>IF($B1294="","",IF(N($L1294)=0,"",(N($L1294)-N($AF1294))/N($L1294)))</f>
        <v/>
      </c>
    </row>
    <row r="1295">
      <c r="A1295" s="39">
        <f>IF($B1295="","",COUNTA($B$4:$B1295))</f>
        <v/>
      </c>
      <c r="B1295" s="45" t="n">
        <v>46165</v>
      </c>
      <c r="C1295" s="46" t="n">
        <v>2537</v>
      </c>
      <c r="D1295" s="46" t="inlineStr">
        <is>
          <t>حريقة</t>
        </is>
      </c>
      <c r="E1295" s="46" t="inlineStr">
        <is>
          <t>1*40</t>
        </is>
      </c>
      <c r="F1295" s="46" t="inlineStr">
        <is>
          <t xml:space="preserve">انرجيا </t>
        </is>
      </c>
      <c r="G1295" s="46" t="inlineStr">
        <is>
          <t>العاشر</t>
        </is>
      </c>
      <c r="H1295" s="46" t="inlineStr">
        <is>
          <t>431358/7</t>
        </is>
      </c>
      <c r="I1295" s="46" t="inlineStr">
        <is>
          <t>س ن ر 7545</t>
        </is>
      </c>
      <c r="J1295" s="46" t="inlineStr">
        <is>
          <t xml:space="preserve">محمد فتحى </t>
        </is>
      </c>
      <c r="K1295" s="46" t="n"/>
      <c r="L1295" s="47" t="n">
        <v>16000</v>
      </c>
      <c r="M1295" s="47" t="n">
        <v>8100</v>
      </c>
      <c r="N1295" s="47" t="n">
        <v>2500</v>
      </c>
      <c r="O1295" s="47" t="n">
        <v>200</v>
      </c>
      <c r="P1295" s="47" t="n"/>
      <c r="Q1295" s="47" t="n"/>
      <c r="R1295" s="43">
        <f>IF($B1295="","",N($S1295)-N($Q1295))</f>
        <v/>
      </c>
      <c r="S1295" s="43">
        <f>IF($B1295="","",N($L1295)+N($N1295)+N($P1295))</f>
        <v/>
      </c>
      <c r="T1295" s="47" t="n"/>
      <c r="U1295" s="47" t="n"/>
      <c r="V1295" s="47" t="n"/>
      <c r="W1295" s="47" t="n"/>
      <c r="X1295" s="47" t="n"/>
      <c r="Y1295" s="47" t="n"/>
      <c r="Z1295" s="47" t="n"/>
      <c r="AA1295" s="47" t="n"/>
      <c r="AB1295" s="47" t="n"/>
      <c r="AC1295" s="47" t="n"/>
      <c r="AD1295" s="47" t="n"/>
      <c r="AE1295" s="47" t="n"/>
      <c r="AF1295" s="43">
        <f>IF($B1295="","",SUM($T1295:$AE1295))</f>
        <v/>
      </c>
      <c r="AG1295" s="43">
        <f>IF($B1295="","",N($M1295)-N($AF1295))</f>
        <v/>
      </c>
      <c r="AH1295" s="43">
        <f>IF($B1295="","",N($L1295)-N($AF1295))</f>
        <v/>
      </c>
      <c r="AI1295" s="149">
        <f>IF($B1295="","",IF(N($L1295)=0,"",(N($L1295)-N($AF1295))/N($L1295)))</f>
        <v/>
      </c>
    </row>
    <row r="1296">
      <c r="A1296" s="39">
        <f>IF($B1296="","",COUNTA($B$4:$B1296))</f>
        <v/>
      </c>
      <c r="B1296" s="40" t="n">
        <v>46165</v>
      </c>
      <c r="C1296" s="41" t="n">
        <v>2538</v>
      </c>
      <c r="D1296" s="41" t="inlineStr">
        <is>
          <t>حريقة</t>
        </is>
      </c>
      <c r="E1296" s="41" t="inlineStr">
        <is>
          <t>1*40</t>
        </is>
      </c>
      <c r="F1296" s="41" t="inlineStr">
        <is>
          <t xml:space="preserve">انرجيا </t>
        </is>
      </c>
      <c r="G1296" s="41" t="inlineStr">
        <is>
          <t>العاشر</t>
        </is>
      </c>
      <c r="H1296" s="41" t="inlineStr">
        <is>
          <t>447827/2</t>
        </is>
      </c>
      <c r="I1296" s="41" t="inlineStr">
        <is>
          <t>س ل ص 7855</t>
        </is>
      </c>
      <c r="J1296" s="41" t="inlineStr">
        <is>
          <t xml:space="preserve">احمد حلمى </t>
        </is>
      </c>
      <c r="K1296" s="41" t="inlineStr">
        <is>
          <t>محمد بيسو</t>
        </is>
      </c>
      <c r="L1296" s="42" t="n">
        <v>16000</v>
      </c>
      <c r="M1296" s="42" t="n">
        <v>8100</v>
      </c>
      <c r="N1296" s="42" t="n">
        <v>2500</v>
      </c>
      <c r="O1296" s="42" t="n">
        <v>200</v>
      </c>
      <c r="P1296" s="42" t="n"/>
      <c r="Q1296" s="42" t="n"/>
      <c r="R1296" s="43">
        <f>IF($B1296="","",N($S1296)-N($Q1296))</f>
        <v/>
      </c>
      <c r="S1296" s="43">
        <f>IF($B1296="","",N($L1296)+N($N1296)+N($P1296))</f>
        <v/>
      </c>
      <c r="T1296" s="42" t="n"/>
      <c r="U1296" s="42" t="n"/>
      <c r="V1296" s="42" t="n"/>
      <c r="W1296" s="42" t="n"/>
      <c r="X1296" s="42" t="n"/>
      <c r="Y1296" s="42" t="n"/>
      <c r="Z1296" s="42" t="n"/>
      <c r="AA1296" s="42" t="n"/>
      <c r="AB1296" s="42" t="n"/>
      <c r="AC1296" s="42" t="n"/>
      <c r="AD1296" s="42" t="n"/>
      <c r="AE1296" s="42" t="n"/>
      <c r="AF1296" s="43">
        <f>IF($B1296="","",SUM($T1296:$AE1296))</f>
        <v/>
      </c>
      <c r="AG1296" s="43">
        <f>IF($B1296="","",N($M1296)-N($AF1296))</f>
        <v/>
      </c>
      <c r="AH1296" s="43">
        <f>IF($B1296="","",N($L1296)-N($AF1296))</f>
        <v/>
      </c>
      <c r="AI1296" s="149">
        <f>IF($B1296="","",IF(N($L1296)=0,"",(N($L1296)-N($AF1296))/N($L1296)))</f>
        <v/>
      </c>
    </row>
    <row r="1297">
      <c r="A1297" s="39">
        <f>IF($B1297="","",COUNTA($B$4:$B1297))</f>
        <v/>
      </c>
      <c r="B1297" s="45" t="n">
        <v>46165</v>
      </c>
      <c r="C1297" s="46" t="n">
        <v>2534</v>
      </c>
      <c r="D1297" s="46" t="inlineStr">
        <is>
          <t xml:space="preserve">سعد الشحات </t>
        </is>
      </c>
      <c r="E1297" s="46" t="inlineStr">
        <is>
          <t>1*40</t>
        </is>
      </c>
      <c r="F1297" s="46" t="inlineStr">
        <is>
          <t xml:space="preserve">انرجيا </t>
        </is>
      </c>
      <c r="G1297" s="46" t="inlineStr">
        <is>
          <t xml:space="preserve">العاشر </t>
        </is>
      </c>
      <c r="H1297" s="46" t="inlineStr">
        <is>
          <t>647132/6</t>
        </is>
      </c>
      <c r="I1297" s="46" t="inlineStr">
        <is>
          <t>س م ص 5433</t>
        </is>
      </c>
      <c r="J1297" s="46" t="inlineStr">
        <is>
          <t xml:space="preserve">مصطفى شعبان </t>
        </is>
      </c>
      <c r="K1297" s="46" t="inlineStr">
        <is>
          <t xml:space="preserve">سعد الشحات </t>
        </is>
      </c>
      <c r="L1297" s="47" t="n">
        <v>16000</v>
      </c>
      <c r="M1297" s="47" t="n">
        <v>10100</v>
      </c>
      <c r="N1297" s="47" t="n">
        <v>2500</v>
      </c>
      <c r="O1297" s="47" t="n">
        <v>200</v>
      </c>
      <c r="P1297" s="47" t="n"/>
      <c r="Q1297" s="47" t="n">
        <v>3200</v>
      </c>
      <c r="R1297" s="43">
        <f>IF($B1297="","",N($S1297)-N($Q1297))</f>
        <v/>
      </c>
      <c r="S1297" s="43">
        <f>IF($B1297="","",N($L1297)+N($N1297)+N($P1297))</f>
        <v/>
      </c>
      <c r="T1297" s="47" t="n"/>
      <c r="U1297" s="47" t="n"/>
      <c r="V1297" s="47" t="n"/>
      <c r="W1297" s="47" t="n"/>
      <c r="X1297" s="47" t="n"/>
      <c r="Y1297" s="47" t="n"/>
      <c r="Z1297" s="47" t="n"/>
      <c r="AA1297" s="47" t="n"/>
      <c r="AB1297" s="47" t="n"/>
      <c r="AC1297" s="47" t="n"/>
      <c r="AD1297" s="47" t="n"/>
      <c r="AE1297" s="47" t="n"/>
      <c r="AF1297" s="43">
        <f>IF($B1297="","",SUM($T1297:$AE1297))</f>
        <v/>
      </c>
      <c r="AG1297" s="43">
        <f>IF($B1297="","",N($M1297)-N($AF1297))</f>
        <v/>
      </c>
      <c r="AH1297" s="43">
        <f>IF($B1297="","",N($L1297)-N($AF1297))</f>
        <v/>
      </c>
      <c r="AI1297" s="149">
        <f>IF($B1297="","",IF(N($L1297)=0,"",(N($L1297)-N($AF1297))/N($L1297)))</f>
        <v/>
      </c>
    </row>
    <row r="1298">
      <c r="A1298" s="39">
        <f>IF($B1298="","",COUNTA($B$4:$B1298))</f>
        <v/>
      </c>
      <c r="B1298" s="40" t="n">
        <v>46165</v>
      </c>
      <c r="C1298" s="41" t="n">
        <v>2533</v>
      </c>
      <c r="D1298" s="41" t="inlineStr">
        <is>
          <t xml:space="preserve">سعد الشحات </t>
        </is>
      </c>
      <c r="E1298" s="41" t="inlineStr">
        <is>
          <t>1*40</t>
        </is>
      </c>
      <c r="F1298" s="41" t="inlineStr">
        <is>
          <t xml:space="preserve">انرجيا </t>
        </is>
      </c>
      <c r="G1298" s="41" t="inlineStr">
        <is>
          <t xml:space="preserve">العاشر </t>
        </is>
      </c>
      <c r="H1298" s="41" t="inlineStr">
        <is>
          <t>474759/0</t>
        </is>
      </c>
      <c r="I1298" s="41" t="inlineStr">
        <is>
          <t>س ر ا 5527</t>
        </is>
      </c>
      <c r="J1298" s="41" t="inlineStr">
        <is>
          <t xml:space="preserve">محمد عبد الكريم </t>
        </is>
      </c>
      <c r="K1298" s="41" t="inlineStr">
        <is>
          <t xml:space="preserve">سعد الشحات </t>
        </is>
      </c>
      <c r="L1298" s="42" t="n">
        <v>16000</v>
      </c>
      <c r="M1298" s="42" t="n">
        <v>10100</v>
      </c>
      <c r="N1298" s="42" t="n">
        <v>2500</v>
      </c>
      <c r="O1298" s="42" t="n">
        <v>200</v>
      </c>
      <c r="P1298" s="42" t="n"/>
      <c r="Q1298" s="42" t="n">
        <v>3200</v>
      </c>
      <c r="R1298" s="43">
        <f>IF($B1298="","",N($S1298)-N($Q1298))</f>
        <v/>
      </c>
      <c r="S1298" s="43">
        <f>IF($B1298="","",N($L1298)+N($N1298)+N($P1298))</f>
        <v/>
      </c>
      <c r="T1298" s="42" t="n"/>
      <c r="U1298" s="42" t="n"/>
      <c r="V1298" s="42" t="n"/>
      <c r="W1298" s="42" t="n"/>
      <c r="X1298" s="42" t="n"/>
      <c r="Y1298" s="42" t="n"/>
      <c r="Z1298" s="42" t="n"/>
      <c r="AA1298" s="42" t="n"/>
      <c r="AB1298" s="42" t="n"/>
      <c r="AC1298" s="42" t="n"/>
      <c r="AD1298" s="42" t="n"/>
      <c r="AE1298" s="42" t="n"/>
      <c r="AF1298" s="43">
        <f>IF($B1298="","",SUM($T1298:$AE1298))</f>
        <v/>
      </c>
      <c r="AG1298" s="43">
        <f>IF($B1298="","",N($M1298)-N($AF1298))</f>
        <v/>
      </c>
      <c r="AH1298" s="43">
        <f>IF($B1298="","",N($L1298)-N($AF1298))</f>
        <v/>
      </c>
      <c r="AI1298" s="149">
        <f>IF($B1298="","",IF(N($L1298)=0,"",(N($L1298)-N($AF1298))/N($L1298)))</f>
        <v/>
      </c>
    </row>
    <row r="1299">
      <c r="A1299" s="39">
        <f>IF($B1299="","",COUNTA($B$4:$B1299))</f>
        <v/>
      </c>
      <c r="B1299" s="45" t="n">
        <v>46166</v>
      </c>
      <c r="C1299" s="46" t="n">
        <v>2543</v>
      </c>
      <c r="D1299" s="46" t="inlineStr">
        <is>
          <t xml:space="preserve">حودة منعم </t>
        </is>
      </c>
      <c r="E1299" s="46" t="inlineStr">
        <is>
          <t>1*40</t>
        </is>
      </c>
      <c r="F1299" s="46" t="n"/>
      <c r="G1299" s="46" t="inlineStr">
        <is>
          <t xml:space="preserve">البدرشين </t>
        </is>
      </c>
      <c r="H1299" s="46" t="inlineStr">
        <is>
          <t>348296/1</t>
        </is>
      </c>
      <c r="I1299" s="46" t="inlineStr">
        <is>
          <t>س ل ا 6325</t>
        </is>
      </c>
      <c r="J1299" s="46" t="inlineStr">
        <is>
          <t xml:space="preserve">احمد عبد المنعم </t>
        </is>
      </c>
      <c r="K1299" s="46" t="inlineStr">
        <is>
          <t xml:space="preserve">حودة منعم </t>
        </is>
      </c>
      <c r="L1299" s="47" t="n">
        <v>16000</v>
      </c>
      <c r="M1299" s="47" t="n">
        <v>10100</v>
      </c>
      <c r="N1299" s="47" t="n"/>
      <c r="O1299" s="47" t="n">
        <v>200</v>
      </c>
      <c r="P1299" s="47" t="n"/>
      <c r="Q1299" s="47" t="n">
        <v>5700</v>
      </c>
      <c r="R1299" s="43">
        <f>IF($B1299="","",N($S1299)-N($Q1299))</f>
        <v/>
      </c>
      <c r="S1299" s="43">
        <f>IF($B1299="","",N($L1299)+N($N1299)+N($P1299))</f>
        <v/>
      </c>
      <c r="T1299" s="47" t="n"/>
      <c r="U1299" s="47" t="n"/>
      <c r="V1299" s="47" t="n"/>
      <c r="W1299" s="47" t="n"/>
      <c r="X1299" s="47" t="n"/>
      <c r="Y1299" s="47" t="n"/>
      <c r="Z1299" s="47" t="n"/>
      <c r="AA1299" s="47" t="n"/>
      <c r="AB1299" s="47" t="n"/>
      <c r="AC1299" s="47" t="n"/>
      <c r="AD1299" s="47" t="n"/>
      <c r="AE1299" s="47" t="n"/>
      <c r="AF1299" s="43">
        <f>IF($B1299="","",SUM($T1299:$AE1299))</f>
        <v/>
      </c>
      <c r="AG1299" s="43">
        <f>IF($B1299="","",N($M1299)-N($AF1299))</f>
        <v/>
      </c>
      <c r="AH1299" s="43">
        <f>IF($B1299="","",N($L1299)-N($AF1299))</f>
        <v/>
      </c>
      <c r="AI1299" s="149">
        <f>IF($B1299="","",IF(N($L1299)=0,"",(N($L1299)-N($AF1299))/N($L1299)))</f>
        <v/>
      </c>
    </row>
    <row r="1300">
      <c r="A1300" s="39">
        <f>IF($B1300="","",COUNTA($B$4:$B1300))</f>
        <v/>
      </c>
      <c r="B1300" s="40" t="n">
        <v>46166</v>
      </c>
      <c r="C1300" s="41" t="n">
        <v>2930</v>
      </c>
      <c r="D1300" s="41" t="inlineStr">
        <is>
          <t xml:space="preserve">حودة منعم </t>
        </is>
      </c>
      <c r="E1300" s="41" t="inlineStr">
        <is>
          <t>2*20</t>
        </is>
      </c>
      <c r="F1300" s="41" t="inlineStr">
        <is>
          <t xml:space="preserve">المتحدة للمسابك </t>
        </is>
      </c>
      <c r="G1300" s="41" t="inlineStr">
        <is>
          <t xml:space="preserve">العاشر </t>
        </is>
      </c>
      <c r="H1300" s="41" t="inlineStr">
        <is>
          <t>201018/6-324495/6</t>
        </is>
      </c>
      <c r="I1300" s="41" t="inlineStr">
        <is>
          <t>س ل م 7518</t>
        </is>
      </c>
      <c r="J1300" s="41" t="inlineStr">
        <is>
          <t xml:space="preserve">محمد عبد المنعم </t>
        </is>
      </c>
      <c r="K1300" s="41" t="inlineStr">
        <is>
          <t xml:space="preserve">حودة منعم </t>
        </is>
      </c>
      <c r="L1300" s="42" t="n">
        <v>21000</v>
      </c>
      <c r="M1300" s="42" t="n">
        <v>15100</v>
      </c>
      <c r="N1300" s="42" t="n"/>
      <c r="O1300" s="42" t="n">
        <v>200</v>
      </c>
      <c r="P1300" s="42" t="n"/>
      <c r="Q1300" s="42" t="n">
        <v>5700</v>
      </c>
      <c r="R1300" s="43">
        <f>IF($B1300="","",N($S1300)-N($Q1300))</f>
        <v/>
      </c>
      <c r="S1300" s="43">
        <f>IF($B1300="","",N($L1300)+N($N1300)+N($P1300))</f>
        <v/>
      </c>
      <c r="T1300" s="42" t="n"/>
      <c r="U1300" s="42" t="n"/>
      <c r="V1300" s="42" t="n"/>
      <c r="W1300" s="42" t="n"/>
      <c r="X1300" s="42" t="n"/>
      <c r="Y1300" s="42" t="n"/>
      <c r="Z1300" s="42" t="n"/>
      <c r="AA1300" s="42" t="n"/>
      <c r="AB1300" s="42" t="n"/>
      <c r="AC1300" s="42" t="n"/>
      <c r="AD1300" s="42" t="n"/>
      <c r="AE1300" s="42" t="n"/>
      <c r="AF1300" s="43">
        <f>IF($B1300="","",SUM($T1300:$AE1300))</f>
        <v/>
      </c>
      <c r="AG1300" s="43">
        <f>IF($B1300="","",N($M1300)-N($AF1300))</f>
        <v/>
      </c>
      <c r="AH1300" s="43">
        <f>IF($B1300="","",N($L1300)-N($AF1300))</f>
        <v/>
      </c>
      <c r="AI1300" s="149">
        <f>IF($B1300="","",IF(N($L1300)=0,"",(N($L1300)-N($AF1300))/N($L1300)))</f>
        <v/>
      </c>
    </row>
    <row r="1301">
      <c r="A1301" s="39">
        <f>IF($B1301="","",COUNTA($B$4:$B1301))</f>
        <v/>
      </c>
      <c r="B1301" s="45" t="n">
        <v>46166</v>
      </c>
      <c r="C1301" s="46" t="n">
        <v>2542</v>
      </c>
      <c r="D1301" s="46" t="n"/>
      <c r="E1301" s="46" t="inlineStr">
        <is>
          <t>1*40</t>
        </is>
      </c>
      <c r="F1301" s="46" t="inlineStr">
        <is>
          <t xml:space="preserve">المصرية للتريكو </t>
        </is>
      </c>
      <c r="G1301" s="46" t="inlineStr">
        <is>
          <t>العاشر</t>
        </is>
      </c>
      <c r="H1301" s="46" t="inlineStr">
        <is>
          <t>834966/4</t>
        </is>
      </c>
      <c r="I1301" s="46" t="inlineStr">
        <is>
          <t>س د و 5797</t>
        </is>
      </c>
      <c r="J1301" s="46" t="inlineStr">
        <is>
          <t xml:space="preserve">محمد مصطفى </t>
        </is>
      </c>
      <c r="K1301" s="46" t="inlineStr">
        <is>
          <t>عبد العال</t>
        </is>
      </c>
      <c r="L1301" s="47" t="n">
        <v>15500</v>
      </c>
      <c r="M1301" s="47" t="n">
        <v>10100</v>
      </c>
      <c r="N1301" s="47" t="n"/>
      <c r="O1301" s="47" t="n">
        <v>200</v>
      </c>
      <c r="P1301" s="47" t="n"/>
      <c r="Q1301" s="47" t="n"/>
      <c r="R1301" s="43">
        <f>IF($B1301="","",N($S1301)-N($Q1301))</f>
        <v/>
      </c>
      <c r="S1301" s="43">
        <f>IF($B1301="","",N($L1301)+N($N1301)+N($P1301))</f>
        <v/>
      </c>
      <c r="T1301" s="47" t="n"/>
      <c r="U1301" s="47" t="n"/>
      <c r="V1301" s="47" t="n"/>
      <c r="W1301" s="47" t="n"/>
      <c r="X1301" s="47" t="n"/>
      <c r="Y1301" s="47" t="n"/>
      <c r="Z1301" s="47" t="n"/>
      <c r="AA1301" s="47" t="n"/>
      <c r="AB1301" s="47" t="n"/>
      <c r="AC1301" s="47" t="n"/>
      <c r="AD1301" s="47" t="n"/>
      <c r="AE1301" s="47" t="n"/>
      <c r="AF1301" s="43">
        <f>IF($B1301="","",SUM($T1301:$AE1301))</f>
        <v/>
      </c>
      <c r="AG1301" s="43">
        <f>IF($B1301="","",N($M1301)-N($AF1301))</f>
        <v/>
      </c>
      <c r="AH1301" s="43">
        <f>IF($B1301="","",N($L1301)-N($AF1301))</f>
        <v/>
      </c>
      <c r="AI1301" s="149">
        <f>IF($B1301="","",IF(N($L1301)=0,"",(N($L1301)-N($AF1301))/N($L1301)))</f>
        <v/>
      </c>
    </row>
    <row r="1302">
      <c r="A1302" s="39">
        <f>IF($B1302="","",COUNTA($B$4:$B1302))</f>
        <v/>
      </c>
      <c r="B1302" s="40" t="n">
        <v>46166</v>
      </c>
      <c r="C1302" s="41" t="n">
        <v>2869</v>
      </c>
      <c r="D1302" s="41" t="n"/>
      <c r="E1302" s="41" t="inlineStr">
        <is>
          <t>1*40</t>
        </is>
      </c>
      <c r="F1302" s="41" t="inlineStr">
        <is>
          <t xml:space="preserve">المصرية للصناعات </t>
        </is>
      </c>
      <c r="G1302" s="41" t="inlineStr">
        <is>
          <t xml:space="preserve">بلبيس </t>
        </is>
      </c>
      <c r="H1302" s="41" t="inlineStr">
        <is>
          <t>609511/8</t>
        </is>
      </c>
      <c r="I1302" s="41" t="inlineStr">
        <is>
          <t>س ا ى 4145</t>
        </is>
      </c>
      <c r="J1302" s="41" t="inlineStr">
        <is>
          <t xml:space="preserve">احمد هريدى </t>
        </is>
      </c>
      <c r="K1302" s="41" t="inlineStr">
        <is>
          <t>الليبر</t>
        </is>
      </c>
      <c r="L1302" s="42" t="n">
        <v>15000</v>
      </c>
      <c r="M1302" s="42" t="n">
        <v>15000</v>
      </c>
      <c r="N1302" s="42" t="n"/>
      <c r="O1302" s="42" t="n"/>
      <c r="P1302" s="42" t="n"/>
      <c r="Q1302" s="42" t="n"/>
      <c r="R1302" s="43">
        <f>IF($B1302="","",N($S1302)-N($Q1302))</f>
        <v/>
      </c>
      <c r="S1302" s="43">
        <f>IF($B1302="","",N($L1302)+N($N1302)+N($P1302))</f>
        <v/>
      </c>
      <c r="T1302" s="42" t="n"/>
      <c r="U1302" s="42" t="n"/>
      <c r="V1302" s="42" t="n"/>
      <c r="W1302" s="42" t="n"/>
      <c r="X1302" s="42" t="n"/>
      <c r="Y1302" s="42" t="n"/>
      <c r="Z1302" s="42" t="n"/>
      <c r="AA1302" s="42" t="n"/>
      <c r="AB1302" s="42" t="n"/>
      <c r="AC1302" s="42" t="n"/>
      <c r="AD1302" s="42" t="n"/>
      <c r="AE1302" s="42" t="n"/>
      <c r="AF1302" s="43">
        <f>IF($B1302="","",SUM($T1302:$AE1302))</f>
        <v/>
      </c>
      <c r="AG1302" s="43">
        <f>IF($B1302="","",N($M1302)-N($AF1302))</f>
        <v/>
      </c>
      <c r="AH1302" s="43">
        <f>IF($B1302="","",N($L1302)-N($AF1302))</f>
        <v/>
      </c>
      <c r="AI1302" s="149">
        <f>IF($B1302="","",IF(N($L1302)=0,"",(N($L1302)-N($AF1302))/N($L1302)))</f>
        <v/>
      </c>
    </row>
    <row r="1303">
      <c r="A1303" s="39">
        <f>IF($B1303="","",COUNTA($B$4:$B1303))</f>
        <v/>
      </c>
      <c r="B1303" s="45" t="n">
        <v>46174</v>
      </c>
      <c r="C1303" s="46" t="n">
        <v>3016</v>
      </c>
      <c r="D1303" s="46" t="inlineStr">
        <is>
          <t xml:space="preserve">نوسكو </t>
        </is>
      </c>
      <c r="E1303" s="46" t="inlineStr">
        <is>
          <t>1*40</t>
        </is>
      </c>
      <c r="F1303" s="46" t="inlineStr">
        <is>
          <t xml:space="preserve">ريجينا </t>
        </is>
      </c>
      <c r="G1303" s="46" t="inlineStr">
        <is>
          <t xml:space="preserve">السادات </t>
        </is>
      </c>
      <c r="H1303" s="46" t="inlineStr">
        <is>
          <t>085809/0</t>
        </is>
      </c>
      <c r="I1303" s="46" t="inlineStr">
        <is>
          <t>س ق ر 6252</t>
        </is>
      </c>
      <c r="J1303" s="46" t="inlineStr">
        <is>
          <t xml:space="preserve">احمد بهاء </t>
        </is>
      </c>
      <c r="K1303" s="46" t="inlineStr">
        <is>
          <t xml:space="preserve">محمد رشاد </t>
        </is>
      </c>
      <c r="L1303" s="47" t="n">
        <v>12500</v>
      </c>
      <c r="M1303" s="47" t="n">
        <v>8100</v>
      </c>
      <c r="N1303" s="47" t="n"/>
      <c r="O1303" s="47" t="n">
        <v>200</v>
      </c>
      <c r="P1303" s="47" t="n"/>
      <c r="Q1303" s="47" t="n"/>
      <c r="R1303" s="43">
        <f>IF($B1303="","",N($S1303)-N($Q1303))</f>
        <v/>
      </c>
      <c r="S1303" s="43">
        <f>IF($B1303="","",N($L1303)+N($N1303)+N($P1303))</f>
        <v/>
      </c>
      <c r="T1303" s="47" t="n"/>
      <c r="U1303" s="47" t="n"/>
      <c r="V1303" s="47" t="n"/>
      <c r="W1303" s="47" t="n"/>
      <c r="X1303" s="47" t="n"/>
      <c r="Y1303" s="47" t="n"/>
      <c r="Z1303" s="47" t="n"/>
      <c r="AA1303" s="47" t="n"/>
      <c r="AB1303" s="47" t="n"/>
      <c r="AC1303" s="47" t="n"/>
      <c r="AD1303" s="47" t="n"/>
      <c r="AE1303" s="47" t="n"/>
      <c r="AF1303" s="43">
        <f>IF($B1303="","",SUM($T1303:$AE1303))</f>
        <v/>
      </c>
      <c r="AG1303" s="43">
        <f>IF($B1303="","",N($M1303)-N($AF1303))</f>
        <v/>
      </c>
      <c r="AH1303" s="43">
        <f>IF($B1303="","",N($L1303)-N($AF1303))</f>
        <v/>
      </c>
      <c r="AI1303" s="149">
        <f>IF($B1303="","",IF(N($L1303)=0,"",(N($L1303)-N($AF1303))/N($L1303)))</f>
        <v/>
      </c>
    </row>
    <row r="1304">
      <c r="A1304" s="39">
        <f>IF($B1304="","",COUNTA($B$4:$B1304))</f>
        <v/>
      </c>
      <c r="B1304" s="40" t="n">
        <v>46174</v>
      </c>
      <c r="C1304" s="41" t="n">
        <v>3017</v>
      </c>
      <c r="D1304" s="41" t="inlineStr">
        <is>
          <t>صعيدى 6</t>
        </is>
      </c>
      <c r="E1304" s="41" t="inlineStr">
        <is>
          <t>1*40</t>
        </is>
      </c>
      <c r="F1304" s="41" t="inlineStr">
        <is>
          <t xml:space="preserve">الفرسان </t>
        </is>
      </c>
      <c r="G1304" s="41" t="inlineStr">
        <is>
          <t xml:space="preserve">اكتوبر </t>
        </is>
      </c>
      <c r="H1304" s="41" t="inlineStr">
        <is>
          <t>912434/9</t>
        </is>
      </c>
      <c r="I1304" s="41" t="inlineStr">
        <is>
          <t>س ق ب 9283</t>
        </is>
      </c>
      <c r="J1304" s="41" t="inlineStr">
        <is>
          <t xml:space="preserve">احمد مطر </t>
        </is>
      </c>
      <c r="K1304" s="41" t="inlineStr">
        <is>
          <t xml:space="preserve">محمد الصعيدى </t>
        </is>
      </c>
      <c r="L1304" s="42" t="n">
        <v>13500</v>
      </c>
      <c r="M1304" s="42" t="n">
        <v>7100</v>
      </c>
      <c r="N1304" s="42" t="n"/>
      <c r="O1304" s="42" t="n">
        <v>200</v>
      </c>
      <c r="P1304" s="42" t="n"/>
      <c r="Q1304" s="42" t="n"/>
      <c r="R1304" s="43">
        <f>IF($B1304="","",N($S1304)-N($Q1304))</f>
        <v/>
      </c>
      <c r="S1304" s="43">
        <f>IF($B1304="","",N($L1304)+N($N1304)+N($P1304))</f>
        <v/>
      </c>
      <c r="T1304" s="42" t="n"/>
      <c r="U1304" s="42" t="n"/>
      <c r="V1304" s="42" t="n"/>
      <c r="W1304" s="42" t="n"/>
      <c r="X1304" s="42" t="n"/>
      <c r="Y1304" s="42" t="n"/>
      <c r="Z1304" s="42" t="n"/>
      <c r="AA1304" s="42" t="n"/>
      <c r="AB1304" s="42" t="n"/>
      <c r="AC1304" s="42" t="n"/>
      <c r="AD1304" s="42" t="n"/>
      <c r="AE1304" s="42" t="n"/>
      <c r="AF1304" s="43">
        <f>IF($B1304="","",SUM($T1304:$AE1304))</f>
        <v/>
      </c>
      <c r="AG1304" s="43">
        <f>IF($B1304="","",N($M1304)-N($AF1304))</f>
        <v/>
      </c>
      <c r="AH1304" s="43">
        <f>IF($B1304="","",N($L1304)-N($AF1304))</f>
        <v/>
      </c>
      <c r="AI1304" s="149">
        <f>IF($B1304="","",IF(N($L1304)=0,"",(N($L1304)-N($AF1304))/N($L1304)))</f>
        <v/>
      </c>
    </row>
    <row r="1305">
      <c r="A1305" s="39">
        <f>IF($B1305="","",COUNTA($B$4:$B1305))</f>
        <v/>
      </c>
      <c r="B1305" s="45" t="n">
        <v>46174</v>
      </c>
      <c r="C1305" s="46" t="n">
        <v>3018</v>
      </c>
      <c r="D1305" s="46" t="inlineStr">
        <is>
          <t xml:space="preserve">نوسكو </t>
        </is>
      </c>
      <c r="E1305" s="46" t="inlineStr">
        <is>
          <t>1*40</t>
        </is>
      </c>
      <c r="F1305" s="46" t="inlineStr">
        <is>
          <t xml:space="preserve">الفرسان </t>
        </is>
      </c>
      <c r="G1305" s="46" t="inlineStr">
        <is>
          <t xml:space="preserve">اكتوبر </t>
        </is>
      </c>
      <c r="H1305" s="46" t="inlineStr">
        <is>
          <t>734481/8</t>
        </is>
      </c>
      <c r="I1305" s="46" t="inlineStr">
        <is>
          <t>س ل ص 9688</t>
        </is>
      </c>
      <c r="J1305" s="46" t="inlineStr">
        <is>
          <t xml:space="preserve">سامى محمود </t>
        </is>
      </c>
      <c r="K1305" s="46" t="inlineStr">
        <is>
          <t xml:space="preserve">نوسكو </t>
        </is>
      </c>
      <c r="L1305" s="47" t="n">
        <v>13500</v>
      </c>
      <c r="M1305" s="47" t="n">
        <v>8100</v>
      </c>
      <c r="N1305" s="47" t="n"/>
      <c r="O1305" s="47" t="n">
        <v>200</v>
      </c>
      <c r="P1305" s="47" t="n"/>
      <c r="Q1305" s="47" t="n"/>
      <c r="R1305" s="43">
        <f>IF($B1305="","",N($S1305)-N($Q1305))</f>
        <v/>
      </c>
      <c r="S1305" s="43">
        <f>IF($B1305="","",N($L1305)+N($N1305)+N($P1305))</f>
        <v/>
      </c>
      <c r="T1305" s="47" t="n"/>
      <c r="U1305" s="47" t="n"/>
      <c r="V1305" s="47" t="n"/>
      <c r="W1305" s="47" t="n"/>
      <c r="X1305" s="47" t="n"/>
      <c r="Y1305" s="47" t="n"/>
      <c r="Z1305" s="47" t="n"/>
      <c r="AA1305" s="47" t="n"/>
      <c r="AB1305" s="47" t="n"/>
      <c r="AC1305" s="47" t="n"/>
      <c r="AD1305" s="47" t="n"/>
      <c r="AE1305" s="47" t="n"/>
      <c r="AF1305" s="43">
        <f>IF($B1305="","",SUM($T1305:$AE1305))</f>
        <v/>
      </c>
      <c r="AG1305" s="43">
        <f>IF($B1305="","",N($M1305)-N($AF1305))</f>
        <v/>
      </c>
      <c r="AH1305" s="43">
        <f>IF($B1305="","",N($L1305)-N($AF1305))</f>
        <v/>
      </c>
      <c r="AI1305" s="149">
        <f>IF($B1305="","",IF(N($L1305)=0,"",(N($L1305)-N($AF1305))/N($L1305)))</f>
        <v/>
      </c>
    </row>
    <row r="1306">
      <c r="A1306" s="39">
        <f>IF($B1306="","",COUNTA($B$4:$B1306))</f>
        <v/>
      </c>
      <c r="B1306" s="40" t="n">
        <v>46174</v>
      </c>
      <c r="C1306" s="41" t="n">
        <v>2547</v>
      </c>
      <c r="D1306" s="41" t="inlineStr">
        <is>
          <t xml:space="preserve">عتريس مخيمر </t>
        </is>
      </c>
      <c r="E1306" s="41" t="inlineStr">
        <is>
          <t>1*40</t>
        </is>
      </c>
      <c r="F1306" s="41" t="inlineStr">
        <is>
          <t xml:space="preserve">بريلى </t>
        </is>
      </c>
      <c r="G1306" s="41" t="inlineStr">
        <is>
          <t xml:space="preserve">اكتوبر </t>
        </is>
      </c>
      <c r="H1306" s="41" t="inlineStr">
        <is>
          <t>594093/7</t>
        </is>
      </c>
      <c r="I1306" s="41" t="inlineStr">
        <is>
          <t>ط ف ر 1474</t>
        </is>
      </c>
      <c r="J1306" s="41" t="inlineStr">
        <is>
          <t xml:space="preserve">جمال على </t>
        </is>
      </c>
      <c r="K1306" s="41" t="inlineStr">
        <is>
          <t xml:space="preserve">كريم خليف </t>
        </is>
      </c>
      <c r="L1306" s="42" t="n">
        <v>13800</v>
      </c>
      <c r="M1306" s="42" t="n">
        <v>8100</v>
      </c>
      <c r="N1306" s="42" t="n"/>
      <c r="O1306" s="42" t="n">
        <v>200</v>
      </c>
      <c r="P1306" s="42" t="n"/>
      <c r="Q1306" s="42" t="n"/>
      <c r="R1306" s="43">
        <f>IF($B1306="","",N($S1306)-N($Q1306))</f>
        <v/>
      </c>
      <c r="S1306" s="43">
        <f>IF($B1306="","",N($L1306)+N($N1306)+N($P1306))</f>
        <v/>
      </c>
      <c r="T1306" s="42" t="n"/>
      <c r="U1306" s="42" t="n"/>
      <c r="V1306" s="42" t="n"/>
      <c r="W1306" s="42" t="n"/>
      <c r="X1306" s="42" t="n"/>
      <c r="Y1306" s="42" t="n"/>
      <c r="Z1306" s="42" t="n"/>
      <c r="AA1306" s="42" t="n"/>
      <c r="AB1306" s="42" t="n"/>
      <c r="AC1306" s="42" t="n"/>
      <c r="AD1306" s="42" t="n"/>
      <c r="AE1306" s="42" t="n"/>
      <c r="AF1306" s="43">
        <f>IF($B1306="","",SUM($T1306:$AE1306))</f>
        <v/>
      </c>
      <c r="AG1306" s="43">
        <f>IF($B1306="","",N($M1306)-N($AF1306))</f>
        <v/>
      </c>
      <c r="AH1306" s="43">
        <f>IF($B1306="","",N($L1306)-N($AF1306))</f>
        <v/>
      </c>
      <c r="AI1306" s="149">
        <f>IF($B1306="","",IF(N($L1306)=0,"",(N($L1306)-N($AF1306))/N($L1306)))</f>
        <v/>
      </c>
    </row>
    <row r="1307">
      <c r="A1307" s="39">
        <f>IF($B1307="","",COUNTA($B$4:$B1307))</f>
        <v/>
      </c>
      <c r="B1307" s="45" t="n">
        <v>46174</v>
      </c>
      <c r="C1307" s="46" t="n">
        <v>2548</v>
      </c>
      <c r="D1307" s="46" t="inlineStr">
        <is>
          <t xml:space="preserve">الانصارى </t>
        </is>
      </c>
      <c r="E1307" s="46" t="inlineStr">
        <is>
          <t>1*40</t>
        </is>
      </c>
      <c r="F1307" s="46" t="inlineStr">
        <is>
          <t xml:space="preserve">بريلى </t>
        </is>
      </c>
      <c r="G1307" s="46" t="inlineStr">
        <is>
          <t xml:space="preserve">اكتوبر </t>
        </is>
      </c>
      <c r="H1307" s="46" t="inlineStr">
        <is>
          <t>694359/9</t>
        </is>
      </c>
      <c r="I1307" s="46" t="inlineStr">
        <is>
          <t>ب ص ا 2574</t>
        </is>
      </c>
      <c r="J1307" s="46" t="inlineStr">
        <is>
          <t xml:space="preserve">احمد عادل </t>
        </is>
      </c>
      <c r="K1307" s="46" t="inlineStr">
        <is>
          <t xml:space="preserve">احمد خليف </t>
        </is>
      </c>
      <c r="L1307" s="47" t="n">
        <v>13800</v>
      </c>
      <c r="M1307" s="47" t="n">
        <v>8100</v>
      </c>
      <c r="N1307" s="47" t="n"/>
      <c r="O1307" s="47" t="n">
        <v>200</v>
      </c>
      <c r="P1307" s="47" t="n"/>
      <c r="Q1307" s="47" t="n"/>
      <c r="R1307" s="43">
        <f>IF($B1307="","",N($S1307)-N($Q1307))</f>
        <v/>
      </c>
      <c r="S1307" s="43">
        <f>IF($B1307="","",N($L1307)+N($N1307)+N($P1307))</f>
        <v/>
      </c>
      <c r="T1307" s="47" t="n"/>
      <c r="U1307" s="47" t="n"/>
      <c r="V1307" s="47" t="n"/>
      <c r="W1307" s="47" t="n"/>
      <c r="X1307" s="47" t="n"/>
      <c r="Y1307" s="47" t="n"/>
      <c r="Z1307" s="47" t="n"/>
      <c r="AA1307" s="47" t="n"/>
      <c r="AB1307" s="47" t="n"/>
      <c r="AC1307" s="47" t="n"/>
      <c r="AD1307" s="47" t="n"/>
      <c r="AE1307" s="47" t="n"/>
      <c r="AF1307" s="43">
        <f>IF($B1307="","",SUM($T1307:$AE1307))</f>
        <v/>
      </c>
      <c r="AG1307" s="43">
        <f>IF($B1307="","",N($M1307)-N($AF1307))</f>
        <v/>
      </c>
      <c r="AH1307" s="43">
        <f>IF($B1307="","",N($L1307)-N($AF1307))</f>
        <v/>
      </c>
      <c r="AI1307" s="149">
        <f>IF($B1307="","",IF(N($L1307)=0,"",(N($L1307)-N($AF1307))/N($L1307)))</f>
        <v/>
      </c>
    </row>
    <row r="1308">
      <c r="A1308" s="39">
        <f>IF($B1308="","",COUNTA($B$4:$B1308))</f>
        <v/>
      </c>
      <c r="B1308" s="40" t="n">
        <v>46174</v>
      </c>
      <c r="C1308" s="41" t="n">
        <v>2549</v>
      </c>
      <c r="D1308" s="41" t="inlineStr">
        <is>
          <t>اسلام محروس</t>
        </is>
      </c>
      <c r="E1308" s="41" t="inlineStr">
        <is>
          <t>1*40</t>
        </is>
      </c>
      <c r="F1308" s="41" t="inlineStr">
        <is>
          <t xml:space="preserve">بريلى </t>
        </is>
      </c>
      <c r="G1308" s="41" t="inlineStr">
        <is>
          <t xml:space="preserve">اكتوبر </t>
        </is>
      </c>
      <c r="H1308" s="41" t="inlineStr">
        <is>
          <t>594593/9</t>
        </is>
      </c>
      <c r="I1308" s="41" t="inlineStr">
        <is>
          <t>س ن ر 7545</t>
        </is>
      </c>
      <c r="J1308" s="41" t="inlineStr">
        <is>
          <t>فتحى احمد</t>
        </is>
      </c>
      <c r="K1308" s="41" t="inlineStr">
        <is>
          <t xml:space="preserve">الحجرى </t>
        </is>
      </c>
      <c r="L1308" s="42" t="n">
        <v>13800</v>
      </c>
      <c r="M1308" s="42" t="n">
        <v>8100</v>
      </c>
      <c r="N1308" s="42" t="n"/>
      <c r="O1308" s="42" t="n">
        <v>200</v>
      </c>
      <c r="P1308" s="42" t="n"/>
      <c r="Q1308" s="42" t="n"/>
      <c r="R1308" s="43">
        <f>IF($B1308="","",N($S1308)-N($Q1308))</f>
        <v/>
      </c>
      <c r="S1308" s="43">
        <f>IF($B1308="","",N($L1308)+N($N1308)+N($P1308))</f>
        <v/>
      </c>
      <c r="T1308" s="42" t="n"/>
      <c r="U1308" s="42" t="n"/>
      <c r="V1308" s="42" t="n"/>
      <c r="W1308" s="42" t="n"/>
      <c r="X1308" s="42" t="n"/>
      <c r="Y1308" s="42" t="n"/>
      <c r="Z1308" s="42" t="n"/>
      <c r="AA1308" s="42" t="n"/>
      <c r="AB1308" s="42" t="n"/>
      <c r="AC1308" s="42" t="n"/>
      <c r="AD1308" s="42" t="n"/>
      <c r="AE1308" s="42" t="n"/>
      <c r="AF1308" s="43">
        <f>IF($B1308="","",SUM($T1308:$AE1308))</f>
        <v/>
      </c>
      <c r="AG1308" s="43">
        <f>IF($B1308="","",N($M1308)-N($AF1308))</f>
        <v/>
      </c>
      <c r="AH1308" s="43">
        <f>IF($B1308="","",N($L1308)-N($AF1308))</f>
        <v/>
      </c>
      <c r="AI1308" s="149">
        <f>IF($B1308="","",IF(N($L1308)=0,"",(N($L1308)-N($AF1308))/N($L1308)))</f>
        <v/>
      </c>
    </row>
    <row r="1309">
      <c r="A1309" s="39">
        <f>IF($B1309="","",COUNTA($B$4:$B1309))</f>
        <v/>
      </c>
      <c r="B1309" s="45" t="n">
        <v>46174</v>
      </c>
      <c r="C1309" s="46" t="n">
        <v>2550</v>
      </c>
      <c r="D1309" s="46" t="inlineStr">
        <is>
          <t xml:space="preserve">كمال رزق </t>
        </is>
      </c>
      <c r="E1309" s="46" t="inlineStr">
        <is>
          <t>1*40</t>
        </is>
      </c>
      <c r="F1309" s="46" t="inlineStr">
        <is>
          <t xml:space="preserve">ان اوتو </t>
        </is>
      </c>
      <c r="G1309" s="46" t="inlineStr">
        <is>
          <t xml:space="preserve">العامرية </t>
        </is>
      </c>
      <c r="H1309" s="46" t="inlineStr">
        <is>
          <t>476084/0</t>
        </is>
      </c>
      <c r="I1309" s="46" t="inlineStr">
        <is>
          <t>س ن ر 8979</t>
        </is>
      </c>
      <c r="J1309" s="46" t="inlineStr">
        <is>
          <t xml:space="preserve">عماد سعيد </t>
        </is>
      </c>
      <c r="K1309" s="46" t="inlineStr">
        <is>
          <t xml:space="preserve">عماد سعيد </t>
        </is>
      </c>
      <c r="L1309" s="47" t="n">
        <v>6000</v>
      </c>
      <c r="M1309" s="47" t="n">
        <v>5100</v>
      </c>
      <c r="N1309" s="47" t="n"/>
      <c r="O1309" s="47" t="n">
        <v>200</v>
      </c>
      <c r="P1309" s="47" t="n"/>
      <c r="Q1309" s="47" t="n"/>
      <c r="R1309" s="43">
        <f>IF($B1309="","",N($S1309)-N($Q1309))</f>
        <v/>
      </c>
      <c r="S1309" s="43">
        <f>IF($B1309="","",N($L1309)+N($N1309)+N($P1309))</f>
        <v/>
      </c>
      <c r="T1309" s="47" t="n"/>
      <c r="U1309" s="47" t="n"/>
      <c r="V1309" s="47" t="n"/>
      <c r="W1309" s="47" t="n"/>
      <c r="X1309" s="47" t="n"/>
      <c r="Y1309" s="47" t="n"/>
      <c r="Z1309" s="47" t="n"/>
      <c r="AA1309" s="47" t="n"/>
      <c r="AB1309" s="47" t="n"/>
      <c r="AC1309" s="47" t="n"/>
      <c r="AD1309" s="47" t="n"/>
      <c r="AE1309" s="47" t="n"/>
      <c r="AF1309" s="43">
        <f>IF($B1309="","",SUM($T1309:$AE1309))</f>
        <v/>
      </c>
      <c r="AG1309" s="43">
        <f>IF($B1309="","",N($M1309)-N($AF1309))</f>
        <v/>
      </c>
      <c r="AH1309" s="43">
        <f>IF($B1309="","",N($L1309)-N($AF1309))</f>
        <v/>
      </c>
      <c r="AI1309" s="149">
        <f>IF($B1309="","",IF(N($L1309)=0,"",(N($L1309)-N($AF1309))/N($L1309)))</f>
        <v/>
      </c>
    </row>
    <row r="1310">
      <c r="A1310" s="39">
        <f>IF($B1310="","",COUNTA($B$4:$B1310))</f>
        <v/>
      </c>
      <c r="B1310" s="40" t="n">
        <v>46174</v>
      </c>
      <c r="C1310" s="41" t="n">
        <v>2545</v>
      </c>
      <c r="D1310" s="41" t="inlineStr">
        <is>
          <t xml:space="preserve">احمد عبدو </t>
        </is>
      </c>
      <c r="E1310" s="41" t="inlineStr">
        <is>
          <t>1*40</t>
        </is>
      </c>
      <c r="F1310" s="41" t="inlineStr">
        <is>
          <t xml:space="preserve">ايتامكو </t>
        </is>
      </c>
      <c r="G1310" s="41" t="inlineStr">
        <is>
          <t xml:space="preserve">ط التحدى </t>
        </is>
      </c>
      <c r="H1310" s="41" t="inlineStr">
        <is>
          <t>694349/6</t>
        </is>
      </c>
      <c r="I1310" s="41" t="inlineStr">
        <is>
          <t>س و ب 5219</t>
        </is>
      </c>
      <c r="J1310" s="41" t="inlineStr">
        <is>
          <t xml:space="preserve">محمد عبد القادر </t>
        </is>
      </c>
      <c r="K1310" s="41" t="inlineStr">
        <is>
          <t xml:space="preserve">حمو البيبى </t>
        </is>
      </c>
      <c r="L1310" s="42" t="n">
        <v>12500</v>
      </c>
      <c r="M1310" s="42" t="n">
        <v>8100</v>
      </c>
      <c r="N1310" s="42" t="n"/>
      <c r="O1310" s="42" t="n">
        <v>200</v>
      </c>
      <c r="P1310" s="42" t="n"/>
      <c r="Q1310" s="42" t="n"/>
      <c r="R1310" s="43">
        <f>IF($B1310="","",N($S1310)-N($Q1310))</f>
        <v/>
      </c>
      <c r="S1310" s="43">
        <f>IF($B1310="","",N($L1310)+N($N1310)+N($P1310))</f>
        <v/>
      </c>
      <c r="T1310" s="42" t="n"/>
      <c r="U1310" s="42" t="n"/>
      <c r="V1310" s="42" t="n"/>
      <c r="W1310" s="42" t="n"/>
      <c r="X1310" s="42" t="n"/>
      <c r="Y1310" s="42" t="n"/>
      <c r="Z1310" s="42" t="n"/>
      <c r="AA1310" s="42" t="n"/>
      <c r="AB1310" s="42" t="n"/>
      <c r="AC1310" s="42" t="n"/>
      <c r="AD1310" s="42" t="n"/>
      <c r="AE1310" s="42" t="n"/>
      <c r="AF1310" s="43">
        <f>IF($B1310="","",SUM($T1310:$AE1310))</f>
        <v/>
      </c>
      <c r="AG1310" s="43">
        <f>IF($B1310="","",N($M1310)-N($AF1310))</f>
        <v/>
      </c>
      <c r="AH1310" s="43">
        <f>IF($B1310="","",N($L1310)-N($AF1310))</f>
        <v/>
      </c>
      <c r="AI1310" s="149">
        <f>IF($B1310="","",IF(N($L1310)=0,"",(N($L1310)-N($AF1310))/N($L1310)))</f>
        <v/>
      </c>
    </row>
    <row r="1311">
      <c r="A1311" s="39">
        <f>IF($B1311="","",COUNTA($B$4:$B1311))</f>
        <v/>
      </c>
      <c r="B1311" s="45" t="n">
        <v>46174</v>
      </c>
      <c r="C1311" s="46" t="n">
        <v>2546</v>
      </c>
      <c r="D1311" s="46" t="inlineStr">
        <is>
          <t>المكتب</t>
        </is>
      </c>
      <c r="E1311" s="46" t="inlineStr">
        <is>
          <t>1*40</t>
        </is>
      </c>
      <c r="F1311" s="46" t="inlineStr">
        <is>
          <t xml:space="preserve">ايتامكو </t>
        </is>
      </c>
      <c r="G1311" s="46" t="inlineStr">
        <is>
          <t xml:space="preserve">ط التحدى </t>
        </is>
      </c>
      <c r="H1311" s="46" t="inlineStr">
        <is>
          <t>901111/2</t>
        </is>
      </c>
      <c r="I1311" s="46" t="inlineStr">
        <is>
          <t>س ع م 8737</t>
        </is>
      </c>
      <c r="J1311" s="46" t="inlineStr">
        <is>
          <t xml:space="preserve">جلال حسنى </t>
        </is>
      </c>
      <c r="K1311" s="46" t="inlineStr">
        <is>
          <t xml:space="preserve">المكتب </t>
        </is>
      </c>
      <c r="L1311" s="47" t="n">
        <v>12500</v>
      </c>
      <c r="M1311" s="47" t="n">
        <v>3000</v>
      </c>
      <c r="N1311" s="47" t="n"/>
      <c r="O1311" s="47" t="n"/>
      <c r="P1311" s="47" t="n"/>
      <c r="Q1311" s="47" t="n">
        <v>9500</v>
      </c>
      <c r="R1311" s="43">
        <f>IF($B1311="","",N($S1311)-N($Q1311))</f>
        <v/>
      </c>
      <c r="S1311" s="43">
        <f>IF($B1311="","",N($L1311)+N($N1311)+N($P1311))</f>
        <v/>
      </c>
      <c r="T1311" s="47" t="n"/>
      <c r="U1311" s="47" t="n"/>
      <c r="V1311" s="47" t="n"/>
      <c r="W1311" s="47" t="n"/>
      <c r="X1311" s="47" t="n"/>
      <c r="Y1311" s="47" t="n"/>
      <c r="Z1311" s="47" t="n"/>
      <c r="AA1311" s="47" t="n"/>
      <c r="AB1311" s="47" t="n"/>
      <c r="AC1311" s="47" t="n"/>
      <c r="AD1311" s="47" t="n"/>
      <c r="AE1311" s="47" t="n"/>
      <c r="AF1311" s="43">
        <f>IF($B1311="","",SUM($T1311:$AE1311))</f>
        <v/>
      </c>
      <c r="AG1311" s="43">
        <f>IF($B1311="","",N($M1311)-N($AF1311))</f>
        <v/>
      </c>
      <c r="AH1311" s="43">
        <f>IF($B1311="","",N($L1311)-N($AF1311))</f>
        <v/>
      </c>
      <c r="AI1311" s="149">
        <f>IF($B1311="","",IF(N($L1311)=0,"",(N($L1311)-N($AF1311))/N($L1311)))</f>
        <v/>
      </c>
    </row>
    <row r="1312">
      <c r="A1312" s="39">
        <f>IF($B1312="","",COUNTA($B$4:$B1312))</f>
        <v/>
      </c>
      <c r="B1312" s="40" t="n">
        <v>46175</v>
      </c>
      <c r="C1312" s="41" t="n">
        <v>3106</v>
      </c>
      <c r="D1312" s="41" t="inlineStr">
        <is>
          <t xml:space="preserve">عتريس مخيمر </t>
        </is>
      </c>
      <c r="E1312" s="41" t="inlineStr">
        <is>
          <t>1*40</t>
        </is>
      </c>
      <c r="F1312" s="41" t="inlineStr">
        <is>
          <t xml:space="preserve">الفرسان </t>
        </is>
      </c>
      <c r="G1312" s="41" t="inlineStr">
        <is>
          <t xml:space="preserve">كتوبر </t>
        </is>
      </c>
      <c r="H1312" s="41" t="inlineStr">
        <is>
          <t>671606/7</t>
        </is>
      </c>
      <c r="I1312" s="41" t="inlineStr">
        <is>
          <t>ط ف ر 1474</t>
        </is>
      </c>
      <c r="J1312" s="41" t="inlineStr">
        <is>
          <t xml:space="preserve">جمال على </t>
        </is>
      </c>
      <c r="K1312" s="41" t="inlineStr">
        <is>
          <t xml:space="preserve">كريم خليف </t>
        </is>
      </c>
      <c r="L1312" s="42" t="n">
        <v>13500</v>
      </c>
      <c r="M1312" s="42" t="n">
        <v>8100</v>
      </c>
      <c r="N1312" s="42" t="n"/>
      <c r="O1312" s="42" t="n">
        <v>200</v>
      </c>
      <c r="P1312" s="42" t="n"/>
      <c r="Q1312" s="42" t="n"/>
      <c r="R1312" s="43">
        <f>IF($B1312="","",N($S1312)-N($Q1312))</f>
        <v/>
      </c>
      <c r="S1312" s="43">
        <f>IF($B1312="","",N($L1312)+N($N1312)+N($P1312))</f>
        <v/>
      </c>
      <c r="T1312" s="42" t="n"/>
      <c r="U1312" s="42" t="n"/>
      <c r="V1312" s="42" t="n"/>
      <c r="W1312" s="42" t="n"/>
      <c r="X1312" s="42" t="n"/>
      <c r="Y1312" s="42" t="n"/>
      <c r="Z1312" s="42" t="n"/>
      <c r="AA1312" s="42" t="n"/>
      <c r="AB1312" s="42" t="n"/>
      <c r="AC1312" s="42" t="n"/>
      <c r="AD1312" s="42" t="n"/>
      <c r="AE1312" s="42" t="n"/>
      <c r="AF1312" s="43">
        <f>IF($B1312="","",SUM($T1312:$AE1312))</f>
        <v/>
      </c>
      <c r="AG1312" s="43">
        <f>IF($B1312="","",N($M1312)-N($AF1312))</f>
        <v/>
      </c>
      <c r="AH1312" s="43">
        <f>IF($B1312="","",N($L1312)-N($AF1312))</f>
        <v/>
      </c>
      <c r="AI1312" s="149">
        <f>IF($B1312="","",IF(N($L1312)=0,"",(N($L1312)-N($AF1312))/N($L1312)))</f>
        <v/>
      </c>
    </row>
    <row r="1313">
      <c r="A1313" s="39">
        <f>IF($B1313="","",COUNTA($B$4:$B1313))</f>
        <v/>
      </c>
      <c r="B1313" s="45" t="n">
        <v>46175</v>
      </c>
      <c r="C1313" s="46" t="n">
        <v>3107</v>
      </c>
      <c r="D1313" s="46" t="inlineStr">
        <is>
          <t>اسلام محروس</t>
        </is>
      </c>
      <c r="E1313" s="46" t="inlineStr">
        <is>
          <t>1*40</t>
        </is>
      </c>
      <c r="F1313" s="46" t="inlineStr">
        <is>
          <t xml:space="preserve">الفرسان </t>
        </is>
      </c>
      <c r="G1313" s="46" t="inlineStr">
        <is>
          <t xml:space="preserve">اكتوبر </t>
        </is>
      </c>
      <c r="H1313" s="46" t="inlineStr">
        <is>
          <t>523875/0</t>
        </is>
      </c>
      <c r="I1313" s="46" t="inlineStr">
        <is>
          <t>ص ع ا 7462</t>
        </is>
      </c>
      <c r="J1313" s="46" t="inlineStr">
        <is>
          <t xml:space="preserve">فتحى احمد </t>
        </is>
      </c>
      <c r="K1313" s="46" t="inlineStr">
        <is>
          <t xml:space="preserve">الحجرى </t>
        </is>
      </c>
      <c r="L1313" s="47" t="n">
        <v>13500</v>
      </c>
      <c r="M1313" s="47" t="n">
        <v>8100</v>
      </c>
      <c r="N1313" s="47" t="n"/>
      <c r="O1313" s="47" t="n">
        <v>200</v>
      </c>
      <c r="P1313" s="47" t="n"/>
      <c r="Q1313" s="47" t="n"/>
      <c r="R1313" s="43">
        <f>IF($B1313="","",N($S1313)-N($Q1313))</f>
        <v/>
      </c>
      <c r="S1313" s="43">
        <f>IF($B1313="","",N($L1313)+N($N1313)+N($P1313))</f>
        <v/>
      </c>
      <c r="T1313" s="47" t="n"/>
      <c r="U1313" s="47" t="n"/>
      <c r="V1313" s="47" t="n"/>
      <c r="W1313" s="47" t="n"/>
      <c r="X1313" s="47" t="n"/>
      <c r="Y1313" s="47" t="n"/>
      <c r="Z1313" s="47" t="n"/>
      <c r="AA1313" s="47" t="n"/>
      <c r="AB1313" s="47" t="n"/>
      <c r="AC1313" s="47" t="n"/>
      <c r="AD1313" s="47" t="n"/>
      <c r="AE1313" s="47" t="n"/>
      <c r="AF1313" s="43">
        <f>IF($B1313="","",SUM($T1313:$AE1313))</f>
        <v/>
      </c>
      <c r="AG1313" s="43">
        <f>IF($B1313="","",N($M1313)-N($AF1313))</f>
        <v/>
      </c>
      <c r="AH1313" s="43">
        <f>IF($B1313="","",N($L1313)-N($AF1313))</f>
        <v/>
      </c>
      <c r="AI1313" s="149">
        <f>IF($B1313="","",IF(N($L1313)=0,"",(N($L1313)-N($AF1313))/N($L1313)))</f>
        <v/>
      </c>
    </row>
    <row r="1314">
      <c r="A1314" s="39">
        <f>IF($B1314="","",COUNTA($B$4:$B1314))</f>
        <v/>
      </c>
      <c r="B1314" s="40" t="n">
        <v>46175</v>
      </c>
      <c r="C1314" s="41" t="n">
        <v>3108</v>
      </c>
      <c r="D1314" s="41" t="inlineStr">
        <is>
          <t xml:space="preserve">الانصارى </t>
        </is>
      </c>
      <c r="E1314" s="41" t="inlineStr">
        <is>
          <t>1*40</t>
        </is>
      </c>
      <c r="F1314" s="41" t="inlineStr">
        <is>
          <t xml:space="preserve">الفرسان </t>
        </is>
      </c>
      <c r="G1314" s="41" t="inlineStr">
        <is>
          <t xml:space="preserve">اكتوبر </t>
        </is>
      </c>
      <c r="H1314" s="41" t="inlineStr">
        <is>
          <t>569429/2</t>
        </is>
      </c>
      <c r="I1314" s="41" t="inlineStr">
        <is>
          <t>ب ص ا 2574</t>
        </is>
      </c>
      <c r="J1314" s="41" t="inlineStr">
        <is>
          <t xml:space="preserve">احمد عادل </t>
        </is>
      </c>
      <c r="K1314" s="41" t="inlineStr">
        <is>
          <t xml:space="preserve">احمد خليف </t>
        </is>
      </c>
      <c r="L1314" s="42" t="n">
        <v>13500</v>
      </c>
      <c r="M1314" s="42" t="n">
        <v>8100</v>
      </c>
      <c r="N1314" s="42" t="n"/>
      <c r="O1314" s="42" t="n">
        <v>200</v>
      </c>
      <c r="P1314" s="42" t="n"/>
      <c r="Q1314" s="42" t="n"/>
      <c r="R1314" s="43">
        <f>IF($B1314="","",N($S1314)-N($Q1314))</f>
        <v/>
      </c>
      <c r="S1314" s="43">
        <f>IF($B1314="","",N($L1314)+N($N1314)+N($P1314))</f>
        <v/>
      </c>
      <c r="T1314" s="42" t="n"/>
      <c r="U1314" s="42" t="n"/>
      <c r="V1314" s="42" t="n"/>
      <c r="W1314" s="42" t="n"/>
      <c r="X1314" s="42" t="n"/>
      <c r="Y1314" s="42" t="n"/>
      <c r="Z1314" s="42" t="n"/>
      <c r="AA1314" s="42" t="n"/>
      <c r="AB1314" s="42" t="n"/>
      <c r="AC1314" s="42" t="n"/>
      <c r="AD1314" s="42" t="n"/>
      <c r="AE1314" s="42" t="n"/>
      <c r="AF1314" s="43">
        <f>IF($B1314="","",SUM($T1314:$AE1314))</f>
        <v/>
      </c>
      <c r="AG1314" s="43">
        <f>IF($B1314="","",N($M1314)-N($AF1314))</f>
        <v/>
      </c>
      <c r="AH1314" s="43">
        <f>IF($B1314="","",N($L1314)-N($AF1314))</f>
        <v/>
      </c>
      <c r="AI1314" s="149">
        <f>IF($B1314="","",IF(N($L1314)=0,"",(N($L1314)-N($AF1314))/N($L1314)))</f>
        <v/>
      </c>
    </row>
    <row r="1315">
      <c r="A1315" s="39">
        <f>IF($B1315="","",COUNTA($B$4:$B1315))</f>
        <v/>
      </c>
      <c r="B1315" s="45" t="n">
        <v>46175</v>
      </c>
      <c r="C1315" s="46" t="n">
        <v>3102</v>
      </c>
      <c r="D1315" s="46" t="n"/>
      <c r="E1315" s="46" t="inlineStr">
        <is>
          <t>1*40</t>
        </is>
      </c>
      <c r="F1315" s="46" t="inlineStr">
        <is>
          <t xml:space="preserve">الحناوى </t>
        </is>
      </c>
      <c r="G1315" s="46" t="inlineStr">
        <is>
          <t xml:space="preserve">السادات </t>
        </is>
      </c>
      <c r="H1315" s="46" t="inlineStr">
        <is>
          <t>556897/3</t>
        </is>
      </c>
      <c r="I1315" s="46" t="inlineStr">
        <is>
          <t>س ل ب 3192</t>
        </is>
      </c>
      <c r="J1315" s="46" t="inlineStr">
        <is>
          <t xml:space="preserve">طارق الجمل </t>
        </is>
      </c>
      <c r="K1315" s="46" t="inlineStr">
        <is>
          <t xml:space="preserve">الجمل </t>
        </is>
      </c>
      <c r="L1315" s="47" t="n">
        <v>12700</v>
      </c>
      <c r="M1315" s="47" t="n">
        <v>7100</v>
      </c>
      <c r="N1315" s="47" t="n"/>
      <c r="O1315" s="47" t="n">
        <v>200</v>
      </c>
      <c r="P1315" s="47" t="n"/>
      <c r="Q1315" s="47" t="n"/>
      <c r="R1315" s="43">
        <f>IF($B1315="","",N($S1315)-N($Q1315))</f>
        <v/>
      </c>
      <c r="S1315" s="43">
        <f>IF($B1315="","",N($L1315)+N($N1315)+N($P1315))</f>
        <v/>
      </c>
      <c r="T1315" s="47" t="n"/>
      <c r="U1315" s="47" t="n"/>
      <c r="V1315" s="47" t="n"/>
      <c r="W1315" s="47" t="n"/>
      <c r="X1315" s="47" t="n"/>
      <c r="Y1315" s="47" t="n"/>
      <c r="Z1315" s="47" t="n"/>
      <c r="AA1315" s="47" t="n"/>
      <c r="AB1315" s="47" t="n"/>
      <c r="AC1315" s="47" t="n"/>
      <c r="AD1315" s="47" t="n"/>
      <c r="AE1315" s="47" t="n"/>
      <c r="AF1315" s="43">
        <f>IF($B1315="","",SUM($T1315:$AE1315))</f>
        <v/>
      </c>
      <c r="AG1315" s="43">
        <f>IF($B1315="","",N($M1315)-N($AF1315))</f>
        <v/>
      </c>
      <c r="AH1315" s="43">
        <f>IF($B1315="","",N($L1315)-N($AF1315))</f>
        <v/>
      </c>
      <c r="AI1315" s="149">
        <f>IF($B1315="","",IF(N($L1315)=0,"",(N($L1315)-N($AF1315))/N($L1315)))</f>
        <v/>
      </c>
    </row>
    <row r="1316">
      <c r="A1316" s="39">
        <f>IF($B1316="","",COUNTA($B$4:$B1316))</f>
        <v/>
      </c>
      <c r="B1316" s="40" t="n">
        <v>46175</v>
      </c>
      <c r="C1316" s="41" t="n">
        <v>3103</v>
      </c>
      <c r="D1316" s="41" t="inlineStr">
        <is>
          <t xml:space="preserve">احمد عبدو </t>
        </is>
      </c>
      <c r="E1316" s="41" t="inlineStr">
        <is>
          <t>1*40</t>
        </is>
      </c>
      <c r="F1316" s="41" t="inlineStr">
        <is>
          <t xml:space="preserve">الحناوى </t>
        </is>
      </c>
      <c r="G1316" s="41" t="inlineStr">
        <is>
          <t xml:space="preserve">السادات </t>
        </is>
      </c>
      <c r="H1316" s="41" t="inlineStr">
        <is>
          <t>555154/5</t>
        </is>
      </c>
      <c r="I1316" s="41" t="inlineStr">
        <is>
          <t>س ا و 8242</t>
        </is>
      </c>
      <c r="J1316" s="41" t="inlineStr">
        <is>
          <t xml:space="preserve">احمد رجب </t>
        </is>
      </c>
      <c r="K1316" s="41" t="inlineStr">
        <is>
          <t>احمد نصير</t>
        </is>
      </c>
      <c r="L1316" s="42" t="n">
        <v>12700</v>
      </c>
      <c r="M1316" s="42" t="n">
        <v>7100</v>
      </c>
      <c r="N1316" s="42" t="n"/>
      <c r="O1316" s="42" t="n">
        <v>200</v>
      </c>
      <c r="P1316" s="42" t="n"/>
      <c r="Q1316" s="42" t="n"/>
      <c r="R1316" s="43">
        <f>IF($B1316="","",N($S1316)-N($Q1316))</f>
        <v/>
      </c>
      <c r="S1316" s="43">
        <f>IF($B1316="","",N($L1316)+N($N1316)+N($P1316))</f>
        <v/>
      </c>
      <c r="T1316" s="42" t="n"/>
      <c r="U1316" s="42" t="n"/>
      <c r="V1316" s="42" t="n"/>
      <c r="W1316" s="42" t="n"/>
      <c r="X1316" s="42" t="n"/>
      <c r="Y1316" s="42" t="n"/>
      <c r="Z1316" s="42" t="n"/>
      <c r="AA1316" s="42" t="n"/>
      <c r="AB1316" s="42" t="n"/>
      <c r="AC1316" s="42" t="n"/>
      <c r="AD1316" s="42" t="n"/>
      <c r="AE1316" s="42" t="n"/>
      <c r="AF1316" s="43">
        <f>IF($B1316="","",SUM($T1316:$AE1316))</f>
        <v/>
      </c>
      <c r="AG1316" s="43">
        <f>IF($B1316="","",N($M1316)-N($AF1316))</f>
        <v/>
      </c>
      <c r="AH1316" s="43">
        <f>IF($B1316="","",N($L1316)-N($AF1316))</f>
        <v/>
      </c>
      <c r="AI1316" s="149">
        <f>IF($B1316="","",IF(N($L1316)=0,"",(N($L1316)-N($AF1316))/N($L1316)))</f>
        <v/>
      </c>
    </row>
    <row r="1317">
      <c r="A1317" s="39">
        <f>IF($B1317="","",COUNTA($B$4:$B1317))</f>
        <v/>
      </c>
      <c r="B1317" s="45" t="n">
        <v>46175</v>
      </c>
      <c r="C1317" s="46" t="n">
        <v>3104</v>
      </c>
      <c r="D1317" s="46" t="inlineStr">
        <is>
          <t>المكتب</t>
        </is>
      </c>
      <c r="E1317" s="46" t="inlineStr">
        <is>
          <t>1*40</t>
        </is>
      </c>
      <c r="F1317" s="46" t="inlineStr">
        <is>
          <t xml:space="preserve">الحناوى </t>
        </is>
      </c>
      <c r="G1317" s="46" t="inlineStr">
        <is>
          <t xml:space="preserve">السادات </t>
        </is>
      </c>
      <c r="H1317" s="46" t="inlineStr">
        <is>
          <t>722059/1</t>
        </is>
      </c>
      <c r="I1317" s="46" t="inlineStr">
        <is>
          <t>س ع م 8737</t>
        </is>
      </c>
      <c r="J1317" s="46" t="inlineStr">
        <is>
          <t xml:space="preserve">جلال حسنى </t>
        </is>
      </c>
      <c r="K1317" s="46" t="inlineStr">
        <is>
          <t xml:space="preserve">المكتب </t>
        </is>
      </c>
      <c r="L1317" s="47" t="n">
        <v>12700</v>
      </c>
      <c r="M1317" s="47" t="n">
        <v>3000</v>
      </c>
      <c r="N1317" s="47" t="n"/>
      <c r="O1317" s="47" t="n"/>
      <c r="P1317" s="47" t="n"/>
      <c r="Q1317" s="47" t="n">
        <v>9700</v>
      </c>
      <c r="R1317" s="43">
        <f>IF($B1317="","",N($S1317)-N($Q1317))</f>
        <v/>
      </c>
      <c r="S1317" s="43">
        <f>IF($B1317="","",N($L1317)+N($N1317)+N($P1317))</f>
        <v/>
      </c>
      <c r="T1317" s="47" t="n"/>
      <c r="U1317" s="47" t="n"/>
      <c r="V1317" s="47" t="n"/>
      <c r="W1317" s="47" t="n"/>
      <c r="X1317" s="47" t="n"/>
      <c r="Y1317" s="47" t="n"/>
      <c r="Z1317" s="47" t="n"/>
      <c r="AA1317" s="47" t="n"/>
      <c r="AB1317" s="47" t="n"/>
      <c r="AC1317" s="47" t="n"/>
      <c r="AD1317" s="47" t="n"/>
      <c r="AE1317" s="47" t="n"/>
      <c r="AF1317" s="43">
        <f>IF($B1317="","",SUM($T1317:$AE1317))</f>
        <v/>
      </c>
      <c r="AG1317" s="43">
        <f>IF($B1317="","",N($M1317)-N($AF1317))</f>
        <v/>
      </c>
      <c r="AH1317" s="43">
        <f>IF($B1317="","",N($L1317)-N($AF1317))</f>
        <v/>
      </c>
      <c r="AI1317" s="149">
        <f>IF($B1317="","",IF(N($L1317)=0,"",(N($L1317)-N($AF1317))/N($L1317)))</f>
        <v/>
      </c>
    </row>
    <row r="1318">
      <c r="A1318" s="39">
        <f>IF($B1318="","",COUNTA($B$4:$B1318))</f>
        <v/>
      </c>
      <c r="B1318" s="40" t="n">
        <v>46175</v>
      </c>
      <c r="C1318" s="41" t="n">
        <v>3109</v>
      </c>
      <c r="D1318" s="41" t="inlineStr">
        <is>
          <t xml:space="preserve">احمد عبدو </t>
        </is>
      </c>
      <c r="E1318" s="41" t="inlineStr">
        <is>
          <t>1*40</t>
        </is>
      </c>
      <c r="F1318" s="41" t="inlineStr">
        <is>
          <t xml:space="preserve">بريلى </t>
        </is>
      </c>
      <c r="G1318" s="41" t="inlineStr">
        <is>
          <t xml:space="preserve">اكتوبر </t>
        </is>
      </c>
      <c r="H1318" s="41" t="n"/>
      <c r="I1318" s="41" t="inlineStr">
        <is>
          <t>س ى ه 9576</t>
        </is>
      </c>
      <c r="J1318" s="41" t="inlineStr">
        <is>
          <t xml:space="preserve">صموئيل محروس </t>
        </is>
      </c>
      <c r="K1318" s="41" t="n"/>
      <c r="L1318" s="42" t="n">
        <v>13800</v>
      </c>
      <c r="M1318" s="42" t="n">
        <v>9100</v>
      </c>
      <c r="N1318" s="42" t="n"/>
      <c r="O1318" s="42" t="n">
        <v>200</v>
      </c>
      <c r="P1318" s="42" t="n"/>
      <c r="Q1318" s="42" t="n"/>
      <c r="R1318" s="43">
        <f>IF($B1318="","",N($S1318)-N($Q1318))</f>
        <v/>
      </c>
      <c r="S1318" s="43">
        <f>IF($B1318="","",N($L1318)+N($N1318)+N($P1318))</f>
        <v/>
      </c>
      <c r="T1318" s="42" t="n"/>
      <c r="U1318" s="42" t="n"/>
      <c r="V1318" s="42" t="n"/>
      <c r="W1318" s="42" t="n"/>
      <c r="X1318" s="42" t="n"/>
      <c r="Y1318" s="42" t="n"/>
      <c r="Z1318" s="42" t="n"/>
      <c r="AA1318" s="42" t="n"/>
      <c r="AB1318" s="42" t="n"/>
      <c r="AC1318" s="42" t="n"/>
      <c r="AD1318" s="42" t="n"/>
      <c r="AE1318" s="42" t="n"/>
      <c r="AF1318" s="43">
        <f>IF($B1318="","",SUM($T1318:$AE1318))</f>
        <v/>
      </c>
      <c r="AG1318" s="43">
        <f>IF($B1318="","",N($M1318)-N($AF1318))</f>
        <v/>
      </c>
      <c r="AH1318" s="43">
        <f>IF($B1318="","",N($L1318)-N($AF1318))</f>
        <v/>
      </c>
      <c r="AI1318" s="149">
        <f>IF($B1318="","",IF(N($L1318)=0,"",(N($L1318)-N($AF1318))/N($L1318)))</f>
        <v/>
      </c>
    </row>
    <row r="1319">
      <c r="A1319" s="39">
        <f>IF($B1319="","",COUNTA($B$4:$B1319))</f>
        <v/>
      </c>
      <c r="B1319" s="45" t="n">
        <v>46175</v>
      </c>
      <c r="C1319" s="46" t="n">
        <v>3101</v>
      </c>
      <c r="D1319" s="46" t="inlineStr">
        <is>
          <t xml:space="preserve">حماد </t>
        </is>
      </c>
      <c r="E1319" s="46" t="inlineStr">
        <is>
          <t>1*40</t>
        </is>
      </c>
      <c r="F1319" s="46" t="inlineStr">
        <is>
          <t xml:space="preserve">بريلى </t>
        </is>
      </c>
      <c r="G1319" s="46" t="inlineStr">
        <is>
          <t xml:space="preserve">اكتوبر </t>
        </is>
      </c>
      <c r="H1319" s="46" t="inlineStr">
        <is>
          <t>451023/6</t>
        </is>
      </c>
      <c r="I1319" s="46" t="inlineStr">
        <is>
          <t>س د ى 4174</t>
        </is>
      </c>
      <c r="J1319" s="46" t="inlineStr">
        <is>
          <t xml:space="preserve">محمود السيد </t>
        </is>
      </c>
      <c r="K1319" s="46" t="inlineStr">
        <is>
          <t xml:space="preserve">ممدوح الميكانيكى </t>
        </is>
      </c>
      <c r="L1319" s="47" t="n">
        <v>13800</v>
      </c>
      <c r="M1319" s="47" t="n">
        <v>8100</v>
      </c>
      <c r="N1319" s="47" t="n"/>
      <c r="O1319" s="47" t="n">
        <v>200</v>
      </c>
      <c r="P1319" s="47" t="n"/>
      <c r="Q1319" s="47" t="n"/>
      <c r="R1319" s="43">
        <f>IF($B1319="","",N($S1319)-N($Q1319))</f>
        <v/>
      </c>
      <c r="S1319" s="43">
        <f>IF($B1319="","",N($L1319)+N($N1319)+N($P1319))</f>
        <v/>
      </c>
      <c r="T1319" s="47" t="n"/>
      <c r="U1319" s="47" t="n"/>
      <c r="V1319" s="47" t="n"/>
      <c r="W1319" s="47" t="n"/>
      <c r="X1319" s="47" t="n"/>
      <c r="Y1319" s="47" t="n"/>
      <c r="Z1319" s="47" t="n"/>
      <c r="AA1319" s="47" t="n"/>
      <c r="AB1319" s="47" t="n"/>
      <c r="AC1319" s="47" t="n"/>
      <c r="AD1319" s="47" t="n"/>
      <c r="AE1319" s="47" t="n"/>
      <c r="AF1319" s="43">
        <f>IF($B1319="","",SUM($T1319:$AE1319))</f>
        <v/>
      </c>
      <c r="AG1319" s="43">
        <f>IF($B1319="","",N($M1319)-N($AF1319))</f>
        <v/>
      </c>
      <c r="AH1319" s="43">
        <f>IF($B1319="","",N($L1319)-N($AF1319))</f>
        <v/>
      </c>
      <c r="AI1319" s="149">
        <f>IF($B1319="","",IF(N($L1319)=0,"",(N($L1319)-N($AF1319))/N($L1319)))</f>
        <v/>
      </c>
    </row>
    <row r="1320">
      <c r="A1320" s="39">
        <f>IF($B1320="","",COUNTA($B$4:$B1320))</f>
        <v/>
      </c>
      <c r="B1320" s="40" t="n">
        <v>46175</v>
      </c>
      <c r="C1320" s="41" t="n">
        <v>3105</v>
      </c>
      <c r="D1320" s="41" t="inlineStr">
        <is>
          <t>رجب عبد العال</t>
        </is>
      </c>
      <c r="E1320" s="41" t="inlineStr">
        <is>
          <t>1*40</t>
        </is>
      </c>
      <c r="F1320" s="41" t="inlineStr">
        <is>
          <t xml:space="preserve">بريلى </t>
        </is>
      </c>
      <c r="G1320" s="41" t="inlineStr">
        <is>
          <t xml:space="preserve">اكتوبر </t>
        </is>
      </c>
      <c r="H1320" s="41" t="inlineStr">
        <is>
          <t>594177/0</t>
        </is>
      </c>
      <c r="I1320" s="41" t="inlineStr">
        <is>
          <t>س د ى 2812</t>
        </is>
      </c>
      <c r="J1320" s="41" t="inlineStr">
        <is>
          <t xml:space="preserve">مجدى عبد الصابور </t>
        </is>
      </c>
      <c r="K1320" s="41" t="inlineStr">
        <is>
          <t>غزال</t>
        </is>
      </c>
      <c r="L1320" s="42" t="n">
        <v>14000</v>
      </c>
      <c r="M1320" s="42" t="n">
        <v>8100</v>
      </c>
      <c r="N1320" s="42" t="n"/>
      <c r="O1320" s="42" t="n">
        <v>200</v>
      </c>
      <c r="P1320" s="42" t="n"/>
      <c r="Q1320" s="42" t="n"/>
      <c r="R1320" s="43">
        <f>IF($B1320="","",N($S1320)-N($Q1320))</f>
        <v/>
      </c>
      <c r="S1320" s="43">
        <f>IF($B1320="","",N($L1320)+N($N1320)+N($P1320))</f>
        <v/>
      </c>
      <c r="T1320" s="42" t="n"/>
      <c r="U1320" s="42" t="n"/>
      <c r="V1320" s="42" t="n"/>
      <c r="W1320" s="42" t="n"/>
      <c r="X1320" s="42" t="n"/>
      <c r="Y1320" s="42" t="n"/>
      <c r="Z1320" s="42" t="n"/>
      <c r="AA1320" s="42" t="n"/>
      <c r="AB1320" s="42" t="n"/>
      <c r="AC1320" s="42" t="n"/>
      <c r="AD1320" s="42" t="n"/>
      <c r="AE1320" s="42" t="n"/>
      <c r="AF1320" s="43">
        <f>IF($B1320="","",SUM($T1320:$AE1320))</f>
        <v/>
      </c>
      <c r="AG1320" s="43">
        <f>IF($B1320="","",N($M1320)-N($AF1320))</f>
        <v/>
      </c>
      <c r="AH1320" s="43">
        <f>IF($B1320="","",N($L1320)-N($AF1320))</f>
        <v/>
      </c>
      <c r="AI1320" s="149">
        <f>IF($B1320="","",IF(N($L1320)=0,"",(N($L1320)-N($AF1320))/N($L1320)))</f>
        <v/>
      </c>
    </row>
    <row r="1321">
      <c r="A1321" s="39">
        <f>IF($B1321="","",COUNTA($B$4:$B1321))</f>
        <v/>
      </c>
      <c r="B1321" s="45" t="n">
        <v>46175</v>
      </c>
      <c r="C1321" s="46" t="n">
        <v>2931</v>
      </c>
      <c r="D1321" s="46" t="inlineStr">
        <is>
          <t xml:space="preserve">كمال رزق </t>
        </is>
      </c>
      <c r="E1321" s="46" t="inlineStr">
        <is>
          <t>1*40 ث</t>
        </is>
      </c>
      <c r="F1321" s="46" t="inlineStr">
        <is>
          <t xml:space="preserve">الخليج </t>
        </is>
      </c>
      <c r="G1321" s="46" t="inlineStr">
        <is>
          <t xml:space="preserve">ميت غمر </t>
        </is>
      </c>
      <c r="H1321" s="46" t="inlineStr">
        <is>
          <t>528296/0</t>
        </is>
      </c>
      <c r="I1321" s="46" t="inlineStr">
        <is>
          <t>س ع ن 3963</t>
        </is>
      </c>
      <c r="J1321" s="46" t="inlineStr">
        <is>
          <t xml:space="preserve">محمد غازى </t>
        </is>
      </c>
      <c r="K1321" s="46" t="inlineStr">
        <is>
          <t xml:space="preserve">محمد غازى </t>
        </is>
      </c>
      <c r="L1321" s="47" t="n">
        <v>16000</v>
      </c>
      <c r="M1321" s="47" t="n">
        <v>9100</v>
      </c>
      <c r="N1321" s="47" t="n"/>
      <c r="O1321" s="47" t="n">
        <v>200</v>
      </c>
      <c r="P1321" s="47" t="n"/>
      <c r="Q1321" s="47" t="n"/>
      <c r="R1321" s="43">
        <f>IF($B1321="","",N($S1321)-N($Q1321))</f>
        <v/>
      </c>
      <c r="S1321" s="43">
        <f>IF($B1321="","",N($L1321)+N($N1321)+N($P1321))</f>
        <v/>
      </c>
      <c r="T1321" s="47" t="n"/>
      <c r="U1321" s="47" t="n"/>
      <c r="V1321" s="47" t="n"/>
      <c r="W1321" s="47" t="n"/>
      <c r="X1321" s="47" t="n"/>
      <c r="Y1321" s="47" t="n"/>
      <c r="Z1321" s="47" t="n"/>
      <c r="AA1321" s="47" t="n"/>
      <c r="AB1321" s="47" t="n"/>
      <c r="AC1321" s="47" t="n"/>
      <c r="AD1321" s="47" t="n"/>
      <c r="AE1321" s="47" t="n"/>
      <c r="AF1321" s="43">
        <f>IF($B1321="","",SUM($T1321:$AE1321))</f>
        <v/>
      </c>
      <c r="AG1321" s="43">
        <f>IF($B1321="","",N($M1321)-N($AF1321))</f>
        <v/>
      </c>
      <c r="AH1321" s="43">
        <f>IF($B1321="","",N($L1321)-N($AF1321))</f>
        <v/>
      </c>
      <c r="AI1321" s="149">
        <f>IF($B1321="","",IF(N($L1321)=0,"",(N($L1321)-N($AF1321))/N($L1321)))</f>
        <v/>
      </c>
    </row>
    <row r="1322">
      <c r="A1322" s="39">
        <f>IF($B1322="","",COUNTA($B$4:$B1322))</f>
        <v/>
      </c>
      <c r="B1322" s="40" t="n">
        <v>46175</v>
      </c>
      <c r="C1322" s="41" t="n">
        <v>2933</v>
      </c>
      <c r="D1322" s="41" t="inlineStr">
        <is>
          <t xml:space="preserve">كمال رزق </t>
        </is>
      </c>
      <c r="E1322" s="41" t="inlineStr">
        <is>
          <t>1*40 ث</t>
        </is>
      </c>
      <c r="F1322" s="41" t="inlineStr">
        <is>
          <t xml:space="preserve">الخليج </t>
        </is>
      </c>
      <c r="G1322" s="41" t="inlineStr">
        <is>
          <t xml:space="preserve">ميت غمر </t>
        </is>
      </c>
      <c r="H1322" s="41" t="n"/>
      <c r="I1322" s="41" t="inlineStr">
        <is>
          <t>س ن ر 8979</t>
        </is>
      </c>
      <c r="J1322" s="41" t="inlineStr">
        <is>
          <t xml:space="preserve">عماد سعيد </t>
        </is>
      </c>
      <c r="K1322" s="41" t="inlineStr">
        <is>
          <t xml:space="preserve">عماد سعيد </t>
        </is>
      </c>
      <c r="L1322" s="42" t="n">
        <v>16000</v>
      </c>
      <c r="M1322" s="42" t="n">
        <v>9100</v>
      </c>
      <c r="N1322" s="42" t="n"/>
      <c r="O1322" s="42" t="n">
        <v>200</v>
      </c>
      <c r="P1322" s="42" t="n"/>
      <c r="Q1322" s="42" t="n"/>
      <c r="R1322" s="43">
        <f>IF($B1322="","",N($S1322)-N($Q1322))</f>
        <v/>
      </c>
      <c r="S1322" s="43">
        <f>IF($B1322="","",N($L1322)+N($N1322)+N($P1322))</f>
        <v/>
      </c>
      <c r="T1322" s="42" t="n"/>
      <c r="U1322" s="42" t="n"/>
      <c r="V1322" s="42" t="n"/>
      <c r="W1322" s="42" t="n"/>
      <c r="X1322" s="42" t="n"/>
      <c r="Y1322" s="42" t="n"/>
      <c r="Z1322" s="42" t="n"/>
      <c r="AA1322" s="42" t="n"/>
      <c r="AB1322" s="42" t="n"/>
      <c r="AC1322" s="42" t="n"/>
      <c r="AD1322" s="42" t="n"/>
      <c r="AE1322" s="42" t="n"/>
      <c r="AF1322" s="43">
        <f>IF($B1322="","",SUM($T1322:$AE1322))</f>
        <v/>
      </c>
      <c r="AG1322" s="43">
        <f>IF($B1322="","",N($M1322)-N($AF1322))</f>
        <v/>
      </c>
      <c r="AH1322" s="43">
        <f>IF($B1322="","",N($L1322)-N($AF1322))</f>
        <v/>
      </c>
      <c r="AI1322" s="149">
        <f>IF($B1322="","",IF(N($L1322)=0,"",(N($L1322)-N($AF1322))/N($L1322)))</f>
        <v/>
      </c>
    </row>
    <row r="1323">
      <c r="A1323" s="39">
        <f>IF($B1323="","",COUNTA($B$4:$B1323))</f>
        <v/>
      </c>
      <c r="B1323" s="45" t="n">
        <v>46175</v>
      </c>
      <c r="C1323" s="46" t="n">
        <v>3070</v>
      </c>
      <c r="D1323" s="46" t="inlineStr">
        <is>
          <t xml:space="preserve">كمال رزق </t>
        </is>
      </c>
      <c r="E1323" s="46" t="inlineStr">
        <is>
          <t>1*40</t>
        </is>
      </c>
      <c r="F1323" s="46" t="inlineStr">
        <is>
          <t xml:space="preserve">نور الدين </t>
        </is>
      </c>
      <c r="G1323" s="46" t="inlineStr">
        <is>
          <t xml:space="preserve">القطامية </t>
        </is>
      </c>
      <c r="H1323" s="46" t="inlineStr">
        <is>
          <t>542402/4</t>
        </is>
      </c>
      <c r="I1323" s="46" t="inlineStr">
        <is>
          <t>س ن ر 8979</t>
        </is>
      </c>
      <c r="J1323" s="46" t="inlineStr">
        <is>
          <t xml:space="preserve">عماد سعيد </t>
        </is>
      </c>
      <c r="K1323" s="46" t="inlineStr">
        <is>
          <t xml:space="preserve">عماد سعيد </t>
        </is>
      </c>
      <c r="L1323" s="47" t="n">
        <v>15500</v>
      </c>
      <c r="M1323" s="47" t="n">
        <v>9100</v>
      </c>
      <c r="N1323" s="47" t="n"/>
      <c r="O1323" s="47" t="n">
        <v>200</v>
      </c>
      <c r="P1323" s="47" t="n"/>
      <c r="Q1323" s="47" t="n"/>
      <c r="R1323" s="43">
        <f>IF($B1323="","",N($S1323)-N($Q1323))</f>
        <v/>
      </c>
      <c r="S1323" s="43">
        <f>IF($B1323="","",N($L1323)+N($N1323)+N($P1323))</f>
        <v/>
      </c>
      <c r="T1323" s="47" t="n"/>
      <c r="U1323" s="47" t="n"/>
      <c r="V1323" s="47" t="n"/>
      <c r="W1323" s="47" t="n"/>
      <c r="X1323" s="47" t="n"/>
      <c r="Y1323" s="47" t="n"/>
      <c r="Z1323" s="47" t="n"/>
      <c r="AA1323" s="47" t="n"/>
      <c r="AB1323" s="47" t="n"/>
      <c r="AC1323" s="47" t="n"/>
      <c r="AD1323" s="47" t="n"/>
      <c r="AE1323" s="47" t="n"/>
      <c r="AF1323" s="43">
        <f>IF($B1323="","",SUM($T1323:$AE1323))</f>
        <v/>
      </c>
      <c r="AG1323" s="43">
        <f>IF($B1323="","",N($M1323)-N($AF1323))</f>
        <v/>
      </c>
      <c r="AH1323" s="43">
        <f>IF($B1323="","",N($L1323)-N($AF1323))</f>
        <v/>
      </c>
      <c r="AI1323" s="149">
        <f>IF($B1323="","",IF(N($L1323)=0,"",(N($L1323)-N($AF1323))/N($L1323)))</f>
        <v/>
      </c>
    </row>
    <row r="1324">
      <c r="A1324" s="39">
        <f>IF($B1324="","",COUNTA($B$4:$B1324))</f>
        <v/>
      </c>
      <c r="B1324" s="40" t="n">
        <v>46176</v>
      </c>
      <c r="C1324" s="41" t="n">
        <v>2938</v>
      </c>
      <c r="D1324" s="41" t="inlineStr">
        <is>
          <t>المكتب</t>
        </is>
      </c>
      <c r="E1324" s="41" t="inlineStr">
        <is>
          <t>2*20</t>
        </is>
      </c>
      <c r="F1324" s="41" t="inlineStr">
        <is>
          <t xml:space="preserve">اكما </t>
        </is>
      </c>
      <c r="G1324" s="41" t="inlineStr">
        <is>
          <t>بنى سويف</t>
        </is>
      </c>
      <c r="H1324" s="41" t="inlineStr">
        <is>
          <t>116423/9-322622/8</t>
        </is>
      </c>
      <c r="I1324" s="41" t="inlineStr">
        <is>
          <t>س ع م 8737</t>
        </is>
      </c>
      <c r="J1324" s="41" t="inlineStr">
        <is>
          <t xml:space="preserve">جلال حسنى </t>
        </is>
      </c>
      <c r="K1324" s="41" t="inlineStr">
        <is>
          <t xml:space="preserve">المكتب </t>
        </is>
      </c>
      <c r="L1324" s="42" t="n">
        <v>25000</v>
      </c>
      <c r="M1324" s="42" t="n">
        <v>4000</v>
      </c>
      <c r="N1324" s="42" t="n"/>
      <c r="O1324" s="42" t="n"/>
      <c r="P1324" s="42" t="n"/>
      <c r="Q1324" s="42" t="n">
        <v>21000</v>
      </c>
      <c r="R1324" s="43">
        <f>IF($B1324="","",N($S1324)-N($Q1324))</f>
        <v/>
      </c>
      <c r="S1324" s="43">
        <f>IF($B1324="","",N($L1324)+N($N1324)+N($P1324))</f>
        <v/>
      </c>
      <c r="T1324" s="42" t="n"/>
      <c r="U1324" s="42" t="n"/>
      <c r="V1324" s="42" t="n"/>
      <c r="W1324" s="42" t="n"/>
      <c r="X1324" s="42" t="n"/>
      <c r="Y1324" s="42" t="n"/>
      <c r="Z1324" s="42" t="n"/>
      <c r="AA1324" s="42" t="n"/>
      <c r="AB1324" s="42" t="n"/>
      <c r="AC1324" s="42" t="n"/>
      <c r="AD1324" s="42" t="n"/>
      <c r="AE1324" s="42" t="n"/>
      <c r="AF1324" s="43">
        <f>IF($B1324="","",SUM($T1324:$AE1324))</f>
        <v/>
      </c>
      <c r="AG1324" s="43">
        <f>IF($B1324="","",N($M1324)-N($AF1324))</f>
        <v/>
      </c>
      <c r="AH1324" s="43">
        <f>IF($B1324="","",N($L1324)-N($AF1324))</f>
        <v/>
      </c>
      <c r="AI1324" s="149">
        <f>IF($B1324="","",IF(N($L1324)=0,"",(N($L1324)-N($AF1324))/N($L1324)))</f>
        <v/>
      </c>
    </row>
    <row r="1325">
      <c r="A1325" s="39">
        <f>IF($B1325="","",COUNTA($B$4:$B1325))</f>
        <v/>
      </c>
      <c r="B1325" s="45" t="n">
        <v>46176</v>
      </c>
      <c r="C1325" s="46" t="n">
        <v>2937</v>
      </c>
      <c r="D1325" s="46" t="inlineStr">
        <is>
          <t xml:space="preserve">احمد عبدو </t>
        </is>
      </c>
      <c r="E1325" s="46" t="inlineStr">
        <is>
          <t>2*20</t>
        </is>
      </c>
      <c r="F1325" s="46" t="inlineStr">
        <is>
          <t xml:space="preserve">اكما </t>
        </is>
      </c>
      <c r="G1325" s="46" t="inlineStr">
        <is>
          <t>بنى سويف</t>
        </is>
      </c>
      <c r="H1325" s="46" t="inlineStr">
        <is>
          <t>125052/3-273019/5</t>
        </is>
      </c>
      <c r="I1325" s="46" t="inlineStr">
        <is>
          <t>ق ب ع 5358</t>
        </is>
      </c>
      <c r="J1325" s="46" t="inlineStr">
        <is>
          <t xml:space="preserve">كريم الغامرى </t>
        </is>
      </c>
      <c r="K1325" s="46" t="inlineStr">
        <is>
          <t xml:space="preserve">الغامرى </t>
        </is>
      </c>
      <c r="L1325" s="47" t="n">
        <v>25000</v>
      </c>
      <c r="M1325" s="47" t="n">
        <v>12100</v>
      </c>
      <c r="N1325" s="47" t="n"/>
      <c r="O1325" s="47" t="n">
        <v>200</v>
      </c>
      <c r="P1325" s="47" t="n"/>
      <c r="Q1325" s="47" t="n"/>
      <c r="R1325" s="43">
        <f>IF($B1325="","",N($S1325)-N($Q1325))</f>
        <v/>
      </c>
      <c r="S1325" s="43">
        <f>IF($B1325="","",N($L1325)+N($N1325)+N($P1325))</f>
        <v/>
      </c>
      <c r="T1325" s="47" t="n"/>
      <c r="U1325" s="47" t="n"/>
      <c r="V1325" s="47" t="n"/>
      <c r="W1325" s="47" t="n"/>
      <c r="X1325" s="47" t="n"/>
      <c r="Y1325" s="47" t="n"/>
      <c r="Z1325" s="47" t="n"/>
      <c r="AA1325" s="47" t="n"/>
      <c r="AB1325" s="47" t="n"/>
      <c r="AC1325" s="47" t="n"/>
      <c r="AD1325" s="47" t="n"/>
      <c r="AE1325" s="47" t="n"/>
      <c r="AF1325" s="43">
        <f>IF($B1325="","",SUM($T1325:$AE1325))</f>
        <v/>
      </c>
      <c r="AG1325" s="43">
        <f>IF($B1325="","",N($M1325)-N($AF1325))</f>
        <v/>
      </c>
      <c r="AH1325" s="43">
        <f>IF($B1325="","",N($L1325)-N($AF1325))</f>
        <v/>
      </c>
      <c r="AI1325" s="149">
        <f>IF($B1325="","",IF(N($L1325)=0,"",(N($L1325)-N($AF1325))/N($L1325)))</f>
        <v/>
      </c>
    </row>
    <row r="1326">
      <c r="A1326" s="39">
        <f>IF($B1326="","",COUNTA($B$4:$B1326))</f>
        <v/>
      </c>
      <c r="B1326" s="40" t="n">
        <v>46176</v>
      </c>
      <c r="C1326" s="41" t="n">
        <v>2936</v>
      </c>
      <c r="D1326" s="41" t="inlineStr">
        <is>
          <t xml:space="preserve">احمد عبدو </t>
        </is>
      </c>
      <c r="E1326" s="41" t="inlineStr">
        <is>
          <t>2*20</t>
        </is>
      </c>
      <c r="F1326" s="41" t="inlineStr">
        <is>
          <t xml:space="preserve">اكما </t>
        </is>
      </c>
      <c r="G1326" s="41" t="inlineStr">
        <is>
          <t>بنى سويف</t>
        </is>
      </c>
      <c r="H1326" s="41" t="inlineStr">
        <is>
          <t>278857/9-206638/8</t>
        </is>
      </c>
      <c r="I1326" s="41" t="inlineStr">
        <is>
          <t>ق ع و 2185</t>
        </is>
      </c>
      <c r="J1326" s="41" t="inlineStr">
        <is>
          <t xml:space="preserve">بسام محمد </t>
        </is>
      </c>
      <c r="K1326" s="41" t="inlineStr">
        <is>
          <t>محمد صلاح</t>
        </is>
      </c>
      <c r="L1326" s="42" t="n">
        <v>25000</v>
      </c>
      <c r="M1326" s="42" t="n">
        <v>12100</v>
      </c>
      <c r="N1326" s="42" t="n"/>
      <c r="O1326" s="42" t="n">
        <v>200</v>
      </c>
      <c r="P1326" s="42" t="n"/>
      <c r="Q1326" s="42" t="n"/>
      <c r="R1326" s="43">
        <f>IF($B1326="","",N($S1326)-N($Q1326))</f>
        <v/>
      </c>
      <c r="S1326" s="43">
        <f>IF($B1326="","",N($L1326)+N($N1326)+N($P1326))</f>
        <v/>
      </c>
      <c r="T1326" s="42" t="n"/>
      <c r="U1326" s="42" t="n"/>
      <c r="V1326" s="42" t="n"/>
      <c r="W1326" s="42" t="n"/>
      <c r="X1326" s="42" t="n"/>
      <c r="Y1326" s="42" t="n"/>
      <c r="Z1326" s="42" t="n"/>
      <c r="AA1326" s="42" t="n"/>
      <c r="AB1326" s="42" t="n"/>
      <c r="AC1326" s="42" t="n"/>
      <c r="AD1326" s="42" t="n"/>
      <c r="AE1326" s="42" t="n"/>
      <c r="AF1326" s="43">
        <f>IF($B1326="","",SUM($T1326:$AE1326))</f>
        <v/>
      </c>
      <c r="AG1326" s="43">
        <f>IF($B1326="","",N($M1326)-N($AF1326))</f>
        <v/>
      </c>
      <c r="AH1326" s="43">
        <f>IF($B1326="","",N($L1326)-N($AF1326))</f>
        <v/>
      </c>
      <c r="AI1326" s="149">
        <f>IF($B1326="","",IF(N($L1326)=0,"",(N($L1326)-N($AF1326))/N($L1326)))</f>
        <v/>
      </c>
    </row>
    <row r="1327">
      <c r="A1327" s="39">
        <f>IF($B1327="","",COUNTA($B$4:$B1327))</f>
        <v/>
      </c>
      <c r="B1327" s="45" t="n">
        <v>46176</v>
      </c>
      <c r="C1327" s="46" t="n">
        <v>2935</v>
      </c>
      <c r="D1327" s="46" t="inlineStr">
        <is>
          <t xml:space="preserve">استوريا </t>
        </is>
      </c>
      <c r="E1327" s="46" t="inlineStr">
        <is>
          <t>2*20</t>
        </is>
      </c>
      <c r="F1327" s="46" t="inlineStr">
        <is>
          <t xml:space="preserve">اكما </t>
        </is>
      </c>
      <c r="G1327" s="46" t="inlineStr">
        <is>
          <t>بنى سويف</t>
        </is>
      </c>
      <c r="H1327" s="46" t="inlineStr">
        <is>
          <t>237620/2-3255556/0</t>
        </is>
      </c>
      <c r="I1327" s="46" t="inlineStr">
        <is>
          <t>ب ل ص 9415</t>
        </is>
      </c>
      <c r="J1327" s="46" t="inlineStr">
        <is>
          <t xml:space="preserve">مصطفى محمود </t>
        </is>
      </c>
      <c r="K1327" s="46" t="inlineStr">
        <is>
          <t xml:space="preserve">صبحى جميل </t>
        </is>
      </c>
      <c r="L1327" s="47" t="n">
        <v>25000</v>
      </c>
      <c r="M1327" s="47" t="n">
        <v>12100</v>
      </c>
      <c r="N1327" s="47" t="n"/>
      <c r="O1327" s="47" t="n">
        <v>200</v>
      </c>
      <c r="P1327" s="47" t="n"/>
      <c r="Q1327" s="47" t="n"/>
      <c r="R1327" s="43">
        <f>IF($B1327="","",N($S1327)-N($Q1327))</f>
        <v/>
      </c>
      <c r="S1327" s="43">
        <f>IF($B1327="","",N($L1327)+N($N1327)+N($P1327))</f>
        <v/>
      </c>
      <c r="T1327" s="47" t="n"/>
      <c r="U1327" s="47" t="n"/>
      <c r="V1327" s="47" t="n"/>
      <c r="W1327" s="47" t="n"/>
      <c r="X1327" s="47" t="n"/>
      <c r="Y1327" s="47" t="n"/>
      <c r="Z1327" s="47" t="n"/>
      <c r="AA1327" s="47" t="n"/>
      <c r="AB1327" s="47" t="n"/>
      <c r="AC1327" s="47" t="n"/>
      <c r="AD1327" s="47" t="n"/>
      <c r="AE1327" s="47" t="n"/>
      <c r="AF1327" s="43">
        <f>IF($B1327="","",SUM($T1327:$AE1327))</f>
        <v/>
      </c>
      <c r="AG1327" s="43">
        <f>IF($B1327="","",N($M1327)-N($AF1327))</f>
        <v/>
      </c>
      <c r="AH1327" s="43">
        <f>IF($B1327="","",N($L1327)-N($AF1327))</f>
        <v/>
      </c>
      <c r="AI1327" s="149">
        <f>IF($B1327="","",IF(N($L1327)=0,"",(N($L1327)-N($AF1327))/N($L1327)))</f>
        <v/>
      </c>
    </row>
    <row r="1328">
      <c r="A1328" s="39">
        <f>IF($B1328="","",COUNTA($B$4:$B1328))</f>
        <v/>
      </c>
      <c r="B1328" s="40" t="n">
        <v>46176</v>
      </c>
      <c r="C1328" s="41" t="n">
        <v>2934</v>
      </c>
      <c r="D1328" s="41" t="inlineStr">
        <is>
          <t>حريقة</t>
        </is>
      </c>
      <c r="E1328" s="41" t="inlineStr">
        <is>
          <t>2*20</t>
        </is>
      </c>
      <c r="F1328" s="41" t="inlineStr">
        <is>
          <t xml:space="preserve">اكما </t>
        </is>
      </c>
      <c r="G1328" s="41" t="inlineStr">
        <is>
          <t>بنى سويف</t>
        </is>
      </c>
      <c r="H1328" s="41" t="inlineStr">
        <is>
          <t>272932/1-248106/8</t>
        </is>
      </c>
      <c r="I1328" s="41" t="inlineStr">
        <is>
          <t>ب د ف 7612</t>
        </is>
      </c>
      <c r="J1328" s="41" t="inlineStr">
        <is>
          <t>احمد سامح</t>
        </is>
      </c>
      <c r="K1328" s="41" t="inlineStr">
        <is>
          <t xml:space="preserve">هانى الفيل </t>
        </is>
      </c>
      <c r="L1328" s="42" t="n">
        <v>25000</v>
      </c>
      <c r="M1328" s="42" t="n">
        <v>12100</v>
      </c>
      <c r="N1328" s="42" t="n"/>
      <c r="O1328" s="42" t="n">
        <v>200</v>
      </c>
      <c r="P1328" s="42" t="n"/>
      <c r="Q1328" s="42" t="n"/>
      <c r="R1328" s="43">
        <f>IF($B1328="","",N($S1328)-N($Q1328))</f>
        <v/>
      </c>
      <c r="S1328" s="43">
        <f>IF($B1328="","",N($L1328)+N($N1328)+N($P1328))</f>
        <v/>
      </c>
      <c r="T1328" s="42" t="n"/>
      <c r="U1328" s="42" t="n"/>
      <c r="V1328" s="42" t="n"/>
      <c r="W1328" s="42" t="n"/>
      <c r="X1328" s="42" t="n"/>
      <c r="Y1328" s="42" t="n"/>
      <c r="Z1328" s="42" t="n"/>
      <c r="AA1328" s="42" t="n"/>
      <c r="AB1328" s="42" t="n"/>
      <c r="AC1328" s="42" t="n"/>
      <c r="AD1328" s="42" t="n"/>
      <c r="AE1328" s="42" t="n"/>
      <c r="AF1328" s="43">
        <f>IF($B1328="","",SUM($T1328:$AE1328))</f>
        <v/>
      </c>
      <c r="AG1328" s="43">
        <f>IF($B1328="","",N($M1328)-N($AF1328))</f>
        <v/>
      </c>
      <c r="AH1328" s="43">
        <f>IF($B1328="","",N($L1328)-N($AF1328))</f>
        <v/>
      </c>
      <c r="AI1328" s="149">
        <f>IF($B1328="","",IF(N($L1328)=0,"",(N($L1328)-N($AF1328))/N($L1328)))</f>
        <v/>
      </c>
    </row>
    <row r="1329">
      <c r="A1329" s="39">
        <f>IF($B1329="","",COUNTA($B$4:$B1329))</f>
        <v/>
      </c>
      <c r="B1329" s="45" t="n">
        <v>46176</v>
      </c>
      <c r="C1329" s="46" t="n">
        <v>3072</v>
      </c>
      <c r="D1329" s="46" t="inlineStr">
        <is>
          <t>حريقة</t>
        </is>
      </c>
      <c r="E1329" s="46" t="inlineStr">
        <is>
          <t>1*40</t>
        </is>
      </c>
      <c r="F1329" s="46" t="inlineStr">
        <is>
          <t xml:space="preserve">فرست </t>
        </is>
      </c>
      <c r="G1329" s="46" t="inlineStr">
        <is>
          <t xml:space="preserve">العبور </t>
        </is>
      </c>
      <c r="H1329" s="46" t="inlineStr">
        <is>
          <t>751597/5</t>
        </is>
      </c>
      <c r="I1329" s="46" t="inlineStr">
        <is>
          <t>ب د ن 5962</t>
        </is>
      </c>
      <c r="J1329" s="46" t="inlineStr">
        <is>
          <t>محمد الفقى</t>
        </is>
      </c>
      <c r="K1329" s="46" t="n"/>
      <c r="L1329" s="47" t="n">
        <v>16000</v>
      </c>
      <c r="M1329" s="47" t="n">
        <v>7100</v>
      </c>
      <c r="N1329" s="47" t="n">
        <v>2500</v>
      </c>
      <c r="O1329" s="47" t="n">
        <v>200</v>
      </c>
      <c r="P1329" s="47" t="n"/>
      <c r="Q1329" s="47" t="n"/>
      <c r="R1329" s="43">
        <f>IF($B1329="","",N($S1329)-N($Q1329))</f>
        <v/>
      </c>
      <c r="S1329" s="43">
        <f>IF($B1329="","",N($L1329)+N($N1329)+N($P1329))</f>
        <v/>
      </c>
      <c r="T1329" s="47" t="n"/>
      <c r="U1329" s="47" t="n"/>
      <c r="V1329" s="47" t="n"/>
      <c r="W1329" s="47" t="n"/>
      <c r="X1329" s="47" t="n"/>
      <c r="Y1329" s="47" t="n"/>
      <c r="Z1329" s="47" t="n"/>
      <c r="AA1329" s="47" t="n"/>
      <c r="AB1329" s="47" t="n"/>
      <c r="AC1329" s="47" t="n"/>
      <c r="AD1329" s="47" t="n"/>
      <c r="AE1329" s="47" t="n"/>
      <c r="AF1329" s="43">
        <f>IF($B1329="","",SUM($T1329:$AE1329))</f>
        <v/>
      </c>
      <c r="AG1329" s="43">
        <f>IF($B1329="","",N($M1329)-N($AF1329))</f>
        <v/>
      </c>
      <c r="AH1329" s="43">
        <f>IF($B1329="","",N($L1329)-N($AF1329))</f>
        <v/>
      </c>
      <c r="AI1329" s="149">
        <f>IF($B1329="","",IF(N($L1329)=0,"",(N($L1329)-N($AF1329))/N($L1329)))</f>
        <v/>
      </c>
    </row>
    <row r="1330">
      <c r="A1330" s="39">
        <f>IF($B1330="","",COUNTA($B$4:$B1330))</f>
        <v/>
      </c>
      <c r="B1330" s="40" t="n">
        <v>46176</v>
      </c>
      <c r="C1330" s="41" t="n">
        <v>3071</v>
      </c>
      <c r="D1330" s="41" t="inlineStr">
        <is>
          <t>الشريف</t>
        </is>
      </c>
      <c r="E1330" s="41" t="inlineStr">
        <is>
          <t>1*40</t>
        </is>
      </c>
      <c r="F1330" s="41" t="inlineStr">
        <is>
          <t xml:space="preserve">الكرنك </t>
        </is>
      </c>
      <c r="G1330" s="41" t="inlineStr">
        <is>
          <t>الاسماعيليه</t>
        </is>
      </c>
      <c r="H1330" s="41" t="inlineStr">
        <is>
          <t>789506/8</t>
        </is>
      </c>
      <c r="I1330" s="41" t="inlineStr">
        <is>
          <t>ع ل ا 9262</t>
        </is>
      </c>
      <c r="J1330" s="41" t="inlineStr">
        <is>
          <t xml:space="preserve">عرفة زهران </t>
        </is>
      </c>
      <c r="K1330" s="41" t="n"/>
      <c r="L1330" s="42" t="n">
        <v>18000</v>
      </c>
      <c r="M1330" s="42" t="n">
        <v>8100</v>
      </c>
      <c r="N1330" s="42" t="n">
        <v>2500</v>
      </c>
      <c r="O1330" s="42" t="n">
        <v>200</v>
      </c>
      <c r="P1330" s="42" t="n"/>
      <c r="Q1330" s="42" t="n"/>
      <c r="R1330" s="43">
        <f>IF($B1330="","",N($S1330)-N($Q1330))</f>
        <v/>
      </c>
      <c r="S1330" s="43">
        <f>IF($B1330="","",N($L1330)+N($N1330)+N($P1330))</f>
        <v/>
      </c>
      <c r="T1330" s="42" t="n"/>
      <c r="U1330" s="42" t="n"/>
      <c r="V1330" s="42" t="n"/>
      <c r="W1330" s="42" t="n"/>
      <c r="X1330" s="42" t="n"/>
      <c r="Y1330" s="42" t="n"/>
      <c r="Z1330" s="42" t="n"/>
      <c r="AA1330" s="42" t="n"/>
      <c r="AB1330" s="42" t="n"/>
      <c r="AC1330" s="42" t="n"/>
      <c r="AD1330" s="42" t="n"/>
      <c r="AE1330" s="42" t="n"/>
      <c r="AF1330" s="43">
        <f>IF($B1330="","",SUM($T1330:$AE1330))</f>
        <v/>
      </c>
      <c r="AG1330" s="43">
        <f>IF($B1330="","",N($M1330)-N($AF1330))</f>
        <v/>
      </c>
      <c r="AH1330" s="43">
        <f>IF($B1330="","",N($L1330)-N($AF1330))</f>
        <v/>
      </c>
      <c r="AI1330" s="149">
        <f>IF($B1330="","",IF(N($L1330)=0,"",(N($L1330)-N($AF1330))/N($L1330)))</f>
        <v/>
      </c>
    </row>
    <row r="1331">
      <c r="A1331" s="39">
        <f>IF($B1331="","",COUNTA($B$4:$B1331))</f>
        <v/>
      </c>
      <c r="B1331" s="45" t="n">
        <v>46176</v>
      </c>
      <c r="C1331" s="46" t="n">
        <v>3073</v>
      </c>
      <c r="D1331" s="46" t="inlineStr">
        <is>
          <t xml:space="preserve">بنزينة </t>
        </is>
      </c>
      <c r="E1331" s="46" t="inlineStr">
        <is>
          <t>2*20</t>
        </is>
      </c>
      <c r="F1331" s="46" t="inlineStr">
        <is>
          <t xml:space="preserve">مطاحن التااج </t>
        </is>
      </c>
      <c r="G1331" s="46" t="inlineStr">
        <is>
          <t xml:space="preserve">اكتوبر </t>
        </is>
      </c>
      <c r="H1331" s="46" t="inlineStr">
        <is>
          <t>198156/4-140948/4</t>
        </is>
      </c>
      <c r="I1331" s="46" t="inlineStr">
        <is>
          <t>س ع ن 9389</t>
        </is>
      </c>
      <c r="J1331" s="46" t="inlineStr">
        <is>
          <t xml:space="preserve">مجدى فراج </t>
        </is>
      </c>
      <c r="K1331" s="46" t="inlineStr">
        <is>
          <t xml:space="preserve">احمد بنزينة </t>
        </is>
      </c>
      <c r="L1331" s="47" t="n">
        <v>18500</v>
      </c>
      <c r="M1331" s="47" t="n">
        <v>10100</v>
      </c>
      <c r="N1331" s="47" t="n">
        <v>1100</v>
      </c>
      <c r="O1331" s="47" t="n">
        <v>200</v>
      </c>
      <c r="P1331" s="47" t="n"/>
      <c r="Q1331" s="47" t="n"/>
      <c r="R1331" s="43">
        <f>IF($B1331="","",N($S1331)-N($Q1331))</f>
        <v/>
      </c>
      <c r="S1331" s="43">
        <f>IF($B1331="","",N($L1331)+N($N1331)+N($P1331))</f>
        <v/>
      </c>
      <c r="T1331" s="47" t="n"/>
      <c r="U1331" s="47" t="n"/>
      <c r="V1331" s="47" t="n"/>
      <c r="W1331" s="47" t="n"/>
      <c r="X1331" s="47" t="n"/>
      <c r="Y1331" s="47" t="n"/>
      <c r="Z1331" s="47" t="n"/>
      <c r="AA1331" s="47" t="n"/>
      <c r="AB1331" s="47" t="n"/>
      <c r="AC1331" s="47" t="n"/>
      <c r="AD1331" s="47" t="n"/>
      <c r="AE1331" s="47" t="n"/>
      <c r="AF1331" s="43">
        <f>IF($B1331="","",SUM($T1331:$AE1331))</f>
        <v/>
      </c>
      <c r="AG1331" s="43">
        <f>IF($B1331="","",N($M1331)-N($AF1331))</f>
        <v/>
      </c>
      <c r="AH1331" s="43">
        <f>IF($B1331="","",N($L1331)-N($AF1331))</f>
        <v/>
      </c>
      <c r="AI1331" s="149">
        <f>IF($B1331="","",IF(N($L1331)=0,"",(N($L1331)-N($AF1331))/N($L1331)))</f>
        <v/>
      </c>
    </row>
    <row r="1332">
      <c r="A1332" s="39">
        <f>IF($B1332="","",COUNTA($B$4:$B1332))</f>
        <v/>
      </c>
      <c r="B1332" s="40" t="n">
        <v>46176</v>
      </c>
      <c r="C1332" s="41" t="n">
        <v>3075</v>
      </c>
      <c r="D1332" s="41" t="inlineStr">
        <is>
          <t>محمد نبيل</t>
        </is>
      </c>
      <c r="E1332" s="41" t="inlineStr">
        <is>
          <t>2*20</t>
        </is>
      </c>
      <c r="F1332" s="41" t="inlineStr">
        <is>
          <t xml:space="preserve">مطاحن التاج </t>
        </is>
      </c>
      <c r="G1332" s="41" t="inlineStr">
        <is>
          <t xml:space="preserve">اكتوبر </t>
        </is>
      </c>
      <c r="H1332" s="41" t="inlineStr">
        <is>
          <t>164654/9-164645/1</t>
        </is>
      </c>
      <c r="I1332" s="41" t="inlineStr">
        <is>
          <t>ص ع ا 1578</t>
        </is>
      </c>
      <c r="J1332" s="41" t="inlineStr">
        <is>
          <t xml:space="preserve">بهاء </t>
        </is>
      </c>
      <c r="K1332" s="41" t="inlineStr">
        <is>
          <t xml:space="preserve">خفاجة </t>
        </is>
      </c>
      <c r="L1332" s="42" t="n">
        <v>18500</v>
      </c>
      <c r="M1332" s="42" t="n">
        <v>10100</v>
      </c>
      <c r="N1332" s="42" t="n">
        <v>1100</v>
      </c>
      <c r="O1332" s="42" t="n">
        <v>200</v>
      </c>
      <c r="P1332" s="42" t="n"/>
      <c r="Q1332" s="42" t="n"/>
      <c r="R1332" s="43">
        <f>IF($B1332="","",N($S1332)-N($Q1332))</f>
        <v/>
      </c>
      <c r="S1332" s="43">
        <f>IF($B1332="","",N($L1332)+N($N1332)+N($P1332))</f>
        <v/>
      </c>
      <c r="T1332" s="42" t="n"/>
      <c r="U1332" s="42" t="n"/>
      <c r="V1332" s="42" t="n"/>
      <c r="W1332" s="42" t="n"/>
      <c r="X1332" s="42" t="n"/>
      <c r="Y1332" s="42" t="n"/>
      <c r="Z1332" s="42" t="n"/>
      <c r="AA1332" s="42" t="n"/>
      <c r="AB1332" s="42" t="n"/>
      <c r="AC1332" s="42" t="n"/>
      <c r="AD1332" s="42" t="n"/>
      <c r="AE1332" s="42" t="n"/>
      <c r="AF1332" s="43">
        <f>IF($B1332="","",SUM($T1332:$AE1332))</f>
        <v/>
      </c>
      <c r="AG1332" s="43">
        <f>IF($B1332="","",N($M1332)-N($AF1332))</f>
        <v/>
      </c>
      <c r="AH1332" s="43">
        <f>IF($B1332="","",N($L1332)-N($AF1332))</f>
        <v/>
      </c>
      <c r="AI1332" s="149">
        <f>IF($B1332="","",IF(N($L1332)=0,"",(N($L1332)-N($AF1332))/N($L1332)))</f>
        <v/>
      </c>
    </row>
    <row r="1333">
      <c r="A1333" s="39">
        <f>IF($B1333="","",COUNTA($B$4:$B1333))</f>
        <v/>
      </c>
      <c r="B1333" s="45" t="n">
        <v>46176</v>
      </c>
      <c r="C1333" s="46" t="n">
        <v>3074</v>
      </c>
      <c r="D1333" s="46" t="inlineStr">
        <is>
          <t xml:space="preserve">بنزينة </t>
        </is>
      </c>
      <c r="E1333" s="46" t="inlineStr">
        <is>
          <t>2*20</t>
        </is>
      </c>
      <c r="F1333" s="46" t="inlineStr">
        <is>
          <t xml:space="preserve">مطاحن التاج </t>
        </is>
      </c>
      <c r="G1333" s="46" t="inlineStr">
        <is>
          <t xml:space="preserve">اكتوبر </t>
        </is>
      </c>
      <c r="H1333" s="46" t="inlineStr">
        <is>
          <t>692216/7-342778/0</t>
        </is>
      </c>
      <c r="I1333" s="46" t="inlineStr">
        <is>
          <t>س ع م 8242</t>
        </is>
      </c>
      <c r="J1333" s="46" t="inlineStr">
        <is>
          <t xml:space="preserve">رامى  </t>
        </is>
      </c>
      <c r="K1333" s="46" t="inlineStr">
        <is>
          <t xml:space="preserve">احمد بنزينة </t>
        </is>
      </c>
      <c r="L1333" s="47" t="n">
        <v>18500</v>
      </c>
      <c r="M1333" s="47" t="n">
        <v>10100</v>
      </c>
      <c r="N1333" s="47" t="n">
        <v>1100</v>
      </c>
      <c r="O1333" s="47" t="n">
        <v>200</v>
      </c>
      <c r="P1333" s="47" t="n"/>
      <c r="Q1333" s="47" t="n"/>
      <c r="R1333" s="43">
        <f>IF($B1333="","",N($S1333)-N($Q1333))</f>
        <v/>
      </c>
      <c r="S1333" s="43">
        <f>IF($B1333="","",N($L1333)+N($N1333)+N($P1333))</f>
        <v/>
      </c>
      <c r="T1333" s="47" t="n"/>
      <c r="U1333" s="47" t="n"/>
      <c r="V1333" s="47" t="n"/>
      <c r="W1333" s="47" t="n"/>
      <c r="X1333" s="47" t="n"/>
      <c r="Y1333" s="47" t="n"/>
      <c r="Z1333" s="47" t="n"/>
      <c r="AA1333" s="47" t="n"/>
      <c r="AB1333" s="47" t="n"/>
      <c r="AC1333" s="47" t="n"/>
      <c r="AD1333" s="47" t="n"/>
      <c r="AE1333" s="47" t="n"/>
      <c r="AF1333" s="43">
        <f>IF($B1333="","",SUM($T1333:$AE1333))</f>
        <v/>
      </c>
      <c r="AG1333" s="43">
        <f>IF($B1333="","",N($M1333)-N($AF1333))</f>
        <v/>
      </c>
      <c r="AH1333" s="43">
        <f>IF($B1333="","",N($L1333)-N($AF1333))</f>
        <v/>
      </c>
      <c r="AI1333" s="149">
        <f>IF($B1333="","",IF(N($L1333)=0,"",(N($L1333)-N($AF1333))/N($L1333)))</f>
        <v/>
      </c>
    </row>
    <row r="1334">
      <c r="A1334" s="39">
        <f>IF($B1334="","",COUNTA($B$4:$B1334))</f>
        <v/>
      </c>
      <c r="B1334" s="40" t="n">
        <v>46176</v>
      </c>
      <c r="C1334" s="41" t="n">
        <v>3076</v>
      </c>
      <c r="D1334" s="41" t="inlineStr">
        <is>
          <t xml:space="preserve">كمال رزق </t>
        </is>
      </c>
      <c r="E1334" s="41" t="inlineStr">
        <is>
          <t>2*20</t>
        </is>
      </c>
      <c r="F1334" s="41" t="inlineStr">
        <is>
          <t xml:space="preserve">مطاحن التاج </t>
        </is>
      </c>
      <c r="G1334" s="41" t="inlineStr">
        <is>
          <t xml:space="preserve">اكتوبر </t>
        </is>
      </c>
      <c r="H1334" s="41" t="inlineStr">
        <is>
          <t>282997/2-151355/9</t>
        </is>
      </c>
      <c r="I1334" s="41" t="inlineStr">
        <is>
          <t>س ق ر 7353</t>
        </is>
      </c>
      <c r="J1334" s="41" t="inlineStr">
        <is>
          <t xml:space="preserve">الحسينى محمد </t>
        </is>
      </c>
      <c r="K1334" s="41" t="inlineStr">
        <is>
          <t xml:space="preserve">خفاجة </t>
        </is>
      </c>
      <c r="L1334" s="42" t="n">
        <v>18500</v>
      </c>
      <c r="M1334" s="42" t="n">
        <v>10100</v>
      </c>
      <c r="N1334" s="42" t="n">
        <v>1100</v>
      </c>
      <c r="O1334" s="42" t="n">
        <v>200</v>
      </c>
      <c r="P1334" s="42" t="n">
        <v>3000</v>
      </c>
      <c r="Q1334" s="42" t="n"/>
      <c r="R1334" s="43">
        <f>IF($B1334="","",N($S1334)-N($Q1334))</f>
        <v/>
      </c>
      <c r="S1334" s="43">
        <f>IF($B1334="","",N($L1334)+N($N1334)+N($P1334))</f>
        <v/>
      </c>
      <c r="T1334" s="42" t="n"/>
      <c r="U1334" s="42" t="n"/>
      <c r="V1334" s="42" t="n"/>
      <c r="W1334" s="42" t="n"/>
      <c r="X1334" s="42" t="n"/>
      <c r="Y1334" s="42" t="n"/>
      <c r="Z1334" s="42" t="n"/>
      <c r="AA1334" s="42" t="n"/>
      <c r="AB1334" s="42" t="n"/>
      <c r="AC1334" s="42" t="n"/>
      <c r="AD1334" s="42" t="n"/>
      <c r="AE1334" s="42" t="n"/>
      <c r="AF1334" s="43">
        <f>IF($B1334="","",SUM($T1334:$AE1334))</f>
        <v/>
      </c>
      <c r="AG1334" s="43">
        <f>IF($B1334="","",N($M1334)-N($AF1334))</f>
        <v/>
      </c>
      <c r="AH1334" s="43">
        <f>IF($B1334="","",N($L1334)-N($AF1334))</f>
        <v/>
      </c>
      <c r="AI1334" s="149">
        <f>IF($B1334="","",IF(N($L1334)=0,"",(N($L1334)-N($AF1334))/N($L1334)))</f>
        <v/>
      </c>
    </row>
    <row r="1335">
      <c r="A1335" s="39">
        <f>IF($B1335="","",COUNTA($B$4:$B1335))</f>
        <v/>
      </c>
      <c r="B1335" s="45" t="n">
        <v>46176</v>
      </c>
      <c r="C1335" s="46" t="n">
        <v>3110</v>
      </c>
      <c r="D1335" s="46" t="inlineStr">
        <is>
          <t xml:space="preserve">احمد عبدو </t>
        </is>
      </c>
      <c r="E1335" s="46" t="inlineStr">
        <is>
          <t>1*40</t>
        </is>
      </c>
      <c r="F1335" s="46" t="inlineStr">
        <is>
          <t xml:space="preserve">بريلى </t>
        </is>
      </c>
      <c r="G1335" s="46" t="inlineStr">
        <is>
          <t xml:space="preserve">اكتوبر </t>
        </is>
      </c>
      <c r="H1335" s="46" t="inlineStr">
        <is>
          <t>411020/3</t>
        </is>
      </c>
      <c r="I1335" s="46" t="inlineStr">
        <is>
          <t>س ا و 8242</t>
        </is>
      </c>
      <c r="J1335" s="46" t="inlineStr">
        <is>
          <t xml:space="preserve">احمد رجب </t>
        </is>
      </c>
      <c r="K1335" s="46" t="inlineStr">
        <is>
          <t>احمد نصير</t>
        </is>
      </c>
      <c r="L1335" s="47" t="n">
        <v>13800</v>
      </c>
      <c r="M1335" s="47" t="n">
        <v>8100</v>
      </c>
      <c r="N1335" s="47" t="n"/>
      <c r="O1335" s="47" t="n">
        <v>200</v>
      </c>
      <c r="P1335" s="47" t="n"/>
      <c r="Q1335" s="47" t="n"/>
      <c r="R1335" s="43">
        <f>IF($B1335="","",N($S1335)-N($Q1335))</f>
        <v/>
      </c>
      <c r="S1335" s="43">
        <f>IF($B1335="","",N($L1335)+N($N1335)+N($P1335))</f>
        <v/>
      </c>
      <c r="T1335" s="47" t="n"/>
      <c r="U1335" s="47" t="n"/>
      <c r="V1335" s="47" t="n"/>
      <c r="W1335" s="47" t="n"/>
      <c r="X1335" s="47" t="n"/>
      <c r="Y1335" s="47" t="n"/>
      <c r="Z1335" s="47" t="n"/>
      <c r="AA1335" s="47" t="n"/>
      <c r="AB1335" s="47" t="n"/>
      <c r="AC1335" s="47" t="n"/>
      <c r="AD1335" s="47" t="n"/>
      <c r="AE1335" s="47" t="n"/>
      <c r="AF1335" s="43">
        <f>IF($B1335="","",SUM($T1335:$AE1335))</f>
        <v/>
      </c>
      <c r="AG1335" s="43">
        <f>IF($B1335="","",N($M1335)-N($AF1335))</f>
        <v/>
      </c>
      <c r="AH1335" s="43">
        <f>IF($B1335="","",N($L1335)-N($AF1335))</f>
        <v/>
      </c>
      <c r="AI1335" s="149">
        <f>IF($B1335="","",IF(N($L1335)=0,"",(N($L1335)-N($AF1335))/N($L1335)))</f>
        <v/>
      </c>
    </row>
    <row r="1336">
      <c r="A1336" s="39">
        <f>IF($B1336="","",COUNTA($B$4:$B1336))</f>
        <v/>
      </c>
      <c r="B1336" s="40" t="n">
        <v>46176</v>
      </c>
      <c r="C1336" s="41" t="n">
        <v>3111</v>
      </c>
      <c r="D1336" s="41" t="n"/>
      <c r="E1336" s="41" t="inlineStr">
        <is>
          <t>1*40</t>
        </is>
      </c>
      <c r="F1336" s="41" t="inlineStr">
        <is>
          <t xml:space="preserve">بريلى </t>
        </is>
      </c>
      <c r="G1336" s="41" t="inlineStr">
        <is>
          <t xml:space="preserve">اكتوبر </t>
        </is>
      </c>
      <c r="H1336" s="41" t="inlineStr">
        <is>
          <t>595390/8</t>
        </is>
      </c>
      <c r="I1336" s="41" t="inlineStr">
        <is>
          <t>س ل ب 3192</t>
        </is>
      </c>
      <c r="J1336" s="41" t="inlineStr">
        <is>
          <t xml:space="preserve">محمد مظهر </t>
        </is>
      </c>
      <c r="K1336" s="41" t="inlineStr">
        <is>
          <t xml:space="preserve">الجمل </t>
        </is>
      </c>
      <c r="L1336" s="42" t="n">
        <v>13800</v>
      </c>
      <c r="M1336" s="42" t="n">
        <v>8100</v>
      </c>
      <c r="N1336" s="42" t="n"/>
      <c r="O1336" s="42" t="n">
        <v>200</v>
      </c>
      <c r="P1336" s="42" t="n"/>
      <c r="Q1336" s="42" t="n"/>
      <c r="R1336" s="43">
        <f>IF($B1336="","",N($S1336)-N($Q1336))</f>
        <v/>
      </c>
      <c r="S1336" s="43">
        <f>IF($B1336="","",N($L1336)+N($N1336)+N($P1336))</f>
        <v/>
      </c>
      <c r="T1336" s="42" t="n"/>
      <c r="U1336" s="42" t="n"/>
      <c r="V1336" s="42" t="n"/>
      <c r="W1336" s="42" t="n"/>
      <c r="X1336" s="42" t="n"/>
      <c r="Y1336" s="42" t="n"/>
      <c r="Z1336" s="42" t="n"/>
      <c r="AA1336" s="42" t="n"/>
      <c r="AB1336" s="42" t="n"/>
      <c r="AC1336" s="42" t="n"/>
      <c r="AD1336" s="42" t="n"/>
      <c r="AE1336" s="42" t="n"/>
      <c r="AF1336" s="43">
        <f>IF($B1336="","",SUM($T1336:$AE1336))</f>
        <v/>
      </c>
      <c r="AG1336" s="43">
        <f>IF($B1336="","",N($M1336)-N($AF1336))</f>
        <v/>
      </c>
      <c r="AH1336" s="43">
        <f>IF($B1336="","",N($L1336)-N($AF1336))</f>
        <v/>
      </c>
      <c r="AI1336" s="149">
        <f>IF($B1336="","",IF(N($L1336)=0,"",(N($L1336)-N($AF1336))/N($L1336)))</f>
        <v/>
      </c>
    </row>
    <row r="1337">
      <c r="A1337" s="39">
        <f>IF($B1337="","",COUNTA($B$4:$B1337))</f>
        <v/>
      </c>
      <c r="B1337" s="45" t="n">
        <v>46176</v>
      </c>
      <c r="C1337" s="46" t="n">
        <v>3112</v>
      </c>
      <c r="D1337" s="46" t="n"/>
      <c r="E1337" s="46" t="inlineStr">
        <is>
          <t>1*40</t>
        </is>
      </c>
      <c r="F1337" s="46" t="inlineStr">
        <is>
          <t xml:space="preserve">بريلى </t>
        </is>
      </c>
      <c r="G1337" s="46" t="inlineStr">
        <is>
          <t xml:space="preserve">اكتوبر </t>
        </is>
      </c>
      <c r="H1337" s="46" t="inlineStr">
        <is>
          <t>450642/6</t>
        </is>
      </c>
      <c r="I1337" s="46" t="inlineStr">
        <is>
          <t>س ص ى 3829</t>
        </is>
      </c>
      <c r="J1337" s="46" t="inlineStr">
        <is>
          <t xml:space="preserve">احمد جابر </t>
        </is>
      </c>
      <c r="K1337" s="46" t="inlineStr">
        <is>
          <t xml:space="preserve">اشرف الجمل </t>
        </is>
      </c>
      <c r="L1337" s="47" t="n">
        <v>13800</v>
      </c>
      <c r="M1337" s="47" t="n">
        <v>8100</v>
      </c>
      <c r="N1337" s="47" t="n"/>
      <c r="O1337" s="47" t="n">
        <v>200</v>
      </c>
      <c r="P1337" s="47" t="n"/>
      <c r="Q1337" s="47" t="n"/>
      <c r="R1337" s="43">
        <f>IF($B1337="","",N($S1337)-N($Q1337))</f>
        <v/>
      </c>
      <c r="S1337" s="43">
        <f>IF($B1337="","",N($L1337)+N($N1337)+N($P1337))</f>
        <v/>
      </c>
      <c r="T1337" s="47" t="n"/>
      <c r="U1337" s="47" t="n"/>
      <c r="V1337" s="47" t="n"/>
      <c r="W1337" s="47" t="n"/>
      <c r="X1337" s="47" t="n"/>
      <c r="Y1337" s="47" t="n"/>
      <c r="Z1337" s="47" t="n"/>
      <c r="AA1337" s="47" t="n"/>
      <c r="AB1337" s="47" t="n"/>
      <c r="AC1337" s="47" t="n"/>
      <c r="AD1337" s="47" t="n"/>
      <c r="AE1337" s="47" t="n"/>
      <c r="AF1337" s="43">
        <f>IF($B1337="","",SUM($T1337:$AE1337))</f>
        <v/>
      </c>
      <c r="AG1337" s="43">
        <f>IF($B1337="","",N($M1337)-N($AF1337))</f>
        <v/>
      </c>
      <c r="AH1337" s="43">
        <f>IF($B1337="","",N($L1337)-N($AF1337))</f>
        <v/>
      </c>
      <c r="AI1337" s="149">
        <f>IF($B1337="","",IF(N($L1337)=0,"",(N($L1337)-N($AF1337))/N($L1337)))</f>
        <v/>
      </c>
    </row>
    <row r="1338">
      <c r="A1338" s="39">
        <f>IF($B1338="","",COUNTA($B$4:$B1338))</f>
        <v/>
      </c>
      <c r="B1338" s="40" t="n">
        <v>46176</v>
      </c>
      <c r="C1338" s="41" t="n">
        <v>2939</v>
      </c>
      <c r="D1338" s="41" t="inlineStr">
        <is>
          <t xml:space="preserve">حاتم البحر </t>
        </is>
      </c>
      <c r="E1338" s="41" t="inlineStr">
        <is>
          <t>2*20</t>
        </is>
      </c>
      <c r="F1338" s="41" t="inlineStr">
        <is>
          <t xml:space="preserve">لوجيا </t>
        </is>
      </c>
      <c r="G1338" s="41" t="inlineStr">
        <is>
          <t>الصف</t>
        </is>
      </c>
      <c r="H1338" s="41" t="inlineStr">
        <is>
          <t>724985/8-082915/1</t>
        </is>
      </c>
      <c r="I1338" s="41" t="inlineStr">
        <is>
          <t>ف ر ل 4127</t>
        </is>
      </c>
      <c r="J1338" s="41" t="inlineStr">
        <is>
          <t xml:space="preserve">هيثم معوض </t>
        </is>
      </c>
      <c r="K1338" s="41" t="inlineStr">
        <is>
          <t xml:space="preserve">محمد الفلاح </t>
        </is>
      </c>
      <c r="L1338" s="42" t="n">
        <v>25000</v>
      </c>
      <c r="M1338" s="42" t="n">
        <v>10100</v>
      </c>
      <c r="N1338" s="42" t="n">
        <v>5000</v>
      </c>
      <c r="O1338" s="42" t="n">
        <v>200</v>
      </c>
      <c r="P1338" s="42" t="n"/>
      <c r="Q1338" s="42" t="n"/>
      <c r="R1338" s="43">
        <f>IF($B1338="","",N($S1338)-N($Q1338))</f>
        <v/>
      </c>
      <c r="S1338" s="43">
        <f>IF($B1338="","",N($L1338)+N($N1338)+N($P1338))</f>
        <v/>
      </c>
      <c r="T1338" s="42" t="n"/>
      <c r="U1338" s="42" t="n"/>
      <c r="V1338" s="42" t="n"/>
      <c r="W1338" s="42" t="n"/>
      <c r="X1338" s="42" t="n"/>
      <c r="Y1338" s="42" t="n"/>
      <c r="Z1338" s="42" t="n"/>
      <c r="AA1338" s="42" t="n"/>
      <c r="AB1338" s="42" t="n"/>
      <c r="AC1338" s="42" t="n"/>
      <c r="AD1338" s="42" t="n"/>
      <c r="AE1338" s="42" t="n"/>
      <c r="AF1338" s="43">
        <f>IF($B1338="","",SUM($T1338:$AE1338))</f>
        <v/>
      </c>
      <c r="AG1338" s="43">
        <f>IF($B1338="","",N($M1338)-N($AF1338))</f>
        <v/>
      </c>
      <c r="AH1338" s="43">
        <f>IF($B1338="","",N($L1338)-N($AF1338))</f>
        <v/>
      </c>
      <c r="AI1338" s="149">
        <f>IF($B1338="","",IF(N($L1338)=0,"",(N($L1338)-N($AF1338))/N($L1338)))</f>
        <v/>
      </c>
    </row>
    <row r="1339">
      <c r="A1339" s="39">
        <f>IF($B1339="","",COUNTA($B$4:$B1339))</f>
        <v/>
      </c>
      <c r="B1339" s="45" t="n">
        <v>46176</v>
      </c>
      <c r="C1339" s="46" t="n">
        <v>2948</v>
      </c>
      <c r="D1339" s="46" t="inlineStr">
        <is>
          <t xml:space="preserve">الانصارى </t>
        </is>
      </c>
      <c r="E1339" s="46" t="inlineStr">
        <is>
          <t>2*20</t>
        </is>
      </c>
      <c r="F1339" s="46" t="inlineStr">
        <is>
          <t xml:space="preserve">لوجيا </t>
        </is>
      </c>
      <c r="G1339" s="46" t="inlineStr">
        <is>
          <t xml:space="preserve">الصف </t>
        </is>
      </c>
      <c r="H1339" s="46" t="inlineStr">
        <is>
          <t>746284/2-110388/0</t>
        </is>
      </c>
      <c r="I1339" s="46" t="inlineStr">
        <is>
          <t>ب ص ا 2574</t>
        </is>
      </c>
      <c r="J1339" s="46" t="inlineStr">
        <is>
          <t xml:space="preserve">احمد عادل </t>
        </is>
      </c>
      <c r="K1339" s="46" t="inlineStr">
        <is>
          <t xml:space="preserve">احمد خليف </t>
        </is>
      </c>
      <c r="L1339" s="47" t="n">
        <v>25000</v>
      </c>
      <c r="M1339" s="47" t="n">
        <v>13100</v>
      </c>
      <c r="N1339" s="47" t="n"/>
      <c r="O1339" s="47" t="n">
        <v>200</v>
      </c>
      <c r="P1339" s="47" t="n"/>
      <c r="Q1339" s="47" t="n"/>
      <c r="R1339" s="43">
        <f>IF($B1339="","",N($S1339)-N($Q1339))</f>
        <v/>
      </c>
      <c r="S1339" s="43">
        <f>IF($B1339="","",N($L1339)+N($N1339)+N($P1339))</f>
        <v/>
      </c>
      <c r="T1339" s="47" t="n"/>
      <c r="U1339" s="47" t="n"/>
      <c r="V1339" s="47" t="n"/>
      <c r="W1339" s="47" t="n"/>
      <c r="X1339" s="47" t="n"/>
      <c r="Y1339" s="47" t="n"/>
      <c r="Z1339" s="47" t="n"/>
      <c r="AA1339" s="47" t="n"/>
      <c r="AB1339" s="47" t="n"/>
      <c r="AC1339" s="47" t="n"/>
      <c r="AD1339" s="47" t="n"/>
      <c r="AE1339" s="47" t="n"/>
      <c r="AF1339" s="43">
        <f>IF($B1339="","",SUM($T1339:$AE1339))</f>
        <v/>
      </c>
      <c r="AG1339" s="43">
        <f>IF($B1339="","",N($M1339)-N($AF1339))</f>
        <v/>
      </c>
      <c r="AH1339" s="43">
        <f>IF($B1339="","",N($L1339)-N($AF1339))</f>
        <v/>
      </c>
      <c r="AI1339" s="149">
        <f>IF($B1339="","",IF(N($L1339)=0,"",(N($L1339)-N($AF1339))/N($L1339)))</f>
        <v/>
      </c>
    </row>
    <row r="1340">
      <c r="A1340" s="39">
        <f>IF($B1340="","",COUNTA($B$4:$B1340))</f>
        <v/>
      </c>
      <c r="B1340" s="40" t="n">
        <v>46176</v>
      </c>
      <c r="C1340" s="41" t="n">
        <v>2947</v>
      </c>
      <c r="D1340" s="41" t="inlineStr">
        <is>
          <t>احمد خطاب</t>
        </is>
      </c>
      <c r="E1340" s="41" t="inlineStr">
        <is>
          <t>2*20</t>
        </is>
      </c>
      <c r="F1340" s="41" t="inlineStr">
        <is>
          <t xml:space="preserve">لوجيا </t>
        </is>
      </c>
      <c r="G1340" s="41" t="inlineStr">
        <is>
          <t xml:space="preserve">الصف </t>
        </is>
      </c>
      <c r="H1340" s="41" t="inlineStr">
        <is>
          <t>522633/1-478578/2</t>
        </is>
      </c>
      <c r="I1340" s="41" t="inlineStr">
        <is>
          <t>ب د ف 8472</t>
        </is>
      </c>
      <c r="J1340" s="41" t="inlineStr">
        <is>
          <t>ابو يحي</t>
        </is>
      </c>
      <c r="K1340" s="41" t="inlineStr">
        <is>
          <t>الليبر</t>
        </is>
      </c>
      <c r="L1340" s="42" t="n">
        <v>25000</v>
      </c>
      <c r="M1340" s="42" t="n">
        <v>13100</v>
      </c>
      <c r="N1340" s="42" t="n"/>
      <c r="O1340" s="42" t="n">
        <v>200</v>
      </c>
      <c r="P1340" s="42" t="n"/>
      <c r="Q1340" s="42" t="n"/>
      <c r="R1340" s="43">
        <f>IF($B1340="","",N($S1340)-N($Q1340))</f>
        <v/>
      </c>
      <c r="S1340" s="43">
        <f>IF($B1340="","",N($L1340)+N($N1340)+N($P1340))</f>
        <v/>
      </c>
      <c r="T1340" s="42" t="n"/>
      <c r="U1340" s="42" t="n"/>
      <c r="V1340" s="42" t="n"/>
      <c r="W1340" s="42" t="n"/>
      <c r="X1340" s="42" t="n"/>
      <c r="Y1340" s="42" t="n"/>
      <c r="Z1340" s="42" t="n"/>
      <c r="AA1340" s="42" t="n"/>
      <c r="AB1340" s="42" t="n"/>
      <c r="AC1340" s="42" t="n"/>
      <c r="AD1340" s="42" t="n"/>
      <c r="AE1340" s="42" t="n"/>
      <c r="AF1340" s="43">
        <f>IF($B1340="","",SUM($T1340:$AE1340))</f>
        <v/>
      </c>
      <c r="AG1340" s="43">
        <f>IF($B1340="","",N($M1340)-N($AF1340))</f>
        <v/>
      </c>
      <c r="AH1340" s="43">
        <f>IF($B1340="","",N($L1340)-N($AF1340))</f>
        <v/>
      </c>
      <c r="AI1340" s="149">
        <f>IF($B1340="","",IF(N($L1340)=0,"",(N($L1340)-N($AF1340))/N($L1340)))</f>
        <v/>
      </c>
    </row>
    <row r="1341">
      <c r="A1341" s="39">
        <f>IF($B1341="","",COUNTA($B$4:$B1341))</f>
        <v/>
      </c>
      <c r="B1341" s="45" t="n">
        <v>46176</v>
      </c>
      <c r="C1341" s="46" t="n">
        <v>2950</v>
      </c>
      <c r="D1341" s="46" t="n"/>
      <c r="E1341" s="46" t="inlineStr">
        <is>
          <t>2*20</t>
        </is>
      </c>
      <c r="F1341" s="46" t="inlineStr">
        <is>
          <t xml:space="preserve">لوجيا </t>
        </is>
      </c>
      <c r="G1341" s="46" t="inlineStr">
        <is>
          <t xml:space="preserve">الصف </t>
        </is>
      </c>
      <c r="H1341" s="46" t="inlineStr">
        <is>
          <t>204973/4-106991/0</t>
        </is>
      </c>
      <c r="I1341" s="46" t="inlineStr">
        <is>
          <t>ب د ف 1539</t>
        </is>
      </c>
      <c r="J1341" s="46" t="inlineStr">
        <is>
          <t>فرج الليبر</t>
        </is>
      </c>
      <c r="K1341" s="46" t="inlineStr">
        <is>
          <t>الليبر</t>
        </is>
      </c>
      <c r="L1341" s="47" t="n">
        <v>25000</v>
      </c>
      <c r="M1341" s="47" t="n">
        <v>13100</v>
      </c>
      <c r="N1341" s="47" t="n"/>
      <c r="O1341" s="47" t="n">
        <v>200</v>
      </c>
      <c r="P1341" s="47" t="n"/>
      <c r="Q1341" s="47" t="n"/>
      <c r="R1341" s="43">
        <f>IF($B1341="","",N($S1341)-N($Q1341))</f>
        <v/>
      </c>
      <c r="S1341" s="43">
        <f>IF($B1341="","",N($L1341)+N($N1341)+N($P1341))</f>
        <v/>
      </c>
      <c r="T1341" s="47" t="n"/>
      <c r="U1341" s="47" t="n"/>
      <c r="V1341" s="47" t="n"/>
      <c r="W1341" s="47" t="n"/>
      <c r="X1341" s="47" t="n"/>
      <c r="Y1341" s="47" t="n"/>
      <c r="Z1341" s="47" t="n"/>
      <c r="AA1341" s="47" t="n"/>
      <c r="AB1341" s="47" t="n"/>
      <c r="AC1341" s="47" t="n"/>
      <c r="AD1341" s="47" t="n"/>
      <c r="AE1341" s="47" t="n"/>
      <c r="AF1341" s="43">
        <f>IF($B1341="","",SUM($T1341:$AE1341))</f>
        <v/>
      </c>
      <c r="AG1341" s="43">
        <f>IF($B1341="","",N($M1341)-N($AF1341))</f>
        <v/>
      </c>
      <c r="AH1341" s="43">
        <f>IF($B1341="","",N($L1341)-N($AF1341))</f>
        <v/>
      </c>
      <c r="AI1341" s="149">
        <f>IF($B1341="","",IF(N($L1341)=0,"",(N($L1341)-N($AF1341))/N($L1341)))</f>
        <v/>
      </c>
    </row>
    <row r="1342">
      <c r="A1342" s="39">
        <f>IF($B1342="","",COUNTA($B$4:$B1342))</f>
        <v/>
      </c>
      <c r="B1342" s="40" t="n">
        <v>46176</v>
      </c>
      <c r="C1342" s="41" t="n">
        <v>2946</v>
      </c>
      <c r="D1342" s="41" t="n"/>
      <c r="E1342" s="41" t="inlineStr">
        <is>
          <t>2*20</t>
        </is>
      </c>
      <c r="F1342" s="41" t="inlineStr">
        <is>
          <t xml:space="preserve">لوجيا </t>
        </is>
      </c>
      <c r="G1342" s="41" t="inlineStr">
        <is>
          <t xml:space="preserve">الصف </t>
        </is>
      </c>
      <c r="H1342" s="41" t="inlineStr">
        <is>
          <t>822065/1-561526/6</t>
        </is>
      </c>
      <c r="I1342" s="41" t="inlineStr">
        <is>
          <t>ب ن و 9718/</t>
        </is>
      </c>
      <c r="J1342" s="41" t="inlineStr">
        <is>
          <t xml:space="preserve">رضا كشك </t>
        </is>
      </c>
      <c r="K1342" s="41" t="inlineStr">
        <is>
          <t>الليبر</t>
        </is>
      </c>
      <c r="L1342" s="42" t="n">
        <v>25000</v>
      </c>
      <c r="M1342" s="42" t="n">
        <v>13100</v>
      </c>
      <c r="N1342" s="42" t="n"/>
      <c r="O1342" s="42" t="n">
        <v>200</v>
      </c>
      <c r="P1342" s="42" t="n"/>
      <c r="Q1342" s="42" t="n"/>
      <c r="R1342" s="43">
        <f>IF($B1342="","",N($S1342)-N($Q1342))</f>
        <v/>
      </c>
      <c r="S1342" s="43">
        <f>IF($B1342="","",N($L1342)+N($N1342)+N($P1342))</f>
        <v/>
      </c>
      <c r="T1342" s="42" t="n"/>
      <c r="U1342" s="42" t="n"/>
      <c r="V1342" s="42" t="n"/>
      <c r="W1342" s="42" t="n"/>
      <c r="X1342" s="42" t="n"/>
      <c r="Y1342" s="42" t="n"/>
      <c r="Z1342" s="42" t="n"/>
      <c r="AA1342" s="42" t="n"/>
      <c r="AB1342" s="42" t="n"/>
      <c r="AC1342" s="42" t="n"/>
      <c r="AD1342" s="42" t="n"/>
      <c r="AE1342" s="42" t="n"/>
      <c r="AF1342" s="43">
        <f>IF($B1342="","",SUM($T1342:$AE1342))</f>
        <v/>
      </c>
      <c r="AG1342" s="43">
        <f>IF($B1342="","",N($M1342)-N($AF1342))</f>
        <v/>
      </c>
      <c r="AH1342" s="43">
        <f>IF($B1342="","",N($L1342)-N($AF1342))</f>
        <v/>
      </c>
      <c r="AI1342" s="149">
        <f>IF($B1342="","",IF(N($L1342)=0,"",(N($L1342)-N($AF1342))/N($L1342)))</f>
        <v/>
      </c>
    </row>
    <row r="1343">
      <c r="A1343" s="39">
        <f>IF($B1343="","",COUNTA($B$4:$B1343))</f>
        <v/>
      </c>
      <c r="B1343" s="45" t="n">
        <v>46176</v>
      </c>
      <c r="C1343" s="46" t="n">
        <v>2945</v>
      </c>
      <c r="D1343" s="46" t="n"/>
      <c r="E1343" s="46" t="inlineStr">
        <is>
          <t>2*20</t>
        </is>
      </c>
      <c r="F1343" s="46" t="inlineStr">
        <is>
          <t xml:space="preserve">لوجيا </t>
        </is>
      </c>
      <c r="G1343" s="46" t="inlineStr">
        <is>
          <t>الصف</t>
        </is>
      </c>
      <c r="H1343" s="46" t="inlineStr">
        <is>
          <t>222638/9-336440/5</t>
        </is>
      </c>
      <c r="I1343" s="46" t="inlineStr">
        <is>
          <t>ع س و 8589</t>
        </is>
      </c>
      <c r="J1343" s="46" t="inlineStr">
        <is>
          <t>ياسر خطاب</t>
        </is>
      </c>
      <c r="K1343" s="46" t="inlineStr">
        <is>
          <t>الليبر</t>
        </is>
      </c>
      <c r="L1343" s="47" t="n">
        <v>25000</v>
      </c>
      <c r="M1343" s="47" t="n">
        <v>13100</v>
      </c>
      <c r="N1343" s="47" t="n"/>
      <c r="O1343" s="47" t="n">
        <v>200</v>
      </c>
      <c r="P1343" s="47" t="n"/>
      <c r="Q1343" s="47" t="n"/>
      <c r="R1343" s="43">
        <f>IF($B1343="","",N($S1343)-N($Q1343))</f>
        <v/>
      </c>
      <c r="S1343" s="43">
        <f>IF($B1343="","",N($L1343)+N($N1343)+N($P1343))</f>
        <v/>
      </c>
      <c r="T1343" s="47" t="n"/>
      <c r="U1343" s="47" t="n"/>
      <c r="V1343" s="47" t="n"/>
      <c r="W1343" s="47" t="n"/>
      <c r="X1343" s="47" t="n"/>
      <c r="Y1343" s="47" t="n"/>
      <c r="Z1343" s="47" t="n"/>
      <c r="AA1343" s="47" t="n"/>
      <c r="AB1343" s="47" t="n"/>
      <c r="AC1343" s="47" t="n"/>
      <c r="AD1343" s="47" t="n"/>
      <c r="AE1343" s="47" t="n"/>
      <c r="AF1343" s="43">
        <f>IF($B1343="","",SUM($T1343:$AE1343))</f>
        <v/>
      </c>
      <c r="AG1343" s="43">
        <f>IF($B1343="","",N($M1343)-N($AF1343))</f>
        <v/>
      </c>
      <c r="AH1343" s="43">
        <f>IF($B1343="","",N($L1343)-N($AF1343))</f>
        <v/>
      </c>
      <c r="AI1343" s="149">
        <f>IF($B1343="","",IF(N($L1343)=0,"",(N($L1343)-N($AF1343))/N($L1343)))</f>
        <v/>
      </c>
    </row>
    <row r="1344">
      <c r="A1344" s="39">
        <f>IF($B1344="","",COUNTA($B$4:$B1344))</f>
        <v/>
      </c>
      <c r="B1344" s="40" t="n">
        <v>46176</v>
      </c>
      <c r="C1344" s="41" t="n">
        <v>2944</v>
      </c>
      <c r="D1344" s="41" t="inlineStr">
        <is>
          <t xml:space="preserve">العربى </t>
        </is>
      </c>
      <c r="E1344" s="41" t="inlineStr">
        <is>
          <t>2*20</t>
        </is>
      </c>
      <c r="F1344" s="41" t="inlineStr">
        <is>
          <t xml:space="preserve">لوجيا </t>
        </is>
      </c>
      <c r="G1344" s="41" t="inlineStr">
        <is>
          <t xml:space="preserve">الصف </t>
        </is>
      </c>
      <c r="H1344" s="41" t="inlineStr">
        <is>
          <t>831864/8-250920/2</t>
        </is>
      </c>
      <c r="I1344" s="41" t="inlineStr">
        <is>
          <t>ع و ج 6647</t>
        </is>
      </c>
      <c r="J1344" s="41" t="inlineStr">
        <is>
          <t xml:space="preserve">احمد خطاب </t>
        </is>
      </c>
      <c r="K1344" s="41" t="inlineStr">
        <is>
          <t>الليبر</t>
        </is>
      </c>
      <c r="L1344" s="42" t="n">
        <v>25000</v>
      </c>
      <c r="M1344" s="42" t="n">
        <v>13100</v>
      </c>
      <c r="N1344" s="42" t="n"/>
      <c r="O1344" s="42" t="n">
        <v>200</v>
      </c>
      <c r="P1344" s="42" t="n"/>
      <c r="Q1344" s="42" t="n"/>
      <c r="R1344" s="43">
        <f>IF($B1344="","",N($S1344)-N($Q1344))</f>
        <v/>
      </c>
      <c r="S1344" s="43">
        <f>IF($B1344="","",N($L1344)+N($N1344)+N($P1344))</f>
        <v/>
      </c>
      <c r="T1344" s="42" t="n"/>
      <c r="U1344" s="42" t="n"/>
      <c r="V1344" s="42" t="n"/>
      <c r="W1344" s="42" t="n"/>
      <c r="X1344" s="42" t="n"/>
      <c r="Y1344" s="42" t="n"/>
      <c r="Z1344" s="42" t="n"/>
      <c r="AA1344" s="42" t="n"/>
      <c r="AB1344" s="42" t="n"/>
      <c r="AC1344" s="42" t="n"/>
      <c r="AD1344" s="42" t="n"/>
      <c r="AE1344" s="42" t="n"/>
      <c r="AF1344" s="43">
        <f>IF($B1344="","",SUM($T1344:$AE1344))</f>
        <v/>
      </c>
      <c r="AG1344" s="43">
        <f>IF($B1344="","",N($M1344)-N($AF1344))</f>
        <v/>
      </c>
      <c r="AH1344" s="43">
        <f>IF($B1344="","",N($L1344)-N($AF1344))</f>
        <v/>
      </c>
      <c r="AI1344" s="149">
        <f>IF($B1344="","",IF(N($L1344)=0,"",(N($L1344)-N($AF1344))/N($L1344)))</f>
        <v/>
      </c>
    </row>
    <row r="1345">
      <c r="A1345" s="39">
        <f>IF($B1345="","",COUNTA($B$4:$B1345))</f>
        <v/>
      </c>
      <c r="B1345" s="45" t="n">
        <v>46176</v>
      </c>
      <c r="C1345" s="46" t="n">
        <v>2943</v>
      </c>
      <c r="D1345" s="46" t="inlineStr">
        <is>
          <t xml:space="preserve">العربى </t>
        </is>
      </c>
      <c r="E1345" s="46" t="inlineStr">
        <is>
          <t>2*20</t>
        </is>
      </c>
      <c r="F1345" s="46" t="inlineStr">
        <is>
          <t xml:space="preserve">لوجيا </t>
        </is>
      </c>
      <c r="G1345" s="46" t="inlineStr">
        <is>
          <t xml:space="preserve">الصف </t>
        </is>
      </c>
      <c r="H1345" s="46" t="inlineStr">
        <is>
          <t>1293411/4-107956/1</t>
        </is>
      </c>
      <c r="I1345" s="46" t="inlineStr">
        <is>
          <t>ع م ا 1224</t>
        </is>
      </c>
      <c r="J1345" s="46" t="inlineStr">
        <is>
          <t xml:space="preserve">محمود فريد </t>
        </is>
      </c>
      <c r="K1345" s="46" t="inlineStr">
        <is>
          <t>الليبر</t>
        </is>
      </c>
      <c r="L1345" s="47" t="n">
        <v>25000</v>
      </c>
      <c r="M1345" s="47" t="n">
        <v>13100</v>
      </c>
      <c r="N1345" s="47" t="n"/>
      <c r="O1345" s="47" t="n">
        <v>200</v>
      </c>
      <c r="P1345" s="47" t="n"/>
      <c r="Q1345" s="47" t="n"/>
      <c r="R1345" s="43">
        <f>IF($B1345="","",N($S1345)-N($Q1345))</f>
        <v/>
      </c>
      <c r="S1345" s="43">
        <f>IF($B1345="","",N($L1345)+N($N1345)+N($P1345))</f>
        <v/>
      </c>
      <c r="T1345" s="47" t="n"/>
      <c r="U1345" s="47" t="n"/>
      <c r="V1345" s="47" t="n"/>
      <c r="W1345" s="47" t="n"/>
      <c r="X1345" s="47" t="n"/>
      <c r="Y1345" s="47" t="n"/>
      <c r="Z1345" s="47" t="n"/>
      <c r="AA1345" s="47" t="n"/>
      <c r="AB1345" s="47" t="n"/>
      <c r="AC1345" s="47" t="n"/>
      <c r="AD1345" s="47" t="n"/>
      <c r="AE1345" s="47" t="n"/>
      <c r="AF1345" s="43">
        <f>IF($B1345="","",SUM($T1345:$AE1345))</f>
        <v/>
      </c>
      <c r="AG1345" s="43">
        <f>IF($B1345="","",N($M1345)-N($AF1345))</f>
        <v/>
      </c>
      <c r="AH1345" s="43">
        <f>IF($B1345="","",N($L1345)-N($AF1345))</f>
        <v/>
      </c>
      <c r="AI1345" s="149">
        <f>IF($B1345="","",IF(N($L1345)=0,"",(N($L1345)-N($AF1345))/N($L1345)))</f>
        <v/>
      </c>
    </row>
    <row r="1346">
      <c r="A1346" s="39">
        <f>IF($B1346="","",COUNTA($B$4:$B1346))</f>
        <v/>
      </c>
      <c r="B1346" s="40" t="n">
        <v>46176</v>
      </c>
      <c r="C1346" s="41" t="n">
        <v>2942</v>
      </c>
      <c r="D1346" s="41" t="inlineStr">
        <is>
          <t xml:space="preserve">العربى </t>
        </is>
      </c>
      <c r="E1346" s="41" t="inlineStr">
        <is>
          <t>2*20</t>
        </is>
      </c>
      <c r="F1346" s="41" t="inlineStr">
        <is>
          <t xml:space="preserve">لوجيا </t>
        </is>
      </c>
      <c r="G1346" s="41" t="inlineStr">
        <is>
          <t xml:space="preserve">الصف </t>
        </is>
      </c>
      <c r="H1346" s="41" t="inlineStr">
        <is>
          <t>967262/0-101328/0</t>
        </is>
      </c>
      <c r="I1346" s="41" t="inlineStr">
        <is>
          <t>ع رع 8792</t>
        </is>
      </c>
      <c r="J1346" s="41" t="inlineStr">
        <is>
          <t xml:space="preserve">اسلام خطاب </t>
        </is>
      </c>
      <c r="K1346" s="41" t="inlineStr">
        <is>
          <t>الليبر</t>
        </is>
      </c>
      <c r="L1346" s="42" t="n">
        <v>25000</v>
      </c>
      <c r="M1346" s="42" t="n">
        <v>13100</v>
      </c>
      <c r="N1346" s="42" t="n"/>
      <c r="O1346" s="42" t="n">
        <v>200</v>
      </c>
      <c r="P1346" s="42" t="n"/>
      <c r="Q1346" s="42" t="n"/>
      <c r="R1346" s="43">
        <f>IF($B1346="","",N($S1346)-N($Q1346))</f>
        <v/>
      </c>
      <c r="S1346" s="43">
        <f>IF($B1346="","",N($L1346)+N($N1346)+N($P1346))</f>
        <v/>
      </c>
      <c r="T1346" s="42" t="n"/>
      <c r="U1346" s="42" t="n"/>
      <c r="V1346" s="42" t="n"/>
      <c r="W1346" s="42" t="n"/>
      <c r="X1346" s="42" t="n"/>
      <c r="Y1346" s="42" t="n"/>
      <c r="Z1346" s="42" t="n"/>
      <c r="AA1346" s="42" t="n"/>
      <c r="AB1346" s="42" t="n"/>
      <c r="AC1346" s="42" t="n"/>
      <c r="AD1346" s="42" t="n"/>
      <c r="AE1346" s="42" t="n"/>
      <c r="AF1346" s="43">
        <f>IF($B1346="","",SUM($T1346:$AE1346))</f>
        <v/>
      </c>
      <c r="AG1346" s="43">
        <f>IF($B1346="","",N($M1346)-N($AF1346))</f>
        <v/>
      </c>
      <c r="AH1346" s="43">
        <f>IF($B1346="","",N($L1346)-N($AF1346))</f>
        <v/>
      </c>
      <c r="AI1346" s="149">
        <f>IF($B1346="","",IF(N($L1346)=0,"",(N($L1346)-N($AF1346))/N($L1346)))</f>
        <v/>
      </c>
    </row>
    <row r="1347">
      <c r="A1347" s="39">
        <f>IF($B1347="","",COUNTA($B$4:$B1347))</f>
        <v/>
      </c>
      <c r="B1347" s="45" t="n">
        <v>46176</v>
      </c>
      <c r="C1347" s="46" t="n">
        <v>2941</v>
      </c>
      <c r="D1347" s="46" t="inlineStr">
        <is>
          <t>الشريف</t>
        </is>
      </c>
      <c r="E1347" s="46" t="inlineStr">
        <is>
          <t>2*20</t>
        </is>
      </c>
      <c r="F1347" s="46" t="inlineStr">
        <is>
          <t xml:space="preserve">لوجيا </t>
        </is>
      </c>
      <c r="G1347" s="46" t="inlineStr">
        <is>
          <t>الصف</t>
        </is>
      </c>
      <c r="H1347" s="46" t="inlineStr">
        <is>
          <t>121252/8-104021/8</t>
        </is>
      </c>
      <c r="I1347" s="46" t="inlineStr">
        <is>
          <t>ب ق ص 9347</t>
        </is>
      </c>
      <c r="J1347" s="46" t="inlineStr">
        <is>
          <t xml:space="preserve">سامح سعيد </t>
        </is>
      </c>
      <c r="K1347" s="46" t="inlineStr">
        <is>
          <t>الليبر</t>
        </is>
      </c>
      <c r="L1347" s="47" t="n">
        <v>25000</v>
      </c>
      <c r="M1347" s="47" t="n">
        <v>13100</v>
      </c>
      <c r="N1347" s="47" t="n"/>
      <c r="O1347" s="47" t="n">
        <v>200</v>
      </c>
      <c r="P1347" s="47" t="n"/>
      <c r="Q1347" s="47" t="n"/>
      <c r="R1347" s="43">
        <f>IF($B1347="","",N($S1347)-N($Q1347))</f>
        <v/>
      </c>
      <c r="S1347" s="43">
        <f>IF($B1347="","",N($L1347)+N($N1347)+N($P1347))</f>
        <v/>
      </c>
      <c r="T1347" s="47" t="n"/>
      <c r="U1347" s="47" t="n"/>
      <c r="V1347" s="47" t="n"/>
      <c r="W1347" s="47" t="n"/>
      <c r="X1347" s="47" t="n"/>
      <c r="Y1347" s="47" t="n"/>
      <c r="Z1347" s="47" t="n"/>
      <c r="AA1347" s="47" t="n"/>
      <c r="AB1347" s="47" t="n"/>
      <c r="AC1347" s="47" t="n"/>
      <c r="AD1347" s="47" t="n"/>
      <c r="AE1347" s="47" t="n"/>
      <c r="AF1347" s="43">
        <f>IF($B1347="","",SUM($T1347:$AE1347))</f>
        <v/>
      </c>
      <c r="AG1347" s="43">
        <f>IF($B1347="","",N($M1347)-N($AF1347))</f>
        <v/>
      </c>
      <c r="AH1347" s="43">
        <f>IF($B1347="","",N($L1347)-N($AF1347))</f>
        <v/>
      </c>
      <c r="AI1347" s="149">
        <f>IF($B1347="","",IF(N($L1347)=0,"",(N($L1347)-N($AF1347))/N($L1347)))</f>
        <v/>
      </c>
    </row>
    <row r="1348">
      <c r="A1348" s="39">
        <f>IF($B1348="","",COUNTA($B$4:$B1348))</f>
        <v/>
      </c>
      <c r="B1348" s="40" t="n">
        <v>46176</v>
      </c>
      <c r="C1348" s="41" t="n">
        <v>2940</v>
      </c>
      <c r="D1348" s="41" t="inlineStr">
        <is>
          <t xml:space="preserve">حسين محمد </t>
        </is>
      </c>
      <c r="E1348" s="41" t="inlineStr">
        <is>
          <t>2*20</t>
        </is>
      </c>
      <c r="F1348" s="41" t="inlineStr">
        <is>
          <t xml:space="preserve">لوجيا </t>
        </is>
      </c>
      <c r="G1348" s="41" t="inlineStr">
        <is>
          <t xml:space="preserve">الصف </t>
        </is>
      </c>
      <c r="H1348" s="41" t="inlineStr">
        <is>
          <t>173939/8-249521/1</t>
        </is>
      </c>
      <c r="I1348" s="41" t="inlineStr">
        <is>
          <t>ب د ف 7945</t>
        </is>
      </c>
      <c r="J1348" s="41" t="inlineStr">
        <is>
          <t xml:space="preserve">احمد حمدى </t>
        </is>
      </c>
      <c r="K1348" s="41" t="inlineStr">
        <is>
          <t>الليبر</t>
        </is>
      </c>
      <c r="L1348" s="42" t="n">
        <v>25000</v>
      </c>
      <c r="M1348" s="42" t="n">
        <v>13100</v>
      </c>
      <c r="N1348" s="42" t="n"/>
      <c r="O1348" s="42" t="n">
        <v>200</v>
      </c>
      <c r="P1348" s="42" t="n"/>
      <c r="Q1348" s="42" t="n"/>
      <c r="R1348" s="43">
        <f>IF($B1348="","",N($S1348)-N($Q1348))</f>
        <v/>
      </c>
      <c r="S1348" s="43">
        <f>IF($B1348="","",N($L1348)+N($N1348)+N($P1348))</f>
        <v/>
      </c>
      <c r="T1348" s="42" t="n"/>
      <c r="U1348" s="42" t="n"/>
      <c r="V1348" s="42" t="n"/>
      <c r="W1348" s="42" t="n"/>
      <c r="X1348" s="42" t="n"/>
      <c r="Y1348" s="42" t="n"/>
      <c r="Z1348" s="42" t="n"/>
      <c r="AA1348" s="42" t="n"/>
      <c r="AB1348" s="42" t="n"/>
      <c r="AC1348" s="42" t="n"/>
      <c r="AD1348" s="42" t="n"/>
      <c r="AE1348" s="42" t="n"/>
      <c r="AF1348" s="43">
        <f>IF($B1348="","",SUM($T1348:$AE1348))</f>
        <v/>
      </c>
      <c r="AG1348" s="43">
        <f>IF($B1348="","",N($M1348)-N($AF1348))</f>
        <v/>
      </c>
      <c r="AH1348" s="43">
        <f>IF($B1348="","",N($L1348)-N($AF1348))</f>
        <v/>
      </c>
      <c r="AI1348" s="149">
        <f>IF($B1348="","",IF(N($L1348)=0,"",(N($L1348)-N($AF1348))/N($L1348)))</f>
        <v/>
      </c>
    </row>
    <row r="1349">
      <c r="A1349" s="39">
        <f>IF($B1349="","",COUNTA($B$4:$B1349))</f>
        <v/>
      </c>
      <c r="B1349" s="45" t="n">
        <v>46176</v>
      </c>
      <c r="C1349" s="46" t="n">
        <v>3020</v>
      </c>
      <c r="D1349" s="46" t="inlineStr">
        <is>
          <t>رجب عبد العال</t>
        </is>
      </c>
      <c r="E1349" s="46" t="inlineStr">
        <is>
          <t>1*40</t>
        </is>
      </c>
      <c r="F1349" s="46" t="inlineStr">
        <is>
          <t xml:space="preserve">ريجينا </t>
        </is>
      </c>
      <c r="G1349" s="46" t="inlineStr">
        <is>
          <t xml:space="preserve">السادات </t>
        </is>
      </c>
      <c r="H1349" s="46" t="inlineStr">
        <is>
          <t>727696/8</t>
        </is>
      </c>
      <c r="I1349" s="46" t="inlineStr">
        <is>
          <t>س م ى 4213</t>
        </is>
      </c>
      <c r="J1349" s="46" t="inlineStr">
        <is>
          <t xml:space="preserve">محمد القط </t>
        </is>
      </c>
      <c r="K1349" s="46" t="inlineStr">
        <is>
          <t>غزال</t>
        </is>
      </c>
      <c r="L1349" s="47" t="n">
        <v>12700</v>
      </c>
      <c r="M1349" s="47" t="n">
        <v>7100</v>
      </c>
      <c r="N1349" s="47" t="n">
        <v>2500</v>
      </c>
      <c r="O1349" s="47" t="n">
        <v>200</v>
      </c>
      <c r="P1349" s="47" t="n"/>
      <c r="Q1349" s="47" t="n"/>
      <c r="R1349" s="43">
        <f>IF($B1349="","",N($S1349)-N($Q1349))</f>
        <v/>
      </c>
      <c r="S1349" s="43">
        <f>IF($B1349="","",N($L1349)+N($N1349)+N($P1349))</f>
        <v/>
      </c>
      <c r="T1349" s="47" t="n"/>
      <c r="U1349" s="47" t="n"/>
      <c r="V1349" s="47" t="n"/>
      <c r="W1349" s="47" t="n"/>
      <c r="X1349" s="47" t="n"/>
      <c r="Y1349" s="47" t="n"/>
      <c r="Z1349" s="47" t="n"/>
      <c r="AA1349" s="47" t="n"/>
      <c r="AB1349" s="47" t="n"/>
      <c r="AC1349" s="47" t="n"/>
      <c r="AD1349" s="47" t="n"/>
      <c r="AE1349" s="47" t="n"/>
      <c r="AF1349" s="43">
        <f>IF($B1349="","",SUM($T1349:$AE1349))</f>
        <v/>
      </c>
      <c r="AG1349" s="43">
        <f>IF($B1349="","",N($M1349)-N($AF1349))</f>
        <v/>
      </c>
      <c r="AH1349" s="43">
        <f>IF($B1349="","",N($L1349)-N($AF1349))</f>
        <v/>
      </c>
      <c r="AI1349" s="149">
        <f>IF($B1349="","",IF(N($L1349)=0,"",(N($L1349)-N($AF1349))/N($L1349)))</f>
        <v/>
      </c>
    </row>
    <row r="1350">
      <c r="A1350" s="39">
        <f>IF($B1350="","",COUNTA($B$4:$B1350))</f>
        <v/>
      </c>
      <c r="B1350" s="40" t="n">
        <v>46176</v>
      </c>
      <c r="C1350" s="41" t="n">
        <v>3019</v>
      </c>
      <c r="D1350" s="41" t="inlineStr">
        <is>
          <t>رجب عبد العال</t>
        </is>
      </c>
      <c r="E1350" s="41" t="inlineStr">
        <is>
          <t>1*40</t>
        </is>
      </c>
      <c r="F1350" s="41" t="inlineStr">
        <is>
          <t xml:space="preserve">ريجينا </t>
        </is>
      </c>
      <c r="G1350" s="41" t="inlineStr">
        <is>
          <t xml:space="preserve">السادات </t>
        </is>
      </c>
      <c r="H1350" s="41" t="inlineStr">
        <is>
          <t>555528/4</t>
        </is>
      </c>
      <c r="I1350" s="41" t="inlineStr">
        <is>
          <t>س د و 4584</t>
        </is>
      </c>
      <c r="J1350" s="41" t="inlineStr">
        <is>
          <t xml:space="preserve">محمود مصطفى </t>
        </is>
      </c>
      <c r="K1350" s="41" t="inlineStr">
        <is>
          <t>غزال</t>
        </is>
      </c>
      <c r="L1350" s="42" t="n">
        <v>12700</v>
      </c>
      <c r="M1350" s="42" t="n">
        <v>7100</v>
      </c>
      <c r="N1350" s="42" t="n">
        <v>2500</v>
      </c>
      <c r="O1350" s="42" t="n">
        <v>200</v>
      </c>
      <c r="P1350" s="42" t="n"/>
      <c r="Q1350" s="42" t="n"/>
      <c r="R1350" s="43">
        <f>IF($B1350="","",N($S1350)-N($Q1350))</f>
        <v/>
      </c>
      <c r="S1350" s="43">
        <f>IF($B1350="","",N($L1350)+N($N1350)+N($P1350))</f>
        <v/>
      </c>
      <c r="T1350" s="42" t="n"/>
      <c r="U1350" s="42" t="n"/>
      <c r="V1350" s="42" t="n"/>
      <c r="W1350" s="42" t="n"/>
      <c r="X1350" s="42" t="n"/>
      <c r="Y1350" s="42" t="n"/>
      <c r="Z1350" s="42" t="n"/>
      <c r="AA1350" s="42" t="n"/>
      <c r="AB1350" s="42" t="n"/>
      <c r="AC1350" s="42" t="n"/>
      <c r="AD1350" s="42" t="n"/>
      <c r="AE1350" s="42" t="n"/>
      <c r="AF1350" s="43">
        <f>IF($B1350="","",SUM($T1350:$AE1350))</f>
        <v/>
      </c>
      <c r="AG1350" s="43">
        <f>IF($B1350="","",N($M1350)-N($AF1350))</f>
        <v/>
      </c>
      <c r="AH1350" s="43">
        <f>IF($B1350="","",N($L1350)-N($AF1350))</f>
        <v/>
      </c>
      <c r="AI1350" s="149">
        <f>IF($B1350="","",IF(N($L1350)=0,"",(N($L1350)-N($AF1350))/N($L1350)))</f>
        <v/>
      </c>
    </row>
    <row r="1351">
      <c r="A1351" s="39">
        <f>IF($B1351="","",COUNTA($B$4:$B1351))</f>
        <v/>
      </c>
      <c r="B1351" s="45" t="n">
        <v>46176</v>
      </c>
      <c r="C1351" s="46" t="n">
        <v>3117</v>
      </c>
      <c r="D1351" s="46" t="inlineStr">
        <is>
          <t>الشريف</t>
        </is>
      </c>
      <c r="E1351" s="46" t="inlineStr">
        <is>
          <t>1*40</t>
        </is>
      </c>
      <c r="F1351" s="46" t="inlineStr">
        <is>
          <t xml:space="preserve">ميكس ثيندر </t>
        </is>
      </c>
      <c r="G1351" s="46" t="inlineStr">
        <is>
          <t xml:space="preserve">العاشر </t>
        </is>
      </c>
      <c r="H1351" s="46" t="inlineStr">
        <is>
          <t>344310/1</t>
        </is>
      </c>
      <c r="I1351" s="46" t="inlineStr">
        <is>
          <t>ط ق ر 2362</t>
        </is>
      </c>
      <c r="J1351" s="46" t="inlineStr">
        <is>
          <t xml:space="preserve">احمد السيد </t>
        </is>
      </c>
      <c r="K1351" s="46" t="inlineStr">
        <is>
          <t xml:space="preserve">اسامة عوض </t>
        </is>
      </c>
      <c r="L1351" s="47" t="n">
        <v>16000</v>
      </c>
      <c r="M1351" s="47" t="n">
        <v>9100</v>
      </c>
      <c r="N1351" s="47" t="n"/>
      <c r="O1351" s="47" t="n">
        <v>200</v>
      </c>
      <c r="P1351" s="47" t="n"/>
      <c r="Q1351" s="47" t="n"/>
      <c r="R1351" s="43">
        <f>IF($B1351="","",N($S1351)-N($Q1351))</f>
        <v/>
      </c>
      <c r="S1351" s="43">
        <f>IF($B1351="","",N($L1351)+N($N1351)+N($P1351))</f>
        <v/>
      </c>
      <c r="T1351" s="47" t="n"/>
      <c r="U1351" s="47" t="n"/>
      <c r="V1351" s="47" t="n"/>
      <c r="W1351" s="47" t="n"/>
      <c r="X1351" s="47" t="n"/>
      <c r="Y1351" s="47" t="n"/>
      <c r="Z1351" s="47" t="n"/>
      <c r="AA1351" s="47" t="n"/>
      <c r="AB1351" s="47" t="n"/>
      <c r="AC1351" s="47" t="n"/>
      <c r="AD1351" s="47" t="n"/>
      <c r="AE1351" s="47" t="n"/>
      <c r="AF1351" s="43">
        <f>IF($B1351="","",SUM($T1351:$AE1351))</f>
        <v/>
      </c>
      <c r="AG1351" s="43">
        <f>IF($B1351="","",N($M1351)-N($AF1351))</f>
        <v/>
      </c>
      <c r="AH1351" s="43">
        <f>IF($B1351="","",N($L1351)-N($AF1351))</f>
        <v/>
      </c>
      <c r="AI1351" s="149">
        <f>IF($B1351="","",IF(N($L1351)=0,"",(N($L1351)-N($AF1351))/N($L1351)))</f>
        <v/>
      </c>
    </row>
    <row r="1352">
      <c r="A1352" s="39">
        <f>IF($B1352="","",COUNTA($B$4:$B1352))</f>
        <v/>
      </c>
      <c r="B1352" s="40" t="n">
        <v>46176</v>
      </c>
      <c r="C1352" s="41" t="n">
        <v>3118</v>
      </c>
      <c r="D1352" s="41" t="inlineStr">
        <is>
          <t xml:space="preserve">عتريس مخيمر </t>
        </is>
      </c>
      <c r="E1352" s="41" t="inlineStr">
        <is>
          <t>1*40</t>
        </is>
      </c>
      <c r="F1352" s="41" t="inlineStr">
        <is>
          <t xml:space="preserve">يونايتد باك </t>
        </is>
      </c>
      <c r="G1352" s="41" t="inlineStr">
        <is>
          <t xml:space="preserve">العاشر </t>
        </is>
      </c>
      <c r="H1352" s="41" t="inlineStr">
        <is>
          <t>568580/3</t>
        </is>
      </c>
      <c r="I1352" s="41" t="inlineStr">
        <is>
          <t>ط ف ر 1474</t>
        </is>
      </c>
      <c r="J1352" s="41" t="inlineStr">
        <is>
          <t xml:space="preserve">جمال على </t>
        </is>
      </c>
      <c r="K1352" s="41" t="inlineStr">
        <is>
          <t xml:space="preserve">كريم خليف </t>
        </is>
      </c>
      <c r="L1352" s="42" t="n">
        <v>16000</v>
      </c>
      <c r="M1352" s="42" t="n">
        <v>9100</v>
      </c>
      <c r="N1352" s="42" t="n"/>
      <c r="O1352" s="42" t="n">
        <v>200</v>
      </c>
      <c r="P1352" s="42" t="n"/>
      <c r="Q1352" s="42" t="n"/>
      <c r="R1352" s="43">
        <f>IF($B1352="","",N($S1352)-N($Q1352))</f>
        <v/>
      </c>
      <c r="S1352" s="43">
        <f>IF($B1352="","",N($L1352)+N($N1352)+N($P1352))</f>
        <v/>
      </c>
      <c r="T1352" s="42" t="n"/>
      <c r="U1352" s="42" t="n"/>
      <c r="V1352" s="42" t="n"/>
      <c r="W1352" s="42" t="n"/>
      <c r="X1352" s="42" t="n"/>
      <c r="Y1352" s="42" t="n"/>
      <c r="Z1352" s="42" t="n"/>
      <c r="AA1352" s="42" t="n"/>
      <c r="AB1352" s="42" t="n"/>
      <c r="AC1352" s="42" t="n"/>
      <c r="AD1352" s="42" t="n"/>
      <c r="AE1352" s="42" t="n"/>
      <c r="AF1352" s="43">
        <f>IF($B1352="","",SUM($T1352:$AE1352))</f>
        <v/>
      </c>
      <c r="AG1352" s="43">
        <f>IF($B1352="","",N($M1352)-N($AF1352))</f>
        <v/>
      </c>
      <c r="AH1352" s="43">
        <f>IF($B1352="","",N($L1352)-N($AF1352))</f>
        <v/>
      </c>
      <c r="AI1352" s="149">
        <f>IF($B1352="","",IF(N($L1352)=0,"",(N($L1352)-N($AF1352))/N($L1352)))</f>
        <v/>
      </c>
    </row>
    <row r="1353">
      <c r="A1353" s="39">
        <f>IF($B1353="","",COUNTA($B$4:$B1353))</f>
        <v/>
      </c>
      <c r="B1353" s="45" t="n">
        <v>46176</v>
      </c>
      <c r="C1353" s="46" t="n">
        <v>3113</v>
      </c>
      <c r="D1353" s="46" t="inlineStr">
        <is>
          <t xml:space="preserve">محمد هاشم </t>
        </is>
      </c>
      <c r="E1353" s="46" t="inlineStr">
        <is>
          <t>1*40</t>
        </is>
      </c>
      <c r="F1353" s="46" t="inlineStr">
        <is>
          <t>ايديال ستاندر</t>
        </is>
      </c>
      <c r="G1353" s="46" t="inlineStr">
        <is>
          <t xml:space="preserve">العاشر </t>
        </is>
      </c>
      <c r="H1353" s="46" t="inlineStr">
        <is>
          <t>521538/8</t>
        </is>
      </c>
      <c r="I1353" s="46" t="inlineStr">
        <is>
          <t>س ف ب 4296</t>
        </is>
      </c>
      <c r="J1353" s="46" t="inlineStr">
        <is>
          <t xml:space="preserve">حسام حشمت </t>
        </is>
      </c>
      <c r="K1353" s="46" t="inlineStr">
        <is>
          <t xml:space="preserve">حسام حشمت </t>
        </is>
      </c>
      <c r="L1353" s="47" t="n">
        <v>16000</v>
      </c>
      <c r="M1353" s="47" t="n">
        <v>9100</v>
      </c>
      <c r="N1353" s="47" t="n"/>
      <c r="O1353" s="47" t="n">
        <v>200</v>
      </c>
      <c r="P1353" s="47" t="n"/>
      <c r="Q1353" s="47" t="n"/>
      <c r="R1353" s="43">
        <f>IF($B1353="","",N($S1353)-N($Q1353))</f>
        <v/>
      </c>
      <c r="S1353" s="43">
        <f>IF($B1353="","",N($L1353)+N($N1353)+N($P1353))</f>
        <v/>
      </c>
      <c r="T1353" s="47" t="n"/>
      <c r="U1353" s="47" t="n"/>
      <c r="V1353" s="47" t="n"/>
      <c r="W1353" s="47" t="n"/>
      <c r="X1353" s="47" t="n"/>
      <c r="Y1353" s="47" t="n"/>
      <c r="Z1353" s="47" t="n"/>
      <c r="AA1353" s="47" t="n"/>
      <c r="AB1353" s="47" t="n"/>
      <c r="AC1353" s="47" t="n"/>
      <c r="AD1353" s="47" t="n"/>
      <c r="AE1353" s="47" t="n"/>
      <c r="AF1353" s="43">
        <f>IF($B1353="","",SUM($T1353:$AE1353))</f>
        <v/>
      </c>
      <c r="AG1353" s="43">
        <f>IF($B1353="","",N($M1353)-N($AF1353))</f>
        <v/>
      </c>
      <c r="AH1353" s="43">
        <f>IF($B1353="","",N($L1353)-N($AF1353))</f>
        <v/>
      </c>
      <c r="AI1353" s="149">
        <f>IF($B1353="","",IF(N($L1353)=0,"",(N($L1353)-N($AF1353))/N($L1353)))</f>
        <v/>
      </c>
    </row>
    <row r="1354">
      <c r="A1354" s="39">
        <f>IF($B1354="","",COUNTA($B$4:$B1354))</f>
        <v/>
      </c>
      <c r="B1354" s="40" t="n">
        <v>46176</v>
      </c>
      <c r="C1354" s="41" t="n">
        <v>3114</v>
      </c>
      <c r="D1354" s="41" t="inlineStr">
        <is>
          <t xml:space="preserve">محمد هاشم </t>
        </is>
      </c>
      <c r="E1354" s="41" t="inlineStr">
        <is>
          <t>1*40</t>
        </is>
      </c>
      <c r="F1354" s="41" t="inlineStr">
        <is>
          <t>ايديال ستاندر</t>
        </is>
      </c>
      <c r="G1354" s="41" t="inlineStr">
        <is>
          <t xml:space="preserve">العاشر </t>
        </is>
      </c>
      <c r="H1354" s="41" t="inlineStr">
        <is>
          <t>322234/8</t>
        </is>
      </c>
      <c r="I1354" s="41" t="inlineStr">
        <is>
          <t>ب ر ط 1652</t>
        </is>
      </c>
      <c r="J1354" s="41" t="inlineStr">
        <is>
          <t xml:space="preserve">حسن الضاحى </t>
        </is>
      </c>
      <c r="K1354" s="41" t="inlineStr">
        <is>
          <t xml:space="preserve">حسام حشمت </t>
        </is>
      </c>
      <c r="L1354" s="42" t="n">
        <v>16000</v>
      </c>
      <c r="M1354" s="42" t="n">
        <v>9100</v>
      </c>
      <c r="N1354" s="42" t="n"/>
      <c r="O1354" s="42" t="n">
        <v>200</v>
      </c>
      <c r="P1354" s="42" t="n"/>
      <c r="Q1354" s="42" t="n"/>
      <c r="R1354" s="43">
        <f>IF($B1354="","",N($S1354)-N($Q1354))</f>
        <v/>
      </c>
      <c r="S1354" s="43">
        <f>IF($B1354="","",N($L1354)+N($N1354)+N($P1354))</f>
        <v/>
      </c>
      <c r="T1354" s="42" t="n"/>
      <c r="U1354" s="42" t="n"/>
      <c r="V1354" s="42" t="n"/>
      <c r="W1354" s="42" t="n"/>
      <c r="X1354" s="42" t="n"/>
      <c r="Y1354" s="42" t="n"/>
      <c r="Z1354" s="42" t="n"/>
      <c r="AA1354" s="42" t="n"/>
      <c r="AB1354" s="42" t="n"/>
      <c r="AC1354" s="42" t="n"/>
      <c r="AD1354" s="42" t="n"/>
      <c r="AE1354" s="42" t="n"/>
      <c r="AF1354" s="43">
        <f>IF($B1354="","",SUM($T1354:$AE1354))</f>
        <v/>
      </c>
      <c r="AG1354" s="43">
        <f>IF($B1354="","",N($M1354)-N($AF1354))</f>
        <v/>
      </c>
      <c r="AH1354" s="43">
        <f>IF($B1354="","",N($L1354)-N($AF1354))</f>
        <v/>
      </c>
      <c r="AI1354" s="149">
        <f>IF($B1354="","",IF(N($L1354)=0,"",(N($L1354)-N($AF1354))/N($L1354)))</f>
        <v/>
      </c>
    </row>
    <row r="1355">
      <c r="A1355" s="39">
        <f>IF($B1355="","",COUNTA($B$4:$B1355))</f>
        <v/>
      </c>
      <c r="B1355" s="45" t="n">
        <v>46176</v>
      </c>
      <c r="C1355" s="46" t="n">
        <v>3115</v>
      </c>
      <c r="D1355" s="46" t="inlineStr">
        <is>
          <t xml:space="preserve">محمد هاشم </t>
        </is>
      </c>
      <c r="E1355" s="46" t="inlineStr">
        <is>
          <t>1*40</t>
        </is>
      </c>
      <c r="F1355" s="46" t="inlineStr">
        <is>
          <t>ايديال ستاندر</t>
        </is>
      </c>
      <c r="G1355" s="46" t="inlineStr">
        <is>
          <t xml:space="preserve">العاشر </t>
        </is>
      </c>
      <c r="H1355" s="46" t="inlineStr">
        <is>
          <t>591712/3</t>
        </is>
      </c>
      <c r="I1355" s="46" t="inlineStr">
        <is>
          <t>ب د ف 4763</t>
        </is>
      </c>
      <c r="J1355" s="46" t="inlineStr">
        <is>
          <t>فتحى الجبالى</t>
        </is>
      </c>
      <c r="K1355" s="46" t="inlineStr">
        <is>
          <t xml:space="preserve">حسام حشمت </t>
        </is>
      </c>
      <c r="L1355" s="47" t="n">
        <v>16000</v>
      </c>
      <c r="M1355" s="47" t="n">
        <v>9100</v>
      </c>
      <c r="N1355" s="47" t="n"/>
      <c r="O1355" s="47" t="n">
        <v>200</v>
      </c>
      <c r="P1355" s="47" t="n"/>
      <c r="Q1355" s="47" t="n"/>
      <c r="R1355" s="43">
        <f>IF($B1355="","",N($S1355)-N($Q1355))</f>
        <v/>
      </c>
      <c r="S1355" s="43">
        <f>IF($B1355="","",N($L1355)+N($N1355)+N($P1355))</f>
        <v/>
      </c>
      <c r="T1355" s="47" t="n"/>
      <c r="U1355" s="47" t="n"/>
      <c r="V1355" s="47" t="n"/>
      <c r="W1355" s="47" t="n"/>
      <c r="X1355" s="47" t="n"/>
      <c r="Y1355" s="47" t="n"/>
      <c r="Z1355" s="47" t="n"/>
      <c r="AA1355" s="47" t="n"/>
      <c r="AB1355" s="47" t="n"/>
      <c r="AC1355" s="47" t="n"/>
      <c r="AD1355" s="47" t="n"/>
      <c r="AE1355" s="47" t="n"/>
      <c r="AF1355" s="43">
        <f>IF($B1355="","",SUM($T1355:$AE1355))</f>
        <v/>
      </c>
      <c r="AG1355" s="43">
        <f>IF($B1355="","",N($M1355)-N($AF1355))</f>
        <v/>
      </c>
      <c r="AH1355" s="43">
        <f>IF($B1355="","",N($L1355)-N($AF1355))</f>
        <v/>
      </c>
      <c r="AI1355" s="149">
        <f>IF($B1355="","",IF(N($L1355)=0,"",(N($L1355)-N($AF1355))/N($L1355)))</f>
        <v/>
      </c>
    </row>
    <row r="1356">
      <c r="A1356" s="39">
        <f>IF($B1356="","",COUNTA($B$4:$B1356))</f>
        <v/>
      </c>
      <c r="B1356" s="40" t="n">
        <v>46176</v>
      </c>
      <c r="C1356" s="41" t="n">
        <v>3116</v>
      </c>
      <c r="D1356" s="41" t="inlineStr">
        <is>
          <t xml:space="preserve">احمد عبدو </t>
        </is>
      </c>
      <c r="E1356" s="41" t="inlineStr">
        <is>
          <t>1*40 ث</t>
        </is>
      </c>
      <c r="F1356" s="41" t="inlineStr">
        <is>
          <t>المراعى الخضراء</t>
        </is>
      </c>
      <c r="G1356" s="41" t="inlineStr">
        <is>
          <t xml:space="preserve">اكتوبر </t>
        </is>
      </c>
      <c r="H1356" s="41" t="inlineStr">
        <is>
          <t>908159/0</t>
        </is>
      </c>
      <c r="I1356" s="41" t="inlineStr">
        <is>
          <t>س و ب 2965</t>
        </is>
      </c>
      <c r="J1356" s="41" t="inlineStr">
        <is>
          <t xml:space="preserve">خالد صبرى </t>
        </is>
      </c>
      <c r="K1356" s="41" t="inlineStr">
        <is>
          <t>احمد نصير</t>
        </is>
      </c>
      <c r="L1356" s="42" t="n">
        <v>16000</v>
      </c>
      <c r="M1356" s="42" t="n">
        <v>8100</v>
      </c>
      <c r="N1356" s="42" t="n"/>
      <c r="O1356" s="42" t="n">
        <v>200</v>
      </c>
      <c r="P1356" s="42" t="n"/>
      <c r="Q1356" s="42" t="n"/>
      <c r="R1356" s="43">
        <f>IF($B1356="","",N($S1356)-N($Q1356))</f>
        <v/>
      </c>
      <c r="S1356" s="43">
        <f>IF($B1356="","",N($L1356)+N($N1356)+N($P1356))</f>
        <v/>
      </c>
      <c r="T1356" s="42" t="n"/>
      <c r="U1356" s="42" t="n"/>
      <c r="V1356" s="42" t="n"/>
      <c r="W1356" s="42" t="n"/>
      <c r="X1356" s="42" t="n"/>
      <c r="Y1356" s="42" t="n"/>
      <c r="Z1356" s="42" t="n"/>
      <c r="AA1356" s="42" t="n"/>
      <c r="AB1356" s="42" t="n"/>
      <c r="AC1356" s="42" t="n"/>
      <c r="AD1356" s="42" t="n"/>
      <c r="AE1356" s="42" t="n"/>
      <c r="AF1356" s="43">
        <f>IF($B1356="","",SUM($T1356:$AE1356))</f>
        <v/>
      </c>
      <c r="AG1356" s="43">
        <f>IF($B1356="","",N($M1356)-N($AF1356))</f>
        <v/>
      </c>
      <c r="AH1356" s="43">
        <f>IF($B1356="","",N($L1356)-N($AF1356))</f>
        <v/>
      </c>
      <c r="AI1356" s="149">
        <f>IF($B1356="","",IF(N($L1356)=0,"",(N($L1356)-N($AF1356))/N($L1356)))</f>
        <v/>
      </c>
    </row>
    <row r="1357">
      <c r="A1357" s="39">
        <f>IF($B1357="","",COUNTA($B$4:$B1357))</f>
        <v/>
      </c>
      <c r="B1357" s="45" t="n">
        <v>46176</v>
      </c>
      <c r="C1357" s="46" t="n">
        <v>2875</v>
      </c>
      <c r="D1357" s="46" t="inlineStr">
        <is>
          <t>وليد الجهينى</t>
        </is>
      </c>
      <c r="E1357" s="46" t="inlineStr">
        <is>
          <t>1*40</t>
        </is>
      </c>
      <c r="F1357" s="46" t="inlineStr">
        <is>
          <t xml:space="preserve">المصرية الاوربية </t>
        </is>
      </c>
      <c r="G1357" s="46" t="inlineStr">
        <is>
          <t xml:space="preserve">الفيوم </t>
        </is>
      </c>
      <c r="H1357" s="46" t="inlineStr">
        <is>
          <t>668190/5</t>
        </is>
      </c>
      <c r="I1357" s="46" t="inlineStr">
        <is>
          <t>س ن ر 3739</t>
        </is>
      </c>
      <c r="J1357" s="46" t="inlineStr">
        <is>
          <t xml:space="preserve">همام العشرى </t>
        </is>
      </c>
      <c r="K1357" s="46" t="inlineStr">
        <is>
          <t xml:space="preserve">همام </t>
        </is>
      </c>
      <c r="L1357" s="47" t="n">
        <v>18000</v>
      </c>
      <c r="M1357" s="47" t="n">
        <v>8100</v>
      </c>
      <c r="N1357" s="47" t="n">
        <v>1100</v>
      </c>
      <c r="O1357" s="47" t="n">
        <v>200</v>
      </c>
      <c r="P1357" s="47" t="n"/>
      <c r="Q1357" s="47" t="n"/>
      <c r="R1357" s="43">
        <f>IF($B1357="","",N($S1357)-N($Q1357))</f>
        <v/>
      </c>
      <c r="S1357" s="43">
        <f>IF($B1357="","",N($L1357)+N($N1357)+N($P1357))</f>
        <v/>
      </c>
      <c r="T1357" s="47" t="n"/>
      <c r="U1357" s="47" t="n"/>
      <c r="V1357" s="47" t="n"/>
      <c r="W1357" s="47" t="n"/>
      <c r="X1357" s="47" t="n"/>
      <c r="Y1357" s="47" t="n"/>
      <c r="Z1357" s="47" t="n"/>
      <c r="AA1357" s="47" t="n"/>
      <c r="AB1357" s="47" t="n"/>
      <c r="AC1357" s="47" t="n"/>
      <c r="AD1357" s="47" t="n"/>
      <c r="AE1357" s="47" t="n"/>
      <c r="AF1357" s="43">
        <f>IF($B1357="","",SUM($T1357:$AE1357))</f>
        <v/>
      </c>
      <c r="AG1357" s="43">
        <f>IF($B1357="","",N($M1357)-N($AF1357))</f>
        <v/>
      </c>
      <c r="AH1357" s="43">
        <f>IF($B1357="","",N($L1357)-N($AF1357))</f>
        <v/>
      </c>
      <c r="AI1357" s="149">
        <f>IF($B1357="","",IF(N($L1357)=0,"",(N($L1357)-N($AF1357))/N($L1357)))</f>
        <v/>
      </c>
    </row>
    <row r="1358">
      <c r="A1358" s="39">
        <f>IF($B1358="","",COUNTA($B$4:$B1358))</f>
        <v/>
      </c>
      <c r="B1358" s="40" t="n">
        <v>46176</v>
      </c>
      <c r="C1358" s="41" t="n">
        <v>2870</v>
      </c>
      <c r="D1358" s="41" t="inlineStr">
        <is>
          <t>احمد خطاب</t>
        </is>
      </c>
      <c r="E1358" s="41" t="inlineStr">
        <is>
          <t>1*40</t>
        </is>
      </c>
      <c r="F1358" s="41" t="inlineStr">
        <is>
          <t xml:space="preserve">وادى الرياض </t>
        </is>
      </c>
      <c r="G1358" s="41" t="inlineStr">
        <is>
          <t>الاسماعيليه</t>
        </is>
      </c>
      <c r="H1358" s="41" t="inlineStr">
        <is>
          <t>09918/8</t>
        </is>
      </c>
      <c r="I1358" s="41" t="inlineStr">
        <is>
          <t>ع ا ل 7637</t>
        </is>
      </c>
      <c r="J1358" s="41" t="inlineStr">
        <is>
          <t xml:space="preserve">محمد ياسر </t>
        </is>
      </c>
      <c r="K1358" s="41" t="inlineStr">
        <is>
          <t xml:space="preserve">ابو ادم </t>
        </is>
      </c>
      <c r="L1358" s="42" t="n">
        <v>18000</v>
      </c>
      <c r="M1358" s="42" t="n">
        <v>8100</v>
      </c>
      <c r="N1358" s="42" t="n">
        <v>1100</v>
      </c>
      <c r="O1358" s="42" t="n">
        <v>200</v>
      </c>
      <c r="P1358" s="42" t="n"/>
      <c r="Q1358" s="42" t="n"/>
      <c r="R1358" s="43">
        <f>IF($B1358="","",N($S1358)-N($Q1358))</f>
        <v/>
      </c>
      <c r="S1358" s="43">
        <f>IF($B1358="","",N($L1358)+N($N1358)+N($P1358))</f>
        <v/>
      </c>
      <c r="T1358" s="42" t="n"/>
      <c r="U1358" s="42" t="n"/>
      <c r="V1358" s="42" t="n"/>
      <c r="W1358" s="42" t="n"/>
      <c r="X1358" s="42" t="n"/>
      <c r="Y1358" s="42" t="n"/>
      <c r="Z1358" s="42" t="n"/>
      <c r="AA1358" s="42" t="n"/>
      <c r="AB1358" s="42" t="n"/>
      <c r="AC1358" s="42" t="n"/>
      <c r="AD1358" s="42" t="n"/>
      <c r="AE1358" s="42" t="n"/>
      <c r="AF1358" s="43">
        <f>IF($B1358="","",SUM($T1358:$AE1358))</f>
        <v/>
      </c>
      <c r="AG1358" s="43">
        <f>IF($B1358="","",N($M1358)-N($AF1358))</f>
        <v/>
      </c>
      <c r="AH1358" s="43">
        <f>IF($B1358="","",N($L1358)-N($AF1358))</f>
        <v/>
      </c>
      <c r="AI1358" s="149">
        <f>IF($B1358="","",IF(N($L1358)=0,"",(N($L1358)-N($AF1358))/N($L1358)))</f>
        <v/>
      </c>
    </row>
    <row r="1359">
      <c r="A1359" s="39">
        <f>IF($B1359="","",COUNTA($B$4:$B1359))</f>
        <v/>
      </c>
      <c r="B1359" s="45" t="n">
        <v>46176</v>
      </c>
      <c r="C1359" s="46" t="n">
        <v>2871</v>
      </c>
      <c r="D1359" s="46" t="inlineStr">
        <is>
          <t>الشريف</t>
        </is>
      </c>
      <c r="E1359" s="46" t="inlineStr">
        <is>
          <t>1*40</t>
        </is>
      </c>
      <c r="F1359" s="46" t="inlineStr">
        <is>
          <t xml:space="preserve">وادى الرياض </t>
        </is>
      </c>
      <c r="G1359" s="46" t="inlineStr">
        <is>
          <t>الاسماعيليه</t>
        </is>
      </c>
      <c r="H1359" s="46" t="inlineStr">
        <is>
          <t>412806/6</t>
        </is>
      </c>
      <c r="I1359" s="46" t="inlineStr">
        <is>
          <t>ب د ف 8596</t>
        </is>
      </c>
      <c r="J1359" s="46" t="inlineStr">
        <is>
          <t xml:space="preserve">محمد عبد المجيد </t>
        </is>
      </c>
      <c r="K1359" s="46" t="inlineStr">
        <is>
          <t xml:space="preserve">ابو ادم </t>
        </is>
      </c>
      <c r="L1359" s="47" t="n">
        <v>18000</v>
      </c>
      <c r="M1359" s="47" t="n">
        <v>8100</v>
      </c>
      <c r="N1359" s="47" t="n">
        <v>1100</v>
      </c>
      <c r="O1359" s="47" t="n">
        <v>200</v>
      </c>
      <c r="P1359" s="47" t="n"/>
      <c r="Q1359" s="47" t="n"/>
      <c r="R1359" s="43">
        <f>IF($B1359="","",N($S1359)-N($Q1359))</f>
        <v/>
      </c>
      <c r="S1359" s="43">
        <f>IF($B1359="","",N($L1359)+N($N1359)+N($P1359))</f>
        <v/>
      </c>
      <c r="T1359" s="47" t="n"/>
      <c r="U1359" s="47" t="n"/>
      <c r="V1359" s="47" t="n"/>
      <c r="W1359" s="47" t="n"/>
      <c r="X1359" s="47" t="n"/>
      <c r="Y1359" s="47" t="n"/>
      <c r="Z1359" s="47" t="n"/>
      <c r="AA1359" s="47" t="n"/>
      <c r="AB1359" s="47" t="n"/>
      <c r="AC1359" s="47" t="n"/>
      <c r="AD1359" s="47" t="n"/>
      <c r="AE1359" s="47" t="n"/>
      <c r="AF1359" s="43">
        <f>IF($B1359="","",SUM($T1359:$AE1359))</f>
        <v/>
      </c>
      <c r="AG1359" s="43">
        <f>IF($B1359="","",N($M1359)-N($AF1359))</f>
        <v/>
      </c>
      <c r="AH1359" s="43">
        <f>IF($B1359="","",N($L1359)-N($AF1359))</f>
        <v/>
      </c>
      <c r="AI1359" s="149">
        <f>IF($B1359="","",IF(N($L1359)=0,"",(N($L1359)-N($AF1359))/N($L1359)))</f>
        <v/>
      </c>
    </row>
    <row r="1360">
      <c r="A1360" s="39">
        <f>IF($B1360="","",COUNTA($B$4:$B1360))</f>
        <v/>
      </c>
      <c r="B1360" s="40" t="n">
        <v>46176</v>
      </c>
      <c r="C1360" s="41" t="n">
        <v>2872</v>
      </c>
      <c r="D1360" s="41" t="inlineStr">
        <is>
          <t>الشريف</t>
        </is>
      </c>
      <c r="E1360" s="41" t="inlineStr">
        <is>
          <t>1*40</t>
        </is>
      </c>
      <c r="F1360" s="41" t="inlineStr">
        <is>
          <t xml:space="preserve">وادى الرياض </t>
        </is>
      </c>
      <c r="G1360" s="41" t="inlineStr">
        <is>
          <t>الاسماعيليه</t>
        </is>
      </c>
      <c r="H1360" s="41" t="inlineStr">
        <is>
          <t>863383/3</t>
        </is>
      </c>
      <c r="I1360" s="41" t="inlineStr">
        <is>
          <t>ب د ف 9342</t>
        </is>
      </c>
      <c r="J1360" s="41" t="inlineStr">
        <is>
          <t xml:space="preserve">محمد صلاح </t>
        </is>
      </c>
      <c r="K1360" s="41" t="inlineStr">
        <is>
          <t>ابو ادم</t>
        </is>
      </c>
      <c r="L1360" s="42" t="n">
        <v>18000</v>
      </c>
      <c r="M1360" s="42" t="n">
        <v>8100</v>
      </c>
      <c r="N1360" s="42" t="n">
        <v>1100</v>
      </c>
      <c r="O1360" s="42" t="n">
        <v>200</v>
      </c>
      <c r="P1360" s="42" t="n"/>
      <c r="Q1360" s="42" t="n"/>
      <c r="R1360" s="43">
        <f>IF($B1360="","",N($S1360)-N($Q1360))</f>
        <v/>
      </c>
      <c r="S1360" s="43">
        <f>IF($B1360="","",N($L1360)+N($N1360)+N($P1360))</f>
        <v/>
      </c>
      <c r="T1360" s="42" t="n"/>
      <c r="U1360" s="42" t="n"/>
      <c r="V1360" s="42" t="n"/>
      <c r="W1360" s="42" t="n"/>
      <c r="X1360" s="42" t="n"/>
      <c r="Y1360" s="42" t="n"/>
      <c r="Z1360" s="42" t="n"/>
      <c r="AA1360" s="42" t="n"/>
      <c r="AB1360" s="42" t="n"/>
      <c r="AC1360" s="42" t="n"/>
      <c r="AD1360" s="42" t="n"/>
      <c r="AE1360" s="42" t="n"/>
      <c r="AF1360" s="43">
        <f>IF($B1360="","",SUM($T1360:$AE1360))</f>
        <v/>
      </c>
      <c r="AG1360" s="43">
        <f>IF($B1360="","",N($M1360)-N($AF1360))</f>
        <v/>
      </c>
      <c r="AH1360" s="43">
        <f>IF($B1360="","",N($L1360)-N($AF1360))</f>
        <v/>
      </c>
      <c r="AI1360" s="149">
        <f>IF($B1360="","",IF(N($L1360)=0,"",(N($L1360)-N($AF1360))/N($L1360)))</f>
        <v/>
      </c>
    </row>
    <row r="1361">
      <c r="A1361" s="39">
        <f>IF($B1361="","",COUNTA($B$4:$B1361))</f>
        <v/>
      </c>
      <c r="B1361" s="45" t="n">
        <v>46176</v>
      </c>
      <c r="C1361" s="46" t="n">
        <v>2873</v>
      </c>
      <c r="D1361" s="46" t="inlineStr">
        <is>
          <t xml:space="preserve">كمال رزق </t>
        </is>
      </c>
      <c r="E1361" s="46" t="inlineStr">
        <is>
          <t>1*40</t>
        </is>
      </c>
      <c r="F1361" s="46" t="inlineStr">
        <is>
          <t xml:space="preserve">وادى الرياض </t>
        </is>
      </c>
      <c r="G1361" s="46" t="inlineStr">
        <is>
          <t>الاسماعيليه</t>
        </is>
      </c>
      <c r="H1361" s="46" t="inlineStr">
        <is>
          <t>444471/0</t>
        </is>
      </c>
      <c r="I1361" s="46" t="inlineStr">
        <is>
          <t>ص ه ا 3941</t>
        </is>
      </c>
      <c r="J1361" s="46" t="inlineStr">
        <is>
          <t xml:space="preserve">محمد العمرى </t>
        </is>
      </c>
      <c r="K1361" s="46" t="n"/>
      <c r="L1361" s="47" t="n">
        <v>18000</v>
      </c>
      <c r="M1361" s="47" t="n">
        <v>8100</v>
      </c>
      <c r="N1361" s="47" t="n">
        <v>1100</v>
      </c>
      <c r="O1361" s="47" t="n">
        <v>200</v>
      </c>
      <c r="P1361" s="47" t="n"/>
      <c r="Q1361" s="47" t="n"/>
      <c r="R1361" s="43">
        <f>IF($B1361="","",N($S1361)-N($Q1361))</f>
        <v/>
      </c>
      <c r="S1361" s="43">
        <f>IF($B1361="","",N($L1361)+N($N1361)+N($P1361))</f>
        <v/>
      </c>
      <c r="T1361" s="47" t="n"/>
      <c r="U1361" s="47" t="n"/>
      <c r="V1361" s="47" t="n"/>
      <c r="W1361" s="47" t="n"/>
      <c r="X1361" s="47" t="n"/>
      <c r="Y1361" s="47" t="n"/>
      <c r="Z1361" s="47" t="n"/>
      <c r="AA1361" s="47" t="n"/>
      <c r="AB1361" s="47" t="n"/>
      <c r="AC1361" s="47" t="n"/>
      <c r="AD1361" s="47" t="n"/>
      <c r="AE1361" s="47" t="n"/>
      <c r="AF1361" s="43">
        <f>IF($B1361="","",SUM($T1361:$AE1361))</f>
        <v/>
      </c>
      <c r="AG1361" s="43">
        <f>IF($B1361="","",N($M1361)-N($AF1361))</f>
        <v/>
      </c>
      <c r="AH1361" s="43">
        <f>IF($B1361="","",N($L1361)-N($AF1361))</f>
        <v/>
      </c>
      <c r="AI1361" s="149">
        <f>IF($B1361="","",IF(N($L1361)=0,"",(N($L1361)-N($AF1361))/N($L1361)))</f>
        <v/>
      </c>
    </row>
    <row r="1362">
      <c r="A1362" s="39">
        <f>IF($B1362="","",COUNTA($B$4:$B1362))</f>
        <v/>
      </c>
      <c r="B1362" s="40" t="n">
        <v>46176</v>
      </c>
      <c r="C1362" s="41" t="n">
        <v>2874</v>
      </c>
      <c r="D1362" s="41" t="inlineStr">
        <is>
          <t>احمد خطاب</t>
        </is>
      </c>
      <c r="E1362" s="41" t="inlineStr">
        <is>
          <t>1*40</t>
        </is>
      </c>
      <c r="F1362" s="41" t="inlineStr">
        <is>
          <t xml:space="preserve">وادى الرياض </t>
        </is>
      </c>
      <c r="G1362" s="41" t="inlineStr">
        <is>
          <t>الاسماعيليه</t>
        </is>
      </c>
      <c r="H1362" s="41" t="inlineStr">
        <is>
          <t>744950/1</t>
        </is>
      </c>
      <c r="I1362" s="41" t="inlineStr">
        <is>
          <t>ب ى ط 8763</t>
        </is>
      </c>
      <c r="J1362" s="41" t="inlineStr">
        <is>
          <t xml:space="preserve">احمد السيد </t>
        </is>
      </c>
      <c r="K1362" s="41" t="n"/>
      <c r="L1362" s="42" t="n">
        <v>18000</v>
      </c>
      <c r="M1362" s="42" t="n">
        <v>8100</v>
      </c>
      <c r="N1362" s="42" t="n">
        <v>1100</v>
      </c>
      <c r="O1362" s="42" t="n">
        <v>200</v>
      </c>
      <c r="P1362" s="42" t="n"/>
      <c r="Q1362" s="42" t="n"/>
      <c r="R1362" s="43">
        <f>IF($B1362="","",N($S1362)-N($Q1362))</f>
        <v/>
      </c>
      <c r="S1362" s="43">
        <f>IF($B1362="","",N($L1362)+N($N1362)+N($P1362))</f>
        <v/>
      </c>
      <c r="T1362" s="42" t="n"/>
      <c r="U1362" s="42" t="n"/>
      <c r="V1362" s="42" t="n"/>
      <c r="W1362" s="42" t="n"/>
      <c r="X1362" s="42" t="n"/>
      <c r="Y1362" s="42" t="n"/>
      <c r="Z1362" s="42" t="n"/>
      <c r="AA1362" s="42" t="n"/>
      <c r="AB1362" s="42" t="n"/>
      <c r="AC1362" s="42" t="n"/>
      <c r="AD1362" s="42" t="n"/>
      <c r="AE1362" s="42" t="n"/>
      <c r="AF1362" s="43">
        <f>IF($B1362="","",SUM($T1362:$AE1362))</f>
        <v/>
      </c>
      <c r="AG1362" s="43">
        <f>IF($B1362="","",N($M1362)-N($AF1362))</f>
        <v/>
      </c>
      <c r="AH1362" s="43">
        <f>IF($B1362="","",N($L1362)-N($AF1362))</f>
        <v/>
      </c>
      <c r="AI1362" s="149">
        <f>IF($B1362="","",IF(N($L1362)=0,"",(N($L1362)-N($AF1362))/N($L1362)))</f>
        <v/>
      </c>
    </row>
    <row r="1363">
      <c r="A1363" s="39">
        <f>IF($B1363="","",COUNTA($B$4:$B1363))</f>
        <v/>
      </c>
      <c r="B1363" s="45" t="n">
        <v>46176</v>
      </c>
      <c r="C1363" s="46" t="n">
        <v>2876</v>
      </c>
      <c r="D1363" s="46" t="inlineStr">
        <is>
          <t>احمد خطاب</t>
        </is>
      </c>
      <c r="E1363" s="46" t="inlineStr">
        <is>
          <t>1*40</t>
        </is>
      </c>
      <c r="F1363" s="46" t="inlineStr">
        <is>
          <t xml:space="preserve">وادى الرياض </t>
        </is>
      </c>
      <c r="G1363" s="46" t="inlineStr">
        <is>
          <t>الاسماعيليه</t>
        </is>
      </c>
      <c r="H1363" s="46" t="inlineStr">
        <is>
          <t>405072/5</t>
        </is>
      </c>
      <c r="I1363" s="46" t="inlineStr">
        <is>
          <t>ب ج ى 8759</t>
        </is>
      </c>
      <c r="J1363" s="46" t="inlineStr">
        <is>
          <t xml:space="preserve">حسام اشرف </t>
        </is>
      </c>
      <c r="K1363" s="46" t="n"/>
      <c r="L1363" s="47" t="n">
        <v>18000</v>
      </c>
      <c r="M1363" s="47" t="n">
        <v>8100</v>
      </c>
      <c r="N1363" s="47" t="n">
        <v>1100</v>
      </c>
      <c r="O1363" s="47" t="n">
        <v>200</v>
      </c>
      <c r="P1363" s="47" t="n"/>
      <c r="Q1363" s="47" t="n"/>
      <c r="R1363" s="43">
        <f>IF($B1363="","",N($S1363)-N($Q1363))</f>
        <v/>
      </c>
      <c r="S1363" s="43">
        <f>IF($B1363="","",N($L1363)+N($N1363)+N($P1363))</f>
        <v/>
      </c>
      <c r="T1363" s="47" t="n"/>
      <c r="U1363" s="47" t="n"/>
      <c r="V1363" s="47" t="n"/>
      <c r="W1363" s="47" t="n"/>
      <c r="X1363" s="47" t="n"/>
      <c r="Y1363" s="47" t="n"/>
      <c r="Z1363" s="47" t="n"/>
      <c r="AA1363" s="47" t="n"/>
      <c r="AB1363" s="47" t="n"/>
      <c r="AC1363" s="47" t="n"/>
      <c r="AD1363" s="47" t="n"/>
      <c r="AE1363" s="47" t="n"/>
      <c r="AF1363" s="43">
        <f>IF($B1363="","",SUM($T1363:$AE1363))</f>
        <v/>
      </c>
      <c r="AG1363" s="43">
        <f>IF($B1363="","",N($M1363)-N($AF1363))</f>
        <v/>
      </c>
      <c r="AH1363" s="43">
        <f>IF($B1363="","",N($L1363)-N($AF1363))</f>
        <v/>
      </c>
      <c r="AI1363" s="149">
        <f>IF($B1363="","",IF(N($L1363)=0,"",(N($L1363)-N($AF1363))/N($L1363)))</f>
        <v/>
      </c>
    </row>
    <row r="1364">
      <c r="A1364" s="39">
        <f>IF($B1364="","",COUNTA($B$4:$B1364))</f>
        <v/>
      </c>
      <c r="B1364" s="40" t="n">
        <v>46176</v>
      </c>
      <c r="C1364" s="41" t="n">
        <v>2879</v>
      </c>
      <c r="D1364" s="41" t="inlineStr">
        <is>
          <t>مصطفى توفيق</t>
        </is>
      </c>
      <c r="E1364" s="41" t="inlineStr">
        <is>
          <t>1*40</t>
        </is>
      </c>
      <c r="F1364" s="41" t="inlineStr">
        <is>
          <t xml:space="preserve">وادى الرياض </t>
        </is>
      </c>
      <c r="G1364" s="41" t="inlineStr">
        <is>
          <t>الاسماعيليه</t>
        </is>
      </c>
      <c r="H1364" s="41" t="inlineStr">
        <is>
          <t>913773/5</t>
        </is>
      </c>
      <c r="I1364" s="41" t="inlineStr">
        <is>
          <t>س د ه 66165</t>
        </is>
      </c>
      <c r="J1364" s="41" t="inlineStr">
        <is>
          <t xml:space="preserve">محمد الحديدى </t>
        </is>
      </c>
      <c r="K1364" s="41" t="n"/>
      <c r="L1364" s="42" t="n">
        <v>18000</v>
      </c>
      <c r="M1364" s="42" t="n">
        <v>8100</v>
      </c>
      <c r="N1364" s="42" t="n">
        <v>1100</v>
      </c>
      <c r="O1364" s="42" t="n">
        <v>200</v>
      </c>
      <c r="P1364" s="42" t="n"/>
      <c r="Q1364" s="42" t="n">
        <v>8600</v>
      </c>
      <c r="R1364" s="43">
        <f>IF($B1364="","",N($S1364)-N($Q1364))</f>
        <v/>
      </c>
      <c r="S1364" s="43">
        <f>IF($B1364="","",N($L1364)+N($N1364)+N($P1364))</f>
        <v/>
      </c>
      <c r="T1364" s="42" t="n"/>
      <c r="U1364" s="42" t="n"/>
      <c r="V1364" s="42" t="n"/>
      <c r="W1364" s="42" t="n"/>
      <c r="X1364" s="42" t="n"/>
      <c r="Y1364" s="42" t="n"/>
      <c r="Z1364" s="42" t="n"/>
      <c r="AA1364" s="42" t="n"/>
      <c r="AB1364" s="42" t="n"/>
      <c r="AC1364" s="42" t="n"/>
      <c r="AD1364" s="42" t="n"/>
      <c r="AE1364" s="42" t="n"/>
      <c r="AF1364" s="43">
        <f>IF($B1364="","",SUM($T1364:$AE1364))</f>
        <v/>
      </c>
      <c r="AG1364" s="43">
        <f>IF($B1364="","",N($M1364)-N($AF1364))</f>
        <v/>
      </c>
      <c r="AH1364" s="43">
        <f>IF($B1364="","",N($L1364)-N($AF1364))</f>
        <v/>
      </c>
      <c r="AI1364" s="149">
        <f>IF($B1364="","",IF(N($L1364)=0,"",(N($L1364)-N($AF1364))/N($L1364)))</f>
        <v/>
      </c>
    </row>
    <row r="1365">
      <c r="A1365" s="39">
        <f>IF($B1365="","",COUNTA($B$4:$B1365))</f>
        <v/>
      </c>
      <c r="B1365" s="45" t="n">
        <v>46176</v>
      </c>
      <c r="C1365" s="46" t="n">
        <v>2880</v>
      </c>
      <c r="D1365" s="46" t="inlineStr">
        <is>
          <t>مصطفى توفيق</t>
        </is>
      </c>
      <c r="E1365" s="46" t="inlineStr">
        <is>
          <t>1*40</t>
        </is>
      </c>
      <c r="F1365" s="46" t="inlineStr">
        <is>
          <t xml:space="preserve">وادى الرياض </t>
        </is>
      </c>
      <c r="G1365" s="46" t="inlineStr">
        <is>
          <t>الاسماعيليه</t>
        </is>
      </c>
      <c r="H1365" s="46" t="inlineStr">
        <is>
          <t>690319/7</t>
        </is>
      </c>
      <c r="I1365" s="46" t="inlineStr">
        <is>
          <t>ص ا ى 1646</t>
        </is>
      </c>
      <c r="J1365" s="46" t="inlineStr">
        <is>
          <t xml:space="preserve">مصطفى </t>
        </is>
      </c>
      <c r="K1365" s="46" t="inlineStr">
        <is>
          <t xml:space="preserve">نجمة بحرى </t>
        </is>
      </c>
      <c r="L1365" s="47" t="n">
        <v>18000</v>
      </c>
      <c r="M1365" s="47" t="n">
        <v>8100</v>
      </c>
      <c r="N1365" s="47" t="n">
        <v>1100</v>
      </c>
      <c r="O1365" s="47" t="n">
        <v>200</v>
      </c>
      <c r="P1365" s="47" t="n"/>
      <c r="Q1365" s="47" t="n">
        <v>8600</v>
      </c>
      <c r="R1365" s="43">
        <f>IF($B1365="","",N($S1365)-N($Q1365))</f>
        <v/>
      </c>
      <c r="S1365" s="43">
        <f>IF($B1365="","",N($L1365)+N($N1365)+N($P1365))</f>
        <v/>
      </c>
      <c r="T1365" s="47" t="n"/>
      <c r="U1365" s="47" t="n"/>
      <c r="V1365" s="47" t="n"/>
      <c r="W1365" s="47" t="n"/>
      <c r="X1365" s="47" t="n"/>
      <c r="Y1365" s="47" t="n"/>
      <c r="Z1365" s="47" t="n"/>
      <c r="AA1365" s="47" t="n"/>
      <c r="AB1365" s="47" t="n"/>
      <c r="AC1365" s="47" t="n"/>
      <c r="AD1365" s="47" t="n"/>
      <c r="AE1365" s="47" t="n"/>
      <c r="AF1365" s="43">
        <f>IF($B1365="","",SUM($T1365:$AE1365))</f>
        <v/>
      </c>
      <c r="AG1365" s="43">
        <f>IF($B1365="","",N($M1365)-N($AF1365))</f>
        <v/>
      </c>
      <c r="AH1365" s="43">
        <f>IF($B1365="","",N($L1365)-N($AF1365))</f>
        <v/>
      </c>
      <c r="AI1365" s="149">
        <f>IF($B1365="","",IF(N($L1365)=0,"",(N($L1365)-N($AF1365))/N($L1365)))</f>
        <v/>
      </c>
    </row>
    <row r="1366">
      <c r="A1366" s="39">
        <f>IF($B1366="","",COUNTA($B$4:$B1366))</f>
        <v/>
      </c>
      <c r="B1366" s="40" t="n">
        <v>46176</v>
      </c>
      <c r="C1366" s="41" t="n">
        <v>2881</v>
      </c>
      <c r="D1366" s="41" t="inlineStr">
        <is>
          <t xml:space="preserve">احمد عبدو </t>
        </is>
      </c>
      <c r="E1366" s="41" t="inlineStr">
        <is>
          <t>1*40</t>
        </is>
      </c>
      <c r="F1366" s="41" t="inlineStr">
        <is>
          <t xml:space="preserve">وادى الرياض </t>
        </is>
      </c>
      <c r="G1366" s="41" t="inlineStr">
        <is>
          <t>الاسماعيليه</t>
        </is>
      </c>
      <c r="H1366" s="41" t="inlineStr">
        <is>
          <t>752810/4</t>
        </is>
      </c>
      <c r="I1366" s="41" t="inlineStr">
        <is>
          <t>ص ا ن 8757</t>
        </is>
      </c>
      <c r="J1366" s="41" t="inlineStr">
        <is>
          <t>اوبش</t>
        </is>
      </c>
      <c r="K1366" s="41" t="inlineStr">
        <is>
          <t xml:space="preserve">احمد السويفى </t>
        </is>
      </c>
      <c r="L1366" s="42" t="n">
        <v>18000</v>
      </c>
      <c r="M1366" s="42" t="n">
        <v>8100</v>
      </c>
      <c r="N1366" s="42" t="n">
        <v>1100</v>
      </c>
      <c r="O1366" s="42" t="n">
        <v>200</v>
      </c>
      <c r="P1366" s="42" t="n"/>
      <c r="Q1366" s="42" t="n"/>
      <c r="R1366" s="43">
        <f>IF($B1366="","",N($S1366)-N($Q1366))</f>
        <v/>
      </c>
      <c r="S1366" s="43">
        <f>IF($B1366="","",N($L1366)+N($N1366)+N($P1366))</f>
        <v/>
      </c>
      <c r="T1366" s="42" t="n"/>
      <c r="U1366" s="42" t="n"/>
      <c r="V1366" s="42" t="n"/>
      <c r="W1366" s="42" t="n"/>
      <c r="X1366" s="42" t="n"/>
      <c r="Y1366" s="42" t="n"/>
      <c r="Z1366" s="42" t="n"/>
      <c r="AA1366" s="42" t="n"/>
      <c r="AB1366" s="42" t="n"/>
      <c r="AC1366" s="42" t="n"/>
      <c r="AD1366" s="42" t="n"/>
      <c r="AE1366" s="42" t="n"/>
      <c r="AF1366" s="43">
        <f>IF($B1366="","",SUM($T1366:$AE1366))</f>
        <v/>
      </c>
      <c r="AG1366" s="43">
        <f>IF($B1366="","",N($M1366)-N($AF1366))</f>
        <v/>
      </c>
      <c r="AH1366" s="43">
        <f>IF($B1366="","",N($L1366)-N($AF1366))</f>
        <v/>
      </c>
      <c r="AI1366" s="149">
        <f>IF($B1366="","",IF(N($L1366)=0,"",(N($L1366)-N($AF1366))/N($L1366)))</f>
        <v/>
      </c>
    </row>
    <row r="1367">
      <c r="A1367" s="39">
        <f>IF($B1367="","",COUNTA($B$4:$B1367))</f>
        <v/>
      </c>
      <c r="B1367" s="45" t="n">
        <v>46176</v>
      </c>
      <c r="C1367" s="46" t="n">
        <v>2882</v>
      </c>
      <c r="D1367" s="46" t="inlineStr">
        <is>
          <t xml:space="preserve">استوريا </t>
        </is>
      </c>
      <c r="E1367" s="46" t="inlineStr">
        <is>
          <t>1*40</t>
        </is>
      </c>
      <c r="F1367" s="46" t="n"/>
      <c r="G1367" s="46" t="inlineStr">
        <is>
          <t>الاسماعيليه</t>
        </is>
      </c>
      <c r="H1367" s="46" t="inlineStr">
        <is>
          <t>698585/2</t>
        </is>
      </c>
      <c r="I1367" s="46" t="inlineStr">
        <is>
          <t>ب ف ط 4187</t>
        </is>
      </c>
      <c r="J1367" s="46" t="inlineStr">
        <is>
          <t xml:space="preserve">رمضان رجب </t>
        </is>
      </c>
      <c r="K1367" s="46" t="n"/>
      <c r="L1367" s="47" t="n">
        <v>17000</v>
      </c>
      <c r="M1367" s="47" t="n">
        <v>8100</v>
      </c>
      <c r="N1367" s="47" t="n">
        <v>1100</v>
      </c>
      <c r="O1367" s="47" t="n">
        <v>200</v>
      </c>
      <c r="P1367" s="47" t="n"/>
      <c r="Q1367" s="47" t="n"/>
      <c r="R1367" s="43">
        <f>IF($B1367="","",N($S1367)-N($Q1367))</f>
        <v/>
      </c>
      <c r="S1367" s="43">
        <f>IF($B1367="","",N($L1367)+N($N1367)+N($P1367))</f>
        <v/>
      </c>
      <c r="T1367" s="47" t="n"/>
      <c r="U1367" s="47" t="n"/>
      <c r="V1367" s="47" t="n"/>
      <c r="W1367" s="47" t="n"/>
      <c r="X1367" s="47" t="n"/>
      <c r="Y1367" s="47" t="n"/>
      <c r="Z1367" s="47" t="n"/>
      <c r="AA1367" s="47" t="n"/>
      <c r="AB1367" s="47" t="n"/>
      <c r="AC1367" s="47" t="n"/>
      <c r="AD1367" s="47" t="n"/>
      <c r="AE1367" s="47" t="n"/>
      <c r="AF1367" s="43">
        <f>IF($B1367="","",SUM($T1367:$AE1367))</f>
        <v/>
      </c>
      <c r="AG1367" s="43">
        <f>IF($B1367="","",N($M1367)-N($AF1367))</f>
        <v/>
      </c>
      <c r="AH1367" s="43">
        <f>IF($B1367="","",N($L1367)-N($AF1367))</f>
        <v/>
      </c>
      <c r="AI1367" s="149">
        <f>IF($B1367="","",IF(N($L1367)=0,"",(N($L1367)-N($AF1367))/N($L1367)))</f>
        <v/>
      </c>
    </row>
    <row r="1368">
      <c r="A1368" s="39">
        <f>IF($B1368="","",COUNTA($B$4:$B1368))</f>
        <v/>
      </c>
      <c r="B1368" s="40" t="n">
        <v>46177</v>
      </c>
      <c r="C1368" s="41" t="n">
        <v>3022</v>
      </c>
      <c r="D1368" s="41" t="inlineStr">
        <is>
          <t>الشريف</t>
        </is>
      </c>
      <c r="E1368" s="41" t="inlineStr">
        <is>
          <t>2*20</t>
        </is>
      </c>
      <c r="F1368" s="41" t="inlineStr">
        <is>
          <t xml:space="preserve">مطاحن التاج </t>
        </is>
      </c>
      <c r="G1368" s="41" t="inlineStr">
        <is>
          <t xml:space="preserve">اكتوبر </t>
        </is>
      </c>
      <c r="H1368" s="41" t="inlineStr">
        <is>
          <t>361013/2-163669/0</t>
        </is>
      </c>
      <c r="I1368" s="41" t="inlineStr">
        <is>
          <t>ب ن و 6219</t>
        </is>
      </c>
      <c r="J1368" s="41" t="inlineStr">
        <is>
          <t xml:space="preserve">عبدة </t>
        </is>
      </c>
      <c r="K1368" s="41" t="inlineStr">
        <is>
          <t xml:space="preserve">ابو ادم </t>
        </is>
      </c>
      <c r="L1368" s="42" t="n">
        <v>18000</v>
      </c>
      <c r="M1368" s="42" t="n">
        <v>10100</v>
      </c>
      <c r="N1368" s="42" t="n">
        <v>1100</v>
      </c>
      <c r="O1368" s="42" t="n">
        <v>200</v>
      </c>
      <c r="P1368" s="42" t="n"/>
      <c r="Q1368" s="42" t="n"/>
      <c r="R1368" s="43">
        <f>IF($B1368="","",N($S1368)-N($Q1368))</f>
        <v/>
      </c>
      <c r="S1368" s="43">
        <f>IF($B1368="","",N($L1368)+N($N1368)+N($P1368))</f>
        <v/>
      </c>
      <c r="T1368" s="42" t="n"/>
      <c r="U1368" s="42" t="n"/>
      <c r="V1368" s="42" t="n"/>
      <c r="W1368" s="42" t="n"/>
      <c r="X1368" s="42" t="n"/>
      <c r="Y1368" s="42" t="n"/>
      <c r="Z1368" s="42" t="n"/>
      <c r="AA1368" s="42" t="n"/>
      <c r="AB1368" s="42" t="n"/>
      <c r="AC1368" s="42" t="n"/>
      <c r="AD1368" s="42" t="n"/>
      <c r="AE1368" s="42" t="n"/>
      <c r="AF1368" s="43">
        <f>IF($B1368="","",SUM($T1368:$AE1368))</f>
        <v/>
      </c>
      <c r="AG1368" s="43">
        <f>IF($B1368="","",N($M1368)-N($AF1368))</f>
        <v/>
      </c>
      <c r="AH1368" s="43">
        <f>IF($B1368="","",N($L1368)-N($AF1368))</f>
        <v/>
      </c>
      <c r="AI1368" s="149">
        <f>IF($B1368="","",IF(N($L1368)=0,"",(N($L1368)-N($AF1368))/N($L1368)))</f>
        <v/>
      </c>
    </row>
    <row r="1369">
      <c r="A1369" s="39">
        <f>IF($B1369="","",COUNTA($B$4:$B1369))</f>
        <v/>
      </c>
      <c r="B1369" s="45" t="n">
        <v>46177</v>
      </c>
      <c r="C1369" s="46" t="n">
        <v>3021</v>
      </c>
      <c r="D1369" s="46" t="inlineStr">
        <is>
          <t>محمد ذكى</t>
        </is>
      </c>
      <c r="E1369" s="46" t="inlineStr">
        <is>
          <t>2*20</t>
        </is>
      </c>
      <c r="F1369" s="46" t="inlineStr">
        <is>
          <t xml:space="preserve">مطاحن التاج </t>
        </is>
      </c>
      <c r="G1369" s="46" t="inlineStr">
        <is>
          <t xml:space="preserve">اكتوبر </t>
        </is>
      </c>
      <c r="H1369" s="46" t="inlineStr">
        <is>
          <t>310783/8-317548/3</t>
        </is>
      </c>
      <c r="I1369" s="46" t="inlineStr">
        <is>
          <t>س ر د 8281</t>
        </is>
      </c>
      <c r="J1369" s="46" t="inlineStr">
        <is>
          <t>احمد سعيد</t>
        </is>
      </c>
      <c r="K1369" s="46" t="inlineStr">
        <is>
          <t xml:space="preserve">ابو ادم </t>
        </is>
      </c>
      <c r="L1369" s="47" t="n">
        <v>18000</v>
      </c>
      <c r="M1369" s="47" t="n">
        <v>10100</v>
      </c>
      <c r="N1369" s="47" t="n">
        <v>1100</v>
      </c>
      <c r="O1369" s="47" t="n">
        <v>200</v>
      </c>
      <c r="P1369" s="47" t="n"/>
      <c r="Q1369" s="47" t="n"/>
      <c r="R1369" s="43">
        <f>IF($B1369="","",N($S1369)-N($Q1369))</f>
        <v/>
      </c>
      <c r="S1369" s="43">
        <f>IF($B1369="","",N($L1369)+N($N1369)+N($P1369))</f>
        <v/>
      </c>
      <c r="T1369" s="47" t="n"/>
      <c r="U1369" s="47" t="n"/>
      <c r="V1369" s="47" t="n"/>
      <c r="W1369" s="47" t="n"/>
      <c r="X1369" s="47" t="n"/>
      <c r="Y1369" s="47" t="n"/>
      <c r="Z1369" s="47" t="n"/>
      <c r="AA1369" s="47" t="n"/>
      <c r="AB1369" s="47" t="n"/>
      <c r="AC1369" s="47" t="n"/>
      <c r="AD1369" s="47" t="n"/>
      <c r="AE1369" s="47" t="n"/>
      <c r="AF1369" s="43">
        <f>IF($B1369="","",SUM($T1369:$AE1369))</f>
        <v/>
      </c>
      <c r="AG1369" s="43">
        <f>IF($B1369="","",N($M1369)-N($AF1369))</f>
        <v/>
      </c>
      <c r="AH1369" s="43">
        <f>IF($B1369="","",N($L1369)-N($AF1369))</f>
        <v/>
      </c>
      <c r="AI1369" s="149">
        <f>IF($B1369="","",IF(N($L1369)=0,"",(N($L1369)-N($AF1369))/N($L1369)))</f>
        <v/>
      </c>
    </row>
    <row r="1370">
      <c r="A1370" s="39">
        <f>IF($B1370="","",COUNTA($B$4:$B1370))</f>
        <v/>
      </c>
      <c r="B1370" s="40" t="n">
        <v>46177</v>
      </c>
      <c r="C1370" s="41" t="n">
        <v>3026</v>
      </c>
      <c r="D1370" s="41" t="inlineStr">
        <is>
          <t>محمد ذكى</t>
        </is>
      </c>
      <c r="E1370" s="41" t="inlineStr">
        <is>
          <t>2*20</t>
        </is>
      </c>
      <c r="F1370" s="41" t="inlineStr">
        <is>
          <t xml:space="preserve">مطاحن التاج </t>
        </is>
      </c>
      <c r="G1370" s="41" t="inlineStr">
        <is>
          <t xml:space="preserve">اكتوبر </t>
        </is>
      </c>
      <c r="H1370" s="41" t="inlineStr">
        <is>
          <t>176848/6-206941/0</t>
        </is>
      </c>
      <c r="I1370" s="41" t="inlineStr">
        <is>
          <t>س ا و 9626</t>
        </is>
      </c>
      <c r="J1370" s="41" t="inlineStr">
        <is>
          <t xml:space="preserve">صلاح ابو يوسف </t>
        </is>
      </c>
      <c r="K1370" s="41" t="inlineStr">
        <is>
          <t xml:space="preserve">ابو ادم </t>
        </is>
      </c>
      <c r="L1370" s="42" t="n">
        <v>18000</v>
      </c>
      <c r="M1370" s="42" t="n">
        <v>10100</v>
      </c>
      <c r="N1370" s="42" t="n">
        <v>1100</v>
      </c>
      <c r="O1370" s="42" t="n">
        <v>200</v>
      </c>
      <c r="P1370" s="42" t="n"/>
      <c r="Q1370" s="42" t="n"/>
      <c r="R1370" s="43">
        <f>IF($B1370="","",N($S1370)-N($Q1370))</f>
        <v/>
      </c>
      <c r="S1370" s="43">
        <f>IF($B1370="","",N($L1370)+N($N1370)+N($P1370))</f>
        <v/>
      </c>
      <c r="T1370" s="42" t="n"/>
      <c r="U1370" s="42" t="n"/>
      <c r="V1370" s="42" t="n"/>
      <c r="W1370" s="42" t="n"/>
      <c r="X1370" s="42" t="n"/>
      <c r="Y1370" s="42" t="n"/>
      <c r="Z1370" s="42" t="n"/>
      <c r="AA1370" s="42" t="n"/>
      <c r="AB1370" s="42" t="n"/>
      <c r="AC1370" s="42" t="n"/>
      <c r="AD1370" s="42" t="n"/>
      <c r="AE1370" s="42" t="n"/>
      <c r="AF1370" s="43">
        <f>IF($B1370="","",SUM($T1370:$AE1370))</f>
        <v/>
      </c>
      <c r="AG1370" s="43">
        <f>IF($B1370="","",N($M1370)-N($AF1370))</f>
        <v/>
      </c>
      <c r="AH1370" s="43">
        <f>IF($B1370="","",N($L1370)-N($AF1370))</f>
        <v/>
      </c>
      <c r="AI1370" s="149">
        <f>IF($B1370="","",IF(N($L1370)=0,"",(N($L1370)-N($AF1370))/N($L1370)))</f>
        <v/>
      </c>
    </row>
    <row r="1371">
      <c r="A1371" s="39">
        <f>IF($B1371="","",COUNTA($B$4:$B1371))</f>
        <v/>
      </c>
      <c r="B1371" s="45" t="n">
        <v>46177</v>
      </c>
      <c r="C1371" s="46" t="n">
        <v>3023</v>
      </c>
      <c r="D1371" s="46" t="inlineStr">
        <is>
          <t xml:space="preserve">حسين محمد </t>
        </is>
      </c>
      <c r="E1371" s="46" t="inlineStr">
        <is>
          <t>2*20</t>
        </is>
      </c>
      <c r="F1371" s="46" t="inlineStr">
        <is>
          <t xml:space="preserve">مطاحن التاج </t>
        </is>
      </c>
      <c r="G1371" s="46" t="inlineStr">
        <is>
          <t xml:space="preserve">اكتوبر </t>
        </is>
      </c>
      <c r="H1371" s="46" t="inlineStr">
        <is>
          <t>251374/3-258793/2</t>
        </is>
      </c>
      <c r="I1371" s="46" t="inlineStr">
        <is>
          <t>ب ص ا 8643</t>
        </is>
      </c>
      <c r="J1371" s="46" t="inlineStr">
        <is>
          <t xml:space="preserve">محروس عبد الكريم </t>
        </is>
      </c>
      <c r="K1371" s="46" t="inlineStr">
        <is>
          <t>الليبر</t>
        </is>
      </c>
      <c r="L1371" s="47" t="n">
        <v>18500</v>
      </c>
      <c r="M1371" s="47" t="n">
        <v>10100</v>
      </c>
      <c r="N1371" s="47" t="n">
        <v>1100</v>
      </c>
      <c r="O1371" s="47" t="n">
        <v>200</v>
      </c>
      <c r="P1371" s="47" t="n"/>
      <c r="Q1371" s="47" t="n"/>
      <c r="R1371" s="43">
        <f>IF($B1371="","",N($S1371)-N($Q1371))</f>
        <v/>
      </c>
      <c r="S1371" s="43">
        <f>IF($B1371="","",N($L1371)+N($N1371)+N($P1371))</f>
        <v/>
      </c>
      <c r="T1371" s="47" t="n"/>
      <c r="U1371" s="47" t="n"/>
      <c r="V1371" s="47" t="n"/>
      <c r="W1371" s="47" t="n"/>
      <c r="X1371" s="47" t="n"/>
      <c r="Y1371" s="47" t="n"/>
      <c r="Z1371" s="47" t="n"/>
      <c r="AA1371" s="47" t="n"/>
      <c r="AB1371" s="47" t="n"/>
      <c r="AC1371" s="47" t="n"/>
      <c r="AD1371" s="47" t="n"/>
      <c r="AE1371" s="47" t="n"/>
      <c r="AF1371" s="43">
        <f>IF($B1371="","",SUM($T1371:$AE1371))</f>
        <v/>
      </c>
      <c r="AG1371" s="43">
        <f>IF($B1371="","",N($M1371)-N($AF1371))</f>
        <v/>
      </c>
      <c r="AH1371" s="43">
        <f>IF($B1371="","",N($L1371)-N($AF1371))</f>
        <v/>
      </c>
      <c r="AI1371" s="149">
        <f>IF($B1371="","",IF(N($L1371)=0,"",(N($L1371)-N($AF1371))/N($L1371)))</f>
        <v/>
      </c>
    </row>
    <row r="1372">
      <c r="A1372" s="39">
        <f>IF($B1372="","",COUNTA($B$4:$B1372))</f>
        <v/>
      </c>
      <c r="B1372" s="40" t="n">
        <v>46177</v>
      </c>
      <c r="C1372" s="41" t="n">
        <v>3024</v>
      </c>
      <c r="D1372" s="41" t="n"/>
      <c r="E1372" s="41" t="inlineStr">
        <is>
          <t>2*20</t>
        </is>
      </c>
      <c r="F1372" s="41" t="inlineStr">
        <is>
          <t xml:space="preserve">مطاحن التاج </t>
        </is>
      </c>
      <c r="G1372" s="41" t="inlineStr">
        <is>
          <t xml:space="preserve">اكتوبر </t>
        </is>
      </c>
      <c r="H1372" s="41" t="inlineStr">
        <is>
          <t>116197/2-202971/0</t>
        </is>
      </c>
      <c r="I1372" s="41" t="inlineStr">
        <is>
          <t>ب د ف 4153</t>
        </is>
      </c>
      <c r="J1372" s="41" t="inlineStr">
        <is>
          <t xml:space="preserve">احمد مصطفى </t>
        </is>
      </c>
      <c r="K1372" s="41" t="inlineStr">
        <is>
          <t>الليبر</t>
        </is>
      </c>
      <c r="L1372" s="42" t="n">
        <v>18000</v>
      </c>
      <c r="M1372" s="42" t="n">
        <v>10100</v>
      </c>
      <c r="N1372" s="42" t="n">
        <v>1100</v>
      </c>
      <c r="O1372" s="42" t="n">
        <v>200</v>
      </c>
      <c r="P1372" s="42" t="n"/>
      <c r="Q1372" s="42" t="n"/>
      <c r="R1372" s="43">
        <f>IF($B1372="","",N($S1372)-N($Q1372))</f>
        <v/>
      </c>
      <c r="S1372" s="43">
        <f>IF($B1372="","",N($L1372)+N($N1372)+N($P1372))</f>
        <v/>
      </c>
      <c r="T1372" s="42" t="n"/>
      <c r="U1372" s="42" t="n"/>
      <c r="V1372" s="42" t="n"/>
      <c r="W1372" s="42" t="n"/>
      <c r="X1372" s="42" t="n"/>
      <c r="Y1372" s="42" t="n"/>
      <c r="Z1372" s="42" t="n"/>
      <c r="AA1372" s="42" t="n"/>
      <c r="AB1372" s="42" t="n"/>
      <c r="AC1372" s="42" t="n"/>
      <c r="AD1372" s="42" t="n"/>
      <c r="AE1372" s="42" t="n"/>
      <c r="AF1372" s="43">
        <f>IF($B1372="","",SUM($T1372:$AE1372))</f>
        <v/>
      </c>
      <c r="AG1372" s="43">
        <f>IF($B1372="","",N($M1372)-N($AF1372))</f>
        <v/>
      </c>
      <c r="AH1372" s="43">
        <f>IF($B1372="","",N($L1372)-N($AF1372))</f>
        <v/>
      </c>
      <c r="AI1372" s="149">
        <f>IF($B1372="","",IF(N($L1372)=0,"",(N($L1372)-N($AF1372))/N($L1372)))</f>
        <v/>
      </c>
    </row>
    <row r="1373">
      <c r="A1373" s="39">
        <f>IF($B1373="","",COUNTA($B$4:$B1373))</f>
        <v/>
      </c>
      <c r="B1373" s="45" t="n">
        <v>46177</v>
      </c>
      <c r="C1373" s="46" t="n">
        <v>3025</v>
      </c>
      <c r="D1373" s="46" t="inlineStr">
        <is>
          <t xml:space="preserve">حسين محمد </t>
        </is>
      </c>
      <c r="E1373" s="46" t="inlineStr">
        <is>
          <t>2*20</t>
        </is>
      </c>
      <c r="F1373" s="46" t="inlineStr">
        <is>
          <t xml:space="preserve">مطاحن التاج </t>
        </is>
      </c>
      <c r="G1373" s="46" t="inlineStr">
        <is>
          <t xml:space="preserve">اكتوبر </t>
        </is>
      </c>
      <c r="H1373" s="46" t="inlineStr">
        <is>
          <t>219401/3-129962/8</t>
        </is>
      </c>
      <c r="I1373" s="46" t="inlineStr">
        <is>
          <t>ب ص ا 6389</t>
        </is>
      </c>
      <c r="J1373" s="46" t="inlineStr">
        <is>
          <t xml:space="preserve">اسامة ابو النور </t>
        </is>
      </c>
      <c r="K1373" s="46" t="inlineStr">
        <is>
          <t>الليبر</t>
        </is>
      </c>
      <c r="L1373" s="47" t="n">
        <v>18500</v>
      </c>
      <c r="M1373" s="47" t="n">
        <v>10100</v>
      </c>
      <c r="N1373" s="47" t="n">
        <v>1100</v>
      </c>
      <c r="O1373" s="47" t="n">
        <v>200</v>
      </c>
      <c r="P1373" s="47" t="n"/>
      <c r="Q1373" s="47" t="n"/>
      <c r="R1373" s="43">
        <f>IF($B1373="","",N($S1373)-N($Q1373))</f>
        <v/>
      </c>
      <c r="S1373" s="43">
        <f>IF($B1373="","",N($L1373)+N($N1373)+N($P1373))</f>
        <v/>
      </c>
      <c r="T1373" s="47" t="n"/>
      <c r="U1373" s="47" t="n"/>
      <c r="V1373" s="47" t="n"/>
      <c r="W1373" s="47" t="n"/>
      <c r="X1373" s="47" t="n"/>
      <c r="Y1373" s="47" t="n"/>
      <c r="Z1373" s="47" t="n"/>
      <c r="AA1373" s="47" t="n"/>
      <c r="AB1373" s="47" t="n"/>
      <c r="AC1373" s="47" t="n"/>
      <c r="AD1373" s="47" t="n"/>
      <c r="AE1373" s="47" t="n"/>
      <c r="AF1373" s="43">
        <f>IF($B1373="","",SUM($T1373:$AE1373))</f>
        <v/>
      </c>
      <c r="AG1373" s="43">
        <f>IF($B1373="","",N($M1373)-N($AF1373))</f>
        <v/>
      </c>
      <c r="AH1373" s="43">
        <f>IF($B1373="","",N($L1373)-N($AF1373))</f>
        <v/>
      </c>
      <c r="AI1373" s="149">
        <f>IF($B1373="","",IF(N($L1373)=0,"",(N($L1373)-N($AF1373))/N($L1373)))</f>
        <v/>
      </c>
    </row>
    <row r="1374">
      <c r="A1374" s="39">
        <f>IF($B1374="","",COUNTA($B$4:$B1374))</f>
        <v/>
      </c>
      <c r="B1374" s="40" t="n">
        <v>46177</v>
      </c>
      <c r="C1374" s="41" t="n">
        <v>3151</v>
      </c>
      <c r="D1374" s="41" t="n"/>
      <c r="E1374" s="41" t="inlineStr">
        <is>
          <t>1*20</t>
        </is>
      </c>
      <c r="F1374" s="41" t="inlineStr">
        <is>
          <t xml:space="preserve">الحمامى </t>
        </is>
      </c>
      <c r="G1374" s="41" t="inlineStr">
        <is>
          <t xml:space="preserve">العاشر </t>
        </is>
      </c>
      <c r="H1374" s="41" t="inlineStr">
        <is>
          <t>387627/8</t>
        </is>
      </c>
      <c r="I1374" s="41" t="inlineStr">
        <is>
          <t>ب ج ع 4963</t>
        </is>
      </c>
      <c r="J1374" s="41" t="inlineStr">
        <is>
          <t xml:space="preserve">محمد الروبى </t>
        </is>
      </c>
      <c r="K1374" s="41" t="inlineStr">
        <is>
          <t xml:space="preserve">رومانى </t>
        </is>
      </c>
      <c r="L1374" s="42" t="n">
        <v>14500</v>
      </c>
      <c r="M1374" s="42" t="n">
        <v>8100</v>
      </c>
      <c r="N1374" s="42" t="n"/>
      <c r="O1374" s="42" t="n">
        <v>200</v>
      </c>
      <c r="P1374" s="42" t="n"/>
      <c r="Q1374" s="42" t="n"/>
      <c r="R1374" s="43">
        <f>IF($B1374="","",N($S1374)-N($Q1374))</f>
        <v/>
      </c>
      <c r="S1374" s="43">
        <f>IF($B1374="","",N($L1374)+N($N1374)+N($P1374))</f>
        <v/>
      </c>
      <c r="T1374" s="42" t="n"/>
      <c r="U1374" s="42" t="n"/>
      <c r="V1374" s="42" t="n"/>
      <c r="W1374" s="42" t="n"/>
      <c r="X1374" s="42" t="n"/>
      <c r="Y1374" s="42" t="n"/>
      <c r="Z1374" s="42" t="n"/>
      <c r="AA1374" s="42" t="n"/>
      <c r="AB1374" s="42" t="n"/>
      <c r="AC1374" s="42" t="n"/>
      <c r="AD1374" s="42" t="n"/>
      <c r="AE1374" s="42" t="n"/>
      <c r="AF1374" s="43">
        <f>IF($B1374="","",SUM($T1374:$AE1374))</f>
        <v/>
      </c>
      <c r="AG1374" s="43">
        <f>IF($B1374="","",N($M1374)-N($AF1374))</f>
        <v/>
      </c>
      <c r="AH1374" s="43">
        <f>IF($B1374="","",N($L1374)-N($AF1374))</f>
        <v/>
      </c>
      <c r="AI1374" s="149">
        <f>IF($B1374="","",IF(N($L1374)=0,"",(N($L1374)-N($AF1374))/N($L1374)))</f>
        <v/>
      </c>
    </row>
    <row r="1375">
      <c r="A1375" s="39">
        <f>IF($B1375="","",COUNTA($B$4:$B1375))</f>
        <v/>
      </c>
      <c r="B1375" s="45" t="n">
        <v>46177</v>
      </c>
      <c r="C1375" s="46" t="n">
        <v>3156</v>
      </c>
      <c r="D1375" s="46" t="inlineStr">
        <is>
          <t>غزال</t>
        </is>
      </c>
      <c r="E1375" s="46" t="inlineStr">
        <is>
          <t>1*40</t>
        </is>
      </c>
      <c r="F1375" s="46" t="inlineStr">
        <is>
          <t>البارق</t>
        </is>
      </c>
      <c r="G1375" s="46" t="inlineStr">
        <is>
          <t>بورسعيد ش</t>
        </is>
      </c>
      <c r="H1375" s="46" t="inlineStr">
        <is>
          <t>687256/1</t>
        </is>
      </c>
      <c r="I1375" s="46" t="inlineStr">
        <is>
          <t>س د و 4584</t>
        </is>
      </c>
      <c r="J1375" s="46" t="inlineStr">
        <is>
          <t xml:space="preserve">محمود مصطفى </t>
        </is>
      </c>
      <c r="K1375" s="46" t="inlineStr">
        <is>
          <t xml:space="preserve">غزال </t>
        </is>
      </c>
      <c r="L1375" s="47" t="n">
        <v>24000</v>
      </c>
      <c r="M1375" s="47" t="n">
        <v>14100</v>
      </c>
      <c r="N1375" s="47" t="n"/>
      <c r="O1375" s="47" t="n">
        <v>200</v>
      </c>
      <c r="P1375" s="47" t="n">
        <v>2500</v>
      </c>
      <c r="Q1375" s="47" t="n">
        <v>12200</v>
      </c>
      <c r="R1375" s="43">
        <f>IF($B1375="","",N($S1375)-N($Q1375))</f>
        <v/>
      </c>
      <c r="S1375" s="43">
        <f>IF($B1375="","",N($L1375)+N($N1375)+N($P1375))</f>
        <v/>
      </c>
      <c r="T1375" s="47" t="n"/>
      <c r="U1375" s="47" t="n"/>
      <c r="V1375" s="47" t="n"/>
      <c r="W1375" s="47" t="n"/>
      <c r="X1375" s="47" t="n"/>
      <c r="Y1375" s="47" t="n"/>
      <c r="Z1375" s="47" t="n"/>
      <c r="AA1375" s="47" t="n"/>
      <c r="AB1375" s="47" t="n"/>
      <c r="AC1375" s="47" t="n"/>
      <c r="AD1375" s="47" t="n"/>
      <c r="AE1375" s="47" t="n"/>
      <c r="AF1375" s="43">
        <f>IF($B1375="","",SUM($T1375:$AE1375))</f>
        <v/>
      </c>
      <c r="AG1375" s="43">
        <f>IF($B1375="","",N($M1375)-N($AF1375))</f>
        <v/>
      </c>
      <c r="AH1375" s="43">
        <f>IF($B1375="","",N($L1375)-N($AF1375))</f>
        <v/>
      </c>
      <c r="AI1375" s="149">
        <f>IF($B1375="","",IF(N($L1375)=0,"",(N($L1375)-N($AF1375))/N($L1375)))</f>
        <v/>
      </c>
    </row>
    <row r="1376">
      <c r="A1376" s="39">
        <f>IF($B1376="","",COUNTA($B$4:$B1376))</f>
        <v/>
      </c>
      <c r="B1376" s="40" t="n">
        <v>46177</v>
      </c>
      <c r="C1376" s="41" t="n">
        <v>3152</v>
      </c>
      <c r="D1376" s="41" t="inlineStr">
        <is>
          <t>اسلام محروس</t>
        </is>
      </c>
      <c r="E1376" s="41" t="inlineStr">
        <is>
          <t>1*40</t>
        </is>
      </c>
      <c r="F1376" s="41" t="inlineStr">
        <is>
          <t>البارق</t>
        </is>
      </c>
      <c r="G1376" s="41" t="inlineStr">
        <is>
          <t>بورسعيد ش</t>
        </is>
      </c>
      <c r="H1376" s="41" t="inlineStr">
        <is>
          <t>662624/9</t>
        </is>
      </c>
      <c r="I1376" s="41" t="inlineStr">
        <is>
          <t>ص ع ا 7462</t>
        </is>
      </c>
      <c r="J1376" s="41" t="inlineStr">
        <is>
          <t xml:space="preserve">فتحى محمد </t>
        </is>
      </c>
      <c r="K1376" s="41" t="inlineStr">
        <is>
          <t xml:space="preserve">الحجرى </t>
        </is>
      </c>
      <c r="L1376" s="42" t="n">
        <v>22000</v>
      </c>
      <c r="M1376" s="42" t="n">
        <v>14100</v>
      </c>
      <c r="N1376" s="42" t="n"/>
      <c r="O1376" s="42" t="n">
        <v>200</v>
      </c>
      <c r="P1376" s="42" t="n"/>
      <c r="Q1376" s="42" t="n"/>
      <c r="R1376" s="43">
        <f>IF($B1376="","",N($S1376)-N($Q1376))</f>
        <v/>
      </c>
      <c r="S1376" s="43">
        <f>IF($B1376="","",N($L1376)+N($N1376)+N($P1376))</f>
        <v/>
      </c>
      <c r="T1376" s="42" t="n"/>
      <c r="U1376" s="42" t="n"/>
      <c r="V1376" s="42" t="n"/>
      <c r="W1376" s="42" t="n"/>
      <c r="X1376" s="42" t="n"/>
      <c r="Y1376" s="42" t="n"/>
      <c r="Z1376" s="42" t="n"/>
      <c r="AA1376" s="42" t="n"/>
      <c r="AB1376" s="42" t="n"/>
      <c r="AC1376" s="42" t="n"/>
      <c r="AD1376" s="42" t="n"/>
      <c r="AE1376" s="42" t="n"/>
      <c r="AF1376" s="43">
        <f>IF($B1376="","",SUM($T1376:$AE1376))</f>
        <v/>
      </c>
      <c r="AG1376" s="43">
        <f>IF($B1376="","",N($M1376)-N($AF1376))</f>
        <v/>
      </c>
      <c r="AH1376" s="43">
        <f>IF($B1376="","",N($L1376)-N($AF1376))</f>
        <v/>
      </c>
      <c r="AI1376" s="149">
        <f>IF($B1376="","",IF(N($L1376)=0,"",(N($L1376)-N($AF1376))/N($L1376)))</f>
        <v/>
      </c>
    </row>
    <row r="1377">
      <c r="A1377" s="39">
        <f>IF($B1377="","",COUNTA($B$4:$B1377))</f>
        <v/>
      </c>
      <c r="B1377" s="45" t="n">
        <v>46177</v>
      </c>
      <c r="C1377" s="46" t="n">
        <v>3154</v>
      </c>
      <c r="D1377" s="46" t="inlineStr">
        <is>
          <t xml:space="preserve">عتريس مخيمر </t>
        </is>
      </c>
      <c r="E1377" s="46" t="inlineStr">
        <is>
          <t>1*40</t>
        </is>
      </c>
      <c r="F1377" s="46" t="inlineStr">
        <is>
          <t>البارق</t>
        </is>
      </c>
      <c r="G1377" s="46" t="inlineStr">
        <is>
          <t>العاشر / بورسعيد ش</t>
        </is>
      </c>
      <c r="H1377" s="46" t="inlineStr">
        <is>
          <t>520394/9</t>
        </is>
      </c>
      <c r="I1377" s="46" t="inlineStr">
        <is>
          <t>ط ف ر 1474</t>
        </is>
      </c>
      <c r="J1377" s="46" t="inlineStr">
        <is>
          <t xml:space="preserve">جمال على </t>
        </is>
      </c>
      <c r="K1377" s="46" t="inlineStr">
        <is>
          <t xml:space="preserve">كريم خليف </t>
        </is>
      </c>
      <c r="L1377" s="47" t="n">
        <v>30000</v>
      </c>
      <c r="M1377" s="47" t="n">
        <v>14100</v>
      </c>
      <c r="N1377" s="47" t="n"/>
      <c r="O1377" s="47" t="n">
        <v>200</v>
      </c>
      <c r="P1377" s="47" t="n"/>
      <c r="Q1377" s="47" t="n"/>
      <c r="R1377" s="43">
        <f>IF($B1377="","",N($S1377)-N($Q1377))</f>
        <v/>
      </c>
      <c r="S1377" s="43">
        <f>IF($B1377="","",N($L1377)+N($N1377)+N($P1377))</f>
        <v/>
      </c>
      <c r="T1377" s="47" t="n"/>
      <c r="U1377" s="47" t="n"/>
      <c r="V1377" s="47" t="n"/>
      <c r="W1377" s="47" t="n"/>
      <c r="X1377" s="47" t="n"/>
      <c r="Y1377" s="47" t="n"/>
      <c r="Z1377" s="47" t="n"/>
      <c r="AA1377" s="47" t="n"/>
      <c r="AB1377" s="47" t="n"/>
      <c r="AC1377" s="47" t="n"/>
      <c r="AD1377" s="47" t="n"/>
      <c r="AE1377" s="47" t="n"/>
      <c r="AF1377" s="43">
        <f>IF($B1377="","",SUM($T1377:$AE1377))</f>
        <v/>
      </c>
      <c r="AG1377" s="43">
        <f>IF($B1377="","",N($M1377)-N($AF1377))</f>
        <v/>
      </c>
      <c r="AH1377" s="43">
        <f>IF($B1377="","",N($L1377)-N($AF1377))</f>
        <v/>
      </c>
      <c r="AI1377" s="149">
        <f>IF($B1377="","",IF(N($L1377)=0,"",(N($L1377)-N($AF1377))/N($L1377)))</f>
        <v/>
      </c>
    </row>
    <row r="1378">
      <c r="A1378" s="39">
        <f>IF($B1378="","",COUNTA($B$4:$B1378))</f>
        <v/>
      </c>
      <c r="B1378" s="40" t="n">
        <v>46177</v>
      </c>
      <c r="C1378" s="41" t="n">
        <v>3155</v>
      </c>
      <c r="D1378" s="41" t="inlineStr">
        <is>
          <t>المكتب</t>
        </is>
      </c>
      <c r="E1378" s="41" t="inlineStr">
        <is>
          <t>1*40</t>
        </is>
      </c>
      <c r="F1378" s="41" t="inlineStr">
        <is>
          <t>البارق</t>
        </is>
      </c>
      <c r="G1378" s="41" t="inlineStr">
        <is>
          <t>بورسعيد ش</t>
        </is>
      </c>
      <c r="H1378" s="41" t="inlineStr">
        <is>
          <t>596803/0</t>
        </is>
      </c>
      <c r="I1378" s="41" t="inlineStr">
        <is>
          <t>س ع م 8737</t>
        </is>
      </c>
      <c r="J1378" s="41" t="inlineStr">
        <is>
          <t xml:space="preserve">جلال حسنى </t>
        </is>
      </c>
      <c r="K1378" s="41" t="inlineStr">
        <is>
          <t xml:space="preserve">المكتب </t>
        </is>
      </c>
      <c r="L1378" s="42" t="n">
        <v>22000</v>
      </c>
      <c r="M1378" s="42" t="n">
        <v>5000</v>
      </c>
      <c r="N1378" s="42" t="n"/>
      <c r="O1378" s="42" t="n"/>
      <c r="P1378" s="42" t="n"/>
      <c r="Q1378" s="42" t="n">
        <v>17000</v>
      </c>
      <c r="R1378" s="43">
        <f>IF($B1378="","",N($S1378)-N($Q1378))</f>
        <v/>
      </c>
      <c r="S1378" s="43">
        <f>IF($B1378="","",N($L1378)+N($N1378)+N($P1378))</f>
        <v/>
      </c>
      <c r="T1378" s="42" t="n"/>
      <c r="U1378" s="42" t="n"/>
      <c r="V1378" s="42" t="n"/>
      <c r="W1378" s="42" t="n"/>
      <c r="X1378" s="42" t="n"/>
      <c r="Y1378" s="42" t="n"/>
      <c r="Z1378" s="42" t="n"/>
      <c r="AA1378" s="42" t="n"/>
      <c r="AB1378" s="42" t="n"/>
      <c r="AC1378" s="42" t="n"/>
      <c r="AD1378" s="42" t="n"/>
      <c r="AE1378" s="42" t="n"/>
      <c r="AF1378" s="43">
        <f>IF($B1378="","",SUM($T1378:$AE1378))</f>
        <v/>
      </c>
      <c r="AG1378" s="43">
        <f>IF($B1378="","",N($M1378)-N($AF1378))</f>
        <v/>
      </c>
      <c r="AH1378" s="43">
        <f>IF($B1378="","",N($L1378)-N($AF1378))</f>
        <v/>
      </c>
      <c r="AI1378" s="149">
        <f>IF($B1378="","",IF(N($L1378)=0,"",(N($L1378)-N($AF1378))/N($L1378)))</f>
        <v/>
      </c>
    </row>
    <row r="1379">
      <c r="A1379" s="39">
        <f>IF($B1379="","",COUNTA($B$4:$B1379))</f>
        <v/>
      </c>
      <c r="B1379" s="45" t="n">
        <v>46177</v>
      </c>
      <c r="C1379" s="46" t="n">
        <v>3153</v>
      </c>
      <c r="D1379" s="46" t="inlineStr">
        <is>
          <t xml:space="preserve">كمال رزق </t>
        </is>
      </c>
      <c r="E1379" s="46" t="inlineStr">
        <is>
          <t>1*40</t>
        </is>
      </c>
      <c r="F1379" s="46" t="inlineStr">
        <is>
          <t>البارق</t>
        </is>
      </c>
      <c r="G1379" s="46" t="inlineStr">
        <is>
          <t>بورسعيد ش</t>
        </is>
      </c>
      <c r="H1379" s="46" t="inlineStr">
        <is>
          <t>005779/3</t>
        </is>
      </c>
      <c r="I1379" s="46" t="inlineStr">
        <is>
          <t>س ن ر 8979</t>
        </is>
      </c>
      <c r="J1379" s="46" t="inlineStr">
        <is>
          <t xml:space="preserve">عماد سعيد </t>
        </is>
      </c>
      <c r="K1379" s="46" t="inlineStr">
        <is>
          <t xml:space="preserve">عماد سعيد </t>
        </is>
      </c>
      <c r="L1379" s="47" t="n">
        <v>22000</v>
      </c>
      <c r="M1379" s="47" t="n">
        <v>14100</v>
      </c>
      <c r="N1379" s="47" t="n"/>
      <c r="O1379" s="47" t="n">
        <v>200</v>
      </c>
      <c r="P1379" s="47" t="n"/>
      <c r="Q1379" s="47" t="n"/>
      <c r="R1379" s="43">
        <f>IF($B1379="","",N($S1379)-N($Q1379))</f>
        <v/>
      </c>
      <c r="S1379" s="43">
        <f>IF($B1379="","",N($L1379)+N($N1379)+N($P1379))</f>
        <v/>
      </c>
      <c r="T1379" s="47" t="n"/>
      <c r="U1379" s="47" t="n"/>
      <c r="V1379" s="47" t="n"/>
      <c r="W1379" s="47" t="n"/>
      <c r="X1379" s="47" t="n"/>
      <c r="Y1379" s="47" t="n"/>
      <c r="Z1379" s="47" t="n"/>
      <c r="AA1379" s="47" t="n"/>
      <c r="AB1379" s="47" t="n"/>
      <c r="AC1379" s="47" t="n"/>
      <c r="AD1379" s="47" t="n"/>
      <c r="AE1379" s="47" t="n"/>
      <c r="AF1379" s="43">
        <f>IF($B1379="","",SUM($T1379:$AE1379))</f>
        <v/>
      </c>
      <c r="AG1379" s="43">
        <f>IF($B1379="","",N($M1379)-N($AF1379))</f>
        <v/>
      </c>
      <c r="AH1379" s="43">
        <f>IF($B1379="","",N($L1379)-N($AF1379))</f>
        <v/>
      </c>
      <c r="AI1379" s="149">
        <f>IF($B1379="","",IF(N($L1379)=0,"",(N($L1379)-N($AF1379))/N($L1379)))</f>
        <v/>
      </c>
    </row>
    <row r="1380">
      <c r="A1380" s="39">
        <f>IF($B1380="","",COUNTA($B$4:$B1380))</f>
        <v/>
      </c>
      <c r="B1380" s="40" t="n">
        <v>46177</v>
      </c>
      <c r="C1380" s="41" t="n">
        <v>3121</v>
      </c>
      <c r="D1380" s="41" t="inlineStr">
        <is>
          <t xml:space="preserve">الانصارى </t>
        </is>
      </c>
      <c r="E1380" s="41" t="inlineStr">
        <is>
          <t>1*40</t>
        </is>
      </c>
      <c r="F1380" s="41" t="inlineStr">
        <is>
          <t xml:space="preserve">انترباك </t>
        </is>
      </c>
      <c r="G1380" s="41" t="inlineStr">
        <is>
          <t xml:space="preserve">العاشر </t>
        </is>
      </c>
      <c r="H1380" s="41" t="inlineStr">
        <is>
          <t>768585/2</t>
        </is>
      </c>
      <c r="I1380" s="41" t="inlineStr">
        <is>
          <t>ب ص ا 2574</t>
        </is>
      </c>
      <c r="J1380" s="41" t="inlineStr">
        <is>
          <t xml:space="preserve">احمد عادل </t>
        </is>
      </c>
      <c r="K1380" s="41" t="inlineStr">
        <is>
          <t xml:space="preserve">احمد خليف </t>
        </is>
      </c>
      <c r="L1380" s="42" t="n">
        <v>16000</v>
      </c>
      <c r="M1380" s="42" t="n">
        <v>9100</v>
      </c>
      <c r="N1380" s="42" t="n"/>
      <c r="O1380" s="42" t="n">
        <v>200</v>
      </c>
      <c r="P1380" s="42" t="n"/>
      <c r="Q1380" s="42" t="n"/>
      <c r="R1380" s="43">
        <f>IF($B1380="","",N($S1380)-N($Q1380))</f>
        <v/>
      </c>
      <c r="S1380" s="43">
        <f>IF($B1380="","",N($L1380)+N($N1380)+N($P1380))</f>
        <v/>
      </c>
      <c r="T1380" s="42" t="n"/>
      <c r="U1380" s="42" t="n"/>
      <c r="V1380" s="42" t="n"/>
      <c r="W1380" s="42" t="n"/>
      <c r="X1380" s="42" t="n"/>
      <c r="Y1380" s="42" t="n"/>
      <c r="Z1380" s="42" t="n"/>
      <c r="AA1380" s="42" t="n"/>
      <c r="AB1380" s="42" t="n"/>
      <c r="AC1380" s="42" t="n"/>
      <c r="AD1380" s="42" t="n"/>
      <c r="AE1380" s="42" t="n"/>
      <c r="AF1380" s="43">
        <f>IF($B1380="","",SUM($T1380:$AE1380))</f>
        <v/>
      </c>
      <c r="AG1380" s="43">
        <f>IF($B1380="","",N($M1380)-N($AF1380))</f>
        <v/>
      </c>
      <c r="AH1380" s="43">
        <f>IF($B1380="","",N($L1380)-N($AF1380))</f>
        <v/>
      </c>
      <c r="AI1380" s="149">
        <f>IF($B1380="","",IF(N($L1380)=0,"",(N($L1380)-N($AF1380))/N($L1380)))</f>
        <v/>
      </c>
    </row>
    <row r="1381">
      <c r="A1381" s="39">
        <f>IF($B1381="","",COUNTA($B$4:$B1381))</f>
        <v/>
      </c>
      <c r="B1381" s="45" t="n">
        <v>46177</v>
      </c>
      <c r="C1381" s="46" t="n">
        <v>3120</v>
      </c>
      <c r="D1381" s="46" t="inlineStr">
        <is>
          <t xml:space="preserve">حاتم البحر </t>
        </is>
      </c>
      <c r="E1381" s="46" t="inlineStr">
        <is>
          <t>1*40</t>
        </is>
      </c>
      <c r="F1381" s="46" t="inlineStr">
        <is>
          <t xml:space="preserve">المصرية الاوربية </t>
        </is>
      </c>
      <c r="G1381" s="46" t="inlineStr">
        <is>
          <t xml:space="preserve">الفيوم </t>
        </is>
      </c>
      <c r="H1381" s="46" t="inlineStr">
        <is>
          <t>003440/4</t>
        </is>
      </c>
      <c r="I1381" s="46" t="inlineStr">
        <is>
          <t>س ر ا 6671</t>
        </is>
      </c>
      <c r="J1381" s="46" t="inlineStr">
        <is>
          <t xml:space="preserve">محمد سمير </t>
        </is>
      </c>
      <c r="K1381" s="46" t="inlineStr">
        <is>
          <t xml:space="preserve">حمو مرزوق </t>
        </is>
      </c>
      <c r="L1381" s="47" t="n">
        <v>18000</v>
      </c>
      <c r="M1381" s="47" t="n">
        <v>9100</v>
      </c>
      <c r="N1381" s="47" t="n"/>
      <c r="O1381" s="47" t="n">
        <v>200</v>
      </c>
      <c r="P1381" s="47" t="n"/>
      <c r="Q1381" s="47" t="n"/>
      <c r="R1381" s="43">
        <f>IF($B1381="","",N($S1381)-N($Q1381))</f>
        <v/>
      </c>
      <c r="S1381" s="43">
        <f>IF($B1381="","",N($L1381)+N($N1381)+N($P1381))</f>
        <v/>
      </c>
      <c r="T1381" s="47" t="n"/>
      <c r="U1381" s="47" t="n"/>
      <c r="V1381" s="47" t="n"/>
      <c r="W1381" s="47" t="n"/>
      <c r="X1381" s="47" t="n"/>
      <c r="Y1381" s="47" t="n"/>
      <c r="Z1381" s="47" t="n"/>
      <c r="AA1381" s="47" t="n"/>
      <c r="AB1381" s="47" t="n"/>
      <c r="AC1381" s="47" t="n"/>
      <c r="AD1381" s="47" t="n"/>
      <c r="AE1381" s="47" t="n"/>
      <c r="AF1381" s="43">
        <f>IF($B1381="","",SUM($T1381:$AE1381))</f>
        <v/>
      </c>
      <c r="AG1381" s="43">
        <f>IF($B1381="","",N($M1381)-N($AF1381))</f>
        <v/>
      </c>
      <c r="AH1381" s="43">
        <f>IF($B1381="","",N($L1381)-N($AF1381))</f>
        <v/>
      </c>
      <c r="AI1381" s="149">
        <f>IF($B1381="","",IF(N($L1381)=0,"",(N($L1381)-N($AF1381))/N($L1381)))</f>
        <v/>
      </c>
    </row>
    <row r="1382">
      <c r="A1382" s="39">
        <f>IF($B1382="","",COUNTA($B$4:$B1382))</f>
        <v/>
      </c>
      <c r="B1382" s="40" t="n">
        <v>46177</v>
      </c>
      <c r="C1382" s="41" t="n">
        <v>2883</v>
      </c>
      <c r="D1382" s="41" t="n"/>
      <c r="E1382" s="41" t="inlineStr">
        <is>
          <t>1*40</t>
        </is>
      </c>
      <c r="F1382" s="41" t="inlineStr">
        <is>
          <t xml:space="preserve">ايدن فودز </t>
        </is>
      </c>
      <c r="G1382" s="41" t="inlineStr">
        <is>
          <t>بنى سويف</t>
        </is>
      </c>
      <c r="H1382" s="41" t="inlineStr">
        <is>
          <t>865369/6</t>
        </is>
      </c>
      <c r="I1382" s="41" t="inlineStr">
        <is>
          <t>ب ج ى 7925</t>
        </is>
      </c>
      <c r="J1382" s="41" t="inlineStr">
        <is>
          <t xml:space="preserve">سليمان جمال </t>
        </is>
      </c>
      <c r="K1382" s="41" t="inlineStr">
        <is>
          <t>الليبر</t>
        </is>
      </c>
      <c r="L1382" s="42" t="n">
        <v>19000</v>
      </c>
      <c r="M1382" s="42" t="n">
        <v>9100</v>
      </c>
      <c r="N1382" s="42" t="n">
        <v>1100</v>
      </c>
      <c r="O1382" s="42" t="n">
        <v>200</v>
      </c>
      <c r="P1382" s="42" t="n"/>
      <c r="Q1382" s="42" t="n"/>
      <c r="R1382" s="43">
        <f>IF($B1382="","",N($S1382)-N($Q1382))</f>
        <v/>
      </c>
      <c r="S1382" s="43">
        <f>IF($B1382="","",N($L1382)+N($N1382)+N($P1382))</f>
        <v/>
      </c>
      <c r="T1382" s="42" t="n"/>
      <c r="U1382" s="42" t="n"/>
      <c r="V1382" s="42" t="n"/>
      <c r="W1382" s="42" t="n"/>
      <c r="X1382" s="42" t="n"/>
      <c r="Y1382" s="42" t="n"/>
      <c r="Z1382" s="42" t="n"/>
      <c r="AA1382" s="42" t="n"/>
      <c r="AB1382" s="42" t="n"/>
      <c r="AC1382" s="42" t="n"/>
      <c r="AD1382" s="42" t="n"/>
      <c r="AE1382" s="42" t="n"/>
      <c r="AF1382" s="43">
        <f>IF($B1382="","",SUM($T1382:$AE1382))</f>
        <v/>
      </c>
      <c r="AG1382" s="43">
        <f>IF($B1382="","",N($M1382)-N($AF1382))</f>
        <v/>
      </c>
      <c r="AH1382" s="43">
        <f>IF($B1382="","",N($L1382)-N($AF1382))</f>
        <v/>
      </c>
      <c r="AI1382" s="149">
        <f>IF($B1382="","",IF(N($L1382)=0,"",(N($L1382)-N($AF1382))/N($L1382)))</f>
        <v/>
      </c>
    </row>
    <row r="1383">
      <c r="A1383" s="39">
        <f>IF($B1383="","",COUNTA($B$4:$B1383))</f>
        <v/>
      </c>
      <c r="B1383" s="45" t="n">
        <v>46177</v>
      </c>
      <c r="C1383" s="46" t="n">
        <v>2884</v>
      </c>
      <c r="D1383" s="46" t="n"/>
      <c r="E1383" s="46" t="inlineStr">
        <is>
          <t>1*40</t>
        </is>
      </c>
      <c r="F1383" s="46" t="inlineStr">
        <is>
          <t xml:space="preserve">ايدن فودز </t>
        </is>
      </c>
      <c r="G1383" s="46" t="inlineStr">
        <is>
          <t>بنى سويف</t>
        </is>
      </c>
      <c r="H1383" s="46" t="inlineStr">
        <is>
          <t>677281/1</t>
        </is>
      </c>
      <c r="I1383" s="46" t="inlineStr">
        <is>
          <t>ب ج ى 5721</t>
        </is>
      </c>
      <c r="J1383" s="46" t="inlineStr">
        <is>
          <t xml:space="preserve">احمد ابراهيم </t>
        </is>
      </c>
      <c r="K1383" s="46" t="inlineStr">
        <is>
          <t>الليبر</t>
        </is>
      </c>
      <c r="L1383" s="47" t="n">
        <v>19000</v>
      </c>
      <c r="M1383" s="47" t="n">
        <v>9100</v>
      </c>
      <c r="N1383" s="47" t="n">
        <v>1100</v>
      </c>
      <c r="O1383" s="47" t="n">
        <v>200</v>
      </c>
      <c r="P1383" s="47" t="n"/>
      <c r="Q1383" s="47" t="n"/>
      <c r="R1383" s="43">
        <f>IF($B1383="","",N($S1383)-N($Q1383))</f>
        <v/>
      </c>
      <c r="S1383" s="43">
        <f>IF($B1383="","",N($L1383)+N($N1383)+N($P1383))</f>
        <v/>
      </c>
      <c r="T1383" s="47" t="n"/>
      <c r="U1383" s="47" t="n"/>
      <c r="V1383" s="47" t="n"/>
      <c r="W1383" s="47" t="n"/>
      <c r="X1383" s="47" t="n"/>
      <c r="Y1383" s="47" t="n"/>
      <c r="Z1383" s="47" t="n"/>
      <c r="AA1383" s="47" t="n"/>
      <c r="AB1383" s="47" t="n"/>
      <c r="AC1383" s="47" t="n"/>
      <c r="AD1383" s="47" t="n"/>
      <c r="AE1383" s="47" t="n"/>
      <c r="AF1383" s="43">
        <f>IF($B1383="","",SUM($T1383:$AE1383))</f>
        <v/>
      </c>
      <c r="AG1383" s="43">
        <f>IF($B1383="","",N($M1383)-N($AF1383))</f>
        <v/>
      </c>
      <c r="AH1383" s="43">
        <f>IF($B1383="","",N($L1383)-N($AF1383))</f>
        <v/>
      </c>
      <c r="AI1383" s="149">
        <f>IF($B1383="","",IF(N($L1383)=0,"",(N($L1383)-N($AF1383))/N($L1383)))</f>
        <v/>
      </c>
    </row>
    <row r="1384">
      <c r="A1384" s="39">
        <f>IF($B1384="","",COUNTA($B$4:$B1384))</f>
        <v/>
      </c>
      <c r="B1384" s="40" t="n">
        <v>46178</v>
      </c>
      <c r="C1384" s="41" t="n">
        <v>2886</v>
      </c>
      <c r="D1384" s="41" t="inlineStr">
        <is>
          <t xml:space="preserve">حماد </t>
        </is>
      </c>
      <c r="E1384" s="41" t="inlineStr">
        <is>
          <t>1*40</t>
        </is>
      </c>
      <c r="F1384" s="41" t="inlineStr">
        <is>
          <t xml:space="preserve">ماى فارم </t>
        </is>
      </c>
      <c r="G1384" s="41" t="inlineStr">
        <is>
          <t xml:space="preserve">جمصة </t>
        </is>
      </c>
      <c r="H1384" s="41" t="inlineStr">
        <is>
          <t>924526/4</t>
        </is>
      </c>
      <c r="I1384" s="41" t="inlineStr">
        <is>
          <t>س ع م 4363</t>
        </is>
      </c>
      <c r="J1384" s="41" t="inlineStr">
        <is>
          <t xml:space="preserve">عمرو الدسوقى </t>
        </is>
      </c>
      <c r="K1384" s="41" t="inlineStr">
        <is>
          <t>ابراهيم العمدة</t>
        </is>
      </c>
      <c r="L1384" s="42" t="n">
        <v>14500</v>
      </c>
      <c r="M1384" s="42" t="n">
        <v>9100</v>
      </c>
      <c r="N1384" s="42" t="n"/>
      <c r="O1384" s="42" t="n">
        <v>200</v>
      </c>
      <c r="P1384" s="42" t="n"/>
      <c r="Q1384" s="42" t="n"/>
      <c r="R1384" s="43">
        <f>IF($B1384="","",N($S1384)-N($Q1384))</f>
        <v/>
      </c>
      <c r="S1384" s="43">
        <f>IF($B1384="","",N($L1384)+N($N1384)+N($P1384))</f>
        <v/>
      </c>
      <c r="T1384" s="42" t="n"/>
      <c r="U1384" s="42" t="n"/>
      <c r="V1384" s="42" t="n"/>
      <c r="W1384" s="42" t="n"/>
      <c r="X1384" s="42" t="n"/>
      <c r="Y1384" s="42" t="n"/>
      <c r="Z1384" s="42" t="n"/>
      <c r="AA1384" s="42" t="n"/>
      <c r="AB1384" s="42" t="n"/>
      <c r="AC1384" s="42" t="n"/>
      <c r="AD1384" s="42" t="n"/>
      <c r="AE1384" s="42" t="n"/>
      <c r="AF1384" s="43">
        <f>IF($B1384="","",SUM($T1384:$AE1384))</f>
        <v/>
      </c>
      <c r="AG1384" s="43">
        <f>IF($B1384="","",N($M1384)-N($AF1384))</f>
        <v/>
      </c>
      <c r="AH1384" s="43">
        <f>IF($B1384="","",N($L1384)-N($AF1384))</f>
        <v/>
      </c>
      <c r="AI1384" s="149">
        <f>IF($B1384="","",IF(N($L1384)=0,"",(N($L1384)-N($AF1384))/N($L1384)))</f>
        <v/>
      </c>
    </row>
    <row r="1385">
      <c r="A1385" s="39">
        <f>IF($B1385="","",COUNTA($B$4:$B1385))</f>
        <v/>
      </c>
      <c r="B1385" s="45" t="n">
        <v>46178</v>
      </c>
      <c r="C1385" s="46" t="n">
        <v>2885</v>
      </c>
      <c r="D1385" s="46" t="inlineStr">
        <is>
          <t>وليد الجهينى</t>
        </is>
      </c>
      <c r="E1385" s="46" t="inlineStr">
        <is>
          <t>2*20</t>
        </is>
      </c>
      <c r="F1385" s="46" t="inlineStr">
        <is>
          <t xml:space="preserve">الدولية للبن </t>
        </is>
      </c>
      <c r="G1385" s="46" t="inlineStr">
        <is>
          <t xml:space="preserve">اكتوبر </t>
        </is>
      </c>
      <c r="H1385" s="46" t="inlineStr">
        <is>
          <t>264411/7-269670/1</t>
        </is>
      </c>
      <c r="I1385" s="46" t="inlineStr">
        <is>
          <t>س ن ر 3739</t>
        </is>
      </c>
      <c r="J1385" s="46" t="inlineStr">
        <is>
          <t xml:space="preserve">همام العشرى </t>
        </is>
      </c>
      <c r="K1385" s="46" t="inlineStr">
        <is>
          <t xml:space="preserve">همام </t>
        </is>
      </c>
      <c r="L1385" s="47" t="n">
        <v>18000</v>
      </c>
      <c r="M1385" s="47" t="n">
        <v>10100</v>
      </c>
      <c r="N1385" s="47" t="n"/>
      <c r="O1385" s="47" t="n">
        <v>200</v>
      </c>
      <c r="P1385" s="47" t="n"/>
      <c r="Q1385" s="47" t="n"/>
      <c r="R1385" s="43">
        <f>IF($B1385="","",N($S1385)-N($Q1385))</f>
        <v/>
      </c>
      <c r="S1385" s="43">
        <f>IF($B1385="","",N($L1385)+N($N1385)+N($P1385))</f>
        <v/>
      </c>
      <c r="T1385" s="47" t="n"/>
      <c r="U1385" s="47" t="n"/>
      <c r="V1385" s="47" t="n"/>
      <c r="W1385" s="47" t="n"/>
      <c r="X1385" s="47" t="n"/>
      <c r="Y1385" s="47" t="n"/>
      <c r="Z1385" s="47" t="n"/>
      <c r="AA1385" s="47" t="n"/>
      <c r="AB1385" s="47" t="n"/>
      <c r="AC1385" s="47" t="n"/>
      <c r="AD1385" s="47" t="n"/>
      <c r="AE1385" s="47" t="n"/>
      <c r="AF1385" s="43">
        <f>IF($B1385="","",SUM($T1385:$AE1385))</f>
        <v/>
      </c>
      <c r="AG1385" s="43">
        <f>IF($B1385="","",N($M1385)-N($AF1385))</f>
        <v/>
      </c>
      <c r="AH1385" s="43">
        <f>IF($B1385="","",N($L1385)-N($AF1385))</f>
        <v/>
      </c>
      <c r="AI1385" s="149">
        <f>IF($B1385="","",IF(N($L1385)=0,"",(N($L1385)-N($AF1385))/N($L1385)))</f>
        <v/>
      </c>
    </row>
    <row r="1386">
      <c r="A1386" s="39">
        <f>IF($B1386="","",COUNTA($B$4:$B1386))</f>
        <v/>
      </c>
      <c r="B1386" s="40" t="n">
        <v>46179</v>
      </c>
      <c r="C1386" s="41" t="n">
        <v>3157</v>
      </c>
      <c r="D1386" s="41" t="inlineStr">
        <is>
          <t xml:space="preserve">حماد </t>
        </is>
      </c>
      <c r="E1386" s="41" t="inlineStr">
        <is>
          <t>1*40</t>
        </is>
      </c>
      <c r="F1386" s="41" t="inlineStr">
        <is>
          <t xml:space="preserve">ايتامكو </t>
        </is>
      </c>
      <c r="G1386" s="41" t="inlineStr">
        <is>
          <t xml:space="preserve">ط التحدى </t>
        </is>
      </c>
      <c r="H1386" s="41" t="inlineStr">
        <is>
          <t>830350/8</t>
        </is>
      </c>
      <c r="I1386" s="41" t="inlineStr">
        <is>
          <t>س ا ه 8198</t>
        </is>
      </c>
      <c r="J1386" s="41" t="inlineStr">
        <is>
          <t xml:space="preserve">وجية عبد الصبور </t>
        </is>
      </c>
      <c r="K1386" s="41" t="inlineStr">
        <is>
          <t xml:space="preserve">علاء علام </t>
        </is>
      </c>
      <c r="L1386" s="42" t="n">
        <v>12500</v>
      </c>
      <c r="M1386" s="42" t="n">
        <v>8100</v>
      </c>
      <c r="N1386" s="42" t="n"/>
      <c r="O1386" s="42" t="n">
        <v>200</v>
      </c>
      <c r="P1386" s="42" t="n"/>
      <c r="Q1386" s="42" t="n"/>
      <c r="R1386" s="43">
        <f>IF($B1386="","",N($S1386)-N($Q1386))</f>
        <v/>
      </c>
      <c r="S1386" s="43">
        <f>IF($B1386="","",N($L1386)+N($N1386)+N($P1386))</f>
        <v/>
      </c>
      <c r="T1386" s="42" t="n"/>
      <c r="U1386" s="42" t="n"/>
      <c r="V1386" s="42" t="n"/>
      <c r="W1386" s="42" t="n"/>
      <c r="X1386" s="42" t="n"/>
      <c r="Y1386" s="42" t="n"/>
      <c r="Z1386" s="42" t="n"/>
      <c r="AA1386" s="42" t="n"/>
      <c r="AB1386" s="42" t="n"/>
      <c r="AC1386" s="42" t="n"/>
      <c r="AD1386" s="42" t="n"/>
      <c r="AE1386" s="42" t="n"/>
      <c r="AF1386" s="43">
        <f>IF($B1386="","",SUM($T1386:$AE1386))</f>
        <v/>
      </c>
      <c r="AG1386" s="43">
        <f>IF($B1386="","",N($M1386)-N($AF1386))</f>
        <v/>
      </c>
      <c r="AH1386" s="43">
        <f>IF($B1386="","",N($L1386)-N($AF1386))</f>
        <v/>
      </c>
      <c r="AI1386" s="149">
        <f>IF($B1386="","",IF(N($L1386)=0,"",(N($L1386)-N($AF1386))/N($L1386)))</f>
        <v/>
      </c>
    </row>
    <row r="1387">
      <c r="A1387" s="39">
        <f>IF($B1387="","",COUNTA($B$4:$B1387))</f>
        <v/>
      </c>
      <c r="B1387" s="45" t="n">
        <v>46179</v>
      </c>
      <c r="C1387" s="46" t="n">
        <v>3158</v>
      </c>
      <c r="D1387" s="46" t="n"/>
      <c r="E1387" s="46" t="inlineStr">
        <is>
          <t>1*40</t>
        </is>
      </c>
      <c r="F1387" s="46" t="inlineStr">
        <is>
          <t xml:space="preserve">ايتامكو </t>
        </is>
      </c>
      <c r="G1387" s="46" t="inlineStr">
        <is>
          <t xml:space="preserve">ط التحدى </t>
        </is>
      </c>
      <c r="H1387" s="46" t="inlineStr">
        <is>
          <t>689052/0</t>
        </is>
      </c>
      <c r="I1387" s="46" t="inlineStr">
        <is>
          <t>س د ى 2812</t>
        </is>
      </c>
      <c r="J1387" s="46" t="inlineStr">
        <is>
          <t xml:space="preserve">محمد رزق </t>
        </is>
      </c>
      <c r="K1387" s="46" t="inlineStr">
        <is>
          <t xml:space="preserve">غزال </t>
        </is>
      </c>
      <c r="L1387" s="47" t="n">
        <v>12500</v>
      </c>
      <c r="M1387" s="47" t="n">
        <v>8100</v>
      </c>
      <c r="N1387" s="47" t="n"/>
      <c r="O1387" s="47" t="n">
        <v>200</v>
      </c>
      <c r="P1387" s="47" t="n"/>
      <c r="Q1387" s="47" t="n"/>
      <c r="R1387" s="43">
        <f>IF($B1387="","",N($S1387)-N($Q1387))</f>
        <v/>
      </c>
      <c r="S1387" s="43">
        <f>IF($B1387="","",N($L1387)+N($N1387)+N($P1387))</f>
        <v/>
      </c>
      <c r="T1387" s="47" t="n"/>
      <c r="U1387" s="47" t="n"/>
      <c r="V1387" s="47" t="n"/>
      <c r="W1387" s="47" t="n"/>
      <c r="X1387" s="47" t="n"/>
      <c r="Y1387" s="47" t="n"/>
      <c r="Z1387" s="47" t="n"/>
      <c r="AA1387" s="47" t="n"/>
      <c r="AB1387" s="47" t="n"/>
      <c r="AC1387" s="47" t="n"/>
      <c r="AD1387" s="47" t="n"/>
      <c r="AE1387" s="47" t="n"/>
      <c r="AF1387" s="43">
        <f>IF($B1387="","",SUM($T1387:$AE1387))</f>
        <v/>
      </c>
      <c r="AG1387" s="43">
        <f>IF($B1387="","",N($M1387)-N($AF1387))</f>
        <v/>
      </c>
      <c r="AH1387" s="43">
        <f>IF($B1387="","",N($L1387)-N($AF1387))</f>
        <v/>
      </c>
      <c r="AI1387" s="149">
        <f>IF($B1387="","",IF(N($L1387)=0,"",(N($L1387)-N($AF1387))/N($L1387)))</f>
        <v/>
      </c>
    </row>
    <row r="1388">
      <c r="A1388" s="39">
        <f>IF($B1388="","",COUNTA($B$4:$B1388))</f>
        <v/>
      </c>
      <c r="B1388" s="40" t="n">
        <v>46179</v>
      </c>
      <c r="C1388" s="41" t="n">
        <v>3159</v>
      </c>
      <c r="D1388" s="41" t="inlineStr">
        <is>
          <t>وليد الجهينى</t>
        </is>
      </c>
      <c r="E1388" s="41" t="inlineStr">
        <is>
          <t>1*40</t>
        </is>
      </c>
      <c r="F1388" s="41" t="inlineStr">
        <is>
          <t xml:space="preserve">ايتامكو </t>
        </is>
      </c>
      <c r="G1388" s="41" t="inlineStr">
        <is>
          <t xml:space="preserve">ط التحدى </t>
        </is>
      </c>
      <c r="H1388" s="41" t="inlineStr">
        <is>
          <t>858153/5</t>
        </is>
      </c>
      <c r="I1388" s="41" t="inlineStr">
        <is>
          <t>س ن ر 3739</t>
        </is>
      </c>
      <c r="J1388" s="41" t="inlineStr">
        <is>
          <t xml:space="preserve">همام العشرى </t>
        </is>
      </c>
      <c r="K1388" s="41" t="inlineStr">
        <is>
          <t xml:space="preserve">همام </t>
        </is>
      </c>
      <c r="L1388" s="42" t="n">
        <v>12500</v>
      </c>
      <c r="M1388" s="42" t="n">
        <v>8100</v>
      </c>
      <c r="N1388" s="42" t="n"/>
      <c r="O1388" s="42" t="n">
        <v>200</v>
      </c>
      <c r="P1388" s="42" t="n"/>
      <c r="Q1388" s="42" t="n"/>
      <c r="R1388" s="43">
        <f>IF($B1388="","",N($S1388)-N($Q1388))</f>
        <v/>
      </c>
      <c r="S1388" s="43">
        <f>IF($B1388="","",N($L1388)+N($N1388)+N($P1388))</f>
        <v/>
      </c>
      <c r="T1388" s="42" t="n"/>
      <c r="U1388" s="42" t="n"/>
      <c r="V1388" s="42" t="n"/>
      <c r="W1388" s="42" t="n"/>
      <c r="X1388" s="42" t="n"/>
      <c r="Y1388" s="42" t="n"/>
      <c r="Z1388" s="42" t="n"/>
      <c r="AA1388" s="42" t="n"/>
      <c r="AB1388" s="42" t="n"/>
      <c r="AC1388" s="42" t="n"/>
      <c r="AD1388" s="42" t="n"/>
      <c r="AE1388" s="42" t="n"/>
      <c r="AF1388" s="43">
        <f>IF($B1388="","",SUM($T1388:$AE1388))</f>
        <v/>
      </c>
      <c r="AG1388" s="43">
        <f>IF($B1388="","",N($M1388)-N($AF1388))</f>
        <v/>
      </c>
      <c r="AH1388" s="43">
        <f>IF($B1388="","",N($L1388)-N($AF1388))</f>
        <v/>
      </c>
      <c r="AI1388" s="149">
        <f>IF($B1388="","",IF(N($L1388)=0,"",(N($L1388)-N($AF1388))/N($L1388)))</f>
        <v/>
      </c>
    </row>
    <row r="1389">
      <c r="A1389" s="39">
        <f>IF($B1389="","",COUNTA($B$4:$B1389))</f>
        <v/>
      </c>
      <c r="B1389" s="45" t="n">
        <v>46180</v>
      </c>
      <c r="C1389" s="46" t="n">
        <v>3204</v>
      </c>
      <c r="D1389" s="46" t="inlineStr">
        <is>
          <t xml:space="preserve">عتريس مخيمر </t>
        </is>
      </c>
      <c r="E1389" s="46" t="inlineStr">
        <is>
          <t>1*40</t>
        </is>
      </c>
      <c r="F1389" s="46" t="inlineStr">
        <is>
          <t xml:space="preserve">اورينت </t>
        </is>
      </c>
      <c r="G1389" s="46" t="inlineStr">
        <is>
          <t xml:space="preserve">العاشر </t>
        </is>
      </c>
      <c r="H1389" s="46" t="inlineStr">
        <is>
          <t>822990/9</t>
        </is>
      </c>
      <c r="I1389" s="46" t="inlineStr">
        <is>
          <t>ب ص ا 2574</t>
        </is>
      </c>
      <c r="J1389" s="46" t="inlineStr">
        <is>
          <t xml:space="preserve">احمد عادل </t>
        </is>
      </c>
      <c r="K1389" s="46" t="inlineStr">
        <is>
          <t xml:space="preserve">احمد خليف </t>
        </is>
      </c>
      <c r="L1389" s="47" t="n">
        <v>15500</v>
      </c>
      <c r="M1389" s="47" t="n">
        <v>8100</v>
      </c>
      <c r="N1389" s="47" t="n"/>
      <c r="O1389" s="47" t="n">
        <v>200</v>
      </c>
      <c r="P1389" s="47" t="n"/>
      <c r="Q1389" s="47" t="n"/>
      <c r="R1389" s="43">
        <f>IF($B1389="","",N($S1389)-N($Q1389))</f>
        <v/>
      </c>
      <c r="S1389" s="43">
        <f>IF($B1389="","",N($L1389)+N($N1389)+N($P1389))</f>
        <v/>
      </c>
      <c r="T1389" s="47" t="n"/>
      <c r="U1389" s="47" t="n"/>
      <c r="V1389" s="47" t="n"/>
      <c r="W1389" s="47" t="n"/>
      <c r="X1389" s="47" t="n"/>
      <c r="Y1389" s="47" t="n"/>
      <c r="Z1389" s="47" t="n"/>
      <c r="AA1389" s="47" t="n"/>
      <c r="AB1389" s="47" t="n"/>
      <c r="AC1389" s="47" t="n"/>
      <c r="AD1389" s="47" t="n"/>
      <c r="AE1389" s="47" t="n"/>
      <c r="AF1389" s="43">
        <f>IF($B1389="","",SUM($T1389:$AE1389))</f>
        <v/>
      </c>
      <c r="AG1389" s="43">
        <f>IF($B1389="","",N($M1389)-N($AF1389))</f>
        <v/>
      </c>
      <c r="AH1389" s="43">
        <f>IF($B1389="","",N($L1389)-N($AF1389))</f>
        <v/>
      </c>
      <c r="AI1389" s="149">
        <f>IF($B1389="","",IF(N($L1389)=0,"",(N($L1389)-N($AF1389))/N($L1389)))</f>
        <v/>
      </c>
    </row>
    <row r="1390">
      <c r="A1390" s="39">
        <f>IF($B1390="","",COUNTA($B$4:$B1390))</f>
        <v/>
      </c>
      <c r="B1390" s="40" t="n">
        <v>46180</v>
      </c>
      <c r="C1390" s="41" t="n">
        <v>3205</v>
      </c>
      <c r="D1390" s="41" t="inlineStr">
        <is>
          <t xml:space="preserve">احمد عبدو </t>
        </is>
      </c>
      <c r="E1390" s="41" t="inlineStr">
        <is>
          <t>1*40</t>
        </is>
      </c>
      <c r="F1390" s="41" t="inlineStr">
        <is>
          <t xml:space="preserve">اورينت </t>
        </is>
      </c>
      <c r="G1390" s="41" t="inlineStr">
        <is>
          <t>العاشر</t>
        </is>
      </c>
      <c r="H1390" s="41" t="inlineStr">
        <is>
          <t>164311/5</t>
        </is>
      </c>
      <c r="I1390" s="41" t="inlineStr">
        <is>
          <t>س ف ب 4187</t>
        </is>
      </c>
      <c r="J1390" s="41" t="inlineStr">
        <is>
          <t xml:space="preserve">نور محمد </t>
        </is>
      </c>
      <c r="K1390" s="41" t="inlineStr">
        <is>
          <t xml:space="preserve">حمو البيبى </t>
        </is>
      </c>
      <c r="L1390" s="42" t="n">
        <v>15500</v>
      </c>
      <c r="M1390" s="42" t="n">
        <v>8100</v>
      </c>
      <c r="N1390" s="42" t="n"/>
      <c r="O1390" s="42" t="n">
        <v>200</v>
      </c>
      <c r="P1390" s="42" t="n"/>
      <c r="Q1390" s="42" t="n"/>
      <c r="R1390" s="43">
        <f>IF($B1390="","",N($S1390)-N($Q1390))</f>
        <v/>
      </c>
      <c r="S1390" s="43">
        <f>IF($B1390="","",N($L1390)+N($N1390)+N($P1390))</f>
        <v/>
      </c>
      <c r="T1390" s="42" t="n"/>
      <c r="U1390" s="42" t="n"/>
      <c r="V1390" s="42" t="n"/>
      <c r="W1390" s="42" t="n"/>
      <c r="X1390" s="42" t="n"/>
      <c r="Y1390" s="42" t="n"/>
      <c r="Z1390" s="42" t="n"/>
      <c r="AA1390" s="42" t="n"/>
      <c r="AB1390" s="42" t="n"/>
      <c r="AC1390" s="42" t="n"/>
      <c r="AD1390" s="42" t="n"/>
      <c r="AE1390" s="42" t="n"/>
      <c r="AF1390" s="43">
        <f>IF($B1390="","",SUM($T1390:$AE1390))</f>
        <v/>
      </c>
      <c r="AG1390" s="43">
        <f>IF($B1390="","",N($M1390)-N($AF1390))</f>
        <v/>
      </c>
      <c r="AH1390" s="43">
        <f>IF($B1390="","",N($L1390)-N($AF1390))</f>
        <v/>
      </c>
      <c r="AI1390" s="149">
        <f>IF($B1390="","",IF(N($L1390)=0,"",(N($L1390)-N($AF1390))/N($L1390)))</f>
        <v/>
      </c>
    </row>
    <row r="1391">
      <c r="A1391" s="39">
        <f>IF($B1391="","",COUNTA($B$4:$B1391))</f>
        <v/>
      </c>
      <c r="B1391" s="45" t="n">
        <v>46180</v>
      </c>
      <c r="C1391" s="46" t="n">
        <v>3206</v>
      </c>
      <c r="D1391" s="46" t="inlineStr">
        <is>
          <t>وليد الجهينى</t>
        </is>
      </c>
      <c r="E1391" s="46" t="inlineStr">
        <is>
          <t>1*40</t>
        </is>
      </c>
      <c r="F1391" s="46" t="inlineStr">
        <is>
          <t xml:space="preserve">اورينت </t>
        </is>
      </c>
      <c r="G1391" s="46" t="inlineStr">
        <is>
          <t xml:space="preserve">العاشر </t>
        </is>
      </c>
      <c r="H1391" s="46" t="inlineStr">
        <is>
          <t>348664/7</t>
        </is>
      </c>
      <c r="I1391" s="46" t="inlineStr">
        <is>
          <t>س ن رة 3739</t>
        </is>
      </c>
      <c r="J1391" s="46" t="inlineStr">
        <is>
          <t xml:space="preserve">همام العشرى </t>
        </is>
      </c>
      <c r="K1391" s="46" t="inlineStr">
        <is>
          <t xml:space="preserve">همام </t>
        </is>
      </c>
      <c r="L1391" s="47" t="n">
        <v>15500</v>
      </c>
      <c r="M1391" s="47" t="n">
        <v>8100</v>
      </c>
      <c r="N1391" s="47" t="n"/>
      <c r="O1391" s="47" t="n">
        <v>200</v>
      </c>
      <c r="P1391" s="47" t="n"/>
      <c r="Q1391" s="47" t="n"/>
      <c r="R1391" s="43">
        <f>IF($B1391="","",N($S1391)-N($Q1391))</f>
        <v/>
      </c>
      <c r="S1391" s="43">
        <f>IF($B1391="","",N($L1391)+N($N1391)+N($P1391))</f>
        <v/>
      </c>
      <c r="T1391" s="47" t="n"/>
      <c r="U1391" s="47" t="n"/>
      <c r="V1391" s="47" t="n"/>
      <c r="W1391" s="47" t="n"/>
      <c r="X1391" s="47" t="n"/>
      <c r="Y1391" s="47" t="n"/>
      <c r="Z1391" s="47" t="n"/>
      <c r="AA1391" s="47" t="n"/>
      <c r="AB1391" s="47" t="n"/>
      <c r="AC1391" s="47" t="n"/>
      <c r="AD1391" s="47" t="n"/>
      <c r="AE1391" s="47" t="n"/>
      <c r="AF1391" s="43">
        <f>IF($B1391="","",SUM($T1391:$AE1391))</f>
        <v/>
      </c>
      <c r="AG1391" s="43">
        <f>IF($B1391="","",N($M1391)-N($AF1391))</f>
        <v/>
      </c>
      <c r="AH1391" s="43">
        <f>IF($B1391="","",N($L1391)-N($AF1391))</f>
        <v/>
      </c>
      <c r="AI1391" s="149">
        <f>IF($B1391="","",IF(N($L1391)=0,"",(N($L1391)-N($AF1391))/N($L1391)))</f>
        <v/>
      </c>
    </row>
    <row r="1392">
      <c r="A1392" s="39">
        <f>IF($B1392="","",COUNTA($B$4:$B1392))</f>
        <v/>
      </c>
      <c r="B1392" s="40" t="n">
        <v>46180</v>
      </c>
      <c r="C1392" s="41" t="n">
        <v>3207</v>
      </c>
      <c r="D1392" s="41" t="inlineStr">
        <is>
          <t>الشريف</t>
        </is>
      </c>
      <c r="E1392" s="41" t="inlineStr">
        <is>
          <t>1*40</t>
        </is>
      </c>
      <c r="F1392" s="41" t="inlineStr">
        <is>
          <t xml:space="preserve">اورينت </t>
        </is>
      </c>
      <c r="G1392" s="41" t="inlineStr">
        <is>
          <t>العاشر</t>
        </is>
      </c>
      <c r="H1392" s="41" t="inlineStr">
        <is>
          <t>705238/5</t>
        </is>
      </c>
      <c r="I1392" s="41" t="inlineStr">
        <is>
          <t>ب ج ط 5138</t>
        </is>
      </c>
      <c r="J1392" s="41" t="inlineStr">
        <is>
          <t xml:space="preserve">هانى الحجرى </t>
        </is>
      </c>
      <c r="K1392" s="41" t="inlineStr">
        <is>
          <t xml:space="preserve">الحجرى </t>
        </is>
      </c>
      <c r="L1392" s="42" t="n">
        <v>15500</v>
      </c>
      <c r="M1392" s="42" t="n">
        <v>8100</v>
      </c>
      <c r="N1392" s="42" t="n"/>
      <c r="O1392" s="42" t="n">
        <v>200</v>
      </c>
      <c r="P1392" s="42" t="n"/>
      <c r="Q1392" s="42" t="n"/>
      <c r="R1392" s="43">
        <f>IF($B1392="","",N($S1392)-N($Q1392))</f>
        <v/>
      </c>
      <c r="S1392" s="43">
        <f>IF($B1392="","",N($L1392)+N($N1392)+N($P1392))</f>
        <v/>
      </c>
      <c r="T1392" s="42" t="n"/>
      <c r="U1392" s="42" t="n"/>
      <c r="V1392" s="42" t="n"/>
      <c r="W1392" s="42" t="n"/>
      <c r="X1392" s="42" t="n"/>
      <c r="Y1392" s="42" t="n"/>
      <c r="Z1392" s="42" t="n"/>
      <c r="AA1392" s="42" t="n"/>
      <c r="AB1392" s="42" t="n"/>
      <c r="AC1392" s="42" t="n"/>
      <c r="AD1392" s="42" t="n"/>
      <c r="AE1392" s="42" t="n"/>
      <c r="AF1392" s="43">
        <f>IF($B1392="","",SUM($T1392:$AE1392))</f>
        <v/>
      </c>
      <c r="AG1392" s="43">
        <f>IF($B1392="","",N($M1392)-N($AF1392))</f>
        <v/>
      </c>
      <c r="AH1392" s="43">
        <f>IF($B1392="","",N($L1392)-N($AF1392))</f>
        <v/>
      </c>
      <c r="AI1392" s="149">
        <f>IF($B1392="","",IF(N($L1392)=0,"",(N($L1392)-N($AF1392))/N($L1392)))</f>
        <v/>
      </c>
    </row>
    <row r="1393">
      <c r="A1393" s="39">
        <f>IF($B1393="","",COUNTA($B$4:$B1393))</f>
        <v/>
      </c>
      <c r="B1393" s="45" t="n">
        <v>46180</v>
      </c>
      <c r="C1393" s="46" t="n">
        <v>3208</v>
      </c>
      <c r="D1393" s="46" t="inlineStr">
        <is>
          <t xml:space="preserve">حماد </t>
        </is>
      </c>
      <c r="E1393" s="46" t="inlineStr">
        <is>
          <t>1*40</t>
        </is>
      </c>
      <c r="F1393" s="46" t="inlineStr">
        <is>
          <t xml:space="preserve">اورينت </t>
        </is>
      </c>
      <c r="G1393" s="46" t="inlineStr">
        <is>
          <t xml:space="preserve">العاشر </t>
        </is>
      </c>
      <c r="H1393" s="46" t="inlineStr">
        <is>
          <t>153060/7</t>
        </is>
      </c>
      <c r="I1393" s="46" t="inlineStr">
        <is>
          <t>س ا ه 87198</t>
        </is>
      </c>
      <c r="J1393" s="46" t="inlineStr">
        <is>
          <t xml:space="preserve">وجية محمد </t>
        </is>
      </c>
      <c r="K1393" s="46" t="inlineStr">
        <is>
          <t xml:space="preserve">علاء علام </t>
        </is>
      </c>
      <c r="L1393" s="47" t="n">
        <v>15500</v>
      </c>
      <c r="M1393" s="47" t="n">
        <v>8100</v>
      </c>
      <c r="N1393" s="47" t="n"/>
      <c r="O1393" s="47" t="n">
        <v>200</v>
      </c>
      <c r="P1393" s="47" t="n"/>
      <c r="Q1393" s="47" t="n"/>
      <c r="R1393" s="43">
        <f>IF($B1393="","",N($S1393)-N($Q1393))</f>
        <v/>
      </c>
      <c r="S1393" s="43">
        <f>IF($B1393="","",N($L1393)+N($N1393)+N($P1393))</f>
        <v/>
      </c>
      <c r="T1393" s="47" t="n"/>
      <c r="U1393" s="47" t="n"/>
      <c r="V1393" s="47" t="n"/>
      <c r="W1393" s="47" t="n"/>
      <c r="X1393" s="47" t="n"/>
      <c r="Y1393" s="47" t="n"/>
      <c r="Z1393" s="47" t="n"/>
      <c r="AA1393" s="47" t="n"/>
      <c r="AB1393" s="47" t="n"/>
      <c r="AC1393" s="47" t="n"/>
      <c r="AD1393" s="47" t="n"/>
      <c r="AE1393" s="47" t="n"/>
      <c r="AF1393" s="43">
        <f>IF($B1393="","",SUM($T1393:$AE1393))</f>
        <v/>
      </c>
      <c r="AG1393" s="43">
        <f>IF($B1393="","",N($M1393)-N($AF1393))</f>
        <v/>
      </c>
      <c r="AH1393" s="43">
        <f>IF($B1393="","",N($L1393)-N($AF1393))</f>
        <v/>
      </c>
      <c r="AI1393" s="149">
        <f>IF($B1393="","",IF(N($L1393)=0,"",(N($L1393)-N($AF1393))/N($L1393)))</f>
        <v/>
      </c>
    </row>
    <row r="1394">
      <c r="A1394" s="39">
        <f>IF($B1394="","",COUNTA($B$4:$B1394))</f>
        <v/>
      </c>
      <c r="B1394" s="40" t="n">
        <v>46180</v>
      </c>
      <c r="C1394" s="41" t="n">
        <v>3203</v>
      </c>
      <c r="D1394" s="41" t="inlineStr">
        <is>
          <t>صعيدى 6</t>
        </is>
      </c>
      <c r="E1394" s="41" t="inlineStr">
        <is>
          <t>1*40</t>
        </is>
      </c>
      <c r="F1394" s="41" t="inlineStr">
        <is>
          <t>فلورا</t>
        </is>
      </c>
      <c r="G1394" s="41" t="inlineStr">
        <is>
          <t xml:space="preserve">اكتوبر </t>
        </is>
      </c>
      <c r="H1394" s="41" t="inlineStr">
        <is>
          <t>408537/1</t>
        </is>
      </c>
      <c r="I1394" s="41" t="inlineStr">
        <is>
          <t>س ر ا 9611</t>
        </is>
      </c>
      <c r="J1394" s="41" t="inlineStr">
        <is>
          <t xml:space="preserve">ياسر على </t>
        </is>
      </c>
      <c r="K1394" s="41" t="inlineStr">
        <is>
          <t xml:space="preserve">محمد الصعيدى </t>
        </is>
      </c>
      <c r="L1394" s="42" t="n">
        <v>13500</v>
      </c>
      <c r="M1394" s="42" t="n">
        <v>8100</v>
      </c>
      <c r="N1394" s="42" t="n"/>
      <c r="O1394" s="42" t="n">
        <v>200</v>
      </c>
      <c r="P1394" s="42" t="n"/>
      <c r="Q1394" s="42" t="n"/>
      <c r="R1394" s="43">
        <f>IF($B1394="","",N($S1394)-N($Q1394))</f>
        <v/>
      </c>
      <c r="S1394" s="43">
        <f>IF($B1394="","",N($L1394)+N($N1394)+N($P1394))</f>
        <v/>
      </c>
      <c r="T1394" s="42" t="n"/>
      <c r="U1394" s="42" t="n"/>
      <c r="V1394" s="42" t="n"/>
      <c r="W1394" s="42" t="n"/>
      <c r="X1394" s="42" t="n"/>
      <c r="Y1394" s="42" t="n"/>
      <c r="Z1394" s="42" t="n"/>
      <c r="AA1394" s="42" t="n"/>
      <c r="AB1394" s="42" t="n"/>
      <c r="AC1394" s="42" t="n"/>
      <c r="AD1394" s="42" t="n"/>
      <c r="AE1394" s="42" t="n"/>
      <c r="AF1394" s="43">
        <f>IF($B1394="","",SUM($T1394:$AE1394))</f>
        <v/>
      </c>
      <c r="AG1394" s="43">
        <f>IF($B1394="","",N($M1394)-N($AF1394))</f>
        <v/>
      </c>
      <c r="AH1394" s="43">
        <f>IF($B1394="","",N($L1394)-N($AF1394))</f>
        <v/>
      </c>
      <c r="AI1394" s="149">
        <f>IF($B1394="","",IF(N($L1394)=0,"",(N($L1394)-N($AF1394))/N($L1394)))</f>
        <v/>
      </c>
    </row>
    <row r="1395">
      <c r="A1395" s="39">
        <f>IF($B1395="","",COUNTA($B$4:$B1395))</f>
        <v/>
      </c>
      <c r="B1395" s="45" t="n">
        <v>46180</v>
      </c>
      <c r="C1395" s="46" t="n">
        <v>3201</v>
      </c>
      <c r="D1395" s="46" t="inlineStr">
        <is>
          <t xml:space="preserve">محمد يحى </t>
        </is>
      </c>
      <c r="E1395" s="46" t="inlineStr">
        <is>
          <t>1*40</t>
        </is>
      </c>
      <c r="F1395" s="46" t="inlineStr">
        <is>
          <t xml:space="preserve">ريجينا </t>
        </is>
      </c>
      <c r="G1395" s="46" t="inlineStr">
        <is>
          <t xml:space="preserve">السادات </t>
        </is>
      </c>
      <c r="H1395" s="46" t="inlineStr">
        <is>
          <t>883386/8</t>
        </is>
      </c>
      <c r="I1395" s="46" t="inlineStr">
        <is>
          <t>ع رب 1573</t>
        </is>
      </c>
      <c r="J1395" s="46" t="inlineStr">
        <is>
          <t xml:space="preserve">محمد السيد </t>
        </is>
      </c>
      <c r="K1395" s="46" t="inlineStr">
        <is>
          <t xml:space="preserve">حمو مرزوق </t>
        </is>
      </c>
      <c r="L1395" s="47" t="n">
        <v>12500</v>
      </c>
      <c r="M1395" s="47" t="n">
        <v>8100</v>
      </c>
      <c r="N1395" s="47" t="n"/>
      <c r="O1395" s="47" t="n">
        <v>200</v>
      </c>
      <c r="P1395" s="47" t="n"/>
      <c r="Q1395" s="47" t="n"/>
      <c r="R1395" s="43">
        <f>IF($B1395="","",N($S1395)-N($Q1395))</f>
        <v/>
      </c>
      <c r="S1395" s="43">
        <f>IF($B1395="","",N($L1395)+N($N1395)+N($P1395))</f>
        <v/>
      </c>
      <c r="T1395" s="47" t="n"/>
      <c r="U1395" s="47" t="n"/>
      <c r="V1395" s="47" t="n"/>
      <c r="W1395" s="47" t="n"/>
      <c r="X1395" s="47" t="n"/>
      <c r="Y1395" s="47" t="n"/>
      <c r="Z1395" s="47" t="n"/>
      <c r="AA1395" s="47" t="n"/>
      <c r="AB1395" s="47" t="n"/>
      <c r="AC1395" s="47" t="n"/>
      <c r="AD1395" s="47" t="n"/>
      <c r="AE1395" s="47" t="n"/>
      <c r="AF1395" s="43">
        <f>IF($B1395="","",SUM($T1395:$AE1395))</f>
        <v/>
      </c>
      <c r="AG1395" s="43">
        <f>IF($B1395="","",N($M1395)-N($AF1395))</f>
        <v/>
      </c>
      <c r="AH1395" s="43">
        <f>IF($B1395="","",N($L1395)-N($AF1395))</f>
        <v/>
      </c>
      <c r="AI1395" s="149">
        <f>IF($B1395="","",IF(N($L1395)=0,"",(N($L1395)-N($AF1395))/N($L1395)))</f>
        <v/>
      </c>
    </row>
    <row r="1396">
      <c r="A1396" s="39">
        <f>IF($B1396="","",COUNTA($B$4:$B1396))</f>
        <v/>
      </c>
      <c r="B1396" s="40" t="n">
        <v>46180</v>
      </c>
      <c r="C1396" s="41" t="n">
        <v>3202</v>
      </c>
      <c r="D1396" s="41" t="inlineStr">
        <is>
          <t xml:space="preserve">محمد يحى </t>
        </is>
      </c>
      <c r="E1396" s="41" t="inlineStr">
        <is>
          <t>1*40</t>
        </is>
      </c>
      <c r="F1396" s="41" t="inlineStr">
        <is>
          <t xml:space="preserve">ريجينا </t>
        </is>
      </c>
      <c r="G1396" s="41" t="inlineStr">
        <is>
          <t xml:space="preserve">السادات </t>
        </is>
      </c>
      <c r="H1396" s="41" t="inlineStr">
        <is>
          <t>635539/8</t>
        </is>
      </c>
      <c r="I1396" s="41" t="inlineStr">
        <is>
          <t>س ر ا 6671</t>
        </is>
      </c>
      <c r="J1396" s="41" t="inlineStr">
        <is>
          <t xml:space="preserve">محمد سمير </t>
        </is>
      </c>
      <c r="K1396" s="41" t="inlineStr">
        <is>
          <t xml:space="preserve">حمو مرزوق </t>
        </is>
      </c>
      <c r="L1396" s="42" t="n">
        <v>12500</v>
      </c>
      <c r="M1396" s="42" t="n">
        <v>8100</v>
      </c>
      <c r="N1396" s="42" t="n"/>
      <c r="O1396" s="42" t="n">
        <v>200</v>
      </c>
      <c r="P1396" s="42" t="n"/>
      <c r="Q1396" s="42" t="n"/>
      <c r="R1396" s="43">
        <f>IF($B1396="","",N($S1396)-N($Q1396))</f>
        <v/>
      </c>
      <c r="S1396" s="43">
        <f>IF($B1396="","",N($L1396)+N($N1396)+N($P1396))</f>
        <v/>
      </c>
      <c r="T1396" s="42" t="n"/>
      <c r="U1396" s="42" t="n"/>
      <c r="V1396" s="42" t="n"/>
      <c r="W1396" s="42" t="n"/>
      <c r="X1396" s="42" t="n"/>
      <c r="Y1396" s="42" t="n"/>
      <c r="Z1396" s="42" t="n"/>
      <c r="AA1396" s="42" t="n"/>
      <c r="AB1396" s="42" t="n"/>
      <c r="AC1396" s="42" t="n"/>
      <c r="AD1396" s="42" t="n"/>
      <c r="AE1396" s="42" t="n"/>
      <c r="AF1396" s="43">
        <f>IF($B1396="","",SUM($T1396:$AE1396))</f>
        <v/>
      </c>
      <c r="AG1396" s="43">
        <f>IF($B1396="","",N($M1396)-N($AF1396))</f>
        <v/>
      </c>
      <c r="AH1396" s="43">
        <f>IF($B1396="","",N($L1396)-N($AF1396))</f>
        <v/>
      </c>
      <c r="AI1396" s="149">
        <f>IF($B1396="","",IF(N($L1396)=0,"",(N($L1396)-N($AF1396))/N($L1396)))</f>
        <v/>
      </c>
    </row>
    <row r="1397">
      <c r="A1397" s="39">
        <f>IF($B1397="","",COUNTA($B$4:$B1397))</f>
        <v/>
      </c>
      <c r="B1397" s="45" t="n">
        <v>46180</v>
      </c>
      <c r="C1397" s="46" t="n">
        <v>3160</v>
      </c>
      <c r="D1397" s="46" t="inlineStr">
        <is>
          <t>اسلام محروس</t>
        </is>
      </c>
      <c r="E1397" s="46" t="inlineStr">
        <is>
          <t>2*20</t>
        </is>
      </c>
      <c r="F1397" s="46" t="inlineStr">
        <is>
          <t xml:space="preserve">اى تى او </t>
        </is>
      </c>
      <c r="G1397" s="46" t="inlineStr">
        <is>
          <t>برج العرب</t>
        </is>
      </c>
      <c r="H1397" s="46" t="inlineStr">
        <is>
          <t>357102/6-124714/4</t>
        </is>
      </c>
      <c r="I1397" s="46" t="inlineStr">
        <is>
          <t>ص ع ا 7462</t>
        </is>
      </c>
      <c r="J1397" s="46" t="inlineStr">
        <is>
          <t xml:space="preserve">فتحى احمد </t>
        </is>
      </c>
      <c r="K1397" s="46" t="inlineStr">
        <is>
          <t xml:space="preserve">الحجرى </t>
        </is>
      </c>
      <c r="L1397" s="47" t="n">
        <v>10000</v>
      </c>
      <c r="M1397" s="47" t="n">
        <v>6100</v>
      </c>
      <c r="N1397" s="47" t="n"/>
      <c r="O1397" s="47" t="n">
        <v>200</v>
      </c>
      <c r="P1397" s="47" t="n"/>
      <c r="Q1397" s="47" t="n"/>
      <c r="R1397" s="43">
        <f>IF($B1397="","",N($S1397)-N($Q1397))</f>
        <v/>
      </c>
      <c r="S1397" s="43">
        <f>IF($B1397="","",N($L1397)+N($N1397)+N($P1397))</f>
        <v/>
      </c>
      <c r="T1397" s="47" t="n"/>
      <c r="U1397" s="47" t="n"/>
      <c r="V1397" s="47" t="n"/>
      <c r="W1397" s="47" t="n"/>
      <c r="X1397" s="47" t="n"/>
      <c r="Y1397" s="47" t="n"/>
      <c r="Z1397" s="47" t="n"/>
      <c r="AA1397" s="47" t="n"/>
      <c r="AB1397" s="47" t="n"/>
      <c r="AC1397" s="47" t="n"/>
      <c r="AD1397" s="47" t="n"/>
      <c r="AE1397" s="47" t="n"/>
      <c r="AF1397" s="43">
        <f>IF($B1397="","",SUM($T1397:$AE1397))</f>
        <v/>
      </c>
      <c r="AG1397" s="43">
        <f>IF($B1397="","",N($M1397)-N($AF1397))</f>
        <v/>
      </c>
      <c r="AH1397" s="43">
        <f>IF($B1397="","",N($L1397)-N($AF1397))</f>
        <v/>
      </c>
      <c r="AI1397" s="149">
        <f>IF($B1397="","",IF(N($L1397)=0,"",(N($L1397)-N($AF1397))/N($L1397)))</f>
        <v/>
      </c>
    </row>
    <row r="1398">
      <c r="A1398" s="39">
        <f>IF($B1398="","",COUNTA($B$4:$B1398))</f>
        <v/>
      </c>
      <c r="B1398" s="40" t="n">
        <v>46180</v>
      </c>
      <c r="C1398" s="41" t="n">
        <v>3163</v>
      </c>
      <c r="D1398" s="41" t="inlineStr">
        <is>
          <t>المكتب</t>
        </is>
      </c>
      <c r="E1398" s="41" t="inlineStr">
        <is>
          <t>2*20</t>
        </is>
      </c>
      <c r="F1398" s="41" t="inlineStr">
        <is>
          <t xml:space="preserve">اى تى او </t>
        </is>
      </c>
      <c r="G1398" s="41" t="inlineStr">
        <is>
          <t>برج العرب</t>
        </is>
      </c>
      <c r="H1398" s="41" t="inlineStr">
        <is>
          <t>280396/4-113219/4</t>
        </is>
      </c>
      <c r="I1398" s="41" t="inlineStr">
        <is>
          <t>س ع م 8737</t>
        </is>
      </c>
      <c r="J1398" s="41" t="inlineStr">
        <is>
          <t xml:space="preserve">جلال حسنى </t>
        </is>
      </c>
      <c r="K1398" s="41" t="inlineStr">
        <is>
          <t xml:space="preserve">المكتب </t>
        </is>
      </c>
      <c r="L1398" s="42" t="n">
        <v>10000</v>
      </c>
      <c r="M1398" s="42" t="n">
        <v>2000</v>
      </c>
      <c r="N1398" s="42" t="n"/>
      <c r="O1398" s="42" t="n"/>
      <c r="P1398" s="42" t="n"/>
      <c r="Q1398" s="42" t="n">
        <v>8000</v>
      </c>
      <c r="R1398" s="43">
        <f>IF($B1398="","",N($S1398)-N($Q1398))</f>
        <v/>
      </c>
      <c r="S1398" s="43">
        <f>IF($B1398="","",N($L1398)+N($N1398)+N($P1398))</f>
        <v/>
      </c>
      <c r="T1398" s="42" t="n"/>
      <c r="U1398" s="42" t="n"/>
      <c r="V1398" s="42" t="n"/>
      <c r="W1398" s="42" t="n"/>
      <c r="X1398" s="42" t="n"/>
      <c r="Y1398" s="42" t="n"/>
      <c r="Z1398" s="42" t="n"/>
      <c r="AA1398" s="42" t="n"/>
      <c r="AB1398" s="42" t="n"/>
      <c r="AC1398" s="42" t="n"/>
      <c r="AD1398" s="42" t="n"/>
      <c r="AE1398" s="42" t="n"/>
      <c r="AF1398" s="43">
        <f>IF($B1398="","",SUM($T1398:$AE1398))</f>
        <v/>
      </c>
      <c r="AG1398" s="43">
        <f>IF($B1398="","",N($M1398)-N($AF1398))</f>
        <v/>
      </c>
      <c r="AH1398" s="43">
        <f>IF($B1398="","",N($L1398)-N($AF1398))</f>
        <v/>
      </c>
      <c r="AI1398" s="149">
        <f>IF($B1398="","",IF(N($L1398)=0,"",(N($L1398)-N($AF1398))/N($L1398)))</f>
        <v/>
      </c>
    </row>
    <row r="1399">
      <c r="A1399" s="39">
        <f>IF($B1399="","",COUNTA($B$4:$B1399))</f>
        <v/>
      </c>
      <c r="B1399" s="45" t="n">
        <v>46180</v>
      </c>
      <c r="C1399" s="46" t="n">
        <v>3161</v>
      </c>
      <c r="D1399" s="46" t="inlineStr">
        <is>
          <t xml:space="preserve">كمال رزق </t>
        </is>
      </c>
      <c r="E1399" s="46" t="inlineStr">
        <is>
          <t>1*20</t>
        </is>
      </c>
      <c r="F1399" s="46" t="inlineStr">
        <is>
          <t xml:space="preserve">اى تى او </t>
        </is>
      </c>
      <c r="G1399" s="46" t="inlineStr">
        <is>
          <t>برج العرب</t>
        </is>
      </c>
      <c r="H1399" s="46" t="inlineStr">
        <is>
          <t>200087/6</t>
        </is>
      </c>
      <c r="I1399" s="46" t="inlineStr">
        <is>
          <t>س ن ر 8979</t>
        </is>
      </c>
      <c r="J1399" s="46" t="inlineStr">
        <is>
          <t xml:space="preserve">عماد سعيد </t>
        </is>
      </c>
      <c r="K1399" s="46" t="inlineStr">
        <is>
          <t xml:space="preserve">عماد سعيد </t>
        </is>
      </c>
      <c r="L1399" s="47" t="n">
        <v>7500</v>
      </c>
      <c r="M1399" s="47" t="n">
        <v>6100</v>
      </c>
      <c r="N1399" s="47" t="n"/>
      <c r="O1399" s="47" t="n">
        <v>200</v>
      </c>
      <c r="P1399" s="47" t="n"/>
      <c r="Q1399" s="47" t="n"/>
      <c r="R1399" s="43">
        <f>IF($B1399="","",N($S1399)-N($Q1399))</f>
        <v/>
      </c>
      <c r="S1399" s="43">
        <f>IF($B1399="","",N($L1399)+N($N1399)+N($P1399))</f>
        <v/>
      </c>
      <c r="T1399" s="47" t="n"/>
      <c r="U1399" s="47" t="n"/>
      <c r="V1399" s="47" t="n"/>
      <c r="W1399" s="47" t="n"/>
      <c r="X1399" s="47" t="n"/>
      <c r="Y1399" s="47" t="n"/>
      <c r="Z1399" s="47" t="n"/>
      <c r="AA1399" s="47" t="n"/>
      <c r="AB1399" s="47" t="n"/>
      <c r="AC1399" s="47" t="n"/>
      <c r="AD1399" s="47" t="n"/>
      <c r="AE1399" s="47" t="n"/>
      <c r="AF1399" s="43">
        <f>IF($B1399="","",SUM($T1399:$AE1399))</f>
        <v/>
      </c>
      <c r="AG1399" s="43">
        <f>IF($B1399="","",N($M1399)-N($AF1399))</f>
        <v/>
      </c>
      <c r="AH1399" s="43">
        <f>IF($B1399="","",N($L1399)-N($AF1399))</f>
        <v/>
      </c>
      <c r="AI1399" s="149">
        <f>IF($B1399="","",IF(N($L1399)=0,"",(N($L1399)-N($AF1399))/N($L1399)))</f>
        <v/>
      </c>
    </row>
    <row r="1400">
      <c r="A1400" s="39">
        <f>IF($B1400="","",COUNTA($B$4:$B1400))</f>
        <v/>
      </c>
      <c r="B1400" s="40" t="n">
        <v>46180</v>
      </c>
      <c r="C1400" s="41" t="n">
        <v>3162</v>
      </c>
      <c r="D1400" s="41" t="inlineStr">
        <is>
          <t>صعيدى 6</t>
        </is>
      </c>
      <c r="E1400" s="41" t="inlineStr">
        <is>
          <t>1*20</t>
        </is>
      </c>
      <c r="F1400" s="41" t="inlineStr">
        <is>
          <t xml:space="preserve">اى تى او </t>
        </is>
      </c>
      <c r="G1400" s="41" t="inlineStr">
        <is>
          <t>برج العرب</t>
        </is>
      </c>
      <c r="H1400" s="41" t="inlineStr">
        <is>
          <t>122719/5</t>
        </is>
      </c>
      <c r="I1400" s="41" t="inlineStr">
        <is>
          <t>س ق ب 9283</t>
        </is>
      </c>
      <c r="J1400" s="41" t="inlineStr">
        <is>
          <t xml:space="preserve">احمد مطر </t>
        </is>
      </c>
      <c r="K1400" s="41" t="inlineStr">
        <is>
          <t xml:space="preserve">محمد الصعيدى </t>
        </is>
      </c>
      <c r="L1400" s="42" t="n">
        <v>7500</v>
      </c>
      <c r="M1400" s="42" t="n">
        <v>4100</v>
      </c>
      <c r="N1400" s="42" t="n"/>
      <c r="O1400" s="42" t="n"/>
      <c r="P1400" s="42" t="n"/>
      <c r="Q1400" s="42" t="n"/>
      <c r="R1400" s="43">
        <f>IF($B1400="","",N($S1400)-N($Q1400))</f>
        <v/>
      </c>
      <c r="S1400" s="43">
        <f>IF($B1400="","",N($L1400)+N($N1400)+N($P1400))</f>
        <v/>
      </c>
      <c r="T1400" s="42" t="n"/>
      <c r="U1400" s="42" t="n"/>
      <c r="V1400" s="42" t="n"/>
      <c r="W1400" s="42" t="n"/>
      <c r="X1400" s="42" t="n"/>
      <c r="Y1400" s="42" t="n"/>
      <c r="Z1400" s="42" t="n"/>
      <c r="AA1400" s="42" t="n"/>
      <c r="AB1400" s="42" t="n"/>
      <c r="AC1400" s="42" t="n"/>
      <c r="AD1400" s="42" t="n"/>
      <c r="AE1400" s="42" t="n"/>
      <c r="AF1400" s="43">
        <f>IF($B1400="","",SUM($T1400:$AE1400))</f>
        <v/>
      </c>
      <c r="AG1400" s="43">
        <f>IF($B1400="","",N($M1400)-N($AF1400))</f>
        <v/>
      </c>
      <c r="AH1400" s="43">
        <f>IF($B1400="","",N($L1400)-N($AF1400))</f>
        <v/>
      </c>
      <c r="AI1400" s="149">
        <f>IF($B1400="","",IF(N($L1400)=0,"",(N($L1400)-N($AF1400))/N($L1400)))</f>
        <v/>
      </c>
    </row>
    <row r="1401">
      <c r="A1401" s="39">
        <f>IF($B1401="","",COUNTA($B$4:$B1401))</f>
        <v/>
      </c>
      <c r="B1401" s="45" t="n">
        <v>46180</v>
      </c>
      <c r="C1401" s="46" t="n">
        <v>3123</v>
      </c>
      <c r="D1401" s="46" t="inlineStr">
        <is>
          <t>المكتب</t>
        </is>
      </c>
      <c r="E1401" s="46" t="inlineStr">
        <is>
          <t>1*40</t>
        </is>
      </c>
      <c r="F1401" s="46" t="n"/>
      <c r="G1401" s="46" t="inlineStr">
        <is>
          <t xml:space="preserve">السادات / ابو قير </t>
        </is>
      </c>
      <c r="H1401" s="46" t="inlineStr">
        <is>
          <t>729358/0</t>
        </is>
      </c>
      <c r="I1401" s="46" t="inlineStr">
        <is>
          <t>س ع م 8737</t>
        </is>
      </c>
      <c r="J1401" s="46" t="inlineStr">
        <is>
          <t xml:space="preserve">جلال حسنى </t>
        </is>
      </c>
      <c r="K1401" s="46" t="inlineStr">
        <is>
          <t xml:space="preserve">المكتب </t>
        </is>
      </c>
      <c r="L1401" s="47" t="n">
        <v>15500</v>
      </c>
      <c r="M1401" s="47" t="n">
        <v>3000</v>
      </c>
      <c r="N1401" s="47" t="n"/>
      <c r="O1401" s="47" t="n"/>
      <c r="P1401" s="47" t="n"/>
      <c r="Q1401" s="47" t="n">
        <v>12500</v>
      </c>
      <c r="R1401" s="43">
        <f>IF($B1401="","",N($S1401)-N($Q1401))</f>
        <v/>
      </c>
      <c r="S1401" s="43">
        <f>IF($B1401="","",N($L1401)+N($N1401)+N($P1401))</f>
        <v/>
      </c>
      <c r="T1401" s="47" t="n"/>
      <c r="U1401" s="47" t="n"/>
      <c r="V1401" s="47" t="n"/>
      <c r="W1401" s="47" t="n"/>
      <c r="X1401" s="47" t="n"/>
      <c r="Y1401" s="47" t="n"/>
      <c r="Z1401" s="47" t="n"/>
      <c r="AA1401" s="47" t="n"/>
      <c r="AB1401" s="47" t="n"/>
      <c r="AC1401" s="47" t="n"/>
      <c r="AD1401" s="47" t="n"/>
      <c r="AE1401" s="47" t="n"/>
      <c r="AF1401" s="43">
        <f>IF($B1401="","",SUM($T1401:$AE1401))</f>
        <v/>
      </c>
      <c r="AG1401" s="43">
        <f>IF($B1401="","",N($M1401)-N($AF1401))</f>
        <v/>
      </c>
      <c r="AH1401" s="43">
        <f>IF($B1401="","",N($L1401)-N($AF1401))</f>
        <v/>
      </c>
      <c r="AI1401" s="149">
        <f>IF($B1401="","",IF(N($L1401)=0,"",(N($L1401)-N($AF1401))/N($L1401)))</f>
        <v/>
      </c>
    </row>
    <row r="1402">
      <c r="A1402" s="39">
        <f>IF($B1402="","",COUNTA($B$4:$B1402))</f>
        <v/>
      </c>
      <c r="B1402" s="40" t="n">
        <v>46181</v>
      </c>
      <c r="C1402" s="41" t="n">
        <v>3174</v>
      </c>
      <c r="D1402" s="41" t="inlineStr">
        <is>
          <t xml:space="preserve">حماد </t>
        </is>
      </c>
      <c r="E1402" s="41" t="inlineStr">
        <is>
          <t>1*40</t>
        </is>
      </c>
      <c r="F1402" s="41" t="inlineStr">
        <is>
          <t xml:space="preserve">مصر العبور </t>
        </is>
      </c>
      <c r="G1402" s="41" t="inlineStr">
        <is>
          <t xml:space="preserve">جسر السويس </t>
        </is>
      </c>
      <c r="H1402" s="41" t="inlineStr">
        <is>
          <t>921405/5</t>
        </is>
      </c>
      <c r="I1402" s="41" t="inlineStr">
        <is>
          <t>س ل ب 5917</t>
        </is>
      </c>
      <c r="J1402" s="41" t="inlineStr">
        <is>
          <t xml:space="preserve">هشام محمد </t>
        </is>
      </c>
      <c r="K1402" s="41" t="inlineStr">
        <is>
          <t xml:space="preserve">علاء علام </t>
        </is>
      </c>
      <c r="L1402" s="42" t="n">
        <v>15500</v>
      </c>
      <c r="M1402" s="42" t="n">
        <v>8100</v>
      </c>
      <c r="N1402" s="42" t="n"/>
      <c r="O1402" s="42" t="n">
        <v>200</v>
      </c>
      <c r="P1402" s="42" t="n"/>
      <c r="Q1402" s="42" t="n"/>
      <c r="R1402" s="43">
        <f>IF($B1402="","",N($S1402)-N($Q1402))</f>
        <v/>
      </c>
      <c r="S1402" s="43">
        <f>IF($B1402="","",N($L1402)+N($N1402)+N($P1402))</f>
        <v/>
      </c>
      <c r="T1402" s="42" t="n"/>
      <c r="U1402" s="42" t="n"/>
      <c r="V1402" s="42" t="n"/>
      <c r="W1402" s="42" t="n"/>
      <c r="X1402" s="42" t="n"/>
      <c r="Y1402" s="42" t="n"/>
      <c r="Z1402" s="42" t="n"/>
      <c r="AA1402" s="42" t="n"/>
      <c r="AB1402" s="42" t="n"/>
      <c r="AC1402" s="42" t="n"/>
      <c r="AD1402" s="42" t="n"/>
      <c r="AE1402" s="42" t="n"/>
      <c r="AF1402" s="43">
        <f>IF($B1402="","",SUM($T1402:$AE1402))</f>
        <v/>
      </c>
      <c r="AG1402" s="43">
        <f>IF($B1402="","",N($M1402)-N($AF1402))</f>
        <v/>
      </c>
      <c r="AH1402" s="43">
        <f>IF($B1402="","",N($L1402)-N($AF1402))</f>
        <v/>
      </c>
      <c r="AI1402" s="149">
        <f>IF($B1402="","",IF(N($L1402)=0,"",(N($L1402)-N($AF1402))/N($L1402)))</f>
        <v/>
      </c>
    </row>
    <row r="1403">
      <c r="A1403" s="39">
        <f>IF($B1403="","",COUNTA($B$4:$B1403))</f>
        <v/>
      </c>
      <c r="B1403" s="45" t="n">
        <v>46181</v>
      </c>
      <c r="C1403" s="46" t="n">
        <v>3173</v>
      </c>
      <c r="D1403" s="46" t="inlineStr">
        <is>
          <t>صعيدى 6</t>
        </is>
      </c>
      <c r="E1403" s="46" t="inlineStr">
        <is>
          <t>1*40</t>
        </is>
      </c>
      <c r="F1403" s="46" t="inlineStr">
        <is>
          <t xml:space="preserve">اورينت </t>
        </is>
      </c>
      <c r="G1403" s="46" t="inlineStr">
        <is>
          <t xml:space="preserve">العاشر </t>
        </is>
      </c>
      <c r="H1403" s="46" t="inlineStr">
        <is>
          <t>611016/6</t>
        </is>
      </c>
      <c r="I1403" s="46" t="inlineStr">
        <is>
          <t>س ن ف 5149</t>
        </is>
      </c>
      <c r="J1403" s="46" t="inlineStr">
        <is>
          <t xml:space="preserve">وليد زيزو </t>
        </is>
      </c>
      <c r="K1403" s="46" t="inlineStr">
        <is>
          <t xml:space="preserve">محمد الصعيدى </t>
        </is>
      </c>
      <c r="L1403" s="47" t="n">
        <v>15500</v>
      </c>
      <c r="M1403" s="47" t="n">
        <v>8100</v>
      </c>
      <c r="N1403" s="47" t="n"/>
      <c r="O1403" s="47" t="n">
        <v>200</v>
      </c>
      <c r="P1403" s="47" t="n"/>
      <c r="Q1403" s="47" t="n"/>
      <c r="R1403" s="43">
        <f>IF($B1403="","",N($S1403)-N($Q1403))</f>
        <v/>
      </c>
      <c r="S1403" s="43">
        <f>IF($B1403="","",N($L1403)+N($N1403)+N($P1403))</f>
        <v/>
      </c>
      <c r="T1403" s="47" t="n"/>
      <c r="U1403" s="47" t="n"/>
      <c r="V1403" s="47" t="n"/>
      <c r="W1403" s="47" t="n"/>
      <c r="X1403" s="47" t="n"/>
      <c r="Y1403" s="47" t="n"/>
      <c r="Z1403" s="47" t="n"/>
      <c r="AA1403" s="47" t="n"/>
      <c r="AB1403" s="47" t="n"/>
      <c r="AC1403" s="47" t="n"/>
      <c r="AD1403" s="47" t="n"/>
      <c r="AE1403" s="47" t="n"/>
      <c r="AF1403" s="43">
        <f>IF($B1403="","",SUM($T1403:$AE1403))</f>
        <v/>
      </c>
      <c r="AG1403" s="43">
        <f>IF($B1403="","",N($M1403)-N($AF1403))</f>
        <v/>
      </c>
      <c r="AH1403" s="43">
        <f>IF($B1403="","",N($L1403)-N($AF1403))</f>
        <v/>
      </c>
      <c r="AI1403" s="149">
        <f>IF($B1403="","",IF(N($L1403)=0,"",(N($L1403)-N($AF1403))/N($L1403)))</f>
        <v/>
      </c>
    </row>
    <row r="1404">
      <c r="A1404" s="39">
        <f>IF($B1404="","",COUNTA($B$4:$B1404))</f>
        <v/>
      </c>
      <c r="B1404" s="40" t="n">
        <v>46181</v>
      </c>
      <c r="C1404" s="41" t="n">
        <v>3128</v>
      </c>
      <c r="D1404" s="41" t="n"/>
      <c r="E1404" s="41" t="inlineStr">
        <is>
          <t>1*40</t>
        </is>
      </c>
      <c r="F1404" s="41" t="inlineStr">
        <is>
          <t xml:space="preserve">المصرية الاوربية </t>
        </is>
      </c>
      <c r="G1404" s="41" t="inlineStr">
        <is>
          <t xml:space="preserve">الفيوم </t>
        </is>
      </c>
      <c r="H1404" s="41" t="inlineStr">
        <is>
          <t>323334/9</t>
        </is>
      </c>
      <c r="I1404" s="41" t="inlineStr">
        <is>
          <t>ط ف ر 1474</t>
        </is>
      </c>
      <c r="J1404" s="41" t="inlineStr">
        <is>
          <t xml:space="preserve">جمال على </t>
        </is>
      </c>
      <c r="K1404" s="41" t="inlineStr">
        <is>
          <t xml:space="preserve">كريم خليف </t>
        </is>
      </c>
      <c r="L1404" s="42" t="n">
        <v>18000</v>
      </c>
      <c r="M1404" s="42" t="n">
        <v>9100</v>
      </c>
      <c r="N1404" s="42" t="n"/>
      <c r="O1404" s="42" t="n">
        <v>200</v>
      </c>
      <c r="P1404" s="42" t="n"/>
      <c r="Q1404" s="42" t="n"/>
      <c r="R1404" s="43">
        <f>IF($B1404="","",N($S1404)-N($Q1404))</f>
        <v/>
      </c>
      <c r="S1404" s="43">
        <f>IF($B1404="","",N($L1404)+N($N1404)+N($P1404))</f>
        <v/>
      </c>
      <c r="T1404" s="42" t="n"/>
      <c r="U1404" s="42" t="n"/>
      <c r="V1404" s="42" t="n"/>
      <c r="W1404" s="42" t="n"/>
      <c r="X1404" s="42" t="n"/>
      <c r="Y1404" s="42" t="n"/>
      <c r="Z1404" s="42" t="n"/>
      <c r="AA1404" s="42" t="n"/>
      <c r="AB1404" s="42" t="n"/>
      <c r="AC1404" s="42" t="n"/>
      <c r="AD1404" s="42" t="n"/>
      <c r="AE1404" s="42" t="n"/>
      <c r="AF1404" s="43">
        <f>IF($B1404="","",SUM($T1404:$AE1404))</f>
        <v/>
      </c>
      <c r="AG1404" s="43">
        <f>IF($B1404="","",N($M1404)-N($AF1404))</f>
        <v/>
      </c>
      <c r="AH1404" s="43">
        <f>IF($B1404="","",N($L1404)-N($AF1404))</f>
        <v/>
      </c>
      <c r="AI1404" s="149">
        <f>IF($B1404="","",IF(N($L1404)=0,"",(N($L1404)-N($AF1404))/N($L1404)))</f>
        <v/>
      </c>
    </row>
    <row r="1405">
      <c r="A1405" s="39">
        <f>IF($B1405="","",COUNTA($B$4:$B1405))</f>
        <v/>
      </c>
      <c r="B1405" s="45" t="n">
        <v>46181</v>
      </c>
      <c r="C1405" s="46" t="n">
        <v>3129</v>
      </c>
      <c r="D1405" s="46" t="inlineStr">
        <is>
          <t xml:space="preserve">كمال رزق </t>
        </is>
      </c>
      <c r="E1405" s="46" t="inlineStr">
        <is>
          <t>1*40</t>
        </is>
      </c>
      <c r="F1405" s="46" t="inlineStr">
        <is>
          <t xml:space="preserve">المصرية الاوربية </t>
        </is>
      </c>
      <c r="G1405" s="46" t="inlineStr">
        <is>
          <t xml:space="preserve">الفيوم </t>
        </is>
      </c>
      <c r="H1405" s="46" t="inlineStr">
        <is>
          <t>407755/0</t>
        </is>
      </c>
      <c r="I1405" s="46" t="inlineStr">
        <is>
          <t>س ن ر 8979</t>
        </is>
      </c>
      <c r="J1405" s="46" t="inlineStr">
        <is>
          <t xml:space="preserve">عماد سعيد </t>
        </is>
      </c>
      <c r="K1405" s="46" t="inlineStr">
        <is>
          <t xml:space="preserve">عماد سعيد </t>
        </is>
      </c>
      <c r="L1405" s="47" t="n">
        <v>18000</v>
      </c>
      <c r="M1405" s="47" t="n">
        <v>9100</v>
      </c>
      <c r="N1405" s="47" t="n"/>
      <c r="O1405" s="47" t="n">
        <v>200</v>
      </c>
      <c r="P1405" s="47" t="n"/>
      <c r="Q1405" s="47" t="n"/>
      <c r="R1405" s="43">
        <f>IF($B1405="","",N($S1405)-N($Q1405))</f>
        <v/>
      </c>
      <c r="S1405" s="43">
        <f>IF($B1405="","",N($L1405)+N($N1405)+N($P1405))</f>
        <v/>
      </c>
      <c r="T1405" s="47" t="n"/>
      <c r="U1405" s="47" t="n"/>
      <c r="V1405" s="47" t="n"/>
      <c r="W1405" s="47" t="n"/>
      <c r="X1405" s="47" t="n"/>
      <c r="Y1405" s="47" t="n"/>
      <c r="Z1405" s="47" t="n"/>
      <c r="AA1405" s="47" t="n"/>
      <c r="AB1405" s="47" t="n"/>
      <c r="AC1405" s="47" t="n"/>
      <c r="AD1405" s="47" t="n"/>
      <c r="AE1405" s="47" t="n"/>
      <c r="AF1405" s="43">
        <f>IF($B1405="","",SUM($T1405:$AE1405))</f>
        <v/>
      </c>
      <c r="AG1405" s="43">
        <f>IF($B1405="","",N($M1405)-N($AF1405))</f>
        <v/>
      </c>
      <c r="AH1405" s="43">
        <f>IF($B1405="","",N($L1405)-N($AF1405))</f>
        <v/>
      </c>
      <c r="AI1405" s="149">
        <f>IF($B1405="","",IF(N($L1405)=0,"",(N($L1405)-N($AF1405))/N($L1405)))</f>
        <v/>
      </c>
    </row>
    <row r="1406">
      <c r="A1406" s="39">
        <f>IF($B1406="","",COUNTA($B$4:$B1406))</f>
        <v/>
      </c>
      <c r="B1406" s="40" t="n">
        <v>46181</v>
      </c>
      <c r="C1406" s="41" t="n">
        <v>3127</v>
      </c>
      <c r="D1406" s="41" t="inlineStr">
        <is>
          <t>صعيدى 6</t>
        </is>
      </c>
      <c r="E1406" s="41" t="inlineStr">
        <is>
          <t>2*20</t>
        </is>
      </c>
      <c r="F1406" s="41" t="inlineStr">
        <is>
          <t xml:space="preserve">اكما </t>
        </is>
      </c>
      <c r="G1406" s="41" t="inlineStr">
        <is>
          <t>بنى سويف</t>
        </is>
      </c>
      <c r="H1406" s="41" t="inlineStr">
        <is>
          <t>020595/0-044686/0</t>
        </is>
      </c>
      <c r="I1406" s="41" t="inlineStr">
        <is>
          <t>س ه ف 1874</t>
        </is>
      </c>
      <c r="J1406" s="41" t="inlineStr">
        <is>
          <t xml:space="preserve">باسم عبد السلام </t>
        </is>
      </c>
      <c r="K1406" s="41" t="inlineStr">
        <is>
          <t xml:space="preserve">محمد الصعيدى </t>
        </is>
      </c>
      <c r="L1406" s="42" t="n">
        <v>25000</v>
      </c>
      <c r="M1406" s="42" t="n">
        <v>12100</v>
      </c>
      <c r="N1406" s="42" t="n"/>
      <c r="O1406" s="42" t="n">
        <v>200</v>
      </c>
      <c r="P1406" s="42" t="n"/>
      <c r="Q1406" s="42" t="n"/>
      <c r="R1406" s="43">
        <f>IF($B1406="","",N($S1406)-N($Q1406))</f>
        <v/>
      </c>
      <c r="S1406" s="43">
        <f>IF($B1406="","",N($L1406)+N($N1406)+N($P1406))</f>
        <v/>
      </c>
      <c r="T1406" s="42" t="n"/>
      <c r="U1406" s="42" t="n"/>
      <c r="V1406" s="42" t="n"/>
      <c r="W1406" s="42" t="n"/>
      <c r="X1406" s="42" t="n"/>
      <c r="Y1406" s="42" t="n"/>
      <c r="Z1406" s="42" t="n"/>
      <c r="AA1406" s="42" t="n"/>
      <c r="AB1406" s="42" t="n"/>
      <c r="AC1406" s="42" t="n"/>
      <c r="AD1406" s="42" t="n"/>
      <c r="AE1406" s="42" t="n"/>
      <c r="AF1406" s="43">
        <f>IF($B1406="","",SUM($T1406:$AE1406))</f>
        <v/>
      </c>
      <c r="AG1406" s="43">
        <f>IF($B1406="","",N($M1406)-N($AF1406))</f>
        <v/>
      </c>
      <c r="AH1406" s="43">
        <f>IF($B1406="","",N($L1406)-N($AF1406))</f>
        <v/>
      </c>
      <c r="AI1406" s="149">
        <f>IF($B1406="","",IF(N($L1406)=0,"",(N($L1406)-N($AF1406))/N($L1406)))</f>
        <v/>
      </c>
    </row>
    <row r="1407">
      <c r="A1407" s="39">
        <f>IF($B1407="","",COUNTA($B$4:$B1407))</f>
        <v/>
      </c>
      <c r="B1407" s="45" t="n">
        <v>46181</v>
      </c>
      <c r="C1407" s="46" t="n">
        <v>3126</v>
      </c>
      <c r="D1407" s="46" t="inlineStr">
        <is>
          <t>صعيدى 6</t>
        </is>
      </c>
      <c r="E1407" s="46" t="inlineStr">
        <is>
          <t>2*20</t>
        </is>
      </c>
      <c r="F1407" s="46" t="inlineStr">
        <is>
          <t xml:space="preserve">اكما </t>
        </is>
      </c>
      <c r="G1407" s="46" t="inlineStr">
        <is>
          <t>بنى سويف</t>
        </is>
      </c>
      <c r="H1407" s="46" t="inlineStr">
        <is>
          <t>187780/4-238313/6</t>
        </is>
      </c>
      <c r="I1407" s="46" t="inlineStr">
        <is>
          <t>س ل ج 2521</t>
        </is>
      </c>
      <c r="J1407" s="46" t="inlineStr">
        <is>
          <t xml:space="preserve">احمد القط </t>
        </is>
      </c>
      <c r="K1407" s="46" t="inlineStr">
        <is>
          <t xml:space="preserve">محمد الصعيدى </t>
        </is>
      </c>
      <c r="L1407" s="47" t="n">
        <v>25000</v>
      </c>
      <c r="M1407" s="47" t="n">
        <v>12100</v>
      </c>
      <c r="N1407" s="47" t="n"/>
      <c r="O1407" s="47" t="n">
        <v>200</v>
      </c>
      <c r="P1407" s="47" t="n"/>
      <c r="Q1407" s="47" t="n"/>
      <c r="R1407" s="43">
        <f>IF($B1407="","",N($S1407)-N($Q1407))</f>
        <v/>
      </c>
      <c r="S1407" s="43">
        <f>IF($B1407="","",N($L1407)+N($N1407)+N($P1407))</f>
        <v/>
      </c>
      <c r="T1407" s="47" t="n"/>
      <c r="U1407" s="47" t="n"/>
      <c r="V1407" s="47" t="n"/>
      <c r="W1407" s="47" t="n"/>
      <c r="X1407" s="47" t="n"/>
      <c r="Y1407" s="47" t="n"/>
      <c r="Z1407" s="47" t="n"/>
      <c r="AA1407" s="47" t="n"/>
      <c r="AB1407" s="47" t="n"/>
      <c r="AC1407" s="47" t="n"/>
      <c r="AD1407" s="47" t="n"/>
      <c r="AE1407" s="47" t="n"/>
      <c r="AF1407" s="43">
        <f>IF($B1407="","",SUM($T1407:$AE1407))</f>
        <v/>
      </c>
      <c r="AG1407" s="43">
        <f>IF($B1407="","",N($M1407)-N($AF1407))</f>
        <v/>
      </c>
      <c r="AH1407" s="43">
        <f>IF($B1407="","",N($L1407)-N($AF1407))</f>
        <v/>
      </c>
      <c r="AI1407" s="149">
        <f>IF($B1407="","",IF(N($L1407)=0,"",(N($L1407)-N($AF1407))/N($L1407)))</f>
        <v/>
      </c>
    </row>
    <row r="1408">
      <c r="A1408" s="39">
        <f>IF($B1408="","",COUNTA($B$4:$B1408))</f>
        <v/>
      </c>
      <c r="B1408" s="40" t="n">
        <v>46181</v>
      </c>
      <c r="C1408" s="41" t="n">
        <v>3125</v>
      </c>
      <c r="D1408" s="41" t="inlineStr">
        <is>
          <t>اسلام محروس</t>
        </is>
      </c>
      <c r="E1408" s="41" t="inlineStr">
        <is>
          <t>2*20</t>
        </is>
      </c>
      <c r="F1408" s="41" t="inlineStr">
        <is>
          <t xml:space="preserve">اكما </t>
        </is>
      </c>
      <c r="G1408" s="41" t="inlineStr">
        <is>
          <t>بنى سويف</t>
        </is>
      </c>
      <c r="H1408" s="41" t="inlineStr">
        <is>
          <t>222848/0-055981/9</t>
        </is>
      </c>
      <c r="I1408" s="41" t="inlineStr">
        <is>
          <t>ص ع ا 7462</t>
        </is>
      </c>
      <c r="J1408" s="41" t="inlineStr">
        <is>
          <t xml:space="preserve">فتحى احمد </t>
        </is>
      </c>
      <c r="K1408" s="41" t="inlineStr">
        <is>
          <t xml:space="preserve">الحجرى </t>
        </is>
      </c>
      <c r="L1408" s="42" t="n">
        <v>25000</v>
      </c>
      <c r="M1408" s="42" t="n">
        <v>12100</v>
      </c>
      <c r="N1408" s="42" t="n"/>
      <c r="O1408" s="42" t="n">
        <v>200</v>
      </c>
      <c r="P1408" s="42" t="n"/>
      <c r="Q1408" s="42" t="n"/>
      <c r="R1408" s="43">
        <f>IF($B1408="","",N($S1408)-N($Q1408))</f>
        <v/>
      </c>
      <c r="S1408" s="43">
        <f>IF($B1408="","",N($L1408)+N($N1408)+N($P1408))</f>
        <v/>
      </c>
      <c r="T1408" s="42" t="n"/>
      <c r="U1408" s="42" t="n"/>
      <c r="V1408" s="42" t="n"/>
      <c r="W1408" s="42" t="n"/>
      <c r="X1408" s="42" t="n"/>
      <c r="Y1408" s="42" t="n"/>
      <c r="Z1408" s="42" t="n"/>
      <c r="AA1408" s="42" t="n"/>
      <c r="AB1408" s="42" t="n"/>
      <c r="AC1408" s="42" t="n"/>
      <c r="AD1408" s="42" t="n"/>
      <c r="AE1408" s="42" t="n"/>
      <c r="AF1408" s="43">
        <f>IF($B1408="","",SUM($T1408:$AE1408))</f>
        <v/>
      </c>
      <c r="AG1408" s="43">
        <f>IF($B1408="","",N($M1408)-N($AF1408))</f>
        <v/>
      </c>
      <c r="AH1408" s="43">
        <f>IF($B1408="","",N($L1408)-N($AF1408))</f>
        <v/>
      </c>
      <c r="AI1408" s="149">
        <f>IF($B1408="","",IF(N($L1408)=0,"",(N($L1408)-N($AF1408))/N($L1408)))</f>
        <v/>
      </c>
    </row>
    <row r="1409">
      <c r="A1409" s="39">
        <f>IF($B1409="","",COUNTA($B$4:$B1409))</f>
        <v/>
      </c>
      <c r="B1409" s="45" t="n">
        <v>46181</v>
      </c>
      <c r="C1409" s="46" t="n">
        <v>3124</v>
      </c>
      <c r="D1409" s="46" t="inlineStr">
        <is>
          <t xml:space="preserve">عتريس مخيمر </t>
        </is>
      </c>
      <c r="E1409" s="46" t="inlineStr">
        <is>
          <t>2*20</t>
        </is>
      </c>
      <c r="F1409" s="46" t="inlineStr">
        <is>
          <t xml:space="preserve">اكما </t>
        </is>
      </c>
      <c r="G1409" s="46" t="inlineStr">
        <is>
          <t>بنى سويف</t>
        </is>
      </c>
      <c r="H1409" s="46" t="inlineStr">
        <is>
          <t>122916/6-134436/8</t>
        </is>
      </c>
      <c r="I1409" s="46" t="inlineStr">
        <is>
          <t>ب ص ا 2574</t>
        </is>
      </c>
      <c r="J1409" s="46" t="inlineStr">
        <is>
          <t xml:space="preserve">احمد عادل </t>
        </is>
      </c>
      <c r="K1409" s="46" t="inlineStr">
        <is>
          <t xml:space="preserve">احمد خليف </t>
        </is>
      </c>
      <c r="L1409" s="47" t="n">
        <v>25000</v>
      </c>
      <c r="M1409" s="47" t="n">
        <v>12100</v>
      </c>
      <c r="N1409" s="47" t="n"/>
      <c r="O1409" s="47" t="n">
        <v>200</v>
      </c>
      <c r="P1409" s="47" t="n"/>
      <c r="Q1409" s="47" t="n"/>
      <c r="R1409" s="43">
        <f>IF($B1409="","",N($S1409)-N($Q1409))</f>
        <v/>
      </c>
      <c r="S1409" s="43">
        <f>IF($B1409="","",N($L1409)+N($N1409)+N($P1409))</f>
        <v/>
      </c>
      <c r="T1409" s="47" t="n"/>
      <c r="U1409" s="47" t="n"/>
      <c r="V1409" s="47" t="n"/>
      <c r="W1409" s="47" t="n"/>
      <c r="X1409" s="47" t="n"/>
      <c r="Y1409" s="47" t="n"/>
      <c r="Z1409" s="47" t="n"/>
      <c r="AA1409" s="47" t="n"/>
      <c r="AB1409" s="47" t="n"/>
      <c r="AC1409" s="47" t="n"/>
      <c r="AD1409" s="47" t="n"/>
      <c r="AE1409" s="47" t="n"/>
      <c r="AF1409" s="43">
        <f>IF($B1409="","",SUM($T1409:$AE1409))</f>
        <v/>
      </c>
      <c r="AG1409" s="43">
        <f>IF($B1409="","",N($M1409)-N($AF1409))</f>
        <v/>
      </c>
      <c r="AH1409" s="43">
        <f>IF($B1409="","",N($L1409)-N($AF1409))</f>
        <v/>
      </c>
      <c r="AI1409" s="149">
        <f>IF($B1409="","",IF(N($L1409)=0,"",(N($L1409)-N($AF1409))/N($L1409)))</f>
        <v/>
      </c>
    </row>
    <row r="1410">
      <c r="A1410" s="39">
        <f>IF($B1410="","",COUNTA($B$4:$B1410))</f>
        <v/>
      </c>
      <c r="B1410" s="40" t="n">
        <v>46182</v>
      </c>
      <c r="C1410" s="41" t="n">
        <v>3130</v>
      </c>
      <c r="D1410" s="41" t="inlineStr">
        <is>
          <t>المكتب</t>
        </is>
      </c>
      <c r="E1410" s="41" t="inlineStr">
        <is>
          <t>2*20</t>
        </is>
      </c>
      <c r="F1410" s="41" t="inlineStr">
        <is>
          <t xml:space="preserve">اكما </t>
        </is>
      </c>
      <c r="G1410" s="41" t="inlineStr">
        <is>
          <t>بنى سويف</t>
        </is>
      </c>
      <c r="H1410" s="41" t="n"/>
      <c r="I1410" s="41" t="inlineStr">
        <is>
          <t>س ع م 8737</t>
        </is>
      </c>
      <c r="J1410" s="41" t="inlineStr">
        <is>
          <t xml:space="preserve">جلال حسنى </t>
        </is>
      </c>
      <c r="K1410" s="41" t="inlineStr">
        <is>
          <t xml:space="preserve">المكتب </t>
        </is>
      </c>
      <c r="L1410" s="42" t="n">
        <v>25000</v>
      </c>
      <c r="M1410" s="42" t="n">
        <v>12000</v>
      </c>
      <c r="N1410" s="42" t="n"/>
      <c r="O1410" s="42" t="n"/>
      <c r="P1410" s="42" t="n"/>
      <c r="Q1410" s="42" t="n">
        <v>13000</v>
      </c>
      <c r="R1410" s="43">
        <f>IF($B1410="","",N($S1410)-N($Q1410))</f>
        <v/>
      </c>
      <c r="S1410" s="43">
        <f>IF($B1410="","",N($L1410)+N($N1410)+N($P1410))</f>
        <v/>
      </c>
      <c r="T1410" s="42" t="n"/>
      <c r="U1410" s="42" t="n"/>
      <c r="V1410" s="42" t="n"/>
      <c r="W1410" s="42" t="n"/>
      <c r="X1410" s="42" t="n"/>
      <c r="Y1410" s="42" t="n"/>
      <c r="Z1410" s="42" t="n"/>
      <c r="AA1410" s="42" t="n"/>
      <c r="AB1410" s="42" t="n"/>
      <c r="AC1410" s="42" t="n"/>
      <c r="AD1410" s="42" t="n"/>
      <c r="AE1410" s="42" t="n"/>
      <c r="AF1410" s="43">
        <f>IF($B1410="","",SUM($T1410:$AE1410))</f>
        <v/>
      </c>
      <c r="AG1410" s="43">
        <f>IF($B1410="","",N($M1410)-N($AF1410))</f>
        <v/>
      </c>
      <c r="AH1410" s="43">
        <f>IF($B1410="","",N($L1410)-N($AF1410))</f>
        <v/>
      </c>
      <c r="AI1410" s="149">
        <f>IF($B1410="","",IF(N($L1410)=0,"",(N($L1410)-N($AF1410))/N($L1410)))</f>
        <v/>
      </c>
    </row>
    <row r="1411">
      <c r="A1411" s="39">
        <f>IF($B1411="","",COUNTA($B$4:$B1411))</f>
        <v/>
      </c>
      <c r="B1411" s="45" t="n">
        <v>46181</v>
      </c>
      <c r="C1411" s="46" t="n">
        <v>3167</v>
      </c>
      <c r="D1411" s="46" t="inlineStr">
        <is>
          <t>وليد الجهينى</t>
        </is>
      </c>
      <c r="E1411" s="46" t="inlineStr">
        <is>
          <t>1*40</t>
        </is>
      </c>
      <c r="F1411" s="46" t="inlineStr">
        <is>
          <t xml:space="preserve">اورينت </t>
        </is>
      </c>
      <c r="G1411" s="46" t="inlineStr">
        <is>
          <t xml:space="preserve">العاشر </t>
        </is>
      </c>
      <c r="H1411" s="46" t="inlineStr">
        <is>
          <t>172037/1</t>
        </is>
      </c>
      <c r="I1411" s="46" t="inlineStr">
        <is>
          <t>س ن ر 3739</t>
        </is>
      </c>
      <c r="J1411" s="46" t="inlineStr">
        <is>
          <t xml:space="preserve">همام العشرى </t>
        </is>
      </c>
      <c r="K1411" s="46" t="inlineStr">
        <is>
          <t xml:space="preserve">همام </t>
        </is>
      </c>
      <c r="L1411" s="47" t="n">
        <v>15500</v>
      </c>
      <c r="M1411" s="47" t="n">
        <v>8100</v>
      </c>
      <c r="N1411" s="47" t="n"/>
      <c r="O1411" s="47" t="n">
        <v>200</v>
      </c>
      <c r="P1411" s="47" t="n"/>
      <c r="Q1411" s="47" t="n"/>
      <c r="R1411" s="43">
        <f>IF($B1411="","",N($S1411)-N($Q1411))</f>
        <v/>
      </c>
      <c r="S1411" s="43">
        <f>IF($B1411="","",N($L1411)+N($N1411)+N($P1411))</f>
        <v/>
      </c>
      <c r="T1411" s="47" t="n"/>
      <c r="U1411" s="47" t="n"/>
      <c r="V1411" s="47" t="n"/>
      <c r="W1411" s="47" t="n"/>
      <c r="X1411" s="47" t="n"/>
      <c r="Y1411" s="47" t="n"/>
      <c r="Z1411" s="47" t="n"/>
      <c r="AA1411" s="47" t="n"/>
      <c r="AB1411" s="47" t="n"/>
      <c r="AC1411" s="47" t="n"/>
      <c r="AD1411" s="47" t="n"/>
      <c r="AE1411" s="47" t="n"/>
      <c r="AF1411" s="43">
        <f>IF($B1411="","",SUM($T1411:$AE1411))</f>
        <v/>
      </c>
      <c r="AG1411" s="43">
        <f>IF($B1411="","",N($M1411)-N($AF1411))</f>
        <v/>
      </c>
      <c r="AH1411" s="43">
        <f>IF($B1411="","",N($L1411)-N($AF1411))</f>
        <v/>
      </c>
      <c r="AI1411" s="149">
        <f>IF($B1411="","",IF(N($L1411)=0,"",(N($L1411)-N($AF1411))/N($L1411)))</f>
        <v/>
      </c>
    </row>
    <row r="1412">
      <c r="A1412" s="39">
        <f>IF($B1412="","",COUNTA($B$4:$B1412))</f>
        <v/>
      </c>
      <c r="B1412" s="40" t="n">
        <v>46181</v>
      </c>
      <c r="C1412" s="41" t="n">
        <v>3168</v>
      </c>
      <c r="D1412" s="41" t="inlineStr">
        <is>
          <t>احمد خطاب</t>
        </is>
      </c>
      <c r="E1412" s="41" t="inlineStr">
        <is>
          <t>1*40</t>
        </is>
      </c>
      <c r="F1412" s="41" t="inlineStr">
        <is>
          <t xml:space="preserve">اورينت </t>
        </is>
      </c>
      <c r="G1412" s="41" t="inlineStr">
        <is>
          <t xml:space="preserve">العاشر </t>
        </is>
      </c>
      <c r="H1412" s="41" t="inlineStr">
        <is>
          <t>740174/0</t>
        </is>
      </c>
      <c r="I1412" s="41" t="inlineStr">
        <is>
          <t>ع ر و 4875</t>
        </is>
      </c>
      <c r="J1412" s="41" t="inlineStr">
        <is>
          <t xml:space="preserve">ابراهيم الشيخ </t>
        </is>
      </c>
      <c r="K1412" s="41" t="inlineStr">
        <is>
          <t xml:space="preserve">ياسر غربية </t>
        </is>
      </c>
      <c r="L1412" s="42" t="n">
        <v>15500</v>
      </c>
      <c r="M1412" s="42" t="n">
        <v>8100</v>
      </c>
      <c r="N1412" s="42" t="n"/>
      <c r="O1412" s="42" t="n">
        <v>200</v>
      </c>
      <c r="P1412" s="42" t="n"/>
      <c r="Q1412" s="42" t="n"/>
      <c r="R1412" s="43">
        <f>IF($B1412="","",N($S1412)-N($Q1412))</f>
        <v/>
      </c>
      <c r="S1412" s="43">
        <f>IF($B1412="","",N($L1412)+N($N1412)+N($P1412))</f>
        <v/>
      </c>
      <c r="T1412" s="42" t="n"/>
      <c r="U1412" s="42" t="n"/>
      <c r="V1412" s="42" t="n"/>
      <c r="W1412" s="42" t="n"/>
      <c r="X1412" s="42" t="n"/>
      <c r="Y1412" s="42" t="n"/>
      <c r="Z1412" s="42" t="n"/>
      <c r="AA1412" s="42" t="n"/>
      <c r="AB1412" s="42" t="n"/>
      <c r="AC1412" s="42" t="n"/>
      <c r="AD1412" s="42" t="n"/>
      <c r="AE1412" s="42" t="n"/>
      <c r="AF1412" s="43">
        <f>IF($B1412="","",SUM($T1412:$AE1412))</f>
        <v/>
      </c>
      <c r="AG1412" s="43">
        <f>IF($B1412="","",N($M1412)-N($AF1412))</f>
        <v/>
      </c>
      <c r="AH1412" s="43">
        <f>IF($B1412="","",N($L1412)-N($AF1412))</f>
        <v/>
      </c>
      <c r="AI1412" s="149">
        <f>IF($B1412="","",IF(N($L1412)=0,"",(N($L1412)-N($AF1412))/N($L1412)))</f>
        <v/>
      </c>
    </row>
    <row r="1413">
      <c r="A1413" s="39">
        <f>IF($B1413="","",COUNTA($B$4:$B1413))</f>
        <v/>
      </c>
      <c r="B1413" s="45" t="n">
        <v>46181</v>
      </c>
      <c r="C1413" s="46" t="n">
        <v>3169</v>
      </c>
      <c r="D1413" s="46" t="n"/>
      <c r="E1413" s="46" t="inlineStr">
        <is>
          <t>1*40</t>
        </is>
      </c>
      <c r="F1413" s="46" t="inlineStr">
        <is>
          <t xml:space="preserve">اورينت </t>
        </is>
      </c>
      <c r="G1413" s="46" t="inlineStr">
        <is>
          <t xml:space="preserve">العاشر </t>
        </is>
      </c>
      <c r="H1413" s="46" t="inlineStr">
        <is>
          <t>195018/9</t>
        </is>
      </c>
      <c r="I1413" s="46" t="inlineStr">
        <is>
          <t>ب د ن 6518</t>
        </is>
      </c>
      <c r="J1413" s="46" t="inlineStr">
        <is>
          <t xml:space="preserve">محمد الكيلانى </t>
        </is>
      </c>
      <c r="K1413" s="46" t="inlineStr">
        <is>
          <t>استوريا</t>
        </is>
      </c>
      <c r="L1413" s="47" t="n">
        <v>15500</v>
      </c>
      <c r="M1413" s="47" t="n">
        <v>8100</v>
      </c>
      <c r="N1413" s="47" t="n"/>
      <c r="O1413" s="47" t="n">
        <v>200</v>
      </c>
      <c r="P1413" s="47" t="n"/>
      <c r="Q1413" s="47" t="n"/>
      <c r="R1413" s="43">
        <f>IF($B1413="","",N($S1413)-N($Q1413))</f>
        <v/>
      </c>
      <c r="S1413" s="43">
        <f>IF($B1413="","",N($L1413)+N($N1413)+N($P1413))</f>
        <v/>
      </c>
      <c r="T1413" s="47" t="n"/>
      <c r="U1413" s="47" t="n"/>
      <c r="V1413" s="47" t="n"/>
      <c r="W1413" s="47" t="n"/>
      <c r="X1413" s="47" t="n"/>
      <c r="Y1413" s="47" t="n"/>
      <c r="Z1413" s="47" t="n"/>
      <c r="AA1413" s="47" t="n"/>
      <c r="AB1413" s="47" t="n"/>
      <c r="AC1413" s="47" t="n"/>
      <c r="AD1413" s="47" t="n"/>
      <c r="AE1413" s="47" t="n"/>
      <c r="AF1413" s="43">
        <f>IF($B1413="","",SUM($T1413:$AE1413))</f>
        <v/>
      </c>
      <c r="AG1413" s="43">
        <f>IF($B1413="","",N($M1413)-N($AF1413))</f>
        <v/>
      </c>
      <c r="AH1413" s="43">
        <f>IF($B1413="","",N($L1413)-N($AF1413))</f>
        <v/>
      </c>
      <c r="AI1413" s="149">
        <f>IF($B1413="","",IF(N($L1413)=0,"",(N($L1413)-N($AF1413))/N($L1413)))</f>
        <v/>
      </c>
    </row>
    <row r="1414">
      <c r="A1414" s="39">
        <f>IF($B1414="","",COUNTA($B$4:$B1414))</f>
        <v/>
      </c>
      <c r="B1414" s="40" t="n">
        <v>46181</v>
      </c>
      <c r="C1414" s="41" t="n">
        <v>3170</v>
      </c>
      <c r="D1414" s="41" t="inlineStr">
        <is>
          <t>احمد خطاب</t>
        </is>
      </c>
      <c r="E1414" s="41" t="inlineStr">
        <is>
          <t>1*40</t>
        </is>
      </c>
      <c r="F1414" s="41" t="inlineStr">
        <is>
          <t xml:space="preserve">اورينت </t>
        </is>
      </c>
      <c r="G1414" s="41" t="inlineStr">
        <is>
          <t xml:space="preserve">العاشر </t>
        </is>
      </c>
      <c r="H1414" s="41" t="inlineStr">
        <is>
          <t>172022/1</t>
        </is>
      </c>
      <c r="I1414" s="41" t="inlineStr">
        <is>
          <t>ع ل ا 9849</t>
        </is>
      </c>
      <c r="J1414" s="41" t="inlineStr">
        <is>
          <t>ياسر السيد</t>
        </is>
      </c>
      <c r="K1414" s="41" t="inlineStr">
        <is>
          <t xml:space="preserve">ياسر غربية </t>
        </is>
      </c>
      <c r="L1414" s="42" t="n">
        <v>15500</v>
      </c>
      <c r="M1414" s="42" t="n">
        <v>8100</v>
      </c>
      <c r="N1414" s="42" t="n"/>
      <c r="O1414" s="42" t="n">
        <v>200</v>
      </c>
      <c r="P1414" s="42" t="n"/>
      <c r="Q1414" s="42" t="n"/>
      <c r="R1414" s="43">
        <f>IF($B1414="","",N($S1414)-N($Q1414))</f>
        <v/>
      </c>
      <c r="S1414" s="43">
        <f>IF($B1414="","",N($L1414)+N($N1414)+N($P1414))</f>
        <v/>
      </c>
      <c r="T1414" s="42" t="n"/>
      <c r="U1414" s="42" t="n"/>
      <c r="V1414" s="42" t="n"/>
      <c r="W1414" s="42" t="n"/>
      <c r="X1414" s="42" t="n"/>
      <c r="Y1414" s="42" t="n"/>
      <c r="Z1414" s="42" t="n"/>
      <c r="AA1414" s="42" t="n"/>
      <c r="AB1414" s="42" t="n"/>
      <c r="AC1414" s="42" t="n"/>
      <c r="AD1414" s="42" t="n"/>
      <c r="AE1414" s="42" t="n"/>
      <c r="AF1414" s="43">
        <f>IF($B1414="","",SUM($T1414:$AE1414))</f>
        <v/>
      </c>
      <c r="AG1414" s="43">
        <f>IF($B1414="","",N($M1414)-N($AF1414))</f>
        <v/>
      </c>
      <c r="AH1414" s="43">
        <f>IF($B1414="","",N($L1414)-N($AF1414))</f>
        <v/>
      </c>
      <c r="AI1414" s="149">
        <f>IF($B1414="","",IF(N($L1414)=0,"",(N($L1414)-N($AF1414))/N($L1414)))</f>
        <v/>
      </c>
    </row>
    <row r="1415">
      <c r="A1415" s="39">
        <f>IF($B1415="","",COUNTA($B$4:$B1415))</f>
        <v/>
      </c>
      <c r="B1415" s="45" t="n">
        <v>46181</v>
      </c>
      <c r="C1415" s="46" t="n">
        <v>3171</v>
      </c>
      <c r="D1415" s="46" t="inlineStr">
        <is>
          <t xml:space="preserve">محمد يحى </t>
        </is>
      </c>
      <c r="E1415" s="46" t="inlineStr">
        <is>
          <t>1*40</t>
        </is>
      </c>
      <c r="F1415" s="46" t="inlineStr">
        <is>
          <t xml:space="preserve">اورينت </t>
        </is>
      </c>
      <c r="G1415" s="46" t="inlineStr">
        <is>
          <t xml:space="preserve">العاشر </t>
        </is>
      </c>
      <c r="H1415" s="46" t="inlineStr">
        <is>
          <t>172114/6</t>
        </is>
      </c>
      <c r="I1415" s="46" t="inlineStr">
        <is>
          <t>ع ر ب 1573</t>
        </is>
      </c>
      <c r="J1415" s="46" t="inlineStr">
        <is>
          <t xml:space="preserve">محمد السيد </t>
        </is>
      </c>
      <c r="K1415" s="46" t="inlineStr">
        <is>
          <t xml:space="preserve">حمو مرزوق </t>
        </is>
      </c>
      <c r="L1415" s="47" t="n">
        <v>15500</v>
      </c>
      <c r="M1415" s="47" t="n">
        <v>8100</v>
      </c>
      <c r="N1415" s="47" t="n"/>
      <c r="O1415" s="47" t="n">
        <v>200</v>
      </c>
      <c r="P1415" s="47" t="n"/>
      <c r="Q1415" s="47" t="n"/>
      <c r="R1415" s="43">
        <f>IF($B1415="","",N($S1415)-N($Q1415))</f>
        <v/>
      </c>
      <c r="S1415" s="43">
        <f>IF($B1415="","",N($L1415)+N($N1415)+N($P1415))</f>
        <v/>
      </c>
      <c r="T1415" s="47" t="n"/>
      <c r="U1415" s="47" t="n"/>
      <c r="V1415" s="47" t="n"/>
      <c r="W1415" s="47" t="n"/>
      <c r="X1415" s="47" t="n"/>
      <c r="Y1415" s="47" t="n"/>
      <c r="Z1415" s="47" t="n"/>
      <c r="AA1415" s="47" t="n"/>
      <c r="AB1415" s="47" t="n"/>
      <c r="AC1415" s="47" t="n"/>
      <c r="AD1415" s="47" t="n"/>
      <c r="AE1415" s="47" t="n"/>
      <c r="AF1415" s="43">
        <f>IF($B1415="","",SUM($T1415:$AE1415))</f>
        <v/>
      </c>
      <c r="AG1415" s="43">
        <f>IF($B1415="","",N($M1415)-N($AF1415))</f>
        <v/>
      </c>
      <c r="AH1415" s="43">
        <f>IF($B1415="","",N($L1415)-N($AF1415))</f>
        <v/>
      </c>
      <c r="AI1415" s="149">
        <f>IF($B1415="","",IF(N($L1415)=0,"",(N($L1415)-N($AF1415))/N($L1415)))</f>
        <v/>
      </c>
    </row>
    <row r="1416">
      <c r="A1416" s="39">
        <f>IF($B1416="","",COUNTA($B$4:$B1416))</f>
        <v/>
      </c>
      <c r="B1416" s="40" t="n">
        <v>46181</v>
      </c>
      <c r="C1416" s="41" t="n">
        <v>3172</v>
      </c>
      <c r="D1416" s="41" t="inlineStr">
        <is>
          <t>احمد خطاب</t>
        </is>
      </c>
      <c r="E1416" s="41" t="inlineStr">
        <is>
          <t>1*40</t>
        </is>
      </c>
      <c r="F1416" s="41" t="inlineStr">
        <is>
          <t xml:space="preserve">اورينت </t>
        </is>
      </c>
      <c r="G1416" s="41" t="inlineStr">
        <is>
          <t xml:space="preserve">العاشر </t>
        </is>
      </c>
      <c r="H1416" s="41" t="inlineStr">
        <is>
          <t>721033/8</t>
        </is>
      </c>
      <c r="I1416" s="41" t="inlineStr">
        <is>
          <t>ع ص ا 2257</t>
        </is>
      </c>
      <c r="J1416" s="41" t="inlineStr">
        <is>
          <t xml:space="preserve">عماد عبد الرازق </t>
        </is>
      </c>
      <c r="K1416" s="41" t="inlineStr">
        <is>
          <t xml:space="preserve">ياسر غربية </t>
        </is>
      </c>
      <c r="L1416" s="42" t="n">
        <v>15500</v>
      </c>
      <c r="M1416" s="42" t="n">
        <v>8100</v>
      </c>
      <c r="N1416" s="42" t="n"/>
      <c r="O1416" s="42" t="n">
        <v>200</v>
      </c>
      <c r="P1416" s="42" t="n"/>
      <c r="Q1416" s="42" t="n"/>
      <c r="R1416" s="43">
        <f>IF($B1416="","",N($S1416)-N($Q1416))</f>
        <v/>
      </c>
      <c r="S1416" s="43">
        <f>IF($B1416="","",N($L1416)+N($N1416)+N($P1416))</f>
        <v/>
      </c>
      <c r="T1416" s="42" t="n"/>
      <c r="U1416" s="42" t="n"/>
      <c r="V1416" s="42" t="n"/>
      <c r="W1416" s="42" t="n"/>
      <c r="X1416" s="42" t="n"/>
      <c r="Y1416" s="42" t="n"/>
      <c r="Z1416" s="42" t="n"/>
      <c r="AA1416" s="42" t="n"/>
      <c r="AB1416" s="42" t="n"/>
      <c r="AC1416" s="42" t="n"/>
      <c r="AD1416" s="42" t="n"/>
      <c r="AE1416" s="42" t="n"/>
      <c r="AF1416" s="43">
        <f>IF($B1416="","",SUM($T1416:$AE1416))</f>
        <v/>
      </c>
      <c r="AG1416" s="43">
        <f>IF($B1416="","",N($M1416)-N($AF1416))</f>
        <v/>
      </c>
      <c r="AH1416" s="43">
        <f>IF($B1416="","",N($L1416)-N($AF1416))</f>
        <v/>
      </c>
      <c r="AI1416" s="149">
        <f>IF($B1416="","",IF(N($L1416)=0,"",(N($L1416)-N($AF1416))/N($L1416)))</f>
        <v/>
      </c>
    </row>
    <row r="1417">
      <c r="A1417" s="39">
        <f>IF($B1417="","",COUNTA($B$4:$B1417))</f>
        <v/>
      </c>
      <c r="B1417" s="45" t="n">
        <v>46181</v>
      </c>
      <c r="C1417" s="46" t="n">
        <v>3166</v>
      </c>
      <c r="D1417" s="46" t="inlineStr">
        <is>
          <t>الجوهرى</t>
        </is>
      </c>
      <c r="E1417" s="46" t="inlineStr">
        <is>
          <t>1*40</t>
        </is>
      </c>
      <c r="F1417" s="46" t="inlineStr">
        <is>
          <t>كير بلس</t>
        </is>
      </c>
      <c r="G1417" s="46" t="inlineStr">
        <is>
          <t xml:space="preserve">العاشر </t>
        </is>
      </c>
      <c r="H1417" s="46" t="inlineStr">
        <is>
          <t>611561/6</t>
        </is>
      </c>
      <c r="I1417" s="46" t="inlineStr">
        <is>
          <t>ب ط ع 3782</t>
        </is>
      </c>
      <c r="J1417" s="46" t="inlineStr">
        <is>
          <t xml:space="preserve">محمد راضى </t>
        </is>
      </c>
      <c r="K1417" s="46" t="inlineStr">
        <is>
          <t xml:space="preserve">ابو ادم </t>
        </is>
      </c>
      <c r="L1417" s="47" t="n">
        <v>15500</v>
      </c>
      <c r="M1417" s="47" t="n">
        <v>8100</v>
      </c>
      <c r="N1417" s="47" t="n"/>
      <c r="O1417" s="47" t="n">
        <v>200</v>
      </c>
      <c r="P1417" s="47" t="n"/>
      <c r="Q1417" s="47" t="n"/>
      <c r="R1417" s="43">
        <f>IF($B1417="","",N($S1417)-N($Q1417))</f>
        <v/>
      </c>
      <c r="S1417" s="43">
        <f>IF($B1417="","",N($L1417)+N($N1417)+N($P1417))</f>
        <v/>
      </c>
      <c r="T1417" s="47" t="n"/>
      <c r="U1417" s="47" t="n"/>
      <c r="V1417" s="47" t="n"/>
      <c r="W1417" s="47" t="n"/>
      <c r="X1417" s="47" t="n"/>
      <c r="Y1417" s="47" t="n"/>
      <c r="Z1417" s="47" t="n"/>
      <c r="AA1417" s="47" t="n"/>
      <c r="AB1417" s="47" t="n"/>
      <c r="AC1417" s="47" t="n"/>
      <c r="AD1417" s="47" t="n"/>
      <c r="AE1417" s="47" t="n"/>
      <c r="AF1417" s="43">
        <f>IF($B1417="","",SUM($T1417:$AE1417))</f>
        <v/>
      </c>
      <c r="AG1417" s="43">
        <f>IF($B1417="","",N($M1417)-N($AF1417))</f>
        <v/>
      </c>
      <c r="AH1417" s="43">
        <f>IF($B1417="","",N($L1417)-N($AF1417))</f>
        <v/>
      </c>
      <c r="AI1417" s="149">
        <f>IF($B1417="","",IF(N($L1417)=0,"",(N($L1417)-N($AF1417))/N($L1417)))</f>
        <v/>
      </c>
    </row>
    <row r="1418">
      <c r="A1418" s="39">
        <f>IF($B1418="","",COUNTA($B$4:$B1418))</f>
        <v/>
      </c>
      <c r="B1418" s="40" t="n">
        <v>46181</v>
      </c>
      <c r="C1418" s="41" t="n">
        <v>3165</v>
      </c>
      <c r="D1418" s="41" t="inlineStr">
        <is>
          <t xml:space="preserve">استوريا </t>
        </is>
      </c>
      <c r="E1418" s="41" t="inlineStr">
        <is>
          <t>1*40</t>
        </is>
      </c>
      <c r="F1418" s="41" t="inlineStr">
        <is>
          <t>كير بلس</t>
        </is>
      </c>
      <c r="G1418" s="41" t="inlineStr">
        <is>
          <t xml:space="preserve">العاشر </t>
        </is>
      </c>
      <c r="H1418" s="41" t="inlineStr">
        <is>
          <t>559743/2</t>
        </is>
      </c>
      <c r="I1418" s="41" t="inlineStr">
        <is>
          <t>ب ه ا 1732</t>
        </is>
      </c>
      <c r="J1418" s="41" t="inlineStr">
        <is>
          <t xml:space="preserve">محمود ابو زيد </t>
        </is>
      </c>
      <c r="K1418" s="41" t="inlineStr">
        <is>
          <t>استوريا</t>
        </is>
      </c>
      <c r="L1418" s="42" t="n">
        <v>15300</v>
      </c>
      <c r="M1418" s="42" t="n">
        <v>8100</v>
      </c>
      <c r="N1418" s="42" t="n"/>
      <c r="O1418" s="42" t="n">
        <v>200</v>
      </c>
      <c r="P1418" s="42" t="n"/>
      <c r="Q1418" s="42" t="n"/>
      <c r="R1418" s="43">
        <f>IF($B1418="","",N($S1418)-N($Q1418))</f>
        <v/>
      </c>
      <c r="S1418" s="43">
        <f>IF($B1418="","",N($L1418)+N($N1418)+N($P1418))</f>
        <v/>
      </c>
      <c r="T1418" s="42" t="n"/>
      <c r="U1418" s="42" t="n"/>
      <c r="V1418" s="42" t="n"/>
      <c r="W1418" s="42" t="n"/>
      <c r="X1418" s="42" t="n"/>
      <c r="Y1418" s="42" t="n"/>
      <c r="Z1418" s="42" t="n"/>
      <c r="AA1418" s="42" t="n"/>
      <c r="AB1418" s="42" t="n"/>
      <c r="AC1418" s="42" t="n"/>
      <c r="AD1418" s="42" t="n"/>
      <c r="AE1418" s="42" t="n"/>
      <c r="AF1418" s="43">
        <f>IF($B1418="","",SUM($T1418:$AE1418))</f>
        <v/>
      </c>
      <c r="AG1418" s="43">
        <f>IF($B1418="","",N($M1418)-N($AF1418))</f>
        <v/>
      </c>
      <c r="AH1418" s="43">
        <f>IF($B1418="","",N($L1418)-N($AF1418))</f>
        <v/>
      </c>
      <c r="AI1418" s="149">
        <f>IF($B1418="","",IF(N($L1418)=0,"",(N($L1418)-N($AF1418))/N($L1418)))</f>
        <v/>
      </c>
    </row>
    <row r="1419">
      <c r="A1419" s="39">
        <f>IF($B1419="","",COUNTA($B$4:$B1419))</f>
        <v/>
      </c>
      <c r="B1419" s="45" t="n">
        <v>46181</v>
      </c>
      <c r="C1419" s="46" t="n">
        <v>3164</v>
      </c>
      <c r="D1419" s="46" t="inlineStr">
        <is>
          <t>صعيدى 6</t>
        </is>
      </c>
      <c r="E1419" s="46" t="inlineStr">
        <is>
          <t>1*40</t>
        </is>
      </c>
      <c r="F1419" s="46" t="inlineStr">
        <is>
          <t>كير بلس</t>
        </is>
      </c>
      <c r="G1419" s="46" t="inlineStr">
        <is>
          <t>العاشر</t>
        </is>
      </c>
      <c r="H1419" s="46" t="inlineStr">
        <is>
          <t>823648/8</t>
        </is>
      </c>
      <c r="I1419" s="46" t="inlineStr">
        <is>
          <t>س ق ب 9283</t>
        </is>
      </c>
      <c r="J1419" s="46" t="inlineStr">
        <is>
          <t xml:space="preserve">احمد مطر </t>
        </is>
      </c>
      <c r="K1419" s="46" t="inlineStr">
        <is>
          <t xml:space="preserve">محمد الصعيدى </t>
        </is>
      </c>
      <c r="L1419" s="47" t="n">
        <v>15500</v>
      </c>
      <c r="M1419" s="47" t="n">
        <v>8100</v>
      </c>
      <c r="N1419" s="47" t="n"/>
      <c r="O1419" s="47" t="n">
        <v>200</v>
      </c>
      <c r="P1419" s="47" t="n"/>
      <c r="Q1419" s="47" t="n"/>
      <c r="R1419" s="43">
        <f>IF($B1419="","",N($S1419)-N($Q1419))</f>
        <v/>
      </c>
      <c r="S1419" s="43">
        <f>IF($B1419="","",N($L1419)+N($N1419)+N($P1419))</f>
        <v/>
      </c>
      <c r="T1419" s="47" t="n"/>
      <c r="U1419" s="47" t="n"/>
      <c r="V1419" s="47" t="n"/>
      <c r="W1419" s="47" t="n"/>
      <c r="X1419" s="47" t="n"/>
      <c r="Y1419" s="47" t="n"/>
      <c r="Z1419" s="47" t="n"/>
      <c r="AA1419" s="47" t="n"/>
      <c r="AB1419" s="47" t="n"/>
      <c r="AC1419" s="47" t="n"/>
      <c r="AD1419" s="47" t="n"/>
      <c r="AE1419" s="47" t="n"/>
      <c r="AF1419" s="43">
        <f>IF($B1419="","",SUM($T1419:$AE1419))</f>
        <v/>
      </c>
      <c r="AG1419" s="43">
        <f>IF($B1419="","",N($M1419)-N($AF1419))</f>
        <v/>
      </c>
      <c r="AH1419" s="43">
        <f>IF($B1419="","",N($L1419)-N($AF1419))</f>
        <v/>
      </c>
      <c r="AI1419" s="149">
        <f>IF($B1419="","",IF(N($L1419)=0,"",(N($L1419)-N($AF1419))/N($L1419)))</f>
        <v/>
      </c>
    </row>
    <row r="1420">
      <c r="A1420" s="39">
        <f>IF($B1420="","",COUNTA($B$4:$B1420))</f>
        <v/>
      </c>
      <c r="B1420" s="40" t="n">
        <v>46181</v>
      </c>
      <c r="C1420" s="41" t="n">
        <v>2887</v>
      </c>
      <c r="D1420" s="41" t="inlineStr">
        <is>
          <t xml:space="preserve">كمال رزق </t>
        </is>
      </c>
      <c r="E1420" s="41" t="inlineStr">
        <is>
          <t>1*40</t>
        </is>
      </c>
      <c r="F1420" s="41" t="inlineStr">
        <is>
          <t xml:space="preserve">خط المطابخ </t>
        </is>
      </c>
      <c r="G1420" s="41" t="inlineStr">
        <is>
          <t xml:space="preserve">المريوطية </t>
        </is>
      </c>
      <c r="H1420" s="41" t="inlineStr">
        <is>
          <t>747554/3</t>
        </is>
      </c>
      <c r="I1420" s="41" t="inlineStr">
        <is>
          <t>س ن ر 8979</t>
        </is>
      </c>
      <c r="J1420" s="41" t="inlineStr">
        <is>
          <t xml:space="preserve">عماد سعيد </t>
        </is>
      </c>
      <c r="K1420" s="41" t="inlineStr">
        <is>
          <t xml:space="preserve">عماد سعيد </t>
        </is>
      </c>
      <c r="L1420" s="42" t="n">
        <v>15000</v>
      </c>
      <c r="M1420" s="42" t="n">
        <v>8100</v>
      </c>
      <c r="N1420" s="42" t="n"/>
      <c r="O1420" s="42" t="n">
        <v>200</v>
      </c>
      <c r="P1420" s="42" t="n"/>
      <c r="Q1420" s="42" t="n"/>
      <c r="R1420" s="43">
        <f>IF($B1420="","",N($S1420)-N($Q1420))</f>
        <v/>
      </c>
      <c r="S1420" s="43">
        <f>IF($B1420="","",N($L1420)+N($N1420)+N($P1420))</f>
        <v/>
      </c>
      <c r="T1420" s="42" t="n"/>
      <c r="U1420" s="42" t="n"/>
      <c r="V1420" s="42" t="n"/>
      <c r="W1420" s="42" t="n"/>
      <c r="X1420" s="42" t="n"/>
      <c r="Y1420" s="42" t="n"/>
      <c r="Z1420" s="42" t="n"/>
      <c r="AA1420" s="42" t="n"/>
      <c r="AB1420" s="42" t="n"/>
      <c r="AC1420" s="42" t="n"/>
      <c r="AD1420" s="42" t="n"/>
      <c r="AE1420" s="42" t="n"/>
      <c r="AF1420" s="43">
        <f>IF($B1420="","",SUM($T1420:$AE1420))</f>
        <v/>
      </c>
      <c r="AG1420" s="43">
        <f>IF($B1420="","",N($M1420)-N($AF1420))</f>
        <v/>
      </c>
      <c r="AH1420" s="43">
        <f>IF($B1420="","",N($L1420)-N($AF1420))</f>
        <v/>
      </c>
      <c r="AI1420" s="149">
        <f>IF($B1420="","",IF(N($L1420)=0,"",(N($L1420)-N($AF1420))/N($L1420)))</f>
        <v/>
      </c>
    </row>
    <row r="1421">
      <c r="A1421" s="39">
        <f>IF($B1421="","",COUNTA($B$4:$B1421))</f>
        <v/>
      </c>
      <c r="B1421" s="45" t="n">
        <v>46182</v>
      </c>
      <c r="C1421" s="46" t="n">
        <v>3131</v>
      </c>
      <c r="D1421" s="46" t="inlineStr">
        <is>
          <t xml:space="preserve">كمال رزق </t>
        </is>
      </c>
      <c r="E1421" s="46" t="inlineStr">
        <is>
          <t>1*40</t>
        </is>
      </c>
      <c r="F1421" s="46" t="inlineStr">
        <is>
          <t xml:space="preserve">المصرية الاسبانية </t>
        </is>
      </c>
      <c r="G1421" s="46" t="inlineStr">
        <is>
          <t xml:space="preserve">ميت غمر </t>
        </is>
      </c>
      <c r="H1421" s="46" t="inlineStr">
        <is>
          <t>647624/6</t>
        </is>
      </c>
      <c r="I1421" s="46" t="inlineStr">
        <is>
          <t>س غ ن 3963</t>
        </is>
      </c>
      <c r="J1421" s="46" t="inlineStr">
        <is>
          <t xml:space="preserve">محمد غازى </t>
        </is>
      </c>
      <c r="K1421" s="46" t="inlineStr">
        <is>
          <t xml:space="preserve">محمد غازى </t>
        </is>
      </c>
      <c r="L1421" s="47" t="n">
        <v>12800</v>
      </c>
      <c r="M1421" s="47" t="n">
        <v>8100</v>
      </c>
      <c r="N1421" s="47" t="n"/>
      <c r="O1421" s="47" t="n">
        <v>200</v>
      </c>
      <c r="P1421" s="47" t="n"/>
      <c r="Q1421" s="47" t="n"/>
      <c r="R1421" s="43">
        <f>IF($B1421="","",N($S1421)-N($Q1421))</f>
        <v/>
      </c>
      <c r="S1421" s="43">
        <f>IF($B1421="","",N($L1421)+N($N1421)+N($P1421))</f>
        <v/>
      </c>
      <c r="T1421" s="47" t="n"/>
      <c r="U1421" s="47" t="n"/>
      <c r="V1421" s="47" t="n"/>
      <c r="W1421" s="47" t="n"/>
      <c r="X1421" s="47" t="n"/>
      <c r="Y1421" s="47" t="n"/>
      <c r="Z1421" s="47" t="n"/>
      <c r="AA1421" s="47" t="n"/>
      <c r="AB1421" s="47" t="n"/>
      <c r="AC1421" s="47" t="n"/>
      <c r="AD1421" s="47" t="n"/>
      <c r="AE1421" s="47" t="n"/>
      <c r="AF1421" s="43">
        <f>IF($B1421="","",SUM($T1421:$AE1421))</f>
        <v/>
      </c>
      <c r="AG1421" s="43">
        <f>IF($B1421="","",N($M1421)-N($AF1421))</f>
        <v/>
      </c>
      <c r="AH1421" s="43">
        <f>IF($B1421="","",N($L1421)-N($AF1421))</f>
        <v/>
      </c>
      <c r="AI1421" s="149">
        <f>IF($B1421="","",IF(N($L1421)=0,"",(N($L1421)-N($AF1421))/N($L1421)))</f>
        <v/>
      </c>
    </row>
    <row r="1422">
      <c r="A1422" s="39">
        <f>IF($B1422="","",COUNTA($B$4:$B1422))</f>
        <v/>
      </c>
      <c r="B1422" s="40" t="n">
        <v>46182</v>
      </c>
      <c r="C1422" s="41" t="n">
        <v>3210</v>
      </c>
      <c r="D1422" s="41" t="inlineStr">
        <is>
          <t>الشريف</t>
        </is>
      </c>
      <c r="E1422" s="41" t="inlineStr">
        <is>
          <t>1*40</t>
        </is>
      </c>
      <c r="F1422" s="41" t="inlineStr">
        <is>
          <t xml:space="preserve">ماى فارم </t>
        </is>
      </c>
      <c r="G1422" s="41" t="inlineStr">
        <is>
          <t xml:space="preserve">ك حمادة </t>
        </is>
      </c>
      <c r="H1422" s="41" t="inlineStr">
        <is>
          <t>848027/3</t>
        </is>
      </c>
      <c r="I1422" s="41" t="inlineStr">
        <is>
          <t>ب ج ط 5138</t>
        </is>
      </c>
      <c r="J1422" s="41" t="inlineStr">
        <is>
          <t xml:space="preserve">هانى </t>
        </is>
      </c>
      <c r="K1422" s="41" t="inlineStr">
        <is>
          <t xml:space="preserve">الحجرى </t>
        </is>
      </c>
      <c r="L1422" s="42" t="n">
        <v>14500</v>
      </c>
      <c r="M1422" s="42" t="n">
        <v>7100</v>
      </c>
      <c r="N1422" s="42" t="n"/>
      <c r="O1422" s="42" t="n">
        <v>200</v>
      </c>
      <c r="P1422" s="42" t="n"/>
      <c r="Q1422" s="42" t="n"/>
      <c r="R1422" s="43">
        <f>IF($B1422="","",N($S1422)-N($Q1422))</f>
        <v/>
      </c>
      <c r="S1422" s="43">
        <f>IF($B1422="","",N($L1422)+N($N1422)+N($P1422))</f>
        <v/>
      </c>
      <c r="T1422" s="42" t="n"/>
      <c r="U1422" s="42" t="n"/>
      <c r="V1422" s="42" t="n"/>
      <c r="W1422" s="42" t="n"/>
      <c r="X1422" s="42" t="n"/>
      <c r="Y1422" s="42" t="n"/>
      <c r="Z1422" s="42" t="n"/>
      <c r="AA1422" s="42" t="n"/>
      <c r="AB1422" s="42" t="n"/>
      <c r="AC1422" s="42" t="n"/>
      <c r="AD1422" s="42" t="n"/>
      <c r="AE1422" s="42" t="n"/>
      <c r="AF1422" s="43">
        <f>IF($B1422="","",SUM($T1422:$AE1422))</f>
        <v/>
      </c>
      <c r="AG1422" s="43">
        <f>IF($B1422="","",N($M1422)-N($AF1422))</f>
        <v/>
      </c>
      <c r="AH1422" s="43">
        <f>IF($B1422="","",N($L1422)-N($AF1422))</f>
        <v/>
      </c>
      <c r="AI1422" s="149">
        <f>IF($B1422="","",IF(N($L1422)=0,"",(N($L1422)-N($AF1422))/N($L1422)))</f>
        <v/>
      </c>
    </row>
    <row r="1423">
      <c r="A1423" s="39">
        <f>IF($B1423="","",COUNTA($B$4:$B1423))</f>
        <v/>
      </c>
      <c r="B1423" s="45" t="n">
        <v>46182</v>
      </c>
      <c r="C1423" s="46" t="n">
        <v>3211</v>
      </c>
      <c r="D1423" s="46" t="inlineStr">
        <is>
          <t xml:space="preserve">استوريا </t>
        </is>
      </c>
      <c r="E1423" s="46" t="inlineStr">
        <is>
          <t>1*40</t>
        </is>
      </c>
      <c r="F1423" s="46" t="inlineStr">
        <is>
          <t xml:space="preserve">ماى فارم </t>
        </is>
      </c>
      <c r="G1423" s="46" t="inlineStr">
        <is>
          <t xml:space="preserve">ك حمادة </t>
        </is>
      </c>
      <c r="H1423" s="46" t="inlineStr">
        <is>
          <t>48993/8</t>
        </is>
      </c>
      <c r="I1423" s="46" t="inlineStr">
        <is>
          <t>ط ف ر 1474</t>
        </is>
      </c>
      <c r="J1423" s="46" t="inlineStr">
        <is>
          <t xml:space="preserve">ياسر محمد </t>
        </is>
      </c>
      <c r="K1423" s="46" t="inlineStr">
        <is>
          <t>استوريا</t>
        </is>
      </c>
      <c r="L1423" s="47" t="n">
        <v>12500</v>
      </c>
      <c r="M1423" s="47" t="n">
        <v>7100</v>
      </c>
      <c r="N1423" s="47" t="n"/>
      <c r="O1423" s="47" t="n">
        <v>200</v>
      </c>
      <c r="P1423" s="47" t="n"/>
      <c r="Q1423" s="47" t="n"/>
      <c r="R1423" s="43">
        <f>IF($B1423="","",N($S1423)-N($Q1423))</f>
        <v/>
      </c>
      <c r="S1423" s="43">
        <f>IF($B1423="","",N($L1423)+N($N1423)+N($P1423))</f>
        <v/>
      </c>
      <c r="T1423" s="47" t="n"/>
      <c r="U1423" s="47" t="n"/>
      <c r="V1423" s="47" t="n"/>
      <c r="W1423" s="47" t="n"/>
      <c r="X1423" s="47" t="n"/>
      <c r="Y1423" s="47" t="n"/>
      <c r="Z1423" s="47" t="n"/>
      <c r="AA1423" s="47" t="n"/>
      <c r="AB1423" s="47" t="n"/>
      <c r="AC1423" s="47" t="n"/>
      <c r="AD1423" s="47" t="n"/>
      <c r="AE1423" s="47" t="n"/>
      <c r="AF1423" s="43">
        <f>IF($B1423="","",SUM($T1423:$AE1423))</f>
        <v/>
      </c>
      <c r="AG1423" s="43">
        <f>IF($B1423="","",N($M1423)-N($AF1423))</f>
        <v/>
      </c>
      <c r="AH1423" s="43">
        <f>IF($B1423="","",N($L1423)-N($AF1423))</f>
        <v/>
      </c>
      <c r="AI1423" s="149">
        <f>IF($B1423="","",IF(N($L1423)=0,"",(N($L1423)-N($AF1423))/N($L1423)))</f>
        <v/>
      </c>
    </row>
    <row r="1424">
      <c r="A1424" s="39">
        <f>IF($B1424="","",COUNTA($B$4:$B1424))</f>
        <v/>
      </c>
      <c r="B1424" s="40" t="n">
        <v>46182</v>
      </c>
      <c r="C1424" s="41" t="n">
        <v>3212</v>
      </c>
      <c r="D1424" s="41" t="inlineStr">
        <is>
          <t xml:space="preserve">حماد </t>
        </is>
      </c>
      <c r="E1424" s="41" t="inlineStr">
        <is>
          <t>1*40</t>
        </is>
      </c>
      <c r="F1424" s="41" t="inlineStr">
        <is>
          <t xml:space="preserve">ماى فارم </t>
        </is>
      </c>
      <c r="G1424" s="41" t="inlineStr">
        <is>
          <t xml:space="preserve">ك حمادة </t>
        </is>
      </c>
      <c r="H1424" s="41" t="inlineStr">
        <is>
          <t>843561/2</t>
        </is>
      </c>
      <c r="I1424" s="41" t="inlineStr">
        <is>
          <t>س ل ب 5917</t>
        </is>
      </c>
      <c r="J1424" s="41" t="inlineStr">
        <is>
          <t xml:space="preserve">هشام محمد </t>
        </is>
      </c>
      <c r="K1424" s="41" t="inlineStr">
        <is>
          <t xml:space="preserve">علاء علام </t>
        </is>
      </c>
      <c r="L1424" s="42" t="n">
        <v>12000</v>
      </c>
      <c r="M1424" s="42" t="n">
        <v>7100</v>
      </c>
      <c r="N1424" s="42" t="n"/>
      <c r="O1424" s="42" t="n">
        <v>200</v>
      </c>
      <c r="P1424" s="42" t="n"/>
      <c r="Q1424" s="42" t="n"/>
      <c r="R1424" s="43">
        <f>IF($B1424="","",N($S1424)-N($Q1424))</f>
        <v/>
      </c>
      <c r="S1424" s="43">
        <f>IF($B1424="","",N($L1424)+N($N1424)+N($P1424))</f>
        <v/>
      </c>
      <c r="T1424" s="42" t="n"/>
      <c r="U1424" s="42" t="n"/>
      <c r="V1424" s="42" t="n"/>
      <c r="W1424" s="42" t="n"/>
      <c r="X1424" s="42" t="n"/>
      <c r="Y1424" s="42" t="n"/>
      <c r="Z1424" s="42" t="n"/>
      <c r="AA1424" s="42" t="n"/>
      <c r="AB1424" s="42" t="n"/>
      <c r="AC1424" s="42" t="n"/>
      <c r="AD1424" s="42" t="n"/>
      <c r="AE1424" s="42" t="n"/>
      <c r="AF1424" s="43">
        <f>IF($B1424="","",SUM($T1424:$AE1424))</f>
        <v/>
      </c>
      <c r="AG1424" s="43">
        <f>IF($B1424="","",N($M1424)-N($AF1424))</f>
        <v/>
      </c>
      <c r="AH1424" s="43">
        <f>IF($B1424="","",N($L1424)-N($AF1424))</f>
        <v/>
      </c>
      <c r="AI1424" s="149">
        <f>IF($B1424="","",IF(N($L1424)=0,"",(N($L1424)-N($AF1424))/N($L1424)))</f>
        <v/>
      </c>
    </row>
    <row r="1425">
      <c r="A1425" s="39">
        <f>IF($B1425="","",COUNTA($B$4:$B1425))</f>
        <v/>
      </c>
      <c r="B1425" s="45" t="n">
        <v>46182</v>
      </c>
      <c r="C1425" s="46" t="n">
        <v>3213</v>
      </c>
      <c r="D1425" s="46" t="n"/>
      <c r="E1425" s="46" t="inlineStr">
        <is>
          <t>1*40</t>
        </is>
      </c>
      <c r="F1425" s="46" t="inlineStr">
        <is>
          <t xml:space="preserve">ماى فارم </t>
        </is>
      </c>
      <c r="G1425" s="46" t="inlineStr">
        <is>
          <t xml:space="preserve">ك حمادة </t>
        </is>
      </c>
      <c r="H1425" s="46" t="inlineStr">
        <is>
          <t>857147/6</t>
        </is>
      </c>
      <c r="I1425" s="46" t="inlineStr">
        <is>
          <t>ب د ن 2987</t>
        </is>
      </c>
      <c r="J1425" s="46" t="inlineStr">
        <is>
          <t xml:space="preserve">ابراهيم كامل </t>
        </is>
      </c>
      <c r="K1425" s="46" t="inlineStr">
        <is>
          <t>استوريا</t>
        </is>
      </c>
      <c r="L1425" s="47" t="n"/>
      <c r="M1425" s="47" t="n">
        <v>7100</v>
      </c>
      <c r="N1425" s="47" t="n"/>
      <c r="O1425" s="47" t="n">
        <v>200</v>
      </c>
      <c r="P1425" s="47" t="n"/>
      <c r="Q1425" s="47" t="n"/>
      <c r="R1425" s="43">
        <f>IF($B1425="","",N($S1425)-N($Q1425))</f>
        <v/>
      </c>
      <c r="S1425" s="43">
        <f>IF($B1425="","",N($L1425)+N($N1425)+N($P1425))</f>
        <v/>
      </c>
      <c r="T1425" s="47" t="n"/>
      <c r="U1425" s="47" t="n"/>
      <c r="V1425" s="47" t="n"/>
      <c r="W1425" s="47" t="n"/>
      <c r="X1425" s="47" t="n"/>
      <c r="Y1425" s="47" t="n"/>
      <c r="Z1425" s="47" t="n"/>
      <c r="AA1425" s="47" t="n"/>
      <c r="AB1425" s="47" t="n"/>
      <c r="AC1425" s="47" t="n"/>
      <c r="AD1425" s="47" t="n"/>
      <c r="AE1425" s="47" t="n"/>
      <c r="AF1425" s="43">
        <f>IF($B1425="","",SUM($T1425:$AE1425))</f>
        <v/>
      </c>
      <c r="AG1425" s="43">
        <f>IF($B1425="","",N($M1425)-N($AF1425))</f>
        <v/>
      </c>
      <c r="AH1425" s="43">
        <f>IF($B1425="","",N($L1425)-N($AF1425))</f>
        <v/>
      </c>
      <c r="AI1425" s="149">
        <f>IF($B1425="","",IF(N($L1425)=0,"",(N($L1425)-N($AF1425))/N($L1425)))</f>
        <v/>
      </c>
    </row>
    <row r="1426">
      <c r="A1426" s="39">
        <f>IF($B1426="","",COUNTA($B$4:$B1426))</f>
        <v/>
      </c>
      <c r="B1426" s="40" t="n">
        <v>46182</v>
      </c>
      <c r="C1426" s="41" t="n">
        <v>3214</v>
      </c>
      <c r="D1426" s="41" t="n"/>
      <c r="E1426" s="41" t="inlineStr">
        <is>
          <t xml:space="preserve">دبابة </t>
        </is>
      </c>
      <c r="F1426" s="41" t="inlineStr">
        <is>
          <t xml:space="preserve">ماى فارم </t>
        </is>
      </c>
      <c r="G1426" s="41" t="inlineStr">
        <is>
          <t xml:space="preserve">اكتوبر </t>
        </is>
      </c>
      <c r="H1426" s="41" t="inlineStr">
        <is>
          <t xml:space="preserve">10 طرد </t>
        </is>
      </c>
      <c r="I1426" s="41" t="inlineStr">
        <is>
          <t>س و ر 3242</t>
        </is>
      </c>
      <c r="J1426" s="41" t="inlineStr">
        <is>
          <t xml:space="preserve">عبدة على </t>
        </is>
      </c>
      <c r="K1426" s="41" t="inlineStr">
        <is>
          <t xml:space="preserve">عبدة على </t>
        </is>
      </c>
      <c r="L1426" s="42" t="n">
        <v>2000</v>
      </c>
      <c r="M1426" s="42" t="n">
        <v>2000</v>
      </c>
      <c r="N1426" s="42" t="n"/>
      <c r="O1426" s="42" t="n"/>
      <c r="P1426" s="42" t="n"/>
      <c r="Q1426" s="42" t="n"/>
      <c r="R1426" s="43">
        <f>IF($B1426="","",N($S1426)-N($Q1426))</f>
        <v/>
      </c>
      <c r="S1426" s="43">
        <f>IF($B1426="","",N($L1426)+N($N1426)+N($P1426))</f>
        <v/>
      </c>
      <c r="T1426" s="42" t="n"/>
      <c r="U1426" s="42" t="n"/>
      <c r="V1426" s="42" t="n"/>
      <c r="W1426" s="42" t="n"/>
      <c r="X1426" s="42" t="n"/>
      <c r="Y1426" s="42" t="n"/>
      <c r="Z1426" s="42" t="n"/>
      <c r="AA1426" s="42" t="n"/>
      <c r="AB1426" s="42" t="n"/>
      <c r="AC1426" s="42" t="n"/>
      <c r="AD1426" s="42" t="n"/>
      <c r="AE1426" s="42" t="n"/>
      <c r="AF1426" s="43">
        <f>IF($B1426="","",SUM($T1426:$AE1426))</f>
        <v/>
      </c>
      <c r="AG1426" s="43">
        <f>IF($B1426="","",N($M1426)-N($AF1426))</f>
        <v/>
      </c>
      <c r="AH1426" s="43">
        <f>IF($B1426="","",N($L1426)-N($AF1426))</f>
        <v/>
      </c>
      <c r="AI1426" s="149">
        <f>IF($B1426="","",IF(N($L1426)=0,"",(N($L1426)-N($AF1426))/N($L1426)))</f>
        <v/>
      </c>
    </row>
    <row r="1427">
      <c r="A1427" s="39">
        <f>IF($B1427="","",COUNTA($B$4:$B1427))</f>
        <v/>
      </c>
      <c r="B1427" s="45" t="n">
        <v>46182</v>
      </c>
      <c r="C1427" s="46" t="n">
        <v>3077</v>
      </c>
      <c r="D1427" s="46" t="inlineStr">
        <is>
          <t>ايوب</t>
        </is>
      </c>
      <c r="E1427" s="46" t="inlineStr">
        <is>
          <t>1*20</t>
        </is>
      </c>
      <c r="F1427" s="46" t="inlineStr">
        <is>
          <t xml:space="preserve">اتش دى </t>
        </is>
      </c>
      <c r="G1427" s="46" t="inlineStr">
        <is>
          <t xml:space="preserve">العاشر </t>
        </is>
      </c>
      <c r="H1427" s="46" t="inlineStr">
        <is>
          <t>139036/3</t>
        </is>
      </c>
      <c r="I1427" s="46" t="inlineStr">
        <is>
          <t>ب ع ا 5839</t>
        </is>
      </c>
      <c r="J1427" s="46" t="inlineStr">
        <is>
          <t xml:space="preserve">طارق زيدان </t>
        </is>
      </c>
      <c r="K1427" s="46" t="inlineStr">
        <is>
          <t xml:space="preserve">ايوب </t>
        </is>
      </c>
      <c r="L1427" s="47" t="n">
        <v>12000</v>
      </c>
      <c r="M1427" s="47" t="n">
        <v>8100</v>
      </c>
      <c r="N1427" s="47" t="n"/>
      <c r="O1427" s="47" t="n">
        <v>200</v>
      </c>
      <c r="P1427" s="47" t="n"/>
      <c r="Q1427" s="47" t="n"/>
      <c r="R1427" s="43">
        <f>IF($B1427="","",N($S1427)-N($Q1427))</f>
        <v/>
      </c>
      <c r="S1427" s="43">
        <f>IF($B1427="","",N($L1427)+N($N1427)+N($P1427))</f>
        <v/>
      </c>
      <c r="T1427" s="47" t="n"/>
      <c r="U1427" s="47" t="n"/>
      <c r="V1427" s="47" t="n"/>
      <c r="W1427" s="47" t="n"/>
      <c r="X1427" s="47" t="n"/>
      <c r="Y1427" s="47" t="n"/>
      <c r="Z1427" s="47" t="n"/>
      <c r="AA1427" s="47" t="n"/>
      <c r="AB1427" s="47" t="n"/>
      <c r="AC1427" s="47" t="n"/>
      <c r="AD1427" s="47" t="n"/>
      <c r="AE1427" s="47" t="n"/>
      <c r="AF1427" s="43">
        <f>IF($B1427="","",SUM($T1427:$AE1427))</f>
        <v/>
      </c>
      <c r="AG1427" s="43">
        <f>IF($B1427="","",N($M1427)-N($AF1427))</f>
        <v/>
      </c>
      <c r="AH1427" s="43">
        <f>IF($B1427="","",N($L1427)-N($AF1427))</f>
        <v/>
      </c>
      <c r="AI1427" s="149">
        <f>IF($B1427="","",IF(N($L1427)=0,"",(N($L1427)-N($AF1427))/N($L1427)))</f>
        <v/>
      </c>
    </row>
    <row r="1428">
      <c r="A1428" s="39">
        <f>IF($B1428="","",COUNTA($B$4:$B1428))</f>
        <v/>
      </c>
      <c r="B1428" s="40" t="n">
        <v>46182</v>
      </c>
      <c r="C1428" s="41" t="n">
        <v>3215</v>
      </c>
      <c r="D1428" s="41" t="inlineStr">
        <is>
          <t>وليد الجهينى</t>
        </is>
      </c>
      <c r="E1428" s="41" t="inlineStr">
        <is>
          <t>1*40</t>
        </is>
      </c>
      <c r="F1428" s="41" t="inlineStr">
        <is>
          <t xml:space="preserve">ميما فودز </t>
        </is>
      </c>
      <c r="G1428" s="41" t="inlineStr">
        <is>
          <t xml:space="preserve">السادات </t>
        </is>
      </c>
      <c r="H1428" s="41" t="inlineStr">
        <is>
          <t>945038/6</t>
        </is>
      </c>
      <c r="I1428" s="41" t="inlineStr">
        <is>
          <t>س ن ر 3739</t>
        </is>
      </c>
      <c r="J1428" s="41" t="inlineStr">
        <is>
          <t xml:space="preserve">همام عشرى </t>
        </is>
      </c>
      <c r="K1428" s="41" t="inlineStr">
        <is>
          <t xml:space="preserve">همام </t>
        </is>
      </c>
      <c r="L1428" s="42" t="n">
        <v>14500</v>
      </c>
      <c r="M1428" s="42" t="n">
        <v>9100</v>
      </c>
      <c r="N1428" s="42" t="n"/>
      <c r="O1428" s="42" t="n">
        <v>200</v>
      </c>
      <c r="P1428" s="42" t="n">
        <v>3000</v>
      </c>
      <c r="Q1428" s="42" t="n"/>
      <c r="R1428" s="43">
        <f>IF($B1428="","",N($S1428)-N($Q1428))</f>
        <v/>
      </c>
      <c r="S1428" s="43">
        <f>IF($B1428="","",N($L1428)+N($N1428)+N($P1428))</f>
        <v/>
      </c>
      <c r="T1428" s="42" t="n"/>
      <c r="U1428" s="42" t="n"/>
      <c r="V1428" s="42" t="n"/>
      <c r="W1428" s="42" t="n"/>
      <c r="X1428" s="42" t="n"/>
      <c r="Y1428" s="42" t="n"/>
      <c r="Z1428" s="42" t="n"/>
      <c r="AA1428" s="42" t="n"/>
      <c r="AB1428" s="42" t="n"/>
      <c r="AC1428" s="42" t="n"/>
      <c r="AD1428" s="42" t="n"/>
      <c r="AE1428" s="42" t="n"/>
      <c r="AF1428" s="43">
        <f>IF($B1428="","",SUM($T1428:$AE1428))</f>
        <v/>
      </c>
      <c r="AG1428" s="43">
        <f>IF($B1428="","",N($M1428)-N($AF1428))</f>
        <v/>
      </c>
      <c r="AH1428" s="43">
        <f>IF($B1428="","",N($L1428)-N($AF1428))</f>
        <v/>
      </c>
      <c r="AI1428" s="149">
        <f>IF($B1428="","",IF(N($L1428)=0,"",(N($L1428)-N($AF1428))/N($L1428)))</f>
        <v/>
      </c>
    </row>
    <row r="1429">
      <c r="A1429" s="39">
        <f>IF($B1429="","",COUNTA($B$4:$B1429))</f>
        <v/>
      </c>
      <c r="B1429" s="45" t="n">
        <v>46182</v>
      </c>
      <c r="C1429" s="46" t="n">
        <v>3216</v>
      </c>
      <c r="D1429" s="46" t="inlineStr">
        <is>
          <t xml:space="preserve">عتريس مخيمر </t>
        </is>
      </c>
      <c r="E1429" s="46" t="inlineStr">
        <is>
          <t>1*40</t>
        </is>
      </c>
      <c r="F1429" s="46" t="inlineStr">
        <is>
          <t>البارق</t>
        </is>
      </c>
      <c r="G1429" s="46" t="inlineStr">
        <is>
          <t xml:space="preserve">العاشر </t>
        </is>
      </c>
      <c r="H1429" s="46" t="inlineStr">
        <is>
          <t>488326/9</t>
        </is>
      </c>
      <c r="I1429" s="46" t="inlineStr">
        <is>
          <t>ط ف ر 1474</t>
        </is>
      </c>
      <c r="J1429" s="46" t="inlineStr">
        <is>
          <t xml:space="preserve">جمال على </t>
        </is>
      </c>
      <c r="K1429" s="46" t="inlineStr">
        <is>
          <t xml:space="preserve">كريم خليف </t>
        </is>
      </c>
      <c r="L1429" s="47" t="n">
        <v>15500</v>
      </c>
      <c r="M1429" s="47" t="n">
        <v>8100</v>
      </c>
      <c r="N1429" s="47" t="n"/>
      <c r="O1429" s="47" t="n">
        <v>200</v>
      </c>
      <c r="P1429" s="47" t="n"/>
      <c r="Q1429" s="47" t="n"/>
      <c r="R1429" s="43">
        <f>IF($B1429="","",N($S1429)-N($Q1429))</f>
        <v/>
      </c>
      <c r="S1429" s="43">
        <f>IF($B1429="","",N($L1429)+N($N1429)+N($P1429))</f>
        <v/>
      </c>
      <c r="T1429" s="47" t="n"/>
      <c r="U1429" s="47" t="n"/>
      <c r="V1429" s="47" t="n"/>
      <c r="W1429" s="47" t="n"/>
      <c r="X1429" s="47" t="n"/>
      <c r="Y1429" s="47" t="n"/>
      <c r="Z1429" s="47" t="n"/>
      <c r="AA1429" s="47" t="n"/>
      <c r="AB1429" s="47" t="n"/>
      <c r="AC1429" s="47" t="n"/>
      <c r="AD1429" s="47" t="n"/>
      <c r="AE1429" s="47" t="n"/>
      <c r="AF1429" s="43">
        <f>IF($B1429="","",SUM($T1429:$AE1429))</f>
        <v/>
      </c>
      <c r="AG1429" s="43">
        <f>IF($B1429="","",N($M1429)-N($AF1429))</f>
        <v/>
      </c>
      <c r="AH1429" s="43">
        <f>IF($B1429="","",N($L1429)-N($AF1429))</f>
        <v/>
      </c>
      <c r="AI1429" s="149">
        <f>IF($B1429="","",IF(N($L1429)=0,"",(N($L1429)-N($AF1429))/N($L1429)))</f>
        <v/>
      </c>
    </row>
    <row r="1430">
      <c r="A1430" s="39">
        <f>IF($B1430="","",COUNTA($B$4:$B1430))</f>
        <v/>
      </c>
      <c r="B1430" s="40" t="n">
        <v>46183</v>
      </c>
      <c r="C1430" s="41" t="n">
        <v>3132</v>
      </c>
      <c r="D1430" s="41" t="inlineStr">
        <is>
          <t>اسلام محروس</t>
        </is>
      </c>
      <c r="E1430" s="41" t="inlineStr">
        <is>
          <t>1*40</t>
        </is>
      </c>
      <c r="F1430" s="41" t="inlineStr">
        <is>
          <t xml:space="preserve">السويدى بوليمرز </t>
        </is>
      </c>
      <c r="G1430" s="41" t="inlineStr">
        <is>
          <t xml:space="preserve">العاشر </t>
        </is>
      </c>
      <c r="H1430" s="41" t="inlineStr">
        <is>
          <t>648284/0</t>
        </is>
      </c>
      <c r="I1430" s="41" t="inlineStr">
        <is>
          <t>ص ع ا 7462</t>
        </is>
      </c>
      <c r="J1430" s="41" t="inlineStr">
        <is>
          <t xml:space="preserve">فتحى احمد </t>
        </is>
      </c>
      <c r="K1430" s="41" t="inlineStr">
        <is>
          <t xml:space="preserve">اشرف الجمل </t>
        </is>
      </c>
      <c r="L1430" s="42" t="n">
        <v>16000</v>
      </c>
      <c r="M1430" s="42" t="n">
        <v>8100</v>
      </c>
      <c r="N1430" s="42" t="n"/>
      <c r="O1430" s="42" t="n">
        <v>200</v>
      </c>
      <c r="P1430" s="42" t="n"/>
      <c r="Q1430" s="42" t="n"/>
      <c r="R1430" s="43">
        <f>IF($B1430="","",N($S1430)-N($Q1430))</f>
        <v/>
      </c>
      <c r="S1430" s="43">
        <f>IF($B1430="","",N($L1430)+N($N1430)+N($P1430))</f>
        <v/>
      </c>
      <c r="T1430" s="42" t="n"/>
      <c r="U1430" s="42" t="n"/>
      <c r="V1430" s="42" t="n"/>
      <c r="W1430" s="42" t="n"/>
      <c r="X1430" s="42" t="n"/>
      <c r="Y1430" s="42" t="n"/>
      <c r="Z1430" s="42" t="n"/>
      <c r="AA1430" s="42" t="n"/>
      <c r="AB1430" s="42" t="n"/>
      <c r="AC1430" s="42" t="n"/>
      <c r="AD1430" s="42" t="n"/>
      <c r="AE1430" s="42" t="n"/>
      <c r="AF1430" s="43">
        <f>IF($B1430="","",SUM($T1430:$AE1430))</f>
        <v/>
      </c>
      <c r="AG1430" s="43">
        <f>IF($B1430="","",N($M1430)-N($AF1430))</f>
        <v/>
      </c>
      <c r="AH1430" s="43">
        <f>IF($B1430="","",N($L1430)-N($AF1430))</f>
        <v/>
      </c>
      <c r="AI1430" s="149">
        <f>IF($B1430="","",IF(N($L1430)=0,"",(N($L1430)-N($AF1430))/N($L1430)))</f>
        <v/>
      </c>
    </row>
    <row r="1431">
      <c r="A1431" s="39">
        <f>IF($B1431="","",COUNTA($B$4:$B1431))</f>
        <v/>
      </c>
      <c r="B1431" s="45" t="n">
        <v>46183</v>
      </c>
      <c r="C1431" s="46" t="n">
        <v>3133</v>
      </c>
      <c r="D1431" s="46" t="inlineStr">
        <is>
          <t xml:space="preserve">الانصارى </t>
        </is>
      </c>
      <c r="E1431" s="46" t="inlineStr">
        <is>
          <t>1*40</t>
        </is>
      </c>
      <c r="F1431" s="46" t="inlineStr">
        <is>
          <t xml:space="preserve">السويدى بوليمرز </t>
        </is>
      </c>
      <c r="G1431" s="46" t="inlineStr">
        <is>
          <t xml:space="preserve">العاشر </t>
        </is>
      </c>
      <c r="H1431" s="46" t="inlineStr">
        <is>
          <t>643651/0</t>
        </is>
      </c>
      <c r="I1431" s="46" t="inlineStr">
        <is>
          <t>ب ص ا 2574</t>
        </is>
      </c>
      <c r="J1431" s="46" t="inlineStr">
        <is>
          <t xml:space="preserve">احمد عادل </t>
        </is>
      </c>
      <c r="K1431" s="46" t="inlineStr">
        <is>
          <t xml:space="preserve">احمد خليف </t>
        </is>
      </c>
      <c r="L1431" s="47" t="n">
        <v>16000</v>
      </c>
      <c r="M1431" s="47" t="n">
        <v>8100</v>
      </c>
      <c r="N1431" s="47" t="n"/>
      <c r="O1431" s="47" t="n">
        <v>200</v>
      </c>
      <c r="P1431" s="47" t="n"/>
      <c r="Q1431" s="47" t="n"/>
      <c r="R1431" s="43">
        <f>IF($B1431="","",N($S1431)-N($Q1431))</f>
        <v/>
      </c>
      <c r="S1431" s="43">
        <f>IF($B1431="","",N($L1431)+N($N1431)+N($P1431))</f>
        <v/>
      </c>
      <c r="T1431" s="47" t="n"/>
      <c r="U1431" s="47" t="n"/>
      <c r="V1431" s="47" t="n"/>
      <c r="W1431" s="47" t="n"/>
      <c r="X1431" s="47" t="n"/>
      <c r="Y1431" s="47" t="n"/>
      <c r="Z1431" s="47" t="n"/>
      <c r="AA1431" s="47" t="n"/>
      <c r="AB1431" s="47" t="n"/>
      <c r="AC1431" s="47" t="n"/>
      <c r="AD1431" s="47" t="n"/>
      <c r="AE1431" s="47" t="n"/>
      <c r="AF1431" s="43">
        <f>IF($B1431="","",SUM($T1431:$AE1431))</f>
        <v/>
      </c>
      <c r="AG1431" s="43">
        <f>IF($B1431="","",N($M1431)-N($AF1431))</f>
        <v/>
      </c>
      <c r="AH1431" s="43">
        <f>IF($B1431="","",N($L1431)-N($AF1431))</f>
        <v/>
      </c>
      <c r="AI1431" s="149">
        <f>IF($B1431="","",IF(N($L1431)=0,"",(N($L1431)-N($AF1431))/N($L1431)))</f>
        <v/>
      </c>
    </row>
    <row r="1432">
      <c r="A1432" s="39">
        <f>IF($B1432="","",COUNTA($B$4:$B1432))</f>
        <v/>
      </c>
      <c r="B1432" s="40" t="n">
        <v>46183</v>
      </c>
      <c r="C1432" s="41" t="n">
        <v>3028</v>
      </c>
      <c r="D1432" s="41" t="inlineStr">
        <is>
          <t xml:space="preserve">محمد يحى </t>
        </is>
      </c>
      <c r="E1432" s="41" t="inlineStr">
        <is>
          <t>1*40</t>
        </is>
      </c>
      <c r="F1432" s="41" t="inlineStr">
        <is>
          <t xml:space="preserve">المصرية الالمانية </t>
        </is>
      </c>
      <c r="G1432" s="41" t="inlineStr">
        <is>
          <t>بنى سويف</t>
        </is>
      </c>
      <c r="H1432" s="41" t="inlineStr">
        <is>
          <t>707288/8</t>
        </is>
      </c>
      <c r="I1432" s="41" t="inlineStr">
        <is>
          <t>ع ر ب 1573</t>
        </is>
      </c>
      <c r="J1432" s="41" t="inlineStr">
        <is>
          <t xml:space="preserve">محمد السيد </t>
        </is>
      </c>
      <c r="K1432" s="41" t="inlineStr">
        <is>
          <t xml:space="preserve">حمو مرزوق </t>
        </is>
      </c>
      <c r="L1432" s="42" t="n">
        <v>19000</v>
      </c>
      <c r="M1432" s="42" t="n">
        <v>12100</v>
      </c>
      <c r="N1432" s="42" t="n"/>
      <c r="O1432" s="42" t="n">
        <v>200</v>
      </c>
      <c r="P1432" s="42" t="n"/>
      <c r="Q1432" s="42" t="n"/>
      <c r="R1432" s="43">
        <f>IF($B1432="","",N($S1432)-N($Q1432))</f>
        <v/>
      </c>
      <c r="S1432" s="43">
        <f>IF($B1432="","",N($L1432)+N($N1432)+N($P1432))</f>
        <v/>
      </c>
      <c r="T1432" s="42" t="n"/>
      <c r="U1432" s="42" t="n"/>
      <c r="V1432" s="42" t="n"/>
      <c r="W1432" s="42" t="n"/>
      <c r="X1432" s="42" t="n"/>
      <c r="Y1432" s="42" t="n"/>
      <c r="Z1432" s="42" t="n"/>
      <c r="AA1432" s="42" t="n"/>
      <c r="AB1432" s="42" t="n"/>
      <c r="AC1432" s="42" t="n"/>
      <c r="AD1432" s="42" t="n"/>
      <c r="AE1432" s="42" t="n"/>
      <c r="AF1432" s="43">
        <f>IF($B1432="","",SUM($T1432:$AE1432))</f>
        <v/>
      </c>
      <c r="AG1432" s="43">
        <f>IF($B1432="","",N($M1432)-N($AF1432))</f>
        <v/>
      </c>
      <c r="AH1432" s="43">
        <f>IF($B1432="","",N($L1432)-N($AF1432))</f>
        <v/>
      </c>
      <c r="AI1432" s="149">
        <f>IF($B1432="","",IF(N($L1432)=0,"",(N($L1432)-N($AF1432))/N($L1432)))</f>
        <v/>
      </c>
    </row>
    <row r="1433">
      <c r="A1433" s="39">
        <f>IF($B1433="","",COUNTA($B$4:$B1433))</f>
        <v/>
      </c>
      <c r="B1433" s="45" t="n">
        <v>46183</v>
      </c>
      <c r="C1433" s="46" t="n">
        <v>3219</v>
      </c>
      <c r="D1433" s="46" t="inlineStr">
        <is>
          <t xml:space="preserve">استوريا </t>
        </is>
      </c>
      <c r="E1433" s="46" t="inlineStr">
        <is>
          <t>1*40</t>
        </is>
      </c>
      <c r="F1433" s="46" t="inlineStr">
        <is>
          <t xml:space="preserve">راضى الدولية </t>
        </is>
      </c>
      <c r="G1433" s="46" t="inlineStr">
        <is>
          <t>المنصورية</t>
        </is>
      </c>
      <c r="H1433" s="46" t="inlineStr">
        <is>
          <t>356575/1</t>
        </is>
      </c>
      <c r="I1433" s="46" t="inlineStr">
        <is>
          <t>ب د ف 5732</t>
        </is>
      </c>
      <c r="J1433" s="46" t="inlineStr">
        <is>
          <t>السيد قزاز</t>
        </is>
      </c>
      <c r="K1433" s="46" t="inlineStr">
        <is>
          <t>استوريا</t>
        </is>
      </c>
      <c r="L1433" s="47" t="n">
        <v>15000</v>
      </c>
      <c r="M1433" s="47" t="n">
        <v>8100</v>
      </c>
      <c r="N1433" s="47" t="n"/>
      <c r="O1433" s="47" t="n">
        <v>200</v>
      </c>
      <c r="P1433" s="47" t="n"/>
      <c r="Q1433" s="47" t="n"/>
      <c r="R1433" s="43">
        <f>IF($B1433="","",N($S1433)-N($Q1433))</f>
        <v/>
      </c>
      <c r="S1433" s="43">
        <f>IF($B1433="","",N($L1433)+N($N1433)+N($P1433))</f>
        <v/>
      </c>
      <c r="T1433" s="47" t="n"/>
      <c r="U1433" s="47" t="n"/>
      <c r="V1433" s="47" t="n"/>
      <c r="W1433" s="47" t="n"/>
      <c r="X1433" s="47" t="n"/>
      <c r="Y1433" s="47" t="n"/>
      <c r="Z1433" s="47" t="n"/>
      <c r="AA1433" s="47" t="n"/>
      <c r="AB1433" s="47" t="n"/>
      <c r="AC1433" s="47" t="n"/>
      <c r="AD1433" s="47" t="n"/>
      <c r="AE1433" s="47" t="n"/>
      <c r="AF1433" s="43">
        <f>IF($B1433="","",SUM($T1433:$AE1433))</f>
        <v/>
      </c>
      <c r="AG1433" s="43">
        <f>IF($B1433="","",N($M1433)-N($AF1433))</f>
        <v/>
      </c>
      <c r="AH1433" s="43">
        <f>IF($B1433="","",N($L1433)-N($AF1433))</f>
        <v/>
      </c>
      <c r="AI1433" s="149">
        <f>IF($B1433="","",IF(N($L1433)=0,"",(N($L1433)-N($AF1433))/N($L1433)))</f>
        <v/>
      </c>
    </row>
    <row r="1434">
      <c r="A1434" s="39">
        <f>IF($B1434="","",COUNTA($B$4:$B1434))</f>
        <v/>
      </c>
      <c r="B1434" s="40" t="n">
        <v>46183</v>
      </c>
      <c r="C1434" s="41" t="n">
        <v>3220</v>
      </c>
      <c r="D1434" s="41" t="inlineStr">
        <is>
          <t xml:space="preserve">بدوى صلاح </t>
        </is>
      </c>
      <c r="E1434" s="41" t="inlineStr">
        <is>
          <t>1*20</t>
        </is>
      </c>
      <c r="F1434" s="41" t="inlineStr">
        <is>
          <t xml:space="preserve">المصرية الالمانية </t>
        </is>
      </c>
      <c r="G1434" s="41" t="inlineStr">
        <is>
          <t>بنى سويف</t>
        </is>
      </c>
      <c r="H1434" s="41" t="inlineStr">
        <is>
          <t>267196/4</t>
        </is>
      </c>
      <c r="I1434" s="41" t="inlineStr">
        <is>
          <t>ب د ن 2193</t>
        </is>
      </c>
      <c r="J1434" s="41" t="inlineStr">
        <is>
          <t xml:space="preserve">احمد جاد </t>
        </is>
      </c>
      <c r="K1434" s="41" t="inlineStr">
        <is>
          <t xml:space="preserve">رومانى </t>
        </is>
      </c>
      <c r="L1434" s="42" t="n">
        <v>16500</v>
      </c>
      <c r="M1434" s="42" t="n">
        <v>9100</v>
      </c>
      <c r="N1434" s="42" t="n"/>
      <c r="O1434" s="42" t="n">
        <v>200</v>
      </c>
      <c r="P1434" s="42" t="n"/>
      <c r="Q1434" s="42" t="n"/>
      <c r="R1434" s="43">
        <f>IF($B1434="","",N($S1434)-N($Q1434))</f>
        <v/>
      </c>
      <c r="S1434" s="43">
        <f>IF($B1434="","",N($L1434)+N($N1434)+N($P1434))</f>
        <v/>
      </c>
      <c r="T1434" s="42" t="n"/>
      <c r="U1434" s="42" t="n"/>
      <c r="V1434" s="42" t="n"/>
      <c r="W1434" s="42" t="n"/>
      <c r="X1434" s="42" t="n"/>
      <c r="Y1434" s="42" t="n"/>
      <c r="Z1434" s="42" t="n"/>
      <c r="AA1434" s="42" t="n"/>
      <c r="AB1434" s="42" t="n"/>
      <c r="AC1434" s="42" t="n"/>
      <c r="AD1434" s="42" t="n"/>
      <c r="AE1434" s="42" t="n"/>
      <c r="AF1434" s="43">
        <f>IF($B1434="","",SUM($T1434:$AE1434))</f>
        <v/>
      </c>
      <c r="AG1434" s="43">
        <f>IF($B1434="","",N($M1434)-N($AF1434))</f>
        <v/>
      </c>
      <c r="AH1434" s="43">
        <f>IF($B1434="","",N($L1434)-N($AF1434))</f>
        <v/>
      </c>
      <c r="AI1434" s="149">
        <f>IF($B1434="","",IF(N($L1434)=0,"",(N($L1434)-N($AF1434))/N($L1434)))</f>
        <v/>
      </c>
    </row>
    <row r="1435">
      <c r="A1435" s="39">
        <f>IF($B1435="","",COUNTA($B$4:$B1435))</f>
        <v/>
      </c>
      <c r="B1435" s="45" t="n">
        <v>46183</v>
      </c>
      <c r="C1435" s="46" t="n">
        <v>3218</v>
      </c>
      <c r="D1435" s="46" t="inlineStr">
        <is>
          <t xml:space="preserve">استوريا </t>
        </is>
      </c>
      <c r="E1435" s="46" t="inlineStr">
        <is>
          <t>1*40</t>
        </is>
      </c>
      <c r="F1435" s="46" t="n"/>
      <c r="G1435" s="46" t="inlineStr">
        <is>
          <t xml:space="preserve">العاشر </t>
        </is>
      </c>
      <c r="H1435" s="46" t="inlineStr">
        <is>
          <t>574642/9</t>
        </is>
      </c>
      <c r="I1435" s="46" t="inlineStr">
        <is>
          <t>ب د ن 5486</t>
        </is>
      </c>
      <c r="J1435" s="46" t="inlineStr">
        <is>
          <t xml:space="preserve">هيثم عاطف </t>
        </is>
      </c>
      <c r="K1435" s="46" t="inlineStr">
        <is>
          <t>استوريا</t>
        </is>
      </c>
      <c r="L1435" s="47" t="n">
        <v>15300</v>
      </c>
      <c r="M1435" s="47" t="n">
        <v>8100</v>
      </c>
      <c r="N1435" s="47" t="n"/>
      <c r="O1435" s="47" t="n">
        <v>200</v>
      </c>
      <c r="P1435" s="47" t="n"/>
      <c r="Q1435" s="47" t="n"/>
      <c r="R1435" s="43">
        <f>IF($B1435="","",N($S1435)-N($Q1435))</f>
        <v/>
      </c>
      <c r="S1435" s="43">
        <f>IF($B1435="","",N($L1435)+N($N1435)+N($P1435))</f>
        <v/>
      </c>
      <c r="T1435" s="47" t="n"/>
      <c r="U1435" s="47" t="n"/>
      <c r="V1435" s="47" t="n"/>
      <c r="W1435" s="47" t="n"/>
      <c r="X1435" s="47" t="n"/>
      <c r="Y1435" s="47" t="n"/>
      <c r="Z1435" s="47" t="n"/>
      <c r="AA1435" s="47" t="n"/>
      <c r="AB1435" s="47" t="n"/>
      <c r="AC1435" s="47" t="n"/>
      <c r="AD1435" s="47" t="n"/>
      <c r="AE1435" s="47" t="n"/>
      <c r="AF1435" s="43">
        <f>IF($B1435="","",SUM($T1435:$AE1435))</f>
        <v/>
      </c>
      <c r="AG1435" s="43">
        <f>IF($B1435="","",N($M1435)-N($AF1435))</f>
        <v/>
      </c>
      <c r="AH1435" s="43">
        <f>IF($B1435="","",N($L1435)-N($AF1435))</f>
        <v/>
      </c>
      <c r="AI1435" s="149">
        <f>IF($B1435="","",IF(N($L1435)=0,"",(N($L1435)-N($AF1435))/N($L1435)))</f>
        <v/>
      </c>
    </row>
    <row r="1436">
      <c r="A1436" s="39">
        <f>IF($B1436="","",COUNTA($B$4:$B1436))</f>
        <v/>
      </c>
      <c r="B1436" s="40" t="n">
        <v>46183</v>
      </c>
      <c r="C1436" s="41" t="n">
        <v>3217</v>
      </c>
      <c r="D1436" s="41" t="inlineStr">
        <is>
          <t xml:space="preserve">استوريا </t>
        </is>
      </c>
      <c r="E1436" s="41" t="inlineStr">
        <is>
          <t>1*40</t>
        </is>
      </c>
      <c r="F1436" s="41" t="inlineStr">
        <is>
          <t xml:space="preserve">اورينت </t>
        </is>
      </c>
      <c r="G1436" s="41" t="inlineStr">
        <is>
          <t xml:space="preserve">العاشر </t>
        </is>
      </c>
      <c r="H1436" s="41" t="inlineStr">
        <is>
          <t>551216/0</t>
        </is>
      </c>
      <c r="I1436" s="41" t="inlineStr">
        <is>
          <t>ص ع ا 1496</t>
        </is>
      </c>
      <c r="J1436" s="41" t="inlineStr">
        <is>
          <t xml:space="preserve">عادل عبد العزيز </t>
        </is>
      </c>
      <c r="K1436" s="41" t="inlineStr">
        <is>
          <t>استوريا</t>
        </is>
      </c>
      <c r="L1436" s="42" t="n">
        <v>15300</v>
      </c>
      <c r="M1436" s="42" t="n">
        <v>8100</v>
      </c>
      <c r="N1436" s="42" t="n"/>
      <c r="O1436" s="42" t="n">
        <v>200</v>
      </c>
      <c r="P1436" s="42" t="n"/>
      <c r="Q1436" s="42" t="n"/>
      <c r="R1436" s="43">
        <f>IF($B1436="","",N($S1436)-N($Q1436))</f>
        <v/>
      </c>
      <c r="S1436" s="43">
        <f>IF($B1436="","",N($L1436)+N($N1436)+N($P1436))</f>
        <v/>
      </c>
      <c r="T1436" s="42" t="n"/>
      <c r="U1436" s="42" t="n"/>
      <c r="V1436" s="42" t="n"/>
      <c r="W1436" s="42" t="n"/>
      <c r="X1436" s="42" t="n"/>
      <c r="Y1436" s="42" t="n"/>
      <c r="Z1436" s="42" t="n"/>
      <c r="AA1436" s="42" t="n"/>
      <c r="AB1436" s="42" t="n"/>
      <c r="AC1436" s="42" t="n"/>
      <c r="AD1436" s="42" t="n"/>
      <c r="AE1436" s="42" t="n"/>
      <c r="AF1436" s="43">
        <f>IF($B1436="","",SUM($T1436:$AE1436))</f>
        <v/>
      </c>
      <c r="AG1436" s="43">
        <f>IF($B1436="","",N($M1436)-N($AF1436))</f>
        <v/>
      </c>
      <c r="AH1436" s="43">
        <f>IF($B1436="","",N($L1436)-N($AF1436))</f>
        <v/>
      </c>
      <c r="AI1436" s="149">
        <f>IF($B1436="","",IF(N($L1436)=0,"",(N($L1436)-N($AF1436))/N($L1436)))</f>
        <v/>
      </c>
    </row>
    <row r="1437">
      <c r="A1437" s="39">
        <f>IF($B1437="","",COUNTA($B$4:$B1437))</f>
        <v/>
      </c>
      <c r="B1437" s="45" t="n">
        <v>46183</v>
      </c>
      <c r="C1437" s="46" t="n">
        <v>3078</v>
      </c>
      <c r="D1437" s="46" t="inlineStr">
        <is>
          <t>صعيدى 6</t>
        </is>
      </c>
      <c r="E1437" s="46" t="inlineStr">
        <is>
          <t>2*20</t>
        </is>
      </c>
      <c r="F1437" s="46" t="inlineStr">
        <is>
          <t xml:space="preserve">اكما </t>
        </is>
      </c>
      <c r="G1437" s="46" t="inlineStr">
        <is>
          <t>بنى سويف</t>
        </is>
      </c>
      <c r="H1437" s="46" t="inlineStr">
        <is>
          <t>846927/0-163691/0</t>
        </is>
      </c>
      <c r="I1437" s="46" t="inlineStr">
        <is>
          <t>س ل ج 2521</t>
        </is>
      </c>
      <c r="J1437" s="46" t="inlineStr">
        <is>
          <t xml:space="preserve">احمد جمال </t>
        </is>
      </c>
      <c r="K1437" s="46" t="inlineStr">
        <is>
          <t xml:space="preserve">محمد الصعيدى </t>
        </is>
      </c>
      <c r="L1437" s="47" t="n">
        <v>25000</v>
      </c>
      <c r="M1437" s="47" t="n">
        <v>12100</v>
      </c>
      <c r="N1437" s="47" t="n"/>
      <c r="O1437" s="47" t="n">
        <v>200</v>
      </c>
      <c r="P1437" s="47" t="n"/>
      <c r="Q1437" s="47" t="n"/>
      <c r="R1437" s="43">
        <f>IF($B1437="","",N($S1437)-N($Q1437))</f>
        <v/>
      </c>
      <c r="S1437" s="43">
        <f>IF($B1437="","",N($L1437)+N($N1437)+N($P1437))</f>
        <v/>
      </c>
      <c r="T1437" s="47" t="n"/>
      <c r="U1437" s="47" t="n"/>
      <c r="V1437" s="47" t="n"/>
      <c r="W1437" s="47" t="n"/>
      <c r="X1437" s="47" t="n"/>
      <c r="Y1437" s="47" t="n"/>
      <c r="Z1437" s="47" t="n"/>
      <c r="AA1437" s="47" t="n"/>
      <c r="AB1437" s="47" t="n"/>
      <c r="AC1437" s="47" t="n"/>
      <c r="AD1437" s="47" t="n"/>
      <c r="AE1437" s="47" t="n"/>
      <c r="AF1437" s="43">
        <f>IF($B1437="","",SUM($T1437:$AE1437))</f>
        <v/>
      </c>
      <c r="AG1437" s="43">
        <f>IF($B1437="","",N($M1437)-N($AF1437))</f>
        <v/>
      </c>
      <c r="AH1437" s="43">
        <f>IF($B1437="","",N($L1437)-N($AF1437))</f>
        <v/>
      </c>
      <c r="AI1437" s="149">
        <f>IF($B1437="","",IF(N($L1437)=0,"",(N($L1437)-N($AF1437))/N($L1437)))</f>
        <v/>
      </c>
    </row>
    <row r="1438">
      <c r="A1438" s="39">
        <f>IF($B1438="","",COUNTA($B$4:$B1438))</f>
        <v/>
      </c>
      <c r="B1438" s="40" t="n">
        <v>46183</v>
      </c>
      <c r="C1438" s="41" t="n">
        <v>3079</v>
      </c>
      <c r="D1438" s="41" t="inlineStr">
        <is>
          <t>صعيدى 6</t>
        </is>
      </c>
      <c r="E1438" s="41" t="inlineStr">
        <is>
          <t>2*20</t>
        </is>
      </c>
      <c r="F1438" s="41" t="inlineStr">
        <is>
          <t xml:space="preserve">اكما </t>
        </is>
      </c>
      <c r="G1438" s="41" t="inlineStr">
        <is>
          <t>بنى سويف</t>
        </is>
      </c>
      <c r="H1438" s="41" t="inlineStr">
        <is>
          <t>033953/7-113235/9</t>
        </is>
      </c>
      <c r="I1438" s="41" t="inlineStr">
        <is>
          <t>س ه ف 1874</t>
        </is>
      </c>
      <c r="J1438" s="41" t="inlineStr">
        <is>
          <t xml:space="preserve">باسم عبد السلام </t>
        </is>
      </c>
      <c r="K1438" s="41" t="inlineStr">
        <is>
          <t xml:space="preserve">محمد الصعيدى </t>
        </is>
      </c>
      <c r="L1438" s="42" t="n">
        <v>25000</v>
      </c>
      <c r="M1438" s="42" t="n">
        <v>12100</v>
      </c>
      <c r="N1438" s="42" t="n"/>
      <c r="O1438" s="42" t="n">
        <v>200</v>
      </c>
      <c r="P1438" s="42" t="n"/>
      <c r="Q1438" s="42" t="n"/>
      <c r="R1438" s="43">
        <f>IF($B1438="","",N($S1438)-N($Q1438))</f>
        <v/>
      </c>
      <c r="S1438" s="43">
        <f>IF($B1438="","",N($L1438)+N($N1438)+N($P1438))</f>
        <v/>
      </c>
      <c r="T1438" s="42" t="n"/>
      <c r="U1438" s="42" t="n"/>
      <c r="V1438" s="42" t="n"/>
      <c r="W1438" s="42" t="n"/>
      <c r="X1438" s="42" t="n"/>
      <c r="Y1438" s="42" t="n"/>
      <c r="Z1438" s="42" t="n"/>
      <c r="AA1438" s="42" t="n"/>
      <c r="AB1438" s="42" t="n"/>
      <c r="AC1438" s="42" t="n"/>
      <c r="AD1438" s="42" t="n"/>
      <c r="AE1438" s="42" t="n"/>
      <c r="AF1438" s="43">
        <f>IF($B1438="","",SUM($T1438:$AE1438))</f>
        <v/>
      </c>
      <c r="AG1438" s="43">
        <f>IF($B1438="","",N($M1438)-N($AF1438))</f>
        <v/>
      </c>
      <c r="AH1438" s="43">
        <f>IF($B1438="","",N($L1438)-N($AF1438))</f>
        <v/>
      </c>
      <c r="AI1438" s="149">
        <f>IF($B1438="","",IF(N($L1438)=0,"",(N($L1438)-N($AF1438))/N($L1438)))</f>
        <v/>
      </c>
    </row>
    <row r="1439">
      <c r="A1439" s="39">
        <f>IF($B1439="","",COUNTA($B$4:$B1439))</f>
        <v/>
      </c>
      <c r="B1439" s="45" t="n">
        <v>46183</v>
      </c>
      <c r="C1439" s="46" t="n">
        <v>2892</v>
      </c>
      <c r="D1439" s="46" t="n"/>
      <c r="E1439" s="46" t="inlineStr">
        <is>
          <t>1*40</t>
        </is>
      </c>
      <c r="F1439" s="46" t="inlineStr">
        <is>
          <t xml:space="preserve">ريجينا </t>
        </is>
      </c>
      <c r="G1439" s="46" t="inlineStr">
        <is>
          <t xml:space="preserve">السادات </t>
        </is>
      </c>
      <c r="H1439" s="46" t="inlineStr">
        <is>
          <t>445387/5</t>
        </is>
      </c>
      <c r="I1439" s="46" t="inlineStr">
        <is>
          <t>س ص ا 2259</t>
        </is>
      </c>
      <c r="J1439" s="46" t="inlineStr">
        <is>
          <t xml:space="preserve">سعيد عبد الرازق </t>
        </is>
      </c>
      <c r="K1439" s="46" t="inlineStr">
        <is>
          <t xml:space="preserve">صفيحة </t>
        </is>
      </c>
      <c r="L1439" s="47" t="n">
        <v>12800</v>
      </c>
      <c r="M1439" s="47" t="n">
        <v>7100</v>
      </c>
      <c r="N1439" s="47" t="n"/>
      <c r="O1439" s="47" t="n">
        <v>200</v>
      </c>
      <c r="P1439" s="47" t="n"/>
      <c r="Q1439" s="47" t="n"/>
      <c r="R1439" s="43">
        <f>IF($B1439="","",N($S1439)-N($Q1439))</f>
        <v/>
      </c>
      <c r="S1439" s="43">
        <f>IF($B1439="","",N($L1439)+N($N1439)+N($P1439))</f>
        <v/>
      </c>
      <c r="T1439" s="47" t="n"/>
      <c r="U1439" s="47" t="n"/>
      <c r="V1439" s="47" t="n"/>
      <c r="W1439" s="47" t="n"/>
      <c r="X1439" s="47" t="n"/>
      <c r="Y1439" s="47" t="n"/>
      <c r="Z1439" s="47" t="n"/>
      <c r="AA1439" s="47" t="n"/>
      <c r="AB1439" s="47" t="n"/>
      <c r="AC1439" s="47" t="n"/>
      <c r="AD1439" s="47" t="n"/>
      <c r="AE1439" s="47" t="n"/>
      <c r="AF1439" s="43">
        <f>IF($B1439="","",SUM($T1439:$AE1439))</f>
        <v/>
      </c>
      <c r="AG1439" s="43">
        <f>IF($B1439="","",N($M1439)-N($AF1439))</f>
        <v/>
      </c>
      <c r="AH1439" s="43">
        <f>IF($B1439="","",N($L1439)-N($AF1439))</f>
        <v/>
      </c>
      <c r="AI1439" s="149">
        <f>IF($B1439="","",IF(N($L1439)=0,"",(N($L1439)-N($AF1439))/N($L1439)))</f>
        <v/>
      </c>
    </row>
    <row r="1440">
      <c r="A1440" s="39">
        <f>IF($B1440="","",COUNTA($B$4:$B1440))</f>
        <v/>
      </c>
      <c r="B1440" s="40" t="n">
        <v>46183</v>
      </c>
      <c r="C1440" s="41" t="n">
        <v>2891</v>
      </c>
      <c r="D1440" s="41" t="n"/>
      <c r="E1440" s="41" t="inlineStr">
        <is>
          <t>1*40</t>
        </is>
      </c>
      <c r="F1440" s="41" t="inlineStr">
        <is>
          <t xml:space="preserve">ريجينا </t>
        </is>
      </c>
      <c r="G1440" s="41" t="inlineStr">
        <is>
          <t xml:space="preserve">السادات </t>
        </is>
      </c>
      <c r="H1440" s="41" t="inlineStr">
        <is>
          <t>449879/8</t>
        </is>
      </c>
      <c r="I1440" s="41" t="inlineStr">
        <is>
          <t>ب ق ر 3628</t>
        </is>
      </c>
      <c r="J1440" s="41" t="inlineStr">
        <is>
          <t xml:space="preserve">احمد الجهينى </t>
        </is>
      </c>
      <c r="K1440" s="41" t="inlineStr">
        <is>
          <t xml:space="preserve">عوض </t>
        </is>
      </c>
      <c r="L1440" s="42" t="n">
        <v>12800</v>
      </c>
      <c r="M1440" s="42" t="n">
        <v>7100</v>
      </c>
      <c r="N1440" s="42" t="n"/>
      <c r="O1440" s="42" t="n">
        <v>200</v>
      </c>
      <c r="P1440" s="42" t="n"/>
      <c r="Q1440" s="42" t="n"/>
      <c r="R1440" s="43">
        <f>IF($B1440="","",N($S1440)-N($Q1440))</f>
        <v/>
      </c>
      <c r="S1440" s="43">
        <f>IF($B1440="","",N($L1440)+N($N1440)+N($P1440))</f>
        <v/>
      </c>
      <c r="T1440" s="42" t="n"/>
      <c r="U1440" s="42" t="n"/>
      <c r="V1440" s="42" t="n"/>
      <c r="W1440" s="42" t="n"/>
      <c r="X1440" s="42" t="n"/>
      <c r="Y1440" s="42" t="n"/>
      <c r="Z1440" s="42" t="n"/>
      <c r="AA1440" s="42" t="n"/>
      <c r="AB1440" s="42" t="n"/>
      <c r="AC1440" s="42" t="n"/>
      <c r="AD1440" s="42" t="n"/>
      <c r="AE1440" s="42" t="n"/>
      <c r="AF1440" s="43">
        <f>IF($B1440="","",SUM($T1440:$AE1440))</f>
        <v/>
      </c>
      <c r="AG1440" s="43">
        <f>IF($B1440="","",N($M1440)-N($AF1440))</f>
        <v/>
      </c>
      <c r="AH1440" s="43">
        <f>IF($B1440="","",N($L1440)-N($AF1440))</f>
        <v/>
      </c>
      <c r="AI1440" s="149">
        <f>IF($B1440="","",IF(N($L1440)=0,"",(N($L1440)-N($AF1440))/N($L1440)))</f>
        <v/>
      </c>
    </row>
    <row r="1441">
      <c r="A1441" s="39">
        <f>IF($B1441="","",COUNTA($B$4:$B1441))</f>
        <v/>
      </c>
      <c r="B1441" s="45" t="n">
        <v>46183</v>
      </c>
      <c r="C1441" s="46" t="n">
        <v>2890</v>
      </c>
      <c r="D1441" s="46" t="n"/>
      <c r="E1441" s="46" t="inlineStr">
        <is>
          <t>1*40</t>
        </is>
      </c>
      <c r="F1441" s="46" t="inlineStr">
        <is>
          <t xml:space="preserve">ريجينا </t>
        </is>
      </c>
      <c r="G1441" s="46" t="inlineStr">
        <is>
          <t xml:space="preserve">السادات </t>
        </is>
      </c>
      <c r="H1441" s="46" t="inlineStr">
        <is>
          <t>447278/8</t>
        </is>
      </c>
      <c r="I1441" s="46" t="inlineStr">
        <is>
          <t>س ه ر 1125</t>
        </is>
      </c>
      <c r="J1441" s="46" t="inlineStr">
        <is>
          <t xml:space="preserve">ماهر عبد الله </t>
        </is>
      </c>
      <c r="K1441" s="46" t="inlineStr">
        <is>
          <t xml:space="preserve">عوض </t>
        </is>
      </c>
      <c r="L1441" s="47" t="n">
        <v>12800</v>
      </c>
      <c r="M1441" s="47" t="n">
        <v>7100</v>
      </c>
      <c r="N1441" s="47" t="n"/>
      <c r="O1441" s="47" t="n">
        <v>200</v>
      </c>
      <c r="P1441" s="47" t="n"/>
      <c r="Q1441" s="47" t="n"/>
      <c r="R1441" s="43">
        <f>IF($B1441="","",N($S1441)-N($Q1441))</f>
        <v/>
      </c>
      <c r="S1441" s="43">
        <f>IF($B1441="","",N($L1441)+N($N1441)+N($P1441))</f>
        <v/>
      </c>
      <c r="T1441" s="47" t="n"/>
      <c r="U1441" s="47" t="n"/>
      <c r="V1441" s="47" t="n"/>
      <c r="W1441" s="47" t="n"/>
      <c r="X1441" s="47" t="n"/>
      <c r="Y1441" s="47" t="n"/>
      <c r="Z1441" s="47" t="n"/>
      <c r="AA1441" s="47" t="n"/>
      <c r="AB1441" s="47" t="n"/>
      <c r="AC1441" s="47" t="n"/>
      <c r="AD1441" s="47" t="n"/>
      <c r="AE1441" s="47" t="n"/>
      <c r="AF1441" s="43">
        <f>IF($B1441="","",SUM($T1441:$AE1441))</f>
        <v/>
      </c>
      <c r="AG1441" s="43">
        <f>IF($B1441="","",N($M1441)-N($AF1441))</f>
        <v/>
      </c>
      <c r="AH1441" s="43">
        <f>IF($B1441="","",N($L1441)-N($AF1441))</f>
        <v/>
      </c>
      <c r="AI1441" s="149">
        <f>IF($B1441="","",IF(N($L1441)=0,"",(N($L1441)-N($AF1441))/N($L1441)))</f>
        <v/>
      </c>
    </row>
    <row r="1442">
      <c r="A1442" s="39">
        <f>IF($B1442="","",COUNTA($B$4:$B1442))</f>
        <v/>
      </c>
      <c r="B1442" s="40" t="n">
        <v>46183</v>
      </c>
      <c r="C1442" s="41" t="n">
        <v>2888</v>
      </c>
      <c r="D1442" s="41" t="inlineStr">
        <is>
          <t xml:space="preserve">احمد عبدو </t>
        </is>
      </c>
      <c r="E1442" s="41" t="inlineStr">
        <is>
          <t>1*40</t>
        </is>
      </c>
      <c r="F1442" s="41" t="inlineStr">
        <is>
          <t xml:space="preserve">ريجينا </t>
        </is>
      </c>
      <c r="G1442" s="41" t="inlineStr">
        <is>
          <t xml:space="preserve">السادات </t>
        </is>
      </c>
      <c r="H1442" s="41" t="inlineStr">
        <is>
          <t>448566/1</t>
        </is>
      </c>
      <c r="I1442" s="41" t="inlineStr">
        <is>
          <t>س ن ف 9371</t>
        </is>
      </c>
      <c r="J1442" s="41" t="inlineStr">
        <is>
          <t xml:space="preserve">ابصيرى ابراهيم </t>
        </is>
      </c>
      <c r="K1442" s="41" t="inlineStr">
        <is>
          <t xml:space="preserve">ابراهيم الشندويلى </t>
        </is>
      </c>
      <c r="L1442" s="42" t="n">
        <v>12800</v>
      </c>
      <c r="M1442" s="42" t="n">
        <v>7100</v>
      </c>
      <c r="N1442" s="42" t="n"/>
      <c r="O1442" s="42" t="n">
        <v>200</v>
      </c>
      <c r="P1442" s="42" t="n"/>
      <c r="Q1442" s="42" t="n"/>
      <c r="R1442" s="43">
        <f>IF($B1442="","",N($S1442)-N($Q1442))</f>
        <v/>
      </c>
      <c r="S1442" s="43">
        <f>IF($B1442="","",N($L1442)+N($N1442)+N($P1442))</f>
        <v/>
      </c>
      <c r="T1442" s="42" t="n"/>
      <c r="U1442" s="42" t="n"/>
      <c r="V1442" s="42" t="n"/>
      <c r="W1442" s="42" t="n"/>
      <c r="X1442" s="42" t="n"/>
      <c r="Y1442" s="42" t="n"/>
      <c r="Z1442" s="42" t="n"/>
      <c r="AA1442" s="42" t="n"/>
      <c r="AB1442" s="42" t="n"/>
      <c r="AC1442" s="42" t="n"/>
      <c r="AD1442" s="42" t="n"/>
      <c r="AE1442" s="42" t="n"/>
      <c r="AF1442" s="43">
        <f>IF($B1442="","",SUM($T1442:$AE1442))</f>
        <v/>
      </c>
      <c r="AG1442" s="43">
        <f>IF($B1442="","",N($M1442)-N($AF1442))</f>
        <v/>
      </c>
      <c r="AH1442" s="43">
        <f>IF($B1442="","",N($L1442)-N($AF1442))</f>
        <v/>
      </c>
      <c r="AI1442" s="149">
        <f>IF($B1442="","",IF(N($L1442)=0,"",(N($L1442)-N($AF1442))/N($L1442)))</f>
        <v/>
      </c>
    </row>
    <row r="1443">
      <c r="A1443" s="39">
        <f>IF($B1443="","",COUNTA($B$4:$B1443))</f>
        <v/>
      </c>
      <c r="B1443" s="45" t="n">
        <v>46183</v>
      </c>
      <c r="C1443" s="46" t="n">
        <v>2889</v>
      </c>
      <c r="D1443" s="46" t="inlineStr">
        <is>
          <t xml:space="preserve">عم كامل </t>
        </is>
      </c>
      <c r="E1443" s="46" t="inlineStr">
        <is>
          <t>1*40</t>
        </is>
      </c>
      <c r="F1443" s="46" t="inlineStr">
        <is>
          <t xml:space="preserve">ريجينا </t>
        </is>
      </c>
      <c r="G1443" s="46" t="inlineStr">
        <is>
          <t>السادات</t>
        </is>
      </c>
      <c r="H1443" s="46" t="inlineStr">
        <is>
          <t>449420/1</t>
        </is>
      </c>
      <c r="I1443" s="46" t="inlineStr">
        <is>
          <t>ص م ى 3925</t>
        </is>
      </c>
      <c r="J1443" s="46" t="inlineStr">
        <is>
          <t xml:space="preserve">عادل علام </t>
        </is>
      </c>
      <c r="K1443" s="46" t="inlineStr">
        <is>
          <t xml:space="preserve">ايمن الزوقزوق </t>
        </is>
      </c>
      <c r="L1443" s="47" t="n">
        <v>12800</v>
      </c>
      <c r="M1443" s="47" t="n">
        <v>7100</v>
      </c>
      <c r="N1443" s="47" t="n"/>
      <c r="O1443" s="47" t="n">
        <v>200</v>
      </c>
      <c r="P1443" s="47" t="n"/>
      <c r="Q1443" s="47" t="n"/>
      <c r="R1443" s="43">
        <f>IF($B1443="","",N($S1443)-N($Q1443))</f>
        <v/>
      </c>
      <c r="S1443" s="43">
        <f>IF($B1443="","",N($L1443)+N($N1443)+N($P1443))</f>
        <v/>
      </c>
      <c r="T1443" s="47" t="n"/>
      <c r="U1443" s="47" t="n"/>
      <c r="V1443" s="47" t="n"/>
      <c r="W1443" s="47" t="n"/>
      <c r="X1443" s="47" t="n"/>
      <c r="Y1443" s="47" t="n"/>
      <c r="Z1443" s="47" t="n"/>
      <c r="AA1443" s="47" t="n"/>
      <c r="AB1443" s="47" t="n"/>
      <c r="AC1443" s="47" t="n"/>
      <c r="AD1443" s="47" t="n"/>
      <c r="AE1443" s="47" t="n"/>
      <c r="AF1443" s="43">
        <f>IF($B1443="","",SUM($T1443:$AE1443))</f>
        <v/>
      </c>
      <c r="AG1443" s="43">
        <f>IF($B1443="","",N($M1443)-N($AF1443))</f>
        <v/>
      </c>
      <c r="AH1443" s="43">
        <f>IF($B1443="","",N($L1443)-N($AF1443))</f>
        <v/>
      </c>
      <c r="AI1443" s="149">
        <f>IF($B1443="","",IF(N($L1443)=0,"",(N($L1443)-N($AF1443))/N($L1443)))</f>
        <v/>
      </c>
    </row>
    <row r="1444">
      <c r="A1444" s="39">
        <f>IF($B1444="","",COUNTA($B$4:$B1444))</f>
        <v/>
      </c>
      <c r="B1444" s="40" t="n">
        <v>46183</v>
      </c>
      <c r="C1444" s="41" t="n">
        <v>3229</v>
      </c>
      <c r="D1444" s="41" t="inlineStr">
        <is>
          <t xml:space="preserve">احمد محسن </t>
        </is>
      </c>
      <c r="E1444" s="41" t="inlineStr">
        <is>
          <t>1*40</t>
        </is>
      </c>
      <c r="F1444" s="41" t="inlineStr">
        <is>
          <t xml:space="preserve">ناتورالى </t>
        </is>
      </c>
      <c r="G1444" s="41" t="inlineStr">
        <is>
          <t xml:space="preserve">ابيس </t>
        </is>
      </c>
      <c r="H1444" s="41" t="inlineStr">
        <is>
          <t>160905//0</t>
        </is>
      </c>
      <c r="I1444" s="41" t="inlineStr">
        <is>
          <t>س ه ف 1387</t>
        </is>
      </c>
      <c r="J1444" s="41" t="inlineStr">
        <is>
          <t xml:space="preserve">عصام  المغربى </t>
        </is>
      </c>
      <c r="K1444" s="41" t="inlineStr">
        <is>
          <t xml:space="preserve">احمد محسن </t>
        </is>
      </c>
      <c r="L1444" s="42" t="n">
        <v>6000</v>
      </c>
      <c r="M1444" s="42" t="n">
        <v>5100</v>
      </c>
      <c r="N1444" s="42" t="n"/>
      <c r="O1444" s="42" t="n"/>
      <c r="P1444" s="42" t="n"/>
      <c r="Q1444" s="42" t="n"/>
      <c r="R1444" s="43">
        <f>IF($B1444="","",N($S1444)-N($Q1444))</f>
        <v/>
      </c>
      <c r="S1444" s="43">
        <f>IF($B1444="","",N($L1444)+N($N1444)+N($P1444))</f>
        <v/>
      </c>
      <c r="T1444" s="42" t="n"/>
      <c r="U1444" s="42" t="n"/>
      <c r="V1444" s="42" t="n"/>
      <c r="W1444" s="42" t="n"/>
      <c r="X1444" s="42" t="n"/>
      <c r="Y1444" s="42" t="n"/>
      <c r="Z1444" s="42" t="n"/>
      <c r="AA1444" s="42" t="n"/>
      <c r="AB1444" s="42" t="n"/>
      <c r="AC1444" s="42" t="n"/>
      <c r="AD1444" s="42" t="n"/>
      <c r="AE1444" s="42" t="n"/>
      <c r="AF1444" s="43">
        <f>IF($B1444="","",SUM($T1444:$AE1444))</f>
        <v/>
      </c>
      <c r="AG1444" s="43">
        <f>IF($B1444="","",N($M1444)-N($AF1444))</f>
        <v/>
      </c>
      <c r="AH1444" s="43">
        <f>IF($B1444="","",N($L1444)-N($AF1444))</f>
        <v/>
      </c>
      <c r="AI1444" s="149">
        <f>IF($B1444="","",IF(N($L1444)=0,"",(N($L1444)-N($AF1444))/N($L1444)))</f>
        <v/>
      </c>
    </row>
    <row r="1445">
      <c r="A1445" s="39">
        <f>IF($B1445="","",COUNTA($B$4:$B1445))</f>
        <v/>
      </c>
      <c r="B1445" s="45" t="n">
        <v>46183</v>
      </c>
      <c r="C1445" s="46" t="n">
        <v>3239</v>
      </c>
      <c r="D1445" s="46" t="inlineStr">
        <is>
          <t>المكتب</t>
        </is>
      </c>
      <c r="E1445" s="46" t="inlineStr">
        <is>
          <t>1*40</t>
        </is>
      </c>
      <c r="F1445" s="46" t="inlineStr">
        <is>
          <t xml:space="preserve">ناتورالى </t>
        </is>
      </c>
      <c r="G1445" s="46" t="inlineStr">
        <is>
          <t xml:space="preserve">ابيس </t>
        </is>
      </c>
      <c r="H1445" s="46" t="inlineStr">
        <is>
          <t>93703/0</t>
        </is>
      </c>
      <c r="I1445" s="46" t="inlineStr">
        <is>
          <t xml:space="preserve">س ع م 8737 </t>
        </is>
      </c>
      <c r="J1445" s="46" t="inlineStr">
        <is>
          <t xml:space="preserve">جلال حسنى </t>
        </is>
      </c>
      <c r="K1445" s="46" t="inlineStr">
        <is>
          <t xml:space="preserve">المكتب </t>
        </is>
      </c>
      <c r="L1445" s="47" t="n">
        <v>6000</v>
      </c>
      <c r="M1445" s="47" t="n">
        <v>2000</v>
      </c>
      <c r="N1445" s="47" t="n"/>
      <c r="O1445" s="47" t="n"/>
      <c r="P1445" s="47" t="n"/>
      <c r="Q1445" s="47" t="n">
        <v>4000</v>
      </c>
      <c r="R1445" s="43">
        <f>IF($B1445="","",N($S1445)-N($Q1445))</f>
        <v/>
      </c>
      <c r="S1445" s="43">
        <f>IF($B1445="","",N($L1445)+N($N1445)+N($P1445))</f>
        <v/>
      </c>
      <c r="T1445" s="47" t="n"/>
      <c r="U1445" s="47" t="n"/>
      <c r="V1445" s="47" t="n"/>
      <c r="W1445" s="47" t="n"/>
      <c r="X1445" s="47" t="n"/>
      <c r="Y1445" s="47" t="n"/>
      <c r="Z1445" s="47" t="n"/>
      <c r="AA1445" s="47" t="n"/>
      <c r="AB1445" s="47" t="n"/>
      <c r="AC1445" s="47" t="n"/>
      <c r="AD1445" s="47" t="n"/>
      <c r="AE1445" s="47" t="n"/>
      <c r="AF1445" s="43">
        <f>IF($B1445="","",SUM($T1445:$AE1445))</f>
        <v/>
      </c>
      <c r="AG1445" s="43">
        <f>IF($B1445="","",N($M1445)-N($AF1445))</f>
        <v/>
      </c>
      <c r="AH1445" s="43">
        <f>IF($B1445="","",N($L1445)-N($AF1445))</f>
        <v/>
      </c>
      <c r="AI1445" s="149">
        <f>IF($B1445="","",IF(N($L1445)=0,"",(N($L1445)-N($AF1445))/N($L1445)))</f>
        <v/>
      </c>
    </row>
    <row r="1446">
      <c r="A1446" s="39">
        <f>IF($B1446="","",COUNTA($B$4:$B1446))</f>
        <v/>
      </c>
      <c r="B1446" s="40" t="n">
        <v>46183</v>
      </c>
      <c r="C1446" s="41" t="n">
        <v>3180</v>
      </c>
      <c r="D1446" s="41" t="inlineStr">
        <is>
          <t>المكتب</t>
        </is>
      </c>
      <c r="E1446" s="41" t="inlineStr">
        <is>
          <t>1*40</t>
        </is>
      </c>
      <c r="F1446" s="41" t="inlineStr">
        <is>
          <t xml:space="preserve">ناتورالى </t>
        </is>
      </c>
      <c r="G1446" s="41" t="inlineStr">
        <is>
          <t xml:space="preserve">اكتوبر </t>
        </is>
      </c>
      <c r="H1446" s="41" t="inlineStr">
        <is>
          <t>724069/1</t>
        </is>
      </c>
      <c r="I1446" s="41" t="inlineStr">
        <is>
          <t>س ع ه 8737</t>
        </is>
      </c>
      <c r="J1446" s="41" t="inlineStr">
        <is>
          <t xml:space="preserve">جلال حسنى </t>
        </is>
      </c>
      <c r="K1446" s="41" t="inlineStr">
        <is>
          <t xml:space="preserve">المكتب </t>
        </is>
      </c>
      <c r="L1446" s="42" t="n">
        <v>13800</v>
      </c>
      <c r="M1446" s="42" t="n">
        <v>3000</v>
      </c>
      <c r="N1446" s="42" t="n"/>
      <c r="O1446" s="42" t="n"/>
      <c r="P1446" s="42" t="n"/>
      <c r="Q1446" s="42" t="n">
        <v>10800</v>
      </c>
      <c r="R1446" s="43">
        <f>IF($B1446="","",N($S1446)-N($Q1446))</f>
        <v/>
      </c>
      <c r="S1446" s="43">
        <f>IF($B1446="","",N($L1446)+N($N1446)+N($P1446))</f>
        <v/>
      </c>
      <c r="T1446" s="42" t="n"/>
      <c r="U1446" s="42" t="n"/>
      <c r="V1446" s="42" t="n"/>
      <c r="W1446" s="42" t="n"/>
      <c r="X1446" s="42" t="n"/>
      <c r="Y1446" s="42" t="n"/>
      <c r="Z1446" s="42" t="n"/>
      <c r="AA1446" s="42" t="n"/>
      <c r="AB1446" s="42" t="n"/>
      <c r="AC1446" s="42" t="n"/>
      <c r="AD1446" s="42" t="n"/>
      <c r="AE1446" s="42" t="n"/>
      <c r="AF1446" s="43">
        <f>IF($B1446="","",SUM($T1446:$AE1446))</f>
        <v/>
      </c>
      <c r="AG1446" s="43">
        <f>IF($B1446="","",N($M1446)-N($AF1446))</f>
        <v/>
      </c>
      <c r="AH1446" s="43">
        <f>IF($B1446="","",N($L1446)-N($AF1446))</f>
        <v/>
      </c>
      <c r="AI1446" s="149">
        <f>IF($B1446="","",IF(N($L1446)=0,"",(N($L1446)-N($AF1446))/N($L1446)))</f>
        <v/>
      </c>
    </row>
    <row r="1447">
      <c r="A1447" s="39">
        <f>IF($B1447="","",COUNTA($B$4:$B1447))</f>
        <v/>
      </c>
      <c r="B1447" s="45" t="n">
        <v>46185</v>
      </c>
      <c r="C1447" s="46" t="n">
        <v>3176</v>
      </c>
      <c r="D1447" s="46" t="inlineStr">
        <is>
          <t xml:space="preserve">الانصارى </t>
        </is>
      </c>
      <c r="E1447" s="46" t="inlineStr">
        <is>
          <t>1*40</t>
        </is>
      </c>
      <c r="F1447" s="46" t="inlineStr">
        <is>
          <t xml:space="preserve">ناتورالى </t>
        </is>
      </c>
      <c r="G1447" s="46" t="inlineStr">
        <is>
          <t xml:space="preserve">اكتوبر </t>
        </is>
      </c>
      <c r="H1447" s="46" t="inlineStr">
        <is>
          <t>801331/8</t>
        </is>
      </c>
      <c r="I1447" s="46" t="inlineStr">
        <is>
          <t>ط ف ر 1474</t>
        </is>
      </c>
      <c r="J1447" s="46" t="inlineStr">
        <is>
          <t xml:space="preserve">جمال على </t>
        </is>
      </c>
      <c r="K1447" s="46" t="inlineStr">
        <is>
          <t xml:space="preserve">كريم خليف </t>
        </is>
      </c>
      <c r="L1447" s="47" t="n">
        <v>13800</v>
      </c>
      <c r="M1447" s="47" t="n">
        <v>8100</v>
      </c>
      <c r="N1447" s="47" t="n"/>
      <c r="O1447" s="47" t="n">
        <v>200</v>
      </c>
      <c r="P1447" s="47" t="n"/>
      <c r="Q1447" s="47" t="n"/>
      <c r="R1447" s="43">
        <f>IF($B1447="","",N($S1447)-N($Q1447))</f>
        <v/>
      </c>
      <c r="S1447" s="43">
        <f>IF($B1447="","",N($L1447)+N($N1447)+N($P1447))</f>
        <v/>
      </c>
      <c r="T1447" s="47" t="n"/>
      <c r="U1447" s="47" t="n"/>
      <c r="V1447" s="47" t="n"/>
      <c r="W1447" s="47" t="n"/>
      <c r="X1447" s="47" t="n"/>
      <c r="Y1447" s="47" t="n"/>
      <c r="Z1447" s="47" t="n"/>
      <c r="AA1447" s="47" t="n"/>
      <c r="AB1447" s="47" t="n"/>
      <c r="AC1447" s="47" t="n"/>
      <c r="AD1447" s="47" t="n"/>
      <c r="AE1447" s="47" t="n"/>
      <c r="AF1447" s="43">
        <f>IF($B1447="","",SUM($T1447:$AE1447))</f>
        <v/>
      </c>
      <c r="AG1447" s="43">
        <f>IF($B1447="","",N($M1447)-N($AF1447))</f>
        <v/>
      </c>
      <c r="AH1447" s="43">
        <f>IF($B1447="","",N($L1447)-N($AF1447))</f>
        <v/>
      </c>
      <c r="AI1447" s="149">
        <f>IF($B1447="","",IF(N($L1447)=0,"",(N($L1447)-N($AF1447))/N($L1447)))</f>
        <v/>
      </c>
    </row>
    <row r="1448">
      <c r="A1448" s="39">
        <f>IF($B1448="","",COUNTA($B$4:$B1448))</f>
        <v/>
      </c>
      <c r="B1448" s="40" t="n">
        <v>46185</v>
      </c>
      <c r="C1448" s="41" t="n">
        <v>3177</v>
      </c>
      <c r="D1448" s="41" t="inlineStr">
        <is>
          <t xml:space="preserve">محمد يحى </t>
        </is>
      </c>
      <c r="E1448" s="41" t="inlineStr">
        <is>
          <t>1*40</t>
        </is>
      </c>
      <c r="F1448" s="41" t="inlineStr">
        <is>
          <t xml:space="preserve">ناتورالى </t>
        </is>
      </c>
      <c r="G1448" s="41" t="inlineStr">
        <is>
          <t xml:space="preserve">اكتوبر </t>
        </is>
      </c>
      <c r="H1448" s="41" t="inlineStr">
        <is>
          <t>841923/0</t>
        </is>
      </c>
      <c r="I1448" s="41" t="inlineStr">
        <is>
          <t>س ن ر 4992</t>
        </is>
      </c>
      <c r="J1448" s="41" t="inlineStr">
        <is>
          <t xml:space="preserve">هشام رجب </t>
        </is>
      </c>
      <c r="K1448" s="41" t="inlineStr">
        <is>
          <t xml:space="preserve">ابراهيم القها </t>
        </is>
      </c>
      <c r="L1448" s="42" t="n">
        <v>13800</v>
      </c>
      <c r="M1448" s="42" t="n">
        <v>8100</v>
      </c>
      <c r="N1448" s="42" t="n"/>
      <c r="O1448" s="42" t="n">
        <v>200</v>
      </c>
      <c r="P1448" s="42" t="n"/>
      <c r="Q1448" s="42" t="n"/>
      <c r="R1448" s="43">
        <f>IF($B1448="","",N($S1448)-N($Q1448))</f>
        <v/>
      </c>
      <c r="S1448" s="43">
        <f>IF($B1448="","",N($L1448)+N($N1448)+N($P1448))</f>
        <v/>
      </c>
      <c r="T1448" s="42" t="n"/>
      <c r="U1448" s="42" t="n"/>
      <c r="V1448" s="42" t="n"/>
      <c r="W1448" s="42" t="n"/>
      <c r="X1448" s="42" t="n"/>
      <c r="Y1448" s="42" t="n"/>
      <c r="Z1448" s="42" t="n"/>
      <c r="AA1448" s="42" t="n"/>
      <c r="AB1448" s="42" t="n"/>
      <c r="AC1448" s="42" t="n"/>
      <c r="AD1448" s="42" t="n"/>
      <c r="AE1448" s="42" t="n"/>
      <c r="AF1448" s="43">
        <f>IF($B1448="","",SUM($T1448:$AE1448))</f>
        <v/>
      </c>
      <c r="AG1448" s="43">
        <f>IF($B1448="","",N($M1448)-N($AF1448))</f>
        <v/>
      </c>
      <c r="AH1448" s="43">
        <f>IF($B1448="","",N($L1448)-N($AF1448))</f>
        <v/>
      </c>
      <c r="AI1448" s="149">
        <f>IF($B1448="","",IF(N($L1448)=0,"",(N($L1448)-N($AF1448))/N($L1448)))</f>
        <v/>
      </c>
    </row>
    <row r="1449">
      <c r="A1449" s="39">
        <f>IF($B1449="","",COUNTA($B$4:$B1449))</f>
        <v/>
      </c>
      <c r="B1449" s="45" t="n">
        <v>46185</v>
      </c>
      <c r="C1449" s="46" t="n">
        <v>3178</v>
      </c>
      <c r="D1449" s="46" t="inlineStr">
        <is>
          <t>صعيدى 6</t>
        </is>
      </c>
      <c r="E1449" s="46" t="inlineStr">
        <is>
          <t xml:space="preserve">1*40 </t>
        </is>
      </c>
      <c r="F1449" s="46" t="inlineStr">
        <is>
          <t xml:space="preserve">ناتورالى </t>
        </is>
      </c>
      <c r="G1449" s="46" t="inlineStr">
        <is>
          <t xml:space="preserve">اكتوبر </t>
        </is>
      </c>
      <c r="H1449" s="46" t="inlineStr">
        <is>
          <t>553886/1</t>
        </is>
      </c>
      <c r="I1449" s="46" t="inlineStr">
        <is>
          <t>س ق ب 9283</t>
        </is>
      </c>
      <c r="J1449" s="46" t="inlineStr">
        <is>
          <t xml:space="preserve">احمد مطر </t>
        </is>
      </c>
      <c r="K1449" s="46" t="inlineStr">
        <is>
          <t xml:space="preserve">محمد الصعيدى </t>
        </is>
      </c>
      <c r="L1449" s="47" t="n">
        <v>13800</v>
      </c>
      <c r="M1449" s="47" t="n">
        <v>8100</v>
      </c>
      <c r="N1449" s="47" t="n"/>
      <c r="O1449" s="47" t="n">
        <v>200</v>
      </c>
      <c r="P1449" s="47" t="n"/>
      <c r="Q1449" s="47" t="n"/>
      <c r="R1449" s="43">
        <f>IF($B1449="","",N($S1449)-N($Q1449))</f>
        <v/>
      </c>
      <c r="S1449" s="43">
        <f>IF($B1449="","",N($L1449)+N($N1449)+N($P1449))</f>
        <v/>
      </c>
      <c r="T1449" s="47" t="n"/>
      <c r="U1449" s="47" t="n"/>
      <c r="V1449" s="47" t="n"/>
      <c r="W1449" s="47" t="n"/>
      <c r="X1449" s="47" t="n"/>
      <c r="Y1449" s="47" t="n"/>
      <c r="Z1449" s="47" t="n"/>
      <c r="AA1449" s="47" t="n"/>
      <c r="AB1449" s="47" t="n"/>
      <c r="AC1449" s="47" t="n"/>
      <c r="AD1449" s="47" t="n"/>
      <c r="AE1449" s="47" t="n"/>
      <c r="AF1449" s="43">
        <f>IF($B1449="","",SUM($T1449:$AE1449))</f>
        <v/>
      </c>
      <c r="AG1449" s="43">
        <f>IF($B1449="","",N($M1449)-N($AF1449))</f>
        <v/>
      </c>
      <c r="AH1449" s="43">
        <f>IF($B1449="","",N($L1449)-N($AF1449))</f>
        <v/>
      </c>
      <c r="AI1449" s="149">
        <f>IF($B1449="","",IF(N($L1449)=0,"",(N($L1449)-N($AF1449))/N($L1449)))</f>
        <v/>
      </c>
    </row>
    <row r="1450">
      <c r="A1450" s="39">
        <f>IF($B1450="","",COUNTA($B$4:$B1450))</f>
        <v/>
      </c>
      <c r="B1450" s="40" t="n">
        <v>46185</v>
      </c>
      <c r="C1450" s="41" t="n">
        <v>3175</v>
      </c>
      <c r="D1450" s="41" t="inlineStr">
        <is>
          <t xml:space="preserve">استوريا </t>
        </is>
      </c>
      <c r="E1450" s="41" t="inlineStr">
        <is>
          <t>1*40</t>
        </is>
      </c>
      <c r="F1450" s="41" t="inlineStr">
        <is>
          <t xml:space="preserve">ناتورالى </t>
        </is>
      </c>
      <c r="G1450" s="41" t="inlineStr">
        <is>
          <t xml:space="preserve">اكتوبر </t>
        </is>
      </c>
      <c r="H1450" s="41" t="inlineStr">
        <is>
          <t>561255/6</t>
        </is>
      </c>
      <c r="I1450" s="41" t="inlineStr">
        <is>
          <t>س ع ف 1278</t>
        </is>
      </c>
      <c r="J1450" s="41" t="inlineStr">
        <is>
          <t xml:space="preserve">اسلام خطاب </t>
        </is>
      </c>
      <c r="K1450" s="41" t="inlineStr">
        <is>
          <t>استوريا</t>
        </is>
      </c>
      <c r="L1450" s="42" t="n">
        <v>14000</v>
      </c>
      <c r="M1450" s="42" t="n">
        <v>8100</v>
      </c>
      <c r="N1450" s="42" t="n"/>
      <c r="O1450" s="42" t="n">
        <v>200</v>
      </c>
      <c r="P1450" s="42" t="n"/>
      <c r="Q1450" s="42" t="n"/>
      <c r="R1450" s="43">
        <f>IF($B1450="","",N($S1450)-N($Q1450))</f>
        <v/>
      </c>
      <c r="S1450" s="43">
        <f>IF($B1450="","",N($L1450)+N($N1450)+N($P1450))</f>
        <v/>
      </c>
      <c r="T1450" s="42" t="n"/>
      <c r="U1450" s="42" t="n"/>
      <c r="V1450" s="42" t="n"/>
      <c r="W1450" s="42" t="n"/>
      <c r="X1450" s="42" t="n"/>
      <c r="Y1450" s="42" t="n"/>
      <c r="Z1450" s="42" t="n"/>
      <c r="AA1450" s="42" t="n"/>
      <c r="AB1450" s="42" t="n"/>
      <c r="AC1450" s="42" t="n"/>
      <c r="AD1450" s="42" t="n"/>
      <c r="AE1450" s="42" t="n"/>
      <c r="AF1450" s="43">
        <f>IF($B1450="","",SUM($T1450:$AE1450))</f>
        <v/>
      </c>
      <c r="AG1450" s="43">
        <f>IF($B1450="","",N($M1450)-N($AF1450))</f>
        <v/>
      </c>
      <c r="AH1450" s="43">
        <f>IF($B1450="","",N($L1450)-N($AF1450))</f>
        <v/>
      </c>
      <c r="AI1450" s="149">
        <f>IF($B1450="","",IF(N($L1450)=0,"",(N($L1450)-N($AF1450))/N($L1450)))</f>
        <v/>
      </c>
    </row>
    <row r="1451">
      <c r="A1451" s="39">
        <f>IF($B1451="","",COUNTA($B$4:$B1451))</f>
        <v/>
      </c>
      <c r="B1451" s="45" t="n">
        <v>46183</v>
      </c>
      <c r="C1451" s="46" t="n">
        <v>3238</v>
      </c>
      <c r="D1451" s="46" t="inlineStr">
        <is>
          <t xml:space="preserve">حماد </t>
        </is>
      </c>
      <c r="E1451" s="46" t="inlineStr">
        <is>
          <t>1*40</t>
        </is>
      </c>
      <c r="F1451" s="46" t="inlineStr">
        <is>
          <t xml:space="preserve">ناتورالى </t>
        </is>
      </c>
      <c r="G1451" s="46" t="inlineStr">
        <is>
          <t xml:space="preserve">اكتوبر </t>
        </is>
      </c>
      <c r="H1451" s="46" t="inlineStr">
        <is>
          <t>612238/0</t>
        </is>
      </c>
      <c r="I1451" s="46" t="inlineStr">
        <is>
          <t>س ا ه 8198</t>
        </is>
      </c>
      <c r="J1451" s="46" t="inlineStr">
        <is>
          <t xml:space="preserve">احمد محمود </t>
        </is>
      </c>
      <c r="K1451" s="46" t="inlineStr">
        <is>
          <t xml:space="preserve">علاء علام </t>
        </is>
      </c>
      <c r="L1451" s="47" t="n">
        <v>13800</v>
      </c>
      <c r="M1451" s="47" t="n">
        <v>8100</v>
      </c>
      <c r="N1451" s="47" t="n"/>
      <c r="O1451" s="47" t="n">
        <v>200</v>
      </c>
      <c r="P1451" s="47" t="n"/>
      <c r="Q1451" s="47" t="n"/>
      <c r="R1451" s="43">
        <f>IF($B1451="","",N($S1451)-N($Q1451))</f>
        <v/>
      </c>
      <c r="S1451" s="43">
        <f>IF($B1451="","",N($L1451)+N($N1451)+N($P1451))</f>
        <v/>
      </c>
      <c r="T1451" s="47" t="n"/>
      <c r="U1451" s="47" t="n"/>
      <c r="V1451" s="47" t="n"/>
      <c r="W1451" s="47" t="n"/>
      <c r="X1451" s="47" t="n"/>
      <c r="Y1451" s="47" t="n"/>
      <c r="Z1451" s="47" t="n"/>
      <c r="AA1451" s="47" t="n"/>
      <c r="AB1451" s="47" t="n"/>
      <c r="AC1451" s="47" t="n"/>
      <c r="AD1451" s="47" t="n"/>
      <c r="AE1451" s="47" t="n"/>
      <c r="AF1451" s="43">
        <f>IF($B1451="","",SUM($T1451:$AE1451))</f>
        <v/>
      </c>
      <c r="AG1451" s="43">
        <f>IF($B1451="","",N($M1451)-N($AF1451))</f>
        <v/>
      </c>
      <c r="AH1451" s="43">
        <f>IF($B1451="","",N($L1451)-N($AF1451))</f>
        <v/>
      </c>
      <c r="AI1451" s="149">
        <f>IF($B1451="","",IF(N($L1451)=0,"",(N($L1451)-N($AF1451))/N($L1451)))</f>
        <v/>
      </c>
    </row>
    <row r="1452">
      <c r="A1452" s="39">
        <f>IF($B1452="","",COUNTA($B$4:$B1452))</f>
        <v/>
      </c>
      <c r="B1452" s="40" t="n">
        <v>46183</v>
      </c>
      <c r="C1452" s="41" t="n">
        <v>3237</v>
      </c>
      <c r="D1452" s="41" t="inlineStr">
        <is>
          <t>صعيدى 6</t>
        </is>
      </c>
      <c r="E1452" s="41" t="inlineStr">
        <is>
          <t>1*40</t>
        </is>
      </c>
      <c r="F1452" s="41" t="inlineStr">
        <is>
          <t xml:space="preserve">ناتورالى </t>
        </is>
      </c>
      <c r="G1452" s="41" t="inlineStr">
        <is>
          <t xml:space="preserve">اكتوبر </t>
        </is>
      </c>
      <c r="H1452" s="41" t="inlineStr">
        <is>
          <t>747350/1</t>
        </is>
      </c>
      <c r="I1452" s="41" t="inlineStr">
        <is>
          <t>س و ب 2689</t>
        </is>
      </c>
      <c r="J1452" s="41" t="inlineStr">
        <is>
          <t xml:space="preserve">محمد السيد </t>
        </is>
      </c>
      <c r="K1452" s="41" t="inlineStr">
        <is>
          <t xml:space="preserve">محمد الصعيدى </t>
        </is>
      </c>
      <c r="L1452" s="42" t="n">
        <v>13800</v>
      </c>
      <c r="M1452" s="42" t="n">
        <v>8100</v>
      </c>
      <c r="N1452" s="42" t="n"/>
      <c r="O1452" s="42" t="n">
        <v>200</v>
      </c>
      <c r="P1452" s="42" t="n"/>
      <c r="Q1452" s="42" t="n"/>
      <c r="R1452" s="43">
        <f>IF($B1452="","",N($S1452)-N($Q1452))</f>
        <v/>
      </c>
      <c r="S1452" s="43">
        <f>IF($B1452="","",N($L1452)+N($N1452)+N($P1452))</f>
        <v/>
      </c>
      <c r="T1452" s="42" t="n"/>
      <c r="U1452" s="42" t="n"/>
      <c r="V1452" s="42" t="n"/>
      <c r="W1452" s="42" t="n"/>
      <c r="X1452" s="42" t="n"/>
      <c r="Y1452" s="42" t="n"/>
      <c r="Z1452" s="42" t="n"/>
      <c r="AA1452" s="42" t="n"/>
      <c r="AB1452" s="42" t="n"/>
      <c r="AC1452" s="42" t="n"/>
      <c r="AD1452" s="42" t="n"/>
      <c r="AE1452" s="42" t="n"/>
      <c r="AF1452" s="43">
        <f>IF($B1452="","",SUM($T1452:$AE1452))</f>
        <v/>
      </c>
      <c r="AG1452" s="43">
        <f>IF($B1452="","",N($M1452)-N($AF1452))</f>
        <v/>
      </c>
      <c r="AH1452" s="43">
        <f>IF($B1452="","",N($L1452)-N($AF1452))</f>
        <v/>
      </c>
      <c r="AI1452" s="149">
        <f>IF($B1452="","",IF(N($L1452)=0,"",(N($L1452)-N($AF1452))/N($L1452)))</f>
        <v/>
      </c>
    </row>
    <row r="1453">
      <c r="A1453" s="39">
        <f>IF($B1453="","",COUNTA($B$4:$B1453))</f>
        <v/>
      </c>
      <c r="B1453" s="45" t="n">
        <v>46182</v>
      </c>
      <c r="C1453" s="46" t="n">
        <v>3236</v>
      </c>
      <c r="D1453" s="46" t="inlineStr">
        <is>
          <t>حمادة الخولى</t>
        </is>
      </c>
      <c r="E1453" s="46" t="inlineStr">
        <is>
          <t>1*40</t>
        </is>
      </c>
      <c r="F1453" s="46" t="inlineStr">
        <is>
          <t xml:space="preserve">ناتورالى </t>
        </is>
      </c>
      <c r="G1453" s="46" t="inlineStr">
        <is>
          <t xml:space="preserve">اكتوبر </t>
        </is>
      </c>
      <c r="H1453" s="46" t="inlineStr">
        <is>
          <t>512685/2</t>
        </is>
      </c>
      <c r="I1453" s="46" t="inlineStr">
        <is>
          <t>س ع ا 6724</t>
        </is>
      </c>
      <c r="J1453" s="46" t="inlineStr">
        <is>
          <t>رجب محفوظ</t>
        </is>
      </c>
      <c r="K1453" s="46" t="inlineStr">
        <is>
          <t xml:space="preserve">ايمن حبش </t>
        </is>
      </c>
      <c r="L1453" s="47" t="n">
        <v>14000</v>
      </c>
      <c r="M1453" s="47" t="n">
        <v>8100</v>
      </c>
      <c r="N1453" s="47" t="n"/>
      <c r="O1453" s="47" t="n">
        <v>200</v>
      </c>
      <c r="P1453" s="47" t="n"/>
      <c r="Q1453" s="47" t="n"/>
      <c r="R1453" s="43">
        <f>IF($B1453="","",N($S1453)-N($Q1453))</f>
        <v/>
      </c>
      <c r="S1453" s="43">
        <f>IF($B1453="","",N($L1453)+N($N1453)+N($P1453))</f>
        <v/>
      </c>
      <c r="T1453" s="47" t="n"/>
      <c r="U1453" s="47" t="n"/>
      <c r="V1453" s="47" t="n"/>
      <c r="W1453" s="47" t="n"/>
      <c r="X1453" s="47" t="n"/>
      <c r="Y1453" s="47" t="n"/>
      <c r="Z1453" s="47" t="n"/>
      <c r="AA1453" s="47" t="n"/>
      <c r="AB1453" s="47" t="n"/>
      <c r="AC1453" s="47" t="n"/>
      <c r="AD1453" s="47" t="n"/>
      <c r="AE1453" s="47" t="n"/>
      <c r="AF1453" s="43">
        <f>IF($B1453="","",SUM($T1453:$AE1453))</f>
        <v/>
      </c>
      <c r="AG1453" s="43">
        <f>IF($B1453="","",N($M1453)-N($AF1453))</f>
        <v/>
      </c>
      <c r="AH1453" s="43">
        <f>IF($B1453="","",N($L1453)-N($AF1453))</f>
        <v/>
      </c>
      <c r="AI1453" s="149">
        <f>IF($B1453="","",IF(N($L1453)=0,"",(N($L1453)-N($AF1453))/N($L1453)))</f>
        <v/>
      </c>
    </row>
    <row r="1454">
      <c r="A1454" s="39">
        <f>IF($B1454="","",COUNTA($B$4:$B1454))</f>
        <v/>
      </c>
      <c r="B1454" s="40" t="n">
        <v>46183</v>
      </c>
      <c r="C1454" s="41" t="n">
        <v>3235</v>
      </c>
      <c r="D1454" s="41" t="n"/>
      <c r="E1454" s="41" t="inlineStr">
        <is>
          <t>1*40</t>
        </is>
      </c>
      <c r="F1454" s="41" t="inlineStr">
        <is>
          <t xml:space="preserve">ناتورالى </t>
        </is>
      </c>
      <c r="G1454" s="41" t="inlineStr">
        <is>
          <t xml:space="preserve">اكتوبر </t>
        </is>
      </c>
      <c r="H1454" s="41" t="inlineStr">
        <is>
          <t>512685/2</t>
        </is>
      </c>
      <c r="I1454" s="41" t="inlineStr">
        <is>
          <t>ع ق ا 5863</t>
        </is>
      </c>
      <c r="J1454" s="41" t="inlineStr">
        <is>
          <t xml:space="preserve">جمال على </t>
        </is>
      </c>
      <c r="K1454" s="41" t="inlineStr">
        <is>
          <t xml:space="preserve">العراقى </t>
        </is>
      </c>
      <c r="L1454" s="42" t="n">
        <v>13800</v>
      </c>
      <c r="M1454" s="42" t="n">
        <v>8100</v>
      </c>
      <c r="N1454" s="42" t="n"/>
      <c r="O1454" s="42" t="n">
        <v>200</v>
      </c>
      <c r="P1454" s="42" t="n"/>
      <c r="Q1454" s="42" t="n"/>
      <c r="R1454" s="43">
        <f>IF($B1454="","",N($S1454)-N($Q1454))</f>
        <v/>
      </c>
      <c r="S1454" s="43">
        <f>IF($B1454="","",N($L1454)+N($N1454)+N($P1454))</f>
        <v/>
      </c>
      <c r="T1454" s="42" t="n"/>
      <c r="U1454" s="42" t="n"/>
      <c r="V1454" s="42" t="n"/>
      <c r="W1454" s="42" t="n"/>
      <c r="X1454" s="42" t="n"/>
      <c r="Y1454" s="42" t="n"/>
      <c r="Z1454" s="42" t="n"/>
      <c r="AA1454" s="42" t="n"/>
      <c r="AB1454" s="42" t="n"/>
      <c r="AC1454" s="42" t="n"/>
      <c r="AD1454" s="42" t="n"/>
      <c r="AE1454" s="42" t="n"/>
      <c r="AF1454" s="43">
        <f>IF($B1454="","",SUM($T1454:$AE1454))</f>
        <v/>
      </c>
      <c r="AG1454" s="43">
        <f>IF($B1454="","",N($M1454)-N($AF1454))</f>
        <v/>
      </c>
      <c r="AH1454" s="43">
        <f>IF($B1454="","",N($L1454)-N($AF1454))</f>
        <v/>
      </c>
      <c r="AI1454" s="149">
        <f>IF($B1454="","",IF(N($L1454)=0,"",(N($L1454)-N($AF1454))/N($L1454)))</f>
        <v/>
      </c>
    </row>
    <row r="1455">
      <c r="A1455" s="39">
        <f>IF($B1455="","",COUNTA($B$4:$B1455))</f>
        <v/>
      </c>
      <c r="B1455" s="45" t="n">
        <v>46183</v>
      </c>
      <c r="C1455" s="46" t="n">
        <v>3234</v>
      </c>
      <c r="D1455" s="46" t="inlineStr">
        <is>
          <t>محمد نبيل</t>
        </is>
      </c>
      <c r="E1455" s="46" t="inlineStr">
        <is>
          <t>1*40</t>
        </is>
      </c>
      <c r="F1455" s="46" t="inlineStr">
        <is>
          <t xml:space="preserve">ناتورالى </t>
        </is>
      </c>
      <c r="G1455" s="46" t="inlineStr">
        <is>
          <t xml:space="preserve">اكتوبر </t>
        </is>
      </c>
      <c r="H1455" s="46" t="inlineStr">
        <is>
          <t>892916/4</t>
        </is>
      </c>
      <c r="I1455" s="46" t="inlineStr">
        <is>
          <t>ر س ا 1936</t>
        </is>
      </c>
      <c r="J1455" s="46" t="inlineStr">
        <is>
          <t xml:space="preserve">تامر جاد </t>
        </is>
      </c>
      <c r="K1455" s="46" t="inlineStr">
        <is>
          <t xml:space="preserve">خفاجة </t>
        </is>
      </c>
      <c r="L1455" s="47" t="n">
        <v>13800</v>
      </c>
      <c r="M1455" s="47" t="n">
        <v>8100</v>
      </c>
      <c r="N1455" s="47" t="n"/>
      <c r="O1455" s="47" t="n">
        <v>200</v>
      </c>
      <c r="P1455" s="47" t="n"/>
      <c r="Q1455" s="47" t="n"/>
      <c r="R1455" s="43">
        <f>IF($B1455="","",N($S1455)-N($Q1455))</f>
        <v/>
      </c>
      <c r="S1455" s="43">
        <f>IF($B1455="","",N($L1455)+N($N1455)+N($P1455))</f>
        <v/>
      </c>
      <c r="T1455" s="47" t="n"/>
      <c r="U1455" s="47" t="n"/>
      <c r="V1455" s="47" t="n"/>
      <c r="W1455" s="47" t="n"/>
      <c r="X1455" s="47" t="n"/>
      <c r="Y1455" s="47" t="n"/>
      <c r="Z1455" s="47" t="n"/>
      <c r="AA1455" s="47" t="n"/>
      <c r="AB1455" s="47" t="n"/>
      <c r="AC1455" s="47" t="n"/>
      <c r="AD1455" s="47" t="n"/>
      <c r="AE1455" s="47" t="n"/>
      <c r="AF1455" s="43">
        <f>IF($B1455="","",SUM($T1455:$AE1455))</f>
        <v/>
      </c>
      <c r="AG1455" s="43">
        <f>IF($B1455="","",N($M1455)-N($AF1455))</f>
        <v/>
      </c>
      <c r="AH1455" s="43">
        <f>IF($B1455="","",N($L1455)-N($AF1455))</f>
        <v/>
      </c>
      <c r="AI1455" s="149">
        <f>IF($B1455="","",IF(N($L1455)=0,"",(N($L1455)-N($AF1455))/N($L1455)))</f>
        <v/>
      </c>
    </row>
    <row r="1456">
      <c r="A1456" s="39">
        <f>IF($B1456="","",COUNTA($B$4:$B1456))</f>
        <v/>
      </c>
      <c r="B1456" s="40" t="n">
        <v>46183</v>
      </c>
      <c r="C1456" s="41" t="n">
        <v>3233</v>
      </c>
      <c r="D1456" s="41" t="n"/>
      <c r="E1456" s="41" t="inlineStr">
        <is>
          <t>1*40</t>
        </is>
      </c>
      <c r="F1456" s="41" t="inlineStr">
        <is>
          <t xml:space="preserve">ناتورالى </t>
        </is>
      </c>
      <c r="G1456" s="41" t="inlineStr">
        <is>
          <t xml:space="preserve">اكتوبر </t>
        </is>
      </c>
      <c r="H1456" s="41" t="inlineStr">
        <is>
          <t>427425/0</t>
        </is>
      </c>
      <c r="I1456" s="41" t="inlineStr">
        <is>
          <t>ب د ن 2987</t>
        </is>
      </c>
      <c r="J1456" s="41" t="inlineStr">
        <is>
          <t>ابراهيم</t>
        </is>
      </c>
      <c r="K1456" s="41" t="inlineStr">
        <is>
          <t>استوريا</t>
        </is>
      </c>
      <c r="L1456" s="42" t="n">
        <v>13800</v>
      </c>
      <c r="M1456" s="42" t="n">
        <v>8100</v>
      </c>
      <c r="N1456" s="42" t="n"/>
      <c r="O1456" s="42" t="n">
        <v>200</v>
      </c>
      <c r="P1456" s="42" t="n"/>
      <c r="Q1456" s="42" t="n"/>
      <c r="R1456" s="43">
        <f>IF($B1456="","",N($S1456)-N($Q1456))</f>
        <v/>
      </c>
      <c r="S1456" s="43">
        <f>IF($B1456="","",N($L1456)+N($N1456)+N($P1456))</f>
        <v/>
      </c>
      <c r="T1456" s="42" t="n"/>
      <c r="U1456" s="42" t="n"/>
      <c r="V1456" s="42" t="n"/>
      <c r="W1456" s="42" t="n"/>
      <c r="X1456" s="42" t="n"/>
      <c r="Y1456" s="42" t="n"/>
      <c r="Z1456" s="42" t="n"/>
      <c r="AA1456" s="42" t="n"/>
      <c r="AB1456" s="42" t="n"/>
      <c r="AC1456" s="42" t="n"/>
      <c r="AD1456" s="42" t="n"/>
      <c r="AE1456" s="42" t="n"/>
      <c r="AF1456" s="43">
        <f>IF($B1456="","",SUM($T1456:$AE1456))</f>
        <v/>
      </c>
      <c r="AG1456" s="43">
        <f>IF($B1456="","",N($M1456)-N($AF1456))</f>
        <v/>
      </c>
      <c r="AH1456" s="43">
        <f>IF($B1456="","",N($L1456)-N($AF1456))</f>
        <v/>
      </c>
      <c r="AI1456" s="149">
        <f>IF($B1456="","",IF(N($L1456)=0,"",(N($L1456)-N($AF1456))/N($L1456)))</f>
        <v/>
      </c>
    </row>
    <row r="1457">
      <c r="A1457" s="39">
        <f>IF($B1457="","",COUNTA($B$4:$B1457))</f>
        <v/>
      </c>
      <c r="B1457" s="45" t="n">
        <v>46183</v>
      </c>
      <c r="C1457" s="46" t="n">
        <v>3232</v>
      </c>
      <c r="D1457" s="46" t="inlineStr">
        <is>
          <t>جمعة</t>
        </is>
      </c>
      <c r="E1457" s="46" t="inlineStr">
        <is>
          <t>1*40</t>
        </is>
      </c>
      <c r="F1457" s="46" t="inlineStr">
        <is>
          <t xml:space="preserve">ناتورالى </t>
        </is>
      </c>
      <c r="G1457" s="46" t="inlineStr">
        <is>
          <t xml:space="preserve">اكتوبر </t>
        </is>
      </c>
      <c r="H1457" s="46" t="inlineStr">
        <is>
          <t>525899/5</t>
        </is>
      </c>
      <c r="I1457" s="46" t="inlineStr">
        <is>
          <t>ع م ا 1955</t>
        </is>
      </c>
      <c r="J1457" s="46" t="inlineStr">
        <is>
          <t xml:space="preserve">صلاح عبد الستار </t>
        </is>
      </c>
      <c r="K1457" s="46" t="inlineStr">
        <is>
          <t>استوريا</t>
        </is>
      </c>
      <c r="L1457" s="47" t="n">
        <v>15000</v>
      </c>
      <c r="M1457" s="47" t="n">
        <v>8100</v>
      </c>
      <c r="N1457" s="47" t="n"/>
      <c r="O1457" s="47" t="n">
        <v>200</v>
      </c>
      <c r="P1457" s="47" t="n">
        <v>2500</v>
      </c>
      <c r="Q1457" s="47" t="n"/>
      <c r="R1457" s="43">
        <f>IF($B1457="","",N($S1457)-N($Q1457))</f>
        <v/>
      </c>
      <c r="S1457" s="43">
        <f>IF($B1457="","",N($L1457)+N($N1457)+N($P1457))</f>
        <v/>
      </c>
      <c r="T1457" s="47" t="n"/>
      <c r="U1457" s="47" t="n"/>
      <c r="V1457" s="47" t="n"/>
      <c r="W1457" s="47" t="n"/>
      <c r="X1457" s="47" t="n"/>
      <c r="Y1457" s="47" t="n"/>
      <c r="Z1457" s="47" t="n"/>
      <c r="AA1457" s="47" t="n"/>
      <c r="AB1457" s="47" t="n"/>
      <c r="AC1457" s="47" t="n"/>
      <c r="AD1457" s="47" t="n"/>
      <c r="AE1457" s="47" t="n"/>
      <c r="AF1457" s="43">
        <f>IF($B1457="","",SUM($T1457:$AE1457))</f>
        <v/>
      </c>
      <c r="AG1457" s="43">
        <f>IF($B1457="","",N($M1457)-N($AF1457))</f>
        <v/>
      </c>
      <c r="AH1457" s="43">
        <f>IF($B1457="","",N($L1457)-N($AF1457))</f>
        <v/>
      </c>
      <c r="AI1457" s="149">
        <f>IF($B1457="","",IF(N($L1457)=0,"",(N($L1457)-N($AF1457))/N($L1457)))</f>
        <v/>
      </c>
    </row>
    <row r="1458">
      <c r="A1458" s="39">
        <f>IF($B1458="","",COUNTA($B$4:$B1458))</f>
        <v/>
      </c>
      <c r="B1458" s="40" t="n">
        <v>46183</v>
      </c>
      <c r="C1458" s="41" t="n">
        <v>3231</v>
      </c>
      <c r="D1458" s="41" t="inlineStr">
        <is>
          <t xml:space="preserve">حماد </t>
        </is>
      </c>
      <c r="E1458" s="41" t="inlineStr">
        <is>
          <t>1*40</t>
        </is>
      </c>
      <c r="F1458" s="41" t="inlineStr">
        <is>
          <t xml:space="preserve">ناتورالى </t>
        </is>
      </c>
      <c r="G1458" s="41" t="inlineStr">
        <is>
          <t xml:space="preserve">اكتوبر </t>
        </is>
      </c>
      <c r="H1458" s="41" t="inlineStr">
        <is>
          <t>286354/1</t>
        </is>
      </c>
      <c r="I1458" s="41" t="inlineStr">
        <is>
          <t>س ع م 1575</t>
        </is>
      </c>
      <c r="J1458" s="41" t="inlineStr">
        <is>
          <t xml:space="preserve">عبدة كارم </t>
        </is>
      </c>
      <c r="K1458" s="41" t="inlineStr">
        <is>
          <t xml:space="preserve">مصطفى عيد </t>
        </is>
      </c>
      <c r="L1458" s="42" t="n">
        <v>13800</v>
      </c>
      <c r="M1458" s="42" t="n">
        <v>8100</v>
      </c>
      <c r="N1458" s="42" t="n"/>
      <c r="O1458" s="42" t="n">
        <v>200</v>
      </c>
      <c r="P1458" s="42" t="n"/>
      <c r="Q1458" s="42" t="n"/>
      <c r="R1458" s="43">
        <f>IF($B1458="","",N($S1458)-N($Q1458))</f>
        <v/>
      </c>
      <c r="S1458" s="43">
        <f>IF($B1458="","",N($L1458)+N($N1458)+N($P1458))</f>
        <v/>
      </c>
      <c r="T1458" s="42" t="n"/>
      <c r="U1458" s="42" t="n"/>
      <c r="V1458" s="42" t="n"/>
      <c r="W1458" s="42" t="n"/>
      <c r="X1458" s="42" t="n"/>
      <c r="Y1458" s="42" t="n"/>
      <c r="Z1458" s="42" t="n"/>
      <c r="AA1458" s="42" t="n"/>
      <c r="AB1458" s="42" t="n"/>
      <c r="AC1458" s="42" t="n"/>
      <c r="AD1458" s="42" t="n"/>
      <c r="AE1458" s="42" t="n"/>
      <c r="AF1458" s="43">
        <f>IF($B1458="","",SUM($T1458:$AE1458))</f>
        <v/>
      </c>
      <c r="AG1458" s="43">
        <f>IF($B1458="","",N($M1458)-N($AF1458))</f>
        <v/>
      </c>
      <c r="AH1458" s="43">
        <f>IF($B1458="","",N($L1458)-N($AF1458))</f>
        <v/>
      </c>
      <c r="AI1458" s="149">
        <f>IF($B1458="","",IF(N($L1458)=0,"",(N($L1458)-N($AF1458))/N($L1458)))</f>
        <v/>
      </c>
    </row>
    <row r="1459">
      <c r="A1459" s="39">
        <f>IF($B1459="","",COUNTA($B$4:$B1459))</f>
        <v/>
      </c>
      <c r="B1459" s="45" t="n">
        <v>46183</v>
      </c>
      <c r="C1459" s="46" t="n">
        <v>3230</v>
      </c>
      <c r="D1459" s="46" t="inlineStr">
        <is>
          <t xml:space="preserve">محمد نبيل </t>
        </is>
      </c>
      <c r="E1459" s="46" t="inlineStr">
        <is>
          <t>1*40</t>
        </is>
      </c>
      <c r="F1459" s="46" t="inlineStr">
        <is>
          <t xml:space="preserve">ناتورالى </t>
        </is>
      </c>
      <c r="G1459" s="46" t="inlineStr">
        <is>
          <t xml:space="preserve">اكتوبر </t>
        </is>
      </c>
      <c r="H1459" s="46" t="inlineStr">
        <is>
          <t>718167/0</t>
        </is>
      </c>
      <c r="I1459" s="46" t="inlineStr">
        <is>
          <t>ع ن ا 2258</t>
        </is>
      </c>
      <c r="J1459" s="46" t="inlineStr">
        <is>
          <t xml:space="preserve">على عامر </t>
        </is>
      </c>
      <c r="K1459" s="46" t="inlineStr">
        <is>
          <t xml:space="preserve">احمد فؤاد </t>
        </is>
      </c>
      <c r="L1459" s="47" t="n">
        <v>13800</v>
      </c>
      <c r="M1459" s="47" t="n">
        <v>8100</v>
      </c>
      <c r="N1459" s="47" t="n"/>
      <c r="O1459" s="47" t="n">
        <v>200</v>
      </c>
      <c r="P1459" s="47" t="n"/>
      <c r="Q1459" s="47" t="n"/>
      <c r="R1459" s="43">
        <f>IF($B1459="","",N($S1459)-N($Q1459))</f>
        <v/>
      </c>
      <c r="S1459" s="43">
        <f>IF($B1459="","",N($L1459)+N($N1459)+N($P1459))</f>
        <v/>
      </c>
      <c r="T1459" s="47" t="n"/>
      <c r="U1459" s="47" t="n"/>
      <c r="V1459" s="47" t="n"/>
      <c r="W1459" s="47" t="n"/>
      <c r="X1459" s="47" t="n"/>
      <c r="Y1459" s="47" t="n"/>
      <c r="Z1459" s="47" t="n"/>
      <c r="AA1459" s="47" t="n"/>
      <c r="AB1459" s="47" t="n"/>
      <c r="AC1459" s="47" t="n"/>
      <c r="AD1459" s="47" t="n"/>
      <c r="AE1459" s="47" t="n"/>
      <c r="AF1459" s="43">
        <f>IF($B1459="","",SUM($T1459:$AE1459))</f>
        <v/>
      </c>
      <c r="AG1459" s="43">
        <f>IF($B1459="","",N($M1459)-N($AF1459))</f>
        <v/>
      </c>
      <c r="AH1459" s="43">
        <f>IF($B1459="","",N($L1459)-N($AF1459))</f>
        <v/>
      </c>
      <c r="AI1459" s="149">
        <f>IF($B1459="","",IF(N($L1459)=0,"",(N($L1459)-N($AF1459))/N($L1459)))</f>
        <v/>
      </c>
    </row>
    <row r="1460">
      <c r="A1460" s="39">
        <f>IF($B1460="","",COUNTA($B$4:$B1460))</f>
        <v/>
      </c>
      <c r="B1460" s="40" t="n">
        <v>46183</v>
      </c>
      <c r="C1460" s="41" t="n">
        <v>3228</v>
      </c>
      <c r="D1460" s="41" t="inlineStr">
        <is>
          <t xml:space="preserve">استوريا </t>
        </is>
      </c>
      <c r="E1460" s="41" t="inlineStr">
        <is>
          <t>1*40</t>
        </is>
      </c>
      <c r="F1460" s="41" t="inlineStr">
        <is>
          <t xml:space="preserve">ناتورالى </t>
        </is>
      </c>
      <c r="G1460" s="41" t="inlineStr">
        <is>
          <t xml:space="preserve">شبرا </t>
        </is>
      </c>
      <c r="H1460" s="41" t="inlineStr">
        <is>
          <t>567078/3</t>
        </is>
      </c>
      <c r="I1460" s="41" t="inlineStr">
        <is>
          <t>ب ج ط 3417</t>
        </is>
      </c>
      <c r="J1460" s="41" t="inlineStr">
        <is>
          <t xml:space="preserve">صبحى السيد </t>
        </is>
      </c>
      <c r="K1460" s="41" t="inlineStr">
        <is>
          <t xml:space="preserve">احمد فؤاد </t>
        </is>
      </c>
      <c r="L1460" s="42" t="n">
        <v>15000</v>
      </c>
      <c r="M1460" s="42" t="n">
        <v>8100</v>
      </c>
      <c r="N1460" s="42" t="n"/>
      <c r="O1460" s="42" t="n">
        <v>200</v>
      </c>
      <c r="P1460" s="42" t="n">
        <v>2500</v>
      </c>
      <c r="Q1460" s="42" t="n"/>
      <c r="R1460" s="43">
        <f>IF($B1460="","",N($S1460)-N($Q1460))</f>
        <v/>
      </c>
      <c r="S1460" s="43">
        <f>IF($B1460="","",N($L1460)+N($N1460)+N($P1460))</f>
        <v/>
      </c>
      <c r="T1460" s="42" t="n"/>
      <c r="U1460" s="42" t="n"/>
      <c r="V1460" s="42" t="n"/>
      <c r="W1460" s="42" t="n"/>
      <c r="X1460" s="42" t="n"/>
      <c r="Y1460" s="42" t="n"/>
      <c r="Z1460" s="42" t="n"/>
      <c r="AA1460" s="42" t="n"/>
      <c r="AB1460" s="42" t="n"/>
      <c r="AC1460" s="42" t="n"/>
      <c r="AD1460" s="42" t="n"/>
      <c r="AE1460" s="42" t="n"/>
      <c r="AF1460" s="43">
        <f>IF($B1460="","",SUM($T1460:$AE1460))</f>
        <v/>
      </c>
      <c r="AG1460" s="43">
        <f>IF($B1460="","",N($M1460)-N($AF1460))</f>
        <v/>
      </c>
      <c r="AH1460" s="43">
        <f>IF($B1460="","",N($L1460)-N($AF1460))</f>
        <v/>
      </c>
      <c r="AI1460" s="149">
        <f>IF($B1460="","",IF(N($L1460)=0,"",(N($L1460)-N($AF1460))/N($L1460)))</f>
        <v/>
      </c>
    </row>
    <row r="1461">
      <c r="A1461" s="39">
        <f>IF($B1461="","",COUNTA($B$4:$B1461))</f>
        <v/>
      </c>
      <c r="B1461" s="45" t="n">
        <v>46183</v>
      </c>
      <c r="C1461" s="46" t="n">
        <v>3227</v>
      </c>
      <c r="D1461" s="46" t="inlineStr">
        <is>
          <t xml:space="preserve">استوريا </t>
        </is>
      </c>
      <c r="E1461" s="46" t="inlineStr">
        <is>
          <t>1*40</t>
        </is>
      </c>
      <c r="F1461" s="46" t="inlineStr">
        <is>
          <t xml:space="preserve">ناتورالى </t>
        </is>
      </c>
      <c r="G1461" s="46" t="inlineStr">
        <is>
          <t xml:space="preserve">شبرا </t>
        </is>
      </c>
      <c r="H1461" s="46" t="inlineStr">
        <is>
          <t>619897/4</t>
        </is>
      </c>
      <c r="I1461" s="46" t="inlineStr">
        <is>
          <t>ب و ا 5761</t>
        </is>
      </c>
      <c r="J1461" s="46" t="inlineStr">
        <is>
          <t xml:space="preserve">احمد السيدة </t>
        </is>
      </c>
      <c r="K1461" s="46" t="inlineStr">
        <is>
          <t>استوريا</t>
        </is>
      </c>
      <c r="L1461" s="47" t="n">
        <v>15000</v>
      </c>
      <c r="M1461" s="47" t="n">
        <v>8100</v>
      </c>
      <c r="N1461" s="47" t="n"/>
      <c r="O1461" s="47" t="n">
        <v>200</v>
      </c>
      <c r="P1461" s="47" t="n">
        <v>2500</v>
      </c>
      <c r="Q1461" s="47" t="n"/>
      <c r="R1461" s="43">
        <f>IF($B1461="","",N($S1461)-N($Q1461))</f>
        <v/>
      </c>
      <c r="S1461" s="43">
        <f>IF($B1461="","",N($L1461)+N($N1461)+N($P1461))</f>
        <v/>
      </c>
      <c r="T1461" s="47" t="n"/>
      <c r="U1461" s="47" t="n"/>
      <c r="V1461" s="47" t="n"/>
      <c r="W1461" s="47" t="n"/>
      <c r="X1461" s="47" t="n"/>
      <c r="Y1461" s="47" t="n"/>
      <c r="Z1461" s="47" t="n"/>
      <c r="AA1461" s="47" t="n"/>
      <c r="AB1461" s="47" t="n"/>
      <c r="AC1461" s="47" t="n"/>
      <c r="AD1461" s="47" t="n"/>
      <c r="AE1461" s="47" t="n"/>
      <c r="AF1461" s="43">
        <f>IF($B1461="","",SUM($T1461:$AE1461))</f>
        <v/>
      </c>
      <c r="AG1461" s="43">
        <f>IF($B1461="","",N($M1461)-N($AF1461))</f>
        <v/>
      </c>
      <c r="AH1461" s="43">
        <f>IF($B1461="","",N($L1461)-N($AF1461))</f>
        <v/>
      </c>
      <c r="AI1461" s="149">
        <f>IF($B1461="","",IF(N($L1461)=0,"",(N($L1461)-N($AF1461))/N($L1461)))</f>
        <v/>
      </c>
    </row>
    <row r="1462">
      <c r="A1462" s="39">
        <f>IF($B1462="","",COUNTA($B$4:$B1462))</f>
        <v/>
      </c>
      <c r="B1462" s="40" t="n">
        <v>46183</v>
      </c>
      <c r="C1462" s="41" t="n">
        <v>3226</v>
      </c>
      <c r="D1462" s="41" t="inlineStr">
        <is>
          <t xml:space="preserve">محمد نبيل </t>
        </is>
      </c>
      <c r="E1462" s="41" t="inlineStr">
        <is>
          <t>1*40</t>
        </is>
      </c>
      <c r="F1462" s="41" t="inlineStr">
        <is>
          <t xml:space="preserve">ناتورالى </t>
        </is>
      </c>
      <c r="G1462" s="41" t="inlineStr">
        <is>
          <t xml:space="preserve">اكتوبر </t>
        </is>
      </c>
      <c r="H1462" s="41" t="inlineStr">
        <is>
          <t>437481/2</t>
        </is>
      </c>
      <c r="I1462" s="41" t="inlineStr">
        <is>
          <t>ب ن و 4786</t>
        </is>
      </c>
      <c r="J1462" s="41" t="inlineStr">
        <is>
          <t xml:space="preserve">انور محمد </t>
        </is>
      </c>
      <c r="K1462" s="41" t="inlineStr">
        <is>
          <t xml:space="preserve">احمد فؤاد </t>
        </is>
      </c>
      <c r="L1462" s="42" t="n">
        <v>13800</v>
      </c>
      <c r="M1462" s="42" t="n">
        <v>8100</v>
      </c>
      <c r="N1462" s="42" t="n"/>
      <c r="O1462" s="42" t="n">
        <v>200</v>
      </c>
      <c r="P1462" s="42" t="n"/>
      <c r="Q1462" s="42" t="n"/>
      <c r="R1462" s="43">
        <f>IF($B1462="","",N($S1462)-N($Q1462))</f>
        <v/>
      </c>
      <c r="S1462" s="43">
        <f>IF($B1462="","",N($L1462)+N($N1462)+N($P1462))</f>
        <v/>
      </c>
      <c r="T1462" s="42" t="n"/>
      <c r="U1462" s="42" t="n"/>
      <c r="V1462" s="42" t="n"/>
      <c r="W1462" s="42" t="n"/>
      <c r="X1462" s="42" t="n"/>
      <c r="Y1462" s="42" t="n"/>
      <c r="Z1462" s="42" t="n"/>
      <c r="AA1462" s="42" t="n"/>
      <c r="AB1462" s="42" t="n"/>
      <c r="AC1462" s="42" t="n"/>
      <c r="AD1462" s="42" t="n"/>
      <c r="AE1462" s="42" t="n"/>
      <c r="AF1462" s="43">
        <f>IF($B1462="","",SUM($T1462:$AE1462))</f>
        <v/>
      </c>
      <c r="AG1462" s="43">
        <f>IF($B1462="","",N($M1462)-N($AF1462))</f>
        <v/>
      </c>
      <c r="AH1462" s="43">
        <f>IF($B1462="","",N($L1462)-N($AF1462))</f>
        <v/>
      </c>
      <c r="AI1462" s="149">
        <f>IF($B1462="","",IF(N($L1462)=0,"",(N($L1462)-N($AF1462))/N($L1462)))</f>
        <v/>
      </c>
    </row>
    <row r="1463">
      <c r="A1463" s="39">
        <f>IF($B1463="","",COUNTA($B$4:$B1463))</f>
        <v/>
      </c>
      <c r="B1463" s="45" t="n">
        <v>46183</v>
      </c>
      <c r="C1463" s="46" t="n">
        <v>3225</v>
      </c>
      <c r="D1463" s="46" t="inlineStr">
        <is>
          <t>حمادة الخولى</t>
        </is>
      </c>
      <c r="E1463" s="46" t="inlineStr">
        <is>
          <t>1*40</t>
        </is>
      </c>
      <c r="F1463" s="46" t="inlineStr">
        <is>
          <t xml:space="preserve">ناتورالى </t>
        </is>
      </c>
      <c r="G1463" s="46" t="inlineStr">
        <is>
          <t xml:space="preserve">اكتوبر </t>
        </is>
      </c>
      <c r="H1463" s="46" t="inlineStr">
        <is>
          <t>669784/5</t>
        </is>
      </c>
      <c r="I1463" s="46" t="inlineStr">
        <is>
          <t>س و ب 641</t>
        </is>
      </c>
      <c r="J1463" s="46" t="inlineStr">
        <is>
          <t xml:space="preserve">ناصر محمد </t>
        </is>
      </c>
      <c r="K1463" s="46" t="inlineStr">
        <is>
          <t xml:space="preserve">ايمن حبش </t>
        </is>
      </c>
      <c r="L1463" s="47" t="n">
        <v>14000</v>
      </c>
      <c r="M1463" s="47" t="n">
        <v>8100</v>
      </c>
      <c r="N1463" s="47" t="n"/>
      <c r="O1463" s="47" t="n">
        <v>200</v>
      </c>
      <c r="P1463" s="47" t="n"/>
      <c r="Q1463" s="47" t="n"/>
      <c r="R1463" s="43">
        <f>IF($B1463="","",N($S1463)-N($Q1463))</f>
        <v/>
      </c>
      <c r="S1463" s="43">
        <f>IF($B1463="","",N($L1463)+N($N1463)+N($P1463))</f>
        <v/>
      </c>
      <c r="T1463" s="47" t="n"/>
      <c r="U1463" s="47" t="n"/>
      <c r="V1463" s="47" t="n"/>
      <c r="W1463" s="47" t="n"/>
      <c r="X1463" s="47" t="n"/>
      <c r="Y1463" s="47" t="n"/>
      <c r="Z1463" s="47" t="n"/>
      <c r="AA1463" s="47" t="n"/>
      <c r="AB1463" s="47" t="n"/>
      <c r="AC1463" s="47" t="n"/>
      <c r="AD1463" s="47" t="n"/>
      <c r="AE1463" s="47" t="n"/>
      <c r="AF1463" s="43">
        <f>IF($B1463="","",SUM($T1463:$AE1463))</f>
        <v/>
      </c>
      <c r="AG1463" s="43">
        <f>IF($B1463="","",N($M1463)-N($AF1463))</f>
        <v/>
      </c>
      <c r="AH1463" s="43">
        <f>IF($B1463="","",N($L1463)-N($AF1463))</f>
        <v/>
      </c>
      <c r="AI1463" s="149">
        <f>IF($B1463="","",IF(N($L1463)=0,"",(N($L1463)-N($AF1463))/N($L1463)))</f>
        <v/>
      </c>
    </row>
    <row r="1464">
      <c r="A1464" s="39">
        <f>IF($B1464="","",COUNTA($B$4:$B1464))</f>
        <v/>
      </c>
      <c r="B1464" s="40" t="n">
        <v>46183</v>
      </c>
      <c r="C1464" s="41" t="n">
        <v>3224</v>
      </c>
      <c r="D1464" s="41" t="n"/>
      <c r="E1464" s="41" t="inlineStr">
        <is>
          <t>1*40</t>
        </is>
      </c>
      <c r="F1464" s="41" t="inlineStr">
        <is>
          <t xml:space="preserve">ناتورالى </t>
        </is>
      </c>
      <c r="G1464" s="41" t="inlineStr">
        <is>
          <t xml:space="preserve">اكتوبر </t>
        </is>
      </c>
      <c r="H1464" s="41" t="inlineStr">
        <is>
          <t>762096/3</t>
        </is>
      </c>
      <c r="I1464" s="41" t="inlineStr">
        <is>
          <t>ع ق ا 2832</t>
        </is>
      </c>
      <c r="J1464" s="41" t="inlineStr">
        <is>
          <t>احمد النوبى</t>
        </is>
      </c>
      <c r="K1464" s="41" t="inlineStr">
        <is>
          <t xml:space="preserve">النوبى </t>
        </is>
      </c>
      <c r="L1464" s="42" t="n">
        <v>13800</v>
      </c>
      <c r="M1464" s="42" t="n">
        <v>8100</v>
      </c>
      <c r="N1464" s="42" t="n"/>
      <c r="O1464" s="42" t="n">
        <v>200</v>
      </c>
      <c r="P1464" s="42" t="n"/>
      <c r="Q1464" s="42" t="n"/>
      <c r="R1464" s="43">
        <f>IF($B1464="","",N($S1464)-N($Q1464))</f>
        <v/>
      </c>
      <c r="S1464" s="43">
        <f>IF($B1464="","",N($L1464)+N($N1464)+N($P1464))</f>
        <v/>
      </c>
      <c r="T1464" s="42" t="n"/>
      <c r="U1464" s="42" t="n"/>
      <c r="V1464" s="42" t="n"/>
      <c r="W1464" s="42" t="n"/>
      <c r="X1464" s="42" t="n"/>
      <c r="Y1464" s="42" t="n"/>
      <c r="Z1464" s="42" t="n"/>
      <c r="AA1464" s="42" t="n"/>
      <c r="AB1464" s="42" t="n"/>
      <c r="AC1464" s="42" t="n"/>
      <c r="AD1464" s="42" t="n"/>
      <c r="AE1464" s="42" t="n"/>
      <c r="AF1464" s="43">
        <f>IF($B1464="","",SUM($T1464:$AE1464))</f>
        <v/>
      </c>
      <c r="AG1464" s="43">
        <f>IF($B1464="","",N($M1464)-N($AF1464))</f>
        <v/>
      </c>
      <c r="AH1464" s="43">
        <f>IF($B1464="","",N($L1464)-N($AF1464))</f>
        <v/>
      </c>
      <c r="AI1464" s="149">
        <f>IF($B1464="","",IF(N($L1464)=0,"",(N($L1464)-N($AF1464))/N($L1464)))</f>
        <v/>
      </c>
    </row>
    <row r="1465">
      <c r="A1465" s="39">
        <f>IF($B1465="","",COUNTA($B$4:$B1465))</f>
        <v/>
      </c>
      <c r="B1465" s="45" t="n">
        <v>46183</v>
      </c>
      <c r="C1465" s="46" t="n">
        <v>3223</v>
      </c>
      <c r="D1465" s="46" t="n"/>
      <c r="E1465" s="46" t="inlineStr">
        <is>
          <t>1*40</t>
        </is>
      </c>
      <c r="F1465" s="46" t="inlineStr">
        <is>
          <t xml:space="preserve">ناتورالى </t>
        </is>
      </c>
      <c r="G1465" s="46" t="inlineStr">
        <is>
          <t xml:space="preserve">اكتوبر </t>
        </is>
      </c>
      <c r="H1465" s="46" t="inlineStr">
        <is>
          <t>786452/0</t>
        </is>
      </c>
      <c r="I1465" s="46" t="inlineStr">
        <is>
          <t>س د ى 6838</t>
        </is>
      </c>
      <c r="J1465" s="46" t="inlineStr">
        <is>
          <t xml:space="preserve">احمد عبد الكريم </t>
        </is>
      </c>
      <c r="K1465" s="46" t="inlineStr">
        <is>
          <t>السائق</t>
        </is>
      </c>
      <c r="L1465" s="47" t="n">
        <v>13800</v>
      </c>
      <c r="M1465" s="47" t="n">
        <v>8100</v>
      </c>
      <c r="N1465" s="47" t="n"/>
      <c r="O1465" s="47" t="n">
        <v>200</v>
      </c>
      <c r="P1465" s="47" t="n"/>
      <c r="Q1465" s="47" t="n"/>
      <c r="R1465" s="43">
        <f>IF($B1465="","",N($S1465)-N($Q1465))</f>
        <v/>
      </c>
      <c r="S1465" s="43">
        <f>IF($B1465="","",N($L1465)+N($N1465)+N($P1465))</f>
        <v/>
      </c>
      <c r="T1465" s="47" t="n"/>
      <c r="U1465" s="47" t="n"/>
      <c r="V1465" s="47" t="n"/>
      <c r="W1465" s="47" t="n"/>
      <c r="X1465" s="47" t="n"/>
      <c r="Y1465" s="47" t="n"/>
      <c r="Z1465" s="47" t="n"/>
      <c r="AA1465" s="47" t="n"/>
      <c r="AB1465" s="47" t="n"/>
      <c r="AC1465" s="47" t="n"/>
      <c r="AD1465" s="47" t="n"/>
      <c r="AE1465" s="47" t="n"/>
      <c r="AF1465" s="43">
        <f>IF($B1465="","",SUM($T1465:$AE1465))</f>
        <v/>
      </c>
      <c r="AG1465" s="43">
        <f>IF($B1465="","",N($M1465)-N($AF1465))</f>
        <v/>
      </c>
      <c r="AH1465" s="43">
        <f>IF($B1465="","",N($L1465)-N($AF1465))</f>
        <v/>
      </c>
      <c r="AI1465" s="149">
        <f>IF($B1465="","",IF(N($L1465)=0,"",(N($L1465)-N($AF1465))/N($L1465)))</f>
        <v/>
      </c>
    </row>
    <row r="1466">
      <c r="A1466" s="39">
        <f>IF($B1466="","",COUNTA($B$4:$B1466))</f>
        <v/>
      </c>
      <c r="B1466" s="40" t="n">
        <v>46183</v>
      </c>
      <c r="C1466" s="41" t="n">
        <v>3222</v>
      </c>
      <c r="D1466" s="41" t="inlineStr">
        <is>
          <t xml:space="preserve">استوريا </t>
        </is>
      </c>
      <c r="E1466" s="41" t="inlineStr">
        <is>
          <t>1*40</t>
        </is>
      </c>
      <c r="F1466" s="41" t="inlineStr">
        <is>
          <t xml:space="preserve">ناتورالى </t>
        </is>
      </c>
      <c r="G1466" s="41" t="inlineStr">
        <is>
          <t xml:space="preserve">جسر السويس </t>
        </is>
      </c>
      <c r="H1466" s="41" t="inlineStr">
        <is>
          <t>487309/7</t>
        </is>
      </c>
      <c r="I1466" s="41" t="inlineStr">
        <is>
          <t>ب ج س 8719</t>
        </is>
      </c>
      <c r="J1466" s="41" t="inlineStr">
        <is>
          <t xml:space="preserve">حمدى السمرى </t>
        </is>
      </c>
      <c r="K1466" s="41" t="inlineStr">
        <is>
          <t xml:space="preserve">السمرى </t>
        </is>
      </c>
      <c r="L1466" s="42" t="n">
        <v>15000</v>
      </c>
      <c r="M1466" s="42" t="n">
        <v>8100</v>
      </c>
      <c r="N1466" s="42" t="n"/>
      <c r="O1466" s="42" t="n">
        <v>200</v>
      </c>
      <c r="P1466" s="42" t="n"/>
      <c r="Q1466" s="42" t="n"/>
      <c r="R1466" s="43">
        <f>IF($B1466="","",N($S1466)-N($Q1466))</f>
        <v/>
      </c>
      <c r="S1466" s="43">
        <f>IF($B1466="","",N($L1466)+N($N1466)+N($P1466))</f>
        <v/>
      </c>
      <c r="T1466" s="42" t="n"/>
      <c r="U1466" s="42" t="n"/>
      <c r="V1466" s="42" t="n"/>
      <c r="W1466" s="42" t="n"/>
      <c r="X1466" s="42" t="n"/>
      <c r="Y1466" s="42" t="n"/>
      <c r="Z1466" s="42" t="n"/>
      <c r="AA1466" s="42" t="n"/>
      <c r="AB1466" s="42" t="n"/>
      <c r="AC1466" s="42" t="n"/>
      <c r="AD1466" s="42" t="n"/>
      <c r="AE1466" s="42" t="n"/>
      <c r="AF1466" s="43">
        <f>IF($B1466="","",SUM($T1466:$AE1466))</f>
        <v/>
      </c>
      <c r="AG1466" s="43">
        <f>IF($B1466="","",N($M1466)-N($AF1466))</f>
        <v/>
      </c>
      <c r="AH1466" s="43">
        <f>IF($B1466="","",N($L1466)-N($AF1466))</f>
        <v/>
      </c>
      <c r="AI1466" s="149">
        <f>IF($B1466="","",IF(N($L1466)=0,"",(N($L1466)-N($AF1466))/N($L1466)))</f>
        <v/>
      </c>
    </row>
    <row r="1467">
      <c r="A1467" s="39">
        <f>IF($B1467="","",COUNTA($B$4:$B1467))</f>
        <v/>
      </c>
      <c r="B1467" s="45" t="n">
        <v>46183</v>
      </c>
      <c r="C1467" s="46" t="n">
        <v>3221</v>
      </c>
      <c r="D1467" s="46" t="inlineStr">
        <is>
          <t xml:space="preserve">استوريا </t>
        </is>
      </c>
      <c r="E1467" s="46" t="inlineStr">
        <is>
          <t>1*40</t>
        </is>
      </c>
      <c r="F1467" s="46" t="inlineStr">
        <is>
          <t xml:space="preserve">ناتورالى </t>
        </is>
      </c>
      <c r="G1467" s="46" t="inlineStr">
        <is>
          <t xml:space="preserve">اكتوبر </t>
        </is>
      </c>
      <c r="H1467" s="46" t="inlineStr">
        <is>
          <t>890825/8</t>
        </is>
      </c>
      <c r="I1467" s="46" t="inlineStr">
        <is>
          <t>س ع م 6516</t>
        </is>
      </c>
      <c r="J1467" s="46" t="inlineStr">
        <is>
          <t xml:space="preserve">احمد على </t>
        </is>
      </c>
      <c r="K1467" s="46" t="inlineStr">
        <is>
          <t>استوريا</t>
        </is>
      </c>
      <c r="L1467" s="47" t="n">
        <v>14000</v>
      </c>
      <c r="M1467" s="47" t="n">
        <v>8100</v>
      </c>
      <c r="N1467" s="47" t="n"/>
      <c r="O1467" s="47" t="n">
        <v>200</v>
      </c>
      <c r="P1467" s="47" t="n"/>
      <c r="Q1467" s="47" t="n"/>
      <c r="R1467" s="43">
        <f>IF($B1467="","",N($S1467)-N($Q1467))</f>
        <v/>
      </c>
      <c r="S1467" s="43">
        <f>IF($B1467="","",N($L1467)+N($N1467)+N($P1467))</f>
        <v/>
      </c>
      <c r="T1467" s="47" t="n"/>
      <c r="U1467" s="47" t="n"/>
      <c r="V1467" s="47" t="n"/>
      <c r="W1467" s="47" t="n"/>
      <c r="X1467" s="47" t="n"/>
      <c r="Y1467" s="47" t="n"/>
      <c r="Z1467" s="47" t="n"/>
      <c r="AA1467" s="47" t="n"/>
      <c r="AB1467" s="47" t="n"/>
      <c r="AC1467" s="47" t="n"/>
      <c r="AD1467" s="47" t="n"/>
      <c r="AE1467" s="47" t="n"/>
      <c r="AF1467" s="43">
        <f>IF($B1467="","",SUM($T1467:$AE1467))</f>
        <v/>
      </c>
      <c r="AG1467" s="43">
        <f>IF($B1467="","",N($M1467)-N($AF1467))</f>
        <v/>
      </c>
      <c r="AH1467" s="43">
        <f>IF($B1467="","",N($L1467)-N($AF1467))</f>
        <v/>
      </c>
      <c r="AI1467" s="149">
        <f>IF($B1467="","",IF(N($L1467)=0,"",(N($L1467)-N($AF1467))/N($L1467)))</f>
        <v/>
      </c>
    </row>
    <row r="1468">
      <c r="A1468" s="39">
        <f>IF($B1468="","",COUNTA($B$4:$B1468))</f>
        <v/>
      </c>
      <c r="B1468" s="40" t="n">
        <v>46184</v>
      </c>
      <c r="C1468" s="41" t="n">
        <v>3030</v>
      </c>
      <c r="D1468" s="41" t="inlineStr">
        <is>
          <t>المكتب</t>
        </is>
      </c>
      <c r="E1468" s="41" t="inlineStr">
        <is>
          <t>1*40</t>
        </is>
      </c>
      <c r="F1468" s="41" t="inlineStr">
        <is>
          <t xml:space="preserve">ايدن فودز </t>
        </is>
      </c>
      <c r="G1468" s="41" t="inlineStr">
        <is>
          <t>بنى سويف</t>
        </is>
      </c>
      <c r="H1468" s="41" t="inlineStr">
        <is>
          <t>724069/1</t>
        </is>
      </c>
      <c r="I1468" s="41" t="inlineStr">
        <is>
          <t>س ع م 8737</t>
        </is>
      </c>
      <c r="J1468" s="41" t="inlineStr">
        <is>
          <t xml:space="preserve">جلال حسنى </t>
        </is>
      </c>
      <c r="K1468" s="41" t="inlineStr">
        <is>
          <t xml:space="preserve">المكتب </t>
        </is>
      </c>
      <c r="L1468" s="42" t="n">
        <v>19000</v>
      </c>
      <c r="M1468" s="42" t="n">
        <v>1000</v>
      </c>
      <c r="N1468" s="42" t="n">
        <v>1000</v>
      </c>
      <c r="O1468" s="42" t="n"/>
      <c r="P1468" s="42" t="n"/>
      <c r="Q1468" s="42" t="n">
        <v>18000</v>
      </c>
      <c r="R1468" s="43">
        <f>IF($B1468="","",N($S1468)-N($Q1468))</f>
        <v/>
      </c>
      <c r="S1468" s="43">
        <f>IF($B1468="","",N($L1468)+N($N1468)+N($P1468))</f>
        <v/>
      </c>
      <c r="T1468" s="42" t="n"/>
      <c r="U1468" s="42" t="n"/>
      <c r="V1468" s="42" t="n"/>
      <c r="W1468" s="42" t="n"/>
      <c r="X1468" s="42" t="n"/>
      <c r="Y1468" s="42" t="n"/>
      <c r="Z1468" s="42" t="n"/>
      <c r="AA1468" s="42" t="n"/>
      <c r="AB1468" s="42" t="n"/>
      <c r="AC1468" s="42" t="n"/>
      <c r="AD1468" s="42" t="n"/>
      <c r="AE1468" s="42" t="n"/>
      <c r="AF1468" s="43">
        <f>IF($B1468="","",SUM($T1468:$AE1468))</f>
        <v/>
      </c>
      <c r="AG1468" s="43">
        <f>IF($B1468="","",N($M1468)-N($AF1468))</f>
        <v/>
      </c>
      <c r="AH1468" s="43">
        <f>IF($B1468="","",N($L1468)-N($AF1468))</f>
        <v/>
      </c>
      <c r="AI1468" s="149">
        <f>IF($B1468="","",IF(N($L1468)=0,"",(N($L1468)-N($AF1468))/N($L1468)))</f>
        <v/>
      </c>
    </row>
    <row r="1469">
      <c r="A1469" s="39">
        <f>IF($B1469="","",COUNTA($B$4:$B1469))</f>
        <v/>
      </c>
      <c r="B1469" s="45" t="n">
        <v>46184</v>
      </c>
      <c r="C1469" s="46" t="n">
        <v>3029</v>
      </c>
      <c r="D1469" s="46" t="inlineStr">
        <is>
          <t xml:space="preserve">الانصارى </t>
        </is>
      </c>
      <c r="E1469" s="46" t="inlineStr">
        <is>
          <t>1*40</t>
        </is>
      </c>
      <c r="F1469" s="46" t="inlineStr">
        <is>
          <t xml:space="preserve">ايدن فودز </t>
        </is>
      </c>
      <c r="G1469" s="46" t="inlineStr">
        <is>
          <t>بنى سويف</t>
        </is>
      </c>
      <c r="H1469" s="46" t="inlineStr">
        <is>
          <t>801331/8</t>
        </is>
      </c>
      <c r="I1469" s="46" t="inlineStr">
        <is>
          <t>ط ف ر 1474</t>
        </is>
      </c>
      <c r="J1469" s="46" t="inlineStr">
        <is>
          <t xml:space="preserve">جمال على </t>
        </is>
      </c>
      <c r="K1469" s="46" t="inlineStr">
        <is>
          <t xml:space="preserve">كريم خليف </t>
        </is>
      </c>
      <c r="L1469" s="47" t="n">
        <v>19000</v>
      </c>
      <c r="M1469" s="47" t="n">
        <v>9100</v>
      </c>
      <c r="N1469" s="47" t="n">
        <v>1100</v>
      </c>
      <c r="O1469" s="47" t="n">
        <v>200</v>
      </c>
      <c r="P1469" s="47" t="n"/>
      <c r="Q1469" s="47" t="n"/>
      <c r="R1469" s="43">
        <f>IF($B1469="","",N($S1469)-N($Q1469))</f>
        <v/>
      </c>
      <c r="S1469" s="43">
        <f>IF($B1469="","",N($L1469)+N($N1469)+N($P1469))</f>
        <v/>
      </c>
      <c r="T1469" s="47" t="n"/>
      <c r="U1469" s="47" t="n"/>
      <c r="V1469" s="47" t="n"/>
      <c r="W1469" s="47" t="n"/>
      <c r="X1469" s="47" t="n"/>
      <c r="Y1469" s="47" t="n"/>
      <c r="Z1469" s="47" t="n"/>
      <c r="AA1469" s="47" t="n"/>
      <c r="AB1469" s="47" t="n"/>
      <c r="AC1469" s="47" t="n"/>
      <c r="AD1469" s="47" t="n"/>
      <c r="AE1469" s="47" t="n"/>
      <c r="AF1469" s="43">
        <f>IF($B1469="","",SUM($T1469:$AE1469))</f>
        <v/>
      </c>
      <c r="AG1469" s="43">
        <f>IF($B1469="","",N($M1469)-N($AF1469))</f>
        <v/>
      </c>
      <c r="AH1469" s="43">
        <f>IF($B1469="","",N($L1469)-N($AF1469))</f>
        <v/>
      </c>
      <c r="AI1469" s="149">
        <f>IF($B1469="","",IF(N($L1469)=0,"",(N($L1469)-N($AF1469))/N($L1469)))</f>
        <v/>
      </c>
    </row>
    <row r="1470">
      <c r="A1470" s="39">
        <f>IF($B1470="","",COUNTA($B$4:$B1470))</f>
        <v/>
      </c>
      <c r="B1470" s="40" t="n">
        <v>46184</v>
      </c>
      <c r="C1470" s="41" t="n">
        <v>3031</v>
      </c>
      <c r="D1470" s="41" t="inlineStr">
        <is>
          <t>صعيدى 6</t>
        </is>
      </c>
      <c r="E1470" s="41" t="inlineStr">
        <is>
          <t>1*40</t>
        </is>
      </c>
      <c r="F1470" s="41" t="inlineStr">
        <is>
          <t xml:space="preserve">ايدن فودز </t>
        </is>
      </c>
      <c r="G1470" s="41" t="inlineStr">
        <is>
          <t>بنى سويف</t>
        </is>
      </c>
      <c r="H1470" s="41" t="inlineStr">
        <is>
          <t>747350/1</t>
        </is>
      </c>
      <c r="I1470" s="41" t="inlineStr">
        <is>
          <t>س و ب 2689</t>
        </is>
      </c>
      <c r="J1470" s="41" t="inlineStr">
        <is>
          <t xml:space="preserve">محمد السيد </t>
        </is>
      </c>
      <c r="K1470" s="41" t="inlineStr">
        <is>
          <t xml:space="preserve">محمد الصعيدى </t>
        </is>
      </c>
      <c r="L1470" s="42" t="n">
        <v>19500</v>
      </c>
      <c r="M1470" s="42" t="n">
        <v>9100</v>
      </c>
      <c r="N1470" s="42" t="n">
        <v>1100</v>
      </c>
      <c r="O1470" s="42" t="n">
        <v>200</v>
      </c>
      <c r="P1470" s="42" t="n"/>
      <c r="Q1470" s="42" t="n"/>
      <c r="R1470" s="43">
        <f>IF($B1470="","",N($S1470)-N($Q1470))</f>
        <v/>
      </c>
      <c r="S1470" s="43">
        <f>IF($B1470="","",N($L1470)+N($N1470)+N($P1470))</f>
        <v/>
      </c>
      <c r="T1470" s="42" t="n"/>
      <c r="U1470" s="42" t="n"/>
      <c r="V1470" s="42" t="n"/>
      <c r="W1470" s="42" t="n"/>
      <c r="X1470" s="42" t="n"/>
      <c r="Y1470" s="42" t="n"/>
      <c r="Z1470" s="42" t="n"/>
      <c r="AA1470" s="42" t="n"/>
      <c r="AB1470" s="42" t="n"/>
      <c r="AC1470" s="42" t="n"/>
      <c r="AD1470" s="42" t="n"/>
      <c r="AE1470" s="42" t="n"/>
      <c r="AF1470" s="43">
        <f>IF($B1470="","",SUM($T1470:$AE1470))</f>
        <v/>
      </c>
      <c r="AG1470" s="43">
        <f>IF($B1470="","",N($M1470)-N($AF1470))</f>
        <v/>
      </c>
      <c r="AH1470" s="43">
        <f>IF($B1470="","",N($L1470)-N($AF1470))</f>
        <v/>
      </c>
      <c r="AI1470" s="149">
        <f>IF($B1470="","",IF(N($L1470)=0,"",(N($L1470)-N($AF1470))/N($L1470)))</f>
        <v/>
      </c>
    </row>
    <row r="1471">
      <c r="A1471" s="39">
        <f>IF($B1471="","",COUNTA($B$4:$B1471))</f>
        <v/>
      </c>
      <c r="B1471" s="45" t="n">
        <v>46184</v>
      </c>
      <c r="C1471" s="46" t="n">
        <v>3140</v>
      </c>
      <c r="D1471" s="46" t="inlineStr">
        <is>
          <t xml:space="preserve">حماد </t>
        </is>
      </c>
      <c r="E1471" s="46" t="inlineStr">
        <is>
          <t>1*40</t>
        </is>
      </c>
      <c r="F1471" s="46" t="inlineStr">
        <is>
          <t xml:space="preserve">سمارت لاند </t>
        </is>
      </c>
      <c r="G1471" s="46" t="inlineStr">
        <is>
          <t>بنى سويف</t>
        </is>
      </c>
      <c r="H1471" s="46" t="inlineStr">
        <is>
          <t>968023/8</t>
        </is>
      </c>
      <c r="I1471" s="46" t="inlineStr">
        <is>
          <t>س د ه 8284</t>
        </is>
      </c>
      <c r="J1471" s="46" t="inlineStr">
        <is>
          <t xml:space="preserve">حسن اسماعيل </t>
        </is>
      </c>
      <c r="K1471" s="46" t="inlineStr">
        <is>
          <t>ابو هبش</t>
        </is>
      </c>
      <c r="L1471" s="47" t="n">
        <v>19500</v>
      </c>
      <c r="M1471" s="47" t="n">
        <v>10100</v>
      </c>
      <c r="N1471" s="47" t="n"/>
      <c r="O1471" s="47" t="n">
        <v>200</v>
      </c>
      <c r="P1471" s="47" t="n"/>
      <c r="Q1471" s="47" t="n"/>
      <c r="R1471" s="43">
        <f>IF($B1471="","",N($S1471)-N($Q1471))</f>
        <v/>
      </c>
      <c r="S1471" s="43">
        <f>IF($B1471="","",N($L1471)+N($N1471)+N($P1471))</f>
        <v/>
      </c>
      <c r="T1471" s="47" t="n"/>
      <c r="U1471" s="47" t="n"/>
      <c r="V1471" s="47" t="n"/>
      <c r="W1471" s="47" t="n"/>
      <c r="X1471" s="47" t="n"/>
      <c r="Y1471" s="47" t="n"/>
      <c r="Z1471" s="47" t="n"/>
      <c r="AA1471" s="47" t="n"/>
      <c r="AB1471" s="47" t="n"/>
      <c r="AC1471" s="47" t="n"/>
      <c r="AD1471" s="47" t="n"/>
      <c r="AE1471" s="47" t="n"/>
      <c r="AF1471" s="43">
        <f>IF($B1471="","",SUM($T1471:$AE1471))</f>
        <v/>
      </c>
      <c r="AG1471" s="43">
        <f>IF($B1471="","",N($M1471)-N($AF1471))</f>
        <v/>
      </c>
      <c r="AH1471" s="43">
        <f>IF($B1471="","",N($L1471)-N($AF1471))</f>
        <v/>
      </c>
      <c r="AI1471" s="149">
        <f>IF($B1471="","",IF(N($L1471)=0,"",(N($L1471)-N($AF1471))/N($L1471)))</f>
        <v/>
      </c>
    </row>
    <row r="1472">
      <c r="A1472" s="39">
        <f>IF($B1472="","",COUNTA($B$4:$B1472))</f>
        <v/>
      </c>
      <c r="B1472" s="40" t="n">
        <v>46184</v>
      </c>
      <c r="C1472" s="41" t="n">
        <v>3141</v>
      </c>
      <c r="D1472" s="41" t="inlineStr">
        <is>
          <t xml:space="preserve">استوريا </t>
        </is>
      </c>
      <c r="E1472" s="41" t="inlineStr">
        <is>
          <t>1*40</t>
        </is>
      </c>
      <c r="F1472" s="41" t="inlineStr">
        <is>
          <t xml:space="preserve">سمارت لاند </t>
        </is>
      </c>
      <c r="G1472" s="41" t="inlineStr">
        <is>
          <t>بنى سويف</t>
        </is>
      </c>
      <c r="H1472" s="41" t="inlineStr">
        <is>
          <t>613969/0</t>
        </is>
      </c>
      <c r="I1472" s="41" t="inlineStr">
        <is>
          <t>س ن ر 4233</t>
        </is>
      </c>
      <c r="J1472" s="41" t="inlineStr">
        <is>
          <t xml:space="preserve">صلاح المهندس </t>
        </is>
      </c>
      <c r="K1472" s="41" t="inlineStr">
        <is>
          <t>صلاخ المهندس</t>
        </is>
      </c>
      <c r="L1472" s="42" t="n">
        <v>19500</v>
      </c>
      <c r="M1472" s="42" t="n">
        <v>10100</v>
      </c>
      <c r="N1472" s="42" t="n"/>
      <c r="O1472" s="42" t="n">
        <v>200</v>
      </c>
      <c r="P1472" s="42" t="n"/>
      <c r="Q1472" s="42" t="n"/>
      <c r="R1472" s="43">
        <f>IF($B1472="","",N($S1472)-N($Q1472))</f>
        <v/>
      </c>
      <c r="S1472" s="43">
        <f>IF($B1472="","",N($L1472)+N($N1472)+N($P1472))</f>
        <v/>
      </c>
      <c r="T1472" s="42" t="n"/>
      <c r="U1472" s="42" t="n"/>
      <c r="V1472" s="42" t="n"/>
      <c r="W1472" s="42" t="n"/>
      <c r="X1472" s="42" t="n"/>
      <c r="Y1472" s="42" t="n"/>
      <c r="Z1472" s="42" t="n"/>
      <c r="AA1472" s="42" t="n"/>
      <c r="AB1472" s="42" t="n"/>
      <c r="AC1472" s="42" t="n"/>
      <c r="AD1472" s="42" t="n"/>
      <c r="AE1472" s="42" t="n"/>
      <c r="AF1472" s="43">
        <f>IF($B1472="","",SUM($T1472:$AE1472))</f>
        <v/>
      </c>
      <c r="AG1472" s="43">
        <f>IF($B1472="","",N($M1472)-N($AF1472))</f>
        <v/>
      </c>
      <c r="AH1472" s="43">
        <f>IF($B1472="","",N($L1472)-N($AF1472))</f>
        <v/>
      </c>
      <c r="AI1472" s="149">
        <f>IF($B1472="","",IF(N($L1472)=0,"",(N($L1472)-N($AF1472))/N($L1472)))</f>
        <v/>
      </c>
    </row>
    <row r="1473">
      <c r="A1473" s="39">
        <f>IF($B1473="","",COUNTA($B$4:$B1473))</f>
        <v/>
      </c>
      <c r="B1473" s="45" t="n">
        <v>46184</v>
      </c>
      <c r="C1473" s="46" t="n">
        <v>3134</v>
      </c>
      <c r="D1473" s="46" t="inlineStr">
        <is>
          <t xml:space="preserve">حماد </t>
        </is>
      </c>
      <c r="E1473" s="46" t="inlineStr">
        <is>
          <t>1*40</t>
        </is>
      </c>
      <c r="F1473" s="46" t="inlineStr">
        <is>
          <t xml:space="preserve">سمارت لاند </t>
        </is>
      </c>
      <c r="G1473" s="46" t="inlineStr">
        <is>
          <t>بنى سويف</t>
        </is>
      </c>
      <c r="H1473" s="46" t="inlineStr">
        <is>
          <t>782679/2</t>
        </is>
      </c>
      <c r="I1473" s="46" t="inlineStr">
        <is>
          <t>س ع م 1571</t>
        </is>
      </c>
      <c r="J1473" s="46" t="inlineStr">
        <is>
          <t xml:space="preserve">حسن محمد </t>
        </is>
      </c>
      <c r="K1473" s="46" t="inlineStr">
        <is>
          <t xml:space="preserve">عبدة كامل </t>
        </is>
      </c>
      <c r="L1473" s="47" t="n">
        <v>19500</v>
      </c>
      <c r="M1473" s="47" t="n">
        <v>10100</v>
      </c>
      <c r="N1473" s="47" t="n"/>
      <c r="O1473" s="47" t="n">
        <v>200</v>
      </c>
      <c r="P1473" s="47" t="n"/>
      <c r="Q1473" s="47" t="n"/>
      <c r="R1473" s="43">
        <f>IF($B1473="","",N($S1473)-N($Q1473))</f>
        <v/>
      </c>
      <c r="S1473" s="43">
        <f>IF($B1473="","",N($L1473)+N($N1473)+N($P1473))</f>
        <v/>
      </c>
      <c r="T1473" s="47" t="n"/>
      <c r="U1473" s="47" t="n"/>
      <c r="V1473" s="47" t="n"/>
      <c r="W1473" s="47" t="n"/>
      <c r="X1473" s="47" t="n"/>
      <c r="Y1473" s="47" t="n"/>
      <c r="Z1473" s="47" t="n"/>
      <c r="AA1473" s="47" t="n"/>
      <c r="AB1473" s="47" t="n"/>
      <c r="AC1473" s="47" t="n"/>
      <c r="AD1473" s="47" t="n"/>
      <c r="AE1473" s="47" t="n"/>
      <c r="AF1473" s="43">
        <f>IF($B1473="","",SUM($T1473:$AE1473))</f>
        <v/>
      </c>
      <c r="AG1473" s="43">
        <f>IF($B1473="","",N($M1473)-N($AF1473))</f>
        <v/>
      </c>
      <c r="AH1473" s="43">
        <f>IF($B1473="","",N($L1473)-N($AF1473))</f>
        <v/>
      </c>
      <c r="AI1473" s="149">
        <f>IF($B1473="","",IF(N($L1473)=0,"",(N($L1473)-N($AF1473))/N($L1473)))</f>
        <v/>
      </c>
    </row>
    <row r="1474">
      <c r="A1474" s="39">
        <f>IF($B1474="","",COUNTA($B$4:$B1474))</f>
        <v/>
      </c>
      <c r="B1474" s="40" t="n">
        <v>46184</v>
      </c>
      <c r="C1474" s="41" t="n">
        <v>3135</v>
      </c>
      <c r="D1474" s="41" t="inlineStr">
        <is>
          <t xml:space="preserve">حماد </t>
        </is>
      </c>
      <c r="E1474" s="41" t="inlineStr">
        <is>
          <t>1*40</t>
        </is>
      </c>
      <c r="F1474" s="41" t="inlineStr">
        <is>
          <t xml:space="preserve">سمارت لاند </t>
        </is>
      </c>
      <c r="G1474" s="41" t="inlineStr">
        <is>
          <t>بنى سويف</t>
        </is>
      </c>
      <c r="H1474" s="41" t="inlineStr">
        <is>
          <t>559224/7</t>
        </is>
      </c>
      <c r="I1474" s="41" t="inlineStr">
        <is>
          <t>س ا ى 7172</t>
        </is>
      </c>
      <c r="J1474" s="41" t="inlineStr">
        <is>
          <t xml:space="preserve">عمر عبد الحكيم </t>
        </is>
      </c>
      <c r="K1474" s="41" t="inlineStr">
        <is>
          <t>محمد الفردى</t>
        </is>
      </c>
      <c r="L1474" s="42" t="n">
        <v>19500</v>
      </c>
      <c r="M1474" s="42" t="n">
        <v>10100</v>
      </c>
      <c r="N1474" s="42" t="n"/>
      <c r="O1474" s="42" t="n">
        <v>200</v>
      </c>
      <c r="P1474" s="42" t="n"/>
      <c r="Q1474" s="42" t="n"/>
      <c r="R1474" s="43">
        <f>IF($B1474="","",N($S1474)-N($Q1474))</f>
        <v/>
      </c>
      <c r="S1474" s="43">
        <f>IF($B1474="","",N($L1474)+N($N1474)+N($P1474))</f>
        <v/>
      </c>
      <c r="T1474" s="42" t="n"/>
      <c r="U1474" s="42" t="n"/>
      <c r="V1474" s="42" t="n"/>
      <c r="W1474" s="42" t="n"/>
      <c r="X1474" s="42" t="n"/>
      <c r="Y1474" s="42" t="n"/>
      <c r="Z1474" s="42" t="n"/>
      <c r="AA1474" s="42" t="n"/>
      <c r="AB1474" s="42" t="n"/>
      <c r="AC1474" s="42" t="n"/>
      <c r="AD1474" s="42" t="n"/>
      <c r="AE1474" s="42" t="n"/>
      <c r="AF1474" s="43">
        <f>IF($B1474="","",SUM($T1474:$AE1474))</f>
        <v/>
      </c>
      <c r="AG1474" s="43">
        <f>IF($B1474="","",N($M1474)-N($AF1474))</f>
        <v/>
      </c>
      <c r="AH1474" s="43">
        <f>IF($B1474="","",N($L1474)-N($AF1474))</f>
        <v/>
      </c>
      <c r="AI1474" s="149">
        <f>IF($B1474="","",IF(N($L1474)=0,"",(N($L1474)-N($AF1474))/N($L1474)))</f>
        <v/>
      </c>
    </row>
    <row r="1475">
      <c r="A1475" s="39">
        <f>IF($B1475="","",COUNTA($B$4:$B1475))</f>
        <v/>
      </c>
      <c r="B1475" s="45" t="n">
        <v>46184</v>
      </c>
      <c r="C1475" s="46" t="n">
        <v>3136</v>
      </c>
      <c r="D1475" s="46" t="inlineStr">
        <is>
          <t xml:space="preserve">ابراهيم سمارة </t>
        </is>
      </c>
      <c r="E1475" s="46" t="inlineStr">
        <is>
          <t>1*40</t>
        </is>
      </c>
      <c r="F1475" s="46" t="inlineStr">
        <is>
          <t xml:space="preserve">سمارت لاند </t>
        </is>
      </c>
      <c r="G1475" s="46" t="inlineStr">
        <is>
          <t>بنى سويف</t>
        </is>
      </c>
      <c r="H1475" s="46" t="inlineStr">
        <is>
          <t>435382/5</t>
        </is>
      </c>
      <c r="I1475" s="46" t="inlineStr">
        <is>
          <t>س د ى 9697</t>
        </is>
      </c>
      <c r="J1475" s="46" t="inlineStr">
        <is>
          <t xml:space="preserve">عبد الله </t>
        </is>
      </c>
      <c r="K1475" s="46" t="inlineStr">
        <is>
          <t xml:space="preserve">احمد يسرى </t>
        </is>
      </c>
      <c r="L1475" s="47" t="n">
        <v>19500</v>
      </c>
      <c r="M1475" s="47" t="n">
        <v>10100</v>
      </c>
      <c r="N1475" s="47" t="n"/>
      <c r="O1475" s="47" t="n">
        <v>200</v>
      </c>
      <c r="P1475" s="47" t="n"/>
      <c r="Q1475" s="47" t="n"/>
      <c r="R1475" s="43">
        <f>IF($B1475="","",N($S1475)-N($Q1475))</f>
        <v/>
      </c>
      <c r="S1475" s="43">
        <f>IF($B1475="","",N($L1475)+N($N1475)+N($P1475))</f>
        <v/>
      </c>
      <c r="T1475" s="47" t="n"/>
      <c r="U1475" s="47" t="n"/>
      <c r="V1475" s="47" t="n"/>
      <c r="W1475" s="47" t="n"/>
      <c r="X1475" s="47" t="n"/>
      <c r="Y1475" s="47" t="n"/>
      <c r="Z1475" s="47" t="n"/>
      <c r="AA1475" s="47" t="n"/>
      <c r="AB1475" s="47" t="n"/>
      <c r="AC1475" s="47" t="n"/>
      <c r="AD1475" s="47" t="n"/>
      <c r="AE1475" s="47" t="n"/>
      <c r="AF1475" s="43">
        <f>IF($B1475="","",SUM($T1475:$AE1475))</f>
        <v/>
      </c>
      <c r="AG1475" s="43">
        <f>IF($B1475="","",N($M1475)-N($AF1475))</f>
        <v/>
      </c>
      <c r="AH1475" s="43">
        <f>IF($B1475="","",N($L1475)-N($AF1475))</f>
        <v/>
      </c>
      <c r="AI1475" s="149">
        <f>IF($B1475="","",IF(N($L1475)=0,"",(N($L1475)-N($AF1475))/N($L1475)))</f>
        <v/>
      </c>
    </row>
    <row r="1476">
      <c r="A1476" s="39">
        <f>IF($B1476="","",COUNTA($B$4:$B1476))</f>
        <v/>
      </c>
      <c r="B1476" s="40" t="n">
        <v>46185</v>
      </c>
      <c r="C1476" s="41" t="n">
        <v>3143</v>
      </c>
      <c r="D1476" s="41" t="inlineStr">
        <is>
          <t xml:space="preserve">الانصارى </t>
        </is>
      </c>
      <c r="E1476" s="41" t="inlineStr">
        <is>
          <t>1*40</t>
        </is>
      </c>
      <c r="F1476" s="41" t="inlineStr">
        <is>
          <t xml:space="preserve">بليسد ترى </t>
        </is>
      </c>
      <c r="G1476" s="41" t="inlineStr">
        <is>
          <t>الاسماعيليه</t>
        </is>
      </c>
      <c r="H1476" s="41" t="inlineStr">
        <is>
          <t>404917/6</t>
        </is>
      </c>
      <c r="I1476" s="41" t="inlineStr">
        <is>
          <t>ب ص ا 2574</t>
        </is>
      </c>
      <c r="J1476" s="41" t="inlineStr">
        <is>
          <t xml:space="preserve">احمد عادل خليف </t>
        </is>
      </c>
      <c r="K1476" s="41" t="inlineStr">
        <is>
          <t xml:space="preserve">احمد خليف </t>
        </is>
      </c>
      <c r="L1476" s="42" t="n">
        <v>18000</v>
      </c>
      <c r="M1476" s="42" t="n">
        <v>9100</v>
      </c>
      <c r="N1476" s="42" t="n"/>
      <c r="O1476" s="42" t="n">
        <v>200</v>
      </c>
      <c r="P1476" s="42" t="n"/>
      <c r="Q1476" s="42" t="n"/>
      <c r="R1476" s="43">
        <f>IF($B1476="","",N($S1476)-N($Q1476))</f>
        <v/>
      </c>
      <c r="S1476" s="43">
        <f>IF($B1476="","",N($L1476)+N($N1476)+N($P1476))</f>
        <v/>
      </c>
      <c r="T1476" s="42" t="n"/>
      <c r="U1476" s="42" t="n"/>
      <c r="V1476" s="42" t="n"/>
      <c r="W1476" s="42" t="n"/>
      <c r="X1476" s="42" t="n"/>
      <c r="Y1476" s="42" t="n"/>
      <c r="Z1476" s="42" t="n"/>
      <c r="AA1476" s="42" t="n"/>
      <c r="AB1476" s="42" t="n"/>
      <c r="AC1476" s="42" t="n"/>
      <c r="AD1476" s="42" t="n"/>
      <c r="AE1476" s="42" t="n"/>
      <c r="AF1476" s="43">
        <f>IF($B1476="","",SUM($T1476:$AE1476))</f>
        <v/>
      </c>
      <c r="AG1476" s="43">
        <f>IF($B1476="","",N($M1476)-N($AF1476))</f>
        <v/>
      </c>
      <c r="AH1476" s="43">
        <f>IF($B1476="","",N($L1476)-N($AF1476))</f>
        <v/>
      </c>
      <c r="AI1476" s="149">
        <f>IF($B1476="","",IF(N($L1476)=0,"",(N($L1476)-N($AF1476))/N($L1476)))</f>
        <v/>
      </c>
    </row>
    <row r="1477">
      <c r="A1477" s="39">
        <f>IF($B1477="","",COUNTA($B$4:$B1477))</f>
        <v/>
      </c>
      <c r="B1477" s="45" t="n">
        <v>46185</v>
      </c>
      <c r="C1477" s="46" t="n">
        <v>3144</v>
      </c>
      <c r="D1477" s="46" t="inlineStr">
        <is>
          <t>اسلام محروس</t>
        </is>
      </c>
      <c r="E1477" s="46" t="inlineStr">
        <is>
          <t>1*40</t>
        </is>
      </c>
      <c r="F1477" s="46" t="inlineStr">
        <is>
          <t xml:space="preserve">بليسد ترى </t>
        </is>
      </c>
      <c r="G1477" s="46" t="inlineStr">
        <is>
          <t>الاسماعيليه</t>
        </is>
      </c>
      <c r="H1477" s="46" t="inlineStr">
        <is>
          <t>728110/1</t>
        </is>
      </c>
      <c r="I1477" s="46" t="inlineStr">
        <is>
          <t>ص ع ا 7462</t>
        </is>
      </c>
      <c r="J1477" s="46" t="inlineStr">
        <is>
          <t xml:space="preserve">فتحى احمد </t>
        </is>
      </c>
      <c r="K1477" s="46" t="inlineStr">
        <is>
          <t xml:space="preserve">الحجرى </t>
        </is>
      </c>
      <c r="L1477" s="47" t="n">
        <v>18000</v>
      </c>
      <c r="M1477" s="47" t="n">
        <v>9100</v>
      </c>
      <c r="N1477" s="47" t="n"/>
      <c r="O1477" s="47" t="n">
        <v>200</v>
      </c>
      <c r="P1477" s="47" t="n"/>
      <c r="Q1477" s="47" t="n"/>
      <c r="R1477" s="43">
        <f>IF($B1477="","",N($S1477)-N($Q1477))</f>
        <v/>
      </c>
      <c r="S1477" s="43">
        <f>IF($B1477="","",N($L1477)+N($N1477)+N($P1477))</f>
        <v/>
      </c>
      <c r="T1477" s="47" t="n"/>
      <c r="U1477" s="47" t="n"/>
      <c r="V1477" s="47" t="n"/>
      <c r="W1477" s="47" t="n"/>
      <c r="X1477" s="47" t="n"/>
      <c r="Y1477" s="47" t="n"/>
      <c r="Z1477" s="47" t="n"/>
      <c r="AA1477" s="47" t="n"/>
      <c r="AB1477" s="47" t="n"/>
      <c r="AC1477" s="47" t="n"/>
      <c r="AD1477" s="47" t="n"/>
      <c r="AE1477" s="47" t="n"/>
      <c r="AF1477" s="43">
        <f>IF($B1477="","",SUM($T1477:$AE1477))</f>
        <v/>
      </c>
      <c r="AG1477" s="43">
        <f>IF($B1477="","",N($M1477)-N($AF1477))</f>
        <v/>
      </c>
      <c r="AH1477" s="43">
        <f>IF($B1477="","",N($L1477)-N($AF1477))</f>
        <v/>
      </c>
      <c r="AI1477" s="149">
        <f>IF($B1477="","",IF(N($L1477)=0,"",(N($L1477)-N($AF1477))/N($L1477)))</f>
        <v/>
      </c>
    </row>
    <row r="1478">
      <c r="A1478" s="39">
        <f>IF($B1478="","",COUNTA($B$4:$B1478))</f>
        <v/>
      </c>
      <c r="B1478" s="40" t="n">
        <v>46185</v>
      </c>
      <c r="C1478" s="41" t="n">
        <v>3142</v>
      </c>
      <c r="D1478" s="41" t="n"/>
      <c r="E1478" s="41" t="inlineStr">
        <is>
          <t>1*40</t>
        </is>
      </c>
      <c r="F1478" s="41" t="inlineStr">
        <is>
          <t xml:space="preserve">جولدن اورينت </t>
        </is>
      </c>
      <c r="G1478" s="41" t="inlineStr">
        <is>
          <t xml:space="preserve">السادات </t>
        </is>
      </c>
      <c r="H1478" s="41" t="inlineStr">
        <is>
          <t>750036/0</t>
        </is>
      </c>
      <c r="I1478" s="41" t="inlineStr">
        <is>
          <t>س د و 4151</t>
        </is>
      </c>
      <c r="J1478" s="41" t="inlineStr">
        <is>
          <t xml:space="preserve">حسن ابراهيم </t>
        </is>
      </c>
      <c r="K1478" s="41" t="n"/>
      <c r="L1478" s="42" t="n">
        <v>12500</v>
      </c>
      <c r="M1478" s="42" t="n">
        <v>7100</v>
      </c>
      <c r="N1478" s="42" t="n"/>
      <c r="O1478" s="42" t="n">
        <v>200</v>
      </c>
      <c r="P1478" s="42" t="n"/>
      <c r="Q1478" s="42" t="n"/>
      <c r="R1478" s="43">
        <f>IF($B1478="","",N($S1478)-N($Q1478))</f>
        <v/>
      </c>
      <c r="S1478" s="43">
        <f>IF($B1478="","",N($L1478)+N($N1478)+N($P1478))</f>
        <v/>
      </c>
      <c r="T1478" s="42" t="n"/>
      <c r="U1478" s="42" t="n"/>
      <c r="V1478" s="42" t="n"/>
      <c r="W1478" s="42" t="n"/>
      <c r="X1478" s="42" t="n"/>
      <c r="Y1478" s="42" t="n"/>
      <c r="Z1478" s="42" t="n"/>
      <c r="AA1478" s="42" t="n"/>
      <c r="AB1478" s="42" t="n"/>
      <c r="AC1478" s="42" t="n"/>
      <c r="AD1478" s="42" t="n"/>
      <c r="AE1478" s="42" t="n"/>
      <c r="AF1478" s="43">
        <f>IF($B1478="","",SUM($T1478:$AE1478))</f>
        <v/>
      </c>
      <c r="AG1478" s="43">
        <f>IF($B1478="","",N($M1478)-N($AF1478))</f>
        <v/>
      </c>
      <c r="AH1478" s="43">
        <f>IF($B1478="","",N($L1478)-N($AF1478))</f>
        <v/>
      </c>
      <c r="AI1478" s="149">
        <f>IF($B1478="","",IF(N($L1478)=0,"",(N($L1478)-N($AF1478))/N($L1478)))</f>
        <v/>
      </c>
    </row>
    <row r="1479">
      <c r="A1479" s="39">
        <f>IF($B1479="","",COUNTA($B$4:$B1479))</f>
        <v/>
      </c>
      <c r="B1479" s="45" t="n">
        <v>46185</v>
      </c>
      <c r="C1479" s="46" t="n">
        <v>3137</v>
      </c>
      <c r="D1479" s="46" t="n"/>
      <c r="E1479" s="46" t="inlineStr">
        <is>
          <t>1*40</t>
        </is>
      </c>
      <c r="F1479" s="46" t="inlineStr">
        <is>
          <t xml:space="preserve">جولدن اورينت </t>
        </is>
      </c>
      <c r="G1479" s="46" t="inlineStr">
        <is>
          <t xml:space="preserve">السادات </t>
        </is>
      </c>
      <c r="H1479" s="46" t="inlineStr">
        <is>
          <t>527699/7</t>
        </is>
      </c>
      <c r="I1479" s="46" t="inlineStr">
        <is>
          <t>س ق ر 3889</t>
        </is>
      </c>
      <c r="J1479" s="46" t="inlineStr">
        <is>
          <t xml:space="preserve">ابراهيم البندارى </t>
        </is>
      </c>
      <c r="K1479" s="46" t="inlineStr">
        <is>
          <t xml:space="preserve">السيد رزق </t>
        </is>
      </c>
      <c r="L1479" s="47" t="n">
        <v>12500</v>
      </c>
      <c r="M1479" s="47" t="n">
        <v>8100</v>
      </c>
      <c r="N1479" s="47" t="n"/>
      <c r="O1479" s="47" t="n">
        <v>200</v>
      </c>
      <c r="P1479" s="47" t="n"/>
      <c r="Q1479" s="47" t="n">
        <v>4200</v>
      </c>
      <c r="R1479" s="43">
        <f>IF($B1479="","",N($S1479)-N($Q1479))</f>
        <v/>
      </c>
      <c r="S1479" s="43">
        <f>IF($B1479="","",N($L1479)+N($N1479)+N($P1479))</f>
        <v/>
      </c>
      <c r="T1479" s="47" t="n"/>
      <c r="U1479" s="47" t="n"/>
      <c r="V1479" s="47" t="n"/>
      <c r="W1479" s="47" t="n"/>
      <c r="X1479" s="47" t="n"/>
      <c r="Y1479" s="47" t="n"/>
      <c r="Z1479" s="47" t="n"/>
      <c r="AA1479" s="47" t="n"/>
      <c r="AB1479" s="47" t="n"/>
      <c r="AC1479" s="47" t="n"/>
      <c r="AD1479" s="47" t="n"/>
      <c r="AE1479" s="47" t="n"/>
      <c r="AF1479" s="43">
        <f>IF($B1479="","",SUM($T1479:$AE1479))</f>
        <v/>
      </c>
      <c r="AG1479" s="43">
        <f>IF($B1479="","",N($M1479)-N($AF1479))</f>
        <v/>
      </c>
      <c r="AH1479" s="43">
        <f>IF($B1479="","",N($L1479)-N($AF1479))</f>
        <v/>
      </c>
      <c r="AI1479" s="149">
        <f>IF($B1479="","",IF(N($L1479)=0,"",(N($L1479)-N($AF1479))/N($L1479)))</f>
        <v/>
      </c>
    </row>
    <row r="1480">
      <c r="A1480" s="39">
        <f>IF($B1480="","",COUNTA($B$4:$B1480))</f>
        <v/>
      </c>
      <c r="B1480" s="40" t="n">
        <v>46185</v>
      </c>
      <c r="C1480" s="41" t="n">
        <v>3139</v>
      </c>
      <c r="D1480" s="41" t="inlineStr">
        <is>
          <t xml:space="preserve">حماد </t>
        </is>
      </c>
      <c r="E1480" s="41" t="inlineStr">
        <is>
          <t>1*40</t>
        </is>
      </c>
      <c r="F1480" s="41" t="inlineStr">
        <is>
          <t xml:space="preserve">جولدن اورينت </t>
        </is>
      </c>
      <c r="G1480" s="41" t="inlineStr">
        <is>
          <t xml:space="preserve">السادات </t>
        </is>
      </c>
      <c r="H1480" s="41" t="inlineStr">
        <is>
          <t>432820/5</t>
        </is>
      </c>
      <c r="I1480" s="41" t="inlineStr">
        <is>
          <t>س م ى 1697</t>
        </is>
      </c>
      <c r="J1480" s="41" t="inlineStr">
        <is>
          <t xml:space="preserve">بيسرى النادى </t>
        </is>
      </c>
      <c r="K1480" s="41" t="inlineStr">
        <is>
          <t xml:space="preserve">وليد القبطان </t>
        </is>
      </c>
      <c r="L1480" s="42" t="n">
        <v>12500</v>
      </c>
      <c r="M1480" s="42" t="n">
        <v>9100</v>
      </c>
      <c r="N1480" s="42" t="n"/>
      <c r="O1480" s="42" t="n">
        <v>200</v>
      </c>
      <c r="P1480" s="42" t="n"/>
      <c r="Q1480" s="42" t="n"/>
      <c r="R1480" s="43">
        <f>IF($B1480="","",N($S1480)-N($Q1480))</f>
        <v/>
      </c>
      <c r="S1480" s="43">
        <f>IF($B1480="","",N($L1480)+N($N1480)+N($P1480))</f>
        <v/>
      </c>
      <c r="T1480" s="42" t="n"/>
      <c r="U1480" s="42" t="n"/>
      <c r="V1480" s="42" t="n"/>
      <c r="W1480" s="42" t="n"/>
      <c r="X1480" s="42" t="n"/>
      <c r="Y1480" s="42" t="n"/>
      <c r="Z1480" s="42" t="n"/>
      <c r="AA1480" s="42" t="n"/>
      <c r="AB1480" s="42" t="n"/>
      <c r="AC1480" s="42" t="n"/>
      <c r="AD1480" s="42" t="n"/>
      <c r="AE1480" s="42" t="n"/>
      <c r="AF1480" s="43">
        <f>IF($B1480="","",SUM($T1480:$AE1480))</f>
        <v/>
      </c>
      <c r="AG1480" s="43">
        <f>IF($B1480="","",N($M1480)-N($AF1480))</f>
        <v/>
      </c>
      <c r="AH1480" s="43">
        <f>IF($B1480="","",N($L1480)-N($AF1480))</f>
        <v/>
      </c>
      <c r="AI1480" s="149">
        <f>IF($B1480="","",IF(N($L1480)=0,"",(N($L1480)-N($AF1480))/N($L1480)))</f>
        <v/>
      </c>
    </row>
    <row r="1481">
      <c r="A1481" s="39">
        <f>IF($B1481="","",COUNTA($B$4:$B1481))</f>
        <v/>
      </c>
      <c r="B1481" s="45" t="n">
        <v>46184</v>
      </c>
      <c r="C1481" s="46" t="n">
        <v>3138</v>
      </c>
      <c r="D1481" s="46" t="inlineStr">
        <is>
          <t xml:space="preserve">كمال رزق </t>
        </is>
      </c>
      <c r="E1481" s="46" t="inlineStr">
        <is>
          <t>1*40</t>
        </is>
      </c>
      <c r="F1481" s="46" t="inlineStr">
        <is>
          <t xml:space="preserve">جولدن اورينت </t>
        </is>
      </c>
      <c r="G1481" s="46" t="inlineStr">
        <is>
          <t xml:space="preserve">السادات </t>
        </is>
      </c>
      <c r="H1481" s="46" t="inlineStr">
        <is>
          <t>506372/8</t>
        </is>
      </c>
      <c r="I1481" s="46" t="inlineStr">
        <is>
          <t>س ن ر 8979</t>
        </is>
      </c>
      <c r="J1481" s="46" t="inlineStr">
        <is>
          <t xml:space="preserve">عماد سعيد </t>
        </is>
      </c>
      <c r="K1481" s="46" t="inlineStr">
        <is>
          <t xml:space="preserve">عماد سعيد </t>
        </is>
      </c>
      <c r="L1481" s="47" t="n">
        <v>12800</v>
      </c>
      <c r="M1481" s="47" t="n">
        <v>7100</v>
      </c>
      <c r="N1481" s="47" t="n"/>
      <c r="O1481" s="47" t="n">
        <v>200</v>
      </c>
      <c r="P1481" s="47" t="n"/>
      <c r="Q1481" s="47" t="n"/>
      <c r="R1481" s="43">
        <f>IF($B1481="","",N($S1481)-N($Q1481))</f>
        <v/>
      </c>
      <c r="S1481" s="43">
        <f>IF($B1481="","",N($L1481)+N($N1481)+N($P1481))</f>
        <v/>
      </c>
      <c r="T1481" s="47" t="n"/>
      <c r="U1481" s="47" t="n"/>
      <c r="V1481" s="47" t="n"/>
      <c r="W1481" s="47" t="n"/>
      <c r="X1481" s="47" t="n"/>
      <c r="Y1481" s="47" t="n"/>
      <c r="Z1481" s="47" t="n"/>
      <c r="AA1481" s="47" t="n"/>
      <c r="AB1481" s="47" t="n"/>
      <c r="AC1481" s="47" t="n"/>
      <c r="AD1481" s="47" t="n"/>
      <c r="AE1481" s="47" t="n"/>
      <c r="AF1481" s="43">
        <f>IF($B1481="","",SUM($T1481:$AE1481))</f>
        <v/>
      </c>
      <c r="AG1481" s="43">
        <f>IF($B1481="","",N($M1481)-N($AF1481))</f>
        <v/>
      </c>
      <c r="AH1481" s="43">
        <f>IF($B1481="","",N($L1481)-N($AF1481))</f>
        <v/>
      </c>
      <c r="AI1481" s="149">
        <f>IF($B1481="","",IF(N($L1481)=0,"",(N($L1481)-N($AF1481))/N($L1481)))</f>
        <v/>
      </c>
    </row>
    <row r="1482">
      <c r="A1482" s="39">
        <f>IF($B1482="","",COUNTA($B$4:$B1482))</f>
        <v/>
      </c>
      <c r="B1482" s="40" t="n">
        <v>46185</v>
      </c>
      <c r="C1482" s="41" t="n">
        <v>3179</v>
      </c>
      <c r="D1482" s="41" t="inlineStr">
        <is>
          <t>وليد الجهينى</t>
        </is>
      </c>
      <c r="E1482" s="41" t="inlineStr">
        <is>
          <t>1*40</t>
        </is>
      </c>
      <c r="F1482" s="41" t="inlineStr">
        <is>
          <t xml:space="preserve">غبور </t>
        </is>
      </c>
      <c r="G1482" s="41" t="inlineStr">
        <is>
          <t xml:space="preserve">السادات </t>
        </is>
      </c>
      <c r="H1482" s="41" t="inlineStr">
        <is>
          <t>687332/0</t>
        </is>
      </c>
      <c r="I1482" s="41" t="inlineStr">
        <is>
          <t>س ن ر 3739</t>
        </is>
      </c>
      <c r="J1482" s="41" t="inlineStr">
        <is>
          <t xml:space="preserve">همام العشرى </t>
        </is>
      </c>
      <c r="K1482" s="41" t="inlineStr">
        <is>
          <t xml:space="preserve">همام </t>
        </is>
      </c>
      <c r="L1482" s="42" t="n">
        <v>12500</v>
      </c>
      <c r="M1482" s="42" t="n">
        <v>7100</v>
      </c>
      <c r="N1482" s="42" t="n"/>
      <c r="O1482" s="42" t="n">
        <v>200</v>
      </c>
      <c r="P1482" s="42" t="n"/>
      <c r="Q1482" s="42" t="n"/>
      <c r="R1482" s="43">
        <f>IF($B1482="","",N($S1482)-N($Q1482))</f>
        <v/>
      </c>
      <c r="S1482" s="43">
        <f>IF($B1482="","",N($L1482)+N($N1482)+N($P1482))</f>
        <v/>
      </c>
      <c r="T1482" s="42" t="n"/>
      <c r="U1482" s="42" t="n"/>
      <c r="V1482" s="42" t="n"/>
      <c r="W1482" s="42" t="n"/>
      <c r="X1482" s="42" t="n"/>
      <c r="Y1482" s="42" t="n"/>
      <c r="Z1482" s="42" t="n"/>
      <c r="AA1482" s="42" t="n"/>
      <c r="AB1482" s="42" t="n"/>
      <c r="AC1482" s="42" t="n"/>
      <c r="AD1482" s="42" t="n"/>
      <c r="AE1482" s="42" t="n"/>
      <c r="AF1482" s="43">
        <f>IF($B1482="","",SUM($T1482:$AE1482))</f>
        <v/>
      </c>
      <c r="AG1482" s="43">
        <f>IF($B1482="","",N($M1482)-N($AF1482))</f>
        <v/>
      </c>
      <c r="AH1482" s="43">
        <f>IF($B1482="","",N($L1482)-N($AF1482))</f>
        <v/>
      </c>
      <c r="AI1482" s="149">
        <f>IF($B1482="","",IF(N($L1482)=0,"",(N($L1482)-N($AF1482))/N($L1482)))</f>
        <v/>
      </c>
    </row>
    <row r="1483">
      <c r="A1483" s="39">
        <f>IF($B1483="","",COUNTA($B$4:$B1483))</f>
        <v/>
      </c>
      <c r="B1483" s="45" t="n">
        <v>46186</v>
      </c>
      <c r="C1483" s="46" t="n">
        <v>3148</v>
      </c>
      <c r="D1483" s="46" t="inlineStr">
        <is>
          <t>المكتب</t>
        </is>
      </c>
      <c r="E1483" s="46" t="inlineStr">
        <is>
          <t>2*20</t>
        </is>
      </c>
      <c r="F1483" s="46" t="inlineStr">
        <is>
          <t xml:space="preserve">ريجينا </t>
        </is>
      </c>
      <c r="G1483" s="46" t="inlineStr">
        <is>
          <t xml:space="preserve">السادات </t>
        </is>
      </c>
      <c r="H1483" s="46" t="inlineStr">
        <is>
          <t>212959/5-211699/8</t>
        </is>
      </c>
      <c r="I1483" s="46" t="inlineStr">
        <is>
          <t>س ع م 8737</t>
        </is>
      </c>
      <c r="J1483" s="46" t="inlineStr">
        <is>
          <t xml:space="preserve">جلال حسنى </t>
        </is>
      </c>
      <c r="K1483" s="46" t="inlineStr">
        <is>
          <t xml:space="preserve">المكتب </t>
        </is>
      </c>
      <c r="L1483" s="47" t="n">
        <v>17000</v>
      </c>
      <c r="M1483" s="47" t="n">
        <v>3000</v>
      </c>
      <c r="N1483" s="47" t="n"/>
      <c r="O1483" s="47" t="n"/>
      <c r="P1483" s="47" t="n"/>
      <c r="Q1483" s="47" t="n">
        <v>14000</v>
      </c>
      <c r="R1483" s="43">
        <f>IF($B1483="","",N($S1483)-N($Q1483))</f>
        <v/>
      </c>
      <c r="S1483" s="43">
        <f>IF($B1483="","",N($L1483)+N($N1483)+N($P1483))</f>
        <v/>
      </c>
      <c r="T1483" s="47" t="n"/>
      <c r="U1483" s="47" t="n"/>
      <c r="V1483" s="47" t="n"/>
      <c r="W1483" s="47" t="n"/>
      <c r="X1483" s="47" t="n"/>
      <c r="Y1483" s="47" t="n"/>
      <c r="Z1483" s="47" t="n"/>
      <c r="AA1483" s="47" t="n"/>
      <c r="AB1483" s="47" t="n"/>
      <c r="AC1483" s="47" t="n"/>
      <c r="AD1483" s="47" t="n"/>
      <c r="AE1483" s="47" t="n"/>
      <c r="AF1483" s="43">
        <f>IF($B1483="","",SUM($T1483:$AE1483))</f>
        <v/>
      </c>
      <c r="AG1483" s="43">
        <f>IF($B1483="","",N($M1483)-N($AF1483))</f>
        <v/>
      </c>
      <c r="AH1483" s="43">
        <f>IF($B1483="","",N($L1483)-N($AF1483))</f>
        <v/>
      </c>
      <c r="AI1483" s="149">
        <f>IF($B1483="","",IF(N($L1483)=0,"",(N($L1483)-N($AF1483))/N($L1483)))</f>
        <v/>
      </c>
    </row>
    <row r="1484">
      <c r="A1484" s="39">
        <f>IF($B1484="","",COUNTA($B$4:$B1484))</f>
        <v/>
      </c>
      <c r="B1484" s="40" t="n">
        <v>46186</v>
      </c>
      <c r="C1484" s="41" t="n">
        <v>3149</v>
      </c>
      <c r="D1484" s="41" t="inlineStr">
        <is>
          <t>اسلام محروس</t>
        </is>
      </c>
      <c r="E1484" s="41" t="inlineStr">
        <is>
          <t>2*20</t>
        </is>
      </c>
      <c r="F1484" s="41" t="inlineStr">
        <is>
          <t xml:space="preserve">ريجينا </t>
        </is>
      </c>
      <c r="G1484" s="41" t="inlineStr">
        <is>
          <t xml:space="preserve">السادات </t>
        </is>
      </c>
      <c r="H1484" s="41" t="inlineStr">
        <is>
          <t>009803/6-328591/4</t>
        </is>
      </c>
      <c r="I1484" s="41" t="inlineStr">
        <is>
          <t>ص ع ا 7462</t>
        </is>
      </c>
      <c r="J1484" s="41" t="inlineStr">
        <is>
          <t xml:space="preserve">فتحى احمد </t>
        </is>
      </c>
      <c r="K1484" s="41" t="inlineStr">
        <is>
          <t xml:space="preserve">الحجرى </t>
        </is>
      </c>
      <c r="L1484" s="42" t="n">
        <v>17000</v>
      </c>
      <c r="M1484" s="42" t="n">
        <v>9100</v>
      </c>
      <c r="N1484" s="42" t="n"/>
      <c r="O1484" s="42" t="n">
        <v>200</v>
      </c>
      <c r="P1484" s="42" t="n">
        <v>2000</v>
      </c>
      <c r="Q1484" s="42" t="n"/>
      <c r="R1484" s="43">
        <f>IF($B1484="","",N($S1484)-N($Q1484))</f>
        <v/>
      </c>
      <c r="S1484" s="43">
        <f>IF($B1484="","",N($L1484)+N($N1484)+N($P1484))</f>
        <v/>
      </c>
      <c r="T1484" s="42" t="n"/>
      <c r="U1484" s="42" t="n"/>
      <c r="V1484" s="42" t="n"/>
      <c r="W1484" s="42" t="n"/>
      <c r="X1484" s="42" t="n"/>
      <c r="Y1484" s="42" t="n"/>
      <c r="Z1484" s="42" t="n"/>
      <c r="AA1484" s="42" t="n"/>
      <c r="AB1484" s="42" t="n"/>
      <c r="AC1484" s="42" t="n"/>
      <c r="AD1484" s="42" t="n"/>
      <c r="AE1484" s="42" t="n"/>
      <c r="AF1484" s="43">
        <f>IF($B1484="","",SUM($T1484:$AE1484))</f>
        <v/>
      </c>
      <c r="AG1484" s="43">
        <f>IF($B1484="","",N($M1484)-N($AF1484))</f>
        <v/>
      </c>
      <c r="AH1484" s="43">
        <f>IF($B1484="","",N($L1484)-N($AF1484))</f>
        <v/>
      </c>
      <c r="AI1484" s="149">
        <f>IF($B1484="","",IF(N($L1484)=0,"",(N($L1484)-N($AF1484))/N($L1484)))</f>
        <v/>
      </c>
    </row>
    <row r="1485">
      <c r="A1485" s="39">
        <f>IF($B1485="","",COUNTA($B$4:$B1485))</f>
        <v/>
      </c>
      <c r="B1485" s="45" t="n">
        <v>46186</v>
      </c>
      <c r="C1485" s="46" t="n">
        <v>3150</v>
      </c>
      <c r="D1485" s="46" t="inlineStr">
        <is>
          <t xml:space="preserve">عتريس مخيمر </t>
        </is>
      </c>
      <c r="E1485" s="46" t="inlineStr">
        <is>
          <t>2*20</t>
        </is>
      </c>
      <c r="F1485" s="46" t="inlineStr">
        <is>
          <t xml:space="preserve">ريجينا </t>
        </is>
      </c>
      <c r="G1485" s="46" t="inlineStr">
        <is>
          <t xml:space="preserve">السادات </t>
        </is>
      </c>
      <c r="H1485" s="46" t="inlineStr">
        <is>
          <t>053066/4-319551/2</t>
        </is>
      </c>
      <c r="I1485" s="46" t="inlineStr">
        <is>
          <t>ب ص ا 2574</t>
        </is>
      </c>
      <c r="J1485" s="46" t="inlineStr">
        <is>
          <t xml:space="preserve">احمد عادل </t>
        </is>
      </c>
      <c r="K1485" s="46" t="inlineStr">
        <is>
          <t xml:space="preserve">احمد خليف </t>
        </is>
      </c>
      <c r="L1485" s="47" t="n">
        <v>17000</v>
      </c>
      <c r="M1485" s="47" t="n">
        <v>9100</v>
      </c>
      <c r="N1485" s="47" t="n"/>
      <c r="O1485" s="47" t="n">
        <v>200</v>
      </c>
      <c r="P1485" s="47" t="n"/>
      <c r="Q1485" s="47" t="n"/>
      <c r="R1485" s="43">
        <f>IF($B1485="","",N($S1485)-N($Q1485))</f>
        <v/>
      </c>
      <c r="S1485" s="43">
        <f>IF($B1485="","",N($L1485)+N($N1485)+N($P1485))</f>
        <v/>
      </c>
      <c r="T1485" s="47" t="n"/>
      <c r="U1485" s="47" t="n"/>
      <c r="V1485" s="47" t="n"/>
      <c r="W1485" s="47" t="n"/>
      <c r="X1485" s="47" t="n"/>
      <c r="Y1485" s="47" t="n"/>
      <c r="Z1485" s="47" t="n"/>
      <c r="AA1485" s="47" t="n"/>
      <c r="AB1485" s="47" t="n"/>
      <c r="AC1485" s="47" t="n"/>
      <c r="AD1485" s="47" t="n"/>
      <c r="AE1485" s="47" t="n"/>
      <c r="AF1485" s="43">
        <f>IF($B1485="","",SUM($T1485:$AE1485))</f>
        <v/>
      </c>
      <c r="AG1485" s="43">
        <f>IF($B1485="","",N($M1485)-N($AF1485))</f>
        <v/>
      </c>
      <c r="AH1485" s="43">
        <f>IF($B1485="","",N($L1485)-N($AF1485))</f>
        <v/>
      </c>
      <c r="AI1485" s="149">
        <f>IF($B1485="","",IF(N($L1485)=0,"",(N($L1485)-N($AF1485))/N($L1485)))</f>
        <v/>
      </c>
    </row>
    <row r="1486">
      <c r="A1486" s="39">
        <f>IF($B1486="","",COUNTA($B$4:$B1486))</f>
        <v/>
      </c>
      <c r="B1486" s="40" t="n">
        <v>46186</v>
      </c>
      <c r="C1486" s="41" t="n">
        <v>3146</v>
      </c>
      <c r="D1486" s="41" t="inlineStr">
        <is>
          <t xml:space="preserve">كمال رزق </t>
        </is>
      </c>
      <c r="E1486" s="41" t="inlineStr">
        <is>
          <t>1*40</t>
        </is>
      </c>
      <c r="F1486" s="41" t="inlineStr">
        <is>
          <t xml:space="preserve">اتش ام ام </t>
        </is>
      </c>
      <c r="G1486" s="41" t="inlineStr">
        <is>
          <t xml:space="preserve">المحلة </t>
        </is>
      </c>
      <c r="H1486" s="41" t="inlineStr">
        <is>
          <t>215014/7</t>
        </is>
      </c>
      <c r="I1486" s="41" t="inlineStr">
        <is>
          <t>س ن م 1592</t>
        </is>
      </c>
      <c r="J1486" s="41" t="inlineStr">
        <is>
          <t xml:space="preserve">حمدى البيضة </t>
        </is>
      </c>
      <c r="K1486" s="41" t="inlineStr">
        <is>
          <t xml:space="preserve">حمدى البيضة </t>
        </is>
      </c>
      <c r="L1486" s="42" t="n">
        <v>13800</v>
      </c>
      <c r="M1486" s="42" t="n">
        <v>8100</v>
      </c>
      <c r="N1486" s="42" t="n"/>
      <c r="O1486" s="42" t="n">
        <v>200</v>
      </c>
      <c r="P1486" s="42" t="n"/>
      <c r="Q1486" s="42" t="n"/>
      <c r="R1486" s="43">
        <f>IF($B1486="","",N($S1486)-N($Q1486))</f>
        <v/>
      </c>
      <c r="S1486" s="43">
        <f>IF($B1486="","",N($L1486)+N($N1486)+N($P1486))</f>
        <v/>
      </c>
      <c r="T1486" s="42" t="n"/>
      <c r="U1486" s="42" t="n"/>
      <c r="V1486" s="42" t="n"/>
      <c r="W1486" s="42" t="n"/>
      <c r="X1486" s="42" t="n"/>
      <c r="Y1486" s="42" t="n"/>
      <c r="Z1486" s="42" t="n"/>
      <c r="AA1486" s="42" t="n"/>
      <c r="AB1486" s="42" t="n"/>
      <c r="AC1486" s="42" t="n"/>
      <c r="AD1486" s="42" t="n"/>
      <c r="AE1486" s="42" t="n"/>
      <c r="AF1486" s="43">
        <f>IF($B1486="","",SUM($T1486:$AE1486))</f>
        <v/>
      </c>
      <c r="AG1486" s="43">
        <f>IF($B1486="","",N($M1486)-N($AF1486))</f>
        <v/>
      </c>
      <c r="AH1486" s="43">
        <f>IF($B1486="","",N($L1486)-N($AF1486))</f>
        <v/>
      </c>
      <c r="AI1486" s="149">
        <f>IF($B1486="","",IF(N($L1486)=0,"",(N($L1486)-N($AF1486))/N($L1486)))</f>
        <v/>
      </c>
    </row>
    <row r="1487">
      <c r="A1487" s="39">
        <f>IF($B1487="","",COUNTA($B$4:$B1487))</f>
        <v/>
      </c>
      <c r="B1487" s="45" t="n">
        <v>46186</v>
      </c>
      <c r="C1487" s="46" t="n">
        <v>3145</v>
      </c>
      <c r="D1487" s="46" t="inlineStr">
        <is>
          <t xml:space="preserve">استوريا </t>
        </is>
      </c>
      <c r="E1487" s="46" t="inlineStr">
        <is>
          <t>1*40</t>
        </is>
      </c>
      <c r="F1487" s="46" t="inlineStr">
        <is>
          <t xml:space="preserve">ريجينا </t>
        </is>
      </c>
      <c r="G1487" s="46" t="inlineStr">
        <is>
          <t xml:space="preserve">السادات </t>
        </is>
      </c>
      <c r="H1487" s="46" t="inlineStr">
        <is>
          <t>729927/7</t>
        </is>
      </c>
      <c r="I1487" s="46" t="inlineStr">
        <is>
          <t>س ن ر 4233</t>
        </is>
      </c>
      <c r="J1487" s="46" t="inlineStr">
        <is>
          <t xml:space="preserve">صلاح المهندس </t>
        </is>
      </c>
      <c r="K1487" s="46" t="inlineStr">
        <is>
          <t xml:space="preserve">السائق </t>
        </is>
      </c>
      <c r="L1487" s="47" t="n">
        <v>12500</v>
      </c>
      <c r="M1487" s="47" t="n">
        <v>8100</v>
      </c>
      <c r="N1487" s="47" t="n"/>
      <c r="O1487" s="47" t="n">
        <v>200</v>
      </c>
      <c r="P1487" s="47" t="n">
        <v>5000</v>
      </c>
      <c r="Q1487" s="47" t="n"/>
      <c r="R1487" s="43">
        <f>IF($B1487="","",N($S1487)-N($Q1487))</f>
        <v/>
      </c>
      <c r="S1487" s="43">
        <f>IF($B1487="","",N($L1487)+N($N1487)+N($P1487))</f>
        <v/>
      </c>
      <c r="T1487" s="47" t="n"/>
      <c r="U1487" s="47" t="n"/>
      <c r="V1487" s="47" t="n"/>
      <c r="W1487" s="47" t="n"/>
      <c r="X1487" s="47" t="n"/>
      <c r="Y1487" s="47" t="n"/>
      <c r="Z1487" s="47" t="n"/>
      <c r="AA1487" s="47" t="n"/>
      <c r="AB1487" s="47" t="n"/>
      <c r="AC1487" s="47" t="n"/>
      <c r="AD1487" s="47" t="n"/>
      <c r="AE1487" s="47" t="n"/>
      <c r="AF1487" s="43">
        <f>IF($B1487="","",SUM($T1487:$AE1487))</f>
        <v/>
      </c>
      <c r="AG1487" s="43">
        <f>IF($B1487="","",N($M1487)-N($AF1487))</f>
        <v/>
      </c>
      <c r="AH1487" s="43">
        <f>IF($B1487="","",N($L1487)-N($AF1487))</f>
        <v/>
      </c>
      <c r="AI1487" s="149">
        <f>IF($B1487="","",IF(N($L1487)=0,"",(N($L1487)-N($AF1487))/N($L1487)))</f>
        <v/>
      </c>
    </row>
    <row r="1488">
      <c r="A1488" s="39">
        <f>IF($B1488="","",COUNTA($B$4:$B1488))</f>
        <v/>
      </c>
      <c r="B1488" s="40" t="n">
        <v>46186</v>
      </c>
      <c r="C1488" s="41" t="n">
        <v>3181</v>
      </c>
      <c r="D1488" s="41" t="inlineStr">
        <is>
          <t xml:space="preserve">كمال رزق </t>
        </is>
      </c>
      <c r="E1488" s="41" t="inlineStr">
        <is>
          <t>1*40</t>
        </is>
      </c>
      <c r="F1488" s="41" t="inlineStr">
        <is>
          <t xml:space="preserve">عبد الرحمن </t>
        </is>
      </c>
      <c r="G1488" s="41" t="inlineStr">
        <is>
          <t xml:space="preserve">التجمع </t>
        </is>
      </c>
      <c r="H1488" s="41" t="inlineStr">
        <is>
          <t>827298/0</t>
        </is>
      </c>
      <c r="I1488" s="41" t="inlineStr">
        <is>
          <t>س ن ر 8979</t>
        </is>
      </c>
      <c r="J1488" s="41" t="inlineStr">
        <is>
          <t xml:space="preserve">عماد سعيد </t>
        </is>
      </c>
      <c r="K1488" s="41" t="inlineStr">
        <is>
          <t xml:space="preserve">عماد سعيد </t>
        </is>
      </c>
      <c r="L1488" s="42" t="n">
        <v>15500</v>
      </c>
      <c r="M1488" s="42" t="n">
        <v>8100</v>
      </c>
      <c r="N1488" s="42" t="n"/>
      <c r="O1488" s="42" t="n">
        <v>200</v>
      </c>
      <c r="P1488" s="42" t="n"/>
      <c r="Q1488" s="42" t="n"/>
      <c r="R1488" s="43">
        <f>IF($B1488="","",N($S1488)-N($Q1488))</f>
        <v/>
      </c>
      <c r="S1488" s="43">
        <f>IF($B1488="","",N($L1488)+N($N1488)+N($P1488))</f>
        <v/>
      </c>
      <c r="T1488" s="42" t="n"/>
      <c r="U1488" s="42" t="n"/>
      <c r="V1488" s="42" t="n"/>
      <c r="W1488" s="42" t="n"/>
      <c r="X1488" s="42" t="n"/>
      <c r="Y1488" s="42" t="n"/>
      <c r="Z1488" s="42" t="n"/>
      <c r="AA1488" s="42" t="n"/>
      <c r="AB1488" s="42" t="n"/>
      <c r="AC1488" s="42" t="n"/>
      <c r="AD1488" s="42" t="n"/>
      <c r="AE1488" s="42" t="n"/>
      <c r="AF1488" s="43">
        <f>IF($B1488="","",SUM($T1488:$AE1488))</f>
        <v/>
      </c>
      <c r="AG1488" s="43">
        <f>IF($B1488="","",N($M1488)-N($AF1488))</f>
        <v/>
      </c>
      <c r="AH1488" s="43">
        <f>IF($B1488="","",N($L1488)-N($AF1488))</f>
        <v/>
      </c>
      <c r="AI1488" s="149">
        <f>IF($B1488="","",IF(N($L1488)=0,"",(N($L1488)-N($AF1488))/N($L1488)))</f>
        <v/>
      </c>
    </row>
    <row r="1489">
      <c r="A1489" s="39">
        <f>IF($B1489="","",COUNTA($B$4:$B1489))</f>
        <v/>
      </c>
      <c r="B1489" s="45" t="n">
        <v>46186</v>
      </c>
      <c r="C1489" s="46" t="n">
        <v>3182</v>
      </c>
      <c r="D1489" s="46" t="inlineStr">
        <is>
          <t>وليد الجهينى</t>
        </is>
      </c>
      <c r="E1489" s="46" t="inlineStr">
        <is>
          <t>1*40</t>
        </is>
      </c>
      <c r="F1489" s="46" t="inlineStr">
        <is>
          <t xml:space="preserve">عبد الرحمن </t>
        </is>
      </c>
      <c r="G1489" s="46" t="inlineStr">
        <is>
          <t xml:space="preserve">التجمع </t>
        </is>
      </c>
      <c r="H1489" s="46" t="inlineStr">
        <is>
          <t>423590/0</t>
        </is>
      </c>
      <c r="I1489" s="46" t="inlineStr">
        <is>
          <t>س ن ر 3739</t>
        </is>
      </c>
      <c r="J1489" s="46" t="inlineStr">
        <is>
          <t xml:space="preserve">همام العشرى </t>
        </is>
      </c>
      <c r="K1489" s="46" t="inlineStr">
        <is>
          <t xml:space="preserve">همام </t>
        </is>
      </c>
      <c r="L1489" s="47" t="n">
        <v>15500</v>
      </c>
      <c r="M1489" s="47" t="n">
        <v>8100</v>
      </c>
      <c r="N1489" s="47" t="n"/>
      <c r="O1489" s="47" t="n">
        <v>200</v>
      </c>
      <c r="P1489" s="47" t="n"/>
      <c r="Q1489" s="47" t="n"/>
      <c r="R1489" s="43">
        <f>IF($B1489="","",N($S1489)-N($Q1489))</f>
        <v/>
      </c>
      <c r="S1489" s="43">
        <f>IF($B1489="","",N($L1489)+N($N1489)+N($P1489))</f>
        <v/>
      </c>
      <c r="T1489" s="47" t="n"/>
      <c r="U1489" s="47" t="n"/>
      <c r="V1489" s="47" t="n"/>
      <c r="W1489" s="47" t="n"/>
      <c r="X1489" s="47" t="n"/>
      <c r="Y1489" s="47" t="n"/>
      <c r="Z1489" s="47" t="n"/>
      <c r="AA1489" s="47" t="n"/>
      <c r="AB1489" s="47" t="n"/>
      <c r="AC1489" s="47" t="n"/>
      <c r="AD1489" s="47" t="n"/>
      <c r="AE1489" s="47" t="n"/>
      <c r="AF1489" s="43">
        <f>IF($B1489="","",SUM($T1489:$AE1489))</f>
        <v/>
      </c>
      <c r="AG1489" s="43">
        <f>IF($B1489="","",N($M1489)-N($AF1489))</f>
        <v/>
      </c>
      <c r="AH1489" s="43">
        <f>IF($B1489="","",N($L1489)-N($AF1489))</f>
        <v/>
      </c>
      <c r="AI1489" s="149">
        <f>IF($B1489="","",IF(N($L1489)=0,"",(N($L1489)-N($AF1489))/N($L1489)))</f>
        <v/>
      </c>
    </row>
    <row r="1490">
      <c r="A1490" s="39">
        <f>IF($B1490="","",COUNTA($B$4:$B1490))</f>
        <v/>
      </c>
      <c r="B1490" s="40" t="n">
        <v>46187</v>
      </c>
      <c r="C1490" s="41" t="n">
        <v>3245</v>
      </c>
      <c r="D1490" s="41" t="inlineStr">
        <is>
          <t xml:space="preserve">حاتم البحر </t>
        </is>
      </c>
      <c r="E1490" s="41" t="inlineStr">
        <is>
          <t>1*20</t>
        </is>
      </c>
      <c r="F1490" s="41" t="inlineStr">
        <is>
          <t xml:space="preserve">الكرنك </t>
        </is>
      </c>
      <c r="G1490" s="41" t="inlineStr">
        <is>
          <t>الاسماعيليه</t>
        </is>
      </c>
      <c r="H1490" s="41" t="inlineStr">
        <is>
          <t>119552/4</t>
        </is>
      </c>
      <c r="I1490" s="41" t="inlineStr">
        <is>
          <t>ب ه ا 9178</t>
        </is>
      </c>
      <c r="J1490" s="41" t="inlineStr">
        <is>
          <t xml:space="preserve">محمد حمدى </t>
        </is>
      </c>
      <c r="K1490" s="41" t="inlineStr">
        <is>
          <t xml:space="preserve">رومانى </t>
        </is>
      </c>
      <c r="L1490" s="42" t="n">
        <v>14500</v>
      </c>
      <c r="M1490" s="42" t="n">
        <v>9100</v>
      </c>
      <c r="N1490" s="42" t="n">
        <v>2500</v>
      </c>
      <c r="O1490" s="42" t="n">
        <v>200</v>
      </c>
      <c r="P1490" s="42" t="n"/>
      <c r="Q1490" s="42" t="n"/>
      <c r="R1490" s="43">
        <f>IF($B1490="","",N($S1490)-N($Q1490))</f>
        <v/>
      </c>
      <c r="S1490" s="43">
        <f>IF($B1490="","",N($L1490)+N($N1490)+N($P1490))</f>
        <v/>
      </c>
      <c r="T1490" s="42" t="n"/>
      <c r="U1490" s="42" t="n"/>
      <c r="V1490" s="42" t="n"/>
      <c r="W1490" s="42" t="n"/>
      <c r="X1490" s="42" t="n"/>
      <c r="Y1490" s="42" t="n"/>
      <c r="Z1490" s="42" t="n"/>
      <c r="AA1490" s="42" t="n"/>
      <c r="AB1490" s="42" t="n"/>
      <c r="AC1490" s="42" t="n"/>
      <c r="AD1490" s="42" t="n"/>
      <c r="AE1490" s="42" t="n"/>
      <c r="AF1490" s="43">
        <f>IF($B1490="","",SUM($T1490:$AE1490))</f>
        <v/>
      </c>
      <c r="AG1490" s="43">
        <f>IF($B1490="","",N($M1490)-N($AF1490))</f>
        <v/>
      </c>
      <c r="AH1490" s="43">
        <f>IF($B1490="","",N($L1490)-N($AF1490))</f>
        <v/>
      </c>
      <c r="AI1490" s="149">
        <f>IF($B1490="","",IF(N($L1490)=0,"",(N($L1490)-N($AF1490))/N($L1490)))</f>
        <v/>
      </c>
    </row>
    <row r="1491">
      <c r="A1491" s="39">
        <f>IF($B1491="","",COUNTA($B$4:$B1491))</f>
        <v/>
      </c>
      <c r="B1491" s="45" t="n">
        <v>46187</v>
      </c>
      <c r="C1491" s="46" t="n">
        <v>3241</v>
      </c>
      <c r="D1491" s="46" t="inlineStr">
        <is>
          <t xml:space="preserve">ابراهيم سمارة </t>
        </is>
      </c>
      <c r="E1491" s="46" t="inlineStr">
        <is>
          <t>1*40</t>
        </is>
      </c>
      <c r="F1491" s="46" t="inlineStr">
        <is>
          <t xml:space="preserve">الكرنك </t>
        </is>
      </c>
      <c r="G1491" s="46" t="inlineStr">
        <is>
          <t>الاسماعيليه</t>
        </is>
      </c>
      <c r="H1491" s="46" t="inlineStr">
        <is>
          <t>712196/0</t>
        </is>
      </c>
      <c r="I1491" s="46" t="inlineStr">
        <is>
          <t>ع ل ا 9455</t>
        </is>
      </c>
      <c r="J1491" s="46" t="inlineStr">
        <is>
          <t xml:space="preserve">السيد علاء </t>
        </is>
      </c>
      <c r="K1491" s="46" t="inlineStr">
        <is>
          <t xml:space="preserve">حودة اوباما </t>
        </is>
      </c>
      <c r="L1491" s="47" t="n">
        <v>18500</v>
      </c>
      <c r="M1491" s="47" t="n">
        <v>8100</v>
      </c>
      <c r="N1491" s="47" t="n">
        <v>2500</v>
      </c>
      <c r="O1491" s="47" t="n">
        <v>200</v>
      </c>
      <c r="P1491" s="47" t="n"/>
      <c r="Q1491" s="47" t="n"/>
      <c r="R1491" s="43">
        <f>IF($B1491="","",N($S1491)-N($Q1491))</f>
        <v/>
      </c>
      <c r="S1491" s="43">
        <f>IF($B1491="","",N($L1491)+N($N1491)+N($P1491))</f>
        <v/>
      </c>
      <c r="T1491" s="47" t="n"/>
      <c r="U1491" s="47" t="n"/>
      <c r="V1491" s="47" t="n"/>
      <c r="W1491" s="47" t="n"/>
      <c r="X1491" s="47" t="n"/>
      <c r="Y1491" s="47" t="n"/>
      <c r="Z1491" s="47" t="n"/>
      <c r="AA1491" s="47" t="n"/>
      <c r="AB1491" s="47" t="n"/>
      <c r="AC1491" s="47" t="n"/>
      <c r="AD1491" s="47" t="n"/>
      <c r="AE1491" s="47" t="n"/>
      <c r="AF1491" s="43">
        <f>IF($B1491="","",SUM($T1491:$AE1491))</f>
        <v/>
      </c>
      <c r="AG1491" s="43">
        <f>IF($B1491="","",N($M1491)-N($AF1491))</f>
        <v/>
      </c>
      <c r="AH1491" s="43">
        <f>IF($B1491="","",N($L1491)-N($AF1491))</f>
        <v/>
      </c>
      <c r="AI1491" s="149">
        <f>IF($B1491="","",IF(N($L1491)=0,"",(N($L1491)-N($AF1491))/N($L1491)))</f>
        <v/>
      </c>
    </row>
    <row r="1492">
      <c r="A1492" s="39">
        <f>IF($B1492="","",COUNTA($B$4:$B1492))</f>
        <v/>
      </c>
      <c r="B1492" s="40" t="n">
        <v>46187</v>
      </c>
      <c r="C1492" s="41" t="n">
        <v>3240</v>
      </c>
      <c r="D1492" s="41" t="inlineStr">
        <is>
          <t xml:space="preserve">حماد </t>
        </is>
      </c>
      <c r="E1492" s="41" t="inlineStr">
        <is>
          <t>1*40</t>
        </is>
      </c>
      <c r="F1492" s="41" t="inlineStr">
        <is>
          <t xml:space="preserve">الكرنك </t>
        </is>
      </c>
      <c r="G1492" s="41" t="inlineStr">
        <is>
          <t>الاسماعيليه</t>
        </is>
      </c>
      <c r="H1492" s="41" t="inlineStr">
        <is>
          <t>693976/8</t>
        </is>
      </c>
      <c r="I1492" s="41" t="inlineStr">
        <is>
          <t>س ع ن 8949</t>
        </is>
      </c>
      <c r="J1492" s="41" t="inlineStr">
        <is>
          <t xml:space="preserve">احمد محمد </t>
        </is>
      </c>
      <c r="K1492" s="41" t="inlineStr">
        <is>
          <t>محمد خليل</t>
        </is>
      </c>
      <c r="L1492" s="42" t="n">
        <v>18000</v>
      </c>
      <c r="M1492" s="42" t="n">
        <v>8100</v>
      </c>
      <c r="N1492" s="42" t="n">
        <v>2700</v>
      </c>
      <c r="O1492" s="42" t="n">
        <v>200</v>
      </c>
      <c r="P1492" s="42" t="n"/>
      <c r="Q1492" s="42" t="n"/>
      <c r="R1492" s="43">
        <f>IF($B1492="","",N($S1492)-N($Q1492))</f>
        <v/>
      </c>
      <c r="S1492" s="43">
        <f>IF($B1492="","",N($L1492)+N($N1492)+N($P1492))</f>
        <v/>
      </c>
      <c r="T1492" s="42" t="n"/>
      <c r="U1492" s="42" t="n"/>
      <c r="V1492" s="42" t="n"/>
      <c r="W1492" s="42" t="n"/>
      <c r="X1492" s="42" t="n"/>
      <c r="Y1492" s="42" t="n"/>
      <c r="Z1492" s="42" t="n"/>
      <c r="AA1492" s="42" t="n"/>
      <c r="AB1492" s="42" t="n"/>
      <c r="AC1492" s="42" t="n"/>
      <c r="AD1492" s="42" t="n"/>
      <c r="AE1492" s="42" t="n"/>
      <c r="AF1492" s="43">
        <f>IF($B1492="","",SUM($T1492:$AE1492))</f>
        <v/>
      </c>
      <c r="AG1492" s="43">
        <f>IF($B1492="","",N($M1492)-N($AF1492))</f>
        <v/>
      </c>
      <c r="AH1492" s="43">
        <f>IF($B1492="","",N($L1492)-N($AF1492))</f>
        <v/>
      </c>
      <c r="AI1492" s="149">
        <f>IF($B1492="","",IF(N($L1492)=0,"",(N($L1492)-N($AF1492))/N($L1492)))</f>
        <v/>
      </c>
    </row>
    <row r="1493">
      <c r="A1493" s="39">
        <f>IF($B1493="","",COUNTA($B$4:$B1493))</f>
        <v/>
      </c>
      <c r="B1493" s="45" t="n">
        <v>46188</v>
      </c>
      <c r="C1493" s="46" t="n">
        <v>3183</v>
      </c>
      <c r="D1493" s="46" t="n"/>
      <c r="E1493" s="46" t="inlineStr">
        <is>
          <t>1*20</t>
        </is>
      </c>
      <c r="F1493" s="46" t="inlineStr">
        <is>
          <t xml:space="preserve">بريف مان </t>
        </is>
      </c>
      <c r="G1493" s="46" t="inlineStr">
        <is>
          <t xml:space="preserve">شبرا الخيمة </t>
        </is>
      </c>
      <c r="H1493" s="46" t="inlineStr">
        <is>
          <t>303371/0</t>
        </is>
      </c>
      <c r="I1493" s="46" t="inlineStr">
        <is>
          <t>ب ر ا 2548</t>
        </is>
      </c>
      <c r="J1493" s="46" t="inlineStr">
        <is>
          <t xml:space="preserve">محمد عبد السلام </t>
        </is>
      </c>
      <c r="K1493" s="46" t="inlineStr">
        <is>
          <t xml:space="preserve">رومانى </t>
        </is>
      </c>
      <c r="L1493" s="47" t="n">
        <v>12000</v>
      </c>
      <c r="M1493" s="47" t="n">
        <v>7100</v>
      </c>
      <c r="N1493" s="47" t="n"/>
      <c r="O1493" s="47" t="n">
        <v>200</v>
      </c>
      <c r="P1493" s="47" t="n"/>
      <c r="Q1493" s="47" t="n"/>
      <c r="R1493" s="43">
        <f>IF($B1493="","",N($S1493)-N($Q1493))</f>
        <v/>
      </c>
      <c r="S1493" s="43">
        <f>IF($B1493="","",N($L1493)+N($N1493)+N($P1493))</f>
        <v/>
      </c>
      <c r="T1493" s="47" t="n"/>
      <c r="U1493" s="47" t="n"/>
      <c r="V1493" s="47" t="n"/>
      <c r="W1493" s="47" t="n"/>
      <c r="X1493" s="47" t="n"/>
      <c r="Y1493" s="47" t="n"/>
      <c r="Z1493" s="47" t="n"/>
      <c r="AA1493" s="47" t="n"/>
      <c r="AB1493" s="47" t="n"/>
      <c r="AC1493" s="47" t="n"/>
      <c r="AD1493" s="47" t="n"/>
      <c r="AE1493" s="47" t="n"/>
      <c r="AF1493" s="43">
        <f>IF($B1493="","",SUM($T1493:$AE1493))</f>
        <v/>
      </c>
      <c r="AG1493" s="43">
        <f>IF($B1493="","",N($M1493)-N($AF1493))</f>
        <v/>
      </c>
      <c r="AH1493" s="43">
        <f>IF($B1493="","",N($L1493)-N($AF1493))</f>
        <v/>
      </c>
      <c r="AI1493" s="149">
        <f>IF($B1493="","",IF(N($L1493)=0,"",(N($L1493)-N($AF1493))/N($L1493)))</f>
        <v/>
      </c>
    </row>
    <row r="1494">
      <c r="A1494" s="39">
        <f>IF($B1494="","",COUNTA($B$4:$B1494))</f>
        <v/>
      </c>
      <c r="B1494" s="40" t="n">
        <v>46188</v>
      </c>
      <c r="C1494" s="41" t="n">
        <v>3080</v>
      </c>
      <c r="D1494" s="41" t="n"/>
      <c r="E1494" s="41" t="inlineStr">
        <is>
          <t>1*20</t>
        </is>
      </c>
      <c r="F1494" s="41" t="inlineStr">
        <is>
          <t xml:space="preserve">السويدى بوليمرز </t>
        </is>
      </c>
      <c r="G1494" s="41" t="inlineStr">
        <is>
          <t xml:space="preserve">العاشر </t>
        </is>
      </c>
      <c r="H1494" s="41" t="inlineStr">
        <is>
          <t>107049/5</t>
        </is>
      </c>
      <c r="I1494" s="41" t="inlineStr">
        <is>
          <t>ب د ف 5831</t>
        </is>
      </c>
      <c r="J1494" s="41" t="inlineStr">
        <is>
          <t xml:space="preserve">سامى رمضان </t>
        </is>
      </c>
      <c r="K1494" s="41" t="inlineStr">
        <is>
          <t xml:space="preserve">سامى رمضان </t>
        </is>
      </c>
      <c r="L1494" s="42" t="n">
        <v>16000</v>
      </c>
      <c r="M1494" s="42" t="n">
        <v>8100</v>
      </c>
      <c r="N1494" s="42" t="n">
        <v>1100</v>
      </c>
      <c r="O1494" s="42" t="n">
        <v>200</v>
      </c>
      <c r="P1494" s="42" t="n"/>
      <c r="Q1494" s="42" t="n"/>
      <c r="R1494" s="43">
        <f>IF($B1494="","",N($S1494)-N($Q1494))</f>
        <v/>
      </c>
      <c r="S1494" s="43">
        <f>IF($B1494="","",N($L1494)+N($N1494)+N($P1494))</f>
        <v/>
      </c>
      <c r="T1494" s="42" t="n"/>
      <c r="U1494" s="42" t="n"/>
      <c r="V1494" s="42" t="n"/>
      <c r="W1494" s="42" t="n"/>
      <c r="X1494" s="42" t="n"/>
      <c r="Y1494" s="42" t="n"/>
      <c r="Z1494" s="42" t="n"/>
      <c r="AA1494" s="42" t="n"/>
      <c r="AB1494" s="42" t="n"/>
      <c r="AC1494" s="42" t="n"/>
      <c r="AD1494" s="42" t="n"/>
      <c r="AE1494" s="42" t="n"/>
      <c r="AF1494" s="43">
        <f>IF($B1494="","",SUM($T1494:$AE1494))</f>
        <v/>
      </c>
      <c r="AG1494" s="43">
        <f>IF($B1494="","",N($M1494)-N($AF1494))</f>
        <v/>
      </c>
      <c r="AH1494" s="43">
        <f>IF($B1494="","",N($L1494)-N($AF1494))</f>
        <v/>
      </c>
      <c r="AI1494" s="149">
        <f>IF($B1494="","",IF(N($L1494)=0,"",(N($L1494)-N($AF1494))/N($L1494)))</f>
        <v/>
      </c>
    </row>
    <row r="1495">
      <c r="A1495" s="39">
        <f>IF($B1495="","",COUNTA($B$4:$B1495))</f>
        <v/>
      </c>
      <c r="B1495" s="45" t="n">
        <v>46187</v>
      </c>
      <c r="C1495" s="46" t="n">
        <v>3247</v>
      </c>
      <c r="D1495" s="46" t="inlineStr">
        <is>
          <t xml:space="preserve">حاتم البحر </t>
        </is>
      </c>
      <c r="E1495" s="46" t="inlineStr">
        <is>
          <t>1*20</t>
        </is>
      </c>
      <c r="F1495" s="46" t="inlineStr">
        <is>
          <t xml:space="preserve">المتحدة للمسابك </t>
        </is>
      </c>
      <c r="G1495" s="46" t="inlineStr">
        <is>
          <t xml:space="preserve">العاشر </t>
        </is>
      </c>
      <c r="H1495" s="46" t="inlineStr">
        <is>
          <t>213461/7</t>
        </is>
      </c>
      <c r="I1495" s="46" t="inlineStr">
        <is>
          <t>ب ن س 6958</t>
        </is>
      </c>
      <c r="J1495" s="46" t="inlineStr">
        <is>
          <t xml:space="preserve">عبدة على </t>
        </is>
      </c>
      <c r="K1495" s="46" t="inlineStr">
        <is>
          <t xml:space="preserve">عصفور </t>
        </is>
      </c>
      <c r="L1495" s="47" t="n">
        <v>12500</v>
      </c>
      <c r="M1495" s="47" t="n">
        <v>8100</v>
      </c>
      <c r="N1495" s="47" t="n">
        <v>2500</v>
      </c>
      <c r="O1495" s="47" t="n">
        <v>200</v>
      </c>
      <c r="P1495" s="47" t="n"/>
      <c r="Q1495" s="47" t="n"/>
      <c r="R1495" s="43">
        <f>IF($B1495="","",N($S1495)-N($Q1495))</f>
        <v/>
      </c>
      <c r="S1495" s="43">
        <f>IF($B1495="","",N($L1495)+N($N1495)+N($P1495))</f>
        <v/>
      </c>
      <c r="T1495" s="47" t="n"/>
      <c r="U1495" s="47" t="n"/>
      <c r="V1495" s="47" t="n"/>
      <c r="W1495" s="47" t="n"/>
      <c r="X1495" s="47" t="n"/>
      <c r="Y1495" s="47" t="n"/>
      <c r="Z1495" s="47" t="n"/>
      <c r="AA1495" s="47" t="n"/>
      <c r="AB1495" s="47" t="n"/>
      <c r="AC1495" s="47" t="n"/>
      <c r="AD1495" s="47" t="n"/>
      <c r="AE1495" s="47" t="n"/>
      <c r="AF1495" s="43">
        <f>IF($B1495="","",SUM($T1495:$AE1495))</f>
        <v/>
      </c>
      <c r="AG1495" s="43">
        <f>IF($B1495="","",N($M1495)-N($AF1495))</f>
        <v/>
      </c>
      <c r="AH1495" s="43">
        <f>IF($B1495="","",N($L1495)-N($AF1495))</f>
        <v/>
      </c>
      <c r="AI1495" s="149">
        <f>IF($B1495="","",IF(N($L1495)=0,"",(N($L1495)-N($AF1495))/N($L1495)))</f>
        <v/>
      </c>
    </row>
    <row r="1496">
      <c r="A1496" s="39">
        <f>IF($B1496="","",COUNTA($B$4:$B1496))</f>
        <v/>
      </c>
      <c r="B1496" s="40" t="n">
        <v>46187</v>
      </c>
      <c r="C1496" s="41" t="n">
        <v>3249</v>
      </c>
      <c r="D1496" s="41" t="inlineStr">
        <is>
          <t xml:space="preserve">كمال رزق </t>
        </is>
      </c>
      <c r="E1496" s="41" t="inlineStr">
        <is>
          <t>1*40</t>
        </is>
      </c>
      <c r="F1496" s="41" t="inlineStr">
        <is>
          <t xml:space="preserve">الحناوى </t>
        </is>
      </c>
      <c r="G1496" s="41" t="inlineStr">
        <is>
          <t xml:space="preserve">السادات </t>
        </is>
      </c>
      <c r="H1496" s="41" t="n"/>
      <c r="I1496" s="41" t="inlineStr">
        <is>
          <t>س ن م 1592</t>
        </is>
      </c>
      <c r="J1496" s="41" t="inlineStr">
        <is>
          <t xml:space="preserve">حمدى البيضة </t>
        </is>
      </c>
      <c r="K1496" s="41" t="inlineStr">
        <is>
          <t xml:space="preserve">حمدى البيضة </t>
        </is>
      </c>
      <c r="L1496" s="42" t="n">
        <v>12500</v>
      </c>
      <c r="M1496" s="42" t="n">
        <v>8100</v>
      </c>
      <c r="N1496" s="42" t="n"/>
      <c r="O1496" s="42" t="n">
        <v>200</v>
      </c>
      <c r="P1496" s="42" t="n">
        <v>2500</v>
      </c>
      <c r="Q1496" s="42" t="n"/>
      <c r="R1496" s="43">
        <f>IF($B1496="","",N($S1496)-N($Q1496))</f>
        <v/>
      </c>
      <c r="S1496" s="43">
        <f>IF($B1496="","",N($L1496)+N($N1496)+N($P1496))</f>
        <v/>
      </c>
      <c r="T1496" s="42" t="n"/>
      <c r="U1496" s="42" t="n"/>
      <c r="V1496" s="42" t="n"/>
      <c r="W1496" s="42" t="n"/>
      <c r="X1496" s="42" t="n"/>
      <c r="Y1496" s="42" t="n"/>
      <c r="Z1496" s="42" t="n"/>
      <c r="AA1496" s="42" t="n"/>
      <c r="AB1496" s="42" t="n"/>
      <c r="AC1496" s="42" t="n"/>
      <c r="AD1496" s="42" t="n"/>
      <c r="AE1496" s="42" t="n"/>
      <c r="AF1496" s="43">
        <f>IF($B1496="","",SUM($T1496:$AE1496))</f>
        <v/>
      </c>
      <c r="AG1496" s="43">
        <f>IF($B1496="","",N($M1496)-N($AF1496))</f>
        <v/>
      </c>
      <c r="AH1496" s="43">
        <f>IF($B1496="","",N($L1496)-N($AF1496))</f>
        <v/>
      </c>
      <c r="AI1496" s="149">
        <f>IF($B1496="","",IF(N($L1496)=0,"",(N($L1496)-N($AF1496))/N($L1496)))</f>
        <v/>
      </c>
    </row>
    <row r="1497">
      <c r="A1497" s="39">
        <f>IF($B1497="","",COUNTA($B$4:$B1497))</f>
        <v/>
      </c>
      <c r="B1497" s="45" t="n">
        <v>46186</v>
      </c>
      <c r="C1497" s="46" t="n">
        <v>3032</v>
      </c>
      <c r="D1497" s="46" t="inlineStr">
        <is>
          <t xml:space="preserve">حماد </t>
        </is>
      </c>
      <c r="E1497" s="46" t="inlineStr">
        <is>
          <t>1*40</t>
        </is>
      </c>
      <c r="F1497" s="46" t="inlineStr">
        <is>
          <t xml:space="preserve">اتش ام ام </t>
        </is>
      </c>
      <c r="G1497" s="46" t="inlineStr">
        <is>
          <t xml:space="preserve">المحلة </t>
        </is>
      </c>
      <c r="H1497" s="46" t="inlineStr">
        <is>
          <t>898054/0</t>
        </is>
      </c>
      <c r="I1497" s="46" t="inlineStr">
        <is>
          <t>س ا ه 8198</t>
        </is>
      </c>
      <c r="J1497" s="46" t="inlineStr">
        <is>
          <t xml:space="preserve">هشام محمد </t>
        </is>
      </c>
      <c r="K1497" s="46" t="inlineStr">
        <is>
          <t xml:space="preserve">علاء علام </t>
        </is>
      </c>
      <c r="L1497" s="47" t="n">
        <v>13800</v>
      </c>
      <c r="M1497" s="47" t="n">
        <v>8100</v>
      </c>
      <c r="N1497" s="47" t="n"/>
      <c r="O1497" s="47" t="n">
        <v>200</v>
      </c>
      <c r="P1497" s="47" t="n"/>
      <c r="Q1497" s="47" t="n"/>
      <c r="R1497" s="43">
        <f>IF($B1497="","",N($S1497)-N($Q1497))</f>
        <v/>
      </c>
      <c r="S1497" s="43">
        <f>IF($B1497="","",N($L1497)+N($N1497)+N($P1497))</f>
        <v/>
      </c>
      <c r="T1497" s="47" t="n"/>
      <c r="U1497" s="47" t="n"/>
      <c r="V1497" s="47" t="n"/>
      <c r="W1497" s="47" t="n"/>
      <c r="X1497" s="47" t="n"/>
      <c r="Y1497" s="47" t="n"/>
      <c r="Z1497" s="47" t="n"/>
      <c r="AA1497" s="47" t="n"/>
      <c r="AB1497" s="47" t="n"/>
      <c r="AC1497" s="47" t="n"/>
      <c r="AD1497" s="47" t="n"/>
      <c r="AE1497" s="47" t="n"/>
      <c r="AF1497" s="43">
        <f>IF($B1497="","",SUM($T1497:$AE1497))</f>
        <v/>
      </c>
      <c r="AG1497" s="43">
        <f>IF($B1497="","",N($M1497)-N($AF1497))</f>
        <v/>
      </c>
      <c r="AH1497" s="43">
        <f>IF($B1497="","",N($L1497)-N($AF1497))</f>
        <v/>
      </c>
      <c r="AI1497" s="149">
        <f>IF($B1497="","",IF(N($L1497)=0,"",(N($L1497)-N($AF1497))/N($L1497)))</f>
        <v/>
      </c>
    </row>
    <row r="1498">
      <c r="A1498" s="39">
        <f>IF($B1498="","",COUNTA($B$4:$B1498))</f>
        <v/>
      </c>
      <c r="B1498" s="40" t="n">
        <v>46188</v>
      </c>
      <c r="C1498" s="41" t="n">
        <v>3184</v>
      </c>
      <c r="D1498" s="41" t="inlineStr">
        <is>
          <t>اسلام محروس</t>
        </is>
      </c>
      <c r="E1498" s="41" t="inlineStr">
        <is>
          <t>1*40 ث</t>
        </is>
      </c>
      <c r="F1498" s="41" t="inlineStr">
        <is>
          <t xml:space="preserve">الخليج </t>
        </is>
      </c>
      <c r="G1498" s="41" t="inlineStr">
        <is>
          <t xml:space="preserve">ميت غمر </t>
        </is>
      </c>
      <c r="H1498" s="41" t="inlineStr">
        <is>
          <t>544229/2</t>
        </is>
      </c>
      <c r="I1498" s="41" t="inlineStr">
        <is>
          <t>ص ع ا 7462</t>
        </is>
      </c>
      <c r="J1498" s="41" t="inlineStr">
        <is>
          <t xml:space="preserve">فتحى محمد </t>
        </is>
      </c>
      <c r="K1498" s="41" t="inlineStr">
        <is>
          <t xml:space="preserve">الحجرى </t>
        </is>
      </c>
      <c r="L1498" s="42" t="n">
        <v>16000</v>
      </c>
      <c r="M1498" s="42" t="n">
        <v>8100</v>
      </c>
      <c r="N1498" s="42" t="n"/>
      <c r="O1498" s="42" t="n">
        <v>200</v>
      </c>
      <c r="P1498" s="42" t="n"/>
      <c r="Q1498" s="42" t="n"/>
      <c r="R1498" s="43">
        <f>IF($B1498="","",N($S1498)-N($Q1498))</f>
        <v/>
      </c>
      <c r="S1498" s="43">
        <f>IF($B1498="","",N($L1498)+N($N1498)+N($P1498))</f>
        <v/>
      </c>
      <c r="T1498" s="42" t="n"/>
      <c r="U1498" s="42" t="n"/>
      <c r="V1498" s="42" t="n"/>
      <c r="W1498" s="42" t="n"/>
      <c r="X1498" s="42" t="n"/>
      <c r="Y1498" s="42" t="n"/>
      <c r="Z1498" s="42" t="n"/>
      <c r="AA1498" s="42" t="n"/>
      <c r="AB1498" s="42" t="n"/>
      <c r="AC1498" s="42" t="n"/>
      <c r="AD1498" s="42" t="n"/>
      <c r="AE1498" s="42" t="n"/>
      <c r="AF1498" s="43">
        <f>IF($B1498="","",SUM($T1498:$AE1498))</f>
        <v/>
      </c>
      <c r="AG1498" s="43">
        <f>IF($B1498="","",N($M1498)-N($AF1498))</f>
        <v/>
      </c>
      <c r="AH1498" s="43">
        <f>IF($B1498="","",N($L1498)-N($AF1498))</f>
        <v/>
      </c>
      <c r="AI1498" s="149">
        <f>IF($B1498="","",IF(N($L1498)=0,"",(N($L1498)-N($AF1498))/N($L1498)))</f>
        <v/>
      </c>
    </row>
    <row r="1499">
      <c r="A1499" s="39">
        <f>IF($B1499="","",COUNTA($B$4:$B1499))</f>
        <v/>
      </c>
      <c r="B1499" s="45" t="n">
        <v>46188</v>
      </c>
      <c r="C1499" s="46" t="n">
        <v>3185</v>
      </c>
      <c r="D1499" s="46" t="n"/>
      <c r="E1499" s="46" t="inlineStr">
        <is>
          <t>1*40 ث</t>
        </is>
      </c>
      <c r="F1499" s="46" t="inlineStr">
        <is>
          <t xml:space="preserve">لخليج </t>
        </is>
      </c>
      <c r="G1499" s="46" t="inlineStr">
        <is>
          <t xml:space="preserve">ميت غمر </t>
        </is>
      </c>
      <c r="H1499" s="46" t="inlineStr">
        <is>
          <t>513975/3</t>
        </is>
      </c>
      <c r="I1499" s="46" t="inlineStr">
        <is>
          <t>ب ص ا 2574</t>
        </is>
      </c>
      <c r="J1499" s="46" t="inlineStr">
        <is>
          <t xml:space="preserve">احمد عادل </t>
        </is>
      </c>
      <c r="K1499" s="46" t="inlineStr">
        <is>
          <t xml:space="preserve">احمد خليف </t>
        </is>
      </c>
      <c r="L1499" s="47" t="n">
        <v>16000</v>
      </c>
      <c r="M1499" s="47" t="n">
        <v>8100</v>
      </c>
      <c r="N1499" s="47" t="n"/>
      <c r="O1499" s="47" t="n">
        <v>200</v>
      </c>
      <c r="P1499" s="47" t="n"/>
      <c r="Q1499" s="47" t="n"/>
      <c r="R1499" s="43">
        <f>IF($B1499="","",N($S1499)-N($Q1499))</f>
        <v/>
      </c>
      <c r="S1499" s="43">
        <f>IF($B1499="","",N($L1499)+N($N1499)+N($P1499))</f>
        <v/>
      </c>
      <c r="T1499" s="47" t="n"/>
      <c r="U1499" s="47" t="n"/>
      <c r="V1499" s="47" t="n"/>
      <c r="W1499" s="47" t="n"/>
      <c r="X1499" s="47" t="n"/>
      <c r="Y1499" s="47" t="n"/>
      <c r="Z1499" s="47" t="n"/>
      <c r="AA1499" s="47" t="n"/>
      <c r="AB1499" s="47" t="n"/>
      <c r="AC1499" s="47" t="n"/>
      <c r="AD1499" s="47" t="n"/>
      <c r="AE1499" s="47" t="n"/>
      <c r="AF1499" s="43">
        <f>IF($B1499="","",SUM($T1499:$AE1499))</f>
        <v/>
      </c>
      <c r="AG1499" s="43">
        <f>IF($B1499="","",N($M1499)-N($AF1499))</f>
        <v/>
      </c>
      <c r="AH1499" s="43">
        <f>IF($B1499="","",N($L1499)-N($AF1499))</f>
        <v/>
      </c>
      <c r="AI1499" s="149">
        <f>IF($B1499="","",IF(N($L1499)=0,"",(N($L1499)-N($AF1499))/N($L1499)))</f>
        <v/>
      </c>
    </row>
    <row r="1500">
      <c r="A1500" s="39">
        <f>IF($B1500="","",COUNTA($B$4:$B1500))</f>
        <v/>
      </c>
      <c r="B1500" s="40" t="n">
        <v>46188</v>
      </c>
      <c r="C1500" s="41" t="n">
        <v>3242</v>
      </c>
      <c r="D1500" s="41" t="n"/>
      <c r="E1500" s="41" t="inlineStr">
        <is>
          <t>1*40 ث</t>
        </is>
      </c>
      <c r="F1500" s="41" t="inlineStr">
        <is>
          <t xml:space="preserve">الخليج </t>
        </is>
      </c>
      <c r="G1500" s="41" t="inlineStr">
        <is>
          <t xml:space="preserve">ميت غمر </t>
        </is>
      </c>
      <c r="H1500" s="41" t="inlineStr">
        <is>
          <t>157675/8</t>
        </is>
      </c>
      <c r="I1500" s="41" t="inlineStr">
        <is>
          <t>ن و 6277</t>
        </is>
      </c>
      <c r="J1500" s="41" t="inlineStr">
        <is>
          <t xml:space="preserve">محمد محمود </t>
        </is>
      </c>
      <c r="K1500" s="41" t="inlineStr">
        <is>
          <t xml:space="preserve">حمادة مصطفى </t>
        </is>
      </c>
      <c r="L1500" s="42" t="n">
        <v>16000</v>
      </c>
      <c r="M1500" s="42" t="n">
        <v>8100</v>
      </c>
      <c r="N1500" s="42" t="n"/>
      <c r="O1500" s="42" t="n">
        <v>200</v>
      </c>
      <c r="P1500" s="42" t="n"/>
      <c r="Q1500" s="42" t="n"/>
      <c r="R1500" s="43">
        <f>IF($B1500="","",N($S1500)-N($Q1500))</f>
        <v/>
      </c>
      <c r="S1500" s="43">
        <f>IF($B1500="","",N($L1500)+N($N1500)+N($P1500))</f>
        <v/>
      </c>
      <c r="T1500" s="42" t="n"/>
      <c r="U1500" s="42" t="n"/>
      <c r="V1500" s="42" t="n"/>
      <c r="W1500" s="42" t="n"/>
      <c r="X1500" s="42" t="n"/>
      <c r="Y1500" s="42" t="n"/>
      <c r="Z1500" s="42" t="n"/>
      <c r="AA1500" s="42" t="n"/>
      <c r="AB1500" s="42" t="n"/>
      <c r="AC1500" s="42" t="n"/>
      <c r="AD1500" s="42" t="n"/>
      <c r="AE1500" s="42" t="n"/>
      <c r="AF1500" s="43">
        <f>IF($B1500="","",SUM($T1500:$AE1500))</f>
        <v/>
      </c>
      <c r="AG1500" s="43">
        <f>IF($B1500="","",N($M1500)-N($AF1500))</f>
        <v/>
      </c>
      <c r="AH1500" s="43">
        <f>IF($B1500="","",N($L1500)-N($AF1500))</f>
        <v/>
      </c>
      <c r="AI1500" s="149">
        <f>IF($B1500="","",IF(N($L1500)=0,"",(N($L1500)-N($AF1500))/N($L1500)))</f>
        <v/>
      </c>
    </row>
    <row r="1501">
      <c r="A1501" s="39">
        <f>IF($B1501="","",COUNTA($B$4:$B1501))</f>
        <v/>
      </c>
      <c r="B1501" s="45" t="n">
        <v>46187</v>
      </c>
      <c r="C1501" s="46" t="n">
        <v>3244</v>
      </c>
      <c r="D1501" s="46" t="n"/>
      <c r="E1501" s="46" t="inlineStr">
        <is>
          <t>1*40 ث</t>
        </is>
      </c>
      <c r="F1501" s="46" t="inlineStr">
        <is>
          <t xml:space="preserve">الخليج </t>
        </is>
      </c>
      <c r="G1501" s="46" t="inlineStr">
        <is>
          <t xml:space="preserve">ميت غمر </t>
        </is>
      </c>
      <c r="H1501" s="46" t="inlineStr">
        <is>
          <t>530393/3</t>
        </is>
      </c>
      <c r="I1501" s="46" t="inlineStr">
        <is>
          <t>ص ع ا 5124</t>
        </is>
      </c>
      <c r="J1501" s="46" t="inlineStr">
        <is>
          <t xml:space="preserve">محمد عبد التواب </t>
        </is>
      </c>
      <c r="K1501" s="46" t="inlineStr">
        <is>
          <t xml:space="preserve">عبد التواب </t>
        </is>
      </c>
      <c r="L1501" s="47" t="n">
        <v>16000</v>
      </c>
      <c r="M1501" s="47" t="n">
        <v>8100</v>
      </c>
      <c r="N1501" s="47" t="n"/>
      <c r="O1501" s="47" t="n">
        <v>200</v>
      </c>
      <c r="P1501" s="47" t="n"/>
      <c r="Q1501" s="47" t="n"/>
      <c r="R1501" s="43">
        <f>IF($B1501="","",N($S1501)-N($Q1501))</f>
        <v/>
      </c>
      <c r="S1501" s="43">
        <f>IF($B1501="","",N($L1501)+N($N1501)+N($P1501))</f>
        <v/>
      </c>
      <c r="T1501" s="47" t="n"/>
      <c r="U1501" s="47" t="n"/>
      <c r="V1501" s="47" t="n"/>
      <c r="W1501" s="47" t="n"/>
      <c r="X1501" s="47" t="n"/>
      <c r="Y1501" s="47" t="n"/>
      <c r="Z1501" s="47" t="n"/>
      <c r="AA1501" s="47" t="n"/>
      <c r="AB1501" s="47" t="n"/>
      <c r="AC1501" s="47" t="n"/>
      <c r="AD1501" s="47" t="n"/>
      <c r="AE1501" s="47" t="n"/>
      <c r="AF1501" s="43">
        <f>IF($B1501="","",SUM($T1501:$AE1501))</f>
        <v/>
      </c>
      <c r="AG1501" s="43">
        <f>IF($B1501="","",N($M1501)-N($AF1501))</f>
        <v/>
      </c>
      <c r="AH1501" s="43">
        <f>IF($B1501="","",N($L1501)-N($AF1501))</f>
        <v/>
      </c>
      <c r="AI1501" s="149">
        <f>IF($B1501="","",IF(N($L1501)=0,"",(N($L1501)-N($AF1501))/N($L1501)))</f>
        <v/>
      </c>
    </row>
    <row r="1502">
      <c r="A1502" s="39">
        <f>IF($B1502="","",COUNTA($B$4:$B1502))</f>
        <v/>
      </c>
      <c r="B1502" s="40" t="n">
        <v>46187</v>
      </c>
      <c r="C1502" s="41" t="n">
        <v>3243</v>
      </c>
      <c r="D1502" s="41" t="inlineStr">
        <is>
          <t xml:space="preserve">الانصارى </t>
        </is>
      </c>
      <c r="E1502" s="41" t="inlineStr">
        <is>
          <t>1*40 ث</t>
        </is>
      </c>
      <c r="F1502" s="41" t="inlineStr">
        <is>
          <t xml:space="preserve">الخليج </t>
        </is>
      </c>
      <c r="G1502" s="41" t="inlineStr">
        <is>
          <t xml:space="preserve">ميت غمر </t>
        </is>
      </c>
      <c r="H1502" s="41" t="inlineStr">
        <is>
          <t>897824/2</t>
        </is>
      </c>
      <c r="I1502" s="41" t="inlineStr">
        <is>
          <t>ط ف ر 1474</t>
        </is>
      </c>
      <c r="J1502" s="41" t="inlineStr">
        <is>
          <t xml:space="preserve">جمال على </t>
        </is>
      </c>
      <c r="K1502" s="41" t="inlineStr">
        <is>
          <t xml:space="preserve">كريم خليف </t>
        </is>
      </c>
      <c r="L1502" s="42" t="n">
        <v>16000</v>
      </c>
      <c r="M1502" s="42" t="n">
        <v>8100</v>
      </c>
      <c r="N1502" s="42" t="n"/>
      <c r="O1502" s="42" t="n">
        <v>200</v>
      </c>
      <c r="P1502" s="42" t="n"/>
      <c r="Q1502" s="42" t="n"/>
      <c r="R1502" s="43">
        <f>IF($B1502="","",N($S1502)-N($Q1502))</f>
        <v/>
      </c>
      <c r="S1502" s="43">
        <f>IF($B1502="","",N($L1502)+N($N1502)+N($P1502))</f>
        <v/>
      </c>
      <c r="T1502" s="42" t="n"/>
      <c r="U1502" s="42" t="n"/>
      <c r="V1502" s="42" t="n"/>
      <c r="W1502" s="42" t="n"/>
      <c r="X1502" s="42" t="n"/>
      <c r="Y1502" s="42" t="n"/>
      <c r="Z1502" s="42" t="n"/>
      <c r="AA1502" s="42" t="n"/>
      <c r="AB1502" s="42" t="n"/>
      <c r="AC1502" s="42" t="n"/>
      <c r="AD1502" s="42" t="n"/>
      <c r="AE1502" s="42" t="n"/>
      <c r="AF1502" s="43">
        <f>IF($B1502="","",SUM($T1502:$AE1502))</f>
        <v/>
      </c>
      <c r="AG1502" s="43">
        <f>IF($B1502="","",N($M1502)-N($AF1502))</f>
        <v/>
      </c>
      <c r="AH1502" s="43">
        <f>IF($B1502="","",N($L1502)-N($AF1502))</f>
        <v/>
      </c>
      <c r="AI1502" s="149">
        <f>IF($B1502="","",IF(N($L1502)=0,"",(N($L1502)-N($AF1502))/N($L1502)))</f>
        <v/>
      </c>
    </row>
    <row r="1503">
      <c r="A1503" s="39">
        <f>IF($B1503="","",COUNTA($B$4:$B1503))</f>
        <v/>
      </c>
      <c r="B1503" s="45" t="n">
        <v>46187</v>
      </c>
      <c r="C1503" s="46" t="n">
        <v>3246</v>
      </c>
      <c r="D1503" s="46" t="n"/>
      <c r="E1503" s="46" t="inlineStr">
        <is>
          <t>1*40 ث</t>
        </is>
      </c>
      <c r="F1503" s="46" t="inlineStr">
        <is>
          <t xml:space="preserve">الخليج </t>
        </is>
      </c>
      <c r="G1503" s="46" t="inlineStr">
        <is>
          <t xml:space="preserve">ميت غمر </t>
        </is>
      </c>
      <c r="H1503" s="46" t="inlineStr">
        <is>
          <t>154099/8</t>
        </is>
      </c>
      <c r="I1503" s="46" t="inlineStr">
        <is>
          <t>ب م ر 9735</t>
        </is>
      </c>
      <c r="J1503" s="46" t="inlineStr">
        <is>
          <t xml:space="preserve">السيد شهاوى </t>
        </is>
      </c>
      <c r="K1503" s="46" t="inlineStr">
        <is>
          <t xml:space="preserve">الشهاوى </t>
        </is>
      </c>
      <c r="L1503" s="47" t="n">
        <v>16000</v>
      </c>
      <c r="M1503" s="47" t="n">
        <v>8100</v>
      </c>
      <c r="N1503" s="47" t="n"/>
      <c r="O1503" s="47" t="n">
        <v>200</v>
      </c>
      <c r="P1503" s="47" t="n"/>
      <c r="Q1503" s="47" t="n"/>
      <c r="R1503" s="43">
        <f>IF($B1503="","",N($S1503)-N($Q1503))</f>
        <v/>
      </c>
      <c r="S1503" s="43">
        <f>IF($B1503="","",N($L1503)+N($N1503)+N($P1503))</f>
        <v/>
      </c>
      <c r="T1503" s="47" t="n"/>
      <c r="U1503" s="47" t="n"/>
      <c r="V1503" s="47" t="n"/>
      <c r="W1503" s="47" t="n"/>
      <c r="X1503" s="47" t="n"/>
      <c r="Y1503" s="47" t="n"/>
      <c r="Z1503" s="47" t="n"/>
      <c r="AA1503" s="47" t="n"/>
      <c r="AB1503" s="47" t="n"/>
      <c r="AC1503" s="47" t="n"/>
      <c r="AD1503" s="47" t="n"/>
      <c r="AE1503" s="47" t="n"/>
      <c r="AF1503" s="43">
        <f>IF($B1503="","",SUM($T1503:$AE1503))</f>
        <v/>
      </c>
      <c r="AG1503" s="43">
        <f>IF($B1503="","",N($M1503)-N($AF1503))</f>
        <v/>
      </c>
      <c r="AH1503" s="43">
        <f>IF($B1503="","",N($L1503)-N($AF1503))</f>
        <v/>
      </c>
      <c r="AI1503" s="149">
        <f>IF($B1503="","",IF(N($L1503)=0,"",(N($L1503)-N($AF1503))/N($L1503)))</f>
        <v/>
      </c>
    </row>
    <row r="1504">
      <c r="A1504" s="39">
        <f>IF($B1504="","",COUNTA($B$4:$B1504))</f>
        <v/>
      </c>
      <c r="B1504" s="40" t="n">
        <v>46187</v>
      </c>
      <c r="C1504" s="41" t="n">
        <v>3251</v>
      </c>
      <c r="D1504" s="41" t="n"/>
      <c r="E1504" s="41" t="inlineStr">
        <is>
          <t>1*40</t>
        </is>
      </c>
      <c r="F1504" s="41" t="inlineStr">
        <is>
          <t xml:space="preserve">اكما </t>
        </is>
      </c>
      <c r="G1504" s="41" t="inlineStr">
        <is>
          <t>بنى سويف</t>
        </is>
      </c>
      <c r="H1504" s="41" t="inlineStr">
        <is>
          <t>008822/3</t>
        </is>
      </c>
      <c r="I1504" s="41" t="inlineStr">
        <is>
          <t>س ع ف 8135</t>
        </is>
      </c>
      <c r="J1504" s="41" t="inlineStr">
        <is>
          <t xml:space="preserve">سعيد محمد </t>
        </is>
      </c>
      <c r="K1504" s="41" t="inlineStr">
        <is>
          <t xml:space="preserve">كريم على </t>
        </is>
      </c>
      <c r="L1504" s="42" t="n">
        <v>19000</v>
      </c>
      <c r="M1504" s="42" t="n">
        <v>9100</v>
      </c>
      <c r="N1504" s="42" t="n"/>
      <c r="O1504" s="42" t="n">
        <v>200</v>
      </c>
      <c r="P1504" s="42" t="n"/>
      <c r="Q1504" s="42" t="n"/>
      <c r="R1504" s="43">
        <f>IF($B1504="","",N($S1504)-N($Q1504))</f>
        <v/>
      </c>
      <c r="S1504" s="43">
        <f>IF($B1504="","",N($L1504)+N($N1504)+N($P1504))</f>
        <v/>
      </c>
      <c r="T1504" s="42" t="n"/>
      <c r="U1504" s="42" t="n"/>
      <c r="V1504" s="42" t="n"/>
      <c r="W1504" s="42" t="n"/>
      <c r="X1504" s="42" t="n"/>
      <c r="Y1504" s="42" t="n"/>
      <c r="Z1504" s="42" t="n"/>
      <c r="AA1504" s="42" t="n"/>
      <c r="AB1504" s="42" t="n"/>
      <c r="AC1504" s="42" t="n"/>
      <c r="AD1504" s="42" t="n"/>
      <c r="AE1504" s="42" t="n"/>
      <c r="AF1504" s="43">
        <f>IF($B1504="","",SUM($T1504:$AE1504))</f>
        <v/>
      </c>
      <c r="AG1504" s="43">
        <f>IF($B1504="","",N($M1504)-N($AF1504))</f>
        <v/>
      </c>
      <c r="AH1504" s="43">
        <f>IF($B1504="","",N($L1504)-N($AF1504))</f>
        <v/>
      </c>
      <c r="AI1504" s="149">
        <f>IF($B1504="","",IF(N($L1504)=0,"",(N($L1504)-N($AF1504))/N($L1504)))</f>
        <v/>
      </c>
    </row>
    <row r="1505">
      <c r="A1505" s="39">
        <f>IF($B1505="","",COUNTA($B$4:$B1505))</f>
        <v/>
      </c>
      <c r="B1505" s="45" t="n">
        <v>46187</v>
      </c>
      <c r="C1505" s="46" t="n">
        <v>3252</v>
      </c>
      <c r="D1505" s="46" t="inlineStr">
        <is>
          <t>اسلام محروس</t>
        </is>
      </c>
      <c r="E1505" s="46" t="inlineStr">
        <is>
          <t>1*40</t>
        </is>
      </c>
      <c r="F1505" s="46" t="inlineStr">
        <is>
          <t xml:space="preserve">اكما </t>
        </is>
      </c>
      <c r="G1505" s="46" t="inlineStr">
        <is>
          <t>بنى سويف</t>
        </is>
      </c>
      <c r="H1505" s="46" t="inlineStr">
        <is>
          <t>335340/9</t>
        </is>
      </c>
      <c r="I1505" s="46" t="inlineStr">
        <is>
          <t>ب د ف 3891</t>
        </is>
      </c>
      <c r="J1505" s="46" t="inlineStr">
        <is>
          <t xml:space="preserve">اشرف الحجرى </t>
        </is>
      </c>
      <c r="K1505" s="46" t="inlineStr">
        <is>
          <t xml:space="preserve">الحجرى </t>
        </is>
      </c>
      <c r="L1505" s="47" t="n">
        <v>19000</v>
      </c>
      <c r="M1505" s="47" t="n">
        <v>10100</v>
      </c>
      <c r="N1505" s="47" t="n"/>
      <c r="O1505" s="47" t="n">
        <v>200</v>
      </c>
      <c r="P1505" s="47" t="n"/>
      <c r="Q1505" s="47" t="n"/>
      <c r="R1505" s="43">
        <f>IF($B1505="","",N($S1505)-N($Q1505))</f>
        <v/>
      </c>
      <c r="S1505" s="43">
        <f>IF($B1505="","",N($L1505)+N($N1505)+N($P1505))</f>
        <v/>
      </c>
      <c r="T1505" s="47" t="n"/>
      <c r="U1505" s="47" t="n"/>
      <c r="V1505" s="47" t="n"/>
      <c r="W1505" s="47" t="n"/>
      <c r="X1505" s="47" t="n"/>
      <c r="Y1505" s="47" t="n"/>
      <c r="Z1505" s="47" t="n"/>
      <c r="AA1505" s="47" t="n"/>
      <c r="AB1505" s="47" t="n"/>
      <c r="AC1505" s="47" t="n"/>
      <c r="AD1505" s="47" t="n"/>
      <c r="AE1505" s="47" t="n"/>
      <c r="AF1505" s="43">
        <f>IF($B1505="","",SUM($T1505:$AE1505))</f>
        <v/>
      </c>
      <c r="AG1505" s="43">
        <f>IF($B1505="","",N($M1505)-N($AF1505))</f>
        <v/>
      </c>
      <c r="AH1505" s="43">
        <f>IF($B1505="","",N($L1505)-N($AF1505))</f>
        <v/>
      </c>
      <c r="AI1505" s="149">
        <f>IF($B1505="","",IF(N($L1505)=0,"",(N($L1505)-N($AF1505))/N($L1505)))</f>
        <v/>
      </c>
    </row>
    <row r="1506">
      <c r="A1506" s="39">
        <f>IF($B1506="","",COUNTA($B$4:$B1506))</f>
        <v/>
      </c>
      <c r="B1506" s="40" t="n">
        <v>46187</v>
      </c>
      <c r="C1506" s="41" t="n">
        <v>3253</v>
      </c>
      <c r="D1506" s="41" t="n"/>
      <c r="E1506" s="41" t="inlineStr">
        <is>
          <t>1*40</t>
        </is>
      </c>
      <c r="F1506" s="41" t="inlineStr">
        <is>
          <t xml:space="preserve">اكما </t>
        </is>
      </c>
      <c r="G1506" s="41" t="inlineStr">
        <is>
          <t>بنى سويف</t>
        </is>
      </c>
      <c r="H1506" s="41" t="inlineStr">
        <is>
          <t>821077/5</t>
        </is>
      </c>
      <c r="I1506" s="41" t="inlineStr">
        <is>
          <t>س د و 5345</t>
        </is>
      </c>
      <c r="J1506" s="41" t="inlineStr">
        <is>
          <t xml:space="preserve">سعيد حسن </t>
        </is>
      </c>
      <c r="K1506" s="41" t="inlineStr">
        <is>
          <t xml:space="preserve">المعداوى </t>
        </is>
      </c>
      <c r="L1506" s="42" t="n">
        <v>19000</v>
      </c>
      <c r="M1506" s="42" t="n">
        <v>9100</v>
      </c>
      <c r="N1506" s="42" t="n"/>
      <c r="O1506" s="42" t="n">
        <v>200</v>
      </c>
      <c r="P1506" s="42" t="n"/>
      <c r="Q1506" s="42" t="n"/>
      <c r="R1506" s="43">
        <f>IF($B1506="","",N($S1506)-N($Q1506))</f>
        <v/>
      </c>
      <c r="S1506" s="43">
        <f>IF($B1506="","",N($L1506)+N($N1506)+N($P1506))</f>
        <v/>
      </c>
      <c r="T1506" s="42" t="n"/>
      <c r="U1506" s="42" t="n"/>
      <c r="V1506" s="42" t="n"/>
      <c r="W1506" s="42" t="n"/>
      <c r="X1506" s="42" t="n"/>
      <c r="Y1506" s="42" t="n"/>
      <c r="Z1506" s="42" t="n"/>
      <c r="AA1506" s="42" t="n"/>
      <c r="AB1506" s="42" t="n"/>
      <c r="AC1506" s="42" t="n"/>
      <c r="AD1506" s="42" t="n"/>
      <c r="AE1506" s="42" t="n"/>
      <c r="AF1506" s="43">
        <f>IF($B1506="","",SUM($T1506:$AE1506))</f>
        <v/>
      </c>
      <c r="AG1506" s="43">
        <f>IF($B1506="","",N($M1506)-N($AF1506))</f>
        <v/>
      </c>
      <c r="AH1506" s="43">
        <f>IF($B1506="","",N($L1506)-N($AF1506))</f>
        <v/>
      </c>
      <c r="AI1506" s="149">
        <f>IF($B1506="","",IF(N($L1506)=0,"",(N($L1506)-N($AF1506))/N($L1506)))</f>
        <v/>
      </c>
    </row>
    <row r="1507">
      <c r="A1507" s="39">
        <f>IF($B1507="","",COUNTA($B$4:$B1507))</f>
        <v/>
      </c>
      <c r="B1507" s="45" t="n">
        <v>46187</v>
      </c>
      <c r="C1507" s="46" t="n">
        <v>3254</v>
      </c>
      <c r="D1507" s="46" t="n"/>
      <c r="E1507" s="46" t="inlineStr">
        <is>
          <t>1*40</t>
        </is>
      </c>
      <c r="F1507" s="46" t="inlineStr">
        <is>
          <t xml:space="preserve">اكما </t>
        </is>
      </c>
      <c r="G1507" s="46" t="inlineStr">
        <is>
          <t>بنى سويف</t>
        </is>
      </c>
      <c r="H1507" s="46" t="inlineStr">
        <is>
          <t>007693/7</t>
        </is>
      </c>
      <c r="I1507" s="46" t="inlineStr">
        <is>
          <t>س م ى 5376</t>
        </is>
      </c>
      <c r="J1507" s="46" t="inlineStr">
        <is>
          <t>احمد عبد القادر</t>
        </is>
      </c>
      <c r="K1507" s="46" t="inlineStr">
        <is>
          <t xml:space="preserve">كريم على </t>
        </is>
      </c>
      <c r="L1507" s="47" t="n">
        <v>19000</v>
      </c>
      <c r="M1507" s="47" t="n">
        <v>9100</v>
      </c>
      <c r="N1507" s="47" t="n"/>
      <c r="O1507" s="47" t="n">
        <v>200</v>
      </c>
      <c r="P1507" s="47" t="n"/>
      <c r="Q1507" s="47" t="n"/>
      <c r="R1507" s="43">
        <f>IF($B1507="","",N($S1507)-N($Q1507))</f>
        <v/>
      </c>
      <c r="S1507" s="43">
        <f>IF($B1507="","",N($L1507)+N($N1507)+N($P1507))</f>
        <v/>
      </c>
      <c r="T1507" s="47" t="n"/>
      <c r="U1507" s="47" t="n"/>
      <c r="V1507" s="47" t="n"/>
      <c r="W1507" s="47" t="n"/>
      <c r="X1507" s="47" t="n"/>
      <c r="Y1507" s="47" t="n"/>
      <c r="Z1507" s="47" t="n"/>
      <c r="AA1507" s="47" t="n"/>
      <c r="AB1507" s="47" t="n"/>
      <c r="AC1507" s="47" t="n"/>
      <c r="AD1507" s="47" t="n"/>
      <c r="AE1507" s="47" t="n"/>
      <c r="AF1507" s="43">
        <f>IF($B1507="","",SUM($T1507:$AE1507))</f>
        <v/>
      </c>
      <c r="AG1507" s="43">
        <f>IF($B1507="","",N($M1507)-N($AF1507))</f>
        <v/>
      </c>
      <c r="AH1507" s="43">
        <f>IF($B1507="","",N($L1507)-N($AF1507))</f>
        <v/>
      </c>
      <c r="AI1507" s="149">
        <f>IF($B1507="","",IF(N($L1507)=0,"",(N($L1507)-N($AF1507))/N($L1507)))</f>
        <v/>
      </c>
    </row>
    <row r="1508">
      <c r="A1508" s="39">
        <f>IF($B1508="","",COUNTA($B$4:$B1508))</f>
        <v/>
      </c>
      <c r="B1508" s="40" t="n">
        <v>46187</v>
      </c>
      <c r="C1508" s="41" t="n">
        <v>3263</v>
      </c>
      <c r="D1508" s="41" t="inlineStr">
        <is>
          <t>حودة صالح</t>
        </is>
      </c>
      <c r="E1508" s="41" t="inlineStr">
        <is>
          <t>1*40</t>
        </is>
      </c>
      <c r="F1508" s="41" t="inlineStr">
        <is>
          <t xml:space="preserve">اكما </t>
        </is>
      </c>
      <c r="G1508" s="41" t="inlineStr">
        <is>
          <t>بنى سويف</t>
        </is>
      </c>
      <c r="H1508" s="41" t="inlineStr">
        <is>
          <t>525057/9</t>
        </is>
      </c>
      <c r="I1508" s="41" t="inlineStr">
        <is>
          <t>س و ب 7914</t>
        </is>
      </c>
      <c r="J1508" s="41" t="inlineStr">
        <is>
          <t xml:space="preserve">بيبو على </t>
        </is>
      </c>
      <c r="K1508" s="41" t="inlineStr">
        <is>
          <t xml:space="preserve">حودة صالح </t>
        </is>
      </c>
      <c r="L1508" s="42" t="n">
        <v>19000</v>
      </c>
      <c r="M1508" s="42" t="n">
        <v>9100</v>
      </c>
      <c r="N1508" s="42" t="n"/>
      <c r="O1508" s="42" t="n">
        <v>200</v>
      </c>
      <c r="P1508" s="42" t="n"/>
      <c r="Q1508" s="42" t="n">
        <v>9700</v>
      </c>
      <c r="R1508" s="43">
        <f>IF($B1508="","",N($S1508)-N($Q1508))</f>
        <v/>
      </c>
      <c r="S1508" s="43">
        <f>IF($B1508="","",N($L1508)+N($N1508)+N($P1508))</f>
        <v/>
      </c>
      <c r="T1508" s="42" t="n"/>
      <c r="U1508" s="42" t="n"/>
      <c r="V1508" s="42" t="n"/>
      <c r="W1508" s="42" t="n"/>
      <c r="X1508" s="42" t="n"/>
      <c r="Y1508" s="42" t="n"/>
      <c r="Z1508" s="42" t="n"/>
      <c r="AA1508" s="42" t="n"/>
      <c r="AB1508" s="42" t="n"/>
      <c r="AC1508" s="42" t="n"/>
      <c r="AD1508" s="42" t="n"/>
      <c r="AE1508" s="42" t="n"/>
      <c r="AF1508" s="43">
        <f>IF($B1508="","",SUM($T1508:$AE1508))</f>
        <v/>
      </c>
      <c r="AG1508" s="43">
        <f>IF($B1508="","",N($M1508)-N($AF1508))</f>
        <v/>
      </c>
      <c r="AH1508" s="43">
        <f>IF($B1508="","",N($L1508)-N($AF1508))</f>
        <v/>
      </c>
      <c r="AI1508" s="149">
        <f>IF($B1508="","",IF(N($L1508)=0,"",(N($L1508)-N($AF1508))/N($L1508)))</f>
        <v/>
      </c>
    </row>
    <row r="1509">
      <c r="A1509" s="39">
        <f>IF($B1509="","",COUNTA($B$4:$B1509))</f>
        <v/>
      </c>
      <c r="B1509" s="45" t="n">
        <v>46187</v>
      </c>
      <c r="C1509" s="46" t="n">
        <v>3255</v>
      </c>
      <c r="D1509" s="46" t="n"/>
      <c r="E1509" s="46" t="inlineStr">
        <is>
          <t>1*40</t>
        </is>
      </c>
      <c r="F1509" s="46" t="inlineStr">
        <is>
          <t xml:space="preserve">اكما </t>
        </is>
      </c>
      <c r="G1509" s="46" t="inlineStr">
        <is>
          <t>بنى سويف</t>
        </is>
      </c>
      <c r="H1509" s="46" t="inlineStr">
        <is>
          <t>006738/6</t>
        </is>
      </c>
      <c r="I1509" s="46" t="inlineStr">
        <is>
          <t>ب ى ط 8316</t>
        </is>
      </c>
      <c r="J1509" s="46" t="inlineStr">
        <is>
          <t xml:space="preserve">احمد حمدان </t>
        </is>
      </c>
      <c r="K1509" s="46" t="inlineStr">
        <is>
          <t xml:space="preserve">مدحت العمدة </t>
        </is>
      </c>
      <c r="L1509" s="47" t="n">
        <v>19000</v>
      </c>
      <c r="M1509" s="47" t="n">
        <v>9100</v>
      </c>
      <c r="N1509" s="47" t="n"/>
      <c r="O1509" s="47" t="n">
        <v>200</v>
      </c>
      <c r="P1509" s="47" t="n"/>
      <c r="Q1509" s="47" t="n"/>
      <c r="R1509" s="43">
        <f>IF($B1509="","",N($S1509)-N($Q1509))</f>
        <v/>
      </c>
      <c r="S1509" s="43">
        <f>IF($B1509="","",N($L1509)+N($N1509)+N($P1509))</f>
        <v/>
      </c>
      <c r="T1509" s="47" t="n"/>
      <c r="U1509" s="47" t="n"/>
      <c r="V1509" s="47" t="n"/>
      <c r="W1509" s="47" t="n"/>
      <c r="X1509" s="47" t="n"/>
      <c r="Y1509" s="47" t="n"/>
      <c r="Z1509" s="47" t="n"/>
      <c r="AA1509" s="47" t="n"/>
      <c r="AB1509" s="47" t="n"/>
      <c r="AC1509" s="47" t="n"/>
      <c r="AD1509" s="47" t="n"/>
      <c r="AE1509" s="47" t="n"/>
      <c r="AF1509" s="43">
        <f>IF($B1509="","",SUM($T1509:$AE1509))</f>
        <v/>
      </c>
      <c r="AG1509" s="43">
        <f>IF($B1509="","",N($M1509)-N($AF1509))</f>
        <v/>
      </c>
      <c r="AH1509" s="43">
        <f>IF($B1509="","",N($L1509)-N($AF1509))</f>
        <v/>
      </c>
      <c r="AI1509" s="149">
        <f>IF($B1509="","",IF(N($L1509)=0,"",(N($L1509)-N($AF1509))/N($L1509)))</f>
        <v/>
      </c>
    </row>
    <row r="1510">
      <c r="A1510" s="39">
        <f>IF($B1510="","",COUNTA($B$4:$B1510))</f>
        <v/>
      </c>
      <c r="B1510" s="40" t="n">
        <v>46187</v>
      </c>
      <c r="C1510" s="41" t="n">
        <v>3256</v>
      </c>
      <c r="D1510" s="41" t="n"/>
      <c r="E1510" s="41" t="inlineStr">
        <is>
          <t>1*40</t>
        </is>
      </c>
      <c r="F1510" s="41" t="inlineStr">
        <is>
          <t xml:space="preserve">اكما </t>
        </is>
      </c>
      <c r="G1510" s="41" t="inlineStr">
        <is>
          <t>بنى سويف</t>
        </is>
      </c>
      <c r="H1510" s="41" t="inlineStr">
        <is>
          <t>223258/1</t>
        </is>
      </c>
      <c r="I1510" s="41" t="inlineStr">
        <is>
          <t>س و ج 6771</t>
        </is>
      </c>
      <c r="J1510" s="41" t="inlineStr">
        <is>
          <t xml:space="preserve">محمد محمود </t>
        </is>
      </c>
      <c r="K1510" s="41" t="inlineStr">
        <is>
          <t xml:space="preserve">محمد الجهينى </t>
        </is>
      </c>
      <c r="L1510" s="42" t="n">
        <v>19000</v>
      </c>
      <c r="M1510" s="42" t="n">
        <v>9100</v>
      </c>
      <c r="N1510" s="42" t="n"/>
      <c r="O1510" s="42" t="n">
        <v>200</v>
      </c>
      <c r="P1510" s="42" t="n"/>
      <c r="Q1510" s="42" t="n"/>
      <c r="R1510" s="43">
        <f>IF($B1510="","",N($S1510)-N($Q1510))</f>
        <v/>
      </c>
      <c r="S1510" s="43">
        <f>IF($B1510="","",N($L1510)+N($N1510)+N($P1510))</f>
        <v/>
      </c>
      <c r="T1510" s="42" t="n"/>
      <c r="U1510" s="42" t="n"/>
      <c r="V1510" s="42" t="n"/>
      <c r="W1510" s="42" t="n"/>
      <c r="X1510" s="42" t="n"/>
      <c r="Y1510" s="42" t="n"/>
      <c r="Z1510" s="42" t="n"/>
      <c r="AA1510" s="42" t="n"/>
      <c r="AB1510" s="42" t="n"/>
      <c r="AC1510" s="42" t="n"/>
      <c r="AD1510" s="42" t="n"/>
      <c r="AE1510" s="42" t="n"/>
      <c r="AF1510" s="43">
        <f>IF($B1510="","",SUM($T1510:$AE1510))</f>
        <v/>
      </c>
      <c r="AG1510" s="43">
        <f>IF($B1510="","",N($M1510)-N($AF1510))</f>
        <v/>
      </c>
      <c r="AH1510" s="43">
        <f>IF($B1510="","",N($L1510)-N($AF1510))</f>
        <v/>
      </c>
      <c r="AI1510" s="149">
        <f>IF($B1510="","",IF(N($L1510)=0,"",(N($L1510)-N($AF1510))/N($L1510)))</f>
        <v/>
      </c>
    </row>
    <row r="1511">
      <c r="A1511" s="39">
        <f>IF($B1511="","",COUNTA($B$4:$B1511))</f>
        <v/>
      </c>
      <c r="B1511" s="45" t="n">
        <v>46187</v>
      </c>
      <c r="C1511" s="46" t="n">
        <v>3257</v>
      </c>
      <c r="D1511" s="46" t="n"/>
      <c r="E1511" s="46" t="inlineStr">
        <is>
          <t>1*40</t>
        </is>
      </c>
      <c r="F1511" s="46" t="inlineStr">
        <is>
          <t xml:space="preserve">اكما </t>
        </is>
      </c>
      <c r="G1511" s="46" t="inlineStr">
        <is>
          <t>بنى سويف</t>
        </is>
      </c>
      <c r="H1511" s="46" t="inlineStr">
        <is>
          <t>356331/8</t>
        </is>
      </c>
      <c r="I1511" s="46" t="inlineStr">
        <is>
          <t>ب ج ط 9265</t>
        </is>
      </c>
      <c r="J1511" s="46" t="inlineStr">
        <is>
          <t xml:space="preserve">هيثم عادل </t>
        </is>
      </c>
      <c r="K1511" s="46" t="inlineStr">
        <is>
          <t>الليبر</t>
        </is>
      </c>
      <c r="L1511" s="47" t="n">
        <v>19000</v>
      </c>
      <c r="M1511" s="47" t="n">
        <v>9100</v>
      </c>
      <c r="N1511" s="47" t="n"/>
      <c r="O1511" s="47" t="n">
        <v>200</v>
      </c>
      <c r="P1511" s="47" t="n"/>
      <c r="Q1511" s="47" t="n"/>
      <c r="R1511" s="43">
        <f>IF($B1511="","",N($S1511)-N($Q1511))</f>
        <v/>
      </c>
      <c r="S1511" s="43">
        <f>IF($B1511="","",N($L1511)+N($N1511)+N($P1511))</f>
        <v/>
      </c>
      <c r="T1511" s="47" t="n"/>
      <c r="U1511" s="47" t="n"/>
      <c r="V1511" s="47" t="n"/>
      <c r="W1511" s="47" t="n"/>
      <c r="X1511" s="47" t="n"/>
      <c r="Y1511" s="47" t="n"/>
      <c r="Z1511" s="47" t="n"/>
      <c r="AA1511" s="47" t="n"/>
      <c r="AB1511" s="47" t="n"/>
      <c r="AC1511" s="47" t="n"/>
      <c r="AD1511" s="47" t="n"/>
      <c r="AE1511" s="47" t="n"/>
      <c r="AF1511" s="43">
        <f>IF($B1511="","",SUM($T1511:$AE1511))</f>
        <v/>
      </c>
      <c r="AG1511" s="43">
        <f>IF($B1511="","",N($M1511)-N($AF1511))</f>
        <v/>
      </c>
      <c r="AH1511" s="43">
        <f>IF($B1511="","",N($L1511)-N($AF1511))</f>
        <v/>
      </c>
      <c r="AI1511" s="149">
        <f>IF($B1511="","",IF(N($L1511)=0,"",(N($L1511)-N($AF1511))/N($L1511)))</f>
        <v/>
      </c>
    </row>
    <row r="1512">
      <c r="A1512" s="39">
        <f>IF($B1512="","",COUNTA($B$4:$B1512))</f>
        <v/>
      </c>
      <c r="B1512" s="40" t="n">
        <v>46187</v>
      </c>
      <c r="C1512" s="41" t="n">
        <v>3258</v>
      </c>
      <c r="D1512" s="41" t="inlineStr">
        <is>
          <t>وليد الجهينى</t>
        </is>
      </c>
      <c r="E1512" s="41" t="inlineStr">
        <is>
          <t>1*40</t>
        </is>
      </c>
      <c r="F1512" s="41" t="inlineStr">
        <is>
          <t xml:space="preserve">اكما </t>
        </is>
      </c>
      <c r="G1512" s="41" t="inlineStr">
        <is>
          <t>بنى سويف</t>
        </is>
      </c>
      <c r="H1512" s="41" t="inlineStr">
        <is>
          <t>224880/5</t>
        </is>
      </c>
      <c r="I1512" s="41" t="inlineStr">
        <is>
          <t>س ن ر 3739</t>
        </is>
      </c>
      <c r="J1512" s="41" t="inlineStr">
        <is>
          <t xml:space="preserve">همام عشرى </t>
        </is>
      </c>
      <c r="K1512" s="41" t="inlineStr">
        <is>
          <t xml:space="preserve">همام </t>
        </is>
      </c>
      <c r="L1512" s="42" t="n">
        <v>19000</v>
      </c>
      <c r="M1512" s="42" t="n">
        <v>9100</v>
      </c>
      <c r="N1512" s="42" t="n"/>
      <c r="O1512" s="42" t="n">
        <v>200</v>
      </c>
      <c r="P1512" s="42" t="n"/>
      <c r="Q1512" s="42" t="n"/>
      <c r="R1512" s="43">
        <f>IF($B1512="","",N($S1512)-N($Q1512))</f>
        <v/>
      </c>
      <c r="S1512" s="43">
        <f>IF($B1512="","",N($L1512)+N($N1512)+N($P1512))</f>
        <v/>
      </c>
      <c r="T1512" s="42" t="n"/>
      <c r="U1512" s="42" t="n"/>
      <c r="V1512" s="42" t="n"/>
      <c r="W1512" s="42" t="n"/>
      <c r="X1512" s="42" t="n"/>
      <c r="Y1512" s="42" t="n"/>
      <c r="Z1512" s="42" t="n"/>
      <c r="AA1512" s="42" t="n"/>
      <c r="AB1512" s="42" t="n"/>
      <c r="AC1512" s="42" t="n"/>
      <c r="AD1512" s="42" t="n"/>
      <c r="AE1512" s="42" t="n"/>
      <c r="AF1512" s="43">
        <f>IF($B1512="","",SUM($T1512:$AE1512))</f>
        <v/>
      </c>
      <c r="AG1512" s="43">
        <f>IF($B1512="","",N($M1512)-N($AF1512))</f>
        <v/>
      </c>
      <c r="AH1512" s="43">
        <f>IF($B1512="","",N($L1512)-N($AF1512))</f>
        <v/>
      </c>
      <c r="AI1512" s="149">
        <f>IF($B1512="","",IF(N($L1512)=0,"",(N($L1512)-N($AF1512))/N($L1512)))</f>
        <v/>
      </c>
    </row>
    <row r="1513">
      <c r="A1513" s="39">
        <f>IF($B1513="","",COUNTA($B$4:$B1513))</f>
        <v/>
      </c>
      <c r="B1513" s="45" t="n">
        <v>46187</v>
      </c>
      <c r="C1513" s="46" t="n">
        <v>3259</v>
      </c>
      <c r="D1513" s="46" t="n"/>
      <c r="E1513" s="46" t="inlineStr">
        <is>
          <t>1*40</t>
        </is>
      </c>
      <c r="F1513" s="46" t="inlineStr">
        <is>
          <t xml:space="preserve">اكما </t>
        </is>
      </c>
      <c r="G1513" s="46" t="inlineStr">
        <is>
          <t>بنى سويف</t>
        </is>
      </c>
      <c r="H1513" s="46" t="inlineStr">
        <is>
          <t>009688/8</t>
        </is>
      </c>
      <c r="I1513" s="46" t="inlineStr">
        <is>
          <t>س ق ب 8164</t>
        </is>
      </c>
      <c r="J1513" s="46" t="inlineStr">
        <is>
          <t xml:space="preserve">ابراهيم عوض </t>
        </is>
      </c>
      <c r="K1513" s="46" t="inlineStr">
        <is>
          <t xml:space="preserve">مؤمن </t>
        </is>
      </c>
      <c r="L1513" s="47" t="n">
        <v>19000</v>
      </c>
      <c r="M1513" s="47" t="n">
        <v>9100</v>
      </c>
      <c r="N1513" s="47" t="n"/>
      <c r="O1513" s="47" t="n">
        <v>200</v>
      </c>
      <c r="P1513" s="47" t="n"/>
      <c r="Q1513" s="47" t="n"/>
      <c r="R1513" s="43">
        <f>IF($B1513="","",N($S1513)-N($Q1513))</f>
        <v/>
      </c>
      <c r="S1513" s="43">
        <f>IF($B1513="","",N($L1513)+N($N1513)+N($P1513))</f>
        <v/>
      </c>
      <c r="T1513" s="47" t="n"/>
      <c r="U1513" s="47" t="n"/>
      <c r="V1513" s="47" t="n"/>
      <c r="W1513" s="47" t="n"/>
      <c r="X1513" s="47" t="n"/>
      <c r="Y1513" s="47" t="n"/>
      <c r="Z1513" s="47" t="n"/>
      <c r="AA1513" s="47" t="n"/>
      <c r="AB1513" s="47" t="n"/>
      <c r="AC1513" s="47" t="n"/>
      <c r="AD1513" s="47" t="n"/>
      <c r="AE1513" s="47" t="n"/>
      <c r="AF1513" s="43">
        <f>IF($B1513="","",SUM($T1513:$AE1513))</f>
        <v/>
      </c>
      <c r="AG1513" s="43">
        <f>IF($B1513="","",N($M1513)-N($AF1513))</f>
        <v/>
      </c>
      <c r="AH1513" s="43">
        <f>IF($B1513="","",N($L1513)-N($AF1513))</f>
        <v/>
      </c>
      <c r="AI1513" s="149">
        <f>IF($B1513="","",IF(N($L1513)=0,"",(N($L1513)-N($AF1513))/N($L1513)))</f>
        <v/>
      </c>
    </row>
    <row r="1514">
      <c r="A1514" s="39">
        <f>IF($B1514="","",COUNTA($B$4:$B1514))</f>
        <v/>
      </c>
      <c r="B1514" s="40" t="n">
        <v>46187</v>
      </c>
      <c r="C1514" s="41" t="n">
        <v>3260</v>
      </c>
      <c r="D1514" s="41" t="n"/>
      <c r="E1514" s="41" t="inlineStr">
        <is>
          <t>1*40</t>
        </is>
      </c>
      <c r="F1514" s="41" t="inlineStr">
        <is>
          <t xml:space="preserve">اكما </t>
        </is>
      </c>
      <c r="G1514" s="41" t="inlineStr">
        <is>
          <t>بنى سويف</t>
        </is>
      </c>
      <c r="H1514" s="41" t="inlineStr">
        <is>
          <t>364787/2</t>
        </is>
      </c>
      <c r="I1514" s="41" t="inlineStr">
        <is>
          <t>س ا ه 3234</t>
        </is>
      </c>
      <c r="J1514" s="41" t="inlineStr">
        <is>
          <t xml:space="preserve">السيد مهدى </t>
        </is>
      </c>
      <c r="K1514" s="41" t="inlineStr">
        <is>
          <t xml:space="preserve">مؤمن </t>
        </is>
      </c>
      <c r="L1514" s="42" t="n">
        <v>19000</v>
      </c>
      <c r="M1514" s="42" t="n">
        <v>9100</v>
      </c>
      <c r="N1514" s="42" t="n"/>
      <c r="O1514" s="42" t="n">
        <v>200</v>
      </c>
      <c r="P1514" s="42" t="n"/>
      <c r="Q1514" s="42" t="n"/>
      <c r="R1514" s="43">
        <f>IF($B1514="","",N($S1514)-N($Q1514))</f>
        <v/>
      </c>
      <c r="S1514" s="43">
        <f>IF($B1514="","",N($L1514)+N($N1514)+N($P1514))</f>
        <v/>
      </c>
      <c r="T1514" s="42" t="n"/>
      <c r="U1514" s="42" t="n"/>
      <c r="V1514" s="42" t="n"/>
      <c r="W1514" s="42" t="n"/>
      <c r="X1514" s="42" t="n"/>
      <c r="Y1514" s="42" t="n"/>
      <c r="Z1514" s="42" t="n"/>
      <c r="AA1514" s="42" t="n"/>
      <c r="AB1514" s="42" t="n"/>
      <c r="AC1514" s="42" t="n"/>
      <c r="AD1514" s="42" t="n"/>
      <c r="AE1514" s="42" t="n"/>
      <c r="AF1514" s="43">
        <f>IF($B1514="","",SUM($T1514:$AE1514))</f>
        <v/>
      </c>
      <c r="AG1514" s="43">
        <f>IF($B1514="","",N($M1514)-N($AF1514))</f>
        <v/>
      </c>
      <c r="AH1514" s="43">
        <f>IF($B1514="","",N($L1514)-N($AF1514))</f>
        <v/>
      </c>
      <c r="AI1514" s="149">
        <f>IF($B1514="","",IF(N($L1514)=0,"",(N($L1514)-N($AF1514))/N($L1514)))</f>
        <v/>
      </c>
    </row>
    <row r="1515">
      <c r="A1515" s="39">
        <f>IF($B1515="","",COUNTA($B$4:$B1515))</f>
        <v/>
      </c>
      <c r="B1515" s="45" t="n">
        <v>46187</v>
      </c>
      <c r="C1515" s="46" t="n">
        <v>3261</v>
      </c>
      <c r="D1515" s="46" t="inlineStr">
        <is>
          <t xml:space="preserve">حمو بكرى </t>
        </is>
      </c>
      <c r="E1515" s="46" t="inlineStr">
        <is>
          <t>1*40</t>
        </is>
      </c>
      <c r="F1515" s="46" t="inlineStr">
        <is>
          <t xml:space="preserve">اكما </t>
        </is>
      </c>
      <c r="G1515" s="46" t="inlineStr">
        <is>
          <t>بنى سويف</t>
        </is>
      </c>
      <c r="H1515" s="46" t="inlineStr">
        <is>
          <t>324390/9</t>
        </is>
      </c>
      <c r="I1515" s="46" t="inlineStr">
        <is>
          <t>س د و 9151</t>
        </is>
      </c>
      <c r="J1515" s="46" t="inlineStr">
        <is>
          <t xml:space="preserve">محمد محمد </t>
        </is>
      </c>
      <c r="K1515" s="46" t="inlineStr">
        <is>
          <t xml:space="preserve">البكرى </t>
        </is>
      </c>
      <c r="L1515" s="47" t="n">
        <v>19000</v>
      </c>
      <c r="M1515" s="47" t="n">
        <v>9100</v>
      </c>
      <c r="N1515" s="47" t="n"/>
      <c r="O1515" s="47" t="n">
        <v>200</v>
      </c>
      <c r="P1515" s="47" t="n"/>
      <c r="Q1515" s="47" t="n">
        <v>9700</v>
      </c>
      <c r="R1515" s="43">
        <f>IF($B1515="","",N($S1515)-N($Q1515))</f>
        <v/>
      </c>
      <c r="S1515" s="43">
        <f>IF($B1515="","",N($L1515)+N($N1515)+N($P1515))</f>
        <v/>
      </c>
      <c r="T1515" s="47" t="n"/>
      <c r="U1515" s="47" t="n"/>
      <c r="V1515" s="47" t="n"/>
      <c r="W1515" s="47" t="n"/>
      <c r="X1515" s="47" t="n"/>
      <c r="Y1515" s="47" t="n"/>
      <c r="Z1515" s="47" t="n"/>
      <c r="AA1515" s="47" t="n"/>
      <c r="AB1515" s="47" t="n"/>
      <c r="AC1515" s="47" t="n"/>
      <c r="AD1515" s="47" t="n"/>
      <c r="AE1515" s="47" t="n"/>
      <c r="AF1515" s="43">
        <f>IF($B1515="","",SUM($T1515:$AE1515))</f>
        <v/>
      </c>
      <c r="AG1515" s="43">
        <f>IF($B1515="","",N($M1515)-N($AF1515))</f>
        <v/>
      </c>
      <c r="AH1515" s="43">
        <f>IF($B1515="","",N($L1515)-N($AF1515))</f>
        <v/>
      </c>
      <c r="AI1515" s="149">
        <f>IF($B1515="","",IF(N($L1515)=0,"",(N($L1515)-N($AF1515))/N($L1515)))</f>
        <v/>
      </c>
    </row>
    <row r="1516">
      <c r="A1516" s="39">
        <f>IF($B1516="","",COUNTA($B$4:$B1516))</f>
        <v/>
      </c>
      <c r="B1516" s="40" t="n">
        <v>46187</v>
      </c>
      <c r="C1516" s="41" t="n">
        <v>3262</v>
      </c>
      <c r="D1516" s="41" t="n"/>
      <c r="E1516" s="41" t="inlineStr">
        <is>
          <t>1*40</t>
        </is>
      </c>
      <c r="F1516" s="41" t="inlineStr">
        <is>
          <t xml:space="preserve">اكما </t>
        </is>
      </c>
      <c r="G1516" s="41" t="inlineStr">
        <is>
          <t>بنى سويف</t>
        </is>
      </c>
      <c r="H1516" s="41" t="inlineStr">
        <is>
          <t>364629/0</t>
        </is>
      </c>
      <c r="I1516" s="41" t="inlineStr">
        <is>
          <t>ب ر ط 2615</t>
        </is>
      </c>
      <c r="J1516" s="41" t="inlineStr">
        <is>
          <t xml:space="preserve">محمد عبد الرحمن </t>
        </is>
      </c>
      <c r="K1516" s="41" t="inlineStr">
        <is>
          <t xml:space="preserve">كارم عمارة </t>
        </is>
      </c>
      <c r="L1516" s="42" t="n">
        <v>19000</v>
      </c>
      <c r="M1516" s="42" t="n">
        <v>9100</v>
      </c>
      <c r="N1516" s="42" t="n"/>
      <c r="O1516" s="42" t="n">
        <v>200</v>
      </c>
      <c r="P1516" s="42" t="n"/>
      <c r="Q1516" s="42" t="n"/>
      <c r="R1516" s="43">
        <f>IF($B1516="","",N($S1516)-N($Q1516))</f>
        <v/>
      </c>
      <c r="S1516" s="43">
        <f>IF($B1516="","",N($L1516)+N($N1516)+N($P1516))</f>
        <v/>
      </c>
      <c r="T1516" s="42" t="n"/>
      <c r="U1516" s="42" t="n"/>
      <c r="V1516" s="42" t="n"/>
      <c r="W1516" s="42" t="n"/>
      <c r="X1516" s="42" t="n"/>
      <c r="Y1516" s="42" t="n"/>
      <c r="Z1516" s="42" t="n"/>
      <c r="AA1516" s="42" t="n"/>
      <c r="AB1516" s="42" t="n"/>
      <c r="AC1516" s="42" t="n"/>
      <c r="AD1516" s="42" t="n"/>
      <c r="AE1516" s="42" t="n"/>
      <c r="AF1516" s="43">
        <f>IF($B1516="","",SUM($T1516:$AE1516))</f>
        <v/>
      </c>
      <c r="AG1516" s="43">
        <f>IF($B1516="","",N($M1516)-N($AF1516))</f>
        <v/>
      </c>
      <c r="AH1516" s="43">
        <f>IF($B1516="","",N($L1516)-N($AF1516))</f>
        <v/>
      </c>
      <c r="AI1516" s="149">
        <f>IF($B1516="","",IF(N($L1516)=0,"",(N($L1516)-N($AF1516))/N($L1516)))</f>
        <v/>
      </c>
    </row>
    <row r="1517">
      <c r="A1517" s="39">
        <f>IF($B1517="","",COUNTA($B$4:$B1517))</f>
        <v/>
      </c>
      <c r="B1517" s="45" t="n">
        <v>46187</v>
      </c>
      <c r="C1517" s="46" t="n">
        <v>3264</v>
      </c>
      <c r="D1517" s="46" t="inlineStr">
        <is>
          <t>الشريف</t>
        </is>
      </c>
      <c r="E1517" s="46" t="inlineStr">
        <is>
          <t>1*40</t>
        </is>
      </c>
      <c r="F1517" s="46" t="inlineStr">
        <is>
          <t xml:space="preserve">اكما </t>
        </is>
      </c>
      <c r="G1517" s="46" t="inlineStr">
        <is>
          <t>بنى سويف</t>
        </is>
      </c>
      <c r="H1517" s="46" t="inlineStr">
        <is>
          <t>224327/2</t>
        </is>
      </c>
      <c r="I1517" s="46" t="inlineStr">
        <is>
          <t>ب د ن 7193</t>
        </is>
      </c>
      <c r="J1517" s="46" t="inlineStr">
        <is>
          <t xml:space="preserve">حسين محمد </t>
        </is>
      </c>
      <c r="K1517" s="46" t="inlineStr">
        <is>
          <t>الليبر</t>
        </is>
      </c>
      <c r="L1517" s="47" t="n">
        <v>19000</v>
      </c>
      <c r="M1517" s="47" t="n">
        <v>9100</v>
      </c>
      <c r="N1517" s="47" t="n"/>
      <c r="O1517" s="47" t="n">
        <v>200</v>
      </c>
      <c r="P1517" s="47" t="n"/>
      <c r="Q1517" s="47" t="n"/>
      <c r="R1517" s="43">
        <f>IF($B1517="","",N($S1517)-N($Q1517))</f>
        <v/>
      </c>
      <c r="S1517" s="43">
        <f>IF($B1517="","",N($L1517)+N($N1517)+N($P1517))</f>
        <v/>
      </c>
      <c r="T1517" s="47" t="n"/>
      <c r="U1517" s="47" t="n"/>
      <c r="V1517" s="47" t="n"/>
      <c r="W1517" s="47" t="n"/>
      <c r="X1517" s="47" t="n"/>
      <c r="Y1517" s="47" t="n"/>
      <c r="Z1517" s="47" t="n"/>
      <c r="AA1517" s="47" t="n"/>
      <c r="AB1517" s="47" t="n"/>
      <c r="AC1517" s="47" t="n"/>
      <c r="AD1517" s="47" t="n"/>
      <c r="AE1517" s="47" t="n"/>
      <c r="AF1517" s="43">
        <f>IF($B1517="","",SUM($T1517:$AE1517))</f>
        <v/>
      </c>
      <c r="AG1517" s="43">
        <f>IF($B1517="","",N($M1517)-N($AF1517))</f>
        <v/>
      </c>
      <c r="AH1517" s="43">
        <f>IF($B1517="","",N($L1517)-N($AF1517))</f>
        <v/>
      </c>
      <c r="AI1517" s="149">
        <f>IF($B1517="","",IF(N($L1517)=0,"",(N($L1517)-N($AF1517))/N($L1517)))</f>
        <v/>
      </c>
    </row>
    <row r="1518">
      <c r="A1518" s="39">
        <f>IF($B1518="","",COUNTA($B$4:$B1518))</f>
        <v/>
      </c>
      <c r="B1518" s="40" t="n">
        <v>46187</v>
      </c>
      <c r="C1518" s="41" t="n">
        <v>3265</v>
      </c>
      <c r="D1518" s="41" t="inlineStr">
        <is>
          <t>حودة صالح</t>
        </is>
      </c>
      <c r="E1518" s="41" t="inlineStr">
        <is>
          <t>1*40</t>
        </is>
      </c>
      <c r="F1518" s="41" t="inlineStr">
        <is>
          <t xml:space="preserve">اكما </t>
        </is>
      </c>
      <c r="G1518" s="41" t="inlineStr">
        <is>
          <t>بنى سويف</t>
        </is>
      </c>
      <c r="H1518" s="41" t="inlineStr">
        <is>
          <t>007041/4</t>
        </is>
      </c>
      <c r="I1518" s="41" t="inlineStr">
        <is>
          <t>ع ا م 1713</t>
        </is>
      </c>
      <c r="J1518" s="41" t="inlineStr">
        <is>
          <t xml:space="preserve">محمد رمضان </t>
        </is>
      </c>
      <c r="K1518" s="41" t="inlineStr">
        <is>
          <t xml:space="preserve">حودة صالح </t>
        </is>
      </c>
      <c r="L1518" s="42" t="n">
        <v>19000</v>
      </c>
      <c r="M1518" s="42" t="n">
        <v>9100</v>
      </c>
      <c r="N1518" s="42" t="n"/>
      <c r="O1518" s="42" t="n">
        <v>200</v>
      </c>
      <c r="P1518" s="42" t="n"/>
      <c r="Q1518" s="42" t="n">
        <v>9700</v>
      </c>
      <c r="R1518" s="43">
        <f>IF($B1518="","",N($S1518)-N($Q1518))</f>
        <v/>
      </c>
      <c r="S1518" s="43">
        <f>IF($B1518="","",N($L1518)+N($N1518)+N($P1518))</f>
        <v/>
      </c>
      <c r="T1518" s="42" t="n"/>
      <c r="U1518" s="42" t="n"/>
      <c r="V1518" s="42" t="n"/>
      <c r="W1518" s="42" t="n"/>
      <c r="X1518" s="42" t="n"/>
      <c r="Y1518" s="42" t="n"/>
      <c r="Z1518" s="42" t="n"/>
      <c r="AA1518" s="42" t="n"/>
      <c r="AB1518" s="42" t="n"/>
      <c r="AC1518" s="42" t="n"/>
      <c r="AD1518" s="42" t="n"/>
      <c r="AE1518" s="42" t="n"/>
      <c r="AF1518" s="43">
        <f>IF($B1518="","",SUM($T1518:$AE1518))</f>
        <v/>
      </c>
      <c r="AG1518" s="43">
        <f>IF($B1518="","",N($M1518)-N($AF1518))</f>
        <v/>
      </c>
      <c r="AH1518" s="43">
        <f>IF($B1518="","",N($L1518)-N($AF1518))</f>
        <v/>
      </c>
      <c r="AI1518" s="149">
        <f>IF($B1518="","",IF(N($L1518)=0,"",(N($L1518)-N($AF1518))/N($L1518)))</f>
        <v/>
      </c>
    </row>
    <row r="1519">
      <c r="A1519" s="39">
        <f>IF($B1519="","",COUNTA($B$4:$B1519))</f>
        <v/>
      </c>
      <c r="B1519" s="45" t="n">
        <v>46187</v>
      </c>
      <c r="C1519" s="46" t="n">
        <v>3266</v>
      </c>
      <c r="D1519" s="46" t="inlineStr">
        <is>
          <t xml:space="preserve">حماد </t>
        </is>
      </c>
      <c r="E1519" s="46" t="inlineStr">
        <is>
          <t>1*40</t>
        </is>
      </c>
      <c r="F1519" s="46" t="inlineStr">
        <is>
          <t xml:space="preserve">اكما </t>
        </is>
      </c>
      <c r="G1519" s="46" t="inlineStr">
        <is>
          <t>بنى سويف</t>
        </is>
      </c>
      <c r="H1519" s="46" t="inlineStr">
        <is>
          <t>550426/8</t>
        </is>
      </c>
      <c r="I1519" s="46" t="inlineStr">
        <is>
          <t>س ق ا 9635</t>
        </is>
      </c>
      <c r="J1519" s="46" t="inlineStr">
        <is>
          <t xml:space="preserve">محمد المرشدى </t>
        </is>
      </c>
      <c r="K1519" s="46" t="inlineStr">
        <is>
          <t xml:space="preserve">محمد صابر </t>
        </is>
      </c>
      <c r="L1519" s="47" t="n">
        <v>19000</v>
      </c>
      <c r="M1519" s="47" t="n">
        <v>9100</v>
      </c>
      <c r="N1519" s="47" t="n"/>
      <c r="O1519" s="47" t="n">
        <v>200</v>
      </c>
      <c r="P1519" s="47" t="n"/>
      <c r="Q1519" s="47" t="n"/>
      <c r="R1519" s="43">
        <f>IF($B1519="","",N($S1519)-N($Q1519))</f>
        <v/>
      </c>
      <c r="S1519" s="43">
        <f>IF($B1519="","",N($L1519)+N($N1519)+N($P1519))</f>
        <v/>
      </c>
      <c r="T1519" s="47" t="n"/>
      <c r="U1519" s="47" t="n"/>
      <c r="V1519" s="47" t="n"/>
      <c r="W1519" s="47" t="n"/>
      <c r="X1519" s="47" t="n"/>
      <c r="Y1519" s="47" t="n"/>
      <c r="Z1519" s="47" t="n"/>
      <c r="AA1519" s="47" t="n"/>
      <c r="AB1519" s="47" t="n"/>
      <c r="AC1519" s="47" t="n"/>
      <c r="AD1519" s="47" t="n"/>
      <c r="AE1519" s="47" t="n"/>
      <c r="AF1519" s="43">
        <f>IF($B1519="","",SUM($T1519:$AE1519))</f>
        <v/>
      </c>
      <c r="AG1519" s="43">
        <f>IF($B1519="","",N($M1519)-N($AF1519))</f>
        <v/>
      </c>
      <c r="AH1519" s="43">
        <f>IF($B1519="","",N($L1519)-N($AF1519))</f>
        <v/>
      </c>
      <c r="AI1519" s="149">
        <f>IF($B1519="","",IF(N($L1519)=0,"",(N($L1519)-N($AF1519))/N($L1519)))</f>
        <v/>
      </c>
    </row>
    <row r="1520">
      <c r="A1520" s="39">
        <f>IF($B1520="","",COUNTA($B$4:$B1520))</f>
        <v/>
      </c>
      <c r="B1520" s="40" t="n">
        <v>46187</v>
      </c>
      <c r="C1520" s="41" t="n">
        <v>3267</v>
      </c>
      <c r="D1520" s="41" t="n"/>
      <c r="E1520" s="41" t="inlineStr">
        <is>
          <t>1*40</t>
        </is>
      </c>
      <c r="F1520" s="41" t="inlineStr">
        <is>
          <t xml:space="preserve">اكما </t>
        </is>
      </c>
      <c r="G1520" s="41" t="inlineStr">
        <is>
          <t>بنى سويف</t>
        </is>
      </c>
      <c r="H1520" s="41" t="inlineStr">
        <is>
          <t>364675/2</t>
        </is>
      </c>
      <c r="I1520" s="41" t="inlineStr">
        <is>
          <t>س ل ى 8934</t>
        </is>
      </c>
      <c r="J1520" s="41" t="inlineStr">
        <is>
          <t xml:space="preserve">احمد عتمان </t>
        </is>
      </c>
      <c r="K1520" s="41" t="inlineStr">
        <is>
          <t xml:space="preserve">سمح خيشة </t>
        </is>
      </c>
      <c r="L1520" s="42" t="n">
        <v>19000</v>
      </c>
      <c r="M1520" s="42" t="n">
        <v>9100</v>
      </c>
      <c r="N1520" s="42" t="n"/>
      <c r="O1520" s="42" t="n">
        <v>200</v>
      </c>
      <c r="P1520" s="42" t="n"/>
      <c r="Q1520" s="42" t="n"/>
      <c r="R1520" s="43">
        <f>IF($B1520="","",N($S1520)-N($Q1520))</f>
        <v/>
      </c>
      <c r="S1520" s="43">
        <f>IF($B1520="","",N($L1520)+N($N1520)+N($P1520))</f>
        <v/>
      </c>
      <c r="T1520" s="42" t="n"/>
      <c r="U1520" s="42" t="n"/>
      <c r="V1520" s="42" t="n"/>
      <c r="W1520" s="42" t="n"/>
      <c r="X1520" s="42" t="n"/>
      <c r="Y1520" s="42" t="n"/>
      <c r="Z1520" s="42" t="n"/>
      <c r="AA1520" s="42" t="n"/>
      <c r="AB1520" s="42" t="n"/>
      <c r="AC1520" s="42" t="n"/>
      <c r="AD1520" s="42" t="n"/>
      <c r="AE1520" s="42" t="n"/>
      <c r="AF1520" s="43">
        <f>IF($B1520="","",SUM($T1520:$AE1520))</f>
        <v/>
      </c>
      <c r="AG1520" s="43">
        <f>IF($B1520="","",N($M1520)-N($AF1520))</f>
        <v/>
      </c>
      <c r="AH1520" s="43">
        <f>IF($B1520="","",N($L1520)-N($AF1520))</f>
        <v/>
      </c>
      <c r="AI1520" s="149">
        <f>IF($B1520="","",IF(N($L1520)=0,"",(N($L1520)-N($AF1520))/N($L1520)))</f>
        <v/>
      </c>
    </row>
    <row r="1521">
      <c r="A1521" s="39">
        <f>IF($B1521="","",COUNTA($B$4:$B1521))</f>
        <v/>
      </c>
      <c r="B1521" s="45" t="n">
        <v>46187</v>
      </c>
      <c r="C1521" s="46" t="n">
        <v>3268</v>
      </c>
      <c r="D1521" s="46" t="inlineStr">
        <is>
          <t xml:space="preserve">حماد </t>
        </is>
      </c>
      <c r="E1521" s="46" t="inlineStr">
        <is>
          <t>1*40</t>
        </is>
      </c>
      <c r="F1521" s="46" t="inlineStr">
        <is>
          <t xml:space="preserve">اكما </t>
        </is>
      </c>
      <c r="G1521" s="46" t="inlineStr">
        <is>
          <t>بنى سويف</t>
        </is>
      </c>
      <c r="H1521" s="46" t="inlineStr">
        <is>
          <t>031488/3</t>
        </is>
      </c>
      <c r="I1521" s="46" t="inlineStr">
        <is>
          <t>س ن ر 5265</t>
        </is>
      </c>
      <c r="J1521" s="46" t="inlineStr">
        <is>
          <t xml:space="preserve">خالد شحاتة </t>
        </is>
      </c>
      <c r="K1521" s="46" t="inlineStr">
        <is>
          <t xml:space="preserve">محمد صابر </t>
        </is>
      </c>
      <c r="L1521" s="47" t="n">
        <v>19000</v>
      </c>
      <c r="M1521" s="47" t="n">
        <v>9100</v>
      </c>
      <c r="N1521" s="47" t="n"/>
      <c r="O1521" s="47" t="n">
        <v>200</v>
      </c>
      <c r="P1521" s="47" t="n"/>
      <c r="Q1521" s="47" t="n"/>
      <c r="R1521" s="43">
        <f>IF($B1521="","",N($S1521)-N($Q1521))</f>
        <v/>
      </c>
      <c r="S1521" s="43">
        <f>IF($B1521="","",N($L1521)+N($N1521)+N($P1521))</f>
        <v/>
      </c>
      <c r="T1521" s="47" t="n"/>
      <c r="U1521" s="47" t="n"/>
      <c r="V1521" s="47" t="n"/>
      <c r="W1521" s="47" t="n"/>
      <c r="X1521" s="47" t="n"/>
      <c r="Y1521" s="47" t="n"/>
      <c r="Z1521" s="47" t="n"/>
      <c r="AA1521" s="47" t="n"/>
      <c r="AB1521" s="47" t="n"/>
      <c r="AC1521" s="47" t="n"/>
      <c r="AD1521" s="47" t="n"/>
      <c r="AE1521" s="47" t="n"/>
      <c r="AF1521" s="43">
        <f>IF($B1521="","",SUM($T1521:$AE1521))</f>
        <v/>
      </c>
      <c r="AG1521" s="43">
        <f>IF($B1521="","",N($M1521)-N($AF1521))</f>
        <v/>
      </c>
      <c r="AH1521" s="43">
        <f>IF($B1521="","",N($L1521)-N($AF1521))</f>
        <v/>
      </c>
      <c r="AI1521" s="149">
        <f>IF($B1521="","",IF(N($L1521)=0,"",(N($L1521)-N($AF1521))/N($L1521)))</f>
        <v/>
      </c>
    </row>
    <row r="1522">
      <c r="A1522" s="39">
        <f>IF($B1522="","",COUNTA($B$4:$B1522))</f>
        <v/>
      </c>
      <c r="B1522" s="40" t="n">
        <v>46187</v>
      </c>
      <c r="C1522" s="41" t="n">
        <v>3269</v>
      </c>
      <c r="D1522" s="41" t="inlineStr">
        <is>
          <t xml:space="preserve">حماد </t>
        </is>
      </c>
      <c r="E1522" s="41" t="inlineStr">
        <is>
          <t>1*40</t>
        </is>
      </c>
      <c r="F1522" s="41" t="inlineStr">
        <is>
          <t xml:space="preserve">اكما </t>
        </is>
      </c>
      <c r="G1522" s="41" t="inlineStr">
        <is>
          <t>بنى سويف</t>
        </is>
      </c>
      <c r="H1522" s="41" t="inlineStr">
        <is>
          <t>008257/0</t>
        </is>
      </c>
      <c r="I1522" s="41" t="inlineStr">
        <is>
          <t>س ن ب 1649</t>
        </is>
      </c>
      <c r="J1522" s="41" t="inlineStr">
        <is>
          <t xml:space="preserve">على حيدر </t>
        </is>
      </c>
      <c r="K1522" s="41" t="inlineStr">
        <is>
          <t xml:space="preserve">محمد صابر </t>
        </is>
      </c>
      <c r="L1522" s="42" t="n">
        <v>19000</v>
      </c>
      <c r="M1522" s="42" t="n">
        <v>9100</v>
      </c>
      <c r="N1522" s="42" t="n"/>
      <c r="O1522" s="42" t="n">
        <v>200</v>
      </c>
      <c r="P1522" s="42" t="n"/>
      <c r="Q1522" s="42" t="n"/>
      <c r="R1522" s="43">
        <f>IF($B1522="","",N($S1522)-N($Q1522))</f>
        <v/>
      </c>
      <c r="S1522" s="43">
        <f>IF($B1522="","",N($L1522)+N($N1522)+N($P1522))</f>
        <v/>
      </c>
      <c r="T1522" s="42" t="n"/>
      <c r="U1522" s="42" t="n"/>
      <c r="V1522" s="42" t="n"/>
      <c r="W1522" s="42" t="n"/>
      <c r="X1522" s="42" t="n"/>
      <c r="Y1522" s="42" t="n"/>
      <c r="Z1522" s="42" t="n"/>
      <c r="AA1522" s="42" t="n"/>
      <c r="AB1522" s="42" t="n"/>
      <c r="AC1522" s="42" t="n"/>
      <c r="AD1522" s="42" t="n"/>
      <c r="AE1522" s="42" t="n"/>
      <c r="AF1522" s="43">
        <f>IF($B1522="","",SUM($T1522:$AE1522))</f>
        <v/>
      </c>
      <c r="AG1522" s="43">
        <f>IF($B1522="","",N($M1522)-N($AF1522))</f>
        <v/>
      </c>
      <c r="AH1522" s="43">
        <f>IF($B1522="","",N($L1522)-N($AF1522))</f>
        <v/>
      </c>
      <c r="AI1522" s="149">
        <f>IF($B1522="","",IF(N($L1522)=0,"",(N($L1522)-N($AF1522))/N($L1522)))</f>
        <v/>
      </c>
    </row>
    <row r="1523">
      <c r="A1523" s="39">
        <f>IF($B1523="","",COUNTA($B$4:$B1523))</f>
        <v/>
      </c>
      <c r="B1523" s="45" t="n">
        <v>46187</v>
      </c>
      <c r="C1523" s="46" t="n">
        <v>3270</v>
      </c>
      <c r="D1523" s="46" t="inlineStr">
        <is>
          <t xml:space="preserve">كمال رزق </t>
        </is>
      </c>
      <c r="E1523" s="46" t="inlineStr">
        <is>
          <t>1*40</t>
        </is>
      </c>
      <c r="F1523" s="46" t="inlineStr">
        <is>
          <t xml:space="preserve">يونايتد باك </t>
        </is>
      </c>
      <c r="G1523" s="46" t="inlineStr">
        <is>
          <t>بنى سويف</t>
        </is>
      </c>
      <c r="H1523" s="46" t="inlineStr">
        <is>
          <t>505680/8</t>
        </is>
      </c>
      <c r="I1523" s="46" t="inlineStr">
        <is>
          <t>س ن ر 8979</t>
        </is>
      </c>
      <c r="J1523" s="46" t="inlineStr">
        <is>
          <t xml:space="preserve">عماد سعيد </t>
        </is>
      </c>
      <c r="K1523" s="46" t="inlineStr">
        <is>
          <t xml:space="preserve">عماد سعيد </t>
        </is>
      </c>
      <c r="L1523" s="47" t="n">
        <v>19500</v>
      </c>
      <c r="M1523" s="47" t="n">
        <v>9100</v>
      </c>
      <c r="N1523" s="47" t="n"/>
      <c r="O1523" s="47" t="n">
        <v>200</v>
      </c>
      <c r="P1523" s="47" t="n"/>
      <c r="Q1523" s="47" t="n"/>
      <c r="R1523" s="43">
        <f>IF($B1523="","",N($S1523)-N($Q1523))</f>
        <v/>
      </c>
      <c r="S1523" s="43">
        <f>IF($B1523="","",N($L1523)+N($N1523)+N($P1523))</f>
        <v/>
      </c>
      <c r="T1523" s="47" t="n"/>
      <c r="U1523" s="47" t="n"/>
      <c r="V1523" s="47" t="n"/>
      <c r="W1523" s="47" t="n"/>
      <c r="X1523" s="47" t="n"/>
      <c r="Y1523" s="47" t="n"/>
      <c r="Z1523" s="47" t="n"/>
      <c r="AA1523" s="47" t="n"/>
      <c r="AB1523" s="47" t="n"/>
      <c r="AC1523" s="47" t="n"/>
      <c r="AD1523" s="47" t="n"/>
      <c r="AE1523" s="47" t="n"/>
      <c r="AF1523" s="43">
        <f>IF($B1523="","",SUM($T1523:$AE1523))</f>
        <v/>
      </c>
      <c r="AG1523" s="43">
        <f>IF($B1523="","",N($M1523)-N($AF1523))</f>
        <v/>
      </c>
      <c r="AH1523" s="43">
        <f>IF($B1523="","",N($L1523)-N($AF1523))</f>
        <v/>
      </c>
      <c r="AI1523" s="149">
        <f>IF($B1523="","",IF(N($L1523)=0,"",(N($L1523)-N($AF1523))/N($L1523)))</f>
        <v/>
      </c>
    </row>
    <row r="1524">
      <c r="A1524" s="39">
        <f>IF($B1524="","",COUNTA($B$4:$B1524))</f>
        <v/>
      </c>
      <c r="B1524" s="40" t="n">
        <v>46187</v>
      </c>
      <c r="C1524" s="41" t="n">
        <v>3271</v>
      </c>
      <c r="D1524" s="41" t="inlineStr">
        <is>
          <t xml:space="preserve">محمد يحى </t>
        </is>
      </c>
      <c r="E1524" s="41" t="inlineStr">
        <is>
          <t>1*40</t>
        </is>
      </c>
      <c r="F1524" s="41" t="inlineStr">
        <is>
          <t xml:space="preserve">يونايتد باك </t>
        </is>
      </c>
      <c r="G1524" s="41" t="inlineStr">
        <is>
          <t>بنى سويف</t>
        </is>
      </c>
      <c r="H1524" s="41" t="inlineStr">
        <is>
          <t>887795/2</t>
        </is>
      </c>
      <c r="I1524" s="41" t="inlineStr">
        <is>
          <t>ع ر ب 1573</t>
        </is>
      </c>
      <c r="J1524" s="41" t="inlineStr">
        <is>
          <t xml:space="preserve">محمد السيد </t>
        </is>
      </c>
      <c r="K1524" s="41" t="inlineStr">
        <is>
          <t xml:space="preserve">حمو مرزوق </t>
        </is>
      </c>
      <c r="L1524" s="42" t="n">
        <v>19500</v>
      </c>
      <c r="M1524" s="42" t="n">
        <v>9100</v>
      </c>
      <c r="N1524" s="42" t="n"/>
      <c r="O1524" s="42" t="n">
        <v>200</v>
      </c>
      <c r="P1524" s="42" t="n"/>
      <c r="Q1524" s="42" t="n"/>
      <c r="R1524" s="43">
        <f>IF($B1524="","",N($S1524)-N($Q1524))</f>
        <v/>
      </c>
      <c r="S1524" s="43">
        <f>IF($B1524="","",N($L1524)+N($N1524)+N($P1524))</f>
        <v/>
      </c>
      <c r="T1524" s="42" t="n"/>
      <c r="U1524" s="42" t="n"/>
      <c r="V1524" s="42" t="n"/>
      <c r="W1524" s="42" t="n"/>
      <c r="X1524" s="42" t="n"/>
      <c r="Y1524" s="42" t="n"/>
      <c r="Z1524" s="42" t="n"/>
      <c r="AA1524" s="42" t="n"/>
      <c r="AB1524" s="42" t="n"/>
      <c r="AC1524" s="42" t="n"/>
      <c r="AD1524" s="42" t="n"/>
      <c r="AE1524" s="42" t="n"/>
      <c r="AF1524" s="43">
        <f>IF($B1524="","",SUM($T1524:$AE1524))</f>
        <v/>
      </c>
      <c r="AG1524" s="43">
        <f>IF($B1524="","",N($M1524)-N($AF1524))</f>
        <v/>
      </c>
      <c r="AH1524" s="43">
        <f>IF($B1524="","",N($L1524)-N($AF1524))</f>
        <v/>
      </c>
      <c r="AI1524" s="149">
        <f>IF($B1524="","",IF(N($L1524)=0,"",(N($L1524)-N($AF1524))/N($L1524)))</f>
        <v/>
      </c>
    </row>
    <row r="1525">
      <c r="A1525" s="39">
        <f>IF($B1525="","",COUNTA($B$4:$B1525))</f>
        <v/>
      </c>
      <c r="B1525" s="45" t="n">
        <v>46188</v>
      </c>
      <c r="C1525" s="46" t="n">
        <v>3274</v>
      </c>
      <c r="D1525" s="46" t="inlineStr">
        <is>
          <t xml:space="preserve">ابراهيم سمارة </t>
        </is>
      </c>
      <c r="E1525" s="46" t="inlineStr">
        <is>
          <t>1*40</t>
        </is>
      </c>
      <c r="F1525" s="46" t="inlineStr">
        <is>
          <t xml:space="preserve">المصرية الاسبانية </t>
        </is>
      </c>
      <c r="G1525" s="46" t="inlineStr">
        <is>
          <t xml:space="preserve">السادات </t>
        </is>
      </c>
      <c r="H1525" s="46" t="inlineStr">
        <is>
          <t>006796/8</t>
        </is>
      </c>
      <c r="I1525" s="46" t="inlineStr">
        <is>
          <t>س ق ر 6632</t>
        </is>
      </c>
      <c r="J1525" s="46" t="inlineStr">
        <is>
          <t xml:space="preserve">خالد شحاتة </t>
        </is>
      </c>
      <c r="K1525" s="46" t="inlineStr">
        <is>
          <t xml:space="preserve">ابراهيم يسرى </t>
        </is>
      </c>
      <c r="L1525" s="47" t="n">
        <v>12800</v>
      </c>
      <c r="M1525" s="47" t="n">
        <v>7100</v>
      </c>
      <c r="N1525" s="47" t="n"/>
      <c r="O1525" s="47" t="n">
        <v>200</v>
      </c>
      <c r="P1525" s="47" t="n"/>
      <c r="Q1525" s="47" t="n"/>
      <c r="R1525" s="43">
        <f>IF($B1525="","",N($S1525)-N($Q1525))</f>
        <v/>
      </c>
      <c r="S1525" s="43">
        <f>IF($B1525="","",N($L1525)+N($N1525)+N($P1525))</f>
        <v/>
      </c>
      <c r="T1525" s="47" t="n"/>
      <c r="U1525" s="47" t="n"/>
      <c r="V1525" s="47" t="n"/>
      <c r="W1525" s="47" t="n"/>
      <c r="X1525" s="47" t="n"/>
      <c r="Y1525" s="47" t="n"/>
      <c r="Z1525" s="47" t="n"/>
      <c r="AA1525" s="47" t="n"/>
      <c r="AB1525" s="47" t="n"/>
      <c r="AC1525" s="47" t="n"/>
      <c r="AD1525" s="47" t="n"/>
      <c r="AE1525" s="47" t="n"/>
      <c r="AF1525" s="43">
        <f>IF($B1525="","",SUM($T1525:$AE1525))</f>
        <v/>
      </c>
      <c r="AG1525" s="43">
        <f>IF($B1525="","",N($M1525)-N($AF1525))</f>
        <v/>
      </c>
      <c r="AH1525" s="43">
        <f>IF($B1525="","",N($L1525)-N($AF1525))</f>
        <v/>
      </c>
      <c r="AI1525" s="149">
        <f>IF($B1525="","",IF(N($L1525)=0,"",(N($L1525)-N($AF1525))/N($L1525)))</f>
        <v/>
      </c>
    </row>
    <row r="1526">
      <c r="A1526" s="39">
        <f>IF($B1526="","",COUNTA($B$4:$B1526))</f>
        <v/>
      </c>
      <c r="B1526" s="40" t="n">
        <v>46188</v>
      </c>
      <c r="C1526" s="41" t="n">
        <v>3273</v>
      </c>
      <c r="D1526" s="41" t="inlineStr">
        <is>
          <t xml:space="preserve">ابراهيم سمارة </t>
        </is>
      </c>
      <c r="E1526" s="41" t="inlineStr">
        <is>
          <t>1*40</t>
        </is>
      </c>
      <c r="F1526" s="41" t="inlineStr">
        <is>
          <t xml:space="preserve">المصرية الاسبانية </t>
        </is>
      </c>
      <c r="G1526" s="41" t="inlineStr">
        <is>
          <t xml:space="preserve">السادات </t>
        </is>
      </c>
      <c r="H1526" s="41" t="inlineStr">
        <is>
          <t>595502/7</t>
        </is>
      </c>
      <c r="I1526" s="41" t="inlineStr">
        <is>
          <t>س ق ب 8162</t>
        </is>
      </c>
      <c r="J1526" s="41" t="inlineStr">
        <is>
          <t xml:space="preserve">جابر سعد </t>
        </is>
      </c>
      <c r="K1526" s="41" t="inlineStr">
        <is>
          <t xml:space="preserve">ابراهيم يسرى </t>
        </is>
      </c>
      <c r="L1526" s="42" t="n">
        <v>12800</v>
      </c>
      <c r="M1526" s="42" t="n">
        <v>7100</v>
      </c>
      <c r="N1526" s="42" t="n"/>
      <c r="O1526" s="42" t="n">
        <v>200</v>
      </c>
      <c r="P1526" s="42" t="n"/>
      <c r="Q1526" s="42" t="n"/>
      <c r="R1526" s="43">
        <f>IF($B1526="","",N($S1526)-N($Q1526))</f>
        <v/>
      </c>
      <c r="S1526" s="43">
        <f>IF($B1526="","",N($L1526)+N($N1526)+N($P1526))</f>
        <v/>
      </c>
      <c r="T1526" s="42" t="n"/>
      <c r="U1526" s="42" t="n"/>
      <c r="V1526" s="42" t="n"/>
      <c r="W1526" s="42" t="n"/>
      <c r="X1526" s="42" t="n"/>
      <c r="Y1526" s="42" t="n"/>
      <c r="Z1526" s="42" t="n"/>
      <c r="AA1526" s="42" t="n"/>
      <c r="AB1526" s="42" t="n"/>
      <c r="AC1526" s="42" t="n"/>
      <c r="AD1526" s="42" t="n"/>
      <c r="AE1526" s="42" t="n"/>
      <c r="AF1526" s="43">
        <f>IF($B1526="","",SUM($T1526:$AE1526))</f>
        <v/>
      </c>
      <c r="AG1526" s="43">
        <f>IF($B1526="","",N($M1526)-N($AF1526))</f>
        <v/>
      </c>
      <c r="AH1526" s="43">
        <f>IF($B1526="","",N($L1526)-N($AF1526))</f>
        <v/>
      </c>
      <c r="AI1526" s="149">
        <f>IF($B1526="","",IF(N($L1526)=0,"",(N($L1526)-N($AF1526))/N($L1526)))</f>
        <v/>
      </c>
    </row>
    <row r="1527">
      <c r="A1527" s="39">
        <f>IF($B1527="","",COUNTA($B$4:$B1527))</f>
        <v/>
      </c>
      <c r="B1527" s="45" t="n">
        <v>46188</v>
      </c>
      <c r="C1527" s="46" t="n">
        <v>3275</v>
      </c>
      <c r="D1527" s="46" t="inlineStr">
        <is>
          <t>وليد الجهينى</t>
        </is>
      </c>
      <c r="E1527" s="46" t="inlineStr">
        <is>
          <t>1*40</t>
        </is>
      </c>
      <c r="F1527" s="46" t="inlineStr">
        <is>
          <t xml:space="preserve">المصرية الاسبانية </t>
        </is>
      </c>
      <c r="G1527" s="46" t="inlineStr">
        <is>
          <t xml:space="preserve">السادات </t>
        </is>
      </c>
      <c r="H1527" s="46" t="inlineStr">
        <is>
          <t>595335/9</t>
        </is>
      </c>
      <c r="I1527" s="46" t="inlineStr">
        <is>
          <t>س ن ر 3739</t>
        </is>
      </c>
      <c r="J1527" s="46" t="inlineStr">
        <is>
          <t xml:space="preserve">همام عشرى </t>
        </is>
      </c>
      <c r="K1527" s="46" t="inlineStr">
        <is>
          <t xml:space="preserve">همام </t>
        </is>
      </c>
      <c r="L1527" s="47" t="n">
        <v>12500</v>
      </c>
      <c r="M1527" s="47" t="n">
        <v>7100</v>
      </c>
      <c r="N1527" s="47" t="n"/>
      <c r="O1527" s="47" t="n">
        <v>200</v>
      </c>
      <c r="P1527" s="47" t="n"/>
      <c r="Q1527" s="47" t="n"/>
      <c r="R1527" s="43">
        <f>IF($B1527="","",N($S1527)-N($Q1527))</f>
        <v/>
      </c>
      <c r="S1527" s="43">
        <f>IF($B1527="","",N($L1527)+N($N1527)+N($P1527))</f>
        <v/>
      </c>
      <c r="T1527" s="47" t="n"/>
      <c r="U1527" s="47" t="n"/>
      <c r="V1527" s="47" t="n"/>
      <c r="W1527" s="47" t="n"/>
      <c r="X1527" s="47" t="n"/>
      <c r="Y1527" s="47" t="n"/>
      <c r="Z1527" s="47" t="n"/>
      <c r="AA1527" s="47" t="n"/>
      <c r="AB1527" s="47" t="n"/>
      <c r="AC1527" s="47" t="n"/>
      <c r="AD1527" s="47" t="n"/>
      <c r="AE1527" s="47" t="n"/>
      <c r="AF1527" s="43">
        <f>IF($B1527="","",SUM($T1527:$AE1527))</f>
        <v/>
      </c>
      <c r="AG1527" s="43">
        <f>IF($B1527="","",N($M1527)-N($AF1527))</f>
        <v/>
      </c>
      <c r="AH1527" s="43">
        <f>IF($B1527="","",N($L1527)-N($AF1527))</f>
        <v/>
      </c>
      <c r="AI1527" s="149">
        <f>IF($B1527="","",IF(N($L1527)=0,"",(N($L1527)-N($AF1527))/N($L1527)))</f>
        <v/>
      </c>
    </row>
    <row r="1528">
      <c r="A1528" s="39">
        <f>IF($B1528="","",COUNTA($B$4:$B1528))</f>
        <v/>
      </c>
      <c r="B1528" s="40" t="n">
        <v>46188</v>
      </c>
      <c r="C1528" s="41" t="n">
        <v>3272</v>
      </c>
      <c r="D1528" s="41" t="inlineStr">
        <is>
          <t xml:space="preserve">البيبى </t>
        </is>
      </c>
      <c r="E1528" s="41" t="inlineStr">
        <is>
          <t>1*40</t>
        </is>
      </c>
      <c r="F1528" s="41" t="inlineStr">
        <is>
          <t xml:space="preserve">اكما </t>
        </is>
      </c>
      <c r="G1528" s="41" t="inlineStr">
        <is>
          <t>بنى سويف</t>
        </is>
      </c>
      <c r="H1528" s="41" t="inlineStr">
        <is>
          <t>551377/9</t>
        </is>
      </c>
      <c r="I1528" s="41" t="inlineStr">
        <is>
          <t>س ق ب 4187</t>
        </is>
      </c>
      <c r="J1528" s="41" t="inlineStr">
        <is>
          <t xml:space="preserve">نور محمد </t>
        </is>
      </c>
      <c r="K1528" s="41" t="inlineStr">
        <is>
          <t xml:space="preserve">حمو البيبى </t>
        </is>
      </c>
      <c r="L1528" s="42" t="n">
        <v>19000</v>
      </c>
      <c r="M1528" s="42" t="n">
        <v>10100</v>
      </c>
      <c r="N1528" s="42" t="n"/>
      <c r="O1528" s="42" t="n">
        <v>200</v>
      </c>
      <c r="P1528" s="42" t="n"/>
      <c r="Q1528" s="42" t="n"/>
      <c r="R1528" s="43">
        <f>IF($B1528="","",N($S1528)-N($Q1528))</f>
        <v/>
      </c>
      <c r="S1528" s="43">
        <f>IF($B1528="","",N($L1528)+N($N1528)+N($P1528))</f>
        <v/>
      </c>
      <c r="T1528" s="42" t="n"/>
      <c r="U1528" s="42" t="n"/>
      <c r="V1528" s="42" t="n"/>
      <c r="W1528" s="42" t="n"/>
      <c r="X1528" s="42" t="n"/>
      <c r="Y1528" s="42" t="n"/>
      <c r="Z1528" s="42" t="n"/>
      <c r="AA1528" s="42" t="n"/>
      <c r="AB1528" s="42" t="n"/>
      <c r="AC1528" s="42" t="n"/>
      <c r="AD1528" s="42" t="n"/>
      <c r="AE1528" s="42" t="n"/>
      <c r="AF1528" s="43">
        <f>IF($B1528="","",SUM($T1528:$AE1528))</f>
        <v/>
      </c>
      <c r="AG1528" s="43">
        <f>IF($B1528="","",N($M1528)-N($AF1528))</f>
        <v/>
      </c>
      <c r="AH1528" s="43">
        <f>IF($B1528="","",N($L1528)-N($AF1528))</f>
        <v/>
      </c>
      <c r="AI1528" s="149">
        <f>IF($B1528="","",IF(N($L1528)=0,"",(N($L1528)-N($AF1528))/N($L1528)))</f>
        <v/>
      </c>
    </row>
    <row r="1529">
      <c r="A1529" s="39">
        <f>IF($B1529="","",COUNTA($B$4:$B1529))</f>
        <v/>
      </c>
      <c r="B1529" s="45" t="n">
        <v>46188</v>
      </c>
      <c r="C1529" s="46" t="n">
        <v>3278</v>
      </c>
      <c r="D1529" s="46" t="inlineStr">
        <is>
          <t>المكتب</t>
        </is>
      </c>
      <c r="E1529" s="46" t="inlineStr">
        <is>
          <t>1*40</t>
        </is>
      </c>
      <c r="F1529" s="46" t="inlineStr">
        <is>
          <t xml:space="preserve">اكما </t>
        </is>
      </c>
      <c r="G1529" s="46" t="inlineStr">
        <is>
          <t>بنى سويف</t>
        </is>
      </c>
      <c r="H1529" s="46" t="inlineStr">
        <is>
          <t>009030/2</t>
        </is>
      </c>
      <c r="I1529" s="46" t="inlineStr">
        <is>
          <t>س ع م 8737</t>
        </is>
      </c>
      <c r="J1529" s="46" t="inlineStr">
        <is>
          <t xml:space="preserve">جلال حسنى </t>
        </is>
      </c>
      <c r="K1529" s="46" t="inlineStr">
        <is>
          <t xml:space="preserve">المكتب </t>
        </is>
      </c>
      <c r="L1529" s="47" t="n">
        <v>19000</v>
      </c>
      <c r="M1529" s="47" t="n">
        <v>5000</v>
      </c>
      <c r="N1529" s="47" t="n"/>
      <c r="O1529" s="47" t="n"/>
      <c r="P1529" s="47" t="n"/>
      <c r="Q1529" s="47" t="n">
        <v>14000</v>
      </c>
      <c r="R1529" s="43">
        <f>IF($B1529="","",N($S1529)-N($Q1529))</f>
        <v/>
      </c>
      <c r="S1529" s="43">
        <f>IF($B1529="","",N($L1529)+N($N1529)+N($P1529))</f>
        <v/>
      </c>
      <c r="T1529" s="47" t="n"/>
      <c r="U1529" s="47" t="n"/>
      <c r="V1529" s="47" t="n"/>
      <c r="W1529" s="47" t="n"/>
      <c r="X1529" s="47" t="n"/>
      <c r="Y1529" s="47" t="n"/>
      <c r="Z1529" s="47" t="n"/>
      <c r="AA1529" s="47" t="n"/>
      <c r="AB1529" s="47" t="n"/>
      <c r="AC1529" s="47" t="n"/>
      <c r="AD1529" s="47" t="n"/>
      <c r="AE1529" s="47" t="n"/>
      <c r="AF1529" s="43">
        <f>IF($B1529="","",SUM($T1529:$AE1529))</f>
        <v/>
      </c>
      <c r="AG1529" s="43">
        <f>IF($B1529="","",N($M1529)-N($AF1529))</f>
        <v/>
      </c>
      <c r="AH1529" s="43">
        <f>IF($B1529="","",N($L1529)-N($AF1529))</f>
        <v/>
      </c>
      <c r="AI1529" s="149">
        <f>IF($B1529="","",IF(N($L1529)=0,"",(N($L1529)-N($AF1529))/N($L1529)))</f>
        <v/>
      </c>
    </row>
    <row r="1530">
      <c r="A1530" s="39">
        <f>IF($B1530="","",COUNTA($B$4:$B1530))</f>
        <v/>
      </c>
      <c r="B1530" s="40" t="n">
        <v>46189</v>
      </c>
      <c r="C1530" s="41" t="n">
        <v>3281</v>
      </c>
      <c r="D1530" s="41" t="inlineStr">
        <is>
          <t xml:space="preserve">كمال رزق </t>
        </is>
      </c>
      <c r="E1530" s="41" t="inlineStr">
        <is>
          <t>1*40</t>
        </is>
      </c>
      <c r="F1530" s="41" t="inlineStr">
        <is>
          <t xml:space="preserve">دلتا فلكس </t>
        </is>
      </c>
      <c r="G1530" s="41" t="inlineStr">
        <is>
          <t xml:space="preserve">المحلة </t>
        </is>
      </c>
      <c r="H1530" s="41" t="inlineStr">
        <is>
          <t>991513/2</t>
        </is>
      </c>
      <c r="I1530" s="41" t="inlineStr">
        <is>
          <t>س ن ر 8979</t>
        </is>
      </c>
      <c r="J1530" s="41" t="inlineStr">
        <is>
          <t xml:space="preserve">عماد سعيد </t>
        </is>
      </c>
      <c r="K1530" s="41" t="inlineStr">
        <is>
          <t xml:space="preserve">عماد سعيد </t>
        </is>
      </c>
      <c r="L1530" s="42" t="n">
        <v>13800</v>
      </c>
      <c r="M1530" s="42" t="n">
        <v>9100</v>
      </c>
      <c r="N1530" s="42" t="n"/>
      <c r="O1530" s="42" t="n">
        <v>200</v>
      </c>
      <c r="P1530" s="42" t="n"/>
      <c r="Q1530" s="42" t="n"/>
      <c r="R1530" s="43">
        <f>IF($B1530="","",N($S1530)-N($Q1530))</f>
        <v/>
      </c>
      <c r="S1530" s="43">
        <f>IF($B1530="","",N($L1530)+N($N1530)+N($P1530))</f>
        <v/>
      </c>
      <c r="T1530" s="42" t="n"/>
      <c r="U1530" s="42" t="n"/>
      <c r="V1530" s="42" t="n"/>
      <c r="W1530" s="42" t="n"/>
      <c r="X1530" s="42" t="n"/>
      <c r="Y1530" s="42" t="n"/>
      <c r="Z1530" s="42" t="n"/>
      <c r="AA1530" s="42" t="n"/>
      <c r="AB1530" s="42" t="n"/>
      <c r="AC1530" s="42" t="n"/>
      <c r="AD1530" s="42" t="n"/>
      <c r="AE1530" s="42" t="n"/>
      <c r="AF1530" s="43">
        <f>IF($B1530="","",SUM($T1530:$AE1530))</f>
        <v/>
      </c>
      <c r="AG1530" s="43">
        <f>IF($B1530="","",N($M1530)-N($AF1530))</f>
        <v/>
      </c>
      <c r="AH1530" s="43">
        <f>IF($B1530="","",N($L1530)-N($AF1530))</f>
        <v/>
      </c>
      <c r="AI1530" s="149">
        <f>IF($B1530="","",IF(N($L1530)=0,"",(N($L1530)-N($AF1530))/N($L1530)))</f>
        <v/>
      </c>
    </row>
    <row r="1531">
      <c r="A1531" s="39">
        <f>IF($B1531="","",COUNTA($B$4:$B1531))</f>
        <v/>
      </c>
      <c r="B1531" s="45" t="n">
        <v>46188</v>
      </c>
      <c r="C1531" s="46" t="n">
        <v>3277</v>
      </c>
      <c r="D1531" s="46" t="n"/>
      <c r="E1531" s="46" t="inlineStr">
        <is>
          <t>1*40</t>
        </is>
      </c>
      <c r="F1531" s="46" t="inlineStr">
        <is>
          <t xml:space="preserve">دلتا فلكس </t>
        </is>
      </c>
      <c r="G1531" s="46" t="inlineStr">
        <is>
          <t xml:space="preserve">المحلة </t>
        </is>
      </c>
      <c r="H1531" s="46" t="inlineStr">
        <is>
          <t>829127/9</t>
        </is>
      </c>
      <c r="I1531" s="46" t="inlineStr">
        <is>
          <t>س ع م 3523</t>
        </is>
      </c>
      <c r="J1531" s="46" t="inlineStr">
        <is>
          <t xml:space="preserve">احمد انور </t>
        </is>
      </c>
      <c r="K1531" s="46" t="inlineStr">
        <is>
          <t xml:space="preserve">سعيد قبيصى </t>
        </is>
      </c>
      <c r="L1531" s="47" t="n">
        <v>13800</v>
      </c>
      <c r="M1531" s="47" t="n">
        <v>9100</v>
      </c>
      <c r="N1531" s="47" t="n"/>
      <c r="O1531" s="47" t="n">
        <v>200</v>
      </c>
      <c r="P1531" s="47" t="n"/>
      <c r="Q1531" s="47" t="n"/>
      <c r="R1531" s="43">
        <f>IF($B1531="","",N($S1531)-N($Q1531))</f>
        <v/>
      </c>
      <c r="S1531" s="43">
        <f>IF($B1531="","",N($L1531)+N($N1531)+N($P1531))</f>
        <v/>
      </c>
      <c r="T1531" s="47" t="n"/>
      <c r="U1531" s="47" t="n"/>
      <c r="V1531" s="47" t="n"/>
      <c r="W1531" s="47" t="n"/>
      <c r="X1531" s="47" t="n"/>
      <c r="Y1531" s="47" t="n"/>
      <c r="Z1531" s="47" t="n"/>
      <c r="AA1531" s="47" t="n"/>
      <c r="AB1531" s="47" t="n"/>
      <c r="AC1531" s="47" t="n"/>
      <c r="AD1531" s="47" t="n"/>
      <c r="AE1531" s="47" t="n"/>
      <c r="AF1531" s="43">
        <f>IF($B1531="","",SUM($T1531:$AE1531))</f>
        <v/>
      </c>
      <c r="AG1531" s="43">
        <f>IF($B1531="","",N($M1531)-N($AF1531))</f>
        <v/>
      </c>
      <c r="AH1531" s="43">
        <f>IF($B1531="","",N($L1531)-N($AF1531))</f>
        <v/>
      </c>
      <c r="AI1531" s="149">
        <f>IF($B1531="","",IF(N($L1531)=0,"",(N($L1531)-N($AF1531))/N($L1531)))</f>
        <v/>
      </c>
    </row>
    <row r="1532">
      <c r="A1532" s="39">
        <f>IF($B1532="","",COUNTA($B$4:$B1532))</f>
        <v/>
      </c>
      <c r="B1532" s="40" t="n">
        <v>46188</v>
      </c>
      <c r="C1532" s="41" t="n">
        <v>3276</v>
      </c>
      <c r="D1532" s="41" t="n"/>
      <c r="E1532" s="41" t="inlineStr">
        <is>
          <t>1*40</t>
        </is>
      </c>
      <c r="F1532" s="41" t="inlineStr">
        <is>
          <t xml:space="preserve">بريلى </t>
        </is>
      </c>
      <c r="G1532" s="41" t="inlineStr">
        <is>
          <t xml:space="preserve">اكتوبر </t>
        </is>
      </c>
      <c r="H1532" s="41" t="inlineStr">
        <is>
          <t>593855/0</t>
        </is>
      </c>
      <c r="I1532" s="41" t="inlineStr">
        <is>
          <t>س ع ه 3237</t>
        </is>
      </c>
      <c r="J1532" s="41" t="inlineStr">
        <is>
          <t xml:space="preserve">محمد صالح </t>
        </is>
      </c>
      <c r="K1532" s="41" t="inlineStr">
        <is>
          <t xml:space="preserve">حمو البيبى </t>
        </is>
      </c>
      <c r="L1532" s="42" t="n">
        <v>13800</v>
      </c>
      <c r="M1532" s="42" t="n">
        <v>8100</v>
      </c>
      <c r="N1532" s="42" t="n"/>
      <c r="O1532" s="42" t="n">
        <v>200</v>
      </c>
      <c r="P1532" s="42" t="n"/>
      <c r="Q1532" s="42" t="n"/>
      <c r="R1532" s="43">
        <f>IF($B1532="","",N($S1532)-N($Q1532))</f>
        <v/>
      </c>
      <c r="S1532" s="43">
        <f>IF($B1532="","",N($L1532)+N($N1532)+N($P1532))</f>
        <v/>
      </c>
      <c r="T1532" s="42" t="n"/>
      <c r="U1532" s="42" t="n"/>
      <c r="V1532" s="42" t="n"/>
      <c r="W1532" s="42" t="n"/>
      <c r="X1532" s="42" t="n"/>
      <c r="Y1532" s="42" t="n"/>
      <c r="Z1532" s="42" t="n"/>
      <c r="AA1532" s="42" t="n"/>
      <c r="AB1532" s="42" t="n"/>
      <c r="AC1532" s="42" t="n"/>
      <c r="AD1532" s="42" t="n"/>
      <c r="AE1532" s="42" t="n"/>
      <c r="AF1532" s="43">
        <f>IF($B1532="","",SUM($T1532:$AE1532))</f>
        <v/>
      </c>
      <c r="AG1532" s="43">
        <f>IF($B1532="","",N($M1532)-N($AF1532))</f>
        <v/>
      </c>
      <c r="AH1532" s="43">
        <f>IF($B1532="","",N($L1532)-N($AF1532))</f>
        <v/>
      </c>
      <c r="AI1532" s="149">
        <f>IF($B1532="","",IF(N($L1532)=0,"",(N($L1532)-N($AF1532))/N($L1532)))</f>
        <v/>
      </c>
    </row>
    <row r="1533">
      <c r="A1533" s="39">
        <f>IF($B1533="","",COUNTA($B$4:$B1533))</f>
        <v/>
      </c>
      <c r="B1533" s="45" t="n">
        <v>46188</v>
      </c>
      <c r="C1533" s="46" t="n">
        <v>3279</v>
      </c>
      <c r="D1533" s="46" t="inlineStr">
        <is>
          <t xml:space="preserve">حماد </t>
        </is>
      </c>
      <c r="E1533" s="46" t="inlineStr">
        <is>
          <t>1*40</t>
        </is>
      </c>
      <c r="F1533" s="46" t="inlineStr">
        <is>
          <t xml:space="preserve">بريلى </t>
        </is>
      </c>
      <c r="G1533" s="46" t="inlineStr">
        <is>
          <t xml:space="preserve">اكتوبر </t>
        </is>
      </c>
      <c r="H1533" s="46" t="inlineStr">
        <is>
          <t>594166/1</t>
        </is>
      </c>
      <c r="I1533" s="46" t="inlineStr">
        <is>
          <t>س ا ه 8198</t>
        </is>
      </c>
      <c r="J1533" s="46" t="inlineStr">
        <is>
          <t xml:space="preserve">هشام محمد </t>
        </is>
      </c>
      <c r="K1533" s="46" t="inlineStr">
        <is>
          <t xml:space="preserve">علاء علام </t>
        </is>
      </c>
      <c r="L1533" s="47" t="n">
        <v>13800</v>
      </c>
      <c r="M1533" s="47" t="n">
        <v>8100</v>
      </c>
      <c r="N1533" s="47" t="n"/>
      <c r="O1533" s="47" t="n">
        <v>200</v>
      </c>
      <c r="P1533" s="47" t="n"/>
      <c r="Q1533" s="47" t="n"/>
      <c r="R1533" s="43">
        <f>IF($B1533="","",N($S1533)-N($Q1533))</f>
        <v/>
      </c>
      <c r="S1533" s="43">
        <f>IF($B1533="","",N($L1533)+N($N1533)+N($P1533))</f>
        <v/>
      </c>
      <c r="T1533" s="47" t="n"/>
      <c r="U1533" s="47" t="n"/>
      <c r="V1533" s="47" t="n"/>
      <c r="W1533" s="47" t="n"/>
      <c r="X1533" s="47" t="n"/>
      <c r="Y1533" s="47" t="n"/>
      <c r="Z1533" s="47" t="n"/>
      <c r="AA1533" s="47" t="n"/>
      <c r="AB1533" s="47" t="n"/>
      <c r="AC1533" s="47" t="n"/>
      <c r="AD1533" s="47" t="n"/>
      <c r="AE1533" s="47" t="n"/>
      <c r="AF1533" s="43">
        <f>IF($B1533="","",SUM($T1533:$AE1533))</f>
        <v/>
      </c>
      <c r="AG1533" s="43">
        <f>IF($B1533="","",N($M1533)-N($AF1533))</f>
        <v/>
      </c>
      <c r="AH1533" s="43">
        <f>IF($B1533="","",N($L1533)-N($AF1533))</f>
        <v/>
      </c>
      <c r="AI1533" s="149">
        <f>IF($B1533="","",IF(N($L1533)=0,"",(N($L1533)-N($AF1533))/N($L1533)))</f>
        <v/>
      </c>
    </row>
    <row r="1534">
      <c r="A1534" s="39">
        <f>IF($B1534="","",COUNTA($B$4:$B1534))</f>
        <v/>
      </c>
      <c r="B1534" s="40" t="n">
        <v>46188</v>
      </c>
      <c r="C1534" s="41" t="n">
        <v>3280</v>
      </c>
      <c r="D1534" s="41" t="n"/>
      <c r="E1534" s="41" t="inlineStr">
        <is>
          <t>1*40</t>
        </is>
      </c>
      <c r="F1534" s="41" t="inlineStr">
        <is>
          <t xml:space="preserve">بريلى </t>
        </is>
      </c>
      <c r="G1534" s="41" t="inlineStr">
        <is>
          <t xml:space="preserve">اكتوبر </t>
        </is>
      </c>
      <c r="H1534" s="41" t="inlineStr">
        <is>
          <t>593278/3</t>
        </is>
      </c>
      <c r="I1534" s="41" t="inlineStr">
        <is>
          <t>س ب ج 4621</t>
        </is>
      </c>
      <c r="J1534" s="41" t="inlineStr">
        <is>
          <t xml:space="preserve">رشدى عبد العليم </t>
        </is>
      </c>
      <c r="K1534" s="41" t="inlineStr">
        <is>
          <t xml:space="preserve">سعيد الاوربية </t>
        </is>
      </c>
      <c r="L1534" s="42" t="n">
        <v>13000</v>
      </c>
      <c r="M1534" s="42" t="n">
        <v>9100</v>
      </c>
      <c r="N1534" s="42" t="n"/>
      <c r="O1534" s="42" t="n">
        <v>200</v>
      </c>
      <c r="P1534" s="42" t="n"/>
      <c r="Q1534" s="42" t="n"/>
      <c r="R1534" s="43">
        <f>IF($B1534="","",N($S1534)-N($Q1534))</f>
        <v/>
      </c>
      <c r="S1534" s="43">
        <f>IF($B1534="","",N($L1534)+N($N1534)+N($P1534))</f>
        <v/>
      </c>
      <c r="T1534" s="42" t="n"/>
      <c r="U1534" s="42" t="n"/>
      <c r="V1534" s="42" t="n"/>
      <c r="W1534" s="42" t="n"/>
      <c r="X1534" s="42" t="n"/>
      <c r="Y1534" s="42" t="n"/>
      <c r="Z1534" s="42" t="n"/>
      <c r="AA1534" s="42" t="n"/>
      <c r="AB1534" s="42" t="n"/>
      <c r="AC1534" s="42" t="n"/>
      <c r="AD1534" s="42" t="n"/>
      <c r="AE1534" s="42" t="n"/>
      <c r="AF1534" s="43">
        <f>IF($B1534="","",SUM($T1534:$AE1534))</f>
        <v/>
      </c>
      <c r="AG1534" s="43">
        <f>IF($B1534="","",N($M1534)-N($AF1534))</f>
        <v/>
      </c>
      <c r="AH1534" s="43">
        <f>IF($B1534="","",N($L1534)-N($AF1534))</f>
        <v/>
      </c>
      <c r="AI1534" s="149">
        <f>IF($B1534="","",IF(N($L1534)=0,"",(N($L1534)-N($AF1534))/N($L1534)))</f>
        <v/>
      </c>
    </row>
    <row r="1535">
      <c r="A1535" s="39">
        <f>IF($B1535="","",COUNTA($B$4:$B1535))</f>
        <v/>
      </c>
      <c r="B1535" s="45" t="n">
        <v>46188</v>
      </c>
      <c r="C1535" s="46" t="n">
        <v>3250</v>
      </c>
      <c r="D1535" s="46" t="inlineStr">
        <is>
          <t>الشريف</t>
        </is>
      </c>
      <c r="E1535" s="46" t="inlineStr">
        <is>
          <t>1*40</t>
        </is>
      </c>
      <c r="F1535" s="46" t="inlineStr">
        <is>
          <t xml:space="preserve">اورينت </t>
        </is>
      </c>
      <c r="G1535" s="46" t="inlineStr">
        <is>
          <t xml:space="preserve">العاشر </t>
        </is>
      </c>
      <c r="H1535" s="46" t="inlineStr">
        <is>
          <t>880918/5</t>
        </is>
      </c>
      <c r="I1535" s="46" t="inlineStr">
        <is>
          <t>ب د ف 5872</t>
        </is>
      </c>
      <c r="J1535" s="46" t="inlineStr">
        <is>
          <t xml:space="preserve">محمد عاطف </t>
        </is>
      </c>
      <c r="K1535" s="46" t="inlineStr">
        <is>
          <t xml:space="preserve">اسامة عوض </t>
        </is>
      </c>
      <c r="L1535" s="47" t="n">
        <v>16000</v>
      </c>
      <c r="M1535" s="47" t="n">
        <v>8100</v>
      </c>
      <c r="N1535" s="47" t="n"/>
      <c r="O1535" s="47" t="n">
        <v>200</v>
      </c>
      <c r="P1535" s="47" t="n"/>
      <c r="Q1535" s="47" t="n"/>
      <c r="R1535" s="43">
        <f>IF($B1535="","",N($S1535)-N($Q1535))</f>
        <v/>
      </c>
      <c r="S1535" s="43">
        <f>IF($B1535="","",N($L1535)+N($N1535)+N($P1535))</f>
        <v/>
      </c>
      <c r="T1535" s="47" t="n"/>
      <c r="U1535" s="47" t="n"/>
      <c r="V1535" s="47" t="n"/>
      <c r="W1535" s="47" t="n"/>
      <c r="X1535" s="47" t="n"/>
      <c r="Y1535" s="47" t="n"/>
      <c r="Z1535" s="47" t="n"/>
      <c r="AA1535" s="47" t="n"/>
      <c r="AB1535" s="47" t="n"/>
      <c r="AC1535" s="47" t="n"/>
      <c r="AD1535" s="47" t="n"/>
      <c r="AE1535" s="47" t="n"/>
      <c r="AF1535" s="43">
        <f>IF($B1535="","",SUM($T1535:$AE1535))</f>
        <v/>
      </c>
      <c r="AG1535" s="43">
        <f>IF($B1535="","",N($M1535)-N($AF1535))</f>
        <v/>
      </c>
      <c r="AH1535" s="43">
        <f>IF($B1535="","",N($L1535)-N($AF1535))</f>
        <v/>
      </c>
      <c r="AI1535" s="149">
        <f>IF($B1535="","",IF(N($L1535)=0,"",(N($L1535)-N($AF1535))/N($L1535)))</f>
        <v/>
      </c>
    </row>
    <row r="1536">
      <c r="A1536" s="39">
        <f>IF($B1536="","",COUNTA($B$4:$B1536))</f>
        <v/>
      </c>
      <c r="B1536" s="40" t="n">
        <v>46188</v>
      </c>
      <c r="C1536" s="41" t="n">
        <v>3186</v>
      </c>
      <c r="D1536" s="41" t="inlineStr">
        <is>
          <t xml:space="preserve">كمال رزق </t>
        </is>
      </c>
      <c r="E1536" s="41" t="inlineStr">
        <is>
          <t>1*20</t>
        </is>
      </c>
      <c r="F1536" s="41" t="inlineStr">
        <is>
          <t xml:space="preserve">اللوكس </t>
        </is>
      </c>
      <c r="G1536" s="41" t="inlineStr">
        <is>
          <t xml:space="preserve">م نصر </t>
        </is>
      </c>
      <c r="H1536" s="41" t="inlineStr">
        <is>
          <t>113897/1</t>
        </is>
      </c>
      <c r="I1536" s="41" t="inlineStr">
        <is>
          <t>ب ج ط 9283</t>
        </is>
      </c>
      <c r="J1536" s="41" t="inlineStr">
        <is>
          <t xml:space="preserve">محمد كمال </t>
        </is>
      </c>
      <c r="K1536" s="41" t="inlineStr">
        <is>
          <t xml:space="preserve">رومانى </t>
        </is>
      </c>
      <c r="L1536" s="42" t="n">
        <v>12500</v>
      </c>
      <c r="M1536" s="42" t="n">
        <v>8100</v>
      </c>
      <c r="N1536" s="42" t="n"/>
      <c r="O1536" s="42" t="n">
        <v>200</v>
      </c>
      <c r="P1536" s="42" t="n">
        <v>2500</v>
      </c>
      <c r="Q1536" s="42" t="n"/>
      <c r="R1536" s="43">
        <f>IF($B1536="","",N($S1536)-N($Q1536))</f>
        <v/>
      </c>
      <c r="S1536" s="43">
        <f>IF($B1536="","",N($L1536)+N($N1536)+N($P1536))</f>
        <v/>
      </c>
      <c r="T1536" s="42" t="n"/>
      <c r="U1536" s="42" t="n"/>
      <c r="V1536" s="42" t="n"/>
      <c r="W1536" s="42" t="n"/>
      <c r="X1536" s="42" t="n"/>
      <c r="Y1536" s="42" t="n"/>
      <c r="Z1536" s="42" t="n"/>
      <c r="AA1536" s="42" t="n"/>
      <c r="AB1536" s="42" t="n"/>
      <c r="AC1536" s="42" t="n"/>
      <c r="AD1536" s="42" t="n"/>
      <c r="AE1536" s="42" t="n"/>
      <c r="AF1536" s="43">
        <f>IF($B1536="","",SUM($T1536:$AE1536))</f>
        <v/>
      </c>
      <c r="AG1536" s="43">
        <f>IF($B1536="","",N($M1536)-N($AF1536))</f>
        <v/>
      </c>
      <c r="AH1536" s="43">
        <f>IF($B1536="","",N($L1536)-N($AF1536))</f>
        <v/>
      </c>
      <c r="AI1536" s="149">
        <f>IF($B1536="","",IF(N($L1536)=0,"",(N($L1536)-N($AF1536))/N($L1536)))</f>
        <v/>
      </c>
    </row>
    <row r="1537">
      <c r="A1537" s="39">
        <f>IF($B1537="","",COUNTA($B$4:$B1537))</f>
        <v/>
      </c>
      <c r="B1537" s="45" t="n">
        <v>46188</v>
      </c>
      <c r="C1537" s="46" t="n">
        <v>3301</v>
      </c>
      <c r="D1537" s="46" t="inlineStr">
        <is>
          <t>الشريف</t>
        </is>
      </c>
      <c r="E1537" s="46" t="inlineStr">
        <is>
          <t>1*40 ث</t>
        </is>
      </c>
      <c r="F1537" s="46" t="inlineStr">
        <is>
          <t xml:space="preserve">الخليج </t>
        </is>
      </c>
      <c r="G1537" s="46" t="inlineStr">
        <is>
          <t xml:space="preserve">ميت غمر </t>
        </is>
      </c>
      <c r="H1537" s="46" t="inlineStr">
        <is>
          <t>837272/2</t>
        </is>
      </c>
      <c r="I1537" s="46" t="inlineStr">
        <is>
          <t>ط ف ر 2362</t>
        </is>
      </c>
      <c r="J1537" s="46" t="inlineStr">
        <is>
          <t xml:space="preserve">ابراهيم السيد </t>
        </is>
      </c>
      <c r="K1537" s="46" t="inlineStr">
        <is>
          <t xml:space="preserve">اسامة عوض </t>
        </is>
      </c>
      <c r="L1537" s="47" t="n">
        <v>16000</v>
      </c>
      <c r="M1537" s="47" t="n">
        <v>8100</v>
      </c>
      <c r="N1537" s="47" t="n"/>
      <c r="O1537" s="47" t="n">
        <v>200</v>
      </c>
      <c r="P1537" s="47" t="n"/>
      <c r="Q1537" s="47" t="n"/>
      <c r="R1537" s="43">
        <f>IF($B1537="","",N($S1537)-N($Q1537))</f>
        <v/>
      </c>
      <c r="S1537" s="43">
        <f>IF($B1537="","",N($L1537)+N($N1537)+N($P1537))</f>
        <v/>
      </c>
      <c r="T1537" s="47" t="n"/>
      <c r="U1537" s="47" t="n"/>
      <c r="V1537" s="47" t="n"/>
      <c r="W1537" s="47" t="n"/>
      <c r="X1537" s="47" t="n"/>
      <c r="Y1537" s="47" t="n"/>
      <c r="Z1537" s="47" t="n"/>
      <c r="AA1537" s="47" t="n"/>
      <c r="AB1537" s="47" t="n"/>
      <c r="AC1537" s="47" t="n"/>
      <c r="AD1537" s="47" t="n"/>
      <c r="AE1537" s="47" t="n"/>
      <c r="AF1537" s="43">
        <f>IF($B1537="","",SUM($T1537:$AE1537))</f>
        <v/>
      </c>
      <c r="AG1537" s="43">
        <f>IF($B1537="","",N($M1537)-N($AF1537))</f>
        <v/>
      </c>
      <c r="AH1537" s="43">
        <f>IF($B1537="","",N($L1537)-N($AF1537))</f>
        <v/>
      </c>
      <c r="AI1537" s="149">
        <f>IF($B1537="","",IF(N($L1537)=0,"",(N($L1537)-N($AF1537))/N($L1537)))</f>
        <v/>
      </c>
    </row>
    <row r="1538">
      <c r="A1538" s="39">
        <f>IF($B1538="","",COUNTA($B$4:$B1538))</f>
        <v/>
      </c>
      <c r="B1538" s="40" t="n">
        <v>46189</v>
      </c>
      <c r="C1538" s="41" t="n">
        <v>3035</v>
      </c>
      <c r="D1538" s="41" t="inlineStr">
        <is>
          <t xml:space="preserve">الانصارى </t>
        </is>
      </c>
      <c r="E1538" s="41" t="inlineStr">
        <is>
          <t>1*40 ث</t>
        </is>
      </c>
      <c r="F1538" s="41" t="inlineStr">
        <is>
          <t xml:space="preserve">الخليج </t>
        </is>
      </c>
      <c r="G1538" s="41" t="inlineStr">
        <is>
          <t xml:space="preserve">ميت غمر </t>
        </is>
      </c>
      <c r="H1538" s="41" t="inlineStr">
        <is>
          <t>803918/8</t>
        </is>
      </c>
      <c r="I1538" s="41" t="inlineStr">
        <is>
          <t>ط ف ر 1474</t>
        </is>
      </c>
      <c r="J1538" s="41" t="inlineStr">
        <is>
          <t xml:space="preserve">جمال على </t>
        </is>
      </c>
      <c r="K1538" s="41" t="inlineStr">
        <is>
          <t xml:space="preserve">كريم خليف </t>
        </is>
      </c>
      <c r="L1538" s="42" t="n">
        <v>16000</v>
      </c>
      <c r="M1538" s="42" t="n">
        <v>8100</v>
      </c>
      <c r="N1538" s="42" t="n"/>
      <c r="O1538" s="42" t="n">
        <v>200</v>
      </c>
      <c r="P1538" s="42" t="n"/>
      <c r="Q1538" s="42" t="n"/>
      <c r="R1538" s="43">
        <f>IF($B1538="","",N($S1538)-N($Q1538))</f>
        <v/>
      </c>
      <c r="S1538" s="43">
        <f>IF($B1538="","",N($L1538)+N($N1538)+N($P1538))</f>
        <v/>
      </c>
      <c r="T1538" s="42" t="n"/>
      <c r="U1538" s="42" t="n"/>
      <c r="V1538" s="42" t="n"/>
      <c r="W1538" s="42" t="n"/>
      <c r="X1538" s="42" t="n"/>
      <c r="Y1538" s="42" t="n"/>
      <c r="Z1538" s="42" t="n"/>
      <c r="AA1538" s="42" t="n"/>
      <c r="AB1538" s="42" t="n"/>
      <c r="AC1538" s="42" t="n"/>
      <c r="AD1538" s="42" t="n"/>
      <c r="AE1538" s="42" t="n"/>
      <c r="AF1538" s="43">
        <f>IF($B1538="","",SUM($T1538:$AE1538))</f>
        <v/>
      </c>
      <c r="AG1538" s="43">
        <f>IF($B1538="","",N($M1538)-N($AF1538))</f>
        <v/>
      </c>
      <c r="AH1538" s="43">
        <f>IF($B1538="","",N($L1538)-N($AF1538))</f>
        <v/>
      </c>
      <c r="AI1538" s="149">
        <f>IF($B1538="","",IF(N($L1538)=0,"",(N($L1538)-N($AF1538))/N($L1538)))</f>
        <v/>
      </c>
    </row>
    <row r="1539">
      <c r="A1539" s="39">
        <f>IF($B1539="","",COUNTA($B$4:$B1539))</f>
        <v/>
      </c>
      <c r="B1539" s="45" t="n">
        <v>46188</v>
      </c>
      <c r="C1539" s="46" t="n">
        <v>3302</v>
      </c>
      <c r="D1539" s="46" t="inlineStr">
        <is>
          <t>الشريف</t>
        </is>
      </c>
      <c r="E1539" s="46" t="inlineStr">
        <is>
          <t>1*40 ث</t>
        </is>
      </c>
      <c r="F1539" s="46" t="inlineStr">
        <is>
          <t xml:space="preserve">الخليج </t>
        </is>
      </c>
      <c r="G1539" s="46" t="inlineStr">
        <is>
          <t xml:space="preserve">ميت غمر </t>
        </is>
      </c>
      <c r="H1539" s="46" t="inlineStr">
        <is>
          <t>518180/9</t>
        </is>
      </c>
      <c r="I1539" s="46" t="inlineStr">
        <is>
          <t>ف ر ل 5438</t>
        </is>
      </c>
      <c r="J1539" s="46" t="inlineStr">
        <is>
          <t xml:space="preserve">احمد </t>
        </is>
      </c>
      <c r="K1539" s="46" t="inlineStr">
        <is>
          <t xml:space="preserve">اسامة عوض </t>
        </is>
      </c>
      <c r="L1539" s="47" t="n">
        <v>16000</v>
      </c>
      <c r="M1539" s="47" t="n">
        <v>8100</v>
      </c>
      <c r="N1539" s="47" t="n"/>
      <c r="O1539" s="47" t="n">
        <v>200</v>
      </c>
      <c r="P1539" s="47" t="n"/>
      <c r="Q1539" s="47" t="n"/>
      <c r="R1539" s="43">
        <f>IF($B1539="","",N($S1539)-N($Q1539))</f>
        <v/>
      </c>
      <c r="S1539" s="43">
        <f>IF($B1539="","",N($L1539)+N($N1539)+N($P1539))</f>
        <v/>
      </c>
      <c r="T1539" s="47" t="n"/>
      <c r="U1539" s="47" t="n"/>
      <c r="V1539" s="47" t="n"/>
      <c r="W1539" s="47" t="n"/>
      <c r="X1539" s="47" t="n"/>
      <c r="Y1539" s="47" t="n"/>
      <c r="Z1539" s="47" t="n"/>
      <c r="AA1539" s="47" t="n"/>
      <c r="AB1539" s="47" t="n"/>
      <c r="AC1539" s="47" t="n"/>
      <c r="AD1539" s="47" t="n"/>
      <c r="AE1539" s="47" t="n"/>
      <c r="AF1539" s="43">
        <f>IF($B1539="","",SUM($T1539:$AE1539))</f>
        <v/>
      </c>
      <c r="AG1539" s="43">
        <f>IF($B1539="","",N($M1539)-N($AF1539))</f>
        <v/>
      </c>
      <c r="AH1539" s="43">
        <f>IF($B1539="","",N($L1539)-N($AF1539))</f>
        <v/>
      </c>
      <c r="AI1539" s="149">
        <f>IF($B1539="","",IF(N($L1539)=0,"",(N($L1539)-N($AF1539))/N($L1539)))</f>
        <v/>
      </c>
    </row>
    <row r="1540">
      <c r="A1540" s="39">
        <f>IF($B1540="","",COUNTA($B$4:$B1540))</f>
        <v/>
      </c>
      <c r="B1540" s="40" t="n">
        <v>46188</v>
      </c>
      <c r="C1540" s="41" t="n">
        <v>3303</v>
      </c>
      <c r="D1540" s="41" t="inlineStr">
        <is>
          <t xml:space="preserve">محمد انور </t>
        </is>
      </c>
      <c r="E1540" s="41" t="inlineStr">
        <is>
          <t>1*40 ث</t>
        </is>
      </c>
      <c r="F1540" s="41" t="inlineStr">
        <is>
          <t xml:space="preserve">الخليج </t>
        </is>
      </c>
      <c r="G1540" s="41" t="inlineStr">
        <is>
          <t xml:space="preserve">ميت غمر </t>
        </is>
      </c>
      <c r="H1540" s="41" t="inlineStr">
        <is>
          <t>522111/5</t>
        </is>
      </c>
      <c r="I1540" s="41" t="inlineStr">
        <is>
          <t>س ق ب 5641</t>
        </is>
      </c>
      <c r="J1540" s="41" t="inlineStr">
        <is>
          <t xml:space="preserve">انور محمد </t>
        </is>
      </c>
      <c r="K1540" s="41" t="inlineStr">
        <is>
          <t xml:space="preserve">حديدة </t>
        </is>
      </c>
      <c r="L1540" s="42" t="n">
        <v>16000</v>
      </c>
      <c r="M1540" s="42" t="n">
        <v>8100</v>
      </c>
      <c r="N1540" s="42" t="n"/>
      <c r="O1540" s="42" t="n">
        <v>200</v>
      </c>
      <c r="P1540" s="42" t="n"/>
      <c r="Q1540" s="42" t="n">
        <v>7700</v>
      </c>
      <c r="R1540" s="43">
        <f>IF($B1540="","",N($S1540)-N($Q1540))</f>
        <v/>
      </c>
      <c r="S1540" s="43">
        <f>IF($B1540="","",N($L1540)+N($N1540)+N($P1540))</f>
        <v/>
      </c>
      <c r="T1540" s="42" t="n"/>
      <c r="U1540" s="42" t="n"/>
      <c r="V1540" s="42" t="n"/>
      <c r="W1540" s="42" t="n"/>
      <c r="X1540" s="42" t="n"/>
      <c r="Y1540" s="42" t="n"/>
      <c r="Z1540" s="42" t="n"/>
      <c r="AA1540" s="42" t="n"/>
      <c r="AB1540" s="42" t="n"/>
      <c r="AC1540" s="42" t="n"/>
      <c r="AD1540" s="42" t="n"/>
      <c r="AE1540" s="42" t="n"/>
      <c r="AF1540" s="43">
        <f>IF($B1540="","",SUM($T1540:$AE1540))</f>
        <v/>
      </c>
      <c r="AG1540" s="43">
        <f>IF($B1540="","",N($M1540)-N($AF1540))</f>
        <v/>
      </c>
      <c r="AH1540" s="43">
        <f>IF($B1540="","",N($L1540)-N($AF1540))</f>
        <v/>
      </c>
      <c r="AI1540" s="149">
        <f>IF($B1540="","",IF(N($L1540)=0,"",(N($L1540)-N($AF1540))/N($L1540)))</f>
        <v/>
      </c>
    </row>
    <row r="1541">
      <c r="A1541" s="39">
        <f>IF($B1541="","",COUNTA($B$4:$B1541))</f>
        <v/>
      </c>
      <c r="B1541" s="45" t="n">
        <v>46188</v>
      </c>
      <c r="C1541" s="46" t="n">
        <v>3304</v>
      </c>
      <c r="D1541" s="46" t="n"/>
      <c r="E1541" s="46" t="inlineStr">
        <is>
          <t>1*40 ث</t>
        </is>
      </c>
      <c r="F1541" s="46" t="inlineStr">
        <is>
          <t xml:space="preserve">الخليج </t>
        </is>
      </c>
      <c r="G1541" s="46" t="inlineStr">
        <is>
          <t xml:space="preserve">ميت غمر </t>
        </is>
      </c>
      <c r="H1541" s="46" t="inlineStr">
        <is>
          <t>550462/4</t>
        </is>
      </c>
      <c r="I1541" s="46" t="inlineStr">
        <is>
          <t>ص ع ا 5124</t>
        </is>
      </c>
      <c r="J1541" s="46" t="inlineStr">
        <is>
          <t xml:space="preserve">محمد عبد التواب </t>
        </is>
      </c>
      <c r="K1541" s="46" t="inlineStr">
        <is>
          <t xml:space="preserve">عبد التواب </t>
        </is>
      </c>
      <c r="L1541" s="47" t="n">
        <v>16000</v>
      </c>
      <c r="M1541" s="47" t="n">
        <v>8100</v>
      </c>
      <c r="N1541" s="47" t="n"/>
      <c r="O1541" s="47" t="n">
        <v>200</v>
      </c>
      <c r="P1541" s="47" t="n"/>
      <c r="Q1541" s="47" t="n"/>
      <c r="R1541" s="43">
        <f>IF($B1541="","",N($S1541)-N($Q1541))</f>
        <v/>
      </c>
      <c r="S1541" s="43">
        <f>IF($B1541="","",N($L1541)+N($N1541)+N($P1541))</f>
        <v/>
      </c>
      <c r="T1541" s="47" t="n"/>
      <c r="U1541" s="47" t="n"/>
      <c r="V1541" s="47" t="n"/>
      <c r="W1541" s="47" t="n"/>
      <c r="X1541" s="47" t="n"/>
      <c r="Y1541" s="47" t="n"/>
      <c r="Z1541" s="47" t="n"/>
      <c r="AA1541" s="47" t="n"/>
      <c r="AB1541" s="47" t="n"/>
      <c r="AC1541" s="47" t="n"/>
      <c r="AD1541" s="47" t="n"/>
      <c r="AE1541" s="47" t="n"/>
      <c r="AF1541" s="43">
        <f>IF($B1541="","",SUM($T1541:$AE1541))</f>
        <v/>
      </c>
      <c r="AG1541" s="43">
        <f>IF($B1541="","",N($M1541)-N($AF1541))</f>
        <v/>
      </c>
      <c r="AH1541" s="43">
        <f>IF($B1541="","",N($L1541)-N($AF1541))</f>
        <v/>
      </c>
      <c r="AI1541" s="149">
        <f>IF($B1541="","",IF(N($L1541)=0,"",(N($L1541)-N($AF1541))/N($L1541)))</f>
        <v/>
      </c>
    </row>
    <row r="1542">
      <c r="A1542" s="39">
        <f>IF($B1542="","",COUNTA($B$4:$B1542))</f>
        <v/>
      </c>
      <c r="B1542" s="40" t="n">
        <v>46188</v>
      </c>
      <c r="C1542" s="41" t="n">
        <v>3306</v>
      </c>
      <c r="D1542" s="41" t="inlineStr">
        <is>
          <t xml:space="preserve">كمال رزق </t>
        </is>
      </c>
      <c r="E1542" s="41" t="inlineStr">
        <is>
          <t>1*40 ث</t>
        </is>
      </c>
      <c r="F1542" s="41" t="inlineStr">
        <is>
          <t xml:space="preserve">الخليج </t>
        </is>
      </c>
      <c r="G1542" s="41" t="inlineStr">
        <is>
          <t xml:space="preserve">ميت غمر </t>
        </is>
      </c>
      <c r="H1542" s="41" t="inlineStr">
        <is>
          <t>884217/4</t>
        </is>
      </c>
      <c r="I1542" s="41" t="inlineStr">
        <is>
          <t>س ن م 1592</t>
        </is>
      </c>
      <c r="J1542" s="41" t="inlineStr">
        <is>
          <t xml:space="preserve">حمدى البيضة </t>
        </is>
      </c>
      <c r="K1542" s="41" t="inlineStr">
        <is>
          <t xml:space="preserve">البيضا </t>
        </is>
      </c>
      <c r="L1542" s="42" t="n">
        <v>16000</v>
      </c>
      <c r="M1542" s="42" t="n">
        <v>10100</v>
      </c>
      <c r="N1542" s="42" t="n"/>
      <c r="O1542" s="42" t="n">
        <v>200</v>
      </c>
      <c r="P1542" s="42" t="n"/>
      <c r="Q1542" s="42" t="n"/>
      <c r="R1542" s="43">
        <f>IF($B1542="","",N($S1542)-N($Q1542))</f>
        <v/>
      </c>
      <c r="S1542" s="43">
        <f>IF($B1542="","",N($L1542)+N($N1542)+N($P1542))</f>
        <v/>
      </c>
      <c r="T1542" s="42" t="n"/>
      <c r="U1542" s="42" t="n"/>
      <c r="V1542" s="42" t="n"/>
      <c r="W1542" s="42" t="n"/>
      <c r="X1542" s="42" t="n"/>
      <c r="Y1542" s="42" t="n"/>
      <c r="Z1542" s="42" t="n"/>
      <c r="AA1542" s="42" t="n"/>
      <c r="AB1542" s="42" t="n"/>
      <c r="AC1542" s="42" t="n"/>
      <c r="AD1542" s="42" t="n"/>
      <c r="AE1542" s="42" t="n"/>
      <c r="AF1542" s="43">
        <f>IF($B1542="","",SUM($T1542:$AE1542))</f>
        <v/>
      </c>
      <c r="AG1542" s="43">
        <f>IF($B1542="","",N($M1542)-N($AF1542))</f>
        <v/>
      </c>
      <c r="AH1542" s="43">
        <f>IF($B1542="","",N($L1542)-N($AF1542))</f>
        <v/>
      </c>
      <c r="AI1542" s="149">
        <f>IF($B1542="","",IF(N($L1542)=0,"",(N($L1542)-N($AF1542))/N($L1542)))</f>
        <v/>
      </c>
    </row>
    <row r="1543">
      <c r="A1543" s="39">
        <f>IF($B1543="","",COUNTA($B$4:$B1543))</f>
        <v/>
      </c>
      <c r="B1543" s="45" t="n">
        <v>46188</v>
      </c>
      <c r="C1543" s="46" t="n">
        <v>3033</v>
      </c>
      <c r="D1543" s="46" t="n"/>
      <c r="E1543" s="46" t="inlineStr">
        <is>
          <t>2*20</t>
        </is>
      </c>
      <c r="F1543" s="46" t="inlineStr">
        <is>
          <t xml:space="preserve">السويدى بوليمرز </t>
        </is>
      </c>
      <c r="G1543" s="46" t="inlineStr">
        <is>
          <t xml:space="preserve">العاشر </t>
        </is>
      </c>
      <c r="H1543" s="46" t="inlineStr">
        <is>
          <t>538544/6-249872/2</t>
        </is>
      </c>
      <c r="I1543" s="46" t="inlineStr">
        <is>
          <t>ق ف ر 2473</t>
        </is>
      </c>
      <c r="J1543" s="46" t="inlineStr">
        <is>
          <t xml:space="preserve">عبد الله العرباوى </t>
        </is>
      </c>
      <c r="K1543" s="46" t="inlineStr">
        <is>
          <t xml:space="preserve">العرباوى </t>
        </is>
      </c>
      <c r="L1543" s="47" t="n">
        <v>20500</v>
      </c>
      <c r="M1543" s="47" t="n">
        <v>10100</v>
      </c>
      <c r="N1543" s="47" t="n">
        <v>1100</v>
      </c>
      <c r="O1543" s="47" t="n">
        <v>200</v>
      </c>
      <c r="P1543" s="47" t="n"/>
      <c r="Q1543" s="47" t="n"/>
      <c r="R1543" s="43">
        <f>IF($B1543="","",N($S1543)-N($Q1543))</f>
        <v/>
      </c>
      <c r="S1543" s="43">
        <f>IF($B1543="","",N($L1543)+N($N1543)+N($P1543))</f>
        <v/>
      </c>
      <c r="T1543" s="47" t="n"/>
      <c r="U1543" s="47" t="n"/>
      <c r="V1543" s="47" t="n"/>
      <c r="W1543" s="47" t="n"/>
      <c r="X1543" s="47" t="n"/>
      <c r="Y1543" s="47" t="n"/>
      <c r="Z1543" s="47" t="n"/>
      <c r="AA1543" s="47" t="n"/>
      <c r="AB1543" s="47" t="n"/>
      <c r="AC1543" s="47" t="n"/>
      <c r="AD1543" s="47" t="n"/>
      <c r="AE1543" s="47" t="n"/>
      <c r="AF1543" s="43">
        <f>IF($B1543="","",SUM($T1543:$AE1543))</f>
        <v/>
      </c>
      <c r="AG1543" s="43">
        <f>IF($B1543="","",N($M1543)-N($AF1543))</f>
        <v/>
      </c>
      <c r="AH1543" s="43">
        <f>IF($B1543="","",N($L1543)-N($AF1543))</f>
        <v/>
      </c>
      <c r="AI1543" s="149">
        <f>IF($B1543="","",IF(N($L1543)=0,"",(N($L1543)-N($AF1543))/N($L1543)))</f>
        <v/>
      </c>
    </row>
    <row r="1544">
      <c r="A1544" s="39">
        <f>IF($B1544="","",COUNTA($B$4:$B1544))</f>
        <v/>
      </c>
      <c r="B1544" s="40" t="n">
        <v>46188</v>
      </c>
      <c r="C1544" s="41" t="n">
        <v>3305</v>
      </c>
      <c r="D1544" s="41" t="inlineStr">
        <is>
          <t xml:space="preserve">عتريس مخيمر </t>
        </is>
      </c>
      <c r="E1544" s="41" t="inlineStr">
        <is>
          <t>1*40 ث</t>
        </is>
      </c>
      <c r="F1544" s="41" t="inlineStr">
        <is>
          <t xml:space="preserve">الخليج </t>
        </is>
      </c>
      <c r="G1544" s="41" t="inlineStr">
        <is>
          <t xml:space="preserve">ميت غمر </t>
        </is>
      </c>
      <c r="H1544" s="41" t="inlineStr">
        <is>
          <t>657244/9</t>
        </is>
      </c>
      <c r="I1544" s="41" t="inlineStr">
        <is>
          <t>ب ص ا 2574</t>
        </is>
      </c>
      <c r="J1544" s="41" t="inlineStr">
        <is>
          <t>احمد عادل</t>
        </is>
      </c>
      <c r="K1544" s="41" t="inlineStr">
        <is>
          <t xml:space="preserve">احمد خليف </t>
        </is>
      </c>
      <c r="L1544" s="42" t="n">
        <v>16000</v>
      </c>
      <c r="M1544" s="42" t="n">
        <v>8100</v>
      </c>
      <c r="N1544" s="42" t="n"/>
      <c r="O1544" s="42" t="n">
        <v>200</v>
      </c>
      <c r="P1544" s="42" t="n"/>
      <c r="Q1544" s="42" t="n"/>
      <c r="R1544" s="43">
        <f>IF($B1544="","",N($S1544)-N($Q1544))</f>
        <v/>
      </c>
      <c r="S1544" s="43">
        <f>IF($B1544="","",N($L1544)+N($N1544)+N($P1544))</f>
        <v/>
      </c>
      <c r="T1544" s="42" t="n"/>
      <c r="U1544" s="42" t="n"/>
      <c r="V1544" s="42" t="n"/>
      <c r="W1544" s="42" t="n"/>
      <c r="X1544" s="42" t="n"/>
      <c r="Y1544" s="42" t="n"/>
      <c r="Z1544" s="42" t="n"/>
      <c r="AA1544" s="42" t="n"/>
      <c r="AB1544" s="42" t="n"/>
      <c r="AC1544" s="42" t="n"/>
      <c r="AD1544" s="42" t="n"/>
      <c r="AE1544" s="42" t="n"/>
      <c r="AF1544" s="43">
        <f>IF($B1544="","",SUM($T1544:$AE1544))</f>
        <v/>
      </c>
      <c r="AG1544" s="43">
        <f>IF($B1544="","",N($M1544)-N($AF1544))</f>
        <v/>
      </c>
      <c r="AH1544" s="43">
        <f>IF($B1544="","",N($L1544)-N($AF1544))</f>
        <v/>
      </c>
      <c r="AI1544" s="149">
        <f>IF($B1544="","",IF(N($L1544)=0,"",(N($L1544)-N($AF1544))/N($L1544)))</f>
        <v/>
      </c>
    </row>
    <row r="1545">
      <c r="A1545" s="39">
        <f>IF($B1545="","",COUNTA($B$4:$B1545))</f>
        <v/>
      </c>
      <c r="B1545" s="45" t="n">
        <v>46189</v>
      </c>
      <c r="C1545" s="46" t="n">
        <v>3187</v>
      </c>
      <c r="D1545" s="46" t="inlineStr">
        <is>
          <t xml:space="preserve">استوريا </t>
        </is>
      </c>
      <c r="E1545" s="46" t="inlineStr">
        <is>
          <t xml:space="preserve">1*40 </t>
        </is>
      </c>
      <c r="F1545" s="46" t="inlineStr">
        <is>
          <t xml:space="preserve">دلتا للتجارة </t>
        </is>
      </c>
      <c r="G1545" s="46" t="inlineStr">
        <is>
          <t xml:space="preserve">مد بدر </t>
        </is>
      </c>
      <c r="H1545" s="46" t="inlineStr">
        <is>
          <t>878586/6</t>
        </is>
      </c>
      <c r="I1545" s="46" t="inlineStr">
        <is>
          <t>س ر ص 2373</t>
        </is>
      </c>
      <c r="J1545" s="46" t="inlineStr">
        <is>
          <t xml:space="preserve">احمد محمد </t>
        </is>
      </c>
      <c r="K1545" s="46" t="inlineStr">
        <is>
          <t xml:space="preserve">المهندس </t>
        </is>
      </c>
      <c r="L1545" s="47" t="n">
        <v>15500</v>
      </c>
      <c r="M1545" s="47" t="n">
        <v>8100</v>
      </c>
      <c r="N1545" s="47" t="n"/>
      <c r="O1545" s="47" t="n">
        <v>200</v>
      </c>
      <c r="P1545" s="47" t="n"/>
      <c r="Q1545" s="47" t="n"/>
      <c r="R1545" s="43">
        <f>IF($B1545="","",N($S1545)-N($Q1545))</f>
        <v/>
      </c>
      <c r="S1545" s="43">
        <f>IF($B1545="","",N($L1545)+N($N1545)+N($P1545))</f>
        <v/>
      </c>
      <c r="T1545" s="47" t="n"/>
      <c r="U1545" s="47" t="n"/>
      <c r="V1545" s="47" t="n"/>
      <c r="W1545" s="47" t="n"/>
      <c r="X1545" s="47" t="n"/>
      <c r="Y1545" s="47" t="n"/>
      <c r="Z1545" s="47" t="n"/>
      <c r="AA1545" s="47" t="n"/>
      <c r="AB1545" s="47" t="n"/>
      <c r="AC1545" s="47" t="n"/>
      <c r="AD1545" s="47" t="n"/>
      <c r="AE1545" s="47" t="n"/>
      <c r="AF1545" s="43">
        <f>IF($B1545="","",SUM($T1545:$AE1545))</f>
        <v/>
      </c>
      <c r="AG1545" s="43">
        <f>IF($B1545="","",N($M1545)-N($AF1545))</f>
        <v/>
      </c>
      <c r="AH1545" s="43">
        <f>IF($B1545="","",N($L1545)-N($AF1545))</f>
        <v/>
      </c>
      <c r="AI1545" s="149">
        <f>IF($B1545="","",IF(N($L1545)=0,"",(N($L1545)-N($AF1545))/N($L1545)))</f>
        <v/>
      </c>
    </row>
    <row r="1546">
      <c r="A1546" s="39">
        <f>IF($B1546="","",COUNTA($B$4:$B1546))</f>
        <v/>
      </c>
      <c r="B1546" s="40" t="n">
        <v>46189</v>
      </c>
      <c r="C1546" s="41" t="n">
        <v>3189</v>
      </c>
      <c r="D1546" s="41" t="inlineStr">
        <is>
          <t>اسلام محروس</t>
        </is>
      </c>
      <c r="E1546" s="41" t="inlineStr">
        <is>
          <t>1*40</t>
        </is>
      </c>
      <c r="F1546" s="41" t="inlineStr">
        <is>
          <t xml:space="preserve">دلتا للتجارة </t>
        </is>
      </c>
      <c r="G1546" s="41" t="inlineStr">
        <is>
          <t xml:space="preserve">مد بدر </t>
        </is>
      </c>
      <c r="H1546" s="41" t="inlineStr">
        <is>
          <t>601136/4</t>
        </is>
      </c>
      <c r="I1546" s="41" t="inlineStr">
        <is>
          <t>ص ع ا 7462</t>
        </is>
      </c>
      <c r="J1546" s="41" t="inlineStr">
        <is>
          <t xml:space="preserve">فتحى محمد </t>
        </is>
      </c>
      <c r="K1546" s="41" t="inlineStr">
        <is>
          <t xml:space="preserve">الحجرى </t>
        </is>
      </c>
      <c r="L1546" s="42" t="n">
        <v>15500</v>
      </c>
      <c r="M1546" s="42" t="n">
        <v>8100</v>
      </c>
      <c r="N1546" s="42" t="n"/>
      <c r="O1546" s="42" t="n">
        <v>200</v>
      </c>
      <c r="P1546" s="42" t="n"/>
      <c r="Q1546" s="42" t="n"/>
      <c r="R1546" s="43">
        <f>IF($B1546="","",N($S1546)-N($Q1546))</f>
        <v/>
      </c>
      <c r="S1546" s="43">
        <f>IF($B1546="","",N($L1546)+N($N1546)+N($P1546))</f>
        <v/>
      </c>
      <c r="T1546" s="42" t="n"/>
      <c r="U1546" s="42" t="n"/>
      <c r="V1546" s="42" t="n"/>
      <c r="W1546" s="42" t="n"/>
      <c r="X1546" s="42" t="n"/>
      <c r="Y1546" s="42" t="n"/>
      <c r="Z1546" s="42" t="n"/>
      <c r="AA1546" s="42" t="n"/>
      <c r="AB1546" s="42" t="n"/>
      <c r="AC1546" s="42" t="n"/>
      <c r="AD1546" s="42" t="n"/>
      <c r="AE1546" s="42" t="n"/>
      <c r="AF1546" s="43">
        <f>IF($B1546="","",SUM($T1546:$AE1546))</f>
        <v/>
      </c>
      <c r="AG1546" s="43">
        <f>IF($B1546="","",N($M1546)-N($AF1546))</f>
        <v/>
      </c>
      <c r="AH1546" s="43">
        <f>IF($B1546="","",N($L1546)-N($AF1546))</f>
        <v/>
      </c>
      <c r="AI1546" s="149">
        <f>IF($B1546="","",IF(N($L1546)=0,"",(N($L1546)-N($AF1546))/N($L1546)))</f>
        <v/>
      </c>
    </row>
    <row r="1547">
      <c r="A1547" s="39">
        <f>IF($B1547="","",COUNTA($B$4:$B1547))</f>
        <v/>
      </c>
      <c r="B1547" s="45" t="n">
        <v>46189</v>
      </c>
      <c r="C1547" s="46" t="n">
        <v>3190</v>
      </c>
      <c r="D1547" s="46" t="n"/>
      <c r="E1547" s="46" t="inlineStr">
        <is>
          <t>1*40</t>
        </is>
      </c>
      <c r="F1547" s="46" t="inlineStr">
        <is>
          <t xml:space="preserve">دلتا للتجارة </t>
        </is>
      </c>
      <c r="G1547" s="46" t="inlineStr">
        <is>
          <t xml:space="preserve">مد بدر </t>
        </is>
      </c>
      <c r="H1547" s="46" t="inlineStr">
        <is>
          <t>860216/0</t>
        </is>
      </c>
      <c r="I1547" s="46" t="inlineStr">
        <is>
          <t>م ع ف 2843</t>
        </is>
      </c>
      <c r="J1547" s="46" t="inlineStr">
        <is>
          <t xml:space="preserve">رمضان عبد الله </t>
        </is>
      </c>
      <c r="K1547" s="46" t="inlineStr">
        <is>
          <t xml:space="preserve">احمد نبيل </t>
        </is>
      </c>
      <c r="L1547" s="47" t="n">
        <v>15500</v>
      </c>
      <c r="M1547" s="47" t="n">
        <v>8100</v>
      </c>
      <c r="N1547" s="47" t="n"/>
      <c r="O1547" s="47" t="n">
        <v>200</v>
      </c>
      <c r="P1547" s="47" t="n"/>
      <c r="Q1547" s="47" t="n"/>
      <c r="R1547" s="43">
        <f>IF($B1547="","",N($S1547)-N($Q1547))</f>
        <v/>
      </c>
      <c r="S1547" s="43">
        <f>IF($B1547="","",N($L1547)+N($N1547)+N($P1547))</f>
        <v/>
      </c>
      <c r="T1547" s="47" t="n"/>
      <c r="U1547" s="47" t="n"/>
      <c r="V1547" s="47" t="n"/>
      <c r="W1547" s="47" t="n"/>
      <c r="X1547" s="47" t="n"/>
      <c r="Y1547" s="47" t="n"/>
      <c r="Z1547" s="47" t="n"/>
      <c r="AA1547" s="47" t="n"/>
      <c r="AB1547" s="47" t="n"/>
      <c r="AC1547" s="47" t="n"/>
      <c r="AD1547" s="47" t="n"/>
      <c r="AE1547" s="47" t="n"/>
      <c r="AF1547" s="43">
        <f>IF($B1547="","",SUM($T1547:$AE1547))</f>
        <v/>
      </c>
      <c r="AG1547" s="43">
        <f>IF($B1547="","",N($M1547)-N($AF1547))</f>
        <v/>
      </c>
      <c r="AH1547" s="43">
        <f>IF($B1547="","",N($L1547)-N($AF1547))</f>
        <v/>
      </c>
      <c r="AI1547" s="149">
        <f>IF($B1547="","",IF(N($L1547)=0,"",(N($L1547)-N($AF1547))/N($L1547)))</f>
        <v/>
      </c>
    </row>
    <row r="1548">
      <c r="A1548" s="39">
        <f>IF($B1548="","",COUNTA($B$4:$B1548))</f>
        <v/>
      </c>
      <c r="B1548" s="40" t="n">
        <v>46189</v>
      </c>
      <c r="C1548" s="41" t="n">
        <v>3191</v>
      </c>
      <c r="D1548" s="41" t="n"/>
      <c r="E1548" s="41" t="inlineStr">
        <is>
          <t>1*40</t>
        </is>
      </c>
      <c r="F1548" s="41" t="inlineStr">
        <is>
          <t xml:space="preserve">دلتا للتجارة </t>
        </is>
      </c>
      <c r="G1548" s="41" t="inlineStr">
        <is>
          <t xml:space="preserve">مد بدر </t>
        </is>
      </c>
      <c r="H1548" s="41" t="inlineStr">
        <is>
          <t>862574/1</t>
        </is>
      </c>
      <c r="I1548" s="41" t="inlineStr">
        <is>
          <t>ط ف ر 1676</t>
        </is>
      </c>
      <c r="J1548" s="41" t="inlineStr">
        <is>
          <t xml:space="preserve">محمد مجدى </t>
        </is>
      </c>
      <c r="K1548" s="41" t="inlineStr">
        <is>
          <t xml:space="preserve">احمد نبيل </t>
        </is>
      </c>
      <c r="L1548" s="42" t="n">
        <v>15500</v>
      </c>
      <c r="M1548" s="42" t="n">
        <v>8100</v>
      </c>
      <c r="N1548" s="42" t="n"/>
      <c r="O1548" s="42" t="n">
        <v>200</v>
      </c>
      <c r="P1548" s="42" t="n"/>
      <c r="Q1548" s="42" t="n"/>
      <c r="R1548" s="43">
        <f>IF($B1548="","",N($S1548)-N($Q1548))</f>
        <v/>
      </c>
      <c r="S1548" s="43">
        <f>IF($B1548="","",N($L1548)+N($N1548)+N($P1548))</f>
        <v/>
      </c>
      <c r="T1548" s="42" t="n"/>
      <c r="U1548" s="42" t="n"/>
      <c r="V1548" s="42" t="n"/>
      <c r="W1548" s="42" t="n"/>
      <c r="X1548" s="42" t="n"/>
      <c r="Y1548" s="42" t="n"/>
      <c r="Z1548" s="42" t="n"/>
      <c r="AA1548" s="42" t="n"/>
      <c r="AB1548" s="42" t="n"/>
      <c r="AC1548" s="42" t="n"/>
      <c r="AD1548" s="42" t="n"/>
      <c r="AE1548" s="42" t="n"/>
      <c r="AF1548" s="43">
        <f>IF($B1548="","",SUM($T1548:$AE1548))</f>
        <v/>
      </c>
      <c r="AG1548" s="43">
        <f>IF($B1548="","",N($M1548)-N($AF1548))</f>
        <v/>
      </c>
      <c r="AH1548" s="43">
        <f>IF($B1548="","",N($L1548)-N($AF1548))</f>
        <v/>
      </c>
      <c r="AI1548" s="149">
        <f>IF($B1548="","",IF(N($L1548)=0,"",(N($L1548)-N($AF1548))/N($L1548)))</f>
        <v/>
      </c>
    </row>
    <row r="1549">
      <c r="A1549" s="39">
        <f>IF($B1549="","",COUNTA($B$4:$B1549))</f>
        <v/>
      </c>
      <c r="B1549" s="45" t="n">
        <v>46189</v>
      </c>
      <c r="C1549" s="46" t="n">
        <v>3192</v>
      </c>
      <c r="D1549" s="46" t="n"/>
      <c r="E1549" s="46" t="inlineStr">
        <is>
          <t>1*40</t>
        </is>
      </c>
      <c r="F1549" s="46" t="inlineStr">
        <is>
          <t xml:space="preserve">دلتا للتجارة </t>
        </is>
      </c>
      <c r="G1549" s="46" t="inlineStr">
        <is>
          <t xml:space="preserve">مد بدر </t>
        </is>
      </c>
      <c r="H1549" s="46" t="inlineStr">
        <is>
          <t>863005/4</t>
        </is>
      </c>
      <c r="I1549" s="46" t="inlineStr">
        <is>
          <t>س ق ا 5946</t>
        </is>
      </c>
      <c r="J1549" s="46" t="inlineStr">
        <is>
          <t xml:space="preserve">سمير عبد المولى </t>
        </is>
      </c>
      <c r="K1549" s="46" t="inlineStr">
        <is>
          <t xml:space="preserve">الشيخ سمير </t>
        </is>
      </c>
      <c r="L1549" s="47" t="n">
        <v>15500</v>
      </c>
      <c r="M1549" s="47" t="n">
        <v>8100</v>
      </c>
      <c r="N1549" s="47" t="n"/>
      <c r="O1549" s="47" t="n">
        <v>200</v>
      </c>
      <c r="P1549" s="47" t="n"/>
      <c r="Q1549" s="47" t="n"/>
      <c r="R1549" s="43">
        <f>IF($B1549="","",N($S1549)-N($Q1549))</f>
        <v/>
      </c>
      <c r="S1549" s="43">
        <f>IF($B1549="","",N($L1549)+N($N1549)+N($P1549))</f>
        <v/>
      </c>
      <c r="T1549" s="47" t="n"/>
      <c r="U1549" s="47" t="n"/>
      <c r="V1549" s="47" t="n"/>
      <c r="W1549" s="47" t="n"/>
      <c r="X1549" s="47" t="n"/>
      <c r="Y1549" s="47" t="n"/>
      <c r="Z1549" s="47" t="n"/>
      <c r="AA1549" s="47" t="n"/>
      <c r="AB1549" s="47" t="n"/>
      <c r="AC1549" s="47" t="n"/>
      <c r="AD1549" s="47" t="n"/>
      <c r="AE1549" s="47" t="n"/>
      <c r="AF1549" s="43">
        <f>IF($B1549="","",SUM($T1549:$AE1549))</f>
        <v/>
      </c>
      <c r="AG1549" s="43">
        <f>IF($B1549="","",N($M1549)-N($AF1549))</f>
        <v/>
      </c>
      <c r="AH1549" s="43">
        <f>IF($B1549="","",N($L1549)-N($AF1549))</f>
        <v/>
      </c>
      <c r="AI1549" s="149">
        <f>IF($B1549="","",IF(N($L1549)=0,"",(N($L1549)-N($AF1549))/N($L1549)))</f>
        <v/>
      </c>
    </row>
    <row r="1550">
      <c r="A1550" s="39">
        <f>IF($B1550="","",COUNTA($B$4:$B1550))</f>
        <v/>
      </c>
      <c r="B1550" s="40" t="n">
        <v>46189</v>
      </c>
      <c r="C1550" s="41" t="n">
        <v>3193</v>
      </c>
      <c r="D1550" s="41" t="n"/>
      <c r="E1550" s="41" t="inlineStr">
        <is>
          <t>1*40</t>
        </is>
      </c>
      <c r="F1550" s="41" t="inlineStr">
        <is>
          <t xml:space="preserve">دلتا للتجارة </t>
        </is>
      </c>
      <c r="G1550" s="41" t="inlineStr">
        <is>
          <t xml:space="preserve">مد بدر </t>
        </is>
      </c>
      <c r="H1550" s="41" t="inlineStr">
        <is>
          <t>894383/8</t>
        </is>
      </c>
      <c r="I1550" s="41" t="inlineStr">
        <is>
          <t>ب ق ص 8673</t>
        </is>
      </c>
      <c r="J1550" s="41" t="inlineStr">
        <is>
          <t xml:space="preserve">محمد جمعة </t>
        </is>
      </c>
      <c r="K1550" s="41" t="inlineStr">
        <is>
          <t>الليبر</t>
        </is>
      </c>
      <c r="L1550" s="42" t="n">
        <v>15500</v>
      </c>
      <c r="M1550" s="42" t="n">
        <v>8100</v>
      </c>
      <c r="N1550" s="42" t="n"/>
      <c r="O1550" s="42" t="n">
        <v>200</v>
      </c>
      <c r="P1550" s="42" t="n"/>
      <c r="Q1550" s="42" t="n"/>
      <c r="R1550" s="43">
        <f>IF($B1550="","",N($S1550)-N($Q1550))</f>
        <v/>
      </c>
      <c r="S1550" s="43">
        <f>IF($B1550="","",N($L1550)+N($N1550)+N($P1550))</f>
        <v/>
      </c>
      <c r="T1550" s="42" t="n"/>
      <c r="U1550" s="42" t="n"/>
      <c r="V1550" s="42" t="n"/>
      <c r="W1550" s="42" t="n"/>
      <c r="X1550" s="42" t="n"/>
      <c r="Y1550" s="42" t="n"/>
      <c r="Z1550" s="42" t="n"/>
      <c r="AA1550" s="42" t="n"/>
      <c r="AB1550" s="42" t="n"/>
      <c r="AC1550" s="42" t="n"/>
      <c r="AD1550" s="42" t="n"/>
      <c r="AE1550" s="42" t="n"/>
      <c r="AF1550" s="43">
        <f>IF($B1550="","",SUM($T1550:$AE1550))</f>
        <v/>
      </c>
      <c r="AG1550" s="43">
        <f>IF($B1550="","",N($M1550)-N($AF1550))</f>
        <v/>
      </c>
      <c r="AH1550" s="43">
        <f>IF($B1550="","",N($L1550)-N($AF1550))</f>
        <v/>
      </c>
      <c r="AI1550" s="149">
        <f>IF($B1550="","",IF(N($L1550)=0,"",(N($L1550)-N($AF1550))/N($L1550)))</f>
        <v/>
      </c>
    </row>
    <row r="1551">
      <c r="A1551" s="39">
        <f>IF($B1551="","",COUNTA($B$4:$B1551))</f>
        <v/>
      </c>
      <c r="B1551" s="45" t="n">
        <v>46190</v>
      </c>
      <c r="C1551" s="46" t="n">
        <v>3188</v>
      </c>
      <c r="D1551" s="46" t="inlineStr">
        <is>
          <t>الشريف</t>
        </is>
      </c>
      <c r="E1551" s="46" t="inlineStr">
        <is>
          <t>1*40</t>
        </is>
      </c>
      <c r="F1551" s="46" t="inlineStr">
        <is>
          <t xml:space="preserve">دلتا للتجارة </t>
        </is>
      </c>
      <c r="G1551" s="46" t="inlineStr">
        <is>
          <t xml:space="preserve">مد بدر </t>
        </is>
      </c>
      <c r="H1551" s="46" t="inlineStr">
        <is>
          <t>614650/7</t>
        </is>
      </c>
      <c r="I1551" s="46" t="inlineStr">
        <is>
          <t>ف ر ل 5438</t>
        </is>
      </c>
      <c r="J1551" s="46" t="inlineStr">
        <is>
          <t xml:space="preserve">سعيد رجب </t>
        </is>
      </c>
      <c r="K1551" s="46" t="inlineStr">
        <is>
          <t xml:space="preserve">اسامة عوض </t>
        </is>
      </c>
      <c r="L1551" s="47" t="n">
        <v>15500</v>
      </c>
      <c r="M1551" s="47" t="n">
        <v>8100</v>
      </c>
      <c r="N1551" s="47" t="n"/>
      <c r="O1551" s="47" t="n">
        <v>200</v>
      </c>
      <c r="P1551" s="47" t="n"/>
      <c r="Q1551" s="47" t="n"/>
      <c r="R1551" s="43">
        <f>IF($B1551="","",N($S1551)-N($Q1551))</f>
        <v/>
      </c>
      <c r="S1551" s="43">
        <f>IF($B1551="","",N($L1551)+N($N1551)+N($P1551))</f>
        <v/>
      </c>
      <c r="T1551" s="47" t="n"/>
      <c r="U1551" s="47" t="n"/>
      <c r="V1551" s="47" t="n"/>
      <c r="W1551" s="47" t="n"/>
      <c r="X1551" s="47" t="n"/>
      <c r="Y1551" s="47" t="n"/>
      <c r="Z1551" s="47" t="n"/>
      <c r="AA1551" s="47" t="n"/>
      <c r="AB1551" s="47" t="n"/>
      <c r="AC1551" s="47" t="n"/>
      <c r="AD1551" s="47" t="n"/>
      <c r="AE1551" s="47" t="n"/>
      <c r="AF1551" s="43">
        <f>IF($B1551="","",SUM($T1551:$AE1551))</f>
        <v/>
      </c>
      <c r="AG1551" s="43">
        <f>IF($B1551="","",N($M1551)-N($AF1551))</f>
        <v/>
      </c>
      <c r="AH1551" s="43">
        <f>IF($B1551="","",N($L1551)-N($AF1551))</f>
        <v/>
      </c>
      <c r="AI1551" s="149">
        <f>IF($B1551="","",IF(N($L1551)=0,"",(N($L1551)-N($AF1551))/N($L1551)))</f>
        <v/>
      </c>
    </row>
    <row r="1552">
      <c r="A1552" s="39">
        <f>IF($B1552="","",COUNTA($B$4:$B1552))</f>
        <v/>
      </c>
      <c r="B1552" s="40" t="n">
        <v>46189</v>
      </c>
      <c r="C1552" s="41" t="n">
        <v>3085</v>
      </c>
      <c r="D1552" s="41" t="inlineStr">
        <is>
          <t xml:space="preserve">حاتم البحر </t>
        </is>
      </c>
      <c r="E1552" s="41" t="inlineStr">
        <is>
          <t>2*20</t>
        </is>
      </c>
      <c r="F1552" s="41" t="inlineStr">
        <is>
          <t xml:space="preserve">مطاحن التاج </t>
        </is>
      </c>
      <c r="G1552" s="41" t="inlineStr">
        <is>
          <t xml:space="preserve">اكتوبر </t>
        </is>
      </c>
      <c r="H1552" s="41" t="inlineStr">
        <is>
          <t>992953/8-013282/8</t>
        </is>
      </c>
      <c r="I1552" s="41" t="inlineStr">
        <is>
          <t>ع ا م 6165</t>
        </is>
      </c>
      <c r="J1552" s="41" t="inlineStr">
        <is>
          <t xml:space="preserve">ابراهيم محمد </t>
        </is>
      </c>
      <c r="K1552" s="41" t="inlineStr">
        <is>
          <t xml:space="preserve">محمد الفلاج </t>
        </is>
      </c>
      <c r="L1552" s="42" t="n">
        <v>18000</v>
      </c>
      <c r="M1552" s="42" t="n">
        <v>10100</v>
      </c>
      <c r="N1552" s="42" t="n">
        <v>1100</v>
      </c>
      <c r="O1552" s="42" t="n">
        <v>200</v>
      </c>
      <c r="P1552" s="42" t="n"/>
      <c r="Q1552" s="42" t="n"/>
      <c r="R1552" s="43">
        <f>IF($B1552="","",N($S1552)-N($Q1552))</f>
        <v/>
      </c>
      <c r="S1552" s="43">
        <f>IF($B1552="","",N($L1552)+N($N1552)+N($P1552))</f>
        <v/>
      </c>
      <c r="T1552" s="42" t="n"/>
      <c r="U1552" s="42" t="n"/>
      <c r="V1552" s="42" t="n"/>
      <c r="W1552" s="42" t="n"/>
      <c r="X1552" s="42" t="n"/>
      <c r="Y1552" s="42" t="n"/>
      <c r="Z1552" s="42" t="n"/>
      <c r="AA1552" s="42" t="n"/>
      <c r="AB1552" s="42" t="n"/>
      <c r="AC1552" s="42" t="n"/>
      <c r="AD1552" s="42" t="n"/>
      <c r="AE1552" s="42" t="n"/>
      <c r="AF1552" s="43">
        <f>IF($B1552="","",SUM($T1552:$AE1552))</f>
        <v/>
      </c>
      <c r="AG1552" s="43">
        <f>IF($B1552="","",N($M1552)-N($AF1552))</f>
        <v/>
      </c>
      <c r="AH1552" s="43">
        <f>IF($B1552="","",N($L1552)-N($AF1552))</f>
        <v/>
      </c>
      <c r="AI1552" s="149">
        <f>IF($B1552="","",IF(N($L1552)=0,"",(N($L1552)-N($AF1552))/N($L1552)))</f>
        <v/>
      </c>
    </row>
    <row r="1553">
      <c r="A1553" s="39">
        <f>IF($B1553="","",COUNTA($B$4:$B1553))</f>
        <v/>
      </c>
      <c r="B1553" s="45" t="n">
        <v>46189</v>
      </c>
      <c r="C1553" s="46" t="n">
        <v>3083</v>
      </c>
      <c r="D1553" s="46" t="inlineStr">
        <is>
          <t xml:space="preserve">حاتم البحر </t>
        </is>
      </c>
      <c r="E1553" s="46" t="inlineStr">
        <is>
          <t>2*20</t>
        </is>
      </c>
      <c r="F1553" s="46" t="inlineStr">
        <is>
          <t xml:space="preserve">مطاحن التاج </t>
        </is>
      </c>
      <c r="G1553" s="46" t="inlineStr">
        <is>
          <t xml:space="preserve">اكتوبر </t>
        </is>
      </c>
      <c r="H1553" s="46" t="inlineStr">
        <is>
          <t>286170/9-242798/2</t>
        </is>
      </c>
      <c r="I1553" s="46" t="inlineStr">
        <is>
          <t>ب ف ر 8136</t>
        </is>
      </c>
      <c r="J1553" s="46" t="inlineStr">
        <is>
          <t xml:space="preserve">شعبان عبد الفتاح </t>
        </is>
      </c>
      <c r="K1553" s="46" t="inlineStr">
        <is>
          <t xml:space="preserve">محمد الفلاح </t>
        </is>
      </c>
      <c r="L1553" s="47" t="n">
        <v>18000</v>
      </c>
      <c r="M1553" s="47" t="n">
        <v>10100</v>
      </c>
      <c r="N1553" s="47" t="n">
        <v>1100</v>
      </c>
      <c r="O1553" s="47" t="n">
        <v>200</v>
      </c>
      <c r="P1553" s="47" t="n"/>
      <c r="Q1553" s="47" t="n"/>
      <c r="R1553" s="43">
        <f>IF($B1553="","",N($S1553)-N($Q1553))</f>
        <v/>
      </c>
      <c r="S1553" s="43">
        <f>IF($B1553="","",N($L1553)+N($N1553)+N($P1553))</f>
        <v/>
      </c>
      <c r="T1553" s="47" t="n"/>
      <c r="U1553" s="47" t="n"/>
      <c r="V1553" s="47" t="n"/>
      <c r="W1553" s="47" t="n"/>
      <c r="X1553" s="47" t="n"/>
      <c r="Y1553" s="47" t="n"/>
      <c r="Z1553" s="47" t="n"/>
      <c r="AA1553" s="47" t="n"/>
      <c r="AB1553" s="47" t="n"/>
      <c r="AC1553" s="47" t="n"/>
      <c r="AD1553" s="47" t="n"/>
      <c r="AE1553" s="47" t="n"/>
      <c r="AF1553" s="43">
        <f>IF($B1553="","",SUM($T1553:$AE1553))</f>
        <v/>
      </c>
      <c r="AG1553" s="43">
        <f>IF($B1553="","",N($M1553)-N($AF1553))</f>
        <v/>
      </c>
      <c r="AH1553" s="43">
        <f>IF($B1553="","",N($L1553)-N($AF1553))</f>
        <v/>
      </c>
      <c r="AI1553" s="149">
        <f>IF($B1553="","",IF(N($L1553)=0,"",(N($L1553)-N($AF1553))/N($L1553)))</f>
        <v/>
      </c>
    </row>
    <row r="1554">
      <c r="A1554" s="39">
        <f>IF($B1554="","",COUNTA($B$4:$B1554))</f>
        <v/>
      </c>
      <c r="B1554" s="40" t="n">
        <v>46189</v>
      </c>
      <c r="C1554" s="41" t="n">
        <v>3084</v>
      </c>
      <c r="D1554" s="41" t="inlineStr">
        <is>
          <t xml:space="preserve">حاتم البحر </t>
        </is>
      </c>
      <c r="E1554" s="41" t="inlineStr">
        <is>
          <t>2*20</t>
        </is>
      </c>
      <c r="F1554" s="41" t="inlineStr">
        <is>
          <t xml:space="preserve">مطاحن التاج </t>
        </is>
      </c>
      <c r="G1554" s="41" t="inlineStr">
        <is>
          <t xml:space="preserve">اكتوبر </t>
        </is>
      </c>
      <c r="H1554" s="41" t="inlineStr">
        <is>
          <t>111701/2-258312/3</t>
        </is>
      </c>
      <c r="I1554" s="41" t="inlineStr">
        <is>
          <t>ب ر ف 5842</t>
        </is>
      </c>
      <c r="J1554" s="41" t="inlineStr">
        <is>
          <t xml:space="preserve">محمد جلال </t>
        </is>
      </c>
      <c r="K1554" s="41" t="inlineStr">
        <is>
          <t xml:space="preserve">محمد الفلاح </t>
        </is>
      </c>
      <c r="L1554" s="42" t="n">
        <v>18000</v>
      </c>
      <c r="M1554" s="42" t="n">
        <v>10100</v>
      </c>
      <c r="N1554" s="42" t="n">
        <v>1100</v>
      </c>
      <c r="O1554" s="42" t="n">
        <v>200</v>
      </c>
      <c r="P1554" s="42" t="n"/>
      <c r="Q1554" s="42" t="n"/>
      <c r="R1554" s="43">
        <f>IF($B1554="","",N($S1554)-N($Q1554))</f>
        <v/>
      </c>
      <c r="S1554" s="43">
        <f>IF($B1554="","",N($L1554)+N($N1554)+N($P1554))</f>
        <v/>
      </c>
      <c r="T1554" s="42" t="n"/>
      <c r="U1554" s="42" t="n"/>
      <c r="V1554" s="42" t="n"/>
      <c r="W1554" s="42" t="n"/>
      <c r="X1554" s="42" t="n"/>
      <c r="Y1554" s="42" t="n"/>
      <c r="Z1554" s="42" t="n"/>
      <c r="AA1554" s="42" t="n"/>
      <c r="AB1554" s="42" t="n"/>
      <c r="AC1554" s="42" t="n"/>
      <c r="AD1554" s="42" t="n"/>
      <c r="AE1554" s="42" t="n"/>
      <c r="AF1554" s="43">
        <f>IF($B1554="","",SUM($T1554:$AE1554))</f>
        <v/>
      </c>
      <c r="AG1554" s="43">
        <f>IF($B1554="","",N($M1554)-N($AF1554))</f>
        <v/>
      </c>
      <c r="AH1554" s="43">
        <f>IF($B1554="","",N($L1554)-N($AF1554))</f>
        <v/>
      </c>
      <c r="AI1554" s="149">
        <f>IF($B1554="","",IF(N($L1554)=0,"",(N($L1554)-N($AF1554))/N($L1554)))</f>
        <v/>
      </c>
    </row>
    <row r="1555">
      <c r="A1555" s="39">
        <f>IF($B1555="","",COUNTA($B$4:$B1555))</f>
        <v/>
      </c>
      <c r="B1555" s="45" t="n">
        <v>46189</v>
      </c>
      <c r="C1555" s="46" t="n">
        <v>3087</v>
      </c>
      <c r="D1555" s="46" t="inlineStr">
        <is>
          <t xml:space="preserve">حسين محمد </t>
        </is>
      </c>
      <c r="E1555" s="46" t="inlineStr">
        <is>
          <t>2*20</t>
        </is>
      </c>
      <c r="F1555" s="46" t="inlineStr">
        <is>
          <t xml:space="preserve">مطاحن التاج </t>
        </is>
      </c>
      <c r="G1555" s="46" t="inlineStr">
        <is>
          <t xml:space="preserve">اكتوبر </t>
        </is>
      </c>
      <c r="H1555" s="46" t="inlineStr">
        <is>
          <t>943832/3-205593/6</t>
        </is>
      </c>
      <c r="I1555" s="46" t="inlineStr">
        <is>
          <t>ب د ف 1539</t>
        </is>
      </c>
      <c r="J1555" s="46" t="inlineStr">
        <is>
          <t>فرج الليبر</t>
        </is>
      </c>
      <c r="K1555" s="46" t="inlineStr">
        <is>
          <t>الليبر</t>
        </is>
      </c>
      <c r="L1555" s="47" t="n">
        <v>18500</v>
      </c>
      <c r="M1555" s="47" t="n">
        <v>10100</v>
      </c>
      <c r="N1555" s="47" t="n">
        <v>1100</v>
      </c>
      <c r="O1555" s="47" t="n">
        <v>200</v>
      </c>
      <c r="P1555" s="47" t="n"/>
      <c r="Q1555" s="47" t="n"/>
      <c r="R1555" s="43">
        <f>IF($B1555="","",N($S1555)-N($Q1555))</f>
        <v/>
      </c>
      <c r="S1555" s="43">
        <f>IF($B1555="","",N($L1555)+N($N1555)+N($P1555))</f>
        <v/>
      </c>
      <c r="T1555" s="47" t="n"/>
      <c r="U1555" s="47" t="n"/>
      <c r="V1555" s="47" t="n"/>
      <c r="W1555" s="47" t="n"/>
      <c r="X1555" s="47" t="n"/>
      <c r="Y1555" s="47" t="n"/>
      <c r="Z1555" s="47" t="n"/>
      <c r="AA1555" s="47" t="n"/>
      <c r="AB1555" s="47" t="n"/>
      <c r="AC1555" s="47" t="n"/>
      <c r="AD1555" s="47" t="n"/>
      <c r="AE1555" s="47" t="n"/>
      <c r="AF1555" s="43">
        <f>IF($B1555="","",SUM($T1555:$AE1555))</f>
        <v/>
      </c>
      <c r="AG1555" s="43">
        <f>IF($B1555="","",N($M1555)-N($AF1555))</f>
        <v/>
      </c>
      <c r="AH1555" s="43">
        <f>IF($B1555="","",N($L1555)-N($AF1555))</f>
        <v/>
      </c>
      <c r="AI1555" s="149">
        <f>IF($B1555="","",IF(N($L1555)=0,"",(N($L1555)-N($AF1555))/N($L1555)))</f>
        <v/>
      </c>
    </row>
    <row r="1556">
      <c r="A1556" s="39">
        <f>IF($B1556="","",COUNTA($B$4:$B1556))</f>
        <v/>
      </c>
      <c r="B1556" s="40" t="n">
        <v>46190</v>
      </c>
      <c r="C1556" s="41" t="n">
        <v>3086</v>
      </c>
      <c r="D1556" s="41" t="inlineStr">
        <is>
          <t xml:space="preserve">حسين محمد </t>
        </is>
      </c>
      <c r="E1556" s="41" t="inlineStr">
        <is>
          <t>2*20</t>
        </is>
      </c>
      <c r="F1556" s="41" t="inlineStr">
        <is>
          <t xml:space="preserve">مطاحن التاج </t>
        </is>
      </c>
      <c r="G1556" s="41" t="inlineStr">
        <is>
          <t xml:space="preserve">اكتوبر </t>
        </is>
      </c>
      <c r="H1556" s="41" t="inlineStr">
        <is>
          <t>296200/3-168189/2</t>
        </is>
      </c>
      <c r="I1556" s="41" t="inlineStr">
        <is>
          <t>ب ص ا 6389</t>
        </is>
      </c>
      <c r="J1556" s="41" t="inlineStr">
        <is>
          <t xml:space="preserve">اسامة ابو النور </t>
        </is>
      </c>
      <c r="K1556" s="41" t="inlineStr">
        <is>
          <t>الليبر</t>
        </is>
      </c>
      <c r="L1556" s="42" t="n">
        <v>18500</v>
      </c>
      <c r="M1556" s="42" t="n">
        <v>10100</v>
      </c>
      <c r="N1556" s="42" t="n">
        <v>1100</v>
      </c>
      <c r="O1556" s="42" t="n">
        <v>200</v>
      </c>
      <c r="P1556" s="42" t="n"/>
      <c r="Q1556" s="42" t="n"/>
      <c r="R1556" s="43">
        <f>IF($B1556="","",N($S1556)-N($Q1556))</f>
        <v/>
      </c>
      <c r="S1556" s="43">
        <f>IF($B1556="","",N($L1556)+N($N1556)+N($P1556))</f>
        <v/>
      </c>
      <c r="T1556" s="42" t="n"/>
      <c r="U1556" s="42" t="n"/>
      <c r="V1556" s="42" t="n"/>
      <c r="W1556" s="42" t="n"/>
      <c r="X1556" s="42" t="n"/>
      <c r="Y1556" s="42" t="n"/>
      <c r="Z1556" s="42" t="n"/>
      <c r="AA1556" s="42" t="n"/>
      <c r="AB1556" s="42" t="n"/>
      <c r="AC1556" s="42" t="n"/>
      <c r="AD1556" s="42" t="n"/>
      <c r="AE1556" s="42" t="n"/>
      <c r="AF1556" s="43">
        <f>IF($B1556="","",SUM($T1556:$AE1556))</f>
        <v/>
      </c>
      <c r="AG1556" s="43">
        <f>IF($B1556="","",N($M1556)-N($AF1556))</f>
        <v/>
      </c>
      <c r="AH1556" s="43">
        <f>IF($B1556="","",N($L1556)-N($AF1556))</f>
        <v/>
      </c>
      <c r="AI1556" s="149">
        <f>IF($B1556="","",IF(N($L1556)=0,"",(N($L1556)-N($AF1556))/N($L1556)))</f>
        <v/>
      </c>
    </row>
    <row r="1557">
      <c r="A1557" s="39">
        <f>IF($B1557="","",COUNTA($B$4:$B1557))</f>
        <v/>
      </c>
      <c r="B1557" s="45" t="n">
        <v>46190</v>
      </c>
      <c r="C1557" s="46" t="n">
        <v>3081</v>
      </c>
      <c r="D1557" s="46" t="n"/>
      <c r="E1557" s="46" t="inlineStr">
        <is>
          <t>1*20</t>
        </is>
      </c>
      <c r="F1557" s="46" t="inlineStr">
        <is>
          <t xml:space="preserve">السويدى بوليمرز </t>
        </is>
      </c>
      <c r="G1557" s="46" t="inlineStr">
        <is>
          <t xml:space="preserve">العاشر </t>
        </is>
      </c>
      <c r="H1557" s="46" t="inlineStr">
        <is>
          <t>181209/8</t>
        </is>
      </c>
      <c r="I1557" s="46" t="n"/>
      <c r="J1557" s="46" t="inlineStr">
        <is>
          <t>زياد وليد</t>
        </is>
      </c>
      <c r="K1557" s="46" t="n"/>
      <c r="L1557" s="47" t="n">
        <v>15000</v>
      </c>
      <c r="M1557" s="47" t="n">
        <v>8100</v>
      </c>
      <c r="N1557" s="47" t="n">
        <v>1100</v>
      </c>
      <c r="O1557" s="47" t="n">
        <v>200</v>
      </c>
      <c r="P1557" s="47" t="n"/>
      <c r="Q1557" s="47" t="n"/>
      <c r="R1557" s="43">
        <f>IF($B1557="","",N($S1557)-N($Q1557))</f>
        <v/>
      </c>
      <c r="S1557" s="43">
        <f>IF($B1557="","",N($L1557)+N($N1557)+N($P1557))</f>
        <v/>
      </c>
      <c r="T1557" s="47" t="n"/>
      <c r="U1557" s="47" t="n"/>
      <c r="V1557" s="47" t="n"/>
      <c r="W1557" s="47" t="n"/>
      <c r="X1557" s="47" t="n"/>
      <c r="Y1557" s="47" t="n"/>
      <c r="Z1557" s="47" t="n"/>
      <c r="AA1557" s="47" t="n"/>
      <c r="AB1557" s="47" t="n"/>
      <c r="AC1557" s="47" t="n"/>
      <c r="AD1557" s="47" t="n"/>
      <c r="AE1557" s="47" t="n"/>
      <c r="AF1557" s="43">
        <f>IF($B1557="","",SUM($T1557:$AE1557))</f>
        <v/>
      </c>
      <c r="AG1557" s="43">
        <f>IF($B1557="","",N($M1557)-N($AF1557))</f>
        <v/>
      </c>
      <c r="AH1557" s="43">
        <f>IF($B1557="","",N($L1557)-N($AF1557))</f>
        <v/>
      </c>
      <c r="AI1557" s="149">
        <f>IF($B1557="","",IF(N($L1557)=0,"",(N($L1557)-N($AF1557))/N($L1557)))</f>
        <v/>
      </c>
    </row>
    <row r="1558">
      <c r="A1558" s="39">
        <f>IF($B1558="","",COUNTA($B$4:$B1558))</f>
        <v/>
      </c>
      <c r="B1558" s="40" t="n">
        <v>46190</v>
      </c>
      <c r="C1558" s="41" t="n">
        <v>3082</v>
      </c>
      <c r="D1558" s="41" t="inlineStr">
        <is>
          <t xml:space="preserve">استوريا </t>
        </is>
      </c>
      <c r="E1558" s="41" t="inlineStr">
        <is>
          <t>2*20</t>
        </is>
      </c>
      <c r="F1558" s="41" t="inlineStr">
        <is>
          <t xml:space="preserve">السويدى بوليمرز </t>
        </is>
      </c>
      <c r="G1558" s="41" t="inlineStr">
        <is>
          <t xml:space="preserve">العاشر </t>
        </is>
      </c>
      <c r="H1558" s="41" t="inlineStr">
        <is>
          <t>289371/0-327557/0</t>
        </is>
      </c>
      <c r="I1558" s="41" t="inlineStr">
        <is>
          <t>ب ر ط 1756</t>
        </is>
      </c>
      <c r="J1558" s="41" t="inlineStr">
        <is>
          <t xml:space="preserve">ربيع كرم </t>
        </is>
      </c>
      <c r="K1558" s="41" t="inlineStr">
        <is>
          <t xml:space="preserve">كرم الكحكى </t>
        </is>
      </c>
      <c r="L1558" s="42" t="n">
        <v>20000</v>
      </c>
      <c r="M1558" s="42" t="n">
        <v>10100</v>
      </c>
      <c r="N1558" s="42" t="n">
        <v>1100</v>
      </c>
      <c r="O1558" s="42" t="n">
        <v>200</v>
      </c>
      <c r="P1558" s="42" t="n"/>
      <c r="Q1558" s="42" t="n"/>
      <c r="R1558" s="43">
        <f>IF($B1558="","",N($S1558)-N($Q1558))</f>
        <v/>
      </c>
      <c r="S1558" s="43">
        <f>IF($B1558="","",N($L1558)+N($N1558)+N($P1558))</f>
        <v/>
      </c>
      <c r="T1558" s="42" t="n"/>
      <c r="U1558" s="42" t="n"/>
      <c r="V1558" s="42" t="n"/>
      <c r="W1558" s="42" t="n"/>
      <c r="X1558" s="42" t="n"/>
      <c r="Y1558" s="42" t="n"/>
      <c r="Z1558" s="42" t="n"/>
      <c r="AA1558" s="42" t="n"/>
      <c r="AB1558" s="42" t="n"/>
      <c r="AC1558" s="42" t="n"/>
      <c r="AD1558" s="42" t="n"/>
      <c r="AE1558" s="42" t="n"/>
      <c r="AF1558" s="43">
        <f>IF($B1558="","",SUM($T1558:$AE1558))</f>
        <v/>
      </c>
      <c r="AG1558" s="43">
        <f>IF($B1558="","",N($M1558)-N($AF1558))</f>
        <v/>
      </c>
      <c r="AH1558" s="43">
        <f>IF($B1558="","",N($L1558)-N($AF1558))</f>
        <v/>
      </c>
      <c r="AI1558" s="149">
        <f>IF($B1558="","",IF(N($L1558)=0,"",(N($L1558)-N($AF1558))/N($L1558)))</f>
        <v/>
      </c>
    </row>
    <row r="1559">
      <c r="A1559" s="39">
        <f>IF($B1559="","",COUNTA($B$4:$B1559))</f>
        <v/>
      </c>
      <c r="B1559" s="45" t="n">
        <v>46189</v>
      </c>
      <c r="C1559" s="46" t="n">
        <v>3282</v>
      </c>
      <c r="D1559" s="46" t="inlineStr">
        <is>
          <t xml:space="preserve">محمد سعيد </t>
        </is>
      </c>
      <c r="E1559" s="46" t="inlineStr">
        <is>
          <t>1*40</t>
        </is>
      </c>
      <c r="F1559" s="46" t="inlineStr">
        <is>
          <t xml:space="preserve">بريلى </t>
        </is>
      </c>
      <c r="G1559" s="46" t="inlineStr">
        <is>
          <t xml:space="preserve">اكتوبر </t>
        </is>
      </c>
      <c r="H1559" s="46" t="inlineStr">
        <is>
          <t>451166/0</t>
        </is>
      </c>
      <c r="I1559" s="46" t="inlineStr">
        <is>
          <t>س و ب 2965</t>
        </is>
      </c>
      <c r="J1559" s="46" t="inlineStr">
        <is>
          <t xml:space="preserve">عمرو السويفى </t>
        </is>
      </c>
      <c r="K1559" s="46" t="inlineStr">
        <is>
          <t>احمد نصير</t>
        </is>
      </c>
      <c r="L1559" s="47" t="n">
        <v>13800</v>
      </c>
      <c r="M1559" s="47" t="n">
        <v>9100</v>
      </c>
      <c r="N1559" s="47" t="n"/>
      <c r="O1559" s="47" t="n">
        <v>200</v>
      </c>
      <c r="P1559" s="47" t="n"/>
      <c r="Q1559" s="47" t="n"/>
      <c r="R1559" s="43">
        <f>IF($B1559="","",N($S1559)-N($Q1559))</f>
        <v/>
      </c>
      <c r="S1559" s="43">
        <f>IF($B1559="","",N($L1559)+N($N1559)+N($P1559))</f>
        <v/>
      </c>
      <c r="T1559" s="47" t="n"/>
      <c r="U1559" s="47" t="n"/>
      <c r="V1559" s="47" t="n"/>
      <c r="W1559" s="47" t="n"/>
      <c r="X1559" s="47" t="n"/>
      <c r="Y1559" s="47" t="n"/>
      <c r="Z1559" s="47" t="n"/>
      <c r="AA1559" s="47" t="n"/>
      <c r="AB1559" s="47" t="n"/>
      <c r="AC1559" s="47" t="n"/>
      <c r="AD1559" s="47" t="n"/>
      <c r="AE1559" s="47" t="n"/>
      <c r="AF1559" s="43">
        <f>IF($B1559="","",SUM($T1559:$AE1559))</f>
        <v/>
      </c>
      <c r="AG1559" s="43">
        <f>IF($B1559="","",N($M1559)-N($AF1559))</f>
        <v/>
      </c>
      <c r="AH1559" s="43">
        <f>IF($B1559="","",N($L1559)-N($AF1559))</f>
        <v/>
      </c>
      <c r="AI1559" s="149">
        <f>IF($B1559="","",IF(N($L1559)=0,"",(N($L1559)-N($AF1559))/N($L1559)))</f>
        <v/>
      </c>
    </row>
    <row r="1560">
      <c r="A1560" s="39">
        <f>IF($B1560="","",COUNTA($B$4:$B1560))</f>
        <v/>
      </c>
      <c r="B1560" s="40" t="n">
        <v>46189</v>
      </c>
      <c r="C1560" s="41" t="n">
        <v>3283</v>
      </c>
      <c r="D1560" s="41" t="n"/>
      <c r="E1560" s="41" t="inlineStr">
        <is>
          <t>1*40</t>
        </is>
      </c>
      <c r="F1560" s="41" t="inlineStr">
        <is>
          <t xml:space="preserve">بريلى </t>
        </is>
      </c>
      <c r="G1560" s="41" t="inlineStr">
        <is>
          <t xml:space="preserve">اكتوبر </t>
        </is>
      </c>
      <c r="H1560" s="41" t="inlineStr">
        <is>
          <t>809102/7</t>
        </is>
      </c>
      <c r="I1560" s="41" t="inlineStr">
        <is>
          <t>س ا و 8242</t>
        </is>
      </c>
      <c r="J1560" s="41" t="inlineStr">
        <is>
          <t xml:space="preserve">سعيد الغراب </t>
        </is>
      </c>
      <c r="K1560" s="41" t="inlineStr">
        <is>
          <t>احمد نصير</t>
        </is>
      </c>
      <c r="L1560" s="42" t="n">
        <v>13800</v>
      </c>
      <c r="M1560" s="42" t="n">
        <v>8100</v>
      </c>
      <c r="N1560" s="42" t="n"/>
      <c r="O1560" s="42" t="n">
        <v>200</v>
      </c>
      <c r="P1560" s="42" t="n"/>
      <c r="Q1560" s="42" t="n"/>
      <c r="R1560" s="43">
        <f>IF($B1560="","",N($S1560)-N($Q1560))</f>
        <v/>
      </c>
      <c r="S1560" s="43">
        <f>IF($B1560="","",N($L1560)+N($N1560)+N($P1560))</f>
        <v/>
      </c>
      <c r="T1560" s="42" t="n"/>
      <c r="U1560" s="42" t="n"/>
      <c r="V1560" s="42" t="n"/>
      <c r="W1560" s="42" t="n"/>
      <c r="X1560" s="42" t="n"/>
      <c r="Y1560" s="42" t="n"/>
      <c r="Z1560" s="42" t="n"/>
      <c r="AA1560" s="42" t="n"/>
      <c r="AB1560" s="42" t="n"/>
      <c r="AC1560" s="42" t="n"/>
      <c r="AD1560" s="42" t="n"/>
      <c r="AE1560" s="42" t="n"/>
      <c r="AF1560" s="43">
        <f>IF($B1560="","",SUM($T1560:$AE1560))</f>
        <v/>
      </c>
      <c r="AG1560" s="43">
        <f>IF($B1560="","",N($M1560)-N($AF1560))</f>
        <v/>
      </c>
      <c r="AH1560" s="43">
        <f>IF($B1560="","",N($L1560)-N($AF1560))</f>
        <v/>
      </c>
      <c r="AI1560" s="149">
        <f>IF($B1560="","",IF(N($L1560)=0,"",(N($L1560)-N($AF1560))/N($L1560)))</f>
        <v/>
      </c>
    </row>
    <row r="1561">
      <c r="A1561" s="39">
        <f>IF($B1561="","",COUNTA($B$4:$B1561))</f>
        <v/>
      </c>
      <c r="B1561" s="45" t="n">
        <v>46189</v>
      </c>
      <c r="C1561" s="46" t="n">
        <v>3285</v>
      </c>
      <c r="D1561" s="46" t="inlineStr">
        <is>
          <t xml:space="preserve">حماد </t>
        </is>
      </c>
      <c r="E1561" s="46" t="inlineStr">
        <is>
          <t>1*40</t>
        </is>
      </c>
      <c r="F1561" s="46" t="inlineStr">
        <is>
          <t xml:space="preserve">بريلى </t>
        </is>
      </c>
      <c r="G1561" s="46" t="inlineStr">
        <is>
          <t xml:space="preserve">اكتوبر </t>
        </is>
      </c>
      <c r="H1561" s="46" t="inlineStr">
        <is>
          <t>450126/0</t>
        </is>
      </c>
      <c r="I1561" s="46" t="inlineStr">
        <is>
          <t>س ل ب 5917</t>
        </is>
      </c>
      <c r="J1561" s="46" t="inlineStr">
        <is>
          <t xml:space="preserve">علاء علام </t>
        </is>
      </c>
      <c r="K1561" s="46" t="inlineStr">
        <is>
          <t xml:space="preserve">علاء علام </t>
        </is>
      </c>
      <c r="L1561" s="47" t="n">
        <v>13800</v>
      </c>
      <c r="M1561" s="47" t="n">
        <v>8100</v>
      </c>
      <c r="N1561" s="47" t="n"/>
      <c r="O1561" s="47" t="n">
        <v>200</v>
      </c>
      <c r="P1561" s="47" t="n"/>
      <c r="Q1561" s="47" t="n"/>
      <c r="R1561" s="43">
        <f>IF($B1561="","",N($S1561)-N($Q1561))</f>
        <v/>
      </c>
      <c r="S1561" s="43">
        <f>IF($B1561="","",N($L1561)+N($N1561)+N($P1561))</f>
        <v/>
      </c>
      <c r="T1561" s="47" t="n"/>
      <c r="U1561" s="47" t="n"/>
      <c r="V1561" s="47" t="n"/>
      <c r="W1561" s="47" t="n"/>
      <c r="X1561" s="47" t="n"/>
      <c r="Y1561" s="47" t="n"/>
      <c r="Z1561" s="47" t="n"/>
      <c r="AA1561" s="47" t="n"/>
      <c r="AB1561" s="47" t="n"/>
      <c r="AC1561" s="47" t="n"/>
      <c r="AD1561" s="47" t="n"/>
      <c r="AE1561" s="47" t="n"/>
      <c r="AF1561" s="43">
        <f>IF($B1561="","",SUM($T1561:$AE1561))</f>
        <v/>
      </c>
      <c r="AG1561" s="43">
        <f>IF($B1561="","",N($M1561)-N($AF1561))</f>
        <v/>
      </c>
      <c r="AH1561" s="43">
        <f>IF($B1561="","",N($L1561)-N($AF1561))</f>
        <v/>
      </c>
      <c r="AI1561" s="149">
        <f>IF($B1561="","",IF(N($L1561)=0,"",(N($L1561)-N($AF1561))/N($L1561)))</f>
        <v/>
      </c>
    </row>
    <row r="1562">
      <c r="A1562" s="39">
        <f>IF($B1562="","",COUNTA($B$4:$B1562))</f>
        <v/>
      </c>
      <c r="B1562" s="40" t="n">
        <v>46190</v>
      </c>
      <c r="C1562" s="41" t="n">
        <v>3289</v>
      </c>
      <c r="D1562" s="41" t="inlineStr">
        <is>
          <t xml:space="preserve">حمو بكرى </t>
        </is>
      </c>
      <c r="E1562" s="41" t="inlineStr">
        <is>
          <t>1*40</t>
        </is>
      </c>
      <c r="F1562" s="41" t="inlineStr">
        <is>
          <t xml:space="preserve">اكما </t>
        </is>
      </c>
      <c r="G1562" s="41" t="inlineStr">
        <is>
          <t>بنى سويف</t>
        </is>
      </c>
      <c r="H1562" s="41" t="inlineStr">
        <is>
          <t>010243/0</t>
        </is>
      </c>
      <c r="I1562" s="41" t="inlineStr">
        <is>
          <t>س د و 9151</t>
        </is>
      </c>
      <c r="J1562" s="41" t="inlineStr">
        <is>
          <t xml:space="preserve">محمود محمد </t>
        </is>
      </c>
      <c r="K1562" s="41" t="inlineStr">
        <is>
          <t xml:space="preserve">محمد البكرى </t>
        </is>
      </c>
      <c r="L1562" s="42" t="n">
        <v>19000</v>
      </c>
      <c r="M1562" s="42" t="n">
        <v>10100</v>
      </c>
      <c r="N1562" s="42" t="n"/>
      <c r="O1562" s="42" t="n">
        <v>200</v>
      </c>
      <c r="P1562" s="42" t="n"/>
      <c r="Q1562" s="42" t="n">
        <v>8700</v>
      </c>
      <c r="R1562" s="43">
        <f>IF($B1562="","",N($S1562)-N($Q1562))</f>
        <v/>
      </c>
      <c r="S1562" s="43">
        <f>IF($B1562="","",N($L1562)+N($N1562)+N($P1562))</f>
        <v/>
      </c>
      <c r="T1562" s="42" t="n"/>
      <c r="U1562" s="42" t="n"/>
      <c r="V1562" s="42" t="n"/>
      <c r="W1562" s="42" t="n"/>
      <c r="X1562" s="42" t="n"/>
      <c r="Y1562" s="42" t="n"/>
      <c r="Z1562" s="42" t="n"/>
      <c r="AA1562" s="42" t="n"/>
      <c r="AB1562" s="42" t="n"/>
      <c r="AC1562" s="42" t="n"/>
      <c r="AD1562" s="42" t="n"/>
      <c r="AE1562" s="42" t="n"/>
      <c r="AF1562" s="43">
        <f>IF($B1562="","",SUM($T1562:$AE1562))</f>
        <v/>
      </c>
      <c r="AG1562" s="43">
        <f>IF($B1562="","",N($M1562)-N($AF1562))</f>
        <v/>
      </c>
      <c r="AH1562" s="43">
        <f>IF($B1562="","",N($L1562)-N($AF1562))</f>
        <v/>
      </c>
      <c r="AI1562" s="149">
        <f>IF($B1562="","",IF(N($L1562)=0,"",(N($L1562)-N($AF1562))/N($L1562)))</f>
        <v/>
      </c>
    </row>
    <row r="1563">
      <c r="A1563" s="39">
        <f>IF($B1563="","",COUNTA($B$4:$B1563))</f>
        <v/>
      </c>
      <c r="B1563" s="45" t="n">
        <v>46190</v>
      </c>
      <c r="C1563" s="46" t="n">
        <v>3351</v>
      </c>
      <c r="D1563" s="46" t="n"/>
      <c r="E1563" s="46" t="inlineStr">
        <is>
          <t>1*40</t>
        </is>
      </c>
      <c r="F1563" s="46" t="inlineStr">
        <is>
          <t xml:space="preserve">اكما </t>
        </is>
      </c>
      <c r="G1563" s="46" t="inlineStr">
        <is>
          <t>بنى سويف</t>
        </is>
      </c>
      <c r="H1563" s="46" t="inlineStr">
        <is>
          <t>002323/8</t>
        </is>
      </c>
      <c r="I1563" s="46" t="inlineStr">
        <is>
          <t>ق ب ص 6326</t>
        </is>
      </c>
      <c r="J1563" s="46" t="inlineStr">
        <is>
          <t xml:space="preserve">احمد عادل </t>
        </is>
      </c>
      <c r="K1563" s="46" t="inlineStr">
        <is>
          <t xml:space="preserve">محمد سعد </t>
        </is>
      </c>
      <c r="L1563" s="47" t="n">
        <v>19000</v>
      </c>
      <c r="M1563" s="47" t="n">
        <v>10100</v>
      </c>
      <c r="N1563" s="47" t="n"/>
      <c r="O1563" s="47" t="n">
        <v>200</v>
      </c>
      <c r="P1563" s="47" t="n"/>
      <c r="Q1563" s="47" t="n"/>
      <c r="R1563" s="43">
        <f>IF($B1563="","",N($S1563)-N($Q1563))</f>
        <v/>
      </c>
      <c r="S1563" s="43">
        <f>IF($B1563="","",N($L1563)+N($N1563)+N($P1563))</f>
        <v/>
      </c>
      <c r="T1563" s="47" t="n"/>
      <c r="U1563" s="47" t="n"/>
      <c r="V1563" s="47" t="n"/>
      <c r="W1563" s="47" t="n"/>
      <c r="X1563" s="47" t="n"/>
      <c r="Y1563" s="47" t="n"/>
      <c r="Z1563" s="47" t="n"/>
      <c r="AA1563" s="47" t="n"/>
      <c r="AB1563" s="47" t="n"/>
      <c r="AC1563" s="47" t="n"/>
      <c r="AD1563" s="47" t="n"/>
      <c r="AE1563" s="47" t="n"/>
      <c r="AF1563" s="43">
        <f>IF($B1563="","",SUM($T1563:$AE1563))</f>
        <v/>
      </c>
      <c r="AG1563" s="43">
        <f>IF($B1563="","",N($M1563)-N($AF1563))</f>
        <v/>
      </c>
      <c r="AH1563" s="43">
        <f>IF($B1563="","",N($L1563)-N($AF1563))</f>
        <v/>
      </c>
      <c r="AI1563" s="149">
        <f>IF($B1563="","",IF(N($L1563)=0,"",(N($L1563)-N($AF1563))/N($L1563)))</f>
        <v/>
      </c>
    </row>
    <row r="1564">
      <c r="A1564" s="39">
        <f>IF($B1564="","",COUNTA($B$4:$B1564))</f>
        <v/>
      </c>
      <c r="B1564" s="40" t="n">
        <v>46190</v>
      </c>
      <c r="C1564" s="41" t="n">
        <v>3300</v>
      </c>
      <c r="D1564" s="41" t="inlineStr">
        <is>
          <t xml:space="preserve">حماد </t>
        </is>
      </c>
      <c r="E1564" s="41" t="inlineStr">
        <is>
          <t>1*40</t>
        </is>
      </c>
      <c r="F1564" s="41" t="inlineStr">
        <is>
          <t xml:space="preserve">اكما </t>
        </is>
      </c>
      <c r="G1564" s="41" t="inlineStr">
        <is>
          <t>بنى سويف</t>
        </is>
      </c>
      <c r="H1564" s="41" t="inlineStr">
        <is>
          <t>550614/7</t>
        </is>
      </c>
      <c r="I1564" s="41" t="inlineStr">
        <is>
          <t>س ع ن 8949</t>
        </is>
      </c>
      <c r="J1564" s="41" t="inlineStr">
        <is>
          <t xml:space="preserve">احمد محمد </t>
        </is>
      </c>
      <c r="K1564" s="41" t="inlineStr">
        <is>
          <t>محمد خليل</t>
        </is>
      </c>
      <c r="L1564" s="42" t="n">
        <v>19000</v>
      </c>
      <c r="M1564" s="42" t="n">
        <v>10100</v>
      </c>
      <c r="N1564" s="42" t="n"/>
      <c r="O1564" s="42" t="n">
        <v>200</v>
      </c>
      <c r="P1564" s="42" t="n"/>
      <c r="Q1564" s="42" t="n"/>
      <c r="R1564" s="43">
        <f>IF($B1564="","",N($S1564)-N($Q1564))</f>
        <v/>
      </c>
      <c r="S1564" s="43">
        <f>IF($B1564="","",N($L1564)+N($N1564)+N($P1564))</f>
        <v/>
      </c>
      <c r="T1564" s="42" t="n"/>
      <c r="U1564" s="42" t="n"/>
      <c r="V1564" s="42" t="n"/>
      <c r="W1564" s="42" t="n"/>
      <c r="X1564" s="42" t="n"/>
      <c r="Y1564" s="42" t="n"/>
      <c r="Z1564" s="42" t="n"/>
      <c r="AA1564" s="42" t="n"/>
      <c r="AB1564" s="42" t="n"/>
      <c r="AC1564" s="42" t="n"/>
      <c r="AD1564" s="42" t="n"/>
      <c r="AE1564" s="42" t="n"/>
      <c r="AF1564" s="43">
        <f>IF($B1564="","",SUM($T1564:$AE1564))</f>
        <v/>
      </c>
      <c r="AG1564" s="43">
        <f>IF($B1564="","",N($M1564)-N($AF1564))</f>
        <v/>
      </c>
      <c r="AH1564" s="43">
        <f>IF($B1564="","",N($L1564)-N($AF1564))</f>
        <v/>
      </c>
      <c r="AI1564" s="149">
        <f>IF($B1564="","",IF(N($L1564)=0,"",(N($L1564)-N($AF1564))/N($L1564)))</f>
        <v/>
      </c>
    </row>
    <row r="1565">
      <c r="A1565" s="39">
        <f>IF($B1565="","",COUNTA($B$4:$B1565))</f>
        <v/>
      </c>
      <c r="B1565" s="45" t="n">
        <v>46190</v>
      </c>
      <c r="C1565" s="46" t="n">
        <v>3298</v>
      </c>
      <c r="D1565" s="46" t="n"/>
      <c r="E1565" s="46" t="inlineStr">
        <is>
          <t>1*40</t>
        </is>
      </c>
      <c r="F1565" s="46" t="inlineStr">
        <is>
          <t xml:space="preserve">اكما </t>
        </is>
      </c>
      <c r="G1565" s="46" t="inlineStr">
        <is>
          <t>بنى سويف</t>
        </is>
      </c>
      <c r="H1565" s="46" t="inlineStr">
        <is>
          <t>007659/9</t>
        </is>
      </c>
      <c r="I1565" s="46" t="inlineStr">
        <is>
          <t>س م ج 2123</t>
        </is>
      </c>
      <c r="J1565" s="46" t="inlineStr">
        <is>
          <t xml:space="preserve">محمد عبد العزيز </t>
        </is>
      </c>
      <c r="K1565" s="46" t="inlineStr">
        <is>
          <t xml:space="preserve">سلومة </t>
        </is>
      </c>
      <c r="L1565" s="47" t="n">
        <v>19000</v>
      </c>
      <c r="M1565" s="47" t="n">
        <v>10100</v>
      </c>
      <c r="N1565" s="47" t="n"/>
      <c r="O1565" s="47" t="n">
        <v>200</v>
      </c>
      <c r="P1565" s="47" t="n"/>
      <c r="Q1565" s="47" t="n"/>
      <c r="R1565" s="43">
        <f>IF($B1565="","",N($S1565)-N($Q1565))</f>
        <v/>
      </c>
      <c r="S1565" s="43">
        <f>IF($B1565="","",N($L1565)+N($N1565)+N($P1565))</f>
        <v/>
      </c>
      <c r="T1565" s="47" t="n"/>
      <c r="U1565" s="47" t="n"/>
      <c r="V1565" s="47" t="n"/>
      <c r="W1565" s="47" t="n"/>
      <c r="X1565" s="47" t="n"/>
      <c r="Y1565" s="47" t="n"/>
      <c r="Z1565" s="47" t="n"/>
      <c r="AA1565" s="47" t="n"/>
      <c r="AB1565" s="47" t="n"/>
      <c r="AC1565" s="47" t="n"/>
      <c r="AD1565" s="47" t="n"/>
      <c r="AE1565" s="47" t="n"/>
      <c r="AF1565" s="43">
        <f>IF($B1565="","",SUM($T1565:$AE1565))</f>
        <v/>
      </c>
      <c r="AG1565" s="43">
        <f>IF($B1565="","",N($M1565)-N($AF1565))</f>
        <v/>
      </c>
      <c r="AH1565" s="43">
        <f>IF($B1565="","",N($L1565)-N($AF1565))</f>
        <v/>
      </c>
      <c r="AI1565" s="149">
        <f>IF($B1565="","",IF(N($L1565)=0,"",(N($L1565)-N($AF1565))/N($L1565)))</f>
        <v/>
      </c>
    </row>
    <row r="1566">
      <c r="A1566" s="39">
        <f>IF($B1566="","",COUNTA($B$4:$B1566))</f>
        <v/>
      </c>
      <c r="B1566" s="40" t="n">
        <v>46190</v>
      </c>
      <c r="C1566" s="41" t="n">
        <v>3299</v>
      </c>
      <c r="D1566" s="41" t="inlineStr">
        <is>
          <t xml:space="preserve">محمد انور </t>
        </is>
      </c>
      <c r="E1566" s="41" t="inlineStr">
        <is>
          <t>1*40</t>
        </is>
      </c>
      <c r="F1566" s="41" t="inlineStr">
        <is>
          <t xml:space="preserve">اكما </t>
        </is>
      </c>
      <c r="G1566" s="41" t="inlineStr">
        <is>
          <t>بنى سويف</t>
        </is>
      </c>
      <c r="H1566" s="41" t="inlineStr">
        <is>
          <t>022204/6</t>
        </is>
      </c>
      <c r="I1566" s="41" t="inlineStr">
        <is>
          <t>س ق ب 5641</t>
        </is>
      </c>
      <c r="J1566" s="41" t="inlineStr">
        <is>
          <t xml:space="preserve">انور ابراهيم </t>
        </is>
      </c>
      <c r="K1566" s="41" t="inlineStr">
        <is>
          <t xml:space="preserve">انور </t>
        </is>
      </c>
      <c r="L1566" s="42" t="n">
        <v>19000</v>
      </c>
      <c r="M1566" s="42" t="n">
        <v>10100</v>
      </c>
      <c r="N1566" s="42" t="n"/>
      <c r="O1566" s="42" t="n">
        <v>200</v>
      </c>
      <c r="P1566" s="42" t="n"/>
      <c r="Q1566" s="42" t="n">
        <v>8700</v>
      </c>
      <c r="R1566" s="43">
        <f>IF($B1566="","",N($S1566)-N($Q1566))</f>
        <v/>
      </c>
      <c r="S1566" s="43">
        <f>IF($B1566="","",N($L1566)+N($N1566)+N($P1566))</f>
        <v/>
      </c>
      <c r="T1566" s="42" t="n"/>
      <c r="U1566" s="42" t="n"/>
      <c r="V1566" s="42" t="n"/>
      <c r="W1566" s="42" t="n"/>
      <c r="X1566" s="42" t="n"/>
      <c r="Y1566" s="42" t="n"/>
      <c r="Z1566" s="42" t="n"/>
      <c r="AA1566" s="42" t="n"/>
      <c r="AB1566" s="42" t="n"/>
      <c r="AC1566" s="42" t="n"/>
      <c r="AD1566" s="42" t="n"/>
      <c r="AE1566" s="42" t="n"/>
      <c r="AF1566" s="43">
        <f>IF($B1566="","",SUM($T1566:$AE1566))</f>
        <v/>
      </c>
      <c r="AG1566" s="43">
        <f>IF($B1566="","",N($M1566)-N($AF1566))</f>
        <v/>
      </c>
      <c r="AH1566" s="43">
        <f>IF($B1566="","",N($L1566)-N($AF1566))</f>
        <v/>
      </c>
      <c r="AI1566" s="149">
        <f>IF($B1566="","",IF(N($L1566)=0,"",(N($L1566)-N($AF1566))/N($L1566)))</f>
        <v/>
      </c>
    </row>
    <row r="1567">
      <c r="A1567" s="39">
        <f>IF($B1567="","",COUNTA($B$4:$B1567))</f>
        <v/>
      </c>
      <c r="B1567" s="45" t="n">
        <v>46190</v>
      </c>
      <c r="C1567" s="46" t="n">
        <v>3286</v>
      </c>
      <c r="D1567" s="46" t="inlineStr">
        <is>
          <t xml:space="preserve">البيبى </t>
        </is>
      </c>
      <c r="E1567" s="46" t="inlineStr">
        <is>
          <t>1*40</t>
        </is>
      </c>
      <c r="F1567" s="46" t="inlineStr">
        <is>
          <t xml:space="preserve">اكما </t>
        </is>
      </c>
      <c r="G1567" s="46" t="inlineStr">
        <is>
          <t>بنى سويف</t>
        </is>
      </c>
      <c r="H1567" s="46" t="inlineStr">
        <is>
          <t>551499/1</t>
        </is>
      </c>
      <c r="I1567" s="46" t="inlineStr">
        <is>
          <t>س ف ب 4187</t>
        </is>
      </c>
      <c r="J1567" s="46" t="inlineStr">
        <is>
          <t xml:space="preserve">نور محمد صالح </t>
        </is>
      </c>
      <c r="K1567" s="46" t="inlineStr">
        <is>
          <t xml:space="preserve">حمو البيبى </t>
        </is>
      </c>
      <c r="L1567" s="47" t="n">
        <v>19000</v>
      </c>
      <c r="M1567" s="47" t="n">
        <v>10100</v>
      </c>
      <c r="N1567" s="47" t="n"/>
      <c r="O1567" s="47" t="n">
        <v>200</v>
      </c>
      <c r="P1567" s="47" t="n">
        <v>3000</v>
      </c>
      <c r="Q1567" s="47" t="n">
        <v>11700</v>
      </c>
      <c r="R1567" s="43">
        <f>IF($B1567="","",N($S1567)-N($Q1567))</f>
        <v/>
      </c>
      <c r="S1567" s="43">
        <f>IF($B1567="","",N($L1567)+N($N1567)+N($P1567))</f>
        <v/>
      </c>
      <c r="T1567" s="47" t="n"/>
      <c r="U1567" s="47" t="n"/>
      <c r="V1567" s="47" t="n"/>
      <c r="W1567" s="47" t="n"/>
      <c r="X1567" s="47" t="n"/>
      <c r="Y1567" s="47" t="n"/>
      <c r="Z1567" s="47" t="n"/>
      <c r="AA1567" s="47" t="n"/>
      <c r="AB1567" s="47" t="n"/>
      <c r="AC1567" s="47" t="n"/>
      <c r="AD1567" s="47" t="n"/>
      <c r="AE1567" s="47" t="n"/>
      <c r="AF1567" s="43">
        <f>IF($B1567="","",SUM($T1567:$AE1567))</f>
        <v/>
      </c>
      <c r="AG1567" s="43">
        <f>IF($B1567="","",N($M1567)-N($AF1567))</f>
        <v/>
      </c>
      <c r="AH1567" s="43">
        <f>IF($B1567="","",N($L1567)-N($AF1567))</f>
        <v/>
      </c>
      <c r="AI1567" s="149">
        <f>IF($B1567="","",IF(N($L1567)=0,"",(N($L1567)-N($AF1567))/N($L1567)))</f>
        <v/>
      </c>
    </row>
    <row r="1568">
      <c r="A1568" s="39">
        <f>IF($B1568="","",COUNTA($B$4:$B1568))</f>
        <v/>
      </c>
      <c r="B1568" s="40" t="n">
        <v>46190</v>
      </c>
      <c r="C1568" s="41" t="n">
        <v>3287</v>
      </c>
      <c r="D1568" s="41" t="inlineStr">
        <is>
          <t xml:space="preserve">البيبى </t>
        </is>
      </c>
      <c r="E1568" s="41" t="inlineStr">
        <is>
          <t>1*40</t>
        </is>
      </c>
      <c r="F1568" s="41" t="inlineStr">
        <is>
          <t xml:space="preserve">اكما </t>
        </is>
      </c>
      <c r="G1568" s="41" t="inlineStr">
        <is>
          <t>بنى سويف</t>
        </is>
      </c>
      <c r="H1568" s="41" t="inlineStr">
        <is>
          <t>003004/7</t>
        </is>
      </c>
      <c r="I1568" s="41" t="inlineStr">
        <is>
          <t>س ع ه 3237</t>
        </is>
      </c>
      <c r="J1568" s="41" t="inlineStr">
        <is>
          <t xml:space="preserve">محمد صالح </t>
        </is>
      </c>
      <c r="K1568" s="41" t="inlineStr">
        <is>
          <t xml:space="preserve">حمو البيبى </t>
        </is>
      </c>
      <c r="L1568" s="42" t="n">
        <v>19000</v>
      </c>
      <c r="M1568" s="42" t="n">
        <v>10100</v>
      </c>
      <c r="N1568" s="42" t="n"/>
      <c r="O1568" s="42" t="n">
        <v>200</v>
      </c>
      <c r="P1568" s="42" t="n">
        <v>3000</v>
      </c>
      <c r="Q1568" s="42" t="n">
        <v>11700</v>
      </c>
      <c r="R1568" s="43">
        <f>IF($B1568="","",N($S1568)-N($Q1568))</f>
        <v/>
      </c>
      <c r="S1568" s="43">
        <f>IF($B1568="","",N($L1568)+N($N1568)+N($P1568))</f>
        <v/>
      </c>
      <c r="T1568" s="42" t="n"/>
      <c r="U1568" s="42" t="n"/>
      <c r="V1568" s="42" t="n"/>
      <c r="W1568" s="42" t="n"/>
      <c r="X1568" s="42" t="n"/>
      <c r="Y1568" s="42" t="n"/>
      <c r="Z1568" s="42" t="n"/>
      <c r="AA1568" s="42" t="n"/>
      <c r="AB1568" s="42" t="n"/>
      <c r="AC1568" s="42" t="n"/>
      <c r="AD1568" s="42" t="n"/>
      <c r="AE1568" s="42" t="n"/>
      <c r="AF1568" s="43">
        <f>IF($B1568="","",SUM($T1568:$AE1568))</f>
        <v/>
      </c>
      <c r="AG1568" s="43">
        <f>IF($B1568="","",N($M1568)-N($AF1568))</f>
        <v/>
      </c>
      <c r="AH1568" s="43">
        <f>IF($B1568="","",N($L1568)-N($AF1568))</f>
        <v/>
      </c>
      <c r="AI1568" s="149">
        <f>IF($B1568="","",IF(N($L1568)=0,"",(N($L1568)-N($AF1568))/N($L1568)))</f>
        <v/>
      </c>
    </row>
    <row r="1569">
      <c r="A1569" s="39">
        <f>IF($B1569="","",COUNTA($B$4:$B1569))</f>
        <v/>
      </c>
      <c r="B1569" s="45" t="n">
        <v>46190</v>
      </c>
      <c r="C1569" s="46" t="n">
        <v>3288</v>
      </c>
      <c r="D1569" s="46" t="inlineStr">
        <is>
          <t xml:space="preserve">رمضان محمدين </t>
        </is>
      </c>
      <c r="E1569" s="46" t="inlineStr">
        <is>
          <t>1*40</t>
        </is>
      </c>
      <c r="F1569" s="46" t="inlineStr">
        <is>
          <t xml:space="preserve">اكما </t>
        </is>
      </c>
      <c r="G1569" s="46" t="inlineStr">
        <is>
          <t>بنى سويف</t>
        </is>
      </c>
      <c r="H1569" s="46" t="inlineStr">
        <is>
          <t>549473/0</t>
        </is>
      </c>
      <c r="I1569" s="46" t="inlineStr">
        <is>
          <t>س ج ل 9162</t>
        </is>
      </c>
      <c r="J1569" s="46" t="inlineStr">
        <is>
          <t xml:space="preserve">محمد احمد </t>
        </is>
      </c>
      <c r="K1569" s="46" t="inlineStr">
        <is>
          <t xml:space="preserve">رمضان </t>
        </is>
      </c>
      <c r="L1569" s="47" t="n">
        <v>19000</v>
      </c>
      <c r="M1569" s="47" t="n">
        <v>10100</v>
      </c>
      <c r="N1569" s="47" t="n"/>
      <c r="O1569" s="47" t="n">
        <v>200</v>
      </c>
      <c r="P1569" s="47" t="n">
        <v>1000</v>
      </c>
      <c r="Q1569" s="47" t="n">
        <v>9700</v>
      </c>
      <c r="R1569" s="43">
        <f>IF($B1569="","",N($S1569)-N($Q1569))</f>
        <v/>
      </c>
      <c r="S1569" s="43">
        <f>IF($B1569="","",N($L1569)+N($N1569)+N($P1569))</f>
        <v/>
      </c>
      <c r="T1569" s="47" t="n"/>
      <c r="U1569" s="47" t="n"/>
      <c r="V1569" s="47" t="n"/>
      <c r="W1569" s="47" t="n"/>
      <c r="X1569" s="47" t="n"/>
      <c r="Y1569" s="47" t="n"/>
      <c r="Z1569" s="47" t="n"/>
      <c r="AA1569" s="47" t="n"/>
      <c r="AB1569" s="47" t="n"/>
      <c r="AC1569" s="47" t="n"/>
      <c r="AD1569" s="47" t="n"/>
      <c r="AE1569" s="47" t="n"/>
      <c r="AF1569" s="43">
        <f>IF($B1569="","",SUM($T1569:$AE1569))</f>
        <v/>
      </c>
      <c r="AG1569" s="43">
        <f>IF($B1569="","",N($M1569)-N($AF1569))</f>
        <v/>
      </c>
      <c r="AH1569" s="43">
        <f>IF($B1569="","",N($L1569)-N($AF1569))</f>
        <v/>
      </c>
      <c r="AI1569" s="149">
        <f>IF($B1569="","",IF(N($L1569)=0,"",(N($L1569)-N($AF1569))/N($L1569)))</f>
        <v/>
      </c>
    </row>
    <row r="1570">
      <c r="A1570" s="39">
        <f>IF($B1570="","",COUNTA($B$4:$B1570))</f>
        <v/>
      </c>
      <c r="B1570" s="40" t="n">
        <v>46190</v>
      </c>
      <c r="C1570" s="41" t="n">
        <v>3290</v>
      </c>
      <c r="D1570" s="41" t="inlineStr">
        <is>
          <t xml:space="preserve">حماد </t>
        </is>
      </c>
      <c r="E1570" s="41" t="inlineStr">
        <is>
          <t>1*40</t>
        </is>
      </c>
      <c r="F1570" s="41" t="inlineStr">
        <is>
          <t xml:space="preserve">اكما </t>
        </is>
      </c>
      <c r="G1570" s="41" t="inlineStr">
        <is>
          <t>بنى سويف</t>
        </is>
      </c>
      <c r="H1570" s="41" t="inlineStr">
        <is>
          <t>005839/0</t>
        </is>
      </c>
      <c r="I1570" s="41" t="inlineStr">
        <is>
          <t>س ع م 2454</t>
        </is>
      </c>
      <c r="J1570" s="41" t="inlineStr">
        <is>
          <t xml:space="preserve">عطية كامل </t>
        </is>
      </c>
      <c r="K1570" s="41" t="inlineStr">
        <is>
          <t xml:space="preserve">عبدة كامل </t>
        </is>
      </c>
      <c r="L1570" s="42" t="n">
        <v>19000</v>
      </c>
      <c r="M1570" s="42" t="n">
        <v>10100</v>
      </c>
      <c r="N1570" s="42" t="n"/>
      <c r="O1570" s="42" t="n">
        <v>200</v>
      </c>
      <c r="P1570" s="42" t="n"/>
      <c r="Q1570" s="42" t="n"/>
      <c r="R1570" s="43">
        <f>IF($B1570="","",N($S1570)-N($Q1570))</f>
        <v/>
      </c>
      <c r="S1570" s="43">
        <f>IF($B1570="","",N($L1570)+N($N1570)+N($P1570))</f>
        <v/>
      </c>
      <c r="T1570" s="42" t="n"/>
      <c r="U1570" s="42" t="n"/>
      <c r="V1570" s="42" t="n"/>
      <c r="W1570" s="42" t="n"/>
      <c r="X1570" s="42" t="n"/>
      <c r="Y1570" s="42" t="n"/>
      <c r="Z1570" s="42" t="n"/>
      <c r="AA1570" s="42" t="n"/>
      <c r="AB1570" s="42" t="n"/>
      <c r="AC1570" s="42" t="n"/>
      <c r="AD1570" s="42" t="n"/>
      <c r="AE1570" s="42" t="n"/>
      <c r="AF1570" s="43">
        <f>IF($B1570="","",SUM($T1570:$AE1570))</f>
        <v/>
      </c>
      <c r="AG1570" s="43">
        <f>IF($B1570="","",N($M1570)-N($AF1570))</f>
        <v/>
      </c>
      <c r="AH1570" s="43">
        <f>IF($B1570="","",N($L1570)-N($AF1570))</f>
        <v/>
      </c>
      <c r="AI1570" s="149">
        <f>IF($B1570="","",IF(N($L1570)=0,"",(N($L1570)-N($AF1570))/N($L1570)))</f>
        <v/>
      </c>
    </row>
    <row r="1571">
      <c r="A1571" s="39">
        <f>IF($B1571="","",COUNTA($B$4:$B1571))</f>
        <v/>
      </c>
      <c r="B1571" s="45" t="n">
        <v>46190</v>
      </c>
      <c r="C1571" s="46" t="n">
        <v>3292</v>
      </c>
      <c r="D1571" s="46" t="inlineStr">
        <is>
          <t xml:space="preserve">حماد </t>
        </is>
      </c>
      <c r="E1571" s="46" t="inlineStr">
        <is>
          <t>1*40</t>
        </is>
      </c>
      <c r="F1571" s="46" t="inlineStr">
        <is>
          <t xml:space="preserve">اكما </t>
        </is>
      </c>
      <c r="G1571" s="46" t="inlineStr">
        <is>
          <t>بنى سويف</t>
        </is>
      </c>
      <c r="H1571" s="46" t="inlineStr">
        <is>
          <t>221677/0</t>
        </is>
      </c>
      <c r="I1571" s="46" t="inlineStr">
        <is>
          <t>س ع م 1575</t>
        </is>
      </c>
      <c r="J1571" s="46" t="inlineStr">
        <is>
          <t xml:space="preserve">عبدة كامل </t>
        </is>
      </c>
      <c r="K1571" s="46" t="inlineStr">
        <is>
          <t xml:space="preserve">عبدة كامل </t>
        </is>
      </c>
      <c r="L1571" s="47" t="n">
        <v>19000</v>
      </c>
      <c r="M1571" s="47" t="n">
        <v>10100</v>
      </c>
      <c r="N1571" s="47" t="n"/>
      <c r="O1571" s="47" t="n">
        <v>200</v>
      </c>
      <c r="P1571" s="47" t="n"/>
      <c r="Q1571" s="47" t="n"/>
      <c r="R1571" s="43">
        <f>IF($B1571="","",N($S1571)-N($Q1571))</f>
        <v/>
      </c>
      <c r="S1571" s="43">
        <f>IF($B1571="","",N($L1571)+N($N1571)+N($P1571))</f>
        <v/>
      </c>
      <c r="T1571" s="47" t="n"/>
      <c r="U1571" s="47" t="n"/>
      <c r="V1571" s="47" t="n"/>
      <c r="W1571" s="47" t="n"/>
      <c r="X1571" s="47" t="n"/>
      <c r="Y1571" s="47" t="n"/>
      <c r="Z1571" s="47" t="n"/>
      <c r="AA1571" s="47" t="n"/>
      <c r="AB1571" s="47" t="n"/>
      <c r="AC1571" s="47" t="n"/>
      <c r="AD1571" s="47" t="n"/>
      <c r="AE1571" s="47" t="n"/>
      <c r="AF1571" s="43">
        <f>IF($B1571="","",SUM($T1571:$AE1571))</f>
        <v/>
      </c>
      <c r="AG1571" s="43">
        <f>IF($B1571="","",N($M1571)-N($AF1571))</f>
        <v/>
      </c>
      <c r="AH1571" s="43">
        <f>IF($B1571="","",N($L1571)-N($AF1571))</f>
        <v/>
      </c>
      <c r="AI1571" s="149">
        <f>IF($B1571="","",IF(N($L1571)=0,"",(N($L1571)-N($AF1571))/N($L1571)))</f>
        <v/>
      </c>
    </row>
    <row r="1572">
      <c r="A1572" s="39">
        <f>IF($B1572="","",COUNTA($B$4:$B1572))</f>
        <v/>
      </c>
      <c r="B1572" s="40" t="n">
        <v>46190</v>
      </c>
      <c r="C1572" s="41" t="n">
        <v>3291</v>
      </c>
      <c r="D1572" s="41" t="inlineStr">
        <is>
          <t xml:space="preserve">محمد انور </t>
        </is>
      </c>
      <c r="E1572" s="41" t="inlineStr">
        <is>
          <t>1*40</t>
        </is>
      </c>
      <c r="F1572" s="41" t="inlineStr">
        <is>
          <t xml:space="preserve">اكما </t>
        </is>
      </c>
      <c r="G1572" s="41" t="inlineStr">
        <is>
          <t>بنى سويف</t>
        </is>
      </c>
      <c r="H1572" s="41" t="inlineStr">
        <is>
          <t>424419/2</t>
        </is>
      </c>
      <c r="I1572" s="41" t="inlineStr">
        <is>
          <t>س ع م 6856</t>
        </is>
      </c>
      <c r="J1572" s="41" t="inlineStr">
        <is>
          <t xml:space="preserve">احمد محود </t>
        </is>
      </c>
      <c r="K1572" s="41" t="inlineStr">
        <is>
          <t>محمد انور</t>
        </is>
      </c>
      <c r="L1572" s="42" t="n">
        <v>19000</v>
      </c>
      <c r="M1572" s="42" t="n">
        <v>10100</v>
      </c>
      <c r="N1572" s="42" t="n"/>
      <c r="O1572" s="42" t="n">
        <v>200</v>
      </c>
      <c r="P1572" s="42" t="n"/>
      <c r="Q1572" s="42" t="n">
        <v>8700</v>
      </c>
      <c r="R1572" s="43">
        <f>IF($B1572="","",N($S1572)-N($Q1572))</f>
        <v/>
      </c>
      <c r="S1572" s="43">
        <f>IF($B1572="","",N($L1572)+N($N1572)+N($P1572))</f>
        <v/>
      </c>
      <c r="T1572" s="42" t="n"/>
      <c r="U1572" s="42" t="n"/>
      <c r="V1572" s="42" t="n"/>
      <c r="W1572" s="42" t="n"/>
      <c r="X1572" s="42" t="n"/>
      <c r="Y1572" s="42" t="n"/>
      <c r="Z1572" s="42" t="n"/>
      <c r="AA1572" s="42" t="n"/>
      <c r="AB1572" s="42" t="n"/>
      <c r="AC1572" s="42" t="n"/>
      <c r="AD1572" s="42" t="n"/>
      <c r="AE1572" s="42" t="n"/>
      <c r="AF1572" s="43">
        <f>IF($B1572="","",SUM($T1572:$AE1572))</f>
        <v/>
      </c>
      <c r="AG1572" s="43">
        <f>IF($B1572="","",N($M1572)-N($AF1572))</f>
        <v/>
      </c>
      <c r="AH1572" s="43">
        <f>IF($B1572="","",N($L1572)-N($AF1572))</f>
        <v/>
      </c>
      <c r="AI1572" s="149">
        <f>IF($B1572="","",IF(N($L1572)=0,"",(N($L1572)-N($AF1572))/N($L1572)))</f>
        <v/>
      </c>
    </row>
    <row r="1573">
      <c r="A1573" s="39">
        <f>IF($B1573="","",COUNTA($B$4:$B1573))</f>
        <v/>
      </c>
      <c r="B1573" s="45" t="n">
        <v>46190</v>
      </c>
      <c r="C1573" s="46" t="n">
        <v>3293</v>
      </c>
      <c r="D1573" s="46" t="inlineStr">
        <is>
          <t xml:space="preserve">محمد انور </t>
        </is>
      </c>
      <c r="E1573" s="46" t="inlineStr">
        <is>
          <t>1*40</t>
        </is>
      </c>
      <c r="F1573" s="46" t="inlineStr">
        <is>
          <t xml:space="preserve">اكما </t>
        </is>
      </c>
      <c r="G1573" s="46" t="inlineStr">
        <is>
          <t>بنى سويف</t>
        </is>
      </c>
      <c r="H1573" s="46" t="inlineStr">
        <is>
          <t>007518/6</t>
        </is>
      </c>
      <c r="I1573" s="46" t="inlineStr">
        <is>
          <t>س ا ى 4143</t>
        </is>
      </c>
      <c r="J1573" s="46" t="inlineStr">
        <is>
          <t xml:space="preserve">مصطفى الصفتى </t>
        </is>
      </c>
      <c r="K1573" s="46" t="inlineStr">
        <is>
          <t xml:space="preserve">محمد انور </t>
        </is>
      </c>
      <c r="L1573" s="47" t="n">
        <v>19000</v>
      </c>
      <c r="M1573" s="47" t="n">
        <v>10100</v>
      </c>
      <c r="N1573" s="47" t="n"/>
      <c r="O1573" s="47" t="n">
        <v>200</v>
      </c>
      <c r="P1573" s="47" t="n"/>
      <c r="Q1573" s="47" t="n"/>
      <c r="R1573" s="43">
        <f>IF($B1573="","",N($S1573)-N($Q1573))</f>
        <v/>
      </c>
      <c r="S1573" s="43">
        <f>IF($B1573="","",N($L1573)+N($N1573)+N($P1573))</f>
        <v/>
      </c>
      <c r="T1573" s="47" t="n"/>
      <c r="U1573" s="47" t="n"/>
      <c r="V1573" s="47" t="n"/>
      <c r="W1573" s="47" t="n"/>
      <c r="X1573" s="47" t="n"/>
      <c r="Y1573" s="47" t="n"/>
      <c r="Z1573" s="47" t="n"/>
      <c r="AA1573" s="47" t="n"/>
      <c r="AB1573" s="47" t="n"/>
      <c r="AC1573" s="47" t="n"/>
      <c r="AD1573" s="47" t="n"/>
      <c r="AE1573" s="47" t="n"/>
      <c r="AF1573" s="43">
        <f>IF($B1573="","",SUM($T1573:$AE1573))</f>
        <v/>
      </c>
      <c r="AG1573" s="43">
        <f>IF($B1573="","",N($M1573)-N($AF1573))</f>
        <v/>
      </c>
      <c r="AH1573" s="43">
        <f>IF($B1573="","",N($L1573)-N($AF1573))</f>
        <v/>
      </c>
      <c r="AI1573" s="149">
        <f>IF($B1573="","",IF(N($L1573)=0,"",(N($L1573)-N($AF1573))/N($L1573)))</f>
        <v/>
      </c>
    </row>
    <row r="1574">
      <c r="A1574" s="39">
        <f>IF($B1574="","",COUNTA($B$4:$B1574))</f>
        <v/>
      </c>
      <c r="B1574" s="40" t="n">
        <v>46190</v>
      </c>
      <c r="C1574" s="41" t="n">
        <v>3294</v>
      </c>
      <c r="D1574" s="41" t="inlineStr">
        <is>
          <t xml:space="preserve">محمد انور </t>
        </is>
      </c>
      <c r="E1574" s="41" t="inlineStr">
        <is>
          <t>1*40</t>
        </is>
      </c>
      <c r="F1574" s="41" t="inlineStr">
        <is>
          <t xml:space="preserve">اكما </t>
        </is>
      </c>
      <c r="G1574" s="41" t="inlineStr">
        <is>
          <t>بنى سويف</t>
        </is>
      </c>
      <c r="H1574" s="41" t="inlineStr">
        <is>
          <t>549666/6</t>
        </is>
      </c>
      <c r="I1574" s="41" t="inlineStr">
        <is>
          <t>س ف ا 4635</t>
        </is>
      </c>
      <c r="J1574" s="41" t="inlineStr">
        <is>
          <t xml:space="preserve">احمد مطاوع </t>
        </is>
      </c>
      <c r="K1574" s="41" t="inlineStr">
        <is>
          <t xml:space="preserve">مصطفى الصفتى </t>
        </is>
      </c>
      <c r="L1574" s="42" t="n">
        <v>19000</v>
      </c>
      <c r="M1574" s="42" t="n">
        <v>10100</v>
      </c>
      <c r="N1574" s="42" t="n"/>
      <c r="O1574" s="42" t="n">
        <v>200</v>
      </c>
      <c r="P1574" s="42" t="n"/>
      <c r="Q1574" s="42" t="n"/>
      <c r="R1574" s="43">
        <f>IF($B1574="","",N($S1574)-N($Q1574))</f>
        <v/>
      </c>
      <c r="S1574" s="43">
        <f>IF($B1574="","",N($L1574)+N($N1574)+N($P1574))</f>
        <v/>
      </c>
      <c r="T1574" s="42" t="n"/>
      <c r="U1574" s="42" t="n"/>
      <c r="V1574" s="42" t="n"/>
      <c r="W1574" s="42" t="n"/>
      <c r="X1574" s="42" t="n"/>
      <c r="Y1574" s="42" t="n"/>
      <c r="Z1574" s="42" t="n"/>
      <c r="AA1574" s="42" t="n"/>
      <c r="AB1574" s="42" t="n"/>
      <c r="AC1574" s="42" t="n"/>
      <c r="AD1574" s="42" t="n"/>
      <c r="AE1574" s="42" t="n"/>
      <c r="AF1574" s="43">
        <f>IF($B1574="","",SUM($T1574:$AE1574))</f>
        <v/>
      </c>
      <c r="AG1574" s="43">
        <f>IF($B1574="","",N($M1574)-N($AF1574))</f>
        <v/>
      </c>
      <c r="AH1574" s="43">
        <f>IF($B1574="","",N($L1574)-N($AF1574))</f>
        <v/>
      </c>
      <c r="AI1574" s="149">
        <f>IF($B1574="","",IF(N($L1574)=0,"",(N($L1574)-N($AF1574))/N($L1574)))</f>
        <v/>
      </c>
    </row>
    <row r="1575">
      <c r="A1575" s="39">
        <f>IF($B1575="","",COUNTA($B$4:$B1575))</f>
        <v/>
      </c>
      <c r="B1575" s="45" t="n">
        <v>46190</v>
      </c>
      <c r="C1575" s="46" t="n">
        <v>3295</v>
      </c>
      <c r="D1575" s="46" t="n"/>
      <c r="E1575" s="46" t="inlineStr">
        <is>
          <t>1*40</t>
        </is>
      </c>
      <c r="F1575" s="46" t="inlineStr">
        <is>
          <t xml:space="preserve">اكما </t>
        </is>
      </c>
      <c r="G1575" s="46" t="inlineStr">
        <is>
          <t>بنى سويف</t>
        </is>
      </c>
      <c r="H1575" s="46" t="inlineStr">
        <is>
          <t>551544/7</t>
        </is>
      </c>
      <c r="I1575" s="46" t="inlineStr">
        <is>
          <t>س د ص 9498</t>
        </is>
      </c>
      <c r="J1575" s="46" t="inlineStr">
        <is>
          <t xml:space="preserve">علاء الشامخ </t>
        </is>
      </c>
      <c r="K1575" s="46" t="inlineStr">
        <is>
          <t xml:space="preserve">خالد غيث </t>
        </is>
      </c>
      <c r="L1575" s="47" t="n">
        <v>19000</v>
      </c>
      <c r="M1575" s="47" t="n">
        <v>10100</v>
      </c>
      <c r="N1575" s="47" t="n"/>
      <c r="O1575" s="47" t="n">
        <v>200</v>
      </c>
      <c r="P1575" s="47" t="n"/>
      <c r="Q1575" s="47" t="n"/>
      <c r="R1575" s="43">
        <f>IF($B1575="","",N($S1575)-N($Q1575))</f>
        <v/>
      </c>
      <c r="S1575" s="43">
        <f>IF($B1575="","",N($L1575)+N($N1575)+N($P1575))</f>
        <v/>
      </c>
      <c r="T1575" s="47" t="n"/>
      <c r="U1575" s="47" t="n"/>
      <c r="V1575" s="47" t="n"/>
      <c r="W1575" s="47" t="n"/>
      <c r="X1575" s="47" t="n"/>
      <c r="Y1575" s="47" t="n"/>
      <c r="Z1575" s="47" t="n"/>
      <c r="AA1575" s="47" t="n"/>
      <c r="AB1575" s="47" t="n"/>
      <c r="AC1575" s="47" t="n"/>
      <c r="AD1575" s="47" t="n"/>
      <c r="AE1575" s="47" t="n"/>
      <c r="AF1575" s="43">
        <f>IF($B1575="","",SUM($T1575:$AE1575))</f>
        <v/>
      </c>
      <c r="AG1575" s="43">
        <f>IF($B1575="","",N($M1575)-N($AF1575))</f>
        <v/>
      </c>
      <c r="AH1575" s="43">
        <f>IF($B1575="","",N($L1575)-N($AF1575))</f>
        <v/>
      </c>
      <c r="AI1575" s="149">
        <f>IF($B1575="","",IF(N($L1575)=0,"",(N($L1575)-N($AF1575))/N($L1575)))</f>
        <v/>
      </c>
    </row>
    <row r="1576">
      <c r="A1576" s="39">
        <f>IF($B1576="","",COUNTA($B$4:$B1576))</f>
        <v/>
      </c>
      <c r="B1576" s="40" t="n">
        <v>46190</v>
      </c>
      <c r="C1576" s="41" t="n">
        <v>3296</v>
      </c>
      <c r="D1576" s="41" t="n"/>
      <c r="E1576" s="41" t="inlineStr">
        <is>
          <t>1*40</t>
        </is>
      </c>
      <c r="F1576" s="41" t="inlineStr">
        <is>
          <t xml:space="preserve">اكما </t>
        </is>
      </c>
      <c r="G1576" s="41" t="inlineStr">
        <is>
          <t>بنى سويف</t>
        </is>
      </c>
      <c r="H1576" s="41" t="inlineStr">
        <is>
          <t>549758/0</t>
        </is>
      </c>
      <c r="I1576" s="41" t="inlineStr">
        <is>
          <t>س ع م 6313</t>
        </is>
      </c>
      <c r="J1576" s="41" t="inlineStr">
        <is>
          <t xml:space="preserve">خميس على </t>
        </is>
      </c>
      <c r="K1576" s="41" t="inlineStr">
        <is>
          <t xml:space="preserve">ابراهيم يونس </t>
        </is>
      </c>
      <c r="L1576" s="42" t="n">
        <v>19000</v>
      </c>
      <c r="M1576" s="42" t="n">
        <v>10100</v>
      </c>
      <c r="N1576" s="42" t="n"/>
      <c r="O1576" s="42" t="n">
        <v>200</v>
      </c>
      <c r="P1576" s="42" t="n"/>
      <c r="Q1576" s="42" t="n"/>
      <c r="R1576" s="43">
        <f>IF($B1576="","",N($S1576)-N($Q1576))</f>
        <v/>
      </c>
      <c r="S1576" s="43">
        <f>IF($B1576="","",N($L1576)+N($N1576)+N($P1576))</f>
        <v/>
      </c>
      <c r="T1576" s="42" t="n"/>
      <c r="U1576" s="42" t="n"/>
      <c r="V1576" s="42" t="n"/>
      <c r="W1576" s="42" t="n"/>
      <c r="X1576" s="42" t="n"/>
      <c r="Y1576" s="42" t="n"/>
      <c r="Z1576" s="42" t="n"/>
      <c r="AA1576" s="42" t="n"/>
      <c r="AB1576" s="42" t="n"/>
      <c r="AC1576" s="42" t="n"/>
      <c r="AD1576" s="42" t="n"/>
      <c r="AE1576" s="42" t="n"/>
      <c r="AF1576" s="43">
        <f>IF($B1576="","",SUM($T1576:$AE1576))</f>
        <v/>
      </c>
      <c r="AG1576" s="43">
        <f>IF($B1576="","",N($M1576)-N($AF1576))</f>
        <v/>
      </c>
      <c r="AH1576" s="43">
        <f>IF($B1576="","",N($L1576)-N($AF1576))</f>
        <v/>
      </c>
      <c r="AI1576" s="149">
        <f>IF($B1576="","",IF(N($L1576)=0,"",(N($L1576)-N($AF1576))/N($L1576)))</f>
        <v/>
      </c>
    </row>
    <row r="1577">
      <c r="A1577" s="39">
        <f>IF($B1577="","",COUNTA($B$4:$B1577))</f>
        <v/>
      </c>
      <c r="B1577" s="45" t="n">
        <v>46190</v>
      </c>
      <c r="C1577" s="46" t="n">
        <v>3297</v>
      </c>
      <c r="D1577" s="46" t="n"/>
      <c r="E1577" s="46" t="inlineStr">
        <is>
          <t>1*40</t>
        </is>
      </c>
      <c r="F1577" s="46" t="inlineStr">
        <is>
          <t xml:space="preserve">اكما </t>
        </is>
      </c>
      <c r="G1577" s="46" t="inlineStr">
        <is>
          <t>بنى سويف</t>
        </is>
      </c>
      <c r="H1577" s="46" t="inlineStr">
        <is>
          <t>025372/5</t>
        </is>
      </c>
      <c r="I1577" s="46" t="inlineStr">
        <is>
          <t>س ع م 1318</t>
        </is>
      </c>
      <c r="J1577" s="46" t="inlineStr">
        <is>
          <t xml:space="preserve">محمد رمضان </t>
        </is>
      </c>
      <c r="K1577" s="46" t="inlineStr">
        <is>
          <t xml:space="preserve">محمد اللبانى </t>
        </is>
      </c>
      <c r="L1577" s="47" t="n">
        <v>19000</v>
      </c>
      <c r="M1577" s="47" t="n">
        <v>10100</v>
      </c>
      <c r="N1577" s="47" t="n"/>
      <c r="O1577" s="47" t="n">
        <v>200</v>
      </c>
      <c r="P1577" s="47" t="n"/>
      <c r="Q1577" s="47" t="n"/>
      <c r="R1577" s="43">
        <f>IF($B1577="","",N($S1577)-N($Q1577))</f>
        <v/>
      </c>
      <c r="S1577" s="43">
        <f>IF($B1577="","",N($L1577)+N($N1577)+N($P1577))</f>
        <v/>
      </c>
      <c r="T1577" s="47" t="n"/>
      <c r="U1577" s="47" t="n"/>
      <c r="V1577" s="47" t="n"/>
      <c r="W1577" s="47" t="n"/>
      <c r="X1577" s="47" t="n"/>
      <c r="Y1577" s="47" t="n"/>
      <c r="Z1577" s="47" t="n"/>
      <c r="AA1577" s="47" t="n"/>
      <c r="AB1577" s="47" t="n"/>
      <c r="AC1577" s="47" t="n"/>
      <c r="AD1577" s="47" t="n"/>
      <c r="AE1577" s="47" t="n"/>
      <c r="AF1577" s="43">
        <f>IF($B1577="","",SUM($T1577:$AE1577))</f>
        <v/>
      </c>
      <c r="AG1577" s="43">
        <f>IF($B1577="","",N($M1577)-N($AF1577))</f>
        <v/>
      </c>
      <c r="AH1577" s="43">
        <f>IF($B1577="","",N($L1577)-N($AF1577))</f>
        <v/>
      </c>
      <c r="AI1577" s="149">
        <f>IF($B1577="","",IF(N($L1577)=0,"",(N($L1577)-N($AF1577))/N($L1577)))</f>
        <v/>
      </c>
    </row>
    <row r="1578">
      <c r="A1578" s="39">
        <f>IF($B1578="","",COUNTA($B$4:$B1578))</f>
        <v/>
      </c>
      <c r="B1578" s="40" t="n">
        <v>46191</v>
      </c>
      <c r="C1578" s="41" t="n">
        <v>3354</v>
      </c>
      <c r="D1578" s="41" t="inlineStr">
        <is>
          <t xml:space="preserve">حماد </t>
        </is>
      </c>
      <c r="E1578" s="41" t="inlineStr">
        <is>
          <t>1*40</t>
        </is>
      </c>
      <c r="F1578" s="41" t="inlineStr">
        <is>
          <t xml:space="preserve">اكما </t>
        </is>
      </c>
      <c r="G1578" s="41" t="inlineStr">
        <is>
          <t>بنى سويف</t>
        </is>
      </c>
      <c r="H1578" s="41" t="inlineStr">
        <is>
          <t>030474/0</t>
        </is>
      </c>
      <c r="I1578" s="41" t="inlineStr">
        <is>
          <t>س د و 8687</t>
        </is>
      </c>
      <c r="J1578" s="41" t="inlineStr">
        <is>
          <t xml:space="preserve">حسين همام </t>
        </is>
      </c>
      <c r="K1578" s="41" t="inlineStr">
        <is>
          <t xml:space="preserve">عبدة كامل </t>
        </is>
      </c>
      <c r="L1578" s="42" t="n">
        <v>19000</v>
      </c>
      <c r="M1578" s="42" t="n">
        <v>10100</v>
      </c>
      <c r="N1578" s="42" t="n"/>
      <c r="O1578" s="42" t="n">
        <v>200</v>
      </c>
      <c r="P1578" s="42" t="n"/>
      <c r="Q1578" s="42" t="n"/>
      <c r="R1578" s="43">
        <f>IF($B1578="","",N($S1578)-N($Q1578))</f>
        <v/>
      </c>
      <c r="S1578" s="43">
        <f>IF($B1578="","",N($L1578)+N($N1578)+N($P1578))</f>
        <v/>
      </c>
      <c r="T1578" s="42" t="n"/>
      <c r="U1578" s="42" t="n"/>
      <c r="V1578" s="42" t="n"/>
      <c r="W1578" s="42" t="n"/>
      <c r="X1578" s="42" t="n"/>
      <c r="Y1578" s="42" t="n"/>
      <c r="Z1578" s="42" t="n"/>
      <c r="AA1578" s="42" t="n"/>
      <c r="AB1578" s="42" t="n"/>
      <c r="AC1578" s="42" t="n"/>
      <c r="AD1578" s="42" t="n"/>
      <c r="AE1578" s="42" t="n"/>
      <c r="AF1578" s="43">
        <f>IF($B1578="","",SUM($T1578:$AE1578))</f>
        <v/>
      </c>
      <c r="AG1578" s="43">
        <f>IF($B1578="","",N($M1578)-N($AF1578))</f>
        <v/>
      </c>
      <c r="AH1578" s="43">
        <f>IF($B1578="","",N($L1578)-N($AF1578))</f>
        <v/>
      </c>
      <c r="AI1578" s="149">
        <f>IF($B1578="","",IF(N($L1578)=0,"",(N($L1578)-N($AF1578))/N($L1578)))</f>
        <v/>
      </c>
    </row>
    <row r="1579">
      <c r="A1579" s="39">
        <f>IF($B1579="","",COUNTA($B$4:$B1579))</f>
        <v/>
      </c>
      <c r="B1579" s="45" t="n">
        <v>46191</v>
      </c>
      <c r="C1579" s="46" t="n">
        <v>3353</v>
      </c>
      <c r="D1579" s="46" t="inlineStr">
        <is>
          <t>صعيدى 6</t>
        </is>
      </c>
      <c r="E1579" s="46" t="inlineStr">
        <is>
          <t>1*40</t>
        </is>
      </c>
      <c r="F1579" s="46" t="inlineStr">
        <is>
          <t xml:space="preserve">اكما </t>
        </is>
      </c>
      <c r="G1579" s="46" t="inlineStr">
        <is>
          <t>بنى سويف</t>
        </is>
      </c>
      <c r="H1579" s="46" t="inlineStr">
        <is>
          <t>030083/2</t>
        </is>
      </c>
      <c r="I1579" s="46" t="inlineStr">
        <is>
          <t>س و ب 2689</t>
        </is>
      </c>
      <c r="J1579" s="46" t="inlineStr">
        <is>
          <t xml:space="preserve">محمد السيد </t>
        </is>
      </c>
      <c r="K1579" s="46" t="inlineStr">
        <is>
          <t xml:space="preserve">محمد الصعيدى </t>
        </is>
      </c>
      <c r="L1579" s="47" t="n">
        <v>19000</v>
      </c>
      <c r="M1579" s="47" t="n">
        <v>10100</v>
      </c>
      <c r="N1579" s="47" t="n"/>
      <c r="O1579" s="47" t="n">
        <v>200</v>
      </c>
      <c r="P1579" s="47" t="n"/>
      <c r="Q1579" s="47" t="n"/>
      <c r="R1579" s="43">
        <f>IF($B1579="","",N($S1579)-N($Q1579))</f>
        <v/>
      </c>
      <c r="S1579" s="43">
        <f>IF($B1579="","",N($L1579)+N($N1579)+N($P1579))</f>
        <v/>
      </c>
      <c r="T1579" s="47" t="n"/>
      <c r="U1579" s="47" t="n"/>
      <c r="V1579" s="47" t="n"/>
      <c r="W1579" s="47" t="n"/>
      <c r="X1579" s="47" t="n"/>
      <c r="Y1579" s="47" t="n"/>
      <c r="Z1579" s="47" t="n"/>
      <c r="AA1579" s="47" t="n"/>
      <c r="AB1579" s="47" t="n"/>
      <c r="AC1579" s="47" t="n"/>
      <c r="AD1579" s="47" t="n"/>
      <c r="AE1579" s="47" t="n"/>
      <c r="AF1579" s="43">
        <f>IF($B1579="","",SUM($T1579:$AE1579))</f>
        <v/>
      </c>
      <c r="AG1579" s="43">
        <f>IF($B1579="","",N($M1579)-N($AF1579))</f>
        <v/>
      </c>
      <c r="AH1579" s="43">
        <f>IF($B1579="","",N($L1579)-N($AF1579))</f>
        <v/>
      </c>
      <c r="AI1579" s="149">
        <f>IF($B1579="","",IF(N($L1579)=0,"",(N($L1579)-N($AF1579))/N($L1579)))</f>
        <v/>
      </c>
    </row>
    <row r="1580">
      <c r="A1580" s="39">
        <f>IF($B1580="","",COUNTA($B$4:$B1580))</f>
        <v/>
      </c>
      <c r="B1580" s="40" t="n">
        <v>46191</v>
      </c>
      <c r="C1580" s="41" t="n">
        <v>3357</v>
      </c>
      <c r="D1580" s="41" t="n"/>
      <c r="E1580" s="41" t="inlineStr">
        <is>
          <t>1*40</t>
        </is>
      </c>
      <c r="F1580" s="41" t="inlineStr">
        <is>
          <t xml:space="preserve">اكما </t>
        </is>
      </c>
      <c r="G1580" s="41" t="inlineStr">
        <is>
          <t>بنى سويف</t>
        </is>
      </c>
      <c r="H1580" s="41" t="inlineStr">
        <is>
          <t>008661/6</t>
        </is>
      </c>
      <c r="I1580" s="41" t="inlineStr">
        <is>
          <t>س ن ر 5658</t>
        </is>
      </c>
      <c r="J1580" s="41" t="inlineStr">
        <is>
          <t xml:space="preserve">جبريل محمد </t>
        </is>
      </c>
      <c r="K1580" s="41" t="inlineStr">
        <is>
          <t xml:space="preserve">خطاب </t>
        </is>
      </c>
      <c r="L1580" s="42" t="n">
        <v>19000</v>
      </c>
      <c r="M1580" s="42" t="n">
        <v>10100</v>
      </c>
      <c r="N1580" s="42" t="n"/>
      <c r="O1580" s="42" t="n">
        <v>200</v>
      </c>
      <c r="P1580" s="42" t="n"/>
      <c r="Q1580" s="42" t="n"/>
      <c r="R1580" s="43">
        <f>IF($B1580="","",N($S1580)-N($Q1580))</f>
        <v/>
      </c>
      <c r="S1580" s="43">
        <f>IF($B1580="","",N($L1580)+N($N1580)+N($P1580))</f>
        <v/>
      </c>
      <c r="T1580" s="42" t="n"/>
      <c r="U1580" s="42" t="n"/>
      <c r="V1580" s="42" t="n"/>
      <c r="W1580" s="42" t="n"/>
      <c r="X1580" s="42" t="n"/>
      <c r="Y1580" s="42" t="n"/>
      <c r="Z1580" s="42" t="n"/>
      <c r="AA1580" s="42" t="n"/>
      <c r="AB1580" s="42" t="n"/>
      <c r="AC1580" s="42" t="n"/>
      <c r="AD1580" s="42" t="n"/>
      <c r="AE1580" s="42" t="n"/>
      <c r="AF1580" s="43">
        <f>IF($B1580="","",SUM($T1580:$AE1580))</f>
        <v/>
      </c>
      <c r="AG1580" s="43">
        <f>IF($B1580="","",N($M1580)-N($AF1580))</f>
        <v/>
      </c>
      <c r="AH1580" s="43">
        <f>IF($B1580="","",N($L1580)-N($AF1580))</f>
        <v/>
      </c>
      <c r="AI1580" s="149">
        <f>IF($B1580="","",IF(N($L1580)=0,"",(N($L1580)-N($AF1580))/N($L1580)))</f>
        <v/>
      </c>
    </row>
    <row r="1581">
      <c r="A1581" s="39">
        <f>IF($B1581="","",COUNTA($B$4:$B1581))</f>
        <v/>
      </c>
      <c r="B1581" s="45" t="n">
        <v>46191</v>
      </c>
      <c r="C1581" s="46" t="n">
        <v>3356</v>
      </c>
      <c r="D1581" s="46" t="n"/>
      <c r="E1581" s="46" t="inlineStr">
        <is>
          <t>1*40</t>
        </is>
      </c>
      <c r="F1581" s="46" t="inlineStr">
        <is>
          <t xml:space="preserve">اكما </t>
        </is>
      </c>
      <c r="G1581" s="46" t="inlineStr">
        <is>
          <t>بنى سويف</t>
        </is>
      </c>
      <c r="H1581" s="46" t="inlineStr">
        <is>
          <t>549546/4</t>
        </is>
      </c>
      <c r="I1581" s="46" t="inlineStr">
        <is>
          <t>س د ى 6468</t>
        </is>
      </c>
      <c r="J1581" s="46" t="inlineStr">
        <is>
          <t xml:space="preserve">محمد جابر </t>
        </is>
      </c>
      <c r="K1581" s="46" t="inlineStr">
        <is>
          <t xml:space="preserve">عوكل </t>
        </is>
      </c>
      <c r="L1581" s="47" t="n">
        <v>19000</v>
      </c>
      <c r="M1581" s="47" t="n">
        <v>10100</v>
      </c>
      <c r="N1581" s="47" t="n"/>
      <c r="O1581" s="47" t="n">
        <v>200</v>
      </c>
      <c r="P1581" s="47" t="n"/>
      <c r="Q1581" s="47" t="n"/>
      <c r="R1581" s="43">
        <f>IF($B1581="","",N($S1581)-N($Q1581))</f>
        <v/>
      </c>
      <c r="S1581" s="43">
        <f>IF($B1581="","",N($L1581)+N($N1581)+N($P1581))</f>
        <v/>
      </c>
      <c r="T1581" s="47" t="n"/>
      <c r="U1581" s="47" t="n"/>
      <c r="V1581" s="47" t="n"/>
      <c r="W1581" s="47" t="n"/>
      <c r="X1581" s="47" t="n"/>
      <c r="Y1581" s="47" t="n"/>
      <c r="Z1581" s="47" t="n"/>
      <c r="AA1581" s="47" t="n"/>
      <c r="AB1581" s="47" t="n"/>
      <c r="AC1581" s="47" t="n"/>
      <c r="AD1581" s="47" t="n"/>
      <c r="AE1581" s="47" t="n"/>
      <c r="AF1581" s="43">
        <f>IF($B1581="","",SUM($T1581:$AE1581))</f>
        <v/>
      </c>
      <c r="AG1581" s="43">
        <f>IF($B1581="","",N($M1581)-N($AF1581))</f>
        <v/>
      </c>
      <c r="AH1581" s="43">
        <f>IF($B1581="","",N($L1581)-N($AF1581))</f>
        <v/>
      </c>
      <c r="AI1581" s="149">
        <f>IF($B1581="","",IF(N($L1581)=0,"",(N($L1581)-N($AF1581))/N($L1581)))</f>
        <v/>
      </c>
    </row>
    <row r="1582">
      <c r="A1582" s="39">
        <f>IF($B1582="","",COUNTA($B$4:$B1582))</f>
        <v/>
      </c>
      <c r="B1582" s="40" t="n">
        <v>46191</v>
      </c>
      <c r="C1582" s="41" t="n">
        <v>3355</v>
      </c>
      <c r="D1582" s="41" t="inlineStr">
        <is>
          <t xml:space="preserve">حماد </t>
        </is>
      </c>
      <c r="E1582" s="41" t="inlineStr">
        <is>
          <t>1*40</t>
        </is>
      </c>
      <c r="F1582" s="41" t="inlineStr">
        <is>
          <t xml:space="preserve">اكما </t>
        </is>
      </c>
      <c r="G1582" s="41" t="inlineStr">
        <is>
          <t>بنى سويف</t>
        </is>
      </c>
      <c r="H1582" s="41" t="inlineStr">
        <is>
          <t>550349/3</t>
        </is>
      </c>
      <c r="I1582" s="41" t="inlineStr">
        <is>
          <t>س ع م 1571</t>
        </is>
      </c>
      <c r="J1582" s="41" t="inlineStr">
        <is>
          <t xml:space="preserve">حسن محمد </t>
        </is>
      </c>
      <c r="K1582" s="41" t="inlineStr">
        <is>
          <t xml:space="preserve">عبدة كامل </t>
        </is>
      </c>
      <c r="L1582" s="42" t="n">
        <v>19000</v>
      </c>
      <c r="M1582" s="42" t="n">
        <v>10100</v>
      </c>
      <c r="N1582" s="42" t="n"/>
      <c r="O1582" s="42" t="n">
        <v>200</v>
      </c>
      <c r="P1582" s="42" t="n"/>
      <c r="Q1582" s="42" t="n"/>
      <c r="R1582" s="43">
        <f>IF($B1582="","",N($S1582)-N($Q1582))</f>
        <v/>
      </c>
      <c r="S1582" s="43">
        <f>IF($B1582="","",N($L1582)+N($N1582)+N($P1582))</f>
        <v/>
      </c>
      <c r="T1582" s="42" t="n"/>
      <c r="U1582" s="42" t="n"/>
      <c r="V1582" s="42" t="n"/>
      <c r="W1582" s="42" t="n"/>
      <c r="X1582" s="42" t="n"/>
      <c r="Y1582" s="42" t="n"/>
      <c r="Z1582" s="42" t="n"/>
      <c r="AA1582" s="42" t="n"/>
      <c r="AB1582" s="42" t="n"/>
      <c r="AC1582" s="42" t="n"/>
      <c r="AD1582" s="42" t="n"/>
      <c r="AE1582" s="42" t="n"/>
      <c r="AF1582" s="43">
        <f>IF($B1582="","",SUM($T1582:$AE1582))</f>
        <v/>
      </c>
      <c r="AG1582" s="43">
        <f>IF($B1582="","",N($M1582)-N($AF1582))</f>
        <v/>
      </c>
      <c r="AH1582" s="43">
        <f>IF($B1582="","",N($L1582)-N($AF1582))</f>
        <v/>
      </c>
      <c r="AI1582" s="149">
        <f>IF($B1582="","",IF(N($L1582)=0,"",(N($L1582)-N($AF1582))/N($L1582)))</f>
        <v/>
      </c>
    </row>
    <row r="1583">
      <c r="A1583" s="39">
        <f>IF($B1583="","",COUNTA($B$4:$B1583))</f>
        <v/>
      </c>
      <c r="B1583" s="45" t="n">
        <v>46192</v>
      </c>
      <c r="C1583" s="46" t="n">
        <v>3366</v>
      </c>
      <c r="D1583" s="46" t="inlineStr">
        <is>
          <t xml:space="preserve">كمال رزق </t>
        </is>
      </c>
      <c r="E1583" s="46" t="inlineStr">
        <is>
          <t>1*40</t>
        </is>
      </c>
      <c r="F1583" s="46" t="inlineStr">
        <is>
          <t xml:space="preserve">دلتا فلكس </t>
        </is>
      </c>
      <c r="G1583" s="46" t="inlineStr">
        <is>
          <t xml:space="preserve">المحلة </t>
        </is>
      </c>
      <c r="H1583" s="46" t="inlineStr">
        <is>
          <t>953290/0</t>
        </is>
      </c>
      <c r="I1583" s="46" t="inlineStr">
        <is>
          <t>س ن ر 8979</t>
        </is>
      </c>
      <c r="J1583" s="46" t="inlineStr">
        <is>
          <t xml:space="preserve">عماد سعيد </t>
        </is>
      </c>
      <c r="K1583" s="46" t="inlineStr">
        <is>
          <t xml:space="preserve">عماد سعيد </t>
        </is>
      </c>
      <c r="L1583" s="47" t="n">
        <v>13800</v>
      </c>
      <c r="M1583" s="47" t="n">
        <v>9100</v>
      </c>
      <c r="N1583" s="47" t="n"/>
      <c r="O1583" s="47" t="n">
        <v>200</v>
      </c>
      <c r="P1583" s="47" t="n"/>
      <c r="Q1583" s="47" t="n"/>
      <c r="R1583" s="43">
        <f>IF($B1583="","",N($S1583)-N($Q1583))</f>
        <v/>
      </c>
      <c r="S1583" s="43">
        <f>IF($B1583="","",N($L1583)+N($N1583)+N($P1583))</f>
        <v/>
      </c>
      <c r="T1583" s="47" t="n"/>
      <c r="U1583" s="47" t="n"/>
      <c r="V1583" s="47" t="n"/>
      <c r="W1583" s="47" t="n"/>
      <c r="X1583" s="47" t="n"/>
      <c r="Y1583" s="47" t="n"/>
      <c r="Z1583" s="47" t="n"/>
      <c r="AA1583" s="47" t="n"/>
      <c r="AB1583" s="47" t="n"/>
      <c r="AC1583" s="47" t="n"/>
      <c r="AD1583" s="47" t="n"/>
      <c r="AE1583" s="47" t="n"/>
      <c r="AF1583" s="43">
        <f>IF($B1583="","",SUM($T1583:$AE1583))</f>
        <v/>
      </c>
      <c r="AG1583" s="43">
        <f>IF($B1583="","",N($M1583)-N($AF1583))</f>
        <v/>
      </c>
      <c r="AH1583" s="43">
        <f>IF($B1583="","",N($L1583)-N($AF1583))</f>
        <v/>
      </c>
      <c r="AI1583" s="149">
        <f>IF($B1583="","",IF(N($L1583)=0,"",(N($L1583)-N($AF1583))/N($L1583)))</f>
        <v/>
      </c>
    </row>
    <row r="1584">
      <c r="A1584" s="39">
        <f>IF($B1584="","",COUNTA($B$4:$B1584))</f>
        <v/>
      </c>
      <c r="B1584" s="40" t="n">
        <v>46192</v>
      </c>
      <c r="C1584" s="41" t="n">
        <v>3364</v>
      </c>
      <c r="D1584" s="41" t="inlineStr">
        <is>
          <t>صعيدى 6</t>
        </is>
      </c>
      <c r="E1584" s="41" t="inlineStr">
        <is>
          <t>1*40</t>
        </is>
      </c>
      <c r="F1584" s="41" t="inlineStr">
        <is>
          <t xml:space="preserve">دلتا فلكس </t>
        </is>
      </c>
      <c r="G1584" s="41" t="inlineStr">
        <is>
          <t xml:space="preserve">المحلة </t>
        </is>
      </c>
      <c r="H1584" s="41" t="inlineStr">
        <is>
          <t>696664/5</t>
        </is>
      </c>
      <c r="I1584" s="41" t="inlineStr">
        <is>
          <t>س و ب 2689</t>
        </is>
      </c>
      <c r="J1584" s="41" t="inlineStr">
        <is>
          <t xml:space="preserve">محمد السيد </t>
        </is>
      </c>
      <c r="K1584" s="41" t="inlineStr">
        <is>
          <t xml:space="preserve">محمد الصعيدى </t>
        </is>
      </c>
      <c r="L1584" s="42" t="n">
        <v>13800</v>
      </c>
      <c r="M1584" s="42" t="n">
        <v>8100</v>
      </c>
      <c r="N1584" s="42" t="n"/>
      <c r="O1584" s="42" t="n">
        <v>200</v>
      </c>
      <c r="P1584" s="42" t="n"/>
      <c r="Q1584" s="42" t="n"/>
      <c r="R1584" s="43">
        <f>IF($B1584="","",N($S1584)-N($Q1584))</f>
        <v/>
      </c>
      <c r="S1584" s="43">
        <f>IF($B1584="","",N($L1584)+N($N1584)+N($P1584))</f>
        <v/>
      </c>
      <c r="T1584" s="42" t="n"/>
      <c r="U1584" s="42" t="n"/>
      <c r="V1584" s="42" t="n"/>
      <c r="W1584" s="42" t="n"/>
      <c r="X1584" s="42" t="n"/>
      <c r="Y1584" s="42" t="n"/>
      <c r="Z1584" s="42" t="n"/>
      <c r="AA1584" s="42" t="n"/>
      <c r="AB1584" s="42" t="n"/>
      <c r="AC1584" s="42" t="n"/>
      <c r="AD1584" s="42" t="n"/>
      <c r="AE1584" s="42" t="n"/>
      <c r="AF1584" s="43">
        <f>IF($B1584="","",SUM($T1584:$AE1584))</f>
        <v/>
      </c>
      <c r="AG1584" s="43">
        <f>IF($B1584="","",N($M1584)-N($AF1584))</f>
        <v/>
      </c>
      <c r="AH1584" s="43">
        <f>IF($B1584="","",N($L1584)-N($AF1584))</f>
        <v/>
      </c>
      <c r="AI1584" s="149">
        <f>IF($B1584="","",IF(N($L1584)=0,"",(N($L1584)-N($AF1584))/N($L1584)))</f>
        <v/>
      </c>
    </row>
    <row r="1585">
      <c r="A1585" s="39">
        <f>IF($B1585="","",COUNTA($B$4:$B1585))</f>
        <v/>
      </c>
      <c r="B1585" s="45" t="n">
        <v>46192</v>
      </c>
      <c r="C1585" s="46" t="n">
        <v>3365</v>
      </c>
      <c r="D1585" s="46" t="inlineStr">
        <is>
          <t xml:space="preserve">عتريس مخيمر </t>
        </is>
      </c>
      <c r="E1585" s="46" t="inlineStr">
        <is>
          <t>1*40</t>
        </is>
      </c>
      <c r="F1585" s="46" t="inlineStr">
        <is>
          <t xml:space="preserve">دلتا فلكس </t>
        </is>
      </c>
      <c r="G1585" s="46" t="inlineStr">
        <is>
          <t xml:space="preserve">المحلة </t>
        </is>
      </c>
      <c r="H1585" s="46" t="inlineStr">
        <is>
          <t>660425/0</t>
        </is>
      </c>
      <c r="I1585" s="46" t="inlineStr">
        <is>
          <t>ب ص ا 2574</t>
        </is>
      </c>
      <c r="J1585" s="46" t="inlineStr">
        <is>
          <t xml:space="preserve">احمد عادل </t>
        </is>
      </c>
      <c r="K1585" s="46" t="inlineStr">
        <is>
          <t xml:space="preserve">احمد خليف </t>
        </is>
      </c>
      <c r="L1585" s="47" t="n">
        <v>13800</v>
      </c>
      <c r="M1585" s="47" t="n">
        <v>8100</v>
      </c>
      <c r="N1585" s="47" t="n"/>
      <c r="O1585" s="47" t="n">
        <v>200</v>
      </c>
      <c r="P1585" s="47" t="n"/>
      <c r="Q1585" s="47" t="n"/>
      <c r="R1585" s="43">
        <f>IF($B1585="","",N($S1585)-N($Q1585))</f>
        <v/>
      </c>
      <c r="S1585" s="43">
        <f>IF($B1585="","",N($L1585)+N($N1585)+N($P1585))</f>
        <v/>
      </c>
      <c r="T1585" s="47" t="n"/>
      <c r="U1585" s="47" t="n"/>
      <c r="V1585" s="47" t="n"/>
      <c r="W1585" s="47" t="n"/>
      <c r="X1585" s="47" t="n"/>
      <c r="Y1585" s="47" t="n"/>
      <c r="Z1585" s="47" t="n"/>
      <c r="AA1585" s="47" t="n"/>
      <c r="AB1585" s="47" t="n"/>
      <c r="AC1585" s="47" t="n"/>
      <c r="AD1585" s="47" t="n"/>
      <c r="AE1585" s="47" t="n"/>
      <c r="AF1585" s="43">
        <f>IF($B1585="","",SUM($T1585:$AE1585))</f>
        <v/>
      </c>
      <c r="AG1585" s="43">
        <f>IF($B1585="","",N($M1585)-N($AF1585))</f>
        <v/>
      </c>
      <c r="AH1585" s="43">
        <f>IF($B1585="","",N($L1585)-N($AF1585))</f>
        <v/>
      </c>
      <c r="AI1585" s="149">
        <f>IF($B1585="","",IF(N($L1585)=0,"",(N($L1585)-N($AF1585))/N($L1585)))</f>
        <v/>
      </c>
    </row>
    <row r="1586">
      <c r="A1586" s="39">
        <f>IF($B1586="","",COUNTA($B$4:$B1586))</f>
        <v/>
      </c>
      <c r="B1586" s="40" t="n">
        <v>46190</v>
      </c>
      <c r="C1586" s="41" t="n">
        <v>3352</v>
      </c>
      <c r="D1586" s="41" t="inlineStr">
        <is>
          <t xml:space="preserve">الانصارى </t>
        </is>
      </c>
      <c r="E1586" s="41" t="inlineStr">
        <is>
          <t>1*40</t>
        </is>
      </c>
      <c r="F1586" s="41" t="inlineStr">
        <is>
          <t xml:space="preserve">اتش ام ام </t>
        </is>
      </c>
      <c r="G1586" s="41" t="inlineStr">
        <is>
          <t xml:space="preserve">المحلة </t>
        </is>
      </c>
      <c r="H1586" s="41" t="inlineStr">
        <is>
          <t>942305/1</t>
        </is>
      </c>
      <c r="I1586" s="41" t="inlineStr">
        <is>
          <t>ط ف ر 1474</t>
        </is>
      </c>
      <c r="J1586" s="41" t="inlineStr">
        <is>
          <t xml:space="preserve">جمال على </t>
        </is>
      </c>
      <c r="K1586" s="41" t="inlineStr">
        <is>
          <t xml:space="preserve">كريم خليف </t>
        </is>
      </c>
      <c r="L1586" s="42" t="n">
        <v>13800</v>
      </c>
      <c r="M1586" s="42" t="n">
        <v>8100</v>
      </c>
      <c r="N1586" s="42" t="n"/>
      <c r="O1586" s="42" t="n">
        <v>200</v>
      </c>
      <c r="P1586" s="42" t="n"/>
      <c r="Q1586" s="42" t="n"/>
      <c r="R1586" s="43">
        <f>IF($B1586="","",N($S1586)-N($Q1586))</f>
        <v/>
      </c>
      <c r="S1586" s="43">
        <f>IF($B1586="","",N($L1586)+N($N1586)+N($P1586))</f>
        <v/>
      </c>
      <c r="T1586" s="42" t="n"/>
      <c r="U1586" s="42" t="n"/>
      <c r="V1586" s="42" t="n"/>
      <c r="W1586" s="42" t="n"/>
      <c r="X1586" s="42" t="n"/>
      <c r="Y1586" s="42" t="n"/>
      <c r="Z1586" s="42" t="n"/>
      <c r="AA1586" s="42" t="n"/>
      <c r="AB1586" s="42" t="n"/>
      <c r="AC1586" s="42" t="n"/>
      <c r="AD1586" s="42" t="n"/>
      <c r="AE1586" s="42" t="n"/>
      <c r="AF1586" s="43">
        <f>IF($B1586="","",SUM($T1586:$AE1586))</f>
        <v/>
      </c>
      <c r="AG1586" s="43">
        <f>IF($B1586="","",N($M1586)-N($AF1586))</f>
        <v/>
      </c>
      <c r="AH1586" s="43">
        <f>IF($B1586="","",N($L1586)-N($AF1586))</f>
        <v/>
      </c>
      <c r="AI1586" s="149">
        <f>IF($B1586="","",IF(N($L1586)=0,"",(N($L1586)-N($AF1586))/N($L1586)))</f>
        <v/>
      </c>
    </row>
    <row r="1587">
      <c r="A1587" s="39">
        <f>IF($B1587="","",COUNTA($B$4:$B1587))</f>
        <v/>
      </c>
      <c r="B1587" s="45" t="n">
        <v>46192</v>
      </c>
      <c r="C1587" s="46" t="n">
        <v>3369</v>
      </c>
      <c r="D1587" s="46" t="inlineStr">
        <is>
          <t xml:space="preserve">محمد يحى </t>
        </is>
      </c>
      <c r="E1587" s="46" t="inlineStr">
        <is>
          <t>1*40</t>
        </is>
      </c>
      <c r="F1587" s="46" t="inlineStr">
        <is>
          <t xml:space="preserve">بريلى </t>
        </is>
      </c>
      <c r="G1587" s="46" t="inlineStr">
        <is>
          <t xml:space="preserve">اكتوبر </t>
        </is>
      </c>
      <c r="H1587" s="46" t="inlineStr">
        <is>
          <t>594692/0</t>
        </is>
      </c>
      <c r="I1587" s="46" t="inlineStr">
        <is>
          <t>ع ر ب 1573</t>
        </is>
      </c>
      <c r="J1587" s="46" t="inlineStr">
        <is>
          <t xml:space="preserve">محمد السيد </t>
        </is>
      </c>
      <c r="K1587" s="46" t="inlineStr">
        <is>
          <t xml:space="preserve">حمو مرزوق </t>
        </is>
      </c>
      <c r="L1587" s="47" t="n">
        <v>13800</v>
      </c>
      <c r="M1587" s="47" t="n">
        <v>8100</v>
      </c>
      <c r="N1587" s="47" t="n"/>
      <c r="O1587" s="47" t="n">
        <v>200</v>
      </c>
      <c r="P1587" s="47" t="n"/>
      <c r="Q1587" s="47" t="n"/>
      <c r="R1587" s="43">
        <f>IF($B1587="","",N($S1587)-N($Q1587))</f>
        <v/>
      </c>
      <c r="S1587" s="43">
        <f>IF($B1587="","",N($L1587)+N($N1587)+N($P1587))</f>
        <v/>
      </c>
      <c r="T1587" s="47" t="n"/>
      <c r="U1587" s="47" t="n"/>
      <c r="V1587" s="47" t="n"/>
      <c r="W1587" s="47" t="n"/>
      <c r="X1587" s="47" t="n"/>
      <c r="Y1587" s="47" t="n"/>
      <c r="Z1587" s="47" t="n"/>
      <c r="AA1587" s="47" t="n"/>
      <c r="AB1587" s="47" t="n"/>
      <c r="AC1587" s="47" t="n"/>
      <c r="AD1587" s="47" t="n"/>
      <c r="AE1587" s="47" t="n"/>
      <c r="AF1587" s="43">
        <f>IF($B1587="","",SUM($T1587:$AE1587))</f>
        <v/>
      </c>
      <c r="AG1587" s="43">
        <f>IF($B1587="","",N($M1587)-N($AF1587))</f>
        <v/>
      </c>
      <c r="AH1587" s="43">
        <f>IF($B1587="","",N($L1587)-N($AF1587))</f>
        <v/>
      </c>
      <c r="AI1587" s="149">
        <f>IF($B1587="","",IF(N($L1587)=0,"",(N($L1587)-N($AF1587))/N($L1587)))</f>
        <v/>
      </c>
    </row>
    <row r="1588">
      <c r="A1588" s="39">
        <f>IF($B1588="","",COUNTA($B$4:$B1588))</f>
        <v/>
      </c>
      <c r="B1588" s="40" t="n">
        <v>46192</v>
      </c>
      <c r="C1588" s="41" t="n">
        <v>3368</v>
      </c>
      <c r="D1588" s="41" t="inlineStr">
        <is>
          <t xml:space="preserve">حماد </t>
        </is>
      </c>
      <c r="E1588" s="41" t="inlineStr">
        <is>
          <t>1*40</t>
        </is>
      </c>
      <c r="F1588" s="41" t="inlineStr">
        <is>
          <t xml:space="preserve">بريلى </t>
        </is>
      </c>
      <c r="G1588" s="41" t="inlineStr">
        <is>
          <t xml:space="preserve">اكتوبر </t>
        </is>
      </c>
      <c r="H1588" s="41" t="inlineStr">
        <is>
          <t>450657/6</t>
        </is>
      </c>
      <c r="I1588" s="41" t="inlineStr">
        <is>
          <t>س ا ه 8198</t>
        </is>
      </c>
      <c r="J1588" s="41" t="inlineStr">
        <is>
          <t xml:space="preserve">ايمن عبدة </t>
        </is>
      </c>
      <c r="K1588" s="41" t="inlineStr">
        <is>
          <t xml:space="preserve">علاء علام </t>
        </is>
      </c>
      <c r="L1588" s="42" t="n">
        <v>13800</v>
      </c>
      <c r="M1588" s="42" t="n">
        <v>8100</v>
      </c>
      <c r="N1588" s="42" t="n"/>
      <c r="O1588" s="42" t="n">
        <v>200</v>
      </c>
      <c r="P1588" s="42" t="n"/>
      <c r="Q1588" s="42" t="n"/>
      <c r="R1588" s="43">
        <f>IF($B1588="","",N($S1588)-N($Q1588))</f>
        <v/>
      </c>
      <c r="S1588" s="43">
        <f>IF($B1588="","",N($L1588)+N($N1588)+N($P1588))</f>
        <v/>
      </c>
      <c r="T1588" s="42" t="n"/>
      <c r="U1588" s="42" t="n"/>
      <c r="V1588" s="42" t="n"/>
      <c r="W1588" s="42" t="n"/>
      <c r="X1588" s="42" t="n"/>
      <c r="Y1588" s="42" t="n"/>
      <c r="Z1588" s="42" t="n"/>
      <c r="AA1588" s="42" t="n"/>
      <c r="AB1588" s="42" t="n"/>
      <c r="AC1588" s="42" t="n"/>
      <c r="AD1588" s="42" t="n"/>
      <c r="AE1588" s="42" t="n"/>
      <c r="AF1588" s="43">
        <f>IF($B1588="","",SUM($T1588:$AE1588))</f>
        <v/>
      </c>
      <c r="AG1588" s="43">
        <f>IF($B1588="","",N($M1588)-N($AF1588))</f>
        <v/>
      </c>
      <c r="AH1588" s="43">
        <f>IF($B1588="","",N($L1588)-N($AF1588))</f>
        <v/>
      </c>
      <c r="AI1588" s="149">
        <f>IF($B1588="","",IF(N($L1588)=0,"",(N($L1588)-N($AF1588))/N($L1588)))</f>
        <v/>
      </c>
    </row>
    <row r="1589">
      <c r="A1589" s="39">
        <f>IF($B1589="","",COUNTA($B$4:$B1589))</f>
        <v/>
      </c>
      <c r="B1589" s="45" t="n">
        <v>46192</v>
      </c>
      <c r="C1589" s="46" t="n">
        <v>3370</v>
      </c>
      <c r="D1589" s="46" t="inlineStr">
        <is>
          <t xml:space="preserve">حماد </t>
        </is>
      </c>
      <c r="E1589" s="46" t="inlineStr">
        <is>
          <t>1*40</t>
        </is>
      </c>
      <c r="F1589" s="46" t="inlineStr">
        <is>
          <t xml:space="preserve">بريلى </t>
        </is>
      </c>
      <c r="G1589" s="46" t="inlineStr">
        <is>
          <t xml:space="preserve">اكتوبر </t>
        </is>
      </c>
      <c r="H1589" s="46" t="inlineStr">
        <is>
          <t>681922/8</t>
        </is>
      </c>
      <c r="I1589" s="46" t="inlineStr">
        <is>
          <t>س ل ب 5917</t>
        </is>
      </c>
      <c r="J1589" s="46" t="inlineStr">
        <is>
          <t xml:space="preserve">هشام محمد </t>
        </is>
      </c>
      <c r="K1589" s="46" t="inlineStr">
        <is>
          <t xml:space="preserve">علاء علام </t>
        </is>
      </c>
      <c r="L1589" s="47" t="n">
        <v>13800</v>
      </c>
      <c r="M1589" s="47" t="n">
        <v>8100</v>
      </c>
      <c r="N1589" s="47" t="n"/>
      <c r="O1589" s="47" t="n">
        <v>200</v>
      </c>
      <c r="P1589" s="47" t="n"/>
      <c r="Q1589" s="47" t="n"/>
      <c r="R1589" s="43">
        <f>IF($B1589="","",N($S1589)-N($Q1589))</f>
        <v/>
      </c>
      <c r="S1589" s="43">
        <f>IF($B1589="","",N($L1589)+N($N1589)+N($P1589))</f>
        <v/>
      </c>
      <c r="T1589" s="47" t="n"/>
      <c r="U1589" s="47" t="n"/>
      <c r="V1589" s="47" t="n"/>
      <c r="W1589" s="47" t="n"/>
      <c r="X1589" s="47" t="n"/>
      <c r="Y1589" s="47" t="n"/>
      <c r="Z1589" s="47" t="n"/>
      <c r="AA1589" s="47" t="n"/>
      <c r="AB1589" s="47" t="n"/>
      <c r="AC1589" s="47" t="n"/>
      <c r="AD1589" s="47" t="n"/>
      <c r="AE1589" s="47" t="n"/>
      <c r="AF1589" s="43">
        <f>IF($B1589="","",SUM($T1589:$AE1589))</f>
        <v/>
      </c>
      <c r="AG1589" s="43">
        <f>IF($B1589="","",N($M1589)-N($AF1589))</f>
        <v/>
      </c>
      <c r="AH1589" s="43">
        <f>IF($B1589="","",N($L1589)-N($AF1589))</f>
        <v/>
      </c>
      <c r="AI1589" s="149">
        <f>IF($B1589="","",IF(N($L1589)=0,"",(N($L1589)-N($AF1589))/N($L1589)))</f>
        <v/>
      </c>
    </row>
    <row r="1590">
      <c r="A1590" s="39">
        <f>IF($B1590="","",COUNTA($B$4:$B1590))</f>
        <v/>
      </c>
      <c r="B1590" s="40" t="n">
        <v>46191</v>
      </c>
      <c r="C1590" s="41" t="n">
        <v>3362</v>
      </c>
      <c r="D1590" s="41" t="n"/>
      <c r="E1590" s="41" t="inlineStr">
        <is>
          <t>1*20</t>
        </is>
      </c>
      <c r="F1590" s="41" t="inlineStr">
        <is>
          <t xml:space="preserve">اركانا </t>
        </is>
      </c>
      <c r="G1590" s="41" t="inlineStr">
        <is>
          <t xml:space="preserve">اكتوبر </t>
        </is>
      </c>
      <c r="H1590" s="41" t="inlineStr">
        <is>
          <t>225602/7</t>
        </is>
      </c>
      <c r="I1590" s="41" t="inlineStr">
        <is>
          <t>ب د ن 2193</t>
        </is>
      </c>
      <c r="J1590" s="41" t="inlineStr">
        <is>
          <t xml:space="preserve">احمد رزق </t>
        </is>
      </c>
      <c r="K1590" s="41" t="inlineStr">
        <is>
          <t xml:space="preserve">رومانى </t>
        </is>
      </c>
      <c r="L1590" s="42" t="n"/>
      <c r="M1590" s="42" t="n">
        <v>8100</v>
      </c>
      <c r="N1590" s="42" t="n"/>
      <c r="O1590" s="42" t="n">
        <v>200</v>
      </c>
      <c r="P1590" s="42" t="n"/>
      <c r="Q1590" s="42" t="n"/>
      <c r="R1590" s="43">
        <f>IF($B1590="","",N($S1590)-N($Q1590))</f>
        <v/>
      </c>
      <c r="S1590" s="43">
        <f>IF($B1590="","",N($L1590)+N($N1590)+N($P1590))</f>
        <v/>
      </c>
      <c r="T1590" s="42" t="n"/>
      <c r="U1590" s="42" t="n"/>
      <c r="V1590" s="42" t="n"/>
      <c r="W1590" s="42" t="n"/>
      <c r="X1590" s="42" t="n"/>
      <c r="Y1590" s="42" t="n"/>
      <c r="Z1590" s="42" t="n"/>
      <c r="AA1590" s="42" t="n"/>
      <c r="AB1590" s="42" t="n"/>
      <c r="AC1590" s="42" t="n"/>
      <c r="AD1590" s="42" t="n"/>
      <c r="AE1590" s="42" t="n"/>
      <c r="AF1590" s="43">
        <f>IF($B1590="","",SUM($T1590:$AE1590))</f>
        <v/>
      </c>
      <c r="AG1590" s="43">
        <f>IF($B1590="","",N($M1590)-N($AF1590))</f>
        <v/>
      </c>
      <c r="AH1590" s="43">
        <f>IF($B1590="","",N($L1590)-N($AF1590))</f>
        <v/>
      </c>
      <c r="AI1590" s="149">
        <f>IF($B1590="","",IF(N($L1590)=0,"",(N($L1590)-N($AF1590))/N($L1590)))</f>
        <v/>
      </c>
    </row>
    <row r="1591">
      <c r="A1591" s="39">
        <f>IF($B1591="","",COUNTA($B$4:$B1591))</f>
        <v/>
      </c>
      <c r="B1591" s="45" t="n">
        <v>46190</v>
      </c>
      <c r="C1591" s="46" t="n">
        <v>3194</v>
      </c>
      <c r="D1591" s="46" t="inlineStr">
        <is>
          <t>وليد الجهينى</t>
        </is>
      </c>
      <c r="E1591" s="46" t="inlineStr">
        <is>
          <t>1*40</t>
        </is>
      </c>
      <c r="F1591" s="46" t="inlineStr">
        <is>
          <t xml:space="preserve">عبد الرحمن </t>
        </is>
      </c>
      <c r="G1591" s="46" t="inlineStr">
        <is>
          <t xml:space="preserve">التجمع </t>
        </is>
      </c>
      <c r="H1591" s="46" t="inlineStr">
        <is>
          <t>478564/3</t>
        </is>
      </c>
      <c r="I1591" s="46" t="inlineStr">
        <is>
          <t>س ن ر 3739</t>
        </is>
      </c>
      <c r="J1591" s="46" t="inlineStr">
        <is>
          <t xml:space="preserve">همام عشرى </t>
        </is>
      </c>
      <c r="K1591" s="46" t="inlineStr">
        <is>
          <t xml:space="preserve">همام </t>
        </is>
      </c>
      <c r="L1591" s="47" t="n">
        <v>15500</v>
      </c>
      <c r="M1591" s="47" t="n">
        <v>9100</v>
      </c>
      <c r="N1591" s="47" t="n"/>
      <c r="O1591" s="47" t="n">
        <v>200</v>
      </c>
      <c r="P1591" s="47" t="n"/>
      <c r="Q1591" s="47" t="n"/>
      <c r="R1591" s="43">
        <f>IF($B1591="","",N($S1591)-N($Q1591))</f>
        <v/>
      </c>
      <c r="S1591" s="43">
        <f>IF($B1591="","",N($L1591)+N($N1591)+N($P1591))</f>
        <v/>
      </c>
      <c r="T1591" s="47" t="n"/>
      <c r="U1591" s="47" t="n"/>
      <c r="V1591" s="47" t="n"/>
      <c r="W1591" s="47" t="n"/>
      <c r="X1591" s="47" t="n"/>
      <c r="Y1591" s="47" t="n"/>
      <c r="Z1591" s="47" t="n"/>
      <c r="AA1591" s="47" t="n"/>
      <c r="AB1591" s="47" t="n"/>
      <c r="AC1591" s="47" t="n"/>
      <c r="AD1591" s="47" t="n"/>
      <c r="AE1591" s="47" t="n"/>
      <c r="AF1591" s="43">
        <f>IF($B1591="","",SUM($T1591:$AE1591))</f>
        <v/>
      </c>
      <c r="AG1591" s="43">
        <f>IF($B1591="","",N($M1591)-N($AF1591))</f>
        <v/>
      </c>
      <c r="AH1591" s="43">
        <f>IF($B1591="","",N($L1591)-N($AF1591))</f>
        <v/>
      </c>
      <c r="AI1591" s="149">
        <f>IF($B1591="","",IF(N($L1591)=0,"",(N($L1591)-N($AF1591))/N($L1591)))</f>
        <v/>
      </c>
    </row>
    <row r="1592">
      <c r="A1592" s="39">
        <f>IF($B1592="","",COUNTA($B$4:$B1592))</f>
        <v/>
      </c>
      <c r="B1592" s="40" t="n">
        <v>46190</v>
      </c>
      <c r="C1592" s="41" t="n">
        <v>3195</v>
      </c>
      <c r="D1592" s="41" t="inlineStr">
        <is>
          <t xml:space="preserve">كمال رزق </t>
        </is>
      </c>
      <c r="E1592" s="41" t="inlineStr">
        <is>
          <t>1*40</t>
        </is>
      </c>
      <c r="F1592" s="41" t="inlineStr">
        <is>
          <t xml:space="preserve">عبد الرحمن </t>
        </is>
      </c>
      <c r="G1592" s="41" t="inlineStr">
        <is>
          <t xml:space="preserve">التجمع </t>
        </is>
      </c>
      <c r="H1592" s="41" t="inlineStr">
        <is>
          <t>832628/5</t>
        </is>
      </c>
      <c r="I1592" s="41" t="inlineStr">
        <is>
          <t>س ن ر 8979</t>
        </is>
      </c>
      <c r="J1592" s="41" t="inlineStr">
        <is>
          <t xml:space="preserve">عماد سعيد </t>
        </is>
      </c>
      <c r="K1592" s="41" t="inlineStr">
        <is>
          <t xml:space="preserve">عماد سعيد </t>
        </is>
      </c>
      <c r="L1592" s="42" t="n">
        <v>15500</v>
      </c>
      <c r="M1592" s="42" t="n">
        <v>9100</v>
      </c>
      <c r="N1592" s="42" t="n"/>
      <c r="O1592" s="42" t="n">
        <v>200</v>
      </c>
      <c r="P1592" s="42" t="n"/>
      <c r="Q1592" s="42" t="n"/>
      <c r="R1592" s="43">
        <f>IF($B1592="","",N($S1592)-N($Q1592))</f>
        <v/>
      </c>
      <c r="S1592" s="43">
        <f>IF($B1592="","",N($L1592)+N($N1592)+N($P1592))</f>
        <v/>
      </c>
      <c r="T1592" s="42" t="n"/>
      <c r="U1592" s="42" t="n"/>
      <c r="V1592" s="42" t="n"/>
      <c r="W1592" s="42" t="n"/>
      <c r="X1592" s="42" t="n"/>
      <c r="Y1592" s="42" t="n"/>
      <c r="Z1592" s="42" t="n"/>
      <c r="AA1592" s="42" t="n"/>
      <c r="AB1592" s="42" t="n"/>
      <c r="AC1592" s="42" t="n"/>
      <c r="AD1592" s="42" t="n"/>
      <c r="AE1592" s="42" t="n"/>
      <c r="AF1592" s="43">
        <f>IF($B1592="","",SUM($T1592:$AE1592))</f>
        <v/>
      </c>
      <c r="AG1592" s="43">
        <f>IF($B1592="","",N($M1592)-N($AF1592))</f>
        <v/>
      </c>
      <c r="AH1592" s="43">
        <f>IF($B1592="","",N($L1592)-N($AF1592))</f>
        <v/>
      </c>
      <c r="AI1592" s="149">
        <f>IF($B1592="","",IF(N($L1592)=0,"",(N($L1592)-N($AF1592))/N($L1592)))</f>
        <v/>
      </c>
    </row>
    <row r="1593">
      <c r="A1593" s="39">
        <f>IF($B1593="","",COUNTA($B$4:$B1593))</f>
        <v/>
      </c>
      <c r="B1593" s="45" t="n">
        <v>46190</v>
      </c>
      <c r="C1593" s="46" t="n">
        <v>3196</v>
      </c>
      <c r="D1593" s="46" t="n"/>
      <c r="E1593" s="46" t="inlineStr">
        <is>
          <t>1*40</t>
        </is>
      </c>
      <c r="F1593" s="46" t="inlineStr">
        <is>
          <t xml:space="preserve">عبد الرحمن </t>
        </is>
      </c>
      <c r="G1593" s="46" t="inlineStr">
        <is>
          <t xml:space="preserve">التجمع </t>
        </is>
      </c>
      <c r="H1593" s="46" t="inlineStr">
        <is>
          <t>442134/5</t>
        </is>
      </c>
      <c r="I1593" s="46" t="inlineStr">
        <is>
          <t>س و ج 6771</t>
        </is>
      </c>
      <c r="J1593" s="46" t="inlineStr">
        <is>
          <t xml:space="preserve">محمد محمود </t>
        </is>
      </c>
      <c r="K1593" s="46" t="inlineStr">
        <is>
          <t xml:space="preserve">محمد الجهينى </t>
        </is>
      </c>
      <c r="L1593" s="47" t="n">
        <v>15500</v>
      </c>
      <c r="M1593" s="47" t="n">
        <v>10100</v>
      </c>
      <c r="N1593" s="47" t="n"/>
      <c r="O1593" s="47" t="n">
        <v>200</v>
      </c>
      <c r="P1593" s="47" t="n"/>
      <c r="Q1593" s="47" t="n"/>
      <c r="R1593" s="43">
        <f>IF($B1593="","",N($S1593)-N($Q1593))</f>
        <v/>
      </c>
      <c r="S1593" s="43">
        <f>IF($B1593="","",N($L1593)+N($N1593)+N($P1593))</f>
        <v/>
      </c>
      <c r="T1593" s="47" t="n"/>
      <c r="U1593" s="47" t="n"/>
      <c r="V1593" s="47" t="n"/>
      <c r="W1593" s="47" t="n"/>
      <c r="X1593" s="47" t="n"/>
      <c r="Y1593" s="47" t="n"/>
      <c r="Z1593" s="47" t="n"/>
      <c r="AA1593" s="47" t="n"/>
      <c r="AB1593" s="47" t="n"/>
      <c r="AC1593" s="47" t="n"/>
      <c r="AD1593" s="47" t="n"/>
      <c r="AE1593" s="47" t="n"/>
      <c r="AF1593" s="43">
        <f>IF($B1593="","",SUM($T1593:$AE1593))</f>
        <v/>
      </c>
      <c r="AG1593" s="43">
        <f>IF($B1593="","",N($M1593)-N($AF1593))</f>
        <v/>
      </c>
      <c r="AH1593" s="43">
        <f>IF($B1593="","",N($L1593)-N($AF1593))</f>
        <v/>
      </c>
      <c r="AI1593" s="149">
        <f>IF($B1593="","",IF(N($L1593)=0,"",(N($L1593)-N($AF1593))/N($L1593)))</f>
        <v/>
      </c>
    </row>
    <row r="1594">
      <c r="A1594" s="39">
        <f>IF($B1594="","",COUNTA($B$4:$B1594))</f>
        <v/>
      </c>
      <c r="B1594" s="40" t="n">
        <v>46191</v>
      </c>
      <c r="C1594" s="41" t="n">
        <v>3359</v>
      </c>
      <c r="D1594" s="41" t="inlineStr">
        <is>
          <t>المكتب</t>
        </is>
      </c>
      <c r="E1594" s="41" t="inlineStr">
        <is>
          <t>2*20</t>
        </is>
      </c>
      <c r="F1594" s="41" t="inlineStr">
        <is>
          <t xml:space="preserve">اكما </t>
        </is>
      </c>
      <c r="G1594" s="41" t="inlineStr">
        <is>
          <t>بنى سويف</t>
        </is>
      </c>
      <c r="H1594" s="41" t="inlineStr">
        <is>
          <t>051962/0-039012/2</t>
        </is>
      </c>
      <c r="I1594" s="41" t="inlineStr">
        <is>
          <t>س ع م 8737</t>
        </is>
      </c>
      <c r="J1594" s="41" t="inlineStr">
        <is>
          <t xml:space="preserve">جلال حسنى </t>
        </is>
      </c>
      <c r="K1594" s="41" t="inlineStr">
        <is>
          <t xml:space="preserve">المكتب </t>
        </is>
      </c>
      <c r="L1594" s="42" t="n">
        <v>25000</v>
      </c>
      <c r="M1594" s="42" t="n">
        <v>5000</v>
      </c>
      <c r="N1594" s="42" t="n"/>
      <c r="O1594" s="42" t="n"/>
      <c r="P1594" s="42" t="n"/>
      <c r="Q1594" s="42" t="n">
        <v>20000</v>
      </c>
      <c r="R1594" s="43">
        <f>IF($B1594="","",N($S1594)-N($Q1594))</f>
        <v/>
      </c>
      <c r="S1594" s="43">
        <f>IF($B1594="","",N($L1594)+N($N1594)+N($P1594))</f>
        <v/>
      </c>
      <c r="T1594" s="42" t="n"/>
      <c r="U1594" s="42" t="n"/>
      <c r="V1594" s="42" t="n"/>
      <c r="W1594" s="42" t="n"/>
      <c r="X1594" s="42" t="n"/>
      <c r="Y1594" s="42" t="n"/>
      <c r="Z1594" s="42" t="n"/>
      <c r="AA1594" s="42" t="n"/>
      <c r="AB1594" s="42" t="n"/>
      <c r="AC1594" s="42" t="n"/>
      <c r="AD1594" s="42" t="n"/>
      <c r="AE1594" s="42" t="n"/>
      <c r="AF1594" s="43">
        <f>IF($B1594="","",SUM($T1594:$AE1594))</f>
        <v/>
      </c>
      <c r="AG1594" s="43">
        <f>IF($B1594="","",N($M1594)-N($AF1594))</f>
        <v/>
      </c>
      <c r="AH1594" s="43">
        <f>IF($B1594="","",N($L1594)-N($AF1594))</f>
        <v/>
      </c>
      <c r="AI1594" s="149">
        <f>IF($B1594="","",IF(N($L1594)=0,"",(N($L1594)-N($AF1594))/N($L1594)))</f>
        <v/>
      </c>
    </row>
    <row r="1595">
      <c r="A1595" s="39">
        <f>IF($B1595="","",COUNTA($B$4:$B1595))</f>
        <v/>
      </c>
      <c r="B1595" s="45" t="n">
        <v>46191</v>
      </c>
      <c r="C1595" s="46" t="n">
        <v>3358</v>
      </c>
      <c r="D1595" s="46" t="inlineStr">
        <is>
          <t>اسلام محروس</t>
        </is>
      </c>
      <c r="E1595" s="46" t="inlineStr">
        <is>
          <t>2*20</t>
        </is>
      </c>
      <c r="F1595" s="46" t="inlineStr">
        <is>
          <t xml:space="preserve">اكما </t>
        </is>
      </c>
      <c r="G1595" s="46" t="inlineStr">
        <is>
          <t>بنى سويف</t>
        </is>
      </c>
      <c r="H1595" s="46" t="inlineStr">
        <is>
          <t>213186/1-397024/0</t>
        </is>
      </c>
      <c r="I1595" s="46" t="inlineStr">
        <is>
          <t>ص ع ا 7462</t>
        </is>
      </c>
      <c r="J1595" s="46" t="inlineStr">
        <is>
          <t xml:space="preserve">فتحى احمد </t>
        </is>
      </c>
      <c r="K1595" s="46" t="inlineStr">
        <is>
          <t xml:space="preserve">الحجرى </t>
        </is>
      </c>
      <c r="L1595" s="47" t="n">
        <v>25000</v>
      </c>
      <c r="M1595" s="47" t="n">
        <v>12100</v>
      </c>
      <c r="N1595" s="47" t="n"/>
      <c r="O1595" s="47" t="n">
        <v>200</v>
      </c>
      <c r="P1595" s="47" t="n"/>
      <c r="Q1595" s="47" t="n"/>
      <c r="R1595" s="43">
        <f>IF($B1595="","",N($S1595)-N($Q1595))</f>
        <v/>
      </c>
      <c r="S1595" s="43">
        <f>IF($B1595="","",N($L1595)+N($N1595)+N($P1595))</f>
        <v/>
      </c>
      <c r="T1595" s="47" t="n"/>
      <c r="U1595" s="47" t="n"/>
      <c r="V1595" s="47" t="n"/>
      <c r="W1595" s="47" t="n"/>
      <c r="X1595" s="47" t="n"/>
      <c r="Y1595" s="47" t="n"/>
      <c r="Z1595" s="47" t="n"/>
      <c r="AA1595" s="47" t="n"/>
      <c r="AB1595" s="47" t="n"/>
      <c r="AC1595" s="47" t="n"/>
      <c r="AD1595" s="47" t="n"/>
      <c r="AE1595" s="47" t="n"/>
      <c r="AF1595" s="43">
        <f>IF($B1595="","",SUM($T1595:$AE1595))</f>
        <v/>
      </c>
      <c r="AG1595" s="43">
        <f>IF($B1595="","",N($M1595)-N($AF1595))</f>
        <v/>
      </c>
      <c r="AH1595" s="43">
        <f>IF($B1595="","",N($L1595)-N($AF1595))</f>
        <v/>
      </c>
      <c r="AI1595" s="149">
        <f>IF($B1595="","",IF(N($L1595)=0,"",(N($L1595)-N($AF1595))/N($L1595)))</f>
        <v/>
      </c>
    </row>
    <row r="1596">
      <c r="A1596" s="39">
        <f>IF($B1596="","",COUNTA($B$4:$B1596))</f>
        <v/>
      </c>
      <c r="B1596" s="40" t="n">
        <v>46191</v>
      </c>
      <c r="C1596" s="41" t="n">
        <v>3360</v>
      </c>
      <c r="D1596" s="41" t="inlineStr">
        <is>
          <t>صعيدى 6</t>
        </is>
      </c>
      <c r="E1596" s="41" t="inlineStr">
        <is>
          <t>2*20</t>
        </is>
      </c>
      <c r="F1596" s="41" t="inlineStr">
        <is>
          <t xml:space="preserve">اكما </t>
        </is>
      </c>
      <c r="G1596" s="41" t="inlineStr">
        <is>
          <t>بنى سويف</t>
        </is>
      </c>
      <c r="H1596" s="41" t="inlineStr">
        <is>
          <t>199544/5-304704/9</t>
        </is>
      </c>
      <c r="I1596" s="41" t="inlineStr">
        <is>
          <t>س ل ج 2521</t>
        </is>
      </c>
      <c r="J1596" s="41" t="inlineStr">
        <is>
          <t xml:space="preserve">احمد القط </t>
        </is>
      </c>
      <c r="K1596" s="41" t="inlineStr">
        <is>
          <t xml:space="preserve">محمد الصعيدى </t>
        </is>
      </c>
      <c r="L1596" s="42" t="n">
        <v>25000</v>
      </c>
      <c r="M1596" s="42" t="n">
        <v>12100</v>
      </c>
      <c r="N1596" s="42" t="n"/>
      <c r="O1596" s="42" t="n">
        <v>200</v>
      </c>
      <c r="P1596" s="42" t="n"/>
      <c r="Q1596" s="42" t="n"/>
      <c r="R1596" s="43">
        <f>IF($B1596="","",N($S1596)-N($Q1596))</f>
        <v/>
      </c>
      <c r="S1596" s="43">
        <f>IF($B1596="","",N($L1596)+N($N1596)+N($P1596))</f>
        <v/>
      </c>
      <c r="T1596" s="42" t="n"/>
      <c r="U1596" s="42" t="n"/>
      <c r="V1596" s="42" t="n"/>
      <c r="W1596" s="42" t="n"/>
      <c r="X1596" s="42" t="n"/>
      <c r="Y1596" s="42" t="n"/>
      <c r="Z1596" s="42" t="n"/>
      <c r="AA1596" s="42" t="n"/>
      <c r="AB1596" s="42" t="n"/>
      <c r="AC1596" s="42" t="n"/>
      <c r="AD1596" s="42" t="n"/>
      <c r="AE1596" s="42" t="n"/>
      <c r="AF1596" s="43">
        <f>IF($B1596="","",SUM($T1596:$AE1596))</f>
        <v/>
      </c>
      <c r="AG1596" s="43">
        <f>IF($B1596="","",N($M1596)-N($AF1596))</f>
        <v/>
      </c>
      <c r="AH1596" s="43">
        <f>IF($B1596="","",N($L1596)-N($AF1596))</f>
        <v/>
      </c>
      <c r="AI1596" s="149">
        <f>IF($B1596="","",IF(N($L1596)=0,"",(N($L1596)-N($AF1596))/N($L1596)))</f>
        <v/>
      </c>
    </row>
    <row r="1597">
      <c r="A1597" s="39">
        <f>IF($B1597="","",COUNTA($B$4:$B1597))</f>
        <v/>
      </c>
      <c r="B1597" s="45" t="n">
        <v>46191</v>
      </c>
      <c r="C1597" s="46" t="n">
        <v>3361</v>
      </c>
      <c r="D1597" s="46" t="inlineStr">
        <is>
          <t>صعيدى 6</t>
        </is>
      </c>
      <c r="E1597" s="46" t="inlineStr">
        <is>
          <t>2*20</t>
        </is>
      </c>
      <c r="F1597" s="46" t="inlineStr">
        <is>
          <t xml:space="preserve">اكما </t>
        </is>
      </c>
      <c r="G1597" s="46" t="inlineStr">
        <is>
          <t>بنى سويف</t>
        </is>
      </c>
      <c r="H1597" s="46" t="inlineStr">
        <is>
          <t>226043/4-105651/5</t>
        </is>
      </c>
      <c r="I1597" s="46" t="inlineStr">
        <is>
          <t>س ه ف 1874</t>
        </is>
      </c>
      <c r="J1597" s="46" t="inlineStr">
        <is>
          <t xml:space="preserve">باسم عبد السلام </t>
        </is>
      </c>
      <c r="K1597" s="46" t="inlineStr">
        <is>
          <t xml:space="preserve">محمد الصعيدى </t>
        </is>
      </c>
      <c r="L1597" s="47" t="n">
        <v>25000</v>
      </c>
      <c r="M1597" s="47" t="n">
        <v>12100</v>
      </c>
      <c r="N1597" s="47" t="n"/>
      <c r="O1597" s="47" t="n">
        <v>200</v>
      </c>
      <c r="P1597" s="47" t="n"/>
      <c r="Q1597" s="47" t="n"/>
      <c r="R1597" s="43">
        <f>IF($B1597="","",N($S1597)-N($Q1597))</f>
        <v/>
      </c>
      <c r="S1597" s="43">
        <f>IF($B1597="","",N($L1597)+N($N1597)+N($P1597))</f>
        <v/>
      </c>
      <c r="T1597" s="47" t="n"/>
      <c r="U1597" s="47" t="n"/>
      <c r="V1597" s="47" t="n"/>
      <c r="W1597" s="47" t="n"/>
      <c r="X1597" s="47" t="n"/>
      <c r="Y1597" s="47" t="n"/>
      <c r="Z1597" s="47" t="n"/>
      <c r="AA1597" s="47" t="n"/>
      <c r="AB1597" s="47" t="n"/>
      <c r="AC1597" s="47" t="n"/>
      <c r="AD1597" s="47" t="n"/>
      <c r="AE1597" s="47" t="n"/>
      <c r="AF1597" s="43">
        <f>IF($B1597="","",SUM($T1597:$AE1597))</f>
        <v/>
      </c>
      <c r="AG1597" s="43">
        <f>IF($B1597="","",N($M1597)-N($AF1597))</f>
        <v/>
      </c>
      <c r="AH1597" s="43">
        <f>IF($B1597="","",N($L1597)-N($AF1597))</f>
        <v/>
      </c>
      <c r="AI1597" s="149">
        <f>IF($B1597="","",IF(N($L1597)=0,"",(N($L1597)-N($AF1597))/N($L1597)))</f>
        <v/>
      </c>
    </row>
    <row r="1598">
      <c r="A1598" s="39">
        <f>IF($B1598="","",COUNTA($B$4:$B1598))</f>
        <v/>
      </c>
      <c r="B1598" s="40" t="n">
        <v>46191</v>
      </c>
      <c r="C1598" s="41" t="n">
        <v>3363</v>
      </c>
      <c r="D1598" s="41" t="inlineStr">
        <is>
          <t xml:space="preserve">حسين محمد </t>
        </is>
      </c>
      <c r="E1598" s="41" t="inlineStr">
        <is>
          <t>2*20</t>
        </is>
      </c>
      <c r="F1598" s="41" t="inlineStr">
        <is>
          <t xml:space="preserve">اكما </t>
        </is>
      </c>
      <c r="G1598" s="41" t="inlineStr">
        <is>
          <t>بنى سويف</t>
        </is>
      </c>
      <c r="H1598" s="41" t="inlineStr">
        <is>
          <t>041363/4-048966/6</t>
        </is>
      </c>
      <c r="I1598" s="41" t="inlineStr">
        <is>
          <t>ب د ف 7945</t>
        </is>
      </c>
      <c r="J1598" s="41" t="inlineStr">
        <is>
          <t xml:space="preserve">احمد حمدى </t>
        </is>
      </c>
      <c r="K1598" s="41" t="inlineStr">
        <is>
          <t>الليبر</t>
        </is>
      </c>
      <c r="L1598" s="42" t="n">
        <v>25000</v>
      </c>
      <c r="M1598" s="42" t="n">
        <v>12100</v>
      </c>
      <c r="N1598" s="42" t="n"/>
      <c r="O1598" s="42" t="n">
        <v>200</v>
      </c>
      <c r="P1598" s="42" t="n"/>
      <c r="Q1598" s="42" t="n"/>
      <c r="R1598" s="43">
        <f>IF($B1598="","",N($S1598)-N($Q1598))</f>
        <v/>
      </c>
      <c r="S1598" s="43">
        <f>IF($B1598="","",N($L1598)+N($N1598)+N($P1598))</f>
        <v/>
      </c>
      <c r="T1598" s="42" t="n"/>
      <c r="U1598" s="42" t="n"/>
      <c r="V1598" s="42" t="n"/>
      <c r="W1598" s="42" t="n"/>
      <c r="X1598" s="42" t="n"/>
      <c r="Y1598" s="42" t="n"/>
      <c r="Z1598" s="42" t="n"/>
      <c r="AA1598" s="42" t="n"/>
      <c r="AB1598" s="42" t="n"/>
      <c r="AC1598" s="42" t="n"/>
      <c r="AD1598" s="42" t="n"/>
      <c r="AE1598" s="42" t="n"/>
      <c r="AF1598" s="43">
        <f>IF($B1598="","",SUM($T1598:$AE1598))</f>
        <v/>
      </c>
      <c r="AG1598" s="43">
        <f>IF($B1598="","",N($M1598)-N($AF1598))</f>
        <v/>
      </c>
      <c r="AH1598" s="43">
        <f>IF($B1598="","",N($L1598)-N($AF1598))</f>
        <v/>
      </c>
      <c r="AI1598" s="149">
        <f>IF($B1598="","",IF(N($L1598)=0,"",(N($L1598)-N($AF1598))/N($L1598)))</f>
        <v/>
      </c>
    </row>
    <row r="1599">
      <c r="A1599" s="39">
        <f>IF($B1599="","",COUNTA($B$4:$B1599))</f>
        <v/>
      </c>
      <c r="B1599" s="45" t="n">
        <v>46193</v>
      </c>
      <c r="C1599" s="46" t="n">
        <v>3308</v>
      </c>
      <c r="D1599" s="46" t="n"/>
      <c r="E1599" s="46" t="inlineStr">
        <is>
          <t>1*40</t>
        </is>
      </c>
      <c r="F1599" s="46" t="inlineStr">
        <is>
          <t xml:space="preserve">ايتامكو </t>
        </is>
      </c>
      <c r="G1599" s="46" t="inlineStr">
        <is>
          <t xml:space="preserve">ط التحدى </t>
        </is>
      </c>
      <c r="H1599" s="46" t="inlineStr">
        <is>
          <t>840973/7</t>
        </is>
      </c>
      <c r="I1599" s="46" t="inlineStr">
        <is>
          <t>ب د ف 7328</t>
        </is>
      </c>
      <c r="J1599" s="46" t="inlineStr">
        <is>
          <t xml:space="preserve">عصام محمد </t>
        </is>
      </c>
      <c r="K1599" s="46" t="inlineStr">
        <is>
          <t>عويس</t>
        </is>
      </c>
      <c r="L1599" s="47" t="n">
        <v>12500</v>
      </c>
      <c r="M1599" s="47" t="n">
        <v>8100</v>
      </c>
      <c r="N1599" s="47" t="n"/>
      <c r="O1599" s="47" t="n">
        <v>200</v>
      </c>
      <c r="P1599" s="47" t="n"/>
      <c r="Q1599" s="47" t="n"/>
      <c r="R1599" s="43">
        <f>IF($B1599="","",N($S1599)-N($Q1599))</f>
        <v/>
      </c>
      <c r="S1599" s="43">
        <f>IF($B1599="","",N($L1599)+N($N1599)+N($P1599))</f>
        <v/>
      </c>
      <c r="T1599" s="47" t="n"/>
      <c r="U1599" s="47" t="n"/>
      <c r="V1599" s="47" t="n"/>
      <c r="W1599" s="47" t="n"/>
      <c r="X1599" s="47" t="n"/>
      <c r="Y1599" s="47" t="n"/>
      <c r="Z1599" s="47" t="n"/>
      <c r="AA1599" s="47" t="n"/>
      <c r="AB1599" s="47" t="n"/>
      <c r="AC1599" s="47" t="n"/>
      <c r="AD1599" s="47" t="n"/>
      <c r="AE1599" s="47" t="n"/>
      <c r="AF1599" s="43">
        <f>IF($B1599="","",SUM($T1599:$AE1599))</f>
        <v/>
      </c>
      <c r="AG1599" s="43">
        <f>IF($B1599="","",N($M1599)-N($AF1599))</f>
        <v/>
      </c>
      <c r="AH1599" s="43">
        <f>IF($B1599="","",N($L1599)-N($AF1599))</f>
        <v/>
      </c>
      <c r="AI1599" s="149">
        <f>IF($B1599="","",IF(N($L1599)=0,"",(N($L1599)-N($AF1599))/N($L1599)))</f>
        <v/>
      </c>
    </row>
    <row r="1600">
      <c r="A1600" s="39">
        <f>IF($B1600="","",COUNTA($B$4:$B1600))</f>
        <v/>
      </c>
      <c r="B1600" s="40" t="n">
        <v>46193</v>
      </c>
      <c r="C1600" s="41" t="n">
        <v>3309</v>
      </c>
      <c r="D1600" s="41" t="n"/>
      <c r="E1600" s="41" t="inlineStr">
        <is>
          <t>1*40</t>
        </is>
      </c>
      <c r="F1600" s="41" t="inlineStr">
        <is>
          <t xml:space="preserve">ايتامكو </t>
        </is>
      </c>
      <c r="G1600" s="41" t="inlineStr">
        <is>
          <t xml:space="preserve">ط التحدى </t>
        </is>
      </c>
      <c r="H1600" s="41" t="inlineStr">
        <is>
          <t>839210/4</t>
        </is>
      </c>
      <c r="I1600" s="41" t="inlineStr">
        <is>
          <t>س ف ب 4187</t>
        </is>
      </c>
      <c r="J1600" s="41" t="inlineStr">
        <is>
          <t>نور محمد</t>
        </is>
      </c>
      <c r="K1600" s="41" t="n"/>
      <c r="L1600" s="42" t="n">
        <v>12500</v>
      </c>
      <c r="M1600" s="42" t="n">
        <v>8100</v>
      </c>
      <c r="N1600" s="42" t="n"/>
      <c r="O1600" s="42" t="n">
        <v>200</v>
      </c>
      <c r="P1600" s="42" t="n"/>
      <c r="Q1600" s="42" t="n"/>
      <c r="R1600" s="43">
        <f>IF($B1600="","",N($S1600)-N($Q1600))</f>
        <v/>
      </c>
      <c r="S1600" s="43">
        <f>IF($B1600="","",N($L1600)+N($N1600)+N($P1600))</f>
        <v/>
      </c>
      <c r="T1600" s="42" t="n"/>
      <c r="U1600" s="42" t="n"/>
      <c r="V1600" s="42" t="n"/>
      <c r="W1600" s="42" t="n"/>
      <c r="X1600" s="42" t="n"/>
      <c r="Y1600" s="42" t="n"/>
      <c r="Z1600" s="42" t="n"/>
      <c r="AA1600" s="42" t="n"/>
      <c r="AB1600" s="42" t="n"/>
      <c r="AC1600" s="42" t="n"/>
      <c r="AD1600" s="42" t="n"/>
      <c r="AE1600" s="42" t="n"/>
      <c r="AF1600" s="43">
        <f>IF($B1600="","",SUM($T1600:$AE1600))</f>
        <v/>
      </c>
      <c r="AG1600" s="43">
        <f>IF($B1600="","",N($M1600)-N($AF1600))</f>
        <v/>
      </c>
      <c r="AH1600" s="43">
        <f>IF($B1600="","",N($L1600)-N($AF1600))</f>
        <v/>
      </c>
      <c r="AI1600" s="149">
        <f>IF($B1600="","",IF(N($L1600)=0,"",(N($L1600)-N($AF1600))/N($L1600)))</f>
        <v/>
      </c>
    </row>
    <row r="1601">
      <c r="A1601" s="39">
        <f>IF($B1601="","",COUNTA($B$4:$B1601))</f>
        <v/>
      </c>
      <c r="B1601" s="45" t="n">
        <v>46193</v>
      </c>
      <c r="C1601" s="46" t="n">
        <v>3310</v>
      </c>
      <c r="D1601" s="46" t="inlineStr">
        <is>
          <t xml:space="preserve">عتريس مخيمر </t>
        </is>
      </c>
      <c r="E1601" s="46" t="inlineStr">
        <is>
          <t>1*40</t>
        </is>
      </c>
      <c r="F1601" s="46" t="inlineStr">
        <is>
          <t xml:space="preserve">ايتامكو </t>
        </is>
      </c>
      <c r="G1601" s="46" t="inlineStr">
        <is>
          <t xml:space="preserve">ط التحدى </t>
        </is>
      </c>
      <c r="H1601" s="46" t="inlineStr">
        <is>
          <t>837432/7</t>
        </is>
      </c>
      <c r="I1601" s="46" t="inlineStr">
        <is>
          <t>ب ص ا 2574</t>
        </is>
      </c>
      <c r="J1601" s="46" t="inlineStr">
        <is>
          <t xml:space="preserve">محمد البحيرى </t>
        </is>
      </c>
      <c r="K1601" s="46" t="inlineStr">
        <is>
          <t xml:space="preserve">خليف </t>
        </is>
      </c>
      <c r="L1601" s="47" t="n">
        <v>12500</v>
      </c>
      <c r="M1601" s="47" t="n">
        <v>8100</v>
      </c>
      <c r="N1601" s="47" t="n"/>
      <c r="O1601" s="47" t="n">
        <v>200</v>
      </c>
      <c r="P1601" s="47" t="n"/>
      <c r="Q1601" s="47" t="n"/>
      <c r="R1601" s="43">
        <f>IF($B1601="","",N($S1601)-N($Q1601))</f>
        <v/>
      </c>
      <c r="S1601" s="43">
        <f>IF($B1601="","",N($L1601)+N($N1601)+N($P1601))</f>
        <v/>
      </c>
      <c r="T1601" s="47" t="n"/>
      <c r="U1601" s="47" t="n"/>
      <c r="V1601" s="47" t="n"/>
      <c r="W1601" s="47" t="n"/>
      <c r="X1601" s="47" t="n"/>
      <c r="Y1601" s="47" t="n"/>
      <c r="Z1601" s="47" t="n"/>
      <c r="AA1601" s="47" t="n"/>
      <c r="AB1601" s="47" t="n"/>
      <c r="AC1601" s="47" t="n"/>
      <c r="AD1601" s="47" t="n"/>
      <c r="AE1601" s="47" t="n"/>
      <c r="AF1601" s="43">
        <f>IF($B1601="","",SUM($T1601:$AE1601))</f>
        <v/>
      </c>
      <c r="AG1601" s="43">
        <f>IF($B1601="","",N($M1601)-N($AF1601))</f>
        <v/>
      </c>
      <c r="AH1601" s="43">
        <f>IF($B1601="","",N($L1601)-N($AF1601))</f>
        <v/>
      </c>
      <c r="AI1601" s="149">
        <f>IF($B1601="","",IF(N($L1601)=0,"",(N($L1601)-N($AF1601))/N($L1601)))</f>
        <v/>
      </c>
    </row>
    <row r="1602">
      <c r="A1602" s="39">
        <f>IF($B1602="","",COUNTA($B$4:$B1602))</f>
        <v/>
      </c>
      <c r="B1602" s="40" t="n">
        <v>46193</v>
      </c>
      <c r="C1602" s="41" t="n">
        <v>3199</v>
      </c>
      <c r="D1602" s="41" t="n"/>
      <c r="E1602" s="41" t="inlineStr">
        <is>
          <t>1*40</t>
        </is>
      </c>
      <c r="F1602" s="41" t="inlineStr">
        <is>
          <t xml:space="preserve">ايتامكو </t>
        </is>
      </c>
      <c r="G1602" s="41" t="inlineStr">
        <is>
          <t xml:space="preserve">ط التحدى </t>
        </is>
      </c>
      <c r="H1602" s="41" t="inlineStr">
        <is>
          <t>848387/9</t>
        </is>
      </c>
      <c r="I1602" s="41" t="inlineStr">
        <is>
          <t>ص ع ا 1524</t>
        </is>
      </c>
      <c r="J1602" s="41" t="inlineStr">
        <is>
          <t xml:space="preserve">ايمن الصعيدى </t>
        </is>
      </c>
      <c r="K1602" s="41" t="inlineStr">
        <is>
          <t xml:space="preserve">محمد الكيلانى </t>
        </is>
      </c>
      <c r="L1602" s="42" t="n">
        <v>12500</v>
      </c>
      <c r="M1602" s="42" t="n">
        <v>8100</v>
      </c>
      <c r="N1602" s="42" t="n"/>
      <c r="O1602" s="42" t="n">
        <v>200</v>
      </c>
      <c r="P1602" s="42" t="n"/>
      <c r="Q1602" s="42" t="n"/>
      <c r="R1602" s="43">
        <f>IF($B1602="","",N($S1602)-N($Q1602))</f>
        <v/>
      </c>
      <c r="S1602" s="43">
        <f>IF($B1602="","",N($L1602)+N($N1602)+N($P1602))</f>
        <v/>
      </c>
      <c r="T1602" s="42" t="n"/>
      <c r="U1602" s="42" t="n"/>
      <c r="V1602" s="42" t="n"/>
      <c r="W1602" s="42" t="n"/>
      <c r="X1602" s="42" t="n"/>
      <c r="Y1602" s="42" t="n"/>
      <c r="Z1602" s="42" t="n"/>
      <c r="AA1602" s="42" t="n"/>
      <c r="AB1602" s="42" t="n"/>
      <c r="AC1602" s="42" t="n"/>
      <c r="AD1602" s="42" t="n"/>
      <c r="AE1602" s="42" t="n"/>
      <c r="AF1602" s="43">
        <f>IF($B1602="","",SUM($T1602:$AE1602))</f>
        <v/>
      </c>
      <c r="AG1602" s="43">
        <f>IF($B1602="","",N($M1602)-N($AF1602))</f>
        <v/>
      </c>
      <c r="AH1602" s="43">
        <f>IF($B1602="","",N($L1602)-N($AF1602))</f>
        <v/>
      </c>
      <c r="AI1602" s="149">
        <f>IF($B1602="","",IF(N($L1602)=0,"",(N($L1602)-N($AF1602))/N($L1602)))</f>
        <v/>
      </c>
    </row>
    <row r="1603">
      <c r="A1603" s="39">
        <f>IF($B1603="","",COUNTA($B$4:$B1603))</f>
        <v/>
      </c>
      <c r="B1603" s="45" t="n">
        <v>46193</v>
      </c>
      <c r="C1603" s="46" t="n">
        <v>3200</v>
      </c>
      <c r="D1603" s="46" t="n"/>
      <c r="E1603" s="46" t="inlineStr">
        <is>
          <t>1*40</t>
        </is>
      </c>
      <c r="F1603" s="46" t="inlineStr">
        <is>
          <t xml:space="preserve">ايتامكو </t>
        </is>
      </c>
      <c r="G1603" s="46" t="inlineStr">
        <is>
          <t xml:space="preserve">ط التحدى </t>
        </is>
      </c>
      <c r="H1603" s="46" t="inlineStr">
        <is>
          <t>862280/3</t>
        </is>
      </c>
      <c r="I1603" s="46" t="inlineStr">
        <is>
          <t>س ن ب 2785</t>
        </is>
      </c>
      <c r="J1603" s="46" t="inlineStr">
        <is>
          <t xml:space="preserve">على محمد </t>
        </is>
      </c>
      <c r="K1603" s="46" t="n"/>
      <c r="L1603" s="47" t="n">
        <v>12500</v>
      </c>
      <c r="M1603" s="47" t="n">
        <v>8100</v>
      </c>
      <c r="N1603" s="47" t="n"/>
      <c r="O1603" s="47" t="n">
        <v>200</v>
      </c>
      <c r="P1603" s="47" t="n"/>
      <c r="Q1603" s="47" t="n"/>
      <c r="R1603" s="43">
        <f>IF($B1603="","",N($S1603)-N($Q1603))</f>
        <v/>
      </c>
      <c r="S1603" s="43">
        <f>IF($B1603="","",N($L1603)+N($N1603)+N($P1603))</f>
        <v/>
      </c>
      <c r="T1603" s="47" t="n"/>
      <c r="U1603" s="47" t="n"/>
      <c r="V1603" s="47" t="n"/>
      <c r="W1603" s="47" t="n"/>
      <c r="X1603" s="47" t="n"/>
      <c r="Y1603" s="47" t="n"/>
      <c r="Z1603" s="47" t="n"/>
      <c r="AA1603" s="47" t="n"/>
      <c r="AB1603" s="47" t="n"/>
      <c r="AC1603" s="47" t="n"/>
      <c r="AD1603" s="47" t="n"/>
      <c r="AE1603" s="47" t="n"/>
      <c r="AF1603" s="43">
        <f>IF($B1603="","",SUM($T1603:$AE1603))</f>
        <v/>
      </c>
      <c r="AG1603" s="43">
        <f>IF($B1603="","",N($M1603)-N($AF1603))</f>
        <v/>
      </c>
      <c r="AH1603" s="43">
        <f>IF($B1603="","",N($L1603)-N($AF1603))</f>
        <v/>
      </c>
      <c r="AI1603" s="149">
        <f>IF($B1603="","",IF(N($L1603)=0,"",(N($L1603)-N($AF1603))/N($L1603)))</f>
        <v/>
      </c>
    </row>
    <row r="1604">
      <c r="A1604" s="39">
        <f>IF($B1604="","",COUNTA($B$4:$B1604))</f>
        <v/>
      </c>
      <c r="B1604" s="40" t="n">
        <v>46193</v>
      </c>
      <c r="C1604" s="41" t="n">
        <v>3197</v>
      </c>
      <c r="D1604" s="41" t="inlineStr">
        <is>
          <t>وليد الجهينى</t>
        </is>
      </c>
      <c r="E1604" s="41" t="inlineStr">
        <is>
          <t>2*20</t>
        </is>
      </c>
      <c r="F1604" s="41" t="inlineStr">
        <is>
          <t xml:space="preserve">اى اى او </t>
        </is>
      </c>
      <c r="G1604" s="41" t="inlineStr">
        <is>
          <t>برج العرب</t>
        </is>
      </c>
      <c r="H1604" s="41" t="inlineStr">
        <is>
          <t>377992/8-232862/2</t>
        </is>
      </c>
      <c r="I1604" s="41" t="inlineStr">
        <is>
          <t>س ن ر 3739</t>
        </is>
      </c>
      <c r="J1604" s="41" t="inlineStr">
        <is>
          <t xml:space="preserve">همام العشرى </t>
        </is>
      </c>
      <c r="K1604" s="41" t="inlineStr">
        <is>
          <t xml:space="preserve">همام </t>
        </is>
      </c>
      <c r="L1604" s="42" t="n">
        <v>11000</v>
      </c>
      <c r="M1604" s="42" t="n">
        <v>5100</v>
      </c>
      <c r="N1604" s="42" t="n"/>
      <c r="O1604" s="42" t="n">
        <v>200</v>
      </c>
      <c r="P1604" s="42" t="n"/>
      <c r="Q1604" s="42" t="n"/>
      <c r="R1604" s="43">
        <f>IF($B1604="","",N($S1604)-N($Q1604))</f>
        <v/>
      </c>
      <c r="S1604" s="43">
        <f>IF($B1604="","",N($L1604)+N($N1604)+N($P1604))</f>
        <v/>
      </c>
      <c r="T1604" s="42" t="n"/>
      <c r="U1604" s="42" t="n"/>
      <c r="V1604" s="42" t="n"/>
      <c r="W1604" s="42" t="n"/>
      <c r="X1604" s="42" t="n"/>
      <c r="Y1604" s="42" t="n"/>
      <c r="Z1604" s="42" t="n"/>
      <c r="AA1604" s="42" t="n"/>
      <c r="AB1604" s="42" t="n"/>
      <c r="AC1604" s="42" t="n"/>
      <c r="AD1604" s="42" t="n"/>
      <c r="AE1604" s="42" t="n"/>
      <c r="AF1604" s="43">
        <f>IF($B1604="","",SUM($T1604:$AE1604))</f>
        <v/>
      </c>
      <c r="AG1604" s="43">
        <f>IF($B1604="","",N($M1604)-N($AF1604))</f>
        <v/>
      </c>
      <c r="AH1604" s="43">
        <f>IF($B1604="","",N($L1604)-N($AF1604))</f>
        <v/>
      </c>
      <c r="AI1604" s="149">
        <f>IF($B1604="","",IF(N($L1604)=0,"",(N($L1604)-N($AF1604))/N($L1604)))</f>
        <v/>
      </c>
    </row>
    <row r="1605">
      <c r="A1605" s="39">
        <f>IF($B1605="","",COUNTA($B$4:$B1605))</f>
        <v/>
      </c>
      <c r="B1605" s="45" t="n">
        <v>46193</v>
      </c>
      <c r="C1605" s="46" t="n">
        <v>3198</v>
      </c>
      <c r="D1605" s="46" t="inlineStr">
        <is>
          <t>مرزوق</t>
        </is>
      </c>
      <c r="E1605" s="46" t="inlineStr">
        <is>
          <t>2*20</t>
        </is>
      </c>
      <c r="F1605" s="46" t="inlineStr">
        <is>
          <t xml:space="preserve">اى اى او </t>
        </is>
      </c>
      <c r="G1605" s="46" t="inlineStr">
        <is>
          <t>برج العرب</t>
        </is>
      </c>
      <c r="H1605" s="46" t="inlineStr">
        <is>
          <t>129043/4-586856/2</t>
        </is>
      </c>
      <c r="I1605" s="46" t="inlineStr">
        <is>
          <t>س ر ا 6671</t>
        </is>
      </c>
      <c r="J1605" s="46" t="inlineStr">
        <is>
          <t xml:space="preserve">احمد صديق </t>
        </is>
      </c>
      <c r="K1605" s="46" t="inlineStr">
        <is>
          <t xml:space="preserve">حمو مرزوق </t>
        </is>
      </c>
      <c r="L1605" s="47" t="n">
        <v>11000</v>
      </c>
      <c r="M1605" s="47" t="n">
        <v>5100</v>
      </c>
      <c r="N1605" s="47" t="n"/>
      <c r="O1605" s="47" t="n">
        <v>200</v>
      </c>
      <c r="P1605" s="47" t="n"/>
      <c r="Q1605" s="47" t="n">
        <v>5700</v>
      </c>
      <c r="R1605" s="43">
        <f>IF($B1605="","",N($S1605)-N($Q1605))</f>
        <v/>
      </c>
      <c r="S1605" s="43">
        <f>IF($B1605="","",N($L1605)+N($N1605)+N($P1605))</f>
        <v/>
      </c>
      <c r="T1605" s="47" t="n"/>
      <c r="U1605" s="47" t="n"/>
      <c r="V1605" s="47" t="n"/>
      <c r="W1605" s="47" t="n"/>
      <c r="X1605" s="47" t="n"/>
      <c r="Y1605" s="47" t="n"/>
      <c r="Z1605" s="47" t="n"/>
      <c r="AA1605" s="47" t="n"/>
      <c r="AB1605" s="47" t="n"/>
      <c r="AC1605" s="47" t="n"/>
      <c r="AD1605" s="47" t="n"/>
      <c r="AE1605" s="47" t="n"/>
      <c r="AF1605" s="43">
        <f>IF($B1605="","",SUM($T1605:$AE1605))</f>
        <v/>
      </c>
      <c r="AG1605" s="43">
        <f>IF($B1605="","",N($M1605)-N($AF1605))</f>
        <v/>
      </c>
      <c r="AH1605" s="43">
        <f>IF($B1605="","",N($L1605)-N($AF1605))</f>
        <v/>
      </c>
      <c r="AI1605" s="149">
        <f>IF($B1605="","",IF(N($L1605)=0,"",(N($L1605)-N($AF1605))/N($L1605)))</f>
        <v/>
      </c>
    </row>
    <row r="1606">
      <c r="A1606" s="39">
        <f>IF($B1606="","",COUNTA($B$4:$B1606))</f>
        <v/>
      </c>
      <c r="B1606" s="40" t="n">
        <v>46192</v>
      </c>
      <c r="C1606" s="41" t="n">
        <v>2893</v>
      </c>
      <c r="D1606" s="41" t="inlineStr">
        <is>
          <t xml:space="preserve">كمال رزق </t>
        </is>
      </c>
      <c r="E1606" s="41" t="inlineStr">
        <is>
          <t>2*20</t>
        </is>
      </c>
      <c r="F1606" s="41" t="inlineStr">
        <is>
          <t xml:space="preserve">مطاحن التاج </t>
        </is>
      </c>
      <c r="G1606" s="41" t="inlineStr">
        <is>
          <t xml:space="preserve">اكتوبر </t>
        </is>
      </c>
      <c r="H1606" s="41" t="inlineStr">
        <is>
          <t>48946/8-626850/0</t>
        </is>
      </c>
      <c r="I1606" s="41" t="inlineStr">
        <is>
          <t>س ع م 9196</t>
        </is>
      </c>
      <c r="J1606" s="41" t="inlineStr">
        <is>
          <t xml:space="preserve">حسام سليمان </t>
        </is>
      </c>
      <c r="K1606" s="41" t="inlineStr">
        <is>
          <t xml:space="preserve">احمد نادر </t>
        </is>
      </c>
      <c r="L1606" s="42" t="n">
        <v>18000</v>
      </c>
      <c r="M1606" s="42" t="n">
        <v>10100</v>
      </c>
      <c r="N1606" s="42" t="n">
        <v>1100</v>
      </c>
      <c r="O1606" s="42" t="n">
        <v>200</v>
      </c>
      <c r="P1606" s="42" t="n"/>
      <c r="Q1606" s="42" t="n"/>
      <c r="R1606" s="43">
        <f>IF($B1606="","",N($S1606)-N($Q1606))</f>
        <v/>
      </c>
      <c r="S1606" s="43">
        <f>IF($B1606="","",N($L1606)+N($N1606)+N($P1606))</f>
        <v/>
      </c>
      <c r="T1606" s="42" t="n"/>
      <c r="U1606" s="42" t="n"/>
      <c r="V1606" s="42" t="n"/>
      <c r="W1606" s="42" t="n"/>
      <c r="X1606" s="42" t="n"/>
      <c r="Y1606" s="42" t="n"/>
      <c r="Z1606" s="42" t="n"/>
      <c r="AA1606" s="42" t="n"/>
      <c r="AB1606" s="42" t="n"/>
      <c r="AC1606" s="42" t="n"/>
      <c r="AD1606" s="42" t="n"/>
      <c r="AE1606" s="42" t="n"/>
      <c r="AF1606" s="43">
        <f>IF($B1606="","",SUM($T1606:$AE1606))</f>
        <v/>
      </c>
      <c r="AG1606" s="43">
        <f>IF($B1606="","",N($M1606)-N($AF1606))</f>
        <v/>
      </c>
      <c r="AH1606" s="43">
        <f>IF($B1606="","",N($L1606)-N($AF1606))</f>
        <v/>
      </c>
      <c r="AI1606" s="149">
        <f>IF($B1606="","",IF(N($L1606)=0,"",(N($L1606)-N($AF1606))/N($L1606)))</f>
        <v/>
      </c>
    </row>
    <row r="1607">
      <c r="A1607" s="39">
        <f>IF($B1607="","",COUNTA($B$4:$B1607))</f>
        <v/>
      </c>
      <c r="B1607" s="45" t="n">
        <v>46192</v>
      </c>
      <c r="C1607" s="46" t="n">
        <v>2894</v>
      </c>
      <c r="D1607" s="46" t="inlineStr">
        <is>
          <t xml:space="preserve">كمال رزق </t>
        </is>
      </c>
      <c r="E1607" s="46" t="inlineStr">
        <is>
          <t>2*20</t>
        </is>
      </c>
      <c r="F1607" s="46" t="inlineStr">
        <is>
          <t xml:space="preserve">مطاحن التاج </t>
        </is>
      </c>
      <c r="G1607" s="46" t="inlineStr">
        <is>
          <t xml:space="preserve">اكتوبر </t>
        </is>
      </c>
      <c r="H1607" s="46" t="inlineStr">
        <is>
          <t>252925/4-212562/4</t>
        </is>
      </c>
      <c r="I1607" s="46" t="inlineStr">
        <is>
          <t>س د ص 8584</t>
        </is>
      </c>
      <c r="J1607" s="46" t="inlineStr">
        <is>
          <t>محمد سعد</t>
        </is>
      </c>
      <c r="K1607" s="46" t="inlineStr">
        <is>
          <t xml:space="preserve">احمد نادر </t>
        </is>
      </c>
      <c r="L1607" s="47" t="n">
        <v>18000</v>
      </c>
      <c r="M1607" s="47" t="n">
        <v>10100</v>
      </c>
      <c r="N1607" s="47" t="n">
        <v>1100</v>
      </c>
      <c r="O1607" s="47" t="n">
        <v>200</v>
      </c>
      <c r="P1607" s="47" t="n"/>
      <c r="Q1607" s="47" t="n"/>
      <c r="R1607" s="43">
        <f>IF($B1607="","",N($S1607)-N($Q1607))</f>
        <v/>
      </c>
      <c r="S1607" s="43">
        <f>IF($B1607="","",N($L1607)+N($N1607)+N($P1607))</f>
        <v/>
      </c>
      <c r="T1607" s="47" t="n"/>
      <c r="U1607" s="47" t="n"/>
      <c r="V1607" s="47" t="n"/>
      <c r="W1607" s="47" t="n"/>
      <c r="X1607" s="47" t="n"/>
      <c r="Y1607" s="47" t="n"/>
      <c r="Z1607" s="47" t="n"/>
      <c r="AA1607" s="47" t="n"/>
      <c r="AB1607" s="47" t="n"/>
      <c r="AC1607" s="47" t="n"/>
      <c r="AD1607" s="47" t="n"/>
      <c r="AE1607" s="47" t="n"/>
      <c r="AF1607" s="43">
        <f>IF($B1607="","",SUM($T1607:$AE1607))</f>
        <v/>
      </c>
      <c r="AG1607" s="43">
        <f>IF($B1607="","",N($M1607)-N($AF1607))</f>
        <v/>
      </c>
      <c r="AH1607" s="43">
        <f>IF($B1607="","",N($L1607)-N($AF1607))</f>
        <v/>
      </c>
      <c r="AI1607" s="149">
        <f>IF($B1607="","",IF(N($L1607)=0,"",(N($L1607)-N($AF1607))/N($L1607)))</f>
        <v/>
      </c>
    </row>
    <row r="1608">
      <c r="A1608" s="39">
        <f>IF($B1608="","",COUNTA($B$4:$B1608))</f>
        <v/>
      </c>
      <c r="B1608" s="40" t="n">
        <v>46192</v>
      </c>
      <c r="C1608" s="41" t="n">
        <v>2895</v>
      </c>
      <c r="D1608" s="41" t="inlineStr">
        <is>
          <t xml:space="preserve">كمال رزق </t>
        </is>
      </c>
      <c r="E1608" s="41" t="inlineStr">
        <is>
          <t>2*20</t>
        </is>
      </c>
      <c r="F1608" s="41" t="inlineStr">
        <is>
          <t xml:space="preserve">مطاحن التاج </t>
        </is>
      </c>
      <c r="G1608" s="41" t="inlineStr">
        <is>
          <t xml:space="preserve">اكتوبر </t>
        </is>
      </c>
      <c r="H1608" s="41" t="inlineStr">
        <is>
          <t>202733/5-290492/5</t>
        </is>
      </c>
      <c r="I1608" s="41" t="inlineStr">
        <is>
          <t>س ل ب 3649</t>
        </is>
      </c>
      <c r="J1608" s="41" t="inlineStr">
        <is>
          <t xml:space="preserve">بسام سلام </t>
        </is>
      </c>
      <c r="K1608" s="41" t="inlineStr">
        <is>
          <t xml:space="preserve">احمد نادر </t>
        </is>
      </c>
      <c r="L1608" s="42" t="n">
        <v>18000</v>
      </c>
      <c r="M1608" s="42" t="n">
        <v>10100</v>
      </c>
      <c r="N1608" s="42" t="n">
        <v>1100</v>
      </c>
      <c r="O1608" s="42" t="n">
        <v>200</v>
      </c>
      <c r="P1608" s="42" t="n"/>
      <c r="Q1608" s="42" t="n"/>
      <c r="R1608" s="43">
        <f>IF($B1608="","",N($S1608)-N($Q1608))</f>
        <v/>
      </c>
      <c r="S1608" s="43">
        <f>IF($B1608="","",N($L1608)+N($N1608)+N($P1608))</f>
        <v/>
      </c>
      <c r="T1608" s="42" t="n"/>
      <c r="U1608" s="42" t="n"/>
      <c r="V1608" s="42" t="n"/>
      <c r="W1608" s="42" t="n"/>
      <c r="X1608" s="42" t="n"/>
      <c r="Y1608" s="42" t="n"/>
      <c r="Z1608" s="42" t="n"/>
      <c r="AA1608" s="42" t="n"/>
      <c r="AB1608" s="42" t="n"/>
      <c r="AC1608" s="42" t="n"/>
      <c r="AD1608" s="42" t="n"/>
      <c r="AE1608" s="42" t="n"/>
      <c r="AF1608" s="43">
        <f>IF($B1608="","",SUM($T1608:$AE1608))</f>
        <v/>
      </c>
      <c r="AG1608" s="43">
        <f>IF($B1608="","",N($M1608)-N($AF1608))</f>
        <v/>
      </c>
      <c r="AH1608" s="43">
        <f>IF($B1608="","",N($L1608)-N($AF1608))</f>
        <v/>
      </c>
      <c r="AI1608" s="149">
        <f>IF($B1608="","",IF(N($L1608)=0,"",(N($L1608)-N($AF1608))/N($L1608)))</f>
        <v/>
      </c>
    </row>
    <row r="1609">
      <c r="A1609" s="39">
        <f>IF($B1609="","",COUNTA($B$4:$B1609))</f>
        <v/>
      </c>
      <c r="B1609" s="45" t="n">
        <v>46192</v>
      </c>
      <c r="C1609" s="46" t="n">
        <v>2896</v>
      </c>
      <c r="D1609" s="46" t="inlineStr">
        <is>
          <t xml:space="preserve">كمال رزق </t>
        </is>
      </c>
      <c r="E1609" s="46" t="inlineStr">
        <is>
          <t>2*20</t>
        </is>
      </c>
      <c r="F1609" s="46" t="inlineStr">
        <is>
          <t xml:space="preserve">مطاحن التاج </t>
        </is>
      </c>
      <c r="G1609" s="46" t="inlineStr">
        <is>
          <t xml:space="preserve">اكتوبر </t>
        </is>
      </c>
      <c r="H1609" s="46" t="inlineStr">
        <is>
          <t>287613/7-550967/3</t>
        </is>
      </c>
      <c r="I1609" s="46" t="inlineStr">
        <is>
          <t>س ن ر 3831</t>
        </is>
      </c>
      <c r="J1609" s="46" t="inlineStr">
        <is>
          <t xml:space="preserve">محمد عبد الرحمن </t>
        </is>
      </c>
      <c r="K1609" s="46" t="inlineStr">
        <is>
          <t xml:space="preserve">احمد نادر </t>
        </is>
      </c>
      <c r="L1609" s="47" t="n">
        <v>18000</v>
      </c>
      <c r="M1609" s="47" t="n">
        <v>10100</v>
      </c>
      <c r="N1609" s="47" t="n">
        <v>1100</v>
      </c>
      <c r="O1609" s="47" t="n">
        <v>200</v>
      </c>
      <c r="P1609" s="47" t="n"/>
      <c r="Q1609" s="47" t="n"/>
      <c r="R1609" s="43">
        <f>IF($B1609="","",N($S1609)-N($Q1609))</f>
        <v/>
      </c>
      <c r="S1609" s="43">
        <f>IF($B1609="","",N($L1609)+N($N1609)+N($P1609))</f>
        <v/>
      </c>
      <c r="T1609" s="47" t="n"/>
      <c r="U1609" s="47" t="n"/>
      <c r="V1609" s="47" t="n"/>
      <c r="W1609" s="47" t="n"/>
      <c r="X1609" s="47" t="n"/>
      <c r="Y1609" s="47" t="n"/>
      <c r="Z1609" s="47" t="n"/>
      <c r="AA1609" s="47" t="n"/>
      <c r="AB1609" s="47" t="n"/>
      <c r="AC1609" s="47" t="n"/>
      <c r="AD1609" s="47" t="n"/>
      <c r="AE1609" s="47" t="n"/>
      <c r="AF1609" s="43">
        <f>IF($B1609="","",SUM($T1609:$AE1609))</f>
        <v/>
      </c>
      <c r="AG1609" s="43">
        <f>IF($B1609="","",N($M1609)-N($AF1609))</f>
        <v/>
      </c>
      <c r="AH1609" s="43">
        <f>IF($B1609="","",N($L1609)-N($AF1609))</f>
        <v/>
      </c>
      <c r="AI1609" s="149">
        <f>IF($B1609="","",IF(N($L1609)=0,"",(N($L1609)-N($AF1609))/N($L1609)))</f>
        <v/>
      </c>
    </row>
    <row r="1610">
      <c r="A1610" s="39">
        <f>IF($B1610="","",COUNTA($B$4:$B1610))</f>
        <v/>
      </c>
      <c r="B1610" s="40" t="n">
        <v>46192</v>
      </c>
      <c r="C1610" s="41" t="n">
        <v>2897</v>
      </c>
      <c r="D1610" s="41" t="inlineStr">
        <is>
          <t xml:space="preserve">كمال رزق </t>
        </is>
      </c>
      <c r="E1610" s="41" t="inlineStr">
        <is>
          <t>2*20</t>
        </is>
      </c>
      <c r="F1610" s="41" t="inlineStr">
        <is>
          <t xml:space="preserve">مطاحن التاج </t>
        </is>
      </c>
      <c r="G1610" s="41" t="inlineStr">
        <is>
          <t xml:space="preserve">اكتوبر </t>
        </is>
      </c>
      <c r="H1610" s="41" t="inlineStr">
        <is>
          <t>303258//1-157331/7</t>
        </is>
      </c>
      <c r="I1610" s="41" t="inlineStr">
        <is>
          <t>س ل ج 7475</t>
        </is>
      </c>
      <c r="J1610" s="41" t="inlineStr">
        <is>
          <t xml:space="preserve">محمد السيد </t>
        </is>
      </c>
      <c r="K1610" s="41" t="inlineStr">
        <is>
          <t xml:space="preserve">احمد نادر </t>
        </is>
      </c>
      <c r="L1610" s="42" t="n">
        <v>18000</v>
      </c>
      <c r="M1610" s="42" t="n">
        <v>10100</v>
      </c>
      <c r="N1610" s="42" t="n">
        <v>1100</v>
      </c>
      <c r="O1610" s="42" t="n">
        <v>200</v>
      </c>
      <c r="P1610" s="42" t="n"/>
      <c r="Q1610" s="42" t="n"/>
      <c r="R1610" s="43">
        <f>IF($B1610="","",N($S1610)-N($Q1610))</f>
        <v/>
      </c>
      <c r="S1610" s="43">
        <f>IF($B1610="","",N($L1610)+N($N1610)+N($P1610))</f>
        <v/>
      </c>
      <c r="T1610" s="42" t="n"/>
      <c r="U1610" s="42" t="n"/>
      <c r="V1610" s="42" t="n"/>
      <c r="W1610" s="42" t="n"/>
      <c r="X1610" s="42" t="n"/>
      <c r="Y1610" s="42" t="n"/>
      <c r="Z1610" s="42" t="n"/>
      <c r="AA1610" s="42" t="n"/>
      <c r="AB1610" s="42" t="n"/>
      <c r="AC1610" s="42" t="n"/>
      <c r="AD1610" s="42" t="n"/>
      <c r="AE1610" s="42" t="n"/>
      <c r="AF1610" s="43">
        <f>IF($B1610="","",SUM($T1610:$AE1610))</f>
        <v/>
      </c>
      <c r="AG1610" s="43">
        <f>IF($B1610="","",N($M1610)-N($AF1610))</f>
        <v/>
      </c>
      <c r="AH1610" s="43">
        <f>IF($B1610="","",N($L1610)-N($AF1610))</f>
        <v/>
      </c>
      <c r="AI1610" s="149">
        <f>IF($B1610="","",IF(N($L1610)=0,"",(N($L1610)-N($AF1610))/N($L1610)))</f>
        <v/>
      </c>
    </row>
    <row r="1611">
      <c r="A1611" s="39">
        <f>IF($B1611="","",COUNTA($B$4:$B1611))</f>
        <v/>
      </c>
      <c r="B1611" s="45" t="n">
        <v>46193</v>
      </c>
      <c r="C1611" s="46" t="n">
        <v>3375</v>
      </c>
      <c r="D1611" s="46" t="n"/>
      <c r="E1611" s="46" t="inlineStr">
        <is>
          <t>1*40 ث</t>
        </is>
      </c>
      <c r="F1611" s="46" t="inlineStr">
        <is>
          <t xml:space="preserve">الفرسان </t>
        </is>
      </c>
      <c r="G1611" s="46" t="inlineStr">
        <is>
          <t xml:space="preserve">اكتوبر </t>
        </is>
      </c>
      <c r="H1611" s="46" t="inlineStr">
        <is>
          <t>989918/4</t>
        </is>
      </c>
      <c r="I1611" s="46" t="inlineStr">
        <is>
          <t>س و ب 2689</t>
        </is>
      </c>
      <c r="J1611" s="46" t="inlineStr">
        <is>
          <t xml:space="preserve">محمد السيد </t>
        </is>
      </c>
      <c r="K1611" s="46" t="inlineStr">
        <is>
          <t xml:space="preserve">محمد الصعيدى </t>
        </is>
      </c>
      <c r="L1611" s="47" t="n">
        <v>16000</v>
      </c>
      <c r="M1611" s="47" t="n">
        <v>8100</v>
      </c>
      <c r="N1611" s="47" t="n"/>
      <c r="O1611" s="47" t="n">
        <v>200</v>
      </c>
      <c r="P1611" s="47" t="n"/>
      <c r="Q1611" s="47" t="n"/>
      <c r="R1611" s="43">
        <f>IF($B1611="","",N($S1611)-N($Q1611))</f>
        <v/>
      </c>
      <c r="S1611" s="43">
        <f>IF($B1611="","",N($L1611)+N($N1611)+N($P1611))</f>
        <v/>
      </c>
      <c r="T1611" s="47" t="n"/>
      <c r="U1611" s="47" t="n"/>
      <c r="V1611" s="47" t="n"/>
      <c r="W1611" s="47" t="n"/>
      <c r="X1611" s="47" t="n"/>
      <c r="Y1611" s="47" t="n"/>
      <c r="Z1611" s="47" t="n"/>
      <c r="AA1611" s="47" t="n"/>
      <c r="AB1611" s="47" t="n"/>
      <c r="AC1611" s="47" t="n"/>
      <c r="AD1611" s="47" t="n"/>
      <c r="AE1611" s="47" t="n"/>
      <c r="AF1611" s="43">
        <f>IF($B1611="","",SUM($T1611:$AE1611))</f>
        <v/>
      </c>
      <c r="AG1611" s="43">
        <f>IF($B1611="","",N($M1611)-N($AF1611))</f>
        <v/>
      </c>
      <c r="AH1611" s="43">
        <f>IF($B1611="","",N($L1611)-N($AF1611))</f>
        <v/>
      </c>
      <c r="AI1611" s="149">
        <f>IF($B1611="","",IF(N($L1611)=0,"",(N($L1611)-N($AF1611))/N($L1611)))</f>
        <v/>
      </c>
    </row>
    <row r="1612">
      <c r="A1612" s="39">
        <f>IF($B1612="","",COUNTA($B$4:$B1612))</f>
        <v/>
      </c>
      <c r="B1612" s="40" t="n">
        <v>46193</v>
      </c>
      <c r="C1612" s="41" t="n">
        <v>3367</v>
      </c>
      <c r="D1612" s="41" t="inlineStr">
        <is>
          <t>المكتب</t>
        </is>
      </c>
      <c r="E1612" s="41" t="inlineStr">
        <is>
          <t>1*40 ث</t>
        </is>
      </c>
      <c r="F1612" s="41" t="inlineStr">
        <is>
          <t xml:space="preserve">الفرسان </t>
        </is>
      </c>
      <c r="G1612" s="41" t="inlineStr">
        <is>
          <t xml:space="preserve">اكتوبر </t>
        </is>
      </c>
      <c r="H1612" s="41" t="inlineStr">
        <is>
          <t>936078/0</t>
        </is>
      </c>
      <c r="I1612" s="41" t="inlineStr">
        <is>
          <t>س ع م 8737</t>
        </is>
      </c>
      <c r="J1612" s="41" t="inlineStr">
        <is>
          <t xml:space="preserve">جلال حسنى </t>
        </is>
      </c>
      <c r="K1612" s="41" t="inlineStr">
        <is>
          <t xml:space="preserve">المكتب </t>
        </is>
      </c>
      <c r="L1612" s="42" t="n">
        <v>16000</v>
      </c>
      <c r="M1612" s="42" t="n">
        <v>4000</v>
      </c>
      <c r="N1612" s="42" t="n"/>
      <c r="O1612" s="42" t="n"/>
      <c r="P1612" s="42" t="n"/>
      <c r="Q1612" s="42" t="n">
        <v>12000</v>
      </c>
      <c r="R1612" s="43">
        <f>IF($B1612="","",N($S1612)-N($Q1612))</f>
        <v/>
      </c>
      <c r="S1612" s="43">
        <f>IF($B1612="","",N($L1612)+N($N1612)+N($P1612))</f>
        <v/>
      </c>
      <c r="T1612" s="42" t="n"/>
      <c r="U1612" s="42" t="n"/>
      <c r="V1612" s="42" t="n"/>
      <c r="W1612" s="42" t="n"/>
      <c r="X1612" s="42" t="n"/>
      <c r="Y1612" s="42" t="n"/>
      <c r="Z1612" s="42" t="n"/>
      <c r="AA1612" s="42" t="n"/>
      <c r="AB1612" s="42" t="n"/>
      <c r="AC1612" s="42" t="n"/>
      <c r="AD1612" s="42" t="n"/>
      <c r="AE1612" s="42" t="n"/>
      <c r="AF1612" s="43">
        <f>IF($B1612="","",SUM($T1612:$AE1612))</f>
        <v/>
      </c>
      <c r="AG1612" s="43">
        <f>IF($B1612="","",N($M1612)-N($AF1612))</f>
        <v/>
      </c>
      <c r="AH1612" s="43">
        <f>IF($B1612="","",N($L1612)-N($AF1612))</f>
        <v/>
      </c>
      <c r="AI1612" s="149">
        <f>IF($B1612="","",IF(N($L1612)=0,"",(N($L1612)-N($AF1612))/N($L1612)))</f>
        <v/>
      </c>
    </row>
    <row r="1613">
      <c r="A1613" s="39">
        <f>IF($B1613="","",COUNTA($B$4:$B1613))</f>
        <v/>
      </c>
      <c r="B1613" s="45" t="n">
        <v>46193</v>
      </c>
      <c r="C1613" s="46" t="n">
        <v>3372</v>
      </c>
      <c r="D1613" s="46" t="n"/>
      <c r="E1613" s="46" t="inlineStr">
        <is>
          <t>1*40</t>
        </is>
      </c>
      <c r="F1613" s="46" t="inlineStr">
        <is>
          <t xml:space="preserve">السويدى بوليمرز </t>
        </is>
      </c>
      <c r="G1613" s="46" t="inlineStr">
        <is>
          <t xml:space="preserve">العاشر </t>
        </is>
      </c>
      <c r="H1613" s="46" t="inlineStr">
        <is>
          <t>817254/0</t>
        </is>
      </c>
      <c r="I1613" s="46" t="inlineStr">
        <is>
          <t>ع س د 8589</t>
        </is>
      </c>
      <c r="J1613" s="46" t="inlineStr">
        <is>
          <t>ياسر خطاب</t>
        </is>
      </c>
      <c r="K1613" s="46" t="inlineStr">
        <is>
          <t>الليبر</t>
        </is>
      </c>
      <c r="L1613" s="47" t="n">
        <v>16000</v>
      </c>
      <c r="M1613" s="47" t="n">
        <v>9100</v>
      </c>
      <c r="N1613" s="47" t="n"/>
      <c r="O1613" s="47" t="n">
        <v>200</v>
      </c>
      <c r="P1613" s="47" t="n"/>
      <c r="Q1613" s="47" t="n"/>
      <c r="R1613" s="43">
        <f>IF($B1613="","",N($S1613)-N($Q1613))</f>
        <v/>
      </c>
      <c r="S1613" s="43">
        <f>IF($B1613="","",N($L1613)+N($N1613)+N($P1613))</f>
        <v/>
      </c>
      <c r="T1613" s="47" t="n"/>
      <c r="U1613" s="47" t="n"/>
      <c r="V1613" s="47" t="n"/>
      <c r="W1613" s="47" t="n"/>
      <c r="X1613" s="47" t="n"/>
      <c r="Y1613" s="47" t="n"/>
      <c r="Z1613" s="47" t="n"/>
      <c r="AA1613" s="47" t="n"/>
      <c r="AB1613" s="47" t="n"/>
      <c r="AC1613" s="47" t="n"/>
      <c r="AD1613" s="47" t="n"/>
      <c r="AE1613" s="47" t="n"/>
      <c r="AF1613" s="43">
        <f>IF($B1613="","",SUM($T1613:$AE1613))</f>
        <v/>
      </c>
      <c r="AG1613" s="43">
        <f>IF($B1613="","",N($M1613)-N($AF1613))</f>
        <v/>
      </c>
      <c r="AH1613" s="43">
        <f>IF($B1613="","",N($L1613)-N($AF1613))</f>
        <v/>
      </c>
      <c r="AI1613" s="149">
        <f>IF($B1613="","",IF(N($L1613)=0,"",(N($L1613)-N($AF1613))/N($L1613)))</f>
        <v/>
      </c>
    </row>
    <row r="1614">
      <c r="A1614" s="39">
        <f>IF($B1614="","",COUNTA($B$4:$B1614))</f>
        <v/>
      </c>
      <c r="B1614" s="40" t="n">
        <v>46193</v>
      </c>
      <c r="C1614" s="41" t="n">
        <v>3371</v>
      </c>
      <c r="D1614" s="41" t="inlineStr">
        <is>
          <t>احمد خطاب</t>
        </is>
      </c>
      <c r="E1614" s="41" t="inlineStr">
        <is>
          <t>1*40</t>
        </is>
      </c>
      <c r="F1614" s="41" t="inlineStr">
        <is>
          <t xml:space="preserve">السويدى بوليمرز </t>
        </is>
      </c>
      <c r="G1614" s="41" t="inlineStr">
        <is>
          <t xml:space="preserve">العاشر </t>
        </is>
      </c>
      <c r="H1614" s="41" t="inlineStr">
        <is>
          <t>551421/0</t>
        </is>
      </c>
      <c r="I1614" s="41" t="inlineStr">
        <is>
          <t>ع ر ق 1651</t>
        </is>
      </c>
      <c r="J1614" s="41" t="inlineStr">
        <is>
          <t xml:space="preserve">حسن محمد </t>
        </is>
      </c>
      <c r="K1614" s="41" t="inlineStr">
        <is>
          <t>الليبر</t>
        </is>
      </c>
      <c r="L1614" s="42" t="n">
        <v>16000</v>
      </c>
      <c r="M1614" s="42" t="n">
        <v>9100</v>
      </c>
      <c r="N1614" s="42" t="n"/>
      <c r="O1614" s="42" t="n">
        <v>200</v>
      </c>
      <c r="P1614" s="42" t="n"/>
      <c r="Q1614" s="42" t="n"/>
      <c r="R1614" s="43">
        <f>IF($B1614="","",N($S1614)-N($Q1614))</f>
        <v/>
      </c>
      <c r="S1614" s="43">
        <f>IF($B1614="","",N($L1614)+N($N1614)+N($P1614))</f>
        <v/>
      </c>
      <c r="T1614" s="42" t="n"/>
      <c r="U1614" s="42" t="n"/>
      <c r="V1614" s="42" t="n"/>
      <c r="W1614" s="42" t="n"/>
      <c r="X1614" s="42" t="n"/>
      <c r="Y1614" s="42" t="n"/>
      <c r="Z1614" s="42" t="n"/>
      <c r="AA1614" s="42" t="n"/>
      <c r="AB1614" s="42" t="n"/>
      <c r="AC1614" s="42" t="n"/>
      <c r="AD1614" s="42" t="n"/>
      <c r="AE1614" s="42" t="n"/>
      <c r="AF1614" s="43">
        <f>IF($B1614="","",SUM($T1614:$AE1614))</f>
        <v/>
      </c>
      <c r="AG1614" s="43">
        <f>IF($B1614="","",N($M1614)-N($AF1614))</f>
        <v/>
      </c>
      <c r="AH1614" s="43">
        <f>IF($B1614="","",N($L1614)-N($AF1614))</f>
        <v/>
      </c>
      <c r="AI1614" s="149">
        <f>IF($B1614="","",IF(N($L1614)=0,"",(N($L1614)-N($AF1614))/N($L1614)))</f>
        <v/>
      </c>
    </row>
    <row r="1615">
      <c r="A1615" s="39">
        <f>IF($B1615="","",COUNTA($B$4:$B1615))</f>
        <v/>
      </c>
      <c r="B1615" s="45" t="n">
        <v>46193</v>
      </c>
      <c r="C1615" s="46" t="n">
        <v>3373</v>
      </c>
      <c r="D1615" s="46" t="n"/>
      <c r="E1615" s="46" t="inlineStr">
        <is>
          <t>1*40</t>
        </is>
      </c>
      <c r="F1615" s="46" t="inlineStr">
        <is>
          <t xml:space="preserve">السويدى بوليمرز </t>
        </is>
      </c>
      <c r="G1615" s="46" t="inlineStr">
        <is>
          <t xml:space="preserve">العاشر </t>
        </is>
      </c>
      <c r="H1615" s="46" t="inlineStr">
        <is>
          <t>462065/5</t>
        </is>
      </c>
      <c r="I1615" s="46" t="inlineStr">
        <is>
          <t>س ق ب 9283</t>
        </is>
      </c>
      <c r="J1615" s="46" t="inlineStr">
        <is>
          <t xml:space="preserve">احمد الصعيدى </t>
        </is>
      </c>
      <c r="K1615" s="46" t="inlineStr">
        <is>
          <t xml:space="preserve">محمد الصعيدى </t>
        </is>
      </c>
      <c r="L1615" s="47" t="n">
        <v>16000</v>
      </c>
      <c r="M1615" s="47" t="n">
        <v>8100</v>
      </c>
      <c r="N1615" s="47" t="n"/>
      <c r="O1615" s="47" t="n">
        <v>200</v>
      </c>
      <c r="P1615" s="47" t="n"/>
      <c r="Q1615" s="47" t="n"/>
      <c r="R1615" s="43">
        <f>IF($B1615="","",N($S1615)-N($Q1615))</f>
        <v/>
      </c>
      <c r="S1615" s="43">
        <f>IF($B1615="","",N($L1615)+N($N1615)+N($P1615))</f>
        <v/>
      </c>
      <c r="T1615" s="47" t="n"/>
      <c r="U1615" s="47" t="n"/>
      <c r="V1615" s="47" t="n"/>
      <c r="W1615" s="47" t="n"/>
      <c r="X1615" s="47" t="n"/>
      <c r="Y1615" s="47" t="n"/>
      <c r="Z1615" s="47" t="n"/>
      <c r="AA1615" s="47" t="n"/>
      <c r="AB1615" s="47" t="n"/>
      <c r="AC1615" s="47" t="n"/>
      <c r="AD1615" s="47" t="n"/>
      <c r="AE1615" s="47" t="n"/>
      <c r="AF1615" s="43">
        <f>IF($B1615="","",SUM($T1615:$AE1615))</f>
        <v/>
      </c>
      <c r="AG1615" s="43">
        <f>IF($B1615="","",N($M1615)-N($AF1615))</f>
        <v/>
      </c>
      <c r="AH1615" s="43">
        <f>IF($B1615="","",N($L1615)-N($AF1615))</f>
        <v/>
      </c>
      <c r="AI1615" s="149">
        <f>IF($B1615="","",IF(N($L1615)=0,"",(N($L1615)-N($AF1615))/N($L1615)))</f>
        <v/>
      </c>
    </row>
    <row r="1616">
      <c r="A1616" s="39">
        <f>IF($B1616="","",COUNTA($B$4:$B1616))</f>
        <v/>
      </c>
      <c r="B1616" s="40" t="n">
        <v>46193</v>
      </c>
      <c r="C1616" s="41" t="n">
        <v>3374</v>
      </c>
      <c r="D1616" s="41" t="n"/>
      <c r="E1616" s="41" t="inlineStr">
        <is>
          <t>1*40</t>
        </is>
      </c>
      <c r="F1616" s="41" t="inlineStr">
        <is>
          <t xml:space="preserve">السويدى بوليمرز </t>
        </is>
      </c>
      <c r="G1616" s="41" t="inlineStr">
        <is>
          <t xml:space="preserve">العاشر </t>
        </is>
      </c>
      <c r="H1616" s="41" t="inlineStr">
        <is>
          <t>507064/8</t>
        </is>
      </c>
      <c r="I1616" s="41" t="inlineStr">
        <is>
          <t>س ن ف 5149</t>
        </is>
      </c>
      <c r="J1616" s="41" t="inlineStr">
        <is>
          <t xml:space="preserve">وليد زيزو </t>
        </is>
      </c>
      <c r="K1616" s="41" t="inlineStr">
        <is>
          <t xml:space="preserve">محمد الصعيدى </t>
        </is>
      </c>
      <c r="L1616" s="42" t="n">
        <v>16000</v>
      </c>
      <c r="M1616" s="42" t="n">
        <v>8100</v>
      </c>
      <c r="N1616" s="42" t="n"/>
      <c r="O1616" s="42" t="n">
        <v>200</v>
      </c>
      <c r="P1616" s="42" t="n"/>
      <c r="Q1616" s="42" t="n"/>
      <c r="R1616" s="43">
        <f>IF($B1616="","",N($S1616)-N($Q1616))</f>
        <v/>
      </c>
      <c r="S1616" s="43">
        <f>IF($B1616="","",N($L1616)+N($N1616)+N($P1616))</f>
        <v/>
      </c>
      <c r="T1616" s="42" t="n"/>
      <c r="U1616" s="42" t="n"/>
      <c r="V1616" s="42" t="n"/>
      <c r="W1616" s="42" t="n"/>
      <c r="X1616" s="42" t="n"/>
      <c r="Y1616" s="42" t="n"/>
      <c r="Z1616" s="42" t="n"/>
      <c r="AA1616" s="42" t="n"/>
      <c r="AB1616" s="42" t="n"/>
      <c r="AC1616" s="42" t="n"/>
      <c r="AD1616" s="42" t="n"/>
      <c r="AE1616" s="42" t="n"/>
      <c r="AF1616" s="43">
        <f>IF($B1616="","",SUM($T1616:$AE1616))</f>
        <v/>
      </c>
      <c r="AG1616" s="43">
        <f>IF($B1616="","",N($M1616)-N($AF1616))</f>
        <v/>
      </c>
      <c r="AH1616" s="43">
        <f>IF($B1616="","",N($L1616)-N($AF1616))</f>
        <v/>
      </c>
      <c r="AI1616" s="149">
        <f>IF($B1616="","",IF(N($L1616)=0,"",(N($L1616)-N($AF1616))/N($L1616)))</f>
        <v/>
      </c>
    </row>
    <row r="1617">
      <c r="A1617" s="39">
        <f>IF($B1617="","",COUNTA($B$4:$B1617))</f>
        <v/>
      </c>
      <c r="B1617" s="45" t="n">
        <v>46194</v>
      </c>
      <c r="C1617" s="46" t="n">
        <v>3403</v>
      </c>
      <c r="D1617" s="46" t="inlineStr">
        <is>
          <t xml:space="preserve">عتريس مخيمر </t>
        </is>
      </c>
      <c r="E1617" s="46" t="inlineStr">
        <is>
          <t>2*20</t>
        </is>
      </c>
      <c r="F1617" s="46" t="inlineStr">
        <is>
          <t xml:space="preserve">الدولية للبن </t>
        </is>
      </c>
      <c r="G1617" s="46" t="inlineStr">
        <is>
          <t xml:space="preserve">الحوامدية </t>
        </is>
      </c>
      <c r="H1617" s="46" t="inlineStr">
        <is>
          <t>241547/1-340954/0</t>
        </is>
      </c>
      <c r="I1617" s="46" t="inlineStr">
        <is>
          <t>ب ص ا 2574</t>
        </is>
      </c>
      <c r="J1617" s="46" t="inlineStr">
        <is>
          <t xml:space="preserve">محمد البحيرى </t>
        </is>
      </c>
      <c r="K1617" s="46" t="inlineStr">
        <is>
          <t xml:space="preserve">احمد خليف </t>
        </is>
      </c>
      <c r="L1617" s="47" t="n">
        <v>19000</v>
      </c>
      <c r="M1617" s="47" t="n">
        <v>10100</v>
      </c>
      <c r="N1617" s="47" t="n"/>
      <c r="O1617" s="47" t="n">
        <v>200</v>
      </c>
      <c r="P1617" s="47" t="n"/>
      <c r="Q1617" s="47" t="n"/>
      <c r="R1617" s="43">
        <f>IF($B1617="","",N($S1617)-N($Q1617))</f>
        <v/>
      </c>
      <c r="S1617" s="43">
        <f>IF($B1617="","",N($L1617)+N($N1617)+N($P1617))</f>
        <v/>
      </c>
      <c r="T1617" s="47" t="n"/>
      <c r="U1617" s="47" t="n"/>
      <c r="V1617" s="47" t="n"/>
      <c r="W1617" s="47" t="n"/>
      <c r="X1617" s="47" t="n"/>
      <c r="Y1617" s="47" t="n"/>
      <c r="Z1617" s="47" t="n"/>
      <c r="AA1617" s="47" t="n"/>
      <c r="AB1617" s="47" t="n"/>
      <c r="AC1617" s="47" t="n"/>
      <c r="AD1617" s="47" t="n"/>
      <c r="AE1617" s="47" t="n"/>
      <c r="AF1617" s="43">
        <f>IF($B1617="","",SUM($T1617:$AE1617))</f>
        <v/>
      </c>
      <c r="AG1617" s="43">
        <f>IF($B1617="","",N($M1617)-N($AF1617))</f>
        <v/>
      </c>
      <c r="AH1617" s="43">
        <f>IF($B1617="","",N($L1617)-N($AF1617))</f>
        <v/>
      </c>
      <c r="AI1617" s="149">
        <f>IF($B1617="","",IF(N($L1617)=0,"",(N($L1617)-N($AF1617))/N($L1617)))</f>
        <v/>
      </c>
    </row>
    <row r="1618">
      <c r="A1618" s="39">
        <f>IF($B1618="","",COUNTA($B$4:$B1618))</f>
        <v/>
      </c>
      <c r="B1618" s="40" t="n">
        <v>46194</v>
      </c>
      <c r="C1618" s="41" t="n">
        <v>3404</v>
      </c>
      <c r="D1618" s="41" t="inlineStr">
        <is>
          <t>اسلام محروس</t>
        </is>
      </c>
      <c r="E1618" s="41" t="inlineStr">
        <is>
          <t>2*20</t>
        </is>
      </c>
      <c r="F1618" s="41" t="inlineStr">
        <is>
          <t xml:space="preserve">الدولية للبن </t>
        </is>
      </c>
      <c r="G1618" s="41" t="inlineStr">
        <is>
          <t xml:space="preserve">الحوامدية </t>
        </is>
      </c>
      <c r="H1618" s="41" t="inlineStr">
        <is>
          <t>319800/4-319800/4</t>
        </is>
      </c>
      <c r="I1618" s="41" t="inlineStr">
        <is>
          <t>ص ع ا 7462</t>
        </is>
      </c>
      <c r="J1618" s="41" t="inlineStr">
        <is>
          <t xml:space="preserve">فتحى </t>
        </is>
      </c>
      <c r="K1618" s="41" t="inlineStr">
        <is>
          <t xml:space="preserve">الحجرى </t>
        </is>
      </c>
      <c r="L1618" s="42" t="n">
        <v>19000</v>
      </c>
      <c r="M1618" s="42" t="n">
        <v>10100</v>
      </c>
      <c r="N1618" s="42" t="n"/>
      <c r="O1618" s="42" t="n">
        <v>200</v>
      </c>
      <c r="P1618" s="42" t="n"/>
      <c r="Q1618" s="42" t="n"/>
      <c r="R1618" s="43">
        <f>IF($B1618="","",N($S1618)-N($Q1618))</f>
        <v/>
      </c>
      <c r="S1618" s="43">
        <f>IF($B1618="","",N($L1618)+N($N1618)+N($P1618))</f>
        <v/>
      </c>
      <c r="T1618" s="42" t="n"/>
      <c r="U1618" s="42" t="n"/>
      <c r="V1618" s="42" t="n"/>
      <c r="W1618" s="42" t="n"/>
      <c r="X1618" s="42" t="n"/>
      <c r="Y1618" s="42" t="n"/>
      <c r="Z1618" s="42" t="n"/>
      <c r="AA1618" s="42" t="n"/>
      <c r="AB1618" s="42" t="n"/>
      <c r="AC1618" s="42" t="n"/>
      <c r="AD1618" s="42" t="n"/>
      <c r="AE1618" s="42" t="n"/>
      <c r="AF1618" s="43">
        <f>IF($B1618="","",SUM($T1618:$AE1618))</f>
        <v/>
      </c>
      <c r="AG1618" s="43">
        <f>IF($B1618="","",N($M1618)-N($AF1618))</f>
        <v/>
      </c>
      <c r="AH1618" s="43">
        <f>IF($B1618="","",N($L1618)-N($AF1618))</f>
        <v/>
      </c>
      <c r="AI1618" s="149">
        <f>IF($B1618="","",IF(N($L1618)=0,"",(N($L1618)-N($AF1618))/N($L1618)))</f>
        <v/>
      </c>
    </row>
    <row r="1619">
      <c r="A1619" s="39">
        <f>IF($B1619="","",COUNTA($B$4:$B1619))</f>
        <v/>
      </c>
      <c r="B1619" s="45" t="n">
        <v>46194</v>
      </c>
      <c r="C1619" s="46" t="n">
        <v>3401</v>
      </c>
      <c r="D1619" s="46" t="n"/>
      <c r="E1619" s="46" t="inlineStr">
        <is>
          <t>1*40 ث</t>
        </is>
      </c>
      <c r="F1619" s="46" t="inlineStr">
        <is>
          <t xml:space="preserve">كينج فريش </t>
        </is>
      </c>
      <c r="G1619" s="46" t="inlineStr">
        <is>
          <t>ك 113</t>
        </is>
      </c>
      <c r="H1619" s="46" t="inlineStr">
        <is>
          <t>338185/6</t>
        </is>
      </c>
      <c r="I1619" s="46" t="inlineStr">
        <is>
          <t>ع ر ب 1573</t>
        </is>
      </c>
      <c r="J1619" s="46" t="inlineStr">
        <is>
          <t xml:space="preserve">محمد السيد </t>
        </is>
      </c>
      <c r="K1619" s="46" t="inlineStr">
        <is>
          <t xml:space="preserve">حمو مرزوق </t>
        </is>
      </c>
      <c r="L1619" s="47" t="n">
        <v>13500</v>
      </c>
      <c r="M1619" s="47" t="n">
        <v>8100</v>
      </c>
      <c r="N1619" s="47" t="n"/>
      <c r="O1619" s="47" t="n">
        <v>200</v>
      </c>
      <c r="P1619" s="47" t="n"/>
      <c r="Q1619" s="47" t="n"/>
      <c r="R1619" s="43">
        <f>IF($B1619="","",N($S1619)-N($Q1619))</f>
        <v/>
      </c>
      <c r="S1619" s="43">
        <f>IF($B1619="","",N($L1619)+N($N1619)+N($P1619))</f>
        <v/>
      </c>
      <c r="T1619" s="47" t="n"/>
      <c r="U1619" s="47" t="n"/>
      <c r="V1619" s="47" t="n"/>
      <c r="W1619" s="47" t="n"/>
      <c r="X1619" s="47" t="n"/>
      <c r="Y1619" s="47" t="n"/>
      <c r="Z1619" s="47" t="n"/>
      <c r="AA1619" s="47" t="n"/>
      <c r="AB1619" s="47" t="n"/>
      <c r="AC1619" s="47" t="n"/>
      <c r="AD1619" s="47" t="n"/>
      <c r="AE1619" s="47" t="n"/>
      <c r="AF1619" s="43">
        <f>IF($B1619="","",SUM($T1619:$AE1619))</f>
        <v/>
      </c>
      <c r="AG1619" s="43">
        <f>IF($B1619="","",N($M1619)-N($AF1619))</f>
        <v/>
      </c>
      <c r="AH1619" s="43">
        <f>IF($B1619="","",N($L1619)-N($AF1619))</f>
        <v/>
      </c>
      <c r="AI1619" s="149">
        <f>IF($B1619="","",IF(N($L1619)=0,"",(N($L1619)-N($AF1619))/N($L1619)))</f>
        <v/>
      </c>
    </row>
    <row r="1620">
      <c r="A1620" s="39">
        <f>IF($B1620="","",COUNTA($B$4:$B1620))</f>
        <v/>
      </c>
      <c r="B1620" s="40" t="n">
        <v>46194</v>
      </c>
      <c r="C1620" s="41" t="n">
        <v>3402</v>
      </c>
      <c r="D1620" s="41" t="n"/>
      <c r="E1620" s="41" t="inlineStr">
        <is>
          <t>1*40 ث</t>
        </is>
      </c>
      <c r="F1620" s="41" t="inlineStr">
        <is>
          <t xml:space="preserve">كينج فريش </t>
        </is>
      </c>
      <c r="G1620" s="41" t="inlineStr">
        <is>
          <t>ك 113</t>
        </is>
      </c>
      <c r="H1620" s="41" t="inlineStr">
        <is>
          <t xml:space="preserve">001397/6 </t>
        </is>
      </c>
      <c r="I1620" s="41" t="inlineStr">
        <is>
          <t>س ر ا 6671</t>
        </is>
      </c>
      <c r="J1620" s="41" t="inlineStr">
        <is>
          <t xml:space="preserve">احمد صديق </t>
        </is>
      </c>
      <c r="K1620" s="41" t="inlineStr">
        <is>
          <t xml:space="preserve">حمو مرزوق </t>
        </is>
      </c>
      <c r="L1620" s="42" t="n">
        <v>13500</v>
      </c>
      <c r="M1620" s="42" t="n">
        <v>8100</v>
      </c>
      <c r="N1620" s="42" t="n"/>
      <c r="O1620" s="42" t="n">
        <v>200</v>
      </c>
      <c r="P1620" s="42" t="n"/>
      <c r="Q1620" s="42" t="n"/>
      <c r="R1620" s="43">
        <f>IF($B1620="","",N($S1620)-N($Q1620))</f>
        <v/>
      </c>
      <c r="S1620" s="43">
        <f>IF($B1620="","",N($L1620)+N($N1620)+N($P1620))</f>
        <v/>
      </c>
      <c r="T1620" s="42" t="n"/>
      <c r="U1620" s="42" t="n"/>
      <c r="V1620" s="42" t="n"/>
      <c r="W1620" s="42" t="n"/>
      <c r="X1620" s="42" t="n"/>
      <c r="Y1620" s="42" t="n"/>
      <c r="Z1620" s="42" t="n"/>
      <c r="AA1620" s="42" t="n"/>
      <c r="AB1620" s="42" t="n"/>
      <c r="AC1620" s="42" t="n"/>
      <c r="AD1620" s="42" t="n"/>
      <c r="AE1620" s="42" t="n"/>
      <c r="AF1620" s="43">
        <f>IF($B1620="","",SUM($T1620:$AE1620))</f>
        <v/>
      </c>
      <c r="AG1620" s="43">
        <f>IF($B1620="","",N($M1620)-N($AF1620))</f>
        <v/>
      </c>
      <c r="AH1620" s="43">
        <f>IF($B1620="","",N($L1620)-N($AF1620))</f>
        <v/>
      </c>
      <c r="AI1620" s="149">
        <f>IF($B1620="","",IF(N($L1620)=0,"",(N($L1620)-N($AF1620))/N($L1620)))</f>
        <v/>
      </c>
    </row>
    <row r="1621">
      <c r="A1621" s="39">
        <f>IF($B1621="","",COUNTA($B$4:$B1621))</f>
        <v/>
      </c>
      <c r="B1621" s="45" t="n">
        <v>46194</v>
      </c>
      <c r="C1621" s="46" t="n">
        <v>3311</v>
      </c>
      <c r="D1621" s="46" t="inlineStr">
        <is>
          <t xml:space="preserve">الانصارى </t>
        </is>
      </c>
      <c r="E1621" s="46" t="inlineStr">
        <is>
          <t xml:space="preserve">1*40 </t>
        </is>
      </c>
      <c r="F1621" s="46" t="inlineStr">
        <is>
          <t xml:space="preserve">اورينت </t>
        </is>
      </c>
      <c r="G1621" s="46" t="inlineStr">
        <is>
          <t xml:space="preserve">العاشر </t>
        </is>
      </c>
      <c r="H1621" s="46" t="inlineStr">
        <is>
          <t>658213/2</t>
        </is>
      </c>
      <c r="I1621" s="46" t="inlineStr">
        <is>
          <t>ط ف ر 1474</t>
        </is>
      </c>
      <c r="J1621" s="46" t="inlineStr">
        <is>
          <t xml:space="preserve">جمال على </t>
        </is>
      </c>
      <c r="K1621" s="46" t="inlineStr">
        <is>
          <t xml:space="preserve">كريم خليف </t>
        </is>
      </c>
      <c r="L1621" s="47" t="n">
        <v>15500</v>
      </c>
      <c r="M1621" s="47" t="n">
        <v>8100</v>
      </c>
      <c r="N1621" s="47" t="n"/>
      <c r="O1621" s="47" t="n">
        <v>200</v>
      </c>
      <c r="P1621" s="47" t="n"/>
      <c r="Q1621" s="47" t="n"/>
      <c r="R1621" s="43">
        <f>IF($B1621="","",N($S1621)-N($Q1621))</f>
        <v/>
      </c>
      <c r="S1621" s="43">
        <f>IF($B1621="","",N($L1621)+N($N1621)+N($P1621))</f>
        <v/>
      </c>
      <c r="T1621" s="47" t="n"/>
      <c r="U1621" s="47" t="n"/>
      <c r="V1621" s="47" t="n"/>
      <c r="W1621" s="47" t="n"/>
      <c r="X1621" s="47" t="n"/>
      <c r="Y1621" s="47" t="n"/>
      <c r="Z1621" s="47" t="n"/>
      <c r="AA1621" s="47" t="n"/>
      <c r="AB1621" s="47" t="n"/>
      <c r="AC1621" s="47" t="n"/>
      <c r="AD1621" s="47" t="n"/>
      <c r="AE1621" s="47" t="n"/>
      <c r="AF1621" s="43">
        <f>IF($B1621="","",SUM($T1621:$AE1621))</f>
        <v/>
      </c>
      <c r="AG1621" s="43">
        <f>IF($B1621="","",N($M1621)-N($AF1621))</f>
        <v/>
      </c>
      <c r="AH1621" s="43">
        <f>IF($B1621="","",N($L1621)-N($AF1621))</f>
        <v/>
      </c>
      <c r="AI1621" s="149">
        <f>IF($B1621="","",IF(N($L1621)=0,"",(N($L1621)-N($AF1621))/N($L1621)))</f>
        <v/>
      </c>
    </row>
    <row r="1622">
      <c r="A1622" s="39">
        <f>IF($B1622="","",COUNTA($B$4:$B1622))</f>
        <v/>
      </c>
      <c r="B1622" s="40" t="n">
        <v>46195</v>
      </c>
      <c r="C1622" s="41" t="n">
        <v>3406</v>
      </c>
      <c r="D1622" s="41" t="inlineStr">
        <is>
          <t>اسلام محروس</t>
        </is>
      </c>
      <c r="E1622" s="41" t="inlineStr">
        <is>
          <t>2*20</t>
        </is>
      </c>
      <c r="F1622" s="41" t="inlineStr">
        <is>
          <t xml:space="preserve">اكما </t>
        </is>
      </c>
      <c r="G1622" s="41" t="inlineStr">
        <is>
          <t>بنى سويف</t>
        </is>
      </c>
      <c r="H1622" s="41" t="inlineStr">
        <is>
          <t>635946/7 - 049933/7</t>
        </is>
      </c>
      <c r="I1622" s="41" t="inlineStr">
        <is>
          <t>ص ع ا 7462</t>
        </is>
      </c>
      <c r="J1622" s="41" t="inlineStr">
        <is>
          <t xml:space="preserve">فتحى </t>
        </is>
      </c>
      <c r="K1622" s="41" t="inlineStr">
        <is>
          <t xml:space="preserve">الحجرى </t>
        </is>
      </c>
      <c r="L1622" s="42" t="n">
        <v>25000</v>
      </c>
      <c r="M1622" s="42" t="n">
        <v>12100</v>
      </c>
      <c r="N1622" s="42" t="n"/>
      <c r="O1622" s="42" t="n">
        <v>200</v>
      </c>
      <c r="P1622" s="42" t="n"/>
      <c r="Q1622" s="42" t="n"/>
      <c r="R1622" s="43">
        <f>IF($B1622="","",N($S1622)-N($Q1622))</f>
        <v/>
      </c>
      <c r="S1622" s="43">
        <f>IF($B1622="","",N($L1622)+N($N1622)+N($P1622))</f>
        <v/>
      </c>
      <c r="T1622" s="42" t="n"/>
      <c r="U1622" s="42" t="n"/>
      <c r="V1622" s="42" t="n"/>
      <c r="W1622" s="42" t="n"/>
      <c r="X1622" s="42" t="n"/>
      <c r="Y1622" s="42" t="n"/>
      <c r="Z1622" s="42" t="n"/>
      <c r="AA1622" s="42" t="n"/>
      <c r="AB1622" s="42" t="n"/>
      <c r="AC1622" s="42" t="n"/>
      <c r="AD1622" s="42" t="n"/>
      <c r="AE1622" s="42" t="n"/>
      <c r="AF1622" s="43">
        <f>IF($B1622="","",SUM($T1622:$AE1622))</f>
        <v/>
      </c>
      <c r="AG1622" s="43">
        <f>IF($B1622="","",N($M1622)-N($AF1622))</f>
        <v/>
      </c>
      <c r="AH1622" s="43">
        <f>IF($B1622="","",N($L1622)-N($AF1622))</f>
        <v/>
      </c>
      <c r="AI1622" s="149">
        <f>IF($B1622="","",IF(N($L1622)=0,"",(N($L1622)-N($AF1622))/N($L1622)))</f>
        <v/>
      </c>
    </row>
    <row r="1623">
      <c r="A1623" s="39">
        <f>IF($B1623="","",COUNTA($B$4:$B1623))</f>
        <v/>
      </c>
      <c r="B1623" s="45" t="n">
        <v>46195</v>
      </c>
      <c r="C1623" s="46" t="n">
        <v>3313</v>
      </c>
      <c r="D1623" s="46" t="inlineStr">
        <is>
          <t xml:space="preserve">عتريس مخيمر </t>
        </is>
      </c>
      <c r="E1623" s="46" t="inlineStr">
        <is>
          <t>2*20</t>
        </is>
      </c>
      <c r="F1623" s="46" t="inlineStr">
        <is>
          <t xml:space="preserve">اكما </t>
        </is>
      </c>
      <c r="G1623" s="46" t="inlineStr">
        <is>
          <t>بنى سويف</t>
        </is>
      </c>
      <c r="H1623" s="46" t="inlineStr">
        <is>
          <t>106421/0 - 596438/7</t>
        </is>
      </c>
      <c r="I1623" s="46" t="inlineStr">
        <is>
          <t>ب ص ا 2574</t>
        </is>
      </c>
      <c r="J1623" s="46" t="inlineStr">
        <is>
          <t xml:space="preserve">محمد البحيرى </t>
        </is>
      </c>
      <c r="K1623" s="46" t="inlineStr">
        <is>
          <t xml:space="preserve">احمد خليف </t>
        </is>
      </c>
      <c r="L1623" s="47" t="n">
        <v>25000</v>
      </c>
      <c r="M1623" s="47" t="n">
        <v>12100</v>
      </c>
      <c r="N1623" s="47" t="n"/>
      <c r="O1623" s="47" t="n">
        <v>200</v>
      </c>
      <c r="P1623" s="47" t="n"/>
      <c r="Q1623" s="47" t="n"/>
      <c r="R1623" s="43">
        <f>IF($B1623="","",N($S1623)-N($Q1623))</f>
        <v/>
      </c>
      <c r="S1623" s="43">
        <f>IF($B1623="","",N($L1623)+N($N1623)+N($P1623))</f>
        <v/>
      </c>
      <c r="T1623" s="47" t="n"/>
      <c r="U1623" s="47" t="n"/>
      <c r="V1623" s="47" t="n"/>
      <c r="W1623" s="47" t="n"/>
      <c r="X1623" s="47" t="n"/>
      <c r="Y1623" s="47" t="n"/>
      <c r="Z1623" s="47" t="n"/>
      <c r="AA1623" s="47" t="n"/>
      <c r="AB1623" s="47" t="n"/>
      <c r="AC1623" s="47" t="n"/>
      <c r="AD1623" s="47" t="n"/>
      <c r="AE1623" s="47" t="n"/>
      <c r="AF1623" s="43">
        <f>IF($B1623="","",SUM($T1623:$AE1623))</f>
        <v/>
      </c>
      <c r="AG1623" s="43">
        <f>IF($B1623="","",N($M1623)-N($AF1623))</f>
        <v/>
      </c>
      <c r="AH1623" s="43">
        <f>IF($B1623="","",N($L1623)-N($AF1623))</f>
        <v/>
      </c>
      <c r="AI1623" s="149">
        <f>IF($B1623="","",IF(N($L1623)=0,"",(N($L1623)-N($AF1623))/N($L1623)))</f>
        <v/>
      </c>
    </row>
    <row r="1624">
      <c r="A1624" s="39">
        <f>IF($B1624="","",COUNTA($B$4:$B1624))</f>
        <v/>
      </c>
      <c r="B1624" s="40" t="n">
        <v>46195</v>
      </c>
      <c r="C1624" s="41" t="n">
        <v>3314</v>
      </c>
      <c r="D1624" s="41" t="inlineStr">
        <is>
          <t>اسلام محروس</t>
        </is>
      </c>
      <c r="E1624" s="41" t="inlineStr">
        <is>
          <t>2*20</t>
        </is>
      </c>
      <c r="F1624" s="41" t="inlineStr">
        <is>
          <t xml:space="preserve">اكما </t>
        </is>
      </c>
      <c r="G1624" s="41" t="inlineStr">
        <is>
          <t>بنى سويف</t>
        </is>
      </c>
      <c r="H1624" s="41" t="inlineStr">
        <is>
          <t>261542/0-226229/9</t>
        </is>
      </c>
      <c r="I1624" s="41" t="inlineStr">
        <is>
          <t>ب د ف 3891</t>
        </is>
      </c>
      <c r="J1624" s="41" t="inlineStr">
        <is>
          <t xml:space="preserve">اشرف الحجرى </t>
        </is>
      </c>
      <c r="K1624" s="41" t="inlineStr">
        <is>
          <t xml:space="preserve">الحجرى </t>
        </is>
      </c>
      <c r="L1624" s="42" t="n">
        <v>25000</v>
      </c>
      <c r="M1624" s="42" t="n">
        <v>12100</v>
      </c>
      <c r="N1624" s="42" t="n"/>
      <c r="O1624" s="42" t="n">
        <v>200</v>
      </c>
      <c r="P1624" s="42" t="n"/>
      <c r="Q1624" s="42" t="n"/>
      <c r="R1624" s="43">
        <f>IF($B1624="","",N($S1624)-N($Q1624))</f>
        <v/>
      </c>
      <c r="S1624" s="43">
        <f>IF($B1624="","",N($L1624)+N($N1624)+N($P1624))</f>
        <v/>
      </c>
      <c r="T1624" s="42" t="n"/>
      <c r="U1624" s="42" t="n"/>
      <c r="V1624" s="42" t="n"/>
      <c r="W1624" s="42" t="n"/>
      <c r="X1624" s="42" t="n"/>
      <c r="Y1624" s="42" t="n"/>
      <c r="Z1624" s="42" t="n"/>
      <c r="AA1624" s="42" t="n"/>
      <c r="AB1624" s="42" t="n"/>
      <c r="AC1624" s="42" t="n"/>
      <c r="AD1624" s="42" t="n"/>
      <c r="AE1624" s="42" t="n"/>
      <c r="AF1624" s="43">
        <f>IF($B1624="","",SUM($T1624:$AE1624))</f>
        <v/>
      </c>
      <c r="AG1624" s="43">
        <f>IF($B1624="","",N($M1624)-N($AF1624))</f>
        <v/>
      </c>
      <c r="AH1624" s="43">
        <f>IF($B1624="","",N($L1624)-N($AF1624))</f>
        <v/>
      </c>
      <c r="AI1624" s="149">
        <f>IF($B1624="","",IF(N($L1624)=0,"",(N($L1624)-N($AF1624))/N($L1624)))</f>
        <v/>
      </c>
    </row>
    <row r="1625">
      <c r="A1625" s="39">
        <f>IF($B1625="","",COUNTA($B$4:$B1625))</f>
        <v/>
      </c>
      <c r="B1625" s="45" t="n">
        <v>46195</v>
      </c>
      <c r="C1625" s="46" t="n">
        <v>3315</v>
      </c>
      <c r="D1625" s="46" t="inlineStr">
        <is>
          <t>الشريف</t>
        </is>
      </c>
      <c r="E1625" s="46" t="inlineStr">
        <is>
          <t>2*20</t>
        </is>
      </c>
      <c r="F1625" s="46" t="inlineStr">
        <is>
          <t xml:space="preserve">اكما </t>
        </is>
      </c>
      <c r="G1625" s="46" t="inlineStr">
        <is>
          <t>بنى سويف</t>
        </is>
      </c>
      <c r="H1625" s="46" t="inlineStr">
        <is>
          <t>200977/3 - 338257/0</t>
        </is>
      </c>
      <c r="I1625" s="46" t="inlineStr">
        <is>
          <t>ب ج ط 5138</t>
        </is>
      </c>
      <c r="J1625" s="46" t="inlineStr">
        <is>
          <t xml:space="preserve">هانى الحجرى </t>
        </is>
      </c>
      <c r="K1625" s="46" t="inlineStr">
        <is>
          <t xml:space="preserve">الحجرى </t>
        </is>
      </c>
      <c r="L1625" s="47" t="n">
        <v>25000</v>
      </c>
      <c r="M1625" s="47" t="n">
        <v>12100</v>
      </c>
      <c r="N1625" s="47" t="n"/>
      <c r="O1625" s="47" t="n">
        <v>200</v>
      </c>
      <c r="P1625" s="47" t="n"/>
      <c r="Q1625" s="47" t="n"/>
      <c r="R1625" s="43">
        <f>IF($B1625="","",N($S1625)-N($Q1625))</f>
        <v/>
      </c>
      <c r="S1625" s="43">
        <f>IF($B1625="","",N($L1625)+N($N1625)+N($P1625))</f>
        <v/>
      </c>
      <c r="T1625" s="47" t="n"/>
      <c r="U1625" s="47" t="n"/>
      <c r="V1625" s="47" t="n"/>
      <c r="W1625" s="47" t="n"/>
      <c r="X1625" s="47" t="n"/>
      <c r="Y1625" s="47" t="n"/>
      <c r="Z1625" s="47" t="n"/>
      <c r="AA1625" s="47" t="n"/>
      <c r="AB1625" s="47" t="n"/>
      <c r="AC1625" s="47" t="n"/>
      <c r="AD1625" s="47" t="n"/>
      <c r="AE1625" s="47" t="n"/>
      <c r="AF1625" s="43">
        <f>IF($B1625="","",SUM($T1625:$AE1625))</f>
        <v/>
      </c>
      <c r="AG1625" s="43">
        <f>IF($B1625="","",N($M1625)-N($AF1625))</f>
        <v/>
      </c>
      <c r="AH1625" s="43">
        <f>IF($B1625="","",N($L1625)-N($AF1625))</f>
        <v/>
      </c>
      <c r="AI1625" s="149">
        <f>IF($B1625="","",IF(N($L1625)=0,"",(N($L1625)-N($AF1625))/N($L1625)))</f>
        <v/>
      </c>
    </row>
    <row r="1626">
      <c r="A1626" s="39">
        <f>IF($B1626="","",COUNTA($B$4:$B1626))</f>
        <v/>
      </c>
      <c r="B1626" s="40" t="n">
        <v>46195</v>
      </c>
      <c r="C1626" s="41" t="n">
        <v>3036</v>
      </c>
      <c r="D1626" s="41" t="n"/>
      <c r="E1626" s="41" t="inlineStr">
        <is>
          <t>2*20</t>
        </is>
      </c>
      <c r="F1626" s="41" t="inlineStr">
        <is>
          <t xml:space="preserve">اكما </t>
        </is>
      </c>
      <c r="G1626" s="41" t="inlineStr">
        <is>
          <t>بنى سويف</t>
        </is>
      </c>
      <c r="H1626" s="41" t="inlineStr">
        <is>
          <t>252072/7-143854/1</t>
        </is>
      </c>
      <c r="I1626" s="41" t="inlineStr">
        <is>
          <t>س ع م 1514</t>
        </is>
      </c>
      <c r="J1626" s="41" t="inlineStr">
        <is>
          <t xml:space="preserve">اسلام  </t>
        </is>
      </c>
      <c r="K1626" s="41" t="inlineStr">
        <is>
          <t xml:space="preserve">رباح الصيفى </t>
        </is>
      </c>
      <c r="L1626" s="42" t="n">
        <v>25000</v>
      </c>
      <c r="M1626" s="42" t="n">
        <v>10100</v>
      </c>
      <c r="N1626" s="42" t="n">
        <v>5100</v>
      </c>
      <c r="O1626" s="42" t="n">
        <v>200</v>
      </c>
      <c r="P1626" s="42" t="n"/>
      <c r="Q1626" s="42" t="n"/>
      <c r="R1626" s="43">
        <f>IF($B1626="","",N($S1626)-N($Q1626))</f>
        <v/>
      </c>
      <c r="S1626" s="43">
        <f>IF($B1626="","",N($L1626)+N($N1626)+N($P1626))</f>
        <v/>
      </c>
      <c r="T1626" s="42" t="n"/>
      <c r="U1626" s="42" t="n"/>
      <c r="V1626" s="42" t="n"/>
      <c r="W1626" s="42" t="n"/>
      <c r="X1626" s="42" t="n"/>
      <c r="Y1626" s="42" t="n"/>
      <c r="Z1626" s="42" t="n"/>
      <c r="AA1626" s="42" t="n"/>
      <c r="AB1626" s="42" t="n"/>
      <c r="AC1626" s="42" t="n"/>
      <c r="AD1626" s="42" t="n"/>
      <c r="AE1626" s="42" t="n"/>
      <c r="AF1626" s="43">
        <f>IF($B1626="","",SUM($T1626:$AE1626))</f>
        <v/>
      </c>
      <c r="AG1626" s="43">
        <f>IF($B1626="","",N($M1626)-N($AF1626))</f>
        <v/>
      </c>
      <c r="AH1626" s="43">
        <f>IF($B1626="","",N($L1626)-N($AF1626))</f>
        <v/>
      </c>
      <c r="AI1626" s="149">
        <f>IF($B1626="","",IF(N($L1626)=0,"",(N($L1626)-N($AF1626))/N($L1626)))</f>
        <v/>
      </c>
    </row>
    <row r="1627">
      <c r="A1627" s="39">
        <f>IF($B1627="","",COUNTA($B$4:$B1627))</f>
        <v/>
      </c>
      <c r="B1627" s="45" t="n">
        <v>46195</v>
      </c>
      <c r="C1627" s="46" t="n">
        <v>3312</v>
      </c>
      <c r="D1627" s="46" t="inlineStr">
        <is>
          <t xml:space="preserve">الانصارى </t>
        </is>
      </c>
      <c r="E1627" s="46" t="inlineStr">
        <is>
          <t>1*40</t>
        </is>
      </c>
      <c r="F1627" s="46" t="inlineStr">
        <is>
          <t xml:space="preserve">المعمار للاسلاك </t>
        </is>
      </c>
      <c r="G1627" s="46" t="inlineStr">
        <is>
          <t xml:space="preserve">م بدر </t>
        </is>
      </c>
      <c r="H1627" s="46" t="inlineStr">
        <is>
          <t>503025/0</t>
        </is>
      </c>
      <c r="I1627" s="46" t="inlineStr">
        <is>
          <t xml:space="preserve"> ط ف ر 1474</t>
        </is>
      </c>
      <c r="J1627" s="46" t="inlineStr">
        <is>
          <t xml:space="preserve">جمال على </t>
        </is>
      </c>
      <c r="K1627" s="46" t="inlineStr">
        <is>
          <t xml:space="preserve">كريم خليف </t>
        </is>
      </c>
      <c r="L1627" s="47" t="n">
        <v>15700</v>
      </c>
      <c r="M1627" s="47" t="n">
        <v>8100</v>
      </c>
      <c r="N1627" s="47" t="n"/>
      <c r="O1627" s="47" t="n">
        <v>200</v>
      </c>
      <c r="P1627" s="47" t="n"/>
      <c r="Q1627" s="47" t="n"/>
      <c r="R1627" s="43">
        <f>IF($B1627="","",N($S1627)-N($Q1627))</f>
        <v/>
      </c>
      <c r="S1627" s="43">
        <f>IF($B1627="","",N($L1627)+N($N1627)+N($P1627))</f>
        <v/>
      </c>
      <c r="T1627" s="47" t="n"/>
      <c r="U1627" s="47" t="n"/>
      <c r="V1627" s="47" t="n"/>
      <c r="W1627" s="47" t="n"/>
      <c r="X1627" s="47" t="n"/>
      <c r="Y1627" s="47" t="n"/>
      <c r="Z1627" s="47" t="n"/>
      <c r="AA1627" s="47" t="n"/>
      <c r="AB1627" s="47" t="n"/>
      <c r="AC1627" s="47" t="n"/>
      <c r="AD1627" s="47" t="n"/>
      <c r="AE1627" s="47" t="n"/>
      <c r="AF1627" s="43">
        <f>IF($B1627="","",SUM($T1627:$AE1627))</f>
        <v/>
      </c>
      <c r="AG1627" s="43">
        <f>IF($B1627="","",N($M1627)-N($AF1627))</f>
        <v/>
      </c>
      <c r="AH1627" s="43">
        <f>IF($B1627="","",N($L1627)-N($AF1627))</f>
        <v/>
      </c>
      <c r="AI1627" s="149">
        <f>IF($B1627="","",IF(N($L1627)=0,"",(N($L1627)-N($AF1627))/N($L1627)))</f>
        <v/>
      </c>
    </row>
    <row r="1628">
      <c r="A1628" s="39">
        <f>IF($B1628="","",COUNTA($B$4:$B1628))</f>
        <v/>
      </c>
      <c r="B1628" s="40" t="n">
        <v>46195</v>
      </c>
      <c r="C1628" s="41" t="n">
        <v>3316</v>
      </c>
      <c r="D1628" s="41" t="n"/>
      <c r="E1628" s="41" t="inlineStr">
        <is>
          <t>1*40</t>
        </is>
      </c>
      <c r="F1628" s="41" t="inlineStr">
        <is>
          <t xml:space="preserve">الزيوت المستخلصة </t>
        </is>
      </c>
      <c r="G1628" s="41" t="inlineStr">
        <is>
          <t xml:space="preserve">محرم بك </t>
        </is>
      </c>
      <c r="H1628" s="41" t="inlineStr">
        <is>
          <t>844191/3</t>
        </is>
      </c>
      <c r="I1628" s="41" t="inlineStr">
        <is>
          <t>س ن ر 8979</t>
        </is>
      </c>
      <c r="J1628" s="41" t="inlineStr">
        <is>
          <t xml:space="preserve">عماد سعيد </t>
        </is>
      </c>
      <c r="K1628" s="41" t="inlineStr">
        <is>
          <t xml:space="preserve">عماد سعيد </t>
        </is>
      </c>
      <c r="L1628" s="42" t="n">
        <v>6000</v>
      </c>
      <c r="M1628" s="42" t="n">
        <v>6000</v>
      </c>
      <c r="N1628" s="42" t="n"/>
      <c r="O1628" s="42" t="n"/>
      <c r="P1628" s="42" t="n"/>
      <c r="Q1628" s="42" t="n"/>
      <c r="R1628" s="43">
        <f>IF($B1628="","",N($S1628)-N($Q1628))</f>
        <v/>
      </c>
      <c r="S1628" s="43">
        <f>IF($B1628="","",N($L1628)+N($N1628)+N($P1628))</f>
        <v/>
      </c>
      <c r="T1628" s="42" t="n"/>
      <c r="U1628" s="42" t="n"/>
      <c r="V1628" s="42" t="n"/>
      <c r="W1628" s="42" t="n"/>
      <c r="X1628" s="42" t="n"/>
      <c r="Y1628" s="42" t="n"/>
      <c r="Z1628" s="42" t="n"/>
      <c r="AA1628" s="42" t="n"/>
      <c r="AB1628" s="42" t="n"/>
      <c r="AC1628" s="42" t="n"/>
      <c r="AD1628" s="42" t="n"/>
      <c r="AE1628" s="42" t="n"/>
      <c r="AF1628" s="43">
        <f>IF($B1628="","",SUM($T1628:$AE1628))</f>
        <v/>
      </c>
      <c r="AG1628" s="43">
        <f>IF($B1628="","",N($M1628)-N($AF1628))</f>
        <v/>
      </c>
      <c r="AH1628" s="43">
        <f>IF($B1628="","",N($L1628)-N($AF1628))</f>
        <v/>
      </c>
      <c r="AI1628" s="149">
        <f>IF($B1628="","",IF(N($L1628)=0,"",(N($L1628)-N($AF1628))/N($L1628)))</f>
        <v/>
      </c>
    </row>
    <row r="1629">
      <c r="A1629" s="39">
        <f>IF($B1629="","",COUNTA($B$4:$B1629))</f>
        <v/>
      </c>
      <c r="B1629" s="45" t="n">
        <v>46195</v>
      </c>
      <c r="C1629" s="46" t="n">
        <v>3317</v>
      </c>
      <c r="D1629" s="46" t="n"/>
      <c r="E1629" s="46" t="inlineStr">
        <is>
          <t>1*40</t>
        </is>
      </c>
      <c r="F1629" s="46" t="inlineStr">
        <is>
          <t xml:space="preserve">الزيوت المستخلصة </t>
        </is>
      </c>
      <c r="G1629" s="46" t="inlineStr">
        <is>
          <t xml:space="preserve">محرم بك </t>
        </is>
      </c>
      <c r="H1629" s="46" t="inlineStr">
        <is>
          <t>700109/8</t>
        </is>
      </c>
      <c r="I1629" s="46" t="inlineStr">
        <is>
          <t>س ه ا  3946</t>
        </is>
      </c>
      <c r="J1629" s="46" t="inlineStr">
        <is>
          <t xml:space="preserve">ايمن الملاح </t>
        </is>
      </c>
      <c r="K1629" s="46" t="n"/>
      <c r="L1629" s="47" t="n">
        <v>6000</v>
      </c>
      <c r="M1629" s="47" t="n">
        <v>6000</v>
      </c>
      <c r="N1629" s="47" t="n"/>
      <c r="O1629" s="47" t="n"/>
      <c r="P1629" s="47" t="n"/>
      <c r="Q1629" s="47" t="n"/>
      <c r="R1629" s="43">
        <f>IF($B1629="","",N($S1629)-N($Q1629))</f>
        <v/>
      </c>
      <c r="S1629" s="43">
        <f>IF($B1629="","",N($L1629)+N($N1629)+N($P1629))</f>
        <v/>
      </c>
      <c r="T1629" s="47" t="n"/>
      <c r="U1629" s="47" t="n"/>
      <c r="V1629" s="47" t="n"/>
      <c r="W1629" s="47" t="n"/>
      <c r="X1629" s="47" t="n"/>
      <c r="Y1629" s="47" t="n"/>
      <c r="Z1629" s="47" t="n"/>
      <c r="AA1629" s="47" t="n"/>
      <c r="AB1629" s="47" t="n"/>
      <c r="AC1629" s="47" t="n"/>
      <c r="AD1629" s="47" t="n"/>
      <c r="AE1629" s="47" t="n"/>
      <c r="AF1629" s="43">
        <f>IF($B1629="","",SUM($T1629:$AE1629))</f>
        <v/>
      </c>
      <c r="AG1629" s="43">
        <f>IF($B1629="","",N($M1629)-N($AF1629))</f>
        <v/>
      </c>
      <c r="AH1629" s="43">
        <f>IF($B1629="","",N($L1629)-N($AF1629))</f>
        <v/>
      </c>
      <c r="AI1629" s="149">
        <f>IF($B1629="","",IF(N($L1629)=0,"",(N($L1629)-N($AF1629))/N($L1629)))</f>
        <v/>
      </c>
    </row>
    <row r="1630">
      <c r="A1630" s="39">
        <f>IF($B1630="","",COUNTA($B$4:$B1630))</f>
        <v/>
      </c>
      <c r="B1630" s="40" t="n">
        <v>46195</v>
      </c>
      <c r="C1630" s="41" t="n">
        <v>3318</v>
      </c>
      <c r="D1630" s="41" t="n"/>
      <c r="E1630" s="41" t="inlineStr">
        <is>
          <t>1*40</t>
        </is>
      </c>
      <c r="F1630" s="41" t="inlineStr">
        <is>
          <t xml:space="preserve">الزيوت المستخلصة </t>
        </is>
      </c>
      <c r="G1630" s="41" t="inlineStr">
        <is>
          <t xml:space="preserve">محرم بك </t>
        </is>
      </c>
      <c r="H1630" s="41" t="inlineStr">
        <is>
          <t>557388/0</t>
        </is>
      </c>
      <c r="I1630" s="41" t="inlineStr">
        <is>
          <t>س ن ر 3739</t>
        </is>
      </c>
      <c r="J1630" s="41" t="inlineStr">
        <is>
          <t xml:space="preserve">همام العشرى </t>
        </is>
      </c>
      <c r="K1630" s="41" t="inlineStr">
        <is>
          <t xml:space="preserve">همام </t>
        </is>
      </c>
      <c r="L1630" s="42" t="n">
        <v>6000</v>
      </c>
      <c r="M1630" s="42" t="n">
        <v>6000</v>
      </c>
      <c r="N1630" s="42" t="n"/>
      <c r="O1630" s="42" t="n"/>
      <c r="P1630" s="42" t="n"/>
      <c r="Q1630" s="42" t="n"/>
      <c r="R1630" s="43">
        <f>IF($B1630="","",N($S1630)-N($Q1630))</f>
        <v/>
      </c>
      <c r="S1630" s="43">
        <f>IF($B1630="","",N($L1630)+N($N1630)+N($P1630))</f>
        <v/>
      </c>
      <c r="T1630" s="42" t="n"/>
      <c r="U1630" s="42" t="n"/>
      <c r="V1630" s="42" t="n"/>
      <c r="W1630" s="42" t="n"/>
      <c r="X1630" s="42" t="n"/>
      <c r="Y1630" s="42" t="n"/>
      <c r="Z1630" s="42" t="n"/>
      <c r="AA1630" s="42" t="n"/>
      <c r="AB1630" s="42" t="n"/>
      <c r="AC1630" s="42" t="n"/>
      <c r="AD1630" s="42" t="n"/>
      <c r="AE1630" s="42" t="n"/>
      <c r="AF1630" s="43">
        <f>IF($B1630="","",SUM($T1630:$AE1630))</f>
        <v/>
      </c>
      <c r="AG1630" s="43">
        <f>IF($B1630="","",N($M1630)-N($AF1630))</f>
        <v/>
      </c>
      <c r="AH1630" s="43">
        <f>IF($B1630="","",N($L1630)-N($AF1630))</f>
        <v/>
      </c>
      <c r="AI1630" s="149">
        <f>IF($B1630="","",IF(N($L1630)=0,"",(N($L1630)-N($AF1630))/N($L1630)))</f>
        <v/>
      </c>
    </row>
    <row r="1631">
      <c r="A1631" s="39">
        <f>IF($B1631="","",COUNTA($B$4:$B1631))</f>
        <v/>
      </c>
      <c r="B1631" s="45" t="n">
        <v>46195</v>
      </c>
      <c r="C1631" s="46" t="n">
        <v>3319</v>
      </c>
      <c r="D1631" s="46" t="n"/>
      <c r="E1631" s="46" t="inlineStr">
        <is>
          <t>1*40</t>
        </is>
      </c>
      <c r="F1631" s="46" t="inlineStr">
        <is>
          <t xml:space="preserve">الزيوت المستخلصة </t>
        </is>
      </c>
      <c r="G1631" s="46" t="inlineStr">
        <is>
          <t xml:space="preserve">محرم بك </t>
        </is>
      </c>
      <c r="H1631" s="46" t="inlineStr">
        <is>
          <t>623369/8</t>
        </is>
      </c>
      <c r="I1631" s="46" t="inlineStr">
        <is>
          <t>س ا ه 8198</t>
        </is>
      </c>
      <c r="J1631" s="46" t="inlineStr">
        <is>
          <t xml:space="preserve">ايمن محمد </t>
        </is>
      </c>
      <c r="K1631" s="46" t="inlineStr">
        <is>
          <t xml:space="preserve">علاء علام </t>
        </is>
      </c>
      <c r="L1631" s="47" t="n">
        <v>6000</v>
      </c>
      <c r="M1631" s="47" t="n">
        <v>6000</v>
      </c>
      <c r="N1631" s="47" t="n"/>
      <c r="O1631" s="47" t="n"/>
      <c r="P1631" s="47" t="n"/>
      <c r="Q1631" s="47" t="n"/>
      <c r="R1631" s="43">
        <f>IF($B1631="","",N($S1631)-N($Q1631))</f>
        <v/>
      </c>
      <c r="S1631" s="43">
        <f>IF($B1631="","",N($L1631)+N($N1631)+N($P1631))</f>
        <v/>
      </c>
      <c r="T1631" s="47" t="n"/>
      <c r="U1631" s="47" t="n"/>
      <c r="V1631" s="47" t="n"/>
      <c r="W1631" s="47" t="n"/>
      <c r="X1631" s="47" t="n"/>
      <c r="Y1631" s="47" t="n"/>
      <c r="Z1631" s="47" t="n"/>
      <c r="AA1631" s="47" t="n"/>
      <c r="AB1631" s="47" t="n"/>
      <c r="AC1631" s="47" t="n"/>
      <c r="AD1631" s="47" t="n"/>
      <c r="AE1631" s="47" t="n"/>
      <c r="AF1631" s="43">
        <f>IF($B1631="","",SUM($T1631:$AE1631))</f>
        <v/>
      </c>
      <c r="AG1631" s="43">
        <f>IF($B1631="","",N($M1631)-N($AF1631))</f>
        <v/>
      </c>
      <c r="AH1631" s="43">
        <f>IF($B1631="","",N($L1631)-N($AF1631))</f>
        <v/>
      </c>
      <c r="AI1631" s="149">
        <f>IF($B1631="","",IF(N($L1631)=0,"",(N($L1631)-N($AF1631))/N($L1631)))</f>
        <v/>
      </c>
    </row>
    <row r="1632">
      <c r="A1632" s="39">
        <f>IF($B1632="","",COUNTA($B$4:$B1632))</f>
        <v/>
      </c>
      <c r="B1632" s="40" t="n">
        <v>46195</v>
      </c>
      <c r="C1632" s="41" t="n">
        <v>3405</v>
      </c>
      <c r="D1632" s="41" t="n"/>
      <c r="E1632" s="41" t="inlineStr">
        <is>
          <t>1*40</t>
        </is>
      </c>
      <c r="F1632" s="41" t="inlineStr">
        <is>
          <t>النيل</t>
        </is>
      </c>
      <c r="G1632" s="41" t="inlineStr">
        <is>
          <t>بلبيس</t>
        </is>
      </c>
      <c r="H1632" s="41" t="inlineStr">
        <is>
          <t>602853/8</t>
        </is>
      </c>
      <c r="I1632" s="41" t="inlineStr">
        <is>
          <t>ع ر ب 1573</t>
        </is>
      </c>
      <c r="J1632" s="41" t="inlineStr">
        <is>
          <t xml:space="preserve">محمد السيد </t>
        </is>
      </c>
      <c r="K1632" s="41" t="inlineStr">
        <is>
          <t xml:space="preserve">حمو مرزوق </t>
        </is>
      </c>
      <c r="L1632" s="42" t="n">
        <v>18000</v>
      </c>
      <c r="M1632" s="42" t="n">
        <v>9100</v>
      </c>
      <c r="N1632" s="42" t="n"/>
      <c r="O1632" s="42" t="n">
        <v>200</v>
      </c>
      <c r="P1632" s="42" t="n"/>
      <c r="Q1632" s="42" t="n"/>
      <c r="R1632" s="43">
        <f>IF($B1632="","",N($S1632)-N($Q1632))</f>
        <v/>
      </c>
      <c r="S1632" s="43">
        <f>IF($B1632="","",N($L1632)+N($N1632)+N($P1632))</f>
        <v/>
      </c>
      <c r="T1632" s="42" t="n"/>
      <c r="U1632" s="42" t="n"/>
      <c r="V1632" s="42" t="n"/>
      <c r="W1632" s="42" t="n"/>
      <c r="X1632" s="42" t="n"/>
      <c r="Y1632" s="42" t="n"/>
      <c r="Z1632" s="42" t="n"/>
      <c r="AA1632" s="42" t="n"/>
      <c r="AB1632" s="42" t="n"/>
      <c r="AC1632" s="42" t="n"/>
      <c r="AD1632" s="42" t="n"/>
      <c r="AE1632" s="42" t="n"/>
      <c r="AF1632" s="43">
        <f>IF($B1632="","",SUM($T1632:$AE1632))</f>
        <v/>
      </c>
      <c r="AG1632" s="43">
        <f>IF($B1632="","",N($M1632)-N($AF1632))</f>
        <v/>
      </c>
      <c r="AH1632" s="43">
        <f>IF($B1632="","",N($L1632)-N($AF1632))</f>
        <v/>
      </c>
      <c r="AI1632" s="149">
        <f>IF($B1632="","",IF(N($L1632)=0,"",(N($L1632)-N($AF1632))/N($L1632)))</f>
        <v/>
      </c>
    </row>
    <row r="1633">
      <c r="A1633" s="39">
        <f>IF($B1633="","",COUNTA($B$4:$B1633))</f>
        <v/>
      </c>
      <c r="B1633" s="45" t="n">
        <v>46196</v>
      </c>
      <c r="C1633" s="46" t="n">
        <v>3376</v>
      </c>
      <c r="D1633" s="46" t="inlineStr">
        <is>
          <t xml:space="preserve">حماد </t>
        </is>
      </c>
      <c r="E1633" s="46" t="inlineStr">
        <is>
          <t>1*40</t>
        </is>
      </c>
      <c r="F1633" s="46" t="inlineStr">
        <is>
          <t xml:space="preserve">سيرو بلاست </t>
        </is>
      </c>
      <c r="G1633" s="46" t="inlineStr">
        <is>
          <t xml:space="preserve">اكتوبر </t>
        </is>
      </c>
      <c r="H1633" s="46" t="inlineStr">
        <is>
          <t>254370/1</t>
        </is>
      </c>
      <c r="I1633" s="46" t="inlineStr">
        <is>
          <t>س ا ه 8198</t>
        </is>
      </c>
      <c r="J1633" s="46" t="inlineStr">
        <is>
          <t xml:space="preserve">ايمن عبدة </t>
        </is>
      </c>
      <c r="K1633" s="46" t="inlineStr">
        <is>
          <t xml:space="preserve">علاء علام </t>
        </is>
      </c>
      <c r="L1633" s="47" t="n">
        <v>13800</v>
      </c>
      <c r="M1633" s="47" t="n">
        <v>7100</v>
      </c>
      <c r="N1633" s="47" t="n"/>
      <c r="O1633" s="47" t="n">
        <v>200</v>
      </c>
      <c r="P1633" s="47" t="n"/>
      <c r="Q1633" s="47" t="n"/>
      <c r="R1633" s="43">
        <f>IF($B1633="","",N($S1633)-N($Q1633))</f>
        <v/>
      </c>
      <c r="S1633" s="43">
        <f>IF($B1633="","",N($L1633)+N($N1633)+N($P1633))</f>
        <v/>
      </c>
      <c r="T1633" s="47" t="n"/>
      <c r="U1633" s="47" t="n"/>
      <c r="V1633" s="47" t="n"/>
      <c r="W1633" s="47" t="n"/>
      <c r="X1633" s="47" t="n"/>
      <c r="Y1633" s="47" t="n"/>
      <c r="Z1633" s="47" t="n"/>
      <c r="AA1633" s="47" t="n"/>
      <c r="AB1633" s="47" t="n"/>
      <c r="AC1633" s="47" t="n"/>
      <c r="AD1633" s="47" t="n"/>
      <c r="AE1633" s="47" t="n"/>
      <c r="AF1633" s="43">
        <f>IF($B1633="","",SUM($T1633:$AE1633))</f>
        <v/>
      </c>
      <c r="AG1633" s="43">
        <f>IF($B1633="","",N($M1633)-N($AF1633))</f>
        <v/>
      </c>
      <c r="AH1633" s="43">
        <f>IF($B1633="","",N($L1633)-N($AF1633))</f>
        <v/>
      </c>
      <c r="AI1633" s="149">
        <f>IF($B1633="","",IF(N($L1633)=0,"",(N($L1633)-N($AF1633))/N($L1633)))</f>
        <v/>
      </c>
    </row>
    <row r="1634">
      <c r="A1634" s="39">
        <f>IF($B1634="","",COUNTA($B$4:$B1634))</f>
        <v/>
      </c>
      <c r="B1634" s="40" t="n">
        <v>46196</v>
      </c>
      <c r="C1634" s="41" t="n">
        <v>3377</v>
      </c>
      <c r="D1634" s="41" t="n"/>
      <c r="E1634" s="41" t="inlineStr">
        <is>
          <t>1*40</t>
        </is>
      </c>
      <c r="F1634" s="41" t="inlineStr">
        <is>
          <t xml:space="preserve">سيرو بلاست </t>
        </is>
      </c>
      <c r="G1634" s="41" t="inlineStr">
        <is>
          <t xml:space="preserve">اكتوبر </t>
        </is>
      </c>
      <c r="H1634" s="41" t="inlineStr">
        <is>
          <t>864641/8</t>
        </is>
      </c>
      <c r="I1634" s="41" t="inlineStr">
        <is>
          <t>س ر ا 6671</t>
        </is>
      </c>
      <c r="J1634" s="41" t="inlineStr">
        <is>
          <t xml:space="preserve">احمد صديق </t>
        </is>
      </c>
      <c r="K1634" s="41" t="inlineStr">
        <is>
          <t xml:space="preserve">حمو مرزوق </t>
        </is>
      </c>
      <c r="L1634" s="42" t="n">
        <v>13800</v>
      </c>
      <c r="M1634" s="42" t="n">
        <v>7100</v>
      </c>
      <c r="N1634" s="42" t="n"/>
      <c r="O1634" s="42" t="n">
        <v>200</v>
      </c>
      <c r="P1634" s="42" t="n"/>
      <c r="Q1634" s="42" t="n"/>
      <c r="R1634" s="43">
        <f>IF($B1634="","",N($S1634)-N($Q1634))</f>
        <v/>
      </c>
      <c r="S1634" s="43">
        <f>IF($B1634="","",N($L1634)+N($N1634)+N($P1634))</f>
        <v/>
      </c>
      <c r="T1634" s="42" t="n"/>
      <c r="U1634" s="42" t="n"/>
      <c r="V1634" s="42" t="n"/>
      <c r="W1634" s="42" t="n"/>
      <c r="X1634" s="42" t="n"/>
      <c r="Y1634" s="42" t="n"/>
      <c r="Z1634" s="42" t="n"/>
      <c r="AA1634" s="42" t="n"/>
      <c r="AB1634" s="42" t="n"/>
      <c r="AC1634" s="42" t="n"/>
      <c r="AD1634" s="42" t="n"/>
      <c r="AE1634" s="42" t="n"/>
      <c r="AF1634" s="43">
        <f>IF($B1634="","",SUM($T1634:$AE1634))</f>
        <v/>
      </c>
      <c r="AG1634" s="43">
        <f>IF($B1634="","",N($M1634)-N($AF1634))</f>
        <v/>
      </c>
      <c r="AH1634" s="43">
        <f>IF($B1634="","",N($L1634)-N($AF1634))</f>
        <v/>
      </c>
      <c r="AI1634" s="149">
        <f>IF($B1634="","",IF(N($L1634)=0,"",(N($L1634)-N($AF1634))/N($L1634)))</f>
        <v/>
      </c>
    </row>
    <row r="1635">
      <c r="A1635" s="39">
        <f>IF($B1635="","",COUNTA($B$4:$B1635))</f>
        <v/>
      </c>
      <c r="B1635" s="45" t="n">
        <v>46196</v>
      </c>
      <c r="C1635" s="46" t="n">
        <v>3380</v>
      </c>
      <c r="D1635" s="46" t="inlineStr">
        <is>
          <t>وليد الجهينى</t>
        </is>
      </c>
      <c r="E1635" s="46" t="inlineStr">
        <is>
          <t>1*40</t>
        </is>
      </c>
      <c r="F1635" s="46" t="inlineStr">
        <is>
          <t xml:space="preserve">سيرو بلاست </t>
        </is>
      </c>
      <c r="G1635" s="46" t="inlineStr">
        <is>
          <t xml:space="preserve">اكتوبر </t>
        </is>
      </c>
      <c r="H1635" s="46" t="inlineStr">
        <is>
          <t>797474/2</t>
        </is>
      </c>
      <c r="I1635" s="46" t="inlineStr">
        <is>
          <t>س ن ر 3739</t>
        </is>
      </c>
      <c r="J1635" s="46" t="inlineStr">
        <is>
          <t xml:space="preserve">همام العشرى </t>
        </is>
      </c>
      <c r="K1635" s="46" t="inlineStr">
        <is>
          <t xml:space="preserve">همام </t>
        </is>
      </c>
      <c r="L1635" s="47" t="n">
        <v>13800</v>
      </c>
      <c r="M1635" s="47" t="n">
        <v>8100</v>
      </c>
      <c r="N1635" s="47" t="n"/>
      <c r="O1635" s="47" t="n">
        <v>200</v>
      </c>
      <c r="P1635" s="47" t="n"/>
      <c r="Q1635" s="47" t="n"/>
      <c r="R1635" s="43">
        <f>IF($B1635="","",N($S1635)-N($Q1635))</f>
        <v/>
      </c>
      <c r="S1635" s="43">
        <f>IF($B1635="","",N($L1635)+N($N1635)+N($P1635))</f>
        <v/>
      </c>
      <c r="T1635" s="47" t="n"/>
      <c r="U1635" s="47" t="n"/>
      <c r="V1635" s="47" t="n"/>
      <c r="W1635" s="47" t="n"/>
      <c r="X1635" s="47" t="n"/>
      <c r="Y1635" s="47" t="n"/>
      <c r="Z1635" s="47" t="n"/>
      <c r="AA1635" s="47" t="n"/>
      <c r="AB1635" s="47" t="n"/>
      <c r="AC1635" s="47" t="n"/>
      <c r="AD1635" s="47" t="n"/>
      <c r="AE1635" s="47" t="n"/>
      <c r="AF1635" s="43">
        <f>IF($B1635="","",SUM($T1635:$AE1635))</f>
        <v/>
      </c>
      <c r="AG1635" s="43">
        <f>IF($B1635="","",N($M1635)-N($AF1635))</f>
        <v/>
      </c>
      <c r="AH1635" s="43">
        <f>IF($B1635="","",N($L1635)-N($AF1635))</f>
        <v/>
      </c>
      <c r="AI1635" s="149">
        <f>IF($B1635="","",IF(N($L1635)=0,"",(N($L1635)-N($AF1635))/N($L1635)))</f>
        <v/>
      </c>
    </row>
    <row r="1636">
      <c r="A1636" s="39">
        <f>IF($B1636="","",COUNTA($B$4:$B1636))</f>
        <v/>
      </c>
      <c r="B1636" s="40" t="n">
        <v>46196</v>
      </c>
      <c r="C1636" s="41" t="n">
        <v>3381</v>
      </c>
      <c r="D1636" s="41" t="n"/>
      <c r="E1636" s="41" t="inlineStr">
        <is>
          <t>1*40</t>
        </is>
      </c>
      <c r="F1636" s="41" t="inlineStr">
        <is>
          <t xml:space="preserve">سيرو بلاست </t>
        </is>
      </c>
      <c r="G1636" s="41" t="inlineStr">
        <is>
          <t xml:space="preserve">اكتوبر </t>
        </is>
      </c>
      <c r="H1636" s="41" t="inlineStr">
        <is>
          <t>927218/9</t>
        </is>
      </c>
      <c r="I1636" s="41" t="inlineStr">
        <is>
          <t>س ع و 3161</t>
        </is>
      </c>
      <c r="J1636" s="41" t="inlineStr">
        <is>
          <t xml:space="preserve">احمد خليفة </t>
        </is>
      </c>
      <c r="K1636" s="41" t="inlineStr">
        <is>
          <t xml:space="preserve">مدحت العمدة </t>
        </is>
      </c>
      <c r="L1636" s="42" t="n">
        <v>13800</v>
      </c>
      <c r="M1636" s="42" t="n">
        <v>8100</v>
      </c>
      <c r="N1636" s="42" t="n"/>
      <c r="O1636" s="42" t="n">
        <v>200</v>
      </c>
      <c r="P1636" s="42" t="n"/>
      <c r="Q1636" s="42" t="n"/>
      <c r="R1636" s="43">
        <f>IF($B1636="","",N($S1636)-N($Q1636))</f>
        <v/>
      </c>
      <c r="S1636" s="43">
        <f>IF($B1636="","",N($L1636)+N($N1636)+N($P1636))</f>
        <v/>
      </c>
      <c r="T1636" s="42" t="n"/>
      <c r="U1636" s="42" t="n"/>
      <c r="V1636" s="42" t="n"/>
      <c r="W1636" s="42" t="n"/>
      <c r="X1636" s="42" t="n"/>
      <c r="Y1636" s="42" t="n"/>
      <c r="Z1636" s="42" t="n"/>
      <c r="AA1636" s="42" t="n"/>
      <c r="AB1636" s="42" t="n"/>
      <c r="AC1636" s="42" t="n"/>
      <c r="AD1636" s="42" t="n"/>
      <c r="AE1636" s="42" t="n"/>
      <c r="AF1636" s="43">
        <f>IF($B1636="","",SUM($T1636:$AE1636))</f>
        <v/>
      </c>
      <c r="AG1636" s="43">
        <f>IF($B1636="","",N($M1636)-N($AF1636))</f>
        <v/>
      </c>
      <c r="AH1636" s="43">
        <f>IF($B1636="","",N($L1636)-N($AF1636))</f>
        <v/>
      </c>
      <c r="AI1636" s="149">
        <f>IF($B1636="","",IF(N($L1636)=0,"",(N($L1636)-N($AF1636))/N($L1636)))</f>
        <v/>
      </c>
    </row>
    <row r="1637">
      <c r="A1637" s="39">
        <f>IF($B1637="","",COUNTA($B$4:$B1637))</f>
        <v/>
      </c>
      <c r="B1637" s="45" t="n">
        <v>46196</v>
      </c>
      <c r="C1637" s="46" t="n">
        <v>3378</v>
      </c>
      <c r="D1637" s="46" t="n"/>
      <c r="E1637" s="46" t="inlineStr">
        <is>
          <t>1*40</t>
        </is>
      </c>
      <c r="F1637" s="46" t="inlineStr">
        <is>
          <t xml:space="preserve">سيرو بلاست </t>
        </is>
      </c>
      <c r="G1637" s="46" t="inlineStr">
        <is>
          <t xml:space="preserve">اكتوبر </t>
        </is>
      </c>
      <c r="H1637" s="46" t="inlineStr">
        <is>
          <t>600161/9</t>
        </is>
      </c>
      <c r="I1637" s="46" t="inlineStr">
        <is>
          <t>س ل ص 7422</t>
        </is>
      </c>
      <c r="J1637" s="46" t="inlineStr">
        <is>
          <t xml:space="preserve">محمد مجدى </t>
        </is>
      </c>
      <c r="K1637" s="46" t="inlineStr">
        <is>
          <t xml:space="preserve">مدحت العمدة </t>
        </is>
      </c>
      <c r="L1637" s="47" t="n">
        <v>13800</v>
      </c>
      <c r="M1637" s="47" t="n">
        <v>8100</v>
      </c>
      <c r="N1637" s="47" t="n"/>
      <c r="O1637" s="47" t="n">
        <v>200</v>
      </c>
      <c r="P1637" s="47" t="n"/>
      <c r="Q1637" s="47" t="n"/>
      <c r="R1637" s="43">
        <f>IF($B1637="","",N($S1637)-N($Q1637))</f>
        <v/>
      </c>
      <c r="S1637" s="43">
        <f>IF($B1637="","",N($L1637)+N($N1637)+N($P1637))</f>
        <v/>
      </c>
      <c r="T1637" s="47" t="n"/>
      <c r="U1637" s="47" t="n"/>
      <c r="V1637" s="47" t="n"/>
      <c r="W1637" s="47" t="n"/>
      <c r="X1637" s="47" t="n"/>
      <c r="Y1637" s="47" t="n"/>
      <c r="Z1637" s="47" t="n"/>
      <c r="AA1637" s="47" t="n"/>
      <c r="AB1637" s="47" t="n"/>
      <c r="AC1637" s="47" t="n"/>
      <c r="AD1637" s="47" t="n"/>
      <c r="AE1637" s="47" t="n"/>
      <c r="AF1637" s="43">
        <f>IF($B1637="","",SUM($T1637:$AE1637))</f>
        <v/>
      </c>
      <c r="AG1637" s="43">
        <f>IF($B1637="","",N($M1637)-N($AF1637))</f>
        <v/>
      </c>
      <c r="AH1637" s="43">
        <f>IF($B1637="","",N($L1637)-N($AF1637))</f>
        <v/>
      </c>
      <c r="AI1637" s="149">
        <f>IF($B1637="","",IF(N($L1637)=0,"",(N($L1637)-N($AF1637))/N($L1637)))</f>
        <v/>
      </c>
    </row>
    <row r="1638">
      <c r="A1638" s="39">
        <f>IF($B1638="","",COUNTA($B$4:$B1638))</f>
        <v/>
      </c>
      <c r="B1638" s="40" t="n">
        <v>46196</v>
      </c>
      <c r="C1638" s="41" t="n">
        <v>3379</v>
      </c>
      <c r="D1638" s="41" t="n"/>
      <c r="E1638" s="41" t="inlineStr">
        <is>
          <t>1*40</t>
        </is>
      </c>
      <c r="F1638" s="41" t="inlineStr">
        <is>
          <t xml:space="preserve">سيرو بلاست </t>
        </is>
      </c>
      <c r="G1638" s="41" t="inlineStr">
        <is>
          <t xml:space="preserve">اكتوبر </t>
        </is>
      </c>
      <c r="H1638" s="41" t="inlineStr">
        <is>
          <t>462038/2</t>
        </is>
      </c>
      <c r="I1638" s="41" t="inlineStr">
        <is>
          <t>س و ا 2579</t>
        </is>
      </c>
      <c r="J1638" s="41" t="inlineStr">
        <is>
          <t xml:space="preserve">احمد ابراهيم </t>
        </is>
      </c>
      <c r="K1638" s="41" t="inlineStr">
        <is>
          <t xml:space="preserve">مدحت العمدة </t>
        </is>
      </c>
      <c r="L1638" s="42" t="n">
        <v>13800</v>
      </c>
      <c r="M1638" s="42" t="n">
        <v>8100</v>
      </c>
      <c r="N1638" s="42" t="n"/>
      <c r="O1638" s="42" t="n">
        <v>200</v>
      </c>
      <c r="P1638" s="42" t="n"/>
      <c r="Q1638" s="42" t="n"/>
      <c r="R1638" s="43">
        <f>IF($B1638="","",N($S1638)-N($Q1638))</f>
        <v/>
      </c>
      <c r="S1638" s="43">
        <f>IF($B1638="","",N($L1638)+N($N1638)+N($P1638))</f>
        <v/>
      </c>
      <c r="T1638" s="42" t="n"/>
      <c r="U1638" s="42" t="n"/>
      <c r="V1638" s="42" t="n"/>
      <c r="W1638" s="42" t="n"/>
      <c r="X1638" s="42" t="n"/>
      <c r="Y1638" s="42" t="n"/>
      <c r="Z1638" s="42" t="n"/>
      <c r="AA1638" s="42" t="n"/>
      <c r="AB1638" s="42" t="n"/>
      <c r="AC1638" s="42" t="n"/>
      <c r="AD1638" s="42" t="n"/>
      <c r="AE1638" s="42" t="n"/>
      <c r="AF1638" s="43">
        <f>IF($B1638="","",SUM($T1638:$AE1638))</f>
        <v/>
      </c>
      <c r="AG1638" s="43">
        <f>IF($B1638="","",N($M1638)-N($AF1638))</f>
        <v/>
      </c>
      <c r="AH1638" s="43">
        <f>IF($B1638="","",N($L1638)-N($AF1638))</f>
        <v/>
      </c>
      <c r="AI1638" s="149">
        <f>IF($B1638="","",IF(N($L1638)=0,"",(N($L1638)-N($AF1638))/N($L1638)))</f>
        <v/>
      </c>
    </row>
    <row r="1639">
      <c r="A1639" s="39">
        <f>IF($B1639="","",COUNTA($B$4:$B1639))</f>
        <v/>
      </c>
      <c r="B1639" s="45" t="n">
        <v>46196</v>
      </c>
      <c r="C1639" s="46" t="n">
        <v>3384</v>
      </c>
      <c r="D1639" s="46" t="n"/>
      <c r="E1639" s="46" t="inlineStr">
        <is>
          <t>1*40</t>
        </is>
      </c>
      <c r="F1639" s="46" t="inlineStr">
        <is>
          <t>النيل</t>
        </is>
      </c>
      <c r="G1639" s="46" t="inlineStr">
        <is>
          <t xml:space="preserve">الشرقية </t>
        </is>
      </c>
      <c r="H1639" s="46" t="inlineStr">
        <is>
          <t>476230/0</t>
        </is>
      </c>
      <c r="I1639" s="46" t="inlineStr">
        <is>
          <t>ط ف ر 1474</t>
        </is>
      </c>
      <c r="J1639" s="46" t="inlineStr">
        <is>
          <t xml:space="preserve">جمال على </t>
        </is>
      </c>
      <c r="K1639" s="46" t="inlineStr">
        <is>
          <t xml:space="preserve">كريم خليف </t>
        </is>
      </c>
      <c r="L1639" s="47" t="n">
        <v>16000</v>
      </c>
      <c r="M1639" s="47" t="n">
        <v>8100</v>
      </c>
      <c r="N1639" s="47" t="n"/>
      <c r="O1639" s="47" t="n">
        <v>200</v>
      </c>
      <c r="P1639" s="47" t="n"/>
      <c r="Q1639" s="47" t="n"/>
      <c r="R1639" s="43">
        <f>IF($B1639="","",N($S1639)-N($Q1639))</f>
        <v/>
      </c>
      <c r="S1639" s="43">
        <f>IF($B1639="","",N($L1639)+N($N1639)+N($P1639))</f>
        <v/>
      </c>
      <c r="T1639" s="47" t="n"/>
      <c r="U1639" s="47" t="n"/>
      <c r="V1639" s="47" t="n"/>
      <c r="W1639" s="47" t="n"/>
      <c r="X1639" s="47" t="n"/>
      <c r="Y1639" s="47" t="n"/>
      <c r="Z1639" s="47" t="n"/>
      <c r="AA1639" s="47" t="n"/>
      <c r="AB1639" s="47" t="n"/>
      <c r="AC1639" s="47" t="n"/>
      <c r="AD1639" s="47" t="n"/>
      <c r="AE1639" s="47" t="n"/>
      <c r="AF1639" s="43">
        <f>IF($B1639="","",SUM($T1639:$AE1639))</f>
        <v/>
      </c>
      <c r="AG1639" s="43">
        <f>IF($B1639="","",N($M1639)-N($AF1639))</f>
        <v/>
      </c>
      <c r="AH1639" s="43">
        <f>IF($B1639="","",N($L1639)-N($AF1639))</f>
        <v/>
      </c>
      <c r="AI1639" s="149">
        <f>IF($B1639="","",IF(N($L1639)=0,"",(N($L1639)-N($AF1639))/N($L1639)))</f>
        <v/>
      </c>
    </row>
    <row r="1640">
      <c r="A1640" s="39">
        <f>IF($B1640="","",COUNTA($B$4:$B1640))</f>
        <v/>
      </c>
      <c r="B1640" s="40" t="n">
        <v>46196</v>
      </c>
      <c r="C1640" s="41" t="n">
        <v>3382</v>
      </c>
      <c r="D1640" s="41" t="inlineStr">
        <is>
          <t xml:space="preserve">عتريس مخيمر </t>
        </is>
      </c>
      <c r="E1640" s="41" t="inlineStr">
        <is>
          <t>1*40</t>
        </is>
      </c>
      <c r="F1640" s="41" t="inlineStr">
        <is>
          <t xml:space="preserve">الريعى </t>
        </is>
      </c>
      <c r="G1640" s="41" t="inlineStr">
        <is>
          <t xml:space="preserve">ابو حماد </t>
        </is>
      </c>
      <c r="H1640" s="41" t="inlineStr">
        <is>
          <t>723013/1</t>
        </is>
      </c>
      <c r="I1640" s="41" t="inlineStr">
        <is>
          <t>ب ص ا 2574</t>
        </is>
      </c>
      <c r="J1640" s="41" t="inlineStr">
        <is>
          <t xml:space="preserve">محمد البحيرى </t>
        </is>
      </c>
      <c r="K1640" s="41" t="inlineStr">
        <is>
          <t xml:space="preserve">احمد خليف </t>
        </is>
      </c>
      <c r="L1640" s="42" t="n">
        <v>17000</v>
      </c>
      <c r="M1640" s="42" t="n">
        <v>9100</v>
      </c>
      <c r="N1640" s="42" t="n"/>
      <c r="O1640" s="42" t="n">
        <v>200</v>
      </c>
      <c r="P1640" s="42" t="n"/>
      <c r="Q1640" s="42" t="n"/>
      <c r="R1640" s="43">
        <f>IF($B1640="","",N($S1640)-N($Q1640))</f>
        <v/>
      </c>
      <c r="S1640" s="43">
        <f>IF($B1640="","",N($L1640)+N($N1640)+N($P1640))</f>
        <v/>
      </c>
      <c r="T1640" s="42" t="n"/>
      <c r="U1640" s="42" t="n"/>
      <c r="V1640" s="42" t="n"/>
      <c r="W1640" s="42" t="n"/>
      <c r="X1640" s="42" t="n"/>
      <c r="Y1640" s="42" t="n"/>
      <c r="Z1640" s="42" t="n"/>
      <c r="AA1640" s="42" t="n"/>
      <c r="AB1640" s="42" t="n"/>
      <c r="AC1640" s="42" t="n"/>
      <c r="AD1640" s="42" t="n"/>
      <c r="AE1640" s="42" t="n"/>
      <c r="AF1640" s="43">
        <f>IF($B1640="","",SUM($T1640:$AE1640))</f>
        <v/>
      </c>
      <c r="AG1640" s="43">
        <f>IF($B1640="","",N($M1640)-N($AF1640))</f>
        <v/>
      </c>
      <c r="AH1640" s="43">
        <f>IF($B1640="","",N($L1640)-N($AF1640))</f>
        <v/>
      </c>
      <c r="AI1640" s="149">
        <f>IF($B1640="","",IF(N($L1640)=0,"",(N($L1640)-N($AF1640))/N($L1640)))</f>
        <v/>
      </c>
    </row>
    <row r="1641">
      <c r="A1641" s="39">
        <f>IF($B1641="","",COUNTA($B$4:$B1641))</f>
        <v/>
      </c>
      <c r="B1641" s="45" t="n">
        <v>46196</v>
      </c>
      <c r="C1641" s="46" t="n">
        <v>3383</v>
      </c>
      <c r="D1641" s="46" t="inlineStr">
        <is>
          <t>الشريف</t>
        </is>
      </c>
      <c r="E1641" s="46" t="inlineStr">
        <is>
          <t>1*40</t>
        </is>
      </c>
      <c r="F1641" s="46" t="inlineStr">
        <is>
          <t xml:space="preserve">الريعى </t>
        </is>
      </c>
      <c r="G1641" s="46" t="inlineStr">
        <is>
          <t xml:space="preserve">ابو حماد </t>
        </is>
      </c>
      <c r="H1641" s="46" t="inlineStr">
        <is>
          <t>522266/7</t>
        </is>
      </c>
      <c r="I1641" s="46" t="inlineStr">
        <is>
          <t>ب ج ط 5138</t>
        </is>
      </c>
      <c r="J1641" s="46" t="inlineStr">
        <is>
          <t xml:space="preserve">هانى الغول </t>
        </is>
      </c>
      <c r="K1641" s="46" t="inlineStr">
        <is>
          <t xml:space="preserve">الحجرى </t>
        </is>
      </c>
      <c r="L1641" s="47" t="n">
        <v>17000</v>
      </c>
      <c r="M1641" s="47" t="n">
        <v>9100</v>
      </c>
      <c r="N1641" s="47" t="n"/>
      <c r="O1641" s="47" t="n">
        <v>200</v>
      </c>
      <c r="P1641" s="47" t="n"/>
      <c r="Q1641" s="47" t="n"/>
      <c r="R1641" s="43">
        <f>IF($B1641="","",N($S1641)-N($Q1641))</f>
        <v/>
      </c>
      <c r="S1641" s="43">
        <f>IF($B1641="","",N($L1641)+N($N1641)+N($P1641))</f>
        <v/>
      </c>
      <c r="T1641" s="47" t="n"/>
      <c r="U1641" s="47" t="n"/>
      <c r="V1641" s="47" t="n"/>
      <c r="W1641" s="47" t="n"/>
      <c r="X1641" s="47" t="n"/>
      <c r="Y1641" s="47" t="n"/>
      <c r="Z1641" s="47" t="n"/>
      <c r="AA1641" s="47" t="n"/>
      <c r="AB1641" s="47" t="n"/>
      <c r="AC1641" s="47" t="n"/>
      <c r="AD1641" s="47" t="n"/>
      <c r="AE1641" s="47" t="n"/>
      <c r="AF1641" s="43">
        <f>IF($B1641="","",SUM($T1641:$AE1641))</f>
        <v/>
      </c>
      <c r="AG1641" s="43">
        <f>IF($B1641="","",N($M1641)-N($AF1641))</f>
        <v/>
      </c>
      <c r="AH1641" s="43">
        <f>IF($B1641="","",N($L1641)-N($AF1641))</f>
        <v/>
      </c>
      <c r="AI1641" s="149">
        <f>IF($B1641="","",IF(N($L1641)=0,"",(N($L1641)-N($AF1641))/N($L1641)))</f>
        <v/>
      </c>
    </row>
    <row r="1642">
      <c r="A1642" s="39">
        <f>IF($B1642="","",COUNTA($B$4:$B1642))</f>
        <v/>
      </c>
      <c r="B1642" s="40" t="n">
        <v>46196</v>
      </c>
      <c r="C1642" s="41" t="n">
        <v>3320</v>
      </c>
      <c r="D1642" s="41" t="inlineStr">
        <is>
          <t xml:space="preserve">حماد </t>
        </is>
      </c>
      <c r="E1642" s="41" t="inlineStr">
        <is>
          <t>1*40</t>
        </is>
      </c>
      <c r="F1642" s="41" t="inlineStr">
        <is>
          <t xml:space="preserve">فارما السويدى </t>
        </is>
      </c>
      <c r="G1642" s="41" t="inlineStr">
        <is>
          <t xml:space="preserve">العاشر </t>
        </is>
      </c>
      <c r="H1642" s="41" t="inlineStr">
        <is>
          <t>916396/0</t>
        </is>
      </c>
      <c r="I1642" s="41" t="inlineStr">
        <is>
          <t>م د ى 4123</t>
        </is>
      </c>
      <c r="J1642" s="41" t="inlineStr">
        <is>
          <t xml:space="preserve">احمد الغامرى </t>
        </is>
      </c>
      <c r="K1642" s="41" t="inlineStr">
        <is>
          <t xml:space="preserve">احمد الغامرى </t>
        </is>
      </c>
      <c r="L1642" s="42" t="n">
        <v>15700</v>
      </c>
      <c r="M1642" s="42" t="n">
        <v>8100</v>
      </c>
      <c r="N1642" s="42" t="n"/>
      <c r="O1642" s="42" t="n">
        <v>200</v>
      </c>
      <c r="P1642" s="42" t="n"/>
      <c r="Q1642" s="42" t="n"/>
      <c r="R1642" s="43">
        <f>IF($B1642="","",N($S1642)-N($Q1642))</f>
        <v/>
      </c>
      <c r="S1642" s="43">
        <f>IF($B1642="","",N($L1642)+N($N1642)+N($P1642))</f>
        <v/>
      </c>
      <c r="T1642" s="42" t="n"/>
      <c r="U1642" s="42" t="n"/>
      <c r="V1642" s="42" t="n"/>
      <c r="W1642" s="42" t="n"/>
      <c r="X1642" s="42" t="n"/>
      <c r="Y1642" s="42" t="n"/>
      <c r="Z1642" s="42" t="n"/>
      <c r="AA1642" s="42" t="n"/>
      <c r="AB1642" s="42" t="n"/>
      <c r="AC1642" s="42" t="n"/>
      <c r="AD1642" s="42" t="n"/>
      <c r="AE1642" s="42" t="n"/>
      <c r="AF1642" s="43">
        <f>IF($B1642="","",SUM($T1642:$AE1642))</f>
        <v/>
      </c>
      <c r="AG1642" s="43">
        <f>IF($B1642="","",N($M1642)-N($AF1642))</f>
        <v/>
      </c>
      <c r="AH1642" s="43">
        <f>IF($B1642="","",N($L1642)-N($AF1642))</f>
        <v/>
      </c>
      <c r="AI1642" s="149">
        <f>IF($B1642="","",IF(N($L1642)=0,"",(N($L1642)-N($AF1642))/N($L1642)))</f>
        <v/>
      </c>
    </row>
    <row r="1643">
      <c r="A1643" s="39">
        <f>IF($B1643="","",COUNTA($B$4:$B1643))</f>
        <v/>
      </c>
      <c r="B1643" s="45" t="n">
        <v>46196</v>
      </c>
      <c r="C1643" s="46" t="n">
        <v>3385</v>
      </c>
      <c r="D1643" s="46" t="n"/>
      <c r="E1643" s="46" t="inlineStr">
        <is>
          <t>1*40</t>
        </is>
      </c>
      <c r="F1643" s="46" t="inlineStr">
        <is>
          <t xml:space="preserve">يونايتد باك </t>
        </is>
      </c>
      <c r="G1643" s="46" t="inlineStr">
        <is>
          <t xml:space="preserve">اكتوبر </t>
        </is>
      </c>
      <c r="H1643" s="46" t="inlineStr">
        <is>
          <t>731894/1</t>
        </is>
      </c>
      <c r="I1643" s="46" t="inlineStr">
        <is>
          <t>ع ر ب 1573</t>
        </is>
      </c>
      <c r="J1643" s="46" t="inlineStr">
        <is>
          <t xml:space="preserve">محمد السيد </t>
        </is>
      </c>
      <c r="K1643" s="46" t="inlineStr">
        <is>
          <t xml:space="preserve">حمو مرزوق </t>
        </is>
      </c>
      <c r="L1643" s="47" t="n">
        <v>13800</v>
      </c>
      <c r="M1643" s="47" t="n">
        <v>7100</v>
      </c>
      <c r="N1643" s="47" t="n"/>
      <c r="O1643" s="47" t="n">
        <v>200</v>
      </c>
      <c r="P1643" s="47" t="n"/>
      <c r="Q1643" s="47" t="n"/>
      <c r="R1643" s="43">
        <f>IF($B1643="","",N($S1643)-N($Q1643))</f>
        <v/>
      </c>
      <c r="S1643" s="43">
        <f>IF($B1643="","",N($L1643)+N($N1643)+N($P1643))</f>
        <v/>
      </c>
      <c r="T1643" s="47" t="n"/>
      <c r="U1643" s="47" t="n"/>
      <c r="V1643" s="47" t="n"/>
      <c r="W1643" s="47" t="n"/>
      <c r="X1643" s="47" t="n"/>
      <c r="Y1643" s="47" t="n"/>
      <c r="Z1643" s="47" t="n"/>
      <c r="AA1643" s="47" t="n"/>
      <c r="AB1643" s="47" t="n"/>
      <c r="AC1643" s="47" t="n"/>
      <c r="AD1643" s="47" t="n"/>
      <c r="AE1643" s="47" t="n"/>
      <c r="AF1643" s="43">
        <f>IF($B1643="","",SUM($T1643:$AE1643))</f>
        <v/>
      </c>
      <c r="AG1643" s="43">
        <f>IF($B1643="","",N($M1643)-N($AF1643))</f>
        <v/>
      </c>
      <c r="AH1643" s="43">
        <f>IF($B1643="","",N($L1643)-N($AF1643))</f>
        <v/>
      </c>
      <c r="AI1643" s="149">
        <f>IF($B1643="","",IF(N($L1643)=0,"",(N($L1643)-N($AF1643))/N($L1643)))</f>
        <v/>
      </c>
    </row>
    <row r="1644">
      <c r="A1644" s="39">
        <f>IF($B1644="","",COUNTA($B$4:$B1644))</f>
        <v/>
      </c>
      <c r="B1644" s="40" t="n">
        <v>46196</v>
      </c>
      <c r="C1644" s="41" t="n">
        <v>2898</v>
      </c>
      <c r="D1644" s="41" t="inlineStr">
        <is>
          <t>ايوب</t>
        </is>
      </c>
      <c r="E1644" s="41" t="inlineStr">
        <is>
          <t>1*20</t>
        </is>
      </c>
      <c r="F1644" s="41" t="inlineStr">
        <is>
          <t xml:space="preserve">دانتى </t>
        </is>
      </c>
      <c r="G1644" s="41" t="inlineStr">
        <is>
          <t xml:space="preserve">المريوطية </t>
        </is>
      </c>
      <c r="H1644" s="41" t="inlineStr">
        <is>
          <t>442155/0</t>
        </is>
      </c>
      <c r="I1644" s="41" t="inlineStr">
        <is>
          <t>ب ر ط 6478</t>
        </is>
      </c>
      <c r="J1644" s="41" t="inlineStr">
        <is>
          <t xml:space="preserve">عبدو شلبى </t>
        </is>
      </c>
      <c r="K1644" s="41" t="inlineStr">
        <is>
          <t xml:space="preserve">ايوب </t>
        </is>
      </c>
      <c r="L1644" s="42" t="n"/>
      <c r="M1644" s="42" t="n">
        <v>7100</v>
      </c>
      <c r="N1644" s="42" t="n"/>
      <c r="O1644" s="42" t="n">
        <v>200</v>
      </c>
      <c r="P1644" s="42" t="n"/>
      <c r="Q1644" s="42" t="n"/>
      <c r="R1644" s="43">
        <f>IF($B1644="","",N($S1644)-N($Q1644))</f>
        <v/>
      </c>
      <c r="S1644" s="43">
        <f>IF($B1644="","",N($L1644)+N($N1644)+N($P1644))</f>
        <v/>
      </c>
      <c r="T1644" s="42" t="n"/>
      <c r="U1644" s="42" t="n"/>
      <c r="V1644" s="42" t="n"/>
      <c r="W1644" s="42" t="n"/>
      <c r="X1644" s="42" t="n"/>
      <c r="Y1644" s="42" t="n"/>
      <c r="Z1644" s="42" t="n"/>
      <c r="AA1644" s="42" t="n"/>
      <c r="AB1644" s="42" t="n"/>
      <c r="AC1644" s="42" t="n"/>
      <c r="AD1644" s="42" t="n"/>
      <c r="AE1644" s="42" t="n"/>
      <c r="AF1644" s="43">
        <f>IF($B1644="","",SUM($T1644:$AE1644))</f>
        <v/>
      </c>
      <c r="AG1644" s="43">
        <f>IF($B1644="","",N($M1644)-N($AF1644))</f>
        <v/>
      </c>
      <c r="AH1644" s="43">
        <f>IF($B1644="","",N($L1644)-N($AF1644))</f>
        <v/>
      </c>
      <c r="AI1644" s="149">
        <f>IF($B1644="","",IF(N($L1644)=0,"",(N($L1644)-N($AF1644))/N($L1644)))</f>
        <v/>
      </c>
    </row>
    <row r="1645">
      <c r="A1645" s="39">
        <f>IF($B1645="","",COUNTA($B$4:$B1645))</f>
        <v/>
      </c>
      <c r="B1645" s="45" t="n">
        <v>46197</v>
      </c>
      <c r="C1645" s="46" t="n">
        <v>3336</v>
      </c>
      <c r="D1645" s="46" t="inlineStr">
        <is>
          <t xml:space="preserve">حماد </t>
        </is>
      </c>
      <c r="E1645" s="46" t="inlineStr">
        <is>
          <t>1*40</t>
        </is>
      </c>
      <c r="F1645" s="46" t="inlineStr">
        <is>
          <t xml:space="preserve">ميت وات </t>
        </is>
      </c>
      <c r="G1645" s="46" t="inlineStr">
        <is>
          <t xml:space="preserve">اكتوبر </t>
        </is>
      </c>
      <c r="H1645" s="46" t="inlineStr">
        <is>
          <t>677207/1</t>
        </is>
      </c>
      <c r="I1645" s="46" t="inlineStr">
        <is>
          <t>س ا ه 8198</t>
        </is>
      </c>
      <c r="J1645" s="46" t="inlineStr">
        <is>
          <t xml:space="preserve">ايمن عبدة </t>
        </is>
      </c>
      <c r="K1645" s="46" t="inlineStr">
        <is>
          <t xml:space="preserve">علاء علام </t>
        </is>
      </c>
      <c r="L1645" s="47" t="n">
        <v>13800</v>
      </c>
      <c r="M1645" s="47" t="n">
        <v>8100</v>
      </c>
      <c r="N1645" s="47" t="n"/>
      <c r="O1645" s="47" t="n">
        <v>200</v>
      </c>
      <c r="P1645" s="47" t="n"/>
      <c r="Q1645" s="47" t="n"/>
      <c r="R1645" s="43">
        <f>IF($B1645="","",N($S1645)-N($Q1645))</f>
        <v/>
      </c>
      <c r="S1645" s="43">
        <f>IF($B1645="","",N($L1645)+N($N1645)+N($P1645))</f>
        <v/>
      </c>
      <c r="T1645" s="47" t="n"/>
      <c r="U1645" s="47" t="n"/>
      <c r="V1645" s="47" t="n"/>
      <c r="W1645" s="47" t="n"/>
      <c r="X1645" s="47" t="n"/>
      <c r="Y1645" s="47" t="n"/>
      <c r="Z1645" s="47" t="n"/>
      <c r="AA1645" s="47" t="n"/>
      <c r="AB1645" s="47" t="n"/>
      <c r="AC1645" s="47" t="n"/>
      <c r="AD1645" s="47" t="n"/>
      <c r="AE1645" s="47" t="n"/>
      <c r="AF1645" s="43">
        <f>IF($B1645="","",SUM($T1645:$AE1645))</f>
        <v/>
      </c>
      <c r="AG1645" s="43">
        <f>IF($B1645="","",N($M1645)-N($AF1645))</f>
        <v/>
      </c>
      <c r="AH1645" s="43">
        <f>IF($B1645="","",N($L1645)-N($AF1645))</f>
        <v/>
      </c>
      <c r="AI1645" s="149">
        <f>IF($B1645="","",IF(N($L1645)=0,"",(N($L1645)-N($AF1645))/N($L1645)))</f>
        <v/>
      </c>
    </row>
    <row r="1646">
      <c r="A1646" s="39">
        <f>IF($B1646="","",COUNTA($B$4:$B1646))</f>
        <v/>
      </c>
      <c r="B1646" s="40" t="n">
        <v>46197</v>
      </c>
      <c r="C1646" s="41" t="n">
        <v>3332</v>
      </c>
      <c r="D1646" s="41" t="inlineStr">
        <is>
          <t>اسلام محروس</t>
        </is>
      </c>
      <c r="E1646" s="41" t="inlineStr">
        <is>
          <t>1*40</t>
        </is>
      </c>
      <c r="F1646" s="41" t="inlineStr">
        <is>
          <t xml:space="preserve">ميت وات </t>
        </is>
      </c>
      <c r="G1646" s="41" t="inlineStr">
        <is>
          <t xml:space="preserve">اكتوبر </t>
        </is>
      </c>
      <c r="H1646" s="41" t="inlineStr">
        <is>
          <t>862768/1</t>
        </is>
      </c>
      <c r="I1646" s="41" t="inlineStr">
        <is>
          <t>ص ع ا 7462</t>
        </is>
      </c>
      <c r="J1646" s="41" t="inlineStr">
        <is>
          <t xml:space="preserve">فتحى </t>
        </is>
      </c>
      <c r="K1646" s="41" t="inlineStr">
        <is>
          <t xml:space="preserve">الحجرى </t>
        </is>
      </c>
      <c r="L1646" s="42" t="n">
        <v>13800</v>
      </c>
      <c r="M1646" s="42" t="n">
        <v>8100</v>
      </c>
      <c r="N1646" s="42" t="n"/>
      <c r="O1646" s="42" t="n">
        <v>200</v>
      </c>
      <c r="P1646" s="42" t="n"/>
      <c r="Q1646" s="42" t="n"/>
      <c r="R1646" s="43">
        <f>IF($B1646="","",N($S1646)-N($Q1646))</f>
        <v/>
      </c>
      <c r="S1646" s="43">
        <f>IF($B1646="","",N($L1646)+N($N1646)+N($P1646))</f>
        <v/>
      </c>
      <c r="T1646" s="42" t="n"/>
      <c r="U1646" s="42" t="n"/>
      <c r="V1646" s="42" t="n"/>
      <c r="W1646" s="42" t="n"/>
      <c r="X1646" s="42" t="n"/>
      <c r="Y1646" s="42" t="n"/>
      <c r="Z1646" s="42" t="n"/>
      <c r="AA1646" s="42" t="n"/>
      <c r="AB1646" s="42" t="n"/>
      <c r="AC1646" s="42" t="n"/>
      <c r="AD1646" s="42" t="n"/>
      <c r="AE1646" s="42" t="n"/>
      <c r="AF1646" s="43">
        <f>IF($B1646="","",SUM($T1646:$AE1646))</f>
        <v/>
      </c>
      <c r="AG1646" s="43">
        <f>IF($B1646="","",N($M1646)-N($AF1646))</f>
        <v/>
      </c>
      <c r="AH1646" s="43">
        <f>IF($B1646="","",N($L1646)-N($AF1646))</f>
        <v/>
      </c>
      <c r="AI1646" s="149">
        <f>IF($B1646="","",IF(N($L1646)=0,"",(N($L1646)-N($AF1646))/N($L1646)))</f>
        <v/>
      </c>
    </row>
    <row r="1647">
      <c r="A1647" s="39">
        <f>IF($B1647="","",COUNTA($B$4:$B1647))</f>
        <v/>
      </c>
      <c r="B1647" s="45" t="n">
        <v>46197</v>
      </c>
      <c r="C1647" s="46" t="n">
        <v>3333</v>
      </c>
      <c r="D1647" s="46" t="inlineStr">
        <is>
          <t>اسلام محروس</t>
        </is>
      </c>
      <c r="E1647" s="46" t="inlineStr">
        <is>
          <t>1*40</t>
        </is>
      </c>
      <c r="F1647" s="46" t="inlineStr">
        <is>
          <t xml:space="preserve">ميت وات </t>
        </is>
      </c>
      <c r="G1647" s="46" t="inlineStr">
        <is>
          <t xml:space="preserve">اكتوبر </t>
        </is>
      </c>
      <c r="H1647" s="46" t="inlineStr">
        <is>
          <t>666126/6</t>
        </is>
      </c>
      <c r="I1647" s="46" t="inlineStr">
        <is>
          <t>ب د ف 3891</t>
        </is>
      </c>
      <c r="J1647" s="46" t="inlineStr">
        <is>
          <t xml:space="preserve">اشرف الحجرى </t>
        </is>
      </c>
      <c r="K1647" s="46" t="inlineStr">
        <is>
          <t xml:space="preserve">الحجرى </t>
        </is>
      </c>
      <c r="L1647" s="47" t="n">
        <v>13800</v>
      </c>
      <c r="M1647" s="47" t="n">
        <v>8100</v>
      </c>
      <c r="N1647" s="47" t="n"/>
      <c r="O1647" s="47" t="n">
        <v>200</v>
      </c>
      <c r="P1647" s="47" t="n"/>
      <c r="Q1647" s="47" t="n"/>
      <c r="R1647" s="43">
        <f>IF($B1647="","",N($S1647)-N($Q1647))</f>
        <v/>
      </c>
      <c r="S1647" s="43">
        <f>IF($B1647="","",N($L1647)+N($N1647)+N($P1647))</f>
        <v/>
      </c>
      <c r="T1647" s="47" t="n"/>
      <c r="U1647" s="47" t="n"/>
      <c r="V1647" s="47" t="n"/>
      <c r="W1647" s="47" t="n"/>
      <c r="X1647" s="47" t="n"/>
      <c r="Y1647" s="47" t="n"/>
      <c r="Z1647" s="47" t="n"/>
      <c r="AA1647" s="47" t="n"/>
      <c r="AB1647" s="47" t="n"/>
      <c r="AC1647" s="47" t="n"/>
      <c r="AD1647" s="47" t="n"/>
      <c r="AE1647" s="47" t="n"/>
      <c r="AF1647" s="43">
        <f>IF($B1647="","",SUM($T1647:$AE1647))</f>
        <v/>
      </c>
      <c r="AG1647" s="43">
        <f>IF($B1647="","",N($M1647)-N($AF1647))</f>
        <v/>
      </c>
      <c r="AH1647" s="43">
        <f>IF($B1647="","",N($L1647)-N($AF1647))</f>
        <v/>
      </c>
      <c r="AI1647" s="149">
        <f>IF($B1647="","",IF(N($L1647)=0,"",(N($L1647)-N($AF1647))/N($L1647)))</f>
        <v/>
      </c>
    </row>
    <row r="1648">
      <c r="A1648" s="39">
        <f>IF($B1648="","",COUNTA($B$4:$B1648))</f>
        <v/>
      </c>
      <c r="B1648" s="40" t="n">
        <v>46197</v>
      </c>
      <c r="C1648" s="41" t="n">
        <v>3337</v>
      </c>
      <c r="D1648" s="41" t="n"/>
      <c r="E1648" s="41" t="inlineStr">
        <is>
          <t>1*40</t>
        </is>
      </c>
      <c r="F1648" s="41" t="inlineStr">
        <is>
          <t xml:space="preserve">ميت وات </t>
        </is>
      </c>
      <c r="G1648" s="41" t="inlineStr">
        <is>
          <t xml:space="preserve">اكتوبر </t>
        </is>
      </c>
      <c r="H1648" s="41" t="inlineStr">
        <is>
          <t>881618/9</t>
        </is>
      </c>
      <c r="I1648" s="41" t="inlineStr">
        <is>
          <t>ق ف ر 7129</t>
        </is>
      </c>
      <c r="J1648" s="41" t="inlineStr">
        <is>
          <t xml:space="preserve">سامح الكمبورى </t>
        </is>
      </c>
      <c r="K1648" s="41" t="inlineStr">
        <is>
          <t xml:space="preserve">استوريا </t>
        </is>
      </c>
      <c r="L1648" s="42" t="n">
        <v>13800</v>
      </c>
      <c r="M1648" s="42" t="n">
        <v>8100</v>
      </c>
      <c r="N1648" s="42" t="n"/>
      <c r="O1648" s="42" t="n">
        <v>200</v>
      </c>
      <c r="P1648" s="42" t="n"/>
      <c r="Q1648" s="42" t="n"/>
      <c r="R1648" s="43">
        <f>IF($B1648="","",N($S1648)-N($Q1648))</f>
        <v/>
      </c>
      <c r="S1648" s="43">
        <f>IF($B1648="","",N($L1648)+N($N1648)+N($P1648))</f>
        <v/>
      </c>
      <c r="T1648" s="42" t="n"/>
      <c r="U1648" s="42" t="n"/>
      <c r="V1648" s="42" t="n"/>
      <c r="W1648" s="42" t="n"/>
      <c r="X1648" s="42" t="n"/>
      <c r="Y1648" s="42" t="n"/>
      <c r="Z1648" s="42" t="n"/>
      <c r="AA1648" s="42" t="n"/>
      <c r="AB1648" s="42" t="n"/>
      <c r="AC1648" s="42" t="n"/>
      <c r="AD1648" s="42" t="n"/>
      <c r="AE1648" s="42" t="n"/>
      <c r="AF1648" s="43">
        <f>IF($B1648="","",SUM($T1648:$AE1648))</f>
        <v/>
      </c>
      <c r="AG1648" s="43">
        <f>IF($B1648="","",N($M1648)-N($AF1648))</f>
        <v/>
      </c>
      <c r="AH1648" s="43">
        <f>IF($B1648="","",N($L1648)-N($AF1648))</f>
        <v/>
      </c>
      <c r="AI1648" s="149">
        <f>IF($B1648="","",IF(N($L1648)=0,"",(N($L1648)-N($AF1648))/N($L1648)))</f>
        <v/>
      </c>
    </row>
    <row r="1649">
      <c r="A1649" s="39">
        <f>IF($B1649="","",COUNTA($B$4:$B1649))</f>
        <v/>
      </c>
      <c r="B1649" s="45" t="n">
        <v>46197</v>
      </c>
      <c r="C1649" s="46" t="n">
        <v>3334</v>
      </c>
      <c r="D1649" s="46" t="n"/>
      <c r="E1649" s="46" t="inlineStr">
        <is>
          <t>1*40</t>
        </is>
      </c>
      <c r="F1649" s="46" t="inlineStr">
        <is>
          <t xml:space="preserve">ميت وات </t>
        </is>
      </c>
      <c r="G1649" s="46" t="inlineStr">
        <is>
          <t xml:space="preserve">اكتوبر </t>
        </is>
      </c>
      <c r="H1649" s="46" t="inlineStr">
        <is>
          <t>789317/8</t>
        </is>
      </c>
      <c r="I1649" s="46" t="inlineStr">
        <is>
          <t>س ر ا 6671</t>
        </is>
      </c>
      <c r="J1649" s="46" t="inlineStr">
        <is>
          <t xml:space="preserve">احمد صديق </t>
        </is>
      </c>
      <c r="K1649" s="46" t="inlineStr">
        <is>
          <t xml:space="preserve">حمو مرزوق </t>
        </is>
      </c>
      <c r="L1649" s="47" t="n">
        <v>13800</v>
      </c>
      <c r="M1649" s="47" t="n">
        <v>8100</v>
      </c>
      <c r="N1649" s="47" t="n"/>
      <c r="O1649" s="47" t="n">
        <v>200</v>
      </c>
      <c r="P1649" s="47" t="n"/>
      <c r="Q1649" s="47" t="n"/>
      <c r="R1649" s="43">
        <f>IF($B1649="","",N($S1649)-N($Q1649))</f>
        <v/>
      </c>
      <c r="S1649" s="43">
        <f>IF($B1649="","",N($L1649)+N($N1649)+N($P1649))</f>
        <v/>
      </c>
      <c r="T1649" s="47" t="n"/>
      <c r="U1649" s="47" t="n"/>
      <c r="V1649" s="47" t="n"/>
      <c r="W1649" s="47" t="n"/>
      <c r="X1649" s="47" t="n"/>
      <c r="Y1649" s="47" t="n"/>
      <c r="Z1649" s="47" t="n"/>
      <c r="AA1649" s="47" t="n"/>
      <c r="AB1649" s="47" t="n"/>
      <c r="AC1649" s="47" t="n"/>
      <c r="AD1649" s="47" t="n"/>
      <c r="AE1649" s="47" t="n"/>
      <c r="AF1649" s="43">
        <f>IF($B1649="","",SUM($T1649:$AE1649))</f>
        <v/>
      </c>
      <c r="AG1649" s="43">
        <f>IF($B1649="","",N($M1649)-N($AF1649))</f>
        <v/>
      </c>
      <c r="AH1649" s="43">
        <f>IF($B1649="","",N($L1649)-N($AF1649))</f>
        <v/>
      </c>
      <c r="AI1649" s="149">
        <f>IF($B1649="","",IF(N($L1649)=0,"",(N($L1649)-N($AF1649))/N($L1649)))</f>
        <v/>
      </c>
    </row>
    <row r="1650">
      <c r="A1650" s="39">
        <f>IF($B1650="","",COUNTA($B$4:$B1650))</f>
        <v/>
      </c>
      <c r="B1650" s="40" t="n">
        <v>46197</v>
      </c>
      <c r="C1650" s="41" t="n">
        <v>3329</v>
      </c>
      <c r="D1650" s="41" t="n"/>
      <c r="E1650" s="41" t="inlineStr">
        <is>
          <t>1*40</t>
        </is>
      </c>
      <c r="F1650" s="41" t="inlineStr">
        <is>
          <t xml:space="preserve">ميت وات </t>
        </is>
      </c>
      <c r="G1650" s="41" t="inlineStr">
        <is>
          <t xml:space="preserve">اكتوبر </t>
        </is>
      </c>
      <c r="H1650" s="41" t="inlineStr">
        <is>
          <t>563304/3</t>
        </is>
      </c>
      <c r="I1650" s="41" t="inlineStr">
        <is>
          <t>ع ر ب 1573</t>
        </is>
      </c>
      <c r="J1650" s="41" t="inlineStr">
        <is>
          <t xml:space="preserve">محمد السيد </t>
        </is>
      </c>
      <c r="K1650" s="41" t="inlineStr">
        <is>
          <t xml:space="preserve">حمو مرزوق </t>
        </is>
      </c>
      <c r="L1650" s="42" t="n">
        <v>13800</v>
      </c>
      <c r="M1650" s="42" t="n">
        <v>8100</v>
      </c>
      <c r="N1650" s="42" t="n"/>
      <c r="O1650" s="42" t="n">
        <v>200</v>
      </c>
      <c r="P1650" s="42" t="n"/>
      <c r="Q1650" s="42" t="n"/>
      <c r="R1650" s="43">
        <f>IF($B1650="","",N($S1650)-N($Q1650))</f>
        <v/>
      </c>
      <c r="S1650" s="43">
        <f>IF($B1650="","",N($L1650)+N($N1650)+N($P1650))</f>
        <v/>
      </c>
      <c r="T1650" s="42" t="n"/>
      <c r="U1650" s="42" t="n"/>
      <c r="V1650" s="42" t="n"/>
      <c r="W1650" s="42" t="n"/>
      <c r="X1650" s="42" t="n"/>
      <c r="Y1650" s="42" t="n"/>
      <c r="Z1650" s="42" t="n"/>
      <c r="AA1650" s="42" t="n"/>
      <c r="AB1650" s="42" t="n"/>
      <c r="AC1650" s="42" t="n"/>
      <c r="AD1650" s="42" t="n"/>
      <c r="AE1650" s="42" t="n"/>
      <c r="AF1650" s="43">
        <f>IF($B1650="","",SUM($T1650:$AE1650))</f>
        <v/>
      </c>
      <c r="AG1650" s="43">
        <f>IF($B1650="","",N($M1650)-N($AF1650))</f>
        <v/>
      </c>
      <c r="AH1650" s="43">
        <f>IF($B1650="","",N($L1650)-N($AF1650))</f>
        <v/>
      </c>
      <c r="AI1650" s="149">
        <f>IF($B1650="","",IF(N($L1650)=0,"",(N($L1650)-N($AF1650))/N($L1650)))</f>
        <v/>
      </c>
    </row>
    <row r="1651">
      <c r="A1651" s="39">
        <f>IF($B1651="","",COUNTA($B$4:$B1651))</f>
        <v/>
      </c>
      <c r="B1651" s="45" t="n">
        <v>46197</v>
      </c>
      <c r="C1651" s="46" t="n">
        <v>3338</v>
      </c>
      <c r="D1651" s="46" t="n"/>
      <c r="E1651" s="46" t="inlineStr">
        <is>
          <t>1*40</t>
        </is>
      </c>
      <c r="F1651" s="46" t="inlineStr">
        <is>
          <t xml:space="preserve">ميت وات </t>
        </is>
      </c>
      <c r="G1651" s="46" t="inlineStr">
        <is>
          <t xml:space="preserve">اكتوبر </t>
        </is>
      </c>
      <c r="H1651" s="46" t="inlineStr">
        <is>
          <t>791440/9</t>
        </is>
      </c>
      <c r="I1651" s="46" t="inlineStr">
        <is>
          <t>ط ف ر 1474</t>
        </is>
      </c>
      <c r="J1651" s="46" t="inlineStr">
        <is>
          <t xml:space="preserve">جمال على </t>
        </is>
      </c>
      <c r="K1651" s="46" t="inlineStr">
        <is>
          <t xml:space="preserve">كريم خليف </t>
        </is>
      </c>
      <c r="L1651" s="47" t="n">
        <v>13800</v>
      </c>
      <c r="M1651" s="47" t="n">
        <v>8100</v>
      </c>
      <c r="N1651" s="47" t="n"/>
      <c r="O1651" s="47" t="n">
        <v>200</v>
      </c>
      <c r="P1651" s="47" t="n"/>
      <c r="Q1651" s="47" t="n"/>
      <c r="R1651" s="43">
        <f>IF($B1651="","",N($S1651)-N($Q1651))</f>
        <v/>
      </c>
      <c r="S1651" s="43">
        <f>IF($B1651="","",N($L1651)+N($N1651)+N($P1651))</f>
        <v/>
      </c>
      <c r="T1651" s="47" t="n"/>
      <c r="U1651" s="47" t="n"/>
      <c r="V1651" s="47" t="n"/>
      <c r="W1651" s="47" t="n"/>
      <c r="X1651" s="47" t="n"/>
      <c r="Y1651" s="47" t="n"/>
      <c r="Z1651" s="47" t="n"/>
      <c r="AA1651" s="47" t="n"/>
      <c r="AB1651" s="47" t="n"/>
      <c r="AC1651" s="47" t="n"/>
      <c r="AD1651" s="47" t="n"/>
      <c r="AE1651" s="47" t="n"/>
      <c r="AF1651" s="43">
        <f>IF($B1651="","",SUM($T1651:$AE1651))</f>
        <v/>
      </c>
      <c r="AG1651" s="43">
        <f>IF($B1651="","",N($M1651)-N($AF1651))</f>
        <v/>
      </c>
      <c r="AH1651" s="43">
        <f>IF($B1651="","",N($L1651)-N($AF1651))</f>
        <v/>
      </c>
      <c r="AI1651" s="149">
        <f>IF($B1651="","",IF(N($L1651)=0,"",(N($L1651)-N($AF1651))/N($L1651)))</f>
        <v/>
      </c>
    </row>
    <row r="1652">
      <c r="A1652" s="39">
        <f>IF($B1652="","",COUNTA($B$4:$B1652))</f>
        <v/>
      </c>
      <c r="B1652" s="40" t="n">
        <v>46197</v>
      </c>
      <c r="C1652" s="41" t="n">
        <v>2899</v>
      </c>
      <c r="D1652" s="41" t="inlineStr">
        <is>
          <t xml:space="preserve">جمعة </t>
        </is>
      </c>
      <c r="E1652" s="41" t="inlineStr">
        <is>
          <t>1*40</t>
        </is>
      </c>
      <c r="F1652" s="41" t="inlineStr">
        <is>
          <t xml:space="preserve">العدوى </t>
        </is>
      </c>
      <c r="G1652" s="41" t="inlineStr">
        <is>
          <t xml:space="preserve">مركز بدر </t>
        </is>
      </c>
      <c r="H1652" s="41" t="inlineStr">
        <is>
          <t>800553/4</t>
        </is>
      </c>
      <c r="I1652" s="41" t="inlineStr">
        <is>
          <t>س و ا 5173</t>
        </is>
      </c>
      <c r="J1652" s="41" t="inlineStr">
        <is>
          <t>احمد صابر</t>
        </is>
      </c>
      <c r="K1652" s="41" t="inlineStr">
        <is>
          <t xml:space="preserve">ميدو كاوتشة </t>
        </is>
      </c>
      <c r="L1652" s="42" t="n">
        <v>12800</v>
      </c>
      <c r="M1652" s="42" t="n">
        <v>8100</v>
      </c>
      <c r="N1652" s="42" t="n"/>
      <c r="O1652" s="42" t="n">
        <v>200</v>
      </c>
      <c r="P1652" s="42" t="n"/>
      <c r="Q1652" s="42" t="n"/>
      <c r="R1652" s="43">
        <f>IF($B1652="","",N($S1652)-N($Q1652))</f>
        <v/>
      </c>
      <c r="S1652" s="43">
        <f>IF($B1652="","",N($L1652)+N($N1652)+N($P1652))</f>
        <v/>
      </c>
      <c r="T1652" s="42" t="n"/>
      <c r="U1652" s="42" t="n"/>
      <c r="V1652" s="42" t="n"/>
      <c r="W1652" s="42" t="n"/>
      <c r="X1652" s="42" t="n"/>
      <c r="Y1652" s="42" t="n"/>
      <c r="Z1652" s="42" t="n"/>
      <c r="AA1652" s="42" t="n"/>
      <c r="AB1652" s="42" t="n"/>
      <c r="AC1652" s="42" t="n"/>
      <c r="AD1652" s="42" t="n"/>
      <c r="AE1652" s="42" t="n"/>
      <c r="AF1652" s="43">
        <f>IF($B1652="","",SUM($T1652:$AE1652))</f>
        <v/>
      </c>
      <c r="AG1652" s="43">
        <f>IF($B1652="","",N($M1652)-N($AF1652))</f>
        <v/>
      </c>
      <c r="AH1652" s="43">
        <f>IF($B1652="","",N($L1652)-N($AF1652))</f>
        <v/>
      </c>
      <c r="AI1652" s="149">
        <f>IF($B1652="","",IF(N($L1652)=0,"",(N($L1652)-N($AF1652))/N($L1652)))</f>
        <v/>
      </c>
    </row>
    <row r="1653">
      <c r="A1653" s="39">
        <f>IF($B1653="","",COUNTA($B$4:$B1653))</f>
        <v/>
      </c>
      <c r="B1653" s="45" t="n">
        <v>46197</v>
      </c>
      <c r="C1653" s="46" t="n">
        <v>2900</v>
      </c>
      <c r="D1653" s="46" t="inlineStr">
        <is>
          <t xml:space="preserve">الجوهرى </t>
        </is>
      </c>
      <c r="E1653" s="46" t="inlineStr">
        <is>
          <t>1*40</t>
        </is>
      </c>
      <c r="F1653" s="46" t="inlineStr">
        <is>
          <t xml:space="preserve">العدوى </t>
        </is>
      </c>
      <c r="G1653" s="46" t="inlineStr">
        <is>
          <t xml:space="preserve">ك حمادة </t>
        </is>
      </c>
      <c r="H1653" s="46" t="inlineStr">
        <is>
          <t>483415/5</t>
        </is>
      </c>
      <c r="I1653" s="46" t="inlineStr">
        <is>
          <t>ع ا م 6981</t>
        </is>
      </c>
      <c r="J1653" s="46" t="inlineStr">
        <is>
          <t xml:space="preserve">ياسر الصباغ </t>
        </is>
      </c>
      <c r="K1653" s="46" t="inlineStr">
        <is>
          <t xml:space="preserve">ابو ادم </t>
        </is>
      </c>
      <c r="L1653" s="47" t="n">
        <v>11000</v>
      </c>
      <c r="M1653" s="47" t="n">
        <v>7100</v>
      </c>
      <c r="N1653" s="47" t="n"/>
      <c r="O1653" s="47" t="n">
        <v>200</v>
      </c>
      <c r="P1653" s="47" t="n"/>
      <c r="Q1653" s="47" t="n"/>
      <c r="R1653" s="43">
        <f>IF($B1653="","",N($S1653)-N($Q1653))</f>
        <v/>
      </c>
      <c r="S1653" s="43">
        <f>IF($B1653="","",N($L1653)+N($N1653)+N($P1653))</f>
        <v/>
      </c>
      <c r="T1653" s="47" t="n"/>
      <c r="U1653" s="47" t="n"/>
      <c r="V1653" s="47" t="n"/>
      <c r="W1653" s="47" t="n"/>
      <c r="X1653" s="47" t="n"/>
      <c r="Y1653" s="47" t="n"/>
      <c r="Z1653" s="47" t="n"/>
      <c r="AA1653" s="47" t="n"/>
      <c r="AB1653" s="47" t="n"/>
      <c r="AC1653" s="47" t="n"/>
      <c r="AD1653" s="47" t="n"/>
      <c r="AE1653" s="47" t="n"/>
      <c r="AF1653" s="43">
        <f>IF($B1653="","",SUM($T1653:$AE1653))</f>
        <v/>
      </c>
      <c r="AG1653" s="43">
        <f>IF($B1653="","",N($M1653)-N($AF1653))</f>
        <v/>
      </c>
      <c r="AH1653" s="43">
        <f>IF($B1653="","",N($L1653)-N($AF1653))</f>
        <v/>
      </c>
      <c r="AI1653" s="149">
        <f>IF($B1653="","",IF(N($L1653)=0,"",(N($L1653)-N($AF1653))/N($L1653)))</f>
        <v/>
      </c>
    </row>
    <row r="1654">
      <c r="A1654" s="39">
        <f>IF($B1654="","",COUNTA($B$4:$B1654))</f>
        <v/>
      </c>
      <c r="B1654" s="40" t="n">
        <v>46197</v>
      </c>
      <c r="C1654" s="41" t="n">
        <v>3386</v>
      </c>
      <c r="D1654" s="41" t="n"/>
      <c r="E1654" s="41" t="inlineStr">
        <is>
          <t>1*20</t>
        </is>
      </c>
      <c r="F1654" s="41" t="inlineStr">
        <is>
          <t xml:space="preserve">السويدى بوليمرز </t>
        </is>
      </c>
      <c r="G1654" s="41" t="inlineStr">
        <is>
          <t xml:space="preserve">العاشر </t>
        </is>
      </c>
      <c r="H1654" s="41" t="inlineStr">
        <is>
          <t>228234/7</t>
        </is>
      </c>
      <c r="I1654" s="41" t="inlineStr">
        <is>
          <t>ب د ط 2689</t>
        </is>
      </c>
      <c r="J1654" s="41" t="inlineStr">
        <is>
          <t xml:space="preserve">هيثم محمد </t>
        </is>
      </c>
      <c r="K1654" s="41" t="inlineStr">
        <is>
          <t xml:space="preserve">رومانى </t>
        </is>
      </c>
      <c r="L1654" s="42" t="n">
        <v>15000</v>
      </c>
      <c r="M1654" s="42" t="n">
        <v>8100</v>
      </c>
      <c r="N1654" s="42" t="n"/>
      <c r="O1654" s="42" t="n">
        <v>200</v>
      </c>
      <c r="P1654" s="42" t="n"/>
      <c r="Q1654" s="42" t="n"/>
      <c r="R1654" s="43">
        <f>IF($B1654="","",N($S1654)-N($Q1654))</f>
        <v/>
      </c>
      <c r="S1654" s="43">
        <f>IF($B1654="","",N($L1654)+N($N1654)+N($P1654))</f>
        <v/>
      </c>
      <c r="T1654" s="42" t="n"/>
      <c r="U1654" s="42" t="n"/>
      <c r="V1654" s="42" t="n"/>
      <c r="W1654" s="42" t="n"/>
      <c r="X1654" s="42" t="n"/>
      <c r="Y1654" s="42" t="n"/>
      <c r="Z1654" s="42" t="n"/>
      <c r="AA1654" s="42" t="n"/>
      <c r="AB1654" s="42" t="n"/>
      <c r="AC1654" s="42" t="n"/>
      <c r="AD1654" s="42" t="n"/>
      <c r="AE1654" s="42" t="n"/>
      <c r="AF1654" s="43">
        <f>IF($B1654="","",SUM($T1654:$AE1654))</f>
        <v/>
      </c>
      <c r="AG1654" s="43">
        <f>IF($B1654="","",N($M1654)-N($AF1654))</f>
        <v/>
      </c>
      <c r="AH1654" s="43">
        <f>IF($B1654="","",N($L1654)-N($AF1654))</f>
        <v/>
      </c>
      <c r="AI1654" s="149">
        <f>IF($B1654="","",IF(N($L1654)=0,"",(N($L1654)-N($AF1654))/N($L1654)))</f>
        <v/>
      </c>
    </row>
    <row r="1655">
      <c r="A1655" s="39">
        <f>IF($B1655="","",COUNTA($B$4:$B1655))</f>
        <v/>
      </c>
      <c r="B1655" s="45" t="n">
        <v>46197</v>
      </c>
      <c r="C1655" s="46" t="n">
        <v>3451</v>
      </c>
      <c r="D1655" s="46" t="n"/>
      <c r="E1655" s="46" t="inlineStr">
        <is>
          <t>1*40</t>
        </is>
      </c>
      <c r="F1655" s="46" t="inlineStr">
        <is>
          <t>يونايتد للاستيراد</t>
        </is>
      </c>
      <c r="G1655" s="46" t="inlineStr">
        <is>
          <t xml:space="preserve">الفيوم </t>
        </is>
      </c>
      <c r="H1655" s="46" t="inlineStr">
        <is>
          <t>517041/2</t>
        </is>
      </c>
      <c r="I1655" s="46" t="inlineStr">
        <is>
          <t>س ع ه 1525</t>
        </is>
      </c>
      <c r="J1655" s="46" t="inlineStr">
        <is>
          <t xml:space="preserve">احمد ابراهيم </t>
        </is>
      </c>
      <c r="K1655" s="46" t="inlineStr">
        <is>
          <t xml:space="preserve">هيثم قولح </t>
        </is>
      </c>
      <c r="L1655" s="47" t="n">
        <v>18000</v>
      </c>
      <c r="M1655" s="47" t="n">
        <v>8100</v>
      </c>
      <c r="N1655" s="47" t="n">
        <v>1100</v>
      </c>
      <c r="O1655" s="47" t="n">
        <v>200</v>
      </c>
      <c r="P1655" s="47" t="n"/>
      <c r="Q1655" s="47" t="n"/>
      <c r="R1655" s="43">
        <f>IF($B1655="","",N($S1655)-N($Q1655))</f>
        <v/>
      </c>
      <c r="S1655" s="43">
        <f>IF($B1655="","",N($L1655)+N($N1655)+N($P1655))</f>
        <v/>
      </c>
      <c r="T1655" s="47" t="n"/>
      <c r="U1655" s="47" t="n"/>
      <c r="V1655" s="47" t="n"/>
      <c r="W1655" s="47" t="n"/>
      <c r="X1655" s="47" t="n"/>
      <c r="Y1655" s="47" t="n"/>
      <c r="Z1655" s="47" t="n"/>
      <c r="AA1655" s="47" t="n"/>
      <c r="AB1655" s="47" t="n"/>
      <c r="AC1655" s="47" t="n"/>
      <c r="AD1655" s="47" t="n"/>
      <c r="AE1655" s="47" t="n"/>
      <c r="AF1655" s="43">
        <f>IF($B1655="","",SUM($T1655:$AE1655))</f>
        <v/>
      </c>
      <c r="AG1655" s="43">
        <f>IF($B1655="","",N($M1655)-N($AF1655))</f>
        <v/>
      </c>
      <c r="AH1655" s="43">
        <f>IF($B1655="","",N($L1655)-N($AF1655))</f>
        <v/>
      </c>
      <c r="AI1655" s="149">
        <f>IF($B1655="","",IF(N($L1655)=0,"",(N($L1655)-N($AF1655))/N($L1655)))</f>
        <v/>
      </c>
    </row>
    <row r="1656">
      <c r="A1656" s="39">
        <f>IF($B1656="","",COUNTA($B$4:$B1656))</f>
        <v/>
      </c>
      <c r="B1656" s="40" t="n">
        <v>46197</v>
      </c>
      <c r="C1656" s="41" t="n">
        <v>3408</v>
      </c>
      <c r="D1656" s="41" t="inlineStr">
        <is>
          <t xml:space="preserve">هاشم </t>
        </is>
      </c>
      <c r="E1656" s="41" t="inlineStr">
        <is>
          <t>1*40</t>
        </is>
      </c>
      <c r="F1656" s="41" t="inlineStr">
        <is>
          <t xml:space="preserve">حصن </t>
        </is>
      </c>
      <c r="G1656" s="41" t="inlineStr">
        <is>
          <t xml:space="preserve">العاشر </t>
        </is>
      </c>
      <c r="H1656" s="41" t="inlineStr">
        <is>
          <t>916536/7</t>
        </is>
      </c>
      <c r="I1656" s="41" t="inlineStr">
        <is>
          <t>ص ع ا 4932</t>
        </is>
      </c>
      <c r="J1656" s="41" t="inlineStr">
        <is>
          <t>احمد عوض</t>
        </is>
      </c>
      <c r="K1656" s="41" t="inlineStr">
        <is>
          <t>محمد عويس</t>
        </is>
      </c>
      <c r="L1656" s="42" t="n">
        <v>15700</v>
      </c>
      <c r="M1656" s="42" t="n">
        <v>8100</v>
      </c>
      <c r="N1656" s="42" t="n"/>
      <c r="O1656" s="42" t="n">
        <v>200</v>
      </c>
      <c r="P1656" s="42" t="n"/>
      <c r="Q1656" s="42" t="n"/>
      <c r="R1656" s="43">
        <f>IF($B1656="","",N($S1656)-N($Q1656))</f>
        <v/>
      </c>
      <c r="S1656" s="43">
        <f>IF($B1656="","",N($L1656)+N($N1656)+N($P1656))</f>
        <v/>
      </c>
      <c r="T1656" s="42" t="n"/>
      <c r="U1656" s="42" t="n"/>
      <c r="V1656" s="42" t="n"/>
      <c r="W1656" s="42" t="n"/>
      <c r="X1656" s="42" t="n"/>
      <c r="Y1656" s="42" t="n"/>
      <c r="Z1656" s="42" t="n"/>
      <c r="AA1656" s="42" t="n"/>
      <c r="AB1656" s="42" t="n"/>
      <c r="AC1656" s="42" t="n"/>
      <c r="AD1656" s="42" t="n"/>
      <c r="AE1656" s="42" t="n"/>
      <c r="AF1656" s="43">
        <f>IF($B1656="","",SUM($T1656:$AE1656))</f>
        <v/>
      </c>
      <c r="AG1656" s="43">
        <f>IF($B1656="","",N($M1656)-N($AF1656))</f>
        <v/>
      </c>
      <c r="AH1656" s="43">
        <f>IF($B1656="","",N($L1656)-N($AF1656))</f>
        <v/>
      </c>
      <c r="AI1656" s="149">
        <f>IF($B1656="","",IF(N($L1656)=0,"",(N($L1656)-N($AF1656))/N($L1656)))</f>
        <v/>
      </c>
    </row>
    <row r="1657">
      <c r="A1657" s="39">
        <f>IF($B1657="","",COUNTA($B$4:$B1657))</f>
        <v/>
      </c>
      <c r="B1657" s="45" t="n">
        <v>46197</v>
      </c>
      <c r="C1657" s="46" t="n">
        <v>3407</v>
      </c>
      <c r="D1657" s="46" t="inlineStr">
        <is>
          <t>مصطفى توفيق</t>
        </is>
      </c>
      <c r="E1657" s="46" t="inlineStr">
        <is>
          <t>1*40</t>
        </is>
      </c>
      <c r="F1657" s="46" t="inlineStr">
        <is>
          <t xml:space="preserve">حصن </t>
        </is>
      </c>
      <c r="G1657" s="46" t="inlineStr">
        <is>
          <t xml:space="preserve">العاشر </t>
        </is>
      </c>
      <c r="H1657" s="46" t="inlineStr">
        <is>
          <t>416642/6</t>
        </is>
      </c>
      <c r="I1657" s="46" t="inlineStr">
        <is>
          <t>س د و 8687</t>
        </is>
      </c>
      <c r="J1657" s="46" t="inlineStr">
        <is>
          <t xml:space="preserve">حسين همام </t>
        </is>
      </c>
      <c r="K1657" s="46" t="n"/>
      <c r="L1657" s="47" t="n">
        <v>15700</v>
      </c>
      <c r="M1657" s="47" t="n">
        <v>8100</v>
      </c>
      <c r="N1657" s="47" t="n"/>
      <c r="O1657" s="47" t="n">
        <v>200</v>
      </c>
      <c r="P1657" s="47" t="n"/>
      <c r="Q1657" s="47" t="n"/>
      <c r="R1657" s="43">
        <f>IF($B1657="","",N($S1657)-N($Q1657))</f>
        <v/>
      </c>
      <c r="S1657" s="43">
        <f>IF($B1657="","",N($L1657)+N($N1657)+N($P1657))</f>
        <v/>
      </c>
      <c r="T1657" s="47" t="n"/>
      <c r="U1657" s="47" t="n"/>
      <c r="V1657" s="47" t="n"/>
      <c r="W1657" s="47" t="n"/>
      <c r="X1657" s="47" t="n"/>
      <c r="Y1657" s="47" t="n"/>
      <c r="Z1657" s="47" t="n"/>
      <c r="AA1657" s="47" t="n"/>
      <c r="AB1657" s="47" t="n"/>
      <c r="AC1657" s="47" t="n"/>
      <c r="AD1657" s="47" t="n"/>
      <c r="AE1657" s="47" t="n"/>
      <c r="AF1657" s="43">
        <f>IF($B1657="","",SUM($T1657:$AE1657))</f>
        <v/>
      </c>
      <c r="AG1657" s="43">
        <f>IF($B1657="","",N($M1657)-N($AF1657))</f>
        <v/>
      </c>
      <c r="AH1657" s="43">
        <f>IF($B1657="","",N($L1657)-N($AF1657))</f>
        <v/>
      </c>
      <c r="AI1657" s="149">
        <f>IF($B1657="","",IF(N($L1657)=0,"",(N($L1657)-N($AF1657))/N($L1657)))</f>
        <v/>
      </c>
    </row>
    <row r="1658">
      <c r="A1658" s="39">
        <f>IF($B1658="","",COUNTA($B$4:$B1658))</f>
        <v/>
      </c>
      <c r="B1658" s="40" t="n">
        <v>46197</v>
      </c>
      <c r="C1658" s="41" t="n">
        <v>3409</v>
      </c>
      <c r="D1658" s="41" t="inlineStr">
        <is>
          <t>الشريف</t>
        </is>
      </c>
      <c r="E1658" s="41" t="inlineStr">
        <is>
          <t>1*40</t>
        </is>
      </c>
      <c r="F1658" s="41" t="inlineStr">
        <is>
          <t xml:space="preserve">حصن </t>
        </is>
      </c>
      <c r="G1658" s="41" t="inlineStr">
        <is>
          <t xml:space="preserve">العاشر </t>
        </is>
      </c>
      <c r="H1658" s="41" t="inlineStr">
        <is>
          <t>915556/4</t>
        </is>
      </c>
      <c r="I1658" s="41" t="inlineStr">
        <is>
          <t>ب د ف 5827</t>
        </is>
      </c>
      <c r="J1658" s="41" t="inlineStr">
        <is>
          <t xml:space="preserve">سعيد رجب </t>
        </is>
      </c>
      <c r="K1658" s="41" t="inlineStr">
        <is>
          <t xml:space="preserve">اسامة عوض </t>
        </is>
      </c>
      <c r="L1658" s="42" t="n">
        <v>15700</v>
      </c>
      <c r="M1658" s="42" t="n">
        <v>8100</v>
      </c>
      <c r="N1658" s="42" t="n"/>
      <c r="O1658" s="42" t="n">
        <v>200</v>
      </c>
      <c r="P1658" s="42" t="n"/>
      <c r="Q1658" s="42" t="n"/>
      <c r="R1658" s="43">
        <f>IF($B1658="","",N($S1658)-N($Q1658))</f>
        <v/>
      </c>
      <c r="S1658" s="43">
        <f>IF($B1658="","",N($L1658)+N($N1658)+N($P1658))</f>
        <v/>
      </c>
      <c r="T1658" s="42" t="n"/>
      <c r="U1658" s="42" t="n"/>
      <c r="V1658" s="42" t="n"/>
      <c r="W1658" s="42" t="n"/>
      <c r="X1658" s="42" t="n"/>
      <c r="Y1658" s="42" t="n"/>
      <c r="Z1658" s="42" t="n"/>
      <c r="AA1658" s="42" t="n"/>
      <c r="AB1658" s="42" t="n"/>
      <c r="AC1658" s="42" t="n"/>
      <c r="AD1658" s="42" t="n"/>
      <c r="AE1658" s="42" t="n"/>
      <c r="AF1658" s="43">
        <f>IF($B1658="","",SUM($T1658:$AE1658))</f>
        <v/>
      </c>
      <c r="AG1658" s="43">
        <f>IF($B1658="","",N($M1658)-N($AF1658))</f>
        <v/>
      </c>
      <c r="AH1658" s="43">
        <f>IF($B1658="","",N($L1658)-N($AF1658))</f>
        <v/>
      </c>
      <c r="AI1658" s="149">
        <f>IF($B1658="","",IF(N($L1658)=0,"",(N($L1658)-N($AF1658))/N($L1658)))</f>
        <v/>
      </c>
    </row>
    <row r="1659">
      <c r="A1659" s="39">
        <f>IF($B1659="","",COUNTA($B$4:$B1659))</f>
        <v/>
      </c>
      <c r="B1659" s="45" t="n">
        <v>46197</v>
      </c>
      <c r="C1659" s="46" t="n">
        <v>3322</v>
      </c>
      <c r="D1659" s="46" t="inlineStr">
        <is>
          <t xml:space="preserve">احمد عزت </t>
        </is>
      </c>
      <c r="E1659" s="46" t="inlineStr">
        <is>
          <t>1*40</t>
        </is>
      </c>
      <c r="F1659" s="46" t="inlineStr">
        <is>
          <t xml:space="preserve">راما للزيوت </t>
        </is>
      </c>
      <c r="G1659" s="46" t="inlineStr">
        <is>
          <t xml:space="preserve">العاشر </t>
        </is>
      </c>
      <c r="H1659" s="46" t="inlineStr">
        <is>
          <t>854759/7</t>
        </is>
      </c>
      <c r="I1659" s="46" t="inlineStr">
        <is>
          <t>ب د ف 7581</t>
        </is>
      </c>
      <c r="J1659" s="46" t="inlineStr">
        <is>
          <t xml:space="preserve">على عبد العال </t>
        </is>
      </c>
      <c r="K1659" s="46" t="inlineStr">
        <is>
          <t>الليبر</t>
        </is>
      </c>
      <c r="L1659" s="47" t="n">
        <v>16000</v>
      </c>
      <c r="M1659" s="47" t="n">
        <v>8100</v>
      </c>
      <c r="N1659" s="47" t="n">
        <v>2500</v>
      </c>
      <c r="O1659" s="47" t="n">
        <v>200</v>
      </c>
      <c r="P1659" s="47" t="n"/>
      <c r="Q1659" s="47" t="n"/>
      <c r="R1659" s="43">
        <f>IF($B1659="","",N($S1659)-N($Q1659))</f>
        <v/>
      </c>
      <c r="S1659" s="43">
        <f>IF($B1659="","",N($L1659)+N($N1659)+N($P1659))</f>
        <v/>
      </c>
      <c r="T1659" s="47" t="n"/>
      <c r="U1659" s="47" t="n"/>
      <c r="V1659" s="47" t="n"/>
      <c r="W1659" s="47" t="n"/>
      <c r="X1659" s="47" t="n"/>
      <c r="Y1659" s="47" t="n"/>
      <c r="Z1659" s="47" t="n"/>
      <c r="AA1659" s="47" t="n"/>
      <c r="AB1659" s="47" t="n"/>
      <c r="AC1659" s="47" t="n"/>
      <c r="AD1659" s="47" t="n"/>
      <c r="AE1659" s="47" t="n"/>
      <c r="AF1659" s="43">
        <f>IF($B1659="","",SUM($T1659:$AE1659))</f>
        <v/>
      </c>
      <c r="AG1659" s="43">
        <f>IF($B1659="","",N($M1659)-N($AF1659))</f>
        <v/>
      </c>
      <c r="AH1659" s="43">
        <f>IF($B1659="","",N($L1659)-N($AF1659))</f>
        <v/>
      </c>
      <c r="AI1659" s="149">
        <f>IF($B1659="","",IF(N($L1659)=0,"",(N($L1659)-N($AF1659))/N($L1659)))</f>
        <v/>
      </c>
    </row>
    <row r="1660">
      <c r="A1660" s="39">
        <f>IF($B1660="","",COUNTA($B$4:$B1660))</f>
        <v/>
      </c>
      <c r="B1660" s="40" t="n">
        <v>46197</v>
      </c>
      <c r="C1660" s="41" t="n">
        <v>3323</v>
      </c>
      <c r="D1660" s="41" t="inlineStr">
        <is>
          <t xml:space="preserve">حريقة </t>
        </is>
      </c>
      <c r="E1660" s="41" t="inlineStr">
        <is>
          <t>1*40</t>
        </is>
      </c>
      <c r="F1660" s="41" t="inlineStr">
        <is>
          <t xml:space="preserve">الريعى </t>
        </is>
      </c>
      <c r="G1660" s="41" t="inlineStr">
        <is>
          <t xml:space="preserve">ابو حماد </t>
        </is>
      </c>
      <c r="H1660" s="41" t="inlineStr">
        <is>
          <t>548859/0</t>
        </is>
      </c>
      <c r="I1660" s="41" t="inlineStr">
        <is>
          <t>ع ق و 5827</t>
        </is>
      </c>
      <c r="J1660" s="41" t="inlineStr">
        <is>
          <t>ياسر عبد الستار</t>
        </is>
      </c>
      <c r="K1660" s="41" t="inlineStr">
        <is>
          <t xml:space="preserve">فؤاد جمعة </t>
        </is>
      </c>
      <c r="L1660" s="42" t="n">
        <v>17000</v>
      </c>
      <c r="M1660" s="42" t="n">
        <v>8100</v>
      </c>
      <c r="N1660" s="42" t="n">
        <v>2500</v>
      </c>
      <c r="O1660" s="42" t="n">
        <v>200</v>
      </c>
      <c r="P1660" s="42" t="n"/>
      <c r="Q1660" s="42" t="n"/>
      <c r="R1660" s="43">
        <f>IF($B1660="","",N($S1660)-N($Q1660))</f>
        <v/>
      </c>
      <c r="S1660" s="43">
        <f>IF($B1660="","",N($L1660)+N($N1660)+N($P1660))</f>
        <v/>
      </c>
      <c r="T1660" s="42" t="n"/>
      <c r="U1660" s="42" t="n"/>
      <c r="V1660" s="42" t="n"/>
      <c r="W1660" s="42" t="n"/>
      <c r="X1660" s="42" t="n"/>
      <c r="Y1660" s="42" t="n"/>
      <c r="Z1660" s="42" t="n"/>
      <c r="AA1660" s="42" t="n"/>
      <c r="AB1660" s="42" t="n"/>
      <c r="AC1660" s="42" t="n"/>
      <c r="AD1660" s="42" t="n"/>
      <c r="AE1660" s="42" t="n"/>
      <c r="AF1660" s="43">
        <f>IF($B1660="","",SUM($T1660:$AE1660))</f>
        <v/>
      </c>
      <c r="AG1660" s="43">
        <f>IF($B1660="","",N($M1660)-N($AF1660))</f>
        <v/>
      </c>
      <c r="AH1660" s="43">
        <f>IF($B1660="","",N($L1660)-N($AF1660))</f>
        <v/>
      </c>
      <c r="AI1660" s="149">
        <f>IF($B1660="","",IF(N($L1660)=0,"",(N($L1660)-N($AF1660))/N($L1660)))</f>
        <v/>
      </c>
    </row>
    <row r="1661">
      <c r="A1661" s="39">
        <f>IF($B1661="","",COUNTA($B$4:$B1661))</f>
        <v/>
      </c>
      <c r="B1661" s="45" t="n">
        <v>46197</v>
      </c>
      <c r="C1661" s="46" t="n">
        <v>3324</v>
      </c>
      <c r="D1661" s="46" t="inlineStr">
        <is>
          <t xml:space="preserve">حريقة </t>
        </is>
      </c>
      <c r="E1661" s="46" t="inlineStr">
        <is>
          <t>1*40</t>
        </is>
      </c>
      <c r="F1661" s="46" t="inlineStr">
        <is>
          <t xml:space="preserve">الريعى </t>
        </is>
      </c>
      <c r="G1661" s="46" t="inlineStr">
        <is>
          <t xml:space="preserve">ابو حماد </t>
        </is>
      </c>
      <c r="H1661" s="46" t="inlineStr">
        <is>
          <t>472632/8</t>
        </is>
      </c>
      <c r="I1661" s="46" t="inlineStr">
        <is>
          <t>ب ص ا 8591</t>
        </is>
      </c>
      <c r="J1661" s="46" t="inlineStr">
        <is>
          <t xml:space="preserve">محسن مختار </t>
        </is>
      </c>
      <c r="K1661" s="46" t="inlineStr">
        <is>
          <t xml:space="preserve">محسن مختار </t>
        </is>
      </c>
      <c r="L1661" s="47" t="n">
        <v>17000</v>
      </c>
      <c r="M1661" s="47" t="n">
        <v>8100</v>
      </c>
      <c r="N1661" s="47" t="n">
        <v>2500</v>
      </c>
      <c r="O1661" s="47" t="n">
        <v>200</v>
      </c>
      <c r="P1661" s="47" t="n"/>
      <c r="Q1661" s="47" t="n"/>
      <c r="R1661" s="43">
        <f>IF($B1661="","",N($S1661)-N($Q1661))</f>
        <v/>
      </c>
      <c r="S1661" s="43">
        <f>IF($B1661="","",N($L1661)+N($N1661)+N($P1661))</f>
        <v/>
      </c>
      <c r="T1661" s="47" t="n"/>
      <c r="U1661" s="47" t="n"/>
      <c r="V1661" s="47" t="n"/>
      <c r="W1661" s="47" t="n"/>
      <c r="X1661" s="47" t="n"/>
      <c r="Y1661" s="47" t="n"/>
      <c r="Z1661" s="47" t="n"/>
      <c r="AA1661" s="47" t="n"/>
      <c r="AB1661" s="47" t="n"/>
      <c r="AC1661" s="47" t="n"/>
      <c r="AD1661" s="47" t="n"/>
      <c r="AE1661" s="47" t="n"/>
      <c r="AF1661" s="43">
        <f>IF($B1661="","",SUM($T1661:$AE1661))</f>
        <v/>
      </c>
      <c r="AG1661" s="43">
        <f>IF($B1661="","",N($M1661)-N($AF1661))</f>
        <v/>
      </c>
      <c r="AH1661" s="43">
        <f>IF($B1661="","",N($L1661)-N($AF1661))</f>
        <v/>
      </c>
      <c r="AI1661" s="149">
        <f>IF($B1661="","",IF(N($L1661)=0,"",(N($L1661)-N($AF1661))/N($L1661)))</f>
        <v/>
      </c>
    </row>
    <row r="1662">
      <c r="A1662" s="39">
        <f>IF($B1662="","",COUNTA($B$4:$B1662))</f>
        <v/>
      </c>
      <c r="B1662" s="40" t="n">
        <v>46197</v>
      </c>
      <c r="C1662" s="41" t="n">
        <v>3326</v>
      </c>
      <c r="D1662" s="41" t="n"/>
      <c r="E1662" s="41" t="inlineStr">
        <is>
          <t>1*40</t>
        </is>
      </c>
      <c r="F1662" s="41" t="inlineStr">
        <is>
          <t xml:space="preserve">سامسونج </t>
        </is>
      </c>
      <c r="G1662" s="41" t="inlineStr">
        <is>
          <t>بتى سويف</t>
        </is>
      </c>
      <c r="H1662" s="41" t="inlineStr">
        <is>
          <t>146106/5</t>
        </is>
      </c>
      <c r="I1662" s="41" t="inlineStr">
        <is>
          <t>س م ا 7638</t>
        </is>
      </c>
      <c r="J1662" s="41" t="inlineStr">
        <is>
          <t xml:space="preserve">محمود محمد </t>
        </is>
      </c>
      <c r="K1662" s="41" t="inlineStr">
        <is>
          <t xml:space="preserve">هيثم قولح </t>
        </is>
      </c>
      <c r="L1662" s="42" t="n">
        <v>17000</v>
      </c>
      <c r="M1662" s="42" t="n">
        <v>10100</v>
      </c>
      <c r="N1662" s="42" t="n">
        <v>1100</v>
      </c>
      <c r="O1662" s="42" t="n">
        <v>200</v>
      </c>
      <c r="P1662" s="42" t="n"/>
      <c r="Q1662" s="42" t="n"/>
      <c r="R1662" s="43">
        <f>IF($B1662="","",N($S1662)-N($Q1662))</f>
        <v/>
      </c>
      <c r="S1662" s="43">
        <f>IF($B1662="","",N($L1662)+N($N1662)+N($P1662))</f>
        <v/>
      </c>
      <c r="T1662" s="42" t="n"/>
      <c r="U1662" s="42" t="n"/>
      <c r="V1662" s="42" t="n"/>
      <c r="W1662" s="42" t="n"/>
      <c r="X1662" s="42" t="n"/>
      <c r="Y1662" s="42" t="n"/>
      <c r="Z1662" s="42" t="n"/>
      <c r="AA1662" s="42" t="n"/>
      <c r="AB1662" s="42" t="n"/>
      <c r="AC1662" s="42" t="n"/>
      <c r="AD1662" s="42" t="n"/>
      <c r="AE1662" s="42" t="n"/>
      <c r="AF1662" s="43">
        <f>IF($B1662="","",SUM($T1662:$AE1662))</f>
        <v/>
      </c>
      <c r="AG1662" s="43">
        <f>IF($B1662="","",N($M1662)-N($AF1662))</f>
        <v/>
      </c>
      <c r="AH1662" s="43">
        <f>IF($B1662="","",N($L1662)-N($AF1662))</f>
        <v/>
      </c>
      <c r="AI1662" s="149">
        <f>IF($B1662="","",IF(N($L1662)=0,"",(N($L1662)-N($AF1662))/N($L1662)))</f>
        <v/>
      </c>
    </row>
    <row r="1663">
      <c r="A1663" s="39">
        <f>IF($B1663="","",COUNTA($B$4:$B1663))</f>
        <v/>
      </c>
      <c r="B1663" s="45" t="n">
        <v>46197</v>
      </c>
      <c r="C1663" s="46" t="n">
        <v>3327</v>
      </c>
      <c r="D1663" s="46" t="n"/>
      <c r="E1663" s="46" t="inlineStr">
        <is>
          <t>1*40</t>
        </is>
      </c>
      <c r="F1663" s="46" t="inlineStr">
        <is>
          <t xml:space="preserve">سامسونج </t>
        </is>
      </c>
      <c r="G1663" s="46" t="inlineStr">
        <is>
          <t>بنى سويف</t>
        </is>
      </c>
      <c r="H1663" s="46" t="inlineStr">
        <is>
          <t>710928/0</t>
        </is>
      </c>
      <c r="I1663" s="46" t="inlineStr">
        <is>
          <t>س د و 4748</t>
        </is>
      </c>
      <c r="J1663" s="46" t="inlineStr">
        <is>
          <t xml:space="preserve">بانو قولح </t>
        </is>
      </c>
      <c r="K1663" s="46" t="inlineStr">
        <is>
          <t xml:space="preserve">هيثم قولح </t>
        </is>
      </c>
      <c r="L1663" s="47" t="n">
        <v>17000</v>
      </c>
      <c r="M1663" s="47" t="n">
        <v>10100</v>
      </c>
      <c r="N1663" s="47" t="n">
        <v>1100</v>
      </c>
      <c r="O1663" s="47" t="n">
        <v>200</v>
      </c>
      <c r="P1663" s="47" t="n"/>
      <c r="Q1663" s="47" t="n"/>
      <c r="R1663" s="43">
        <f>IF($B1663="","",N($S1663)-N($Q1663))</f>
        <v/>
      </c>
      <c r="S1663" s="43">
        <f>IF($B1663="","",N($L1663)+N($N1663)+N($P1663))</f>
        <v/>
      </c>
      <c r="T1663" s="47" t="n"/>
      <c r="U1663" s="47" t="n"/>
      <c r="V1663" s="47" t="n"/>
      <c r="W1663" s="47" t="n"/>
      <c r="X1663" s="47" t="n"/>
      <c r="Y1663" s="47" t="n"/>
      <c r="Z1663" s="47" t="n"/>
      <c r="AA1663" s="47" t="n"/>
      <c r="AB1663" s="47" t="n"/>
      <c r="AC1663" s="47" t="n"/>
      <c r="AD1663" s="47" t="n"/>
      <c r="AE1663" s="47" t="n"/>
      <c r="AF1663" s="43">
        <f>IF($B1663="","",SUM($T1663:$AE1663))</f>
        <v/>
      </c>
      <c r="AG1663" s="43">
        <f>IF($B1663="","",N($M1663)-N($AF1663))</f>
        <v/>
      </c>
      <c r="AH1663" s="43">
        <f>IF($B1663="","",N($L1663)-N($AF1663))</f>
        <v/>
      </c>
      <c r="AI1663" s="149">
        <f>IF($B1663="","",IF(N($L1663)=0,"",(N($L1663)-N($AF1663))/N($L1663)))</f>
        <v/>
      </c>
    </row>
    <row r="1664">
      <c r="A1664" s="39">
        <f>IF($B1664="","",COUNTA($B$4:$B1664))</f>
        <v/>
      </c>
      <c r="B1664" s="40" t="n">
        <v>46198</v>
      </c>
      <c r="C1664" s="41" t="n">
        <v>3387</v>
      </c>
      <c r="D1664" s="41" t="inlineStr">
        <is>
          <t xml:space="preserve">عتريس مخيمر </t>
        </is>
      </c>
      <c r="E1664" s="41" t="inlineStr">
        <is>
          <t>1*40</t>
        </is>
      </c>
      <c r="F1664" s="41" t="inlineStr">
        <is>
          <t>لوم باك</t>
        </is>
      </c>
      <c r="G1664" s="41" t="inlineStr">
        <is>
          <t xml:space="preserve">انشاص </t>
        </is>
      </c>
      <c r="H1664" s="41" t="inlineStr">
        <is>
          <t>258282/0</t>
        </is>
      </c>
      <c r="I1664" s="41" t="inlineStr">
        <is>
          <t>ب ص ا 2574</t>
        </is>
      </c>
      <c r="J1664" s="41" t="inlineStr">
        <is>
          <t xml:space="preserve">محمد البحيرى </t>
        </is>
      </c>
      <c r="K1664" s="41" t="inlineStr">
        <is>
          <t xml:space="preserve">احمد خليف </t>
        </is>
      </c>
      <c r="L1664" s="42" t="n">
        <v>15700</v>
      </c>
      <c r="M1664" s="42" t="n">
        <v>8100</v>
      </c>
      <c r="N1664" s="42" t="n"/>
      <c r="O1664" s="42" t="n">
        <v>200</v>
      </c>
      <c r="P1664" s="42" t="n"/>
      <c r="Q1664" s="42" t="n"/>
      <c r="R1664" s="43">
        <f>IF($B1664="","",N($S1664)-N($Q1664))</f>
        <v/>
      </c>
      <c r="S1664" s="43">
        <f>IF($B1664="","",N($L1664)+N($N1664)+N($P1664))</f>
        <v/>
      </c>
      <c r="T1664" s="42" t="n"/>
      <c r="U1664" s="42" t="n"/>
      <c r="V1664" s="42" t="n"/>
      <c r="W1664" s="42" t="n"/>
      <c r="X1664" s="42" t="n"/>
      <c r="Y1664" s="42" t="n"/>
      <c r="Z1664" s="42" t="n"/>
      <c r="AA1664" s="42" t="n"/>
      <c r="AB1664" s="42" t="n"/>
      <c r="AC1664" s="42" t="n"/>
      <c r="AD1664" s="42" t="n"/>
      <c r="AE1664" s="42" t="n"/>
      <c r="AF1664" s="43">
        <f>IF($B1664="","",SUM($T1664:$AE1664))</f>
        <v/>
      </c>
      <c r="AG1664" s="43">
        <f>IF($B1664="","",N($M1664)-N($AF1664))</f>
        <v/>
      </c>
      <c r="AH1664" s="43">
        <f>IF($B1664="","",N($L1664)-N($AF1664))</f>
        <v/>
      </c>
      <c r="AI1664" s="149">
        <f>IF($B1664="","",IF(N($L1664)=0,"",(N($L1664)-N($AF1664))/N($L1664)))</f>
        <v/>
      </c>
    </row>
    <row r="1665">
      <c r="A1665" s="39">
        <f>IF($B1665="","",COUNTA($B$4:$B1665))</f>
        <v/>
      </c>
      <c r="B1665" s="45" t="n">
        <v>46198</v>
      </c>
      <c r="C1665" s="46" t="n">
        <v>3388</v>
      </c>
      <c r="D1665" s="46" t="n"/>
      <c r="E1665" s="46" t="inlineStr">
        <is>
          <t>1*40</t>
        </is>
      </c>
      <c r="F1665" s="46" t="inlineStr">
        <is>
          <t xml:space="preserve">بلوم باك </t>
        </is>
      </c>
      <c r="G1665" s="46" t="inlineStr">
        <is>
          <t xml:space="preserve">انشاص </t>
        </is>
      </c>
      <c r="H1665" s="46" t="inlineStr">
        <is>
          <t>408876/8</t>
        </is>
      </c>
      <c r="I1665" s="46" t="inlineStr">
        <is>
          <t>ط ف ر 1474</t>
        </is>
      </c>
      <c r="J1665" s="46" t="inlineStr">
        <is>
          <t xml:space="preserve">حمال على </t>
        </is>
      </c>
      <c r="K1665" s="46" t="inlineStr">
        <is>
          <t xml:space="preserve">كريم خليف </t>
        </is>
      </c>
      <c r="L1665" s="47" t="n">
        <v>15700</v>
      </c>
      <c r="M1665" s="47" t="n">
        <v>8100</v>
      </c>
      <c r="N1665" s="47" t="n"/>
      <c r="O1665" s="47" t="n">
        <v>200</v>
      </c>
      <c r="P1665" s="47" t="n"/>
      <c r="Q1665" s="47" t="n"/>
      <c r="R1665" s="43">
        <f>IF($B1665="","",N($S1665)-N($Q1665))</f>
        <v/>
      </c>
      <c r="S1665" s="43">
        <f>IF($B1665="","",N($L1665)+N($N1665)+N($P1665))</f>
        <v/>
      </c>
      <c r="T1665" s="47" t="n"/>
      <c r="U1665" s="47" t="n"/>
      <c r="V1665" s="47" t="n"/>
      <c r="W1665" s="47" t="n"/>
      <c r="X1665" s="47" t="n"/>
      <c r="Y1665" s="47" t="n"/>
      <c r="Z1665" s="47" t="n"/>
      <c r="AA1665" s="47" t="n"/>
      <c r="AB1665" s="47" t="n"/>
      <c r="AC1665" s="47" t="n"/>
      <c r="AD1665" s="47" t="n"/>
      <c r="AE1665" s="47" t="n"/>
      <c r="AF1665" s="43">
        <f>IF($B1665="","",SUM($T1665:$AE1665))</f>
        <v/>
      </c>
      <c r="AG1665" s="43">
        <f>IF($B1665="","",N($M1665)-N($AF1665))</f>
        <v/>
      </c>
      <c r="AH1665" s="43">
        <f>IF($B1665="","",N($L1665)-N($AF1665))</f>
        <v/>
      </c>
      <c r="AI1665" s="149">
        <f>IF($B1665="","",IF(N($L1665)=0,"",(N($L1665)-N($AF1665))/N($L1665)))</f>
        <v/>
      </c>
    </row>
    <row r="1666">
      <c r="A1666" s="39">
        <f>IF($B1666="","",COUNTA($B$4:$B1666))</f>
        <v/>
      </c>
      <c r="B1666" s="40" t="n">
        <v>46198</v>
      </c>
      <c r="C1666" s="41" t="n">
        <v>3389</v>
      </c>
      <c r="D1666" s="41" t="n"/>
      <c r="E1666" s="41" t="inlineStr">
        <is>
          <t>1*40</t>
        </is>
      </c>
      <c r="F1666" s="41" t="inlineStr">
        <is>
          <t xml:space="preserve">بلوم باك </t>
        </is>
      </c>
      <c r="G1666" s="41" t="inlineStr">
        <is>
          <t xml:space="preserve">انشاص </t>
        </is>
      </c>
      <c r="H1666" s="41" t="inlineStr">
        <is>
          <t>807894/8</t>
        </is>
      </c>
      <c r="I1666" s="41" t="inlineStr">
        <is>
          <t>ص ع ا 7462</t>
        </is>
      </c>
      <c r="J1666" s="41" t="inlineStr">
        <is>
          <t xml:space="preserve">تحى احمد </t>
        </is>
      </c>
      <c r="K1666" s="41" t="inlineStr">
        <is>
          <t xml:space="preserve">اشرف الحجرى </t>
        </is>
      </c>
      <c r="L1666" s="42" t="n">
        <v>15700</v>
      </c>
      <c r="M1666" s="42" t="n">
        <v>8100</v>
      </c>
      <c r="N1666" s="42" t="n"/>
      <c r="O1666" s="42" t="n">
        <v>200</v>
      </c>
      <c r="P1666" s="42" t="n"/>
      <c r="Q1666" s="42" t="n"/>
      <c r="R1666" s="43">
        <f>IF($B1666="","",N($S1666)-N($Q1666))</f>
        <v/>
      </c>
      <c r="S1666" s="43">
        <f>IF($B1666="","",N($L1666)+N($N1666)+N($P1666))</f>
        <v/>
      </c>
      <c r="T1666" s="42" t="n"/>
      <c r="U1666" s="42" t="n"/>
      <c r="V1666" s="42" t="n"/>
      <c r="W1666" s="42" t="n"/>
      <c r="X1666" s="42" t="n"/>
      <c r="Y1666" s="42" t="n"/>
      <c r="Z1666" s="42" t="n"/>
      <c r="AA1666" s="42" t="n"/>
      <c r="AB1666" s="42" t="n"/>
      <c r="AC1666" s="42" t="n"/>
      <c r="AD1666" s="42" t="n"/>
      <c r="AE1666" s="42" t="n"/>
      <c r="AF1666" s="43">
        <f>IF($B1666="","",SUM($T1666:$AE1666))</f>
        <v/>
      </c>
      <c r="AG1666" s="43">
        <f>IF($B1666="","",N($M1666)-N($AF1666))</f>
        <v/>
      </c>
      <c r="AH1666" s="43">
        <f>IF($B1666="","",N($L1666)-N($AF1666))</f>
        <v/>
      </c>
      <c r="AI1666" s="149">
        <f>IF($B1666="","",IF(N($L1666)=0,"",(N($L1666)-N($AF1666))/N($L1666)))</f>
        <v/>
      </c>
    </row>
    <row r="1667">
      <c r="A1667" s="39">
        <f>IF($B1667="","",COUNTA($B$4:$B1667))</f>
        <v/>
      </c>
      <c r="B1667" s="45" t="n">
        <v>46198</v>
      </c>
      <c r="C1667" s="46" t="n">
        <v>3390</v>
      </c>
      <c r="D1667" s="46" t="inlineStr">
        <is>
          <t xml:space="preserve">عتريس مخيمر </t>
        </is>
      </c>
      <c r="E1667" s="46" t="inlineStr">
        <is>
          <t>1*40</t>
        </is>
      </c>
      <c r="F1667" s="46" t="inlineStr">
        <is>
          <t xml:space="preserve">بلوم باك </t>
        </is>
      </c>
      <c r="G1667" s="46" t="inlineStr">
        <is>
          <t xml:space="preserve">انشاص </t>
        </is>
      </c>
      <c r="H1667" s="46" t="inlineStr">
        <is>
          <t>641400/4</t>
        </is>
      </c>
      <c r="I1667" s="46" t="inlineStr">
        <is>
          <t>ب ر ط 2739</t>
        </is>
      </c>
      <c r="J1667" s="46" t="inlineStr">
        <is>
          <t xml:space="preserve">محمد كامل </t>
        </is>
      </c>
      <c r="K1667" s="46" t="inlineStr">
        <is>
          <t xml:space="preserve">اسماعيل منصور </t>
        </is>
      </c>
      <c r="L1667" s="47" t="n">
        <v>15700</v>
      </c>
      <c r="M1667" s="47" t="n">
        <v>8100</v>
      </c>
      <c r="N1667" s="47" t="n"/>
      <c r="O1667" s="47" t="n">
        <v>200</v>
      </c>
      <c r="P1667" s="47" t="n"/>
      <c r="Q1667" s="47" t="n"/>
      <c r="R1667" s="43">
        <f>IF($B1667="","",N($S1667)-N($Q1667))</f>
        <v/>
      </c>
      <c r="S1667" s="43">
        <f>IF($B1667="","",N($L1667)+N($N1667)+N($P1667))</f>
        <v/>
      </c>
      <c r="T1667" s="47" t="n"/>
      <c r="U1667" s="47" t="n"/>
      <c r="V1667" s="47" t="n"/>
      <c r="W1667" s="47" t="n"/>
      <c r="X1667" s="47" t="n"/>
      <c r="Y1667" s="47" t="n"/>
      <c r="Z1667" s="47" t="n"/>
      <c r="AA1667" s="47" t="n"/>
      <c r="AB1667" s="47" t="n"/>
      <c r="AC1667" s="47" t="n"/>
      <c r="AD1667" s="47" t="n"/>
      <c r="AE1667" s="47" t="n"/>
      <c r="AF1667" s="43">
        <f>IF($B1667="","",SUM($T1667:$AE1667))</f>
        <v/>
      </c>
      <c r="AG1667" s="43">
        <f>IF($B1667="","",N($M1667)-N($AF1667))</f>
        <v/>
      </c>
      <c r="AH1667" s="43">
        <f>IF($B1667="","",N($L1667)-N($AF1667))</f>
        <v/>
      </c>
      <c r="AI1667" s="149">
        <f>IF($B1667="","",IF(N($L1667)=0,"",(N($L1667)-N($AF1667))/N($L1667)))</f>
        <v/>
      </c>
    </row>
    <row r="1668">
      <c r="A1668" s="39">
        <f>IF($B1668="","",COUNTA($B$4:$B1668))</f>
        <v/>
      </c>
      <c r="B1668" s="40" t="n">
        <v>46200</v>
      </c>
      <c r="C1668" s="41" t="n">
        <v>3391</v>
      </c>
      <c r="D1668" s="41" t="n"/>
      <c r="E1668" s="41" t="inlineStr">
        <is>
          <t>1*40</t>
        </is>
      </c>
      <c r="F1668" s="41" t="inlineStr">
        <is>
          <t>اورجنيك</t>
        </is>
      </c>
      <c r="G1668" s="41" t="inlineStr">
        <is>
          <t>بني سويف</t>
        </is>
      </c>
      <c r="H1668" s="41" t="inlineStr">
        <is>
          <t>501663/1</t>
        </is>
      </c>
      <c r="I1668" s="41" t="inlineStr">
        <is>
          <t>ع ا ن 2669</t>
        </is>
      </c>
      <c r="J1668" s="41" t="inlineStr">
        <is>
          <t>ابرهيم العدلي</t>
        </is>
      </c>
      <c r="K1668" s="41" t="inlineStr">
        <is>
          <t>الليبر</t>
        </is>
      </c>
      <c r="L1668" s="42" t="n">
        <v>19500</v>
      </c>
      <c r="M1668" s="42" t="n">
        <v>10100</v>
      </c>
      <c r="N1668" s="42" t="n"/>
      <c r="O1668" s="42" t="n">
        <v>200</v>
      </c>
      <c r="P1668" s="42" t="n"/>
      <c r="Q1668" s="42" t="n"/>
      <c r="R1668" s="43">
        <f>IF($B1668="","",N($S1668)-N($Q1668))</f>
        <v/>
      </c>
      <c r="S1668" s="43">
        <f>IF($B1668="","",N($L1668)+N($N1668)+N($P1668))</f>
        <v/>
      </c>
      <c r="T1668" s="42" t="n"/>
      <c r="U1668" s="42" t="n"/>
      <c r="V1668" s="42" t="n"/>
      <c r="W1668" s="42" t="n"/>
      <c r="X1668" s="42" t="n"/>
      <c r="Y1668" s="42" t="n"/>
      <c r="Z1668" s="42" t="n"/>
      <c r="AA1668" s="42" t="n"/>
      <c r="AB1668" s="42" t="n"/>
      <c r="AC1668" s="42" t="n"/>
      <c r="AD1668" s="42" t="n"/>
      <c r="AE1668" s="42" t="n"/>
      <c r="AF1668" s="43">
        <f>IF($B1668="","",SUM($T1668:$AE1668))</f>
        <v/>
      </c>
      <c r="AG1668" s="43">
        <f>IF($B1668="","",N($M1668)-N($AF1668))</f>
        <v/>
      </c>
      <c r="AH1668" s="43">
        <f>IF($B1668="","",N($L1668)-N($AF1668))</f>
        <v/>
      </c>
      <c r="AI1668" s="149">
        <f>IF($B1668="","",IF(N($L1668)=0,"",(N($L1668)-N($AF1668))/N($L1668)))</f>
        <v/>
      </c>
    </row>
    <row r="1669">
      <c r="A1669" s="39">
        <f>IF($B1669="","",COUNTA($B$4:$B1669))</f>
        <v/>
      </c>
      <c r="B1669" s="45" t="n">
        <v>46200</v>
      </c>
      <c r="C1669" s="46" t="n">
        <v>2544</v>
      </c>
      <c r="D1669" s="46" t="n"/>
      <c r="E1669" s="46" t="inlineStr">
        <is>
          <t>1*20</t>
        </is>
      </c>
      <c r="F1669" s="46" t="inlineStr">
        <is>
          <t xml:space="preserve">السويدى بوليمرز </t>
        </is>
      </c>
      <c r="G1669" s="46" t="inlineStr">
        <is>
          <t xml:space="preserve">العاشر </t>
        </is>
      </c>
      <c r="H1669" s="46" t="inlineStr">
        <is>
          <t>309953/7</t>
        </is>
      </c>
      <c r="I1669" s="46" t="inlineStr">
        <is>
          <t>ص ع ا 7462</t>
        </is>
      </c>
      <c r="J1669" s="46" t="inlineStr">
        <is>
          <t>محمود ابرهيم</t>
        </is>
      </c>
      <c r="K1669" s="46" t="inlineStr">
        <is>
          <t>الليبر</t>
        </is>
      </c>
      <c r="L1669" s="47" t="n">
        <v>15700</v>
      </c>
      <c r="M1669" s="47" t="n">
        <v>8100</v>
      </c>
      <c r="N1669" s="47" t="n"/>
      <c r="O1669" s="47" t="n">
        <v>200</v>
      </c>
      <c r="P1669" s="47" t="n"/>
      <c r="Q1669" s="47" t="n"/>
      <c r="R1669" s="43">
        <f>IF($B1669="","",N($S1669)-N($Q1669))</f>
        <v/>
      </c>
      <c r="S1669" s="43">
        <f>IF($B1669="","",N($L1669)+N($N1669)+N($P1669))</f>
        <v/>
      </c>
      <c r="T1669" s="47" t="n"/>
      <c r="U1669" s="47" t="n"/>
      <c r="V1669" s="47" t="n"/>
      <c r="W1669" s="47" t="n"/>
      <c r="X1669" s="47" t="n"/>
      <c r="Y1669" s="47" t="n"/>
      <c r="Z1669" s="47" t="n"/>
      <c r="AA1669" s="47" t="n"/>
      <c r="AB1669" s="47" t="n"/>
      <c r="AC1669" s="47" t="n"/>
      <c r="AD1669" s="47" t="n"/>
      <c r="AE1669" s="47" t="n"/>
      <c r="AF1669" s="43">
        <f>IF($B1669="","",SUM($T1669:$AE1669))</f>
        <v/>
      </c>
      <c r="AG1669" s="43">
        <f>IF($B1669="","",N($M1669)-N($AF1669))</f>
        <v/>
      </c>
      <c r="AH1669" s="43">
        <f>IF($B1669="","",N($L1669)-N($AF1669))</f>
        <v/>
      </c>
      <c r="AI1669" s="149">
        <f>IF($B1669="","",IF(N($L1669)=0,"",(N($L1669)-N($AF1669))/N($L1669)))</f>
        <v/>
      </c>
    </row>
    <row r="1670">
      <c r="A1670" s="39">
        <f>IF($B1670="","",COUNTA($B$4:$B1670))</f>
        <v/>
      </c>
      <c r="B1670" s="40" t="n">
        <v>46200</v>
      </c>
      <c r="C1670" s="41" t="n">
        <v>3392</v>
      </c>
      <c r="D1670" s="41" t="n"/>
      <c r="E1670" s="41" t="inlineStr">
        <is>
          <t>1*20</t>
        </is>
      </c>
      <c r="F1670" s="41" t="inlineStr">
        <is>
          <t xml:space="preserve">السويدى بوليمرز </t>
        </is>
      </c>
      <c r="G1670" s="41" t="inlineStr">
        <is>
          <t xml:space="preserve">العاشر </t>
        </is>
      </c>
      <c r="H1670" s="41" t="inlineStr">
        <is>
          <t>667997/3</t>
        </is>
      </c>
      <c r="I1670" s="41" t="inlineStr">
        <is>
          <t>ع م ا 1922</t>
        </is>
      </c>
      <c r="J1670" s="41" t="inlineStr">
        <is>
          <t>ابرهيم السيد</t>
        </is>
      </c>
      <c r="K1670" s="41" t="inlineStr">
        <is>
          <t xml:space="preserve">اسامه شعبان </t>
        </is>
      </c>
      <c r="L1670" s="42" t="n">
        <v>15700</v>
      </c>
      <c r="M1670" s="42" t="n">
        <v>8100</v>
      </c>
      <c r="N1670" s="42" t="n"/>
      <c r="O1670" s="42" t="n">
        <v>200</v>
      </c>
      <c r="P1670" s="42" t="n"/>
      <c r="Q1670" s="42" t="n"/>
      <c r="R1670" s="43">
        <f>IF($B1670="","",N($S1670)-N($Q1670))</f>
        <v/>
      </c>
      <c r="S1670" s="43">
        <f>IF($B1670="","",N($L1670)+N($N1670)+N($P1670))</f>
        <v/>
      </c>
      <c r="T1670" s="42" t="n"/>
      <c r="U1670" s="42" t="n"/>
      <c r="V1670" s="42" t="n"/>
      <c r="W1670" s="42" t="n"/>
      <c r="X1670" s="42" t="n"/>
      <c r="Y1670" s="42" t="n"/>
      <c r="Z1670" s="42" t="n"/>
      <c r="AA1670" s="42" t="n"/>
      <c r="AB1670" s="42" t="n"/>
      <c r="AC1670" s="42" t="n"/>
      <c r="AD1670" s="42" t="n"/>
      <c r="AE1670" s="42" t="n"/>
      <c r="AF1670" s="43">
        <f>IF($B1670="","",SUM($T1670:$AE1670))</f>
        <v/>
      </c>
      <c r="AG1670" s="43">
        <f>IF($B1670="","",N($M1670)-N($AF1670))</f>
        <v/>
      </c>
      <c r="AH1670" s="43">
        <f>IF($B1670="","",N($L1670)-N($AF1670))</f>
        <v/>
      </c>
      <c r="AI1670" s="149">
        <f>IF($B1670="","",IF(N($L1670)=0,"",(N($L1670)-N($AF1670))/N($L1670)))</f>
        <v/>
      </c>
    </row>
    <row r="1671">
      <c r="A1671" s="39">
        <f>IF($B1671="","",COUNTA($B$4:$B1671))</f>
        <v/>
      </c>
      <c r="B1671" s="45" t="n">
        <v>46200</v>
      </c>
      <c r="C1671" s="46" t="n">
        <v>3037</v>
      </c>
      <c r="D1671" s="46" t="n"/>
      <c r="E1671" s="46" t="inlineStr">
        <is>
          <t>1*40</t>
        </is>
      </c>
      <c r="F1671" s="46" t="inlineStr">
        <is>
          <t xml:space="preserve">سامسونج </t>
        </is>
      </c>
      <c r="G1671" s="46" t="inlineStr">
        <is>
          <t>بني سويف</t>
        </is>
      </c>
      <c r="H1671" s="46" t="inlineStr">
        <is>
          <t>695660/7</t>
        </is>
      </c>
      <c r="I1671" s="46" t="inlineStr">
        <is>
          <t>س د ي 9848</t>
        </is>
      </c>
      <c r="J1671" s="46" t="inlineStr">
        <is>
          <t xml:space="preserve">احمد السييد </t>
        </is>
      </c>
      <c r="K1671" s="46" t="inlineStr">
        <is>
          <t>محمد صبره</t>
        </is>
      </c>
      <c r="L1671" s="47" t="n">
        <v>19500</v>
      </c>
      <c r="M1671" s="47" t="n">
        <v>10100</v>
      </c>
      <c r="N1671" s="47" t="n">
        <v>1100</v>
      </c>
      <c r="O1671" s="47" t="n">
        <v>200</v>
      </c>
      <c r="P1671" s="47" t="n"/>
      <c r="Q1671" s="47" t="n"/>
      <c r="R1671" s="43">
        <f>IF($B1671="","",N($S1671)-N($Q1671))</f>
        <v/>
      </c>
      <c r="S1671" s="43">
        <f>IF($B1671="","",N($L1671)+N($N1671)+N($P1671))</f>
        <v/>
      </c>
      <c r="T1671" s="47" t="n"/>
      <c r="U1671" s="47" t="n"/>
      <c r="V1671" s="47" t="n"/>
      <c r="W1671" s="47" t="n"/>
      <c r="X1671" s="47" t="n"/>
      <c r="Y1671" s="47" t="n"/>
      <c r="Z1671" s="47" t="n"/>
      <c r="AA1671" s="47" t="n"/>
      <c r="AB1671" s="47" t="n"/>
      <c r="AC1671" s="47" t="n"/>
      <c r="AD1671" s="47" t="n"/>
      <c r="AE1671" s="47" t="n"/>
      <c r="AF1671" s="43">
        <f>IF($B1671="","",SUM($T1671:$AE1671))</f>
        <v/>
      </c>
      <c r="AG1671" s="43">
        <f>IF($B1671="","",N($M1671)-N($AF1671))</f>
        <v/>
      </c>
      <c r="AH1671" s="43">
        <f>IF($B1671="","",N($L1671)-N($AF1671))</f>
        <v/>
      </c>
      <c r="AI1671" s="149">
        <f>IF($B1671="","",IF(N($L1671)=0,"",(N($L1671)-N($AF1671))/N($L1671)))</f>
        <v/>
      </c>
    </row>
    <row r="1672">
      <c r="A1672" s="39">
        <f>IF($B1672="","",COUNTA($B$4:$B1672))</f>
        <v/>
      </c>
      <c r="B1672" s="40" t="n">
        <v>46201</v>
      </c>
      <c r="C1672" s="41" t="n">
        <v>3413</v>
      </c>
      <c r="D1672" s="41" t="n"/>
      <c r="E1672" s="41" t="inlineStr">
        <is>
          <t>1*40</t>
        </is>
      </c>
      <c r="F1672" s="41" t="inlineStr">
        <is>
          <t xml:space="preserve">نور الدين </t>
        </is>
      </c>
      <c r="G1672" s="41" t="inlineStr">
        <is>
          <t>القطاميه</t>
        </is>
      </c>
      <c r="H1672" s="41" t="inlineStr">
        <is>
          <t>719783/7</t>
        </is>
      </c>
      <c r="I1672" s="41" t="inlineStr">
        <is>
          <t>ص ع ا 7812</t>
        </is>
      </c>
      <c r="J1672" s="41" t="inlineStr">
        <is>
          <t>احمد رضوان</t>
        </is>
      </c>
      <c r="K1672" s="41" t="inlineStr">
        <is>
          <t>الليبر</t>
        </is>
      </c>
      <c r="L1672" s="42" t="n">
        <v>15500</v>
      </c>
      <c r="M1672" s="42" t="n">
        <v>9100</v>
      </c>
      <c r="N1672" s="42" t="n"/>
      <c r="O1672" s="42" t="n">
        <v>200</v>
      </c>
      <c r="P1672" s="42" t="n"/>
      <c r="Q1672" s="42" t="n"/>
      <c r="R1672" s="43">
        <f>IF($B1672="","",N($S1672)-N($Q1672))</f>
        <v/>
      </c>
      <c r="S1672" s="43">
        <f>IF($B1672="","",N($L1672)+N($N1672)+N($P1672))</f>
        <v/>
      </c>
      <c r="T1672" s="42" t="n"/>
      <c r="U1672" s="42" t="n"/>
      <c r="V1672" s="42" t="n"/>
      <c r="W1672" s="42" t="n"/>
      <c r="X1672" s="42" t="n"/>
      <c r="Y1672" s="42" t="n"/>
      <c r="Z1672" s="42" t="n"/>
      <c r="AA1672" s="42" t="n"/>
      <c r="AB1672" s="42" t="n"/>
      <c r="AC1672" s="42" t="n"/>
      <c r="AD1672" s="42" t="n"/>
      <c r="AE1672" s="42" t="n"/>
      <c r="AF1672" s="43">
        <f>IF($B1672="","",SUM($T1672:$AE1672))</f>
        <v/>
      </c>
      <c r="AG1672" s="43">
        <f>IF($B1672="","",N($M1672)-N($AF1672))</f>
        <v/>
      </c>
      <c r="AH1672" s="43">
        <f>IF($B1672="","",N($L1672)-N($AF1672))</f>
        <v/>
      </c>
      <c r="AI1672" s="149">
        <f>IF($B1672="","",IF(N($L1672)=0,"",(N($L1672)-N($AF1672))/N($L1672)))</f>
        <v/>
      </c>
    </row>
    <row r="1673">
      <c r="A1673" s="39">
        <f>IF($B1673="","",COUNTA($B$4:$B1673))</f>
        <v/>
      </c>
      <c r="B1673" s="45" t="n">
        <v>46201</v>
      </c>
      <c r="C1673" s="46" t="n">
        <v>3416</v>
      </c>
      <c r="D1673" s="46" t="n"/>
      <c r="E1673" s="46" t="inlineStr">
        <is>
          <t>1*20</t>
        </is>
      </c>
      <c r="F1673" s="46" t="inlineStr">
        <is>
          <t>انجنيرنج</t>
        </is>
      </c>
      <c r="G1673" s="46" t="inlineStr">
        <is>
          <t>مدينه نصر</t>
        </is>
      </c>
      <c r="H1673" s="46" t="inlineStr">
        <is>
          <t>015222/4</t>
        </is>
      </c>
      <c r="I1673" s="46" t="inlineStr">
        <is>
          <t>ب ه ا 7658</t>
        </is>
      </c>
      <c r="J1673" s="46" t="inlineStr">
        <is>
          <t>احمد نوار</t>
        </is>
      </c>
      <c r="K1673" s="46" t="inlineStr">
        <is>
          <t xml:space="preserve">روماني </t>
        </is>
      </c>
      <c r="L1673" s="47" t="n">
        <v>12000</v>
      </c>
      <c r="M1673" s="47" t="n">
        <v>8100</v>
      </c>
      <c r="N1673" s="47" t="n"/>
      <c r="O1673" s="47" t="n">
        <v>200</v>
      </c>
      <c r="P1673" s="47" t="n"/>
      <c r="Q1673" s="47" t="n"/>
      <c r="R1673" s="43">
        <f>IF($B1673="","",N($S1673)-N($Q1673))</f>
        <v/>
      </c>
      <c r="S1673" s="43">
        <f>IF($B1673="","",N($L1673)+N($N1673)+N($P1673))</f>
        <v/>
      </c>
      <c r="T1673" s="47" t="n"/>
      <c r="U1673" s="47" t="n"/>
      <c r="V1673" s="47" t="n"/>
      <c r="W1673" s="47" t="n"/>
      <c r="X1673" s="47" t="n"/>
      <c r="Y1673" s="47" t="n"/>
      <c r="Z1673" s="47" t="n"/>
      <c r="AA1673" s="47" t="n"/>
      <c r="AB1673" s="47" t="n"/>
      <c r="AC1673" s="47" t="n"/>
      <c r="AD1673" s="47" t="n"/>
      <c r="AE1673" s="47" t="n"/>
      <c r="AF1673" s="43">
        <f>IF($B1673="","",SUM($T1673:$AE1673))</f>
        <v/>
      </c>
      <c r="AG1673" s="43">
        <f>IF($B1673="","",N($M1673)-N($AF1673))</f>
        <v/>
      </c>
      <c r="AH1673" s="43">
        <f>IF($B1673="","",N($L1673)-N($AF1673))</f>
        <v/>
      </c>
      <c r="AI1673" s="149">
        <f>IF($B1673="","",IF(N($L1673)=0,"",(N($L1673)-N($AF1673))/N($L1673)))</f>
        <v/>
      </c>
    </row>
    <row r="1674">
      <c r="A1674" s="39">
        <f>IF($B1674="","",COUNTA($B$4:$B1674))</f>
        <v/>
      </c>
      <c r="B1674" s="40" t="n">
        <v>46201</v>
      </c>
      <c r="C1674" s="41" t="n">
        <v>3412</v>
      </c>
      <c r="D1674" s="41" t="n"/>
      <c r="E1674" s="41" t="inlineStr">
        <is>
          <t>1*40</t>
        </is>
      </c>
      <c r="F1674" s="41" t="inlineStr">
        <is>
          <t xml:space="preserve">اورينت </t>
        </is>
      </c>
      <c r="G1674" s="41" t="inlineStr">
        <is>
          <t xml:space="preserve">العاشر </t>
        </is>
      </c>
      <c r="H1674" s="41" t="inlineStr">
        <is>
          <t>625521/1</t>
        </is>
      </c>
      <c r="I1674" s="41" t="inlineStr">
        <is>
          <t>س ا ه  8198</t>
        </is>
      </c>
      <c r="J1674" s="41" t="inlineStr">
        <is>
          <t>ايمن عبده</t>
        </is>
      </c>
      <c r="K1674" s="41" t="inlineStr">
        <is>
          <t>علاء علام</t>
        </is>
      </c>
      <c r="L1674" s="42" t="n">
        <v>15000</v>
      </c>
      <c r="M1674" s="42" t="n">
        <v>8100</v>
      </c>
      <c r="N1674" s="42" t="n"/>
      <c r="O1674" s="42" t="n">
        <v>200</v>
      </c>
      <c r="P1674" s="42" t="n"/>
      <c r="Q1674" s="42" t="n"/>
      <c r="R1674" s="43">
        <f>IF($B1674="","",N($S1674)-N($Q1674))</f>
        <v/>
      </c>
      <c r="S1674" s="43">
        <f>IF($B1674="","",N($L1674)+N($N1674)+N($P1674))</f>
        <v/>
      </c>
      <c r="T1674" s="42" t="n"/>
      <c r="U1674" s="42" t="n"/>
      <c r="V1674" s="42" t="n"/>
      <c r="W1674" s="42" t="n"/>
      <c r="X1674" s="42" t="n"/>
      <c r="Y1674" s="42" t="n"/>
      <c r="Z1674" s="42" t="n"/>
      <c r="AA1674" s="42" t="n"/>
      <c r="AB1674" s="42" t="n"/>
      <c r="AC1674" s="42" t="n"/>
      <c r="AD1674" s="42" t="n"/>
      <c r="AE1674" s="42" t="n"/>
      <c r="AF1674" s="43">
        <f>IF($B1674="","",SUM($T1674:$AE1674))</f>
        <v/>
      </c>
      <c r="AG1674" s="43">
        <f>IF($B1674="","",N($M1674)-N($AF1674))</f>
        <v/>
      </c>
      <c r="AH1674" s="43">
        <f>IF($B1674="","",N($L1674)-N($AF1674))</f>
        <v/>
      </c>
      <c r="AI1674" s="149">
        <f>IF($B1674="","",IF(N($L1674)=0,"",(N($L1674)-N($AF1674))/N($L1674)))</f>
        <v/>
      </c>
    </row>
    <row r="1675">
      <c r="A1675" s="39">
        <f>IF($B1675="","",COUNTA($B$4:$B1675))</f>
        <v/>
      </c>
      <c r="B1675" s="45" t="n">
        <v>46201</v>
      </c>
      <c r="C1675" s="46" t="n">
        <v>3410</v>
      </c>
      <c r="D1675" s="46" t="n"/>
      <c r="E1675" s="46" t="inlineStr">
        <is>
          <t>1*40</t>
        </is>
      </c>
      <c r="F1675" s="46" t="inlineStr">
        <is>
          <t xml:space="preserve">اورينت </t>
        </is>
      </c>
      <c r="G1675" s="46" t="inlineStr">
        <is>
          <t xml:space="preserve">العاشر </t>
        </is>
      </c>
      <c r="H1675" s="46" t="inlineStr">
        <is>
          <t>211810/1</t>
        </is>
      </c>
      <c r="I1675" s="46" t="inlineStr">
        <is>
          <t>ب د ق 3891</t>
        </is>
      </c>
      <c r="J1675" s="46" t="inlineStr">
        <is>
          <t xml:space="preserve">اشرف الحجرى </t>
        </is>
      </c>
      <c r="K1675" s="46" t="inlineStr">
        <is>
          <t xml:space="preserve">اشرف الحجرى </t>
        </is>
      </c>
      <c r="L1675" s="47" t="n">
        <v>15000</v>
      </c>
      <c r="M1675" s="47" t="n">
        <v>8100</v>
      </c>
      <c r="N1675" s="47" t="n"/>
      <c r="O1675" s="47" t="n">
        <v>200</v>
      </c>
      <c r="P1675" s="47" t="n"/>
      <c r="Q1675" s="47" t="n"/>
      <c r="R1675" s="43">
        <f>IF($B1675="","",N($S1675)-N($Q1675))</f>
        <v/>
      </c>
      <c r="S1675" s="43">
        <f>IF($B1675="","",N($L1675)+N($N1675)+N($P1675))</f>
        <v/>
      </c>
      <c r="T1675" s="47" t="n"/>
      <c r="U1675" s="47" t="n"/>
      <c r="V1675" s="47" t="n"/>
      <c r="W1675" s="47" t="n"/>
      <c r="X1675" s="47" t="n"/>
      <c r="Y1675" s="47" t="n"/>
      <c r="Z1675" s="47" t="n"/>
      <c r="AA1675" s="47" t="n"/>
      <c r="AB1675" s="47" t="n"/>
      <c r="AC1675" s="47" t="n"/>
      <c r="AD1675" s="47" t="n"/>
      <c r="AE1675" s="47" t="n"/>
      <c r="AF1675" s="43">
        <f>IF($B1675="","",SUM($T1675:$AE1675))</f>
        <v/>
      </c>
      <c r="AG1675" s="43">
        <f>IF($B1675="","",N($M1675)-N($AF1675))</f>
        <v/>
      </c>
      <c r="AH1675" s="43">
        <f>IF($B1675="","",N($L1675)-N($AF1675))</f>
        <v/>
      </c>
      <c r="AI1675" s="149">
        <f>IF($B1675="","",IF(N($L1675)=0,"",(N($L1675)-N($AF1675))/N($L1675)))</f>
        <v/>
      </c>
    </row>
    <row r="1676">
      <c r="A1676" s="39">
        <f>IF($B1676="","",COUNTA($B$4:$B1676))</f>
        <v/>
      </c>
      <c r="B1676" s="40" t="n">
        <v>46201</v>
      </c>
      <c r="C1676" s="41" t="n">
        <v>3399</v>
      </c>
      <c r="D1676" s="41" t="n"/>
      <c r="E1676" s="41" t="inlineStr">
        <is>
          <t>1*40</t>
        </is>
      </c>
      <c r="F1676" s="41" t="inlineStr">
        <is>
          <t xml:space="preserve">اورينت </t>
        </is>
      </c>
      <c r="G1676" s="41" t="inlineStr">
        <is>
          <t xml:space="preserve">العاشر </t>
        </is>
      </c>
      <c r="H1676" s="41" t="inlineStr">
        <is>
          <t>045764/0</t>
        </is>
      </c>
      <c r="I1676" s="41" t="inlineStr">
        <is>
          <t>ط ف ر 1474</t>
        </is>
      </c>
      <c r="J1676" s="41" t="inlineStr">
        <is>
          <t xml:space="preserve">جمال على </t>
        </is>
      </c>
      <c r="K1676" s="41" t="inlineStr">
        <is>
          <t xml:space="preserve">كريم خليف </t>
        </is>
      </c>
      <c r="L1676" s="42" t="n">
        <v>15000</v>
      </c>
      <c r="M1676" s="42" t="n">
        <v>8100</v>
      </c>
      <c r="N1676" s="42" t="n"/>
      <c r="O1676" s="42" t="n">
        <v>200</v>
      </c>
      <c r="P1676" s="42" t="n"/>
      <c r="Q1676" s="42" t="n"/>
      <c r="R1676" s="43">
        <f>IF($B1676="","",N($S1676)-N($Q1676))</f>
        <v/>
      </c>
      <c r="S1676" s="43">
        <f>IF($B1676="","",N($L1676)+N($N1676)+N($P1676))</f>
        <v/>
      </c>
      <c r="T1676" s="42" t="n"/>
      <c r="U1676" s="42" t="n"/>
      <c r="V1676" s="42" t="n"/>
      <c r="W1676" s="42" t="n"/>
      <c r="X1676" s="42" t="n"/>
      <c r="Y1676" s="42" t="n"/>
      <c r="Z1676" s="42" t="n"/>
      <c r="AA1676" s="42" t="n"/>
      <c r="AB1676" s="42" t="n"/>
      <c r="AC1676" s="42" t="n"/>
      <c r="AD1676" s="42" t="n"/>
      <c r="AE1676" s="42" t="n"/>
      <c r="AF1676" s="43">
        <f>IF($B1676="","",SUM($T1676:$AE1676))</f>
        <v/>
      </c>
      <c r="AG1676" s="43">
        <f>IF($B1676="","",N($M1676)-N($AF1676))</f>
        <v/>
      </c>
      <c r="AH1676" s="43">
        <f>IF($B1676="","",N($L1676)-N($AF1676))</f>
        <v/>
      </c>
      <c r="AI1676" s="149">
        <f>IF($B1676="","",IF(N($L1676)=0,"",(N($L1676)-N($AF1676))/N($L1676)))</f>
        <v/>
      </c>
    </row>
    <row r="1677">
      <c r="A1677" s="39">
        <f>IF($B1677="","",COUNTA($B$4:$B1677))</f>
        <v/>
      </c>
      <c r="B1677" s="45" t="n">
        <v>46201</v>
      </c>
      <c r="C1677" s="46" t="n">
        <v>3400</v>
      </c>
      <c r="D1677" s="46" t="n"/>
      <c r="E1677" s="46" t="inlineStr">
        <is>
          <t>1*40</t>
        </is>
      </c>
      <c r="F1677" s="46" t="inlineStr">
        <is>
          <t xml:space="preserve">النيل </t>
        </is>
      </c>
      <c r="G1677" s="46" t="inlineStr">
        <is>
          <t>الشرقيه انشاص</t>
        </is>
      </c>
      <c r="H1677" s="46" t="inlineStr">
        <is>
          <t>151344/9</t>
        </is>
      </c>
      <c r="I1677" s="46" t="inlineStr">
        <is>
          <t>ع ر ب 1573</t>
        </is>
      </c>
      <c r="J1677" s="46" t="inlineStr">
        <is>
          <t xml:space="preserve">محمد السيد </t>
        </is>
      </c>
      <c r="K1677" s="46" t="inlineStr">
        <is>
          <t xml:space="preserve">حمو مرزوق </t>
        </is>
      </c>
      <c r="L1677" s="47" t="n">
        <v>15700</v>
      </c>
      <c r="M1677" s="47" t="n">
        <v>8100</v>
      </c>
      <c r="N1677" s="47" t="n"/>
      <c r="O1677" s="47" t="n">
        <v>200</v>
      </c>
      <c r="P1677" s="47" t="n"/>
      <c r="Q1677" s="47" t="n"/>
      <c r="R1677" s="43">
        <f>IF($B1677="","",N($S1677)-N($Q1677))</f>
        <v/>
      </c>
      <c r="S1677" s="43">
        <f>IF($B1677="","",N($L1677)+N($N1677)+N($P1677))</f>
        <v/>
      </c>
      <c r="T1677" s="47" t="n"/>
      <c r="U1677" s="47" t="n"/>
      <c r="V1677" s="47" t="n"/>
      <c r="W1677" s="47" t="n"/>
      <c r="X1677" s="47" t="n"/>
      <c r="Y1677" s="47" t="n"/>
      <c r="Z1677" s="47" t="n"/>
      <c r="AA1677" s="47" t="n"/>
      <c r="AB1677" s="47" t="n"/>
      <c r="AC1677" s="47" t="n"/>
      <c r="AD1677" s="47" t="n"/>
      <c r="AE1677" s="47" t="n"/>
      <c r="AF1677" s="43">
        <f>IF($B1677="","",SUM($T1677:$AE1677))</f>
        <v/>
      </c>
      <c r="AG1677" s="43">
        <f>IF($B1677="","",N($M1677)-N($AF1677))</f>
        <v/>
      </c>
      <c r="AH1677" s="43">
        <f>IF($B1677="","",N($L1677)-N($AF1677))</f>
        <v/>
      </c>
      <c r="AI1677" s="149">
        <f>IF($B1677="","",IF(N($L1677)=0,"",(N($L1677)-N($AF1677))/N($L1677)))</f>
        <v/>
      </c>
    </row>
    <row r="1678">
      <c r="A1678" s="39">
        <f>IF($B1678="","",COUNTA($B$4:$B1678))</f>
        <v/>
      </c>
      <c r="B1678" s="40" t="n">
        <v>46201</v>
      </c>
      <c r="C1678" s="41" t="n">
        <v>3397</v>
      </c>
      <c r="D1678" s="41" t="inlineStr">
        <is>
          <t>وليد الجهينى</t>
        </is>
      </c>
      <c r="E1678" s="41" t="inlineStr">
        <is>
          <t>2*20</t>
        </is>
      </c>
      <c r="F1678" s="41" t="inlineStr">
        <is>
          <t>السويدي بوليمرز</t>
        </is>
      </c>
      <c r="G1678" s="41" t="inlineStr">
        <is>
          <t xml:space="preserve">العاشر </t>
        </is>
      </c>
      <c r="H1678" s="41" t="inlineStr">
        <is>
          <t>217711/5-201075/0</t>
        </is>
      </c>
      <c r="I1678" s="41" t="inlineStr">
        <is>
          <t>س ن ر 3739</t>
        </is>
      </c>
      <c r="J1678" s="41" t="inlineStr">
        <is>
          <t>همام عشري</t>
        </is>
      </c>
      <c r="K1678" s="41" t="inlineStr">
        <is>
          <t>همام عشري</t>
        </is>
      </c>
      <c r="L1678" s="42" t="n">
        <v>20000</v>
      </c>
      <c r="M1678" s="42" t="n">
        <v>10100</v>
      </c>
      <c r="N1678" s="42" t="n"/>
      <c r="O1678" s="42" t="n">
        <v>200</v>
      </c>
      <c r="P1678" s="42" t="n"/>
      <c r="Q1678" s="42" t="n"/>
      <c r="R1678" s="43">
        <f>IF($B1678="","",N($S1678)-N($Q1678))</f>
        <v/>
      </c>
      <c r="S1678" s="43">
        <f>IF($B1678="","",N($L1678)+N($N1678)+N($P1678))</f>
        <v/>
      </c>
      <c r="T1678" s="42" t="n"/>
      <c r="U1678" s="42" t="n"/>
      <c r="V1678" s="42" t="n"/>
      <c r="W1678" s="42" t="n"/>
      <c r="X1678" s="42" t="n"/>
      <c r="Y1678" s="42" t="n"/>
      <c r="Z1678" s="42" t="n"/>
      <c r="AA1678" s="42" t="n"/>
      <c r="AB1678" s="42" t="n"/>
      <c r="AC1678" s="42" t="n"/>
      <c r="AD1678" s="42" t="n"/>
      <c r="AE1678" s="42" t="n"/>
      <c r="AF1678" s="43">
        <f>IF($B1678="","",SUM($T1678:$AE1678))</f>
        <v/>
      </c>
      <c r="AG1678" s="43">
        <f>IF($B1678="","",N($M1678)-N($AF1678))</f>
        <v/>
      </c>
      <c r="AH1678" s="43">
        <f>IF($B1678="","",N($L1678)-N($AF1678))</f>
        <v/>
      </c>
      <c r="AI1678" s="149">
        <f>IF($B1678="","",IF(N($L1678)=0,"",(N($L1678)-N($AF1678))/N($L1678)))</f>
        <v/>
      </c>
    </row>
    <row r="1679">
      <c r="A1679" s="39">
        <f>IF($B1679="","",COUNTA($B$4:$B1679))</f>
        <v/>
      </c>
      <c r="B1679" s="45" t="n">
        <v>46201</v>
      </c>
      <c r="C1679" s="46" t="n">
        <v>3396</v>
      </c>
      <c r="D1679" s="46" t="n"/>
      <c r="E1679" s="46" t="inlineStr">
        <is>
          <t>2*20</t>
        </is>
      </c>
      <c r="F1679" s="46" t="inlineStr">
        <is>
          <t>السويدي بوليمرز</t>
        </is>
      </c>
      <c r="G1679" s="46" t="inlineStr">
        <is>
          <t xml:space="preserve">العاشر </t>
        </is>
      </c>
      <c r="H1679" s="46" t="inlineStr">
        <is>
          <t>062831/7-287893/8</t>
        </is>
      </c>
      <c r="I1679" s="46" t="inlineStr">
        <is>
          <t>س ر ا 6671</t>
        </is>
      </c>
      <c r="J1679" s="46" t="inlineStr">
        <is>
          <t xml:space="preserve">احمد صديق </t>
        </is>
      </c>
      <c r="K1679" s="46" t="inlineStr">
        <is>
          <t xml:space="preserve">حمو مرزوق </t>
        </is>
      </c>
      <c r="L1679" s="47" t="n">
        <v>20000</v>
      </c>
      <c r="M1679" s="47" t="n">
        <v>10100</v>
      </c>
      <c r="N1679" s="47" t="n"/>
      <c r="O1679" s="47" t="n">
        <v>200</v>
      </c>
      <c r="P1679" s="47" t="n"/>
      <c r="Q1679" s="47" t="n"/>
      <c r="R1679" s="43">
        <f>IF($B1679="","",N($S1679)-N($Q1679))</f>
        <v/>
      </c>
      <c r="S1679" s="43">
        <f>IF($B1679="","",N($L1679)+N($N1679)+N($P1679))</f>
        <v/>
      </c>
      <c r="T1679" s="47" t="n"/>
      <c r="U1679" s="47" t="n"/>
      <c r="V1679" s="47" t="n"/>
      <c r="W1679" s="47" t="n"/>
      <c r="X1679" s="47" t="n"/>
      <c r="Y1679" s="47" t="n"/>
      <c r="Z1679" s="47" t="n"/>
      <c r="AA1679" s="47" t="n"/>
      <c r="AB1679" s="47" t="n"/>
      <c r="AC1679" s="47" t="n"/>
      <c r="AD1679" s="47" t="n"/>
      <c r="AE1679" s="47" t="n"/>
      <c r="AF1679" s="43">
        <f>IF($B1679="","",SUM($T1679:$AE1679))</f>
        <v/>
      </c>
      <c r="AG1679" s="43">
        <f>IF($B1679="","",N($M1679)-N($AF1679))</f>
        <v/>
      </c>
      <c r="AH1679" s="43">
        <f>IF($B1679="","",N($L1679)-N($AF1679))</f>
        <v/>
      </c>
      <c r="AI1679" s="149">
        <f>IF($B1679="","",IF(N($L1679)=0,"",(N($L1679)-N($AF1679))/N($L1679)))</f>
        <v/>
      </c>
    </row>
    <row r="1680">
      <c r="A1680" s="39">
        <f>IF($B1680="","",COUNTA($B$4:$B1680))</f>
        <v/>
      </c>
      <c r="B1680" s="40" t="n">
        <v>46201</v>
      </c>
      <c r="C1680" s="41" t="n">
        <v>3395</v>
      </c>
      <c r="D1680" s="41" t="n"/>
      <c r="E1680" s="41" t="inlineStr">
        <is>
          <t>2*20</t>
        </is>
      </c>
      <c r="F1680" s="41" t="inlineStr">
        <is>
          <t>السويدي بوليمرز</t>
        </is>
      </c>
      <c r="G1680" s="41" t="inlineStr">
        <is>
          <t xml:space="preserve">العاشر </t>
        </is>
      </c>
      <c r="H1680" s="41" t="inlineStr">
        <is>
          <t>203130/5-222276/5</t>
        </is>
      </c>
      <c r="I1680" s="41" t="inlineStr">
        <is>
          <t>ب د ف 8719</t>
        </is>
      </c>
      <c r="J1680" s="41" t="inlineStr">
        <is>
          <t>بدر عبدالمقصود</t>
        </is>
      </c>
      <c r="K1680" s="41" t="inlineStr">
        <is>
          <t>مكرم</t>
        </is>
      </c>
      <c r="L1680" s="42" t="n">
        <v>20000</v>
      </c>
      <c r="M1680" s="42" t="n">
        <v>10100</v>
      </c>
      <c r="N1680" s="42" t="n"/>
      <c r="O1680" s="42" t="n">
        <v>200</v>
      </c>
      <c r="P1680" s="42" t="n"/>
      <c r="Q1680" s="42" t="n"/>
      <c r="R1680" s="43">
        <f>IF($B1680="","",N($S1680)-N($Q1680))</f>
        <v/>
      </c>
      <c r="S1680" s="43">
        <f>IF($B1680="","",N($L1680)+N($N1680)+N($P1680))</f>
        <v/>
      </c>
      <c r="T1680" s="42" t="n"/>
      <c r="U1680" s="42" t="n"/>
      <c r="V1680" s="42" t="n"/>
      <c r="W1680" s="42" t="n"/>
      <c r="X1680" s="42" t="n"/>
      <c r="Y1680" s="42" t="n"/>
      <c r="Z1680" s="42" t="n"/>
      <c r="AA1680" s="42" t="n"/>
      <c r="AB1680" s="42" t="n"/>
      <c r="AC1680" s="42" t="n"/>
      <c r="AD1680" s="42" t="n"/>
      <c r="AE1680" s="42" t="n"/>
      <c r="AF1680" s="43">
        <f>IF($B1680="","",SUM($T1680:$AE1680))</f>
        <v/>
      </c>
      <c r="AG1680" s="43">
        <f>IF($B1680="","",N($M1680)-N($AF1680))</f>
        <v/>
      </c>
      <c r="AH1680" s="43">
        <f>IF($B1680="","",N($L1680)-N($AF1680))</f>
        <v/>
      </c>
      <c r="AI1680" s="149">
        <f>IF($B1680="","",IF(N($L1680)=0,"",(N($L1680)-N($AF1680))/N($L1680)))</f>
        <v/>
      </c>
    </row>
    <row r="1681">
      <c r="A1681" s="39">
        <f>IF($B1681="","",COUNTA($B$4:$B1681))</f>
        <v/>
      </c>
      <c r="B1681" s="45" t="n">
        <v>46201</v>
      </c>
      <c r="C1681" s="46" t="n">
        <v>3394</v>
      </c>
      <c r="D1681" s="46" t="n"/>
      <c r="E1681" s="46" t="inlineStr">
        <is>
          <t>2*20</t>
        </is>
      </c>
      <c r="F1681" s="46" t="inlineStr">
        <is>
          <t>السويدي بوليمرز</t>
        </is>
      </c>
      <c r="G1681" s="46" t="inlineStr">
        <is>
          <t xml:space="preserve">العاشر </t>
        </is>
      </c>
      <c r="H1681" s="46" t="inlineStr">
        <is>
          <t>044081/3-284976/0</t>
        </is>
      </c>
      <c r="I1681" s="46" t="inlineStr">
        <is>
          <t>ص ع ا 7462</t>
        </is>
      </c>
      <c r="J1681" s="46" t="inlineStr">
        <is>
          <t>فتحي احمد</t>
        </is>
      </c>
      <c r="K1681" s="46" t="inlineStr">
        <is>
          <t xml:space="preserve">اشرف الحجرى </t>
        </is>
      </c>
      <c r="L1681" s="47" t="n">
        <v>20000</v>
      </c>
      <c r="M1681" s="47" t="n">
        <v>10100</v>
      </c>
      <c r="N1681" s="47" t="n"/>
      <c r="O1681" s="47" t="n">
        <v>200</v>
      </c>
      <c r="P1681" s="47" t="n"/>
      <c r="Q1681" s="47" t="n"/>
      <c r="R1681" s="43">
        <f>IF($B1681="","",N($S1681)-N($Q1681))</f>
        <v/>
      </c>
      <c r="S1681" s="43">
        <f>IF($B1681="","",N($L1681)+N($N1681)+N($P1681))</f>
        <v/>
      </c>
      <c r="T1681" s="47" t="n"/>
      <c r="U1681" s="47" t="n"/>
      <c r="V1681" s="47" t="n"/>
      <c r="W1681" s="47" t="n"/>
      <c r="X1681" s="47" t="n"/>
      <c r="Y1681" s="47" t="n"/>
      <c r="Z1681" s="47" t="n"/>
      <c r="AA1681" s="47" t="n"/>
      <c r="AB1681" s="47" t="n"/>
      <c r="AC1681" s="47" t="n"/>
      <c r="AD1681" s="47" t="n"/>
      <c r="AE1681" s="47" t="n"/>
      <c r="AF1681" s="43">
        <f>IF($B1681="","",SUM($T1681:$AE1681))</f>
        <v/>
      </c>
      <c r="AG1681" s="43">
        <f>IF($B1681="","",N($M1681)-N($AF1681))</f>
        <v/>
      </c>
      <c r="AH1681" s="43">
        <f>IF($B1681="","",N($L1681)-N($AF1681))</f>
        <v/>
      </c>
      <c r="AI1681" s="149">
        <f>IF($B1681="","",IF(N($L1681)=0,"",(N($L1681)-N($AF1681))/N($L1681)))</f>
        <v/>
      </c>
    </row>
    <row r="1682">
      <c r="A1682" s="39">
        <f>IF($B1682="","",COUNTA($B$4:$B1682))</f>
        <v/>
      </c>
      <c r="B1682" s="40" t="n">
        <v>46201</v>
      </c>
      <c r="C1682" s="41" t="n">
        <v>3393</v>
      </c>
      <c r="D1682" s="41" t="inlineStr">
        <is>
          <t xml:space="preserve">الانصارى </t>
        </is>
      </c>
      <c r="E1682" s="41" t="inlineStr">
        <is>
          <t>2*20</t>
        </is>
      </c>
      <c r="F1682" s="41" t="inlineStr">
        <is>
          <t>السويدي بوليمرز</t>
        </is>
      </c>
      <c r="G1682" s="41" t="inlineStr">
        <is>
          <t xml:space="preserve">العاشر </t>
        </is>
      </c>
      <c r="H1682" s="41" t="inlineStr">
        <is>
          <t>043802/0-258778/4</t>
        </is>
      </c>
      <c r="I1682" s="41" t="inlineStr">
        <is>
          <t>ب ص ا 2574</t>
        </is>
      </c>
      <c r="J1682" s="41" t="inlineStr">
        <is>
          <t xml:space="preserve">محمد البحيرى </t>
        </is>
      </c>
      <c r="K1682" s="41" t="inlineStr">
        <is>
          <t>حماده خليف</t>
        </is>
      </c>
      <c r="L1682" s="42" t="n">
        <v>20000</v>
      </c>
      <c r="M1682" s="42" t="n">
        <v>10100</v>
      </c>
      <c r="N1682" s="42" t="n"/>
      <c r="O1682" s="42" t="n">
        <v>200</v>
      </c>
      <c r="P1682" s="42" t="n"/>
      <c r="Q1682" s="42" t="n"/>
      <c r="R1682" s="43">
        <f>IF($B1682="","",N($S1682)-N($Q1682))</f>
        <v/>
      </c>
      <c r="S1682" s="43">
        <f>IF($B1682="","",N($L1682)+N($N1682)+N($P1682))</f>
        <v/>
      </c>
      <c r="T1682" s="42" t="n"/>
      <c r="U1682" s="42" t="n"/>
      <c r="V1682" s="42" t="n"/>
      <c r="W1682" s="42" t="n"/>
      <c r="X1682" s="42" t="n"/>
      <c r="Y1682" s="42" t="n"/>
      <c r="Z1682" s="42" t="n"/>
      <c r="AA1682" s="42" t="n"/>
      <c r="AB1682" s="42" t="n"/>
      <c r="AC1682" s="42" t="n"/>
      <c r="AD1682" s="42" t="n"/>
      <c r="AE1682" s="42" t="n"/>
      <c r="AF1682" s="43">
        <f>IF($B1682="","",SUM($T1682:$AE1682))</f>
        <v/>
      </c>
      <c r="AG1682" s="43">
        <f>IF($B1682="","",N($M1682)-N($AF1682))</f>
        <v/>
      </c>
      <c r="AH1682" s="43">
        <f>IF($B1682="","",N($L1682)-N($AF1682))</f>
        <v/>
      </c>
      <c r="AI1682" s="149">
        <f>IF($B1682="","",IF(N($L1682)=0,"",(N($L1682)-N($AF1682))/N($L1682)))</f>
        <v/>
      </c>
    </row>
    <row r="1683">
      <c r="A1683" s="39">
        <f>IF($B1683="","",COUNTA($B$4:$B1683))</f>
        <v/>
      </c>
      <c r="B1683" s="45" t="n">
        <v>46201</v>
      </c>
      <c r="C1683" s="46" t="n">
        <v>3415</v>
      </c>
      <c r="D1683" s="46" t="n"/>
      <c r="E1683" s="46" t="inlineStr">
        <is>
          <t>1*40</t>
        </is>
      </c>
      <c r="F1683" s="46" t="inlineStr">
        <is>
          <t>المصريه الالمانيه</t>
        </is>
      </c>
      <c r="G1683" s="46" t="inlineStr">
        <is>
          <t xml:space="preserve">اكتوبر </t>
        </is>
      </c>
      <c r="H1683" s="46" t="inlineStr">
        <is>
          <t>725361/9</t>
        </is>
      </c>
      <c r="I1683" s="46" t="inlineStr">
        <is>
          <t>س د ه 2616</t>
        </is>
      </c>
      <c r="J1683" s="46" t="inlineStr">
        <is>
          <t xml:space="preserve">عمر </t>
        </is>
      </c>
      <c r="K1683" s="46" t="inlineStr">
        <is>
          <t>ابرهيم غزال</t>
        </is>
      </c>
      <c r="L1683" s="47" t="n"/>
      <c r="M1683" s="47" t="n">
        <v>8100</v>
      </c>
      <c r="N1683" s="47" t="n"/>
      <c r="O1683" s="47" t="n">
        <v>200</v>
      </c>
      <c r="P1683" s="47" t="n"/>
      <c r="Q1683" s="47" t="n"/>
      <c r="R1683" s="43">
        <f>IF($B1683="","",N($S1683)-N($Q1683))</f>
        <v/>
      </c>
      <c r="S1683" s="43">
        <f>IF($B1683="","",N($L1683)+N($N1683)+N($P1683))</f>
        <v/>
      </c>
      <c r="T1683" s="47" t="n"/>
      <c r="U1683" s="47" t="n"/>
      <c r="V1683" s="47" t="n"/>
      <c r="W1683" s="47" t="n"/>
      <c r="X1683" s="47" t="n"/>
      <c r="Y1683" s="47" t="n"/>
      <c r="Z1683" s="47" t="n"/>
      <c r="AA1683" s="47" t="n"/>
      <c r="AB1683" s="47" t="n"/>
      <c r="AC1683" s="47" t="n"/>
      <c r="AD1683" s="47" t="n"/>
      <c r="AE1683" s="47" t="n"/>
      <c r="AF1683" s="43">
        <f>IF($B1683="","",SUM($T1683:$AE1683))</f>
        <v/>
      </c>
      <c r="AG1683" s="43">
        <f>IF($B1683="","",N($M1683)-N($AF1683))</f>
        <v/>
      </c>
      <c r="AH1683" s="43">
        <f>IF($B1683="","",N($L1683)-N($AF1683))</f>
        <v/>
      </c>
      <c r="AI1683" s="149">
        <f>IF($B1683="","",IF(N($L1683)=0,"",(N($L1683)-N($AF1683))/N($L1683)))</f>
        <v/>
      </c>
    </row>
    <row r="1684">
      <c r="A1684" s="39">
        <f>IF($B1684="","",COUNTA($B$4:$B1684))</f>
        <v/>
      </c>
      <c r="B1684" s="40" t="n">
        <v>46201</v>
      </c>
      <c r="C1684" s="41" t="n">
        <v>3414</v>
      </c>
      <c r="D1684" s="41" t="n"/>
      <c r="E1684" s="41" t="inlineStr">
        <is>
          <t>1*40</t>
        </is>
      </c>
      <c r="F1684" s="41" t="inlineStr">
        <is>
          <t>المصريه الالمانيه</t>
        </is>
      </c>
      <c r="G1684" s="41" t="inlineStr">
        <is>
          <t xml:space="preserve">اكتوبر </t>
        </is>
      </c>
      <c r="H1684" s="41" t="inlineStr">
        <is>
          <t>682577/0</t>
        </is>
      </c>
      <c r="I1684" s="41" t="inlineStr">
        <is>
          <t>س ع م 8737</t>
        </is>
      </c>
      <c r="J1684" s="41" t="inlineStr">
        <is>
          <t xml:space="preserve">جلال حسنى </t>
        </is>
      </c>
      <c r="K1684" s="41" t="inlineStr">
        <is>
          <t xml:space="preserve">المكتب </t>
        </is>
      </c>
      <c r="L1684" s="42" t="n">
        <v>13800</v>
      </c>
      <c r="M1684" s="42" t="n">
        <v>3000</v>
      </c>
      <c r="N1684" s="42" t="n"/>
      <c r="O1684" s="42" t="n">
        <v>200</v>
      </c>
      <c r="P1684" s="42" t="n"/>
      <c r="Q1684" s="42" t="n"/>
      <c r="R1684" s="43">
        <f>IF($B1684="","",N($S1684)-N($Q1684))</f>
        <v/>
      </c>
      <c r="S1684" s="43">
        <f>IF($B1684="","",N($L1684)+N($N1684)+N($P1684))</f>
        <v/>
      </c>
      <c r="T1684" s="42" t="n"/>
      <c r="U1684" s="42" t="n"/>
      <c r="V1684" s="42" t="n"/>
      <c r="W1684" s="42" t="n"/>
      <c r="X1684" s="42" t="n"/>
      <c r="Y1684" s="42" t="n"/>
      <c r="Z1684" s="42" t="n"/>
      <c r="AA1684" s="42" t="n"/>
      <c r="AB1684" s="42" t="n"/>
      <c r="AC1684" s="42" t="n"/>
      <c r="AD1684" s="42" t="n"/>
      <c r="AE1684" s="42" t="n"/>
      <c r="AF1684" s="43">
        <f>IF($B1684="","",SUM($T1684:$AE1684))</f>
        <v/>
      </c>
      <c r="AG1684" s="43">
        <f>IF($B1684="","",N($M1684)-N($AF1684))</f>
        <v/>
      </c>
      <c r="AH1684" s="43">
        <f>IF($B1684="","",N($L1684)-N($AF1684))</f>
        <v/>
      </c>
      <c r="AI1684" s="149">
        <f>IF($B1684="","",IF(N($L1684)=0,"",(N($L1684)-N($AF1684))/N($L1684)))</f>
        <v/>
      </c>
    </row>
    <row r="1685">
      <c r="A1685" s="39">
        <f>IF($B1685="","",COUNTA($B$4:$B1685))</f>
        <v/>
      </c>
      <c r="B1685" s="45" t="n">
        <v>46197</v>
      </c>
      <c r="C1685" s="46" t="n">
        <v>3325</v>
      </c>
      <c r="D1685" s="46" t="inlineStr">
        <is>
          <t>وليد الجهينى</t>
        </is>
      </c>
      <c r="E1685" s="46" t="inlineStr">
        <is>
          <t>1*40</t>
        </is>
      </c>
      <c r="F1685" s="46" t="inlineStr">
        <is>
          <t xml:space="preserve">ميت وات </t>
        </is>
      </c>
      <c r="G1685" s="46" t="inlineStr">
        <is>
          <t xml:space="preserve">اكتوبر </t>
        </is>
      </c>
      <c r="H1685" s="46" t="inlineStr">
        <is>
          <t>757117/9</t>
        </is>
      </c>
      <c r="I1685" s="46" t="inlineStr">
        <is>
          <t>س ن ر 3739</t>
        </is>
      </c>
      <c r="J1685" s="46" t="inlineStr">
        <is>
          <t>همام عشري</t>
        </is>
      </c>
      <c r="K1685" s="46" t="inlineStr">
        <is>
          <t xml:space="preserve">همام عشري </t>
        </is>
      </c>
      <c r="L1685" s="47" t="n">
        <v>13800</v>
      </c>
      <c r="M1685" s="47" t="n">
        <v>8100</v>
      </c>
      <c r="N1685" s="47" t="n"/>
      <c r="O1685" s="47" t="n">
        <v>200</v>
      </c>
      <c r="P1685" s="47" t="n"/>
      <c r="Q1685" s="47" t="n"/>
      <c r="R1685" s="43">
        <f>IF($B1685="","",N($S1685)-N($Q1685))</f>
        <v/>
      </c>
      <c r="S1685" s="43">
        <f>IF($B1685="","",N($L1685)+N($N1685)+N($P1685))</f>
        <v/>
      </c>
      <c r="T1685" s="47" t="n"/>
      <c r="U1685" s="47" t="n"/>
      <c r="V1685" s="47" t="n"/>
      <c r="W1685" s="47" t="n"/>
      <c r="X1685" s="47" t="n"/>
      <c r="Y1685" s="47" t="n"/>
      <c r="Z1685" s="47" t="n"/>
      <c r="AA1685" s="47" t="n"/>
      <c r="AB1685" s="47" t="n"/>
      <c r="AC1685" s="47" t="n"/>
      <c r="AD1685" s="47" t="n"/>
      <c r="AE1685" s="47" t="n"/>
      <c r="AF1685" s="43">
        <f>IF($B1685="","",SUM($T1685:$AE1685))</f>
        <v/>
      </c>
      <c r="AG1685" s="43">
        <f>IF($B1685="","",N($M1685)-N($AF1685))</f>
        <v/>
      </c>
      <c r="AH1685" s="43">
        <f>IF($B1685="","",N($L1685)-N($AF1685))</f>
        <v/>
      </c>
      <c r="AI1685" s="149">
        <f>IF($B1685="","",IF(N($L1685)=0,"",(N($L1685)-N($AF1685))/N($L1685)))</f>
        <v/>
      </c>
    </row>
    <row r="1686">
      <c r="A1686" s="39">
        <f>IF($B1686="","",COUNTA($B$4:$B1686))</f>
        <v/>
      </c>
      <c r="B1686" s="40" t="n">
        <v>46197</v>
      </c>
      <c r="C1686" s="41" t="n">
        <v>3452</v>
      </c>
      <c r="D1686" s="41" t="inlineStr">
        <is>
          <t xml:space="preserve">فوزى </t>
        </is>
      </c>
      <c r="E1686" s="41" t="inlineStr">
        <is>
          <t>1*40</t>
        </is>
      </c>
      <c r="F1686" s="41" t="inlineStr">
        <is>
          <t>وادي الرياض</t>
        </is>
      </c>
      <c r="G1686" s="41" t="inlineStr">
        <is>
          <t>الاسماعيليه</t>
        </is>
      </c>
      <c r="H1686" s="41" t="inlineStr">
        <is>
          <t>779430/5</t>
        </is>
      </c>
      <c r="I1686" s="41" t="inlineStr">
        <is>
          <t>ب د ق 7891</t>
        </is>
      </c>
      <c r="J1686" s="41" t="inlineStr">
        <is>
          <t xml:space="preserve">احمد مصباح </t>
        </is>
      </c>
      <c r="K1686" s="41" t="inlineStr">
        <is>
          <t>ابو ادم</t>
        </is>
      </c>
      <c r="L1686" s="42" t="n">
        <v>18000</v>
      </c>
      <c r="M1686" s="42" t="n">
        <v>8100</v>
      </c>
      <c r="N1686" s="42" t="n">
        <v>1100</v>
      </c>
      <c r="O1686" s="42" t="n">
        <v>200</v>
      </c>
      <c r="P1686" s="42" t="n"/>
      <c r="Q1686" s="42" t="n"/>
      <c r="R1686" s="43">
        <f>IF($B1686="","",N($S1686)-N($Q1686))</f>
        <v/>
      </c>
      <c r="S1686" s="43">
        <f>IF($B1686="","",N($L1686)+N($N1686)+N($P1686))</f>
        <v/>
      </c>
      <c r="T1686" s="42" t="n"/>
      <c r="U1686" s="42" t="n"/>
      <c r="V1686" s="42" t="n"/>
      <c r="W1686" s="42" t="n"/>
      <c r="X1686" s="42" t="n"/>
      <c r="Y1686" s="42" t="n"/>
      <c r="Z1686" s="42" t="n"/>
      <c r="AA1686" s="42" t="n"/>
      <c r="AB1686" s="42" t="n"/>
      <c r="AC1686" s="42" t="n"/>
      <c r="AD1686" s="42" t="n"/>
      <c r="AE1686" s="42" t="n"/>
      <c r="AF1686" s="43">
        <f>IF($B1686="","",SUM($T1686:$AE1686))</f>
        <v/>
      </c>
      <c r="AG1686" s="43">
        <f>IF($B1686="","",N($M1686)-N($AF1686))</f>
        <v/>
      </c>
      <c r="AH1686" s="43">
        <f>IF($B1686="","",N($L1686)-N($AF1686))</f>
        <v/>
      </c>
      <c r="AI1686" s="149">
        <f>IF($B1686="","",IF(N($L1686)=0,"",(N($L1686)-N($AF1686))/N($L1686)))</f>
        <v/>
      </c>
    </row>
    <row r="1687">
      <c r="A1687" s="39">
        <f>IF($B1687="","",COUNTA($B$4:$B1687))</f>
        <v/>
      </c>
      <c r="B1687" s="45" t="n">
        <v>46197</v>
      </c>
      <c r="C1687" s="46" t="n">
        <v>3453</v>
      </c>
      <c r="D1687" s="46" t="inlineStr">
        <is>
          <t>الشريف</t>
        </is>
      </c>
      <c r="E1687" s="46" t="inlineStr">
        <is>
          <t>1*40</t>
        </is>
      </c>
      <c r="F1687" s="46" t="inlineStr">
        <is>
          <t>وادي الرياض</t>
        </is>
      </c>
      <c r="G1687" s="46" t="inlineStr">
        <is>
          <t>الاسماعيليه</t>
        </is>
      </c>
      <c r="H1687" s="46" t="inlineStr">
        <is>
          <t>673525/3</t>
        </is>
      </c>
      <c r="I1687" s="46" t="inlineStr">
        <is>
          <t>ب ص س 6954</t>
        </is>
      </c>
      <c r="J1687" s="46" t="inlineStr">
        <is>
          <t>عبدالله محمود</t>
        </is>
      </c>
      <c r="K1687" s="46" t="inlineStr">
        <is>
          <t>ابو ادم</t>
        </is>
      </c>
      <c r="L1687" s="47" t="n">
        <v>18000</v>
      </c>
      <c r="M1687" s="47" t="n">
        <v>8100</v>
      </c>
      <c r="N1687" s="47" t="n">
        <v>1100</v>
      </c>
      <c r="O1687" s="47" t="n">
        <v>200</v>
      </c>
      <c r="P1687" s="47" t="n"/>
      <c r="Q1687" s="47" t="n"/>
      <c r="R1687" s="43">
        <f>IF($B1687="","",N($S1687)-N($Q1687))</f>
        <v/>
      </c>
      <c r="S1687" s="43">
        <f>IF($B1687="","",N($L1687)+N($N1687)+N($P1687))</f>
        <v/>
      </c>
      <c r="T1687" s="47" t="n"/>
      <c r="U1687" s="47" t="n"/>
      <c r="V1687" s="47" t="n"/>
      <c r="W1687" s="47" t="n"/>
      <c r="X1687" s="47" t="n"/>
      <c r="Y1687" s="47" t="n"/>
      <c r="Z1687" s="47" t="n"/>
      <c r="AA1687" s="47" t="n"/>
      <c r="AB1687" s="47" t="n"/>
      <c r="AC1687" s="47" t="n"/>
      <c r="AD1687" s="47" t="n"/>
      <c r="AE1687" s="47" t="n"/>
      <c r="AF1687" s="43">
        <f>IF($B1687="","",SUM($T1687:$AE1687))</f>
        <v/>
      </c>
      <c r="AG1687" s="43">
        <f>IF($B1687="","",N($M1687)-N($AF1687))</f>
        <v/>
      </c>
      <c r="AH1687" s="43">
        <f>IF($B1687="","",N($L1687)-N($AF1687))</f>
        <v/>
      </c>
      <c r="AI1687" s="149">
        <f>IF($B1687="","",IF(N($L1687)=0,"",(N($L1687)-N($AF1687))/N($L1687)))</f>
        <v/>
      </c>
    </row>
    <row r="1688">
      <c r="A1688" s="39">
        <f>IF($B1688="","",COUNTA($B$4:$B1688))</f>
        <v/>
      </c>
      <c r="B1688" s="40" t="n">
        <v>46197</v>
      </c>
      <c r="C1688" s="41" t="n">
        <v>3454</v>
      </c>
      <c r="D1688" s="41" t="inlineStr">
        <is>
          <t xml:space="preserve">الجوهرى </t>
        </is>
      </c>
      <c r="E1688" s="41" t="inlineStr">
        <is>
          <t>1*40</t>
        </is>
      </c>
      <c r="F1688" s="41" t="inlineStr">
        <is>
          <t>وادي الرياض</t>
        </is>
      </c>
      <c r="G1688" s="41" t="inlineStr">
        <is>
          <t>الاسماعيليه</t>
        </is>
      </c>
      <c r="H1688" s="41" t="inlineStr">
        <is>
          <t>683205/2</t>
        </is>
      </c>
      <c r="I1688" s="41" t="inlineStr">
        <is>
          <t>ع ر م 5275</t>
        </is>
      </c>
      <c r="J1688" s="41" t="inlineStr">
        <is>
          <t xml:space="preserve">احمد علي </t>
        </is>
      </c>
      <c r="K1688" s="41" t="inlineStr">
        <is>
          <t>ابو ادم</t>
        </is>
      </c>
      <c r="L1688" s="42" t="n">
        <v>18000</v>
      </c>
      <c r="M1688" s="42" t="n">
        <v>8100</v>
      </c>
      <c r="N1688" s="42" t="n">
        <v>1100</v>
      </c>
      <c r="O1688" s="42" t="n">
        <v>200</v>
      </c>
      <c r="P1688" s="42" t="n"/>
      <c r="Q1688" s="42" t="n"/>
      <c r="R1688" s="43">
        <f>IF($B1688="","",N($S1688)-N($Q1688))</f>
        <v/>
      </c>
      <c r="S1688" s="43">
        <f>IF($B1688="","",N($L1688)+N($N1688)+N($P1688))</f>
        <v/>
      </c>
      <c r="T1688" s="42" t="n"/>
      <c r="U1688" s="42" t="n"/>
      <c r="V1688" s="42" t="n"/>
      <c r="W1688" s="42" t="n"/>
      <c r="X1688" s="42" t="n"/>
      <c r="Y1688" s="42" t="n"/>
      <c r="Z1688" s="42" t="n"/>
      <c r="AA1688" s="42" t="n"/>
      <c r="AB1688" s="42" t="n"/>
      <c r="AC1688" s="42" t="n"/>
      <c r="AD1688" s="42" t="n"/>
      <c r="AE1688" s="42" t="n"/>
      <c r="AF1688" s="43">
        <f>IF($B1688="","",SUM($T1688:$AE1688))</f>
        <v/>
      </c>
      <c r="AG1688" s="43">
        <f>IF($B1688="","",N($M1688)-N($AF1688))</f>
        <v/>
      </c>
      <c r="AH1688" s="43">
        <f>IF($B1688="","",N($L1688)-N($AF1688))</f>
        <v/>
      </c>
      <c r="AI1688" s="149">
        <f>IF($B1688="","",IF(N($L1688)=0,"",(N($L1688)-N($AF1688))/N($L1688)))</f>
        <v/>
      </c>
    </row>
    <row r="1689">
      <c r="A1689" s="39">
        <f>IF($B1689="","",COUNTA($B$4:$B1689))</f>
        <v/>
      </c>
      <c r="B1689" s="45" t="n">
        <v>46197</v>
      </c>
      <c r="C1689" s="46" t="n">
        <v>3455</v>
      </c>
      <c r="D1689" s="46" t="n"/>
      <c r="E1689" s="46" t="inlineStr">
        <is>
          <t>1*40</t>
        </is>
      </c>
      <c r="F1689" s="46" t="inlineStr">
        <is>
          <t>وادي الرياض</t>
        </is>
      </c>
      <c r="G1689" s="46" t="inlineStr">
        <is>
          <t>الاسماعيليه</t>
        </is>
      </c>
      <c r="H1689" s="46" t="inlineStr">
        <is>
          <t>825548/2</t>
        </is>
      </c>
      <c r="I1689" s="46" t="inlineStr">
        <is>
          <t>ع ص ا 1989</t>
        </is>
      </c>
      <c r="J1689" s="46" t="inlineStr">
        <is>
          <t>طاهر ابرهيم</t>
        </is>
      </c>
      <c r="K1689" s="46" t="inlineStr">
        <is>
          <t>ابو ادم</t>
        </is>
      </c>
      <c r="L1689" s="47" t="n">
        <v>18000</v>
      </c>
      <c r="M1689" s="47" t="n">
        <v>8100</v>
      </c>
      <c r="N1689" s="47" t="n">
        <v>1100</v>
      </c>
      <c r="O1689" s="47" t="n">
        <v>200</v>
      </c>
      <c r="P1689" s="47" t="n"/>
      <c r="Q1689" s="47" t="n"/>
      <c r="R1689" s="43">
        <f>IF($B1689="","",N($S1689)-N($Q1689))</f>
        <v/>
      </c>
      <c r="S1689" s="43">
        <f>IF($B1689="","",N($L1689)+N($N1689)+N($P1689))</f>
        <v/>
      </c>
      <c r="T1689" s="47" t="n"/>
      <c r="U1689" s="47" t="n"/>
      <c r="V1689" s="47" t="n"/>
      <c r="W1689" s="47" t="n"/>
      <c r="X1689" s="47" t="n"/>
      <c r="Y1689" s="47" t="n"/>
      <c r="Z1689" s="47" t="n"/>
      <c r="AA1689" s="47" t="n"/>
      <c r="AB1689" s="47" t="n"/>
      <c r="AC1689" s="47" t="n"/>
      <c r="AD1689" s="47" t="n"/>
      <c r="AE1689" s="47" t="n"/>
      <c r="AF1689" s="43">
        <f>IF($B1689="","",SUM($T1689:$AE1689))</f>
        <v/>
      </c>
      <c r="AG1689" s="43">
        <f>IF($B1689="","",N($M1689)-N($AF1689))</f>
        <v/>
      </c>
      <c r="AH1689" s="43">
        <f>IF($B1689="","",N($L1689)-N($AF1689))</f>
        <v/>
      </c>
      <c r="AI1689" s="149">
        <f>IF($B1689="","",IF(N($L1689)=0,"",(N($L1689)-N($AF1689))/N($L1689)))</f>
        <v/>
      </c>
    </row>
    <row r="1690">
      <c r="A1690" s="39">
        <f>IF($B1690="","",COUNTA($B$4:$B1690))</f>
        <v/>
      </c>
      <c r="B1690" s="40" t="n">
        <v>46197</v>
      </c>
      <c r="C1690" s="41" t="n">
        <v>3456</v>
      </c>
      <c r="D1690" s="41" t="n"/>
      <c r="E1690" s="41" t="inlineStr">
        <is>
          <t>1*40</t>
        </is>
      </c>
      <c r="F1690" s="41" t="inlineStr">
        <is>
          <t>وادي الرياض</t>
        </is>
      </c>
      <c r="G1690" s="41" t="inlineStr">
        <is>
          <t>الاسماعيليه</t>
        </is>
      </c>
      <c r="H1690" s="41" t="inlineStr">
        <is>
          <t>770744/6</t>
        </is>
      </c>
      <c r="I1690" s="41" t="inlineStr">
        <is>
          <t>ط ف ر 1242</t>
        </is>
      </c>
      <c r="J1690" s="41" t="inlineStr">
        <is>
          <t xml:space="preserve">ماجد راضي </t>
        </is>
      </c>
      <c r="K1690" s="41" t="inlineStr">
        <is>
          <t>ابو ادم</t>
        </is>
      </c>
      <c r="L1690" s="42" t="n">
        <v>18000</v>
      </c>
      <c r="M1690" s="42" t="n">
        <v>8100</v>
      </c>
      <c r="N1690" s="42" t="n">
        <v>1100</v>
      </c>
      <c r="O1690" s="42" t="n">
        <v>200</v>
      </c>
      <c r="P1690" s="42" t="n"/>
      <c r="Q1690" s="42" t="n"/>
      <c r="R1690" s="43">
        <f>IF($B1690="","",N($S1690)-N($Q1690))</f>
        <v/>
      </c>
      <c r="S1690" s="43">
        <f>IF($B1690="","",N($L1690)+N($N1690)+N($P1690))</f>
        <v/>
      </c>
      <c r="T1690" s="42" t="n"/>
      <c r="U1690" s="42" t="n"/>
      <c r="V1690" s="42" t="n"/>
      <c r="W1690" s="42" t="n"/>
      <c r="X1690" s="42" t="n"/>
      <c r="Y1690" s="42" t="n"/>
      <c r="Z1690" s="42" t="n"/>
      <c r="AA1690" s="42" t="n"/>
      <c r="AB1690" s="42" t="n"/>
      <c r="AC1690" s="42" t="n"/>
      <c r="AD1690" s="42" t="n"/>
      <c r="AE1690" s="42" t="n"/>
      <c r="AF1690" s="43">
        <f>IF($B1690="","",SUM($T1690:$AE1690))</f>
        <v/>
      </c>
      <c r="AG1690" s="43">
        <f>IF($B1690="","",N($M1690)-N($AF1690))</f>
        <v/>
      </c>
      <c r="AH1690" s="43">
        <f>IF($B1690="","",N($L1690)-N($AF1690))</f>
        <v/>
      </c>
      <c r="AI1690" s="149">
        <f>IF($B1690="","",IF(N($L1690)=0,"",(N($L1690)-N($AF1690))/N($L1690)))</f>
        <v/>
      </c>
    </row>
    <row r="1691">
      <c r="A1691" s="39">
        <f>IF($B1691="","",COUNTA($B$4:$B1691))</f>
        <v/>
      </c>
      <c r="B1691" s="45" t="n">
        <v>46197</v>
      </c>
      <c r="C1691" s="46" t="n">
        <v>3457</v>
      </c>
      <c r="D1691" s="46" t="n"/>
      <c r="E1691" s="46" t="inlineStr">
        <is>
          <t>1*40</t>
        </is>
      </c>
      <c r="F1691" s="46" t="inlineStr">
        <is>
          <t>وادي الرياض</t>
        </is>
      </c>
      <c r="G1691" s="46" t="inlineStr">
        <is>
          <t>الاسماعيليه</t>
        </is>
      </c>
      <c r="H1691" s="46" t="inlineStr">
        <is>
          <t>87354/7</t>
        </is>
      </c>
      <c r="I1691" s="46" t="inlineStr">
        <is>
          <t>ع ر و 4731</t>
        </is>
      </c>
      <c r="J1691" s="46" t="inlineStr">
        <is>
          <t>مصطفي محمود</t>
        </is>
      </c>
      <c r="K1691" s="46" t="inlineStr">
        <is>
          <t>ابو ادم</t>
        </is>
      </c>
      <c r="L1691" s="47" t="n">
        <v>18000</v>
      </c>
      <c r="M1691" s="47" t="n">
        <v>8100</v>
      </c>
      <c r="N1691" s="47" t="n">
        <v>1100</v>
      </c>
      <c r="O1691" s="47" t="n">
        <v>200</v>
      </c>
      <c r="P1691" s="47" t="n"/>
      <c r="Q1691" s="47" t="n"/>
      <c r="R1691" s="43">
        <f>IF($B1691="","",N($S1691)-N($Q1691))</f>
        <v/>
      </c>
      <c r="S1691" s="43">
        <f>IF($B1691="","",N($L1691)+N($N1691)+N($P1691))</f>
        <v/>
      </c>
      <c r="T1691" s="47" t="n"/>
      <c r="U1691" s="47" t="n"/>
      <c r="V1691" s="47" t="n"/>
      <c r="W1691" s="47" t="n"/>
      <c r="X1691" s="47" t="n"/>
      <c r="Y1691" s="47" t="n"/>
      <c r="Z1691" s="47" t="n"/>
      <c r="AA1691" s="47" t="n"/>
      <c r="AB1691" s="47" t="n"/>
      <c r="AC1691" s="47" t="n"/>
      <c r="AD1691" s="47" t="n"/>
      <c r="AE1691" s="47" t="n"/>
      <c r="AF1691" s="43">
        <f>IF($B1691="","",SUM($T1691:$AE1691))</f>
        <v/>
      </c>
      <c r="AG1691" s="43">
        <f>IF($B1691="","",N($M1691)-N($AF1691))</f>
        <v/>
      </c>
      <c r="AH1691" s="43">
        <f>IF($B1691="","",N($L1691)-N($AF1691))</f>
        <v/>
      </c>
      <c r="AI1691" s="149">
        <f>IF($B1691="","",IF(N($L1691)=0,"",(N($L1691)-N($AF1691))/N($L1691)))</f>
        <v/>
      </c>
    </row>
    <row r="1692">
      <c r="A1692" s="39">
        <f>IF($B1692="","",COUNTA($B$4:$B1692))</f>
        <v/>
      </c>
      <c r="B1692" s="40" t="n">
        <v>46197</v>
      </c>
      <c r="C1692" s="41" t="n">
        <v>3458</v>
      </c>
      <c r="D1692" s="41" t="n"/>
      <c r="E1692" s="41" t="inlineStr">
        <is>
          <t>1*40</t>
        </is>
      </c>
      <c r="F1692" s="41" t="inlineStr">
        <is>
          <t>وادي الرياض</t>
        </is>
      </c>
      <c r="G1692" s="41" t="inlineStr">
        <is>
          <t>الاسماعيليه</t>
        </is>
      </c>
      <c r="H1692" s="41" t="inlineStr">
        <is>
          <t>961625/0</t>
        </is>
      </c>
      <c r="I1692" s="41" t="inlineStr">
        <is>
          <t>ع ط ج 7262</t>
        </is>
      </c>
      <c r="J1692" s="41" t="inlineStr">
        <is>
          <t>عزت ابرهيم</t>
        </is>
      </c>
      <c r="K1692" s="41" t="inlineStr">
        <is>
          <t>ابو ادم</t>
        </is>
      </c>
      <c r="L1692" s="42" t="n">
        <v>18000</v>
      </c>
      <c r="M1692" s="42" t="n">
        <v>8100</v>
      </c>
      <c r="N1692" s="42" t="n">
        <v>1100</v>
      </c>
      <c r="O1692" s="42" t="n">
        <v>200</v>
      </c>
      <c r="P1692" s="42" t="n"/>
      <c r="Q1692" s="42" t="n"/>
      <c r="R1692" s="43">
        <f>IF($B1692="","",N($S1692)-N($Q1692))</f>
        <v/>
      </c>
      <c r="S1692" s="43">
        <f>IF($B1692="","",N($L1692)+N($N1692)+N($P1692))</f>
        <v/>
      </c>
      <c r="T1692" s="42" t="n"/>
      <c r="U1692" s="42" t="n"/>
      <c r="V1692" s="42" t="n"/>
      <c r="W1692" s="42" t="n"/>
      <c r="X1692" s="42" t="n"/>
      <c r="Y1692" s="42" t="n"/>
      <c r="Z1692" s="42" t="n"/>
      <c r="AA1692" s="42" t="n"/>
      <c r="AB1692" s="42" t="n"/>
      <c r="AC1692" s="42" t="n"/>
      <c r="AD1692" s="42" t="n"/>
      <c r="AE1692" s="42" t="n"/>
      <c r="AF1692" s="43">
        <f>IF($B1692="","",SUM($T1692:$AE1692))</f>
        <v/>
      </c>
      <c r="AG1692" s="43">
        <f>IF($B1692="","",N($M1692)-N($AF1692))</f>
        <v/>
      </c>
      <c r="AH1692" s="43">
        <f>IF($B1692="","",N($L1692)-N($AF1692))</f>
        <v/>
      </c>
      <c r="AI1692" s="149">
        <f>IF($B1692="","",IF(N($L1692)=0,"",(N($L1692)-N($AF1692))/N($L1692)))</f>
        <v/>
      </c>
    </row>
    <row r="1693">
      <c r="A1693" s="39">
        <f>IF($B1693="","",COUNTA($B$4:$B1693))</f>
        <v/>
      </c>
      <c r="B1693" s="45" t="n">
        <v>46197</v>
      </c>
      <c r="C1693" s="46" t="n">
        <v>3459</v>
      </c>
      <c r="D1693" s="46" t="inlineStr">
        <is>
          <t xml:space="preserve">الجوهرى </t>
        </is>
      </c>
      <c r="E1693" s="46" t="inlineStr">
        <is>
          <t>1*40</t>
        </is>
      </c>
      <c r="F1693" s="46" t="inlineStr">
        <is>
          <t>وادي الرياض</t>
        </is>
      </c>
      <c r="G1693" s="46" t="inlineStr">
        <is>
          <t>الاسماعيليه</t>
        </is>
      </c>
      <c r="H1693" s="46" t="n">
        <v>8235318</v>
      </c>
      <c r="I1693" s="46" t="inlineStr">
        <is>
          <t>ب ر ض 2159</t>
        </is>
      </c>
      <c r="J1693" s="46" t="inlineStr">
        <is>
          <t>احمد حليمو</t>
        </is>
      </c>
      <c r="K1693" s="46" t="inlineStr">
        <is>
          <t>ابو ادم</t>
        </is>
      </c>
      <c r="L1693" s="47" t="n">
        <v>18000</v>
      </c>
      <c r="M1693" s="47" t="n">
        <v>8100</v>
      </c>
      <c r="N1693" s="47" t="n">
        <v>1100</v>
      </c>
      <c r="O1693" s="47" t="n">
        <v>200</v>
      </c>
      <c r="P1693" s="47" t="n"/>
      <c r="Q1693" s="47" t="n"/>
      <c r="R1693" s="43">
        <f>IF($B1693="","",N($S1693)-N($Q1693))</f>
        <v/>
      </c>
      <c r="S1693" s="43">
        <f>IF($B1693="","",N($L1693)+N($N1693)+N($P1693))</f>
        <v/>
      </c>
      <c r="T1693" s="47" t="n"/>
      <c r="U1693" s="47" t="n"/>
      <c r="V1693" s="47" t="n"/>
      <c r="W1693" s="47" t="n"/>
      <c r="X1693" s="47" t="n"/>
      <c r="Y1693" s="47" t="n"/>
      <c r="Z1693" s="47" t="n"/>
      <c r="AA1693" s="47" t="n"/>
      <c r="AB1693" s="47" t="n"/>
      <c r="AC1693" s="47" t="n"/>
      <c r="AD1693" s="47" t="n"/>
      <c r="AE1693" s="47" t="n"/>
      <c r="AF1693" s="43">
        <f>IF($B1693="","",SUM($T1693:$AE1693))</f>
        <v/>
      </c>
      <c r="AG1693" s="43">
        <f>IF($B1693="","",N($M1693)-N($AF1693))</f>
        <v/>
      </c>
      <c r="AH1693" s="43">
        <f>IF($B1693="","",N($L1693)-N($AF1693))</f>
        <v/>
      </c>
      <c r="AI1693" s="149">
        <f>IF($B1693="","",IF(N($L1693)=0,"",(N($L1693)-N($AF1693))/N($L1693)))</f>
        <v/>
      </c>
    </row>
    <row r="1694">
      <c r="A1694" s="39">
        <f>IF($B1694="","",COUNTA($B$4:$B1694))</f>
        <v/>
      </c>
      <c r="B1694" s="40" t="n">
        <v>46197</v>
      </c>
      <c r="C1694" s="41" t="n">
        <v>3460</v>
      </c>
      <c r="D1694" s="41" t="inlineStr">
        <is>
          <t>محمد ذكى</t>
        </is>
      </c>
      <c r="E1694" s="41" t="inlineStr">
        <is>
          <t>1*40</t>
        </is>
      </c>
      <c r="F1694" s="41" t="inlineStr">
        <is>
          <t>وادي الرياض</t>
        </is>
      </c>
      <c r="G1694" s="41" t="inlineStr">
        <is>
          <t>الاسماعيليه</t>
        </is>
      </c>
      <c r="H1694" s="41" t="inlineStr">
        <is>
          <t>384861/5</t>
        </is>
      </c>
      <c r="I1694" s="41" t="inlineStr">
        <is>
          <t>س ا و 9129</t>
        </is>
      </c>
      <c r="J1694" s="41" t="inlineStr">
        <is>
          <t>محمد فضل</t>
        </is>
      </c>
      <c r="K1694" s="41" t="inlineStr">
        <is>
          <t>ابو ادم</t>
        </is>
      </c>
      <c r="L1694" s="42" t="n">
        <v>18000</v>
      </c>
      <c r="M1694" s="42" t="n">
        <v>8100</v>
      </c>
      <c r="N1694" s="42" t="n">
        <v>1100</v>
      </c>
      <c r="O1694" s="42" t="n">
        <v>200</v>
      </c>
      <c r="P1694" s="42" t="n"/>
      <c r="Q1694" s="42" t="n"/>
      <c r="R1694" s="43">
        <f>IF($B1694="","",N($S1694)-N($Q1694))</f>
        <v/>
      </c>
      <c r="S1694" s="43">
        <f>IF($B1694="","",N($L1694)+N($N1694)+N($P1694))</f>
        <v/>
      </c>
      <c r="T1694" s="42" t="n"/>
      <c r="U1694" s="42" t="n"/>
      <c r="V1694" s="42" t="n"/>
      <c r="W1694" s="42" t="n"/>
      <c r="X1694" s="42" t="n"/>
      <c r="Y1694" s="42" t="n"/>
      <c r="Z1694" s="42" t="n"/>
      <c r="AA1694" s="42" t="n"/>
      <c r="AB1694" s="42" t="n"/>
      <c r="AC1694" s="42" t="n"/>
      <c r="AD1694" s="42" t="n"/>
      <c r="AE1694" s="42" t="n"/>
      <c r="AF1694" s="43">
        <f>IF($B1694="","",SUM($T1694:$AE1694))</f>
        <v/>
      </c>
      <c r="AG1694" s="43">
        <f>IF($B1694="","",N($M1694)-N($AF1694))</f>
        <v/>
      </c>
      <c r="AH1694" s="43">
        <f>IF($B1694="","",N($L1694)-N($AF1694))</f>
        <v/>
      </c>
      <c r="AI1694" s="149">
        <f>IF($B1694="","",IF(N($L1694)=0,"",(N($L1694)-N($AF1694))/N($L1694)))</f>
        <v/>
      </c>
    </row>
    <row r="1695">
      <c r="A1695" s="39">
        <f>IF($B1695="","",COUNTA($B$4:$B1695))</f>
        <v/>
      </c>
      <c r="B1695" s="45" t="n">
        <v>46197</v>
      </c>
      <c r="C1695" s="46" t="n">
        <v>3461</v>
      </c>
      <c r="D1695" s="46" t="inlineStr">
        <is>
          <t>الشريف</t>
        </is>
      </c>
      <c r="E1695" s="46" t="inlineStr">
        <is>
          <t>1*40</t>
        </is>
      </c>
      <c r="F1695" s="46" t="inlineStr">
        <is>
          <t>وادي الرياض</t>
        </is>
      </c>
      <c r="G1695" s="46" t="inlineStr">
        <is>
          <t>الاسماعيليه</t>
        </is>
      </c>
      <c r="H1695" s="46" t="inlineStr">
        <is>
          <t>783611/9</t>
        </is>
      </c>
      <c r="I1695" s="46" t="inlineStr">
        <is>
          <t>ف ر ل5317</t>
        </is>
      </c>
      <c r="J1695" s="46" t="inlineStr">
        <is>
          <t>محمد صبحي</t>
        </is>
      </c>
      <c r="K1695" s="46" t="inlineStr">
        <is>
          <t>ابو ادم</t>
        </is>
      </c>
      <c r="L1695" s="47" t="n">
        <v>18000</v>
      </c>
      <c r="M1695" s="47" t="n">
        <v>8100</v>
      </c>
      <c r="N1695" s="47" t="n">
        <v>1100</v>
      </c>
      <c r="O1695" s="47" t="n">
        <v>200</v>
      </c>
      <c r="P1695" s="47" t="n"/>
      <c r="Q1695" s="47" t="n"/>
      <c r="R1695" s="43">
        <f>IF($B1695="","",N($S1695)-N($Q1695))</f>
        <v/>
      </c>
      <c r="S1695" s="43">
        <f>IF($B1695="","",N($L1695)+N($N1695)+N($P1695))</f>
        <v/>
      </c>
      <c r="T1695" s="47" t="n"/>
      <c r="U1695" s="47" t="n"/>
      <c r="V1695" s="47" t="n"/>
      <c r="W1695" s="47" t="n"/>
      <c r="X1695" s="47" t="n"/>
      <c r="Y1695" s="47" t="n"/>
      <c r="Z1695" s="47" t="n"/>
      <c r="AA1695" s="47" t="n"/>
      <c r="AB1695" s="47" t="n"/>
      <c r="AC1695" s="47" t="n"/>
      <c r="AD1695" s="47" t="n"/>
      <c r="AE1695" s="47" t="n"/>
      <c r="AF1695" s="43">
        <f>IF($B1695="","",SUM($T1695:$AE1695))</f>
        <v/>
      </c>
      <c r="AG1695" s="43">
        <f>IF($B1695="","",N($M1695)-N($AF1695))</f>
        <v/>
      </c>
      <c r="AH1695" s="43">
        <f>IF($B1695="","",N($L1695)-N($AF1695))</f>
        <v/>
      </c>
      <c r="AI1695" s="149">
        <f>IF($B1695="","",IF(N($L1695)=0,"",(N($L1695)-N($AF1695))/N($L1695)))</f>
        <v/>
      </c>
    </row>
    <row r="1696">
      <c r="A1696" s="39">
        <f>IF($B1696="","",COUNTA($B$4:$B1696))</f>
        <v/>
      </c>
      <c r="B1696" s="40" t="n">
        <v>46202</v>
      </c>
      <c r="C1696" s="41" t="n">
        <v>3417</v>
      </c>
      <c r="D1696" s="41" t="n"/>
      <c r="E1696" s="41" t="inlineStr">
        <is>
          <t>1*40</t>
        </is>
      </c>
      <c r="F1696" s="41" t="inlineStr">
        <is>
          <t xml:space="preserve">المصرية الالمانية </t>
        </is>
      </c>
      <c r="G1696" s="41" t="inlineStr">
        <is>
          <t xml:space="preserve">اكتوبر </t>
        </is>
      </c>
      <c r="H1696" s="41" t="inlineStr">
        <is>
          <t>520728/2</t>
        </is>
      </c>
      <c r="I1696" s="41" t="inlineStr">
        <is>
          <t>س م ج 6261</t>
        </is>
      </c>
      <c r="J1696" s="41" t="inlineStr">
        <is>
          <t xml:space="preserve">على رمضان </t>
        </is>
      </c>
      <c r="K1696" s="41" t="inlineStr">
        <is>
          <t>محمد صبره</t>
        </is>
      </c>
      <c r="L1696" s="42" t="n">
        <v>13800</v>
      </c>
      <c r="M1696" s="42" t="n">
        <v>8100</v>
      </c>
      <c r="N1696" s="42" t="n"/>
      <c r="O1696" s="42" t="n">
        <v>200</v>
      </c>
      <c r="P1696" s="42" t="n"/>
      <c r="Q1696" s="42" t="n"/>
      <c r="R1696" s="43">
        <f>IF($B1696="","",N($S1696)-N($Q1696))</f>
        <v/>
      </c>
      <c r="S1696" s="43">
        <f>IF($B1696="","",N($L1696)+N($N1696)+N($P1696))</f>
        <v/>
      </c>
      <c r="T1696" s="42" t="n"/>
      <c r="U1696" s="42" t="n"/>
      <c r="V1696" s="42" t="n"/>
      <c r="W1696" s="42" t="n"/>
      <c r="X1696" s="42" t="n"/>
      <c r="Y1696" s="42" t="n"/>
      <c r="Z1696" s="42" t="n"/>
      <c r="AA1696" s="42" t="n"/>
      <c r="AB1696" s="42" t="n"/>
      <c r="AC1696" s="42" t="n"/>
      <c r="AD1696" s="42" t="n"/>
      <c r="AE1696" s="42" t="n"/>
      <c r="AF1696" s="43">
        <f>IF($B1696="","",SUM($T1696:$AE1696))</f>
        <v/>
      </c>
      <c r="AG1696" s="43">
        <f>IF($B1696="","",N($M1696)-N($AF1696))</f>
        <v/>
      </c>
      <c r="AH1696" s="43">
        <f>IF($B1696="","",N($L1696)-N($AF1696))</f>
        <v/>
      </c>
      <c r="AI1696" s="149">
        <f>IF($B1696="","",IF(N($L1696)=0,"",(N($L1696)-N($AF1696))/N($L1696)))</f>
        <v/>
      </c>
    </row>
    <row r="1697">
      <c r="A1697" s="39">
        <f>IF($B1697="","",COUNTA($B$4:$B1697))</f>
        <v/>
      </c>
      <c r="B1697" s="45" t="n">
        <v>46202</v>
      </c>
      <c r="C1697" s="46" t="n">
        <v>3038</v>
      </c>
      <c r="D1697" s="46" t="n"/>
      <c r="E1697" s="46" t="inlineStr">
        <is>
          <t>1*40</t>
        </is>
      </c>
      <c r="F1697" s="46" t="inlineStr">
        <is>
          <t xml:space="preserve">السويدى بوليمرز </t>
        </is>
      </c>
      <c r="G1697" s="46" t="inlineStr">
        <is>
          <t xml:space="preserve">العاشر </t>
        </is>
      </c>
      <c r="H1697" s="46" t="inlineStr">
        <is>
          <t>755088/7</t>
        </is>
      </c>
      <c r="I1697" s="46" t="inlineStr">
        <is>
          <t>ط ف ر 2515</t>
        </is>
      </c>
      <c r="J1697" s="46" t="inlineStr">
        <is>
          <t xml:space="preserve">محمد السقا </t>
        </is>
      </c>
      <c r="K1697" s="46" t="inlineStr">
        <is>
          <t xml:space="preserve">ابو ادم </t>
        </is>
      </c>
      <c r="L1697" s="47" t="n">
        <v>15700</v>
      </c>
      <c r="M1697" s="47" t="n">
        <v>8100</v>
      </c>
      <c r="N1697" s="47" t="n">
        <v>1100</v>
      </c>
      <c r="O1697" s="47" t="n">
        <v>200</v>
      </c>
      <c r="P1697" s="47" t="n"/>
      <c r="Q1697" s="47" t="n"/>
      <c r="R1697" s="43">
        <f>IF($B1697="","",N($S1697)-N($Q1697))</f>
        <v/>
      </c>
      <c r="S1697" s="43">
        <f>IF($B1697="","",N($L1697)+N($N1697)+N($P1697))</f>
        <v/>
      </c>
      <c r="T1697" s="47" t="n"/>
      <c r="U1697" s="47" t="n"/>
      <c r="V1697" s="47" t="n"/>
      <c r="W1697" s="47" t="n"/>
      <c r="X1697" s="47" t="n"/>
      <c r="Y1697" s="47" t="n"/>
      <c r="Z1697" s="47" t="n"/>
      <c r="AA1697" s="47" t="n"/>
      <c r="AB1697" s="47" t="n"/>
      <c r="AC1697" s="47" t="n"/>
      <c r="AD1697" s="47" t="n"/>
      <c r="AE1697" s="47" t="n"/>
      <c r="AF1697" s="43">
        <f>IF($B1697="","",SUM($T1697:$AE1697))</f>
        <v/>
      </c>
      <c r="AG1697" s="43">
        <f>IF($B1697="","",N($M1697)-N($AF1697))</f>
        <v/>
      </c>
      <c r="AH1697" s="43">
        <f>IF($B1697="","",N($L1697)-N($AF1697))</f>
        <v/>
      </c>
      <c r="AI1697" s="149">
        <f>IF($B1697="","",IF(N($L1697)=0,"",(N($L1697)-N($AF1697))/N($L1697)))</f>
        <v/>
      </c>
    </row>
    <row r="1698">
      <c r="A1698" s="39">
        <f>IF($B1698="","",COUNTA($B$4:$B1698))</f>
        <v/>
      </c>
      <c r="B1698" s="40" t="n">
        <v>46202</v>
      </c>
      <c r="C1698" s="41" t="n">
        <v>3039</v>
      </c>
      <c r="D1698" s="41" t="n"/>
      <c r="E1698" s="41" t="inlineStr">
        <is>
          <t>1*40</t>
        </is>
      </c>
      <c r="F1698" s="41" t="inlineStr">
        <is>
          <t xml:space="preserve">السويدى بوليمرز </t>
        </is>
      </c>
      <c r="G1698" s="41" t="inlineStr">
        <is>
          <t xml:space="preserve">العاشر </t>
        </is>
      </c>
      <c r="H1698" s="41" t="inlineStr">
        <is>
          <t>659328/8</t>
        </is>
      </c>
      <c r="I1698" s="41" t="inlineStr">
        <is>
          <t>ب د ف 7354</t>
        </is>
      </c>
      <c r="J1698" s="41" t="inlineStr">
        <is>
          <t xml:space="preserve">احمد على </t>
        </is>
      </c>
      <c r="K1698" s="41" t="inlineStr">
        <is>
          <t xml:space="preserve">ابو ادم </t>
        </is>
      </c>
      <c r="L1698" s="42" t="n">
        <v>15700</v>
      </c>
      <c r="M1698" s="42" t="n">
        <v>8100</v>
      </c>
      <c r="N1698" s="42" t="n">
        <v>1100</v>
      </c>
      <c r="O1698" s="42" t="n">
        <v>200</v>
      </c>
      <c r="P1698" s="42" t="n"/>
      <c r="Q1698" s="42" t="n"/>
      <c r="R1698" s="43">
        <f>IF($B1698="","",N($S1698)-N($Q1698))</f>
        <v/>
      </c>
      <c r="S1698" s="43">
        <f>IF($B1698="","",N($L1698)+N($N1698)+N($P1698))</f>
        <v/>
      </c>
      <c r="T1698" s="42" t="n"/>
      <c r="U1698" s="42" t="n"/>
      <c r="V1698" s="42" t="n"/>
      <c r="W1698" s="42" t="n"/>
      <c r="X1698" s="42" t="n"/>
      <c r="Y1698" s="42" t="n"/>
      <c r="Z1698" s="42" t="n"/>
      <c r="AA1698" s="42" t="n"/>
      <c r="AB1698" s="42" t="n"/>
      <c r="AC1698" s="42" t="n"/>
      <c r="AD1698" s="42" t="n"/>
      <c r="AE1698" s="42" t="n"/>
      <c r="AF1698" s="43">
        <f>IF($B1698="","",SUM($T1698:$AE1698))</f>
        <v/>
      </c>
      <c r="AG1698" s="43">
        <f>IF($B1698="","",N($M1698)-N($AF1698))</f>
        <v/>
      </c>
      <c r="AH1698" s="43">
        <f>IF($B1698="","",N($L1698)-N($AF1698))</f>
        <v/>
      </c>
      <c r="AI1698" s="149">
        <f>IF($B1698="","",IF(N($L1698)=0,"",(N($L1698)-N($AF1698))/N($L1698)))</f>
        <v/>
      </c>
    </row>
    <row r="1699">
      <c r="A1699" s="39">
        <f>IF($B1699="","",COUNTA($B$4:$B1699))</f>
        <v/>
      </c>
      <c r="B1699" s="45" t="n">
        <v>46202</v>
      </c>
      <c r="C1699" s="46" t="n">
        <v>3040</v>
      </c>
      <c r="D1699" s="46" t="n"/>
      <c r="E1699" s="46" t="inlineStr">
        <is>
          <t>2*20</t>
        </is>
      </c>
      <c r="F1699" s="46" t="inlineStr">
        <is>
          <t xml:space="preserve">السويدى بوليمرز </t>
        </is>
      </c>
      <c r="G1699" s="46" t="inlineStr">
        <is>
          <t xml:space="preserve">العاشر </t>
        </is>
      </c>
      <c r="H1699" s="46" t="inlineStr">
        <is>
          <t>254514/9-262054/3</t>
        </is>
      </c>
      <c r="I1699" s="46" t="inlineStr">
        <is>
          <t>ب د ف 4153</t>
        </is>
      </c>
      <c r="J1699" s="46" t="inlineStr">
        <is>
          <t xml:space="preserve">احمد مصطفى </t>
        </is>
      </c>
      <c r="K1699" s="46" t="inlineStr">
        <is>
          <t>الليبر</t>
        </is>
      </c>
      <c r="L1699" s="47" t="n">
        <v>20000</v>
      </c>
      <c r="M1699" s="47" t="n">
        <v>10100</v>
      </c>
      <c r="N1699" s="47" t="n">
        <v>5000</v>
      </c>
      <c r="O1699" s="47" t="n">
        <v>200</v>
      </c>
      <c r="P1699" s="47" t="n"/>
      <c r="Q1699" s="47" t="n"/>
      <c r="R1699" s="43">
        <f>IF($B1699="","",N($S1699)-N($Q1699))</f>
        <v/>
      </c>
      <c r="S1699" s="43">
        <f>IF($B1699="","",N($L1699)+N($N1699)+N($P1699))</f>
        <v/>
      </c>
      <c r="T1699" s="47" t="n"/>
      <c r="U1699" s="47" t="n"/>
      <c r="V1699" s="47" t="n"/>
      <c r="W1699" s="47" t="n"/>
      <c r="X1699" s="47" t="n"/>
      <c r="Y1699" s="47" t="n"/>
      <c r="Z1699" s="47" t="n"/>
      <c r="AA1699" s="47" t="n"/>
      <c r="AB1699" s="47" t="n"/>
      <c r="AC1699" s="47" t="n"/>
      <c r="AD1699" s="47" t="n"/>
      <c r="AE1699" s="47" t="n"/>
      <c r="AF1699" s="43">
        <f>IF($B1699="","",SUM($T1699:$AE1699))</f>
        <v/>
      </c>
      <c r="AG1699" s="43">
        <f>IF($B1699="","",N($M1699)-N($AF1699))</f>
        <v/>
      </c>
      <c r="AH1699" s="43">
        <f>IF($B1699="","",N($L1699)-N($AF1699))</f>
        <v/>
      </c>
      <c r="AI1699" s="149">
        <f>IF($B1699="","",IF(N($L1699)=0,"",(N($L1699)-N($AF1699))/N($L1699)))</f>
        <v/>
      </c>
    </row>
    <row r="1700">
      <c r="A1700" s="39">
        <f>IF($B1700="","",COUNTA($B$4:$B1700))</f>
        <v/>
      </c>
      <c r="B1700" s="40" t="n">
        <v>46202</v>
      </c>
      <c r="C1700" s="41" t="n">
        <v>3041</v>
      </c>
      <c r="D1700" s="41" t="n"/>
      <c r="E1700" s="41" t="inlineStr">
        <is>
          <t>1*20</t>
        </is>
      </c>
      <c r="F1700" s="41" t="inlineStr">
        <is>
          <t xml:space="preserve">فروت اند كوكيز </t>
        </is>
      </c>
      <c r="G1700" s="41" t="inlineStr">
        <is>
          <t xml:space="preserve">بورسعيد </t>
        </is>
      </c>
      <c r="H1700" s="41" t="inlineStr">
        <is>
          <t>015222/4</t>
        </is>
      </c>
      <c r="I1700" s="41" t="inlineStr">
        <is>
          <t>ب ه ا 7658</t>
        </is>
      </c>
      <c r="J1700" s="41" t="inlineStr">
        <is>
          <t xml:space="preserve">احمد نوار </t>
        </is>
      </c>
      <c r="K1700" s="41" t="inlineStr">
        <is>
          <t xml:space="preserve">رومانى </t>
        </is>
      </c>
      <c r="L1700" s="42" t="n">
        <v>12000</v>
      </c>
      <c r="M1700" s="42" t="n">
        <v>6100</v>
      </c>
      <c r="N1700" s="42" t="n"/>
      <c r="O1700" s="42" t="n">
        <v>200</v>
      </c>
      <c r="P1700" s="42" t="n"/>
      <c r="Q1700" s="42" t="n"/>
      <c r="R1700" s="43">
        <f>IF($B1700="","",N($S1700)-N($Q1700))</f>
        <v/>
      </c>
      <c r="S1700" s="43">
        <f>IF($B1700="","",N($L1700)+N($N1700)+N($P1700))</f>
        <v/>
      </c>
      <c r="T1700" s="42" t="n"/>
      <c r="U1700" s="42" t="n"/>
      <c r="V1700" s="42" t="n"/>
      <c r="W1700" s="42" t="n"/>
      <c r="X1700" s="42" t="n"/>
      <c r="Y1700" s="42" t="n"/>
      <c r="Z1700" s="42" t="n"/>
      <c r="AA1700" s="42" t="n"/>
      <c r="AB1700" s="42" t="n"/>
      <c r="AC1700" s="42" t="n"/>
      <c r="AD1700" s="42" t="n"/>
      <c r="AE1700" s="42" t="n"/>
      <c r="AF1700" s="43">
        <f>IF($B1700="","",SUM($T1700:$AE1700))</f>
        <v/>
      </c>
      <c r="AG1700" s="43">
        <f>IF($B1700="","",N($M1700)-N($AF1700))</f>
        <v/>
      </c>
      <c r="AH1700" s="43">
        <f>IF($B1700="","",N($L1700)-N($AF1700))</f>
        <v/>
      </c>
      <c r="AI1700" s="149">
        <f>IF($B1700="","",IF(N($L1700)=0,"",(N($L1700)-N($AF1700))/N($L1700)))</f>
        <v/>
      </c>
    </row>
    <row r="1701">
      <c r="A1701" s="39">
        <f>IF($B1701="","",COUNTA($B$4:$B1701))</f>
        <v/>
      </c>
      <c r="B1701" s="45" t="n">
        <v>46202</v>
      </c>
      <c r="C1701" s="46" t="n">
        <v>3042</v>
      </c>
      <c r="D1701" s="46" t="n"/>
      <c r="E1701" s="46" t="inlineStr">
        <is>
          <t>1*40</t>
        </is>
      </c>
      <c r="F1701" s="46" t="inlineStr">
        <is>
          <t xml:space="preserve">النيل </t>
        </is>
      </c>
      <c r="G1701" s="46" t="inlineStr">
        <is>
          <t xml:space="preserve">الشرقية </t>
        </is>
      </c>
      <c r="H1701" s="46" t="inlineStr">
        <is>
          <t>493421/9</t>
        </is>
      </c>
      <c r="I1701" s="46" t="inlineStr">
        <is>
          <t>ب د ف 4967</t>
        </is>
      </c>
      <c r="J1701" s="46" t="inlineStr">
        <is>
          <t xml:space="preserve">الشحات سعد </t>
        </is>
      </c>
      <c r="K1701" s="46" t="inlineStr">
        <is>
          <t xml:space="preserve">ابو ادم </t>
        </is>
      </c>
      <c r="L1701" s="47" t="n">
        <v>16000</v>
      </c>
      <c r="M1701" s="47" t="n">
        <v>8100</v>
      </c>
      <c r="N1701" s="47" t="n">
        <v>2500</v>
      </c>
      <c r="O1701" s="47" t="n">
        <v>200</v>
      </c>
      <c r="P1701" s="47" t="n"/>
      <c r="Q1701" s="47" t="n"/>
      <c r="R1701" s="43">
        <f>IF($B1701="","",N($S1701)-N($Q1701))</f>
        <v/>
      </c>
      <c r="S1701" s="43">
        <f>IF($B1701="","",N($L1701)+N($N1701)+N($P1701))</f>
        <v/>
      </c>
      <c r="T1701" s="47" t="n"/>
      <c r="U1701" s="47" t="n"/>
      <c r="V1701" s="47" t="n"/>
      <c r="W1701" s="47" t="n"/>
      <c r="X1701" s="47" t="n"/>
      <c r="Y1701" s="47" t="n"/>
      <c r="Z1701" s="47" t="n"/>
      <c r="AA1701" s="47" t="n"/>
      <c r="AB1701" s="47" t="n"/>
      <c r="AC1701" s="47" t="n"/>
      <c r="AD1701" s="47" t="n"/>
      <c r="AE1701" s="47" t="n"/>
      <c r="AF1701" s="43">
        <f>IF($B1701="","",SUM($T1701:$AE1701))</f>
        <v/>
      </c>
      <c r="AG1701" s="43">
        <f>IF($B1701="","",N($M1701)-N($AF1701))</f>
        <v/>
      </c>
      <c r="AH1701" s="43">
        <f>IF($B1701="","",N($L1701)-N($AF1701))</f>
        <v/>
      </c>
      <c r="AI1701" s="149">
        <f>IF($B1701="","",IF(N($L1701)=0,"",(N($L1701)-N($AF1701))/N($L1701)))</f>
        <v/>
      </c>
    </row>
    <row r="1702">
      <c r="A1702" s="39">
        <f>IF($B1702="","",COUNTA($B$4:$B1702))</f>
        <v/>
      </c>
      <c r="B1702" s="40" t="n">
        <v>46202</v>
      </c>
      <c r="C1702" s="41" t="n">
        <v>3400</v>
      </c>
      <c r="D1702" s="41" t="n"/>
      <c r="E1702" s="41" t="inlineStr">
        <is>
          <t>1*40</t>
        </is>
      </c>
      <c r="F1702" s="41" t="inlineStr">
        <is>
          <t xml:space="preserve">بريلى </t>
        </is>
      </c>
      <c r="G1702" s="41" t="inlineStr">
        <is>
          <t xml:space="preserve">اكتوبر </t>
        </is>
      </c>
      <c r="H1702" s="41" t="inlineStr">
        <is>
          <t>694277/7</t>
        </is>
      </c>
      <c r="I1702" s="41" t="inlineStr">
        <is>
          <t>س ع ه 3237</t>
        </is>
      </c>
      <c r="J1702" s="41" t="inlineStr">
        <is>
          <t xml:space="preserve">محمد صالح </t>
        </is>
      </c>
      <c r="K1702" s="41" t="inlineStr">
        <is>
          <t xml:space="preserve">حمو البيبى </t>
        </is>
      </c>
      <c r="L1702" s="42" t="n">
        <v>13800</v>
      </c>
      <c r="M1702" s="42" t="n">
        <v>8100</v>
      </c>
      <c r="N1702" s="42" t="n"/>
      <c r="O1702" s="42" t="n">
        <v>200</v>
      </c>
      <c r="P1702" s="42" t="n"/>
      <c r="Q1702" s="42" t="n"/>
      <c r="R1702" s="43">
        <f>IF($B1702="","",N($S1702)-N($Q1702))</f>
        <v/>
      </c>
      <c r="S1702" s="43">
        <f>IF($B1702="","",N($L1702)+N($N1702)+N($P1702))</f>
        <v/>
      </c>
      <c r="T1702" s="42" t="n"/>
      <c r="U1702" s="42" t="n"/>
      <c r="V1702" s="42" t="n"/>
      <c r="W1702" s="42" t="n"/>
      <c r="X1702" s="42" t="n"/>
      <c r="Y1702" s="42" t="n"/>
      <c r="Z1702" s="42" t="n"/>
      <c r="AA1702" s="42" t="n"/>
      <c r="AB1702" s="42" t="n"/>
      <c r="AC1702" s="42" t="n"/>
      <c r="AD1702" s="42" t="n"/>
      <c r="AE1702" s="42" t="n"/>
      <c r="AF1702" s="43">
        <f>IF($B1702="","",SUM($T1702:$AE1702))</f>
        <v/>
      </c>
      <c r="AG1702" s="43">
        <f>IF($B1702="","",N($M1702)-N($AF1702))</f>
        <v/>
      </c>
      <c r="AH1702" s="43">
        <f>IF($B1702="","",N($L1702)-N($AF1702))</f>
        <v/>
      </c>
      <c r="AI1702" s="149">
        <f>IF($B1702="","",IF(N($L1702)=0,"",(N($L1702)-N($AF1702))/N($L1702)))</f>
        <v/>
      </c>
    </row>
    <row r="1703">
      <c r="A1703" s="39">
        <f>IF($B1703="","",COUNTA($B$4:$B1703))</f>
        <v/>
      </c>
      <c r="B1703" s="45" t="n">
        <v>46202</v>
      </c>
      <c r="C1703" s="46" t="n">
        <v>3502</v>
      </c>
      <c r="D1703" s="46" t="n"/>
      <c r="E1703" s="46" t="inlineStr">
        <is>
          <t>1*40</t>
        </is>
      </c>
      <c r="F1703" s="46" t="inlineStr">
        <is>
          <t xml:space="preserve">بريلى </t>
        </is>
      </c>
      <c r="G1703" s="46" t="inlineStr">
        <is>
          <t xml:space="preserve">اكتوبر </t>
        </is>
      </c>
      <c r="H1703" s="46" t="inlineStr">
        <is>
          <t>593228/0</t>
        </is>
      </c>
      <c r="I1703" s="46" t="inlineStr">
        <is>
          <t>س ا ه 8198</t>
        </is>
      </c>
      <c r="J1703" s="46" t="inlineStr">
        <is>
          <t xml:space="preserve">ايمن عبدة </t>
        </is>
      </c>
      <c r="K1703" s="46" t="inlineStr">
        <is>
          <t xml:space="preserve">علاء علام </t>
        </is>
      </c>
      <c r="L1703" s="47" t="n">
        <v>13800</v>
      </c>
      <c r="M1703" s="47" t="n">
        <v>8100</v>
      </c>
      <c r="N1703" s="47" t="n"/>
      <c r="O1703" s="47" t="n">
        <v>200</v>
      </c>
      <c r="P1703" s="47" t="n"/>
      <c r="Q1703" s="47" t="n"/>
      <c r="R1703" s="43">
        <f>IF($B1703="","",N($S1703)-N($Q1703))</f>
        <v/>
      </c>
      <c r="S1703" s="43">
        <f>IF($B1703="","",N($L1703)+N($N1703)+N($P1703))</f>
        <v/>
      </c>
      <c r="T1703" s="47" t="n"/>
      <c r="U1703" s="47" t="n"/>
      <c r="V1703" s="47" t="n"/>
      <c r="W1703" s="47" t="n"/>
      <c r="X1703" s="47" t="n"/>
      <c r="Y1703" s="47" t="n"/>
      <c r="Z1703" s="47" t="n"/>
      <c r="AA1703" s="47" t="n"/>
      <c r="AB1703" s="47" t="n"/>
      <c r="AC1703" s="47" t="n"/>
      <c r="AD1703" s="47" t="n"/>
      <c r="AE1703" s="47" t="n"/>
      <c r="AF1703" s="43">
        <f>IF($B1703="","",SUM($T1703:$AE1703))</f>
        <v/>
      </c>
      <c r="AG1703" s="43">
        <f>IF($B1703="","",N($M1703)-N($AF1703))</f>
        <v/>
      </c>
      <c r="AH1703" s="43">
        <f>IF($B1703="","",N($L1703)-N($AF1703))</f>
        <v/>
      </c>
      <c r="AI1703" s="149">
        <f>IF($B1703="","",IF(N($L1703)=0,"",(N($L1703)-N($AF1703))/N($L1703)))</f>
        <v/>
      </c>
    </row>
    <row r="1704">
      <c r="A1704" s="39">
        <f>IF($B1704="","",COUNTA($B$4:$B1704))</f>
        <v/>
      </c>
      <c r="B1704" s="40" t="n">
        <v>46202</v>
      </c>
      <c r="C1704" s="41" t="n">
        <v>3399</v>
      </c>
      <c r="D1704" s="41" t="n"/>
      <c r="E1704" s="41" t="inlineStr">
        <is>
          <t>1*40</t>
        </is>
      </c>
      <c r="F1704" s="41" t="inlineStr">
        <is>
          <t xml:space="preserve">بريلى </t>
        </is>
      </c>
      <c r="G1704" s="41" t="inlineStr">
        <is>
          <t xml:space="preserve">اكتوبر </t>
        </is>
      </c>
      <c r="H1704" s="41" t="inlineStr">
        <is>
          <t>916624/7</t>
        </is>
      </c>
      <c r="I1704" s="41" t="inlineStr">
        <is>
          <t>س ا ج 9247</t>
        </is>
      </c>
      <c r="J1704" s="41" t="inlineStr">
        <is>
          <t xml:space="preserve">تامر رجب </t>
        </is>
      </c>
      <c r="K1704" s="41" t="inlineStr">
        <is>
          <t xml:space="preserve">همام </t>
        </is>
      </c>
      <c r="L1704" s="42" t="n">
        <v>13800</v>
      </c>
      <c r="M1704" s="42" t="n">
        <v>8100</v>
      </c>
      <c r="N1704" s="42" t="n"/>
      <c r="O1704" s="42" t="n">
        <v>200</v>
      </c>
      <c r="P1704" s="42" t="n"/>
      <c r="Q1704" s="42" t="n"/>
      <c r="R1704" s="43">
        <f>IF($B1704="","",N($S1704)-N($Q1704))</f>
        <v/>
      </c>
      <c r="S1704" s="43">
        <f>IF($B1704="","",N($L1704)+N($N1704)+N($P1704))</f>
        <v/>
      </c>
      <c r="T1704" s="42" t="n"/>
      <c r="U1704" s="42" t="n"/>
      <c r="V1704" s="42" t="n"/>
      <c r="W1704" s="42" t="n"/>
      <c r="X1704" s="42" t="n"/>
      <c r="Y1704" s="42" t="n"/>
      <c r="Z1704" s="42" t="n"/>
      <c r="AA1704" s="42" t="n"/>
      <c r="AB1704" s="42" t="n"/>
      <c r="AC1704" s="42" t="n"/>
      <c r="AD1704" s="42" t="n"/>
      <c r="AE1704" s="42" t="n"/>
      <c r="AF1704" s="43">
        <f>IF($B1704="","",SUM($T1704:$AE1704))</f>
        <v/>
      </c>
      <c r="AG1704" s="43">
        <f>IF($B1704="","",N($M1704)-N($AF1704))</f>
        <v/>
      </c>
      <c r="AH1704" s="43">
        <f>IF($B1704="","",N($L1704)-N($AF1704))</f>
        <v/>
      </c>
      <c r="AI1704" s="149">
        <f>IF($B1704="","",IF(N($L1704)=0,"",(N($L1704)-N($AF1704))/N($L1704)))</f>
        <v/>
      </c>
    </row>
    <row r="1705">
      <c r="A1705" s="39">
        <f>IF($B1705="","",COUNTA($B$4:$B1705))</f>
        <v/>
      </c>
      <c r="B1705" s="45" t="n">
        <v>46202</v>
      </c>
      <c r="C1705" s="46" t="n">
        <v>3503</v>
      </c>
      <c r="D1705" s="46" t="n"/>
      <c r="E1705" s="46" t="inlineStr">
        <is>
          <t>1*20</t>
        </is>
      </c>
      <c r="F1705" s="46" t="inlineStr">
        <is>
          <t xml:space="preserve">بوتمان </t>
        </is>
      </c>
      <c r="G1705" s="46" t="inlineStr">
        <is>
          <t xml:space="preserve">م حرة / ابو قير </t>
        </is>
      </c>
      <c r="H1705" s="46" t="inlineStr">
        <is>
          <t>362341/9</t>
        </is>
      </c>
      <c r="I1705" s="46" t="inlineStr">
        <is>
          <t>ب ج ع 9265</t>
        </is>
      </c>
      <c r="J1705" s="46" t="inlineStr">
        <is>
          <t xml:space="preserve">محمد المنوفى </t>
        </is>
      </c>
      <c r="K1705" s="46" t="inlineStr">
        <is>
          <t xml:space="preserve">اوبرا </t>
        </is>
      </c>
      <c r="L1705" s="47" t="n">
        <v>9000</v>
      </c>
      <c r="M1705" s="47" t="n">
        <v>6100</v>
      </c>
      <c r="N1705" s="47" t="n"/>
      <c r="O1705" s="47" t="n">
        <v>200</v>
      </c>
      <c r="P1705" s="47" t="n"/>
      <c r="Q1705" s="47" t="n"/>
      <c r="R1705" s="43">
        <f>IF($B1705="","",N($S1705)-N($Q1705))</f>
        <v/>
      </c>
      <c r="S1705" s="43">
        <f>IF($B1705="","",N($L1705)+N($N1705)+N($P1705))</f>
        <v/>
      </c>
      <c r="T1705" s="47" t="n"/>
      <c r="U1705" s="47" t="n"/>
      <c r="V1705" s="47" t="n"/>
      <c r="W1705" s="47" t="n"/>
      <c r="X1705" s="47" t="n"/>
      <c r="Y1705" s="47" t="n"/>
      <c r="Z1705" s="47" t="n"/>
      <c r="AA1705" s="47" t="n"/>
      <c r="AB1705" s="47" t="n"/>
      <c r="AC1705" s="47" t="n"/>
      <c r="AD1705" s="47" t="n"/>
      <c r="AE1705" s="47" t="n"/>
      <c r="AF1705" s="43">
        <f>IF($B1705="","",SUM($T1705:$AE1705))</f>
        <v/>
      </c>
      <c r="AG1705" s="43">
        <f>IF($B1705="","",N($M1705)-N($AF1705))</f>
        <v/>
      </c>
      <c r="AH1705" s="43">
        <f>IF($B1705="","",N($L1705)-N($AF1705))</f>
        <v/>
      </c>
      <c r="AI1705" s="149">
        <f>IF($B1705="","",IF(N($L1705)=0,"",(N($L1705)-N($AF1705))/N($L1705)))</f>
        <v/>
      </c>
    </row>
    <row r="1706">
      <c r="A1706" s="39">
        <f>IF($B1706="","",COUNTA($B$4:$B1706))</f>
        <v/>
      </c>
      <c r="B1706" s="40" t="n">
        <v>46202</v>
      </c>
      <c r="C1706" s="41" t="n">
        <v>3418</v>
      </c>
      <c r="D1706" s="41" t="n"/>
      <c r="E1706" s="41" t="inlineStr">
        <is>
          <t>1*40</t>
        </is>
      </c>
      <c r="F1706" s="41" t="inlineStr">
        <is>
          <t xml:space="preserve">خط المطابخ </t>
        </is>
      </c>
      <c r="G1706" s="41" t="inlineStr">
        <is>
          <t xml:space="preserve">المريوطية </t>
        </is>
      </c>
      <c r="H1706" s="41" t="inlineStr">
        <is>
          <t>404890/3</t>
        </is>
      </c>
      <c r="I1706" s="41" t="inlineStr">
        <is>
          <t>س ع م 8737</t>
        </is>
      </c>
      <c r="J1706" s="41" t="inlineStr">
        <is>
          <t xml:space="preserve">جلال حسنى </t>
        </is>
      </c>
      <c r="K1706" s="41" t="inlineStr">
        <is>
          <t xml:space="preserve">المكتب </t>
        </is>
      </c>
      <c r="L1706" s="42" t="n">
        <v>15000</v>
      </c>
      <c r="M1706" s="42" t="n">
        <v>3000</v>
      </c>
      <c r="N1706" s="42" t="n"/>
      <c r="O1706" s="42" t="n">
        <v>200</v>
      </c>
      <c r="P1706" s="42" t="n"/>
      <c r="Q1706" s="42" t="n"/>
      <c r="R1706" s="43">
        <f>IF($B1706="","",N($S1706)-N($Q1706))</f>
        <v/>
      </c>
      <c r="S1706" s="43">
        <f>IF($B1706="","",N($L1706)+N($N1706)+N($P1706))</f>
        <v/>
      </c>
      <c r="T1706" s="42" t="n"/>
      <c r="U1706" s="42" t="n"/>
      <c r="V1706" s="42" t="n"/>
      <c r="W1706" s="42" t="n"/>
      <c r="X1706" s="42" t="n"/>
      <c r="Y1706" s="42" t="n"/>
      <c r="Z1706" s="42" t="n"/>
      <c r="AA1706" s="42" t="n"/>
      <c r="AB1706" s="42" t="n"/>
      <c r="AC1706" s="42" t="n"/>
      <c r="AD1706" s="42" t="n"/>
      <c r="AE1706" s="42" t="n"/>
      <c r="AF1706" s="43">
        <f>IF($B1706="","",SUM($T1706:$AE1706))</f>
        <v/>
      </c>
      <c r="AG1706" s="43">
        <f>IF($B1706="","",N($M1706)-N($AF1706))</f>
        <v/>
      </c>
      <c r="AH1706" s="43">
        <f>IF($B1706="","",N($L1706)-N($AF1706))</f>
        <v/>
      </c>
      <c r="AI1706" s="149">
        <f>IF($B1706="","",IF(N($L1706)=0,"",(N($L1706)-N($AF1706))/N($L1706)))</f>
        <v/>
      </c>
    </row>
    <row r="1707">
      <c r="A1707" s="39">
        <f>IF($B1707="","",COUNTA($B$4:$B1707))</f>
        <v/>
      </c>
      <c r="B1707" s="45" t="n">
        <v>46202</v>
      </c>
      <c r="C1707" s="46" t="n">
        <v>3462</v>
      </c>
      <c r="D1707" s="46" t="n"/>
      <c r="E1707" s="46" t="inlineStr">
        <is>
          <t>1*40</t>
        </is>
      </c>
      <c r="F1707" s="46" t="inlineStr">
        <is>
          <t xml:space="preserve">سيلوباك </t>
        </is>
      </c>
      <c r="G1707" s="46" t="inlineStr">
        <is>
          <t xml:space="preserve">اكتوبر </t>
        </is>
      </c>
      <c r="H1707" s="46" t="inlineStr">
        <is>
          <t>679928/4</t>
        </is>
      </c>
      <c r="I1707" s="46" t="inlineStr">
        <is>
          <t>ط ف ر 1474</t>
        </is>
      </c>
      <c r="J1707" s="46" t="inlineStr">
        <is>
          <t xml:space="preserve">جمال على </t>
        </is>
      </c>
      <c r="K1707" s="46" t="inlineStr">
        <is>
          <t xml:space="preserve">كريم خليف </t>
        </is>
      </c>
      <c r="L1707" s="47" t="n">
        <v>13800</v>
      </c>
      <c r="M1707" s="47" t="n">
        <v>8100</v>
      </c>
      <c r="N1707" s="47" t="n"/>
      <c r="O1707" s="47" t="n">
        <v>200</v>
      </c>
      <c r="P1707" s="47" t="n"/>
      <c r="Q1707" s="47" t="n"/>
      <c r="R1707" s="43">
        <f>IF($B1707="","",N($S1707)-N($Q1707))</f>
        <v/>
      </c>
      <c r="S1707" s="43">
        <f>IF($B1707="","",N($L1707)+N($N1707)+N($P1707))</f>
        <v/>
      </c>
      <c r="T1707" s="47" t="n"/>
      <c r="U1707" s="47" t="n"/>
      <c r="V1707" s="47" t="n"/>
      <c r="W1707" s="47" t="n"/>
      <c r="X1707" s="47" t="n"/>
      <c r="Y1707" s="47" t="n"/>
      <c r="Z1707" s="47" t="n"/>
      <c r="AA1707" s="47" t="n"/>
      <c r="AB1707" s="47" t="n"/>
      <c r="AC1707" s="47" t="n"/>
      <c r="AD1707" s="47" t="n"/>
      <c r="AE1707" s="47" t="n"/>
      <c r="AF1707" s="43">
        <f>IF($B1707="","",SUM($T1707:$AE1707))</f>
        <v/>
      </c>
      <c r="AG1707" s="43">
        <f>IF($B1707="","",N($M1707)-N($AF1707))</f>
        <v/>
      </c>
      <c r="AH1707" s="43">
        <f>IF($B1707="","",N($L1707)-N($AF1707))</f>
        <v/>
      </c>
      <c r="AI1707" s="149">
        <f>IF($B1707="","",IF(N($L1707)=0,"",(N($L1707)-N($AF1707))/N($L1707)))</f>
        <v/>
      </c>
    </row>
    <row r="1708">
      <c r="A1708" s="39">
        <f>IF($B1708="","",COUNTA($B$4:$B1708))</f>
        <v/>
      </c>
      <c r="B1708" s="40" t="n">
        <v>46202</v>
      </c>
      <c r="C1708" s="41" t="n">
        <v>3501</v>
      </c>
      <c r="D1708" s="41" t="n"/>
      <c r="E1708" s="41" t="inlineStr">
        <is>
          <t>1*40</t>
        </is>
      </c>
      <c r="F1708" s="41" t="inlineStr">
        <is>
          <t xml:space="preserve">السويدى للكابلات </t>
        </is>
      </c>
      <c r="G1708" s="41" t="inlineStr">
        <is>
          <t xml:space="preserve">العاشر </t>
        </is>
      </c>
      <c r="H1708" s="41" t="inlineStr">
        <is>
          <t>900957/4</t>
        </is>
      </c>
      <c r="I1708" s="41" t="inlineStr">
        <is>
          <t>ف ر ل 5438</t>
        </is>
      </c>
      <c r="J1708" s="41" t="inlineStr">
        <is>
          <t xml:space="preserve">احمد عيد </t>
        </is>
      </c>
      <c r="K1708" s="41" t="inlineStr">
        <is>
          <t xml:space="preserve">اسامة شعبان </t>
        </is>
      </c>
      <c r="L1708" s="42" t="n">
        <v>15700</v>
      </c>
      <c r="M1708" s="42" t="n">
        <v>9100</v>
      </c>
      <c r="N1708" s="42" t="n"/>
      <c r="O1708" s="42" t="n">
        <v>200</v>
      </c>
      <c r="P1708" s="42" t="n"/>
      <c r="Q1708" s="42" t="n"/>
      <c r="R1708" s="43">
        <f>IF($B1708="","",N($S1708)-N($Q1708))</f>
        <v/>
      </c>
      <c r="S1708" s="43">
        <f>IF($B1708="","",N($L1708)+N($N1708)+N($P1708))</f>
        <v/>
      </c>
      <c r="T1708" s="42" t="n"/>
      <c r="U1708" s="42" t="n"/>
      <c r="V1708" s="42" t="n"/>
      <c r="W1708" s="42" t="n"/>
      <c r="X1708" s="42" t="n"/>
      <c r="Y1708" s="42" t="n"/>
      <c r="Z1708" s="42" t="n"/>
      <c r="AA1708" s="42" t="n"/>
      <c r="AB1708" s="42" t="n"/>
      <c r="AC1708" s="42" t="n"/>
      <c r="AD1708" s="42" t="n"/>
      <c r="AE1708" s="42" t="n"/>
      <c r="AF1708" s="43">
        <f>IF($B1708="","",SUM($T1708:$AE1708))</f>
        <v/>
      </c>
      <c r="AG1708" s="43">
        <f>IF($B1708="","",N($M1708)-N($AF1708))</f>
        <v/>
      </c>
      <c r="AH1708" s="43">
        <f>IF($B1708="","",N($L1708)-N($AF1708))</f>
        <v/>
      </c>
      <c r="AI1708" s="149">
        <f>IF($B1708="","",IF(N($L1708)=0,"",(N($L1708)-N($AF1708))/N($L1708)))</f>
        <v/>
      </c>
    </row>
    <row r="1709">
      <c r="A1709" s="39">
        <f>IF($B1709="","",COUNTA($B$4:$B1709))</f>
        <v/>
      </c>
      <c r="B1709" s="45" t="n">
        <v>46203</v>
      </c>
      <c r="C1709" s="46" t="n">
        <v>3465</v>
      </c>
      <c r="D1709" s="46" t="n"/>
      <c r="E1709" s="46" t="inlineStr">
        <is>
          <t>1*40</t>
        </is>
      </c>
      <c r="F1709" s="46" t="inlineStr">
        <is>
          <t xml:space="preserve">العالمية </t>
        </is>
      </c>
      <c r="G1709" s="46" t="inlineStr">
        <is>
          <t xml:space="preserve">العاشر </t>
        </is>
      </c>
      <c r="H1709" s="46" t="inlineStr">
        <is>
          <t>440863/2</t>
        </is>
      </c>
      <c r="I1709" s="46" t="inlineStr">
        <is>
          <t>ط ف ر 1474</t>
        </is>
      </c>
      <c r="J1709" s="46" t="inlineStr">
        <is>
          <t xml:space="preserve">جمال على </t>
        </is>
      </c>
      <c r="K1709" s="46" t="inlineStr">
        <is>
          <t xml:space="preserve">كريم خليف </t>
        </is>
      </c>
      <c r="L1709" s="47" t="n">
        <v>15000</v>
      </c>
      <c r="M1709" s="47" t="n">
        <v>8100</v>
      </c>
      <c r="N1709" s="47" t="n"/>
      <c r="O1709" s="47" t="n">
        <v>200</v>
      </c>
      <c r="P1709" s="47" t="n"/>
      <c r="Q1709" s="47" t="n"/>
      <c r="R1709" s="43">
        <f>IF($B1709="","",N($S1709)-N($Q1709))</f>
        <v/>
      </c>
      <c r="S1709" s="43">
        <f>IF($B1709="","",N($L1709)+N($N1709)+N($P1709))</f>
        <v/>
      </c>
      <c r="T1709" s="47" t="n"/>
      <c r="U1709" s="47" t="n"/>
      <c r="V1709" s="47" t="n"/>
      <c r="W1709" s="47" t="n"/>
      <c r="X1709" s="47" t="n"/>
      <c r="Y1709" s="47" t="n"/>
      <c r="Z1709" s="47" t="n"/>
      <c r="AA1709" s="47" t="n"/>
      <c r="AB1709" s="47" t="n"/>
      <c r="AC1709" s="47" t="n"/>
      <c r="AD1709" s="47" t="n"/>
      <c r="AE1709" s="47" t="n"/>
      <c r="AF1709" s="43">
        <f>IF($B1709="","",SUM($T1709:$AE1709))</f>
        <v/>
      </c>
      <c r="AG1709" s="43">
        <f>IF($B1709="","",N($M1709)-N($AF1709))</f>
        <v/>
      </c>
      <c r="AH1709" s="43">
        <f>IF($B1709="","",N($L1709)-N($AF1709))</f>
        <v/>
      </c>
      <c r="AI1709" s="149">
        <f>IF($B1709="","",IF(N($L1709)=0,"",(N($L1709)-N($AF1709))/N($L1709)))</f>
        <v/>
      </c>
    </row>
    <row r="1710">
      <c r="A1710" s="39">
        <f>IF($B1710="","",COUNTA($B$4:$B1710))</f>
        <v/>
      </c>
      <c r="B1710" s="40" t="n">
        <v>46203</v>
      </c>
      <c r="C1710" s="41" t="n">
        <v>3419</v>
      </c>
      <c r="D1710" s="41" t="n"/>
      <c r="E1710" s="41" t="inlineStr">
        <is>
          <t>1*20</t>
        </is>
      </c>
      <c r="F1710" s="41" t="inlineStr">
        <is>
          <t xml:space="preserve">كاريزما </t>
        </is>
      </c>
      <c r="G1710" s="41" t="inlineStr">
        <is>
          <t xml:space="preserve">التجمع الاول </t>
        </is>
      </c>
      <c r="H1710" s="41" t="inlineStr">
        <is>
          <t>100892/7</t>
        </is>
      </c>
      <c r="I1710" s="41" t="inlineStr">
        <is>
          <t>ب ر ط 6478</t>
        </is>
      </c>
      <c r="J1710" s="41" t="inlineStr">
        <is>
          <t xml:space="preserve">عبدة </t>
        </is>
      </c>
      <c r="K1710" s="41" t="inlineStr">
        <is>
          <t xml:space="preserve">ايوب </t>
        </is>
      </c>
      <c r="L1710" s="42" t="n">
        <v>12000</v>
      </c>
      <c r="M1710" s="42" t="n">
        <v>8100</v>
      </c>
      <c r="N1710" s="42" t="n"/>
      <c r="O1710" s="42" t="n">
        <v>200</v>
      </c>
      <c r="P1710" s="42" t="n"/>
      <c r="Q1710" s="42" t="n"/>
      <c r="R1710" s="43">
        <f>IF($B1710="","",N($S1710)-N($Q1710))</f>
        <v/>
      </c>
      <c r="S1710" s="43">
        <f>IF($B1710="","",N($L1710)+N($N1710)+N($P1710))</f>
        <v/>
      </c>
      <c r="T1710" s="42" t="n"/>
      <c r="U1710" s="42" t="n"/>
      <c r="V1710" s="42" t="n"/>
      <c r="W1710" s="42" t="n"/>
      <c r="X1710" s="42" t="n"/>
      <c r="Y1710" s="42" t="n"/>
      <c r="Z1710" s="42" t="n"/>
      <c r="AA1710" s="42" t="n"/>
      <c r="AB1710" s="42" t="n"/>
      <c r="AC1710" s="42" t="n"/>
      <c r="AD1710" s="42" t="n"/>
      <c r="AE1710" s="42" t="n"/>
      <c r="AF1710" s="43">
        <f>IF($B1710="","",SUM($T1710:$AE1710))</f>
        <v/>
      </c>
      <c r="AG1710" s="43">
        <f>IF($B1710="","",N($M1710)-N($AF1710))</f>
        <v/>
      </c>
      <c r="AH1710" s="43">
        <f>IF($B1710="","",N($L1710)-N($AF1710))</f>
        <v/>
      </c>
      <c r="AI1710" s="149">
        <f>IF($B1710="","",IF(N($L1710)=0,"",(N($L1710)-N($AF1710))/N($L1710)))</f>
        <v/>
      </c>
    </row>
    <row r="1711">
      <c r="A1711" s="39">
        <f>IF($B1711="","",COUNTA($B$4:$B1711))</f>
        <v/>
      </c>
      <c r="B1711" s="45" t="n">
        <v>46203</v>
      </c>
      <c r="C1711" s="46" t="n">
        <v>3463</v>
      </c>
      <c r="D1711" s="46" t="n"/>
      <c r="E1711" s="46" t="inlineStr">
        <is>
          <t>1*40</t>
        </is>
      </c>
      <c r="F1711" s="46" t="inlineStr">
        <is>
          <t xml:space="preserve">الريعى </t>
        </is>
      </c>
      <c r="G1711" s="46" t="inlineStr">
        <is>
          <t xml:space="preserve">ابو حماد </t>
        </is>
      </c>
      <c r="H1711" s="46" t="inlineStr">
        <is>
          <t>486429/4</t>
        </is>
      </c>
      <c r="I1711" s="46" t="inlineStr">
        <is>
          <t>ب ص ا 2574</t>
        </is>
      </c>
      <c r="J1711" s="46" t="inlineStr">
        <is>
          <t xml:space="preserve">محمد البحيرى </t>
        </is>
      </c>
      <c r="K1711" s="46" t="inlineStr">
        <is>
          <t xml:space="preserve">احمد خليف </t>
        </is>
      </c>
      <c r="L1711" s="47" t="n">
        <v>17000</v>
      </c>
      <c r="M1711" s="47" t="n">
        <v>9100</v>
      </c>
      <c r="N1711" s="47" t="n"/>
      <c r="O1711" s="47" t="n">
        <v>200</v>
      </c>
      <c r="P1711" s="47" t="n"/>
      <c r="Q1711" s="47" t="n"/>
      <c r="R1711" s="43">
        <f>IF($B1711="","",N($S1711)-N($Q1711))</f>
        <v/>
      </c>
      <c r="S1711" s="43">
        <f>IF($B1711="","",N($L1711)+N($N1711)+N($P1711))</f>
        <v/>
      </c>
      <c r="T1711" s="47" t="n"/>
      <c r="U1711" s="47" t="n"/>
      <c r="V1711" s="47" t="n"/>
      <c r="W1711" s="47" t="n"/>
      <c r="X1711" s="47" t="n"/>
      <c r="Y1711" s="47" t="n"/>
      <c r="Z1711" s="47" t="n"/>
      <c r="AA1711" s="47" t="n"/>
      <c r="AB1711" s="47" t="n"/>
      <c r="AC1711" s="47" t="n"/>
      <c r="AD1711" s="47" t="n"/>
      <c r="AE1711" s="47" t="n"/>
      <c r="AF1711" s="43">
        <f>IF($B1711="","",SUM($T1711:$AE1711))</f>
        <v/>
      </c>
      <c r="AG1711" s="43">
        <f>IF($B1711="","",N($M1711)-N($AF1711))</f>
        <v/>
      </c>
      <c r="AH1711" s="43">
        <f>IF($B1711="","",N($L1711)-N($AF1711))</f>
        <v/>
      </c>
      <c r="AI1711" s="149">
        <f>IF($B1711="","",IF(N($L1711)=0,"",(N($L1711)-N($AF1711))/N($L1711)))</f>
        <v/>
      </c>
    </row>
    <row r="1712">
      <c r="A1712" s="39">
        <f>IF($B1712="","",COUNTA($B$4:$B1712))</f>
        <v/>
      </c>
      <c r="B1712" s="40" t="n">
        <v>46203</v>
      </c>
      <c r="C1712" s="41" t="n">
        <v>3464</v>
      </c>
      <c r="D1712" s="41" t="n"/>
      <c r="E1712" s="41" t="inlineStr">
        <is>
          <t>1*40</t>
        </is>
      </c>
      <c r="F1712" s="41" t="inlineStr">
        <is>
          <t xml:space="preserve">الريعى </t>
        </is>
      </c>
      <c r="G1712" s="41" t="inlineStr">
        <is>
          <t xml:space="preserve">ابو حماد </t>
        </is>
      </c>
      <c r="H1712" s="41" t="inlineStr">
        <is>
          <t>698882/0</t>
        </is>
      </c>
      <c r="I1712" s="41" t="inlineStr">
        <is>
          <t>ص ع ا 7462</t>
        </is>
      </c>
      <c r="J1712" s="41" t="inlineStr">
        <is>
          <t xml:space="preserve">فتحى احمد </t>
        </is>
      </c>
      <c r="K1712" s="41" t="inlineStr">
        <is>
          <t xml:space="preserve">الحجرى </t>
        </is>
      </c>
      <c r="L1712" s="42" t="n">
        <v>17000</v>
      </c>
      <c r="M1712" s="42" t="n">
        <v>9100</v>
      </c>
      <c r="N1712" s="42" t="n"/>
      <c r="O1712" s="42" t="n">
        <v>200</v>
      </c>
      <c r="P1712" s="42" t="n"/>
      <c r="Q1712" s="42" t="n"/>
      <c r="R1712" s="43">
        <f>IF($B1712="","",N($S1712)-N($Q1712))</f>
        <v/>
      </c>
      <c r="S1712" s="43">
        <f>IF($B1712="","",N($L1712)+N($N1712)+N($P1712))</f>
        <v/>
      </c>
      <c r="T1712" s="42" t="n"/>
      <c r="U1712" s="42" t="n"/>
      <c r="V1712" s="42" t="n"/>
      <c r="W1712" s="42" t="n"/>
      <c r="X1712" s="42" t="n"/>
      <c r="Y1712" s="42" t="n"/>
      <c r="Z1712" s="42" t="n"/>
      <c r="AA1712" s="42" t="n"/>
      <c r="AB1712" s="42" t="n"/>
      <c r="AC1712" s="42" t="n"/>
      <c r="AD1712" s="42" t="n"/>
      <c r="AE1712" s="42" t="n"/>
      <c r="AF1712" s="43">
        <f>IF($B1712="","",SUM($T1712:$AE1712))</f>
        <v/>
      </c>
      <c r="AG1712" s="43">
        <f>IF($B1712="","",N($M1712)-N($AF1712))</f>
        <v/>
      </c>
      <c r="AH1712" s="43">
        <f>IF($B1712="","",N($L1712)-N($AF1712))</f>
        <v/>
      </c>
      <c r="AI1712" s="149">
        <f>IF($B1712="","",IF(N($L1712)=0,"",(N($L1712)-N($AF1712))/N($L1712)))</f>
        <v/>
      </c>
    </row>
    <row r="1713">
      <c r="A1713" s="39">
        <f>IF($B1713="","",COUNTA($B$4:$B1713))</f>
        <v/>
      </c>
      <c r="B1713" s="45" t="n">
        <v>46203</v>
      </c>
      <c r="C1713" s="46" t="n">
        <v>3420</v>
      </c>
      <c r="D1713" s="46" t="n"/>
      <c r="E1713" s="46" t="inlineStr">
        <is>
          <t>1*20</t>
        </is>
      </c>
      <c r="F1713" s="46" t="inlineStr">
        <is>
          <t xml:space="preserve">بى سيفتى </t>
        </is>
      </c>
      <c r="G1713" s="46" t="inlineStr">
        <is>
          <t xml:space="preserve">اكتوبر </t>
        </is>
      </c>
      <c r="H1713" s="46" t="inlineStr">
        <is>
          <t>303198/1</t>
        </is>
      </c>
      <c r="I1713" s="46" t="inlineStr">
        <is>
          <t>ب د ع 3962</t>
        </is>
      </c>
      <c r="J1713" s="46" t="inlineStr">
        <is>
          <t xml:space="preserve">محمد </t>
        </is>
      </c>
      <c r="K1713" s="46" t="inlineStr">
        <is>
          <t xml:space="preserve">ايوب </t>
        </is>
      </c>
      <c r="L1713" s="47" t="n">
        <v>10000</v>
      </c>
      <c r="M1713" s="47" t="n">
        <v>7100</v>
      </c>
      <c r="N1713" s="47" t="n"/>
      <c r="O1713" s="47" t="n">
        <v>200</v>
      </c>
      <c r="P1713" s="47" t="n"/>
      <c r="Q1713" s="47" t="n"/>
      <c r="R1713" s="43">
        <f>IF($B1713="","",N($S1713)-N($Q1713))</f>
        <v/>
      </c>
      <c r="S1713" s="43">
        <f>IF($B1713="","",N($L1713)+N($N1713)+N($P1713))</f>
        <v/>
      </c>
      <c r="T1713" s="47" t="n"/>
      <c r="U1713" s="47" t="n"/>
      <c r="V1713" s="47" t="n"/>
      <c r="W1713" s="47" t="n"/>
      <c r="X1713" s="47" t="n"/>
      <c r="Y1713" s="47" t="n"/>
      <c r="Z1713" s="47" t="n"/>
      <c r="AA1713" s="47" t="n"/>
      <c r="AB1713" s="47" t="n"/>
      <c r="AC1713" s="47" t="n"/>
      <c r="AD1713" s="47" t="n"/>
      <c r="AE1713" s="47" t="n"/>
      <c r="AF1713" s="43">
        <f>IF($B1713="","",SUM($T1713:$AE1713))</f>
        <v/>
      </c>
      <c r="AG1713" s="43">
        <f>IF($B1713="","",N($M1713)-N($AF1713))</f>
        <v/>
      </c>
      <c r="AH1713" s="43">
        <f>IF($B1713="","",N($L1713)-N($AF1713))</f>
        <v/>
      </c>
      <c r="AI1713" s="149">
        <f>IF($B1713="","",IF(N($L1713)=0,"",(N($L1713)-N($AF1713))/N($L1713)))</f>
        <v/>
      </c>
    </row>
    <row r="1714">
      <c r="A1714" s="39">
        <f>IF($B1714="","",COUNTA($B$4:$B1714))</f>
        <v/>
      </c>
      <c r="B1714" s="40" t="n">
        <v>46203</v>
      </c>
      <c r="C1714" s="41" t="n">
        <v>3516</v>
      </c>
      <c r="D1714" s="41" t="n"/>
      <c r="E1714" s="41" t="inlineStr">
        <is>
          <t>1*20</t>
        </is>
      </c>
      <c r="F1714" s="41" t="inlineStr">
        <is>
          <t xml:space="preserve">اية اس او </t>
        </is>
      </c>
      <c r="G1714" s="41" t="inlineStr">
        <is>
          <t xml:space="preserve">اكتوبر </t>
        </is>
      </c>
      <c r="H1714" s="41" t="inlineStr">
        <is>
          <t>087873/1</t>
        </is>
      </c>
      <c r="I1714" s="41" t="inlineStr">
        <is>
          <t>ط ف ر 3151</t>
        </is>
      </c>
      <c r="J1714" s="41" t="inlineStr">
        <is>
          <t xml:space="preserve">كامل عزمى </t>
        </is>
      </c>
      <c r="K1714" s="41" t="inlineStr">
        <is>
          <t xml:space="preserve">رومانى </t>
        </is>
      </c>
      <c r="L1714" s="42" t="n">
        <v>10000</v>
      </c>
      <c r="M1714" s="42" t="n">
        <v>7100</v>
      </c>
      <c r="N1714" s="42" t="n">
        <v>2500</v>
      </c>
      <c r="O1714" s="42" t="n">
        <v>200</v>
      </c>
      <c r="P1714" s="42" t="n"/>
      <c r="Q1714" s="42" t="n"/>
      <c r="R1714" s="43">
        <f>IF($B1714="","",N($S1714)-N($Q1714))</f>
        <v/>
      </c>
      <c r="S1714" s="43">
        <f>IF($B1714="","",N($L1714)+N($N1714)+N($P1714))</f>
        <v/>
      </c>
      <c r="T1714" s="42" t="n"/>
      <c r="U1714" s="42" t="n"/>
      <c r="V1714" s="42" t="n"/>
      <c r="W1714" s="42" t="n"/>
      <c r="X1714" s="42" t="n"/>
      <c r="Y1714" s="42" t="n"/>
      <c r="Z1714" s="42" t="n"/>
      <c r="AA1714" s="42" t="n"/>
      <c r="AB1714" s="42" t="n"/>
      <c r="AC1714" s="42" t="n"/>
      <c r="AD1714" s="42" t="n"/>
      <c r="AE1714" s="42" t="n"/>
      <c r="AF1714" s="43">
        <f>IF($B1714="","",SUM($T1714:$AE1714))</f>
        <v/>
      </c>
      <c r="AG1714" s="43">
        <f>IF($B1714="","",N($M1714)-N($AF1714))</f>
        <v/>
      </c>
      <c r="AH1714" s="43">
        <f>IF($B1714="","",N($L1714)-N($AF1714))</f>
        <v/>
      </c>
      <c r="AI1714" s="149">
        <f>IF($B1714="","",IF(N($L1714)=0,"",(N($L1714)-N($AF1714))/N($L1714)))</f>
        <v/>
      </c>
    </row>
    <row r="1715">
      <c r="A1715" s="39">
        <f>IF($B1715="","",COUNTA($B$4:$B1715))</f>
        <v/>
      </c>
      <c r="B1715" s="45" t="n">
        <v>46203</v>
      </c>
      <c r="C1715" s="46" t="n">
        <v>3508</v>
      </c>
      <c r="D1715" s="46" t="n"/>
      <c r="E1715" s="46" t="inlineStr">
        <is>
          <t>1*40</t>
        </is>
      </c>
      <c r="F1715" s="46" t="inlineStr">
        <is>
          <t xml:space="preserve">اتش ام ام </t>
        </is>
      </c>
      <c r="G1715" s="46" t="inlineStr">
        <is>
          <t xml:space="preserve">المحلة </t>
        </is>
      </c>
      <c r="H1715" s="46" t="inlineStr">
        <is>
          <t>714114/3</t>
        </is>
      </c>
      <c r="I1715" s="46" t="inlineStr">
        <is>
          <t>ب س ا 7235</t>
        </is>
      </c>
      <c r="J1715" s="46" t="inlineStr">
        <is>
          <t xml:space="preserve">عادل رجب </t>
        </is>
      </c>
      <c r="K1715" s="46" t="inlineStr">
        <is>
          <t xml:space="preserve">اسامة </t>
        </is>
      </c>
      <c r="L1715" s="47" t="n">
        <v>13800</v>
      </c>
      <c r="M1715" s="47" t="n">
        <v>8100</v>
      </c>
      <c r="N1715" s="47" t="n"/>
      <c r="O1715" s="47" t="n">
        <v>200</v>
      </c>
      <c r="P1715" s="47" t="n"/>
      <c r="Q1715" s="47" t="n"/>
      <c r="R1715" s="43">
        <f>IF($B1715="","",N($S1715)-N($Q1715))</f>
        <v/>
      </c>
      <c r="S1715" s="43">
        <f>IF($B1715="","",N($L1715)+N($N1715)+N($P1715))</f>
        <v/>
      </c>
      <c r="T1715" s="47" t="n"/>
      <c r="U1715" s="47" t="n"/>
      <c r="V1715" s="47" t="n"/>
      <c r="W1715" s="47" t="n"/>
      <c r="X1715" s="47" t="n"/>
      <c r="Y1715" s="47" t="n"/>
      <c r="Z1715" s="47" t="n"/>
      <c r="AA1715" s="47" t="n"/>
      <c r="AB1715" s="47" t="n"/>
      <c r="AC1715" s="47" t="n"/>
      <c r="AD1715" s="47" t="n"/>
      <c r="AE1715" s="47" t="n"/>
      <c r="AF1715" s="43">
        <f>IF($B1715="","",SUM($T1715:$AE1715))</f>
        <v/>
      </c>
      <c r="AG1715" s="43">
        <f>IF($B1715="","",N($M1715)-N($AF1715))</f>
        <v/>
      </c>
      <c r="AH1715" s="43">
        <f>IF($B1715="","",N($L1715)-N($AF1715))</f>
        <v/>
      </c>
      <c r="AI1715" s="149">
        <f>IF($B1715="","",IF(N($L1715)=0,"",(N($L1715)-N($AF1715))/N($L1715)))</f>
        <v/>
      </c>
    </row>
    <row r="1716">
      <c r="A1716" s="39">
        <f>IF($B1716="","",COUNTA($B$4:$B1716))</f>
        <v/>
      </c>
      <c r="B1716" s="40" t="n">
        <v>46203</v>
      </c>
      <c r="C1716" s="41" t="n">
        <v>3515</v>
      </c>
      <c r="D1716" s="41" t="n"/>
      <c r="E1716" s="41" t="inlineStr">
        <is>
          <t>2*20</t>
        </is>
      </c>
      <c r="F1716" s="41" t="inlineStr">
        <is>
          <t xml:space="preserve">اكما </t>
        </is>
      </c>
      <c r="G1716" s="41" t="inlineStr">
        <is>
          <t>بنى سويف</t>
        </is>
      </c>
      <c r="H1716" s="41" t="inlineStr">
        <is>
          <t>142258/8-161471/7</t>
        </is>
      </c>
      <c r="I1716" s="41" t="inlineStr">
        <is>
          <t>ط ف ر 5195</t>
        </is>
      </c>
      <c r="J1716" s="41" t="inlineStr">
        <is>
          <t xml:space="preserve">وليد شفيق </t>
        </is>
      </c>
      <c r="K1716" s="41" t="inlineStr">
        <is>
          <t xml:space="preserve">ايوب </t>
        </is>
      </c>
      <c r="L1716" s="42" t="n">
        <v>25000</v>
      </c>
      <c r="M1716" s="42" t="n">
        <v>12100</v>
      </c>
      <c r="N1716" s="42" t="n"/>
      <c r="O1716" s="42" t="n">
        <v>200</v>
      </c>
      <c r="P1716" s="42" t="n"/>
      <c r="Q1716" s="42" t="n"/>
      <c r="R1716" s="43">
        <f>IF($B1716="","",N($S1716)-N($Q1716))</f>
        <v/>
      </c>
      <c r="S1716" s="43">
        <f>IF($B1716="","",N($L1716)+N($N1716)+N($P1716))</f>
        <v/>
      </c>
      <c r="T1716" s="42" t="n"/>
      <c r="U1716" s="42" t="n"/>
      <c r="V1716" s="42" t="n"/>
      <c r="W1716" s="42" t="n"/>
      <c r="X1716" s="42" t="n"/>
      <c r="Y1716" s="42" t="n"/>
      <c r="Z1716" s="42" t="n"/>
      <c r="AA1716" s="42" t="n"/>
      <c r="AB1716" s="42" t="n"/>
      <c r="AC1716" s="42" t="n"/>
      <c r="AD1716" s="42" t="n"/>
      <c r="AE1716" s="42" t="n"/>
      <c r="AF1716" s="43">
        <f>IF($B1716="","",SUM($T1716:$AE1716))</f>
        <v/>
      </c>
      <c r="AG1716" s="43">
        <f>IF($B1716="","",N($M1716)-N($AF1716))</f>
        <v/>
      </c>
      <c r="AH1716" s="43">
        <f>IF($B1716="","",N($L1716)-N($AF1716))</f>
        <v/>
      </c>
      <c r="AI1716" s="149">
        <f>IF($B1716="","",IF(N($L1716)=0,"",(N($L1716)-N($AF1716))/N($L1716)))</f>
        <v/>
      </c>
    </row>
    <row r="1717">
      <c r="A1717" s="39">
        <f>IF($B1717="","",COUNTA($B$4:$B1717))</f>
        <v/>
      </c>
      <c r="B1717" s="45" t="n">
        <v>46203</v>
      </c>
      <c r="C1717" s="46" t="n">
        <v>3514</v>
      </c>
      <c r="D1717" s="46" t="n"/>
      <c r="E1717" s="46" t="inlineStr">
        <is>
          <t>2*20</t>
        </is>
      </c>
      <c r="F1717" s="46" t="inlineStr">
        <is>
          <t xml:space="preserve">اكما </t>
        </is>
      </c>
      <c r="G1717" s="46" t="inlineStr">
        <is>
          <t>بنى سويف</t>
        </is>
      </c>
      <c r="H1717" s="46" t="inlineStr">
        <is>
          <t>34854/1-541310/0</t>
        </is>
      </c>
      <c r="I1717" s="46" t="inlineStr">
        <is>
          <t>س ق ا 3594</t>
        </is>
      </c>
      <c r="J1717" s="46" t="inlineStr">
        <is>
          <t xml:space="preserve">ابراهيم محمد </t>
        </is>
      </c>
      <c r="K1717" s="46" t="inlineStr">
        <is>
          <t xml:space="preserve">وليد ابو الصحاب </t>
        </is>
      </c>
      <c r="L1717" s="47" t="n">
        <v>25000</v>
      </c>
      <c r="M1717" s="47" t="n">
        <v>12100</v>
      </c>
      <c r="N1717" s="47" t="n"/>
      <c r="O1717" s="47" t="n">
        <v>200</v>
      </c>
      <c r="P1717" s="47" t="n"/>
      <c r="Q1717" s="47" t="n"/>
      <c r="R1717" s="43">
        <f>IF($B1717="","",N($S1717)-N($Q1717))</f>
        <v/>
      </c>
      <c r="S1717" s="43">
        <f>IF($B1717="","",N($L1717)+N($N1717)+N($P1717))</f>
        <v/>
      </c>
      <c r="T1717" s="47" t="n"/>
      <c r="U1717" s="47" t="n"/>
      <c r="V1717" s="47" t="n"/>
      <c r="W1717" s="47" t="n"/>
      <c r="X1717" s="47" t="n"/>
      <c r="Y1717" s="47" t="n"/>
      <c r="Z1717" s="47" t="n"/>
      <c r="AA1717" s="47" t="n"/>
      <c r="AB1717" s="47" t="n"/>
      <c r="AC1717" s="47" t="n"/>
      <c r="AD1717" s="47" t="n"/>
      <c r="AE1717" s="47" t="n"/>
      <c r="AF1717" s="43">
        <f>IF($B1717="","",SUM($T1717:$AE1717))</f>
        <v/>
      </c>
      <c r="AG1717" s="43">
        <f>IF($B1717="","",N($M1717)-N($AF1717))</f>
        <v/>
      </c>
      <c r="AH1717" s="43">
        <f>IF($B1717="","",N($L1717)-N($AF1717))</f>
        <v/>
      </c>
      <c r="AI1717" s="149">
        <f>IF($B1717="","",IF(N($L1717)=0,"",(N($L1717)-N($AF1717))/N($L1717)))</f>
        <v/>
      </c>
    </row>
    <row r="1718">
      <c r="A1718" s="39">
        <f>IF($B1718="","",COUNTA($B$4:$B1718))</f>
        <v/>
      </c>
      <c r="B1718" s="40" t="n">
        <v>46203</v>
      </c>
      <c r="C1718" s="41" t="n">
        <v>3513</v>
      </c>
      <c r="D1718" s="41" t="n"/>
      <c r="E1718" s="41" t="inlineStr">
        <is>
          <t>2*20</t>
        </is>
      </c>
      <c r="F1718" s="41" t="inlineStr">
        <is>
          <t xml:space="preserve">اكما </t>
        </is>
      </c>
      <c r="G1718" s="41" t="inlineStr">
        <is>
          <t>بنى سويف</t>
        </is>
      </c>
      <c r="H1718" s="41" t="inlineStr">
        <is>
          <t>099601/7-024289/2</t>
        </is>
      </c>
      <c r="I1718" s="41" t="inlineStr">
        <is>
          <t>ب ى ط 8217</t>
        </is>
      </c>
      <c r="J1718" s="41" t="inlineStr">
        <is>
          <t xml:space="preserve">علاء محمد </t>
        </is>
      </c>
      <c r="K1718" s="41" t="inlineStr">
        <is>
          <t xml:space="preserve">محمد الفلاح </t>
        </is>
      </c>
      <c r="L1718" s="42" t="n">
        <v>25000</v>
      </c>
      <c r="M1718" s="42" t="n">
        <v>12100</v>
      </c>
      <c r="N1718" s="42" t="n"/>
      <c r="O1718" s="42" t="n">
        <v>200</v>
      </c>
      <c r="P1718" s="42" t="n"/>
      <c r="Q1718" s="42" t="n"/>
      <c r="R1718" s="43">
        <f>IF($B1718="","",N($S1718)-N($Q1718))</f>
        <v/>
      </c>
      <c r="S1718" s="43">
        <f>IF($B1718="","",N($L1718)+N($N1718)+N($P1718))</f>
        <v/>
      </c>
      <c r="T1718" s="42" t="n"/>
      <c r="U1718" s="42" t="n"/>
      <c r="V1718" s="42" t="n"/>
      <c r="W1718" s="42" t="n"/>
      <c r="X1718" s="42" t="n"/>
      <c r="Y1718" s="42" t="n"/>
      <c r="Z1718" s="42" t="n"/>
      <c r="AA1718" s="42" t="n"/>
      <c r="AB1718" s="42" t="n"/>
      <c r="AC1718" s="42" t="n"/>
      <c r="AD1718" s="42" t="n"/>
      <c r="AE1718" s="42" t="n"/>
      <c r="AF1718" s="43">
        <f>IF($B1718="","",SUM($T1718:$AE1718))</f>
        <v/>
      </c>
      <c r="AG1718" s="43">
        <f>IF($B1718="","",N($M1718)-N($AF1718))</f>
        <v/>
      </c>
      <c r="AH1718" s="43">
        <f>IF($B1718="","",N($L1718)-N($AF1718))</f>
        <v/>
      </c>
      <c r="AI1718" s="149">
        <f>IF($B1718="","",IF(N($L1718)=0,"",(N($L1718)-N($AF1718))/N($L1718)))</f>
        <v/>
      </c>
    </row>
    <row r="1719">
      <c r="A1719" s="39">
        <f>IF($B1719="","",COUNTA($B$4:$B1719))</f>
        <v/>
      </c>
      <c r="B1719" s="45" t="n">
        <v>46203</v>
      </c>
      <c r="C1719" s="46" t="n">
        <v>3509</v>
      </c>
      <c r="D1719" s="46" t="inlineStr">
        <is>
          <t>محمد نبيل</t>
        </is>
      </c>
      <c r="E1719" s="46" t="inlineStr">
        <is>
          <t>2*20</t>
        </is>
      </c>
      <c r="F1719" s="46" t="inlineStr">
        <is>
          <t xml:space="preserve">اكما </t>
        </is>
      </c>
      <c r="G1719" s="46" t="inlineStr">
        <is>
          <t>بنى سويف</t>
        </is>
      </c>
      <c r="H1719" s="46" t="inlineStr">
        <is>
          <t>113820/7-66425/3</t>
        </is>
      </c>
      <c r="I1719" s="46" t="inlineStr">
        <is>
          <t>ط ف ر 2923</t>
        </is>
      </c>
      <c r="J1719" s="46" t="inlineStr">
        <is>
          <t xml:space="preserve">كرم الشرقاوى </t>
        </is>
      </c>
      <c r="K1719" s="46" t="inlineStr">
        <is>
          <t xml:space="preserve">عمرو خفاجة </t>
        </is>
      </c>
      <c r="L1719" s="47" t="n">
        <v>25000</v>
      </c>
      <c r="M1719" s="47" t="n">
        <v>12100</v>
      </c>
      <c r="N1719" s="47" t="n"/>
      <c r="O1719" s="47" t="n">
        <v>200</v>
      </c>
      <c r="P1719" s="47" t="n"/>
      <c r="Q1719" s="47" t="n"/>
      <c r="R1719" s="43">
        <f>IF($B1719="","",N($S1719)-N($Q1719))</f>
        <v/>
      </c>
      <c r="S1719" s="43">
        <f>IF($B1719="","",N($L1719)+N($N1719)+N($P1719))</f>
        <v/>
      </c>
      <c r="T1719" s="47" t="n"/>
      <c r="U1719" s="47" t="n"/>
      <c r="V1719" s="47" t="n"/>
      <c r="W1719" s="47" t="n"/>
      <c r="X1719" s="47" t="n"/>
      <c r="Y1719" s="47" t="n"/>
      <c r="Z1719" s="47" t="n"/>
      <c r="AA1719" s="47" t="n"/>
      <c r="AB1719" s="47" t="n"/>
      <c r="AC1719" s="47" t="n"/>
      <c r="AD1719" s="47" t="n"/>
      <c r="AE1719" s="47" t="n"/>
      <c r="AF1719" s="43">
        <f>IF($B1719="","",SUM($T1719:$AE1719))</f>
        <v/>
      </c>
      <c r="AG1719" s="43">
        <f>IF($B1719="","",N($M1719)-N($AF1719))</f>
        <v/>
      </c>
      <c r="AH1719" s="43">
        <f>IF($B1719="","",N($L1719)-N($AF1719))</f>
        <v/>
      </c>
      <c r="AI1719" s="149">
        <f>IF($B1719="","",IF(N($L1719)=0,"",(N($L1719)-N($AF1719))/N($L1719)))</f>
        <v/>
      </c>
    </row>
    <row r="1720">
      <c r="A1720" s="39">
        <f>IF($B1720="","",COUNTA($B$4:$B1720))</f>
        <v/>
      </c>
      <c r="B1720" s="40" t="n">
        <v>46203</v>
      </c>
      <c r="C1720" s="41" t="n">
        <v>3505</v>
      </c>
      <c r="D1720" s="41" t="n"/>
      <c r="E1720" s="41" t="inlineStr">
        <is>
          <t>2*20</t>
        </is>
      </c>
      <c r="F1720" s="41" t="inlineStr">
        <is>
          <t xml:space="preserve">اكما </t>
        </is>
      </c>
      <c r="G1720" s="41" t="inlineStr">
        <is>
          <t>بنى سويف</t>
        </is>
      </c>
      <c r="H1720" s="41" t="inlineStr">
        <is>
          <t>108315/0-281786/7</t>
        </is>
      </c>
      <c r="I1720" s="41" t="inlineStr">
        <is>
          <t>س ع م 8737</t>
        </is>
      </c>
      <c r="J1720" s="41" t="inlineStr">
        <is>
          <t xml:space="preserve">جلال حسنى </t>
        </is>
      </c>
      <c r="K1720" s="41" t="inlineStr">
        <is>
          <t xml:space="preserve">المكتب </t>
        </is>
      </c>
      <c r="L1720" s="42" t="n">
        <v>25000</v>
      </c>
      <c r="M1720" s="42" t="n">
        <v>12100</v>
      </c>
      <c r="N1720" s="42" t="n"/>
      <c r="O1720" s="42" t="n">
        <v>200</v>
      </c>
      <c r="P1720" s="42" t="n"/>
      <c r="Q1720" s="42" t="n"/>
      <c r="R1720" s="43">
        <f>IF($B1720="","",N($S1720)-N($Q1720))</f>
        <v/>
      </c>
      <c r="S1720" s="43">
        <f>IF($B1720="","",N($L1720)+N($N1720)+N($P1720))</f>
        <v/>
      </c>
      <c r="T1720" s="42" t="n"/>
      <c r="U1720" s="42" t="n"/>
      <c r="V1720" s="42" t="n"/>
      <c r="W1720" s="42" t="n"/>
      <c r="X1720" s="42" t="n"/>
      <c r="Y1720" s="42" t="n"/>
      <c r="Z1720" s="42" t="n"/>
      <c r="AA1720" s="42" t="n"/>
      <c r="AB1720" s="42" t="n"/>
      <c r="AC1720" s="42" t="n"/>
      <c r="AD1720" s="42" t="n"/>
      <c r="AE1720" s="42" t="n"/>
      <c r="AF1720" s="43">
        <f>IF($B1720="","",SUM($T1720:$AE1720))</f>
        <v/>
      </c>
      <c r="AG1720" s="43">
        <f>IF($B1720="","",N($M1720)-N($AF1720))</f>
        <v/>
      </c>
      <c r="AH1720" s="43">
        <f>IF($B1720="","",N($L1720)-N($AF1720))</f>
        <v/>
      </c>
      <c r="AI1720" s="149">
        <f>IF($B1720="","",IF(N($L1720)=0,"",(N($L1720)-N($AF1720))/N($L1720)))</f>
        <v/>
      </c>
    </row>
    <row r="1721">
      <c r="A1721" s="39">
        <f>IF($B1721="","",COUNTA($B$4:$B1721))</f>
        <v/>
      </c>
      <c r="B1721" s="45" t="n">
        <v>46203</v>
      </c>
      <c r="C1721" s="46" t="n">
        <v>3510</v>
      </c>
      <c r="D1721" s="46" t="n"/>
      <c r="E1721" s="46" t="inlineStr">
        <is>
          <t>1*40</t>
        </is>
      </c>
      <c r="F1721" s="46" t="inlineStr">
        <is>
          <t xml:space="preserve">بريلى </t>
        </is>
      </c>
      <c r="G1721" s="46" t="inlineStr">
        <is>
          <t xml:space="preserve">اكتوبر </t>
        </is>
      </c>
      <c r="H1721" s="46" t="inlineStr">
        <is>
          <t>600122/2</t>
        </is>
      </c>
      <c r="I1721" s="46" t="inlineStr">
        <is>
          <t>س ا ج 9247</t>
        </is>
      </c>
      <c r="J1721" s="46" t="inlineStr">
        <is>
          <t xml:space="preserve">تامر رجب </t>
        </is>
      </c>
      <c r="K1721" s="46" t="inlineStr">
        <is>
          <t>همام</t>
        </is>
      </c>
      <c r="L1721" s="47" t="n">
        <v>13800</v>
      </c>
      <c r="M1721" s="47" t="n">
        <v>8100</v>
      </c>
      <c r="N1721" s="47" t="n"/>
      <c r="O1721" s="47" t="n">
        <v>200</v>
      </c>
      <c r="P1721" s="47" t="n"/>
      <c r="Q1721" s="47" t="n"/>
      <c r="R1721" s="43">
        <f>IF($B1721="","",N($S1721)-N($Q1721))</f>
        <v/>
      </c>
      <c r="S1721" s="43">
        <f>IF($B1721="","",N($L1721)+N($N1721)+N($P1721))</f>
        <v/>
      </c>
      <c r="T1721" s="47" t="n"/>
      <c r="U1721" s="47" t="n"/>
      <c r="V1721" s="47" t="n"/>
      <c r="W1721" s="47" t="n"/>
      <c r="X1721" s="47" t="n"/>
      <c r="Y1721" s="47" t="n"/>
      <c r="Z1721" s="47" t="n"/>
      <c r="AA1721" s="47" t="n"/>
      <c r="AB1721" s="47" t="n"/>
      <c r="AC1721" s="47" t="n"/>
      <c r="AD1721" s="47" t="n"/>
      <c r="AE1721" s="47" t="n"/>
      <c r="AF1721" s="43">
        <f>IF($B1721="","",SUM($T1721:$AE1721))</f>
        <v/>
      </c>
      <c r="AG1721" s="43">
        <f>IF($B1721="","",N($M1721)-N($AF1721))</f>
        <v/>
      </c>
      <c r="AH1721" s="43">
        <f>IF($B1721="","",N($L1721)-N($AF1721))</f>
        <v/>
      </c>
      <c r="AI1721" s="149">
        <f>IF($B1721="","",IF(N($L1721)=0,"",(N($L1721)-N($AF1721))/N($L1721)))</f>
        <v/>
      </c>
    </row>
    <row r="1722">
      <c r="A1722" s="39">
        <f>IF($B1722="","",COUNTA($B$4:$B1722))</f>
        <v/>
      </c>
      <c r="B1722" s="40" t="n">
        <v>46203</v>
      </c>
      <c r="C1722" s="41" t="n">
        <v>3507</v>
      </c>
      <c r="D1722" s="41" t="n"/>
      <c r="E1722" s="41" t="inlineStr">
        <is>
          <t>1*40</t>
        </is>
      </c>
      <c r="F1722" s="41" t="inlineStr">
        <is>
          <t xml:space="preserve">بريلى </t>
        </is>
      </c>
      <c r="G1722" s="41" t="inlineStr">
        <is>
          <t xml:space="preserve">اكتوبر </t>
        </is>
      </c>
      <c r="H1722" s="41" t="inlineStr">
        <is>
          <t>594490/6</t>
        </is>
      </c>
      <c r="I1722" s="41" t="inlineStr">
        <is>
          <t>س ر ا 6671</t>
        </is>
      </c>
      <c r="J1722" s="41" t="inlineStr">
        <is>
          <t xml:space="preserve">احمد صديق </t>
        </is>
      </c>
      <c r="K1722" s="41" t="inlineStr">
        <is>
          <t xml:space="preserve">حمو مرزوق </t>
        </is>
      </c>
      <c r="L1722" s="42" t="n">
        <v>13800</v>
      </c>
      <c r="M1722" s="42" t="n">
        <v>8100</v>
      </c>
      <c r="N1722" s="42" t="n"/>
      <c r="O1722" s="42" t="n">
        <v>200</v>
      </c>
      <c r="P1722" s="42" t="n"/>
      <c r="Q1722" s="42" t="n"/>
      <c r="R1722" s="43">
        <f>IF($B1722="","",N($S1722)-N($Q1722))</f>
        <v/>
      </c>
      <c r="S1722" s="43">
        <f>IF($B1722="","",N($L1722)+N($N1722)+N($P1722))</f>
        <v/>
      </c>
      <c r="T1722" s="42" t="n"/>
      <c r="U1722" s="42" t="n"/>
      <c r="V1722" s="42" t="n"/>
      <c r="W1722" s="42" t="n"/>
      <c r="X1722" s="42" t="n"/>
      <c r="Y1722" s="42" t="n"/>
      <c r="Z1722" s="42" t="n"/>
      <c r="AA1722" s="42" t="n"/>
      <c r="AB1722" s="42" t="n"/>
      <c r="AC1722" s="42" t="n"/>
      <c r="AD1722" s="42" t="n"/>
      <c r="AE1722" s="42" t="n"/>
      <c r="AF1722" s="43">
        <f>IF($B1722="","",SUM($T1722:$AE1722))</f>
        <v/>
      </c>
      <c r="AG1722" s="43">
        <f>IF($B1722="","",N($M1722)-N($AF1722))</f>
        <v/>
      </c>
      <c r="AH1722" s="43">
        <f>IF($B1722="","",N($L1722)-N($AF1722))</f>
        <v/>
      </c>
      <c r="AI1722" s="149">
        <f>IF($B1722="","",IF(N($L1722)=0,"",(N($L1722)-N($AF1722))/N($L1722)))</f>
        <v/>
      </c>
    </row>
    <row r="1723">
      <c r="A1723" s="39">
        <f>IF($B1723="","",COUNTA($B$4:$B1723))</f>
        <v/>
      </c>
      <c r="B1723" s="45" t="n">
        <v>46203</v>
      </c>
      <c r="C1723" s="46" t="n">
        <v>3506</v>
      </c>
      <c r="D1723" s="46" t="n"/>
      <c r="E1723" s="46" t="inlineStr">
        <is>
          <t>1*40</t>
        </is>
      </c>
      <c r="F1723" s="46" t="inlineStr">
        <is>
          <t xml:space="preserve">بريلى </t>
        </is>
      </c>
      <c r="G1723" s="46" t="inlineStr">
        <is>
          <t xml:space="preserve">اكتوبر </t>
        </is>
      </c>
      <c r="H1723" s="46" t="inlineStr">
        <is>
          <t>591536/4</t>
        </is>
      </c>
      <c r="I1723" s="46" t="inlineStr">
        <is>
          <t>س ن ر 4676</t>
        </is>
      </c>
      <c r="J1723" s="46" t="inlineStr">
        <is>
          <t xml:space="preserve">محمد عبد المنعم </t>
        </is>
      </c>
      <c r="K1723" s="46" t="inlineStr">
        <is>
          <t>محمد خليل</t>
        </is>
      </c>
      <c r="L1723" s="47" t="n">
        <v>13800</v>
      </c>
      <c r="M1723" s="47" t="n">
        <v>8100</v>
      </c>
      <c r="N1723" s="47" t="n"/>
      <c r="O1723" s="47" t="n">
        <v>200</v>
      </c>
      <c r="P1723" s="47" t="n"/>
      <c r="Q1723" s="47" t="n"/>
      <c r="R1723" s="43">
        <f>IF($B1723="","",N($S1723)-N($Q1723))</f>
        <v/>
      </c>
      <c r="S1723" s="43">
        <f>IF($B1723="","",N($L1723)+N($N1723)+N($P1723))</f>
        <v/>
      </c>
      <c r="T1723" s="47" t="n"/>
      <c r="U1723" s="47" t="n"/>
      <c r="V1723" s="47" t="n"/>
      <c r="W1723" s="47" t="n"/>
      <c r="X1723" s="47" t="n"/>
      <c r="Y1723" s="47" t="n"/>
      <c r="Z1723" s="47" t="n"/>
      <c r="AA1723" s="47" t="n"/>
      <c r="AB1723" s="47" t="n"/>
      <c r="AC1723" s="47" t="n"/>
      <c r="AD1723" s="47" t="n"/>
      <c r="AE1723" s="47" t="n"/>
      <c r="AF1723" s="43">
        <f>IF($B1723="","",SUM($T1723:$AE1723))</f>
        <v/>
      </c>
      <c r="AG1723" s="43">
        <f>IF($B1723="","",N($M1723)-N($AF1723))</f>
        <v/>
      </c>
      <c r="AH1723" s="43">
        <f>IF($B1723="","",N($L1723)-N($AF1723))</f>
        <v/>
      </c>
      <c r="AI1723" s="149">
        <f>IF($B1723="","",IF(N($L1723)=0,"",(N($L1723)-N($AF1723))/N($L1723)))</f>
        <v/>
      </c>
    </row>
    <row r="1724">
      <c r="A1724" s="39">
        <f>IF($B1724="","",COUNTA($B$4:$B1724))</f>
        <v/>
      </c>
      <c r="B1724" s="40" t="n">
        <v>46203</v>
      </c>
      <c r="C1724" s="41" t="n">
        <v>3504</v>
      </c>
      <c r="D1724" s="41" t="n"/>
      <c r="E1724" s="41" t="inlineStr">
        <is>
          <t>1*40</t>
        </is>
      </c>
      <c r="F1724" s="41" t="inlineStr">
        <is>
          <t xml:space="preserve">بريلى </t>
        </is>
      </c>
      <c r="G1724" s="41" t="inlineStr">
        <is>
          <t xml:space="preserve">اكتوبر </t>
        </is>
      </c>
      <c r="H1724" s="41" t="inlineStr">
        <is>
          <t>450048/0</t>
        </is>
      </c>
      <c r="I1724" s="41" t="inlineStr">
        <is>
          <t>س ن ر 3739</t>
        </is>
      </c>
      <c r="J1724" s="41" t="inlineStr">
        <is>
          <t xml:space="preserve">همام العشرى </t>
        </is>
      </c>
      <c r="K1724" s="41" t="inlineStr">
        <is>
          <t xml:space="preserve">همام </t>
        </is>
      </c>
      <c r="L1724" s="42" t="n">
        <v>13800</v>
      </c>
      <c r="M1724" s="42" t="n">
        <v>8100</v>
      </c>
      <c r="N1724" s="42" t="n"/>
      <c r="O1724" s="42" t="n">
        <v>200</v>
      </c>
      <c r="P1724" s="42" t="n"/>
      <c r="Q1724" s="42" t="n"/>
      <c r="R1724" s="43">
        <f>IF($B1724="","",N($S1724)-N($Q1724))</f>
        <v/>
      </c>
      <c r="S1724" s="43">
        <f>IF($B1724="","",N($L1724)+N($N1724)+N($P1724))</f>
        <v/>
      </c>
      <c r="T1724" s="42" t="n"/>
      <c r="U1724" s="42" t="n"/>
      <c r="V1724" s="42" t="n"/>
      <c r="W1724" s="42" t="n"/>
      <c r="X1724" s="42" t="n"/>
      <c r="Y1724" s="42" t="n"/>
      <c r="Z1724" s="42" t="n"/>
      <c r="AA1724" s="42" t="n"/>
      <c r="AB1724" s="42" t="n"/>
      <c r="AC1724" s="42" t="n"/>
      <c r="AD1724" s="42" t="n"/>
      <c r="AE1724" s="42" t="n"/>
      <c r="AF1724" s="43">
        <f>IF($B1724="","",SUM($T1724:$AE1724))</f>
        <v/>
      </c>
      <c r="AG1724" s="43">
        <f>IF($B1724="","",N($M1724)-N($AF1724))</f>
        <v/>
      </c>
      <c r="AH1724" s="43">
        <f>IF($B1724="","",N($L1724)-N($AF1724))</f>
        <v/>
      </c>
      <c r="AI1724" s="149">
        <f>IF($B1724="","",IF(N($L1724)=0,"",(N($L1724)-N($AF1724))/N($L1724)))</f>
        <v/>
      </c>
    </row>
    <row r="1725">
      <c r="A1725" s="39">
        <f>IF($B1725="","",COUNTA($B$4:$B1725))</f>
        <v/>
      </c>
      <c r="B1725" s="45" t="n">
        <v>46203</v>
      </c>
      <c r="C1725" s="46" t="n">
        <v>3511</v>
      </c>
      <c r="D1725" s="46" t="n"/>
      <c r="E1725" s="46" t="inlineStr">
        <is>
          <t>1*40</t>
        </is>
      </c>
      <c r="F1725" s="46" t="inlineStr">
        <is>
          <t xml:space="preserve">بريلى </t>
        </is>
      </c>
      <c r="G1725" s="46" t="inlineStr">
        <is>
          <t xml:space="preserve">اكتوبر </t>
        </is>
      </c>
      <c r="H1725" s="46" t="inlineStr">
        <is>
          <t>594447/0</t>
        </is>
      </c>
      <c r="I1725" s="46" t="inlineStr">
        <is>
          <t>ع ر ب 1573</t>
        </is>
      </c>
      <c r="J1725" s="46" t="inlineStr">
        <is>
          <t xml:space="preserve">محمد السيد </t>
        </is>
      </c>
      <c r="K1725" s="46" t="inlineStr">
        <is>
          <t xml:space="preserve">حمو مرزوق </t>
        </is>
      </c>
      <c r="L1725" s="47" t="n">
        <v>13800</v>
      </c>
      <c r="M1725" s="47" t="n">
        <v>8100</v>
      </c>
      <c r="N1725" s="47" t="n"/>
      <c r="O1725" s="47" t="n">
        <v>200</v>
      </c>
      <c r="P1725" s="47" t="n"/>
      <c r="Q1725" s="47" t="n"/>
      <c r="R1725" s="43">
        <f>IF($B1725="","",N($S1725)-N($Q1725))</f>
        <v/>
      </c>
      <c r="S1725" s="43">
        <f>IF($B1725="","",N($L1725)+N($N1725)+N($P1725))</f>
        <v/>
      </c>
      <c r="T1725" s="47" t="n"/>
      <c r="U1725" s="47" t="n"/>
      <c r="V1725" s="47" t="n"/>
      <c r="W1725" s="47" t="n"/>
      <c r="X1725" s="47" t="n"/>
      <c r="Y1725" s="47" t="n"/>
      <c r="Z1725" s="47" t="n"/>
      <c r="AA1725" s="47" t="n"/>
      <c r="AB1725" s="47" t="n"/>
      <c r="AC1725" s="47" t="n"/>
      <c r="AD1725" s="47" t="n"/>
      <c r="AE1725" s="47" t="n"/>
      <c r="AF1725" s="43">
        <f>IF($B1725="","",SUM($T1725:$AE1725))</f>
        <v/>
      </c>
      <c r="AG1725" s="43">
        <f>IF($B1725="","",N($M1725)-N($AF1725))</f>
        <v/>
      </c>
      <c r="AH1725" s="43">
        <f>IF($B1725="","",N($L1725)-N($AF1725))</f>
        <v/>
      </c>
      <c r="AI1725" s="149">
        <f>IF($B1725="","",IF(N($L1725)=0,"",(N($L1725)-N($AF1725))/N($L1725)))</f>
        <v/>
      </c>
    </row>
    <row r="1726">
      <c r="A1726" s="39">
        <f>IF($B1726="","",COUNTA($B$4:$B1726))</f>
        <v/>
      </c>
      <c r="B1726" s="40" t="n">
        <v>46203</v>
      </c>
      <c r="C1726" s="41" t="n">
        <v>3512</v>
      </c>
      <c r="D1726" s="41" t="n"/>
      <c r="E1726" s="41" t="inlineStr">
        <is>
          <t>1*40</t>
        </is>
      </c>
      <c r="F1726" s="41" t="inlineStr">
        <is>
          <t xml:space="preserve">بريلى </t>
        </is>
      </c>
      <c r="G1726" s="41" t="inlineStr">
        <is>
          <t xml:space="preserve">اكتوبر </t>
        </is>
      </c>
      <c r="H1726" s="41" t="inlineStr">
        <is>
          <t>591462/4</t>
        </is>
      </c>
      <c r="I1726" s="41" t="inlineStr">
        <is>
          <t>س ا ه 8198</t>
        </is>
      </c>
      <c r="J1726" s="41" t="inlineStr">
        <is>
          <t xml:space="preserve">ايمن عبدة </t>
        </is>
      </c>
      <c r="K1726" s="41" t="inlineStr">
        <is>
          <t xml:space="preserve">علاء علام </t>
        </is>
      </c>
      <c r="L1726" s="42" t="n">
        <v>13800</v>
      </c>
      <c r="M1726" s="42" t="n">
        <v>8100</v>
      </c>
      <c r="N1726" s="42" t="n"/>
      <c r="O1726" s="42" t="n">
        <v>200</v>
      </c>
      <c r="P1726" s="42" t="n"/>
      <c r="Q1726" s="42" t="n"/>
      <c r="R1726" s="43">
        <f>IF($B1726="","",N($S1726)-N($Q1726))</f>
        <v/>
      </c>
      <c r="S1726" s="43">
        <f>IF($B1726="","",N($L1726)+N($N1726)+N($P1726))</f>
        <v/>
      </c>
      <c r="T1726" s="42" t="n"/>
      <c r="U1726" s="42" t="n"/>
      <c r="V1726" s="42" t="n"/>
      <c r="W1726" s="42" t="n"/>
      <c r="X1726" s="42" t="n"/>
      <c r="Y1726" s="42" t="n"/>
      <c r="Z1726" s="42" t="n"/>
      <c r="AA1726" s="42" t="n"/>
      <c r="AB1726" s="42" t="n"/>
      <c r="AC1726" s="42" t="n"/>
      <c r="AD1726" s="42" t="n"/>
      <c r="AE1726" s="42" t="n"/>
      <c r="AF1726" s="43">
        <f>IF($B1726="","",SUM($T1726:$AE1726))</f>
        <v/>
      </c>
      <c r="AG1726" s="43">
        <f>IF($B1726="","",N($M1726)-N($AF1726))</f>
        <v/>
      </c>
      <c r="AH1726" s="43">
        <f>IF($B1726="","",N($L1726)-N($AF1726))</f>
        <v/>
      </c>
      <c r="AI1726" s="149">
        <f>IF($B1726="","",IF(N($L1726)=0,"",(N($L1726)-N($AF1726))/N($L1726)))</f>
        <v/>
      </c>
    </row>
    <row r="1727">
      <c r="A1727" s="39">
        <f>IF($B1727="","",COUNTA($B$4:$B1727))</f>
        <v/>
      </c>
      <c r="B1727" s="45" t="n">
        <v>46204</v>
      </c>
      <c r="C1727" s="46" t="n">
        <v>3423</v>
      </c>
      <c r="D1727" s="46" t="n"/>
      <c r="E1727" s="46" t="inlineStr">
        <is>
          <t>1*20 قرش</t>
        </is>
      </c>
      <c r="F1727" s="46" t="inlineStr">
        <is>
          <t xml:space="preserve">المتحدة للمسابك </t>
        </is>
      </c>
      <c r="G1727" s="46" t="inlineStr">
        <is>
          <t xml:space="preserve">العاشر </t>
        </is>
      </c>
      <c r="H1727" s="46" t="inlineStr">
        <is>
          <t xml:space="preserve">فرش </t>
        </is>
      </c>
      <c r="I1727" s="46" t="inlineStr">
        <is>
          <t>ب س ج 1392</t>
        </is>
      </c>
      <c r="J1727" s="46" t="inlineStr">
        <is>
          <t xml:space="preserve">مصطفى  </t>
        </is>
      </c>
      <c r="K1727" s="46" t="inlineStr">
        <is>
          <t xml:space="preserve">ايوب </t>
        </is>
      </c>
      <c r="L1727" s="47" t="n">
        <v>11000</v>
      </c>
      <c r="M1727" s="47" t="n">
        <v>7100</v>
      </c>
      <c r="N1727" s="47" t="n"/>
      <c r="O1727" s="47" t="n">
        <v>200</v>
      </c>
      <c r="P1727" s="47" t="n"/>
      <c r="Q1727" s="47" t="n"/>
      <c r="R1727" s="43">
        <f>IF($B1727="","",N($S1727)-N($Q1727))</f>
        <v/>
      </c>
      <c r="S1727" s="43">
        <f>IF($B1727="","",N($L1727)+N($N1727)+N($P1727))</f>
        <v/>
      </c>
      <c r="T1727" s="47" t="n"/>
      <c r="U1727" s="47" t="n"/>
      <c r="V1727" s="47" t="n"/>
      <c r="W1727" s="47" t="n"/>
      <c r="X1727" s="47" t="n"/>
      <c r="Y1727" s="47" t="n"/>
      <c r="Z1727" s="47" t="n"/>
      <c r="AA1727" s="47" t="n"/>
      <c r="AB1727" s="47" t="n"/>
      <c r="AC1727" s="47" t="n"/>
      <c r="AD1727" s="47" t="n"/>
      <c r="AE1727" s="47" t="n"/>
      <c r="AF1727" s="43">
        <f>IF($B1727="","",SUM($T1727:$AE1727))</f>
        <v/>
      </c>
      <c r="AG1727" s="43">
        <f>IF($B1727="","",N($M1727)-N($AF1727))</f>
        <v/>
      </c>
      <c r="AH1727" s="43">
        <f>IF($B1727="","",N($L1727)-N($AF1727))</f>
        <v/>
      </c>
      <c r="AI1727" s="149">
        <f>IF($B1727="","",IF(N($L1727)=0,"",(N($L1727)-N($AF1727))/N($L1727)))</f>
        <v/>
      </c>
    </row>
    <row r="1728">
      <c r="A1728" s="39">
        <f>IF($B1728="","",COUNTA($B$4:$B1728))</f>
        <v/>
      </c>
      <c r="B1728" s="40" t="n">
        <v>46204</v>
      </c>
      <c r="C1728" s="41" t="n">
        <v>3421</v>
      </c>
      <c r="D1728" s="41" t="n"/>
      <c r="E1728" s="41" t="inlineStr">
        <is>
          <t xml:space="preserve">دبابة </t>
        </is>
      </c>
      <c r="F1728" s="41" t="inlineStr">
        <is>
          <t xml:space="preserve">محمد هشام </t>
        </is>
      </c>
      <c r="G1728" s="41" t="inlineStr">
        <is>
          <t xml:space="preserve">الغردقة </t>
        </is>
      </c>
      <c r="H1728" s="41" t="inlineStr">
        <is>
          <t xml:space="preserve">بالتة </t>
        </is>
      </c>
      <c r="I1728" s="41" t="inlineStr">
        <is>
          <t>س ص ى 2138</t>
        </is>
      </c>
      <c r="J1728" s="41" t="inlineStr">
        <is>
          <t xml:space="preserve">حمادة البدرى </t>
        </is>
      </c>
      <c r="K1728" s="41" t="inlineStr">
        <is>
          <t xml:space="preserve">عبدة  </t>
        </is>
      </c>
      <c r="L1728" s="42" t="n">
        <v>9000</v>
      </c>
      <c r="M1728" s="42" t="n">
        <v>6000</v>
      </c>
      <c r="N1728" s="42" t="n"/>
      <c r="O1728" s="42" t="n"/>
      <c r="P1728" s="42" t="n"/>
      <c r="Q1728" s="42" t="n">
        <v>3000</v>
      </c>
      <c r="R1728" s="43">
        <f>IF($B1728="","",N($S1728)-N($Q1728))</f>
        <v/>
      </c>
      <c r="S1728" s="43">
        <f>IF($B1728="","",N($L1728)+N($N1728)+N($P1728))</f>
        <v/>
      </c>
      <c r="T1728" s="42" t="n"/>
      <c r="U1728" s="42" t="n"/>
      <c r="V1728" s="42" t="n"/>
      <c r="W1728" s="42" t="n"/>
      <c r="X1728" s="42" t="n"/>
      <c r="Y1728" s="42" t="n"/>
      <c r="Z1728" s="42" t="n"/>
      <c r="AA1728" s="42" t="n"/>
      <c r="AB1728" s="42" t="n"/>
      <c r="AC1728" s="42" t="n"/>
      <c r="AD1728" s="42" t="n"/>
      <c r="AE1728" s="42" t="n"/>
      <c r="AF1728" s="43">
        <f>IF($B1728="","",SUM($T1728:$AE1728))</f>
        <v/>
      </c>
      <c r="AG1728" s="43">
        <f>IF($B1728="","",N($M1728)-N($AF1728))</f>
        <v/>
      </c>
      <c r="AH1728" s="43">
        <f>IF($B1728="","",N($L1728)-N($AF1728))</f>
        <v/>
      </c>
      <c r="AI1728" s="149">
        <f>IF($B1728="","",IF(N($L1728)=0,"",(N($L1728)-N($AF1728))/N($L1728)))</f>
        <v/>
      </c>
    </row>
    <row r="1729">
      <c r="A1729" s="39">
        <f>IF($B1729="","",COUNTA($B$4:$B1729))</f>
        <v/>
      </c>
      <c r="B1729" s="45" t="n">
        <v>46205</v>
      </c>
      <c r="C1729" s="46" t="n">
        <v>3517</v>
      </c>
      <c r="D1729" s="46" t="n"/>
      <c r="E1729" s="46" t="inlineStr">
        <is>
          <t>1*40</t>
        </is>
      </c>
      <c r="F1729" s="46" t="inlineStr">
        <is>
          <t xml:space="preserve">فيلو فارما </t>
        </is>
      </c>
      <c r="G1729" s="46" t="inlineStr">
        <is>
          <t xml:space="preserve">السادات </t>
        </is>
      </c>
      <c r="H1729" s="46" t="inlineStr">
        <is>
          <t>667526/7</t>
        </is>
      </c>
      <c r="I1729" s="46" t="inlineStr">
        <is>
          <t>س ر ا 6671</t>
        </is>
      </c>
      <c r="J1729" s="46" t="inlineStr">
        <is>
          <t xml:space="preserve">احمد صديق </t>
        </is>
      </c>
      <c r="K1729" s="46" t="inlineStr">
        <is>
          <t xml:space="preserve">حمو مرزوق </t>
        </is>
      </c>
      <c r="L1729" s="47" t="n">
        <v>12500</v>
      </c>
      <c r="M1729" s="47" t="n">
        <v>7100</v>
      </c>
      <c r="N1729" s="47" t="n"/>
      <c r="O1729" s="47" t="n">
        <v>200</v>
      </c>
      <c r="P1729" s="47" t="n"/>
      <c r="Q1729" s="47" t="n"/>
      <c r="R1729" s="43">
        <f>IF($B1729="","",N($S1729)-N($Q1729))</f>
        <v/>
      </c>
      <c r="S1729" s="43">
        <f>IF($B1729="","",N($L1729)+N($N1729)+N($P1729))</f>
        <v/>
      </c>
      <c r="T1729" s="47" t="n"/>
      <c r="U1729" s="47" t="n"/>
      <c r="V1729" s="47" t="n"/>
      <c r="W1729" s="47" t="n"/>
      <c r="X1729" s="47" t="n"/>
      <c r="Y1729" s="47" t="n"/>
      <c r="Z1729" s="47" t="n"/>
      <c r="AA1729" s="47" t="n"/>
      <c r="AB1729" s="47" t="n"/>
      <c r="AC1729" s="47" t="n"/>
      <c r="AD1729" s="47" t="n"/>
      <c r="AE1729" s="47" t="n"/>
      <c r="AF1729" s="43">
        <f>IF($B1729="","",SUM($T1729:$AE1729))</f>
        <v/>
      </c>
      <c r="AG1729" s="43">
        <f>IF($B1729="","",N($M1729)-N($AF1729))</f>
        <v/>
      </c>
      <c r="AH1729" s="43">
        <f>IF($B1729="","",N($L1729)-N($AF1729))</f>
        <v/>
      </c>
      <c r="AI1729" s="149">
        <f>IF($B1729="","",IF(N($L1729)=0,"",(N($L1729)-N($AF1729))/N($L1729)))</f>
        <v/>
      </c>
    </row>
    <row r="1730">
      <c r="A1730" s="39">
        <f>IF($B1730="","",COUNTA($B$4:$B1730))</f>
        <v/>
      </c>
      <c r="B1730" s="40" t="n">
        <v>46204</v>
      </c>
      <c r="C1730" s="41" t="n">
        <v>3422</v>
      </c>
      <c r="D1730" s="41" t="n"/>
      <c r="E1730" s="41" t="inlineStr">
        <is>
          <t>1*40</t>
        </is>
      </c>
      <c r="F1730" s="41" t="inlineStr">
        <is>
          <t xml:space="preserve">اون اوتو </t>
        </is>
      </c>
      <c r="G1730" s="41" t="inlineStr">
        <is>
          <t xml:space="preserve">العامرية </t>
        </is>
      </c>
      <c r="H1730" s="41" t="inlineStr">
        <is>
          <t>814855/0</t>
        </is>
      </c>
      <c r="I1730" s="41" t="inlineStr">
        <is>
          <t>س ع ا 8737</t>
        </is>
      </c>
      <c r="J1730" s="41" t="inlineStr">
        <is>
          <t xml:space="preserve">جلال حسنى </t>
        </is>
      </c>
      <c r="K1730" s="41" t="inlineStr">
        <is>
          <t xml:space="preserve">المكتب </t>
        </is>
      </c>
      <c r="L1730" s="42" t="n">
        <v>5000</v>
      </c>
      <c r="M1730" s="42" t="n">
        <v>2000</v>
      </c>
      <c r="N1730" s="42" t="n"/>
      <c r="O1730" s="42" t="n"/>
      <c r="P1730" s="42" t="n"/>
      <c r="Q1730" s="42" t="n"/>
      <c r="R1730" s="43">
        <f>IF($B1730="","",N($S1730)-N($Q1730))</f>
        <v/>
      </c>
      <c r="S1730" s="43">
        <f>IF($B1730="","",N($L1730)+N($N1730)+N($P1730))</f>
        <v/>
      </c>
      <c r="T1730" s="42" t="n"/>
      <c r="U1730" s="42" t="n"/>
      <c r="V1730" s="42" t="n"/>
      <c r="W1730" s="42" t="n"/>
      <c r="X1730" s="42" t="n"/>
      <c r="Y1730" s="42" t="n"/>
      <c r="Z1730" s="42" t="n"/>
      <c r="AA1730" s="42" t="n"/>
      <c r="AB1730" s="42" t="n"/>
      <c r="AC1730" s="42" t="n"/>
      <c r="AD1730" s="42" t="n"/>
      <c r="AE1730" s="42" t="n"/>
      <c r="AF1730" s="43">
        <f>IF($B1730="","",SUM($T1730:$AE1730))</f>
        <v/>
      </c>
      <c r="AG1730" s="43">
        <f>IF($B1730="","",N($M1730)-N($AF1730))</f>
        <v/>
      </c>
      <c r="AH1730" s="43">
        <f>IF($B1730="","",N($L1730)-N($AF1730))</f>
        <v/>
      </c>
      <c r="AI1730" s="149">
        <f>IF($B1730="","",IF(N($L1730)=0,"",(N($L1730)-N($AF1730))/N($L1730)))</f>
        <v/>
      </c>
    </row>
    <row r="1731">
      <c r="A1731" s="39">
        <f>IF($B1731="","",COUNTA($B$4:$B1731))</f>
        <v/>
      </c>
      <c r="B1731" s="45" t="n">
        <v>46204</v>
      </c>
      <c r="C1731" s="46" t="n">
        <v>3424</v>
      </c>
      <c r="D1731" s="46" t="n"/>
      <c r="E1731" s="46" t="inlineStr">
        <is>
          <t xml:space="preserve">1*20 تنك </t>
        </is>
      </c>
      <c r="F1731" s="46" t="inlineStr">
        <is>
          <t xml:space="preserve">سيلوباك </t>
        </is>
      </c>
      <c r="G1731" s="46" t="inlineStr">
        <is>
          <t xml:space="preserve">اكتوبر </t>
        </is>
      </c>
      <c r="H1731" s="46" t="inlineStr">
        <is>
          <t>810448/0</t>
        </is>
      </c>
      <c r="I1731" s="46" t="inlineStr">
        <is>
          <t>ب ص ا 2574</t>
        </is>
      </c>
      <c r="J1731" s="46" t="inlineStr">
        <is>
          <t xml:space="preserve">محمد البحيرى </t>
        </is>
      </c>
      <c r="K1731" s="46" t="inlineStr">
        <is>
          <t xml:space="preserve">احمد خليف </t>
        </is>
      </c>
      <c r="L1731" s="47" t="n">
        <v>13800</v>
      </c>
      <c r="M1731" s="47" t="n">
        <v>8100</v>
      </c>
      <c r="N1731" s="47" t="n"/>
      <c r="O1731" s="47" t="n">
        <v>200</v>
      </c>
      <c r="P1731" s="47" t="n"/>
      <c r="Q1731" s="47" t="n"/>
      <c r="R1731" s="43">
        <f>IF($B1731="","",N($S1731)-N($Q1731))</f>
        <v/>
      </c>
      <c r="S1731" s="43">
        <f>IF($B1731="","",N($L1731)+N($N1731)+N($P1731))</f>
        <v/>
      </c>
      <c r="T1731" s="47" t="n"/>
      <c r="U1731" s="47" t="n"/>
      <c r="V1731" s="47" t="n"/>
      <c r="W1731" s="47" t="n"/>
      <c r="X1731" s="47" t="n"/>
      <c r="Y1731" s="47" t="n"/>
      <c r="Z1731" s="47" t="n"/>
      <c r="AA1731" s="47" t="n"/>
      <c r="AB1731" s="47" t="n"/>
      <c r="AC1731" s="47" t="n"/>
      <c r="AD1731" s="47" t="n"/>
      <c r="AE1731" s="47" t="n"/>
      <c r="AF1731" s="43">
        <f>IF($B1731="","",SUM($T1731:$AE1731))</f>
        <v/>
      </c>
      <c r="AG1731" s="43">
        <f>IF($B1731="","",N($M1731)-N($AF1731))</f>
        <v/>
      </c>
      <c r="AH1731" s="43">
        <f>IF($B1731="","",N($L1731)-N($AF1731))</f>
        <v/>
      </c>
      <c r="AI1731" s="149">
        <f>IF($B1731="","",IF(N($L1731)=0,"",(N($L1731)-N($AF1731))/N($L1731)))</f>
        <v/>
      </c>
    </row>
    <row r="1732">
      <c r="A1732" s="39">
        <f>IF($B1732="","",COUNTA($B$4:$B1732))</f>
        <v/>
      </c>
      <c r="B1732" s="40" t="n"/>
      <c r="C1732" s="41" t="n"/>
      <c r="D1732" s="41" t="n"/>
      <c r="E1732" s="41" t="n"/>
      <c r="F1732" s="41" t="n"/>
      <c r="G1732" s="41" t="n"/>
      <c r="H1732" s="41" t="n"/>
      <c r="I1732" s="41" t="n"/>
      <c r="J1732" s="41" t="n"/>
      <c r="K1732" s="41" t="n"/>
      <c r="L1732" s="42" t="n"/>
      <c r="M1732" s="42" t="n"/>
      <c r="N1732" s="42" t="n"/>
      <c r="O1732" s="42" t="n"/>
      <c r="P1732" s="42" t="n"/>
      <c r="Q1732" s="42" t="n"/>
      <c r="R1732" s="43">
        <f>IF($B1732="","",N($S1732)-N($Q1732))</f>
        <v/>
      </c>
      <c r="S1732" s="43">
        <f>IF($B1732="","",N($L1732)+N($N1732)+N($P1732))</f>
        <v/>
      </c>
      <c r="T1732" s="42" t="n"/>
      <c r="U1732" s="42" t="n"/>
      <c r="V1732" s="42" t="n"/>
      <c r="W1732" s="42" t="n"/>
      <c r="X1732" s="42" t="n"/>
      <c r="Y1732" s="42" t="n"/>
      <c r="Z1732" s="42" t="n"/>
      <c r="AA1732" s="42" t="n"/>
      <c r="AB1732" s="42" t="n"/>
      <c r="AC1732" s="42" t="n"/>
      <c r="AD1732" s="42" t="n"/>
      <c r="AE1732" s="42" t="n"/>
      <c r="AF1732" s="43">
        <f>IF($B1732="","",SUM($T1732:$AE1732))</f>
        <v/>
      </c>
      <c r="AG1732" s="43">
        <f>IF($B1732="","",N($M1732)-N($AF1732))</f>
        <v/>
      </c>
      <c r="AH1732" s="43">
        <f>IF($B1732="","",N($L1732)-N($AF1732))</f>
        <v/>
      </c>
      <c r="AI1732" s="149">
        <f>IF($B1732="","",IF(N($L1732)=0,"",(N($L1732)-N($AF1732))/N($L1732)))</f>
        <v/>
      </c>
    </row>
    <row r="1733">
      <c r="A1733" s="39">
        <f>IF($B1733="","",COUNTA($B$4:$B1733))</f>
        <v/>
      </c>
      <c r="B1733" s="45" t="n"/>
      <c r="C1733" s="46" t="n"/>
      <c r="D1733" s="46" t="n"/>
      <c r="E1733" s="46" t="n"/>
      <c r="F1733" s="46" t="n"/>
      <c r="G1733" s="46" t="n"/>
      <c r="H1733" s="46" t="n"/>
      <c r="I1733" s="46" t="n"/>
      <c r="J1733" s="46" t="n"/>
      <c r="K1733" s="46" t="n"/>
      <c r="L1733" s="47" t="n"/>
      <c r="M1733" s="47" t="n"/>
      <c r="N1733" s="47" t="n"/>
      <c r="O1733" s="47" t="n"/>
      <c r="P1733" s="47" t="n"/>
      <c r="Q1733" s="47" t="n"/>
      <c r="R1733" s="43">
        <f>IF($B1733="","",N($S1733)-N($Q1733))</f>
        <v/>
      </c>
      <c r="S1733" s="43">
        <f>IF($B1733="","",N($L1733)+N($N1733)+N($P1733))</f>
        <v/>
      </c>
      <c r="T1733" s="47" t="n"/>
      <c r="U1733" s="47" t="n"/>
      <c r="V1733" s="47" t="n"/>
      <c r="W1733" s="47" t="n"/>
      <c r="X1733" s="47" t="n"/>
      <c r="Y1733" s="47" t="n"/>
      <c r="Z1733" s="47" t="n"/>
      <c r="AA1733" s="47" t="n"/>
      <c r="AB1733" s="47" t="n"/>
      <c r="AC1733" s="47" t="n"/>
      <c r="AD1733" s="47" t="n"/>
      <c r="AE1733" s="47" t="n"/>
      <c r="AF1733" s="43">
        <f>IF($B1733="","",SUM($T1733:$AE1733))</f>
        <v/>
      </c>
      <c r="AG1733" s="43">
        <f>IF($B1733="","",N($M1733)-N($AF1733))</f>
        <v/>
      </c>
      <c r="AH1733" s="43">
        <f>IF($B1733="","",N($L1733)-N($AF1733))</f>
        <v/>
      </c>
      <c r="AI1733" s="149">
        <f>IF($B1733="","",IF(N($L1733)=0,"",(N($L1733)-N($AF1733))/N($L1733)))</f>
        <v/>
      </c>
    </row>
    <row r="1734">
      <c r="A1734" s="39">
        <f>IF($B1734="","",COUNTA($B$4:$B1734))</f>
        <v/>
      </c>
      <c r="B1734" s="40" t="n"/>
      <c r="C1734" s="41" t="n"/>
      <c r="D1734" s="41" t="n"/>
      <c r="E1734" s="41" t="n"/>
      <c r="F1734" s="41" t="n"/>
      <c r="G1734" s="41" t="n"/>
      <c r="H1734" s="41" t="n"/>
      <c r="I1734" s="41" t="n"/>
      <c r="J1734" s="41" t="n"/>
      <c r="K1734" s="41" t="n"/>
      <c r="L1734" s="42" t="n"/>
      <c r="M1734" s="42" t="n"/>
      <c r="N1734" s="42" t="n"/>
      <c r="O1734" s="42" t="n"/>
      <c r="P1734" s="42" t="n"/>
      <c r="Q1734" s="42" t="n"/>
      <c r="R1734" s="43">
        <f>IF($B1734="","",N($S1734)-N($Q1734))</f>
        <v/>
      </c>
      <c r="S1734" s="43">
        <f>IF($B1734="","",N($L1734)+N($N1734)+N($P1734))</f>
        <v/>
      </c>
      <c r="T1734" s="42" t="n"/>
      <c r="U1734" s="42" t="n"/>
      <c r="V1734" s="42" t="n"/>
      <c r="W1734" s="42" t="n"/>
      <c r="X1734" s="42" t="n"/>
      <c r="Y1734" s="42" t="n"/>
      <c r="Z1734" s="42" t="n"/>
      <c r="AA1734" s="42" t="n"/>
      <c r="AB1734" s="42" t="n"/>
      <c r="AC1734" s="42" t="n"/>
      <c r="AD1734" s="42" t="n"/>
      <c r="AE1734" s="42" t="n"/>
      <c r="AF1734" s="43">
        <f>IF($B1734="","",SUM($T1734:$AE1734))</f>
        <v/>
      </c>
      <c r="AG1734" s="43">
        <f>IF($B1734="","",N($M1734)-N($AF1734))</f>
        <v/>
      </c>
      <c r="AH1734" s="43">
        <f>IF($B1734="","",N($L1734)-N($AF1734))</f>
        <v/>
      </c>
      <c r="AI1734" s="149">
        <f>IF($B1734="","",IF(N($L1734)=0,"",(N($L1734)-N($AF1734))/N($L1734)))</f>
        <v/>
      </c>
    </row>
    <row r="1735">
      <c r="A1735" s="39">
        <f>IF($B1735="","",COUNTA($B$4:$B1735))</f>
        <v/>
      </c>
      <c r="B1735" s="45" t="n"/>
      <c r="C1735" s="46" t="n"/>
      <c r="D1735" s="46" t="n"/>
      <c r="E1735" s="46" t="n"/>
      <c r="F1735" s="46" t="n"/>
      <c r="G1735" s="46" t="n"/>
      <c r="H1735" s="46" t="n"/>
      <c r="I1735" s="46" t="n"/>
      <c r="J1735" s="46" t="n"/>
      <c r="K1735" s="46" t="n"/>
      <c r="L1735" s="47" t="n"/>
      <c r="M1735" s="47" t="n"/>
      <c r="N1735" s="47" t="n"/>
      <c r="O1735" s="47" t="n"/>
      <c r="P1735" s="47" t="n"/>
      <c r="Q1735" s="47" t="n"/>
      <c r="R1735" s="43">
        <f>IF($B1735="","",N($S1735)-N($Q1735))</f>
        <v/>
      </c>
      <c r="S1735" s="43">
        <f>IF($B1735="","",N($L1735)+N($N1735)+N($P1735))</f>
        <v/>
      </c>
      <c r="T1735" s="47" t="n"/>
      <c r="U1735" s="47" t="n"/>
      <c r="V1735" s="47" t="n"/>
      <c r="W1735" s="47" t="n"/>
      <c r="X1735" s="47" t="n"/>
      <c r="Y1735" s="47" t="n"/>
      <c r="Z1735" s="47" t="n"/>
      <c r="AA1735" s="47" t="n"/>
      <c r="AB1735" s="47" t="n"/>
      <c r="AC1735" s="47" t="n"/>
      <c r="AD1735" s="47" t="n"/>
      <c r="AE1735" s="47" t="n"/>
      <c r="AF1735" s="43">
        <f>IF($B1735="","",SUM($T1735:$AE1735))</f>
        <v/>
      </c>
      <c r="AG1735" s="43">
        <f>IF($B1735="","",N($M1735)-N($AF1735))</f>
        <v/>
      </c>
      <c r="AH1735" s="43">
        <f>IF($B1735="","",N($L1735)-N($AF1735))</f>
        <v/>
      </c>
      <c r="AI1735" s="149">
        <f>IF($B1735="","",IF(N($L1735)=0,"",(N($L1735)-N($AF1735))/N($L1735)))</f>
        <v/>
      </c>
    </row>
    <row r="1736">
      <c r="A1736" s="39">
        <f>IF($B1736="","",COUNTA($B$4:$B1736))</f>
        <v/>
      </c>
      <c r="B1736" s="40" t="n"/>
      <c r="C1736" s="41" t="n"/>
      <c r="D1736" s="41" t="n"/>
      <c r="E1736" s="41" t="n"/>
      <c r="F1736" s="41" t="n"/>
      <c r="G1736" s="41" t="n"/>
      <c r="H1736" s="41" t="n"/>
      <c r="I1736" s="41" t="n"/>
      <c r="J1736" s="41" t="n"/>
      <c r="K1736" s="41" t="n"/>
      <c r="L1736" s="42" t="n"/>
      <c r="M1736" s="42" t="n"/>
      <c r="N1736" s="42" t="n"/>
      <c r="O1736" s="42" t="n"/>
      <c r="P1736" s="42" t="n"/>
      <c r="Q1736" s="42" t="n"/>
      <c r="R1736" s="43">
        <f>IF($B1736="","",N($S1736)-N($Q1736))</f>
        <v/>
      </c>
      <c r="S1736" s="43">
        <f>IF($B1736="","",N($L1736)+N($N1736)+N($P1736))</f>
        <v/>
      </c>
      <c r="T1736" s="42" t="n"/>
      <c r="U1736" s="42" t="n"/>
      <c r="V1736" s="42" t="n"/>
      <c r="W1736" s="42" t="n"/>
      <c r="X1736" s="42" t="n"/>
      <c r="Y1736" s="42" t="n"/>
      <c r="Z1736" s="42" t="n"/>
      <c r="AA1736" s="42" t="n"/>
      <c r="AB1736" s="42" t="n"/>
      <c r="AC1736" s="42" t="n"/>
      <c r="AD1736" s="42" t="n"/>
      <c r="AE1736" s="42" t="n"/>
      <c r="AF1736" s="43">
        <f>IF($B1736="","",SUM($T1736:$AE1736))</f>
        <v/>
      </c>
      <c r="AG1736" s="43">
        <f>IF($B1736="","",N($M1736)-N($AF1736))</f>
        <v/>
      </c>
      <c r="AH1736" s="43">
        <f>IF($B1736="","",N($L1736)-N($AF1736))</f>
        <v/>
      </c>
      <c r="AI1736" s="149">
        <f>IF($B1736="","",IF(N($L1736)=0,"",(N($L1736)-N($AF1736))/N($L1736)))</f>
        <v/>
      </c>
    </row>
    <row r="1737">
      <c r="A1737" s="39">
        <f>IF($B1737="","",COUNTA($B$4:$B1737))</f>
        <v/>
      </c>
      <c r="B1737" s="45" t="n"/>
      <c r="C1737" s="46" t="n"/>
      <c r="D1737" s="46" t="n"/>
      <c r="E1737" s="46" t="n"/>
      <c r="F1737" s="46" t="n"/>
      <c r="G1737" s="46" t="n"/>
      <c r="H1737" s="46" t="n"/>
      <c r="I1737" s="46" t="n"/>
      <c r="J1737" s="46" t="n"/>
      <c r="K1737" s="46" t="n"/>
      <c r="L1737" s="47" t="n"/>
      <c r="M1737" s="47" t="n"/>
      <c r="N1737" s="47" t="n"/>
      <c r="O1737" s="47" t="n"/>
      <c r="P1737" s="47" t="n"/>
      <c r="Q1737" s="47" t="n"/>
      <c r="R1737" s="43">
        <f>IF($B1737="","",N($S1737)-N($Q1737))</f>
        <v/>
      </c>
      <c r="S1737" s="43">
        <f>IF($B1737="","",N($L1737)+N($N1737)+N($P1737))</f>
        <v/>
      </c>
      <c r="T1737" s="47" t="n"/>
      <c r="U1737" s="47" t="n"/>
      <c r="V1737" s="47" t="n"/>
      <c r="W1737" s="47" t="n"/>
      <c r="X1737" s="47" t="n"/>
      <c r="Y1737" s="47" t="n"/>
      <c r="Z1737" s="47" t="n"/>
      <c r="AA1737" s="47" t="n"/>
      <c r="AB1737" s="47" t="n"/>
      <c r="AC1737" s="47" t="n"/>
      <c r="AD1737" s="47" t="n"/>
      <c r="AE1737" s="47" t="n"/>
      <c r="AF1737" s="43">
        <f>IF($B1737="","",SUM($T1737:$AE1737))</f>
        <v/>
      </c>
      <c r="AG1737" s="43">
        <f>IF($B1737="","",N($M1737)-N($AF1737))</f>
        <v/>
      </c>
      <c r="AH1737" s="43">
        <f>IF($B1737="","",N($L1737)-N($AF1737))</f>
        <v/>
      </c>
      <c r="AI1737" s="149">
        <f>IF($B1737="","",IF(N($L1737)=0,"",(N($L1737)-N($AF1737))/N($L1737)))</f>
        <v/>
      </c>
    </row>
    <row r="1738">
      <c r="A1738" s="39">
        <f>IF($B1738="","",COUNTA($B$4:$B1738))</f>
        <v/>
      </c>
      <c r="B1738" s="40" t="n"/>
      <c r="C1738" s="41" t="n"/>
      <c r="D1738" s="41" t="n"/>
      <c r="E1738" s="41" t="n"/>
      <c r="F1738" s="41" t="n"/>
      <c r="G1738" s="41" t="n"/>
      <c r="H1738" s="41" t="n"/>
      <c r="I1738" s="41" t="n"/>
      <c r="J1738" s="41" t="n"/>
      <c r="K1738" s="41" t="n"/>
      <c r="L1738" s="42" t="n"/>
      <c r="M1738" s="42" t="n"/>
      <c r="N1738" s="42" t="n"/>
      <c r="O1738" s="42" t="n"/>
      <c r="P1738" s="42" t="n"/>
      <c r="Q1738" s="42" t="n"/>
      <c r="R1738" s="43">
        <f>IF($B1738="","",N($S1738)-N($Q1738))</f>
        <v/>
      </c>
      <c r="S1738" s="43">
        <f>IF($B1738="","",N($L1738)+N($N1738)+N($P1738))</f>
        <v/>
      </c>
      <c r="T1738" s="42" t="n"/>
      <c r="U1738" s="42" t="n"/>
      <c r="V1738" s="42" t="n"/>
      <c r="W1738" s="42" t="n"/>
      <c r="X1738" s="42" t="n"/>
      <c r="Y1738" s="42" t="n"/>
      <c r="Z1738" s="42" t="n"/>
      <c r="AA1738" s="42" t="n"/>
      <c r="AB1738" s="42" t="n"/>
      <c r="AC1738" s="42" t="n"/>
      <c r="AD1738" s="42" t="n"/>
      <c r="AE1738" s="42" t="n"/>
      <c r="AF1738" s="43">
        <f>IF($B1738="","",SUM($T1738:$AE1738))</f>
        <v/>
      </c>
      <c r="AG1738" s="43">
        <f>IF($B1738="","",N($M1738)-N($AF1738))</f>
        <v/>
      </c>
      <c r="AH1738" s="43">
        <f>IF($B1738="","",N($L1738)-N($AF1738))</f>
        <v/>
      </c>
      <c r="AI1738" s="149">
        <f>IF($B1738="","",IF(N($L1738)=0,"",(N($L1738)-N($AF1738))/N($L1738)))</f>
        <v/>
      </c>
    </row>
    <row r="1739">
      <c r="A1739" s="39">
        <f>IF($B1739="","",COUNTA($B$4:$B1739))</f>
        <v/>
      </c>
      <c r="B1739" s="45" t="n"/>
      <c r="C1739" s="46" t="n"/>
      <c r="D1739" s="46" t="n"/>
      <c r="E1739" s="46" t="n"/>
      <c r="F1739" s="46" t="n"/>
      <c r="G1739" s="46" t="n"/>
      <c r="H1739" s="46" t="n"/>
      <c r="I1739" s="46" t="n"/>
      <c r="J1739" s="46" t="n"/>
      <c r="K1739" s="46" t="n"/>
      <c r="L1739" s="47" t="n"/>
      <c r="M1739" s="47" t="n"/>
      <c r="N1739" s="47" t="n"/>
      <c r="O1739" s="47" t="n"/>
      <c r="P1739" s="47" t="n"/>
      <c r="Q1739" s="47" t="n"/>
      <c r="R1739" s="43">
        <f>IF($B1739="","",N($S1739)-N($Q1739))</f>
        <v/>
      </c>
      <c r="S1739" s="43">
        <f>IF($B1739="","",N($L1739)+N($N1739)+N($P1739))</f>
        <v/>
      </c>
      <c r="T1739" s="47" t="n"/>
      <c r="U1739" s="47" t="n"/>
      <c r="V1739" s="47" t="n"/>
      <c r="W1739" s="47" t="n"/>
      <c r="X1739" s="47" t="n"/>
      <c r="Y1739" s="47" t="n"/>
      <c r="Z1739" s="47" t="n"/>
      <c r="AA1739" s="47" t="n"/>
      <c r="AB1739" s="47" t="n"/>
      <c r="AC1739" s="47" t="n"/>
      <c r="AD1739" s="47" t="n"/>
      <c r="AE1739" s="47" t="n"/>
      <c r="AF1739" s="43">
        <f>IF($B1739="","",SUM($T1739:$AE1739))</f>
        <v/>
      </c>
      <c r="AG1739" s="43">
        <f>IF($B1739="","",N($M1739)-N($AF1739))</f>
        <v/>
      </c>
      <c r="AH1739" s="43">
        <f>IF($B1739="","",N($L1739)-N($AF1739))</f>
        <v/>
      </c>
      <c r="AI1739" s="149">
        <f>IF($B1739="","",IF(N($L1739)=0,"",(N($L1739)-N($AF1739))/N($L1739)))</f>
        <v/>
      </c>
    </row>
    <row r="1740">
      <c r="A1740" s="39">
        <f>IF($B1740="","",COUNTA($B$4:$B1740))</f>
        <v/>
      </c>
      <c r="B1740" s="40" t="n"/>
      <c r="C1740" s="41" t="n"/>
      <c r="D1740" s="41" t="n"/>
      <c r="E1740" s="41" t="n"/>
      <c r="F1740" s="41" t="n"/>
      <c r="G1740" s="41" t="n"/>
      <c r="H1740" s="41" t="n"/>
      <c r="I1740" s="41" t="n"/>
      <c r="J1740" s="41" t="n"/>
      <c r="K1740" s="41" t="n"/>
      <c r="L1740" s="42" t="n"/>
      <c r="M1740" s="42" t="n"/>
      <c r="N1740" s="42" t="n"/>
      <c r="O1740" s="42" t="n"/>
      <c r="P1740" s="42" t="n"/>
      <c r="Q1740" s="42" t="n"/>
      <c r="R1740" s="43">
        <f>IF($B1740="","",N($S1740)-N($Q1740))</f>
        <v/>
      </c>
      <c r="S1740" s="43">
        <f>IF($B1740="","",N($L1740)+N($N1740)+N($P1740))</f>
        <v/>
      </c>
      <c r="T1740" s="42" t="n"/>
      <c r="U1740" s="42" t="n"/>
      <c r="V1740" s="42" t="n"/>
      <c r="W1740" s="42" t="n"/>
      <c r="X1740" s="42" t="n"/>
      <c r="Y1740" s="42" t="n"/>
      <c r="Z1740" s="42" t="n"/>
      <c r="AA1740" s="42" t="n"/>
      <c r="AB1740" s="42" t="n"/>
      <c r="AC1740" s="42" t="n"/>
      <c r="AD1740" s="42" t="n"/>
      <c r="AE1740" s="42" t="n"/>
      <c r="AF1740" s="43">
        <f>IF($B1740="","",SUM($T1740:$AE1740))</f>
        <v/>
      </c>
      <c r="AG1740" s="43">
        <f>IF($B1740="","",N($M1740)-N($AF1740))</f>
        <v/>
      </c>
      <c r="AH1740" s="43">
        <f>IF($B1740="","",N($L1740)-N($AF1740))</f>
        <v/>
      </c>
      <c r="AI1740" s="149">
        <f>IF($B1740="","",IF(N($L1740)=0,"",(N($L1740)-N($AF1740))/N($L1740)))</f>
        <v/>
      </c>
    </row>
    <row r="1741">
      <c r="A1741" s="39">
        <f>IF($B1741="","",COUNTA($B$4:$B1741))</f>
        <v/>
      </c>
      <c r="B1741" s="45" t="n"/>
      <c r="C1741" s="46" t="n"/>
      <c r="D1741" s="46" t="n"/>
      <c r="E1741" s="46" t="n"/>
      <c r="F1741" s="46" t="n"/>
      <c r="G1741" s="46" t="n"/>
      <c r="H1741" s="46" t="n"/>
      <c r="I1741" s="46" t="n"/>
      <c r="J1741" s="46" t="n"/>
      <c r="K1741" s="46" t="n"/>
      <c r="L1741" s="47" t="n"/>
      <c r="M1741" s="47" t="n"/>
      <c r="N1741" s="47" t="n"/>
      <c r="O1741" s="47" t="n"/>
      <c r="P1741" s="47" t="n"/>
      <c r="Q1741" s="47" t="n"/>
      <c r="R1741" s="43">
        <f>IF($B1741="","",N($S1741)-N($Q1741))</f>
        <v/>
      </c>
      <c r="S1741" s="43">
        <f>IF($B1741="","",N($L1741)+N($N1741)+N($P1741))</f>
        <v/>
      </c>
      <c r="T1741" s="47" t="n"/>
      <c r="U1741" s="47" t="n"/>
      <c r="V1741" s="47" t="n"/>
      <c r="W1741" s="47" t="n"/>
      <c r="X1741" s="47" t="n"/>
      <c r="Y1741" s="47" t="n"/>
      <c r="Z1741" s="47" t="n"/>
      <c r="AA1741" s="47" t="n"/>
      <c r="AB1741" s="47" t="n"/>
      <c r="AC1741" s="47" t="n"/>
      <c r="AD1741" s="47" t="n"/>
      <c r="AE1741" s="47" t="n"/>
      <c r="AF1741" s="43">
        <f>IF($B1741="","",SUM($T1741:$AE1741))</f>
        <v/>
      </c>
      <c r="AG1741" s="43">
        <f>IF($B1741="","",N($M1741)-N($AF1741))</f>
        <v/>
      </c>
      <c r="AH1741" s="43">
        <f>IF($B1741="","",N($L1741)-N($AF1741))</f>
        <v/>
      </c>
      <c r="AI1741" s="149">
        <f>IF($B1741="","",IF(N($L1741)=0,"",(N($L1741)-N($AF1741))/N($L1741)))</f>
        <v/>
      </c>
    </row>
    <row r="1742">
      <c r="A1742" s="39">
        <f>IF($B1742="","",COUNTA($B$4:$B1742))</f>
        <v/>
      </c>
      <c r="B1742" s="40" t="n"/>
      <c r="C1742" s="41" t="n"/>
      <c r="D1742" s="41" t="n"/>
      <c r="E1742" s="41" t="n"/>
      <c r="F1742" s="41" t="n"/>
      <c r="G1742" s="41" t="n"/>
      <c r="H1742" s="41" t="n"/>
      <c r="I1742" s="41" t="n"/>
      <c r="J1742" s="41" t="n"/>
      <c r="K1742" s="41" t="n"/>
      <c r="L1742" s="42" t="n"/>
      <c r="M1742" s="42" t="n"/>
      <c r="N1742" s="42" t="n"/>
      <c r="O1742" s="42" t="n"/>
      <c r="P1742" s="42" t="n"/>
      <c r="Q1742" s="42" t="n"/>
      <c r="R1742" s="43">
        <f>IF($B1742="","",N($S1742)-N($Q1742))</f>
        <v/>
      </c>
      <c r="S1742" s="43">
        <f>IF($B1742="","",N($L1742)+N($N1742)+N($P1742))</f>
        <v/>
      </c>
      <c r="T1742" s="42" t="n"/>
      <c r="U1742" s="42" t="n"/>
      <c r="V1742" s="42" t="n"/>
      <c r="W1742" s="42" t="n"/>
      <c r="X1742" s="42" t="n"/>
      <c r="Y1742" s="42" t="n"/>
      <c r="Z1742" s="42" t="n"/>
      <c r="AA1742" s="42" t="n"/>
      <c r="AB1742" s="42" t="n"/>
      <c r="AC1742" s="42" t="n"/>
      <c r="AD1742" s="42" t="n"/>
      <c r="AE1742" s="42" t="n"/>
      <c r="AF1742" s="43">
        <f>IF($B1742="","",SUM($T1742:$AE1742))</f>
        <v/>
      </c>
      <c r="AG1742" s="43">
        <f>IF($B1742="","",N($M1742)-N($AF1742))</f>
        <v/>
      </c>
      <c r="AH1742" s="43">
        <f>IF($B1742="","",N($L1742)-N($AF1742))</f>
        <v/>
      </c>
      <c r="AI1742" s="149">
        <f>IF($B1742="","",IF(N($L1742)=0,"",(N($L1742)-N($AF1742))/N($L1742)))</f>
        <v/>
      </c>
    </row>
    <row r="1743">
      <c r="A1743" s="39">
        <f>IF($B1743="","",COUNTA($B$4:$B1743))</f>
        <v/>
      </c>
      <c r="B1743" s="45" t="n"/>
      <c r="C1743" s="46" t="n"/>
      <c r="D1743" s="46" t="n"/>
      <c r="E1743" s="46" t="n"/>
      <c r="F1743" s="46" t="n"/>
      <c r="G1743" s="46" t="n"/>
      <c r="H1743" s="46" t="n"/>
      <c r="I1743" s="46" t="n"/>
      <c r="J1743" s="46" t="n"/>
      <c r="K1743" s="46" t="n"/>
      <c r="L1743" s="47" t="n"/>
      <c r="M1743" s="47" t="n"/>
      <c r="N1743" s="47" t="n"/>
      <c r="O1743" s="47" t="n"/>
      <c r="P1743" s="47" t="n"/>
      <c r="Q1743" s="47" t="n"/>
      <c r="R1743" s="43">
        <f>IF($B1743="","",N($S1743)-N($Q1743))</f>
        <v/>
      </c>
      <c r="S1743" s="43">
        <f>IF($B1743="","",N($L1743)+N($N1743)+N($P1743))</f>
        <v/>
      </c>
      <c r="T1743" s="47" t="n"/>
      <c r="U1743" s="47" t="n"/>
      <c r="V1743" s="47" t="n"/>
      <c r="W1743" s="47" t="n"/>
      <c r="X1743" s="47" t="n"/>
      <c r="Y1743" s="47" t="n"/>
      <c r="Z1743" s="47" t="n"/>
      <c r="AA1743" s="47" t="n"/>
      <c r="AB1743" s="47" t="n"/>
      <c r="AC1743" s="47" t="n"/>
      <c r="AD1743" s="47" t="n"/>
      <c r="AE1743" s="47" t="n"/>
      <c r="AF1743" s="43">
        <f>IF($B1743="","",SUM($T1743:$AE1743))</f>
        <v/>
      </c>
      <c r="AG1743" s="43">
        <f>IF($B1743="","",N($M1743)-N($AF1743))</f>
        <v/>
      </c>
      <c r="AH1743" s="43">
        <f>IF($B1743="","",N($L1743)-N($AF1743))</f>
        <v/>
      </c>
      <c r="AI1743" s="149">
        <f>IF($B1743="","",IF(N($L1743)=0,"",(N($L1743)-N($AF1743))/N($L1743)))</f>
        <v/>
      </c>
    </row>
    <row r="1744">
      <c r="A1744" s="39">
        <f>IF($B1744="","",COUNTA($B$4:$B1744))</f>
        <v/>
      </c>
      <c r="B1744" s="40" t="n"/>
      <c r="C1744" s="41" t="n"/>
      <c r="D1744" s="41" t="n"/>
      <c r="E1744" s="41" t="n"/>
      <c r="F1744" s="41" t="n"/>
      <c r="G1744" s="41" t="n"/>
      <c r="H1744" s="41" t="n"/>
      <c r="I1744" s="41" t="n"/>
      <c r="J1744" s="41" t="n"/>
      <c r="K1744" s="41" t="n"/>
      <c r="L1744" s="42" t="n"/>
      <c r="M1744" s="42" t="n"/>
      <c r="N1744" s="42" t="n"/>
      <c r="O1744" s="42" t="n"/>
      <c r="P1744" s="42" t="n"/>
      <c r="Q1744" s="42" t="n"/>
      <c r="R1744" s="43">
        <f>IF($B1744="","",N($S1744)-N($Q1744))</f>
        <v/>
      </c>
      <c r="S1744" s="43">
        <f>IF($B1744="","",N($L1744)+N($N1744)+N($P1744))</f>
        <v/>
      </c>
      <c r="T1744" s="42" t="n"/>
      <c r="U1744" s="42" t="n"/>
      <c r="V1744" s="42" t="n"/>
      <c r="W1744" s="42" t="n"/>
      <c r="X1744" s="42" t="n"/>
      <c r="Y1744" s="42" t="n"/>
      <c r="Z1744" s="42" t="n"/>
      <c r="AA1744" s="42" t="n"/>
      <c r="AB1744" s="42" t="n"/>
      <c r="AC1744" s="42" t="n"/>
      <c r="AD1744" s="42" t="n"/>
      <c r="AE1744" s="42" t="n"/>
      <c r="AF1744" s="43">
        <f>IF($B1744="","",SUM($T1744:$AE1744))</f>
        <v/>
      </c>
      <c r="AG1744" s="43">
        <f>IF($B1744="","",N($M1744)-N($AF1744))</f>
        <v/>
      </c>
      <c r="AH1744" s="43">
        <f>IF($B1744="","",N($L1744)-N($AF1744))</f>
        <v/>
      </c>
      <c r="AI1744" s="149">
        <f>IF($B1744="","",IF(N($L1744)=0,"",(N($L1744)-N($AF1744))/N($L1744)))</f>
        <v/>
      </c>
    </row>
    <row r="1745">
      <c r="A1745" s="39">
        <f>IF($B1745="","",COUNTA($B$4:$B1745))</f>
        <v/>
      </c>
      <c r="B1745" s="45" t="n"/>
      <c r="C1745" s="46" t="n"/>
      <c r="D1745" s="46" t="n"/>
      <c r="E1745" s="46" t="n"/>
      <c r="F1745" s="46" t="n"/>
      <c r="G1745" s="46" t="n"/>
      <c r="H1745" s="46" t="n"/>
      <c r="I1745" s="46" t="n"/>
      <c r="J1745" s="46" t="n"/>
      <c r="K1745" s="46" t="n"/>
      <c r="L1745" s="47" t="n"/>
      <c r="M1745" s="47" t="n"/>
      <c r="N1745" s="47" t="n"/>
      <c r="O1745" s="47" t="n"/>
      <c r="P1745" s="47" t="n"/>
      <c r="Q1745" s="47" t="n"/>
      <c r="R1745" s="43">
        <f>IF($B1745="","",N($S1745)-N($Q1745))</f>
        <v/>
      </c>
      <c r="S1745" s="43">
        <f>IF($B1745="","",N($L1745)+N($N1745)+N($P1745))</f>
        <v/>
      </c>
      <c r="T1745" s="47" t="n"/>
      <c r="U1745" s="47" t="n"/>
      <c r="V1745" s="47" t="n"/>
      <c r="W1745" s="47" t="n"/>
      <c r="X1745" s="47" t="n"/>
      <c r="Y1745" s="47" t="n"/>
      <c r="Z1745" s="47" t="n"/>
      <c r="AA1745" s="47" t="n"/>
      <c r="AB1745" s="47" t="n"/>
      <c r="AC1745" s="47" t="n"/>
      <c r="AD1745" s="47" t="n"/>
      <c r="AE1745" s="47" t="n"/>
      <c r="AF1745" s="43">
        <f>IF($B1745="","",SUM($T1745:$AE1745))</f>
        <v/>
      </c>
      <c r="AG1745" s="43">
        <f>IF($B1745="","",N($M1745)-N($AF1745))</f>
        <v/>
      </c>
      <c r="AH1745" s="43">
        <f>IF($B1745="","",N($L1745)-N($AF1745))</f>
        <v/>
      </c>
      <c r="AI1745" s="149">
        <f>IF($B1745="","",IF(N($L1745)=0,"",(N($L1745)-N($AF1745))/N($L1745)))</f>
        <v/>
      </c>
    </row>
    <row r="1746">
      <c r="A1746" s="39">
        <f>IF($B1746="","",COUNTA($B$4:$B1746))</f>
        <v/>
      </c>
      <c r="B1746" s="40" t="n"/>
      <c r="C1746" s="41" t="n"/>
      <c r="D1746" s="41" t="n"/>
      <c r="E1746" s="41" t="n"/>
      <c r="F1746" s="41" t="n"/>
      <c r="G1746" s="41" t="n"/>
      <c r="H1746" s="41" t="n"/>
      <c r="I1746" s="41" t="n"/>
      <c r="J1746" s="41" t="n"/>
      <c r="K1746" s="41" t="n"/>
      <c r="L1746" s="42" t="n"/>
      <c r="M1746" s="42" t="n"/>
      <c r="N1746" s="42" t="n"/>
      <c r="O1746" s="42" t="n"/>
      <c r="P1746" s="42" t="n"/>
      <c r="Q1746" s="42" t="n"/>
      <c r="R1746" s="43">
        <f>IF($B1746="","",N($S1746)-N($Q1746))</f>
        <v/>
      </c>
      <c r="S1746" s="43">
        <f>IF($B1746="","",N($L1746)+N($N1746)+N($P1746))</f>
        <v/>
      </c>
      <c r="T1746" s="42" t="n"/>
      <c r="U1746" s="42" t="n"/>
      <c r="V1746" s="42" t="n"/>
      <c r="W1746" s="42" t="n"/>
      <c r="X1746" s="42" t="n"/>
      <c r="Y1746" s="42" t="n"/>
      <c r="Z1746" s="42" t="n"/>
      <c r="AA1746" s="42" t="n"/>
      <c r="AB1746" s="42" t="n"/>
      <c r="AC1746" s="42" t="n"/>
      <c r="AD1746" s="42" t="n"/>
      <c r="AE1746" s="42" t="n"/>
      <c r="AF1746" s="43">
        <f>IF($B1746="","",SUM($T1746:$AE1746))</f>
        <v/>
      </c>
      <c r="AG1746" s="43">
        <f>IF($B1746="","",N($M1746)-N($AF1746))</f>
        <v/>
      </c>
      <c r="AH1746" s="43">
        <f>IF($B1746="","",N($L1746)-N($AF1746))</f>
        <v/>
      </c>
      <c r="AI1746" s="149">
        <f>IF($B1746="","",IF(N($L1746)=0,"",(N($L1746)-N($AF1746))/N($L1746)))</f>
        <v/>
      </c>
    </row>
    <row r="1747">
      <c r="A1747" s="39">
        <f>IF($B1747="","",COUNTA($B$4:$B1747))</f>
        <v/>
      </c>
      <c r="B1747" s="45" t="n"/>
      <c r="C1747" s="46" t="n"/>
      <c r="D1747" s="46" t="n"/>
      <c r="E1747" s="46" t="n"/>
      <c r="F1747" s="46" t="n"/>
      <c r="G1747" s="46" t="n"/>
      <c r="H1747" s="46" t="n"/>
      <c r="I1747" s="46" t="n"/>
      <c r="J1747" s="46" t="n"/>
      <c r="K1747" s="46" t="n"/>
      <c r="L1747" s="47" t="n"/>
      <c r="M1747" s="47" t="n"/>
      <c r="N1747" s="47" t="n"/>
      <c r="O1747" s="47" t="n"/>
      <c r="P1747" s="47" t="n"/>
      <c r="Q1747" s="47" t="n"/>
      <c r="R1747" s="43">
        <f>IF($B1747="","",N($S1747)-N($Q1747))</f>
        <v/>
      </c>
      <c r="S1747" s="43">
        <f>IF($B1747="","",N($L1747)+N($N1747)+N($P1747))</f>
        <v/>
      </c>
      <c r="T1747" s="47" t="n"/>
      <c r="U1747" s="47" t="n"/>
      <c r="V1747" s="47" t="n"/>
      <c r="W1747" s="47" t="n"/>
      <c r="X1747" s="47" t="n"/>
      <c r="Y1747" s="47" t="n"/>
      <c r="Z1747" s="47" t="n"/>
      <c r="AA1747" s="47" t="n"/>
      <c r="AB1747" s="47" t="n"/>
      <c r="AC1747" s="47" t="n"/>
      <c r="AD1747" s="47" t="n"/>
      <c r="AE1747" s="47" t="n"/>
      <c r="AF1747" s="43">
        <f>IF($B1747="","",SUM($T1747:$AE1747))</f>
        <v/>
      </c>
      <c r="AG1747" s="43">
        <f>IF($B1747="","",N($M1747)-N($AF1747))</f>
        <v/>
      </c>
      <c r="AH1747" s="43">
        <f>IF($B1747="","",N($L1747)-N($AF1747))</f>
        <v/>
      </c>
      <c r="AI1747" s="149">
        <f>IF($B1747="","",IF(N($L1747)=0,"",(N($L1747)-N($AF1747))/N($L1747)))</f>
        <v/>
      </c>
    </row>
    <row r="1748">
      <c r="A1748" s="39">
        <f>IF($B1748="","",COUNTA($B$4:$B1748))</f>
        <v/>
      </c>
      <c r="B1748" s="40" t="n"/>
      <c r="C1748" s="41" t="n"/>
      <c r="D1748" s="41" t="n"/>
      <c r="E1748" s="41" t="n"/>
      <c r="F1748" s="41" t="n"/>
      <c r="G1748" s="41" t="n"/>
      <c r="H1748" s="41" t="n"/>
      <c r="I1748" s="41" t="n"/>
      <c r="J1748" s="41" t="n"/>
      <c r="K1748" s="41" t="n"/>
      <c r="L1748" s="42" t="n"/>
      <c r="M1748" s="42" t="n"/>
      <c r="N1748" s="42" t="n"/>
      <c r="O1748" s="42" t="n"/>
      <c r="P1748" s="42" t="n"/>
      <c r="Q1748" s="42" t="n"/>
      <c r="R1748" s="43">
        <f>IF($B1748="","",N($S1748)-N($Q1748))</f>
        <v/>
      </c>
      <c r="S1748" s="43">
        <f>IF($B1748="","",N($L1748)+N($N1748)+N($P1748))</f>
        <v/>
      </c>
      <c r="T1748" s="42" t="n"/>
      <c r="U1748" s="42" t="n"/>
      <c r="V1748" s="42" t="n"/>
      <c r="W1748" s="42" t="n"/>
      <c r="X1748" s="42" t="n"/>
      <c r="Y1748" s="42" t="n"/>
      <c r="Z1748" s="42" t="n"/>
      <c r="AA1748" s="42" t="n"/>
      <c r="AB1748" s="42" t="n"/>
      <c r="AC1748" s="42" t="n"/>
      <c r="AD1748" s="42" t="n"/>
      <c r="AE1748" s="42" t="n"/>
      <c r="AF1748" s="43">
        <f>IF($B1748="","",SUM($T1748:$AE1748))</f>
        <v/>
      </c>
      <c r="AG1748" s="43">
        <f>IF($B1748="","",N($M1748)-N($AF1748))</f>
        <v/>
      </c>
      <c r="AH1748" s="43">
        <f>IF($B1748="","",N($L1748)-N($AF1748))</f>
        <v/>
      </c>
      <c r="AI1748" s="149">
        <f>IF($B1748="","",IF(N($L1748)=0,"",(N($L1748)-N($AF1748))/N($L1748)))</f>
        <v/>
      </c>
    </row>
    <row r="1749">
      <c r="A1749" s="39">
        <f>IF($B1749="","",COUNTA($B$4:$B1749))</f>
        <v/>
      </c>
      <c r="B1749" s="45" t="n"/>
      <c r="C1749" s="46" t="n"/>
      <c r="D1749" s="46" t="n"/>
      <c r="E1749" s="46" t="n"/>
      <c r="F1749" s="46" t="n"/>
      <c r="G1749" s="46" t="n"/>
      <c r="H1749" s="46" t="n"/>
      <c r="I1749" s="46" t="n"/>
      <c r="J1749" s="46" t="n"/>
      <c r="K1749" s="46" t="n"/>
      <c r="L1749" s="47" t="n"/>
      <c r="M1749" s="47" t="n"/>
      <c r="N1749" s="47" t="n"/>
      <c r="O1749" s="47" t="n"/>
      <c r="P1749" s="47" t="n"/>
      <c r="Q1749" s="47" t="n"/>
      <c r="R1749" s="43">
        <f>IF($B1749="","",N($S1749)-N($Q1749))</f>
        <v/>
      </c>
      <c r="S1749" s="43">
        <f>IF($B1749="","",N($L1749)+N($N1749)+N($P1749))</f>
        <v/>
      </c>
      <c r="T1749" s="47" t="n"/>
      <c r="U1749" s="47" t="n"/>
      <c r="V1749" s="47" t="n"/>
      <c r="W1749" s="47" t="n"/>
      <c r="X1749" s="47" t="n"/>
      <c r="Y1749" s="47" t="n"/>
      <c r="Z1749" s="47" t="n"/>
      <c r="AA1749" s="47" t="n"/>
      <c r="AB1749" s="47" t="n"/>
      <c r="AC1749" s="47" t="n"/>
      <c r="AD1749" s="47" t="n"/>
      <c r="AE1749" s="47" t="n"/>
      <c r="AF1749" s="43">
        <f>IF($B1749="","",SUM($T1749:$AE1749))</f>
        <v/>
      </c>
      <c r="AG1749" s="43">
        <f>IF($B1749="","",N($M1749)-N($AF1749))</f>
        <v/>
      </c>
      <c r="AH1749" s="43">
        <f>IF($B1749="","",N($L1749)-N($AF1749))</f>
        <v/>
      </c>
      <c r="AI1749" s="149">
        <f>IF($B1749="","",IF(N($L1749)=0,"",(N($L1749)-N($AF1749))/N($L1749)))</f>
        <v/>
      </c>
    </row>
    <row r="1750">
      <c r="A1750" s="39">
        <f>IF($B1750="","",COUNTA($B$4:$B1750))</f>
        <v/>
      </c>
      <c r="B1750" s="40" t="n"/>
      <c r="C1750" s="41" t="n"/>
      <c r="D1750" s="41" t="n"/>
      <c r="E1750" s="41" t="n"/>
      <c r="F1750" s="41" t="n"/>
      <c r="G1750" s="41" t="n"/>
      <c r="H1750" s="41" t="n"/>
      <c r="I1750" s="41" t="n"/>
      <c r="J1750" s="41" t="n"/>
      <c r="K1750" s="41" t="n"/>
      <c r="L1750" s="42" t="n"/>
      <c r="M1750" s="42" t="n"/>
      <c r="N1750" s="42" t="n"/>
      <c r="O1750" s="42" t="n"/>
      <c r="P1750" s="42" t="n"/>
      <c r="Q1750" s="42" t="n"/>
      <c r="R1750" s="43">
        <f>IF($B1750="","",N($S1750)-N($Q1750))</f>
        <v/>
      </c>
      <c r="S1750" s="43">
        <f>IF($B1750="","",N($L1750)+N($N1750)+N($P1750))</f>
        <v/>
      </c>
      <c r="T1750" s="42" t="n"/>
      <c r="U1750" s="42" t="n"/>
      <c r="V1750" s="42" t="n"/>
      <c r="W1750" s="42" t="n"/>
      <c r="X1750" s="42" t="n"/>
      <c r="Y1750" s="42" t="n"/>
      <c r="Z1750" s="42" t="n"/>
      <c r="AA1750" s="42" t="n"/>
      <c r="AB1750" s="42" t="n"/>
      <c r="AC1750" s="42" t="n"/>
      <c r="AD1750" s="42" t="n"/>
      <c r="AE1750" s="42" t="n"/>
      <c r="AF1750" s="43">
        <f>IF($B1750="","",SUM($T1750:$AE1750))</f>
        <v/>
      </c>
      <c r="AG1750" s="43">
        <f>IF($B1750="","",N($M1750)-N($AF1750))</f>
        <v/>
      </c>
      <c r="AH1750" s="43">
        <f>IF($B1750="","",N($L1750)-N($AF1750))</f>
        <v/>
      </c>
      <c r="AI1750" s="149">
        <f>IF($B1750="","",IF(N($L1750)=0,"",(N($L1750)-N($AF1750))/N($L1750)))</f>
        <v/>
      </c>
    </row>
    <row r="1751">
      <c r="A1751" s="39">
        <f>IF($B1751="","",COUNTA($B$4:$B1751))</f>
        <v/>
      </c>
      <c r="B1751" s="45" t="n"/>
      <c r="C1751" s="46" t="n"/>
      <c r="D1751" s="46" t="n"/>
      <c r="E1751" s="46" t="n"/>
      <c r="F1751" s="46" t="n"/>
      <c r="G1751" s="46" t="n"/>
      <c r="H1751" s="46" t="n"/>
      <c r="I1751" s="46" t="n"/>
      <c r="J1751" s="46" t="n"/>
      <c r="K1751" s="46" t="n"/>
      <c r="L1751" s="47" t="n"/>
      <c r="M1751" s="47" t="n"/>
      <c r="N1751" s="47" t="n"/>
      <c r="O1751" s="47" t="n"/>
      <c r="P1751" s="47" t="n"/>
      <c r="Q1751" s="47" t="n"/>
      <c r="R1751" s="43">
        <f>IF($B1751="","",N($S1751)-N($Q1751))</f>
        <v/>
      </c>
      <c r="S1751" s="43">
        <f>IF($B1751="","",N($L1751)+N($N1751)+N($P1751))</f>
        <v/>
      </c>
      <c r="T1751" s="47" t="n"/>
      <c r="U1751" s="47" t="n"/>
      <c r="V1751" s="47" t="n"/>
      <c r="W1751" s="47" t="n"/>
      <c r="X1751" s="47" t="n"/>
      <c r="Y1751" s="47" t="n"/>
      <c r="Z1751" s="47" t="n"/>
      <c r="AA1751" s="47" t="n"/>
      <c r="AB1751" s="47" t="n"/>
      <c r="AC1751" s="47" t="n"/>
      <c r="AD1751" s="47" t="n"/>
      <c r="AE1751" s="47" t="n"/>
      <c r="AF1751" s="43">
        <f>IF($B1751="","",SUM($T1751:$AE1751))</f>
        <v/>
      </c>
      <c r="AG1751" s="43">
        <f>IF($B1751="","",N($M1751)-N($AF1751))</f>
        <v/>
      </c>
      <c r="AH1751" s="43">
        <f>IF($B1751="","",N($L1751)-N($AF1751))</f>
        <v/>
      </c>
      <c r="AI1751" s="149">
        <f>IF($B1751="","",IF(N($L1751)=0,"",(N($L1751)-N($AF1751))/N($L1751)))</f>
        <v/>
      </c>
    </row>
    <row r="1752">
      <c r="A1752" s="39">
        <f>IF($B1752="","",COUNTA($B$4:$B1752))</f>
        <v/>
      </c>
      <c r="B1752" s="40" t="n"/>
      <c r="C1752" s="41" t="n"/>
      <c r="D1752" s="41" t="n"/>
      <c r="E1752" s="41" t="n"/>
      <c r="F1752" s="41" t="n"/>
      <c r="G1752" s="41" t="n"/>
      <c r="H1752" s="41" t="n"/>
      <c r="I1752" s="41" t="n"/>
      <c r="J1752" s="41" t="n"/>
      <c r="K1752" s="41" t="n"/>
      <c r="L1752" s="42" t="n"/>
      <c r="M1752" s="42" t="n"/>
      <c r="N1752" s="42" t="n"/>
      <c r="O1752" s="42" t="n"/>
      <c r="P1752" s="42" t="n"/>
      <c r="Q1752" s="42" t="n"/>
      <c r="R1752" s="43">
        <f>IF($B1752="","",N($S1752)-N($Q1752))</f>
        <v/>
      </c>
      <c r="S1752" s="43">
        <f>IF($B1752="","",N($L1752)+N($N1752)+N($P1752))</f>
        <v/>
      </c>
      <c r="T1752" s="42" t="n"/>
      <c r="U1752" s="42" t="n"/>
      <c r="V1752" s="42" t="n"/>
      <c r="W1752" s="42" t="n"/>
      <c r="X1752" s="42" t="n"/>
      <c r="Y1752" s="42" t="n"/>
      <c r="Z1752" s="42" t="n"/>
      <c r="AA1752" s="42" t="n"/>
      <c r="AB1752" s="42" t="n"/>
      <c r="AC1752" s="42" t="n"/>
      <c r="AD1752" s="42" t="n"/>
      <c r="AE1752" s="42" t="n"/>
      <c r="AF1752" s="43">
        <f>IF($B1752="","",SUM($T1752:$AE1752))</f>
        <v/>
      </c>
      <c r="AG1752" s="43">
        <f>IF($B1752="","",N($M1752)-N($AF1752))</f>
        <v/>
      </c>
      <c r="AH1752" s="43">
        <f>IF($B1752="","",N($L1752)-N($AF1752))</f>
        <v/>
      </c>
      <c r="AI1752" s="149">
        <f>IF($B1752="","",IF(N($L1752)=0,"",(N($L1752)-N($AF1752))/N($L1752)))</f>
        <v/>
      </c>
    </row>
    <row r="1753">
      <c r="A1753" s="39">
        <f>IF($B1753="","",COUNTA($B$4:$B1753))</f>
        <v/>
      </c>
      <c r="B1753" s="45" t="n"/>
      <c r="C1753" s="46" t="n"/>
      <c r="D1753" s="46" t="n"/>
      <c r="E1753" s="46" t="n"/>
      <c r="F1753" s="46" t="n"/>
      <c r="G1753" s="46" t="n"/>
      <c r="H1753" s="46" t="n"/>
      <c r="I1753" s="46" t="n"/>
      <c r="J1753" s="46" t="n"/>
      <c r="K1753" s="46" t="n"/>
      <c r="L1753" s="47" t="n"/>
      <c r="M1753" s="47" t="n"/>
      <c r="N1753" s="47" t="n"/>
      <c r="O1753" s="47" t="n"/>
      <c r="P1753" s="47" t="n"/>
      <c r="Q1753" s="47" t="n"/>
      <c r="R1753" s="43">
        <f>IF($B1753="","",N($S1753)-N($Q1753))</f>
        <v/>
      </c>
      <c r="S1753" s="43">
        <f>IF($B1753="","",N($L1753)+N($N1753)+N($P1753))</f>
        <v/>
      </c>
      <c r="T1753" s="47" t="n"/>
      <c r="U1753" s="47" t="n"/>
      <c r="V1753" s="47" t="n"/>
      <c r="W1753" s="47" t="n"/>
      <c r="X1753" s="47" t="n"/>
      <c r="Y1753" s="47" t="n"/>
      <c r="Z1753" s="47" t="n"/>
      <c r="AA1753" s="47" t="n"/>
      <c r="AB1753" s="47" t="n"/>
      <c r="AC1753" s="47" t="n"/>
      <c r="AD1753" s="47" t="n"/>
      <c r="AE1753" s="47" t="n"/>
      <c r="AF1753" s="43">
        <f>IF($B1753="","",SUM($T1753:$AE1753))</f>
        <v/>
      </c>
      <c r="AG1753" s="43">
        <f>IF($B1753="","",N($M1753)-N($AF1753))</f>
        <v/>
      </c>
      <c r="AH1753" s="43">
        <f>IF($B1753="","",N($L1753)-N($AF1753))</f>
        <v/>
      </c>
      <c r="AI1753" s="149">
        <f>IF($B1753="","",IF(N($L1753)=0,"",(N($L1753)-N($AF1753))/N($L1753)))</f>
        <v/>
      </c>
    </row>
    <row r="1754">
      <c r="A1754" s="39">
        <f>IF($B1754="","",COUNTA($B$4:$B1754))</f>
        <v/>
      </c>
      <c r="B1754" s="40" t="n"/>
      <c r="C1754" s="41" t="n"/>
      <c r="D1754" s="41" t="n"/>
      <c r="E1754" s="41" t="n"/>
      <c r="F1754" s="41" t="n"/>
      <c r="G1754" s="41" t="n"/>
      <c r="H1754" s="41" t="n"/>
      <c r="I1754" s="41" t="n"/>
      <c r="J1754" s="41" t="n"/>
      <c r="K1754" s="41" t="n"/>
      <c r="L1754" s="42" t="n"/>
      <c r="M1754" s="42" t="n"/>
      <c r="N1754" s="42" t="n"/>
      <c r="O1754" s="42" t="n"/>
      <c r="P1754" s="42" t="n"/>
      <c r="Q1754" s="42" t="n"/>
      <c r="R1754" s="43">
        <f>IF($B1754="","",N($S1754)-N($Q1754))</f>
        <v/>
      </c>
      <c r="S1754" s="43">
        <f>IF($B1754="","",N($L1754)+N($N1754)+N($P1754))</f>
        <v/>
      </c>
      <c r="T1754" s="42" t="n"/>
      <c r="U1754" s="42" t="n"/>
      <c r="V1754" s="42" t="n"/>
      <c r="W1754" s="42" t="n"/>
      <c r="X1754" s="42" t="n"/>
      <c r="Y1754" s="42" t="n"/>
      <c r="Z1754" s="42" t="n"/>
      <c r="AA1754" s="42" t="n"/>
      <c r="AB1754" s="42" t="n"/>
      <c r="AC1754" s="42" t="n"/>
      <c r="AD1754" s="42" t="n"/>
      <c r="AE1754" s="42" t="n"/>
      <c r="AF1754" s="43">
        <f>IF($B1754="","",SUM($T1754:$AE1754))</f>
        <v/>
      </c>
      <c r="AG1754" s="43">
        <f>IF($B1754="","",N($M1754)-N($AF1754))</f>
        <v/>
      </c>
      <c r="AH1754" s="43">
        <f>IF($B1754="","",N($L1754)-N($AF1754))</f>
        <v/>
      </c>
      <c r="AI1754" s="149">
        <f>IF($B1754="","",IF(N($L1754)=0,"",(N($L1754)-N($AF1754))/N($L1754)))</f>
        <v/>
      </c>
    </row>
    <row r="1755">
      <c r="A1755" s="39">
        <f>IF($B1755="","",COUNTA($B$4:$B1755))</f>
        <v/>
      </c>
      <c r="B1755" s="45" t="n"/>
      <c r="C1755" s="46" t="n"/>
      <c r="D1755" s="46" t="n"/>
      <c r="E1755" s="46" t="n"/>
      <c r="F1755" s="46" t="n"/>
      <c r="G1755" s="46" t="n"/>
      <c r="H1755" s="46" t="n"/>
      <c r="I1755" s="46" t="n"/>
      <c r="J1755" s="46" t="n"/>
      <c r="K1755" s="46" t="n"/>
      <c r="L1755" s="47" t="n"/>
      <c r="M1755" s="47" t="n"/>
      <c r="N1755" s="47" t="n"/>
      <c r="O1755" s="47" t="n"/>
      <c r="P1755" s="47" t="n"/>
      <c r="Q1755" s="47" t="n"/>
      <c r="R1755" s="43">
        <f>IF($B1755="","",N($S1755)-N($Q1755))</f>
        <v/>
      </c>
      <c r="S1755" s="43">
        <f>IF($B1755="","",N($L1755)+N($N1755)+N($P1755))</f>
        <v/>
      </c>
      <c r="T1755" s="47" t="n"/>
      <c r="U1755" s="47" t="n"/>
      <c r="V1755" s="47" t="n"/>
      <c r="W1755" s="47" t="n"/>
      <c r="X1755" s="47" t="n"/>
      <c r="Y1755" s="47" t="n"/>
      <c r="Z1755" s="47" t="n"/>
      <c r="AA1755" s="47" t="n"/>
      <c r="AB1755" s="47" t="n"/>
      <c r="AC1755" s="47" t="n"/>
      <c r="AD1755" s="47" t="n"/>
      <c r="AE1755" s="47" t="n"/>
      <c r="AF1755" s="43">
        <f>IF($B1755="","",SUM($T1755:$AE1755))</f>
        <v/>
      </c>
      <c r="AG1755" s="43">
        <f>IF($B1755="","",N($M1755)-N($AF1755))</f>
        <v/>
      </c>
      <c r="AH1755" s="43">
        <f>IF($B1755="","",N($L1755)-N($AF1755))</f>
        <v/>
      </c>
      <c r="AI1755" s="149">
        <f>IF($B1755="","",IF(N($L1755)=0,"",(N($L1755)-N($AF1755))/N($L1755)))</f>
        <v/>
      </c>
    </row>
    <row r="1756">
      <c r="A1756" s="39">
        <f>IF($B1756="","",COUNTA($B$4:$B1756))</f>
        <v/>
      </c>
      <c r="B1756" s="40" t="n"/>
      <c r="C1756" s="41" t="n"/>
      <c r="D1756" s="41" t="n"/>
      <c r="E1756" s="41" t="n"/>
      <c r="F1756" s="41" t="n"/>
      <c r="G1756" s="41" t="n"/>
      <c r="H1756" s="41" t="n"/>
      <c r="I1756" s="41" t="n"/>
      <c r="J1756" s="41" t="n"/>
      <c r="K1756" s="41" t="n"/>
      <c r="L1756" s="42" t="n"/>
      <c r="M1756" s="42" t="n"/>
      <c r="N1756" s="42" t="n"/>
      <c r="O1756" s="42" t="n"/>
      <c r="P1756" s="42" t="n"/>
      <c r="Q1756" s="42" t="n"/>
      <c r="R1756" s="43">
        <f>IF($B1756="","",N($S1756)-N($Q1756))</f>
        <v/>
      </c>
      <c r="S1756" s="43">
        <f>IF($B1756="","",N($L1756)+N($N1756)+N($P1756))</f>
        <v/>
      </c>
      <c r="T1756" s="42" t="n"/>
      <c r="U1756" s="42" t="n"/>
      <c r="V1756" s="42" t="n"/>
      <c r="W1756" s="42" t="n"/>
      <c r="X1756" s="42" t="n"/>
      <c r="Y1756" s="42" t="n"/>
      <c r="Z1756" s="42" t="n"/>
      <c r="AA1756" s="42" t="n"/>
      <c r="AB1756" s="42" t="n"/>
      <c r="AC1756" s="42" t="n"/>
      <c r="AD1756" s="42" t="n"/>
      <c r="AE1756" s="42" t="n"/>
      <c r="AF1756" s="43">
        <f>IF($B1756="","",SUM($T1756:$AE1756))</f>
        <v/>
      </c>
      <c r="AG1756" s="43">
        <f>IF($B1756="","",N($M1756)-N($AF1756))</f>
        <v/>
      </c>
      <c r="AH1756" s="43">
        <f>IF($B1756="","",N($L1756)-N($AF1756))</f>
        <v/>
      </c>
      <c r="AI1756" s="149">
        <f>IF($B1756="","",IF(N($L1756)=0,"",(N($L1756)-N($AF1756))/N($L1756)))</f>
        <v/>
      </c>
    </row>
    <row r="1757">
      <c r="A1757" s="39">
        <f>IF($B1757="","",COUNTA($B$4:$B1757))</f>
        <v/>
      </c>
      <c r="B1757" s="45" t="n"/>
      <c r="C1757" s="46" t="n"/>
      <c r="D1757" s="46" t="n"/>
      <c r="E1757" s="46" t="n"/>
      <c r="F1757" s="46" t="n"/>
      <c r="G1757" s="46" t="n"/>
      <c r="H1757" s="46" t="n"/>
      <c r="I1757" s="46" t="n"/>
      <c r="J1757" s="46" t="n"/>
      <c r="K1757" s="46" t="n"/>
      <c r="L1757" s="47" t="n"/>
      <c r="M1757" s="47" t="n"/>
      <c r="N1757" s="47" t="n"/>
      <c r="O1757" s="47" t="n"/>
      <c r="P1757" s="47" t="n"/>
      <c r="Q1757" s="47" t="n"/>
      <c r="R1757" s="43">
        <f>IF($B1757="","",N($S1757)-N($Q1757))</f>
        <v/>
      </c>
      <c r="S1757" s="43">
        <f>IF($B1757="","",N($L1757)+N($N1757)+N($P1757))</f>
        <v/>
      </c>
      <c r="T1757" s="47" t="n"/>
      <c r="U1757" s="47" t="n"/>
      <c r="V1757" s="47" t="n"/>
      <c r="W1757" s="47" t="n"/>
      <c r="X1757" s="47" t="n"/>
      <c r="Y1757" s="47" t="n"/>
      <c r="Z1757" s="47" t="n"/>
      <c r="AA1757" s="47" t="n"/>
      <c r="AB1757" s="47" t="n"/>
      <c r="AC1757" s="47" t="n"/>
      <c r="AD1757" s="47" t="n"/>
      <c r="AE1757" s="47" t="n"/>
      <c r="AF1757" s="43">
        <f>IF($B1757="","",SUM($T1757:$AE1757))</f>
        <v/>
      </c>
      <c r="AG1757" s="43">
        <f>IF($B1757="","",N($M1757)-N($AF1757))</f>
        <v/>
      </c>
      <c r="AH1757" s="43">
        <f>IF($B1757="","",N($L1757)-N($AF1757))</f>
        <v/>
      </c>
      <c r="AI1757" s="149">
        <f>IF($B1757="","",IF(N($L1757)=0,"",(N($L1757)-N($AF1757))/N($L1757)))</f>
        <v/>
      </c>
    </row>
    <row r="1758">
      <c r="A1758" s="39">
        <f>IF($B1758="","",COUNTA($B$4:$B1758))</f>
        <v/>
      </c>
      <c r="B1758" s="40" t="n"/>
      <c r="C1758" s="41" t="n"/>
      <c r="D1758" s="41" t="n"/>
      <c r="E1758" s="41" t="n"/>
      <c r="F1758" s="41" t="n"/>
      <c r="G1758" s="41" t="n"/>
      <c r="H1758" s="41" t="n"/>
      <c r="I1758" s="41" t="n"/>
      <c r="J1758" s="41" t="n"/>
      <c r="K1758" s="41" t="n"/>
      <c r="L1758" s="42" t="n"/>
      <c r="M1758" s="42" t="n"/>
      <c r="N1758" s="42" t="n"/>
      <c r="O1758" s="42" t="n"/>
      <c r="P1758" s="42" t="n"/>
      <c r="Q1758" s="42" t="n"/>
      <c r="R1758" s="43">
        <f>IF($B1758="","",N($S1758)-N($Q1758))</f>
        <v/>
      </c>
      <c r="S1758" s="43">
        <f>IF($B1758="","",N($L1758)+N($N1758)+N($P1758))</f>
        <v/>
      </c>
      <c r="T1758" s="42" t="n"/>
      <c r="U1758" s="42" t="n"/>
      <c r="V1758" s="42" t="n"/>
      <c r="W1758" s="42" t="n"/>
      <c r="X1758" s="42" t="n"/>
      <c r="Y1758" s="42" t="n"/>
      <c r="Z1758" s="42" t="n"/>
      <c r="AA1758" s="42" t="n"/>
      <c r="AB1758" s="42" t="n"/>
      <c r="AC1758" s="42" t="n"/>
      <c r="AD1758" s="42" t="n"/>
      <c r="AE1758" s="42" t="n"/>
      <c r="AF1758" s="43">
        <f>IF($B1758="","",SUM($T1758:$AE1758))</f>
        <v/>
      </c>
      <c r="AG1758" s="43">
        <f>IF($B1758="","",N($M1758)-N($AF1758))</f>
        <v/>
      </c>
      <c r="AH1758" s="43">
        <f>IF($B1758="","",N($L1758)-N($AF1758))</f>
        <v/>
      </c>
      <c r="AI1758" s="149">
        <f>IF($B1758="","",IF(N($L1758)=0,"",(N($L1758)-N($AF1758))/N($L1758)))</f>
        <v/>
      </c>
    </row>
    <row r="1759">
      <c r="A1759" s="39">
        <f>IF($B1759="","",COUNTA($B$4:$B1759))</f>
        <v/>
      </c>
      <c r="B1759" s="45" t="n"/>
      <c r="C1759" s="46" t="n"/>
      <c r="D1759" s="46" t="n"/>
      <c r="E1759" s="46" t="n"/>
      <c r="F1759" s="46" t="n"/>
      <c r="G1759" s="46" t="n"/>
      <c r="H1759" s="46" t="n"/>
      <c r="I1759" s="46" t="n"/>
      <c r="J1759" s="46" t="n"/>
      <c r="K1759" s="46" t="n"/>
      <c r="L1759" s="47" t="n"/>
      <c r="M1759" s="47" t="n"/>
      <c r="N1759" s="47" t="n"/>
      <c r="O1759" s="47" t="n"/>
      <c r="P1759" s="47" t="n"/>
      <c r="Q1759" s="47" t="n"/>
      <c r="R1759" s="43">
        <f>IF($B1759="","",N($S1759)-N($Q1759))</f>
        <v/>
      </c>
      <c r="S1759" s="43">
        <f>IF($B1759="","",N($L1759)+N($N1759)+N($P1759))</f>
        <v/>
      </c>
      <c r="T1759" s="47" t="n"/>
      <c r="U1759" s="47" t="n"/>
      <c r="V1759" s="47" t="n"/>
      <c r="W1759" s="47" t="n"/>
      <c r="X1759" s="47" t="n"/>
      <c r="Y1759" s="47" t="n"/>
      <c r="Z1759" s="47" t="n"/>
      <c r="AA1759" s="47" t="n"/>
      <c r="AB1759" s="47" t="n"/>
      <c r="AC1759" s="47" t="n"/>
      <c r="AD1759" s="47" t="n"/>
      <c r="AE1759" s="47" t="n"/>
      <c r="AF1759" s="43">
        <f>IF($B1759="","",SUM($T1759:$AE1759))</f>
        <v/>
      </c>
      <c r="AG1759" s="43">
        <f>IF($B1759="","",N($M1759)-N($AF1759))</f>
        <v/>
      </c>
      <c r="AH1759" s="43">
        <f>IF($B1759="","",N($L1759)-N($AF1759))</f>
        <v/>
      </c>
      <c r="AI1759" s="149">
        <f>IF($B1759="","",IF(N($L1759)=0,"",(N($L1759)-N($AF1759))/N($L1759)))</f>
        <v/>
      </c>
    </row>
    <row r="1760">
      <c r="A1760" s="39">
        <f>IF($B1760="","",COUNTA($B$4:$B1760))</f>
        <v/>
      </c>
      <c r="B1760" s="40" t="n"/>
      <c r="C1760" s="41" t="n"/>
      <c r="D1760" s="41" t="n"/>
      <c r="E1760" s="41" t="n"/>
      <c r="F1760" s="41" t="n"/>
      <c r="G1760" s="41" t="n"/>
      <c r="H1760" s="41" t="n"/>
      <c r="I1760" s="41" t="n"/>
      <c r="J1760" s="41" t="n"/>
      <c r="K1760" s="41" t="n"/>
      <c r="L1760" s="42" t="n"/>
      <c r="M1760" s="42" t="n"/>
      <c r="N1760" s="42" t="n"/>
      <c r="O1760" s="42" t="n"/>
      <c r="P1760" s="42" t="n"/>
      <c r="Q1760" s="42" t="n"/>
      <c r="R1760" s="43">
        <f>IF($B1760="","",N($S1760)-N($Q1760))</f>
        <v/>
      </c>
      <c r="S1760" s="43">
        <f>IF($B1760="","",N($L1760)+N($N1760)+N($P1760))</f>
        <v/>
      </c>
      <c r="T1760" s="42" t="n"/>
      <c r="U1760" s="42" t="n"/>
      <c r="V1760" s="42" t="n"/>
      <c r="W1760" s="42" t="n"/>
      <c r="X1760" s="42" t="n"/>
      <c r="Y1760" s="42" t="n"/>
      <c r="Z1760" s="42" t="n"/>
      <c r="AA1760" s="42" t="n"/>
      <c r="AB1760" s="42" t="n"/>
      <c r="AC1760" s="42" t="n"/>
      <c r="AD1760" s="42" t="n"/>
      <c r="AE1760" s="42" t="n"/>
      <c r="AF1760" s="43">
        <f>IF($B1760="","",SUM($T1760:$AE1760))</f>
        <v/>
      </c>
      <c r="AG1760" s="43">
        <f>IF($B1760="","",N($M1760)-N($AF1760))</f>
        <v/>
      </c>
      <c r="AH1760" s="43">
        <f>IF($B1760="","",N($L1760)-N($AF1760))</f>
        <v/>
      </c>
      <c r="AI1760" s="149">
        <f>IF($B1760="","",IF(N($L1760)=0,"",(N($L1760)-N($AF1760))/N($L1760)))</f>
        <v/>
      </c>
    </row>
    <row r="1761">
      <c r="A1761" s="39">
        <f>IF($B1761="","",COUNTA($B$4:$B1761))</f>
        <v/>
      </c>
      <c r="B1761" s="45" t="n"/>
      <c r="C1761" s="46" t="n"/>
      <c r="D1761" s="46" t="n"/>
      <c r="E1761" s="46" t="n"/>
      <c r="F1761" s="46" t="n"/>
      <c r="G1761" s="46" t="n"/>
      <c r="H1761" s="46" t="n"/>
      <c r="I1761" s="46" t="n"/>
      <c r="J1761" s="46" t="n"/>
      <c r="K1761" s="46" t="n"/>
      <c r="L1761" s="47" t="n"/>
      <c r="M1761" s="47" t="n"/>
      <c r="N1761" s="47" t="n"/>
      <c r="O1761" s="47" t="n"/>
      <c r="P1761" s="47" t="n"/>
      <c r="Q1761" s="47" t="n"/>
      <c r="R1761" s="43">
        <f>IF($B1761="","",N($S1761)-N($Q1761))</f>
        <v/>
      </c>
      <c r="S1761" s="43">
        <f>IF($B1761="","",N($L1761)+N($N1761)+N($P1761))</f>
        <v/>
      </c>
      <c r="T1761" s="47" t="n"/>
      <c r="U1761" s="47" t="n"/>
      <c r="V1761" s="47" t="n"/>
      <c r="W1761" s="47" t="n"/>
      <c r="X1761" s="47" t="n"/>
      <c r="Y1761" s="47" t="n"/>
      <c r="Z1761" s="47" t="n"/>
      <c r="AA1761" s="47" t="n"/>
      <c r="AB1761" s="47" t="n"/>
      <c r="AC1761" s="47" t="n"/>
      <c r="AD1761" s="47" t="n"/>
      <c r="AE1761" s="47" t="n"/>
      <c r="AF1761" s="43">
        <f>IF($B1761="","",SUM($T1761:$AE1761))</f>
        <v/>
      </c>
      <c r="AG1761" s="43">
        <f>IF($B1761="","",N($M1761)-N($AF1761))</f>
        <v/>
      </c>
      <c r="AH1761" s="43">
        <f>IF($B1761="","",N($L1761)-N($AF1761))</f>
        <v/>
      </c>
      <c r="AI1761" s="149">
        <f>IF($B1761="","",IF(N($L1761)=0,"",(N($L1761)-N($AF1761))/N($L1761)))</f>
        <v/>
      </c>
    </row>
    <row r="1762">
      <c r="A1762" s="39">
        <f>IF($B1762="","",COUNTA($B$4:$B1762))</f>
        <v/>
      </c>
      <c r="B1762" s="40" t="n"/>
      <c r="C1762" s="41" t="n"/>
      <c r="D1762" s="41" t="n"/>
      <c r="E1762" s="41" t="n"/>
      <c r="F1762" s="41" t="n"/>
      <c r="G1762" s="41" t="n"/>
      <c r="H1762" s="41" t="n"/>
      <c r="I1762" s="41" t="n"/>
      <c r="J1762" s="41" t="n"/>
      <c r="K1762" s="41" t="n"/>
      <c r="L1762" s="42" t="n"/>
      <c r="M1762" s="42" t="n"/>
      <c r="N1762" s="42" t="n"/>
      <c r="O1762" s="42" t="n"/>
      <c r="P1762" s="42" t="n"/>
      <c r="Q1762" s="42" t="n"/>
      <c r="R1762" s="43">
        <f>IF($B1762="","",N($S1762)-N($Q1762))</f>
        <v/>
      </c>
      <c r="S1762" s="43">
        <f>IF($B1762="","",N($L1762)+N($N1762)+N($P1762))</f>
        <v/>
      </c>
      <c r="T1762" s="42" t="n"/>
      <c r="U1762" s="42" t="n"/>
      <c r="V1762" s="42" t="n"/>
      <c r="W1762" s="42" t="n"/>
      <c r="X1762" s="42" t="n"/>
      <c r="Y1762" s="42" t="n"/>
      <c r="Z1762" s="42" t="n"/>
      <c r="AA1762" s="42" t="n"/>
      <c r="AB1762" s="42" t="n"/>
      <c r="AC1762" s="42" t="n"/>
      <c r="AD1762" s="42" t="n"/>
      <c r="AE1762" s="42" t="n"/>
      <c r="AF1762" s="43">
        <f>IF($B1762="","",SUM($T1762:$AE1762))</f>
        <v/>
      </c>
      <c r="AG1762" s="43">
        <f>IF($B1762="","",N($M1762)-N($AF1762))</f>
        <v/>
      </c>
      <c r="AH1762" s="43">
        <f>IF($B1762="","",N($L1762)-N($AF1762))</f>
        <v/>
      </c>
      <c r="AI1762" s="149">
        <f>IF($B1762="","",IF(N($L1762)=0,"",(N($L1762)-N($AF1762))/N($L1762)))</f>
        <v/>
      </c>
    </row>
    <row r="1763">
      <c r="A1763" s="39">
        <f>IF($B1763="","",COUNTA($B$4:$B1763))</f>
        <v/>
      </c>
      <c r="B1763" s="45" t="n"/>
      <c r="C1763" s="46" t="n"/>
      <c r="D1763" s="46" t="n"/>
      <c r="E1763" s="46" t="n"/>
      <c r="F1763" s="46" t="n"/>
      <c r="G1763" s="46" t="n"/>
      <c r="H1763" s="46" t="n"/>
      <c r="I1763" s="46" t="n"/>
      <c r="J1763" s="46" t="n"/>
      <c r="K1763" s="46" t="n"/>
      <c r="L1763" s="47" t="n"/>
      <c r="M1763" s="47" t="n"/>
      <c r="N1763" s="47" t="n"/>
      <c r="O1763" s="47" t="n"/>
      <c r="P1763" s="47" t="n"/>
      <c r="Q1763" s="47" t="n"/>
      <c r="R1763" s="43">
        <f>IF($B1763="","",N($S1763)-N($Q1763))</f>
        <v/>
      </c>
      <c r="S1763" s="43">
        <f>IF($B1763="","",N($L1763)+N($N1763)+N($P1763))</f>
        <v/>
      </c>
      <c r="T1763" s="47" t="n"/>
      <c r="U1763" s="47" t="n"/>
      <c r="V1763" s="47" t="n"/>
      <c r="W1763" s="47" t="n"/>
      <c r="X1763" s="47" t="n"/>
      <c r="Y1763" s="47" t="n"/>
      <c r="Z1763" s="47" t="n"/>
      <c r="AA1763" s="47" t="n"/>
      <c r="AB1763" s="47" t="n"/>
      <c r="AC1763" s="47" t="n"/>
      <c r="AD1763" s="47" t="n"/>
      <c r="AE1763" s="47" t="n"/>
      <c r="AF1763" s="43">
        <f>IF($B1763="","",SUM($T1763:$AE1763))</f>
        <v/>
      </c>
      <c r="AG1763" s="43">
        <f>IF($B1763="","",N($M1763)-N($AF1763))</f>
        <v/>
      </c>
      <c r="AH1763" s="43">
        <f>IF($B1763="","",N($L1763)-N($AF1763))</f>
        <v/>
      </c>
      <c r="AI1763" s="149">
        <f>IF($B1763="","",IF(N($L1763)=0,"",(N($L1763)-N($AF1763))/N($L1763)))</f>
        <v/>
      </c>
    </row>
    <row r="1764">
      <c r="A1764" s="39">
        <f>IF($B1764="","",COUNTA($B$4:$B1764))</f>
        <v/>
      </c>
      <c r="B1764" s="40" t="n"/>
      <c r="C1764" s="41" t="n"/>
      <c r="D1764" s="41" t="n"/>
      <c r="E1764" s="41" t="n"/>
      <c r="F1764" s="41" t="n"/>
      <c r="G1764" s="41" t="n"/>
      <c r="H1764" s="41" t="n"/>
      <c r="I1764" s="41" t="n"/>
      <c r="J1764" s="41" t="n"/>
      <c r="K1764" s="41" t="n"/>
      <c r="L1764" s="42" t="n"/>
      <c r="M1764" s="42" t="n"/>
      <c r="N1764" s="42" t="n"/>
      <c r="O1764" s="42" t="n"/>
      <c r="P1764" s="42" t="n"/>
      <c r="Q1764" s="42" t="n"/>
      <c r="R1764" s="43">
        <f>IF($B1764="","",N($S1764)-N($Q1764))</f>
        <v/>
      </c>
      <c r="S1764" s="43">
        <f>IF($B1764="","",N($L1764)+N($N1764)+N($P1764))</f>
        <v/>
      </c>
      <c r="T1764" s="42" t="n"/>
      <c r="U1764" s="42" t="n"/>
      <c r="V1764" s="42" t="n"/>
      <c r="W1764" s="42" t="n"/>
      <c r="X1764" s="42" t="n"/>
      <c r="Y1764" s="42" t="n"/>
      <c r="Z1764" s="42" t="n"/>
      <c r="AA1764" s="42" t="n"/>
      <c r="AB1764" s="42" t="n"/>
      <c r="AC1764" s="42" t="n"/>
      <c r="AD1764" s="42" t="n"/>
      <c r="AE1764" s="42" t="n"/>
      <c r="AF1764" s="43">
        <f>IF($B1764="","",SUM($T1764:$AE1764))</f>
        <v/>
      </c>
      <c r="AG1764" s="43">
        <f>IF($B1764="","",N($M1764)-N($AF1764))</f>
        <v/>
      </c>
      <c r="AH1764" s="43">
        <f>IF($B1764="","",N($L1764)-N($AF1764))</f>
        <v/>
      </c>
      <c r="AI1764" s="149">
        <f>IF($B1764="","",IF(N($L1764)=0,"",(N($L1764)-N($AF1764))/N($L1764)))</f>
        <v/>
      </c>
    </row>
    <row r="1765">
      <c r="A1765" s="39">
        <f>IF($B1765="","",COUNTA($B$4:$B1765))</f>
        <v/>
      </c>
      <c r="B1765" s="45" t="n"/>
      <c r="C1765" s="46" t="n"/>
      <c r="D1765" s="46" t="n"/>
      <c r="E1765" s="46" t="n"/>
      <c r="F1765" s="46" t="n"/>
      <c r="G1765" s="46" t="n"/>
      <c r="H1765" s="46" t="n"/>
      <c r="I1765" s="46" t="n"/>
      <c r="J1765" s="46" t="n"/>
      <c r="K1765" s="46" t="n"/>
      <c r="L1765" s="47" t="n"/>
      <c r="M1765" s="47" t="n"/>
      <c r="N1765" s="47" t="n"/>
      <c r="O1765" s="47" t="n"/>
      <c r="P1765" s="47" t="n"/>
      <c r="Q1765" s="47" t="n"/>
      <c r="R1765" s="43">
        <f>IF($B1765="","",N($S1765)-N($Q1765))</f>
        <v/>
      </c>
      <c r="S1765" s="43">
        <f>IF($B1765="","",N($L1765)+N($N1765)+N($P1765))</f>
        <v/>
      </c>
      <c r="T1765" s="47" t="n"/>
      <c r="U1765" s="47" t="n"/>
      <c r="V1765" s="47" t="n"/>
      <c r="W1765" s="47" t="n"/>
      <c r="X1765" s="47" t="n"/>
      <c r="Y1765" s="47" t="n"/>
      <c r="Z1765" s="47" t="n"/>
      <c r="AA1765" s="47" t="n"/>
      <c r="AB1765" s="47" t="n"/>
      <c r="AC1765" s="47" t="n"/>
      <c r="AD1765" s="47" t="n"/>
      <c r="AE1765" s="47" t="n"/>
      <c r="AF1765" s="43">
        <f>IF($B1765="","",SUM($T1765:$AE1765))</f>
        <v/>
      </c>
      <c r="AG1765" s="43">
        <f>IF($B1765="","",N($M1765)-N($AF1765))</f>
        <v/>
      </c>
      <c r="AH1765" s="43">
        <f>IF($B1765="","",N($L1765)-N($AF1765))</f>
        <v/>
      </c>
      <c r="AI1765" s="149">
        <f>IF($B1765="","",IF(N($L1765)=0,"",(N($L1765)-N($AF1765))/N($L1765)))</f>
        <v/>
      </c>
    </row>
    <row r="1766">
      <c r="A1766" s="39">
        <f>IF($B1766="","",COUNTA($B$4:$B1766))</f>
        <v/>
      </c>
      <c r="B1766" s="40" t="n"/>
      <c r="C1766" s="41" t="n"/>
      <c r="D1766" s="41" t="n"/>
      <c r="E1766" s="41" t="n"/>
      <c r="F1766" s="41" t="n"/>
      <c r="G1766" s="41" t="n"/>
      <c r="H1766" s="41" t="n"/>
      <c r="I1766" s="41" t="n"/>
      <c r="J1766" s="41" t="n"/>
      <c r="K1766" s="41" t="n"/>
      <c r="L1766" s="42" t="n"/>
      <c r="M1766" s="42" t="n"/>
      <c r="N1766" s="42" t="n"/>
      <c r="O1766" s="42" t="n"/>
      <c r="P1766" s="42" t="n"/>
      <c r="Q1766" s="42" t="n"/>
      <c r="R1766" s="43">
        <f>IF($B1766="","",N($S1766)-N($Q1766))</f>
        <v/>
      </c>
      <c r="S1766" s="43">
        <f>IF($B1766="","",N($L1766)+N($N1766)+N($P1766))</f>
        <v/>
      </c>
      <c r="T1766" s="42" t="n"/>
      <c r="U1766" s="42" t="n"/>
      <c r="V1766" s="42" t="n"/>
      <c r="W1766" s="42" t="n"/>
      <c r="X1766" s="42" t="n"/>
      <c r="Y1766" s="42" t="n"/>
      <c r="Z1766" s="42" t="n"/>
      <c r="AA1766" s="42" t="n"/>
      <c r="AB1766" s="42" t="n"/>
      <c r="AC1766" s="42" t="n"/>
      <c r="AD1766" s="42" t="n"/>
      <c r="AE1766" s="42" t="n"/>
      <c r="AF1766" s="43">
        <f>IF($B1766="","",SUM($T1766:$AE1766))</f>
        <v/>
      </c>
      <c r="AG1766" s="43">
        <f>IF($B1766="","",N($M1766)-N($AF1766))</f>
        <v/>
      </c>
      <c r="AH1766" s="43">
        <f>IF($B1766="","",N($L1766)-N($AF1766))</f>
        <v/>
      </c>
      <c r="AI1766" s="149">
        <f>IF($B1766="","",IF(N($L1766)=0,"",(N($L1766)-N($AF1766))/N($L1766)))</f>
        <v/>
      </c>
    </row>
    <row r="1767">
      <c r="A1767" s="39">
        <f>IF($B1767="","",COUNTA($B$4:$B1767))</f>
        <v/>
      </c>
      <c r="B1767" s="45" t="n"/>
      <c r="C1767" s="46" t="n"/>
      <c r="D1767" s="46" t="n"/>
      <c r="E1767" s="46" t="n"/>
      <c r="F1767" s="46" t="n"/>
      <c r="G1767" s="46" t="n"/>
      <c r="H1767" s="46" t="n"/>
      <c r="I1767" s="46" t="n"/>
      <c r="J1767" s="46" t="n"/>
      <c r="K1767" s="46" t="n"/>
      <c r="L1767" s="47" t="n"/>
      <c r="M1767" s="47" t="n"/>
      <c r="N1767" s="47" t="n"/>
      <c r="O1767" s="47" t="n"/>
      <c r="P1767" s="47" t="n"/>
      <c r="Q1767" s="47" t="n"/>
      <c r="R1767" s="43">
        <f>IF($B1767="","",N($S1767)-N($Q1767))</f>
        <v/>
      </c>
      <c r="S1767" s="43">
        <f>IF($B1767="","",N($L1767)+N($N1767)+N($P1767))</f>
        <v/>
      </c>
      <c r="T1767" s="47" t="n"/>
      <c r="U1767" s="47" t="n"/>
      <c r="V1767" s="47" t="n"/>
      <c r="W1767" s="47" t="n"/>
      <c r="X1767" s="47" t="n"/>
      <c r="Y1767" s="47" t="n"/>
      <c r="Z1767" s="47" t="n"/>
      <c r="AA1767" s="47" t="n"/>
      <c r="AB1767" s="47" t="n"/>
      <c r="AC1767" s="47" t="n"/>
      <c r="AD1767" s="47" t="n"/>
      <c r="AE1767" s="47" t="n"/>
      <c r="AF1767" s="43">
        <f>IF($B1767="","",SUM($T1767:$AE1767))</f>
        <v/>
      </c>
      <c r="AG1767" s="43">
        <f>IF($B1767="","",N($M1767)-N($AF1767))</f>
        <v/>
      </c>
      <c r="AH1767" s="43">
        <f>IF($B1767="","",N($L1767)-N($AF1767))</f>
        <v/>
      </c>
      <c r="AI1767" s="149">
        <f>IF($B1767="","",IF(N($L1767)=0,"",(N($L1767)-N($AF1767))/N($L1767)))</f>
        <v/>
      </c>
    </row>
    <row r="1768">
      <c r="A1768" s="39">
        <f>IF($B1768="","",COUNTA($B$4:$B1768))</f>
        <v/>
      </c>
      <c r="B1768" s="40" t="n"/>
      <c r="C1768" s="41" t="n"/>
      <c r="D1768" s="41" t="n"/>
      <c r="E1768" s="41" t="n"/>
      <c r="F1768" s="41" t="n"/>
      <c r="G1768" s="41" t="n"/>
      <c r="H1768" s="41" t="n"/>
      <c r="I1768" s="41" t="n"/>
      <c r="J1768" s="41" t="n"/>
      <c r="K1768" s="41" t="n"/>
      <c r="L1768" s="42" t="n"/>
      <c r="M1768" s="42" t="n"/>
      <c r="N1768" s="42" t="n"/>
      <c r="O1768" s="42" t="n"/>
      <c r="P1768" s="42" t="n"/>
      <c r="Q1768" s="42" t="n"/>
      <c r="R1768" s="43">
        <f>IF($B1768="","",N($S1768)-N($Q1768))</f>
        <v/>
      </c>
      <c r="S1768" s="43">
        <f>IF($B1768="","",N($L1768)+N($N1768)+N($P1768))</f>
        <v/>
      </c>
      <c r="T1768" s="42" t="n"/>
      <c r="U1768" s="42" t="n"/>
      <c r="V1768" s="42" t="n"/>
      <c r="W1768" s="42" t="n"/>
      <c r="X1768" s="42" t="n"/>
      <c r="Y1768" s="42" t="n"/>
      <c r="Z1768" s="42" t="n"/>
      <c r="AA1768" s="42" t="n"/>
      <c r="AB1768" s="42" t="n"/>
      <c r="AC1768" s="42" t="n"/>
      <c r="AD1768" s="42" t="n"/>
      <c r="AE1768" s="42" t="n"/>
      <c r="AF1768" s="43">
        <f>IF($B1768="","",SUM($T1768:$AE1768))</f>
        <v/>
      </c>
      <c r="AG1768" s="43">
        <f>IF($B1768="","",N($M1768)-N($AF1768))</f>
        <v/>
      </c>
      <c r="AH1768" s="43">
        <f>IF($B1768="","",N($L1768)-N($AF1768))</f>
        <v/>
      </c>
      <c r="AI1768" s="149">
        <f>IF($B1768="","",IF(N($L1768)=0,"",(N($L1768)-N($AF1768))/N($L1768)))</f>
        <v/>
      </c>
    </row>
    <row r="1769">
      <c r="A1769" s="39">
        <f>IF($B1769="","",COUNTA($B$4:$B1769))</f>
        <v/>
      </c>
      <c r="B1769" s="45" t="n"/>
      <c r="C1769" s="46" t="n"/>
      <c r="D1769" s="46" t="n"/>
      <c r="E1769" s="46" t="n"/>
      <c r="F1769" s="46" t="n"/>
      <c r="G1769" s="46" t="n"/>
      <c r="H1769" s="46" t="n"/>
      <c r="I1769" s="46" t="n"/>
      <c r="J1769" s="46" t="n"/>
      <c r="K1769" s="46" t="n"/>
      <c r="L1769" s="47" t="n"/>
      <c r="M1769" s="47" t="n"/>
      <c r="N1769" s="47" t="n"/>
      <c r="O1769" s="47" t="n"/>
      <c r="P1769" s="47" t="n"/>
      <c r="Q1769" s="47" t="n"/>
      <c r="R1769" s="43">
        <f>IF($B1769="","",N($S1769)-N($Q1769))</f>
        <v/>
      </c>
      <c r="S1769" s="43">
        <f>IF($B1769="","",N($L1769)+N($N1769)+N($P1769))</f>
        <v/>
      </c>
      <c r="T1769" s="47" t="n"/>
      <c r="U1769" s="47" t="n"/>
      <c r="V1769" s="47" t="n"/>
      <c r="W1769" s="47" t="n"/>
      <c r="X1769" s="47" t="n"/>
      <c r="Y1769" s="47" t="n"/>
      <c r="Z1769" s="47" t="n"/>
      <c r="AA1769" s="47" t="n"/>
      <c r="AB1769" s="47" t="n"/>
      <c r="AC1769" s="47" t="n"/>
      <c r="AD1769" s="47" t="n"/>
      <c r="AE1769" s="47" t="n"/>
      <c r="AF1769" s="43">
        <f>IF($B1769="","",SUM($T1769:$AE1769))</f>
        <v/>
      </c>
      <c r="AG1769" s="43">
        <f>IF($B1769="","",N($M1769)-N($AF1769))</f>
        <v/>
      </c>
      <c r="AH1769" s="43">
        <f>IF($B1769="","",N($L1769)-N($AF1769))</f>
        <v/>
      </c>
      <c r="AI1769" s="149">
        <f>IF($B1769="","",IF(N($L1769)=0,"",(N($L1769)-N($AF1769))/N($L1769)))</f>
        <v/>
      </c>
    </row>
    <row r="1770">
      <c r="A1770" s="39">
        <f>IF($B1770="","",COUNTA($B$4:$B1770))</f>
        <v/>
      </c>
      <c r="B1770" s="40" t="n"/>
      <c r="C1770" s="41" t="n"/>
      <c r="D1770" s="41" t="n"/>
      <c r="E1770" s="41" t="n"/>
      <c r="F1770" s="41" t="n"/>
      <c r="G1770" s="41" t="n"/>
      <c r="H1770" s="41" t="n"/>
      <c r="I1770" s="41" t="n"/>
      <c r="J1770" s="41" t="n"/>
      <c r="K1770" s="41" t="n"/>
      <c r="L1770" s="42" t="n"/>
      <c r="M1770" s="42" t="n"/>
      <c r="N1770" s="42" t="n"/>
      <c r="O1770" s="42" t="n"/>
      <c r="P1770" s="42" t="n"/>
      <c r="Q1770" s="42" t="n"/>
      <c r="R1770" s="43">
        <f>IF($B1770="","",N($S1770)-N($Q1770))</f>
        <v/>
      </c>
      <c r="S1770" s="43">
        <f>IF($B1770="","",N($L1770)+N($N1770)+N($P1770))</f>
        <v/>
      </c>
      <c r="T1770" s="42" t="n"/>
      <c r="U1770" s="42" t="n"/>
      <c r="V1770" s="42" t="n"/>
      <c r="W1770" s="42" t="n"/>
      <c r="X1770" s="42" t="n"/>
      <c r="Y1770" s="42" t="n"/>
      <c r="Z1770" s="42" t="n"/>
      <c r="AA1770" s="42" t="n"/>
      <c r="AB1770" s="42" t="n"/>
      <c r="AC1770" s="42" t="n"/>
      <c r="AD1770" s="42" t="n"/>
      <c r="AE1770" s="42" t="n"/>
      <c r="AF1770" s="43">
        <f>IF($B1770="","",SUM($T1770:$AE1770))</f>
        <v/>
      </c>
      <c r="AG1770" s="43">
        <f>IF($B1770="","",N($M1770)-N($AF1770))</f>
        <v/>
      </c>
      <c r="AH1770" s="43">
        <f>IF($B1770="","",N($L1770)-N($AF1770))</f>
        <v/>
      </c>
      <c r="AI1770" s="149">
        <f>IF($B1770="","",IF(N($L1770)=0,"",(N($L1770)-N($AF1770))/N($L1770)))</f>
        <v/>
      </c>
    </row>
    <row r="1771">
      <c r="A1771" s="39">
        <f>IF($B1771="","",COUNTA($B$4:$B1771))</f>
        <v/>
      </c>
      <c r="B1771" s="45" t="n"/>
      <c r="C1771" s="46" t="n"/>
      <c r="D1771" s="46" t="n"/>
      <c r="E1771" s="46" t="n"/>
      <c r="F1771" s="46" t="n"/>
      <c r="G1771" s="46" t="n"/>
      <c r="H1771" s="46" t="n"/>
      <c r="I1771" s="46" t="n"/>
      <c r="J1771" s="46" t="n"/>
      <c r="K1771" s="46" t="n"/>
      <c r="L1771" s="47" t="n"/>
      <c r="M1771" s="47" t="n"/>
      <c r="N1771" s="47" t="n"/>
      <c r="O1771" s="47" t="n"/>
      <c r="P1771" s="47" t="n"/>
      <c r="Q1771" s="47" t="n"/>
      <c r="R1771" s="43">
        <f>IF($B1771="","",N($S1771)-N($Q1771))</f>
        <v/>
      </c>
      <c r="S1771" s="43">
        <f>IF($B1771="","",N($L1771)+N($N1771)+N($P1771))</f>
        <v/>
      </c>
      <c r="T1771" s="47" t="n"/>
      <c r="U1771" s="47" t="n"/>
      <c r="V1771" s="47" t="n"/>
      <c r="W1771" s="47" t="n"/>
      <c r="X1771" s="47" t="n"/>
      <c r="Y1771" s="47" t="n"/>
      <c r="Z1771" s="47" t="n"/>
      <c r="AA1771" s="47" t="n"/>
      <c r="AB1771" s="47" t="n"/>
      <c r="AC1771" s="47" t="n"/>
      <c r="AD1771" s="47" t="n"/>
      <c r="AE1771" s="47" t="n"/>
      <c r="AF1771" s="43">
        <f>IF($B1771="","",SUM($T1771:$AE1771))</f>
        <v/>
      </c>
      <c r="AG1771" s="43">
        <f>IF($B1771="","",N($M1771)-N($AF1771))</f>
        <v/>
      </c>
      <c r="AH1771" s="43">
        <f>IF($B1771="","",N($L1771)-N($AF1771))</f>
        <v/>
      </c>
      <c r="AI1771" s="149">
        <f>IF($B1771="","",IF(N($L1771)=0,"",(N($L1771)-N($AF1771))/N($L1771)))</f>
        <v/>
      </c>
    </row>
    <row r="1772">
      <c r="A1772" s="39">
        <f>IF($B1772="","",COUNTA($B$4:$B1772))</f>
        <v/>
      </c>
      <c r="B1772" s="40" t="n"/>
      <c r="C1772" s="41" t="n"/>
      <c r="D1772" s="41" t="n"/>
      <c r="E1772" s="41" t="n"/>
      <c r="F1772" s="41" t="n"/>
      <c r="G1772" s="41" t="n"/>
      <c r="H1772" s="41" t="n"/>
      <c r="I1772" s="41" t="n"/>
      <c r="J1772" s="41" t="n"/>
      <c r="K1772" s="41" t="n"/>
      <c r="L1772" s="42" t="n"/>
      <c r="M1772" s="42" t="n"/>
      <c r="N1772" s="42" t="n"/>
      <c r="O1772" s="42" t="n"/>
      <c r="P1772" s="42" t="n"/>
      <c r="Q1772" s="42" t="n"/>
      <c r="R1772" s="43">
        <f>IF($B1772="","",N($S1772)-N($Q1772))</f>
        <v/>
      </c>
      <c r="S1772" s="43">
        <f>IF($B1772="","",N($L1772)+N($N1772)+N($P1772))</f>
        <v/>
      </c>
      <c r="T1772" s="42" t="n"/>
      <c r="U1772" s="42" t="n"/>
      <c r="V1772" s="42" t="n"/>
      <c r="W1772" s="42" t="n"/>
      <c r="X1772" s="42" t="n"/>
      <c r="Y1772" s="42" t="n"/>
      <c r="Z1772" s="42" t="n"/>
      <c r="AA1772" s="42" t="n"/>
      <c r="AB1772" s="42" t="n"/>
      <c r="AC1772" s="42" t="n"/>
      <c r="AD1772" s="42" t="n"/>
      <c r="AE1772" s="42" t="n"/>
      <c r="AF1772" s="43">
        <f>IF($B1772="","",SUM($T1772:$AE1772))</f>
        <v/>
      </c>
      <c r="AG1772" s="43">
        <f>IF($B1772="","",N($M1772)-N($AF1772))</f>
        <v/>
      </c>
      <c r="AH1772" s="43">
        <f>IF($B1772="","",N($L1772)-N($AF1772))</f>
        <v/>
      </c>
      <c r="AI1772" s="149">
        <f>IF($B1772="","",IF(N($L1772)=0,"",(N($L1772)-N($AF1772))/N($L1772)))</f>
        <v/>
      </c>
    </row>
    <row r="1773">
      <c r="A1773" s="39">
        <f>IF($B1773="","",COUNTA($B$4:$B1773))</f>
        <v/>
      </c>
      <c r="B1773" s="45" t="n"/>
      <c r="C1773" s="46" t="n"/>
      <c r="D1773" s="46" t="n"/>
      <c r="E1773" s="46" t="n"/>
      <c r="F1773" s="46" t="n"/>
      <c r="G1773" s="46" t="n"/>
      <c r="H1773" s="46" t="n"/>
      <c r="I1773" s="46" t="n"/>
      <c r="J1773" s="46" t="n"/>
      <c r="K1773" s="46" t="n"/>
      <c r="L1773" s="47" t="n"/>
      <c r="M1773" s="47" t="n"/>
      <c r="N1773" s="47" t="n"/>
      <c r="O1773" s="47" t="n"/>
      <c r="P1773" s="47" t="n"/>
      <c r="Q1773" s="47" t="n"/>
      <c r="R1773" s="43">
        <f>IF($B1773="","",N($S1773)-N($Q1773))</f>
        <v/>
      </c>
      <c r="S1773" s="43">
        <f>IF($B1773="","",N($L1773)+N($N1773)+N($P1773))</f>
        <v/>
      </c>
      <c r="T1773" s="47" t="n"/>
      <c r="U1773" s="47" t="n"/>
      <c r="V1773" s="47" t="n"/>
      <c r="W1773" s="47" t="n"/>
      <c r="X1773" s="47" t="n"/>
      <c r="Y1773" s="47" t="n"/>
      <c r="Z1773" s="47" t="n"/>
      <c r="AA1773" s="47" t="n"/>
      <c r="AB1773" s="47" t="n"/>
      <c r="AC1773" s="47" t="n"/>
      <c r="AD1773" s="47" t="n"/>
      <c r="AE1773" s="47" t="n"/>
      <c r="AF1773" s="43">
        <f>IF($B1773="","",SUM($T1773:$AE1773))</f>
        <v/>
      </c>
      <c r="AG1773" s="43">
        <f>IF($B1773="","",N($M1773)-N($AF1773))</f>
        <v/>
      </c>
      <c r="AH1773" s="43">
        <f>IF($B1773="","",N($L1773)-N($AF1773))</f>
        <v/>
      </c>
      <c r="AI1773" s="149">
        <f>IF($B1773="","",IF(N($L1773)=0,"",(N($L1773)-N($AF1773))/N($L1773)))</f>
        <v/>
      </c>
    </row>
    <row r="1774">
      <c r="A1774" s="39">
        <f>IF($B1774="","",COUNTA($B$4:$B1774))</f>
        <v/>
      </c>
      <c r="B1774" s="40" t="n"/>
      <c r="C1774" s="41" t="n"/>
      <c r="D1774" s="41" t="n"/>
      <c r="E1774" s="41" t="n"/>
      <c r="F1774" s="41" t="n"/>
      <c r="G1774" s="41" t="n"/>
      <c r="H1774" s="41" t="n"/>
      <c r="I1774" s="41" t="n"/>
      <c r="J1774" s="41" t="n"/>
      <c r="K1774" s="41" t="n"/>
      <c r="L1774" s="42" t="n"/>
      <c r="M1774" s="42" t="n"/>
      <c r="N1774" s="42" t="n"/>
      <c r="O1774" s="42" t="n"/>
      <c r="P1774" s="42" t="n"/>
      <c r="Q1774" s="42" t="n"/>
      <c r="R1774" s="43">
        <f>IF($B1774="","",N($S1774)-N($Q1774))</f>
        <v/>
      </c>
      <c r="S1774" s="43">
        <f>IF($B1774="","",N($L1774)+N($N1774)+N($P1774))</f>
        <v/>
      </c>
      <c r="T1774" s="42" t="n"/>
      <c r="U1774" s="42" t="n"/>
      <c r="V1774" s="42" t="n"/>
      <c r="W1774" s="42" t="n"/>
      <c r="X1774" s="42" t="n"/>
      <c r="Y1774" s="42" t="n"/>
      <c r="Z1774" s="42" t="n"/>
      <c r="AA1774" s="42" t="n"/>
      <c r="AB1774" s="42" t="n"/>
      <c r="AC1774" s="42" t="n"/>
      <c r="AD1774" s="42" t="n"/>
      <c r="AE1774" s="42" t="n"/>
      <c r="AF1774" s="43">
        <f>IF($B1774="","",SUM($T1774:$AE1774))</f>
        <v/>
      </c>
      <c r="AG1774" s="43">
        <f>IF($B1774="","",N($M1774)-N($AF1774))</f>
        <v/>
      </c>
      <c r="AH1774" s="43">
        <f>IF($B1774="","",N($L1774)-N($AF1774))</f>
        <v/>
      </c>
      <c r="AI1774" s="149">
        <f>IF($B1774="","",IF(N($L1774)=0,"",(N($L1774)-N($AF1774))/N($L1774)))</f>
        <v/>
      </c>
    </row>
    <row r="1775">
      <c r="A1775" s="39">
        <f>IF($B1775="","",COUNTA($B$4:$B1775))</f>
        <v/>
      </c>
      <c r="B1775" s="45" t="n"/>
      <c r="C1775" s="46" t="n"/>
      <c r="D1775" s="46" t="n"/>
      <c r="E1775" s="46" t="n"/>
      <c r="F1775" s="46" t="n"/>
      <c r="G1775" s="46" t="n"/>
      <c r="H1775" s="46" t="n"/>
      <c r="I1775" s="46" t="n"/>
      <c r="J1775" s="46" t="n"/>
      <c r="K1775" s="46" t="n"/>
      <c r="L1775" s="47" t="n"/>
      <c r="M1775" s="47" t="n"/>
      <c r="N1775" s="47" t="n"/>
      <c r="O1775" s="47" t="n"/>
      <c r="P1775" s="47" t="n"/>
      <c r="Q1775" s="47" t="n"/>
      <c r="R1775" s="43">
        <f>IF($B1775="","",N($S1775)-N($Q1775))</f>
        <v/>
      </c>
      <c r="S1775" s="43">
        <f>IF($B1775="","",N($L1775)+N($N1775)+N($P1775))</f>
        <v/>
      </c>
      <c r="T1775" s="47" t="n"/>
      <c r="U1775" s="47" t="n"/>
      <c r="V1775" s="47" t="n"/>
      <c r="W1775" s="47" t="n"/>
      <c r="X1775" s="47" t="n"/>
      <c r="Y1775" s="47" t="n"/>
      <c r="Z1775" s="47" t="n"/>
      <c r="AA1775" s="47" t="n"/>
      <c r="AB1775" s="47" t="n"/>
      <c r="AC1775" s="47" t="n"/>
      <c r="AD1775" s="47" t="n"/>
      <c r="AE1775" s="47" t="n"/>
      <c r="AF1775" s="43">
        <f>IF($B1775="","",SUM($T1775:$AE1775))</f>
        <v/>
      </c>
      <c r="AG1775" s="43">
        <f>IF($B1775="","",N($M1775)-N($AF1775))</f>
        <v/>
      </c>
      <c r="AH1775" s="43">
        <f>IF($B1775="","",N($L1775)-N($AF1775))</f>
        <v/>
      </c>
      <c r="AI1775" s="149">
        <f>IF($B1775="","",IF(N($L1775)=0,"",(N($L1775)-N($AF1775))/N($L1775)))</f>
        <v/>
      </c>
    </row>
    <row r="1776">
      <c r="A1776" s="39">
        <f>IF($B1776="","",COUNTA($B$4:$B1776))</f>
        <v/>
      </c>
      <c r="B1776" s="40" t="n"/>
      <c r="C1776" s="41" t="n"/>
      <c r="D1776" s="41" t="n"/>
      <c r="E1776" s="41" t="n"/>
      <c r="F1776" s="41" t="n"/>
      <c r="G1776" s="41" t="n"/>
      <c r="H1776" s="41" t="n"/>
      <c r="I1776" s="41" t="n"/>
      <c r="J1776" s="41" t="n"/>
      <c r="K1776" s="41" t="n"/>
      <c r="L1776" s="42" t="n"/>
      <c r="M1776" s="42" t="n"/>
      <c r="N1776" s="42" t="n"/>
      <c r="O1776" s="42" t="n"/>
      <c r="P1776" s="42" t="n"/>
      <c r="Q1776" s="42" t="n"/>
      <c r="R1776" s="43">
        <f>IF($B1776="","",N($S1776)-N($Q1776))</f>
        <v/>
      </c>
      <c r="S1776" s="43">
        <f>IF($B1776="","",N($L1776)+N($N1776)+N($P1776))</f>
        <v/>
      </c>
      <c r="T1776" s="42" t="n"/>
      <c r="U1776" s="42" t="n"/>
      <c r="V1776" s="42" t="n"/>
      <c r="W1776" s="42" t="n"/>
      <c r="X1776" s="42" t="n"/>
      <c r="Y1776" s="42" t="n"/>
      <c r="Z1776" s="42" t="n"/>
      <c r="AA1776" s="42" t="n"/>
      <c r="AB1776" s="42" t="n"/>
      <c r="AC1776" s="42" t="n"/>
      <c r="AD1776" s="42" t="n"/>
      <c r="AE1776" s="42" t="n"/>
      <c r="AF1776" s="43">
        <f>IF($B1776="","",SUM($T1776:$AE1776))</f>
        <v/>
      </c>
      <c r="AG1776" s="43">
        <f>IF($B1776="","",N($M1776)-N($AF1776))</f>
        <v/>
      </c>
      <c r="AH1776" s="43">
        <f>IF($B1776="","",N($L1776)-N($AF1776))</f>
        <v/>
      </c>
      <c r="AI1776" s="149">
        <f>IF($B1776="","",IF(N($L1776)=0,"",(N($L1776)-N($AF1776))/N($L1776)))</f>
        <v/>
      </c>
    </row>
    <row r="1777">
      <c r="A1777" s="39">
        <f>IF($B1777="","",COUNTA($B$4:$B1777))</f>
        <v/>
      </c>
      <c r="B1777" s="45" t="n"/>
      <c r="C1777" s="46" t="n"/>
      <c r="D1777" s="46" t="n"/>
      <c r="E1777" s="46" t="n"/>
      <c r="F1777" s="46" t="n"/>
      <c r="G1777" s="46" t="n"/>
      <c r="H1777" s="46" t="n"/>
      <c r="I1777" s="46" t="n"/>
      <c r="J1777" s="46" t="n"/>
      <c r="K1777" s="46" t="n"/>
      <c r="L1777" s="47" t="n"/>
      <c r="M1777" s="47" t="n"/>
      <c r="N1777" s="47" t="n"/>
      <c r="O1777" s="47" t="n"/>
      <c r="P1777" s="47" t="n"/>
      <c r="Q1777" s="47" t="n"/>
      <c r="R1777" s="43">
        <f>IF($B1777="","",N($S1777)-N($Q1777))</f>
        <v/>
      </c>
      <c r="S1777" s="43">
        <f>IF($B1777="","",N($L1777)+N($N1777)+N($P1777))</f>
        <v/>
      </c>
      <c r="T1777" s="47" t="n"/>
      <c r="U1777" s="47" t="n"/>
      <c r="V1777" s="47" t="n"/>
      <c r="W1777" s="47" t="n"/>
      <c r="X1777" s="47" t="n"/>
      <c r="Y1777" s="47" t="n"/>
      <c r="Z1777" s="47" t="n"/>
      <c r="AA1777" s="47" t="n"/>
      <c r="AB1777" s="47" t="n"/>
      <c r="AC1777" s="47" t="n"/>
      <c r="AD1777" s="47" t="n"/>
      <c r="AE1777" s="47" t="n"/>
      <c r="AF1777" s="43">
        <f>IF($B1777="","",SUM($T1777:$AE1777))</f>
        <v/>
      </c>
      <c r="AG1777" s="43">
        <f>IF($B1777="","",N($M1777)-N($AF1777))</f>
        <v/>
      </c>
      <c r="AH1777" s="43">
        <f>IF($B1777="","",N($L1777)-N($AF1777))</f>
        <v/>
      </c>
      <c r="AI1777" s="149">
        <f>IF($B1777="","",IF(N($L1777)=0,"",(N($L1777)-N($AF1777))/N($L1777)))</f>
        <v/>
      </c>
    </row>
    <row r="1778">
      <c r="A1778" s="39">
        <f>IF($B1778="","",COUNTA($B$4:$B1778))</f>
        <v/>
      </c>
      <c r="B1778" s="40" t="n"/>
      <c r="C1778" s="41" t="n"/>
      <c r="D1778" s="41" t="n"/>
      <c r="E1778" s="41" t="n"/>
      <c r="F1778" s="41" t="n"/>
      <c r="G1778" s="41" t="n"/>
      <c r="H1778" s="41" t="n"/>
      <c r="I1778" s="41" t="n"/>
      <c r="J1778" s="41" t="n"/>
      <c r="K1778" s="41" t="n"/>
      <c r="L1778" s="42" t="n"/>
      <c r="M1778" s="42" t="n"/>
      <c r="N1778" s="42" t="n"/>
      <c r="O1778" s="42" t="n"/>
      <c r="P1778" s="42" t="n"/>
      <c r="Q1778" s="42" t="n"/>
      <c r="R1778" s="43">
        <f>IF($B1778="","",N($S1778)-N($Q1778))</f>
        <v/>
      </c>
      <c r="S1778" s="43">
        <f>IF($B1778="","",N($L1778)+N($N1778)+N($P1778))</f>
        <v/>
      </c>
      <c r="T1778" s="42" t="n"/>
      <c r="U1778" s="42" t="n"/>
      <c r="V1778" s="42" t="n"/>
      <c r="W1778" s="42" t="n"/>
      <c r="X1778" s="42" t="n"/>
      <c r="Y1778" s="42" t="n"/>
      <c r="Z1778" s="42" t="n"/>
      <c r="AA1778" s="42" t="n"/>
      <c r="AB1778" s="42" t="n"/>
      <c r="AC1778" s="42" t="n"/>
      <c r="AD1778" s="42" t="n"/>
      <c r="AE1778" s="42" t="n"/>
      <c r="AF1778" s="43">
        <f>IF($B1778="","",SUM($T1778:$AE1778))</f>
        <v/>
      </c>
      <c r="AG1778" s="43">
        <f>IF($B1778="","",N($M1778)-N($AF1778))</f>
        <v/>
      </c>
      <c r="AH1778" s="43">
        <f>IF($B1778="","",N($L1778)-N($AF1778))</f>
        <v/>
      </c>
      <c r="AI1778" s="149">
        <f>IF($B1778="","",IF(N($L1778)=0,"",(N($L1778)-N($AF1778))/N($L1778)))</f>
        <v/>
      </c>
    </row>
    <row r="1779">
      <c r="A1779" s="39">
        <f>IF($B1779="","",COUNTA($B$4:$B1779))</f>
        <v/>
      </c>
      <c r="B1779" s="45" t="n"/>
      <c r="C1779" s="46" t="n"/>
      <c r="D1779" s="46" t="n"/>
      <c r="E1779" s="46" t="n"/>
      <c r="F1779" s="46" t="n"/>
      <c r="G1779" s="46" t="n"/>
      <c r="H1779" s="46" t="n"/>
      <c r="I1779" s="46" t="n"/>
      <c r="J1779" s="46" t="n"/>
      <c r="K1779" s="46" t="n"/>
      <c r="L1779" s="47" t="n"/>
      <c r="M1779" s="47" t="n"/>
      <c r="N1779" s="47" t="n"/>
      <c r="O1779" s="47" t="n"/>
      <c r="P1779" s="47" t="n"/>
      <c r="Q1779" s="47" t="n"/>
      <c r="R1779" s="43">
        <f>IF($B1779="","",N($S1779)-N($Q1779))</f>
        <v/>
      </c>
      <c r="S1779" s="43">
        <f>IF($B1779="","",N($L1779)+N($N1779)+N($P1779))</f>
        <v/>
      </c>
      <c r="T1779" s="47" t="n"/>
      <c r="U1779" s="47" t="n"/>
      <c r="V1779" s="47" t="n"/>
      <c r="W1779" s="47" t="n"/>
      <c r="X1779" s="47" t="n"/>
      <c r="Y1779" s="47" t="n"/>
      <c r="Z1779" s="47" t="n"/>
      <c r="AA1779" s="47" t="n"/>
      <c r="AB1779" s="47" t="n"/>
      <c r="AC1779" s="47" t="n"/>
      <c r="AD1779" s="47" t="n"/>
      <c r="AE1779" s="47" t="n"/>
      <c r="AF1779" s="43">
        <f>IF($B1779="","",SUM($T1779:$AE1779))</f>
        <v/>
      </c>
      <c r="AG1779" s="43">
        <f>IF($B1779="","",N($M1779)-N($AF1779))</f>
        <v/>
      </c>
      <c r="AH1779" s="43">
        <f>IF($B1779="","",N($L1779)-N($AF1779))</f>
        <v/>
      </c>
      <c r="AI1779" s="149">
        <f>IF($B1779="","",IF(N($L1779)=0,"",(N($L1779)-N($AF1779))/N($L1779)))</f>
        <v/>
      </c>
    </row>
    <row r="1780">
      <c r="A1780" s="39">
        <f>IF($B1780="","",COUNTA($B$4:$B1780))</f>
        <v/>
      </c>
      <c r="B1780" s="40" t="n"/>
      <c r="C1780" s="41" t="n"/>
      <c r="D1780" s="41" t="n"/>
      <c r="E1780" s="41" t="n"/>
      <c r="F1780" s="41" t="n"/>
      <c r="G1780" s="41" t="n"/>
      <c r="H1780" s="41" t="n"/>
      <c r="I1780" s="41" t="n"/>
      <c r="J1780" s="41" t="n"/>
      <c r="K1780" s="41" t="n"/>
      <c r="L1780" s="42" t="n"/>
      <c r="M1780" s="42" t="n"/>
      <c r="N1780" s="42" t="n"/>
      <c r="O1780" s="42" t="n"/>
      <c r="P1780" s="42" t="n"/>
      <c r="Q1780" s="42" t="n"/>
      <c r="R1780" s="43">
        <f>IF($B1780="","",N($S1780)-N($Q1780))</f>
        <v/>
      </c>
      <c r="S1780" s="43">
        <f>IF($B1780="","",N($L1780)+N($N1780)+N($P1780))</f>
        <v/>
      </c>
      <c r="T1780" s="42" t="n"/>
      <c r="U1780" s="42" t="n"/>
      <c r="V1780" s="42" t="n"/>
      <c r="W1780" s="42" t="n"/>
      <c r="X1780" s="42" t="n"/>
      <c r="Y1780" s="42" t="n"/>
      <c r="Z1780" s="42" t="n"/>
      <c r="AA1780" s="42" t="n"/>
      <c r="AB1780" s="42" t="n"/>
      <c r="AC1780" s="42" t="n"/>
      <c r="AD1780" s="42" t="n"/>
      <c r="AE1780" s="42" t="n"/>
      <c r="AF1780" s="43">
        <f>IF($B1780="","",SUM($T1780:$AE1780))</f>
        <v/>
      </c>
      <c r="AG1780" s="43">
        <f>IF($B1780="","",N($M1780)-N($AF1780))</f>
        <v/>
      </c>
      <c r="AH1780" s="43">
        <f>IF($B1780="","",N($L1780)-N($AF1780))</f>
        <v/>
      </c>
      <c r="AI1780" s="149">
        <f>IF($B1780="","",IF(N($L1780)=0,"",(N($L1780)-N($AF1780))/N($L1780)))</f>
        <v/>
      </c>
    </row>
    <row r="1781">
      <c r="A1781" s="39">
        <f>IF($B1781="","",COUNTA($B$4:$B1781))</f>
        <v/>
      </c>
      <c r="B1781" s="45" t="n"/>
      <c r="C1781" s="46" t="n"/>
      <c r="D1781" s="46" t="n"/>
      <c r="E1781" s="46" t="n"/>
      <c r="F1781" s="46" t="n"/>
      <c r="G1781" s="46" t="n"/>
      <c r="H1781" s="46" t="n"/>
      <c r="I1781" s="46" t="n"/>
      <c r="J1781" s="46" t="n"/>
      <c r="K1781" s="46" t="n"/>
      <c r="L1781" s="47" t="n"/>
      <c r="M1781" s="47" t="n"/>
      <c r="N1781" s="47" t="n"/>
      <c r="O1781" s="47" t="n"/>
      <c r="P1781" s="47" t="n"/>
      <c r="Q1781" s="47" t="n"/>
      <c r="R1781" s="43">
        <f>IF($B1781="","",N($S1781)-N($Q1781))</f>
        <v/>
      </c>
      <c r="S1781" s="43">
        <f>IF($B1781="","",N($L1781)+N($N1781)+N($P1781))</f>
        <v/>
      </c>
      <c r="T1781" s="47" t="n"/>
      <c r="U1781" s="47" t="n"/>
      <c r="V1781" s="47" t="n"/>
      <c r="W1781" s="47" t="n"/>
      <c r="X1781" s="47" t="n"/>
      <c r="Y1781" s="47" t="n"/>
      <c r="Z1781" s="47" t="n"/>
      <c r="AA1781" s="47" t="n"/>
      <c r="AB1781" s="47" t="n"/>
      <c r="AC1781" s="47" t="n"/>
      <c r="AD1781" s="47" t="n"/>
      <c r="AE1781" s="47" t="n"/>
      <c r="AF1781" s="43">
        <f>IF($B1781="","",SUM($T1781:$AE1781))</f>
        <v/>
      </c>
      <c r="AG1781" s="43">
        <f>IF($B1781="","",N($M1781)-N($AF1781))</f>
        <v/>
      </c>
      <c r="AH1781" s="43">
        <f>IF($B1781="","",N($L1781)-N($AF1781))</f>
        <v/>
      </c>
      <c r="AI1781" s="149">
        <f>IF($B1781="","",IF(N($L1781)=0,"",(N($L1781)-N($AF1781))/N($L1781)))</f>
        <v/>
      </c>
    </row>
    <row r="1782">
      <c r="A1782" s="39">
        <f>IF($B1782="","",COUNTA($B$4:$B1782))</f>
        <v/>
      </c>
      <c r="B1782" s="40" t="n"/>
      <c r="C1782" s="41" t="n"/>
      <c r="D1782" s="41" t="n"/>
      <c r="E1782" s="41" t="n"/>
      <c r="F1782" s="41" t="n"/>
      <c r="G1782" s="41" t="n"/>
      <c r="H1782" s="41" t="n"/>
      <c r="I1782" s="41" t="n"/>
      <c r="J1782" s="41" t="n"/>
      <c r="K1782" s="41" t="n"/>
      <c r="L1782" s="42" t="n"/>
      <c r="M1782" s="42" t="n"/>
      <c r="N1782" s="42" t="n"/>
      <c r="O1782" s="42" t="n"/>
      <c r="P1782" s="42" t="n"/>
      <c r="Q1782" s="42" t="n"/>
      <c r="R1782" s="43">
        <f>IF($B1782="","",N($S1782)-N($Q1782))</f>
        <v/>
      </c>
      <c r="S1782" s="43">
        <f>IF($B1782="","",N($L1782)+N($N1782)+N($P1782))</f>
        <v/>
      </c>
      <c r="T1782" s="42" t="n"/>
      <c r="U1782" s="42" t="n"/>
      <c r="V1782" s="42" t="n"/>
      <c r="W1782" s="42" t="n"/>
      <c r="X1782" s="42" t="n"/>
      <c r="Y1782" s="42" t="n"/>
      <c r="Z1782" s="42" t="n"/>
      <c r="AA1782" s="42" t="n"/>
      <c r="AB1782" s="42" t="n"/>
      <c r="AC1782" s="42" t="n"/>
      <c r="AD1782" s="42" t="n"/>
      <c r="AE1782" s="42" t="n"/>
      <c r="AF1782" s="43">
        <f>IF($B1782="","",SUM($T1782:$AE1782))</f>
        <v/>
      </c>
      <c r="AG1782" s="43">
        <f>IF($B1782="","",N($M1782)-N($AF1782))</f>
        <v/>
      </c>
      <c r="AH1782" s="43">
        <f>IF($B1782="","",N($L1782)-N($AF1782))</f>
        <v/>
      </c>
      <c r="AI1782" s="149">
        <f>IF($B1782="","",IF(N($L1782)=0,"",(N($L1782)-N($AF1782))/N($L1782)))</f>
        <v/>
      </c>
    </row>
    <row r="1783">
      <c r="A1783" s="39">
        <f>IF($B1783="","",COUNTA($B$4:$B1783))</f>
        <v/>
      </c>
      <c r="B1783" s="45" t="n"/>
      <c r="C1783" s="46" t="n"/>
      <c r="D1783" s="46" t="n"/>
      <c r="E1783" s="46" t="n"/>
      <c r="F1783" s="46" t="n"/>
      <c r="G1783" s="46" t="n"/>
      <c r="H1783" s="46" t="n"/>
      <c r="I1783" s="46" t="n"/>
      <c r="J1783" s="46" t="n"/>
      <c r="K1783" s="46" t="n"/>
      <c r="L1783" s="47" t="n"/>
      <c r="M1783" s="47" t="n"/>
      <c r="N1783" s="47" t="n"/>
      <c r="O1783" s="47" t="n"/>
      <c r="P1783" s="47" t="n"/>
      <c r="Q1783" s="47" t="n"/>
      <c r="R1783" s="43">
        <f>IF($B1783="","",N($S1783)-N($Q1783))</f>
        <v/>
      </c>
      <c r="S1783" s="43">
        <f>IF($B1783="","",N($L1783)+N($N1783)+N($P1783))</f>
        <v/>
      </c>
      <c r="T1783" s="47" t="n"/>
      <c r="U1783" s="47" t="n"/>
      <c r="V1783" s="47" t="n"/>
      <c r="W1783" s="47" t="n"/>
      <c r="X1783" s="47" t="n"/>
      <c r="Y1783" s="47" t="n"/>
      <c r="Z1783" s="47" t="n"/>
      <c r="AA1783" s="47" t="n"/>
      <c r="AB1783" s="47" t="n"/>
      <c r="AC1783" s="47" t="n"/>
      <c r="AD1783" s="47" t="n"/>
      <c r="AE1783" s="47" t="n"/>
      <c r="AF1783" s="43">
        <f>IF($B1783="","",SUM($T1783:$AE1783))</f>
        <v/>
      </c>
      <c r="AG1783" s="43">
        <f>IF($B1783="","",N($M1783)-N($AF1783))</f>
        <v/>
      </c>
      <c r="AH1783" s="43">
        <f>IF($B1783="","",N($L1783)-N($AF1783))</f>
        <v/>
      </c>
      <c r="AI1783" s="149">
        <f>IF($B1783="","",IF(N($L1783)=0,"",(N($L1783)-N($AF1783))/N($L1783)))</f>
        <v/>
      </c>
    </row>
    <row r="1784">
      <c r="A1784" s="39">
        <f>IF($B1784="","",COUNTA($B$4:$B1784))</f>
        <v/>
      </c>
      <c r="B1784" s="40" t="n"/>
      <c r="C1784" s="41" t="n"/>
      <c r="D1784" s="41" t="n"/>
      <c r="E1784" s="41" t="n"/>
      <c r="F1784" s="41" t="n"/>
      <c r="G1784" s="41" t="n"/>
      <c r="H1784" s="41" t="n"/>
      <c r="I1784" s="41" t="n"/>
      <c r="J1784" s="41" t="n"/>
      <c r="K1784" s="41" t="n"/>
      <c r="L1784" s="42" t="n"/>
      <c r="M1784" s="42" t="n"/>
      <c r="N1784" s="42" t="n"/>
      <c r="O1784" s="42" t="n"/>
      <c r="P1784" s="42" t="n"/>
      <c r="Q1784" s="42" t="n"/>
      <c r="R1784" s="43">
        <f>IF($B1784="","",N($S1784)-N($Q1784))</f>
        <v/>
      </c>
      <c r="S1784" s="43">
        <f>IF($B1784="","",N($L1784)+N($N1784)+N($P1784))</f>
        <v/>
      </c>
      <c r="T1784" s="42" t="n"/>
      <c r="U1784" s="42" t="n"/>
      <c r="V1784" s="42" t="n"/>
      <c r="W1784" s="42" t="n"/>
      <c r="X1784" s="42" t="n"/>
      <c r="Y1784" s="42" t="n"/>
      <c r="Z1784" s="42" t="n"/>
      <c r="AA1784" s="42" t="n"/>
      <c r="AB1784" s="42" t="n"/>
      <c r="AC1784" s="42" t="n"/>
      <c r="AD1784" s="42" t="n"/>
      <c r="AE1784" s="42" t="n"/>
      <c r="AF1784" s="43">
        <f>IF($B1784="","",SUM($T1784:$AE1784))</f>
        <v/>
      </c>
      <c r="AG1784" s="43">
        <f>IF($B1784="","",N($M1784)-N($AF1784))</f>
        <v/>
      </c>
      <c r="AH1784" s="43">
        <f>IF($B1784="","",N($L1784)-N($AF1784))</f>
        <v/>
      </c>
      <c r="AI1784" s="149">
        <f>IF($B1784="","",IF(N($L1784)=0,"",(N($L1784)-N($AF1784))/N($L1784)))</f>
        <v/>
      </c>
    </row>
    <row r="1785">
      <c r="A1785" s="39">
        <f>IF($B1785="","",COUNTA($B$4:$B1785))</f>
        <v/>
      </c>
      <c r="B1785" s="45" t="n"/>
      <c r="C1785" s="46" t="n"/>
      <c r="D1785" s="46" t="n"/>
      <c r="E1785" s="46" t="n"/>
      <c r="F1785" s="46" t="n"/>
      <c r="G1785" s="46" t="n"/>
      <c r="H1785" s="46" t="n"/>
      <c r="I1785" s="46" t="n"/>
      <c r="J1785" s="46" t="n"/>
      <c r="K1785" s="46" t="n"/>
      <c r="L1785" s="47" t="n"/>
      <c r="M1785" s="47" t="n"/>
      <c r="N1785" s="47" t="n"/>
      <c r="O1785" s="47" t="n"/>
      <c r="P1785" s="47" t="n"/>
      <c r="Q1785" s="47" t="n"/>
      <c r="R1785" s="43">
        <f>IF($B1785="","",N($S1785)-N($Q1785))</f>
        <v/>
      </c>
      <c r="S1785" s="43">
        <f>IF($B1785="","",N($L1785)+N($N1785)+N($P1785))</f>
        <v/>
      </c>
      <c r="T1785" s="47" t="n"/>
      <c r="U1785" s="47" t="n"/>
      <c r="V1785" s="47" t="n"/>
      <c r="W1785" s="47" t="n"/>
      <c r="X1785" s="47" t="n"/>
      <c r="Y1785" s="47" t="n"/>
      <c r="Z1785" s="47" t="n"/>
      <c r="AA1785" s="47" t="n"/>
      <c r="AB1785" s="47" t="n"/>
      <c r="AC1785" s="47" t="n"/>
      <c r="AD1785" s="47" t="n"/>
      <c r="AE1785" s="47" t="n"/>
      <c r="AF1785" s="43">
        <f>IF($B1785="","",SUM($T1785:$AE1785))</f>
        <v/>
      </c>
      <c r="AG1785" s="43">
        <f>IF($B1785="","",N($M1785)-N($AF1785))</f>
        <v/>
      </c>
      <c r="AH1785" s="43">
        <f>IF($B1785="","",N($L1785)-N($AF1785))</f>
        <v/>
      </c>
      <c r="AI1785" s="149">
        <f>IF($B1785="","",IF(N($L1785)=0,"",(N($L1785)-N($AF1785))/N($L1785)))</f>
        <v/>
      </c>
    </row>
    <row r="1786">
      <c r="A1786" s="39">
        <f>IF($B1786="","",COUNTA($B$4:$B1786))</f>
        <v/>
      </c>
      <c r="B1786" s="40" t="n"/>
      <c r="C1786" s="41" t="n"/>
      <c r="D1786" s="41" t="n"/>
      <c r="E1786" s="41" t="n"/>
      <c r="F1786" s="41" t="n"/>
      <c r="G1786" s="41" t="n"/>
      <c r="H1786" s="41" t="n"/>
      <c r="I1786" s="41" t="n"/>
      <c r="J1786" s="41" t="n"/>
      <c r="K1786" s="41" t="n"/>
      <c r="L1786" s="42" t="n"/>
      <c r="M1786" s="42" t="n"/>
      <c r="N1786" s="42" t="n"/>
      <c r="O1786" s="42" t="n"/>
      <c r="P1786" s="42" t="n"/>
      <c r="Q1786" s="42" t="n"/>
      <c r="R1786" s="43">
        <f>IF($B1786="","",N($S1786)-N($Q1786))</f>
        <v/>
      </c>
      <c r="S1786" s="43">
        <f>IF($B1786="","",N($L1786)+N($N1786)+N($P1786))</f>
        <v/>
      </c>
      <c r="T1786" s="42" t="n"/>
      <c r="U1786" s="42" t="n"/>
      <c r="V1786" s="42" t="n"/>
      <c r="W1786" s="42" t="n"/>
      <c r="X1786" s="42" t="n"/>
      <c r="Y1786" s="42" t="n"/>
      <c r="Z1786" s="42" t="n"/>
      <c r="AA1786" s="42" t="n"/>
      <c r="AB1786" s="42" t="n"/>
      <c r="AC1786" s="42" t="n"/>
      <c r="AD1786" s="42" t="n"/>
      <c r="AE1786" s="42" t="n"/>
      <c r="AF1786" s="43">
        <f>IF($B1786="","",SUM($T1786:$AE1786))</f>
        <v/>
      </c>
      <c r="AG1786" s="43">
        <f>IF($B1786="","",N($M1786)-N($AF1786))</f>
        <v/>
      </c>
      <c r="AH1786" s="43">
        <f>IF($B1786="","",N($L1786)-N($AF1786))</f>
        <v/>
      </c>
      <c r="AI1786" s="149">
        <f>IF($B1786="","",IF(N($L1786)=0,"",(N($L1786)-N($AF1786))/N($L1786)))</f>
        <v/>
      </c>
    </row>
    <row r="1787">
      <c r="A1787" s="39">
        <f>IF($B1787="","",COUNTA($B$4:$B1787))</f>
        <v/>
      </c>
      <c r="B1787" s="45" t="n"/>
      <c r="C1787" s="46" t="n"/>
      <c r="D1787" s="46" t="n"/>
      <c r="E1787" s="46" t="n"/>
      <c r="F1787" s="46" t="n"/>
      <c r="G1787" s="46" t="n"/>
      <c r="H1787" s="46" t="n"/>
      <c r="I1787" s="46" t="n"/>
      <c r="J1787" s="46" t="n"/>
      <c r="K1787" s="46" t="n"/>
      <c r="L1787" s="47" t="n"/>
      <c r="M1787" s="47" t="n"/>
      <c r="N1787" s="47" t="n"/>
      <c r="O1787" s="47" t="n"/>
      <c r="P1787" s="47" t="n"/>
      <c r="Q1787" s="47" t="n"/>
      <c r="R1787" s="43">
        <f>IF($B1787="","",N($S1787)-N($Q1787))</f>
        <v/>
      </c>
      <c r="S1787" s="43">
        <f>IF($B1787="","",N($L1787)+N($N1787)+N($P1787))</f>
        <v/>
      </c>
      <c r="T1787" s="47" t="n"/>
      <c r="U1787" s="47" t="n"/>
      <c r="V1787" s="47" t="n"/>
      <c r="W1787" s="47" t="n"/>
      <c r="X1787" s="47" t="n"/>
      <c r="Y1787" s="47" t="n"/>
      <c r="Z1787" s="47" t="n"/>
      <c r="AA1787" s="47" t="n"/>
      <c r="AB1787" s="47" t="n"/>
      <c r="AC1787" s="47" t="n"/>
      <c r="AD1787" s="47" t="n"/>
      <c r="AE1787" s="47" t="n"/>
      <c r="AF1787" s="43">
        <f>IF($B1787="","",SUM($T1787:$AE1787))</f>
        <v/>
      </c>
      <c r="AG1787" s="43">
        <f>IF($B1787="","",N($M1787)-N($AF1787))</f>
        <v/>
      </c>
      <c r="AH1787" s="43">
        <f>IF($B1787="","",N($L1787)-N($AF1787))</f>
        <v/>
      </c>
      <c r="AI1787" s="149">
        <f>IF($B1787="","",IF(N($L1787)=0,"",(N($L1787)-N($AF1787))/N($L1787)))</f>
        <v/>
      </c>
    </row>
    <row r="1788">
      <c r="A1788" s="39">
        <f>IF($B1788="","",COUNTA($B$4:$B1788))</f>
        <v/>
      </c>
      <c r="B1788" s="40" t="n"/>
      <c r="C1788" s="41" t="n"/>
      <c r="D1788" s="41" t="n"/>
      <c r="E1788" s="41" t="n"/>
      <c r="F1788" s="41" t="n"/>
      <c r="G1788" s="41" t="n"/>
      <c r="H1788" s="41" t="n"/>
      <c r="I1788" s="41" t="n"/>
      <c r="J1788" s="41" t="n"/>
      <c r="K1788" s="41" t="n"/>
      <c r="L1788" s="42" t="n"/>
      <c r="M1788" s="42" t="n"/>
      <c r="N1788" s="42" t="n"/>
      <c r="O1788" s="42" t="n"/>
      <c r="P1788" s="42" t="n"/>
      <c r="Q1788" s="42" t="n"/>
      <c r="R1788" s="43">
        <f>IF($B1788="","",N($S1788)-N($Q1788))</f>
        <v/>
      </c>
      <c r="S1788" s="43">
        <f>IF($B1788="","",N($L1788)+N($N1788)+N($P1788))</f>
        <v/>
      </c>
      <c r="T1788" s="42" t="n"/>
      <c r="U1788" s="42" t="n"/>
      <c r="V1788" s="42" t="n"/>
      <c r="W1788" s="42" t="n"/>
      <c r="X1788" s="42" t="n"/>
      <c r="Y1788" s="42" t="n"/>
      <c r="Z1788" s="42" t="n"/>
      <c r="AA1788" s="42" t="n"/>
      <c r="AB1788" s="42" t="n"/>
      <c r="AC1788" s="42" t="n"/>
      <c r="AD1788" s="42" t="n"/>
      <c r="AE1788" s="42" t="n"/>
      <c r="AF1788" s="43">
        <f>IF($B1788="","",SUM($T1788:$AE1788))</f>
        <v/>
      </c>
      <c r="AG1788" s="43">
        <f>IF($B1788="","",N($M1788)-N($AF1788))</f>
        <v/>
      </c>
      <c r="AH1788" s="43">
        <f>IF($B1788="","",N($L1788)-N($AF1788))</f>
        <v/>
      </c>
      <c r="AI1788" s="149">
        <f>IF($B1788="","",IF(N($L1788)=0,"",(N($L1788)-N($AF1788))/N($L1788)))</f>
        <v/>
      </c>
    </row>
    <row r="1789">
      <c r="A1789" s="39">
        <f>IF($B1789="","",COUNTA($B$4:$B1789))</f>
        <v/>
      </c>
      <c r="B1789" s="45" t="n"/>
      <c r="C1789" s="46" t="n"/>
      <c r="D1789" s="46" t="n"/>
      <c r="E1789" s="46" t="n"/>
      <c r="F1789" s="46" t="n"/>
      <c r="G1789" s="46" t="n"/>
      <c r="H1789" s="46" t="n"/>
      <c r="I1789" s="46" t="n"/>
      <c r="J1789" s="46" t="n"/>
      <c r="K1789" s="46" t="n"/>
      <c r="L1789" s="47" t="n"/>
      <c r="M1789" s="47" t="n"/>
      <c r="N1789" s="47" t="n"/>
      <c r="O1789" s="47" t="n"/>
      <c r="P1789" s="47" t="n"/>
      <c r="Q1789" s="47" t="n"/>
      <c r="R1789" s="43">
        <f>IF($B1789="","",N($S1789)-N($Q1789))</f>
        <v/>
      </c>
      <c r="S1789" s="43">
        <f>IF($B1789="","",N($L1789)+N($N1789)+N($P1789))</f>
        <v/>
      </c>
      <c r="T1789" s="47" t="n"/>
      <c r="U1789" s="47" t="n"/>
      <c r="V1789" s="47" t="n"/>
      <c r="W1789" s="47" t="n"/>
      <c r="X1789" s="47" t="n"/>
      <c r="Y1789" s="47" t="n"/>
      <c r="Z1789" s="47" t="n"/>
      <c r="AA1789" s="47" t="n"/>
      <c r="AB1789" s="47" t="n"/>
      <c r="AC1789" s="47" t="n"/>
      <c r="AD1789" s="47" t="n"/>
      <c r="AE1789" s="47" t="n"/>
      <c r="AF1789" s="43">
        <f>IF($B1789="","",SUM($T1789:$AE1789))</f>
        <v/>
      </c>
      <c r="AG1789" s="43">
        <f>IF($B1789="","",N($M1789)-N($AF1789))</f>
        <v/>
      </c>
      <c r="AH1789" s="43">
        <f>IF($B1789="","",N($L1789)-N($AF1789))</f>
        <v/>
      </c>
      <c r="AI1789" s="149">
        <f>IF($B1789="","",IF(N($L1789)=0,"",(N($L1789)-N($AF1789))/N($L1789)))</f>
        <v/>
      </c>
    </row>
    <row r="1790">
      <c r="A1790" s="39">
        <f>IF($B1790="","",COUNTA($B$4:$B1790))</f>
        <v/>
      </c>
      <c r="B1790" s="40" t="n"/>
      <c r="C1790" s="41" t="n"/>
      <c r="D1790" s="41" t="n"/>
      <c r="E1790" s="41" t="n"/>
      <c r="F1790" s="41" t="n"/>
      <c r="G1790" s="41" t="n"/>
      <c r="H1790" s="41" t="n"/>
      <c r="I1790" s="41" t="n"/>
      <c r="J1790" s="41" t="n"/>
      <c r="K1790" s="41" t="n"/>
      <c r="L1790" s="42" t="n"/>
      <c r="M1790" s="42" t="n"/>
      <c r="N1790" s="42" t="n"/>
      <c r="O1790" s="42" t="n"/>
      <c r="P1790" s="42" t="n"/>
      <c r="Q1790" s="42" t="n"/>
      <c r="R1790" s="43">
        <f>IF($B1790="","",N($S1790)-N($Q1790))</f>
        <v/>
      </c>
      <c r="S1790" s="43">
        <f>IF($B1790="","",N($L1790)+N($N1790)+N($P1790))</f>
        <v/>
      </c>
      <c r="T1790" s="42" t="n"/>
      <c r="U1790" s="42" t="n"/>
      <c r="V1790" s="42" t="n"/>
      <c r="W1790" s="42" t="n"/>
      <c r="X1790" s="42" t="n"/>
      <c r="Y1790" s="42" t="n"/>
      <c r="Z1790" s="42" t="n"/>
      <c r="AA1790" s="42" t="n"/>
      <c r="AB1790" s="42" t="n"/>
      <c r="AC1790" s="42" t="n"/>
      <c r="AD1790" s="42" t="n"/>
      <c r="AE1790" s="42" t="n"/>
      <c r="AF1790" s="43">
        <f>IF($B1790="","",SUM($T1790:$AE1790))</f>
        <v/>
      </c>
      <c r="AG1790" s="43">
        <f>IF($B1790="","",N($M1790)-N($AF1790))</f>
        <v/>
      </c>
      <c r="AH1790" s="43">
        <f>IF($B1790="","",N($L1790)-N($AF1790))</f>
        <v/>
      </c>
      <c r="AI1790" s="149">
        <f>IF($B1790="","",IF(N($L1790)=0,"",(N($L1790)-N($AF1790))/N($L1790)))</f>
        <v/>
      </c>
    </row>
    <row r="1791">
      <c r="A1791" s="39">
        <f>IF($B1791="","",COUNTA($B$4:$B1791))</f>
        <v/>
      </c>
      <c r="B1791" s="45" t="n"/>
      <c r="C1791" s="46" t="n"/>
      <c r="D1791" s="46" t="n"/>
      <c r="E1791" s="46" t="n"/>
      <c r="F1791" s="46" t="n"/>
      <c r="G1791" s="46" t="n"/>
      <c r="H1791" s="46" t="n"/>
      <c r="I1791" s="46" t="n"/>
      <c r="J1791" s="46" t="n"/>
      <c r="K1791" s="46" t="n"/>
      <c r="L1791" s="47" t="n"/>
      <c r="M1791" s="47" t="n"/>
      <c r="N1791" s="47" t="n"/>
      <c r="O1791" s="47" t="n"/>
      <c r="P1791" s="47" t="n"/>
      <c r="Q1791" s="47" t="n"/>
      <c r="R1791" s="43">
        <f>IF($B1791="","",N($S1791)-N($Q1791))</f>
        <v/>
      </c>
      <c r="S1791" s="43">
        <f>IF($B1791="","",N($L1791)+N($N1791)+N($P1791))</f>
        <v/>
      </c>
      <c r="T1791" s="47" t="n"/>
      <c r="U1791" s="47" t="n"/>
      <c r="V1791" s="47" t="n"/>
      <c r="W1791" s="47" t="n"/>
      <c r="X1791" s="47" t="n"/>
      <c r="Y1791" s="47" t="n"/>
      <c r="Z1791" s="47" t="n"/>
      <c r="AA1791" s="47" t="n"/>
      <c r="AB1791" s="47" t="n"/>
      <c r="AC1791" s="47" t="n"/>
      <c r="AD1791" s="47" t="n"/>
      <c r="AE1791" s="47" t="n"/>
      <c r="AF1791" s="43">
        <f>IF($B1791="","",SUM($T1791:$AE1791))</f>
        <v/>
      </c>
      <c r="AG1791" s="43">
        <f>IF($B1791="","",N($M1791)-N($AF1791))</f>
        <v/>
      </c>
      <c r="AH1791" s="43">
        <f>IF($B1791="","",N($L1791)-N($AF1791))</f>
        <v/>
      </c>
      <c r="AI1791" s="149">
        <f>IF($B1791="","",IF(N($L1791)=0,"",(N($L1791)-N($AF1791))/N($L1791)))</f>
        <v/>
      </c>
    </row>
    <row r="1792">
      <c r="A1792" s="39">
        <f>IF($B1792="","",COUNTA($B$4:$B1792))</f>
        <v/>
      </c>
      <c r="B1792" s="40" t="n"/>
      <c r="C1792" s="41" t="n"/>
      <c r="D1792" s="41" t="n"/>
      <c r="E1792" s="41" t="n"/>
      <c r="F1792" s="41" t="n"/>
      <c r="G1792" s="41" t="n"/>
      <c r="H1792" s="41" t="n"/>
      <c r="I1792" s="41" t="n"/>
      <c r="J1792" s="41" t="n"/>
      <c r="K1792" s="41" t="n"/>
      <c r="L1792" s="42" t="n"/>
      <c r="M1792" s="42" t="n"/>
      <c r="N1792" s="42" t="n"/>
      <c r="O1792" s="42" t="n"/>
      <c r="P1792" s="42" t="n"/>
      <c r="Q1792" s="42" t="n"/>
      <c r="R1792" s="43">
        <f>IF($B1792="","",N($S1792)-N($Q1792))</f>
        <v/>
      </c>
      <c r="S1792" s="43">
        <f>IF($B1792="","",N($L1792)+N($N1792)+N($P1792))</f>
        <v/>
      </c>
      <c r="T1792" s="42" t="n"/>
      <c r="U1792" s="42" t="n"/>
      <c r="V1792" s="42" t="n"/>
      <c r="W1792" s="42" t="n"/>
      <c r="X1792" s="42" t="n"/>
      <c r="Y1792" s="42" t="n"/>
      <c r="Z1792" s="42" t="n"/>
      <c r="AA1792" s="42" t="n"/>
      <c r="AB1792" s="42" t="n"/>
      <c r="AC1792" s="42" t="n"/>
      <c r="AD1792" s="42" t="n"/>
      <c r="AE1792" s="42" t="n"/>
      <c r="AF1792" s="43">
        <f>IF($B1792="","",SUM($T1792:$AE1792))</f>
        <v/>
      </c>
      <c r="AG1792" s="43">
        <f>IF($B1792="","",N($M1792)-N($AF1792))</f>
        <v/>
      </c>
      <c r="AH1792" s="43">
        <f>IF($B1792="","",N($L1792)-N($AF1792))</f>
        <v/>
      </c>
      <c r="AI1792" s="149">
        <f>IF($B1792="","",IF(N($L1792)=0,"",(N($L1792)-N($AF1792))/N($L1792)))</f>
        <v/>
      </c>
    </row>
    <row r="1793">
      <c r="A1793" s="39">
        <f>IF($B1793="","",COUNTA($B$4:$B1793))</f>
        <v/>
      </c>
      <c r="B1793" s="45" t="n"/>
      <c r="C1793" s="46" t="n"/>
      <c r="D1793" s="46" t="n"/>
      <c r="E1793" s="46" t="n"/>
      <c r="F1793" s="46" t="n"/>
      <c r="G1793" s="46" t="n"/>
      <c r="H1793" s="46" t="n"/>
      <c r="I1793" s="46" t="n"/>
      <c r="J1793" s="46" t="n"/>
      <c r="K1793" s="46" t="n"/>
      <c r="L1793" s="47" t="n"/>
      <c r="M1793" s="47" t="n"/>
      <c r="N1793" s="47" t="n"/>
      <c r="O1793" s="47" t="n"/>
      <c r="P1793" s="47" t="n"/>
      <c r="Q1793" s="47" t="n"/>
      <c r="R1793" s="43">
        <f>IF($B1793="","",N($S1793)-N($Q1793))</f>
        <v/>
      </c>
      <c r="S1793" s="43">
        <f>IF($B1793="","",N($L1793)+N($N1793)+N($P1793))</f>
        <v/>
      </c>
      <c r="T1793" s="47" t="n"/>
      <c r="U1793" s="47" t="n"/>
      <c r="V1793" s="47" t="n"/>
      <c r="W1793" s="47" t="n"/>
      <c r="X1793" s="47" t="n"/>
      <c r="Y1793" s="47" t="n"/>
      <c r="Z1793" s="47" t="n"/>
      <c r="AA1793" s="47" t="n"/>
      <c r="AB1793" s="47" t="n"/>
      <c r="AC1793" s="47" t="n"/>
      <c r="AD1793" s="47" t="n"/>
      <c r="AE1793" s="47" t="n"/>
      <c r="AF1793" s="43">
        <f>IF($B1793="","",SUM($T1793:$AE1793))</f>
        <v/>
      </c>
      <c r="AG1793" s="43">
        <f>IF($B1793="","",N($M1793)-N($AF1793))</f>
        <v/>
      </c>
      <c r="AH1793" s="43">
        <f>IF($B1793="","",N($L1793)-N($AF1793))</f>
        <v/>
      </c>
      <c r="AI1793" s="149">
        <f>IF($B1793="","",IF(N($L1793)=0,"",(N($L1793)-N($AF1793))/N($L1793)))</f>
        <v/>
      </c>
    </row>
    <row r="1794">
      <c r="A1794" s="39">
        <f>IF($B1794="","",COUNTA($B$4:$B1794))</f>
        <v/>
      </c>
      <c r="B1794" s="40" t="n"/>
      <c r="C1794" s="41" t="n"/>
      <c r="D1794" s="41" t="n"/>
      <c r="E1794" s="41" t="n"/>
      <c r="F1794" s="41" t="n"/>
      <c r="G1794" s="41" t="n"/>
      <c r="H1794" s="41" t="n"/>
      <c r="I1794" s="41" t="n"/>
      <c r="J1794" s="41" t="n"/>
      <c r="K1794" s="41" t="n"/>
      <c r="L1794" s="42" t="n"/>
      <c r="M1794" s="42" t="n"/>
      <c r="N1794" s="42" t="n"/>
      <c r="O1794" s="42" t="n"/>
      <c r="P1794" s="42" t="n"/>
      <c r="Q1794" s="42" t="n"/>
      <c r="R1794" s="43">
        <f>IF($B1794="","",N($S1794)-N($Q1794))</f>
        <v/>
      </c>
      <c r="S1794" s="43">
        <f>IF($B1794="","",N($L1794)+N($N1794)+N($P1794))</f>
        <v/>
      </c>
      <c r="T1794" s="42" t="n"/>
      <c r="U1794" s="42" t="n"/>
      <c r="V1794" s="42" t="n"/>
      <c r="W1794" s="42" t="n"/>
      <c r="X1794" s="42" t="n"/>
      <c r="Y1794" s="42" t="n"/>
      <c r="Z1794" s="42" t="n"/>
      <c r="AA1794" s="42" t="n"/>
      <c r="AB1794" s="42" t="n"/>
      <c r="AC1794" s="42" t="n"/>
      <c r="AD1794" s="42" t="n"/>
      <c r="AE1794" s="42" t="n"/>
      <c r="AF1794" s="43">
        <f>IF($B1794="","",SUM($T1794:$AE1794))</f>
        <v/>
      </c>
      <c r="AG1794" s="43">
        <f>IF($B1794="","",N($M1794)-N($AF1794))</f>
        <v/>
      </c>
      <c r="AH1794" s="43">
        <f>IF($B1794="","",N($L1794)-N($AF1794))</f>
        <v/>
      </c>
      <c r="AI1794" s="149">
        <f>IF($B1794="","",IF(N($L1794)=0,"",(N($L1794)-N($AF1794))/N($L1794)))</f>
        <v/>
      </c>
    </row>
    <row r="1795">
      <c r="A1795" s="39">
        <f>IF($B1795="","",COUNTA($B$4:$B1795))</f>
        <v/>
      </c>
      <c r="B1795" s="45" t="n"/>
      <c r="C1795" s="46" t="n"/>
      <c r="D1795" s="46" t="n"/>
      <c r="E1795" s="46" t="n"/>
      <c r="F1795" s="46" t="n"/>
      <c r="G1795" s="46" t="n"/>
      <c r="H1795" s="46" t="n"/>
      <c r="I1795" s="46" t="n"/>
      <c r="J1795" s="46" t="n"/>
      <c r="K1795" s="46" t="n"/>
      <c r="L1795" s="47" t="n"/>
      <c r="M1795" s="47" t="n"/>
      <c r="N1795" s="47" t="n"/>
      <c r="O1795" s="47" t="n"/>
      <c r="P1795" s="47" t="n"/>
      <c r="Q1795" s="47" t="n"/>
      <c r="R1795" s="43">
        <f>IF($B1795="","",N($S1795)-N($Q1795))</f>
        <v/>
      </c>
      <c r="S1795" s="43">
        <f>IF($B1795="","",N($L1795)+N($N1795)+N($P1795))</f>
        <v/>
      </c>
      <c r="T1795" s="47" t="n"/>
      <c r="U1795" s="47" t="n"/>
      <c r="V1795" s="47" t="n"/>
      <c r="W1795" s="47" t="n"/>
      <c r="X1795" s="47" t="n"/>
      <c r="Y1795" s="47" t="n"/>
      <c r="Z1795" s="47" t="n"/>
      <c r="AA1795" s="47" t="n"/>
      <c r="AB1795" s="47" t="n"/>
      <c r="AC1795" s="47" t="n"/>
      <c r="AD1795" s="47" t="n"/>
      <c r="AE1795" s="47" t="n"/>
      <c r="AF1795" s="43">
        <f>IF($B1795="","",SUM($T1795:$AE1795))</f>
        <v/>
      </c>
      <c r="AG1795" s="43">
        <f>IF($B1795="","",N($M1795)-N($AF1795))</f>
        <v/>
      </c>
      <c r="AH1795" s="43">
        <f>IF($B1795="","",N($L1795)-N($AF1795))</f>
        <v/>
      </c>
      <c r="AI1795" s="149">
        <f>IF($B1795="","",IF(N($L1795)=0,"",(N($L1795)-N($AF1795))/N($L1795)))</f>
        <v/>
      </c>
    </row>
    <row r="1796">
      <c r="A1796" s="39">
        <f>IF($B1796="","",COUNTA($B$4:$B1796))</f>
        <v/>
      </c>
      <c r="B1796" s="40" t="n"/>
      <c r="C1796" s="41" t="n"/>
      <c r="D1796" s="41" t="n"/>
      <c r="E1796" s="41" t="n"/>
      <c r="F1796" s="41" t="n"/>
      <c r="G1796" s="41" t="n"/>
      <c r="H1796" s="41" t="n"/>
      <c r="I1796" s="41" t="n"/>
      <c r="J1796" s="41" t="n"/>
      <c r="K1796" s="41" t="n"/>
      <c r="L1796" s="42" t="n"/>
      <c r="M1796" s="42" t="n"/>
      <c r="N1796" s="42" t="n"/>
      <c r="O1796" s="42" t="n"/>
      <c r="P1796" s="42" t="n"/>
      <c r="Q1796" s="42" t="n"/>
      <c r="R1796" s="43">
        <f>IF($B1796="","",N($S1796)-N($Q1796))</f>
        <v/>
      </c>
      <c r="S1796" s="43">
        <f>IF($B1796="","",N($L1796)+N($N1796)+N($P1796))</f>
        <v/>
      </c>
      <c r="T1796" s="42" t="n"/>
      <c r="U1796" s="42" t="n"/>
      <c r="V1796" s="42" t="n"/>
      <c r="W1796" s="42" t="n"/>
      <c r="X1796" s="42" t="n"/>
      <c r="Y1796" s="42" t="n"/>
      <c r="Z1796" s="42" t="n"/>
      <c r="AA1796" s="42" t="n"/>
      <c r="AB1796" s="42" t="n"/>
      <c r="AC1796" s="42" t="n"/>
      <c r="AD1796" s="42" t="n"/>
      <c r="AE1796" s="42" t="n"/>
      <c r="AF1796" s="43">
        <f>IF($B1796="","",SUM($T1796:$AE1796))</f>
        <v/>
      </c>
      <c r="AG1796" s="43">
        <f>IF($B1796="","",N($M1796)-N($AF1796))</f>
        <v/>
      </c>
      <c r="AH1796" s="43">
        <f>IF($B1796="","",N($L1796)-N($AF1796))</f>
        <v/>
      </c>
      <c r="AI1796" s="149">
        <f>IF($B1796="","",IF(N($L1796)=0,"",(N($L1796)-N($AF1796))/N($L1796)))</f>
        <v/>
      </c>
    </row>
    <row r="1797">
      <c r="A1797" s="39">
        <f>IF($B1797="","",COUNTA($B$4:$B1797))</f>
        <v/>
      </c>
      <c r="B1797" s="45" t="n"/>
      <c r="C1797" s="46" t="n"/>
      <c r="D1797" s="46" t="n"/>
      <c r="E1797" s="46" t="n"/>
      <c r="F1797" s="46" t="n"/>
      <c r="G1797" s="46" t="n"/>
      <c r="H1797" s="46" t="n"/>
      <c r="I1797" s="46" t="n"/>
      <c r="J1797" s="46" t="n"/>
      <c r="K1797" s="46" t="n"/>
      <c r="L1797" s="47" t="n"/>
      <c r="M1797" s="47" t="n"/>
      <c r="N1797" s="47" t="n"/>
      <c r="O1797" s="47" t="n"/>
      <c r="P1797" s="47" t="n"/>
      <c r="Q1797" s="47" t="n"/>
      <c r="R1797" s="43">
        <f>IF($B1797="","",N($S1797)-N($Q1797))</f>
        <v/>
      </c>
      <c r="S1797" s="43">
        <f>IF($B1797="","",N($L1797)+N($N1797)+N($P1797))</f>
        <v/>
      </c>
      <c r="T1797" s="47" t="n"/>
      <c r="U1797" s="47" t="n"/>
      <c r="V1797" s="47" t="n"/>
      <c r="W1797" s="47" t="n"/>
      <c r="X1797" s="47" t="n"/>
      <c r="Y1797" s="47" t="n"/>
      <c r="Z1797" s="47" t="n"/>
      <c r="AA1797" s="47" t="n"/>
      <c r="AB1797" s="47" t="n"/>
      <c r="AC1797" s="47" t="n"/>
      <c r="AD1797" s="47" t="n"/>
      <c r="AE1797" s="47" t="n"/>
      <c r="AF1797" s="43">
        <f>IF($B1797="","",SUM($T1797:$AE1797))</f>
        <v/>
      </c>
      <c r="AG1797" s="43">
        <f>IF($B1797="","",N($M1797)-N($AF1797))</f>
        <v/>
      </c>
      <c r="AH1797" s="43">
        <f>IF($B1797="","",N($L1797)-N($AF1797))</f>
        <v/>
      </c>
      <c r="AI1797" s="149">
        <f>IF($B1797="","",IF(N($L1797)=0,"",(N($L1797)-N($AF1797))/N($L1797)))</f>
        <v/>
      </c>
    </row>
    <row r="1798">
      <c r="A1798" s="39">
        <f>IF($B1798="","",COUNTA($B$4:$B1798))</f>
        <v/>
      </c>
      <c r="B1798" s="40" t="n"/>
      <c r="C1798" s="41" t="n"/>
      <c r="D1798" s="41" t="n"/>
      <c r="E1798" s="41" t="n"/>
      <c r="F1798" s="41" t="n"/>
      <c r="G1798" s="41" t="n"/>
      <c r="H1798" s="41" t="n"/>
      <c r="I1798" s="41" t="n"/>
      <c r="J1798" s="41" t="n"/>
      <c r="K1798" s="41" t="n"/>
      <c r="L1798" s="42" t="n"/>
      <c r="M1798" s="42" t="n"/>
      <c r="N1798" s="42" t="n"/>
      <c r="O1798" s="42" t="n"/>
      <c r="P1798" s="42" t="n"/>
      <c r="Q1798" s="42" t="n"/>
      <c r="R1798" s="43">
        <f>IF($B1798="","",N($S1798)-N($Q1798))</f>
        <v/>
      </c>
      <c r="S1798" s="43">
        <f>IF($B1798="","",N($L1798)+N($N1798)+N($P1798))</f>
        <v/>
      </c>
      <c r="T1798" s="42" t="n"/>
      <c r="U1798" s="42" t="n"/>
      <c r="V1798" s="42" t="n"/>
      <c r="W1798" s="42" t="n"/>
      <c r="X1798" s="42" t="n"/>
      <c r="Y1798" s="42" t="n"/>
      <c r="Z1798" s="42" t="n"/>
      <c r="AA1798" s="42" t="n"/>
      <c r="AB1798" s="42" t="n"/>
      <c r="AC1798" s="42" t="n"/>
      <c r="AD1798" s="42" t="n"/>
      <c r="AE1798" s="42" t="n"/>
      <c r="AF1798" s="43">
        <f>IF($B1798="","",SUM($T1798:$AE1798))</f>
        <v/>
      </c>
      <c r="AG1798" s="43">
        <f>IF($B1798="","",N($M1798)-N($AF1798))</f>
        <v/>
      </c>
      <c r="AH1798" s="43">
        <f>IF($B1798="","",N($L1798)-N($AF1798))</f>
        <v/>
      </c>
      <c r="AI1798" s="149">
        <f>IF($B1798="","",IF(N($L1798)=0,"",(N($L1798)-N($AF1798))/N($L1798)))</f>
        <v/>
      </c>
    </row>
    <row r="1799">
      <c r="A1799" s="39">
        <f>IF($B1799="","",COUNTA($B$4:$B1799))</f>
        <v/>
      </c>
      <c r="B1799" s="45" t="n"/>
      <c r="C1799" s="46" t="n"/>
      <c r="D1799" s="46" t="n"/>
      <c r="E1799" s="46" t="n"/>
      <c r="F1799" s="46" t="n"/>
      <c r="G1799" s="46" t="n"/>
      <c r="H1799" s="46" t="n"/>
      <c r="I1799" s="46" t="n"/>
      <c r="J1799" s="46" t="n"/>
      <c r="K1799" s="46" t="n"/>
      <c r="L1799" s="47" t="n"/>
      <c r="M1799" s="47" t="n"/>
      <c r="N1799" s="47" t="n"/>
      <c r="O1799" s="47" t="n"/>
      <c r="P1799" s="47" t="n"/>
      <c r="Q1799" s="47" t="n"/>
      <c r="R1799" s="43">
        <f>IF($B1799="","",N($S1799)-N($Q1799))</f>
        <v/>
      </c>
      <c r="S1799" s="43">
        <f>IF($B1799="","",N($L1799)+N($N1799)+N($P1799))</f>
        <v/>
      </c>
      <c r="T1799" s="47" t="n"/>
      <c r="U1799" s="47" t="n"/>
      <c r="V1799" s="47" t="n"/>
      <c r="W1799" s="47" t="n"/>
      <c r="X1799" s="47" t="n"/>
      <c r="Y1799" s="47" t="n"/>
      <c r="Z1799" s="47" t="n"/>
      <c r="AA1799" s="47" t="n"/>
      <c r="AB1799" s="47" t="n"/>
      <c r="AC1799" s="47" t="n"/>
      <c r="AD1799" s="47" t="n"/>
      <c r="AE1799" s="47" t="n"/>
      <c r="AF1799" s="43">
        <f>IF($B1799="","",SUM($T1799:$AE1799))</f>
        <v/>
      </c>
      <c r="AG1799" s="43">
        <f>IF($B1799="","",N($M1799)-N($AF1799))</f>
        <v/>
      </c>
      <c r="AH1799" s="43">
        <f>IF($B1799="","",N($L1799)-N($AF1799))</f>
        <v/>
      </c>
      <c r="AI1799" s="149">
        <f>IF($B1799="","",IF(N($L1799)=0,"",(N($L1799)-N($AF1799))/N($L1799)))</f>
        <v/>
      </c>
    </row>
    <row r="1800">
      <c r="A1800" s="39">
        <f>IF($B1800="","",COUNTA($B$4:$B1800))</f>
        <v/>
      </c>
      <c r="B1800" s="40" t="n"/>
      <c r="C1800" s="41" t="n"/>
      <c r="D1800" s="41" t="n"/>
      <c r="E1800" s="41" t="n"/>
      <c r="F1800" s="41" t="n"/>
      <c r="G1800" s="41" t="n"/>
      <c r="H1800" s="41" t="n"/>
      <c r="I1800" s="41" t="n"/>
      <c r="J1800" s="41" t="n"/>
      <c r="K1800" s="41" t="n"/>
      <c r="L1800" s="42" t="n"/>
      <c r="M1800" s="42" t="n"/>
      <c r="N1800" s="42" t="n"/>
      <c r="O1800" s="42" t="n"/>
      <c r="P1800" s="42" t="n"/>
      <c r="Q1800" s="42" t="n"/>
      <c r="R1800" s="43">
        <f>IF($B1800="","",N($S1800)-N($Q1800))</f>
        <v/>
      </c>
      <c r="S1800" s="43">
        <f>IF($B1800="","",N($L1800)+N($N1800)+N($P1800))</f>
        <v/>
      </c>
      <c r="T1800" s="42" t="n"/>
      <c r="U1800" s="42" t="n"/>
      <c r="V1800" s="42" t="n"/>
      <c r="W1800" s="42" t="n"/>
      <c r="X1800" s="42" t="n"/>
      <c r="Y1800" s="42" t="n"/>
      <c r="Z1800" s="42" t="n"/>
      <c r="AA1800" s="42" t="n"/>
      <c r="AB1800" s="42" t="n"/>
      <c r="AC1800" s="42" t="n"/>
      <c r="AD1800" s="42" t="n"/>
      <c r="AE1800" s="42" t="n"/>
      <c r="AF1800" s="43">
        <f>IF($B1800="","",SUM($T1800:$AE1800))</f>
        <v/>
      </c>
      <c r="AG1800" s="43">
        <f>IF($B1800="","",N($M1800)-N($AF1800))</f>
        <v/>
      </c>
      <c r="AH1800" s="43">
        <f>IF($B1800="","",N($L1800)-N($AF1800))</f>
        <v/>
      </c>
      <c r="AI1800" s="149">
        <f>IF($B1800="","",IF(N($L1800)=0,"",(N($L1800)-N($AF1800))/N($L1800)))</f>
        <v/>
      </c>
    </row>
    <row r="1801">
      <c r="A1801" s="39">
        <f>IF($B1801="","",COUNTA($B$4:$B1801))</f>
        <v/>
      </c>
      <c r="B1801" s="45" t="n"/>
      <c r="C1801" s="46" t="n"/>
      <c r="D1801" s="46" t="n"/>
      <c r="E1801" s="46" t="n"/>
      <c r="F1801" s="46" t="n"/>
      <c r="G1801" s="46" t="n"/>
      <c r="H1801" s="46" t="n"/>
      <c r="I1801" s="46" t="n"/>
      <c r="J1801" s="46" t="n"/>
      <c r="K1801" s="46" t="n"/>
      <c r="L1801" s="47" t="n"/>
      <c r="M1801" s="47" t="n"/>
      <c r="N1801" s="47" t="n"/>
      <c r="O1801" s="47" t="n"/>
      <c r="P1801" s="47" t="n"/>
      <c r="Q1801" s="47" t="n"/>
      <c r="R1801" s="43">
        <f>IF($B1801="","",N($S1801)-N($Q1801))</f>
        <v/>
      </c>
      <c r="S1801" s="43">
        <f>IF($B1801="","",N($L1801)+N($N1801)+N($P1801))</f>
        <v/>
      </c>
      <c r="T1801" s="47" t="n"/>
      <c r="U1801" s="47" t="n"/>
      <c r="V1801" s="47" t="n"/>
      <c r="W1801" s="47" t="n"/>
      <c r="X1801" s="47" t="n"/>
      <c r="Y1801" s="47" t="n"/>
      <c r="Z1801" s="47" t="n"/>
      <c r="AA1801" s="47" t="n"/>
      <c r="AB1801" s="47" t="n"/>
      <c r="AC1801" s="47" t="n"/>
      <c r="AD1801" s="47" t="n"/>
      <c r="AE1801" s="47" t="n"/>
      <c r="AF1801" s="43">
        <f>IF($B1801="","",SUM($T1801:$AE1801))</f>
        <v/>
      </c>
      <c r="AG1801" s="43">
        <f>IF($B1801="","",N($M1801)-N($AF1801))</f>
        <v/>
      </c>
      <c r="AH1801" s="43">
        <f>IF($B1801="","",N($L1801)-N($AF1801))</f>
        <v/>
      </c>
      <c r="AI1801" s="149">
        <f>IF($B1801="","",IF(N($L1801)=0,"",(N($L1801)-N($AF1801))/N($L1801)))</f>
        <v/>
      </c>
    </row>
    <row r="1802">
      <c r="A1802" s="39">
        <f>IF($B1802="","",COUNTA($B$4:$B1802))</f>
        <v/>
      </c>
      <c r="B1802" s="40" t="n"/>
      <c r="C1802" s="41" t="n"/>
      <c r="D1802" s="41" t="n"/>
      <c r="E1802" s="41" t="n"/>
      <c r="F1802" s="41" t="n"/>
      <c r="G1802" s="41" t="n"/>
      <c r="H1802" s="41" t="n"/>
      <c r="I1802" s="41" t="n"/>
      <c r="J1802" s="41" t="n"/>
      <c r="K1802" s="41" t="n"/>
      <c r="L1802" s="42" t="n"/>
      <c r="M1802" s="42" t="n"/>
      <c r="N1802" s="42" t="n"/>
      <c r="O1802" s="42" t="n"/>
      <c r="P1802" s="42" t="n"/>
      <c r="Q1802" s="42" t="n"/>
      <c r="R1802" s="43">
        <f>IF($B1802="","",N($S1802)-N($Q1802))</f>
        <v/>
      </c>
      <c r="S1802" s="43">
        <f>IF($B1802="","",N($L1802)+N($N1802)+N($P1802))</f>
        <v/>
      </c>
      <c r="T1802" s="42" t="n"/>
      <c r="U1802" s="42" t="n"/>
      <c r="V1802" s="42" t="n"/>
      <c r="W1802" s="42" t="n"/>
      <c r="X1802" s="42" t="n"/>
      <c r="Y1802" s="42" t="n"/>
      <c r="Z1802" s="42" t="n"/>
      <c r="AA1802" s="42" t="n"/>
      <c r="AB1802" s="42" t="n"/>
      <c r="AC1802" s="42" t="n"/>
      <c r="AD1802" s="42" t="n"/>
      <c r="AE1802" s="42" t="n"/>
      <c r="AF1802" s="43">
        <f>IF($B1802="","",SUM($T1802:$AE1802))</f>
        <v/>
      </c>
      <c r="AG1802" s="43">
        <f>IF($B1802="","",N($M1802)-N($AF1802))</f>
        <v/>
      </c>
      <c r="AH1802" s="43">
        <f>IF($B1802="","",N($L1802)-N($AF1802))</f>
        <v/>
      </c>
      <c r="AI1802" s="149">
        <f>IF($B1802="","",IF(N($L1802)=0,"",(N($L1802)-N($AF1802))/N($L1802)))</f>
        <v/>
      </c>
    </row>
    <row r="1803">
      <c r="A1803" s="39">
        <f>IF($B1803="","",COUNTA($B$4:$B1803))</f>
        <v/>
      </c>
      <c r="B1803" s="45" t="n"/>
      <c r="C1803" s="46" t="n"/>
      <c r="D1803" s="46" t="n"/>
      <c r="E1803" s="46" t="n"/>
      <c r="F1803" s="46" t="n"/>
      <c r="G1803" s="46" t="n"/>
      <c r="H1803" s="46" t="n"/>
      <c r="I1803" s="46" t="n"/>
      <c r="J1803" s="46" t="n"/>
      <c r="K1803" s="46" t="n"/>
      <c r="L1803" s="47" t="n"/>
      <c r="M1803" s="47" t="n"/>
      <c r="N1803" s="47" t="n"/>
      <c r="O1803" s="47" t="n"/>
      <c r="P1803" s="47" t="n"/>
      <c r="Q1803" s="47" t="n"/>
      <c r="R1803" s="43">
        <f>IF($B1803="","",N($S1803)-N($Q1803))</f>
        <v/>
      </c>
      <c r="S1803" s="43">
        <f>IF($B1803="","",N($L1803)+N($N1803)+N($P1803))</f>
        <v/>
      </c>
      <c r="T1803" s="47" t="n"/>
      <c r="U1803" s="47" t="n"/>
      <c r="V1803" s="47" t="n"/>
      <c r="W1803" s="47" t="n"/>
      <c r="X1803" s="47" t="n"/>
      <c r="Y1803" s="47" t="n"/>
      <c r="Z1803" s="47" t="n"/>
      <c r="AA1803" s="47" t="n"/>
      <c r="AB1803" s="47" t="n"/>
      <c r="AC1803" s="47" t="n"/>
      <c r="AD1803" s="47" t="n"/>
      <c r="AE1803" s="47" t="n"/>
      <c r="AF1803" s="43">
        <f>IF($B1803="","",SUM($T1803:$AE1803))</f>
        <v/>
      </c>
      <c r="AG1803" s="43">
        <f>IF($B1803="","",N($M1803)-N($AF1803))</f>
        <v/>
      </c>
      <c r="AH1803" s="43">
        <f>IF($B1803="","",N($L1803)-N($AF1803))</f>
        <v/>
      </c>
      <c r="AI1803" s="149">
        <f>IF($B1803="","",IF(N($L1803)=0,"",(N($L1803)-N($AF1803))/N($L1803)))</f>
        <v/>
      </c>
    </row>
    <row r="1804">
      <c r="A1804" s="39">
        <f>IF($B1804="","",COUNTA($B$4:$B1804))</f>
        <v/>
      </c>
      <c r="B1804" s="40" t="n"/>
      <c r="C1804" s="41" t="n"/>
      <c r="D1804" s="41" t="n"/>
      <c r="E1804" s="41" t="n"/>
      <c r="F1804" s="41" t="n"/>
      <c r="G1804" s="41" t="n"/>
      <c r="H1804" s="41" t="n"/>
      <c r="I1804" s="41" t="n"/>
      <c r="J1804" s="41" t="n"/>
      <c r="K1804" s="41" t="n"/>
      <c r="L1804" s="42" t="n"/>
      <c r="M1804" s="42" t="n"/>
      <c r="N1804" s="42" t="n"/>
      <c r="O1804" s="42" t="n"/>
      <c r="P1804" s="42" t="n"/>
      <c r="Q1804" s="42" t="n"/>
      <c r="R1804" s="43">
        <f>IF($B1804="","",N($S1804)-N($Q1804))</f>
        <v/>
      </c>
      <c r="S1804" s="43">
        <f>IF($B1804="","",N($L1804)+N($N1804)+N($P1804))</f>
        <v/>
      </c>
      <c r="T1804" s="42" t="n"/>
      <c r="U1804" s="42" t="n"/>
      <c r="V1804" s="42" t="n"/>
      <c r="W1804" s="42" t="n"/>
      <c r="X1804" s="42" t="n"/>
      <c r="Y1804" s="42" t="n"/>
      <c r="Z1804" s="42" t="n"/>
      <c r="AA1804" s="42" t="n"/>
      <c r="AB1804" s="42" t="n"/>
      <c r="AC1804" s="42" t="n"/>
      <c r="AD1804" s="42" t="n"/>
      <c r="AE1804" s="42" t="n"/>
      <c r="AF1804" s="43">
        <f>IF($B1804="","",SUM($T1804:$AE1804))</f>
        <v/>
      </c>
      <c r="AG1804" s="43">
        <f>IF($B1804="","",N($M1804)-N($AF1804))</f>
        <v/>
      </c>
      <c r="AH1804" s="43">
        <f>IF($B1804="","",N($L1804)-N($AF1804))</f>
        <v/>
      </c>
      <c r="AI1804" s="149">
        <f>IF($B1804="","",IF(N($L1804)=0,"",(N($L1804)-N($AF1804))/N($L1804)))</f>
        <v/>
      </c>
    </row>
    <row r="1805">
      <c r="A1805" s="39">
        <f>IF($B1805="","",COUNTA($B$4:$B1805))</f>
        <v/>
      </c>
      <c r="B1805" s="45" t="n"/>
      <c r="C1805" s="46" t="n"/>
      <c r="D1805" s="46" t="n"/>
      <c r="E1805" s="46" t="n"/>
      <c r="F1805" s="46" t="n"/>
      <c r="G1805" s="46" t="n"/>
      <c r="H1805" s="46" t="n"/>
      <c r="I1805" s="46" t="n"/>
      <c r="J1805" s="46" t="n"/>
      <c r="K1805" s="46" t="n"/>
      <c r="L1805" s="47" t="n"/>
      <c r="M1805" s="47" t="n"/>
      <c r="N1805" s="47" t="n"/>
      <c r="O1805" s="47" t="n"/>
      <c r="P1805" s="47" t="n"/>
      <c r="Q1805" s="47" t="n"/>
      <c r="R1805" s="43">
        <f>IF($B1805="","",N($S1805)-N($Q1805))</f>
        <v/>
      </c>
      <c r="S1805" s="43">
        <f>IF($B1805="","",N($L1805)+N($N1805)+N($P1805))</f>
        <v/>
      </c>
      <c r="T1805" s="47" t="n"/>
      <c r="U1805" s="47" t="n"/>
      <c r="V1805" s="47" t="n"/>
      <c r="W1805" s="47" t="n"/>
      <c r="X1805" s="47" t="n"/>
      <c r="Y1805" s="47" t="n"/>
      <c r="Z1805" s="47" t="n"/>
      <c r="AA1805" s="47" t="n"/>
      <c r="AB1805" s="47" t="n"/>
      <c r="AC1805" s="47" t="n"/>
      <c r="AD1805" s="47" t="n"/>
      <c r="AE1805" s="47" t="n"/>
      <c r="AF1805" s="43">
        <f>IF($B1805="","",SUM($T1805:$AE1805))</f>
        <v/>
      </c>
      <c r="AG1805" s="43">
        <f>IF($B1805="","",N($M1805)-N($AF1805))</f>
        <v/>
      </c>
      <c r="AH1805" s="43">
        <f>IF($B1805="","",N($L1805)-N($AF1805))</f>
        <v/>
      </c>
      <c r="AI1805" s="149">
        <f>IF($B1805="","",IF(N($L1805)=0,"",(N($L1805)-N($AF1805))/N($L1805)))</f>
        <v/>
      </c>
    </row>
    <row r="1806">
      <c r="A1806" s="39">
        <f>IF($B1806="","",COUNTA($B$4:$B1806))</f>
        <v/>
      </c>
      <c r="B1806" s="40" t="n"/>
      <c r="C1806" s="41" t="n"/>
      <c r="D1806" s="41" t="n"/>
      <c r="E1806" s="41" t="n"/>
      <c r="F1806" s="41" t="n"/>
      <c r="G1806" s="41" t="n"/>
      <c r="H1806" s="41" t="n"/>
      <c r="I1806" s="41" t="n"/>
      <c r="J1806" s="41" t="n"/>
      <c r="K1806" s="41" t="n"/>
      <c r="L1806" s="42" t="n"/>
      <c r="M1806" s="42" t="n"/>
      <c r="N1806" s="42" t="n"/>
      <c r="O1806" s="42" t="n"/>
      <c r="P1806" s="42" t="n"/>
      <c r="Q1806" s="42" t="n"/>
      <c r="R1806" s="43">
        <f>IF($B1806="","",N($S1806)-N($Q1806))</f>
        <v/>
      </c>
      <c r="S1806" s="43">
        <f>IF($B1806="","",N($L1806)+N($N1806)+N($P1806))</f>
        <v/>
      </c>
      <c r="T1806" s="42" t="n"/>
      <c r="U1806" s="42" t="n"/>
      <c r="V1806" s="42" t="n"/>
      <c r="W1806" s="42" t="n"/>
      <c r="X1806" s="42" t="n"/>
      <c r="Y1806" s="42" t="n"/>
      <c r="Z1806" s="42" t="n"/>
      <c r="AA1806" s="42" t="n"/>
      <c r="AB1806" s="42" t="n"/>
      <c r="AC1806" s="42" t="n"/>
      <c r="AD1806" s="42" t="n"/>
      <c r="AE1806" s="42" t="n"/>
      <c r="AF1806" s="43">
        <f>IF($B1806="","",SUM($T1806:$AE1806))</f>
        <v/>
      </c>
      <c r="AG1806" s="43">
        <f>IF($B1806="","",N($M1806)-N($AF1806))</f>
        <v/>
      </c>
      <c r="AH1806" s="43">
        <f>IF($B1806="","",N($L1806)-N($AF1806))</f>
        <v/>
      </c>
      <c r="AI1806" s="149">
        <f>IF($B1806="","",IF(N($L1806)=0,"",(N($L1806)-N($AF1806))/N($L1806)))</f>
        <v/>
      </c>
    </row>
    <row r="1807">
      <c r="A1807" s="39">
        <f>IF($B1807="","",COUNTA($B$4:$B1807))</f>
        <v/>
      </c>
      <c r="B1807" s="45" t="n"/>
      <c r="C1807" s="46" t="n"/>
      <c r="D1807" s="46" t="n"/>
      <c r="E1807" s="46" t="n"/>
      <c r="F1807" s="46" t="n"/>
      <c r="G1807" s="46" t="n"/>
      <c r="H1807" s="46" t="n"/>
      <c r="I1807" s="46" t="n"/>
      <c r="J1807" s="46" t="n"/>
      <c r="K1807" s="46" t="n"/>
      <c r="L1807" s="47" t="n"/>
      <c r="M1807" s="47" t="n"/>
      <c r="N1807" s="47" t="n"/>
      <c r="O1807" s="47" t="n"/>
      <c r="P1807" s="47" t="n"/>
      <c r="Q1807" s="47" t="n"/>
      <c r="R1807" s="43">
        <f>IF($B1807="","",N($S1807)-N($Q1807))</f>
        <v/>
      </c>
      <c r="S1807" s="43">
        <f>IF($B1807="","",N($L1807)+N($N1807)+N($P1807))</f>
        <v/>
      </c>
      <c r="T1807" s="47" t="n"/>
      <c r="U1807" s="47" t="n"/>
      <c r="V1807" s="47" t="n"/>
      <c r="W1807" s="47" t="n"/>
      <c r="X1807" s="47" t="n"/>
      <c r="Y1807" s="47" t="n"/>
      <c r="Z1807" s="47" t="n"/>
      <c r="AA1807" s="47" t="n"/>
      <c r="AB1807" s="47" t="n"/>
      <c r="AC1807" s="47" t="n"/>
      <c r="AD1807" s="47" t="n"/>
      <c r="AE1807" s="47" t="n"/>
      <c r="AF1807" s="43">
        <f>IF($B1807="","",SUM($T1807:$AE1807))</f>
        <v/>
      </c>
      <c r="AG1807" s="43">
        <f>IF($B1807="","",N($M1807)-N($AF1807))</f>
        <v/>
      </c>
      <c r="AH1807" s="43">
        <f>IF($B1807="","",N($L1807)-N($AF1807))</f>
        <v/>
      </c>
      <c r="AI1807" s="149">
        <f>IF($B1807="","",IF(N($L1807)=0,"",(N($L1807)-N($AF1807))/N($L1807)))</f>
        <v/>
      </c>
    </row>
    <row r="1808">
      <c r="A1808" s="39">
        <f>IF($B1808="","",COUNTA($B$4:$B1808))</f>
        <v/>
      </c>
      <c r="B1808" s="40" t="n"/>
      <c r="C1808" s="41" t="n"/>
      <c r="D1808" s="41" t="n"/>
      <c r="E1808" s="41" t="n"/>
      <c r="F1808" s="41" t="n"/>
      <c r="G1808" s="41" t="n"/>
      <c r="H1808" s="41" t="n"/>
      <c r="I1808" s="41" t="n"/>
      <c r="J1808" s="41" t="n"/>
      <c r="K1808" s="41" t="n"/>
      <c r="L1808" s="42" t="n"/>
      <c r="M1808" s="42" t="n"/>
      <c r="N1808" s="42" t="n"/>
      <c r="O1808" s="42" t="n"/>
      <c r="P1808" s="42" t="n"/>
      <c r="Q1808" s="42" t="n"/>
      <c r="R1808" s="43">
        <f>IF($B1808="","",N($S1808)-N($Q1808))</f>
        <v/>
      </c>
      <c r="S1808" s="43">
        <f>IF($B1808="","",N($L1808)+N($N1808)+N($P1808))</f>
        <v/>
      </c>
      <c r="T1808" s="42" t="n"/>
      <c r="U1808" s="42" t="n"/>
      <c r="V1808" s="42" t="n"/>
      <c r="W1808" s="42" t="n"/>
      <c r="X1808" s="42" t="n"/>
      <c r="Y1808" s="42" t="n"/>
      <c r="Z1808" s="42" t="n"/>
      <c r="AA1808" s="42" t="n"/>
      <c r="AB1808" s="42" t="n"/>
      <c r="AC1808" s="42" t="n"/>
      <c r="AD1808" s="42" t="n"/>
      <c r="AE1808" s="42" t="n"/>
      <c r="AF1808" s="43">
        <f>IF($B1808="","",SUM($T1808:$AE1808))</f>
        <v/>
      </c>
      <c r="AG1808" s="43">
        <f>IF($B1808="","",N($M1808)-N($AF1808))</f>
        <v/>
      </c>
      <c r="AH1808" s="43">
        <f>IF($B1808="","",N($L1808)-N($AF1808))</f>
        <v/>
      </c>
      <c r="AI1808" s="149">
        <f>IF($B1808="","",IF(N($L1808)=0,"",(N($L1808)-N($AF1808))/N($L1808)))</f>
        <v/>
      </c>
    </row>
    <row r="1809">
      <c r="A1809" s="39">
        <f>IF($B1809="","",COUNTA($B$4:$B1809))</f>
        <v/>
      </c>
      <c r="B1809" s="45" t="n"/>
      <c r="C1809" s="46" t="n"/>
      <c r="D1809" s="46" t="n"/>
      <c r="E1809" s="46" t="n"/>
      <c r="F1809" s="46" t="n"/>
      <c r="G1809" s="46" t="n"/>
      <c r="H1809" s="46" t="n"/>
      <c r="I1809" s="46" t="n"/>
      <c r="J1809" s="46" t="n"/>
      <c r="K1809" s="46" t="n"/>
      <c r="L1809" s="47" t="n"/>
      <c r="M1809" s="47" t="n"/>
      <c r="N1809" s="47" t="n"/>
      <c r="O1809" s="47" t="n"/>
      <c r="P1809" s="47" t="n"/>
      <c r="Q1809" s="47" t="n"/>
      <c r="R1809" s="43">
        <f>IF($B1809="","",N($S1809)-N($Q1809))</f>
        <v/>
      </c>
      <c r="S1809" s="43">
        <f>IF($B1809="","",N($L1809)+N($N1809)+N($P1809))</f>
        <v/>
      </c>
      <c r="T1809" s="47" t="n"/>
      <c r="U1809" s="47" t="n"/>
      <c r="V1809" s="47" t="n"/>
      <c r="W1809" s="47" t="n"/>
      <c r="X1809" s="47" t="n"/>
      <c r="Y1809" s="47" t="n"/>
      <c r="Z1809" s="47" t="n"/>
      <c r="AA1809" s="47" t="n"/>
      <c r="AB1809" s="47" t="n"/>
      <c r="AC1809" s="47" t="n"/>
      <c r="AD1809" s="47" t="n"/>
      <c r="AE1809" s="47" t="n"/>
      <c r="AF1809" s="43">
        <f>IF($B1809="","",SUM($T1809:$AE1809))</f>
        <v/>
      </c>
      <c r="AG1809" s="43">
        <f>IF($B1809="","",N($M1809)-N($AF1809))</f>
        <v/>
      </c>
      <c r="AH1809" s="43">
        <f>IF($B1809="","",N($L1809)-N($AF1809))</f>
        <v/>
      </c>
      <c r="AI1809" s="149">
        <f>IF($B1809="","",IF(N($L1809)=0,"",(N($L1809)-N($AF1809))/N($L1809)))</f>
        <v/>
      </c>
    </row>
    <row r="1810">
      <c r="A1810" s="39">
        <f>IF($B1810="","",COUNTA($B$4:$B1810))</f>
        <v/>
      </c>
      <c r="B1810" s="40" t="n"/>
      <c r="C1810" s="41" t="n"/>
      <c r="D1810" s="41" t="n"/>
      <c r="E1810" s="41" t="n"/>
      <c r="F1810" s="41" t="n"/>
      <c r="G1810" s="41" t="n"/>
      <c r="H1810" s="41" t="n"/>
      <c r="I1810" s="41" t="n"/>
      <c r="J1810" s="41" t="n"/>
      <c r="K1810" s="41" t="n"/>
      <c r="L1810" s="42" t="n"/>
      <c r="M1810" s="42" t="n"/>
      <c r="N1810" s="42" t="n"/>
      <c r="O1810" s="42" t="n"/>
      <c r="P1810" s="42" t="n"/>
      <c r="Q1810" s="42" t="n"/>
      <c r="R1810" s="43">
        <f>IF($B1810="","",N($S1810)-N($Q1810))</f>
        <v/>
      </c>
      <c r="S1810" s="43">
        <f>IF($B1810="","",N($L1810)+N($N1810)+N($P1810))</f>
        <v/>
      </c>
      <c r="T1810" s="42" t="n"/>
      <c r="U1810" s="42" t="n"/>
      <c r="V1810" s="42" t="n"/>
      <c r="W1810" s="42" t="n"/>
      <c r="X1810" s="42" t="n"/>
      <c r="Y1810" s="42" t="n"/>
      <c r="Z1810" s="42" t="n"/>
      <c r="AA1810" s="42" t="n"/>
      <c r="AB1810" s="42" t="n"/>
      <c r="AC1810" s="42" t="n"/>
      <c r="AD1810" s="42" t="n"/>
      <c r="AE1810" s="42" t="n"/>
      <c r="AF1810" s="43">
        <f>IF($B1810="","",SUM($T1810:$AE1810))</f>
        <v/>
      </c>
      <c r="AG1810" s="43">
        <f>IF($B1810="","",N($M1810)-N($AF1810))</f>
        <v/>
      </c>
      <c r="AH1810" s="43">
        <f>IF($B1810="","",N($L1810)-N($AF1810))</f>
        <v/>
      </c>
      <c r="AI1810" s="149">
        <f>IF($B1810="","",IF(N($L1810)=0,"",(N($L1810)-N($AF1810))/N($L1810)))</f>
        <v/>
      </c>
    </row>
    <row r="1811">
      <c r="A1811" s="39">
        <f>IF($B1811="","",COUNTA($B$4:$B1811))</f>
        <v/>
      </c>
      <c r="B1811" s="45" t="n"/>
      <c r="C1811" s="46" t="n"/>
      <c r="D1811" s="46" t="n"/>
      <c r="E1811" s="46" t="n"/>
      <c r="F1811" s="46" t="n"/>
      <c r="G1811" s="46" t="n"/>
      <c r="H1811" s="46" t="n"/>
      <c r="I1811" s="46" t="n"/>
      <c r="J1811" s="46" t="n"/>
      <c r="K1811" s="46" t="n"/>
      <c r="L1811" s="47" t="n"/>
      <c r="M1811" s="47" t="n"/>
      <c r="N1811" s="47" t="n"/>
      <c r="O1811" s="47" t="n"/>
      <c r="P1811" s="47" t="n"/>
      <c r="Q1811" s="47" t="n"/>
      <c r="R1811" s="43">
        <f>IF($B1811="","",N($S1811)-N($Q1811))</f>
        <v/>
      </c>
      <c r="S1811" s="43">
        <f>IF($B1811="","",N($L1811)+N($N1811)+N($P1811))</f>
        <v/>
      </c>
      <c r="T1811" s="47" t="n"/>
      <c r="U1811" s="47" t="n"/>
      <c r="V1811" s="47" t="n"/>
      <c r="W1811" s="47" t="n"/>
      <c r="X1811" s="47" t="n"/>
      <c r="Y1811" s="47" t="n"/>
      <c r="Z1811" s="47" t="n"/>
      <c r="AA1811" s="47" t="n"/>
      <c r="AB1811" s="47" t="n"/>
      <c r="AC1811" s="47" t="n"/>
      <c r="AD1811" s="47" t="n"/>
      <c r="AE1811" s="47" t="n"/>
      <c r="AF1811" s="43">
        <f>IF($B1811="","",SUM($T1811:$AE1811))</f>
        <v/>
      </c>
      <c r="AG1811" s="43">
        <f>IF($B1811="","",N($M1811)-N($AF1811))</f>
        <v/>
      </c>
      <c r="AH1811" s="43">
        <f>IF($B1811="","",N($L1811)-N($AF1811))</f>
        <v/>
      </c>
      <c r="AI1811" s="149">
        <f>IF($B1811="","",IF(N($L1811)=0,"",(N($L1811)-N($AF1811))/N($L1811)))</f>
        <v/>
      </c>
    </row>
    <row r="1812">
      <c r="A1812" s="39">
        <f>IF($B1812="","",COUNTA($B$4:$B1812))</f>
        <v/>
      </c>
      <c r="B1812" s="40" t="n"/>
      <c r="C1812" s="41" t="n"/>
      <c r="D1812" s="41" t="n"/>
      <c r="E1812" s="41" t="n"/>
      <c r="F1812" s="41" t="n"/>
      <c r="G1812" s="41" t="n"/>
      <c r="H1812" s="41" t="n"/>
      <c r="I1812" s="41" t="n"/>
      <c r="J1812" s="41" t="n"/>
      <c r="K1812" s="41" t="n"/>
      <c r="L1812" s="42" t="n"/>
      <c r="M1812" s="42" t="n"/>
      <c r="N1812" s="42" t="n"/>
      <c r="O1812" s="42" t="n"/>
      <c r="P1812" s="42" t="n"/>
      <c r="Q1812" s="42" t="n"/>
      <c r="R1812" s="43">
        <f>IF($B1812="","",N($S1812)-N($Q1812))</f>
        <v/>
      </c>
      <c r="S1812" s="43">
        <f>IF($B1812="","",N($L1812)+N($N1812)+N($P1812))</f>
        <v/>
      </c>
      <c r="T1812" s="42" t="n"/>
      <c r="U1812" s="42" t="n"/>
      <c r="V1812" s="42" t="n"/>
      <c r="W1812" s="42" t="n"/>
      <c r="X1812" s="42" t="n"/>
      <c r="Y1812" s="42" t="n"/>
      <c r="Z1812" s="42" t="n"/>
      <c r="AA1812" s="42" t="n"/>
      <c r="AB1812" s="42" t="n"/>
      <c r="AC1812" s="42" t="n"/>
      <c r="AD1812" s="42" t="n"/>
      <c r="AE1812" s="42" t="n"/>
      <c r="AF1812" s="43">
        <f>IF($B1812="","",SUM($T1812:$AE1812))</f>
        <v/>
      </c>
      <c r="AG1812" s="43">
        <f>IF($B1812="","",N($M1812)-N($AF1812))</f>
        <v/>
      </c>
      <c r="AH1812" s="43">
        <f>IF($B1812="","",N($L1812)-N($AF1812))</f>
        <v/>
      </c>
      <c r="AI1812" s="149">
        <f>IF($B1812="","",IF(N($L1812)=0,"",(N($L1812)-N($AF1812))/N($L1812)))</f>
        <v/>
      </c>
    </row>
    <row r="1813">
      <c r="A1813" s="39">
        <f>IF($B1813="","",COUNTA($B$4:$B1813))</f>
        <v/>
      </c>
      <c r="B1813" s="45" t="n"/>
      <c r="C1813" s="46" t="n"/>
      <c r="D1813" s="46" t="n"/>
      <c r="E1813" s="46" t="n"/>
      <c r="F1813" s="46" t="n"/>
      <c r="G1813" s="46" t="n"/>
      <c r="H1813" s="46" t="n"/>
      <c r="I1813" s="46" t="n"/>
      <c r="J1813" s="46" t="n"/>
      <c r="K1813" s="46" t="n"/>
      <c r="L1813" s="47" t="n"/>
      <c r="M1813" s="47" t="n"/>
      <c r="N1813" s="47" t="n"/>
      <c r="O1813" s="47" t="n"/>
      <c r="P1813" s="47" t="n"/>
      <c r="Q1813" s="47" t="n"/>
      <c r="R1813" s="43">
        <f>IF($B1813="","",N($S1813)-N($Q1813))</f>
        <v/>
      </c>
      <c r="S1813" s="43">
        <f>IF($B1813="","",N($L1813)+N($N1813)+N($P1813))</f>
        <v/>
      </c>
      <c r="T1813" s="47" t="n"/>
      <c r="U1813" s="47" t="n"/>
      <c r="V1813" s="47" t="n"/>
      <c r="W1813" s="47" t="n"/>
      <c r="X1813" s="47" t="n"/>
      <c r="Y1813" s="47" t="n"/>
      <c r="Z1813" s="47" t="n"/>
      <c r="AA1813" s="47" t="n"/>
      <c r="AB1813" s="47" t="n"/>
      <c r="AC1813" s="47" t="n"/>
      <c r="AD1813" s="47" t="n"/>
      <c r="AE1813" s="47" t="n"/>
      <c r="AF1813" s="43">
        <f>IF($B1813="","",SUM($T1813:$AE1813))</f>
        <v/>
      </c>
      <c r="AG1813" s="43">
        <f>IF($B1813="","",N($M1813)-N($AF1813))</f>
        <v/>
      </c>
      <c r="AH1813" s="43">
        <f>IF($B1813="","",N($L1813)-N($AF1813))</f>
        <v/>
      </c>
      <c r="AI1813" s="149">
        <f>IF($B1813="","",IF(N($L1813)=0,"",(N($L1813)-N($AF1813))/N($L1813)))</f>
        <v/>
      </c>
    </row>
    <row r="1814">
      <c r="A1814" s="39">
        <f>IF($B1814="","",COUNTA($B$4:$B1814))</f>
        <v/>
      </c>
      <c r="B1814" s="40" t="n"/>
      <c r="C1814" s="41" t="n"/>
      <c r="D1814" s="41" t="n"/>
      <c r="E1814" s="41" t="n"/>
      <c r="F1814" s="41" t="n"/>
      <c r="G1814" s="41" t="n"/>
      <c r="H1814" s="41" t="n"/>
      <c r="I1814" s="41" t="n"/>
      <c r="J1814" s="41" t="n"/>
      <c r="K1814" s="41" t="n"/>
      <c r="L1814" s="42" t="n"/>
      <c r="M1814" s="42" t="n"/>
      <c r="N1814" s="42" t="n"/>
      <c r="O1814" s="42" t="n"/>
      <c r="P1814" s="42" t="n"/>
      <c r="Q1814" s="42" t="n"/>
      <c r="R1814" s="43">
        <f>IF($B1814="","",N($S1814)-N($Q1814))</f>
        <v/>
      </c>
      <c r="S1814" s="43">
        <f>IF($B1814="","",N($L1814)+N($N1814)+N($P1814))</f>
        <v/>
      </c>
      <c r="T1814" s="42" t="n"/>
      <c r="U1814" s="42" t="n"/>
      <c r="V1814" s="42" t="n"/>
      <c r="W1814" s="42" t="n"/>
      <c r="X1814" s="42" t="n"/>
      <c r="Y1814" s="42" t="n"/>
      <c r="Z1814" s="42" t="n"/>
      <c r="AA1814" s="42" t="n"/>
      <c r="AB1814" s="42" t="n"/>
      <c r="AC1814" s="42" t="n"/>
      <c r="AD1814" s="42" t="n"/>
      <c r="AE1814" s="42" t="n"/>
      <c r="AF1814" s="43">
        <f>IF($B1814="","",SUM($T1814:$AE1814))</f>
        <v/>
      </c>
      <c r="AG1814" s="43">
        <f>IF($B1814="","",N($M1814)-N($AF1814))</f>
        <v/>
      </c>
      <c r="AH1814" s="43">
        <f>IF($B1814="","",N($L1814)-N($AF1814))</f>
        <v/>
      </c>
      <c r="AI1814" s="149">
        <f>IF($B1814="","",IF(N($L1814)=0,"",(N($L1814)-N($AF1814))/N($L1814)))</f>
        <v/>
      </c>
    </row>
    <row r="1815">
      <c r="A1815" s="39">
        <f>IF($B1815="","",COUNTA($B$4:$B1815))</f>
        <v/>
      </c>
      <c r="B1815" s="45" t="n"/>
      <c r="C1815" s="46" t="n"/>
      <c r="D1815" s="46" t="n"/>
      <c r="E1815" s="46" t="n"/>
      <c r="F1815" s="46" t="n"/>
      <c r="G1815" s="46" t="n"/>
      <c r="H1815" s="46" t="n"/>
      <c r="I1815" s="46" t="n"/>
      <c r="J1815" s="46" t="n"/>
      <c r="K1815" s="46" t="n"/>
      <c r="L1815" s="47" t="n"/>
      <c r="M1815" s="47" t="n"/>
      <c r="N1815" s="47" t="n"/>
      <c r="O1815" s="47" t="n"/>
      <c r="P1815" s="47" t="n"/>
      <c r="Q1815" s="47" t="n"/>
      <c r="R1815" s="43">
        <f>IF($B1815="","",N($S1815)-N($Q1815))</f>
        <v/>
      </c>
      <c r="S1815" s="43">
        <f>IF($B1815="","",N($L1815)+N($N1815)+N($P1815))</f>
        <v/>
      </c>
      <c r="T1815" s="47" t="n"/>
      <c r="U1815" s="47" t="n"/>
      <c r="V1815" s="47" t="n"/>
      <c r="W1815" s="47" t="n"/>
      <c r="X1815" s="47" t="n"/>
      <c r="Y1815" s="47" t="n"/>
      <c r="Z1815" s="47" t="n"/>
      <c r="AA1815" s="47" t="n"/>
      <c r="AB1815" s="47" t="n"/>
      <c r="AC1815" s="47" t="n"/>
      <c r="AD1815" s="47" t="n"/>
      <c r="AE1815" s="47" t="n"/>
      <c r="AF1815" s="43">
        <f>IF($B1815="","",SUM($T1815:$AE1815))</f>
        <v/>
      </c>
      <c r="AG1815" s="43">
        <f>IF($B1815="","",N($M1815)-N($AF1815))</f>
        <v/>
      </c>
      <c r="AH1815" s="43">
        <f>IF($B1815="","",N($L1815)-N($AF1815))</f>
        <v/>
      </c>
      <c r="AI1815" s="149">
        <f>IF($B1815="","",IF(N($L1815)=0,"",(N($L1815)-N($AF1815))/N($L1815)))</f>
        <v/>
      </c>
    </row>
    <row r="1816">
      <c r="A1816" s="39">
        <f>IF($B1816="","",COUNTA($B$4:$B1816))</f>
        <v/>
      </c>
      <c r="B1816" s="40" t="n"/>
      <c r="C1816" s="41" t="n"/>
      <c r="D1816" s="41" t="n"/>
      <c r="E1816" s="41" t="n"/>
      <c r="F1816" s="41" t="n"/>
      <c r="G1816" s="41" t="n"/>
      <c r="H1816" s="41" t="n"/>
      <c r="I1816" s="41" t="n"/>
      <c r="J1816" s="41" t="n"/>
      <c r="K1816" s="41" t="n"/>
      <c r="L1816" s="42" t="n"/>
      <c r="M1816" s="42" t="n"/>
      <c r="N1816" s="42" t="n"/>
      <c r="O1816" s="42" t="n"/>
      <c r="P1816" s="42" t="n"/>
      <c r="Q1816" s="42" t="n"/>
      <c r="R1816" s="43">
        <f>IF($B1816="","",N($S1816)-N($Q1816))</f>
        <v/>
      </c>
      <c r="S1816" s="43">
        <f>IF($B1816="","",N($L1816)+N($N1816)+N($P1816))</f>
        <v/>
      </c>
      <c r="T1816" s="42" t="n"/>
      <c r="U1816" s="42" t="n"/>
      <c r="V1816" s="42" t="n"/>
      <c r="W1816" s="42" t="n"/>
      <c r="X1816" s="42" t="n"/>
      <c r="Y1816" s="42" t="n"/>
      <c r="Z1816" s="42" t="n"/>
      <c r="AA1816" s="42" t="n"/>
      <c r="AB1816" s="42" t="n"/>
      <c r="AC1816" s="42" t="n"/>
      <c r="AD1816" s="42" t="n"/>
      <c r="AE1816" s="42" t="n"/>
      <c r="AF1816" s="43">
        <f>IF($B1816="","",SUM($T1816:$AE1816))</f>
        <v/>
      </c>
      <c r="AG1816" s="43">
        <f>IF($B1816="","",N($M1816)-N($AF1816))</f>
        <v/>
      </c>
      <c r="AH1816" s="43">
        <f>IF($B1816="","",N($L1816)-N($AF1816))</f>
        <v/>
      </c>
      <c r="AI1816" s="149">
        <f>IF($B1816="","",IF(N($L1816)=0,"",(N($L1816)-N($AF1816))/N($L1816)))</f>
        <v/>
      </c>
    </row>
    <row r="1817">
      <c r="A1817" s="39">
        <f>IF($B1817="","",COUNTA($B$4:$B1817))</f>
        <v/>
      </c>
      <c r="B1817" s="45" t="n"/>
      <c r="C1817" s="46" t="n"/>
      <c r="D1817" s="46" t="n"/>
      <c r="E1817" s="46" t="n"/>
      <c r="F1817" s="46" t="n"/>
      <c r="G1817" s="46" t="n"/>
      <c r="H1817" s="46" t="n"/>
      <c r="I1817" s="46" t="n"/>
      <c r="J1817" s="46" t="n"/>
      <c r="K1817" s="46" t="n"/>
      <c r="L1817" s="47" t="n"/>
      <c r="M1817" s="47" t="n"/>
      <c r="N1817" s="47" t="n"/>
      <c r="O1817" s="47" t="n"/>
      <c r="P1817" s="47" t="n"/>
      <c r="Q1817" s="47" t="n"/>
      <c r="R1817" s="43">
        <f>IF($B1817="","",N($S1817)-N($Q1817))</f>
        <v/>
      </c>
      <c r="S1817" s="43">
        <f>IF($B1817="","",N($L1817)+N($N1817)+N($P1817))</f>
        <v/>
      </c>
      <c r="T1817" s="47" t="n"/>
      <c r="U1817" s="47" t="n"/>
      <c r="V1817" s="47" t="n"/>
      <c r="W1817" s="47" t="n"/>
      <c r="X1817" s="47" t="n"/>
      <c r="Y1817" s="47" t="n"/>
      <c r="Z1817" s="47" t="n"/>
      <c r="AA1817" s="47" t="n"/>
      <c r="AB1817" s="47" t="n"/>
      <c r="AC1817" s="47" t="n"/>
      <c r="AD1817" s="47" t="n"/>
      <c r="AE1817" s="47" t="n"/>
      <c r="AF1817" s="43">
        <f>IF($B1817="","",SUM($T1817:$AE1817))</f>
        <v/>
      </c>
      <c r="AG1817" s="43">
        <f>IF($B1817="","",N($M1817)-N($AF1817))</f>
        <v/>
      </c>
      <c r="AH1817" s="43">
        <f>IF($B1817="","",N($L1817)-N($AF1817))</f>
        <v/>
      </c>
      <c r="AI1817" s="149">
        <f>IF($B1817="","",IF(N($L1817)=0,"",(N($L1817)-N($AF1817))/N($L1817)))</f>
        <v/>
      </c>
    </row>
    <row r="1818">
      <c r="A1818" s="39">
        <f>IF($B1818="","",COUNTA($B$4:$B1818))</f>
        <v/>
      </c>
      <c r="B1818" s="40" t="n"/>
      <c r="C1818" s="41" t="n"/>
      <c r="D1818" s="41" t="n"/>
      <c r="E1818" s="41" t="n"/>
      <c r="F1818" s="41" t="n"/>
      <c r="G1818" s="41" t="n"/>
      <c r="H1818" s="41" t="n"/>
      <c r="I1818" s="41" t="n"/>
      <c r="J1818" s="41" t="n"/>
      <c r="K1818" s="41" t="n"/>
      <c r="L1818" s="42" t="n"/>
      <c r="M1818" s="42" t="n"/>
      <c r="N1818" s="42" t="n"/>
      <c r="O1818" s="42" t="n"/>
      <c r="P1818" s="42" t="n"/>
      <c r="Q1818" s="42" t="n"/>
      <c r="R1818" s="43">
        <f>IF($B1818="","",N($S1818)-N($Q1818))</f>
        <v/>
      </c>
      <c r="S1818" s="43">
        <f>IF($B1818="","",N($L1818)+N($N1818)+N($P1818))</f>
        <v/>
      </c>
      <c r="T1818" s="42" t="n"/>
      <c r="U1818" s="42" t="n"/>
      <c r="V1818" s="42" t="n"/>
      <c r="W1818" s="42" t="n"/>
      <c r="X1818" s="42" t="n"/>
      <c r="Y1818" s="42" t="n"/>
      <c r="Z1818" s="42" t="n"/>
      <c r="AA1818" s="42" t="n"/>
      <c r="AB1818" s="42" t="n"/>
      <c r="AC1818" s="42" t="n"/>
      <c r="AD1818" s="42" t="n"/>
      <c r="AE1818" s="42" t="n"/>
      <c r="AF1818" s="43">
        <f>IF($B1818="","",SUM($T1818:$AE1818))</f>
        <v/>
      </c>
      <c r="AG1818" s="43">
        <f>IF($B1818="","",N($M1818)-N($AF1818))</f>
        <v/>
      </c>
      <c r="AH1818" s="43">
        <f>IF($B1818="","",N($L1818)-N($AF1818))</f>
        <v/>
      </c>
      <c r="AI1818" s="149">
        <f>IF($B1818="","",IF(N($L1818)=0,"",(N($L1818)-N($AF1818))/N($L1818)))</f>
        <v/>
      </c>
    </row>
    <row r="1819">
      <c r="A1819" s="39">
        <f>IF($B1819="","",COUNTA($B$4:$B1819))</f>
        <v/>
      </c>
      <c r="B1819" s="45" t="n"/>
      <c r="C1819" s="46" t="n"/>
      <c r="D1819" s="46" t="n"/>
      <c r="E1819" s="46" t="n"/>
      <c r="F1819" s="46" t="n"/>
      <c r="G1819" s="46" t="n"/>
      <c r="H1819" s="46" t="n"/>
      <c r="I1819" s="46" t="n"/>
      <c r="J1819" s="46" t="n"/>
      <c r="K1819" s="46" t="n"/>
      <c r="L1819" s="47" t="n"/>
      <c r="M1819" s="47" t="n"/>
      <c r="N1819" s="47" t="n"/>
      <c r="O1819" s="47" t="n"/>
      <c r="P1819" s="47" t="n"/>
      <c r="Q1819" s="47" t="n"/>
      <c r="R1819" s="43">
        <f>IF($B1819="","",N($S1819)-N($Q1819))</f>
        <v/>
      </c>
      <c r="S1819" s="43">
        <f>IF($B1819="","",N($L1819)+N($N1819)+N($P1819))</f>
        <v/>
      </c>
      <c r="T1819" s="47" t="n"/>
      <c r="U1819" s="47" t="n"/>
      <c r="V1819" s="47" t="n"/>
      <c r="W1819" s="47" t="n"/>
      <c r="X1819" s="47" t="n"/>
      <c r="Y1819" s="47" t="n"/>
      <c r="Z1819" s="47" t="n"/>
      <c r="AA1819" s="47" t="n"/>
      <c r="AB1819" s="47" t="n"/>
      <c r="AC1819" s="47" t="n"/>
      <c r="AD1819" s="47" t="n"/>
      <c r="AE1819" s="47" t="n"/>
      <c r="AF1819" s="43">
        <f>IF($B1819="","",SUM($T1819:$AE1819))</f>
        <v/>
      </c>
      <c r="AG1819" s="43">
        <f>IF($B1819="","",N($M1819)-N($AF1819))</f>
        <v/>
      </c>
      <c r="AH1819" s="43">
        <f>IF($B1819="","",N($L1819)-N($AF1819))</f>
        <v/>
      </c>
      <c r="AI1819" s="149">
        <f>IF($B1819="","",IF(N($L1819)=0,"",(N($L1819)-N($AF1819))/N($L1819)))</f>
        <v/>
      </c>
    </row>
    <row r="1820">
      <c r="A1820" s="39">
        <f>IF($B1820="","",COUNTA($B$4:$B1820))</f>
        <v/>
      </c>
      <c r="B1820" s="40" t="n"/>
      <c r="C1820" s="41" t="n"/>
      <c r="D1820" s="41" t="n"/>
      <c r="E1820" s="41" t="n"/>
      <c r="F1820" s="41" t="n"/>
      <c r="G1820" s="41" t="n"/>
      <c r="H1820" s="41" t="n"/>
      <c r="I1820" s="41" t="n"/>
      <c r="J1820" s="41" t="n"/>
      <c r="K1820" s="41" t="n"/>
      <c r="L1820" s="42" t="n"/>
      <c r="M1820" s="42" t="n"/>
      <c r="N1820" s="42" t="n"/>
      <c r="O1820" s="42" t="n"/>
      <c r="P1820" s="42" t="n"/>
      <c r="Q1820" s="42" t="n"/>
      <c r="R1820" s="43">
        <f>IF($B1820="","",N($S1820)-N($Q1820))</f>
        <v/>
      </c>
      <c r="S1820" s="43">
        <f>IF($B1820="","",N($L1820)+N($N1820)+N($P1820))</f>
        <v/>
      </c>
      <c r="T1820" s="42" t="n"/>
      <c r="U1820" s="42" t="n"/>
      <c r="V1820" s="42" t="n"/>
      <c r="W1820" s="42" t="n"/>
      <c r="X1820" s="42" t="n"/>
      <c r="Y1820" s="42" t="n"/>
      <c r="Z1820" s="42" t="n"/>
      <c r="AA1820" s="42" t="n"/>
      <c r="AB1820" s="42" t="n"/>
      <c r="AC1820" s="42" t="n"/>
      <c r="AD1820" s="42" t="n"/>
      <c r="AE1820" s="42" t="n"/>
      <c r="AF1820" s="43">
        <f>IF($B1820="","",SUM($T1820:$AE1820))</f>
        <v/>
      </c>
      <c r="AG1820" s="43">
        <f>IF($B1820="","",N($M1820)-N($AF1820))</f>
        <v/>
      </c>
      <c r="AH1820" s="43">
        <f>IF($B1820="","",N($L1820)-N($AF1820))</f>
        <v/>
      </c>
      <c r="AI1820" s="149">
        <f>IF($B1820="","",IF(N($L1820)=0,"",(N($L1820)-N($AF1820))/N($L1820)))</f>
        <v/>
      </c>
    </row>
    <row r="1821">
      <c r="A1821" s="39">
        <f>IF($B1821="","",COUNTA($B$4:$B1821))</f>
        <v/>
      </c>
      <c r="B1821" s="45" t="n"/>
      <c r="C1821" s="46" t="n"/>
      <c r="D1821" s="46" t="n"/>
      <c r="E1821" s="46" t="n"/>
      <c r="F1821" s="46" t="n"/>
      <c r="G1821" s="46" t="n"/>
      <c r="H1821" s="46" t="n"/>
      <c r="I1821" s="46" t="n"/>
      <c r="J1821" s="46" t="n"/>
      <c r="K1821" s="46" t="n"/>
      <c r="L1821" s="47" t="n"/>
      <c r="M1821" s="47" t="n"/>
      <c r="N1821" s="47" t="n"/>
      <c r="O1821" s="47" t="n"/>
      <c r="P1821" s="47" t="n"/>
      <c r="Q1821" s="47" t="n"/>
      <c r="R1821" s="43">
        <f>IF($B1821="","",N($S1821)-N($Q1821))</f>
        <v/>
      </c>
      <c r="S1821" s="43">
        <f>IF($B1821="","",N($L1821)+N($N1821)+N($P1821))</f>
        <v/>
      </c>
      <c r="T1821" s="47" t="n"/>
      <c r="U1821" s="47" t="n"/>
      <c r="V1821" s="47" t="n"/>
      <c r="W1821" s="47" t="n"/>
      <c r="X1821" s="47" t="n"/>
      <c r="Y1821" s="47" t="n"/>
      <c r="Z1821" s="47" t="n"/>
      <c r="AA1821" s="47" t="n"/>
      <c r="AB1821" s="47" t="n"/>
      <c r="AC1821" s="47" t="n"/>
      <c r="AD1821" s="47" t="n"/>
      <c r="AE1821" s="47" t="n"/>
      <c r="AF1821" s="43">
        <f>IF($B1821="","",SUM($T1821:$AE1821))</f>
        <v/>
      </c>
      <c r="AG1821" s="43">
        <f>IF($B1821="","",N($M1821)-N($AF1821))</f>
        <v/>
      </c>
      <c r="AH1821" s="43">
        <f>IF($B1821="","",N($L1821)-N($AF1821))</f>
        <v/>
      </c>
      <c r="AI1821" s="149">
        <f>IF($B1821="","",IF(N($L1821)=0,"",(N($L1821)-N($AF1821))/N($L1821)))</f>
        <v/>
      </c>
    </row>
    <row r="1822">
      <c r="A1822" s="39">
        <f>IF($B1822="","",COUNTA($B$4:$B1822))</f>
        <v/>
      </c>
      <c r="B1822" s="40" t="n"/>
      <c r="C1822" s="41" t="n"/>
      <c r="D1822" s="41" t="n"/>
      <c r="E1822" s="41" t="n"/>
      <c r="F1822" s="41" t="n"/>
      <c r="G1822" s="41" t="n"/>
      <c r="H1822" s="41" t="n"/>
      <c r="I1822" s="41" t="n"/>
      <c r="J1822" s="41" t="n"/>
      <c r="K1822" s="41" t="n"/>
      <c r="L1822" s="42" t="n"/>
      <c r="M1822" s="42" t="n"/>
      <c r="N1822" s="42" t="n"/>
      <c r="O1822" s="42" t="n"/>
      <c r="P1822" s="42" t="n"/>
      <c r="Q1822" s="42" t="n"/>
      <c r="R1822" s="43">
        <f>IF($B1822="","",N($S1822)-N($Q1822))</f>
        <v/>
      </c>
      <c r="S1822" s="43">
        <f>IF($B1822="","",N($L1822)+N($N1822)+N($P1822))</f>
        <v/>
      </c>
      <c r="T1822" s="42" t="n"/>
      <c r="U1822" s="42" t="n"/>
      <c r="V1822" s="42" t="n"/>
      <c r="W1822" s="42" t="n"/>
      <c r="X1822" s="42" t="n"/>
      <c r="Y1822" s="42" t="n"/>
      <c r="Z1822" s="42" t="n"/>
      <c r="AA1822" s="42" t="n"/>
      <c r="AB1822" s="42" t="n"/>
      <c r="AC1822" s="42" t="n"/>
      <c r="AD1822" s="42" t="n"/>
      <c r="AE1822" s="42" t="n"/>
      <c r="AF1822" s="43">
        <f>IF($B1822="","",SUM($T1822:$AE1822))</f>
        <v/>
      </c>
      <c r="AG1822" s="43">
        <f>IF($B1822="","",N($M1822)-N($AF1822))</f>
        <v/>
      </c>
      <c r="AH1822" s="43">
        <f>IF($B1822="","",N($L1822)-N($AF1822))</f>
        <v/>
      </c>
      <c r="AI1822" s="149">
        <f>IF($B1822="","",IF(N($L1822)=0,"",(N($L1822)-N($AF1822))/N($L1822)))</f>
        <v/>
      </c>
    </row>
    <row r="1823">
      <c r="A1823" s="39">
        <f>IF($B1823="","",COUNTA($B$4:$B1823))</f>
        <v/>
      </c>
      <c r="B1823" s="45" t="n"/>
      <c r="C1823" s="46" t="n"/>
      <c r="D1823" s="46" t="n"/>
      <c r="E1823" s="46" t="n"/>
      <c r="F1823" s="46" t="n"/>
      <c r="G1823" s="46" t="n"/>
      <c r="H1823" s="46" t="n"/>
      <c r="I1823" s="46" t="n"/>
      <c r="J1823" s="46" t="n"/>
      <c r="K1823" s="46" t="n"/>
      <c r="L1823" s="47" t="n"/>
      <c r="M1823" s="47" t="n"/>
      <c r="N1823" s="47" t="n"/>
      <c r="O1823" s="47" t="n"/>
      <c r="P1823" s="47" t="n"/>
      <c r="Q1823" s="47" t="n"/>
      <c r="R1823" s="43">
        <f>IF($B1823="","",N($S1823)-N($Q1823))</f>
        <v/>
      </c>
      <c r="S1823" s="43">
        <f>IF($B1823="","",N($L1823)+N($N1823)+N($P1823))</f>
        <v/>
      </c>
      <c r="T1823" s="47" t="n"/>
      <c r="U1823" s="47" t="n"/>
      <c r="V1823" s="47" t="n"/>
      <c r="W1823" s="47" t="n"/>
      <c r="X1823" s="47" t="n"/>
      <c r="Y1823" s="47" t="n"/>
      <c r="Z1823" s="47" t="n"/>
      <c r="AA1823" s="47" t="n"/>
      <c r="AB1823" s="47" t="n"/>
      <c r="AC1823" s="47" t="n"/>
      <c r="AD1823" s="47" t="n"/>
      <c r="AE1823" s="47" t="n"/>
      <c r="AF1823" s="43">
        <f>IF($B1823="","",SUM($T1823:$AE1823))</f>
        <v/>
      </c>
      <c r="AG1823" s="43">
        <f>IF($B1823="","",N($M1823)-N($AF1823))</f>
        <v/>
      </c>
      <c r="AH1823" s="43">
        <f>IF($B1823="","",N($L1823)-N($AF1823))</f>
        <v/>
      </c>
      <c r="AI1823" s="149">
        <f>IF($B1823="","",IF(N($L1823)=0,"",(N($L1823)-N($AF1823))/N($L1823)))</f>
        <v/>
      </c>
    </row>
    <row r="1824">
      <c r="A1824" s="39">
        <f>IF($B1824="","",COUNTA($B$4:$B1824))</f>
        <v/>
      </c>
      <c r="B1824" s="40" t="n"/>
      <c r="C1824" s="41" t="n"/>
      <c r="D1824" s="41" t="n"/>
      <c r="E1824" s="41" t="n"/>
      <c r="F1824" s="41" t="n"/>
      <c r="G1824" s="41" t="n"/>
      <c r="H1824" s="41" t="n"/>
      <c r="I1824" s="41" t="n"/>
      <c r="J1824" s="41" t="n"/>
      <c r="K1824" s="41" t="n"/>
      <c r="L1824" s="42" t="n"/>
      <c r="M1824" s="42" t="n"/>
      <c r="N1824" s="42" t="n"/>
      <c r="O1824" s="42" t="n"/>
      <c r="P1824" s="42" t="n"/>
      <c r="Q1824" s="42" t="n"/>
      <c r="R1824" s="43">
        <f>IF($B1824="","",N($S1824)-N($Q1824))</f>
        <v/>
      </c>
      <c r="S1824" s="43">
        <f>IF($B1824="","",N($L1824)+N($N1824)+N($P1824))</f>
        <v/>
      </c>
      <c r="T1824" s="42" t="n"/>
      <c r="U1824" s="42" t="n"/>
      <c r="V1824" s="42" t="n"/>
      <c r="W1824" s="42" t="n"/>
      <c r="X1824" s="42" t="n"/>
      <c r="Y1824" s="42" t="n"/>
      <c r="Z1824" s="42" t="n"/>
      <c r="AA1824" s="42" t="n"/>
      <c r="AB1824" s="42" t="n"/>
      <c r="AC1824" s="42" t="n"/>
      <c r="AD1824" s="42" t="n"/>
      <c r="AE1824" s="42" t="n"/>
      <c r="AF1824" s="43">
        <f>IF($B1824="","",SUM($T1824:$AE1824))</f>
        <v/>
      </c>
      <c r="AG1824" s="43">
        <f>IF($B1824="","",N($M1824)-N($AF1824))</f>
        <v/>
      </c>
      <c r="AH1824" s="43">
        <f>IF($B1824="","",N($L1824)-N($AF1824))</f>
        <v/>
      </c>
      <c r="AI1824" s="149">
        <f>IF($B1824="","",IF(N($L1824)=0,"",(N($L1824)-N($AF1824))/N($L1824)))</f>
        <v/>
      </c>
    </row>
    <row r="1825">
      <c r="A1825" s="39">
        <f>IF($B1825="","",COUNTA($B$4:$B1825))</f>
        <v/>
      </c>
      <c r="B1825" s="45" t="n"/>
      <c r="C1825" s="46" t="n"/>
      <c r="D1825" s="46" t="n"/>
      <c r="E1825" s="46" t="n"/>
      <c r="F1825" s="46" t="n"/>
      <c r="G1825" s="46" t="n"/>
      <c r="H1825" s="46" t="n"/>
      <c r="I1825" s="46" t="n"/>
      <c r="J1825" s="46" t="n"/>
      <c r="K1825" s="46" t="n"/>
      <c r="L1825" s="47" t="n"/>
      <c r="M1825" s="47" t="n"/>
      <c r="N1825" s="47" t="n"/>
      <c r="O1825" s="47" t="n"/>
      <c r="P1825" s="47" t="n"/>
      <c r="Q1825" s="47" t="n"/>
      <c r="R1825" s="43">
        <f>IF($B1825="","",N($S1825)-N($Q1825))</f>
        <v/>
      </c>
      <c r="S1825" s="43">
        <f>IF($B1825="","",N($L1825)+N($N1825)+N($P1825))</f>
        <v/>
      </c>
      <c r="T1825" s="47" t="n"/>
      <c r="U1825" s="47" t="n"/>
      <c r="V1825" s="47" t="n"/>
      <c r="W1825" s="47" t="n"/>
      <c r="X1825" s="47" t="n"/>
      <c r="Y1825" s="47" t="n"/>
      <c r="Z1825" s="47" t="n"/>
      <c r="AA1825" s="47" t="n"/>
      <c r="AB1825" s="47" t="n"/>
      <c r="AC1825" s="47" t="n"/>
      <c r="AD1825" s="47" t="n"/>
      <c r="AE1825" s="47" t="n"/>
      <c r="AF1825" s="43">
        <f>IF($B1825="","",SUM($T1825:$AE1825))</f>
        <v/>
      </c>
      <c r="AG1825" s="43">
        <f>IF($B1825="","",N($M1825)-N($AF1825))</f>
        <v/>
      </c>
      <c r="AH1825" s="43">
        <f>IF($B1825="","",N($L1825)-N($AF1825))</f>
        <v/>
      </c>
      <c r="AI1825" s="149">
        <f>IF($B1825="","",IF(N($L1825)=0,"",(N($L1825)-N($AF1825))/N($L1825)))</f>
        <v/>
      </c>
    </row>
    <row r="1826">
      <c r="A1826" s="39">
        <f>IF($B1826="","",COUNTA($B$4:$B1826))</f>
        <v/>
      </c>
      <c r="B1826" s="40" t="n"/>
      <c r="C1826" s="41" t="n"/>
      <c r="D1826" s="41" t="n"/>
      <c r="E1826" s="41" t="n"/>
      <c r="F1826" s="41" t="n"/>
      <c r="G1826" s="41" t="n"/>
      <c r="H1826" s="41" t="n"/>
      <c r="I1826" s="41" t="n"/>
      <c r="J1826" s="41" t="n"/>
      <c r="K1826" s="41" t="n"/>
      <c r="L1826" s="42" t="n"/>
      <c r="M1826" s="42" t="n"/>
      <c r="N1826" s="42" t="n"/>
      <c r="O1826" s="42" t="n"/>
      <c r="P1826" s="42" t="n"/>
      <c r="Q1826" s="42" t="n"/>
      <c r="R1826" s="43">
        <f>IF($B1826="","",N($S1826)-N($Q1826))</f>
        <v/>
      </c>
      <c r="S1826" s="43">
        <f>IF($B1826="","",N($L1826)+N($N1826)+N($P1826))</f>
        <v/>
      </c>
      <c r="T1826" s="42" t="n"/>
      <c r="U1826" s="42" t="n"/>
      <c r="V1826" s="42" t="n"/>
      <c r="W1826" s="42" t="n"/>
      <c r="X1826" s="42" t="n"/>
      <c r="Y1826" s="42" t="n"/>
      <c r="Z1826" s="42" t="n"/>
      <c r="AA1826" s="42" t="n"/>
      <c r="AB1826" s="42" t="n"/>
      <c r="AC1826" s="42" t="n"/>
      <c r="AD1826" s="42" t="n"/>
      <c r="AE1826" s="42" t="n"/>
      <c r="AF1826" s="43">
        <f>IF($B1826="","",SUM($T1826:$AE1826))</f>
        <v/>
      </c>
      <c r="AG1826" s="43">
        <f>IF($B1826="","",N($M1826)-N($AF1826))</f>
        <v/>
      </c>
      <c r="AH1826" s="43">
        <f>IF($B1826="","",N($L1826)-N($AF1826))</f>
        <v/>
      </c>
      <c r="AI1826" s="149">
        <f>IF($B1826="","",IF(N($L1826)=0,"",(N($L1826)-N($AF1826))/N($L1826)))</f>
        <v/>
      </c>
    </row>
    <row r="1827">
      <c r="A1827" s="39">
        <f>IF($B1827="","",COUNTA($B$4:$B1827))</f>
        <v/>
      </c>
      <c r="B1827" s="45" t="n"/>
      <c r="C1827" s="46" t="n"/>
      <c r="D1827" s="46" t="n"/>
      <c r="E1827" s="46" t="n"/>
      <c r="F1827" s="46" t="n"/>
      <c r="G1827" s="46" t="n"/>
      <c r="H1827" s="46" t="n"/>
      <c r="I1827" s="46" t="n"/>
      <c r="J1827" s="46" t="n"/>
      <c r="K1827" s="46" t="n"/>
      <c r="L1827" s="47" t="n"/>
      <c r="M1827" s="47" t="n"/>
      <c r="N1827" s="47" t="n"/>
      <c r="O1827" s="47" t="n"/>
      <c r="P1827" s="47" t="n"/>
      <c r="Q1827" s="47" t="n"/>
      <c r="R1827" s="43">
        <f>IF($B1827="","",N($S1827)-N($Q1827))</f>
        <v/>
      </c>
      <c r="S1827" s="43">
        <f>IF($B1827="","",N($L1827)+N($N1827)+N($P1827))</f>
        <v/>
      </c>
      <c r="T1827" s="47" t="n"/>
      <c r="U1827" s="47" t="n"/>
      <c r="V1827" s="47" t="n"/>
      <c r="W1827" s="47" t="n"/>
      <c r="X1827" s="47" t="n"/>
      <c r="Y1827" s="47" t="n"/>
      <c r="Z1827" s="47" t="n"/>
      <c r="AA1827" s="47" t="n"/>
      <c r="AB1827" s="47" t="n"/>
      <c r="AC1827" s="47" t="n"/>
      <c r="AD1827" s="47" t="n"/>
      <c r="AE1827" s="47" t="n"/>
      <c r="AF1827" s="43">
        <f>IF($B1827="","",SUM($T1827:$AE1827))</f>
        <v/>
      </c>
      <c r="AG1827" s="43">
        <f>IF($B1827="","",N($M1827)-N($AF1827))</f>
        <v/>
      </c>
      <c r="AH1827" s="43">
        <f>IF($B1827="","",N($L1827)-N($AF1827))</f>
        <v/>
      </c>
      <c r="AI1827" s="149">
        <f>IF($B1827="","",IF(N($L1827)=0,"",(N($L1827)-N($AF1827))/N($L1827)))</f>
        <v/>
      </c>
    </row>
    <row r="1828">
      <c r="A1828" s="39">
        <f>IF($B1828="","",COUNTA($B$4:$B1828))</f>
        <v/>
      </c>
      <c r="B1828" s="40" t="n"/>
      <c r="C1828" s="41" t="n"/>
      <c r="D1828" s="41" t="n"/>
      <c r="E1828" s="41" t="n"/>
      <c r="F1828" s="41" t="n"/>
      <c r="G1828" s="41" t="n"/>
      <c r="H1828" s="41" t="n"/>
      <c r="I1828" s="41" t="n"/>
      <c r="J1828" s="41" t="n"/>
      <c r="K1828" s="41" t="n"/>
      <c r="L1828" s="42" t="n"/>
      <c r="M1828" s="42" t="n"/>
      <c r="N1828" s="42" t="n"/>
      <c r="O1828" s="42" t="n"/>
      <c r="P1828" s="42" t="n"/>
      <c r="Q1828" s="42" t="n"/>
      <c r="R1828" s="43">
        <f>IF($B1828="","",N($S1828)-N($Q1828))</f>
        <v/>
      </c>
      <c r="S1828" s="43">
        <f>IF($B1828="","",N($L1828)+N($N1828)+N($P1828))</f>
        <v/>
      </c>
      <c r="T1828" s="42" t="n"/>
      <c r="U1828" s="42" t="n"/>
      <c r="V1828" s="42" t="n"/>
      <c r="W1828" s="42" t="n"/>
      <c r="X1828" s="42" t="n"/>
      <c r="Y1828" s="42" t="n"/>
      <c r="Z1828" s="42" t="n"/>
      <c r="AA1828" s="42" t="n"/>
      <c r="AB1828" s="42" t="n"/>
      <c r="AC1828" s="42" t="n"/>
      <c r="AD1828" s="42" t="n"/>
      <c r="AE1828" s="42" t="n"/>
      <c r="AF1828" s="43">
        <f>IF($B1828="","",SUM($T1828:$AE1828))</f>
        <v/>
      </c>
      <c r="AG1828" s="43">
        <f>IF($B1828="","",N($M1828)-N($AF1828))</f>
        <v/>
      </c>
      <c r="AH1828" s="43">
        <f>IF($B1828="","",N($L1828)-N($AF1828))</f>
        <v/>
      </c>
      <c r="AI1828" s="149">
        <f>IF($B1828="","",IF(N($L1828)=0,"",(N($L1828)-N($AF1828))/N($L1828)))</f>
        <v/>
      </c>
    </row>
    <row r="1829">
      <c r="A1829" s="39">
        <f>IF($B1829="","",COUNTA($B$4:$B1829))</f>
        <v/>
      </c>
      <c r="B1829" s="45" t="n"/>
      <c r="C1829" s="46" t="n"/>
      <c r="D1829" s="46" t="n"/>
      <c r="E1829" s="46" t="n"/>
      <c r="F1829" s="46" t="n"/>
      <c r="G1829" s="46" t="n"/>
      <c r="H1829" s="46" t="n"/>
      <c r="I1829" s="46" t="n"/>
      <c r="J1829" s="46" t="n"/>
      <c r="K1829" s="46" t="n"/>
      <c r="L1829" s="47" t="n"/>
      <c r="M1829" s="47" t="n"/>
      <c r="N1829" s="47" t="n"/>
      <c r="O1829" s="47" t="n"/>
      <c r="P1829" s="47" t="n"/>
      <c r="Q1829" s="47" t="n"/>
      <c r="R1829" s="43">
        <f>IF($B1829="","",N($S1829)-N($Q1829))</f>
        <v/>
      </c>
      <c r="S1829" s="43">
        <f>IF($B1829="","",N($L1829)+N($N1829)+N($P1829))</f>
        <v/>
      </c>
      <c r="T1829" s="47" t="n"/>
      <c r="U1829" s="47" t="n"/>
      <c r="V1829" s="47" t="n"/>
      <c r="W1829" s="47" t="n"/>
      <c r="X1829" s="47" t="n"/>
      <c r="Y1829" s="47" t="n"/>
      <c r="Z1829" s="47" t="n"/>
      <c r="AA1829" s="47" t="n"/>
      <c r="AB1829" s="47" t="n"/>
      <c r="AC1829" s="47" t="n"/>
      <c r="AD1829" s="47" t="n"/>
      <c r="AE1829" s="47" t="n"/>
      <c r="AF1829" s="43">
        <f>IF($B1829="","",SUM($T1829:$AE1829))</f>
        <v/>
      </c>
      <c r="AG1829" s="43">
        <f>IF($B1829="","",N($M1829)-N($AF1829))</f>
        <v/>
      </c>
      <c r="AH1829" s="43">
        <f>IF($B1829="","",N($L1829)-N($AF1829))</f>
        <v/>
      </c>
      <c r="AI1829" s="149">
        <f>IF($B1829="","",IF(N($L1829)=0,"",(N($L1829)-N($AF1829))/N($L1829)))</f>
        <v/>
      </c>
    </row>
    <row r="1830">
      <c r="A1830" s="39">
        <f>IF($B1830="","",COUNTA($B$4:$B1830))</f>
        <v/>
      </c>
      <c r="B1830" s="40" t="n"/>
      <c r="C1830" s="41" t="n"/>
      <c r="D1830" s="41" t="n"/>
      <c r="E1830" s="41" t="n"/>
      <c r="F1830" s="41" t="n"/>
      <c r="G1830" s="41" t="n"/>
      <c r="H1830" s="41" t="n"/>
      <c r="I1830" s="41" t="n"/>
      <c r="J1830" s="41" t="n"/>
      <c r="K1830" s="41" t="n"/>
      <c r="L1830" s="42" t="n"/>
      <c r="M1830" s="42" t="n"/>
      <c r="N1830" s="42" t="n"/>
      <c r="O1830" s="42" t="n"/>
      <c r="P1830" s="42" t="n"/>
      <c r="Q1830" s="42" t="n"/>
      <c r="R1830" s="43">
        <f>IF($B1830="","",N($S1830)-N($Q1830))</f>
        <v/>
      </c>
      <c r="S1830" s="43">
        <f>IF($B1830="","",N($L1830)+N($N1830)+N($P1830))</f>
        <v/>
      </c>
      <c r="T1830" s="42" t="n"/>
      <c r="U1830" s="42" t="n"/>
      <c r="V1830" s="42" t="n"/>
      <c r="W1830" s="42" t="n"/>
      <c r="X1830" s="42" t="n"/>
      <c r="Y1830" s="42" t="n"/>
      <c r="Z1830" s="42" t="n"/>
      <c r="AA1830" s="42" t="n"/>
      <c r="AB1830" s="42" t="n"/>
      <c r="AC1830" s="42" t="n"/>
      <c r="AD1830" s="42" t="n"/>
      <c r="AE1830" s="42" t="n"/>
      <c r="AF1830" s="43">
        <f>IF($B1830="","",SUM($T1830:$AE1830))</f>
        <v/>
      </c>
      <c r="AG1830" s="43">
        <f>IF($B1830="","",N($M1830)-N($AF1830))</f>
        <v/>
      </c>
      <c r="AH1830" s="43">
        <f>IF($B1830="","",N($L1830)-N($AF1830))</f>
        <v/>
      </c>
      <c r="AI1830" s="149">
        <f>IF($B1830="","",IF(N($L1830)=0,"",(N($L1830)-N($AF1830))/N($L1830)))</f>
        <v/>
      </c>
    </row>
    <row r="1831">
      <c r="A1831" s="39">
        <f>IF($B1831="","",COUNTA($B$4:$B1831))</f>
        <v/>
      </c>
      <c r="B1831" s="45" t="n"/>
      <c r="C1831" s="46" t="n"/>
      <c r="D1831" s="46" t="n"/>
      <c r="E1831" s="46" t="n"/>
      <c r="F1831" s="46" t="n"/>
      <c r="G1831" s="46" t="n"/>
      <c r="H1831" s="46" t="n"/>
      <c r="I1831" s="46" t="n"/>
      <c r="J1831" s="46" t="n"/>
      <c r="K1831" s="46" t="n"/>
      <c r="L1831" s="47" t="n"/>
      <c r="M1831" s="47" t="n"/>
      <c r="N1831" s="47" t="n"/>
      <c r="O1831" s="47" t="n"/>
      <c r="P1831" s="47" t="n"/>
      <c r="Q1831" s="47" t="n"/>
      <c r="R1831" s="43">
        <f>IF($B1831="","",N($S1831)-N($Q1831))</f>
        <v/>
      </c>
      <c r="S1831" s="43">
        <f>IF($B1831="","",N($L1831)+N($N1831)+N($P1831))</f>
        <v/>
      </c>
      <c r="T1831" s="47" t="n"/>
      <c r="U1831" s="47" t="n"/>
      <c r="V1831" s="47" t="n"/>
      <c r="W1831" s="47" t="n"/>
      <c r="X1831" s="47" t="n"/>
      <c r="Y1831" s="47" t="n"/>
      <c r="Z1831" s="47" t="n"/>
      <c r="AA1831" s="47" t="n"/>
      <c r="AB1831" s="47" t="n"/>
      <c r="AC1831" s="47" t="n"/>
      <c r="AD1831" s="47" t="n"/>
      <c r="AE1831" s="47" t="n"/>
      <c r="AF1831" s="43">
        <f>IF($B1831="","",SUM($T1831:$AE1831))</f>
        <v/>
      </c>
      <c r="AG1831" s="43">
        <f>IF($B1831="","",N($M1831)-N($AF1831))</f>
        <v/>
      </c>
      <c r="AH1831" s="43">
        <f>IF($B1831="","",N($L1831)-N($AF1831))</f>
        <v/>
      </c>
      <c r="AI1831" s="149">
        <f>IF($B1831="","",IF(N($L1831)=0,"",(N($L1831)-N($AF1831))/N($L1831)))</f>
        <v/>
      </c>
    </row>
    <row r="1832">
      <c r="A1832" s="39">
        <f>IF($B1832="","",COUNTA($B$4:$B1832))</f>
        <v/>
      </c>
      <c r="B1832" s="40" t="n"/>
      <c r="C1832" s="41" t="n"/>
      <c r="D1832" s="41" t="n"/>
      <c r="E1832" s="41" t="n"/>
      <c r="F1832" s="41" t="n"/>
      <c r="G1832" s="41" t="n"/>
      <c r="H1832" s="41" t="n"/>
      <c r="I1832" s="41" t="n"/>
      <c r="J1832" s="41" t="n"/>
      <c r="K1832" s="41" t="n"/>
      <c r="L1832" s="42" t="n"/>
      <c r="M1832" s="42" t="n"/>
      <c r="N1832" s="42" t="n"/>
      <c r="O1832" s="42" t="n"/>
      <c r="P1832" s="42" t="n"/>
      <c r="Q1832" s="42" t="n"/>
      <c r="R1832" s="43">
        <f>IF($B1832="","",N($S1832)-N($Q1832))</f>
        <v/>
      </c>
      <c r="S1832" s="43">
        <f>IF($B1832="","",N($L1832)+N($N1832)+N($P1832))</f>
        <v/>
      </c>
      <c r="T1832" s="42" t="n"/>
      <c r="U1832" s="42" t="n"/>
      <c r="V1832" s="42" t="n"/>
      <c r="W1832" s="42" t="n"/>
      <c r="X1832" s="42" t="n"/>
      <c r="Y1832" s="42" t="n"/>
      <c r="Z1832" s="42" t="n"/>
      <c r="AA1832" s="42" t="n"/>
      <c r="AB1832" s="42" t="n"/>
      <c r="AC1832" s="42" t="n"/>
      <c r="AD1832" s="42" t="n"/>
      <c r="AE1832" s="42" t="n"/>
      <c r="AF1832" s="43">
        <f>IF($B1832="","",SUM($T1832:$AE1832))</f>
        <v/>
      </c>
      <c r="AG1832" s="43">
        <f>IF($B1832="","",N($M1832)-N($AF1832))</f>
        <v/>
      </c>
      <c r="AH1832" s="43">
        <f>IF($B1832="","",N($L1832)-N($AF1832))</f>
        <v/>
      </c>
      <c r="AI1832" s="149">
        <f>IF($B1832="","",IF(N($L1832)=0,"",(N($L1832)-N($AF1832))/N($L1832)))</f>
        <v/>
      </c>
    </row>
    <row r="1833">
      <c r="A1833" s="39">
        <f>IF($B1833="","",COUNTA($B$4:$B1833))</f>
        <v/>
      </c>
      <c r="B1833" s="45" t="n"/>
      <c r="C1833" s="46" t="n"/>
      <c r="D1833" s="46" t="n"/>
      <c r="E1833" s="46" t="n"/>
      <c r="F1833" s="46" t="n"/>
      <c r="G1833" s="46" t="n"/>
      <c r="H1833" s="46" t="n"/>
      <c r="I1833" s="46" t="n"/>
      <c r="J1833" s="46" t="n"/>
      <c r="K1833" s="46" t="n"/>
      <c r="L1833" s="47" t="n"/>
      <c r="M1833" s="47" t="n"/>
      <c r="N1833" s="47" t="n"/>
      <c r="O1833" s="47" t="n"/>
      <c r="P1833" s="47" t="n"/>
      <c r="Q1833" s="47" t="n"/>
      <c r="R1833" s="43">
        <f>IF($B1833="","",N($S1833)-N($Q1833))</f>
        <v/>
      </c>
      <c r="S1833" s="43">
        <f>IF($B1833="","",N($L1833)+N($N1833)+N($P1833))</f>
        <v/>
      </c>
      <c r="T1833" s="47" t="n"/>
      <c r="U1833" s="47" t="n"/>
      <c r="V1833" s="47" t="n"/>
      <c r="W1833" s="47" t="n"/>
      <c r="X1833" s="47" t="n"/>
      <c r="Y1833" s="47" t="n"/>
      <c r="Z1833" s="47" t="n"/>
      <c r="AA1833" s="47" t="n"/>
      <c r="AB1833" s="47" t="n"/>
      <c r="AC1833" s="47" t="n"/>
      <c r="AD1833" s="47" t="n"/>
      <c r="AE1833" s="47" t="n"/>
      <c r="AF1833" s="43">
        <f>IF($B1833="","",SUM($T1833:$AE1833))</f>
        <v/>
      </c>
      <c r="AG1833" s="43">
        <f>IF($B1833="","",N($M1833)-N($AF1833))</f>
        <v/>
      </c>
      <c r="AH1833" s="43">
        <f>IF($B1833="","",N($L1833)-N($AF1833))</f>
        <v/>
      </c>
      <c r="AI1833" s="149">
        <f>IF($B1833="","",IF(N($L1833)=0,"",(N($L1833)-N($AF1833))/N($L1833)))</f>
        <v/>
      </c>
    </row>
    <row r="1834">
      <c r="A1834" s="39">
        <f>IF($B1834="","",COUNTA($B$4:$B1834))</f>
        <v/>
      </c>
      <c r="B1834" s="40" t="n"/>
      <c r="C1834" s="41" t="n"/>
      <c r="D1834" s="41" t="n"/>
      <c r="E1834" s="41" t="n"/>
      <c r="F1834" s="41" t="n"/>
      <c r="G1834" s="41" t="n"/>
      <c r="H1834" s="41" t="n"/>
      <c r="I1834" s="41" t="n"/>
      <c r="J1834" s="41" t="n"/>
      <c r="K1834" s="41" t="n"/>
      <c r="L1834" s="42" t="n"/>
      <c r="M1834" s="42" t="n"/>
      <c r="N1834" s="42" t="n"/>
      <c r="O1834" s="42" t="n"/>
      <c r="P1834" s="42" t="n"/>
      <c r="Q1834" s="42" t="n"/>
      <c r="R1834" s="43">
        <f>IF($B1834="","",N($S1834)-N($Q1834))</f>
        <v/>
      </c>
      <c r="S1834" s="43">
        <f>IF($B1834="","",N($L1834)+N($N1834)+N($P1834))</f>
        <v/>
      </c>
      <c r="T1834" s="42" t="n"/>
      <c r="U1834" s="42" t="n"/>
      <c r="V1834" s="42" t="n"/>
      <c r="W1834" s="42" t="n"/>
      <c r="X1834" s="42" t="n"/>
      <c r="Y1834" s="42" t="n"/>
      <c r="Z1834" s="42" t="n"/>
      <c r="AA1834" s="42" t="n"/>
      <c r="AB1834" s="42" t="n"/>
      <c r="AC1834" s="42" t="n"/>
      <c r="AD1834" s="42" t="n"/>
      <c r="AE1834" s="42" t="n"/>
      <c r="AF1834" s="43">
        <f>IF($B1834="","",SUM($T1834:$AE1834))</f>
        <v/>
      </c>
      <c r="AG1834" s="43">
        <f>IF($B1834="","",N($M1834)-N($AF1834))</f>
        <v/>
      </c>
      <c r="AH1834" s="43">
        <f>IF($B1834="","",N($L1834)-N($AF1834))</f>
        <v/>
      </c>
      <c r="AI1834" s="149">
        <f>IF($B1834="","",IF(N($L1834)=0,"",(N($L1834)-N($AF1834))/N($L1834)))</f>
        <v/>
      </c>
    </row>
    <row r="1835">
      <c r="A1835" s="39">
        <f>IF($B1835="","",COUNTA($B$4:$B1835))</f>
        <v/>
      </c>
      <c r="B1835" s="45" t="n"/>
      <c r="C1835" s="46" t="n"/>
      <c r="D1835" s="46" t="n"/>
      <c r="E1835" s="46" t="n"/>
      <c r="F1835" s="46" t="n"/>
      <c r="G1835" s="46" t="n"/>
      <c r="H1835" s="46" t="n"/>
      <c r="I1835" s="46" t="n"/>
      <c r="J1835" s="46" t="n"/>
      <c r="K1835" s="46" t="n"/>
      <c r="L1835" s="47" t="n"/>
      <c r="M1835" s="47" t="n"/>
      <c r="N1835" s="47" t="n"/>
      <c r="O1835" s="47" t="n"/>
      <c r="P1835" s="47" t="n"/>
      <c r="Q1835" s="47" t="n"/>
      <c r="R1835" s="43">
        <f>IF($B1835="","",N($S1835)-N($Q1835))</f>
        <v/>
      </c>
      <c r="S1835" s="43">
        <f>IF($B1835="","",N($L1835)+N($N1835)+N($P1835))</f>
        <v/>
      </c>
      <c r="T1835" s="47" t="n"/>
      <c r="U1835" s="47" t="n"/>
      <c r="V1835" s="47" t="n"/>
      <c r="W1835" s="47" t="n"/>
      <c r="X1835" s="47" t="n"/>
      <c r="Y1835" s="47" t="n"/>
      <c r="Z1835" s="47" t="n"/>
      <c r="AA1835" s="47" t="n"/>
      <c r="AB1835" s="47" t="n"/>
      <c r="AC1835" s="47" t="n"/>
      <c r="AD1835" s="47" t="n"/>
      <c r="AE1835" s="47" t="n"/>
      <c r="AF1835" s="43">
        <f>IF($B1835="","",SUM($T1835:$AE1835))</f>
        <v/>
      </c>
      <c r="AG1835" s="43">
        <f>IF($B1835="","",N($M1835)-N($AF1835))</f>
        <v/>
      </c>
      <c r="AH1835" s="43">
        <f>IF($B1835="","",N($L1835)-N($AF1835))</f>
        <v/>
      </c>
      <c r="AI1835" s="149">
        <f>IF($B1835="","",IF(N($L1835)=0,"",(N($L1835)-N($AF1835))/N($L1835)))</f>
        <v/>
      </c>
    </row>
    <row r="1836">
      <c r="A1836" s="39">
        <f>IF($B1836="","",COUNTA($B$4:$B1836))</f>
        <v/>
      </c>
      <c r="B1836" s="40" t="n"/>
      <c r="C1836" s="41" t="n"/>
      <c r="D1836" s="41" t="n"/>
      <c r="E1836" s="41" t="n"/>
      <c r="F1836" s="41" t="n"/>
      <c r="G1836" s="41" t="n"/>
      <c r="H1836" s="41" t="n"/>
      <c r="I1836" s="41" t="n"/>
      <c r="J1836" s="41" t="n"/>
      <c r="K1836" s="41" t="n"/>
      <c r="L1836" s="42" t="n"/>
      <c r="M1836" s="42" t="n"/>
      <c r="N1836" s="42" t="n"/>
      <c r="O1836" s="42" t="n"/>
      <c r="P1836" s="42" t="n"/>
      <c r="Q1836" s="42" t="n"/>
      <c r="R1836" s="43">
        <f>IF($B1836="","",N($S1836)-N($Q1836))</f>
        <v/>
      </c>
      <c r="S1836" s="43">
        <f>IF($B1836="","",N($L1836)+N($N1836)+N($P1836))</f>
        <v/>
      </c>
      <c r="T1836" s="42" t="n"/>
      <c r="U1836" s="42" t="n"/>
      <c r="V1836" s="42" t="n"/>
      <c r="W1836" s="42" t="n"/>
      <c r="X1836" s="42" t="n"/>
      <c r="Y1836" s="42" t="n"/>
      <c r="Z1836" s="42" t="n"/>
      <c r="AA1836" s="42" t="n"/>
      <c r="AB1836" s="42" t="n"/>
      <c r="AC1836" s="42" t="n"/>
      <c r="AD1836" s="42" t="n"/>
      <c r="AE1836" s="42" t="n"/>
      <c r="AF1836" s="43">
        <f>IF($B1836="","",SUM($T1836:$AE1836))</f>
        <v/>
      </c>
      <c r="AG1836" s="43">
        <f>IF($B1836="","",N($M1836)-N($AF1836))</f>
        <v/>
      </c>
      <c r="AH1836" s="43">
        <f>IF($B1836="","",N($L1836)-N($AF1836))</f>
        <v/>
      </c>
      <c r="AI1836" s="149">
        <f>IF($B1836="","",IF(N($L1836)=0,"",(N($L1836)-N($AF1836))/N($L1836)))</f>
        <v/>
      </c>
    </row>
    <row r="1837">
      <c r="A1837" s="39">
        <f>IF($B1837="","",COUNTA($B$4:$B1837))</f>
        <v/>
      </c>
      <c r="B1837" s="45" t="n"/>
      <c r="C1837" s="46" t="n"/>
      <c r="D1837" s="46" t="n"/>
      <c r="E1837" s="46" t="n"/>
      <c r="F1837" s="46" t="n"/>
      <c r="G1837" s="46" t="n"/>
      <c r="H1837" s="46" t="n"/>
      <c r="I1837" s="46" t="n"/>
      <c r="J1837" s="46" t="n"/>
      <c r="K1837" s="46" t="n"/>
      <c r="L1837" s="47" t="n"/>
      <c r="M1837" s="47" t="n"/>
      <c r="N1837" s="47" t="n"/>
      <c r="O1837" s="47" t="n"/>
      <c r="P1837" s="47" t="n"/>
      <c r="Q1837" s="47" t="n"/>
      <c r="R1837" s="43">
        <f>IF($B1837="","",N($S1837)-N($Q1837))</f>
        <v/>
      </c>
      <c r="S1837" s="43">
        <f>IF($B1837="","",N($L1837)+N($N1837)+N($P1837))</f>
        <v/>
      </c>
      <c r="T1837" s="47" t="n"/>
      <c r="U1837" s="47" t="n"/>
      <c r="V1837" s="47" t="n"/>
      <c r="W1837" s="47" t="n"/>
      <c r="X1837" s="47" t="n"/>
      <c r="Y1837" s="47" t="n"/>
      <c r="Z1837" s="47" t="n"/>
      <c r="AA1837" s="47" t="n"/>
      <c r="AB1837" s="47" t="n"/>
      <c r="AC1837" s="47" t="n"/>
      <c r="AD1837" s="47" t="n"/>
      <c r="AE1837" s="47" t="n"/>
      <c r="AF1837" s="43">
        <f>IF($B1837="","",SUM($T1837:$AE1837))</f>
        <v/>
      </c>
      <c r="AG1837" s="43">
        <f>IF($B1837="","",N($M1837)-N($AF1837))</f>
        <v/>
      </c>
      <c r="AH1837" s="43">
        <f>IF($B1837="","",N($L1837)-N($AF1837))</f>
        <v/>
      </c>
      <c r="AI1837" s="149">
        <f>IF($B1837="","",IF(N($L1837)=0,"",(N($L1837)-N($AF1837))/N($L1837)))</f>
        <v/>
      </c>
    </row>
    <row r="1838">
      <c r="A1838" s="39">
        <f>IF($B1838="","",COUNTA($B$4:$B1838))</f>
        <v/>
      </c>
      <c r="B1838" s="40" t="n"/>
      <c r="C1838" s="41" t="n"/>
      <c r="D1838" s="41" t="n"/>
      <c r="E1838" s="41" t="n"/>
      <c r="F1838" s="41" t="n"/>
      <c r="G1838" s="41" t="n"/>
      <c r="H1838" s="41" t="n"/>
      <c r="I1838" s="41" t="n"/>
      <c r="J1838" s="41" t="n"/>
      <c r="K1838" s="41" t="n"/>
      <c r="L1838" s="42" t="n"/>
      <c r="M1838" s="42" t="n"/>
      <c r="N1838" s="42" t="n"/>
      <c r="O1838" s="42" t="n"/>
      <c r="P1838" s="42" t="n"/>
      <c r="Q1838" s="42" t="n"/>
      <c r="R1838" s="43">
        <f>IF($B1838="","",N($S1838)-N($Q1838))</f>
        <v/>
      </c>
      <c r="S1838" s="43">
        <f>IF($B1838="","",N($L1838)+N($N1838)+N($P1838))</f>
        <v/>
      </c>
      <c r="T1838" s="42" t="n"/>
      <c r="U1838" s="42" t="n"/>
      <c r="V1838" s="42" t="n"/>
      <c r="W1838" s="42" t="n"/>
      <c r="X1838" s="42" t="n"/>
      <c r="Y1838" s="42" t="n"/>
      <c r="Z1838" s="42" t="n"/>
      <c r="AA1838" s="42" t="n"/>
      <c r="AB1838" s="42" t="n"/>
      <c r="AC1838" s="42" t="n"/>
      <c r="AD1838" s="42" t="n"/>
      <c r="AE1838" s="42" t="n"/>
      <c r="AF1838" s="43">
        <f>IF($B1838="","",SUM($T1838:$AE1838))</f>
        <v/>
      </c>
      <c r="AG1838" s="43">
        <f>IF($B1838="","",N($M1838)-N($AF1838))</f>
        <v/>
      </c>
      <c r="AH1838" s="43">
        <f>IF($B1838="","",N($L1838)-N($AF1838))</f>
        <v/>
      </c>
      <c r="AI1838" s="149">
        <f>IF($B1838="","",IF(N($L1838)=0,"",(N($L1838)-N($AF1838))/N($L1838)))</f>
        <v/>
      </c>
    </row>
    <row r="1839">
      <c r="A1839" s="39">
        <f>IF($B1839="","",COUNTA($B$4:$B1839))</f>
        <v/>
      </c>
      <c r="B1839" s="45" t="n"/>
      <c r="C1839" s="46" t="n"/>
      <c r="D1839" s="46" t="n"/>
      <c r="E1839" s="46" t="n"/>
      <c r="F1839" s="46" t="n"/>
      <c r="G1839" s="46" t="n"/>
      <c r="H1839" s="46" t="n"/>
      <c r="I1839" s="46" t="n"/>
      <c r="J1839" s="46" t="n"/>
      <c r="K1839" s="46" t="n"/>
      <c r="L1839" s="47" t="n"/>
      <c r="M1839" s="47" t="n"/>
      <c r="N1839" s="47" t="n"/>
      <c r="O1839" s="47" t="n"/>
      <c r="P1839" s="47" t="n"/>
      <c r="Q1839" s="47" t="n"/>
      <c r="R1839" s="43">
        <f>IF($B1839="","",N($S1839)-N($Q1839))</f>
        <v/>
      </c>
      <c r="S1839" s="43">
        <f>IF($B1839="","",N($L1839)+N($N1839)+N($P1839))</f>
        <v/>
      </c>
      <c r="T1839" s="47" t="n"/>
      <c r="U1839" s="47" t="n"/>
      <c r="V1839" s="47" t="n"/>
      <c r="W1839" s="47" t="n"/>
      <c r="X1839" s="47" t="n"/>
      <c r="Y1839" s="47" t="n"/>
      <c r="Z1839" s="47" t="n"/>
      <c r="AA1839" s="47" t="n"/>
      <c r="AB1839" s="47" t="n"/>
      <c r="AC1839" s="47" t="n"/>
      <c r="AD1839" s="47" t="n"/>
      <c r="AE1839" s="47" t="n"/>
      <c r="AF1839" s="43">
        <f>IF($B1839="","",SUM($T1839:$AE1839))</f>
        <v/>
      </c>
      <c r="AG1839" s="43">
        <f>IF($B1839="","",N($M1839)-N($AF1839))</f>
        <v/>
      </c>
      <c r="AH1839" s="43">
        <f>IF($B1839="","",N($L1839)-N($AF1839))</f>
        <v/>
      </c>
      <c r="AI1839" s="149">
        <f>IF($B1839="","",IF(N($L1839)=0,"",(N($L1839)-N($AF1839))/N($L1839)))</f>
        <v/>
      </c>
    </row>
    <row r="1840">
      <c r="A1840" s="39">
        <f>IF($B1840="","",COUNTA($B$4:$B1840))</f>
        <v/>
      </c>
      <c r="B1840" s="40" t="n"/>
      <c r="C1840" s="41" t="n"/>
      <c r="D1840" s="41" t="n"/>
      <c r="E1840" s="41" t="n"/>
      <c r="F1840" s="41" t="n"/>
      <c r="G1840" s="41" t="n"/>
      <c r="H1840" s="41" t="n"/>
      <c r="I1840" s="41" t="n"/>
      <c r="J1840" s="41" t="n"/>
      <c r="K1840" s="41" t="n"/>
      <c r="L1840" s="42" t="n"/>
      <c r="M1840" s="42" t="n"/>
      <c r="N1840" s="42" t="n"/>
      <c r="O1840" s="42" t="n"/>
      <c r="P1840" s="42" t="n"/>
      <c r="Q1840" s="42" t="n"/>
      <c r="R1840" s="43">
        <f>IF($B1840="","",N($S1840)-N($Q1840))</f>
        <v/>
      </c>
      <c r="S1840" s="43">
        <f>IF($B1840="","",N($L1840)+N($N1840)+N($P1840))</f>
        <v/>
      </c>
      <c r="T1840" s="42" t="n"/>
      <c r="U1840" s="42" t="n"/>
      <c r="V1840" s="42" t="n"/>
      <c r="W1840" s="42" t="n"/>
      <c r="X1840" s="42" t="n"/>
      <c r="Y1840" s="42" t="n"/>
      <c r="Z1840" s="42" t="n"/>
      <c r="AA1840" s="42" t="n"/>
      <c r="AB1840" s="42" t="n"/>
      <c r="AC1840" s="42" t="n"/>
      <c r="AD1840" s="42" t="n"/>
      <c r="AE1840" s="42" t="n"/>
      <c r="AF1840" s="43">
        <f>IF($B1840="","",SUM($T1840:$AE1840))</f>
        <v/>
      </c>
      <c r="AG1840" s="43">
        <f>IF($B1840="","",N($M1840)-N($AF1840))</f>
        <v/>
      </c>
      <c r="AH1840" s="43">
        <f>IF($B1840="","",N($L1840)-N($AF1840))</f>
        <v/>
      </c>
      <c r="AI1840" s="149">
        <f>IF($B1840="","",IF(N($L1840)=0,"",(N($L1840)-N($AF1840))/N($L1840)))</f>
        <v/>
      </c>
    </row>
    <row r="1841">
      <c r="A1841" s="39">
        <f>IF($B1841="","",COUNTA($B$4:$B1841))</f>
        <v/>
      </c>
      <c r="B1841" s="45" t="n"/>
      <c r="C1841" s="46" t="n"/>
      <c r="D1841" s="46" t="n"/>
      <c r="E1841" s="46" t="n"/>
      <c r="F1841" s="46" t="n"/>
      <c r="G1841" s="46" t="n"/>
      <c r="H1841" s="46" t="n"/>
      <c r="I1841" s="46" t="n"/>
      <c r="J1841" s="46" t="n"/>
      <c r="K1841" s="46" t="n"/>
      <c r="L1841" s="47" t="n"/>
      <c r="M1841" s="47" t="n"/>
      <c r="N1841" s="47" t="n"/>
      <c r="O1841" s="47" t="n"/>
      <c r="P1841" s="47" t="n"/>
      <c r="Q1841" s="47" t="n"/>
      <c r="R1841" s="43">
        <f>IF($B1841="","",N($S1841)-N($Q1841))</f>
        <v/>
      </c>
      <c r="S1841" s="43">
        <f>IF($B1841="","",N($L1841)+N($N1841)+N($P1841))</f>
        <v/>
      </c>
      <c r="T1841" s="47" t="n"/>
      <c r="U1841" s="47" t="n"/>
      <c r="V1841" s="47" t="n"/>
      <c r="W1841" s="47" t="n"/>
      <c r="X1841" s="47" t="n"/>
      <c r="Y1841" s="47" t="n"/>
      <c r="Z1841" s="47" t="n"/>
      <c r="AA1841" s="47" t="n"/>
      <c r="AB1841" s="47" t="n"/>
      <c r="AC1841" s="47" t="n"/>
      <c r="AD1841" s="47" t="n"/>
      <c r="AE1841" s="47" t="n"/>
      <c r="AF1841" s="43">
        <f>IF($B1841="","",SUM($T1841:$AE1841))</f>
        <v/>
      </c>
      <c r="AG1841" s="43">
        <f>IF($B1841="","",N($M1841)-N($AF1841))</f>
        <v/>
      </c>
      <c r="AH1841" s="43">
        <f>IF($B1841="","",N($L1841)-N($AF1841))</f>
        <v/>
      </c>
      <c r="AI1841" s="149">
        <f>IF($B1841="","",IF(N($L1841)=0,"",(N($L1841)-N($AF1841))/N($L1841)))</f>
        <v/>
      </c>
    </row>
    <row r="1842">
      <c r="A1842" s="39">
        <f>IF($B1842="","",COUNTA($B$4:$B1842))</f>
        <v/>
      </c>
      <c r="B1842" s="40" t="n"/>
      <c r="C1842" s="41" t="n"/>
      <c r="D1842" s="41" t="n"/>
      <c r="E1842" s="41" t="n"/>
      <c r="F1842" s="41" t="n"/>
      <c r="G1842" s="41" t="n"/>
      <c r="H1842" s="41" t="n"/>
      <c r="I1842" s="41" t="n"/>
      <c r="J1842" s="41" t="n"/>
      <c r="K1842" s="41" t="n"/>
      <c r="L1842" s="42" t="n"/>
      <c r="M1842" s="42" t="n"/>
      <c r="N1842" s="42" t="n"/>
      <c r="O1842" s="42" t="n"/>
      <c r="P1842" s="42" t="n"/>
      <c r="Q1842" s="42" t="n"/>
      <c r="R1842" s="43">
        <f>IF($B1842="","",N($S1842)-N($Q1842))</f>
        <v/>
      </c>
      <c r="S1842" s="43">
        <f>IF($B1842="","",N($L1842)+N($N1842)+N($P1842))</f>
        <v/>
      </c>
      <c r="T1842" s="42" t="n"/>
      <c r="U1842" s="42" t="n"/>
      <c r="V1842" s="42" t="n"/>
      <c r="W1842" s="42" t="n"/>
      <c r="X1842" s="42" t="n"/>
      <c r="Y1842" s="42" t="n"/>
      <c r="Z1842" s="42" t="n"/>
      <c r="AA1842" s="42" t="n"/>
      <c r="AB1842" s="42" t="n"/>
      <c r="AC1842" s="42" t="n"/>
      <c r="AD1842" s="42" t="n"/>
      <c r="AE1842" s="42" t="n"/>
      <c r="AF1842" s="43">
        <f>IF($B1842="","",SUM($T1842:$AE1842))</f>
        <v/>
      </c>
      <c r="AG1842" s="43">
        <f>IF($B1842="","",N($M1842)-N($AF1842))</f>
        <v/>
      </c>
      <c r="AH1842" s="43">
        <f>IF($B1842="","",N($L1842)-N($AF1842))</f>
        <v/>
      </c>
      <c r="AI1842" s="149">
        <f>IF($B1842="","",IF(N($L1842)=0,"",(N($L1842)-N($AF1842))/N($L1842)))</f>
        <v/>
      </c>
    </row>
    <row r="1843">
      <c r="A1843" s="39">
        <f>IF($B1843="","",COUNTA($B$4:$B1843))</f>
        <v/>
      </c>
      <c r="B1843" s="45" t="n"/>
      <c r="C1843" s="46" t="n"/>
      <c r="D1843" s="46" t="n"/>
      <c r="E1843" s="46" t="n"/>
      <c r="F1843" s="46" t="n"/>
      <c r="G1843" s="46" t="n"/>
      <c r="H1843" s="46" t="n"/>
      <c r="I1843" s="46" t="n"/>
      <c r="J1843" s="46" t="n"/>
      <c r="K1843" s="46" t="n"/>
      <c r="L1843" s="47" t="n"/>
      <c r="M1843" s="47" t="n"/>
      <c r="N1843" s="47" t="n"/>
      <c r="O1843" s="47" t="n"/>
      <c r="P1843" s="47" t="n"/>
      <c r="Q1843" s="47" t="n"/>
      <c r="R1843" s="43">
        <f>IF($B1843="","",N($S1843)-N($Q1843))</f>
        <v/>
      </c>
      <c r="S1843" s="43">
        <f>IF($B1843="","",N($L1843)+N($N1843)+N($P1843))</f>
        <v/>
      </c>
      <c r="T1843" s="47" t="n"/>
      <c r="U1843" s="47" t="n"/>
      <c r="V1843" s="47" t="n"/>
      <c r="W1843" s="47" t="n"/>
      <c r="X1843" s="47" t="n"/>
      <c r="Y1843" s="47" t="n"/>
      <c r="Z1843" s="47" t="n"/>
      <c r="AA1843" s="47" t="n"/>
      <c r="AB1843" s="47" t="n"/>
      <c r="AC1843" s="47" t="n"/>
      <c r="AD1843" s="47" t="n"/>
      <c r="AE1843" s="47" t="n"/>
      <c r="AF1843" s="43">
        <f>IF($B1843="","",SUM($T1843:$AE1843))</f>
        <v/>
      </c>
      <c r="AG1843" s="43">
        <f>IF($B1843="","",N($M1843)-N($AF1843))</f>
        <v/>
      </c>
      <c r="AH1843" s="43">
        <f>IF($B1843="","",N($L1843)-N($AF1843))</f>
        <v/>
      </c>
      <c r="AI1843" s="149">
        <f>IF($B1843="","",IF(N($L1843)=0,"",(N($L1843)-N($AF1843))/N($L1843)))</f>
        <v/>
      </c>
    </row>
    <row r="1844">
      <c r="A1844" s="39">
        <f>IF($B1844="","",COUNTA($B$4:$B1844))</f>
        <v/>
      </c>
      <c r="B1844" s="40" t="n"/>
      <c r="C1844" s="41" t="n"/>
      <c r="D1844" s="41" t="n"/>
      <c r="E1844" s="41" t="n"/>
      <c r="F1844" s="41" t="n"/>
      <c r="G1844" s="41" t="n"/>
      <c r="H1844" s="41" t="n"/>
      <c r="I1844" s="41" t="n"/>
      <c r="J1844" s="41" t="n"/>
      <c r="K1844" s="41" t="n"/>
      <c r="L1844" s="42" t="n"/>
      <c r="M1844" s="42" t="n"/>
      <c r="N1844" s="42" t="n"/>
      <c r="O1844" s="42" t="n"/>
      <c r="P1844" s="42" t="n"/>
      <c r="Q1844" s="42" t="n"/>
      <c r="R1844" s="43">
        <f>IF($B1844="","",N($S1844)-N($Q1844))</f>
        <v/>
      </c>
      <c r="S1844" s="43">
        <f>IF($B1844="","",N($L1844)+N($N1844)+N($P1844))</f>
        <v/>
      </c>
      <c r="T1844" s="42" t="n"/>
      <c r="U1844" s="42" t="n"/>
      <c r="V1844" s="42" t="n"/>
      <c r="W1844" s="42" t="n"/>
      <c r="X1844" s="42" t="n"/>
      <c r="Y1844" s="42" t="n"/>
      <c r="Z1844" s="42" t="n"/>
      <c r="AA1844" s="42" t="n"/>
      <c r="AB1844" s="42" t="n"/>
      <c r="AC1844" s="42" t="n"/>
      <c r="AD1844" s="42" t="n"/>
      <c r="AE1844" s="42" t="n"/>
      <c r="AF1844" s="43">
        <f>IF($B1844="","",SUM($T1844:$AE1844))</f>
        <v/>
      </c>
      <c r="AG1844" s="43">
        <f>IF($B1844="","",N($M1844)-N($AF1844))</f>
        <v/>
      </c>
      <c r="AH1844" s="43">
        <f>IF($B1844="","",N($L1844)-N($AF1844))</f>
        <v/>
      </c>
      <c r="AI1844" s="149">
        <f>IF($B1844="","",IF(N($L1844)=0,"",(N($L1844)-N($AF1844))/N($L1844)))</f>
        <v/>
      </c>
    </row>
    <row r="1845">
      <c r="A1845" s="39">
        <f>IF($B1845="","",COUNTA($B$4:$B1845))</f>
        <v/>
      </c>
      <c r="B1845" s="45" t="n"/>
      <c r="C1845" s="46" t="n"/>
      <c r="D1845" s="46" t="n"/>
      <c r="E1845" s="46" t="n"/>
      <c r="F1845" s="46" t="n"/>
      <c r="G1845" s="46" t="n"/>
      <c r="H1845" s="46" t="n"/>
      <c r="I1845" s="46" t="n"/>
      <c r="J1845" s="46" t="n"/>
      <c r="K1845" s="46" t="n"/>
      <c r="L1845" s="47" t="n"/>
      <c r="M1845" s="47" t="n"/>
      <c r="N1845" s="47" t="n"/>
      <c r="O1845" s="47" t="n"/>
      <c r="P1845" s="47" t="n"/>
      <c r="Q1845" s="47" t="n"/>
      <c r="R1845" s="43">
        <f>IF($B1845="","",N($S1845)-N($Q1845))</f>
        <v/>
      </c>
      <c r="S1845" s="43">
        <f>IF($B1845="","",N($L1845)+N($N1845)+N($P1845))</f>
        <v/>
      </c>
      <c r="T1845" s="47" t="n"/>
      <c r="U1845" s="47" t="n"/>
      <c r="V1845" s="47" t="n"/>
      <c r="W1845" s="47" t="n"/>
      <c r="X1845" s="47" t="n"/>
      <c r="Y1845" s="47" t="n"/>
      <c r="Z1845" s="47" t="n"/>
      <c r="AA1845" s="47" t="n"/>
      <c r="AB1845" s="47" t="n"/>
      <c r="AC1845" s="47" t="n"/>
      <c r="AD1845" s="47" t="n"/>
      <c r="AE1845" s="47" t="n"/>
      <c r="AF1845" s="43">
        <f>IF($B1845="","",SUM($T1845:$AE1845))</f>
        <v/>
      </c>
      <c r="AG1845" s="43">
        <f>IF($B1845="","",N($M1845)-N($AF1845))</f>
        <v/>
      </c>
      <c r="AH1845" s="43">
        <f>IF($B1845="","",N($L1845)-N($AF1845))</f>
        <v/>
      </c>
      <c r="AI1845" s="149">
        <f>IF($B1845="","",IF(N($L1845)=0,"",(N($L1845)-N($AF1845))/N($L1845)))</f>
        <v/>
      </c>
    </row>
    <row r="1846">
      <c r="A1846" s="39">
        <f>IF($B1846="","",COUNTA($B$4:$B1846))</f>
        <v/>
      </c>
      <c r="B1846" s="40" t="n"/>
      <c r="C1846" s="41" t="n"/>
      <c r="D1846" s="41" t="n"/>
      <c r="E1846" s="41" t="n"/>
      <c r="F1846" s="41" t="n"/>
      <c r="G1846" s="41" t="n"/>
      <c r="H1846" s="41" t="n"/>
      <c r="I1846" s="41" t="n"/>
      <c r="J1846" s="41" t="n"/>
      <c r="K1846" s="41" t="n"/>
      <c r="L1846" s="42" t="n"/>
      <c r="M1846" s="42" t="n"/>
      <c r="N1846" s="42" t="n"/>
      <c r="O1846" s="42" t="n"/>
      <c r="P1846" s="42" t="n"/>
      <c r="Q1846" s="42" t="n"/>
      <c r="R1846" s="43">
        <f>IF($B1846="","",N($S1846)-N($Q1846))</f>
        <v/>
      </c>
      <c r="S1846" s="43">
        <f>IF($B1846="","",N($L1846)+N($N1846)+N($P1846))</f>
        <v/>
      </c>
      <c r="T1846" s="42" t="n"/>
      <c r="U1846" s="42" t="n"/>
      <c r="V1846" s="42" t="n"/>
      <c r="W1846" s="42" t="n"/>
      <c r="X1846" s="42" t="n"/>
      <c r="Y1846" s="42" t="n"/>
      <c r="Z1846" s="42" t="n"/>
      <c r="AA1846" s="42" t="n"/>
      <c r="AB1846" s="42" t="n"/>
      <c r="AC1846" s="42" t="n"/>
      <c r="AD1846" s="42" t="n"/>
      <c r="AE1846" s="42" t="n"/>
      <c r="AF1846" s="43">
        <f>IF($B1846="","",SUM($T1846:$AE1846))</f>
        <v/>
      </c>
      <c r="AG1846" s="43">
        <f>IF($B1846="","",N($M1846)-N($AF1846))</f>
        <v/>
      </c>
      <c r="AH1846" s="43">
        <f>IF($B1846="","",N($L1846)-N($AF1846))</f>
        <v/>
      </c>
      <c r="AI1846" s="149">
        <f>IF($B1846="","",IF(N($L1846)=0,"",(N($L1846)-N($AF1846))/N($L1846)))</f>
        <v/>
      </c>
    </row>
    <row r="1847">
      <c r="A1847" s="39">
        <f>IF($B1847="","",COUNTA($B$4:$B1847))</f>
        <v/>
      </c>
      <c r="B1847" s="45" t="n"/>
      <c r="C1847" s="46" t="n"/>
      <c r="D1847" s="46" t="n"/>
      <c r="E1847" s="46" t="n"/>
      <c r="F1847" s="46" t="n"/>
      <c r="G1847" s="46" t="n"/>
      <c r="H1847" s="46" t="n"/>
      <c r="I1847" s="46" t="n"/>
      <c r="J1847" s="46" t="n"/>
      <c r="K1847" s="46" t="n"/>
      <c r="L1847" s="47" t="n"/>
      <c r="M1847" s="47" t="n"/>
      <c r="N1847" s="47" t="n"/>
      <c r="O1847" s="47" t="n"/>
      <c r="P1847" s="47" t="n"/>
      <c r="Q1847" s="47" t="n"/>
      <c r="R1847" s="43">
        <f>IF($B1847="","",N($S1847)-N($Q1847))</f>
        <v/>
      </c>
      <c r="S1847" s="43">
        <f>IF($B1847="","",N($L1847)+N($N1847)+N($P1847))</f>
        <v/>
      </c>
      <c r="T1847" s="47" t="n"/>
      <c r="U1847" s="47" t="n"/>
      <c r="V1847" s="47" t="n"/>
      <c r="W1847" s="47" t="n"/>
      <c r="X1847" s="47" t="n"/>
      <c r="Y1847" s="47" t="n"/>
      <c r="Z1847" s="47" t="n"/>
      <c r="AA1847" s="47" t="n"/>
      <c r="AB1847" s="47" t="n"/>
      <c r="AC1847" s="47" t="n"/>
      <c r="AD1847" s="47" t="n"/>
      <c r="AE1847" s="47" t="n"/>
      <c r="AF1847" s="43">
        <f>IF($B1847="","",SUM($T1847:$AE1847))</f>
        <v/>
      </c>
      <c r="AG1847" s="43">
        <f>IF($B1847="","",N($M1847)-N($AF1847))</f>
        <v/>
      </c>
      <c r="AH1847" s="43">
        <f>IF($B1847="","",N($L1847)-N($AF1847))</f>
        <v/>
      </c>
      <c r="AI1847" s="149">
        <f>IF($B1847="","",IF(N($L1847)=0,"",(N($L1847)-N($AF1847))/N($L1847)))</f>
        <v/>
      </c>
    </row>
    <row r="1848">
      <c r="A1848" s="39">
        <f>IF($B1848="","",COUNTA($B$4:$B1848))</f>
        <v/>
      </c>
      <c r="B1848" s="40" t="n"/>
      <c r="C1848" s="41" t="n"/>
      <c r="D1848" s="41" t="n"/>
      <c r="E1848" s="41" t="n"/>
      <c r="F1848" s="41" t="n"/>
      <c r="G1848" s="41" t="n"/>
      <c r="H1848" s="41" t="n"/>
      <c r="I1848" s="41" t="n"/>
      <c r="J1848" s="41" t="n"/>
      <c r="K1848" s="41" t="n"/>
      <c r="L1848" s="42" t="n"/>
      <c r="M1848" s="42" t="n"/>
      <c r="N1848" s="42" t="n"/>
      <c r="O1848" s="42" t="n"/>
      <c r="P1848" s="42" t="n"/>
      <c r="Q1848" s="42" t="n"/>
      <c r="R1848" s="43">
        <f>IF($B1848="","",N($S1848)-N($Q1848))</f>
        <v/>
      </c>
      <c r="S1848" s="43">
        <f>IF($B1848="","",N($L1848)+N($N1848)+N($P1848))</f>
        <v/>
      </c>
      <c r="T1848" s="42" t="n"/>
      <c r="U1848" s="42" t="n"/>
      <c r="V1848" s="42" t="n"/>
      <c r="W1848" s="42" t="n"/>
      <c r="X1848" s="42" t="n"/>
      <c r="Y1848" s="42" t="n"/>
      <c r="Z1848" s="42" t="n"/>
      <c r="AA1848" s="42" t="n"/>
      <c r="AB1848" s="42" t="n"/>
      <c r="AC1848" s="42" t="n"/>
      <c r="AD1848" s="42" t="n"/>
      <c r="AE1848" s="42" t="n"/>
      <c r="AF1848" s="43">
        <f>IF($B1848="","",SUM($T1848:$AE1848))</f>
        <v/>
      </c>
      <c r="AG1848" s="43">
        <f>IF($B1848="","",N($M1848)-N($AF1848))</f>
        <v/>
      </c>
      <c r="AH1848" s="43">
        <f>IF($B1848="","",N($L1848)-N($AF1848))</f>
        <v/>
      </c>
      <c r="AI1848" s="149">
        <f>IF($B1848="","",IF(N($L1848)=0,"",(N($L1848)-N($AF1848))/N($L1848)))</f>
        <v/>
      </c>
    </row>
    <row r="1849">
      <c r="A1849" s="39">
        <f>IF($B1849="","",COUNTA($B$4:$B1849))</f>
        <v/>
      </c>
      <c r="B1849" s="45" t="n"/>
      <c r="C1849" s="46" t="n"/>
      <c r="D1849" s="46" t="n"/>
      <c r="E1849" s="46" t="n"/>
      <c r="F1849" s="46" t="n"/>
      <c r="G1849" s="46" t="n"/>
      <c r="H1849" s="46" t="n"/>
      <c r="I1849" s="46" t="n"/>
      <c r="J1849" s="46" t="n"/>
      <c r="K1849" s="46" t="n"/>
      <c r="L1849" s="47" t="n"/>
      <c r="M1849" s="47" t="n"/>
      <c r="N1849" s="47" t="n"/>
      <c r="O1849" s="47" t="n"/>
      <c r="P1849" s="47" t="n"/>
      <c r="Q1849" s="47" t="n"/>
      <c r="R1849" s="43">
        <f>IF($B1849="","",N($S1849)-N($Q1849))</f>
        <v/>
      </c>
      <c r="S1849" s="43">
        <f>IF($B1849="","",N($L1849)+N($N1849)+N($P1849))</f>
        <v/>
      </c>
      <c r="T1849" s="47" t="n"/>
      <c r="U1849" s="47" t="n"/>
      <c r="V1849" s="47" t="n"/>
      <c r="W1849" s="47" t="n"/>
      <c r="X1849" s="47" t="n"/>
      <c r="Y1849" s="47" t="n"/>
      <c r="Z1849" s="47" t="n"/>
      <c r="AA1849" s="47" t="n"/>
      <c r="AB1849" s="47" t="n"/>
      <c r="AC1849" s="47" t="n"/>
      <c r="AD1849" s="47" t="n"/>
      <c r="AE1849" s="47" t="n"/>
      <c r="AF1849" s="43">
        <f>IF($B1849="","",SUM($T1849:$AE1849))</f>
        <v/>
      </c>
      <c r="AG1849" s="43">
        <f>IF($B1849="","",N($M1849)-N($AF1849))</f>
        <v/>
      </c>
      <c r="AH1849" s="43">
        <f>IF($B1849="","",N($L1849)-N($AF1849))</f>
        <v/>
      </c>
      <c r="AI1849" s="149">
        <f>IF($B1849="","",IF(N($L1849)=0,"",(N($L1849)-N($AF1849))/N($L1849)))</f>
        <v/>
      </c>
    </row>
    <row r="1850">
      <c r="A1850" s="39">
        <f>IF($B1850="","",COUNTA($B$4:$B1850))</f>
        <v/>
      </c>
      <c r="B1850" s="40" t="n"/>
      <c r="C1850" s="41" t="n"/>
      <c r="D1850" s="41" t="n"/>
      <c r="E1850" s="41" t="n"/>
      <c r="F1850" s="41" t="n"/>
      <c r="G1850" s="41" t="n"/>
      <c r="H1850" s="41" t="n"/>
      <c r="I1850" s="41" t="n"/>
      <c r="J1850" s="41" t="n"/>
      <c r="K1850" s="41" t="n"/>
      <c r="L1850" s="42" t="n"/>
      <c r="M1850" s="42" t="n"/>
      <c r="N1850" s="42" t="n"/>
      <c r="O1850" s="42" t="n"/>
      <c r="P1850" s="42" t="n"/>
      <c r="Q1850" s="42" t="n"/>
      <c r="R1850" s="43">
        <f>IF($B1850="","",N($S1850)-N($Q1850))</f>
        <v/>
      </c>
      <c r="S1850" s="43">
        <f>IF($B1850="","",N($L1850)+N($N1850)+N($P1850))</f>
        <v/>
      </c>
      <c r="T1850" s="42" t="n"/>
      <c r="U1850" s="42" t="n"/>
      <c r="V1850" s="42" t="n"/>
      <c r="W1850" s="42" t="n"/>
      <c r="X1850" s="42" t="n"/>
      <c r="Y1850" s="42" t="n"/>
      <c r="Z1850" s="42" t="n"/>
      <c r="AA1850" s="42" t="n"/>
      <c r="AB1850" s="42" t="n"/>
      <c r="AC1850" s="42" t="n"/>
      <c r="AD1850" s="42" t="n"/>
      <c r="AE1850" s="42" t="n"/>
      <c r="AF1850" s="43">
        <f>IF($B1850="","",SUM($T1850:$AE1850))</f>
        <v/>
      </c>
      <c r="AG1850" s="43">
        <f>IF($B1850="","",N($M1850)-N($AF1850))</f>
        <v/>
      </c>
      <c r="AH1850" s="43">
        <f>IF($B1850="","",N($L1850)-N($AF1850))</f>
        <v/>
      </c>
      <c r="AI1850" s="149">
        <f>IF($B1850="","",IF(N($L1850)=0,"",(N($L1850)-N($AF1850))/N($L1850)))</f>
        <v/>
      </c>
    </row>
    <row r="1851">
      <c r="A1851" s="39">
        <f>IF($B1851="","",COUNTA($B$4:$B1851))</f>
        <v/>
      </c>
      <c r="B1851" s="45" t="n"/>
      <c r="C1851" s="46" t="n"/>
      <c r="D1851" s="46" t="n"/>
      <c r="E1851" s="46" t="n"/>
      <c r="F1851" s="46" t="n"/>
      <c r="G1851" s="46" t="n"/>
      <c r="H1851" s="46" t="n"/>
      <c r="I1851" s="46" t="n"/>
      <c r="J1851" s="46" t="n"/>
      <c r="K1851" s="46" t="n"/>
      <c r="L1851" s="47" t="n"/>
      <c r="M1851" s="47" t="n"/>
      <c r="N1851" s="47" t="n"/>
      <c r="O1851" s="47" t="n"/>
      <c r="P1851" s="47" t="n"/>
      <c r="Q1851" s="47" t="n"/>
      <c r="R1851" s="43">
        <f>IF($B1851="","",N($S1851)-N($Q1851))</f>
        <v/>
      </c>
      <c r="S1851" s="43">
        <f>IF($B1851="","",N($L1851)+N($N1851)+N($P1851))</f>
        <v/>
      </c>
      <c r="T1851" s="47" t="n"/>
      <c r="U1851" s="47" t="n"/>
      <c r="V1851" s="47" t="n"/>
      <c r="W1851" s="47" t="n"/>
      <c r="X1851" s="47" t="n"/>
      <c r="Y1851" s="47" t="n"/>
      <c r="Z1851" s="47" t="n"/>
      <c r="AA1851" s="47" t="n"/>
      <c r="AB1851" s="47" t="n"/>
      <c r="AC1851" s="47" t="n"/>
      <c r="AD1851" s="47" t="n"/>
      <c r="AE1851" s="47" t="n"/>
      <c r="AF1851" s="43">
        <f>IF($B1851="","",SUM($T1851:$AE1851))</f>
        <v/>
      </c>
      <c r="AG1851" s="43">
        <f>IF($B1851="","",N($M1851)-N($AF1851))</f>
        <v/>
      </c>
      <c r="AH1851" s="43">
        <f>IF($B1851="","",N($L1851)-N($AF1851))</f>
        <v/>
      </c>
      <c r="AI1851" s="149">
        <f>IF($B1851="","",IF(N($L1851)=0,"",(N($L1851)-N($AF1851))/N($L1851)))</f>
        <v/>
      </c>
    </row>
    <row r="1852">
      <c r="A1852" s="39">
        <f>IF($B1852="","",COUNTA($B$4:$B1852))</f>
        <v/>
      </c>
      <c r="B1852" s="40" t="n"/>
      <c r="C1852" s="41" t="n"/>
      <c r="D1852" s="41" t="n"/>
      <c r="E1852" s="41" t="n"/>
      <c r="F1852" s="41" t="n"/>
      <c r="G1852" s="41" t="n"/>
      <c r="H1852" s="41" t="n"/>
      <c r="I1852" s="41" t="n"/>
      <c r="J1852" s="41" t="n"/>
      <c r="K1852" s="41" t="n"/>
      <c r="L1852" s="42" t="n"/>
      <c r="M1852" s="42" t="n"/>
      <c r="N1852" s="42" t="n"/>
      <c r="O1852" s="42" t="n"/>
      <c r="P1852" s="42" t="n"/>
      <c r="Q1852" s="42" t="n"/>
      <c r="R1852" s="43">
        <f>IF($B1852="","",N($S1852)-N($Q1852))</f>
        <v/>
      </c>
      <c r="S1852" s="43">
        <f>IF($B1852="","",N($L1852)+N($N1852)+N($P1852))</f>
        <v/>
      </c>
      <c r="T1852" s="42" t="n"/>
      <c r="U1852" s="42" t="n"/>
      <c r="V1852" s="42" t="n"/>
      <c r="W1852" s="42" t="n"/>
      <c r="X1852" s="42" t="n"/>
      <c r="Y1852" s="42" t="n"/>
      <c r="Z1852" s="42" t="n"/>
      <c r="AA1852" s="42" t="n"/>
      <c r="AB1852" s="42" t="n"/>
      <c r="AC1852" s="42" t="n"/>
      <c r="AD1852" s="42" t="n"/>
      <c r="AE1852" s="42" t="n"/>
      <c r="AF1852" s="43">
        <f>IF($B1852="","",SUM($T1852:$AE1852))</f>
        <v/>
      </c>
      <c r="AG1852" s="43">
        <f>IF($B1852="","",N($M1852)-N($AF1852))</f>
        <v/>
      </c>
      <c r="AH1852" s="43">
        <f>IF($B1852="","",N($L1852)-N($AF1852))</f>
        <v/>
      </c>
      <c r="AI1852" s="149">
        <f>IF($B1852="","",IF(N($L1852)=0,"",(N($L1852)-N($AF1852))/N($L1852)))</f>
        <v/>
      </c>
    </row>
    <row r="1853">
      <c r="A1853" s="39">
        <f>IF($B1853="","",COUNTA($B$4:$B1853))</f>
        <v/>
      </c>
      <c r="B1853" s="45" t="n"/>
      <c r="C1853" s="46" t="n"/>
      <c r="D1853" s="46" t="n"/>
      <c r="E1853" s="46" t="n"/>
      <c r="F1853" s="46" t="n"/>
      <c r="G1853" s="46" t="n"/>
      <c r="H1853" s="46" t="n"/>
      <c r="I1853" s="46" t="n"/>
      <c r="J1853" s="46" t="n"/>
      <c r="K1853" s="46" t="n"/>
      <c r="L1853" s="47" t="n"/>
      <c r="M1853" s="47" t="n"/>
      <c r="N1853" s="47" t="n"/>
      <c r="O1853" s="47" t="n"/>
      <c r="P1853" s="47" t="n"/>
      <c r="Q1853" s="47" t="n"/>
      <c r="R1853" s="43">
        <f>IF($B1853="","",N($S1853)-N($Q1853))</f>
        <v/>
      </c>
      <c r="S1853" s="43">
        <f>IF($B1853="","",N($L1853)+N($N1853)+N($P1853))</f>
        <v/>
      </c>
      <c r="T1853" s="47" t="n"/>
      <c r="U1853" s="47" t="n"/>
      <c r="V1853" s="47" t="n"/>
      <c r="W1853" s="47" t="n"/>
      <c r="X1853" s="47" t="n"/>
      <c r="Y1853" s="47" t="n"/>
      <c r="Z1853" s="47" t="n"/>
      <c r="AA1853" s="47" t="n"/>
      <c r="AB1853" s="47" t="n"/>
      <c r="AC1853" s="47" t="n"/>
      <c r="AD1853" s="47" t="n"/>
      <c r="AE1853" s="47" t="n"/>
      <c r="AF1853" s="43">
        <f>IF($B1853="","",SUM($T1853:$AE1853))</f>
        <v/>
      </c>
      <c r="AG1853" s="43">
        <f>IF($B1853="","",N($M1853)-N($AF1853))</f>
        <v/>
      </c>
      <c r="AH1853" s="43">
        <f>IF($B1853="","",N($L1853)-N($AF1853))</f>
        <v/>
      </c>
      <c r="AI1853" s="149">
        <f>IF($B1853="","",IF(N($L1853)=0,"",(N($L1853)-N($AF1853))/N($L1853)))</f>
        <v/>
      </c>
    </row>
    <row r="1854">
      <c r="A1854" s="39">
        <f>IF($B1854="","",COUNTA($B$4:$B1854))</f>
        <v/>
      </c>
      <c r="B1854" s="40" t="n"/>
      <c r="C1854" s="41" t="n"/>
      <c r="D1854" s="41" t="n"/>
      <c r="E1854" s="41" t="n"/>
      <c r="F1854" s="41" t="n"/>
      <c r="G1854" s="41" t="n"/>
      <c r="H1854" s="41" t="n"/>
      <c r="I1854" s="41" t="n"/>
      <c r="J1854" s="41" t="n"/>
      <c r="K1854" s="41" t="n"/>
      <c r="L1854" s="42" t="n"/>
      <c r="M1854" s="42" t="n"/>
      <c r="N1854" s="42" t="n"/>
      <c r="O1854" s="42" t="n"/>
      <c r="P1854" s="42" t="n"/>
      <c r="Q1854" s="42" t="n"/>
      <c r="R1854" s="43">
        <f>IF($B1854="","",N($S1854)-N($Q1854))</f>
        <v/>
      </c>
      <c r="S1854" s="43">
        <f>IF($B1854="","",N($L1854)+N($N1854)+N($P1854))</f>
        <v/>
      </c>
      <c r="T1854" s="42" t="n"/>
      <c r="U1854" s="42" t="n"/>
      <c r="V1854" s="42" t="n"/>
      <c r="W1854" s="42" t="n"/>
      <c r="X1854" s="42" t="n"/>
      <c r="Y1854" s="42" t="n"/>
      <c r="Z1854" s="42" t="n"/>
      <c r="AA1854" s="42" t="n"/>
      <c r="AB1854" s="42" t="n"/>
      <c r="AC1854" s="42" t="n"/>
      <c r="AD1854" s="42" t="n"/>
      <c r="AE1854" s="42" t="n"/>
      <c r="AF1854" s="43">
        <f>IF($B1854="","",SUM($T1854:$AE1854))</f>
        <v/>
      </c>
      <c r="AG1854" s="43">
        <f>IF($B1854="","",N($M1854)-N($AF1854))</f>
        <v/>
      </c>
      <c r="AH1854" s="43">
        <f>IF($B1854="","",N($L1854)-N($AF1854))</f>
        <v/>
      </c>
      <c r="AI1854" s="149">
        <f>IF($B1854="","",IF(N($L1854)=0,"",(N($L1854)-N($AF1854))/N($L1854)))</f>
        <v/>
      </c>
    </row>
    <row r="1855">
      <c r="A1855" s="39">
        <f>IF($B1855="","",COUNTA($B$4:$B1855))</f>
        <v/>
      </c>
      <c r="B1855" s="45" t="n"/>
      <c r="C1855" s="46" t="n"/>
      <c r="D1855" s="46" t="n"/>
      <c r="E1855" s="46" t="n"/>
      <c r="F1855" s="46" t="n"/>
      <c r="G1855" s="46" t="n"/>
      <c r="H1855" s="46" t="n"/>
      <c r="I1855" s="46" t="n"/>
      <c r="J1855" s="46" t="n"/>
      <c r="K1855" s="46" t="n"/>
      <c r="L1855" s="47" t="n"/>
      <c r="M1855" s="47" t="n"/>
      <c r="N1855" s="47" t="n"/>
      <c r="O1855" s="47" t="n"/>
      <c r="P1855" s="47" t="n"/>
      <c r="Q1855" s="47" t="n"/>
      <c r="R1855" s="43">
        <f>IF($B1855="","",N($S1855)-N($Q1855))</f>
        <v/>
      </c>
      <c r="S1855" s="43">
        <f>IF($B1855="","",N($L1855)+N($N1855)+N($P1855))</f>
        <v/>
      </c>
      <c r="T1855" s="47" t="n"/>
      <c r="U1855" s="47" t="n"/>
      <c r="V1855" s="47" t="n"/>
      <c r="W1855" s="47" t="n"/>
      <c r="X1855" s="47" t="n"/>
      <c r="Y1855" s="47" t="n"/>
      <c r="Z1855" s="47" t="n"/>
      <c r="AA1855" s="47" t="n"/>
      <c r="AB1855" s="47" t="n"/>
      <c r="AC1855" s="47" t="n"/>
      <c r="AD1855" s="47" t="n"/>
      <c r="AE1855" s="47" t="n"/>
      <c r="AF1855" s="43">
        <f>IF($B1855="","",SUM($T1855:$AE1855))</f>
        <v/>
      </c>
      <c r="AG1855" s="43">
        <f>IF($B1855="","",N($M1855)-N($AF1855))</f>
        <v/>
      </c>
      <c r="AH1855" s="43">
        <f>IF($B1855="","",N($L1855)-N($AF1855))</f>
        <v/>
      </c>
      <c r="AI1855" s="149">
        <f>IF($B1855="","",IF(N($L1855)=0,"",(N($L1855)-N($AF1855))/N($L1855)))</f>
        <v/>
      </c>
    </row>
    <row r="1856">
      <c r="A1856" s="39">
        <f>IF($B1856="","",COUNTA($B$4:$B1856))</f>
        <v/>
      </c>
      <c r="B1856" s="40" t="n"/>
      <c r="C1856" s="41" t="n"/>
      <c r="D1856" s="41" t="n"/>
      <c r="E1856" s="41" t="n"/>
      <c r="F1856" s="41" t="n"/>
      <c r="G1856" s="41" t="n"/>
      <c r="H1856" s="41" t="n"/>
      <c r="I1856" s="41" t="n"/>
      <c r="J1856" s="41" t="n"/>
      <c r="K1856" s="41" t="n"/>
      <c r="L1856" s="42" t="n"/>
      <c r="M1856" s="42" t="n"/>
      <c r="N1856" s="42" t="n"/>
      <c r="O1856" s="42" t="n"/>
      <c r="P1856" s="42" t="n"/>
      <c r="Q1856" s="42" t="n"/>
      <c r="R1856" s="43">
        <f>IF($B1856="","",N($S1856)-N($Q1856))</f>
        <v/>
      </c>
      <c r="S1856" s="43">
        <f>IF($B1856="","",N($L1856)+N($N1856)+N($P1856))</f>
        <v/>
      </c>
      <c r="T1856" s="42" t="n"/>
      <c r="U1856" s="42" t="n"/>
      <c r="V1856" s="42" t="n"/>
      <c r="W1856" s="42" t="n"/>
      <c r="X1856" s="42" t="n"/>
      <c r="Y1856" s="42" t="n"/>
      <c r="Z1856" s="42" t="n"/>
      <c r="AA1856" s="42" t="n"/>
      <c r="AB1856" s="42" t="n"/>
      <c r="AC1856" s="42" t="n"/>
      <c r="AD1856" s="42" t="n"/>
      <c r="AE1856" s="42" t="n"/>
      <c r="AF1856" s="43">
        <f>IF($B1856="","",SUM($T1856:$AE1856))</f>
        <v/>
      </c>
      <c r="AG1856" s="43">
        <f>IF($B1856="","",N($M1856)-N($AF1856))</f>
        <v/>
      </c>
      <c r="AH1856" s="43">
        <f>IF($B1856="","",N($L1856)-N($AF1856))</f>
        <v/>
      </c>
      <c r="AI1856" s="149">
        <f>IF($B1856="","",IF(N($L1856)=0,"",(N($L1856)-N($AF1856))/N($L1856)))</f>
        <v/>
      </c>
    </row>
    <row r="1857">
      <c r="A1857" s="39">
        <f>IF($B1857="","",COUNTA($B$4:$B1857))</f>
        <v/>
      </c>
      <c r="B1857" s="45" t="n"/>
      <c r="C1857" s="46" t="n"/>
      <c r="D1857" s="46" t="n"/>
      <c r="E1857" s="46" t="n"/>
      <c r="F1857" s="46" t="n"/>
      <c r="G1857" s="46" t="n"/>
      <c r="H1857" s="46" t="n"/>
      <c r="I1857" s="46" t="n"/>
      <c r="J1857" s="46" t="n"/>
      <c r="K1857" s="46" t="n"/>
      <c r="L1857" s="47" t="n"/>
      <c r="M1857" s="47" t="n"/>
      <c r="N1857" s="47" t="n"/>
      <c r="O1857" s="47" t="n"/>
      <c r="P1857" s="47" t="n"/>
      <c r="Q1857" s="47" t="n"/>
      <c r="R1857" s="43">
        <f>IF($B1857="","",N($S1857)-N($Q1857))</f>
        <v/>
      </c>
      <c r="S1857" s="43">
        <f>IF($B1857="","",N($L1857)+N($N1857)+N($P1857))</f>
        <v/>
      </c>
      <c r="T1857" s="47" t="n"/>
      <c r="U1857" s="47" t="n"/>
      <c r="V1857" s="47" t="n"/>
      <c r="W1857" s="47" t="n"/>
      <c r="X1857" s="47" t="n"/>
      <c r="Y1857" s="47" t="n"/>
      <c r="Z1857" s="47" t="n"/>
      <c r="AA1857" s="47" t="n"/>
      <c r="AB1857" s="47" t="n"/>
      <c r="AC1857" s="47" t="n"/>
      <c r="AD1857" s="47" t="n"/>
      <c r="AE1857" s="47" t="n"/>
      <c r="AF1857" s="43">
        <f>IF($B1857="","",SUM($T1857:$AE1857))</f>
        <v/>
      </c>
      <c r="AG1857" s="43">
        <f>IF($B1857="","",N($M1857)-N($AF1857))</f>
        <v/>
      </c>
      <c r="AH1857" s="43">
        <f>IF($B1857="","",N($L1857)-N($AF1857))</f>
        <v/>
      </c>
      <c r="AI1857" s="149">
        <f>IF($B1857="","",IF(N($L1857)=0,"",(N($L1857)-N($AF1857))/N($L1857)))</f>
        <v/>
      </c>
    </row>
    <row r="1858">
      <c r="A1858" s="39">
        <f>IF($B1858="","",COUNTA($B$4:$B1858))</f>
        <v/>
      </c>
      <c r="B1858" s="40" t="n"/>
      <c r="C1858" s="41" t="n"/>
      <c r="D1858" s="41" t="n"/>
      <c r="E1858" s="41" t="n"/>
      <c r="F1858" s="41" t="n"/>
      <c r="G1858" s="41" t="n"/>
      <c r="H1858" s="41" t="n"/>
      <c r="I1858" s="41" t="n"/>
      <c r="J1858" s="41" t="n"/>
      <c r="K1858" s="41" t="n"/>
      <c r="L1858" s="42" t="n"/>
      <c r="M1858" s="42" t="n"/>
      <c r="N1858" s="42" t="n"/>
      <c r="O1858" s="42" t="n"/>
      <c r="P1858" s="42" t="n"/>
      <c r="Q1858" s="42" t="n"/>
      <c r="R1858" s="43">
        <f>IF($B1858="","",N($S1858)-N($Q1858))</f>
        <v/>
      </c>
      <c r="S1858" s="43">
        <f>IF($B1858="","",N($L1858)+N($N1858)+N($P1858))</f>
        <v/>
      </c>
      <c r="T1858" s="42" t="n"/>
      <c r="U1858" s="42" t="n"/>
      <c r="V1858" s="42" t="n"/>
      <c r="W1858" s="42" t="n"/>
      <c r="X1858" s="42" t="n"/>
      <c r="Y1858" s="42" t="n"/>
      <c r="Z1858" s="42" t="n"/>
      <c r="AA1858" s="42" t="n"/>
      <c r="AB1858" s="42" t="n"/>
      <c r="AC1858" s="42" t="n"/>
      <c r="AD1858" s="42" t="n"/>
      <c r="AE1858" s="42" t="n"/>
      <c r="AF1858" s="43">
        <f>IF($B1858="","",SUM($T1858:$AE1858))</f>
        <v/>
      </c>
      <c r="AG1858" s="43">
        <f>IF($B1858="","",N($M1858)-N($AF1858))</f>
        <v/>
      </c>
      <c r="AH1858" s="43">
        <f>IF($B1858="","",N($L1858)-N($AF1858))</f>
        <v/>
      </c>
      <c r="AI1858" s="149">
        <f>IF($B1858="","",IF(N($L1858)=0,"",(N($L1858)-N($AF1858))/N($L1858)))</f>
        <v/>
      </c>
    </row>
    <row r="1859">
      <c r="A1859" s="39">
        <f>IF($B1859="","",COUNTA($B$4:$B1859))</f>
        <v/>
      </c>
      <c r="B1859" s="45" t="n"/>
      <c r="C1859" s="46" t="n"/>
      <c r="D1859" s="46" t="n"/>
      <c r="E1859" s="46" t="n"/>
      <c r="F1859" s="46" t="n"/>
      <c r="G1859" s="46" t="n"/>
      <c r="H1859" s="46" t="n"/>
      <c r="I1859" s="46" t="n"/>
      <c r="J1859" s="46" t="n"/>
      <c r="K1859" s="46" t="n"/>
      <c r="L1859" s="47" t="n"/>
      <c r="M1859" s="47" t="n"/>
      <c r="N1859" s="47" t="n"/>
      <c r="O1859" s="47" t="n"/>
      <c r="P1859" s="47" t="n"/>
      <c r="Q1859" s="47" t="n"/>
      <c r="R1859" s="43">
        <f>IF($B1859="","",N($S1859)-N($Q1859))</f>
        <v/>
      </c>
      <c r="S1859" s="43">
        <f>IF($B1859="","",N($L1859)+N($N1859)+N($P1859))</f>
        <v/>
      </c>
      <c r="T1859" s="47" t="n"/>
      <c r="U1859" s="47" t="n"/>
      <c r="V1859" s="47" t="n"/>
      <c r="W1859" s="47" t="n"/>
      <c r="X1859" s="47" t="n"/>
      <c r="Y1859" s="47" t="n"/>
      <c r="Z1859" s="47" t="n"/>
      <c r="AA1859" s="47" t="n"/>
      <c r="AB1859" s="47" t="n"/>
      <c r="AC1859" s="47" t="n"/>
      <c r="AD1859" s="47" t="n"/>
      <c r="AE1859" s="47" t="n"/>
      <c r="AF1859" s="43">
        <f>IF($B1859="","",SUM($T1859:$AE1859))</f>
        <v/>
      </c>
      <c r="AG1859" s="43">
        <f>IF($B1859="","",N($M1859)-N($AF1859))</f>
        <v/>
      </c>
      <c r="AH1859" s="43">
        <f>IF($B1859="","",N($L1859)-N($AF1859))</f>
        <v/>
      </c>
      <c r="AI1859" s="149">
        <f>IF($B1859="","",IF(N($L1859)=0,"",(N($L1859)-N($AF1859))/N($L1859)))</f>
        <v/>
      </c>
    </row>
    <row r="1860">
      <c r="A1860" s="39">
        <f>IF($B1860="","",COUNTA($B$4:$B1860))</f>
        <v/>
      </c>
      <c r="B1860" s="40" t="n"/>
      <c r="C1860" s="41" t="n"/>
      <c r="D1860" s="41" t="n"/>
      <c r="E1860" s="41" t="n"/>
      <c r="F1860" s="41" t="n"/>
      <c r="G1860" s="41" t="n"/>
      <c r="H1860" s="41" t="n"/>
      <c r="I1860" s="41" t="n"/>
      <c r="J1860" s="41" t="n"/>
      <c r="K1860" s="41" t="n"/>
      <c r="L1860" s="42" t="n"/>
      <c r="M1860" s="42" t="n"/>
      <c r="N1860" s="42" t="n"/>
      <c r="O1860" s="42" t="n"/>
      <c r="P1860" s="42" t="n"/>
      <c r="Q1860" s="42" t="n"/>
      <c r="R1860" s="43">
        <f>IF($B1860="","",N($S1860)-N($Q1860))</f>
        <v/>
      </c>
      <c r="S1860" s="43">
        <f>IF($B1860="","",N($L1860)+N($N1860)+N($P1860))</f>
        <v/>
      </c>
      <c r="T1860" s="42" t="n"/>
      <c r="U1860" s="42" t="n"/>
      <c r="V1860" s="42" t="n"/>
      <c r="W1860" s="42" t="n"/>
      <c r="X1860" s="42" t="n"/>
      <c r="Y1860" s="42" t="n"/>
      <c r="Z1860" s="42" t="n"/>
      <c r="AA1860" s="42" t="n"/>
      <c r="AB1860" s="42" t="n"/>
      <c r="AC1860" s="42" t="n"/>
      <c r="AD1860" s="42" t="n"/>
      <c r="AE1860" s="42" t="n"/>
      <c r="AF1860" s="43">
        <f>IF($B1860="","",SUM($T1860:$AE1860))</f>
        <v/>
      </c>
      <c r="AG1860" s="43">
        <f>IF($B1860="","",N($M1860)-N($AF1860))</f>
        <v/>
      </c>
      <c r="AH1860" s="43">
        <f>IF($B1860="","",N($L1860)-N($AF1860))</f>
        <v/>
      </c>
      <c r="AI1860" s="149">
        <f>IF($B1860="","",IF(N($L1860)=0,"",(N($L1860)-N($AF1860))/N($L1860)))</f>
        <v/>
      </c>
    </row>
    <row r="1861">
      <c r="A1861" s="39">
        <f>IF($B1861="","",COUNTA($B$4:$B1861))</f>
        <v/>
      </c>
      <c r="B1861" s="45" t="n"/>
      <c r="C1861" s="46" t="n"/>
      <c r="D1861" s="46" t="n"/>
      <c r="E1861" s="46" t="n"/>
      <c r="F1861" s="46" t="n"/>
      <c r="G1861" s="46" t="n"/>
      <c r="H1861" s="46" t="n"/>
      <c r="I1861" s="46" t="n"/>
      <c r="J1861" s="46" t="n"/>
      <c r="K1861" s="46" t="n"/>
      <c r="L1861" s="47" t="n"/>
      <c r="M1861" s="47" t="n"/>
      <c r="N1861" s="47" t="n"/>
      <c r="O1861" s="47" t="n"/>
      <c r="P1861" s="47" t="n"/>
      <c r="Q1861" s="47" t="n"/>
      <c r="R1861" s="43">
        <f>IF($B1861="","",N($S1861)-N($Q1861))</f>
        <v/>
      </c>
      <c r="S1861" s="43">
        <f>IF($B1861="","",N($L1861)+N($N1861)+N($P1861))</f>
        <v/>
      </c>
      <c r="T1861" s="47" t="n"/>
      <c r="U1861" s="47" t="n"/>
      <c r="V1861" s="47" t="n"/>
      <c r="W1861" s="47" t="n"/>
      <c r="X1861" s="47" t="n"/>
      <c r="Y1861" s="47" t="n"/>
      <c r="Z1861" s="47" t="n"/>
      <c r="AA1861" s="47" t="n"/>
      <c r="AB1861" s="47" t="n"/>
      <c r="AC1861" s="47" t="n"/>
      <c r="AD1861" s="47" t="n"/>
      <c r="AE1861" s="47" t="n"/>
      <c r="AF1861" s="43">
        <f>IF($B1861="","",SUM($T1861:$AE1861))</f>
        <v/>
      </c>
      <c r="AG1861" s="43">
        <f>IF($B1861="","",N($M1861)-N($AF1861))</f>
        <v/>
      </c>
      <c r="AH1861" s="43">
        <f>IF($B1861="","",N($L1861)-N($AF1861))</f>
        <v/>
      </c>
      <c r="AI1861" s="149">
        <f>IF($B1861="","",IF(N($L1861)=0,"",(N($L1861)-N($AF1861))/N($L1861)))</f>
        <v/>
      </c>
    </row>
    <row r="1862">
      <c r="A1862" s="39">
        <f>IF($B1862="","",COUNTA($B$4:$B1862))</f>
        <v/>
      </c>
      <c r="B1862" s="40" t="n"/>
      <c r="C1862" s="41" t="n"/>
      <c r="D1862" s="41" t="n"/>
      <c r="E1862" s="41" t="n"/>
      <c r="F1862" s="41" t="n"/>
      <c r="G1862" s="41" t="n"/>
      <c r="H1862" s="41" t="n"/>
      <c r="I1862" s="41" t="n"/>
      <c r="J1862" s="41" t="n"/>
      <c r="K1862" s="41" t="n"/>
      <c r="L1862" s="42" t="n"/>
      <c r="M1862" s="42" t="n"/>
      <c r="N1862" s="42" t="n"/>
      <c r="O1862" s="42" t="n"/>
      <c r="P1862" s="42" t="n"/>
      <c r="Q1862" s="42" t="n"/>
      <c r="R1862" s="43">
        <f>IF($B1862="","",N($S1862)-N($Q1862))</f>
        <v/>
      </c>
      <c r="S1862" s="43">
        <f>IF($B1862="","",N($L1862)+N($N1862)+N($P1862))</f>
        <v/>
      </c>
      <c r="T1862" s="42" t="n"/>
      <c r="U1862" s="42" t="n"/>
      <c r="V1862" s="42" t="n"/>
      <c r="W1862" s="42" t="n"/>
      <c r="X1862" s="42" t="n"/>
      <c r="Y1862" s="42" t="n"/>
      <c r="Z1862" s="42" t="n"/>
      <c r="AA1862" s="42" t="n"/>
      <c r="AB1862" s="42" t="n"/>
      <c r="AC1862" s="42" t="n"/>
      <c r="AD1862" s="42" t="n"/>
      <c r="AE1862" s="42" t="n"/>
      <c r="AF1862" s="43">
        <f>IF($B1862="","",SUM($T1862:$AE1862))</f>
        <v/>
      </c>
      <c r="AG1862" s="43">
        <f>IF($B1862="","",N($M1862)-N($AF1862))</f>
        <v/>
      </c>
      <c r="AH1862" s="43">
        <f>IF($B1862="","",N($L1862)-N($AF1862))</f>
        <v/>
      </c>
      <c r="AI1862" s="149">
        <f>IF($B1862="","",IF(N($L1862)=0,"",(N($L1862)-N($AF1862))/N($L1862)))</f>
        <v/>
      </c>
    </row>
    <row r="1863">
      <c r="A1863" s="39">
        <f>IF($B1863="","",COUNTA($B$4:$B1863))</f>
        <v/>
      </c>
      <c r="B1863" s="45" t="n"/>
      <c r="C1863" s="46" t="n"/>
      <c r="D1863" s="46" t="n"/>
      <c r="E1863" s="46" t="n"/>
      <c r="F1863" s="46" t="n"/>
      <c r="G1863" s="46" t="n"/>
      <c r="H1863" s="46" t="n"/>
      <c r="I1863" s="46" t="n"/>
      <c r="J1863" s="46" t="n"/>
      <c r="K1863" s="46" t="n"/>
      <c r="L1863" s="47" t="n"/>
      <c r="M1863" s="47" t="n"/>
      <c r="N1863" s="47" t="n"/>
      <c r="O1863" s="47" t="n"/>
      <c r="P1863" s="47" t="n"/>
      <c r="Q1863" s="47" t="n"/>
      <c r="R1863" s="43">
        <f>IF($B1863="","",N($S1863)-N($Q1863))</f>
        <v/>
      </c>
      <c r="S1863" s="43">
        <f>IF($B1863="","",N($L1863)+N($N1863)+N($P1863))</f>
        <v/>
      </c>
      <c r="T1863" s="47" t="n"/>
      <c r="U1863" s="47" t="n"/>
      <c r="V1863" s="47" t="n"/>
      <c r="W1863" s="47" t="n"/>
      <c r="X1863" s="47" t="n"/>
      <c r="Y1863" s="47" t="n"/>
      <c r="Z1863" s="47" t="n"/>
      <c r="AA1863" s="47" t="n"/>
      <c r="AB1863" s="47" t="n"/>
      <c r="AC1863" s="47" t="n"/>
      <c r="AD1863" s="47" t="n"/>
      <c r="AE1863" s="47" t="n"/>
      <c r="AF1863" s="43">
        <f>IF($B1863="","",SUM($T1863:$AE1863))</f>
        <v/>
      </c>
      <c r="AG1863" s="43">
        <f>IF($B1863="","",N($M1863)-N($AF1863))</f>
        <v/>
      </c>
      <c r="AH1863" s="43">
        <f>IF($B1863="","",N($L1863)-N($AF1863))</f>
        <v/>
      </c>
      <c r="AI1863" s="149">
        <f>IF($B1863="","",IF(N($L1863)=0,"",(N($L1863)-N($AF1863))/N($L1863)))</f>
        <v/>
      </c>
    </row>
    <row r="1864">
      <c r="A1864" s="39">
        <f>IF($B1864="","",COUNTA($B$4:$B1864))</f>
        <v/>
      </c>
      <c r="B1864" s="40" t="n"/>
      <c r="C1864" s="41" t="n"/>
      <c r="D1864" s="41" t="n"/>
      <c r="E1864" s="41" t="n"/>
      <c r="F1864" s="41" t="n"/>
      <c r="G1864" s="41" t="n"/>
      <c r="H1864" s="41" t="n"/>
      <c r="I1864" s="41" t="n"/>
      <c r="J1864" s="41" t="n"/>
      <c r="K1864" s="41" t="n"/>
      <c r="L1864" s="42" t="n"/>
      <c r="M1864" s="42" t="n"/>
      <c r="N1864" s="42" t="n"/>
      <c r="O1864" s="42" t="n"/>
      <c r="P1864" s="42" t="n"/>
      <c r="Q1864" s="42" t="n"/>
      <c r="R1864" s="43">
        <f>IF($B1864="","",N($S1864)-N($Q1864))</f>
        <v/>
      </c>
      <c r="S1864" s="43">
        <f>IF($B1864="","",N($L1864)+N($N1864)+N($P1864))</f>
        <v/>
      </c>
      <c r="T1864" s="42" t="n"/>
      <c r="U1864" s="42" t="n"/>
      <c r="V1864" s="42" t="n"/>
      <c r="W1864" s="42" t="n"/>
      <c r="X1864" s="42" t="n"/>
      <c r="Y1864" s="42" t="n"/>
      <c r="Z1864" s="42" t="n"/>
      <c r="AA1864" s="42" t="n"/>
      <c r="AB1864" s="42" t="n"/>
      <c r="AC1864" s="42" t="n"/>
      <c r="AD1864" s="42" t="n"/>
      <c r="AE1864" s="42" t="n"/>
      <c r="AF1864" s="43">
        <f>IF($B1864="","",SUM($T1864:$AE1864))</f>
        <v/>
      </c>
      <c r="AG1864" s="43">
        <f>IF($B1864="","",N($M1864)-N($AF1864))</f>
        <v/>
      </c>
      <c r="AH1864" s="43">
        <f>IF($B1864="","",N($L1864)-N($AF1864))</f>
        <v/>
      </c>
      <c r="AI1864" s="149">
        <f>IF($B1864="","",IF(N($L1864)=0,"",(N($L1864)-N($AF1864))/N($L1864)))</f>
        <v/>
      </c>
    </row>
    <row r="1865">
      <c r="A1865" s="39">
        <f>IF($B1865="","",COUNTA($B$4:$B1865))</f>
        <v/>
      </c>
      <c r="B1865" s="45" t="n"/>
      <c r="C1865" s="46" t="n"/>
      <c r="D1865" s="46" t="n"/>
      <c r="E1865" s="46" t="n"/>
      <c r="F1865" s="46" t="n"/>
      <c r="G1865" s="46" t="n"/>
      <c r="H1865" s="46" t="n"/>
      <c r="I1865" s="46" t="n"/>
      <c r="J1865" s="46" t="n"/>
      <c r="K1865" s="46" t="n"/>
      <c r="L1865" s="47" t="n"/>
      <c r="M1865" s="47" t="n"/>
      <c r="N1865" s="47" t="n"/>
      <c r="O1865" s="47" t="n"/>
      <c r="P1865" s="47" t="n"/>
      <c r="Q1865" s="47" t="n"/>
      <c r="R1865" s="43">
        <f>IF($B1865="","",N($S1865)-N($Q1865))</f>
        <v/>
      </c>
      <c r="S1865" s="43">
        <f>IF($B1865="","",N($L1865)+N($N1865)+N($P1865))</f>
        <v/>
      </c>
      <c r="T1865" s="47" t="n"/>
      <c r="U1865" s="47" t="n"/>
      <c r="V1865" s="47" t="n"/>
      <c r="W1865" s="47" t="n"/>
      <c r="X1865" s="47" t="n"/>
      <c r="Y1865" s="47" t="n"/>
      <c r="Z1865" s="47" t="n"/>
      <c r="AA1865" s="47" t="n"/>
      <c r="AB1865" s="47" t="n"/>
      <c r="AC1865" s="47" t="n"/>
      <c r="AD1865" s="47" t="n"/>
      <c r="AE1865" s="47" t="n"/>
      <c r="AF1865" s="43">
        <f>IF($B1865="","",SUM($T1865:$AE1865))</f>
        <v/>
      </c>
      <c r="AG1865" s="43">
        <f>IF($B1865="","",N($M1865)-N($AF1865))</f>
        <v/>
      </c>
      <c r="AH1865" s="43">
        <f>IF($B1865="","",N($L1865)-N($AF1865))</f>
        <v/>
      </c>
      <c r="AI1865" s="149">
        <f>IF($B1865="","",IF(N($L1865)=0,"",(N($L1865)-N($AF1865))/N($L1865)))</f>
        <v/>
      </c>
    </row>
    <row r="1866">
      <c r="A1866" s="39">
        <f>IF($B1866="","",COUNTA($B$4:$B1866))</f>
        <v/>
      </c>
      <c r="B1866" s="40" t="n"/>
      <c r="C1866" s="41" t="n"/>
      <c r="D1866" s="41" t="n"/>
      <c r="E1866" s="41" t="n"/>
      <c r="F1866" s="41" t="n"/>
      <c r="G1866" s="41" t="n"/>
      <c r="H1866" s="41" t="n"/>
      <c r="I1866" s="41" t="n"/>
      <c r="J1866" s="41" t="n"/>
      <c r="K1866" s="41" t="n"/>
      <c r="L1866" s="42" t="n"/>
      <c r="M1866" s="42" t="n"/>
      <c r="N1866" s="42" t="n"/>
      <c r="O1866" s="42" t="n"/>
      <c r="P1866" s="42" t="n"/>
      <c r="Q1866" s="42" t="n"/>
      <c r="R1866" s="43">
        <f>IF($B1866="","",N($S1866)-N($Q1866))</f>
        <v/>
      </c>
      <c r="S1866" s="43">
        <f>IF($B1866="","",N($L1866)+N($N1866)+N($P1866))</f>
        <v/>
      </c>
      <c r="T1866" s="42" t="n"/>
      <c r="U1866" s="42" t="n"/>
      <c r="V1866" s="42" t="n"/>
      <c r="W1866" s="42" t="n"/>
      <c r="X1866" s="42" t="n"/>
      <c r="Y1866" s="42" t="n"/>
      <c r="Z1866" s="42" t="n"/>
      <c r="AA1866" s="42" t="n"/>
      <c r="AB1866" s="42" t="n"/>
      <c r="AC1866" s="42" t="n"/>
      <c r="AD1866" s="42" t="n"/>
      <c r="AE1866" s="42" t="n"/>
      <c r="AF1866" s="43">
        <f>IF($B1866="","",SUM($T1866:$AE1866))</f>
        <v/>
      </c>
      <c r="AG1866" s="43">
        <f>IF($B1866="","",N($M1866)-N($AF1866))</f>
        <v/>
      </c>
      <c r="AH1866" s="43">
        <f>IF($B1866="","",N($L1866)-N($AF1866))</f>
        <v/>
      </c>
      <c r="AI1866" s="149">
        <f>IF($B1866="","",IF(N($L1866)=0,"",(N($L1866)-N($AF1866))/N($L1866)))</f>
        <v/>
      </c>
    </row>
    <row r="1867">
      <c r="A1867" s="39">
        <f>IF($B1867="","",COUNTA($B$4:$B1867))</f>
        <v/>
      </c>
      <c r="B1867" s="45" t="n"/>
      <c r="C1867" s="46" t="n"/>
      <c r="D1867" s="46" t="n"/>
      <c r="E1867" s="46" t="n"/>
      <c r="F1867" s="46" t="n"/>
      <c r="G1867" s="46" t="n"/>
      <c r="H1867" s="46" t="n"/>
      <c r="I1867" s="46" t="n"/>
      <c r="J1867" s="46" t="n"/>
      <c r="K1867" s="46" t="n"/>
      <c r="L1867" s="47" t="n"/>
      <c r="M1867" s="47" t="n"/>
      <c r="N1867" s="47" t="n"/>
      <c r="O1867" s="47" t="n"/>
      <c r="P1867" s="47" t="n"/>
      <c r="Q1867" s="47" t="n"/>
      <c r="R1867" s="43">
        <f>IF($B1867="","",N($S1867)-N($Q1867))</f>
        <v/>
      </c>
      <c r="S1867" s="43">
        <f>IF($B1867="","",N($L1867)+N($N1867)+N($P1867))</f>
        <v/>
      </c>
      <c r="T1867" s="47" t="n"/>
      <c r="U1867" s="47" t="n"/>
      <c r="V1867" s="47" t="n"/>
      <c r="W1867" s="47" t="n"/>
      <c r="X1867" s="47" t="n"/>
      <c r="Y1867" s="47" t="n"/>
      <c r="Z1867" s="47" t="n"/>
      <c r="AA1867" s="47" t="n"/>
      <c r="AB1867" s="47" t="n"/>
      <c r="AC1867" s="47" t="n"/>
      <c r="AD1867" s="47" t="n"/>
      <c r="AE1867" s="47" t="n"/>
      <c r="AF1867" s="43">
        <f>IF($B1867="","",SUM($T1867:$AE1867))</f>
        <v/>
      </c>
      <c r="AG1867" s="43">
        <f>IF($B1867="","",N($M1867)-N($AF1867))</f>
        <v/>
      </c>
      <c r="AH1867" s="43">
        <f>IF($B1867="","",N($L1867)-N($AF1867))</f>
        <v/>
      </c>
      <c r="AI1867" s="149">
        <f>IF($B1867="","",IF(N($L1867)=0,"",(N($L1867)-N($AF1867))/N($L1867)))</f>
        <v/>
      </c>
    </row>
    <row r="1868">
      <c r="A1868" s="39">
        <f>IF($B1868="","",COUNTA($B$4:$B1868))</f>
        <v/>
      </c>
      <c r="B1868" s="40" t="n"/>
      <c r="C1868" s="41" t="n"/>
      <c r="D1868" s="41" t="n"/>
      <c r="E1868" s="41" t="n"/>
      <c r="F1868" s="41" t="n"/>
      <c r="G1868" s="41" t="n"/>
      <c r="H1868" s="41" t="n"/>
      <c r="I1868" s="41" t="n"/>
      <c r="J1868" s="41" t="n"/>
      <c r="K1868" s="41" t="n"/>
      <c r="L1868" s="42" t="n"/>
      <c r="M1868" s="42" t="n"/>
      <c r="N1868" s="42" t="n"/>
      <c r="O1868" s="42" t="n"/>
      <c r="P1868" s="42" t="n"/>
      <c r="Q1868" s="42" t="n"/>
      <c r="R1868" s="43">
        <f>IF($B1868="","",N($S1868)-N($Q1868))</f>
        <v/>
      </c>
      <c r="S1868" s="43">
        <f>IF($B1868="","",N($L1868)+N($N1868)+N($P1868))</f>
        <v/>
      </c>
      <c r="T1868" s="42" t="n"/>
      <c r="U1868" s="42" t="n"/>
      <c r="V1868" s="42" t="n"/>
      <c r="W1868" s="42" t="n"/>
      <c r="X1868" s="42" t="n"/>
      <c r="Y1868" s="42" t="n"/>
      <c r="Z1868" s="42" t="n"/>
      <c r="AA1868" s="42" t="n"/>
      <c r="AB1868" s="42" t="n"/>
      <c r="AC1868" s="42" t="n"/>
      <c r="AD1868" s="42" t="n"/>
      <c r="AE1868" s="42" t="n"/>
      <c r="AF1868" s="43">
        <f>IF($B1868="","",SUM($T1868:$AE1868))</f>
        <v/>
      </c>
      <c r="AG1868" s="43">
        <f>IF($B1868="","",N($M1868)-N($AF1868))</f>
        <v/>
      </c>
      <c r="AH1868" s="43">
        <f>IF($B1868="","",N($L1868)-N($AF1868))</f>
        <v/>
      </c>
      <c r="AI1868" s="149">
        <f>IF($B1868="","",IF(N($L1868)=0,"",(N($L1868)-N($AF1868))/N($L1868)))</f>
        <v/>
      </c>
    </row>
    <row r="1869">
      <c r="A1869" s="39">
        <f>IF($B1869="","",COUNTA($B$4:$B1869))</f>
        <v/>
      </c>
      <c r="B1869" s="45" t="n"/>
      <c r="C1869" s="46" t="n"/>
      <c r="D1869" s="46" t="n"/>
      <c r="E1869" s="46" t="n"/>
      <c r="F1869" s="46" t="n"/>
      <c r="G1869" s="46" t="n"/>
      <c r="H1869" s="46" t="n"/>
      <c r="I1869" s="46" t="n"/>
      <c r="J1869" s="46" t="n"/>
      <c r="K1869" s="46" t="n"/>
      <c r="L1869" s="47" t="n"/>
      <c r="M1869" s="47" t="n"/>
      <c r="N1869" s="47" t="n"/>
      <c r="O1869" s="47" t="n"/>
      <c r="P1869" s="47" t="n"/>
      <c r="Q1869" s="47" t="n"/>
      <c r="R1869" s="43">
        <f>IF($B1869="","",N($S1869)-N($Q1869))</f>
        <v/>
      </c>
      <c r="S1869" s="43">
        <f>IF($B1869="","",N($L1869)+N($N1869)+N($P1869))</f>
        <v/>
      </c>
      <c r="T1869" s="47" t="n"/>
      <c r="U1869" s="47" t="n"/>
      <c r="V1869" s="47" t="n"/>
      <c r="W1869" s="47" t="n"/>
      <c r="X1869" s="47" t="n"/>
      <c r="Y1869" s="47" t="n"/>
      <c r="Z1869" s="47" t="n"/>
      <c r="AA1869" s="47" t="n"/>
      <c r="AB1869" s="47" t="n"/>
      <c r="AC1869" s="47" t="n"/>
      <c r="AD1869" s="47" t="n"/>
      <c r="AE1869" s="47" t="n"/>
      <c r="AF1869" s="43">
        <f>IF($B1869="","",SUM($T1869:$AE1869))</f>
        <v/>
      </c>
      <c r="AG1869" s="43">
        <f>IF($B1869="","",N($M1869)-N($AF1869))</f>
        <v/>
      </c>
      <c r="AH1869" s="43">
        <f>IF($B1869="","",N($L1869)-N($AF1869))</f>
        <v/>
      </c>
      <c r="AI1869" s="149">
        <f>IF($B1869="","",IF(N($L1869)=0,"",(N($L1869)-N($AF1869))/N($L1869)))</f>
        <v/>
      </c>
    </row>
    <row r="1870">
      <c r="A1870" s="39">
        <f>IF($B1870="","",COUNTA($B$4:$B1870))</f>
        <v/>
      </c>
      <c r="B1870" s="40" t="n"/>
      <c r="C1870" s="41" t="n"/>
      <c r="D1870" s="41" t="n"/>
      <c r="E1870" s="41" t="n"/>
      <c r="F1870" s="41" t="n"/>
      <c r="G1870" s="41" t="n"/>
      <c r="H1870" s="41" t="n"/>
      <c r="I1870" s="41" t="n"/>
      <c r="J1870" s="41" t="n"/>
      <c r="K1870" s="41" t="n"/>
      <c r="L1870" s="42" t="n"/>
      <c r="M1870" s="42" t="n"/>
      <c r="N1870" s="42" t="n"/>
      <c r="O1870" s="42" t="n"/>
      <c r="P1870" s="42" t="n"/>
      <c r="Q1870" s="42" t="n"/>
      <c r="R1870" s="43">
        <f>IF($B1870="","",N($S1870)-N($Q1870))</f>
        <v/>
      </c>
      <c r="S1870" s="43">
        <f>IF($B1870="","",N($L1870)+N($N1870)+N($P1870))</f>
        <v/>
      </c>
      <c r="T1870" s="42" t="n"/>
      <c r="U1870" s="42" t="n"/>
      <c r="V1870" s="42" t="n"/>
      <c r="W1870" s="42" t="n"/>
      <c r="X1870" s="42" t="n"/>
      <c r="Y1870" s="42" t="n"/>
      <c r="Z1870" s="42" t="n"/>
      <c r="AA1870" s="42" t="n"/>
      <c r="AB1870" s="42" t="n"/>
      <c r="AC1870" s="42" t="n"/>
      <c r="AD1870" s="42" t="n"/>
      <c r="AE1870" s="42" t="n"/>
      <c r="AF1870" s="43">
        <f>IF($B1870="","",SUM($T1870:$AE1870))</f>
        <v/>
      </c>
      <c r="AG1870" s="43">
        <f>IF($B1870="","",N($M1870)-N($AF1870))</f>
        <v/>
      </c>
      <c r="AH1870" s="43">
        <f>IF($B1870="","",N($L1870)-N($AF1870))</f>
        <v/>
      </c>
      <c r="AI1870" s="149">
        <f>IF($B1870="","",IF(N($L1870)=0,"",(N($L1870)-N($AF1870))/N($L1870)))</f>
        <v/>
      </c>
    </row>
    <row r="1871">
      <c r="A1871" s="39">
        <f>IF($B1871="","",COUNTA($B$4:$B1871))</f>
        <v/>
      </c>
      <c r="B1871" s="45" t="n"/>
      <c r="C1871" s="46" t="n"/>
      <c r="D1871" s="46" t="n"/>
      <c r="E1871" s="46" t="n"/>
      <c r="F1871" s="46" t="n"/>
      <c r="G1871" s="46" t="n"/>
      <c r="H1871" s="46" t="n"/>
      <c r="I1871" s="46" t="n"/>
      <c r="J1871" s="46" t="n"/>
      <c r="K1871" s="46" t="n"/>
      <c r="L1871" s="47" t="n"/>
      <c r="M1871" s="47" t="n"/>
      <c r="N1871" s="47" t="n"/>
      <c r="O1871" s="47" t="n"/>
      <c r="P1871" s="47" t="n"/>
      <c r="Q1871" s="47" t="n"/>
      <c r="R1871" s="43">
        <f>IF($B1871="","",N($S1871)-N($Q1871))</f>
        <v/>
      </c>
      <c r="S1871" s="43">
        <f>IF($B1871="","",N($L1871)+N($N1871)+N($P1871))</f>
        <v/>
      </c>
      <c r="T1871" s="47" t="n"/>
      <c r="U1871" s="47" t="n"/>
      <c r="V1871" s="47" t="n"/>
      <c r="W1871" s="47" t="n"/>
      <c r="X1871" s="47" t="n"/>
      <c r="Y1871" s="47" t="n"/>
      <c r="Z1871" s="47" t="n"/>
      <c r="AA1871" s="47" t="n"/>
      <c r="AB1871" s="47" t="n"/>
      <c r="AC1871" s="47" t="n"/>
      <c r="AD1871" s="47" t="n"/>
      <c r="AE1871" s="47" t="n"/>
      <c r="AF1871" s="43">
        <f>IF($B1871="","",SUM($T1871:$AE1871))</f>
        <v/>
      </c>
      <c r="AG1871" s="43">
        <f>IF($B1871="","",N($M1871)-N($AF1871))</f>
        <v/>
      </c>
      <c r="AH1871" s="43">
        <f>IF($B1871="","",N($L1871)-N($AF1871))</f>
        <v/>
      </c>
      <c r="AI1871" s="149">
        <f>IF($B1871="","",IF(N($L1871)=0,"",(N($L1871)-N($AF1871))/N($L1871)))</f>
        <v/>
      </c>
    </row>
    <row r="1872">
      <c r="A1872" s="39">
        <f>IF($B1872="","",COUNTA($B$4:$B1872))</f>
        <v/>
      </c>
      <c r="B1872" s="40" t="n"/>
      <c r="C1872" s="41" t="n"/>
      <c r="D1872" s="41" t="n"/>
      <c r="E1872" s="41" t="n"/>
      <c r="F1872" s="41" t="n"/>
      <c r="G1872" s="41" t="n"/>
      <c r="H1872" s="41" t="n"/>
      <c r="I1872" s="41" t="n"/>
      <c r="J1872" s="41" t="n"/>
      <c r="K1872" s="41" t="n"/>
      <c r="L1872" s="42" t="n"/>
      <c r="M1872" s="42" t="n"/>
      <c r="N1872" s="42" t="n"/>
      <c r="O1872" s="42" t="n"/>
      <c r="P1872" s="42" t="n"/>
      <c r="Q1872" s="42" t="n"/>
      <c r="R1872" s="43">
        <f>IF($B1872="","",N($S1872)-N($Q1872))</f>
        <v/>
      </c>
      <c r="S1872" s="43">
        <f>IF($B1872="","",N($L1872)+N($N1872)+N($P1872))</f>
        <v/>
      </c>
      <c r="T1872" s="42" t="n"/>
      <c r="U1872" s="42" t="n"/>
      <c r="V1872" s="42" t="n"/>
      <c r="W1872" s="42" t="n"/>
      <c r="X1872" s="42" t="n"/>
      <c r="Y1872" s="42" t="n"/>
      <c r="Z1872" s="42" t="n"/>
      <c r="AA1872" s="42" t="n"/>
      <c r="AB1872" s="42" t="n"/>
      <c r="AC1872" s="42" t="n"/>
      <c r="AD1872" s="42" t="n"/>
      <c r="AE1872" s="42" t="n"/>
      <c r="AF1872" s="43">
        <f>IF($B1872="","",SUM($T1872:$AE1872))</f>
        <v/>
      </c>
      <c r="AG1872" s="43">
        <f>IF($B1872="","",N($M1872)-N($AF1872))</f>
        <v/>
      </c>
      <c r="AH1872" s="43">
        <f>IF($B1872="","",N($L1872)-N($AF1872))</f>
        <v/>
      </c>
      <c r="AI1872" s="149">
        <f>IF($B1872="","",IF(N($L1872)=0,"",(N($L1872)-N($AF1872))/N($L1872)))</f>
        <v/>
      </c>
    </row>
    <row r="1873">
      <c r="A1873" s="39">
        <f>IF($B1873="","",COUNTA($B$4:$B1873))</f>
        <v/>
      </c>
      <c r="B1873" s="45" t="n"/>
      <c r="C1873" s="46" t="n"/>
      <c r="D1873" s="46" t="n"/>
      <c r="E1873" s="46" t="n"/>
      <c r="F1873" s="46" t="n"/>
      <c r="G1873" s="46" t="n"/>
      <c r="H1873" s="46" t="n"/>
      <c r="I1873" s="46" t="n"/>
      <c r="J1873" s="46" t="n"/>
      <c r="K1873" s="46" t="n"/>
      <c r="L1873" s="47" t="n"/>
      <c r="M1873" s="47" t="n"/>
      <c r="N1873" s="47" t="n"/>
      <c r="O1873" s="47" t="n"/>
      <c r="P1873" s="47" t="n"/>
      <c r="Q1873" s="47" t="n"/>
      <c r="R1873" s="43">
        <f>IF($B1873="","",N($S1873)-N($Q1873))</f>
        <v/>
      </c>
      <c r="S1873" s="43">
        <f>IF($B1873="","",N($L1873)+N($N1873)+N($P1873))</f>
        <v/>
      </c>
      <c r="T1873" s="47" t="n"/>
      <c r="U1873" s="47" t="n"/>
      <c r="V1873" s="47" t="n"/>
      <c r="W1873" s="47" t="n"/>
      <c r="X1873" s="47" t="n"/>
      <c r="Y1873" s="47" t="n"/>
      <c r="Z1873" s="47" t="n"/>
      <c r="AA1873" s="47" t="n"/>
      <c r="AB1873" s="47" t="n"/>
      <c r="AC1873" s="47" t="n"/>
      <c r="AD1873" s="47" t="n"/>
      <c r="AE1873" s="47" t="n"/>
      <c r="AF1873" s="43">
        <f>IF($B1873="","",SUM($T1873:$AE1873))</f>
        <v/>
      </c>
      <c r="AG1873" s="43">
        <f>IF($B1873="","",N($M1873)-N($AF1873))</f>
        <v/>
      </c>
      <c r="AH1873" s="43">
        <f>IF($B1873="","",N($L1873)-N($AF1873))</f>
        <v/>
      </c>
      <c r="AI1873" s="149">
        <f>IF($B1873="","",IF(N($L1873)=0,"",(N($L1873)-N($AF1873))/N($L1873)))</f>
        <v/>
      </c>
    </row>
    <row r="1874">
      <c r="A1874" s="39">
        <f>IF($B1874="","",COUNTA($B$4:$B1874))</f>
        <v/>
      </c>
      <c r="B1874" s="40" t="n"/>
      <c r="C1874" s="41" t="n"/>
      <c r="D1874" s="41" t="n"/>
      <c r="E1874" s="41" t="n"/>
      <c r="F1874" s="41" t="n"/>
      <c r="G1874" s="41" t="n"/>
      <c r="H1874" s="41" t="n"/>
      <c r="I1874" s="41" t="n"/>
      <c r="J1874" s="41" t="n"/>
      <c r="K1874" s="41" t="n"/>
      <c r="L1874" s="42" t="n"/>
      <c r="M1874" s="42" t="n"/>
      <c r="N1874" s="42" t="n"/>
      <c r="O1874" s="42" t="n"/>
      <c r="P1874" s="42" t="n"/>
      <c r="Q1874" s="42" t="n"/>
      <c r="R1874" s="43">
        <f>IF($B1874="","",N($S1874)-N($Q1874))</f>
        <v/>
      </c>
      <c r="S1874" s="43">
        <f>IF($B1874="","",N($L1874)+N($N1874)+N($P1874))</f>
        <v/>
      </c>
      <c r="T1874" s="42" t="n"/>
      <c r="U1874" s="42" t="n"/>
      <c r="V1874" s="42" t="n"/>
      <c r="W1874" s="42" t="n"/>
      <c r="X1874" s="42" t="n"/>
      <c r="Y1874" s="42" t="n"/>
      <c r="Z1874" s="42" t="n"/>
      <c r="AA1874" s="42" t="n"/>
      <c r="AB1874" s="42" t="n"/>
      <c r="AC1874" s="42" t="n"/>
      <c r="AD1874" s="42" t="n"/>
      <c r="AE1874" s="42" t="n"/>
      <c r="AF1874" s="43">
        <f>IF($B1874="","",SUM($T1874:$AE1874))</f>
        <v/>
      </c>
      <c r="AG1874" s="43">
        <f>IF($B1874="","",N($M1874)-N($AF1874))</f>
        <v/>
      </c>
      <c r="AH1874" s="43">
        <f>IF($B1874="","",N($L1874)-N($AF1874))</f>
        <v/>
      </c>
      <c r="AI1874" s="149">
        <f>IF($B1874="","",IF(N($L1874)=0,"",(N($L1874)-N($AF1874))/N($L1874)))</f>
        <v/>
      </c>
    </row>
    <row r="1875">
      <c r="A1875" s="39">
        <f>IF($B1875="","",COUNTA($B$4:$B1875))</f>
        <v/>
      </c>
      <c r="B1875" s="45" t="n"/>
      <c r="C1875" s="46" t="n"/>
      <c r="D1875" s="46" t="n"/>
      <c r="E1875" s="46" t="n"/>
      <c r="F1875" s="46" t="n"/>
      <c r="G1875" s="46" t="n"/>
      <c r="H1875" s="46" t="n"/>
      <c r="I1875" s="46" t="n"/>
      <c r="J1875" s="46" t="n"/>
      <c r="K1875" s="46" t="n"/>
      <c r="L1875" s="47" t="n"/>
      <c r="M1875" s="47" t="n"/>
      <c r="N1875" s="47" t="n"/>
      <c r="O1875" s="47" t="n"/>
      <c r="P1875" s="47" t="n"/>
      <c r="Q1875" s="47" t="n"/>
      <c r="R1875" s="43">
        <f>IF($B1875="","",N($S1875)-N($Q1875))</f>
        <v/>
      </c>
      <c r="S1875" s="43">
        <f>IF($B1875="","",N($L1875)+N($N1875)+N($P1875))</f>
        <v/>
      </c>
      <c r="T1875" s="47" t="n"/>
      <c r="U1875" s="47" t="n"/>
      <c r="V1875" s="47" t="n"/>
      <c r="W1875" s="47" t="n"/>
      <c r="X1875" s="47" t="n"/>
      <c r="Y1875" s="47" t="n"/>
      <c r="Z1875" s="47" t="n"/>
      <c r="AA1875" s="47" t="n"/>
      <c r="AB1875" s="47" t="n"/>
      <c r="AC1875" s="47" t="n"/>
      <c r="AD1875" s="47" t="n"/>
      <c r="AE1875" s="47" t="n"/>
      <c r="AF1875" s="43">
        <f>IF($B1875="","",SUM($T1875:$AE1875))</f>
        <v/>
      </c>
      <c r="AG1875" s="43">
        <f>IF($B1875="","",N($M1875)-N($AF1875))</f>
        <v/>
      </c>
      <c r="AH1875" s="43">
        <f>IF($B1875="","",N($L1875)-N($AF1875))</f>
        <v/>
      </c>
      <c r="AI1875" s="149">
        <f>IF($B1875="","",IF(N($L1875)=0,"",(N($L1875)-N($AF1875))/N($L1875)))</f>
        <v/>
      </c>
    </row>
    <row r="1876">
      <c r="A1876" s="39">
        <f>IF($B1876="","",COUNTA($B$4:$B1876))</f>
        <v/>
      </c>
      <c r="B1876" s="40" t="n"/>
      <c r="C1876" s="41" t="n"/>
      <c r="D1876" s="41" t="n"/>
      <c r="E1876" s="41" t="n"/>
      <c r="F1876" s="41" t="n"/>
      <c r="G1876" s="41" t="n"/>
      <c r="H1876" s="41" t="n"/>
      <c r="I1876" s="41" t="n"/>
      <c r="J1876" s="41" t="n"/>
      <c r="K1876" s="41" t="n"/>
      <c r="L1876" s="42" t="n"/>
      <c r="M1876" s="42" t="n"/>
      <c r="N1876" s="42" t="n"/>
      <c r="O1876" s="42" t="n"/>
      <c r="P1876" s="42" t="n"/>
      <c r="Q1876" s="42" t="n"/>
      <c r="R1876" s="43">
        <f>IF($B1876="","",N($S1876)-N($Q1876))</f>
        <v/>
      </c>
      <c r="S1876" s="43">
        <f>IF($B1876="","",N($L1876)+N($N1876)+N($P1876))</f>
        <v/>
      </c>
      <c r="T1876" s="42" t="n"/>
      <c r="U1876" s="42" t="n"/>
      <c r="V1876" s="42" t="n"/>
      <c r="W1876" s="42" t="n"/>
      <c r="X1876" s="42" t="n"/>
      <c r="Y1876" s="42" t="n"/>
      <c r="Z1876" s="42" t="n"/>
      <c r="AA1876" s="42" t="n"/>
      <c r="AB1876" s="42" t="n"/>
      <c r="AC1876" s="42" t="n"/>
      <c r="AD1876" s="42" t="n"/>
      <c r="AE1876" s="42" t="n"/>
      <c r="AF1876" s="43">
        <f>IF($B1876="","",SUM($T1876:$AE1876))</f>
        <v/>
      </c>
      <c r="AG1876" s="43">
        <f>IF($B1876="","",N($M1876)-N($AF1876))</f>
        <v/>
      </c>
      <c r="AH1876" s="43">
        <f>IF($B1876="","",N($L1876)-N($AF1876))</f>
        <v/>
      </c>
      <c r="AI1876" s="149">
        <f>IF($B1876="","",IF(N($L1876)=0,"",(N($L1876)-N($AF1876))/N($L1876)))</f>
        <v/>
      </c>
    </row>
    <row r="1877">
      <c r="A1877" s="39">
        <f>IF($B1877="","",COUNTA($B$4:$B1877))</f>
        <v/>
      </c>
      <c r="B1877" s="45" t="n"/>
      <c r="C1877" s="46" t="n"/>
      <c r="D1877" s="46" t="n"/>
      <c r="E1877" s="46" t="n"/>
      <c r="F1877" s="46" t="n"/>
      <c r="G1877" s="46" t="n"/>
      <c r="H1877" s="46" t="n"/>
      <c r="I1877" s="46" t="n"/>
      <c r="J1877" s="46" t="n"/>
      <c r="K1877" s="46" t="n"/>
      <c r="L1877" s="47" t="n"/>
      <c r="M1877" s="47" t="n"/>
      <c r="N1877" s="47" t="n"/>
      <c r="O1877" s="47" t="n"/>
      <c r="P1877" s="47" t="n"/>
      <c r="Q1877" s="47" t="n"/>
      <c r="R1877" s="43">
        <f>IF($B1877="","",N($S1877)-N($Q1877))</f>
        <v/>
      </c>
      <c r="S1877" s="43">
        <f>IF($B1877="","",N($L1877)+N($N1877)+N($P1877))</f>
        <v/>
      </c>
      <c r="T1877" s="47" t="n"/>
      <c r="U1877" s="47" t="n"/>
      <c r="V1877" s="47" t="n"/>
      <c r="W1877" s="47" t="n"/>
      <c r="X1877" s="47" t="n"/>
      <c r="Y1877" s="47" t="n"/>
      <c r="Z1877" s="47" t="n"/>
      <c r="AA1877" s="47" t="n"/>
      <c r="AB1877" s="47" t="n"/>
      <c r="AC1877" s="47" t="n"/>
      <c r="AD1877" s="47" t="n"/>
      <c r="AE1877" s="47" t="n"/>
      <c r="AF1877" s="43">
        <f>IF($B1877="","",SUM($T1877:$AE1877))</f>
        <v/>
      </c>
      <c r="AG1877" s="43">
        <f>IF($B1877="","",N($M1877)-N($AF1877))</f>
        <v/>
      </c>
      <c r="AH1877" s="43">
        <f>IF($B1877="","",N($L1877)-N($AF1877))</f>
        <v/>
      </c>
      <c r="AI1877" s="149">
        <f>IF($B1877="","",IF(N($L1877)=0,"",(N($L1877)-N($AF1877))/N($L1877)))</f>
        <v/>
      </c>
    </row>
    <row r="1878">
      <c r="A1878" s="39">
        <f>IF($B1878="","",COUNTA($B$4:$B1878))</f>
        <v/>
      </c>
      <c r="B1878" s="40" t="n"/>
      <c r="C1878" s="41" t="n"/>
      <c r="D1878" s="41" t="n"/>
      <c r="E1878" s="41" t="n"/>
      <c r="F1878" s="41" t="n"/>
      <c r="G1878" s="41" t="n"/>
      <c r="H1878" s="41" t="n"/>
      <c r="I1878" s="41" t="n"/>
      <c r="J1878" s="41" t="n"/>
      <c r="K1878" s="41" t="n"/>
      <c r="L1878" s="42" t="n"/>
      <c r="M1878" s="42" t="n"/>
      <c r="N1878" s="42" t="n"/>
      <c r="O1878" s="42" t="n"/>
      <c r="P1878" s="42" t="n"/>
      <c r="Q1878" s="42" t="n"/>
      <c r="R1878" s="43">
        <f>IF($B1878="","",N($S1878)-N($Q1878))</f>
        <v/>
      </c>
      <c r="S1878" s="43">
        <f>IF($B1878="","",N($L1878)+N($N1878)+N($P1878))</f>
        <v/>
      </c>
      <c r="T1878" s="42" t="n"/>
      <c r="U1878" s="42" t="n"/>
      <c r="V1878" s="42" t="n"/>
      <c r="W1878" s="42" t="n"/>
      <c r="X1878" s="42" t="n"/>
      <c r="Y1878" s="42" t="n"/>
      <c r="Z1878" s="42" t="n"/>
      <c r="AA1878" s="42" t="n"/>
      <c r="AB1878" s="42" t="n"/>
      <c r="AC1878" s="42" t="n"/>
      <c r="AD1878" s="42" t="n"/>
      <c r="AE1878" s="42" t="n"/>
      <c r="AF1878" s="43">
        <f>IF($B1878="","",SUM($T1878:$AE1878))</f>
        <v/>
      </c>
      <c r="AG1878" s="43">
        <f>IF($B1878="","",N($M1878)-N($AF1878))</f>
        <v/>
      </c>
      <c r="AH1878" s="43">
        <f>IF($B1878="","",N($L1878)-N($AF1878))</f>
        <v/>
      </c>
      <c r="AI1878" s="149">
        <f>IF($B1878="","",IF(N($L1878)=0,"",(N($L1878)-N($AF1878))/N($L1878)))</f>
        <v/>
      </c>
    </row>
    <row r="1879">
      <c r="A1879" s="39">
        <f>IF($B1879="","",COUNTA($B$4:$B1879))</f>
        <v/>
      </c>
      <c r="B1879" s="45" t="n"/>
      <c r="C1879" s="46" t="n"/>
      <c r="D1879" s="46" t="n"/>
      <c r="E1879" s="46" t="n"/>
      <c r="F1879" s="46" t="n"/>
      <c r="G1879" s="46" t="n"/>
      <c r="H1879" s="46" t="n"/>
      <c r="I1879" s="46" t="n"/>
      <c r="J1879" s="46" t="n"/>
      <c r="K1879" s="46" t="n"/>
      <c r="L1879" s="47" t="n"/>
      <c r="M1879" s="47" t="n"/>
      <c r="N1879" s="47" t="n"/>
      <c r="O1879" s="47" t="n"/>
      <c r="P1879" s="47" t="n"/>
      <c r="Q1879" s="47" t="n"/>
      <c r="R1879" s="43">
        <f>IF($B1879="","",N($S1879)-N($Q1879))</f>
        <v/>
      </c>
      <c r="S1879" s="43">
        <f>IF($B1879="","",N($L1879)+N($N1879)+N($P1879))</f>
        <v/>
      </c>
      <c r="T1879" s="47" t="n"/>
      <c r="U1879" s="47" t="n"/>
      <c r="V1879" s="47" t="n"/>
      <c r="W1879" s="47" t="n"/>
      <c r="X1879" s="47" t="n"/>
      <c r="Y1879" s="47" t="n"/>
      <c r="Z1879" s="47" t="n"/>
      <c r="AA1879" s="47" t="n"/>
      <c r="AB1879" s="47" t="n"/>
      <c r="AC1879" s="47" t="n"/>
      <c r="AD1879" s="47" t="n"/>
      <c r="AE1879" s="47" t="n"/>
      <c r="AF1879" s="43">
        <f>IF($B1879="","",SUM($T1879:$AE1879))</f>
        <v/>
      </c>
      <c r="AG1879" s="43">
        <f>IF($B1879="","",N($M1879)-N($AF1879))</f>
        <v/>
      </c>
      <c r="AH1879" s="43">
        <f>IF($B1879="","",N($L1879)-N($AF1879))</f>
        <v/>
      </c>
      <c r="AI1879" s="149">
        <f>IF($B1879="","",IF(N($L1879)=0,"",(N($L1879)-N($AF1879))/N($L1879)))</f>
        <v/>
      </c>
    </row>
    <row r="1880">
      <c r="A1880" s="39">
        <f>IF($B1880="","",COUNTA($B$4:$B1880))</f>
        <v/>
      </c>
      <c r="B1880" s="40" t="n"/>
      <c r="C1880" s="41" t="n"/>
      <c r="D1880" s="41" t="n"/>
      <c r="E1880" s="41" t="n"/>
      <c r="F1880" s="41" t="n"/>
      <c r="G1880" s="41" t="n"/>
      <c r="H1880" s="41" t="n"/>
      <c r="I1880" s="41" t="n"/>
      <c r="J1880" s="41" t="n"/>
      <c r="K1880" s="41" t="n"/>
      <c r="L1880" s="42" t="n"/>
      <c r="M1880" s="42" t="n"/>
      <c r="N1880" s="42" t="n"/>
      <c r="O1880" s="42" t="n"/>
      <c r="P1880" s="42" t="n"/>
      <c r="Q1880" s="42" t="n"/>
      <c r="R1880" s="43">
        <f>IF($B1880="","",N($S1880)-N($Q1880))</f>
        <v/>
      </c>
      <c r="S1880" s="43">
        <f>IF($B1880="","",N($L1880)+N($N1880)+N($P1880))</f>
        <v/>
      </c>
      <c r="T1880" s="42" t="n"/>
      <c r="U1880" s="42" t="n"/>
      <c r="V1880" s="42" t="n"/>
      <c r="W1880" s="42" t="n"/>
      <c r="X1880" s="42" t="n"/>
      <c r="Y1880" s="42" t="n"/>
      <c r="Z1880" s="42" t="n"/>
      <c r="AA1880" s="42" t="n"/>
      <c r="AB1880" s="42" t="n"/>
      <c r="AC1880" s="42" t="n"/>
      <c r="AD1880" s="42" t="n"/>
      <c r="AE1880" s="42" t="n"/>
      <c r="AF1880" s="43">
        <f>IF($B1880="","",SUM($T1880:$AE1880))</f>
        <v/>
      </c>
      <c r="AG1880" s="43">
        <f>IF($B1880="","",N($M1880)-N($AF1880))</f>
        <v/>
      </c>
      <c r="AH1880" s="43">
        <f>IF($B1880="","",N($L1880)-N($AF1880))</f>
        <v/>
      </c>
      <c r="AI1880" s="149">
        <f>IF($B1880="","",IF(N($L1880)=0,"",(N($L1880)-N($AF1880))/N($L1880)))</f>
        <v/>
      </c>
    </row>
    <row r="1881">
      <c r="A1881" s="39">
        <f>IF($B1881="","",COUNTA($B$4:$B1881))</f>
        <v/>
      </c>
      <c r="B1881" s="45" t="n"/>
      <c r="C1881" s="46" t="n"/>
      <c r="D1881" s="46" t="n"/>
      <c r="E1881" s="46" t="n"/>
      <c r="F1881" s="46" t="n"/>
      <c r="G1881" s="46" t="n"/>
      <c r="H1881" s="46" t="n"/>
      <c r="I1881" s="46" t="n"/>
      <c r="J1881" s="46" t="n"/>
      <c r="K1881" s="46" t="n"/>
      <c r="L1881" s="47" t="n"/>
      <c r="M1881" s="47" t="n"/>
      <c r="N1881" s="47" t="n"/>
      <c r="O1881" s="47" t="n"/>
      <c r="P1881" s="47" t="n"/>
      <c r="Q1881" s="47" t="n"/>
      <c r="R1881" s="43">
        <f>IF($B1881="","",N($S1881)-N($Q1881))</f>
        <v/>
      </c>
      <c r="S1881" s="43">
        <f>IF($B1881="","",N($L1881)+N($N1881)+N($P1881))</f>
        <v/>
      </c>
      <c r="T1881" s="47" t="n"/>
      <c r="U1881" s="47" t="n"/>
      <c r="V1881" s="47" t="n"/>
      <c r="W1881" s="47" t="n"/>
      <c r="X1881" s="47" t="n"/>
      <c r="Y1881" s="47" t="n"/>
      <c r="Z1881" s="47" t="n"/>
      <c r="AA1881" s="47" t="n"/>
      <c r="AB1881" s="47" t="n"/>
      <c r="AC1881" s="47" t="n"/>
      <c r="AD1881" s="47" t="n"/>
      <c r="AE1881" s="47" t="n"/>
      <c r="AF1881" s="43">
        <f>IF($B1881="","",SUM($T1881:$AE1881))</f>
        <v/>
      </c>
      <c r="AG1881" s="43">
        <f>IF($B1881="","",N($M1881)-N($AF1881))</f>
        <v/>
      </c>
      <c r="AH1881" s="43">
        <f>IF($B1881="","",N($L1881)-N($AF1881))</f>
        <v/>
      </c>
      <c r="AI1881" s="149">
        <f>IF($B1881="","",IF(N($L1881)=0,"",(N($L1881)-N($AF1881))/N($L1881)))</f>
        <v/>
      </c>
    </row>
    <row r="1882">
      <c r="A1882" s="39">
        <f>IF($B1882="","",COUNTA($B$4:$B1882))</f>
        <v/>
      </c>
      <c r="B1882" s="40" t="n"/>
      <c r="C1882" s="41" t="n"/>
      <c r="D1882" s="41" t="n"/>
      <c r="E1882" s="41" t="n"/>
      <c r="F1882" s="41" t="n"/>
      <c r="G1882" s="41" t="n"/>
      <c r="H1882" s="41" t="n"/>
      <c r="I1882" s="41" t="n"/>
      <c r="J1882" s="41" t="n"/>
      <c r="K1882" s="41" t="n"/>
      <c r="L1882" s="42" t="n"/>
      <c r="M1882" s="42" t="n"/>
      <c r="N1882" s="42" t="n"/>
      <c r="O1882" s="42" t="n"/>
      <c r="P1882" s="42" t="n"/>
      <c r="Q1882" s="42" t="n"/>
      <c r="R1882" s="43">
        <f>IF($B1882="","",N($S1882)-N($Q1882))</f>
        <v/>
      </c>
      <c r="S1882" s="43">
        <f>IF($B1882="","",N($L1882)+N($N1882)+N($P1882))</f>
        <v/>
      </c>
      <c r="T1882" s="42" t="n"/>
      <c r="U1882" s="42" t="n"/>
      <c r="V1882" s="42" t="n"/>
      <c r="W1882" s="42" t="n"/>
      <c r="X1882" s="42" t="n"/>
      <c r="Y1882" s="42" t="n"/>
      <c r="Z1882" s="42" t="n"/>
      <c r="AA1882" s="42" t="n"/>
      <c r="AB1882" s="42" t="n"/>
      <c r="AC1882" s="42" t="n"/>
      <c r="AD1882" s="42" t="n"/>
      <c r="AE1882" s="42" t="n"/>
      <c r="AF1882" s="43">
        <f>IF($B1882="","",SUM($T1882:$AE1882))</f>
        <v/>
      </c>
      <c r="AG1882" s="43">
        <f>IF($B1882="","",N($M1882)-N($AF1882))</f>
        <v/>
      </c>
      <c r="AH1882" s="43">
        <f>IF($B1882="","",N($L1882)-N($AF1882))</f>
        <v/>
      </c>
      <c r="AI1882" s="149">
        <f>IF($B1882="","",IF(N($L1882)=0,"",(N($L1882)-N($AF1882))/N($L1882)))</f>
        <v/>
      </c>
    </row>
    <row r="1883">
      <c r="A1883" s="39">
        <f>IF($B1883="","",COUNTA($B$4:$B1883))</f>
        <v/>
      </c>
      <c r="B1883" s="45" t="n"/>
      <c r="C1883" s="46" t="n"/>
      <c r="D1883" s="46" t="n"/>
      <c r="E1883" s="46" t="n"/>
      <c r="F1883" s="46" t="n"/>
      <c r="G1883" s="46" t="n"/>
      <c r="H1883" s="46" t="n"/>
      <c r="I1883" s="46" t="n"/>
      <c r="J1883" s="46" t="n"/>
      <c r="K1883" s="46" t="n"/>
      <c r="L1883" s="47" t="n"/>
      <c r="M1883" s="47" t="n"/>
      <c r="N1883" s="47" t="n"/>
      <c r="O1883" s="47" t="n"/>
      <c r="P1883" s="47" t="n"/>
      <c r="Q1883" s="47" t="n"/>
      <c r="R1883" s="43">
        <f>IF($B1883="","",N($S1883)-N($Q1883))</f>
        <v/>
      </c>
      <c r="S1883" s="43">
        <f>IF($B1883="","",N($L1883)+N($N1883)+N($P1883))</f>
        <v/>
      </c>
      <c r="T1883" s="47" t="n"/>
      <c r="U1883" s="47" t="n"/>
      <c r="V1883" s="47" t="n"/>
      <c r="W1883" s="47" t="n"/>
      <c r="X1883" s="47" t="n"/>
      <c r="Y1883" s="47" t="n"/>
      <c r="Z1883" s="47" t="n"/>
      <c r="AA1883" s="47" t="n"/>
      <c r="AB1883" s="47" t="n"/>
      <c r="AC1883" s="47" t="n"/>
      <c r="AD1883" s="47" t="n"/>
      <c r="AE1883" s="47" t="n"/>
      <c r="AF1883" s="43">
        <f>IF($B1883="","",SUM($T1883:$AE1883))</f>
        <v/>
      </c>
      <c r="AG1883" s="43">
        <f>IF($B1883="","",N($M1883)-N($AF1883))</f>
        <v/>
      </c>
      <c r="AH1883" s="43">
        <f>IF($B1883="","",N($L1883)-N($AF1883))</f>
        <v/>
      </c>
      <c r="AI1883" s="149">
        <f>IF($B1883="","",IF(N($L1883)=0,"",(N($L1883)-N($AF1883))/N($L1883)))</f>
        <v/>
      </c>
    </row>
    <row r="1884">
      <c r="A1884" s="39">
        <f>IF($B1884="","",COUNTA($B$4:$B1884))</f>
        <v/>
      </c>
      <c r="B1884" s="40" t="n"/>
      <c r="C1884" s="41" t="n"/>
      <c r="D1884" s="41" t="n"/>
      <c r="E1884" s="41" t="n"/>
      <c r="F1884" s="41" t="n"/>
      <c r="G1884" s="41" t="n"/>
      <c r="H1884" s="41" t="n"/>
      <c r="I1884" s="41" t="n"/>
      <c r="J1884" s="41" t="n"/>
      <c r="K1884" s="41" t="n"/>
      <c r="L1884" s="42" t="n"/>
      <c r="M1884" s="42" t="n"/>
      <c r="N1884" s="42" t="n"/>
      <c r="O1884" s="42" t="n"/>
      <c r="P1884" s="42" t="n"/>
      <c r="Q1884" s="42" t="n"/>
      <c r="R1884" s="43">
        <f>IF($B1884="","",N($S1884)-N($Q1884))</f>
        <v/>
      </c>
      <c r="S1884" s="43">
        <f>IF($B1884="","",N($L1884)+N($N1884)+N($P1884))</f>
        <v/>
      </c>
      <c r="T1884" s="42" t="n"/>
      <c r="U1884" s="42" t="n"/>
      <c r="V1884" s="42" t="n"/>
      <c r="W1884" s="42" t="n"/>
      <c r="X1884" s="42" t="n"/>
      <c r="Y1884" s="42" t="n"/>
      <c r="Z1884" s="42" t="n"/>
      <c r="AA1884" s="42" t="n"/>
      <c r="AB1884" s="42" t="n"/>
      <c r="AC1884" s="42" t="n"/>
      <c r="AD1884" s="42" t="n"/>
      <c r="AE1884" s="42" t="n"/>
      <c r="AF1884" s="43">
        <f>IF($B1884="","",SUM($T1884:$AE1884))</f>
        <v/>
      </c>
      <c r="AG1884" s="43">
        <f>IF($B1884="","",N($M1884)-N($AF1884))</f>
        <v/>
      </c>
      <c r="AH1884" s="43">
        <f>IF($B1884="","",N($L1884)-N($AF1884))</f>
        <v/>
      </c>
      <c r="AI1884" s="149">
        <f>IF($B1884="","",IF(N($L1884)=0,"",(N($L1884)-N($AF1884))/N($L1884)))</f>
        <v/>
      </c>
    </row>
    <row r="1885">
      <c r="A1885" s="39">
        <f>IF($B1885="","",COUNTA($B$4:$B1885))</f>
        <v/>
      </c>
      <c r="B1885" s="45" t="n"/>
      <c r="C1885" s="46" t="n"/>
      <c r="D1885" s="46" t="n"/>
      <c r="E1885" s="46" t="n"/>
      <c r="F1885" s="46" t="n"/>
      <c r="G1885" s="46" t="n"/>
      <c r="H1885" s="46" t="n"/>
      <c r="I1885" s="46" t="n"/>
      <c r="J1885" s="46" t="n"/>
      <c r="K1885" s="46" t="n"/>
      <c r="L1885" s="47" t="n"/>
      <c r="M1885" s="47" t="n"/>
      <c r="N1885" s="47" t="n"/>
      <c r="O1885" s="47" t="n"/>
      <c r="P1885" s="47" t="n"/>
      <c r="Q1885" s="47" t="n"/>
      <c r="R1885" s="43">
        <f>IF($B1885="","",N($S1885)-N($Q1885))</f>
        <v/>
      </c>
      <c r="S1885" s="43">
        <f>IF($B1885="","",N($L1885)+N($N1885)+N($P1885))</f>
        <v/>
      </c>
      <c r="T1885" s="47" t="n"/>
      <c r="U1885" s="47" t="n"/>
      <c r="V1885" s="47" t="n"/>
      <c r="W1885" s="47" t="n"/>
      <c r="X1885" s="47" t="n"/>
      <c r="Y1885" s="47" t="n"/>
      <c r="Z1885" s="47" t="n"/>
      <c r="AA1885" s="47" t="n"/>
      <c r="AB1885" s="47" t="n"/>
      <c r="AC1885" s="47" t="n"/>
      <c r="AD1885" s="47" t="n"/>
      <c r="AE1885" s="47" t="n"/>
      <c r="AF1885" s="43">
        <f>IF($B1885="","",SUM($T1885:$AE1885))</f>
        <v/>
      </c>
      <c r="AG1885" s="43">
        <f>IF($B1885="","",N($M1885)-N($AF1885))</f>
        <v/>
      </c>
      <c r="AH1885" s="43">
        <f>IF($B1885="","",N($L1885)-N($AF1885))</f>
        <v/>
      </c>
      <c r="AI1885" s="149">
        <f>IF($B1885="","",IF(N($L1885)=0,"",(N($L1885)-N($AF1885))/N($L1885)))</f>
        <v/>
      </c>
    </row>
    <row r="1886">
      <c r="A1886" s="39">
        <f>IF($B1886="","",COUNTA($B$4:$B1886))</f>
        <v/>
      </c>
      <c r="B1886" s="40" t="n"/>
      <c r="C1886" s="41" t="n"/>
      <c r="D1886" s="41" t="n"/>
      <c r="E1886" s="41" t="n"/>
      <c r="F1886" s="41" t="n"/>
      <c r="G1886" s="41" t="n"/>
      <c r="H1886" s="41" t="n"/>
      <c r="I1886" s="41" t="n"/>
      <c r="J1886" s="41" t="n"/>
      <c r="K1886" s="41" t="n"/>
      <c r="L1886" s="42" t="n"/>
      <c r="M1886" s="42" t="n"/>
      <c r="N1886" s="42" t="n"/>
      <c r="O1886" s="42" t="n"/>
      <c r="P1886" s="42" t="n"/>
      <c r="Q1886" s="42" t="n"/>
      <c r="R1886" s="43">
        <f>IF($B1886="","",N($S1886)-N($Q1886))</f>
        <v/>
      </c>
      <c r="S1886" s="43">
        <f>IF($B1886="","",N($L1886)+N($N1886)+N($P1886))</f>
        <v/>
      </c>
      <c r="T1886" s="42" t="n"/>
      <c r="U1886" s="42" t="n"/>
      <c r="V1886" s="42" t="n"/>
      <c r="W1886" s="42" t="n"/>
      <c r="X1886" s="42" t="n"/>
      <c r="Y1886" s="42" t="n"/>
      <c r="Z1886" s="42" t="n"/>
      <c r="AA1886" s="42" t="n"/>
      <c r="AB1886" s="42" t="n"/>
      <c r="AC1886" s="42" t="n"/>
      <c r="AD1886" s="42" t="n"/>
      <c r="AE1886" s="42" t="n"/>
      <c r="AF1886" s="43">
        <f>IF($B1886="","",SUM($T1886:$AE1886))</f>
        <v/>
      </c>
      <c r="AG1886" s="43">
        <f>IF($B1886="","",N($M1886)-N($AF1886))</f>
        <v/>
      </c>
      <c r="AH1886" s="43">
        <f>IF($B1886="","",N($L1886)-N($AF1886))</f>
        <v/>
      </c>
      <c r="AI1886" s="149">
        <f>IF($B1886="","",IF(N($L1886)=0,"",(N($L1886)-N($AF1886))/N($L1886)))</f>
        <v/>
      </c>
    </row>
    <row r="1887">
      <c r="A1887" s="39">
        <f>IF($B1887="","",COUNTA($B$4:$B1887))</f>
        <v/>
      </c>
      <c r="B1887" s="45" t="n"/>
      <c r="C1887" s="46" t="n"/>
      <c r="D1887" s="46" t="n"/>
      <c r="E1887" s="46" t="n"/>
      <c r="F1887" s="46" t="n"/>
      <c r="G1887" s="46" t="n"/>
      <c r="H1887" s="46" t="n"/>
      <c r="I1887" s="46" t="n"/>
      <c r="J1887" s="46" t="n"/>
      <c r="K1887" s="46" t="n"/>
      <c r="L1887" s="47" t="n"/>
      <c r="M1887" s="47" t="n"/>
      <c r="N1887" s="47" t="n"/>
      <c r="O1887" s="47" t="n"/>
      <c r="P1887" s="47" t="n"/>
      <c r="Q1887" s="47" t="n"/>
      <c r="R1887" s="43">
        <f>IF($B1887="","",N($S1887)-N($Q1887))</f>
        <v/>
      </c>
      <c r="S1887" s="43">
        <f>IF($B1887="","",N($L1887)+N($N1887)+N($P1887))</f>
        <v/>
      </c>
      <c r="T1887" s="47" t="n"/>
      <c r="U1887" s="47" t="n"/>
      <c r="V1887" s="47" t="n"/>
      <c r="W1887" s="47" t="n"/>
      <c r="X1887" s="47" t="n"/>
      <c r="Y1887" s="47" t="n"/>
      <c r="Z1887" s="47" t="n"/>
      <c r="AA1887" s="47" t="n"/>
      <c r="AB1887" s="47" t="n"/>
      <c r="AC1887" s="47" t="n"/>
      <c r="AD1887" s="47" t="n"/>
      <c r="AE1887" s="47" t="n"/>
      <c r="AF1887" s="43">
        <f>IF($B1887="","",SUM($T1887:$AE1887))</f>
        <v/>
      </c>
      <c r="AG1887" s="43">
        <f>IF($B1887="","",N($M1887)-N($AF1887))</f>
        <v/>
      </c>
      <c r="AH1887" s="43">
        <f>IF($B1887="","",N($L1887)-N($AF1887))</f>
        <v/>
      </c>
      <c r="AI1887" s="149">
        <f>IF($B1887="","",IF(N($L1887)=0,"",(N($L1887)-N($AF1887))/N($L1887)))</f>
        <v/>
      </c>
    </row>
    <row r="1888">
      <c r="A1888" s="39">
        <f>IF($B1888="","",COUNTA($B$4:$B1888))</f>
        <v/>
      </c>
      <c r="B1888" s="40" t="n"/>
      <c r="C1888" s="41" t="n"/>
      <c r="D1888" s="41" t="n"/>
      <c r="E1888" s="41" t="n"/>
      <c r="F1888" s="41" t="n"/>
      <c r="G1888" s="41" t="n"/>
      <c r="H1888" s="41" t="n"/>
      <c r="I1888" s="41" t="n"/>
      <c r="J1888" s="41" t="n"/>
      <c r="K1888" s="41" t="n"/>
      <c r="L1888" s="42" t="n"/>
      <c r="M1888" s="42" t="n"/>
      <c r="N1888" s="42" t="n"/>
      <c r="O1888" s="42" t="n"/>
      <c r="P1888" s="42" t="n"/>
      <c r="Q1888" s="42" t="n"/>
      <c r="R1888" s="43">
        <f>IF($B1888="","",N($S1888)-N($Q1888))</f>
        <v/>
      </c>
      <c r="S1888" s="43">
        <f>IF($B1888="","",N($L1888)+N($N1888)+N($P1888))</f>
        <v/>
      </c>
      <c r="T1888" s="42" t="n"/>
      <c r="U1888" s="42" t="n"/>
      <c r="V1888" s="42" t="n"/>
      <c r="W1888" s="42" t="n"/>
      <c r="X1888" s="42" t="n"/>
      <c r="Y1888" s="42" t="n"/>
      <c r="Z1888" s="42" t="n"/>
      <c r="AA1888" s="42" t="n"/>
      <c r="AB1888" s="42" t="n"/>
      <c r="AC1888" s="42" t="n"/>
      <c r="AD1888" s="42" t="n"/>
      <c r="AE1888" s="42" t="n"/>
      <c r="AF1888" s="43">
        <f>IF($B1888="","",SUM($T1888:$AE1888))</f>
        <v/>
      </c>
      <c r="AG1888" s="43">
        <f>IF($B1888="","",N($M1888)-N($AF1888))</f>
        <v/>
      </c>
      <c r="AH1888" s="43">
        <f>IF($B1888="","",N($L1888)-N($AF1888))</f>
        <v/>
      </c>
      <c r="AI1888" s="149">
        <f>IF($B1888="","",IF(N($L1888)=0,"",(N($L1888)-N($AF1888))/N($L1888)))</f>
        <v/>
      </c>
    </row>
    <row r="1889">
      <c r="A1889" s="39">
        <f>IF($B1889="","",COUNTA($B$4:$B1889))</f>
        <v/>
      </c>
      <c r="B1889" s="45" t="n"/>
      <c r="C1889" s="46" t="n"/>
      <c r="D1889" s="46" t="n"/>
      <c r="E1889" s="46" t="n"/>
      <c r="F1889" s="46" t="n"/>
      <c r="G1889" s="46" t="n"/>
      <c r="H1889" s="46" t="n"/>
      <c r="I1889" s="46" t="n"/>
      <c r="J1889" s="46" t="n"/>
      <c r="K1889" s="46" t="n"/>
      <c r="L1889" s="47" t="n"/>
      <c r="M1889" s="47" t="n"/>
      <c r="N1889" s="47" t="n"/>
      <c r="O1889" s="47" t="n"/>
      <c r="P1889" s="47" t="n"/>
      <c r="Q1889" s="47" t="n"/>
      <c r="R1889" s="43">
        <f>IF($B1889="","",N($S1889)-N($Q1889))</f>
        <v/>
      </c>
      <c r="S1889" s="43">
        <f>IF($B1889="","",N($L1889)+N($N1889)+N($P1889))</f>
        <v/>
      </c>
      <c r="T1889" s="47" t="n"/>
      <c r="U1889" s="47" t="n"/>
      <c r="V1889" s="47" t="n"/>
      <c r="W1889" s="47" t="n"/>
      <c r="X1889" s="47" t="n"/>
      <c r="Y1889" s="47" t="n"/>
      <c r="Z1889" s="47" t="n"/>
      <c r="AA1889" s="47" t="n"/>
      <c r="AB1889" s="47" t="n"/>
      <c r="AC1889" s="47" t="n"/>
      <c r="AD1889" s="47" t="n"/>
      <c r="AE1889" s="47" t="n"/>
      <c r="AF1889" s="43">
        <f>IF($B1889="","",SUM($T1889:$AE1889))</f>
        <v/>
      </c>
      <c r="AG1889" s="43">
        <f>IF($B1889="","",N($M1889)-N($AF1889))</f>
        <v/>
      </c>
      <c r="AH1889" s="43">
        <f>IF($B1889="","",N($L1889)-N($AF1889))</f>
        <v/>
      </c>
      <c r="AI1889" s="149">
        <f>IF($B1889="","",IF(N($L1889)=0,"",(N($L1889)-N($AF1889))/N($L1889)))</f>
        <v/>
      </c>
    </row>
    <row r="1890">
      <c r="A1890" s="39">
        <f>IF($B1890="","",COUNTA($B$4:$B1890))</f>
        <v/>
      </c>
      <c r="B1890" s="40" t="n"/>
      <c r="C1890" s="41" t="n"/>
      <c r="D1890" s="41" t="n"/>
      <c r="E1890" s="41" t="n"/>
      <c r="F1890" s="41" t="n"/>
      <c r="G1890" s="41" t="n"/>
      <c r="H1890" s="41" t="n"/>
      <c r="I1890" s="41" t="n"/>
      <c r="J1890" s="41" t="n"/>
      <c r="K1890" s="41" t="n"/>
      <c r="L1890" s="42" t="n"/>
      <c r="M1890" s="42" t="n"/>
      <c r="N1890" s="42" t="n"/>
      <c r="O1890" s="42" t="n"/>
      <c r="P1890" s="42" t="n"/>
      <c r="Q1890" s="42" t="n"/>
      <c r="R1890" s="43">
        <f>IF($B1890="","",N($S1890)-N($Q1890))</f>
        <v/>
      </c>
      <c r="S1890" s="43">
        <f>IF($B1890="","",N($L1890)+N($N1890)+N($P1890))</f>
        <v/>
      </c>
      <c r="T1890" s="42" t="n"/>
      <c r="U1890" s="42" t="n"/>
      <c r="V1890" s="42" t="n"/>
      <c r="W1890" s="42" t="n"/>
      <c r="X1890" s="42" t="n"/>
      <c r="Y1890" s="42" t="n"/>
      <c r="Z1890" s="42" t="n"/>
      <c r="AA1890" s="42" t="n"/>
      <c r="AB1890" s="42" t="n"/>
      <c r="AC1890" s="42" t="n"/>
      <c r="AD1890" s="42" t="n"/>
      <c r="AE1890" s="42" t="n"/>
      <c r="AF1890" s="43">
        <f>IF($B1890="","",SUM($T1890:$AE1890))</f>
        <v/>
      </c>
      <c r="AG1890" s="43">
        <f>IF($B1890="","",N($M1890)-N($AF1890))</f>
        <v/>
      </c>
      <c r="AH1890" s="43">
        <f>IF($B1890="","",N($L1890)-N($AF1890))</f>
        <v/>
      </c>
      <c r="AI1890" s="149">
        <f>IF($B1890="","",IF(N($L1890)=0,"",(N($L1890)-N($AF1890))/N($L1890)))</f>
        <v/>
      </c>
    </row>
    <row r="1891">
      <c r="A1891" s="39">
        <f>IF($B1891="","",COUNTA($B$4:$B1891))</f>
        <v/>
      </c>
      <c r="B1891" s="45" t="n"/>
      <c r="C1891" s="46" t="n"/>
      <c r="D1891" s="46" t="n"/>
      <c r="E1891" s="46" t="n"/>
      <c r="F1891" s="46" t="n"/>
      <c r="G1891" s="46" t="n"/>
      <c r="H1891" s="46" t="n"/>
      <c r="I1891" s="46" t="n"/>
      <c r="J1891" s="46" t="n"/>
      <c r="K1891" s="46" t="n"/>
      <c r="L1891" s="47" t="n"/>
      <c r="M1891" s="47" t="n"/>
      <c r="N1891" s="47" t="n"/>
      <c r="O1891" s="47" t="n"/>
      <c r="P1891" s="47" t="n"/>
      <c r="Q1891" s="47" t="n"/>
      <c r="R1891" s="43">
        <f>IF($B1891="","",N($S1891)-N($Q1891))</f>
        <v/>
      </c>
      <c r="S1891" s="43">
        <f>IF($B1891="","",N($L1891)+N($N1891)+N($P1891))</f>
        <v/>
      </c>
      <c r="T1891" s="47" t="n"/>
      <c r="U1891" s="47" t="n"/>
      <c r="V1891" s="47" t="n"/>
      <c r="W1891" s="47" t="n"/>
      <c r="X1891" s="47" t="n"/>
      <c r="Y1891" s="47" t="n"/>
      <c r="Z1891" s="47" t="n"/>
      <c r="AA1891" s="47" t="n"/>
      <c r="AB1891" s="47" t="n"/>
      <c r="AC1891" s="47" t="n"/>
      <c r="AD1891" s="47" t="n"/>
      <c r="AE1891" s="47" t="n"/>
      <c r="AF1891" s="43">
        <f>IF($B1891="","",SUM($T1891:$AE1891))</f>
        <v/>
      </c>
      <c r="AG1891" s="43">
        <f>IF($B1891="","",N($M1891)-N($AF1891))</f>
        <v/>
      </c>
      <c r="AH1891" s="43">
        <f>IF($B1891="","",N($L1891)-N($AF1891))</f>
        <v/>
      </c>
      <c r="AI1891" s="149">
        <f>IF($B1891="","",IF(N($L1891)=0,"",(N($L1891)-N($AF1891))/N($L1891)))</f>
        <v/>
      </c>
    </row>
    <row r="1892">
      <c r="A1892" s="39">
        <f>IF($B1892="","",COUNTA($B$4:$B1892))</f>
        <v/>
      </c>
      <c r="B1892" s="40" t="n"/>
      <c r="C1892" s="41" t="n"/>
      <c r="D1892" s="41" t="n"/>
      <c r="E1892" s="41" t="n"/>
      <c r="F1892" s="41" t="n"/>
      <c r="G1892" s="41" t="n"/>
      <c r="H1892" s="41" t="n"/>
      <c r="I1892" s="41" t="n"/>
      <c r="J1892" s="41" t="n"/>
      <c r="K1892" s="41" t="n"/>
      <c r="L1892" s="42" t="n"/>
      <c r="M1892" s="42" t="n"/>
      <c r="N1892" s="42" t="n"/>
      <c r="O1892" s="42" t="n"/>
      <c r="P1892" s="42" t="n"/>
      <c r="Q1892" s="42" t="n"/>
      <c r="R1892" s="43">
        <f>IF($B1892="","",N($S1892)-N($Q1892))</f>
        <v/>
      </c>
      <c r="S1892" s="43">
        <f>IF($B1892="","",N($L1892)+N($N1892)+N($P1892))</f>
        <v/>
      </c>
      <c r="T1892" s="42" t="n"/>
      <c r="U1892" s="42" t="n"/>
      <c r="V1892" s="42" t="n"/>
      <c r="W1892" s="42" t="n"/>
      <c r="X1892" s="42" t="n"/>
      <c r="Y1892" s="42" t="n"/>
      <c r="Z1892" s="42" t="n"/>
      <c r="AA1892" s="42" t="n"/>
      <c r="AB1892" s="42" t="n"/>
      <c r="AC1892" s="42" t="n"/>
      <c r="AD1892" s="42" t="n"/>
      <c r="AE1892" s="42" t="n"/>
      <c r="AF1892" s="43">
        <f>IF($B1892="","",SUM($T1892:$AE1892))</f>
        <v/>
      </c>
      <c r="AG1892" s="43">
        <f>IF($B1892="","",N($M1892)-N($AF1892))</f>
        <v/>
      </c>
      <c r="AH1892" s="43">
        <f>IF($B1892="","",N($L1892)-N($AF1892))</f>
        <v/>
      </c>
      <c r="AI1892" s="149">
        <f>IF($B1892="","",IF(N($L1892)=0,"",(N($L1892)-N($AF1892))/N($L1892)))</f>
        <v/>
      </c>
    </row>
    <row r="1893">
      <c r="A1893" s="39">
        <f>IF($B1893="","",COUNTA($B$4:$B1893))</f>
        <v/>
      </c>
      <c r="B1893" s="45" t="n"/>
      <c r="C1893" s="46" t="n"/>
      <c r="D1893" s="46" t="n"/>
      <c r="E1893" s="46" t="n"/>
      <c r="F1893" s="46" t="n"/>
      <c r="G1893" s="46" t="n"/>
      <c r="H1893" s="46" t="n"/>
      <c r="I1893" s="46" t="n"/>
      <c r="J1893" s="46" t="n"/>
      <c r="K1893" s="46" t="n"/>
      <c r="L1893" s="47" t="n"/>
      <c r="M1893" s="47" t="n"/>
      <c r="N1893" s="47" t="n"/>
      <c r="O1893" s="47" t="n"/>
      <c r="P1893" s="47" t="n"/>
      <c r="Q1893" s="47" t="n"/>
      <c r="R1893" s="43">
        <f>IF($B1893="","",N($S1893)-N($Q1893))</f>
        <v/>
      </c>
      <c r="S1893" s="43">
        <f>IF($B1893="","",N($L1893)+N($N1893)+N($P1893))</f>
        <v/>
      </c>
      <c r="T1893" s="47" t="n"/>
      <c r="U1893" s="47" t="n"/>
      <c r="V1893" s="47" t="n"/>
      <c r="W1893" s="47" t="n"/>
      <c r="X1893" s="47" t="n"/>
      <c r="Y1893" s="47" t="n"/>
      <c r="Z1893" s="47" t="n"/>
      <c r="AA1893" s="47" t="n"/>
      <c r="AB1893" s="47" t="n"/>
      <c r="AC1893" s="47" t="n"/>
      <c r="AD1893" s="47" t="n"/>
      <c r="AE1893" s="47" t="n"/>
      <c r="AF1893" s="43">
        <f>IF($B1893="","",SUM($T1893:$AE1893))</f>
        <v/>
      </c>
      <c r="AG1893" s="43">
        <f>IF($B1893="","",N($M1893)-N($AF1893))</f>
        <v/>
      </c>
      <c r="AH1893" s="43">
        <f>IF($B1893="","",N($L1893)-N($AF1893))</f>
        <v/>
      </c>
      <c r="AI1893" s="149">
        <f>IF($B1893="","",IF(N($L1893)=0,"",(N($L1893)-N($AF1893))/N($L1893)))</f>
        <v/>
      </c>
    </row>
    <row r="1894">
      <c r="A1894" s="39">
        <f>IF($B1894="","",COUNTA($B$4:$B1894))</f>
        <v/>
      </c>
      <c r="B1894" s="40" t="n"/>
      <c r="C1894" s="41" t="n"/>
      <c r="D1894" s="41" t="n"/>
      <c r="E1894" s="41" t="n"/>
      <c r="F1894" s="41" t="n"/>
      <c r="G1894" s="41" t="n"/>
      <c r="H1894" s="41" t="n"/>
      <c r="I1894" s="41" t="n"/>
      <c r="J1894" s="41" t="n"/>
      <c r="K1894" s="41" t="n"/>
      <c r="L1894" s="42" t="n"/>
      <c r="M1894" s="42" t="n"/>
      <c r="N1894" s="42" t="n"/>
      <c r="O1894" s="42" t="n"/>
      <c r="P1894" s="42" t="n"/>
      <c r="Q1894" s="42" t="n"/>
      <c r="R1894" s="43">
        <f>IF($B1894="","",N($S1894)-N($Q1894))</f>
        <v/>
      </c>
      <c r="S1894" s="43">
        <f>IF($B1894="","",N($L1894)+N($N1894)+N($P1894))</f>
        <v/>
      </c>
      <c r="T1894" s="42" t="n"/>
      <c r="U1894" s="42" t="n"/>
      <c r="V1894" s="42" t="n"/>
      <c r="W1894" s="42" t="n"/>
      <c r="X1894" s="42" t="n"/>
      <c r="Y1894" s="42" t="n"/>
      <c r="Z1894" s="42" t="n"/>
      <c r="AA1894" s="42" t="n"/>
      <c r="AB1894" s="42" t="n"/>
      <c r="AC1894" s="42" t="n"/>
      <c r="AD1894" s="42" t="n"/>
      <c r="AE1894" s="42" t="n"/>
      <c r="AF1894" s="43">
        <f>IF($B1894="","",SUM($T1894:$AE1894))</f>
        <v/>
      </c>
      <c r="AG1894" s="43">
        <f>IF($B1894="","",N($M1894)-N($AF1894))</f>
        <v/>
      </c>
      <c r="AH1894" s="43">
        <f>IF($B1894="","",N($L1894)-N($AF1894))</f>
        <v/>
      </c>
      <c r="AI1894" s="149">
        <f>IF($B1894="","",IF(N($L1894)=0,"",(N($L1894)-N($AF1894))/N($L1894)))</f>
        <v/>
      </c>
    </row>
    <row r="1895">
      <c r="A1895" s="39">
        <f>IF($B1895="","",COUNTA($B$4:$B1895))</f>
        <v/>
      </c>
      <c r="B1895" s="45" t="n"/>
      <c r="C1895" s="46" t="n"/>
      <c r="D1895" s="46" t="n"/>
      <c r="E1895" s="46" t="n"/>
      <c r="F1895" s="46" t="n"/>
      <c r="G1895" s="46" t="n"/>
      <c r="H1895" s="46" t="n"/>
      <c r="I1895" s="46" t="n"/>
      <c r="J1895" s="46" t="n"/>
      <c r="K1895" s="46" t="n"/>
      <c r="L1895" s="47" t="n"/>
      <c r="M1895" s="47" t="n"/>
      <c r="N1895" s="47" t="n"/>
      <c r="O1895" s="47" t="n"/>
      <c r="P1895" s="47" t="n"/>
      <c r="Q1895" s="47" t="n"/>
      <c r="R1895" s="43">
        <f>IF($B1895="","",N($S1895)-N($Q1895))</f>
        <v/>
      </c>
      <c r="S1895" s="43">
        <f>IF($B1895="","",N($L1895)+N($N1895)+N($P1895))</f>
        <v/>
      </c>
      <c r="T1895" s="47" t="n"/>
      <c r="U1895" s="47" t="n"/>
      <c r="V1895" s="47" t="n"/>
      <c r="W1895" s="47" t="n"/>
      <c r="X1895" s="47" t="n"/>
      <c r="Y1895" s="47" t="n"/>
      <c r="Z1895" s="47" t="n"/>
      <c r="AA1895" s="47" t="n"/>
      <c r="AB1895" s="47" t="n"/>
      <c r="AC1895" s="47" t="n"/>
      <c r="AD1895" s="47" t="n"/>
      <c r="AE1895" s="47" t="n"/>
      <c r="AF1895" s="43">
        <f>IF($B1895="","",SUM($T1895:$AE1895))</f>
        <v/>
      </c>
      <c r="AG1895" s="43">
        <f>IF($B1895="","",N($M1895)-N($AF1895))</f>
        <v/>
      </c>
      <c r="AH1895" s="43">
        <f>IF($B1895="","",N($L1895)-N($AF1895))</f>
        <v/>
      </c>
      <c r="AI1895" s="149">
        <f>IF($B1895="","",IF(N($L1895)=0,"",(N($L1895)-N($AF1895))/N($L1895)))</f>
        <v/>
      </c>
    </row>
    <row r="1896">
      <c r="A1896" s="39">
        <f>IF($B1896="","",COUNTA($B$4:$B1896))</f>
        <v/>
      </c>
      <c r="B1896" s="40" t="n"/>
      <c r="C1896" s="41" t="n"/>
      <c r="D1896" s="41" t="n"/>
      <c r="E1896" s="41" t="n"/>
      <c r="F1896" s="41" t="n"/>
      <c r="G1896" s="41" t="n"/>
      <c r="H1896" s="41" t="n"/>
      <c r="I1896" s="41" t="n"/>
      <c r="J1896" s="41" t="n"/>
      <c r="K1896" s="41" t="n"/>
      <c r="L1896" s="42" t="n"/>
      <c r="M1896" s="42" t="n"/>
      <c r="N1896" s="42" t="n"/>
      <c r="O1896" s="42" t="n"/>
      <c r="P1896" s="42" t="n"/>
      <c r="Q1896" s="42" t="n"/>
      <c r="R1896" s="43">
        <f>IF($B1896="","",N($S1896)-N($Q1896))</f>
        <v/>
      </c>
      <c r="S1896" s="43">
        <f>IF($B1896="","",N($L1896)+N($N1896)+N($P1896))</f>
        <v/>
      </c>
      <c r="T1896" s="42" t="n"/>
      <c r="U1896" s="42" t="n"/>
      <c r="V1896" s="42" t="n"/>
      <c r="W1896" s="42" t="n"/>
      <c r="X1896" s="42" t="n"/>
      <c r="Y1896" s="42" t="n"/>
      <c r="Z1896" s="42" t="n"/>
      <c r="AA1896" s="42" t="n"/>
      <c r="AB1896" s="42" t="n"/>
      <c r="AC1896" s="42" t="n"/>
      <c r="AD1896" s="42" t="n"/>
      <c r="AE1896" s="42" t="n"/>
      <c r="AF1896" s="43">
        <f>IF($B1896="","",SUM($T1896:$AE1896))</f>
        <v/>
      </c>
      <c r="AG1896" s="43">
        <f>IF($B1896="","",N($M1896)-N($AF1896))</f>
        <v/>
      </c>
      <c r="AH1896" s="43">
        <f>IF($B1896="","",N($L1896)-N($AF1896))</f>
        <v/>
      </c>
      <c r="AI1896" s="149">
        <f>IF($B1896="","",IF(N($L1896)=0,"",(N($L1896)-N($AF1896))/N($L1896)))</f>
        <v/>
      </c>
    </row>
    <row r="1897">
      <c r="A1897" s="39">
        <f>IF($B1897="","",COUNTA($B$4:$B1897))</f>
        <v/>
      </c>
      <c r="B1897" s="45" t="n"/>
      <c r="C1897" s="46" t="n"/>
      <c r="D1897" s="46" t="n"/>
      <c r="E1897" s="46" t="n"/>
      <c r="F1897" s="46" t="n"/>
      <c r="G1897" s="46" t="n"/>
      <c r="H1897" s="46" t="n"/>
      <c r="I1897" s="46" t="n"/>
      <c r="J1897" s="46" t="n"/>
      <c r="K1897" s="46" t="n"/>
      <c r="L1897" s="47" t="n"/>
      <c r="M1897" s="47" t="n"/>
      <c r="N1897" s="47" t="n"/>
      <c r="O1897" s="47" t="n"/>
      <c r="P1897" s="47" t="n"/>
      <c r="Q1897" s="47" t="n"/>
      <c r="R1897" s="43">
        <f>IF($B1897="","",N($S1897)-N($Q1897))</f>
        <v/>
      </c>
      <c r="S1897" s="43">
        <f>IF($B1897="","",N($L1897)+N($N1897)+N($P1897))</f>
        <v/>
      </c>
      <c r="T1897" s="47" t="n"/>
      <c r="U1897" s="47" t="n"/>
      <c r="V1897" s="47" t="n"/>
      <c r="W1897" s="47" t="n"/>
      <c r="X1897" s="47" t="n"/>
      <c r="Y1897" s="47" t="n"/>
      <c r="Z1897" s="47" t="n"/>
      <c r="AA1897" s="47" t="n"/>
      <c r="AB1897" s="47" t="n"/>
      <c r="AC1897" s="47" t="n"/>
      <c r="AD1897" s="47" t="n"/>
      <c r="AE1897" s="47" t="n"/>
      <c r="AF1897" s="43">
        <f>IF($B1897="","",SUM($T1897:$AE1897))</f>
        <v/>
      </c>
      <c r="AG1897" s="43">
        <f>IF($B1897="","",N($M1897)-N($AF1897))</f>
        <v/>
      </c>
      <c r="AH1897" s="43">
        <f>IF($B1897="","",N($L1897)-N($AF1897))</f>
        <v/>
      </c>
      <c r="AI1897" s="149">
        <f>IF($B1897="","",IF(N($L1897)=0,"",(N($L1897)-N($AF1897))/N($L1897)))</f>
        <v/>
      </c>
    </row>
    <row r="1898">
      <c r="A1898" s="39">
        <f>IF($B1898="","",COUNTA($B$4:$B1898))</f>
        <v/>
      </c>
      <c r="B1898" s="40" t="n"/>
      <c r="C1898" s="41" t="n"/>
      <c r="D1898" s="41" t="n"/>
      <c r="E1898" s="41" t="n"/>
      <c r="F1898" s="41" t="n"/>
      <c r="G1898" s="41" t="n"/>
      <c r="H1898" s="41" t="n"/>
      <c r="I1898" s="41" t="n"/>
      <c r="J1898" s="41" t="n"/>
      <c r="K1898" s="41" t="n"/>
      <c r="L1898" s="42" t="n"/>
      <c r="M1898" s="42" t="n"/>
      <c r="N1898" s="42" t="n"/>
      <c r="O1898" s="42" t="n"/>
      <c r="P1898" s="42" t="n"/>
      <c r="Q1898" s="42" t="n"/>
      <c r="R1898" s="43">
        <f>IF($B1898="","",N($S1898)-N($Q1898))</f>
        <v/>
      </c>
      <c r="S1898" s="43">
        <f>IF($B1898="","",N($L1898)+N($N1898)+N($P1898))</f>
        <v/>
      </c>
      <c r="T1898" s="42" t="n"/>
      <c r="U1898" s="42" t="n"/>
      <c r="V1898" s="42" t="n"/>
      <c r="W1898" s="42" t="n"/>
      <c r="X1898" s="42" t="n"/>
      <c r="Y1898" s="42" t="n"/>
      <c r="Z1898" s="42" t="n"/>
      <c r="AA1898" s="42" t="n"/>
      <c r="AB1898" s="42" t="n"/>
      <c r="AC1898" s="42" t="n"/>
      <c r="AD1898" s="42" t="n"/>
      <c r="AE1898" s="42" t="n"/>
      <c r="AF1898" s="43">
        <f>IF($B1898="","",SUM($T1898:$AE1898))</f>
        <v/>
      </c>
      <c r="AG1898" s="43">
        <f>IF($B1898="","",N($M1898)-N($AF1898))</f>
        <v/>
      </c>
      <c r="AH1898" s="43">
        <f>IF($B1898="","",N($L1898)-N($AF1898))</f>
        <v/>
      </c>
      <c r="AI1898" s="149">
        <f>IF($B1898="","",IF(N($L1898)=0,"",(N($L1898)-N($AF1898))/N($L1898)))</f>
        <v/>
      </c>
    </row>
    <row r="1899">
      <c r="A1899" s="39">
        <f>IF($B1899="","",COUNTA($B$4:$B1899))</f>
        <v/>
      </c>
      <c r="B1899" s="45" t="n"/>
      <c r="C1899" s="46" t="n"/>
      <c r="D1899" s="46" t="n"/>
      <c r="E1899" s="46" t="n"/>
      <c r="F1899" s="46" t="n"/>
      <c r="G1899" s="46" t="n"/>
      <c r="H1899" s="46" t="n"/>
      <c r="I1899" s="46" t="n"/>
      <c r="J1899" s="46" t="n"/>
      <c r="K1899" s="46" t="n"/>
      <c r="L1899" s="47" t="n"/>
      <c r="M1899" s="47" t="n"/>
      <c r="N1899" s="47" t="n"/>
      <c r="O1899" s="47" t="n"/>
      <c r="P1899" s="47" t="n"/>
      <c r="Q1899" s="47" t="n"/>
      <c r="R1899" s="43">
        <f>IF($B1899="","",N($S1899)-N($Q1899))</f>
        <v/>
      </c>
      <c r="S1899" s="43">
        <f>IF($B1899="","",N($L1899)+N($N1899)+N($P1899))</f>
        <v/>
      </c>
      <c r="T1899" s="47" t="n"/>
      <c r="U1899" s="47" t="n"/>
      <c r="V1899" s="47" t="n"/>
      <c r="W1899" s="47" t="n"/>
      <c r="X1899" s="47" t="n"/>
      <c r="Y1899" s="47" t="n"/>
      <c r="Z1899" s="47" t="n"/>
      <c r="AA1899" s="47" t="n"/>
      <c r="AB1899" s="47" t="n"/>
      <c r="AC1899" s="47" t="n"/>
      <c r="AD1899" s="47" t="n"/>
      <c r="AE1899" s="47" t="n"/>
      <c r="AF1899" s="43">
        <f>IF($B1899="","",SUM($T1899:$AE1899))</f>
        <v/>
      </c>
      <c r="AG1899" s="43">
        <f>IF($B1899="","",N($M1899)-N($AF1899))</f>
        <v/>
      </c>
      <c r="AH1899" s="43">
        <f>IF($B1899="","",N($L1899)-N($AF1899))</f>
        <v/>
      </c>
      <c r="AI1899" s="149">
        <f>IF($B1899="","",IF(N($L1899)=0,"",(N($L1899)-N($AF1899))/N($L1899)))</f>
        <v/>
      </c>
    </row>
    <row r="1900">
      <c r="A1900" s="39">
        <f>IF($B1900="","",COUNTA($B$4:$B1900))</f>
        <v/>
      </c>
      <c r="B1900" s="40" t="n"/>
      <c r="C1900" s="41" t="n"/>
      <c r="D1900" s="41" t="n"/>
      <c r="E1900" s="41" t="n"/>
      <c r="F1900" s="41" t="n"/>
      <c r="G1900" s="41" t="n"/>
      <c r="H1900" s="41" t="n"/>
      <c r="I1900" s="41" t="n"/>
      <c r="J1900" s="41" t="n"/>
      <c r="K1900" s="41" t="n"/>
      <c r="L1900" s="42" t="n"/>
      <c r="M1900" s="42" t="n"/>
      <c r="N1900" s="42" t="n"/>
      <c r="O1900" s="42" t="n"/>
      <c r="P1900" s="42" t="n"/>
      <c r="Q1900" s="42" t="n"/>
      <c r="R1900" s="43">
        <f>IF($B1900="","",N($S1900)-N($Q1900))</f>
        <v/>
      </c>
      <c r="S1900" s="43">
        <f>IF($B1900="","",N($L1900)+N($N1900)+N($P1900))</f>
        <v/>
      </c>
      <c r="T1900" s="42" t="n"/>
      <c r="U1900" s="42" t="n"/>
      <c r="V1900" s="42" t="n"/>
      <c r="W1900" s="42" t="n"/>
      <c r="X1900" s="42" t="n"/>
      <c r="Y1900" s="42" t="n"/>
      <c r="Z1900" s="42" t="n"/>
      <c r="AA1900" s="42" t="n"/>
      <c r="AB1900" s="42" t="n"/>
      <c r="AC1900" s="42" t="n"/>
      <c r="AD1900" s="42" t="n"/>
      <c r="AE1900" s="42" t="n"/>
      <c r="AF1900" s="43">
        <f>IF($B1900="","",SUM($T1900:$AE1900))</f>
        <v/>
      </c>
      <c r="AG1900" s="43">
        <f>IF($B1900="","",N($M1900)-N($AF1900))</f>
        <v/>
      </c>
      <c r="AH1900" s="43">
        <f>IF($B1900="","",N($L1900)-N($AF1900))</f>
        <v/>
      </c>
      <c r="AI1900" s="149">
        <f>IF($B1900="","",IF(N($L1900)=0,"",(N($L1900)-N($AF1900))/N($L1900)))</f>
        <v/>
      </c>
    </row>
    <row r="1901">
      <c r="A1901" s="39">
        <f>IF($B1901="","",COUNTA($B$4:$B1901))</f>
        <v/>
      </c>
      <c r="B1901" s="45" t="n"/>
      <c r="C1901" s="46" t="n"/>
      <c r="D1901" s="46" t="n"/>
      <c r="E1901" s="46" t="n"/>
      <c r="F1901" s="46" t="n"/>
      <c r="G1901" s="46" t="n"/>
      <c r="H1901" s="46" t="n"/>
      <c r="I1901" s="46" t="n"/>
      <c r="J1901" s="46" t="n"/>
      <c r="K1901" s="46" t="n"/>
      <c r="L1901" s="47" t="n"/>
      <c r="M1901" s="47" t="n"/>
      <c r="N1901" s="47" t="n"/>
      <c r="O1901" s="47" t="n"/>
      <c r="P1901" s="47" t="n"/>
      <c r="Q1901" s="47" t="n"/>
      <c r="R1901" s="43">
        <f>IF($B1901="","",N($S1901)-N($Q1901))</f>
        <v/>
      </c>
      <c r="S1901" s="43">
        <f>IF($B1901="","",N($L1901)+N($N1901)+N($P1901))</f>
        <v/>
      </c>
      <c r="T1901" s="47" t="n"/>
      <c r="U1901" s="47" t="n"/>
      <c r="V1901" s="47" t="n"/>
      <c r="W1901" s="47" t="n"/>
      <c r="X1901" s="47" t="n"/>
      <c r="Y1901" s="47" t="n"/>
      <c r="Z1901" s="47" t="n"/>
      <c r="AA1901" s="47" t="n"/>
      <c r="AB1901" s="47" t="n"/>
      <c r="AC1901" s="47" t="n"/>
      <c r="AD1901" s="47" t="n"/>
      <c r="AE1901" s="47" t="n"/>
      <c r="AF1901" s="43">
        <f>IF($B1901="","",SUM($T1901:$AE1901))</f>
        <v/>
      </c>
      <c r="AG1901" s="43">
        <f>IF($B1901="","",N($M1901)-N($AF1901))</f>
        <v/>
      </c>
      <c r="AH1901" s="43">
        <f>IF($B1901="","",N($L1901)-N($AF1901))</f>
        <v/>
      </c>
      <c r="AI1901" s="149">
        <f>IF($B1901="","",IF(N($L1901)=0,"",(N($L1901)-N($AF1901))/N($L1901)))</f>
        <v/>
      </c>
    </row>
    <row r="1902">
      <c r="A1902" s="39">
        <f>IF($B1902="","",COUNTA($B$4:$B1902))</f>
        <v/>
      </c>
      <c r="B1902" s="40" t="n"/>
      <c r="C1902" s="41" t="n"/>
      <c r="D1902" s="41" t="n"/>
      <c r="E1902" s="41" t="n"/>
      <c r="F1902" s="41" t="n"/>
      <c r="G1902" s="41" t="n"/>
      <c r="H1902" s="41" t="n"/>
      <c r="I1902" s="41" t="n"/>
      <c r="J1902" s="41" t="n"/>
      <c r="K1902" s="41" t="n"/>
      <c r="L1902" s="42" t="n"/>
      <c r="M1902" s="42" t="n"/>
      <c r="N1902" s="42" t="n"/>
      <c r="O1902" s="42" t="n"/>
      <c r="P1902" s="42" t="n"/>
      <c r="Q1902" s="42" t="n"/>
      <c r="R1902" s="43">
        <f>IF($B1902="","",N($S1902)-N($Q1902))</f>
        <v/>
      </c>
      <c r="S1902" s="43">
        <f>IF($B1902="","",N($L1902)+N($N1902)+N($P1902))</f>
        <v/>
      </c>
      <c r="T1902" s="42" t="n"/>
      <c r="U1902" s="42" t="n"/>
      <c r="V1902" s="42" t="n"/>
      <c r="W1902" s="42" t="n"/>
      <c r="X1902" s="42" t="n"/>
      <c r="Y1902" s="42" t="n"/>
      <c r="Z1902" s="42" t="n"/>
      <c r="AA1902" s="42" t="n"/>
      <c r="AB1902" s="42" t="n"/>
      <c r="AC1902" s="42" t="n"/>
      <c r="AD1902" s="42" t="n"/>
      <c r="AE1902" s="42" t="n"/>
      <c r="AF1902" s="43">
        <f>IF($B1902="","",SUM($T1902:$AE1902))</f>
        <v/>
      </c>
      <c r="AG1902" s="43">
        <f>IF($B1902="","",N($M1902)-N($AF1902))</f>
        <v/>
      </c>
      <c r="AH1902" s="43">
        <f>IF($B1902="","",N($L1902)-N($AF1902))</f>
        <v/>
      </c>
      <c r="AI1902" s="149">
        <f>IF($B1902="","",IF(N($L1902)=0,"",(N($L1902)-N($AF1902))/N($L1902)))</f>
        <v/>
      </c>
    </row>
    <row r="1903">
      <c r="A1903" s="39">
        <f>IF($B1903="","",COUNTA($B$4:$B1903))</f>
        <v/>
      </c>
      <c r="B1903" s="45" t="n"/>
      <c r="C1903" s="46" t="n"/>
      <c r="D1903" s="46" t="n"/>
      <c r="E1903" s="46" t="n"/>
      <c r="F1903" s="46" t="n"/>
      <c r="G1903" s="46" t="n"/>
      <c r="H1903" s="46" t="n"/>
      <c r="I1903" s="46" t="n"/>
      <c r="J1903" s="46" t="n"/>
      <c r="K1903" s="46" t="n"/>
      <c r="L1903" s="47" t="n"/>
      <c r="M1903" s="47" t="n"/>
      <c r="N1903" s="47" t="n"/>
      <c r="O1903" s="47" t="n"/>
      <c r="P1903" s="47" t="n"/>
      <c r="Q1903" s="47" t="n"/>
      <c r="R1903" s="43">
        <f>IF($B1903="","",N($S1903)-N($Q1903))</f>
        <v/>
      </c>
      <c r="S1903" s="43">
        <f>IF($B1903="","",N($L1903)+N($N1903)+N($P1903))</f>
        <v/>
      </c>
      <c r="T1903" s="47" t="n"/>
      <c r="U1903" s="47" t="n"/>
      <c r="V1903" s="47" t="n"/>
      <c r="W1903" s="47" t="n"/>
      <c r="X1903" s="47" t="n"/>
      <c r="Y1903" s="47" t="n"/>
      <c r="Z1903" s="47" t="n"/>
      <c r="AA1903" s="47" t="n"/>
      <c r="AB1903" s="47" t="n"/>
      <c r="AC1903" s="47" t="n"/>
      <c r="AD1903" s="47" t="n"/>
      <c r="AE1903" s="47" t="n"/>
      <c r="AF1903" s="43">
        <f>IF($B1903="","",SUM($T1903:$AE1903))</f>
        <v/>
      </c>
      <c r="AG1903" s="43">
        <f>IF($B1903="","",N($M1903)-N($AF1903))</f>
        <v/>
      </c>
      <c r="AH1903" s="43">
        <f>IF($B1903="","",N($L1903)-N($AF1903))</f>
        <v/>
      </c>
      <c r="AI1903" s="149">
        <f>IF($B1903="","",IF(N($L1903)=0,"",(N($L1903)-N($AF1903))/N($L1903)))</f>
        <v/>
      </c>
    </row>
    <row r="1904">
      <c r="A1904" s="39">
        <f>IF($B1904="","",COUNTA($B$4:$B1904))</f>
        <v/>
      </c>
      <c r="B1904" s="40" t="n"/>
      <c r="C1904" s="41" t="n"/>
      <c r="D1904" s="41" t="n"/>
      <c r="E1904" s="41" t="n"/>
      <c r="F1904" s="41" t="n"/>
      <c r="G1904" s="41" t="n"/>
      <c r="H1904" s="41" t="n"/>
      <c r="I1904" s="41" t="n"/>
      <c r="J1904" s="41" t="n"/>
      <c r="K1904" s="41" t="n"/>
      <c r="L1904" s="42" t="n"/>
      <c r="M1904" s="42" t="n"/>
      <c r="N1904" s="42" t="n"/>
      <c r="O1904" s="42" t="n"/>
      <c r="P1904" s="42" t="n"/>
      <c r="Q1904" s="42" t="n"/>
      <c r="R1904" s="43">
        <f>IF($B1904="","",N($S1904)-N($Q1904))</f>
        <v/>
      </c>
      <c r="S1904" s="43">
        <f>IF($B1904="","",N($L1904)+N($N1904)+N($P1904))</f>
        <v/>
      </c>
      <c r="T1904" s="42" t="n"/>
      <c r="U1904" s="42" t="n"/>
      <c r="V1904" s="42" t="n"/>
      <c r="W1904" s="42" t="n"/>
      <c r="X1904" s="42" t="n"/>
      <c r="Y1904" s="42" t="n"/>
      <c r="Z1904" s="42" t="n"/>
      <c r="AA1904" s="42" t="n"/>
      <c r="AB1904" s="42" t="n"/>
      <c r="AC1904" s="42" t="n"/>
      <c r="AD1904" s="42" t="n"/>
      <c r="AE1904" s="42" t="n"/>
      <c r="AF1904" s="43">
        <f>IF($B1904="","",SUM($T1904:$AE1904))</f>
        <v/>
      </c>
      <c r="AG1904" s="43">
        <f>IF($B1904="","",N($M1904)-N($AF1904))</f>
        <v/>
      </c>
      <c r="AH1904" s="43">
        <f>IF($B1904="","",N($L1904)-N($AF1904))</f>
        <v/>
      </c>
      <c r="AI1904" s="149">
        <f>IF($B1904="","",IF(N($L1904)=0,"",(N($L1904)-N($AF1904))/N($L1904)))</f>
        <v/>
      </c>
    </row>
    <row r="1905">
      <c r="A1905" s="39">
        <f>IF($B1905="","",COUNTA($B$4:$B1905))</f>
        <v/>
      </c>
      <c r="B1905" s="45" t="n"/>
      <c r="C1905" s="46" t="n"/>
      <c r="D1905" s="46" t="n"/>
      <c r="E1905" s="46" t="n"/>
      <c r="F1905" s="46" t="n"/>
      <c r="G1905" s="46" t="n"/>
      <c r="H1905" s="46" t="n"/>
      <c r="I1905" s="46" t="n"/>
      <c r="J1905" s="46" t="n"/>
      <c r="K1905" s="46" t="n"/>
      <c r="L1905" s="47" t="n"/>
      <c r="M1905" s="47" t="n"/>
      <c r="N1905" s="47" t="n"/>
      <c r="O1905" s="47" t="n"/>
      <c r="P1905" s="47" t="n"/>
      <c r="Q1905" s="47" t="n"/>
      <c r="R1905" s="43">
        <f>IF($B1905="","",N($S1905)-N($Q1905))</f>
        <v/>
      </c>
      <c r="S1905" s="43">
        <f>IF($B1905="","",N($L1905)+N($N1905)+N($P1905))</f>
        <v/>
      </c>
      <c r="T1905" s="47" t="n"/>
      <c r="U1905" s="47" t="n"/>
      <c r="V1905" s="47" t="n"/>
      <c r="W1905" s="47" t="n"/>
      <c r="X1905" s="47" t="n"/>
      <c r="Y1905" s="47" t="n"/>
      <c r="Z1905" s="47" t="n"/>
      <c r="AA1905" s="47" t="n"/>
      <c r="AB1905" s="47" t="n"/>
      <c r="AC1905" s="47" t="n"/>
      <c r="AD1905" s="47" t="n"/>
      <c r="AE1905" s="47" t="n"/>
      <c r="AF1905" s="43">
        <f>IF($B1905="","",SUM($T1905:$AE1905))</f>
        <v/>
      </c>
      <c r="AG1905" s="43">
        <f>IF($B1905="","",N($M1905)-N($AF1905))</f>
        <v/>
      </c>
      <c r="AH1905" s="43">
        <f>IF($B1905="","",N($L1905)-N($AF1905))</f>
        <v/>
      </c>
      <c r="AI1905" s="149">
        <f>IF($B1905="","",IF(N($L1905)=0,"",(N($L1905)-N($AF1905))/N($L1905)))</f>
        <v/>
      </c>
    </row>
    <row r="1906">
      <c r="A1906" s="39">
        <f>IF($B1906="","",COUNTA($B$4:$B1906))</f>
        <v/>
      </c>
      <c r="B1906" s="40" t="n"/>
      <c r="C1906" s="41" t="n"/>
      <c r="D1906" s="41" t="n"/>
      <c r="E1906" s="41" t="n"/>
      <c r="F1906" s="41" t="n"/>
      <c r="G1906" s="41" t="n"/>
      <c r="H1906" s="41" t="n"/>
      <c r="I1906" s="41" t="n"/>
      <c r="J1906" s="41" t="n"/>
      <c r="K1906" s="41" t="n"/>
      <c r="L1906" s="42" t="n"/>
      <c r="M1906" s="42" t="n"/>
      <c r="N1906" s="42" t="n"/>
      <c r="O1906" s="42" t="n"/>
      <c r="P1906" s="42" t="n"/>
      <c r="Q1906" s="42" t="n"/>
      <c r="R1906" s="43">
        <f>IF($B1906="","",N($S1906)-N($Q1906))</f>
        <v/>
      </c>
      <c r="S1906" s="43">
        <f>IF($B1906="","",N($L1906)+N($N1906)+N($P1906))</f>
        <v/>
      </c>
      <c r="T1906" s="42" t="n"/>
      <c r="U1906" s="42" t="n"/>
      <c r="V1906" s="42" t="n"/>
      <c r="W1906" s="42" t="n"/>
      <c r="X1906" s="42" t="n"/>
      <c r="Y1906" s="42" t="n"/>
      <c r="Z1906" s="42" t="n"/>
      <c r="AA1906" s="42" t="n"/>
      <c r="AB1906" s="42" t="n"/>
      <c r="AC1906" s="42" t="n"/>
      <c r="AD1906" s="42" t="n"/>
      <c r="AE1906" s="42" t="n"/>
      <c r="AF1906" s="43">
        <f>IF($B1906="","",SUM($T1906:$AE1906))</f>
        <v/>
      </c>
      <c r="AG1906" s="43">
        <f>IF($B1906="","",N($M1906)-N($AF1906))</f>
        <v/>
      </c>
      <c r="AH1906" s="43">
        <f>IF($B1906="","",N($L1906)-N($AF1906))</f>
        <v/>
      </c>
      <c r="AI1906" s="149">
        <f>IF($B1906="","",IF(N($L1906)=0,"",(N($L1906)-N($AF1906))/N($L1906)))</f>
        <v/>
      </c>
    </row>
    <row r="1907">
      <c r="A1907" s="39">
        <f>IF($B1907="","",COUNTA($B$4:$B1907))</f>
        <v/>
      </c>
      <c r="B1907" s="45" t="n"/>
      <c r="C1907" s="46" t="n"/>
      <c r="D1907" s="46" t="n"/>
      <c r="E1907" s="46" t="n"/>
      <c r="F1907" s="46" t="n"/>
      <c r="G1907" s="46" t="n"/>
      <c r="H1907" s="46" t="n"/>
      <c r="I1907" s="46" t="n"/>
      <c r="J1907" s="46" t="n"/>
      <c r="K1907" s="46" t="n"/>
      <c r="L1907" s="47" t="n"/>
      <c r="M1907" s="47" t="n"/>
      <c r="N1907" s="47" t="n"/>
      <c r="O1907" s="47" t="n"/>
      <c r="P1907" s="47" t="n"/>
      <c r="Q1907" s="47" t="n"/>
      <c r="R1907" s="43">
        <f>IF($B1907="","",N($S1907)-N($Q1907))</f>
        <v/>
      </c>
      <c r="S1907" s="43">
        <f>IF($B1907="","",N($L1907)+N($N1907)+N($P1907))</f>
        <v/>
      </c>
      <c r="T1907" s="47" t="n"/>
      <c r="U1907" s="47" t="n"/>
      <c r="V1907" s="47" t="n"/>
      <c r="W1907" s="47" t="n"/>
      <c r="X1907" s="47" t="n"/>
      <c r="Y1907" s="47" t="n"/>
      <c r="Z1907" s="47" t="n"/>
      <c r="AA1907" s="47" t="n"/>
      <c r="AB1907" s="47" t="n"/>
      <c r="AC1907" s="47" t="n"/>
      <c r="AD1907" s="47" t="n"/>
      <c r="AE1907" s="47" t="n"/>
      <c r="AF1907" s="43">
        <f>IF($B1907="","",SUM($T1907:$AE1907))</f>
        <v/>
      </c>
      <c r="AG1907" s="43">
        <f>IF($B1907="","",N($M1907)-N($AF1907))</f>
        <v/>
      </c>
      <c r="AH1907" s="43">
        <f>IF($B1907="","",N($L1907)-N($AF1907))</f>
        <v/>
      </c>
      <c r="AI1907" s="149">
        <f>IF($B1907="","",IF(N($L1907)=0,"",(N($L1907)-N($AF1907))/N($L1907)))</f>
        <v/>
      </c>
    </row>
    <row r="1908">
      <c r="A1908" s="39">
        <f>IF($B1908="","",COUNTA($B$4:$B1908))</f>
        <v/>
      </c>
      <c r="B1908" s="40" t="n"/>
      <c r="C1908" s="41" t="n"/>
      <c r="D1908" s="41" t="n"/>
      <c r="E1908" s="41" t="n"/>
      <c r="F1908" s="41" t="n"/>
      <c r="G1908" s="41" t="n"/>
      <c r="H1908" s="41" t="n"/>
      <c r="I1908" s="41" t="n"/>
      <c r="J1908" s="41" t="n"/>
      <c r="K1908" s="41" t="n"/>
      <c r="L1908" s="42" t="n"/>
      <c r="M1908" s="42" t="n"/>
      <c r="N1908" s="42" t="n"/>
      <c r="O1908" s="42" t="n"/>
      <c r="P1908" s="42" t="n"/>
      <c r="Q1908" s="42" t="n"/>
      <c r="R1908" s="43">
        <f>IF($B1908="","",N($S1908)-N($Q1908))</f>
        <v/>
      </c>
      <c r="S1908" s="43">
        <f>IF($B1908="","",N($L1908)+N($N1908)+N($P1908))</f>
        <v/>
      </c>
      <c r="T1908" s="42" t="n"/>
      <c r="U1908" s="42" t="n"/>
      <c r="V1908" s="42" t="n"/>
      <c r="W1908" s="42" t="n"/>
      <c r="X1908" s="42" t="n"/>
      <c r="Y1908" s="42" t="n"/>
      <c r="Z1908" s="42" t="n"/>
      <c r="AA1908" s="42" t="n"/>
      <c r="AB1908" s="42" t="n"/>
      <c r="AC1908" s="42" t="n"/>
      <c r="AD1908" s="42" t="n"/>
      <c r="AE1908" s="42" t="n"/>
      <c r="AF1908" s="43">
        <f>IF($B1908="","",SUM($T1908:$AE1908))</f>
        <v/>
      </c>
      <c r="AG1908" s="43">
        <f>IF($B1908="","",N($M1908)-N($AF1908))</f>
        <v/>
      </c>
      <c r="AH1908" s="43">
        <f>IF($B1908="","",N($L1908)-N($AF1908))</f>
        <v/>
      </c>
      <c r="AI1908" s="149">
        <f>IF($B1908="","",IF(N($L1908)=0,"",(N($L1908)-N($AF1908))/N($L1908)))</f>
        <v/>
      </c>
    </row>
    <row r="1909">
      <c r="A1909" s="39">
        <f>IF($B1909="","",COUNTA($B$4:$B1909))</f>
        <v/>
      </c>
      <c r="B1909" s="45" t="n"/>
      <c r="C1909" s="46" t="n"/>
      <c r="D1909" s="46" t="n"/>
      <c r="E1909" s="46" t="n"/>
      <c r="F1909" s="46" t="n"/>
      <c r="G1909" s="46" t="n"/>
      <c r="H1909" s="46" t="n"/>
      <c r="I1909" s="46" t="n"/>
      <c r="J1909" s="46" t="n"/>
      <c r="K1909" s="46" t="n"/>
      <c r="L1909" s="47" t="n"/>
      <c r="M1909" s="47" t="n"/>
      <c r="N1909" s="47" t="n"/>
      <c r="O1909" s="47" t="n"/>
      <c r="P1909" s="47" t="n"/>
      <c r="Q1909" s="47" t="n"/>
      <c r="R1909" s="43">
        <f>IF($B1909="","",N($S1909)-N($Q1909))</f>
        <v/>
      </c>
      <c r="S1909" s="43">
        <f>IF($B1909="","",N($L1909)+N($N1909)+N($P1909))</f>
        <v/>
      </c>
      <c r="T1909" s="47" t="n"/>
      <c r="U1909" s="47" t="n"/>
      <c r="V1909" s="47" t="n"/>
      <c r="W1909" s="47" t="n"/>
      <c r="X1909" s="47" t="n"/>
      <c r="Y1909" s="47" t="n"/>
      <c r="Z1909" s="47" t="n"/>
      <c r="AA1909" s="47" t="n"/>
      <c r="AB1909" s="47" t="n"/>
      <c r="AC1909" s="47" t="n"/>
      <c r="AD1909" s="47" t="n"/>
      <c r="AE1909" s="47" t="n"/>
      <c r="AF1909" s="43">
        <f>IF($B1909="","",SUM($T1909:$AE1909))</f>
        <v/>
      </c>
      <c r="AG1909" s="43">
        <f>IF($B1909="","",N($M1909)-N($AF1909))</f>
        <v/>
      </c>
      <c r="AH1909" s="43">
        <f>IF($B1909="","",N($L1909)-N($AF1909))</f>
        <v/>
      </c>
      <c r="AI1909" s="149">
        <f>IF($B1909="","",IF(N($L1909)=0,"",(N($L1909)-N($AF1909))/N($L1909)))</f>
        <v/>
      </c>
    </row>
    <row r="1910">
      <c r="A1910" s="39">
        <f>IF($B1910="","",COUNTA($B$4:$B1910))</f>
        <v/>
      </c>
      <c r="B1910" s="40" t="n"/>
      <c r="C1910" s="41" t="n"/>
      <c r="D1910" s="41" t="n"/>
      <c r="E1910" s="41" t="n"/>
      <c r="F1910" s="41" t="n"/>
      <c r="G1910" s="41" t="n"/>
      <c r="H1910" s="41" t="n"/>
      <c r="I1910" s="41" t="n"/>
      <c r="J1910" s="41" t="n"/>
      <c r="K1910" s="41" t="n"/>
      <c r="L1910" s="42" t="n"/>
      <c r="M1910" s="42" t="n"/>
      <c r="N1910" s="42" t="n"/>
      <c r="O1910" s="42" t="n"/>
      <c r="P1910" s="42" t="n"/>
      <c r="Q1910" s="42" t="n"/>
      <c r="R1910" s="43">
        <f>IF($B1910="","",N($S1910)-N($Q1910))</f>
        <v/>
      </c>
      <c r="S1910" s="43">
        <f>IF($B1910="","",N($L1910)+N($N1910)+N($P1910))</f>
        <v/>
      </c>
      <c r="T1910" s="42" t="n"/>
      <c r="U1910" s="42" t="n"/>
      <c r="V1910" s="42" t="n"/>
      <c r="W1910" s="42" t="n"/>
      <c r="X1910" s="42" t="n"/>
      <c r="Y1910" s="42" t="n"/>
      <c r="Z1910" s="42" t="n"/>
      <c r="AA1910" s="42" t="n"/>
      <c r="AB1910" s="42" t="n"/>
      <c r="AC1910" s="42" t="n"/>
      <c r="AD1910" s="42" t="n"/>
      <c r="AE1910" s="42" t="n"/>
      <c r="AF1910" s="43">
        <f>IF($B1910="","",SUM($T1910:$AE1910))</f>
        <v/>
      </c>
      <c r="AG1910" s="43">
        <f>IF($B1910="","",N($M1910)-N($AF1910))</f>
        <v/>
      </c>
      <c r="AH1910" s="43">
        <f>IF($B1910="","",N($L1910)-N($AF1910))</f>
        <v/>
      </c>
      <c r="AI1910" s="149">
        <f>IF($B1910="","",IF(N($L1910)=0,"",(N($L1910)-N($AF1910))/N($L1910)))</f>
        <v/>
      </c>
    </row>
    <row r="1911">
      <c r="A1911" s="39">
        <f>IF($B1911="","",COUNTA($B$4:$B1911))</f>
        <v/>
      </c>
      <c r="B1911" s="45" t="n"/>
      <c r="C1911" s="46" t="n"/>
      <c r="D1911" s="46" t="n"/>
      <c r="E1911" s="46" t="n"/>
      <c r="F1911" s="46" t="n"/>
      <c r="G1911" s="46" t="n"/>
      <c r="H1911" s="46" t="n"/>
      <c r="I1911" s="46" t="n"/>
      <c r="J1911" s="46" t="n"/>
      <c r="K1911" s="46" t="n"/>
      <c r="L1911" s="47" t="n"/>
      <c r="M1911" s="47" t="n"/>
      <c r="N1911" s="47" t="n"/>
      <c r="O1911" s="47" t="n"/>
      <c r="P1911" s="47" t="n"/>
      <c r="Q1911" s="47" t="n"/>
      <c r="R1911" s="43">
        <f>IF($B1911="","",N($S1911)-N($Q1911))</f>
        <v/>
      </c>
      <c r="S1911" s="43">
        <f>IF($B1911="","",N($L1911)+N($N1911)+N($P1911))</f>
        <v/>
      </c>
      <c r="T1911" s="47" t="n"/>
      <c r="U1911" s="47" t="n"/>
      <c r="V1911" s="47" t="n"/>
      <c r="W1911" s="47" t="n"/>
      <c r="X1911" s="47" t="n"/>
      <c r="Y1911" s="47" t="n"/>
      <c r="Z1911" s="47" t="n"/>
      <c r="AA1911" s="47" t="n"/>
      <c r="AB1911" s="47" t="n"/>
      <c r="AC1911" s="47" t="n"/>
      <c r="AD1911" s="47" t="n"/>
      <c r="AE1911" s="47" t="n"/>
      <c r="AF1911" s="43">
        <f>IF($B1911="","",SUM($T1911:$AE1911))</f>
        <v/>
      </c>
      <c r="AG1911" s="43">
        <f>IF($B1911="","",N($M1911)-N($AF1911))</f>
        <v/>
      </c>
      <c r="AH1911" s="43">
        <f>IF($B1911="","",N($L1911)-N($AF1911))</f>
        <v/>
      </c>
      <c r="AI1911" s="149">
        <f>IF($B1911="","",IF(N($L1911)=0,"",(N($L1911)-N($AF1911))/N($L1911)))</f>
        <v/>
      </c>
    </row>
    <row r="1912">
      <c r="A1912" s="39">
        <f>IF($B1912="","",COUNTA($B$4:$B1912))</f>
        <v/>
      </c>
      <c r="B1912" s="40" t="n"/>
      <c r="C1912" s="41" t="n"/>
      <c r="D1912" s="41" t="n"/>
      <c r="E1912" s="41" t="n"/>
      <c r="F1912" s="41" t="n"/>
      <c r="G1912" s="41" t="n"/>
      <c r="H1912" s="41" t="n"/>
      <c r="I1912" s="41" t="n"/>
      <c r="J1912" s="41" t="n"/>
      <c r="K1912" s="41" t="n"/>
      <c r="L1912" s="42" t="n"/>
      <c r="M1912" s="42" t="n"/>
      <c r="N1912" s="42" t="n"/>
      <c r="O1912" s="42" t="n"/>
      <c r="P1912" s="42" t="n"/>
      <c r="Q1912" s="42" t="n"/>
      <c r="R1912" s="43">
        <f>IF($B1912="","",N($S1912)-N($Q1912))</f>
        <v/>
      </c>
      <c r="S1912" s="43">
        <f>IF($B1912="","",N($L1912)+N($N1912)+N($P1912))</f>
        <v/>
      </c>
      <c r="T1912" s="42" t="n"/>
      <c r="U1912" s="42" t="n"/>
      <c r="V1912" s="42" t="n"/>
      <c r="W1912" s="42" t="n"/>
      <c r="X1912" s="42" t="n"/>
      <c r="Y1912" s="42" t="n"/>
      <c r="Z1912" s="42" t="n"/>
      <c r="AA1912" s="42" t="n"/>
      <c r="AB1912" s="42" t="n"/>
      <c r="AC1912" s="42" t="n"/>
      <c r="AD1912" s="42" t="n"/>
      <c r="AE1912" s="42" t="n"/>
      <c r="AF1912" s="43">
        <f>IF($B1912="","",SUM($T1912:$AE1912))</f>
        <v/>
      </c>
      <c r="AG1912" s="43">
        <f>IF($B1912="","",N($M1912)-N($AF1912))</f>
        <v/>
      </c>
      <c r="AH1912" s="43">
        <f>IF($B1912="","",N($L1912)-N($AF1912))</f>
        <v/>
      </c>
      <c r="AI1912" s="149">
        <f>IF($B1912="","",IF(N($L1912)=0,"",(N($L1912)-N($AF1912))/N($L1912)))</f>
        <v/>
      </c>
    </row>
    <row r="1913">
      <c r="A1913" s="39">
        <f>IF($B1913="","",COUNTA($B$4:$B1913))</f>
        <v/>
      </c>
      <c r="B1913" s="45" t="n"/>
      <c r="C1913" s="46" t="n"/>
      <c r="D1913" s="46" t="n"/>
      <c r="E1913" s="46" t="n"/>
      <c r="F1913" s="46" t="n"/>
      <c r="G1913" s="46" t="n"/>
      <c r="H1913" s="46" t="n"/>
      <c r="I1913" s="46" t="n"/>
      <c r="J1913" s="46" t="n"/>
      <c r="K1913" s="46" t="n"/>
      <c r="L1913" s="47" t="n"/>
      <c r="M1913" s="47" t="n"/>
      <c r="N1913" s="47" t="n"/>
      <c r="O1913" s="47" t="n"/>
      <c r="P1913" s="47" t="n"/>
      <c r="Q1913" s="47" t="n"/>
      <c r="R1913" s="43">
        <f>IF($B1913="","",N($S1913)-N($Q1913))</f>
        <v/>
      </c>
      <c r="S1913" s="43">
        <f>IF($B1913="","",N($L1913)+N($N1913)+N($P1913))</f>
        <v/>
      </c>
      <c r="T1913" s="47" t="n"/>
      <c r="U1913" s="47" t="n"/>
      <c r="V1913" s="47" t="n"/>
      <c r="W1913" s="47" t="n"/>
      <c r="X1913" s="47" t="n"/>
      <c r="Y1913" s="47" t="n"/>
      <c r="Z1913" s="47" t="n"/>
      <c r="AA1913" s="47" t="n"/>
      <c r="AB1913" s="47" t="n"/>
      <c r="AC1913" s="47" t="n"/>
      <c r="AD1913" s="47" t="n"/>
      <c r="AE1913" s="47" t="n"/>
      <c r="AF1913" s="43">
        <f>IF($B1913="","",SUM($T1913:$AE1913))</f>
        <v/>
      </c>
      <c r="AG1913" s="43">
        <f>IF($B1913="","",N($M1913)-N($AF1913))</f>
        <v/>
      </c>
      <c r="AH1913" s="43">
        <f>IF($B1913="","",N($L1913)-N($AF1913))</f>
        <v/>
      </c>
      <c r="AI1913" s="149">
        <f>IF($B1913="","",IF(N($L1913)=0,"",(N($L1913)-N($AF1913))/N($L1913)))</f>
        <v/>
      </c>
    </row>
    <row r="1914">
      <c r="A1914" s="39">
        <f>IF($B1914="","",COUNTA($B$4:$B1914))</f>
        <v/>
      </c>
      <c r="B1914" s="40" t="n"/>
      <c r="C1914" s="41" t="n"/>
      <c r="D1914" s="41" t="n"/>
      <c r="E1914" s="41" t="n"/>
      <c r="F1914" s="41" t="n"/>
      <c r="G1914" s="41" t="n"/>
      <c r="H1914" s="41" t="n"/>
      <c r="I1914" s="41" t="n"/>
      <c r="J1914" s="41" t="n"/>
      <c r="K1914" s="41" t="n"/>
      <c r="L1914" s="42" t="n"/>
      <c r="M1914" s="42" t="n"/>
      <c r="N1914" s="42" t="n"/>
      <c r="O1914" s="42" t="n"/>
      <c r="P1914" s="42" t="n"/>
      <c r="Q1914" s="42" t="n"/>
      <c r="R1914" s="43">
        <f>IF($B1914="","",N($S1914)-N($Q1914))</f>
        <v/>
      </c>
      <c r="S1914" s="43">
        <f>IF($B1914="","",N($L1914)+N($N1914)+N($P1914))</f>
        <v/>
      </c>
      <c r="T1914" s="42" t="n"/>
      <c r="U1914" s="42" t="n"/>
      <c r="V1914" s="42" t="n"/>
      <c r="W1914" s="42" t="n"/>
      <c r="X1914" s="42" t="n"/>
      <c r="Y1914" s="42" t="n"/>
      <c r="Z1914" s="42" t="n"/>
      <c r="AA1914" s="42" t="n"/>
      <c r="AB1914" s="42" t="n"/>
      <c r="AC1914" s="42" t="n"/>
      <c r="AD1914" s="42" t="n"/>
      <c r="AE1914" s="42" t="n"/>
      <c r="AF1914" s="43">
        <f>IF($B1914="","",SUM($T1914:$AE1914))</f>
        <v/>
      </c>
      <c r="AG1914" s="43">
        <f>IF($B1914="","",N($M1914)-N($AF1914))</f>
        <v/>
      </c>
      <c r="AH1914" s="43">
        <f>IF($B1914="","",N($L1914)-N($AF1914))</f>
        <v/>
      </c>
      <c r="AI1914" s="149">
        <f>IF($B1914="","",IF(N($L1914)=0,"",(N($L1914)-N($AF1914))/N($L1914)))</f>
        <v/>
      </c>
    </row>
    <row r="1915">
      <c r="A1915" s="39">
        <f>IF($B1915="","",COUNTA($B$4:$B1915))</f>
        <v/>
      </c>
      <c r="B1915" s="45" t="n"/>
      <c r="C1915" s="46" t="n"/>
      <c r="D1915" s="46" t="n"/>
      <c r="E1915" s="46" t="n"/>
      <c r="F1915" s="46" t="n"/>
      <c r="G1915" s="46" t="n"/>
      <c r="H1915" s="46" t="n"/>
      <c r="I1915" s="46" t="n"/>
      <c r="J1915" s="46" t="n"/>
      <c r="K1915" s="46" t="n"/>
      <c r="L1915" s="47" t="n"/>
      <c r="M1915" s="47" t="n"/>
      <c r="N1915" s="47" t="n"/>
      <c r="O1915" s="47" t="n"/>
      <c r="P1915" s="47" t="n"/>
      <c r="Q1915" s="47" t="n"/>
      <c r="R1915" s="43">
        <f>IF($B1915="","",N($S1915)-N($Q1915))</f>
        <v/>
      </c>
      <c r="S1915" s="43">
        <f>IF($B1915="","",N($L1915)+N($N1915)+N($P1915))</f>
        <v/>
      </c>
      <c r="T1915" s="47" t="n"/>
      <c r="U1915" s="47" t="n"/>
      <c r="V1915" s="47" t="n"/>
      <c r="W1915" s="47" t="n"/>
      <c r="X1915" s="47" t="n"/>
      <c r="Y1915" s="47" t="n"/>
      <c r="Z1915" s="47" t="n"/>
      <c r="AA1915" s="47" t="n"/>
      <c r="AB1915" s="47" t="n"/>
      <c r="AC1915" s="47" t="n"/>
      <c r="AD1915" s="47" t="n"/>
      <c r="AE1915" s="47" t="n"/>
      <c r="AF1915" s="43">
        <f>IF($B1915="","",SUM($T1915:$AE1915))</f>
        <v/>
      </c>
      <c r="AG1915" s="43">
        <f>IF($B1915="","",N($M1915)-N($AF1915))</f>
        <v/>
      </c>
      <c r="AH1915" s="43">
        <f>IF($B1915="","",N($L1915)-N($AF1915))</f>
        <v/>
      </c>
      <c r="AI1915" s="149">
        <f>IF($B1915="","",IF(N($L1915)=0,"",(N($L1915)-N($AF1915))/N($L1915)))</f>
        <v/>
      </c>
    </row>
    <row r="1916">
      <c r="A1916" s="39">
        <f>IF($B1916="","",COUNTA($B$4:$B1916))</f>
        <v/>
      </c>
      <c r="B1916" s="40" t="n"/>
      <c r="C1916" s="41" t="n"/>
      <c r="D1916" s="41" t="n"/>
      <c r="E1916" s="41" t="n"/>
      <c r="F1916" s="41" t="n"/>
      <c r="G1916" s="41" t="n"/>
      <c r="H1916" s="41" t="n"/>
      <c r="I1916" s="41" t="n"/>
      <c r="J1916" s="41" t="n"/>
      <c r="K1916" s="41" t="n"/>
      <c r="L1916" s="42" t="n"/>
      <c r="M1916" s="42" t="n"/>
      <c r="N1916" s="42" t="n"/>
      <c r="O1916" s="42" t="n"/>
      <c r="P1916" s="42" t="n"/>
      <c r="Q1916" s="42" t="n"/>
      <c r="R1916" s="43">
        <f>IF($B1916="","",N($S1916)-N($Q1916))</f>
        <v/>
      </c>
      <c r="S1916" s="43">
        <f>IF($B1916="","",N($L1916)+N($N1916)+N($P1916))</f>
        <v/>
      </c>
      <c r="T1916" s="42" t="n"/>
      <c r="U1916" s="42" t="n"/>
      <c r="V1916" s="42" t="n"/>
      <c r="W1916" s="42" t="n"/>
      <c r="X1916" s="42" t="n"/>
      <c r="Y1916" s="42" t="n"/>
      <c r="Z1916" s="42" t="n"/>
      <c r="AA1916" s="42" t="n"/>
      <c r="AB1916" s="42" t="n"/>
      <c r="AC1916" s="42" t="n"/>
      <c r="AD1916" s="42" t="n"/>
      <c r="AE1916" s="42" t="n"/>
      <c r="AF1916" s="43">
        <f>IF($B1916="","",SUM($T1916:$AE1916))</f>
        <v/>
      </c>
      <c r="AG1916" s="43">
        <f>IF($B1916="","",N($M1916)-N($AF1916))</f>
        <v/>
      </c>
      <c r="AH1916" s="43">
        <f>IF($B1916="","",N($L1916)-N($AF1916))</f>
        <v/>
      </c>
      <c r="AI1916" s="149">
        <f>IF($B1916="","",IF(N($L1916)=0,"",(N($L1916)-N($AF1916))/N($L1916)))</f>
        <v/>
      </c>
    </row>
    <row r="1917">
      <c r="A1917" s="39">
        <f>IF($B1917="","",COUNTA($B$4:$B1917))</f>
        <v/>
      </c>
      <c r="B1917" s="45" t="n"/>
      <c r="C1917" s="46" t="n"/>
      <c r="D1917" s="46" t="n"/>
      <c r="E1917" s="46" t="n"/>
      <c r="F1917" s="46" t="n"/>
      <c r="G1917" s="46" t="n"/>
      <c r="H1917" s="46" t="n"/>
      <c r="I1917" s="46" t="n"/>
      <c r="J1917" s="46" t="n"/>
      <c r="K1917" s="46" t="n"/>
      <c r="L1917" s="47" t="n"/>
      <c r="M1917" s="47" t="n"/>
      <c r="N1917" s="47" t="n"/>
      <c r="O1917" s="47" t="n"/>
      <c r="P1917" s="47" t="n"/>
      <c r="Q1917" s="47" t="n"/>
      <c r="R1917" s="43">
        <f>IF($B1917="","",N($S1917)-N($Q1917))</f>
        <v/>
      </c>
      <c r="S1917" s="43">
        <f>IF($B1917="","",N($L1917)+N($N1917)+N($P1917))</f>
        <v/>
      </c>
      <c r="T1917" s="47" t="n"/>
      <c r="U1917" s="47" t="n"/>
      <c r="V1917" s="47" t="n"/>
      <c r="W1917" s="47" t="n"/>
      <c r="X1917" s="47" t="n"/>
      <c r="Y1917" s="47" t="n"/>
      <c r="Z1917" s="47" t="n"/>
      <c r="AA1917" s="47" t="n"/>
      <c r="AB1917" s="47" t="n"/>
      <c r="AC1917" s="47" t="n"/>
      <c r="AD1917" s="47" t="n"/>
      <c r="AE1917" s="47" t="n"/>
      <c r="AF1917" s="43">
        <f>IF($B1917="","",SUM($T1917:$AE1917))</f>
        <v/>
      </c>
      <c r="AG1917" s="43">
        <f>IF($B1917="","",N($M1917)-N($AF1917))</f>
        <v/>
      </c>
      <c r="AH1917" s="43">
        <f>IF($B1917="","",N($L1917)-N($AF1917))</f>
        <v/>
      </c>
      <c r="AI1917" s="149">
        <f>IF($B1917="","",IF(N($L1917)=0,"",(N($L1917)-N($AF1917))/N($L1917)))</f>
        <v/>
      </c>
    </row>
    <row r="1918">
      <c r="A1918" s="39">
        <f>IF($B1918="","",COUNTA($B$4:$B1918))</f>
        <v/>
      </c>
      <c r="B1918" s="40" t="n"/>
      <c r="C1918" s="41" t="n"/>
      <c r="D1918" s="41" t="n"/>
      <c r="E1918" s="41" t="n"/>
      <c r="F1918" s="41" t="n"/>
      <c r="G1918" s="41" t="n"/>
      <c r="H1918" s="41" t="n"/>
      <c r="I1918" s="41" t="n"/>
      <c r="J1918" s="41" t="n"/>
      <c r="K1918" s="41" t="n"/>
      <c r="L1918" s="42" t="n"/>
      <c r="M1918" s="42" t="n"/>
      <c r="N1918" s="42" t="n"/>
      <c r="O1918" s="42" t="n"/>
      <c r="P1918" s="42" t="n"/>
      <c r="Q1918" s="42" t="n"/>
      <c r="R1918" s="43">
        <f>IF($B1918="","",N($S1918)-N($Q1918))</f>
        <v/>
      </c>
      <c r="S1918" s="43">
        <f>IF($B1918="","",N($L1918)+N($N1918)+N($P1918))</f>
        <v/>
      </c>
      <c r="T1918" s="42" t="n"/>
      <c r="U1918" s="42" t="n"/>
      <c r="V1918" s="42" t="n"/>
      <c r="W1918" s="42" t="n"/>
      <c r="X1918" s="42" t="n"/>
      <c r="Y1918" s="42" t="n"/>
      <c r="Z1918" s="42" t="n"/>
      <c r="AA1918" s="42" t="n"/>
      <c r="AB1918" s="42" t="n"/>
      <c r="AC1918" s="42" t="n"/>
      <c r="AD1918" s="42" t="n"/>
      <c r="AE1918" s="42" t="n"/>
      <c r="AF1918" s="43">
        <f>IF($B1918="","",SUM($T1918:$AE1918))</f>
        <v/>
      </c>
      <c r="AG1918" s="43">
        <f>IF($B1918="","",N($M1918)-N($AF1918))</f>
        <v/>
      </c>
      <c r="AH1918" s="43">
        <f>IF($B1918="","",N($L1918)-N($AF1918))</f>
        <v/>
      </c>
      <c r="AI1918" s="149">
        <f>IF($B1918="","",IF(N($L1918)=0,"",(N($L1918)-N($AF1918))/N($L1918)))</f>
        <v/>
      </c>
    </row>
    <row r="1919">
      <c r="A1919" s="39">
        <f>IF($B1919="","",COUNTA($B$4:$B1919))</f>
        <v/>
      </c>
      <c r="B1919" s="45" t="n"/>
      <c r="C1919" s="46" t="n"/>
      <c r="D1919" s="46" t="n"/>
      <c r="E1919" s="46" t="n"/>
      <c r="F1919" s="46" t="n"/>
      <c r="G1919" s="46" t="n"/>
      <c r="H1919" s="46" t="n"/>
      <c r="I1919" s="46" t="n"/>
      <c r="J1919" s="46" t="n"/>
      <c r="K1919" s="46" t="n"/>
      <c r="L1919" s="47" t="n"/>
      <c r="M1919" s="47" t="n"/>
      <c r="N1919" s="47" t="n"/>
      <c r="O1919" s="47" t="n"/>
      <c r="P1919" s="47" t="n"/>
      <c r="Q1919" s="47" t="n"/>
      <c r="R1919" s="43">
        <f>IF($B1919="","",N($S1919)-N($Q1919))</f>
        <v/>
      </c>
      <c r="S1919" s="43">
        <f>IF($B1919="","",N($L1919)+N($N1919)+N($P1919))</f>
        <v/>
      </c>
      <c r="T1919" s="47" t="n"/>
      <c r="U1919" s="47" t="n"/>
      <c r="V1919" s="47" t="n"/>
      <c r="W1919" s="47" t="n"/>
      <c r="X1919" s="47" t="n"/>
      <c r="Y1919" s="47" t="n"/>
      <c r="Z1919" s="47" t="n"/>
      <c r="AA1919" s="47" t="n"/>
      <c r="AB1919" s="47" t="n"/>
      <c r="AC1919" s="47" t="n"/>
      <c r="AD1919" s="47" t="n"/>
      <c r="AE1919" s="47" t="n"/>
      <c r="AF1919" s="43">
        <f>IF($B1919="","",SUM($T1919:$AE1919))</f>
        <v/>
      </c>
      <c r="AG1919" s="43">
        <f>IF($B1919="","",N($M1919)-N($AF1919))</f>
        <v/>
      </c>
      <c r="AH1919" s="43">
        <f>IF($B1919="","",N($L1919)-N($AF1919))</f>
        <v/>
      </c>
      <c r="AI1919" s="149">
        <f>IF($B1919="","",IF(N($L1919)=0,"",(N($L1919)-N($AF1919))/N($L1919)))</f>
        <v/>
      </c>
    </row>
    <row r="1920">
      <c r="A1920" s="39">
        <f>IF($B1920="","",COUNTA($B$4:$B1920))</f>
        <v/>
      </c>
      <c r="B1920" s="40" t="n"/>
      <c r="C1920" s="41" t="n"/>
      <c r="D1920" s="41" t="n"/>
      <c r="E1920" s="41" t="n"/>
      <c r="F1920" s="41" t="n"/>
      <c r="G1920" s="41" t="n"/>
      <c r="H1920" s="41" t="n"/>
      <c r="I1920" s="41" t="n"/>
      <c r="J1920" s="41" t="n"/>
      <c r="K1920" s="41" t="n"/>
      <c r="L1920" s="42" t="n"/>
      <c r="M1920" s="42" t="n"/>
      <c r="N1920" s="42" t="n"/>
      <c r="O1920" s="42" t="n"/>
      <c r="P1920" s="42" t="n"/>
      <c r="Q1920" s="42" t="n"/>
      <c r="R1920" s="43">
        <f>IF($B1920="","",N($S1920)-N($Q1920))</f>
        <v/>
      </c>
      <c r="S1920" s="43">
        <f>IF($B1920="","",N($L1920)+N($N1920)+N($P1920))</f>
        <v/>
      </c>
      <c r="T1920" s="42" t="n"/>
      <c r="U1920" s="42" t="n"/>
      <c r="V1920" s="42" t="n"/>
      <c r="W1920" s="42" t="n"/>
      <c r="X1920" s="42" t="n"/>
      <c r="Y1920" s="42" t="n"/>
      <c r="Z1920" s="42" t="n"/>
      <c r="AA1920" s="42" t="n"/>
      <c r="AB1920" s="42" t="n"/>
      <c r="AC1920" s="42" t="n"/>
      <c r="AD1920" s="42" t="n"/>
      <c r="AE1920" s="42" t="n"/>
      <c r="AF1920" s="43">
        <f>IF($B1920="","",SUM($T1920:$AE1920))</f>
        <v/>
      </c>
      <c r="AG1920" s="43">
        <f>IF($B1920="","",N($M1920)-N($AF1920))</f>
        <v/>
      </c>
      <c r="AH1920" s="43">
        <f>IF($B1920="","",N($L1920)-N($AF1920))</f>
        <v/>
      </c>
      <c r="AI1920" s="149">
        <f>IF($B1920="","",IF(N($L1920)=0,"",(N($L1920)-N($AF1920))/N($L1920)))</f>
        <v/>
      </c>
    </row>
    <row r="1921">
      <c r="A1921" s="39">
        <f>IF($B1921="","",COUNTA($B$4:$B1921))</f>
        <v/>
      </c>
      <c r="B1921" s="45" t="n"/>
      <c r="C1921" s="46" t="n"/>
      <c r="D1921" s="46" t="n"/>
      <c r="E1921" s="46" t="n"/>
      <c r="F1921" s="46" t="n"/>
      <c r="G1921" s="46" t="n"/>
      <c r="H1921" s="46" t="n"/>
      <c r="I1921" s="46" t="n"/>
      <c r="J1921" s="46" t="n"/>
      <c r="K1921" s="46" t="n"/>
      <c r="L1921" s="47" t="n"/>
      <c r="M1921" s="47" t="n"/>
      <c r="N1921" s="47" t="n"/>
      <c r="O1921" s="47" t="n"/>
      <c r="P1921" s="47" t="n"/>
      <c r="Q1921" s="47" t="n"/>
      <c r="R1921" s="43">
        <f>IF($B1921="","",N($S1921)-N($Q1921))</f>
        <v/>
      </c>
      <c r="S1921" s="43">
        <f>IF($B1921="","",N($L1921)+N($N1921)+N($P1921))</f>
        <v/>
      </c>
      <c r="T1921" s="47" t="n"/>
      <c r="U1921" s="47" t="n"/>
      <c r="V1921" s="47" t="n"/>
      <c r="W1921" s="47" t="n"/>
      <c r="X1921" s="47" t="n"/>
      <c r="Y1921" s="47" t="n"/>
      <c r="Z1921" s="47" t="n"/>
      <c r="AA1921" s="47" t="n"/>
      <c r="AB1921" s="47" t="n"/>
      <c r="AC1921" s="47" t="n"/>
      <c r="AD1921" s="47" t="n"/>
      <c r="AE1921" s="47" t="n"/>
      <c r="AF1921" s="43">
        <f>IF($B1921="","",SUM($T1921:$AE1921))</f>
        <v/>
      </c>
      <c r="AG1921" s="43">
        <f>IF($B1921="","",N($M1921)-N($AF1921))</f>
        <v/>
      </c>
      <c r="AH1921" s="43">
        <f>IF($B1921="","",N($L1921)-N($AF1921))</f>
        <v/>
      </c>
      <c r="AI1921" s="149">
        <f>IF($B1921="","",IF(N($L1921)=0,"",(N($L1921)-N($AF1921))/N($L1921)))</f>
        <v/>
      </c>
    </row>
    <row r="1922">
      <c r="A1922" s="39">
        <f>IF($B1922="","",COUNTA($B$4:$B1922))</f>
        <v/>
      </c>
      <c r="B1922" s="40" t="n"/>
      <c r="C1922" s="41" t="n"/>
      <c r="D1922" s="41" t="n"/>
      <c r="E1922" s="41" t="n"/>
      <c r="F1922" s="41" t="n"/>
      <c r="G1922" s="41" t="n"/>
      <c r="H1922" s="41" t="n"/>
      <c r="I1922" s="41" t="n"/>
      <c r="J1922" s="41" t="n"/>
      <c r="K1922" s="41" t="n"/>
      <c r="L1922" s="42" t="n"/>
      <c r="M1922" s="42" t="n"/>
      <c r="N1922" s="42" t="n"/>
      <c r="O1922" s="42" t="n"/>
      <c r="P1922" s="42" t="n"/>
      <c r="Q1922" s="42" t="n"/>
      <c r="R1922" s="43">
        <f>IF($B1922="","",N($S1922)-N($Q1922))</f>
        <v/>
      </c>
      <c r="S1922" s="43">
        <f>IF($B1922="","",N($L1922)+N($N1922)+N($P1922))</f>
        <v/>
      </c>
      <c r="T1922" s="42" t="n"/>
      <c r="U1922" s="42" t="n"/>
      <c r="V1922" s="42" t="n"/>
      <c r="W1922" s="42" t="n"/>
      <c r="X1922" s="42" t="n"/>
      <c r="Y1922" s="42" t="n"/>
      <c r="Z1922" s="42" t="n"/>
      <c r="AA1922" s="42" t="n"/>
      <c r="AB1922" s="42" t="n"/>
      <c r="AC1922" s="42" t="n"/>
      <c r="AD1922" s="42" t="n"/>
      <c r="AE1922" s="42" t="n"/>
      <c r="AF1922" s="43">
        <f>IF($B1922="","",SUM($T1922:$AE1922))</f>
        <v/>
      </c>
      <c r="AG1922" s="43">
        <f>IF($B1922="","",N($M1922)-N($AF1922))</f>
        <v/>
      </c>
      <c r="AH1922" s="43">
        <f>IF($B1922="","",N($L1922)-N($AF1922))</f>
        <v/>
      </c>
      <c r="AI1922" s="149">
        <f>IF($B1922="","",IF(N($L1922)=0,"",(N($L1922)-N($AF1922))/N($L1922)))</f>
        <v/>
      </c>
    </row>
    <row r="1923">
      <c r="A1923" s="39">
        <f>IF($B1923="","",COUNTA($B$4:$B1923))</f>
        <v/>
      </c>
      <c r="B1923" s="45" t="n"/>
      <c r="C1923" s="46" t="n"/>
      <c r="D1923" s="46" t="n"/>
      <c r="E1923" s="46" t="n"/>
      <c r="F1923" s="46" t="n"/>
      <c r="G1923" s="46" t="n"/>
      <c r="H1923" s="46" t="n"/>
      <c r="I1923" s="46" t="n"/>
      <c r="J1923" s="46" t="n"/>
      <c r="K1923" s="46" t="n"/>
      <c r="L1923" s="47" t="n"/>
      <c r="M1923" s="47" t="n"/>
      <c r="N1923" s="47" t="n"/>
      <c r="O1923" s="47" t="n"/>
      <c r="P1923" s="47" t="n"/>
      <c r="Q1923" s="47" t="n"/>
      <c r="R1923" s="43">
        <f>IF($B1923="","",N($S1923)-N($Q1923))</f>
        <v/>
      </c>
      <c r="S1923" s="43">
        <f>IF($B1923="","",N($L1923)+N($N1923)+N($P1923))</f>
        <v/>
      </c>
      <c r="T1923" s="47" t="n"/>
      <c r="U1923" s="47" t="n"/>
      <c r="V1923" s="47" t="n"/>
      <c r="W1923" s="47" t="n"/>
      <c r="X1923" s="47" t="n"/>
      <c r="Y1923" s="47" t="n"/>
      <c r="Z1923" s="47" t="n"/>
      <c r="AA1923" s="47" t="n"/>
      <c r="AB1923" s="47" t="n"/>
      <c r="AC1923" s="47" t="n"/>
      <c r="AD1923" s="47" t="n"/>
      <c r="AE1923" s="47" t="n"/>
      <c r="AF1923" s="43">
        <f>IF($B1923="","",SUM($T1923:$AE1923))</f>
        <v/>
      </c>
      <c r="AG1923" s="43">
        <f>IF($B1923="","",N($M1923)-N($AF1923))</f>
        <v/>
      </c>
      <c r="AH1923" s="43">
        <f>IF($B1923="","",N($L1923)-N($AF1923))</f>
        <v/>
      </c>
      <c r="AI1923" s="149">
        <f>IF($B1923="","",IF(N($L1923)=0,"",(N($L1923)-N($AF1923))/N($L1923)))</f>
        <v/>
      </c>
    </row>
    <row r="1924">
      <c r="A1924" s="39">
        <f>IF($B1924="","",COUNTA($B$4:$B1924))</f>
        <v/>
      </c>
      <c r="B1924" s="40" t="n"/>
      <c r="C1924" s="41" t="n"/>
      <c r="D1924" s="41" t="n"/>
      <c r="E1924" s="41" t="n"/>
      <c r="F1924" s="41" t="n"/>
      <c r="G1924" s="41" t="n"/>
      <c r="H1924" s="41" t="n"/>
      <c r="I1924" s="41" t="n"/>
      <c r="J1924" s="41" t="n"/>
      <c r="K1924" s="41" t="n"/>
      <c r="L1924" s="42" t="n"/>
      <c r="M1924" s="42" t="n"/>
      <c r="N1924" s="42" t="n"/>
      <c r="O1924" s="42" t="n"/>
      <c r="P1924" s="42" t="n"/>
      <c r="Q1924" s="42" t="n"/>
      <c r="R1924" s="43">
        <f>IF($B1924="","",N($S1924)-N($Q1924))</f>
        <v/>
      </c>
      <c r="S1924" s="43">
        <f>IF($B1924="","",N($L1924)+N($N1924)+N($P1924))</f>
        <v/>
      </c>
      <c r="T1924" s="42" t="n"/>
      <c r="U1924" s="42" t="n"/>
      <c r="V1924" s="42" t="n"/>
      <c r="W1924" s="42" t="n"/>
      <c r="X1924" s="42" t="n"/>
      <c r="Y1924" s="42" t="n"/>
      <c r="Z1924" s="42" t="n"/>
      <c r="AA1924" s="42" t="n"/>
      <c r="AB1924" s="42" t="n"/>
      <c r="AC1924" s="42" t="n"/>
      <c r="AD1924" s="42" t="n"/>
      <c r="AE1924" s="42" t="n"/>
      <c r="AF1924" s="43">
        <f>IF($B1924="","",SUM($T1924:$AE1924))</f>
        <v/>
      </c>
      <c r="AG1924" s="43">
        <f>IF($B1924="","",N($M1924)-N($AF1924))</f>
        <v/>
      </c>
      <c r="AH1924" s="43">
        <f>IF($B1924="","",N($L1924)-N($AF1924))</f>
        <v/>
      </c>
      <c r="AI1924" s="149">
        <f>IF($B1924="","",IF(N($L1924)=0,"",(N($L1924)-N($AF1924))/N($L1924)))</f>
        <v/>
      </c>
    </row>
    <row r="1925">
      <c r="A1925" s="39">
        <f>IF($B1925="","",COUNTA($B$4:$B1925))</f>
        <v/>
      </c>
      <c r="B1925" s="45" t="n"/>
      <c r="C1925" s="46" t="n"/>
      <c r="D1925" s="46" t="n"/>
      <c r="E1925" s="46" t="n"/>
      <c r="F1925" s="46" t="n"/>
      <c r="G1925" s="46" t="n"/>
      <c r="H1925" s="46" t="n"/>
      <c r="I1925" s="46" t="n"/>
      <c r="J1925" s="46" t="n"/>
      <c r="K1925" s="46" t="n"/>
      <c r="L1925" s="47" t="n"/>
      <c r="M1925" s="47" t="n"/>
      <c r="N1925" s="47" t="n"/>
      <c r="O1925" s="47" t="n"/>
      <c r="P1925" s="47" t="n"/>
      <c r="Q1925" s="47" t="n"/>
      <c r="R1925" s="43">
        <f>IF($B1925="","",N($S1925)-N($Q1925))</f>
        <v/>
      </c>
      <c r="S1925" s="43">
        <f>IF($B1925="","",N($L1925)+N($N1925)+N($P1925))</f>
        <v/>
      </c>
      <c r="T1925" s="47" t="n"/>
      <c r="U1925" s="47" t="n"/>
      <c r="V1925" s="47" t="n"/>
      <c r="W1925" s="47" t="n"/>
      <c r="X1925" s="47" t="n"/>
      <c r="Y1925" s="47" t="n"/>
      <c r="Z1925" s="47" t="n"/>
      <c r="AA1925" s="47" t="n"/>
      <c r="AB1925" s="47" t="n"/>
      <c r="AC1925" s="47" t="n"/>
      <c r="AD1925" s="47" t="n"/>
      <c r="AE1925" s="47" t="n"/>
      <c r="AF1925" s="43">
        <f>IF($B1925="","",SUM($T1925:$AE1925))</f>
        <v/>
      </c>
      <c r="AG1925" s="43">
        <f>IF($B1925="","",N($M1925)-N($AF1925))</f>
        <v/>
      </c>
      <c r="AH1925" s="43">
        <f>IF($B1925="","",N($L1925)-N($AF1925))</f>
        <v/>
      </c>
      <c r="AI1925" s="149">
        <f>IF($B1925="","",IF(N($L1925)=0,"",(N($L1925)-N($AF1925))/N($L1925)))</f>
        <v/>
      </c>
    </row>
    <row r="1926">
      <c r="A1926" s="39">
        <f>IF($B1926="","",COUNTA($B$4:$B1926))</f>
        <v/>
      </c>
      <c r="B1926" s="40" t="n"/>
      <c r="C1926" s="41" t="n"/>
      <c r="D1926" s="41" t="n"/>
      <c r="E1926" s="41" t="n"/>
      <c r="F1926" s="41" t="n"/>
      <c r="G1926" s="41" t="n"/>
      <c r="H1926" s="41" t="n"/>
      <c r="I1926" s="41" t="n"/>
      <c r="J1926" s="41" t="n"/>
      <c r="K1926" s="41" t="n"/>
      <c r="L1926" s="42" t="n"/>
      <c r="M1926" s="42" t="n"/>
      <c r="N1926" s="42" t="n"/>
      <c r="O1926" s="42" t="n"/>
      <c r="P1926" s="42" t="n"/>
      <c r="Q1926" s="42" t="n"/>
      <c r="R1926" s="43">
        <f>IF($B1926="","",N($S1926)-N($Q1926))</f>
        <v/>
      </c>
      <c r="S1926" s="43">
        <f>IF($B1926="","",N($L1926)+N($N1926)+N($P1926))</f>
        <v/>
      </c>
      <c r="T1926" s="42" t="n"/>
      <c r="U1926" s="42" t="n"/>
      <c r="V1926" s="42" t="n"/>
      <c r="W1926" s="42" t="n"/>
      <c r="X1926" s="42" t="n"/>
      <c r="Y1926" s="42" t="n"/>
      <c r="Z1926" s="42" t="n"/>
      <c r="AA1926" s="42" t="n"/>
      <c r="AB1926" s="42" t="n"/>
      <c r="AC1926" s="42" t="n"/>
      <c r="AD1926" s="42" t="n"/>
      <c r="AE1926" s="42" t="n"/>
      <c r="AF1926" s="43">
        <f>IF($B1926="","",SUM($T1926:$AE1926))</f>
        <v/>
      </c>
      <c r="AG1926" s="43">
        <f>IF($B1926="","",N($M1926)-N($AF1926))</f>
        <v/>
      </c>
      <c r="AH1926" s="43">
        <f>IF($B1926="","",N($L1926)-N($AF1926))</f>
        <v/>
      </c>
      <c r="AI1926" s="149">
        <f>IF($B1926="","",IF(N($L1926)=0,"",(N($L1926)-N($AF1926))/N($L1926)))</f>
        <v/>
      </c>
    </row>
    <row r="1927">
      <c r="A1927" s="39">
        <f>IF($B1927="","",COUNTA($B$4:$B1927))</f>
        <v/>
      </c>
      <c r="B1927" s="45" t="n"/>
      <c r="C1927" s="46" t="n"/>
      <c r="D1927" s="46" t="n"/>
      <c r="E1927" s="46" t="n"/>
      <c r="F1927" s="46" t="n"/>
      <c r="G1927" s="46" t="n"/>
      <c r="H1927" s="46" t="n"/>
      <c r="I1927" s="46" t="n"/>
      <c r="J1927" s="46" t="n"/>
      <c r="K1927" s="46" t="n"/>
      <c r="L1927" s="47" t="n"/>
      <c r="M1927" s="47" t="n"/>
      <c r="N1927" s="47" t="n"/>
      <c r="O1927" s="47" t="n"/>
      <c r="P1927" s="47" t="n"/>
      <c r="Q1927" s="47" t="n"/>
      <c r="R1927" s="43">
        <f>IF($B1927="","",N($S1927)-N($Q1927))</f>
        <v/>
      </c>
      <c r="S1927" s="43">
        <f>IF($B1927="","",N($L1927)+N($N1927)+N($P1927))</f>
        <v/>
      </c>
      <c r="T1927" s="47" t="n"/>
      <c r="U1927" s="47" t="n"/>
      <c r="V1927" s="47" t="n"/>
      <c r="W1927" s="47" t="n"/>
      <c r="X1927" s="47" t="n"/>
      <c r="Y1927" s="47" t="n"/>
      <c r="Z1927" s="47" t="n"/>
      <c r="AA1927" s="47" t="n"/>
      <c r="AB1927" s="47" t="n"/>
      <c r="AC1927" s="47" t="n"/>
      <c r="AD1927" s="47" t="n"/>
      <c r="AE1927" s="47" t="n"/>
      <c r="AF1927" s="43">
        <f>IF($B1927="","",SUM($T1927:$AE1927))</f>
        <v/>
      </c>
      <c r="AG1927" s="43">
        <f>IF($B1927="","",N($M1927)-N($AF1927))</f>
        <v/>
      </c>
      <c r="AH1927" s="43">
        <f>IF($B1927="","",N($L1927)-N($AF1927))</f>
        <v/>
      </c>
      <c r="AI1927" s="149">
        <f>IF($B1927="","",IF(N($L1927)=0,"",(N($L1927)-N($AF1927))/N($L1927)))</f>
        <v/>
      </c>
    </row>
    <row r="1928">
      <c r="A1928" s="39">
        <f>IF($B1928="","",COUNTA($B$4:$B1928))</f>
        <v/>
      </c>
      <c r="B1928" s="40" t="n"/>
      <c r="C1928" s="41" t="n"/>
      <c r="D1928" s="41" t="n"/>
      <c r="E1928" s="41" t="n"/>
      <c r="F1928" s="41" t="n"/>
      <c r="G1928" s="41" t="n"/>
      <c r="H1928" s="41" t="n"/>
      <c r="I1928" s="41" t="n"/>
      <c r="J1928" s="41" t="n"/>
      <c r="K1928" s="41" t="n"/>
      <c r="L1928" s="42" t="n"/>
      <c r="M1928" s="42" t="n"/>
      <c r="N1928" s="42" t="n"/>
      <c r="O1928" s="42" t="n"/>
      <c r="P1928" s="42" t="n"/>
      <c r="Q1928" s="42" t="n"/>
      <c r="R1928" s="43">
        <f>IF($B1928="","",N($S1928)-N($Q1928))</f>
        <v/>
      </c>
      <c r="S1928" s="43">
        <f>IF($B1928="","",N($L1928)+N($N1928)+N($P1928))</f>
        <v/>
      </c>
      <c r="T1928" s="42" t="n"/>
      <c r="U1928" s="42" t="n"/>
      <c r="V1928" s="42" t="n"/>
      <c r="W1928" s="42" t="n"/>
      <c r="X1928" s="42" t="n"/>
      <c r="Y1928" s="42" t="n"/>
      <c r="Z1928" s="42" t="n"/>
      <c r="AA1928" s="42" t="n"/>
      <c r="AB1928" s="42" t="n"/>
      <c r="AC1928" s="42" t="n"/>
      <c r="AD1928" s="42" t="n"/>
      <c r="AE1928" s="42" t="n"/>
      <c r="AF1928" s="43">
        <f>IF($B1928="","",SUM($T1928:$AE1928))</f>
        <v/>
      </c>
      <c r="AG1928" s="43">
        <f>IF($B1928="","",N($M1928)-N($AF1928))</f>
        <v/>
      </c>
      <c r="AH1928" s="43">
        <f>IF($B1928="","",N($L1928)-N($AF1928))</f>
        <v/>
      </c>
      <c r="AI1928" s="149">
        <f>IF($B1928="","",IF(N($L1928)=0,"",(N($L1928)-N($AF1928))/N($L1928)))</f>
        <v/>
      </c>
    </row>
    <row r="1929">
      <c r="A1929" s="39">
        <f>IF($B1929="","",COUNTA($B$4:$B1929))</f>
        <v/>
      </c>
      <c r="B1929" s="45" t="n"/>
      <c r="C1929" s="46" t="n"/>
      <c r="D1929" s="46" t="n"/>
      <c r="E1929" s="46" t="n"/>
      <c r="F1929" s="46" t="n"/>
      <c r="G1929" s="46" t="n"/>
      <c r="H1929" s="46" t="n"/>
      <c r="I1929" s="46" t="n"/>
      <c r="J1929" s="46" t="n"/>
      <c r="K1929" s="46" t="n"/>
      <c r="L1929" s="47" t="n"/>
      <c r="M1929" s="47" t="n"/>
      <c r="N1929" s="47" t="n"/>
      <c r="O1929" s="47" t="n"/>
      <c r="P1929" s="47" t="n"/>
      <c r="Q1929" s="47" t="n"/>
      <c r="R1929" s="43">
        <f>IF($B1929="","",N($S1929)-N($Q1929))</f>
        <v/>
      </c>
      <c r="S1929" s="43">
        <f>IF($B1929="","",N($L1929)+N($N1929)+N($P1929))</f>
        <v/>
      </c>
      <c r="T1929" s="47" t="n"/>
      <c r="U1929" s="47" t="n"/>
      <c r="V1929" s="47" t="n"/>
      <c r="W1929" s="47" t="n"/>
      <c r="X1929" s="47" t="n"/>
      <c r="Y1929" s="47" t="n"/>
      <c r="Z1929" s="47" t="n"/>
      <c r="AA1929" s="47" t="n"/>
      <c r="AB1929" s="47" t="n"/>
      <c r="AC1929" s="47" t="n"/>
      <c r="AD1929" s="47" t="n"/>
      <c r="AE1929" s="47" t="n"/>
      <c r="AF1929" s="43">
        <f>IF($B1929="","",SUM($T1929:$AE1929))</f>
        <v/>
      </c>
      <c r="AG1929" s="43">
        <f>IF($B1929="","",N($M1929)-N($AF1929))</f>
        <v/>
      </c>
      <c r="AH1929" s="43">
        <f>IF($B1929="","",N($L1929)-N($AF1929))</f>
        <v/>
      </c>
      <c r="AI1929" s="149">
        <f>IF($B1929="","",IF(N($L1929)=0,"",(N($L1929)-N($AF1929))/N($L1929)))</f>
        <v/>
      </c>
    </row>
    <row r="1930">
      <c r="A1930" s="39">
        <f>IF($B1930="","",COUNTA($B$4:$B1930))</f>
        <v/>
      </c>
      <c r="B1930" s="40" t="n"/>
      <c r="C1930" s="41" t="n"/>
      <c r="D1930" s="41" t="n"/>
      <c r="E1930" s="41" t="n"/>
      <c r="F1930" s="41" t="n"/>
      <c r="G1930" s="41" t="n"/>
      <c r="H1930" s="41" t="n"/>
      <c r="I1930" s="41" t="n"/>
      <c r="J1930" s="41" t="n"/>
      <c r="K1930" s="41" t="n"/>
      <c r="L1930" s="42" t="n"/>
      <c r="M1930" s="42" t="n"/>
      <c r="N1930" s="42" t="n"/>
      <c r="O1930" s="42" t="n"/>
      <c r="P1930" s="42" t="n"/>
      <c r="Q1930" s="42" t="n"/>
      <c r="R1930" s="43">
        <f>IF($B1930="","",N($S1930)-N($Q1930))</f>
        <v/>
      </c>
      <c r="S1930" s="43">
        <f>IF($B1930="","",N($L1930)+N($N1930)+N($P1930))</f>
        <v/>
      </c>
      <c r="T1930" s="42" t="n"/>
      <c r="U1930" s="42" t="n"/>
      <c r="V1930" s="42" t="n"/>
      <c r="W1930" s="42" t="n"/>
      <c r="X1930" s="42" t="n"/>
      <c r="Y1930" s="42" t="n"/>
      <c r="Z1930" s="42" t="n"/>
      <c r="AA1930" s="42" t="n"/>
      <c r="AB1930" s="42" t="n"/>
      <c r="AC1930" s="42" t="n"/>
      <c r="AD1930" s="42" t="n"/>
      <c r="AE1930" s="42" t="n"/>
      <c r="AF1930" s="43">
        <f>IF($B1930="","",SUM($T1930:$AE1930))</f>
        <v/>
      </c>
      <c r="AG1930" s="43">
        <f>IF($B1930="","",N($M1930)-N($AF1930))</f>
        <v/>
      </c>
      <c r="AH1930" s="43">
        <f>IF($B1930="","",N($L1930)-N($AF1930))</f>
        <v/>
      </c>
      <c r="AI1930" s="149">
        <f>IF($B1930="","",IF(N($L1930)=0,"",(N($L1930)-N($AF1930))/N($L1930)))</f>
        <v/>
      </c>
    </row>
    <row r="1931">
      <c r="A1931" s="39">
        <f>IF($B1931="","",COUNTA($B$4:$B1931))</f>
        <v/>
      </c>
      <c r="B1931" s="45" t="n"/>
      <c r="C1931" s="46" t="n"/>
      <c r="D1931" s="46" t="n"/>
      <c r="E1931" s="46" t="n"/>
      <c r="F1931" s="46" t="n"/>
      <c r="G1931" s="46" t="n"/>
      <c r="H1931" s="46" t="n"/>
      <c r="I1931" s="46" t="n"/>
      <c r="J1931" s="46" t="n"/>
      <c r="K1931" s="46" t="n"/>
      <c r="L1931" s="47" t="n"/>
      <c r="M1931" s="47" t="n"/>
      <c r="N1931" s="47" t="n"/>
      <c r="O1931" s="47" t="n"/>
      <c r="P1931" s="47" t="n"/>
      <c r="Q1931" s="47" t="n"/>
      <c r="R1931" s="43">
        <f>IF($B1931="","",N($S1931)-N($Q1931))</f>
        <v/>
      </c>
      <c r="S1931" s="43">
        <f>IF($B1931="","",N($L1931)+N($N1931)+N($P1931))</f>
        <v/>
      </c>
      <c r="T1931" s="47" t="n"/>
      <c r="U1931" s="47" t="n"/>
      <c r="V1931" s="47" t="n"/>
      <c r="W1931" s="47" t="n"/>
      <c r="X1931" s="47" t="n"/>
      <c r="Y1931" s="47" t="n"/>
      <c r="Z1931" s="47" t="n"/>
      <c r="AA1931" s="47" t="n"/>
      <c r="AB1931" s="47" t="n"/>
      <c r="AC1931" s="47" t="n"/>
      <c r="AD1931" s="47" t="n"/>
      <c r="AE1931" s="47" t="n"/>
      <c r="AF1931" s="43">
        <f>IF($B1931="","",SUM($T1931:$AE1931))</f>
        <v/>
      </c>
      <c r="AG1931" s="43">
        <f>IF($B1931="","",N($M1931)-N($AF1931))</f>
        <v/>
      </c>
      <c r="AH1931" s="43">
        <f>IF($B1931="","",N($L1931)-N($AF1931))</f>
        <v/>
      </c>
      <c r="AI1931" s="149">
        <f>IF($B1931="","",IF(N($L1931)=0,"",(N($L1931)-N($AF1931))/N($L1931)))</f>
        <v/>
      </c>
    </row>
    <row r="1932">
      <c r="A1932" s="39">
        <f>IF($B1932="","",COUNTA($B$4:$B1932))</f>
        <v/>
      </c>
      <c r="B1932" s="40" t="n"/>
      <c r="C1932" s="41" t="n"/>
      <c r="D1932" s="41" t="n"/>
      <c r="E1932" s="41" t="n"/>
      <c r="F1932" s="41" t="n"/>
      <c r="G1932" s="41" t="n"/>
      <c r="H1932" s="41" t="n"/>
      <c r="I1932" s="41" t="n"/>
      <c r="J1932" s="41" t="n"/>
      <c r="K1932" s="41" t="n"/>
      <c r="L1932" s="42" t="n"/>
      <c r="M1932" s="42" t="n"/>
      <c r="N1932" s="42" t="n"/>
      <c r="O1932" s="42" t="n"/>
      <c r="P1932" s="42" t="n"/>
      <c r="Q1932" s="42" t="n"/>
      <c r="R1932" s="43">
        <f>IF($B1932="","",N($S1932)-N($Q1932))</f>
        <v/>
      </c>
      <c r="S1932" s="43">
        <f>IF($B1932="","",N($L1932)+N($N1932)+N($P1932))</f>
        <v/>
      </c>
      <c r="T1932" s="42" t="n"/>
      <c r="U1932" s="42" t="n"/>
      <c r="V1932" s="42" t="n"/>
      <c r="W1932" s="42" t="n"/>
      <c r="X1932" s="42" t="n"/>
      <c r="Y1932" s="42" t="n"/>
      <c r="Z1932" s="42" t="n"/>
      <c r="AA1932" s="42" t="n"/>
      <c r="AB1932" s="42" t="n"/>
      <c r="AC1932" s="42" t="n"/>
      <c r="AD1932" s="42" t="n"/>
      <c r="AE1932" s="42" t="n"/>
      <c r="AF1932" s="43">
        <f>IF($B1932="","",SUM($T1932:$AE1932))</f>
        <v/>
      </c>
      <c r="AG1932" s="43">
        <f>IF($B1932="","",N($M1932)-N($AF1932))</f>
        <v/>
      </c>
      <c r="AH1932" s="43">
        <f>IF($B1932="","",N($L1932)-N($AF1932))</f>
        <v/>
      </c>
      <c r="AI1932" s="149">
        <f>IF($B1932="","",IF(N($L1932)=0,"",(N($L1932)-N($AF1932))/N($L1932)))</f>
        <v/>
      </c>
    </row>
    <row r="1933">
      <c r="A1933" s="39">
        <f>IF($B1933="","",COUNTA($B$4:$B1933))</f>
        <v/>
      </c>
      <c r="B1933" s="45" t="n"/>
      <c r="C1933" s="46" t="n"/>
      <c r="D1933" s="46" t="n"/>
      <c r="E1933" s="46" t="n"/>
      <c r="F1933" s="46" t="n"/>
      <c r="G1933" s="46" t="n"/>
      <c r="H1933" s="46" t="n"/>
      <c r="I1933" s="46" t="n"/>
      <c r="J1933" s="46" t="n"/>
      <c r="K1933" s="46" t="n"/>
      <c r="L1933" s="47" t="n"/>
      <c r="M1933" s="47" t="n"/>
      <c r="N1933" s="47" t="n"/>
      <c r="O1933" s="47" t="n"/>
      <c r="P1933" s="47" t="n"/>
      <c r="Q1933" s="47" t="n"/>
      <c r="R1933" s="43">
        <f>IF($B1933="","",N($S1933)-N($Q1933))</f>
        <v/>
      </c>
      <c r="S1933" s="43">
        <f>IF($B1933="","",N($L1933)+N($N1933)+N($P1933))</f>
        <v/>
      </c>
      <c r="T1933" s="47" t="n"/>
      <c r="U1933" s="47" t="n"/>
      <c r="V1933" s="47" t="n"/>
      <c r="W1933" s="47" t="n"/>
      <c r="X1933" s="47" t="n"/>
      <c r="Y1933" s="47" t="n"/>
      <c r="Z1933" s="47" t="n"/>
      <c r="AA1933" s="47" t="n"/>
      <c r="AB1933" s="47" t="n"/>
      <c r="AC1933" s="47" t="n"/>
      <c r="AD1933" s="47" t="n"/>
      <c r="AE1933" s="47" t="n"/>
      <c r="AF1933" s="43">
        <f>IF($B1933="","",SUM($T1933:$AE1933))</f>
        <v/>
      </c>
      <c r="AG1933" s="43">
        <f>IF($B1933="","",N($M1933)-N($AF1933))</f>
        <v/>
      </c>
      <c r="AH1933" s="43">
        <f>IF($B1933="","",N($L1933)-N($AF1933))</f>
        <v/>
      </c>
      <c r="AI1933" s="149">
        <f>IF($B1933="","",IF(N($L1933)=0,"",(N($L1933)-N($AF1933))/N($L1933)))</f>
        <v/>
      </c>
    </row>
    <row r="1934">
      <c r="A1934" s="39">
        <f>IF($B1934="","",COUNTA($B$4:$B1934))</f>
        <v/>
      </c>
      <c r="B1934" s="40" t="n"/>
      <c r="C1934" s="41" t="n"/>
      <c r="D1934" s="41" t="n"/>
      <c r="E1934" s="41" t="n"/>
      <c r="F1934" s="41" t="n"/>
      <c r="G1934" s="41" t="n"/>
      <c r="H1934" s="41" t="n"/>
      <c r="I1934" s="41" t="n"/>
      <c r="J1934" s="41" t="n"/>
      <c r="K1934" s="41" t="n"/>
      <c r="L1934" s="42" t="n"/>
      <c r="M1934" s="42" t="n"/>
      <c r="N1934" s="42" t="n"/>
      <c r="O1934" s="42" t="n"/>
      <c r="P1934" s="42" t="n"/>
      <c r="Q1934" s="42" t="n"/>
      <c r="R1934" s="43">
        <f>IF($B1934="","",N($S1934)-N($Q1934))</f>
        <v/>
      </c>
      <c r="S1934" s="43">
        <f>IF($B1934="","",N($L1934)+N($N1934)+N($P1934))</f>
        <v/>
      </c>
      <c r="T1934" s="42" t="n"/>
      <c r="U1934" s="42" t="n"/>
      <c r="V1934" s="42" t="n"/>
      <c r="W1934" s="42" t="n"/>
      <c r="X1934" s="42" t="n"/>
      <c r="Y1934" s="42" t="n"/>
      <c r="Z1934" s="42" t="n"/>
      <c r="AA1934" s="42" t="n"/>
      <c r="AB1934" s="42" t="n"/>
      <c r="AC1934" s="42" t="n"/>
      <c r="AD1934" s="42" t="n"/>
      <c r="AE1934" s="42" t="n"/>
      <c r="AF1934" s="43">
        <f>IF($B1934="","",SUM($T1934:$AE1934))</f>
        <v/>
      </c>
      <c r="AG1934" s="43">
        <f>IF($B1934="","",N($M1934)-N($AF1934))</f>
        <v/>
      </c>
      <c r="AH1934" s="43">
        <f>IF($B1934="","",N($L1934)-N($AF1934))</f>
        <v/>
      </c>
      <c r="AI1934" s="149">
        <f>IF($B1934="","",IF(N($L1934)=0,"",(N($L1934)-N($AF1934))/N($L1934)))</f>
        <v/>
      </c>
    </row>
    <row r="1935">
      <c r="A1935" s="39">
        <f>IF($B1935="","",COUNTA($B$4:$B1935))</f>
        <v/>
      </c>
      <c r="B1935" s="45" t="n"/>
      <c r="C1935" s="46" t="n"/>
      <c r="D1935" s="46" t="n"/>
      <c r="E1935" s="46" t="n"/>
      <c r="F1935" s="46" t="n"/>
      <c r="G1935" s="46" t="n"/>
      <c r="H1935" s="46" t="n"/>
      <c r="I1935" s="46" t="n"/>
      <c r="J1935" s="46" t="n"/>
      <c r="K1935" s="46" t="n"/>
      <c r="L1935" s="47" t="n"/>
      <c r="M1935" s="47" t="n"/>
      <c r="N1935" s="47" t="n"/>
      <c r="O1935" s="47" t="n"/>
      <c r="P1935" s="47" t="n"/>
      <c r="Q1935" s="47" t="n"/>
      <c r="R1935" s="43">
        <f>IF($B1935="","",N($S1935)-N($Q1935))</f>
        <v/>
      </c>
      <c r="S1935" s="43">
        <f>IF($B1935="","",N($L1935)+N($N1935)+N($P1935))</f>
        <v/>
      </c>
      <c r="T1935" s="47" t="n"/>
      <c r="U1935" s="47" t="n"/>
      <c r="V1935" s="47" t="n"/>
      <c r="W1935" s="47" t="n"/>
      <c r="X1935" s="47" t="n"/>
      <c r="Y1935" s="47" t="n"/>
      <c r="Z1935" s="47" t="n"/>
      <c r="AA1935" s="47" t="n"/>
      <c r="AB1935" s="47" t="n"/>
      <c r="AC1935" s="47" t="n"/>
      <c r="AD1935" s="47" t="n"/>
      <c r="AE1935" s="47" t="n"/>
      <c r="AF1935" s="43">
        <f>IF($B1935="","",SUM($T1935:$AE1935))</f>
        <v/>
      </c>
      <c r="AG1935" s="43">
        <f>IF($B1935="","",N($M1935)-N($AF1935))</f>
        <v/>
      </c>
      <c r="AH1935" s="43">
        <f>IF($B1935="","",N($L1935)-N($AF1935))</f>
        <v/>
      </c>
      <c r="AI1935" s="149">
        <f>IF($B1935="","",IF(N($L1935)=0,"",(N($L1935)-N($AF1935))/N($L1935)))</f>
        <v/>
      </c>
    </row>
    <row r="1936">
      <c r="A1936" s="39">
        <f>IF($B1936="","",COUNTA($B$4:$B1936))</f>
        <v/>
      </c>
      <c r="B1936" s="40" t="n"/>
      <c r="C1936" s="41" t="n"/>
      <c r="D1936" s="41" t="n"/>
      <c r="E1936" s="41" t="n"/>
      <c r="F1936" s="41" t="n"/>
      <c r="G1936" s="41" t="n"/>
      <c r="H1936" s="41" t="n"/>
      <c r="I1936" s="41" t="n"/>
      <c r="J1936" s="41" t="n"/>
      <c r="K1936" s="41" t="n"/>
      <c r="L1936" s="42" t="n"/>
      <c r="M1936" s="42" t="n"/>
      <c r="N1936" s="42" t="n"/>
      <c r="O1936" s="42" t="n"/>
      <c r="P1936" s="42" t="n"/>
      <c r="Q1936" s="42" t="n"/>
      <c r="R1936" s="43">
        <f>IF($B1936="","",N($S1936)-N($Q1936))</f>
        <v/>
      </c>
      <c r="S1936" s="43">
        <f>IF($B1936="","",N($L1936)+N($N1936)+N($P1936))</f>
        <v/>
      </c>
      <c r="T1936" s="42" t="n"/>
      <c r="U1936" s="42" t="n"/>
      <c r="V1936" s="42" t="n"/>
      <c r="W1936" s="42" t="n"/>
      <c r="X1936" s="42" t="n"/>
      <c r="Y1936" s="42" t="n"/>
      <c r="Z1936" s="42" t="n"/>
      <c r="AA1936" s="42" t="n"/>
      <c r="AB1936" s="42" t="n"/>
      <c r="AC1936" s="42" t="n"/>
      <c r="AD1936" s="42" t="n"/>
      <c r="AE1936" s="42" t="n"/>
      <c r="AF1936" s="43">
        <f>IF($B1936="","",SUM($T1936:$AE1936))</f>
        <v/>
      </c>
      <c r="AG1936" s="43">
        <f>IF($B1936="","",N($M1936)-N($AF1936))</f>
        <v/>
      </c>
      <c r="AH1936" s="43">
        <f>IF($B1936="","",N($L1936)-N($AF1936))</f>
        <v/>
      </c>
      <c r="AI1936" s="149">
        <f>IF($B1936="","",IF(N($L1936)=0,"",(N($L1936)-N($AF1936))/N($L1936)))</f>
        <v/>
      </c>
    </row>
    <row r="1937">
      <c r="A1937" s="39">
        <f>IF($B1937="","",COUNTA($B$4:$B1937))</f>
        <v/>
      </c>
      <c r="B1937" s="45" t="n"/>
      <c r="C1937" s="46" t="n"/>
      <c r="D1937" s="46" t="n"/>
      <c r="E1937" s="46" t="n"/>
      <c r="F1937" s="46" t="n"/>
      <c r="G1937" s="46" t="n"/>
      <c r="H1937" s="46" t="n"/>
      <c r="I1937" s="46" t="n"/>
      <c r="J1937" s="46" t="n"/>
      <c r="K1937" s="46" t="n"/>
      <c r="L1937" s="47" t="n"/>
      <c r="M1937" s="47" t="n"/>
      <c r="N1937" s="47" t="n"/>
      <c r="O1937" s="47" t="n"/>
      <c r="P1937" s="47" t="n"/>
      <c r="Q1937" s="47" t="n"/>
      <c r="R1937" s="43">
        <f>IF($B1937="","",N($S1937)-N($Q1937))</f>
        <v/>
      </c>
      <c r="S1937" s="43">
        <f>IF($B1937="","",N($L1937)+N($N1937)+N($P1937))</f>
        <v/>
      </c>
      <c r="T1937" s="47" t="n"/>
      <c r="U1937" s="47" t="n"/>
      <c r="V1937" s="47" t="n"/>
      <c r="W1937" s="47" t="n"/>
      <c r="X1937" s="47" t="n"/>
      <c r="Y1937" s="47" t="n"/>
      <c r="Z1937" s="47" t="n"/>
      <c r="AA1937" s="47" t="n"/>
      <c r="AB1937" s="47" t="n"/>
      <c r="AC1937" s="47" t="n"/>
      <c r="AD1937" s="47" t="n"/>
      <c r="AE1937" s="47" t="n"/>
      <c r="AF1937" s="43">
        <f>IF($B1937="","",SUM($T1937:$AE1937))</f>
        <v/>
      </c>
      <c r="AG1937" s="43">
        <f>IF($B1937="","",N($M1937)-N($AF1937))</f>
        <v/>
      </c>
      <c r="AH1937" s="43">
        <f>IF($B1937="","",N($L1937)-N($AF1937))</f>
        <v/>
      </c>
      <c r="AI1937" s="149">
        <f>IF($B1937="","",IF(N($L1937)=0,"",(N($L1937)-N($AF1937))/N($L1937)))</f>
        <v/>
      </c>
    </row>
    <row r="1938">
      <c r="A1938" s="39">
        <f>IF($B1938="","",COUNTA($B$4:$B1938))</f>
        <v/>
      </c>
      <c r="B1938" s="40" t="n"/>
      <c r="C1938" s="41" t="n"/>
      <c r="D1938" s="41" t="n"/>
      <c r="E1938" s="41" t="n"/>
      <c r="F1938" s="41" t="n"/>
      <c r="G1938" s="41" t="n"/>
      <c r="H1938" s="41" t="n"/>
      <c r="I1938" s="41" t="n"/>
      <c r="J1938" s="41" t="n"/>
      <c r="K1938" s="41" t="n"/>
      <c r="L1938" s="42" t="n"/>
      <c r="M1938" s="42" t="n"/>
      <c r="N1938" s="42" t="n"/>
      <c r="O1938" s="42" t="n"/>
      <c r="P1938" s="42" t="n"/>
      <c r="Q1938" s="42" t="n"/>
      <c r="R1938" s="43">
        <f>IF($B1938="","",N($S1938)-N($Q1938))</f>
        <v/>
      </c>
      <c r="S1938" s="43">
        <f>IF($B1938="","",N($L1938)+N($N1938)+N($P1938))</f>
        <v/>
      </c>
      <c r="T1938" s="42" t="n"/>
      <c r="U1938" s="42" t="n"/>
      <c r="V1938" s="42" t="n"/>
      <c r="W1938" s="42" t="n"/>
      <c r="X1938" s="42" t="n"/>
      <c r="Y1938" s="42" t="n"/>
      <c r="Z1938" s="42" t="n"/>
      <c r="AA1938" s="42" t="n"/>
      <c r="AB1938" s="42" t="n"/>
      <c r="AC1938" s="42" t="n"/>
      <c r="AD1938" s="42" t="n"/>
      <c r="AE1938" s="42" t="n"/>
      <c r="AF1938" s="43">
        <f>IF($B1938="","",SUM($T1938:$AE1938))</f>
        <v/>
      </c>
      <c r="AG1938" s="43">
        <f>IF($B1938="","",N($M1938)-N($AF1938))</f>
        <v/>
      </c>
      <c r="AH1938" s="43">
        <f>IF($B1938="","",N($L1938)-N($AF1938))</f>
        <v/>
      </c>
      <c r="AI1938" s="149">
        <f>IF($B1938="","",IF(N($L1938)=0,"",(N($L1938)-N($AF1938))/N($L1938)))</f>
        <v/>
      </c>
    </row>
    <row r="1939">
      <c r="A1939" s="39">
        <f>IF($B1939="","",COUNTA($B$4:$B1939))</f>
        <v/>
      </c>
      <c r="B1939" s="45" t="n"/>
      <c r="C1939" s="46" t="n"/>
      <c r="D1939" s="46" t="n"/>
      <c r="E1939" s="46" t="n"/>
      <c r="F1939" s="46" t="n"/>
      <c r="G1939" s="46" t="n"/>
      <c r="H1939" s="46" t="n"/>
      <c r="I1939" s="46" t="n"/>
      <c r="J1939" s="46" t="n"/>
      <c r="K1939" s="46" t="n"/>
      <c r="L1939" s="47" t="n"/>
      <c r="M1939" s="47" t="n"/>
      <c r="N1939" s="47" t="n"/>
      <c r="O1939" s="47" t="n"/>
      <c r="P1939" s="47" t="n"/>
      <c r="Q1939" s="47" t="n"/>
      <c r="R1939" s="43">
        <f>IF($B1939="","",N($S1939)-N($Q1939))</f>
        <v/>
      </c>
      <c r="S1939" s="43">
        <f>IF($B1939="","",N($L1939)+N($N1939)+N($P1939))</f>
        <v/>
      </c>
      <c r="T1939" s="47" t="n"/>
      <c r="U1939" s="47" t="n"/>
      <c r="V1939" s="47" t="n"/>
      <c r="W1939" s="47" t="n"/>
      <c r="X1939" s="47" t="n"/>
      <c r="Y1939" s="47" t="n"/>
      <c r="Z1939" s="47" t="n"/>
      <c r="AA1939" s="47" t="n"/>
      <c r="AB1939" s="47" t="n"/>
      <c r="AC1939" s="47" t="n"/>
      <c r="AD1939" s="47" t="n"/>
      <c r="AE1939" s="47" t="n"/>
      <c r="AF1939" s="43">
        <f>IF($B1939="","",SUM($T1939:$AE1939))</f>
        <v/>
      </c>
      <c r="AG1939" s="43">
        <f>IF($B1939="","",N($M1939)-N($AF1939))</f>
        <v/>
      </c>
      <c r="AH1939" s="43">
        <f>IF($B1939="","",N($L1939)-N($AF1939))</f>
        <v/>
      </c>
      <c r="AI1939" s="149">
        <f>IF($B1939="","",IF(N($L1939)=0,"",(N($L1939)-N($AF1939))/N($L1939)))</f>
        <v/>
      </c>
    </row>
    <row r="1940">
      <c r="A1940" s="39">
        <f>IF($B1940="","",COUNTA($B$4:$B1940))</f>
        <v/>
      </c>
      <c r="B1940" s="40" t="n"/>
      <c r="C1940" s="41" t="n"/>
      <c r="D1940" s="41" t="n"/>
      <c r="E1940" s="41" t="n"/>
      <c r="F1940" s="41" t="n"/>
      <c r="G1940" s="41" t="n"/>
      <c r="H1940" s="41" t="n"/>
      <c r="I1940" s="41" t="n"/>
      <c r="J1940" s="41" t="n"/>
      <c r="K1940" s="41" t="n"/>
      <c r="L1940" s="42" t="n"/>
      <c r="M1940" s="42" t="n"/>
      <c r="N1940" s="42" t="n"/>
      <c r="O1940" s="42" t="n"/>
      <c r="P1940" s="42" t="n"/>
      <c r="Q1940" s="42" t="n"/>
      <c r="R1940" s="43">
        <f>IF($B1940="","",N($S1940)-N($Q1940))</f>
        <v/>
      </c>
      <c r="S1940" s="43">
        <f>IF($B1940="","",N($L1940)+N($N1940)+N($P1940))</f>
        <v/>
      </c>
      <c r="T1940" s="42" t="n"/>
      <c r="U1940" s="42" t="n"/>
      <c r="V1940" s="42" t="n"/>
      <c r="W1940" s="42" t="n"/>
      <c r="X1940" s="42" t="n"/>
      <c r="Y1940" s="42" t="n"/>
      <c r="Z1940" s="42" t="n"/>
      <c r="AA1940" s="42" t="n"/>
      <c r="AB1940" s="42" t="n"/>
      <c r="AC1940" s="42" t="n"/>
      <c r="AD1940" s="42" t="n"/>
      <c r="AE1940" s="42" t="n"/>
      <c r="AF1940" s="43">
        <f>IF($B1940="","",SUM($T1940:$AE1940))</f>
        <v/>
      </c>
      <c r="AG1940" s="43">
        <f>IF($B1940="","",N($M1940)-N($AF1940))</f>
        <v/>
      </c>
      <c r="AH1940" s="43">
        <f>IF($B1940="","",N($L1940)-N($AF1940))</f>
        <v/>
      </c>
      <c r="AI1940" s="149">
        <f>IF($B1940="","",IF(N($L1940)=0,"",(N($L1940)-N($AF1940))/N($L1940)))</f>
        <v/>
      </c>
    </row>
    <row r="1941">
      <c r="A1941" s="39">
        <f>IF($B1941="","",COUNTA($B$4:$B1941))</f>
        <v/>
      </c>
      <c r="B1941" s="45" t="n"/>
      <c r="C1941" s="46" t="n"/>
      <c r="D1941" s="46" t="n"/>
      <c r="E1941" s="46" t="n"/>
      <c r="F1941" s="46" t="n"/>
      <c r="G1941" s="46" t="n"/>
      <c r="H1941" s="46" t="n"/>
      <c r="I1941" s="46" t="n"/>
      <c r="J1941" s="46" t="n"/>
      <c r="K1941" s="46" t="n"/>
      <c r="L1941" s="47" t="n"/>
      <c r="M1941" s="47" t="n"/>
      <c r="N1941" s="47" t="n"/>
      <c r="O1941" s="47" t="n"/>
      <c r="P1941" s="47" t="n"/>
      <c r="Q1941" s="47" t="n"/>
      <c r="R1941" s="43">
        <f>IF($B1941="","",N($S1941)-N($Q1941))</f>
        <v/>
      </c>
      <c r="S1941" s="43">
        <f>IF($B1941="","",N($L1941)+N($N1941)+N($P1941))</f>
        <v/>
      </c>
      <c r="T1941" s="47" t="n"/>
      <c r="U1941" s="47" t="n"/>
      <c r="V1941" s="47" t="n"/>
      <c r="W1941" s="47" t="n"/>
      <c r="X1941" s="47" t="n"/>
      <c r="Y1941" s="47" t="n"/>
      <c r="Z1941" s="47" t="n"/>
      <c r="AA1941" s="47" t="n"/>
      <c r="AB1941" s="47" t="n"/>
      <c r="AC1941" s="47" t="n"/>
      <c r="AD1941" s="47" t="n"/>
      <c r="AE1941" s="47" t="n"/>
      <c r="AF1941" s="43">
        <f>IF($B1941="","",SUM($T1941:$AE1941))</f>
        <v/>
      </c>
      <c r="AG1941" s="43">
        <f>IF($B1941="","",N($M1941)-N($AF1941))</f>
        <v/>
      </c>
      <c r="AH1941" s="43">
        <f>IF($B1941="","",N($L1941)-N($AF1941))</f>
        <v/>
      </c>
      <c r="AI1941" s="149">
        <f>IF($B1941="","",IF(N($L1941)=0,"",(N($L1941)-N($AF1941))/N($L1941)))</f>
        <v/>
      </c>
    </row>
    <row r="1942">
      <c r="A1942" s="39">
        <f>IF($B1942="","",COUNTA($B$4:$B1942))</f>
        <v/>
      </c>
      <c r="B1942" s="40" t="n"/>
      <c r="C1942" s="41" t="n"/>
      <c r="D1942" s="41" t="n"/>
      <c r="E1942" s="41" t="n"/>
      <c r="F1942" s="41" t="n"/>
      <c r="G1942" s="41" t="n"/>
      <c r="H1942" s="41" t="n"/>
      <c r="I1942" s="41" t="n"/>
      <c r="J1942" s="41" t="n"/>
      <c r="K1942" s="41" t="n"/>
      <c r="L1942" s="42" t="n"/>
      <c r="M1942" s="42" t="n"/>
      <c r="N1942" s="42" t="n"/>
      <c r="O1942" s="42" t="n"/>
      <c r="P1942" s="42" t="n"/>
      <c r="Q1942" s="42" t="n"/>
      <c r="R1942" s="43">
        <f>IF($B1942="","",N($S1942)-N($Q1942))</f>
        <v/>
      </c>
      <c r="S1942" s="43">
        <f>IF($B1942="","",N($L1942)+N($N1942)+N($P1942))</f>
        <v/>
      </c>
      <c r="T1942" s="42" t="n"/>
      <c r="U1942" s="42" t="n"/>
      <c r="V1942" s="42" t="n"/>
      <c r="W1942" s="42" t="n"/>
      <c r="X1942" s="42" t="n"/>
      <c r="Y1942" s="42" t="n"/>
      <c r="Z1942" s="42" t="n"/>
      <c r="AA1942" s="42" t="n"/>
      <c r="AB1942" s="42" t="n"/>
      <c r="AC1942" s="42" t="n"/>
      <c r="AD1942" s="42" t="n"/>
      <c r="AE1942" s="42" t="n"/>
      <c r="AF1942" s="43">
        <f>IF($B1942="","",SUM($T1942:$AE1942))</f>
        <v/>
      </c>
      <c r="AG1942" s="43">
        <f>IF($B1942="","",N($M1942)-N($AF1942))</f>
        <v/>
      </c>
      <c r="AH1942" s="43">
        <f>IF($B1942="","",N($L1942)-N($AF1942))</f>
        <v/>
      </c>
      <c r="AI1942" s="149">
        <f>IF($B1942="","",IF(N($L1942)=0,"",(N($L1942)-N($AF1942))/N($L1942)))</f>
        <v/>
      </c>
    </row>
    <row r="1943">
      <c r="A1943" s="39">
        <f>IF($B1943="","",COUNTA($B$4:$B1943))</f>
        <v/>
      </c>
      <c r="B1943" s="45" t="n"/>
      <c r="C1943" s="46" t="n"/>
      <c r="D1943" s="46" t="n"/>
      <c r="E1943" s="46" t="n"/>
      <c r="F1943" s="46" t="n"/>
      <c r="G1943" s="46" t="n"/>
      <c r="H1943" s="46" t="n"/>
      <c r="I1943" s="46" t="n"/>
      <c r="J1943" s="46" t="n"/>
      <c r="K1943" s="46" t="n"/>
      <c r="L1943" s="47" t="n"/>
      <c r="M1943" s="47" t="n"/>
      <c r="N1943" s="47" t="n"/>
      <c r="O1943" s="47" t="n"/>
      <c r="P1943" s="47" t="n"/>
      <c r="Q1943" s="47" t="n"/>
      <c r="R1943" s="43">
        <f>IF($B1943="","",N($S1943)-N($Q1943))</f>
        <v/>
      </c>
      <c r="S1943" s="43">
        <f>IF($B1943="","",N($L1943)+N($N1943)+N($P1943))</f>
        <v/>
      </c>
      <c r="T1943" s="47" t="n"/>
      <c r="U1943" s="47" t="n"/>
      <c r="V1943" s="47" t="n"/>
      <c r="W1943" s="47" t="n"/>
      <c r="X1943" s="47" t="n"/>
      <c r="Y1943" s="47" t="n"/>
      <c r="Z1943" s="47" t="n"/>
      <c r="AA1943" s="47" t="n"/>
      <c r="AB1943" s="47" t="n"/>
      <c r="AC1943" s="47" t="n"/>
      <c r="AD1943" s="47" t="n"/>
      <c r="AE1943" s="47" t="n"/>
      <c r="AF1943" s="43">
        <f>IF($B1943="","",SUM($T1943:$AE1943))</f>
        <v/>
      </c>
      <c r="AG1943" s="43">
        <f>IF($B1943="","",N($M1943)-N($AF1943))</f>
        <v/>
      </c>
      <c r="AH1943" s="43">
        <f>IF($B1943="","",N($L1943)-N($AF1943))</f>
        <v/>
      </c>
      <c r="AI1943" s="149">
        <f>IF($B1943="","",IF(N($L1943)=0,"",(N($L1943)-N($AF1943))/N($L1943)))</f>
        <v/>
      </c>
    </row>
    <row r="1944">
      <c r="A1944" s="39">
        <f>IF($B1944="","",COUNTA($B$4:$B1944))</f>
        <v/>
      </c>
      <c r="B1944" s="40" t="n"/>
      <c r="C1944" s="41" t="n"/>
      <c r="D1944" s="41" t="n"/>
      <c r="E1944" s="41" t="n"/>
      <c r="F1944" s="41" t="n"/>
      <c r="G1944" s="41" t="n"/>
      <c r="H1944" s="41" t="n"/>
      <c r="I1944" s="41" t="n"/>
      <c r="J1944" s="41" t="n"/>
      <c r="K1944" s="41" t="n"/>
      <c r="L1944" s="42" t="n"/>
      <c r="M1944" s="42" t="n"/>
      <c r="N1944" s="42" t="n"/>
      <c r="O1944" s="42" t="n"/>
      <c r="P1944" s="42" t="n"/>
      <c r="Q1944" s="42" t="n"/>
      <c r="R1944" s="43">
        <f>IF($B1944="","",N($S1944)-N($Q1944))</f>
        <v/>
      </c>
      <c r="S1944" s="43">
        <f>IF($B1944="","",N($L1944)+N($N1944)+N($P1944))</f>
        <v/>
      </c>
      <c r="T1944" s="42" t="n"/>
      <c r="U1944" s="42" t="n"/>
      <c r="V1944" s="42" t="n"/>
      <c r="W1944" s="42" t="n"/>
      <c r="X1944" s="42" t="n"/>
      <c r="Y1944" s="42" t="n"/>
      <c r="Z1944" s="42" t="n"/>
      <c r="AA1944" s="42" t="n"/>
      <c r="AB1944" s="42" t="n"/>
      <c r="AC1944" s="42" t="n"/>
      <c r="AD1944" s="42" t="n"/>
      <c r="AE1944" s="42" t="n"/>
      <c r="AF1944" s="43">
        <f>IF($B1944="","",SUM($T1944:$AE1944))</f>
        <v/>
      </c>
      <c r="AG1944" s="43">
        <f>IF($B1944="","",N($M1944)-N($AF1944))</f>
        <v/>
      </c>
      <c r="AH1944" s="43">
        <f>IF($B1944="","",N($L1944)-N($AF1944))</f>
        <v/>
      </c>
      <c r="AI1944" s="149">
        <f>IF($B1944="","",IF(N($L1944)=0,"",(N($L1944)-N($AF1944))/N($L1944)))</f>
        <v/>
      </c>
    </row>
    <row r="1945">
      <c r="A1945" s="39">
        <f>IF($B1945="","",COUNTA($B$4:$B1945))</f>
        <v/>
      </c>
      <c r="B1945" s="45" t="n"/>
      <c r="C1945" s="46" t="n"/>
      <c r="D1945" s="46" t="n"/>
      <c r="E1945" s="46" t="n"/>
      <c r="F1945" s="46" t="n"/>
      <c r="G1945" s="46" t="n"/>
      <c r="H1945" s="46" t="n"/>
      <c r="I1945" s="46" t="n"/>
      <c r="J1945" s="46" t="n"/>
      <c r="K1945" s="46" t="n"/>
      <c r="L1945" s="47" t="n"/>
      <c r="M1945" s="47" t="n"/>
      <c r="N1945" s="47" t="n"/>
      <c r="O1945" s="47" t="n"/>
      <c r="P1945" s="47" t="n"/>
      <c r="Q1945" s="47" t="n"/>
      <c r="R1945" s="43">
        <f>IF($B1945="","",N($S1945)-N($Q1945))</f>
        <v/>
      </c>
      <c r="S1945" s="43">
        <f>IF($B1945="","",N($L1945)+N($N1945)+N($P1945))</f>
        <v/>
      </c>
      <c r="T1945" s="47" t="n"/>
      <c r="U1945" s="47" t="n"/>
      <c r="V1945" s="47" t="n"/>
      <c r="W1945" s="47" t="n"/>
      <c r="X1945" s="47" t="n"/>
      <c r="Y1945" s="47" t="n"/>
      <c r="Z1945" s="47" t="n"/>
      <c r="AA1945" s="47" t="n"/>
      <c r="AB1945" s="47" t="n"/>
      <c r="AC1945" s="47" t="n"/>
      <c r="AD1945" s="47" t="n"/>
      <c r="AE1945" s="47" t="n"/>
      <c r="AF1945" s="43">
        <f>IF($B1945="","",SUM($T1945:$AE1945))</f>
        <v/>
      </c>
      <c r="AG1945" s="43">
        <f>IF($B1945="","",N($M1945)-N($AF1945))</f>
        <v/>
      </c>
      <c r="AH1945" s="43">
        <f>IF($B1945="","",N($L1945)-N($AF1945))</f>
        <v/>
      </c>
      <c r="AI1945" s="149">
        <f>IF($B1945="","",IF(N($L1945)=0,"",(N($L1945)-N($AF1945))/N($L1945)))</f>
        <v/>
      </c>
    </row>
    <row r="1946">
      <c r="A1946" s="39">
        <f>IF($B1946="","",COUNTA($B$4:$B1946))</f>
        <v/>
      </c>
      <c r="B1946" s="40" t="n"/>
      <c r="C1946" s="41" t="n"/>
      <c r="D1946" s="41" t="n"/>
      <c r="E1946" s="41" t="n"/>
      <c r="F1946" s="41" t="n"/>
      <c r="G1946" s="41" t="n"/>
      <c r="H1946" s="41" t="n"/>
      <c r="I1946" s="41" t="n"/>
      <c r="J1946" s="41" t="n"/>
      <c r="K1946" s="41" t="n"/>
      <c r="L1946" s="42" t="n"/>
      <c r="M1946" s="42" t="n"/>
      <c r="N1946" s="42" t="n"/>
      <c r="O1946" s="42" t="n"/>
      <c r="P1946" s="42" t="n"/>
      <c r="Q1946" s="42" t="n"/>
      <c r="R1946" s="43">
        <f>IF($B1946="","",N($S1946)-N($Q1946))</f>
        <v/>
      </c>
      <c r="S1946" s="43">
        <f>IF($B1946="","",N($L1946)+N($N1946)+N($P1946))</f>
        <v/>
      </c>
      <c r="T1946" s="42" t="n"/>
      <c r="U1946" s="42" t="n"/>
      <c r="V1946" s="42" t="n"/>
      <c r="W1946" s="42" t="n"/>
      <c r="X1946" s="42" t="n"/>
      <c r="Y1946" s="42" t="n"/>
      <c r="Z1946" s="42" t="n"/>
      <c r="AA1946" s="42" t="n"/>
      <c r="AB1946" s="42" t="n"/>
      <c r="AC1946" s="42" t="n"/>
      <c r="AD1946" s="42" t="n"/>
      <c r="AE1946" s="42" t="n"/>
      <c r="AF1946" s="43">
        <f>IF($B1946="","",SUM($T1946:$AE1946))</f>
        <v/>
      </c>
      <c r="AG1946" s="43">
        <f>IF($B1946="","",N($M1946)-N($AF1946))</f>
        <v/>
      </c>
      <c r="AH1946" s="43">
        <f>IF($B1946="","",N($L1946)-N($AF1946))</f>
        <v/>
      </c>
      <c r="AI1946" s="149">
        <f>IF($B1946="","",IF(N($L1946)=0,"",(N($L1946)-N($AF1946))/N($L1946)))</f>
        <v/>
      </c>
    </row>
    <row r="1947">
      <c r="A1947" s="39">
        <f>IF($B1947="","",COUNTA($B$4:$B1947))</f>
        <v/>
      </c>
      <c r="B1947" s="45" t="n"/>
      <c r="C1947" s="46" t="n"/>
      <c r="D1947" s="46" t="n"/>
      <c r="E1947" s="46" t="n"/>
      <c r="F1947" s="46" t="n"/>
      <c r="G1947" s="46" t="n"/>
      <c r="H1947" s="46" t="n"/>
      <c r="I1947" s="46" t="n"/>
      <c r="J1947" s="46" t="n"/>
      <c r="K1947" s="46" t="n"/>
      <c r="L1947" s="47" t="n"/>
      <c r="M1947" s="47" t="n"/>
      <c r="N1947" s="47" t="n"/>
      <c r="O1947" s="47" t="n"/>
      <c r="P1947" s="47" t="n"/>
      <c r="Q1947" s="47" t="n"/>
      <c r="R1947" s="43">
        <f>IF($B1947="","",N($S1947)-N($Q1947))</f>
        <v/>
      </c>
      <c r="S1947" s="43">
        <f>IF($B1947="","",N($L1947)+N($N1947)+N($P1947))</f>
        <v/>
      </c>
      <c r="T1947" s="47" t="n"/>
      <c r="U1947" s="47" t="n"/>
      <c r="V1947" s="47" t="n"/>
      <c r="W1947" s="47" t="n"/>
      <c r="X1947" s="47" t="n"/>
      <c r="Y1947" s="47" t="n"/>
      <c r="Z1947" s="47" t="n"/>
      <c r="AA1947" s="47" t="n"/>
      <c r="AB1947" s="47" t="n"/>
      <c r="AC1947" s="47" t="n"/>
      <c r="AD1947" s="47" t="n"/>
      <c r="AE1947" s="47" t="n"/>
      <c r="AF1947" s="43">
        <f>IF($B1947="","",SUM($T1947:$AE1947))</f>
        <v/>
      </c>
      <c r="AG1947" s="43">
        <f>IF($B1947="","",N($M1947)-N($AF1947))</f>
        <v/>
      </c>
      <c r="AH1947" s="43">
        <f>IF($B1947="","",N($L1947)-N($AF1947))</f>
        <v/>
      </c>
      <c r="AI1947" s="149">
        <f>IF($B1947="","",IF(N($L1947)=0,"",(N($L1947)-N($AF1947))/N($L1947)))</f>
        <v/>
      </c>
    </row>
    <row r="1948">
      <c r="A1948" s="39">
        <f>IF($B1948="","",COUNTA($B$4:$B1948))</f>
        <v/>
      </c>
      <c r="B1948" s="40" t="n"/>
      <c r="C1948" s="41" t="n"/>
      <c r="D1948" s="41" t="n"/>
      <c r="E1948" s="41" t="n"/>
      <c r="F1948" s="41" t="n"/>
      <c r="G1948" s="41" t="n"/>
      <c r="H1948" s="41" t="n"/>
      <c r="I1948" s="41" t="n"/>
      <c r="J1948" s="41" t="n"/>
      <c r="K1948" s="41" t="n"/>
      <c r="L1948" s="42" t="n"/>
      <c r="M1948" s="42" t="n"/>
      <c r="N1948" s="42" t="n"/>
      <c r="O1948" s="42" t="n"/>
      <c r="P1948" s="42" t="n"/>
      <c r="Q1948" s="42" t="n"/>
      <c r="R1948" s="43">
        <f>IF($B1948="","",N($S1948)-N($Q1948))</f>
        <v/>
      </c>
      <c r="S1948" s="43">
        <f>IF($B1948="","",N($L1948)+N($N1948)+N($P1948))</f>
        <v/>
      </c>
      <c r="T1948" s="42" t="n"/>
      <c r="U1948" s="42" t="n"/>
      <c r="V1948" s="42" t="n"/>
      <c r="W1948" s="42" t="n"/>
      <c r="X1948" s="42" t="n"/>
      <c r="Y1948" s="42" t="n"/>
      <c r="Z1948" s="42" t="n"/>
      <c r="AA1948" s="42" t="n"/>
      <c r="AB1948" s="42" t="n"/>
      <c r="AC1948" s="42" t="n"/>
      <c r="AD1948" s="42" t="n"/>
      <c r="AE1948" s="42" t="n"/>
      <c r="AF1948" s="43">
        <f>IF($B1948="","",SUM($T1948:$AE1948))</f>
        <v/>
      </c>
      <c r="AG1948" s="43">
        <f>IF($B1948="","",N($M1948)-N($AF1948))</f>
        <v/>
      </c>
      <c r="AH1948" s="43">
        <f>IF($B1948="","",N($L1948)-N($AF1948))</f>
        <v/>
      </c>
      <c r="AI1948" s="149">
        <f>IF($B1948="","",IF(N($L1948)=0,"",(N($L1948)-N($AF1948))/N($L1948)))</f>
        <v/>
      </c>
    </row>
    <row r="1949">
      <c r="A1949" s="39">
        <f>IF($B1949="","",COUNTA($B$4:$B1949))</f>
        <v/>
      </c>
      <c r="B1949" s="45" t="n"/>
      <c r="C1949" s="46" t="n"/>
      <c r="D1949" s="46" t="n"/>
      <c r="E1949" s="46" t="n"/>
      <c r="F1949" s="46" t="n"/>
      <c r="G1949" s="46" t="n"/>
      <c r="H1949" s="46" t="n"/>
      <c r="I1949" s="46" t="n"/>
      <c r="J1949" s="46" t="n"/>
      <c r="K1949" s="46" t="n"/>
      <c r="L1949" s="47" t="n"/>
      <c r="M1949" s="47" t="n"/>
      <c r="N1949" s="47" t="n"/>
      <c r="O1949" s="47" t="n"/>
      <c r="P1949" s="47" t="n"/>
      <c r="Q1949" s="47" t="n"/>
      <c r="R1949" s="43">
        <f>IF($B1949="","",N($S1949)-N($Q1949))</f>
        <v/>
      </c>
      <c r="S1949" s="43">
        <f>IF($B1949="","",N($L1949)+N($N1949)+N($P1949))</f>
        <v/>
      </c>
      <c r="T1949" s="47" t="n"/>
      <c r="U1949" s="47" t="n"/>
      <c r="V1949" s="47" t="n"/>
      <c r="W1949" s="47" t="n"/>
      <c r="X1949" s="47" t="n"/>
      <c r="Y1949" s="47" t="n"/>
      <c r="Z1949" s="47" t="n"/>
      <c r="AA1949" s="47" t="n"/>
      <c r="AB1949" s="47" t="n"/>
      <c r="AC1949" s="47" t="n"/>
      <c r="AD1949" s="47" t="n"/>
      <c r="AE1949" s="47" t="n"/>
      <c r="AF1949" s="43">
        <f>IF($B1949="","",SUM($T1949:$AE1949))</f>
        <v/>
      </c>
      <c r="AG1949" s="43">
        <f>IF($B1949="","",N($M1949)-N($AF1949))</f>
        <v/>
      </c>
      <c r="AH1949" s="43">
        <f>IF($B1949="","",N($L1949)-N($AF1949))</f>
        <v/>
      </c>
      <c r="AI1949" s="149">
        <f>IF($B1949="","",IF(N($L1949)=0,"",(N($L1949)-N($AF1949))/N($L1949)))</f>
        <v/>
      </c>
    </row>
    <row r="1950">
      <c r="A1950" s="39">
        <f>IF($B1950="","",COUNTA($B$4:$B1950))</f>
        <v/>
      </c>
      <c r="B1950" s="40" t="n"/>
      <c r="C1950" s="41" t="n"/>
      <c r="D1950" s="41" t="n"/>
      <c r="E1950" s="41" t="n"/>
      <c r="F1950" s="41" t="n"/>
      <c r="G1950" s="41" t="n"/>
      <c r="H1950" s="41" t="n"/>
      <c r="I1950" s="41" t="n"/>
      <c r="J1950" s="41" t="n"/>
      <c r="K1950" s="41" t="n"/>
      <c r="L1950" s="42" t="n"/>
      <c r="M1950" s="42" t="n"/>
      <c r="N1950" s="42" t="n"/>
      <c r="O1950" s="42" t="n"/>
      <c r="P1950" s="42" t="n"/>
      <c r="Q1950" s="42" t="n"/>
      <c r="R1950" s="43">
        <f>IF($B1950="","",N($S1950)-N($Q1950))</f>
        <v/>
      </c>
      <c r="S1950" s="43">
        <f>IF($B1950="","",N($L1950)+N($N1950)+N($P1950))</f>
        <v/>
      </c>
      <c r="T1950" s="42" t="n"/>
      <c r="U1950" s="42" t="n"/>
      <c r="V1950" s="42" t="n"/>
      <c r="W1950" s="42" t="n"/>
      <c r="X1950" s="42" t="n"/>
      <c r="Y1950" s="42" t="n"/>
      <c r="Z1950" s="42" t="n"/>
      <c r="AA1950" s="42" t="n"/>
      <c r="AB1950" s="42" t="n"/>
      <c r="AC1950" s="42" t="n"/>
      <c r="AD1950" s="42" t="n"/>
      <c r="AE1950" s="42" t="n"/>
      <c r="AF1950" s="43">
        <f>IF($B1950="","",SUM($T1950:$AE1950))</f>
        <v/>
      </c>
      <c r="AG1950" s="43">
        <f>IF($B1950="","",N($M1950)-N($AF1950))</f>
        <v/>
      </c>
      <c r="AH1950" s="43">
        <f>IF($B1950="","",N($L1950)-N($AF1950))</f>
        <v/>
      </c>
      <c r="AI1950" s="149">
        <f>IF($B1950="","",IF(N($L1950)=0,"",(N($L1950)-N($AF1950))/N($L1950)))</f>
        <v/>
      </c>
    </row>
    <row r="1951">
      <c r="A1951" s="39">
        <f>IF($B1951="","",COUNTA($B$4:$B1951))</f>
        <v/>
      </c>
      <c r="B1951" s="45" t="n"/>
      <c r="C1951" s="46" t="n"/>
      <c r="D1951" s="46" t="n"/>
      <c r="E1951" s="46" t="n"/>
      <c r="F1951" s="46" t="n"/>
      <c r="G1951" s="46" t="n"/>
      <c r="H1951" s="46" t="n"/>
      <c r="I1951" s="46" t="n"/>
      <c r="J1951" s="46" t="n"/>
      <c r="K1951" s="46" t="n"/>
      <c r="L1951" s="47" t="n"/>
      <c r="M1951" s="47" t="n"/>
      <c r="N1951" s="47" t="n"/>
      <c r="O1951" s="47" t="n"/>
      <c r="P1951" s="47" t="n"/>
      <c r="Q1951" s="47" t="n"/>
      <c r="R1951" s="43">
        <f>IF($B1951="","",N($S1951)-N($Q1951))</f>
        <v/>
      </c>
      <c r="S1951" s="43">
        <f>IF($B1951="","",N($L1951)+N($N1951)+N($P1951))</f>
        <v/>
      </c>
      <c r="T1951" s="47" t="n"/>
      <c r="U1951" s="47" t="n"/>
      <c r="V1951" s="47" t="n"/>
      <c r="W1951" s="47" t="n"/>
      <c r="X1951" s="47" t="n"/>
      <c r="Y1951" s="47" t="n"/>
      <c r="Z1951" s="47" t="n"/>
      <c r="AA1951" s="47" t="n"/>
      <c r="AB1951" s="47" t="n"/>
      <c r="AC1951" s="47" t="n"/>
      <c r="AD1951" s="47" t="n"/>
      <c r="AE1951" s="47" t="n"/>
      <c r="AF1951" s="43">
        <f>IF($B1951="","",SUM($T1951:$AE1951))</f>
        <v/>
      </c>
      <c r="AG1951" s="43">
        <f>IF($B1951="","",N($M1951)-N($AF1951))</f>
        <v/>
      </c>
      <c r="AH1951" s="43">
        <f>IF($B1951="","",N($L1951)-N($AF1951))</f>
        <v/>
      </c>
      <c r="AI1951" s="149">
        <f>IF($B1951="","",IF(N($L1951)=0,"",(N($L1951)-N($AF1951))/N($L1951)))</f>
        <v/>
      </c>
    </row>
    <row r="1952">
      <c r="A1952" s="39">
        <f>IF($B1952="","",COUNTA($B$4:$B1952))</f>
        <v/>
      </c>
      <c r="B1952" s="40" t="n"/>
      <c r="C1952" s="41" t="n"/>
      <c r="D1952" s="41" t="n"/>
      <c r="E1952" s="41" t="n"/>
      <c r="F1952" s="41" t="n"/>
      <c r="G1952" s="41" t="n"/>
      <c r="H1952" s="41" t="n"/>
      <c r="I1952" s="41" t="n"/>
      <c r="J1952" s="41" t="n"/>
      <c r="K1952" s="41" t="n"/>
      <c r="L1952" s="42" t="n"/>
      <c r="M1952" s="42" t="n"/>
      <c r="N1952" s="42" t="n"/>
      <c r="O1952" s="42" t="n"/>
      <c r="P1952" s="42" t="n"/>
      <c r="Q1952" s="42" t="n"/>
      <c r="R1952" s="43">
        <f>IF($B1952="","",N($S1952)-N($Q1952))</f>
        <v/>
      </c>
      <c r="S1952" s="43">
        <f>IF($B1952="","",N($L1952)+N($N1952)+N($P1952))</f>
        <v/>
      </c>
      <c r="T1952" s="42" t="n"/>
      <c r="U1952" s="42" t="n"/>
      <c r="V1952" s="42" t="n"/>
      <c r="W1952" s="42" t="n"/>
      <c r="X1952" s="42" t="n"/>
      <c r="Y1952" s="42" t="n"/>
      <c r="Z1952" s="42" t="n"/>
      <c r="AA1952" s="42" t="n"/>
      <c r="AB1952" s="42" t="n"/>
      <c r="AC1952" s="42" t="n"/>
      <c r="AD1952" s="42" t="n"/>
      <c r="AE1952" s="42" t="n"/>
      <c r="AF1952" s="43">
        <f>IF($B1952="","",SUM($T1952:$AE1952))</f>
        <v/>
      </c>
      <c r="AG1952" s="43">
        <f>IF($B1952="","",N($M1952)-N($AF1952))</f>
        <v/>
      </c>
      <c r="AH1952" s="43">
        <f>IF($B1952="","",N($L1952)-N($AF1952))</f>
        <v/>
      </c>
      <c r="AI1952" s="149">
        <f>IF($B1952="","",IF(N($L1952)=0,"",(N($L1952)-N($AF1952))/N($L1952)))</f>
        <v/>
      </c>
    </row>
    <row r="1953">
      <c r="A1953" s="39">
        <f>IF($B1953="","",COUNTA($B$4:$B1953))</f>
        <v/>
      </c>
      <c r="B1953" s="45" t="n"/>
      <c r="C1953" s="46" t="n"/>
      <c r="D1953" s="46" t="n"/>
      <c r="E1953" s="46" t="n"/>
      <c r="F1953" s="46" t="n"/>
      <c r="G1953" s="46" t="n"/>
      <c r="H1953" s="46" t="n"/>
      <c r="I1953" s="46" t="n"/>
      <c r="J1953" s="46" t="n"/>
      <c r="K1953" s="46" t="n"/>
      <c r="L1953" s="47" t="n"/>
      <c r="M1953" s="47" t="n"/>
      <c r="N1953" s="47" t="n"/>
      <c r="O1953" s="47" t="n"/>
      <c r="P1953" s="47" t="n"/>
      <c r="Q1953" s="47" t="n"/>
      <c r="R1953" s="43">
        <f>IF($B1953="","",N($S1953)-N($Q1953))</f>
        <v/>
      </c>
      <c r="S1953" s="43">
        <f>IF($B1953="","",N($L1953)+N($N1953)+N($P1953))</f>
        <v/>
      </c>
      <c r="T1953" s="47" t="n"/>
      <c r="U1953" s="47" t="n"/>
      <c r="V1953" s="47" t="n"/>
      <c r="W1953" s="47" t="n"/>
      <c r="X1953" s="47" t="n"/>
      <c r="Y1953" s="47" t="n"/>
      <c r="Z1953" s="47" t="n"/>
      <c r="AA1953" s="47" t="n"/>
      <c r="AB1953" s="47" t="n"/>
      <c r="AC1953" s="47" t="n"/>
      <c r="AD1953" s="47" t="n"/>
      <c r="AE1953" s="47" t="n"/>
      <c r="AF1953" s="43">
        <f>IF($B1953="","",SUM($T1953:$AE1953))</f>
        <v/>
      </c>
      <c r="AG1953" s="43">
        <f>IF($B1953="","",N($M1953)-N($AF1953))</f>
        <v/>
      </c>
      <c r="AH1953" s="43">
        <f>IF($B1953="","",N($L1953)-N($AF1953))</f>
        <v/>
      </c>
      <c r="AI1953" s="149">
        <f>IF($B1953="","",IF(N($L1953)=0,"",(N($L1953)-N($AF1953))/N($L1953)))</f>
        <v/>
      </c>
    </row>
    <row r="1954">
      <c r="A1954" s="39">
        <f>IF($B1954="","",COUNTA($B$4:$B1954))</f>
        <v/>
      </c>
      <c r="B1954" s="40" t="n"/>
      <c r="C1954" s="41" t="n"/>
      <c r="D1954" s="41" t="n"/>
      <c r="E1954" s="41" t="n"/>
      <c r="F1954" s="41" t="n"/>
      <c r="G1954" s="41" t="n"/>
      <c r="H1954" s="41" t="n"/>
      <c r="I1954" s="41" t="n"/>
      <c r="J1954" s="41" t="n"/>
      <c r="K1954" s="41" t="n"/>
      <c r="L1954" s="42" t="n"/>
      <c r="M1954" s="42" t="n"/>
      <c r="N1954" s="42" t="n"/>
      <c r="O1954" s="42" t="n"/>
      <c r="P1954" s="42" t="n"/>
      <c r="Q1954" s="42" t="n"/>
      <c r="R1954" s="43">
        <f>IF($B1954="","",N($S1954)-N($Q1954))</f>
        <v/>
      </c>
      <c r="S1954" s="43">
        <f>IF($B1954="","",N($L1954)+N($N1954)+N($P1954))</f>
        <v/>
      </c>
      <c r="T1954" s="42" t="n"/>
      <c r="U1954" s="42" t="n"/>
      <c r="V1954" s="42" t="n"/>
      <c r="W1954" s="42" t="n"/>
      <c r="X1954" s="42" t="n"/>
      <c r="Y1954" s="42" t="n"/>
      <c r="Z1954" s="42" t="n"/>
      <c r="AA1954" s="42" t="n"/>
      <c r="AB1954" s="42" t="n"/>
      <c r="AC1954" s="42" t="n"/>
      <c r="AD1954" s="42" t="n"/>
      <c r="AE1954" s="42" t="n"/>
      <c r="AF1954" s="43">
        <f>IF($B1954="","",SUM($T1954:$AE1954))</f>
        <v/>
      </c>
      <c r="AG1954" s="43">
        <f>IF($B1954="","",N($M1954)-N($AF1954))</f>
        <v/>
      </c>
      <c r="AH1954" s="43">
        <f>IF($B1954="","",N($L1954)-N($AF1954))</f>
        <v/>
      </c>
      <c r="AI1954" s="149">
        <f>IF($B1954="","",IF(N($L1954)=0,"",(N($L1954)-N($AF1954))/N($L1954)))</f>
        <v/>
      </c>
    </row>
    <row r="1955">
      <c r="A1955" s="39">
        <f>IF($B1955="","",COUNTA($B$4:$B1955))</f>
        <v/>
      </c>
      <c r="B1955" s="45" t="n"/>
      <c r="C1955" s="46" t="n"/>
      <c r="D1955" s="46" t="n"/>
      <c r="E1955" s="46" t="n"/>
      <c r="F1955" s="46" t="n"/>
      <c r="G1955" s="46" t="n"/>
      <c r="H1955" s="46" t="n"/>
      <c r="I1955" s="46" t="n"/>
      <c r="J1955" s="46" t="n"/>
      <c r="K1955" s="46" t="n"/>
      <c r="L1955" s="47" t="n"/>
      <c r="M1955" s="47" t="n"/>
      <c r="N1955" s="47" t="n"/>
      <c r="O1955" s="47" t="n"/>
      <c r="P1955" s="47" t="n"/>
      <c r="Q1955" s="47" t="n"/>
      <c r="R1955" s="43">
        <f>IF($B1955="","",N($S1955)-N($Q1955))</f>
        <v/>
      </c>
      <c r="S1955" s="43">
        <f>IF($B1955="","",N($L1955)+N($N1955)+N($P1955))</f>
        <v/>
      </c>
      <c r="T1955" s="47" t="n"/>
      <c r="U1955" s="47" t="n"/>
      <c r="V1955" s="47" t="n"/>
      <c r="W1955" s="47" t="n"/>
      <c r="X1955" s="47" t="n"/>
      <c r="Y1955" s="47" t="n"/>
      <c r="Z1955" s="47" t="n"/>
      <c r="AA1955" s="47" t="n"/>
      <c r="AB1955" s="47" t="n"/>
      <c r="AC1955" s="47" t="n"/>
      <c r="AD1955" s="47" t="n"/>
      <c r="AE1955" s="47" t="n"/>
      <c r="AF1955" s="43">
        <f>IF($B1955="","",SUM($T1955:$AE1955))</f>
        <v/>
      </c>
      <c r="AG1955" s="43">
        <f>IF($B1955="","",N($M1955)-N($AF1955))</f>
        <v/>
      </c>
      <c r="AH1955" s="43">
        <f>IF($B1955="","",N($L1955)-N($AF1955))</f>
        <v/>
      </c>
      <c r="AI1955" s="149">
        <f>IF($B1955="","",IF(N($L1955)=0,"",(N($L1955)-N($AF1955))/N($L1955)))</f>
        <v/>
      </c>
    </row>
    <row r="1956">
      <c r="A1956" s="39">
        <f>IF($B1956="","",COUNTA($B$4:$B1956))</f>
        <v/>
      </c>
      <c r="B1956" s="40" t="n"/>
      <c r="C1956" s="41" t="n"/>
      <c r="D1956" s="41" t="n"/>
      <c r="E1956" s="41" t="n"/>
      <c r="F1956" s="41" t="n"/>
      <c r="G1956" s="41" t="n"/>
      <c r="H1956" s="41" t="n"/>
      <c r="I1956" s="41" t="n"/>
      <c r="J1956" s="41" t="n"/>
      <c r="K1956" s="41" t="n"/>
      <c r="L1956" s="42" t="n"/>
      <c r="M1956" s="42" t="n"/>
      <c r="N1956" s="42" t="n"/>
      <c r="O1956" s="42" t="n"/>
      <c r="P1956" s="42" t="n"/>
      <c r="Q1956" s="42" t="n"/>
      <c r="R1956" s="43">
        <f>IF($B1956="","",N($S1956)-N($Q1956))</f>
        <v/>
      </c>
      <c r="S1956" s="43">
        <f>IF($B1956="","",N($L1956)+N($N1956)+N($P1956))</f>
        <v/>
      </c>
      <c r="T1956" s="42" t="n"/>
      <c r="U1956" s="42" t="n"/>
      <c r="V1956" s="42" t="n"/>
      <c r="W1956" s="42" t="n"/>
      <c r="X1956" s="42" t="n"/>
      <c r="Y1956" s="42" t="n"/>
      <c r="Z1956" s="42" t="n"/>
      <c r="AA1956" s="42" t="n"/>
      <c r="AB1956" s="42" t="n"/>
      <c r="AC1956" s="42" t="n"/>
      <c r="AD1956" s="42" t="n"/>
      <c r="AE1956" s="42" t="n"/>
      <c r="AF1956" s="43">
        <f>IF($B1956="","",SUM($T1956:$AE1956))</f>
        <v/>
      </c>
      <c r="AG1956" s="43">
        <f>IF($B1956="","",N($M1956)-N($AF1956))</f>
        <v/>
      </c>
      <c r="AH1956" s="43">
        <f>IF($B1956="","",N($L1956)-N($AF1956))</f>
        <v/>
      </c>
      <c r="AI1956" s="149">
        <f>IF($B1956="","",IF(N($L1956)=0,"",(N($L1956)-N($AF1956))/N($L1956)))</f>
        <v/>
      </c>
    </row>
    <row r="1957">
      <c r="A1957" s="39">
        <f>IF($B1957="","",COUNTA($B$4:$B1957))</f>
        <v/>
      </c>
      <c r="B1957" s="45" t="n"/>
      <c r="C1957" s="46" t="n"/>
      <c r="D1957" s="46" t="n"/>
      <c r="E1957" s="46" t="n"/>
      <c r="F1957" s="46" t="n"/>
      <c r="G1957" s="46" t="n"/>
      <c r="H1957" s="46" t="n"/>
      <c r="I1957" s="46" t="n"/>
      <c r="J1957" s="46" t="n"/>
      <c r="K1957" s="46" t="n"/>
      <c r="L1957" s="47" t="n"/>
      <c r="M1957" s="47" t="n"/>
      <c r="N1957" s="47" t="n"/>
      <c r="O1957" s="47" t="n"/>
      <c r="P1957" s="47" t="n"/>
      <c r="Q1957" s="47" t="n"/>
      <c r="R1957" s="43">
        <f>IF($B1957="","",N($S1957)-N($Q1957))</f>
        <v/>
      </c>
      <c r="S1957" s="43">
        <f>IF($B1957="","",N($L1957)+N($N1957)+N($P1957))</f>
        <v/>
      </c>
      <c r="T1957" s="47" t="n"/>
      <c r="U1957" s="47" t="n"/>
      <c r="V1957" s="47" t="n"/>
      <c r="W1957" s="47" t="n"/>
      <c r="X1957" s="47" t="n"/>
      <c r="Y1957" s="47" t="n"/>
      <c r="Z1957" s="47" t="n"/>
      <c r="AA1957" s="47" t="n"/>
      <c r="AB1957" s="47" t="n"/>
      <c r="AC1957" s="47" t="n"/>
      <c r="AD1957" s="47" t="n"/>
      <c r="AE1957" s="47" t="n"/>
      <c r="AF1957" s="43">
        <f>IF($B1957="","",SUM($T1957:$AE1957))</f>
        <v/>
      </c>
      <c r="AG1957" s="43">
        <f>IF($B1957="","",N($M1957)-N($AF1957))</f>
        <v/>
      </c>
      <c r="AH1957" s="43">
        <f>IF($B1957="","",N($L1957)-N($AF1957))</f>
        <v/>
      </c>
      <c r="AI1957" s="149">
        <f>IF($B1957="","",IF(N($L1957)=0,"",(N($L1957)-N($AF1957))/N($L1957)))</f>
        <v/>
      </c>
    </row>
    <row r="1958">
      <c r="A1958" s="39">
        <f>IF($B1958="","",COUNTA($B$4:$B1958))</f>
        <v/>
      </c>
      <c r="B1958" s="40" t="n"/>
      <c r="C1958" s="41" t="n"/>
      <c r="D1958" s="41" t="n"/>
      <c r="E1958" s="41" t="n"/>
      <c r="F1958" s="41" t="n"/>
      <c r="G1958" s="41" t="n"/>
      <c r="H1958" s="41" t="n"/>
      <c r="I1958" s="41" t="n"/>
      <c r="J1958" s="41" t="n"/>
      <c r="K1958" s="41" t="n"/>
      <c r="L1958" s="42" t="n"/>
      <c r="M1958" s="42" t="n"/>
      <c r="N1958" s="42" t="n"/>
      <c r="O1958" s="42" t="n"/>
      <c r="P1958" s="42" t="n"/>
      <c r="Q1958" s="42" t="n"/>
      <c r="R1958" s="43">
        <f>IF($B1958="","",N($S1958)-N($Q1958))</f>
        <v/>
      </c>
      <c r="S1958" s="43">
        <f>IF($B1958="","",N($L1958)+N($N1958)+N($P1958))</f>
        <v/>
      </c>
      <c r="T1958" s="42" t="n"/>
      <c r="U1958" s="42" t="n"/>
      <c r="V1958" s="42" t="n"/>
      <c r="W1958" s="42" t="n"/>
      <c r="X1958" s="42" t="n"/>
      <c r="Y1958" s="42" t="n"/>
      <c r="Z1958" s="42" t="n"/>
      <c r="AA1958" s="42" t="n"/>
      <c r="AB1958" s="42" t="n"/>
      <c r="AC1958" s="42" t="n"/>
      <c r="AD1958" s="42" t="n"/>
      <c r="AE1958" s="42" t="n"/>
      <c r="AF1958" s="43">
        <f>IF($B1958="","",SUM($T1958:$AE1958))</f>
        <v/>
      </c>
      <c r="AG1958" s="43">
        <f>IF($B1958="","",N($M1958)-N($AF1958))</f>
        <v/>
      </c>
      <c r="AH1958" s="43">
        <f>IF($B1958="","",N($L1958)-N($AF1958))</f>
        <v/>
      </c>
      <c r="AI1958" s="149">
        <f>IF($B1958="","",IF(N($L1958)=0,"",(N($L1958)-N($AF1958))/N($L1958)))</f>
        <v/>
      </c>
    </row>
    <row r="1959">
      <c r="A1959" s="39">
        <f>IF($B1959="","",COUNTA($B$4:$B1959))</f>
        <v/>
      </c>
      <c r="B1959" s="45" t="n"/>
      <c r="C1959" s="46" t="n"/>
      <c r="D1959" s="46" t="n"/>
      <c r="E1959" s="46" t="n"/>
      <c r="F1959" s="46" t="n"/>
      <c r="G1959" s="46" t="n"/>
      <c r="H1959" s="46" t="n"/>
      <c r="I1959" s="46" t="n"/>
      <c r="J1959" s="46" t="n"/>
      <c r="K1959" s="46" t="n"/>
      <c r="L1959" s="47" t="n"/>
      <c r="M1959" s="47" t="n"/>
      <c r="N1959" s="47" t="n"/>
      <c r="O1959" s="47" t="n"/>
      <c r="P1959" s="47" t="n"/>
      <c r="Q1959" s="47" t="n"/>
      <c r="R1959" s="43">
        <f>IF($B1959="","",N($S1959)-N($Q1959))</f>
        <v/>
      </c>
      <c r="S1959" s="43">
        <f>IF($B1959="","",N($L1959)+N($N1959)+N($P1959))</f>
        <v/>
      </c>
      <c r="T1959" s="47" t="n"/>
      <c r="U1959" s="47" t="n"/>
      <c r="V1959" s="47" t="n"/>
      <c r="W1959" s="47" t="n"/>
      <c r="X1959" s="47" t="n"/>
      <c r="Y1959" s="47" t="n"/>
      <c r="Z1959" s="47" t="n"/>
      <c r="AA1959" s="47" t="n"/>
      <c r="AB1959" s="47" t="n"/>
      <c r="AC1959" s="47" t="n"/>
      <c r="AD1959" s="47" t="n"/>
      <c r="AE1959" s="47" t="n"/>
      <c r="AF1959" s="43">
        <f>IF($B1959="","",SUM($T1959:$AE1959))</f>
        <v/>
      </c>
      <c r="AG1959" s="43">
        <f>IF($B1959="","",N($M1959)-N($AF1959))</f>
        <v/>
      </c>
      <c r="AH1959" s="43">
        <f>IF($B1959="","",N($L1959)-N($AF1959))</f>
        <v/>
      </c>
      <c r="AI1959" s="149">
        <f>IF($B1959="","",IF(N($L1959)=0,"",(N($L1959)-N($AF1959))/N($L1959)))</f>
        <v/>
      </c>
    </row>
    <row r="1960">
      <c r="A1960" s="39">
        <f>IF($B1960="","",COUNTA($B$4:$B1960))</f>
        <v/>
      </c>
      <c r="B1960" s="40" t="n"/>
      <c r="C1960" s="41" t="n"/>
      <c r="D1960" s="41" t="n"/>
      <c r="E1960" s="41" t="n"/>
      <c r="F1960" s="41" t="n"/>
      <c r="G1960" s="41" t="n"/>
      <c r="H1960" s="41" t="n"/>
      <c r="I1960" s="41" t="n"/>
      <c r="J1960" s="41" t="n"/>
      <c r="K1960" s="41" t="n"/>
      <c r="L1960" s="42" t="n"/>
      <c r="M1960" s="42" t="n"/>
      <c r="N1960" s="42" t="n"/>
      <c r="O1960" s="42" t="n"/>
      <c r="P1960" s="42" t="n"/>
      <c r="Q1960" s="42" t="n"/>
      <c r="R1960" s="43">
        <f>IF($B1960="","",N($S1960)-N($Q1960))</f>
        <v/>
      </c>
      <c r="S1960" s="43">
        <f>IF($B1960="","",N($L1960)+N($N1960)+N($P1960))</f>
        <v/>
      </c>
      <c r="T1960" s="42" t="n"/>
      <c r="U1960" s="42" t="n"/>
      <c r="V1960" s="42" t="n"/>
      <c r="W1960" s="42" t="n"/>
      <c r="X1960" s="42" t="n"/>
      <c r="Y1960" s="42" t="n"/>
      <c r="Z1960" s="42" t="n"/>
      <c r="AA1960" s="42" t="n"/>
      <c r="AB1960" s="42" t="n"/>
      <c r="AC1960" s="42" t="n"/>
      <c r="AD1960" s="42" t="n"/>
      <c r="AE1960" s="42" t="n"/>
      <c r="AF1960" s="43">
        <f>IF($B1960="","",SUM($T1960:$AE1960))</f>
        <v/>
      </c>
      <c r="AG1960" s="43">
        <f>IF($B1960="","",N($M1960)-N($AF1960))</f>
        <v/>
      </c>
      <c r="AH1960" s="43">
        <f>IF($B1960="","",N($L1960)-N($AF1960))</f>
        <v/>
      </c>
      <c r="AI1960" s="149">
        <f>IF($B1960="","",IF(N($L1960)=0,"",(N($L1960)-N($AF1960))/N($L1960)))</f>
        <v/>
      </c>
    </row>
    <row r="1961">
      <c r="A1961" s="39">
        <f>IF($B1961="","",COUNTA($B$4:$B1961))</f>
        <v/>
      </c>
      <c r="B1961" s="45" t="n"/>
      <c r="C1961" s="46" t="n"/>
      <c r="D1961" s="46" t="n"/>
      <c r="E1961" s="46" t="n"/>
      <c r="F1961" s="46" t="n"/>
      <c r="G1961" s="46" t="n"/>
      <c r="H1961" s="46" t="n"/>
      <c r="I1961" s="46" t="n"/>
      <c r="J1961" s="46" t="n"/>
      <c r="K1961" s="46" t="n"/>
      <c r="L1961" s="47" t="n"/>
      <c r="M1961" s="47" t="n"/>
      <c r="N1961" s="47" t="n"/>
      <c r="O1961" s="47" t="n"/>
      <c r="P1961" s="47" t="n"/>
      <c r="Q1961" s="47" t="n"/>
      <c r="R1961" s="43">
        <f>IF($B1961="","",N($S1961)-N($Q1961))</f>
        <v/>
      </c>
      <c r="S1961" s="43">
        <f>IF($B1961="","",N($L1961)+N($N1961)+N($P1961))</f>
        <v/>
      </c>
      <c r="T1961" s="47" t="n"/>
      <c r="U1961" s="47" t="n"/>
      <c r="V1961" s="47" t="n"/>
      <c r="W1961" s="47" t="n"/>
      <c r="X1961" s="47" t="n"/>
      <c r="Y1961" s="47" t="n"/>
      <c r="Z1961" s="47" t="n"/>
      <c r="AA1961" s="47" t="n"/>
      <c r="AB1961" s="47" t="n"/>
      <c r="AC1961" s="47" t="n"/>
      <c r="AD1961" s="47" t="n"/>
      <c r="AE1961" s="47" t="n"/>
      <c r="AF1961" s="43">
        <f>IF($B1961="","",SUM($T1961:$AE1961))</f>
        <v/>
      </c>
      <c r="AG1961" s="43">
        <f>IF($B1961="","",N($M1961)-N($AF1961))</f>
        <v/>
      </c>
      <c r="AH1961" s="43">
        <f>IF($B1961="","",N($L1961)-N($AF1961))</f>
        <v/>
      </c>
      <c r="AI1961" s="149">
        <f>IF($B1961="","",IF(N($L1961)=0,"",(N($L1961)-N($AF1961))/N($L1961)))</f>
        <v/>
      </c>
    </row>
    <row r="1962">
      <c r="A1962" s="39">
        <f>IF($B1962="","",COUNTA($B$4:$B1962))</f>
        <v/>
      </c>
      <c r="B1962" s="40" t="n"/>
      <c r="C1962" s="41" t="n"/>
      <c r="D1962" s="41" t="n"/>
      <c r="E1962" s="41" t="n"/>
      <c r="F1962" s="41" t="n"/>
      <c r="G1962" s="41" t="n"/>
      <c r="H1962" s="41" t="n"/>
      <c r="I1962" s="41" t="n"/>
      <c r="J1962" s="41" t="n"/>
      <c r="K1962" s="41" t="n"/>
      <c r="L1962" s="42" t="n"/>
      <c r="M1962" s="42" t="n"/>
      <c r="N1962" s="42" t="n"/>
      <c r="O1962" s="42" t="n"/>
      <c r="P1962" s="42" t="n"/>
      <c r="Q1962" s="42" t="n"/>
      <c r="R1962" s="43">
        <f>IF($B1962="","",N($S1962)-N($Q1962))</f>
        <v/>
      </c>
      <c r="S1962" s="43">
        <f>IF($B1962="","",N($L1962)+N($N1962)+N($P1962))</f>
        <v/>
      </c>
      <c r="T1962" s="42" t="n"/>
      <c r="U1962" s="42" t="n"/>
      <c r="V1962" s="42" t="n"/>
      <c r="W1962" s="42" t="n"/>
      <c r="X1962" s="42" t="n"/>
      <c r="Y1962" s="42" t="n"/>
      <c r="Z1962" s="42" t="n"/>
      <c r="AA1962" s="42" t="n"/>
      <c r="AB1962" s="42" t="n"/>
      <c r="AC1962" s="42" t="n"/>
      <c r="AD1962" s="42" t="n"/>
      <c r="AE1962" s="42" t="n"/>
      <c r="AF1962" s="43">
        <f>IF($B1962="","",SUM($T1962:$AE1962))</f>
        <v/>
      </c>
      <c r="AG1962" s="43">
        <f>IF($B1962="","",N($M1962)-N($AF1962))</f>
        <v/>
      </c>
      <c r="AH1962" s="43">
        <f>IF($B1962="","",N($L1962)-N($AF1962))</f>
        <v/>
      </c>
      <c r="AI1962" s="149">
        <f>IF($B1962="","",IF(N($L1962)=0,"",(N($L1962)-N($AF1962))/N($L1962)))</f>
        <v/>
      </c>
    </row>
    <row r="1963">
      <c r="A1963" s="39">
        <f>IF($B1963="","",COUNTA($B$4:$B1963))</f>
        <v/>
      </c>
      <c r="B1963" s="45" t="n"/>
      <c r="C1963" s="46" t="n"/>
      <c r="D1963" s="46" t="n"/>
      <c r="E1963" s="46" t="n"/>
      <c r="F1963" s="46" t="n"/>
      <c r="G1963" s="46" t="n"/>
      <c r="H1963" s="46" t="n"/>
      <c r="I1963" s="46" t="n"/>
      <c r="J1963" s="46" t="n"/>
      <c r="K1963" s="46" t="n"/>
      <c r="L1963" s="47" t="n"/>
      <c r="M1963" s="47" t="n"/>
      <c r="N1963" s="47" t="n"/>
      <c r="O1963" s="47" t="n"/>
      <c r="P1963" s="47" t="n"/>
      <c r="Q1963" s="47" t="n"/>
      <c r="R1963" s="43">
        <f>IF($B1963="","",N($S1963)-N($Q1963))</f>
        <v/>
      </c>
      <c r="S1963" s="43">
        <f>IF($B1963="","",N($L1963)+N($N1963)+N($P1963))</f>
        <v/>
      </c>
      <c r="T1963" s="47" t="n"/>
      <c r="U1963" s="47" t="n"/>
      <c r="V1963" s="47" t="n"/>
      <c r="W1963" s="47" t="n"/>
      <c r="X1963" s="47" t="n"/>
      <c r="Y1963" s="47" t="n"/>
      <c r="Z1963" s="47" t="n"/>
      <c r="AA1963" s="47" t="n"/>
      <c r="AB1963" s="47" t="n"/>
      <c r="AC1963" s="47" t="n"/>
      <c r="AD1963" s="47" t="n"/>
      <c r="AE1963" s="47" t="n"/>
      <c r="AF1963" s="43">
        <f>IF($B1963="","",SUM($T1963:$AE1963))</f>
        <v/>
      </c>
      <c r="AG1963" s="43">
        <f>IF($B1963="","",N($M1963)-N($AF1963))</f>
        <v/>
      </c>
      <c r="AH1963" s="43">
        <f>IF($B1963="","",N($L1963)-N($AF1963))</f>
        <v/>
      </c>
      <c r="AI1963" s="149">
        <f>IF($B1963="","",IF(N($L1963)=0,"",(N($L1963)-N($AF1963))/N($L1963)))</f>
        <v/>
      </c>
    </row>
    <row r="1964">
      <c r="A1964" s="39">
        <f>IF($B1964="","",COUNTA($B$4:$B1964))</f>
        <v/>
      </c>
      <c r="B1964" s="40" t="n"/>
      <c r="C1964" s="41" t="n"/>
      <c r="D1964" s="41" t="n"/>
      <c r="E1964" s="41" t="n"/>
      <c r="F1964" s="41" t="n"/>
      <c r="G1964" s="41" t="n"/>
      <c r="H1964" s="41" t="n"/>
      <c r="I1964" s="41" t="n"/>
      <c r="J1964" s="41" t="n"/>
      <c r="K1964" s="41" t="n"/>
      <c r="L1964" s="42" t="n"/>
      <c r="M1964" s="42" t="n"/>
      <c r="N1964" s="42" t="n"/>
      <c r="O1964" s="42" t="n"/>
      <c r="P1964" s="42" t="n"/>
      <c r="Q1964" s="42" t="n"/>
      <c r="R1964" s="43">
        <f>IF($B1964="","",N($S1964)-N($Q1964))</f>
        <v/>
      </c>
      <c r="S1964" s="43">
        <f>IF($B1964="","",N($L1964)+N($N1964)+N($P1964))</f>
        <v/>
      </c>
      <c r="T1964" s="42" t="n"/>
      <c r="U1964" s="42" t="n"/>
      <c r="V1964" s="42" t="n"/>
      <c r="W1964" s="42" t="n"/>
      <c r="X1964" s="42" t="n"/>
      <c r="Y1964" s="42" t="n"/>
      <c r="Z1964" s="42" t="n"/>
      <c r="AA1964" s="42" t="n"/>
      <c r="AB1964" s="42" t="n"/>
      <c r="AC1964" s="42" t="n"/>
      <c r="AD1964" s="42" t="n"/>
      <c r="AE1964" s="42" t="n"/>
      <c r="AF1964" s="43">
        <f>IF($B1964="","",SUM($T1964:$AE1964))</f>
        <v/>
      </c>
      <c r="AG1964" s="43">
        <f>IF($B1964="","",N($M1964)-N($AF1964))</f>
        <v/>
      </c>
      <c r="AH1964" s="43">
        <f>IF($B1964="","",N($L1964)-N($AF1964))</f>
        <v/>
      </c>
      <c r="AI1964" s="149">
        <f>IF($B1964="","",IF(N($L1964)=0,"",(N($L1964)-N($AF1964))/N($L1964)))</f>
        <v/>
      </c>
    </row>
    <row r="1965">
      <c r="A1965" s="39">
        <f>IF($B1965="","",COUNTA($B$4:$B1965))</f>
        <v/>
      </c>
      <c r="B1965" s="45" t="n"/>
      <c r="C1965" s="46" t="n"/>
      <c r="D1965" s="46" t="n"/>
      <c r="E1965" s="46" t="n"/>
      <c r="F1965" s="46" t="n"/>
      <c r="G1965" s="46" t="n"/>
      <c r="H1965" s="46" t="n"/>
      <c r="I1965" s="46" t="n"/>
      <c r="J1965" s="46" t="n"/>
      <c r="K1965" s="46" t="n"/>
      <c r="L1965" s="47" t="n"/>
      <c r="M1965" s="47" t="n"/>
      <c r="N1965" s="47" t="n"/>
      <c r="O1965" s="47" t="n"/>
      <c r="P1965" s="47" t="n"/>
      <c r="Q1965" s="47" t="n"/>
      <c r="R1965" s="43">
        <f>IF($B1965="","",N($S1965)-N($Q1965))</f>
        <v/>
      </c>
      <c r="S1965" s="43">
        <f>IF($B1965="","",N($L1965)+N($N1965)+N($P1965))</f>
        <v/>
      </c>
      <c r="T1965" s="47" t="n"/>
      <c r="U1965" s="47" t="n"/>
      <c r="V1965" s="47" t="n"/>
      <c r="W1965" s="47" t="n"/>
      <c r="X1965" s="47" t="n"/>
      <c r="Y1965" s="47" t="n"/>
      <c r="Z1965" s="47" t="n"/>
      <c r="AA1965" s="47" t="n"/>
      <c r="AB1965" s="47" t="n"/>
      <c r="AC1965" s="47" t="n"/>
      <c r="AD1965" s="47" t="n"/>
      <c r="AE1965" s="47" t="n"/>
      <c r="AF1965" s="43">
        <f>IF($B1965="","",SUM($T1965:$AE1965))</f>
        <v/>
      </c>
      <c r="AG1965" s="43">
        <f>IF($B1965="","",N($M1965)-N($AF1965))</f>
        <v/>
      </c>
      <c r="AH1965" s="43">
        <f>IF($B1965="","",N($L1965)-N($AF1965))</f>
        <v/>
      </c>
      <c r="AI1965" s="149">
        <f>IF($B1965="","",IF(N($L1965)=0,"",(N($L1965)-N($AF1965))/N($L1965)))</f>
        <v/>
      </c>
    </row>
    <row r="1966">
      <c r="A1966" s="39">
        <f>IF($B1966="","",COUNTA($B$4:$B1966))</f>
        <v/>
      </c>
      <c r="B1966" s="40" t="n"/>
      <c r="C1966" s="41" t="n"/>
      <c r="D1966" s="41" t="n"/>
      <c r="E1966" s="41" t="n"/>
      <c r="F1966" s="41" t="n"/>
      <c r="G1966" s="41" t="n"/>
      <c r="H1966" s="41" t="n"/>
      <c r="I1966" s="41" t="n"/>
      <c r="J1966" s="41" t="n"/>
      <c r="K1966" s="41" t="n"/>
      <c r="L1966" s="42" t="n"/>
      <c r="M1966" s="42" t="n"/>
      <c r="N1966" s="42" t="n"/>
      <c r="O1966" s="42" t="n"/>
      <c r="P1966" s="42" t="n"/>
      <c r="Q1966" s="42" t="n"/>
      <c r="R1966" s="43">
        <f>IF($B1966="","",N($S1966)-N($Q1966))</f>
        <v/>
      </c>
      <c r="S1966" s="43">
        <f>IF($B1966="","",N($L1966)+N($N1966)+N($P1966))</f>
        <v/>
      </c>
      <c r="T1966" s="42" t="n"/>
      <c r="U1966" s="42" t="n"/>
      <c r="V1966" s="42" t="n"/>
      <c r="W1966" s="42" t="n"/>
      <c r="X1966" s="42" t="n"/>
      <c r="Y1966" s="42" t="n"/>
      <c r="Z1966" s="42" t="n"/>
      <c r="AA1966" s="42" t="n"/>
      <c r="AB1966" s="42" t="n"/>
      <c r="AC1966" s="42" t="n"/>
      <c r="AD1966" s="42" t="n"/>
      <c r="AE1966" s="42" t="n"/>
      <c r="AF1966" s="43">
        <f>IF($B1966="","",SUM($T1966:$AE1966))</f>
        <v/>
      </c>
      <c r="AG1966" s="43">
        <f>IF($B1966="","",N($M1966)-N($AF1966))</f>
        <v/>
      </c>
      <c r="AH1966" s="43">
        <f>IF($B1966="","",N($L1966)-N($AF1966))</f>
        <v/>
      </c>
      <c r="AI1966" s="149">
        <f>IF($B1966="","",IF(N($L1966)=0,"",(N($L1966)-N($AF1966))/N($L1966)))</f>
        <v/>
      </c>
    </row>
    <row r="1967">
      <c r="A1967" s="39">
        <f>IF($B1967="","",COUNTA($B$4:$B1967))</f>
        <v/>
      </c>
      <c r="B1967" s="45" t="n"/>
      <c r="C1967" s="46" t="n"/>
      <c r="D1967" s="46" t="n"/>
      <c r="E1967" s="46" t="n"/>
      <c r="F1967" s="46" t="n"/>
      <c r="G1967" s="46" t="n"/>
      <c r="H1967" s="46" t="n"/>
      <c r="I1967" s="46" t="n"/>
      <c r="J1967" s="46" t="n"/>
      <c r="K1967" s="46" t="n"/>
      <c r="L1967" s="47" t="n"/>
      <c r="M1967" s="47" t="n"/>
      <c r="N1967" s="47" t="n"/>
      <c r="O1967" s="47" t="n"/>
      <c r="P1967" s="47" t="n"/>
      <c r="Q1967" s="47" t="n"/>
      <c r="R1967" s="43">
        <f>IF($B1967="","",N($S1967)-N($Q1967))</f>
        <v/>
      </c>
      <c r="S1967" s="43">
        <f>IF($B1967="","",N($L1967)+N($N1967)+N($P1967))</f>
        <v/>
      </c>
      <c r="T1967" s="47" t="n"/>
      <c r="U1967" s="47" t="n"/>
      <c r="V1967" s="47" t="n"/>
      <c r="W1967" s="47" t="n"/>
      <c r="X1967" s="47" t="n"/>
      <c r="Y1967" s="47" t="n"/>
      <c r="Z1967" s="47" t="n"/>
      <c r="AA1967" s="47" t="n"/>
      <c r="AB1967" s="47" t="n"/>
      <c r="AC1967" s="47" t="n"/>
      <c r="AD1967" s="47" t="n"/>
      <c r="AE1967" s="47" t="n"/>
      <c r="AF1967" s="43">
        <f>IF($B1967="","",SUM($T1967:$AE1967))</f>
        <v/>
      </c>
      <c r="AG1967" s="43">
        <f>IF($B1967="","",N($M1967)-N($AF1967))</f>
        <v/>
      </c>
      <c r="AH1967" s="43">
        <f>IF($B1967="","",N($L1967)-N($AF1967))</f>
        <v/>
      </c>
      <c r="AI1967" s="149">
        <f>IF($B1967="","",IF(N($L1967)=0,"",(N($L1967)-N($AF1967))/N($L1967)))</f>
        <v/>
      </c>
    </row>
    <row r="1968">
      <c r="A1968" s="39">
        <f>IF($B1968="","",COUNTA($B$4:$B1968))</f>
        <v/>
      </c>
      <c r="B1968" s="40" t="n"/>
      <c r="C1968" s="41" t="n"/>
      <c r="D1968" s="41" t="n"/>
      <c r="E1968" s="41" t="n"/>
      <c r="F1968" s="41" t="n"/>
      <c r="G1968" s="41" t="n"/>
      <c r="H1968" s="41" t="n"/>
      <c r="I1968" s="41" t="n"/>
      <c r="J1968" s="41" t="n"/>
      <c r="K1968" s="41" t="n"/>
      <c r="L1968" s="42" t="n"/>
      <c r="M1968" s="42" t="n"/>
      <c r="N1968" s="42" t="n"/>
      <c r="O1968" s="42" t="n"/>
      <c r="P1968" s="42" t="n"/>
      <c r="Q1968" s="42" t="n"/>
      <c r="R1968" s="43">
        <f>IF($B1968="","",N($S1968)-N($Q1968))</f>
        <v/>
      </c>
      <c r="S1968" s="43">
        <f>IF($B1968="","",N($L1968)+N($N1968)+N($P1968))</f>
        <v/>
      </c>
      <c r="T1968" s="42" t="n"/>
      <c r="U1968" s="42" t="n"/>
      <c r="V1968" s="42" t="n"/>
      <c r="W1968" s="42" t="n"/>
      <c r="X1968" s="42" t="n"/>
      <c r="Y1968" s="42" t="n"/>
      <c r="Z1968" s="42" t="n"/>
      <c r="AA1968" s="42" t="n"/>
      <c r="AB1968" s="42" t="n"/>
      <c r="AC1968" s="42" t="n"/>
      <c r="AD1968" s="42" t="n"/>
      <c r="AE1968" s="42" t="n"/>
      <c r="AF1968" s="43">
        <f>IF($B1968="","",SUM($T1968:$AE1968))</f>
        <v/>
      </c>
      <c r="AG1968" s="43">
        <f>IF($B1968="","",N($M1968)-N($AF1968))</f>
        <v/>
      </c>
      <c r="AH1968" s="43">
        <f>IF($B1968="","",N($L1968)-N($AF1968))</f>
        <v/>
      </c>
      <c r="AI1968" s="149">
        <f>IF($B1968="","",IF(N($L1968)=0,"",(N($L1968)-N($AF1968))/N($L1968)))</f>
        <v/>
      </c>
    </row>
    <row r="1969">
      <c r="A1969" s="39">
        <f>IF($B1969="","",COUNTA($B$4:$B1969))</f>
        <v/>
      </c>
      <c r="B1969" s="45" t="n"/>
      <c r="C1969" s="46" t="n"/>
      <c r="D1969" s="46" t="n"/>
      <c r="E1969" s="46" t="n"/>
      <c r="F1969" s="46" t="n"/>
      <c r="G1969" s="46" t="n"/>
      <c r="H1969" s="46" t="n"/>
      <c r="I1969" s="46" t="n"/>
      <c r="J1969" s="46" t="n"/>
      <c r="K1969" s="46" t="n"/>
      <c r="L1969" s="47" t="n"/>
      <c r="M1969" s="47" t="n"/>
      <c r="N1969" s="47" t="n"/>
      <c r="O1969" s="47" t="n"/>
      <c r="P1969" s="47" t="n"/>
      <c r="Q1969" s="47" t="n"/>
      <c r="R1969" s="43">
        <f>IF($B1969="","",N($S1969)-N($Q1969))</f>
        <v/>
      </c>
      <c r="S1969" s="43">
        <f>IF($B1969="","",N($L1969)+N($N1969)+N($P1969))</f>
        <v/>
      </c>
      <c r="T1969" s="47" t="n"/>
      <c r="U1969" s="47" t="n"/>
      <c r="V1969" s="47" t="n"/>
      <c r="W1969" s="47" t="n"/>
      <c r="X1969" s="47" t="n"/>
      <c r="Y1969" s="47" t="n"/>
      <c r="Z1969" s="47" t="n"/>
      <c r="AA1969" s="47" t="n"/>
      <c r="AB1969" s="47" t="n"/>
      <c r="AC1969" s="47" t="n"/>
      <c r="AD1969" s="47" t="n"/>
      <c r="AE1969" s="47" t="n"/>
      <c r="AF1969" s="43">
        <f>IF($B1969="","",SUM($T1969:$AE1969))</f>
        <v/>
      </c>
      <c r="AG1969" s="43">
        <f>IF($B1969="","",N($M1969)-N($AF1969))</f>
        <v/>
      </c>
      <c r="AH1969" s="43">
        <f>IF($B1969="","",N($L1969)-N($AF1969))</f>
        <v/>
      </c>
      <c r="AI1969" s="149">
        <f>IF($B1969="","",IF(N($L1969)=0,"",(N($L1969)-N($AF1969))/N($L1969)))</f>
        <v/>
      </c>
    </row>
    <row r="1970">
      <c r="A1970" s="39">
        <f>IF($B1970="","",COUNTA($B$4:$B1970))</f>
        <v/>
      </c>
      <c r="B1970" s="40" t="n"/>
      <c r="C1970" s="41" t="n"/>
      <c r="D1970" s="41" t="n"/>
      <c r="E1970" s="41" t="n"/>
      <c r="F1970" s="41" t="n"/>
      <c r="G1970" s="41" t="n"/>
      <c r="H1970" s="41" t="n"/>
      <c r="I1970" s="41" t="n"/>
      <c r="J1970" s="41" t="n"/>
      <c r="K1970" s="41" t="n"/>
      <c r="L1970" s="42" t="n"/>
      <c r="M1970" s="42" t="n"/>
      <c r="N1970" s="42" t="n"/>
      <c r="O1970" s="42" t="n"/>
      <c r="P1970" s="42" t="n"/>
      <c r="Q1970" s="42" t="n"/>
      <c r="R1970" s="43">
        <f>IF($B1970="","",N($S1970)-N($Q1970))</f>
        <v/>
      </c>
      <c r="S1970" s="43">
        <f>IF($B1970="","",N($L1970)+N($N1970)+N($P1970))</f>
        <v/>
      </c>
      <c r="T1970" s="42" t="n"/>
      <c r="U1970" s="42" t="n"/>
      <c r="V1970" s="42" t="n"/>
      <c r="W1970" s="42" t="n"/>
      <c r="X1970" s="42" t="n"/>
      <c r="Y1970" s="42" t="n"/>
      <c r="Z1970" s="42" t="n"/>
      <c r="AA1970" s="42" t="n"/>
      <c r="AB1970" s="42" t="n"/>
      <c r="AC1970" s="42" t="n"/>
      <c r="AD1970" s="42" t="n"/>
      <c r="AE1970" s="42" t="n"/>
      <c r="AF1970" s="43">
        <f>IF($B1970="","",SUM($T1970:$AE1970))</f>
        <v/>
      </c>
      <c r="AG1970" s="43">
        <f>IF($B1970="","",N($M1970)-N($AF1970))</f>
        <v/>
      </c>
      <c r="AH1970" s="43">
        <f>IF($B1970="","",N($L1970)-N($AF1970))</f>
        <v/>
      </c>
      <c r="AI1970" s="149">
        <f>IF($B1970="","",IF(N($L1970)=0,"",(N($L1970)-N($AF1970))/N($L1970)))</f>
        <v/>
      </c>
    </row>
    <row r="1971">
      <c r="A1971" s="39">
        <f>IF($B1971="","",COUNTA($B$4:$B1971))</f>
        <v/>
      </c>
      <c r="B1971" s="45" t="n"/>
      <c r="C1971" s="46" t="n"/>
      <c r="D1971" s="46" t="n"/>
      <c r="E1971" s="46" t="n"/>
      <c r="F1971" s="46" t="n"/>
      <c r="G1971" s="46" t="n"/>
      <c r="H1971" s="46" t="n"/>
      <c r="I1971" s="46" t="n"/>
      <c r="J1971" s="46" t="n"/>
      <c r="K1971" s="46" t="n"/>
      <c r="L1971" s="47" t="n"/>
      <c r="M1971" s="47" t="n"/>
      <c r="N1971" s="47" t="n"/>
      <c r="O1971" s="47" t="n"/>
      <c r="P1971" s="47" t="n"/>
      <c r="Q1971" s="47" t="n"/>
      <c r="R1971" s="43">
        <f>IF($B1971="","",N($S1971)-N($Q1971))</f>
        <v/>
      </c>
      <c r="S1971" s="43">
        <f>IF($B1971="","",N($L1971)+N($N1971)+N($P1971))</f>
        <v/>
      </c>
      <c r="T1971" s="47" t="n"/>
      <c r="U1971" s="47" t="n"/>
      <c r="V1971" s="47" t="n"/>
      <c r="W1971" s="47" t="n"/>
      <c r="X1971" s="47" t="n"/>
      <c r="Y1971" s="47" t="n"/>
      <c r="Z1971" s="47" t="n"/>
      <c r="AA1971" s="47" t="n"/>
      <c r="AB1971" s="47" t="n"/>
      <c r="AC1971" s="47" t="n"/>
      <c r="AD1971" s="47" t="n"/>
      <c r="AE1971" s="47" t="n"/>
      <c r="AF1971" s="43">
        <f>IF($B1971="","",SUM($T1971:$AE1971))</f>
        <v/>
      </c>
      <c r="AG1971" s="43">
        <f>IF($B1971="","",N($M1971)-N($AF1971))</f>
        <v/>
      </c>
      <c r="AH1971" s="43">
        <f>IF($B1971="","",N($L1971)-N($AF1971))</f>
        <v/>
      </c>
      <c r="AI1971" s="149">
        <f>IF($B1971="","",IF(N($L1971)=0,"",(N($L1971)-N($AF1971))/N($L1971)))</f>
        <v/>
      </c>
    </row>
    <row r="1972">
      <c r="A1972" s="39">
        <f>IF($B1972="","",COUNTA($B$4:$B1972))</f>
        <v/>
      </c>
      <c r="B1972" s="40" t="n"/>
      <c r="C1972" s="41" t="n"/>
      <c r="D1972" s="41" t="n"/>
      <c r="E1972" s="41" t="n"/>
      <c r="F1972" s="41" t="n"/>
      <c r="G1972" s="41" t="n"/>
      <c r="H1972" s="41" t="n"/>
      <c r="I1972" s="41" t="n"/>
      <c r="J1972" s="41" t="n"/>
      <c r="K1972" s="41" t="n"/>
      <c r="L1972" s="42" t="n"/>
      <c r="M1972" s="42" t="n"/>
      <c r="N1972" s="42" t="n"/>
      <c r="O1972" s="42" t="n"/>
      <c r="P1972" s="42" t="n"/>
      <c r="Q1972" s="42" t="n"/>
      <c r="R1972" s="43">
        <f>IF($B1972="","",N($S1972)-N($Q1972))</f>
        <v/>
      </c>
      <c r="S1972" s="43">
        <f>IF($B1972="","",N($L1972)+N($N1972)+N($P1972))</f>
        <v/>
      </c>
      <c r="T1972" s="42" t="n"/>
      <c r="U1972" s="42" t="n"/>
      <c r="V1972" s="42" t="n"/>
      <c r="W1972" s="42" t="n"/>
      <c r="X1972" s="42" t="n"/>
      <c r="Y1972" s="42" t="n"/>
      <c r="Z1972" s="42" t="n"/>
      <c r="AA1972" s="42" t="n"/>
      <c r="AB1972" s="42" t="n"/>
      <c r="AC1972" s="42" t="n"/>
      <c r="AD1972" s="42" t="n"/>
      <c r="AE1972" s="42" t="n"/>
      <c r="AF1972" s="43">
        <f>IF($B1972="","",SUM($T1972:$AE1972))</f>
        <v/>
      </c>
      <c r="AG1972" s="43">
        <f>IF($B1972="","",N($M1972)-N($AF1972))</f>
        <v/>
      </c>
      <c r="AH1972" s="43">
        <f>IF($B1972="","",N($L1972)-N($AF1972))</f>
        <v/>
      </c>
      <c r="AI1972" s="149">
        <f>IF($B1972="","",IF(N($L1972)=0,"",(N($L1972)-N($AF1972))/N($L1972)))</f>
        <v/>
      </c>
    </row>
    <row r="1973">
      <c r="A1973" s="39">
        <f>IF($B1973="","",COUNTA($B$4:$B1973))</f>
        <v/>
      </c>
      <c r="B1973" s="45" t="n"/>
      <c r="C1973" s="46" t="n"/>
      <c r="D1973" s="46" t="n"/>
      <c r="E1973" s="46" t="n"/>
      <c r="F1973" s="46" t="n"/>
      <c r="G1973" s="46" t="n"/>
      <c r="H1973" s="46" t="n"/>
      <c r="I1973" s="46" t="n"/>
      <c r="J1973" s="46" t="n"/>
      <c r="K1973" s="46" t="n"/>
      <c r="L1973" s="47" t="n"/>
      <c r="M1973" s="47" t="n"/>
      <c r="N1973" s="47" t="n"/>
      <c r="O1973" s="47" t="n"/>
      <c r="P1973" s="47" t="n"/>
      <c r="Q1973" s="47" t="n"/>
      <c r="R1973" s="43">
        <f>IF($B1973="","",N($S1973)-N($Q1973))</f>
        <v/>
      </c>
      <c r="S1973" s="43">
        <f>IF($B1973="","",N($L1973)+N($N1973)+N($P1973))</f>
        <v/>
      </c>
      <c r="T1973" s="47" t="n"/>
      <c r="U1973" s="47" t="n"/>
      <c r="V1973" s="47" t="n"/>
      <c r="W1973" s="47" t="n"/>
      <c r="X1973" s="47" t="n"/>
      <c r="Y1973" s="47" t="n"/>
      <c r="Z1973" s="47" t="n"/>
      <c r="AA1973" s="47" t="n"/>
      <c r="AB1973" s="47" t="n"/>
      <c r="AC1973" s="47" t="n"/>
      <c r="AD1973" s="47" t="n"/>
      <c r="AE1973" s="47" t="n"/>
      <c r="AF1973" s="43">
        <f>IF($B1973="","",SUM($T1973:$AE1973))</f>
        <v/>
      </c>
      <c r="AG1973" s="43">
        <f>IF($B1973="","",N($M1973)-N($AF1973))</f>
        <v/>
      </c>
      <c r="AH1973" s="43">
        <f>IF($B1973="","",N($L1973)-N($AF1973))</f>
        <v/>
      </c>
      <c r="AI1973" s="149">
        <f>IF($B1973="","",IF(N($L1973)=0,"",(N($L1973)-N($AF1973))/N($L1973)))</f>
        <v/>
      </c>
    </row>
    <row r="1974">
      <c r="A1974" s="39">
        <f>IF($B1974="","",COUNTA($B$4:$B1974))</f>
        <v/>
      </c>
      <c r="B1974" s="40" t="n"/>
      <c r="C1974" s="41" t="n"/>
      <c r="D1974" s="41" t="n"/>
      <c r="E1974" s="41" t="n"/>
      <c r="F1974" s="41" t="n"/>
      <c r="G1974" s="41" t="n"/>
      <c r="H1974" s="41" t="n"/>
      <c r="I1974" s="41" t="n"/>
      <c r="J1974" s="41" t="n"/>
      <c r="K1974" s="41" t="n"/>
      <c r="L1974" s="42" t="n"/>
      <c r="M1974" s="42" t="n"/>
      <c r="N1974" s="42" t="n"/>
      <c r="O1974" s="42" t="n"/>
      <c r="P1974" s="42" t="n"/>
      <c r="Q1974" s="42" t="n"/>
      <c r="R1974" s="43">
        <f>IF($B1974="","",N($S1974)-N($Q1974))</f>
        <v/>
      </c>
      <c r="S1974" s="43">
        <f>IF($B1974="","",N($L1974)+N($N1974)+N($P1974))</f>
        <v/>
      </c>
      <c r="T1974" s="42" t="n"/>
      <c r="U1974" s="42" t="n"/>
      <c r="V1974" s="42" t="n"/>
      <c r="W1974" s="42" t="n"/>
      <c r="X1974" s="42" t="n"/>
      <c r="Y1974" s="42" t="n"/>
      <c r="Z1974" s="42" t="n"/>
      <c r="AA1974" s="42" t="n"/>
      <c r="AB1974" s="42" t="n"/>
      <c r="AC1974" s="42" t="n"/>
      <c r="AD1974" s="42" t="n"/>
      <c r="AE1974" s="42" t="n"/>
      <c r="AF1974" s="43">
        <f>IF($B1974="","",SUM($T1974:$AE1974))</f>
        <v/>
      </c>
      <c r="AG1974" s="43">
        <f>IF($B1974="","",N($M1974)-N($AF1974))</f>
        <v/>
      </c>
      <c r="AH1974" s="43">
        <f>IF($B1974="","",N($L1974)-N($AF1974))</f>
        <v/>
      </c>
      <c r="AI1974" s="149">
        <f>IF($B1974="","",IF(N($L1974)=0,"",(N($L1974)-N($AF1974))/N($L1974)))</f>
        <v/>
      </c>
    </row>
    <row r="1975">
      <c r="A1975" s="39">
        <f>IF($B1975="","",COUNTA($B$4:$B1975))</f>
        <v/>
      </c>
      <c r="B1975" s="45" t="n"/>
      <c r="C1975" s="46" t="n"/>
      <c r="D1975" s="46" t="n"/>
      <c r="E1975" s="46" t="n"/>
      <c r="F1975" s="46" t="n"/>
      <c r="G1975" s="46" t="n"/>
      <c r="H1975" s="46" t="n"/>
      <c r="I1975" s="46" t="n"/>
      <c r="J1975" s="46" t="n"/>
      <c r="K1975" s="46" t="n"/>
      <c r="L1975" s="47" t="n"/>
      <c r="M1975" s="47" t="n"/>
      <c r="N1975" s="47" t="n"/>
      <c r="O1975" s="47" t="n"/>
      <c r="P1975" s="47" t="n"/>
      <c r="Q1975" s="47" t="n"/>
      <c r="R1975" s="43">
        <f>IF($B1975="","",N($S1975)-N($Q1975))</f>
        <v/>
      </c>
      <c r="S1975" s="43">
        <f>IF($B1975="","",N($L1975)+N($N1975)+N($P1975))</f>
        <v/>
      </c>
      <c r="T1975" s="47" t="n"/>
      <c r="U1975" s="47" t="n"/>
      <c r="V1975" s="47" t="n"/>
      <c r="W1975" s="47" t="n"/>
      <c r="X1975" s="47" t="n"/>
      <c r="Y1975" s="47" t="n"/>
      <c r="Z1975" s="47" t="n"/>
      <c r="AA1975" s="47" t="n"/>
      <c r="AB1975" s="47" t="n"/>
      <c r="AC1975" s="47" t="n"/>
      <c r="AD1975" s="47" t="n"/>
      <c r="AE1975" s="47" t="n"/>
      <c r="AF1975" s="43">
        <f>IF($B1975="","",SUM($T1975:$AE1975))</f>
        <v/>
      </c>
      <c r="AG1975" s="43">
        <f>IF($B1975="","",N($M1975)-N($AF1975))</f>
        <v/>
      </c>
      <c r="AH1975" s="43">
        <f>IF($B1975="","",N($L1975)-N($AF1975))</f>
        <v/>
      </c>
      <c r="AI1975" s="149">
        <f>IF($B1975="","",IF(N($L1975)=0,"",(N($L1975)-N($AF1975))/N($L1975)))</f>
        <v/>
      </c>
    </row>
    <row r="1976">
      <c r="A1976" s="39">
        <f>IF($B1976="","",COUNTA($B$4:$B1976))</f>
        <v/>
      </c>
      <c r="B1976" s="40" t="n"/>
      <c r="C1976" s="41" t="n"/>
      <c r="D1976" s="41" t="n"/>
      <c r="E1976" s="41" t="n"/>
      <c r="F1976" s="41" t="n"/>
      <c r="G1976" s="41" t="n"/>
      <c r="H1976" s="41" t="n"/>
      <c r="I1976" s="41" t="n"/>
      <c r="J1976" s="41" t="n"/>
      <c r="K1976" s="41" t="n"/>
      <c r="L1976" s="42" t="n"/>
      <c r="M1976" s="42" t="n"/>
      <c r="N1976" s="42" t="n"/>
      <c r="O1976" s="42" t="n"/>
      <c r="P1976" s="42" t="n"/>
      <c r="Q1976" s="42" t="n"/>
      <c r="R1976" s="43">
        <f>IF($B1976="","",N($S1976)-N($Q1976))</f>
        <v/>
      </c>
      <c r="S1976" s="43">
        <f>IF($B1976="","",N($L1976)+N($N1976)+N($P1976))</f>
        <v/>
      </c>
      <c r="T1976" s="42" t="n"/>
      <c r="U1976" s="42" t="n"/>
      <c r="V1976" s="42" t="n"/>
      <c r="W1976" s="42" t="n"/>
      <c r="X1976" s="42" t="n"/>
      <c r="Y1976" s="42" t="n"/>
      <c r="Z1976" s="42" t="n"/>
      <c r="AA1976" s="42" t="n"/>
      <c r="AB1976" s="42" t="n"/>
      <c r="AC1976" s="42" t="n"/>
      <c r="AD1976" s="42" t="n"/>
      <c r="AE1976" s="42" t="n"/>
      <c r="AF1976" s="43">
        <f>IF($B1976="","",SUM($T1976:$AE1976))</f>
        <v/>
      </c>
      <c r="AG1976" s="43">
        <f>IF($B1976="","",N($M1976)-N($AF1976))</f>
        <v/>
      </c>
      <c r="AH1976" s="43">
        <f>IF($B1976="","",N($L1976)-N($AF1976))</f>
        <v/>
      </c>
      <c r="AI1976" s="149">
        <f>IF($B1976="","",IF(N($L1976)=0,"",(N($L1976)-N($AF1976))/N($L1976)))</f>
        <v/>
      </c>
    </row>
    <row r="1977">
      <c r="A1977" s="39">
        <f>IF($B1977="","",COUNTA($B$4:$B1977))</f>
        <v/>
      </c>
      <c r="B1977" s="45" t="n"/>
      <c r="C1977" s="46" t="n"/>
      <c r="D1977" s="46" t="n"/>
      <c r="E1977" s="46" t="n"/>
      <c r="F1977" s="46" t="n"/>
      <c r="G1977" s="46" t="n"/>
      <c r="H1977" s="46" t="n"/>
      <c r="I1977" s="46" t="n"/>
      <c r="J1977" s="46" t="n"/>
      <c r="K1977" s="46" t="n"/>
      <c r="L1977" s="47" t="n"/>
      <c r="M1977" s="47" t="n"/>
      <c r="N1977" s="47" t="n"/>
      <c r="O1977" s="47" t="n"/>
      <c r="P1977" s="47" t="n"/>
      <c r="Q1977" s="47" t="n"/>
      <c r="R1977" s="43">
        <f>IF($B1977="","",N($S1977)-N($Q1977))</f>
        <v/>
      </c>
      <c r="S1977" s="43">
        <f>IF($B1977="","",N($L1977)+N($N1977)+N($P1977))</f>
        <v/>
      </c>
      <c r="T1977" s="47" t="n"/>
      <c r="U1977" s="47" t="n"/>
      <c r="V1977" s="47" t="n"/>
      <c r="W1977" s="47" t="n"/>
      <c r="X1977" s="47" t="n"/>
      <c r="Y1977" s="47" t="n"/>
      <c r="Z1977" s="47" t="n"/>
      <c r="AA1977" s="47" t="n"/>
      <c r="AB1977" s="47" t="n"/>
      <c r="AC1977" s="47" t="n"/>
      <c r="AD1977" s="47" t="n"/>
      <c r="AE1977" s="47" t="n"/>
      <c r="AF1977" s="43">
        <f>IF($B1977="","",SUM($T1977:$AE1977))</f>
        <v/>
      </c>
      <c r="AG1977" s="43">
        <f>IF($B1977="","",N($M1977)-N($AF1977))</f>
        <v/>
      </c>
      <c r="AH1977" s="43">
        <f>IF($B1977="","",N($L1977)-N($AF1977))</f>
        <v/>
      </c>
      <c r="AI1977" s="149">
        <f>IF($B1977="","",IF(N($L1977)=0,"",(N($L1977)-N($AF1977))/N($L1977)))</f>
        <v/>
      </c>
    </row>
    <row r="1978">
      <c r="A1978" s="39">
        <f>IF($B1978="","",COUNTA($B$4:$B1978))</f>
        <v/>
      </c>
      <c r="B1978" s="40" t="n"/>
      <c r="C1978" s="41" t="n"/>
      <c r="D1978" s="41" t="n"/>
      <c r="E1978" s="41" t="n"/>
      <c r="F1978" s="41" t="n"/>
      <c r="G1978" s="41" t="n"/>
      <c r="H1978" s="41" t="n"/>
      <c r="I1978" s="41" t="n"/>
      <c r="J1978" s="41" t="n"/>
      <c r="K1978" s="41" t="n"/>
      <c r="L1978" s="42" t="n"/>
      <c r="M1978" s="42" t="n"/>
      <c r="N1978" s="42" t="n"/>
      <c r="O1978" s="42" t="n"/>
      <c r="P1978" s="42" t="n"/>
      <c r="Q1978" s="42" t="n"/>
      <c r="R1978" s="43">
        <f>IF($B1978="","",N($S1978)-N($Q1978))</f>
        <v/>
      </c>
      <c r="S1978" s="43">
        <f>IF($B1978="","",N($L1978)+N($N1978)+N($P1978))</f>
        <v/>
      </c>
      <c r="T1978" s="42" t="n"/>
      <c r="U1978" s="42" t="n"/>
      <c r="V1978" s="42" t="n"/>
      <c r="W1978" s="42" t="n"/>
      <c r="X1978" s="42" t="n"/>
      <c r="Y1978" s="42" t="n"/>
      <c r="Z1978" s="42" t="n"/>
      <c r="AA1978" s="42" t="n"/>
      <c r="AB1978" s="42" t="n"/>
      <c r="AC1978" s="42" t="n"/>
      <c r="AD1978" s="42" t="n"/>
      <c r="AE1978" s="42" t="n"/>
      <c r="AF1978" s="43">
        <f>IF($B1978="","",SUM($T1978:$AE1978))</f>
        <v/>
      </c>
      <c r="AG1978" s="43">
        <f>IF($B1978="","",N($M1978)-N($AF1978))</f>
        <v/>
      </c>
      <c r="AH1978" s="43">
        <f>IF($B1978="","",N($L1978)-N($AF1978))</f>
        <v/>
      </c>
      <c r="AI1978" s="149">
        <f>IF($B1978="","",IF(N($L1978)=0,"",(N($L1978)-N($AF1978))/N($L1978)))</f>
        <v/>
      </c>
    </row>
    <row r="1979">
      <c r="A1979" s="39">
        <f>IF($B1979="","",COUNTA($B$4:$B1979))</f>
        <v/>
      </c>
      <c r="B1979" s="45" t="n"/>
      <c r="C1979" s="46" t="n"/>
      <c r="D1979" s="46" t="n"/>
      <c r="E1979" s="46" t="n"/>
      <c r="F1979" s="46" t="n"/>
      <c r="G1979" s="46" t="n"/>
      <c r="H1979" s="46" t="n"/>
      <c r="I1979" s="46" t="n"/>
      <c r="J1979" s="46" t="n"/>
      <c r="K1979" s="46" t="n"/>
      <c r="L1979" s="47" t="n"/>
      <c r="M1979" s="47" t="n"/>
      <c r="N1979" s="47" t="n"/>
      <c r="O1979" s="47" t="n"/>
      <c r="P1979" s="47" t="n"/>
      <c r="Q1979" s="47" t="n"/>
      <c r="R1979" s="43">
        <f>IF($B1979="","",N($S1979)-N($Q1979))</f>
        <v/>
      </c>
      <c r="S1979" s="43">
        <f>IF($B1979="","",N($L1979)+N($N1979)+N($P1979))</f>
        <v/>
      </c>
      <c r="T1979" s="47" t="n"/>
      <c r="U1979" s="47" t="n"/>
      <c r="V1979" s="47" t="n"/>
      <c r="W1979" s="47" t="n"/>
      <c r="X1979" s="47" t="n"/>
      <c r="Y1979" s="47" t="n"/>
      <c r="Z1979" s="47" t="n"/>
      <c r="AA1979" s="47" t="n"/>
      <c r="AB1979" s="47" t="n"/>
      <c r="AC1979" s="47" t="n"/>
      <c r="AD1979" s="47" t="n"/>
      <c r="AE1979" s="47" t="n"/>
      <c r="AF1979" s="43">
        <f>IF($B1979="","",SUM($T1979:$AE1979))</f>
        <v/>
      </c>
      <c r="AG1979" s="43">
        <f>IF($B1979="","",N($M1979)-N($AF1979))</f>
        <v/>
      </c>
      <c r="AH1979" s="43">
        <f>IF($B1979="","",N($L1979)-N($AF1979))</f>
        <v/>
      </c>
      <c r="AI1979" s="149">
        <f>IF($B1979="","",IF(N($L1979)=0,"",(N($L1979)-N($AF1979))/N($L1979)))</f>
        <v/>
      </c>
    </row>
    <row r="1980">
      <c r="A1980" s="39">
        <f>IF($B1980="","",COUNTA($B$4:$B1980))</f>
        <v/>
      </c>
      <c r="B1980" s="40" t="n"/>
      <c r="C1980" s="41" t="n"/>
      <c r="D1980" s="41" t="n"/>
      <c r="E1980" s="41" t="n"/>
      <c r="F1980" s="41" t="n"/>
      <c r="G1980" s="41" t="n"/>
      <c r="H1980" s="41" t="n"/>
      <c r="I1980" s="41" t="n"/>
      <c r="J1980" s="41" t="n"/>
      <c r="K1980" s="41" t="n"/>
      <c r="L1980" s="42" t="n"/>
      <c r="M1980" s="42" t="n"/>
      <c r="N1980" s="42" t="n"/>
      <c r="O1980" s="42" t="n"/>
      <c r="P1980" s="42" t="n"/>
      <c r="Q1980" s="42" t="n"/>
      <c r="R1980" s="43">
        <f>IF($B1980="","",N($S1980)-N($Q1980))</f>
        <v/>
      </c>
      <c r="S1980" s="43">
        <f>IF($B1980="","",N($L1980)+N($N1980)+N($P1980))</f>
        <v/>
      </c>
      <c r="T1980" s="42" t="n"/>
      <c r="U1980" s="42" t="n"/>
      <c r="V1980" s="42" t="n"/>
      <c r="W1980" s="42" t="n"/>
      <c r="X1980" s="42" t="n"/>
      <c r="Y1980" s="42" t="n"/>
      <c r="Z1980" s="42" t="n"/>
      <c r="AA1980" s="42" t="n"/>
      <c r="AB1980" s="42" t="n"/>
      <c r="AC1980" s="42" t="n"/>
      <c r="AD1980" s="42" t="n"/>
      <c r="AE1980" s="42" t="n"/>
      <c r="AF1980" s="43">
        <f>IF($B1980="","",SUM($T1980:$AE1980))</f>
        <v/>
      </c>
      <c r="AG1980" s="43">
        <f>IF($B1980="","",N($M1980)-N($AF1980))</f>
        <v/>
      </c>
      <c r="AH1980" s="43">
        <f>IF($B1980="","",N($L1980)-N($AF1980))</f>
        <v/>
      </c>
      <c r="AI1980" s="149">
        <f>IF($B1980="","",IF(N($L1980)=0,"",(N($L1980)-N($AF1980))/N($L1980)))</f>
        <v/>
      </c>
    </row>
    <row r="1981">
      <c r="A1981" s="39">
        <f>IF($B1981="","",COUNTA($B$4:$B1981))</f>
        <v/>
      </c>
      <c r="B1981" s="45" t="n"/>
      <c r="C1981" s="46" t="n"/>
      <c r="D1981" s="46" t="n"/>
      <c r="E1981" s="46" t="n"/>
      <c r="F1981" s="46" t="n"/>
      <c r="G1981" s="46" t="n"/>
      <c r="H1981" s="46" t="n"/>
      <c r="I1981" s="46" t="n"/>
      <c r="J1981" s="46" t="n"/>
      <c r="K1981" s="46" t="n"/>
      <c r="L1981" s="47" t="n"/>
      <c r="M1981" s="47" t="n"/>
      <c r="N1981" s="47" t="n"/>
      <c r="O1981" s="47" t="n"/>
      <c r="P1981" s="47" t="n"/>
      <c r="Q1981" s="47" t="n"/>
      <c r="R1981" s="43">
        <f>IF($B1981="","",N($S1981)-N($Q1981))</f>
        <v/>
      </c>
      <c r="S1981" s="43">
        <f>IF($B1981="","",N($L1981)+N($N1981)+N($P1981))</f>
        <v/>
      </c>
      <c r="T1981" s="47" t="n"/>
      <c r="U1981" s="47" t="n"/>
      <c r="V1981" s="47" t="n"/>
      <c r="W1981" s="47" t="n"/>
      <c r="X1981" s="47" t="n"/>
      <c r="Y1981" s="47" t="n"/>
      <c r="Z1981" s="47" t="n"/>
      <c r="AA1981" s="47" t="n"/>
      <c r="AB1981" s="47" t="n"/>
      <c r="AC1981" s="47" t="n"/>
      <c r="AD1981" s="47" t="n"/>
      <c r="AE1981" s="47" t="n"/>
      <c r="AF1981" s="43">
        <f>IF($B1981="","",SUM($T1981:$AE1981))</f>
        <v/>
      </c>
      <c r="AG1981" s="43">
        <f>IF($B1981="","",N($M1981)-N($AF1981))</f>
        <v/>
      </c>
      <c r="AH1981" s="43">
        <f>IF($B1981="","",N($L1981)-N($AF1981))</f>
        <v/>
      </c>
      <c r="AI1981" s="149">
        <f>IF($B1981="","",IF(N($L1981)=0,"",(N($L1981)-N($AF1981))/N($L1981)))</f>
        <v/>
      </c>
    </row>
    <row r="1982">
      <c r="A1982" s="39">
        <f>IF($B1982="","",COUNTA($B$4:$B1982))</f>
        <v/>
      </c>
      <c r="B1982" s="40" t="n"/>
      <c r="C1982" s="41" t="n"/>
      <c r="D1982" s="41" t="n"/>
      <c r="E1982" s="41" t="n"/>
      <c r="F1982" s="41" t="n"/>
      <c r="G1982" s="41" t="n"/>
      <c r="H1982" s="41" t="n"/>
      <c r="I1982" s="41" t="n"/>
      <c r="J1982" s="41" t="n"/>
      <c r="K1982" s="41" t="n"/>
      <c r="L1982" s="42" t="n"/>
      <c r="M1982" s="42" t="n"/>
      <c r="N1982" s="42" t="n"/>
      <c r="O1982" s="42" t="n"/>
      <c r="P1982" s="42" t="n"/>
      <c r="Q1982" s="42" t="n"/>
      <c r="R1982" s="43">
        <f>IF($B1982="","",N($S1982)-N($Q1982))</f>
        <v/>
      </c>
      <c r="S1982" s="43">
        <f>IF($B1982="","",N($L1982)+N($N1982)+N($P1982))</f>
        <v/>
      </c>
      <c r="T1982" s="42" t="n"/>
      <c r="U1982" s="42" t="n"/>
      <c r="V1982" s="42" t="n"/>
      <c r="W1982" s="42" t="n"/>
      <c r="X1982" s="42" t="n"/>
      <c r="Y1982" s="42" t="n"/>
      <c r="Z1982" s="42" t="n"/>
      <c r="AA1982" s="42" t="n"/>
      <c r="AB1982" s="42" t="n"/>
      <c r="AC1982" s="42" t="n"/>
      <c r="AD1982" s="42" t="n"/>
      <c r="AE1982" s="42" t="n"/>
      <c r="AF1982" s="43">
        <f>IF($B1982="","",SUM($T1982:$AE1982))</f>
        <v/>
      </c>
      <c r="AG1982" s="43">
        <f>IF($B1982="","",N($M1982)-N($AF1982))</f>
        <v/>
      </c>
      <c r="AH1982" s="43">
        <f>IF($B1982="","",N($L1982)-N($AF1982))</f>
        <v/>
      </c>
      <c r="AI1982" s="149">
        <f>IF($B1982="","",IF(N($L1982)=0,"",(N($L1982)-N($AF1982))/N($L1982)))</f>
        <v/>
      </c>
    </row>
    <row r="1983">
      <c r="A1983" s="39">
        <f>IF($B1983="","",COUNTA($B$4:$B1983))</f>
        <v/>
      </c>
      <c r="B1983" s="45" t="n"/>
      <c r="C1983" s="46" t="n"/>
      <c r="D1983" s="46" t="n"/>
      <c r="E1983" s="46" t="n"/>
      <c r="F1983" s="46" t="n"/>
      <c r="G1983" s="46" t="n"/>
      <c r="H1983" s="46" t="n"/>
      <c r="I1983" s="46" t="n"/>
      <c r="J1983" s="46" t="n"/>
      <c r="K1983" s="46" t="n"/>
      <c r="L1983" s="47" t="n"/>
      <c r="M1983" s="47" t="n"/>
      <c r="N1983" s="47" t="n"/>
      <c r="O1983" s="47" t="n"/>
      <c r="P1983" s="47" t="n"/>
      <c r="Q1983" s="47" t="n"/>
      <c r="R1983" s="43">
        <f>IF($B1983="","",N($S1983)-N($Q1983))</f>
        <v/>
      </c>
      <c r="S1983" s="43">
        <f>IF($B1983="","",N($L1983)+N($N1983)+N($P1983))</f>
        <v/>
      </c>
      <c r="T1983" s="47" t="n"/>
      <c r="U1983" s="47" t="n"/>
      <c r="V1983" s="47" t="n"/>
      <c r="W1983" s="47" t="n"/>
      <c r="X1983" s="47" t="n"/>
      <c r="Y1983" s="47" t="n"/>
      <c r="Z1983" s="47" t="n"/>
      <c r="AA1983" s="47" t="n"/>
      <c r="AB1983" s="47" t="n"/>
      <c r="AC1983" s="47" t="n"/>
      <c r="AD1983" s="47" t="n"/>
      <c r="AE1983" s="47" t="n"/>
      <c r="AF1983" s="43">
        <f>IF($B1983="","",SUM($T1983:$AE1983))</f>
        <v/>
      </c>
      <c r="AG1983" s="43">
        <f>IF($B1983="","",N($M1983)-N($AF1983))</f>
        <v/>
      </c>
      <c r="AH1983" s="43">
        <f>IF($B1983="","",N($L1983)-N($AF1983))</f>
        <v/>
      </c>
      <c r="AI1983" s="149">
        <f>IF($B1983="","",IF(N($L1983)=0,"",(N($L1983)-N($AF1983))/N($L1983)))</f>
        <v/>
      </c>
    </row>
    <row r="1984">
      <c r="A1984" s="39">
        <f>IF($B1984="","",COUNTA($B$4:$B1984))</f>
        <v/>
      </c>
      <c r="B1984" s="40" t="n"/>
      <c r="C1984" s="41" t="n"/>
      <c r="D1984" s="41" t="n"/>
      <c r="E1984" s="41" t="n"/>
      <c r="F1984" s="41" t="n"/>
      <c r="G1984" s="41" t="n"/>
      <c r="H1984" s="41" t="n"/>
      <c r="I1984" s="41" t="n"/>
      <c r="J1984" s="41" t="n"/>
      <c r="K1984" s="41" t="n"/>
      <c r="L1984" s="42" t="n"/>
      <c r="M1984" s="42" t="n"/>
      <c r="N1984" s="42" t="n"/>
      <c r="O1984" s="42" t="n"/>
      <c r="P1984" s="42" t="n"/>
      <c r="Q1984" s="42" t="n"/>
      <c r="R1984" s="43">
        <f>IF($B1984="","",N($S1984)-N($Q1984))</f>
        <v/>
      </c>
      <c r="S1984" s="43">
        <f>IF($B1984="","",N($L1984)+N($N1984)+N($P1984))</f>
        <v/>
      </c>
      <c r="T1984" s="42" t="n"/>
      <c r="U1984" s="42" t="n"/>
      <c r="V1984" s="42" t="n"/>
      <c r="W1984" s="42" t="n"/>
      <c r="X1984" s="42" t="n"/>
      <c r="Y1984" s="42" t="n"/>
      <c r="Z1984" s="42" t="n"/>
      <c r="AA1984" s="42" t="n"/>
      <c r="AB1984" s="42" t="n"/>
      <c r="AC1984" s="42" t="n"/>
      <c r="AD1984" s="42" t="n"/>
      <c r="AE1984" s="42" t="n"/>
      <c r="AF1984" s="43">
        <f>IF($B1984="","",SUM($T1984:$AE1984))</f>
        <v/>
      </c>
      <c r="AG1984" s="43">
        <f>IF($B1984="","",N($M1984)-N($AF1984))</f>
        <v/>
      </c>
      <c r="AH1984" s="43">
        <f>IF($B1984="","",N($L1984)-N($AF1984))</f>
        <v/>
      </c>
      <c r="AI1984" s="149">
        <f>IF($B1984="","",IF(N($L1984)=0,"",(N($L1984)-N($AF1984))/N($L1984)))</f>
        <v/>
      </c>
    </row>
    <row r="1985">
      <c r="A1985" s="39">
        <f>IF($B1985="","",COUNTA($B$4:$B1985))</f>
        <v/>
      </c>
      <c r="B1985" s="45" t="n"/>
      <c r="C1985" s="46" t="n"/>
      <c r="D1985" s="46" t="n"/>
      <c r="E1985" s="46" t="n"/>
      <c r="F1985" s="46" t="n"/>
      <c r="G1985" s="46" t="n"/>
      <c r="H1985" s="46" t="n"/>
      <c r="I1985" s="46" t="n"/>
      <c r="J1985" s="46" t="n"/>
      <c r="K1985" s="46" t="n"/>
      <c r="L1985" s="47" t="n"/>
      <c r="M1985" s="47" t="n"/>
      <c r="N1985" s="47" t="n"/>
      <c r="O1985" s="47" t="n"/>
      <c r="P1985" s="47" t="n"/>
      <c r="Q1985" s="47" t="n"/>
      <c r="R1985" s="43">
        <f>IF($B1985="","",N($S1985)-N($Q1985))</f>
        <v/>
      </c>
      <c r="S1985" s="43">
        <f>IF($B1985="","",N($L1985)+N($N1985)+N($P1985))</f>
        <v/>
      </c>
      <c r="T1985" s="47" t="n"/>
      <c r="U1985" s="47" t="n"/>
      <c r="V1985" s="47" t="n"/>
      <c r="W1985" s="47" t="n"/>
      <c r="X1985" s="47" t="n"/>
      <c r="Y1985" s="47" t="n"/>
      <c r="Z1985" s="47" t="n"/>
      <c r="AA1985" s="47" t="n"/>
      <c r="AB1985" s="47" t="n"/>
      <c r="AC1985" s="47" t="n"/>
      <c r="AD1985" s="47" t="n"/>
      <c r="AE1985" s="47" t="n"/>
      <c r="AF1985" s="43">
        <f>IF($B1985="","",SUM($T1985:$AE1985))</f>
        <v/>
      </c>
      <c r="AG1985" s="43">
        <f>IF($B1985="","",N($M1985)-N($AF1985))</f>
        <v/>
      </c>
      <c r="AH1985" s="43">
        <f>IF($B1985="","",N($L1985)-N($AF1985))</f>
        <v/>
      </c>
      <c r="AI1985" s="149">
        <f>IF($B1985="","",IF(N($L1985)=0,"",(N($L1985)-N($AF1985))/N($L1985)))</f>
        <v/>
      </c>
    </row>
    <row r="1986">
      <c r="A1986" s="39">
        <f>IF($B1986="","",COUNTA($B$4:$B1986))</f>
        <v/>
      </c>
      <c r="B1986" s="40" t="n"/>
      <c r="C1986" s="41" t="n"/>
      <c r="D1986" s="41" t="n"/>
      <c r="E1986" s="41" t="n"/>
      <c r="F1986" s="41" t="n"/>
      <c r="G1986" s="41" t="n"/>
      <c r="H1986" s="41" t="n"/>
      <c r="I1986" s="41" t="n"/>
      <c r="J1986" s="41" t="n"/>
      <c r="K1986" s="41" t="n"/>
      <c r="L1986" s="42" t="n"/>
      <c r="M1986" s="42" t="n"/>
      <c r="N1986" s="42" t="n"/>
      <c r="O1986" s="42" t="n"/>
      <c r="P1986" s="42" t="n"/>
      <c r="Q1986" s="42" t="n"/>
      <c r="R1986" s="43">
        <f>IF($B1986="","",N($S1986)-N($Q1986))</f>
        <v/>
      </c>
      <c r="S1986" s="43">
        <f>IF($B1986="","",N($L1986)+N($N1986)+N($P1986))</f>
        <v/>
      </c>
      <c r="T1986" s="42" t="n"/>
      <c r="U1986" s="42" t="n"/>
      <c r="V1986" s="42" t="n"/>
      <c r="W1986" s="42" t="n"/>
      <c r="X1986" s="42" t="n"/>
      <c r="Y1986" s="42" t="n"/>
      <c r="Z1986" s="42" t="n"/>
      <c r="AA1986" s="42" t="n"/>
      <c r="AB1986" s="42" t="n"/>
      <c r="AC1986" s="42" t="n"/>
      <c r="AD1986" s="42" t="n"/>
      <c r="AE1986" s="42" t="n"/>
      <c r="AF1986" s="43">
        <f>IF($B1986="","",SUM($T1986:$AE1986))</f>
        <v/>
      </c>
      <c r="AG1986" s="43">
        <f>IF($B1986="","",N($M1986)-N($AF1986))</f>
        <v/>
      </c>
      <c r="AH1986" s="43">
        <f>IF($B1986="","",N($L1986)-N($AF1986))</f>
        <v/>
      </c>
      <c r="AI1986" s="149">
        <f>IF($B1986="","",IF(N($L1986)=0,"",(N($L1986)-N($AF1986))/N($L1986)))</f>
        <v/>
      </c>
    </row>
    <row r="1987">
      <c r="A1987" s="39">
        <f>IF($B1987="","",COUNTA($B$4:$B1987))</f>
        <v/>
      </c>
      <c r="B1987" s="45" t="n"/>
      <c r="C1987" s="46" t="n"/>
      <c r="D1987" s="46" t="n"/>
      <c r="E1987" s="46" t="n"/>
      <c r="F1987" s="46" t="n"/>
      <c r="G1987" s="46" t="n"/>
      <c r="H1987" s="46" t="n"/>
      <c r="I1987" s="46" t="n"/>
      <c r="J1987" s="46" t="n"/>
      <c r="K1987" s="46" t="n"/>
      <c r="L1987" s="47" t="n"/>
      <c r="M1987" s="47" t="n"/>
      <c r="N1987" s="47" t="n"/>
      <c r="O1987" s="47" t="n"/>
      <c r="P1987" s="47" t="n"/>
      <c r="Q1987" s="47" t="n"/>
      <c r="R1987" s="43">
        <f>IF($B1987="","",N($S1987)-N($Q1987))</f>
        <v/>
      </c>
      <c r="S1987" s="43">
        <f>IF($B1987="","",N($L1987)+N($N1987)+N($P1987))</f>
        <v/>
      </c>
      <c r="T1987" s="47" t="n"/>
      <c r="U1987" s="47" t="n"/>
      <c r="V1987" s="47" t="n"/>
      <c r="W1987" s="47" t="n"/>
      <c r="X1987" s="47" t="n"/>
      <c r="Y1987" s="47" t="n"/>
      <c r="Z1987" s="47" t="n"/>
      <c r="AA1987" s="47" t="n"/>
      <c r="AB1987" s="47" t="n"/>
      <c r="AC1987" s="47" t="n"/>
      <c r="AD1987" s="47" t="n"/>
      <c r="AE1987" s="47" t="n"/>
      <c r="AF1987" s="43">
        <f>IF($B1987="","",SUM($T1987:$AE1987))</f>
        <v/>
      </c>
      <c r="AG1987" s="43">
        <f>IF($B1987="","",N($M1987)-N($AF1987))</f>
        <v/>
      </c>
      <c r="AH1987" s="43">
        <f>IF($B1987="","",N($L1987)-N($AF1987))</f>
        <v/>
      </c>
      <c r="AI1987" s="149">
        <f>IF($B1987="","",IF(N($L1987)=0,"",(N($L1987)-N($AF1987))/N($L1987)))</f>
        <v/>
      </c>
    </row>
    <row r="1988">
      <c r="A1988" s="39">
        <f>IF($B1988="","",COUNTA($B$4:$B1988))</f>
        <v/>
      </c>
      <c r="B1988" s="40" t="n"/>
      <c r="C1988" s="41" t="n"/>
      <c r="D1988" s="41" t="n"/>
      <c r="E1988" s="41" t="n"/>
      <c r="F1988" s="41" t="n"/>
      <c r="G1988" s="41" t="n"/>
      <c r="H1988" s="41" t="n"/>
      <c r="I1988" s="41" t="n"/>
      <c r="J1988" s="41" t="n"/>
      <c r="K1988" s="41" t="n"/>
      <c r="L1988" s="42" t="n"/>
      <c r="M1988" s="42" t="n"/>
      <c r="N1988" s="42" t="n"/>
      <c r="O1988" s="42" t="n"/>
      <c r="P1988" s="42" t="n"/>
      <c r="Q1988" s="42" t="n"/>
      <c r="R1988" s="43">
        <f>IF($B1988="","",N($S1988)-N($Q1988))</f>
        <v/>
      </c>
      <c r="S1988" s="43">
        <f>IF($B1988="","",N($L1988)+N($N1988)+N($P1988))</f>
        <v/>
      </c>
      <c r="T1988" s="42" t="n"/>
      <c r="U1988" s="42" t="n"/>
      <c r="V1988" s="42" t="n"/>
      <c r="W1988" s="42" t="n"/>
      <c r="X1988" s="42" t="n"/>
      <c r="Y1988" s="42" t="n"/>
      <c r="Z1988" s="42" t="n"/>
      <c r="AA1988" s="42" t="n"/>
      <c r="AB1988" s="42" t="n"/>
      <c r="AC1988" s="42" t="n"/>
      <c r="AD1988" s="42" t="n"/>
      <c r="AE1988" s="42" t="n"/>
      <c r="AF1988" s="43">
        <f>IF($B1988="","",SUM($T1988:$AE1988))</f>
        <v/>
      </c>
      <c r="AG1988" s="43">
        <f>IF($B1988="","",N($M1988)-N($AF1988))</f>
        <v/>
      </c>
      <c r="AH1988" s="43">
        <f>IF($B1988="","",N($L1988)-N($AF1988))</f>
        <v/>
      </c>
      <c r="AI1988" s="149">
        <f>IF($B1988="","",IF(N($L1988)=0,"",(N($L1988)-N($AF1988))/N($L1988)))</f>
        <v/>
      </c>
    </row>
    <row r="1989">
      <c r="A1989" s="39">
        <f>IF($B1989="","",COUNTA($B$4:$B1989))</f>
        <v/>
      </c>
      <c r="B1989" s="45" t="n"/>
      <c r="C1989" s="46" t="n"/>
      <c r="D1989" s="46" t="n"/>
      <c r="E1989" s="46" t="n"/>
      <c r="F1989" s="46" t="n"/>
      <c r="G1989" s="46" t="n"/>
      <c r="H1989" s="46" t="n"/>
      <c r="I1989" s="46" t="n"/>
      <c r="J1989" s="46" t="n"/>
      <c r="K1989" s="46" t="n"/>
      <c r="L1989" s="47" t="n"/>
      <c r="M1989" s="47" t="n"/>
      <c r="N1989" s="47" t="n"/>
      <c r="O1989" s="47" t="n"/>
      <c r="P1989" s="47" t="n"/>
      <c r="Q1989" s="47" t="n"/>
      <c r="R1989" s="43">
        <f>IF($B1989="","",N($S1989)-N($Q1989))</f>
        <v/>
      </c>
      <c r="S1989" s="43">
        <f>IF($B1989="","",N($L1989)+N($N1989)+N($P1989))</f>
        <v/>
      </c>
      <c r="T1989" s="47" t="n"/>
      <c r="U1989" s="47" t="n"/>
      <c r="V1989" s="47" t="n"/>
      <c r="W1989" s="47" t="n"/>
      <c r="X1989" s="47" t="n"/>
      <c r="Y1989" s="47" t="n"/>
      <c r="Z1989" s="47" t="n"/>
      <c r="AA1989" s="47" t="n"/>
      <c r="AB1989" s="47" t="n"/>
      <c r="AC1989" s="47" t="n"/>
      <c r="AD1989" s="47" t="n"/>
      <c r="AE1989" s="47" t="n"/>
      <c r="AF1989" s="43">
        <f>IF($B1989="","",SUM($T1989:$AE1989))</f>
        <v/>
      </c>
      <c r="AG1989" s="43">
        <f>IF($B1989="","",N($M1989)-N($AF1989))</f>
        <v/>
      </c>
      <c r="AH1989" s="43">
        <f>IF($B1989="","",N($L1989)-N($AF1989))</f>
        <v/>
      </c>
      <c r="AI1989" s="149">
        <f>IF($B1989="","",IF(N($L1989)=0,"",(N($L1989)-N($AF1989))/N($L1989)))</f>
        <v/>
      </c>
    </row>
    <row r="1990">
      <c r="A1990" s="39">
        <f>IF($B1990="","",COUNTA($B$4:$B1990))</f>
        <v/>
      </c>
      <c r="B1990" s="40" t="n"/>
      <c r="C1990" s="41" t="n"/>
      <c r="D1990" s="41" t="n"/>
      <c r="E1990" s="41" t="n"/>
      <c r="F1990" s="41" t="n"/>
      <c r="G1990" s="41" t="n"/>
      <c r="H1990" s="41" t="n"/>
      <c r="I1990" s="41" t="n"/>
      <c r="J1990" s="41" t="n"/>
      <c r="K1990" s="41" t="n"/>
      <c r="L1990" s="42" t="n"/>
      <c r="M1990" s="42" t="n"/>
      <c r="N1990" s="42" t="n"/>
      <c r="O1990" s="42" t="n"/>
      <c r="P1990" s="42" t="n"/>
      <c r="Q1990" s="42" t="n"/>
      <c r="R1990" s="43">
        <f>IF($B1990="","",N($S1990)-N($Q1990))</f>
        <v/>
      </c>
      <c r="S1990" s="43">
        <f>IF($B1990="","",N($L1990)+N($N1990)+N($P1990))</f>
        <v/>
      </c>
      <c r="T1990" s="42" t="n"/>
      <c r="U1990" s="42" t="n"/>
      <c r="V1990" s="42" t="n"/>
      <c r="W1990" s="42" t="n"/>
      <c r="X1990" s="42" t="n"/>
      <c r="Y1990" s="42" t="n"/>
      <c r="Z1990" s="42" t="n"/>
      <c r="AA1990" s="42" t="n"/>
      <c r="AB1990" s="42" t="n"/>
      <c r="AC1990" s="42" t="n"/>
      <c r="AD1990" s="42" t="n"/>
      <c r="AE1990" s="42" t="n"/>
      <c r="AF1990" s="43">
        <f>IF($B1990="","",SUM($T1990:$AE1990))</f>
        <v/>
      </c>
      <c r="AG1990" s="43">
        <f>IF($B1990="","",N($M1990)-N($AF1990))</f>
        <v/>
      </c>
      <c r="AH1990" s="43">
        <f>IF($B1990="","",N($L1990)-N($AF1990))</f>
        <v/>
      </c>
      <c r="AI1990" s="149">
        <f>IF($B1990="","",IF(N($L1990)=0,"",(N($L1990)-N($AF1990))/N($L1990)))</f>
        <v/>
      </c>
    </row>
    <row r="1991">
      <c r="A1991" s="39">
        <f>IF($B1991="","",COUNTA($B$4:$B1991))</f>
        <v/>
      </c>
      <c r="B1991" s="45" t="n"/>
      <c r="C1991" s="46" t="n"/>
      <c r="D1991" s="46" t="n"/>
      <c r="E1991" s="46" t="n"/>
      <c r="F1991" s="46" t="n"/>
      <c r="G1991" s="46" t="n"/>
      <c r="H1991" s="46" t="n"/>
      <c r="I1991" s="46" t="n"/>
      <c r="J1991" s="46" t="n"/>
      <c r="K1991" s="46" t="n"/>
      <c r="L1991" s="47" t="n"/>
      <c r="M1991" s="47" t="n"/>
      <c r="N1991" s="47" t="n"/>
      <c r="O1991" s="47" t="n"/>
      <c r="P1991" s="47" t="n"/>
      <c r="Q1991" s="47" t="n"/>
      <c r="R1991" s="43">
        <f>IF($B1991="","",N($S1991)-N($Q1991))</f>
        <v/>
      </c>
      <c r="S1991" s="43">
        <f>IF($B1991="","",N($L1991)+N($N1991)+N($P1991))</f>
        <v/>
      </c>
      <c r="T1991" s="47" t="n"/>
      <c r="U1991" s="47" t="n"/>
      <c r="V1991" s="47" t="n"/>
      <c r="W1991" s="47" t="n"/>
      <c r="X1991" s="47" t="n"/>
      <c r="Y1991" s="47" t="n"/>
      <c r="Z1991" s="47" t="n"/>
      <c r="AA1991" s="47" t="n"/>
      <c r="AB1991" s="47" t="n"/>
      <c r="AC1991" s="47" t="n"/>
      <c r="AD1991" s="47" t="n"/>
      <c r="AE1991" s="47" t="n"/>
      <c r="AF1991" s="43">
        <f>IF($B1991="","",SUM($T1991:$AE1991))</f>
        <v/>
      </c>
      <c r="AG1991" s="43">
        <f>IF($B1991="","",N($M1991)-N($AF1991))</f>
        <v/>
      </c>
      <c r="AH1991" s="43">
        <f>IF($B1991="","",N($L1991)-N($AF1991))</f>
        <v/>
      </c>
      <c r="AI1991" s="149">
        <f>IF($B1991="","",IF(N($L1991)=0,"",(N($L1991)-N($AF1991))/N($L1991)))</f>
        <v/>
      </c>
    </row>
    <row r="1992">
      <c r="A1992" s="39">
        <f>IF($B1992="","",COUNTA($B$4:$B1992))</f>
        <v/>
      </c>
      <c r="B1992" s="40" t="n"/>
      <c r="C1992" s="41" t="n"/>
      <c r="D1992" s="41" t="n"/>
      <c r="E1992" s="41" t="n"/>
      <c r="F1992" s="41" t="n"/>
      <c r="G1992" s="41" t="n"/>
      <c r="H1992" s="41" t="n"/>
      <c r="I1992" s="41" t="n"/>
      <c r="J1992" s="41" t="n"/>
      <c r="K1992" s="41" t="n"/>
      <c r="L1992" s="42" t="n"/>
      <c r="M1992" s="42" t="n"/>
      <c r="N1992" s="42" t="n"/>
      <c r="O1992" s="42" t="n"/>
      <c r="P1992" s="42" t="n"/>
      <c r="Q1992" s="42" t="n"/>
      <c r="R1992" s="43">
        <f>IF($B1992="","",N($S1992)-N($Q1992))</f>
        <v/>
      </c>
      <c r="S1992" s="43">
        <f>IF($B1992="","",N($L1992)+N($N1992)+N($P1992))</f>
        <v/>
      </c>
      <c r="T1992" s="42" t="n"/>
      <c r="U1992" s="42" t="n"/>
      <c r="V1992" s="42" t="n"/>
      <c r="W1992" s="42" t="n"/>
      <c r="X1992" s="42" t="n"/>
      <c r="Y1992" s="42" t="n"/>
      <c r="Z1992" s="42" t="n"/>
      <c r="AA1992" s="42" t="n"/>
      <c r="AB1992" s="42" t="n"/>
      <c r="AC1992" s="42" t="n"/>
      <c r="AD1992" s="42" t="n"/>
      <c r="AE1992" s="42" t="n"/>
      <c r="AF1992" s="43">
        <f>IF($B1992="","",SUM($T1992:$AE1992))</f>
        <v/>
      </c>
      <c r="AG1992" s="43">
        <f>IF($B1992="","",N($M1992)-N($AF1992))</f>
        <v/>
      </c>
      <c r="AH1992" s="43">
        <f>IF($B1992="","",N($L1992)-N($AF1992))</f>
        <v/>
      </c>
      <c r="AI1992" s="149">
        <f>IF($B1992="","",IF(N($L1992)=0,"",(N($L1992)-N($AF1992))/N($L1992)))</f>
        <v/>
      </c>
    </row>
    <row r="1993">
      <c r="A1993" s="39">
        <f>IF($B1993="","",COUNTA($B$4:$B1993))</f>
        <v/>
      </c>
      <c r="B1993" s="45" t="n"/>
      <c r="C1993" s="46" t="n"/>
      <c r="D1993" s="46" t="n"/>
      <c r="E1993" s="46" t="n"/>
      <c r="F1993" s="46" t="n"/>
      <c r="G1993" s="46" t="n"/>
      <c r="H1993" s="46" t="n"/>
      <c r="I1993" s="46" t="n"/>
      <c r="J1993" s="46" t="n"/>
      <c r="K1993" s="46" t="n"/>
      <c r="L1993" s="47" t="n"/>
      <c r="M1993" s="47" t="n"/>
      <c r="N1993" s="47" t="n"/>
      <c r="O1993" s="47" t="n"/>
      <c r="P1993" s="47" t="n"/>
      <c r="Q1993" s="47" t="n"/>
      <c r="R1993" s="43">
        <f>IF($B1993="","",N($S1993)-N($Q1993))</f>
        <v/>
      </c>
      <c r="S1993" s="43">
        <f>IF($B1993="","",N($L1993)+N($N1993)+N($P1993))</f>
        <v/>
      </c>
      <c r="T1993" s="47" t="n"/>
      <c r="U1993" s="47" t="n"/>
      <c r="V1993" s="47" t="n"/>
      <c r="W1993" s="47" t="n"/>
      <c r="X1993" s="47" t="n"/>
      <c r="Y1993" s="47" t="n"/>
      <c r="Z1993" s="47" t="n"/>
      <c r="AA1993" s="47" t="n"/>
      <c r="AB1993" s="47" t="n"/>
      <c r="AC1993" s="47" t="n"/>
      <c r="AD1993" s="47" t="n"/>
      <c r="AE1993" s="47" t="n"/>
      <c r="AF1993" s="43">
        <f>IF($B1993="","",SUM($T1993:$AE1993))</f>
        <v/>
      </c>
      <c r="AG1993" s="43">
        <f>IF($B1993="","",N($M1993)-N($AF1993))</f>
        <v/>
      </c>
      <c r="AH1993" s="43">
        <f>IF($B1993="","",N($L1993)-N($AF1993))</f>
        <v/>
      </c>
      <c r="AI1993" s="149">
        <f>IF($B1993="","",IF(N($L1993)=0,"",(N($L1993)-N($AF1993))/N($L1993)))</f>
        <v/>
      </c>
    </row>
    <row r="1994">
      <c r="A1994" s="39">
        <f>IF($B1994="","",COUNTA($B$4:$B1994))</f>
        <v/>
      </c>
      <c r="B1994" s="40" t="n"/>
      <c r="C1994" s="41" t="n"/>
      <c r="D1994" s="41" t="n"/>
      <c r="E1994" s="41" t="n"/>
      <c r="F1994" s="41" t="n"/>
      <c r="G1994" s="41" t="n"/>
      <c r="H1994" s="41" t="n"/>
      <c r="I1994" s="41" t="n"/>
      <c r="J1994" s="41" t="n"/>
      <c r="K1994" s="41" t="n"/>
      <c r="L1994" s="42" t="n"/>
      <c r="M1994" s="42" t="n"/>
      <c r="N1994" s="42" t="n"/>
      <c r="O1994" s="42" t="n"/>
      <c r="P1994" s="42" t="n"/>
      <c r="Q1994" s="42" t="n"/>
      <c r="R1994" s="43">
        <f>IF($B1994="","",N($S1994)-N($Q1994))</f>
        <v/>
      </c>
      <c r="S1994" s="43">
        <f>IF($B1994="","",N($L1994)+N($N1994)+N($P1994))</f>
        <v/>
      </c>
      <c r="T1994" s="42" t="n"/>
      <c r="U1994" s="42" t="n"/>
      <c r="V1994" s="42" t="n"/>
      <c r="W1994" s="42" t="n"/>
      <c r="X1994" s="42" t="n"/>
      <c r="Y1994" s="42" t="n"/>
      <c r="Z1994" s="42" t="n"/>
      <c r="AA1994" s="42" t="n"/>
      <c r="AB1994" s="42" t="n"/>
      <c r="AC1994" s="42" t="n"/>
      <c r="AD1994" s="42" t="n"/>
      <c r="AE1994" s="42" t="n"/>
      <c r="AF1994" s="43">
        <f>IF($B1994="","",SUM($T1994:$AE1994))</f>
        <v/>
      </c>
      <c r="AG1994" s="43">
        <f>IF($B1994="","",N($M1994)-N($AF1994))</f>
        <v/>
      </c>
      <c r="AH1994" s="43">
        <f>IF($B1994="","",N($L1994)-N($AF1994))</f>
        <v/>
      </c>
      <c r="AI1994" s="149">
        <f>IF($B1994="","",IF(N($L1994)=0,"",(N($L1994)-N($AF1994))/N($L1994)))</f>
        <v/>
      </c>
    </row>
    <row r="1995">
      <c r="A1995" s="39">
        <f>IF($B1995="","",COUNTA($B$4:$B1995))</f>
        <v/>
      </c>
      <c r="B1995" s="45" t="n"/>
      <c r="C1995" s="46" t="n"/>
      <c r="D1995" s="46" t="n"/>
      <c r="E1995" s="46" t="n"/>
      <c r="F1995" s="46" t="n"/>
      <c r="G1995" s="46" t="n"/>
      <c r="H1995" s="46" t="n"/>
      <c r="I1995" s="46" t="n"/>
      <c r="J1995" s="46" t="n"/>
      <c r="K1995" s="46" t="n"/>
      <c r="L1995" s="47" t="n"/>
      <c r="M1995" s="47" t="n"/>
      <c r="N1995" s="47" t="n"/>
      <c r="O1995" s="47" t="n"/>
      <c r="P1995" s="47" t="n"/>
      <c r="Q1995" s="47" t="n"/>
      <c r="R1995" s="43">
        <f>IF($B1995="","",N($S1995)-N($Q1995))</f>
        <v/>
      </c>
      <c r="S1995" s="43">
        <f>IF($B1995="","",N($L1995)+N($N1995)+N($P1995))</f>
        <v/>
      </c>
      <c r="T1995" s="47" t="n"/>
      <c r="U1995" s="47" t="n"/>
      <c r="V1995" s="47" t="n"/>
      <c r="W1995" s="47" t="n"/>
      <c r="X1995" s="47" t="n"/>
      <c r="Y1995" s="47" t="n"/>
      <c r="Z1995" s="47" t="n"/>
      <c r="AA1995" s="47" t="n"/>
      <c r="AB1995" s="47" t="n"/>
      <c r="AC1995" s="47" t="n"/>
      <c r="AD1995" s="47" t="n"/>
      <c r="AE1995" s="47" t="n"/>
      <c r="AF1995" s="43">
        <f>IF($B1995="","",SUM($T1995:$AE1995))</f>
        <v/>
      </c>
      <c r="AG1995" s="43">
        <f>IF($B1995="","",N($M1995)-N($AF1995))</f>
        <v/>
      </c>
      <c r="AH1995" s="43">
        <f>IF($B1995="","",N($L1995)-N($AF1995))</f>
        <v/>
      </c>
      <c r="AI1995" s="149">
        <f>IF($B1995="","",IF(N($L1995)=0,"",(N($L1995)-N($AF1995))/N($L1995)))</f>
        <v/>
      </c>
    </row>
    <row r="1996">
      <c r="A1996" s="39">
        <f>IF($B1996="","",COUNTA($B$4:$B1996))</f>
        <v/>
      </c>
      <c r="B1996" s="40" t="n"/>
      <c r="C1996" s="41" t="n"/>
      <c r="D1996" s="41" t="n"/>
      <c r="E1996" s="41" t="n"/>
      <c r="F1996" s="41" t="n"/>
      <c r="G1996" s="41" t="n"/>
      <c r="H1996" s="41" t="n"/>
      <c r="I1996" s="41" t="n"/>
      <c r="J1996" s="41" t="n"/>
      <c r="K1996" s="41" t="n"/>
      <c r="L1996" s="42" t="n"/>
      <c r="M1996" s="42" t="n"/>
      <c r="N1996" s="42" t="n"/>
      <c r="O1996" s="42" t="n"/>
      <c r="P1996" s="42" t="n"/>
      <c r="Q1996" s="42" t="n"/>
      <c r="R1996" s="43">
        <f>IF($B1996="","",N($S1996)-N($Q1996))</f>
        <v/>
      </c>
      <c r="S1996" s="43">
        <f>IF($B1996="","",N($L1996)+N($N1996)+N($P1996))</f>
        <v/>
      </c>
      <c r="T1996" s="42" t="n"/>
      <c r="U1996" s="42" t="n"/>
      <c r="V1996" s="42" t="n"/>
      <c r="W1996" s="42" t="n"/>
      <c r="X1996" s="42" t="n"/>
      <c r="Y1996" s="42" t="n"/>
      <c r="Z1996" s="42" t="n"/>
      <c r="AA1996" s="42" t="n"/>
      <c r="AB1996" s="42" t="n"/>
      <c r="AC1996" s="42" t="n"/>
      <c r="AD1996" s="42" t="n"/>
      <c r="AE1996" s="42" t="n"/>
      <c r="AF1996" s="43">
        <f>IF($B1996="","",SUM($T1996:$AE1996))</f>
        <v/>
      </c>
      <c r="AG1996" s="43">
        <f>IF($B1996="","",N($M1996)-N($AF1996))</f>
        <v/>
      </c>
      <c r="AH1996" s="43">
        <f>IF($B1996="","",N($L1996)-N($AF1996))</f>
        <v/>
      </c>
      <c r="AI1996" s="149">
        <f>IF($B1996="","",IF(N($L1996)=0,"",(N($L1996)-N($AF1996))/N($L1996)))</f>
        <v/>
      </c>
    </row>
    <row r="1997">
      <c r="A1997" s="39">
        <f>IF($B1997="","",COUNTA($B$4:$B1997))</f>
        <v/>
      </c>
      <c r="B1997" s="45" t="n"/>
      <c r="C1997" s="46" t="n"/>
      <c r="D1997" s="46" t="n"/>
      <c r="E1997" s="46" t="n"/>
      <c r="F1997" s="46" t="n"/>
      <c r="G1997" s="46" t="n"/>
      <c r="H1997" s="46" t="n"/>
      <c r="I1997" s="46" t="n"/>
      <c r="J1997" s="46" t="n"/>
      <c r="K1997" s="46" t="n"/>
      <c r="L1997" s="47" t="n"/>
      <c r="M1997" s="47" t="n"/>
      <c r="N1997" s="47" t="n"/>
      <c r="O1997" s="47" t="n"/>
      <c r="P1997" s="47" t="n"/>
      <c r="Q1997" s="47" t="n"/>
      <c r="R1997" s="43">
        <f>IF($B1997="","",N($S1997)-N($Q1997))</f>
        <v/>
      </c>
      <c r="S1997" s="43">
        <f>IF($B1997="","",N($L1997)+N($N1997)+N($P1997))</f>
        <v/>
      </c>
      <c r="T1997" s="47" t="n"/>
      <c r="U1997" s="47" t="n"/>
      <c r="V1997" s="47" t="n"/>
      <c r="W1997" s="47" t="n"/>
      <c r="X1997" s="47" t="n"/>
      <c r="Y1997" s="47" t="n"/>
      <c r="Z1997" s="47" t="n"/>
      <c r="AA1997" s="47" t="n"/>
      <c r="AB1997" s="47" t="n"/>
      <c r="AC1997" s="47" t="n"/>
      <c r="AD1997" s="47" t="n"/>
      <c r="AE1997" s="47" t="n"/>
      <c r="AF1997" s="43">
        <f>IF($B1997="","",SUM($T1997:$AE1997))</f>
        <v/>
      </c>
      <c r="AG1997" s="43">
        <f>IF($B1997="","",N($M1997)-N($AF1997))</f>
        <v/>
      </c>
      <c r="AH1997" s="43">
        <f>IF($B1997="","",N($L1997)-N($AF1997))</f>
        <v/>
      </c>
      <c r="AI1997" s="149">
        <f>IF($B1997="","",IF(N($L1997)=0,"",(N($L1997)-N($AF1997))/N($L1997)))</f>
        <v/>
      </c>
    </row>
    <row r="1998">
      <c r="A1998" s="39">
        <f>IF($B1998="","",COUNTA($B$4:$B1998))</f>
        <v/>
      </c>
      <c r="B1998" s="40" t="n"/>
      <c r="C1998" s="41" t="n"/>
      <c r="D1998" s="41" t="n"/>
      <c r="E1998" s="41" t="n"/>
      <c r="F1998" s="41" t="n"/>
      <c r="G1998" s="41" t="n"/>
      <c r="H1998" s="41" t="n"/>
      <c r="I1998" s="41" t="n"/>
      <c r="J1998" s="41" t="n"/>
      <c r="K1998" s="41" t="n"/>
      <c r="L1998" s="42" t="n"/>
      <c r="M1998" s="42" t="n"/>
      <c r="N1998" s="42" t="n"/>
      <c r="O1998" s="42" t="n"/>
      <c r="P1998" s="42" t="n"/>
      <c r="Q1998" s="42" t="n"/>
      <c r="R1998" s="43">
        <f>IF($B1998="","",N($S1998)-N($Q1998))</f>
        <v/>
      </c>
      <c r="S1998" s="43">
        <f>IF($B1998="","",N($L1998)+N($N1998)+N($P1998))</f>
        <v/>
      </c>
      <c r="T1998" s="42" t="n"/>
      <c r="U1998" s="42" t="n"/>
      <c r="V1998" s="42" t="n"/>
      <c r="W1998" s="42" t="n"/>
      <c r="X1998" s="42" t="n"/>
      <c r="Y1998" s="42" t="n"/>
      <c r="Z1998" s="42" t="n"/>
      <c r="AA1998" s="42" t="n"/>
      <c r="AB1998" s="42" t="n"/>
      <c r="AC1998" s="42" t="n"/>
      <c r="AD1998" s="42" t="n"/>
      <c r="AE1998" s="42" t="n"/>
      <c r="AF1998" s="43">
        <f>IF($B1998="","",SUM($T1998:$AE1998))</f>
        <v/>
      </c>
      <c r="AG1998" s="43">
        <f>IF($B1998="","",N($M1998)-N($AF1998))</f>
        <v/>
      </c>
      <c r="AH1998" s="43">
        <f>IF($B1998="","",N($L1998)-N($AF1998))</f>
        <v/>
      </c>
      <c r="AI1998" s="149">
        <f>IF($B1998="","",IF(N($L1998)=0,"",(N($L1998)-N($AF1998))/N($L1998)))</f>
        <v/>
      </c>
    </row>
    <row r="1999">
      <c r="A1999" s="39">
        <f>IF($B1999="","",COUNTA($B$4:$B1999))</f>
        <v/>
      </c>
      <c r="B1999" s="45" t="n"/>
      <c r="C1999" s="46" t="n"/>
      <c r="D1999" s="46" t="n"/>
      <c r="E1999" s="46" t="n"/>
      <c r="F1999" s="46" t="n"/>
      <c r="G1999" s="46" t="n"/>
      <c r="H1999" s="46" t="n"/>
      <c r="I1999" s="46" t="n"/>
      <c r="J1999" s="46" t="n"/>
      <c r="K1999" s="46" t="n"/>
      <c r="L1999" s="47" t="n"/>
      <c r="M1999" s="47" t="n"/>
      <c r="N1999" s="47" t="n"/>
      <c r="O1999" s="47" t="n"/>
      <c r="P1999" s="47" t="n"/>
      <c r="Q1999" s="47" t="n"/>
      <c r="R1999" s="43">
        <f>IF($B1999="","",N($S1999)-N($Q1999))</f>
        <v/>
      </c>
      <c r="S1999" s="43">
        <f>IF($B1999="","",N($L1999)+N($N1999)+N($P1999))</f>
        <v/>
      </c>
      <c r="T1999" s="47" t="n"/>
      <c r="U1999" s="47" t="n"/>
      <c r="V1999" s="47" t="n"/>
      <c r="W1999" s="47" t="n"/>
      <c r="X1999" s="47" t="n"/>
      <c r="Y1999" s="47" t="n"/>
      <c r="Z1999" s="47" t="n"/>
      <c r="AA1999" s="47" t="n"/>
      <c r="AB1999" s="47" t="n"/>
      <c r="AC1999" s="47" t="n"/>
      <c r="AD1999" s="47" t="n"/>
      <c r="AE1999" s="47" t="n"/>
      <c r="AF1999" s="43">
        <f>IF($B1999="","",SUM($T1999:$AE1999))</f>
        <v/>
      </c>
      <c r="AG1999" s="43">
        <f>IF($B1999="","",N($M1999)-N($AF1999))</f>
        <v/>
      </c>
      <c r="AH1999" s="43">
        <f>IF($B1999="","",N($L1999)-N($AF1999))</f>
        <v/>
      </c>
      <c r="AI1999" s="149">
        <f>IF($B1999="","",IF(N($L1999)=0,"",(N($L1999)-N($AF1999))/N($L1999)))</f>
        <v/>
      </c>
    </row>
    <row r="2000">
      <c r="A2000" s="39">
        <f>IF($B2000="","",COUNTA($B$4:$B2000))</f>
        <v/>
      </c>
      <c r="B2000" s="40" t="n"/>
      <c r="C2000" s="41" t="n"/>
      <c r="D2000" s="41" t="n"/>
      <c r="E2000" s="41" t="n"/>
      <c r="F2000" s="41" t="n"/>
      <c r="G2000" s="41" t="n"/>
      <c r="H2000" s="41" t="n"/>
      <c r="I2000" s="41" t="n"/>
      <c r="J2000" s="41" t="n"/>
      <c r="K2000" s="41" t="n"/>
      <c r="L2000" s="42" t="n"/>
      <c r="M2000" s="42" t="n"/>
      <c r="N2000" s="42" t="n"/>
      <c r="O2000" s="42" t="n"/>
      <c r="P2000" s="42" t="n"/>
      <c r="Q2000" s="42" t="n"/>
      <c r="R2000" s="43">
        <f>IF($B2000="","",N($S2000)-N($Q2000))</f>
        <v/>
      </c>
      <c r="S2000" s="43">
        <f>IF($B2000="","",N($L2000)+N($N2000)+N($P2000))</f>
        <v/>
      </c>
      <c r="T2000" s="42" t="n"/>
      <c r="U2000" s="42" t="n"/>
      <c r="V2000" s="42" t="n"/>
      <c r="W2000" s="42" t="n"/>
      <c r="X2000" s="42" t="n"/>
      <c r="Y2000" s="42" t="n"/>
      <c r="Z2000" s="42" t="n"/>
      <c r="AA2000" s="42" t="n"/>
      <c r="AB2000" s="42" t="n"/>
      <c r="AC2000" s="42" t="n"/>
      <c r="AD2000" s="42" t="n"/>
      <c r="AE2000" s="42" t="n"/>
      <c r="AF2000" s="43">
        <f>IF($B2000="","",SUM($T2000:$AE2000))</f>
        <v/>
      </c>
      <c r="AG2000" s="43">
        <f>IF($B2000="","",N($M2000)-N($AF2000))</f>
        <v/>
      </c>
      <c r="AH2000" s="43">
        <f>IF($B2000="","",N($L2000)-N($AF2000))</f>
        <v/>
      </c>
      <c r="AI2000" s="149">
        <f>IF($B2000="","",IF(N($L2000)=0,"",(N($L2000)-N($AF2000))/N($L2000)))</f>
        <v/>
      </c>
    </row>
    <row r="2001">
      <c r="A2001" s="39">
        <f>IF($B2001="","",COUNTA($B$4:$B2001))</f>
        <v/>
      </c>
      <c r="B2001" s="45" t="n"/>
      <c r="C2001" s="46" t="n"/>
      <c r="D2001" s="46" t="n"/>
      <c r="E2001" s="46" t="n"/>
      <c r="F2001" s="46" t="n"/>
      <c r="G2001" s="46" t="n"/>
      <c r="H2001" s="46" t="n"/>
      <c r="I2001" s="46" t="n"/>
      <c r="J2001" s="46" t="n"/>
      <c r="K2001" s="46" t="n"/>
      <c r="L2001" s="47" t="n"/>
      <c r="M2001" s="47" t="n"/>
      <c r="N2001" s="47" t="n"/>
      <c r="O2001" s="47" t="n"/>
      <c r="P2001" s="47" t="n"/>
      <c r="Q2001" s="47" t="n"/>
      <c r="R2001" s="43">
        <f>IF($B2001="","",N($S2001)-N($Q2001))</f>
        <v/>
      </c>
      <c r="S2001" s="43">
        <f>IF($B2001="","",N($L2001)+N($N2001)+N($P2001))</f>
        <v/>
      </c>
      <c r="T2001" s="47" t="n"/>
      <c r="U2001" s="47" t="n"/>
      <c r="V2001" s="47" t="n"/>
      <c r="W2001" s="47" t="n"/>
      <c r="X2001" s="47" t="n"/>
      <c r="Y2001" s="47" t="n"/>
      <c r="Z2001" s="47" t="n"/>
      <c r="AA2001" s="47" t="n"/>
      <c r="AB2001" s="47" t="n"/>
      <c r="AC2001" s="47" t="n"/>
      <c r="AD2001" s="47" t="n"/>
      <c r="AE2001" s="47" t="n"/>
      <c r="AF2001" s="43">
        <f>IF($B2001="","",SUM($T2001:$AE2001))</f>
        <v/>
      </c>
      <c r="AG2001" s="43">
        <f>IF($B2001="","",N($M2001)-N($AF2001))</f>
        <v/>
      </c>
      <c r="AH2001" s="43">
        <f>IF($B2001="","",N($L2001)-N($AF2001))</f>
        <v/>
      </c>
      <c r="AI2001" s="149">
        <f>IF($B2001="","",IF(N($L2001)=0,"",(N($L2001)-N($AF2001))/N($L2001)))</f>
        <v/>
      </c>
    </row>
    <row r="2002">
      <c r="A2002" s="39">
        <f>IF($B2002="","",COUNTA($B$4:$B2002))</f>
        <v/>
      </c>
      <c r="B2002" s="40" t="n"/>
      <c r="C2002" s="41" t="n"/>
      <c r="D2002" s="41" t="n"/>
      <c r="E2002" s="41" t="n"/>
      <c r="F2002" s="41" t="n"/>
      <c r="G2002" s="41" t="n"/>
      <c r="H2002" s="41" t="n"/>
      <c r="I2002" s="41" t="n"/>
      <c r="J2002" s="41" t="n"/>
      <c r="K2002" s="41" t="n"/>
      <c r="L2002" s="42" t="n"/>
      <c r="M2002" s="42" t="n"/>
      <c r="N2002" s="42" t="n"/>
      <c r="O2002" s="42" t="n"/>
      <c r="P2002" s="42" t="n"/>
      <c r="Q2002" s="42" t="n"/>
      <c r="R2002" s="43">
        <f>IF($B2002="","",N($S2002)-N($Q2002))</f>
        <v/>
      </c>
      <c r="S2002" s="43">
        <f>IF($B2002="","",N($L2002)+N($N2002)+N($P2002))</f>
        <v/>
      </c>
      <c r="T2002" s="42" t="n"/>
      <c r="U2002" s="42" t="n"/>
      <c r="V2002" s="42" t="n"/>
      <c r="W2002" s="42" t="n"/>
      <c r="X2002" s="42" t="n"/>
      <c r="Y2002" s="42" t="n"/>
      <c r="Z2002" s="42" t="n"/>
      <c r="AA2002" s="42" t="n"/>
      <c r="AB2002" s="42" t="n"/>
      <c r="AC2002" s="42" t="n"/>
      <c r="AD2002" s="42" t="n"/>
      <c r="AE2002" s="42" t="n"/>
      <c r="AF2002" s="43">
        <f>IF($B2002="","",SUM($T2002:$AE2002))</f>
        <v/>
      </c>
      <c r="AG2002" s="43">
        <f>IF($B2002="","",N($M2002)-N($AF2002))</f>
        <v/>
      </c>
      <c r="AH2002" s="43">
        <f>IF($B2002="","",N($L2002)-N($AF2002))</f>
        <v/>
      </c>
      <c r="AI2002" s="149">
        <f>IF($B2002="","",IF(N($L2002)=0,"",(N($L2002)-N($AF2002))/N($L2002)))</f>
        <v/>
      </c>
    </row>
    <row r="2003">
      <c r="A2003" s="39">
        <f>IF($B2003="","",COUNTA($B$4:$B2003))</f>
        <v/>
      </c>
      <c r="B2003" s="45" t="n"/>
      <c r="C2003" s="46" t="n"/>
      <c r="D2003" s="46" t="n"/>
      <c r="E2003" s="46" t="n"/>
      <c r="F2003" s="46" t="n"/>
      <c r="G2003" s="46" t="n"/>
      <c r="H2003" s="46" t="n"/>
      <c r="I2003" s="46" t="n"/>
      <c r="J2003" s="46" t="n"/>
      <c r="K2003" s="46" t="n"/>
      <c r="L2003" s="47" t="n"/>
      <c r="M2003" s="47" t="n"/>
      <c r="N2003" s="47" t="n"/>
      <c r="O2003" s="47" t="n"/>
      <c r="P2003" s="47" t="n"/>
      <c r="Q2003" s="47" t="n"/>
      <c r="R2003" s="43">
        <f>IF($B2003="","",N($S2003)-N($Q2003))</f>
        <v/>
      </c>
      <c r="S2003" s="43">
        <f>IF($B2003="","",N($L2003)+N($N2003)+N($P2003))</f>
        <v/>
      </c>
      <c r="T2003" s="47" t="n"/>
      <c r="U2003" s="47" t="n"/>
      <c r="V2003" s="47" t="n"/>
      <c r="W2003" s="47" t="n"/>
      <c r="X2003" s="47" t="n"/>
      <c r="Y2003" s="47" t="n"/>
      <c r="Z2003" s="47" t="n"/>
      <c r="AA2003" s="47" t="n"/>
      <c r="AB2003" s="47" t="n"/>
      <c r="AC2003" s="47" t="n"/>
      <c r="AD2003" s="47" t="n"/>
      <c r="AE2003" s="47" t="n"/>
      <c r="AF2003" s="43">
        <f>IF($B2003="","",SUM($T2003:$AE2003))</f>
        <v/>
      </c>
      <c r="AG2003" s="43">
        <f>IF($B2003="","",N($M2003)-N($AF2003))</f>
        <v/>
      </c>
      <c r="AH2003" s="43">
        <f>IF($B2003="","",N($L2003)-N($AF2003))</f>
        <v/>
      </c>
      <c r="AI2003" s="149">
        <f>IF($B2003="","",IF(N($L2003)=0,"",(N($L2003)-N($AF2003))/N($L2003)))</f>
        <v/>
      </c>
    </row>
    <row r="2004">
      <c r="A2004" s="39">
        <f>IF($B2004="","",COUNTA($B$4:$B2004))</f>
        <v/>
      </c>
      <c r="B2004" s="40" t="n"/>
      <c r="C2004" s="41" t="n"/>
      <c r="D2004" s="41" t="n"/>
      <c r="E2004" s="41" t="n"/>
      <c r="F2004" s="41" t="n"/>
      <c r="G2004" s="41" t="n"/>
      <c r="H2004" s="41" t="n"/>
      <c r="I2004" s="41" t="n"/>
      <c r="J2004" s="41" t="n"/>
      <c r="K2004" s="41" t="n"/>
      <c r="L2004" s="42" t="n"/>
      <c r="M2004" s="42" t="n"/>
      <c r="N2004" s="42" t="n"/>
      <c r="O2004" s="42" t="n"/>
      <c r="P2004" s="42" t="n"/>
      <c r="Q2004" s="42" t="n"/>
      <c r="R2004" s="43">
        <f>IF($B2004="","",N($S2004)-N($Q2004))</f>
        <v/>
      </c>
      <c r="S2004" s="43">
        <f>IF($B2004="","",N($L2004)+N($N2004)+N($P2004))</f>
        <v/>
      </c>
      <c r="T2004" s="42" t="n"/>
      <c r="U2004" s="42" t="n"/>
      <c r="V2004" s="42" t="n"/>
      <c r="W2004" s="42" t="n"/>
      <c r="X2004" s="42" t="n"/>
      <c r="Y2004" s="42" t="n"/>
      <c r="Z2004" s="42" t="n"/>
      <c r="AA2004" s="42" t="n"/>
      <c r="AB2004" s="42" t="n"/>
      <c r="AC2004" s="42" t="n"/>
      <c r="AD2004" s="42" t="n"/>
      <c r="AE2004" s="42" t="n"/>
      <c r="AF2004" s="43">
        <f>IF($B2004="","",SUM($T2004:$AE2004))</f>
        <v/>
      </c>
      <c r="AG2004" s="43">
        <f>IF($B2004="","",N($M2004)-N($AF2004))</f>
        <v/>
      </c>
      <c r="AH2004" s="43">
        <f>IF($B2004="","",N($L2004)-N($AF2004))</f>
        <v/>
      </c>
      <c r="AI2004" s="149">
        <f>IF($B2004="","",IF(N($L2004)=0,"",(N($L2004)-N($AF2004))/N($L2004)))</f>
        <v/>
      </c>
    </row>
    <row r="2005">
      <c r="A2005" s="39">
        <f>IF($B2005="","",COUNTA($B$4:$B2005))</f>
        <v/>
      </c>
      <c r="B2005" s="45" t="n"/>
      <c r="C2005" s="46" t="n"/>
      <c r="D2005" s="46" t="n"/>
      <c r="E2005" s="46" t="n"/>
      <c r="F2005" s="46" t="n"/>
      <c r="G2005" s="46" t="n"/>
      <c r="H2005" s="46" t="n"/>
      <c r="I2005" s="46" t="n"/>
      <c r="J2005" s="46" t="n"/>
      <c r="K2005" s="46" t="n"/>
      <c r="L2005" s="47" t="n"/>
      <c r="M2005" s="47" t="n"/>
      <c r="N2005" s="47" t="n"/>
      <c r="O2005" s="47" t="n"/>
      <c r="P2005" s="47" t="n"/>
      <c r="Q2005" s="47" t="n"/>
      <c r="R2005" s="43">
        <f>IF($B2005="","",N($S2005)-N($Q2005))</f>
        <v/>
      </c>
      <c r="S2005" s="43">
        <f>IF($B2005="","",N($L2005)+N($N2005)+N($P2005))</f>
        <v/>
      </c>
      <c r="T2005" s="47" t="n"/>
      <c r="U2005" s="47" t="n"/>
      <c r="V2005" s="47" t="n"/>
      <c r="W2005" s="47" t="n"/>
      <c r="X2005" s="47" t="n"/>
      <c r="Y2005" s="47" t="n"/>
      <c r="Z2005" s="47" t="n"/>
      <c r="AA2005" s="47" t="n"/>
      <c r="AB2005" s="47" t="n"/>
      <c r="AC2005" s="47" t="n"/>
      <c r="AD2005" s="47" t="n"/>
      <c r="AE2005" s="47" t="n"/>
      <c r="AF2005" s="43">
        <f>IF($B2005="","",SUM($T2005:$AE2005))</f>
        <v/>
      </c>
      <c r="AG2005" s="43">
        <f>IF($B2005="","",N($M2005)-N($AF2005))</f>
        <v/>
      </c>
      <c r="AH2005" s="43">
        <f>IF($B2005="","",N($L2005)-N($AF2005))</f>
        <v/>
      </c>
      <c r="AI2005" s="149">
        <f>IF($B2005="","",IF(N($L2005)=0,"",(N($L2005)-N($AF2005))/N($L2005)))</f>
        <v/>
      </c>
    </row>
    <row r="2006">
      <c r="A2006" s="39">
        <f>IF($B2006="","",COUNTA($B$4:$B2006))</f>
        <v/>
      </c>
      <c r="B2006" s="40" t="n"/>
      <c r="C2006" s="41" t="n"/>
      <c r="D2006" s="41" t="n"/>
      <c r="E2006" s="41" t="n"/>
      <c r="F2006" s="41" t="n"/>
      <c r="G2006" s="41" t="n"/>
      <c r="H2006" s="41" t="n"/>
      <c r="I2006" s="41" t="n"/>
      <c r="J2006" s="41" t="n"/>
      <c r="K2006" s="41" t="n"/>
      <c r="L2006" s="42" t="n"/>
      <c r="M2006" s="42" t="n"/>
      <c r="N2006" s="42" t="n"/>
      <c r="O2006" s="42" t="n"/>
      <c r="P2006" s="42" t="n"/>
      <c r="Q2006" s="42" t="n"/>
      <c r="R2006" s="43">
        <f>IF($B2006="","",N($S2006)-N($Q2006))</f>
        <v/>
      </c>
      <c r="S2006" s="43">
        <f>IF($B2006="","",N($L2006)+N($N2006)+N($P2006))</f>
        <v/>
      </c>
      <c r="T2006" s="42" t="n"/>
      <c r="U2006" s="42" t="n"/>
      <c r="V2006" s="42" t="n"/>
      <c r="W2006" s="42" t="n"/>
      <c r="X2006" s="42" t="n"/>
      <c r="Y2006" s="42" t="n"/>
      <c r="Z2006" s="42" t="n"/>
      <c r="AA2006" s="42" t="n"/>
      <c r="AB2006" s="42" t="n"/>
      <c r="AC2006" s="42" t="n"/>
      <c r="AD2006" s="42" t="n"/>
      <c r="AE2006" s="42" t="n"/>
      <c r="AF2006" s="43">
        <f>IF($B2006="","",SUM($T2006:$AE2006))</f>
        <v/>
      </c>
      <c r="AG2006" s="43">
        <f>IF($B2006="","",N($M2006)-N($AF2006))</f>
        <v/>
      </c>
      <c r="AH2006" s="43">
        <f>IF($B2006="","",N($L2006)-N($AF2006))</f>
        <v/>
      </c>
      <c r="AI2006" s="149">
        <f>IF($B2006="","",IF(N($L2006)=0,"",(N($L2006)-N($AF2006))/N($L2006)))</f>
        <v/>
      </c>
    </row>
    <row r="2007">
      <c r="A2007" s="39">
        <f>IF($B2007="","",COUNTA($B$4:$B2007))</f>
        <v/>
      </c>
      <c r="B2007" s="45" t="n"/>
      <c r="C2007" s="46" t="n"/>
      <c r="D2007" s="46" t="n"/>
      <c r="E2007" s="46" t="n"/>
      <c r="F2007" s="46" t="n"/>
      <c r="G2007" s="46" t="n"/>
      <c r="H2007" s="46" t="n"/>
      <c r="I2007" s="46" t="n"/>
      <c r="J2007" s="46" t="n"/>
      <c r="K2007" s="46" t="n"/>
      <c r="L2007" s="47" t="n"/>
      <c r="M2007" s="47" t="n"/>
      <c r="N2007" s="47" t="n"/>
      <c r="O2007" s="47" t="n"/>
      <c r="P2007" s="47" t="n"/>
      <c r="Q2007" s="47" t="n"/>
      <c r="R2007" s="43">
        <f>IF($B2007="","",N($S2007)-N($Q2007))</f>
        <v/>
      </c>
      <c r="S2007" s="43">
        <f>IF($B2007="","",N($L2007)+N($N2007)+N($P2007))</f>
        <v/>
      </c>
      <c r="T2007" s="47" t="n"/>
      <c r="U2007" s="47" t="n"/>
      <c r="V2007" s="47" t="n"/>
      <c r="W2007" s="47" t="n"/>
      <c r="X2007" s="47" t="n"/>
      <c r="Y2007" s="47" t="n"/>
      <c r="Z2007" s="47" t="n"/>
      <c r="AA2007" s="47" t="n"/>
      <c r="AB2007" s="47" t="n"/>
      <c r="AC2007" s="47" t="n"/>
      <c r="AD2007" s="47" t="n"/>
      <c r="AE2007" s="47" t="n"/>
      <c r="AF2007" s="43">
        <f>IF($B2007="","",SUM($T2007:$AE2007))</f>
        <v/>
      </c>
      <c r="AG2007" s="43">
        <f>IF($B2007="","",N($M2007)-N($AF2007))</f>
        <v/>
      </c>
      <c r="AH2007" s="43">
        <f>IF($B2007="","",N($L2007)-N($AF2007))</f>
        <v/>
      </c>
      <c r="AI2007" s="149">
        <f>IF($B2007="","",IF(N($L2007)=0,"",(N($L2007)-N($AF2007))/N($L2007)))</f>
        <v/>
      </c>
    </row>
    <row r="2008">
      <c r="A2008" s="39">
        <f>IF($B2008="","",COUNTA($B$4:$B2008))</f>
        <v/>
      </c>
      <c r="B2008" s="40" t="n"/>
      <c r="C2008" s="41" t="n"/>
      <c r="D2008" s="41" t="n"/>
      <c r="E2008" s="41" t="n"/>
      <c r="F2008" s="41" t="n"/>
      <c r="G2008" s="41" t="n"/>
      <c r="H2008" s="41" t="n"/>
      <c r="I2008" s="41" t="n"/>
      <c r="J2008" s="41" t="n"/>
      <c r="K2008" s="41" t="n"/>
      <c r="L2008" s="42" t="n"/>
      <c r="M2008" s="42" t="n"/>
      <c r="N2008" s="42" t="n"/>
      <c r="O2008" s="42" t="n"/>
      <c r="P2008" s="42" t="n"/>
      <c r="Q2008" s="42" t="n"/>
      <c r="R2008" s="43">
        <f>IF($B2008="","",N($S2008)-N($Q2008))</f>
        <v/>
      </c>
      <c r="S2008" s="43">
        <f>IF($B2008="","",N($L2008)+N($N2008)+N($P2008))</f>
        <v/>
      </c>
      <c r="T2008" s="42" t="n"/>
      <c r="U2008" s="42" t="n"/>
      <c r="V2008" s="42" t="n"/>
      <c r="W2008" s="42" t="n"/>
      <c r="X2008" s="42" t="n"/>
      <c r="Y2008" s="42" t="n"/>
      <c r="Z2008" s="42" t="n"/>
      <c r="AA2008" s="42" t="n"/>
      <c r="AB2008" s="42" t="n"/>
      <c r="AC2008" s="42" t="n"/>
      <c r="AD2008" s="42" t="n"/>
      <c r="AE2008" s="42" t="n"/>
      <c r="AF2008" s="43">
        <f>IF($B2008="","",SUM($T2008:$AE2008))</f>
        <v/>
      </c>
      <c r="AG2008" s="43">
        <f>IF($B2008="","",N($M2008)-N($AF2008))</f>
        <v/>
      </c>
      <c r="AH2008" s="43">
        <f>IF($B2008="","",N($L2008)-N($AF2008))</f>
        <v/>
      </c>
      <c r="AI2008" s="149">
        <f>IF($B2008="","",IF(N($L2008)=0,"",(N($L2008)-N($AF2008))/N($L2008)))</f>
        <v/>
      </c>
    </row>
    <row r="2009">
      <c r="A2009" s="39">
        <f>IF($B2009="","",COUNTA($B$4:$B2009))</f>
        <v/>
      </c>
      <c r="B2009" s="45" t="n"/>
      <c r="C2009" s="46" t="n"/>
      <c r="D2009" s="46" t="n"/>
      <c r="E2009" s="46" t="n"/>
      <c r="F2009" s="46" t="n"/>
      <c r="G2009" s="46" t="n"/>
      <c r="H2009" s="46" t="n"/>
      <c r="I2009" s="46" t="n"/>
      <c r="J2009" s="46" t="n"/>
      <c r="K2009" s="46" t="n"/>
      <c r="L2009" s="47" t="n"/>
      <c r="M2009" s="47" t="n"/>
      <c r="N2009" s="47" t="n"/>
      <c r="O2009" s="47" t="n"/>
      <c r="P2009" s="47" t="n"/>
      <c r="Q2009" s="47" t="n"/>
      <c r="R2009" s="43">
        <f>IF($B2009="","",N($S2009)-N($Q2009))</f>
        <v/>
      </c>
      <c r="S2009" s="43">
        <f>IF($B2009="","",N($L2009)+N($N2009)+N($P2009))</f>
        <v/>
      </c>
      <c r="T2009" s="47" t="n"/>
      <c r="U2009" s="47" t="n"/>
      <c r="V2009" s="47" t="n"/>
      <c r="W2009" s="47" t="n"/>
      <c r="X2009" s="47" t="n"/>
      <c r="Y2009" s="47" t="n"/>
      <c r="Z2009" s="47" t="n"/>
      <c r="AA2009" s="47" t="n"/>
      <c r="AB2009" s="47" t="n"/>
      <c r="AC2009" s="47" t="n"/>
      <c r="AD2009" s="47" t="n"/>
      <c r="AE2009" s="47" t="n"/>
      <c r="AF2009" s="43">
        <f>IF($B2009="","",SUM($T2009:$AE2009))</f>
        <v/>
      </c>
      <c r="AG2009" s="43">
        <f>IF($B2009="","",N($M2009)-N($AF2009))</f>
        <v/>
      </c>
      <c r="AH2009" s="43">
        <f>IF($B2009="","",N($L2009)-N($AF2009))</f>
        <v/>
      </c>
      <c r="AI2009" s="149">
        <f>IF($B2009="","",IF(N($L2009)=0,"",(N($L2009)-N($AF2009))/N($L2009)))</f>
        <v/>
      </c>
    </row>
    <row r="2010">
      <c r="A2010" s="39">
        <f>IF($B2010="","",COUNTA($B$4:$B2010))</f>
        <v/>
      </c>
      <c r="B2010" s="40" t="n"/>
      <c r="C2010" s="41" t="n"/>
      <c r="D2010" s="41" t="n"/>
      <c r="E2010" s="41" t="n"/>
      <c r="F2010" s="41" t="n"/>
      <c r="G2010" s="41" t="n"/>
      <c r="H2010" s="41" t="n"/>
      <c r="I2010" s="41" t="n"/>
      <c r="J2010" s="41" t="n"/>
      <c r="K2010" s="41" t="n"/>
      <c r="L2010" s="42" t="n"/>
      <c r="M2010" s="42" t="n"/>
      <c r="N2010" s="42" t="n"/>
      <c r="O2010" s="42" t="n"/>
      <c r="P2010" s="42" t="n"/>
      <c r="Q2010" s="42" t="n"/>
      <c r="R2010" s="43">
        <f>IF($B2010="","",N($S2010)-N($Q2010))</f>
        <v/>
      </c>
      <c r="S2010" s="43">
        <f>IF($B2010="","",N($L2010)+N($N2010)+N($P2010))</f>
        <v/>
      </c>
      <c r="T2010" s="42" t="n"/>
      <c r="U2010" s="42" t="n"/>
      <c r="V2010" s="42" t="n"/>
      <c r="W2010" s="42" t="n"/>
      <c r="X2010" s="42" t="n"/>
      <c r="Y2010" s="42" t="n"/>
      <c r="Z2010" s="42" t="n"/>
      <c r="AA2010" s="42" t="n"/>
      <c r="AB2010" s="42" t="n"/>
      <c r="AC2010" s="42" t="n"/>
      <c r="AD2010" s="42" t="n"/>
      <c r="AE2010" s="42" t="n"/>
      <c r="AF2010" s="43">
        <f>IF($B2010="","",SUM($T2010:$AE2010))</f>
        <v/>
      </c>
      <c r="AG2010" s="43">
        <f>IF($B2010="","",N($M2010)-N($AF2010))</f>
        <v/>
      </c>
      <c r="AH2010" s="43">
        <f>IF($B2010="","",N($L2010)-N($AF2010))</f>
        <v/>
      </c>
      <c r="AI2010" s="149">
        <f>IF($B2010="","",IF(N($L2010)=0,"",(N($L2010)-N($AF2010))/N($L2010)))</f>
        <v/>
      </c>
    </row>
    <row r="2011">
      <c r="A2011" s="39">
        <f>IF($B2011="","",COUNTA($B$4:$B2011))</f>
        <v/>
      </c>
      <c r="B2011" s="45" t="n"/>
      <c r="C2011" s="46" t="n"/>
      <c r="D2011" s="46" t="n"/>
      <c r="E2011" s="46" t="n"/>
      <c r="F2011" s="46" t="n"/>
      <c r="G2011" s="46" t="n"/>
      <c r="H2011" s="46" t="n"/>
      <c r="I2011" s="46" t="n"/>
      <c r="J2011" s="46" t="n"/>
      <c r="K2011" s="46" t="n"/>
      <c r="L2011" s="47" t="n"/>
      <c r="M2011" s="47" t="n"/>
      <c r="N2011" s="47" t="n"/>
      <c r="O2011" s="47" t="n"/>
      <c r="P2011" s="47" t="n"/>
      <c r="Q2011" s="47" t="n"/>
      <c r="R2011" s="43">
        <f>IF($B2011="","",N($S2011)-N($Q2011))</f>
        <v/>
      </c>
      <c r="S2011" s="43">
        <f>IF($B2011="","",N($L2011)+N($N2011)+N($P2011))</f>
        <v/>
      </c>
      <c r="T2011" s="47" t="n"/>
      <c r="U2011" s="47" t="n"/>
      <c r="V2011" s="47" t="n"/>
      <c r="W2011" s="47" t="n"/>
      <c r="X2011" s="47" t="n"/>
      <c r="Y2011" s="47" t="n"/>
      <c r="Z2011" s="47" t="n"/>
      <c r="AA2011" s="47" t="n"/>
      <c r="AB2011" s="47" t="n"/>
      <c r="AC2011" s="47" t="n"/>
      <c r="AD2011" s="47" t="n"/>
      <c r="AE2011" s="47" t="n"/>
      <c r="AF2011" s="43">
        <f>IF($B2011="","",SUM($T2011:$AE2011))</f>
        <v/>
      </c>
      <c r="AG2011" s="43">
        <f>IF($B2011="","",N($M2011)-N($AF2011))</f>
        <v/>
      </c>
      <c r="AH2011" s="43">
        <f>IF($B2011="","",N($L2011)-N($AF2011))</f>
        <v/>
      </c>
      <c r="AI2011" s="149">
        <f>IF($B2011="","",IF(N($L2011)=0,"",(N($L2011)-N($AF2011))/N($L2011)))</f>
        <v/>
      </c>
    </row>
    <row r="2012">
      <c r="A2012" s="39">
        <f>IF($B2012="","",COUNTA($B$4:$B2012))</f>
        <v/>
      </c>
      <c r="B2012" s="40" t="n"/>
      <c r="C2012" s="41" t="n"/>
      <c r="D2012" s="41" t="n"/>
      <c r="E2012" s="41" t="n"/>
      <c r="F2012" s="41" t="n"/>
      <c r="G2012" s="41" t="n"/>
      <c r="H2012" s="41" t="n"/>
      <c r="I2012" s="41" t="n"/>
      <c r="J2012" s="41" t="n"/>
      <c r="K2012" s="41" t="n"/>
      <c r="L2012" s="42" t="n"/>
      <c r="M2012" s="42" t="n"/>
      <c r="N2012" s="42" t="n"/>
      <c r="O2012" s="42" t="n"/>
      <c r="P2012" s="42" t="n"/>
      <c r="Q2012" s="42" t="n"/>
      <c r="R2012" s="43">
        <f>IF($B2012="","",N($S2012)-N($Q2012))</f>
        <v/>
      </c>
      <c r="S2012" s="43">
        <f>IF($B2012="","",N($L2012)+N($N2012)+N($P2012))</f>
        <v/>
      </c>
      <c r="T2012" s="42" t="n"/>
      <c r="U2012" s="42" t="n"/>
      <c r="V2012" s="42" t="n"/>
      <c r="W2012" s="42" t="n"/>
      <c r="X2012" s="42" t="n"/>
      <c r="Y2012" s="42" t="n"/>
      <c r="Z2012" s="42" t="n"/>
      <c r="AA2012" s="42" t="n"/>
      <c r="AB2012" s="42" t="n"/>
      <c r="AC2012" s="42" t="n"/>
      <c r="AD2012" s="42" t="n"/>
      <c r="AE2012" s="42" t="n"/>
      <c r="AF2012" s="43">
        <f>IF($B2012="","",SUM($T2012:$AE2012))</f>
        <v/>
      </c>
      <c r="AG2012" s="43">
        <f>IF($B2012="","",N($M2012)-N($AF2012))</f>
        <v/>
      </c>
      <c r="AH2012" s="43">
        <f>IF($B2012="","",N($L2012)-N($AF2012))</f>
        <v/>
      </c>
      <c r="AI2012" s="149">
        <f>IF($B2012="","",IF(N($L2012)=0,"",(N($L2012)-N($AF2012))/N($L2012)))</f>
        <v/>
      </c>
    </row>
    <row r="2013">
      <c r="A2013" s="39">
        <f>IF($B2013="","",COUNTA($B$4:$B2013))</f>
        <v/>
      </c>
      <c r="B2013" s="45" t="n"/>
      <c r="C2013" s="46" t="n"/>
      <c r="D2013" s="46" t="n"/>
      <c r="E2013" s="46" t="n"/>
      <c r="F2013" s="46" t="n"/>
      <c r="G2013" s="46" t="n"/>
      <c r="H2013" s="46" t="n"/>
      <c r="I2013" s="46" t="n"/>
      <c r="J2013" s="46" t="n"/>
      <c r="K2013" s="46" t="n"/>
      <c r="L2013" s="47" t="n"/>
      <c r="M2013" s="47" t="n"/>
      <c r="N2013" s="47" t="n"/>
      <c r="O2013" s="47" t="n"/>
      <c r="P2013" s="47" t="n"/>
      <c r="Q2013" s="47" t="n"/>
      <c r="R2013" s="43">
        <f>IF($B2013="","",N($S2013)-N($Q2013))</f>
        <v/>
      </c>
      <c r="S2013" s="43">
        <f>IF($B2013="","",N($L2013)+N($N2013)+N($P2013))</f>
        <v/>
      </c>
      <c r="T2013" s="47" t="n"/>
      <c r="U2013" s="47" t="n"/>
      <c r="V2013" s="47" t="n"/>
      <c r="W2013" s="47" t="n"/>
      <c r="X2013" s="47" t="n"/>
      <c r="Y2013" s="47" t="n"/>
      <c r="Z2013" s="47" t="n"/>
      <c r="AA2013" s="47" t="n"/>
      <c r="AB2013" s="47" t="n"/>
      <c r="AC2013" s="47" t="n"/>
      <c r="AD2013" s="47" t="n"/>
      <c r="AE2013" s="47" t="n"/>
      <c r="AF2013" s="43">
        <f>IF($B2013="","",SUM($T2013:$AE2013))</f>
        <v/>
      </c>
      <c r="AG2013" s="43">
        <f>IF($B2013="","",N($M2013)-N($AF2013))</f>
        <v/>
      </c>
      <c r="AH2013" s="43">
        <f>IF($B2013="","",N($L2013)-N($AF2013))</f>
        <v/>
      </c>
      <c r="AI2013" s="149">
        <f>IF($B2013="","",IF(N($L2013)=0,"",(N($L2013)-N($AF2013))/N($L2013)))</f>
        <v/>
      </c>
    </row>
    <row r="2014">
      <c r="A2014" s="39">
        <f>IF($B2014="","",COUNTA($B$4:$B2014))</f>
        <v/>
      </c>
      <c r="B2014" s="40" t="n"/>
      <c r="C2014" s="41" t="n"/>
      <c r="D2014" s="41" t="n"/>
      <c r="E2014" s="41" t="n"/>
      <c r="F2014" s="41" t="n"/>
      <c r="G2014" s="41" t="n"/>
      <c r="H2014" s="41" t="n"/>
      <c r="I2014" s="41" t="n"/>
      <c r="J2014" s="41" t="n"/>
      <c r="K2014" s="41" t="n"/>
      <c r="L2014" s="42" t="n"/>
      <c r="M2014" s="42" t="n"/>
      <c r="N2014" s="42" t="n"/>
      <c r="O2014" s="42" t="n"/>
      <c r="P2014" s="42" t="n"/>
      <c r="Q2014" s="42" t="n"/>
      <c r="R2014" s="43">
        <f>IF($B2014="","",N($S2014)-N($Q2014))</f>
        <v/>
      </c>
      <c r="S2014" s="43">
        <f>IF($B2014="","",N($L2014)+N($N2014)+N($P2014))</f>
        <v/>
      </c>
      <c r="T2014" s="42" t="n"/>
      <c r="U2014" s="42" t="n"/>
      <c r="V2014" s="42" t="n"/>
      <c r="W2014" s="42" t="n"/>
      <c r="X2014" s="42" t="n"/>
      <c r="Y2014" s="42" t="n"/>
      <c r="Z2014" s="42" t="n"/>
      <c r="AA2014" s="42" t="n"/>
      <c r="AB2014" s="42" t="n"/>
      <c r="AC2014" s="42" t="n"/>
      <c r="AD2014" s="42" t="n"/>
      <c r="AE2014" s="42" t="n"/>
      <c r="AF2014" s="43">
        <f>IF($B2014="","",SUM($T2014:$AE2014))</f>
        <v/>
      </c>
      <c r="AG2014" s="43">
        <f>IF($B2014="","",N($M2014)-N($AF2014))</f>
        <v/>
      </c>
      <c r="AH2014" s="43">
        <f>IF($B2014="","",N($L2014)-N($AF2014))</f>
        <v/>
      </c>
      <c r="AI2014" s="149">
        <f>IF($B2014="","",IF(N($L2014)=0,"",(N($L2014)-N($AF2014))/N($L2014)))</f>
        <v/>
      </c>
    </row>
    <row r="2015">
      <c r="A2015" s="39">
        <f>IF($B2015="","",COUNTA($B$4:$B2015))</f>
        <v/>
      </c>
      <c r="B2015" s="45" t="n"/>
      <c r="C2015" s="46" t="n"/>
      <c r="D2015" s="46" t="n"/>
      <c r="E2015" s="46" t="n"/>
      <c r="F2015" s="46" t="n"/>
      <c r="G2015" s="46" t="n"/>
      <c r="H2015" s="46" t="n"/>
      <c r="I2015" s="46" t="n"/>
      <c r="J2015" s="46" t="n"/>
      <c r="K2015" s="46" t="n"/>
      <c r="L2015" s="47" t="n"/>
      <c r="M2015" s="47" t="n"/>
      <c r="N2015" s="47" t="n"/>
      <c r="O2015" s="47" t="n"/>
      <c r="P2015" s="47" t="n"/>
      <c r="Q2015" s="47" t="n"/>
      <c r="R2015" s="43">
        <f>IF($B2015="","",N($S2015)-N($Q2015))</f>
        <v/>
      </c>
      <c r="S2015" s="43">
        <f>IF($B2015="","",N($L2015)+N($N2015)+N($P2015))</f>
        <v/>
      </c>
      <c r="T2015" s="47" t="n"/>
      <c r="U2015" s="47" t="n"/>
      <c r="V2015" s="47" t="n"/>
      <c r="W2015" s="47" t="n"/>
      <c r="X2015" s="47" t="n"/>
      <c r="Y2015" s="47" t="n"/>
      <c r="Z2015" s="47" t="n"/>
      <c r="AA2015" s="47" t="n"/>
      <c r="AB2015" s="47" t="n"/>
      <c r="AC2015" s="47" t="n"/>
      <c r="AD2015" s="47" t="n"/>
      <c r="AE2015" s="47" t="n"/>
      <c r="AF2015" s="43">
        <f>IF($B2015="","",SUM($T2015:$AE2015))</f>
        <v/>
      </c>
      <c r="AG2015" s="43">
        <f>IF($B2015="","",N($M2015)-N($AF2015))</f>
        <v/>
      </c>
      <c r="AH2015" s="43">
        <f>IF($B2015="","",N($L2015)-N($AF2015))</f>
        <v/>
      </c>
      <c r="AI2015" s="149">
        <f>IF($B2015="","",IF(N($L2015)=0,"",(N($L2015)-N($AF2015))/N($L2015)))</f>
        <v/>
      </c>
    </row>
    <row r="2016">
      <c r="A2016" s="39">
        <f>IF($B2016="","",COUNTA($B$4:$B2016))</f>
        <v/>
      </c>
      <c r="B2016" s="40" t="n"/>
      <c r="C2016" s="41" t="n"/>
      <c r="D2016" s="41" t="n"/>
      <c r="E2016" s="41" t="n"/>
      <c r="F2016" s="41" t="n"/>
      <c r="G2016" s="41" t="n"/>
      <c r="H2016" s="41" t="n"/>
      <c r="I2016" s="41" t="n"/>
      <c r="J2016" s="41" t="n"/>
      <c r="K2016" s="41" t="n"/>
      <c r="L2016" s="42" t="n"/>
      <c r="M2016" s="42" t="n"/>
      <c r="N2016" s="42" t="n"/>
      <c r="O2016" s="42" t="n"/>
      <c r="P2016" s="42" t="n"/>
      <c r="Q2016" s="42" t="n"/>
      <c r="R2016" s="43">
        <f>IF($B2016="","",N($S2016)-N($Q2016))</f>
        <v/>
      </c>
      <c r="S2016" s="43">
        <f>IF($B2016="","",N($L2016)+N($N2016)+N($P2016))</f>
        <v/>
      </c>
      <c r="T2016" s="42" t="n"/>
      <c r="U2016" s="42" t="n"/>
      <c r="V2016" s="42" t="n"/>
      <c r="W2016" s="42" t="n"/>
      <c r="X2016" s="42" t="n"/>
      <c r="Y2016" s="42" t="n"/>
      <c r="Z2016" s="42" t="n"/>
      <c r="AA2016" s="42" t="n"/>
      <c r="AB2016" s="42" t="n"/>
      <c r="AC2016" s="42" t="n"/>
      <c r="AD2016" s="42" t="n"/>
      <c r="AE2016" s="42" t="n"/>
      <c r="AF2016" s="43">
        <f>IF($B2016="","",SUM($T2016:$AE2016))</f>
        <v/>
      </c>
      <c r="AG2016" s="43">
        <f>IF($B2016="","",N($M2016)-N($AF2016))</f>
        <v/>
      </c>
      <c r="AH2016" s="43">
        <f>IF($B2016="","",N($L2016)-N($AF2016))</f>
        <v/>
      </c>
      <c r="AI2016" s="149">
        <f>IF($B2016="","",IF(N($L2016)=0,"",(N($L2016)-N($AF2016))/N($L2016)))</f>
        <v/>
      </c>
    </row>
    <row r="2017">
      <c r="A2017" s="39">
        <f>IF($B2017="","",COUNTA($B$4:$B2017))</f>
        <v/>
      </c>
      <c r="B2017" s="45" t="n"/>
      <c r="C2017" s="46" t="n"/>
      <c r="D2017" s="46" t="n"/>
      <c r="E2017" s="46" t="n"/>
      <c r="F2017" s="46" t="n"/>
      <c r="G2017" s="46" t="n"/>
      <c r="H2017" s="46" t="n"/>
      <c r="I2017" s="46" t="n"/>
      <c r="J2017" s="46" t="n"/>
      <c r="K2017" s="46" t="n"/>
      <c r="L2017" s="47" t="n"/>
      <c r="M2017" s="47" t="n"/>
      <c r="N2017" s="47" t="n"/>
      <c r="O2017" s="47" t="n"/>
      <c r="P2017" s="47" t="n"/>
      <c r="Q2017" s="47" t="n"/>
      <c r="R2017" s="43">
        <f>IF($B2017="","",N($S2017)-N($Q2017))</f>
        <v/>
      </c>
      <c r="S2017" s="43">
        <f>IF($B2017="","",N($L2017)+N($N2017)+N($P2017))</f>
        <v/>
      </c>
      <c r="T2017" s="47" t="n"/>
      <c r="U2017" s="47" t="n"/>
      <c r="V2017" s="47" t="n"/>
      <c r="W2017" s="47" t="n"/>
      <c r="X2017" s="47" t="n"/>
      <c r="Y2017" s="47" t="n"/>
      <c r="Z2017" s="47" t="n"/>
      <c r="AA2017" s="47" t="n"/>
      <c r="AB2017" s="47" t="n"/>
      <c r="AC2017" s="47" t="n"/>
      <c r="AD2017" s="47" t="n"/>
      <c r="AE2017" s="47" t="n"/>
      <c r="AF2017" s="43">
        <f>IF($B2017="","",SUM($T2017:$AE2017))</f>
        <v/>
      </c>
      <c r="AG2017" s="43">
        <f>IF($B2017="","",N($M2017)-N($AF2017))</f>
        <v/>
      </c>
      <c r="AH2017" s="43">
        <f>IF($B2017="","",N($L2017)-N($AF2017))</f>
        <v/>
      </c>
      <c r="AI2017" s="149">
        <f>IF($B2017="","",IF(N($L2017)=0,"",(N($L2017)-N($AF2017))/N($L2017)))</f>
        <v/>
      </c>
    </row>
    <row r="2018">
      <c r="A2018" s="39">
        <f>IF($B2018="","",COUNTA($B$4:$B2018))</f>
        <v/>
      </c>
      <c r="B2018" s="40" t="n"/>
      <c r="C2018" s="41" t="n"/>
      <c r="D2018" s="41" t="n"/>
      <c r="E2018" s="41" t="n"/>
      <c r="F2018" s="41" t="n"/>
      <c r="G2018" s="41" t="n"/>
      <c r="H2018" s="41" t="n"/>
      <c r="I2018" s="41" t="n"/>
      <c r="J2018" s="41" t="n"/>
      <c r="K2018" s="41" t="n"/>
      <c r="L2018" s="42" t="n"/>
      <c r="M2018" s="42" t="n"/>
      <c r="N2018" s="42" t="n"/>
      <c r="O2018" s="42" t="n"/>
      <c r="P2018" s="42" t="n"/>
      <c r="Q2018" s="42" t="n"/>
      <c r="R2018" s="43">
        <f>IF($B2018="","",N($S2018)-N($Q2018))</f>
        <v/>
      </c>
      <c r="S2018" s="43">
        <f>IF($B2018="","",N($L2018)+N($N2018)+N($P2018))</f>
        <v/>
      </c>
      <c r="T2018" s="42" t="n"/>
      <c r="U2018" s="42" t="n"/>
      <c r="V2018" s="42" t="n"/>
      <c r="W2018" s="42" t="n"/>
      <c r="X2018" s="42" t="n"/>
      <c r="Y2018" s="42" t="n"/>
      <c r="Z2018" s="42" t="n"/>
      <c r="AA2018" s="42" t="n"/>
      <c r="AB2018" s="42" t="n"/>
      <c r="AC2018" s="42" t="n"/>
      <c r="AD2018" s="42" t="n"/>
      <c r="AE2018" s="42" t="n"/>
      <c r="AF2018" s="43">
        <f>IF($B2018="","",SUM($T2018:$AE2018))</f>
        <v/>
      </c>
      <c r="AG2018" s="43">
        <f>IF($B2018="","",N($M2018)-N($AF2018))</f>
        <v/>
      </c>
      <c r="AH2018" s="43">
        <f>IF($B2018="","",N($L2018)-N($AF2018))</f>
        <v/>
      </c>
      <c r="AI2018" s="149">
        <f>IF($B2018="","",IF(N($L2018)=0,"",(N($L2018)-N($AF2018))/N($L2018)))</f>
        <v/>
      </c>
    </row>
    <row r="2019">
      <c r="A2019" s="39">
        <f>IF($B2019="","",COUNTA($B$4:$B2019))</f>
        <v/>
      </c>
      <c r="B2019" s="45" t="n"/>
      <c r="C2019" s="46" t="n"/>
      <c r="D2019" s="46" t="n"/>
      <c r="E2019" s="46" t="n"/>
      <c r="F2019" s="46" t="n"/>
      <c r="G2019" s="46" t="n"/>
      <c r="H2019" s="46" t="n"/>
      <c r="I2019" s="46" t="n"/>
      <c r="J2019" s="46" t="n"/>
      <c r="K2019" s="46" t="n"/>
      <c r="L2019" s="47" t="n"/>
      <c r="M2019" s="47" t="n"/>
      <c r="N2019" s="47" t="n"/>
      <c r="O2019" s="47" t="n"/>
      <c r="P2019" s="47" t="n"/>
      <c r="Q2019" s="47" t="n"/>
      <c r="R2019" s="43">
        <f>IF($B2019="","",N($S2019)-N($Q2019))</f>
        <v/>
      </c>
      <c r="S2019" s="43">
        <f>IF($B2019="","",N($L2019)+N($N2019)+N($P2019))</f>
        <v/>
      </c>
      <c r="T2019" s="47" t="n"/>
      <c r="U2019" s="47" t="n"/>
      <c r="V2019" s="47" t="n"/>
      <c r="W2019" s="47" t="n"/>
      <c r="X2019" s="47" t="n"/>
      <c r="Y2019" s="47" t="n"/>
      <c r="Z2019" s="47" t="n"/>
      <c r="AA2019" s="47" t="n"/>
      <c r="AB2019" s="47" t="n"/>
      <c r="AC2019" s="47" t="n"/>
      <c r="AD2019" s="47" t="n"/>
      <c r="AE2019" s="47" t="n"/>
      <c r="AF2019" s="43">
        <f>IF($B2019="","",SUM($T2019:$AE2019))</f>
        <v/>
      </c>
      <c r="AG2019" s="43">
        <f>IF($B2019="","",N($M2019)-N($AF2019))</f>
        <v/>
      </c>
      <c r="AH2019" s="43">
        <f>IF($B2019="","",N($L2019)-N($AF2019))</f>
        <v/>
      </c>
      <c r="AI2019" s="149">
        <f>IF($B2019="","",IF(N($L2019)=0,"",(N($L2019)-N($AF2019))/N($L2019)))</f>
        <v/>
      </c>
    </row>
    <row r="2020">
      <c r="A2020" s="39">
        <f>IF($B2020="","",COUNTA($B$4:$B2020))</f>
        <v/>
      </c>
      <c r="B2020" s="40" t="n"/>
      <c r="C2020" s="41" t="n"/>
      <c r="D2020" s="41" t="n"/>
      <c r="E2020" s="41" t="n"/>
      <c r="F2020" s="41" t="n"/>
      <c r="G2020" s="41" t="n"/>
      <c r="H2020" s="41" t="n"/>
      <c r="I2020" s="41" t="n"/>
      <c r="J2020" s="41" t="n"/>
      <c r="K2020" s="41" t="n"/>
      <c r="L2020" s="42" t="n"/>
      <c r="M2020" s="42" t="n"/>
      <c r="N2020" s="42" t="n"/>
      <c r="O2020" s="42" t="n"/>
      <c r="P2020" s="42" t="n"/>
      <c r="Q2020" s="42" t="n"/>
      <c r="R2020" s="43">
        <f>IF($B2020="","",N($S2020)-N($Q2020))</f>
        <v/>
      </c>
      <c r="S2020" s="43">
        <f>IF($B2020="","",N($L2020)+N($N2020)+N($P2020))</f>
        <v/>
      </c>
      <c r="T2020" s="42" t="n"/>
      <c r="U2020" s="42" t="n"/>
      <c r="V2020" s="42" t="n"/>
      <c r="W2020" s="42" t="n"/>
      <c r="X2020" s="42" t="n"/>
      <c r="Y2020" s="42" t="n"/>
      <c r="Z2020" s="42" t="n"/>
      <c r="AA2020" s="42" t="n"/>
      <c r="AB2020" s="42" t="n"/>
      <c r="AC2020" s="42" t="n"/>
      <c r="AD2020" s="42" t="n"/>
      <c r="AE2020" s="42" t="n"/>
      <c r="AF2020" s="43">
        <f>IF($B2020="","",SUM($T2020:$AE2020))</f>
        <v/>
      </c>
      <c r="AG2020" s="43">
        <f>IF($B2020="","",N($M2020)-N($AF2020))</f>
        <v/>
      </c>
      <c r="AH2020" s="43">
        <f>IF($B2020="","",N($L2020)-N($AF2020))</f>
        <v/>
      </c>
      <c r="AI2020" s="149">
        <f>IF($B2020="","",IF(N($L2020)=0,"",(N($L2020)-N($AF2020))/N($L2020)))</f>
        <v/>
      </c>
    </row>
    <row r="2021">
      <c r="A2021" s="39">
        <f>IF($B2021="","",COUNTA($B$4:$B2021))</f>
        <v/>
      </c>
      <c r="B2021" s="45" t="n"/>
      <c r="C2021" s="46" t="n"/>
      <c r="D2021" s="46" t="n"/>
      <c r="E2021" s="46" t="n"/>
      <c r="F2021" s="46" t="n"/>
      <c r="G2021" s="46" t="n"/>
      <c r="H2021" s="46" t="n"/>
      <c r="I2021" s="46" t="n"/>
      <c r="J2021" s="46" t="n"/>
      <c r="K2021" s="46" t="n"/>
      <c r="L2021" s="47" t="n"/>
      <c r="M2021" s="47" t="n"/>
      <c r="N2021" s="47" t="n"/>
      <c r="O2021" s="47" t="n"/>
      <c r="P2021" s="47" t="n"/>
      <c r="Q2021" s="47" t="n"/>
      <c r="R2021" s="43">
        <f>IF($B2021="","",N($S2021)-N($Q2021))</f>
        <v/>
      </c>
      <c r="S2021" s="43">
        <f>IF($B2021="","",N($L2021)+N($N2021)+N($P2021))</f>
        <v/>
      </c>
      <c r="T2021" s="47" t="n"/>
      <c r="U2021" s="47" t="n"/>
      <c r="V2021" s="47" t="n"/>
      <c r="W2021" s="47" t="n"/>
      <c r="X2021" s="47" t="n"/>
      <c r="Y2021" s="47" t="n"/>
      <c r="Z2021" s="47" t="n"/>
      <c r="AA2021" s="47" t="n"/>
      <c r="AB2021" s="47" t="n"/>
      <c r="AC2021" s="47" t="n"/>
      <c r="AD2021" s="47" t="n"/>
      <c r="AE2021" s="47" t="n"/>
      <c r="AF2021" s="43">
        <f>IF($B2021="","",SUM($T2021:$AE2021))</f>
        <v/>
      </c>
      <c r="AG2021" s="43">
        <f>IF($B2021="","",N($M2021)-N($AF2021))</f>
        <v/>
      </c>
      <c r="AH2021" s="43">
        <f>IF($B2021="","",N($L2021)-N($AF2021))</f>
        <v/>
      </c>
      <c r="AI2021" s="149">
        <f>IF($B2021="","",IF(N($L2021)=0,"",(N($L2021)-N($AF2021))/N($L2021)))</f>
        <v/>
      </c>
    </row>
    <row r="2022">
      <c r="A2022" s="39">
        <f>IF($B2022="","",COUNTA($B$4:$B2022))</f>
        <v/>
      </c>
      <c r="B2022" s="40" t="n"/>
      <c r="C2022" s="41" t="n"/>
      <c r="D2022" s="41" t="n"/>
      <c r="E2022" s="41" t="n"/>
      <c r="F2022" s="41" t="n"/>
      <c r="G2022" s="41" t="n"/>
      <c r="H2022" s="41" t="n"/>
      <c r="I2022" s="41" t="n"/>
      <c r="J2022" s="41" t="n"/>
      <c r="K2022" s="41" t="n"/>
      <c r="L2022" s="42" t="n"/>
      <c r="M2022" s="42" t="n"/>
      <c r="N2022" s="42" t="n"/>
      <c r="O2022" s="42" t="n"/>
      <c r="P2022" s="42" t="n"/>
      <c r="Q2022" s="42" t="n"/>
      <c r="R2022" s="43">
        <f>IF($B2022="","",N($S2022)-N($Q2022))</f>
        <v/>
      </c>
      <c r="S2022" s="43">
        <f>IF($B2022="","",N($L2022)+N($N2022)+N($P2022))</f>
        <v/>
      </c>
      <c r="T2022" s="42" t="n"/>
      <c r="U2022" s="42" t="n"/>
      <c r="V2022" s="42" t="n"/>
      <c r="W2022" s="42" t="n"/>
      <c r="X2022" s="42" t="n"/>
      <c r="Y2022" s="42" t="n"/>
      <c r="Z2022" s="42" t="n"/>
      <c r="AA2022" s="42" t="n"/>
      <c r="AB2022" s="42" t="n"/>
      <c r="AC2022" s="42" t="n"/>
      <c r="AD2022" s="42" t="n"/>
      <c r="AE2022" s="42" t="n"/>
      <c r="AF2022" s="43">
        <f>IF($B2022="","",SUM($T2022:$AE2022))</f>
        <v/>
      </c>
      <c r="AG2022" s="43">
        <f>IF($B2022="","",N($M2022)-N($AF2022))</f>
        <v/>
      </c>
      <c r="AH2022" s="43">
        <f>IF($B2022="","",N($L2022)-N($AF2022))</f>
        <v/>
      </c>
      <c r="AI2022" s="149">
        <f>IF($B2022="","",IF(N($L2022)=0,"",(N($L2022)-N($AF2022))/N($L2022)))</f>
        <v/>
      </c>
    </row>
    <row r="2023">
      <c r="A2023" s="39">
        <f>IF($B2023="","",COUNTA($B$4:$B2023))</f>
        <v/>
      </c>
      <c r="B2023" s="45" t="n"/>
      <c r="C2023" s="46" t="n"/>
      <c r="D2023" s="46" t="n"/>
      <c r="E2023" s="46" t="n"/>
      <c r="F2023" s="46" t="n"/>
      <c r="G2023" s="46" t="n"/>
      <c r="H2023" s="46" t="n"/>
      <c r="I2023" s="46" t="n"/>
      <c r="J2023" s="46" t="n"/>
      <c r="K2023" s="46" t="n"/>
      <c r="L2023" s="47" t="n"/>
      <c r="M2023" s="47" t="n"/>
      <c r="N2023" s="47" t="n"/>
      <c r="O2023" s="47" t="n"/>
      <c r="P2023" s="47" t="n"/>
      <c r="Q2023" s="47" t="n"/>
      <c r="R2023" s="43">
        <f>IF($B2023="","",N($S2023)-N($Q2023))</f>
        <v/>
      </c>
      <c r="S2023" s="43">
        <f>IF($B2023="","",N($L2023)+N($N2023)+N($P2023))</f>
        <v/>
      </c>
      <c r="T2023" s="47" t="n"/>
      <c r="U2023" s="47" t="n"/>
      <c r="V2023" s="47" t="n"/>
      <c r="W2023" s="47" t="n"/>
      <c r="X2023" s="47" t="n"/>
      <c r="Y2023" s="47" t="n"/>
      <c r="Z2023" s="47" t="n"/>
      <c r="AA2023" s="47" t="n"/>
      <c r="AB2023" s="47" t="n"/>
      <c r="AC2023" s="47" t="n"/>
      <c r="AD2023" s="47" t="n"/>
      <c r="AE2023" s="47" t="n"/>
      <c r="AF2023" s="43">
        <f>IF($B2023="","",SUM($T2023:$AE2023))</f>
        <v/>
      </c>
      <c r="AG2023" s="43">
        <f>IF($B2023="","",N($M2023)-N($AF2023))</f>
        <v/>
      </c>
      <c r="AH2023" s="43">
        <f>IF($B2023="","",N($L2023)-N($AF2023))</f>
        <v/>
      </c>
      <c r="AI2023" s="149">
        <f>IF($B2023="","",IF(N($L2023)=0,"",(N($L2023)-N($AF2023))/N($L2023)))</f>
        <v/>
      </c>
    </row>
    <row r="2024">
      <c r="A2024" s="39">
        <f>IF($B2024="","",COUNTA($B$4:$B2024))</f>
        <v/>
      </c>
      <c r="B2024" s="40" t="n"/>
      <c r="C2024" s="41" t="n"/>
      <c r="D2024" s="41" t="n"/>
      <c r="E2024" s="41" t="n"/>
      <c r="F2024" s="41" t="n"/>
      <c r="G2024" s="41" t="n"/>
      <c r="H2024" s="41" t="n"/>
      <c r="I2024" s="41" t="n"/>
      <c r="J2024" s="41" t="n"/>
      <c r="K2024" s="41" t="n"/>
      <c r="L2024" s="42" t="n"/>
      <c r="M2024" s="42" t="n"/>
      <c r="N2024" s="42" t="n"/>
      <c r="O2024" s="42" t="n"/>
      <c r="P2024" s="42" t="n"/>
      <c r="Q2024" s="42" t="n"/>
      <c r="R2024" s="43">
        <f>IF($B2024="","",N($S2024)-N($Q2024))</f>
        <v/>
      </c>
      <c r="S2024" s="43">
        <f>IF($B2024="","",N($L2024)+N($N2024)+N($P2024))</f>
        <v/>
      </c>
      <c r="T2024" s="42" t="n"/>
      <c r="U2024" s="42" t="n"/>
      <c r="V2024" s="42" t="n"/>
      <c r="W2024" s="42" t="n"/>
      <c r="X2024" s="42" t="n"/>
      <c r="Y2024" s="42" t="n"/>
      <c r="Z2024" s="42" t="n"/>
      <c r="AA2024" s="42" t="n"/>
      <c r="AB2024" s="42" t="n"/>
      <c r="AC2024" s="42" t="n"/>
      <c r="AD2024" s="42" t="n"/>
      <c r="AE2024" s="42" t="n"/>
      <c r="AF2024" s="43">
        <f>IF($B2024="","",SUM($T2024:$AE2024))</f>
        <v/>
      </c>
      <c r="AG2024" s="43">
        <f>IF($B2024="","",N($M2024)-N($AF2024))</f>
        <v/>
      </c>
      <c r="AH2024" s="43">
        <f>IF($B2024="","",N($L2024)-N($AF2024))</f>
        <v/>
      </c>
      <c r="AI2024" s="149">
        <f>IF($B2024="","",IF(N($L2024)=0,"",(N($L2024)-N($AF2024))/N($L2024)))</f>
        <v/>
      </c>
    </row>
    <row r="2025">
      <c r="A2025" s="39">
        <f>IF($B2025="","",COUNTA($B$4:$B2025))</f>
        <v/>
      </c>
      <c r="B2025" s="45" t="n"/>
      <c r="C2025" s="46" t="n"/>
      <c r="D2025" s="46" t="n"/>
      <c r="E2025" s="46" t="n"/>
      <c r="F2025" s="46" t="n"/>
      <c r="G2025" s="46" t="n"/>
      <c r="H2025" s="46" t="n"/>
      <c r="I2025" s="46" t="n"/>
      <c r="J2025" s="46" t="n"/>
      <c r="K2025" s="46" t="n"/>
      <c r="L2025" s="47" t="n"/>
      <c r="M2025" s="47" t="n"/>
      <c r="N2025" s="47" t="n"/>
      <c r="O2025" s="47" t="n"/>
      <c r="P2025" s="47" t="n"/>
      <c r="Q2025" s="47" t="n"/>
      <c r="R2025" s="43">
        <f>IF($B2025="","",N($S2025)-N($Q2025))</f>
        <v/>
      </c>
      <c r="S2025" s="43">
        <f>IF($B2025="","",N($L2025)+N($N2025)+N($P2025))</f>
        <v/>
      </c>
      <c r="T2025" s="47" t="n"/>
      <c r="U2025" s="47" t="n"/>
      <c r="V2025" s="47" t="n"/>
      <c r="W2025" s="47" t="n"/>
      <c r="X2025" s="47" t="n"/>
      <c r="Y2025" s="47" t="n"/>
      <c r="Z2025" s="47" t="n"/>
      <c r="AA2025" s="47" t="n"/>
      <c r="AB2025" s="47" t="n"/>
      <c r="AC2025" s="47" t="n"/>
      <c r="AD2025" s="47" t="n"/>
      <c r="AE2025" s="47" t="n"/>
      <c r="AF2025" s="43">
        <f>IF($B2025="","",SUM($T2025:$AE2025))</f>
        <v/>
      </c>
      <c r="AG2025" s="43">
        <f>IF($B2025="","",N($M2025)-N($AF2025))</f>
        <v/>
      </c>
      <c r="AH2025" s="43">
        <f>IF($B2025="","",N($L2025)-N($AF2025))</f>
        <v/>
      </c>
      <c r="AI2025" s="149">
        <f>IF($B2025="","",IF(N($L2025)=0,"",(N($L2025)-N($AF2025))/N($L2025)))</f>
        <v/>
      </c>
    </row>
    <row r="2026">
      <c r="A2026" s="39">
        <f>IF($B2026="","",COUNTA($B$4:$B2026))</f>
        <v/>
      </c>
      <c r="B2026" s="40" t="n"/>
      <c r="C2026" s="41" t="n"/>
      <c r="D2026" s="41" t="n"/>
      <c r="E2026" s="41" t="n"/>
      <c r="F2026" s="41" t="n"/>
      <c r="G2026" s="41" t="n"/>
      <c r="H2026" s="41" t="n"/>
      <c r="I2026" s="41" t="n"/>
      <c r="J2026" s="41" t="n"/>
      <c r="K2026" s="41" t="n"/>
      <c r="L2026" s="42" t="n"/>
      <c r="M2026" s="42" t="n"/>
      <c r="N2026" s="42" t="n"/>
      <c r="O2026" s="42" t="n"/>
      <c r="P2026" s="42" t="n"/>
      <c r="Q2026" s="42" t="n"/>
      <c r="R2026" s="43">
        <f>IF($B2026="","",N($S2026)-N($Q2026))</f>
        <v/>
      </c>
      <c r="S2026" s="43">
        <f>IF($B2026="","",N($L2026)+N($N2026)+N($P2026))</f>
        <v/>
      </c>
      <c r="T2026" s="42" t="n"/>
      <c r="U2026" s="42" t="n"/>
      <c r="V2026" s="42" t="n"/>
      <c r="W2026" s="42" t="n"/>
      <c r="X2026" s="42" t="n"/>
      <c r="Y2026" s="42" t="n"/>
      <c r="Z2026" s="42" t="n"/>
      <c r="AA2026" s="42" t="n"/>
      <c r="AB2026" s="42" t="n"/>
      <c r="AC2026" s="42" t="n"/>
      <c r="AD2026" s="42" t="n"/>
      <c r="AE2026" s="42" t="n"/>
      <c r="AF2026" s="43">
        <f>IF($B2026="","",SUM($T2026:$AE2026))</f>
        <v/>
      </c>
      <c r="AG2026" s="43">
        <f>IF($B2026="","",N($M2026)-N($AF2026))</f>
        <v/>
      </c>
      <c r="AH2026" s="43">
        <f>IF($B2026="","",N($L2026)-N($AF2026))</f>
        <v/>
      </c>
      <c r="AI2026" s="149">
        <f>IF($B2026="","",IF(N($L2026)=0,"",(N($L2026)-N($AF2026))/N($L2026)))</f>
        <v/>
      </c>
    </row>
    <row r="2027">
      <c r="A2027" s="39">
        <f>IF($B2027="","",COUNTA($B$4:$B2027))</f>
        <v/>
      </c>
      <c r="B2027" s="45" t="n"/>
      <c r="C2027" s="46" t="n"/>
      <c r="D2027" s="46" t="n"/>
      <c r="E2027" s="46" t="n"/>
      <c r="F2027" s="46" t="n"/>
      <c r="G2027" s="46" t="n"/>
      <c r="H2027" s="46" t="n"/>
      <c r="I2027" s="46" t="n"/>
      <c r="J2027" s="46" t="n"/>
      <c r="K2027" s="46" t="n"/>
      <c r="L2027" s="47" t="n"/>
      <c r="M2027" s="47" t="n"/>
      <c r="N2027" s="47" t="n"/>
      <c r="O2027" s="47" t="n"/>
      <c r="P2027" s="47" t="n"/>
      <c r="Q2027" s="47" t="n"/>
      <c r="R2027" s="43">
        <f>IF($B2027="","",N($S2027)-N($Q2027))</f>
        <v/>
      </c>
      <c r="S2027" s="43">
        <f>IF($B2027="","",N($L2027)+N($N2027)+N($P2027))</f>
        <v/>
      </c>
      <c r="T2027" s="47" t="n"/>
      <c r="U2027" s="47" t="n"/>
      <c r="V2027" s="47" t="n"/>
      <c r="W2027" s="47" t="n"/>
      <c r="X2027" s="47" t="n"/>
      <c r="Y2027" s="47" t="n"/>
      <c r="Z2027" s="47" t="n"/>
      <c r="AA2027" s="47" t="n"/>
      <c r="AB2027" s="47" t="n"/>
      <c r="AC2027" s="47" t="n"/>
      <c r="AD2027" s="47" t="n"/>
      <c r="AE2027" s="47" t="n"/>
      <c r="AF2027" s="43">
        <f>IF($B2027="","",SUM($T2027:$AE2027))</f>
        <v/>
      </c>
      <c r="AG2027" s="43">
        <f>IF($B2027="","",N($M2027)-N($AF2027))</f>
        <v/>
      </c>
      <c r="AH2027" s="43">
        <f>IF($B2027="","",N($L2027)-N($AF2027))</f>
        <v/>
      </c>
      <c r="AI2027" s="149">
        <f>IF($B2027="","",IF(N($L2027)=0,"",(N($L2027)-N($AF2027))/N($L2027)))</f>
        <v/>
      </c>
    </row>
    <row r="2028">
      <c r="A2028" s="39">
        <f>IF($B2028="","",COUNTA($B$4:$B2028))</f>
        <v/>
      </c>
      <c r="B2028" s="40" t="n"/>
      <c r="C2028" s="41" t="n"/>
      <c r="D2028" s="41" t="n"/>
      <c r="E2028" s="41" t="n"/>
      <c r="F2028" s="41" t="n"/>
      <c r="G2028" s="41" t="n"/>
      <c r="H2028" s="41" t="n"/>
      <c r="I2028" s="41" t="n"/>
      <c r="J2028" s="41" t="n"/>
      <c r="K2028" s="41" t="n"/>
      <c r="L2028" s="42" t="n"/>
      <c r="M2028" s="42" t="n"/>
      <c r="N2028" s="42" t="n"/>
      <c r="O2028" s="42" t="n"/>
      <c r="P2028" s="42" t="n"/>
      <c r="Q2028" s="42" t="n"/>
      <c r="R2028" s="43">
        <f>IF($B2028="","",N($S2028)-N($Q2028))</f>
        <v/>
      </c>
      <c r="S2028" s="43">
        <f>IF($B2028="","",N($L2028)+N($N2028)+N($P2028))</f>
        <v/>
      </c>
      <c r="T2028" s="42" t="n"/>
      <c r="U2028" s="42" t="n"/>
      <c r="V2028" s="42" t="n"/>
      <c r="W2028" s="42" t="n"/>
      <c r="X2028" s="42" t="n"/>
      <c r="Y2028" s="42" t="n"/>
      <c r="Z2028" s="42" t="n"/>
      <c r="AA2028" s="42" t="n"/>
      <c r="AB2028" s="42" t="n"/>
      <c r="AC2028" s="42" t="n"/>
      <c r="AD2028" s="42" t="n"/>
      <c r="AE2028" s="42" t="n"/>
      <c r="AF2028" s="43">
        <f>IF($B2028="","",SUM($T2028:$AE2028))</f>
        <v/>
      </c>
      <c r="AG2028" s="43">
        <f>IF($B2028="","",N($M2028)-N($AF2028))</f>
        <v/>
      </c>
      <c r="AH2028" s="43">
        <f>IF($B2028="","",N($L2028)-N($AF2028))</f>
        <v/>
      </c>
      <c r="AI2028" s="149">
        <f>IF($B2028="","",IF(N($L2028)=0,"",(N($L2028)-N($AF2028))/N($L2028)))</f>
        <v/>
      </c>
    </row>
    <row r="2029">
      <c r="A2029" s="39">
        <f>IF($B2029="","",COUNTA($B$4:$B2029))</f>
        <v/>
      </c>
      <c r="B2029" s="45" t="n"/>
      <c r="C2029" s="46" t="n"/>
      <c r="D2029" s="46" t="n"/>
      <c r="E2029" s="46" t="n"/>
      <c r="F2029" s="46" t="n"/>
      <c r="G2029" s="46" t="n"/>
      <c r="H2029" s="46" t="n"/>
      <c r="I2029" s="46" t="n"/>
      <c r="J2029" s="46" t="n"/>
      <c r="K2029" s="46" t="n"/>
      <c r="L2029" s="47" t="n"/>
      <c r="M2029" s="47" t="n"/>
      <c r="N2029" s="47" t="n"/>
      <c r="O2029" s="47" t="n"/>
      <c r="P2029" s="47" t="n"/>
      <c r="Q2029" s="47" t="n"/>
      <c r="R2029" s="43">
        <f>IF($B2029="","",N($S2029)-N($Q2029))</f>
        <v/>
      </c>
      <c r="S2029" s="43">
        <f>IF($B2029="","",N($L2029)+N($N2029)+N($P2029))</f>
        <v/>
      </c>
      <c r="T2029" s="47" t="n"/>
      <c r="U2029" s="47" t="n"/>
      <c r="V2029" s="47" t="n"/>
      <c r="W2029" s="47" t="n"/>
      <c r="X2029" s="47" t="n"/>
      <c r="Y2029" s="47" t="n"/>
      <c r="Z2029" s="47" t="n"/>
      <c r="AA2029" s="47" t="n"/>
      <c r="AB2029" s="47" t="n"/>
      <c r="AC2029" s="47" t="n"/>
      <c r="AD2029" s="47" t="n"/>
      <c r="AE2029" s="47" t="n"/>
      <c r="AF2029" s="43">
        <f>IF($B2029="","",SUM($T2029:$AE2029))</f>
        <v/>
      </c>
      <c r="AG2029" s="43">
        <f>IF($B2029="","",N($M2029)-N($AF2029))</f>
        <v/>
      </c>
      <c r="AH2029" s="43">
        <f>IF($B2029="","",N($L2029)-N($AF2029))</f>
        <v/>
      </c>
      <c r="AI2029" s="149">
        <f>IF($B2029="","",IF(N($L2029)=0,"",(N($L2029)-N($AF2029))/N($L2029)))</f>
        <v/>
      </c>
    </row>
    <row r="2030">
      <c r="A2030" s="39">
        <f>IF($B2030="","",COUNTA($B$4:$B2030))</f>
        <v/>
      </c>
      <c r="B2030" s="40" t="n"/>
      <c r="C2030" s="41" t="n"/>
      <c r="D2030" s="41" t="n"/>
      <c r="E2030" s="41" t="n"/>
      <c r="F2030" s="41" t="n"/>
      <c r="G2030" s="41" t="n"/>
      <c r="H2030" s="41" t="n"/>
      <c r="I2030" s="41" t="n"/>
      <c r="J2030" s="41" t="n"/>
      <c r="K2030" s="41" t="n"/>
      <c r="L2030" s="42" t="n"/>
      <c r="M2030" s="42" t="n"/>
      <c r="N2030" s="42" t="n"/>
      <c r="O2030" s="42" t="n"/>
      <c r="P2030" s="42" t="n"/>
      <c r="Q2030" s="42" t="n"/>
      <c r="R2030" s="43">
        <f>IF($B2030="","",N($S2030)-N($Q2030))</f>
        <v/>
      </c>
      <c r="S2030" s="43">
        <f>IF($B2030="","",N($L2030)+N($N2030)+N($P2030))</f>
        <v/>
      </c>
      <c r="T2030" s="42" t="n"/>
      <c r="U2030" s="42" t="n"/>
      <c r="V2030" s="42" t="n"/>
      <c r="W2030" s="42" t="n"/>
      <c r="X2030" s="42" t="n"/>
      <c r="Y2030" s="42" t="n"/>
      <c r="Z2030" s="42" t="n"/>
      <c r="AA2030" s="42" t="n"/>
      <c r="AB2030" s="42" t="n"/>
      <c r="AC2030" s="42" t="n"/>
      <c r="AD2030" s="42" t="n"/>
      <c r="AE2030" s="42" t="n"/>
      <c r="AF2030" s="43">
        <f>IF($B2030="","",SUM($T2030:$AE2030))</f>
        <v/>
      </c>
      <c r="AG2030" s="43">
        <f>IF($B2030="","",N($M2030)-N($AF2030))</f>
        <v/>
      </c>
      <c r="AH2030" s="43">
        <f>IF($B2030="","",N($L2030)-N($AF2030))</f>
        <v/>
      </c>
      <c r="AI2030" s="149">
        <f>IF($B2030="","",IF(N($L2030)=0,"",(N($L2030)-N($AF2030))/N($L2030)))</f>
        <v/>
      </c>
    </row>
    <row r="2031">
      <c r="A2031" s="39">
        <f>IF($B2031="","",COUNTA($B$4:$B2031))</f>
        <v/>
      </c>
      <c r="B2031" s="45" t="n"/>
      <c r="C2031" s="46" t="n"/>
      <c r="D2031" s="46" t="n"/>
      <c r="E2031" s="46" t="n"/>
      <c r="F2031" s="46" t="n"/>
      <c r="G2031" s="46" t="n"/>
      <c r="H2031" s="46" t="n"/>
      <c r="I2031" s="46" t="n"/>
      <c r="J2031" s="46" t="n"/>
      <c r="K2031" s="46" t="n"/>
      <c r="L2031" s="47" t="n"/>
      <c r="M2031" s="47" t="n"/>
      <c r="N2031" s="47" t="n"/>
      <c r="O2031" s="47" t="n"/>
      <c r="P2031" s="47" t="n"/>
      <c r="Q2031" s="47" t="n"/>
      <c r="R2031" s="43">
        <f>IF($B2031="","",N($S2031)-N($Q2031))</f>
        <v/>
      </c>
      <c r="S2031" s="43">
        <f>IF($B2031="","",N($L2031)+N($N2031)+N($P2031))</f>
        <v/>
      </c>
      <c r="T2031" s="47" t="n"/>
      <c r="U2031" s="47" t="n"/>
      <c r="V2031" s="47" t="n"/>
      <c r="W2031" s="47" t="n"/>
      <c r="X2031" s="47" t="n"/>
      <c r="Y2031" s="47" t="n"/>
      <c r="Z2031" s="47" t="n"/>
      <c r="AA2031" s="47" t="n"/>
      <c r="AB2031" s="47" t="n"/>
      <c r="AC2031" s="47" t="n"/>
      <c r="AD2031" s="47" t="n"/>
      <c r="AE2031" s="47" t="n"/>
      <c r="AF2031" s="43">
        <f>IF($B2031="","",SUM($T2031:$AE2031))</f>
        <v/>
      </c>
      <c r="AG2031" s="43">
        <f>IF($B2031="","",N($M2031)-N($AF2031))</f>
        <v/>
      </c>
      <c r="AH2031" s="43">
        <f>IF($B2031="","",N($L2031)-N($AF2031))</f>
        <v/>
      </c>
      <c r="AI2031" s="149">
        <f>IF($B2031="","",IF(N($L2031)=0,"",(N($L2031)-N($AF2031))/N($L2031)))</f>
        <v/>
      </c>
    </row>
    <row r="2032">
      <c r="A2032" s="39">
        <f>IF($B2032="","",COUNTA($B$4:$B2032))</f>
        <v/>
      </c>
      <c r="B2032" s="40" t="n"/>
      <c r="C2032" s="41" t="n"/>
      <c r="D2032" s="41" t="n"/>
      <c r="E2032" s="41" t="n"/>
      <c r="F2032" s="41" t="n"/>
      <c r="G2032" s="41" t="n"/>
      <c r="H2032" s="41" t="n"/>
      <c r="I2032" s="41" t="n"/>
      <c r="J2032" s="41" t="n"/>
      <c r="K2032" s="41" t="n"/>
      <c r="L2032" s="42" t="n"/>
      <c r="M2032" s="42" t="n"/>
      <c r="N2032" s="42" t="n"/>
      <c r="O2032" s="42" t="n"/>
      <c r="P2032" s="42" t="n"/>
      <c r="Q2032" s="42" t="n"/>
      <c r="R2032" s="43">
        <f>IF($B2032="","",N($S2032)-N($Q2032))</f>
        <v/>
      </c>
      <c r="S2032" s="43">
        <f>IF($B2032="","",N($L2032)+N($N2032)+N($P2032))</f>
        <v/>
      </c>
      <c r="T2032" s="42" t="n"/>
      <c r="U2032" s="42" t="n"/>
      <c r="V2032" s="42" t="n"/>
      <c r="W2032" s="42" t="n"/>
      <c r="X2032" s="42" t="n"/>
      <c r="Y2032" s="42" t="n"/>
      <c r="Z2032" s="42" t="n"/>
      <c r="AA2032" s="42" t="n"/>
      <c r="AB2032" s="42" t="n"/>
      <c r="AC2032" s="42" t="n"/>
      <c r="AD2032" s="42" t="n"/>
      <c r="AE2032" s="42" t="n"/>
      <c r="AF2032" s="43">
        <f>IF($B2032="","",SUM($T2032:$AE2032))</f>
        <v/>
      </c>
      <c r="AG2032" s="43">
        <f>IF($B2032="","",N($M2032)-N($AF2032))</f>
        <v/>
      </c>
      <c r="AH2032" s="43">
        <f>IF($B2032="","",N($L2032)-N($AF2032))</f>
        <v/>
      </c>
      <c r="AI2032" s="149">
        <f>IF($B2032="","",IF(N($L2032)=0,"",(N($L2032)-N($AF2032))/N($L2032)))</f>
        <v/>
      </c>
    </row>
    <row r="2033">
      <c r="A2033" s="39">
        <f>IF($B2033="","",COUNTA($B$4:$B2033))</f>
        <v/>
      </c>
      <c r="B2033" s="45" t="n"/>
      <c r="C2033" s="46" t="n"/>
      <c r="D2033" s="46" t="n"/>
      <c r="E2033" s="46" t="n"/>
      <c r="F2033" s="46" t="n"/>
      <c r="G2033" s="46" t="n"/>
      <c r="H2033" s="46" t="n"/>
      <c r="I2033" s="46" t="n"/>
      <c r="J2033" s="46" t="n"/>
      <c r="K2033" s="46" t="n"/>
      <c r="L2033" s="47" t="n"/>
      <c r="M2033" s="47" t="n"/>
      <c r="N2033" s="47" t="n"/>
      <c r="O2033" s="47" t="n"/>
      <c r="P2033" s="47" t="n"/>
      <c r="Q2033" s="47" t="n"/>
      <c r="R2033" s="43">
        <f>IF($B2033="","",N($S2033)-N($Q2033))</f>
        <v/>
      </c>
      <c r="S2033" s="43">
        <f>IF($B2033="","",N($L2033)+N($N2033)+N($P2033))</f>
        <v/>
      </c>
      <c r="T2033" s="47" t="n"/>
      <c r="U2033" s="47" t="n"/>
      <c r="V2033" s="47" t="n"/>
      <c r="W2033" s="47" t="n"/>
      <c r="X2033" s="47" t="n"/>
      <c r="Y2033" s="47" t="n"/>
      <c r="Z2033" s="47" t="n"/>
      <c r="AA2033" s="47" t="n"/>
      <c r="AB2033" s="47" t="n"/>
      <c r="AC2033" s="47" t="n"/>
      <c r="AD2033" s="47" t="n"/>
      <c r="AE2033" s="47" t="n"/>
      <c r="AF2033" s="43">
        <f>IF($B2033="","",SUM($T2033:$AE2033))</f>
        <v/>
      </c>
      <c r="AG2033" s="43">
        <f>IF($B2033="","",N($M2033)-N($AF2033))</f>
        <v/>
      </c>
      <c r="AH2033" s="43">
        <f>IF($B2033="","",N($L2033)-N($AF2033))</f>
        <v/>
      </c>
      <c r="AI2033" s="149">
        <f>IF($B2033="","",IF(N($L2033)=0,"",(N($L2033)-N($AF2033))/N($L2033)))</f>
        <v/>
      </c>
    </row>
    <row r="2034">
      <c r="A2034" s="39">
        <f>IF($B2034="","",COUNTA($B$4:$B2034))</f>
        <v/>
      </c>
      <c r="B2034" s="40" t="n"/>
      <c r="C2034" s="41" t="n"/>
      <c r="D2034" s="41" t="n"/>
      <c r="E2034" s="41" t="n"/>
      <c r="F2034" s="41" t="n"/>
      <c r="G2034" s="41" t="n"/>
      <c r="H2034" s="41" t="n"/>
      <c r="I2034" s="41" t="n"/>
      <c r="J2034" s="41" t="n"/>
      <c r="K2034" s="41" t="n"/>
      <c r="L2034" s="42" t="n"/>
      <c r="M2034" s="42" t="n"/>
      <c r="N2034" s="42" t="n"/>
      <c r="O2034" s="42" t="n"/>
      <c r="P2034" s="42" t="n"/>
      <c r="Q2034" s="42" t="n"/>
      <c r="R2034" s="43">
        <f>IF($B2034="","",N($S2034)-N($Q2034))</f>
        <v/>
      </c>
      <c r="S2034" s="43">
        <f>IF($B2034="","",N($L2034)+N($N2034)+N($P2034))</f>
        <v/>
      </c>
      <c r="T2034" s="42" t="n"/>
      <c r="U2034" s="42" t="n"/>
      <c r="V2034" s="42" t="n"/>
      <c r="W2034" s="42" t="n"/>
      <c r="X2034" s="42" t="n"/>
      <c r="Y2034" s="42" t="n"/>
      <c r="Z2034" s="42" t="n"/>
      <c r="AA2034" s="42" t="n"/>
      <c r="AB2034" s="42" t="n"/>
      <c r="AC2034" s="42" t="n"/>
      <c r="AD2034" s="42" t="n"/>
      <c r="AE2034" s="42" t="n"/>
      <c r="AF2034" s="43">
        <f>IF($B2034="","",SUM($T2034:$AE2034))</f>
        <v/>
      </c>
      <c r="AG2034" s="43">
        <f>IF($B2034="","",N($M2034)-N($AF2034))</f>
        <v/>
      </c>
      <c r="AH2034" s="43">
        <f>IF($B2034="","",N($L2034)-N($AF2034))</f>
        <v/>
      </c>
      <c r="AI2034" s="149">
        <f>IF($B2034="","",IF(N($L2034)=0,"",(N($L2034)-N($AF2034))/N($L2034)))</f>
        <v/>
      </c>
    </row>
    <row r="2035">
      <c r="A2035" s="39">
        <f>IF($B2035="","",COUNTA($B$4:$B2035))</f>
        <v/>
      </c>
      <c r="B2035" s="45" t="n"/>
      <c r="C2035" s="46" t="n"/>
      <c r="D2035" s="46" t="n"/>
      <c r="E2035" s="46" t="n"/>
      <c r="F2035" s="46" t="n"/>
      <c r="G2035" s="46" t="n"/>
      <c r="H2035" s="46" t="n"/>
      <c r="I2035" s="46" t="n"/>
      <c r="J2035" s="46" t="n"/>
      <c r="K2035" s="46" t="n"/>
      <c r="L2035" s="47" t="n"/>
      <c r="M2035" s="47" t="n"/>
      <c r="N2035" s="47" t="n"/>
      <c r="O2035" s="47" t="n"/>
      <c r="P2035" s="47" t="n"/>
      <c r="Q2035" s="47" t="n"/>
      <c r="R2035" s="43">
        <f>IF($B2035="","",N($S2035)-N($Q2035))</f>
        <v/>
      </c>
      <c r="S2035" s="43">
        <f>IF($B2035="","",N($L2035)+N($N2035)+N($P2035))</f>
        <v/>
      </c>
      <c r="T2035" s="47" t="n"/>
      <c r="U2035" s="47" t="n"/>
      <c r="V2035" s="47" t="n"/>
      <c r="W2035" s="47" t="n"/>
      <c r="X2035" s="47" t="n"/>
      <c r="Y2035" s="47" t="n"/>
      <c r="Z2035" s="47" t="n"/>
      <c r="AA2035" s="47" t="n"/>
      <c r="AB2035" s="47" t="n"/>
      <c r="AC2035" s="47" t="n"/>
      <c r="AD2035" s="47" t="n"/>
      <c r="AE2035" s="47" t="n"/>
      <c r="AF2035" s="43">
        <f>IF($B2035="","",SUM($T2035:$AE2035))</f>
        <v/>
      </c>
      <c r="AG2035" s="43">
        <f>IF($B2035="","",N($M2035)-N($AF2035))</f>
        <v/>
      </c>
      <c r="AH2035" s="43">
        <f>IF($B2035="","",N($L2035)-N($AF2035))</f>
        <v/>
      </c>
      <c r="AI2035" s="149">
        <f>IF($B2035="","",IF(N($L2035)=0,"",(N($L2035)-N($AF2035))/N($L2035)))</f>
        <v/>
      </c>
    </row>
    <row r="2036">
      <c r="A2036" s="39">
        <f>IF($B2036="","",COUNTA($B$4:$B2036))</f>
        <v/>
      </c>
      <c r="B2036" s="40" t="n"/>
      <c r="C2036" s="41" t="n"/>
      <c r="D2036" s="41" t="n"/>
      <c r="E2036" s="41" t="n"/>
      <c r="F2036" s="41" t="n"/>
      <c r="G2036" s="41" t="n"/>
      <c r="H2036" s="41" t="n"/>
      <c r="I2036" s="41" t="n"/>
      <c r="J2036" s="41" t="n"/>
      <c r="K2036" s="41" t="n"/>
      <c r="L2036" s="42" t="n"/>
      <c r="M2036" s="42" t="n"/>
      <c r="N2036" s="42" t="n"/>
      <c r="O2036" s="42" t="n"/>
      <c r="P2036" s="42" t="n"/>
      <c r="Q2036" s="42" t="n"/>
      <c r="R2036" s="43">
        <f>IF($B2036="","",N($S2036)-N($Q2036))</f>
        <v/>
      </c>
      <c r="S2036" s="43">
        <f>IF($B2036="","",N($L2036)+N($N2036)+N($P2036))</f>
        <v/>
      </c>
      <c r="T2036" s="42" t="n"/>
      <c r="U2036" s="42" t="n"/>
      <c r="V2036" s="42" t="n"/>
      <c r="W2036" s="42" t="n"/>
      <c r="X2036" s="42" t="n"/>
      <c r="Y2036" s="42" t="n"/>
      <c r="Z2036" s="42" t="n"/>
      <c r="AA2036" s="42" t="n"/>
      <c r="AB2036" s="42" t="n"/>
      <c r="AC2036" s="42" t="n"/>
      <c r="AD2036" s="42" t="n"/>
      <c r="AE2036" s="42" t="n"/>
      <c r="AF2036" s="43">
        <f>IF($B2036="","",SUM($T2036:$AE2036))</f>
        <v/>
      </c>
      <c r="AG2036" s="43">
        <f>IF($B2036="","",N($M2036)-N($AF2036))</f>
        <v/>
      </c>
      <c r="AH2036" s="43">
        <f>IF($B2036="","",N($L2036)-N($AF2036))</f>
        <v/>
      </c>
      <c r="AI2036" s="149">
        <f>IF($B2036="","",IF(N($L2036)=0,"",(N($L2036)-N($AF2036))/N($L2036)))</f>
        <v/>
      </c>
    </row>
    <row r="2037">
      <c r="A2037" s="39">
        <f>IF($B2037="","",COUNTA($B$4:$B2037))</f>
        <v/>
      </c>
      <c r="B2037" s="45" t="n"/>
      <c r="C2037" s="46" t="n"/>
      <c r="D2037" s="46" t="n"/>
      <c r="E2037" s="46" t="n"/>
      <c r="F2037" s="46" t="n"/>
      <c r="G2037" s="46" t="n"/>
      <c r="H2037" s="46" t="n"/>
      <c r="I2037" s="46" t="n"/>
      <c r="J2037" s="46" t="n"/>
      <c r="K2037" s="46" t="n"/>
      <c r="L2037" s="47" t="n"/>
      <c r="M2037" s="47" t="n"/>
      <c r="N2037" s="47" t="n"/>
      <c r="O2037" s="47" t="n"/>
      <c r="P2037" s="47" t="n"/>
      <c r="Q2037" s="47" t="n"/>
      <c r="R2037" s="43">
        <f>IF($B2037="","",N($S2037)-N($Q2037))</f>
        <v/>
      </c>
      <c r="S2037" s="43">
        <f>IF($B2037="","",N($L2037)+N($N2037)+N($P2037))</f>
        <v/>
      </c>
      <c r="T2037" s="47" t="n"/>
      <c r="U2037" s="47" t="n"/>
      <c r="V2037" s="47" t="n"/>
      <c r="W2037" s="47" t="n"/>
      <c r="X2037" s="47" t="n"/>
      <c r="Y2037" s="47" t="n"/>
      <c r="Z2037" s="47" t="n"/>
      <c r="AA2037" s="47" t="n"/>
      <c r="AB2037" s="47" t="n"/>
      <c r="AC2037" s="47" t="n"/>
      <c r="AD2037" s="47" t="n"/>
      <c r="AE2037" s="47" t="n"/>
      <c r="AF2037" s="43">
        <f>IF($B2037="","",SUM($T2037:$AE2037))</f>
        <v/>
      </c>
      <c r="AG2037" s="43">
        <f>IF($B2037="","",N($M2037)-N($AF2037))</f>
        <v/>
      </c>
      <c r="AH2037" s="43">
        <f>IF($B2037="","",N($L2037)-N($AF2037))</f>
        <v/>
      </c>
      <c r="AI2037" s="149">
        <f>IF($B2037="","",IF(N($L2037)=0,"",(N($L2037)-N($AF2037))/N($L2037)))</f>
        <v/>
      </c>
    </row>
    <row r="2038">
      <c r="A2038" s="39">
        <f>IF($B2038="","",COUNTA($B$4:$B2038))</f>
        <v/>
      </c>
      <c r="B2038" s="40" t="n"/>
      <c r="C2038" s="41" t="n"/>
      <c r="D2038" s="41" t="n"/>
      <c r="E2038" s="41" t="n"/>
      <c r="F2038" s="41" t="n"/>
      <c r="G2038" s="41" t="n"/>
      <c r="H2038" s="41" t="n"/>
      <c r="I2038" s="41" t="n"/>
      <c r="J2038" s="41" t="n"/>
      <c r="K2038" s="41" t="n"/>
      <c r="L2038" s="42" t="n"/>
      <c r="M2038" s="42" t="n"/>
      <c r="N2038" s="42" t="n"/>
      <c r="O2038" s="42" t="n"/>
      <c r="P2038" s="42" t="n"/>
      <c r="Q2038" s="42" t="n"/>
      <c r="R2038" s="43">
        <f>IF($B2038="","",N($S2038)-N($Q2038))</f>
        <v/>
      </c>
      <c r="S2038" s="43">
        <f>IF($B2038="","",N($L2038)+N($N2038)+N($P2038))</f>
        <v/>
      </c>
      <c r="T2038" s="42" t="n"/>
      <c r="U2038" s="42" t="n"/>
      <c r="V2038" s="42" t="n"/>
      <c r="W2038" s="42" t="n"/>
      <c r="X2038" s="42" t="n"/>
      <c r="Y2038" s="42" t="n"/>
      <c r="Z2038" s="42" t="n"/>
      <c r="AA2038" s="42" t="n"/>
      <c r="AB2038" s="42" t="n"/>
      <c r="AC2038" s="42" t="n"/>
      <c r="AD2038" s="42" t="n"/>
      <c r="AE2038" s="42" t="n"/>
      <c r="AF2038" s="43">
        <f>IF($B2038="","",SUM($T2038:$AE2038))</f>
        <v/>
      </c>
      <c r="AG2038" s="43">
        <f>IF($B2038="","",N($M2038)-N($AF2038))</f>
        <v/>
      </c>
      <c r="AH2038" s="43">
        <f>IF($B2038="","",N($L2038)-N($AF2038))</f>
        <v/>
      </c>
      <c r="AI2038" s="149">
        <f>IF($B2038="","",IF(N($L2038)=0,"",(N($L2038)-N($AF2038))/N($L2038)))</f>
        <v/>
      </c>
    </row>
    <row r="2039">
      <c r="A2039" s="39">
        <f>IF($B2039="","",COUNTA($B$4:$B2039))</f>
        <v/>
      </c>
      <c r="B2039" s="45" t="n"/>
      <c r="C2039" s="46" t="n"/>
      <c r="D2039" s="46" t="n"/>
      <c r="E2039" s="46" t="n"/>
      <c r="F2039" s="46" t="n"/>
      <c r="G2039" s="46" t="n"/>
      <c r="H2039" s="46" t="n"/>
      <c r="I2039" s="46" t="n"/>
      <c r="J2039" s="46" t="n"/>
      <c r="K2039" s="46" t="n"/>
      <c r="L2039" s="47" t="n"/>
      <c r="M2039" s="47" t="n"/>
      <c r="N2039" s="47" t="n"/>
      <c r="O2039" s="47" t="n"/>
      <c r="P2039" s="47" t="n"/>
      <c r="Q2039" s="47" t="n"/>
      <c r="R2039" s="43">
        <f>IF($B2039="","",N($S2039)-N($Q2039))</f>
        <v/>
      </c>
      <c r="S2039" s="43">
        <f>IF($B2039="","",N($L2039)+N($N2039)+N($P2039))</f>
        <v/>
      </c>
      <c r="T2039" s="47" t="n"/>
      <c r="U2039" s="47" t="n"/>
      <c r="V2039" s="47" t="n"/>
      <c r="W2039" s="47" t="n"/>
      <c r="X2039" s="47" t="n"/>
      <c r="Y2039" s="47" t="n"/>
      <c r="Z2039" s="47" t="n"/>
      <c r="AA2039" s="47" t="n"/>
      <c r="AB2039" s="47" t="n"/>
      <c r="AC2039" s="47" t="n"/>
      <c r="AD2039" s="47" t="n"/>
      <c r="AE2039" s="47" t="n"/>
      <c r="AF2039" s="43">
        <f>IF($B2039="","",SUM($T2039:$AE2039))</f>
        <v/>
      </c>
      <c r="AG2039" s="43">
        <f>IF($B2039="","",N($M2039)-N($AF2039))</f>
        <v/>
      </c>
      <c r="AH2039" s="43">
        <f>IF($B2039="","",N($L2039)-N($AF2039))</f>
        <v/>
      </c>
      <c r="AI2039" s="149">
        <f>IF($B2039="","",IF(N($L2039)=0,"",(N($L2039)-N($AF2039))/N($L2039)))</f>
        <v/>
      </c>
    </row>
    <row r="2040">
      <c r="A2040" s="39">
        <f>IF($B2040="","",COUNTA($B$4:$B2040))</f>
        <v/>
      </c>
      <c r="B2040" s="40" t="n"/>
      <c r="C2040" s="41" t="n"/>
      <c r="D2040" s="41" t="n"/>
      <c r="E2040" s="41" t="n"/>
      <c r="F2040" s="41" t="n"/>
      <c r="G2040" s="41" t="n"/>
      <c r="H2040" s="41" t="n"/>
      <c r="I2040" s="41" t="n"/>
      <c r="J2040" s="41" t="n"/>
      <c r="K2040" s="41" t="n"/>
      <c r="L2040" s="42" t="n"/>
      <c r="M2040" s="42" t="n"/>
      <c r="N2040" s="42" t="n"/>
      <c r="O2040" s="42" t="n"/>
      <c r="P2040" s="42" t="n"/>
      <c r="Q2040" s="42" t="n"/>
      <c r="R2040" s="43">
        <f>IF($B2040="","",N($S2040)-N($Q2040))</f>
        <v/>
      </c>
      <c r="S2040" s="43">
        <f>IF($B2040="","",N($L2040)+N($N2040)+N($P2040))</f>
        <v/>
      </c>
      <c r="T2040" s="42" t="n"/>
      <c r="U2040" s="42" t="n"/>
      <c r="V2040" s="42" t="n"/>
      <c r="W2040" s="42" t="n"/>
      <c r="X2040" s="42" t="n"/>
      <c r="Y2040" s="42" t="n"/>
      <c r="Z2040" s="42" t="n"/>
      <c r="AA2040" s="42" t="n"/>
      <c r="AB2040" s="42" t="n"/>
      <c r="AC2040" s="42" t="n"/>
      <c r="AD2040" s="42" t="n"/>
      <c r="AE2040" s="42" t="n"/>
      <c r="AF2040" s="43">
        <f>IF($B2040="","",SUM($T2040:$AE2040))</f>
        <v/>
      </c>
      <c r="AG2040" s="43">
        <f>IF($B2040="","",N($M2040)-N($AF2040))</f>
        <v/>
      </c>
      <c r="AH2040" s="43">
        <f>IF($B2040="","",N($L2040)-N($AF2040))</f>
        <v/>
      </c>
      <c r="AI2040" s="149">
        <f>IF($B2040="","",IF(N($L2040)=0,"",(N($L2040)-N($AF2040))/N($L2040)))</f>
        <v/>
      </c>
    </row>
    <row r="2041">
      <c r="A2041" s="39">
        <f>IF($B2041="","",COUNTA($B$4:$B2041))</f>
        <v/>
      </c>
      <c r="B2041" s="45" t="n"/>
      <c r="C2041" s="46" t="n"/>
      <c r="D2041" s="46" t="n"/>
      <c r="E2041" s="46" t="n"/>
      <c r="F2041" s="46" t="n"/>
      <c r="G2041" s="46" t="n"/>
      <c r="H2041" s="46" t="n"/>
      <c r="I2041" s="46" t="n"/>
      <c r="J2041" s="46" t="n"/>
      <c r="K2041" s="46" t="n"/>
      <c r="L2041" s="47" t="n"/>
      <c r="M2041" s="47" t="n"/>
      <c r="N2041" s="47" t="n"/>
      <c r="O2041" s="47" t="n"/>
      <c r="P2041" s="47" t="n"/>
      <c r="Q2041" s="47" t="n"/>
      <c r="R2041" s="43">
        <f>IF($B2041="","",N($S2041)-N($Q2041))</f>
        <v/>
      </c>
      <c r="S2041" s="43">
        <f>IF($B2041="","",N($L2041)+N($N2041)+N($P2041))</f>
        <v/>
      </c>
      <c r="T2041" s="47" t="n"/>
      <c r="U2041" s="47" t="n"/>
      <c r="V2041" s="47" t="n"/>
      <c r="W2041" s="47" t="n"/>
      <c r="X2041" s="47" t="n"/>
      <c r="Y2041" s="47" t="n"/>
      <c r="Z2041" s="47" t="n"/>
      <c r="AA2041" s="47" t="n"/>
      <c r="AB2041" s="47" t="n"/>
      <c r="AC2041" s="47" t="n"/>
      <c r="AD2041" s="47" t="n"/>
      <c r="AE2041" s="47" t="n"/>
      <c r="AF2041" s="43">
        <f>IF($B2041="","",SUM($T2041:$AE2041))</f>
        <v/>
      </c>
      <c r="AG2041" s="43">
        <f>IF($B2041="","",N($M2041)-N($AF2041))</f>
        <v/>
      </c>
      <c r="AH2041" s="43">
        <f>IF($B2041="","",N($L2041)-N($AF2041))</f>
        <v/>
      </c>
      <c r="AI2041" s="149">
        <f>IF($B2041="","",IF(N($L2041)=0,"",(N($L2041)-N($AF2041))/N($L2041)))</f>
        <v/>
      </c>
    </row>
    <row r="2042">
      <c r="A2042" s="39">
        <f>IF($B2042="","",COUNTA($B$4:$B2042))</f>
        <v/>
      </c>
      <c r="B2042" s="40" t="n"/>
      <c r="C2042" s="41" t="n"/>
      <c r="D2042" s="41" t="n"/>
      <c r="E2042" s="41" t="n"/>
      <c r="F2042" s="41" t="n"/>
      <c r="G2042" s="41" t="n"/>
      <c r="H2042" s="41" t="n"/>
      <c r="I2042" s="41" t="n"/>
      <c r="J2042" s="41" t="n"/>
      <c r="K2042" s="41" t="n"/>
      <c r="L2042" s="42" t="n"/>
      <c r="M2042" s="42" t="n"/>
      <c r="N2042" s="42" t="n"/>
      <c r="O2042" s="42" t="n"/>
      <c r="P2042" s="42" t="n"/>
      <c r="Q2042" s="42" t="n"/>
      <c r="R2042" s="43">
        <f>IF($B2042="","",N($S2042)-N($Q2042))</f>
        <v/>
      </c>
      <c r="S2042" s="43">
        <f>IF($B2042="","",N($L2042)+N($N2042)+N($P2042))</f>
        <v/>
      </c>
      <c r="T2042" s="42" t="n"/>
      <c r="U2042" s="42" t="n"/>
      <c r="V2042" s="42" t="n"/>
      <c r="W2042" s="42" t="n"/>
      <c r="X2042" s="42" t="n"/>
      <c r="Y2042" s="42" t="n"/>
      <c r="Z2042" s="42" t="n"/>
      <c r="AA2042" s="42" t="n"/>
      <c r="AB2042" s="42" t="n"/>
      <c r="AC2042" s="42" t="n"/>
      <c r="AD2042" s="42" t="n"/>
      <c r="AE2042" s="42" t="n"/>
      <c r="AF2042" s="43">
        <f>IF($B2042="","",SUM($T2042:$AE2042))</f>
        <v/>
      </c>
      <c r="AG2042" s="43">
        <f>IF($B2042="","",N($M2042)-N($AF2042))</f>
        <v/>
      </c>
      <c r="AH2042" s="43">
        <f>IF($B2042="","",N($L2042)-N($AF2042))</f>
        <v/>
      </c>
      <c r="AI2042" s="149">
        <f>IF($B2042="","",IF(N($L2042)=0,"",(N($L2042)-N($AF2042))/N($L2042)))</f>
        <v/>
      </c>
    </row>
    <row r="2043">
      <c r="A2043" s="39">
        <f>IF($B2043="","",COUNTA($B$4:$B2043))</f>
        <v/>
      </c>
      <c r="B2043" s="45" t="n"/>
      <c r="C2043" s="46" t="n"/>
      <c r="D2043" s="46" t="n"/>
      <c r="E2043" s="46" t="n"/>
      <c r="F2043" s="46" t="n"/>
      <c r="G2043" s="46" t="n"/>
      <c r="H2043" s="46" t="n"/>
      <c r="I2043" s="46" t="n"/>
      <c r="J2043" s="46" t="n"/>
      <c r="K2043" s="46" t="n"/>
      <c r="L2043" s="47" t="n"/>
      <c r="M2043" s="47" t="n"/>
      <c r="N2043" s="47" t="n"/>
      <c r="O2043" s="47" t="n"/>
      <c r="P2043" s="47" t="n"/>
      <c r="Q2043" s="47" t="n"/>
      <c r="R2043" s="43">
        <f>IF($B2043="","",N($S2043)-N($Q2043))</f>
        <v/>
      </c>
      <c r="S2043" s="43">
        <f>IF($B2043="","",N($L2043)+N($N2043)+N($P2043))</f>
        <v/>
      </c>
      <c r="T2043" s="47" t="n"/>
      <c r="U2043" s="47" t="n"/>
      <c r="V2043" s="47" t="n"/>
      <c r="W2043" s="47" t="n"/>
      <c r="X2043" s="47" t="n"/>
      <c r="Y2043" s="47" t="n"/>
      <c r="Z2043" s="47" t="n"/>
      <c r="AA2043" s="47" t="n"/>
      <c r="AB2043" s="47" t="n"/>
      <c r="AC2043" s="47" t="n"/>
      <c r="AD2043" s="47" t="n"/>
      <c r="AE2043" s="47" t="n"/>
      <c r="AF2043" s="43">
        <f>IF($B2043="","",SUM($T2043:$AE2043))</f>
        <v/>
      </c>
      <c r="AG2043" s="43">
        <f>IF($B2043="","",N($M2043)-N($AF2043))</f>
        <v/>
      </c>
      <c r="AH2043" s="43">
        <f>IF($B2043="","",N($L2043)-N($AF2043))</f>
        <v/>
      </c>
      <c r="AI2043" s="149">
        <f>IF($B2043="","",IF(N($L2043)=0,"",(N($L2043)-N($AF2043))/N($L2043)))</f>
        <v/>
      </c>
    </row>
    <row r="2044">
      <c r="A2044" s="39">
        <f>IF($B2044="","",COUNTA($B$4:$B2044))</f>
        <v/>
      </c>
      <c r="B2044" s="40" t="n"/>
      <c r="C2044" s="41" t="n"/>
      <c r="D2044" s="41" t="n"/>
      <c r="E2044" s="41" t="n"/>
      <c r="F2044" s="41" t="n"/>
      <c r="G2044" s="41" t="n"/>
      <c r="H2044" s="41" t="n"/>
      <c r="I2044" s="41" t="n"/>
      <c r="J2044" s="41" t="n"/>
      <c r="K2044" s="41" t="n"/>
      <c r="L2044" s="42" t="n"/>
      <c r="M2044" s="42" t="n"/>
      <c r="N2044" s="42" t="n"/>
      <c r="O2044" s="42" t="n"/>
      <c r="P2044" s="42" t="n"/>
      <c r="Q2044" s="42" t="n"/>
      <c r="R2044" s="43">
        <f>IF($B2044="","",N($S2044)-N($Q2044))</f>
        <v/>
      </c>
      <c r="S2044" s="43">
        <f>IF($B2044="","",N($L2044)+N($N2044)+N($P2044))</f>
        <v/>
      </c>
      <c r="T2044" s="42" t="n"/>
      <c r="U2044" s="42" t="n"/>
      <c r="V2044" s="42" t="n"/>
      <c r="W2044" s="42" t="n"/>
      <c r="X2044" s="42" t="n"/>
      <c r="Y2044" s="42" t="n"/>
      <c r="Z2044" s="42" t="n"/>
      <c r="AA2044" s="42" t="n"/>
      <c r="AB2044" s="42" t="n"/>
      <c r="AC2044" s="42" t="n"/>
      <c r="AD2044" s="42" t="n"/>
      <c r="AE2044" s="42" t="n"/>
      <c r="AF2044" s="43">
        <f>IF($B2044="","",SUM($T2044:$AE2044))</f>
        <v/>
      </c>
      <c r="AG2044" s="43">
        <f>IF($B2044="","",N($M2044)-N($AF2044))</f>
        <v/>
      </c>
      <c r="AH2044" s="43">
        <f>IF($B2044="","",N($L2044)-N($AF2044))</f>
        <v/>
      </c>
      <c r="AI2044" s="149">
        <f>IF($B2044="","",IF(N($L2044)=0,"",(N($L2044)-N($AF2044))/N($L2044)))</f>
        <v/>
      </c>
    </row>
    <row r="2045">
      <c r="A2045" s="39">
        <f>IF($B2045="","",COUNTA($B$4:$B2045))</f>
        <v/>
      </c>
      <c r="B2045" s="45" t="n"/>
      <c r="C2045" s="46" t="n"/>
      <c r="D2045" s="46" t="n"/>
      <c r="E2045" s="46" t="n"/>
      <c r="F2045" s="46" t="n"/>
      <c r="G2045" s="46" t="n"/>
      <c r="H2045" s="46" t="n"/>
      <c r="I2045" s="46" t="n"/>
      <c r="J2045" s="46" t="n"/>
      <c r="K2045" s="46" t="n"/>
      <c r="L2045" s="47" t="n"/>
      <c r="M2045" s="47" t="n"/>
      <c r="N2045" s="47" t="n"/>
      <c r="O2045" s="47" t="n"/>
      <c r="P2045" s="47" t="n"/>
      <c r="Q2045" s="47" t="n"/>
      <c r="R2045" s="43">
        <f>IF($B2045="","",N($S2045)-N($Q2045))</f>
        <v/>
      </c>
      <c r="S2045" s="43">
        <f>IF($B2045="","",N($L2045)+N($N2045)+N($P2045))</f>
        <v/>
      </c>
      <c r="T2045" s="47" t="n"/>
      <c r="U2045" s="47" t="n"/>
      <c r="V2045" s="47" t="n"/>
      <c r="W2045" s="47" t="n"/>
      <c r="X2045" s="47" t="n"/>
      <c r="Y2045" s="47" t="n"/>
      <c r="Z2045" s="47" t="n"/>
      <c r="AA2045" s="47" t="n"/>
      <c r="AB2045" s="47" t="n"/>
      <c r="AC2045" s="47" t="n"/>
      <c r="AD2045" s="47" t="n"/>
      <c r="AE2045" s="47" t="n"/>
      <c r="AF2045" s="43">
        <f>IF($B2045="","",SUM($T2045:$AE2045))</f>
        <v/>
      </c>
      <c r="AG2045" s="43">
        <f>IF($B2045="","",N($M2045)-N($AF2045))</f>
        <v/>
      </c>
      <c r="AH2045" s="43">
        <f>IF($B2045="","",N($L2045)-N($AF2045))</f>
        <v/>
      </c>
      <c r="AI2045" s="149">
        <f>IF($B2045="","",IF(N($L2045)=0,"",(N($L2045)-N($AF2045))/N($L2045)))</f>
        <v/>
      </c>
    </row>
    <row r="2046">
      <c r="A2046" s="39">
        <f>IF($B2046="","",COUNTA($B$4:$B2046))</f>
        <v/>
      </c>
      <c r="B2046" s="40" t="n"/>
      <c r="C2046" s="41" t="n"/>
      <c r="D2046" s="41" t="n"/>
      <c r="E2046" s="41" t="n"/>
      <c r="F2046" s="41" t="n"/>
      <c r="G2046" s="41" t="n"/>
      <c r="H2046" s="41" t="n"/>
      <c r="I2046" s="41" t="n"/>
      <c r="J2046" s="41" t="n"/>
      <c r="K2046" s="41" t="n"/>
      <c r="L2046" s="42" t="n"/>
      <c r="M2046" s="42" t="n"/>
      <c r="N2046" s="42" t="n"/>
      <c r="O2046" s="42" t="n"/>
      <c r="P2046" s="42" t="n"/>
      <c r="Q2046" s="42" t="n"/>
      <c r="R2046" s="43">
        <f>IF($B2046="","",N($S2046)-N($Q2046))</f>
        <v/>
      </c>
      <c r="S2046" s="43">
        <f>IF($B2046="","",N($L2046)+N($N2046)+N($P2046))</f>
        <v/>
      </c>
      <c r="T2046" s="42" t="n"/>
      <c r="U2046" s="42" t="n"/>
      <c r="V2046" s="42" t="n"/>
      <c r="W2046" s="42" t="n"/>
      <c r="X2046" s="42" t="n"/>
      <c r="Y2046" s="42" t="n"/>
      <c r="Z2046" s="42" t="n"/>
      <c r="AA2046" s="42" t="n"/>
      <c r="AB2046" s="42" t="n"/>
      <c r="AC2046" s="42" t="n"/>
      <c r="AD2046" s="42" t="n"/>
      <c r="AE2046" s="42" t="n"/>
      <c r="AF2046" s="43">
        <f>IF($B2046="","",SUM($T2046:$AE2046))</f>
        <v/>
      </c>
      <c r="AG2046" s="43">
        <f>IF($B2046="","",N($M2046)-N($AF2046))</f>
        <v/>
      </c>
      <c r="AH2046" s="43">
        <f>IF($B2046="","",N($L2046)-N($AF2046))</f>
        <v/>
      </c>
      <c r="AI2046" s="149">
        <f>IF($B2046="","",IF(N($L2046)=0,"",(N($L2046)-N($AF2046))/N($L2046)))</f>
        <v/>
      </c>
    </row>
    <row r="2047">
      <c r="A2047" s="39">
        <f>IF($B2047="","",COUNTA($B$4:$B2047))</f>
        <v/>
      </c>
      <c r="B2047" s="45" t="n"/>
      <c r="C2047" s="46" t="n"/>
      <c r="D2047" s="46" t="n"/>
      <c r="E2047" s="46" t="n"/>
      <c r="F2047" s="46" t="n"/>
      <c r="G2047" s="46" t="n"/>
      <c r="H2047" s="46" t="n"/>
      <c r="I2047" s="46" t="n"/>
      <c r="J2047" s="46" t="n"/>
      <c r="K2047" s="46" t="n"/>
      <c r="L2047" s="47" t="n"/>
      <c r="M2047" s="47" t="n"/>
      <c r="N2047" s="47" t="n"/>
      <c r="O2047" s="47" t="n"/>
      <c r="P2047" s="47" t="n"/>
      <c r="Q2047" s="47" t="n"/>
      <c r="R2047" s="43">
        <f>IF($B2047="","",N($S2047)-N($Q2047))</f>
        <v/>
      </c>
      <c r="S2047" s="43">
        <f>IF($B2047="","",N($L2047)+N($N2047)+N($P2047))</f>
        <v/>
      </c>
      <c r="T2047" s="47" t="n"/>
      <c r="U2047" s="47" t="n"/>
      <c r="V2047" s="47" t="n"/>
      <c r="W2047" s="47" t="n"/>
      <c r="X2047" s="47" t="n"/>
      <c r="Y2047" s="47" t="n"/>
      <c r="Z2047" s="47" t="n"/>
      <c r="AA2047" s="47" t="n"/>
      <c r="AB2047" s="47" t="n"/>
      <c r="AC2047" s="47" t="n"/>
      <c r="AD2047" s="47" t="n"/>
      <c r="AE2047" s="47" t="n"/>
      <c r="AF2047" s="43">
        <f>IF($B2047="","",SUM($T2047:$AE2047))</f>
        <v/>
      </c>
      <c r="AG2047" s="43">
        <f>IF($B2047="","",N($M2047)-N($AF2047))</f>
        <v/>
      </c>
      <c r="AH2047" s="43">
        <f>IF($B2047="","",N($L2047)-N($AF2047))</f>
        <v/>
      </c>
      <c r="AI2047" s="149">
        <f>IF($B2047="","",IF(N($L2047)=0,"",(N($L2047)-N($AF2047))/N($L2047)))</f>
        <v/>
      </c>
    </row>
    <row r="2048">
      <c r="A2048" s="39">
        <f>IF($B2048="","",COUNTA($B$4:$B2048))</f>
        <v/>
      </c>
      <c r="B2048" s="40" t="n"/>
      <c r="C2048" s="41" t="n"/>
      <c r="D2048" s="41" t="n"/>
      <c r="E2048" s="41" t="n"/>
      <c r="F2048" s="41" t="n"/>
      <c r="G2048" s="41" t="n"/>
      <c r="H2048" s="41" t="n"/>
      <c r="I2048" s="41" t="n"/>
      <c r="J2048" s="41" t="n"/>
      <c r="K2048" s="41" t="n"/>
      <c r="L2048" s="42" t="n"/>
      <c r="M2048" s="42" t="n"/>
      <c r="N2048" s="42" t="n"/>
      <c r="O2048" s="42" t="n"/>
      <c r="P2048" s="42" t="n"/>
      <c r="Q2048" s="42" t="n"/>
      <c r="R2048" s="43">
        <f>IF($B2048="","",N($S2048)-N($Q2048))</f>
        <v/>
      </c>
      <c r="S2048" s="43">
        <f>IF($B2048="","",N($L2048)+N($N2048)+N($P2048))</f>
        <v/>
      </c>
      <c r="T2048" s="42" t="n"/>
      <c r="U2048" s="42" t="n"/>
      <c r="V2048" s="42" t="n"/>
      <c r="W2048" s="42" t="n"/>
      <c r="X2048" s="42" t="n"/>
      <c r="Y2048" s="42" t="n"/>
      <c r="Z2048" s="42" t="n"/>
      <c r="AA2048" s="42" t="n"/>
      <c r="AB2048" s="42" t="n"/>
      <c r="AC2048" s="42" t="n"/>
      <c r="AD2048" s="42" t="n"/>
      <c r="AE2048" s="42" t="n"/>
      <c r="AF2048" s="43">
        <f>IF($B2048="","",SUM($T2048:$AE2048))</f>
        <v/>
      </c>
      <c r="AG2048" s="43">
        <f>IF($B2048="","",N($M2048)-N($AF2048))</f>
        <v/>
      </c>
      <c r="AH2048" s="43">
        <f>IF($B2048="","",N($L2048)-N($AF2048))</f>
        <v/>
      </c>
      <c r="AI2048" s="149">
        <f>IF($B2048="","",IF(N($L2048)=0,"",(N($L2048)-N($AF2048))/N($L2048)))</f>
        <v/>
      </c>
    </row>
    <row r="2049">
      <c r="A2049" s="39">
        <f>IF($B2049="","",COUNTA($B$4:$B2049))</f>
        <v/>
      </c>
      <c r="B2049" s="45" t="n"/>
      <c r="C2049" s="46" t="n"/>
      <c r="D2049" s="46" t="n"/>
      <c r="E2049" s="46" t="n"/>
      <c r="F2049" s="46" t="n"/>
      <c r="G2049" s="46" t="n"/>
      <c r="H2049" s="46" t="n"/>
      <c r="I2049" s="46" t="n"/>
      <c r="J2049" s="46" t="n"/>
      <c r="K2049" s="46" t="n"/>
      <c r="L2049" s="47" t="n"/>
      <c r="M2049" s="47" t="n"/>
      <c r="N2049" s="47" t="n"/>
      <c r="O2049" s="47" t="n"/>
      <c r="P2049" s="47" t="n"/>
      <c r="Q2049" s="47" t="n"/>
      <c r="R2049" s="43">
        <f>IF($B2049="","",N($S2049)-N($Q2049))</f>
        <v/>
      </c>
      <c r="S2049" s="43">
        <f>IF($B2049="","",N($L2049)+N($N2049)+N($P2049))</f>
        <v/>
      </c>
      <c r="T2049" s="47" t="n"/>
      <c r="U2049" s="47" t="n"/>
      <c r="V2049" s="47" t="n"/>
      <c r="W2049" s="47" t="n"/>
      <c r="X2049" s="47" t="n"/>
      <c r="Y2049" s="47" t="n"/>
      <c r="Z2049" s="47" t="n"/>
      <c r="AA2049" s="47" t="n"/>
      <c r="AB2049" s="47" t="n"/>
      <c r="AC2049" s="47" t="n"/>
      <c r="AD2049" s="47" t="n"/>
      <c r="AE2049" s="47" t="n"/>
      <c r="AF2049" s="43">
        <f>IF($B2049="","",SUM($T2049:$AE2049))</f>
        <v/>
      </c>
      <c r="AG2049" s="43">
        <f>IF($B2049="","",N($M2049)-N($AF2049))</f>
        <v/>
      </c>
      <c r="AH2049" s="43">
        <f>IF($B2049="","",N($L2049)-N($AF2049))</f>
        <v/>
      </c>
      <c r="AI2049" s="149">
        <f>IF($B2049="","",IF(N($L2049)=0,"",(N($L2049)-N($AF2049))/N($L2049)))</f>
        <v/>
      </c>
    </row>
    <row r="2050">
      <c r="A2050" s="39">
        <f>IF($B2050="","",COUNTA($B$4:$B2050))</f>
        <v/>
      </c>
      <c r="B2050" s="40" t="n"/>
      <c r="C2050" s="41" t="n"/>
      <c r="D2050" s="41" t="n"/>
      <c r="E2050" s="41" t="n"/>
      <c r="F2050" s="41" t="n"/>
      <c r="G2050" s="41" t="n"/>
      <c r="H2050" s="41" t="n"/>
      <c r="I2050" s="41" t="n"/>
      <c r="J2050" s="41" t="n"/>
      <c r="K2050" s="41" t="n"/>
      <c r="L2050" s="42" t="n"/>
      <c r="M2050" s="42" t="n"/>
      <c r="N2050" s="42" t="n"/>
      <c r="O2050" s="42" t="n"/>
      <c r="P2050" s="42" t="n"/>
      <c r="Q2050" s="42" t="n"/>
      <c r="R2050" s="43">
        <f>IF($B2050="","",N($S2050)-N($Q2050))</f>
        <v/>
      </c>
      <c r="S2050" s="43">
        <f>IF($B2050="","",N($L2050)+N($N2050)+N($P2050))</f>
        <v/>
      </c>
      <c r="T2050" s="42" t="n"/>
      <c r="U2050" s="42" t="n"/>
      <c r="V2050" s="42" t="n"/>
      <c r="W2050" s="42" t="n"/>
      <c r="X2050" s="42" t="n"/>
      <c r="Y2050" s="42" t="n"/>
      <c r="Z2050" s="42" t="n"/>
      <c r="AA2050" s="42" t="n"/>
      <c r="AB2050" s="42" t="n"/>
      <c r="AC2050" s="42" t="n"/>
      <c r="AD2050" s="42" t="n"/>
      <c r="AE2050" s="42" t="n"/>
      <c r="AF2050" s="43">
        <f>IF($B2050="","",SUM($T2050:$AE2050))</f>
        <v/>
      </c>
      <c r="AG2050" s="43">
        <f>IF($B2050="","",N($M2050)-N($AF2050))</f>
        <v/>
      </c>
      <c r="AH2050" s="43">
        <f>IF($B2050="","",N($L2050)-N($AF2050))</f>
        <v/>
      </c>
      <c r="AI2050" s="149">
        <f>IF($B2050="","",IF(N($L2050)=0,"",(N($L2050)-N($AF2050))/N($L2050)))</f>
        <v/>
      </c>
    </row>
    <row r="2051">
      <c r="A2051" s="39">
        <f>IF($B2051="","",COUNTA($B$4:$B2051))</f>
        <v/>
      </c>
      <c r="B2051" s="45" t="n"/>
      <c r="C2051" s="46" t="n"/>
      <c r="D2051" s="46" t="n"/>
      <c r="E2051" s="46" t="n"/>
      <c r="F2051" s="46" t="n"/>
      <c r="G2051" s="46" t="n"/>
      <c r="H2051" s="46" t="n"/>
      <c r="I2051" s="46" t="n"/>
      <c r="J2051" s="46" t="n"/>
      <c r="K2051" s="46" t="n"/>
      <c r="L2051" s="47" t="n"/>
      <c r="M2051" s="47" t="n"/>
      <c r="N2051" s="47" t="n"/>
      <c r="O2051" s="47" t="n"/>
      <c r="P2051" s="47" t="n"/>
      <c r="Q2051" s="47" t="n"/>
      <c r="R2051" s="43">
        <f>IF($B2051="","",N($S2051)-N($Q2051))</f>
        <v/>
      </c>
      <c r="S2051" s="43">
        <f>IF($B2051="","",N($L2051)+N($N2051)+N($P2051))</f>
        <v/>
      </c>
      <c r="T2051" s="47" t="n"/>
      <c r="U2051" s="47" t="n"/>
      <c r="V2051" s="47" t="n"/>
      <c r="W2051" s="47" t="n"/>
      <c r="X2051" s="47" t="n"/>
      <c r="Y2051" s="47" t="n"/>
      <c r="Z2051" s="47" t="n"/>
      <c r="AA2051" s="47" t="n"/>
      <c r="AB2051" s="47" t="n"/>
      <c r="AC2051" s="47" t="n"/>
      <c r="AD2051" s="47" t="n"/>
      <c r="AE2051" s="47" t="n"/>
      <c r="AF2051" s="43">
        <f>IF($B2051="","",SUM($T2051:$AE2051))</f>
        <v/>
      </c>
      <c r="AG2051" s="43">
        <f>IF($B2051="","",N($M2051)-N($AF2051))</f>
        <v/>
      </c>
      <c r="AH2051" s="43">
        <f>IF($B2051="","",N($L2051)-N($AF2051))</f>
        <v/>
      </c>
      <c r="AI2051" s="149">
        <f>IF($B2051="","",IF(N($L2051)=0,"",(N($L2051)-N($AF2051))/N($L2051)))</f>
        <v/>
      </c>
    </row>
    <row r="2052">
      <c r="A2052" s="39">
        <f>IF($B2052="","",COUNTA($B$4:$B2052))</f>
        <v/>
      </c>
      <c r="B2052" s="40" t="n"/>
      <c r="C2052" s="41" t="n"/>
      <c r="D2052" s="41" t="n"/>
      <c r="E2052" s="41" t="n"/>
      <c r="F2052" s="41" t="n"/>
      <c r="G2052" s="41" t="n"/>
      <c r="H2052" s="41" t="n"/>
      <c r="I2052" s="41" t="n"/>
      <c r="J2052" s="41" t="n"/>
      <c r="K2052" s="41" t="n"/>
      <c r="L2052" s="42" t="n"/>
      <c r="M2052" s="42" t="n"/>
      <c r="N2052" s="42" t="n"/>
      <c r="O2052" s="42" t="n"/>
      <c r="P2052" s="42" t="n"/>
      <c r="Q2052" s="42" t="n"/>
      <c r="R2052" s="43">
        <f>IF($B2052="","",N($S2052)-N($Q2052))</f>
        <v/>
      </c>
      <c r="S2052" s="43">
        <f>IF($B2052="","",N($L2052)+N($N2052)+N($P2052))</f>
        <v/>
      </c>
      <c r="T2052" s="42" t="n"/>
      <c r="U2052" s="42" t="n"/>
      <c r="V2052" s="42" t="n"/>
      <c r="W2052" s="42" t="n"/>
      <c r="X2052" s="42" t="n"/>
      <c r="Y2052" s="42" t="n"/>
      <c r="Z2052" s="42" t="n"/>
      <c r="AA2052" s="42" t="n"/>
      <c r="AB2052" s="42" t="n"/>
      <c r="AC2052" s="42" t="n"/>
      <c r="AD2052" s="42" t="n"/>
      <c r="AE2052" s="42" t="n"/>
      <c r="AF2052" s="43">
        <f>IF($B2052="","",SUM($T2052:$AE2052))</f>
        <v/>
      </c>
      <c r="AG2052" s="43">
        <f>IF($B2052="","",N($M2052)-N($AF2052))</f>
        <v/>
      </c>
      <c r="AH2052" s="43">
        <f>IF($B2052="","",N($L2052)-N($AF2052))</f>
        <v/>
      </c>
      <c r="AI2052" s="149">
        <f>IF($B2052="","",IF(N($L2052)=0,"",(N($L2052)-N($AF2052))/N($L2052)))</f>
        <v/>
      </c>
    </row>
    <row r="2053">
      <c r="A2053" s="39">
        <f>IF($B2053="","",COUNTA($B$4:$B2053))</f>
        <v/>
      </c>
      <c r="B2053" s="45" t="n"/>
      <c r="C2053" s="46" t="n"/>
      <c r="D2053" s="46" t="n"/>
      <c r="E2053" s="46" t="n"/>
      <c r="F2053" s="46" t="n"/>
      <c r="G2053" s="46" t="n"/>
      <c r="H2053" s="46" t="n"/>
      <c r="I2053" s="46" t="n"/>
      <c r="J2053" s="46" t="n"/>
      <c r="K2053" s="46" t="n"/>
      <c r="L2053" s="47" t="n"/>
      <c r="M2053" s="47" t="n"/>
      <c r="N2053" s="47" t="n"/>
      <c r="O2053" s="47" t="n"/>
      <c r="P2053" s="47" t="n"/>
      <c r="Q2053" s="47" t="n"/>
      <c r="R2053" s="43">
        <f>IF($B2053="","",N($S2053)-N($Q2053))</f>
        <v/>
      </c>
      <c r="S2053" s="43">
        <f>IF($B2053="","",N($L2053)+N($N2053)+N($P2053))</f>
        <v/>
      </c>
      <c r="T2053" s="47" t="n"/>
      <c r="U2053" s="47" t="n"/>
      <c r="V2053" s="47" t="n"/>
      <c r="W2053" s="47" t="n"/>
      <c r="X2053" s="47" t="n"/>
      <c r="Y2053" s="47" t="n"/>
      <c r="Z2053" s="47" t="n"/>
      <c r="AA2053" s="47" t="n"/>
      <c r="AB2053" s="47" t="n"/>
      <c r="AC2053" s="47" t="n"/>
      <c r="AD2053" s="47" t="n"/>
      <c r="AE2053" s="47" t="n"/>
      <c r="AF2053" s="43">
        <f>IF($B2053="","",SUM($T2053:$AE2053))</f>
        <v/>
      </c>
      <c r="AG2053" s="43">
        <f>IF($B2053="","",N($M2053)-N($AF2053))</f>
        <v/>
      </c>
      <c r="AH2053" s="43">
        <f>IF($B2053="","",N($L2053)-N($AF2053))</f>
        <v/>
      </c>
      <c r="AI2053" s="149">
        <f>IF($B2053="","",IF(N($L2053)=0,"",(N($L2053)-N($AF2053))/N($L2053)))</f>
        <v/>
      </c>
    </row>
    <row r="2054">
      <c r="A2054" s="39">
        <f>IF($B2054="","",COUNTA($B$4:$B2054))</f>
        <v/>
      </c>
      <c r="B2054" s="40" t="n"/>
      <c r="C2054" s="41" t="n"/>
      <c r="D2054" s="41" t="n"/>
      <c r="E2054" s="41" t="n"/>
      <c r="F2054" s="41" t="n"/>
      <c r="G2054" s="41" t="n"/>
      <c r="H2054" s="41" t="n"/>
      <c r="I2054" s="41" t="n"/>
      <c r="J2054" s="41" t="n"/>
      <c r="K2054" s="41" t="n"/>
      <c r="L2054" s="42" t="n"/>
      <c r="M2054" s="42" t="n"/>
      <c r="N2054" s="42" t="n"/>
      <c r="O2054" s="42" t="n"/>
      <c r="P2054" s="42" t="n"/>
      <c r="Q2054" s="42" t="n"/>
      <c r="R2054" s="43">
        <f>IF($B2054="","",N($S2054)-N($Q2054))</f>
        <v/>
      </c>
      <c r="S2054" s="43">
        <f>IF($B2054="","",N($L2054)+N($N2054)+N($P2054))</f>
        <v/>
      </c>
      <c r="T2054" s="42" t="n"/>
      <c r="U2054" s="42" t="n"/>
      <c r="V2054" s="42" t="n"/>
      <c r="W2054" s="42" t="n"/>
      <c r="X2054" s="42" t="n"/>
      <c r="Y2054" s="42" t="n"/>
      <c r="Z2054" s="42" t="n"/>
      <c r="AA2054" s="42" t="n"/>
      <c r="AB2054" s="42" t="n"/>
      <c r="AC2054" s="42" t="n"/>
      <c r="AD2054" s="42" t="n"/>
      <c r="AE2054" s="42" t="n"/>
      <c r="AF2054" s="43">
        <f>IF($B2054="","",SUM($T2054:$AE2054))</f>
        <v/>
      </c>
      <c r="AG2054" s="43">
        <f>IF($B2054="","",N($M2054)-N($AF2054))</f>
        <v/>
      </c>
      <c r="AH2054" s="43">
        <f>IF($B2054="","",N($L2054)-N($AF2054))</f>
        <v/>
      </c>
      <c r="AI2054" s="149">
        <f>IF($B2054="","",IF(N($L2054)=0,"",(N($L2054)-N($AF2054))/N($L2054)))</f>
        <v/>
      </c>
    </row>
    <row r="2055">
      <c r="A2055" s="39">
        <f>IF($B2055="","",COUNTA($B$4:$B2055))</f>
        <v/>
      </c>
      <c r="B2055" s="45" t="n"/>
      <c r="C2055" s="46" t="n"/>
      <c r="D2055" s="46" t="n"/>
      <c r="E2055" s="46" t="n"/>
      <c r="F2055" s="46" t="n"/>
      <c r="G2055" s="46" t="n"/>
      <c r="H2055" s="46" t="n"/>
      <c r="I2055" s="46" t="n"/>
      <c r="J2055" s="46" t="n"/>
      <c r="K2055" s="46" t="n"/>
      <c r="L2055" s="47" t="n"/>
      <c r="M2055" s="47" t="n"/>
      <c r="N2055" s="47" t="n"/>
      <c r="O2055" s="47" t="n"/>
      <c r="P2055" s="47" t="n"/>
      <c r="Q2055" s="47" t="n"/>
      <c r="R2055" s="43">
        <f>IF($B2055="","",N($S2055)-N($Q2055))</f>
        <v/>
      </c>
      <c r="S2055" s="43">
        <f>IF($B2055="","",N($L2055)+N($N2055)+N($P2055))</f>
        <v/>
      </c>
      <c r="T2055" s="47" t="n"/>
      <c r="U2055" s="47" t="n"/>
      <c r="V2055" s="47" t="n"/>
      <c r="W2055" s="47" t="n"/>
      <c r="X2055" s="47" t="n"/>
      <c r="Y2055" s="47" t="n"/>
      <c r="Z2055" s="47" t="n"/>
      <c r="AA2055" s="47" t="n"/>
      <c r="AB2055" s="47" t="n"/>
      <c r="AC2055" s="47" t="n"/>
      <c r="AD2055" s="47" t="n"/>
      <c r="AE2055" s="47" t="n"/>
      <c r="AF2055" s="43">
        <f>IF($B2055="","",SUM($T2055:$AE2055))</f>
        <v/>
      </c>
      <c r="AG2055" s="43">
        <f>IF($B2055="","",N($M2055)-N($AF2055))</f>
        <v/>
      </c>
      <c r="AH2055" s="43">
        <f>IF($B2055="","",N($L2055)-N($AF2055))</f>
        <v/>
      </c>
      <c r="AI2055" s="149">
        <f>IF($B2055="","",IF(N($L2055)=0,"",(N($L2055)-N($AF2055))/N($L2055)))</f>
        <v/>
      </c>
    </row>
    <row r="2056">
      <c r="A2056" s="39">
        <f>IF($B2056="","",COUNTA($B$4:$B2056))</f>
        <v/>
      </c>
      <c r="B2056" s="40" t="n"/>
      <c r="C2056" s="41" t="n"/>
      <c r="D2056" s="41" t="n"/>
      <c r="E2056" s="41" t="n"/>
      <c r="F2056" s="41" t="n"/>
      <c r="G2056" s="41" t="n"/>
      <c r="H2056" s="41" t="n"/>
      <c r="I2056" s="41" t="n"/>
      <c r="J2056" s="41" t="n"/>
      <c r="K2056" s="41" t="n"/>
      <c r="L2056" s="42" t="n"/>
      <c r="M2056" s="42" t="n"/>
      <c r="N2056" s="42" t="n"/>
      <c r="O2056" s="42" t="n"/>
      <c r="P2056" s="42" t="n"/>
      <c r="Q2056" s="42" t="n"/>
      <c r="R2056" s="43">
        <f>IF($B2056="","",N($S2056)-N($Q2056))</f>
        <v/>
      </c>
      <c r="S2056" s="43">
        <f>IF($B2056="","",N($L2056)+N($N2056)+N($P2056))</f>
        <v/>
      </c>
      <c r="T2056" s="42" t="n"/>
      <c r="U2056" s="42" t="n"/>
      <c r="V2056" s="42" t="n"/>
      <c r="W2056" s="42" t="n"/>
      <c r="X2056" s="42" t="n"/>
      <c r="Y2056" s="42" t="n"/>
      <c r="Z2056" s="42" t="n"/>
      <c r="AA2056" s="42" t="n"/>
      <c r="AB2056" s="42" t="n"/>
      <c r="AC2056" s="42" t="n"/>
      <c r="AD2056" s="42" t="n"/>
      <c r="AE2056" s="42" t="n"/>
      <c r="AF2056" s="43">
        <f>IF($B2056="","",SUM($T2056:$AE2056))</f>
        <v/>
      </c>
      <c r="AG2056" s="43">
        <f>IF($B2056="","",N($M2056)-N($AF2056))</f>
        <v/>
      </c>
      <c r="AH2056" s="43">
        <f>IF($B2056="","",N($L2056)-N($AF2056))</f>
        <v/>
      </c>
      <c r="AI2056" s="149">
        <f>IF($B2056="","",IF(N($L2056)=0,"",(N($L2056)-N($AF2056))/N($L2056)))</f>
        <v/>
      </c>
    </row>
    <row r="2057">
      <c r="A2057" s="39">
        <f>IF($B2057="","",COUNTA($B$4:$B2057))</f>
        <v/>
      </c>
      <c r="B2057" s="45" t="n"/>
      <c r="C2057" s="46" t="n"/>
      <c r="D2057" s="46" t="n"/>
      <c r="E2057" s="46" t="n"/>
      <c r="F2057" s="46" t="n"/>
      <c r="G2057" s="46" t="n"/>
      <c r="H2057" s="46" t="n"/>
      <c r="I2057" s="46" t="n"/>
      <c r="J2057" s="46" t="n"/>
      <c r="K2057" s="46" t="n"/>
      <c r="L2057" s="47" t="n"/>
      <c r="M2057" s="47" t="n"/>
      <c r="N2057" s="47" t="n"/>
      <c r="O2057" s="47" t="n"/>
      <c r="P2057" s="47" t="n"/>
      <c r="Q2057" s="47" t="n"/>
      <c r="R2057" s="43">
        <f>IF($B2057="","",N($S2057)-N($Q2057))</f>
        <v/>
      </c>
      <c r="S2057" s="43">
        <f>IF($B2057="","",N($L2057)+N($N2057)+N($P2057))</f>
        <v/>
      </c>
      <c r="T2057" s="47" t="n"/>
      <c r="U2057" s="47" t="n"/>
      <c r="V2057" s="47" t="n"/>
      <c r="W2057" s="47" t="n"/>
      <c r="X2057" s="47" t="n"/>
      <c r="Y2057" s="47" t="n"/>
      <c r="Z2057" s="47" t="n"/>
      <c r="AA2057" s="47" t="n"/>
      <c r="AB2057" s="47" t="n"/>
      <c r="AC2057" s="47" t="n"/>
      <c r="AD2057" s="47" t="n"/>
      <c r="AE2057" s="47" t="n"/>
      <c r="AF2057" s="43">
        <f>IF($B2057="","",SUM($T2057:$AE2057))</f>
        <v/>
      </c>
      <c r="AG2057" s="43">
        <f>IF($B2057="","",N($M2057)-N($AF2057))</f>
        <v/>
      </c>
      <c r="AH2057" s="43">
        <f>IF($B2057="","",N($L2057)-N($AF2057))</f>
        <v/>
      </c>
      <c r="AI2057" s="149">
        <f>IF($B2057="","",IF(N($L2057)=0,"",(N($L2057)-N($AF2057))/N($L2057)))</f>
        <v/>
      </c>
    </row>
    <row r="2058">
      <c r="A2058" s="39">
        <f>IF($B2058="","",COUNTA($B$4:$B2058))</f>
        <v/>
      </c>
      <c r="B2058" s="40" t="n"/>
      <c r="C2058" s="41" t="n"/>
      <c r="D2058" s="41" t="n"/>
      <c r="E2058" s="41" t="n"/>
      <c r="F2058" s="41" t="n"/>
      <c r="G2058" s="41" t="n"/>
      <c r="H2058" s="41" t="n"/>
      <c r="I2058" s="41" t="n"/>
      <c r="J2058" s="41" t="n"/>
      <c r="K2058" s="41" t="n"/>
      <c r="L2058" s="42" t="n"/>
      <c r="M2058" s="42" t="n"/>
      <c r="N2058" s="42" t="n"/>
      <c r="O2058" s="42" t="n"/>
      <c r="P2058" s="42" t="n"/>
      <c r="Q2058" s="42" t="n"/>
      <c r="R2058" s="43">
        <f>IF($B2058="","",N($S2058)-N($Q2058))</f>
        <v/>
      </c>
      <c r="S2058" s="43">
        <f>IF($B2058="","",N($L2058)+N($N2058)+N($P2058))</f>
        <v/>
      </c>
      <c r="T2058" s="42" t="n"/>
      <c r="U2058" s="42" t="n"/>
      <c r="V2058" s="42" t="n"/>
      <c r="W2058" s="42" t="n"/>
      <c r="X2058" s="42" t="n"/>
      <c r="Y2058" s="42" t="n"/>
      <c r="Z2058" s="42" t="n"/>
      <c r="AA2058" s="42" t="n"/>
      <c r="AB2058" s="42" t="n"/>
      <c r="AC2058" s="42" t="n"/>
      <c r="AD2058" s="42" t="n"/>
      <c r="AE2058" s="42" t="n"/>
      <c r="AF2058" s="43">
        <f>IF($B2058="","",SUM($T2058:$AE2058))</f>
        <v/>
      </c>
      <c r="AG2058" s="43">
        <f>IF($B2058="","",N($M2058)-N($AF2058))</f>
        <v/>
      </c>
      <c r="AH2058" s="43">
        <f>IF($B2058="","",N($L2058)-N($AF2058))</f>
        <v/>
      </c>
      <c r="AI2058" s="149">
        <f>IF($B2058="","",IF(N($L2058)=0,"",(N($L2058)-N($AF2058))/N($L2058)))</f>
        <v/>
      </c>
    </row>
    <row r="2059">
      <c r="A2059" s="39">
        <f>IF($B2059="","",COUNTA($B$4:$B2059))</f>
        <v/>
      </c>
      <c r="B2059" s="45" t="n"/>
      <c r="C2059" s="46" t="n"/>
      <c r="D2059" s="46" t="n"/>
      <c r="E2059" s="46" t="n"/>
      <c r="F2059" s="46" t="n"/>
      <c r="G2059" s="46" t="n"/>
      <c r="H2059" s="46" t="n"/>
      <c r="I2059" s="46" t="n"/>
      <c r="J2059" s="46" t="n"/>
      <c r="K2059" s="46" t="n"/>
      <c r="L2059" s="47" t="n"/>
      <c r="M2059" s="47" t="n"/>
      <c r="N2059" s="47" t="n"/>
      <c r="O2059" s="47" t="n"/>
      <c r="P2059" s="47" t="n"/>
      <c r="Q2059" s="47" t="n"/>
      <c r="R2059" s="43">
        <f>IF($B2059="","",N($S2059)-N($Q2059))</f>
        <v/>
      </c>
      <c r="S2059" s="43">
        <f>IF($B2059="","",N($L2059)+N($N2059)+N($P2059))</f>
        <v/>
      </c>
      <c r="T2059" s="47" t="n"/>
      <c r="U2059" s="47" t="n"/>
      <c r="V2059" s="47" t="n"/>
      <c r="W2059" s="47" t="n"/>
      <c r="X2059" s="47" t="n"/>
      <c r="Y2059" s="47" t="n"/>
      <c r="Z2059" s="47" t="n"/>
      <c r="AA2059" s="47" t="n"/>
      <c r="AB2059" s="47" t="n"/>
      <c r="AC2059" s="47" t="n"/>
      <c r="AD2059" s="47" t="n"/>
      <c r="AE2059" s="47" t="n"/>
      <c r="AF2059" s="43">
        <f>IF($B2059="","",SUM($T2059:$AE2059))</f>
        <v/>
      </c>
      <c r="AG2059" s="43">
        <f>IF($B2059="","",N($M2059)-N($AF2059))</f>
        <v/>
      </c>
      <c r="AH2059" s="43">
        <f>IF($B2059="","",N($L2059)-N($AF2059))</f>
        <v/>
      </c>
      <c r="AI2059" s="149">
        <f>IF($B2059="","",IF(N($L2059)=0,"",(N($L2059)-N($AF2059))/N($L2059)))</f>
        <v/>
      </c>
    </row>
    <row r="2060">
      <c r="A2060" s="39">
        <f>IF($B2060="","",COUNTA($B$4:$B2060))</f>
        <v/>
      </c>
      <c r="B2060" s="40" t="n"/>
      <c r="C2060" s="41" t="n"/>
      <c r="D2060" s="41" t="n"/>
      <c r="E2060" s="41" t="n"/>
      <c r="F2060" s="41" t="n"/>
      <c r="G2060" s="41" t="n"/>
      <c r="H2060" s="41" t="n"/>
      <c r="I2060" s="41" t="n"/>
      <c r="J2060" s="41" t="n"/>
      <c r="K2060" s="41" t="n"/>
      <c r="L2060" s="42" t="n"/>
      <c r="M2060" s="42" t="n"/>
      <c r="N2060" s="42" t="n"/>
      <c r="O2060" s="42" t="n"/>
      <c r="P2060" s="42" t="n"/>
      <c r="Q2060" s="42" t="n"/>
      <c r="R2060" s="43">
        <f>IF($B2060="","",N($S2060)-N($Q2060))</f>
        <v/>
      </c>
      <c r="S2060" s="43">
        <f>IF($B2060="","",N($L2060)+N($N2060)+N($P2060))</f>
        <v/>
      </c>
      <c r="T2060" s="42" t="n"/>
      <c r="U2060" s="42" t="n"/>
      <c r="V2060" s="42" t="n"/>
      <c r="W2060" s="42" t="n"/>
      <c r="X2060" s="42" t="n"/>
      <c r="Y2060" s="42" t="n"/>
      <c r="Z2060" s="42" t="n"/>
      <c r="AA2060" s="42" t="n"/>
      <c r="AB2060" s="42" t="n"/>
      <c r="AC2060" s="42" t="n"/>
      <c r="AD2060" s="42" t="n"/>
      <c r="AE2060" s="42" t="n"/>
      <c r="AF2060" s="43">
        <f>IF($B2060="","",SUM($T2060:$AE2060))</f>
        <v/>
      </c>
      <c r="AG2060" s="43">
        <f>IF($B2060="","",N($M2060)-N($AF2060))</f>
        <v/>
      </c>
      <c r="AH2060" s="43">
        <f>IF($B2060="","",N($L2060)-N($AF2060))</f>
        <v/>
      </c>
      <c r="AI2060" s="149">
        <f>IF($B2060="","",IF(N($L2060)=0,"",(N($L2060)-N($AF2060))/N($L2060)))</f>
        <v/>
      </c>
    </row>
    <row r="2061">
      <c r="A2061" s="39">
        <f>IF($B2061="","",COUNTA($B$4:$B2061))</f>
        <v/>
      </c>
      <c r="B2061" s="45" t="n"/>
      <c r="C2061" s="46" t="n"/>
      <c r="D2061" s="46" t="n"/>
      <c r="E2061" s="46" t="n"/>
      <c r="F2061" s="46" t="n"/>
      <c r="G2061" s="46" t="n"/>
      <c r="H2061" s="46" t="n"/>
      <c r="I2061" s="46" t="n"/>
      <c r="J2061" s="46" t="n"/>
      <c r="K2061" s="46" t="n"/>
      <c r="L2061" s="47" t="n"/>
      <c r="M2061" s="47" t="n"/>
      <c r="N2061" s="47" t="n"/>
      <c r="O2061" s="47" t="n"/>
      <c r="P2061" s="47" t="n"/>
      <c r="Q2061" s="47" t="n"/>
      <c r="R2061" s="43">
        <f>IF($B2061="","",N($S2061)-N($Q2061))</f>
        <v/>
      </c>
      <c r="S2061" s="43">
        <f>IF($B2061="","",N($L2061)+N($N2061)+N($P2061))</f>
        <v/>
      </c>
      <c r="T2061" s="47" t="n"/>
      <c r="U2061" s="47" t="n"/>
      <c r="V2061" s="47" t="n"/>
      <c r="W2061" s="47" t="n"/>
      <c r="X2061" s="47" t="n"/>
      <c r="Y2061" s="47" t="n"/>
      <c r="Z2061" s="47" t="n"/>
      <c r="AA2061" s="47" t="n"/>
      <c r="AB2061" s="47" t="n"/>
      <c r="AC2061" s="47" t="n"/>
      <c r="AD2061" s="47" t="n"/>
      <c r="AE2061" s="47" t="n"/>
      <c r="AF2061" s="43">
        <f>IF($B2061="","",SUM($T2061:$AE2061))</f>
        <v/>
      </c>
      <c r="AG2061" s="43">
        <f>IF($B2061="","",N($M2061)-N($AF2061))</f>
        <v/>
      </c>
      <c r="AH2061" s="43">
        <f>IF($B2061="","",N($L2061)-N($AF2061))</f>
        <v/>
      </c>
      <c r="AI2061" s="149">
        <f>IF($B2061="","",IF(N($L2061)=0,"",(N($L2061)-N($AF2061))/N($L2061)))</f>
        <v/>
      </c>
    </row>
    <row r="2062">
      <c r="A2062" s="39">
        <f>IF($B2062="","",COUNTA($B$4:$B2062))</f>
        <v/>
      </c>
      <c r="B2062" s="40" t="n"/>
      <c r="C2062" s="41" t="n"/>
      <c r="D2062" s="41" t="n"/>
      <c r="E2062" s="41" t="n"/>
      <c r="F2062" s="41" t="n"/>
      <c r="G2062" s="41" t="n"/>
      <c r="H2062" s="41" t="n"/>
      <c r="I2062" s="41" t="n"/>
      <c r="J2062" s="41" t="n"/>
      <c r="K2062" s="41" t="n"/>
      <c r="L2062" s="42" t="n"/>
      <c r="M2062" s="42" t="n"/>
      <c r="N2062" s="42" t="n"/>
      <c r="O2062" s="42" t="n"/>
      <c r="P2062" s="42" t="n"/>
      <c r="Q2062" s="42" t="n"/>
      <c r="R2062" s="43">
        <f>IF($B2062="","",N($S2062)-N($Q2062))</f>
        <v/>
      </c>
      <c r="S2062" s="43">
        <f>IF($B2062="","",N($L2062)+N($N2062)+N($P2062))</f>
        <v/>
      </c>
      <c r="T2062" s="42" t="n"/>
      <c r="U2062" s="42" t="n"/>
      <c r="V2062" s="42" t="n"/>
      <c r="W2062" s="42" t="n"/>
      <c r="X2062" s="42" t="n"/>
      <c r="Y2062" s="42" t="n"/>
      <c r="Z2062" s="42" t="n"/>
      <c r="AA2062" s="42" t="n"/>
      <c r="AB2062" s="42" t="n"/>
      <c r="AC2062" s="42" t="n"/>
      <c r="AD2062" s="42" t="n"/>
      <c r="AE2062" s="42" t="n"/>
      <c r="AF2062" s="43">
        <f>IF($B2062="","",SUM($T2062:$AE2062))</f>
        <v/>
      </c>
      <c r="AG2062" s="43">
        <f>IF($B2062="","",N($M2062)-N($AF2062))</f>
        <v/>
      </c>
      <c r="AH2062" s="43">
        <f>IF($B2062="","",N($L2062)-N($AF2062))</f>
        <v/>
      </c>
      <c r="AI2062" s="149">
        <f>IF($B2062="","",IF(N($L2062)=0,"",(N($L2062)-N($AF2062))/N($L2062)))</f>
        <v/>
      </c>
    </row>
    <row r="2063">
      <c r="A2063" s="39">
        <f>IF($B2063="","",COUNTA($B$4:$B2063))</f>
        <v/>
      </c>
      <c r="B2063" s="45" t="n"/>
      <c r="C2063" s="46" t="n"/>
      <c r="D2063" s="46" t="n"/>
      <c r="E2063" s="46" t="n"/>
      <c r="F2063" s="46" t="n"/>
      <c r="G2063" s="46" t="n"/>
      <c r="H2063" s="46" t="n"/>
      <c r="I2063" s="46" t="n"/>
      <c r="J2063" s="46" t="n"/>
      <c r="K2063" s="46" t="n"/>
      <c r="L2063" s="47" t="n"/>
      <c r="M2063" s="47" t="n"/>
      <c r="N2063" s="47" t="n"/>
      <c r="O2063" s="47" t="n"/>
      <c r="P2063" s="47" t="n"/>
      <c r="Q2063" s="47" t="n"/>
      <c r="R2063" s="43">
        <f>IF($B2063="","",N($S2063)-N($Q2063))</f>
        <v/>
      </c>
      <c r="S2063" s="43">
        <f>IF($B2063="","",N($L2063)+N($N2063)+N($P2063))</f>
        <v/>
      </c>
      <c r="T2063" s="47" t="n"/>
      <c r="U2063" s="47" t="n"/>
      <c r="V2063" s="47" t="n"/>
      <c r="W2063" s="47" t="n"/>
      <c r="X2063" s="47" t="n"/>
      <c r="Y2063" s="47" t="n"/>
      <c r="Z2063" s="47" t="n"/>
      <c r="AA2063" s="47" t="n"/>
      <c r="AB2063" s="47" t="n"/>
      <c r="AC2063" s="47" t="n"/>
      <c r="AD2063" s="47" t="n"/>
      <c r="AE2063" s="47" t="n"/>
      <c r="AF2063" s="43">
        <f>IF($B2063="","",SUM($T2063:$AE2063))</f>
        <v/>
      </c>
      <c r="AG2063" s="43">
        <f>IF($B2063="","",N($M2063)-N($AF2063))</f>
        <v/>
      </c>
      <c r="AH2063" s="43">
        <f>IF($B2063="","",N($L2063)-N($AF2063))</f>
        <v/>
      </c>
      <c r="AI2063" s="149">
        <f>IF($B2063="","",IF(N($L2063)=0,"",(N($L2063)-N($AF2063))/N($L2063)))</f>
        <v/>
      </c>
    </row>
    <row r="2064">
      <c r="A2064" s="39">
        <f>IF($B2064="","",COUNTA($B$4:$B2064))</f>
        <v/>
      </c>
      <c r="B2064" s="40" t="n"/>
      <c r="C2064" s="41" t="n"/>
      <c r="D2064" s="41" t="n"/>
      <c r="E2064" s="41" t="n"/>
      <c r="F2064" s="41" t="n"/>
      <c r="G2064" s="41" t="n"/>
      <c r="H2064" s="41" t="n"/>
      <c r="I2064" s="41" t="n"/>
      <c r="J2064" s="41" t="n"/>
      <c r="K2064" s="41" t="n"/>
      <c r="L2064" s="42" t="n"/>
      <c r="M2064" s="42" t="n"/>
      <c r="N2064" s="42" t="n"/>
      <c r="O2064" s="42" t="n"/>
      <c r="P2064" s="42" t="n"/>
      <c r="Q2064" s="42" t="n"/>
      <c r="R2064" s="43">
        <f>IF($B2064="","",N($S2064)-N($Q2064))</f>
        <v/>
      </c>
      <c r="S2064" s="43">
        <f>IF($B2064="","",N($L2064)+N($N2064)+N($P2064))</f>
        <v/>
      </c>
      <c r="T2064" s="42" t="n"/>
      <c r="U2064" s="42" t="n"/>
      <c r="V2064" s="42" t="n"/>
      <c r="W2064" s="42" t="n"/>
      <c r="X2064" s="42" t="n"/>
      <c r="Y2064" s="42" t="n"/>
      <c r="Z2064" s="42" t="n"/>
      <c r="AA2064" s="42" t="n"/>
      <c r="AB2064" s="42" t="n"/>
      <c r="AC2064" s="42" t="n"/>
      <c r="AD2064" s="42" t="n"/>
      <c r="AE2064" s="42" t="n"/>
      <c r="AF2064" s="43">
        <f>IF($B2064="","",SUM($T2064:$AE2064))</f>
        <v/>
      </c>
      <c r="AG2064" s="43">
        <f>IF($B2064="","",N($M2064)-N($AF2064))</f>
        <v/>
      </c>
      <c r="AH2064" s="43">
        <f>IF($B2064="","",N($L2064)-N($AF2064))</f>
        <v/>
      </c>
      <c r="AI2064" s="149">
        <f>IF($B2064="","",IF(N($L2064)=0,"",(N($L2064)-N($AF2064))/N($L2064)))</f>
        <v/>
      </c>
    </row>
    <row r="2065">
      <c r="A2065" s="39">
        <f>IF($B2065="","",COUNTA($B$4:$B2065))</f>
        <v/>
      </c>
      <c r="B2065" s="45" t="n"/>
      <c r="C2065" s="46" t="n"/>
      <c r="D2065" s="46" t="n"/>
      <c r="E2065" s="46" t="n"/>
      <c r="F2065" s="46" t="n"/>
      <c r="G2065" s="46" t="n"/>
      <c r="H2065" s="46" t="n"/>
      <c r="I2065" s="46" t="n"/>
      <c r="J2065" s="46" t="n"/>
      <c r="K2065" s="46" t="n"/>
      <c r="L2065" s="47" t="n"/>
      <c r="M2065" s="47" t="n"/>
      <c r="N2065" s="47" t="n"/>
      <c r="O2065" s="47" t="n"/>
      <c r="P2065" s="47" t="n"/>
      <c r="Q2065" s="47" t="n"/>
      <c r="R2065" s="43">
        <f>IF($B2065="","",N($S2065)-N($Q2065))</f>
        <v/>
      </c>
      <c r="S2065" s="43">
        <f>IF($B2065="","",N($L2065)+N($N2065)+N($P2065))</f>
        <v/>
      </c>
      <c r="T2065" s="47" t="n"/>
      <c r="U2065" s="47" t="n"/>
      <c r="V2065" s="47" t="n"/>
      <c r="W2065" s="47" t="n"/>
      <c r="X2065" s="47" t="n"/>
      <c r="Y2065" s="47" t="n"/>
      <c r="Z2065" s="47" t="n"/>
      <c r="AA2065" s="47" t="n"/>
      <c r="AB2065" s="47" t="n"/>
      <c r="AC2065" s="47" t="n"/>
      <c r="AD2065" s="47" t="n"/>
      <c r="AE2065" s="47" t="n"/>
      <c r="AF2065" s="43">
        <f>IF($B2065="","",SUM($T2065:$AE2065))</f>
        <v/>
      </c>
      <c r="AG2065" s="43">
        <f>IF($B2065="","",N($M2065)-N($AF2065))</f>
        <v/>
      </c>
      <c r="AH2065" s="43">
        <f>IF($B2065="","",N($L2065)-N($AF2065))</f>
        <v/>
      </c>
      <c r="AI2065" s="149">
        <f>IF($B2065="","",IF(N($L2065)=0,"",(N($L2065)-N($AF2065))/N($L2065)))</f>
        <v/>
      </c>
    </row>
    <row r="2066">
      <c r="A2066" s="39">
        <f>IF($B2066="","",COUNTA($B$4:$B2066))</f>
        <v/>
      </c>
      <c r="B2066" s="40" t="n"/>
      <c r="C2066" s="41" t="n"/>
      <c r="D2066" s="41" t="n"/>
      <c r="E2066" s="41" t="n"/>
      <c r="F2066" s="41" t="n"/>
      <c r="G2066" s="41" t="n"/>
      <c r="H2066" s="41" t="n"/>
      <c r="I2066" s="41" t="n"/>
      <c r="J2066" s="41" t="n"/>
      <c r="K2066" s="41" t="n"/>
      <c r="L2066" s="42" t="n"/>
      <c r="M2066" s="42" t="n"/>
      <c r="N2066" s="42" t="n"/>
      <c r="O2066" s="42" t="n"/>
      <c r="P2066" s="42" t="n"/>
      <c r="Q2066" s="42" t="n"/>
      <c r="R2066" s="43">
        <f>IF($B2066="","",N($S2066)-N($Q2066))</f>
        <v/>
      </c>
      <c r="S2066" s="43">
        <f>IF($B2066="","",N($L2066)+N($N2066)+N($P2066))</f>
        <v/>
      </c>
      <c r="T2066" s="42" t="n"/>
      <c r="U2066" s="42" t="n"/>
      <c r="V2066" s="42" t="n"/>
      <c r="W2066" s="42" t="n"/>
      <c r="X2066" s="42" t="n"/>
      <c r="Y2066" s="42" t="n"/>
      <c r="Z2066" s="42" t="n"/>
      <c r="AA2066" s="42" t="n"/>
      <c r="AB2066" s="42" t="n"/>
      <c r="AC2066" s="42" t="n"/>
      <c r="AD2066" s="42" t="n"/>
      <c r="AE2066" s="42" t="n"/>
      <c r="AF2066" s="43">
        <f>IF($B2066="","",SUM($T2066:$AE2066))</f>
        <v/>
      </c>
      <c r="AG2066" s="43">
        <f>IF($B2066="","",N($M2066)-N($AF2066))</f>
        <v/>
      </c>
      <c r="AH2066" s="43">
        <f>IF($B2066="","",N($L2066)-N($AF2066))</f>
        <v/>
      </c>
      <c r="AI2066" s="149">
        <f>IF($B2066="","",IF(N($L2066)=0,"",(N($L2066)-N($AF2066))/N($L2066)))</f>
        <v/>
      </c>
    </row>
    <row r="2067">
      <c r="A2067" s="39">
        <f>IF($B2067="","",COUNTA($B$4:$B2067))</f>
        <v/>
      </c>
      <c r="B2067" s="45" t="n"/>
      <c r="C2067" s="46" t="n"/>
      <c r="D2067" s="46" t="n"/>
      <c r="E2067" s="46" t="n"/>
      <c r="F2067" s="46" t="n"/>
      <c r="G2067" s="46" t="n"/>
      <c r="H2067" s="46" t="n"/>
      <c r="I2067" s="46" t="n"/>
      <c r="J2067" s="46" t="n"/>
      <c r="K2067" s="46" t="n"/>
      <c r="L2067" s="47" t="n"/>
      <c r="M2067" s="47" t="n"/>
      <c r="N2067" s="47" t="n"/>
      <c r="O2067" s="47" t="n"/>
      <c r="P2067" s="47" t="n"/>
      <c r="Q2067" s="47" t="n"/>
      <c r="R2067" s="43">
        <f>IF($B2067="","",N($S2067)-N($Q2067))</f>
        <v/>
      </c>
      <c r="S2067" s="43">
        <f>IF($B2067="","",N($L2067)+N($N2067)+N($P2067))</f>
        <v/>
      </c>
      <c r="T2067" s="47" t="n"/>
      <c r="U2067" s="47" t="n"/>
      <c r="V2067" s="47" t="n"/>
      <c r="W2067" s="47" t="n"/>
      <c r="X2067" s="47" t="n"/>
      <c r="Y2067" s="47" t="n"/>
      <c r="Z2067" s="47" t="n"/>
      <c r="AA2067" s="47" t="n"/>
      <c r="AB2067" s="47" t="n"/>
      <c r="AC2067" s="47" t="n"/>
      <c r="AD2067" s="47" t="n"/>
      <c r="AE2067" s="47" t="n"/>
      <c r="AF2067" s="43">
        <f>IF($B2067="","",SUM($T2067:$AE2067))</f>
        <v/>
      </c>
      <c r="AG2067" s="43">
        <f>IF($B2067="","",N($M2067)-N($AF2067))</f>
        <v/>
      </c>
      <c r="AH2067" s="43">
        <f>IF($B2067="","",N($L2067)-N($AF2067))</f>
        <v/>
      </c>
      <c r="AI2067" s="149">
        <f>IF($B2067="","",IF(N($L2067)=0,"",(N($L2067)-N($AF2067))/N($L2067)))</f>
        <v/>
      </c>
    </row>
    <row r="2068">
      <c r="A2068" s="39">
        <f>IF($B2068="","",COUNTA($B$4:$B2068))</f>
        <v/>
      </c>
      <c r="B2068" s="40" t="n"/>
      <c r="C2068" s="41" t="n"/>
      <c r="D2068" s="41" t="n"/>
      <c r="E2068" s="41" t="n"/>
      <c r="F2068" s="41" t="n"/>
      <c r="G2068" s="41" t="n"/>
      <c r="H2068" s="41" t="n"/>
      <c r="I2068" s="41" t="n"/>
      <c r="J2068" s="41" t="n"/>
      <c r="K2068" s="41" t="n"/>
      <c r="L2068" s="42" t="n"/>
      <c r="M2068" s="42" t="n"/>
      <c r="N2068" s="42" t="n"/>
      <c r="O2068" s="42" t="n"/>
      <c r="P2068" s="42" t="n"/>
      <c r="Q2068" s="42" t="n"/>
      <c r="R2068" s="43">
        <f>IF($B2068="","",N($S2068)-N($Q2068))</f>
        <v/>
      </c>
      <c r="S2068" s="43">
        <f>IF($B2068="","",N($L2068)+N($N2068)+N($P2068))</f>
        <v/>
      </c>
      <c r="T2068" s="42" t="n"/>
      <c r="U2068" s="42" t="n"/>
      <c r="V2068" s="42" t="n"/>
      <c r="W2068" s="42" t="n"/>
      <c r="X2068" s="42" t="n"/>
      <c r="Y2068" s="42" t="n"/>
      <c r="Z2068" s="42" t="n"/>
      <c r="AA2068" s="42" t="n"/>
      <c r="AB2068" s="42" t="n"/>
      <c r="AC2068" s="42" t="n"/>
      <c r="AD2068" s="42" t="n"/>
      <c r="AE2068" s="42" t="n"/>
      <c r="AF2068" s="43">
        <f>IF($B2068="","",SUM($T2068:$AE2068))</f>
        <v/>
      </c>
      <c r="AG2068" s="43">
        <f>IF($B2068="","",N($M2068)-N($AF2068))</f>
        <v/>
      </c>
      <c r="AH2068" s="43">
        <f>IF($B2068="","",N($L2068)-N($AF2068))</f>
        <v/>
      </c>
      <c r="AI2068" s="149">
        <f>IF($B2068="","",IF(N($L2068)=0,"",(N($L2068)-N($AF2068))/N($L2068)))</f>
        <v/>
      </c>
    </row>
    <row r="2069">
      <c r="A2069" s="39">
        <f>IF($B2069="","",COUNTA($B$4:$B2069))</f>
        <v/>
      </c>
      <c r="B2069" s="45" t="n"/>
      <c r="C2069" s="46" t="n"/>
      <c r="D2069" s="46" t="n"/>
      <c r="E2069" s="46" t="n"/>
      <c r="F2069" s="46" t="n"/>
      <c r="G2069" s="46" t="n"/>
      <c r="H2069" s="46" t="n"/>
      <c r="I2069" s="46" t="n"/>
      <c r="J2069" s="46" t="n"/>
      <c r="K2069" s="46" t="n"/>
      <c r="L2069" s="47" t="n"/>
      <c r="M2069" s="47" t="n"/>
      <c r="N2069" s="47" t="n"/>
      <c r="O2069" s="47" t="n"/>
      <c r="P2069" s="47" t="n"/>
      <c r="Q2069" s="47" t="n"/>
      <c r="R2069" s="43">
        <f>IF($B2069="","",N($S2069)-N($Q2069))</f>
        <v/>
      </c>
      <c r="S2069" s="43">
        <f>IF($B2069="","",N($L2069)+N($N2069)+N($P2069))</f>
        <v/>
      </c>
      <c r="T2069" s="47" t="n"/>
      <c r="U2069" s="47" t="n"/>
      <c r="V2069" s="47" t="n"/>
      <c r="W2069" s="47" t="n"/>
      <c r="X2069" s="47" t="n"/>
      <c r="Y2069" s="47" t="n"/>
      <c r="Z2069" s="47" t="n"/>
      <c r="AA2069" s="47" t="n"/>
      <c r="AB2069" s="47" t="n"/>
      <c r="AC2069" s="47" t="n"/>
      <c r="AD2069" s="47" t="n"/>
      <c r="AE2069" s="47" t="n"/>
      <c r="AF2069" s="43">
        <f>IF($B2069="","",SUM($T2069:$AE2069))</f>
        <v/>
      </c>
      <c r="AG2069" s="43">
        <f>IF($B2069="","",N($M2069)-N($AF2069))</f>
        <v/>
      </c>
      <c r="AH2069" s="43">
        <f>IF($B2069="","",N($L2069)-N($AF2069))</f>
        <v/>
      </c>
      <c r="AI2069" s="149">
        <f>IF($B2069="","",IF(N($L2069)=0,"",(N($L2069)-N($AF2069))/N($L2069)))</f>
        <v/>
      </c>
    </row>
    <row r="2070">
      <c r="A2070" s="39">
        <f>IF($B2070="","",COUNTA($B$4:$B2070))</f>
        <v/>
      </c>
      <c r="B2070" s="40" t="n"/>
      <c r="C2070" s="41" t="n"/>
      <c r="D2070" s="41" t="n"/>
      <c r="E2070" s="41" t="n"/>
      <c r="F2070" s="41" t="n"/>
      <c r="G2070" s="41" t="n"/>
      <c r="H2070" s="41" t="n"/>
      <c r="I2070" s="41" t="n"/>
      <c r="J2070" s="41" t="n"/>
      <c r="K2070" s="41" t="n"/>
      <c r="L2070" s="42" t="n"/>
      <c r="M2070" s="42" t="n"/>
      <c r="N2070" s="42" t="n"/>
      <c r="O2070" s="42" t="n"/>
      <c r="P2070" s="42" t="n"/>
      <c r="Q2070" s="42" t="n"/>
      <c r="R2070" s="43">
        <f>IF($B2070="","",N($S2070)-N($Q2070))</f>
        <v/>
      </c>
      <c r="S2070" s="43">
        <f>IF($B2070="","",N($L2070)+N($N2070)+N($P2070))</f>
        <v/>
      </c>
      <c r="T2070" s="42" t="n"/>
      <c r="U2070" s="42" t="n"/>
      <c r="V2070" s="42" t="n"/>
      <c r="W2070" s="42" t="n"/>
      <c r="X2070" s="42" t="n"/>
      <c r="Y2070" s="42" t="n"/>
      <c r="Z2070" s="42" t="n"/>
      <c r="AA2070" s="42" t="n"/>
      <c r="AB2070" s="42" t="n"/>
      <c r="AC2070" s="42" t="n"/>
      <c r="AD2070" s="42" t="n"/>
      <c r="AE2070" s="42" t="n"/>
      <c r="AF2070" s="43">
        <f>IF($B2070="","",SUM($T2070:$AE2070))</f>
        <v/>
      </c>
      <c r="AG2070" s="43">
        <f>IF($B2070="","",N($M2070)-N($AF2070))</f>
        <v/>
      </c>
      <c r="AH2070" s="43">
        <f>IF($B2070="","",N($L2070)-N($AF2070))</f>
        <v/>
      </c>
      <c r="AI2070" s="149">
        <f>IF($B2070="","",IF(N($L2070)=0,"",(N($L2070)-N($AF2070))/N($L2070)))</f>
        <v/>
      </c>
    </row>
    <row r="2071">
      <c r="A2071" s="39">
        <f>IF($B2071="","",COUNTA($B$4:$B2071))</f>
        <v/>
      </c>
      <c r="B2071" s="45" t="n"/>
      <c r="C2071" s="46" t="n"/>
      <c r="D2071" s="46" t="n"/>
      <c r="E2071" s="46" t="n"/>
      <c r="F2071" s="46" t="n"/>
      <c r="G2071" s="46" t="n"/>
      <c r="H2071" s="46" t="n"/>
      <c r="I2071" s="46" t="n"/>
      <c r="J2071" s="46" t="n"/>
      <c r="K2071" s="46" t="n"/>
      <c r="L2071" s="47" t="n"/>
      <c r="M2071" s="47" t="n"/>
      <c r="N2071" s="47" t="n"/>
      <c r="O2071" s="47" t="n"/>
      <c r="P2071" s="47" t="n"/>
      <c r="Q2071" s="47" t="n"/>
      <c r="R2071" s="43">
        <f>IF($B2071="","",N($S2071)-N($Q2071))</f>
        <v/>
      </c>
      <c r="S2071" s="43">
        <f>IF($B2071="","",N($L2071)+N($N2071)+N($P2071))</f>
        <v/>
      </c>
      <c r="T2071" s="47" t="n"/>
      <c r="U2071" s="47" t="n"/>
      <c r="V2071" s="47" t="n"/>
      <c r="W2071" s="47" t="n"/>
      <c r="X2071" s="47" t="n"/>
      <c r="Y2071" s="47" t="n"/>
      <c r="Z2071" s="47" t="n"/>
      <c r="AA2071" s="47" t="n"/>
      <c r="AB2071" s="47" t="n"/>
      <c r="AC2071" s="47" t="n"/>
      <c r="AD2071" s="47" t="n"/>
      <c r="AE2071" s="47" t="n"/>
      <c r="AF2071" s="43">
        <f>IF($B2071="","",SUM($T2071:$AE2071))</f>
        <v/>
      </c>
      <c r="AG2071" s="43">
        <f>IF($B2071="","",N($M2071)-N($AF2071))</f>
        <v/>
      </c>
      <c r="AH2071" s="43">
        <f>IF($B2071="","",N($L2071)-N($AF2071))</f>
        <v/>
      </c>
      <c r="AI2071" s="149">
        <f>IF($B2071="","",IF(N($L2071)=0,"",(N($L2071)-N($AF2071))/N($L2071)))</f>
        <v/>
      </c>
    </row>
    <row r="2072">
      <c r="A2072" s="39">
        <f>IF($B2072="","",COUNTA($B$4:$B2072))</f>
        <v/>
      </c>
      <c r="B2072" s="40" t="n"/>
      <c r="C2072" s="41" t="n"/>
      <c r="D2072" s="41" t="n"/>
      <c r="E2072" s="41" t="n"/>
      <c r="F2072" s="41" t="n"/>
      <c r="G2072" s="41" t="n"/>
      <c r="H2072" s="41" t="n"/>
      <c r="I2072" s="41" t="n"/>
      <c r="J2072" s="41" t="n"/>
      <c r="K2072" s="41" t="n"/>
      <c r="L2072" s="42" t="n"/>
      <c r="M2072" s="42" t="n"/>
      <c r="N2072" s="42" t="n"/>
      <c r="O2072" s="42" t="n"/>
      <c r="P2072" s="42" t="n"/>
      <c r="Q2072" s="42" t="n"/>
      <c r="R2072" s="43">
        <f>IF($B2072="","",N($S2072)-N($Q2072))</f>
        <v/>
      </c>
      <c r="S2072" s="43">
        <f>IF($B2072="","",N($L2072)+N($N2072)+N($P2072))</f>
        <v/>
      </c>
      <c r="T2072" s="42" t="n"/>
      <c r="U2072" s="42" t="n"/>
      <c r="V2072" s="42" t="n"/>
      <c r="W2072" s="42" t="n"/>
      <c r="X2072" s="42" t="n"/>
      <c r="Y2072" s="42" t="n"/>
      <c r="Z2072" s="42" t="n"/>
      <c r="AA2072" s="42" t="n"/>
      <c r="AB2072" s="42" t="n"/>
      <c r="AC2072" s="42" t="n"/>
      <c r="AD2072" s="42" t="n"/>
      <c r="AE2072" s="42" t="n"/>
      <c r="AF2072" s="43">
        <f>IF($B2072="","",SUM($T2072:$AE2072))</f>
        <v/>
      </c>
      <c r="AG2072" s="43">
        <f>IF($B2072="","",N($M2072)-N($AF2072))</f>
        <v/>
      </c>
      <c r="AH2072" s="43">
        <f>IF($B2072="","",N($L2072)-N($AF2072))</f>
        <v/>
      </c>
      <c r="AI2072" s="149">
        <f>IF($B2072="","",IF(N($L2072)=0,"",(N($L2072)-N($AF2072))/N($L2072)))</f>
        <v/>
      </c>
    </row>
    <row r="2073">
      <c r="A2073" s="39">
        <f>IF($B2073="","",COUNTA($B$4:$B2073))</f>
        <v/>
      </c>
      <c r="B2073" s="45" t="n"/>
      <c r="C2073" s="46" t="n"/>
      <c r="D2073" s="46" t="n"/>
      <c r="E2073" s="46" t="n"/>
      <c r="F2073" s="46" t="n"/>
      <c r="G2073" s="46" t="n"/>
      <c r="H2073" s="46" t="n"/>
      <c r="I2073" s="46" t="n"/>
      <c r="J2073" s="46" t="n"/>
      <c r="K2073" s="46" t="n"/>
      <c r="L2073" s="47" t="n"/>
      <c r="M2073" s="47" t="n"/>
      <c r="N2073" s="47" t="n"/>
      <c r="O2073" s="47" t="n"/>
      <c r="P2073" s="47" t="n"/>
      <c r="Q2073" s="47" t="n"/>
      <c r="R2073" s="43">
        <f>IF($B2073="","",N($S2073)-N($Q2073))</f>
        <v/>
      </c>
      <c r="S2073" s="43">
        <f>IF($B2073="","",N($L2073)+N($N2073)+N($P2073))</f>
        <v/>
      </c>
      <c r="T2073" s="47" t="n"/>
      <c r="U2073" s="47" t="n"/>
      <c r="V2073" s="47" t="n"/>
      <c r="W2073" s="47" t="n"/>
      <c r="X2073" s="47" t="n"/>
      <c r="Y2073" s="47" t="n"/>
      <c r="Z2073" s="47" t="n"/>
      <c r="AA2073" s="47" t="n"/>
      <c r="AB2073" s="47" t="n"/>
      <c r="AC2073" s="47" t="n"/>
      <c r="AD2073" s="47" t="n"/>
      <c r="AE2073" s="47" t="n"/>
      <c r="AF2073" s="43">
        <f>IF($B2073="","",SUM($T2073:$AE2073))</f>
        <v/>
      </c>
      <c r="AG2073" s="43">
        <f>IF($B2073="","",N($M2073)-N($AF2073))</f>
        <v/>
      </c>
      <c r="AH2073" s="43">
        <f>IF($B2073="","",N($L2073)-N($AF2073))</f>
        <v/>
      </c>
      <c r="AI2073" s="149">
        <f>IF($B2073="","",IF(N($L2073)=0,"",(N($L2073)-N($AF2073))/N($L2073)))</f>
        <v/>
      </c>
    </row>
    <row r="2074">
      <c r="A2074" s="39">
        <f>IF($B2074="","",COUNTA($B$4:$B2074))</f>
        <v/>
      </c>
      <c r="B2074" s="40" t="n"/>
      <c r="C2074" s="41" t="n"/>
      <c r="D2074" s="41" t="n"/>
      <c r="E2074" s="41" t="n"/>
      <c r="F2074" s="41" t="n"/>
      <c r="G2074" s="41" t="n"/>
      <c r="H2074" s="41" t="n"/>
      <c r="I2074" s="41" t="n"/>
      <c r="J2074" s="41" t="n"/>
      <c r="K2074" s="41" t="n"/>
      <c r="L2074" s="42" t="n"/>
      <c r="M2074" s="42" t="n"/>
      <c r="N2074" s="42" t="n"/>
      <c r="O2074" s="42" t="n"/>
      <c r="P2074" s="42" t="n"/>
      <c r="Q2074" s="42" t="n"/>
      <c r="R2074" s="43">
        <f>IF($B2074="","",N($S2074)-N($Q2074))</f>
        <v/>
      </c>
      <c r="S2074" s="43">
        <f>IF($B2074="","",N($L2074)+N($N2074)+N($P2074))</f>
        <v/>
      </c>
      <c r="T2074" s="42" t="n"/>
      <c r="U2074" s="42" t="n"/>
      <c r="V2074" s="42" t="n"/>
      <c r="W2074" s="42" t="n"/>
      <c r="X2074" s="42" t="n"/>
      <c r="Y2074" s="42" t="n"/>
      <c r="Z2074" s="42" t="n"/>
      <c r="AA2074" s="42" t="n"/>
      <c r="AB2074" s="42" t="n"/>
      <c r="AC2074" s="42" t="n"/>
      <c r="AD2074" s="42" t="n"/>
      <c r="AE2074" s="42" t="n"/>
      <c r="AF2074" s="43">
        <f>IF($B2074="","",SUM($T2074:$AE2074))</f>
        <v/>
      </c>
      <c r="AG2074" s="43">
        <f>IF($B2074="","",N($M2074)-N($AF2074))</f>
        <v/>
      </c>
      <c r="AH2074" s="43">
        <f>IF($B2074="","",N($L2074)-N($AF2074))</f>
        <v/>
      </c>
      <c r="AI2074" s="149">
        <f>IF($B2074="","",IF(N($L2074)=0,"",(N($L2074)-N($AF2074))/N($L2074)))</f>
        <v/>
      </c>
    </row>
    <row r="2075">
      <c r="A2075" s="39">
        <f>IF($B2075="","",COUNTA($B$4:$B2075))</f>
        <v/>
      </c>
      <c r="B2075" s="45" t="n"/>
      <c r="C2075" s="46" t="n"/>
      <c r="D2075" s="46" t="n"/>
      <c r="E2075" s="46" t="n"/>
      <c r="F2075" s="46" t="n"/>
      <c r="G2075" s="46" t="n"/>
      <c r="H2075" s="46" t="n"/>
      <c r="I2075" s="46" t="n"/>
      <c r="J2075" s="46" t="n"/>
      <c r="K2075" s="46" t="n"/>
      <c r="L2075" s="47" t="n"/>
      <c r="M2075" s="47" t="n"/>
      <c r="N2075" s="47" t="n"/>
      <c r="O2075" s="47" t="n"/>
      <c r="P2075" s="47" t="n"/>
      <c r="Q2075" s="47" t="n"/>
      <c r="R2075" s="43">
        <f>IF($B2075="","",N($S2075)-N($Q2075))</f>
        <v/>
      </c>
      <c r="S2075" s="43">
        <f>IF($B2075="","",N($L2075)+N($N2075)+N($P2075))</f>
        <v/>
      </c>
      <c r="T2075" s="47" t="n"/>
      <c r="U2075" s="47" t="n"/>
      <c r="V2075" s="47" t="n"/>
      <c r="W2075" s="47" t="n"/>
      <c r="X2075" s="47" t="n"/>
      <c r="Y2075" s="47" t="n"/>
      <c r="Z2075" s="47" t="n"/>
      <c r="AA2075" s="47" t="n"/>
      <c r="AB2075" s="47" t="n"/>
      <c r="AC2075" s="47" t="n"/>
      <c r="AD2075" s="47" t="n"/>
      <c r="AE2075" s="47" t="n"/>
      <c r="AF2075" s="43">
        <f>IF($B2075="","",SUM($T2075:$AE2075))</f>
        <v/>
      </c>
      <c r="AG2075" s="43">
        <f>IF($B2075="","",N($M2075)-N($AF2075))</f>
        <v/>
      </c>
      <c r="AH2075" s="43">
        <f>IF($B2075="","",N($L2075)-N($AF2075))</f>
        <v/>
      </c>
      <c r="AI2075" s="149">
        <f>IF($B2075="","",IF(N($L2075)=0,"",(N($L2075)-N($AF2075))/N($L2075)))</f>
        <v/>
      </c>
    </row>
    <row r="2076">
      <c r="A2076" s="39">
        <f>IF($B2076="","",COUNTA($B$4:$B2076))</f>
        <v/>
      </c>
      <c r="B2076" s="40" t="n"/>
      <c r="C2076" s="41" t="n"/>
      <c r="D2076" s="41" t="n"/>
      <c r="E2076" s="41" t="n"/>
      <c r="F2076" s="41" t="n"/>
      <c r="G2076" s="41" t="n"/>
      <c r="H2076" s="41" t="n"/>
      <c r="I2076" s="41" t="n"/>
      <c r="J2076" s="41" t="n"/>
      <c r="K2076" s="41" t="n"/>
      <c r="L2076" s="42" t="n"/>
      <c r="M2076" s="42" t="n"/>
      <c r="N2076" s="42" t="n"/>
      <c r="O2076" s="42" t="n"/>
      <c r="P2076" s="42" t="n"/>
      <c r="Q2076" s="42" t="n"/>
      <c r="R2076" s="43">
        <f>IF($B2076="","",N($S2076)-N($Q2076))</f>
        <v/>
      </c>
      <c r="S2076" s="43">
        <f>IF($B2076="","",N($L2076)+N($N2076)+N($P2076))</f>
        <v/>
      </c>
      <c r="T2076" s="42" t="n"/>
      <c r="U2076" s="42" t="n"/>
      <c r="V2076" s="42" t="n"/>
      <c r="W2076" s="42" t="n"/>
      <c r="X2076" s="42" t="n"/>
      <c r="Y2076" s="42" t="n"/>
      <c r="Z2076" s="42" t="n"/>
      <c r="AA2076" s="42" t="n"/>
      <c r="AB2076" s="42" t="n"/>
      <c r="AC2076" s="42" t="n"/>
      <c r="AD2076" s="42" t="n"/>
      <c r="AE2076" s="42" t="n"/>
      <c r="AF2076" s="43">
        <f>IF($B2076="","",SUM($T2076:$AE2076))</f>
        <v/>
      </c>
      <c r="AG2076" s="43">
        <f>IF($B2076="","",N($M2076)-N($AF2076))</f>
        <v/>
      </c>
      <c r="AH2076" s="43">
        <f>IF($B2076="","",N($L2076)-N($AF2076))</f>
        <v/>
      </c>
      <c r="AI2076" s="149">
        <f>IF($B2076="","",IF(N($L2076)=0,"",(N($L2076)-N($AF2076))/N($L2076)))</f>
        <v/>
      </c>
    </row>
    <row r="2077">
      <c r="A2077" s="39">
        <f>IF($B2077="","",COUNTA($B$4:$B2077))</f>
        <v/>
      </c>
      <c r="B2077" s="45" t="n"/>
      <c r="C2077" s="46" t="n"/>
      <c r="D2077" s="46" t="n"/>
      <c r="E2077" s="46" t="n"/>
      <c r="F2077" s="46" t="n"/>
      <c r="G2077" s="46" t="n"/>
      <c r="H2077" s="46" t="n"/>
      <c r="I2077" s="46" t="n"/>
      <c r="J2077" s="46" t="n"/>
      <c r="K2077" s="46" t="n"/>
      <c r="L2077" s="47" t="n"/>
      <c r="M2077" s="47" t="n"/>
      <c r="N2077" s="47" t="n"/>
      <c r="O2077" s="47" t="n"/>
      <c r="P2077" s="47" t="n"/>
      <c r="Q2077" s="47" t="n"/>
      <c r="R2077" s="43">
        <f>IF($B2077="","",N($S2077)-N($Q2077))</f>
        <v/>
      </c>
      <c r="S2077" s="43">
        <f>IF($B2077="","",N($L2077)+N($N2077)+N($P2077))</f>
        <v/>
      </c>
      <c r="T2077" s="47" t="n"/>
      <c r="U2077" s="47" t="n"/>
      <c r="V2077" s="47" t="n"/>
      <c r="W2077" s="47" t="n"/>
      <c r="X2077" s="47" t="n"/>
      <c r="Y2077" s="47" t="n"/>
      <c r="Z2077" s="47" t="n"/>
      <c r="AA2077" s="47" t="n"/>
      <c r="AB2077" s="47" t="n"/>
      <c r="AC2077" s="47" t="n"/>
      <c r="AD2077" s="47" t="n"/>
      <c r="AE2077" s="47" t="n"/>
      <c r="AF2077" s="43">
        <f>IF($B2077="","",SUM($T2077:$AE2077))</f>
        <v/>
      </c>
      <c r="AG2077" s="43">
        <f>IF($B2077="","",N($M2077)-N($AF2077))</f>
        <v/>
      </c>
      <c r="AH2077" s="43">
        <f>IF($B2077="","",N($L2077)-N($AF2077))</f>
        <v/>
      </c>
      <c r="AI2077" s="149">
        <f>IF($B2077="","",IF(N($L2077)=0,"",(N($L2077)-N($AF2077))/N($L2077)))</f>
        <v/>
      </c>
    </row>
    <row r="2078">
      <c r="A2078" s="39">
        <f>IF($B2078="","",COUNTA($B$4:$B2078))</f>
        <v/>
      </c>
      <c r="B2078" s="40" t="n"/>
      <c r="C2078" s="41" t="n"/>
      <c r="D2078" s="41" t="n"/>
      <c r="E2078" s="41" t="n"/>
      <c r="F2078" s="41" t="n"/>
      <c r="G2078" s="41" t="n"/>
      <c r="H2078" s="41" t="n"/>
      <c r="I2078" s="41" t="n"/>
      <c r="J2078" s="41" t="n"/>
      <c r="K2078" s="41" t="n"/>
      <c r="L2078" s="42" t="n"/>
      <c r="M2078" s="42" t="n"/>
      <c r="N2078" s="42" t="n"/>
      <c r="O2078" s="42" t="n"/>
      <c r="P2078" s="42" t="n"/>
      <c r="Q2078" s="42" t="n"/>
      <c r="R2078" s="43">
        <f>IF($B2078="","",N($S2078)-N($Q2078))</f>
        <v/>
      </c>
      <c r="S2078" s="43">
        <f>IF($B2078="","",N($L2078)+N($N2078)+N($P2078))</f>
        <v/>
      </c>
      <c r="T2078" s="42" t="n"/>
      <c r="U2078" s="42" t="n"/>
      <c r="V2078" s="42" t="n"/>
      <c r="W2078" s="42" t="n"/>
      <c r="X2078" s="42" t="n"/>
      <c r="Y2078" s="42" t="n"/>
      <c r="Z2078" s="42" t="n"/>
      <c r="AA2078" s="42" t="n"/>
      <c r="AB2078" s="42" t="n"/>
      <c r="AC2078" s="42" t="n"/>
      <c r="AD2078" s="42" t="n"/>
      <c r="AE2078" s="42" t="n"/>
      <c r="AF2078" s="43">
        <f>IF($B2078="","",SUM($T2078:$AE2078))</f>
        <v/>
      </c>
      <c r="AG2078" s="43">
        <f>IF($B2078="","",N($M2078)-N($AF2078))</f>
        <v/>
      </c>
      <c r="AH2078" s="43">
        <f>IF($B2078="","",N($L2078)-N($AF2078))</f>
        <v/>
      </c>
      <c r="AI2078" s="149">
        <f>IF($B2078="","",IF(N($L2078)=0,"",(N($L2078)-N($AF2078))/N($L2078)))</f>
        <v/>
      </c>
    </row>
    <row r="2079">
      <c r="A2079" s="39">
        <f>IF($B2079="","",COUNTA($B$4:$B2079))</f>
        <v/>
      </c>
      <c r="B2079" s="45" t="n"/>
      <c r="C2079" s="46" t="n"/>
      <c r="D2079" s="46" t="n"/>
      <c r="E2079" s="46" t="n"/>
      <c r="F2079" s="46" t="n"/>
      <c r="G2079" s="46" t="n"/>
      <c r="H2079" s="46" t="n"/>
      <c r="I2079" s="46" t="n"/>
      <c r="J2079" s="46" t="n"/>
      <c r="K2079" s="46" t="n"/>
      <c r="L2079" s="47" t="n"/>
      <c r="M2079" s="47" t="n"/>
      <c r="N2079" s="47" t="n"/>
      <c r="O2079" s="47" t="n"/>
      <c r="P2079" s="47" t="n"/>
      <c r="Q2079" s="47" t="n"/>
      <c r="R2079" s="43">
        <f>IF($B2079="","",N($S2079)-N($Q2079))</f>
        <v/>
      </c>
      <c r="S2079" s="43">
        <f>IF($B2079="","",N($L2079)+N($N2079)+N($P2079))</f>
        <v/>
      </c>
      <c r="T2079" s="47" t="n"/>
      <c r="U2079" s="47" t="n"/>
      <c r="V2079" s="47" t="n"/>
      <c r="W2079" s="47" t="n"/>
      <c r="X2079" s="47" t="n"/>
      <c r="Y2079" s="47" t="n"/>
      <c r="Z2079" s="47" t="n"/>
      <c r="AA2079" s="47" t="n"/>
      <c r="AB2079" s="47" t="n"/>
      <c r="AC2079" s="47" t="n"/>
      <c r="AD2079" s="47" t="n"/>
      <c r="AE2079" s="47" t="n"/>
      <c r="AF2079" s="43">
        <f>IF($B2079="","",SUM($T2079:$AE2079))</f>
        <v/>
      </c>
      <c r="AG2079" s="43">
        <f>IF($B2079="","",N($M2079)-N($AF2079))</f>
        <v/>
      </c>
      <c r="AH2079" s="43">
        <f>IF($B2079="","",N($L2079)-N($AF2079))</f>
        <v/>
      </c>
      <c r="AI2079" s="149">
        <f>IF($B2079="","",IF(N($L2079)=0,"",(N($L2079)-N($AF2079))/N($L2079)))</f>
        <v/>
      </c>
    </row>
    <row r="2080">
      <c r="A2080" s="39">
        <f>IF($B2080="","",COUNTA($B$4:$B2080))</f>
        <v/>
      </c>
      <c r="B2080" s="40" t="n"/>
      <c r="C2080" s="41" t="n"/>
      <c r="D2080" s="41" t="n"/>
      <c r="E2080" s="41" t="n"/>
      <c r="F2080" s="41" t="n"/>
      <c r="G2080" s="41" t="n"/>
      <c r="H2080" s="41" t="n"/>
      <c r="I2080" s="41" t="n"/>
      <c r="J2080" s="41" t="n"/>
      <c r="K2080" s="41" t="n"/>
      <c r="L2080" s="42" t="n"/>
      <c r="M2080" s="42" t="n"/>
      <c r="N2080" s="42" t="n"/>
      <c r="O2080" s="42" t="n"/>
      <c r="P2080" s="42" t="n"/>
      <c r="Q2080" s="42" t="n"/>
      <c r="R2080" s="43">
        <f>IF($B2080="","",N($S2080)-N($Q2080))</f>
        <v/>
      </c>
      <c r="S2080" s="43">
        <f>IF($B2080="","",N($L2080)+N($N2080)+N($P2080))</f>
        <v/>
      </c>
      <c r="T2080" s="42" t="n"/>
      <c r="U2080" s="42" t="n"/>
      <c r="V2080" s="42" t="n"/>
      <c r="W2080" s="42" t="n"/>
      <c r="X2080" s="42" t="n"/>
      <c r="Y2080" s="42" t="n"/>
      <c r="Z2080" s="42" t="n"/>
      <c r="AA2080" s="42" t="n"/>
      <c r="AB2080" s="42" t="n"/>
      <c r="AC2080" s="42" t="n"/>
      <c r="AD2080" s="42" t="n"/>
      <c r="AE2080" s="42" t="n"/>
      <c r="AF2080" s="43">
        <f>IF($B2080="","",SUM($T2080:$AE2080))</f>
        <v/>
      </c>
      <c r="AG2080" s="43">
        <f>IF($B2080="","",N($M2080)-N($AF2080))</f>
        <v/>
      </c>
      <c r="AH2080" s="43">
        <f>IF($B2080="","",N($L2080)-N($AF2080))</f>
        <v/>
      </c>
      <c r="AI2080" s="149">
        <f>IF($B2080="","",IF(N($L2080)=0,"",(N($L2080)-N($AF2080))/N($L2080)))</f>
        <v/>
      </c>
    </row>
    <row r="2081">
      <c r="A2081" s="39">
        <f>IF($B2081="","",COUNTA($B$4:$B2081))</f>
        <v/>
      </c>
      <c r="B2081" s="45" t="n"/>
      <c r="C2081" s="46" t="n"/>
      <c r="D2081" s="46" t="n"/>
      <c r="E2081" s="46" t="n"/>
      <c r="F2081" s="46" t="n"/>
      <c r="G2081" s="46" t="n"/>
      <c r="H2081" s="46" t="n"/>
      <c r="I2081" s="46" t="n"/>
      <c r="J2081" s="46" t="n"/>
      <c r="K2081" s="46" t="n"/>
      <c r="L2081" s="47" t="n"/>
      <c r="M2081" s="47" t="n"/>
      <c r="N2081" s="47" t="n"/>
      <c r="O2081" s="47" t="n"/>
      <c r="P2081" s="47" t="n"/>
      <c r="Q2081" s="47" t="n"/>
      <c r="R2081" s="43">
        <f>IF($B2081="","",N($S2081)-N($Q2081))</f>
        <v/>
      </c>
      <c r="S2081" s="43">
        <f>IF($B2081="","",N($L2081)+N($N2081)+N($P2081))</f>
        <v/>
      </c>
      <c r="T2081" s="47" t="n"/>
      <c r="U2081" s="47" t="n"/>
      <c r="V2081" s="47" t="n"/>
      <c r="W2081" s="47" t="n"/>
      <c r="X2081" s="47" t="n"/>
      <c r="Y2081" s="47" t="n"/>
      <c r="Z2081" s="47" t="n"/>
      <c r="AA2081" s="47" t="n"/>
      <c r="AB2081" s="47" t="n"/>
      <c r="AC2081" s="47" t="n"/>
      <c r="AD2081" s="47" t="n"/>
      <c r="AE2081" s="47" t="n"/>
      <c r="AF2081" s="43">
        <f>IF($B2081="","",SUM($T2081:$AE2081))</f>
        <v/>
      </c>
      <c r="AG2081" s="43">
        <f>IF($B2081="","",N($M2081)-N($AF2081))</f>
        <v/>
      </c>
      <c r="AH2081" s="43">
        <f>IF($B2081="","",N($L2081)-N($AF2081))</f>
        <v/>
      </c>
      <c r="AI2081" s="149">
        <f>IF($B2081="","",IF(N($L2081)=0,"",(N($L2081)-N($AF2081))/N($L2081)))</f>
        <v/>
      </c>
    </row>
    <row r="2082">
      <c r="A2082" s="39">
        <f>IF($B2082="","",COUNTA($B$4:$B2082))</f>
        <v/>
      </c>
      <c r="B2082" s="40" t="n"/>
      <c r="C2082" s="41" t="n"/>
      <c r="D2082" s="41" t="n"/>
      <c r="E2082" s="41" t="n"/>
      <c r="F2082" s="41" t="n"/>
      <c r="G2082" s="41" t="n"/>
      <c r="H2082" s="41" t="n"/>
      <c r="I2082" s="41" t="n"/>
      <c r="J2082" s="41" t="n"/>
      <c r="K2082" s="41" t="n"/>
      <c r="L2082" s="42" t="n"/>
      <c r="M2082" s="42" t="n"/>
      <c r="N2082" s="42" t="n"/>
      <c r="O2082" s="42" t="n"/>
      <c r="P2082" s="42" t="n"/>
      <c r="Q2082" s="42" t="n"/>
      <c r="R2082" s="43">
        <f>IF($B2082="","",N($S2082)-N($Q2082))</f>
        <v/>
      </c>
      <c r="S2082" s="43">
        <f>IF($B2082="","",N($L2082)+N($N2082)+N($P2082))</f>
        <v/>
      </c>
      <c r="T2082" s="42" t="n"/>
      <c r="U2082" s="42" t="n"/>
      <c r="V2082" s="42" t="n"/>
      <c r="W2082" s="42" t="n"/>
      <c r="X2082" s="42" t="n"/>
      <c r="Y2082" s="42" t="n"/>
      <c r="Z2082" s="42" t="n"/>
      <c r="AA2082" s="42" t="n"/>
      <c r="AB2082" s="42" t="n"/>
      <c r="AC2082" s="42" t="n"/>
      <c r="AD2082" s="42" t="n"/>
      <c r="AE2082" s="42" t="n"/>
      <c r="AF2082" s="43">
        <f>IF($B2082="","",SUM($T2082:$AE2082))</f>
        <v/>
      </c>
      <c r="AG2082" s="43">
        <f>IF($B2082="","",N($M2082)-N($AF2082))</f>
        <v/>
      </c>
      <c r="AH2082" s="43">
        <f>IF($B2082="","",N($L2082)-N($AF2082))</f>
        <v/>
      </c>
      <c r="AI2082" s="149">
        <f>IF($B2082="","",IF(N($L2082)=0,"",(N($L2082)-N($AF2082))/N($L2082)))</f>
        <v/>
      </c>
    </row>
    <row r="2083">
      <c r="A2083" s="39">
        <f>IF($B2083="","",COUNTA($B$4:$B2083))</f>
        <v/>
      </c>
      <c r="B2083" s="45" t="n"/>
      <c r="C2083" s="46" t="n"/>
      <c r="D2083" s="46" t="n"/>
      <c r="E2083" s="46" t="n"/>
      <c r="F2083" s="46" t="n"/>
      <c r="G2083" s="46" t="n"/>
      <c r="H2083" s="46" t="n"/>
      <c r="I2083" s="46" t="n"/>
      <c r="J2083" s="46" t="n"/>
      <c r="K2083" s="46" t="n"/>
      <c r="L2083" s="47" t="n"/>
      <c r="M2083" s="47" t="n"/>
      <c r="N2083" s="47" t="n"/>
      <c r="O2083" s="47" t="n"/>
      <c r="P2083" s="47" t="n"/>
      <c r="Q2083" s="47" t="n"/>
      <c r="R2083" s="43">
        <f>IF($B2083="","",N($S2083)-N($Q2083))</f>
        <v/>
      </c>
      <c r="S2083" s="43">
        <f>IF($B2083="","",N($L2083)+N($N2083)+N($P2083))</f>
        <v/>
      </c>
      <c r="T2083" s="47" t="n"/>
      <c r="U2083" s="47" t="n"/>
      <c r="V2083" s="47" t="n"/>
      <c r="W2083" s="47" t="n"/>
      <c r="X2083" s="47" t="n"/>
      <c r="Y2083" s="47" t="n"/>
      <c r="Z2083" s="47" t="n"/>
      <c r="AA2083" s="47" t="n"/>
      <c r="AB2083" s="47" t="n"/>
      <c r="AC2083" s="47" t="n"/>
      <c r="AD2083" s="47" t="n"/>
      <c r="AE2083" s="47" t="n"/>
      <c r="AF2083" s="43">
        <f>IF($B2083="","",SUM($T2083:$AE2083))</f>
        <v/>
      </c>
      <c r="AG2083" s="43">
        <f>IF($B2083="","",N($M2083)-N($AF2083))</f>
        <v/>
      </c>
      <c r="AH2083" s="43">
        <f>IF($B2083="","",N($L2083)-N($AF2083))</f>
        <v/>
      </c>
      <c r="AI2083" s="149">
        <f>IF($B2083="","",IF(N($L2083)=0,"",(N($L2083)-N($AF2083))/N($L2083)))</f>
        <v/>
      </c>
    </row>
    <row r="2084">
      <c r="A2084" s="39">
        <f>IF($B2084="","",COUNTA($B$4:$B2084))</f>
        <v/>
      </c>
      <c r="B2084" s="40" t="n"/>
      <c r="C2084" s="41" t="n"/>
      <c r="D2084" s="41" t="n"/>
      <c r="E2084" s="41" t="n"/>
      <c r="F2084" s="41" t="n"/>
      <c r="G2084" s="41" t="n"/>
      <c r="H2084" s="41" t="n"/>
      <c r="I2084" s="41" t="n"/>
      <c r="J2084" s="41" t="n"/>
      <c r="K2084" s="41" t="n"/>
      <c r="L2084" s="42" t="n"/>
      <c r="M2084" s="42" t="n"/>
      <c r="N2084" s="42" t="n"/>
      <c r="O2084" s="42" t="n"/>
      <c r="P2084" s="42" t="n"/>
      <c r="Q2084" s="42" t="n"/>
      <c r="R2084" s="43">
        <f>IF($B2084="","",N($S2084)-N($Q2084))</f>
        <v/>
      </c>
      <c r="S2084" s="43">
        <f>IF($B2084="","",N($L2084)+N($N2084)+N($P2084))</f>
        <v/>
      </c>
      <c r="T2084" s="42" t="n"/>
      <c r="U2084" s="42" t="n"/>
      <c r="V2084" s="42" t="n"/>
      <c r="W2084" s="42" t="n"/>
      <c r="X2084" s="42" t="n"/>
      <c r="Y2084" s="42" t="n"/>
      <c r="Z2084" s="42" t="n"/>
      <c r="AA2084" s="42" t="n"/>
      <c r="AB2084" s="42" t="n"/>
      <c r="AC2084" s="42" t="n"/>
      <c r="AD2084" s="42" t="n"/>
      <c r="AE2084" s="42" t="n"/>
      <c r="AF2084" s="43">
        <f>IF($B2084="","",SUM($T2084:$AE2084))</f>
        <v/>
      </c>
      <c r="AG2084" s="43">
        <f>IF($B2084="","",N($M2084)-N($AF2084))</f>
        <v/>
      </c>
      <c r="AH2084" s="43">
        <f>IF($B2084="","",N($L2084)-N($AF2084))</f>
        <v/>
      </c>
      <c r="AI2084" s="149">
        <f>IF($B2084="","",IF(N($L2084)=0,"",(N($L2084)-N($AF2084))/N($L2084)))</f>
        <v/>
      </c>
    </row>
    <row r="2085">
      <c r="A2085" s="39">
        <f>IF($B2085="","",COUNTA($B$4:$B2085))</f>
        <v/>
      </c>
      <c r="B2085" s="45" t="n"/>
      <c r="C2085" s="46" t="n"/>
      <c r="D2085" s="46" t="n"/>
      <c r="E2085" s="46" t="n"/>
      <c r="F2085" s="46" t="n"/>
      <c r="G2085" s="46" t="n"/>
      <c r="H2085" s="46" t="n"/>
      <c r="I2085" s="46" t="n"/>
      <c r="J2085" s="46" t="n"/>
      <c r="K2085" s="46" t="n"/>
      <c r="L2085" s="47" t="n"/>
      <c r="M2085" s="47" t="n"/>
      <c r="N2085" s="47" t="n"/>
      <c r="O2085" s="47" t="n"/>
      <c r="P2085" s="47" t="n"/>
      <c r="Q2085" s="47" t="n"/>
      <c r="R2085" s="43">
        <f>IF($B2085="","",N($S2085)-N($Q2085))</f>
        <v/>
      </c>
      <c r="S2085" s="43">
        <f>IF($B2085="","",N($L2085)+N($N2085)+N($P2085))</f>
        <v/>
      </c>
      <c r="T2085" s="47" t="n"/>
      <c r="U2085" s="47" t="n"/>
      <c r="V2085" s="47" t="n"/>
      <c r="W2085" s="47" t="n"/>
      <c r="X2085" s="47" t="n"/>
      <c r="Y2085" s="47" t="n"/>
      <c r="Z2085" s="47" t="n"/>
      <c r="AA2085" s="47" t="n"/>
      <c r="AB2085" s="47" t="n"/>
      <c r="AC2085" s="47" t="n"/>
      <c r="AD2085" s="47" t="n"/>
      <c r="AE2085" s="47" t="n"/>
      <c r="AF2085" s="43">
        <f>IF($B2085="","",SUM($T2085:$AE2085))</f>
        <v/>
      </c>
      <c r="AG2085" s="43">
        <f>IF($B2085="","",N($M2085)-N($AF2085))</f>
        <v/>
      </c>
      <c r="AH2085" s="43">
        <f>IF($B2085="","",N($L2085)-N($AF2085))</f>
        <v/>
      </c>
      <c r="AI2085" s="149">
        <f>IF($B2085="","",IF(N($L2085)=0,"",(N($L2085)-N($AF2085))/N($L2085)))</f>
        <v/>
      </c>
    </row>
    <row r="2086">
      <c r="A2086" s="39">
        <f>IF($B2086="","",COUNTA($B$4:$B2086))</f>
        <v/>
      </c>
      <c r="B2086" s="40" t="n"/>
      <c r="C2086" s="41" t="n"/>
      <c r="D2086" s="41" t="n"/>
      <c r="E2086" s="41" t="n"/>
      <c r="F2086" s="41" t="n"/>
      <c r="G2086" s="41" t="n"/>
      <c r="H2086" s="41" t="n"/>
      <c r="I2086" s="41" t="n"/>
      <c r="J2086" s="41" t="n"/>
      <c r="K2086" s="41" t="n"/>
      <c r="L2086" s="42" t="n"/>
      <c r="M2086" s="42" t="n"/>
      <c r="N2086" s="42" t="n"/>
      <c r="O2086" s="42" t="n"/>
      <c r="P2086" s="42" t="n"/>
      <c r="Q2086" s="42" t="n"/>
      <c r="R2086" s="43">
        <f>IF($B2086="","",N($S2086)-N($Q2086))</f>
        <v/>
      </c>
      <c r="S2086" s="43">
        <f>IF($B2086="","",N($L2086)+N($N2086)+N($P2086))</f>
        <v/>
      </c>
      <c r="T2086" s="42" t="n"/>
      <c r="U2086" s="42" t="n"/>
      <c r="V2086" s="42" t="n"/>
      <c r="W2086" s="42" t="n"/>
      <c r="X2086" s="42" t="n"/>
      <c r="Y2086" s="42" t="n"/>
      <c r="Z2086" s="42" t="n"/>
      <c r="AA2086" s="42" t="n"/>
      <c r="AB2086" s="42" t="n"/>
      <c r="AC2086" s="42" t="n"/>
      <c r="AD2086" s="42" t="n"/>
      <c r="AE2086" s="42" t="n"/>
      <c r="AF2086" s="43">
        <f>IF($B2086="","",SUM($T2086:$AE2086))</f>
        <v/>
      </c>
      <c r="AG2086" s="43">
        <f>IF($B2086="","",N($M2086)-N($AF2086))</f>
        <v/>
      </c>
      <c r="AH2086" s="43">
        <f>IF($B2086="","",N($L2086)-N($AF2086))</f>
        <v/>
      </c>
      <c r="AI2086" s="149">
        <f>IF($B2086="","",IF(N($L2086)=0,"",(N($L2086)-N($AF2086))/N($L2086)))</f>
        <v/>
      </c>
    </row>
    <row r="2087">
      <c r="A2087" s="39">
        <f>IF($B2087="","",COUNTA($B$4:$B2087))</f>
        <v/>
      </c>
      <c r="B2087" s="45" t="n"/>
      <c r="C2087" s="46" t="n"/>
      <c r="D2087" s="46" t="n"/>
      <c r="E2087" s="46" t="n"/>
      <c r="F2087" s="46" t="n"/>
      <c r="G2087" s="46" t="n"/>
      <c r="H2087" s="46" t="n"/>
      <c r="I2087" s="46" t="n"/>
      <c r="J2087" s="46" t="n"/>
      <c r="K2087" s="46" t="n"/>
      <c r="L2087" s="47" t="n"/>
      <c r="M2087" s="47" t="n"/>
      <c r="N2087" s="47" t="n"/>
      <c r="O2087" s="47" t="n"/>
      <c r="P2087" s="47" t="n"/>
      <c r="Q2087" s="47" t="n"/>
      <c r="R2087" s="43">
        <f>IF($B2087="","",N($S2087)-N($Q2087))</f>
        <v/>
      </c>
      <c r="S2087" s="43">
        <f>IF($B2087="","",N($L2087)+N($N2087)+N($P2087))</f>
        <v/>
      </c>
      <c r="T2087" s="47" t="n"/>
      <c r="U2087" s="47" t="n"/>
      <c r="V2087" s="47" t="n"/>
      <c r="W2087" s="47" t="n"/>
      <c r="X2087" s="47" t="n"/>
      <c r="Y2087" s="47" t="n"/>
      <c r="Z2087" s="47" t="n"/>
      <c r="AA2087" s="47" t="n"/>
      <c r="AB2087" s="47" t="n"/>
      <c r="AC2087" s="47" t="n"/>
      <c r="AD2087" s="47" t="n"/>
      <c r="AE2087" s="47" t="n"/>
      <c r="AF2087" s="43">
        <f>IF($B2087="","",SUM($T2087:$AE2087))</f>
        <v/>
      </c>
      <c r="AG2087" s="43">
        <f>IF($B2087="","",N($M2087)-N($AF2087))</f>
        <v/>
      </c>
      <c r="AH2087" s="43">
        <f>IF($B2087="","",N($L2087)-N($AF2087))</f>
        <v/>
      </c>
      <c r="AI2087" s="149">
        <f>IF($B2087="","",IF(N($L2087)=0,"",(N($L2087)-N($AF2087))/N($L2087)))</f>
        <v/>
      </c>
    </row>
    <row r="2088">
      <c r="A2088" s="39">
        <f>IF($B2088="","",COUNTA($B$4:$B2088))</f>
        <v/>
      </c>
      <c r="B2088" s="40" t="n"/>
      <c r="C2088" s="41" t="n"/>
      <c r="D2088" s="41" t="n"/>
      <c r="E2088" s="41" t="n"/>
      <c r="F2088" s="41" t="n"/>
      <c r="G2088" s="41" t="n"/>
      <c r="H2088" s="41" t="n"/>
      <c r="I2088" s="41" t="n"/>
      <c r="J2088" s="41" t="n"/>
      <c r="K2088" s="41" t="n"/>
      <c r="L2088" s="42" t="n"/>
      <c r="M2088" s="42" t="n"/>
      <c r="N2088" s="42" t="n"/>
      <c r="O2088" s="42" t="n"/>
      <c r="P2088" s="42" t="n"/>
      <c r="Q2088" s="42" t="n"/>
      <c r="R2088" s="43">
        <f>IF($B2088="","",N($S2088)-N($Q2088))</f>
        <v/>
      </c>
      <c r="S2088" s="43">
        <f>IF($B2088="","",N($L2088)+N($N2088)+N($P2088))</f>
        <v/>
      </c>
      <c r="T2088" s="42" t="n"/>
      <c r="U2088" s="42" t="n"/>
      <c r="V2088" s="42" t="n"/>
      <c r="W2088" s="42" t="n"/>
      <c r="X2088" s="42" t="n"/>
      <c r="Y2088" s="42" t="n"/>
      <c r="Z2088" s="42" t="n"/>
      <c r="AA2088" s="42" t="n"/>
      <c r="AB2088" s="42" t="n"/>
      <c r="AC2088" s="42" t="n"/>
      <c r="AD2088" s="42" t="n"/>
      <c r="AE2088" s="42" t="n"/>
      <c r="AF2088" s="43">
        <f>IF($B2088="","",SUM($T2088:$AE2088))</f>
        <v/>
      </c>
      <c r="AG2088" s="43">
        <f>IF($B2088="","",N($M2088)-N($AF2088))</f>
        <v/>
      </c>
      <c r="AH2088" s="43">
        <f>IF($B2088="","",N($L2088)-N($AF2088))</f>
        <v/>
      </c>
      <c r="AI2088" s="149">
        <f>IF($B2088="","",IF(N($L2088)=0,"",(N($L2088)-N($AF2088))/N($L2088)))</f>
        <v/>
      </c>
    </row>
    <row r="2089">
      <c r="A2089" s="39">
        <f>IF($B2089="","",COUNTA($B$4:$B2089))</f>
        <v/>
      </c>
      <c r="B2089" s="45" t="n"/>
      <c r="C2089" s="46" t="n"/>
      <c r="D2089" s="46" t="n"/>
      <c r="E2089" s="46" t="n"/>
      <c r="F2089" s="46" t="n"/>
      <c r="G2089" s="46" t="n"/>
      <c r="H2089" s="46" t="n"/>
      <c r="I2089" s="46" t="n"/>
      <c r="J2089" s="46" t="n"/>
      <c r="K2089" s="46" t="n"/>
      <c r="L2089" s="47" t="n"/>
      <c r="M2089" s="47" t="n"/>
      <c r="N2089" s="47" t="n"/>
      <c r="O2089" s="47" t="n"/>
      <c r="P2089" s="47" t="n"/>
      <c r="Q2089" s="47" t="n"/>
      <c r="R2089" s="43">
        <f>IF($B2089="","",N($S2089)-N($Q2089))</f>
        <v/>
      </c>
      <c r="S2089" s="43">
        <f>IF($B2089="","",N($L2089)+N($N2089)+N($P2089))</f>
        <v/>
      </c>
      <c r="T2089" s="47" t="n"/>
      <c r="U2089" s="47" t="n"/>
      <c r="V2089" s="47" t="n"/>
      <c r="W2089" s="47" t="n"/>
      <c r="X2089" s="47" t="n"/>
      <c r="Y2089" s="47" t="n"/>
      <c r="Z2089" s="47" t="n"/>
      <c r="AA2089" s="47" t="n"/>
      <c r="AB2089" s="47" t="n"/>
      <c r="AC2089" s="47" t="n"/>
      <c r="AD2089" s="47" t="n"/>
      <c r="AE2089" s="47" t="n"/>
      <c r="AF2089" s="43">
        <f>IF($B2089="","",SUM($T2089:$AE2089))</f>
        <v/>
      </c>
      <c r="AG2089" s="43">
        <f>IF($B2089="","",N($M2089)-N($AF2089))</f>
        <v/>
      </c>
      <c r="AH2089" s="43">
        <f>IF($B2089="","",N($L2089)-N($AF2089))</f>
        <v/>
      </c>
      <c r="AI2089" s="149">
        <f>IF($B2089="","",IF(N($L2089)=0,"",(N($L2089)-N($AF2089))/N($L2089)))</f>
        <v/>
      </c>
    </row>
    <row r="2090">
      <c r="A2090" s="39">
        <f>IF($B2090="","",COUNTA($B$4:$B2090))</f>
        <v/>
      </c>
      <c r="B2090" s="40" t="n"/>
      <c r="C2090" s="41" t="n"/>
      <c r="D2090" s="41" t="n"/>
      <c r="E2090" s="41" t="n"/>
      <c r="F2090" s="41" t="n"/>
      <c r="G2090" s="41" t="n"/>
      <c r="H2090" s="41" t="n"/>
      <c r="I2090" s="41" t="n"/>
      <c r="J2090" s="41" t="n"/>
      <c r="K2090" s="41" t="n"/>
      <c r="L2090" s="42" t="n"/>
      <c r="M2090" s="42" t="n"/>
      <c r="N2090" s="42" t="n"/>
      <c r="O2090" s="42" t="n"/>
      <c r="P2090" s="42" t="n"/>
      <c r="Q2090" s="42" t="n"/>
      <c r="R2090" s="43">
        <f>IF($B2090="","",N($S2090)-N($Q2090))</f>
        <v/>
      </c>
      <c r="S2090" s="43">
        <f>IF($B2090="","",N($L2090)+N($N2090)+N($P2090))</f>
        <v/>
      </c>
      <c r="T2090" s="42" t="n"/>
      <c r="U2090" s="42" t="n"/>
      <c r="V2090" s="42" t="n"/>
      <c r="W2090" s="42" t="n"/>
      <c r="X2090" s="42" t="n"/>
      <c r="Y2090" s="42" t="n"/>
      <c r="Z2090" s="42" t="n"/>
      <c r="AA2090" s="42" t="n"/>
      <c r="AB2090" s="42" t="n"/>
      <c r="AC2090" s="42" t="n"/>
      <c r="AD2090" s="42" t="n"/>
      <c r="AE2090" s="42" t="n"/>
      <c r="AF2090" s="43">
        <f>IF($B2090="","",SUM($T2090:$AE2090))</f>
        <v/>
      </c>
      <c r="AG2090" s="43">
        <f>IF($B2090="","",N($M2090)-N($AF2090))</f>
        <v/>
      </c>
      <c r="AH2090" s="43">
        <f>IF($B2090="","",N($L2090)-N($AF2090))</f>
        <v/>
      </c>
      <c r="AI2090" s="149">
        <f>IF($B2090="","",IF(N($L2090)=0,"",(N($L2090)-N($AF2090))/N($L2090)))</f>
        <v/>
      </c>
    </row>
    <row r="2091">
      <c r="A2091" s="39">
        <f>IF($B2091="","",COUNTA($B$4:$B2091))</f>
        <v/>
      </c>
      <c r="B2091" s="45" t="n"/>
      <c r="C2091" s="46" t="n"/>
      <c r="D2091" s="46" t="n"/>
      <c r="E2091" s="46" t="n"/>
      <c r="F2091" s="46" t="n"/>
      <c r="G2091" s="46" t="n"/>
      <c r="H2091" s="46" t="n"/>
      <c r="I2091" s="46" t="n"/>
      <c r="J2091" s="46" t="n"/>
      <c r="K2091" s="46" t="n"/>
      <c r="L2091" s="47" t="n"/>
      <c r="M2091" s="47" t="n"/>
      <c r="N2091" s="47" t="n"/>
      <c r="O2091" s="47" t="n"/>
      <c r="P2091" s="47" t="n"/>
      <c r="Q2091" s="47" t="n"/>
      <c r="R2091" s="43">
        <f>IF($B2091="","",N($S2091)-N($Q2091))</f>
        <v/>
      </c>
      <c r="S2091" s="43">
        <f>IF($B2091="","",N($L2091)+N($N2091)+N($P2091))</f>
        <v/>
      </c>
      <c r="T2091" s="47" t="n"/>
      <c r="U2091" s="47" t="n"/>
      <c r="V2091" s="47" t="n"/>
      <c r="W2091" s="47" t="n"/>
      <c r="X2091" s="47" t="n"/>
      <c r="Y2091" s="47" t="n"/>
      <c r="Z2091" s="47" t="n"/>
      <c r="AA2091" s="47" t="n"/>
      <c r="AB2091" s="47" t="n"/>
      <c r="AC2091" s="47" t="n"/>
      <c r="AD2091" s="47" t="n"/>
      <c r="AE2091" s="47" t="n"/>
      <c r="AF2091" s="43">
        <f>IF($B2091="","",SUM($T2091:$AE2091))</f>
        <v/>
      </c>
      <c r="AG2091" s="43">
        <f>IF($B2091="","",N($M2091)-N($AF2091))</f>
        <v/>
      </c>
      <c r="AH2091" s="43">
        <f>IF($B2091="","",N($L2091)-N($AF2091))</f>
        <v/>
      </c>
      <c r="AI2091" s="149">
        <f>IF($B2091="","",IF(N($L2091)=0,"",(N($L2091)-N($AF2091))/N($L2091)))</f>
        <v/>
      </c>
    </row>
    <row r="2092">
      <c r="A2092" s="39">
        <f>IF($B2092="","",COUNTA($B$4:$B2092))</f>
        <v/>
      </c>
      <c r="B2092" s="40" t="n"/>
      <c r="C2092" s="41" t="n"/>
      <c r="D2092" s="41" t="n"/>
      <c r="E2092" s="41" t="n"/>
      <c r="F2092" s="41" t="n"/>
      <c r="G2092" s="41" t="n"/>
      <c r="H2092" s="41" t="n"/>
      <c r="I2092" s="41" t="n"/>
      <c r="J2092" s="41" t="n"/>
      <c r="K2092" s="41" t="n"/>
      <c r="L2092" s="42" t="n"/>
      <c r="M2092" s="42" t="n"/>
      <c r="N2092" s="42" t="n"/>
      <c r="O2092" s="42" t="n"/>
      <c r="P2092" s="42" t="n"/>
      <c r="Q2092" s="42" t="n"/>
      <c r="R2092" s="43">
        <f>IF($B2092="","",N($S2092)-N($Q2092))</f>
        <v/>
      </c>
      <c r="S2092" s="43">
        <f>IF($B2092="","",N($L2092)+N($N2092)+N($P2092))</f>
        <v/>
      </c>
      <c r="T2092" s="42" t="n"/>
      <c r="U2092" s="42" t="n"/>
      <c r="V2092" s="42" t="n"/>
      <c r="W2092" s="42" t="n"/>
      <c r="X2092" s="42" t="n"/>
      <c r="Y2092" s="42" t="n"/>
      <c r="Z2092" s="42" t="n"/>
      <c r="AA2092" s="42" t="n"/>
      <c r="AB2092" s="42" t="n"/>
      <c r="AC2092" s="42" t="n"/>
      <c r="AD2092" s="42" t="n"/>
      <c r="AE2092" s="42" t="n"/>
      <c r="AF2092" s="43">
        <f>IF($B2092="","",SUM($T2092:$AE2092))</f>
        <v/>
      </c>
      <c r="AG2092" s="43">
        <f>IF($B2092="","",N($M2092)-N($AF2092))</f>
        <v/>
      </c>
      <c r="AH2092" s="43">
        <f>IF($B2092="","",N($L2092)-N($AF2092))</f>
        <v/>
      </c>
      <c r="AI2092" s="149">
        <f>IF($B2092="","",IF(N($L2092)=0,"",(N($L2092)-N($AF2092))/N($L2092)))</f>
        <v/>
      </c>
    </row>
    <row r="2093">
      <c r="A2093" s="39">
        <f>IF($B2093="","",COUNTA($B$4:$B2093))</f>
        <v/>
      </c>
      <c r="B2093" s="45" t="n"/>
      <c r="C2093" s="46" t="n"/>
      <c r="D2093" s="46" t="n"/>
      <c r="E2093" s="46" t="n"/>
      <c r="F2093" s="46" t="n"/>
      <c r="G2093" s="46" t="n"/>
      <c r="H2093" s="46" t="n"/>
      <c r="I2093" s="46" t="n"/>
      <c r="J2093" s="46" t="n"/>
      <c r="K2093" s="46" t="n"/>
      <c r="L2093" s="47" t="n"/>
      <c r="M2093" s="47" t="n"/>
      <c r="N2093" s="47" t="n"/>
      <c r="O2093" s="47" t="n"/>
      <c r="P2093" s="47" t="n"/>
      <c r="Q2093" s="47" t="n"/>
      <c r="R2093" s="43">
        <f>IF($B2093="","",N($S2093)-N($Q2093))</f>
        <v/>
      </c>
      <c r="S2093" s="43">
        <f>IF($B2093="","",N($L2093)+N($N2093)+N($P2093))</f>
        <v/>
      </c>
      <c r="T2093" s="47" t="n"/>
      <c r="U2093" s="47" t="n"/>
      <c r="V2093" s="47" t="n"/>
      <c r="W2093" s="47" t="n"/>
      <c r="X2093" s="47" t="n"/>
      <c r="Y2093" s="47" t="n"/>
      <c r="Z2093" s="47" t="n"/>
      <c r="AA2093" s="47" t="n"/>
      <c r="AB2093" s="47" t="n"/>
      <c r="AC2093" s="47" t="n"/>
      <c r="AD2093" s="47" t="n"/>
      <c r="AE2093" s="47" t="n"/>
      <c r="AF2093" s="43">
        <f>IF($B2093="","",SUM($T2093:$AE2093))</f>
        <v/>
      </c>
      <c r="AG2093" s="43">
        <f>IF($B2093="","",N($M2093)-N($AF2093))</f>
        <v/>
      </c>
      <c r="AH2093" s="43">
        <f>IF($B2093="","",N($L2093)-N($AF2093))</f>
        <v/>
      </c>
      <c r="AI2093" s="149">
        <f>IF($B2093="","",IF(N($L2093)=0,"",(N($L2093)-N($AF2093))/N($L2093)))</f>
        <v/>
      </c>
    </row>
    <row r="2094">
      <c r="A2094" s="39">
        <f>IF($B2094="","",COUNTA($B$4:$B2094))</f>
        <v/>
      </c>
      <c r="B2094" s="40" t="n"/>
      <c r="C2094" s="41" t="n"/>
      <c r="D2094" s="41" t="n"/>
      <c r="E2094" s="41" t="n"/>
      <c r="F2094" s="41" t="n"/>
      <c r="G2094" s="41" t="n"/>
      <c r="H2094" s="41" t="n"/>
      <c r="I2094" s="41" t="n"/>
      <c r="J2094" s="41" t="n"/>
      <c r="K2094" s="41" t="n"/>
      <c r="L2094" s="42" t="n"/>
      <c r="M2094" s="42" t="n"/>
      <c r="N2094" s="42" t="n"/>
      <c r="O2094" s="42" t="n"/>
      <c r="P2094" s="42" t="n"/>
      <c r="Q2094" s="42" t="n"/>
      <c r="R2094" s="43">
        <f>IF($B2094="","",N($S2094)-N($Q2094))</f>
        <v/>
      </c>
      <c r="S2094" s="43">
        <f>IF($B2094="","",N($L2094)+N($N2094)+N($P2094))</f>
        <v/>
      </c>
      <c r="T2094" s="42" t="n"/>
      <c r="U2094" s="42" t="n"/>
      <c r="V2094" s="42" t="n"/>
      <c r="W2094" s="42" t="n"/>
      <c r="X2094" s="42" t="n"/>
      <c r="Y2094" s="42" t="n"/>
      <c r="Z2094" s="42" t="n"/>
      <c r="AA2094" s="42" t="n"/>
      <c r="AB2094" s="42" t="n"/>
      <c r="AC2094" s="42" t="n"/>
      <c r="AD2094" s="42" t="n"/>
      <c r="AE2094" s="42" t="n"/>
      <c r="AF2094" s="43">
        <f>IF($B2094="","",SUM($T2094:$AE2094))</f>
        <v/>
      </c>
      <c r="AG2094" s="43">
        <f>IF($B2094="","",N($M2094)-N($AF2094))</f>
        <v/>
      </c>
      <c r="AH2094" s="43">
        <f>IF($B2094="","",N($L2094)-N($AF2094))</f>
        <v/>
      </c>
      <c r="AI2094" s="149">
        <f>IF($B2094="","",IF(N($L2094)=0,"",(N($L2094)-N($AF2094))/N($L2094)))</f>
        <v/>
      </c>
    </row>
    <row r="2095">
      <c r="A2095" s="39">
        <f>IF($B2095="","",COUNTA($B$4:$B2095))</f>
        <v/>
      </c>
      <c r="B2095" s="45" t="n"/>
      <c r="C2095" s="46" t="n"/>
      <c r="D2095" s="46" t="n"/>
      <c r="E2095" s="46" t="n"/>
      <c r="F2095" s="46" t="n"/>
      <c r="G2095" s="46" t="n"/>
      <c r="H2095" s="46" t="n"/>
      <c r="I2095" s="46" t="n"/>
      <c r="J2095" s="46" t="n"/>
      <c r="K2095" s="46" t="n"/>
      <c r="L2095" s="47" t="n"/>
      <c r="M2095" s="47" t="n"/>
      <c r="N2095" s="47" t="n"/>
      <c r="O2095" s="47" t="n"/>
      <c r="P2095" s="47" t="n"/>
      <c r="Q2095" s="47" t="n"/>
      <c r="R2095" s="43">
        <f>IF($B2095="","",N($S2095)-N($Q2095))</f>
        <v/>
      </c>
      <c r="S2095" s="43">
        <f>IF($B2095="","",N($L2095)+N($N2095)+N($P2095))</f>
        <v/>
      </c>
      <c r="T2095" s="47" t="n"/>
      <c r="U2095" s="47" t="n"/>
      <c r="V2095" s="47" t="n"/>
      <c r="W2095" s="47" t="n"/>
      <c r="X2095" s="47" t="n"/>
      <c r="Y2095" s="47" t="n"/>
      <c r="Z2095" s="47" t="n"/>
      <c r="AA2095" s="47" t="n"/>
      <c r="AB2095" s="47" t="n"/>
      <c r="AC2095" s="47" t="n"/>
      <c r="AD2095" s="47" t="n"/>
      <c r="AE2095" s="47" t="n"/>
      <c r="AF2095" s="43">
        <f>IF($B2095="","",SUM($T2095:$AE2095))</f>
        <v/>
      </c>
      <c r="AG2095" s="43">
        <f>IF($B2095="","",N($M2095)-N($AF2095))</f>
        <v/>
      </c>
      <c r="AH2095" s="43">
        <f>IF($B2095="","",N($L2095)-N($AF2095))</f>
        <v/>
      </c>
      <c r="AI2095" s="149">
        <f>IF($B2095="","",IF(N($L2095)=0,"",(N($L2095)-N($AF2095))/N($L2095)))</f>
        <v/>
      </c>
    </row>
    <row r="2096">
      <c r="A2096" s="39">
        <f>IF($B2096="","",COUNTA($B$4:$B2096))</f>
        <v/>
      </c>
      <c r="B2096" s="40" t="n"/>
      <c r="C2096" s="41" t="n"/>
      <c r="D2096" s="41" t="n"/>
      <c r="E2096" s="41" t="n"/>
      <c r="F2096" s="41" t="n"/>
      <c r="G2096" s="41" t="n"/>
      <c r="H2096" s="41" t="n"/>
      <c r="I2096" s="41" t="n"/>
      <c r="J2096" s="41" t="n"/>
      <c r="K2096" s="41" t="n"/>
      <c r="L2096" s="42" t="n"/>
      <c r="M2096" s="42" t="n"/>
      <c r="N2096" s="42" t="n"/>
      <c r="O2096" s="42" t="n"/>
      <c r="P2096" s="42" t="n"/>
      <c r="Q2096" s="42" t="n"/>
      <c r="R2096" s="43">
        <f>IF($B2096="","",N($S2096)-N($Q2096))</f>
        <v/>
      </c>
      <c r="S2096" s="43">
        <f>IF($B2096="","",N($L2096)+N($N2096)+N($P2096))</f>
        <v/>
      </c>
      <c r="T2096" s="42" t="n"/>
      <c r="U2096" s="42" t="n"/>
      <c r="V2096" s="42" t="n"/>
      <c r="W2096" s="42" t="n"/>
      <c r="X2096" s="42" t="n"/>
      <c r="Y2096" s="42" t="n"/>
      <c r="Z2096" s="42" t="n"/>
      <c r="AA2096" s="42" t="n"/>
      <c r="AB2096" s="42" t="n"/>
      <c r="AC2096" s="42" t="n"/>
      <c r="AD2096" s="42" t="n"/>
      <c r="AE2096" s="42" t="n"/>
      <c r="AF2096" s="43">
        <f>IF($B2096="","",SUM($T2096:$AE2096))</f>
        <v/>
      </c>
      <c r="AG2096" s="43">
        <f>IF($B2096="","",N($M2096)-N($AF2096))</f>
        <v/>
      </c>
      <c r="AH2096" s="43">
        <f>IF($B2096="","",N($L2096)-N($AF2096))</f>
        <v/>
      </c>
      <c r="AI2096" s="149">
        <f>IF($B2096="","",IF(N($L2096)=0,"",(N($L2096)-N($AF2096))/N($L2096)))</f>
        <v/>
      </c>
    </row>
    <row r="2097">
      <c r="A2097" s="39">
        <f>IF($B2097="","",COUNTA($B$4:$B2097))</f>
        <v/>
      </c>
      <c r="B2097" s="45" t="n"/>
      <c r="C2097" s="46" t="n"/>
      <c r="D2097" s="46" t="n"/>
      <c r="E2097" s="46" t="n"/>
      <c r="F2097" s="46" t="n"/>
      <c r="G2097" s="46" t="n"/>
      <c r="H2097" s="46" t="n"/>
      <c r="I2097" s="46" t="n"/>
      <c r="J2097" s="46" t="n"/>
      <c r="K2097" s="46" t="n"/>
      <c r="L2097" s="47" t="n"/>
      <c r="M2097" s="47" t="n"/>
      <c r="N2097" s="47" t="n"/>
      <c r="O2097" s="47" t="n"/>
      <c r="P2097" s="47" t="n"/>
      <c r="Q2097" s="47" t="n"/>
      <c r="R2097" s="43">
        <f>IF($B2097="","",N($S2097)-N($Q2097))</f>
        <v/>
      </c>
      <c r="S2097" s="43">
        <f>IF($B2097="","",N($L2097)+N($N2097)+N($P2097))</f>
        <v/>
      </c>
      <c r="T2097" s="47" t="n"/>
      <c r="U2097" s="47" t="n"/>
      <c r="V2097" s="47" t="n"/>
      <c r="W2097" s="47" t="n"/>
      <c r="X2097" s="47" t="n"/>
      <c r="Y2097" s="47" t="n"/>
      <c r="Z2097" s="47" t="n"/>
      <c r="AA2097" s="47" t="n"/>
      <c r="AB2097" s="47" t="n"/>
      <c r="AC2097" s="47" t="n"/>
      <c r="AD2097" s="47" t="n"/>
      <c r="AE2097" s="47" t="n"/>
      <c r="AF2097" s="43">
        <f>IF($B2097="","",SUM($T2097:$AE2097))</f>
        <v/>
      </c>
      <c r="AG2097" s="43">
        <f>IF($B2097="","",N($M2097)-N($AF2097))</f>
        <v/>
      </c>
      <c r="AH2097" s="43">
        <f>IF($B2097="","",N($L2097)-N($AF2097))</f>
        <v/>
      </c>
      <c r="AI2097" s="149">
        <f>IF($B2097="","",IF(N($L2097)=0,"",(N($L2097)-N($AF2097))/N($L2097)))</f>
        <v/>
      </c>
    </row>
    <row r="2098">
      <c r="A2098" s="39">
        <f>IF($B2098="","",COUNTA($B$4:$B2098))</f>
        <v/>
      </c>
      <c r="B2098" s="40" t="n"/>
      <c r="C2098" s="41" t="n"/>
      <c r="D2098" s="41" t="n"/>
      <c r="E2098" s="41" t="n"/>
      <c r="F2098" s="41" t="n"/>
      <c r="G2098" s="41" t="n"/>
      <c r="H2098" s="41" t="n"/>
      <c r="I2098" s="41" t="n"/>
      <c r="J2098" s="41" t="n"/>
      <c r="K2098" s="41" t="n"/>
      <c r="L2098" s="42" t="n"/>
      <c r="M2098" s="42" t="n"/>
      <c r="N2098" s="42" t="n"/>
      <c r="O2098" s="42" t="n"/>
      <c r="P2098" s="42" t="n"/>
      <c r="Q2098" s="42" t="n"/>
      <c r="R2098" s="43">
        <f>IF($B2098="","",N($S2098)-N($Q2098))</f>
        <v/>
      </c>
      <c r="S2098" s="43">
        <f>IF($B2098="","",N($L2098)+N($N2098)+N($P2098))</f>
        <v/>
      </c>
      <c r="T2098" s="42" t="n"/>
      <c r="U2098" s="42" t="n"/>
      <c r="V2098" s="42" t="n"/>
      <c r="W2098" s="42" t="n"/>
      <c r="X2098" s="42" t="n"/>
      <c r="Y2098" s="42" t="n"/>
      <c r="Z2098" s="42" t="n"/>
      <c r="AA2098" s="42" t="n"/>
      <c r="AB2098" s="42" t="n"/>
      <c r="AC2098" s="42" t="n"/>
      <c r="AD2098" s="42" t="n"/>
      <c r="AE2098" s="42" t="n"/>
      <c r="AF2098" s="43">
        <f>IF($B2098="","",SUM($T2098:$AE2098))</f>
        <v/>
      </c>
      <c r="AG2098" s="43">
        <f>IF($B2098="","",N($M2098)-N($AF2098))</f>
        <v/>
      </c>
      <c r="AH2098" s="43">
        <f>IF($B2098="","",N($L2098)-N($AF2098))</f>
        <v/>
      </c>
      <c r="AI2098" s="149">
        <f>IF($B2098="","",IF(N($L2098)=0,"",(N($L2098)-N($AF2098))/N($L2098)))</f>
        <v/>
      </c>
    </row>
    <row r="2099">
      <c r="A2099" s="39">
        <f>IF($B2099="","",COUNTA($B$4:$B2099))</f>
        <v/>
      </c>
      <c r="B2099" s="45" t="n"/>
      <c r="C2099" s="46" t="n"/>
      <c r="D2099" s="46" t="n"/>
      <c r="E2099" s="46" t="n"/>
      <c r="F2099" s="46" t="n"/>
      <c r="G2099" s="46" t="n"/>
      <c r="H2099" s="46" t="n"/>
      <c r="I2099" s="46" t="n"/>
      <c r="J2099" s="46" t="n"/>
      <c r="K2099" s="46" t="n"/>
      <c r="L2099" s="47" t="n"/>
      <c r="M2099" s="47" t="n"/>
      <c r="N2099" s="47" t="n"/>
      <c r="O2099" s="47" t="n"/>
      <c r="P2099" s="47" t="n"/>
      <c r="Q2099" s="47" t="n"/>
      <c r="R2099" s="43">
        <f>IF($B2099="","",N($S2099)-N($Q2099))</f>
        <v/>
      </c>
      <c r="S2099" s="43">
        <f>IF($B2099="","",N($L2099)+N($N2099)+N($P2099))</f>
        <v/>
      </c>
      <c r="T2099" s="47" t="n"/>
      <c r="U2099" s="47" t="n"/>
      <c r="V2099" s="47" t="n"/>
      <c r="W2099" s="47" t="n"/>
      <c r="X2099" s="47" t="n"/>
      <c r="Y2099" s="47" t="n"/>
      <c r="Z2099" s="47" t="n"/>
      <c r="AA2099" s="47" t="n"/>
      <c r="AB2099" s="47" t="n"/>
      <c r="AC2099" s="47" t="n"/>
      <c r="AD2099" s="47" t="n"/>
      <c r="AE2099" s="47" t="n"/>
      <c r="AF2099" s="43">
        <f>IF($B2099="","",SUM($T2099:$AE2099))</f>
        <v/>
      </c>
      <c r="AG2099" s="43">
        <f>IF($B2099="","",N($M2099)-N($AF2099))</f>
        <v/>
      </c>
      <c r="AH2099" s="43">
        <f>IF($B2099="","",N($L2099)-N($AF2099))</f>
        <v/>
      </c>
      <c r="AI2099" s="149">
        <f>IF($B2099="","",IF(N($L2099)=0,"",(N($L2099)-N($AF2099))/N($L2099)))</f>
        <v/>
      </c>
    </row>
    <row r="2100">
      <c r="A2100" s="39">
        <f>IF($B2100="","",COUNTA($B$4:$B2100))</f>
        <v/>
      </c>
      <c r="B2100" s="40" t="n"/>
      <c r="C2100" s="41" t="n"/>
      <c r="D2100" s="41" t="n"/>
      <c r="E2100" s="41" t="n"/>
      <c r="F2100" s="41" t="n"/>
      <c r="G2100" s="41" t="n"/>
      <c r="H2100" s="41" t="n"/>
      <c r="I2100" s="41" t="n"/>
      <c r="J2100" s="41" t="n"/>
      <c r="K2100" s="41" t="n"/>
      <c r="L2100" s="42" t="n"/>
      <c r="M2100" s="42" t="n"/>
      <c r="N2100" s="42" t="n"/>
      <c r="O2100" s="42" t="n"/>
      <c r="P2100" s="42" t="n"/>
      <c r="Q2100" s="42" t="n"/>
      <c r="R2100" s="43">
        <f>IF($B2100="","",N($S2100)-N($Q2100))</f>
        <v/>
      </c>
      <c r="S2100" s="43">
        <f>IF($B2100="","",N($L2100)+N($N2100)+N($P2100))</f>
        <v/>
      </c>
      <c r="T2100" s="42" t="n"/>
      <c r="U2100" s="42" t="n"/>
      <c r="V2100" s="42" t="n"/>
      <c r="W2100" s="42" t="n"/>
      <c r="X2100" s="42" t="n"/>
      <c r="Y2100" s="42" t="n"/>
      <c r="Z2100" s="42" t="n"/>
      <c r="AA2100" s="42" t="n"/>
      <c r="AB2100" s="42" t="n"/>
      <c r="AC2100" s="42" t="n"/>
      <c r="AD2100" s="42" t="n"/>
      <c r="AE2100" s="42" t="n"/>
      <c r="AF2100" s="43">
        <f>IF($B2100="","",SUM($T2100:$AE2100))</f>
        <v/>
      </c>
      <c r="AG2100" s="43">
        <f>IF($B2100="","",N($M2100)-N($AF2100))</f>
        <v/>
      </c>
      <c r="AH2100" s="43">
        <f>IF($B2100="","",N($L2100)-N($AF2100))</f>
        <v/>
      </c>
      <c r="AI2100" s="149">
        <f>IF($B2100="","",IF(N($L2100)=0,"",(N($L2100)-N($AF2100))/N($L2100)))</f>
        <v/>
      </c>
    </row>
    <row r="2101">
      <c r="A2101" s="39">
        <f>IF($B2101="","",COUNTA($B$4:$B2101))</f>
        <v/>
      </c>
      <c r="B2101" s="45" t="n"/>
      <c r="C2101" s="46" t="n"/>
      <c r="D2101" s="46" t="n"/>
      <c r="E2101" s="46" t="n"/>
      <c r="F2101" s="46" t="n"/>
      <c r="G2101" s="46" t="n"/>
      <c r="H2101" s="46" t="n"/>
      <c r="I2101" s="46" t="n"/>
      <c r="J2101" s="46" t="n"/>
      <c r="K2101" s="46" t="n"/>
      <c r="L2101" s="47" t="n"/>
      <c r="M2101" s="47" t="n"/>
      <c r="N2101" s="47" t="n"/>
      <c r="O2101" s="47" t="n"/>
      <c r="P2101" s="47" t="n"/>
      <c r="Q2101" s="47" t="n"/>
      <c r="R2101" s="43">
        <f>IF($B2101="","",N($S2101)-N($Q2101))</f>
        <v/>
      </c>
      <c r="S2101" s="43">
        <f>IF($B2101="","",N($L2101)+N($N2101)+N($P2101))</f>
        <v/>
      </c>
      <c r="T2101" s="47" t="n"/>
      <c r="U2101" s="47" t="n"/>
      <c r="V2101" s="47" t="n"/>
      <c r="W2101" s="47" t="n"/>
      <c r="X2101" s="47" t="n"/>
      <c r="Y2101" s="47" t="n"/>
      <c r="Z2101" s="47" t="n"/>
      <c r="AA2101" s="47" t="n"/>
      <c r="AB2101" s="47" t="n"/>
      <c r="AC2101" s="47" t="n"/>
      <c r="AD2101" s="47" t="n"/>
      <c r="AE2101" s="47" t="n"/>
      <c r="AF2101" s="43">
        <f>IF($B2101="","",SUM($T2101:$AE2101))</f>
        <v/>
      </c>
      <c r="AG2101" s="43">
        <f>IF($B2101="","",N($M2101)-N($AF2101))</f>
        <v/>
      </c>
      <c r="AH2101" s="43">
        <f>IF($B2101="","",N($L2101)-N($AF2101))</f>
        <v/>
      </c>
      <c r="AI2101" s="149">
        <f>IF($B2101="","",IF(N($L2101)=0,"",(N($L2101)-N($AF2101))/N($L2101)))</f>
        <v/>
      </c>
    </row>
    <row r="2102">
      <c r="A2102" s="39">
        <f>IF($B2102="","",COUNTA($B$4:$B2102))</f>
        <v/>
      </c>
      <c r="B2102" s="40" t="n"/>
      <c r="C2102" s="41" t="n"/>
      <c r="D2102" s="41" t="n"/>
      <c r="E2102" s="41" t="n"/>
      <c r="F2102" s="41" t="n"/>
      <c r="G2102" s="41" t="n"/>
      <c r="H2102" s="41" t="n"/>
      <c r="I2102" s="41" t="n"/>
      <c r="J2102" s="41" t="n"/>
      <c r="K2102" s="41" t="n"/>
      <c r="L2102" s="42" t="n"/>
      <c r="M2102" s="42" t="n"/>
      <c r="N2102" s="42" t="n"/>
      <c r="O2102" s="42" t="n"/>
      <c r="P2102" s="42" t="n"/>
      <c r="Q2102" s="42" t="n"/>
      <c r="R2102" s="43">
        <f>IF($B2102="","",N($S2102)-N($Q2102))</f>
        <v/>
      </c>
      <c r="S2102" s="43">
        <f>IF($B2102="","",N($L2102)+N($N2102)+N($P2102))</f>
        <v/>
      </c>
      <c r="T2102" s="42" t="n"/>
      <c r="U2102" s="42" t="n"/>
      <c r="V2102" s="42" t="n"/>
      <c r="W2102" s="42" t="n"/>
      <c r="X2102" s="42" t="n"/>
      <c r="Y2102" s="42" t="n"/>
      <c r="Z2102" s="42" t="n"/>
      <c r="AA2102" s="42" t="n"/>
      <c r="AB2102" s="42" t="n"/>
      <c r="AC2102" s="42" t="n"/>
      <c r="AD2102" s="42" t="n"/>
      <c r="AE2102" s="42" t="n"/>
      <c r="AF2102" s="43">
        <f>IF($B2102="","",SUM($T2102:$AE2102))</f>
        <v/>
      </c>
      <c r="AG2102" s="43">
        <f>IF($B2102="","",N($M2102)-N($AF2102))</f>
        <v/>
      </c>
      <c r="AH2102" s="43">
        <f>IF($B2102="","",N($L2102)-N($AF2102))</f>
        <v/>
      </c>
      <c r="AI2102" s="149">
        <f>IF($B2102="","",IF(N($L2102)=0,"",(N($L2102)-N($AF2102))/N($L2102)))</f>
        <v/>
      </c>
    </row>
    <row r="2103">
      <c r="A2103" s="39">
        <f>IF($B2103="","",COUNTA($B$4:$B2103))</f>
        <v/>
      </c>
      <c r="B2103" s="45" t="n"/>
      <c r="C2103" s="46" t="n"/>
      <c r="D2103" s="46" t="n"/>
      <c r="E2103" s="46" t="n"/>
      <c r="F2103" s="46" t="n"/>
      <c r="G2103" s="46" t="n"/>
      <c r="H2103" s="46" t="n"/>
      <c r="I2103" s="46" t="n"/>
      <c r="J2103" s="46" t="n"/>
      <c r="K2103" s="46" t="n"/>
      <c r="L2103" s="47" t="n"/>
      <c r="M2103" s="47" t="n"/>
      <c r="N2103" s="47" t="n"/>
      <c r="O2103" s="47" t="n"/>
      <c r="P2103" s="47" t="n"/>
      <c r="Q2103" s="47" t="n"/>
      <c r="R2103" s="43">
        <f>IF($B2103="","",N($S2103)-N($Q2103))</f>
        <v/>
      </c>
      <c r="S2103" s="43">
        <f>IF($B2103="","",N($L2103)+N($N2103)+N($P2103))</f>
        <v/>
      </c>
      <c r="T2103" s="47" t="n"/>
      <c r="U2103" s="47" t="n"/>
      <c r="V2103" s="47" t="n"/>
      <c r="W2103" s="47" t="n"/>
      <c r="X2103" s="47" t="n"/>
      <c r="Y2103" s="47" t="n"/>
      <c r="Z2103" s="47" t="n"/>
      <c r="AA2103" s="47" t="n"/>
      <c r="AB2103" s="47" t="n"/>
      <c r="AC2103" s="47" t="n"/>
      <c r="AD2103" s="47" t="n"/>
      <c r="AE2103" s="47" t="n"/>
      <c r="AF2103" s="43">
        <f>IF($B2103="","",SUM($T2103:$AE2103))</f>
        <v/>
      </c>
      <c r="AG2103" s="43">
        <f>IF($B2103="","",N($M2103)-N($AF2103))</f>
        <v/>
      </c>
      <c r="AH2103" s="43">
        <f>IF($B2103="","",N($L2103)-N($AF2103))</f>
        <v/>
      </c>
      <c r="AI2103" s="149">
        <f>IF($B2103="","",IF(N($L2103)=0,"",(N($L2103)-N($AF2103))/N($L2103)))</f>
        <v/>
      </c>
    </row>
    <row r="2104">
      <c r="A2104" s="39">
        <f>IF($B2104="","",COUNTA($B$4:$B2104))</f>
        <v/>
      </c>
      <c r="B2104" s="40" t="n"/>
      <c r="C2104" s="41" t="n"/>
      <c r="D2104" s="41" t="n"/>
      <c r="E2104" s="41" t="n"/>
      <c r="F2104" s="41" t="n"/>
      <c r="G2104" s="41" t="n"/>
      <c r="H2104" s="41" t="n"/>
      <c r="I2104" s="41" t="n"/>
      <c r="J2104" s="41" t="n"/>
      <c r="K2104" s="41" t="n"/>
      <c r="L2104" s="42" t="n"/>
      <c r="M2104" s="42" t="n"/>
      <c r="N2104" s="42" t="n"/>
      <c r="O2104" s="42" t="n"/>
      <c r="P2104" s="42" t="n"/>
      <c r="Q2104" s="42" t="n"/>
      <c r="R2104" s="43">
        <f>IF($B2104="","",N($S2104)-N($Q2104))</f>
        <v/>
      </c>
      <c r="S2104" s="43">
        <f>IF($B2104="","",N($L2104)+N($N2104)+N($P2104))</f>
        <v/>
      </c>
      <c r="T2104" s="42" t="n"/>
      <c r="U2104" s="42" t="n"/>
      <c r="V2104" s="42" t="n"/>
      <c r="W2104" s="42" t="n"/>
      <c r="X2104" s="42" t="n"/>
      <c r="Y2104" s="42" t="n"/>
      <c r="Z2104" s="42" t="n"/>
      <c r="AA2104" s="42" t="n"/>
      <c r="AB2104" s="42" t="n"/>
      <c r="AC2104" s="42" t="n"/>
      <c r="AD2104" s="42" t="n"/>
      <c r="AE2104" s="42" t="n"/>
      <c r="AF2104" s="43">
        <f>IF($B2104="","",SUM($T2104:$AE2104))</f>
        <v/>
      </c>
      <c r="AG2104" s="43">
        <f>IF($B2104="","",N($M2104)-N($AF2104))</f>
        <v/>
      </c>
      <c r="AH2104" s="43">
        <f>IF($B2104="","",N($L2104)-N($AF2104))</f>
        <v/>
      </c>
      <c r="AI2104" s="149">
        <f>IF($B2104="","",IF(N($L2104)=0,"",(N($L2104)-N($AF2104))/N($L2104)))</f>
        <v/>
      </c>
    </row>
    <row r="2105">
      <c r="A2105" s="39">
        <f>IF($B2105="","",COUNTA($B$4:$B2105))</f>
        <v/>
      </c>
      <c r="B2105" s="45" t="n"/>
      <c r="C2105" s="46" t="n"/>
      <c r="D2105" s="46" t="n"/>
      <c r="E2105" s="46" t="n"/>
      <c r="F2105" s="46" t="n"/>
      <c r="G2105" s="46" t="n"/>
      <c r="H2105" s="46" t="n"/>
      <c r="I2105" s="46" t="n"/>
      <c r="J2105" s="46" t="n"/>
      <c r="K2105" s="46" t="n"/>
      <c r="L2105" s="47" t="n"/>
      <c r="M2105" s="47" t="n"/>
      <c r="N2105" s="47" t="n"/>
      <c r="O2105" s="47" t="n"/>
      <c r="P2105" s="47" t="n"/>
      <c r="Q2105" s="47" t="n"/>
      <c r="R2105" s="43">
        <f>IF($B2105="","",N($S2105)-N($Q2105))</f>
        <v/>
      </c>
      <c r="S2105" s="43">
        <f>IF($B2105="","",N($L2105)+N($N2105)+N($P2105))</f>
        <v/>
      </c>
      <c r="T2105" s="47" t="n"/>
      <c r="U2105" s="47" t="n"/>
      <c r="V2105" s="47" t="n"/>
      <c r="W2105" s="47" t="n"/>
      <c r="X2105" s="47" t="n"/>
      <c r="Y2105" s="47" t="n"/>
      <c r="Z2105" s="47" t="n"/>
      <c r="AA2105" s="47" t="n"/>
      <c r="AB2105" s="47" t="n"/>
      <c r="AC2105" s="47" t="n"/>
      <c r="AD2105" s="47" t="n"/>
      <c r="AE2105" s="47" t="n"/>
      <c r="AF2105" s="43">
        <f>IF($B2105="","",SUM($T2105:$AE2105))</f>
        <v/>
      </c>
      <c r="AG2105" s="43">
        <f>IF($B2105="","",N($M2105)-N($AF2105))</f>
        <v/>
      </c>
      <c r="AH2105" s="43">
        <f>IF($B2105="","",N($L2105)-N($AF2105))</f>
        <v/>
      </c>
      <c r="AI2105" s="149">
        <f>IF($B2105="","",IF(N($L2105)=0,"",(N($L2105)-N($AF2105))/N($L2105)))</f>
        <v/>
      </c>
    </row>
    <row r="2106">
      <c r="A2106" s="39">
        <f>IF($B2106="","",COUNTA($B$4:$B2106))</f>
        <v/>
      </c>
      <c r="B2106" s="40" t="n"/>
      <c r="C2106" s="41" t="n"/>
      <c r="D2106" s="41" t="n"/>
      <c r="E2106" s="41" t="n"/>
      <c r="F2106" s="41" t="n"/>
      <c r="G2106" s="41" t="n"/>
      <c r="H2106" s="41" t="n"/>
      <c r="I2106" s="41" t="n"/>
      <c r="J2106" s="41" t="n"/>
      <c r="K2106" s="41" t="n"/>
      <c r="L2106" s="42" t="n"/>
      <c r="M2106" s="42" t="n"/>
      <c r="N2106" s="42" t="n"/>
      <c r="O2106" s="42" t="n"/>
      <c r="P2106" s="42" t="n"/>
      <c r="Q2106" s="42" t="n"/>
      <c r="R2106" s="43">
        <f>IF($B2106="","",N($S2106)-N($Q2106))</f>
        <v/>
      </c>
      <c r="S2106" s="43">
        <f>IF($B2106="","",N($L2106)+N($N2106)+N($P2106))</f>
        <v/>
      </c>
      <c r="T2106" s="42" t="n"/>
      <c r="U2106" s="42" t="n"/>
      <c r="V2106" s="42" t="n"/>
      <c r="W2106" s="42" t="n"/>
      <c r="X2106" s="42" t="n"/>
      <c r="Y2106" s="42" t="n"/>
      <c r="Z2106" s="42" t="n"/>
      <c r="AA2106" s="42" t="n"/>
      <c r="AB2106" s="42" t="n"/>
      <c r="AC2106" s="42" t="n"/>
      <c r="AD2106" s="42" t="n"/>
      <c r="AE2106" s="42" t="n"/>
      <c r="AF2106" s="43">
        <f>IF($B2106="","",SUM($T2106:$AE2106))</f>
        <v/>
      </c>
      <c r="AG2106" s="43">
        <f>IF($B2106="","",N($M2106)-N($AF2106))</f>
        <v/>
      </c>
      <c r="AH2106" s="43">
        <f>IF($B2106="","",N($L2106)-N($AF2106))</f>
        <v/>
      </c>
      <c r="AI2106" s="149">
        <f>IF($B2106="","",IF(N($L2106)=0,"",(N($L2106)-N($AF2106))/N($L2106)))</f>
        <v/>
      </c>
    </row>
    <row r="2107">
      <c r="A2107" s="39">
        <f>IF($B2107="","",COUNTA($B$4:$B2107))</f>
        <v/>
      </c>
      <c r="B2107" s="45" t="n"/>
      <c r="C2107" s="46" t="n"/>
      <c r="D2107" s="46" t="n"/>
      <c r="E2107" s="46" t="n"/>
      <c r="F2107" s="46" t="n"/>
      <c r="G2107" s="46" t="n"/>
      <c r="H2107" s="46" t="n"/>
      <c r="I2107" s="46" t="n"/>
      <c r="J2107" s="46" t="n"/>
      <c r="K2107" s="46" t="n"/>
      <c r="L2107" s="47" t="n"/>
      <c r="M2107" s="47" t="n"/>
      <c r="N2107" s="47" t="n"/>
      <c r="O2107" s="47" t="n"/>
      <c r="P2107" s="47" t="n"/>
      <c r="Q2107" s="47" t="n"/>
      <c r="R2107" s="43">
        <f>IF($B2107="","",N($S2107)-N($Q2107))</f>
        <v/>
      </c>
      <c r="S2107" s="43">
        <f>IF($B2107="","",N($L2107)+N($N2107)+N($P2107))</f>
        <v/>
      </c>
      <c r="T2107" s="47" t="n"/>
      <c r="U2107" s="47" t="n"/>
      <c r="V2107" s="47" t="n"/>
      <c r="W2107" s="47" t="n"/>
      <c r="X2107" s="47" t="n"/>
      <c r="Y2107" s="47" t="n"/>
      <c r="Z2107" s="47" t="n"/>
      <c r="AA2107" s="47" t="n"/>
      <c r="AB2107" s="47" t="n"/>
      <c r="AC2107" s="47" t="n"/>
      <c r="AD2107" s="47" t="n"/>
      <c r="AE2107" s="47" t="n"/>
      <c r="AF2107" s="43">
        <f>IF($B2107="","",SUM($T2107:$AE2107))</f>
        <v/>
      </c>
      <c r="AG2107" s="43">
        <f>IF($B2107="","",N($M2107)-N($AF2107))</f>
        <v/>
      </c>
      <c r="AH2107" s="43">
        <f>IF($B2107="","",N($L2107)-N($AF2107))</f>
        <v/>
      </c>
      <c r="AI2107" s="149">
        <f>IF($B2107="","",IF(N($L2107)=0,"",(N($L2107)-N($AF2107))/N($L2107)))</f>
        <v/>
      </c>
    </row>
    <row r="2108">
      <c r="A2108" s="39">
        <f>IF($B2108="","",COUNTA($B$4:$B2108))</f>
        <v/>
      </c>
      <c r="B2108" s="40" t="n"/>
      <c r="C2108" s="41" t="n"/>
      <c r="D2108" s="41" t="n"/>
      <c r="E2108" s="41" t="n"/>
      <c r="F2108" s="41" t="n"/>
      <c r="G2108" s="41" t="n"/>
      <c r="H2108" s="41" t="n"/>
      <c r="I2108" s="41" t="n"/>
      <c r="J2108" s="41" t="n"/>
      <c r="K2108" s="41" t="n"/>
      <c r="L2108" s="42" t="n"/>
      <c r="M2108" s="42" t="n"/>
      <c r="N2108" s="42" t="n"/>
      <c r="O2108" s="42" t="n"/>
      <c r="P2108" s="42" t="n"/>
      <c r="Q2108" s="42" t="n"/>
      <c r="R2108" s="43">
        <f>IF($B2108="","",N($S2108)-N($Q2108))</f>
        <v/>
      </c>
      <c r="S2108" s="43">
        <f>IF($B2108="","",N($L2108)+N($N2108)+N($P2108))</f>
        <v/>
      </c>
      <c r="T2108" s="42" t="n"/>
      <c r="U2108" s="42" t="n"/>
      <c r="V2108" s="42" t="n"/>
      <c r="W2108" s="42" t="n"/>
      <c r="X2108" s="42" t="n"/>
      <c r="Y2108" s="42" t="n"/>
      <c r="Z2108" s="42" t="n"/>
      <c r="AA2108" s="42" t="n"/>
      <c r="AB2108" s="42" t="n"/>
      <c r="AC2108" s="42" t="n"/>
      <c r="AD2108" s="42" t="n"/>
      <c r="AE2108" s="42" t="n"/>
      <c r="AF2108" s="43">
        <f>IF($B2108="","",SUM($T2108:$AE2108))</f>
        <v/>
      </c>
      <c r="AG2108" s="43">
        <f>IF($B2108="","",N($M2108)-N($AF2108))</f>
        <v/>
      </c>
      <c r="AH2108" s="43">
        <f>IF($B2108="","",N($L2108)-N($AF2108))</f>
        <v/>
      </c>
      <c r="AI2108" s="149">
        <f>IF($B2108="","",IF(N($L2108)=0,"",(N($L2108)-N($AF2108))/N($L2108)))</f>
        <v/>
      </c>
    </row>
    <row r="2109">
      <c r="A2109" s="39">
        <f>IF($B2109="","",COUNTA($B$4:$B2109))</f>
        <v/>
      </c>
      <c r="B2109" s="45" t="n"/>
      <c r="C2109" s="46" t="n"/>
      <c r="D2109" s="46" t="n"/>
      <c r="E2109" s="46" t="n"/>
      <c r="F2109" s="46" t="n"/>
      <c r="G2109" s="46" t="n"/>
      <c r="H2109" s="46" t="n"/>
      <c r="I2109" s="46" t="n"/>
      <c r="J2109" s="46" t="n"/>
      <c r="K2109" s="46" t="n"/>
      <c r="L2109" s="47" t="n"/>
      <c r="M2109" s="47" t="n"/>
      <c r="N2109" s="47" t="n"/>
      <c r="O2109" s="47" t="n"/>
      <c r="P2109" s="47" t="n"/>
      <c r="Q2109" s="47" t="n"/>
      <c r="R2109" s="43">
        <f>IF($B2109="","",N($S2109)-N($Q2109))</f>
        <v/>
      </c>
      <c r="S2109" s="43">
        <f>IF($B2109="","",N($L2109)+N($N2109)+N($P2109))</f>
        <v/>
      </c>
      <c r="T2109" s="47" t="n"/>
      <c r="U2109" s="47" t="n"/>
      <c r="V2109" s="47" t="n"/>
      <c r="W2109" s="47" t="n"/>
      <c r="X2109" s="47" t="n"/>
      <c r="Y2109" s="47" t="n"/>
      <c r="Z2109" s="47" t="n"/>
      <c r="AA2109" s="47" t="n"/>
      <c r="AB2109" s="47" t="n"/>
      <c r="AC2109" s="47" t="n"/>
      <c r="AD2109" s="47" t="n"/>
      <c r="AE2109" s="47" t="n"/>
      <c r="AF2109" s="43">
        <f>IF($B2109="","",SUM($T2109:$AE2109))</f>
        <v/>
      </c>
      <c r="AG2109" s="43">
        <f>IF($B2109="","",N($M2109)-N($AF2109))</f>
        <v/>
      </c>
      <c r="AH2109" s="43">
        <f>IF($B2109="","",N($L2109)-N($AF2109))</f>
        <v/>
      </c>
      <c r="AI2109" s="149">
        <f>IF($B2109="","",IF(N($L2109)=0,"",(N($L2109)-N($AF2109))/N($L2109)))</f>
        <v/>
      </c>
    </row>
    <row r="2110">
      <c r="A2110" s="39">
        <f>IF($B2110="","",COUNTA($B$4:$B2110))</f>
        <v/>
      </c>
      <c r="B2110" s="40" t="n"/>
      <c r="C2110" s="41" t="n"/>
      <c r="D2110" s="41" t="n"/>
      <c r="E2110" s="41" t="n"/>
      <c r="F2110" s="41" t="n"/>
      <c r="G2110" s="41" t="n"/>
      <c r="H2110" s="41" t="n"/>
      <c r="I2110" s="41" t="n"/>
      <c r="J2110" s="41" t="n"/>
      <c r="K2110" s="41" t="n"/>
      <c r="L2110" s="42" t="n"/>
      <c r="M2110" s="42" t="n"/>
      <c r="N2110" s="42" t="n"/>
      <c r="O2110" s="42" t="n"/>
      <c r="P2110" s="42" t="n"/>
      <c r="Q2110" s="42" t="n"/>
      <c r="R2110" s="43">
        <f>IF($B2110="","",N($S2110)-N($Q2110))</f>
        <v/>
      </c>
      <c r="S2110" s="43">
        <f>IF($B2110="","",N($L2110)+N($N2110)+N($P2110))</f>
        <v/>
      </c>
      <c r="T2110" s="42" t="n"/>
      <c r="U2110" s="42" t="n"/>
      <c r="V2110" s="42" t="n"/>
      <c r="W2110" s="42" t="n"/>
      <c r="X2110" s="42" t="n"/>
      <c r="Y2110" s="42" t="n"/>
      <c r="Z2110" s="42" t="n"/>
      <c r="AA2110" s="42" t="n"/>
      <c r="AB2110" s="42" t="n"/>
      <c r="AC2110" s="42" t="n"/>
      <c r="AD2110" s="42" t="n"/>
      <c r="AE2110" s="42" t="n"/>
      <c r="AF2110" s="43">
        <f>IF($B2110="","",SUM($T2110:$AE2110))</f>
        <v/>
      </c>
      <c r="AG2110" s="43">
        <f>IF($B2110="","",N($M2110)-N($AF2110))</f>
        <v/>
      </c>
      <c r="AH2110" s="43">
        <f>IF($B2110="","",N($L2110)-N($AF2110))</f>
        <v/>
      </c>
      <c r="AI2110" s="149">
        <f>IF($B2110="","",IF(N($L2110)=0,"",(N($L2110)-N($AF2110))/N($L2110)))</f>
        <v/>
      </c>
    </row>
    <row r="2111">
      <c r="A2111" s="39">
        <f>IF($B2111="","",COUNTA($B$4:$B2111))</f>
        <v/>
      </c>
      <c r="B2111" s="45" t="n"/>
      <c r="C2111" s="46" t="n"/>
      <c r="D2111" s="46" t="n"/>
      <c r="E2111" s="46" t="n"/>
      <c r="F2111" s="46" t="n"/>
      <c r="G2111" s="46" t="n"/>
      <c r="H2111" s="46" t="n"/>
      <c r="I2111" s="46" t="n"/>
      <c r="J2111" s="46" t="n"/>
      <c r="K2111" s="46" t="n"/>
      <c r="L2111" s="47" t="n"/>
      <c r="M2111" s="47" t="n"/>
      <c r="N2111" s="47" t="n"/>
      <c r="O2111" s="47" t="n"/>
      <c r="P2111" s="47" t="n"/>
      <c r="Q2111" s="47" t="n"/>
      <c r="R2111" s="43">
        <f>IF($B2111="","",N($S2111)-N($Q2111))</f>
        <v/>
      </c>
      <c r="S2111" s="43">
        <f>IF($B2111="","",N($L2111)+N($N2111)+N($P2111))</f>
        <v/>
      </c>
      <c r="T2111" s="47" t="n"/>
      <c r="U2111" s="47" t="n"/>
      <c r="V2111" s="47" t="n"/>
      <c r="W2111" s="47" t="n"/>
      <c r="X2111" s="47" t="n"/>
      <c r="Y2111" s="47" t="n"/>
      <c r="Z2111" s="47" t="n"/>
      <c r="AA2111" s="47" t="n"/>
      <c r="AB2111" s="47" t="n"/>
      <c r="AC2111" s="47" t="n"/>
      <c r="AD2111" s="47" t="n"/>
      <c r="AE2111" s="47" t="n"/>
      <c r="AF2111" s="43">
        <f>IF($B2111="","",SUM($T2111:$AE2111))</f>
        <v/>
      </c>
      <c r="AG2111" s="43">
        <f>IF($B2111="","",N($M2111)-N($AF2111))</f>
        <v/>
      </c>
      <c r="AH2111" s="43">
        <f>IF($B2111="","",N($L2111)-N($AF2111))</f>
        <v/>
      </c>
      <c r="AI2111" s="149">
        <f>IF($B2111="","",IF(N($L2111)=0,"",(N($L2111)-N($AF2111))/N($L2111)))</f>
        <v/>
      </c>
    </row>
    <row r="2112">
      <c r="A2112" s="39">
        <f>IF($B2112="","",COUNTA($B$4:$B2112))</f>
        <v/>
      </c>
      <c r="B2112" s="40" t="n"/>
      <c r="C2112" s="41" t="n"/>
      <c r="D2112" s="41" t="n"/>
      <c r="E2112" s="41" t="n"/>
      <c r="F2112" s="41" t="n"/>
      <c r="G2112" s="41" t="n"/>
      <c r="H2112" s="41" t="n"/>
      <c r="I2112" s="41" t="n"/>
      <c r="J2112" s="41" t="n"/>
      <c r="K2112" s="41" t="n"/>
      <c r="L2112" s="42" t="n"/>
      <c r="M2112" s="42" t="n"/>
      <c r="N2112" s="42" t="n"/>
      <c r="O2112" s="42" t="n"/>
      <c r="P2112" s="42" t="n"/>
      <c r="Q2112" s="42" t="n"/>
      <c r="R2112" s="43">
        <f>IF($B2112="","",N($S2112)-N($Q2112))</f>
        <v/>
      </c>
      <c r="S2112" s="43">
        <f>IF($B2112="","",N($L2112)+N($N2112)+N($P2112))</f>
        <v/>
      </c>
      <c r="T2112" s="42" t="n"/>
      <c r="U2112" s="42" t="n"/>
      <c r="V2112" s="42" t="n"/>
      <c r="W2112" s="42" t="n"/>
      <c r="X2112" s="42" t="n"/>
      <c r="Y2112" s="42" t="n"/>
      <c r="Z2112" s="42" t="n"/>
      <c r="AA2112" s="42" t="n"/>
      <c r="AB2112" s="42" t="n"/>
      <c r="AC2112" s="42" t="n"/>
      <c r="AD2112" s="42" t="n"/>
      <c r="AE2112" s="42" t="n"/>
      <c r="AF2112" s="43">
        <f>IF($B2112="","",SUM($T2112:$AE2112))</f>
        <v/>
      </c>
      <c r="AG2112" s="43">
        <f>IF($B2112="","",N($M2112)-N($AF2112))</f>
        <v/>
      </c>
      <c r="AH2112" s="43">
        <f>IF($B2112="","",N($L2112)-N($AF2112))</f>
        <v/>
      </c>
      <c r="AI2112" s="149">
        <f>IF($B2112="","",IF(N($L2112)=0,"",(N($L2112)-N($AF2112))/N($L2112)))</f>
        <v/>
      </c>
    </row>
    <row r="2113">
      <c r="A2113" s="39">
        <f>IF($B2113="","",COUNTA($B$4:$B2113))</f>
        <v/>
      </c>
      <c r="B2113" s="45" t="n"/>
      <c r="C2113" s="46" t="n"/>
      <c r="D2113" s="46" t="n"/>
      <c r="E2113" s="46" t="n"/>
      <c r="F2113" s="46" t="n"/>
      <c r="G2113" s="46" t="n"/>
      <c r="H2113" s="46" t="n"/>
      <c r="I2113" s="46" t="n"/>
      <c r="J2113" s="46" t="n"/>
      <c r="K2113" s="46" t="n"/>
      <c r="L2113" s="47" t="n"/>
      <c r="M2113" s="47" t="n"/>
      <c r="N2113" s="47" t="n"/>
      <c r="O2113" s="47" t="n"/>
      <c r="P2113" s="47" t="n"/>
      <c r="Q2113" s="47" t="n"/>
      <c r="R2113" s="43">
        <f>IF($B2113="","",N($S2113)-N($Q2113))</f>
        <v/>
      </c>
      <c r="S2113" s="43">
        <f>IF($B2113="","",N($L2113)+N($N2113)+N($P2113))</f>
        <v/>
      </c>
      <c r="T2113" s="47" t="n"/>
      <c r="U2113" s="47" t="n"/>
      <c r="V2113" s="47" t="n"/>
      <c r="W2113" s="47" t="n"/>
      <c r="X2113" s="47" t="n"/>
      <c r="Y2113" s="47" t="n"/>
      <c r="Z2113" s="47" t="n"/>
      <c r="AA2113" s="47" t="n"/>
      <c r="AB2113" s="47" t="n"/>
      <c r="AC2113" s="47" t="n"/>
      <c r="AD2113" s="47" t="n"/>
      <c r="AE2113" s="47" t="n"/>
      <c r="AF2113" s="43">
        <f>IF($B2113="","",SUM($T2113:$AE2113))</f>
        <v/>
      </c>
      <c r="AG2113" s="43">
        <f>IF($B2113="","",N($M2113)-N($AF2113))</f>
        <v/>
      </c>
      <c r="AH2113" s="43">
        <f>IF($B2113="","",N($L2113)-N($AF2113))</f>
        <v/>
      </c>
      <c r="AI2113" s="149">
        <f>IF($B2113="","",IF(N($L2113)=0,"",(N($L2113)-N($AF2113))/N($L2113)))</f>
        <v/>
      </c>
    </row>
    <row r="2114">
      <c r="A2114" s="39">
        <f>IF($B2114="","",COUNTA($B$4:$B2114))</f>
        <v/>
      </c>
      <c r="B2114" s="40" t="n"/>
      <c r="C2114" s="41" t="n"/>
      <c r="D2114" s="41" t="n"/>
      <c r="E2114" s="41" t="n"/>
      <c r="F2114" s="41" t="n"/>
      <c r="G2114" s="41" t="n"/>
      <c r="H2114" s="41" t="n"/>
      <c r="I2114" s="41" t="n"/>
      <c r="J2114" s="41" t="n"/>
      <c r="K2114" s="41" t="n"/>
      <c r="L2114" s="42" t="n"/>
      <c r="M2114" s="42" t="n"/>
      <c r="N2114" s="42" t="n"/>
      <c r="O2114" s="42" t="n"/>
      <c r="P2114" s="42" t="n"/>
      <c r="Q2114" s="42" t="n"/>
      <c r="R2114" s="43">
        <f>IF($B2114="","",N($S2114)-N($Q2114))</f>
        <v/>
      </c>
      <c r="S2114" s="43">
        <f>IF($B2114="","",N($L2114)+N($N2114)+N($P2114))</f>
        <v/>
      </c>
      <c r="T2114" s="42" t="n"/>
      <c r="U2114" s="42" t="n"/>
      <c r="V2114" s="42" t="n"/>
      <c r="W2114" s="42" t="n"/>
      <c r="X2114" s="42" t="n"/>
      <c r="Y2114" s="42" t="n"/>
      <c r="Z2114" s="42" t="n"/>
      <c r="AA2114" s="42" t="n"/>
      <c r="AB2114" s="42" t="n"/>
      <c r="AC2114" s="42" t="n"/>
      <c r="AD2114" s="42" t="n"/>
      <c r="AE2114" s="42" t="n"/>
      <c r="AF2114" s="43">
        <f>IF($B2114="","",SUM($T2114:$AE2114))</f>
        <v/>
      </c>
      <c r="AG2114" s="43">
        <f>IF($B2114="","",N($M2114)-N($AF2114))</f>
        <v/>
      </c>
      <c r="AH2114" s="43">
        <f>IF($B2114="","",N($L2114)-N($AF2114))</f>
        <v/>
      </c>
      <c r="AI2114" s="149">
        <f>IF($B2114="","",IF(N($L2114)=0,"",(N($L2114)-N($AF2114))/N($L2114)))</f>
        <v/>
      </c>
    </row>
    <row r="2115">
      <c r="A2115" s="39">
        <f>IF($B2115="","",COUNTA($B$4:$B2115))</f>
        <v/>
      </c>
      <c r="B2115" s="45" t="n"/>
      <c r="C2115" s="46" t="n"/>
      <c r="D2115" s="46" t="n"/>
      <c r="E2115" s="46" t="n"/>
      <c r="F2115" s="46" t="n"/>
      <c r="G2115" s="46" t="n"/>
      <c r="H2115" s="46" t="n"/>
      <c r="I2115" s="46" t="n"/>
      <c r="J2115" s="46" t="n"/>
      <c r="K2115" s="46" t="n"/>
      <c r="L2115" s="47" t="n"/>
      <c r="M2115" s="47" t="n"/>
      <c r="N2115" s="47" t="n"/>
      <c r="O2115" s="47" t="n"/>
      <c r="P2115" s="47" t="n"/>
      <c r="Q2115" s="47" t="n"/>
      <c r="R2115" s="43">
        <f>IF($B2115="","",N($S2115)-N($Q2115))</f>
        <v/>
      </c>
      <c r="S2115" s="43">
        <f>IF($B2115="","",N($L2115)+N($N2115)+N($P2115))</f>
        <v/>
      </c>
      <c r="T2115" s="47" t="n"/>
      <c r="U2115" s="47" t="n"/>
      <c r="V2115" s="47" t="n"/>
      <c r="W2115" s="47" t="n"/>
      <c r="X2115" s="47" t="n"/>
      <c r="Y2115" s="47" t="n"/>
      <c r="Z2115" s="47" t="n"/>
      <c r="AA2115" s="47" t="n"/>
      <c r="AB2115" s="47" t="n"/>
      <c r="AC2115" s="47" t="n"/>
      <c r="AD2115" s="47" t="n"/>
      <c r="AE2115" s="47" t="n"/>
      <c r="AF2115" s="43">
        <f>IF($B2115="","",SUM($T2115:$AE2115))</f>
        <v/>
      </c>
      <c r="AG2115" s="43">
        <f>IF($B2115="","",N($M2115)-N($AF2115))</f>
        <v/>
      </c>
      <c r="AH2115" s="43">
        <f>IF($B2115="","",N($L2115)-N($AF2115))</f>
        <v/>
      </c>
      <c r="AI2115" s="149">
        <f>IF($B2115="","",IF(N($L2115)=0,"",(N($L2115)-N($AF2115))/N($L2115)))</f>
        <v/>
      </c>
    </row>
    <row r="2116">
      <c r="A2116" s="39">
        <f>IF($B2116="","",COUNTA($B$4:$B2116))</f>
        <v/>
      </c>
      <c r="B2116" s="40" t="n"/>
      <c r="C2116" s="41" t="n"/>
      <c r="D2116" s="41" t="n"/>
      <c r="E2116" s="41" t="n"/>
      <c r="F2116" s="41" t="n"/>
      <c r="G2116" s="41" t="n"/>
      <c r="H2116" s="41" t="n"/>
      <c r="I2116" s="41" t="n"/>
      <c r="J2116" s="41" t="n"/>
      <c r="K2116" s="41" t="n"/>
      <c r="L2116" s="42" t="n"/>
      <c r="M2116" s="42" t="n"/>
      <c r="N2116" s="42" t="n"/>
      <c r="O2116" s="42" t="n"/>
      <c r="P2116" s="42" t="n"/>
      <c r="Q2116" s="42" t="n"/>
      <c r="R2116" s="43">
        <f>IF($B2116="","",N($S2116)-N($Q2116))</f>
        <v/>
      </c>
      <c r="S2116" s="43">
        <f>IF($B2116="","",N($L2116)+N($N2116)+N($P2116))</f>
        <v/>
      </c>
      <c r="T2116" s="42" t="n"/>
      <c r="U2116" s="42" t="n"/>
      <c r="V2116" s="42" t="n"/>
      <c r="W2116" s="42" t="n"/>
      <c r="X2116" s="42" t="n"/>
      <c r="Y2116" s="42" t="n"/>
      <c r="Z2116" s="42" t="n"/>
      <c r="AA2116" s="42" t="n"/>
      <c r="AB2116" s="42" t="n"/>
      <c r="AC2116" s="42" t="n"/>
      <c r="AD2116" s="42" t="n"/>
      <c r="AE2116" s="42" t="n"/>
      <c r="AF2116" s="43">
        <f>IF($B2116="","",SUM($T2116:$AE2116))</f>
        <v/>
      </c>
      <c r="AG2116" s="43">
        <f>IF($B2116="","",N($M2116)-N($AF2116))</f>
        <v/>
      </c>
      <c r="AH2116" s="43">
        <f>IF($B2116="","",N($L2116)-N($AF2116))</f>
        <v/>
      </c>
      <c r="AI2116" s="149">
        <f>IF($B2116="","",IF(N($L2116)=0,"",(N($L2116)-N($AF2116))/N($L2116)))</f>
        <v/>
      </c>
    </row>
    <row r="2117">
      <c r="A2117" s="39">
        <f>IF($B2117="","",COUNTA($B$4:$B2117))</f>
        <v/>
      </c>
      <c r="B2117" s="45" t="n"/>
      <c r="C2117" s="46" t="n"/>
      <c r="D2117" s="46" t="n"/>
      <c r="E2117" s="46" t="n"/>
      <c r="F2117" s="46" t="n"/>
      <c r="G2117" s="46" t="n"/>
      <c r="H2117" s="46" t="n"/>
      <c r="I2117" s="46" t="n"/>
      <c r="J2117" s="46" t="n"/>
      <c r="K2117" s="46" t="n"/>
      <c r="L2117" s="47" t="n"/>
      <c r="M2117" s="47" t="n"/>
      <c r="N2117" s="47" t="n"/>
      <c r="O2117" s="47" t="n"/>
      <c r="P2117" s="47" t="n"/>
      <c r="Q2117" s="47" t="n"/>
      <c r="R2117" s="43">
        <f>IF($B2117="","",N($S2117)-N($Q2117))</f>
        <v/>
      </c>
      <c r="S2117" s="43">
        <f>IF($B2117="","",N($L2117)+N($N2117)+N($P2117))</f>
        <v/>
      </c>
      <c r="T2117" s="47" t="n"/>
      <c r="U2117" s="47" t="n"/>
      <c r="V2117" s="47" t="n"/>
      <c r="W2117" s="47" t="n"/>
      <c r="X2117" s="47" t="n"/>
      <c r="Y2117" s="47" t="n"/>
      <c r="Z2117" s="47" t="n"/>
      <c r="AA2117" s="47" t="n"/>
      <c r="AB2117" s="47" t="n"/>
      <c r="AC2117" s="47" t="n"/>
      <c r="AD2117" s="47" t="n"/>
      <c r="AE2117" s="47" t="n"/>
      <c r="AF2117" s="43">
        <f>IF($B2117="","",SUM($T2117:$AE2117))</f>
        <v/>
      </c>
      <c r="AG2117" s="43">
        <f>IF($B2117="","",N($M2117)-N($AF2117))</f>
        <v/>
      </c>
      <c r="AH2117" s="43">
        <f>IF($B2117="","",N($L2117)-N($AF2117))</f>
        <v/>
      </c>
      <c r="AI2117" s="149">
        <f>IF($B2117="","",IF(N($L2117)=0,"",(N($L2117)-N($AF2117))/N($L2117)))</f>
        <v/>
      </c>
    </row>
    <row r="2118">
      <c r="A2118" s="39">
        <f>IF($B2118="","",COUNTA($B$4:$B2118))</f>
        <v/>
      </c>
      <c r="B2118" s="40" t="n"/>
      <c r="C2118" s="41" t="n"/>
      <c r="D2118" s="41" t="n"/>
      <c r="E2118" s="41" t="n"/>
      <c r="F2118" s="41" t="n"/>
      <c r="G2118" s="41" t="n"/>
      <c r="H2118" s="41" t="n"/>
      <c r="I2118" s="41" t="n"/>
      <c r="J2118" s="41" t="n"/>
      <c r="K2118" s="41" t="n"/>
      <c r="L2118" s="42" t="n"/>
      <c r="M2118" s="42" t="n"/>
      <c r="N2118" s="42" t="n"/>
      <c r="O2118" s="42" t="n"/>
      <c r="P2118" s="42" t="n"/>
      <c r="Q2118" s="42" t="n"/>
      <c r="R2118" s="43">
        <f>IF($B2118="","",N($S2118)-N($Q2118))</f>
        <v/>
      </c>
      <c r="S2118" s="43">
        <f>IF($B2118="","",N($L2118)+N($N2118)+N($P2118))</f>
        <v/>
      </c>
      <c r="T2118" s="42" t="n"/>
      <c r="U2118" s="42" t="n"/>
      <c r="V2118" s="42" t="n"/>
      <c r="W2118" s="42" t="n"/>
      <c r="X2118" s="42" t="n"/>
      <c r="Y2118" s="42" t="n"/>
      <c r="Z2118" s="42" t="n"/>
      <c r="AA2118" s="42" t="n"/>
      <c r="AB2118" s="42" t="n"/>
      <c r="AC2118" s="42" t="n"/>
      <c r="AD2118" s="42" t="n"/>
      <c r="AE2118" s="42" t="n"/>
      <c r="AF2118" s="43">
        <f>IF($B2118="","",SUM($T2118:$AE2118))</f>
        <v/>
      </c>
      <c r="AG2118" s="43">
        <f>IF($B2118="","",N($M2118)-N($AF2118))</f>
        <v/>
      </c>
      <c r="AH2118" s="43">
        <f>IF($B2118="","",N($L2118)-N($AF2118))</f>
        <v/>
      </c>
      <c r="AI2118" s="149">
        <f>IF($B2118="","",IF(N($L2118)=0,"",(N($L2118)-N($AF2118))/N($L2118)))</f>
        <v/>
      </c>
    </row>
    <row r="2119">
      <c r="A2119" s="39">
        <f>IF($B2119="","",COUNTA($B$4:$B2119))</f>
        <v/>
      </c>
      <c r="B2119" s="45" t="n"/>
      <c r="C2119" s="46" t="n"/>
      <c r="D2119" s="46" t="n"/>
      <c r="E2119" s="46" t="n"/>
      <c r="F2119" s="46" t="n"/>
      <c r="G2119" s="46" t="n"/>
      <c r="H2119" s="46" t="n"/>
      <c r="I2119" s="46" t="n"/>
      <c r="J2119" s="46" t="n"/>
      <c r="K2119" s="46" t="n"/>
      <c r="L2119" s="47" t="n"/>
      <c r="M2119" s="47" t="n"/>
      <c r="N2119" s="47" t="n"/>
      <c r="O2119" s="47" t="n"/>
      <c r="P2119" s="47" t="n"/>
      <c r="Q2119" s="47" t="n"/>
      <c r="R2119" s="43">
        <f>IF($B2119="","",N($S2119)-N($Q2119))</f>
        <v/>
      </c>
      <c r="S2119" s="43">
        <f>IF($B2119="","",N($L2119)+N($N2119)+N($P2119))</f>
        <v/>
      </c>
      <c r="T2119" s="47" t="n"/>
      <c r="U2119" s="47" t="n"/>
      <c r="V2119" s="47" t="n"/>
      <c r="W2119" s="47" t="n"/>
      <c r="X2119" s="47" t="n"/>
      <c r="Y2119" s="47" t="n"/>
      <c r="Z2119" s="47" t="n"/>
      <c r="AA2119" s="47" t="n"/>
      <c r="AB2119" s="47" t="n"/>
      <c r="AC2119" s="47" t="n"/>
      <c r="AD2119" s="47" t="n"/>
      <c r="AE2119" s="47" t="n"/>
      <c r="AF2119" s="43">
        <f>IF($B2119="","",SUM($T2119:$AE2119))</f>
        <v/>
      </c>
      <c r="AG2119" s="43">
        <f>IF($B2119="","",N($M2119)-N($AF2119))</f>
        <v/>
      </c>
      <c r="AH2119" s="43">
        <f>IF($B2119="","",N($L2119)-N($AF2119))</f>
        <v/>
      </c>
      <c r="AI2119" s="149">
        <f>IF($B2119="","",IF(N($L2119)=0,"",(N($L2119)-N($AF2119))/N($L2119)))</f>
        <v/>
      </c>
    </row>
    <row r="2120">
      <c r="A2120" s="39">
        <f>IF($B2120="","",COUNTA($B$4:$B2120))</f>
        <v/>
      </c>
      <c r="B2120" s="40" t="n"/>
      <c r="C2120" s="41" t="n"/>
      <c r="D2120" s="41" t="n"/>
      <c r="E2120" s="41" t="n"/>
      <c r="F2120" s="41" t="n"/>
      <c r="G2120" s="41" t="n"/>
      <c r="H2120" s="41" t="n"/>
      <c r="I2120" s="41" t="n"/>
      <c r="J2120" s="41" t="n"/>
      <c r="K2120" s="41" t="n"/>
      <c r="L2120" s="42" t="n"/>
      <c r="M2120" s="42" t="n"/>
      <c r="N2120" s="42" t="n"/>
      <c r="O2120" s="42" t="n"/>
      <c r="P2120" s="42" t="n"/>
      <c r="Q2120" s="42" t="n"/>
      <c r="R2120" s="43">
        <f>IF($B2120="","",N($S2120)-N($Q2120))</f>
        <v/>
      </c>
      <c r="S2120" s="43">
        <f>IF($B2120="","",N($L2120)+N($N2120)+N($P2120))</f>
        <v/>
      </c>
      <c r="T2120" s="42" t="n"/>
      <c r="U2120" s="42" t="n"/>
      <c r="V2120" s="42" t="n"/>
      <c r="W2120" s="42" t="n"/>
      <c r="X2120" s="42" t="n"/>
      <c r="Y2120" s="42" t="n"/>
      <c r="Z2120" s="42" t="n"/>
      <c r="AA2120" s="42" t="n"/>
      <c r="AB2120" s="42" t="n"/>
      <c r="AC2120" s="42" t="n"/>
      <c r="AD2120" s="42" t="n"/>
      <c r="AE2120" s="42" t="n"/>
      <c r="AF2120" s="43">
        <f>IF($B2120="","",SUM($T2120:$AE2120))</f>
        <v/>
      </c>
      <c r="AG2120" s="43">
        <f>IF($B2120="","",N($M2120)-N($AF2120))</f>
        <v/>
      </c>
      <c r="AH2120" s="43">
        <f>IF($B2120="","",N($L2120)-N($AF2120))</f>
        <v/>
      </c>
      <c r="AI2120" s="149">
        <f>IF($B2120="","",IF(N($L2120)=0,"",(N($L2120)-N($AF2120))/N($L2120)))</f>
        <v/>
      </c>
    </row>
    <row r="2121">
      <c r="A2121" s="39">
        <f>IF($B2121="","",COUNTA($B$4:$B2121))</f>
        <v/>
      </c>
      <c r="B2121" s="45" t="n"/>
      <c r="C2121" s="46" t="n"/>
      <c r="D2121" s="46" t="n"/>
      <c r="E2121" s="46" t="n"/>
      <c r="F2121" s="46" t="n"/>
      <c r="G2121" s="46" t="n"/>
      <c r="H2121" s="46" t="n"/>
      <c r="I2121" s="46" t="n"/>
      <c r="J2121" s="46" t="n"/>
      <c r="K2121" s="46" t="n"/>
      <c r="L2121" s="47" t="n"/>
      <c r="M2121" s="47" t="n"/>
      <c r="N2121" s="47" t="n"/>
      <c r="O2121" s="47" t="n"/>
      <c r="P2121" s="47" t="n"/>
      <c r="Q2121" s="47" t="n"/>
      <c r="R2121" s="43">
        <f>IF($B2121="","",N($S2121)-N($Q2121))</f>
        <v/>
      </c>
      <c r="S2121" s="43">
        <f>IF($B2121="","",N($L2121)+N($N2121)+N($P2121))</f>
        <v/>
      </c>
      <c r="T2121" s="47" t="n"/>
      <c r="U2121" s="47" t="n"/>
      <c r="V2121" s="47" t="n"/>
      <c r="W2121" s="47" t="n"/>
      <c r="X2121" s="47" t="n"/>
      <c r="Y2121" s="47" t="n"/>
      <c r="Z2121" s="47" t="n"/>
      <c r="AA2121" s="47" t="n"/>
      <c r="AB2121" s="47" t="n"/>
      <c r="AC2121" s="47" t="n"/>
      <c r="AD2121" s="47" t="n"/>
      <c r="AE2121" s="47" t="n"/>
      <c r="AF2121" s="43">
        <f>IF($B2121="","",SUM($T2121:$AE2121))</f>
        <v/>
      </c>
      <c r="AG2121" s="43">
        <f>IF($B2121="","",N($M2121)-N($AF2121))</f>
        <v/>
      </c>
      <c r="AH2121" s="43">
        <f>IF($B2121="","",N($L2121)-N($AF2121))</f>
        <v/>
      </c>
      <c r="AI2121" s="149">
        <f>IF($B2121="","",IF(N($L2121)=0,"",(N($L2121)-N($AF2121))/N($L2121)))</f>
        <v/>
      </c>
    </row>
    <row r="2122">
      <c r="A2122" s="39">
        <f>IF($B2122="","",COUNTA($B$4:$B2122))</f>
        <v/>
      </c>
      <c r="B2122" s="40" t="n"/>
      <c r="C2122" s="41" t="n"/>
      <c r="D2122" s="41" t="n"/>
      <c r="E2122" s="41" t="n"/>
      <c r="F2122" s="41" t="n"/>
      <c r="G2122" s="41" t="n"/>
      <c r="H2122" s="41" t="n"/>
      <c r="I2122" s="41" t="n"/>
      <c r="J2122" s="41" t="n"/>
      <c r="K2122" s="41" t="n"/>
      <c r="L2122" s="42" t="n"/>
      <c r="M2122" s="42" t="n"/>
      <c r="N2122" s="42" t="n"/>
      <c r="O2122" s="42" t="n"/>
      <c r="P2122" s="42" t="n"/>
      <c r="Q2122" s="42" t="n"/>
      <c r="R2122" s="43">
        <f>IF($B2122="","",N($S2122)-N($Q2122))</f>
        <v/>
      </c>
      <c r="S2122" s="43">
        <f>IF($B2122="","",N($L2122)+N($N2122)+N($P2122))</f>
        <v/>
      </c>
      <c r="T2122" s="42" t="n"/>
      <c r="U2122" s="42" t="n"/>
      <c r="V2122" s="42" t="n"/>
      <c r="W2122" s="42" t="n"/>
      <c r="X2122" s="42" t="n"/>
      <c r="Y2122" s="42" t="n"/>
      <c r="Z2122" s="42" t="n"/>
      <c r="AA2122" s="42" t="n"/>
      <c r="AB2122" s="42" t="n"/>
      <c r="AC2122" s="42" t="n"/>
      <c r="AD2122" s="42" t="n"/>
      <c r="AE2122" s="42" t="n"/>
      <c r="AF2122" s="43">
        <f>IF($B2122="","",SUM($T2122:$AE2122))</f>
        <v/>
      </c>
      <c r="AG2122" s="43">
        <f>IF($B2122="","",N($M2122)-N($AF2122))</f>
        <v/>
      </c>
      <c r="AH2122" s="43">
        <f>IF($B2122="","",N($L2122)-N($AF2122))</f>
        <v/>
      </c>
      <c r="AI2122" s="149">
        <f>IF($B2122="","",IF(N($L2122)=0,"",(N($L2122)-N($AF2122))/N($L2122)))</f>
        <v/>
      </c>
    </row>
    <row r="2123">
      <c r="A2123" s="39">
        <f>IF($B2123="","",COUNTA($B$4:$B2123))</f>
        <v/>
      </c>
      <c r="B2123" s="45" t="n"/>
      <c r="C2123" s="46" t="n"/>
      <c r="D2123" s="46" t="n"/>
      <c r="E2123" s="46" t="n"/>
      <c r="F2123" s="46" t="n"/>
      <c r="G2123" s="46" t="n"/>
      <c r="H2123" s="46" t="n"/>
      <c r="I2123" s="46" t="n"/>
      <c r="J2123" s="46" t="n"/>
      <c r="K2123" s="46" t="n"/>
      <c r="L2123" s="47" t="n"/>
      <c r="M2123" s="47" t="n"/>
      <c r="N2123" s="47" t="n"/>
      <c r="O2123" s="47" t="n"/>
      <c r="P2123" s="47" t="n"/>
      <c r="Q2123" s="47" t="n"/>
      <c r="R2123" s="43">
        <f>IF($B2123="","",N($S2123)-N($Q2123))</f>
        <v/>
      </c>
      <c r="S2123" s="43">
        <f>IF($B2123="","",N($L2123)+N($N2123)+N($P2123))</f>
        <v/>
      </c>
      <c r="T2123" s="47" t="n"/>
      <c r="U2123" s="47" t="n"/>
      <c r="V2123" s="47" t="n"/>
      <c r="W2123" s="47" t="n"/>
      <c r="X2123" s="47" t="n"/>
      <c r="Y2123" s="47" t="n"/>
      <c r="Z2123" s="47" t="n"/>
      <c r="AA2123" s="47" t="n"/>
      <c r="AB2123" s="47" t="n"/>
      <c r="AC2123" s="47" t="n"/>
      <c r="AD2123" s="47" t="n"/>
      <c r="AE2123" s="47" t="n"/>
      <c r="AF2123" s="43">
        <f>IF($B2123="","",SUM($T2123:$AE2123))</f>
        <v/>
      </c>
      <c r="AG2123" s="43">
        <f>IF($B2123="","",N($M2123)-N($AF2123))</f>
        <v/>
      </c>
      <c r="AH2123" s="43">
        <f>IF($B2123="","",N($L2123)-N($AF2123))</f>
        <v/>
      </c>
      <c r="AI2123" s="149">
        <f>IF($B2123="","",IF(N($L2123)=0,"",(N($L2123)-N($AF2123))/N($L2123)))</f>
        <v/>
      </c>
    </row>
    <row r="2124">
      <c r="A2124" s="39">
        <f>IF($B2124="","",COUNTA($B$4:$B2124))</f>
        <v/>
      </c>
      <c r="B2124" s="40" t="n"/>
      <c r="C2124" s="41" t="n"/>
      <c r="D2124" s="41" t="n"/>
      <c r="E2124" s="41" t="n"/>
      <c r="F2124" s="41" t="n"/>
      <c r="G2124" s="41" t="n"/>
      <c r="H2124" s="41" t="n"/>
      <c r="I2124" s="41" t="n"/>
      <c r="J2124" s="41" t="n"/>
      <c r="K2124" s="41" t="n"/>
      <c r="L2124" s="42" t="n"/>
      <c r="M2124" s="42" t="n"/>
      <c r="N2124" s="42" t="n"/>
      <c r="O2124" s="42" t="n"/>
      <c r="P2124" s="42" t="n"/>
      <c r="Q2124" s="42" t="n"/>
      <c r="R2124" s="43">
        <f>IF($B2124="","",N($S2124)-N($Q2124))</f>
        <v/>
      </c>
      <c r="S2124" s="43">
        <f>IF($B2124="","",N($L2124)+N($N2124)+N($P2124))</f>
        <v/>
      </c>
      <c r="T2124" s="42" t="n"/>
      <c r="U2124" s="42" t="n"/>
      <c r="V2124" s="42" t="n"/>
      <c r="W2124" s="42" t="n"/>
      <c r="X2124" s="42" t="n"/>
      <c r="Y2124" s="42" t="n"/>
      <c r="Z2124" s="42" t="n"/>
      <c r="AA2124" s="42" t="n"/>
      <c r="AB2124" s="42" t="n"/>
      <c r="AC2124" s="42" t="n"/>
      <c r="AD2124" s="42" t="n"/>
      <c r="AE2124" s="42" t="n"/>
      <c r="AF2124" s="43">
        <f>IF($B2124="","",SUM($T2124:$AE2124))</f>
        <v/>
      </c>
      <c r="AG2124" s="43">
        <f>IF($B2124="","",N($M2124)-N($AF2124))</f>
        <v/>
      </c>
      <c r="AH2124" s="43">
        <f>IF($B2124="","",N($L2124)-N($AF2124))</f>
        <v/>
      </c>
      <c r="AI2124" s="149">
        <f>IF($B2124="","",IF(N($L2124)=0,"",(N($L2124)-N($AF2124))/N($L2124)))</f>
        <v/>
      </c>
    </row>
    <row r="2125">
      <c r="A2125" s="39">
        <f>IF($B2125="","",COUNTA($B$4:$B2125))</f>
        <v/>
      </c>
      <c r="B2125" s="45" t="n"/>
      <c r="C2125" s="46" t="n"/>
      <c r="D2125" s="46" t="n"/>
      <c r="E2125" s="46" t="n"/>
      <c r="F2125" s="46" t="n"/>
      <c r="G2125" s="46" t="n"/>
      <c r="H2125" s="46" t="n"/>
      <c r="I2125" s="46" t="n"/>
      <c r="J2125" s="46" t="n"/>
      <c r="K2125" s="46" t="n"/>
      <c r="L2125" s="47" t="n"/>
      <c r="M2125" s="47" t="n"/>
      <c r="N2125" s="47" t="n"/>
      <c r="O2125" s="47" t="n"/>
      <c r="P2125" s="47" t="n"/>
      <c r="Q2125" s="47" t="n"/>
      <c r="R2125" s="43">
        <f>IF($B2125="","",N($S2125)-N($Q2125))</f>
        <v/>
      </c>
      <c r="S2125" s="43">
        <f>IF($B2125="","",N($L2125)+N($N2125)+N($P2125))</f>
        <v/>
      </c>
      <c r="T2125" s="47" t="n"/>
      <c r="U2125" s="47" t="n"/>
      <c r="V2125" s="47" t="n"/>
      <c r="W2125" s="47" t="n"/>
      <c r="X2125" s="47" t="n"/>
      <c r="Y2125" s="47" t="n"/>
      <c r="Z2125" s="47" t="n"/>
      <c r="AA2125" s="47" t="n"/>
      <c r="AB2125" s="47" t="n"/>
      <c r="AC2125" s="47" t="n"/>
      <c r="AD2125" s="47" t="n"/>
      <c r="AE2125" s="47" t="n"/>
      <c r="AF2125" s="43">
        <f>IF($B2125="","",SUM($T2125:$AE2125))</f>
        <v/>
      </c>
      <c r="AG2125" s="43">
        <f>IF($B2125="","",N($M2125)-N($AF2125))</f>
        <v/>
      </c>
      <c r="AH2125" s="43">
        <f>IF($B2125="","",N($L2125)-N($AF2125))</f>
        <v/>
      </c>
      <c r="AI2125" s="149">
        <f>IF($B2125="","",IF(N($L2125)=0,"",(N($L2125)-N($AF2125))/N($L2125)))</f>
        <v/>
      </c>
    </row>
    <row r="2126">
      <c r="A2126" s="39">
        <f>IF($B2126="","",COUNTA($B$4:$B2126))</f>
        <v/>
      </c>
      <c r="B2126" s="40" t="n"/>
      <c r="C2126" s="41" t="n"/>
      <c r="D2126" s="41" t="n"/>
      <c r="E2126" s="41" t="n"/>
      <c r="F2126" s="41" t="n"/>
      <c r="G2126" s="41" t="n"/>
      <c r="H2126" s="41" t="n"/>
      <c r="I2126" s="41" t="n"/>
      <c r="J2126" s="41" t="n"/>
      <c r="K2126" s="41" t="n"/>
      <c r="L2126" s="42" t="n"/>
      <c r="M2126" s="42" t="n"/>
      <c r="N2126" s="42" t="n"/>
      <c r="O2126" s="42" t="n"/>
      <c r="P2126" s="42" t="n"/>
      <c r="Q2126" s="42" t="n"/>
      <c r="R2126" s="43">
        <f>IF($B2126="","",N($S2126)-N($Q2126))</f>
        <v/>
      </c>
      <c r="S2126" s="43">
        <f>IF($B2126="","",N($L2126)+N($N2126)+N($P2126))</f>
        <v/>
      </c>
      <c r="T2126" s="42" t="n"/>
      <c r="U2126" s="42" t="n"/>
      <c r="V2126" s="42" t="n"/>
      <c r="W2126" s="42" t="n"/>
      <c r="X2126" s="42" t="n"/>
      <c r="Y2126" s="42" t="n"/>
      <c r="Z2126" s="42" t="n"/>
      <c r="AA2126" s="42" t="n"/>
      <c r="AB2126" s="42" t="n"/>
      <c r="AC2126" s="42" t="n"/>
      <c r="AD2126" s="42" t="n"/>
      <c r="AE2126" s="42" t="n"/>
      <c r="AF2126" s="43">
        <f>IF($B2126="","",SUM($T2126:$AE2126))</f>
        <v/>
      </c>
      <c r="AG2126" s="43">
        <f>IF($B2126="","",N($M2126)-N($AF2126))</f>
        <v/>
      </c>
      <c r="AH2126" s="43">
        <f>IF($B2126="","",N($L2126)-N($AF2126))</f>
        <v/>
      </c>
      <c r="AI2126" s="149">
        <f>IF($B2126="","",IF(N($L2126)=0,"",(N($L2126)-N($AF2126))/N($L2126)))</f>
        <v/>
      </c>
    </row>
    <row r="2127">
      <c r="A2127" s="39">
        <f>IF($B2127="","",COUNTA($B$4:$B2127))</f>
        <v/>
      </c>
      <c r="B2127" s="45" t="n"/>
      <c r="C2127" s="46" t="n"/>
      <c r="D2127" s="46" t="n"/>
      <c r="E2127" s="46" t="n"/>
      <c r="F2127" s="46" t="n"/>
      <c r="G2127" s="46" t="n"/>
      <c r="H2127" s="46" t="n"/>
      <c r="I2127" s="46" t="n"/>
      <c r="J2127" s="46" t="n"/>
      <c r="K2127" s="46" t="n"/>
      <c r="L2127" s="47" t="n"/>
      <c r="M2127" s="47" t="n"/>
      <c r="N2127" s="47" t="n"/>
      <c r="O2127" s="47" t="n"/>
      <c r="P2127" s="47" t="n"/>
      <c r="Q2127" s="47" t="n"/>
      <c r="R2127" s="43">
        <f>IF($B2127="","",N($S2127)-N($Q2127))</f>
        <v/>
      </c>
      <c r="S2127" s="43">
        <f>IF($B2127="","",N($L2127)+N($N2127)+N($P2127))</f>
        <v/>
      </c>
      <c r="T2127" s="47" t="n"/>
      <c r="U2127" s="47" t="n"/>
      <c r="V2127" s="47" t="n"/>
      <c r="W2127" s="47" t="n"/>
      <c r="X2127" s="47" t="n"/>
      <c r="Y2127" s="47" t="n"/>
      <c r="Z2127" s="47" t="n"/>
      <c r="AA2127" s="47" t="n"/>
      <c r="AB2127" s="47" t="n"/>
      <c r="AC2127" s="47" t="n"/>
      <c r="AD2127" s="47" t="n"/>
      <c r="AE2127" s="47" t="n"/>
      <c r="AF2127" s="43">
        <f>IF($B2127="","",SUM($T2127:$AE2127))</f>
        <v/>
      </c>
      <c r="AG2127" s="43">
        <f>IF($B2127="","",N($M2127)-N($AF2127))</f>
        <v/>
      </c>
      <c r="AH2127" s="43">
        <f>IF($B2127="","",N($L2127)-N($AF2127))</f>
        <v/>
      </c>
      <c r="AI2127" s="149">
        <f>IF($B2127="","",IF(N($L2127)=0,"",(N($L2127)-N($AF2127))/N($L2127)))</f>
        <v/>
      </c>
    </row>
    <row r="2128">
      <c r="A2128" s="39">
        <f>IF($B2128="","",COUNTA($B$4:$B2128))</f>
        <v/>
      </c>
      <c r="B2128" s="40" t="n"/>
      <c r="C2128" s="41" t="n"/>
      <c r="D2128" s="41" t="n"/>
      <c r="E2128" s="41" t="n"/>
      <c r="F2128" s="41" t="n"/>
      <c r="G2128" s="41" t="n"/>
      <c r="H2128" s="41" t="n"/>
      <c r="I2128" s="41" t="n"/>
      <c r="J2128" s="41" t="n"/>
      <c r="K2128" s="41" t="n"/>
      <c r="L2128" s="42" t="n"/>
      <c r="M2128" s="42" t="n"/>
      <c r="N2128" s="42" t="n"/>
      <c r="O2128" s="42" t="n"/>
      <c r="P2128" s="42" t="n"/>
      <c r="Q2128" s="42" t="n"/>
      <c r="R2128" s="43">
        <f>IF($B2128="","",N($S2128)-N($Q2128))</f>
        <v/>
      </c>
      <c r="S2128" s="43">
        <f>IF($B2128="","",N($L2128)+N($N2128)+N($P2128))</f>
        <v/>
      </c>
      <c r="T2128" s="42" t="n"/>
      <c r="U2128" s="42" t="n"/>
      <c r="V2128" s="42" t="n"/>
      <c r="W2128" s="42" t="n"/>
      <c r="X2128" s="42" t="n"/>
      <c r="Y2128" s="42" t="n"/>
      <c r="Z2128" s="42" t="n"/>
      <c r="AA2128" s="42" t="n"/>
      <c r="AB2128" s="42" t="n"/>
      <c r="AC2128" s="42" t="n"/>
      <c r="AD2128" s="42" t="n"/>
      <c r="AE2128" s="42" t="n"/>
      <c r="AF2128" s="43">
        <f>IF($B2128="","",SUM($T2128:$AE2128))</f>
        <v/>
      </c>
      <c r="AG2128" s="43">
        <f>IF($B2128="","",N($M2128)-N($AF2128))</f>
        <v/>
      </c>
      <c r="AH2128" s="43">
        <f>IF($B2128="","",N($L2128)-N($AF2128))</f>
        <v/>
      </c>
      <c r="AI2128" s="149">
        <f>IF($B2128="","",IF(N($L2128)=0,"",(N($L2128)-N($AF2128))/N($L2128)))</f>
        <v/>
      </c>
    </row>
    <row r="2129">
      <c r="A2129" s="39">
        <f>IF($B2129="","",COUNTA($B$4:$B2129))</f>
        <v/>
      </c>
      <c r="B2129" s="45" t="n"/>
      <c r="C2129" s="46" t="n"/>
      <c r="D2129" s="46" t="n"/>
      <c r="E2129" s="46" t="n"/>
      <c r="F2129" s="46" t="n"/>
      <c r="G2129" s="46" t="n"/>
      <c r="H2129" s="46" t="n"/>
      <c r="I2129" s="46" t="n"/>
      <c r="J2129" s="46" t="n"/>
      <c r="K2129" s="46" t="n"/>
      <c r="L2129" s="47" t="n"/>
      <c r="M2129" s="47" t="n"/>
      <c r="N2129" s="47" t="n"/>
      <c r="O2129" s="47" t="n"/>
      <c r="P2129" s="47" t="n"/>
      <c r="Q2129" s="47" t="n"/>
      <c r="R2129" s="43">
        <f>IF($B2129="","",N($S2129)-N($Q2129))</f>
        <v/>
      </c>
      <c r="S2129" s="43">
        <f>IF($B2129="","",N($L2129)+N($N2129)+N($P2129))</f>
        <v/>
      </c>
      <c r="T2129" s="47" t="n"/>
      <c r="U2129" s="47" t="n"/>
      <c r="V2129" s="47" t="n"/>
      <c r="W2129" s="47" t="n"/>
      <c r="X2129" s="47" t="n"/>
      <c r="Y2129" s="47" t="n"/>
      <c r="Z2129" s="47" t="n"/>
      <c r="AA2129" s="47" t="n"/>
      <c r="AB2129" s="47" t="n"/>
      <c r="AC2129" s="47" t="n"/>
      <c r="AD2129" s="47" t="n"/>
      <c r="AE2129" s="47" t="n"/>
      <c r="AF2129" s="43">
        <f>IF($B2129="","",SUM($T2129:$AE2129))</f>
        <v/>
      </c>
      <c r="AG2129" s="43">
        <f>IF($B2129="","",N($M2129)-N($AF2129))</f>
        <v/>
      </c>
      <c r="AH2129" s="43">
        <f>IF($B2129="","",N($L2129)-N($AF2129))</f>
        <v/>
      </c>
      <c r="AI2129" s="149">
        <f>IF($B2129="","",IF(N($L2129)=0,"",(N($L2129)-N($AF2129))/N($L2129)))</f>
        <v/>
      </c>
    </row>
    <row r="2130">
      <c r="A2130" s="39">
        <f>IF($B2130="","",COUNTA($B$4:$B2130))</f>
        <v/>
      </c>
      <c r="B2130" s="40" t="n"/>
      <c r="C2130" s="41" t="n"/>
      <c r="D2130" s="41" t="n"/>
      <c r="E2130" s="41" t="n"/>
      <c r="F2130" s="41" t="n"/>
      <c r="G2130" s="41" t="n"/>
      <c r="H2130" s="41" t="n"/>
      <c r="I2130" s="41" t="n"/>
      <c r="J2130" s="41" t="n"/>
      <c r="K2130" s="41" t="n"/>
      <c r="L2130" s="42" t="n"/>
      <c r="M2130" s="42" t="n"/>
      <c r="N2130" s="42" t="n"/>
      <c r="O2130" s="42" t="n"/>
      <c r="P2130" s="42" t="n"/>
      <c r="Q2130" s="42" t="n"/>
      <c r="R2130" s="43">
        <f>IF($B2130="","",N($S2130)-N($Q2130))</f>
        <v/>
      </c>
      <c r="S2130" s="43">
        <f>IF($B2130="","",N($L2130)+N($N2130)+N($P2130))</f>
        <v/>
      </c>
      <c r="T2130" s="42" t="n"/>
      <c r="U2130" s="42" t="n"/>
      <c r="V2130" s="42" t="n"/>
      <c r="W2130" s="42" t="n"/>
      <c r="X2130" s="42" t="n"/>
      <c r="Y2130" s="42" t="n"/>
      <c r="Z2130" s="42" t="n"/>
      <c r="AA2130" s="42" t="n"/>
      <c r="AB2130" s="42" t="n"/>
      <c r="AC2130" s="42" t="n"/>
      <c r="AD2130" s="42" t="n"/>
      <c r="AE2130" s="42" t="n"/>
      <c r="AF2130" s="43">
        <f>IF($B2130="","",SUM($T2130:$AE2130))</f>
        <v/>
      </c>
      <c r="AG2130" s="43">
        <f>IF($B2130="","",N($M2130)-N($AF2130))</f>
        <v/>
      </c>
      <c r="AH2130" s="43">
        <f>IF($B2130="","",N($L2130)-N($AF2130))</f>
        <v/>
      </c>
      <c r="AI2130" s="149">
        <f>IF($B2130="","",IF(N($L2130)=0,"",(N($L2130)-N($AF2130))/N($L2130)))</f>
        <v/>
      </c>
    </row>
    <row r="2131">
      <c r="A2131" s="39">
        <f>IF($B2131="","",COUNTA($B$4:$B2131))</f>
        <v/>
      </c>
      <c r="B2131" s="45" t="n"/>
      <c r="C2131" s="46" t="n"/>
      <c r="D2131" s="46" t="n"/>
      <c r="E2131" s="46" t="n"/>
      <c r="F2131" s="46" t="n"/>
      <c r="G2131" s="46" t="n"/>
      <c r="H2131" s="46" t="n"/>
      <c r="I2131" s="46" t="n"/>
      <c r="J2131" s="46" t="n"/>
      <c r="K2131" s="46" t="n"/>
      <c r="L2131" s="47" t="n"/>
      <c r="M2131" s="47" t="n"/>
      <c r="N2131" s="47" t="n"/>
      <c r="O2131" s="47" t="n"/>
      <c r="P2131" s="47" t="n"/>
      <c r="Q2131" s="47" t="n"/>
      <c r="R2131" s="43">
        <f>IF($B2131="","",N($S2131)-N($Q2131))</f>
        <v/>
      </c>
      <c r="S2131" s="43">
        <f>IF($B2131="","",N($L2131)+N($N2131)+N($P2131))</f>
        <v/>
      </c>
      <c r="T2131" s="47" t="n"/>
      <c r="U2131" s="47" t="n"/>
      <c r="V2131" s="47" t="n"/>
      <c r="W2131" s="47" t="n"/>
      <c r="X2131" s="47" t="n"/>
      <c r="Y2131" s="47" t="n"/>
      <c r="Z2131" s="47" t="n"/>
      <c r="AA2131" s="47" t="n"/>
      <c r="AB2131" s="47" t="n"/>
      <c r="AC2131" s="47" t="n"/>
      <c r="AD2131" s="47" t="n"/>
      <c r="AE2131" s="47" t="n"/>
      <c r="AF2131" s="43">
        <f>IF($B2131="","",SUM($T2131:$AE2131))</f>
        <v/>
      </c>
      <c r="AG2131" s="43">
        <f>IF($B2131="","",N($M2131)-N($AF2131))</f>
        <v/>
      </c>
      <c r="AH2131" s="43">
        <f>IF($B2131="","",N($L2131)-N($AF2131))</f>
        <v/>
      </c>
      <c r="AI2131" s="149">
        <f>IF($B2131="","",IF(N($L2131)=0,"",(N($L2131)-N($AF2131))/N($L2131)))</f>
        <v/>
      </c>
    </row>
    <row r="2132">
      <c r="A2132" s="39">
        <f>IF($B2132="","",COUNTA($B$4:$B2132))</f>
        <v/>
      </c>
      <c r="B2132" s="40" t="n"/>
      <c r="C2132" s="41" t="n"/>
      <c r="D2132" s="41" t="n"/>
      <c r="E2132" s="41" t="n"/>
      <c r="F2132" s="41" t="n"/>
      <c r="G2132" s="41" t="n"/>
      <c r="H2132" s="41" t="n"/>
      <c r="I2132" s="41" t="n"/>
      <c r="J2132" s="41" t="n"/>
      <c r="K2132" s="41" t="n"/>
      <c r="L2132" s="42" t="n"/>
      <c r="M2132" s="42" t="n"/>
      <c r="N2132" s="42" t="n"/>
      <c r="O2132" s="42" t="n"/>
      <c r="P2132" s="42" t="n"/>
      <c r="Q2132" s="42" t="n"/>
      <c r="R2132" s="43">
        <f>IF($B2132="","",N($S2132)-N($Q2132))</f>
        <v/>
      </c>
      <c r="S2132" s="43">
        <f>IF($B2132="","",N($L2132)+N($N2132)+N($P2132))</f>
        <v/>
      </c>
      <c r="T2132" s="42" t="n"/>
      <c r="U2132" s="42" t="n"/>
      <c r="V2132" s="42" t="n"/>
      <c r="W2132" s="42" t="n"/>
      <c r="X2132" s="42" t="n"/>
      <c r="Y2132" s="42" t="n"/>
      <c r="Z2132" s="42" t="n"/>
      <c r="AA2132" s="42" t="n"/>
      <c r="AB2132" s="42" t="n"/>
      <c r="AC2132" s="42" t="n"/>
      <c r="AD2132" s="42" t="n"/>
      <c r="AE2132" s="42" t="n"/>
      <c r="AF2132" s="43">
        <f>IF($B2132="","",SUM($T2132:$AE2132))</f>
        <v/>
      </c>
      <c r="AG2132" s="43">
        <f>IF($B2132="","",N($M2132)-N($AF2132))</f>
        <v/>
      </c>
      <c r="AH2132" s="43">
        <f>IF($B2132="","",N($L2132)-N($AF2132))</f>
        <v/>
      </c>
      <c r="AI2132" s="149">
        <f>IF($B2132="","",IF(N($L2132)=0,"",(N($L2132)-N($AF2132))/N($L2132)))</f>
        <v/>
      </c>
    </row>
    <row r="2133">
      <c r="A2133" s="39">
        <f>IF($B2133="","",COUNTA($B$4:$B2133))</f>
        <v/>
      </c>
      <c r="B2133" s="45" t="n"/>
      <c r="C2133" s="46" t="n"/>
      <c r="D2133" s="46" t="n"/>
      <c r="E2133" s="46" t="n"/>
      <c r="F2133" s="46" t="n"/>
      <c r="G2133" s="46" t="n"/>
      <c r="H2133" s="46" t="n"/>
      <c r="I2133" s="46" t="n"/>
      <c r="J2133" s="46" t="n"/>
      <c r="K2133" s="46" t="n"/>
      <c r="L2133" s="47" t="n"/>
      <c r="M2133" s="47" t="n"/>
      <c r="N2133" s="47" t="n"/>
      <c r="O2133" s="47" t="n"/>
      <c r="P2133" s="47" t="n"/>
      <c r="Q2133" s="47" t="n"/>
      <c r="R2133" s="43">
        <f>IF($B2133="","",N($S2133)-N($Q2133))</f>
        <v/>
      </c>
      <c r="S2133" s="43">
        <f>IF($B2133="","",N($L2133)+N($N2133)+N($P2133))</f>
        <v/>
      </c>
      <c r="T2133" s="47" t="n"/>
      <c r="U2133" s="47" t="n"/>
      <c r="V2133" s="47" t="n"/>
      <c r="W2133" s="47" t="n"/>
      <c r="X2133" s="47" t="n"/>
      <c r="Y2133" s="47" t="n"/>
      <c r="Z2133" s="47" t="n"/>
      <c r="AA2133" s="47" t="n"/>
      <c r="AB2133" s="47" t="n"/>
      <c r="AC2133" s="47" t="n"/>
      <c r="AD2133" s="47" t="n"/>
      <c r="AE2133" s="47" t="n"/>
      <c r="AF2133" s="43">
        <f>IF($B2133="","",SUM($T2133:$AE2133))</f>
        <v/>
      </c>
      <c r="AG2133" s="43">
        <f>IF($B2133="","",N($M2133)-N($AF2133))</f>
        <v/>
      </c>
      <c r="AH2133" s="43">
        <f>IF($B2133="","",N($L2133)-N($AF2133))</f>
        <v/>
      </c>
      <c r="AI2133" s="149">
        <f>IF($B2133="","",IF(N($L2133)=0,"",(N($L2133)-N($AF2133))/N($L2133)))</f>
        <v/>
      </c>
    </row>
    <row r="2134">
      <c r="A2134" s="39">
        <f>IF($B2134="","",COUNTA($B$4:$B2134))</f>
        <v/>
      </c>
      <c r="B2134" s="40" t="n"/>
      <c r="C2134" s="41" t="n"/>
      <c r="D2134" s="41" t="n"/>
      <c r="E2134" s="41" t="n"/>
      <c r="F2134" s="41" t="n"/>
      <c r="G2134" s="41" t="n"/>
      <c r="H2134" s="41" t="n"/>
      <c r="I2134" s="41" t="n"/>
      <c r="J2134" s="41" t="n"/>
      <c r="K2134" s="41" t="n"/>
      <c r="L2134" s="42" t="n"/>
      <c r="M2134" s="42" t="n"/>
      <c r="N2134" s="42" t="n"/>
      <c r="O2134" s="42" t="n"/>
      <c r="P2134" s="42" t="n"/>
      <c r="Q2134" s="42" t="n"/>
      <c r="R2134" s="43">
        <f>IF($B2134="","",N($S2134)-N($Q2134))</f>
        <v/>
      </c>
      <c r="S2134" s="43">
        <f>IF($B2134="","",N($L2134)+N($N2134)+N($P2134))</f>
        <v/>
      </c>
      <c r="T2134" s="42" t="n"/>
      <c r="U2134" s="42" t="n"/>
      <c r="V2134" s="42" t="n"/>
      <c r="W2134" s="42" t="n"/>
      <c r="X2134" s="42" t="n"/>
      <c r="Y2134" s="42" t="n"/>
      <c r="Z2134" s="42" t="n"/>
      <c r="AA2134" s="42" t="n"/>
      <c r="AB2134" s="42" t="n"/>
      <c r="AC2134" s="42" t="n"/>
      <c r="AD2134" s="42" t="n"/>
      <c r="AE2134" s="42" t="n"/>
      <c r="AF2134" s="43">
        <f>IF($B2134="","",SUM($T2134:$AE2134))</f>
        <v/>
      </c>
      <c r="AG2134" s="43">
        <f>IF($B2134="","",N($M2134)-N($AF2134))</f>
        <v/>
      </c>
      <c r="AH2134" s="43">
        <f>IF($B2134="","",N($L2134)-N($AF2134))</f>
        <v/>
      </c>
      <c r="AI2134" s="149">
        <f>IF($B2134="","",IF(N($L2134)=0,"",(N($L2134)-N($AF2134))/N($L2134)))</f>
        <v/>
      </c>
    </row>
    <row r="2135">
      <c r="A2135" s="39">
        <f>IF($B2135="","",COUNTA($B$4:$B2135))</f>
        <v/>
      </c>
      <c r="B2135" s="45" t="n"/>
      <c r="C2135" s="46" t="n"/>
      <c r="D2135" s="46" t="n"/>
      <c r="E2135" s="46" t="n"/>
      <c r="F2135" s="46" t="n"/>
      <c r="G2135" s="46" t="n"/>
      <c r="H2135" s="46" t="n"/>
      <c r="I2135" s="46" t="n"/>
      <c r="J2135" s="46" t="n"/>
      <c r="K2135" s="46" t="n"/>
      <c r="L2135" s="47" t="n"/>
      <c r="M2135" s="47" t="n"/>
      <c r="N2135" s="47" t="n"/>
      <c r="O2135" s="47" t="n"/>
      <c r="P2135" s="47" t="n"/>
      <c r="Q2135" s="47" t="n"/>
      <c r="R2135" s="43">
        <f>IF($B2135="","",N($S2135)-N($Q2135))</f>
        <v/>
      </c>
      <c r="S2135" s="43">
        <f>IF($B2135="","",N($L2135)+N($N2135)+N($P2135))</f>
        <v/>
      </c>
      <c r="T2135" s="47" t="n"/>
      <c r="U2135" s="47" t="n"/>
      <c r="V2135" s="47" t="n"/>
      <c r="W2135" s="47" t="n"/>
      <c r="X2135" s="47" t="n"/>
      <c r="Y2135" s="47" t="n"/>
      <c r="Z2135" s="47" t="n"/>
      <c r="AA2135" s="47" t="n"/>
      <c r="AB2135" s="47" t="n"/>
      <c r="AC2135" s="47" t="n"/>
      <c r="AD2135" s="47" t="n"/>
      <c r="AE2135" s="47" t="n"/>
      <c r="AF2135" s="43">
        <f>IF($B2135="","",SUM($T2135:$AE2135))</f>
        <v/>
      </c>
      <c r="AG2135" s="43">
        <f>IF($B2135="","",N($M2135)-N($AF2135))</f>
        <v/>
      </c>
      <c r="AH2135" s="43">
        <f>IF($B2135="","",N($L2135)-N($AF2135))</f>
        <v/>
      </c>
      <c r="AI2135" s="149">
        <f>IF($B2135="","",IF(N($L2135)=0,"",(N($L2135)-N($AF2135))/N($L2135)))</f>
        <v/>
      </c>
    </row>
    <row r="2136">
      <c r="A2136" s="39">
        <f>IF($B2136="","",COUNTA($B$4:$B2136))</f>
        <v/>
      </c>
      <c r="B2136" s="40" t="n"/>
      <c r="C2136" s="41" t="n"/>
      <c r="D2136" s="41" t="n"/>
      <c r="E2136" s="41" t="n"/>
      <c r="F2136" s="41" t="n"/>
      <c r="G2136" s="41" t="n"/>
      <c r="H2136" s="41" t="n"/>
      <c r="I2136" s="41" t="n"/>
      <c r="J2136" s="41" t="n"/>
      <c r="K2136" s="41" t="n"/>
      <c r="L2136" s="42" t="n"/>
      <c r="M2136" s="42" t="n"/>
      <c r="N2136" s="42" t="n"/>
      <c r="O2136" s="42" t="n"/>
      <c r="P2136" s="42" t="n"/>
      <c r="Q2136" s="42" t="n"/>
      <c r="R2136" s="43">
        <f>IF($B2136="","",N($S2136)-N($Q2136))</f>
        <v/>
      </c>
      <c r="S2136" s="43">
        <f>IF($B2136="","",N($L2136)+N($N2136)+N($P2136))</f>
        <v/>
      </c>
      <c r="T2136" s="42" t="n"/>
      <c r="U2136" s="42" t="n"/>
      <c r="V2136" s="42" t="n"/>
      <c r="W2136" s="42" t="n"/>
      <c r="X2136" s="42" t="n"/>
      <c r="Y2136" s="42" t="n"/>
      <c r="Z2136" s="42" t="n"/>
      <c r="AA2136" s="42" t="n"/>
      <c r="AB2136" s="42" t="n"/>
      <c r="AC2136" s="42" t="n"/>
      <c r="AD2136" s="42" t="n"/>
      <c r="AE2136" s="42" t="n"/>
      <c r="AF2136" s="43">
        <f>IF($B2136="","",SUM($T2136:$AE2136))</f>
        <v/>
      </c>
      <c r="AG2136" s="43">
        <f>IF($B2136="","",N($M2136)-N($AF2136))</f>
        <v/>
      </c>
      <c r="AH2136" s="43">
        <f>IF($B2136="","",N($L2136)-N($AF2136))</f>
        <v/>
      </c>
      <c r="AI2136" s="149">
        <f>IF($B2136="","",IF(N($L2136)=0,"",(N($L2136)-N($AF2136))/N($L2136)))</f>
        <v/>
      </c>
    </row>
    <row r="2137">
      <c r="A2137" s="39">
        <f>IF($B2137="","",COUNTA($B$4:$B2137))</f>
        <v/>
      </c>
      <c r="B2137" s="45" t="n"/>
      <c r="C2137" s="46" t="n"/>
      <c r="D2137" s="46" t="n"/>
      <c r="E2137" s="46" t="n"/>
      <c r="F2137" s="46" t="n"/>
      <c r="G2137" s="46" t="n"/>
      <c r="H2137" s="46" t="n"/>
      <c r="I2137" s="46" t="n"/>
      <c r="J2137" s="46" t="n"/>
      <c r="K2137" s="46" t="n"/>
      <c r="L2137" s="47" t="n"/>
      <c r="M2137" s="47" t="n"/>
      <c r="N2137" s="47" t="n"/>
      <c r="O2137" s="47" t="n"/>
      <c r="P2137" s="47" t="n"/>
      <c r="Q2137" s="47" t="n"/>
      <c r="R2137" s="43">
        <f>IF($B2137="","",N($S2137)-N($Q2137))</f>
        <v/>
      </c>
      <c r="S2137" s="43">
        <f>IF($B2137="","",N($L2137)+N($N2137)+N($P2137))</f>
        <v/>
      </c>
      <c r="T2137" s="47" t="n"/>
      <c r="U2137" s="47" t="n"/>
      <c r="V2137" s="47" t="n"/>
      <c r="W2137" s="47" t="n"/>
      <c r="X2137" s="47" t="n"/>
      <c r="Y2137" s="47" t="n"/>
      <c r="Z2137" s="47" t="n"/>
      <c r="AA2137" s="47" t="n"/>
      <c r="AB2137" s="47" t="n"/>
      <c r="AC2137" s="47" t="n"/>
      <c r="AD2137" s="47" t="n"/>
      <c r="AE2137" s="47" t="n"/>
      <c r="AF2137" s="43">
        <f>IF($B2137="","",SUM($T2137:$AE2137))</f>
        <v/>
      </c>
      <c r="AG2137" s="43">
        <f>IF($B2137="","",N($M2137)-N($AF2137))</f>
        <v/>
      </c>
      <c r="AH2137" s="43">
        <f>IF($B2137="","",N($L2137)-N($AF2137))</f>
        <v/>
      </c>
      <c r="AI2137" s="149">
        <f>IF($B2137="","",IF(N($L2137)=0,"",(N($L2137)-N($AF2137))/N($L2137)))</f>
        <v/>
      </c>
    </row>
    <row r="2138">
      <c r="A2138" s="39">
        <f>IF($B2138="","",COUNTA($B$4:$B2138))</f>
        <v/>
      </c>
      <c r="B2138" s="40" t="n"/>
      <c r="C2138" s="41" t="n"/>
      <c r="D2138" s="41" t="n"/>
      <c r="E2138" s="41" t="n"/>
      <c r="F2138" s="41" t="n"/>
      <c r="G2138" s="41" t="n"/>
      <c r="H2138" s="41" t="n"/>
      <c r="I2138" s="41" t="n"/>
      <c r="J2138" s="41" t="n"/>
      <c r="K2138" s="41" t="n"/>
      <c r="L2138" s="42" t="n"/>
      <c r="M2138" s="42" t="n"/>
      <c r="N2138" s="42" t="n"/>
      <c r="O2138" s="42" t="n"/>
      <c r="P2138" s="42" t="n"/>
      <c r="Q2138" s="42" t="n"/>
      <c r="R2138" s="43">
        <f>IF($B2138="","",N($S2138)-N($Q2138))</f>
        <v/>
      </c>
      <c r="S2138" s="43">
        <f>IF($B2138="","",N($L2138)+N($N2138)+N($P2138))</f>
        <v/>
      </c>
      <c r="T2138" s="42" t="n"/>
      <c r="U2138" s="42" t="n"/>
      <c r="V2138" s="42" t="n"/>
      <c r="W2138" s="42" t="n"/>
      <c r="X2138" s="42" t="n"/>
      <c r="Y2138" s="42" t="n"/>
      <c r="Z2138" s="42" t="n"/>
      <c r="AA2138" s="42" t="n"/>
      <c r="AB2138" s="42" t="n"/>
      <c r="AC2138" s="42" t="n"/>
      <c r="AD2138" s="42" t="n"/>
      <c r="AE2138" s="42" t="n"/>
      <c r="AF2138" s="43">
        <f>IF($B2138="","",SUM($T2138:$AE2138))</f>
        <v/>
      </c>
      <c r="AG2138" s="43">
        <f>IF($B2138="","",N($M2138)-N($AF2138))</f>
        <v/>
      </c>
      <c r="AH2138" s="43">
        <f>IF($B2138="","",N($L2138)-N($AF2138))</f>
        <v/>
      </c>
      <c r="AI2138" s="149">
        <f>IF($B2138="","",IF(N($L2138)=0,"",(N($L2138)-N($AF2138))/N($L2138)))</f>
        <v/>
      </c>
    </row>
    <row r="2139">
      <c r="A2139" s="39">
        <f>IF($B2139="","",COUNTA($B$4:$B2139))</f>
        <v/>
      </c>
      <c r="B2139" s="45" t="n"/>
      <c r="C2139" s="46" t="n"/>
      <c r="D2139" s="46" t="n"/>
      <c r="E2139" s="46" t="n"/>
      <c r="F2139" s="46" t="n"/>
      <c r="G2139" s="46" t="n"/>
      <c r="H2139" s="46" t="n"/>
      <c r="I2139" s="46" t="n"/>
      <c r="J2139" s="46" t="n"/>
      <c r="K2139" s="46" t="n"/>
      <c r="L2139" s="47" t="n"/>
      <c r="M2139" s="47" t="n"/>
      <c r="N2139" s="47" t="n"/>
      <c r="O2139" s="47" t="n"/>
      <c r="P2139" s="47" t="n"/>
      <c r="Q2139" s="47" t="n"/>
      <c r="R2139" s="43">
        <f>IF($B2139="","",N($S2139)-N($Q2139))</f>
        <v/>
      </c>
      <c r="S2139" s="43">
        <f>IF($B2139="","",N($L2139)+N($N2139)+N($P2139))</f>
        <v/>
      </c>
      <c r="T2139" s="47" t="n"/>
      <c r="U2139" s="47" t="n"/>
      <c r="V2139" s="47" t="n"/>
      <c r="W2139" s="47" t="n"/>
      <c r="X2139" s="47" t="n"/>
      <c r="Y2139" s="47" t="n"/>
      <c r="Z2139" s="47" t="n"/>
      <c r="AA2139" s="47" t="n"/>
      <c r="AB2139" s="47" t="n"/>
      <c r="AC2139" s="47" t="n"/>
      <c r="AD2139" s="47" t="n"/>
      <c r="AE2139" s="47" t="n"/>
      <c r="AF2139" s="43">
        <f>IF($B2139="","",SUM($T2139:$AE2139))</f>
        <v/>
      </c>
      <c r="AG2139" s="43">
        <f>IF($B2139="","",N($M2139)-N($AF2139))</f>
        <v/>
      </c>
      <c r="AH2139" s="43">
        <f>IF($B2139="","",N($L2139)-N($AF2139))</f>
        <v/>
      </c>
      <c r="AI2139" s="149">
        <f>IF($B2139="","",IF(N($L2139)=0,"",(N($L2139)-N($AF2139))/N($L2139)))</f>
        <v/>
      </c>
    </row>
    <row r="2140">
      <c r="A2140" s="39">
        <f>IF($B2140="","",COUNTA($B$4:$B2140))</f>
        <v/>
      </c>
      <c r="B2140" s="40" t="n"/>
      <c r="C2140" s="41" t="n"/>
      <c r="D2140" s="41" t="n"/>
      <c r="E2140" s="41" t="n"/>
      <c r="F2140" s="41" t="n"/>
      <c r="G2140" s="41" t="n"/>
      <c r="H2140" s="41" t="n"/>
      <c r="I2140" s="41" t="n"/>
      <c r="J2140" s="41" t="n"/>
      <c r="K2140" s="41" t="n"/>
      <c r="L2140" s="42" t="n"/>
      <c r="M2140" s="42" t="n"/>
      <c r="N2140" s="42" t="n"/>
      <c r="O2140" s="42" t="n"/>
      <c r="P2140" s="42" t="n"/>
      <c r="Q2140" s="42" t="n"/>
      <c r="R2140" s="43">
        <f>IF($B2140="","",N($S2140)-N($Q2140))</f>
        <v/>
      </c>
      <c r="S2140" s="43">
        <f>IF($B2140="","",N($L2140)+N($N2140)+N($P2140))</f>
        <v/>
      </c>
      <c r="T2140" s="42" t="n"/>
      <c r="U2140" s="42" t="n"/>
      <c r="V2140" s="42" t="n"/>
      <c r="W2140" s="42" t="n"/>
      <c r="X2140" s="42" t="n"/>
      <c r="Y2140" s="42" t="n"/>
      <c r="Z2140" s="42" t="n"/>
      <c r="AA2140" s="42" t="n"/>
      <c r="AB2140" s="42" t="n"/>
      <c r="AC2140" s="42" t="n"/>
      <c r="AD2140" s="42" t="n"/>
      <c r="AE2140" s="42" t="n"/>
      <c r="AF2140" s="43">
        <f>IF($B2140="","",SUM($T2140:$AE2140))</f>
        <v/>
      </c>
      <c r="AG2140" s="43">
        <f>IF($B2140="","",N($M2140)-N($AF2140))</f>
        <v/>
      </c>
      <c r="AH2140" s="43">
        <f>IF($B2140="","",N($L2140)-N($AF2140))</f>
        <v/>
      </c>
      <c r="AI2140" s="149">
        <f>IF($B2140="","",IF(N($L2140)=0,"",(N($L2140)-N($AF2140))/N($L2140)))</f>
        <v/>
      </c>
    </row>
    <row r="2141">
      <c r="A2141" s="39">
        <f>IF($B2141="","",COUNTA($B$4:$B2141))</f>
        <v/>
      </c>
      <c r="B2141" s="45" t="n"/>
      <c r="C2141" s="46" t="n"/>
      <c r="D2141" s="46" t="n"/>
      <c r="E2141" s="46" t="n"/>
      <c r="F2141" s="46" t="n"/>
      <c r="G2141" s="46" t="n"/>
      <c r="H2141" s="46" t="n"/>
      <c r="I2141" s="46" t="n"/>
      <c r="J2141" s="46" t="n"/>
      <c r="K2141" s="46" t="n"/>
      <c r="L2141" s="47" t="n"/>
      <c r="M2141" s="47" t="n"/>
      <c r="N2141" s="47" t="n"/>
      <c r="O2141" s="47" t="n"/>
      <c r="P2141" s="47" t="n"/>
      <c r="Q2141" s="47" t="n"/>
      <c r="R2141" s="43">
        <f>IF($B2141="","",N($S2141)-N($Q2141))</f>
        <v/>
      </c>
      <c r="S2141" s="43">
        <f>IF($B2141="","",N($L2141)+N($N2141)+N($P2141))</f>
        <v/>
      </c>
      <c r="T2141" s="47" t="n"/>
      <c r="U2141" s="47" t="n"/>
      <c r="V2141" s="47" t="n"/>
      <c r="W2141" s="47" t="n"/>
      <c r="X2141" s="47" t="n"/>
      <c r="Y2141" s="47" t="n"/>
      <c r="Z2141" s="47" t="n"/>
      <c r="AA2141" s="47" t="n"/>
      <c r="AB2141" s="47" t="n"/>
      <c r="AC2141" s="47" t="n"/>
      <c r="AD2141" s="47" t="n"/>
      <c r="AE2141" s="47" t="n"/>
      <c r="AF2141" s="43">
        <f>IF($B2141="","",SUM($T2141:$AE2141))</f>
        <v/>
      </c>
      <c r="AG2141" s="43">
        <f>IF($B2141="","",N($M2141)-N($AF2141))</f>
        <v/>
      </c>
      <c r="AH2141" s="43">
        <f>IF($B2141="","",N($L2141)-N($AF2141))</f>
        <v/>
      </c>
      <c r="AI2141" s="149">
        <f>IF($B2141="","",IF(N($L2141)=0,"",(N($L2141)-N($AF2141))/N($L2141)))</f>
        <v/>
      </c>
    </row>
    <row r="2142">
      <c r="A2142" s="39">
        <f>IF($B2142="","",COUNTA($B$4:$B2142))</f>
        <v/>
      </c>
      <c r="B2142" s="40" t="n"/>
      <c r="C2142" s="41" t="n"/>
      <c r="D2142" s="41" t="n"/>
      <c r="E2142" s="41" t="n"/>
      <c r="F2142" s="41" t="n"/>
      <c r="G2142" s="41" t="n"/>
      <c r="H2142" s="41" t="n"/>
      <c r="I2142" s="41" t="n"/>
      <c r="J2142" s="41" t="n"/>
      <c r="K2142" s="41" t="n"/>
      <c r="L2142" s="42" t="n"/>
      <c r="M2142" s="42" t="n"/>
      <c r="N2142" s="42" t="n"/>
      <c r="O2142" s="42" t="n"/>
      <c r="P2142" s="42" t="n"/>
      <c r="Q2142" s="42" t="n"/>
      <c r="R2142" s="43">
        <f>IF($B2142="","",N($S2142)-N($Q2142))</f>
        <v/>
      </c>
      <c r="S2142" s="43">
        <f>IF($B2142="","",N($L2142)+N($N2142)+N($P2142))</f>
        <v/>
      </c>
      <c r="T2142" s="42" t="n"/>
      <c r="U2142" s="42" t="n"/>
      <c r="V2142" s="42" t="n"/>
      <c r="W2142" s="42" t="n"/>
      <c r="X2142" s="42" t="n"/>
      <c r="Y2142" s="42" t="n"/>
      <c r="Z2142" s="42" t="n"/>
      <c r="AA2142" s="42" t="n"/>
      <c r="AB2142" s="42" t="n"/>
      <c r="AC2142" s="42" t="n"/>
      <c r="AD2142" s="42" t="n"/>
      <c r="AE2142" s="42" t="n"/>
      <c r="AF2142" s="43">
        <f>IF($B2142="","",SUM($T2142:$AE2142))</f>
        <v/>
      </c>
      <c r="AG2142" s="43">
        <f>IF($B2142="","",N($M2142)-N($AF2142))</f>
        <v/>
      </c>
      <c r="AH2142" s="43">
        <f>IF($B2142="","",N($L2142)-N($AF2142))</f>
        <v/>
      </c>
      <c r="AI2142" s="149">
        <f>IF($B2142="","",IF(N($L2142)=0,"",(N($L2142)-N($AF2142))/N($L2142)))</f>
        <v/>
      </c>
    </row>
    <row r="2143">
      <c r="A2143" s="39">
        <f>IF($B2143="","",COUNTA($B$4:$B2143))</f>
        <v/>
      </c>
      <c r="B2143" s="45" t="n"/>
      <c r="C2143" s="46" t="n"/>
      <c r="D2143" s="46" t="n"/>
      <c r="E2143" s="46" t="n"/>
      <c r="F2143" s="46" t="n"/>
      <c r="G2143" s="46" t="n"/>
      <c r="H2143" s="46" t="n"/>
      <c r="I2143" s="46" t="n"/>
      <c r="J2143" s="46" t="n"/>
      <c r="K2143" s="46" t="n"/>
      <c r="L2143" s="47" t="n"/>
      <c r="M2143" s="47" t="n"/>
      <c r="N2143" s="47" t="n"/>
      <c r="O2143" s="47" t="n"/>
      <c r="P2143" s="47" t="n"/>
      <c r="Q2143" s="47" t="n"/>
      <c r="R2143" s="43">
        <f>IF($B2143="","",N($S2143)-N($Q2143))</f>
        <v/>
      </c>
      <c r="S2143" s="43">
        <f>IF($B2143="","",N($L2143)+N($N2143)+N($P2143))</f>
        <v/>
      </c>
      <c r="T2143" s="47" t="n"/>
      <c r="U2143" s="47" t="n"/>
      <c r="V2143" s="47" t="n"/>
      <c r="W2143" s="47" t="n"/>
      <c r="X2143" s="47" t="n"/>
      <c r="Y2143" s="47" t="n"/>
      <c r="Z2143" s="47" t="n"/>
      <c r="AA2143" s="47" t="n"/>
      <c r="AB2143" s="47" t="n"/>
      <c r="AC2143" s="47" t="n"/>
      <c r="AD2143" s="47" t="n"/>
      <c r="AE2143" s="47" t="n"/>
      <c r="AF2143" s="43">
        <f>IF($B2143="","",SUM($T2143:$AE2143))</f>
        <v/>
      </c>
      <c r="AG2143" s="43">
        <f>IF($B2143="","",N($M2143)-N($AF2143))</f>
        <v/>
      </c>
      <c r="AH2143" s="43">
        <f>IF($B2143="","",N($L2143)-N($AF2143))</f>
        <v/>
      </c>
      <c r="AI2143" s="149">
        <f>IF($B2143="","",IF(N($L2143)=0,"",(N($L2143)-N($AF2143))/N($L2143)))</f>
        <v/>
      </c>
    </row>
    <row r="2144">
      <c r="A2144" s="39">
        <f>IF($B2144="","",COUNTA($B$4:$B2144))</f>
        <v/>
      </c>
      <c r="B2144" s="40" t="n"/>
      <c r="C2144" s="41" t="n"/>
      <c r="D2144" s="41" t="n"/>
      <c r="E2144" s="41" t="n"/>
      <c r="F2144" s="41" t="n"/>
      <c r="G2144" s="41" t="n"/>
      <c r="H2144" s="41" t="n"/>
      <c r="I2144" s="41" t="n"/>
      <c r="J2144" s="41" t="n"/>
      <c r="K2144" s="41" t="n"/>
      <c r="L2144" s="42" t="n"/>
      <c r="M2144" s="42" t="n"/>
      <c r="N2144" s="42" t="n"/>
      <c r="O2144" s="42" t="n"/>
      <c r="P2144" s="42" t="n"/>
      <c r="Q2144" s="42" t="n"/>
      <c r="R2144" s="43">
        <f>IF($B2144="","",N($S2144)-N($Q2144))</f>
        <v/>
      </c>
      <c r="S2144" s="43">
        <f>IF($B2144="","",N($L2144)+N($N2144)+N($P2144))</f>
        <v/>
      </c>
      <c r="T2144" s="42" t="n"/>
      <c r="U2144" s="42" t="n"/>
      <c r="V2144" s="42" t="n"/>
      <c r="W2144" s="42" t="n"/>
      <c r="X2144" s="42" t="n"/>
      <c r="Y2144" s="42" t="n"/>
      <c r="Z2144" s="42" t="n"/>
      <c r="AA2144" s="42" t="n"/>
      <c r="AB2144" s="42" t="n"/>
      <c r="AC2144" s="42" t="n"/>
      <c r="AD2144" s="42" t="n"/>
      <c r="AE2144" s="42" t="n"/>
      <c r="AF2144" s="43">
        <f>IF($B2144="","",SUM($T2144:$AE2144))</f>
        <v/>
      </c>
      <c r="AG2144" s="43">
        <f>IF($B2144="","",N($M2144)-N($AF2144))</f>
        <v/>
      </c>
      <c r="AH2144" s="43">
        <f>IF($B2144="","",N($L2144)-N($AF2144))</f>
        <v/>
      </c>
      <c r="AI2144" s="149">
        <f>IF($B2144="","",IF(N($L2144)=0,"",(N($L2144)-N($AF2144))/N($L2144)))</f>
        <v/>
      </c>
    </row>
    <row r="2145">
      <c r="A2145" s="39">
        <f>IF($B2145="","",COUNTA($B$4:$B2145))</f>
        <v/>
      </c>
      <c r="B2145" s="45" t="n"/>
      <c r="C2145" s="46" t="n"/>
      <c r="D2145" s="46" t="n"/>
      <c r="E2145" s="46" t="n"/>
      <c r="F2145" s="46" t="n"/>
      <c r="G2145" s="46" t="n"/>
      <c r="H2145" s="46" t="n"/>
      <c r="I2145" s="46" t="n"/>
      <c r="J2145" s="46" t="n"/>
      <c r="K2145" s="46" t="n"/>
      <c r="L2145" s="47" t="n"/>
      <c r="M2145" s="47" t="n"/>
      <c r="N2145" s="47" t="n"/>
      <c r="O2145" s="47" t="n"/>
      <c r="P2145" s="47" t="n"/>
      <c r="Q2145" s="47" t="n"/>
      <c r="R2145" s="43">
        <f>IF($B2145="","",N($S2145)-N($Q2145))</f>
        <v/>
      </c>
      <c r="S2145" s="43">
        <f>IF($B2145="","",N($L2145)+N($N2145)+N($P2145))</f>
        <v/>
      </c>
      <c r="T2145" s="47" t="n"/>
      <c r="U2145" s="47" t="n"/>
      <c r="V2145" s="47" t="n"/>
      <c r="W2145" s="47" t="n"/>
      <c r="X2145" s="47" t="n"/>
      <c r="Y2145" s="47" t="n"/>
      <c r="Z2145" s="47" t="n"/>
      <c r="AA2145" s="47" t="n"/>
      <c r="AB2145" s="47" t="n"/>
      <c r="AC2145" s="47" t="n"/>
      <c r="AD2145" s="47" t="n"/>
      <c r="AE2145" s="47" t="n"/>
      <c r="AF2145" s="43">
        <f>IF($B2145="","",SUM($T2145:$AE2145))</f>
        <v/>
      </c>
      <c r="AG2145" s="43">
        <f>IF($B2145="","",N($M2145)-N($AF2145))</f>
        <v/>
      </c>
      <c r="AH2145" s="43">
        <f>IF($B2145="","",N($L2145)-N($AF2145))</f>
        <v/>
      </c>
      <c r="AI2145" s="149">
        <f>IF($B2145="","",IF(N($L2145)=0,"",(N($L2145)-N($AF2145))/N($L2145)))</f>
        <v/>
      </c>
    </row>
    <row r="2146">
      <c r="A2146" s="39">
        <f>IF($B2146="","",COUNTA($B$4:$B2146))</f>
        <v/>
      </c>
      <c r="B2146" s="40" t="n"/>
      <c r="C2146" s="41" t="n"/>
      <c r="D2146" s="41" t="n"/>
      <c r="E2146" s="41" t="n"/>
      <c r="F2146" s="41" t="n"/>
      <c r="G2146" s="41" t="n"/>
      <c r="H2146" s="41" t="n"/>
      <c r="I2146" s="41" t="n"/>
      <c r="J2146" s="41" t="n"/>
      <c r="K2146" s="41" t="n"/>
      <c r="L2146" s="42" t="n"/>
      <c r="M2146" s="42" t="n"/>
      <c r="N2146" s="42" t="n"/>
      <c r="O2146" s="42" t="n"/>
      <c r="P2146" s="42" t="n"/>
      <c r="Q2146" s="42" t="n"/>
      <c r="R2146" s="43">
        <f>IF($B2146="","",N($S2146)-N($Q2146))</f>
        <v/>
      </c>
      <c r="S2146" s="43">
        <f>IF($B2146="","",N($L2146)+N($N2146)+N($P2146))</f>
        <v/>
      </c>
      <c r="T2146" s="42" t="n"/>
      <c r="U2146" s="42" t="n"/>
      <c r="V2146" s="42" t="n"/>
      <c r="W2146" s="42" t="n"/>
      <c r="X2146" s="42" t="n"/>
      <c r="Y2146" s="42" t="n"/>
      <c r="Z2146" s="42" t="n"/>
      <c r="AA2146" s="42" t="n"/>
      <c r="AB2146" s="42" t="n"/>
      <c r="AC2146" s="42" t="n"/>
      <c r="AD2146" s="42" t="n"/>
      <c r="AE2146" s="42" t="n"/>
      <c r="AF2146" s="43">
        <f>IF($B2146="","",SUM($T2146:$AE2146))</f>
        <v/>
      </c>
      <c r="AG2146" s="43">
        <f>IF($B2146="","",N($M2146)-N($AF2146))</f>
        <v/>
      </c>
      <c r="AH2146" s="43">
        <f>IF($B2146="","",N($L2146)-N($AF2146))</f>
        <v/>
      </c>
      <c r="AI2146" s="149">
        <f>IF($B2146="","",IF(N($L2146)=0,"",(N($L2146)-N($AF2146))/N($L2146)))</f>
        <v/>
      </c>
    </row>
    <row r="2147">
      <c r="A2147" s="39">
        <f>IF($B2147="","",COUNTA($B$4:$B2147))</f>
        <v/>
      </c>
      <c r="B2147" s="45" t="n"/>
      <c r="C2147" s="46" t="n"/>
      <c r="D2147" s="46" t="n"/>
      <c r="E2147" s="46" t="n"/>
      <c r="F2147" s="46" t="n"/>
      <c r="G2147" s="46" t="n"/>
      <c r="H2147" s="46" t="n"/>
      <c r="I2147" s="46" t="n"/>
      <c r="J2147" s="46" t="n"/>
      <c r="K2147" s="46" t="n"/>
      <c r="L2147" s="47" t="n"/>
      <c r="M2147" s="47" t="n"/>
      <c r="N2147" s="47" t="n"/>
      <c r="O2147" s="47" t="n"/>
      <c r="P2147" s="47" t="n"/>
      <c r="Q2147" s="47" t="n"/>
      <c r="R2147" s="43">
        <f>IF($B2147="","",N($S2147)-N($Q2147))</f>
        <v/>
      </c>
      <c r="S2147" s="43">
        <f>IF($B2147="","",N($L2147)+N($N2147)+N($P2147))</f>
        <v/>
      </c>
      <c r="T2147" s="47" t="n"/>
      <c r="U2147" s="47" t="n"/>
      <c r="V2147" s="47" t="n"/>
      <c r="W2147" s="47" t="n"/>
      <c r="X2147" s="47" t="n"/>
      <c r="Y2147" s="47" t="n"/>
      <c r="Z2147" s="47" t="n"/>
      <c r="AA2147" s="47" t="n"/>
      <c r="AB2147" s="47" t="n"/>
      <c r="AC2147" s="47" t="n"/>
      <c r="AD2147" s="47" t="n"/>
      <c r="AE2147" s="47" t="n"/>
      <c r="AF2147" s="43">
        <f>IF($B2147="","",SUM($T2147:$AE2147))</f>
        <v/>
      </c>
      <c r="AG2147" s="43">
        <f>IF($B2147="","",N($M2147)-N($AF2147))</f>
        <v/>
      </c>
      <c r="AH2147" s="43">
        <f>IF($B2147="","",N($L2147)-N($AF2147))</f>
        <v/>
      </c>
      <c r="AI2147" s="149">
        <f>IF($B2147="","",IF(N($L2147)=0,"",(N($L2147)-N($AF2147))/N($L2147)))</f>
        <v/>
      </c>
    </row>
    <row r="2148">
      <c r="A2148" s="39">
        <f>IF($B2148="","",COUNTA($B$4:$B2148))</f>
        <v/>
      </c>
      <c r="B2148" s="40" t="n"/>
      <c r="C2148" s="41" t="n"/>
      <c r="D2148" s="41" t="n"/>
      <c r="E2148" s="41" t="n"/>
      <c r="F2148" s="41" t="n"/>
      <c r="G2148" s="41" t="n"/>
      <c r="H2148" s="41" t="n"/>
      <c r="I2148" s="41" t="n"/>
      <c r="J2148" s="41" t="n"/>
      <c r="K2148" s="41" t="n"/>
      <c r="L2148" s="42" t="n"/>
      <c r="M2148" s="42" t="n"/>
      <c r="N2148" s="42" t="n"/>
      <c r="O2148" s="42" t="n"/>
      <c r="P2148" s="42" t="n"/>
      <c r="Q2148" s="42" t="n"/>
      <c r="R2148" s="43">
        <f>IF($B2148="","",N($S2148)-N($Q2148))</f>
        <v/>
      </c>
      <c r="S2148" s="43">
        <f>IF($B2148="","",N($L2148)+N($N2148)+N($P2148))</f>
        <v/>
      </c>
      <c r="T2148" s="42" t="n"/>
      <c r="U2148" s="42" t="n"/>
      <c r="V2148" s="42" t="n"/>
      <c r="W2148" s="42" t="n"/>
      <c r="X2148" s="42" t="n"/>
      <c r="Y2148" s="42" t="n"/>
      <c r="Z2148" s="42" t="n"/>
      <c r="AA2148" s="42" t="n"/>
      <c r="AB2148" s="42" t="n"/>
      <c r="AC2148" s="42" t="n"/>
      <c r="AD2148" s="42" t="n"/>
      <c r="AE2148" s="42" t="n"/>
      <c r="AF2148" s="43">
        <f>IF($B2148="","",SUM($T2148:$AE2148))</f>
        <v/>
      </c>
      <c r="AG2148" s="43">
        <f>IF($B2148="","",N($M2148)-N($AF2148))</f>
        <v/>
      </c>
      <c r="AH2148" s="43">
        <f>IF($B2148="","",N($L2148)-N($AF2148))</f>
        <v/>
      </c>
      <c r="AI2148" s="149">
        <f>IF($B2148="","",IF(N($L2148)=0,"",(N($L2148)-N($AF2148))/N($L2148)))</f>
        <v/>
      </c>
    </row>
    <row r="2149">
      <c r="A2149" s="39">
        <f>IF($B2149="","",COUNTA($B$4:$B2149))</f>
        <v/>
      </c>
      <c r="B2149" s="45" t="n"/>
      <c r="C2149" s="46" t="n"/>
      <c r="D2149" s="46" t="n"/>
      <c r="E2149" s="46" t="n"/>
      <c r="F2149" s="46" t="n"/>
      <c r="G2149" s="46" t="n"/>
      <c r="H2149" s="46" t="n"/>
      <c r="I2149" s="46" t="n"/>
      <c r="J2149" s="46" t="n"/>
      <c r="K2149" s="46" t="n"/>
      <c r="L2149" s="47" t="n"/>
      <c r="M2149" s="47" t="n"/>
      <c r="N2149" s="47" t="n"/>
      <c r="O2149" s="47" t="n"/>
      <c r="P2149" s="47" t="n"/>
      <c r="Q2149" s="47" t="n"/>
      <c r="R2149" s="43">
        <f>IF($B2149="","",N($S2149)-N($Q2149))</f>
        <v/>
      </c>
      <c r="S2149" s="43">
        <f>IF($B2149="","",N($L2149)+N($N2149)+N($P2149))</f>
        <v/>
      </c>
      <c r="T2149" s="47" t="n"/>
      <c r="U2149" s="47" t="n"/>
      <c r="V2149" s="47" t="n"/>
      <c r="W2149" s="47" t="n"/>
      <c r="X2149" s="47" t="n"/>
      <c r="Y2149" s="47" t="n"/>
      <c r="Z2149" s="47" t="n"/>
      <c r="AA2149" s="47" t="n"/>
      <c r="AB2149" s="47" t="n"/>
      <c r="AC2149" s="47" t="n"/>
      <c r="AD2149" s="47" t="n"/>
      <c r="AE2149" s="47" t="n"/>
      <c r="AF2149" s="43">
        <f>IF($B2149="","",SUM($T2149:$AE2149))</f>
        <v/>
      </c>
      <c r="AG2149" s="43">
        <f>IF($B2149="","",N($M2149)-N($AF2149))</f>
        <v/>
      </c>
      <c r="AH2149" s="43">
        <f>IF($B2149="","",N($L2149)-N($AF2149))</f>
        <v/>
      </c>
      <c r="AI2149" s="149">
        <f>IF($B2149="","",IF(N($L2149)=0,"",(N($L2149)-N($AF2149))/N($L2149)))</f>
        <v/>
      </c>
    </row>
    <row r="2150">
      <c r="A2150" s="39">
        <f>IF($B2150="","",COUNTA($B$4:$B2150))</f>
        <v/>
      </c>
      <c r="B2150" s="40" t="n"/>
      <c r="C2150" s="41" t="n"/>
      <c r="D2150" s="41" t="n"/>
      <c r="E2150" s="41" t="n"/>
      <c r="F2150" s="41" t="n"/>
      <c r="G2150" s="41" t="n"/>
      <c r="H2150" s="41" t="n"/>
      <c r="I2150" s="41" t="n"/>
      <c r="J2150" s="41" t="n"/>
      <c r="K2150" s="41" t="n"/>
      <c r="L2150" s="42" t="n"/>
      <c r="M2150" s="42" t="n"/>
      <c r="N2150" s="42" t="n"/>
      <c r="O2150" s="42" t="n"/>
      <c r="P2150" s="42" t="n"/>
      <c r="Q2150" s="42" t="n"/>
      <c r="R2150" s="43">
        <f>IF($B2150="","",N($S2150)-N($Q2150))</f>
        <v/>
      </c>
      <c r="S2150" s="43">
        <f>IF($B2150="","",N($L2150)+N($N2150)+N($P2150))</f>
        <v/>
      </c>
      <c r="T2150" s="42" t="n"/>
      <c r="U2150" s="42" t="n"/>
      <c r="V2150" s="42" t="n"/>
      <c r="W2150" s="42" t="n"/>
      <c r="X2150" s="42" t="n"/>
      <c r="Y2150" s="42" t="n"/>
      <c r="Z2150" s="42" t="n"/>
      <c r="AA2150" s="42" t="n"/>
      <c r="AB2150" s="42" t="n"/>
      <c r="AC2150" s="42" t="n"/>
      <c r="AD2150" s="42" t="n"/>
      <c r="AE2150" s="42" t="n"/>
      <c r="AF2150" s="43">
        <f>IF($B2150="","",SUM($T2150:$AE2150))</f>
        <v/>
      </c>
      <c r="AG2150" s="43">
        <f>IF($B2150="","",N($M2150)-N($AF2150))</f>
        <v/>
      </c>
      <c r="AH2150" s="43">
        <f>IF($B2150="","",N($L2150)-N($AF2150))</f>
        <v/>
      </c>
      <c r="AI2150" s="149">
        <f>IF($B2150="","",IF(N($L2150)=0,"",(N($L2150)-N($AF2150))/N($L2150)))</f>
        <v/>
      </c>
    </row>
    <row r="2151">
      <c r="A2151" s="39">
        <f>IF($B2151="","",COUNTA($B$4:$B2151))</f>
        <v/>
      </c>
      <c r="B2151" s="45" t="n"/>
      <c r="C2151" s="46" t="n"/>
      <c r="D2151" s="46" t="n"/>
      <c r="E2151" s="46" t="n"/>
      <c r="F2151" s="46" t="n"/>
      <c r="G2151" s="46" t="n"/>
      <c r="H2151" s="46" t="n"/>
      <c r="I2151" s="46" t="n"/>
      <c r="J2151" s="46" t="n"/>
      <c r="K2151" s="46" t="n"/>
      <c r="L2151" s="47" t="n"/>
      <c r="M2151" s="47" t="n"/>
      <c r="N2151" s="47" t="n"/>
      <c r="O2151" s="47" t="n"/>
      <c r="P2151" s="47" t="n"/>
      <c r="Q2151" s="47" t="n"/>
      <c r="R2151" s="43">
        <f>IF($B2151="","",N($S2151)-N($Q2151))</f>
        <v/>
      </c>
      <c r="S2151" s="43">
        <f>IF($B2151="","",N($L2151)+N($N2151)+N($P2151))</f>
        <v/>
      </c>
      <c r="T2151" s="47" t="n"/>
      <c r="U2151" s="47" t="n"/>
      <c r="V2151" s="47" t="n"/>
      <c r="W2151" s="47" t="n"/>
      <c r="X2151" s="47" t="n"/>
      <c r="Y2151" s="47" t="n"/>
      <c r="Z2151" s="47" t="n"/>
      <c r="AA2151" s="47" t="n"/>
      <c r="AB2151" s="47" t="n"/>
      <c r="AC2151" s="47" t="n"/>
      <c r="AD2151" s="47" t="n"/>
      <c r="AE2151" s="47" t="n"/>
      <c r="AF2151" s="43">
        <f>IF($B2151="","",SUM($T2151:$AE2151))</f>
        <v/>
      </c>
      <c r="AG2151" s="43">
        <f>IF($B2151="","",N($M2151)-N($AF2151))</f>
        <v/>
      </c>
      <c r="AH2151" s="43">
        <f>IF($B2151="","",N($L2151)-N($AF2151))</f>
        <v/>
      </c>
      <c r="AI2151" s="149">
        <f>IF($B2151="","",IF(N($L2151)=0,"",(N($L2151)-N($AF2151))/N($L2151)))</f>
        <v/>
      </c>
    </row>
    <row r="2152">
      <c r="A2152" s="39">
        <f>IF($B2152="","",COUNTA($B$4:$B2152))</f>
        <v/>
      </c>
      <c r="B2152" s="40" t="n"/>
      <c r="C2152" s="41" t="n"/>
      <c r="D2152" s="41" t="n"/>
      <c r="E2152" s="41" t="n"/>
      <c r="F2152" s="41" t="n"/>
      <c r="G2152" s="41" t="n"/>
      <c r="H2152" s="41" t="n"/>
      <c r="I2152" s="41" t="n"/>
      <c r="J2152" s="41" t="n"/>
      <c r="K2152" s="41" t="n"/>
      <c r="L2152" s="42" t="n"/>
      <c r="M2152" s="42" t="n"/>
      <c r="N2152" s="42" t="n"/>
      <c r="O2152" s="42" t="n"/>
      <c r="P2152" s="42" t="n"/>
      <c r="Q2152" s="42" t="n"/>
      <c r="R2152" s="43">
        <f>IF($B2152="","",N($S2152)-N($Q2152))</f>
        <v/>
      </c>
      <c r="S2152" s="43">
        <f>IF($B2152="","",N($L2152)+N($N2152)+N($P2152))</f>
        <v/>
      </c>
      <c r="T2152" s="42" t="n"/>
      <c r="U2152" s="42" t="n"/>
      <c r="V2152" s="42" t="n"/>
      <c r="W2152" s="42" t="n"/>
      <c r="X2152" s="42" t="n"/>
      <c r="Y2152" s="42" t="n"/>
      <c r="Z2152" s="42" t="n"/>
      <c r="AA2152" s="42" t="n"/>
      <c r="AB2152" s="42" t="n"/>
      <c r="AC2152" s="42" t="n"/>
      <c r="AD2152" s="42" t="n"/>
      <c r="AE2152" s="42" t="n"/>
      <c r="AF2152" s="43">
        <f>IF($B2152="","",SUM($T2152:$AE2152))</f>
        <v/>
      </c>
      <c r="AG2152" s="43">
        <f>IF($B2152="","",N($M2152)-N($AF2152))</f>
        <v/>
      </c>
      <c r="AH2152" s="43">
        <f>IF($B2152="","",N($L2152)-N($AF2152))</f>
        <v/>
      </c>
      <c r="AI2152" s="149">
        <f>IF($B2152="","",IF(N($L2152)=0,"",(N($L2152)-N($AF2152))/N($L2152)))</f>
        <v/>
      </c>
    </row>
    <row r="2153">
      <c r="A2153" s="39">
        <f>IF($B2153="","",COUNTA($B$4:$B2153))</f>
        <v/>
      </c>
      <c r="B2153" s="45" t="n"/>
      <c r="C2153" s="46" t="n"/>
      <c r="D2153" s="46" t="n"/>
      <c r="E2153" s="46" t="n"/>
      <c r="F2153" s="46" t="n"/>
      <c r="G2153" s="46" t="n"/>
      <c r="H2153" s="46" t="n"/>
      <c r="I2153" s="46" t="n"/>
      <c r="J2153" s="46" t="n"/>
      <c r="K2153" s="46" t="n"/>
      <c r="L2153" s="47" t="n"/>
      <c r="M2153" s="47" t="n"/>
      <c r="N2153" s="47" t="n"/>
      <c r="O2153" s="47" t="n"/>
      <c r="P2153" s="47" t="n"/>
      <c r="Q2153" s="47" t="n"/>
      <c r="R2153" s="43">
        <f>IF($B2153="","",N($S2153)-N($Q2153))</f>
        <v/>
      </c>
      <c r="S2153" s="43">
        <f>IF($B2153="","",N($L2153)+N($N2153)+N($P2153))</f>
        <v/>
      </c>
      <c r="T2153" s="47" t="n"/>
      <c r="U2153" s="47" t="n"/>
      <c r="V2153" s="47" t="n"/>
      <c r="W2153" s="47" t="n"/>
      <c r="X2153" s="47" t="n"/>
      <c r="Y2153" s="47" t="n"/>
      <c r="Z2153" s="47" t="n"/>
      <c r="AA2153" s="47" t="n"/>
      <c r="AB2153" s="47" t="n"/>
      <c r="AC2153" s="47" t="n"/>
      <c r="AD2153" s="47" t="n"/>
      <c r="AE2153" s="47" t="n"/>
      <c r="AF2153" s="43">
        <f>IF($B2153="","",SUM($T2153:$AE2153))</f>
        <v/>
      </c>
      <c r="AG2153" s="43">
        <f>IF($B2153="","",N($M2153)-N($AF2153))</f>
        <v/>
      </c>
      <c r="AH2153" s="43">
        <f>IF($B2153="","",N($L2153)-N($AF2153))</f>
        <v/>
      </c>
      <c r="AI2153" s="149">
        <f>IF($B2153="","",IF(N($L2153)=0,"",(N($L2153)-N($AF2153))/N($L2153)))</f>
        <v/>
      </c>
    </row>
    <row r="2154">
      <c r="A2154" s="39">
        <f>IF($B2154="","",COUNTA($B$4:$B2154))</f>
        <v/>
      </c>
      <c r="B2154" s="40" t="n"/>
      <c r="C2154" s="41" t="n"/>
      <c r="D2154" s="41" t="n"/>
      <c r="E2154" s="41" t="n"/>
      <c r="F2154" s="41" t="n"/>
      <c r="G2154" s="41" t="n"/>
      <c r="H2154" s="41" t="n"/>
      <c r="I2154" s="41" t="n"/>
      <c r="J2154" s="41" t="n"/>
      <c r="K2154" s="41" t="n"/>
      <c r="L2154" s="42" t="n"/>
      <c r="M2154" s="42" t="n"/>
      <c r="N2154" s="42" t="n"/>
      <c r="O2154" s="42" t="n"/>
      <c r="P2154" s="42" t="n"/>
      <c r="Q2154" s="42" t="n"/>
      <c r="R2154" s="43">
        <f>IF($B2154="","",N($S2154)-N($Q2154))</f>
        <v/>
      </c>
      <c r="S2154" s="43">
        <f>IF($B2154="","",N($L2154)+N($N2154)+N($P2154))</f>
        <v/>
      </c>
      <c r="T2154" s="42" t="n"/>
      <c r="U2154" s="42" t="n"/>
      <c r="V2154" s="42" t="n"/>
      <c r="W2154" s="42" t="n"/>
      <c r="X2154" s="42" t="n"/>
      <c r="Y2154" s="42" t="n"/>
      <c r="Z2154" s="42" t="n"/>
      <c r="AA2154" s="42" t="n"/>
      <c r="AB2154" s="42" t="n"/>
      <c r="AC2154" s="42" t="n"/>
      <c r="AD2154" s="42" t="n"/>
      <c r="AE2154" s="42" t="n"/>
      <c r="AF2154" s="43">
        <f>IF($B2154="","",SUM($T2154:$AE2154))</f>
        <v/>
      </c>
      <c r="AG2154" s="43">
        <f>IF($B2154="","",N($M2154)-N($AF2154))</f>
        <v/>
      </c>
      <c r="AH2154" s="43">
        <f>IF($B2154="","",N($L2154)-N($AF2154))</f>
        <v/>
      </c>
      <c r="AI2154" s="149">
        <f>IF($B2154="","",IF(N($L2154)=0,"",(N($L2154)-N($AF2154))/N($L2154)))</f>
        <v/>
      </c>
    </row>
    <row r="2155">
      <c r="A2155" s="39">
        <f>IF($B2155="","",COUNTA($B$4:$B2155))</f>
        <v/>
      </c>
      <c r="B2155" s="45" t="n"/>
      <c r="C2155" s="46" t="n"/>
      <c r="D2155" s="46" t="n"/>
      <c r="E2155" s="46" t="n"/>
      <c r="F2155" s="46" t="n"/>
      <c r="G2155" s="46" t="n"/>
      <c r="H2155" s="46" t="n"/>
      <c r="I2155" s="46" t="n"/>
      <c r="J2155" s="46" t="n"/>
      <c r="K2155" s="46" t="n"/>
      <c r="L2155" s="47" t="n"/>
      <c r="M2155" s="47" t="n"/>
      <c r="N2155" s="47" t="n"/>
      <c r="O2155" s="47" t="n"/>
      <c r="P2155" s="47" t="n"/>
      <c r="Q2155" s="47" t="n"/>
      <c r="R2155" s="43">
        <f>IF($B2155="","",N($S2155)-N($Q2155))</f>
        <v/>
      </c>
      <c r="S2155" s="43">
        <f>IF($B2155="","",N($L2155)+N($N2155)+N($P2155))</f>
        <v/>
      </c>
      <c r="T2155" s="47" t="n"/>
      <c r="U2155" s="47" t="n"/>
      <c r="V2155" s="47" t="n"/>
      <c r="W2155" s="47" t="n"/>
      <c r="X2155" s="47" t="n"/>
      <c r="Y2155" s="47" t="n"/>
      <c r="Z2155" s="47" t="n"/>
      <c r="AA2155" s="47" t="n"/>
      <c r="AB2155" s="47" t="n"/>
      <c r="AC2155" s="47" t="n"/>
      <c r="AD2155" s="47" t="n"/>
      <c r="AE2155" s="47" t="n"/>
      <c r="AF2155" s="43">
        <f>IF($B2155="","",SUM($T2155:$AE2155))</f>
        <v/>
      </c>
      <c r="AG2155" s="43">
        <f>IF($B2155="","",N($M2155)-N($AF2155))</f>
        <v/>
      </c>
      <c r="AH2155" s="43">
        <f>IF($B2155="","",N($L2155)-N($AF2155))</f>
        <v/>
      </c>
      <c r="AI2155" s="149">
        <f>IF($B2155="","",IF(N($L2155)=0,"",(N($L2155)-N($AF2155))/N($L2155)))</f>
        <v/>
      </c>
    </row>
    <row r="2156">
      <c r="A2156" s="39">
        <f>IF($B2156="","",COUNTA($B$4:$B2156))</f>
        <v/>
      </c>
      <c r="B2156" s="40" t="n"/>
      <c r="C2156" s="41" t="n"/>
      <c r="D2156" s="41" t="n"/>
      <c r="E2156" s="41" t="n"/>
      <c r="F2156" s="41" t="n"/>
      <c r="G2156" s="41" t="n"/>
      <c r="H2156" s="41" t="n"/>
      <c r="I2156" s="41" t="n"/>
      <c r="J2156" s="41" t="n"/>
      <c r="K2156" s="41" t="n"/>
      <c r="L2156" s="42" t="n"/>
      <c r="M2156" s="42" t="n"/>
      <c r="N2156" s="42" t="n"/>
      <c r="O2156" s="42" t="n"/>
      <c r="P2156" s="42" t="n"/>
      <c r="Q2156" s="42" t="n"/>
      <c r="R2156" s="43">
        <f>IF($B2156="","",N($S2156)-N($Q2156))</f>
        <v/>
      </c>
      <c r="S2156" s="43">
        <f>IF($B2156="","",N($L2156)+N($N2156)+N($P2156))</f>
        <v/>
      </c>
      <c r="T2156" s="42" t="n"/>
      <c r="U2156" s="42" t="n"/>
      <c r="V2156" s="42" t="n"/>
      <c r="W2156" s="42" t="n"/>
      <c r="X2156" s="42" t="n"/>
      <c r="Y2156" s="42" t="n"/>
      <c r="Z2156" s="42" t="n"/>
      <c r="AA2156" s="42" t="n"/>
      <c r="AB2156" s="42" t="n"/>
      <c r="AC2156" s="42" t="n"/>
      <c r="AD2156" s="42" t="n"/>
      <c r="AE2156" s="42" t="n"/>
      <c r="AF2156" s="43">
        <f>IF($B2156="","",SUM($T2156:$AE2156))</f>
        <v/>
      </c>
      <c r="AG2156" s="43">
        <f>IF($B2156="","",N($M2156)-N($AF2156))</f>
        <v/>
      </c>
      <c r="AH2156" s="43">
        <f>IF($B2156="","",N($L2156)-N($AF2156))</f>
        <v/>
      </c>
      <c r="AI2156" s="149">
        <f>IF($B2156="","",IF(N($L2156)=0,"",(N($L2156)-N($AF2156))/N($L2156)))</f>
        <v/>
      </c>
    </row>
    <row r="2157">
      <c r="A2157" s="39">
        <f>IF($B2157="","",COUNTA($B$4:$B2157))</f>
        <v/>
      </c>
      <c r="B2157" s="45" t="n"/>
      <c r="C2157" s="46" t="n"/>
      <c r="D2157" s="46" t="n"/>
      <c r="E2157" s="46" t="n"/>
      <c r="F2157" s="46" t="n"/>
      <c r="G2157" s="46" t="n"/>
      <c r="H2157" s="46" t="n"/>
      <c r="I2157" s="46" t="n"/>
      <c r="J2157" s="46" t="n"/>
      <c r="K2157" s="46" t="n"/>
      <c r="L2157" s="47" t="n"/>
      <c r="M2157" s="47" t="n"/>
      <c r="N2157" s="47" t="n"/>
      <c r="O2157" s="47" t="n"/>
      <c r="P2157" s="47" t="n"/>
      <c r="Q2157" s="47" t="n"/>
      <c r="R2157" s="43">
        <f>IF($B2157="","",N($S2157)-N($Q2157))</f>
        <v/>
      </c>
      <c r="S2157" s="43">
        <f>IF($B2157="","",N($L2157)+N($N2157)+N($P2157))</f>
        <v/>
      </c>
      <c r="T2157" s="47" t="n"/>
      <c r="U2157" s="47" t="n"/>
      <c r="V2157" s="47" t="n"/>
      <c r="W2157" s="47" t="n"/>
      <c r="X2157" s="47" t="n"/>
      <c r="Y2157" s="47" t="n"/>
      <c r="Z2157" s="47" t="n"/>
      <c r="AA2157" s="47" t="n"/>
      <c r="AB2157" s="47" t="n"/>
      <c r="AC2157" s="47" t="n"/>
      <c r="AD2157" s="47" t="n"/>
      <c r="AE2157" s="47" t="n"/>
      <c r="AF2157" s="43">
        <f>IF($B2157="","",SUM($T2157:$AE2157))</f>
        <v/>
      </c>
      <c r="AG2157" s="43">
        <f>IF($B2157="","",N($M2157)-N($AF2157))</f>
        <v/>
      </c>
      <c r="AH2157" s="43">
        <f>IF($B2157="","",N($L2157)-N($AF2157))</f>
        <v/>
      </c>
      <c r="AI2157" s="149">
        <f>IF($B2157="","",IF(N($L2157)=0,"",(N($L2157)-N($AF2157))/N($L2157)))</f>
        <v/>
      </c>
    </row>
    <row r="2158">
      <c r="A2158" s="39">
        <f>IF($B2158="","",COUNTA($B$4:$B2158))</f>
        <v/>
      </c>
      <c r="B2158" s="40" t="n"/>
      <c r="C2158" s="41" t="n"/>
      <c r="D2158" s="41" t="n"/>
      <c r="E2158" s="41" t="n"/>
      <c r="F2158" s="41" t="n"/>
      <c r="G2158" s="41" t="n"/>
      <c r="H2158" s="41" t="n"/>
      <c r="I2158" s="41" t="n"/>
      <c r="J2158" s="41" t="n"/>
      <c r="K2158" s="41" t="n"/>
      <c r="L2158" s="42" t="n"/>
      <c r="M2158" s="42" t="n"/>
      <c r="N2158" s="42" t="n"/>
      <c r="O2158" s="42" t="n"/>
      <c r="P2158" s="42" t="n"/>
      <c r="Q2158" s="42" t="n"/>
      <c r="R2158" s="43">
        <f>IF($B2158="","",N($S2158)-N($Q2158))</f>
        <v/>
      </c>
      <c r="S2158" s="43">
        <f>IF($B2158="","",N($L2158)+N($N2158)+N($P2158))</f>
        <v/>
      </c>
      <c r="T2158" s="42" t="n"/>
      <c r="U2158" s="42" t="n"/>
      <c r="V2158" s="42" t="n"/>
      <c r="W2158" s="42" t="n"/>
      <c r="X2158" s="42" t="n"/>
      <c r="Y2158" s="42" t="n"/>
      <c r="Z2158" s="42" t="n"/>
      <c r="AA2158" s="42" t="n"/>
      <c r="AB2158" s="42" t="n"/>
      <c r="AC2158" s="42" t="n"/>
      <c r="AD2158" s="42" t="n"/>
      <c r="AE2158" s="42" t="n"/>
      <c r="AF2158" s="43">
        <f>IF($B2158="","",SUM($T2158:$AE2158))</f>
        <v/>
      </c>
      <c r="AG2158" s="43">
        <f>IF($B2158="","",N($M2158)-N($AF2158))</f>
        <v/>
      </c>
      <c r="AH2158" s="43">
        <f>IF($B2158="","",N($L2158)-N($AF2158))</f>
        <v/>
      </c>
      <c r="AI2158" s="149">
        <f>IF($B2158="","",IF(N($L2158)=0,"",(N($L2158)-N($AF2158))/N($L2158)))</f>
        <v/>
      </c>
    </row>
    <row r="2159">
      <c r="A2159" s="39">
        <f>IF($B2159="","",COUNTA($B$4:$B2159))</f>
        <v/>
      </c>
      <c r="B2159" s="45" t="n"/>
      <c r="C2159" s="46" t="n"/>
      <c r="D2159" s="46" t="n"/>
      <c r="E2159" s="46" t="n"/>
      <c r="F2159" s="46" t="n"/>
      <c r="G2159" s="46" t="n"/>
      <c r="H2159" s="46" t="n"/>
      <c r="I2159" s="46" t="n"/>
      <c r="J2159" s="46" t="n"/>
      <c r="K2159" s="46" t="n"/>
      <c r="L2159" s="47" t="n"/>
      <c r="M2159" s="47" t="n"/>
      <c r="N2159" s="47" t="n"/>
      <c r="O2159" s="47" t="n"/>
      <c r="P2159" s="47" t="n"/>
      <c r="Q2159" s="47" t="n"/>
      <c r="R2159" s="43">
        <f>IF($B2159="","",N($S2159)-N($Q2159))</f>
        <v/>
      </c>
      <c r="S2159" s="43">
        <f>IF($B2159="","",N($L2159)+N($N2159)+N($P2159))</f>
        <v/>
      </c>
      <c r="T2159" s="47" t="n"/>
      <c r="U2159" s="47" t="n"/>
      <c r="V2159" s="47" t="n"/>
      <c r="W2159" s="47" t="n"/>
      <c r="X2159" s="47" t="n"/>
      <c r="Y2159" s="47" t="n"/>
      <c r="Z2159" s="47" t="n"/>
      <c r="AA2159" s="47" t="n"/>
      <c r="AB2159" s="47" t="n"/>
      <c r="AC2159" s="47" t="n"/>
      <c r="AD2159" s="47" t="n"/>
      <c r="AE2159" s="47" t="n"/>
      <c r="AF2159" s="43">
        <f>IF($B2159="","",SUM($T2159:$AE2159))</f>
        <v/>
      </c>
      <c r="AG2159" s="43">
        <f>IF($B2159="","",N($M2159)-N($AF2159))</f>
        <v/>
      </c>
      <c r="AH2159" s="43">
        <f>IF($B2159="","",N($L2159)-N($AF2159))</f>
        <v/>
      </c>
      <c r="AI2159" s="149">
        <f>IF($B2159="","",IF(N($L2159)=0,"",(N($L2159)-N($AF2159))/N($L2159)))</f>
        <v/>
      </c>
    </row>
    <row r="2160">
      <c r="A2160" s="39">
        <f>IF($B2160="","",COUNTA($B$4:$B2160))</f>
        <v/>
      </c>
      <c r="B2160" s="40" t="n"/>
      <c r="C2160" s="41" t="n"/>
      <c r="D2160" s="41" t="n"/>
      <c r="E2160" s="41" t="n"/>
      <c r="F2160" s="41" t="n"/>
      <c r="G2160" s="41" t="n"/>
      <c r="H2160" s="41" t="n"/>
      <c r="I2160" s="41" t="n"/>
      <c r="J2160" s="41" t="n"/>
      <c r="K2160" s="41" t="n"/>
      <c r="L2160" s="42" t="n"/>
      <c r="M2160" s="42" t="n"/>
      <c r="N2160" s="42" t="n"/>
      <c r="O2160" s="42" t="n"/>
      <c r="P2160" s="42" t="n"/>
      <c r="Q2160" s="42" t="n"/>
      <c r="R2160" s="43">
        <f>IF($B2160="","",N($S2160)-N($Q2160))</f>
        <v/>
      </c>
      <c r="S2160" s="43">
        <f>IF($B2160="","",N($L2160)+N($N2160)+N($P2160))</f>
        <v/>
      </c>
      <c r="T2160" s="42" t="n"/>
      <c r="U2160" s="42" t="n"/>
      <c r="V2160" s="42" t="n"/>
      <c r="W2160" s="42" t="n"/>
      <c r="X2160" s="42" t="n"/>
      <c r="Y2160" s="42" t="n"/>
      <c r="Z2160" s="42" t="n"/>
      <c r="AA2160" s="42" t="n"/>
      <c r="AB2160" s="42" t="n"/>
      <c r="AC2160" s="42" t="n"/>
      <c r="AD2160" s="42" t="n"/>
      <c r="AE2160" s="42" t="n"/>
      <c r="AF2160" s="43">
        <f>IF($B2160="","",SUM($T2160:$AE2160))</f>
        <v/>
      </c>
      <c r="AG2160" s="43">
        <f>IF($B2160="","",N($M2160)-N($AF2160))</f>
        <v/>
      </c>
      <c r="AH2160" s="43">
        <f>IF($B2160="","",N($L2160)-N($AF2160))</f>
        <v/>
      </c>
      <c r="AI2160" s="149">
        <f>IF($B2160="","",IF(N($L2160)=0,"",(N($L2160)-N($AF2160))/N($L2160)))</f>
        <v/>
      </c>
    </row>
    <row r="2161">
      <c r="A2161" s="39">
        <f>IF($B2161="","",COUNTA($B$4:$B2161))</f>
        <v/>
      </c>
      <c r="B2161" s="45" t="n"/>
      <c r="C2161" s="46" t="n"/>
      <c r="D2161" s="46" t="n"/>
      <c r="E2161" s="46" t="n"/>
      <c r="F2161" s="46" t="n"/>
      <c r="G2161" s="46" t="n"/>
      <c r="H2161" s="46" t="n"/>
      <c r="I2161" s="46" t="n"/>
      <c r="J2161" s="46" t="n"/>
      <c r="K2161" s="46" t="n"/>
      <c r="L2161" s="47" t="n"/>
      <c r="M2161" s="47" t="n"/>
      <c r="N2161" s="47" t="n"/>
      <c r="O2161" s="47" t="n"/>
      <c r="P2161" s="47" t="n"/>
      <c r="Q2161" s="47" t="n"/>
      <c r="R2161" s="43">
        <f>IF($B2161="","",N($S2161)-N($Q2161))</f>
        <v/>
      </c>
      <c r="S2161" s="43">
        <f>IF($B2161="","",N($L2161)+N($N2161)+N($P2161))</f>
        <v/>
      </c>
      <c r="T2161" s="47" t="n"/>
      <c r="U2161" s="47" t="n"/>
      <c r="V2161" s="47" t="n"/>
      <c r="W2161" s="47" t="n"/>
      <c r="X2161" s="47" t="n"/>
      <c r="Y2161" s="47" t="n"/>
      <c r="Z2161" s="47" t="n"/>
      <c r="AA2161" s="47" t="n"/>
      <c r="AB2161" s="47" t="n"/>
      <c r="AC2161" s="47" t="n"/>
      <c r="AD2161" s="47" t="n"/>
      <c r="AE2161" s="47" t="n"/>
      <c r="AF2161" s="43">
        <f>IF($B2161="","",SUM($T2161:$AE2161))</f>
        <v/>
      </c>
      <c r="AG2161" s="43">
        <f>IF($B2161="","",N($M2161)-N($AF2161))</f>
        <v/>
      </c>
      <c r="AH2161" s="43">
        <f>IF($B2161="","",N($L2161)-N($AF2161))</f>
        <v/>
      </c>
      <c r="AI2161" s="149">
        <f>IF($B2161="","",IF(N($L2161)=0,"",(N($L2161)-N($AF2161))/N($L2161)))</f>
        <v/>
      </c>
    </row>
    <row r="2162">
      <c r="A2162" s="39">
        <f>IF($B2162="","",COUNTA($B$4:$B2162))</f>
        <v/>
      </c>
      <c r="B2162" s="40" t="n"/>
      <c r="C2162" s="41" t="n"/>
      <c r="D2162" s="41" t="n"/>
      <c r="E2162" s="41" t="n"/>
      <c r="F2162" s="41" t="n"/>
      <c r="G2162" s="41" t="n"/>
      <c r="H2162" s="41" t="n"/>
      <c r="I2162" s="41" t="n"/>
      <c r="J2162" s="41" t="n"/>
      <c r="K2162" s="41" t="n"/>
      <c r="L2162" s="42" t="n"/>
      <c r="M2162" s="42" t="n"/>
      <c r="N2162" s="42" t="n"/>
      <c r="O2162" s="42" t="n"/>
      <c r="P2162" s="42" t="n"/>
      <c r="Q2162" s="42" t="n"/>
      <c r="R2162" s="43">
        <f>IF($B2162="","",N($S2162)-N($Q2162))</f>
        <v/>
      </c>
      <c r="S2162" s="43">
        <f>IF($B2162="","",N($L2162)+N($N2162)+N($P2162))</f>
        <v/>
      </c>
      <c r="T2162" s="42" t="n"/>
      <c r="U2162" s="42" t="n"/>
      <c r="V2162" s="42" t="n"/>
      <c r="W2162" s="42" t="n"/>
      <c r="X2162" s="42" t="n"/>
      <c r="Y2162" s="42" t="n"/>
      <c r="Z2162" s="42" t="n"/>
      <c r="AA2162" s="42" t="n"/>
      <c r="AB2162" s="42" t="n"/>
      <c r="AC2162" s="42" t="n"/>
      <c r="AD2162" s="42" t="n"/>
      <c r="AE2162" s="42" t="n"/>
      <c r="AF2162" s="43">
        <f>IF($B2162="","",SUM($T2162:$AE2162))</f>
        <v/>
      </c>
      <c r="AG2162" s="43">
        <f>IF($B2162="","",N($M2162)-N($AF2162))</f>
        <v/>
      </c>
      <c r="AH2162" s="43">
        <f>IF($B2162="","",N($L2162)-N($AF2162))</f>
        <v/>
      </c>
      <c r="AI2162" s="149">
        <f>IF($B2162="","",IF(N($L2162)=0,"",(N($L2162)-N($AF2162))/N($L2162)))</f>
        <v/>
      </c>
    </row>
    <row r="2163">
      <c r="A2163" s="39">
        <f>IF($B2163="","",COUNTA($B$4:$B2163))</f>
        <v/>
      </c>
      <c r="B2163" s="45" t="n"/>
      <c r="C2163" s="46" t="n"/>
      <c r="D2163" s="46" t="n"/>
      <c r="E2163" s="46" t="n"/>
      <c r="F2163" s="46" t="n"/>
      <c r="G2163" s="46" t="n"/>
      <c r="H2163" s="46" t="n"/>
      <c r="I2163" s="46" t="n"/>
      <c r="J2163" s="46" t="n"/>
      <c r="K2163" s="46" t="n"/>
      <c r="L2163" s="47" t="n"/>
      <c r="M2163" s="47" t="n"/>
      <c r="N2163" s="47" t="n"/>
      <c r="O2163" s="47" t="n"/>
      <c r="P2163" s="47" t="n"/>
      <c r="Q2163" s="47" t="n"/>
      <c r="R2163" s="43">
        <f>IF($B2163="","",N($S2163)-N($Q2163))</f>
        <v/>
      </c>
      <c r="S2163" s="43">
        <f>IF($B2163="","",N($L2163)+N($N2163)+N($P2163))</f>
        <v/>
      </c>
      <c r="T2163" s="47" t="n"/>
      <c r="U2163" s="47" t="n"/>
      <c r="V2163" s="47" t="n"/>
      <c r="W2163" s="47" t="n"/>
      <c r="X2163" s="47" t="n"/>
      <c r="Y2163" s="47" t="n"/>
      <c r="Z2163" s="47" t="n"/>
      <c r="AA2163" s="47" t="n"/>
      <c r="AB2163" s="47" t="n"/>
      <c r="AC2163" s="47" t="n"/>
      <c r="AD2163" s="47" t="n"/>
      <c r="AE2163" s="47" t="n"/>
      <c r="AF2163" s="43">
        <f>IF($B2163="","",SUM($T2163:$AE2163))</f>
        <v/>
      </c>
      <c r="AG2163" s="43">
        <f>IF($B2163="","",N($M2163)-N($AF2163))</f>
        <v/>
      </c>
      <c r="AH2163" s="43">
        <f>IF($B2163="","",N($L2163)-N($AF2163))</f>
        <v/>
      </c>
      <c r="AI2163" s="149">
        <f>IF($B2163="","",IF(N($L2163)=0,"",(N($L2163)-N($AF2163))/N($L2163)))</f>
        <v/>
      </c>
    </row>
    <row r="2164">
      <c r="A2164" s="39">
        <f>IF($B2164="","",COUNTA($B$4:$B2164))</f>
        <v/>
      </c>
      <c r="B2164" s="40" t="n"/>
      <c r="C2164" s="41" t="n"/>
      <c r="D2164" s="41" t="n"/>
      <c r="E2164" s="41" t="n"/>
      <c r="F2164" s="41" t="n"/>
      <c r="G2164" s="41" t="n"/>
      <c r="H2164" s="41" t="n"/>
      <c r="I2164" s="41" t="n"/>
      <c r="J2164" s="41" t="n"/>
      <c r="K2164" s="41" t="n"/>
      <c r="L2164" s="42" t="n"/>
      <c r="M2164" s="42" t="n"/>
      <c r="N2164" s="42" t="n"/>
      <c r="O2164" s="42" t="n"/>
      <c r="P2164" s="42" t="n"/>
      <c r="Q2164" s="42" t="n"/>
      <c r="R2164" s="43">
        <f>IF($B2164="","",N($S2164)-N($Q2164))</f>
        <v/>
      </c>
      <c r="S2164" s="43">
        <f>IF($B2164="","",N($L2164)+N($N2164)+N($P2164))</f>
        <v/>
      </c>
      <c r="T2164" s="42" t="n"/>
      <c r="U2164" s="42" t="n"/>
      <c r="V2164" s="42" t="n"/>
      <c r="W2164" s="42" t="n"/>
      <c r="X2164" s="42" t="n"/>
      <c r="Y2164" s="42" t="n"/>
      <c r="Z2164" s="42" t="n"/>
      <c r="AA2164" s="42" t="n"/>
      <c r="AB2164" s="42" t="n"/>
      <c r="AC2164" s="42" t="n"/>
      <c r="AD2164" s="42" t="n"/>
      <c r="AE2164" s="42" t="n"/>
      <c r="AF2164" s="43">
        <f>IF($B2164="","",SUM($T2164:$AE2164))</f>
        <v/>
      </c>
      <c r="AG2164" s="43">
        <f>IF($B2164="","",N($M2164)-N($AF2164))</f>
        <v/>
      </c>
      <c r="AH2164" s="43">
        <f>IF($B2164="","",N($L2164)-N($AF2164))</f>
        <v/>
      </c>
      <c r="AI2164" s="149">
        <f>IF($B2164="","",IF(N($L2164)=0,"",(N($L2164)-N($AF2164))/N($L2164)))</f>
        <v/>
      </c>
    </row>
    <row r="2165">
      <c r="A2165" s="39">
        <f>IF($B2165="","",COUNTA($B$4:$B2165))</f>
        <v/>
      </c>
      <c r="B2165" s="45" t="n"/>
      <c r="C2165" s="46" t="n"/>
      <c r="D2165" s="46" t="n"/>
      <c r="E2165" s="46" t="n"/>
      <c r="F2165" s="46" t="n"/>
      <c r="G2165" s="46" t="n"/>
      <c r="H2165" s="46" t="n"/>
      <c r="I2165" s="46" t="n"/>
      <c r="J2165" s="46" t="n"/>
      <c r="K2165" s="46" t="n"/>
      <c r="L2165" s="47" t="n"/>
      <c r="M2165" s="47" t="n"/>
      <c r="N2165" s="47" t="n"/>
      <c r="O2165" s="47" t="n"/>
      <c r="P2165" s="47" t="n"/>
      <c r="Q2165" s="47" t="n"/>
      <c r="R2165" s="43">
        <f>IF($B2165="","",N($S2165)-N($Q2165))</f>
        <v/>
      </c>
      <c r="S2165" s="43">
        <f>IF($B2165="","",N($L2165)+N($N2165)+N($P2165))</f>
        <v/>
      </c>
      <c r="T2165" s="47" t="n"/>
      <c r="U2165" s="47" t="n"/>
      <c r="V2165" s="47" t="n"/>
      <c r="W2165" s="47" t="n"/>
      <c r="X2165" s="47" t="n"/>
      <c r="Y2165" s="47" t="n"/>
      <c r="Z2165" s="47" t="n"/>
      <c r="AA2165" s="47" t="n"/>
      <c r="AB2165" s="47" t="n"/>
      <c r="AC2165" s="47" t="n"/>
      <c r="AD2165" s="47" t="n"/>
      <c r="AE2165" s="47" t="n"/>
      <c r="AF2165" s="43">
        <f>IF($B2165="","",SUM($T2165:$AE2165))</f>
        <v/>
      </c>
      <c r="AG2165" s="43">
        <f>IF($B2165="","",N($M2165)-N($AF2165))</f>
        <v/>
      </c>
      <c r="AH2165" s="43">
        <f>IF($B2165="","",N($L2165)-N($AF2165))</f>
        <v/>
      </c>
      <c r="AI2165" s="149">
        <f>IF($B2165="","",IF(N($L2165)=0,"",(N($L2165)-N($AF2165))/N($L2165)))</f>
        <v/>
      </c>
    </row>
    <row r="2166">
      <c r="A2166" s="39">
        <f>IF($B2166="","",COUNTA($B$4:$B2166))</f>
        <v/>
      </c>
      <c r="B2166" s="40" t="n"/>
      <c r="C2166" s="41" t="n"/>
      <c r="D2166" s="41" t="n"/>
      <c r="E2166" s="41" t="n"/>
      <c r="F2166" s="41" t="n"/>
      <c r="G2166" s="41" t="n"/>
      <c r="H2166" s="41" t="n"/>
      <c r="I2166" s="41" t="n"/>
      <c r="J2166" s="41" t="n"/>
      <c r="K2166" s="41" t="n"/>
      <c r="L2166" s="42" t="n"/>
      <c r="M2166" s="42" t="n"/>
      <c r="N2166" s="42" t="n"/>
      <c r="O2166" s="42" t="n"/>
      <c r="P2166" s="42" t="n"/>
      <c r="Q2166" s="42" t="n"/>
      <c r="R2166" s="43">
        <f>IF($B2166="","",N($S2166)-N($Q2166))</f>
        <v/>
      </c>
      <c r="S2166" s="43">
        <f>IF($B2166="","",N($L2166)+N($N2166)+N($P2166))</f>
        <v/>
      </c>
      <c r="T2166" s="42" t="n"/>
      <c r="U2166" s="42" t="n"/>
      <c r="V2166" s="42" t="n"/>
      <c r="W2166" s="42" t="n"/>
      <c r="X2166" s="42" t="n"/>
      <c r="Y2166" s="42" t="n"/>
      <c r="Z2166" s="42" t="n"/>
      <c r="AA2166" s="42" t="n"/>
      <c r="AB2166" s="42" t="n"/>
      <c r="AC2166" s="42" t="n"/>
      <c r="AD2166" s="42" t="n"/>
      <c r="AE2166" s="42" t="n"/>
      <c r="AF2166" s="43">
        <f>IF($B2166="","",SUM($T2166:$AE2166))</f>
        <v/>
      </c>
      <c r="AG2166" s="43">
        <f>IF($B2166="","",N($M2166)-N($AF2166))</f>
        <v/>
      </c>
      <c r="AH2166" s="43">
        <f>IF($B2166="","",N($L2166)-N($AF2166))</f>
        <v/>
      </c>
      <c r="AI2166" s="149">
        <f>IF($B2166="","",IF(N($L2166)=0,"",(N($L2166)-N($AF2166))/N($L2166)))</f>
        <v/>
      </c>
    </row>
    <row r="2167">
      <c r="A2167" s="39">
        <f>IF($B2167="","",COUNTA($B$4:$B2167))</f>
        <v/>
      </c>
      <c r="B2167" s="45" t="n"/>
      <c r="C2167" s="46" t="n"/>
      <c r="D2167" s="46" t="n"/>
      <c r="E2167" s="46" t="n"/>
      <c r="F2167" s="46" t="n"/>
      <c r="G2167" s="46" t="n"/>
      <c r="H2167" s="46" t="n"/>
      <c r="I2167" s="46" t="n"/>
      <c r="J2167" s="46" t="n"/>
      <c r="K2167" s="46" t="n"/>
      <c r="L2167" s="47" t="n"/>
      <c r="M2167" s="47" t="n"/>
      <c r="N2167" s="47" t="n"/>
      <c r="O2167" s="47" t="n"/>
      <c r="P2167" s="47" t="n"/>
      <c r="Q2167" s="47" t="n"/>
      <c r="R2167" s="43">
        <f>IF($B2167="","",N($S2167)-N($Q2167))</f>
        <v/>
      </c>
      <c r="S2167" s="43">
        <f>IF($B2167="","",N($L2167)+N($N2167)+N($P2167))</f>
        <v/>
      </c>
      <c r="T2167" s="47" t="n"/>
      <c r="U2167" s="47" t="n"/>
      <c r="V2167" s="47" t="n"/>
      <c r="W2167" s="47" t="n"/>
      <c r="X2167" s="47" t="n"/>
      <c r="Y2167" s="47" t="n"/>
      <c r="Z2167" s="47" t="n"/>
      <c r="AA2167" s="47" t="n"/>
      <c r="AB2167" s="47" t="n"/>
      <c r="AC2167" s="47" t="n"/>
      <c r="AD2167" s="47" t="n"/>
      <c r="AE2167" s="47" t="n"/>
      <c r="AF2167" s="43">
        <f>IF($B2167="","",SUM($T2167:$AE2167))</f>
        <v/>
      </c>
      <c r="AG2167" s="43">
        <f>IF($B2167="","",N($M2167)-N($AF2167))</f>
        <v/>
      </c>
      <c r="AH2167" s="43">
        <f>IF($B2167="","",N($L2167)-N($AF2167))</f>
        <v/>
      </c>
      <c r="AI2167" s="149">
        <f>IF($B2167="","",IF(N($L2167)=0,"",(N($L2167)-N($AF2167))/N($L2167)))</f>
        <v/>
      </c>
    </row>
    <row r="2168">
      <c r="A2168" s="39">
        <f>IF($B2168="","",COUNTA($B$4:$B2168))</f>
        <v/>
      </c>
      <c r="B2168" s="40" t="n"/>
      <c r="C2168" s="41" t="n"/>
      <c r="D2168" s="41" t="n"/>
      <c r="E2168" s="41" t="n"/>
      <c r="F2168" s="41" t="n"/>
      <c r="G2168" s="41" t="n"/>
      <c r="H2168" s="41" t="n"/>
      <c r="I2168" s="41" t="n"/>
      <c r="J2168" s="41" t="n"/>
      <c r="K2168" s="41" t="n"/>
      <c r="L2168" s="42" t="n"/>
      <c r="M2168" s="42" t="n"/>
      <c r="N2168" s="42" t="n"/>
      <c r="O2168" s="42" t="n"/>
      <c r="P2168" s="42" t="n"/>
      <c r="Q2168" s="42" t="n"/>
      <c r="R2168" s="43">
        <f>IF($B2168="","",N($S2168)-N($Q2168))</f>
        <v/>
      </c>
      <c r="S2168" s="43">
        <f>IF($B2168="","",N($L2168)+N($N2168)+N($P2168))</f>
        <v/>
      </c>
      <c r="T2168" s="42" t="n"/>
      <c r="U2168" s="42" t="n"/>
      <c r="V2168" s="42" t="n"/>
      <c r="W2168" s="42" t="n"/>
      <c r="X2168" s="42" t="n"/>
      <c r="Y2168" s="42" t="n"/>
      <c r="Z2168" s="42" t="n"/>
      <c r="AA2168" s="42" t="n"/>
      <c r="AB2168" s="42" t="n"/>
      <c r="AC2168" s="42" t="n"/>
      <c r="AD2168" s="42" t="n"/>
      <c r="AE2168" s="42" t="n"/>
      <c r="AF2168" s="43">
        <f>IF($B2168="","",SUM($T2168:$AE2168))</f>
        <v/>
      </c>
      <c r="AG2168" s="43">
        <f>IF($B2168="","",N($M2168)-N($AF2168))</f>
        <v/>
      </c>
      <c r="AH2168" s="43">
        <f>IF($B2168="","",N($L2168)-N($AF2168))</f>
        <v/>
      </c>
      <c r="AI2168" s="149">
        <f>IF($B2168="","",IF(N($L2168)=0,"",(N($L2168)-N($AF2168))/N($L2168)))</f>
        <v/>
      </c>
    </row>
    <row r="2169">
      <c r="A2169" s="39">
        <f>IF($B2169="","",COUNTA($B$4:$B2169))</f>
        <v/>
      </c>
      <c r="B2169" s="45" t="n"/>
      <c r="C2169" s="46" t="n"/>
      <c r="D2169" s="46" t="n"/>
      <c r="E2169" s="46" t="n"/>
      <c r="F2169" s="46" t="n"/>
      <c r="G2169" s="46" t="n"/>
      <c r="H2169" s="46" t="n"/>
      <c r="I2169" s="46" t="n"/>
      <c r="J2169" s="46" t="n"/>
      <c r="K2169" s="46" t="n"/>
      <c r="L2169" s="47" t="n"/>
      <c r="M2169" s="47" t="n"/>
      <c r="N2169" s="47" t="n"/>
      <c r="O2169" s="47" t="n"/>
      <c r="P2169" s="47" t="n"/>
      <c r="Q2169" s="47" t="n"/>
      <c r="R2169" s="43">
        <f>IF($B2169="","",N($S2169)-N($Q2169))</f>
        <v/>
      </c>
      <c r="S2169" s="43">
        <f>IF($B2169="","",N($L2169)+N($N2169)+N($P2169))</f>
        <v/>
      </c>
      <c r="T2169" s="47" t="n"/>
      <c r="U2169" s="47" t="n"/>
      <c r="V2169" s="47" t="n"/>
      <c r="W2169" s="47" t="n"/>
      <c r="X2169" s="47" t="n"/>
      <c r="Y2169" s="47" t="n"/>
      <c r="Z2169" s="47" t="n"/>
      <c r="AA2169" s="47" t="n"/>
      <c r="AB2169" s="47" t="n"/>
      <c r="AC2169" s="47" t="n"/>
      <c r="AD2169" s="47" t="n"/>
      <c r="AE2169" s="47" t="n"/>
      <c r="AF2169" s="43">
        <f>IF($B2169="","",SUM($T2169:$AE2169))</f>
        <v/>
      </c>
      <c r="AG2169" s="43">
        <f>IF($B2169="","",N($M2169)-N($AF2169))</f>
        <v/>
      </c>
      <c r="AH2169" s="43">
        <f>IF($B2169="","",N($L2169)-N($AF2169))</f>
        <v/>
      </c>
      <c r="AI2169" s="149">
        <f>IF($B2169="","",IF(N($L2169)=0,"",(N($L2169)-N($AF2169))/N($L2169)))</f>
        <v/>
      </c>
    </row>
    <row r="2170">
      <c r="A2170" s="39">
        <f>IF($B2170="","",COUNTA($B$4:$B2170))</f>
        <v/>
      </c>
      <c r="B2170" s="40" t="n"/>
      <c r="C2170" s="41" t="n"/>
      <c r="D2170" s="41" t="n"/>
      <c r="E2170" s="41" t="n"/>
      <c r="F2170" s="41" t="n"/>
      <c r="G2170" s="41" t="n"/>
      <c r="H2170" s="41" t="n"/>
      <c r="I2170" s="41" t="n"/>
      <c r="J2170" s="41" t="n"/>
      <c r="K2170" s="41" t="n"/>
      <c r="L2170" s="42" t="n"/>
      <c r="M2170" s="42" t="n"/>
      <c r="N2170" s="42" t="n"/>
      <c r="O2170" s="42" t="n"/>
      <c r="P2170" s="42" t="n"/>
      <c r="Q2170" s="42" t="n"/>
      <c r="R2170" s="43">
        <f>IF($B2170="","",N($S2170)-N($Q2170))</f>
        <v/>
      </c>
      <c r="S2170" s="43">
        <f>IF($B2170="","",N($L2170)+N($N2170)+N($P2170))</f>
        <v/>
      </c>
      <c r="T2170" s="42" t="n"/>
      <c r="U2170" s="42" t="n"/>
      <c r="V2170" s="42" t="n"/>
      <c r="W2170" s="42" t="n"/>
      <c r="X2170" s="42" t="n"/>
      <c r="Y2170" s="42" t="n"/>
      <c r="Z2170" s="42" t="n"/>
      <c r="AA2170" s="42" t="n"/>
      <c r="AB2170" s="42" t="n"/>
      <c r="AC2170" s="42" t="n"/>
      <c r="AD2170" s="42" t="n"/>
      <c r="AE2170" s="42" t="n"/>
      <c r="AF2170" s="43">
        <f>IF($B2170="","",SUM($T2170:$AE2170))</f>
        <v/>
      </c>
      <c r="AG2170" s="43">
        <f>IF($B2170="","",N($M2170)-N($AF2170))</f>
        <v/>
      </c>
      <c r="AH2170" s="43">
        <f>IF($B2170="","",N($L2170)-N($AF2170))</f>
        <v/>
      </c>
      <c r="AI2170" s="149">
        <f>IF($B2170="","",IF(N($L2170)=0,"",(N($L2170)-N($AF2170))/N($L2170)))</f>
        <v/>
      </c>
    </row>
    <row r="2171">
      <c r="A2171" s="39">
        <f>IF($B2171="","",COUNTA($B$4:$B2171))</f>
        <v/>
      </c>
      <c r="B2171" s="45" t="n"/>
      <c r="C2171" s="46" t="n"/>
      <c r="D2171" s="46" t="n"/>
      <c r="E2171" s="46" t="n"/>
      <c r="F2171" s="46" t="n"/>
      <c r="G2171" s="46" t="n"/>
      <c r="H2171" s="46" t="n"/>
      <c r="I2171" s="46" t="n"/>
      <c r="J2171" s="46" t="n"/>
      <c r="K2171" s="46" t="n"/>
      <c r="L2171" s="47" t="n"/>
      <c r="M2171" s="47" t="n"/>
      <c r="N2171" s="47" t="n"/>
      <c r="O2171" s="47" t="n"/>
      <c r="P2171" s="47" t="n"/>
      <c r="Q2171" s="47" t="n"/>
      <c r="R2171" s="43">
        <f>IF($B2171="","",N($S2171)-N($Q2171))</f>
        <v/>
      </c>
      <c r="S2171" s="43">
        <f>IF($B2171="","",N($L2171)+N($N2171)+N($P2171))</f>
        <v/>
      </c>
      <c r="T2171" s="47" t="n"/>
      <c r="U2171" s="47" t="n"/>
      <c r="V2171" s="47" t="n"/>
      <c r="W2171" s="47" t="n"/>
      <c r="X2171" s="47" t="n"/>
      <c r="Y2171" s="47" t="n"/>
      <c r="Z2171" s="47" t="n"/>
      <c r="AA2171" s="47" t="n"/>
      <c r="AB2171" s="47" t="n"/>
      <c r="AC2171" s="47" t="n"/>
      <c r="AD2171" s="47" t="n"/>
      <c r="AE2171" s="47" t="n"/>
      <c r="AF2171" s="43">
        <f>IF($B2171="","",SUM($T2171:$AE2171))</f>
        <v/>
      </c>
      <c r="AG2171" s="43">
        <f>IF($B2171="","",N($M2171)-N($AF2171))</f>
        <v/>
      </c>
      <c r="AH2171" s="43">
        <f>IF($B2171="","",N($L2171)-N($AF2171))</f>
        <v/>
      </c>
      <c r="AI2171" s="149">
        <f>IF($B2171="","",IF(N($L2171)=0,"",(N($L2171)-N($AF2171))/N($L2171)))</f>
        <v/>
      </c>
    </row>
    <row r="2172">
      <c r="A2172" s="39">
        <f>IF($B2172="","",COUNTA($B$4:$B2172))</f>
        <v/>
      </c>
      <c r="B2172" s="40" t="n"/>
      <c r="C2172" s="41" t="n"/>
      <c r="D2172" s="41" t="n"/>
      <c r="E2172" s="41" t="n"/>
      <c r="F2172" s="41" t="n"/>
      <c r="G2172" s="41" t="n"/>
      <c r="H2172" s="41" t="n"/>
      <c r="I2172" s="41" t="n"/>
      <c r="J2172" s="41" t="n"/>
      <c r="K2172" s="41" t="n"/>
      <c r="L2172" s="42" t="n"/>
      <c r="M2172" s="42" t="n"/>
      <c r="N2172" s="42" t="n"/>
      <c r="O2172" s="42" t="n"/>
      <c r="P2172" s="42" t="n"/>
      <c r="Q2172" s="42" t="n"/>
      <c r="R2172" s="43">
        <f>IF($B2172="","",N($S2172)-N($Q2172))</f>
        <v/>
      </c>
      <c r="S2172" s="43">
        <f>IF($B2172="","",N($L2172)+N($N2172)+N($P2172))</f>
        <v/>
      </c>
      <c r="T2172" s="42" t="n"/>
      <c r="U2172" s="42" t="n"/>
      <c r="V2172" s="42" t="n"/>
      <c r="W2172" s="42" t="n"/>
      <c r="X2172" s="42" t="n"/>
      <c r="Y2172" s="42" t="n"/>
      <c r="Z2172" s="42" t="n"/>
      <c r="AA2172" s="42" t="n"/>
      <c r="AB2172" s="42" t="n"/>
      <c r="AC2172" s="42" t="n"/>
      <c r="AD2172" s="42" t="n"/>
      <c r="AE2172" s="42" t="n"/>
      <c r="AF2172" s="43">
        <f>IF($B2172="","",SUM($T2172:$AE2172))</f>
        <v/>
      </c>
      <c r="AG2172" s="43">
        <f>IF($B2172="","",N($M2172)-N($AF2172))</f>
        <v/>
      </c>
      <c r="AH2172" s="43">
        <f>IF($B2172="","",N($L2172)-N($AF2172))</f>
        <v/>
      </c>
      <c r="AI2172" s="149">
        <f>IF($B2172="","",IF(N($L2172)=0,"",(N($L2172)-N($AF2172))/N($L2172)))</f>
        <v/>
      </c>
    </row>
    <row r="2173">
      <c r="A2173" s="39">
        <f>IF($B2173="","",COUNTA($B$4:$B2173))</f>
        <v/>
      </c>
      <c r="B2173" s="45" t="n"/>
      <c r="C2173" s="46" t="n"/>
      <c r="D2173" s="46" t="n"/>
      <c r="E2173" s="46" t="n"/>
      <c r="F2173" s="46" t="n"/>
      <c r="G2173" s="46" t="n"/>
      <c r="H2173" s="46" t="n"/>
      <c r="I2173" s="46" t="n"/>
      <c r="J2173" s="46" t="n"/>
      <c r="K2173" s="46" t="n"/>
      <c r="L2173" s="47" t="n"/>
      <c r="M2173" s="47" t="n"/>
      <c r="N2173" s="47" t="n"/>
      <c r="O2173" s="47" t="n"/>
      <c r="P2173" s="47" t="n"/>
      <c r="Q2173" s="47" t="n"/>
      <c r="R2173" s="43">
        <f>IF($B2173="","",N($S2173)-N($Q2173))</f>
        <v/>
      </c>
      <c r="S2173" s="43">
        <f>IF($B2173="","",N($L2173)+N($N2173)+N($P2173))</f>
        <v/>
      </c>
      <c r="T2173" s="47" t="n"/>
      <c r="U2173" s="47" t="n"/>
      <c r="V2173" s="47" t="n"/>
      <c r="W2173" s="47" t="n"/>
      <c r="X2173" s="47" t="n"/>
      <c r="Y2173" s="47" t="n"/>
      <c r="Z2173" s="47" t="n"/>
      <c r="AA2173" s="47" t="n"/>
      <c r="AB2173" s="47" t="n"/>
      <c r="AC2173" s="47" t="n"/>
      <c r="AD2173" s="47" t="n"/>
      <c r="AE2173" s="47" t="n"/>
      <c r="AF2173" s="43">
        <f>IF($B2173="","",SUM($T2173:$AE2173))</f>
        <v/>
      </c>
      <c r="AG2173" s="43">
        <f>IF($B2173="","",N($M2173)-N($AF2173))</f>
        <v/>
      </c>
      <c r="AH2173" s="43">
        <f>IF($B2173="","",N($L2173)-N($AF2173))</f>
        <v/>
      </c>
      <c r="AI2173" s="149">
        <f>IF($B2173="","",IF(N($L2173)=0,"",(N($L2173)-N($AF2173))/N($L2173)))</f>
        <v/>
      </c>
    </row>
    <row r="2174">
      <c r="A2174" s="39">
        <f>IF($B2174="","",COUNTA($B$4:$B2174))</f>
        <v/>
      </c>
      <c r="B2174" s="40" t="n"/>
      <c r="C2174" s="41" t="n"/>
      <c r="D2174" s="41" t="n"/>
      <c r="E2174" s="41" t="n"/>
      <c r="F2174" s="41" t="n"/>
      <c r="G2174" s="41" t="n"/>
      <c r="H2174" s="41" t="n"/>
      <c r="I2174" s="41" t="n"/>
      <c r="J2174" s="41" t="n"/>
      <c r="K2174" s="41" t="n"/>
      <c r="L2174" s="42" t="n"/>
      <c r="M2174" s="42" t="n"/>
      <c r="N2174" s="42" t="n"/>
      <c r="O2174" s="42" t="n"/>
      <c r="P2174" s="42" t="n"/>
      <c r="Q2174" s="42" t="n"/>
      <c r="R2174" s="43">
        <f>IF($B2174="","",N($S2174)-N($Q2174))</f>
        <v/>
      </c>
      <c r="S2174" s="43">
        <f>IF($B2174="","",N($L2174)+N($N2174)+N($P2174))</f>
        <v/>
      </c>
      <c r="T2174" s="42" t="n"/>
      <c r="U2174" s="42" t="n"/>
      <c r="V2174" s="42" t="n"/>
      <c r="W2174" s="42" t="n"/>
      <c r="X2174" s="42" t="n"/>
      <c r="Y2174" s="42" t="n"/>
      <c r="Z2174" s="42" t="n"/>
      <c r="AA2174" s="42" t="n"/>
      <c r="AB2174" s="42" t="n"/>
      <c r="AC2174" s="42" t="n"/>
      <c r="AD2174" s="42" t="n"/>
      <c r="AE2174" s="42" t="n"/>
      <c r="AF2174" s="43">
        <f>IF($B2174="","",SUM($T2174:$AE2174))</f>
        <v/>
      </c>
      <c r="AG2174" s="43">
        <f>IF($B2174="","",N($M2174)-N($AF2174))</f>
        <v/>
      </c>
      <c r="AH2174" s="43">
        <f>IF($B2174="","",N($L2174)-N($AF2174))</f>
        <v/>
      </c>
      <c r="AI2174" s="149">
        <f>IF($B2174="","",IF(N($L2174)=0,"",(N($L2174)-N($AF2174))/N($L2174)))</f>
        <v/>
      </c>
    </row>
    <row r="2175">
      <c r="A2175" s="39">
        <f>IF($B2175="","",COUNTA($B$4:$B2175))</f>
        <v/>
      </c>
      <c r="B2175" s="45" t="n"/>
      <c r="C2175" s="46" t="n"/>
      <c r="D2175" s="46" t="n"/>
      <c r="E2175" s="46" t="n"/>
      <c r="F2175" s="46" t="n"/>
      <c r="G2175" s="46" t="n"/>
      <c r="H2175" s="46" t="n"/>
      <c r="I2175" s="46" t="n"/>
      <c r="J2175" s="46" t="n"/>
      <c r="K2175" s="46" t="n"/>
      <c r="L2175" s="47" t="n"/>
      <c r="M2175" s="47" t="n"/>
      <c r="N2175" s="47" t="n"/>
      <c r="O2175" s="47" t="n"/>
      <c r="P2175" s="47" t="n"/>
      <c r="Q2175" s="47" t="n"/>
      <c r="R2175" s="43">
        <f>IF($B2175="","",N($S2175)-N($Q2175))</f>
        <v/>
      </c>
      <c r="S2175" s="43">
        <f>IF($B2175="","",N($L2175)+N($N2175)+N($P2175))</f>
        <v/>
      </c>
      <c r="T2175" s="47" t="n"/>
      <c r="U2175" s="47" t="n"/>
      <c r="V2175" s="47" t="n"/>
      <c r="W2175" s="47" t="n"/>
      <c r="X2175" s="47" t="n"/>
      <c r="Y2175" s="47" t="n"/>
      <c r="Z2175" s="47" t="n"/>
      <c r="AA2175" s="47" t="n"/>
      <c r="AB2175" s="47" t="n"/>
      <c r="AC2175" s="47" t="n"/>
      <c r="AD2175" s="47" t="n"/>
      <c r="AE2175" s="47" t="n"/>
      <c r="AF2175" s="43">
        <f>IF($B2175="","",SUM($T2175:$AE2175))</f>
        <v/>
      </c>
      <c r="AG2175" s="43">
        <f>IF($B2175="","",N($M2175)-N($AF2175))</f>
        <v/>
      </c>
      <c r="AH2175" s="43">
        <f>IF($B2175="","",N($L2175)-N($AF2175))</f>
        <v/>
      </c>
      <c r="AI2175" s="149">
        <f>IF($B2175="","",IF(N($L2175)=0,"",(N($L2175)-N($AF2175))/N($L2175)))</f>
        <v/>
      </c>
    </row>
    <row r="2176">
      <c r="A2176" s="39">
        <f>IF($B2176="","",COUNTA($B$4:$B2176))</f>
        <v/>
      </c>
      <c r="B2176" s="40" t="n"/>
      <c r="C2176" s="41" t="n"/>
      <c r="D2176" s="41" t="n"/>
      <c r="E2176" s="41" t="n"/>
      <c r="F2176" s="41" t="n"/>
      <c r="G2176" s="41" t="n"/>
      <c r="H2176" s="41" t="n"/>
      <c r="I2176" s="41" t="n"/>
      <c r="J2176" s="41" t="n"/>
      <c r="K2176" s="41" t="n"/>
      <c r="L2176" s="42" t="n"/>
      <c r="M2176" s="42" t="n"/>
      <c r="N2176" s="42" t="n"/>
      <c r="O2176" s="42" t="n"/>
      <c r="P2176" s="42" t="n"/>
      <c r="Q2176" s="42" t="n"/>
      <c r="R2176" s="43">
        <f>IF($B2176="","",N($S2176)-N($Q2176))</f>
        <v/>
      </c>
      <c r="S2176" s="43">
        <f>IF($B2176="","",N($L2176)+N($N2176)+N($P2176))</f>
        <v/>
      </c>
      <c r="T2176" s="42" t="n"/>
      <c r="U2176" s="42" t="n"/>
      <c r="V2176" s="42" t="n"/>
      <c r="W2176" s="42" t="n"/>
      <c r="X2176" s="42" t="n"/>
      <c r="Y2176" s="42" t="n"/>
      <c r="Z2176" s="42" t="n"/>
      <c r="AA2176" s="42" t="n"/>
      <c r="AB2176" s="42" t="n"/>
      <c r="AC2176" s="42" t="n"/>
      <c r="AD2176" s="42" t="n"/>
      <c r="AE2176" s="42" t="n"/>
      <c r="AF2176" s="43">
        <f>IF($B2176="","",SUM($T2176:$AE2176))</f>
        <v/>
      </c>
      <c r="AG2176" s="43">
        <f>IF($B2176="","",N($M2176)-N($AF2176))</f>
        <v/>
      </c>
      <c r="AH2176" s="43">
        <f>IF($B2176="","",N($L2176)-N($AF2176))</f>
        <v/>
      </c>
      <c r="AI2176" s="149">
        <f>IF($B2176="","",IF(N($L2176)=0,"",(N($L2176)-N($AF2176))/N($L2176)))</f>
        <v/>
      </c>
    </row>
    <row r="2177">
      <c r="A2177" s="39">
        <f>IF($B2177="","",COUNTA($B$4:$B2177))</f>
        <v/>
      </c>
      <c r="B2177" s="45" t="n"/>
      <c r="C2177" s="46" t="n"/>
      <c r="D2177" s="46" t="n"/>
      <c r="E2177" s="46" t="n"/>
      <c r="F2177" s="46" t="n"/>
      <c r="G2177" s="46" t="n"/>
      <c r="H2177" s="46" t="n"/>
      <c r="I2177" s="46" t="n"/>
      <c r="J2177" s="46" t="n"/>
      <c r="K2177" s="46" t="n"/>
      <c r="L2177" s="47" t="n"/>
      <c r="M2177" s="47" t="n"/>
      <c r="N2177" s="47" t="n"/>
      <c r="O2177" s="47" t="n"/>
      <c r="P2177" s="47" t="n"/>
      <c r="Q2177" s="47" t="n"/>
      <c r="R2177" s="43">
        <f>IF($B2177="","",N($S2177)-N($Q2177))</f>
        <v/>
      </c>
      <c r="S2177" s="43">
        <f>IF($B2177="","",N($L2177)+N($N2177)+N($P2177))</f>
        <v/>
      </c>
      <c r="T2177" s="47" t="n"/>
      <c r="U2177" s="47" t="n"/>
      <c r="V2177" s="47" t="n"/>
      <c r="W2177" s="47" t="n"/>
      <c r="X2177" s="47" t="n"/>
      <c r="Y2177" s="47" t="n"/>
      <c r="Z2177" s="47" t="n"/>
      <c r="AA2177" s="47" t="n"/>
      <c r="AB2177" s="47" t="n"/>
      <c r="AC2177" s="47" t="n"/>
      <c r="AD2177" s="47" t="n"/>
      <c r="AE2177" s="47" t="n"/>
      <c r="AF2177" s="43">
        <f>IF($B2177="","",SUM($T2177:$AE2177))</f>
        <v/>
      </c>
      <c r="AG2177" s="43">
        <f>IF($B2177="","",N($M2177)-N($AF2177))</f>
        <v/>
      </c>
      <c r="AH2177" s="43">
        <f>IF($B2177="","",N($L2177)-N($AF2177))</f>
        <v/>
      </c>
      <c r="AI2177" s="149">
        <f>IF($B2177="","",IF(N($L2177)=0,"",(N($L2177)-N($AF2177))/N($L2177)))</f>
        <v/>
      </c>
    </row>
    <row r="2178">
      <c r="A2178" s="39">
        <f>IF($B2178="","",COUNTA($B$4:$B2178))</f>
        <v/>
      </c>
      <c r="B2178" s="40" t="n"/>
      <c r="C2178" s="41" t="n"/>
      <c r="D2178" s="41" t="n"/>
      <c r="E2178" s="41" t="n"/>
      <c r="F2178" s="41" t="n"/>
      <c r="G2178" s="41" t="n"/>
      <c r="H2178" s="41" t="n"/>
      <c r="I2178" s="41" t="n"/>
      <c r="J2178" s="41" t="n"/>
      <c r="K2178" s="41" t="n"/>
      <c r="L2178" s="42" t="n"/>
      <c r="M2178" s="42" t="n"/>
      <c r="N2178" s="42" t="n"/>
      <c r="O2178" s="42" t="n"/>
      <c r="P2178" s="42" t="n"/>
      <c r="Q2178" s="42" t="n"/>
      <c r="R2178" s="43">
        <f>IF($B2178="","",N($S2178)-N($Q2178))</f>
        <v/>
      </c>
      <c r="S2178" s="43">
        <f>IF($B2178="","",N($L2178)+N($N2178)+N($P2178))</f>
        <v/>
      </c>
      <c r="T2178" s="42" t="n"/>
      <c r="U2178" s="42" t="n"/>
      <c r="V2178" s="42" t="n"/>
      <c r="W2178" s="42" t="n"/>
      <c r="X2178" s="42" t="n"/>
      <c r="Y2178" s="42" t="n"/>
      <c r="Z2178" s="42" t="n"/>
      <c r="AA2178" s="42" t="n"/>
      <c r="AB2178" s="42" t="n"/>
      <c r="AC2178" s="42" t="n"/>
      <c r="AD2178" s="42" t="n"/>
      <c r="AE2178" s="42" t="n"/>
      <c r="AF2178" s="43">
        <f>IF($B2178="","",SUM($T2178:$AE2178))</f>
        <v/>
      </c>
      <c r="AG2178" s="43">
        <f>IF($B2178="","",N($M2178)-N($AF2178))</f>
        <v/>
      </c>
      <c r="AH2178" s="43">
        <f>IF($B2178="","",N($L2178)-N($AF2178))</f>
        <v/>
      </c>
      <c r="AI2178" s="149">
        <f>IF($B2178="","",IF(N($L2178)=0,"",(N($L2178)-N($AF2178))/N($L2178)))</f>
        <v/>
      </c>
    </row>
    <row r="2179">
      <c r="A2179" s="39">
        <f>IF($B2179="","",COUNTA($B$4:$B2179))</f>
        <v/>
      </c>
      <c r="B2179" s="45" t="n"/>
      <c r="C2179" s="46" t="n"/>
      <c r="D2179" s="46" t="n"/>
      <c r="E2179" s="46" t="n"/>
      <c r="F2179" s="46" t="n"/>
      <c r="G2179" s="46" t="n"/>
      <c r="H2179" s="46" t="n"/>
      <c r="I2179" s="46" t="n"/>
      <c r="J2179" s="46" t="n"/>
      <c r="K2179" s="46" t="n"/>
      <c r="L2179" s="47" t="n"/>
      <c r="M2179" s="47" t="n"/>
      <c r="N2179" s="47" t="n"/>
      <c r="O2179" s="47" t="n"/>
      <c r="P2179" s="47" t="n"/>
      <c r="Q2179" s="47" t="n"/>
      <c r="R2179" s="43">
        <f>IF($B2179="","",N($S2179)-N($Q2179))</f>
        <v/>
      </c>
      <c r="S2179" s="43">
        <f>IF($B2179="","",N($L2179)+N($N2179)+N($P2179))</f>
        <v/>
      </c>
      <c r="T2179" s="47" t="n"/>
      <c r="U2179" s="47" t="n"/>
      <c r="V2179" s="47" t="n"/>
      <c r="W2179" s="47" t="n"/>
      <c r="X2179" s="47" t="n"/>
      <c r="Y2179" s="47" t="n"/>
      <c r="Z2179" s="47" t="n"/>
      <c r="AA2179" s="47" t="n"/>
      <c r="AB2179" s="47" t="n"/>
      <c r="AC2179" s="47" t="n"/>
      <c r="AD2179" s="47" t="n"/>
      <c r="AE2179" s="47" t="n"/>
      <c r="AF2179" s="43">
        <f>IF($B2179="","",SUM($T2179:$AE2179))</f>
        <v/>
      </c>
      <c r="AG2179" s="43">
        <f>IF($B2179="","",N($M2179)-N($AF2179))</f>
        <v/>
      </c>
      <c r="AH2179" s="43">
        <f>IF($B2179="","",N($L2179)-N($AF2179))</f>
        <v/>
      </c>
      <c r="AI2179" s="149">
        <f>IF($B2179="","",IF(N($L2179)=0,"",(N($L2179)-N($AF2179))/N($L2179)))</f>
        <v/>
      </c>
    </row>
    <row r="2180">
      <c r="A2180" s="39">
        <f>IF($B2180="","",COUNTA($B$4:$B2180))</f>
        <v/>
      </c>
      <c r="B2180" s="40" t="n"/>
      <c r="C2180" s="41" t="n"/>
      <c r="D2180" s="41" t="n"/>
      <c r="E2180" s="41" t="n"/>
      <c r="F2180" s="41" t="n"/>
      <c r="G2180" s="41" t="n"/>
      <c r="H2180" s="41" t="n"/>
      <c r="I2180" s="41" t="n"/>
      <c r="J2180" s="41" t="n"/>
      <c r="K2180" s="41" t="n"/>
      <c r="L2180" s="42" t="n"/>
      <c r="M2180" s="42" t="n"/>
      <c r="N2180" s="42" t="n"/>
      <c r="O2180" s="42" t="n"/>
      <c r="P2180" s="42" t="n"/>
      <c r="Q2180" s="42" t="n"/>
      <c r="R2180" s="43">
        <f>IF($B2180="","",N($S2180)-N($Q2180))</f>
        <v/>
      </c>
      <c r="S2180" s="43">
        <f>IF($B2180="","",N($L2180)+N($N2180)+N($P2180))</f>
        <v/>
      </c>
      <c r="T2180" s="42" t="n"/>
      <c r="U2180" s="42" t="n"/>
      <c r="V2180" s="42" t="n"/>
      <c r="W2180" s="42" t="n"/>
      <c r="X2180" s="42" t="n"/>
      <c r="Y2180" s="42" t="n"/>
      <c r="Z2180" s="42" t="n"/>
      <c r="AA2180" s="42" t="n"/>
      <c r="AB2180" s="42" t="n"/>
      <c r="AC2180" s="42" t="n"/>
      <c r="AD2180" s="42" t="n"/>
      <c r="AE2180" s="42" t="n"/>
      <c r="AF2180" s="43">
        <f>IF($B2180="","",SUM($T2180:$AE2180))</f>
        <v/>
      </c>
      <c r="AG2180" s="43">
        <f>IF($B2180="","",N($M2180)-N($AF2180))</f>
        <v/>
      </c>
      <c r="AH2180" s="43">
        <f>IF($B2180="","",N($L2180)-N($AF2180))</f>
        <v/>
      </c>
      <c r="AI2180" s="149">
        <f>IF($B2180="","",IF(N($L2180)=0,"",(N($L2180)-N($AF2180))/N($L2180)))</f>
        <v/>
      </c>
    </row>
    <row r="2181">
      <c r="A2181" s="39">
        <f>IF($B2181="","",COUNTA($B$4:$B2181))</f>
        <v/>
      </c>
      <c r="B2181" s="45" t="n"/>
      <c r="C2181" s="46" t="n"/>
      <c r="D2181" s="46" t="n"/>
      <c r="E2181" s="46" t="n"/>
      <c r="F2181" s="46" t="n"/>
      <c r="G2181" s="46" t="n"/>
      <c r="H2181" s="46" t="n"/>
      <c r="I2181" s="46" t="n"/>
      <c r="J2181" s="46" t="n"/>
      <c r="K2181" s="46" t="n"/>
      <c r="L2181" s="47" t="n"/>
      <c r="M2181" s="47" t="n"/>
      <c r="N2181" s="47" t="n"/>
      <c r="O2181" s="47" t="n"/>
      <c r="P2181" s="47" t="n"/>
      <c r="Q2181" s="47" t="n"/>
      <c r="R2181" s="43">
        <f>IF($B2181="","",N($S2181)-N($Q2181))</f>
        <v/>
      </c>
      <c r="S2181" s="43">
        <f>IF($B2181="","",N($L2181)+N($N2181)+N($P2181))</f>
        <v/>
      </c>
      <c r="T2181" s="47" t="n"/>
      <c r="U2181" s="47" t="n"/>
      <c r="V2181" s="47" t="n"/>
      <c r="W2181" s="47" t="n"/>
      <c r="X2181" s="47" t="n"/>
      <c r="Y2181" s="47" t="n"/>
      <c r="Z2181" s="47" t="n"/>
      <c r="AA2181" s="47" t="n"/>
      <c r="AB2181" s="47" t="n"/>
      <c r="AC2181" s="47" t="n"/>
      <c r="AD2181" s="47" t="n"/>
      <c r="AE2181" s="47" t="n"/>
      <c r="AF2181" s="43">
        <f>IF($B2181="","",SUM($T2181:$AE2181))</f>
        <v/>
      </c>
      <c r="AG2181" s="43">
        <f>IF($B2181="","",N($M2181)-N($AF2181))</f>
        <v/>
      </c>
      <c r="AH2181" s="43">
        <f>IF($B2181="","",N($L2181)-N($AF2181))</f>
        <v/>
      </c>
      <c r="AI2181" s="149">
        <f>IF($B2181="","",IF(N($L2181)=0,"",(N($L2181)-N($AF2181))/N($L2181)))</f>
        <v/>
      </c>
    </row>
    <row r="2182">
      <c r="A2182" s="39">
        <f>IF($B2182="","",COUNTA($B$4:$B2182))</f>
        <v/>
      </c>
      <c r="B2182" s="40" t="n"/>
      <c r="C2182" s="41" t="n"/>
      <c r="D2182" s="41" t="n"/>
      <c r="E2182" s="41" t="n"/>
      <c r="F2182" s="41" t="n"/>
      <c r="G2182" s="41" t="n"/>
      <c r="H2182" s="41" t="n"/>
      <c r="I2182" s="41" t="n"/>
      <c r="J2182" s="41" t="n"/>
      <c r="K2182" s="41" t="n"/>
      <c r="L2182" s="42" t="n"/>
      <c r="M2182" s="42" t="n"/>
      <c r="N2182" s="42" t="n"/>
      <c r="O2182" s="42" t="n"/>
      <c r="P2182" s="42" t="n"/>
      <c r="Q2182" s="42" t="n"/>
      <c r="R2182" s="43">
        <f>IF($B2182="","",N($S2182)-N($Q2182))</f>
        <v/>
      </c>
      <c r="S2182" s="43">
        <f>IF($B2182="","",N($L2182)+N($N2182)+N($P2182))</f>
        <v/>
      </c>
      <c r="T2182" s="42" t="n"/>
      <c r="U2182" s="42" t="n"/>
      <c r="V2182" s="42" t="n"/>
      <c r="W2182" s="42" t="n"/>
      <c r="X2182" s="42" t="n"/>
      <c r="Y2182" s="42" t="n"/>
      <c r="Z2182" s="42" t="n"/>
      <c r="AA2182" s="42" t="n"/>
      <c r="AB2182" s="42" t="n"/>
      <c r="AC2182" s="42" t="n"/>
      <c r="AD2182" s="42" t="n"/>
      <c r="AE2182" s="42" t="n"/>
      <c r="AF2182" s="43">
        <f>IF($B2182="","",SUM($T2182:$AE2182))</f>
        <v/>
      </c>
      <c r="AG2182" s="43">
        <f>IF($B2182="","",N($M2182)-N($AF2182))</f>
        <v/>
      </c>
      <c r="AH2182" s="43">
        <f>IF($B2182="","",N($L2182)-N($AF2182))</f>
        <v/>
      </c>
      <c r="AI2182" s="149">
        <f>IF($B2182="","",IF(N($L2182)=0,"",(N($L2182)-N($AF2182))/N($L2182)))</f>
        <v/>
      </c>
    </row>
    <row r="2183">
      <c r="A2183" s="39">
        <f>IF($B2183="","",COUNTA($B$4:$B2183))</f>
        <v/>
      </c>
      <c r="B2183" s="45" t="n"/>
      <c r="C2183" s="46" t="n"/>
      <c r="D2183" s="46" t="n"/>
      <c r="E2183" s="46" t="n"/>
      <c r="F2183" s="46" t="n"/>
      <c r="G2183" s="46" t="n"/>
      <c r="H2183" s="46" t="n"/>
      <c r="I2183" s="46" t="n"/>
      <c r="J2183" s="46" t="n"/>
      <c r="K2183" s="46" t="n"/>
      <c r="L2183" s="47" t="n"/>
      <c r="M2183" s="47" t="n"/>
      <c r="N2183" s="47" t="n"/>
      <c r="O2183" s="47" t="n"/>
      <c r="P2183" s="47" t="n"/>
      <c r="Q2183" s="47" t="n"/>
      <c r="R2183" s="43">
        <f>IF($B2183="","",N($S2183)-N($Q2183))</f>
        <v/>
      </c>
      <c r="S2183" s="43">
        <f>IF($B2183="","",N($L2183)+N($N2183)+N($P2183))</f>
        <v/>
      </c>
      <c r="T2183" s="47" t="n"/>
      <c r="U2183" s="47" t="n"/>
      <c r="V2183" s="47" t="n"/>
      <c r="W2183" s="47" t="n"/>
      <c r="X2183" s="47" t="n"/>
      <c r="Y2183" s="47" t="n"/>
      <c r="Z2183" s="47" t="n"/>
      <c r="AA2183" s="47" t="n"/>
      <c r="AB2183" s="47" t="n"/>
      <c r="AC2183" s="47" t="n"/>
      <c r="AD2183" s="47" t="n"/>
      <c r="AE2183" s="47" t="n"/>
      <c r="AF2183" s="43">
        <f>IF($B2183="","",SUM($T2183:$AE2183))</f>
        <v/>
      </c>
      <c r="AG2183" s="43">
        <f>IF($B2183="","",N($M2183)-N($AF2183))</f>
        <v/>
      </c>
      <c r="AH2183" s="43">
        <f>IF($B2183="","",N($L2183)-N($AF2183))</f>
        <v/>
      </c>
      <c r="AI2183" s="149">
        <f>IF($B2183="","",IF(N($L2183)=0,"",(N($L2183)-N($AF2183))/N($L2183)))</f>
        <v/>
      </c>
    </row>
    <row r="2184">
      <c r="A2184" s="39">
        <f>IF($B2184="","",COUNTA($B$4:$B2184))</f>
        <v/>
      </c>
      <c r="B2184" s="40" t="n"/>
      <c r="C2184" s="41" t="n"/>
      <c r="D2184" s="41" t="n"/>
      <c r="E2184" s="41" t="n"/>
      <c r="F2184" s="41" t="n"/>
      <c r="G2184" s="41" t="n"/>
      <c r="H2184" s="41" t="n"/>
      <c r="I2184" s="41" t="n"/>
      <c r="J2184" s="41" t="n"/>
      <c r="K2184" s="41" t="n"/>
      <c r="L2184" s="42" t="n"/>
      <c r="M2184" s="42" t="n"/>
      <c r="N2184" s="42" t="n"/>
      <c r="O2184" s="42" t="n"/>
      <c r="P2184" s="42" t="n"/>
      <c r="Q2184" s="42" t="n"/>
      <c r="R2184" s="43">
        <f>IF($B2184="","",N($S2184)-N($Q2184))</f>
        <v/>
      </c>
      <c r="S2184" s="43">
        <f>IF($B2184="","",N($L2184)+N($N2184)+N($P2184))</f>
        <v/>
      </c>
      <c r="T2184" s="42" t="n"/>
      <c r="U2184" s="42" t="n"/>
      <c r="V2184" s="42" t="n"/>
      <c r="W2184" s="42" t="n"/>
      <c r="X2184" s="42" t="n"/>
      <c r="Y2184" s="42" t="n"/>
      <c r="Z2184" s="42" t="n"/>
      <c r="AA2184" s="42" t="n"/>
      <c r="AB2184" s="42" t="n"/>
      <c r="AC2184" s="42" t="n"/>
      <c r="AD2184" s="42" t="n"/>
      <c r="AE2184" s="42" t="n"/>
      <c r="AF2184" s="43">
        <f>IF($B2184="","",SUM($T2184:$AE2184))</f>
        <v/>
      </c>
      <c r="AG2184" s="43">
        <f>IF($B2184="","",N($M2184)-N($AF2184))</f>
        <v/>
      </c>
      <c r="AH2184" s="43">
        <f>IF($B2184="","",N($L2184)-N($AF2184))</f>
        <v/>
      </c>
      <c r="AI2184" s="149">
        <f>IF($B2184="","",IF(N($L2184)=0,"",(N($L2184)-N($AF2184))/N($L2184)))</f>
        <v/>
      </c>
    </row>
    <row r="2185">
      <c r="A2185" s="39">
        <f>IF($B2185="","",COUNTA($B$4:$B2185))</f>
        <v/>
      </c>
      <c r="B2185" s="45" t="n"/>
      <c r="C2185" s="46" t="n"/>
      <c r="D2185" s="46" t="n"/>
      <c r="E2185" s="46" t="n"/>
      <c r="F2185" s="46" t="n"/>
      <c r="G2185" s="46" t="n"/>
      <c r="H2185" s="46" t="n"/>
      <c r="I2185" s="46" t="n"/>
      <c r="J2185" s="46" t="n"/>
      <c r="K2185" s="46" t="n"/>
      <c r="L2185" s="47" t="n"/>
      <c r="M2185" s="47" t="n"/>
      <c r="N2185" s="47" t="n"/>
      <c r="O2185" s="47" t="n"/>
      <c r="P2185" s="47" t="n"/>
      <c r="Q2185" s="47" t="n"/>
      <c r="R2185" s="43">
        <f>IF($B2185="","",N($S2185)-N($Q2185))</f>
        <v/>
      </c>
      <c r="S2185" s="43">
        <f>IF($B2185="","",N($L2185)+N($N2185)+N($P2185))</f>
        <v/>
      </c>
      <c r="T2185" s="47" t="n"/>
      <c r="U2185" s="47" t="n"/>
      <c r="V2185" s="47" t="n"/>
      <c r="W2185" s="47" t="n"/>
      <c r="X2185" s="47" t="n"/>
      <c r="Y2185" s="47" t="n"/>
      <c r="Z2185" s="47" t="n"/>
      <c r="AA2185" s="47" t="n"/>
      <c r="AB2185" s="47" t="n"/>
      <c r="AC2185" s="47" t="n"/>
      <c r="AD2185" s="47" t="n"/>
      <c r="AE2185" s="47" t="n"/>
      <c r="AF2185" s="43">
        <f>IF($B2185="","",SUM($T2185:$AE2185))</f>
        <v/>
      </c>
      <c r="AG2185" s="43">
        <f>IF($B2185="","",N($M2185)-N($AF2185))</f>
        <v/>
      </c>
      <c r="AH2185" s="43">
        <f>IF($B2185="","",N($L2185)-N($AF2185))</f>
        <v/>
      </c>
      <c r="AI2185" s="149">
        <f>IF($B2185="","",IF(N($L2185)=0,"",(N($L2185)-N($AF2185))/N($L2185)))</f>
        <v/>
      </c>
    </row>
    <row r="2186">
      <c r="A2186" s="39">
        <f>IF($B2186="","",COUNTA($B$4:$B2186))</f>
        <v/>
      </c>
      <c r="B2186" s="40" t="n"/>
      <c r="C2186" s="41" t="n"/>
      <c r="D2186" s="41" t="n"/>
      <c r="E2186" s="41" t="n"/>
      <c r="F2186" s="41" t="n"/>
      <c r="G2186" s="41" t="n"/>
      <c r="H2186" s="41" t="n"/>
      <c r="I2186" s="41" t="n"/>
      <c r="J2186" s="41" t="n"/>
      <c r="K2186" s="41" t="n"/>
      <c r="L2186" s="42" t="n"/>
      <c r="M2186" s="42" t="n"/>
      <c r="N2186" s="42" t="n"/>
      <c r="O2186" s="42" t="n"/>
      <c r="P2186" s="42" t="n"/>
      <c r="Q2186" s="42" t="n"/>
      <c r="R2186" s="43">
        <f>IF($B2186="","",N($S2186)-N($Q2186))</f>
        <v/>
      </c>
      <c r="S2186" s="43">
        <f>IF($B2186="","",N($L2186)+N($N2186)+N($P2186))</f>
        <v/>
      </c>
      <c r="T2186" s="42" t="n"/>
      <c r="U2186" s="42" t="n"/>
      <c r="V2186" s="42" t="n"/>
      <c r="W2186" s="42" t="n"/>
      <c r="X2186" s="42" t="n"/>
      <c r="Y2186" s="42" t="n"/>
      <c r="Z2186" s="42" t="n"/>
      <c r="AA2186" s="42" t="n"/>
      <c r="AB2186" s="42" t="n"/>
      <c r="AC2186" s="42" t="n"/>
      <c r="AD2186" s="42" t="n"/>
      <c r="AE2186" s="42" t="n"/>
      <c r="AF2186" s="43">
        <f>IF($B2186="","",SUM($T2186:$AE2186))</f>
        <v/>
      </c>
      <c r="AG2186" s="43">
        <f>IF($B2186="","",N($M2186)-N($AF2186))</f>
        <v/>
      </c>
      <c r="AH2186" s="43">
        <f>IF($B2186="","",N($L2186)-N($AF2186))</f>
        <v/>
      </c>
      <c r="AI2186" s="149">
        <f>IF($B2186="","",IF(N($L2186)=0,"",(N($L2186)-N($AF2186))/N($L2186)))</f>
        <v/>
      </c>
    </row>
    <row r="2187">
      <c r="A2187" s="39">
        <f>IF($B2187="","",COUNTA($B$4:$B2187))</f>
        <v/>
      </c>
      <c r="B2187" s="45" t="n"/>
      <c r="C2187" s="46" t="n"/>
      <c r="D2187" s="46" t="n"/>
      <c r="E2187" s="46" t="n"/>
      <c r="F2187" s="46" t="n"/>
      <c r="G2187" s="46" t="n"/>
      <c r="H2187" s="46" t="n"/>
      <c r="I2187" s="46" t="n"/>
      <c r="J2187" s="46" t="n"/>
      <c r="K2187" s="46" t="n"/>
      <c r="L2187" s="47" t="n"/>
      <c r="M2187" s="47" t="n"/>
      <c r="N2187" s="47" t="n"/>
      <c r="O2187" s="47" t="n"/>
      <c r="P2187" s="47" t="n"/>
      <c r="Q2187" s="47" t="n"/>
      <c r="R2187" s="43">
        <f>IF($B2187="","",N($S2187)-N($Q2187))</f>
        <v/>
      </c>
      <c r="S2187" s="43">
        <f>IF($B2187="","",N($L2187)+N($N2187)+N($P2187))</f>
        <v/>
      </c>
      <c r="T2187" s="47" t="n"/>
      <c r="U2187" s="47" t="n"/>
      <c r="V2187" s="47" t="n"/>
      <c r="W2187" s="47" t="n"/>
      <c r="X2187" s="47" t="n"/>
      <c r="Y2187" s="47" t="n"/>
      <c r="Z2187" s="47" t="n"/>
      <c r="AA2187" s="47" t="n"/>
      <c r="AB2187" s="47" t="n"/>
      <c r="AC2187" s="47" t="n"/>
      <c r="AD2187" s="47" t="n"/>
      <c r="AE2187" s="47" t="n"/>
      <c r="AF2187" s="43">
        <f>IF($B2187="","",SUM($T2187:$AE2187))</f>
        <v/>
      </c>
      <c r="AG2187" s="43">
        <f>IF($B2187="","",N($M2187)-N($AF2187))</f>
        <v/>
      </c>
      <c r="AH2187" s="43">
        <f>IF($B2187="","",N($L2187)-N($AF2187))</f>
        <v/>
      </c>
      <c r="AI2187" s="149">
        <f>IF($B2187="","",IF(N($L2187)=0,"",(N($L2187)-N($AF2187))/N($L2187)))</f>
        <v/>
      </c>
    </row>
    <row r="2188">
      <c r="A2188" s="39">
        <f>IF($B2188="","",COUNTA($B$4:$B2188))</f>
        <v/>
      </c>
      <c r="B2188" s="40" t="n"/>
      <c r="C2188" s="41" t="n"/>
      <c r="D2188" s="41" t="n"/>
      <c r="E2188" s="41" t="n"/>
      <c r="F2188" s="41" t="n"/>
      <c r="G2188" s="41" t="n"/>
      <c r="H2188" s="41" t="n"/>
      <c r="I2188" s="41" t="n"/>
      <c r="J2188" s="41" t="n"/>
      <c r="K2188" s="41" t="n"/>
      <c r="L2188" s="42" t="n"/>
      <c r="M2188" s="42" t="n"/>
      <c r="N2188" s="42" t="n"/>
      <c r="O2188" s="42" t="n"/>
      <c r="P2188" s="42" t="n"/>
      <c r="Q2188" s="42" t="n"/>
      <c r="R2188" s="43">
        <f>IF($B2188="","",N($S2188)-N($Q2188))</f>
        <v/>
      </c>
      <c r="S2188" s="43">
        <f>IF($B2188="","",N($L2188)+N($N2188)+N($P2188))</f>
        <v/>
      </c>
      <c r="T2188" s="42" t="n"/>
      <c r="U2188" s="42" t="n"/>
      <c r="V2188" s="42" t="n"/>
      <c r="W2188" s="42" t="n"/>
      <c r="X2188" s="42" t="n"/>
      <c r="Y2188" s="42" t="n"/>
      <c r="Z2188" s="42" t="n"/>
      <c r="AA2188" s="42" t="n"/>
      <c r="AB2188" s="42" t="n"/>
      <c r="AC2188" s="42" t="n"/>
      <c r="AD2188" s="42" t="n"/>
      <c r="AE2188" s="42" t="n"/>
      <c r="AF2188" s="43">
        <f>IF($B2188="","",SUM($T2188:$AE2188))</f>
        <v/>
      </c>
      <c r="AG2188" s="43">
        <f>IF($B2188="","",N($M2188)-N($AF2188))</f>
        <v/>
      </c>
      <c r="AH2188" s="43">
        <f>IF($B2188="","",N($L2188)-N($AF2188))</f>
        <v/>
      </c>
      <c r="AI2188" s="149">
        <f>IF($B2188="","",IF(N($L2188)=0,"",(N($L2188)-N($AF2188))/N($L2188)))</f>
        <v/>
      </c>
    </row>
    <row r="2189">
      <c r="A2189" s="39">
        <f>IF($B2189="","",COUNTA($B$4:$B2189))</f>
        <v/>
      </c>
      <c r="B2189" s="45" t="n"/>
      <c r="C2189" s="46" t="n"/>
      <c r="D2189" s="46" t="n"/>
      <c r="E2189" s="46" t="n"/>
      <c r="F2189" s="46" t="n"/>
      <c r="G2189" s="46" t="n"/>
      <c r="H2189" s="46" t="n"/>
      <c r="I2189" s="46" t="n"/>
      <c r="J2189" s="46" t="n"/>
      <c r="K2189" s="46" t="n"/>
      <c r="L2189" s="47" t="n"/>
      <c r="M2189" s="47" t="n"/>
      <c r="N2189" s="47" t="n"/>
      <c r="O2189" s="47" t="n"/>
      <c r="P2189" s="47" t="n"/>
      <c r="Q2189" s="47" t="n"/>
      <c r="R2189" s="43">
        <f>IF($B2189="","",N($S2189)-N($Q2189))</f>
        <v/>
      </c>
      <c r="S2189" s="43">
        <f>IF($B2189="","",N($L2189)+N($N2189)+N($P2189))</f>
        <v/>
      </c>
      <c r="T2189" s="47" t="n"/>
      <c r="U2189" s="47" t="n"/>
      <c r="V2189" s="47" t="n"/>
      <c r="W2189" s="47" t="n"/>
      <c r="X2189" s="47" t="n"/>
      <c r="Y2189" s="47" t="n"/>
      <c r="Z2189" s="47" t="n"/>
      <c r="AA2189" s="47" t="n"/>
      <c r="AB2189" s="47" t="n"/>
      <c r="AC2189" s="47" t="n"/>
      <c r="AD2189" s="47" t="n"/>
      <c r="AE2189" s="47" t="n"/>
      <c r="AF2189" s="43">
        <f>IF($B2189="","",SUM($T2189:$AE2189))</f>
        <v/>
      </c>
      <c r="AG2189" s="43">
        <f>IF($B2189="","",N($M2189)-N($AF2189))</f>
        <v/>
      </c>
      <c r="AH2189" s="43">
        <f>IF($B2189="","",N($L2189)-N($AF2189))</f>
        <v/>
      </c>
      <c r="AI2189" s="149">
        <f>IF($B2189="","",IF(N($L2189)=0,"",(N($L2189)-N($AF2189))/N($L2189)))</f>
        <v/>
      </c>
    </row>
    <row r="2190">
      <c r="A2190" s="39">
        <f>IF($B2190="","",COUNTA($B$4:$B2190))</f>
        <v/>
      </c>
      <c r="B2190" s="40" t="n"/>
      <c r="C2190" s="41" t="n"/>
      <c r="D2190" s="41" t="n"/>
      <c r="E2190" s="41" t="n"/>
      <c r="F2190" s="41" t="n"/>
      <c r="G2190" s="41" t="n"/>
      <c r="H2190" s="41" t="n"/>
      <c r="I2190" s="41" t="n"/>
      <c r="J2190" s="41" t="n"/>
      <c r="K2190" s="41" t="n"/>
      <c r="L2190" s="42" t="n"/>
      <c r="M2190" s="42" t="n"/>
      <c r="N2190" s="42" t="n"/>
      <c r="O2190" s="42" t="n"/>
      <c r="P2190" s="42" t="n"/>
      <c r="Q2190" s="42" t="n"/>
      <c r="R2190" s="43">
        <f>IF($B2190="","",N($S2190)-N($Q2190))</f>
        <v/>
      </c>
      <c r="S2190" s="43">
        <f>IF($B2190="","",N($L2190)+N($N2190)+N($P2190))</f>
        <v/>
      </c>
      <c r="T2190" s="42" t="n"/>
      <c r="U2190" s="42" t="n"/>
      <c r="V2190" s="42" t="n"/>
      <c r="W2190" s="42" t="n"/>
      <c r="X2190" s="42" t="n"/>
      <c r="Y2190" s="42" t="n"/>
      <c r="Z2190" s="42" t="n"/>
      <c r="AA2190" s="42" t="n"/>
      <c r="AB2190" s="42" t="n"/>
      <c r="AC2190" s="42" t="n"/>
      <c r="AD2190" s="42" t="n"/>
      <c r="AE2190" s="42" t="n"/>
      <c r="AF2190" s="43">
        <f>IF($B2190="","",SUM($T2190:$AE2190))</f>
        <v/>
      </c>
      <c r="AG2190" s="43">
        <f>IF($B2190="","",N($M2190)-N($AF2190))</f>
        <v/>
      </c>
      <c r="AH2190" s="43">
        <f>IF($B2190="","",N($L2190)-N($AF2190))</f>
        <v/>
      </c>
      <c r="AI2190" s="149">
        <f>IF($B2190="","",IF(N($L2190)=0,"",(N($L2190)-N($AF2190))/N($L2190)))</f>
        <v/>
      </c>
    </row>
    <row r="2191">
      <c r="A2191" s="39">
        <f>IF($B2191="","",COUNTA($B$4:$B2191))</f>
        <v/>
      </c>
      <c r="B2191" s="45" t="n"/>
      <c r="C2191" s="46" t="n"/>
      <c r="D2191" s="46" t="n"/>
      <c r="E2191" s="46" t="n"/>
      <c r="F2191" s="46" t="n"/>
      <c r="G2191" s="46" t="n"/>
      <c r="H2191" s="46" t="n"/>
      <c r="I2191" s="46" t="n"/>
      <c r="J2191" s="46" t="n"/>
      <c r="K2191" s="46" t="n"/>
      <c r="L2191" s="47" t="n"/>
      <c r="M2191" s="47" t="n"/>
      <c r="N2191" s="47" t="n"/>
      <c r="O2191" s="47" t="n"/>
      <c r="P2191" s="47" t="n"/>
      <c r="Q2191" s="47" t="n"/>
      <c r="R2191" s="43">
        <f>IF($B2191="","",N($S2191)-N($Q2191))</f>
        <v/>
      </c>
      <c r="S2191" s="43">
        <f>IF($B2191="","",N($L2191)+N($N2191)+N($P2191))</f>
        <v/>
      </c>
      <c r="T2191" s="47" t="n"/>
      <c r="U2191" s="47" t="n"/>
      <c r="V2191" s="47" t="n"/>
      <c r="W2191" s="47" t="n"/>
      <c r="X2191" s="47" t="n"/>
      <c r="Y2191" s="47" t="n"/>
      <c r="Z2191" s="47" t="n"/>
      <c r="AA2191" s="47" t="n"/>
      <c r="AB2191" s="47" t="n"/>
      <c r="AC2191" s="47" t="n"/>
      <c r="AD2191" s="47" t="n"/>
      <c r="AE2191" s="47" t="n"/>
      <c r="AF2191" s="43">
        <f>IF($B2191="","",SUM($T2191:$AE2191))</f>
        <v/>
      </c>
      <c r="AG2191" s="43">
        <f>IF($B2191="","",N($M2191)-N($AF2191))</f>
        <v/>
      </c>
      <c r="AH2191" s="43">
        <f>IF($B2191="","",N($L2191)-N($AF2191))</f>
        <v/>
      </c>
      <c r="AI2191" s="149">
        <f>IF($B2191="","",IF(N($L2191)=0,"",(N($L2191)-N($AF2191))/N($L2191)))</f>
        <v/>
      </c>
    </row>
    <row r="2192">
      <c r="A2192" s="39">
        <f>IF($B2192="","",COUNTA($B$4:$B2192))</f>
        <v/>
      </c>
      <c r="B2192" s="40" t="n"/>
      <c r="C2192" s="41" t="n"/>
      <c r="D2192" s="41" t="n"/>
      <c r="E2192" s="41" t="n"/>
      <c r="F2192" s="41" t="n"/>
      <c r="G2192" s="41" t="n"/>
      <c r="H2192" s="41" t="n"/>
      <c r="I2192" s="41" t="n"/>
      <c r="J2192" s="41" t="n"/>
      <c r="K2192" s="41" t="n"/>
      <c r="L2192" s="42" t="n"/>
      <c r="M2192" s="42" t="n"/>
      <c r="N2192" s="42" t="n"/>
      <c r="O2192" s="42" t="n"/>
      <c r="P2192" s="42" t="n"/>
      <c r="Q2192" s="42" t="n"/>
      <c r="R2192" s="43">
        <f>IF($B2192="","",N($S2192)-N($Q2192))</f>
        <v/>
      </c>
      <c r="S2192" s="43">
        <f>IF($B2192="","",N($L2192)+N($N2192)+N($P2192))</f>
        <v/>
      </c>
      <c r="T2192" s="42" t="n"/>
      <c r="U2192" s="42" t="n"/>
      <c r="V2192" s="42" t="n"/>
      <c r="W2192" s="42" t="n"/>
      <c r="X2192" s="42" t="n"/>
      <c r="Y2192" s="42" t="n"/>
      <c r="Z2192" s="42" t="n"/>
      <c r="AA2192" s="42" t="n"/>
      <c r="AB2192" s="42" t="n"/>
      <c r="AC2192" s="42" t="n"/>
      <c r="AD2192" s="42" t="n"/>
      <c r="AE2192" s="42" t="n"/>
      <c r="AF2192" s="43">
        <f>IF($B2192="","",SUM($T2192:$AE2192))</f>
        <v/>
      </c>
      <c r="AG2192" s="43">
        <f>IF($B2192="","",N($M2192)-N($AF2192))</f>
        <v/>
      </c>
      <c r="AH2192" s="43">
        <f>IF($B2192="","",N($L2192)-N($AF2192))</f>
        <v/>
      </c>
      <c r="AI2192" s="149">
        <f>IF($B2192="","",IF(N($L2192)=0,"",(N($L2192)-N($AF2192))/N($L2192)))</f>
        <v/>
      </c>
    </row>
    <row r="2193">
      <c r="A2193" s="39">
        <f>IF($B2193="","",COUNTA($B$4:$B2193))</f>
        <v/>
      </c>
      <c r="B2193" s="45" t="n"/>
      <c r="C2193" s="46" t="n"/>
      <c r="D2193" s="46" t="n"/>
      <c r="E2193" s="46" t="n"/>
      <c r="F2193" s="46" t="n"/>
      <c r="G2193" s="46" t="n"/>
      <c r="H2193" s="46" t="n"/>
      <c r="I2193" s="46" t="n"/>
      <c r="J2193" s="46" t="n"/>
      <c r="K2193" s="46" t="n"/>
      <c r="L2193" s="47" t="n"/>
      <c r="M2193" s="47" t="n"/>
      <c r="N2193" s="47" t="n"/>
      <c r="O2193" s="47" t="n"/>
      <c r="P2193" s="47" t="n"/>
      <c r="Q2193" s="47" t="n"/>
      <c r="R2193" s="43">
        <f>IF($B2193="","",N($S2193)-N($Q2193))</f>
        <v/>
      </c>
      <c r="S2193" s="43">
        <f>IF($B2193="","",N($L2193)+N($N2193)+N($P2193))</f>
        <v/>
      </c>
      <c r="T2193" s="47" t="n"/>
      <c r="U2193" s="47" t="n"/>
      <c r="V2193" s="47" t="n"/>
      <c r="W2193" s="47" t="n"/>
      <c r="X2193" s="47" t="n"/>
      <c r="Y2193" s="47" t="n"/>
      <c r="Z2193" s="47" t="n"/>
      <c r="AA2193" s="47" t="n"/>
      <c r="AB2193" s="47" t="n"/>
      <c r="AC2193" s="47" t="n"/>
      <c r="AD2193" s="47" t="n"/>
      <c r="AE2193" s="47" t="n"/>
      <c r="AF2193" s="43">
        <f>IF($B2193="","",SUM($T2193:$AE2193))</f>
        <v/>
      </c>
      <c r="AG2193" s="43">
        <f>IF($B2193="","",N($M2193)-N($AF2193))</f>
        <v/>
      </c>
      <c r="AH2193" s="43">
        <f>IF($B2193="","",N($L2193)-N($AF2193))</f>
        <v/>
      </c>
      <c r="AI2193" s="149">
        <f>IF($B2193="","",IF(N($L2193)=0,"",(N($L2193)-N($AF2193))/N($L2193)))</f>
        <v/>
      </c>
    </row>
    <row r="2194">
      <c r="A2194" s="39">
        <f>IF($B2194="","",COUNTA($B$4:$B2194))</f>
        <v/>
      </c>
      <c r="B2194" s="40" t="n"/>
      <c r="C2194" s="41" t="n"/>
      <c r="D2194" s="41" t="n"/>
      <c r="E2194" s="41" t="n"/>
      <c r="F2194" s="41" t="n"/>
      <c r="G2194" s="41" t="n"/>
      <c r="H2194" s="41" t="n"/>
      <c r="I2194" s="41" t="n"/>
      <c r="J2194" s="41" t="n"/>
      <c r="K2194" s="41" t="n"/>
      <c r="L2194" s="42" t="n"/>
      <c r="M2194" s="42" t="n"/>
      <c r="N2194" s="42" t="n"/>
      <c r="O2194" s="42" t="n"/>
      <c r="P2194" s="42" t="n"/>
      <c r="Q2194" s="42" t="n"/>
      <c r="R2194" s="43">
        <f>IF($B2194="","",N($S2194)-N($Q2194))</f>
        <v/>
      </c>
      <c r="S2194" s="43">
        <f>IF($B2194="","",N($L2194)+N($N2194)+N($P2194))</f>
        <v/>
      </c>
      <c r="T2194" s="42" t="n"/>
      <c r="U2194" s="42" t="n"/>
      <c r="V2194" s="42" t="n"/>
      <c r="W2194" s="42" t="n"/>
      <c r="X2194" s="42" t="n"/>
      <c r="Y2194" s="42" t="n"/>
      <c r="Z2194" s="42" t="n"/>
      <c r="AA2194" s="42" t="n"/>
      <c r="AB2194" s="42" t="n"/>
      <c r="AC2194" s="42" t="n"/>
      <c r="AD2194" s="42" t="n"/>
      <c r="AE2194" s="42" t="n"/>
      <c r="AF2194" s="43">
        <f>IF($B2194="","",SUM($T2194:$AE2194))</f>
        <v/>
      </c>
      <c r="AG2194" s="43">
        <f>IF($B2194="","",N($M2194)-N($AF2194))</f>
        <v/>
      </c>
      <c r="AH2194" s="43">
        <f>IF($B2194="","",N($L2194)-N($AF2194))</f>
        <v/>
      </c>
      <c r="AI2194" s="149">
        <f>IF($B2194="","",IF(N($L2194)=0,"",(N($L2194)-N($AF2194))/N($L2194)))</f>
        <v/>
      </c>
    </row>
    <row r="2195">
      <c r="A2195" s="39">
        <f>IF($B2195="","",COUNTA($B$4:$B2195))</f>
        <v/>
      </c>
      <c r="B2195" s="45" t="n"/>
      <c r="C2195" s="46" t="n"/>
      <c r="D2195" s="46" t="n"/>
      <c r="E2195" s="46" t="n"/>
      <c r="F2195" s="46" t="n"/>
      <c r="G2195" s="46" t="n"/>
      <c r="H2195" s="46" t="n"/>
      <c r="I2195" s="46" t="n"/>
      <c r="J2195" s="46" t="n"/>
      <c r="K2195" s="46" t="n"/>
      <c r="L2195" s="47" t="n"/>
      <c r="M2195" s="47" t="n"/>
      <c r="N2195" s="47" t="n"/>
      <c r="O2195" s="47" t="n"/>
      <c r="P2195" s="47" t="n"/>
      <c r="Q2195" s="47" t="n"/>
      <c r="R2195" s="43">
        <f>IF($B2195="","",N($S2195)-N($Q2195))</f>
        <v/>
      </c>
      <c r="S2195" s="43">
        <f>IF($B2195="","",N($L2195)+N($N2195)+N($P2195))</f>
        <v/>
      </c>
      <c r="T2195" s="47" t="n"/>
      <c r="U2195" s="47" t="n"/>
      <c r="V2195" s="47" t="n"/>
      <c r="W2195" s="47" t="n"/>
      <c r="X2195" s="47" t="n"/>
      <c r="Y2195" s="47" t="n"/>
      <c r="Z2195" s="47" t="n"/>
      <c r="AA2195" s="47" t="n"/>
      <c r="AB2195" s="47" t="n"/>
      <c r="AC2195" s="47" t="n"/>
      <c r="AD2195" s="47" t="n"/>
      <c r="AE2195" s="47" t="n"/>
      <c r="AF2195" s="43">
        <f>IF($B2195="","",SUM($T2195:$AE2195))</f>
        <v/>
      </c>
      <c r="AG2195" s="43">
        <f>IF($B2195="","",N($M2195)-N($AF2195))</f>
        <v/>
      </c>
      <c r="AH2195" s="43">
        <f>IF($B2195="","",N($L2195)-N($AF2195))</f>
        <v/>
      </c>
      <c r="AI2195" s="149">
        <f>IF($B2195="","",IF(N($L2195)=0,"",(N($L2195)-N($AF2195))/N($L2195)))</f>
        <v/>
      </c>
    </row>
    <row r="2196">
      <c r="A2196" s="39">
        <f>IF($B2196="","",COUNTA($B$4:$B2196))</f>
        <v/>
      </c>
      <c r="B2196" s="40" t="n"/>
      <c r="C2196" s="41" t="n"/>
      <c r="D2196" s="41" t="n"/>
      <c r="E2196" s="41" t="n"/>
      <c r="F2196" s="41" t="n"/>
      <c r="G2196" s="41" t="n"/>
      <c r="H2196" s="41" t="n"/>
      <c r="I2196" s="41" t="n"/>
      <c r="J2196" s="41" t="n"/>
      <c r="K2196" s="41" t="n"/>
      <c r="L2196" s="42" t="n"/>
      <c r="M2196" s="42" t="n"/>
      <c r="N2196" s="42" t="n"/>
      <c r="O2196" s="42" t="n"/>
      <c r="P2196" s="42" t="n"/>
      <c r="Q2196" s="42" t="n"/>
      <c r="R2196" s="43">
        <f>IF($B2196="","",N($S2196)-N($Q2196))</f>
        <v/>
      </c>
      <c r="S2196" s="43">
        <f>IF($B2196="","",N($L2196)+N($N2196)+N($P2196))</f>
        <v/>
      </c>
      <c r="T2196" s="42" t="n"/>
      <c r="U2196" s="42" t="n"/>
      <c r="V2196" s="42" t="n"/>
      <c r="W2196" s="42" t="n"/>
      <c r="X2196" s="42" t="n"/>
      <c r="Y2196" s="42" t="n"/>
      <c r="Z2196" s="42" t="n"/>
      <c r="AA2196" s="42" t="n"/>
      <c r="AB2196" s="42" t="n"/>
      <c r="AC2196" s="42" t="n"/>
      <c r="AD2196" s="42" t="n"/>
      <c r="AE2196" s="42" t="n"/>
      <c r="AF2196" s="43">
        <f>IF($B2196="","",SUM($T2196:$AE2196))</f>
        <v/>
      </c>
      <c r="AG2196" s="43">
        <f>IF($B2196="","",N($M2196)-N($AF2196))</f>
        <v/>
      </c>
      <c r="AH2196" s="43">
        <f>IF($B2196="","",N($L2196)-N($AF2196))</f>
        <v/>
      </c>
      <c r="AI2196" s="149">
        <f>IF($B2196="","",IF(N($L2196)=0,"",(N($L2196)-N($AF2196))/N($L2196)))</f>
        <v/>
      </c>
    </row>
    <row r="2197">
      <c r="A2197" s="39">
        <f>IF($B2197="","",COUNTA($B$4:$B2197))</f>
        <v/>
      </c>
      <c r="B2197" s="45" t="n"/>
      <c r="C2197" s="46" t="n"/>
      <c r="D2197" s="46" t="n"/>
      <c r="E2197" s="46" t="n"/>
      <c r="F2197" s="46" t="n"/>
      <c r="G2197" s="46" t="n"/>
      <c r="H2197" s="46" t="n"/>
      <c r="I2197" s="46" t="n"/>
      <c r="J2197" s="46" t="n"/>
      <c r="K2197" s="46" t="n"/>
      <c r="L2197" s="47" t="n"/>
      <c r="M2197" s="47" t="n"/>
      <c r="N2197" s="47" t="n"/>
      <c r="O2197" s="47" t="n"/>
      <c r="P2197" s="47" t="n"/>
      <c r="Q2197" s="47" t="n"/>
      <c r="R2197" s="43">
        <f>IF($B2197="","",N($S2197)-N($Q2197))</f>
        <v/>
      </c>
      <c r="S2197" s="43">
        <f>IF($B2197="","",N($L2197)+N($N2197)+N($P2197))</f>
        <v/>
      </c>
      <c r="T2197" s="47" t="n"/>
      <c r="U2197" s="47" t="n"/>
      <c r="V2197" s="47" t="n"/>
      <c r="W2197" s="47" t="n"/>
      <c r="X2197" s="47" t="n"/>
      <c r="Y2197" s="47" t="n"/>
      <c r="Z2197" s="47" t="n"/>
      <c r="AA2197" s="47" t="n"/>
      <c r="AB2197" s="47" t="n"/>
      <c r="AC2197" s="47" t="n"/>
      <c r="AD2197" s="47" t="n"/>
      <c r="AE2197" s="47" t="n"/>
      <c r="AF2197" s="43">
        <f>IF($B2197="","",SUM($T2197:$AE2197))</f>
        <v/>
      </c>
      <c r="AG2197" s="43">
        <f>IF($B2197="","",N($M2197)-N($AF2197))</f>
        <v/>
      </c>
      <c r="AH2197" s="43">
        <f>IF($B2197="","",N($L2197)-N($AF2197))</f>
        <v/>
      </c>
      <c r="AI2197" s="149">
        <f>IF($B2197="","",IF(N($L2197)=0,"",(N($L2197)-N($AF2197))/N($L2197)))</f>
        <v/>
      </c>
    </row>
    <row r="2198">
      <c r="A2198" s="39">
        <f>IF($B2198="","",COUNTA($B$4:$B2198))</f>
        <v/>
      </c>
      <c r="B2198" s="40" t="n"/>
      <c r="C2198" s="41" t="n"/>
      <c r="D2198" s="41" t="n"/>
      <c r="E2198" s="41" t="n"/>
      <c r="F2198" s="41" t="n"/>
      <c r="G2198" s="41" t="n"/>
      <c r="H2198" s="41" t="n"/>
      <c r="I2198" s="41" t="n"/>
      <c r="J2198" s="41" t="n"/>
      <c r="K2198" s="41" t="n"/>
      <c r="L2198" s="42" t="n"/>
      <c r="M2198" s="42" t="n"/>
      <c r="N2198" s="42" t="n"/>
      <c r="O2198" s="42" t="n"/>
      <c r="P2198" s="42" t="n"/>
      <c r="Q2198" s="42" t="n"/>
      <c r="R2198" s="43">
        <f>IF($B2198="","",N($S2198)-N($Q2198))</f>
        <v/>
      </c>
      <c r="S2198" s="43">
        <f>IF($B2198="","",N($L2198)+N($N2198)+N($P2198))</f>
        <v/>
      </c>
      <c r="T2198" s="42" t="n"/>
      <c r="U2198" s="42" t="n"/>
      <c r="V2198" s="42" t="n"/>
      <c r="W2198" s="42" t="n"/>
      <c r="X2198" s="42" t="n"/>
      <c r="Y2198" s="42" t="n"/>
      <c r="Z2198" s="42" t="n"/>
      <c r="AA2198" s="42" t="n"/>
      <c r="AB2198" s="42" t="n"/>
      <c r="AC2198" s="42" t="n"/>
      <c r="AD2198" s="42" t="n"/>
      <c r="AE2198" s="42" t="n"/>
      <c r="AF2198" s="43">
        <f>IF($B2198="","",SUM($T2198:$AE2198))</f>
        <v/>
      </c>
      <c r="AG2198" s="43">
        <f>IF($B2198="","",N($M2198)-N($AF2198))</f>
        <v/>
      </c>
      <c r="AH2198" s="43">
        <f>IF($B2198="","",N($L2198)-N($AF2198))</f>
        <v/>
      </c>
      <c r="AI2198" s="149">
        <f>IF($B2198="","",IF(N($L2198)=0,"",(N($L2198)-N($AF2198))/N($L2198)))</f>
        <v/>
      </c>
    </row>
    <row r="2199">
      <c r="A2199" s="39">
        <f>IF($B2199="","",COUNTA($B$4:$B2199))</f>
        <v/>
      </c>
      <c r="B2199" s="45" t="n"/>
      <c r="C2199" s="46" t="n"/>
      <c r="D2199" s="46" t="n"/>
      <c r="E2199" s="46" t="n"/>
      <c r="F2199" s="46" t="n"/>
      <c r="G2199" s="46" t="n"/>
      <c r="H2199" s="46" t="n"/>
      <c r="I2199" s="46" t="n"/>
      <c r="J2199" s="46" t="n"/>
      <c r="K2199" s="46" t="n"/>
      <c r="L2199" s="47" t="n"/>
      <c r="M2199" s="47" t="n"/>
      <c r="N2199" s="47" t="n"/>
      <c r="O2199" s="47" t="n"/>
      <c r="P2199" s="47" t="n"/>
      <c r="Q2199" s="47" t="n"/>
      <c r="R2199" s="43">
        <f>IF($B2199="","",N($S2199)-N($Q2199))</f>
        <v/>
      </c>
      <c r="S2199" s="43">
        <f>IF($B2199="","",N($L2199)+N($N2199)+N($P2199))</f>
        <v/>
      </c>
      <c r="T2199" s="47" t="n"/>
      <c r="U2199" s="47" t="n"/>
      <c r="V2199" s="47" t="n"/>
      <c r="W2199" s="47" t="n"/>
      <c r="X2199" s="47" t="n"/>
      <c r="Y2199" s="47" t="n"/>
      <c r="Z2199" s="47" t="n"/>
      <c r="AA2199" s="47" t="n"/>
      <c r="AB2199" s="47" t="n"/>
      <c r="AC2199" s="47" t="n"/>
      <c r="AD2199" s="47" t="n"/>
      <c r="AE2199" s="47" t="n"/>
      <c r="AF2199" s="43">
        <f>IF($B2199="","",SUM($T2199:$AE2199))</f>
        <v/>
      </c>
      <c r="AG2199" s="43">
        <f>IF($B2199="","",N($M2199)-N($AF2199))</f>
        <v/>
      </c>
      <c r="AH2199" s="43">
        <f>IF($B2199="","",N($L2199)-N($AF2199))</f>
        <v/>
      </c>
      <c r="AI2199" s="149">
        <f>IF($B2199="","",IF(N($L2199)=0,"",(N($L2199)-N($AF2199))/N($L2199)))</f>
        <v/>
      </c>
    </row>
    <row r="2200">
      <c r="A2200" s="39">
        <f>IF($B2200="","",COUNTA($B$4:$B2200))</f>
        <v/>
      </c>
      <c r="B2200" s="40" t="n"/>
      <c r="C2200" s="41" t="n"/>
      <c r="D2200" s="41" t="n"/>
      <c r="E2200" s="41" t="n"/>
      <c r="F2200" s="41" t="n"/>
      <c r="G2200" s="41" t="n"/>
      <c r="H2200" s="41" t="n"/>
      <c r="I2200" s="41" t="n"/>
      <c r="J2200" s="41" t="n"/>
      <c r="K2200" s="41" t="n"/>
      <c r="L2200" s="42" t="n"/>
      <c r="M2200" s="42" t="n"/>
      <c r="N2200" s="42" t="n"/>
      <c r="O2200" s="42" t="n"/>
      <c r="P2200" s="42" t="n"/>
      <c r="Q2200" s="42" t="n"/>
      <c r="R2200" s="43">
        <f>IF($B2200="","",N($S2200)-N($Q2200))</f>
        <v/>
      </c>
      <c r="S2200" s="43">
        <f>IF($B2200="","",N($L2200)+N($N2200)+N($P2200))</f>
        <v/>
      </c>
      <c r="T2200" s="42" t="n"/>
      <c r="U2200" s="42" t="n"/>
      <c r="V2200" s="42" t="n"/>
      <c r="W2200" s="42" t="n"/>
      <c r="X2200" s="42" t="n"/>
      <c r="Y2200" s="42" t="n"/>
      <c r="Z2200" s="42" t="n"/>
      <c r="AA2200" s="42" t="n"/>
      <c r="AB2200" s="42" t="n"/>
      <c r="AC2200" s="42" t="n"/>
      <c r="AD2200" s="42" t="n"/>
      <c r="AE2200" s="42" t="n"/>
      <c r="AF2200" s="43">
        <f>IF($B2200="","",SUM($T2200:$AE2200))</f>
        <v/>
      </c>
      <c r="AG2200" s="43">
        <f>IF($B2200="","",N($M2200)-N($AF2200))</f>
        <v/>
      </c>
      <c r="AH2200" s="43">
        <f>IF($B2200="","",N($L2200)-N($AF2200))</f>
        <v/>
      </c>
      <c r="AI2200" s="149">
        <f>IF($B2200="","",IF(N($L2200)=0,"",(N($L2200)-N($AF2200))/N($L2200)))</f>
        <v/>
      </c>
    </row>
    <row r="2201">
      <c r="A2201" s="39">
        <f>IF($B2201="","",COUNTA($B$4:$B2201))</f>
        <v/>
      </c>
      <c r="B2201" s="45" t="n"/>
      <c r="C2201" s="46" t="n"/>
      <c r="D2201" s="46" t="n"/>
      <c r="E2201" s="46" t="n"/>
      <c r="F2201" s="46" t="n"/>
      <c r="G2201" s="46" t="n"/>
      <c r="H2201" s="46" t="n"/>
      <c r="I2201" s="46" t="n"/>
      <c r="J2201" s="46" t="n"/>
      <c r="K2201" s="46" t="n"/>
      <c r="L2201" s="47" t="n"/>
      <c r="M2201" s="47" t="n"/>
      <c r="N2201" s="47" t="n"/>
      <c r="O2201" s="47" t="n"/>
      <c r="P2201" s="47" t="n"/>
      <c r="Q2201" s="47" t="n"/>
      <c r="R2201" s="43">
        <f>IF($B2201="","",N($S2201)-N($Q2201))</f>
        <v/>
      </c>
      <c r="S2201" s="43">
        <f>IF($B2201="","",N($L2201)+N($N2201)+N($P2201))</f>
        <v/>
      </c>
      <c r="T2201" s="47" t="n"/>
      <c r="U2201" s="47" t="n"/>
      <c r="V2201" s="47" t="n"/>
      <c r="W2201" s="47" t="n"/>
      <c r="X2201" s="47" t="n"/>
      <c r="Y2201" s="47" t="n"/>
      <c r="Z2201" s="47" t="n"/>
      <c r="AA2201" s="47" t="n"/>
      <c r="AB2201" s="47" t="n"/>
      <c r="AC2201" s="47" t="n"/>
      <c r="AD2201" s="47" t="n"/>
      <c r="AE2201" s="47" t="n"/>
      <c r="AF2201" s="43">
        <f>IF($B2201="","",SUM($T2201:$AE2201))</f>
        <v/>
      </c>
      <c r="AG2201" s="43">
        <f>IF($B2201="","",N($M2201)-N($AF2201))</f>
        <v/>
      </c>
      <c r="AH2201" s="43">
        <f>IF($B2201="","",N($L2201)-N($AF2201))</f>
        <v/>
      </c>
      <c r="AI2201" s="149">
        <f>IF($B2201="","",IF(N($L2201)=0,"",(N($L2201)-N($AF2201))/N($L2201)))</f>
        <v/>
      </c>
    </row>
    <row r="2202">
      <c r="A2202" s="39">
        <f>IF($B2202="","",COUNTA($B$4:$B2202))</f>
        <v/>
      </c>
      <c r="B2202" s="40" t="n"/>
      <c r="C2202" s="41" t="n"/>
      <c r="D2202" s="41" t="n"/>
      <c r="E2202" s="41" t="n"/>
      <c r="F2202" s="41" t="n"/>
      <c r="G2202" s="41" t="n"/>
      <c r="H2202" s="41" t="n"/>
      <c r="I2202" s="41" t="n"/>
      <c r="J2202" s="41" t="n"/>
      <c r="K2202" s="41" t="n"/>
      <c r="L2202" s="42" t="n"/>
      <c r="M2202" s="42" t="n"/>
      <c r="N2202" s="42" t="n"/>
      <c r="O2202" s="42" t="n"/>
      <c r="P2202" s="42" t="n"/>
      <c r="Q2202" s="42" t="n"/>
      <c r="R2202" s="43">
        <f>IF($B2202="","",N($S2202)-N($Q2202))</f>
        <v/>
      </c>
      <c r="S2202" s="43">
        <f>IF($B2202="","",N($L2202)+N($N2202)+N($P2202))</f>
        <v/>
      </c>
      <c r="T2202" s="42" t="n"/>
      <c r="U2202" s="42" t="n"/>
      <c r="V2202" s="42" t="n"/>
      <c r="W2202" s="42" t="n"/>
      <c r="X2202" s="42" t="n"/>
      <c r="Y2202" s="42" t="n"/>
      <c r="Z2202" s="42" t="n"/>
      <c r="AA2202" s="42" t="n"/>
      <c r="AB2202" s="42" t="n"/>
      <c r="AC2202" s="42" t="n"/>
      <c r="AD2202" s="42" t="n"/>
      <c r="AE2202" s="42" t="n"/>
      <c r="AF2202" s="43">
        <f>IF($B2202="","",SUM($T2202:$AE2202))</f>
        <v/>
      </c>
      <c r="AG2202" s="43">
        <f>IF($B2202="","",N($M2202)-N($AF2202))</f>
        <v/>
      </c>
      <c r="AH2202" s="43">
        <f>IF($B2202="","",N($L2202)-N($AF2202))</f>
        <v/>
      </c>
      <c r="AI2202" s="149">
        <f>IF($B2202="","",IF(N($L2202)=0,"",(N($L2202)-N($AF2202))/N($L2202)))</f>
        <v/>
      </c>
    </row>
    <row r="2203">
      <c r="A2203" s="39">
        <f>IF($B2203="","",COUNTA($B$4:$B2203))</f>
        <v/>
      </c>
      <c r="B2203" s="45" t="n"/>
      <c r="C2203" s="46" t="n"/>
      <c r="D2203" s="46" t="n"/>
      <c r="E2203" s="46" t="n"/>
      <c r="F2203" s="46" t="n"/>
      <c r="G2203" s="46" t="n"/>
      <c r="H2203" s="46" t="n"/>
      <c r="I2203" s="46" t="n"/>
      <c r="J2203" s="46" t="n"/>
      <c r="K2203" s="46" t="n"/>
      <c r="L2203" s="47" t="n"/>
      <c r="M2203" s="47" t="n"/>
      <c r="N2203" s="47" t="n"/>
      <c r="O2203" s="47" t="n"/>
      <c r="P2203" s="47" t="n"/>
      <c r="Q2203" s="47" t="n"/>
      <c r="R2203" s="43">
        <f>IF($B2203="","",N($S2203)-N($Q2203))</f>
        <v/>
      </c>
      <c r="S2203" s="43">
        <f>IF($B2203="","",N($L2203)+N($N2203)+N($P2203))</f>
        <v/>
      </c>
      <c r="T2203" s="47" t="n"/>
      <c r="U2203" s="47" t="n"/>
      <c r="V2203" s="47" t="n"/>
      <c r="W2203" s="47" t="n"/>
      <c r="X2203" s="47" t="n"/>
      <c r="Y2203" s="47" t="n"/>
      <c r="Z2203" s="47" t="n"/>
      <c r="AA2203" s="47" t="n"/>
      <c r="AB2203" s="47" t="n"/>
      <c r="AC2203" s="47" t="n"/>
      <c r="AD2203" s="47" t="n"/>
      <c r="AE2203" s="47" t="n"/>
      <c r="AF2203" s="43">
        <f>IF($B2203="","",SUM($T2203:$AE2203))</f>
        <v/>
      </c>
      <c r="AG2203" s="43">
        <f>IF($B2203="","",N($M2203)-N($AF2203))</f>
        <v/>
      </c>
      <c r="AH2203" s="43">
        <f>IF($B2203="","",N($L2203)-N($AF2203))</f>
        <v/>
      </c>
      <c r="AI2203" s="149">
        <f>IF($B2203="","",IF(N($L2203)=0,"",(N($L2203)-N($AF2203))/N($L2203)))</f>
        <v/>
      </c>
    </row>
    <row r="2204" ht="22" customHeight="1">
      <c r="A2204" s="48" t="n"/>
      <c r="B2204" s="48" t="inlineStr">
        <is>
          <t>الإجماليات</t>
        </is>
      </c>
      <c r="C2204" s="48" t="n"/>
      <c r="D2204" s="48" t="n"/>
      <c r="E2204" s="48" t="n"/>
      <c r="F2204" s="48" t="n"/>
      <c r="G2204" s="48" t="n"/>
      <c r="H2204" s="48" t="n"/>
      <c r="I2204" s="48" t="n"/>
      <c r="J2204" s="48" t="n"/>
      <c r="K2204" s="48" t="n"/>
      <c r="L2204" s="49">
        <f>SUM($L$4:$L$2203)</f>
        <v/>
      </c>
      <c r="M2204" s="49">
        <f>SUM($M$4:$M$2203)</f>
        <v/>
      </c>
      <c r="N2204" s="49">
        <f>SUM($N$4:$N$2203)</f>
        <v/>
      </c>
      <c r="O2204" s="49">
        <f>SUM($O$4:$O$2203)</f>
        <v/>
      </c>
      <c r="P2204" s="49">
        <f>SUM($P$4:$P$2203)</f>
        <v/>
      </c>
      <c r="Q2204" s="49">
        <f>SUM($Q$4:$Q$2203)</f>
        <v/>
      </c>
      <c r="R2204" s="49">
        <f>SUM($R$4:$R$2203)</f>
        <v/>
      </c>
      <c r="S2204" s="49">
        <f>SUM($S$4:$S$2203)</f>
        <v/>
      </c>
      <c r="T2204" s="49">
        <f>SUM($T$4:$T$2203)</f>
        <v/>
      </c>
      <c r="U2204" s="49">
        <f>SUM($U$4:$U$2203)</f>
        <v/>
      </c>
      <c r="V2204" s="49">
        <f>SUM($V$4:$V$2203)</f>
        <v/>
      </c>
      <c r="W2204" s="49">
        <f>SUM($W$4:$W$2203)</f>
        <v/>
      </c>
      <c r="X2204" s="49">
        <f>SUM($X$4:$X$2203)</f>
        <v/>
      </c>
      <c r="Y2204" s="49">
        <f>SUM($Y$4:$Y$2203)</f>
        <v/>
      </c>
      <c r="Z2204" s="49">
        <f>SUM($Z$4:$Z$2203)</f>
        <v/>
      </c>
      <c r="AA2204" s="49">
        <f>SUM($AA$4:$AA$2203)</f>
        <v/>
      </c>
      <c r="AB2204" s="49">
        <f>SUM($AB$4:$AB$2203)</f>
        <v/>
      </c>
      <c r="AC2204" s="49">
        <f>SUM($AC$4:$AC$2203)</f>
        <v/>
      </c>
      <c r="AD2204" s="49">
        <f>SUM($AD$4:$AD$2203)</f>
        <v/>
      </c>
      <c r="AE2204" s="49">
        <f>SUM($AE$4:$AE$2203)</f>
        <v/>
      </c>
      <c r="AF2204" s="49">
        <f>SUM($AF$4:$AF$2203)</f>
        <v/>
      </c>
      <c r="AG2204" s="49">
        <f>SUM($AG$4:$AG$2203)</f>
        <v/>
      </c>
      <c r="AH2204" s="49">
        <f>SUM($AH$4:$AH$2203)</f>
        <v/>
      </c>
      <c r="AI2204" s="48" t="n"/>
    </row>
  </sheetData>
  <autoFilter ref="A3:AI2203"/>
  <mergeCells count="2">
    <mergeCell ref="A2:AI2"/>
    <mergeCell ref="A1:AI1"/>
  </mergeCells>
  <conditionalFormatting sqref="AH4:AH2203">
    <cfRule type="cellIs" priority="1" operator="lessThan" dxfId="0">
      <formula>0</formula>
    </cfRule>
    <cfRule type="cellIs" priority="2" operator="greaterThan" dxfId="1">
      <formula>0</formula>
    </cfRule>
  </conditionalFormatting>
  <conditionalFormatting sqref="AI4:AI2203">
    <cfRule type="cellIs" priority="3" operator="lessThan" dxfId="0">
      <formula>0</formula>
    </cfRule>
  </conditionalFormatting>
  <dataValidations count="5">
    <dataValidation sqref="E4:E2203" showDropDown="0" showInputMessage="0" showErrorMessage="0" allowBlank="1" errorTitle="قيمة غير موجودة" error="اختر من القائمة أو أضف العنصر في صفحة الإعدادات" prompt="اختر من القائمة" type="list">
      <formula1>='الإعدادات'!$D$4:$D$203</formula1>
    </dataValidation>
    <dataValidation sqref="F4:F2203" showDropDown="0" showInputMessage="0" showErrorMessage="0" allowBlank="1" errorTitle="قيمة غير موجودة" error="اختر من القائمة أو أضف العنصر في صفحة الإعدادات" prompt="اختر من القائمة" type="list">
      <formula1>='الإعدادات'!$E$4:$E$203</formula1>
    </dataValidation>
    <dataValidation sqref="G4:G2203" showDropDown="0" showInputMessage="0" showErrorMessage="0" allowBlank="1" errorTitle="قيمة غير موجودة" error="اختر من القائمة أو أضف العنصر في صفحة الإعدادات" prompt="اختر من القائمة" type="list">
      <formula1>='الإعدادات'!$F$4:$F$203</formula1>
    </dataValidation>
    <dataValidation sqref="J4:J2203" showDropDown="0" showInputMessage="0" showErrorMessage="0" allowBlank="1" errorTitle="قيمة غير موجودة" error="اختر من القائمة أو أضف العنصر في صفحة الإعدادات" prompt="اختر من القائمة" type="list">
      <formula1>='الإعدادات'!$G$4:$G$203</formula1>
    </dataValidation>
    <dataValidation sqref="K4:K2203" showDropDown="0" showInputMessage="0" showErrorMessage="0" allowBlank="1" errorTitle="قيمة غير موجودة" error="اختر من القائمة أو أضف العنصر في صفحة الإعدادات" prompt="اختر من القائمة" type="list">
      <formula1>='الإعدادات'!$H$4:$H$203</formula1>
    </dataValidation>
  </dataValidations>
  <printOptions horizontalCentered="1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14746F"/>
    <outlinePr summaryBelow="1" summaryRight="1"/>
    <pageSetUpPr fitToPage="1"/>
  </sheetPr>
  <dimension ref="A1:I2204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26" customWidth="1" min="3" max="3"/>
    <col width="16" customWidth="1" min="4" max="4"/>
    <col width="14" customWidth="1" min="5" max="5"/>
    <col width="14" customWidth="1" min="6" max="6"/>
    <col width="15" customWidth="1" min="7" max="7"/>
    <col width="14" customWidth="1" min="8" max="8"/>
    <col width="15" customWidth="1" min="9" max="9"/>
  </cols>
  <sheetData>
    <row r="1" ht="34" customHeight="1">
      <c r="A1" s="1" t="inlineStr">
        <is>
          <t>شركة المتوكل  —  التخليص</t>
        </is>
      </c>
    </row>
    <row r="2" ht="20" customHeight="1">
      <c r="A2" s="3" t="inlineStr">
        <is>
          <t>سجل شهادات وأعمال التخليص الجمركي</t>
        </is>
      </c>
    </row>
    <row r="3" ht="40" customHeight="1">
      <c r="A3" s="34" t="inlineStr">
        <is>
          <t>م</t>
        </is>
      </c>
      <c r="B3" s="34" t="inlineStr">
        <is>
          <t>التاريخ</t>
        </is>
      </c>
      <c r="C3" s="34" t="inlineStr">
        <is>
          <t>اسم الشهادة</t>
        </is>
      </c>
      <c r="D3" s="34" t="inlineStr">
        <is>
          <t>رقم الشهادة</t>
        </is>
      </c>
      <c r="E3" s="36" t="inlineStr">
        <is>
          <t>الأتعاب</t>
        </is>
      </c>
      <c r="F3" s="37" t="inlineStr">
        <is>
          <t>المصروفات</t>
        </is>
      </c>
      <c r="G3" s="38" t="inlineStr">
        <is>
          <t>إجمالي الكشف</t>
        </is>
      </c>
      <c r="H3" s="36" t="inlineStr">
        <is>
          <t>الدفعات</t>
        </is>
      </c>
      <c r="I3" s="38" t="inlineStr">
        <is>
          <t>المتبقي</t>
        </is>
      </c>
    </row>
    <row r="4">
      <c r="A4" s="39">
        <f>IF($B4="","",COUNTA($B$4:$B4))</f>
        <v/>
      </c>
      <c r="B4" s="40" t="n"/>
      <c r="C4" s="41" t="n"/>
      <c r="D4" s="41" t="n"/>
      <c r="E4" s="42" t="n"/>
      <c r="F4" s="42" t="n"/>
      <c r="G4" s="43">
        <f>IF($B4="","",N($E4)+N($F4))</f>
        <v/>
      </c>
      <c r="H4" s="42" t="n"/>
      <c r="I4" s="43">
        <f>IF($B4="","",N($G4)-N($H4))</f>
        <v/>
      </c>
    </row>
    <row r="5">
      <c r="A5" s="39">
        <f>IF($B5="","",COUNTA($B$4:$B5))</f>
        <v/>
      </c>
      <c r="B5" s="45" t="n"/>
      <c r="C5" s="46" t="n"/>
      <c r="D5" s="46" t="n"/>
      <c r="E5" s="47" t="n"/>
      <c r="F5" s="47" t="n"/>
      <c r="G5" s="43">
        <f>IF($B5="","",N($E5)+N($F5))</f>
        <v/>
      </c>
      <c r="H5" s="47" t="n"/>
      <c r="I5" s="43">
        <f>IF($B5="","",N($G5)-N($H5))</f>
        <v/>
      </c>
    </row>
    <row r="6">
      <c r="A6" s="39">
        <f>IF($B6="","",COUNTA($B$4:$B6))</f>
        <v/>
      </c>
      <c r="B6" s="40" t="n"/>
      <c r="C6" s="41" t="n"/>
      <c r="D6" s="41" t="n"/>
      <c r="E6" s="42" t="n"/>
      <c r="F6" s="42" t="n"/>
      <c r="G6" s="43">
        <f>IF($B6="","",N($E6)+N($F6))</f>
        <v/>
      </c>
      <c r="H6" s="42" t="n"/>
      <c r="I6" s="43">
        <f>IF($B6="","",N($G6)-N($H6))</f>
        <v/>
      </c>
    </row>
    <row r="7">
      <c r="A7" s="39">
        <f>IF($B7="","",COUNTA($B$4:$B7))</f>
        <v/>
      </c>
      <c r="B7" s="45" t="n"/>
      <c r="C7" s="46" t="n"/>
      <c r="D7" s="46" t="n"/>
      <c r="E7" s="47" t="n"/>
      <c r="F7" s="47" t="n"/>
      <c r="G7" s="43">
        <f>IF($B7="","",N($E7)+N($F7))</f>
        <v/>
      </c>
      <c r="H7" s="47" t="n"/>
      <c r="I7" s="43">
        <f>IF($B7="","",N($G7)-N($H7))</f>
        <v/>
      </c>
    </row>
    <row r="8">
      <c r="A8" s="39">
        <f>IF($B8="","",COUNTA($B$4:$B8))</f>
        <v/>
      </c>
      <c r="B8" s="40" t="n"/>
      <c r="C8" s="41" t="n"/>
      <c r="D8" s="41" t="n"/>
      <c r="E8" s="42" t="n"/>
      <c r="F8" s="42" t="n"/>
      <c r="G8" s="43">
        <f>IF($B8="","",N($E8)+N($F8))</f>
        <v/>
      </c>
      <c r="H8" s="42" t="n"/>
      <c r="I8" s="43">
        <f>IF($B8="","",N($G8)-N($H8))</f>
        <v/>
      </c>
    </row>
    <row r="9">
      <c r="A9" s="39">
        <f>IF($B9="","",COUNTA($B$4:$B9))</f>
        <v/>
      </c>
      <c r="B9" s="45" t="n"/>
      <c r="C9" s="46" t="n"/>
      <c r="D9" s="46" t="n"/>
      <c r="E9" s="47" t="n"/>
      <c r="F9" s="47" t="n"/>
      <c r="G9" s="43">
        <f>IF($B9="","",N($E9)+N($F9))</f>
        <v/>
      </c>
      <c r="H9" s="47" t="n"/>
      <c r="I9" s="43">
        <f>IF($B9="","",N($G9)-N($H9))</f>
        <v/>
      </c>
    </row>
    <row r="10">
      <c r="A10" s="39">
        <f>IF($B10="","",COUNTA($B$4:$B10))</f>
        <v/>
      </c>
      <c r="B10" s="40" t="n"/>
      <c r="C10" s="41" t="n"/>
      <c r="D10" s="41" t="n"/>
      <c r="E10" s="42" t="n"/>
      <c r="F10" s="42" t="n"/>
      <c r="G10" s="43">
        <f>IF($B10="","",N($E10)+N($F10))</f>
        <v/>
      </c>
      <c r="H10" s="42" t="n"/>
      <c r="I10" s="43">
        <f>IF($B10="","",N($G10)-N($H10))</f>
        <v/>
      </c>
    </row>
    <row r="11">
      <c r="A11" s="39">
        <f>IF($B11="","",COUNTA($B$4:$B11))</f>
        <v/>
      </c>
      <c r="B11" s="45" t="n"/>
      <c r="C11" s="46" t="n"/>
      <c r="D11" s="46" t="n"/>
      <c r="E11" s="47" t="n"/>
      <c r="F11" s="47" t="n"/>
      <c r="G11" s="43">
        <f>IF($B11="","",N($E11)+N($F11))</f>
        <v/>
      </c>
      <c r="H11" s="47" t="n"/>
      <c r="I11" s="43">
        <f>IF($B11="","",N($G11)-N($H11))</f>
        <v/>
      </c>
    </row>
    <row r="12">
      <c r="A12" s="39">
        <f>IF($B12="","",COUNTA($B$4:$B12))</f>
        <v/>
      </c>
      <c r="B12" s="40" t="n"/>
      <c r="C12" s="41" t="n"/>
      <c r="D12" s="41" t="n"/>
      <c r="E12" s="42" t="n"/>
      <c r="F12" s="42" t="n"/>
      <c r="G12" s="43">
        <f>IF($B12="","",N($E12)+N($F12))</f>
        <v/>
      </c>
      <c r="H12" s="42" t="n"/>
      <c r="I12" s="43">
        <f>IF($B12="","",N($G12)-N($H12))</f>
        <v/>
      </c>
    </row>
    <row r="13">
      <c r="A13" s="39">
        <f>IF($B13="","",COUNTA($B$4:$B13))</f>
        <v/>
      </c>
      <c r="B13" s="45" t="n"/>
      <c r="C13" s="46" t="n"/>
      <c r="D13" s="46" t="n"/>
      <c r="E13" s="47" t="n"/>
      <c r="F13" s="47" t="n"/>
      <c r="G13" s="43">
        <f>IF($B13="","",N($E13)+N($F13))</f>
        <v/>
      </c>
      <c r="H13" s="47" t="n"/>
      <c r="I13" s="43">
        <f>IF($B13="","",N($G13)-N($H13))</f>
        <v/>
      </c>
    </row>
    <row r="14">
      <c r="A14" s="39">
        <f>IF($B14="","",COUNTA($B$4:$B14))</f>
        <v/>
      </c>
      <c r="B14" s="40" t="n"/>
      <c r="C14" s="41" t="n"/>
      <c r="D14" s="41" t="n"/>
      <c r="E14" s="42" t="n"/>
      <c r="F14" s="42" t="n"/>
      <c r="G14" s="43">
        <f>IF($B14="","",N($E14)+N($F14))</f>
        <v/>
      </c>
      <c r="H14" s="42" t="n"/>
      <c r="I14" s="43">
        <f>IF($B14="","",N($G14)-N($H14))</f>
        <v/>
      </c>
    </row>
    <row r="15">
      <c r="A15" s="39">
        <f>IF($B15="","",COUNTA($B$4:$B15))</f>
        <v/>
      </c>
      <c r="B15" s="45" t="n"/>
      <c r="C15" s="46" t="n"/>
      <c r="D15" s="46" t="n"/>
      <c r="E15" s="47" t="n"/>
      <c r="F15" s="47" t="n"/>
      <c r="G15" s="43">
        <f>IF($B15="","",N($E15)+N($F15))</f>
        <v/>
      </c>
      <c r="H15" s="47" t="n"/>
      <c r="I15" s="43">
        <f>IF($B15="","",N($G15)-N($H15))</f>
        <v/>
      </c>
    </row>
    <row r="16">
      <c r="A16" s="39">
        <f>IF($B16="","",COUNTA($B$4:$B16))</f>
        <v/>
      </c>
      <c r="B16" s="40" t="n"/>
      <c r="C16" s="41" t="n"/>
      <c r="D16" s="41" t="n"/>
      <c r="E16" s="42" t="n"/>
      <c r="F16" s="42" t="n"/>
      <c r="G16" s="43">
        <f>IF($B16="","",N($E16)+N($F16))</f>
        <v/>
      </c>
      <c r="H16" s="42" t="n"/>
      <c r="I16" s="43">
        <f>IF($B16="","",N($G16)-N($H16))</f>
        <v/>
      </c>
    </row>
    <row r="17">
      <c r="A17" s="39">
        <f>IF($B17="","",COUNTA($B$4:$B17))</f>
        <v/>
      </c>
      <c r="B17" s="45" t="n"/>
      <c r="C17" s="46" t="n"/>
      <c r="D17" s="46" t="n"/>
      <c r="E17" s="47" t="n"/>
      <c r="F17" s="47" t="n"/>
      <c r="G17" s="43">
        <f>IF($B17="","",N($E17)+N($F17))</f>
        <v/>
      </c>
      <c r="H17" s="47" t="n"/>
      <c r="I17" s="43">
        <f>IF($B17="","",N($G17)-N($H17))</f>
        <v/>
      </c>
    </row>
    <row r="18">
      <c r="A18" s="39">
        <f>IF($B18="","",COUNTA($B$4:$B18))</f>
        <v/>
      </c>
      <c r="B18" s="40" t="n"/>
      <c r="C18" s="41" t="n"/>
      <c r="D18" s="41" t="n"/>
      <c r="E18" s="42" t="n"/>
      <c r="F18" s="42" t="n"/>
      <c r="G18" s="43">
        <f>IF($B18="","",N($E18)+N($F18))</f>
        <v/>
      </c>
      <c r="H18" s="42" t="n"/>
      <c r="I18" s="43">
        <f>IF($B18="","",N($G18)-N($H18))</f>
        <v/>
      </c>
    </row>
    <row r="19">
      <c r="A19" s="39">
        <f>IF($B19="","",COUNTA($B$4:$B19))</f>
        <v/>
      </c>
      <c r="B19" s="45" t="n"/>
      <c r="C19" s="46" t="n"/>
      <c r="D19" s="46" t="n"/>
      <c r="E19" s="47" t="n"/>
      <c r="F19" s="47" t="n"/>
      <c r="G19" s="43">
        <f>IF($B19="","",N($E19)+N($F19))</f>
        <v/>
      </c>
      <c r="H19" s="47" t="n"/>
      <c r="I19" s="43">
        <f>IF($B19="","",N($G19)-N($H19))</f>
        <v/>
      </c>
    </row>
    <row r="20">
      <c r="A20" s="39">
        <f>IF($B20="","",COUNTA($B$4:$B20))</f>
        <v/>
      </c>
      <c r="B20" s="40" t="n"/>
      <c r="C20" s="41" t="n"/>
      <c r="D20" s="41" t="n"/>
      <c r="E20" s="42" t="n"/>
      <c r="F20" s="42" t="n"/>
      <c r="G20" s="43">
        <f>IF($B20="","",N($E20)+N($F20))</f>
        <v/>
      </c>
      <c r="H20" s="42" t="n"/>
      <c r="I20" s="43">
        <f>IF($B20="","",N($G20)-N($H20))</f>
        <v/>
      </c>
    </row>
    <row r="21">
      <c r="A21" s="39">
        <f>IF($B21="","",COUNTA($B$4:$B21))</f>
        <v/>
      </c>
      <c r="B21" s="45" t="n"/>
      <c r="C21" s="46" t="n"/>
      <c r="D21" s="46" t="n"/>
      <c r="E21" s="47" t="n"/>
      <c r="F21" s="47" t="n"/>
      <c r="G21" s="43">
        <f>IF($B21="","",N($E21)+N($F21))</f>
        <v/>
      </c>
      <c r="H21" s="47" t="n"/>
      <c r="I21" s="43">
        <f>IF($B21="","",N($G21)-N($H21))</f>
        <v/>
      </c>
    </row>
    <row r="22">
      <c r="A22" s="39">
        <f>IF($B22="","",COUNTA($B$4:$B22))</f>
        <v/>
      </c>
      <c r="B22" s="40" t="n"/>
      <c r="C22" s="41" t="n"/>
      <c r="D22" s="41" t="n"/>
      <c r="E22" s="42" t="n"/>
      <c r="F22" s="42" t="n"/>
      <c r="G22" s="43">
        <f>IF($B22="","",N($E22)+N($F22))</f>
        <v/>
      </c>
      <c r="H22" s="42" t="n"/>
      <c r="I22" s="43">
        <f>IF($B22="","",N($G22)-N($H22))</f>
        <v/>
      </c>
    </row>
    <row r="23">
      <c r="A23" s="39">
        <f>IF($B23="","",COUNTA($B$4:$B23))</f>
        <v/>
      </c>
      <c r="B23" s="45" t="n"/>
      <c r="C23" s="46" t="n"/>
      <c r="D23" s="46" t="n"/>
      <c r="E23" s="47" t="n"/>
      <c r="F23" s="47" t="n"/>
      <c r="G23" s="43">
        <f>IF($B23="","",N($E23)+N($F23))</f>
        <v/>
      </c>
      <c r="H23" s="47" t="n"/>
      <c r="I23" s="43">
        <f>IF($B23="","",N($G23)-N($H23))</f>
        <v/>
      </c>
    </row>
    <row r="24">
      <c r="A24" s="39">
        <f>IF($B24="","",COUNTA($B$4:$B24))</f>
        <v/>
      </c>
      <c r="B24" s="40" t="n"/>
      <c r="C24" s="41" t="n"/>
      <c r="D24" s="41" t="n"/>
      <c r="E24" s="42" t="n"/>
      <c r="F24" s="42" t="n"/>
      <c r="G24" s="43">
        <f>IF($B24="","",N($E24)+N($F24))</f>
        <v/>
      </c>
      <c r="H24" s="42" t="n"/>
      <c r="I24" s="43">
        <f>IF($B24="","",N($G24)-N($H24))</f>
        <v/>
      </c>
    </row>
    <row r="25">
      <c r="A25" s="39">
        <f>IF($B25="","",COUNTA($B$4:$B25))</f>
        <v/>
      </c>
      <c r="B25" s="45" t="n"/>
      <c r="C25" s="46" t="n"/>
      <c r="D25" s="46" t="n"/>
      <c r="E25" s="47" t="n"/>
      <c r="F25" s="47" t="n"/>
      <c r="G25" s="43">
        <f>IF($B25="","",N($E25)+N($F25))</f>
        <v/>
      </c>
      <c r="H25" s="47" t="n"/>
      <c r="I25" s="43">
        <f>IF($B25="","",N($G25)-N($H25))</f>
        <v/>
      </c>
    </row>
    <row r="26">
      <c r="A26" s="39">
        <f>IF($B26="","",COUNTA($B$4:$B26))</f>
        <v/>
      </c>
      <c r="B26" s="40" t="n"/>
      <c r="C26" s="41" t="n"/>
      <c r="D26" s="41" t="n"/>
      <c r="E26" s="42" t="n"/>
      <c r="F26" s="42" t="n"/>
      <c r="G26" s="43">
        <f>IF($B26="","",N($E26)+N($F26))</f>
        <v/>
      </c>
      <c r="H26" s="42" t="n"/>
      <c r="I26" s="43">
        <f>IF($B26="","",N($G26)-N($H26))</f>
        <v/>
      </c>
    </row>
    <row r="27">
      <c r="A27" s="39">
        <f>IF($B27="","",COUNTA($B$4:$B27))</f>
        <v/>
      </c>
      <c r="B27" s="45" t="n"/>
      <c r="C27" s="46" t="n"/>
      <c r="D27" s="46" t="n"/>
      <c r="E27" s="47" t="n"/>
      <c r="F27" s="47" t="n"/>
      <c r="G27" s="43">
        <f>IF($B27="","",N($E27)+N($F27))</f>
        <v/>
      </c>
      <c r="H27" s="47" t="n"/>
      <c r="I27" s="43">
        <f>IF($B27="","",N($G27)-N($H27))</f>
        <v/>
      </c>
    </row>
    <row r="28">
      <c r="A28" s="39">
        <f>IF($B28="","",COUNTA($B$4:$B28))</f>
        <v/>
      </c>
      <c r="B28" s="40" t="n"/>
      <c r="C28" s="41" t="n"/>
      <c r="D28" s="41" t="n"/>
      <c r="E28" s="42" t="n"/>
      <c r="F28" s="42" t="n"/>
      <c r="G28" s="43">
        <f>IF($B28="","",N($E28)+N($F28))</f>
        <v/>
      </c>
      <c r="H28" s="42" t="n"/>
      <c r="I28" s="43">
        <f>IF($B28="","",N($G28)-N($H28))</f>
        <v/>
      </c>
    </row>
    <row r="29">
      <c r="A29" s="39">
        <f>IF($B29="","",COUNTA($B$4:$B29))</f>
        <v/>
      </c>
      <c r="B29" s="45" t="n"/>
      <c r="C29" s="46" t="n"/>
      <c r="D29" s="46" t="n"/>
      <c r="E29" s="47" t="n"/>
      <c r="F29" s="47" t="n"/>
      <c r="G29" s="43">
        <f>IF($B29="","",N($E29)+N($F29))</f>
        <v/>
      </c>
      <c r="H29" s="47" t="n"/>
      <c r="I29" s="43">
        <f>IF($B29="","",N($G29)-N($H29))</f>
        <v/>
      </c>
    </row>
    <row r="30">
      <c r="A30" s="39">
        <f>IF($B30="","",COUNTA($B$4:$B30))</f>
        <v/>
      </c>
      <c r="B30" s="40" t="n"/>
      <c r="C30" s="41" t="n"/>
      <c r="D30" s="41" t="n"/>
      <c r="E30" s="42" t="n"/>
      <c r="F30" s="42" t="n"/>
      <c r="G30" s="43">
        <f>IF($B30="","",N($E30)+N($F30))</f>
        <v/>
      </c>
      <c r="H30" s="42" t="n"/>
      <c r="I30" s="43">
        <f>IF($B30="","",N($G30)-N($H30))</f>
        <v/>
      </c>
    </row>
    <row r="31">
      <c r="A31" s="39">
        <f>IF($B31="","",COUNTA($B$4:$B31))</f>
        <v/>
      </c>
      <c r="B31" s="45" t="n"/>
      <c r="C31" s="46" t="n"/>
      <c r="D31" s="46" t="n"/>
      <c r="E31" s="47" t="n"/>
      <c r="F31" s="47" t="n"/>
      <c r="G31" s="43">
        <f>IF($B31="","",N($E31)+N($F31))</f>
        <v/>
      </c>
      <c r="H31" s="47" t="n"/>
      <c r="I31" s="43">
        <f>IF($B31="","",N($G31)-N($H31))</f>
        <v/>
      </c>
    </row>
    <row r="32">
      <c r="A32" s="39">
        <f>IF($B32="","",COUNTA($B$4:$B32))</f>
        <v/>
      </c>
      <c r="B32" s="40" t="n"/>
      <c r="C32" s="41" t="n"/>
      <c r="D32" s="41" t="n"/>
      <c r="E32" s="42" t="n"/>
      <c r="F32" s="42" t="n"/>
      <c r="G32" s="43">
        <f>IF($B32="","",N($E32)+N($F32))</f>
        <v/>
      </c>
      <c r="H32" s="42" t="n"/>
      <c r="I32" s="43">
        <f>IF($B32="","",N($G32)-N($H32))</f>
        <v/>
      </c>
    </row>
    <row r="33">
      <c r="A33" s="39">
        <f>IF($B33="","",COUNTA($B$4:$B33))</f>
        <v/>
      </c>
      <c r="B33" s="45" t="n"/>
      <c r="C33" s="46" t="n"/>
      <c r="D33" s="46" t="n"/>
      <c r="E33" s="47" t="n"/>
      <c r="F33" s="47" t="n"/>
      <c r="G33" s="43">
        <f>IF($B33="","",N($E33)+N($F33))</f>
        <v/>
      </c>
      <c r="H33" s="47" t="n"/>
      <c r="I33" s="43">
        <f>IF($B33="","",N($G33)-N($H33))</f>
        <v/>
      </c>
    </row>
    <row r="34">
      <c r="A34" s="39">
        <f>IF($B34="","",COUNTA($B$4:$B34))</f>
        <v/>
      </c>
      <c r="B34" s="40" t="n"/>
      <c r="C34" s="41" t="n"/>
      <c r="D34" s="41" t="n"/>
      <c r="E34" s="42" t="n"/>
      <c r="F34" s="42" t="n"/>
      <c r="G34" s="43">
        <f>IF($B34="","",N($E34)+N($F34))</f>
        <v/>
      </c>
      <c r="H34" s="42" t="n"/>
      <c r="I34" s="43">
        <f>IF($B34="","",N($G34)-N($H34))</f>
        <v/>
      </c>
    </row>
    <row r="35">
      <c r="A35" s="39">
        <f>IF($B35="","",COUNTA($B$4:$B35))</f>
        <v/>
      </c>
      <c r="B35" s="45" t="n"/>
      <c r="C35" s="46" t="n"/>
      <c r="D35" s="46" t="n"/>
      <c r="E35" s="47" t="n"/>
      <c r="F35" s="47" t="n"/>
      <c r="G35" s="43">
        <f>IF($B35="","",N($E35)+N($F35))</f>
        <v/>
      </c>
      <c r="H35" s="47" t="n"/>
      <c r="I35" s="43">
        <f>IF($B35="","",N($G35)-N($H35))</f>
        <v/>
      </c>
    </row>
    <row r="36">
      <c r="A36" s="39">
        <f>IF($B36="","",COUNTA($B$4:$B36))</f>
        <v/>
      </c>
      <c r="B36" s="40" t="n"/>
      <c r="C36" s="41" t="n"/>
      <c r="D36" s="41" t="n"/>
      <c r="E36" s="42" t="n"/>
      <c r="F36" s="42" t="n"/>
      <c r="G36" s="43">
        <f>IF($B36="","",N($E36)+N($F36))</f>
        <v/>
      </c>
      <c r="H36" s="42" t="n"/>
      <c r="I36" s="43">
        <f>IF($B36="","",N($G36)-N($H36))</f>
        <v/>
      </c>
    </row>
    <row r="37">
      <c r="A37" s="39">
        <f>IF($B37="","",COUNTA($B$4:$B37))</f>
        <v/>
      </c>
      <c r="B37" s="45" t="n"/>
      <c r="C37" s="46" t="n"/>
      <c r="D37" s="46" t="n"/>
      <c r="E37" s="47" t="n"/>
      <c r="F37" s="47" t="n"/>
      <c r="G37" s="43">
        <f>IF($B37="","",N($E37)+N($F37))</f>
        <v/>
      </c>
      <c r="H37" s="47" t="n"/>
      <c r="I37" s="43">
        <f>IF($B37="","",N($G37)-N($H37))</f>
        <v/>
      </c>
    </row>
    <row r="38">
      <c r="A38" s="39">
        <f>IF($B38="","",COUNTA($B$4:$B38))</f>
        <v/>
      </c>
      <c r="B38" s="40" t="n"/>
      <c r="C38" s="41" t="n"/>
      <c r="D38" s="41" t="n"/>
      <c r="E38" s="42" t="n"/>
      <c r="F38" s="42" t="n"/>
      <c r="G38" s="43">
        <f>IF($B38="","",N($E38)+N($F38))</f>
        <v/>
      </c>
      <c r="H38" s="42" t="n"/>
      <c r="I38" s="43">
        <f>IF($B38="","",N($G38)-N($H38))</f>
        <v/>
      </c>
    </row>
    <row r="39">
      <c r="A39" s="39">
        <f>IF($B39="","",COUNTA($B$4:$B39))</f>
        <v/>
      </c>
      <c r="B39" s="45" t="n"/>
      <c r="C39" s="46" t="n"/>
      <c r="D39" s="46" t="n"/>
      <c r="E39" s="47" t="n"/>
      <c r="F39" s="47" t="n"/>
      <c r="G39" s="43">
        <f>IF($B39="","",N($E39)+N($F39))</f>
        <v/>
      </c>
      <c r="H39" s="47" t="n"/>
      <c r="I39" s="43">
        <f>IF($B39="","",N($G39)-N($H39))</f>
        <v/>
      </c>
    </row>
    <row r="40">
      <c r="A40" s="39">
        <f>IF($B40="","",COUNTA($B$4:$B40))</f>
        <v/>
      </c>
      <c r="B40" s="40" t="n"/>
      <c r="C40" s="41" t="n"/>
      <c r="D40" s="41" t="n"/>
      <c r="E40" s="42" t="n"/>
      <c r="F40" s="42" t="n"/>
      <c r="G40" s="43">
        <f>IF($B40="","",N($E40)+N($F40))</f>
        <v/>
      </c>
      <c r="H40" s="42" t="n"/>
      <c r="I40" s="43">
        <f>IF($B40="","",N($G40)-N($H40))</f>
        <v/>
      </c>
    </row>
    <row r="41">
      <c r="A41" s="39">
        <f>IF($B41="","",COUNTA($B$4:$B41))</f>
        <v/>
      </c>
      <c r="B41" s="45" t="n"/>
      <c r="C41" s="46" t="n"/>
      <c r="D41" s="46" t="n"/>
      <c r="E41" s="47" t="n"/>
      <c r="F41" s="47" t="n"/>
      <c r="G41" s="43">
        <f>IF($B41="","",N($E41)+N($F41))</f>
        <v/>
      </c>
      <c r="H41" s="47" t="n"/>
      <c r="I41" s="43">
        <f>IF($B41="","",N($G41)-N($H41))</f>
        <v/>
      </c>
    </row>
    <row r="42">
      <c r="A42" s="39">
        <f>IF($B42="","",COUNTA($B$4:$B42))</f>
        <v/>
      </c>
      <c r="B42" s="40" t="n"/>
      <c r="C42" s="41" t="n"/>
      <c r="D42" s="41" t="n"/>
      <c r="E42" s="42" t="n"/>
      <c r="F42" s="42" t="n"/>
      <c r="G42" s="43">
        <f>IF($B42="","",N($E42)+N($F42))</f>
        <v/>
      </c>
      <c r="H42" s="42" t="n"/>
      <c r="I42" s="43">
        <f>IF($B42="","",N($G42)-N($H42))</f>
        <v/>
      </c>
    </row>
    <row r="43">
      <c r="A43" s="39">
        <f>IF($B43="","",COUNTA($B$4:$B43))</f>
        <v/>
      </c>
      <c r="B43" s="45" t="n"/>
      <c r="C43" s="46" t="n"/>
      <c r="D43" s="46" t="n"/>
      <c r="E43" s="47" t="n"/>
      <c r="F43" s="47" t="n"/>
      <c r="G43" s="43">
        <f>IF($B43="","",N($E43)+N($F43))</f>
        <v/>
      </c>
      <c r="H43" s="47" t="n"/>
      <c r="I43" s="43">
        <f>IF($B43="","",N($G43)-N($H43))</f>
        <v/>
      </c>
    </row>
    <row r="44">
      <c r="A44" s="39">
        <f>IF($B44="","",COUNTA($B$4:$B44))</f>
        <v/>
      </c>
      <c r="B44" s="40" t="n"/>
      <c r="C44" s="41" t="n"/>
      <c r="D44" s="41" t="n"/>
      <c r="E44" s="42" t="n"/>
      <c r="F44" s="42" t="n"/>
      <c r="G44" s="43">
        <f>IF($B44="","",N($E44)+N($F44))</f>
        <v/>
      </c>
      <c r="H44" s="42" t="n"/>
      <c r="I44" s="43">
        <f>IF($B44="","",N($G44)-N($H44))</f>
        <v/>
      </c>
    </row>
    <row r="45">
      <c r="A45" s="39">
        <f>IF($B45="","",COUNTA($B$4:$B45))</f>
        <v/>
      </c>
      <c r="B45" s="45" t="n"/>
      <c r="C45" s="46" t="n"/>
      <c r="D45" s="46" t="n"/>
      <c r="E45" s="47" t="n"/>
      <c r="F45" s="47" t="n"/>
      <c r="G45" s="43">
        <f>IF($B45="","",N($E45)+N($F45))</f>
        <v/>
      </c>
      <c r="H45" s="47" t="n"/>
      <c r="I45" s="43">
        <f>IF($B45="","",N($G45)-N($H45))</f>
        <v/>
      </c>
    </row>
    <row r="46">
      <c r="A46" s="39">
        <f>IF($B46="","",COUNTA($B$4:$B46))</f>
        <v/>
      </c>
      <c r="B46" s="40" t="n"/>
      <c r="C46" s="41" t="n"/>
      <c r="D46" s="41" t="n"/>
      <c r="E46" s="42" t="n"/>
      <c r="F46" s="42" t="n"/>
      <c r="G46" s="43">
        <f>IF($B46="","",N($E46)+N($F46))</f>
        <v/>
      </c>
      <c r="H46" s="42" t="n"/>
      <c r="I46" s="43">
        <f>IF($B46="","",N($G46)-N($H46))</f>
        <v/>
      </c>
    </row>
    <row r="47">
      <c r="A47" s="39">
        <f>IF($B47="","",COUNTA($B$4:$B47))</f>
        <v/>
      </c>
      <c r="B47" s="45" t="n"/>
      <c r="C47" s="46" t="n"/>
      <c r="D47" s="46" t="n"/>
      <c r="E47" s="47" t="n"/>
      <c r="F47" s="47" t="n"/>
      <c r="G47" s="43">
        <f>IF($B47="","",N($E47)+N($F47))</f>
        <v/>
      </c>
      <c r="H47" s="47" t="n"/>
      <c r="I47" s="43">
        <f>IF($B47="","",N($G47)-N($H47))</f>
        <v/>
      </c>
    </row>
    <row r="48">
      <c r="A48" s="39">
        <f>IF($B48="","",COUNTA($B$4:$B48))</f>
        <v/>
      </c>
      <c r="B48" s="40" t="n"/>
      <c r="C48" s="41" t="n"/>
      <c r="D48" s="41" t="n"/>
      <c r="E48" s="42" t="n"/>
      <c r="F48" s="42" t="n"/>
      <c r="G48" s="43">
        <f>IF($B48="","",N($E48)+N($F48))</f>
        <v/>
      </c>
      <c r="H48" s="42" t="n"/>
      <c r="I48" s="43">
        <f>IF($B48="","",N($G48)-N($H48))</f>
        <v/>
      </c>
    </row>
    <row r="49">
      <c r="A49" s="39">
        <f>IF($B49="","",COUNTA($B$4:$B49))</f>
        <v/>
      </c>
      <c r="B49" s="45" t="n"/>
      <c r="C49" s="46" t="n"/>
      <c r="D49" s="46" t="n"/>
      <c r="E49" s="47" t="n"/>
      <c r="F49" s="47" t="n"/>
      <c r="G49" s="43">
        <f>IF($B49="","",N($E49)+N($F49))</f>
        <v/>
      </c>
      <c r="H49" s="47" t="n"/>
      <c r="I49" s="43">
        <f>IF($B49="","",N($G49)-N($H49))</f>
        <v/>
      </c>
    </row>
    <row r="50">
      <c r="A50" s="39">
        <f>IF($B50="","",COUNTA($B$4:$B50))</f>
        <v/>
      </c>
      <c r="B50" s="40" t="n"/>
      <c r="C50" s="41" t="n"/>
      <c r="D50" s="41" t="n"/>
      <c r="E50" s="42" t="n"/>
      <c r="F50" s="42" t="n"/>
      <c r="G50" s="43">
        <f>IF($B50="","",N($E50)+N($F50))</f>
        <v/>
      </c>
      <c r="H50" s="42" t="n"/>
      <c r="I50" s="43">
        <f>IF($B50="","",N($G50)-N($H50))</f>
        <v/>
      </c>
    </row>
    <row r="51">
      <c r="A51" s="39">
        <f>IF($B51="","",COUNTA($B$4:$B51))</f>
        <v/>
      </c>
      <c r="B51" s="45" t="n"/>
      <c r="C51" s="46" t="n"/>
      <c r="D51" s="46" t="n"/>
      <c r="E51" s="47" t="n"/>
      <c r="F51" s="47" t="n"/>
      <c r="G51" s="43">
        <f>IF($B51="","",N($E51)+N($F51))</f>
        <v/>
      </c>
      <c r="H51" s="47" t="n"/>
      <c r="I51" s="43">
        <f>IF($B51="","",N($G51)-N($H51))</f>
        <v/>
      </c>
    </row>
    <row r="52">
      <c r="A52" s="39">
        <f>IF($B52="","",COUNTA($B$4:$B52))</f>
        <v/>
      </c>
      <c r="B52" s="40" t="n"/>
      <c r="C52" s="41" t="n"/>
      <c r="D52" s="41" t="n"/>
      <c r="E52" s="42" t="n"/>
      <c r="F52" s="42" t="n"/>
      <c r="G52" s="43">
        <f>IF($B52="","",N($E52)+N($F52))</f>
        <v/>
      </c>
      <c r="H52" s="42" t="n"/>
      <c r="I52" s="43">
        <f>IF($B52="","",N($G52)-N($H52))</f>
        <v/>
      </c>
    </row>
    <row r="53">
      <c r="A53" s="39">
        <f>IF($B53="","",COUNTA($B$4:$B53))</f>
        <v/>
      </c>
      <c r="B53" s="45" t="n"/>
      <c r="C53" s="46" t="n"/>
      <c r="D53" s="46" t="n"/>
      <c r="E53" s="47" t="n"/>
      <c r="F53" s="47" t="n"/>
      <c r="G53" s="43">
        <f>IF($B53="","",N($E53)+N($F53))</f>
        <v/>
      </c>
      <c r="H53" s="47" t="n"/>
      <c r="I53" s="43">
        <f>IF($B53="","",N($G53)-N($H53))</f>
        <v/>
      </c>
    </row>
    <row r="54">
      <c r="A54" s="39">
        <f>IF($B54="","",COUNTA($B$4:$B54))</f>
        <v/>
      </c>
      <c r="B54" s="40" t="n"/>
      <c r="C54" s="41" t="n"/>
      <c r="D54" s="41" t="n"/>
      <c r="E54" s="42" t="n"/>
      <c r="F54" s="42" t="n"/>
      <c r="G54" s="43">
        <f>IF($B54="","",N($E54)+N($F54))</f>
        <v/>
      </c>
      <c r="H54" s="42" t="n"/>
      <c r="I54" s="43">
        <f>IF($B54="","",N($G54)-N($H54))</f>
        <v/>
      </c>
    </row>
    <row r="55">
      <c r="A55" s="39">
        <f>IF($B55="","",COUNTA($B$4:$B55))</f>
        <v/>
      </c>
      <c r="B55" s="45" t="n"/>
      <c r="C55" s="46" t="n"/>
      <c r="D55" s="46" t="n"/>
      <c r="E55" s="47" t="n"/>
      <c r="F55" s="47" t="n"/>
      <c r="G55" s="43">
        <f>IF($B55="","",N($E55)+N($F55))</f>
        <v/>
      </c>
      <c r="H55" s="47" t="n"/>
      <c r="I55" s="43">
        <f>IF($B55="","",N($G55)-N($H55))</f>
        <v/>
      </c>
    </row>
    <row r="56">
      <c r="A56" s="39">
        <f>IF($B56="","",COUNTA($B$4:$B56))</f>
        <v/>
      </c>
      <c r="B56" s="40" t="n"/>
      <c r="C56" s="41" t="n"/>
      <c r="D56" s="41" t="n"/>
      <c r="E56" s="42" t="n"/>
      <c r="F56" s="42" t="n"/>
      <c r="G56" s="43">
        <f>IF($B56="","",N($E56)+N($F56))</f>
        <v/>
      </c>
      <c r="H56" s="42" t="n"/>
      <c r="I56" s="43">
        <f>IF($B56="","",N($G56)-N($H56))</f>
        <v/>
      </c>
    </row>
    <row r="57">
      <c r="A57" s="39">
        <f>IF($B57="","",COUNTA($B$4:$B57))</f>
        <v/>
      </c>
      <c r="B57" s="45" t="n"/>
      <c r="C57" s="46" t="n"/>
      <c r="D57" s="46" t="n"/>
      <c r="E57" s="47" t="n"/>
      <c r="F57" s="47" t="n"/>
      <c r="G57" s="43">
        <f>IF($B57="","",N($E57)+N($F57))</f>
        <v/>
      </c>
      <c r="H57" s="47" t="n"/>
      <c r="I57" s="43">
        <f>IF($B57="","",N($G57)-N($H57))</f>
        <v/>
      </c>
    </row>
    <row r="58">
      <c r="A58" s="39">
        <f>IF($B58="","",COUNTA($B$4:$B58))</f>
        <v/>
      </c>
      <c r="B58" s="40" t="n"/>
      <c r="C58" s="41" t="n"/>
      <c r="D58" s="41" t="n"/>
      <c r="E58" s="42" t="n"/>
      <c r="F58" s="42" t="n"/>
      <c r="G58" s="43">
        <f>IF($B58="","",N($E58)+N($F58))</f>
        <v/>
      </c>
      <c r="H58" s="42" t="n"/>
      <c r="I58" s="43">
        <f>IF($B58="","",N($G58)-N($H58))</f>
        <v/>
      </c>
    </row>
    <row r="59">
      <c r="A59" s="39">
        <f>IF($B59="","",COUNTA($B$4:$B59))</f>
        <v/>
      </c>
      <c r="B59" s="45" t="n"/>
      <c r="C59" s="46" t="n"/>
      <c r="D59" s="46" t="n"/>
      <c r="E59" s="47" t="n"/>
      <c r="F59" s="47" t="n"/>
      <c r="G59" s="43">
        <f>IF($B59="","",N($E59)+N($F59))</f>
        <v/>
      </c>
      <c r="H59" s="47" t="n"/>
      <c r="I59" s="43">
        <f>IF($B59="","",N($G59)-N($H59))</f>
        <v/>
      </c>
    </row>
    <row r="60">
      <c r="A60" s="39">
        <f>IF($B60="","",COUNTA($B$4:$B60))</f>
        <v/>
      </c>
      <c r="B60" s="40" t="n"/>
      <c r="C60" s="41" t="n"/>
      <c r="D60" s="41" t="n"/>
      <c r="E60" s="42" t="n"/>
      <c r="F60" s="42" t="n"/>
      <c r="G60" s="43">
        <f>IF($B60="","",N($E60)+N($F60))</f>
        <v/>
      </c>
      <c r="H60" s="42" t="n"/>
      <c r="I60" s="43">
        <f>IF($B60="","",N($G60)-N($H60))</f>
        <v/>
      </c>
    </row>
    <row r="61">
      <c r="A61" s="39">
        <f>IF($B61="","",COUNTA($B$4:$B61))</f>
        <v/>
      </c>
      <c r="B61" s="45" t="n"/>
      <c r="C61" s="46" t="n"/>
      <c r="D61" s="46" t="n"/>
      <c r="E61" s="47" t="n"/>
      <c r="F61" s="47" t="n"/>
      <c r="G61" s="43">
        <f>IF($B61="","",N($E61)+N($F61))</f>
        <v/>
      </c>
      <c r="H61" s="47" t="n"/>
      <c r="I61" s="43">
        <f>IF($B61="","",N($G61)-N($H61))</f>
        <v/>
      </c>
    </row>
    <row r="62">
      <c r="A62" s="39">
        <f>IF($B62="","",COUNTA($B$4:$B62))</f>
        <v/>
      </c>
      <c r="B62" s="40" t="n"/>
      <c r="C62" s="41" t="n"/>
      <c r="D62" s="41" t="n"/>
      <c r="E62" s="42" t="n"/>
      <c r="F62" s="42" t="n"/>
      <c r="G62" s="43">
        <f>IF($B62="","",N($E62)+N($F62))</f>
        <v/>
      </c>
      <c r="H62" s="42" t="n"/>
      <c r="I62" s="43">
        <f>IF($B62="","",N($G62)-N($H62))</f>
        <v/>
      </c>
    </row>
    <row r="63">
      <c r="A63" s="39">
        <f>IF($B63="","",COUNTA($B$4:$B63))</f>
        <v/>
      </c>
      <c r="B63" s="45" t="n"/>
      <c r="C63" s="46" t="n"/>
      <c r="D63" s="46" t="n"/>
      <c r="E63" s="47" t="n"/>
      <c r="F63" s="47" t="n"/>
      <c r="G63" s="43">
        <f>IF($B63="","",N($E63)+N($F63))</f>
        <v/>
      </c>
      <c r="H63" s="47" t="n"/>
      <c r="I63" s="43">
        <f>IF($B63="","",N($G63)-N($H63))</f>
        <v/>
      </c>
    </row>
    <row r="64">
      <c r="A64" s="39">
        <f>IF($B64="","",COUNTA($B$4:$B64))</f>
        <v/>
      </c>
      <c r="B64" s="40" t="n"/>
      <c r="C64" s="41" t="n"/>
      <c r="D64" s="41" t="n"/>
      <c r="E64" s="42" t="n"/>
      <c r="F64" s="42" t="n"/>
      <c r="G64" s="43">
        <f>IF($B64="","",N($E64)+N($F64))</f>
        <v/>
      </c>
      <c r="H64" s="42" t="n"/>
      <c r="I64" s="43">
        <f>IF($B64="","",N($G64)-N($H64))</f>
        <v/>
      </c>
    </row>
    <row r="65">
      <c r="A65" s="39">
        <f>IF($B65="","",COUNTA($B$4:$B65))</f>
        <v/>
      </c>
      <c r="B65" s="45" t="n"/>
      <c r="C65" s="46" t="n"/>
      <c r="D65" s="46" t="n"/>
      <c r="E65" s="47" t="n"/>
      <c r="F65" s="47" t="n"/>
      <c r="G65" s="43">
        <f>IF($B65="","",N($E65)+N($F65))</f>
        <v/>
      </c>
      <c r="H65" s="47" t="n"/>
      <c r="I65" s="43">
        <f>IF($B65="","",N($G65)-N($H65))</f>
        <v/>
      </c>
    </row>
    <row r="66">
      <c r="A66" s="39">
        <f>IF($B66="","",COUNTA($B$4:$B66))</f>
        <v/>
      </c>
      <c r="B66" s="40" t="n"/>
      <c r="C66" s="41" t="n"/>
      <c r="D66" s="41" t="n"/>
      <c r="E66" s="42" t="n"/>
      <c r="F66" s="42" t="n"/>
      <c r="G66" s="43">
        <f>IF($B66="","",N($E66)+N($F66))</f>
        <v/>
      </c>
      <c r="H66" s="42" t="n"/>
      <c r="I66" s="43">
        <f>IF($B66="","",N($G66)-N($H66))</f>
        <v/>
      </c>
    </row>
    <row r="67">
      <c r="A67" s="39">
        <f>IF($B67="","",COUNTA($B$4:$B67))</f>
        <v/>
      </c>
      <c r="B67" s="45" t="n"/>
      <c r="C67" s="46" t="n"/>
      <c r="D67" s="46" t="n"/>
      <c r="E67" s="47" t="n"/>
      <c r="F67" s="47" t="n"/>
      <c r="G67" s="43">
        <f>IF($B67="","",N($E67)+N($F67))</f>
        <v/>
      </c>
      <c r="H67" s="47" t="n"/>
      <c r="I67" s="43">
        <f>IF($B67="","",N($G67)-N($H67))</f>
        <v/>
      </c>
    </row>
    <row r="68">
      <c r="A68" s="39">
        <f>IF($B68="","",COUNTA($B$4:$B68))</f>
        <v/>
      </c>
      <c r="B68" s="40" t="n"/>
      <c r="C68" s="41" t="n"/>
      <c r="D68" s="41" t="n"/>
      <c r="E68" s="42" t="n"/>
      <c r="F68" s="42" t="n"/>
      <c r="G68" s="43">
        <f>IF($B68="","",N($E68)+N($F68))</f>
        <v/>
      </c>
      <c r="H68" s="42" t="n"/>
      <c r="I68" s="43">
        <f>IF($B68="","",N($G68)-N($H68))</f>
        <v/>
      </c>
    </row>
    <row r="69">
      <c r="A69" s="39">
        <f>IF($B69="","",COUNTA($B$4:$B69))</f>
        <v/>
      </c>
      <c r="B69" s="45" t="n"/>
      <c r="C69" s="46" t="n"/>
      <c r="D69" s="46" t="n"/>
      <c r="E69" s="47" t="n"/>
      <c r="F69" s="47" t="n"/>
      <c r="G69" s="43">
        <f>IF($B69="","",N($E69)+N($F69))</f>
        <v/>
      </c>
      <c r="H69" s="47" t="n"/>
      <c r="I69" s="43">
        <f>IF($B69="","",N($G69)-N($H69))</f>
        <v/>
      </c>
    </row>
    <row r="70">
      <c r="A70" s="39">
        <f>IF($B70="","",COUNTA($B$4:$B70))</f>
        <v/>
      </c>
      <c r="B70" s="40" t="n"/>
      <c r="C70" s="41" t="n"/>
      <c r="D70" s="41" t="n"/>
      <c r="E70" s="42" t="n"/>
      <c r="F70" s="42" t="n"/>
      <c r="G70" s="43">
        <f>IF($B70="","",N($E70)+N($F70))</f>
        <v/>
      </c>
      <c r="H70" s="42" t="n"/>
      <c r="I70" s="43">
        <f>IF($B70="","",N($G70)-N($H70))</f>
        <v/>
      </c>
    </row>
    <row r="71">
      <c r="A71" s="39">
        <f>IF($B71="","",COUNTA($B$4:$B71))</f>
        <v/>
      </c>
      <c r="B71" s="45" t="n"/>
      <c r="C71" s="46" t="n"/>
      <c r="D71" s="46" t="n"/>
      <c r="E71" s="47" t="n"/>
      <c r="F71" s="47" t="n"/>
      <c r="G71" s="43">
        <f>IF($B71="","",N($E71)+N($F71))</f>
        <v/>
      </c>
      <c r="H71" s="47" t="n"/>
      <c r="I71" s="43">
        <f>IF($B71="","",N($G71)-N($H71))</f>
        <v/>
      </c>
    </row>
    <row r="72">
      <c r="A72" s="39">
        <f>IF($B72="","",COUNTA($B$4:$B72))</f>
        <v/>
      </c>
      <c r="B72" s="40" t="n"/>
      <c r="C72" s="41" t="n"/>
      <c r="D72" s="41" t="n"/>
      <c r="E72" s="42" t="n"/>
      <c r="F72" s="42" t="n"/>
      <c r="G72" s="43">
        <f>IF($B72="","",N($E72)+N($F72))</f>
        <v/>
      </c>
      <c r="H72" s="42" t="n"/>
      <c r="I72" s="43">
        <f>IF($B72="","",N($G72)-N($H72))</f>
        <v/>
      </c>
    </row>
    <row r="73">
      <c r="A73" s="39">
        <f>IF($B73="","",COUNTA($B$4:$B73))</f>
        <v/>
      </c>
      <c r="B73" s="45" t="n"/>
      <c r="C73" s="46" t="n"/>
      <c r="D73" s="46" t="n"/>
      <c r="E73" s="47" t="n"/>
      <c r="F73" s="47" t="n"/>
      <c r="G73" s="43">
        <f>IF($B73="","",N($E73)+N($F73))</f>
        <v/>
      </c>
      <c r="H73" s="47" t="n"/>
      <c r="I73" s="43">
        <f>IF($B73="","",N($G73)-N($H73))</f>
        <v/>
      </c>
    </row>
    <row r="74">
      <c r="A74" s="39">
        <f>IF($B74="","",COUNTA($B$4:$B74))</f>
        <v/>
      </c>
      <c r="B74" s="40" t="n"/>
      <c r="C74" s="41" t="n"/>
      <c r="D74" s="41" t="n"/>
      <c r="E74" s="42" t="n"/>
      <c r="F74" s="42" t="n"/>
      <c r="G74" s="43">
        <f>IF($B74="","",N($E74)+N($F74))</f>
        <v/>
      </c>
      <c r="H74" s="42" t="n"/>
      <c r="I74" s="43">
        <f>IF($B74="","",N($G74)-N($H74))</f>
        <v/>
      </c>
    </row>
    <row r="75">
      <c r="A75" s="39">
        <f>IF($B75="","",COUNTA($B$4:$B75))</f>
        <v/>
      </c>
      <c r="B75" s="45" t="n"/>
      <c r="C75" s="46" t="n"/>
      <c r="D75" s="46" t="n"/>
      <c r="E75" s="47" t="n"/>
      <c r="F75" s="47" t="n"/>
      <c r="G75" s="43">
        <f>IF($B75="","",N($E75)+N($F75))</f>
        <v/>
      </c>
      <c r="H75" s="47" t="n"/>
      <c r="I75" s="43">
        <f>IF($B75="","",N($G75)-N($H75))</f>
        <v/>
      </c>
    </row>
    <row r="76">
      <c r="A76" s="39">
        <f>IF($B76="","",COUNTA($B$4:$B76))</f>
        <v/>
      </c>
      <c r="B76" s="40" t="n"/>
      <c r="C76" s="41" t="n"/>
      <c r="D76" s="41" t="n"/>
      <c r="E76" s="42" t="n"/>
      <c r="F76" s="42" t="n"/>
      <c r="G76" s="43">
        <f>IF($B76="","",N($E76)+N($F76))</f>
        <v/>
      </c>
      <c r="H76" s="42" t="n"/>
      <c r="I76" s="43">
        <f>IF($B76="","",N($G76)-N($H76))</f>
        <v/>
      </c>
    </row>
    <row r="77">
      <c r="A77" s="39">
        <f>IF($B77="","",COUNTA($B$4:$B77))</f>
        <v/>
      </c>
      <c r="B77" s="45" t="n"/>
      <c r="C77" s="46" t="n"/>
      <c r="D77" s="46" t="n"/>
      <c r="E77" s="47" t="n"/>
      <c r="F77" s="47" t="n"/>
      <c r="G77" s="43">
        <f>IF($B77="","",N($E77)+N($F77))</f>
        <v/>
      </c>
      <c r="H77" s="47" t="n"/>
      <c r="I77" s="43">
        <f>IF($B77="","",N($G77)-N($H77))</f>
        <v/>
      </c>
    </row>
    <row r="78">
      <c r="A78" s="39">
        <f>IF($B78="","",COUNTA($B$4:$B78))</f>
        <v/>
      </c>
      <c r="B78" s="40" t="n"/>
      <c r="C78" s="41" t="n"/>
      <c r="D78" s="41" t="n"/>
      <c r="E78" s="42" t="n"/>
      <c r="F78" s="42" t="n"/>
      <c r="G78" s="43">
        <f>IF($B78="","",N($E78)+N($F78))</f>
        <v/>
      </c>
      <c r="H78" s="42" t="n"/>
      <c r="I78" s="43">
        <f>IF($B78="","",N($G78)-N($H78))</f>
        <v/>
      </c>
    </row>
    <row r="79">
      <c r="A79" s="39">
        <f>IF($B79="","",COUNTA($B$4:$B79))</f>
        <v/>
      </c>
      <c r="B79" s="45" t="n"/>
      <c r="C79" s="46" t="n"/>
      <c r="D79" s="46" t="n"/>
      <c r="E79" s="47" t="n"/>
      <c r="F79" s="47" t="n"/>
      <c r="G79" s="43">
        <f>IF($B79="","",N($E79)+N($F79))</f>
        <v/>
      </c>
      <c r="H79" s="47" t="n"/>
      <c r="I79" s="43">
        <f>IF($B79="","",N($G79)-N($H79))</f>
        <v/>
      </c>
    </row>
    <row r="80">
      <c r="A80" s="39">
        <f>IF($B80="","",COUNTA($B$4:$B80))</f>
        <v/>
      </c>
      <c r="B80" s="40" t="n"/>
      <c r="C80" s="41" t="n"/>
      <c r="D80" s="41" t="n"/>
      <c r="E80" s="42" t="n"/>
      <c r="F80" s="42" t="n"/>
      <c r="G80" s="43">
        <f>IF($B80="","",N($E80)+N($F80))</f>
        <v/>
      </c>
      <c r="H80" s="42" t="n"/>
      <c r="I80" s="43">
        <f>IF($B80="","",N($G80)-N($H80))</f>
        <v/>
      </c>
    </row>
    <row r="81">
      <c r="A81" s="39">
        <f>IF($B81="","",COUNTA($B$4:$B81))</f>
        <v/>
      </c>
      <c r="B81" s="45" t="n"/>
      <c r="C81" s="46" t="n"/>
      <c r="D81" s="46" t="n"/>
      <c r="E81" s="47" t="n"/>
      <c r="F81" s="47" t="n"/>
      <c r="G81" s="43">
        <f>IF($B81="","",N($E81)+N($F81))</f>
        <v/>
      </c>
      <c r="H81" s="47" t="n"/>
      <c r="I81" s="43">
        <f>IF($B81="","",N($G81)-N($H81))</f>
        <v/>
      </c>
    </row>
    <row r="82">
      <c r="A82" s="39">
        <f>IF($B82="","",COUNTA($B$4:$B82))</f>
        <v/>
      </c>
      <c r="B82" s="40" t="n"/>
      <c r="C82" s="41" t="n"/>
      <c r="D82" s="41" t="n"/>
      <c r="E82" s="42" t="n"/>
      <c r="F82" s="42" t="n"/>
      <c r="G82" s="43">
        <f>IF($B82="","",N($E82)+N($F82))</f>
        <v/>
      </c>
      <c r="H82" s="42" t="n"/>
      <c r="I82" s="43">
        <f>IF($B82="","",N($G82)-N($H82))</f>
        <v/>
      </c>
    </row>
    <row r="83">
      <c r="A83" s="39">
        <f>IF($B83="","",COUNTA($B$4:$B83))</f>
        <v/>
      </c>
      <c r="B83" s="45" t="n"/>
      <c r="C83" s="46" t="n"/>
      <c r="D83" s="46" t="n"/>
      <c r="E83" s="47" t="n"/>
      <c r="F83" s="47" t="n"/>
      <c r="G83" s="43">
        <f>IF($B83="","",N($E83)+N($F83))</f>
        <v/>
      </c>
      <c r="H83" s="47" t="n"/>
      <c r="I83" s="43">
        <f>IF($B83="","",N($G83)-N($H83))</f>
        <v/>
      </c>
    </row>
    <row r="84">
      <c r="A84" s="39">
        <f>IF($B84="","",COUNTA($B$4:$B84))</f>
        <v/>
      </c>
      <c r="B84" s="40" t="n"/>
      <c r="C84" s="41" t="n"/>
      <c r="D84" s="41" t="n"/>
      <c r="E84" s="42" t="n"/>
      <c r="F84" s="42" t="n"/>
      <c r="G84" s="43">
        <f>IF($B84="","",N($E84)+N($F84))</f>
        <v/>
      </c>
      <c r="H84" s="42" t="n"/>
      <c r="I84" s="43">
        <f>IF($B84="","",N($G84)-N($H84))</f>
        <v/>
      </c>
    </row>
    <row r="85">
      <c r="A85" s="39">
        <f>IF($B85="","",COUNTA($B$4:$B85))</f>
        <v/>
      </c>
      <c r="B85" s="45" t="n"/>
      <c r="C85" s="46" t="n"/>
      <c r="D85" s="46" t="n"/>
      <c r="E85" s="47" t="n"/>
      <c r="F85" s="47" t="n"/>
      <c r="G85" s="43">
        <f>IF($B85="","",N($E85)+N($F85))</f>
        <v/>
      </c>
      <c r="H85" s="47" t="n"/>
      <c r="I85" s="43">
        <f>IF($B85="","",N($G85)-N($H85))</f>
        <v/>
      </c>
    </row>
    <row r="86">
      <c r="A86" s="39">
        <f>IF($B86="","",COUNTA($B$4:$B86))</f>
        <v/>
      </c>
      <c r="B86" s="40" t="n"/>
      <c r="C86" s="41" t="n"/>
      <c r="D86" s="41" t="n"/>
      <c r="E86" s="42" t="n"/>
      <c r="F86" s="42" t="n"/>
      <c r="G86" s="43">
        <f>IF($B86="","",N($E86)+N($F86))</f>
        <v/>
      </c>
      <c r="H86" s="42" t="n"/>
      <c r="I86" s="43">
        <f>IF($B86="","",N($G86)-N($H86))</f>
        <v/>
      </c>
    </row>
    <row r="87">
      <c r="A87" s="39">
        <f>IF($B87="","",COUNTA($B$4:$B87))</f>
        <v/>
      </c>
      <c r="B87" s="45" t="n"/>
      <c r="C87" s="46" t="n"/>
      <c r="D87" s="46" t="n"/>
      <c r="E87" s="47" t="n"/>
      <c r="F87" s="47" t="n"/>
      <c r="G87" s="43">
        <f>IF($B87="","",N($E87)+N($F87))</f>
        <v/>
      </c>
      <c r="H87" s="47" t="n"/>
      <c r="I87" s="43">
        <f>IF($B87="","",N($G87)-N($H87))</f>
        <v/>
      </c>
    </row>
    <row r="88">
      <c r="A88" s="39">
        <f>IF($B88="","",COUNTA($B$4:$B88))</f>
        <v/>
      </c>
      <c r="B88" s="40" t="n"/>
      <c r="C88" s="41" t="n"/>
      <c r="D88" s="41" t="n"/>
      <c r="E88" s="42" t="n"/>
      <c r="F88" s="42" t="n"/>
      <c r="G88" s="43">
        <f>IF($B88="","",N($E88)+N($F88))</f>
        <v/>
      </c>
      <c r="H88" s="42" t="n"/>
      <c r="I88" s="43">
        <f>IF($B88="","",N($G88)-N($H88))</f>
        <v/>
      </c>
    </row>
    <row r="89">
      <c r="A89" s="39">
        <f>IF($B89="","",COUNTA($B$4:$B89))</f>
        <v/>
      </c>
      <c r="B89" s="45" t="n"/>
      <c r="C89" s="46" t="n"/>
      <c r="D89" s="46" t="n"/>
      <c r="E89" s="47" t="n"/>
      <c r="F89" s="47" t="n"/>
      <c r="G89" s="43">
        <f>IF($B89="","",N($E89)+N($F89))</f>
        <v/>
      </c>
      <c r="H89" s="47" t="n"/>
      <c r="I89" s="43">
        <f>IF($B89="","",N($G89)-N($H89))</f>
        <v/>
      </c>
    </row>
    <row r="90">
      <c r="A90" s="39">
        <f>IF($B90="","",COUNTA($B$4:$B90))</f>
        <v/>
      </c>
      <c r="B90" s="40" t="n"/>
      <c r="C90" s="41" t="n"/>
      <c r="D90" s="41" t="n"/>
      <c r="E90" s="42" t="n"/>
      <c r="F90" s="42" t="n"/>
      <c r="G90" s="43">
        <f>IF($B90="","",N($E90)+N($F90))</f>
        <v/>
      </c>
      <c r="H90" s="42" t="n"/>
      <c r="I90" s="43">
        <f>IF($B90="","",N($G90)-N($H90))</f>
        <v/>
      </c>
    </row>
    <row r="91">
      <c r="A91" s="39">
        <f>IF($B91="","",COUNTA($B$4:$B91))</f>
        <v/>
      </c>
      <c r="B91" s="45" t="n"/>
      <c r="C91" s="46" t="n"/>
      <c r="D91" s="46" t="n"/>
      <c r="E91" s="47" t="n"/>
      <c r="F91" s="47" t="n"/>
      <c r="G91" s="43">
        <f>IF($B91="","",N($E91)+N($F91))</f>
        <v/>
      </c>
      <c r="H91" s="47" t="n"/>
      <c r="I91" s="43">
        <f>IF($B91="","",N($G91)-N($H91))</f>
        <v/>
      </c>
    </row>
    <row r="92">
      <c r="A92" s="39">
        <f>IF($B92="","",COUNTA($B$4:$B92))</f>
        <v/>
      </c>
      <c r="B92" s="40" t="n"/>
      <c r="C92" s="41" t="n"/>
      <c r="D92" s="41" t="n"/>
      <c r="E92" s="42" t="n"/>
      <c r="F92" s="42" t="n"/>
      <c r="G92" s="43">
        <f>IF($B92="","",N($E92)+N($F92))</f>
        <v/>
      </c>
      <c r="H92" s="42" t="n"/>
      <c r="I92" s="43">
        <f>IF($B92="","",N($G92)-N($H92))</f>
        <v/>
      </c>
    </row>
    <row r="93">
      <c r="A93" s="39">
        <f>IF($B93="","",COUNTA($B$4:$B93))</f>
        <v/>
      </c>
      <c r="B93" s="45" t="n"/>
      <c r="C93" s="46" t="n"/>
      <c r="D93" s="46" t="n"/>
      <c r="E93" s="47" t="n"/>
      <c r="F93" s="47" t="n"/>
      <c r="G93" s="43">
        <f>IF($B93="","",N($E93)+N($F93))</f>
        <v/>
      </c>
      <c r="H93" s="47" t="n"/>
      <c r="I93" s="43">
        <f>IF($B93="","",N($G93)-N($H93))</f>
        <v/>
      </c>
    </row>
    <row r="94">
      <c r="A94" s="39">
        <f>IF($B94="","",COUNTA($B$4:$B94))</f>
        <v/>
      </c>
      <c r="B94" s="40" t="n"/>
      <c r="C94" s="41" t="n"/>
      <c r="D94" s="41" t="n"/>
      <c r="E94" s="42" t="n"/>
      <c r="F94" s="42" t="n"/>
      <c r="G94" s="43">
        <f>IF($B94="","",N($E94)+N($F94))</f>
        <v/>
      </c>
      <c r="H94" s="42" t="n"/>
      <c r="I94" s="43">
        <f>IF($B94="","",N($G94)-N($H94))</f>
        <v/>
      </c>
    </row>
    <row r="95">
      <c r="A95" s="39">
        <f>IF($B95="","",COUNTA($B$4:$B95))</f>
        <v/>
      </c>
      <c r="B95" s="45" t="n"/>
      <c r="C95" s="46" t="n"/>
      <c r="D95" s="46" t="n"/>
      <c r="E95" s="47" t="n"/>
      <c r="F95" s="47" t="n"/>
      <c r="G95" s="43">
        <f>IF($B95="","",N($E95)+N($F95))</f>
        <v/>
      </c>
      <c r="H95" s="47" t="n"/>
      <c r="I95" s="43">
        <f>IF($B95="","",N($G95)-N($H95))</f>
        <v/>
      </c>
    </row>
    <row r="96">
      <c r="A96" s="39">
        <f>IF($B96="","",COUNTA($B$4:$B96))</f>
        <v/>
      </c>
      <c r="B96" s="40" t="n"/>
      <c r="C96" s="41" t="n"/>
      <c r="D96" s="41" t="n"/>
      <c r="E96" s="42" t="n"/>
      <c r="F96" s="42" t="n"/>
      <c r="G96" s="43">
        <f>IF($B96="","",N($E96)+N($F96))</f>
        <v/>
      </c>
      <c r="H96" s="42" t="n"/>
      <c r="I96" s="43">
        <f>IF($B96="","",N($G96)-N($H96))</f>
        <v/>
      </c>
    </row>
    <row r="97">
      <c r="A97" s="39">
        <f>IF($B97="","",COUNTA($B$4:$B97))</f>
        <v/>
      </c>
      <c r="B97" s="45" t="n"/>
      <c r="C97" s="46" t="n"/>
      <c r="D97" s="46" t="n"/>
      <c r="E97" s="47" t="n"/>
      <c r="F97" s="47" t="n"/>
      <c r="G97" s="43">
        <f>IF($B97="","",N($E97)+N($F97))</f>
        <v/>
      </c>
      <c r="H97" s="47" t="n"/>
      <c r="I97" s="43">
        <f>IF($B97="","",N($G97)-N($H97))</f>
        <v/>
      </c>
    </row>
    <row r="98">
      <c r="A98" s="39">
        <f>IF($B98="","",COUNTA($B$4:$B98))</f>
        <v/>
      </c>
      <c r="B98" s="40" t="n"/>
      <c r="C98" s="41" t="n"/>
      <c r="D98" s="41" t="n"/>
      <c r="E98" s="42" t="n"/>
      <c r="F98" s="42" t="n"/>
      <c r="G98" s="43">
        <f>IF($B98="","",N($E98)+N($F98))</f>
        <v/>
      </c>
      <c r="H98" s="42" t="n"/>
      <c r="I98" s="43">
        <f>IF($B98="","",N($G98)-N($H98))</f>
        <v/>
      </c>
    </row>
    <row r="99">
      <c r="A99" s="39">
        <f>IF($B99="","",COUNTA($B$4:$B99))</f>
        <v/>
      </c>
      <c r="B99" s="45" t="n"/>
      <c r="C99" s="46" t="n"/>
      <c r="D99" s="46" t="n"/>
      <c r="E99" s="47" t="n"/>
      <c r="F99" s="47" t="n"/>
      <c r="G99" s="43">
        <f>IF($B99="","",N($E99)+N($F99))</f>
        <v/>
      </c>
      <c r="H99" s="47" t="n"/>
      <c r="I99" s="43">
        <f>IF($B99="","",N($G99)-N($H99))</f>
        <v/>
      </c>
    </row>
    <row r="100">
      <c r="A100" s="39">
        <f>IF($B100="","",COUNTA($B$4:$B100))</f>
        <v/>
      </c>
      <c r="B100" s="40" t="n"/>
      <c r="C100" s="41" t="n"/>
      <c r="D100" s="41" t="n"/>
      <c r="E100" s="42" t="n"/>
      <c r="F100" s="42" t="n"/>
      <c r="G100" s="43">
        <f>IF($B100="","",N($E100)+N($F100))</f>
        <v/>
      </c>
      <c r="H100" s="42" t="n"/>
      <c r="I100" s="43">
        <f>IF($B100="","",N($G100)-N($H100))</f>
        <v/>
      </c>
    </row>
    <row r="101">
      <c r="A101" s="39">
        <f>IF($B101="","",COUNTA($B$4:$B101))</f>
        <v/>
      </c>
      <c r="B101" s="45" t="n"/>
      <c r="C101" s="46" t="n"/>
      <c r="D101" s="46" t="n"/>
      <c r="E101" s="47" t="n"/>
      <c r="F101" s="47" t="n"/>
      <c r="G101" s="43">
        <f>IF($B101="","",N($E101)+N($F101))</f>
        <v/>
      </c>
      <c r="H101" s="47" t="n"/>
      <c r="I101" s="43">
        <f>IF($B101="","",N($G101)-N($H101))</f>
        <v/>
      </c>
    </row>
    <row r="102">
      <c r="A102" s="39">
        <f>IF($B102="","",COUNTA($B$4:$B102))</f>
        <v/>
      </c>
      <c r="B102" s="40" t="n"/>
      <c r="C102" s="41" t="n"/>
      <c r="D102" s="41" t="n"/>
      <c r="E102" s="42" t="n"/>
      <c r="F102" s="42" t="n"/>
      <c r="G102" s="43">
        <f>IF($B102="","",N($E102)+N($F102))</f>
        <v/>
      </c>
      <c r="H102" s="42" t="n"/>
      <c r="I102" s="43">
        <f>IF($B102="","",N($G102)-N($H102))</f>
        <v/>
      </c>
    </row>
    <row r="103">
      <c r="A103" s="39">
        <f>IF($B103="","",COUNTA($B$4:$B103))</f>
        <v/>
      </c>
      <c r="B103" s="45" t="n"/>
      <c r="C103" s="46" t="n"/>
      <c r="D103" s="46" t="n"/>
      <c r="E103" s="47" t="n"/>
      <c r="F103" s="47" t="n"/>
      <c r="G103" s="43">
        <f>IF($B103="","",N($E103)+N($F103))</f>
        <v/>
      </c>
      <c r="H103" s="47" t="n"/>
      <c r="I103" s="43">
        <f>IF($B103="","",N($G103)-N($H103))</f>
        <v/>
      </c>
    </row>
    <row r="104">
      <c r="A104" s="39">
        <f>IF($B104="","",COUNTA($B$4:$B104))</f>
        <v/>
      </c>
      <c r="B104" s="40" t="n"/>
      <c r="C104" s="41" t="n"/>
      <c r="D104" s="41" t="n"/>
      <c r="E104" s="42" t="n"/>
      <c r="F104" s="42" t="n"/>
      <c r="G104" s="43">
        <f>IF($B104="","",N($E104)+N($F104))</f>
        <v/>
      </c>
      <c r="H104" s="42" t="n"/>
      <c r="I104" s="43">
        <f>IF($B104="","",N($G104)-N($H104))</f>
        <v/>
      </c>
    </row>
    <row r="105">
      <c r="A105" s="39">
        <f>IF($B105="","",COUNTA($B$4:$B105))</f>
        <v/>
      </c>
      <c r="B105" s="45" t="n"/>
      <c r="C105" s="46" t="n"/>
      <c r="D105" s="46" t="n"/>
      <c r="E105" s="47" t="n"/>
      <c r="F105" s="47" t="n"/>
      <c r="G105" s="43">
        <f>IF($B105="","",N($E105)+N($F105))</f>
        <v/>
      </c>
      <c r="H105" s="47" t="n"/>
      <c r="I105" s="43">
        <f>IF($B105="","",N($G105)-N($H105))</f>
        <v/>
      </c>
    </row>
    <row r="106">
      <c r="A106" s="39">
        <f>IF($B106="","",COUNTA($B$4:$B106))</f>
        <v/>
      </c>
      <c r="B106" s="40" t="n"/>
      <c r="C106" s="41" t="n"/>
      <c r="D106" s="41" t="n"/>
      <c r="E106" s="42" t="n"/>
      <c r="F106" s="42" t="n"/>
      <c r="G106" s="43">
        <f>IF($B106="","",N($E106)+N($F106))</f>
        <v/>
      </c>
      <c r="H106" s="42" t="n"/>
      <c r="I106" s="43">
        <f>IF($B106="","",N($G106)-N($H106))</f>
        <v/>
      </c>
    </row>
    <row r="107">
      <c r="A107" s="39">
        <f>IF($B107="","",COUNTA($B$4:$B107))</f>
        <v/>
      </c>
      <c r="B107" s="45" t="n"/>
      <c r="C107" s="46" t="n"/>
      <c r="D107" s="46" t="n"/>
      <c r="E107" s="47" t="n"/>
      <c r="F107" s="47" t="n"/>
      <c r="G107" s="43">
        <f>IF($B107="","",N($E107)+N($F107))</f>
        <v/>
      </c>
      <c r="H107" s="47" t="n"/>
      <c r="I107" s="43">
        <f>IF($B107="","",N($G107)-N($H107))</f>
        <v/>
      </c>
    </row>
    <row r="108">
      <c r="A108" s="39">
        <f>IF($B108="","",COUNTA($B$4:$B108))</f>
        <v/>
      </c>
      <c r="B108" s="40" t="n"/>
      <c r="C108" s="41" t="n"/>
      <c r="D108" s="41" t="n"/>
      <c r="E108" s="42" t="n"/>
      <c r="F108" s="42" t="n"/>
      <c r="G108" s="43">
        <f>IF($B108="","",N($E108)+N($F108))</f>
        <v/>
      </c>
      <c r="H108" s="42" t="n"/>
      <c r="I108" s="43">
        <f>IF($B108="","",N($G108)-N($H108))</f>
        <v/>
      </c>
    </row>
    <row r="109">
      <c r="A109" s="39">
        <f>IF($B109="","",COUNTA($B$4:$B109))</f>
        <v/>
      </c>
      <c r="B109" s="45" t="n"/>
      <c r="C109" s="46" t="n"/>
      <c r="D109" s="46" t="n"/>
      <c r="E109" s="47" t="n"/>
      <c r="F109" s="47" t="n"/>
      <c r="G109" s="43">
        <f>IF($B109="","",N($E109)+N($F109))</f>
        <v/>
      </c>
      <c r="H109" s="47" t="n"/>
      <c r="I109" s="43">
        <f>IF($B109="","",N($G109)-N($H109))</f>
        <v/>
      </c>
    </row>
    <row r="110">
      <c r="A110" s="39">
        <f>IF($B110="","",COUNTA($B$4:$B110))</f>
        <v/>
      </c>
      <c r="B110" s="40" t="n"/>
      <c r="C110" s="41" t="n"/>
      <c r="D110" s="41" t="n"/>
      <c r="E110" s="42" t="n"/>
      <c r="F110" s="42" t="n"/>
      <c r="G110" s="43">
        <f>IF($B110="","",N($E110)+N($F110))</f>
        <v/>
      </c>
      <c r="H110" s="42" t="n"/>
      <c r="I110" s="43">
        <f>IF($B110="","",N($G110)-N($H110))</f>
        <v/>
      </c>
    </row>
    <row r="111">
      <c r="A111" s="39">
        <f>IF($B111="","",COUNTA($B$4:$B111))</f>
        <v/>
      </c>
      <c r="B111" s="45" t="n"/>
      <c r="C111" s="46" t="n"/>
      <c r="D111" s="46" t="n"/>
      <c r="E111" s="47" t="n"/>
      <c r="F111" s="47" t="n"/>
      <c r="G111" s="43">
        <f>IF($B111="","",N($E111)+N($F111))</f>
        <v/>
      </c>
      <c r="H111" s="47" t="n"/>
      <c r="I111" s="43">
        <f>IF($B111="","",N($G111)-N($H111))</f>
        <v/>
      </c>
    </row>
    <row r="112">
      <c r="A112" s="39">
        <f>IF($B112="","",COUNTA($B$4:$B112))</f>
        <v/>
      </c>
      <c r="B112" s="40" t="n"/>
      <c r="C112" s="41" t="n"/>
      <c r="D112" s="41" t="n"/>
      <c r="E112" s="42" t="n"/>
      <c r="F112" s="42" t="n"/>
      <c r="G112" s="43">
        <f>IF($B112="","",N($E112)+N($F112))</f>
        <v/>
      </c>
      <c r="H112" s="42" t="n"/>
      <c r="I112" s="43">
        <f>IF($B112="","",N($G112)-N($H112))</f>
        <v/>
      </c>
    </row>
    <row r="113">
      <c r="A113" s="39">
        <f>IF($B113="","",COUNTA($B$4:$B113))</f>
        <v/>
      </c>
      <c r="B113" s="45" t="n"/>
      <c r="C113" s="46" t="n"/>
      <c r="D113" s="46" t="n"/>
      <c r="E113" s="47" t="n"/>
      <c r="F113" s="47" t="n"/>
      <c r="G113" s="43">
        <f>IF($B113="","",N($E113)+N($F113))</f>
        <v/>
      </c>
      <c r="H113" s="47" t="n"/>
      <c r="I113" s="43">
        <f>IF($B113="","",N($G113)-N($H113))</f>
        <v/>
      </c>
    </row>
    <row r="114">
      <c r="A114" s="39">
        <f>IF($B114="","",COUNTA($B$4:$B114))</f>
        <v/>
      </c>
      <c r="B114" s="40" t="n"/>
      <c r="C114" s="41" t="n"/>
      <c r="D114" s="41" t="n"/>
      <c r="E114" s="42" t="n"/>
      <c r="F114" s="42" t="n"/>
      <c r="G114" s="43">
        <f>IF($B114="","",N($E114)+N($F114))</f>
        <v/>
      </c>
      <c r="H114" s="42" t="n"/>
      <c r="I114" s="43">
        <f>IF($B114="","",N($G114)-N($H114))</f>
        <v/>
      </c>
    </row>
    <row r="115">
      <c r="A115" s="39">
        <f>IF($B115="","",COUNTA($B$4:$B115))</f>
        <v/>
      </c>
      <c r="B115" s="45" t="n"/>
      <c r="C115" s="46" t="n"/>
      <c r="D115" s="46" t="n"/>
      <c r="E115" s="47" t="n"/>
      <c r="F115" s="47" t="n"/>
      <c r="G115" s="43">
        <f>IF($B115="","",N($E115)+N($F115))</f>
        <v/>
      </c>
      <c r="H115" s="47" t="n"/>
      <c r="I115" s="43">
        <f>IF($B115="","",N($G115)-N($H115))</f>
        <v/>
      </c>
    </row>
    <row r="116">
      <c r="A116" s="39">
        <f>IF($B116="","",COUNTA($B$4:$B116))</f>
        <v/>
      </c>
      <c r="B116" s="40" t="n"/>
      <c r="C116" s="41" t="n"/>
      <c r="D116" s="41" t="n"/>
      <c r="E116" s="42" t="n"/>
      <c r="F116" s="42" t="n"/>
      <c r="G116" s="43">
        <f>IF($B116="","",N($E116)+N($F116))</f>
        <v/>
      </c>
      <c r="H116" s="42" t="n"/>
      <c r="I116" s="43">
        <f>IF($B116="","",N($G116)-N($H116))</f>
        <v/>
      </c>
    </row>
    <row r="117">
      <c r="A117" s="39">
        <f>IF($B117="","",COUNTA($B$4:$B117))</f>
        <v/>
      </c>
      <c r="B117" s="45" t="n"/>
      <c r="C117" s="46" t="n"/>
      <c r="D117" s="46" t="n"/>
      <c r="E117" s="47" t="n"/>
      <c r="F117" s="47" t="n"/>
      <c r="G117" s="43">
        <f>IF($B117="","",N($E117)+N($F117))</f>
        <v/>
      </c>
      <c r="H117" s="47" t="n"/>
      <c r="I117" s="43">
        <f>IF($B117="","",N($G117)-N($H117))</f>
        <v/>
      </c>
    </row>
    <row r="118">
      <c r="A118" s="39">
        <f>IF($B118="","",COUNTA($B$4:$B118))</f>
        <v/>
      </c>
      <c r="B118" s="40" t="n"/>
      <c r="C118" s="41" t="n"/>
      <c r="D118" s="41" t="n"/>
      <c r="E118" s="42" t="n"/>
      <c r="F118" s="42" t="n"/>
      <c r="G118" s="43">
        <f>IF($B118="","",N($E118)+N($F118))</f>
        <v/>
      </c>
      <c r="H118" s="42" t="n"/>
      <c r="I118" s="43">
        <f>IF($B118="","",N($G118)-N($H118))</f>
        <v/>
      </c>
    </row>
    <row r="119">
      <c r="A119" s="39">
        <f>IF($B119="","",COUNTA($B$4:$B119))</f>
        <v/>
      </c>
      <c r="B119" s="45" t="n"/>
      <c r="C119" s="46" t="n"/>
      <c r="D119" s="46" t="n"/>
      <c r="E119" s="47" t="n"/>
      <c r="F119" s="47" t="n"/>
      <c r="G119" s="43">
        <f>IF($B119="","",N($E119)+N($F119))</f>
        <v/>
      </c>
      <c r="H119" s="47" t="n"/>
      <c r="I119" s="43">
        <f>IF($B119="","",N($G119)-N($H119))</f>
        <v/>
      </c>
    </row>
    <row r="120">
      <c r="A120" s="39">
        <f>IF($B120="","",COUNTA($B$4:$B120))</f>
        <v/>
      </c>
      <c r="B120" s="40" t="n"/>
      <c r="C120" s="41" t="n"/>
      <c r="D120" s="41" t="n"/>
      <c r="E120" s="42" t="n"/>
      <c r="F120" s="42" t="n"/>
      <c r="G120" s="43">
        <f>IF($B120="","",N($E120)+N($F120))</f>
        <v/>
      </c>
      <c r="H120" s="42" t="n"/>
      <c r="I120" s="43">
        <f>IF($B120="","",N($G120)-N($H120))</f>
        <v/>
      </c>
    </row>
    <row r="121">
      <c r="A121" s="39">
        <f>IF($B121="","",COUNTA($B$4:$B121))</f>
        <v/>
      </c>
      <c r="B121" s="45" t="n"/>
      <c r="C121" s="46" t="n"/>
      <c r="D121" s="46" t="n"/>
      <c r="E121" s="47" t="n"/>
      <c r="F121" s="47" t="n"/>
      <c r="G121" s="43">
        <f>IF($B121="","",N($E121)+N($F121))</f>
        <v/>
      </c>
      <c r="H121" s="47" t="n"/>
      <c r="I121" s="43">
        <f>IF($B121="","",N($G121)-N($H121))</f>
        <v/>
      </c>
    </row>
    <row r="122">
      <c r="A122" s="39">
        <f>IF($B122="","",COUNTA($B$4:$B122))</f>
        <v/>
      </c>
      <c r="B122" s="40" t="n"/>
      <c r="C122" s="41" t="n"/>
      <c r="D122" s="41" t="n"/>
      <c r="E122" s="42" t="n"/>
      <c r="F122" s="42" t="n"/>
      <c r="G122" s="43">
        <f>IF($B122="","",N($E122)+N($F122))</f>
        <v/>
      </c>
      <c r="H122" s="42" t="n"/>
      <c r="I122" s="43">
        <f>IF($B122="","",N($G122)-N($H122))</f>
        <v/>
      </c>
    </row>
    <row r="123">
      <c r="A123" s="39">
        <f>IF($B123="","",COUNTA($B$4:$B123))</f>
        <v/>
      </c>
      <c r="B123" s="45" t="n"/>
      <c r="C123" s="46" t="n"/>
      <c r="D123" s="46" t="n"/>
      <c r="E123" s="47" t="n"/>
      <c r="F123" s="47" t="n"/>
      <c r="G123" s="43">
        <f>IF($B123="","",N($E123)+N($F123))</f>
        <v/>
      </c>
      <c r="H123" s="47" t="n"/>
      <c r="I123" s="43">
        <f>IF($B123="","",N($G123)-N($H123))</f>
        <v/>
      </c>
    </row>
    <row r="124">
      <c r="A124" s="39">
        <f>IF($B124="","",COUNTA($B$4:$B124))</f>
        <v/>
      </c>
      <c r="B124" s="40" t="n"/>
      <c r="C124" s="41" t="n"/>
      <c r="D124" s="41" t="n"/>
      <c r="E124" s="42" t="n"/>
      <c r="F124" s="42" t="n"/>
      <c r="G124" s="43">
        <f>IF($B124="","",N($E124)+N($F124))</f>
        <v/>
      </c>
      <c r="H124" s="42" t="n"/>
      <c r="I124" s="43">
        <f>IF($B124="","",N($G124)-N($H124))</f>
        <v/>
      </c>
    </row>
    <row r="125">
      <c r="A125" s="39">
        <f>IF($B125="","",COUNTA($B$4:$B125))</f>
        <v/>
      </c>
      <c r="B125" s="45" t="n"/>
      <c r="C125" s="46" t="n"/>
      <c r="D125" s="46" t="n"/>
      <c r="E125" s="47" t="n"/>
      <c r="F125" s="47" t="n"/>
      <c r="G125" s="43">
        <f>IF($B125="","",N($E125)+N($F125))</f>
        <v/>
      </c>
      <c r="H125" s="47" t="n"/>
      <c r="I125" s="43">
        <f>IF($B125="","",N($G125)-N($H125))</f>
        <v/>
      </c>
    </row>
    <row r="126">
      <c r="A126" s="39">
        <f>IF($B126="","",COUNTA($B$4:$B126))</f>
        <v/>
      </c>
      <c r="B126" s="40" t="n"/>
      <c r="C126" s="41" t="n"/>
      <c r="D126" s="41" t="n"/>
      <c r="E126" s="42" t="n"/>
      <c r="F126" s="42" t="n"/>
      <c r="G126" s="43">
        <f>IF($B126="","",N($E126)+N($F126))</f>
        <v/>
      </c>
      <c r="H126" s="42" t="n"/>
      <c r="I126" s="43">
        <f>IF($B126="","",N($G126)-N($H126))</f>
        <v/>
      </c>
    </row>
    <row r="127">
      <c r="A127" s="39">
        <f>IF($B127="","",COUNTA($B$4:$B127))</f>
        <v/>
      </c>
      <c r="B127" s="45" t="n"/>
      <c r="C127" s="46" t="n"/>
      <c r="D127" s="46" t="n"/>
      <c r="E127" s="47" t="n"/>
      <c r="F127" s="47" t="n"/>
      <c r="G127" s="43">
        <f>IF($B127="","",N($E127)+N($F127))</f>
        <v/>
      </c>
      <c r="H127" s="47" t="n"/>
      <c r="I127" s="43">
        <f>IF($B127="","",N($G127)-N($H127))</f>
        <v/>
      </c>
    </row>
    <row r="128">
      <c r="A128" s="39">
        <f>IF($B128="","",COUNTA($B$4:$B128))</f>
        <v/>
      </c>
      <c r="B128" s="40" t="n"/>
      <c r="C128" s="41" t="n"/>
      <c r="D128" s="41" t="n"/>
      <c r="E128" s="42" t="n"/>
      <c r="F128" s="42" t="n"/>
      <c r="G128" s="43">
        <f>IF($B128="","",N($E128)+N($F128))</f>
        <v/>
      </c>
      <c r="H128" s="42" t="n"/>
      <c r="I128" s="43">
        <f>IF($B128="","",N($G128)-N($H128))</f>
        <v/>
      </c>
    </row>
    <row r="129">
      <c r="A129" s="39">
        <f>IF($B129="","",COUNTA($B$4:$B129))</f>
        <v/>
      </c>
      <c r="B129" s="45" t="n"/>
      <c r="C129" s="46" t="n"/>
      <c r="D129" s="46" t="n"/>
      <c r="E129" s="47" t="n"/>
      <c r="F129" s="47" t="n"/>
      <c r="G129" s="43">
        <f>IF($B129="","",N($E129)+N($F129))</f>
        <v/>
      </c>
      <c r="H129" s="47" t="n"/>
      <c r="I129" s="43">
        <f>IF($B129="","",N($G129)-N($H129))</f>
        <v/>
      </c>
    </row>
    <row r="130">
      <c r="A130" s="39">
        <f>IF($B130="","",COUNTA($B$4:$B130))</f>
        <v/>
      </c>
      <c r="B130" s="40" t="n"/>
      <c r="C130" s="41" t="n"/>
      <c r="D130" s="41" t="n"/>
      <c r="E130" s="42" t="n"/>
      <c r="F130" s="42" t="n"/>
      <c r="G130" s="43">
        <f>IF($B130="","",N($E130)+N($F130))</f>
        <v/>
      </c>
      <c r="H130" s="42" t="n"/>
      <c r="I130" s="43">
        <f>IF($B130="","",N($G130)-N($H130))</f>
        <v/>
      </c>
    </row>
    <row r="131">
      <c r="A131" s="39">
        <f>IF($B131="","",COUNTA($B$4:$B131))</f>
        <v/>
      </c>
      <c r="B131" s="45" t="n"/>
      <c r="C131" s="46" t="n"/>
      <c r="D131" s="46" t="n"/>
      <c r="E131" s="47" t="n"/>
      <c r="F131" s="47" t="n"/>
      <c r="G131" s="43">
        <f>IF($B131="","",N($E131)+N($F131))</f>
        <v/>
      </c>
      <c r="H131" s="47" t="n"/>
      <c r="I131" s="43">
        <f>IF($B131="","",N($G131)-N($H131))</f>
        <v/>
      </c>
    </row>
    <row r="132">
      <c r="A132" s="39">
        <f>IF($B132="","",COUNTA($B$4:$B132))</f>
        <v/>
      </c>
      <c r="B132" s="40" t="n"/>
      <c r="C132" s="41" t="n"/>
      <c r="D132" s="41" t="n"/>
      <c r="E132" s="42" t="n"/>
      <c r="F132" s="42" t="n"/>
      <c r="G132" s="43">
        <f>IF($B132="","",N($E132)+N($F132))</f>
        <v/>
      </c>
      <c r="H132" s="42" t="n"/>
      <c r="I132" s="43">
        <f>IF($B132="","",N($G132)-N($H132))</f>
        <v/>
      </c>
    </row>
    <row r="133">
      <c r="A133" s="39">
        <f>IF($B133="","",COUNTA($B$4:$B133))</f>
        <v/>
      </c>
      <c r="B133" s="45" t="n"/>
      <c r="C133" s="46" t="n"/>
      <c r="D133" s="46" t="n"/>
      <c r="E133" s="47" t="n"/>
      <c r="F133" s="47" t="n"/>
      <c r="G133" s="43">
        <f>IF($B133="","",N($E133)+N($F133))</f>
        <v/>
      </c>
      <c r="H133" s="47" t="n"/>
      <c r="I133" s="43">
        <f>IF($B133="","",N($G133)-N($H133))</f>
        <v/>
      </c>
    </row>
    <row r="134">
      <c r="A134" s="39">
        <f>IF($B134="","",COUNTA($B$4:$B134))</f>
        <v/>
      </c>
      <c r="B134" s="40" t="n"/>
      <c r="C134" s="41" t="n"/>
      <c r="D134" s="41" t="n"/>
      <c r="E134" s="42" t="n"/>
      <c r="F134" s="42" t="n"/>
      <c r="G134" s="43">
        <f>IF($B134="","",N($E134)+N($F134))</f>
        <v/>
      </c>
      <c r="H134" s="42" t="n"/>
      <c r="I134" s="43">
        <f>IF($B134="","",N($G134)-N($H134))</f>
        <v/>
      </c>
    </row>
    <row r="135">
      <c r="A135" s="39">
        <f>IF($B135="","",COUNTA($B$4:$B135))</f>
        <v/>
      </c>
      <c r="B135" s="45" t="n"/>
      <c r="C135" s="46" t="n"/>
      <c r="D135" s="46" t="n"/>
      <c r="E135" s="47" t="n"/>
      <c r="F135" s="47" t="n"/>
      <c r="G135" s="43">
        <f>IF($B135="","",N($E135)+N($F135))</f>
        <v/>
      </c>
      <c r="H135" s="47" t="n"/>
      <c r="I135" s="43">
        <f>IF($B135="","",N($G135)-N($H135))</f>
        <v/>
      </c>
    </row>
    <row r="136">
      <c r="A136" s="39">
        <f>IF($B136="","",COUNTA($B$4:$B136))</f>
        <v/>
      </c>
      <c r="B136" s="40" t="n"/>
      <c r="C136" s="41" t="n"/>
      <c r="D136" s="41" t="n"/>
      <c r="E136" s="42" t="n"/>
      <c r="F136" s="42" t="n"/>
      <c r="G136" s="43">
        <f>IF($B136="","",N($E136)+N($F136))</f>
        <v/>
      </c>
      <c r="H136" s="42" t="n"/>
      <c r="I136" s="43">
        <f>IF($B136="","",N($G136)-N($H136))</f>
        <v/>
      </c>
    </row>
    <row r="137">
      <c r="A137" s="39">
        <f>IF($B137="","",COUNTA($B$4:$B137))</f>
        <v/>
      </c>
      <c r="B137" s="45" t="n"/>
      <c r="C137" s="46" t="n"/>
      <c r="D137" s="46" t="n"/>
      <c r="E137" s="47" t="n"/>
      <c r="F137" s="47" t="n"/>
      <c r="G137" s="43">
        <f>IF($B137="","",N($E137)+N($F137))</f>
        <v/>
      </c>
      <c r="H137" s="47" t="n"/>
      <c r="I137" s="43">
        <f>IF($B137="","",N($G137)-N($H137))</f>
        <v/>
      </c>
    </row>
    <row r="138">
      <c r="A138" s="39">
        <f>IF($B138="","",COUNTA($B$4:$B138))</f>
        <v/>
      </c>
      <c r="B138" s="40" t="n"/>
      <c r="C138" s="41" t="n"/>
      <c r="D138" s="41" t="n"/>
      <c r="E138" s="42" t="n"/>
      <c r="F138" s="42" t="n"/>
      <c r="G138" s="43">
        <f>IF($B138="","",N($E138)+N($F138))</f>
        <v/>
      </c>
      <c r="H138" s="42" t="n"/>
      <c r="I138" s="43">
        <f>IF($B138="","",N($G138)-N($H138))</f>
        <v/>
      </c>
    </row>
    <row r="139">
      <c r="A139" s="39">
        <f>IF($B139="","",COUNTA($B$4:$B139))</f>
        <v/>
      </c>
      <c r="B139" s="45" t="n"/>
      <c r="C139" s="46" t="n"/>
      <c r="D139" s="46" t="n"/>
      <c r="E139" s="47" t="n"/>
      <c r="F139" s="47" t="n"/>
      <c r="G139" s="43">
        <f>IF($B139="","",N($E139)+N($F139))</f>
        <v/>
      </c>
      <c r="H139" s="47" t="n"/>
      <c r="I139" s="43">
        <f>IF($B139="","",N($G139)-N($H139))</f>
        <v/>
      </c>
    </row>
    <row r="140">
      <c r="A140" s="39">
        <f>IF($B140="","",COUNTA($B$4:$B140))</f>
        <v/>
      </c>
      <c r="B140" s="40" t="n"/>
      <c r="C140" s="41" t="n"/>
      <c r="D140" s="41" t="n"/>
      <c r="E140" s="42" t="n"/>
      <c r="F140" s="42" t="n"/>
      <c r="G140" s="43">
        <f>IF($B140="","",N($E140)+N($F140))</f>
        <v/>
      </c>
      <c r="H140" s="42" t="n"/>
      <c r="I140" s="43">
        <f>IF($B140="","",N($G140)-N($H140))</f>
        <v/>
      </c>
    </row>
    <row r="141">
      <c r="A141" s="39">
        <f>IF($B141="","",COUNTA($B$4:$B141))</f>
        <v/>
      </c>
      <c r="B141" s="45" t="n"/>
      <c r="C141" s="46" t="n"/>
      <c r="D141" s="46" t="n"/>
      <c r="E141" s="47" t="n"/>
      <c r="F141" s="47" t="n"/>
      <c r="G141" s="43">
        <f>IF($B141="","",N($E141)+N($F141))</f>
        <v/>
      </c>
      <c r="H141" s="47" t="n"/>
      <c r="I141" s="43">
        <f>IF($B141="","",N($G141)-N($H141))</f>
        <v/>
      </c>
    </row>
    <row r="142">
      <c r="A142" s="39">
        <f>IF($B142="","",COUNTA($B$4:$B142))</f>
        <v/>
      </c>
      <c r="B142" s="40" t="n"/>
      <c r="C142" s="41" t="n"/>
      <c r="D142" s="41" t="n"/>
      <c r="E142" s="42" t="n"/>
      <c r="F142" s="42" t="n"/>
      <c r="G142" s="43">
        <f>IF($B142="","",N($E142)+N($F142))</f>
        <v/>
      </c>
      <c r="H142" s="42" t="n"/>
      <c r="I142" s="43">
        <f>IF($B142="","",N($G142)-N($H142))</f>
        <v/>
      </c>
    </row>
    <row r="143">
      <c r="A143" s="39">
        <f>IF($B143="","",COUNTA($B$4:$B143))</f>
        <v/>
      </c>
      <c r="B143" s="45" t="n"/>
      <c r="C143" s="46" t="n"/>
      <c r="D143" s="46" t="n"/>
      <c r="E143" s="47" t="n"/>
      <c r="F143" s="47" t="n"/>
      <c r="G143" s="43">
        <f>IF($B143="","",N($E143)+N($F143))</f>
        <v/>
      </c>
      <c r="H143" s="47" t="n"/>
      <c r="I143" s="43">
        <f>IF($B143="","",N($G143)-N($H143))</f>
        <v/>
      </c>
    </row>
    <row r="144">
      <c r="A144" s="39">
        <f>IF($B144="","",COUNTA($B$4:$B144))</f>
        <v/>
      </c>
      <c r="B144" s="40" t="n"/>
      <c r="C144" s="41" t="n"/>
      <c r="D144" s="41" t="n"/>
      <c r="E144" s="42" t="n"/>
      <c r="F144" s="42" t="n"/>
      <c r="G144" s="43">
        <f>IF($B144="","",N($E144)+N($F144))</f>
        <v/>
      </c>
      <c r="H144" s="42" t="n"/>
      <c r="I144" s="43">
        <f>IF($B144="","",N($G144)-N($H144))</f>
        <v/>
      </c>
    </row>
    <row r="145">
      <c r="A145" s="39">
        <f>IF($B145="","",COUNTA($B$4:$B145))</f>
        <v/>
      </c>
      <c r="B145" s="45" t="n"/>
      <c r="C145" s="46" t="n"/>
      <c r="D145" s="46" t="n"/>
      <c r="E145" s="47" t="n"/>
      <c r="F145" s="47" t="n"/>
      <c r="G145" s="43">
        <f>IF($B145="","",N($E145)+N($F145))</f>
        <v/>
      </c>
      <c r="H145" s="47" t="n"/>
      <c r="I145" s="43">
        <f>IF($B145="","",N($G145)-N($H145))</f>
        <v/>
      </c>
    </row>
    <row r="146">
      <c r="A146" s="39">
        <f>IF($B146="","",COUNTA($B$4:$B146))</f>
        <v/>
      </c>
      <c r="B146" s="40" t="n"/>
      <c r="C146" s="41" t="n"/>
      <c r="D146" s="41" t="n"/>
      <c r="E146" s="42" t="n"/>
      <c r="F146" s="42" t="n"/>
      <c r="G146" s="43">
        <f>IF($B146="","",N($E146)+N($F146))</f>
        <v/>
      </c>
      <c r="H146" s="42" t="n"/>
      <c r="I146" s="43">
        <f>IF($B146="","",N($G146)-N($H146))</f>
        <v/>
      </c>
    </row>
    <row r="147">
      <c r="A147" s="39">
        <f>IF($B147="","",COUNTA($B$4:$B147))</f>
        <v/>
      </c>
      <c r="B147" s="45" t="n"/>
      <c r="C147" s="46" t="n"/>
      <c r="D147" s="46" t="n"/>
      <c r="E147" s="47" t="n"/>
      <c r="F147" s="47" t="n"/>
      <c r="G147" s="43">
        <f>IF($B147="","",N($E147)+N($F147))</f>
        <v/>
      </c>
      <c r="H147" s="47" t="n"/>
      <c r="I147" s="43">
        <f>IF($B147="","",N($G147)-N($H147))</f>
        <v/>
      </c>
    </row>
    <row r="148">
      <c r="A148" s="39">
        <f>IF($B148="","",COUNTA($B$4:$B148))</f>
        <v/>
      </c>
      <c r="B148" s="40" t="n"/>
      <c r="C148" s="41" t="n"/>
      <c r="D148" s="41" t="n"/>
      <c r="E148" s="42" t="n"/>
      <c r="F148" s="42" t="n"/>
      <c r="G148" s="43">
        <f>IF($B148="","",N($E148)+N($F148))</f>
        <v/>
      </c>
      <c r="H148" s="42" t="n"/>
      <c r="I148" s="43">
        <f>IF($B148="","",N($G148)-N($H148))</f>
        <v/>
      </c>
    </row>
    <row r="149">
      <c r="A149" s="39">
        <f>IF($B149="","",COUNTA($B$4:$B149))</f>
        <v/>
      </c>
      <c r="B149" s="45" t="n"/>
      <c r="C149" s="46" t="n"/>
      <c r="D149" s="46" t="n"/>
      <c r="E149" s="47" t="n"/>
      <c r="F149" s="47" t="n"/>
      <c r="G149" s="43">
        <f>IF($B149="","",N($E149)+N($F149))</f>
        <v/>
      </c>
      <c r="H149" s="47" t="n"/>
      <c r="I149" s="43">
        <f>IF($B149="","",N($G149)-N($H149))</f>
        <v/>
      </c>
    </row>
    <row r="150">
      <c r="A150" s="39">
        <f>IF($B150="","",COUNTA($B$4:$B150))</f>
        <v/>
      </c>
      <c r="B150" s="40" t="n"/>
      <c r="C150" s="41" t="n"/>
      <c r="D150" s="41" t="n"/>
      <c r="E150" s="42" t="n"/>
      <c r="F150" s="42" t="n"/>
      <c r="G150" s="43">
        <f>IF($B150="","",N($E150)+N($F150))</f>
        <v/>
      </c>
      <c r="H150" s="42" t="n"/>
      <c r="I150" s="43">
        <f>IF($B150="","",N($G150)-N($H150))</f>
        <v/>
      </c>
    </row>
    <row r="151">
      <c r="A151" s="39">
        <f>IF($B151="","",COUNTA($B$4:$B151))</f>
        <v/>
      </c>
      <c r="B151" s="45" t="n"/>
      <c r="C151" s="46" t="n"/>
      <c r="D151" s="46" t="n"/>
      <c r="E151" s="47" t="n"/>
      <c r="F151" s="47" t="n"/>
      <c r="G151" s="43">
        <f>IF($B151="","",N($E151)+N($F151))</f>
        <v/>
      </c>
      <c r="H151" s="47" t="n"/>
      <c r="I151" s="43">
        <f>IF($B151="","",N($G151)-N($H151))</f>
        <v/>
      </c>
    </row>
    <row r="152">
      <c r="A152" s="39">
        <f>IF($B152="","",COUNTA($B$4:$B152))</f>
        <v/>
      </c>
      <c r="B152" s="40" t="n"/>
      <c r="C152" s="41" t="n"/>
      <c r="D152" s="41" t="n"/>
      <c r="E152" s="42" t="n"/>
      <c r="F152" s="42" t="n"/>
      <c r="G152" s="43">
        <f>IF($B152="","",N($E152)+N($F152))</f>
        <v/>
      </c>
      <c r="H152" s="42" t="n"/>
      <c r="I152" s="43">
        <f>IF($B152="","",N($G152)-N($H152))</f>
        <v/>
      </c>
    </row>
    <row r="153">
      <c r="A153" s="39">
        <f>IF($B153="","",COUNTA($B$4:$B153))</f>
        <v/>
      </c>
      <c r="B153" s="45" t="n"/>
      <c r="C153" s="46" t="n"/>
      <c r="D153" s="46" t="n"/>
      <c r="E153" s="47" t="n"/>
      <c r="F153" s="47" t="n"/>
      <c r="G153" s="43">
        <f>IF($B153="","",N($E153)+N($F153))</f>
        <v/>
      </c>
      <c r="H153" s="47" t="n"/>
      <c r="I153" s="43">
        <f>IF($B153="","",N($G153)-N($H153))</f>
        <v/>
      </c>
    </row>
    <row r="154">
      <c r="A154" s="39">
        <f>IF($B154="","",COUNTA($B$4:$B154))</f>
        <v/>
      </c>
      <c r="B154" s="40" t="n"/>
      <c r="C154" s="41" t="n"/>
      <c r="D154" s="41" t="n"/>
      <c r="E154" s="42" t="n"/>
      <c r="F154" s="42" t="n"/>
      <c r="G154" s="43">
        <f>IF($B154="","",N($E154)+N($F154))</f>
        <v/>
      </c>
      <c r="H154" s="42" t="n"/>
      <c r="I154" s="43">
        <f>IF($B154="","",N($G154)-N($H154))</f>
        <v/>
      </c>
    </row>
    <row r="155">
      <c r="A155" s="39">
        <f>IF($B155="","",COUNTA($B$4:$B155))</f>
        <v/>
      </c>
      <c r="B155" s="45" t="n"/>
      <c r="C155" s="46" t="n"/>
      <c r="D155" s="46" t="n"/>
      <c r="E155" s="47" t="n"/>
      <c r="F155" s="47" t="n"/>
      <c r="G155" s="43">
        <f>IF($B155="","",N($E155)+N($F155))</f>
        <v/>
      </c>
      <c r="H155" s="47" t="n"/>
      <c r="I155" s="43">
        <f>IF($B155="","",N($G155)-N($H155))</f>
        <v/>
      </c>
    </row>
    <row r="156">
      <c r="A156" s="39">
        <f>IF($B156="","",COUNTA($B$4:$B156))</f>
        <v/>
      </c>
      <c r="B156" s="40" t="n"/>
      <c r="C156" s="41" t="n"/>
      <c r="D156" s="41" t="n"/>
      <c r="E156" s="42" t="n"/>
      <c r="F156" s="42" t="n"/>
      <c r="G156" s="43">
        <f>IF($B156="","",N($E156)+N($F156))</f>
        <v/>
      </c>
      <c r="H156" s="42" t="n"/>
      <c r="I156" s="43">
        <f>IF($B156="","",N($G156)-N($H156))</f>
        <v/>
      </c>
    </row>
    <row r="157">
      <c r="A157" s="39">
        <f>IF($B157="","",COUNTA($B$4:$B157))</f>
        <v/>
      </c>
      <c r="B157" s="45" t="n"/>
      <c r="C157" s="46" t="n"/>
      <c r="D157" s="46" t="n"/>
      <c r="E157" s="47" t="n"/>
      <c r="F157" s="47" t="n"/>
      <c r="G157" s="43">
        <f>IF($B157="","",N($E157)+N($F157))</f>
        <v/>
      </c>
      <c r="H157" s="47" t="n"/>
      <c r="I157" s="43">
        <f>IF($B157="","",N($G157)-N($H157))</f>
        <v/>
      </c>
    </row>
    <row r="158">
      <c r="A158" s="39">
        <f>IF($B158="","",COUNTA($B$4:$B158))</f>
        <v/>
      </c>
      <c r="B158" s="40" t="n"/>
      <c r="C158" s="41" t="n"/>
      <c r="D158" s="41" t="n"/>
      <c r="E158" s="42" t="n"/>
      <c r="F158" s="42" t="n"/>
      <c r="G158" s="43">
        <f>IF($B158="","",N($E158)+N($F158))</f>
        <v/>
      </c>
      <c r="H158" s="42" t="n"/>
      <c r="I158" s="43">
        <f>IF($B158="","",N($G158)-N($H158))</f>
        <v/>
      </c>
    </row>
    <row r="159">
      <c r="A159" s="39">
        <f>IF($B159="","",COUNTA($B$4:$B159))</f>
        <v/>
      </c>
      <c r="B159" s="45" t="n"/>
      <c r="C159" s="46" t="n"/>
      <c r="D159" s="46" t="n"/>
      <c r="E159" s="47" t="n"/>
      <c r="F159" s="47" t="n"/>
      <c r="G159" s="43">
        <f>IF($B159="","",N($E159)+N($F159))</f>
        <v/>
      </c>
      <c r="H159" s="47" t="n"/>
      <c r="I159" s="43">
        <f>IF($B159="","",N($G159)-N($H159))</f>
        <v/>
      </c>
    </row>
    <row r="160">
      <c r="A160" s="39">
        <f>IF($B160="","",COUNTA($B$4:$B160))</f>
        <v/>
      </c>
      <c r="B160" s="40" t="n"/>
      <c r="C160" s="41" t="n"/>
      <c r="D160" s="41" t="n"/>
      <c r="E160" s="42" t="n"/>
      <c r="F160" s="42" t="n"/>
      <c r="G160" s="43">
        <f>IF($B160="","",N($E160)+N($F160))</f>
        <v/>
      </c>
      <c r="H160" s="42" t="n"/>
      <c r="I160" s="43">
        <f>IF($B160="","",N($G160)-N($H160))</f>
        <v/>
      </c>
    </row>
    <row r="161">
      <c r="A161" s="39">
        <f>IF($B161="","",COUNTA($B$4:$B161))</f>
        <v/>
      </c>
      <c r="B161" s="45" t="n"/>
      <c r="C161" s="46" t="n"/>
      <c r="D161" s="46" t="n"/>
      <c r="E161" s="47" t="n"/>
      <c r="F161" s="47" t="n"/>
      <c r="G161" s="43">
        <f>IF($B161="","",N($E161)+N($F161))</f>
        <v/>
      </c>
      <c r="H161" s="47" t="n"/>
      <c r="I161" s="43">
        <f>IF($B161="","",N($G161)-N($H161))</f>
        <v/>
      </c>
    </row>
    <row r="162">
      <c r="A162" s="39">
        <f>IF($B162="","",COUNTA($B$4:$B162))</f>
        <v/>
      </c>
      <c r="B162" s="40" t="n"/>
      <c r="C162" s="41" t="n"/>
      <c r="D162" s="41" t="n"/>
      <c r="E162" s="42" t="n"/>
      <c r="F162" s="42" t="n"/>
      <c r="G162" s="43">
        <f>IF($B162="","",N($E162)+N($F162))</f>
        <v/>
      </c>
      <c r="H162" s="42" t="n"/>
      <c r="I162" s="43">
        <f>IF($B162="","",N($G162)-N($H162))</f>
        <v/>
      </c>
    </row>
    <row r="163">
      <c r="A163" s="39">
        <f>IF($B163="","",COUNTA($B$4:$B163))</f>
        <v/>
      </c>
      <c r="B163" s="45" t="n"/>
      <c r="C163" s="46" t="n"/>
      <c r="D163" s="46" t="n"/>
      <c r="E163" s="47" t="n"/>
      <c r="F163" s="47" t="n"/>
      <c r="G163" s="43">
        <f>IF($B163="","",N($E163)+N($F163))</f>
        <v/>
      </c>
      <c r="H163" s="47" t="n"/>
      <c r="I163" s="43">
        <f>IF($B163="","",N($G163)-N($H163))</f>
        <v/>
      </c>
    </row>
    <row r="164">
      <c r="A164" s="39">
        <f>IF($B164="","",COUNTA($B$4:$B164))</f>
        <v/>
      </c>
      <c r="B164" s="40" t="n"/>
      <c r="C164" s="41" t="n"/>
      <c r="D164" s="41" t="n"/>
      <c r="E164" s="42" t="n"/>
      <c r="F164" s="42" t="n"/>
      <c r="G164" s="43">
        <f>IF($B164="","",N($E164)+N($F164))</f>
        <v/>
      </c>
      <c r="H164" s="42" t="n"/>
      <c r="I164" s="43">
        <f>IF($B164="","",N($G164)-N($H164))</f>
        <v/>
      </c>
    </row>
    <row r="165">
      <c r="A165" s="39">
        <f>IF($B165="","",COUNTA($B$4:$B165))</f>
        <v/>
      </c>
      <c r="B165" s="45" t="n"/>
      <c r="C165" s="46" t="n"/>
      <c r="D165" s="46" t="n"/>
      <c r="E165" s="47" t="n"/>
      <c r="F165" s="47" t="n"/>
      <c r="G165" s="43">
        <f>IF($B165="","",N($E165)+N($F165))</f>
        <v/>
      </c>
      <c r="H165" s="47" t="n"/>
      <c r="I165" s="43">
        <f>IF($B165="","",N($G165)-N($H165))</f>
        <v/>
      </c>
    </row>
    <row r="166">
      <c r="A166" s="39">
        <f>IF($B166="","",COUNTA($B$4:$B166))</f>
        <v/>
      </c>
      <c r="B166" s="40" t="n"/>
      <c r="C166" s="41" t="n"/>
      <c r="D166" s="41" t="n"/>
      <c r="E166" s="42" t="n"/>
      <c r="F166" s="42" t="n"/>
      <c r="G166" s="43">
        <f>IF($B166="","",N($E166)+N($F166))</f>
        <v/>
      </c>
      <c r="H166" s="42" t="n"/>
      <c r="I166" s="43">
        <f>IF($B166="","",N($G166)-N($H166))</f>
        <v/>
      </c>
    </row>
    <row r="167">
      <c r="A167" s="39">
        <f>IF($B167="","",COUNTA($B$4:$B167))</f>
        <v/>
      </c>
      <c r="B167" s="45" t="n"/>
      <c r="C167" s="46" t="n"/>
      <c r="D167" s="46" t="n"/>
      <c r="E167" s="47" t="n"/>
      <c r="F167" s="47" t="n"/>
      <c r="G167" s="43">
        <f>IF($B167="","",N($E167)+N($F167))</f>
        <v/>
      </c>
      <c r="H167" s="47" t="n"/>
      <c r="I167" s="43">
        <f>IF($B167="","",N($G167)-N($H167))</f>
        <v/>
      </c>
    </row>
    <row r="168">
      <c r="A168" s="39">
        <f>IF($B168="","",COUNTA($B$4:$B168))</f>
        <v/>
      </c>
      <c r="B168" s="40" t="n"/>
      <c r="C168" s="41" t="n"/>
      <c r="D168" s="41" t="n"/>
      <c r="E168" s="42" t="n"/>
      <c r="F168" s="42" t="n"/>
      <c r="G168" s="43">
        <f>IF($B168="","",N($E168)+N($F168))</f>
        <v/>
      </c>
      <c r="H168" s="42" t="n"/>
      <c r="I168" s="43">
        <f>IF($B168="","",N($G168)-N($H168))</f>
        <v/>
      </c>
    </row>
    <row r="169">
      <c r="A169" s="39">
        <f>IF($B169="","",COUNTA($B$4:$B169))</f>
        <v/>
      </c>
      <c r="B169" s="45" t="n"/>
      <c r="C169" s="46" t="n"/>
      <c r="D169" s="46" t="n"/>
      <c r="E169" s="47" t="n"/>
      <c r="F169" s="47" t="n"/>
      <c r="G169" s="43">
        <f>IF($B169="","",N($E169)+N($F169))</f>
        <v/>
      </c>
      <c r="H169" s="47" t="n"/>
      <c r="I169" s="43">
        <f>IF($B169="","",N($G169)-N($H169))</f>
        <v/>
      </c>
    </row>
    <row r="170">
      <c r="A170" s="39">
        <f>IF($B170="","",COUNTA($B$4:$B170))</f>
        <v/>
      </c>
      <c r="B170" s="40" t="n"/>
      <c r="C170" s="41" t="n"/>
      <c r="D170" s="41" t="n"/>
      <c r="E170" s="42" t="n"/>
      <c r="F170" s="42" t="n"/>
      <c r="G170" s="43">
        <f>IF($B170="","",N($E170)+N($F170))</f>
        <v/>
      </c>
      <c r="H170" s="42" t="n"/>
      <c r="I170" s="43">
        <f>IF($B170="","",N($G170)-N($H170))</f>
        <v/>
      </c>
    </row>
    <row r="171">
      <c r="A171" s="39">
        <f>IF($B171="","",COUNTA($B$4:$B171))</f>
        <v/>
      </c>
      <c r="B171" s="45" t="n"/>
      <c r="C171" s="46" t="n"/>
      <c r="D171" s="46" t="n"/>
      <c r="E171" s="47" t="n"/>
      <c r="F171" s="47" t="n"/>
      <c r="G171" s="43">
        <f>IF($B171="","",N($E171)+N($F171))</f>
        <v/>
      </c>
      <c r="H171" s="47" t="n"/>
      <c r="I171" s="43">
        <f>IF($B171="","",N($G171)-N($H171))</f>
        <v/>
      </c>
    </row>
    <row r="172">
      <c r="A172" s="39">
        <f>IF($B172="","",COUNTA($B$4:$B172))</f>
        <v/>
      </c>
      <c r="B172" s="40" t="n"/>
      <c r="C172" s="41" t="n"/>
      <c r="D172" s="41" t="n"/>
      <c r="E172" s="42" t="n"/>
      <c r="F172" s="42" t="n"/>
      <c r="G172" s="43">
        <f>IF($B172="","",N($E172)+N($F172))</f>
        <v/>
      </c>
      <c r="H172" s="42" t="n"/>
      <c r="I172" s="43">
        <f>IF($B172="","",N($G172)-N($H172))</f>
        <v/>
      </c>
    </row>
    <row r="173">
      <c r="A173" s="39">
        <f>IF($B173="","",COUNTA($B$4:$B173))</f>
        <v/>
      </c>
      <c r="B173" s="45" t="n"/>
      <c r="C173" s="46" t="n"/>
      <c r="D173" s="46" t="n"/>
      <c r="E173" s="47" t="n"/>
      <c r="F173" s="47" t="n"/>
      <c r="G173" s="43">
        <f>IF($B173="","",N($E173)+N($F173))</f>
        <v/>
      </c>
      <c r="H173" s="47" t="n"/>
      <c r="I173" s="43">
        <f>IF($B173="","",N($G173)-N($H173))</f>
        <v/>
      </c>
    </row>
    <row r="174">
      <c r="A174" s="39">
        <f>IF($B174="","",COUNTA($B$4:$B174))</f>
        <v/>
      </c>
      <c r="B174" s="40" t="n"/>
      <c r="C174" s="41" t="n"/>
      <c r="D174" s="41" t="n"/>
      <c r="E174" s="42" t="n"/>
      <c r="F174" s="42" t="n"/>
      <c r="G174" s="43">
        <f>IF($B174="","",N($E174)+N($F174))</f>
        <v/>
      </c>
      <c r="H174" s="42" t="n"/>
      <c r="I174" s="43">
        <f>IF($B174="","",N($G174)-N($H174))</f>
        <v/>
      </c>
    </row>
    <row r="175">
      <c r="A175" s="39">
        <f>IF($B175="","",COUNTA($B$4:$B175))</f>
        <v/>
      </c>
      <c r="B175" s="45" t="n"/>
      <c r="C175" s="46" t="n"/>
      <c r="D175" s="46" t="n"/>
      <c r="E175" s="47" t="n"/>
      <c r="F175" s="47" t="n"/>
      <c r="G175" s="43">
        <f>IF($B175="","",N($E175)+N($F175))</f>
        <v/>
      </c>
      <c r="H175" s="47" t="n"/>
      <c r="I175" s="43">
        <f>IF($B175="","",N($G175)-N($H175))</f>
        <v/>
      </c>
    </row>
    <row r="176">
      <c r="A176" s="39">
        <f>IF($B176="","",COUNTA($B$4:$B176))</f>
        <v/>
      </c>
      <c r="B176" s="40" t="n"/>
      <c r="C176" s="41" t="n"/>
      <c r="D176" s="41" t="n"/>
      <c r="E176" s="42" t="n"/>
      <c r="F176" s="42" t="n"/>
      <c r="G176" s="43">
        <f>IF($B176="","",N($E176)+N($F176))</f>
        <v/>
      </c>
      <c r="H176" s="42" t="n"/>
      <c r="I176" s="43">
        <f>IF($B176="","",N($G176)-N($H176))</f>
        <v/>
      </c>
    </row>
    <row r="177">
      <c r="A177" s="39">
        <f>IF($B177="","",COUNTA($B$4:$B177))</f>
        <v/>
      </c>
      <c r="B177" s="45" t="n"/>
      <c r="C177" s="46" t="n"/>
      <c r="D177" s="46" t="n"/>
      <c r="E177" s="47" t="n"/>
      <c r="F177" s="47" t="n"/>
      <c r="G177" s="43">
        <f>IF($B177="","",N($E177)+N($F177))</f>
        <v/>
      </c>
      <c r="H177" s="47" t="n"/>
      <c r="I177" s="43">
        <f>IF($B177="","",N($G177)-N($H177))</f>
        <v/>
      </c>
    </row>
    <row r="178">
      <c r="A178" s="39">
        <f>IF($B178="","",COUNTA($B$4:$B178))</f>
        <v/>
      </c>
      <c r="B178" s="40" t="n"/>
      <c r="C178" s="41" t="n"/>
      <c r="D178" s="41" t="n"/>
      <c r="E178" s="42" t="n"/>
      <c r="F178" s="42" t="n"/>
      <c r="G178" s="43">
        <f>IF($B178="","",N($E178)+N($F178))</f>
        <v/>
      </c>
      <c r="H178" s="42" t="n"/>
      <c r="I178" s="43">
        <f>IF($B178="","",N($G178)-N($H178))</f>
        <v/>
      </c>
    </row>
    <row r="179">
      <c r="A179" s="39">
        <f>IF($B179="","",COUNTA($B$4:$B179))</f>
        <v/>
      </c>
      <c r="B179" s="45" t="n"/>
      <c r="C179" s="46" t="n"/>
      <c r="D179" s="46" t="n"/>
      <c r="E179" s="47" t="n"/>
      <c r="F179" s="47" t="n"/>
      <c r="G179" s="43">
        <f>IF($B179="","",N($E179)+N($F179))</f>
        <v/>
      </c>
      <c r="H179" s="47" t="n"/>
      <c r="I179" s="43">
        <f>IF($B179="","",N($G179)-N($H179))</f>
        <v/>
      </c>
    </row>
    <row r="180">
      <c r="A180" s="39">
        <f>IF($B180="","",COUNTA($B$4:$B180))</f>
        <v/>
      </c>
      <c r="B180" s="40" t="n"/>
      <c r="C180" s="41" t="n"/>
      <c r="D180" s="41" t="n"/>
      <c r="E180" s="42" t="n"/>
      <c r="F180" s="42" t="n"/>
      <c r="G180" s="43">
        <f>IF($B180="","",N($E180)+N($F180))</f>
        <v/>
      </c>
      <c r="H180" s="42" t="n"/>
      <c r="I180" s="43">
        <f>IF($B180="","",N($G180)-N($H180))</f>
        <v/>
      </c>
    </row>
    <row r="181">
      <c r="A181" s="39">
        <f>IF($B181="","",COUNTA($B$4:$B181))</f>
        <v/>
      </c>
      <c r="B181" s="45" t="n"/>
      <c r="C181" s="46" t="n"/>
      <c r="D181" s="46" t="n"/>
      <c r="E181" s="47" t="n"/>
      <c r="F181" s="47" t="n"/>
      <c r="G181" s="43">
        <f>IF($B181="","",N($E181)+N($F181))</f>
        <v/>
      </c>
      <c r="H181" s="47" t="n"/>
      <c r="I181" s="43">
        <f>IF($B181="","",N($G181)-N($H181))</f>
        <v/>
      </c>
    </row>
    <row r="182">
      <c r="A182" s="39">
        <f>IF($B182="","",COUNTA($B$4:$B182))</f>
        <v/>
      </c>
      <c r="B182" s="40" t="n"/>
      <c r="C182" s="41" t="n"/>
      <c r="D182" s="41" t="n"/>
      <c r="E182" s="42" t="n"/>
      <c r="F182" s="42" t="n"/>
      <c r="G182" s="43">
        <f>IF($B182="","",N($E182)+N($F182))</f>
        <v/>
      </c>
      <c r="H182" s="42" t="n"/>
      <c r="I182" s="43">
        <f>IF($B182="","",N($G182)-N($H182))</f>
        <v/>
      </c>
    </row>
    <row r="183">
      <c r="A183" s="39">
        <f>IF($B183="","",COUNTA($B$4:$B183))</f>
        <v/>
      </c>
      <c r="B183" s="45" t="n"/>
      <c r="C183" s="46" t="n"/>
      <c r="D183" s="46" t="n"/>
      <c r="E183" s="47" t="n"/>
      <c r="F183" s="47" t="n"/>
      <c r="G183" s="43">
        <f>IF($B183="","",N($E183)+N($F183))</f>
        <v/>
      </c>
      <c r="H183" s="47" t="n"/>
      <c r="I183" s="43">
        <f>IF($B183="","",N($G183)-N($H183))</f>
        <v/>
      </c>
    </row>
    <row r="184">
      <c r="A184" s="39">
        <f>IF($B184="","",COUNTA($B$4:$B184))</f>
        <v/>
      </c>
      <c r="B184" s="40" t="n"/>
      <c r="C184" s="41" t="n"/>
      <c r="D184" s="41" t="n"/>
      <c r="E184" s="42" t="n"/>
      <c r="F184" s="42" t="n"/>
      <c r="G184" s="43">
        <f>IF($B184="","",N($E184)+N($F184))</f>
        <v/>
      </c>
      <c r="H184" s="42" t="n"/>
      <c r="I184" s="43">
        <f>IF($B184="","",N($G184)-N($H184))</f>
        <v/>
      </c>
    </row>
    <row r="185">
      <c r="A185" s="39">
        <f>IF($B185="","",COUNTA($B$4:$B185))</f>
        <v/>
      </c>
      <c r="B185" s="45" t="n"/>
      <c r="C185" s="46" t="n"/>
      <c r="D185" s="46" t="n"/>
      <c r="E185" s="47" t="n"/>
      <c r="F185" s="47" t="n"/>
      <c r="G185" s="43">
        <f>IF($B185="","",N($E185)+N($F185))</f>
        <v/>
      </c>
      <c r="H185" s="47" t="n"/>
      <c r="I185" s="43">
        <f>IF($B185="","",N($G185)-N($H185))</f>
        <v/>
      </c>
    </row>
    <row r="186">
      <c r="A186" s="39">
        <f>IF($B186="","",COUNTA($B$4:$B186))</f>
        <v/>
      </c>
      <c r="B186" s="40" t="n"/>
      <c r="C186" s="41" t="n"/>
      <c r="D186" s="41" t="n"/>
      <c r="E186" s="42" t="n"/>
      <c r="F186" s="42" t="n"/>
      <c r="G186" s="43">
        <f>IF($B186="","",N($E186)+N($F186))</f>
        <v/>
      </c>
      <c r="H186" s="42" t="n"/>
      <c r="I186" s="43">
        <f>IF($B186="","",N($G186)-N($H186))</f>
        <v/>
      </c>
    </row>
    <row r="187">
      <c r="A187" s="39">
        <f>IF($B187="","",COUNTA($B$4:$B187))</f>
        <v/>
      </c>
      <c r="B187" s="45" t="n"/>
      <c r="C187" s="46" t="n"/>
      <c r="D187" s="46" t="n"/>
      <c r="E187" s="47" t="n"/>
      <c r="F187" s="47" t="n"/>
      <c r="G187" s="43">
        <f>IF($B187="","",N($E187)+N($F187))</f>
        <v/>
      </c>
      <c r="H187" s="47" t="n"/>
      <c r="I187" s="43">
        <f>IF($B187="","",N($G187)-N($H187))</f>
        <v/>
      </c>
    </row>
    <row r="188">
      <c r="A188" s="39">
        <f>IF($B188="","",COUNTA($B$4:$B188))</f>
        <v/>
      </c>
      <c r="B188" s="40" t="n"/>
      <c r="C188" s="41" t="n"/>
      <c r="D188" s="41" t="n"/>
      <c r="E188" s="42" t="n"/>
      <c r="F188" s="42" t="n"/>
      <c r="G188" s="43">
        <f>IF($B188="","",N($E188)+N($F188))</f>
        <v/>
      </c>
      <c r="H188" s="42" t="n"/>
      <c r="I188" s="43">
        <f>IF($B188="","",N($G188)-N($H188))</f>
        <v/>
      </c>
    </row>
    <row r="189">
      <c r="A189" s="39">
        <f>IF($B189="","",COUNTA($B$4:$B189))</f>
        <v/>
      </c>
      <c r="B189" s="45" t="n"/>
      <c r="C189" s="46" t="n"/>
      <c r="D189" s="46" t="n"/>
      <c r="E189" s="47" t="n"/>
      <c r="F189" s="47" t="n"/>
      <c r="G189" s="43">
        <f>IF($B189="","",N($E189)+N($F189))</f>
        <v/>
      </c>
      <c r="H189" s="47" t="n"/>
      <c r="I189" s="43">
        <f>IF($B189="","",N($G189)-N($H189))</f>
        <v/>
      </c>
    </row>
    <row r="190">
      <c r="A190" s="39">
        <f>IF($B190="","",COUNTA($B$4:$B190))</f>
        <v/>
      </c>
      <c r="B190" s="40" t="n"/>
      <c r="C190" s="41" t="n"/>
      <c r="D190" s="41" t="n"/>
      <c r="E190" s="42" t="n"/>
      <c r="F190" s="42" t="n"/>
      <c r="G190" s="43">
        <f>IF($B190="","",N($E190)+N($F190))</f>
        <v/>
      </c>
      <c r="H190" s="42" t="n"/>
      <c r="I190" s="43">
        <f>IF($B190="","",N($G190)-N($H190))</f>
        <v/>
      </c>
    </row>
    <row r="191">
      <c r="A191" s="39">
        <f>IF($B191="","",COUNTA($B$4:$B191))</f>
        <v/>
      </c>
      <c r="B191" s="45" t="n"/>
      <c r="C191" s="46" t="n"/>
      <c r="D191" s="46" t="n"/>
      <c r="E191" s="47" t="n"/>
      <c r="F191" s="47" t="n"/>
      <c r="G191" s="43">
        <f>IF($B191="","",N($E191)+N($F191))</f>
        <v/>
      </c>
      <c r="H191" s="47" t="n"/>
      <c r="I191" s="43">
        <f>IF($B191="","",N($G191)-N($H191))</f>
        <v/>
      </c>
    </row>
    <row r="192">
      <c r="A192" s="39">
        <f>IF($B192="","",COUNTA($B$4:$B192))</f>
        <v/>
      </c>
      <c r="B192" s="40" t="n"/>
      <c r="C192" s="41" t="n"/>
      <c r="D192" s="41" t="n"/>
      <c r="E192" s="42" t="n"/>
      <c r="F192" s="42" t="n"/>
      <c r="G192" s="43">
        <f>IF($B192="","",N($E192)+N($F192))</f>
        <v/>
      </c>
      <c r="H192" s="42" t="n"/>
      <c r="I192" s="43">
        <f>IF($B192="","",N($G192)-N($H192))</f>
        <v/>
      </c>
    </row>
    <row r="193">
      <c r="A193" s="39">
        <f>IF($B193="","",COUNTA($B$4:$B193))</f>
        <v/>
      </c>
      <c r="B193" s="45" t="n"/>
      <c r="C193" s="46" t="n"/>
      <c r="D193" s="46" t="n"/>
      <c r="E193" s="47" t="n"/>
      <c r="F193" s="47" t="n"/>
      <c r="G193" s="43">
        <f>IF($B193="","",N($E193)+N($F193))</f>
        <v/>
      </c>
      <c r="H193" s="47" t="n"/>
      <c r="I193" s="43">
        <f>IF($B193="","",N($G193)-N($H193))</f>
        <v/>
      </c>
    </row>
    <row r="194">
      <c r="A194" s="39">
        <f>IF($B194="","",COUNTA($B$4:$B194))</f>
        <v/>
      </c>
      <c r="B194" s="40" t="n"/>
      <c r="C194" s="41" t="n"/>
      <c r="D194" s="41" t="n"/>
      <c r="E194" s="42" t="n"/>
      <c r="F194" s="42" t="n"/>
      <c r="G194" s="43">
        <f>IF($B194="","",N($E194)+N($F194))</f>
        <v/>
      </c>
      <c r="H194" s="42" t="n"/>
      <c r="I194" s="43">
        <f>IF($B194="","",N($G194)-N($H194))</f>
        <v/>
      </c>
    </row>
    <row r="195">
      <c r="A195" s="39">
        <f>IF($B195="","",COUNTA($B$4:$B195))</f>
        <v/>
      </c>
      <c r="B195" s="45" t="n"/>
      <c r="C195" s="46" t="n"/>
      <c r="D195" s="46" t="n"/>
      <c r="E195" s="47" t="n"/>
      <c r="F195" s="47" t="n"/>
      <c r="G195" s="43">
        <f>IF($B195="","",N($E195)+N($F195))</f>
        <v/>
      </c>
      <c r="H195" s="47" t="n"/>
      <c r="I195" s="43">
        <f>IF($B195="","",N($G195)-N($H195))</f>
        <v/>
      </c>
    </row>
    <row r="196">
      <c r="A196" s="39">
        <f>IF($B196="","",COUNTA($B$4:$B196))</f>
        <v/>
      </c>
      <c r="B196" s="40" t="n"/>
      <c r="C196" s="41" t="n"/>
      <c r="D196" s="41" t="n"/>
      <c r="E196" s="42" t="n"/>
      <c r="F196" s="42" t="n"/>
      <c r="G196" s="43">
        <f>IF($B196="","",N($E196)+N($F196))</f>
        <v/>
      </c>
      <c r="H196" s="42" t="n"/>
      <c r="I196" s="43">
        <f>IF($B196="","",N($G196)-N($H196))</f>
        <v/>
      </c>
    </row>
    <row r="197">
      <c r="A197" s="39">
        <f>IF($B197="","",COUNTA($B$4:$B197))</f>
        <v/>
      </c>
      <c r="B197" s="45" t="n"/>
      <c r="C197" s="46" t="n"/>
      <c r="D197" s="46" t="n"/>
      <c r="E197" s="47" t="n"/>
      <c r="F197" s="47" t="n"/>
      <c r="G197" s="43">
        <f>IF($B197="","",N($E197)+N($F197))</f>
        <v/>
      </c>
      <c r="H197" s="47" t="n"/>
      <c r="I197" s="43">
        <f>IF($B197="","",N($G197)-N($H197))</f>
        <v/>
      </c>
    </row>
    <row r="198">
      <c r="A198" s="39">
        <f>IF($B198="","",COUNTA($B$4:$B198))</f>
        <v/>
      </c>
      <c r="B198" s="40" t="n"/>
      <c r="C198" s="41" t="n"/>
      <c r="D198" s="41" t="n"/>
      <c r="E198" s="42" t="n"/>
      <c r="F198" s="42" t="n"/>
      <c r="G198" s="43">
        <f>IF($B198="","",N($E198)+N($F198))</f>
        <v/>
      </c>
      <c r="H198" s="42" t="n"/>
      <c r="I198" s="43">
        <f>IF($B198="","",N($G198)-N($H198))</f>
        <v/>
      </c>
    </row>
    <row r="199">
      <c r="A199" s="39">
        <f>IF($B199="","",COUNTA($B$4:$B199))</f>
        <v/>
      </c>
      <c r="B199" s="45" t="n"/>
      <c r="C199" s="46" t="n"/>
      <c r="D199" s="46" t="n"/>
      <c r="E199" s="47" t="n"/>
      <c r="F199" s="47" t="n"/>
      <c r="G199" s="43">
        <f>IF($B199="","",N($E199)+N($F199))</f>
        <v/>
      </c>
      <c r="H199" s="47" t="n"/>
      <c r="I199" s="43">
        <f>IF($B199="","",N($G199)-N($H199))</f>
        <v/>
      </c>
    </row>
    <row r="200">
      <c r="A200" s="39">
        <f>IF($B200="","",COUNTA($B$4:$B200))</f>
        <v/>
      </c>
      <c r="B200" s="40" t="n"/>
      <c r="C200" s="41" t="n"/>
      <c r="D200" s="41" t="n"/>
      <c r="E200" s="42" t="n"/>
      <c r="F200" s="42" t="n"/>
      <c r="G200" s="43">
        <f>IF($B200="","",N($E200)+N($F200))</f>
        <v/>
      </c>
      <c r="H200" s="42" t="n"/>
      <c r="I200" s="43">
        <f>IF($B200="","",N($G200)-N($H200))</f>
        <v/>
      </c>
    </row>
    <row r="201">
      <c r="A201" s="39">
        <f>IF($B201="","",COUNTA($B$4:$B201))</f>
        <v/>
      </c>
      <c r="B201" s="45" t="n"/>
      <c r="C201" s="46" t="n"/>
      <c r="D201" s="46" t="n"/>
      <c r="E201" s="47" t="n"/>
      <c r="F201" s="47" t="n"/>
      <c r="G201" s="43">
        <f>IF($B201="","",N($E201)+N($F201))</f>
        <v/>
      </c>
      <c r="H201" s="47" t="n"/>
      <c r="I201" s="43">
        <f>IF($B201="","",N($G201)-N($H201))</f>
        <v/>
      </c>
    </row>
    <row r="202">
      <c r="A202" s="39">
        <f>IF($B202="","",COUNTA($B$4:$B202))</f>
        <v/>
      </c>
      <c r="B202" s="40" t="n"/>
      <c r="C202" s="41" t="n"/>
      <c r="D202" s="41" t="n"/>
      <c r="E202" s="42" t="n"/>
      <c r="F202" s="42" t="n"/>
      <c r="G202" s="43">
        <f>IF($B202="","",N($E202)+N($F202))</f>
        <v/>
      </c>
      <c r="H202" s="42" t="n"/>
      <c r="I202" s="43">
        <f>IF($B202="","",N($G202)-N($H202))</f>
        <v/>
      </c>
    </row>
    <row r="203">
      <c r="A203" s="39">
        <f>IF($B203="","",COUNTA($B$4:$B203))</f>
        <v/>
      </c>
      <c r="B203" s="45" t="n"/>
      <c r="C203" s="46" t="n"/>
      <c r="D203" s="46" t="n"/>
      <c r="E203" s="47" t="n"/>
      <c r="F203" s="47" t="n"/>
      <c r="G203" s="43">
        <f>IF($B203="","",N($E203)+N($F203))</f>
        <v/>
      </c>
      <c r="H203" s="47" t="n"/>
      <c r="I203" s="43">
        <f>IF($B203="","",N($G203)-N($H203))</f>
        <v/>
      </c>
    </row>
    <row r="204">
      <c r="A204" s="39">
        <f>IF($B204="","",COUNTA($B$4:$B204))</f>
        <v/>
      </c>
      <c r="B204" s="40" t="n"/>
      <c r="C204" s="41" t="n"/>
      <c r="D204" s="41" t="n"/>
      <c r="E204" s="42" t="n"/>
      <c r="F204" s="42" t="n"/>
      <c r="G204" s="43">
        <f>IF($B204="","",N($E204)+N($F204))</f>
        <v/>
      </c>
      <c r="H204" s="42" t="n"/>
      <c r="I204" s="43">
        <f>IF($B204="","",N($G204)-N($H204))</f>
        <v/>
      </c>
    </row>
    <row r="205">
      <c r="A205" s="39">
        <f>IF($B205="","",COUNTA($B$4:$B205))</f>
        <v/>
      </c>
      <c r="B205" s="45" t="n"/>
      <c r="C205" s="46" t="n"/>
      <c r="D205" s="46" t="n"/>
      <c r="E205" s="47" t="n"/>
      <c r="F205" s="47" t="n"/>
      <c r="G205" s="43">
        <f>IF($B205="","",N($E205)+N($F205))</f>
        <v/>
      </c>
      <c r="H205" s="47" t="n"/>
      <c r="I205" s="43">
        <f>IF($B205="","",N($G205)-N($H205))</f>
        <v/>
      </c>
    </row>
    <row r="206">
      <c r="A206" s="39">
        <f>IF($B206="","",COUNTA($B$4:$B206))</f>
        <v/>
      </c>
      <c r="B206" s="40" t="n"/>
      <c r="C206" s="41" t="n"/>
      <c r="D206" s="41" t="n"/>
      <c r="E206" s="42" t="n"/>
      <c r="F206" s="42" t="n"/>
      <c r="G206" s="43">
        <f>IF($B206="","",N($E206)+N($F206))</f>
        <v/>
      </c>
      <c r="H206" s="42" t="n"/>
      <c r="I206" s="43">
        <f>IF($B206="","",N($G206)-N($H206))</f>
        <v/>
      </c>
    </row>
    <row r="207">
      <c r="A207" s="39">
        <f>IF($B207="","",COUNTA($B$4:$B207))</f>
        <v/>
      </c>
      <c r="B207" s="45" t="n"/>
      <c r="C207" s="46" t="n"/>
      <c r="D207" s="46" t="n"/>
      <c r="E207" s="47" t="n"/>
      <c r="F207" s="47" t="n"/>
      <c r="G207" s="43">
        <f>IF($B207="","",N($E207)+N($F207))</f>
        <v/>
      </c>
      <c r="H207" s="47" t="n"/>
      <c r="I207" s="43">
        <f>IF($B207="","",N($G207)-N($H207))</f>
        <v/>
      </c>
    </row>
    <row r="208">
      <c r="A208" s="39">
        <f>IF($B208="","",COUNTA($B$4:$B208))</f>
        <v/>
      </c>
      <c r="B208" s="40" t="n"/>
      <c r="C208" s="41" t="n"/>
      <c r="D208" s="41" t="n"/>
      <c r="E208" s="42" t="n"/>
      <c r="F208" s="42" t="n"/>
      <c r="G208" s="43">
        <f>IF($B208="","",N($E208)+N($F208))</f>
        <v/>
      </c>
      <c r="H208" s="42" t="n"/>
      <c r="I208" s="43">
        <f>IF($B208="","",N($G208)-N($H208))</f>
        <v/>
      </c>
    </row>
    <row r="209">
      <c r="A209" s="39">
        <f>IF($B209="","",COUNTA($B$4:$B209))</f>
        <v/>
      </c>
      <c r="B209" s="45" t="n"/>
      <c r="C209" s="46" t="n"/>
      <c r="D209" s="46" t="n"/>
      <c r="E209" s="47" t="n"/>
      <c r="F209" s="47" t="n"/>
      <c r="G209" s="43">
        <f>IF($B209="","",N($E209)+N($F209))</f>
        <v/>
      </c>
      <c r="H209" s="47" t="n"/>
      <c r="I209" s="43">
        <f>IF($B209="","",N($G209)-N($H209))</f>
        <v/>
      </c>
    </row>
    <row r="210">
      <c r="A210" s="39">
        <f>IF($B210="","",COUNTA($B$4:$B210))</f>
        <v/>
      </c>
      <c r="B210" s="40" t="n"/>
      <c r="C210" s="41" t="n"/>
      <c r="D210" s="41" t="n"/>
      <c r="E210" s="42" t="n"/>
      <c r="F210" s="42" t="n"/>
      <c r="G210" s="43">
        <f>IF($B210="","",N($E210)+N($F210))</f>
        <v/>
      </c>
      <c r="H210" s="42" t="n"/>
      <c r="I210" s="43">
        <f>IF($B210="","",N($G210)-N($H210))</f>
        <v/>
      </c>
    </row>
    <row r="211">
      <c r="A211" s="39">
        <f>IF($B211="","",COUNTA($B$4:$B211))</f>
        <v/>
      </c>
      <c r="B211" s="45" t="n"/>
      <c r="C211" s="46" t="n"/>
      <c r="D211" s="46" t="n"/>
      <c r="E211" s="47" t="n"/>
      <c r="F211" s="47" t="n"/>
      <c r="G211" s="43">
        <f>IF($B211="","",N($E211)+N($F211))</f>
        <v/>
      </c>
      <c r="H211" s="47" t="n"/>
      <c r="I211" s="43">
        <f>IF($B211="","",N($G211)-N($H211))</f>
        <v/>
      </c>
    </row>
    <row r="212">
      <c r="A212" s="39">
        <f>IF($B212="","",COUNTA($B$4:$B212))</f>
        <v/>
      </c>
      <c r="B212" s="40" t="n"/>
      <c r="C212" s="41" t="n"/>
      <c r="D212" s="41" t="n"/>
      <c r="E212" s="42" t="n"/>
      <c r="F212" s="42" t="n"/>
      <c r="G212" s="43">
        <f>IF($B212="","",N($E212)+N($F212))</f>
        <v/>
      </c>
      <c r="H212" s="42" t="n"/>
      <c r="I212" s="43">
        <f>IF($B212="","",N($G212)-N($H212))</f>
        <v/>
      </c>
    </row>
    <row r="213">
      <c r="A213" s="39">
        <f>IF($B213="","",COUNTA($B$4:$B213))</f>
        <v/>
      </c>
      <c r="B213" s="45" t="n"/>
      <c r="C213" s="46" t="n"/>
      <c r="D213" s="46" t="n"/>
      <c r="E213" s="47" t="n"/>
      <c r="F213" s="47" t="n"/>
      <c r="G213" s="43">
        <f>IF($B213="","",N($E213)+N($F213))</f>
        <v/>
      </c>
      <c r="H213" s="47" t="n"/>
      <c r="I213" s="43">
        <f>IF($B213="","",N($G213)-N($H213))</f>
        <v/>
      </c>
    </row>
    <row r="214">
      <c r="A214" s="39">
        <f>IF($B214="","",COUNTA($B$4:$B214))</f>
        <v/>
      </c>
      <c r="B214" s="40" t="n"/>
      <c r="C214" s="41" t="n"/>
      <c r="D214" s="41" t="n"/>
      <c r="E214" s="42" t="n"/>
      <c r="F214" s="42" t="n"/>
      <c r="G214" s="43">
        <f>IF($B214="","",N($E214)+N($F214))</f>
        <v/>
      </c>
      <c r="H214" s="42" t="n"/>
      <c r="I214" s="43">
        <f>IF($B214="","",N($G214)-N($H214))</f>
        <v/>
      </c>
    </row>
    <row r="215">
      <c r="A215" s="39">
        <f>IF($B215="","",COUNTA($B$4:$B215))</f>
        <v/>
      </c>
      <c r="B215" s="45" t="n"/>
      <c r="C215" s="46" t="n"/>
      <c r="D215" s="46" t="n"/>
      <c r="E215" s="47" t="n"/>
      <c r="F215" s="47" t="n"/>
      <c r="G215" s="43">
        <f>IF($B215="","",N($E215)+N($F215))</f>
        <v/>
      </c>
      <c r="H215" s="47" t="n"/>
      <c r="I215" s="43">
        <f>IF($B215="","",N($G215)-N($H215))</f>
        <v/>
      </c>
    </row>
    <row r="216">
      <c r="A216" s="39">
        <f>IF($B216="","",COUNTA($B$4:$B216))</f>
        <v/>
      </c>
      <c r="B216" s="40" t="n"/>
      <c r="C216" s="41" t="n"/>
      <c r="D216" s="41" t="n"/>
      <c r="E216" s="42" t="n"/>
      <c r="F216" s="42" t="n"/>
      <c r="G216" s="43">
        <f>IF($B216="","",N($E216)+N($F216))</f>
        <v/>
      </c>
      <c r="H216" s="42" t="n"/>
      <c r="I216" s="43">
        <f>IF($B216="","",N($G216)-N($H216))</f>
        <v/>
      </c>
    </row>
    <row r="217">
      <c r="A217" s="39">
        <f>IF($B217="","",COUNTA($B$4:$B217))</f>
        <v/>
      </c>
      <c r="B217" s="45" t="n"/>
      <c r="C217" s="46" t="n"/>
      <c r="D217" s="46" t="n"/>
      <c r="E217" s="47" t="n"/>
      <c r="F217" s="47" t="n"/>
      <c r="G217" s="43">
        <f>IF($B217="","",N($E217)+N($F217))</f>
        <v/>
      </c>
      <c r="H217" s="47" t="n"/>
      <c r="I217" s="43">
        <f>IF($B217="","",N($G217)-N($H217))</f>
        <v/>
      </c>
    </row>
    <row r="218">
      <c r="A218" s="39">
        <f>IF($B218="","",COUNTA($B$4:$B218))</f>
        <v/>
      </c>
      <c r="B218" s="40" t="n"/>
      <c r="C218" s="41" t="n"/>
      <c r="D218" s="41" t="n"/>
      <c r="E218" s="42" t="n"/>
      <c r="F218" s="42" t="n"/>
      <c r="G218" s="43">
        <f>IF($B218="","",N($E218)+N($F218))</f>
        <v/>
      </c>
      <c r="H218" s="42" t="n"/>
      <c r="I218" s="43">
        <f>IF($B218="","",N($G218)-N($H218))</f>
        <v/>
      </c>
    </row>
    <row r="219">
      <c r="A219" s="39">
        <f>IF($B219="","",COUNTA($B$4:$B219))</f>
        <v/>
      </c>
      <c r="B219" s="45" t="n"/>
      <c r="C219" s="46" t="n"/>
      <c r="D219" s="46" t="n"/>
      <c r="E219" s="47" t="n"/>
      <c r="F219" s="47" t="n"/>
      <c r="G219" s="43">
        <f>IF($B219="","",N($E219)+N($F219))</f>
        <v/>
      </c>
      <c r="H219" s="47" t="n"/>
      <c r="I219" s="43">
        <f>IF($B219="","",N($G219)-N($H219))</f>
        <v/>
      </c>
    </row>
    <row r="220">
      <c r="A220" s="39">
        <f>IF($B220="","",COUNTA($B$4:$B220))</f>
        <v/>
      </c>
      <c r="B220" s="40" t="n"/>
      <c r="C220" s="41" t="n"/>
      <c r="D220" s="41" t="n"/>
      <c r="E220" s="42" t="n"/>
      <c r="F220" s="42" t="n"/>
      <c r="G220" s="43">
        <f>IF($B220="","",N($E220)+N($F220))</f>
        <v/>
      </c>
      <c r="H220" s="42" t="n"/>
      <c r="I220" s="43">
        <f>IF($B220="","",N($G220)-N($H220))</f>
        <v/>
      </c>
    </row>
    <row r="221">
      <c r="A221" s="39">
        <f>IF($B221="","",COUNTA($B$4:$B221))</f>
        <v/>
      </c>
      <c r="B221" s="45" t="n"/>
      <c r="C221" s="46" t="n"/>
      <c r="D221" s="46" t="n"/>
      <c r="E221" s="47" t="n"/>
      <c r="F221" s="47" t="n"/>
      <c r="G221" s="43">
        <f>IF($B221="","",N($E221)+N($F221))</f>
        <v/>
      </c>
      <c r="H221" s="47" t="n"/>
      <c r="I221" s="43">
        <f>IF($B221="","",N($G221)-N($H221))</f>
        <v/>
      </c>
    </row>
    <row r="222">
      <c r="A222" s="39">
        <f>IF($B222="","",COUNTA($B$4:$B222))</f>
        <v/>
      </c>
      <c r="B222" s="40" t="n"/>
      <c r="C222" s="41" t="n"/>
      <c r="D222" s="41" t="n"/>
      <c r="E222" s="42" t="n"/>
      <c r="F222" s="42" t="n"/>
      <c r="G222" s="43">
        <f>IF($B222="","",N($E222)+N($F222))</f>
        <v/>
      </c>
      <c r="H222" s="42" t="n"/>
      <c r="I222" s="43">
        <f>IF($B222="","",N($G222)-N($H222))</f>
        <v/>
      </c>
    </row>
    <row r="223">
      <c r="A223" s="39">
        <f>IF($B223="","",COUNTA($B$4:$B223))</f>
        <v/>
      </c>
      <c r="B223" s="45" t="n"/>
      <c r="C223" s="46" t="n"/>
      <c r="D223" s="46" t="n"/>
      <c r="E223" s="47" t="n"/>
      <c r="F223" s="47" t="n"/>
      <c r="G223" s="43">
        <f>IF($B223="","",N($E223)+N($F223))</f>
        <v/>
      </c>
      <c r="H223" s="47" t="n"/>
      <c r="I223" s="43">
        <f>IF($B223="","",N($G223)-N($H223))</f>
        <v/>
      </c>
    </row>
    <row r="224">
      <c r="A224" s="39">
        <f>IF($B224="","",COUNTA($B$4:$B224))</f>
        <v/>
      </c>
      <c r="B224" s="40" t="n"/>
      <c r="C224" s="41" t="n"/>
      <c r="D224" s="41" t="n"/>
      <c r="E224" s="42" t="n"/>
      <c r="F224" s="42" t="n"/>
      <c r="G224" s="43">
        <f>IF($B224="","",N($E224)+N($F224))</f>
        <v/>
      </c>
      <c r="H224" s="42" t="n"/>
      <c r="I224" s="43">
        <f>IF($B224="","",N($G224)-N($H224))</f>
        <v/>
      </c>
    </row>
    <row r="225">
      <c r="A225" s="39">
        <f>IF($B225="","",COUNTA($B$4:$B225))</f>
        <v/>
      </c>
      <c r="B225" s="45" t="n"/>
      <c r="C225" s="46" t="n"/>
      <c r="D225" s="46" t="n"/>
      <c r="E225" s="47" t="n"/>
      <c r="F225" s="47" t="n"/>
      <c r="G225" s="43">
        <f>IF($B225="","",N($E225)+N($F225))</f>
        <v/>
      </c>
      <c r="H225" s="47" t="n"/>
      <c r="I225" s="43">
        <f>IF($B225="","",N($G225)-N($H225))</f>
        <v/>
      </c>
    </row>
    <row r="226">
      <c r="A226" s="39">
        <f>IF($B226="","",COUNTA($B$4:$B226))</f>
        <v/>
      </c>
      <c r="B226" s="40" t="n"/>
      <c r="C226" s="41" t="n"/>
      <c r="D226" s="41" t="n"/>
      <c r="E226" s="42" t="n"/>
      <c r="F226" s="42" t="n"/>
      <c r="G226" s="43">
        <f>IF($B226="","",N($E226)+N($F226))</f>
        <v/>
      </c>
      <c r="H226" s="42" t="n"/>
      <c r="I226" s="43">
        <f>IF($B226="","",N($G226)-N($H226))</f>
        <v/>
      </c>
    </row>
    <row r="227">
      <c r="A227" s="39">
        <f>IF($B227="","",COUNTA($B$4:$B227))</f>
        <v/>
      </c>
      <c r="B227" s="45" t="n"/>
      <c r="C227" s="46" t="n"/>
      <c r="D227" s="46" t="n"/>
      <c r="E227" s="47" t="n"/>
      <c r="F227" s="47" t="n"/>
      <c r="G227" s="43">
        <f>IF($B227="","",N($E227)+N($F227))</f>
        <v/>
      </c>
      <c r="H227" s="47" t="n"/>
      <c r="I227" s="43">
        <f>IF($B227="","",N($G227)-N($H227))</f>
        <v/>
      </c>
    </row>
    <row r="228">
      <c r="A228" s="39">
        <f>IF($B228="","",COUNTA($B$4:$B228))</f>
        <v/>
      </c>
      <c r="B228" s="40" t="n"/>
      <c r="C228" s="41" t="n"/>
      <c r="D228" s="41" t="n"/>
      <c r="E228" s="42" t="n"/>
      <c r="F228" s="42" t="n"/>
      <c r="G228" s="43">
        <f>IF($B228="","",N($E228)+N($F228))</f>
        <v/>
      </c>
      <c r="H228" s="42" t="n"/>
      <c r="I228" s="43">
        <f>IF($B228="","",N($G228)-N($H228))</f>
        <v/>
      </c>
    </row>
    <row r="229">
      <c r="A229" s="39">
        <f>IF($B229="","",COUNTA($B$4:$B229))</f>
        <v/>
      </c>
      <c r="B229" s="45" t="n"/>
      <c r="C229" s="46" t="n"/>
      <c r="D229" s="46" t="n"/>
      <c r="E229" s="47" t="n"/>
      <c r="F229" s="47" t="n"/>
      <c r="G229" s="43">
        <f>IF($B229="","",N($E229)+N($F229))</f>
        <v/>
      </c>
      <c r="H229" s="47" t="n"/>
      <c r="I229" s="43">
        <f>IF($B229="","",N($G229)-N($H229))</f>
        <v/>
      </c>
    </row>
    <row r="230">
      <c r="A230" s="39">
        <f>IF($B230="","",COUNTA($B$4:$B230))</f>
        <v/>
      </c>
      <c r="B230" s="40" t="n"/>
      <c r="C230" s="41" t="n"/>
      <c r="D230" s="41" t="n"/>
      <c r="E230" s="42" t="n"/>
      <c r="F230" s="42" t="n"/>
      <c r="G230" s="43">
        <f>IF($B230="","",N($E230)+N($F230))</f>
        <v/>
      </c>
      <c r="H230" s="42" t="n"/>
      <c r="I230" s="43">
        <f>IF($B230="","",N($G230)-N($H230))</f>
        <v/>
      </c>
    </row>
    <row r="231">
      <c r="A231" s="39">
        <f>IF($B231="","",COUNTA($B$4:$B231))</f>
        <v/>
      </c>
      <c r="B231" s="45" t="n"/>
      <c r="C231" s="46" t="n"/>
      <c r="D231" s="46" t="n"/>
      <c r="E231" s="47" t="n"/>
      <c r="F231" s="47" t="n"/>
      <c r="G231" s="43">
        <f>IF($B231="","",N($E231)+N($F231))</f>
        <v/>
      </c>
      <c r="H231" s="47" t="n"/>
      <c r="I231" s="43">
        <f>IF($B231="","",N($G231)-N($H231))</f>
        <v/>
      </c>
    </row>
    <row r="232">
      <c r="A232" s="39">
        <f>IF($B232="","",COUNTA($B$4:$B232))</f>
        <v/>
      </c>
      <c r="B232" s="40" t="n"/>
      <c r="C232" s="41" t="n"/>
      <c r="D232" s="41" t="n"/>
      <c r="E232" s="42" t="n"/>
      <c r="F232" s="42" t="n"/>
      <c r="G232" s="43">
        <f>IF($B232="","",N($E232)+N($F232))</f>
        <v/>
      </c>
      <c r="H232" s="42" t="n"/>
      <c r="I232" s="43">
        <f>IF($B232="","",N($G232)-N($H232))</f>
        <v/>
      </c>
    </row>
    <row r="233">
      <c r="A233" s="39">
        <f>IF($B233="","",COUNTA($B$4:$B233))</f>
        <v/>
      </c>
      <c r="B233" s="45" t="n"/>
      <c r="C233" s="46" t="n"/>
      <c r="D233" s="46" t="n"/>
      <c r="E233" s="47" t="n"/>
      <c r="F233" s="47" t="n"/>
      <c r="G233" s="43">
        <f>IF($B233="","",N($E233)+N($F233))</f>
        <v/>
      </c>
      <c r="H233" s="47" t="n"/>
      <c r="I233" s="43">
        <f>IF($B233="","",N($G233)-N($H233))</f>
        <v/>
      </c>
    </row>
    <row r="234">
      <c r="A234" s="39">
        <f>IF($B234="","",COUNTA($B$4:$B234))</f>
        <v/>
      </c>
      <c r="B234" s="40" t="n"/>
      <c r="C234" s="41" t="n"/>
      <c r="D234" s="41" t="n"/>
      <c r="E234" s="42" t="n"/>
      <c r="F234" s="42" t="n"/>
      <c r="G234" s="43">
        <f>IF($B234="","",N($E234)+N($F234))</f>
        <v/>
      </c>
      <c r="H234" s="42" t="n"/>
      <c r="I234" s="43">
        <f>IF($B234="","",N($G234)-N($H234))</f>
        <v/>
      </c>
    </row>
    <row r="235">
      <c r="A235" s="39">
        <f>IF($B235="","",COUNTA($B$4:$B235))</f>
        <v/>
      </c>
      <c r="B235" s="45" t="n"/>
      <c r="C235" s="46" t="n"/>
      <c r="D235" s="46" t="n"/>
      <c r="E235" s="47" t="n"/>
      <c r="F235" s="47" t="n"/>
      <c r="G235" s="43">
        <f>IF($B235="","",N($E235)+N($F235))</f>
        <v/>
      </c>
      <c r="H235" s="47" t="n"/>
      <c r="I235" s="43">
        <f>IF($B235="","",N($G235)-N($H235))</f>
        <v/>
      </c>
    </row>
    <row r="236">
      <c r="A236" s="39">
        <f>IF($B236="","",COUNTA($B$4:$B236))</f>
        <v/>
      </c>
      <c r="B236" s="40" t="n"/>
      <c r="C236" s="41" t="n"/>
      <c r="D236" s="41" t="n"/>
      <c r="E236" s="42" t="n"/>
      <c r="F236" s="42" t="n"/>
      <c r="G236" s="43">
        <f>IF($B236="","",N($E236)+N($F236))</f>
        <v/>
      </c>
      <c r="H236" s="42" t="n"/>
      <c r="I236" s="43">
        <f>IF($B236="","",N($G236)-N($H236))</f>
        <v/>
      </c>
    </row>
    <row r="237">
      <c r="A237" s="39">
        <f>IF($B237="","",COUNTA($B$4:$B237))</f>
        <v/>
      </c>
      <c r="B237" s="45" t="n"/>
      <c r="C237" s="46" t="n"/>
      <c r="D237" s="46" t="n"/>
      <c r="E237" s="47" t="n"/>
      <c r="F237" s="47" t="n"/>
      <c r="G237" s="43">
        <f>IF($B237="","",N($E237)+N($F237))</f>
        <v/>
      </c>
      <c r="H237" s="47" t="n"/>
      <c r="I237" s="43">
        <f>IF($B237="","",N($G237)-N($H237))</f>
        <v/>
      </c>
    </row>
    <row r="238">
      <c r="A238" s="39">
        <f>IF($B238="","",COUNTA($B$4:$B238))</f>
        <v/>
      </c>
      <c r="B238" s="40" t="n"/>
      <c r="C238" s="41" t="n"/>
      <c r="D238" s="41" t="n"/>
      <c r="E238" s="42" t="n"/>
      <c r="F238" s="42" t="n"/>
      <c r="G238" s="43">
        <f>IF($B238="","",N($E238)+N($F238))</f>
        <v/>
      </c>
      <c r="H238" s="42" t="n"/>
      <c r="I238" s="43">
        <f>IF($B238="","",N($G238)-N($H238))</f>
        <v/>
      </c>
    </row>
    <row r="239">
      <c r="A239" s="39">
        <f>IF($B239="","",COUNTA($B$4:$B239))</f>
        <v/>
      </c>
      <c r="B239" s="45" t="n"/>
      <c r="C239" s="46" t="n"/>
      <c r="D239" s="46" t="n"/>
      <c r="E239" s="47" t="n"/>
      <c r="F239" s="47" t="n"/>
      <c r="G239" s="43">
        <f>IF($B239="","",N($E239)+N($F239))</f>
        <v/>
      </c>
      <c r="H239" s="47" t="n"/>
      <c r="I239" s="43">
        <f>IF($B239="","",N($G239)-N($H239))</f>
        <v/>
      </c>
    </row>
    <row r="240">
      <c r="A240" s="39">
        <f>IF($B240="","",COUNTA($B$4:$B240))</f>
        <v/>
      </c>
      <c r="B240" s="40" t="n"/>
      <c r="C240" s="41" t="n"/>
      <c r="D240" s="41" t="n"/>
      <c r="E240" s="42" t="n"/>
      <c r="F240" s="42" t="n"/>
      <c r="G240" s="43">
        <f>IF($B240="","",N($E240)+N($F240))</f>
        <v/>
      </c>
      <c r="H240" s="42" t="n"/>
      <c r="I240" s="43">
        <f>IF($B240="","",N($G240)-N($H240))</f>
        <v/>
      </c>
    </row>
    <row r="241">
      <c r="A241" s="39">
        <f>IF($B241="","",COUNTA($B$4:$B241))</f>
        <v/>
      </c>
      <c r="B241" s="45" t="n"/>
      <c r="C241" s="46" t="n"/>
      <c r="D241" s="46" t="n"/>
      <c r="E241" s="47" t="n"/>
      <c r="F241" s="47" t="n"/>
      <c r="G241" s="43">
        <f>IF($B241="","",N($E241)+N($F241))</f>
        <v/>
      </c>
      <c r="H241" s="47" t="n"/>
      <c r="I241" s="43">
        <f>IF($B241="","",N($G241)-N($H241))</f>
        <v/>
      </c>
    </row>
    <row r="242">
      <c r="A242" s="39">
        <f>IF($B242="","",COUNTA($B$4:$B242))</f>
        <v/>
      </c>
      <c r="B242" s="40" t="n"/>
      <c r="C242" s="41" t="n"/>
      <c r="D242" s="41" t="n"/>
      <c r="E242" s="42" t="n"/>
      <c r="F242" s="42" t="n"/>
      <c r="G242" s="43">
        <f>IF($B242="","",N($E242)+N($F242))</f>
        <v/>
      </c>
      <c r="H242" s="42" t="n"/>
      <c r="I242" s="43">
        <f>IF($B242="","",N($G242)-N($H242))</f>
        <v/>
      </c>
    </row>
    <row r="243">
      <c r="A243" s="39">
        <f>IF($B243="","",COUNTA($B$4:$B243))</f>
        <v/>
      </c>
      <c r="B243" s="45" t="n"/>
      <c r="C243" s="46" t="n"/>
      <c r="D243" s="46" t="n"/>
      <c r="E243" s="47" t="n"/>
      <c r="F243" s="47" t="n"/>
      <c r="G243" s="43">
        <f>IF($B243="","",N($E243)+N($F243))</f>
        <v/>
      </c>
      <c r="H243" s="47" t="n"/>
      <c r="I243" s="43">
        <f>IF($B243="","",N($G243)-N($H243))</f>
        <v/>
      </c>
    </row>
    <row r="244">
      <c r="A244" s="39">
        <f>IF($B244="","",COUNTA($B$4:$B244))</f>
        <v/>
      </c>
      <c r="B244" s="40" t="n"/>
      <c r="C244" s="41" t="n"/>
      <c r="D244" s="41" t="n"/>
      <c r="E244" s="42" t="n"/>
      <c r="F244" s="42" t="n"/>
      <c r="G244" s="43">
        <f>IF($B244="","",N($E244)+N($F244))</f>
        <v/>
      </c>
      <c r="H244" s="42" t="n"/>
      <c r="I244" s="43">
        <f>IF($B244="","",N($G244)-N($H244))</f>
        <v/>
      </c>
    </row>
    <row r="245">
      <c r="A245" s="39">
        <f>IF($B245="","",COUNTA($B$4:$B245))</f>
        <v/>
      </c>
      <c r="B245" s="45" t="n"/>
      <c r="C245" s="46" t="n"/>
      <c r="D245" s="46" t="n"/>
      <c r="E245" s="47" t="n"/>
      <c r="F245" s="47" t="n"/>
      <c r="G245" s="43">
        <f>IF($B245="","",N($E245)+N($F245))</f>
        <v/>
      </c>
      <c r="H245" s="47" t="n"/>
      <c r="I245" s="43">
        <f>IF($B245="","",N($G245)-N($H245))</f>
        <v/>
      </c>
    </row>
    <row r="246">
      <c r="A246" s="39">
        <f>IF($B246="","",COUNTA($B$4:$B246))</f>
        <v/>
      </c>
      <c r="B246" s="40" t="n"/>
      <c r="C246" s="41" t="n"/>
      <c r="D246" s="41" t="n"/>
      <c r="E246" s="42" t="n"/>
      <c r="F246" s="42" t="n"/>
      <c r="G246" s="43">
        <f>IF($B246="","",N($E246)+N($F246))</f>
        <v/>
      </c>
      <c r="H246" s="42" t="n"/>
      <c r="I246" s="43">
        <f>IF($B246="","",N($G246)-N($H246))</f>
        <v/>
      </c>
    </row>
    <row r="247">
      <c r="A247" s="39">
        <f>IF($B247="","",COUNTA($B$4:$B247))</f>
        <v/>
      </c>
      <c r="B247" s="45" t="n"/>
      <c r="C247" s="46" t="n"/>
      <c r="D247" s="46" t="n"/>
      <c r="E247" s="47" t="n"/>
      <c r="F247" s="47" t="n"/>
      <c r="G247" s="43">
        <f>IF($B247="","",N($E247)+N($F247))</f>
        <v/>
      </c>
      <c r="H247" s="47" t="n"/>
      <c r="I247" s="43">
        <f>IF($B247="","",N($G247)-N($H247))</f>
        <v/>
      </c>
    </row>
    <row r="248">
      <c r="A248" s="39">
        <f>IF($B248="","",COUNTA($B$4:$B248))</f>
        <v/>
      </c>
      <c r="B248" s="40" t="n"/>
      <c r="C248" s="41" t="n"/>
      <c r="D248" s="41" t="n"/>
      <c r="E248" s="42" t="n"/>
      <c r="F248" s="42" t="n"/>
      <c r="G248" s="43">
        <f>IF($B248="","",N($E248)+N($F248))</f>
        <v/>
      </c>
      <c r="H248" s="42" t="n"/>
      <c r="I248" s="43">
        <f>IF($B248="","",N($G248)-N($H248))</f>
        <v/>
      </c>
    </row>
    <row r="249">
      <c r="A249" s="39">
        <f>IF($B249="","",COUNTA($B$4:$B249))</f>
        <v/>
      </c>
      <c r="B249" s="45" t="n"/>
      <c r="C249" s="46" t="n"/>
      <c r="D249" s="46" t="n"/>
      <c r="E249" s="47" t="n"/>
      <c r="F249" s="47" t="n"/>
      <c r="G249" s="43">
        <f>IF($B249="","",N($E249)+N($F249))</f>
        <v/>
      </c>
      <c r="H249" s="47" t="n"/>
      <c r="I249" s="43">
        <f>IF($B249="","",N($G249)-N($H249))</f>
        <v/>
      </c>
    </row>
    <row r="250">
      <c r="A250" s="39">
        <f>IF($B250="","",COUNTA($B$4:$B250))</f>
        <v/>
      </c>
      <c r="B250" s="40" t="n"/>
      <c r="C250" s="41" t="n"/>
      <c r="D250" s="41" t="n"/>
      <c r="E250" s="42" t="n"/>
      <c r="F250" s="42" t="n"/>
      <c r="G250" s="43">
        <f>IF($B250="","",N($E250)+N($F250))</f>
        <v/>
      </c>
      <c r="H250" s="42" t="n"/>
      <c r="I250" s="43">
        <f>IF($B250="","",N($G250)-N($H250))</f>
        <v/>
      </c>
    </row>
    <row r="251">
      <c r="A251" s="39">
        <f>IF($B251="","",COUNTA($B$4:$B251))</f>
        <v/>
      </c>
      <c r="B251" s="45" t="n"/>
      <c r="C251" s="46" t="n"/>
      <c r="D251" s="46" t="n"/>
      <c r="E251" s="47" t="n"/>
      <c r="F251" s="47" t="n"/>
      <c r="G251" s="43">
        <f>IF($B251="","",N($E251)+N($F251))</f>
        <v/>
      </c>
      <c r="H251" s="47" t="n"/>
      <c r="I251" s="43">
        <f>IF($B251="","",N($G251)-N($H251))</f>
        <v/>
      </c>
    </row>
    <row r="252">
      <c r="A252" s="39">
        <f>IF($B252="","",COUNTA($B$4:$B252))</f>
        <v/>
      </c>
      <c r="B252" s="40" t="n"/>
      <c r="C252" s="41" t="n"/>
      <c r="D252" s="41" t="n"/>
      <c r="E252" s="42" t="n"/>
      <c r="F252" s="42" t="n"/>
      <c r="G252" s="43">
        <f>IF($B252="","",N($E252)+N($F252))</f>
        <v/>
      </c>
      <c r="H252" s="42" t="n"/>
      <c r="I252" s="43">
        <f>IF($B252="","",N($G252)-N($H252))</f>
        <v/>
      </c>
    </row>
    <row r="253">
      <c r="A253" s="39">
        <f>IF($B253="","",COUNTA($B$4:$B253))</f>
        <v/>
      </c>
      <c r="B253" s="45" t="n"/>
      <c r="C253" s="46" t="n"/>
      <c r="D253" s="46" t="n"/>
      <c r="E253" s="47" t="n"/>
      <c r="F253" s="47" t="n"/>
      <c r="G253" s="43">
        <f>IF($B253="","",N($E253)+N($F253))</f>
        <v/>
      </c>
      <c r="H253" s="47" t="n"/>
      <c r="I253" s="43">
        <f>IF($B253="","",N($G253)-N($H253))</f>
        <v/>
      </c>
    </row>
    <row r="254">
      <c r="A254" s="39">
        <f>IF($B254="","",COUNTA($B$4:$B254))</f>
        <v/>
      </c>
      <c r="B254" s="40" t="n"/>
      <c r="C254" s="41" t="n"/>
      <c r="D254" s="41" t="n"/>
      <c r="E254" s="42" t="n"/>
      <c r="F254" s="42" t="n"/>
      <c r="G254" s="43">
        <f>IF($B254="","",N($E254)+N($F254))</f>
        <v/>
      </c>
      <c r="H254" s="42" t="n"/>
      <c r="I254" s="43">
        <f>IF($B254="","",N($G254)-N($H254))</f>
        <v/>
      </c>
    </row>
    <row r="255">
      <c r="A255" s="39">
        <f>IF($B255="","",COUNTA($B$4:$B255))</f>
        <v/>
      </c>
      <c r="B255" s="45" t="n"/>
      <c r="C255" s="46" t="n"/>
      <c r="D255" s="46" t="n"/>
      <c r="E255" s="47" t="n"/>
      <c r="F255" s="47" t="n"/>
      <c r="G255" s="43">
        <f>IF($B255="","",N($E255)+N($F255))</f>
        <v/>
      </c>
      <c r="H255" s="47" t="n"/>
      <c r="I255" s="43">
        <f>IF($B255="","",N($G255)-N($H255))</f>
        <v/>
      </c>
    </row>
    <row r="256">
      <c r="A256" s="39">
        <f>IF($B256="","",COUNTA($B$4:$B256))</f>
        <v/>
      </c>
      <c r="B256" s="40" t="n"/>
      <c r="C256" s="41" t="n"/>
      <c r="D256" s="41" t="n"/>
      <c r="E256" s="42" t="n"/>
      <c r="F256" s="42" t="n"/>
      <c r="G256" s="43">
        <f>IF($B256="","",N($E256)+N($F256))</f>
        <v/>
      </c>
      <c r="H256" s="42" t="n"/>
      <c r="I256" s="43">
        <f>IF($B256="","",N($G256)-N($H256))</f>
        <v/>
      </c>
    </row>
    <row r="257">
      <c r="A257" s="39">
        <f>IF($B257="","",COUNTA($B$4:$B257))</f>
        <v/>
      </c>
      <c r="B257" s="45" t="n"/>
      <c r="C257" s="46" t="n"/>
      <c r="D257" s="46" t="n"/>
      <c r="E257" s="47" t="n"/>
      <c r="F257" s="47" t="n"/>
      <c r="G257" s="43">
        <f>IF($B257="","",N($E257)+N($F257))</f>
        <v/>
      </c>
      <c r="H257" s="47" t="n"/>
      <c r="I257" s="43">
        <f>IF($B257="","",N($G257)-N($H257))</f>
        <v/>
      </c>
    </row>
    <row r="258">
      <c r="A258" s="39">
        <f>IF($B258="","",COUNTA($B$4:$B258))</f>
        <v/>
      </c>
      <c r="B258" s="40" t="n"/>
      <c r="C258" s="41" t="n"/>
      <c r="D258" s="41" t="n"/>
      <c r="E258" s="42" t="n"/>
      <c r="F258" s="42" t="n"/>
      <c r="G258" s="43">
        <f>IF($B258="","",N($E258)+N($F258))</f>
        <v/>
      </c>
      <c r="H258" s="42" t="n"/>
      <c r="I258" s="43">
        <f>IF($B258="","",N($G258)-N($H258))</f>
        <v/>
      </c>
    </row>
    <row r="259">
      <c r="A259" s="39">
        <f>IF($B259="","",COUNTA($B$4:$B259))</f>
        <v/>
      </c>
      <c r="B259" s="45" t="n"/>
      <c r="C259" s="46" t="n"/>
      <c r="D259" s="46" t="n"/>
      <c r="E259" s="47" t="n"/>
      <c r="F259" s="47" t="n"/>
      <c r="G259" s="43">
        <f>IF($B259="","",N($E259)+N($F259))</f>
        <v/>
      </c>
      <c r="H259" s="47" t="n"/>
      <c r="I259" s="43">
        <f>IF($B259="","",N($G259)-N($H259))</f>
        <v/>
      </c>
    </row>
    <row r="260">
      <c r="A260" s="39">
        <f>IF($B260="","",COUNTA($B$4:$B260))</f>
        <v/>
      </c>
      <c r="B260" s="40" t="n"/>
      <c r="C260" s="41" t="n"/>
      <c r="D260" s="41" t="n"/>
      <c r="E260" s="42" t="n"/>
      <c r="F260" s="42" t="n"/>
      <c r="G260" s="43">
        <f>IF($B260="","",N($E260)+N($F260))</f>
        <v/>
      </c>
      <c r="H260" s="42" t="n"/>
      <c r="I260" s="43">
        <f>IF($B260="","",N($G260)-N($H260))</f>
        <v/>
      </c>
    </row>
    <row r="261">
      <c r="A261" s="39">
        <f>IF($B261="","",COUNTA($B$4:$B261))</f>
        <v/>
      </c>
      <c r="B261" s="45" t="n"/>
      <c r="C261" s="46" t="n"/>
      <c r="D261" s="46" t="n"/>
      <c r="E261" s="47" t="n"/>
      <c r="F261" s="47" t="n"/>
      <c r="G261" s="43">
        <f>IF($B261="","",N($E261)+N($F261))</f>
        <v/>
      </c>
      <c r="H261" s="47" t="n"/>
      <c r="I261" s="43">
        <f>IF($B261="","",N($G261)-N($H261))</f>
        <v/>
      </c>
    </row>
    <row r="262">
      <c r="A262" s="39">
        <f>IF($B262="","",COUNTA($B$4:$B262))</f>
        <v/>
      </c>
      <c r="B262" s="40" t="n"/>
      <c r="C262" s="41" t="n"/>
      <c r="D262" s="41" t="n"/>
      <c r="E262" s="42" t="n"/>
      <c r="F262" s="42" t="n"/>
      <c r="G262" s="43">
        <f>IF($B262="","",N($E262)+N($F262))</f>
        <v/>
      </c>
      <c r="H262" s="42" t="n"/>
      <c r="I262" s="43">
        <f>IF($B262="","",N($G262)-N($H262))</f>
        <v/>
      </c>
    </row>
    <row r="263">
      <c r="A263" s="39">
        <f>IF($B263="","",COUNTA($B$4:$B263))</f>
        <v/>
      </c>
      <c r="B263" s="45" t="n"/>
      <c r="C263" s="46" t="n"/>
      <c r="D263" s="46" t="n"/>
      <c r="E263" s="47" t="n"/>
      <c r="F263" s="47" t="n"/>
      <c r="G263" s="43">
        <f>IF($B263="","",N($E263)+N($F263))</f>
        <v/>
      </c>
      <c r="H263" s="47" t="n"/>
      <c r="I263" s="43">
        <f>IF($B263="","",N($G263)-N($H263))</f>
        <v/>
      </c>
    </row>
    <row r="264">
      <c r="A264" s="39">
        <f>IF($B264="","",COUNTA($B$4:$B264))</f>
        <v/>
      </c>
      <c r="B264" s="40" t="n"/>
      <c r="C264" s="41" t="n"/>
      <c r="D264" s="41" t="n"/>
      <c r="E264" s="42" t="n"/>
      <c r="F264" s="42" t="n"/>
      <c r="G264" s="43">
        <f>IF($B264="","",N($E264)+N($F264))</f>
        <v/>
      </c>
      <c r="H264" s="42" t="n"/>
      <c r="I264" s="43">
        <f>IF($B264="","",N($G264)-N($H264))</f>
        <v/>
      </c>
    </row>
    <row r="265">
      <c r="A265" s="39">
        <f>IF($B265="","",COUNTA($B$4:$B265))</f>
        <v/>
      </c>
      <c r="B265" s="45" t="n"/>
      <c r="C265" s="46" t="n"/>
      <c r="D265" s="46" t="n"/>
      <c r="E265" s="47" t="n"/>
      <c r="F265" s="47" t="n"/>
      <c r="G265" s="43">
        <f>IF($B265="","",N($E265)+N($F265))</f>
        <v/>
      </c>
      <c r="H265" s="47" t="n"/>
      <c r="I265" s="43">
        <f>IF($B265="","",N($G265)-N($H265))</f>
        <v/>
      </c>
    </row>
    <row r="266">
      <c r="A266" s="39">
        <f>IF($B266="","",COUNTA($B$4:$B266))</f>
        <v/>
      </c>
      <c r="B266" s="40" t="n"/>
      <c r="C266" s="41" t="n"/>
      <c r="D266" s="41" t="n"/>
      <c r="E266" s="42" t="n"/>
      <c r="F266" s="42" t="n"/>
      <c r="G266" s="43">
        <f>IF($B266="","",N($E266)+N($F266))</f>
        <v/>
      </c>
      <c r="H266" s="42" t="n"/>
      <c r="I266" s="43">
        <f>IF($B266="","",N($G266)-N($H266))</f>
        <v/>
      </c>
    </row>
    <row r="267">
      <c r="A267" s="39">
        <f>IF($B267="","",COUNTA($B$4:$B267))</f>
        <v/>
      </c>
      <c r="B267" s="45" t="n"/>
      <c r="C267" s="46" t="n"/>
      <c r="D267" s="46" t="n"/>
      <c r="E267" s="47" t="n"/>
      <c r="F267" s="47" t="n"/>
      <c r="G267" s="43">
        <f>IF($B267="","",N($E267)+N($F267))</f>
        <v/>
      </c>
      <c r="H267" s="47" t="n"/>
      <c r="I267" s="43">
        <f>IF($B267="","",N($G267)-N($H267))</f>
        <v/>
      </c>
    </row>
    <row r="268">
      <c r="A268" s="39">
        <f>IF($B268="","",COUNTA($B$4:$B268))</f>
        <v/>
      </c>
      <c r="B268" s="40" t="n"/>
      <c r="C268" s="41" t="n"/>
      <c r="D268" s="41" t="n"/>
      <c r="E268" s="42" t="n"/>
      <c r="F268" s="42" t="n"/>
      <c r="G268" s="43">
        <f>IF($B268="","",N($E268)+N($F268))</f>
        <v/>
      </c>
      <c r="H268" s="42" t="n"/>
      <c r="I268" s="43">
        <f>IF($B268="","",N($G268)-N($H268))</f>
        <v/>
      </c>
    </row>
    <row r="269">
      <c r="A269" s="39">
        <f>IF($B269="","",COUNTA($B$4:$B269))</f>
        <v/>
      </c>
      <c r="B269" s="45" t="n"/>
      <c r="C269" s="46" t="n"/>
      <c r="D269" s="46" t="n"/>
      <c r="E269" s="47" t="n"/>
      <c r="F269" s="47" t="n"/>
      <c r="G269" s="43">
        <f>IF($B269="","",N($E269)+N($F269))</f>
        <v/>
      </c>
      <c r="H269" s="47" t="n"/>
      <c r="I269" s="43">
        <f>IF($B269="","",N($G269)-N($H269))</f>
        <v/>
      </c>
    </row>
    <row r="270">
      <c r="A270" s="39">
        <f>IF($B270="","",COUNTA($B$4:$B270))</f>
        <v/>
      </c>
      <c r="B270" s="40" t="n"/>
      <c r="C270" s="41" t="n"/>
      <c r="D270" s="41" t="n"/>
      <c r="E270" s="42" t="n"/>
      <c r="F270" s="42" t="n"/>
      <c r="G270" s="43">
        <f>IF($B270="","",N($E270)+N($F270))</f>
        <v/>
      </c>
      <c r="H270" s="42" t="n"/>
      <c r="I270" s="43">
        <f>IF($B270="","",N($G270)-N($H270))</f>
        <v/>
      </c>
    </row>
    <row r="271">
      <c r="A271" s="39">
        <f>IF($B271="","",COUNTA($B$4:$B271))</f>
        <v/>
      </c>
      <c r="B271" s="45" t="n"/>
      <c r="C271" s="46" t="n"/>
      <c r="D271" s="46" t="n"/>
      <c r="E271" s="47" t="n"/>
      <c r="F271" s="47" t="n"/>
      <c r="G271" s="43">
        <f>IF($B271="","",N($E271)+N($F271))</f>
        <v/>
      </c>
      <c r="H271" s="47" t="n"/>
      <c r="I271" s="43">
        <f>IF($B271="","",N($G271)-N($H271))</f>
        <v/>
      </c>
    </row>
    <row r="272">
      <c r="A272" s="39">
        <f>IF($B272="","",COUNTA($B$4:$B272))</f>
        <v/>
      </c>
      <c r="B272" s="40" t="n"/>
      <c r="C272" s="41" t="n"/>
      <c r="D272" s="41" t="n"/>
      <c r="E272" s="42" t="n"/>
      <c r="F272" s="42" t="n"/>
      <c r="G272" s="43">
        <f>IF($B272="","",N($E272)+N($F272))</f>
        <v/>
      </c>
      <c r="H272" s="42" t="n"/>
      <c r="I272" s="43">
        <f>IF($B272="","",N($G272)-N($H272))</f>
        <v/>
      </c>
    </row>
    <row r="273">
      <c r="A273" s="39">
        <f>IF($B273="","",COUNTA($B$4:$B273))</f>
        <v/>
      </c>
      <c r="B273" s="45" t="n"/>
      <c r="C273" s="46" t="n"/>
      <c r="D273" s="46" t="n"/>
      <c r="E273" s="47" t="n"/>
      <c r="F273" s="47" t="n"/>
      <c r="G273" s="43">
        <f>IF($B273="","",N($E273)+N($F273))</f>
        <v/>
      </c>
      <c r="H273" s="47" t="n"/>
      <c r="I273" s="43">
        <f>IF($B273="","",N($G273)-N($H273))</f>
        <v/>
      </c>
    </row>
    <row r="274">
      <c r="A274" s="39">
        <f>IF($B274="","",COUNTA($B$4:$B274))</f>
        <v/>
      </c>
      <c r="B274" s="40" t="n"/>
      <c r="C274" s="41" t="n"/>
      <c r="D274" s="41" t="n"/>
      <c r="E274" s="42" t="n"/>
      <c r="F274" s="42" t="n"/>
      <c r="G274" s="43">
        <f>IF($B274="","",N($E274)+N($F274))</f>
        <v/>
      </c>
      <c r="H274" s="42" t="n"/>
      <c r="I274" s="43">
        <f>IF($B274="","",N($G274)-N($H274))</f>
        <v/>
      </c>
    </row>
    <row r="275">
      <c r="A275" s="39">
        <f>IF($B275="","",COUNTA($B$4:$B275))</f>
        <v/>
      </c>
      <c r="B275" s="45" t="n"/>
      <c r="C275" s="46" t="n"/>
      <c r="D275" s="46" t="n"/>
      <c r="E275" s="47" t="n"/>
      <c r="F275" s="47" t="n"/>
      <c r="G275" s="43">
        <f>IF($B275="","",N($E275)+N($F275))</f>
        <v/>
      </c>
      <c r="H275" s="47" t="n"/>
      <c r="I275" s="43">
        <f>IF($B275="","",N($G275)-N($H275))</f>
        <v/>
      </c>
    </row>
    <row r="276">
      <c r="A276" s="39">
        <f>IF($B276="","",COUNTA($B$4:$B276))</f>
        <v/>
      </c>
      <c r="B276" s="40" t="n"/>
      <c r="C276" s="41" t="n"/>
      <c r="D276" s="41" t="n"/>
      <c r="E276" s="42" t="n"/>
      <c r="F276" s="42" t="n"/>
      <c r="G276" s="43">
        <f>IF($B276="","",N($E276)+N($F276))</f>
        <v/>
      </c>
      <c r="H276" s="42" t="n"/>
      <c r="I276" s="43">
        <f>IF($B276="","",N($G276)-N($H276))</f>
        <v/>
      </c>
    </row>
    <row r="277">
      <c r="A277" s="39">
        <f>IF($B277="","",COUNTA($B$4:$B277))</f>
        <v/>
      </c>
      <c r="B277" s="45" t="n"/>
      <c r="C277" s="46" t="n"/>
      <c r="D277" s="46" t="n"/>
      <c r="E277" s="47" t="n"/>
      <c r="F277" s="47" t="n"/>
      <c r="G277" s="43">
        <f>IF($B277="","",N($E277)+N($F277))</f>
        <v/>
      </c>
      <c r="H277" s="47" t="n"/>
      <c r="I277" s="43">
        <f>IF($B277="","",N($G277)-N($H277))</f>
        <v/>
      </c>
    </row>
    <row r="278">
      <c r="A278" s="39">
        <f>IF($B278="","",COUNTA($B$4:$B278))</f>
        <v/>
      </c>
      <c r="B278" s="40" t="n"/>
      <c r="C278" s="41" t="n"/>
      <c r="D278" s="41" t="n"/>
      <c r="E278" s="42" t="n"/>
      <c r="F278" s="42" t="n"/>
      <c r="G278" s="43">
        <f>IF($B278="","",N($E278)+N($F278))</f>
        <v/>
      </c>
      <c r="H278" s="42" t="n"/>
      <c r="I278" s="43">
        <f>IF($B278="","",N($G278)-N($H278))</f>
        <v/>
      </c>
    </row>
    <row r="279">
      <c r="A279" s="39">
        <f>IF($B279="","",COUNTA($B$4:$B279))</f>
        <v/>
      </c>
      <c r="B279" s="45" t="n"/>
      <c r="C279" s="46" t="n"/>
      <c r="D279" s="46" t="n"/>
      <c r="E279" s="47" t="n"/>
      <c r="F279" s="47" t="n"/>
      <c r="G279" s="43">
        <f>IF($B279="","",N($E279)+N($F279))</f>
        <v/>
      </c>
      <c r="H279" s="47" t="n"/>
      <c r="I279" s="43">
        <f>IF($B279="","",N($G279)-N($H279))</f>
        <v/>
      </c>
    </row>
    <row r="280">
      <c r="A280" s="39">
        <f>IF($B280="","",COUNTA($B$4:$B280))</f>
        <v/>
      </c>
      <c r="B280" s="40" t="n"/>
      <c r="C280" s="41" t="n"/>
      <c r="D280" s="41" t="n"/>
      <c r="E280" s="42" t="n"/>
      <c r="F280" s="42" t="n"/>
      <c r="G280" s="43">
        <f>IF($B280="","",N($E280)+N($F280))</f>
        <v/>
      </c>
      <c r="H280" s="42" t="n"/>
      <c r="I280" s="43">
        <f>IF($B280="","",N($G280)-N($H280))</f>
        <v/>
      </c>
    </row>
    <row r="281">
      <c r="A281" s="39">
        <f>IF($B281="","",COUNTA($B$4:$B281))</f>
        <v/>
      </c>
      <c r="B281" s="45" t="n"/>
      <c r="C281" s="46" t="n"/>
      <c r="D281" s="46" t="n"/>
      <c r="E281" s="47" t="n"/>
      <c r="F281" s="47" t="n"/>
      <c r="G281" s="43">
        <f>IF($B281="","",N($E281)+N($F281))</f>
        <v/>
      </c>
      <c r="H281" s="47" t="n"/>
      <c r="I281" s="43">
        <f>IF($B281="","",N($G281)-N($H281))</f>
        <v/>
      </c>
    </row>
    <row r="282">
      <c r="A282" s="39">
        <f>IF($B282="","",COUNTA($B$4:$B282))</f>
        <v/>
      </c>
      <c r="B282" s="40" t="n"/>
      <c r="C282" s="41" t="n"/>
      <c r="D282" s="41" t="n"/>
      <c r="E282" s="42" t="n"/>
      <c r="F282" s="42" t="n"/>
      <c r="G282" s="43">
        <f>IF($B282="","",N($E282)+N($F282))</f>
        <v/>
      </c>
      <c r="H282" s="42" t="n"/>
      <c r="I282" s="43">
        <f>IF($B282="","",N($G282)-N($H282))</f>
        <v/>
      </c>
    </row>
    <row r="283">
      <c r="A283" s="39">
        <f>IF($B283="","",COUNTA($B$4:$B283))</f>
        <v/>
      </c>
      <c r="B283" s="45" t="n"/>
      <c r="C283" s="46" t="n"/>
      <c r="D283" s="46" t="n"/>
      <c r="E283" s="47" t="n"/>
      <c r="F283" s="47" t="n"/>
      <c r="G283" s="43">
        <f>IF($B283="","",N($E283)+N($F283))</f>
        <v/>
      </c>
      <c r="H283" s="47" t="n"/>
      <c r="I283" s="43">
        <f>IF($B283="","",N($G283)-N($H283))</f>
        <v/>
      </c>
    </row>
    <row r="284">
      <c r="A284" s="39">
        <f>IF($B284="","",COUNTA($B$4:$B284))</f>
        <v/>
      </c>
      <c r="B284" s="40" t="n"/>
      <c r="C284" s="41" t="n"/>
      <c r="D284" s="41" t="n"/>
      <c r="E284" s="42" t="n"/>
      <c r="F284" s="42" t="n"/>
      <c r="G284" s="43">
        <f>IF($B284="","",N($E284)+N($F284))</f>
        <v/>
      </c>
      <c r="H284" s="42" t="n"/>
      <c r="I284" s="43">
        <f>IF($B284="","",N($G284)-N($H284))</f>
        <v/>
      </c>
    </row>
    <row r="285">
      <c r="A285" s="39">
        <f>IF($B285="","",COUNTA($B$4:$B285))</f>
        <v/>
      </c>
      <c r="B285" s="45" t="n"/>
      <c r="C285" s="46" t="n"/>
      <c r="D285" s="46" t="n"/>
      <c r="E285" s="47" t="n"/>
      <c r="F285" s="47" t="n"/>
      <c r="G285" s="43">
        <f>IF($B285="","",N($E285)+N($F285))</f>
        <v/>
      </c>
      <c r="H285" s="47" t="n"/>
      <c r="I285" s="43">
        <f>IF($B285="","",N($G285)-N($H285))</f>
        <v/>
      </c>
    </row>
    <row r="286">
      <c r="A286" s="39">
        <f>IF($B286="","",COUNTA($B$4:$B286))</f>
        <v/>
      </c>
      <c r="B286" s="40" t="n"/>
      <c r="C286" s="41" t="n"/>
      <c r="D286" s="41" t="n"/>
      <c r="E286" s="42" t="n"/>
      <c r="F286" s="42" t="n"/>
      <c r="G286" s="43">
        <f>IF($B286="","",N($E286)+N($F286))</f>
        <v/>
      </c>
      <c r="H286" s="42" t="n"/>
      <c r="I286" s="43">
        <f>IF($B286="","",N($G286)-N($H286))</f>
        <v/>
      </c>
    </row>
    <row r="287">
      <c r="A287" s="39">
        <f>IF($B287="","",COUNTA($B$4:$B287))</f>
        <v/>
      </c>
      <c r="B287" s="45" t="n"/>
      <c r="C287" s="46" t="n"/>
      <c r="D287" s="46" t="n"/>
      <c r="E287" s="47" t="n"/>
      <c r="F287" s="47" t="n"/>
      <c r="G287" s="43">
        <f>IF($B287="","",N($E287)+N($F287))</f>
        <v/>
      </c>
      <c r="H287" s="47" t="n"/>
      <c r="I287" s="43">
        <f>IF($B287="","",N($G287)-N($H287))</f>
        <v/>
      </c>
    </row>
    <row r="288">
      <c r="A288" s="39">
        <f>IF($B288="","",COUNTA($B$4:$B288))</f>
        <v/>
      </c>
      <c r="B288" s="40" t="n"/>
      <c r="C288" s="41" t="n"/>
      <c r="D288" s="41" t="n"/>
      <c r="E288" s="42" t="n"/>
      <c r="F288" s="42" t="n"/>
      <c r="G288" s="43">
        <f>IF($B288="","",N($E288)+N($F288))</f>
        <v/>
      </c>
      <c r="H288" s="42" t="n"/>
      <c r="I288" s="43">
        <f>IF($B288="","",N($G288)-N($H288))</f>
        <v/>
      </c>
    </row>
    <row r="289">
      <c r="A289" s="39">
        <f>IF($B289="","",COUNTA($B$4:$B289))</f>
        <v/>
      </c>
      <c r="B289" s="45" t="n"/>
      <c r="C289" s="46" t="n"/>
      <c r="D289" s="46" t="n"/>
      <c r="E289" s="47" t="n"/>
      <c r="F289" s="47" t="n"/>
      <c r="G289" s="43">
        <f>IF($B289="","",N($E289)+N($F289))</f>
        <v/>
      </c>
      <c r="H289" s="47" t="n"/>
      <c r="I289" s="43">
        <f>IF($B289="","",N($G289)-N($H289))</f>
        <v/>
      </c>
    </row>
    <row r="290">
      <c r="A290" s="39">
        <f>IF($B290="","",COUNTA($B$4:$B290))</f>
        <v/>
      </c>
      <c r="B290" s="40" t="n"/>
      <c r="C290" s="41" t="n"/>
      <c r="D290" s="41" t="n"/>
      <c r="E290" s="42" t="n"/>
      <c r="F290" s="42" t="n"/>
      <c r="G290" s="43">
        <f>IF($B290="","",N($E290)+N($F290))</f>
        <v/>
      </c>
      <c r="H290" s="42" t="n"/>
      <c r="I290" s="43">
        <f>IF($B290="","",N($G290)-N($H290))</f>
        <v/>
      </c>
    </row>
    <row r="291">
      <c r="A291" s="39">
        <f>IF($B291="","",COUNTA($B$4:$B291))</f>
        <v/>
      </c>
      <c r="B291" s="45" t="n"/>
      <c r="C291" s="46" t="n"/>
      <c r="D291" s="46" t="n"/>
      <c r="E291" s="47" t="n"/>
      <c r="F291" s="47" t="n"/>
      <c r="G291" s="43">
        <f>IF($B291="","",N($E291)+N($F291))</f>
        <v/>
      </c>
      <c r="H291" s="47" t="n"/>
      <c r="I291" s="43">
        <f>IF($B291="","",N($G291)-N($H291))</f>
        <v/>
      </c>
    </row>
    <row r="292">
      <c r="A292" s="39">
        <f>IF($B292="","",COUNTA($B$4:$B292))</f>
        <v/>
      </c>
      <c r="B292" s="40" t="n"/>
      <c r="C292" s="41" t="n"/>
      <c r="D292" s="41" t="n"/>
      <c r="E292" s="42" t="n"/>
      <c r="F292" s="42" t="n"/>
      <c r="G292" s="43">
        <f>IF($B292="","",N($E292)+N($F292))</f>
        <v/>
      </c>
      <c r="H292" s="42" t="n"/>
      <c r="I292" s="43">
        <f>IF($B292="","",N($G292)-N($H292))</f>
        <v/>
      </c>
    </row>
    <row r="293">
      <c r="A293" s="39">
        <f>IF($B293="","",COUNTA($B$4:$B293))</f>
        <v/>
      </c>
      <c r="B293" s="45" t="n"/>
      <c r="C293" s="46" t="n"/>
      <c r="D293" s="46" t="n"/>
      <c r="E293" s="47" t="n"/>
      <c r="F293" s="47" t="n"/>
      <c r="G293" s="43">
        <f>IF($B293="","",N($E293)+N($F293))</f>
        <v/>
      </c>
      <c r="H293" s="47" t="n"/>
      <c r="I293" s="43">
        <f>IF($B293="","",N($G293)-N($H293))</f>
        <v/>
      </c>
    </row>
    <row r="294">
      <c r="A294" s="39">
        <f>IF($B294="","",COUNTA($B$4:$B294))</f>
        <v/>
      </c>
      <c r="B294" s="40" t="n"/>
      <c r="C294" s="41" t="n"/>
      <c r="D294" s="41" t="n"/>
      <c r="E294" s="42" t="n"/>
      <c r="F294" s="42" t="n"/>
      <c r="G294" s="43">
        <f>IF($B294="","",N($E294)+N($F294))</f>
        <v/>
      </c>
      <c r="H294" s="42" t="n"/>
      <c r="I294" s="43">
        <f>IF($B294="","",N($G294)-N($H294))</f>
        <v/>
      </c>
    </row>
    <row r="295">
      <c r="A295" s="39">
        <f>IF($B295="","",COUNTA($B$4:$B295))</f>
        <v/>
      </c>
      <c r="B295" s="45" t="n"/>
      <c r="C295" s="46" t="n"/>
      <c r="D295" s="46" t="n"/>
      <c r="E295" s="47" t="n"/>
      <c r="F295" s="47" t="n"/>
      <c r="G295" s="43">
        <f>IF($B295="","",N($E295)+N($F295))</f>
        <v/>
      </c>
      <c r="H295" s="47" t="n"/>
      <c r="I295" s="43">
        <f>IF($B295="","",N($G295)-N($H295))</f>
        <v/>
      </c>
    </row>
    <row r="296">
      <c r="A296" s="39">
        <f>IF($B296="","",COUNTA($B$4:$B296))</f>
        <v/>
      </c>
      <c r="B296" s="40" t="n"/>
      <c r="C296" s="41" t="n"/>
      <c r="D296" s="41" t="n"/>
      <c r="E296" s="42" t="n"/>
      <c r="F296" s="42" t="n"/>
      <c r="G296" s="43">
        <f>IF($B296="","",N($E296)+N($F296))</f>
        <v/>
      </c>
      <c r="H296" s="42" t="n"/>
      <c r="I296" s="43">
        <f>IF($B296="","",N($G296)-N($H296))</f>
        <v/>
      </c>
    </row>
    <row r="297">
      <c r="A297" s="39">
        <f>IF($B297="","",COUNTA($B$4:$B297))</f>
        <v/>
      </c>
      <c r="B297" s="45" t="n"/>
      <c r="C297" s="46" t="n"/>
      <c r="D297" s="46" t="n"/>
      <c r="E297" s="47" t="n"/>
      <c r="F297" s="47" t="n"/>
      <c r="G297" s="43">
        <f>IF($B297="","",N($E297)+N($F297))</f>
        <v/>
      </c>
      <c r="H297" s="47" t="n"/>
      <c r="I297" s="43">
        <f>IF($B297="","",N($G297)-N($H297))</f>
        <v/>
      </c>
    </row>
    <row r="298">
      <c r="A298" s="39">
        <f>IF($B298="","",COUNTA($B$4:$B298))</f>
        <v/>
      </c>
      <c r="B298" s="40" t="n"/>
      <c r="C298" s="41" t="n"/>
      <c r="D298" s="41" t="n"/>
      <c r="E298" s="42" t="n"/>
      <c r="F298" s="42" t="n"/>
      <c r="G298" s="43">
        <f>IF($B298="","",N($E298)+N($F298))</f>
        <v/>
      </c>
      <c r="H298" s="42" t="n"/>
      <c r="I298" s="43">
        <f>IF($B298="","",N($G298)-N($H298))</f>
        <v/>
      </c>
    </row>
    <row r="299">
      <c r="A299" s="39">
        <f>IF($B299="","",COUNTA($B$4:$B299))</f>
        <v/>
      </c>
      <c r="B299" s="45" t="n"/>
      <c r="C299" s="46" t="n"/>
      <c r="D299" s="46" t="n"/>
      <c r="E299" s="47" t="n"/>
      <c r="F299" s="47" t="n"/>
      <c r="G299" s="43">
        <f>IF($B299="","",N($E299)+N($F299))</f>
        <v/>
      </c>
      <c r="H299" s="47" t="n"/>
      <c r="I299" s="43">
        <f>IF($B299="","",N($G299)-N($H299))</f>
        <v/>
      </c>
    </row>
    <row r="300">
      <c r="A300" s="39">
        <f>IF($B300="","",COUNTA($B$4:$B300))</f>
        <v/>
      </c>
      <c r="B300" s="40" t="n"/>
      <c r="C300" s="41" t="n"/>
      <c r="D300" s="41" t="n"/>
      <c r="E300" s="42" t="n"/>
      <c r="F300" s="42" t="n"/>
      <c r="G300" s="43">
        <f>IF($B300="","",N($E300)+N($F300))</f>
        <v/>
      </c>
      <c r="H300" s="42" t="n"/>
      <c r="I300" s="43">
        <f>IF($B300="","",N($G300)-N($H300))</f>
        <v/>
      </c>
    </row>
    <row r="301">
      <c r="A301" s="39">
        <f>IF($B301="","",COUNTA($B$4:$B301))</f>
        <v/>
      </c>
      <c r="B301" s="45" t="n"/>
      <c r="C301" s="46" t="n"/>
      <c r="D301" s="46" t="n"/>
      <c r="E301" s="47" t="n"/>
      <c r="F301" s="47" t="n"/>
      <c r="G301" s="43">
        <f>IF($B301="","",N($E301)+N($F301))</f>
        <v/>
      </c>
      <c r="H301" s="47" t="n"/>
      <c r="I301" s="43">
        <f>IF($B301="","",N($G301)-N($H301))</f>
        <v/>
      </c>
    </row>
    <row r="302">
      <c r="A302" s="39">
        <f>IF($B302="","",COUNTA($B$4:$B302))</f>
        <v/>
      </c>
      <c r="B302" s="40" t="n"/>
      <c r="C302" s="41" t="n"/>
      <c r="D302" s="41" t="n"/>
      <c r="E302" s="42" t="n"/>
      <c r="F302" s="42" t="n"/>
      <c r="G302" s="43">
        <f>IF($B302="","",N($E302)+N($F302))</f>
        <v/>
      </c>
      <c r="H302" s="42" t="n"/>
      <c r="I302" s="43">
        <f>IF($B302="","",N($G302)-N($H302))</f>
        <v/>
      </c>
    </row>
    <row r="303">
      <c r="A303" s="39">
        <f>IF($B303="","",COUNTA($B$4:$B303))</f>
        <v/>
      </c>
      <c r="B303" s="45" t="n"/>
      <c r="C303" s="46" t="n"/>
      <c r="D303" s="46" t="n"/>
      <c r="E303" s="47" t="n"/>
      <c r="F303" s="47" t="n"/>
      <c r="G303" s="43">
        <f>IF($B303="","",N($E303)+N($F303))</f>
        <v/>
      </c>
      <c r="H303" s="47" t="n"/>
      <c r="I303" s="43">
        <f>IF($B303="","",N($G303)-N($H303))</f>
        <v/>
      </c>
    </row>
    <row r="304">
      <c r="A304" s="39">
        <f>IF($B304="","",COUNTA($B$4:$B304))</f>
        <v/>
      </c>
      <c r="B304" s="40" t="n"/>
      <c r="C304" s="41" t="n"/>
      <c r="D304" s="41" t="n"/>
      <c r="E304" s="42" t="n"/>
      <c r="F304" s="42" t="n"/>
      <c r="G304" s="43">
        <f>IF($B304="","",N($E304)+N($F304))</f>
        <v/>
      </c>
      <c r="H304" s="42" t="n"/>
      <c r="I304" s="43">
        <f>IF($B304="","",N($G304)-N($H304))</f>
        <v/>
      </c>
    </row>
    <row r="305">
      <c r="A305" s="39">
        <f>IF($B305="","",COUNTA($B$4:$B305))</f>
        <v/>
      </c>
      <c r="B305" s="45" t="n"/>
      <c r="C305" s="46" t="n"/>
      <c r="D305" s="46" t="n"/>
      <c r="E305" s="47" t="n"/>
      <c r="F305" s="47" t="n"/>
      <c r="G305" s="43">
        <f>IF($B305="","",N($E305)+N($F305))</f>
        <v/>
      </c>
      <c r="H305" s="47" t="n"/>
      <c r="I305" s="43">
        <f>IF($B305="","",N($G305)-N($H305))</f>
        <v/>
      </c>
    </row>
    <row r="306">
      <c r="A306" s="39">
        <f>IF($B306="","",COUNTA($B$4:$B306))</f>
        <v/>
      </c>
      <c r="B306" s="40" t="n"/>
      <c r="C306" s="41" t="n"/>
      <c r="D306" s="41" t="n"/>
      <c r="E306" s="42" t="n"/>
      <c r="F306" s="42" t="n"/>
      <c r="G306" s="43">
        <f>IF($B306="","",N($E306)+N($F306))</f>
        <v/>
      </c>
      <c r="H306" s="42" t="n"/>
      <c r="I306" s="43">
        <f>IF($B306="","",N($G306)-N($H306))</f>
        <v/>
      </c>
    </row>
    <row r="307">
      <c r="A307" s="39">
        <f>IF($B307="","",COUNTA($B$4:$B307))</f>
        <v/>
      </c>
      <c r="B307" s="45" t="n"/>
      <c r="C307" s="46" t="n"/>
      <c r="D307" s="46" t="n"/>
      <c r="E307" s="47" t="n"/>
      <c r="F307" s="47" t="n"/>
      <c r="G307" s="43">
        <f>IF($B307="","",N($E307)+N($F307))</f>
        <v/>
      </c>
      <c r="H307" s="47" t="n"/>
      <c r="I307" s="43">
        <f>IF($B307="","",N($G307)-N($H307))</f>
        <v/>
      </c>
    </row>
    <row r="308">
      <c r="A308" s="39">
        <f>IF($B308="","",COUNTA($B$4:$B308))</f>
        <v/>
      </c>
      <c r="B308" s="40" t="n"/>
      <c r="C308" s="41" t="n"/>
      <c r="D308" s="41" t="n"/>
      <c r="E308" s="42" t="n"/>
      <c r="F308" s="42" t="n"/>
      <c r="G308" s="43">
        <f>IF($B308="","",N($E308)+N($F308))</f>
        <v/>
      </c>
      <c r="H308" s="42" t="n"/>
      <c r="I308" s="43">
        <f>IF($B308="","",N($G308)-N($H308))</f>
        <v/>
      </c>
    </row>
    <row r="309">
      <c r="A309" s="39">
        <f>IF($B309="","",COUNTA($B$4:$B309))</f>
        <v/>
      </c>
      <c r="B309" s="45" t="n"/>
      <c r="C309" s="46" t="n"/>
      <c r="D309" s="46" t="n"/>
      <c r="E309" s="47" t="n"/>
      <c r="F309" s="47" t="n"/>
      <c r="G309" s="43">
        <f>IF($B309="","",N($E309)+N($F309))</f>
        <v/>
      </c>
      <c r="H309" s="47" t="n"/>
      <c r="I309" s="43">
        <f>IF($B309="","",N($G309)-N($H309))</f>
        <v/>
      </c>
    </row>
    <row r="310">
      <c r="A310" s="39">
        <f>IF($B310="","",COUNTA($B$4:$B310))</f>
        <v/>
      </c>
      <c r="B310" s="40" t="n"/>
      <c r="C310" s="41" t="n"/>
      <c r="D310" s="41" t="n"/>
      <c r="E310" s="42" t="n"/>
      <c r="F310" s="42" t="n"/>
      <c r="G310" s="43">
        <f>IF($B310="","",N($E310)+N($F310))</f>
        <v/>
      </c>
      <c r="H310" s="42" t="n"/>
      <c r="I310" s="43">
        <f>IF($B310="","",N($G310)-N($H310))</f>
        <v/>
      </c>
    </row>
    <row r="311">
      <c r="A311" s="39">
        <f>IF($B311="","",COUNTA($B$4:$B311))</f>
        <v/>
      </c>
      <c r="B311" s="45" t="n"/>
      <c r="C311" s="46" t="n"/>
      <c r="D311" s="46" t="n"/>
      <c r="E311" s="47" t="n"/>
      <c r="F311" s="47" t="n"/>
      <c r="G311" s="43">
        <f>IF($B311="","",N($E311)+N($F311))</f>
        <v/>
      </c>
      <c r="H311" s="47" t="n"/>
      <c r="I311" s="43">
        <f>IF($B311="","",N($G311)-N($H311))</f>
        <v/>
      </c>
    </row>
    <row r="312">
      <c r="A312" s="39">
        <f>IF($B312="","",COUNTA($B$4:$B312))</f>
        <v/>
      </c>
      <c r="B312" s="40" t="n"/>
      <c r="C312" s="41" t="n"/>
      <c r="D312" s="41" t="n"/>
      <c r="E312" s="42" t="n"/>
      <c r="F312" s="42" t="n"/>
      <c r="G312" s="43">
        <f>IF($B312="","",N($E312)+N($F312))</f>
        <v/>
      </c>
      <c r="H312" s="42" t="n"/>
      <c r="I312" s="43">
        <f>IF($B312="","",N($G312)-N($H312))</f>
        <v/>
      </c>
    </row>
    <row r="313">
      <c r="A313" s="39">
        <f>IF($B313="","",COUNTA($B$4:$B313))</f>
        <v/>
      </c>
      <c r="B313" s="45" t="n"/>
      <c r="C313" s="46" t="n"/>
      <c r="D313" s="46" t="n"/>
      <c r="E313" s="47" t="n"/>
      <c r="F313" s="47" t="n"/>
      <c r="G313" s="43">
        <f>IF($B313="","",N($E313)+N($F313))</f>
        <v/>
      </c>
      <c r="H313" s="47" t="n"/>
      <c r="I313" s="43">
        <f>IF($B313="","",N($G313)-N($H313))</f>
        <v/>
      </c>
    </row>
    <row r="314">
      <c r="A314" s="39">
        <f>IF($B314="","",COUNTA($B$4:$B314))</f>
        <v/>
      </c>
      <c r="B314" s="40" t="n"/>
      <c r="C314" s="41" t="n"/>
      <c r="D314" s="41" t="n"/>
      <c r="E314" s="42" t="n"/>
      <c r="F314" s="42" t="n"/>
      <c r="G314" s="43">
        <f>IF($B314="","",N($E314)+N($F314))</f>
        <v/>
      </c>
      <c r="H314" s="42" t="n"/>
      <c r="I314" s="43">
        <f>IF($B314="","",N($G314)-N($H314))</f>
        <v/>
      </c>
    </row>
    <row r="315">
      <c r="A315" s="39">
        <f>IF($B315="","",COUNTA($B$4:$B315))</f>
        <v/>
      </c>
      <c r="B315" s="45" t="n"/>
      <c r="C315" s="46" t="n"/>
      <c r="D315" s="46" t="n"/>
      <c r="E315" s="47" t="n"/>
      <c r="F315" s="47" t="n"/>
      <c r="G315" s="43">
        <f>IF($B315="","",N($E315)+N($F315))</f>
        <v/>
      </c>
      <c r="H315" s="47" t="n"/>
      <c r="I315" s="43">
        <f>IF($B315="","",N($G315)-N($H315))</f>
        <v/>
      </c>
    </row>
    <row r="316">
      <c r="A316" s="39">
        <f>IF($B316="","",COUNTA($B$4:$B316))</f>
        <v/>
      </c>
      <c r="B316" s="40" t="n"/>
      <c r="C316" s="41" t="n"/>
      <c r="D316" s="41" t="n"/>
      <c r="E316" s="42" t="n"/>
      <c r="F316" s="42" t="n"/>
      <c r="G316" s="43">
        <f>IF($B316="","",N($E316)+N($F316))</f>
        <v/>
      </c>
      <c r="H316" s="42" t="n"/>
      <c r="I316" s="43">
        <f>IF($B316="","",N($G316)-N($H316))</f>
        <v/>
      </c>
    </row>
    <row r="317">
      <c r="A317" s="39">
        <f>IF($B317="","",COUNTA($B$4:$B317))</f>
        <v/>
      </c>
      <c r="B317" s="45" t="n"/>
      <c r="C317" s="46" t="n"/>
      <c r="D317" s="46" t="n"/>
      <c r="E317" s="47" t="n"/>
      <c r="F317" s="47" t="n"/>
      <c r="G317" s="43">
        <f>IF($B317="","",N($E317)+N($F317))</f>
        <v/>
      </c>
      <c r="H317" s="47" t="n"/>
      <c r="I317" s="43">
        <f>IF($B317="","",N($G317)-N($H317))</f>
        <v/>
      </c>
    </row>
    <row r="318">
      <c r="A318" s="39">
        <f>IF($B318="","",COUNTA($B$4:$B318))</f>
        <v/>
      </c>
      <c r="B318" s="40" t="n"/>
      <c r="C318" s="41" t="n"/>
      <c r="D318" s="41" t="n"/>
      <c r="E318" s="42" t="n"/>
      <c r="F318" s="42" t="n"/>
      <c r="G318" s="43">
        <f>IF($B318="","",N($E318)+N($F318))</f>
        <v/>
      </c>
      <c r="H318" s="42" t="n"/>
      <c r="I318" s="43">
        <f>IF($B318="","",N($G318)-N($H318))</f>
        <v/>
      </c>
    </row>
    <row r="319">
      <c r="A319" s="39">
        <f>IF($B319="","",COUNTA($B$4:$B319))</f>
        <v/>
      </c>
      <c r="B319" s="45" t="n"/>
      <c r="C319" s="46" t="n"/>
      <c r="D319" s="46" t="n"/>
      <c r="E319" s="47" t="n"/>
      <c r="F319" s="47" t="n"/>
      <c r="G319" s="43">
        <f>IF($B319="","",N($E319)+N($F319))</f>
        <v/>
      </c>
      <c r="H319" s="47" t="n"/>
      <c r="I319" s="43">
        <f>IF($B319="","",N($G319)-N($H319))</f>
        <v/>
      </c>
    </row>
    <row r="320">
      <c r="A320" s="39">
        <f>IF($B320="","",COUNTA($B$4:$B320))</f>
        <v/>
      </c>
      <c r="B320" s="40" t="n"/>
      <c r="C320" s="41" t="n"/>
      <c r="D320" s="41" t="n"/>
      <c r="E320" s="42" t="n"/>
      <c r="F320" s="42" t="n"/>
      <c r="G320" s="43">
        <f>IF($B320="","",N($E320)+N($F320))</f>
        <v/>
      </c>
      <c r="H320" s="42" t="n"/>
      <c r="I320" s="43">
        <f>IF($B320="","",N($G320)-N($H320))</f>
        <v/>
      </c>
    </row>
    <row r="321">
      <c r="A321" s="39">
        <f>IF($B321="","",COUNTA($B$4:$B321))</f>
        <v/>
      </c>
      <c r="B321" s="45" t="n"/>
      <c r="C321" s="46" t="n"/>
      <c r="D321" s="46" t="n"/>
      <c r="E321" s="47" t="n"/>
      <c r="F321" s="47" t="n"/>
      <c r="G321" s="43">
        <f>IF($B321="","",N($E321)+N($F321))</f>
        <v/>
      </c>
      <c r="H321" s="47" t="n"/>
      <c r="I321" s="43">
        <f>IF($B321="","",N($G321)-N($H321))</f>
        <v/>
      </c>
    </row>
    <row r="322">
      <c r="A322" s="39">
        <f>IF($B322="","",COUNTA($B$4:$B322))</f>
        <v/>
      </c>
      <c r="B322" s="40" t="n"/>
      <c r="C322" s="41" t="n"/>
      <c r="D322" s="41" t="n"/>
      <c r="E322" s="42" t="n"/>
      <c r="F322" s="42" t="n"/>
      <c r="G322" s="43">
        <f>IF($B322="","",N($E322)+N($F322))</f>
        <v/>
      </c>
      <c r="H322" s="42" t="n"/>
      <c r="I322" s="43">
        <f>IF($B322="","",N($G322)-N($H322))</f>
        <v/>
      </c>
    </row>
    <row r="323">
      <c r="A323" s="39">
        <f>IF($B323="","",COUNTA($B$4:$B323))</f>
        <v/>
      </c>
      <c r="B323" s="45" t="n"/>
      <c r="C323" s="46" t="n"/>
      <c r="D323" s="46" t="n"/>
      <c r="E323" s="47" t="n"/>
      <c r="F323" s="47" t="n"/>
      <c r="G323" s="43">
        <f>IF($B323="","",N($E323)+N($F323))</f>
        <v/>
      </c>
      <c r="H323" s="47" t="n"/>
      <c r="I323" s="43">
        <f>IF($B323="","",N($G323)-N($H323))</f>
        <v/>
      </c>
    </row>
    <row r="324">
      <c r="A324" s="39">
        <f>IF($B324="","",COUNTA($B$4:$B324))</f>
        <v/>
      </c>
      <c r="B324" s="40" t="n"/>
      <c r="C324" s="41" t="n"/>
      <c r="D324" s="41" t="n"/>
      <c r="E324" s="42" t="n"/>
      <c r="F324" s="42" t="n"/>
      <c r="G324" s="43">
        <f>IF($B324="","",N($E324)+N($F324))</f>
        <v/>
      </c>
      <c r="H324" s="42" t="n"/>
      <c r="I324" s="43">
        <f>IF($B324="","",N($G324)-N($H324))</f>
        <v/>
      </c>
    </row>
    <row r="325">
      <c r="A325" s="39">
        <f>IF($B325="","",COUNTA($B$4:$B325))</f>
        <v/>
      </c>
      <c r="B325" s="45" t="n"/>
      <c r="C325" s="46" t="n"/>
      <c r="D325" s="46" t="n"/>
      <c r="E325" s="47" t="n"/>
      <c r="F325" s="47" t="n"/>
      <c r="G325" s="43">
        <f>IF($B325="","",N($E325)+N($F325))</f>
        <v/>
      </c>
      <c r="H325" s="47" t="n"/>
      <c r="I325" s="43">
        <f>IF($B325="","",N($G325)-N($H325))</f>
        <v/>
      </c>
    </row>
    <row r="326">
      <c r="A326" s="39">
        <f>IF($B326="","",COUNTA($B$4:$B326))</f>
        <v/>
      </c>
      <c r="B326" s="40" t="n"/>
      <c r="C326" s="41" t="n"/>
      <c r="D326" s="41" t="n"/>
      <c r="E326" s="42" t="n"/>
      <c r="F326" s="42" t="n"/>
      <c r="G326" s="43">
        <f>IF($B326="","",N($E326)+N($F326))</f>
        <v/>
      </c>
      <c r="H326" s="42" t="n"/>
      <c r="I326" s="43">
        <f>IF($B326="","",N($G326)-N($H326))</f>
        <v/>
      </c>
    </row>
    <row r="327">
      <c r="A327" s="39">
        <f>IF($B327="","",COUNTA($B$4:$B327))</f>
        <v/>
      </c>
      <c r="B327" s="45" t="n"/>
      <c r="C327" s="46" t="n"/>
      <c r="D327" s="46" t="n"/>
      <c r="E327" s="47" t="n"/>
      <c r="F327" s="47" t="n"/>
      <c r="G327" s="43">
        <f>IF($B327="","",N($E327)+N($F327))</f>
        <v/>
      </c>
      <c r="H327" s="47" t="n"/>
      <c r="I327" s="43">
        <f>IF($B327="","",N($G327)-N($H327))</f>
        <v/>
      </c>
    </row>
    <row r="328">
      <c r="A328" s="39">
        <f>IF($B328="","",COUNTA($B$4:$B328))</f>
        <v/>
      </c>
      <c r="B328" s="40" t="n"/>
      <c r="C328" s="41" t="n"/>
      <c r="D328" s="41" t="n"/>
      <c r="E328" s="42" t="n"/>
      <c r="F328" s="42" t="n"/>
      <c r="G328" s="43">
        <f>IF($B328="","",N($E328)+N($F328))</f>
        <v/>
      </c>
      <c r="H328" s="42" t="n"/>
      <c r="I328" s="43">
        <f>IF($B328="","",N($G328)-N($H328))</f>
        <v/>
      </c>
    </row>
    <row r="329">
      <c r="A329" s="39">
        <f>IF($B329="","",COUNTA($B$4:$B329))</f>
        <v/>
      </c>
      <c r="B329" s="45" t="n"/>
      <c r="C329" s="46" t="n"/>
      <c r="D329" s="46" t="n"/>
      <c r="E329" s="47" t="n"/>
      <c r="F329" s="47" t="n"/>
      <c r="G329" s="43">
        <f>IF($B329="","",N($E329)+N($F329))</f>
        <v/>
      </c>
      <c r="H329" s="47" t="n"/>
      <c r="I329" s="43">
        <f>IF($B329="","",N($G329)-N($H329))</f>
        <v/>
      </c>
    </row>
    <row r="330">
      <c r="A330" s="39">
        <f>IF($B330="","",COUNTA($B$4:$B330))</f>
        <v/>
      </c>
      <c r="B330" s="40" t="n"/>
      <c r="C330" s="41" t="n"/>
      <c r="D330" s="41" t="n"/>
      <c r="E330" s="42" t="n"/>
      <c r="F330" s="42" t="n"/>
      <c r="G330" s="43">
        <f>IF($B330="","",N($E330)+N($F330))</f>
        <v/>
      </c>
      <c r="H330" s="42" t="n"/>
      <c r="I330" s="43">
        <f>IF($B330="","",N($G330)-N($H330))</f>
        <v/>
      </c>
    </row>
    <row r="331">
      <c r="A331" s="39">
        <f>IF($B331="","",COUNTA($B$4:$B331))</f>
        <v/>
      </c>
      <c r="B331" s="45" t="n"/>
      <c r="C331" s="46" t="n"/>
      <c r="D331" s="46" t="n"/>
      <c r="E331" s="47" t="n"/>
      <c r="F331" s="47" t="n"/>
      <c r="G331" s="43">
        <f>IF($B331="","",N($E331)+N($F331))</f>
        <v/>
      </c>
      <c r="H331" s="47" t="n"/>
      <c r="I331" s="43">
        <f>IF($B331="","",N($G331)-N($H331))</f>
        <v/>
      </c>
    </row>
    <row r="332">
      <c r="A332" s="39">
        <f>IF($B332="","",COUNTA($B$4:$B332))</f>
        <v/>
      </c>
      <c r="B332" s="40" t="n"/>
      <c r="C332" s="41" t="n"/>
      <c r="D332" s="41" t="n"/>
      <c r="E332" s="42" t="n"/>
      <c r="F332" s="42" t="n"/>
      <c r="G332" s="43">
        <f>IF($B332="","",N($E332)+N($F332))</f>
        <v/>
      </c>
      <c r="H332" s="42" t="n"/>
      <c r="I332" s="43">
        <f>IF($B332="","",N($G332)-N($H332))</f>
        <v/>
      </c>
    </row>
    <row r="333">
      <c r="A333" s="39">
        <f>IF($B333="","",COUNTA($B$4:$B333))</f>
        <v/>
      </c>
      <c r="B333" s="45" t="n"/>
      <c r="C333" s="46" t="n"/>
      <c r="D333" s="46" t="n"/>
      <c r="E333" s="47" t="n"/>
      <c r="F333" s="47" t="n"/>
      <c r="G333" s="43">
        <f>IF($B333="","",N($E333)+N($F333))</f>
        <v/>
      </c>
      <c r="H333" s="47" t="n"/>
      <c r="I333" s="43">
        <f>IF($B333="","",N($G333)-N($H333))</f>
        <v/>
      </c>
    </row>
    <row r="334">
      <c r="A334" s="39">
        <f>IF($B334="","",COUNTA($B$4:$B334))</f>
        <v/>
      </c>
      <c r="B334" s="40" t="n"/>
      <c r="C334" s="41" t="n"/>
      <c r="D334" s="41" t="n"/>
      <c r="E334" s="42" t="n"/>
      <c r="F334" s="42" t="n"/>
      <c r="G334" s="43">
        <f>IF($B334="","",N($E334)+N($F334))</f>
        <v/>
      </c>
      <c r="H334" s="42" t="n"/>
      <c r="I334" s="43">
        <f>IF($B334="","",N($G334)-N($H334))</f>
        <v/>
      </c>
    </row>
    <row r="335">
      <c r="A335" s="39">
        <f>IF($B335="","",COUNTA($B$4:$B335))</f>
        <v/>
      </c>
      <c r="B335" s="45" t="n"/>
      <c r="C335" s="46" t="n"/>
      <c r="D335" s="46" t="n"/>
      <c r="E335" s="47" t="n"/>
      <c r="F335" s="47" t="n"/>
      <c r="G335" s="43">
        <f>IF($B335="","",N($E335)+N($F335))</f>
        <v/>
      </c>
      <c r="H335" s="47" t="n"/>
      <c r="I335" s="43">
        <f>IF($B335="","",N($G335)-N($H335))</f>
        <v/>
      </c>
    </row>
    <row r="336">
      <c r="A336" s="39">
        <f>IF($B336="","",COUNTA($B$4:$B336))</f>
        <v/>
      </c>
      <c r="B336" s="40" t="n"/>
      <c r="C336" s="41" t="n"/>
      <c r="D336" s="41" t="n"/>
      <c r="E336" s="42" t="n"/>
      <c r="F336" s="42" t="n"/>
      <c r="G336" s="43">
        <f>IF($B336="","",N($E336)+N($F336))</f>
        <v/>
      </c>
      <c r="H336" s="42" t="n"/>
      <c r="I336" s="43">
        <f>IF($B336="","",N($G336)-N($H336))</f>
        <v/>
      </c>
    </row>
    <row r="337">
      <c r="A337" s="39">
        <f>IF($B337="","",COUNTA($B$4:$B337))</f>
        <v/>
      </c>
      <c r="B337" s="45" t="n"/>
      <c r="C337" s="46" t="n"/>
      <c r="D337" s="46" t="n"/>
      <c r="E337" s="47" t="n"/>
      <c r="F337" s="47" t="n"/>
      <c r="G337" s="43">
        <f>IF($B337="","",N($E337)+N($F337))</f>
        <v/>
      </c>
      <c r="H337" s="47" t="n"/>
      <c r="I337" s="43">
        <f>IF($B337="","",N($G337)-N($H337))</f>
        <v/>
      </c>
    </row>
    <row r="338">
      <c r="A338" s="39">
        <f>IF($B338="","",COUNTA($B$4:$B338))</f>
        <v/>
      </c>
      <c r="B338" s="40" t="n"/>
      <c r="C338" s="41" t="n"/>
      <c r="D338" s="41" t="n"/>
      <c r="E338" s="42" t="n"/>
      <c r="F338" s="42" t="n"/>
      <c r="G338" s="43">
        <f>IF($B338="","",N($E338)+N($F338))</f>
        <v/>
      </c>
      <c r="H338" s="42" t="n"/>
      <c r="I338" s="43">
        <f>IF($B338="","",N($G338)-N($H338))</f>
        <v/>
      </c>
    </row>
    <row r="339">
      <c r="A339" s="39">
        <f>IF($B339="","",COUNTA($B$4:$B339))</f>
        <v/>
      </c>
      <c r="B339" s="45" t="n"/>
      <c r="C339" s="46" t="n"/>
      <c r="D339" s="46" t="n"/>
      <c r="E339" s="47" t="n"/>
      <c r="F339" s="47" t="n"/>
      <c r="G339" s="43">
        <f>IF($B339="","",N($E339)+N($F339))</f>
        <v/>
      </c>
      <c r="H339" s="47" t="n"/>
      <c r="I339" s="43">
        <f>IF($B339="","",N($G339)-N($H339))</f>
        <v/>
      </c>
    </row>
    <row r="340">
      <c r="A340" s="39">
        <f>IF($B340="","",COUNTA($B$4:$B340))</f>
        <v/>
      </c>
      <c r="B340" s="40" t="n"/>
      <c r="C340" s="41" t="n"/>
      <c r="D340" s="41" t="n"/>
      <c r="E340" s="42" t="n"/>
      <c r="F340" s="42" t="n"/>
      <c r="G340" s="43">
        <f>IF($B340="","",N($E340)+N($F340))</f>
        <v/>
      </c>
      <c r="H340" s="42" t="n"/>
      <c r="I340" s="43">
        <f>IF($B340="","",N($G340)-N($H340))</f>
        <v/>
      </c>
    </row>
    <row r="341">
      <c r="A341" s="39">
        <f>IF($B341="","",COUNTA($B$4:$B341))</f>
        <v/>
      </c>
      <c r="B341" s="45" t="n"/>
      <c r="C341" s="46" t="n"/>
      <c r="D341" s="46" t="n"/>
      <c r="E341" s="47" t="n"/>
      <c r="F341" s="47" t="n"/>
      <c r="G341" s="43">
        <f>IF($B341="","",N($E341)+N($F341))</f>
        <v/>
      </c>
      <c r="H341" s="47" t="n"/>
      <c r="I341" s="43">
        <f>IF($B341="","",N($G341)-N($H341))</f>
        <v/>
      </c>
    </row>
    <row r="342">
      <c r="A342" s="39">
        <f>IF($B342="","",COUNTA($B$4:$B342))</f>
        <v/>
      </c>
      <c r="B342" s="40" t="n"/>
      <c r="C342" s="41" t="n"/>
      <c r="D342" s="41" t="n"/>
      <c r="E342" s="42" t="n"/>
      <c r="F342" s="42" t="n"/>
      <c r="G342" s="43">
        <f>IF($B342="","",N($E342)+N($F342))</f>
        <v/>
      </c>
      <c r="H342" s="42" t="n"/>
      <c r="I342" s="43">
        <f>IF($B342="","",N($G342)-N($H342))</f>
        <v/>
      </c>
    </row>
    <row r="343">
      <c r="A343" s="39">
        <f>IF($B343="","",COUNTA($B$4:$B343))</f>
        <v/>
      </c>
      <c r="B343" s="45" t="n"/>
      <c r="C343" s="46" t="n"/>
      <c r="D343" s="46" t="n"/>
      <c r="E343" s="47" t="n"/>
      <c r="F343" s="47" t="n"/>
      <c r="G343" s="43">
        <f>IF($B343="","",N($E343)+N($F343))</f>
        <v/>
      </c>
      <c r="H343" s="47" t="n"/>
      <c r="I343" s="43">
        <f>IF($B343="","",N($G343)-N($H343))</f>
        <v/>
      </c>
    </row>
    <row r="344">
      <c r="A344" s="39">
        <f>IF($B344="","",COUNTA($B$4:$B344))</f>
        <v/>
      </c>
      <c r="B344" s="40" t="n"/>
      <c r="C344" s="41" t="n"/>
      <c r="D344" s="41" t="n"/>
      <c r="E344" s="42" t="n"/>
      <c r="F344" s="42" t="n"/>
      <c r="G344" s="43">
        <f>IF($B344="","",N($E344)+N($F344))</f>
        <v/>
      </c>
      <c r="H344" s="42" t="n"/>
      <c r="I344" s="43">
        <f>IF($B344="","",N($G344)-N($H344))</f>
        <v/>
      </c>
    </row>
    <row r="345">
      <c r="A345" s="39">
        <f>IF($B345="","",COUNTA($B$4:$B345))</f>
        <v/>
      </c>
      <c r="B345" s="45" t="n"/>
      <c r="C345" s="46" t="n"/>
      <c r="D345" s="46" t="n"/>
      <c r="E345" s="47" t="n"/>
      <c r="F345" s="47" t="n"/>
      <c r="G345" s="43">
        <f>IF($B345="","",N($E345)+N($F345))</f>
        <v/>
      </c>
      <c r="H345" s="47" t="n"/>
      <c r="I345" s="43">
        <f>IF($B345="","",N($G345)-N($H345))</f>
        <v/>
      </c>
    </row>
    <row r="346">
      <c r="A346" s="39">
        <f>IF($B346="","",COUNTA($B$4:$B346))</f>
        <v/>
      </c>
      <c r="B346" s="40" t="n"/>
      <c r="C346" s="41" t="n"/>
      <c r="D346" s="41" t="n"/>
      <c r="E346" s="42" t="n"/>
      <c r="F346" s="42" t="n"/>
      <c r="G346" s="43">
        <f>IF($B346="","",N($E346)+N($F346))</f>
        <v/>
      </c>
      <c r="H346" s="42" t="n"/>
      <c r="I346" s="43">
        <f>IF($B346="","",N($G346)-N($H346))</f>
        <v/>
      </c>
    </row>
    <row r="347">
      <c r="A347" s="39">
        <f>IF($B347="","",COUNTA($B$4:$B347))</f>
        <v/>
      </c>
      <c r="B347" s="45" t="n"/>
      <c r="C347" s="46" t="n"/>
      <c r="D347" s="46" t="n"/>
      <c r="E347" s="47" t="n"/>
      <c r="F347" s="47" t="n"/>
      <c r="G347" s="43">
        <f>IF($B347="","",N($E347)+N($F347))</f>
        <v/>
      </c>
      <c r="H347" s="47" t="n"/>
      <c r="I347" s="43">
        <f>IF($B347="","",N($G347)-N($H347))</f>
        <v/>
      </c>
    </row>
    <row r="348">
      <c r="A348" s="39">
        <f>IF($B348="","",COUNTA($B$4:$B348))</f>
        <v/>
      </c>
      <c r="B348" s="40" t="n"/>
      <c r="C348" s="41" t="n"/>
      <c r="D348" s="41" t="n"/>
      <c r="E348" s="42" t="n"/>
      <c r="F348" s="42" t="n"/>
      <c r="G348" s="43">
        <f>IF($B348="","",N($E348)+N($F348))</f>
        <v/>
      </c>
      <c r="H348" s="42" t="n"/>
      <c r="I348" s="43">
        <f>IF($B348="","",N($G348)-N($H348))</f>
        <v/>
      </c>
    </row>
    <row r="349">
      <c r="A349" s="39">
        <f>IF($B349="","",COUNTA($B$4:$B349))</f>
        <v/>
      </c>
      <c r="B349" s="45" t="n"/>
      <c r="C349" s="46" t="n"/>
      <c r="D349" s="46" t="n"/>
      <c r="E349" s="47" t="n"/>
      <c r="F349" s="47" t="n"/>
      <c r="G349" s="43">
        <f>IF($B349="","",N($E349)+N($F349))</f>
        <v/>
      </c>
      <c r="H349" s="47" t="n"/>
      <c r="I349" s="43">
        <f>IF($B349="","",N($G349)-N($H349))</f>
        <v/>
      </c>
    </row>
    <row r="350">
      <c r="A350" s="39">
        <f>IF($B350="","",COUNTA($B$4:$B350))</f>
        <v/>
      </c>
      <c r="B350" s="40" t="n"/>
      <c r="C350" s="41" t="n"/>
      <c r="D350" s="41" t="n"/>
      <c r="E350" s="42" t="n"/>
      <c r="F350" s="42" t="n"/>
      <c r="G350" s="43">
        <f>IF($B350="","",N($E350)+N($F350))</f>
        <v/>
      </c>
      <c r="H350" s="42" t="n"/>
      <c r="I350" s="43">
        <f>IF($B350="","",N($G350)-N($H350))</f>
        <v/>
      </c>
    </row>
    <row r="351">
      <c r="A351" s="39">
        <f>IF($B351="","",COUNTA($B$4:$B351))</f>
        <v/>
      </c>
      <c r="B351" s="45" t="n"/>
      <c r="C351" s="46" t="n"/>
      <c r="D351" s="46" t="n"/>
      <c r="E351" s="47" t="n"/>
      <c r="F351" s="47" t="n"/>
      <c r="G351" s="43">
        <f>IF($B351="","",N($E351)+N($F351))</f>
        <v/>
      </c>
      <c r="H351" s="47" t="n"/>
      <c r="I351" s="43">
        <f>IF($B351="","",N($G351)-N($H351))</f>
        <v/>
      </c>
    </row>
    <row r="352">
      <c r="A352" s="39">
        <f>IF($B352="","",COUNTA($B$4:$B352))</f>
        <v/>
      </c>
      <c r="B352" s="40" t="n"/>
      <c r="C352" s="41" t="n"/>
      <c r="D352" s="41" t="n"/>
      <c r="E352" s="42" t="n"/>
      <c r="F352" s="42" t="n"/>
      <c r="G352" s="43">
        <f>IF($B352="","",N($E352)+N($F352))</f>
        <v/>
      </c>
      <c r="H352" s="42" t="n"/>
      <c r="I352" s="43">
        <f>IF($B352="","",N($G352)-N($H352))</f>
        <v/>
      </c>
    </row>
    <row r="353">
      <c r="A353" s="39">
        <f>IF($B353="","",COUNTA($B$4:$B353))</f>
        <v/>
      </c>
      <c r="B353" s="45" t="n"/>
      <c r="C353" s="46" t="n"/>
      <c r="D353" s="46" t="n"/>
      <c r="E353" s="47" t="n"/>
      <c r="F353" s="47" t="n"/>
      <c r="G353" s="43">
        <f>IF($B353="","",N($E353)+N($F353))</f>
        <v/>
      </c>
      <c r="H353" s="47" t="n"/>
      <c r="I353" s="43">
        <f>IF($B353="","",N($G353)-N($H353))</f>
        <v/>
      </c>
    </row>
    <row r="354">
      <c r="A354" s="39">
        <f>IF($B354="","",COUNTA($B$4:$B354))</f>
        <v/>
      </c>
      <c r="B354" s="40" t="n"/>
      <c r="C354" s="41" t="n"/>
      <c r="D354" s="41" t="n"/>
      <c r="E354" s="42" t="n"/>
      <c r="F354" s="42" t="n"/>
      <c r="G354" s="43">
        <f>IF($B354="","",N($E354)+N($F354))</f>
        <v/>
      </c>
      <c r="H354" s="42" t="n"/>
      <c r="I354" s="43">
        <f>IF($B354="","",N($G354)-N($H354))</f>
        <v/>
      </c>
    </row>
    <row r="355">
      <c r="A355" s="39">
        <f>IF($B355="","",COUNTA($B$4:$B355))</f>
        <v/>
      </c>
      <c r="B355" s="45" t="n"/>
      <c r="C355" s="46" t="n"/>
      <c r="D355" s="46" t="n"/>
      <c r="E355" s="47" t="n"/>
      <c r="F355" s="47" t="n"/>
      <c r="G355" s="43">
        <f>IF($B355="","",N($E355)+N($F355))</f>
        <v/>
      </c>
      <c r="H355" s="47" t="n"/>
      <c r="I355" s="43">
        <f>IF($B355="","",N($G355)-N($H355))</f>
        <v/>
      </c>
    </row>
    <row r="356">
      <c r="A356" s="39">
        <f>IF($B356="","",COUNTA($B$4:$B356))</f>
        <v/>
      </c>
      <c r="B356" s="40" t="n"/>
      <c r="C356" s="41" t="n"/>
      <c r="D356" s="41" t="n"/>
      <c r="E356" s="42" t="n"/>
      <c r="F356" s="42" t="n"/>
      <c r="G356" s="43">
        <f>IF($B356="","",N($E356)+N($F356))</f>
        <v/>
      </c>
      <c r="H356" s="42" t="n"/>
      <c r="I356" s="43">
        <f>IF($B356="","",N($G356)-N($H356))</f>
        <v/>
      </c>
    </row>
    <row r="357">
      <c r="A357" s="39">
        <f>IF($B357="","",COUNTA($B$4:$B357))</f>
        <v/>
      </c>
      <c r="B357" s="45" t="n"/>
      <c r="C357" s="46" t="n"/>
      <c r="D357" s="46" t="n"/>
      <c r="E357" s="47" t="n"/>
      <c r="F357" s="47" t="n"/>
      <c r="G357" s="43">
        <f>IF($B357="","",N($E357)+N($F357))</f>
        <v/>
      </c>
      <c r="H357" s="47" t="n"/>
      <c r="I357" s="43">
        <f>IF($B357="","",N($G357)-N($H357))</f>
        <v/>
      </c>
    </row>
    <row r="358">
      <c r="A358" s="39">
        <f>IF($B358="","",COUNTA($B$4:$B358))</f>
        <v/>
      </c>
      <c r="B358" s="40" t="n"/>
      <c r="C358" s="41" t="n"/>
      <c r="D358" s="41" t="n"/>
      <c r="E358" s="42" t="n"/>
      <c r="F358" s="42" t="n"/>
      <c r="G358" s="43">
        <f>IF($B358="","",N($E358)+N($F358))</f>
        <v/>
      </c>
      <c r="H358" s="42" t="n"/>
      <c r="I358" s="43">
        <f>IF($B358="","",N($G358)-N($H358))</f>
        <v/>
      </c>
    </row>
    <row r="359">
      <c r="A359" s="39">
        <f>IF($B359="","",COUNTA($B$4:$B359))</f>
        <v/>
      </c>
      <c r="B359" s="45" t="n"/>
      <c r="C359" s="46" t="n"/>
      <c r="D359" s="46" t="n"/>
      <c r="E359" s="47" t="n"/>
      <c r="F359" s="47" t="n"/>
      <c r="G359" s="43">
        <f>IF($B359="","",N($E359)+N($F359))</f>
        <v/>
      </c>
      <c r="H359" s="47" t="n"/>
      <c r="I359" s="43">
        <f>IF($B359="","",N($G359)-N($H359))</f>
        <v/>
      </c>
    </row>
    <row r="360">
      <c r="A360" s="39">
        <f>IF($B360="","",COUNTA($B$4:$B360))</f>
        <v/>
      </c>
      <c r="B360" s="40" t="n"/>
      <c r="C360" s="41" t="n"/>
      <c r="D360" s="41" t="n"/>
      <c r="E360" s="42" t="n"/>
      <c r="F360" s="42" t="n"/>
      <c r="G360" s="43">
        <f>IF($B360="","",N($E360)+N($F360))</f>
        <v/>
      </c>
      <c r="H360" s="42" t="n"/>
      <c r="I360" s="43">
        <f>IF($B360="","",N($G360)-N($H360))</f>
        <v/>
      </c>
    </row>
    <row r="361">
      <c r="A361" s="39">
        <f>IF($B361="","",COUNTA($B$4:$B361))</f>
        <v/>
      </c>
      <c r="B361" s="45" t="n"/>
      <c r="C361" s="46" t="n"/>
      <c r="D361" s="46" t="n"/>
      <c r="E361" s="47" t="n"/>
      <c r="F361" s="47" t="n"/>
      <c r="G361" s="43">
        <f>IF($B361="","",N($E361)+N($F361))</f>
        <v/>
      </c>
      <c r="H361" s="47" t="n"/>
      <c r="I361" s="43">
        <f>IF($B361="","",N($G361)-N($H361))</f>
        <v/>
      </c>
    </row>
    <row r="362">
      <c r="A362" s="39">
        <f>IF($B362="","",COUNTA($B$4:$B362))</f>
        <v/>
      </c>
      <c r="B362" s="40" t="n"/>
      <c r="C362" s="41" t="n"/>
      <c r="D362" s="41" t="n"/>
      <c r="E362" s="42" t="n"/>
      <c r="F362" s="42" t="n"/>
      <c r="G362" s="43">
        <f>IF($B362="","",N($E362)+N($F362))</f>
        <v/>
      </c>
      <c r="H362" s="42" t="n"/>
      <c r="I362" s="43">
        <f>IF($B362="","",N($G362)-N($H362))</f>
        <v/>
      </c>
    </row>
    <row r="363">
      <c r="A363" s="39">
        <f>IF($B363="","",COUNTA($B$4:$B363))</f>
        <v/>
      </c>
      <c r="B363" s="45" t="n"/>
      <c r="C363" s="46" t="n"/>
      <c r="D363" s="46" t="n"/>
      <c r="E363" s="47" t="n"/>
      <c r="F363" s="47" t="n"/>
      <c r="G363" s="43">
        <f>IF($B363="","",N($E363)+N($F363))</f>
        <v/>
      </c>
      <c r="H363" s="47" t="n"/>
      <c r="I363" s="43">
        <f>IF($B363="","",N($G363)-N($H363))</f>
        <v/>
      </c>
    </row>
    <row r="364">
      <c r="A364" s="39">
        <f>IF($B364="","",COUNTA($B$4:$B364))</f>
        <v/>
      </c>
      <c r="B364" s="40" t="n"/>
      <c r="C364" s="41" t="n"/>
      <c r="D364" s="41" t="n"/>
      <c r="E364" s="42" t="n"/>
      <c r="F364" s="42" t="n"/>
      <c r="G364" s="43">
        <f>IF($B364="","",N($E364)+N($F364))</f>
        <v/>
      </c>
      <c r="H364" s="42" t="n"/>
      <c r="I364" s="43">
        <f>IF($B364="","",N($G364)-N($H364))</f>
        <v/>
      </c>
    </row>
    <row r="365">
      <c r="A365" s="39">
        <f>IF($B365="","",COUNTA($B$4:$B365))</f>
        <v/>
      </c>
      <c r="B365" s="45" t="n"/>
      <c r="C365" s="46" t="n"/>
      <c r="D365" s="46" t="n"/>
      <c r="E365" s="47" t="n"/>
      <c r="F365" s="47" t="n"/>
      <c r="G365" s="43">
        <f>IF($B365="","",N($E365)+N($F365))</f>
        <v/>
      </c>
      <c r="H365" s="47" t="n"/>
      <c r="I365" s="43">
        <f>IF($B365="","",N($G365)-N($H365))</f>
        <v/>
      </c>
    </row>
    <row r="366">
      <c r="A366" s="39">
        <f>IF($B366="","",COUNTA($B$4:$B366))</f>
        <v/>
      </c>
      <c r="B366" s="40" t="n"/>
      <c r="C366" s="41" t="n"/>
      <c r="D366" s="41" t="n"/>
      <c r="E366" s="42" t="n"/>
      <c r="F366" s="42" t="n"/>
      <c r="G366" s="43">
        <f>IF($B366="","",N($E366)+N($F366))</f>
        <v/>
      </c>
      <c r="H366" s="42" t="n"/>
      <c r="I366" s="43">
        <f>IF($B366="","",N($G366)-N($H366))</f>
        <v/>
      </c>
    </row>
    <row r="367">
      <c r="A367" s="39">
        <f>IF($B367="","",COUNTA($B$4:$B367))</f>
        <v/>
      </c>
      <c r="B367" s="45" t="n"/>
      <c r="C367" s="46" t="n"/>
      <c r="D367" s="46" t="n"/>
      <c r="E367" s="47" t="n"/>
      <c r="F367" s="47" t="n"/>
      <c r="G367" s="43">
        <f>IF($B367="","",N($E367)+N($F367))</f>
        <v/>
      </c>
      <c r="H367" s="47" t="n"/>
      <c r="I367" s="43">
        <f>IF($B367="","",N($G367)-N($H367))</f>
        <v/>
      </c>
    </row>
    <row r="368">
      <c r="A368" s="39">
        <f>IF($B368="","",COUNTA($B$4:$B368))</f>
        <v/>
      </c>
      <c r="B368" s="40" t="n"/>
      <c r="C368" s="41" t="n"/>
      <c r="D368" s="41" t="n"/>
      <c r="E368" s="42" t="n"/>
      <c r="F368" s="42" t="n"/>
      <c r="G368" s="43">
        <f>IF($B368="","",N($E368)+N($F368))</f>
        <v/>
      </c>
      <c r="H368" s="42" t="n"/>
      <c r="I368" s="43">
        <f>IF($B368="","",N($G368)-N($H368))</f>
        <v/>
      </c>
    </row>
    <row r="369">
      <c r="A369" s="39">
        <f>IF($B369="","",COUNTA($B$4:$B369))</f>
        <v/>
      </c>
      <c r="B369" s="45" t="n"/>
      <c r="C369" s="46" t="n"/>
      <c r="D369" s="46" t="n"/>
      <c r="E369" s="47" t="n"/>
      <c r="F369" s="47" t="n"/>
      <c r="G369" s="43">
        <f>IF($B369="","",N($E369)+N($F369))</f>
        <v/>
      </c>
      <c r="H369" s="47" t="n"/>
      <c r="I369" s="43">
        <f>IF($B369="","",N($G369)-N($H369))</f>
        <v/>
      </c>
    </row>
    <row r="370">
      <c r="A370" s="39">
        <f>IF($B370="","",COUNTA($B$4:$B370))</f>
        <v/>
      </c>
      <c r="B370" s="40" t="n"/>
      <c r="C370" s="41" t="n"/>
      <c r="D370" s="41" t="n"/>
      <c r="E370" s="42" t="n"/>
      <c r="F370" s="42" t="n"/>
      <c r="G370" s="43">
        <f>IF($B370="","",N($E370)+N($F370))</f>
        <v/>
      </c>
      <c r="H370" s="42" t="n"/>
      <c r="I370" s="43">
        <f>IF($B370="","",N($G370)-N($H370))</f>
        <v/>
      </c>
    </row>
    <row r="371">
      <c r="A371" s="39">
        <f>IF($B371="","",COUNTA($B$4:$B371))</f>
        <v/>
      </c>
      <c r="B371" s="45" t="n"/>
      <c r="C371" s="46" t="n"/>
      <c r="D371" s="46" t="n"/>
      <c r="E371" s="47" t="n"/>
      <c r="F371" s="47" t="n"/>
      <c r="G371" s="43">
        <f>IF($B371="","",N($E371)+N($F371))</f>
        <v/>
      </c>
      <c r="H371" s="47" t="n"/>
      <c r="I371" s="43">
        <f>IF($B371="","",N($G371)-N($H371))</f>
        <v/>
      </c>
    </row>
    <row r="372">
      <c r="A372" s="39">
        <f>IF($B372="","",COUNTA($B$4:$B372))</f>
        <v/>
      </c>
      <c r="B372" s="40" t="n"/>
      <c r="C372" s="41" t="n"/>
      <c r="D372" s="41" t="n"/>
      <c r="E372" s="42" t="n"/>
      <c r="F372" s="42" t="n"/>
      <c r="G372" s="43">
        <f>IF($B372="","",N($E372)+N($F372))</f>
        <v/>
      </c>
      <c r="H372" s="42" t="n"/>
      <c r="I372" s="43">
        <f>IF($B372="","",N($G372)-N($H372))</f>
        <v/>
      </c>
    </row>
    <row r="373">
      <c r="A373" s="39">
        <f>IF($B373="","",COUNTA($B$4:$B373))</f>
        <v/>
      </c>
      <c r="B373" s="45" t="n"/>
      <c r="C373" s="46" t="n"/>
      <c r="D373" s="46" t="n"/>
      <c r="E373" s="47" t="n"/>
      <c r="F373" s="47" t="n"/>
      <c r="G373" s="43">
        <f>IF($B373="","",N($E373)+N($F373))</f>
        <v/>
      </c>
      <c r="H373" s="47" t="n"/>
      <c r="I373" s="43">
        <f>IF($B373="","",N($G373)-N($H373))</f>
        <v/>
      </c>
    </row>
    <row r="374">
      <c r="A374" s="39">
        <f>IF($B374="","",COUNTA($B$4:$B374))</f>
        <v/>
      </c>
      <c r="B374" s="40" t="n"/>
      <c r="C374" s="41" t="n"/>
      <c r="D374" s="41" t="n"/>
      <c r="E374" s="42" t="n"/>
      <c r="F374" s="42" t="n"/>
      <c r="G374" s="43">
        <f>IF($B374="","",N($E374)+N($F374))</f>
        <v/>
      </c>
      <c r="H374" s="42" t="n"/>
      <c r="I374" s="43">
        <f>IF($B374="","",N($G374)-N($H374))</f>
        <v/>
      </c>
    </row>
    <row r="375">
      <c r="A375" s="39">
        <f>IF($B375="","",COUNTA($B$4:$B375))</f>
        <v/>
      </c>
      <c r="B375" s="45" t="n"/>
      <c r="C375" s="46" t="n"/>
      <c r="D375" s="46" t="n"/>
      <c r="E375" s="47" t="n"/>
      <c r="F375" s="47" t="n"/>
      <c r="G375" s="43">
        <f>IF($B375="","",N($E375)+N($F375))</f>
        <v/>
      </c>
      <c r="H375" s="47" t="n"/>
      <c r="I375" s="43">
        <f>IF($B375="","",N($G375)-N($H375))</f>
        <v/>
      </c>
    </row>
    <row r="376">
      <c r="A376" s="39">
        <f>IF($B376="","",COUNTA($B$4:$B376))</f>
        <v/>
      </c>
      <c r="B376" s="40" t="n"/>
      <c r="C376" s="41" t="n"/>
      <c r="D376" s="41" t="n"/>
      <c r="E376" s="42" t="n"/>
      <c r="F376" s="42" t="n"/>
      <c r="G376" s="43">
        <f>IF($B376="","",N($E376)+N($F376))</f>
        <v/>
      </c>
      <c r="H376" s="42" t="n"/>
      <c r="I376" s="43">
        <f>IF($B376="","",N($G376)-N($H376))</f>
        <v/>
      </c>
    </row>
    <row r="377">
      <c r="A377" s="39">
        <f>IF($B377="","",COUNTA($B$4:$B377))</f>
        <v/>
      </c>
      <c r="B377" s="45" t="n"/>
      <c r="C377" s="46" t="n"/>
      <c r="D377" s="46" t="n"/>
      <c r="E377" s="47" t="n"/>
      <c r="F377" s="47" t="n"/>
      <c r="G377" s="43">
        <f>IF($B377="","",N($E377)+N($F377))</f>
        <v/>
      </c>
      <c r="H377" s="47" t="n"/>
      <c r="I377" s="43">
        <f>IF($B377="","",N($G377)-N($H377))</f>
        <v/>
      </c>
    </row>
    <row r="378">
      <c r="A378" s="39">
        <f>IF($B378="","",COUNTA($B$4:$B378))</f>
        <v/>
      </c>
      <c r="B378" s="40" t="n"/>
      <c r="C378" s="41" t="n"/>
      <c r="D378" s="41" t="n"/>
      <c r="E378" s="42" t="n"/>
      <c r="F378" s="42" t="n"/>
      <c r="G378" s="43">
        <f>IF($B378="","",N($E378)+N($F378))</f>
        <v/>
      </c>
      <c r="H378" s="42" t="n"/>
      <c r="I378" s="43">
        <f>IF($B378="","",N($G378)-N($H378))</f>
        <v/>
      </c>
    </row>
    <row r="379">
      <c r="A379" s="39">
        <f>IF($B379="","",COUNTA($B$4:$B379))</f>
        <v/>
      </c>
      <c r="B379" s="45" t="n"/>
      <c r="C379" s="46" t="n"/>
      <c r="D379" s="46" t="n"/>
      <c r="E379" s="47" t="n"/>
      <c r="F379" s="47" t="n"/>
      <c r="G379" s="43">
        <f>IF($B379="","",N($E379)+N($F379))</f>
        <v/>
      </c>
      <c r="H379" s="47" t="n"/>
      <c r="I379" s="43">
        <f>IF($B379="","",N($G379)-N($H379))</f>
        <v/>
      </c>
    </row>
    <row r="380">
      <c r="A380" s="39">
        <f>IF($B380="","",COUNTA($B$4:$B380))</f>
        <v/>
      </c>
      <c r="B380" s="40" t="n"/>
      <c r="C380" s="41" t="n"/>
      <c r="D380" s="41" t="n"/>
      <c r="E380" s="42" t="n"/>
      <c r="F380" s="42" t="n"/>
      <c r="G380" s="43">
        <f>IF($B380="","",N($E380)+N($F380))</f>
        <v/>
      </c>
      <c r="H380" s="42" t="n"/>
      <c r="I380" s="43">
        <f>IF($B380="","",N($G380)-N($H380))</f>
        <v/>
      </c>
    </row>
    <row r="381">
      <c r="A381" s="39">
        <f>IF($B381="","",COUNTA($B$4:$B381))</f>
        <v/>
      </c>
      <c r="B381" s="45" t="n"/>
      <c r="C381" s="46" t="n"/>
      <c r="D381" s="46" t="n"/>
      <c r="E381" s="47" t="n"/>
      <c r="F381" s="47" t="n"/>
      <c r="G381" s="43">
        <f>IF($B381="","",N($E381)+N($F381))</f>
        <v/>
      </c>
      <c r="H381" s="47" t="n"/>
      <c r="I381" s="43">
        <f>IF($B381="","",N($G381)-N($H381))</f>
        <v/>
      </c>
    </row>
    <row r="382">
      <c r="A382" s="39">
        <f>IF($B382="","",COUNTA($B$4:$B382))</f>
        <v/>
      </c>
      <c r="B382" s="40" t="n"/>
      <c r="C382" s="41" t="n"/>
      <c r="D382" s="41" t="n"/>
      <c r="E382" s="42" t="n"/>
      <c r="F382" s="42" t="n"/>
      <c r="G382" s="43">
        <f>IF($B382="","",N($E382)+N($F382))</f>
        <v/>
      </c>
      <c r="H382" s="42" t="n"/>
      <c r="I382" s="43">
        <f>IF($B382="","",N($G382)-N($H382))</f>
        <v/>
      </c>
    </row>
    <row r="383">
      <c r="A383" s="39">
        <f>IF($B383="","",COUNTA($B$4:$B383))</f>
        <v/>
      </c>
      <c r="B383" s="45" t="n"/>
      <c r="C383" s="46" t="n"/>
      <c r="D383" s="46" t="n"/>
      <c r="E383" s="47" t="n"/>
      <c r="F383" s="47" t="n"/>
      <c r="G383" s="43">
        <f>IF($B383="","",N($E383)+N($F383))</f>
        <v/>
      </c>
      <c r="H383" s="47" t="n"/>
      <c r="I383" s="43">
        <f>IF($B383="","",N($G383)-N($H383))</f>
        <v/>
      </c>
    </row>
    <row r="384">
      <c r="A384" s="39">
        <f>IF($B384="","",COUNTA($B$4:$B384))</f>
        <v/>
      </c>
      <c r="B384" s="40" t="n"/>
      <c r="C384" s="41" t="n"/>
      <c r="D384" s="41" t="n"/>
      <c r="E384" s="42" t="n"/>
      <c r="F384" s="42" t="n"/>
      <c r="G384" s="43">
        <f>IF($B384="","",N($E384)+N($F384))</f>
        <v/>
      </c>
      <c r="H384" s="42" t="n"/>
      <c r="I384" s="43">
        <f>IF($B384="","",N($G384)-N($H384))</f>
        <v/>
      </c>
    </row>
    <row r="385">
      <c r="A385" s="39">
        <f>IF($B385="","",COUNTA($B$4:$B385))</f>
        <v/>
      </c>
      <c r="B385" s="45" t="n"/>
      <c r="C385" s="46" t="n"/>
      <c r="D385" s="46" t="n"/>
      <c r="E385" s="47" t="n"/>
      <c r="F385" s="47" t="n"/>
      <c r="G385" s="43">
        <f>IF($B385="","",N($E385)+N($F385))</f>
        <v/>
      </c>
      <c r="H385" s="47" t="n"/>
      <c r="I385" s="43">
        <f>IF($B385="","",N($G385)-N($H385))</f>
        <v/>
      </c>
    </row>
    <row r="386">
      <c r="A386" s="39">
        <f>IF($B386="","",COUNTA($B$4:$B386))</f>
        <v/>
      </c>
      <c r="B386" s="40" t="n"/>
      <c r="C386" s="41" t="n"/>
      <c r="D386" s="41" t="n"/>
      <c r="E386" s="42" t="n"/>
      <c r="F386" s="42" t="n"/>
      <c r="G386" s="43">
        <f>IF($B386="","",N($E386)+N($F386))</f>
        <v/>
      </c>
      <c r="H386" s="42" t="n"/>
      <c r="I386" s="43">
        <f>IF($B386="","",N($G386)-N($H386))</f>
        <v/>
      </c>
    </row>
    <row r="387">
      <c r="A387" s="39">
        <f>IF($B387="","",COUNTA($B$4:$B387))</f>
        <v/>
      </c>
      <c r="B387" s="45" t="n"/>
      <c r="C387" s="46" t="n"/>
      <c r="D387" s="46" t="n"/>
      <c r="E387" s="47" t="n"/>
      <c r="F387" s="47" t="n"/>
      <c r="G387" s="43">
        <f>IF($B387="","",N($E387)+N($F387))</f>
        <v/>
      </c>
      <c r="H387" s="47" t="n"/>
      <c r="I387" s="43">
        <f>IF($B387="","",N($G387)-N($H387))</f>
        <v/>
      </c>
    </row>
    <row r="388">
      <c r="A388" s="39">
        <f>IF($B388="","",COUNTA($B$4:$B388))</f>
        <v/>
      </c>
      <c r="B388" s="40" t="n"/>
      <c r="C388" s="41" t="n"/>
      <c r="D388" s="41" t="n"/>
      <c r="E388" s="42" t="n"/>
      <c r="F388" s="42" t="n"/>
      <c r="G388" s="43">
        <f>IF($B388="","",N($E388)+N($F388))</f>
        <v/>
      </c>
      <c r="H388" s="42" t="n"/>
      <c r="I388" s="43">
        <f>IF($B388="","",N($G388)-N($H388))</f>
        <v/>
      </c>
    </row>
    <row r="389">
      <c r="A389" s="39">
        <f>IF($B389="","",COUNTA($B$4:$B389))</f>
        <v/>
      </c>
      <c r="B389" s="45" t="n"/>
      <c r="C389" s="46" t="n"/>
      <c r="D389" s="46" t="n"/>
      <c r="E389" s="47" t="n"/>
      <c r="F389" s="47" t="n"/>
      <c r="G389" s="43">
        <f>IF($B389="","",N($E389)+N($F389))</f>
        <v/>
      </c>
      <c r="H389" s="47" t="n"/>
      <c r="I389" s="43">
        <f>IF($B389="","",N($G389)-N($H389))</f>
        <v/>
      </c>
    </row>
    <row r="390">
      <c r="A390" s="39">
        <f>IF($B390="","",COUNTA($B$4:$B390))</f>
        <v/>
      </c>
      <c r="B390" s="40" t="n"/>
      <c r="C390" s="41" t="n"/>
      <c r="D390" s="41" t="n"/>
      <c r="E390" s="42" t="n"/>
      <c r="F390" s="42" t="n"/>
      <c r="G390" s="43">
        <f>IF($B390="","",N($E390)+N($F390))</f>
        <v/>
      </c>
      <c r="H390" s="42" t="n"/>
      <c r="I390" s="43">
        <f>IF($B390="","",N($G390)-N($H390))</f>
        <v/>
      </c>
    </row>
    <row r="391">
      <c r="A391" s="39">
        <f>IF($B391="","",COUNTA($B$4:$B391))</f>
        <v/>
      </c>
      <c r="B391" s="45" t="n"/>
      <c r="C391" s="46" t="n"/>
      <c r="D391" s="46" t="n"/>
      <c r="E391" s="47" t="n"/>
      <c r="F391" s="47" t="n"/>
      <c r="G391" s="43">
        <f>IF($B391="","",N($E391)+N($F391))</f>
        <v/>
      </c>
      <c r="H391" s="47" t="n"/>
      <c r="I391" s="43">
        <f>IF($B391="","",N($G391)-N($H391))</f>
        <v/>
      </c>
    </row>
    <row r="392">
      <c r="A392" s="39">
        <f>IF($B392="","",COUNTA($B$4:$B392))</f>
        <v/>
      </c>
      <c r="B392" s="40" t="n"/>
      <c r="C392" s="41" t="n"/>
      <c r="D392" s="41" t="n"/>
      <c r="E392" s="42" t="n"/>
      <c r="F392" s="42" t="n"/>
      <c r="G392" s="43">
        <f>IF($B392="","",N($E392)+N($F392))</f>
        <v/>
      </c>
      <c r="H392" s="42" t="n"/>
      <c r="I392" s="43">
        <f>IF($B392="","",N($G392)-N($H392))</f>
        <v/>
      </c>
    </row>
    <row r="393">
      <c r="A393" s="39">
        <f>IF($B393="","",COUNTA($B$4:$B393))</f>
        <v/>
      </c>
      <c r="B393" s="45" t="n"/>
      <c r="C393" s="46" t="n"/>
      <c r="D393" s="46" t="n"/>
      <c r="E393" s="47" t="n"/>
      <c r="F393" s="47" t="n"/>
      <c r="G393" s="43">
        <f>IF($B393="","",N($E393)+N($F393))</f>
        <v/>
      </c>
      <c r="H393" s="47" t="n"/>
      <c r="I393" s="43">
        <f>IF($B393="","",N($G393)-N($H393))</f>
        <v/>
      </c>
    </row>
    <row r="394">
      <c r="A394" s="39">
        <f>IF($B394="","",COUNTA($B$4:$B394))</f>
        <v/>
      </c>
      <c r="B394" s="40" t="n"/>
      <c r="C394" s="41" t="n"/>
      <c r="D394" s="41" t="n"/>
      <c r="E394" s="42" t="n"/>
      <c r="F394" s="42" t="n"/>
      <c r="G394" s="43">
        <f>IF($B394="","",N($E394)+N($F394))</f>
        <v/>
      </c>
      <c r="H394" s="42" t="n"/>
      <c r="I394" s="43">
        <f>IF($B394="","",N($G394)-N($H394))</f>
        <v/>
      </c>
    </row>
    <row r="395">
      <c r="A395" s="39">
        <f>IF($B395="","",COUNTA($B$4:$B395))</f>
        <v/>
      </c>
      <c r="B395" s="45" t="n"/>
      <c r="C395" s="46" t="n"/>
      <c r="D395" s="46" t="n"/>
      <c r="E395" s="47" t="n"/>
      <c r="F395" s="47" t="n"/>
      <c r="G395" s="43">
        <f>IF($B395="","",N($E395)+N($F395))</f>
        <v/>
      </c>
      <c r="H395" s="47" t="n"/>
      <c r="I395" s="43">
        <f>IF($B395="","",N($G395)-N($H395))</f>
        <v/>
      </c>
    </row>
    <row r="396">
      <c r="A396" s="39">
        <f>IF($B396="","",COUNTA($B$4:$B396))</f>
        <v/>
      </c>
      <c r="B396" s="40" t="n"/>
      <c r="C396" s="41" t="n"/>
      <c r="D396" s="41" t="n"/>
      <c r="E396" s="42" t="n"/>
      <c r="F396" s="42" t="n"/>
      <c r="G396" s="43">
        <f>IF($B396="","",N($E396)+N($F396))</f>
        <v/>
      </c>
      <c r="H396" s="42" t="n"/>
      <c r="I396" s="43">
        <f>IF($B396="","",N($G396)-N($H396))</f>
        <v/>
      </c>
    </row>
    <row r="397">
      <c r="A397" s="39">
        <f>IF($B397="","",COUNTA($B$4:$B397))</f>
        <v/>
      </c>
      <c r="B397" s="45" t="n"/>
      <c r="C397" s="46" t="n"/>
      <c r="D397" s="46" t="n"/>
      <c r="E397" s="47" t="n"/>
      <c r="F397" s="47" t="n"/>
      <c r="G397" s="43">
        <f>IF($B397="","",N($E397)+N($F397))</f>
        <v/>
      </c>
      <c r="H397" s="47" t="n"/>
      <c r="I397" s="43">
        <f>IF($B397="","",N($G397)-N($H397))</f>
        <v/>
      </c>
    </row>
    <row r="398">
      <c r="A398" s="39">
        <f>IF($B398="","",COUNTA($B$4:$B398))</f>
        <v/>
      </c>
      <c r="B398" s="40" t="n"/>
      <c r="C398" s="41" t="n"/>
      <c r="D398" s="41" t="n"/>
      <c r="E398" s="42" t="n"/>
      <c r="F398" s="42" t="n"/>
      <c r="G398" s="43">
        <f>IF($B398="","",N($E398)+N($F398))</f>
        <v/>
      </c>
      <c r="H398" s="42" t="n"/>
      <c r="I398" s="43">
        <f>IF($B398="","",N($G398)-N($H398))</f>
        <v/>
      </c>
    </row>
    <row r="399">
      <c r="A399" s="39">
        <f>IF($B399="","",COUNTA($B$4:$B399))</f>
        <v/>
      </c>
      <c r="B399" s="45" t="n"/>
      <c r="C399" s="46" t="n"/>
      <c r="D399" s="46" t="n"/>
      <c r="E399" s="47" t="n"/>
      <c r="F399" s="47" t="n"/>
      <c r="G399" s="43">
        <f>IF($B399="","",N($E399)+N($F399))</f>
        <v/>
      </c>
      <c r="H399" s="47" t="n"/>
      <c r="I399" s="43">
        <f>IF($B399="","",N($G399)-N($H399))</f>
        <v/>
      </c>
    </row>
    <row r="400">
      <c r="A400" s="39">
        <f>IF($B400="","",COUNTA($B$4:$B400))</f>
        <v/>
      </c>
      <c r="B400" s="40" t="n"/>
      <c r="C400" s="41" t="n"/>
      <c r="D400" s="41" t="n"/>
      <c r="E400" s="42" t="n"/>
      <c r="F400" s="42" t="n"/>
      <c r="G400" s="43">
        <f>IF($B400="","",N($E400)+N($F400))</f>
        <v/>
      </c>
      <c r="H400" s="42" t="n"/>
      <c r="I400" s="43">
        <f>IF($B400="","",N($G400)-N($H400))</f>
        <v/>
      </c>
    </row>
    <row r="401">
      <c r="A401" s="39">
        <f>IF($B401="","",COUNTA($B$4:$B401))</f>
        <v/>
      </c>
      <c r="B401" s="45" t="n"/>
      <c r="C401" s="46" t="n"/>
      <c r="D401" s="46" t="n"/>
      <c r="E401" s="47" t="n"/>
      <c r="F401" s="47" t="n"/>
      <c r="G401" s="43">
        <f>IF($B401="","",N($E401)+N($F401))</f>
        <v/>
      </c>
      <c r="H401" s="47" t="n"/>
      <c r="I401" s="43">
        <f>IF($B401="","",N($G401)-N($H401))</f>
        <v/>
      </c>
    </row>
    <row r="402">
      <c r="A402" s="39">
        <f>IF($B402="","",COUNTA($B$4:$B402))</f>
        <v/>
      </c>
      <c r="B402" s="40" t="n"/>
      <c r="C402" s="41" t="n"/>
      <c r="D402" s="41" t="n"/>
      <c r="E402" s="42" t="n"/>
      <c r="F402" s="42" t="n"/>
      <c r="G402" s="43">
        <f>IF($B402="","",N($E402)+N($F402))</f>
        <v/>
      </c>
      <c r="H402" s="42" t="n"/>
      <c r="I402" s="43">
        <f>IF($B402="","",N($G402)-N($H402))</f>
        <v/>
      </c>
    </row>
    <row r="403">
      <c r="A403" s="39">
        <f>IF($B403="","",COUNTA($B$4:$B403))</f>
        <v/>
      </c>
      <c r="B403" s="45" t="n"/>
      <c r="C403" s="46" t="n"/>
      <c r="D403" s="46" t="n"/>
      <c r="E403" s="47" t="n"/>
      <c r="F403" s="47" t="n"/>
      <c r="G403" s="43">
        <f>IF($B403="","",N($E403)+N($F403))</f>
        <v/>
      </c>
      <c r="H403" s="47" t="n"/>
      <c r="I403" s="43">
        <f>IF($B403="","",N($G403)-N($H403))</f>
        <v/>
      </c>
    </row>
    <row r="404">
      <c r="A404" s="39">
        <f>IF($B404="","",COUNTA($B$4:$B404))</f>
        <v/>
      </c>
      <c r="B404" s="40" t="n"/>
      <c r="C404" s="41" t="n"/>
      <c r="D404" s="41" t="n"/>
      <c r="E404" s="42" t="n"/>
      <c r="F404" s="42" t="n"/>
      <c r="G404" s="43">
        <f>IF($B404="","",N($E404)+N($F404))</f>
        <v/>
      </c>
      <c r="H404" s="42" t="n"/>
      <c r="I404" s="43">
        <f>IF($B404="","",N($G404)-N($H404))</f>
        <v/>
      </c>
    </row>
    <row r="405">
      <c r="A405" s="39">
        <f>IF($B405="","",COUNTA($B$4:$B405))</f>
        <v/>
      </c>
      <c r="B405" s="45" t="n"/>
      <c r="C405" s="46" t="n"/>
      <c r="D405" s="46" t="n"/>
      <c r="E405" s="47" t="n"/>
      <c r="F405" s="47" t="n"/>
      <c r="G405" s="43">
        <f>IF($B405="","",N($E405)+N($F405))</f>
        <v/>
      </c>
      <c r="H405" s="47" t="n"/>
      <c r="I405" s="43">
        <f>IF($B405="","",N($G405)-N($H405))</f>
        <v/>
      </c>
    </row>
    <row r="406">
      <c r="A406" s="39">
        <f>IF($B406="","",COUNTA($B$4:$B406))</f>
        <v/>
      </c>
      <c r="B406" s="40" t="n"/>
      <c r="C406" s="41" t="n"/>
      <c r="D406" s="41" t="n"/>
      <c r="E406" s="42" t="n"/>
      <c r="F406" s="42" t="n"/>
      <c r="G406" s="43">
        <f>IF($B406="","",N($E406)+N($F406))</f>
        <v/>
      </c>
      <c r="H406" s="42" t="n"/>
      <c r="I406" s="43">
        <f>IF($B406="","",N($G406)-N($H406))</f>
        <v/>
      </c>
    </row>
    <row r="407">
      <c r="A407" s="39">
        <f>IF($B407="","",COUNTA($B$4:$B407))</f>
        <v/>
      </c>
      <c r="B407" s="45" t="n"/>
      <c r="C407" s="46" t="n"/>
      <c r="D407" s="46" t="n"/>
      <c r="E407" s="47" t="n"/>
      <c r="F407" s="47" t="n"/>
      <c r="G407" s="43">
        <f>IF($B407="","",N($E407)+N($F407))</f>
        <v/>
      </c>
      <c r="H407" s="47" t="n"/>
      <c r="I407" s="43">
        <f>IF($B407="","",N($G407)-N($H407))</f>
        <v/>
      </c>
    </row>
    <row r="408">
      <c r="A408" s="39">
        <f>IF($B408="","",COUNTA($B$4:$B408))</f>
        <v/>
      </c>
      <c r="B408" s="40" t="n"/>
      <c r="C408" s="41" t="n"/>
      <c r="D408" s="41" t="n"/>
      <c r="E408" s="42" t="n"/>
      <c r="F408" s="42" t="n"/>
      <c r="G408" s="43">
        <f>IF($B408="","",N($E408)+N($F408))</f>
        <v/>
      </c>
      <c r="H408" s="42" t="n"/>
      <c r="I408" s="43">
        <f>IF($B408="","",N($G408)-N($H408))</f>
        <v/>
      </c>
    </row>
    <row r="409">
      <c r="A409" s="39">
        <f>IF($B409="","",COUNTA($B$4:$B409))</f>
        <v/>
      </c>
      <c r="B409" s="45" t="n"/>
      <c r="C409" s="46" t="n"/>
      <c r="D409" s="46" t="n"/>
      <c r="E409" s="47" t="n"/>
      <c r="F409" s="47" t="n"/>
      <c r="G409" s="43">
        <f>IF($B409="","",N($E409)+N($F409))</f>
        <v/>
      </c>
      <c r="H409" s="47" t="n"/>
      <c r="I409" s="43">
        <f>IF($B409="","",N($G409)-N($H409))</f>
        <v/>
      </c>
    </row>
    <row r="410">
      <c r="A410" s="39">
        <f>IF($B410="","",COUNTA($B$4:$B410))</f>
        <v/>
      </c>
      <c r="B410" s="40" t="n"/>
      <c r="C410" s="41" t="n"/>
      <c r="D410" s="41" t="n"/>
      <c r="E410" s="42" t="n"/>
      <c r="F410" s="42" t="n"/>
      <c r="G410" s="43">
        <f>IF($B410="","",N($E410)+N($F410))</f>
        <v/>
      </c>
      <c r="H410" s="42" t="n"/>
      <c r="I410" s="43">
        <f>IF($B410="","",N($G410)-N($H410))</f>
        <v/>
      </c>
    </row>
    <row r="411">
      <c r="A411" s="39">
        <f>IF($B411="","",COUNTA($B$4:$B411))</f>
        <v/>
      </c>
      <c r="B411" s="45" t="n"/>
      <c r="C411" s="46" t="n"/>
      <c r="D411" s="46" t="n"/>
      <c r="E411" s="47" t="n"/>
      <c r="F411" s="47" t="n"/>
      <c r="G411" s="43">
        <f>IF($B411="","",N($E411)+N($F411))</f>
        <v/>
      </c>
      <c r="H411" s="47" t="n"/>
      <c r="I411" s="43">
        <f>IF($B411="","",N($G411)-N($H411))</f>
        <v/>
      </c>
    </row>
    <row r="412">
      <c r="A412" s="39">
        <f>IF($B412="","",COUNTA($B$4:$B412))</f>
        <v/>
      </c>
      <c r="B412" s="40" t="n"/>
      <c r="C412" s="41" t="n"/>
      <c r="D412" s="41" t="n"/>
      <c r="E412" s="42" t="n"/>
      <c r="F412" s="42" t="n"/>
      <c r="G412" s="43">
        <f>IF($B412="","",N($E412)+N($F412))</f>
        <v/>
      </c>
      <c r="H412" s="42" t="n"/>
      <c r="I412" s="43">
        <f>IF($B412="","",N($G412)-N($H412))</f>
        <v/>
      </c>
    </row>
    <row r="413">
      <c r="A413" s="39">
        <f>IF($B413="","",COUNTA($B$4:$B413))</f>
        <v/>
      </c>
      <c r="B413" s="45" t="n"/>
      <c r="C413" s="46" t="n"/>
      <c r="D413" s="46" t="n"/>
      <c r="E413" s="47" t="n"/>
      <c r="F413" s="47" t="n"/>
      <c r="G413" s="43">
        <f>IF($B413="","",N($E413)+N($F413))</f>
        <v/>
      </c>
      <c r="H413" s="47" t="n"/>
      <c r="I413" s="43">
        <f>IF($B413="","",N($G413)-N($H413))</f>
        <v/>
      </c>
    </row>
    <row r="414">
      <c r="A414" s="39">
        <f>IF($B414="","",COUNTA($B$4:$B414))</f>
        <v/>
      </c>
      <c r="B414" s="40" t="n"/>
      <c r="C414" s="41" t="n"/>
      <c r="D414" s="41" t="n"/>
      <c r="E414" s="42" t="n"/>
      <c r="F414" s="42" t="n"/>
      <c r="G414" s="43">
        <f>IF($B414="","",N($E414)+N($F414))</f>
        <v/>
      </c>
      <c r="H414" s="42" t="n"/>
      <c r="I414" s="43">
        <f>IF($B414="","",N($G414)-N($H414))</f>
        <v/>
      </c>
    </row>
    <row r="415">
      <c r="A415" s="39">
        <f>IF($B415="","",COUNTA($B$4:$B415))</f>
        <v/>
      </c>
      <c r="B415" s="45" t="n"/>
      <c r="C415" s="46" t="n"/>
      <c r="D415" s="46" t="n"/>
      <c r="E415" s="47" t="n"/>
      <c r="F415" s="47" t="n"/>
      <c r="G415" s="43">
        <f>IF($B415="","",N($E415)+N($F415))</f>
        <v/>
      </c>
      <c r="H415" s="47" t="n"/>
      <c r="I415" s="43">
        <f>IF($B415="","",N($G415)-N($H415))</f>
        <v/>
      </c>
    </row>
    <row r="416">
      <c r="A416" s="39">
        <f>IF($B416="","",COUNTA($B$4:$B416))</f>
        <v/>
      </c>
      <c r="B416" s="40" t="n"/>
      <c r="C416" s="41" t="n"/>
      <c r="D416" s="41" t="n"/>
      <c r="E416" s="42" t="n"/>
      <c r="F416" s="42" t="n"/>
      <c r="G416" s="43">
        <f>IF($B416="","",N($E416)+N($F416))</f>
        <v/>
      </c>
      <c r="H416" s="42" t="n"/>
      <c r="I416" s="43">
        <f>IF($B416="","",N($G416)-N($H416))</f>
        <v/>
      </c>
    </row>
    <row r="417">
      <c r="A417" s="39">
        <f>IF($B417="","",COUNTA($B$4:$B417))</f>
        <v/>
      </c>
      <c r="B417" s="45" t="n"/>
      <c r="C417" s="46" t="n"/>
      <c r="D417" s="46" t="n"/>
      <c r="E417" s="47" t="n"/>
      <c r="F417" s="47" t="n"/>
      <c r="G417" s="43">
        <f>IF($B417="","",N($E417)+N($F417))</f>
        <v/>
      </c>
      <c r="H417" s="47" t="n"/>
      <c r="I417" s="43">
        <f>IF($B417="","",N($G417)-N($H417))</f>
        <v/>
      </c>
    </row>
    <row r="418">
      <c r="A418" s="39">
        <f>IF($B418="","",COUNTA($B$4:$B418))</f>
        <v/>
      </c>
      <c r="B418" s="40" t="n"/>
      <c r="C418" s="41" t="n"/>
      <c r="D418" s="41" t="n"/>
      <c r="E418" s="42" t="n"/>
      <c r="F418" s="42" t="n"/>
      <c r="G418" s="43">
        <f>IF($B418="","",N($E418)+N($F418))</f>
        <v/>
      </c>
      <c r="H418" s="42" t="n"/>
      <c r="I418" s="43">
        <f>IF($B418="","",N($G418)-N($H418))</f>
        <v/>
      </c>
    </row>
    <row r="419">
      <c r="A419" s="39">
        <f>IF($B419="","",COUNTA($B$4:$B419))</f>
        <v/>
      </c>
      <c r="B419" s="45" t="n"/>
      <c r="C419" s="46" t="n"/>
      <c r="D419" s="46" t="n"/>
      <c r="E419" s="47" t="n"/>
      <c r="F419" s="47" t="n"/>
      <c r="G419" s="43">
        <f>IF($B419="","",N($E419)+N($F419))</f>
        <v/>
      </c>
      <c r="H419" s="47" t="n"/>
      <c r="I419" s="43">
        <f>IF($B419="","",N($G419)-N($H419))</f>
        <v/>
      </c>
    </row>
    <row r="420">
      <c r="A420" s="39">
        <f>IF($B420="","",COUNTA($B$4:$B420))</f>
        <v/>
      </c>
      <c r="B420" s="40" t="n"/>
      <c r="C420" s="41" t="n"/>
      <c r="D420" s="41" t="n"/>
      <c r="E420" s="42" t="n"/>
      <c r="F420" s="42" t="n"/>
      <c r="G420" s="43">
        <f>IF($B420="","",N($E420)+N($F420))</f>
        <v/>
      </c>
      <c r="H420" s="42" t="n"/>
      <c r="I420" s="43">
        <f>IF($B420="","",N($G420)-N($H420))</f>
        <v/>
      </c>
    </row>
    <row r="421">
      <c r="A421" s="39">
        <f>IF($B421="","",COUNTA($B$4:$B421))</f>
        <v/>
      </c>
      <c r="B421" s="45" t="n"/>
      <c r="C421" s="46" t="n"/>
      <c r="D421" s="46" t="n"/>
      <c r="E421" s="47" t="n"/>
      <c r="F421" s="47" t="n"/>
      <c r="G421" s="43">
        <f>IF($B421="","",N($E421)+N($F421))</f>
        <v/>
      </c>
      <c r="H421" s="47" t="n"/>
      <c r="I421" s="43">
        <f>IF($B421="","",N($G421)-N($H421))</f>
        <v/>
      </c>
    </row>
    <row r="422">
      <c r="A422" s="39">
        <f>IF($B422="","",COUNTA($B$4:$B422))</f>
        <v/>
      </c>
      <c r="B422" s="40" t="n"/>
      <c r="C422" s="41" t="n"/>
      <c r="D422" s="41" t="n"/>
      <c r="E422" s="42" t="n"/>
      <c r="F422" s="42" t="n"/>
      <c r="G422" s="43">
        <f>IF($B422="","",N($E422)+N($F422))</f>
        <v/>
      </c>
      <c r="H422" s="42" t="n"/>
      <c r="I422" s="43">
        <f>IF($B422="","",N($G422)-N($H422))</f>
        <v/>
      </c>
    </row>
    <row r="423">
      <c r="A423" s="39">
        <f>IF($B423="","",COUNTA($B$4:$B423))</f>
        <v/>
      </c>
      <c r="B423" s="45" t="n"/>
      <c r="C423" s="46" t="n"/>
      <c r="D423" s="46" t="n"/>
      <c r="E423" s="47" t="n"/>
      <c r="F423" s="47" t="n"/>
      <c r="G423" s="43">
        <f>IF($B423="","",N($E423)+N($F423))</f>
        <v/>
      </c>
      <c r="H423" s="47" t="n"/>
      <c r="I423" s="43">
        <f>IF($B423="","",N($G423)-N($H423))</f>
        <v/>
      </c>
    </row>
    <row r="424">
      <c r="A424" s="39">
        <f>IF($B424="","",COUNTA($B$4:$B424))</f>
        <v/>
      </c>
      <c r="B424" s="40" t="n"/>
      <c r="C424" s="41" t="n"/>
      <c r="D424" s="41" t="n"/>
      <c r="E424" s="42" t="n"/>
      <c r="F424" s="42" t="n"/>
      <c r="G424" s="43">
        <f>IF($B424="","",N($E424)+N($F424))</f>
        <v/>
      </c>
      <c r="H424" s="42" t="n"/>
      <c r="I424" s="43">
        <f>IF($B424="","",N($G424)-N($H424))</f>
        <v/>
      </c>
    </row>
    <row r="425">
      <c r="A425" s="39">
        <f>IF($B425="","",COUNTA($B$4:$B425))</f>
        <v/>
      </c>
      <c r="B425" s="45" t="n"/>
      <c r="C425" s="46" t="n"/>
      <c r="D425" s="46" t="n"/>
      <c r="E425" s="47" t="n"/>
      <c r="F425" s="47" t="n"/>
      <c r="G425" s="43">
        <f>IF($B425="","",N($E425)+N($F425))</f>
        <v/>
      </c>
      <c r="H425" s="47" t="n"/>
      <c r="I425" s="43">
        <f>IF($B425="","",N($G425)-N($H425))</f>
        <v/>
      </c>
    </row>
    <row r="426">
      <c r="A426" s="39">
        <f>IF($B426="","",COUNTA($B$4:$B426))</f>
        <v/>
      </c>
      <c r="B426" s="40" t="n"/>
      <c r="C426" s="41" t="n"/>
      <c r="D426" s="41" t="n"/>
      <c r="E426" s="42" t="n"/>
      <c r="F426" s="42" t="n"/>
      <c r="G426" s="43">
        <f>IF($B426="","",N($E426)+N($F426))</f>
        <v/>
      </c>
      <c r="H426" s="42" t="n"/>
      <c r="I426" s="43">
        <f>IF($B426="","",N($G426)-N($H426))</f>
        <v/>
      </c>
    </row>
    <row r="427">
      <c r="A427" s="39">
        <f>IF($B427="","",COUNTA($B$4:$B427))</f>
        <v/>
      </c>
      <c r="B427" s="45" t="n"/>
      <c r="C427" s="46" t="n"/>
      <c r="D427" s="46" t="n"/>
      <c r="E427" s="47" t="n"/>
      <c r="F427" s="47" t="n"/>
      <c r="G427" s="43">
        <f>IF($B427="","",N($E427)+N($F427))</f>
        <v/>
      </c>
      <c r="H427" s="47" t="n"/>
      <c r="I427" s="43">
        <f>IF($B427="","",N($G427)-N($H427))</f>
        <v/>
      </c>
    </row>
    <row r="428">
      <c r="A428" s="39">
        <f>IF($B428="","",COUNTA($B$4:$B428))</f>
        <v/>
      </c>
      <c r="B428" s="40" t="n"/>
      <c r="C428" s="41" t="n"/>
      <c r="D428" s="41" t="n"/>
      <c r="E428" s="42" t="n"/>
      <c r="F428" s="42" t="n"/>
      <c r="G428" s="43">
        <f>IF($B428="","",N($E428)+N($F428))</f>
        <v/>
      </c>
      <c r="H428" s="42" t="n"/>
      <c r="I428" s="43">
        <f>IF($B428="","",N($G428)-N($H428))</f>
        <v/>
      </c>
    </row>
    <row r="429">
      <c r="A429" s="39">
        <f>IF($B429="","",COUNTA($B$4:$B429))</f>
        <v/>
      </c>
      <c r="B429" s="45" t="n"/>
      <c r="C429" s="46" t="n"/>
      <c r="D429" s="46" t="n"/>
      <c r="E429" s="47" t="n"/>
      <c r="F429" s="47" t="n"/>
      <c r="G429" s="43">
        <f>IF($B429="","",N($E429)+N($F429))</f>
        <v/>
      </c>
      <c r="H429" s="47" t="n"/>
      <c r="I429" s="43">
        <f>IF($B429="","",N($G429)-N($H429))</f>
        <v/>
      </c>
    </row>
    <row r="430">
      <c r="A430" s="39">
        <f>IF($B430="","",COUNTA($B$4:$B430))</f>
        <v/>
      </c>
      <c r="B430" s="40" t="n"/>
      <c r="C430" s="41" t="n"/>
      <c r="D430" s="41" t="n"/>
      <c r="E430" s="42" t="n"/>
      <c r="F430" s="42" t="n"/>
      <c r="G430" s="43">
        <f>IF($B430="","",N($E430)+N($F430))</f>
        <v/>
      </c>
      <c r="H430" s="42" t="n"/>
      <c r="I430" s="43">
        <f>IF($B430="","",N($G430)-N($H430))</f>
        <v/>
      </c>
    </row>
    <row r="431">
      <c r="A431" s="39">
        <f>IF($B431="","",COUNTA($B$4:$B431))</f>
        <v/>
      </c>
      <c r="B431" s="45" t="n"/>
      <c r="C431" s="46" t="n"/>
      <c r="D431" s="46" t="n"/>
      <c r="E431" s="47" t="n"/>
      <c r="F431" s="47" t="n"/>
      <c r="G431" s="43">
        <f>IF($B431="","",N($E431)+N($F431))</f>
        <v/>
      </c>
      <c r="H431" s="47" t="n"/>
      <c r="I431" s="43">
        <f>IF($B431="","",N($G431)-N($H431))</f>
        <v/>
      </c>
    </row>
    <row r="432">
      <c r="A432" s="39">
        <f>IF($B432="","",COUNTA($B$4:$B432))</f>
        <v/>
      </c>
      <c r="B432" s="40" t="n"/>
      <c r="C432" s="41" t="n"/>
      <c r="D432" s="41" t="n"/>
      <c r="E432" s="42" t="n"/>
      <c r="F432" s="42" t="n"/>
      <c r="G432" s="43">
        <f>IF($B432="","",N($E432)+N($F432))</f>
        <v/>
      </c>
      <c r="H432" s="42" t="n"/>
      <c r="I432" s="43">
        <f>IF($B432="","",N($G432)-N($H432))</f>
        <v/>
      </c>
    </row>
    <row r="433">
      <c r="A433" s="39">
        <f>IF($B433="","",COUNTA($B$4:$B433))</f>
        <v/>
      </c>
      <c r="B433" s="45" t="n"/>
      <c r="C433" s="46" t="n"/>
      <c r="D433" s="46" t="n"/>
      <c r="E433" s="47" t="n"/>
      <c r="F433" s="47" t="n"/>
      <c r="G433" s="43">
        <f>IF($B433="","",N($E433)+N($F433))</f>
        <v/>
      </c>
      <c r="H433" s="47" t="n"/>
      <c r="I433" s="43">
        <f>IF($B433="","",N($G433)-N($H433))</f>
        <v/>
      </c>
    </row>
    <row r="434">
      <c r="A434" s="39">
        <f>IF($B434="","",COUNTA($B$4:$B434))</f>
        <v/>
      </c>
      <c r="B434" s="40" t="n"/>
      <c r="C434" s="41" t="n"/>
      <c r="D434" s="41" t="n"/>
      <c r="E434" s="42" t="n"/>
      <c r="F434" s="42" t="n"/>
      <c r="G434" s="43">
        <f>IF($B434="","",N($E434)+N($F434))</f>
        <v/>
      </c>
      <c r="H434" s="42" t="n"/>
      <c r="I434" s="43">
        <f>IF($B434="","",N($G434)-N($H434))</f>
        <v/>
      </c>
    </row>
    <row r="435">
      <c r="A435" s="39">
        <f>IF($B435="","",COUNTA($B$4:$B435))</f>
        <v/>
      </c>
      <c r="B435" s="45" t="n"/>
      <c r="C435" s="46" t="n"/>
      <c r="D435" s="46" t="n"/>
      <c r="E435" s="47" t="n"/>
      <c r="F435" s="47" t="n"/>
      <c r="G435" s="43">
        <f>IF($B435="","",N($E435)+N($F435))</f>
        <v/>
      </c>
      <c r="H435" s="47" t="n"/>
      <c r="I435" s="43">
        <f>IF($B435="","",N($G435)-N($H435))</f>
        <v/>
      </c>
    </row>
    <row r="436">
      <c r="A436" s="39">
        <f>IF($B436="","",COUNTA($B$4:$B436))</f>
        <v/>
      </c>
      <c r="B436" s="40" t="n"/>
      <c r="C436" s="41" t="n"/>
      <c r="D436" s="41" t="n"/>
      <c r="E436" s="42" t="n"/>
      <c r="F436" s="42" t="n"/>
      <c r="G436" s="43">
        <f>IF($B436="","",N($E436)+N($F436))</f>
        <v/>
      </c>
      <c r="H436" s="42" t="n"/>
      <c r="I436" s="43">
        <f>IF($B436="","",N($G436)-N($H436))</f>
        <v/>
      </c>
    </row>
    <row r="437">
      <c r="A437" s="39">
        <f>IF($B437="","",COUNTA($B$4:$B437))</f>
        <v/>
      </c>
      <c r="B437" s="45" t="n"/>
      <c r="C437" s="46" t="n"/>
      <c r="D437" s="46" t="n"/>
      <c r="E437" s="47" t="n"/>
      <c r="F437" s="47" t="n"/>
      <c r="G437" s="43">
        <f>IF($B437="","",N($E437)+N($F437))</f>
        <v/>
      </c>
      <c r="H437" s="47" t="n"/>
      <c r="I437" s="43">
        <f>IF($B437="","",N($G437)-N($H437))</f>
        <v/>
      </c>
    </row>
    <row r="438">
      <c r="A438" s="39">
        <f>IF($B438="","",COUNTA($B$4:$B438))</f>
        <v/>
      </c>
      <c r="B438" s="40" t="n"/>
      <c r="C438" s="41" t="n"/>
      <c r="D438" s="41" t="n"/>
      <c r="E438" s="42" t="n"/>
      <c r="F438" s="42" t="n"/>
      <c r="G438" s="43">
        <f>IF($B438="","",N($E438)+N($F438))</f>
        <v/>
      </c>
      <c r="H438" s="42" t="n"/>
      <c r="I438" s="43">
        <f>IF($B438="","",N($G438)-N($H438))</f>
        <v/>
      </c>
    </row>
    <row r="439">
      <c r="A439" s="39">
        <f>IF($B439="","",COUNTA($B$4:$B439))</f>
        <v/>
      </c>
      <c r="B439" s="45" t="n"/>
      <c r="C439" s="46" t="n"/>
      <c r="D439" s="46" t="n"/>
      <c r="E439" s="47" t="n"/>
      <c r="F439" s="47" t="n"/>
      <c r="G439" s="43">
        <f>IF($B439="","",N($E439)+N($F439))</f>
        <v/>
      </c>
      <c r="H439" s="47" t="n"/>
      <c r="I439" s="43">
        <f>IF($B439="","",N($G439)-N($H439))</f>
        <v/>
      </c>
    </row>
    <row r="440">
      <c r="A440" s="39">
        <f>IF($B440="","",COUNTA($B$4:$B440))</f>
        <v/>
      </c>
      <c r="B440" s="40" t="n"/>
      <c r="C440" s="41" t="n"/>
      <c r="D440" s="41" t="n"/>
      <c r="E440" s="42" t="n"/>
      <c r="F440" s="42" t="n"/>
      <c r="G440" s="43">
        <f>IF($B440="","",N($E440)+N($F440))</f>
        <v/>
      </c>
      <c r="H440" s="42" t="n"/>
      <c r="I440" s="43">
        <f>IF($B440="","",N($G440)-N($H440))</f>
        <v/>
      </c>
    </row>
    <row r="441">
      <c r="A441" s="39">
        <f>IF($B441="","",COUNTA($B$4:$B441))</f>
        <v/>
      </c>
      <c r="B441" s="45" t="n"/>
      <c r="C441" s="46" t="n"/>
      <c r="D441" s="46" t="n"/>
      <c r="E441" s="47" t="n"/>
      <c r="F441" s="47" t="n"/>
      <c r="G441" s="43">
        <f>IF($B441="","",N($E441)+N($F441))</f>
        <v/>
      </c>
      <c r="H441" s="47" t="n"/>
      <c r="I441" s="43">
        <f>IF($B441="","",N($G441)-N($H441))</f>
        <v/>
      </c>
    </row>
    <row r="442">
      <c r="A442" s="39">
        <f>IF($B442="","",COUNTA($B$4:$B442))</f>
        <v/>
      </c>
      <c r="B442" s="40" t="n"/>
      <c r="C442" s="41" t="n"/>
      <c r="D442" s="41" t="n"/>
      <c r="E442" s="42" t="n"/>
      <c r="F442" s="42" t="n"/>
      <c r="G442" s="43">
        <f>IF($B442="","",N($E442)+N($F442))</f>
        <v/>
      </c>
      <c r="H442" s="42" t="n"/>
      <c r="I442" s="43">
        <f>IF($B442="","",N($G442)-N($H442))</f>
        <v/>
      </c>
    </row>
    <row r="443">
      <c r="A443" s="39">
        <f>IF($B443="","",COUNTA($B$4:$B443))</f>
        <v/>
      </c>
      <c r="B443" s="45" t="n"/>
      <c r="C443" s="46" t="n"/>
      <c r="D443" s="46" t="n"/>
      <c r="E443" s="47" t="n"/>
      <c r="F443" s="47" t="n"/>
      <c r="G443" s="43">
        <f>IF($B443="","",N($E443)+N($F443))</f>
        <v/>
      </c>
      <c r="H443" s="47" t="n"/>
      <c r="I443" s="43">
        <f>IF($B443="","",N($G443)-N($H443))</f>
        <v/>
      </c>
    </row>
    <row r="444">
      <c r="A444" s="39">
        <f>IF($B444="","",COUNTA($B$4:$B444))</f>
        <v/>
      </c>
      <c r="B444" s="40" t="n"/>
      <c r="C444" s="41" t="n"/>
      <c r="D444" s="41" t="n"/>
      <c r="E444" s="42" t="n"/>
      <c r="F444" s="42" t="n"/>
      <c r="G444" s="43">
        <f>IF($B444="","",N($E444)+N($F444))</f>
        <v/>
      </c>
      <c r="H444" s="42" t="n"/>
      <c r="I444" s="43">
        <f>IF($B444="","",N($G444)-N($H444))</f>
        <v/>
      </c>
    </row>
    <row r="445">
      <c r="A445" s="39">
        <f>IF($B445="","",COUNTA($B$4:$B445))</f>
        <v/>
      </c>
      <c r="B445" s="45" t="n"/>
      <c r="C445" s="46" t="n"/>
      <c r="D445" s="46" t="n"/>
      <c r="E445" s="47" t="n"/>
      <c r="F445" s="47" t="n"/>
      <c r="G445" s="43">
        <f>IF($B445="","",N($E445)+N($F445))</f>
        <v/>
      </c>
      <c r="H445" s="47" t="n"/>
      <c r="I445" s="43">
        <f>IF($B445="","",N($G445)-N($H445))</f>
        <v/>
      </c>
    </row>
    <row r="446">
      <c r="A446" s="39">
        <f>IF($B446="","",COUNTA($B$4:$B446))</f>
        <v/>
      </c>
      <c r="B446" s="40" t="n"/>
      <c r="C446" s="41" t="n"/>
      <c r="D446" s="41" t="n"/>
      <c r="E446" s="42" t="n"/>
      <c r="F446" s="42" t="n"/>
      <c r="G446" s="43">
        <f>IF($B446="","",N($E446)+N($F446))</f>
        <v/>
      </c>
      <c r="H446" s="42" t="n"/>
      <c r="I446" s="43">
        <f>IF($B446="","",N($G446)-N($H446))</f>
        <v/>
      </c>
    </row>
    <row r="447">
      <c r="A447" s="39">
        <f>IF($B447="","",COUNTA($B$4:$B447))</f>
        <v/>
      </c>
      <c r="B447" s="45" t="n"/>
      <c r="C447" s="46" t="n"/>
      <c r="D447" s="46" t="n"/>
      <c r="E447" s="47" t="n"/>
      <c r="F447" s="47" t="n"/>
      <c r="G447" s="43">
        <f>IF($B447="","",N($E447)+N($F447))</f>
        <v/>
      </c>
      <c r="H447" s="47" t="n"/>
      <c r="I447" s="43">
        <f>IF($B447="","",N($G447)-N($H447))</f>
        <v/>
      </c>
    </row>
    <row r="448">
      <c r="A448" s="39">
        <f>IF($B448="","",COUNTA($B$4:$B448))</f>
        <v/>
      </c>
      <c r="B448" s="40" t="n"/>
      <c r="C448" s="41" t="n"/>
      <c r="D448" s="41" t="n"/>
      <c r="E448" s="42" t="n"/>
      <c r="F448" s="42" t="n"/>
      <c r="G448" s="43">
        <f>IF($B448="","",N($E448)+N($F448))</f>
        <v/>
      </c>
      <c r="H448" s="42" t="n"/>
      <c r="I448" s="43">
        <f>IF($B448="","",N($G448)-N($H448))</f>
        <v/>
      </c>
    </row>
    <row r="449">
      <c r="A449" s="39">
        <f>IF($B449="","",COUNTA($B$4:$B449))</f>
        <v/>
      </c>
      <c r="B449" s="45" t="n"/>
      <c r="C449" s="46" t="n"/>
      <c r="D449" s="46" t="n"/>
      <c r="E449" s="47" t="n"/>
      <c r="F449" s="47" t="n"/>
      <c r="G449" s="43">
        <f>IF($B449="","",N($E449)+N($F449))</f>
        <v/>
      </c>
      <c r="H449" s="47" t="n"/>
      <c r="I449" s="43">
        <f>IF($B449="","",N($G449)-N($H449))</f>
        <v/>
      </c>
    </row>
    <row r="450">
      <c r="A450" s="39">
        <f>IF($B450="","",COUNTA($B$4:$B450))</f>
        <v/>
      </c>
      <c r="B450" s="40" t="n"/>
      <c r="C450" s="41" t="n"/>
      <c r="D450" s="41" t="n"/>
      <c r="E450" s="42" t="n"/>
      <c r="F450" s="42" t="n"/>
      <c r="G450" s="43">
        <f>IF($B450="","",N($E450)+N($F450))</f>
        <v/>
      </c>
      <c r="H450" s="42" t="n"/>
      <c r="I450" s="43">
        <f>IF($B450="","",N($G450)-N($H450))</f>
        <v/>
      </c>
    </row>
    <row r="451">
      <c r="A451" s="39">
        <f>IF($B451="","",COUNTA($B$4:$B451))</f>
        <v/>
      </c>
      <c r="B451" s="45" t="n"/>
      <c r="C451" s="46" t="n"/>
      <c r="D451" s="46" t="n"/>
      <c r="E451" s="47" t="n"/>
      <c r="F451" s="47" t="n"/>
      <c r="G451" s="43">
        <f>IF($B451="","",N($E451)+N($F451))</f>
        <v/>
      </c>
      <c r="H451" s="47" t="n"/>
      <c r="I451" s="43">
        <f>IF($B451="","",N($G451)-N($H451))</f>
        <v/>
      </c>
    </row>
    <row r="452">
      <c r="A452" s="39">
        <f>IF($B452="","",COUNTA($B$4:$B452))</f>
        <v/>
      </c>
      <c r="B452" s="40" t="n"/>
      <c r="C452" s="41" t="n"/>
      <c r="D452" s="41" t="n"/>
      <c r="E452" s="42" t="n"/>
      <c r="F452" s="42" t="n"/>
      <c r="G452" s="43">
        <f>IF($B452="","",N($E452)+N($F452))</f>
        <v/>
      </c>
      <c r="H452" s="42" t="n"/>
      <c r="I452" s="43">
        <f>IF($B452="","",N($G452)-N($H452))</f>
        <v/>
      </c>
    </row>
    <row r="453">
      <c r="A453" s="39">
        <f>IF($B453="","",COUNTA($B$4:$B453))</f>
        <v/>
      </c>
      <c r="B453" s="45" t="n"/>
      <c r="C453" s="46" t="n"/>
      <c r="D453" s="46" t="n"/>
      <c r="E453" s="47" t="n"/>
      <c r="F453" s="47" t="n"/>
      <c r="G453" s="43">
        <f>IF($B453="","",N($E453)+N($F453))</f>
        <v/>
      </c>
      <c r="H453" s="47" t="n"/>
      <c r="I453" s="43">
        <f>IF($B453="","",N($G453)-N($H453))</f>
        <v/>
      </c>
    </row>
    <row r="454">
      <c r="A454" s="39">
        <f>IF($B454="","",COUNTA($B$4:$B454))</f>
        <v/>
      </c>
      <c r="B454" s="40" t="n"/>
      <c r="C454" s="41" t="n"/>
      <c r="D454" s="41" t="n"/>
      <c r="E454" s="42" t="n"/>
      <c r="F454" s="42" t="n"/>
      <c r="G454" s="43">
        <f>IF($B454="","",N($E454)+N($F454))</f>
        <v/>
      </c>
      <c r="H454" s="42" t="n"/>
      <c r="I454" s="43">
        <f>IF($B454="","",N($G454)-N($H454))</f>
        <v/>
      </c>
    </row>
    <row r="455">
      <c r="A455" s="39">
        <f>IF($B455="","",COUNTA($B$4:$B455))</f>
        <v/>
      </c>
      <c r="B455" s="45" t="n"/>
      <c r="C455" s="46" t="n"/>
      <c r="D455" s="46" t="n"/>
      <c r="E455" s="47" t="n"/>
      <c r="F455" s="47" t="n"/>
      <c r="G455" s="43">
        <f>IF($B455="","",N($E455)+N($F455))</f>
        <v/>
      </c>
      <c r="H455" s="47" t="n"/>
      <c r="I455" s="43">
        <f>IF($B455="","",N($G455)-N($H455))</f>
        <v/>
      </c>
    </row>
    <row r="456">
      <c r="A456" s="39">
        <f>IF($B456="","",COUNTA($B$4:$B456))</f>
        <v/>
      </c>
      <c r="B456" s="40" t="n"/>
      <c r="C456" s="41" t="n"/>
      <c r="D456" s="41" t="n"/>
      <c r="E456" s="42" t="n"/>
      <c r="F456" s="42" t="n"/>
      <c r="G456" s="43">
        <f>IF($B456="","",N($E456)+N($F456))</f>
        <v/>
      </c>
      <c r="H456" s="42" t="n"/>
      <c r="I456" s="43">
        <f>IF($B456="","",N($G456)-N($H456))</f>
        <v/>
      </c>
    </row>
    <row r="457">
      <c r="A457" s="39">
        <f>IF($B457="","",COUNTA($B$4:$B457))</f>
        <v/>
      </c>
      <c r="B457" s="45" t="n"/>
      <c r="C457" s="46" t="n"/>
      <c r="D457" s="46" t="n"/>
      <c r="E457" s="47" t="n"/>
      <c r="F457" s="47" t="n"/>
      <c r="G457" s="43">
        <f>IF($B457="","",N($E457)+N($F457))</f>
        <v/>
      </c>
      <c r="H457" s="47" t="n"/>
      <c r="I457" s="43">
        <f>IF($B457="","",N($G457)-N($H457))</f>
        <v/>
      </c>
    </row>
    <row r="458">
      <c r="A458" s="39">
        <f>IF($B458="","",COUNTA($B$4:$B458))</f>
        <v/>
      </c>
      <c r="B458" s="40" t="n"/>
      <c r="C458" s="41" t="n"/>
      <c r="D458" s="41" t="n"/>
      <c r="E458" s="42" t="n"/>
      <c r="F458" s="42" t="n"/>
      <c r="G458" s="43">
        <f>IF($B458="","",N($E458)+N($F458))</f>
        <v/>
      </c>
      <c r="H458" s="42" t="n"/>
      <c r="I458" s="43">
        <f>IF($B458="","",N($G458)-N($H458))</f>
        <v/>
      </c>
    </row>
    <row r="459">
      <c r="A459" s="39">
        <f>IF($B459="","",COUNTA($B$4:$B459))</f>
        <v/>
      </c>
      <c r="B459" s="45" t="n"/>
      <c r="C459" s="46" t="n"/>
      <c r="D459" s="46" t="n"/>
      <c r="E459" s="47" t="n"/>
      <c r="F459" s="47" t="n"/>
      <c r="G459" s="43">
        <f>IF($B459="","",N($E459)+N($F459))</f>
        <v/>
      </c>
      <c r="H459" s="47" t="n"/>
      <c r="I459" s="43">
        <f>IF($B459="","",N($G459)-N($H459))</f>
        <v/>
      </c>
    </row>
    <row r="460">
      <c r="A460" s="39">
        <f>IF($B460="","",COUNTA($B$4:$B460))</f>
        <v/>
      </c>
      <c r="B460" s="40" t="n"/>
      <c r="C460" s="41" t="n"/>
      <c r="D460" s="41" t="n"/>
      <c r="E460" s="42" t="n"/>
      <c r="F460" s="42" t="n"/>
      <c r="G460" s="43">
        <f>IF($B460="","",N($E460)+N($F460))</f>
        <v/>
      </c>
      <c r="H460" s="42" t="n"/>
      <c r="I460" s="43">
        <f>IF($B460="","",N($G460)-N($H460))</f>
        <v/>
      </c>
    </row>
    <row r="461">
      <c r="A461" s="39">
        <f>IF($B461="","",COUNTA($B$4:$B461))</f>
        <v/>
      </c>
      <c r="B461" s="45" t="n"/>
      <c r="C461" s="46" t="n"/>
      <c r="D461" s="46" t="n"/>
      <c r="E461" s="47" t="n"/>
      <c r="F461" s="47" t="n"/>
      <c r="G461" s="43">
        <f>IF($B461="","",N($E461)+N($F461))</f>
        <v/>
      </c>
      <c r="H461" s="47" t="n"/>
      <c r="I461" s="43">
        <f>IF($B461="","",N($G461)-N($H461))</f>
        <v/>
      </c>
    </row>
    <row r="462">
      <c r="A462" s="39">
        <f>IF($B462="","",COUNTA($B$4:$B462))</f>
        <v/>
      </c>
      <c r="B462" s="40" t="n"/>
      <c r="C462" s="41" t="n"/>
      <c r="D462" s="41" t="n"/>
      <c r="E462" s="42" t="n"/>
      <c r="F462" s="42" t="n"/>
      <c r="G462" s="43">
        <f>IF($B462="","",N($E462)+N($F462))</f>
        <v/>
      </c>
      <c r="H462" s="42" t="n"/>
      <c r="I462" s="43">
        <f>IF($B462="","",N($G462)-N($H462))</f>
        <v/>
      </c>
    </row>
    <row r="463">
      <c r="A463" s="39">
        <f>IF($B463="","",COUNTA($B$4:$B463))</f>
        <v/>
      </c>
      <c r="B463" s="45" t="n"/>
      <c r="C463" s="46" t="n"/>
      <c r="D463" s="46" t="n"/>
      <c r="E463" s="47" t="n"/>
      <c r="F463" s="47" t="n"/>
      <c r="G463" s="43">
        <f>IF($B463="","",N($E463)+N($F463))</f>
        <v/>
      </c>
      <c r="H463" s="47" t="n"/>
      <c r="I463" s="43">
        <f>IF($B463="","",N($G463)-N($H463))</f>
        <v/>
      </c>
    </row>
    <row r="464">
      <c r="A464" s="39">
        <f>IF($B464="","",COUNTA($B$4:$B464))</f>
        <v/>
      </c>
      <c r="B464" s="40" t="n"/>
      <c r="C464" s="41" t="n"/>
      <c r="D464" s="41" t="n"/>
      <c r="E464" s="42" t="n"/>
      <c r="F464" s="42" t="n"/>
      <c r="G464" s="43">
        <f>IF($B464="","",N($E464)+N($F464))</f>
        <v/>
      </c>
      <c r="H464" s="42" t="n"/>
      <c r="I464" s="43">
        <f>IF($B464="","",N($G464)-N($H464))</f>
        <v/>
      </c>
    </row>
    <row r="465">
      <c r="A465" s="39">
        <f>IF($B465="","",COUNTA($B$4:$B465))</f>
        <v/>
      </c>
      <c r="B465" s="45" t="n"/>
      <c r="C465" s="46" t="n"/>
      <c r="D465" s="46" t="n"/>
      <c r="E465" s="47" t="n"/>
      <c r="F465" s="47" t="n"/>
      <c r="G465" s="43">
        <f>IF($B465="","",N($E465)+N($F465))</f>
        <v/>
      </c>
      <c r="H465" s="47" t="n"/>
      <c r="I465" s="43">
        <f>IF($B465="","",N($G465)-N($H465))</f>
        <v/>
      </c>
    </row>
    <row r="466">
      <c r="A466" s="39">
        <f>IF($B466="","",COUNTA($B$4:$B466))</f>
        <v/>
      </c>
      <c r="B466" s="40" t="n"/>
      <c r="C466" s="41" t="n"/>
      <c r="D466" s="41" t="n"/>
      <c r="E466" s="42" t="n"/>
      <c r="F466" s="42" t="n"/>
      <c r="G466" s="43">
        <f>IF($B466="","",N($E466)+N($F466))</f>
        <v/>
      </c>
      <c r="H466" s="42" t="n"/>
      <c r="I466" s="43">
        <f>IF($B466="","",N($G466)-N($H466))</f>
        <v/>
      </c>
    </row>
    <row r="467">
      <c r="A467" s="39">
        <f>IF($B467="","",COUNTA($B$4:$B467))</f>
        <v/>
      </c>
      <c r="B467" s="45" t="n"/>
      <c r="C467" s="46" t="n"/>
      <c r="D467" s="46" t="n"/>
      <c r="E467" s="47" t="n"/>
      <c r="F467" s="47" t="n"/>
      <c r="G467" s="43">
        <f>IF($B467="","",N($E467)+N($F467))</f>
        <v/>
      </c>
      <c r="H467" s="47" t="n"/>
      <c r="I467" s="43">
        <f>IF($B467="","",N($G467)-N($H467))</f>
        <v/>
      </c>
    </row>
    <row r="468">
      <c r="A468" s="39">
        <f>IF($B468="","",COUNTA($B$4:$B468))</f>
        <v/>
      </c>
      <c r="B468" s="40" t="n"/>
      <c r="C468" s="41" t="n"/>
      <c r="D468" s="41" t="n"/>
      <c r="E468" s="42" t="n"/>
      <c r="F468" s="42" t="n"/>
      <c r="G468" s="43">
        <f>IF($B468="","",N($E468)+N($F468))</f>
        <v/>
      </c>
      <c r="H468" s="42" t="n"/>
      <c r="I468" s="43">
        <f>IF($B468="","",N($G468)-N($H468))</f>
        <v/>
      </c>
    </row>
    <row r="469">
      <c r="A469" s="39">
        <f>IF($B469="","",COUNTA($B$4:$B469))</f>
        <v/>
      </c>
      <c r="B469" s="45" t="n"/>
      <c r="C469" s="46" t="n"/>
      <c r="D469" s="46" t="n"/>
      <c r="E469" s="47" t="n"/>
      <c r="F469" s="47" t="n"/>
      <c r="G469" s="43">
        <f>IF($B469="","",N($E469)+N($F469))</f>
        <v/>
      </c>
      <c r="H469" s="47" t="n"/>
      <c r="I469" s="43">
        <f>IF($B469="","",N($G469)-N($H469))</f>
        <v/>
      </c>
    </row>
    <row r="470">
      <c r="A470" s="39">
        <f>IF($B470="","",COUNTA($B$4:$B470))</f>
        <v/>
      </c>
      <c r="B470" s="40" t="n"/>
      <c r="C470" s="41" t="n"/>
      <c r="D470" s="41" t="n"/>
      <c r="E470" s="42" t="n"/>
      <c r="F470" s="42" t="n"/>
      <c r="G470" s="43">
        <f>IF($B470="","",N($E470)+N($F470))</f>
        <v/>
      </c>
      <c r="H470" s="42" t="n"/>
      <c r="I470" s="43">
        <f>IF($B470="","",N($G470)-N($H470))</f>
        <v/>
      </c>
    </row>
    <row r="471">
      <c r="A471" s="39">
        <f>IF($B471="","",COUNTA($B$4:$B471))</f>
        <v/>
      </c>
      <c r="B471" s="45" t="n"/>
      <c r="C471" s="46" t="n"/>
      <c r="D471" s="46" t="n"/>
      <c r="E471" s="47" t="n"/>
      <c r="F471" s="47" t="n"/>
      <c r="G471" s="43">
        <f>IF($B471="","",N($E471)+N($F471))</f>
        <v/>
      </c>
      <c r="H471" s="47" t="n"/>
      <c r="I471" s="43">
        <f>IF($B471="","",N($G471)-N($H471))</f>
        <v/>
      </c>
    </row>
    <row r="472">
      <c r="A472" s="39">
        <f>IF($B472="","",COUNTA($B$4:$B472))</f>
        <v/>
      </c>
      <c r="B472" s="40" t="n"/>
      <c r="C472" s="41" t="n"/>
      <c r="D472" s="41" t="n"/>
      <c r="E472" s="42" t="n"/>
      <c r="F472" s="42" t="n"/>
      <c r="G472" s="43">
        <f>IF($B472="","",N($E472)+N($F472))</f>
        <v/>
      </c>
      <c r="H472" s="42" t="n"/>
      <c r="I472" s="43">
        <f>IF($B472="","",N($G472)-N($H472))</f>
        <v/>
      </c>
    </row>
    <row r="473">
      <c r="A473" s="39">
        <f>IF($B473="","",COUNTA($B$4:$B473))</f>
        <v/>
      </c>
      <c r="B473" s="45" t="n"/>
      <c r="C473" s="46" t="n"/>
      <c r="D473" s="46" t="n"/>
      <c r="E473" s="47" t="n"/>
      <c r="F473" s="47" t="n"/>
      <c r="G473" s="43">
        <f>IF($B473="","",N($E473)+N($F473))</f>
        <v/>
      </c>
      <c r="H473" s="47" t="n"/>
      <c r="I473" s="43">
        <f>IF($B473="","",N($G473)-N($H473))</f>
        <v/>
      </c>
    </row>
    <row r="474">
      <c r="A474" s="39">
        <f>IF($B474="","",COUNTA($B$4:$B474))</f>
        <v/>
      </c>
      <c r="B474" s="40" t="n"/>
      <c r="C474" s="41" t="n"/>
      <c r="D474" s="41" t="n"/>
      <c r="E474" s="42" t="n"/>
      <c r="F474" s="42" t="n"/>
      <c r="G474" s="43">
        <f>IF($B474="","",N($E474)+N($F474))</f>
        <v/>
      </c>
      <c r="H474" s="42" t="n"/>
      <c r="I474" s="43">
        <f>IF($B474="","",N($G474)-N($H474))</f>
        <v/>
      </c>
    </row>
    <row r="475">
      <c r="A475" s="39">
        <f>IF($B475="","",COUNTA($B$4:$B475))</f>
        <v/>
      </c>
      <c r="B475" s="45" t="n"/>
      <c r="C475" s="46" t="n"/>
      <c r="D475" s="46" t="n"/>
      <c r="E475" s="47" t="n"/>
      <c r="F475" s="47" t="n"/>
      <c r="G475" s="43">
        <f>IF($B475="","",N($E475)+N($F475))</f>
        <v/>
      </c>
      <c r="H475" s="47" t="n"/>
      <c r="I475" s="43">
        <f>IF($B475="","",N($G475)-N($H475))</f>
        <v/>
      </c>
    </row>
    <row r="476">
      <c r="A476" s="39">
        <f>IF($B476="","",COUNTA($B$4:$B476))</f>
        <v/>
      </c>
      <c r="B476" s="40" t="n"/>
      <c r="C476" s="41" t="n"/>
      <c r="D476" s="41" t="n"/>
      <c r="E476" s="42" t="n"/>
      <c r="F476" s="42" t="n"/>
      <c r="G476" s="43">
        <f>IF($B476="","",N($E476)+N($F476))</f>
        <v/>
      </c>
      <c r="H476" s="42" t="n"/>
      <c r="I476" s="43">
        <f>IF($B476="","",N($G476)-N($H476))</f>
        <v/>
      </c>
    </row>
    <row r="477">
      <c r="A477" s="39">
        <f>IF($B477="","",COUNTA($B$4:$B477))</f>
        <v/>
      </c>
      <c r="B477" s="45" t="n"/>
      <c r="C477" s="46" t="n"/>
      <c r="D477" s="46" t="n"/>
      <c r="E477" s="47" t="n"/>
      <c r="F477" s="47" t="n"/>
      <c r="G477" s="43">
        <f>IF($B477="","",N($E477)+N($F477))</f>
        <v/>
      </c>
      <c r="H477" s="47" t="n"/>
      <c r="I477" s="43">
        <f>IF($B477="","",N($G477)-N($H477))</f>
        <v/>
      </c>
    </row>
    <row r="478">
      <c r="A478" s="39">
        <f>IF($B478="","",COUNTA($B$4:$B478))</f>
        <v/>
      </c>
      <c r="B478" s="40" t="n"/>
      <c r="C478" s="41" t="n"/>
      <c r="D478" s="41" t="n"/>
      <c r="E478" s="42" t="n"/>
      <c r="F478" s="42" t="n"/>
      <c r="G478" s="43">
        <f>IF($B478="","",N($E478)+N($F478))</f>
        <v/>
      </c>
      <c r="H478" s="42" t="n"/>
      <c r="I478" s="43">
        <f>IF($B478="","",N($G478)-N($H478))</f>
        <v/>
      </c>
    </row>
    <row r="479">
      <c r="A479" s="39">
        <f>IF($B479="","",COUNTA($B$4:$B479))</f>
        <v/>
      </c>
      <c r="B479" s="45" t="n"/>
      <c r="C479" s="46" t="n"/>
      <c r="D479" s="46" t="n"/>
      <c r="E479" s="47" t="n"/>
      <c r="F479" s="47" t="n"/>
      <c r="G479" s="43">
        <f>IF($B479="","",N($E479)+N($F479))</f>
        <v/>
      </c>
      <c r="H479" s="47" t="n"/>
      <c r="I479" s="43">
        <f>IF($B479="","",N($G479)-N($H479))</f>
        <v/>
      </c>
    </row>
    <row r="480">
      <c r="A480" s="39">
        <f>IF($B480="","",COUNTA($B$4:$B480))</f>
        <v/>
      </c>
      <c r="B480" s="40" t="n"/>
      <c r="C480" s="41" t="n"/>
      <c r="D480" s="41" t="n"/>
      <c r="E480" s="42" t="n"/>
      <c r="F480" s="42" t="n"/>
      <c r="G480" s="43">
        <f>IF($B480="","",N($E480)+N($F480))</f>
        <v/>
      </c>
      <c r="H480" s="42" t="n"/>
      <c r="I480" s="43">
        <f>IF($B480="","",N($G480)-N($H480))</f>
        <v/>
      </c>
    </row>
    <row r="481">
      <c r="A481" s="39">
        <f>IF($B481="","",COUNTA($B$4:$B481))</f>
        <v/>
      </c>
      <c r="B481" s="45" t="n"/>
      <c r="C481" s="46" t="n"/>
      <c r="D481" s="46" t="n"/>
      <c r="E481" s="47" t="n"/>
      <c r="F481" s="47" t="n"/>
      <c r="G481" s="43">
        <f>IF($B481="","",N($E481)+N($F481))</f>
        <v/>
      </c>
      <c r="H481" s="47" t="n"/>
      <c r="I481" s="43">
        <f>IF($B481="","",N($G481)-N($H481))</f>
        <v/>
      </c>
    </row>
    <row r="482">
      <c r="A482" s="39">
        <f>IF($B482="","",COUNTA($B$4:$B482))</f>
        <v/>
      </c>
      <c r="B482" s="40" t="n"/>
      <c r="C482" s="41" t="n"/>
      <c r="D482" s="41" t="n"/>
      <c r="E482" s="42" t="n"/>
      <c r="F482" s="42" t="n"/>
      <c r="G482" s="43">
        <f>IF($B482="","",N($E482)+N($F482))</f>
        <v/>
      </c>
      <c r="H482" s="42" t="n"/>
      <c r="I482" s="43">
        <f>IF($B482="","",N($G482)-N($H482))</f>
        <v/>
      </c>
    </row>
    <row r="483">
      <c r="A483" s="39">
        <f>IF($B483="","",COUNTA($B$4:$B483))</f>
        <v/>
      </c>
      <c r="B483" s="45" t="n"/>
      <c r="C483" s="46" t="n"/>
      <c r="D483" s="46" t="n"/>
      <c r="E483" s="47" t="n"/>
      <c r="F483" s="47" t="n"/>
      <c r="G483" s="43">
        <f>IF($B483="","",N($E483)+N($F483))</f>
        <v/>
      </c>
      <c r="H483" s="47" t="n"/>
      <c r="I483" s="43">
        <f>IF($B483="","",N($G483)-N($H483))</f>
        <v/>
      </c>
    </row>
    <row r="484">
      <c r="A484" s="39">
        <f>IF($B484="","",COUNTA($B$4:$B484))</f>
        <v/>
      </c>
      <c r="B484" s="40" t="n"/>
      <c r="C484" s="41" t="n"/>
      <c r="D484" s="41" t="n"/>
      <c r="E484" s="42" t="n"/>
      <c r="F484" s="42" t="n"/>
      <c r="G484" s="43">
        <f>IF($B484="","",N($E484)+N($F484))</f>
        <v/>
      </c>
      <c r="H484" s="42" t="n"/>
      <c r="I484" s="43">
        <f>IF($B484="","",N($G484)-N($H484))</f>
        <v/>
      </c>
    </row>
    <row r="485">
      <c r="A485" s="39">
        <f>IF($B485="","",COUNTA($B$4:$B485))</f>
        <v/>
      </c>
      <c r="B485" s="45" t="n"/>
      <c r="C485" s="46" t="n"/>
      <c r="D485" s="46" t="n"/>
      <c r="E485" s="47" t="n"/>
      <c r="F485" s="47" t="n"/>
      <c r="G485" s="43">
        <f>IF($B485="","",N($E485)+N($F485))</f>
        <v/>
      </c>
      <c r="H485" s="47" t="n"/>
      <c r="I485" s="43">
        <f>IF($B485="","",N($G485)-N($H485))</f>
        <v/>
      </c>
    </row>
    <row r="486">
      <c r="A486" s="39">
        <f>IF($B486="","",COUNTA($B$4:$B486))</f>
        <v/>
      </c>
      <c r="B486" s="40" t="n"/>
      <c r="C486" s="41" t="n"/>
      <c r="D486" s="41" t="n"/>
      <c r="E486" s="42" t="n"/>
      <c r="F486" s="42" t="n"/>
      <c r="G486" s="43">
        <f>IF($B486="","",N($E486)+N($F486))</f>
        <v/>
      </c>
      <c r="H486" s="42" t="n"/>
      <c r="I486" s="43">
        <f>IF($B486="","",N($G486)-N($H486))</f>
        <v/>
      </c>
    </row>
    <row r="487">
      <c r="A487" s="39">
        <f>IF($B487="","",COUNTA($B$4:$B487))</f>
        <v/>
      </c>
      <c r="B487" s="45" t="n"/>
      <c r="C487" s="46" t="n"/>
      <c r="D487" s="46" t="n"/>
      <c r="E487" s="47" t="n"/>
      <c r="F487" s="47" t="n"/>
      <c r="G487" s="43">
        <f>IF($B487="","",N($E487)+N($F487))</f>
        <v/>
      </c>
      <c r="H487" s="47" t="n"/>
      <c r="I487" s="43">
        <f>IF($B487="","",N($G487)-N($H487))</f>
        <v/>
      </c>
    </row>
    <row r="488">
      <c r="A488" s="39">
        <f>IF($B488="","",COUNTA($B$4:$B488))</f>
        <v/>
      </c>
      <c r="B488" s="40" t="n"/>
      <c r="C488" s="41" t="n"/>
      <c r="D488" s="41" t="n"/>
      <c r="E488" s="42" t="n"/>
      <c r="F488" s="42" t="n"/>
      <c r="G488" s="43">
        <f>IF($B488="","",N($E488)+N($F488))</f>
        <v/>
      </c>
      <c r="H488" s="42" t="n"/>
      <c r="I488" s="43">
        <f>IF($B488="","",N($G488)-N($H488))</f>
        <v/>
      </c>
    </row>
    <row r="489">
      <c r="A489" s="39">
        <f>IF($B489="","",COUNTA($B$4:$B489))</f>
        <v/>
      </c>
      <c r="B489" s="45" t="n"/>
      <c r="C489" s="46" t="n"/>
      <c r="D489" s="46" t="n"/>
      <c r="E489" s="47" t="n"/>
      <c r="F489" s="47" t="n"/>
      <c r="G489" s="43">
        <f>IF($B489="","",N($E489)+N($F489))</f>
        <v/>
      </c>
      <c r="H489" s="47" t="n"/>
      <c r="I489" s="43">
        <f>IF($B489="","",N($G489)-N($H489))</f>
        <v/>
      </c>
    </row>
    <row r="490">
      <c r="A490" s="39">
        <f>IF($B490="","",COUNTA($B$4:$B490))</f>
        <v/>
      </c>
      <c r="B490" s="40" t="n"/>
      <c r="C490" s="41" t="n"/>
      <c r="D490" s="41" t="n"/>
      <c r="E490" s="42" t="n"/>
      <c r="F490" s="42" t="n"/>
      <c r="G490" s="43">
        <f>IF($B490="","",N($E490)+N($F490))</f>
        <v/>
      </c>
      <c r="H490" s="42" t="n"/>
      <c r="I490" s="43">
        <f>IF($B490="","",N($G490)-N($H490))</f>
        <v/>
      </c>
    </row>
    <row r="491">
      <c r="A491" s="39">
        <f>IF($B491="","",COUNTA($B$4:$B491))</f>
        <v/>
      </c>
      <c r="B491" s="45" t="n"/>
      <c r="C491" s="46" t="n"/>
      <c r="D491" s="46" t="n"/>
      <c r="E491" s="47" t="n"/>
      <c r="F491" s="47" t="n"/>
      <c r="G491" s="43">
        <f>IF($B491="","",N($E491)+N($F491))</f>
        <v/>
      </c>
      <c r="H491" s="47" t="n"/>
      <c r="I491" s="43">
        <f>IF($B491="","",N($G491)-N($H491))</f>
        <v/>
      </c>
    </row>
    <row r="492">
      <c r="A492" s="39">
        <f>IF($B492="","",COUNTA($B$4:$B492))</f>
        <v/>
      </c>
      <c r="B492" s="40" t="n"/>
      <c r="C492" s="41" t="n"/>
      <c r="D492" s="41" t="n"/>
      <c r="E492" s="42" t="n"/>
      <c r="F492" s="42" t="n"/>
      <c r="G492" s="43">
        <f>IF($B492="","",N($E492)+N($F492))</f>
        <v/>
      </c>
      <c r="H492" s="42" t="n"/>
      <c r="I492" s="43">
        <f>IF($B492="","",N($G492)-N($H492))</f>
        <v/>
      </c>
    </row>
    <row r="493">
      <c r="A493" s="39">
        <f>IF($B493="","",COUNTA($B$4:$B493))</f>
        <v/>
      </c>
      <c r="B493" s="45" t="n"/>
      <c r="C493" s="46" t="n"/>
      <c r="D493" s="46" t="n"/>
      <c r="E493" s="47" t="n"/>
      <c r="F493" s="47" t="n"/>
      <c r="G493" s="43">
        <f>IF($B493="","",N($E493)+N($F493))</f>
        <v/>
      </c>
      <c r="H493" s="47" t="n"/>
      <c r="I493" s="43">
        <f>IF($B493="","",N($G493)-N($H493))</f>
        <v/>
      </c>
    </row>
    <row r="494">
      <c r="A494" s="39">
        <f>IF($B494="","",COUNTA($B$4:$B494))</f>
        <v/>
      </c>
      <c r="B494" s="40" t="n"/>
      <c r="C494" s="41" t="n"/>
      <c r="D494" s="41" t="n"/>
      <c r="E494" s="42" t="n"/>
      <c r="F494" s="42" t="n"/>
      <c r="G494" s="43">
        <f>IF($B494="","",N($E494)+N($F494))</f>
        <v/>
      </c>
      <c r="H494" s="42" t="n"/>
      <c r="I494" s="43">
        <f>IF($B494="","",N($G494)-N($H494))</f>
        <v/>
      </c>
    </row>
    <row r="495">
      <c r="A495" s="39">
        <f>IF($B495="","",COUNTA($B$4:$B495))</f>
        <v/>
      </c>
      <c r="B495" s="45" t="n"/>
      <c r="C495" s="46" t="n"/>
      <c r="D495" s="46" t="n"/>
      <c r="E495" s="47" t="n"/>
      <c r="F495" s="47" t="n"/>
      <c r="G495" s="43">
        <f>IF($B495="","",N($E495)+N($F495))</f>
        <v/>
      </c>
      <c r="H495" s="47" t="n"/>
      <c r="I495" s="43">
        <f>IF($B495="","",N($G495)-N($H495))</f>
        <v/>
      </c>
    </row>
    <row r="496">
      <c r="A496" s="39">
        <f>IF($B496="","",COUNTA($B$4:$B496))</f>
        <v/>
      </c>
      <c r="B496" s="40" t="n"/>
      <c r="C496" s="41" t="n"/>
      <c r="D496" s="41" t="n"/>
      <c r="E496" s="42" t="n"/>
      <c r="F496" s="42" t="n"/>
      <c r="G496" s="43">
        <f>IF($B496="","",N($E496)+N($F496))</f>
        <v/>
      </c>
      <c r="H496" s="42" t="n"/>
      <c r="I496" s="43">
        <f>IF($B496="","",N($G496)-N($H496))</f>
        <v/>
      </c>
    </row>
    <row r="497">
      <c r="A497" s="39">
        <f>IF($B497="","",COUNTA($B$4:$B497))</f>
        <v/>
      </c>
      <c r="B497" s="45" t="n"/>
      <c r="C497" s="46" t="n"/>
      <c r="D497" s="46" t="n"/>
      <c r="E497" s="47" t="n"/>
      <c r="F497" s="47" t="n"/>
      <c r="G497" s="43">
        <f>IF($B497="","",N($E497)+N($F497))</f>
        <v/>
      </c>
      <c r="H497" s="47" t="n"/>
      <c r="I497" s="43">
        <f>IF($B497="","",N($G497)-N($H497))</f>
        <v/>
      </c>
    </row>
    <row r="498">
      <c r="A498" s="39">
        <f>IF($B498="","",COUNTA($B$4:$B498))</f>
        <v/>
      </c>
      <c r="B498" s="40" t="n"/>
      <c r="C498" s="41" t="n"/>
      <c r="D498" s="41" t="n"/>
      <c r="E498" s="42" t="n"/>
      <c r="F498" s="42" t="n"/>
      <c r="G498" s="43">
        <f>IF($B498="","",N($E498)+N($F498))</f>
        <v/>
      </c>
      <c r="H498" s="42" t="n"/>
      <c r="I498" s="43">
        <f>IF($B498="","",N($G498)-N($H498))</f>
        <v/>
      </c>
    </row>
    <row r="499">
      <c r="A499" s="39">
        <f>IF($B499="","",COUNTA($B$4:$B499))</f>
        <v/>
      </c>
      <c r="B499" s="45" t="n"/>
      <c r="C499" s="46" t="n"/>
      <c r="D499" s="46" t="n"/>
      <c r="E499" s="47" t="n"/>
      <c r="F499" s="47" t="n"/>
      <c r="G499" s="43">
        <f>IF($B499="","",N($E499)+N($F499))</f>
        <v/>
      </c>
      <c r="H499" s="47" t="n"/>
      <c r="I499" s="43">
        <f>IF($B499="","",N($G499)-N($H499))</f>
        <v/>
      </c>
    </row>
    <row r="500">
      <c r="A500" s="39">
        <f>IF($B500="","",COUNTA($B$4:$B500))</f>
        <v/>
      </c>
      <c r="B500" s="40" t="n"/>
      <c r="C500" s="41" t="n"/>
      <c r="D500" s="41" t="n"/>
      <c r="E500" s="42" t="n"/>
      <c r="F500" s="42" t="n"/>
      <c r="G500" s="43">
        <f>IF($B500="","",N($E500)+N($F500))</f>
        <v/>
      </c>
      <c r="H500" s="42" t="n"/>
      <c r="I500" s="43">
        <f>IF($B500="","",N($G500)-N($H500))</f>
        <v/>
      </c>
    </row>
    <row r="501">
      <c r="A501" s="39">
        <f>IF($B501="","",COUNTA($B$4:$B501))</f>
        <v/>
      </c>
      <c r="B501" s="45" t="n"/>
      <c r="C501" s="46" t="n"/>
      <c r="D501" s="46" t="n"/>
      <c r="E501" s="47" t="n"/>
      <c r="F501" s="47" t="n"/>
      <c r="G501" s="43">
        <f>IF($B501="","",N($E501)+N($F501))</f>
        <v/>
      </c>
      <c r="H501" s="47" t="n"/>
      <c r="I501" s="43">
        <f>IF($B501="","",N($G501)-N($H501))</f>
        <v/>
      </c>
    </row>
    <row r="502">
      <c r="A502" s="39">
        <f>IF($B502="","",COUNTA($B$4:$B502))</f>
        <v/>
      </c>
      <c r="B502" s="40" t="n"/>
      <c r="C502" s="41" t="n"/>
      <c r="D502" s="41" t="n"/>
      <c r="E502" s="42" t="n"/>
      <c r="F502" s="42" t="n"/>
      <c r="G502" s="43">
        <f>IF($B502="","",N($E502)+N($F502))</f>
        <v/>
      </c>
      <c r="H502" s="42" t="n"/>
      <c r="I502" s="43">
        <f>IF($B502="","",N($G502)-N($H502))</f>
        <v/>
      </c>
    </row>
    <row r="503">
      <c r="A503" s="39">
        <f>IF($B503="","",COUNTA($B$4:$B503))</f>
        <v/>
      </c>
      <c r="B503" s="45" t="n"/>
      <c r="C503" s="46" t="n"/>
      <c r="D503" s="46" t="n"/>
      <c r="E503" s="47" t="n"/>
      <c r="F503" s="47" t="n"/>
      <c r="G503" s="43">
        <f>IF($B503="","",N($E503)+N($F503))</f>
        <v/>
      </c>
      <c r="H503" s="47" t="n"/>
      <c r="I503" s="43">
        <f>IF($B503="","",N($G503)-N($H503))</f>
        <v/>
      </c>
    </row>
    <row r="504">
      <c r="A504" s="39">
        <f>IF($B504="","",COUNTA($B$4:$B504))</f>
        <v/>
      </c>
      <c r="B504" s="40" t="n"/>
      <c r="C504" s="41" t="n"/>
      <c r="D504" s="41" t="n"/>
      <c r="E504" s="42" t="n"/>
      <c r="F504" s="42" t="n"/>
      <c r="G504" s="43">
        <f>IF($B504="","",N($E504)+N($F504))</f>
        <v/>
      </c>
      <c r="H504" s="42" t="n"/>
      <c r="I504" s="43">
        <f>IF($B504="","",N($G504)-N($H504))</f>
        <v/>
      </c>
    </row>
    <row r="505">
      <c r="A505" s="39">
        <f>IF($B505="","",COUNTA($B$4:$B505))</f>
        <v/>
      </c>
      <c r="B505" s="45" t="n"/>
      <c r="C505" s="46" t="n"/>
      <c r="D505" s="46" t="n"/>
      <c r="E505" s="47" t="n"/>
      <c r="F505" s="47" t="n"/>
      <c r="G505" s="43">
        <f>IF($B505="","",N($E505)+N($F505))</f>
        <v/>
      </c>
      <c r="H505" s="47" t="n"/>
      <c r="I505" s="43">
        <f>IF($B505="","",N($G505)-N($H505))</f>
        <v/>
      </c>
    </row>
    <row r="506">
      <c r="A506" s="39">
        <f>IF($B506="","",COUNTA($B$4:$B506))</f>
        <v/>
      </c>
      <c r="B506" s="40" t="n"/>
      <c r="C506" s="41" t="n"/>
      <c r="D506" s="41" t="n"/>
      <c r="E506" s="42" t="n"/>
      <c r="F506" s="42" t="n"/>
      <c r="G506" s="43">
        <f>IF($B506="","",N($E506)+N($F506))</f>
        <v/>
      </c>
      <c r="H506" s="42" t="n"/>
      <c r="I506" s="43">
        <f>IF($B506="","",N($G506)-N($H506))</f>
        <v/>
      </c>
    </row>
    <row r="507">
      <c r="A507" s="39">
        <f>IF($B507="","",COUNTA($B$4:$B507))</f>
        <v/>
      </c>
      <c r="B507" s="45" t="n"/>
      <c r="C507" s="46" t="n"/>
      <c r="D507" s="46" t="n"/>
      <c r="E507" s="47" t="n"/>
      <c r="F507" s="47" t="n"/>
      <c r="G507" s="43">
        <f>IF($B507="","",N($E507)+N($F507))</f>
        <v/>
      </c>
      <c r="H507" s="47" t="n"/>
      <c r="I507" s="43">
        <f>IF($B507="","",N($G507)-N($H507))</f>
        <v/>
      </c>
    </row>
    <row r="508">
      <c r="A508" s="39">
        <f>IF($B508="","",COUNTA($B$4:$B508))</f>
        <v/>
      </c>
      <c r="B508" s="40" t="n"/>
      <c r="C508" s="41" t="n"/>
      <c r="D508" s="41" t="n"/>
      <c r="E508" s="42" t="n"/>
      <c r="F508" s="42" t="n"/>
      <c r="G508" s="43">
        <f>IF($B508="","",N($E508)+N($F508))</f>
        <v/>
      </c>
      <c r="H508" s="42" t="n"/>
      <c r="I508" s="43">
        <f>IF($B508="","",N($G508)-N($H508))</f>
        <v/>
      </c>
    </row>
    <row r="509">
      <c r="A509" s="39">
        <f>IF($B509="","",COUNTA($B$4:$B509))</f>
        <v/>
      </c>
      <c r="B509" s="45" t="n"/>
      <c r="C509" s="46" t="n"/>
      <c r="D509" s="46" t="n"/>
      <c r="E509" s="47" t="n"/>
      <c r="F509" s="47" t="n"/>
      <c r="G509" s="43">
        <f>IF($B509="","",N($E509)+N($F509))</f>
        <v/>
      </c>
      <c r="H509" s="47" t="n"/>
      <c r="I509" s="43">
        <f>IF($B509="","",N($G509)-N($H509))</f>
        <v/>
      </c>
    </row>
    <row r="510">
      <c r="A510" s="39">
        <f>IF($B510="","",COUNTA($B$4:$B510))</f>
        <v/>
      </c>
      <c r="B510" s="40" t="n"/>
      <c r="C510" s="41" t="n"/>
      <c r="D510" s="41" t="n"/>
      <c r="E510" s="42" t="n"/>
      <c r="F510" s="42" t="n"/>
      <c r="G510" s="43">
        <f>IF($B510="","",N($E510)+N($F510))</f>
        <v/>
      </c>
      <c r="H510" s="42" t="n"/>
      <c r="I510" s="43">
        <f>IF($B510="","",N($G510)-N($H510))</f>
        <v/>
      </c>
    </row>
    <row r="511">
      <c r="A511" s="39">
        <f>IF($B511="","",COUNTA($B$4:$B511))</f>
        <v/>
      </c>
      <c r="B511" s="45" t="n"/>
      <c r="C511" s="46" t="n"/>
      <c r="D511" s="46" t="n"/>
      <c r="E511" s="47" t="n"/>
      <c r="F511" s="47" t="n"/>
      <c r="G511" s="43">
        <f>IF($B511="","",N($E511)+N($F511))</f>
        <v/>
      </c>
      <c r="H511" s="47" t="n"/>
      <c r="I511" s="43">
        <f>IF($B511="","",N($G511)-N($H511))</f>
        <v/>
      </c>
    </row>
    <row r="512">
      <c r="A512" s="39">
        <f>IF($B512="","",COUNTA($B$4:$B512))</f>
        <v/>
      </c>
      <c r="B512" s="40" t="n"/>
      <c r="C512" s="41" t="n"/>
      <c r="D512" s="41" t="n"/>
      <c r="E512" s="42" t="n"/>
      <c r="F512" s="42" t="n"/>
      <c r="G512" s="43">
        <f>IF($B512="","",N($E512)+N($F512))</f>
        <v/>
      </c>
      <c r="H512" s="42" t="n"/>
      <c r="I512" s="43">
        <f>IF($B512="","",N($G512)-N($H512))</f>
        <v/>
      </c>
    </row>
    <row r="513">
      <c r="A513" s="39">
        <f>IF($B513="","",COUNTA($B$4:$B513))</f>
        <v/>
      </c>
      <c r="B513" s="45" t="n"/>
      <c r="C513" s="46" t="n"/>
      <c r="D513" s="46" t="n"/>
      <c r="E513" s="47" t="n"/>
      <c r="F513" s="47" t="n"/>
      <c r="G513" s="43">
        <f>IF($B513="","",N($E513)+N($F513))</f>
        <v/>
      </c>
      <c r="H513" s="47" t="n"/>
      <c r="I513" s="43">
        <f>IF($B513="","",N($G513)-N($H513))</f>
        <v/>
      </c>
    </row>
    <row r="514">
      <c r="A514" s="39">
        <f>IF($B514="","",COUNTA($B$4:$B514))</f>
        <v/>
      </c>
      <c r="B514" s="40" t="n"/>
      <c r="C514" s="41" t="n"/>
      <c r="D514" s="41" t="n"/>
      <c r="E514" s="42" t="n"/>
      <c r="F514" s="42" t="n"/>
      <c r="G514" s="43">
        <f>IF($B514="","",N($E514)+N($F514))</f>
        <v/>
      </c>
      <c r="H514" s="42" t="n"/>
      <c r="I514" s="43">
        <f>IF($B514="","",N($G514)-N($H514))</f>
        <v/>
      </c>
    </row>
    <row r="515">
      <c r="A515" s="39">
        <f>IF($B515="","",COUNTA($B$4:$B515))</f>
        <v/>
      </c>
      <c r="B515" s="45" t="n"/>
      <c r="C515" s="46" t="n"/>
      <c r="D515" s="46" t="n"/>
      <c r="E515" s="47" t="n"/>
      <c r="F515" s="47" t="n"/>
      <c r="G515" s="43">
        <f>IF($B515="","",N($E515)+N($F515))</f>
        <v/>
      </c>
      <c r="H515" s="47" t="n"/>
      <c r="I515" s="43">
        <f>IF($B515="","",N($G515)-N($H515))</f>
        <v/>
      </c>
    </row>
    <row r="516">
      <c r="A516" s="39">
        <f>IF($B516="","",COUNTA($B$4:$B516))</f>
        <v/>
      </c>
      <c r="B516" s="40" t="n"/>
      <c r="C516" s="41" t="n"/>
      <c r="D516" s="41" t="n"/>
      <c r="E516" s="42" t="n"/>
      <c r="F516" s="42" t="n"/>
      <c r="G516" s="43">
        <f>IF($B516="","",N($E516)+N($F516))</f>
        <v/>
      </c>
      <c r="H516" s="42" t="n"/>
      <c r="I516" s="43">
        <f>IF($B516="","",N($G516)-N($H516))</f>
        <v/>
      </c>
    </row>
    <row r="517">
      <c r="A517" s="39">
        <f>IF($B517="","",COUNTA($B$4:$B517))</f>
        <v/>
      </c>
      <c r="B517" s="45" t="n"/>
      <c r="C517" s="46" t="n"/>
      <c r="D517" s="46" t="n"/>
      <c r="E517" s="47" t="n"/>
      <c r="F517" s="47" t="n"/>
      <c r="G517" s="43">
        <f>IF($B517="","",N($E517)+N($F517))</f>
        <v/>
      </c>
      <c r="H517" s="47" t="n"/>
      <c r="I517" s="43">
        <f>IF($B517="","",N($G517)-N($H517))</f>
        <v/>
      </c>
    </row>
    <row r="518">
      <c r="A518" s="39">
        <f>IF($B518="","",COUNTA($B$4:$B518))</f>
        <v/>
      </c>
      <c r="B518" s="40" t="n"/>
      <c r="C518" s="41" t="n"/>
      <c r="D518" s="41" t="n"/>
      <c r="E518" s="42" t="n"/>
      <c r="F518" s="42" t="n"/>
      <c r="G518" s="43">
        <f>IF($B518="","",N($E518)+N($F518))</f>
        <v/>
      </c>
      <c r="H518" s="42" t="n"/>
      <c r="I518" s="43">
        <f>IF($B518="","",N($G518)-N($H518))</f>
        <v/>
      </c>
    </row>
    <row r="519">
      <c r="A519" s="39">
        <f>IF($B519="","",COUNTA($B$4:$B519))</f>
        <v/>
      </c>
      <c r="B519" s="45" t="n"/>
      <c r="C519" s="46" t="n"/>
      <c r="D519" s="46" t="n"/>
      <c r="E519" s="47" t="n"/>
      <c r="F519" s="47" t="n"/>
      <c r="G519" s="43">
        <f>IF($B519="","",N($E519)+N($F519))</f>
        <v/>
      </c>
      <c r="H519" s="47" t="n"/>
      <c r="I519" s="43">
        <f>IF($B519="","",N($G519)-N($H519))</f>
        <v/>
      </c>
    </row>
    <row r="520">
      <c r="A520" s="39">
        <f>IF($B520="","",COUNTA($B$4:$B520))</f>
        <v/>
      </c>
      <c r="B520" s="40" t="n"/>
      <c r="C520" s="41" t="n"/>
      <c r="D520" s="41" t="n"/>
      <c r="E520" s="42" t="n"/>
      <c r="F520" s="42" t="n"/>
      <c r="G520" s="43">
        <f>IF($B520="","",N($E520)+N($F520))</f>
        <v/>
      </c>
      <c r="H520" s="42" t="n"/>
      <c r="I520" s="43">
        <f>IF($B520="","",N($G520)-N($H520))</f>
        <v/>
      </c>
    </row>
    <row r="521">
      <c r="A521" s="39">
        <f>IF($B521="","",COUNTA($B$4:$B521))</f>
        <v/>
      </c>
      <c r="B521" s="45" t="n"/>
      <c r="C521" s="46" t="n"/>
      <c r="D521" s="46" t="n"/>
      <c r="E521" s="47" t="n"/>
      <c r="F521" s="47" t="n"/>
      <c r="G521" s="43">
        <f>IF($B521="","",N($E521)+N($F521))</f>
        <v/>
      </c>
      <c r="H521" s="47" t="n"/>
      <c r="I521" s="43">
        <f>IF($B521="","",N($G521)-N($H521))</f>
        <v/>
      </c>
    </row>
    <row r="522">
      <c r="A522" s="39">
        <f>IF($B522="","",COUNTA($B$4:$B522))</f>
        <v/>
      </c>
      <c r="B522" s="40" t="n"/>
      <c r="C522" s="41" t="n"/>
      <c r="D522" s="41" t="n"/>
      <c r="E522" s="42" t="n"/>
      <c r="F522" s="42" t="n"/>
      <c r="G522" s="43">
        <f>IF($B522="","",N($E522)+N($F522))</f>
        <v/>
      </c>
      <c r="H522" s="42" t="n"/>
      <c r="I522" s="43">
        <f>IF($B522="","",N($G522)-N($H522))</f>
        <v/>
      </c>
    </row>
    <row r="523">
      <c r="A523" s="39">
        <f>IF($B523="","",COUNTA($B$4:$B523))</f>
        <v/>
      </c>
      <c r="B523" s="45" t="n"/>
      <c r="C523" s="46" t="n"/>
      <c r="D523" s="46" t="n"/>
      <c r="E523" s="47" t="n"/>
      <c r="F523" s="47" t="n"/>
      <c r="G523" s="43">
        <f>IF($B523="","",N($E523)+N($F523))</f>
        <v/>
      </c>
      <c r="H523" s="47" t="n"/>
      <c r="I523" s="43">
        <f>IF($B523="","",N($G523)-N($H523))</f>
        <v/>
      </c>
    </row>
    <row r="524">
      <c r="A524" s="39">
        <f>IF($B524="","",COUNTA($B$4:$B524))</f>
        <v/>
      </c>
      <c r="B524" s="40" t="n"/>
      <c r="C524" s="41" t="n"/>
      <c r="D524" s="41" t="n"/>
      <c r="E524" s="42" t="n"/>
      <c r="F524" s="42" t="n"/>
      <c r="G524" s="43">
        <f>IF($B524="","",N($E524)+N($F524))</f>
        <v/>
      </c>
      <c r="H524" s="42" t="n"/>
      <c r="I524" s="43">
        <f>IF($B524="","",N($G524)-N($H524))</f>
        <v/>
      </c>
    </row>
    <row r="525">
      <c r="A525" s="39">
        <f>IF($B525="","",COUNTA($B$4:$B525))</f>
        <v/>
      </c>
      <c r="B525" s="45" t="n"/>
      <c r="C525" s="46" t="n"/>
      <c r="D525" s="46" t="n"/>
      <c r="E525" s="47" t="n"/>
      <c r="F525" s="47" t="n"/>
      <c r="G525" s="43">
        <f>IF($B525="","",N($E525)+N($F525))</f>
        <v/>
      </c>
      <c r="H525" s="47" t="n"/>
      <c r="I525" s="43">
        <f>IF($B525="","",N($G525)-N($H525))</f>
        <v/>
      </c>
    </row>
    <row r="526">
      <c r="A526" s="39">
        <f>IF($B526="","",COUNTA($B$4:$B526))</f>
        <v/>
      </c>
      <c r="B526" s="40" t="n"/>
      <c r="C526" s="41" t="n"/>
      <c r="D526" s="41" t="n"/>
      <c r="E526" s="42" t="n"/>
      <c r="F526" s="42" t="n"/>
      <c r="G526" s="43">
        <f>IF($B526="","",N($E526)+N($F526))</f>
        <v/>
      </c>
      <c r="H526" s="42" t="n"/>
      <c r="I526" s="43">
        <f>IF($B526="","",N($G526)-N($H526))</f>
        <v/>
      </c>
    </row>
    <row r="527">
      <c r="A527" s="39">
        <f>IF($B527="","",COUNTA($B$4:$B527))</f>
        <v/>
      </c>
      <c r="B527" s="45" t="n"/>
      <c r="C527" s="46" t="n"/>
      <c r="D527" s="46" t="n"/>
      <c r="E527" s="47" t="n"/>
      <c r="F527" s="47" t="n"/>
      <c r="G527" s="43">
        <f>IF($B527="","",N($E527)+N($F527))</f>
        <v/>
      </c>
      <c r="H527" s="47" t="n"/>
      <c r="I527" s="43">
        <f>IF($B527="","",N($G527)-N($H527))</f>
        <v/>
      </c>
    </row>
    <row r="528">
      <c r="A528" s="39">
        <f>IF($B528="","",COUNTA($B$4:$B528))</f>
        <v/>
      </c>
      <c r="B528" s="40" t="n"/>
      <c r="C528" s="41" t="n"/>
      <c r="D528" s="41" t="n"/>
      <c r="E528" s="42" t="n"/>
      <c r="F528" s="42" t="n"/>
      <c r="G528" s="43">
        <f>IF($B528="","",N($E528)+N($F528))</f>
        <v/>
      </c>
      <c r="H528" s="42" t="n"/>
      <c r="I528" s="43">
        <f>IF($B528="","",N($G528)-N($H528))</f>
        <v/>
      </c>
    </row>
    <row r="529">
      <c r="A529" s="39">
        <f>IF($B529="","",COUNTA($B$4:$B529))</f>
        <v/>
      </c>
      <c r="B529" s="45" t="n"/>
      <c r="C529" s="46" t="n"/>
      <c r="D529" s="46" t="n"/>
      <c r="E529" s="47" t="n"/>
      <c r="F529" s="47" t="n"/>
      <c r="G529" s="43">
        <f>IF($B529="","",N($E529)+N($F529))</f>
        <v/>
      </c>
      <c r="H529" s="47" t="n"/>
      <c r="I529" s="43">
        <f>IF($B529="","",N($G529)-N($H529))</f>
        <v/>
      </c>
    </row>
    <row r="530">
      <c r="A530" s="39">
        <f>IF($B530="","",COUNTA($B$4:$B530))</f>
        <v/>
      </c>
      <c r="B530" s="40" t="n"/>
      <c r="C530" s="41" t="n"/>
      <c r="D530" s="41" t="n"/>
      <c r="E530" s="42" t="n"/>
      <c r="F530" s="42" t="n"/>
      <c r="G530" s="43">
        <f>IF($B530="","",N($E530)+N($F530))</f>
        <v/>
      </c>
      <c r="H530" s="42" t="n"/>
      <c r="I530" s="43">
        <f>IF($B530="","",N($G530)-N($H530))</f>
        <v/>
      </c>
    </row>
    <row r="531">
      <c r="A531" s="39">
        <f>IF($B531="","",COUNTA($B$4:$B531))</f>
        <v/>
      </c>
      <c r="B531" s="45" t="n"/>
      <c r="C531" s="46" t="n"/>
      <c r="D531" s="46" t="n"/>
      <c r="E531" s="47" t="n"/>
      <c r="F531" s="47" t="n"/>
      <c r="G531" s="43">
        <f>IF($B531="","",N($E531)+N($F531))</f>
        <v/>
      </c>
      <c r="H531" s="47" t="n"/>
      <c r="I531" s="43">
        <f>IF($B531="","",N($G531)-N($H531))</f>
        <v/>
      </c>
    </row>
    <row r="532">
      <c r="A532" s="39">
        <f>IF($B532="","",COUNTA($B$4:$B532))</f>
        <v/>
      </c>
      <c r="B532" s="40" t="n"/>
      <c r="C532" s="41" t="n"/>
      <c r="D532" s="41" t="n"/>
      <c r="E532" s="42" t="n"/>
      <c r="F532" s="42" t="n"/>
      <c r="G532" s="43">
        <f>IF($B532="","",N($E532)+N($F532))</f>
        <v/>
      </c>
      <c r="H532" s="42" t="n"/>
      <c r="I532" s="43">
        <f>IF($B532="","",N($G532)-N($H532))</f>
        <v/>
      </c>
    </row>
    <row r="533">
      <c r="A533" s="39">
        <f>IF($B533="","",COUNTA($B$4:$B533))</f>
        <v/>
      </c>
      <c r="B533" s="45" t="n"/>
      <c r="C533" s="46" t="n"/>
      <c r="D533" s="46" t="n"/>
      <c r="E533" s="47" t="n"/>
      <c r="F533" s="47" t="n"/>
      <c r="G533" s="43">
        <f>IF($B533="","",N($E533)+N($F533))</f>
        <v/>
      </c>
      <c r="H533" s="47" t="n"/>
      <c r="I533" s="43">
        <f>IF($B533="","",N($G533)-N($H533))</f>
        <v/>
      </c>
    </row>
    <row r="534">
      <c r="A534" s="39">
        <f>IF($B534="","",COUNTA($B$4:$B534))</f>
        <v/>
      </c>
      <c r="B534" s="40" t="n"/>
      <c r="C534" s="41" t="n"/>
      <c r="D534" s="41" t="n"/>
      <c r="E534" s="42" t="n"/>
      <c r="F534" s="42" t="n"/>
      <c r="G534" s="43">
        <f>IF($B534="","",N($E534)+N($F534))</f>
        <v/>
      </c>
      <c r="H534" s="42" t="n"/>
      <c r="I534" s="43">
        <f>IF($B534="","",N($G534)-N($H534))</f>
        <v/>
      </c>
    </row>
    <row r="535">
      <c r="A535" s="39">
        <f>IF($B535="","",COUNTA($B$4:$B535))</f>
        <v/>
      </c>
      <c r="B535" s="45" t="n"/>
      <c r="C535" s="46" t="n"/>
      <c r="D535" s="46" t="n"/>
      <c r="E535" s="47" t="n"/>
      <c r="F535" s="47" t="n"/>
      <c r="G535" s="43">
        <f>IF($B535="","",N($E535)+N($F535))</f>
        <v/>
      </c>
      <c r="H535" s="47" t="n"/>
      <c r="I535" s="43">
        <f>IF($B535="","",N($G535)-N($H535))</f>
        <v/>
      </c>
    </row>
    <row r="536">
      <c r="A536" s="39">
        <f>IF($B536="","",COUNTA($B$4:$B536))</f>
        <v/>
      </c>
      <c r="B536" s="40" t="n"/>
      <c r="C536" s="41" t="n"/>
      <c r="D536" s="41" t="n"/>
      <c r="E536" s="42" t="n"/>
      <c r="F536" s="42" t="n"/>
      <c r="G536" s="43">
        <f>IF($B536="","",N($E536)+N($F536))</f>
        <v/>
      </c>
      <c r="H536" s="42" t="n"/>
      <c r="I536" s="43">
        <f>IF($B536="","",N($G536)-N($H536))</f>
        <v/>
      </c>
    </row>
    <row r="537">
      <c r="A537" s="39">
        <f>IF($B537="","",COUNTA($B$4:$B537))</f>
        <v/>
      </c>
      <c r="B537" s="45" t="n"/>
      <c r="C537" s="46" t="n"/>
      <c r="D537" s="46" t="n"/>
      <c r="E537" s="47" t="n"/>
      <c r="F537" s="47" t="n"/>
      <c r="G537" s="43">
        <f>IF($B537="","",N($E537)+N($F537))</f>
        <v/>
      </c>
      <c r="H537" s="47" t="n"/>
      <c r="I537" s="43">
        <f>IF($B537="","",N($G537)-N($H537))</f>
        <v/>
      </c>
    </row>
    <row r="538">
      <c r="A538" s="39">
        <f>IF($B538="","",COUNTA($B$4:$B538))</f>
        <v/>
      </c>
      <c r="B538" s="40" t="n"/>
      <c r="C538" s="41" t="n"/>
      <c r="D538" s="41" t="n"/>
      <c r="E538" s="42" t="n"/>
      <c r="F538" s="42" t="n"/>
      <c r="G538" s="43">
        <f>IF($B538="","",N($E538)+N($F538))</f>
        <v/>
      </c>
      <c r="H538" s="42" t="n"/>
      <c r="I538" s="43">
        <f>IF($B538="","",N($G538)-N($H538))</f>
        <v/>
      </c>
    </row>
    <row r="539">
      <c r="A539" s="39">
        <f>IF($B539="","",COUNTA($B$4:$B539))</f>
        <v/>
      </c>
      <c r="B539" s="45" t="n"/>
      <c r="C539" s="46" t="n"/>
      <c r="D539" s="46" t="n"/>
      <c r="E539" s="47" t="n"/>
      <c r="F539" s="47" t="n"/>
      <c r="G539" s="43">
        <f>IF($B539="","",N($E539)+N($F539))</f>
        <v/>
      </c>
      <c r="H539" s="47" t="n"/>
      <c r="I539" s="43">
        <f>IF($B539="","",N($G539)-N($H539))</f>
        <v/>
      </c>
    </row>
    <row r="540">
      <c r="A540" s="39">
        <f>IF($B540="","",COUNTA($B$4:$B540))</f>
        <v/>
      </c>
      <c r="B540" s="40" t="n"/>
      <c r="C540" s="41" t="n"/>
      <c r="D540" s="41" t="n"/>
      <c r="E540" s="42" t="n"/>
      <c r="F540" s="42" t="n"/>
      <c r="G540" s="43">
        <f>IF($B540="","",N($E540)+N($F540))</f>
        <v/>
      </c>
      <c r="H540" s="42" t="n"/>
      <c r="I540" s="43">
        <f>IF($B540="","",N($G540)-N($H540))</f>
        <v/>
      </c>
    </row>
    <row r="541">
      <c r="A541" s="39">
        <f>IF($B541="","",COUNTA($B$4:$B541))</f>
        <v/>
      </c>
      <c r="B541" s="45" t="n"/>
      <c r="C541" s="46" t="n"/>
      <c r="D541" s="46" t="n"/>
      <c r="E541" s="47" t="n"/>
      <c r="F541" s="47" t="n"/>
      <c r="G541" s="43">
        <f>IF($B541="","",N($E541)+N($F541))</f>
        <v/>
      </c>
      <c r="H541" s="47" t="n"/>
      <c r="I541" s="43">
        <f>IF($B541="","",N($G541)-N($H541))</f>
        <v/>
      </c>
    </row>
    <row r="542">
      <c r="A542" s="39">
        <f>IF($B542="","",COUNTA($B$4:$B542))</f>
        <v/>
      </c>
      <c r="B542" s="40" t="n"/>
      <c r="C542" s="41" t="n"/>
      <c r="D542" s="41" t="n"/>
      <c r="E542" s="42" t="n"/>
      <c r="F542" s="42" t="n"/>
      <c r="G542" s="43">
        <f>IF($B542="","",N($E542)+N($F542))</f>
        <v/>
      </c>
      <c r="H542" s="42" t="n"/>
      <c r="I542" s="43">
        <f>IF($B542="","",N($G542)-N($H542))</f>
        <v/>
      </c>
    </row>
    <row r="543">
      <c r="A543" s="39">
        <f>IF($B543="","",COUNTA($B$4:$B543))</f>
        <v/>
      </c>
      <c r="B543" s="45" t="n"/>
      <c r="C543" s="46" t="n"/>
      <c r="D543" s="46" t="n"/>
      <c r="E543" s="47" t="n"/>
      <c r="F543" s="47" t="n"/>
      <c r="G543" s="43">
        <f>IF($B543="","",N($E543)+N($F543))</f>
        <v/>
      </c>
      <c r="H543" s="47" t="n"/>
      <c r="I543" s="43">
        <f>IF($B543="","",N($G543)-N($H543))</f>
        <v/>
      </c>
    </row>
    <row r="544">
      <c r="A544" s="39">
        <f>IF($B544="","",COUNTA($B$4:$B544))</f>
        <v/>
      </c>
      <c r="B544" s="40" t="n"/>
      <c r="C544" s="41" t="n"/>
      <c r="D544" s="41" t="n"/>
      <c r="E544" s="42" t="n"/>
      <c r="F544" s="42" t="n"/>
      <c r="G544" s="43">
        <f>IF($B544="","",N($E544)+N($F544))</f>
        <v/>
      </c>
      <c r="H544" s="42" t="n"/>
      <c r="I544" s="43">
        <f>IF($B544="","",N($G544)-N($H544))</f>
        <v/>
      </c>
    </row>
    <row r="545">
      <c r="A545" s="39">
        <f>IF($B545="","",COUNTA($B$4:$B545))</f>
        <v/>
      </c>
      <c r="B545" s="45" t="n"/>
      <c r="C545" s="46" t="n"/>
      <c r="D545" s="46" t="n"/>
      <c r="E545" s="47" t="n"/>
      <c r="F545" s="47" t="n"/>
      <c r="G545" s="43">
        <f>IF($B545="","",N($E545)+N($F545))</f>
        <v/>
      </c>
      <c r="H545" s="47" t="n"/>
      <c r="I545" s="43">
        <f>IF($B545="","",N($G545)-N($H545))</f>
        <v/>
      </c>
    </row>
    <row r="546">
      <c r="A546" s="39">
        <f>IF($B546="","",COUNTA($B$4:$B546))</f>
        <v/>
      </c>
      <c r="B546" s="40" t="n"/>
      <c r="C546" s="41" t="n"/>
      <c r="D546" s="41" t="n"/>
      <c r="E546" s="42" t="n"/>
      <c r="F546" s="42" t="n"/>
      <c r="G546" s="43">
        <f>IF($B546="","",N($E546)+N($F546))</f>
        <v/>
      </c>
      <c r="H546" s="42" t="n"/>
      <c r="I546" s="43">
        <f>IF($B546="","",N($G546)-N($H546))</f>
        <v/>
      </c>
    </row>
    <row r="547">
      <c r="A547" s="39">
        <f>IF($B547="","",COUNTA($B$4:$B547))</f>
        <v/>
      </c>
      <c r="B547" s="45" t="n"/>
      <c r="C547" s="46" t="n"/>
      <c r="D547" s="46" t="n"/>
      <c r="E547" s="47" t="n"/>
      <c r="F547" s="47" t="n"/>
      <c r="G547" s="43">
        <f>IF($B547="","",N($E547)+N($F547))</f>
        <v/>
      </c>
      <c r="H547" s="47" t="n"/>
      <c r="I547" s="43">
        <f>IF($B547="","",N($G547)-N($H547))</f>
        <v/>
      </c>
    </row>
    <row r="548">
      <c r="A548" s="39">
        <f>IF($B548="","",COUNTA($B$4:$B548))</f>
        <v/>
      </c>
      <c r="B548" s="40" t="n"/>
      <c r="C548" s="41" t="n"/>
      <c r="D548" s="41" t="n"/>
      <c r="E548" s="42" t="n"/>
      <c r="F548" s="42" t="n"/>
      <c r="G548" s="43">
        <f>IF($B548="","",N($E548)+N($F548))</f>
        <v/>
      </c>
      <c r="H548" s="42" t="n"/>
      <c r="I548" s="43">
        <f>IF($B548="","",N($G548)-N($H548))</f>
        <v/>
      </c>
    </row>
    <row r="549">
      <c r="A549" s="39">
        <f>IF($B549="","",COUNTA($B$4:$B549))</f>
        <v/>
      </c>
      <c r="B549" s="45" t="n"/>
      <c r="C549" s="46" t="n"/>
      <c r="D549" s="46" t="n"/>
      <c r="E549" s="47" t="n"/>
      <c r="F549" s="47" t="n"/>
      <c r="G549" s="43">
        <f>IF($B549="","",N($E549)+N($F549))</f>
        <v/>
      </c>
      <c r="H549" s="47" t="n"/>
      <c r="I549" s="43">
        <f>IF($B549="","",N($G549)-N($H549))</f>
        <v/>
      </c>
    </row>
    <row r="550">
      <c r="A550" s="39">
        <f>IF($B550="","",COUNTA($B$4:$B550))</f>
        <v/>
      </c>
      <c r="B550" s="40" t="n"/>
      <c r="C550" s="41" t="n"/>
      <c r="D550" s="41" t="n"/>
      <c r="E550" s="42" t="n"/>
      <c r="F550" s="42" t="n"/>
      <c r="G550" s="43">
        <f>IF($B550="","",N($E550)+N($F550))</f>
        <v/>
      </c>
      <c r="H550" s="42" t="n"/>
      <c r="I550" s="43">
        <f>IF($B550="","",N($G550)-N($H550))</f>
        <v/>
      </c>
    </row>
    <row r="551">
      <c r="A551" s="39">
        <f>IF($B551="","",COUNTA($B$4:$B551))</f>
        <v/>
      </c>
      <c r="B551" s="45" t="n"/>
      <c r="C551" s="46" t="n"/>
      <c r="D551" s="46" t="n"/>
      <c r="E551" s="47" t="n"/>
      <c r="F551" s="47" t="n"/>
      <c r="G551" s="43">
        <f>IF($B551="","",N($E551)+N($F551))</f>
        <v/>
      </c>
      <c r="H551" s="47" t="n"/>
      <c r="I551" s="43">
        <f>IF($B551="","",N($G551)-N($H551))</f>
        <v/>
      </c>
    </row>
    <row r="552">
      <c r="A552" s="39">
        <f>IF($B552="","",COUNTA($B$4:$B552))</f>
        <v/>
      </c>
      <c r="B552" s="40" t="n"/>
      <c r="C552" s="41" t="n"/>
      <c r="D552" s="41" t="n"/>
      <c r="E552" s="42" t="n"/>
      <c r="F552" s="42" t="n"/>
      <c r="G552" s="43">
        <f>IF($B552="","",N($E552)+N($F552))</f>
        <v/>
      </c>
      <c r="H552" s="42" t="n"/>
      <c r="I552" s="43">
        <f>IF($B552="","",N($G552)-N($H552))</f>
        <v/>
      </c>
    </row>
    <row r="553">
      <c r="A553" s="39">
        <f>IF($B553="","",COUNTA($B$4:$B553))</f>
        <v/>
      </c>
      <c r="B553" s="45" t="n"/>
      <c r="C553" s="46" t="n"/>
      <c r="D553" s="46" t="n"/>
      <c r="E553" s="47" t="n"/>
      <c r="F553" s="47" t="n"/>
      <c r="G553" s="43">
        <f>IF($B553="","",N($E553)+N($F553))</f>
        <v/>
      </c>
      <c r="H553" s="47" t="n"/>
      <c r="I553" s="43">
        <f>IF($B553="","",N($G553)-N($H553))</f>
        <v/>
      </c>
    </row>
    <row r="554">
      <c r="A554" s="39">
        <f>IF($B554="","",COUNTA($B$4:$B554))</f>
        <v/>
      </c>
      <c r="B554" s="40" t="n"/>
      <c r="C554" s="41" t="n"/>
      <c r="D554" s="41" t="n"/>
      <c r="E554" s="42" t="n"/>
      <c r="F554" s="42" t="n"/>
      <c r="G554" s="43">
        <f>IF($B554="","",N($E554)+N($F554))</f>
        <v/>
      </c>
      <c r="H554" s="42" t="n"/>
      <c r="I554" s="43">
        <f>IF($B554="","",N($G554)-N($H554))</f>
        <v/>
      </c>
    </row>
    <row r="555">
      <c r="A555" s="39">
        <f>IF($B555="","",COUNTA($B$4:$B555))</f>
        <v/>
      </c>
      <c r="B555" s="45" t="n"/>
      <c r="C555" s="46" t="n"/>
      <c r="D555" s="46" t="n"/>
      <c r="E555" s="47" t="n"/>
      <c r="F555" s="47" t="n"/>
      <c r="G555" s="43">
        <f>IF($B555="","",N($E555)+N($F555))</f>
        <v/>
      </c>
      <c r="H555" s="47" t="n"/>
      <c r="I555" s="43">
        <f>IF($B555="","",N($G555)-N($H555))</f>
        <v/>
      </c>
    </row>
    <row r="556">
      <c r="A556" s="39">
        <f>IF($B556="","",COUNTA($B$4:$B556))</f>
        <v/>
      </c>
      <c r="B556" s="40" t="n"/>
      <c r="C556" s="41" t="n"/>
      <c r="D556" s="41" t="n"/>
      <c r="E556" s="42" t="n"/>
      <c r="F556" s="42" t="n"/>
      <c r="G556" s="43">
        <f>IF($B556="","",N($E556)+N($F556))</f>
        <v/>
      </c>
      <c r="H556" s="42" t="n"/>
      <c r="I556" s="43">
        <f>IF($B556="","",N($G556)-N($H556))</f>
        <v/>
      </c>
    </row>
    <row r="557">
      <c r="A557" s="39">
        <f>IF($B557="","",COUNTA($B$4:$B557))</f>
        <v/>
      </c>
      <c r="B557" s="45" t="n"/>
      <c r="C557" s="46" t="n"/>
      <c r="D557" s="46" t="n"/>
      <c r="E557" s="47" t="n"/>
      <c r="F557" s="47" t="n"/>
      <c r="G557" s="43">
        <f>IF($B557="","",N($E557)+N($F557))</f>
        <v/>
      </c>
      <c r="H557" s="47" t="n"/>
      <c r="I557" s="43">
        <f>IF($B557="","",N($G557)-N($H557))</f>
        <v/>
      </c>
    </row>
    <row r="558">
      <c r="A558" s="39">
        <f>IF($B558="","",COUNTA($B$4:$B558))</f>
        <v/>
      </c>
      <c r="B558" s="40" t="n"/>
      <c r="C558" s="41" t="n"/>
      <c r="D558" s="41" t="n"/>
      <c r="E558" s="42" t="n"/>
      <c r="F558" s="42" t="n"/>
      <c r="G558" s="43">
        <f>IF($B558="","",N($E558)+N($F558))</f>
        <v/>
      </c>
      <c r="H558" s="42" t="n"/>
      <c r="I558" s="43">
        <f>IF($B558="","",N($G558)-N($H558))</f>
        <v/>
      </c>
    </row>
    <row r="559">
      <c r="A559" s="39">
        <f>IF($B559="","",COUNTA($B$4:$B559))</f>
        <v/>
      </c>
      <c r="B559" s="45" t="n"/>
      <c r="C559" s="46" t="n"/>
      <c r="D559" s="46" t="n"/>
      <c r="E559" s="47" t="n"/>
      <c r="F559" s="47" t="n"/>
      <c r="G559" s="43">
        <f>IF($B559="","",N($E559)+N($F559))</f>
        <v/>
      </c>
      <c r="H559" s="47" t="n"/>
      <c r="I559" s="43">
        <f>IF($B559="","",N($G559)-N($H559))</f>
        <v/>
      </c>
    </row>
    <row r="560">
      <c r="A560" s="39">
        <f>IF($B560="","",COUNTA($B$4:$B560))</f>
        <v/>
      </c>
      <c r="B560" s="40" t="n"/>
      <c r="C560" s="41" t="n"/>
      <c r="D560" s="41" t="n"/>
      <c r="E560" s="42" t="n"/>
      <c r="F560" s="42" t="n"/>
      <c r="G560" s="43">
        <f>IF($B560="","",N($E560)+N($F560))</f>
        <v/>
      </c>
      <c r="H560" s="42" t="n"/>
      <c r="I560" s="43">
        <f>IF($B560="","",N($G560)-N($H560))</f>
        <v/>
      </c>
    </row>
    <row r="561">
      <c r="A561" s="39">
        <f>IF($B561="","",COUNTA($B$4:$B561))</f>
        <v/>
      </c>
      <c r="B561" s="45" t="n"/>
      <c r="C561" s="46" t="n"/>
      <c r="D561" s="46" t="n"/>
      <c r="E561" s="47" t="n"/>
      <c r="F561" s="47" t="n"/>
      <c r="G561" s="43">
        <f>IF($B561="","",N($E561)+N($F561))</f>
        <v/>
      </c>
      <c r="H561" s="47" t="n"/>
      <c r="I561" s="43">
        <f>IF($B561="","",N($G561)-N($H561))</f>
        <v/>
      </c>
    </row>
    <row r="562">
      <c r="A562" s="39">
        <f>IF($B562="","",COUNTA($B$4:$B562))</f>
        <v/>
      </c>
      <c r="B562" s="40" t="n"/>
      <c r="C562" s="41" t="n"/>
      <c r="D562" s="41" t="n"/>
      <c r="E562" s="42" t="n"/>
      <c r="F562" s="42" t="n"/>
      <c r="G562" s="43">
        <f>IF($B562="","",N($E562)+N($F562))</f>
        <v/>
      </c>
      <c r="H562" s="42" t="n"/>
      <c r="I562" s="43">
        <f>IF($B562="","",N($G562)-N($H562))</f>
        <v/>
      </c>
    </row>
    <row r="563">
      <c r="A563" s="39">
        <f>IF($B563="","",COUNTA($B$4:$B563))</f>
        <v/>
      </c>
      <c r="B563" s="45" t="n"/>
      <c r="C563" s="46" t="n"/>
      <c r="D563" s="46" t="n"/>
      <c r="E563" s="47" t="n"/>
      <c r="F563" s="47" t="n"/>
      <c r="G563" s="43">
        <f>IF($B563="","",N($E563)+N($F563))</f>
        <v/>
      </c>
      <c r="H563" s="47" t="n"/>
      <c r="I563" s="43">
        <f>IF($B563="","",N($G563)-N($H563))</f>
        <v/>
      </c>
    </row>
    <row r="564">
      <c r="A564" s="39">
        <f>IF($B564="","",COUNTA($B$4:$B564))</f>
        <v/>
      </c>
      <c r="B564" s="40" t="n"/>
      <c r="C564" s="41" t="n"/>
      <c r="D564" s="41" t="n"/>
      <c r="E564" s="42" t="n"/>
      <c r="F564" s="42" t="n"/>
      <c r="G564" s="43">
        <f>IF($B564="","",N($E564)+N($F564))</f>
        <v/>
      </c>
      <c r="H564" s="42" t="n"/>
      <c r="I564" s="43">
        <f>IF($B564="","",N($G564)-N($H564))</f>
        <v/>
      </c>
    </row>
    <row r="565">
      <c r="A565" s="39">
        <f>IF($B565="","",COUNTA($B$4:$B565))</f>
        <v/>
      </c>
      <c r="B565" s="45" t="n"/>
      <c r="C565" s="46" t="n"/>
      <c r="D565" s="46" t="n"/>
      <c r="E565" s="47" t="n"/>
      <c r="F565" s="47" t="n"/>
      <c r="G565" s="43">
        <f>IF($B565="","",N($E565)+N($F565))</f>
        <v/>
      </c>
      <c r="H565" s="47" t="n"/>
      <c r="I565" s="43">
        <f>IF($B565="","",N($G565)-N($H565))</f>
        <v/>
      </c>
    </row>
    <row r="566">
      <c r="A566" s="39">
        <f>IF($B566="","",COUNTA($B$4:$B566))</f>
        <v/>
      </c>
      <c r="B566" s="40" t="n"/>
      <c r="C566" s="41" t="n"/>
      <c r="D566" s="41" t="n"/>
      <c r="E566" s="42" t="n"/>
      <c r="F566" s="42" t="n"/>
      <c r="G566" s="43">
        <f>IF($B566="","",N($E566)+N($F566))</f>
        <v/>
      </c>
      <c r="H566" s="42" t="n"/>
      <c r="I566" s="43">
        <f>IF($B566="","",N($G566)-N($H566))</f>
        <v/>
      </c>
    </row>
    <row r="567">
      <c r="A567" s="39">
        <f>IF($B567="","",COUNTA($B$4:$B567))</f>
        <v/>
      </c>
      <c r="B567" s="45" t="n"/>
      <c r="C567" s="46" t="n"/>
      <c r="D567" s="46" t="n"/>
      <c r="E567" s="47" t="n"/>
      <c r="F567" s="47" t="n"/>
      <c r="G567" s="43">
        <f>IF($B567="","",N($E567)+N($F567))</f>
        <v/>
      </c>
      <c r="H567" s="47" t="n"/>
      <c r="I567" s="43">
        <f>IF($B567="","",N($G567)-N($H567))</f>
        <v/>
      </c>
    </row>
    <row r="568">
      <c r="A568" s="39">
        <f>IF($B568="","",COUNTA($B$4:$B568))</f>
        <v/>
      </c>
      <c r="B568" s="40" t="n"/>
      <c r="C568" s="41" t="n"/>
      <c r="D568" s="41" t="n"/>
      <c r="E568" s="42" t="n"/>
      <c r="F568" s="42" t="n"/>
      <c r="G568" s="43">
        <f>IF($B568="","",N($E568)+N($F568))</f>
        <v/>
      </c>
      <c r="H568" s="42" t="n"/>
      <c r="I568" s="43">
        <f>IF($B568="","",N($G568)-N($H568))</f>
        <v/>
      </c>
    </row>
    <row r="569">
      <c r="A569" s="39">
        <f>IF($B569="","",COUNTA($B$4:$B569))</f>
        <v/>
      </c>
      <c r="B569" s="45" t="n"/>
      <c r="C569" s="46" t="n"/>
      <c r="D569" s="46" t="n"/>
      <c r="E569" s="47" t="n"/>
      <c r="F569" s="47" t="n"/>
      <c r="G569" s="43">
        <f>IF($B569="","",N($E569)+N($F569))</f>
        <v/>
      </c>
      <c r="H569" s="47" t="n"/>
      <c r="I569" s="43">
        <f>IF($B569="","",N($G569)-N($H569))</f>
        <v/>
      </c>
    </row>
    <row r="570">
      <c r="A570" s="39">
        <f>IF($B570="","",COUNTA($B$4:$B570))</f>
        <v/>
      </c>
      <c r="B570" s="40" t="n"/>
      <c r="C570" s="41" t="n"/>
      <c r="D570" s="41" t="n"/>
      <c r="E570" s="42" t="n"/>
      <c r="F570" s="42" t="n"/>
      <c r="G570" s="43">
        <f>IF($B570="","",N($E570)+N($F570))</f>
        <v/>
      </c>
      <c r="H570" s="42" t="n"/>
      <c r="I570" s="43">
        <f>IF($B570="","",N($G570)-N($H570))</f>
        <v/>
      </c>
    </row>
    <row r="571">
      <c r="A571" s="39">
        <f>IF($B571="","",COUNTA($B$4:$B571))</f>
        <v/>
      </c>
      <c r="B571" s="45" t="n"/>
      <c r="C571" s="46" t="n"/>
      <c r="D571" s="46" t="n"/>
      <c r="E571" s="47" t="n"/>
      <c r="F571" s="47" t="n"/>
      <c r="G571" s="43">
        <f>IF($B571="","",N($E571)+N($F571))</f>
        <v/>
      </c>
      <c r="H571" s="47" t="n"/>
      <c r="I571" s="43">
        <f>IF($B571="","",N($G571)-N($H571))</f>
        <v/>
      </c>
    </row>
    <row r="572">
      <c r="A572" s="39">
        <f>IF($B572="","",COUNTA($B$4:$B572))</f>
        <v/>
      </c>
      <c r="B572" s="40" t="n"/>
      <c r="C572" s="41" t="n"/>
      <c r="D572" s="41" t="n"/>
      <c r="E572" s="42" t="n"/>
      <c r="F572" s="42" t="n"/>
      <c r="G572" s="43">
        <f>IF($B572="","",N($E572)+N($F572))</f>
        <v/>
      </c>
      <c r="H572" s="42" t="n"/>
      <c r="I572" s="43">
        <f>IF($B572="","",N($G572)-N($H572))</f>
        <v/>
      </c>
    </row>
    <row r="573">
      <c r="A573" s="39">
        <f>IF($B573="","",COUNTA($B$4:$B573))</f>
        <v/>
      </c>
      <c r="B573" s="45" t="n"/>
      <c r="C573" s="46" t="n"/>
      <c r="D573" s="46" t="n"/>
      <c r="E573" s="47" t="n"/>
      <c r="F573" s="47" t="n"/>
      <c r="G573" s="43">
        <f>IF($B573="","",N($E573)+N($F573))</f>
        <v/>
      </c>
      <c r="H573" s="47" t="n"/>
      <c r="I573" s="43">
        <f>IF($B573="","",N($G573)-N($H573))</f>
        <v/>
      </c>
    </row>
    <row r="574">
      <c r="A574" s="39">
        <f>IF($B574="","",COUNTA($B$4:$B574))</f>
        <v/>
      </c>
      <c r="B574" s="40" t="n"/>
      <c r="C574" s="41" t="n"/>
      <c r="D574" s="41" t="n"/>
      <c r="E574" s="42" t="n"/>
      <c r="F574" s="42" t="n"/>
      <c r="G574" s="43">
        <f>IF($B574="","",N($E574)+N($F574))</f>
        <v/>
      </c>
      <c r="H574" s="42" t="n"/>
      <c r="I574" s="43">
        <f>IF($B574="","",N($G574)-N($H574))</f>
        <v/>
      </c>
    </row>
    <row r="575">
      <c r="A575" s="39">
        <f>IF($B575="","",COUNTA($B$4:$B575))</f>
        <v/>
      </c>
      <c r="B575" s="45" t="n"/>
      <c r="C575" s="46" t="n"/>
      <c r="D575" s="46" t="n"/>
      <c r="E575" s="47" t="n"/>
      <c r="F575" s="47" t="n"/>
      <c r="G575" s="43">
        <f>IF($B575="","",N($E575)+N($F575))</f>
        <v/>
      </c>
      <c r="H575" s="47" t="n"/>
      <c r="I575" s="43">
        <f>IF($B575="","",N($G575)-N($H575))</f>
        <v/>
      </c>
    </row>
    <row r="576">
      <c r="A576" s="39">
        <f>IF($B576="","",COUNTA($B$4:$B576))</f>
        <v/>
      </c>
      <c r="B576" s="40" t="n"/>
      <c r="C576" s="41" t="n"/>
      <c r="D576" s="41" t="n"/>
      <c r="E576" s="42" t="n"/>
      <c r="F576" s="42" t="n"/>
      <c r="G576" s="43">
        <f>IF($B576="","",N($E576)+N($F576))</f>
        <v/>
      </c>
      <c r="H576" s="42" t="n"/>
      <c r="I576" s="43">
        <f>IF($B576="","",N($G576)-N($H576))</f>
        <v/>
      </c>
    </row>
    <row r="577">
      <c r="A577" s="39">
        <f>IF($B577="","",COUNTA($B$4:$B577))</f>
        <v/>
      </c>
      <c r="B577" s="45" t="n"/>
      <c r="C577" s="46" t="n"/>
      <c r="D577" s="46" t="n"/>
      <c r="E577" s="47" t="n"/>
      <c r="F577" s="47" t="n"/>
      <c r="G577" s="43">
        <f>IF($B577="","",N($E577)+N($F577))</f>
        <v/>
      </c>
      <c r="H577" s="47" t="n"/>
      <c r="I577" s="43">
        <f>IF($B577="","",N($G577)-N($H577))</f>
        <v/>
      </c>
    </row>
    <row r="578">
      <c r="A578" s="39">
        <f>IF($B578="","",COUNTA($B$4:$B578))</f>
        <v/>
      </c>
      <c r="B578" s="40" t="n"/>
      <c r="C578" s="41" t="n"/>
      <c r="D578" s="41" t="n"/>
      <c r="E578" s="42" t="n"/>
      <c r="F578" s="42" t="n"/>
      <c r="G578" s="43">
        <f>IF($B578="","",N($E578)+N($F578))</f>
        <v/>
      </c>
      <c r="H578" s="42" t="n"/>
      <c r="I578" s="43">
        <f>IF($B578="","",N($G578)-N($H578))</f>
        <v/>
      </c>
    </row>
    <row r="579">
      <c r="A579" s="39">
        <f>IF($B579="","",COUNTA($B$4:$B579))</f>
        <v/>
      </c>
      <c r="B579" s="45" t="n"/>
      <c r="C579" s="46" t="n"/>
      <c r="D579" s="46" t="n"/>
      <c r="E579" s="47" t="n"/>
      <c r="F579" s="47" t="n"/>
      <c r="G579" s="43">
        <f>IF($B579="","",N($E579)+N($F579))</f>
        <v/>
      </c>
      <c r="H579" s="47" t="n"/>
      <c r="I579" s="43">
        <f>IF($B579="","",N($G579)-N($H579))</f>
        <v/>
      </c>
    </row>
    <row r="580">
      <c r="A580" s="39">
        <f>IF($B580="","",COUNTA($B$4:$B580))</f>
        <v/>
      </c>
      <c r="B580" s="40" t="n"/>
      <c r="C580" s="41" t="n"/>
      <c r="D580" s="41" t="n"/>
      <c r="E580" s="42" t="n"/>
      <c r="F580" s="42" t="n"/>
      <c r="G580" s="43">
        <f>IF($B580="","",N($E580)+N($F580))</f>
        <v/>
      </c>
      <c r="H580" s="42" t="n"/>
      <c r="I580" s="43">
        <f>IF($B580="","",N($G580)-N($H580))</f>
        <v/>
      </c>
    </row>
    <row r="581">
      <c r="A581" s="39">
        <f>IF($B581="","",COUNTA($B$4:$B581))</f>
        <v/>
      </c>
      <c r="B581" s="45" t="n"/>
      <c r="C581" s="46" t="n"/>
      <c r="D581" s="46" t="n"/>
      <c r="E581" s="47" t="n"/>
      <c r="F581" s="47" t="n"/>
      <c r="G581" s="43">
        <f>IF($B581="","",N($E581)+N($F581))</f>
        <v/>
      </c>
      <c r="H581" s="47" t="n"/>
      <c r="I581" s="43">
        <f>IF($B581="","",N($G581)-N($H581))</f>
        <v/>
      </c>
    </row>
    <row r="582">
      <c r="A582" s="39">
        <f>IF($B582="","",COUNTA($B$4:$B582))</f>
        <v/>
      </c>
      <c r="B582" s="40" t="n"/>
      <c r="C582" s="41" t="n"/>
      <c r="D582" s="41" t="n"/>
      <c r="E582" s="42" t="n"/>
      <c r="F582" s="42" t="n"/>
      <c r="G582" s="43">
        <f>IF($B582="","",N($E582)+N($F582))</f>
        <v/>
      </c>
      <c r="H582" s="42" t="n"/>
      <c r="I582" s="43">
        <f>IF($B582="","",N($G582)-N($H582))</f>
        <v/>
      </c>
    </row>
    <row r="583">
      <c r="A583" s="39">
        <f>IF($B583="","",COUNTA($B$4:$B583))</f>
        <v/>
      </c>
      <c r="B583" s="45" t="n"/>
      <c r="C583" s="46" t="n"/>
      <c r="D583" s="46" t="n"/>
      <c r="E583" s="47" t="n"/>
      <c r="F583" s="47" t="n"/>
      <c r="G583" s="43">
        <f>IF($B583="","",N($E583)+N($F583))</f>
        <v/>
      </c>
      <c r="H583" s="47" t="n"/>
      <c r="I583" s="43">
        <f>IF($B583="","",N($G583)-N($H583))</f>
        <v/>
      </c>
    </row>
    <row r="584">
      <c r="A584" s="39">
        <f>IF($B584="","",COUNTA($B$4:$B584))</f>
        <v/>
      </c>
      <c r="B584" s="40" t="n"/>
      <c r="C584" s="41" t="n"/>
      <c r="D584" s="41" t="n"/>
      <c r="E584" s="42" t="n"/>
      <c r="F584" s="42" t="n"/>
      <c r="G584" s="43">
        <f>IF($B584="","",N($E584)+N($F584))</f>
        <v/>
      </c>
      <c r="H584" s="42" t="n"/>
      <c r="I584" s="43">
        <f>IF($B584="","",N($G584)-N($H584))</f>
        <v/>
      </c>
    </row>
    <row r="585">
      <c r="A585" s="39">
        <f>IF($B585="","",COUNTA($B$4:$B585))</f>
        <v/>
      </c>
      <c r="B585" s="45" t="n"/>
      <c r="C585" s="46" t="n"/>
      <c r="D585" s="46" t="n"/>
      <c r="E585" s="47" t="n"/>
      <c r="F585" s="47" t="n"/>
      <c r="G585" s="43">
        <f>IF($B585="","",N($E585)+N($F585))</f>
        <v/>
      </c>
      <c r="H585" s="47" t="n"/>
      <c r="I585" s="43">
        <f>IF($B585="","",N($G585)-N($H585))</f>
        <v/>
      </c>
    </row>
    <row r="586">
      <c r="A586" s="39">
        <f>IF($B586="","",COUNTA($B$4:$B586))</f>
        <v/>
      </c>
      <c r="B586" s="40" t="n"/>
      <c r="C586" s="41" t="n"/>
      <c r="D586" s="41" t="n"/>
      <c r="E586" s="42" t="n"/>
      <c r="F586" s="42" t="n"/>
      <c r="G586" s="43">
        <f>IF($B586="","",N($E586)+N($F586))</f>
        <v/>
      </c>
      <c r="H586" s="42" t="n"/>
      <c r="I586" s="43">
        <f>IF($B586="","",N($G586)-N($H586))</f>
        <v/>
      </c>
    </row>
    <row r="587">
      <c r="A587" s="39">
        <f>IF($B587="","",COUNTA($B$4:$B587))</f>
        <v/>
      </c>
      <c r="B587" s="45" t="n"/>
      <c r="C587" s="46" t="n"/>
      <c r="D587" s="46" t="n"/>
      <c r="E587" s="47" t="n"/>
      <c r="F587" s="47" t="n"/>
      <c r="G587" s="43">
        <f>IF($B587="","",N($E587)+N($F587))</f>
        <v/>
      </c>
      <c r="H587" s="47" t="n"/>
      <c r="I587" s="43">
        <f>IF($B587="","",N($G587)-N($H587))</f>
        <v/>
      </c>
    </row>
    <row r="588">
      <c r="A588" s="39">
        <f>IF($B588="","",COUNTA($B$4:$B588))</f>
        <v/>
      </c>
      <c r="B588" s="40" t="n"/>
      <c r="C588" s="41" t="n"/>
      <c r="D588" s="41" t="n"/>
      <c r="E588" s="42" t="n"/>
      <c r="F588" s="42" t="n"/>
      <c r="G588" s="43">
        <f>IF($B588="","",N($E588)+N($F588))</f>
        <v/>
      </c>
      <c r="H588" s="42" t="n"/>
      <c r="I588" s="43">
        <f>IF($B588="","",N($G588)-N($H588))</f>
        <v/>
      </c>
    </row>
    <row r="589">
      <c r="A589" s="39">
        <f>IF($B589="","",COUNTA($B$4:$B589))</f>
        <v/>
      </c>
      <c r="B589" s="45" t="n"/>
      <c r="C589" s="46" t="n"/>
      <c r="D589" s="46" t="n"/>
      <c r="E589" s="47" t="n"/>
      <c r="F589" s="47" t="n"/>
      <c r="G589" s="43">
        <f>IF($B589="","",N($E589)+N($F589))</f>
        <v/>
      </c>
      <c r="H589" s="47" t="n"/>
      <c r="I589" s="43">
        <f>IF($B589="","",N($G589)-N($H589))</f>
        <v/>
      </c>
    </row>
    <row r="590">
      <c r="A590" s="39">
        <f>IF($B590="","",COUNTA($B$4:$B590))</f>
        <v/>
      </c>
      <c r="B590" s="40" t="n"/>
      <c r="C590" s="41" t="n"/>
      <c r="D590" s="41" t="n"/>
      <c r="E590" s="42" t="n"/>
      <c r="F590" s="42" t="n"/>
      <c r="G590" s="43">
        <f>IF($B590="","",N($E590)+N($F590))</f>
        <v/>
      </c>
      <c r="H590" s="42" t="n"/>
      <c r="I590" s="43">
        <f>IF($B590="","",N($G590)-N($H590))</f>
        <v/>
      </c>
    </row>
    <row r="591">
      <c r="A591" s="39">
        <f>IF($B591="","",COUNTA($B$4:$B591))</f>
        <v/>
      </c>
      <c r="B591" s="45" t="n"/>
      <c r="C591" s="46" t="n"/>
      <c r="D591" s="46" t="n"/>
      <c r="E591" s="47" t="n"/>
      <c r="F591" s="47" t="n"/>
      <c r="G591" s="43">
        <f>IF($B591="","",N($E591)+N($F591))</f>
        <v/>
      </c>
      <c r="H591" s="47" t="n"/>
      <c r="I591" s="43">
        <f>IF($B591="","",N($G591)-N($H591))</f>
        <v/>
      </c>
    </row>
    <row r="592">
      <c r="A592" s="39">
        <f>IF($B592="","",COUNTA($B$4:$B592))</f>
        <v/>
      </c>
      <c r="B592" s="40" t="n"/>
      <c r="C592" s="41" t="n"/>
      <c r="D592" s="41" t="n"/>
      <c r="E592" s="42" t="n"/>
      <c r="F592" s="42" t="n"/>
      <c r="G592" s="43">
        <f>IF($B592="","",N($E592)+N($F592))</f>
        <v/>
      </c>
      <c r="H592" s="42" t="n"/>
      <c r="I592" s="43">
        <f>IF($B592="","",N($G592)-N($H592))</f>
        <v/>
      </c>
    </row>
    <row r="593">
      <c r="A593" s="39">
        <f>IF($B593="","",COUNTA($B$4:$B593))</f>
        <v/>
      </c>
      <c r="B593" s="45" t="n"/>
      <c r="C593" s="46" t="n"/>
      <c r="D593" s="46" t="n"/>
      <c r="E593" s="47" t="n"/>
      <c r="F593" s="47" t="n"/>
      <c r="G593" s="43">
        <f>IF($B593="","",N($E593)+N($F593))</f>
        <v/>
      </c>
      <c r="H593" s="47" t="n"/>
      <c r="I593" s="43">
        <f>IF($B593="","",N($G593)-N($H593))</f>
        <v/>
      </c>
    </row>
    <row r="594">
      <c r="A594" s="39">
        <f>IF($B594="","",COUNTA($B$4:$B594))</f>
        <v/>
      </c>
      <c r="B594" s="40" t="n"/>
      <c r="C594" s="41" t="n"/>
      <c r="D594" s="41" t="n"/>
      <c r="E594" s="42" t="n"/>
      <c r="F594" s="42" t="n"/>
      <c r="G594" s="43">
        <f>IF($B594="","",N($E594)+N($F594))</f>
        <v/>
      </c>
      <c r="H594" s="42" t="n"/>
      <c r="I594" s="43">
        <f>IF($B594="","",N($G594)-N($H594))</f>
        <v/>
      </c>
    </row>
    <row r="595">
      <c r="A595" s="39">
        <f>IF($B595="","",COUNTA($B$4:$B595))</f>
        <v/>
      </c>
      <c r="B595" s="45" t="n"/>
      <c r="C595" s="46" t="n"/>
      <c r="D595" s="46" t="n"/>
      <c r="E595" s="47" t="n"/>
      <c r="F595" s="47" t="n"/>
      <c r="G595" s="43">
        <f>IF($B595="","",N($E595)+N($F595))</f>
        <v/>
      </c>
      <c r="H595" s="47" t="n"/>
      <c r="I595" s="43">
        <f>IF($B595="","",N($G595)-N($H595))</f>
        <v/>
      </c>
    </row>
    <row r="596">
      <c r="A596" s="39">
        <f>IF($B596="","",COUNTA($B$4:$B596))</f>
        <v/>
      </c>
      <c r="B596" s="40" t="n"/>
      <c r="C596" s="41" t="n"/>
      <c r="D596" s="41" t="n"/>
      <c r="E596" s="42" t="n"/>
      <c r="F596" s="42" t="n"/>
      <c r="G596" s="43">
        <f>IF($B596="","",N($E596)+N($F596))</f>
        <v/>
      </c>
      <c r="H596" s="42" t="n"/>
      <c r="I596" s="43">
        <f>IF($B596="","",N($G596)-N($H596))</f>
        <v/>
      </c>
    </row>
    <row r="597">
      <c r="A597" s="39">
        <f>IF($B597="","",COUNTA($B$4:$B597))</f>
        <v/>
      </c>
      <c r="B597" s="45" t="n"/>
      <c r="C597" s="46" t="n"/>
      <c r="D597" s="46" t="n"/>
      <c r="E597" s="47" t="n"/>
      <c r="F597" s="47" t="n"/>
      <c r="G597" s="43">
        <f>IF($B597="","",N($E597)+N($F597))</f>
        <v/>
      </c>
      <c r="H597" s="47" t="n"/>
      <c r="I597" s="43">
        <f>IF($B597="","",N($G597)-N($H597))</f>
        <v/>
      </c>
    </row>
    <row r="598">
      <c r="A598" s="39">
        <f>IF($B598="","",COUNTA($B$4:$B598))</f>
        <v/>
      </c>
      <c r="B598" s="40" t="n"/>
      <c r="C598" s="41" t="n"/>
      <c r="D598" s="41" t="n"/>
      <c r="E598" s="42" t="n"/>
      <c r="F598" s="42" t="n"/>
      <c r="G598" s="43">
        <f>IF($B598="","",N($E598)+N($F598))</f>
        <v/>
      </c>
      <c r="H598" s="42" t="n"/>
      <c r="I598" s="43">
        <f>IF($B598="","",N($G598)-N($H598))</f>
        <v/>
      </c>
    </row>
    <row r="599">
      <c r="A599" s="39">
        <f>IF($B599="","",COUNTA($B$4:$B599))</f>
        <v/>
      </c>
      <c r="B599" s="45" t="n"/>
      <c r="C599" s="46" t="n"/>
      <c r="D599" s="46" t="n"/>
      <c r="E599" s="47" t="n"/>
      <c r="F599" s="47" t="n"/>
      <c r="G599" s="43">
        <f>IF($B599="","",N($E599)+N($F599))</f>
        <v/>
      </c>
      <c r="H599" s="47" t="n"/>
      <c r="I599" s="43">
        <f>IF($B599="","",N($G599)-N($H599))</f>
        <v/>
      </c>
    </row>
    <row r="600">
      <c r="A600" s="39">
        <f>IF($B600="","",COUNTA($B$4:$B600))</f>
        <v/>
      </c>
      <c r="B600" s="40" t="n"/>
      <c r="C600" s="41" t="n"/>
      <c r="D600" s="41" t="n"/>
      <c r="E600" s="42" t="n"/>
      <c r="F600" s="42" t="n"/>
      <c r="G600" s="43">
        <f>IF($B600="","",N($E600)+N($F600))</f>
        <v/>
      </c>
      <c r="H600" s="42" t="n"/>
      <c r="I600" s="43">
        <f>IF($B600="","",N($G600)-N($H600))</f>
        <v/>
      </c>
    </row>
    <row r="601">
      <c r="A601" s="39">
        <f>IF($B601="","",COUNTA($B$4:$B601))</f>
        <v/>
      </c>
      <c r="B601" s="45" t="n"/>
      <c r="C601" s="46" t="n"/>
      <c r="D601" s="46" t="n"/>
      <c r="E601" s="47" t="n"/>
      <c r="F601" s="47" t="n"/>
      <c r="G601" s="43">
        <f>IF($B601="","",N($E601)+N($F601))</f>
        <v/>
      </c>
      <c r="H601" s="47" t="n"/>
      <c r="I601" s="43">
        <f>IF($B601="","",N($G601)-N($H601))</f>
        <v/>
      </c>
    </row>
    <row r="602">
      <c r="A602" s="39">
        <f>IF($B602="","",COUNTA($B$4:$B602))</f>
        <v/>
      </c>
      <c r="B602" s="40" t="n"/>
      <c r="C602" s="41" t="n"/>
      <c r="D602" s="41" t="n"/>
      <c r="E602" s="42" t="n"/>
      <c r="F602" s="42" t="n"/>
      <c r="G602" s="43">
        <f>IF($B602="","",N($E602)+N($F602))</f>
        <v/>
      </c>
      <c r="H602" s="42" t="n"/>
      <c r="I602" s="43">
        <f>IF($B602="","",N($G602)-N($H602))</f>
        <v/>
      </c>
    </row>
    <row r="603">
      <c r="A603" s="39">
        <f>IF($B603="","",COUNTA($B$4:$B603))</f>
        <v/>
      </c>
      <c r="B603" s="45" t="n"/>
      <c r="C603" s="46" t="n"/>
      <c r="D603" s="46" t="n"/>
      <c r="E603" s="47" t="n"/>
      <c r="F603" s="47" t="n"/>
      <c r="G603" s="43">
        <f>IF($B603="","",N($E603)+N($F603))</f>
        <v/>
      </c>
      <c r="H603" s="47" t="n"/>
      <c r="I603" s="43">
        <f>IF($B603="","",N($G603)-N($H603))</f>
        <v/>
      </c>
    </row>
    <row r="604">
      <c r="A604" s="39">
        <f>IF($B604="","",COUNTA($B$4:$B604))</f>
        <v/>
      </c>
      <c r="B604" s="40" t="n"/>
      <c r="C604" s="41" t="n"/>
      <c r="D604" s="41" t="n"/>
      <c r="E604" s="42" t="n"/>
      <c r="F604" s="42" t="n"/>
      <c r="G604" s="43">
        <f>IF($B604="","",N($E604)+N($F604))</f>
        <v/>
      </c>
      <c r="H604" s="42" t="n"/>
      <c r="I604" s="43">
        <f>IF($B604="","",N($G604)-N($H604))</f>
        <v/>
      </c>
    </row>
    <row r="605">
      <c r="A605" s="39">
        <f>IF($B605="","",COUNTA($B$4:$B605))</f>
        <v/>
      </c>
      <c r="B605" s="45" t="n"/>
      <c r="C605" s="46" t="n"/>
      <c r="D605" s="46" t="n"/>
      <c r="E605" s="47" t="n"/>
      <c r="F605" s="47" t="n"/>
      <c r="G605" s="43">
        <f>IF($B605="","",N($E605)+N($F605))</f>
        <v/>
      </c>
      <c r="H605" s="47" t="n"/>
      <c r="I605" s="43">
        <f>IF($B605="","",N($G605)-N($H605))</f>
        <v/>
      </c>
    </row>
    <row r="606">
      <c r="A606" s="39">
        <f>IF($B606="","",COUNTA($B$4:$B606))</f>
        <v/>
      </c>
      <c r="B606" s="40" t="n"/>
      <c r="C606" s="41" t="n"/>
      <c r="D606" s="41" t="n"/>
      <c r="E606" s="42" t="n"/>
      <c r="F606" s="42" t="n"/>
      <c r="G606" s="43">
        <f>IF($B606="","",N($E606)+N($F606))</f>
        <v/>
      </c>
      <c r="H606" s="42" t="n"/>
      <c r="I606" s="43">
        <f>IF($B606="","",N($G606)-N($H606))</f>
        <v/>
      </c>
    </row>
    <row r="607">
      <c r="A607" s="39">
        <f>IF($B607="","",COUNTA($B$4:$B607))</f>
        <v/>
      </c>
      <c r="B607" s="45" t="n"/>
      <c r="C607" s="46" t="n"/>
      <c r="D607" s="46" t="n"/>
      <c r="E607" s="47" t="n"/>
      <c r="F607" s="47" t="n"/>
      <c r="G607" s="43">
        <f>IF($B607="","",N($E607)+N($F607))</f>
        <v/>
      </c>
      <c r="H607" s="47" t="n"/>
      <c r="I607" s="43">
        <f>IF($B607="","",N($G607)-N($H607))</f>
        <v/>
      </c>
    </row>
    <row r="608">
      <c r="A608" s="39">
        <f>IF($B608="","",COUNTA($B$4:$B608))</f>
        <v/>
      </c>
      <c r="B608" s="40" t="n"/>
      <c r="C608" s="41" t="n"/>
      <c r="D608" s="41" t="n"/>
      <c r="E608" s="42" t="n"/>
      <c r="F608" s="42" t="n"/>
      <c r="G608" s="43">
        <f>IF($B608="","",N($E608)+N($F608))</f>
        <v/>
      </c>
      <c r="H608" s="42" t="n"/>
      <c r="I608" s="43">
        <f>IF($B608="","",N($G608)-N($H608))</f>
        <v/>
      </c>
    </row>
    <row r="609">
      <c r="A609" s="39">
        <f>IF($B609="","",COUNTA($B$4:$B609))</f>
        <v/>
      </c>
      <c r="B609" s="45" t="n"/>
      <c r="C609" s="46" t="n"/>
      <c r="D609" s="46" t="n"/>
      <c r="E609" s="47" t="n"/>
      <c r="F609" s="47" t="n"/>
      <c r="G609" s="43">
        <f>IF($B609="","",N($E609)+N($F609))</f>
        <v/>
      </c>
      <c r="H609" s="47" t="n"/>
      <c r="I609" s="43">
        <f>IF($B609="","",N($G609)-N($H609))</f>
        <v/>
      </c>
    </row>
    <row r="610">
      <c r="A610" s="39">
        <f>IF($B610="","",COUNTA($B$4:$B610))</f>
        <v/>
      </c>
      <c r="B610" s="40" t="n"/>
      <c r="C610" s="41" t="n"/>
      <c r="D610" s="41" t="n"/>
      <c r="E610" s="42" t="n"/>
      <c r="F610" s="42" t="n"/>
      <c r="G610" s="43">
        <f>IF($B610="","",N($E610)+N($F610))</f>
        <v/>
      </c>
      <c r="H610" s="42" t="n"/>
      <c r="I610" s="43">
        <f>IF($B610="","",N($G610)-N($H610))</f>
        <v/>
      </c>
    </row>
    <row r="611">
      <c r="A611" s="39">
        <f>IF($B611="","",COUNTA($B$4:$B611))</f>
        <v/>
      </c>
      <c r="B611" s="45" t="n"/>
      <c r="C611" s="46" t="n"/>
      <c r="D611" s="46" t="n"/>
      <c r="E611" s="47" t="n"/>
      <c r="F611" s="47" t="n"/>
      <c r="G611" s="43">
        <f>IF($B611="","",N($E611)+N($F611))</f>
        <v/>
      </c>
      <c r="H611" s="47" t="n"/>
      <c r="I611" s="43">
        <f>IF($B611="","",N($G611)-N($H611))</f>
        <v/>
      </c>
    </row>
    <row r="612">
      <c r="A612" s="39">
        <f>IF($B612="","",COUNTA($B$4:$B612))</f>
        <v/>
      </c>
      <c r="B612" s="40" t="n"/>
      <c r="C612" s="41" t="n"/>
      <c r="D612" s="41" t="n"/>
      <c r="E612" s="42" t="n"/>
      <c r="F612" s="42" t="n"/>
      <c r="G612" s="43">
        <f>IF($B612="","",N($E612)+N($F612))</f>
        <v/>
      </c>
      <c r="H612" s="42" t="n"/>
      <c r="I612" s="43">
        <f>IF($B612="","",N($G612)-N($H612))</f>
        <v/>
      </c>
    </row>
    <row r="613">
      <c r="A613" s="39">
        <f>IF($B613="","",COUNTA($B$4:$B613))</f>
        <v/>
      </c>
      <c r="B613" s="45" t="n"/>
      <c r="C613" s="46" t="n"/>
      <c r="D613" s="46" t="n"/>
      <c r="E613" s="47" t="n"/>
      <c r="F613" s="47" t="n"/>
      <c r="G613" s="43">
        <f>IF($B613="","",N($E613)+N($F613))</f>
        <v/>
      </c>
      <c r="H613" s="47" t="n"/>
      <c r="I613" s="43">
        <f>IF($B613="","",N($G613)-N($H613))</f>
        <v/>
      </c>
    </row>
    <row r="614">
      <c r="A614" s="39">
        <f>IF($B614="","",COUNTA($B$4:$B614))</f>
        <v/>
      </c>
      <c r="B614" s="40" t="n"/>
      <c r="C614" s="41" t="n"/>
      <c r="D614" s="41" t="n"/>
      <c r="E614" s="42" t="n"/>
      <c r="F614" s="42" t="n"/>
      <c r="G614" s="43">
        <f>IF($B614="","",N($E614)+N($F614))</f>
        <v/>
      </c>
      <c r="H614" s="42" t="n"/>
      <c r="I614" s="43">
        <f>IF($B614="","",N($G614)-N($H614))</f>
        <v/>
      </c>
    </row>
    <row r="615">
      <c r="A615" s="39">
        <f>IF($B615="","",COUNTA($B$4:$B615))</f>
        <v/>
      </c>
      <c r="B615" s="45" t="n"/>
      <c r="C615" s="46" t="n"/>
      <c r="D615" s="46" t="n"/>
      <c r="E615" s="47" t="n"/>
      <c r="F615" s="47" t="n"/>
      <c r="G615" s="43">
        <f>IF($B615="","",N($E615)+N($F615))</f>
        <v/>
      </c>
      <c r="H615" s="47" t="n"/>
      <c r="I615" s="43">
        <f>IF($B615="","",N($G615)-N($H615))</f>
        <v/>
      </c>
    </row>
    <row r="616">
      <c r="A616" s="39">
        <f>IF($B616="","",COUNTA($B$4:$B616))</f>
        <v/>
      </c>
      <c r="B616" s="40" t="n"/>
      <c r="C616" s="41" t="n"/>
      <c r="D616" s="41" t="n"/>
      <c r="E616" s="42" t="n"/>
      <c r="F616" s="42" t="n"/>
      <c r="G616" s="43">
        <f>IF($B616="","",N($E616)+N($F616))</f>
        <v/>
      </c>
      <c r="H616" s="42" t="n"/>
      <c r="I616" s="43">
        <f>IF($B616="","",N($G616)-N($H616))</f>
        <v/>
      </c>
    </row>
    <row r="617">
      <c r="A617" s="39">
        <f>IF($B617="","",COUNTA($B$4:$B617))</f>
        <v/>
      </c>
      <c r="B617" s="45" t="n"/>
      <c r="C617" s="46" t="n"/>
      <c r="D617" s="46" t="n"/>
      <c r="E617" s="47" t="n"/>
      <c r="F617" s="47" t="n"/>
      <c r="G617" s="43">
        <f>IF($B617="","",N($E617)+N($F617))</f>
        <v/>
      </c>
      <c r="H617" s="47" t="n"/>
      <c r="I617" s="43">
        <f>IF($B617="","",N($G617)-N($H617))</f>
        <v/>
      </c>
    </row>
    <row r="618">
      <c r="A618" s="39">
        <f>IF($B618="","",COUNTA($B$4:$B618))</f>
        <v/>
      </c>
      <c r="B618" s="40" t="n"/>
      <c r="C618" s="41" t="n"/>
      <c r="D618" s="41" t="n"/>
      <c r="E618" s="42" t="n"/>
      <c r="F618" s="42" t="n"/>
      <c r="G618" s="43">
        <f>IF($B618="","",N($E618)+N($F618))</f>
        <v/>
      </c>
      <c r="H618" s="42" t="n"/>
      <c r="I618" s="43">
        <f>IF($B618="","",N($G618)-N($H618))</f>
        <v/>
      </c>
    </row>
    <row r="619">
      <c r="A619" s="39">
        <f>IF($B619="","",COUNTA($B$4:$B619))</f>
        <v/>
      </c>
      <c r="B619" s="45" t="n"/>
      <c r="C619" s="46" t="n"/>
      <c r="D619" s="46" t="n"/>
      <c r="E619" s="47" t="n"/>
      <c r="F619" s="47" t="n"/>
      <c r="G619" s="43">
        <f>IF($B619="","",N($E619)+N($F619))</f>
        <v/>
      </c>
      <c r="H619" s="47" t="n"/>
      <c r="I619" s="43">
        <f>IF($B619="","",N($G619)-N($H619))</f>
        <v/>
      </c>
    </row>
    <row r="620">
      <c r="A620" s="39">
        <f>IF($B620="","",COUNTA($B$4:$B620))</f>
        <v/>
      </c>
      <c r="B620" s="40" t="n"/>
      <c r="C620" s="41" t="n"/>
      <c r="D620" s="41" t="n"/>
      <c r="E620" s="42" t="n"/>
      <c r="F620" s="42" t="n"/>
      <c r="G620" s="43">
        <f>IF($B620="","",N($E620)+N($F620))</f>
        <v/>
      </c>
      <c r="H620" s="42" t="n"/>
      <c r="I620" s="43">
        <f>IF($B620="","",N($G620)-N($H620))</f>
        <v/>
      </c>
    </row>
    <row r="621">
      <c r="A621" s="39">
        <f>IF($B621="","",COUNTA($B$4:$B621))</f>
        <v/>
      </c>
      <c r="B621" s="45" t="n"/>
      <c r="C621" s="46" t="n"/>
      <c r="D621" s="46" t="n"/>
      <c r="E621" s="47" t="n"/>
      <c r="F621" s="47" t="n"/>
      <c r="G621" s="43">
        <f>IF($B621="","",N($E621)+N($F621))</f>
        <v/>
      </c>
      <c r="H621" s="47" t="n"/>
      <c r="I621" s="43">
        <f>IF($B621="","",N($G621)-N($H621))</f>
        <v/>
      </c>
    </row>
    <row r="622">
      <c r="A622" s="39">
        <f>IF($B622="","",COUNTA($B$4:$B622))</f>
        <v/>
      </c>
      <c r="B622" s="40" t="n"/>
      <c r="C622" s="41" t="n"/>
      <c r="D622" s="41" t="n"/>
      <c r="E622" s="42" t="n"/>
      <c r="F622" s="42" t="n"/>
      <c r="G622" s="43">
        <f>IF($B622="","",N($E622)+N($F622))</f>
        <v/>
      </c>
      <c r="H622" s="42" t="n"/>
      <c r="I622" s="43">
        <f>IF($B622="","",N($G622)-N($H622))</f>
        <v/>
      </c>
    </row>
    <row r="623">
      <c r="A623" s="39">
        <f>IF($B623="","",COUNTA($B$4:$B623))</f>
        <v/>
      </c>
      <c r="B623" s="45" t="n"/>
      <c r="C623" s="46" t="n"/>
      <c r="D623" s="46" t="n"/>
      <c r="E623" s="47" t="n"/>
      <c r="F623" s="47" t="n"/>
      <c r="G623" s="43">
        <f>IF($B623="","",N($E623)+N($F623))</f>
        <v/>
      </c>
      <c r="H623" s="47" t="n"/>
      <c r="I623" s="43">
        <f>IF($B623="","",N($G623)-N($H623))</f>
        <v/>
      </c>
    </row>
    <row r="624">
      <c r="A624" s="39">
        <f>IF($B624="","",COUNTA($B$4:$B624))</f>
        <v/>
      </c>
      <c r="B624" s="40" t="n"/>
      <c r="C624" s="41" t="n"/>
      <c r="D624" s="41" t="n"/>
      <c r="E624" s="42" t="n"/>
      <c r="F624" s="42" t="n"/>
      <c r="G624" s="43">
        <f>IF($B624="","",N($E624)+N($F624))</f>
        <v/>
      </c>
      <c r="H624" s="42" t="n"/>
      <c r="I624" s="43">
        <f>IF($B624="","",N($G624)-N($H624))</f>
        <v/>
      </c>
    </row>
    <row r="625">
      <c r="A625" s="39">
        <f>IF($B625="","",COUNTA($B$4:$B625))</f>
        <v/>
      </c>
      <c r="B625" s="45" t="n"/>
      <c r="C625" s="46" t="n"/>
      <c r="D625" s="46" t="n"/>
      <c r="E625" s="47" t="n"/>
      <c r="F625" s="47" t="n"/>
      <c r="G625" s="43">
        <f>IF($B625="","",N($E625)+N($F625))</f>
        <v/>
      </c>
      <c r="H625" s="47" t="n"/>
      <c r="I625" s="43">
        <f>IF($B625="","",N($G625)-N($H625))</f>
        <v/>
      </c>
    </row>
    <row r="626">
      <c r="A626" s="39">
        <f>IF($B626="","",COUNTA($B$4:$B626))</f>
        <v/>
      </c>
      <c r="B626" s="40" t="n"/>
      <c r="C626" s="41" t="n"/>
      <c r="D626" s="41" t="n"/>
      <c r="E626" s="42" t="n"/>
      <c r="F626" s="42" t="n"/>
      <c r="G626" s="43">
        <f>IF($B626="","",N($E626)+N($F626))</f>
        <v/>
      </c>
      <c r="H626" s="42" t="n"/>
      <c r="I626" s="43">
        <f>IF($B626="","",N($G626)-N($H626))</f>
        <v/>
      </c>
    </row>
    <row r="627">
      <c r="A627" s="39">
        <f>IF($B627="","",COUNTA($B$4:$B627))</f>
        <v/>
      </c>
      <c r="B627" s="45" t="n"/>
      <c r="C627" s="46" t="n"/>
      <c r="D627" s="46" t="n"/>
      <c r="E627" s="47" t="n"/>
      <c r="F627" s="47" t="n"/>
      <c r="G627" s="43">
        <f>IF($B627="","",N($E627)+N($F627))</f>
        <v/>
      </c>
      <c r="H627" s="47" t="n"/>
      <c r="I627" s="43">
        <f>IF($B627="","",N($G627)-N($H627))</f>
        <v/>
      </c>
    </row>
    <row r="628">
      <c r="A628" s="39">
        <f>IF($B628="","",COUNTA($B$4:$B628))</f>
        <v/>
      </c>
      <c r="B628" s="40" t="n"/>
      <c r="C628" s="41" t="n"/>
      <c r="D628" s="41" t="n"/>
      <c r="E628" s="42" t="n"/>
      <c r="F628" s="42" t="n"/>
      <c r="G628" s="43">
        <f>IF($B628="","",N($E628)+N($F628))</f>
        <v/>
      </c>
      <c r="H628" s="42" t="n"/>
      <c r="I628" s="43">
        <f>IF($B628="","",N($G628)-N($H628))</f>
        <v/>
      </c>
    </row>
    <row r="629">
      <c r="A629" s="39">
        <f>IF($B629="","",COUNTA($B$4:$B629))</f>
        <v/>
      </c>
      <c r="B629" s="45" t="n"/>
      <c r="C629" s="46" t="n"/>
      <c r="D629" s="46" t="n"/>
      <c r="E629" s="47" t="n"/>
      <c r="F629" s="47" t="n"/>
      <c r="G629" s="43">
        <f>IF($B629="","",N($E629)+N($F629))</f>
        <v/>
      </c>
      <c r="H629" s="47" t="n"/>
      <c r="I629" s="43">
        <f>IF($B629="","",N($G629)-N($H629))</f>
        <v/>
      </c>
    </row>
    <row r="630">
      <c r="A630" s="39">
        <f>IF($B630="","",COUNTA($B$4:$B630))</f>
        <v/>
      </c>
      <c r="B630" s="40" t="n"/>
      <c r="C630" s="41" t="n"/>
      <c r="D630" s="41" t="n"/>
      <c r="E630" s="42" t="n"/>
      <c r="F630" s="42" t="n"/>
      <c r="G630" s="43">
        <f>IF($B630="","",N($E630)+N($F630))</f>
        <v/>
      </c>
      <c r="H630" s="42" t="n"/>
      <c r="I630" s="43">
        <f>IF($B630="","",N($G630)-N($H630))</f>
        <v/>
      </c>
    </row>
    <row r="631">
      <c r="A631" s="39">
        <f>IF($B631="","",COUNTA($B$4:$B631))</f>
        <v/>
      </c>
      <c r="B631" s="45" t="n"/>
      <c r="C631" s="46" t="n"/>
      <c r="D631" s="46" t="n"/>
      <c r="E631" s="47" t="n"/>
      <c r="F631" s="47" t="n"/>
      <c r="G631" s="43">
        <f>IF($B631="","",N($E631)+N($F631))</f>
        <v/>
      </c>
      <c r="H631" s="47" t="n"/>
      <c r="I631" s="43">
        <f>IF($B631="","",N($G631)-N($H631))</f>
        <v/>
      </c>
    </row>
    <row r="632">
      <c r="A632" s="39">
        <f>IF($B632="","",COUNTA($B$4:$B632))</f>
        <v/>
      </c>
      <c r="B632" s="40" t="n"/>
      <c r="C632" s="41" t="n"/>
      <c r="D632" s="41" t="n"/>
      <c r="E632" s="42" t="n"/>
      <c r="F632" s="42" t="n"/>
      <c r="G632" s="43">
        <f>IF($B632="","",N($E632)+N($F632))</f>
        <v/>
      </c>
      <c r="H632" s="42" t="n"/>
      <c r="I632" s="43">
        <f>IF($B632="","",N($G632)-N($H632))</f>
        <v/>
      </c>
    </row>
    <row r="633">
      <c r="A633" s="39">
        <f>IF($B633="","",COUNTA($B$4:$B633))</f>
        <v/>
      </c>
      <c r="B633" s="45" t="n"/>
      <c r="C633" s="46" t="n"/>
      <c r="D633" s="46" t="n"/>
      <c r="E633" s="47" t="n"/>
      <c r="F633" s="47" t="n"/>
      <c r="G633" s="43">
        <f>IF($B633="","",N($E633)+N($F633))</f>
        <v/>
      </c>
      <c r="H633" s="47" t="n"/>
      <c r="I633" s="43">
        <f>IF($B633="","",N($G633)-N($H633))</f>
        <v/>
      </c>
    </row>
    <row r="634">
      <c r="A634" s="39">
        <f>IF($B634="","",COUNTA($B$4:$B634))</f>
        <v/>
      </c>
      <c r="B634" s="40" t="n"/>
      <c r="C634" s="41" t="n"/>
      <c r="D634" s="41" t="n"/>
      <c r="E634" s="42" t="n"/>
      <c r="F634" s="42" t="n"/>
      <c r="G634" s="43">
        <f>IF($B634="","",N($E634)+N($F634))</f>
        <v/>
      </c>
      <c r="H634" s="42" t="n"/>
      <c r="I634" s="43">
        <f>IF($B634="","",N($G634)-N($H634))</f>
        <v/>
      </c>
    </row>
    <row r="635">
      <c r="A635" s="39">
        <f>IF($B635="","",COUNTA($B$4:$B635))</f>
        <v/>
      </c>
      <c r="B635" s="45" t="n"/>
      <c r="C635" s="46" t="n"/>
      <c r="D635" s="46" t="n"/>
      <c r="E635" s="47" t="n"/>
      <c r="F635" s="47" t="n"/>
      <c r="G635" s="43">
        <f>IF($B635="","",N($E635)+N($F635))</f>
        <v/>
      </c>
      <c r="H635" s="47" t="n"/>
      <c r="I635" s="43">
        <f>IF($B635="","",N($G635)-N($H635))</f>
        <v/>
      </c>
    </row>
    <row r="636">
      <c r="A636" s="39">
        <f>IF($B636="","",COUNTA($B$4:$B636))</f>
        <v/>
      </c>
      <c r="B636" s="40" t="n"/>
      <c r="C636" s="41" t="n"/>
      <c r="D636" s="41" t="n"/>
      <c r="E636" s="42" t="n"/>
      <c r="F636" s="42" t="n"/>
      <c r="G636" s="43">
        <f>IF($B636="","",N($E636)+N($F636))</f>
        <v/>
      </c>
      <c r="H636" s="42" t="n"/>
      <c r="I636" s="43">
        <f>IF($B636="","",N($G636)-N($H636))</f>
        <v/>
      </c>
    </row>
    <row r="637">
      <c r="A637" s="39">
        <f>IF($B637="","",COUNTA($B$4:$B637))</f>
        <v/>
      </c>
      <c r="B637" s="45" t="n"/>
      <c r="C637" s="46" t="n"/>
      <c r="D637" s="46" t="n"/>
      <c r="E637" s="47" t="n"/>
      <c r="F637" s="47" t="n"/>
      <c r="G637" s="43">
        <f>IF($B637="","",N($E637)+N($F637))</f>
        <v/>
      </c>
      <c r="H637" s="47" t="n"/>
      <c r="I637" s="43">
        <f>IF($B637="","",N($G637)-N($H637))</f>
        <v/>
      </c>
    </row>
    <row r="638">
      <c r="A638" s="39">
        <f>IF($B638="","",COUNTA($B$4:$B638))</f>
        <v/>
      </c>
      <c r="B638" s="40" t="n"/>
      <c r="C638" s="41" t="n"/>
      <c r="D638" s="41" t="n"/>
      <c r="E638" s="42" t="n"/>
      <c r="F638" s="42" t="n"/>
      <c r="G638" s="43">
        <f>IF($B638="","",N($E638)+N($F638))</f>
        <v/>
      </c>
      <c r="H638" s="42" t="n"/>
      <c r="I638" s="43">
        <f>IF($B638="","",N($G638)-N($H638))</f>
        <v/>
      </c>
    </row>
    <row r="639">
      <c r="A639" s="39">
        <f>IF($B639="","",COUNTA($B$4:$B639))</f>
        <v/>
      </c>
      <c r="B639" s="45" t="n"/>
      <c r="C639" s="46" t="n"/>
      <c r="D639" s="46" t="n"/>
      <c r="E639" s="47" t="n"/>
      <c r="F639" s="47" t="n"/>
      <c r="G639" s="43">
        <f>IF($B639="","",N($E639)+N($F639))</f>
        <v/>
      </c>
      <c r="H639" s="47" t="n"/>
      <c r="I639" s="43">
        <f>IF($B639="","",N($G639)-N($H639))</f>
        <v/>
      </c>
    </row>
    <row r="640">
      <c r="A640" s="39">
        <f>IF($B640="","",COUNTA($B$4:$B640))</f>
        <v/>
      </c>
      <c r="B640" s="40" t="n"/>
      <c r="C640" s="41" t="n"/>
      <c r="D640" s="41" t="n"/>
      <c r="E640" s="42" t="n"/>
      <c r="F640" s="42" t="n"/>
      <c r="G640" s="43">
        <f>IF($B640="","",N($E640)+N($F640))</f>
        <v/>
      </c>
      <c r="H640" s="42" t="n"/>
      <c r="I640" s="43">
        <f>IF($B640="","",N($G640)-N($H640))</f>
        <v/>
      </c>
    </row>
    <row r="641">
      <c r="A641" s="39">
        <f>IF($B641="","",COUNTA($B$4:$B641))</f>
        <v/>
      </c>
      <c r="B641" s="45" t="n"/>
      <c r="C641" s="46" t="n"/>
      <c r="D641" s="46" t="n"/>
      <c r="E641" s="47" t="n"/>
      <c r="F641" s="47" t="n"/>
      <c r="G641" s="43">
        <f>IF($B641="","",N($E641)+N($F641))</f>
        <v/>
      </c>
      <c r="H641" s="47" t="n"/>
      <c r="I641" s="43">
        <f>IF($B641="","",N($G641)-N($H641))</f>
        <v/>
      </c>
    </row>
    <row r="642">
      <c r="A642" s="39">
        <f>IF($B642="","",COUNTA($B$4:$B642))</f>
        <v/>
      </c>
      <c r="B642" s="40" t="n"/>
      <c r="C642" s="41" t="n"/>
      <c r="D642" s="41" t="n"/>
      <c r="E642" s="42" t="n"/>
      <c r="F642" s="42" t="n"/>
      <c r="G642" s="43">
        <f>IF($B642="","",N($E642)+N($F642))</f>
        <v/>
      </c>
      <c r="H642" s="42" t="n"/>
      <c r="I642" s="43">
        <f>IF($B642="","",N($G642)-N($H642))</f>
        <v/>
      </c>
    </row>
    <row r="643">
      <c r="A643" s="39">
        <f>IF($B643="","",COUNTA($B$4:$B643))</f>
        <v/>
      </c>
      <c r="B643" s="45" t="n"/>
      <c r="C643" s="46" t="n"/>
      <c r="D643" s="46" t="n"/>
      <c r="E643" s="47" t="n"/>
      <c r="F643" s="47" t="n"/>
      <c r="G643" s="43">
        <f>IF($B643="","",N($E643)+N($F643))</f>
        <v/>
      </c>
      <c r="H643" s="47" t="n"/>
      <c r="I643" s="43">
        <f>IF($B643="","",N($G643)-N($H643))</f>
        <v/>
      </c>
    </row>
    <row r="644">
      <c r="A644" s="39">
        <f>IF($B644="","",COUNTA($B$4:$B644))</f>
        <v/>
      </c>
      <c r="B644" s="40" t="n"/>
      <c r="C644" s="41" t="n"/>
      <c r="D644" s="41" t="n"/>
      <c r="E644" s="42" t="n"/>
      <c r="F644" s="42" t="n"/>
      <c r="G644" s="43">
        <f>IF($B644="","",N($E644)+N($F644))</f>
        <v/>
      </c>
      <c r="H644" s="42" t="n"/>
      <c r="I644" s="43">
        <f>IF($B644="","",N($G644)-N($H644))</f>
        <v/>
      </c>
    </row>
    <row r="645">
      <c r="A645" s="39">
        <f>IF($B645="","",COUNTA($B$4:$B645))</f>
        <v/>
      </c>
      <c r="B645" s="45" t="n"/>
      <c r="C645" s="46" t="n"/>
      <c r="D645" s="46" t="n"/>
      <c r="E645" s="47" t="n"/>
      <c r="F645" s="47" t="n"/>
      <c r="G645" s="43">
        <f>IF($B645="","",N($E645)+N($F645))</f>
        <v/>
      </c>
      <c r="H645" s="47" t="n"/>
      <c r="I645" s="43">
        <f>IF($B645="","",N($G645)-N($H645))</f>
        <v/>
      </c>
    </row>
    <row r="646">
      <c r="A646" s="39">
        <f>IF($B646="","",COUNTA($B$4:$B646))</f>
        <v/>
      </c>
      <c r="B646" s="40" t="n"/>
      <c r="C646" s="41" t="n"/>
      <c r="D646" s="41" t="n"/>
      <c r="E646" s="42" t="n"/>
      <c r="F646" s="42" t="n"/>
      <c r="G646" s="43">
        <f>IF($B646="","",N($E646)+N($F646))</f>
        <v/>
      </c>
      <c r="H646" s="42" t="n"/>
      <c r="I646" s="43">
        <f>IF($B646="","",N($G646)-N($H646))</f>
        <v/>
      </c>
    </row>
    <row r="647">
      <c r="A647" s="39">
        <f>IF($B647="","",COUNTA($B$4:$B647))</f>
        <v/>
      </c>
      <c r="B647" s="45" t="n"/>
      <c r="C647" s="46" t="n"/>
      <c r="D647" s="46" t="n"/>
      <c r="E647" s="47" t="n"/>
      <c r="F647" s="47" t="n"/>
      <c r="G647" s="43">
        <f>IF($B647="","",N($E647)+N($F647))</f>
        <v/>
      </c>
      <c r="H647" s="47" t="n"/>
      <c r="I647" s="43">
        <f>IF($B647="","",N($G647)-N($H647))</f>
        <v/>
      </c>
    </row>
    <row r="648">
      <c r="A648" s="39">
        <f>IF($B648="","",COUNTA($B$4:$B648))</f>
        <v/>
      </c>
      <c r="B648" s="40" t="n"/>
      <c r="C648" s="41" t="n"/>
      <c r="D648" s="41" t="n"/>
      <c r="E648" s="42" t="n"/>
      <c r="F648" s="42" t="n"/>
      <c r="G648" s="43">
        <f>IF($B648="","",N($E648)+N($F648))</f>
        <v/>
      </c>
      <c r="H648" s="42" t="n"/>
      <c r="I648" s="43">
        <f>IF($B648="","",N($G648)-N($H648))</f>
        <v/>
      </c>
    </row>
    <row r="649">
      <c r="A649" s="39">
        <f>IF($B649="","",COUNTA($B$4:$B649))</f>
        <v/>
      </c>
      <c r="B649" s="45" t="n"/>
      <c r="C649" s="46" t="n"/>
      <c r="D649" s="46" t="n"/>
      <c r="E649" s="47" t="n"/>
      <c r="F649" s="47" t="n"/>
      <c r="G649" s="43">
        <f>IF($B649="","",N($E649)+N($F649))</f>
        <v/>
      </c>
      <c r="H649" s="47" t="n"/>
      <c r="I649" s="43">
        <f>IF($B649="","",N($G649)-N($H649))</f>
        <v/>
      </c>
    </row>
    <row r="650">
      <c r="A650" s="39">
        <f>IF($B650="","",COUNTA($B$4:$B650))</f>
        <v/>
      </c>
      <c r="B650" s="40" t="n"/>
      <c r="C650" s="41" t="n"/>
      <c r="D650" s="41" t="n"/>
      <c r="E650" s="42" t="n"/>
      <c r="F650" s="42" t="n"/>
      <c r="G650" s="43">
        <f>IF($B650="","",N($E650)+N($F650))</f>
        <v/>
      </c>
      <c r="H650" s="42" t="n"/>
      <c r="I650" s="43">
        <f>IF($B650="","",N($G650)-N($H650))</f>
        <v/>
      </c>
    </row>
    <row r="651">
      <c r="A651" s="39">
        <f>IF($B651="","",COUNTA($B$4:$B651))</f>
        <v/>
      </c>
      <c r="B651" s="45" t="n"/>
      <c r="C651" s="46" t="n"/>
      <c r="D651" s="46" t="n"/>
      <c r="E651" s="47" t="n"/>
      <c r="F651" s="47" t="n"/>
      <c r="G651" s="43">
        <f>IF($B651="","",N($E651)+N($F651))</f>
        <v/>
      </c>
      <c r="H651" s="47" t="n"/>
      <c r="I651" s="43">
        <f>IF($B651="","",N($G651)-N($H651))</f>
        <v/>
      </c>
    </row>
    <row r="652">
      <c r="A652" s="39">
        <f>IF($B652="","",COUNTA($B$4:$B652))</f>
        <v/>
      </c>
      <c r="B652" s="40" t="n"/>
      <c r="C652" s="41" t="n"/>
      <c r="D652" s="41" t="n"/>
      <c r="E652" s="42" t="n"/>
      <c r="F652" s="42" t="n"/>
      <c r="G652" s="43">
        <f>IF($B652="","",N($E652)+N($F652))</f>
        <v/>
      </c>
      <c r="H652" s="42" t="n"/>
      <c r="I652" s="43">
        <f>IF($B652="","",N($G652)-N($H652))</f>
        <v/>
      </c>
    </row>
    <row r="653">
      <c r="A653" s="39">
        <f>IF($B653="","",COUNTA($B$4:$B653))</f>
        <v/>
      </c>
      <c r="B653" s="45" t="n"/>
      <c r="C653" s="46" t="n"/>
      <c r="D653" s="46" t="n"/>
      <c r="E653" s="47" t="n"/>
      <c r="F653" s="47" t="n"/>
      <c r="G653" s="43">
        <f>IF($B653="","",N($E653)+N($F653))</f>
        <v/>
      </c>
      <c r="H653" s="47" t="n"/>
      <c r="I653" s="43">
        <f>IF($B653="","",N($G653)-N($H653))</f>
        <v/>
      </c>
    </row>
    <row r="654">
      <c r="A654" s="39">
        <f>IF($B654="","",COUNTA($B$4:$B654))</f>
        <v/>
      </c>
      <c r="B654" s="40" t="n"/>
      <c r="C654" s="41" t="n"/>
      <c r="D654" s="41" t="n"/>
      <c r="E654" s="42" t="n"/>
      <c r="F654" s="42" t="n"/>
      <c r="G654" s="43">
        <f>IF($B654="","",N($E654)+N($F654))</f>
        <v/>
      </c>
      <c r="H654" s="42" t="n"/>
      <c r="I654" s="43">
        <f>IF($B654="","",N($G654)-N($H654))</f>
        <v/>
      </c>
    </row>
    <row r="655">
      <c r="A655" s="39">
        <f>IF($B655="","",COUNTA($B$4:$B655))</f>
        <v/>
      </c>
      <c r="B655" s="45" t="n"/>
      <c r="C655" s="46" t="n"/>
      <c r="D655" s="46" t="n"/>
      <c r="E655" s="47" t="n"/>
      <c r="F655" s="47" t="n"/>
      <c r="G655" s="43">
        <f>IF($B655="","",N($E655)+N($F655))</f>
        <v/>
      </c>
      <c r="H655" s="47" t="n"/>
      <c r="I655" s="43">
        <f>IF($B655="","",N($G655)-N($H655))</f>
        <v/>
      </c>
    </row>
    <row r="656">
      <c r="A656" s="39">
        <f>IF($B656="","",COUNTA($B$4:$B656))</f>
        <v/>
      </c>
      <c r="B656" s="40" t="n"/>
      <c r="C656" s="41" t="n"/>
      <c r="D656" s="41" t="n"/>
      <c r="E656" s="42" t="n"/>
      <c r="F656" s="42" t="n"/>
      <c r="G656" s="43">
        <f>IF($B656="","",N($E656)+N($F656))</f>
        <v/>
      </c>
      <c r="H656" s="42" t="n"/>
      <c r="I656" s="43">
        <f>IF($B656="","",N($G656)-N($H656))</f>
        <v/>
      </c>
    </row>
    <row r="657">
      <c r="A657" s="39">
        <f>IF($B657="","",COUNTA($B$4:$B657))</f>
        <v/>
      </c>
      <c r="B657" s="45" t="n"/>
      <c r="C657" s="46" t="n"/>
      <c r="D657" s="46" t="n"/>
      <c r="E657" s="47" t="n"/>
      <c r="F657" s="47" t="n"/>
      <c r="G657" s="43">
        <f>IF($B657="","",N($E657)+N($F657))</f>
        <v/>
      </c>
      <c r="H657" s="47" t="n"/>
      <c r="I657" s="43">
        <f>IF($B657="","",N($G657)-N($H657))</f>
        <v/>
      </c>
    </row>
    <row r="658">
      <c r="A658" s="39">
        <f>IF($B658="","",COUNTA($B$4:$B658))</f>
        <v/>
      </c>
      <c r="B658" s="40" t="n"/>
      <c r="C658" s="41" t="n"/>
      <c r="D658" s="41" t="n"/>
      <c r="E658" s="42" t="n"/>
      <c r="F658" s="42" t="n"/>
      <c r="G658" s="43">
        <f>IF($B658="","",N($E658)+N($F658))</f>
        <v/>
      </c>
      <c r="H658" s="42" t="n"/>
      <c r="I658" s="43">
        <f>IF($B658="","",N($G658)-N($H658))</f>
        <v/>
      </c>
    </row>
    <row r="659">
      <c r="A659" s="39">
        <f>IF($B659="","",COUNTA($B$4:$B659))</f>
        <v/>
      </c>
      <c r="B659" s="45" t="n"/>
      <c r="C659" s="46" t="n"/>
      <c r="D659" s="46" t="n"/>
      <c r="E659" s="47" t="n"/>
      <c r="F659" s="47" t="n"/>
      <c r="G659" s="43">
        <f>IF($B659="","",N($E659)+N($F659))</f>
        <v/>
      </c>
      <c r="H659" s="47" t="n"/>
      <c r="I659" s="43">
        <f>IF($B659="","",N($G659)-N($H659))</f>
        <v/>
      </c>
    </row>
    <row r="660">
      <c r="A660" s="39">
        <f>IF($B660="","",COUNTA($B$4:$B660))</f>
        <v/>
      </c>
      <c r="B660" s="40" t="n"/>
      <c r="C660" s="41" t="n"/>
      <c r="D660" s="41" t="n"/>
      <c r="E660" s="42" t="n"/>
      <c r="F660" s="42" t="n"/>
      <c r="G660" s="43">
        <f>IF($B660="","",N($E660)+N($F660))</f>
        <v/>
      </c>
      <c r="H660" s="42" t="n"/>
      <c r="I660" s="43">
        <f>IF($B660="","",N($G660)-N($H660))</f>
        <v/>
      </c>
    </row>
    <row r="661">
      <c r="A661" s="39">
        <f>IF($B661="","",COUNTA($B$4:$B661))</f>
        <v/>
      </c>
      <c r="B661" s="45" t="n"/>
      <c r="C661" s="46" t="n"/>
      <c r="D661" s="46" t="n"/>
      <c r="E661" s="47" t="n"/>
      <c r="F661" s="47" t="n"/>
      <c r="G661" s="43">
        <f>IF($B661="","",N($E661)+N($F661))</f>
        <v/>
      </c>
      <c r="H661" s="47" t="n"/>
      <c r="I661" s="43">
        <f>IF($B661="","",N($G661)-N($H661))</f>
        <v/>
      </c>
    </row>
    <row r="662">
      <c r="A662" s="39">
        <f>IF($B662="","",COUNTA($B$4:$B662))</f>
        <v/>
      </c>
      <c r="B662" s="40" t="n"/>
      <c r="C662" s="41" t="n"/>
      <c r="D662" s="41" t="n"/>
      <c r="E662" s="42" t="n"/>
      <c r="F662" s="42" t="n"/>
      <c r="G662" s="43">
        <f>IF($B662="","",N($E662)+N($F662))</f>
        <v/>
      </c>
      <c r="H662" s="42" t="n"/>
      <c r="I662" s="43">
        <f>IF($B662="","",N($G662)-N($H662))</f>
        <v/>
      </c>
    </row>
    <row r="663">
      <c r="A663" s="39">
        <f>IF($B663="","",COUNTA($B$4:$B663))</f>
        <v/>
      </c>
      <c r="B663" s="45" t="n"/>
      <c r="C663" s="46" t="n"/>
      <c r="D663" s="46" t="n"/>
      <c r="E663" s="47" t="n"/>
      <c r="F663" s="47" t="n"/>
      <c r="G663" s="43">
        <f>IF($B663="","",N($E663)+N($F663))</f>
        <v/>
      </c>
      <c r="H663" s="47" t="n"/>
      <c r="I663" s="43">
        <f>IF($B663="","",N($G663)-N($H663))</f>
        <v/>
      </c>
    </row>
    <row r="664">
      <c r="A664" s="39">
        <f>IF($B664="","",COUNTA($B$4:$B664))</f>
        <v/>
      </c>
      <c r="B664" s="40" t="n"/>
      <c r="C664" s="41" t="n"/>
      <c r="D664" s="41" t="n"/>
      <c r="E664" s="42" t="n"/>
      <c r="F664" s="42" t="n"/>
      <c r="G664" s="43">
        <f>IF($B664="","",N($E664)+N($F664))</f>
        <v/>
      </c>
      <c r="H664" s="42" t="n"/>
      <c r="I664" s="43">
        <f>IF($B664="","",N($G664)-N($H664))</f>
        <v/>
      </c>
    </row>
    <row r="665">
      <c r="A665" s="39">
        <f>IF($B665="","",COUNTA($B$4:$B665))</f>
        <v/>
      </c>
      <c r="B665" s="45" t="n"/>
      <c r="C665" s="46" t="n"/>
      <c r="D665" s="46" t="n"/>
      <c r="E665" s="47" t="n"/>
      <c r="F665" s="47" t="n"/>
      <c r="G665" s="43">
        <f>IF($B665="","",N($E665)+N($F665))</f>
        <v/>
      </c>
      <c r="H665" s="47" t="n"/>
      <c r="I665" s="43">
        <f>IF($B665="","",N($G665)-N($H665))</f>
        <v/>
      </c>
    </row>
    <row r="666">
      <c r="A666" s="39">
        <f>IF($B666="","",COUNTA($B$4:$B666))</f>
        <v/>
      </c>
      <c r="B666" s="40" t="n"/>
      <c r="C666" s="41" t="n"/>
      <c r="D666" s="41" t="n"/>
      <c r="E666" s="42" t="n"/>
      <c r="F666" s="42" t="n"/>
      <c r="G666" s="43">
        <f>IF($B666="","",N($E666)+N($F666))</f>
        <v/>
      </c>
      <c r="H666" s="42" t="n"/>
      <c r="I666" s="43">
        <f>IF($B666="","",N($G666)-N($H666))</f>
        <v/>
      </c>
    </row>
    <row r="667">
      <c r="A667" s="39">
        <f>IF($B667="","",COUNTA($B$4:$B667))</f>
        <v/>
      </c>
      <c r="B667" s="45" t="n"/>
      <c r="C667" s="46" t="n"/>
      <c r="D667" s="46" t="n"/>
      <c r="E667" s="47" t="n"/>
      <c r="F667" s="47" t="n"/>
      <c r="G667" s="43">
        <f>IF($B667="","",N($E667)+N($F667))</f>
        <v/>
      </c>
      <c r="H667" s="47" t="n"/>
      <c r="I667" s="43">
        <f>IF($B667="","",N($G667)-N($H667))</f>
        <v/>
      </c>
    </row>
    <row r="668">
      <c r="A668" s="39">
        <f>IF($B668="","",COUNTA($B$4:$B668))</f>
        <v/>
      </c>
      <c r="B668" s="40" t="n"/>
      <c r="C668" s="41" t="n"/>
      <c r="D668" s="41" t="n"/>
      <c r="E668" s="42" t="n"/>
      <c r="F668" s="42" t="n"/>
      <c r="G668" s="43">
        <f>IF($B668="","",N($E668)+N($F668))</f>
        <v/>
      </c>
      <c r="H668" s="42" t="n"/>
      <c r="I668" s="43">
        <f>IF($B668="","",N($G668)-N($H668))</f>
        <v/>
      </c>
    </row>
    <row r="669">
      <c r="A669" s="39">
        <f>IF($B669="","",COUNTA($B$4:$B669))</f>
        <v/>
      </c>
      <c r="B669" s="45" t="n"/>
      <c r="C669" s="46" t="n"/>
      <c r="D669" s="46" t="n"/>
      <c r="E669" s="47" t="n"/>
      <c r="F669" s="47" t="n"/>
      <c r="G669" s="43">
        <f>IF($B669="","",N($E669)+N($F669))</f>
        <v/>
      </c>
      <c r="H669" s="47" t="n"/>
      <c r="I669" s="43">
        <f>IF($B669="","",N($G669)-N($H669))</f>
        <v/>
      </c>
    </row>
    <row r="670">
      <c r="A670" s="39">
        <f>IF($B670="","",COUNTA($B$4:$B670))</f>
        <v/>
      </c>
      <c r="B670" s="40" t="n"/>
      <c r="C670" s="41" t="n"/>
      <c r="D670" s="41" t="n"/>
      <c r="E670" s="42" t="n"/>
      <c r="F670" s="42" t="n"/>
      <c r="G670" s="43">
        <f>IF($B670="","",N($E670)+N($F670))</f>
        <v/>
      </c>
      <c r="H670" s="42" t="n"/>
      <c r="I670" s="43">
        <f>IF($B670="","",N($G670)-N($H670))</f>
        <v/>
      </c>
    </row>
    <row r="671">
      <c r="A671" s="39">
        <f>IF($B671="","",COUNTA($B$4:$B671))</f>
        <v/>
      </c>
      <c r="B671" s="45" t="n"/>
      <c r="C671" s="46" t="n"/>
      <c r="D671" s="46" t="n"/>
      <c r="E671" s="47" t="n"/>
      <c r="F671" s="47" t="n"/>
      <c r="G671" s="43">
        <f>IF($B671="","",N($E671)+N($F671))</f>
        <v/>
      </c>
      <c r="H671" s="47" t="n"/>
      <c r="I671" s="43">
        <f>IF($B671="","",N($G671)-N($H671))</f>
        <v/>
      </c>
    </row>
    <row r="672">
      <c r="A672" s="39">
        <f>IF($B672="","",COUNTA($B$4:$B672))</f>
        <v/>
      </c>
      <c r="B672" s="40" t="n"/>
      <c r="C672" s="41" t="n"/>
      <c r="D672" s="41" t="n"/>
      <c r="E672" s="42" t="n"/>
      <c r="F672" s="42" t="n"/>
      <c r="G672" s="43">
        <f>IF($B672="","",N($E672)+N($F672))</f>
        <v/>
      </c>
      <c r="H672" s="42" t="n"/>
      <c r="I672" s="43">
        <f>IF($B672="","",N($G672)-N($H672))</f>
        <v/>
      </c>
    </row>
    <row r="673">
      <c r="A673" s="39">
        <f>IF($B673="","",COUNTA($B$4:$B673))</f>
        <v/>
      </c>
      <c r="B673" s="45" t="n"/>
      <c r="C673" s="46" t="n"/>
      <c r="D673" s="46" t="n"/>
      <c r="E673" s="47" t="n"/>
      <c r="F673" s="47" t="n"/>
      <c r="G673" s="43">
        <f>IF($B673="","",N($E673)+N($F673))</f>
        <v/>
      </c>
      <c r="H673" s="47" t="n"/>
      <c r="I673" s="43">
        <f>IF($B673="","",N($G673)-N($H673))</f>
        <v/>
      </c>
    </row>
    <row r="674">
      <c r="A674" s="39">
        <f>IF($B674="","",COUNTA($B$4:$B674))</f>
        <v/>
      </c>
      <c r="B674" s="40" t="n"/>
      <c r="C674" s="41" t="n"/>
      <c r="D674" s="41" t="n"/>
      <c r="E674" s="42" t="n"/>
      <c r="F674" s="42" t="n"/>
      <c r="G674" s="43">
        <f>IF($B674="","",N($E674)+N($F674))</f>
        <v/>
      </c>
      <c r="H674" s="42" t="n"/>
      <c r="I674" s="43">
        <f>IF($B674="","",N($G674)-N($H674))</f>
        <v/>
      </c>
    </row>
    <row r="675">
      <c r="A675" s="39">
        <f>IF($B675="","",COUNTA($B$4:$B675))</f>
        <v/>
      </c>
      <c r="B675" s="45" t="n"/>
      <c r="C675" s="46" t="n"/>
      <c r="D675" s="46" t="n"/>
      <c r="E675" s="47" t="n"/>
      <c r="F675" s="47" t="n"/>
      <c r="G675" s="43">
        <f>IF($B675="","",N($E675)+N($F675))</f>
        <v/>
      </c>
      <c r="H675" s="47" t="n"/>
      <c r="I675" s="43">
        <f>IF($B675="","",N($G675)-N($H675))</f>
        <v/>
      </c>
    </row>
    <row r="676">
      <c r="A676" s="39">
        <f>IF($B676="","",COUNTA($B$4:$B676))</f>
        <v/>
      </c>
      <c r="B676" s="40" t="n"/>
      <c r="C676" s="41" t="n"/>
      <c r="D676" s="41" t="n"/>
      <c r="E676" s="42" t="n"/>
      <c r="F676" s="42" t="n"/>
      <c r="G676" s="43">
        <f>IF($B676="","",N($E676)+N($F676))</f>
        <v/>
      </c>
      <c r="H676" s="42" t="n"/>
      <c r="I676" s="43">
        <f>IF($B676="","",N($G676)-N($H676))</f>
        <v/>
      </c>
    </row>
    <row r="677">
      <c r="A677" s="39">
        <f>IF($B677="","",COUNTA($B$4:$B677))</f>
        <v/>
      </c>
      <c r="B677" s="45" t="n"/>
      <c r="C677" s="46" t="n"/>
      <c r="D677" s="46" t="n"/>
      <c r="E677" s="47" t="n"/>
      <c r="F677" s="47" t="n"/>
      <c r="G677" s="43">
        <f>IF($B677="","",N($E677)+N($F677))</f>
        <v/>
      </c>
      <c r="H677" s="47" t="n"/>
      <c r="I677" s="43">
        <f>IF($B677="","",N($G677)-N($H677))</f>
        <v/>
      </c>
    </row>
    <row r="678">
      <c r="A678" s="39">
        <f>IF($B678="","",COUNTA($B$4:$B678))</f>
        <v/>
      </c>
      <c r="B678" s="40" t="n"/>
      <c r="C678" s="41" t="n"/>
      <c r="D678" s="41" t="n"/>
      <c r="E678" s="42" t="n"/>
      <c r="F678" s="42" t="n"/>
      <c r="G678" s="43">
        <f>IF($B678="","",N($E678)+N($F678))</f>
        <v/>
      </c>
      <c r="H678" s="42" t="n"/>
      <c r="I678" s="43">
        <f>IF($B678="","",N($G678)-N($H678))</f>
        <v/>
      </c>
    </row>
    <row r="679">
      <c r="A679" s="39">
        <f>IF($B679="","",COUNTA($B$4:$B679))</f>
        <v/>
      </c>
      <c r="B679" s="45" t="n"/>
      <c r="C679" s="46" t="n"/>
      <c r="D679" s="46" t="n"/>
      <c r="E679" s="47" t="n"/>
      <c r="F679" s="47" t="n"/>
      <c r="G679" s="43">
        <f>IF($B679="","",N($E679)+N($F679))</f>
        <v/>
      </c>
      <c r="H679" s="47" t="n"/>
      <c r="I679" s="43">
        <f>IF($B679="","",N($G679)-N($H679))</f>
        <v/>
      </c>
    </row>
    <row r="680">
      <c r="A680" s="39">
        <f>IF($B680="","",COUNTA($B$4:$B680))</f>
        <v/>
      </c>
      <c r="B680" s="40" t="n"/>
      <c r="C680" s="41" t="n"/>
      <c r="D680" s="41" t="n"/>
      <c r="E680" s="42" t="n"/>
      <c r="F680" s="42" t="n"/>
      <c r="G680" s="43">
        <f>IF($B680="","",N($E680)+N($F680))</f>
        <v/>
      </c>
      <c r="H680" s="42" t="n"/>
      <c r="I680" s="43">
        <f>IF($B680="","",N($G680)-N($H680))</f>
        <v/>
      </c>
    </row>
    <row r="681">
      <c r="A681" s="39">
        <f>IF($B681="","",COUNTA($B$4:$B681))</f>
        <v/>
      </c>
      <c r="B681" s="45" t="n"/>
      <c r="C681" s="46" t="n"/>
      <c r="D681" s="46" t="n"/>
      <c r="E681" s="47" t="n"/>
      <c r="F681" s="47" t="n"/>
      <c r="G681" s="43">
        <f>IF($B681="","",N($E681)+N($F681))</f>
        <v/>
      </c>
      <c r="H681" s="47" t="n"/>
      <c r="I681" s="43">
        <f>IF($B681="","",N($G681)-N($H681))</f>
        <v/>
      </c>
    </row>
    <row r="682">
      <c r="A682" s="39">
        <f>IF($B682="","",COUNTA($B$4:$B682))</f>
        <v/>
      </c>
      <c r="B682" s="40" t="n"/>
      <c r="C682" s="41" t="n"/>
      <c r="D682" s="41" t="n"/>
      <c r="E682" s="42" t="n"/>
      <c r="F682" s="42" t="n"/>
      <c r="G682" s="43">
        <f>IF($B682="","",N($E682)+N($F682))</f>
        <v/>
      </c>
      <c r="H682" s="42" t="n"/>
      <c r="I682" s="43">
        <f>IF($B682="","",N($G682)-N($H682))</f>
        <v/>
      </c>
    </row>
    <row r="683">
      <c r="A683" s="39">
        <f>IF($B683="","",COUNTA($B$4:$B683))</f>
        <v/>
      </c>
      <c r="B683" s="45" t="n"/>
      <c r="C683" s="46" t="n"/>
      <c r="D683" s="46" t="n"/>
      <c r="E683" s="47" t="n"/>
      <c r="F683" s="47" t="n"/>
      <c r="G683" s="43">
        <f>IF($B683="","",N($E683)+N($F683))</f>
        <v/>
      </c>
      <c r="H683" s="47" t="n"/>
      <c r="I683" s="43">
        <f>IF($B683="","",N($G683)-N($H683))</f>
        <v/>
      </c>
    </row>
    <row r="684">
      <c r="A684" s="39">
        <f>IF($B684="","",COUNTA($B$4:$B684))</f>
        <v/>
      </c>
      <c r="B684" s="40" t="n"/>
      <c r="C684" s="41" t="n"/>
      <c r="D684" s="41" t="n"/>
      <c r="E684" s="42" t="n"/>
      <c r="F684" s="42" t="n"/>
      <c r="G684" s="43">
        <f>IF($B684="","",N($E684)+N($F684))</f>
        <v/>
      </c>
      <c r="H684" s="42" t="n"/>
      <c r="I684" s="43">
        <f>IF($B684="","",N($G684)-N($H684))</f>
        <v/>
      </c>
    </row>
    <row r="685">
      <c r="A685" s="39">
        <f>IF($B685="","",COUNTA($B$4:$B685))</f>
        <v/>
      </c>
      <c r="B685" s="45" t="n"/>
      <c r="C685" s="46" t="n"/>
      <c r="D685" s="46" t="n"/>
      <c r="E685" s="47" t="n"/>
      <c r="F685" s="47" t="n"/>
      <c r="G685" s="43">
        <f>IF($B685="","",N($E685)+N($F685))</f>
        <v/>
      </c>
      <c r="H685" s="47" t="n"/>
      <c r="I685" s="43">
        <f>IF($B685="","",N($G685)-N($H685))</f>
        <v/>
      </c>
    </row>
    <row r="686">
      <c r="A686" s="39">
        <f>IF($B686="","",COUNTA($B$4:$B686))</f>
        <v/>
      </c>
      <c r="B686" s="40" t="n"/>
      <c r="C686" s="41" t="n"/>
      <c r="D686" s="41" t="n"/>
      <c r="E686" s="42" t="n"/>
      <c r="F686" s="42" t="n"/>
      <c r="G686" s="43">
        <f>IF($B686="","",N($E686)+N($F686))</f>
        <v/>
      </c>
      <c r="H686" s="42" t="n"/>
      <c r="I686" s="43">
        <f>IF($B686="","",N($G686)-N($H686))</f>
        <v/>
      </c>
    </row>
    <row r="687">
      <c r="A687" s="39">
        <f>IF($B687="","",COUNTA($B$4:$B687))</f>
        <v/>
      </c>
      <c r="B687" s="45" t="n"/>
      <c r="C687" s="46" t="n"/>
      <c r="D687" s="46" t="n"/>
      <c r="E687" s="47" t="n"/>
      <c r="F687" s="47" t="n"/>
      <c r="G687" s="43">
        <f>IF($B687="","",N($E687)+N($F687))</f>
        <v/>
      </c>
      <c r="H687" s="47" t="n"/>
      <c r="I687" s="43">
        <f>IF($B687="","",N($G687)-N($H687))</f>
        <v/>
      </c>
    </row>
    <row r="688">
      <c r="A688" s="39">
        <f>IF($B688="","",COUNTA($B$4:$B688))</f>
        <v/>
      </c>
      <c r="B688" s="40" t="n"/>
      <c r="C688" s="41" t="n"/>
      <c r="D688" s="41" t="n"/>
      <c r="E688" s="42" t="n"/>
      <c r="F688" s="42" t="n"/>
      <c r="G688" s="43">
        <f>IF($B688="","",N($E688)+N($F688))</f>
        <v/>
      </c>
      <c r="H688" s="42" t="n"/>
      <c r="I688" s="43">
        <f>IF($B688="","",N($G688)-N($H688))</f>
        <v/>
      </c>
    </row>
    <row r="689">
      <c r="A689" s="39">
        <f>IF($B689="","",COUNTA($B$4:$B689))</f>
        <v/>
      </c>
      <c r="B689" s="45" t="n"/>
      <c r="C689" s="46" t="n"/>
      <c r="D689" s="46" t="n"/>
      <c r="E689" s="47" t="n"/>
      <c r="F689" s="47" t="n"/>
      <c r="G689" s="43">
        <f>IF($B689="","",N($E689)+N($F689))</f>
        <v/>
      </c>
      <c r="H689" s="47" t="n"/>
      <c r="I689" s="43">
        <f>IF($B689="","",N($G689)-N($H689))</f>
        <v/>
      </c>
    </row>
    <row r="690">
      <c r="A690" s="39">
        <f>IF($B690="","",COUNTA($B$4:$B690))</f>
        <v/>
      </c>
      <c r="B690" s="40" t="n"/>
      <c r="C690" s="41" t="n"/>
      <c r="D690" s="41" t="n"/>
      <c r="E690" s="42" t="n"/>
      <c r="F690" s="42" t="n"/>
      <c r="G690" s="43">
        <f>IF($B690="","",N($E690)+N($F690))</f>
        <v/>
      </c>
      <c r="H690" s="42" t="n"/>
      <c r="I690" s="43">
        <f>IF($B690="","",N($G690)-N($H690))</f>
        <v/>
      </c>
    </row>
    <row r="691">
      <c r="A691" s="39">
        <f>IF($B691="","",COUNTA($B$4:$B691))</f>
        <v/>
      </c>
      <c r="B691" s="45" t="n"/>
      <c r="C691" s="46" t="n"/>
      <c r="D691" s="46" t="n"/>
      <c r="E691" s="47" t="n"/>
      <c r="F691" s="47" t="n"/>
      <c r="G691" s="43">
        <f>IF($B691="","",N($E691)+N($F691))</f>
        <v/>
      </c>
      <c r="H691" s="47" t="n"/>
      <c r="I691" s="43">
        <f>IF($B691="","",N($G691)-N($H691))</f>
        <v/>
      </c>
    </row>
    <row r="692">
      <c r="A692" s="39">
        <f>IF($B692="","",COUNTA($B$4:$B692))</f>
        <v/>
      </c>
      <c r="B692" s="40" t="n"/>
      <c r="C692" s="41" t="n"/>
      <c r="D692" s="41" t="n"/>
      <c r="E692" s="42" t="n"/>
      <c r="F692" s="42" t="n"/>
      <c r="G692" s="43">
        <f>IF($B692="","",N($E692)+N($F692))</f>
        <v/>
      </c>
      <c r="H692" s="42" t="n"/>
      <c r="I692" s="43">
        <f>IF($B692="","",N($G692)-N($H692))</f>
        <v/>
      </c>
    </row>
    <row r="693">
      <c r="A693" s="39">
        <f>IF($B693="","",COUNTA($B$4:$B693))</f>
        <v/>
      </c>
      <c r="B693" s="45" t="n"/>
      <c r="C693" s="46" t="n"/>
      <c r="D693" s="46" t="n"/>
      <c r="E693" s="47" t="n"/>
      <c r="F693" s="47" t="n"/>
      <c r="G693" s="43">
        <f>IF($B693="","",N($E693)+N($F693))</f>
        <v/>
      </c>
      <c r="H693" s="47" t="n"/>
      <c r="I693" s="43">
        <f>IF($B693="","",N($G693)-N($H693))</f>
        <v/>
      </c>
    </row>
    <row r="694">
      <c r="A694" s="39">
        <f>IF($B694="","",COUNTA($B$4:$B694))</f>
        <v/>
      </c>
      <c r="B694" s="40" t="n"/>
      <c r="C694" s="41" t="n"/>
      <c r="D694" s="41" t="n"/>
      <c r="E694" s="42" t="n"/>
      <c r="F694" s="42" t="n"/>
      <c r="G694" s="43">
        <f>IF($B694="","",N($E694)+N($F694))</f>
        <v/>
      </c>
      <c r="H694" s="42" t="n"/>
      <c r="I694" s="43">
        <f>IF($B694="","",N($G694)-N($H694))</f>
        <v/>
      </c>
    </row>
    <row r="695">
      <c r="A695" s="39">
        <f>IF($B695="","",COUNTA($B$4:$B695))</f>
        <v/>
      </c>
      <c r="B695" s="45" t="n"/>
      <c r="C695" s="46" t="n"/>
      <c r="D695" s="46" t="n"/>
      <c r="E695" s="47" t="n"/>
      <c r="F695" s="47" t="n"/>
      <c r="G695" s="43">
        <f>IF($B695="","",N($E695)+N($F695))</f>
        <v/>
      </c>
      <c r="H695" s="47" t="n"/>
      <c r="I695" s="43">
        <f>IF($B695="","",N($G695)-N($H695))</f>
        <v/>
      </c>
    </row>
    <row r="696">
      <c r="A696" s="39">
        <f>IF($B696="","",COUNTA($B$4:$B696))</f>
        <v/>
      </c>
      <c r="B696" s="40" t="n"/>
      <c r="C696" s="41" t="n"/>
      <c r="D696" s="41" t="n"/>
      <c r="E696" s="42" t="n"/>
      <c r="F696" s="42" t="n"/>
      <c r="G696" s="43">
        <f>IF($B696="","",N($E696)+N($F696))</f>
        <v/>
      </c>
      <c r="H696" s="42" t="n"/>
      <c r="I696" s="43">
        <f>IF($B696="","",N($G696)-N($H696))</f>
        <v/>
      </c>
    </row>
    <row r="697">
      <c r="A697" s="39">
        <f>IF($B697="","",COUNTA($B$4:$B697))</f>
        <v/>
      </c>
      <c r="B697" s="45" t="n"/>
      <c r="C697" s="46" t="n"/>
      <c r="D697" s="46" t="n"/>
      <c r="E697" s="47" t="n"/>
      <c r="F697" s="47" t="n"/>
      <c r="G697" s="43">
        <f>IF($B697="","",N($E697)+N($F697))</f>
        <v/>
      </c>
      <c r="H697" s="47" t="n"/>
      <c r="I697" s="43">
        <f>IF($B697="","",N($G697)-N($H697))</f>
        <v/>
      </c>
    </row>
    <row r="698">
      <c r="A698" s="39">
        <f>IF($B698="","",COUNTA($B$4:$B698))</f>
        <v/>
      </c>
      <c r="B698" s="40" t="n"/>
      <c r="C698" s="41" t="n"/>
      <c r="D698" s="41" t="n"/>
      <c r="E698" s="42" t="n"/>
      <c r="F698" s="42" t="n"/>
      <c r="G698" s="43">
        <f>IF($B698="","",N($E698)+N($F698))</f>
        <v/>
      </c>
      <c r="H698" s="42" t="n"/>
      <c r="I698" s="43">
        <f>IF($B698="","",N($G698)-N($H698))</f>
        <v/>
      </c>
    </row>
    <row r="699">
      <c r="A699" s="39">
        <f>IF($B699="","",COUNTA($B$4:$B699))</f>
        <v/>
      </c>
      <c r="B699" s="45" t="n"/>
      <c r="C699" s="46" t="n"/>
      <c r="D699" s="46" t="n"/>
      <c r="E699" s="47" t="n"/>
      <c r="F699" s="47" t="n"/>
      <c r="G699" s="43">
        <f>IF($B699="","",N($E699)+N($F699))</f>
        <v/>
      </c>
      <c r="H699" s="47" t="n"/>
      <c r="I699" s="43">
        <f>IF($B699="","",N($G699)-N($H699))</f>
        <v/>
      </c>
    </row>
    <row r="700">
      <c r="A700" s="39">
        <f>IF($B700="","",COUNTA($B$4:$B700))</f>
        <v/>
      </c>
      <c r="B700" s="40" t="n"/>
      <c r="C700" s="41" t="n"/>
      <c r="D700" s="41" t="n"/>
      <c r="E700" s="42" t="n"/>
      <c r="F700" s="42" t="n"/>
      <c r="G700" s="43">
        <f>IF($B700="","",N($E700)+N($F700))</f>
        <v/>
      </c>
      <c r="H700" s="42" t="n"/>
      <c r="I700" s="43">
        <f>IF($B700="","",N($G700)-N($H700))</f>
        <v/>
      </c>
    </row>
    <row r="701">
      <c r="A701" s="39">
        <f>IF($B701="","",COUNTA($B$4:$B701))</f>
        <v/>
      </c>
      <c r="B701" s="45" t="n"/>
      <c r="C701" s="46" t="n"/>
      <c r="D701" s="46" t="n"/>
      <c r="E701" s="47" t="n"/>
      <c r="F701" s="47" t="n"/>
      <c r="G701" s="43">
        <f>IF($B701="","",N($E701)+N($F701))</f>
        <v/>
      </c>
      <c r="H701" s="47" t="n"/>
      <c r="I701" s="43">
        <f>IF($B701="","",N($G701)-N($H701))</f>
        <v/>
      </c>
    </row>
    <row r="702">
      <c r="A702" s="39">
        <f>IF($B702="","",COUNTA($B$4:$B702))</f>
        <v/>
      </c>
      <c r="B702" s="40" t="n"/>
      <c r="C702" s="41" t="n"/>
      <c r="D702" s="41" t="n"/>
      <c r="E702" s="42" t="n"/>
      <c r="F702" s="42" t="n"/>
      <c r="G702" s="43">
        <f>IF($B702="","",N($E702)+N($F702))</f>
        <v/>
      </c>
      <c r="H702" s="42" t="n"/>
      <c r="I702" s="43">
        <f>IF($B702="","",N($G702)-N($H702))</f>
        <v/>
      </c>
    </row>
    <row r="703">
      <c r="A703" s="39">
        <f>IF($B703="","",COUNTA($B$4:$B703))</f>
        <v/>
      </c>
      <c r="B703" s="45" t="n"/>
      <c r="C703" s="46" t="n"/>
      <c r="D703" s="46" t="n"/>
      <c r="E703" s="47" t="n"/>
      <c r="F703" s="47" t="n"/>
      <c r="G703" s="43">
        <f>IF($B703="","",N($E703)+N($F703))</f>
        <v/>
      </c>
      <c r="H703" s="47" t="n"/>
      <c r="I703" s="43">
        <f>IF($B703="","",N($G703)-N($H703))</f>
        <v/>
      </c>
    </row>
    <row r="704">
      <c r="A704" s="39">
        <f>IF($B704="","",COUNTA($B$4:$B704))</f>
        <v/>
      </c>
      <c r="B704" s="40" t="n"/>
      <c r="C704" s="41" t="n"/>
      <c r="D704" s="41" t="n"/>
      <c r="E704" s="42" t="n"/>
      <c r="F704" s="42" t="n"/>
      <c r="G704" s="43">
        <f>IF($B704="","",N($E704)+N($F704))</f>
        <v/>
      </c>
      <c r="H704" s="42" t="n"/>
      <c r="I704" s="43">
        <f>IF($B704="","",N($G704)-N($H704))</f>
        <v/>
      </c>
    </row>
    <row r="705">
      <c r="A705" s="39">
        <f>IF($B705="","",COUNTA($B$4:$B705))</f>
        <v/>
      </c>
      <c r="B705" s="45" t="n"/>
      <c r="C705" s="46" t="n"/>
      <c r="D705" s="46" t="n"/>
      <c r="E705" s="47" t="n"/>
      <c r="F705" s="47" t="n"/>
      <c r="G705" s="43">
        <f>IF($B705="","",N($E705)+N($F705))</f>
        <v/>
      </c>
      <c r="H705" s="47" t="n"/>
      <c r="I705" s="43">
        <f>IF($B705="","",N($G705)-N($H705))</f>
        <v/>
      </c>
    </row>
    <row r="706">
      <c r="A706" s="39">
        <f>IF($B706="","",COUNTA($B$4:$B706))</f>
        <v/>
      </c>
      <c r="B706" s="40" t="n"/>
      <c r="C706" s="41" t="n"/>
      <c r="D706" s="41" t="n"/>
      <c r="E706" s="42" t="n"/>
      <c r="F706" s="42" t="n"/>
      <c r="G706" s="43">
        <f>IF($B706="","",N($E706)+N($F706))</f>
        <v/>
      </c>
      <c r="H706" s="42" t="n"/>
      <c r="I706" s="43">
        <f>IF($B706="","",N($G706)-N($H706))</f>
        <v/>
      </c>
    </row>
    <row r="707">
      <c r="A707" s="39">
        <f>IF($B707="","",COUNTA($B$4:$B707))</f>
        <v/>
      </c>
      <c r="B707" s="45" t="n"/>
      <c r="C707" s="46" t="n"/>
      <c r="D707" s="46" t="n"/>
      <c r="E707" s="47" t="n"/>
      <c r="F707" s="47" t="n"/>
      <c r="G707" s="43">
        <f>IF($B707="","",N($E707)+N($F707))</f>
        <v/>
      </c>
      <c r="H707" s="47" t="n"/>
      <c r="I707" s="43">
        <f>IF($B707="","",N($G707)-N($H707))</f>
        <v/>
      </c>
    </row>
    <row r="708">
      <c r="A708" s="39">
        <f>IF($B708="","",COUNTA($B$4:$B708))</f>
        <v/>
      </c>
      <c r="B708" s="40" t="n"/>
      <c r="C708" s="41" t="n"/>
      <c r="D708" s="41" t="n"/>
      <c r="E708" s="42" t="n"/>
      <c r="F708" s="42" t="n"/>
      <c r="G708" s="43">
        <f>IF($B708="","",N($E708)+N($F708))</f>
        <v/>
      </c>
      <c r="H708" s="42" t="n"/>
      <c r="I708" s="43">
        <f>IF($B708="","",N($G708)-N($H708))</f>
        <v/>
      </c>
    </row>
    <row r="709">
      <c r="A709" s="39">
        <f>IF($B709="","",COUNTA($B$4:$B709))</f>
        <v/>
      </c>
      <c r="B709" s="45" t="n"/>
      <c r="C709" s="46" t="n"/>
      <c r="D709" s="46" t="n"/>
      <c r="E709" s="47" t="n"/>
      <c r="F709" s="47" t="n"/>
      <c r="G709" s="43">
        <f>IF($B709="","",N($E709)+N($F709))</f>
        <v/>
      </c>
      <c r="H709" s="47" t="n"/>
      <c r="I709" s="43">
        <f>IF($B709="","",N($G709)-N($H709))</f>
        <v/>
      </c>
    </row>
    <row r="710">
      <c r="A710" s="39">
        <f>IF($B710="","",COUNTA($B$4:$B710))</f>
        <v/>
      </c>
      <c r="B710" s="40" t="n"/>
      <c r="C710" s="41" t="n"/>
      <c r="D710" s="41" t="n"/>
      <c r="E710" s="42" t="n"/>
      <c r="F710" s="42" t="n"/>
      <c r="G710" s="43">
        <f>IF($B710="","",N($E710)+N($F710))</f>
        <v/>
      </c>
      <c r="H710" s="42" t="n"/>
      <c r="I710" s="43">
        <f>IF($B710="","",N($G710)-N($H710))</f>
        <v/>
      </c>
    </row>
    <row r="711">
      <c r="A711" s="39">
        <f>IF($B711="","",COUNTA($B$4:$B711))</f>
        <v/>
      </c>
      <c r="B711" s="45" t="n"/>
      <c r="C711" s="46" t="n"/>
      <c r="D711" s="46" t="n"/>
      <c r="E711" s="47" t="n"/>
      <c r="F711" s="47" t="n"/>
      <c r="G711" s="43">
        <f>IF($B711="","",N($E711)+N($F711))</f>
        <v/>
      </c>
      <c r="H711" s="47" t="n"/>
      <c r="I711" s="43">
        <f>IF($B711="","",N($G711)-N($H711))</f>
        <v/>
      </c>
    </row>
    <row r="712">
      <c r="A712" s="39">
        <f>IF($B712="","",COUNTA($B$4:$B712))</f>
        <v/>
      </c>
      <c r="B712" s="40" t="n"/>
      <c r="C712" s="41" t="n"/>
      <c r="D712" s="41" t="n"/>
      <c r="E712" s="42" t="n"/>
      <c r="F712" s="42" t="n"/>
      <c r="G712" s="43">
        <f>IF($B712="","",N($E712)+N($F712))</f>
        <v/>
      </c>
      <c r="H712" s="42" t="n"/>
      <c r="I712" s="43">
        <f>IF($B712="","",N($G712)-N($H712))</f>
        <v/>
      </c>
    </row>
    <row r="713">
      <c r="A713" s="39">
        <f>IF($B713="","",COUNTA($B$4:$B713))</f>
        <v/>
      </c>
      <c r="B713" s="45" t="n"/>
      <c r="C713" s="46" t="n"/>
      <c r="D713" s="46" t="n"/>
      <c r="E713" s="47" t="n"/>
      <c r="F713" s="47" t="n"/>
      <c r="G713" s="43">
        <f>IF($B713="","",N($E713)+N($F713))</f>
        <v/>
      </c>
      <c r="H713" s="47" t="n"/>
      <c r="I713" s="43">
        <f>IF($B713="","",N($G713)-N($H713))</f>
        <v/>
      </c>
    </row>
    <row r="714">
      <c r="A714" s="39">
        <f>IF($B714="","",COUNTA($B$4:$B714))</f>
        <v/>
      </c>
      <c r="B714" s="40" t="n"/>
      <c r="C714" s="41" t="n"/>
      <c r="D714" s="41" t="n"/>
      <c r="E714" s="42" t="n"/>
      <c r="F714" s="42" t="n"/>
      <c r="G714" s="43">
        <f>IF($B714="","",N($E714)+N($F714))</f>
        <v/>
      </c>
      <c r="H714" s="42" t="n"/>
      <c r="I714" s="43">
        <f>IF($B714="","",N($G714)-N($H714))</f>
        <v/>
      </c>
    </row>
    <row r="715">
      <c r="A715" s="39">
        <f>IF($B715="","",COUNTA($B$4:$B715))</f>
        <v/>
      </c>
      <c r="B715" s="45" t="n"/>
      <c r="C715" s="46" t="n"/>
      <c r="D715" s="46" t="n"/>
      <c r="E715" s="47" t="n"/>
      <c r="F715" s="47" t="n"/>
      <c r="G715" s="43">
        <f>IF($B715="","",N($E715)+N($F715))</f>
        <v/>
      </c>
      <c r="H715" s="47" t="n"/>
      <c r="I715" s="43">
        <f>IF($B715="","",N($G715)-N($H715))</f>
        <v/>
      </c>
    </row>
    <row r="716">
      <c r="A716" s="39">
        <f>IF($B716="","",COUNTA($B$4:$B716))</f>
        <v/>
      </c>
      <c r="B716" s="40" t="n"/>
      <c r="C716" s="41" t="n"/>
      <c r="D716" s="41" t="n"/>
      <c r="E716" s="42" t="n"/>
      <c r="F716" s="42" t="n"/>
      <c r="G716" s="43">
        <f>IF($B716="","",N($E716)+N($F716))</f>
        <v/>
      </c>
      <c r="H716" s="42" t="n"/>
      <c r="I716" s="43">
        <f>IF($B716="","",N($G716)-N($H716))</f>
        <v/>
      </c>
    </row>
    <row r="717">
      <c r="A717" s="39">
        <f>IF($B717="","",COUNTA($B$4:$B717))</f>
        <v/>
      </c>
      <c r="B717" s="45" t="n"/>
      <c r="C717" s="46" t="n"/>
      <c r="D717" s="46" t="n"/>
      <c r="E717" s="47" t="n"/>
      <c r="F717" s="47" t="n"/>
      <c r="G717" s="43">
        <f>IF($B717="","",N($E717)+N($F717))</f>
        <v/>
      </c>
      <c r="H717" s="47" t="n"/>
      <c r="I717" s="43">
        <f>IF($B717="","",N($G717)-N($H717))</f>
        <v/>
      </c>
    </row>
    <row r="718">
      <c r="A718" s="39">
        <f>IF($B718="","",COUNTA($B$4:$B718))</f>
        <v/>
      </c>
      <c r="B718" s="40" t="n"/>
      <c r="C718" s="41" t="n"/>
      <c r="D718" s="41" t="n"/>
      <c r="E718" s="42" t="n"/>
      <c r="F718" s="42" t="n"/>
      <c r="G718" s="43">
        <f>IF($B718="","",N($E718)+N($F718))</f>
        <v/>
      </c>
      <c r="H718" s="42" t="n"/>
      <c r="I718" s="43">
        <f>IF($B718="","",N($G718)-N($H718))</f>
        <v/>
      </c>
    </row>
    <row r="719">
      <c r="A719" s="39">
        <f>IF($B719="","",COUNTA($B$4:$B719))</f>
        <v/>
      </c>
      <c r="B719" s="45" t="n"/>
      <c r="C719" s="46" t="n"/>
      <c r="D719" s="46" t="n"/>
      <c r="E719" s="47" t="n"/>
      <c r="F719" s="47" t="n"/>
      <c r="G719" s="43">
        <f>IF($B719="","",N($E719)+N($F719))</f>
        <v/>
      </c>
      <c r="H719" s="47" t="n"/>
      <c r="I719" s="43">
        <f>IF($B719="","",N($G719)-N($H719))</f>
        <v/>
      </c>
    </row>
    <row r="720">
      <c r="A720" s="39">
        <f>IF($B720="","",COUNTA($B$4:$B720))</f>
        <v/>
      </c>
      <c r="B720" s="40" t="n"/>
      <c r="C720" s="41" t="n"/>
      <c r="D720" s="41" t="n"/>
      <c r="E720" s="42" t="n"/>
      <c r="F720" s="42" t="n"/>
      <c r="G720" s="43">
        <f>IF($B720="","",N($E720)+N($F720))</f>
        <v/>
      </c>
      <c r="H720" s="42" t="n"/>
      <c r="I720" s="43">
        <f>IF($B720="","",N($G720)-N($H720))</f>
        <v/>
      </c>
    </row>
    <row r="721">
      <c r="A721" s="39">
        <f>IF($B721="","",COUNTA($B$4:$B721))</f>
        <v/>
      </c>
      <c r="B721" s="45" t="n"/>
      <c r="C721" s="46" t="n"/>
      <c r="D721" s="46" t="n"/>
      <c r="E721" s="47" t="n"/>
      <c r="F721" s="47" t="n"/>
      <c r="G721" s="43">
        <f>IF($B721="","",N($E721)+N($F721))</f>
        <v/>
      </c>
      <c r="H721" s="47" t="n"/>
      <c r="I721" s="43">
        <f>IF($B721="","",N($G721)-N($H721))</f>
        <v/>
      </c>
    </row>
    <row r="722">
      <c r="A722" s="39">
        <f>IF($B722="","",COUNTA($B$4:$B722))</f>
        <v/>
      </c>
      <c r="B722" s="40" t="n"/>
      <c r="C722" s="41" t="n"/>
      <c r="D722" s="41" t="n"/>
      <c r="E722" s="42" t="n"/>
      <c r="F722" s="42" t="n"/>
      <c r="G722" s="43">
        <f>IF($B722="","",N($E722)+N($F722))</f>
        <v/>
      </c>
      <c r="H722" s="42" t="n"/>
      <c r="I722" s="43">
        <f>IF($B722="","",N($G722)-N($H722))</f>
        <v/>
      </c>
    </row>
    <row r="723">
      <c r="A723" s="39">
        <f>IF($B723="","",COUNTA($B$4:$B723))</f>
        <v/>
      </c>
      <c r="B723" s="45" t="n"/>
      <c r="C723" s="46" t="n"/>
      <c r="D723" s="46" t="n"/>
      <c r="E723" s="47" t="n"/>
      <c r="F723" s="47" t="n"/>
      <c r="G723" s="43">
        <f>IF($B723="","",N($E723)+N($F723))</f>
        <v/>
      </c>
      <c r="H723" s="47" t="n"/>
      <c r="I723" s="43">
        <f>IF($B723="","",N($G723)-N($H723))</f>
        <v/>
      </c>
    </row>
    <row r="724">
      <c r="A724" s="39">
        <f>IF($B724="","",COUNTA($B$4:$B724))</f>
        <v/>
      </c>
      <c r="B724" s="40" t="n"/>
      <c r="C724" s="41" t="n"/>
      <c r="D724" s="41" t="n"/>
      <c r="E724" s="42" t="n"/>
      <c r="F724" s="42" t="n"/>
      <c r="G724" s="43">
        <f>IF($B724="","",N($E724)+N($F724))</f>
        <v/>
      </c>
      <c r="H724" s="42" t="n"/>
      <c r="I724" s="43">
        <f>IF($B724="","",N($G724)-N($H724))</f>
        <v/>
      </c>
    </row>
    <row r="725">
      <c r="A725" s="39">
        <f>IF($B725="","",COUNTA($B$4:$B725))</f>
        <v/>
      </c>
      <c r="B725" s="45" t="n"/>
      <c r="C725" s="46" t="n"/>
      <c r="D725" s="46" t="n"/>
      <c r="E725" s="47" t="n"/>
      <c r="F725" s="47" t="n"/>
      <c r="G725" s="43">
        <f>IF($B725="","",N($E725)+N($F725))</f>
        <v/>
      </c>
      <c r="H725" s="47" t="n"/>
      <c r="I725" s="43">
        <f>IF($B725="","",N($G725)-N($H725))</f>
        <v/>
      </c>
    </row>
    <row r="726">
      <c r="A726" s="39">
        <f>IF($B726="","",COUNTA($B$4:$B726))</f>
        <v/>
      </c>
      <c r="B726" s="40" t="n"/>
      <c r="C726" s="41" t="n"/>
      <c r="D726" s="41" t="n"/>
      <c r="E726" s="42" t="n"/>
      <c r="F726" s="42" t="n"/>
      <c r="G726" s="43">
        <f>IF($B726="","",N($E726)+N($F726))</f>
        <v/>
      </c>
      <c r="H726" s="42" t="n"/>
      <c r="I726" s="43">
        <f>IF($B726="","",N($G726)-N($H726))</f>
        <v/>
      </c>
    </row>
    <row r="727">
      <c r="A727" s="39">
        <f>IF($B727="","",COUNTA($B$4:$B727))</f>
        <v/>
      </c>
      <c r="B727" s="45" t="n"/>
      <c r="C727" s="46" t="n"/>
      <c r="D727" s="46" t="n"/>
      <c r="E727" s="47" t="n"/>
      <c r="F727" s="47" t="n"/>
      <c r="G727" s="43">
        <f>IF($B727="","",N($E727)+N($F727))</f>
        <v/>
      </c>
      <c r="H727" s="47" t="n"/>
      <c r="I727" s="43">
        <f>IF($B727="","",N($G727)-N($H727))</f>
        <v/>
      </c>
    </row>
    <row r="728">
      <c r="A728" s="39">
        <f>IF($B728="","",COUNTA($B$4:$B728))</f>
        <v/>
      </c>
      <c r="B728" s="40" t="n"/>
      <c r="C728" s="41" t="n"/>
      <c r="D728" s="41" t="n"/>
      <c r="E728" s="42" t="n"/>
      <c r="F728" s="42" t="n"/>
      <c r="G728" s="43">
        <f>IF($B728="","",N($E728)+N($F728))</f>
        <v/>
      </c>
      <c r="H728" s="42" t="n"/>
      <c r="I728" s="43">
        <f>IF($B728="","",N($G728)-N($H728))</f>
        <v/>
      </c>
    </row>
    <row r="729">
      <c r="A729" s="39">
        <f>IF($B729="","",COUNTA($B$4:$B729))</f>
        <v/>
      </c>
      <c r="B729" s="45" t="n"/>
      <c r="C729" s="46" t="n"/>
      <c r="D729" s="46" t="n"/>
      <c r="E729" s="47" t="n"/>
      <c r="F729" s="47" t="n"/>
      <c r="G729" s="43">
        <f>IF($B729="","",N($E729)+N($F729))</f>
        <v/>
      </c>
      <c r="H729" s="47" t="n"/>
      <c r="I729" s="43">
        <f>IF($B729="","",N($G729)-N($H729))</f>
        <v/>
      </c>
    </row>
    <row r="730">
      <c r="A730" s="39">
        <f>IF($B730="","",COUNTA($B$4:$B730))</f>
        <v/>
      </c>
      <c r="B730" s="40" t="n"/>
      <c r="C730" s="41" t="n"/>
      <c r="D730" s="41" t="n"/>
      <c r="E730" s="42" t="n"/>
      <c r="F730" s="42" t="n"/>
      <c r="G730" s="43">
        <f>IF($B730="","",N($E730)+N($F730))</f>
        <v/>
      </c>
      <c r="H730" s="42" t="n"/>
      <c r="I730" s="43">
        <f>IF($B730="","",N($G730)-N($H730))</f>
        <v/>
      </c>
    </row>
    <row r="731">
      <c r="A731" s="39">
        <f>IF($B731="","",COUNTA($B$4:$B731))</f>
        <v/>
      </c>
      <c r="B731" s="45" t="n"/>
      <c r="C731" s="46" t="n"/>
      <c r="D731" s="46" t="n"/>
      <c r="E731" s="47" t="n"/>
      <c r="F731" s="47" t="n"/>
      <c r="G731" s="43">
        <f>IF($B731="","",N($E731)+N($F731))</f>
        <v/>
      </c>
      <c r="H731" s="47" t="n"/>
      <c r="I731" s="43">
        <f>IF($B731="","",N($G731)-N($H731))</f>
        <v/>
      </c>
    </row>
    <row r="732">
      <c r="A732" s="39">
        <f>IF($B732="","",COUNTA($B$4:$B732))</f>
        <v/>
      </c>
      <c r="B732" s="40" t="n"/>
      <c r="C732" s="41" t="n"/>
      <c r="D732" s="41" t="n"/>
      <c r="E732" s="42" t="n"/>
      <c r="F732" s="42" t="n"/>
      <c r="G732" s="43">
        <f>IF($B732="","",N($E732)+N($F732))</f>
        <v/>
      </c>
      <c r="H732" s="42" t="n"/>
      <c r="I732" s="43">
        <f>IF($B732="","",N($G732)-N($H732))</f>
        <v/>
      </c>
    </row>
    <row r="733">
      <c r="A733" s="39">
        <f>IF($B733="","",COUNTA($B$4:$B733))</f>
        <v/>
      </c>
      <c r="B733" s="45" t="n"/>
      <c r="C733" s="46" t="n"/>
      <c r="D733" s="46" t="n"/>
      <c r="E733" s="47" t="n"/>
      <c r="F733" s="47" t="n"/>
      <c r="G733" s="43">
        <f>IF($B733="","",N($E733)+N($F733))</f>
        <v/>
      </c>
      <c r="H733" s="47" t="n"/>
      <c r="I733" s="43">
        <f>IF($B733="","",N($G733)-N($H733))</f>
        <v/>
      </c>
    </row>
    <row r="734">
      <c r="A734" s="39">
        <f>IF($B734="","",COUNTA($B$4:$B734))</f>
        <v/>
      </c>
      <c r="B734" s="40" t="n"/>
      <c r="C734" s="41" t="n"/>
      <c r="D734" s="41" t="n"/>
      <c r="E734" s="42" t="n"/>
      <c r="F734" s="42" t="n"/>
      <c r="G734" s="43">
        <f>IF($B734="","",N($E734)+N($F734))</f>
        <v/>
      </c>
      <c r="H734" s="42" t="n"/>
      <c r="I734" s="43">
        <f>IF($B734="","",N($G734)-N($H734))</f>
        <v/>
      </c>
    </row>
    <row r="735">
      <c r="A735" s="39">
        <f>IF($B735="","",COUNTA($B$4:$B735))</f>
        <v/>
      </c>
      <c r="B735" s="45" t="n"/>
      <c r="C735" s="46" t="n"/>
      <c r="D735" s="46" t="n"/>
      <c r="E735" s="47" t="n"/>
      <c r="F735" s="47" t="n"/>
      <c r="G735" s="43">
        <f>IF($B735="","",N($E735)+N($F735))</f>
        <v/>
      </c>
      <c r="H735" s="47" t="n"/>
      <c r="I735" s="43">
        <f>IF($B735="","",N($G735)-N($H735))</f>
        <v/>
      </c>
    </row>
    <row r="736">
      <c r="A736" s="39">
        <f>IF($B736="","",COUNTA($B$4:$B736))</f>
        <v/>
      </c>
      <c r="B736" s="40" t="n"/>
      <c r="C736" s="41" t="n"/>
      <c r="D736" s="41" t="n"/>
      <c r="E736" s="42" t="n"/>
      <c r="F736" s="42" t="n"/>
      <c r="G736" s="43">
        <f>IF($B736="","",N($E736)+N($F736))</f>
        <v/>
      </c>
      <c r="H736" s="42" t="n"/>
      <c r="I736" s="43">
        <f>IF($B736="","",N($G736)-N($H736))</f>
        <v/>
      </c>
    </row>
    <row r="737">
      <c r="A737" s="39">
        <f>IF($B737="","",COUNTA($B$4:$B737))</f>
        <v/>
      </c>
      <c r="B737" s="45" t="n"/>
      <c r="C737" s="46" t="n"/>
      <c r="D737" s="46" t="n"/>
      <c r="E737" s="47" t="n"/>
      <c r="F737" s="47" t="n"/>
      <c r="G737" s="43">
        <f>IF($B737="","",N($E737)+N($F737))</f>
        <v/>
      </c>
      <c r="H737" s="47" t="n"/>
      <c r="I737" s="43">
        <f>IF($B737="","",N($G737)-N($H737))</f>
        <v/>
      </c>
    </row>
    <row r="738">
      <c r="A738" s="39">
        <f>IF($B738="","",COUNTA($B$4:$B738))</f>
        <v/>
      </c>
      <c r="B738" s="40" t="n"/>
      <c r="C738" s="41" t="n"/>
      <c r="D738" s="41" t="n"/>
      <c r="E738" s="42" t="n"/>
      <c r="F738" s="42" t="n"/>
      <c r="G738" s="43">
        <f>IF($B738="","",N($E738)+N($F738))</f>
        <v/>
      </c>
      <c r="H738" s="42" t="n"/>
      <c r="I738" s="43">
        <f>IF($B738="","",N($G738)-N($H738))</f>
        <v/>
      </c>
    </row>
    <row r="739">
      <c r="A739" s="39">
        <f>IF($B739="","",COUNTA($B$4:$B739))</f>
        <v/>
      </c>
      <c r="B739" s="45" t="n"/>
      <c r="C739" s="46" t="n"/>
      <c r="D739" s="46" t="n"/>
      <c r="E739" s="47" t="n"/>
      <c r="F739" s="47" t="n"/>
      <c r="G739" s="43">
        <f>IF($B739="","",N($E739)+N($F739))</f>
        <v/>
      </c>
      <c r="H739" s="47" t="n"/>
      <c r="I739" s="43">
        <f>IF($B739="","",N($G739)-N($H739))</f>
        <v/>
      </c>
    </row>
    <row r="740">
      <c r="A740" s="39">
        <f>IF($B740="","",COUNTA($B$4:$B740))</f>
        <v/>
      </c>
      <c r="B740" s="40" t="n"/>
      <c r="C740" s="41" t="n"/>
      <c r="D740" s="41" t="n"/>
      <c r="E740" s="42" t="n"/>
      <c r="F740" s="42" t="n"/>
      <c r="G740" s="43">
        <f>IF($B740="","",N($E740)+N($F740))</f>
        <v/>
      </c>
      <c r="H740" s="42" t="n"/>
      <c r="I740" s="43">
        <f>IF($B740="","",N($G740)-N($H740))</f>
        <v/>
      </c>
    </row>
    <row r="741">
      <c r="A741" s="39">
        <f>IF($B741="","",COUNTA($B$4:$B741))</f>
        <v/>
      </c>
      <c r="B741" s="45" t="n"/>
      <c r="C741" s="46" t="n"/>
      <c r="D741" s="46" t="n"/>
      <c r="E741" s="47" t="n"/>
      <c r="F741" s="47" t="n"/>
      <c r="G741" s="43">
        <f>IF($B741="","",N($E741)+N($F741))</f>
        <v/>
      </c>
      <c r="H741" s="47" t="n"/>
      <c r="I741" s="43">
        <f>IF($B741="","",N($G741)-N($H741))</f>
        <v/>
      </c>
    </row>
    <row r="742">
      <c r="A742" s="39">
        <f>IF($B742="","",COUNTA($B$4:$B742))</f>
        <v/>
      </c>
      <c r="B742" s="40" t="n"/>
      <c r="C742" s="41" t="n"/>
      <c r="D742" s="41" t="n"/>
      <c r="E742" s="42" t="n"/>
      <c r="F742" s="42" t="n"/>
      <c r="G742" s="43">
        <f>IF($B742="","",N($E742)+N($F742))</f>
        <v/>
      </c>
      <c r="H742" s="42" t="n"/>
      <c r="I742" s="43">
        <f>IF($B742="","",N($G742)-N($H742))</f>
        <v/>
      </c>
    </row>
    <row r="743">
      <c r="A743" s="39">
        <f>IF($B743="","",COUNTA($B$4:$B743))</f>
        <v/>
      </c>
      <c r="B743" s="45" t="n"/>
      <c r="C743" s="46" t="n"/>
      <c r="D743" s="46" t="n"/>
      <c r="E743" s="47" t="n"/>
      <c r="F743" s="47" t="n"/>
      <c r="G743" s="43">
        <f>IF($B743="","",N($E743)+N($F743))</f>
        <v/>
      </c>
      <c r="H743" s="47" t="n"/>
      <c r="I743" s="43">
        <f>IF($B743="","",N($G743)-N($H743))</f>
        <v/>
      </c>
    </row>
    <row r="744">
      <c r="A744" s="39">
        <f>IF($B744="","",COUNTA($B$4:$B744))</f>
        <v/>
      </c>
      <c r="B744" s="40" t="n"/>
      <c r="C744" s="41" t="n"/>
      <c r="D744" s="41" t="n"/>
      <c r="E744" s="42" t="n"/>
      <c r="F744" s="42" t="n"/>
      <c r="G744" s="43">
        <f>IF($B744="","",N($E744)+N($F744))</f>
        <v/>
      </c>
      <c r="H744" s="42" t="n"/>
      <c r="I744" s="43">
        <f>IF($B744="","",N($G744)-N($H744))</f>
        <v/>
      </c>
    </row>
    <row r="745">
      <c r="A745" s="39">
        <f>IF($B745="","",COUNTA($B$4:$B745))</f>
        <v/>
      </c>
      <c r="B745" s="45" t="n"/>
      <c r="C745" s="46" t="n"/>
      <c r="D745" s="46" t="n"/>
      <c r="E745" s="47" t="n"/>
      <c r="F745" s="47" t="n"/>
      <c r="G745" s="43">
        <f>IF($B745="","",N($E745)+N($F745))</f>
        <v/>
      </c>
      <c r="H745" s="47" t="n"/>
      <c r="I745" s="43">
        <f>IF($B745="","",N($G745)-N($H745))</f>
        <v/>
      </c>
    </row>
    <row r="746">
      <c r="A746" s="39">
        <f>IF($B746="","",COUNTA($B$4:$B746))</f>
        <v/>
      </c>
      <c r="B746" s="40" t="n"/>
      <c r="C746" s="41" t="n"/>
      <c r="D746" s="41" t="n"/>
      <c r="E746" s="42" t="n"/>
      <c r="F746" s="42" t="n"/>
      <c r="G746" s="43">
        <f>IF($B746="","",N($E746)+N($F746))</f>
        <v/>
      </c>
      <c r="H746" s="42" t="n"/>
      <c r="I746" s="43">
        <f>IF($B746="","",N($G746)-N($H746))</f>
        <v/>
      </c>
    </row>
    <row r="747">
      <c r="A747" s="39">
        <f>IF($B747="","",COUNTA($B$4:$B747))</f>
        <v/>
      </c>
      <c r="B747" s="45" t="n"/>
      <c r="C747" s="46" t="n"/>
      <c r="D747" s="46" t="n"/>
      <c r="E747" s="47" t="n"/>
      <c r="F747" s="47" t="n"/>
      <c r="G747" s="43">
        <f>IF($B747="","",N($E747)+N($F747))</f>
        <v/>
      </c>
      <c r="H747" s="47" t="n"/>
      <c r="I747" s="43">
        <f>IF($B747="","",N($G747)-N($H747))</f>
        <v/>
      </c>
    </row>
    <row r="748">
      <c r="A748" s="39">
        <f>IF($B748="","",COUNTA($B$4:$B748))</f>
        <v/>
      </c>
      <c r="B748" s="40" t="n"/>
      <c r="C748" s="41" t="n"/>
      <c r="D748" s="41" t="n"/>
      <c r="E748" s="42" t="n"/>
      <c r="F748" s="42" t="n"/>
      <c r="G748" s="43">
        <f>IF($B748="","",N($E748)+N($F748))</f>
        <v/>
      </c>
      <c r="H748" s="42" t="n"/>
      <c r="I748" s="43">
        <f>IF($B748="","",N($G748)-N($H748))</f>
        <v/>
      </c>
    </row>
    <row r="749">
      <c r="A749" s="39">
        <f>IF($B749="","",COUNTA($B$4:$B749))</f>
        <v/>
      </c>
      <c r="B749" s="45" t="n"/>
      <c r="C749" s="46" t="n"/>
      <c r="D749" s="46" t="n"/>
      <c r="E749" s="47" t="n"/>
      <c r="F749" s="47" t="n"/>
      <c r="G749" s="43">
        <f>IF($B749="","",N($E749)+N($F749))</f>
        <v/>
      </c>
      <c r="H749" s="47" t="n"/>
      <c r="I749" s="43">
        <f>IF($B749="","",N($G749)-N($H749))</f>
        <v/>
      </c>
    </row>
    <row r="750">
      <c r="A750" s="39">
        <f>IF($B750="","",COUNTA($B$4:$B750))</f>
        <v/>
      </c>
      <c r="B750" s="40" t="n"/>
      <c r="C750" s="41" t="n"/>
      <c r="D750" s="41" t="n"/>
      <c r="E750" s="42" t="n"/>
      <c r="F750" s="42" t="n"/>
      <c r="G750" s="43">
        <f>IF($B750="","",N($E750)+N($F750))</f>
        <v/>
      </c>
      <c r="H750" s="42" t="n"/>
      <c r="I750" s="43">
        <f>IF($B750="","",N($G750)-N($H750))</f>
        <v/>
      </c>
    </row>
    <row r="751">
      <c r="A751" s="39">
        <f>IF($B751="","",COUNTA($B$4:$B751))</f>
        <v/>
      </c>
      <c r="B751" s="45" t="n"/>
      <c r="C751" s="46" t="n"/>
      <c r="D751" s="46" t="n"/>
      <c r="E751" s="47" t="n"/>
      <c r="F751" s="47" t="n"/>
      <c r="G751" s="43">
        <f>IF($B751="","",N($E751)+N($F751))</f>
        <v/>
      </c>
      <c r="H751" s="47" t="n"/>
      <c r="I751" s="43">
        <f>IF($B751="","",N($G751)-N($H751))</f>
        <v/>
      </c>
    </row>
    <row r="752">
      <c r="A752" s="39">
        <f>IF($B752="","",COUNTA($B$4:$B752))</f>
        <v/>
      </c>
      <c r="B752" s="40" t="n"/>
      <c r="C752" s="41" t="n"/>
      <c r="D752" s="41" t="n"/>
      <c r="E752" s="42" t="n"/>
      <c r="F752" s="42" t="n"/>
      <c r="G752" s="43">
        <f>IF($B752="","",N($E752)+N($F752))</f>
        <v/>
      </c>
      <c r="H752" s="42" t="n"/>
      <c r="I752" s="43">
        <f>IF($B752="","",N($G752)-N($H752))</f>
        <v/>
      </c>
    </row>
    <row r="753">
      <c r="A753" s="39">
        <f>IF($B753="","",COUNTA($B$4:$B753))</f>
        <v/>
      </c>
      <c r="B753" s="45" t="n"/>
      <c r="C753" s="46" t="n"/>
      <c r="D753" s="46" t="n"/>
      <c r="E753" s="47" t="n"/>
      <c r="F753" s="47" t="n"/>
      <c r="G753" s="43">
        <f>IF($B753="","",N($E753)+N($F753))</f>
        <v/>
      </c>
      <c r="H753" s="47" t="n"/>
      <c r="I753" s="43">
        <f>IF($B753="","",N($G753)-N($H753))</f>
        <v/>
      </c>
    </row>
    <row r="754">
      <c r="A754" s="39">
        <f>IF($B754="","",COUNTA($B$4:$B754))</f>
        <v/>
      </c>
      <c r="B754" s="40" t="n"/>
      <c r="C754" s="41" t="n"/>
      <c r="D754" s="41" t="n"/>
      <c r="E754" s="42" t="n"/>
      <c r="F754" s="42" t="n"/>
      <c r="G754" s="43">
        <f>IF($B754="","",N($E754)+N($F754))</f>
        <v/>
      </c>
      <c r="H754" s="42" t="n"/>
      <c r="I754" s="43">
        <f>IF($B754="","",N($G754)-N($H754))</f>
        <v/>
      </c>
    </row>
    <row r="755">
      <c r="A755" s="39">
        <f>IF($B755="","",COUNTA($B$4:$B755))</f>
        <v/>
      </c>
      <c r="B755" s="45" t="n"/>
      <c r="C755" s="46" t="n"/>
      <c r="D755" s="46" t="n"/>
      <c r="E755" s="47" t="n"/>
      <c r="F755" s="47" t="n"/>
      <c r="G755" s="43">
        <f>IF($B755="","",N($E755)+N($F755))</f>
        <v/>
      </c>
      <c r="H755" s="47" t="n"/>
      <c r="I755" s="43">
        <f>IF($B755="","",N($G755)-N($H755))</f>
        <v/>
      </c>
    </row>
    <row r="756">
      <c r="A756" s="39">
        <f>IF($B756="","",COUNTA($B$4:$B756))</f>
        <v/>
      </c>
      <c r="B756" s="40" t="n"/>
      <c r="C756" s="41" t="n"/>
      <c r="D756" s="41" t="n"/>
      <c r="E756" s="42" t="n"/>
      <c r="F756" s="42" t="n"/>
      <c r="G756" s="43">
        <f>IF($B756="","",N($E756)+N($F756))</f>
        <v/>
      </c>
      <c r="H756" s="42" t="n"/>
      <c r="I756" s="43">
        <f>IF($B756="","",N($G756)-N($H756))</f>
        <v/>
      </c>
    </row>
    <row r="757">
      <c r="A757" s="39">
        <f>IF($B757="","",COUNTA($B$4:$B757))</f>
        <v/>
      </c>
      <c r="B757" s="45" t="n"/>
      <c r="C757" s="46" t="n"/>
      <c r="D757" s="46" t="n"/>
      <c r="E757" s="47" t="n"/>
      <c r="F757" s="47" t="n"/>
      <c r="G757" s="43">
        <f>IF($B757="","",N($E757)+N($F757))</f>
        <v/>
      </c>
      <c r="H757" s="47" t="n"/>
      <c r="I757" s="43">
        <f>IF($B757="","",N($G757)-N($H757))</f>
        <v/>
      </c>
    </row>
    <row r="758">
      <c r="A758" s="39">
        <f>IF($B758="","",COUNTA($B$4:$B758))</f>
        <v/>
      </c>
      <c r="B758" s="40" t="n"/>
      <c r="C758" s="41" t="n"/>
      <c r="D758" s="41" t="n"/>
      <c r="E758" s="42" t="n"/>
      <c r="F758" s="42" t="n"/>
      <c r="G758" s="43">
        <f>IF($B758="","",N($E758)+N($F758))</f>
        <v/>
      </c>
      <c r="H758" s="42" t="n"/>
      <c r="I758" s="43">
        <f>IF($B758="","",N($G758)-N($H758))</f>
        <v/>
      </c>
    </row>
    <row r="759">
      <c r="A759" s="39">
        <f>IF($B759="","",COUNTA($B$4:$B759))</f>
        <v/>
      </c>
      <c r="B759" s="45" t="n"/>
      <c r="C759" s="46" t="n"/>
      <c r="D759" s="46" t="n"/>
      <c r="E759" s="47" t="n"/>
      <c r="F759" s="47" t="n"/>
      <c r="G759" s="43">
        <f>IF($B759="","",N($E759)+N($F759))</f>
        <v/>
      </c>
      <c r="H759" s="47" t="n"/>
      <c r="I759" s="43">
        <f>IF($B759="","",N($G759)-N($H759))</f>
        <v/>
      </c>
    </row>
    <row r="760">
      <c r="A760" s="39">
        <f>IF($B760="","",COUNTA($B$4:$B760))</f>
        <v/>
      </c>
      <c r="B760" s="40" t="n"/>
      <c r="C760" s="41" t="n"/>
      <c r="D760" s="41" t="n"/>
      <c r="E760" s="42" t="n"/>
      <c r="F760" s="42" t="n"/>
      <c r="G760" s="43">
        <f>IF($B760="","",N($E760)+N($F760))</f>
        <v/>
      </c>
      <c r="H760" s="42" t="n"/>
      <c r="I760" s="43">
        <f>IF($B760="","",N($G760)-N($H760))</f>
        <v/>
      </c>
    </row>
    <row r="761">
      <c r="A761" s="39">
        <f>IF($B761="","",COUNTA($B$4:$B761))</f>
        <v/>
      </c>
      <c r="B761" s="45" t="n"/>
      <c r="C761" s="46" t="n"/>
      <c r="D761" s="46" t="n"/>
      <c r="E761" s="47" t="n"/>
      <c r="F761" s="47" t="n"/>
      <c r="G761" s="43">
        <f>IF($B761="","",N($E761)+N($F761))</f>
        <v/>
      </c>
      <c r="H761" s="47" t="n"/>
      <c r="I761" s="43">
        <f>IF($B761="","",N($G761)-N($H761))</f>
        <v/>
      </c>
    </row>
    <row r="762">
      <c r="A762" s="39">
        <f>IF($B762="","",COUNTA($B$4:$B762))</f>
        <v/>
      </c>
      <c r="B762" s="40" t="n"/>
      <c r="C762" s="41" t="n"/>
      <c r="D762" s="41" t="n"/>
      <c r="E762" s="42" t="n"/>
      <c r="F762" s="42" t="n"/>
      <c r="G762" s="43">
        <f>IF($B762="","",N($E762)+N($F762))</f>
        <v/>
      </c>
      <c r="H762" s="42" t="n"/>
      <c r="I762" s="43">
        <f>IF($B762="","",N($G762)-N($H762))</f>
        <v/>
      </c>
    </row>
    <row r="763">
      <c r="A763" s="39">
        <f>IF($B763="","",COUNTA($B$4:$B763))</f>
        <v/>
      </c>
      <c r="B763" s="45" t="n"/>
      <c r="C763" s="46" t="n"/>
      <c r="D763" s="46" t="n"/>
      <c r="E763" s="47" t="n"/>
      <c r="F763" s="47" t="n"/>
      <c r="G763" s="43">
        <f>IF($B763="","",N($E763)+N($F763))</f>
        <v/>
      </c>
      <c r="H763" s="47" t="n"/>
      <c r="I763" s="43">
        <f>IF($B763="","",N($G763)-N($H763))</f>
        <v/>
      </c>
    </row>
    <row r="764">
      <c r="A764" s="39">
        <f>IF($B764="","",COUNTA($B$4:$B764))</f>
        <v/>
      </c>
      <c r="B764" s="40" t="n"/>
      <c r="C764" s="41" t="n"/>
      <c r="D764" s="41" t="n"/>
      <c r="E764" s="42" t="n"/>
      <c r="F764" s="42" t="n"/>
      <c r="G764" s="43">
        <f>IF($B764="","",N($E764)+N($F764))</f>
        <v/>
      </c>
      <c r="H764" s="42" t="n"/>
      <c r="I764" s="43">
        <f>IF($B764="","",N($G764)-N($H764))</f>
        <v/>
      </c>
    </row>
    <row r="765">
      <c r="A765" s="39">
        <f>IF($B765="","",COUNTA($B$4:$B765))</f>
        <v/>
      </c>
      <c r="B765" s="45" t="n"/>
      <c r="C765" s="46" t="n"/>
      <c r="D765" s="46" t="n"/>
      <c r="E765" s="47" t="n"/>
      <c r="F765" s="47" t="n"/>
      <c r="G765" s="43">
        <f>IF($B765="","",N($E765)+N($F765))</f>
        <v/>
      </c>
      <c r="H765" s="47" t="n"/>
      <c r="I765" s="43">
        <f>IF($B765="","",N($G765)-N($H765))</f>
        <v/>
      </c>
    </row>
    <row r="766">
      <c r="A766" s="39">
        <f>IF($B766="","",COUNTA($B$4:$B766))</f>
        <v/>
      </c>
      <c r="B766" s="40" t="n"/>
      <c r="C766" s="41" t="n"/>
      <c r="D766" s="41" t="n"/>
      <c r="E766" s="42" t="n"/>
      <c r="F766" s="42" t="n"/>
      <c r="G766" s="43">
        <f>IF($B766="","",N($E766)+N($F766))</f>
        <v/>
      </c>
      <c r="H766" s="42" t="n"/>
      <c r="I766" s="43">
        <f>IF($B766="","",N($G766)-N($H766))</f>
        <v/>
      </c>
    </row>
    <row r="767">
      <c r="A767" s="39">
        <f>IF($B767="","",COUNTA($B$4:$B767))</f>
        <v/>
      </c>
      <c r="B767" s="45" t="n"/>
      <c r="C767" s="46" t="n"/>
      <c r="D767" s="46" t="n"/>
      <c r="E767" s="47" t="n"/>
      <c r="F767" s="47" t="n"/>
      <c r="G767" s="43">
        <f>IF($B767="","",N($E767)+N($F767))</f>
        <v/>
      </c>
      <c r="H767" s="47" t="n"/>
      <c r="I767" s="43">
        <f>IF($B767="","",N($G767)-N($H767))</f>
        <v/>
      </c>
    </row>
    <row r="768">
      <c r="A768" s="39">
        <f>IF($B768="","",COUNTA($B$4:$B768))</f>
        <v/>
      </c>
      <c r="B768" s="40" t="n"/>
      <c r="C768" s="41" t="n"/>
      <c r="D768" s="41" t="n"/>
      <c r="E768" s="42" t="n"/>
      <c r="F768" s="42" t="n"/>
      <c r="G768" s="43">
        <f>IF($B768="","",N($E768)+N($F768))</f>
        <v/>
      </c>
      <c r="H768" s="42" t="n"/>
      <c r="I768" s="43">
        <f>IF($B768="","",N($G768)-N($H768))</f>
        <v/>
      </c>
    </row>
    <row r="769">
      <c r="A769" s="39">
        <f>IF($B769="","",COUNTA($B$4:$B769))</f>
        <v/>
      </c>
      <c r="B769" s="45" t="n"/>
      <c r="C769" s="46" t="n"/>
      <c r="D769" s="46" t="n"/>
      <c r="E769" s="47" t="n"/>
      <c r="F769" s="47" t="n"/>
      <c r="G769" s="43">
        <f>IF($B769="","",N($E769)+N($F769))</f>
        <v/>
      </c>
      <c r="H769" s="47" t="n"/>
      <c r="I769" s="43">
        <f>IF($B769="","",N($G769)-N($H769))</f>
        <v/>
      </c>
    </row>
    <row r="770">
      <c r="A770" s="39">
        <f>IF($B770="","",COUNTA($B$4:$B770))</f>
        <v/>
      </c>
      <c r="B770" s="40" t="n"/>
      <c r="C770" s="41" t="n"/>
      <c r="D770" s="41" t="n"/>
      <c r="E770" s="42" t="n"/>
      <c r="F770" s="42" t="n"/>
      <c r="G770" s="43">
        <f>IF($B770="","",N($E770)+N($F770))</f>
        <v/>
      </c>
      <c r="H770" s="42" t="n"/>
      <c r="I770" s="43">
        <f>IF($B770="","",N($G770)-N($H770))</f>
        <v/>
      </c>
    </row>
    <row r="771">
      <c r="A771" s="39">
        <f>IF($B771="","",COUNTA($B$4:$B771))</f>
        <v/>
      </c>
      <c r="B771" s="45" t="n"/>
      <c r="C771" s="46" t="n"/>
      <c r="D771" s="46" t="n"/>
      <c r="E771" s="47" t="n"/>
      <c r="F771" s="47" t="n"/>
      <c r="G771" s="43">
        <f>IF($B771="","",N($E771)+N($F771))</f>
        <v/>
      </c>
      <c r="H771" s="47" t="n"/>
      <c r="I771" s="43">
        <f>IF($B771="","",N($G771)-N($H771))</f>
        <v/>
      </c>
    </row>
    <row r="772">
      <c r="A772" s="39">
        <f>IF($B772="","",COUNTA($B$4:$B772))</f>
        <v/>
      </c>
      <c r="B772" s="40" t="n"/>
      <c r="C772" s="41" t="n"/>
      <c r="D772" s="41" t="n"/>
      <c r="E772" s="42" t="n"/>
      <c r="F772" s="42" t="n"/>
      <c r="G772" s="43">
        <f>IF($B772="","",N($E772)+N($F772))</f>
        <v/>
      </c>
      <c r="H772" s="42" t="n"/>
      <c r="I772" s="43">
        <f>IF($B772="","",N($G772)-N($H772))</f>
        <v/>
      </c>
    </row>
    <row r="773">
      <c r="A773" s="39">
        <f>IF($B773="","",COUNTA($B$4:$B773))</f>
        <v/>
      </c>
      <c r="B773" s="45" t="n"/>
      <c r="C773" s="46" t="n"/>
      <c r="D773" s="46" t="n"/>
      <c r="E773" s="47" t="n"/>
      <c r="F773" s="47" t="n"/>
      <c r="G773" s="43">
        <f>IF($B773="","",N($E773)+N($F773))</f>
        <v/>
      </c>
      <c r="H773" s="47" t="n"/>
      <c r="I773" s="43">
        <f>IF($B773="","",N($G773)-N($H773))</f>
        <v/>
      </c>
    </row>
    <row r="774">
      <c r="A774" s="39">
        <f>IF($B774="","",COUNTA($B$4:$B774))</f>
        <v/>
      </c>
      <c r="B774" s="40" t="n"/>
      <c r="C774" s="41" t="n"/>
      <c r="D774" s="41" t="n"/>
      <c r="E774" s="42" t="n"/>
      <c r="F774" s="42" t="n"/>
      <c r="G774" s="43">
        <f>IF($B774="","",N($E774)+N($F774))</f>
        <v/>
      </c>
      <c r="H774" s="42" t="n"/>
      <c r="I774" s="43">
        <f>IF($B774="","",N($G774)-N($H774))</f>
        <v/>
      </c>
    </row>
    <row r="775">
      <c r="A775" s="39">
        <f>IF($B775="","",COUNTA($B$4:$B775))</f>
        <v/>
      </c>
      <c r="B775" s="45" t="n"/>
      <c r="C775" s="46" t="n"/>
      <c r="D775" s="46" t="n"/>
      <c r="E775" s="47" t="n"/>
      <c r="F775" s="47" t="n"/>
      <c r="G775" s="43">
        <f>IF($B775="","",N($E775)+N($F775))</f>
        <v/>
      </c>
      <c r="H775" s="47" t="n"/>
      <c r="I775" s="43">
        <f>IF($B775="","",N($G775)-N($H775))</f>
        <v/>
      </c>
    </row>
    <row r="776">
      <c r="A776" s="39">
        <f>IF($B776="","",COUNTA($B$4:$B776))</f>
        <v/>
      </c>
      <c r="B776" s="40" t="n"/>
      <c r="C776" s="41" t="n"/>
      <c r="D776" s="41" t="n"/>
      <c r="E776" s="42" t="n"/>
      <c r="F776" s="42" t="n"/>
      <c r="G776" s="43">
        <f>IF($B776="","",N($E776)+N($F776))</f>
        <v/>
      </c>
      <c r="H776" s="42" t="n"/>
      <c r="I776" s="43">
        <f>IF($B776="","",N($G776)-N($H776))</f>
        <v/>
      </c>
    </row>
    <row r="777">
      <c r="A777" s="39">
        <f>IF($B777="","",COUNTA($B$4:$B777))</f>
        <v/>
      </c>
      <c r="B777" s="45" t="n"/>
      <c r="C777" s="46" t="n"/>
      <c r="D777" s="46" t="n"/>
      <c r="E777" s="47" t="n"/>
      <c r="F777" s="47" t="n"/>
      <c r="G777" s="43">
        <f>IF($B777="","",N($E777)+N($F777))</f>
        <v/>
      </c>
      <c r="H777" s="47" t="n"/>
      <c r="I777" s="43">
        <f>IF($B777="","",N($G777)-N($H777))</f>
        <v/>
      </c>
    </row>
    <row r="778">
      <c r="A778" s="39">
        <f>IF($B778="","",COUNTA($B$4:$B778))</f>
        <v/>
      </c>
      <c r="B778" s="40" t="n"/>
      <c r="C778" s="41" t="n"/>
      <c r="D778" s="41" t="n"/>
      <c r="E778" s="42" t="n"/>
      <c r="F778" s="42" t="n"/>
      <c r="G778" s="43">
        <f>IF($B778="","",N($E778)+N($F778))</f>
        <v/>
      </c>
      <c r="H778" s="42" t="n"/>
      <c r="I778" s="43">
        <f>IF($B778="","",N($G778)-N($H778))</f>
        <v/>
      </c>
    </row>
    <row r="779">
      <c r="A779" s="39">
        <f>IF($B779="","",COUNTA($B$4:$B779))</f>
        <v/>
      </c>
      <c r="B779" s="45" t="n"/>
      <c r="C779" s="46" t="n"/>
      <c r="D779" s="46" t="n"/>
      <c r="E779" s="47" t="n"/>
      <c r="F779" s="47" t="n"/>
      <c r="G779" s="43">
        <f>IF($B779="","",N($E779)+N($F779))</f>
        <v/>
      </c>
      <c r="H779" s="47" t="n"/>
      <c r="I779" s="43">
        <f>IF($B779="","",N($G779)-N($H779))</f>
        <v/>
      </c>
    </row>
    <row r="780">
      <c r="A780" s="39">
        <f>IF($B780="","",COUNTA($B$4:$B780))</f>
        <v/>
      </c>
      <c r="B780" s="40" t="n"/>
      <c r="C780" s="41" t="n"/>
      <c r="D780" s="41" t="n"/>
      <c r="E780" s="42" t="n"/>
      <c r="F780" s="42" t="n"/>
      <c r="G780" s="43">
        <f>IF($B780="","",N($E780)+N($F780))</f>
        <v/>
      </c>
      <c r="H780" s="42" t="n"/>
      <c r="I780" s="43">
        <f>IF($B780="","",N($G780)-N($H780))</f>
        <v/>
      </c>
    </row>
    <row r="781">
      <c r="A781" s="39">
        <f>IF($B781="","",COUNTA($B$4:$B781))</f>
        <v/>
      </c>
      <c r="B781" s="45" t="n"/>
      <c r="C781" s="46" t="n"/>
      <c r="D781" s="46" t="n"/>
      <c r="E781" s="47" t="n"/>
      <c r="F781" s="47" t="n"/>
      <c r="G781" s="43">
        <f>IF($B781="","",N($E781)+N($F781))</f>
        <v/>
      </c>
      <c r="H781" s="47" t="n"/>
      <c r="I781" s="43">
        <f>IF($B781="","",N($G781)-N($H781))</f>
        <v/>
      </c>
    </row>
    <row r="782">
      <c r="A782" s="39">
        <f>IF($B782="","",COUNTA($B$4:$B782))</f>
        <v/>
      </c>
      <c r="B782" s="40" t="n"/>
      <c r="C782" s="41" t="n"/>
      <c r="D782" s="41" t="n"/>
      <c r="E782" s="42" t="n"/>
      <c r="F782" s="42" t="n"/>
      <c r="G782" s="43">
        <f>IF($B782="","",N($E782)+N($F782))</f>
        <v/>
      </c>
      <c r="H782" s="42" t="n"/>
      <c r="I782" s="43">
        <f>IF($B782="","",N($G782)-N($H782))</f>
        <v/>
      </c>
    </row>
    <row r="783">
      <c r="A783" s="39">
        <f>IF($B783="","",COUNTA($B$4:$B783))</f>
        <v/>
      </c>
      <c r="B783" s="45" t="n"/>
      <c r="C783" s="46" t="n"/>
      <c r="D783" s="46" t="n"/>
      <c r="E783" s="47" t="n"/>
      <c r="F783" s="47" t="n"/>
      <c r="G783" s="43">
        <f>IF($B783="","",N($E783)+N($F783))</f>
        <v/>
      </c>
      <c r="H783" s="47" t="n"/>
      <c r="I783" s="43">
        <f>IF($B783="","",N($G783)-N($H783))</f>
        <v/>
      </c>
    </row>
    <row r="784">
      <c r="A784" s="39">
        <f>IF($B784="","",COUNTA($B$4:$B784))</f>
        <v/>
      </c>
      <c r="B784" s="40" t="n"/>
      <c r="C784" s="41" t="n"/>
      <c r="D784" s="41" t="n"/>
      <c r="E784" s="42" t="n"/>
      <c r="F784" s="42" t="n"/>
      <c r="G784" s="43">
        <f>IF($B784="","",N($E784)+N($F784))</f>
        <v/>
      </c>
      <c r="H784" s="42" t="n"/>
      <c r="I784" s="43">
        <f>IF($B784="","",N($G784)-N($H784))</f>
        <v/>
      </c>
    </row>
    <row r="785">
      <c r="A785" s="39">
        <f>IF($B785="","",COUNTA($B$4:$B785))</f>
        <v/>
      </c>
      <c r="B785" s="45" t="n"/>
      <c r="C785" s="46" t="n"/>
      <c r="D785" s="46" t="n"/>
      <c r="E785" s="47" t="n"/>
      <c r="F785" s="47" t="n"/>
      <c r="G785" s="43">
        <f>IF($B785="","",N($E785)+N($F785))</f>
        <v/>
      </c>
      <c r="H785" s="47" t="n"/>
      <c r="I785" s="43">
        <f>IF($B785="","",N($G785)-N($H785))</f>
        <v/>
      </c>
    </row>
    <row r="786">
      <c r="A786" s="39">
        <f>IF($B786="","",COUNTA($B$4:$B786))</f>
        <v/>
      </c>
      <c r="B786" s="40" t="n"/>
      <c r="C786" s="41" t="n"/>
      <c r="D786" s="41" t="n"/>
      <c r="E786" s="42" t="n"/>
      <c r="F786" s="42" t="n"/>
      <c r="G786" s="43">
        <f>IF($B786="","",N($E786)+N($F786))</f>
        <v/>
      </c>
      <c r="H786" s="42" t="n"/>
      <c r="I786" s="43">
        <f>IF($B786="","",N($G786)-N($H786))</f>
        <v/>
      </c>
    </row>
    <row r="787">
      <c r="A787" s="39">
        <f>IF($B787="","",COUNTA($B$4:$B787))</f>
        <v/>
      </c>
      <c r="B787" s="45" t="n"/>
      <c r="C787" s="46" t="n"/>
      <c r="D787" s="46" t="n"/>
      <c r="E787" s="47" t="n"/>
      <c r="F787" s="47" t="n"/>
      <c r="G787" s="43">
        <f>IF($B787="","",N($E787)+N($F787))</f>
        <v/>
      </c>
      <c r="H787" s="47" t="n"/>
      <c r="I787" s="43">
        <f>IF($B787="","",N($G787)-N($H787))</f>
        <v/>
      </c>
    </row>
    <row r="788">
      <c r="A788" s="39">
        <f>IF($B788="","",COUNTA($B$4:$B788))</f>
        <v/>
      </c>
      <c r="B788" s="40" t="n"/>
      <c r="C788" s="41" t="n"/>
      <c r="D788" s="41" t="n"/>
      <c r="E788" s="42" t="n"/>
      <c r="F788" s="42" t="n"/>
      <c r="G788" s="43">
        <f>IF($B788="","",N($E788)+N($F788))</f>
        <v/>
      </c>
      <c r="H788" s="42" t="n"/>
      <c r="I788" s="43">
        <f>IF($B788="","",N($G788)-N($H788))</f>
        <v/>
      </c>
    </row>
    <row r="789">
      <c r="A789" s="39">
        <f>IF($B789="","",COUNTA($B$4:$B789))</f>
        <v/>
      </c>
      <c r="B789" s="45" t="n"/>
      <c r="C789" s="46" t="n"/>
      <c r="D789" s="46" t="n"/>
      <c r="E789" s="47" t="n"/>
      <c r="F789" s="47" t="n"/>
      <c r="G789" s="43">
        <f>IF($B789="","",N($E789)+N($F789))</f>
        <v/>
      </c>
      <c r="H789" s="47" t="n"/>
      <c r="I789" s="43">
        <f>IF($B789="","",N($G789)-N($H789))</f>
        <v/>
      </c>
    </row>
    <row r="790">
      <c r="A790" s="39">
        <f>IF($B790="","",COUNTA($B$4:$B790))</f>
        <v/>
      </c>
      <c r="B790" s="40" t="n"/>
      <c r="C790" s="41" t="n"/>
      <c r="D790" s="41" t="n"/>
      <c r="E790" s="42" t="n"/>
      <c r="F790" s="42" t="n"/>
      <c r="G790" s="43">
        <f>IF($B790="","",N($E790)+N($F790))</f>
        <v/>
      </c>
      <c r="H790" s="42" t="n"/>
      <c r="I790" s="43">
        <f>IF($B790="","",N($G790)-N($H790))</f>
        <v/>
      </c>
    </row>
    <row r="791">
      <c r="A791" s="39">
        <f>IF($B791="","",COUNTA($B$4:$B791))</f>
        <v/>
      </c>
      <c r="B791" s="45" t="n"/>
      <c r="C791" s="46" t="n"/>
      <c r="D791" s="46" t="n"/>
      <c r="E791" s="47" t="n"/>
      <c r="F791" s="47" t="n"/>
      <c r="G791" s="43">
        <f>IF($B791="","",N($E791)+N($F791))</f>
        <v/>
      </c>
      <c r="H791" s="47" t="n"/>
      <c r="I791" s="43">
        <f>IF($B791="","",N($G791)-N($H791))</f>
        <v/>
      </c>
    </row>
    <row r="792">
      <c r="A792" s="39">
        <f>IF($B792="","",COUNTA($B$4:$B792))</f>
        <v/>
      </c>
      <c r="B792" s="40" t="n"/>
      <c r="C792" s="41" t="n"/>
      <c r="D792" s="41" t="n"/>
      <c r="E792" s="42" t="n"/>
      <c r="F792" s="42" t="n"/>
      <c r="G792" s="43">
        <f>IF($B792="","",N($E792)+N($F792))</f>
        <v/>
      </c>
      <c r="H792" s="42" t="n"/>
      <c r="I792" s="43">
        <f>IF($B792="","",N($G792)-N($H792))</f>
        <v/>
      </c>
    </row>
    <row r="793">
      <c r="A793" s="39">
        <f>IF($B793="","",COUNTA($B$4:$B793))</f>
        <v/>
      </c>
      <c r="B793" s="45" t="n"/>
      <c r="C793" s="46" t="n"/>
      <c r="D793" s="46" t="n"/>
      <c r="E793" s="47" t="n"/>
      <c r="F793" s="47" t="n"/>
      <c r="G793" s="43">
        <f>IF($B793="","",N($E793)+N($F793))</f>
        <v/>
      </c>
      <c r="H793" s="47" t="n"/>
      <c r="I793" s="43">
        <f>IF($B793="","",N($G793)-N($H793))</f>
        <v/>
      </c>
    </row>
    <row r="794">
      <c r="A794" s="39">
        <f>IF($B794="","",COUNTA($B$4:$B794))</f>
        <v/>
      </c>
      <c r="B794" s="40" t="n"/>
      <c r="C794" s="41" t="n"/>
      <c r="D794" s="41" t="n"/>
      <c r="E794" s="42" t="n"/>
      <c r="F794" s="42" t="n"/>
      <c r="G794" s="43">
        <f>IF($B794="","",N($E794)+N($F794))</f>
        <v/>
      </c>
      <c r="H794" s="42" t="n"/>
      <c r="I794" s="43">
        <f>IF($B794="","",N($G794)-N($H794))</f>
        <v/>
      </c>
    </row>
    <row r="795">
      <c r="A795" s="39">
        <f>IF($B795="","",COUNTA($B$4:$B795))</f>
        <v/>
      </c>
      <c r="B795" s="45" t="n"/>
      <c r="C795" s="46" t="n"/>
      <c r="D795" s="46" t="n"/>
      <c r="E795" s="47" t="n"/>
      <c r="F795" s="47" t="n"/>
      <c r="G795" s="43">
        <f>IF($B795="","",N($E795)+N($F795))</f>
        <v/>
      </c>
      <c r="H795" s="47" t="n"/>
      <c r="I795" s="43">
        <f>IF($B795="","",N($G795)-N($H795))</f>
        <v/>
      </c>
    </row>
    <row r="796">
      <c r="A796" s="39">
        <f>IF($B796="","",COUNTA($B$4:$B796))</f>
        <v/>
      </c>
      <c r="B796" s="40" t="n"/>
      <c r="C796" s="41" t="n"/>
      <c r="D796" s="41" t="n"/>
      <c r="E796" s="42" t="n"/>
      <c r="F796" s="42" t="n"/>
      <c r="G796" s="43">
        <f>IF($B796="","",N($E796)+N($F796))</f>
        <v/>
      </c>
      <c r="H796" s="42" t="n"/>
      <c r="I796" s="43">
        <f>IF($B796="","",N($G796)-N($H796))</f>
        <v/>
      </c>
    </row>
    <row r="797">
      <c r="A797" s="39">
        <f>IF($B797="","",COUNTA($B$4:$B797))</f>
        <v/>
      </c>
      <c r="B797" s="45" t="n"/>
      <c r="C797" s="46" t="n"/>
      <c r="D797" s="46" t="n"/>
      <c r="E797" s="47" t="n"/>
      <c r="F797" s="47" t="n"/>
      <c r="G797" s="43">
        <f>IF($B797="","",N($E797)+N($F797))</f>
        <v/>
      </c>
      <c r="H797" s="47" t="n"/>
      <c r="I797" s="43">
        <f>IF($B797="","",N($G797)-N($H797))</f>
        <v/>
      </c>
    </row>
    <row r="798">
      <c r="A798" s="39">
        <f>IF($B798="","",COUNTA($B$4:$B798))</f>
        <v/>
      </c>
      <c r="B798" s="40" t="n"/>
      <c r="C798" s="41" t="n"/>
      <c r="D798" s="41" t="n"/>
      <c r="E798" s="42" t="n"/>
      <c r="F798" s="42" t="n"/>
      <c r="G798" s="43">
        <f>IF($B798="","",N($E798)+N($F798))</f>
        <v/>
      </c>
      <c r="H798" s="42" t="n"/>
      <c r="I798" s="43">
        <f>IF($B798="","",N($G798)-N($H798))</f>
        <v/>
      </c>
    </row>
    <row r="799">
      <c r="A799" s="39">
        <f>IF($B799="","",COUNTA($B$4:$B799))</f>
        <v/>
      </c>
      <c r="B799" s="45" t="n"/>
      <c r="C799" s="46" t="n"/>
      <c r="D799" s="46" t="n"/>
      <c r="E799" s="47" t="n"/>
      <c r="F799" s="47" t="n"/>
      <c r="G799" s="43">
        <f>IF($B799="","",N($E799)+N($F799))</f>
        <v/>
      </c>
      <c r="H799" s="47" t="n"/>
      <c r="I799" s="43">
        <f>IF($B799="","",N($G799)-N($H799))</f>
        <v/>
      </c>
    </row>
    <row r="800">
      <c r="A800" s="39">
        <f>IF($B800="","",COUNTA($B$4:$B800))</f>
        <v/>
      </c>
      <c r="B800" s="40" t="n"/>
      <c r="C800" s="41" t="n"/>
      <c r="D800" s="41" t="n"/>
      <c r="E800" s="42" t="n"/>
      <c r="F800" s="42" t="n"/>
      <c r="G800" s="43">
        <f>IF($B800="","",N($E800)+N($F800))</f>
        <v/>
      </c>
      <c r="H800" s="42" t="n"/>
      <c r="I800" s="43">
        <f>IF($B800="","",N($G800)-N($H800))</f>
        <v/>
      </c>
    </row>
    <row r="801">
      <c r="A801" s="39">
        <f>IF($B801="","",COUNTA($B$4:$B801))</f>
        <v/>
      </c>
      <c r="B801" s="45" t="n"/>
      <c r="C801" s="46" t="n"/>
      <c r="D801" s="46" t="n"/>
      <c r="E801" s="47" t="n"/>
      <c r="F801" s="47" t="n"/>
      <c r="G801" s="43">
        <f>IF($B801="","",N($E801)+N($F801))</f>
        <v/>
      </c>
      <c r="H801" s="47" t="n"/>
      <c r="I801" s="43">
        <f>IF($B801="","",N($G801)-N($H801))</f>
        <v/>
      </c>
    </row>
    <row r="802">
      <c r="A802" s="39">
        <f>IF($B802="","",COUNTA($B$4:$B802))</f>
        <v/>
      </c>
      <c r="B802" s="40" t="n"/>
      <c r="C802" s="41" t="n"/>
      <c r="D802" s="41" t="n"/>
      <c r="E802" s="42" t="n"/>
      <c r="F802" s="42" t="n"/>
      <c r="G802" s="43">
        <f>IF($B802="","",N($E802)+N($F802))</f>
        <v/>
      </c>
      <c r="H802" s="42" t="n"/>
      <c r="I802" s="43">
        <f>IF($B802="","",N($G802)-N($H802))</f>
        <v/>
      </c>
    </row>
    <row r="803">
      <c r="A803" s="39">
        <f>IF($B803="","",COUNTA($B$4:$B803))</f>
        <v/>
      </c>
      <c r="B803" s="45" t="n"/>
      <c r="C803" s="46" t="n"/>
      <c r="D803" s="46" t="n"/>
      <c r="E803" s="47" t="n"/>
      <c r="F803" s="47" t="n"/>
      <c r="G803" s="43">
        <f>IF($B803="","",N($E803)+N($F803))</f>
        <v/>
      </c>
      <c r="H803" s="47" t="n"/>
      <c r="I803" s="43">
        <f>IF($B803="","",N($G803)-N($H803))</f>
        <v/>
      </c>
    </row>
    <row r="804">
      <c r="A804" s="39">
        <f>IF($B804="","",COUNTA($B$4:$B804))</f>
        <v/>
      </c>
      <c r="B804" s="40" t="n"/>
      <c r="C804" s="41" t="n"/>
      <c r="D804" s="41" t="n"/>
      <c r="E804" s="42" t="n"/>
      <c r="F804" s="42" t="n"/>
      <c r="G804" s="43">
        <f>IF($B804="","",N($E804)+N($F804))</f>
        <v/>
      </c>
      <c r="H804" s="42" t="n"/>
      <c r="I804" s="43">
        <f>IF($B804="","",N($G804)-N($H804))</f>
        <v/>
      </c>
    </row>
    <row r="805">
      <c r="A805" s="39">
        <f>IF($B805="","",COUNTA($B$4:$B805))</f>
        <v/>
      </c>
      <c r="B805" s="45" t="n"/>
      <c r="C805" s="46" t="n"/>
      <c r="D805" s="46" t="n"/>
      <c r="E805" s="47" t="n"/>
      <c r="F805" s="47" t="n"/>
      <c r="G805" s="43">
        <f>IF($B805="","",N($E805)+N($F805))</f>
        <v/>
      </c>
      <c r="H805" s="47" t="n"/>
      <c r="I805" s="43">
        <f>IF($B805="","",N($G805)-N($H805))</f>
        <v/>
      </c>
    </row>
    <row r="806">
      <c r="A806" s="39">
        <f>IF($B806="","",COUNTA($B$4:$B806))</f>
        <v/>
      </c>
      <c r="B806" s="40" t="n"/>
      <c r="C806" s="41" t="n"/>
      <c r="D806" s="41" t="n"/>
      <c r="E806" s="42" t="n"/>
      <c r="F806" s="42" t="n"/>
      <c r="G806" s="43">
        <f>IF($B806="","",N($E806)+N($F806))</f>
        <v/>
      </c>
      <c r="H806" s="42" t="n"/>
      <c r="I806" s="43">
        <f>IF($B806="","",N($G806)-N($H806))</f>
        <v/>
      </c>
    </row>
    <row r="807">
      <c r="A807" s="39">
        <f>IF($B807="","",COUNTA($B$4:$B807))</f>
        <v/>
      </c>
      <c r="B807" s="45" t="n"/>
      <c r="C807" s="46" t="n"/>
      <c r="D807" s="46" t="n"/>
      <c r="E807" s="47" t="n"/>
      <c r="F807" s="47" t="n"/>
      <c r="G807" s="43">
        <f>IF($B807="","",N($E807)+N($F807))</f>
        <v/>
      </c>
      <c r="H807" s="47" t="n"/>
      <c r="I807" s="43">
        <f>IF($B807="","",N($G807)-N($H807))</f>
        <v/>
      </c>
    </row>
    <row r="808">
      <c r="A808" s="39">
        <f>IF($B808="","",COUNTA($B$4:$B808))</f>
        <v/>
      </c>
      <c r="B808" s="40" t="n"/>
      <c r="C808" s="41" t="n"/>
      <c r="D808" s="41" t="n"/>
      <c r="E808" s="42" t="n"/>
      <c r="F808" s="42" t="n"/>
      <c r="G808" s="43">
        <f>IF($B808="","",N($E808)+N($F808))</f>
        <v/>
      </c>
      <c r="H808" s="42" t="n"/>
      <c r="I808" s="43">
        <f>IF($B808="","",N($G808)-N($H808))</f>
        <v/>
      </c>
    </row>
    <row r="809">
      <c r="A809" s="39">
        <f>IF($B809="","",COUNTA($B$4:$B809))</f>
        <v/>
      </c>
      <c r="B809" s="45" t="n"/>
      <c r="C809" s="46" t="n"/>
      <c r="D809" s="46" t="n"/>
      <c r="E809" s="47" t="n"/>
      <c r="F809" s="47" t="n"/>
      <c r="G809" s="43">
        <f>IF($B809="","",N($E809)+N($F809))</f>
        <v/>
      </c>
      <c r="H809" s="47" t="n"/>
      <c r="I809" s="43">
        <f>IF($B809="","",N($G809)-N($H809))</f>
        <v/>
      </c>
    </row>
    <row r="810">
      <c r="A810" s="39">
        <f>IF($B810="","",COUNTA($B$4:$B810))</f>
        <v/>
      </c>
      <c r="B810" s="40" t="n"/>
      <c r="C810" s="41" t="n"/>
      <c r="D810" s="41" t="n"/>
      <c r="E810" s="42" t="n"/>
      <c r="F810" s="42" t="n"/>
      <c r="G810" s="43">
        <f>IF($B810="","",N($E810)+N($F810))</f>
        <v/>
      </c>
      <c r="H810" s="42" t="n"/>
      <c r="I810" s="43">
        <f>IF($B810="","",N($G810)-N($H810))</f>
        <v/>
      </c>
    </row>
    <row r="811">
      <c r="A811" s="39">
        <f>IF($B811="","",COUNTA($B$4:$B811))</f>
        <v/>
      </c>
      <c r="B811" s="45" t="n"/>
      <c r="C811" s="46" t="n"/>
      <c r="D811" s="46" t="n"/>
      <c r="E811" s="47" t="n"/>
      <c r="F811" s="47" t="n"/>
      <c r="G811" s="43">
        <f>IF($B811="","",N($E811)+N($F811))</f>
        <v/>
      </c>
      <c r="H811" s="47" t="n"/>
      <c r="I811" s="43">
        <f>IF($B811="","",N($G811)-N($H811))</f>
        <v/>
      </c>
    </row>
    <row r="812">
      <c r="A812" s="39">
        <f>IF($B812="","",COUNTA($B$4:$B812))</f>
        <v/>
      </c>
      <c r="B812" s="40" t="n"/>
      <c r="C812" s="41" t="n"/>
      <c r="D812" s="41" t="n"/>
      <c r="E812" s="42" t="n"/>
      <c r="F812" s="42" t="n"/>
      <c r="G812" s="43">
        <f>IF($B812="","",N($E812)+N($F812))</f>
        <v/>
      </c>
      <c r="H812" s="42" t="n"/>
      <c r="I812" s="43">
        <f>IF($B812="","",N($G812)-N($H812))</f>
        <v/>
      </c>
    </row>
    <row r="813">
      <c r="A813" s="39">
        <f>IF($B813="","",COUNTA($B$4:$B813))</f>
        <v/>
      </c>
      <c r="B813" s="45" t="n"/>
      <c r="C813" s="46" t="n"/>
      <c r="D813" s="46" t="n"/>
      <c r="E813" s="47" t="n"/>
      <c r="F813" s="47" t="n"/>
      <c r="G813" s="43">
        <f>IF($B813="","",N($E813)+N($F813))</f>
        <v/>
      </c>
      <c r="H813" s="47" t="n"/>
      <c r="I813" s="43">
        <f>IF($B813="","",N($G813)-N($H813))</f>
        <v/>
      </c>
    </row>
    <row r="814">
      <c r="A814" s="39">
        <f>IF($B814="","",COUNTA($B$4:$B814))</f>
        <v/>
      </c>
      <c r="B814" s="40" t="n"/>
      <c r="C814" s="41" t="n"/>
      <c r="D814" s="41" t="n"/>
      <c r="E814" s="42" t="n"/>
      <c r="F814" s="42" t="n"/>
      <c r="G814" s="43">
        <f>IF($B814="","",N($E814)+N($F814))</f>
        <v/>
      </c>
      <c r="H814" s="42" t="n"/>
      <c r="I814" s="43">
        <f>IF($B814="","",N($G814)-N($H814))</f>
        <v/>
      </c>
    </row>
    <row r="815">
      <c r="A815" s="39">
        <f>IF($B815="","",COUNTA($B$4:$B815))</f>
        <v/>
      </c>
      <c r="B815" s="45" t="n"/>
      <c r="C815" s="46" t="n"/>
      <c r="D815" s="46" t="n"/>
      <c r="E815" s="47" t="n"/>
      <c r="F815" s="47" t="n"/>
      <c r="G815" s="43">
        <f>IF($B815="","",N($E815)+N($F815))</f>
        <v/>
      </c>
      <c r="H815" s="47" t="n"/>
      <c r="I815" s="43">
        <f>IF($B815="","",N($G815)-N($H815))</f>
        <v/>
      </c>
    </row>
    <row r="816">
      <c r="A816" s="39">
        <f>IF($B816="","",COUNTA($B$4:$B816))</f>
        <v/>
      </c>
      <c r="B816" s="40" t="n"/>
      <c r="C816" s="41" t="n"/>
      <c r="D816" s="41" t="n"/>
      <c r="E816" s="42" t="n"/>
      <c r="F816" s="42" t="n"/>
      <c r="G816" s="43">
        <f>IF($B816="","",N($E816)+N($F816))</f>
        <v/>
      </c>
      <c r="H816" s="42" t="n"/>
      <c r="I816" s="43">
        <f>IF($B816="","",N($G816)-N($H816))</f>
        <v/>
      </c>
    </row>
    <row r="817">
      <c r="A817" s="39">
        <f>IF($B817="","",COUNTA($B$4:$B817))</f>
        <v/>
      </c>
      <c r="B817" s="45" t="n"/>
      <c r="C817" s="46" t="n"/>
      <c r="D817" s="46" t="n"/>
      <c r="E817" s="47" t="n"/>
      <c r="F817" s="47" t="n"/>
      <c r="G817" s="43">
        <f>IF($B817="","",N($E817)+N($F817))</f>
        <v/>
      </c>
      <c r="H817" s="47" t="n"/>
      <c r="I817" s="43">
        <f>IF($B817="","",N($G817)-N($H817))</f>
        <v/>
      </c>
    </row>
    <row r="818">
      <c r="A818" s="39">
        <f>IF($B818="","",COUNTA($B$4:$B818))</f>
        <v/>
      </c>
      <c r="B818" s="40" t="n"/>
      <c r="C818" s="41" t="n"/>
      <c r="D818" s="41" t="n"/>
      <c r="E818" s="42" t="n"/>
      <c r="F818" s="42" t="n"/>
      <c r="G818" s="43">
        <f>IF($B818="","",N($E818)+N($F818))</f>
        <v/>
      </c>
      <c r="H818" s="42" t="n"/>
      <c r="I818" s="43">
        <f>IF($B818="","",N($G818)-N($H818))</f>
        <v/>
      </c>
    </row>
    <row r="819">
      <c r="A819" s="39">
        <f>IF($B819="","",COUNTA($B$4:$B819))</f>
        <v/>
      </c>
      <c r="B819" s="45" t="n"/>
      <c r="C819" s="46" t="n"/>
      <c r="D819" s="46" t="n"/>
      <c r="E819" s="47" t="n"/>
      <c r="F819" s="47" t="n"/>
      <c r="G819" s="43">
        <f>IF($B819="","",N($E819)+N($F819))</f>
        <v/>
      </c>
      <c r="H819" s="47" t="n"/>
      <c r="I819" s="43">
        <f>IF($B819="","",N($G819)-N($H819))</f>
        <v/>
      </c>
    </row>
    <row r="820">
      <c r="A820" s="39">
        <f>IF($B820="","",COUNTA($B$4:$B820))</f>
        <v/>
      </c>
      <c r="B820" s="40" t="n"/>
      <c r="C820" s="41" t="n"/>
      <c r="D820" s="41" t="n"/>
      <c r="E820" s="42" t="n"/>
      <c r="F820" s="42" t="n"/>
      <c r="G820" s="43">
        <f>IF($B820="","",N($E820)+N($F820))</f>
        <v/>
      </c>
      <c r="H820" s="42" t="n"/>
      <c r="I820" s="43">
        <f>IF($B820="","",N($G820)-N($H820))</f>
        <v/>
      </c>
    </row>
    <row r="821">
      <c r="A821" s="39">
        <f>IF($B821="","",COUNTA($B$4:$B821))</f>
        <v/>
      </c>
      <c r="B821" s="45" t="n"/>
      <c r="C821" s="46" t="n"/>
      <c r="D821" s="46" t="n"/>
      <c r="E821" s="47" t="n"/>
      <c r="F821" s="47" t="n"/>
      <c r="G821" s="43">
        <f>IF($B821="","",N($E821)+N($F821))</f>
        <v/>
      </c>
      <c r="H821" s="47" t="n"/>
      <c r="I821" s="43">
        <f>IF($B821="","",N($G821)-N($H821))</f>
        <v/>
      </c>
    </row>
    <row r="822">
      <c r="A822" s="39">
        <f>IF($B822="","",COUNTA($B$4:$B822))</f>
        <v/>
      </c>
      <c r="B822" s="40" t="n"/>
      <c r="C822" s="41" t="n"/>
      <c r="D822" s="41" t="n"/>
      <c r="E822" s="42" t="n"/>
      <c r="F822" s="42" t="n"/>
      <c r="G822" s="43">
        <f>IF($B822="","",N($E822)+N($F822))</f>
        <v/>
      </c>
      <c r="H822" s="42" t="n"/>
      <c r="I822" s="43">
        <f>IF($B822="","",N($G822)-N($H822))</f>
        <v/>
      </c>
    </row>
    <row r="823">
      <c r="A823" s="39">
        <f>IF($B823="","",COUNTA($B$4:$B823))</f>
        <v/>
      </c>
      <c r="B823" s="45" t="n"/>
      <c r="C823" s="46" t="n"/>
      <c r="D823" s="46" t="n"/>
      <c r="E823" s="47" t="n"/>
      <c r="F823" s="47" t="n"/>
      <c r="G823" s="43">
        <f>IF($B823="","",N($E823)+N($F823))</f>
        <v/>
      </c>
      <c r="H823" s="47" t="n"/>
      <c r="I823" s="43">
        <f>IF($B823="","",N($G823)-N($H823))</f>
        <v/>
      </c>
    </row>
    <row r="824">
      <c r="A824" s="39">
        <f>IF($B824="","",COUNTA($B$4:$B824))</f>
        <v/>
      </c>
      <c r="B824" s="40" t="n"/>
      <c r="C824" s="41" t="n"/>
      <c r="D824" s="41" t="n"/>
      <c r="E824" s="42" t="n"/>
      <c r="F824" s="42" t="n"/>
      <c r="G824" s="43">
        <f>IF($B824="","",N($E824)+N($F824))</f>
        <v/>
      </c>
      <c r="H824" s="42" t="n"/>
      <c r="I824" s="43">
        <f>IF($B824="","",N($G824)-N($H824))</f>
        <v/>
      </c>
    </row>
    <row r="825">
      <c r="A825" s="39">
        <f>IF($B825="","",COUNTA($B$4:$B825))</f>
        <v/>
      </c>
      <c r="B825" s="45" t="n"/>
      <c r="C825" s="46" t="n"/>
      <c r="D825" s="46" t="n"/>
      <c r="E825" s="47" t="n"/>
      <c r="F825" s="47" t="n"/>
      <c r="G825" s="43">
        <f>IF($B825="","",N($E825)+N($F825))</f>
        <v/>
      </c>
      <c r="H825" s="47" t="n"/>
      <c r="I825" s="43">
        <f>IF($B825="","",N($G825)-N($H825))</f>
        <v/>
      </c>
    </row>
    <row r="826">
      <c r="A826" s="39">
        <f>IF($B826="","",COUNTA($B$4:$B826))</f>
        <v/>
      </c>
      <c r="B826" s="40" t="n"/>
      <c r="C826" s="41" t="n"/>
      <c r="D826" s="41" t="n"/>
      <c r="E826" s="42" t="n"/>
      <c r="F826" s="42" t="n"/>
      <c r="G826" s="43">
        <f>IF($B826="","",N($E826)+N($F826))</f>
        <v/>
      </c>
      <c r="H826" s="42" t="n"/>
      <c r="I826" s="43">
        <f>IF($B826="","",N($G826)-N($H826))</f>
        <v/>
      </c>
    </row>
    <row r="827">
      <c r="A827" s="39">
        <f>IF($B827="","",COUNTA($B$4:$B827))</f>
        <v/>
      </c>
      <c r="B827" s="45" t="n"/>
      <c r="C827" s="46" t="n"/>
      <c r="D827" s="46" t="n"/>
      <c r="E827" s="47" t="n"/>
      <c r="F827" s="47" t="n"/>
      <c r="G827" s="43">
        <f>IF($B827="","",N($E827)+N($F827))</f>
        <v/>
      </c>
      <c r="H827" s="47" t="n"/>
      <c r="I827" s="43">
        <f>IF($B827="","",N($G827)-N($H827))</f>
        <v/>
      </c>
    </row>
    <row r="828">
      <c r="A828" s="39">
        <f>IF($B828="","",COUNTA($B$4:$B828))</f>
        <v/>
      </c>
      <c r="B828" s="40" t="n"/>
      <c r="C828" s="41" t="n"/>
      <c r="D828" s="41" t="n"/>
      <c r="E828" s="42" t="n"/>
      <c r="F828" s="42" t="n"/>
      <c r="G828" s="43">
        <f>IF($B828="","",N($E828)+N($F828))</f>
        <v/>
      </c>
      <c r="H828" s="42" t="n"/>
      <c r="I828" s="43">
        <f>IF($B828="","",N($G828)-N($H828))</f>
        <v/>
      </c>
    </row>
    <row r="829">
      <c r="A829" s="39">
        <f>IF($B829="","",COUNTA($B$4:$B829))</f>
        <v/>
      </c>
      <c r="B829" s="45" t="n"/>
      <c r="C829" s="46" t="n"/>
      <c r="D829" s="46" t="n"/>
      <c r="E829" s="47" t="n"/>
      <c r="F829" s="47" t="n"/>
      <c r="G829" s="43">
        <f>IF($B829="","",N($E829)+N($F829))</f>
        <v/>
      </c>
      <c r="H829" s="47" t="n"/>
      <c r="I829" s="43">
        <f>IF($B829="","",N($G829)-N($H829))</f>
        <v/>
      </c>
    </row>
    <row r="830">
      <c r="A830" s="39">
        <f>IF($B830="","",COUNTA($B$4:$B830))</f>
        <v/>
      </c>
      <c r="B830" s="40" t="n"/>
      <c r="C830" s="41" t="n"/>
      <c r="D830" s="41" t="n"/>
      <c r="E830" s="42" t="n"/>
      <c r="F830" s="42" t="n"/>
      <c r="G830" s="43">
        <f>IF($B830="","",N($E830)+N($F830))</f>
        <v/>
      </c>
      <c r="H830" s="42" t="n"/>
      <c r="I830" s="43">
        <f>IF($B830="","",N($G830)-N($H830))</f>
        <v/>
      </c>
    </row>
    <row r="831">
      <c r="A831" s="39">
        <f>IF($B831="","",COUNTA($B$4:$B831))</f>
        <v/>
      </c>
      <c r="B831" s="45" t="n"/>
      <c r="C831" s="46" t="n"/>
      <c r="D831" s="46" t="n"/>
      <c r="E831" s="47" t="n"/>
      <c r="F831" s="47" t="n"/>
      <c r="G831" s="43">
        <f>IF($B831="","",N($E831)+N($F831))</f>
        <v/>
      </c>
      <c r="H831" s="47" t="n"/>
      <c r="I831" s="43">
        <f>IF($B831="","",N($G831)-N($H831))</f>
        <v/>
      </c>
    </row>
    <row r="832">
      <c r="A832" s="39">
        <f>IF($B832="","",COUNTA($B$4:$B832))</f>
        <v/>
      </c>
      <c r="B832" s="40" t="n"/>
      <c r="C832" s="41" t="n"/>
      <c r="D832" s="41" t="n"/>
      <c r="E832" s="42" t="n"/>
      <c r="F832" s="42" t="n"/>
      <c r="G832" s="43">
        <f>IF($B832="","",N($E832)+N($F832))</f>
        <v/>
      </c>
      <c r="H832" s="42" t="n"/>
      <c r="I832" s="43">
        <f>IF($B832="","",N($G832)-N($H832))</f>
        <v/>
      </c>
    </row>
    <row r="833">
      <c r="A833" s="39">
        <f>IF($B833="","",COUNTA($B$4:$B833))</f>
        <v/>
      </c>
      <c r="B833" s="45" t="n"/>
      <c r="C833" s="46" t="n"/>
      <c r="D833" s="46" t="n"/>
      <c r="E833" s="47" t="n"/>
      <c r="F833" s="47" t="n"/>
      <c r="G833" s="43">
        <f>IF($B833="","",N($E833)+N($F833))</f>
        <v/>
      </c>
      <c r="H833" s="47" t="n"/>
      <c r="I833" s="43">
        <f>IF($B833="","",N($G833)-N($H833))</f>
        <v/>
      </c>
    </row>
    <row r="834">
      <c r="A834" s="39">
        <f>IF($B834="","",COUNTA($B$4:$B834))</f>
        <v/>
      </c>
      <c r="B834" s="40" t="n"/>
      <c r="C834" s="41" t="n"/>
      <c r="D834" s="41" t="n"/>
      <c r="E834" s="42" t="n"/>
      <c r="F834" s="42" t="n"/>
      <c r="G834" s="43">
        <f>IF($B834="","",N($E834)+N($F834))</f>
        <v/>
      </c>
      <c r="H834" s="42" t="n"/>
      <c r="I834" s="43">
        <f>IF($B834="","",N($G834)-N($H834))</f>
        <v/>
      </c>
    </row>
    <row r="835">
      <c r="A835" s="39">
        <f>IF($B835="","",COUNTA($B$4:$B835))</f>
        <v/>
      </c>
      <c r="B835" s="45" t="n"/>
      <c r="C835" s="46" t="n"/>
      <c r="D835" s="46" t="n"/>
      <c r="E835" s="47" t="n"/>
      <c r="F835" s="47" t="n"/>
      <c r="G835" s="43">
        <f>IF($B835="","",N($E835)+N($F835))</f>
        <v/>
      </c>
      <c r="H835" s="47" t="n"/>
      <c r="I835" s="43">
        <f>IF($B835="","",N($G835)-N($H835))</f>
        <v/>
      </c>
    </row>
    <row r="836">
      <c r="A836" s="39">
        <f>IF($B836="","",COUNTA($B$4:$B836))</f>
        <v/>
      </c>
      <c r="B836" s="40" t="n"/>
      <c r="C836" s="41" t="n"/>
      <c r="D836" s="41" t="n"/>
      <c r="E836" s="42" t="n"/>
      <c r="F836" s="42" t="n"/>
      <c r="G836" s="43">
        <f>IF($B836="","",N($E836)+N($F836))</f>
        <v/>
      </c>
      <c r="H836" s="42" t="n"/>
      <c r="I836" s="43">
        <f>IF($B836="","",N($G836)-N($H836))</f>
        <v/>
      </c>
    </row>
    <row r="837">
      <c r="A837" s="39">
        <f>IF($B837="","",COUNTA($B$4:$B837))</f>
        <v/>
      </c>
      <c r="B837" s="45" t="n"/>
      <c r="C837" s="46" t="n"/>
      <c r="D837" s="46" t="n"/>
      <c r="E837" s="47" t="n"/>
      <c r="F837" s="47" t="n"/>
      <c r="G837" s="43">
        <f>IF($B837="","",N($E837)+N($F837))</f>
        <v/>
      </c>
      <c r="H837" s="47" t="n"/>
      <c r="I837" s="43">
        <f>IF($B837="","",N($G837)-N($H837))</f>
        <v/>
      </c>
    </row>
    <row r="838">
      <c r="A838" s="39">
        <f>IF($B838="","",COUNTA($B$4:$B838))</f>
        <v/>
      </c>
      <c r="B838" s="40" t="n"/>
      <c r="C838" s="41" t="n"/>
      <c r="D838" s="41" t="n"/>
      <c r="E838" s="42" t="n"/>
      <c r="F838" s="42" t="n"/>
      <c r="G838" s="43">
        <f>IF($B838="","",N($E838)+N($F838))</f>
        <v/>
      </c>
      <c r="H838" s="42" t="n"/>
      <c r="I838" s="43">
        <f>IF($B838="","",N($G838)-N($H838))</f>
        <v/>
      </c>
    </row>
    <row r="839">
      <c r="A839" s="39">
        <f>IF($B839="","",COUNTA($B$4:$B839))</f>
        <v/>
      </c>
      <c r="B839" s="45" t="n"/>
      <c r="C839" s="46" t="n"/>
      <c r="D839" s="46" t="n"/>
      <c r="E839" s="47" t="n"/>
      <c r="F839" s="47" t="n"/>
      <c r="G839" s="43">
        <f>IF($B839="","",N($E839)+N($F839))</f>
        <v/>
      </c>
      <c r="H839" s="47" t="n"/>
      <c r="I839" s="43">
        <f>IF($B839="","",N($G839)-N($H839))</f>
        <v/>
      </c>
    </row>
    <row r="840">
      <c r="A840" s="39">
        <f>IF($B840="","",COUNTA($B$4:$B840))</f>
        <v/>
      </c>
      <c r="B840" s="40" t="n"/>
      <c r="C840" s="41" t="n"/>
      <c r="D840" s="41" t="n"/>
      <c r="E840" s="42" t="n"/>
      <c r="F840" s="42" t="n"/>
      <c r="G840" s="43">
        <f>IF($B840="","",N($E840)+N($F840))</f>
        <v/>
      </c>
      <c r="H840" s="42" t="n"/>
      <c r="I840" s="43">
        <f>IF($B840="","",N($G840)-N($H840))</f>
        <v/>
      </c>
    </row>
    <row r="841">
      <c r="A841" s="39">
        <f>IF($B841="","",COUNTA($B$4:$B841))</f>
        <v/>
      </c>
      <c r="B841" s="45" t="n"/>
      <c r="C841" s="46" t="n"/>
      <c r="D841" s="46" t="n"/>
      <c r="E841" s="47" t="n"/>
      <c r="F841" s="47" t="n"/>
      <c r="G841" s="43">
        <f>IF($B841="","",N($E841)+N($F841))</f>
        <v/>
      </c>
      <c r="H841" s="47" t="n"/>
      <c r="I841" s="43">
        <f>IF($B841="","",N($G841)-N($H841))</f>
        <v/>
      </c>
    </row>
    <row r="842">
      <c r="A842" s="39">
        <f>IF($B842="","",COUNTA($B$4:$B842))</f>
        <v/>
      </c>
      <c r="B842" s="40" t="n"/>
      <c r="C842" s="41" t="n"/>
      <c r="D842" s="41" t="n"/>
      <c r="E842" s="42" t="n"/>
      <c r="F842" s="42" t="n"/>
      <c r="G842" s="43">
        <f>IF($B842="","",N($E842)+N($F842))</f>
        <v/>
      </c>
      <c r="H842" s="42" t="n"/>
      <c r="I842" s="43">
        <f>IF($B842="","",N($G842)-N($H842))</f>
        <v/>
      </c>
    </row>
    <row r="843">
      <c r="A843" s="39">
        <f>IF($B843="","",COUNTA($B$4:$B843))</f>
        <v/>
      </c>
      <c r="B843" s="45" t="n"/>
      <c r="C843" s="46" t="n"/>
      <c r="D843" s="46" t="n"/>
      <c r="E843" s="47" t="n"/>
      <c r="F843" s="47" t="n"/>
      <c r="G843" s="43">
        <f>IF($B843="","",N($E843)+N($F843))</f>
        <v/>
      </c>
      <c r="H843" s="47" t="n"/>
      <c r="I843" s="43">
        <f>IF($B843="","",N($G843)-N($H843))</f>
        <v/>
      </c>
    </row>
    <row r="844">
      <c r="A844" s="39">
        <f>IF($B844="","",COUNTA($B$4:$B844))</f>
        <v/>
      </c>
      <c r="B844" s="40" t="n"/>
      <c r="C844" s="41" t="n"/>
      <c r="D844" s="41" t="n"/>
      <c r="E844" s="42" t="n"/>
      <c r="F844" s="42" t="n"/>
      <c r="G844" s="43">
        <f>IF($B844="","",N($E844)+N($F844))</f>
        <v/>
      </c>
      <c r="H844" s="42" t="n"/>
      <c r="I844" s="43">
        <f>IF($B844="","",N($G844)-N($H844))</f>
        <v/>
      </c>
    </row>
    <row r="845">
      <c r="A845" s="39">
        <f>IF($B845="","",COUNTA($B$4:$B845))</f>
        <v/>
      </c>
      <c r="B845" s="45" t="n"/>
      <c r="C845" s="46" t="n"/>
      <c r="D845" s="46" t="n"/>
      <c r="E845" s="47" t="n"/>
      <c r="F845" s="47" t="n"/>
      <c r="G845" s="43">
        <f>IF($B845="","",N($E845)+N($F845))</f>
        <v/>
      </c>
      <c r="H845" s="47" t="n"/>
      <c r="I845" s="43">
        <f>IF($B845="","",N($G845)-N($H845))</f>
        <v/>
      </c>
    </row>
    <row r="846">
      <c r="A846" s="39">
        <f>IF($B846="","",COUNTA($B$4:$B846))</f>
        <v/>
      </c>
      <c r="B846" s="40" t="n"/>
      <c r="C846" s="41" t="n"/>
      <c r="D846" s="41" t="n"/>
      <c r="E846" s="42" t="n"/>
      <c r="F846" s="42" t="n"/>
      <c r="G846" s="43">
        <f>IF($B846="","",N($E846)+N($F846))</f>
        <v/>
      </c>
      <c r="H846" s="42" t="n"/>
      <c r="I846" s="43">
        <f>IF($B846="","",N($G846)-N($H846))</f>
        <v/>
      </c>
    </row>
    <row r="847">
      <c r="A847" s="39">
        <f>IF($B847="","",COUNTA($B$4:$B847))</f>
        <v/>
      </c>
      <c r="B847" s="45" t="n"/>
      <c r="C847" s="46" t="n"/>
      <c r="D847" s="46" t="n"/>
      <c r="E847" s="47" t="n"/>
      <c r="F847" s="47" t="n"/>
      <c r="G847" s="43">
        <f>IF($B847="","",N($E847)+N($F847))</f>
        <v/>
      </c>
      <c r="H847" s="47" t="n"/>
      <c r="I847" s="43">
        <f>IF($B847="","",N($G847)-N($H847))</f>
        <v/>
      </c>
    </row>
    <row r="848">
      <c r="A848" s="39">
        <f>IF($B848="","",COUNTA($B$4:$B848))</f>
        <v/>
      </c>
      <c r="B848" s="40" t="n"/>
      <c r="C848" s="41" t="n"/>
      <c r="D848" s="41" t="n"/>
      <c r="E848" s="42" t="n"/>
      <c r="F848" s="42" t="n"/>
      <c r="G848" s="43">
        <f>IF($B848="","",N($E848)+N($F848))</f>
        <v/>
      </c>
      <c r="H848" s="42" t="n"/>
      <c r="I848" s="43">
        <f>IF($B848="","",N($G848)-N($H848))</f>
        <v/>
      </c>
    </row>
    <row r="849">
      <c r="A849" s="39">
        <f>IF($B849="","",COUNTA($B$4:$B849))</f>
        <v/>
      </c>
      <c r="B849" s="45" t="n"/>
      <c r="C849" s="46" t="n"/>
      <c r="D849" s="46" t="n"/>
      <c r="E849" s="47" t="n"/>
      <c r="F849" s="47" t="n"/>
      <c r="G849" s="43">
        <f>IF($B849="","",N($E849)+N($F849))</f>
        <v/>
      </c>
      <c r="H849" s="47" t="n"/>
      <c r="I849" s="43">
        <f>IF($B849="","",N($G849)-N($H849))</f>
        <v/>
      </c>
    </row>
    <row r="850">
      <c r="A850" s="39">
        <f>IF($B850="","",COUNTA($B$4:$B850))</f>
        <v/>
      </c>
      <c r="B850" s="40" t="n"/>
      <c r="C850" s="41" t="n"/>
      <c r="D850" s="41" t="n"/>
      <c r="E850" s="42" t="n"/>
      <c r="F850" s="42" t="n"/>
      <c r="G850" s="43">
        <f>IF($B850="","",N($E850)+N($F850))</f>
        <v/>
      </c>
      <c r="H850" s="42" t="n"/>
      <c r="I850" s="43">
        <f>IF($B850="","",N($G850)-N($H850))</f>
        <v/>
      </c>
    </row>
    <row r="851">
      <c r="A851" s="39">
        <f>IF($B851="","",COUNTA($B$4:$B851))</f>
        <v/>
      </c>
      <c r="B851" s="45" t="n"/>
      <c r="C851" s="46" t="n"/>
      <c r="D851" s="46" t="n"/>
      <c r="E851" s="47" t="n"/>
      <c r="F851" s="47" t="n"/>
      <c r="G851" s="43">
        <f>IF($B851="","",N($E851)+N($F851))</f>
        <v/>
      </c>
      <c r="H851" s="47" t="n"/>
      <c r="I851" s="43">
        <f>IF($B851="","",N($G851)-N($H851))</f>
        <v/>
      </c>
    </row>
    <row r="852">
      <c r="A852" s="39">
        <f>IF($B852="","",COUNTA($B$4:$B852))</f>
        <v/>
      </c>
      <c r="B852" s="40" t="n"/>
      <c r="C852" s="41" t="n"/>
      <c r="D852" s="41" t="n"/>
      <c r="E852" s="42" t="n"/>
      <c r="F852" s="42" t="n"/>
      <c r="G852" s="43">
        <f>IF($B852="","",N($E852)+N($F852))</f>
        <v/>
      </c>
      <c r="H852" s="42" t="n"/>
      <c r="I852" s="43">
        <f>IF($B852="","",N($G852)-N($H852))</f>
        <v/>
      </c>
    </row>
    <row r="853">
      <c r="A853" s="39">
        <f>IF($B853="","",COUNTA($B$4:$B853))</f>
        <v/>
      </c>
      <c r="B853" s="45" t="n"/>
      <c r="C853" s="46" t="n"/>
      <c r="D853" s="46" t="n"/>
      <c r="E853" s="47" t="n"/>
      <c r="F853" s="47" t="n"/>
      <c r="G853" s="43">
        <f>IF($B853="","",N($E853)+N($F853))</f>
        <v/>
      </c>
      <c r="H853" s="47" t="n"/>
      <c r="I853" s="43">
        <f>IF($B853="","",N($G853)-N($H853))</f>
        <v/>
      </c>
    </row>
    <row r="854">
      <c r="A854" s="39">
        <f>IF($B854="","",COUNTA($B$4:$B854))</f>
        <v/>
      </c>
      <c r="B854" s="40" t="n"/>
      <c r="C854" s="41" t="n"/>
      <c r="D854" s="41" t="n"/>
      <c r="E854" s="42" t="n"/>
      <c r="F854" s="42" t="n"/>
      <c r="G854" s="43">
        <f>IF($B854="","",N($E854)+N($F854))</f>
        <v/>
      </c>
      <c r="H854" s="42" t="n"/>
      <c r="I854" s="43">
        <f>IF($B854="","",N($G854)-N($H854))</f>
        <v/>
      </c>
    </row>
    <row r="855">
      <c r="A855" s="39">
        <f>IF($B855="","",COUNTA($B$4:$B855))</f>
        <v/>
      </c>
      <c r="B855" s="45" t="n"/>
      <c r="C855" s="46" t="n"/>
      <c r="D855" s="46" t="n"/>
      <c r="E855" s="47" t="n"/>
      <c r="F855" s="47" t="n"/>
      <c r="G855" s="43">
        <f>IF($B855="","",N($E855)+N($F855))</f>
        <v/>
      </c>
      <c r="H855" s="47" t="n"/>
      <c r="I855" s="43">
        <f>IF($B855="","",N($G855)-N($H855))</f>
        <v/>
      </c>
    </row>
    <row r="856">
      <c r="A856" s="39">
        <f>IF($B856="","",COUNTA($B$4:$B856))</f>
        <v/>
      </c>
      <c r="B856" s="40" t="n"/>
      <c r="C856" s="41" t="n"/>
      <c r="D856" s="41" t="n"/>
      <c r="E856" s="42" t="n"/>
      <c r="F856" s="42" t="n"/>
      <c r="G856" s="43">
        <f>IF($B856="","",N($E856)+N($F856))</f>
        <v/>
      </c>
      <c r="H856" s="42" t="n"/>
      <c r="I856" s="43">
        <f>IF($B856="","",N($G856)-N($H856))</f>
        <v/>
      </c>
    </row>
    <row r="857">
      <c r="A857" s="39">
        <f>IF($B857="","",COUNTA($B$4:$B857))</f>
        <v/>
      </c>
      <c r="B857" s="45" t="n"/>
      <c r="C857" s="46" t="n"/>
      <c r="D857" s="46" t="n"/>
      <c r="E857" s="47" t="n"/>
      <c r="F857" s="47" t="n"/>
      <c r="G857" s="43">
        <f>IF($B857="","",N($E857)+N($F857))</f>
        <v/>
      </c>
      <c r="H857" s="47" t="n"/>
      <c r="I857" s="43">
        <f>IF($B857="","",N($G857)-N($H857))</f>
        <v/>
      </c>
    </row>
    <row r="858">
      <c r="A858" s="39">
        <f>IF($B858="","",COUNTA($B$4:$B858))</f>
        <v/>
      </c>
      <c r="B858" s="40" t="n"/>
      <c r="C858" s="41" t="n"/>
      <c r="D858" s="41" t="n"/>
      <c r="E858" s="42" t="n"/>
      <c r="F858" s="42" t="n"/>
      <c r="G858" s="43">
        <f>IF($B858="","",N($E858)+N($F858))</f>
        <v/>
      </c>
      <c r="H858" s="42" t="n"/>
      <c r="I858" s="43">
        <f>IF($B858="","",N($G858)-N($H858))</f>
        <v/>
      </c>
    </row>
    <row r="859">
      <c r="A859" s="39">
        <f>IF($B859="","",COUNTA($B$4:$B859))</f>
        <v/>
      </c>
      <c r="B859" s="45" t="n"/>
      <c r="C859" s="46" t="n"/>
      <c r="D859" s="46" t="n"/>
      <c r="E859" s="47" t="n"/>
      <c r="F859" s="47" t="n"/>
      <c r="G859" s="43">
        <f>IF($B859="","",N($E859)+N($F859))</f>
        <v/>
      </c>
      <c r="H859" s="47" t="n"/>
      <c r="I859" s="43">
        <f>IF($B859="","",N($G859)-N($H859))</f>
        <v/>
      </c>
    </row>
    <row r="860">
      <c r="A860" s="39">
        <f>IF($B860="","",COUNTA($B$4:$B860))</f>
        <v/>
      </c>
      <c r="B860" s="40" t="n"/>
      <c r="C860" s="41" t="n"/>
      <c r="D860" s="41" t="n"/>
      <c r="E860" s="42" t="n"/>
      <c r="F860" s="42" t="n"/>
      <c r="G860" s="43">
        <f>IF($B860="","",N($E860)+N($F860))</f>
        <v/>
      </c>
      <c r="H860" s="42" t="n"/>
      <c r="I860" s="43">
        <f>IF($B860="","",N($G860)-N($H860))</f>
        <v/>
      </c>
    </row>
    <row r="861">
      <c r="A861" s="39">
        <f>IF($B861="","",COUNTA($B$4:$B861))</f>
        <v/>
      </c>
      <c r="B861" s="45" t="n"/>
      <c r="C861" s="46" t="n"/>
      <c r="D861" s="46" t="n"/>
      <c r="E861" s="47" t="n"/>
      <c r="F861" s="47" t="n"/>
      <c r="G861" s="43">
        <f>IF($B861="","",N($E861)+N($F861))</f>
        <v/>
      </c>
      <c r="H861" s="47" t="n"/>
      <c r="I861" s="43">
        <f>IF($B861="","",N($G861)-N($H861))</f>
        <v/>
      </c>
    </row>
    <row r="862">
      <c r="A862" s="39">
        <f>IF($B862="","",COUNTA($B$4:$B862))</f>
        <v/>
      </c>
      <c r="B862" s="40" t="n"/>
      <c r="C862" s="41" t="n"/>
      <c r="D862" s="41" t="n"/>
      <c r="E862" s="42" t="n"/>
      <c r="F862" s="42" t="n"/>
      <c r="G862" s="43">
        <f>IF($B862="","",N($E862)+N($F862))</f>
        <v/>
      </c>
      <c r="H862" s="42" t="n"/>
      <c r="I862" s="43">
        <f>IF($B862="","",N($G862)-N($H862))</f>
        <v/>
      </c>
    </row>
    <row r="863">
      <c r="A863" s="39">
        <f>IF($B863="","",COUNTA($B$4:$B863))</f>
        <v/>
      </c>
      <c r="B863" s="45" t="n"/>
      <c r="C863" s="46" t="n"/>
      <c r="D863" s="46" t="n"/>
      <c r="E863" s="47" t="n"/>
      <c r="F863" s="47" t="n"/>
      <c r="G863" s="43">
        <f>IF($B863="","",N($E863)+N($F863))</f>
        <v/>
      </c>
      <c r="H863" s="47" t="n"/>
      <c r="I863" s="43">
        <f>IF($B863="","",N($G863)-N($H863))</f>
        <v/>
      </c>
    </row>
    <row r="864">
      <c r="A864" s="39">
        <f>IF($B864="","",COUNTA($B$4:$B864))</f>
        <v/>
      </c>
      <c r="B864" s="40" t="n"/>
      <c r="C864" s="41" t="n"/>
      <c r="D864" s="41" t="n"/>
      <c r="E864" s="42" t="n"/>
      <c r="F864" s="42" t="n"/>
      <c r="G864" s="43">
        <f>IF($B864="","",N($E864)+N($F864))</f>
        <v/>
      </c>
      <c r="H864" s="42" t="n"/>
      <c r="I864" s="43">
        <f>IF($B864="","",N($G864)-N($H864))</f>
        <v/>
      </c>
    </row>
    <row r="865">
      <c r="A865" s="39">
        <f>IF($B865="","",COUNTA($B$4:$B865))</f>
        <v/>
      </c>
      <c r="B865" s="45" t="n"/>
      <c r="C865" s="46" t="n"/>
      <c r="D865" s="46" t="n"/>
      <c r="E865" s="47" t="n"/>
      <c r="F865" s="47" t="n"/>
      <c r="G865" s="43">
        <f>IF($B865="","",N($E865)+N($F865))</f>
        <v/>
      </c>
      <c r="H865" s="47" t="n"/>
      <c r="I865" s="43">
        <f>IF($B865="","",N($G865)-N($H865))</f>
        <v/>
      </c>
    </row>
    <row r="866">
      <c r="A866" s="39">
        <f>IF($B866="","",COUNTA($B$4:$B866))</f>
        <v/>
      </c>
      <c r="B866" s="40" t="n"/>
      <c r="C866" s="41" t="n"/>
      <c r="D866" s="41" t="n"/>
      <c r="E866" s="42" t="n"/>
      <c r="F866" s="42" t="n"/>
      <c r="G866" s="43">
        <f>IF($B866="","",N($E866)+N($F866))</f>
        <v/>
      </c>
      <c r="H866" s="42" t="n"/>
      <c r="I866" s="43">
        <f>IF($B866="","",N($G866)-N($H866))</f>
        <v/>
      </c>
    </row>
    <row r="867">
      <c r="A867" s="39">
        <f>IF($B867="","",COUNTA($B$4:$B867))</f>
        <v/>
      </c>
      <c r="B867" s="45" t="n"/>
      <c r="C867" s="46" t="n"/>
      <c r="D867" s="46" t="n"/>
      <c r="E867" s="47" t="n"/>
      <c r="F867" s="47" t="n"/>
      <c r="G867" s="43">
        <f>IF($B867="","",N($E867)+N($F867))</f>
        <v/>
      </c>
      <c r="H867" s="47" t="n"/>
      <c r="I867" s="43">
        <f>IF($B867="","",N($G867)-N($H867))</f>
        <v/>
      </c>
    </row>
    <row r="868">
      <c r="A868" s="39">
        <f>IF($B868="","",COUNTA($B$4:$B868))</f>
        <v/>
      </c>
      <c r="B868" s="40" t="n"/>
      <c r="C868" s="41" t="n"/>
      <c r="D868" s="41" t="n"/>
      <c r="E868" s="42" t="n"/>
      <c r="F868" s="42" t="n"/>
      <c r="G868" s="43">
        <f>IF($B868="","",N($E868)+N($F868))</f>
        <v/>
      </c>
      <c r="H868" s="42" t="n"/>
      <c r="I868" s="43">
        <f>IF($B868="","",N($G868)-N($H868))</f>
        <v/>
      </c>
    </row>
    <row r="869">
      <c r="A869" s="39">
        <f>IF($B869="","",COUNTA($B$4:$B869))</f>
        <v/>
      </c>
      <c r="B869" s="45" t="n"/>
      <c r="C869" s="46" t="n"/>
      <c r="D869" s="46" t="n"/>
      <c r="E869" s="47" t="n"/>
      <c r="F869" s="47" t="n"/>
      <c r="G869" s="43">
        <f>IF($B869="","",N($E869)+N($F869))</f>
        <v/>
      </c>
      <c r="H869" s="47" t="n"/>
      <c r="I869" s="43">
        <f>IF($B869="","",N($G869)-N($H869))</f>
        <v/>
      </c>
    </row>
    <row r="870">
      <c r="A870" s="39">
        <f>IF($B870="","",COUNTA($B$4:$B870))</f>
        <v/>
      </c>
      <c r="B870" s="40" t="n"/>
      <c r="C870" s="41" t="n"/>
      <c r="D870" s="41" t="n"/>
      <c r="E870" s="42" t="n"/>
      <c r="F870" s="42" t="n"/>
      <c r="G870" s="43">
        <f>IF($B870="","",N($E870)+N($F870))</f>
        <v/>
      </c>
      <c r="H870" s="42" t="n"/>
      <c r="I870" s="43">
        <f>IF($B870="","",N($G870)-N($H870))</f>
        <v/>
      </c>
    </row>
    <row r="871">
      <c r="A871" s="39">
        <f>IF($B871="","",COUNTA($B$4:$B871))</f>
        <v/>
      </c>
      <c r="B871" s="45" t="n"/>
      <c r="C871" s="46" t="n"/>
      <c r="D871" s="46" t="n"/>
      <c r="E871" s="47" t="n"/>
      <c r="F871" s="47" t="n"/>
      <c r="G871" s="43">
        <f>IF($B871="","",N($E871)+N($F871))</f>
        <v/>
      </c>
      <c r="H871" s="47" t="n"/>
      <c r="I871" s="43">
        <f>IF($B871="","",N($G871)-N($H871))</f>
        <v/>
      </c>
    </row>
    <row r="872">
      <c r="A872" s="39">
        <f>IF($B872="","",COUNTA($B$4:$B872))</f>
        <v/>
      </c>
      <c r="B872" s="40" t="n"/>
      <c r="C872" s="41" t="n"/>
      <c r="D872" s="41" t="n"/>
      <c r="E872" s="42" t="n"/>
      <c r="F872" s="42" t="n"/>
      <c r="G872" s="43">
        <f>IF($B872="","",N($E872)+N($F872))</f>
        <v/>
      </c>
      <c r="H872" s="42" t="n"/>
      <c r="I872" s="43">
        <f>IF($B872="","",N($G872)-N($H872))</f>
        <v/>
      </c>
    </row>
    <row r="873">
      <c r="A873" s="39">
        <f>IF($B873="","",COUNTA($B$4:$B873))</f>
        <v/>
      </c>
      <c r="B873" s="45" t="n"/>
      <c r="C873" s="46" t="n"/>
      <c r="D873" s="46" t="n"/>
      <c r="E873" s="47" t="n"/>
      <c r="F873" s="47" t="n"/>
      <c r="G873" s="43">
        <f>IF($B873="","",N($E873)+N($F873))</f>
        <v/>
      </c>
      <c r="H873" s="47" t="n"/>
      <c r="I873" s="43">
        <f>IF($B873="","",N($G873)-N($H873))</f>
        <v/>
      </c>
    </row>
    <row r="874">
      <c r="A874" s="39">
        <f>IF($B874="","",COUNTA($B$4:$B874))</f>
        <v/>
      </c>
      <c r="B874" s="40" t="n"/>
      <c r="C874" s="41" t="n"/>
      <c r="D874" s="41" t="n"/>
      <c r="E874" s="42" t="n"/>
      <c r="F874" s="42" t="n"/>
      <c r="G874" s="43">
        <f>IF($B874="","",N($E874)+N($F874))</f>
        <v/>
      </c>
      <c r="H874" s="42" t="n"/>
      <c r="I874" s="43">
        <f>IF($B874="","",N($G874)-N($H874))</f>
        <v/>
      </c>
    </row>
    <row r="875">
      <c r="A875" s="39">
        <f>IF($B875="","",COUNTA($B$4:$B875))</f>
        <v/>
      </c>
      <c r="B875" s="45" t="n"/>
      <c r="C875" s="46" t="n"/>
      <c r="D875" s="46" t="n"/>
      <c r="E875" s="47" t="n"/>
      <c r="F875" s="47" t="n"/>
      <c r="G875" s="43">
        <f>IF($B875="","",N($E875)+N($F875))</f>
        <v/>
      </c>
      <c r="H875" s="47" t="n"/>
      <c r="I875" s="43">
        <f>IF($B875="","",N($G875)-N($H875))</f>
        <v/>
      </c>
    </row>
    <row r="876">
      <c r="A876" s="39">
        <f>IF($B876="","",COUNTA($B$4:$B876))</f>
        <v/>
      </c>
      <c r="B876" s="40" t="n"/>
      <c r="C876" s="41" t="n"/>
      <c r="D876" s="41" t="n"/>
      <c r="E876" s="42" t="n"/>
      <c r="F876" s="42" t="n"/>
      <c r="G876" s="43">
        <f>IF($B876="","",N($E876)+N($F876))</f>
        <v/>
      </c>
      <c r="H876" s="42" t="n"/>
      <c r="I876" s="43">
        <f>IF($B876="","",N($G876)-N($H876))</f>
        <v/>
      </c>
    </row>
    <row r="877">
      <c r="A877" s="39">
        <f>IF($B877="","",COUNTA($B$4:$B877))</f>
        <v/>
      </c>
      <c r="B877" s="45" t="n"/>
      <c r="C877" s="46" t="n"/>
      <c r="D877" s="46" t="n"/>
      <c r="E877" s="47" t="n"/>
      <c r="F877" s="47" t="n"/>
      <c r="G877" s="43">
        <f>IF($B877="","",N($E877)+N($F877))</f>
        <v/>
      </c>
      <c r="H877" s="47" t="n"/>
      <c r="I877" s="43">
        <f>IF($B877="","",N($G877)-N($H877))</f>
        <v/>
      </c>
    </row>
    <row r="878">
      <c r="A878" s="39">
        <f>IF($B878="","",COUNTA($B$4:$B878))</f>
        <v/>
      </c>
      <c r="B878" s="40" t="n"/>
      <c r="C878" s="41" t="n"/>
      <c r="D878" s="41" t="n"/>
      <c r="E878" s="42" t="n"/>
      <c r="F878" s="42" t="n"/>
      <c r="G878" s="43">
        <f>IF($B878="","",N($E878)+N($F878))</f>
        <v/>
      </c>
      <c r="H878" s="42" t="n"/>
      <c r="I878" s="43">
        <f>IF($B878="","",N($G878)-N($H878))</f>
        <v/>
      </c>
    </row>
    <row r="879">
      <c r="A879" s="39">
        <f>IF($B879="","",COUNTA($B$4:$B879))</f>
        <v/>
      </c>
      <c r="B879" s="45" t="n"/>
      <c r="C879" s="46" t="n"/>
      <c r="D879" s="46" t="n"/>
      <c r="E879" s="47" t="n"/>
      <c r="F879" s="47" t="n"/>
      <c r="G879" s="43">
        <f>IF($B879="","",N($E879)+N($F879))</f>
        <v/>
      </c>
      <c r="H879" s="47" t="n"/>
      <c r="I879" s="43">
        <f>IF($B879="","",N($G879)-N($H879))</f>
        <v/>
      </c>
    </row>
    <row r="880">
      <c r="A880" s="39">
        <f>IF($B880="","",COUNTA($B$4:$B880))</f>
        <v/>
      </c>
      <c r="B880" s="40" t="n"/>
      <c r="C880" s="41" t="n"/>
      <c r="D880" s="41" t="n"/>
      <c r="E880" s="42" t="n"/>
      <c r="F880" s="42" t="n"/>
      <c r="G880" s="43">
        <f>IF($B880="","",N($E880)+N($F880))</f>
        <v/>
      </c>
      <c r="H880" s="42" t="n"/>
      <c r="I880" s="43">
        <f>IF($B880="","",N($G880)-N($H880))</f>
        <v/>
      </c>
    </row>
    <row r="881">
      <c r="A881" s="39">
        <f>IF($B881="","",COUNTA($B$4:$B881))</f>
        <v/>
      </c>
      <c r="B881" s="45" t="n"/>
      <c r="C881" s="46" t="n"/>
      <c r="D881" s="46" t="n"/>
      <c r="E881" s="47" t="n"/>
      <c r="F881" s="47" t="n"/>
      <c r="G881" s="43">
        <f>IF($B881="","",N($E881)+N($F881))</f>
        <v/>
      </c>
      <c r="H881" s="47" t="n"/>
      <c r="I881" s="43">
        <f>IF($B881="","",N($G881)-N($H881))</f>
        <v/>
      </c>
    </row>
    <row r="882">
      <c r="A882" s="39">
        <f>IF($B882="","",COUNTA($B$4:$B882))</f>
        <v/>
      </c>
      <c r="B882" s="40" t="n"/>
      <c r="C882" s="41" t="n"/>
      <c r="D882" s="41" t="n"/>
      <c r="E882" s="42" t="n"/>
      <c r="F882" s="42" t="n"/>
      <c r="G882" s="43">
        <f>IF($B882="","",N($E882)+N($F882))</f>
        <v/>
      </c>
      <c r="H882" s="42" t="n"/>
      <c r="I882" s="43">
        <f>IF($B882="","",N($G882)-N($H882))</f>
        <v/>
      </c>
    </row>
    <row r="883">
      <c r="A883" s="39">
        <f>IF($B883="","",COUNTA($B$4:$B883))</f>
        <v/>
      </c>
      <c r="B883" s="45" t="n"/>
      <c r="C883" s="46" t="n"/>
      <c r="D883" s="46" t="n"/>
      <c r="E883" s="47" t="n"/>
      <c r="F883" s="47" t="n"/>
      <c r="G883" s="43">
        <f>IF($B883="","",N($E883)+N($F883))</f>
        <v/>
      </c>
      <c r="H883" s="47" t="n"/>
      <c r="I883" s="43">
        <f>IF($B883="","",N($G883)-N($H883))</f>
        <v/>
      </c>
    </row>
    <row r="884">
      <c r="A884" s="39">
        <f>IF($B884="","",COUNTA($B$4:$B884))</f>
        <v/>
      </c>
      <c r="B884" s="40" t="n"/>
      <c r="C884" s="41" t="n"/>
      <c r="D884" s="41" t="n"/>
      <c r="E884" s="42" t="n"/>
      <c r="F884" s="42" t="n"/>
      <c r="G884" s="43">
        <f>IF($B884="","",N($E884)+N($F884))</f>
        <v/>
      </c>
      <c r="H884" s="42" t="n"/>
      <c r="I884" s="43">
        <f>IF($B884="","",N($G884)-N($H884))</f>
        <v/>
      </c>
    </row>
    <row r="885">
      <c r="A885" s="39">
        <f>IF($B885="","",COUNTA($B$4:$B885))</f>
        <v/>
      </c>
      <c r="B885" s="45" t="n"/>
      <c r="C885" s="46" t="n"/>
      <c r="D885" s="46" t="n"/>
      <c r="E885" s="47" t="n"/>
      <c r="F885" s="47" t="n"/>
      <c r="G885" s="43">
        <f>IF($B885="","",N($E885)+N($F885))</f>
        <v/>
      </c>
      <c r="H885" s="47" t="n"/>
      <c r="I885" s="43">
        <f>IF($B885="","",N($G885)-N($H885))</f>
        <v/>
      </c>
    </row>
    <row r="886">
      <c r="A886" s="39">
        <f>IF($B886="","",COUNTA($B$4:$B886))</f>
        <v/>
      </c>
      <c r="B886" s="40" t="n"/>
      <c r="C886" s="41" t="n"/>
      <c r="D886" s="41" t="n"/>
      <c r="E886" s="42" t="n"/>
      <c r="F886" s="42" t="n"/>
      <c r="G886" s="43">
        <f>IF($B886="","",N($E886)+N($F886))</f>
        <v/>
      </c>
      <c r="H886" s="42" t="n"/>
      <c r="I886" s="43">
        <f>IF($B886="","",N($G886)-N($H886))</f>
        <v/>
      </c>
    </row>
    <row r="887">
      <c r="A887" s="39">
        <f>IF($B887="","",COUNTA($B$4:$B887))</f>
        <v/>
      </c>
      <c r="B887" s="45" t="n"/>
      <c r="C887" s="46" t="n"/>
      <c r="D887" s="46" t="n"/>
      <c r="E887" s="47" t="n"/>
      <c r="F887" s="47" t="n"/>
      <c r="G887" s="43">
        <f>IF($B887="","",N($E887)+N($F887))</f>
        <v/>
      </c>
      <c r="H887" s="47" t="n"/>
      <c r="I887" s="43">
        <f>IF($B887="","",N($G887)-N($H887))</f>
        <v/>
      </c>
    </row>
    <row r="888">
      <c r="A888" s="39">
        <f>IF($B888="","",COUNTA($B$4:$B888))</f>
        <v/>
      </c>
      <c r="B888" s="40" t="n"/>
      <c r="C888" s="41" t="n"/>
      <c r="D888" s="41" t="n"/>
      <c r="E888" s="42" t="n"/>
      <c r="F888" s="42" t="n"/>
      <c r="G888" s="43">
        <f>IF($B888="","",N($E888)+N($F888))</f>
        <v/>
      </c>
      <c r="H888" s="42" t="n"/>
      <c r="I888" s="43">
        <f>IF($B888="","",N($G888)-N($H888))</f>
        <v/>
      </c>
    </row>
    <row r="889">
      <c r="A889" s="39">
        <f>IF($B889="","",COUNTA($B$4:$B889))</f>
        <v/>
      </c>
      <c r="B889" s="45" t="n"/>
      <c r="C889" s="46" t="n"/>
      <c r="D889" s="46" t="n"/>
      <c r="E889" s="47" t="n"/>
      <c r="F889" s="47" t="n"/>
      <c r="G889" s="43">
        <f>IF($B889="","",N($E889)+N($F889))</f>
        <v/>
      </c>
      <c r="H889" s="47" t="n"/>
      <c r="I889" s="43">
        <f>IF($B889="","",N($G889)-N($H889))</f>
        <v/>
      </c>
    </row>
    <row r="890">
      <c r="A890" s="39">
        <f>IF($B890="","",COUNTA($B$4:$B890))</f>
        <v/>
      </c>
      <c r="B890" s="40" t="n"/>
      <c r="C890" s="41" t="n"/>
      <c r="D890" s="41" t="n"/>
      <c r="E890" s="42" t="n"/>
      <c r="F890" s="42" t="n"/>
      <c r="G890" s="43">
        <f>IF($B890="","",N($E890)+N($F890))</f>
        <v/>
      </c>
      <c r="H890" s="42" t="n"/>
      <c r="I890" s="43">
        <f>IF($B890="","",N($G890)-N($H890))</f>
        <v/>
      </c>
    </row>
    <row r="891">
      <c r="A891" s="39">
        <f>IF($B891="","",COUNTA($B$4:$B891))</f>
        <v/>
      </c>
      <c r="B891" s="45" t="n"/>
      <c r="C891" s="46" t="n"/>
      <c r="D891" s="46" t="n"/>
      <c r="E891" s="47" t="n"/>
      <c r="F891" s="47" t="n"/>
      <c r="G891" s="43">
        <f>IF($B891="","",N($E891)+N($F891))</f>
        <v/>
      </c>
      <c r="H891" s="47" t="n"/>
      <c r="I891" s="43">
        <f>IF($B891="","",N($G891)-N($H891))</f>
        <v/>
      </c>
    </row>
    <row r="892">
      <c r="A892" s="39">
        <f>IF($B892="","",COUNTA($B$4:$B892))</f>
        <v/>
      </c>
      <c r="B892" s="40" t="n"/>
      <c r="C892" s="41" t="n"/>
      <c r="D892" s="41" t="n"/>
      <c r="E892" s="42" t="n"/>
      <c r="F892" s="42" t="n"/>
      <c r="G892" s="43">
        <f>IF($B892="","",N($E892)+N($F892))</f>
        <v/>
      </c>
      <c r="H892" s="42" t="n"/>
      <c r="I892" s="43">
        <f>IF($B892="","",N($G892)-N($H892))</f>
        <v/>
      </c>
    </row>
    <row r="893">
      <c r="A893" s="39">
        <f>IF($B893="","",COUNTA($B$4:$B893))</f>
        <v/>
      </c>
      <c r="B893" s="45" t="n"/>
      <c r="C893" s="46" t="n"/>
      <c r="D893" s="46" t="n"/>
      <c r="E893" s="47" t="n"/>
      <c r="F893" s="47" t="n"/>
      <c r="G893" s="43">
        <f>IF($B893="","",N($E893)+N($F893))</f>
        <v/>
      </c>
      <c r="H893" s="47" t="n"/>
      <c r="I893" s="43">
        <f>IF($B893="","",N($G893)-N($H893))</f>
        <v/>
      </c>
    </row>
    <row r="894">
      <c r="A894" s="39">
        <f>IF($B894="","",COUNTA($B$4:$B894))</f>
        <v/>
      </c>
      <c r="B894" s="40" t="n"/>
      <c r="C894" s="41" t="n"/>
      <c r="D894" s="41" t="n"/>
      <c r="E894" s="42" t="n"/>
      <c r="F894" s="42" t="n"/>
      <c r="G894" s="43">
        <f>IF($B894="","",N($E894)+N($F894))</f>
        <v/>
      </c>
      <c r="H894" s="42" t="n"/>
      <c r="I894" s="43">
        <f>IF($B894="","",N($G894)-N($H894))</f>
        <v/>
      </c>
    </row>
    <row r="895">
      <c r="A895" s="39">
        <f>IF($B895="","",COUNTA($B$4:$B895))</f>
        <v/>
      </c>
      <c r="B895" s="45" t="n"/>
      <c r="C895" s="46" t="n"/>
      <c r="D895" s="46" t="n"/>
      <c r="E895" s="47" t="n"/>
      <c r="F895" s="47" t="n"/>
      <c r="G895" s="43">
        <f>IF($B895="","",N($E895)+N($F895))</f>
        <v/>
      </c>
      <c r="H895" s="47" t="n"/>
      <c r="I895" s="43">
        <f>IF($B895="","",N($G895)-N($H895))</f>
        <v/>
      </c>
    </row>
    <row r="896">
      <c r="A896" s="39">
        <f>IF($B896="","",COUNTA($B$4:$B896))</f>
        <v/>
      </c>
      <c r="B896" s="40" t="n"/>
      <c r="C896" s="41" t="n"/>
      <c r="D896" s="41" t="n"/>
      <c r="E896" s="42" t="n"/>
      <c r="F896" s="42" t="n"/>
      <c r="G896" s="43">
        <f>IF($B896="","",N($E896)+N($F896))</f>
        <v/>
      </c>
      <c r="H896" s="42" t="n"/>
      <c r="I896" s="43">
        <f>IF($B896="","",N($G896)-N($H896))</f>
        <v/>
      </c>
    </row>
    <row r="897">
      <c r="A897" s="39">
        <f>IF($B897="","",COUNTA($B$4:$B897))</f>
        <v/>
      </c>
      <c r="B897" s="45" t="n"/>
      <c r="C897" s="46" t="n"/>
      <c r="D897" s="46" t="n"/>
      <c r="E897" s="47" t="n"/>
      <c r="F897" s="47" t="n"/>
      <c r="G897" s="43">
        <f>IF($B897="","",N($E897)+N($F897))</f>
        <v/>
      </c>
      <c r="H897" s="47" t="n"/>
      <c r="I897" s="43">
        <f>IF($B897="","",N($G897)-N($H897))</f>
        <v/>
      </c>
    </row>
    <row r="898">
      <c r="A898" s="39">
        <f>IF($B898="","",COUNTA($B$4:$B898))</f>
        <v/>
      </c>
      <c r="B898" s="40" t="n"/>
      <c r="C898" s="41" t="n"/>
      <c r="D898" s="41" t="n"/>
      <c r="E898" s="42" t="n"/>
      <c r="F898" s="42" t="n"/>
      <c r="G898" s="43">
        <f>IF($B898="","",N($E898)+N($F898))</f>
        <v/>
      </c>
      <c r="H898" s="42" t="n"/>
      <c r="I898" s="43">
        <f>IF($B898="","",N($G898)-N($H898))</f>
        <v/>
      </c>
    </row>
    <row r="899">
      <c r="A899" s="39">
        <f>IF($B899="","",COUNTA($B$4:$B899))</f>
        <v/>
      </c>
      <c r="B899" s="45" t="n"/>
      <c r="C899" s="46" t="n"/>
      <c r="D899" s="46" t="n"/>
      <c r="E899" s="47" t="n"/>
      <c r="F899" s="47" t="n"/>
      <c r="G899" s="43">
        <f>IF($B899="","",N($E899)+N($F899))</f>
        <v/>
      </c>
      <c r="H899" s="47" t="n"/>
      <c r="I899" s="43">
        <f>IF($B899="","",N($G899)-N($H899))</f>
        <v/>
      </c>
    </row>
    <row r="900">
      <c r="A900" s="39">
        <f>IF($B900="","",COUNTA($B$4:$B900))</f>
        <v/>
      </c>
      <c r="B900" s="40" t="n"/>
      <c r="C900" s="41" t="n"/>
      <c r="D900" s="41" t="n"/>
      <c r="E900" s="42" t="n"/>
      <c r="F900" s="42" t="n"/>
      <c r="G900" s="43">
        <f>IF($B900="","",N($E900)+N($F900))</f>
        <v/>
      </c>
      <c r="H900" s="42" t="n"/>
      <c r="I900" s="43">
        <f>IF($B900="","",N($G900)-N($H900))</f>
        <v/>
      </c>
    </row>
    <row r="901">
      <c r="A901" s="39">
        <f>IF($B901="","",COUNTA($B$4:$B901))</f>
        <v/>
      </c>
      <c r="B901" s="45" t="n"/>
      <c r="C901" s="46" t="n"/>
      <c r="D901" s="46" t="n"/>
      <c r="E901" s="47" t="n"/>
      <c r="F901" s="47" t="n"/>
      <c r="G901" s="43">
        <f>IF($B901="","",N($E901)+N($F901))</f>
        <v/>
      </c>
      <c r="H901" s="47" t="n"/>
      <c r="I901" s="43">
        <f>IF($B901="","",N($G901)-N($H901))</f>
        <v/>
      </c>
    </row>
    <row r="902">
      <c r="A902" s="39">
        <f>IF($B902="","",COUNTA($B$4:$B902))</f>
        <v/>
      </c>
      <c r="B902" s="40" t="n"/>
      <c r="C902" s="41" t="n"/>
      <c r="D902" s="41" t="n"/>
      <c r="E902" s="42" t="n"/>
      <c r="F902" s="42" t="n"/>
      <c r="G902" s="43">
        <f>IF($B902="","",N($E902)+N($F902))</f>
        <v/>
      </c>
      <c r="H902" s="42" t="n"/>
      <c r="I902" s="43">
        <f>IF($B902="","",N($G902)-N($H902))</f>
        <v/>
      </c>
    </row>
    <row r="903">
      <c r="A903" s="39">
        <f>IF($B903="","",COUNTA($B$4:$B903))</f>
        <v/>
      </c>
      <c r="B903" s="45" t="n"/>
      <c r="C903" s="46" t="n"/>
      <c r="D903" s="46" t="n"/>
      <c r="E903" s="47" t="n"/>
      <c r="F903" s="47" t="n"/>
      <c r="G903" s="43">
        <f>IF($B903="","",N($E903)+N($F903))</f>
        <v/>
      </c>
      <c r="H903" s="47" t="n"/>
      <c r="I903" s="43">
        <f>IF($B903="","",N($G903)-N($H903))</f>
        <v/>
      </c>
    </row>
    <row r="904">
      <c r="A904" s="39">
        <f>IF($B904="","",COUNTA($B$4:$B904))</f>
        <v/>
      </c>
      <c r="B904" s="40" t="n"/>
      <c r="C904" s="41" t="n"/>
      <c r="D904" s="41" t="n"/>
      <c r="E904" s="42" t="n"/>
      <c r="F904" s="42" t="n"/>
      <c r="G904" s="43">
        <f>IF($B904="","",N($E904)+N($F904))</f>
        <v/>
      </c>
      <c r="H904" s="42" t="n"/>
      <c r="I904" s="43">
        <f>IF($B904="","",N($G904)-N($H904))</f>
        <v/>
      </c>
    </row>
    <row r="905">
      <c r="A905" s="39">
        <f>IF($B905="","",COUNTA($B$4:$B905))</f>
        <v/>
      </c>
      <c r="B905" s="45" t="n"/>
      <c r="C905" s="46" t="n"/>
      <c r="D905" s="46" t="n"/>
      <c r="E905" s="47" t="n"/>
      <c r="F905" s="47" t="n"/>
      <c r="G905" s="43">
        <f>IF($B905="","",N($E905)+N($F905))</f>
        <v/>
      </c>
      <c r="H905" s="47" t="n"/>
      <c r="I905" s="43">
        <f>IF($B905="","",N($G905)-N($H905))</f>
        <v/>
      </c>
    </row>
    <row r="906">
      <c r="A906" s="39">
        <f>IF($B906="","",COUNTA($B$4:$B906))</f>
        <v/>
      </c>
      <c r="B906" s="40" t="n"/>
      <c r="C906" s="41" t="n"/>
      <c r="D906" s="41" t="n"/>
      <c r="E906" s="42" t="n"/>
      <c r="F906" s="42" t="n"/>
      <c r="G906" s="43">
        <f>IF($B906="","",N($E906)+N($F906))</f>
        <v/>
      </c>
      <c r="H906" s="42" t="n"/>
      <c r="I906" s="43">
        <f>IF($B906="","",N($G906)-N($H906))</f>
        <v/>
      </c>
    </row>
    <row r="907">
      <c r="A907" s="39">
        <f>IF($B907="","",COUNTA($B$4:$B907))</f>
        <v/>
      </c>
      <c r="B907" s="45" t="n"/>
      <c r="C907" s="46" t="n"/>
      <c r="D907" s="46" t="n"/>
      <c r="E907" s="47" t="n"/>
      <c r="F907" s="47" t="n"/>
      <c r="G907" s="43">
        <f>IF($B907="","",N($E907)+N($F907))</f>
        <v/>
      </c>
      <c r="H907" s="47" t="n"/>
      <c r="I907" s="43">
        <f>IF($B907="","",N($G907)-N($H907))</f>
        <v/>
      </c>
    </row>
    <row r="908">
      <c r="A908" s="39">
        <f>IF($B908="","",COUNTA($B$4:$B908))</f>
        <v/>
      </c>
      <c r="B908" s="40" t="n"/>
      <c r="C908" s="41" t="n"/>
      <c r="D908" s="41" t="n"/>
      <c r="E908" s="42" t="n"/>
      <c r="F908" s="42" t="n"/>
      <c r="G908" s="43">
        <f>IF($B908="","",N($E908)+N($F908))</f>
        <v/>
      </c>
      <c r="H908" s="42" t="n"/>
      <c r="I908" s="43">
        <f>IF($B908="","",N($G908)-N($H908))</f>
        <v/>
      </c>
    </row>
    <row r="909">
      <c r="A909" s="39">
        <f>IF($B909="","",COUNTA($B$4:$B909))</f>
        <v/>
      </c>
      <c r="B909" s="45" t="n"/>
      <c r="C909" s="46" t="n"/>
      <c r="D909" s="46" t="n"/>
      <c r="E909" s="47" t="n"/>
      <c r="F909" s="47" t="n"/>
      <c r="G909" s="43">
        <f>IF($B909="","",N($E909)+N($F909))</f>
        <v/>
      </c>
      <c r="H909" s="47" t="n"/>
      <c r="I909" s="43">
        <f>IF($B909="","",N($G909)-N($H909))</f>
        <v/>
      </c>
    </row>
    <row r="910">
      <c r="A910" s="39">
        <f>IF($B910="","",COUNTA($B$4:$B910))</f>
        <v/>
      </c>
      <c r="B910" s="40" t="n"/>
      <c r="C910" s="41" t="n"/>
      <c r="D910" s="41" t="n"/>
      <c r="E910" s="42" t="n"/>
      <c r="F910" s="42" t="n"/>
      <c r="G910" s="43">
        <f>IF($B910="","",N($E910)+N($F910))</f>
        <v/>
      </c>
      <c r="H910" s="42" t="n"/>
      <c r="I910" s="43">
        <f>IF($B910="","",N($G910)-N($H910))</f>
        <v/>
      </c>
    </row>
    <row r="911">
      <c r="A911" s="39">
        <f>IF($B911="","",COUNTA($B$4:$B911))</f>
        <v/>
      </c>
      <c r="B911" s="45" t="n"/>
      <c r="C911" s="46" t="n"/>
      <c r="D911" s="46" t="n"/>
      <c r="E911" s="47" t="n"/>
      <c r="F911" s="47" t="n"/>
      <c r="G911" s="43">
        <f>IF($B911="","",N($E911)+N($F911))</f>
        <v/>
      </c>
      <c r="H911" s="47" t="n"/>
      <c r="I911" s="43">
        <f>IF($B911="","",N($G911)-N($H911))</f>
        <v/>
      </c>
    </row>
    <row r="912">
      <c r="A912" s="39">
        <f>IF($B912="","",COUNTA($B$4:$B912))</f>
        <v/>
      </c>
      <c r="B912" s="40" t="n"/>
      <c r="C912" s="41" t="n"/>
      <c r="D912" s="41" t="n"/>
      <c r="E912" s="42" t="n"/>
      <c r="F912" s="42" t="n"/>
      <c r="G912" s="43">
        <f>IF($B912="","",N($E912)+N($F912))</f>
        <v/>
      </c>
      <c r="H912" s="42" t="n"/>
      <c r="I912" s="43">
        <f>IF($B912="","",N($G912)-N($H912))</f>
        <v/>
      </c>
    </row>
    <row r="913">
      <c r="A913" s="39">
        <f>IF($B913="","",COUNTA($B$4:$B913))</f>
        <v/>
      </c>
      <c r="B913" s="45" t="n"/>
      <c r="C913" s="46" t="n"/>
      <c r="D913" s="46" t="n"/>
      <c r="E913" s="47" t="n"/>
      <c r="F913" s="47" t="n"/>
      <c r="G913" s="43">
        <f>IF($B913="","",N($E913)+N($F913))</f>
        <v/>
      </c>
      <c r="H913" s="47" t="n"/>
      <c r="I913" s="43">
        <f>IF($B913="","",N($G913)-N($H913))</f>
        <v/>
      </c>
    </row>
    <row r="914">
      <c r="A914" s="39">
        <f>IF($B914="","",COUNTA($B$4:$B914))</f>
        <v/>
      </c>
      <c r="B914" s="40" t="n"/>
      <c r="C914" s="41" t="n"/>
      <c r="D914" s="41" t="n"/>
      <c r="E914" s="42" t="n"/>
      <c r="F914" s="42" t="n"/>
      <c r="G914" s="43">
        <f>IF($B914="","",N($E914)+N($F914))</f>
        <v/>
      </c>
      <c r="H914" s="42" t="n"/>
      <c r="I914" s="43">
        <f>IF($B914="","",N($G914)-N($H914))</f>
        <v/>
      </c>
    </row>
    <row r="915">
      <c r="A915" s="39">
        <f>IF($B915="","",COUNTA($B$4:$B915))</f>
        <v/>
      </c>
      <c r="B915" s="45" t="n"/>
      <c r="C915" s="46" t="n"/>
      <c r="D915" s="46" t="n"/>
      <c r="E915" s="47" t="n"/>
      <c r="F915" s="47" t="n"/>
      <c r="G915" s="43">
        <f>IF($B915="","",N($E915)+N($F915))</f>
        <v/>
      </c>
      <c r="H915" s="47" t="n"/>
      <c r="I915" s="43">
        <f>IF($B915="","",N($G915)-N($H915))</f>
        <v/>
      </c>
    </row>
    <row r="916">
      <c r="A916" s="39">
        <f>IF($B916="","",COUNTA($B$4:$B916))</f>
        <v/>
      </c>
      <c r="B916" s="40" t="n"/>
      <c r="C916" s="41" t="n"/>
      <c r="D916" s="41" t="n"/>
      <c r="E916" s="42" t="n"/>
      <c r="F916" s="42" t="n"/>
      <c r="G916" s="43">
        <f>IF($B916="","",N($E916)+N($F916))</f>
        <v/>
      </c>
      <c r="H916" s="42" t="n"/>
      <c r="I916" s="43">
        <f>IF($B916="","",N($G916)-N($H916))</f>
        <v/>
      </c>
    </row>
    <row r="917">
      <c r="A917" s="39">
        <f>IF($B917="","",COUNTA($B$4:$B917))</f>
        <v/>
      </c>
      <c r="B917" s="45" t="n"/>
      <c r="C917" s="46" t="n"/>
      <c r="D917" s="46" t="n"/>
      <c r="E917" s="47" t="n"/>
      <c r="F917" s="47" t="n"/>
      <c r="G917" s="43">
        <f>IF($B917="","",N($E917)+N($F917))</f>
        <v/>
      </c>
      <c r="H917" s="47" t="n"/>
      <c r="I917" s="43">
        <f>IF($B917="","",N($G917)-N($H917))</f>
        <v/>
      </c>
    </row>
    <row r="918">
      <c r="A918" s="39">
        <f>IF($B918="","",COUNTA($B$4:$B918))</f>
        <v/>
      </c>
      <c r="B918" s="40" t="n"/>
      <c r="C918" s="41" t="n"/>
      <c r="D918" s="41" t="n"/>
      <c r="E918" s="42" t="n"/>
      <c r="F918" s="42" t="n"/>
      <c r="G918" s="43">
        <f>IF($B918="","",N($E918)+N($F918))</f>
        <v/>
      </c>
      <c r="H918" s="42" t="n"/>
      <c r="I918" s="43">
        <f>IF($B918="","",N($G918)-N($H918))</f>
        <v/>
      </c>
    </row>
    <row r="919">
      <c r="A919" s="39">
        <f>IF($B919="","",COUNTA($B$4:$B919))</f>
        <v/>
      </c>
      <c r="B919" s="45" t="n"/>
      <c r="C919" s="46" t="n"/>
      <c r="D919" s="46" t="n"/>
      <c r="E919" s="47" t="n"/>
      <c r="F919" s="47" t="n"/>
      <c r="G919" s="43">
        <f>IF($B919="","",N($E919)+N($F919))</f>
        <v/>
      </c>
      <c r="H919" s="47" t="n"/>
      <c r="I919" s="43">
        <f>IF($B919="","",N($G919)-N($H919))</f>
        <v/>
      </c>
    </row>
    <row r="920">
      <c r="A920" s="39">
        <f>IF($B920="","",COUNTA($B$4:$B920))</f>
        <v/>
      </c>
      <c r="B920" s="40" t="n"/>
      <c r="C920" s="41" t="n"/>
      <c r="D920" s="41" t="n"/>
      <c r="E920" s="42" t="n"/>
      <c r="F920" s="42" t="n"/>
      <c r="G920" s="43">
        <f>IF($B920="","",N($E920)+N($F920))</f>
        <v/>
      </c>
      <c r="H920" s="42" t="n"/>
      <c r="I920" s="43">
        <f>IF($B920="","",N($G920)-N($H920))</f>
        <v/>
      </c>
    </row>
    <row r="921">
      <c r="A921" s="39">
        <f>IF($B921="","",COUNTA($B$4:$B921))</f>
        <v/>
      </c>
      <c r="B921" s="45" t="n"/>
      <c r="C921" s="46" t="n"/>
      <c r="D921" s="46" t="n"/>
      <c r="E921" s="47" t="n"/>
      <c r="F921" s="47" t="n"/>
      <c r="G921" s="43">
        <f>IF($B921="","",N($E921)+N($F921))</f>
        <v/>
      </c>
      <c r="H921" s="47" t="n"/>
      <c r="I921" s="43">
        <f>IF($B921="","",N($G921)-N($H921))</f>
        <v/>
      </c>
    </row>
    <row r="922">
      <c r="A922" s="39">
        <f>IF($B922="","",COUNTA($B$4:$B922))</f>
        <v/>
      </c>
      <c r="B922" s="40" t="n"/>
      <c r="C922" s="41" t="n"/>
      <c r="D922" s="41" t="n"/>
      <c r="E922" s="42" t="n"/>
      <c r="F922" s="42" t="n"/>
      <c r="G922" s="43">
        <f>IF($B922="","",N($E922)+N($F922))</f>
        <v/>
      </c>
      <c r="H922" s="42" t="n"/>
      <c r="I922" s="43">
        <f>IF($B922="","",N($G922)-N($H922))</f>
        <v/>
      </c>
    </row>
    <row r="923">
      <c r="A923" s="39">
        <f>IF($B923="","",COUNTA($B$4:$B923))</f>
        <v/>
      </c>
      <c r="B923" s="45" t="n"/>
      <c r="C923" s="46" t="n"/>
      <c r="D923" s="46" t="n"/>
      <c r="E923" s="47" t="n"/>
      <c r="F923" s="47" t="n"/>
      <c r="G923" s="43">
        <f>IF($B923="","",N($E923)+N($F923))</f>
        <v/>
      </c>
      <c r="H923" s="47" t="n"/>
      <c r="I923" s="43">
        <f>IF($B923="","",N($G923)-N($H923))</f>
        <v/>
      </c>
    </row>
    <row r="924">
      <c r="A924" s="39">
        <f>IF($B924="","",COUNTA($B$4:$B924))</f>
        <v/>
      </c>
      <c r="B924" s="40" t="n"/>
      <c r="C924" s="41" t="n"/>
      <c r="D924" s="41" t="n"/>
      <c r="E924" s="42" t="n"/>
      <c r="F924" s="42" t="n"/>
      <c r="G924" s="43">
        <f>IF($B924="","",N($E924)+N($F924))</f>
        <v/>
      </c>
      <c r="H924" s="42" t="n"/>
      <c r="I924" s="43">
        <f>IF($B924="","",N($G924)-N($H924))</f>
        <v/>
      </c>
    </row>
    <row r="925">
      <c r="A925" s="39">
        <f>IF($B925="","",COUNTA($B$4:$B925))</f>
        <v/>
      </c>
      <c r="B925" s="45" t="n"/>
      <c r="C925" s="46" t="n"/>
      <c r="D925" s="46" t="n"/>
      <c r="E925" s="47" t="n"/>
      <c r="F925" s="47" t="n"/>
      <c r="G925" s="43">
        <f>IF($B925="","",N($E925)+N($F925))</f>
        <v/>
      </c>
      <c r="H925" s="47" t="n"/>
      <c r="I925" s="43">
        <f>IF($B925="","",N($G925)-N($H925))</f>
        <v/>
      </c>
    </row>
    <row r="926">
      <c r="A926" s="39">
        <f>IF($B926="","",COUNTA($B$4:$B926))</f>
        <v/>
      </c>
      <c r="B926" s="40" t="n"/>
      <c r="C926" s="41" t="n"/>
      <c r="D926" s="41" t="n"/>
      <c r="E926" s="42" t="n"/>
      <c r="F926" s="42" t="n"/>
      <c r="G926" s="43">
        <f>IF($B926="","",N($E926)+N($F926))</f>
        <v/>
      </c>
      <c r="H926" s="42" t="n"/>
      <c r="I926" s="43">
        <f>IF($B926="","",N($G926)-N($H926))</f>
        <v/>
      </c>
    </row>
    <row r="927">
      <c r="A927" s="39">
        <f>IF($B927="","",COUNTA($B$4:$B927))</f>
        <v/>
      </c>
      <c r="B927" s="45" t="n"/>
      <c r="C927" s="46" t="n"/>
      <c r="D927" s="46" t="n"/>
      <c r="E927" s="47" t="n"/>
      <c r="F927" s="47" t="n"/>
      <c r="G927" s="43">
        <f>IF($B927="","",N($E927)+N($F927))</f>
        <v/>
      </c>
      <c r="H927" s="47" t="n"/>
      <c r="I927" s="43">
        <f>IF($B927="","",N($G927)-N($H927))</f>
        <v/>
      </c>
    </row>
    <row r="928">
      <c r="A928" s="39">
        <f>IF($B928="","",COUNTA($B$4:$B928))</f>
        <v/>
      </c>
      <c r="B928" s="40" t="n"/>
      <c r="C928" s="41" t="n"/>
      <c r="D928" s="41" t="n"/>
      <c r="E928" s="42" t="n"/>
      <c r="F928" s="42" t="n"/>
      <c r="G928" s="43">
        <f>IF($B928="","",N($E928)+N($F928))</f>
        <v/>
      </c>
      <c r="H928" s="42" t="n"/>
      <c r="I928" s="43">
        <f>IF($B928="","",N($G928)-N($H928))</f>
        <v/>
      </c>
    </row>
    <row r="929">
      <c r="A929" s="39">
        <f>IF($B929="","",COUNTA($B$4:$B929))</f>
        <v/>
      </c>
      <c r="B929" s="45" t="n"/>
      <c r="C929" s="46" t="n"/>
      <c r="D929" s="46" t="n"/>
      <c r="E929" s="47" t="n"/>
      <c r="F929" s="47" t="n"/>
      <c r="G929" s="43">
        <f>IF($B929="","",N($E929)+N($F929))</f>
        <v/>
      </c>
      <c r="H929" s="47" t="n"/>
      <c r="I929" s="43">
        <f>IF($B929="","",N($G929)-N($H929))</f>
        <v/>
      </c>
    </row>
    <row r="930">
      <c r="A930" s="39">
        <f>IF($B930="","",COUNTA($B$4:$B930))</f>
        <v/>
      </c>
      <c r="B930" s="40" t="n"/>
      <c r="C930" s="41" t="n"/>
      <c r="D930" s="41" t="n"/>
      <c r="E930" s="42" t="n"/>
      <c r="F930" s="42" t="n"/>
      <c r="G930" s="43">
        <f>IF($B930="","",N($E930)+N($F930))</f>
        <v/>
      </c>
      <c r="H930" s="42" t="n"/>
      <c r="I930" s="43">
        <f>IF($B930="","",N($G930)-N($H930))</f>
        <v/>
      </c>
    </row>
    <row r="931">
      <c r="A931" s="39">
        <f>IF($B931="","",COUNTA($B$4:$B931))</f>
        <v/>
      </c>
      <c r="B931" s="45" t="n"/>
      <c r="C931" s="46" t="n"/>
      <c r="D931" s="46" t="n"/>
      <c r="E931" s="47" t="n"/>
      <c r="F931" s="47" t="n"/>
      <c r="G931" s="43">
        <f>IF($B931="","",N($E931)+N($F931))</f>
        <v/>
      </c>
      <c r="H931" s="47" t="n"/>
      <c r="I931" s="43">
        <f>IF($B931="","",N($G931)-N($H931))</f>
        <v/>
      </c>
    </row>
    <row r="932">
      <c r="A932" s="39">
        <f>IF($B932="","",COUNTA($B$4:$B932))</f>
        <v/>
      </c>
      <c r="B932" s="40" t="n"/>
      <c r="C932" s="41" t="n"/>
      <c r="D932" s="41" t="n"/>
      <c r="E932" s="42" t="n"/>
      <c r="F932" s="42" t="n"/>
      <c r="G932" s="43">
        <f>IF($B932="","",N($E932)+N($F932))</f>
        <v/>
      </c>
      <c r="H932" s="42" t="n"/>
      <c r="I932" s="43">
        <f>IF($B932="","",N($G932)-N($H932))</f>
        <v/>
      </c>
    </row>
    <row r="933">
      <c r="A933" s="39">
        <f>IF($B933="","",COUNTA($B$4:$B933))</f>
        <v/>
      </c>
      <c r="B933" s="45" t="n"/>
      <c r="C933" s="46" t="n"/>
      <c r="D933" s="46" t="n"/>
      <c r="E933" s="47" t="n"/>
      <c r="F933" s="47" t="n"/>
      <c r="G933" s="43">
        <f>IF($B933="","",N($E933)+N($F933))</f>
        <v/>
      </c>
      <c r="H933" s="47" t="n"/>
      <c r="I933" s="43">
        <f>IF($B933="","",N($G933)-N($H933))</f>
        <v/>
      </c>
    </row>
    <row r="934">
      <c r="A934" s="39">
        <f>IF($B934="","",COUNTA($B$4:$B934))</f>
        <v/>
      </c>
      <c r="B934" s="40" t="n"/>
      <c r="C934" s="41" t="n"/>
      <c r="D934" s="41" t="n"/>
      <c r="E934" s="42" t="n"/>
      <c r="F934" s="42" t="n"/>
      <c r="G934" s="43">
        <f>IF($B934="","",N($E934)+N($F934))</f>
        <v/>
      </c>
      <c r="H934" s="42" t="n"/>
      <c r="I934" s="43">
        <f>IF($B934="","",N($G934)-N($H934))</f>
        <v/>
      </c>
    </row>
    <row r="935">
      <c r="A935" s="39">
        <f>IF($B935="","",COUNTA($B$4:$B935))</f>
        <v/>
      </c>
      <c r="B935" s="45" t="n"/>
      <c r="C935" s="46" t="n"/>
      <c r="D935" s="46" t="n"/>
      <c r="E935" s="47" t="n"/>
      <c r="F935" s="47" t="n"/>
      <c r="G935" s="43">
        <f>IF($B935="","",N($E935)+N($F935))</f>
        <v/>
      </c>
      <c r="H935" s="47" t="n"/>
      <c r="I935" s="43">
        <f>IF($B935="","",N($G935)-N($H935))</f>
        <v/>
      </c>
    </row>
    <row r="936">
      <c r="A936" s="39">
        <f>IF($B936="","",COUNTA($B$4:$B936))</f>
        <v/>
      </c>
      <c r="B936" s="40" t="n"/>
      <c r="C936" s="41" t="n"/>
      <c r="D936" s="41" t="n"/>
      <c r="E936" s="42" t="n"/>
      <c r="F936" s="42" t="n"/>
      <c r="G936" s="43">
        <f>IF($B936="","",N($E936)+N($F936))</f>
        <v/>
      </c>
      <c r="H936" s="42" t="n"/>
      <c r="I936" s="43">
        <f>IF($B936="","",N($G936)-N($H936))</f>
        <v/>
      </c>
    </row>
    <row r="937">
      <c r="A937" s="39">
        <f>IF($B937="","",COUNTA($B$4:$B937))</f>
        <v/>
      </c>
      <c r="B937" s="45" t="n"/>
      <c r="C937" s="46" t="n"/>
      <c r="D937" s="46" t="n"/>
      <c r="E937" s="47" t="n"/>
      <c r="F937" s="47" t="n"/>
      <c r="G937" s="43">
        <f>IF($B937="","",N($E937)+N($F937))</f>
        <v/>
      </c>
      <c r="H937" s="47" t="n"/>
      <c r="I937" s="43">
        <f>IF($B937="","",N($G937)-N($H937))</f>
        <v/>
      </c>
    </row>
    <row r="938">
      <c r="A938" s="39">
        <f>IF($B938="","",COUNTA($B$4:$B938))</f>
        <v/>
      </c>
      <c r="B938" s="40" t="n"/>
      <c r="C938" s="41" t="n"/>
      <c r="D938" s="41" t="n"/>
      <c r="E938" s="42" t="n"/>
      <c r="F938" s="42" t="n"/>
      <c r="G938" s="43">
        <f>IF($B938="","",N($E938)+N($F938))</f>
        <v/>
      </c>
      <c r="H938" s="42" t="n"/>
      <c r="I938" s="43">
        <f>IF($B938="","",N($G938)-N($H938))</f>
        <v/>
      </c>
    </row>
    <row r="939">
      <c r="A939" s="39">
        <f>IF($B939="","",COUNTA($B$4:$B939))</f>
        <v/>
      </c>
      <c r="B939" s="45" t="n"/>
      <c r="C939" s="46" t="n"/>
      <c r="D939" s="46" t="n"/>
      <c r="E939" s="47" t="n"/>
      <c r="F939" s="47" t="n"/>
      <c r="G939" s="43">
        <f>IF($B939="","",N($E939)+N($F939))</f>
        <v/>
      </c>
      <c r="H939" s="47" t="n"/>
      <c r="I939" s="43">
        <f>IF($B939="","",N($G939)-N($H939))</f>
        <v/>
      </c>
    </row>
    <row r="940">
      <c r="A940" s="39">
        <f>IF($B940="","",COUNTA($B$4:$B940))</f>
        <v/>
      </c>
      <c r="B940" s="40" t="n"/>
      <c r="C940" s="41" t="n"/>
      <c r="D940" s="41" t="n"/>
      <c r="E940" s="42" t="n"/>
      <c r="F940" s="42" t="n"/>
      <c r="G940" s="43">
        <f>IF($B940="","",N($E940)+N($F940))</f>
        <v/>
      </c>
      <c r="H940" s="42" t="n"/>
      <c r="I940" s="43">
        <f>IF($B940="","",N($G940)-N($H940))</f>
        <v/>
      </c>
    </row>
    <row r="941">
      <c r="A941" s="39">
        <f>IF($B941="","",COUNTA($B$4:$B941))</f>
        <v/>
      </c>
      <c r="B941" s="45" t="n"/>
      <c r="C941" s="46" t="n"/>
      <c r="D941" s="46" t="n"/>
      <c r="E941" s="47" t="n"/>
      <c r="F941" s="47" t="n"/>
      <c r="G941" s="43">
        <f>IF($B941="","",N($E941)+N($F941))</f>
        <v/>
      </c>
      <c r="H941" s="47" t="n"/>
      <c r="I941" s="43">
        <f>IF($B941="","",N($G941)-N($H941))</f>
        <v/>
      </c>
    </row>
    <row r="942">
      <c r="A942" s="39">
        <f>IF($B942="","",COUNTA($B$4:$B942))</f>
        <v/>
      </c>
      <c r="B942" s="40" t="n"/>
      <c r="C942" s="41" t="n"/>
      <c r="D942" s="41" t="n"/>
      <c r="E942" s="42" t="n"/>
      <c r="F942" s="42" t="n"/>
      <c r="G942" s="43">
        <f>IF($B942="","",N($E942)+N($F942))</f>
        <v/>
      </c>
      <c r="H942" s="42" t="n"/>
      <c r="I942" s="43">
        <f>IF($B942="","",N($G942)-N($H942))</f>
        <v/>
      </c>
    </row>
    <row r="943">
      <c r="A943" s="39">
        <f>IF($B943="","",COUNTA($B$4:$B943))</f>
        <v/>
      </c>
      <c r="B943" s="45" t="n"/>
      <c r="C943" s="46" t="n"/>
      <c r="D943" s="46" t="n"/>
      <c r="E943" s="47" t="n"/>
      <c r="F943" s="47" t="n"/>
      <c r="G943" s="43">
        <f>IF($B943="","",N($E943)+N($F943))</f>
        <v/>
      </c>
      <c r="H943" s="47" t="n"/>
      <c r="I943" s="43">
        <f>IF($B943="","",N($G943)-N($H943))</f>
        <v/>
      </c>
    </row>
    <row r="944">
      <c r="A944" s="39">
        <f>IF($B944="","",COUNTA($B$4:$B944))</f>
        <v/>
      </c>
      <c r="B944" s="40" t="n"/>
      <c r="C944" s="41" t="n"/>
      <c r="D944" s="41" t="n"/>
      <c r="E944" s="42" t="n"/>
      <c r="F944" s="42" t="n"/>
      <c r="G944" s="43">
        <f>IF($B944="","",N($E944)+N($F944))</f>
        <v/>
      </c>
      <c r="H944" s="42" t="n"/>
      <c r="I944" s="43">
        <f>IF($B944="","",N($G944)-N($H944))</f>
        <v/>
      </c>
    </row>
    <row r="945">
      <c r="A945" s="39">
        <f>IF($B945="","",COUNTA($B$4:$B945))</f>
        <v/>
      </c>
      <c r="B945" s="45" t="n"/>
      <c r="C945" s="46" t="n"/>
      <c r="D945" s="46" t="n"/>
      <c r="E945" s="47" t="n"/>
      <c r="F945" s="47" t="n"/>
      <c r="G945" s="43">
        <f>IF($B945="","",N($E945)+N($F945))</f>
        <v/>
      </c>
      <c r="H945" s="47" t="n"/>
      <c r="I945" s="43">
        <f>IF($B945="","",N($G945)-N($H945))</f>
        <v/>
      </c>
    </row>
    <row r="946">
      <c r="A946" s="39">
        <f>IF($B946="","",COUNTA($B$4:$B946))</f>
        <v/>
      </c>
      <c r="B946" s="40" t="n"/>
      <c r="C946" s="41" t="n"/>
      <c r="D946" s="41" t="n"/>
      <c r="E946" s="42" t="n"/>
      <c r="F946" s="42" t="n"/>
      <c r="G946" s="43">
        <f>IF($B946="","",N($E946)+N($F946))</f>
        <v/>
      </c>
      <c r="H946" s="42" t="n"/>
      <c r="I946" s="43">
        <f>IF($B946="","",N($G946)-N($H946))</f>
        <v/>
      </c>
    </row>
    <row r="947">
      <c r="A947" s="39">
        <f>IF($B947="","",COUNTA($B$4:$B947))</f>
        <v/>
      </c>
      <c r="B947" s="45" t="n"/>
      <c r="C947" s="46" t="n"/>
      <c r="D947" s="46" t="n"/>
      <c r="E947" s="47" t="n"/>
      <c r="F947" s="47" t="n"/>
      <c r="G947" s="43">
        <f>IF($B947="","",N($E947)+N($F947))</f>
        <v/>
      </c>
      <c r="H947" s="47" t="n"/>
      <c r="I947" s="43">
        <f>IF($B947="","",N($G947)-N($H947))</f>
        <v/>
      </c>
    </row>
    <row r="948">
      <c r="A948" s="39">
        <f>IF($B948="","",COUNTA($B$4:$B948))</f>
        <v/>
      </c>
      <c r="B948" s="40" t="n"/>
      <c r="C948" s="41" t="n"/>
      <c r="D948" s="41" t="n"/>
      <c r="E948" s="42" t="n"/>
      <c r="F948" s="42" t="n"/>
      <c r="G948" s="43">
        <f>IF($B948="","",N($E948)+N($F948))</f>
        <v/>
      </c>
      <c r="H948" s="42" t="n"/>
      <c r="I948" s="43">
        <f>IF($B948="","",N($G948)-N($H948))</f>
        <v/>
      </c>
    </row>
    <row r="949">
      <c r="A949" s="39">
        <f>IF($B949="","",COUNTA($B$4:$B949))</f>
        <v/>
      </c>
      <c r="B949" s="45" t="n"/>
      <c r="C949" s="46" t="n"/>
      <c r="D949" s="46" t="n"/>
      <c r="E949" s="47" t="n"/>
      <c r="F949" s="47" t="n"/>
      <c r="G949" s="43">
        <f>IF($B949="","",N($E949)+N($F949))</f>
        <v/>
      </c>
      <c r="H949" s="47" t="n"/>
      <c r="I949" s="43">
        <f>IF($B949="","",N($G949)-N($H949))</f>
        <v/>
      </c>
    </row>
    <row r="950">
      <c r="A950" s="39">
        <f>IF($B950="","",COUNTA($B$4:$B950))</f>
        <v/>
      </c>
      <c r="B950" s="40" t="n"/>
      <c r="C950" s="41" t="n"/>
      <c r="D950" s="41" t="n"/>
      <c r="E950" s="42" t="n"/>
      <c r="F950" s="42" t="n"/>
      <c r="G950" s="43">
        <f>IF($B950="","",N($E950)+N($F950))</f>
        <v/>
      </c>
      <c r="H950" s="42" t="n"/>
      <c r="I950" s="43">
        <f>IF($B950="","",N($G950)-N($H950))</f>
        <v/>
      </c>
    </row>
    <row r="951">
      <c r="A951" s="39">
        <f>IF($B951="","",COUNTA($B$4:$B951))</f>
        <v/>
      </c>
      <c r="B951" s="45" t="n"/>
      <c r="C951" s="46" t="n"/>
      <c r="D951" s="46" t="n"/>
      <c r="E951" s="47" t="n"/>
      <c r="F951" s="47" t="n"/>
      <c r="G951" s="43">
        <f>IF($B951="","",N($E951)+N($F951))</f>
        <v/>
      </c>
      <c r="H951" s="47" t="n"/>
      <c r="I951" s="43">
        <f>IF($B951="","",N($G951)-N($H951))</f>
        <v/>
      </c>
    </row>
    <row r="952">
      <c r="A952" s="39">
        <f>IF($B952="","",COUNTA($B$4:$B952))</f>
        <v/>
      </c>
      <c r="B952" s="40" t="n"/>
      <c r="C952" s="41" t="n"/>
      <c r="D952" s="41" t="n"/>
      <c r="E952" s="42" t="n"/>
      <c r="F952" s="42" t="n"/>
      <c r="G952" s="43">
        <f>IF($B952="","",N($E952)+N($F952))</f>
        <v/>
      </c>
      <c r="H952" s="42" t="n"/>
      <c r="I952" s="43">
        <f>IF($B952="","",N($G952)-N($H952))</f>
        <v/>
      </c>
    </row>
    <row r="953">
      <c r="A953" s="39">
        <f>IF($B953="","",COUNTA($B$4:$B953))</f>
        <v/>
      </c>
      <c r="B953" s="45" t="n"/>
      <c r="C953" s="46" t="n"/>
      <c r="D953" s="46" t="n"/>
      <c r="E953" s="47" t="n"/>
      <c r="F953" s="47" t="n"/>
      <c r="G953" s="43">
        <f>IF($B953="","",N($E953)+N($F953))</f>
        <v/>
      </c>
      <c r="H953" s="47" t="n"/>
      <c r="I953" s="43">
        <f>IF($B953="","",N($G953)-N($H953))</f>
        <v/>
      </c>
    </row>
    <row r="954">
      <c r="A954" s="39">
        <f>IF($B954="","",COUNTA($B$4:$B954))</f>
        <v/>
      </c>
      <c r="B954" s="40" t="n"/>
      <c r="C954" s="41" t="n"/>
      <c r="D954" s="41" t="n"/>
      <c r="E954" s="42" t="n"/>
      <c r="F954" s="42" t="n"/>
      <c r="G954" s="43">
        <f>IF($B954="","",N($E954)+N($F954))</f>
        <v/>
      </c>
      <c r="H954" s="42" t="n"/>
      <c r="I954" s="43">
        <f>IF($B954="","",N($G954)-N($H954))</f>
        <v/>
      </c>
    </row>
    <row r="955">
      <c r="A955" s="39">
        <f>IF($B955="","",COUNTA($B$4:$B955))</f>
        <v/>
      </c>
      <c r="B955" s="45" t="n"/>
      <c r="C955" s="46" t="n"/>
      <c r="D955" s="46" t="n"/>
      <c r="E955" s="47" t="n"/>
      <c r="F955" s="47" t="n"/>
      <c r="G955" s="43">
        <f>IF($B955="","",N($E955)+N($F955))</f>
        <v/>
      </c>
      <c r="H955" s="47" t="n"/>
      <c r="I955" s="43">
        <f>IF($B955="","",N($G955)-N($H955))</f>
        <v/>
      </c>
    </row>
    <row r="956">
      <c r="A956" s="39">
        <f>IF($B956="","",COUNTA($B$4:$B956))</f>
        <v/>
      </c>
      <c r="B956" s="40" t="n"/>
      <c r="C956" s="41" t="n"/>
      <c r="D956" s="41" t="n"/>
      <c r="E956" s="42" t="n"/>
      <c r="F956" s="42" t="n"/>
      <c r="G956" s="43">
        <f>IF($B956="","",N($E956)+N($F956))</f>
        <v/>
      </c>
      <c r="H956" s="42" t="n"/>
      <c r="I956" s="43">
        <f>IF($B956="","",N($G956)-N($H956))</f>
        <v/>
      </c>
    </row>
    <row r="957">
      <c r="A957" s="39">
        <f>IF($B957="","",COUNTA($B$4:$B957))</f>
        <v/>
      </c>
      <c r="B957" s="45" t="n"/>
      <c r="C957" s="46" t="n"/>
      <c r="D957" s="46" t="n"/>
      <c r="E957" s="47" t="n"/>
      <c r="F957" s="47" t="n"/>
      <c r="G957" s="43">
        <f>IF($B957="","",N($E957)+N($F957))</f>
        <v/>
      </c>
      <c r="H957" s="47" t="n"/>
      <c r="I957" s="43">
        <f>IF($B957="","",N($G957)-N($H957))</f>
        <v/>
      </c>
    </row>
    <row r="958">
      <c r="A958" s="39">
        <f>IF($B958="","",COUNTA($B$4:$B958))</f>
        <v/>
      </c>
      <c r="B958" s="40" t="n"/>
      <c r="C958" s="41" t="n"/>
      <c r="D958" s="41" t="n"/>
      <c r="E958" s="42" t="n"/>
      <c r="F958" s="42" t="n"/>
      <c r="G958" s="43">
        <f>IF($B958="","",N($E958)+N($F958))</f>
        <v/>
      </c>
      <c r="H958" s="42" t="n"/>
      <c r="I958" s="43">
        <f>IF($B958="","",N($G958)-N($H958))</f>
        <v/>
      </c>
    </row>
    <row r="959">
      <c r="A959" s="39">
        <f>IF($B959="","",COUNTA($B$4:$B959))</f>
        <v/>
      </c>
      <c r="B959" s="45" t="n"/>
      <c r="C959" s="46" t="n"/>
      <c r="D959" s="46" t="n"/>
      <c r="E959" s="47" t="n"/>
      <c r="F959" s="47" t="n"/>
      <c r="G959" s="43">
        <f>IF($B959="","",N($E959)+N($F959))</f>
        <v/>
      </c>
      <c r="H959" s="47" t="n"/>
      <c r="I959" s="43">
        <f>IF($B959="","",N($G959)-N($H959))</f>
        <v/>
      </c>
    </row>
    <row r="960">
      <c r="A960" s="39">
        <f>IF($B960="","",COUNTA($B$4:$B960))</f>
        <v/>
      </c>
      <c r="B960" s="40" t="n"/>
      <c r="C960" s="41" t="n"/>
      <c r="D960" s="41" t="n"/>
      <c r="E960" s="42" t="n"/>
      <c r="F960" s="42" t="n"/>
      <c r="G960" s="43">
        <f>IF($B960="","",N($E960)+N($F960))</f>
        <v/>
      </c>
      <c r="H960" s="42" t="n"/>
      <c r="I960" s="43">
        <f>IF($B960="","",N($G960)-N($H960))</f>
        <v/>
      </c>
    </row>
    <row r="961">
      <c r="A961" s="39">
        <f>IF($B961="","",COUNTA($B$4:$B961))</f>
        <v/>
      </c>
      <c r="B961" s="45" t="n"/>
      <c r="C961" s="46" t="n"/>
      <c r="D961" s="46" t="n"/>
      <c r="E961" s="47" t="n"/>
      <c r="F961" s="47" t="n"/>
      <c r="G961" s="43">
        <f>IF($B961="","",N($E961)+N($F961))</f>
        <v/>
      </c>
      <c r="H961" s="47" t="n"/>
      <c r="I961" s="43">
        <f>IF($B961="","",N($G961)-N($H961))</f>
        <v/>
      </c>
    </row>
    <row r="962">
      <c r="A962" s="39">
        <f>IF($B962="","",COUNTA($B$4:$B962))</f>
        <v/>
      </c>
      <c r="B962" s="40" t="n"/>
      <c r="C962" s="41" t="n"/>
      <c r="D962" s="41" t="n"/>
      <c r="E962" s="42" t="n"/>
      <c r="F962" s="42" t="n"/>
      <c r="G962" s="43">
        <f>IF($B962="","",N($E962)+N($F962))</f>
        <v/>
      </c>
      <c r="H962" s="42" t="n"/>
      <c r="I962" s="43">
        <f>IF($B962="","",N($G962)-N($H962))</f>
        <v/>
      </c>
    </row>
    <row r="963">
      <c r="A963" s="39">
        <f>IF($B963="","",COUNTA($B$4:$B963))</f>
        <v/>
      </c>
      <c r="B963" s="45" t="n"/>
      <c r="C963" s="46" t="n"/>
      <c r="D963" s="46" t="n"/>
      <c r="E963" s="47" t="n"/>
      <c r="F963" s="47" t="n"/>
      <c r="G963" s="43">
        <f>IF($B963="","",N($E963)+N($F963))</f>
        <v/>
      </c>
      <c r="H963" s="47" t="n"/>
      <c r="I963" s="43">
        <f>IF($B963="","",N($G963)-N($H963))</f>
        <v/>
      </c>
    </row>
    <row r="964">
      <c r="A964" s="39">
        <f>IF($B964="","",COUNTA($B$4:$B964))</f>
        <v/>
      </c>
      <c r="B964" s="40" t="n"/>
      <c r="C964" s="41" t="n"/>
      <c r="D964" s="41" t="n"/>
      <c r="E964" s="42" t="n"/>
      <c r="F964" s="42" t="n"/>
      <c r="G964" s="43">
        <f>IF($B964="","",N($E964)+N($F964))</f>
        <v/>
      </c>
      <c r="H964" s="42" t="n"/>
      <c r="I964" s="43">
        <f>IF($B964="","",N($G964)-N($H964))</f>
        <v/>
      </c>
    </row>
    <row r="965">
      <c r="A965" s="39">
        <f>IF($B965="","",COUNTA($B$4:$B965))</f>
        <v/>
      </c>
      <c r="B965" s="45" t="n"/>
      <c r="C965" s="46" t="n"/>
      <c r="D965" s="46" t="n"/>
      <c r="E965" s="47" t="n"/>
      <c r="F965" s="47" t="n"/>
      <c r="G965" s="43">
        <f>IF($B965="","",N($E965)+N($F965))</f>
        <v/>
      </c>
      <c r="H965" s="47" t="n"/>
      <c r="I965" s="43">
        <f>IF($B965="","",N($G965)-N($H965))</f>
        <v/>
      </c>
    </row>
    <row r="966">
      <c r="A966" s="39">
        <f>IF($B966="","",COUNTA($B$4:$B966))</f>
        <v/>
      </c>
      <c r="B966" s="40" t="n"/>
      <c r="C966" s="41" t="n"/>
      <c r="D966" s="41" t="n"/>
      <c r="E966" s="42" t="n"/>
      <c r="F966" s="42" t="n"/>
      <c r="G966" s="43">
        <f>IF($B966="","",N($E966)+N($F966))</f>
        <v/>
      </c>
      <c r="H966" s="42" t="n"/>
      <c r="I966" s="43">
        <f>IF($B966="","",N($G966)-N($H966))</f>
        <v/>
      </c>
    </row>
    <row r="967">
      <c r="A967" s="39">
        <f>IF($B967="","",COUNTA($B$4:$B967))</f>
        <v/>
      </c>
      <c r="B967" s="45" t="n"/>
      <c r="C967" s="46" t="n"/>
      <c r="D967" s="46" t="n"/>
      <c r="E967" s="47" t="n"/>
      <c r="F967" s="47" t="n"/>
      <c r="G967" s="43">
        <f>IF($B967="","",N($E967)+N($F967))</f>
        <v/>
      </c>
      <c r="H967" s="47" t="n"/>
      <c r="I967" s="43">
        <f>IF($B967="","",N($G967)-N($H967))</f>
        <v/>
      </c>
    </row>
    <row r="968">
      <c r="A968" s="39">
        <f>IF($B968="","",COUNTA($B$4:$B968))</f>
        <v/>
      </c>
      <c r="B968" s="40" t="n"/>
      <c r="C968" s="41" t="n"/>
      <c r="D968" s="41" t="n"/>
      <c r="E968" s="42" t="n"/>
      <c r="F968" s="42" t="n"/>
      <c r="G968" s="43">
        <f>IF($B968="","",N($E968)+N($F968))</f>
        <v/>
      </c>
      <c r="H968" s="42" t="n"/>
      <c r="I968" s="43">
        <f>IF($B968="","",N($G968)-N($H968))</f>
        <v/>
      </c>
    </row>
    <row r="969">
      <c r="A969" s="39">
        <f>IF($B969="","",COUNTA($B$4:$B969))</f>
        <v/>
      </c>
      <c r="B969" s="45" t="n"/>
      <c r="C969" s="46" t="n"/>
      <c r="D969" s="46" t="n"/>
      <c r="E969" s="47" t="n"/>
      <c r="F969" s="47" t="n"/>
      <c r="G969" s="43">
        <f>IF($B969="","",N($E969)+N($F969))</f>
        <v/>
      </c>
      <c r="H969" s="47" t="n"/>
      <c r="I969" s="43">
        <f>IF($B969="","",N($G969)-N($H969))</f>
        <v/>
      </c>
    </row>
    <row r="970">
      <c r="A970" s="39">
        <f>IF($B970="","",COUNTA($B$4:$B970))</f>
        <v/>
      </c>
      <c r="B970" s="40" t="n"/>
      <c r="C970" s="41" t="n"/>
      <c r="D970" s="41" t="n"/>
      <c r="E970" s="42" t="n"/>
      <c r="F970" s="42" t="n"/>
      <c r="G970" s="43">
        <f>IF($B970="","",N($E970)+N($F970))</f>
        <v/>
      </c>
      <c r="H970" s="42" t="n"/>
      <c r="I970" s="43">
        <f>IF($B970="","",N($G970)-N($H970))</f>
        <v/>
      </c>
    </row>
    <row r="971">
      <c r="A971" s="39">
        <f>IF($B971="","",COUNTA($B$4:$B971))</f>
        <v/>
      </c>
      <c r="B971" s="45" t="n"/>
      <c r="C971" s="46" t="n"/>
      <c r="D971" s="46" t="n"/>
      <c r="E971" s="47" t="n"/>
      <c r="F971" s="47" t="n"/>
      <c r="G971" s="43">
        <f>IF($B971="","",N($E971)+N($F971))</f>
        <v/>
      </c>
      <c r="H971" s="47" t="n"/>
      <c r="I971" s="43">
        <f>IF($B971="","",N($G971)-N($H971))</f>
        <v/>
      </c>
    </row>
    <row r="972">
      <c r="A972" s="39">
        <f>IF($B972="","",COUNTA($B$4:$B972))</f>
        <v/>
      </c>
      <c r="B972" s="40" t="n"/>
      <c r="C972" s="41" t="n"/>
      <c r="D972" s="41" t="n"/>
      <c r="E972" s="42" t="n"/>
      <c r="F972" s="42" t="n"/>
      <c r="G972" s="43">
        <f>IF($B972="","",N($E972)+N($F972))</f>
        <v/>
      </c>
      <c r="H972" s="42" t="n"/>
      <c r="I972" s="43">
        <f>IF($B972="","",N($G972)-N($H972))</f>
        <v/>
      </c>
    </row>
    <row r="973">
      <c r="A973" s="39">
        <f>IF($B973="","",COUNTA($B$4:$B973))</f>
        <v/>
      </c>
      <c r="B973" s="45" t="n"/>
      <c r="C973" s="46" t="n"/>
      <c r="D973" s="46" t="n"/>
      <c r="E973" s="47" t="n"/>
      <c r="F973" s="47" t="n"/>
      <c r="G973" s="43">
        <f>IF($B973="","",N($E973)+N($F973))</f>
        <v/>
      </c>
      <c r="H973" s="47" t="n"/>
      <c r="I973" s="43">
        <f>IF($B973="","",N($G973)-N($H973))</f>
        <v/>
      </c>
    </row>
    <row r="974">
      <c r="A974" s="39">
        <f>IF($B974="","",COUNTA($B$4:$B974))</f>
        <v/>
      </c>
      <c r="B974" s="40" t="n"/>
      <c r="C974" s="41" t="n"/>
      <c r="D974" s="41" t="n"/>
      <c r="E974" s="42" t="n"/>
      <c r="F974" s="42" t="n"/>
      <c r="G974" s="43">
        <f>IF($B974="","",N($E974)+N($F974))</f>
        <v/>
      </c>
      <c r="H974" s="42" t="n"/>
      <c r="I974" s="43">
        <f>IF($B974="","",N($G974)-N($H974))</f>
        <v/>
      </c>
    </row>
    <row r="975">
      <c r="A975" s="39">
        <f>IF($B975="","",COUNTA($B$4:$B975))</f>
        <v/>
      </c>
      <c r="B975" s="45" t="n"/>
      <c r="C975" s="46" t="n"/>
      <c r="D975" s="46" t="n"/>
      <c r="E975" s="47" t="n"/>
      <c r="F975" s="47" t="n"/>
      <c r="G975" s="43">
        <f>IF($B975="","",N($E975)+N($F975))</f>
        <v/>
      </c>
      <c r="H975" s="47" t="n"/>
      <c r="I975" s="43">
        <f>IF($B975="","",N($G975)-N($H975))</f>
        <v/>
      </c>
    </row>
    <row r="976">
      <c r="A976" s="39">
        <f>IF($B976="","",COUNTA($B$4:$B976))</f>
        <v/>
      </c>
      <c r="B976" s="40" t="n"/>
      <c r="C976" s="41" t="n"/>
      <c r="D976" s="41" t="n"/>
      <c r="E976" s="42" t="n"/>
      <c r="F976" s="42" t="n"/>
      <c r="G976" s="43">
        <f>IF($B976="","",N($E976)+N($F976))</f>
        <v/>
      </c>
      <c r="H976" s="42" t="n"/>
      <c r="I976" s="43">
        <f>IF($B976="","",N($G976)-N($H976))</f>
        <v/>
      </c>
    </row>
    <row r="977">
      <c r="A977" s="39">
        <f>IF($B977="","",COUNTA($B$4:$B977))</f>
        <v/>
      </c>
      <c r="B977" s="45" t="n"/>
      <c r="C977" s="46" t="n"/>
      <c r="D977" s="46" t="n"/>
      <c r="E977" s="47" t="n"/>
      <c r="F977" s="47" t="n"/>
      <c r="G977" s="43">
        <f>IF($B977="","",N($E977)+N($F977))</f>
        <v/>
      </c>
      <c r="H977" s="47" t="n"/>
      <c r="I977" s="43">
        <f>IF($B977="","",N($G977)-N($H977))</f>
        <v/>
      </c>
    </row>
    <row r="978">
      <c r="A978" s="39">
        <f>IF($B978="","",COUNTA($B$4:$B978))</f>
        <v/>
      </c>
      <c r="B978" s="40" t="n"/>
      <c r="C978" s="41" t="n"/>
      <c r="D978" s="41" t="n"/>
      <c r="E978" s="42" t="n"/>
      <c r="F978" s="42" t="n"/>
      <c r="G978" s="43">
        <f>IF($B978="","",N($E978)+N($F978))</f>
        <v/>
      </c>
      <c r="H978" s="42" t="n"/>
      <c r="I978" s="43">
        <f>IF($B978="","",N($G978)-N($H978))</f>
        <v/>
      </c>
    </row>
    <row r="979">
      <c r="A979" s="39">
        <f>IF($B979="","",COUNTA($B$4:$B979))</f>
        <v/>
      </c>
      <c r="B979" s="45" t="n"/>
      <c r="C979" s="46" t="n"/>
      <c r="D979" s="46" t="n"/>
      <c r="E979" s="47" t="n"/>
      <c r="F979" s="47" t="n"/>
      <c r="G979" s="43">
        <f>IF($B979="","",N($E979)+N($F979))</f>
        <v/>
      </c>
      <c r="H979" s="47" t="n"/>
      <c r="I979" s="43">
        <f>IF($B979="","",N($G979)-N($H979))</f>
        <v/>
      </c>
    </row>
    <row r="980">
      <c r="A980" s="39">
        <f>IF($B980="","",COUNTA($B$4:$B980))</f>
        <v/>
      </c>
      <c r="B980" s="40" t="n"/>
      <c r="C980" s="41" t="n"/>
      <c r="D980" s="41" t="n"/>
      <c r="E980" s="42" t="n"/>
      <c r="F980" s="42" t="n"/>
      <c r="G980" s="43">
        <f>IF($B980="","",N($E980)+N($F980))</f>
        <v/>
      </c>
      <c r="H980" s="42" t="n"/>
      <c r="I980" s="43">
        <f>IF($B980="","",N($G980)-N($H980))</f>
        <v/>
      </c>
    </row>
    <row r="981">
      <c r="A981" s="39">
        <f>IF($B981="","",COUNTA($B$4:$B981))</f>
        <v/>
      </c>
      <c r="B981" s="45" t="n"/>
      <c r="C981" s="46" t="n"/>
      <c r="D981" s="46" t="n"/>
      <c r="E981" s="47" t="n"/>
      <c r="F981" s="47" t="n"/>
      <c r="G981" s="43">
        <f>IF($B981="","",N($E981)+N($F981))</f>
        <v/>
      </c>
      <c r="H981" s="47" t="n"/>
      <c r="I981" s="43">
        <f>IF($B981="","",N($G981)-N($H981))</f>
        <v/>
      </c>
    </row>
    <row r="982">
      <c r="A982" s="39">
        <f>IF($B982="","",COUNTA($B$4:$B982))</f>
        <v/>
      </c>
      <c r="B982" s="40" t="n"/>
      <c r="C982" s="41" t="n"/>
      <c r="D982" s="41" t="n"/>
      <c r="E982" s="42" t="n"/>
      <c r="F982" s="42" t="n"/>
      <c r="G982" s="43">
        <f>IF($B982="","",N($E982)+N($F982))</f>
        <v/>
      </c>
      <c r="H982" s="42" t="n"/>
      <c r="I982" s="43">
        <f>IF($B982="","",N($G982)-N($H982))</f>
        <v/>
      </c>
    </row>
    <row r="983">
      <c r="A983" s="39">
        <f>IF($B983="","",COUNTA($B$4:$B983))</f>
        <v/>
      </c>
      <c r="B983" s="45" t="n"/>
      <c r="C983" s="46" t="n"/>
      <c r="D983" s="46" t="n"/>
      <c r="E983" s="47" t="n"/>
      <c r="F983" s="47" t="n"/>
      <c r="G983" s="43">
        <f>IF($B983="","",N($E983)+N($F983))</f>
        <v/>
      </c>
      <c r="H983" s="47" t="n"/>
      <c r="I983" s="43">
        <f>IF($B983="","",N($G983)-N($H983))</f>
        <v/>
      </c>
    </row>
    <row r="984">
      <c r="A984" s="39">
        <f>IF($B984="","",COUNTA($B$4:$B984))</f>
        <v/>
      </c>
      <c r="B984" s="40" t="n"/>
      <c r="C984" s="41" t="n"/>
      <c r="D984" s="41" t="n"/>
      <c r="E984" s="42" t="n"/>
      <c r="F984" s="42" t="n"/>
      <c r="G984" s="43">
        <f>IF($B984="","",N($E984)+N($F984))</f>
        <v/>
      </c>
      <c r="H984" s="42" t="n"/>
      <c r="I984" s="43">
        <f>IF($B984="","",N($G984)-N($H984))</f>
        <v/>
      </c>
    </row>
    <row r="985">
      <c r="A985" s="39">
        <f>IF($B985="","",COUNTA($B$4:$B985))</f>
        <v/>
      </c>
      <c r="B985" s="45" t="n"/>
      <c r="C985" s="46" t="n"/>
      <c r="D985" s="46" t="n"/>
      <c r="E985" s="47" t="n"/>
      <c r="F985" s="47" t="n"/>
      <c r="G985" s="43">
        <f>IF($B985="","",N($E985)+N($F985))</f>
        <v/>
      </c>
      <c r="H985" s="47" t="n"/>
      <c r="I985" s="43">
        <f>IF($B985="","",N($G985)-N($H985))</f>
        <v/>
      </c>
    </row>
    <row r="986">
      <c r="A986" s="39">
        <f>IF($B986="","",COUNTA($B$4:$B986))</f>
        <v/>
      </c>
      <c r="B986" s="40" t="n"/>
      <c r="C986" s="41" t="n"/>
      <c r="D986" s="41" t="n"/>
      <c r="E986" s="42" t="n"/>
      <c r="F986" s="42" t="n"/>
      <c r="G986" s="43">
        <f>IF($B986="","",N($E986)+N($F986))</f>
        <v/>
      </c>
      <c r="H986" s="42" t="n"/>
      <c r="I986" s="43">
        <f>IF($B986="","",N($G986)-N($H986))</f>
        <v/>
      </c>
    </row>
    <row r="987">
      <c r="A987" s="39">
        <f>IF($B987="","",COUNTA($B$4:$B987))</f>
        <v/>
      </c>
      <c r="B987" s="45" t="n"/>
      <c r="C987" s="46" t="n"/>
      <c r="D987" s="46" t="n"/>
      <c r="E987" s="47" t="n"/>
      <c r="F987" s="47" t="n"/>
      <c r="G987" s="43">
        <f>IF($B987="","",N($E987)+N($F987))</f>
        <v/>
      </c>
      <c r="H987" s="47" t="n"/>
      <c r="I987" s="43">
        <f>IF($B987="","",N($G987)-N($H987))</f>
        <v/>
      </c>
    </row>
    <row r="988">
      <c r="A988" s="39">
        <f>IF($B988="","",COUNTA($B$4:$B988))</f>
        <v/>
      </c>
      <c r="B988" s="40" t="n"/>
      <c r="C988" s="41" t="n"/>
      <c r="D988" s="41" t="n"/>
      <c r="E988" s="42" t="n"/>
      <c r="F988" s="42" t="n"/>
      <c r="G988" s="43">
        <f>IF($B988="","",N($E988)+N($F988))</f>
        <v/>
      </c>
      <c r="H988" s="42" t="n"/>
      <c r="I988" s="43">
        <f>IF($B988="","",N($G988)-N($H988))</f>
        <v/>
      </c>
    </row>
    <row r="989">
      <c r="A989" s="39">
        <f>IF($B989="","",COUNTA($B$4:$B989))</f>
        <v/>
      </c>
      <c r="B989" s="45" t="n"/>
      <c r="C989" s="46" t="n"/>
      <c r="D989" s="46" t="n"/>
      <c r="E989" s="47" t="n"/>
      <c r="F989" s="47" t="n"/>
      <c r="G989" s="43">
        <f>IF($B989="","",N($E989)+N($F989))</f>
        <v/>
      </c>
      <c r="H989" s="47" t="n"/>
      <c r="I989" s="43">
        <f>IF($B989="","",N($G989)-N($H989))</f>
        <v/>
      </c>
    </row>
    <row r="990">
      <c r="A990" s="39">
        <f>IF($B990="","",COUNTA($B$4:$B990))</f>
        <v/>
      </c>
      <c r="B990" s="40" t="n"/>
      <c r="C990" s="41" t="n"/>
      <c r="D990" s="41" t="n"/>
      <c r="E990" s="42" t="n"/>
      <c r="F990" s="42" t="n"/>
      <c r="G990" s="43">
        <f>IF($B990="","",N($E990)+N($F990))</f>
        <v/>
      </c>
      <c r="H990" s="42" t="n"/>
      <c r="I990" s="43">
        <f>IF($B990="","",N($G990)-N($H990))</f>
        <v/>
      </c>
    </row>
    <row r="991">
      <c r="A991" s="39">
        <f>IF($B991="","",COUNTA($B$4:$B991))</f>
        <v/>
      </c>
      <c r="B991" s="45" t="n"/>
      <c r="C991" s="46" t="n"/>
      <c r="D991" s="46" t="n"/>
      <c r="E991" s="47" t="n"/>
      <c r="F991" s="47" t="n"/>
      <c r="G991" s="43">
        <f>IF($B991="","",N($E991)+N($F991))</f>
        <v/>
      </c>
      <c r="H991" s="47" t="n"/>
      <c r="I991" s="43">
        <f>IF($B991="","",N($G991)-N($H991))</f>
        <v/>
      </c>
    </row>
    <row r="992">
      <c r="A992" s="39">
        <f>IF($B992="","",COUNTA($B$4:$B992))</f>
        <v/>
      </c>
      <c r="B992" s="40" t="n"/>
      <c r="C992" s="41" t="n"/>
      <c r="D992" s="41" t="n"/>
      <c r="E992" s="42" t="n"/>
      <c r="F992" s="42" t="n"/>
      <c r="G992" s="43">
        <f>IF($B992="","",N($E992)+N($F992))</f>
        <v/>
      </c>
      <c r="H992" s="42" t="n"/>
      <c r="I992" s="43">
        <f>IF($B992="","",N($G992)-N($H992))</f>
        <v/>
      </c>
    </row>
    <row r="993">
      <c r="A993" s="39">
        <f>IF($B993="","",COUNTA($B$4:$B993))</f>
        <v/>
      </c>
      <c r="B993" s="45" t="n"/>
      <c r="C993" s="46" t="n"/>
      <c r="D993" s="46" t="n"/>
      <c r="E993" s="47" t="n"/>
      <c r="F993" s="47" t="n"/>
      <c r="G993" s="43">
        <f>IF($B993="","",N($E993)+N($F993))</f>
        <v/>
      </c>
      <c r="H993" s="47" t="n"/>
      <c r="I993" s="43">
        <f>IF($B993="","",N($G993)-N($H993))</f>
        <v/>
      </c>
    </row>
    <row r="994">
      <c r="A994" s="39">
        <f>IF($B994="","",COUNTA($B$4:$B994))</f>
        <v/>
      </c>
      <c r="B994" s="40" t="n"/>
      <c r="C994" s="41" t="n"/>
      <c r="D994" s="41" t="n"/>
      <c r="E994" s="42" t="n"/>
      <c r="F994" s="42" t="n"/>
      <c r="G994" s="43">
        <f>IF($B994="","",N($E994)+N($F994))</f>
        <v/>
      </c>
      <c r="H994" s="42" t="n"/>
      <c r="I994" s="43">
        <f>IF($B994="","",N($G994)-N($H994))</f>
        <v/>
      </c>
    </row>
    <row r="995">
      <c r="A995" s="39">
        <f>IF($B995="","",COUNTA($B$4:$B995))</f>
        <v/>
      </c>
      <c r="B995" s="45" t="n"/>
      <c r="C995" s="46" t="n"/>
      <c r="D995" s="46" t="n"/>
      <c r="E995" s="47" t="n"/>
      <c r="F995" s="47" t="n"/>
      <c r="G995" s="43">
        <f>IF($B995="","",N($E995)+N($F995))</f>
        <v/>
      </c>
      <c r="H995" s="47" t="n"/>
      <c r="I995" s="43">
        <f>IF($B995="","",N($G995)-N($H995))</f>
        <v/>
      </c>
    </row>
    <row r="996">
      <c r="A996" s="39">
        <f>IF($B996="","",COUNTA($B$4:$B996))</f>
        <v/>
      </c>
      <c r="B996" s="40" t="n"/>
      <c r="C996" s="41" t="n"/>
      <c r="D996" s="41" t="n"/>
      <c r="E996" s="42" t="n"/>
      <c r="F996" s="42" t="n"/>
      <c r="G996" s="43">
        <f>IF($B996="","",N($E996)+N($F996))</f>
        <v/>
      </c>
      <c r="H996" s="42" t="n"/>
      <c r="I996" s="43">
        <f>IF($B996="","",N($G996)-N($H996))</f>
        <v/>
      </c>
    </row>
    <row r="997">
      <c r="A997" s="39">
        <f>IF($B997="","",COUNTA($B$4:$B997))</f>
        <v/>
      </c>
      <c r="B997" s="45" t="n"/>
      <c r="C997" s="46" t="n"/>
      <c r="D997" s="46" t="n"/>
      <c r="E997" s="47" t="n"/>
      <c r="F997" s="47" t="n"/>
      <c r="G997" s="43">
        <f>IF($B997="","",N($E997)+N($F997))</f>
        <v/>
      </c>
      <c r="H997" s="47" t="n"/>
      <c r="I997" s="43">
        <f>IF($B997="","",N($G997)-N($H997))</f>
        <v/>
      </c>
    </row>
    <row r="998">
      <c r="A998" s="39">
        <f>IF($B998="","",COUNTA($B$4:$B998))</f>
        <v/>
      </c>
      <c r="B998" s="40" t="n"/>
      <c r="C998" s="41" t="n"/>
      <c r="D998" s="41" t="n"/>
      <c r="E998" s="42" t="n"/>
      <c r="F998" s="42" t="n"/>
      <c r="G998" s="43">
        <f>IF($B998="","",N($E998)+N($F998))</f>
        <v/>
      </c>
      <c r="H998" s="42" t="n"/>
      <c r="I998" s="43">
        <f>IF($B998="","",N($G998)-N($H998))</f>
        <v/>
      </c>
    </row>
    <row r="999">
      <c r="A999" s="39">
        <f>IF($B999="","",COUNTA($B$4:$B999))</f>
        <v/>
      </c>
      <c r="B999" s="45" t="n"/>
      <c r="C999" s="46" t="n"/>
      <c r="D999" s="46" t="n"/>
      <c r="E999" s="47" t="n"/>
      <c r="F999" s="47" t="n"/>
      <c r="G999" s="43">
        <f>IF($B999="","",N($E999)+N($F999))</f>
        <v/>
      </c>
      <c r="H999" s="47" t="n"/>
      <c r="I999" s="43">
        <f>IF($B999="","",N($G999)-N($H999))</f>
        <v/>
      </c>
    </row>
    <row r="1000">
      <c r="A1000" s="39">
        <f>IF($B1000="","",COUNTA($B$4:$B1000))</f>
        <v/>
      </c>
      <c r="B1000" s="40" t="n"/>
      <c r="C1000" s="41" t="n"/>
      <c r="D1000" s="41" t="n"/>
      <c r="E1000" s="42" t="n"/>
      <c r="F1000" s="42" t="n"/>
      <c r="G1000" s="43">
        <f>IF($B1000="","",N($E1000)+N($F1000))</f>
        <v/>
      </c>
      <c r="H1000" s="42" t="n"/>
      <c r="I1000" s="43">
        <f>IF($B1000="","",N($G1000)-N($H1000))</f>
        <v/>
      </c>
    </row>
    <row r="1001">
      <c r="A1001" s="39">
        <f>IF($B1001="","",COUNTA($B$4:$B1001))</f>
        <v/>
      </c>
      <c r="B1001" s="45" t="n"/>
      <c r="C1001" s="46" t="n"/>
      <c r="D1001" s="46" t="n"/>
      <c r="E1001" s="47" t="n"/>
      <c r="F1001" s="47" t="n"/>
      <c r="G1001" s="43">
        <f>IF($B1001="","",N($E1001)+N($F1001))</f>
        <v/>
      </c>
      <c r="H1001" s="47" t="n"/>
      <c r="I1001" s="43">
        <f>IF($B1001="","",N($G1001)-N($H1001))</f>
        <v/>
      </c>
    </row>
    <row r="1002">
      <c r="A1002" s="39">
        <f>IF($B1002="","",COUNTA($B$4:$B1002))</f>
        <v/>
      </c>
      <c r="B1002" s="40" t="n"/>
      <c r="C1002" s="41" t="n"/>
      <c r="D1002" s="41" t="n"/>
      <c r="E1002" s="42" t="n"/>
      <c r="F1002" s="42" t="n"/>
      <c r="G1002" s="43">
        <f>IF($B1002="","",N($E1002)+N($F1002))</f>
        <v/>
      </c>
      <c r="H1002" s="42" t="n"/>
      <c r="I1002" s="43">
        <f>IF($B1002="","",N($G1002)-N($H1002))</f>
        <v/>
      </c>
    </row>
    <row r="1003">
      <c r="A1003" s="39">
        <f>IF($B1003="","",COUNTA($B$4:$B1003))</f>
        <v/>
      </c>
      <c r="B1003" s="45" t="n"/>
      <c r="C1003" s="46" t="n"/>
      <c r="D1003" s="46" t="n"/>
      <c r="E1003" s="47" t="n"/>
      <c r="F1003" s="47" t="n"/>
      <c r="G1003" s="43">
        <f>IF($B1003="","",N($E1003)+N($F1003))</f>
        <v/>
      </c>
      <c r="H1003" s="47" t="n"/>
      <c r="I1003" s="43">
        <f>IF($B1003="","",N($G1003)-N($H1003))</f>
        <v/>
      </c>
    </row>
    <row r="1004">
      <c r="A1004" s="39">
        <f>IF($B1004="","",COUNTA($B$4:$B1004))</f>
        <v/>
      </c>
      <c r="B1004" s="40" t="n"/>
      <c r="C1004" s="41" t="n"/>
      <c r="D1004" s="41" t="n"/>
      <c r="E1004" s="42" t="n"/>
      <c r="F1004" s="42" t="n"/>
      <c r="G1004" s="43">
        <f>IF($B1004="","",N($E1004)+N($F1004))</f>
        <v/>
      </c>
      <c r="H1004" s="42" t="n"/>
      <c r="I1004" s="43">
        <f>IF($B1004="","",N($G1004)-N($H1004))</f>
        <v/>
      </c>
    </row>
    <row r="1005">
      <c r="A1005" s="39">
        <f>IF($B1005="","",COUNTA($B$4:$B1005))</f>
        <v/>
      </c>
      <c r="B1005" s="45" t="n"/>
      <c r="C1005" s="46" t="n"/>
      <c r="D1005" s="46" t="n"/>
      <c r="E1005" s="47" t="n"/>
      <c r="F1005" s="47" t="n"/>
      <c r="G1005" s="43">
        <f>IF($B1005="","",N($E1005)+N($F1005))</f>
        <v/>
      </c>
      <c r="H1005" s="47" t="n"/>
      <c r="I1005" s="43">
        <f>IF($B1005="","",N($G1005)-N($H1005))</f>
        <v/>
      </c>
    </row>
    <row r="1006">
      <c r="A1006" s="39">
        <f>IF($B1006="","",COUNTA($B$4:$B1006))</f>
        <v/>
      </c>
      <c r="B1006" s="40" t="n"/>
      <c r="C1006" s="41" t="n"/>
      <c r="D1006" s="41" t="n"/>
      <c r="E1006" s="42" t="n"/>
      <c r="F1006" s="42" t="n"/>
      <c r="G1006" s="43">
        <f>IF($B1006="","",N($E1006)+N($F1006))</f>
        <v/>
      </c>
      <c r="H1006" s="42" t="n"/>
      <c r="I1006" s="43">
        <f>IF($B1006="","",N($G1006)-N($H1006))</f>
        <v/>
      </c>
    </row>
    <row r="1007">
      <c r="A1007" s="39">
        <f>IF($B1007="","",COUNTA($B$4:$B1007))</f>
        <v/>
      </c>
      <c r="B1007" s="45" t="n"/>
      <c r="C1007" s="46" t="n"/>
      <c r="D1007" s="46" t="n"/>
      <c r="E1007" s="47" t="n"/>
      <c r="F1007" s="47" t="n"/>
      <c r="G1007" s="43">
        <f>IF($B1007="","",N($E1007)+N($F1007))</f>
        <v/>
      </c>
      <c r="H1007" s="47" t="n"/>
      <c r="I1007" s="43">
        <f>IF($B1007="","",N($G1007)-N($H1007))</f>
        <v/>
      </c>
    </row>
    <row r="1008">
      <c r="A1008" s="39">
        <f>IF($B1008="","",COUNTA($B$4:$B1008))</f>
        <v/>
      </c>
      <c r="B1008" s="40" t="n"/>
      <c r="C1008" s="41" t="n"/>
      <c r="D1008" s="41" t="n"/>
      <c r="E1008" s="42" t="n"/>
      <c r="F1008" s="42" t="n"/>
      <c r="G1008" s="43">
        <f>IF($B1008="","",N($E1008)+N($F1008))</f>
        <v/>
      </c>
      <c r="H1008" s="42" t="n"/>
      <c r="I1008" s="43">
        <f>IF($B1008="","",N($G1008)-N($H1008))</f>
        <v/>
      </c>
    </row>
    <row r="1009">
      <c r="A1009" s="39">
        <f>IF($B1009="","",COUNTA($B$4:$B1009))</f>
        <v/>
      </c>
      <c r="B1009" s="45" t="n"/>
      <c r="C1009" s="46" t="n"/>
      <c r="D1009" s="46" t="n"/>
      <c r="E1009" s="47" t="n"/>
      <c r="F1009" s="47" t="n"/>
      <c r="G1009" s="43">
        <f>IF($B1009="","",N($E1009)+N($F1009))</f>
        <v/>
      </c>
      <c r="H1009" s="47" t="n"/>
      <c r="I1009" s="43">
        <f>IF($B1009="","",N($G1009)-N($H1009))</f>
        <v/>
      </c>
    </row>
    <row r="1010">
      <c r="A1010" s="39">
        <f>IF($B1010="","",COUNTA($B$4:$B1010))</f>
        <v/>
      </c>
      <c r="B1010" s="40" t="n"/>
      <c r="C1010" s="41" t="n"/>
      <c r="D1010" s="41" t="n"/>
      <c r="E1010" s="42" t="n"/>
      <c r="F1010" s="42" t="n"/>
      <c r="G1010" s="43">
        <f>IF($B1010="","",N($E1010)+N($F1010))</f>
        <v/>
      </c>
      <c r="H1010" s="42" t="n"/>
      <c r="I1010" s="43">
        <f>IF($B1010="","",N($G1010)-N($H1010))</f>
        <v/>
      </c>
    </row>
    <row r="1011">
      <c r="A1011" s="39">
        <f>IF($B1011="","",COUNTA($B$4:$B1011))</f>
        <v/>
      </c>
      <c r="B1011" s="45" t="n"/>
      <c r="C1011" s="46" t="n"/>
      <c r="D1011" s="46" t="n"/>
      <c r="E1011" s="47" t="n"/>
      <c r="F1011" s="47" t="n"/>
      <c r="G1011" s="43">
        <f>IF($B1011="","",N($E1011)+N($F1011))</f>
        <v/>
      </c>
      <c r="H1011" s="47" t="n"/>
      <c r="I1011" s="43">
        <f>IF($B1011="","",N($G1011)-N($H1011))</f>
        <v/>
      </c>
    </row>
    <row r="1012">
      <c r="A1012" s="39">
        <f>IF($B1012="","",COUNTA($B$4:$B1012))</f>
        <v/>
      </c>
      <c r="B1012" s="40" t="n"/>
      <c r="C1012" s="41" t="n"/>
      <c r="D1012" s="41" t="n"/>
      <c r="E1012" s="42" t="n"/>
      <c r="F1012" s="42" t="n"/>
      <c r="G1012" s="43">
        <f>IF($B1012="","",N($E1012)+N($F1012))</f>
        <v/>
      </c>
      <c r="H1012" s="42" t="n"/>
      <c r="I1012" s="43">
        <f>IF($B1012="","",N($G1012)-N($H1012))</f>
        <v/>
      </c>
    </row>
    <row r="1013">
      <c r="A1013" s="39">
        <f>IF($B1013="","",COUNTA($B$4:$B1013))</f>
        <v/>
      </c>
      <c r="B1013" s="45" t="n"/>
      <c r="C1013" s="46" t="n"/>
      <c r="D1013" s="46" t="n"/>
      <c r="E1013" s="47" t="n"/>
      <c r="F1013" s="47" t="n"/>
      <c r="G1013" s="43">
        <f>IF($B1013="","",N($E1013)+N($F1013))</f>
        <v/>
      </c>
      <c r="H1013" s="47" t="n"/>
      <c r="I1013" s="43">
        <f>IF($B1013="","",N($G1013)-N($H1013))</f>
        <v/>
      </c>
    </row>
    <row r="1014">
      <c r="A1014" s="39">
        <f>IF($B1014="","",COUNTA($B$4:$B1014))</f>
        <v/>
      </c>
      <c r="B1014" s="40" t="n"/>
      <c r="C1014" s="41" t="n"/>
      <c r="D1014" s="41" t="n"/>
      <c r="E1014" s="42" t="n"/>
      <c r="F1014" s="42" t="n"/>
      <c r="G1014" s="43">
        <f>IF($B1014="","",N($E1014)+N($F1014))</f>
        <v/>
      </c>
      <c r="H1014" s="42" t="n"/>
      <c r="I1014" s="43">
        <f>IF($B1014="","",N($G1014)-N($H1014))</f>
        <v/>
      </c>
    </row>
    <row r="1015">
      <c r="A1015" s="39">
        <f>IF($B1015="","",COUNTA($B$4:$B1015))</f>
        <v/>
      </c>
      <c r="B1015" s="45" t="n"/>
      <c r="C1015" s="46" t="n"/>
      <c r="D1015" s="46" t="n"/>
      <c r="E1015" s="47" t="n"/>
      <c r="F1015" s="47" t="n"/>
      <c r="G1015" s="43">
        <f>IF($B1015="","",N($E1015)+N($F1015))</f>
        <v/>
      </c>
      <c r="H1015" s="47" t="n"/>
      <c r="I1015" s="43">
        <f>IF($B1015="","",N($G1015)-N($H1015))</f>
        <v/>
      </c>
    </row>
    <row r="1016">
      <c r="A1016" s="39">
        <f>IF($B1016="","",COUNTA($B$4:$B1016))</f>
        <v/>
      </c>
      <c r="B1016" s="40" t="n"/>
      <c r="C1016" s="41" t="n"/>
      <c r="D1016" s="41" t="n"/>
      <c r="E1016" s="42" t="n"/>
      <c r="F1016" s="42" t="n"/>
      <c r="G1016" s="43">
        <f>IF($B1016="","",N($E1016)+N($F1016))</f>
        <v/>
      </c>
      <c r="H1016" s="42" t="n"/>
      <c r="I1016" s="43">
        <f>IF($B1016="","",N($G1016)-N($H1016))</f>
        <v/>
      </c>
    </row>
    <row r="1017">
      <c r="A1017" s="39">
        <f>IF($B1017="","",COUNTA($B$4:$B1017))</f>
        <v/>
      </c>
      <c r="B1017" s="45" t="n"/>
      <c r="C1017" s="46" t="n"/>
      <c r="D1017" s="46" t="n"/>
      <c r="E1017" s="47" t="n"/>
      <c r="F1017" s="47" t="n"/>
      <c r="G1017" s="43">
        <f>IF($B1017="","",N($E1017)+N($F1017))</f>
        <v/>
      </c>
      <c r="H1017" s="47" t="n"/>
      <c r="I1017" s="43">
        <f>IF($B1017="","",N($G1017)-N($H1017))</f>
        <v/>
      </c>
    </row>
    <row r="1018">
      <c r="A1018" s="39">
        <f>IF($B1018="","",COUNTA($B$4:$B1018))</f>
        <v/>
      </c>
      <c r="B1018" s="40" t="n"/>
      <c r="C1018" s="41" t="n"/>
      <c r="D1018" s="41" t="n"/>
      <c r="E1018" s="42" t="n"/>
      <c r="F1018" s="42" t="n"/>
      <c r="G1018" s="43">
        <f>IF($B1018="","",N($E1018)+N($F1018))</f>
        <v/>
      </c>
      <c r="H1018" s="42" t="n"/>
      <c r="I1018" s="43">
        <f>IF($B1018="","",N($G1018)-N($H1018))</f>
        <v/>
      </c>
    </row>
    <row r="1019">
      <c r="A1019" s="39">
        <f>IF($B1019="","",COUNTA($B$4:$B1019))</f>
        <v/>
      </c>
      <c r="B1019" s="45" t="n"/>
      <c r="C1019" s="46" t="n"/>
      <c r="D1019" s="46" t="n"/>
      <c r="E1019" s="47" t="n"/>
      <c r="F1019" s="47" t="n"/>
      <c r="G1019" s="43">
        <f>IF($B1019="","",N($E1019)+N($F1019))</f>
        <v/>
      </c>
      <c r="H1019" s="47" t="n"/>
      <c r="I1019" s="43">
        <f>IF($B1019="","",N($G1019)-N($H1019))</f>
        <v/>
      </c>
    </row>
    <row r="1020">
      <c r="A1020" s="39">
        <f>IF($B1020="","",COUNTA($B$4:$B1020))</f>
        <v/>
      </c>
      <c r="B1020" s="40" t="n"/>
      <c r="C1020" s="41" t="n"/>
      <c r="D1020" s="41" t="n"/>
      <c r="E1020" s="42" t="n"/>
      <c r="F1020" s="42" t="n"/>
      <c r="G1020" s="43">
        <f>IF($B1020="","",N($E1020)+N($F1020))</f>
        <v/>
      </c>
      <c r="H1020" s="42" t="n"/>
      <c r="I1020" s="43">
        <f>IF($B1020="","",N($G1020)-N($H1020))</f>
        <v/>
      </c>
    </row>
    <row r="1021">
      <c r="A1021" s="39">
        <f>IF($B1021="","",COUNTA($B$4:$B1021))</f>
        <v/>
      </c>
      <c r="B1021" s="45" t="n"/>
      <c r="C1021" s="46" t="n"/>
      <c r="D1021" s="46" t="n"/>
      <c r="E1021" s="47" t="n"/>
      <c r="F1021" s="47" t="n"/>
      <c r="G1021" s="43">
        <f>IF($B1021="","",N($E1021)+N($F1021))</f>
        <v/>
      </c>
      <c r="H1021" s="47" t="n"/>
      <c r="I1021" s="43">
        <f>IF($B1021="","",N($G1021)-N($H1021))</f>
        <v/>
      </c>
    </row>
    <row r="1022">
      <c r="A1022" s="39">
        <f>IF($B1022="","",COUNTA($B$4:$B1022))</f>
        <v/>
      </c>
      <c r="B1022" s="40" t="n"/>
      <c r="C1022" s="41" t="n"/>
      <c r="D1022" s="41" t="n"/>
      <c r="E1022" s="42" t="n"/>
      <c r="F1022" s="42" t="n"/>
      <c r="G1022" s="43">
        <f>IF($B1022="","",N($E1022)+N($F1022))</f>
        <v/>
      </c>
      <c r="H1022" s="42" t="n"/>
      <c r="I1022" s="43">
        <f>IF($B1022="","",N($G1022)-N($H1022))</f>
        <v/>
      </c>
    </row>
    <row r="1023">
      <c r="A1023" s="39">
        <f>IF($B1023="","",COUNTA($B$4:$B1023))</f>
        <v/>
      </c>
      <c r="B1023" s="45" t="n"/>
      <c r="C1023" s="46" t="n"/>
      <c r="D1023" s="46" t="n"/>
      <c r="E1023" s="47" t="n"/>
      <c r="F1023" s="47" t="n"/>
      <c r="G1023" s="43">
        <f>IF($B1023="","",N($E1023)+N($F1023))</f>
        <v/>
      </c>
      <c r="H1023" s="47" t="n"/>
      <c r="I1023" s="43">
        <f>IF($B1023="","",N($G1023)-N($H1023))</f>
        <v/>
      </c>
    </row>
    <row r="1024">
      <c r="A1024" s="39">
        <f>IF($B1024="","",COUNTA($B$4:$B1024))</f>
        <v/>
      </c>
      <c r="B1024" s="40" t="n"/>
      <c r="C1024" s="41" t="n"/>
      <c r="D1024" s="41" t="n"/>
      <c r="E1024" s="42" t="n"/>
      <c r="F1024" s="42" t="n"/>
      <c r="G1024" s="43">
        <f>IF($B1024="","",N($E1024)+N($F1024))</f>
        <v/>
      </c>
      <c r="H1024" s="42" t="n"/>
      <c r="I1024" s="43">
        <f>IF($B1024="","",N($G1024)-N($H1024))</f>
        <v/>
      </c>
    </row>
    <row r="1025">
      <c r="A1025" s="39">
        <f>IF($B1025="","",COUNTA($B$4:$B1025))</f>
        <v/>
      </c>
      <c r="B1025" s="45" t="n"/>
      <c r="C1025" s="46" t="n"/>
      <c r="D1025" s="46" t="n"/>
      <c r="E1025" s="47" t="n"/>
      <c r="F1025" s="47" t="n"/>
      <c r="G1025" s="43">
        <f>IF($B1025="","",N($E1025)+N($F1025))</f>
        <v/>
      </c>
      <c r="H1025" s="47" t="n"/>
      <c r="I1025" s="43">
        <f>IF($B1025="","",N($G1025)-N($H1025))</f>
        <v/>
      </c>
    </row>
    <row r="1026">
      <c r="A1026" s="39">
        <f>IF($B1026="","",COUNTA($B$4:$B1026))</f>
        <v/>
      </c>
      <c r="B1026" s="40" t="n"/>
      <c r="C1026" s="41" t="n"/>
      <c r="D1026" s="41" t="n"/>
      <c r="E1026" s="42" t="n"/>
      <c r="F1026" s="42" t="n"/>
      <c r="G1026" s="43">
        <f>IF($B1026="","",N($E1026)+N($F1026))</f>
        <v/>
      </c>
      <c r="H1026" s="42" t="n"/>
      <c r="I1026" s="43">
        <f>IF($B1026="","",N($G1026)-N($H1026))</f>
        <v/>
      </c>
    </row>
    <row r="1027">
      <c r="A1027" s="39">
        <f>IF($B1027="","",COUNTA($B$4:$B1027))</f>
        <v/>
      </c>
      <c r="B1027" s="45" t="n"/>
      <c r="C1027" s="46" t="n"/>
      <c r="D1027" s="46" t="n"/>
      <c r="E1027" s="47" t="n"/>
      <c r="F1027" s="47" t="n"/>
      <c r="G1027" s="43">
        <f>IF($B1027="","",N($E1027)+N($F1027))</f>
        <v/>
      </c>
      <c r="H1027" s="47" t="n"/>
      <c r="I1027" s="43">
        <f>IF($B1027="","",N($G1027)-N($H1027))</f>
        <v/>
      </c>
    </row>
    <row r="1028">
      <c r="A1028" s="39">
        <f>IF($B1028="","",COUNTA($B$4:$B1028))</f>
        <v/>
      </c>
      <c r="B1028" s="40" t="n"/>
      <c r="C1028" s="41" t="n"/>
      <c r="D1028" s="41" t="n"/>
      <c r="E1028" s="42" t="n"/>
      <c r="F1028" s="42" t="n"/>
      <c r="G1028" s="43">
        <f>IF($B1028="","",N($E1028)+N($F1028))</f>
        <v/>
      </c>
      <c r="H1028" s="42" t="n"/>
      <c r="I1028" s="43">
        <f>IF($B1028="","",N($G1028)-N($H1028))</f>
        <v/>
      </c>
    </row>
    <row r="1029">
      <c r="A1029" s="39">
        <f>IF($B1029="","",COUNTA($B$4:$B1029))</f>
        <v/>
      </c>
      <c r="B1029" s="45" t="n"/>
      <c r="C1029" s="46" t="n"/>
      <c r="D1029" s="46" t="n"/>
      <c r="E1029" s="47" t="n"/>
      <c r="F1029" s="47" t="n"/>
      <c r="G1029" s="43">
        <f>IF($B1029="","",N($E1029)+N($F1029))</f>
        <v/>
      </c>
      <c r="H1029" s="47" t="n"/>
      <c r="I1029" s="43">
        <f>IF($B1029="","",N($G1029)-N($H1029))</f>
        <v/>
      </c>
    </row>
    <row r="1030">
      <c r="A1030" s="39">
        <f>IF($B1030="","",COUNTA($B$4:$B1030))</f>
        <v/>
      </c>
      <c r="B1030" s="40" t="n"/>
      <c r="C1030" s="41" t="n"/>
      <c r="D1030" s="41" t="n"/>
      <c r="E1030" s="42" t="n"/>
      <c r="F1030" s="42" t="n"/>
      <c r="G1030" s="43">
        <f>IF($B1030="","",N($E1030)+N($F1030))</f>
        <v/>
      </c>
      <c r="H1030" s="42" t="n"/>
      <c r="I1030" s="43">
        <f>IF($B1030="","",N($G1030)-N($H1030))</f>
        <v/>
      </c>
    </row>
    <row r="1031">
      <c r="A1031" s="39">
        <f>IF($B1031="","",COUNTA($B$4:$B1031))</f>
        <v/>
      </c>
      <c r="B1031" s="45" t="n"/>
      <c r="C1031" s="46" t="n"/>
      <c r="D1031" s="46" t="n"/>
      <c r="E1031" s="47" t="n"/>
      <c r="F1031" s="47" t="n"/>
      <c r="G1031" s="43">
        <f>IF($B1031="","",N($E1031)+N($F1031))</f>
        <v/>
      </c>
      <c r="H1031" s="47" t="n"/>
      <c r="I1031" s="43">
        <f>IF($B1031="","",N($G1031)-N($H1031))</f>
        <v/>
      </c>
    </row>
    <row r="1032">
      <c r="A1032" s="39">
        <f>IF($B1032="","",COUNTA($B$4:$B1032))</f>
        <v/>
      </c>
      <c r="B1032" s="40" t="n"/>
      <c r="C1032" s="41" t="n"/>
      <c r="D1032" s="41" t="n"/>
      <c r="E1032" s="42" t="n"/>
      <c r="F1032" s="42" t="n"/>
      <c r="G1032" s="43">
        <f>IF($B1032="","",N($E1032)+N($F1032))</f>
        <v/>
      </c>
      <c r="H1032" s="42" t="n"/>
      <c r="I1032" s="43">
        <f>IF($B1032="","",N($G1032)-N($H1032))</f>
        <v/>
      </c>
    </row>
    <row r="1033">
      <c r="A1033" s="39">
        <f>IF($B1033="","",COUNTA($B$4:$B1033))</f>
        <v/>
      </c>
      <c r="B1033" s="45" t="n"/>
      <c r="C1033" s="46" t="n"/>
      <c r="D1033" s="46" t="n"/>
      <c r="E1033" s="47" t="n"/>
      <c r="F1033" s="47" t="n"/>
      <c r="G1033" s="43">
        <f>IF($B1033="","",N($E1033)+N($F1033))</f>
        <v/>
      </c>
      <c r="H1033" s="47" t="n"/>
      <c r="I1033" s="43">
        <f>IF($B1033="","",N($G1033)-N($H1033))</f>
        <v/>
      </c>
    </row>
    <row r="1034">
      <c r="A1034" s="39">
        <f>IF($B1034="","",COUNTA($B$4:$B1034))</f>
        <v/>
      </c>
      <c r="B1034" s="40" t="n"/>
      <c r="C1034" s="41" t="n"/>
      <c r="D1034" s="41" t="n"/>
      <c r="E1034" s="42" t="n"/>
      <c r="F1034" s="42" t="n"/>
      <c r="G1034" s="43">
        <f>IF($B1034="","",N($E1034)+N($F1034))</f>
        <v/>
      </c>
      <c r="H1034" s="42" t="n"/>
      <c r="I1034" s="43">
        <f>IF($B1034="","",N($G1034)-N($H1034))</f>
        <v/>
      </c>
    </row>
    <row r="1035">
      <c r="A1035" s="39">
        <f>IF($B1035="","",COUNTA($B$4:$B1035))</f>
        <v/>
      </c>
      <c r="B1035" s="45" t="n"/>
      <c r="C1035" s="46" t="n"/>
      <c r="D1035" s="46" t="n"/>
      <c r="E1035" s="47" t="n"/>
      <c r="F1035" s="47" t="n"/>
      <c r="G1035" s="43">
        <f>IF($B1035="","",N($E1035)+N($F1035))</f>
        <v/>
      </c>
      <c r="H1035" s="47" t="n"/>
      <c r="I1035" s="43">
        <f>IF($B1035="","",N($G1035)-N($H1035))</f>
        <v/>
      </c>
    </row>
    <row r="1036">
      <c r="A1036" s="39">
        <f>IF($B1036="","",COUNTA($B$4:$B1036))</f>
        <v/>
      </c>
      <c r="B1036" s="40" t="n"/>
      <c r="C1036" s="41" t="n"/>
      <c r="D1036" s="41" t="n"/>
      <c r="E1036" s="42" t="n"/>
      <c r="F1036" s="42" t="n"/>
      <c r="G1036" s="43">
        <f>IF($B1036="","",N($E1036)+N($F1036))</f>
        <v/>
      </c>
      <c r="H1036" s="42" t="n"/>
      <c r="I1036" s="43">
        <f>IF($B1036="","",N($G1036)-N($H1036))</f>
        <v/>
      </c>
    </row>
    <row r="1037">
      <c r="A1037" s="39">
        <f>IF($B1037="","",COUNTA($B$4:$B1037))</f>
        <v/>
      </c>
      <c r="B1037" s="45" t="n"/>
      <c r="C1037" s="46" t="n"/>
      <c r="D1037" s="46" t="n"/>
      <c r="E1037" s="47" t="n"/>
      <c r="F1037" s="47" t="n"/>
      <c r="G1037" s="43">
        <f>IF($B1037="","",N($E1037)+N($F1037))</f>
        <v/>
      </c>
      <c r="H1037" s="47" t="n"/>
      <c r="I1037" s="43">
        <f>IF($B1037="","",N($G1037)-N($H1037))</f>
        <v/>
      </c>
    </row>
    <row r="1038">
      <c r="A1038" s="39">
        <f>IF($B1038="","",COUNTA($B$4:$B1038))</f>
        <v/>
      </c>
      <c r="B1038" s="40" t="n"/>
      <c r="C1038" s="41" t="n"/>
      <c r="D1038" s="41" t="n"/>
      <c r="E1038" s="42" t="n"/>
      <c r="F1038" s="42" t="n"/>
      <c r="G1038" s="43">
        <f>IF($B1038="","",N($E1038)+N($F1038))</f>
        <v/>
      </c>
      <c r="H1038" s="42" t="n"/>
      <c r="I1038" s="43">
        <f>IF($B1038="","",N($G1038)-N($H1038))</f>
        <v/>
      </c>
    </row>
    <row r="1039">
      <c r="A1039" s="39">
        <f>IF($B1039="","",COUNTA($B$4:$B1039))</f>
        <v/>
      </c>
      <c r="B1039" s="45" t="n"/>
      <c r="C1039" s="46" t="n"/>
      <c r="D1039" s="46" t="n"/>
      <c r="E1039" s="47" t="n"/>
      <c r="F1039" s="47" t="n"/>
      <c r="G1039" s="43">
        <f>IF($B1039="","",N($E1039)+N($F1039))</f>
        <v/>
      </c>
      <c r="H1039" s="47" t="n"/>
      <c r="I1039" s="43">
        <f>IF($B1039="","",N($G1039)-N($H1039))</f>
        <v/>
      </c>
    </row>
    <row r="1040">
      <c r="A1040" s="39">
        <f>IF($B1040="","",COUNTA($B$4:$B1040))</f>
        <v/>
      </c>
      <c r="B1040" s="40" t="n"/>
      <c r="C1040" s="41" t="n"/>
      <c r="D1040" s="41" t="n"/>
      <c r="E1040" s="42" t="n"/>
      <c r="F1040" s="42" t="n"/>
      <c r="G1040" s="43">
        <f>IF($B1040="","",N($E1040)+N($F1040))</f>
        <v/>
      </c>
      <c r="H1040" s="42" t="n"/>
      <c r="I1040" s="43">
        <f>IF($B1040="","",N($G1040)-N($H1040))</f>
        <v/>
      </c>
    </row>
    <row r="1041">
      <c r="A1041" s="39">
        <f>IF($B1041="","",COUNTA($B$4:$B1041))</f>
        <v/>
      </c>
      <c r="B1041" s="45" t="n"/>
      <c r="C1041" s="46" t="n"/>
      <c r="D1041" s="46" t="n"/>
      <c r="E1041" s="47" t="n"/>
      <c r="F1041" s="47" t="n"/>
      <c r="G1041" s="43">
        <f>IF($B1041="","",N($E1041)+N($F1041))</f>
        <v/>
      </c>
      <c r="H1041" s="47" t="n"/>
      <c r="I1041" s="43">
        <f>IF($B1041="","",N($G1041)-N($H1041))</f>
        <v/>
      </c>
    </row>
    <row r="1042">
      <c r="A1042" s="39">
        <f>IF($B1042="","",COUNTA($B$4:$B1042))</f>
        <v/>
      </c>
      <c r="B1042" s="40" t="n"/>
      <c r="C1042" s="41" t="n"/>
      <c r="D1042" s="41" t="n"/>
      <c r="E1042" s="42" t="n"/>
      <c r="F1042" s="42" t="n"/>
      <c r="G1042" s="43">
        <f>IF($B1042="","",N($E1042)+N($F1042))</f>
        <v/>
      </c>
      <c r="H1042" s="42" t="n"/>
      <c r="I1042" s="43">
        <f>IF($B1042="","",N($G1042)-N($H1042))</f>
        <v/>
      </c>
    </row>
    <row r="1043">
      <c r="A1043" s="39">
        <f>IF($B1043="","",COUNTA($B$4:$B1043))</f>
        <v/>
      </c>
      <c r="B1043" s="45" t="n"/>
      <c r="C1043" s="46" t="n"/>
      <c r="D1043" s="46" t="n"/>
      <c r="E1043" s="47" t="n"/>
      <c r="F1043" s="47" t="n"/>
      <c r="G1043" s="43">
        <f>IF($B1043="","",N($E1043)+N($F1043))</f>
        <v/>
      </c>
      <c r="H1043" s="47" t="n"/>
      <c r="I1043" s="43">
        <f>IF($B1043="","",N($G1043)-N($H1043))</f>
        <v/>
      </c>
    </row>
    <row r="1044">
      <c r="A1044" s="39">
        <f>IF($B1044="","",COUNTA($B$4:$B1044))</f>
        <v/>
      </c>
      <c r="B1044" s="40" t="n"/>
      <c r="C1044" s="41" t="n"/>
      <c r="D1044" s="41" t="n"/>
      <c r="E1044" s="42" t="n"/>
      <c r="F1044" s="42" t="n"/>
      <c r="G1044" s="43">
        <f>IF($B1044="","",N($E1044)+N($F1044))</f>
        <v/>
      </c>
      <c r="H1044" s="42" t="n"/>
      <c r="I1044" s="43">
        <f>IF($B1044="","",N($G1044)-N($H1044))</f>
        <v/>
      </c>
    </row>
    <row r="1045">
      <c r="A1045" s="39">
        <f>IF($B1045="","",COUNTA($B$4:$B1045))</f>
        <v/>
      </c>
      <c r="B1045" s="45" t="n"/>
      <c r="C1045" s="46" t="n"/>
      <c r="D1045" s="46" t="n"/>
      <c r="E1045" s="47" t="n"/>
      <c r="F1045" s="47" t="n"/>
      <c r="G1045" s="43">
        <f>IF($B1045="","",N($E1045)+N($F1045))</f>
        <v/>
      </c>
      <c r="H1045" s="47" t="n"/>
      <c r="I1045" s="43">
        <f>IF($B1045="","",N($G1045)-N($H1045))</f>
        <v/>
      </c>
    </row>
    <row r="1046">
      <c r="A1046" s="39">
        <f>IF($B1046="","",COUNTA($B$4:$B1046))</f>
        <v/>
      </c>
      <c r="B1046" s="40" t="n"/>
      <c r="C1046" s="41" t="n"/>
      <c r="D1046" s="41" t="n"/>
      <c r="E1046" s="42" t="n"/>
      <c r="F1046" s="42" t="n"/>
      <c r="G1046" s="43">
        <f>IF($B1046="","",N($E1046)+N($F1046))</f>
        <v/>
      </c>
      <c r="H1046" s="42" t="n"/>
      <c r="I1046" s="43">
        <f>IF($B1046="","",N($G1046)-N($H1046))</f>
        <v/>
      </c>
    </row>
    <row r="1047">
      <c r="A1047" s="39">
        <f>IF($B1047="","",COUNTA($B$4:$B1047))</f>
        <v/>
      </c>
      <c r="B1047" s="45" t="n"/>
      <c r="C1047" s="46" t="n"/>
      <c r="D1047" s="46" t="n"/>
      <c r="E1047" s="47" t="n"/>
      <c r="F1047" s="47" t="n"/>
      <c r="G1047" s="43">
        <f>IF($B1047="","",N($E1047)+N($F1047))</f>
        <v/>
      </c>
      <c r="H1047" s="47" t="n"/>
      <c r="I1047" s="43">
        <f>IF($B1047="","",N($G1047)-N($H1047))</f>
        <v/>
      </c>
    </row>
    <row r="1048">
      <c r="A1048" s="39">
        <f>IF($B1048="","",COUNTA($B$4:$B1048))</f>
        <v/>
      </c>
      <c r="B1048" s="40" t="n"/>
      <c r="C1048" s="41" t="n"/>
      <c r="D1048" s="41" t="n"/>
      <c r="E1048" s="42" t="n"/>
      <c r="F1048" s="42" t="n"/>
      <c r="G1048" s="43">
        <f>IF($B1048="","",N($E1048)+N($F1048))</f>
        <v/>
      </c>
      <c r="H1048" s="42" t="n"/>
      <c r="I1048" s="43">
        <f>IF($B1048="","",N($G1048)-N($H1048))</f>
        <v/>
      </c>
    </row>
    <row r="1049">
      <c r="A1049" s="39">
        <f>IF($B1049="","",COUNTA($B$4:$B1049))</f>
        <v/>
      </c>
      <c r="B1049" s="45" t="n"/>
      <c r="C1049" s="46" t="n"/>
      <c r="D1049" s="46" t="n"/>
      <c r="E1049" s="47" t="n"/>
      <c r="F1049" s="47" t="n"/>
      <c r="G1049" s="43">
        <f>IF($B1049="","",N($E1049)+N($F1049))</f>
        <v/>
      </c>
      <c r="H1049" s="47" t="n"/>
      <c r="I1049" s="43">
        <f>IF($B1049="","",N($G1049)-N($H1049))</f>
        <v/>
      </c>
    </row>
    <row r="1050">
      <c r="A1050" s="39">
        <f>IF($B1050="","",COUNTA($B$4:$B1050))</f>
        <v/>
      </c>
      <c r="B1050" s="40" t="n"/>
      <c r="C1050" s="41" t="n"/>
      <c r="D1050" s="41" t="n"/>
      <c r="E1050" s="42" t="n"/>
      <c r="F1050" s="42" t="n"/>
      <c r="G1050" s="43">
        <f>IF($B1050="","",N($E1050)+N($F1050))</f>
        <v/>
      </c>
      <c r="H1050" s="42" t="n"/>
      <c r="I1050" s="43">
        <f>IF($B1050="","",N($G1050)-N($H1050))</f>
        <v/>
      </c>
    </row>
    <row r="1051">
      <c r="A1051" s="39">
        <f>IF($B1051="","",COUNTA($B$4:$B1051))</f>
        <v/>
      </c>
      <c r="B1051" s="45" t="n"/>
      <c r="C1051" s="46" t="n"/>
      <c r="D1051" s="46" t="n"/>
      <c r="E1051" s="47" t="n"/>
      <c r="F1051" s="47" t="n"/>
      <c r="G1051" s="43">
        <f>IF($B1051="","",N($E1051)+N($F1051))</f>
        <v/>
      </c>
      <c r="H1051" s="47" t="n"/>
      <c r="I1051" s="43">
        <f>IF($B1051="","",N($G1051)-N($H1051))</f>
        <v/>
      </c>
    </row>
    <row r="1052">
      <c r="A1052" s="39">
        <f>IF($B1052="","",COUNTA($B$4:$B1052))</f>
        <v/>
      </c>
      <c r="B1052" s="40" t="n"/>
      <c r="C1052" s="41" t="n"/>
      <c r="D1052" s="41" t="n"/>
      <c r="E1052" s="42" t="n"/>
      <c r="F1052" s="42" t="n"/>
      <c r="G1052" s="43">
        <f>IF($B1052="","",N($E1052)+N($F1052))</f>
        <v/>
      </c>
      <c r="H1052" s="42" t="n"/>
      <c r="I1052" s="43">
        <f>IF($B1052="","",N($G1052)-N($H1052))</f>
        <v/>
      </c>
    </row>
    <row r="1053">
      <c r="A1053" s="39">
        <f>IF($B1053="","",COUNTA($B$4:$B1053))</f>
        <v/>
      </c>
      <c r="B1053" s="45" t="n"/>
      <c r="C1053" s="46" t="n"/>
      <c r="D1053" s="46" t="n"/>
      <c r="E1053" s="47" t="n"/>
      <c r="F1053" s="47" t="n"/>
      <c r="G1053" s="43">
        <f>IF($B1053="","",N($E1053)+N($F1053))</f>
        <v/>
      </c>
      <c r="H1053" s="47" t="n"/>
      <c r="I1053" s="43">
        <f>IF($B1053="","",N($G1053)-N($H1053))</f>
        <v/>
      </c>
    </row>
    <row r="1054">
      <c r="A1054" s="39">
        <f>IF($B1054="","",COUNTA($B$4:$B1054))</f>
        <v/>
      </c>
      <c r="B1054" s="40" t="n"/>
      <c r="C1054" s="41" t="n"/>
      <c r="D1054" s="41" t="n"/>
      <c r="E1054" s="42" t="n"/>
      <c r="F1054" s="42" t="n"/>
      <c r="G1054" s="43">
        <f>IF($B1054="","",N($E1054)+N($F1054))</f>
        <v/>
      </c>
      <c r="H1054" s="42" t="n"/>
      <c r="I1054" s="43">
        <f>IF($B1054="","",N($G1054)-N($H1054))</f>
        <v/>
      </c>
    </row>
    <row r="1055">
      <c r="A1055" s="39">
        <f>IF($B1055="","",COUNTA($B$4:$B1055))</f>
        <v/>
      </c>
      <c r="B1055" s="45" t="n"/>
      <c r="C1055" s="46" t="n"/>
      <c r="D1055" s="46" t="n"/>
      <c r="E1055" s="47" t="n"/>
      <c r="F1055" s="47" t="n"/>
      <c r="G1055" s="43">
        <f>IF($B1055="","",N($E1055)+N($F1055))</f>
        <v/>
      </c>
      <c r="H1055" s="47" t="n"/>
      <c r="I1055" s="43">
        <f>IF($B1055="","",N($G1055)-N($H1055))</f>
        <v/>
      </c>
    </row>
    <row r="1056">
      <c r="A1056" s="39">
        <f>IF($B1056="","",COUNTA($B$4:$B1056))</f>
        <v/>
      </c>
      <c r="B1056" s="40" t="n"/>
      <c r="C1056" s="41" t="n"/>
      <c r="D1056" s="41" t="n"/>
      <c r="E1056" s="42" t="n"/>
      <c r="F1056" s="42" t="n"/>
      <c r="G1056" s="43">
        <f>IF($B1056="","",N($E1056)+N($F1056))</f>
        <v/>
      </c>
      <c r="H1056" s="42" t="n"/>
      <c r="I1056" s="43">
        <f>IF($B1056="","",N($G1056)-N($H1056))</f>
        <v/>
      </c>
    </row>
    <row r="1057">
      <c r="A1057" s="39">
        <f>IF($B1057="","",COUNTA($B$4:$B1057))</f>
        <v/>
      </c>
      <c r="B1057" s="45" t="n"/>
      <c r="C1057" s="46" t="n"/>
      <c r="D1057" s="46" t="n"/>
      <c r="E1057" s="47" t="n"/>
      <c r="F1057" s="47" t="n"/>
      <c r="G1057" s="43">
        <f>IF($B1057="","",N($E1057)+N($F1057))</f>
        <v/>
      </c>
      <c r="H1057" s="47" t="n"/>
      <c r="I1057" s="43">
        <f>IF($B1057="","",N($G1057)-N($H1057))</f>
        <v/>
      </c>
    </row>
    <row r="1058">
      <c r="A1058" s="39">
        <f>IF($B1058="","",COUNTA($B$4:$B1058))</f>
        <v/>
      </c>
      <c r="B1058" s="40" t="n"/>
      <c r="C1058" s="41" t="n"/>
      <c r="D1058" s="41" t="n"/>
      <c r="E1058" s="42" t="n"/>
      <c r="F1058" s="42" t="n"/>
      <c r="G1058" s="43">
        <f>IF($B1058="","",N($E1058)+N($F1058))</f>
        <v/>
      </c>
      <c r="H1058" s="42" t="n"/>
      <c r="I1058" s="43">
        <f>IF($B1058="","",N($G1058)-N($H1058))</f>
        <v/>
      </c>
    </row>
    <row r="1059">
      <c r="A1059" s="39">
        <f>IF($B1059="","",COUNTA($B$4:$B1059))</f>
        <v/>
      </c>
      <c r="B1059" s="45" t="n"/>
      <c r="C1059" s="46" t="n"/>
      <c r="D1059" s="46" t="n"/>
      <c r="E1059" s="47" t="n"/>
      <c r="F1059" s="47" t="n"/>
      <c r="G1059" s="43">
        <f>IF($B1059="","",N($E1059)+N($F1059))</f>
        <v/>
      </c>
      <c r="H1059" s="47" t="n"/>
      <c r="I1059" s="43">
        <f>IF($B1059="","",N($G1059)-N($H1059))</f>
        <v/>
      </c>
    </row>
    <row r="1060">
      <c r="A1060" s="39">
        <f>IF($B1060="","",COUNTA($B$4:$B1060))</f>
        <v/>
      </c>
      <c r="B1060" s="40" t="n"/>
      <c r="C1060" s="41" t="n"/>
      <c r="D1060" s="41" t="n"/>
      <c r="E1060" s="42" t="n"/>
      <c r="F1060" s="42" t="n"/>
      <c r="G1060" s="43">
        <f>IF($B1060="","",N($E1060)+N($F1060))</f>
        <v/>
      </c>
      <c r="H1060" s="42" t="n"/>
      <c r="I1060" s="43">
        <f>IF($B1060="","",N($G1060)-N($H1060))</f>
        <v/>
      </c>
    </row>
    <row r="1061">
      <c r="A1061" s="39">
        <f>IF($B1061="","",COUNTA($B$4:$B1061))</f>
        <v/>
      </c>
      <c r="B1061" s="45" t="n"/>
      <c r="C1061" s="46" t="n"/>
      <c r="D1061" s="46" t="n"/>
      <c r="E1061" s="47" t="n"/>
      <c r="F1061" s="47" t="n"/>
      <c r="G1061" s="43">
        <f>IF($B1061="","",N($E1061)+N($F1061))</f>
        <v/>
      </c>
      <c r="H1061" s="47" t="n"/>
      <c r="I1061" s="43">
        <f>IF($B1061="","",N($G1061)-N($H1061))</f>
        <v/>
      </c>
    </row>
    <row r="1062">
      <c r="A1062" s="39">
        <f>IF($B1062="","",COUNTA($B$4:$B1062))</f>
        <v/>
      </c>
      <c r="B1062" s="40" t="n"/>
      <c r="C1062" s="41" t="n"/>
      <c r="D1062" s="41" t="n"/>
      <c r="E1062" s="42" t="n"/>
      <c r="F1062" s="42" t="n"/>
      <c r="G1062" s="43">
        <f>IF($B1062="","",N($E1062)+N($F1062))</f>
        <v/>
      </c>
      <c r="H1062" s="42" t="n"/>
      <c r="I1062" s="43">
        <f>IF($B1062="","",N($G1062)-N($H1062))</f>
        <v/>
      </c>
    </row>
    <row r="1063">
      <c r="A1063" s="39">
        <f>IF($B1063="","",COUNTA($B$4:$B1063))</f>
        <v/>
      </c>
      <c r="B1063" s="45" t="n"/>
      <c r="C1063" s="46" t="n"/>
      <c r="D1063" s="46" t="n"/>
      <c r="E1063" s="47" t="n"/>
      <c r="F1063" s="47" t="n"/>
      <c r="G1063" s="43">
        <f>IF($B1063="","",N($E1063)+N($F1063))</f>
        <v/>
      </c>
      <c r="H1063" s="47" t="n"/>
      <c r="I1063" s="43">
        <f>IF($B1063="","",N($G1063)-N($H1063))</f>
        <v/>
      </c>
    </row>
    <row r="1064">
      <c r="A1064" s="39">
        <f>IF($B1064="","",COUNTA($B$4:$B1064))</f>
        <v/>
      </c>
      <c r="B1064" s="40" t="n"/>
      <c r="C1064" s="41" t="n"/>
      <c r="D1064" s="41" t="n"/>
      <c r="E1064" s="42" t="n"/>
      <c r="F1064" s="42" t="n"/>
      <c r="G1064" s="43">
        <f>IF($B1064="","",N($E1064)+N($F1064))</f>
        <v/>
      </c>
      <c r="H1064" s="42" t="n"/>
      <c r="I1064" s="43">
        <f>IF($B1064="","",N($G1064)-N($H1064))</f>
        <v/>
      </c>
    </row>
    <row r="1065">
      <c r="A1065" s="39">
        <f>IF($B1065="","",COUNTA($B$4:$B1065))</f>
        <v/>
      </c>
      <c r="B1065" s="45" t="n"/>
      <c r="C1065" s="46" t="n"/>
      <c r="D1065" s="46" t="n"/>
      <c r="E1065" s="47" t="n"/>
      <c r="F1065" s="47" t="n"/>
      <c r="G1065" s="43">
        <f>IF($B1065="","",N($E1065)+N($F1065))</f>
        <v/>
      </c>
      <c r="H1065" s="47" t="n"/>
      <c r="I1065" s="43">
        <f>IF($B1065="","",N($G1065)-N($H1065))</f>
        <v/>
      </c>
    </row>
    <row r="1066">
      <c r="A1066" s="39">
        <f>IF($B1066="","",COUNTA($B$4:$B1066))</f>
        <v/>
      </c>
      <c r="B1066" s="40" t="n"/>
      <c r="C1066" s="41" t="n"/>
      <c r="D1066" s="41" t="n"/>
      <c r="E1066" s="42" t="n"/>
      <c r="F1066" s="42" t="n"/>
      <c r="G1066" s="43">
        <f>IF($B1066="","",N($E1066)+N($F1066))</f>
        <v/>
      </c>
      <c r="H1066" s="42" t="n"/>
      <c r="I1066" s="43">
        <f>IF($B1066="","",N($G1066)-N($H1066))</f>
        <v/>
      </c>
    </row>
    <row r="1067">
      <c r="A1067" s="39">
        <f>IF($B1067="","",COUNTA($B$4:$B1067))</f>
        <v/>
      </c>
      <c r="B1067" s="45" t="n"/>
      <c r="C1067" s="46" t="n"/>
      <c r="D1067" s="46" t="n"/>
      <c r="E1067" s="47" t="n"/>
      <c r="F1067" s="47" t="n"/>
      <c r="G1067" s="43">
        <f>IF($B1067="","",N($E1067)+N($F1067))</f>
        <v/>
      </c>
      <c r="H1067" s="47" t="n"/>
      <c r="I1067" s="43">
        <f>IF($B1067="","",N($G1067)-N($H1067))</f>
        <v/>
      </c>
    </row>
    <row r="1068">
      <c r="A1068" s="39">
        <f>IF($B1068="","",COUNTA($B$4:$B1068))</f>
        <v/>
      </c>
      <c r="B1068" s="40" t="n"/>
      <c r="C1068" s="41" t="n"/>
      <c r="D1068" s="41" t="n"/>
      <c r="E1068" s="42" t="n"/>
      <c r="F1068" s="42" t="n"/>
      <c r="G1068" s="43">
        <f>IF($B1068="","",N($E1068)+N($F1068))</f>
        <v/>
      </c>
      <c r="H1068" s="42" t="n"/>
      <c r="I1068" s="43">
        <f>IF($B1068="","",N($G1068)-N($H1068))</f>
        <v/>
      </c>
    </row>
    <row r="1069">
      <c r="A1069" s="39">
        <f>IF($B1069="","",COUNTA($B$4:$B1069))</f>
        <v/>
      </c>
      <c r="B1069" s="45" t="n"/>
      <c r="C1069" s="46" t="n"/>
      <c r="D1069" s="46" t="n"/>
      <c r="E1069" s="47" t="n"/>
      <c r="F1069" s="47" t="n"/>
      <c r="G1069" s="43">
        <f>IF($B1069="","",N($E1069)+N($F1069))</f>
        <v/>
      </c>
      <c r="H1069" s="47" t="n"/>
      <c r="I1069" s="43">
        <f>IF($B1069="","",N($G1069)-N($H1069))</f>
        <v/>
      </c>
    </row>
    <row r="1070">
      <c r="A1070" s="39">
        <f>IF($B1070="","",COUNTA($B$4:$B1070))</f>
        <v/>
      </c>
      <c r="B1070" s="40" t="n"/>
      <c r="C1070" s="41" t="n"/>
      <c r="D1070" s="41" t="n"/>
      <c r="E1070" s="42" t="n"/>
      <c r="F1070" s="42" t="n"/>
      <c r="G1070" s="43">
        <f>IF($B1070="","",N($E1070)+N($F1070))</f>
        <v/>
      </c>
      <c r="H1070" s="42" t="n"/>
      <c r="I1070" s="43">
        <f>IF($B1070="","",N($G1070)-N($H1070))</f>
        <v/>
      </c>
    </row>
    <row r="1071">
      <c r="A1071" s="39">
        <f>IF($B1071="","",COUNTA($B$4:$B1071))</f>
        <v/>
      </c>
      <c r="B1071" s="45" t="n"/>
      <c r="C1071" s="46" t="n"/>
      <c r="D1071" s="46" t="n"/>
      <c r="E1071" s="47" t="n"/>
      <c r="F1071" s="47" t="n"/>
      <c r="G1071" s="43">
        <f>IF($B1071="","",N($E1071)+N($F1071))</f>
        <v/>
      </c>
      <c r="H1071" s="47" t="n"/>
      <c r="I1071" s="43">
        <f>IF($B1071="","",N($G1071)-N($H1071))</f>
        <v/>
      </c>
    </row>
    <row r="1072">
      <c r="A1072" s="39">
        <f>IF($B1072="","",COUNTA($B$4:$B1072))</f>
        <v/>
      </c>
      <c r="B1072" s="40" t="n"/>
      <c r="C1072" s="41" t="n"/>
      <c r="D1072" s="41" t="n"/>
      <c r="E1072" s="42" t="n"/>
      <c r="F1072" s="42" t="n"/>
      <c r="G1072" s="43">
        <f>IF($B1072="","",N($E1072)+N($F1072))</f>
        <v/>
      </c>
      <c r="H1072" s="42" t="n"/>
      <c r="I1072" s="43">
        <f>IF($B1072="","",N($G1072)-N($H1072))</f>
        <v/>
      </c>
    </row>
    <row r="1073">
      <c r="A1073" s="39">
        <f>IF($B1073="","",COUNTA($B$4:$B1073))</f>
        <v/>
      </c>
      <c r="B1073" s="45" t="n"/>
      <c r="C1073" s="46" t="n"/>
      <c r="D1073" s="46" t="n"/>
      <c r="E1073" s="47" t="n"/>
      <c r="F1073" s="47" t="n"/>
      <c r="G1073" s="43">
        <f>IF($B1073="","",N($E1073)+N($F1073))</f>
        <v/>
      </c>
      <c r="H1073" s="47" t="n"/>
      <c r="I1073" s="43">
        <f>IF($B1073="","",N($G1073)-N($H1073))</f>
        <v/>
      </c>
    </row>
    <row r="1074">
      <c r="A1074" s="39">
        <f>IF($B1074="","",COUNTA($B$4:$B1074))</f>
        <v/>
      </c>
      <c r="B1074" s="40" t="n"/>
      <c r="C1074" s="41" t="n"/>
      <c r="D1074" s="41" t="n"/>
      <c r="E1074" s="42" t="n"/>
      <c r="F1074" s="42" t="n"/>
      <c r="G1074" s="43">
        <f>IF($B1074="","",N($E1074)+N($F1074))</f>
        <v/>
      </c>
      <c r="H1074" s="42" t="n"/>
      <c r="I1074" s="43">
        <f>IF($B1074="","",N($G1074)-N($H1074))</f>
        <v/>
      </c>
    </row>
    <row r="1075">
      <c r="A1075" s="39">
        <f>IF($B1075="","",COUNTA($B$4:$B1075))</f>
        <v/>
      </c>
      <c r="B1075" s="45" t="n"/>
      <c r="C1075" s="46" t="n"/>
      <c r="D1075" s="46" t="n"/>
      <c r="E1075" s="47" t="n"/>
      <c r="F1075" s="47" t="n"/>
      <c r="G1075" s="43">
        <f>IF($B1075="","",N($E1075)+N($F1075))</f>
        <v/>
      </c>
      <c r="H1075" s="47" t="n"/>
      <c r="I1075" s="43">
        <f>IF($B1075="","",N($G1075)-N($H1075))</f>
        <v/>
      </c>
    </row>
    <row r="1076">
      <c r="A1076" s="39">
        <f>IF($B1076="","",COUNTA($B$4:$B1076))</f>
        <v/>
      </c>
      <c r="B1076" s="40" t="n"/>
      <c r="C1076" s="41" t="n"/>
      <c r="D1076" s="41" t="n"/>
      <c r="E1076" s="42" t="n"/>
      <c r="F1076" s="42" t="n"/>
      <c r="G1076" s="43">
        <f>IF($B1076="","",N($E1076)+N($F1076))</f>
        <v/>
      </c>
      <c r="H1076" s="42" t="n"/>
      <c r="I1076" s="43">
        <f>IF($B1076="","",N($G1076)-N($H1076))</f>
        <v/>
      </c>
    </row>
    <row r="1077">
      <c r="A1077" s="39">
        <f>IF($B1077="","",COUNTA($B$4:$B1077))</f>
        <v/>
      </c>
      <c r="B1077" s="45" t="n"/>
      <c r="C1077" s="46" t="n"/>
      <c r="D1077" s="46" t="n"/>
      <c r="E1077" s="47" t="n"/>
      <c r="F1077" s="47" t="n"/>
      <c r="G1077" s="43">
        <f>IF($B1077="","",N($E1077)+N($F1077))</f>
        <v/>
      </c>
      <c r="H1077" s="47" t="n"/>
      <c r="I1077" s="43">
        <f>IF($B1077="","",N($G1077)-N($H1077))</f>
        <v/>
      </c>
    </row>
    <row r="1078">
      <c r="A1078" s="39">
        <f>IF($B1078="","",COUNTA($B$4:$B1078))</f>
        <v/>
      </c>
      <c r="B1078" s="40" t="n"/>
      <c r="C1078" s="41" t="n"/>
      <c r="D1078" s="41" t="n"/>
      <c r="E1078" s="42" t="n"/>
      <c r="F1078" s="42" t="n"/>
      <c r="G1078" s="43">
        <f>IF($B1078="","",N($E1078)+N($F1078))</f>
        <v/>
      </c>
      <c r="H1078" s="42" t="n"/>
      <c r="I1078" s="43">
        <f>IF($B1078="","",N($G1078)-N($H1078))</f>
        <v/>
      </c>
    </row>
    <row r="1079">
      <c r="A1079" s="39">
        <f>IF($B1079="","",COUNTA($B$4:$B1079))</f>
        <v/>
      </c>
      <c r="B1079" s="45" t="n"/>
      <c r="C1079" s="46" t="n"/>
      <c r="D1079" s="46" t="n"/>
      <c r="E1079" s="47" t="n"/>
      <c r="F1079" s="47" t="n"/>
      <c r="G1079" s="43">
        <f>IF($B1079="","",N($E1079)+N($F1079))</f>
        <v/>
      </c>
      <c r="H1079" s="47" t="n"/>
      <c r="I1079" s="43">
        <f>IF($B1079="","",N($G1079)-N($H1079))</f>
        <v/>
      </c>
    </row>
    <row r="1080">
      <c r="A1080" s="39">
        <f>IF($B1080="","",COUNTA($B$4:$B1080))</f>
        <v/>
      </c>
      <c r="B1080" s="40" t="n"/>
      <c r="C1080" s="41" t="n"/>
      <c r="D1080" s="41" t="n"/>
      <c r="E1080" s="42" t="n"/>
      <c r="F1080" s="42" t="n"/>
      <c r="G1080" s="43">
        <f>IF($B1080="","",N($E1080)+N($F1080))</f>
        <v/>
      </c>
      <c r="H1080" s="42" t="n"/>
      <c r="I1080" s="43">
        <f>IF($B1080="","",N($G1080)-N($H1080))</f>
        <v/>
      </c>
    </row>
    <row r="1081">
      <c r="A1081" s="39">
        <f>IF($B1081="","",COUNTA($B$4:$B1081))</f>
        <v/>
      </c>
      <c r="B1081" s="45" t="n"/>
      <c r="C1081" s="46" t="n"/>
      <c r="D1081" s="46" t="n"/>
      <c r="E1081" s="47" t="n"/>
      <c r="F1081" s="47" t="n"/>
      <c r="G1081" s="43">
        <f>IF($B1081="","",N($E1081)+N($F1081))</f>
        <v/>
      </c>
      <c r="H1081" s="47" t="n"/>
      <c r="I1081" s="43">
        <f>IF($B1081="","",N($G1081)-N($H1081))</f>
        <v/>
      </c>
    </row>
    <row r="1082">
      <c r="A1082" s="39">
        <f>IF($B1082="","",COUNTA($B$4:$B1082))</f>
        <v/>
      </c>
      <c r="B1082" s="40" t="n"/>
      <c r="C1082" s="41" t="n"/>
      <c r="D1082" s="41" t="n"/>
      <c r="E1082" s="42" t="n"/>
      <c r="F1082" s="42" t="n"/>
      <c r="G1082" s="43">
        <f>IF($B1082="","",N($E1082)+N($F1082))</f>
        <v/>
      </c>
      <c r="H1082" s="42" t="n"/>
      <c r="I1082" s="43">
        <f>IF($B1082="","",N($G1082)-N($H1082))</f>
        <v/>
      </c>
    </row>
    <row r="1083">
      <c r="A1083" s="39">
        <f>IF($B1083="","",COUNTA($B$4:$B1083))</f>
        <v/>
      </c>
      <c r="B1083" s="45" t="n"/>
      <c r="C1083" s="46" t="n"/>
      <c r="D1083" s="46" t="n"/>
      <c r="E1083" s="47" t="n"/>
      <c r="F1083" s="47" t="n"/>
      <c r="G1083" s="43">
        <f>IF($B1083="","",N($E1083)+N($F1083))</f>
        <v/>
      </c>
      <c r="H1083" s="47" t="n"/>
      <c r="I1083" s="43">
        <f>IF($B1083="","",N($G1083)-N($H1083))</f>
        <v/>
      </c>
    </row>
    <row r="1084">
      <c r="A1084" s="39">
        <f>IF($B1084="","",COUNTA($B$4:$B1084))</f>
        <v/>
      </c>
      <c r="B1084" s="40" t="n"/>
      <c r="C1084" s="41" t="n"/>
      <c r="D1084" s="41" t="n"/>
      <c r="E1084" s="42" t="n"/>
      <c r="F1084" s="42" t="n"/>
      <c r="G1084" s="43">
        <f>IF($B1084="","",N($E1084)+N($F1084))</f>
        <v/>
      </c>
      <c r="H1084" s="42" t="n"/>
      <c r="I1084" s="43">
        <f>IF($B1084="","",N($G1084)-N($H1084))</f>
        <v/>
      </c>
    </row>
    <row r="1085">
      <c r="A1085" s="39">
        <f>IF($B1085="","",COUNTA($B$4:$B1085))</f>
        <v/>
      </c>
      <c r="B1085" s="45" t="n"/>
      <c r="C1085" s="46" t="n"/>
      <c r="D1085" s="46" t="n"/>
      <c r="E1085" s="47" t="n"/>
      <c r="F1085" s="47" t="n"/>
      <c r="G1085" s="43">
        <f>IF($B1085="","",N($E1085)+N($F1085))</f>
        <v/>
      </c>
      <c r="H1085" s="47" t="n"/>
      <c r="I1085" s="43">
        <f>IF($B1085="","",N($G1085)-N($H1085))</f>
        <v/>
      </c>
    </row>
    <row r="1086">
      <c r="A1086" s="39">
        <f>IF($B1086="","",COUNTA($B$4:$B1086))</f>
        <v/>
      </c>
      <c r="B1086" s="40" t="n"/>
      <c r="C1086" s="41" t="n"/>
      <c r="D1086" s="41" t="n"/>
      <c r="E1086" s="42" t="n"/>
      <c r="F1086" s="42" t="n"/>
      <c r="G1086" s="43">
        <f>IF($B1086="","",N($E1086)+N($F1086))</f>
        <v/>
      </c>
      <c r="H1086" s="42" t="n"/>
      <c r="I1086" s="43">
        <f>IF($B1086="","",N($G1086)-N($H1086))</f>
        <v/>
      </c>
    </row>
    <row r="1087">
      <c r="A1087" s="39">
        <f>IF($B1087="","",COUNTA($B$4:$B1087))</f>
        <v/>
      </c>
      <c r="B1087" s="45" t="n"/>
      <c r="C1087" s="46" t="n"/>
      <c r="D1087" s="46" t="n"/>
      <c r="E1087" s="47" t="n"/>
      <c r="F1087" s="47" t="n"/>
      <c r="G1087" s="43">
        <f>IF($B1087="","",N($E1087)+N($F1087))</f>
        <v/>
      </c>
      <c r="H1087" s="47" t="n"/>
      <c r="I1087" s="43">
        <f>IF($B1087="","",N($G1087)-N($H1087))</f>
        <v/>
      </c>
    </row>
    <row r="1088">
      <c r="A1088" s="39">
        <f>IF($B1088="","",COUNTA($B$4:$B1088))</f>
        <v/>
      </c>
      <c r="B1088" s="40" t="n"/>
      <c r="C1088" s="41" t="n"/>
      <c r="D1088" s="41" t="n"/>
      <c r="E1088" s="42" t="n"/>
      <c r="F1088" s="42" t="n"/>
      <c r="G1088" s="43">
        <f>IF($B1088="","",N($E1088)+N($F1088))</f>
        <v/>
      </c>
      <c r="H1088" s="42" t="n"/>
      <c r="I1088" s="43">
        <f>IF($B1088="","",N($G1088)-N($H1088))</f>
        <v/>
      </c>
    </row>
    <row r="1089">
      <c r="A1089" s="39">
        <f>IF($B1089="","",COUNTA($B$4:$B1089))</f>
        <v/>
      </c>
      <c r="B1089" s="45" t="n"/>
      <c r="C1089" s="46" t="n"/>
      <c r="D1089" s="46" t="n"/>
      <c r="E1089" s="47" t="n"/>
      <c r="F1089" s="47" t="n"/>
      <c r="G1089" s="43">
        <f>IF($B1089="","",N($E1089)+N($F1089))</f>
        <v/>
      </c>
      <c r="H1089" s="47" t="n"/>
      <c r="I1089" s="43">
        <f>IF($B1089="","",N($G1089)-N($H1089))</f>
        <v/>
      </c>
    </row>
    <row r="1090">
      <c r="A1090" s="39">
        <f>IF($B1090="","",COUNTA($B$4:$B1090))</f>
        <v/>
      </c>
      <c r="B1090" s="40" t="n"/>
      <c r="C1090" s="41" t="n"/>
      <c r="D1090" s="41" t="n"/>
      <c r="E1090" s="42" t="n"/>
      <c r="F1090" s="42" t="n"/>
      <c r="G1090" s="43">
        <f>IF($B1090="","",N($E1090)+N($F1090))</f>
        <v/>
      </c>
      <c r="H1090" s="42" t="n"/>
      <c r="I1090" s="43">
        <f>IF($B1090="","",N($G1090)-N($H1090))</f>
        <v/>
      </c>
    </row>
    <row r="1091">
      <c r="A1091" s="39">
        <f>IF($B1091="","",COUNTA($B$4:$B1091))</f>
        <v/>
      </c>
      <c r="B1091" s="45" t="n"/>
      <c r="C1091" s="46" t="n"/>
      <c r="D1091" s="46" t="n"/>
      <c r="E1091" s="47" t="n"/>
      <c r="F1091" s="47" t="n"/>
      <c r="G1091" s="43">
        <f>IF($B1091="","",N($E1091)+N($F1091))</f>
        <v/>
      </c>
      <c r="H1091" s="47" t="n"/>
      <c r="I1091" s="43">
        <f>IF($B1091="","",N($G1091)-N($H1091))</f>
        <v/>
      </c>
    </row>
    <row r="1092">
      <c r="A1092" s="39">
        <f>IF($B1092="","",COUNTA($B$4:$B1092))</f>
        <v/>
      </c>
      <c r="B1092" s="40" t="n"/>
      <c r="C1092" s="41" t="n"/>
      <c r="D1092" s="41" t="n"/>
      <c r="E1092" s="42" t="n"/>
      <c r="F1092" s="42" t="n"/>
      <c r="G1092" s="43">
        <f>IF($B1092="","",N($E1092)+N($F1092))</f>
        <v/>
      </c>
      <c r="H1092" s="42" t="n"/>
      <c r="I1092" s="43">
        <f>IF($B1092="","",N($G1092)-N($H1092))</f>
        <v/>
      </c>
    </row>
    <row r="1093">
      <c r="A1093" s="39">
        <f>IF($B1093="","",COUNTA($B$4:$B1093))</f>
        <v/>
      </c>
      <c r="B1093" s="45" t="n"/>
      <c r="C1093" s="46" t="n"/>
      <c r="D1093" s="46" t="n"/>
      <c r="E1093" s="47" t="n"/>
      <c r="F1093" s="47" t="n"/>
      <c r="G1093" s="43">
        <f>IF($B1093="","",N($E1093)+N($F1093))</f>
        <v/>
      </c>
      <c r="H1093" s="47" t="n"/>
      <c r="I1093" s="43">
        <f>IF($B1093="","",N($G1093)-N($H1093))</f>
        <v/>
      </c>
    </row>
    <row r="1094">
      <c r="A1094" s="39">
        <f>IF($B1094="","",COUNTA($B$4:$B1094))</f>
        <v/>
      </c>
      <c r="B1094" s="40" t="n"/>
      <c r="C1094" s="41" t="n"/>
      <c r="D1094" s="41" t="n"/>
      <c r="E1094" s="42" t="n"/>
      <c r="F1094" s="42" t="n"/>
      <c r="G1094" s="43">
        <f>IF($B1094="","",N($E1094)+N($F1094))</f>
        <v/>
      </c>
      <c r="H1094" s="42" t="n"/>
      <c r="I1094" s="43">
        <f>IF($B1094="","",N($G1094)-N($H1094))</f>
        <v/>
      </c>
    </row>
    <row r="1095">
      <c r="A1095" s="39">
        <f>IF($B1095="","",COUNTA($B$4:$B1095))</f>
        <v/>
      </c>
      <c r="B1095" s="45" t="n"/>
      <c r="C1095" s="46" t="n"/>
      <c r="D1095" s="46" t="n"/>
      <c r="E1095" s="47" t="n"/>
      <c r="F1095" s="47" t="n"/>
      <c r="G1095" s="43">
        <f>IF($B1095="","",N($E1095)+N($F1095))</f>
        <v/>
      </c>
      <c r="H1095" s="47" t="n"/>
      <c r="I1095" s="43">
        <f>IF($B1095="","",N($G1095)-N($H1095))</f>
        <v/>
      </c>
    </row>
    <row r="1096">
      <c r="A1096" s="39">
        <f>IF($B1096="","",COUNTA($B$4:$B1096))</f>
        <v/>
      </c>
      <c r="B1096" s="40" t="n"/>
      <c r="C1096" s="41" t="n"/>
      <c r="D1096" s="41" t="n"/>
      <c r="E1096" s="42" t="n"/>
      <c r="F1096" s="42" t="n"/>
      <c r="G1096" s="43">
        <f>IF($B1096="","",N($E1096)+N($F1096))</f>
        <v/>
      </c>
      <c r="H1096" s="42" t="n"/>
      <c r="I1096" s="43">
        <f>IF($B1096="","",N($G1096)-N($H1096))</f>
        <v/>
      </c>
    </row>
    <row r="1097">
      <c r="A1097" s="39">
        <f>IF($B1097="","",COUNTA($B$4:$B1097))</f>
        <v/>
      </c>
      <c r="B1097" s="45" t="n"/>
      <c r="C1097" s="46" t="n"/>
      <c r="D1097" s="46" t="n"/>
      <c r="E1097" s="47" t="n"/>
      <c r="F1097" s="47" t="n"/>
      <c r="G1097" s="43">
        <f>IF($B1097="","",N($E1097)+N($F1097))</f>
        <v/>
      </c>
      <c r="H1097" s="47" t="n"/>
      <c r="I1097" s="43">
        <f>IF($B1097="","",N($G1097)-N($H1097))</f>
        <v/>
      </c>
    </row>
    <row r="1098">
      <c r="A1098" s="39">
        <f>IF($B1098="","",COUNTA($B$4:$B1098))</f>
        <v/>
      </c>
      <c r="B1098" s="40" t="n"/>
      <c r="C1098" s="41" t="n"/>
      <c r="D1098" s="41" t="n"/>
      <c r="E1098" s="42" t="n"/>
      <c r="F1098" s="42" t="n"/>
      <c r="G1098" s="43">
        <f>IF($B1098="","",N($E1098)+N($F1098))</f>
        <v/>
      </c>
      <c r="H1098" s="42" t="n"/>
      <c r="I1098" s="43">
        <f>IF($B1098="","",N($G1098)-N($H1098))</f>
        <v/>
      </c>
    </row>
    <row r="1099">
      <c r="A1099" s="39">
        <f>IF($B1099="","",COUNTA($B$4:$B1099))</f>
        <v/>
      </c>
      <c r="B1099" s="45" t="n"/>
      <c r="C1099" s="46" t="n"/>
      <c r="D1099" s="46" t="n"/>
      <c r="E1099" s="47" t="n"/>
      <c r="F1099" s="47" t="n"/>
      <c r="G1099" s="43">
        <f>IF($B1099="","",N($E1099)+N($F1099))</f>
        <v/>
      </c>
      <c r="H1099" s="47" t="n"/>
      <c r="I1099" s="43">
        <f>IF($B1099="","",N($G1099)-N($H1099))</f>
        <v/>
      </c>
    </row>
    <row r="1100">
      <c r="A1100" s="39">
        <f>IF($B1100="","",COUNTA($B$4:$B1100))</f>
        <v/>
      </c>
      <c r="B1100" s="40" t="n"/>
      <c r="C1100" s="41" t="n"/>
      <c r="D1100" s="41" t="n"/>
      <c r="E1100" s="42" t="n"/>
      <c r="F1100" s="42" t="n"/>
      <c r="G1100" s="43">
        <f>IF($B1100="","",N($E1100)+N($F1100))</f>
        <v/>
      </c>
      <c r="H1100" s="42" t="n"/>
      <c r="I1100" s="43">
        <f>IF($B1100="","",N($G1100)-N($H1100))</f>
        <v/>
      </c>
    </row>
    <row r="1101">
      <c r="A1101" s="39">
        <f>IF($B1101="","",COUNTA($B$4:$B1101))</f>
        <v/>
      </c>
      <c r="B1101" s="45" t="n"/>
      <c r="C1101" s="46" t="n"/>
      <c r="D1101" s="46" t="n"/>
      <c r="E1101" s="47" t="n"/>
      <c r="F1101" s="47" t="n"/>
      <c r="G1101" s="43">
        <f>IF($B1101="","",N($E1101)+N($F1101))</f>
        <v/>
      </c>
      <c r="H1101" s="47" t="n"/>
      <c r="I1101" s="43">
        <f>IF($B1101="","",N($G1101)-N($H1101))</f>
        <v/>
      </c>
    </row>
    <row r="1102">
      <c r="A1102" s="39">
        <f>IF($B1102="","",COUNTA($B$4:$B1102))</f>
        <v/>
      </c>
      <c r="B1102" s="40" t="n"/>
      <c r="C1102" s="41" t="n"/>
      <c r="D1102" s="41" t="n"/>
      <c r="E1102" s="42" t="n"/>
      <c r="F1102" s="42" t="n"/>
      <c r="G1102" s="43">
        <f>IF($B1102="","",N($E1102)+N($F1102))</f>
        <v/>
      </c>
      <c r="H1102" s="42" t="n"/>
      <c r="I1102" s="43">
        <f>IF($B1102="","",N($G1102)-N($H1102))</f>
        <v/>
      </c>
    </row>
    <row r="1103">
      <c r="A1103" s="39">
        <f>IF($B1103="","",COUNTA($B$4:$B1103))</f>
        <v/>
      </c>
      <c r="B1103" s="45" t="n"/>
      <c r="C1103" s="46" t="n"/>
      <c r="D1103" s="46" t="n"/>
      <c r="E1103" s="47" t="n"/>
      <c r="F1103" s="47" t="n"/>
      <c r="G1103" s="43">
        <f>IF($B1103="","",N($E1103)+N($F1103))</f>
        <v/>
      </c>
      <c r="H1103" s="47" t="n"/>
      <c r="I1103" s="43">
        <f>IF($B1103="","",N($G1103)-N($H1103))</f>
        <v/>
      </c>
    </row>
    <row r="1104">
      <c r="A1104" s="39">
        <f>IF($B1104="","",COUNTA($B$4:$B1104))</f>
        <v/>
      </c>
      <c r="B1104" s="40" t="n"/>
      <c r="C1104" s="41" t="n"/>
      <c r="D1104" s="41" t="n"/>
      <c r="E1104" s="42" t="n"/>
      <c r="F1104" s="42" t="n"/>
      <c r="G1104" s="43">
        <f>IF($B1104="","",N($E1104)+N($F1104))</f>
        <v/>
      </c>
      <c r="H1104" s="42" t="n"/>
      <c r="I1104" s="43">
        <f>IF($B1104="","",N($G1104)-N($H1104))</f>
        <v/>
      </c>
    </row>
    <row r="1105">
      <c r="A1105" s="39">
        <f>IF($B1105="","",COUNTA($B$4:$B1105))</f>
        <v/>
      </c>
      <c r="B1105" s="45" t="n"/>
      <c r="C1105" s="46" t="n"/>
      <c r="D1105" s="46" t="n"/>
      <c r="E1105" s="47" t="n"/>
      <c r="F1105" s="47" t="n"/>
      <c r="G1105" s="43">
        <f>IF($B1105="","",N($E1105)+N($F1105))</f>
        <v/>
      </c>
      <c r="H1105" s="47" t="n"/>
      <c r="I1105" s="43">
        <f>IF($B1105="","",N($G1105)-N($H1105))</f>
        <v/>
      </c>
    </row>
    <row r="1106">
      <c r="A1106" s="39">
        <f>IF($B1106="","",COUNTA($B$4:$B1106))</f>
        <v/>
      </c>
      <c r="B1106" s="40" t="n"/>
      <c r="C1106" s="41" t="n"/>
      <c r="D1106" s="41" t="n"/>
      <c r="E1106" s="42" t="n"/>
      <c r="F1106" s="42" t="n"/>
      <c r="G1106" s="43">
        <f>IF($B1106="","",N($E1106)+N($F1106))</f>
        <v/>
      </c>
      <c r="H1106" s="42" t="n"/>
      <c r="I1106" s="43">
        <f>IF($B1106="","",N($G1106)-N($H1106))</f>
        <v/>
      </c>
    </row>
    <row r="1107">
      <c r="A1107" s="39">
        <f>IF($B1107="","",COUNTA($B$4:$B1107))</f>
        <v/>
      </c>
      <c r="B1107" s="45" t="n"/>
      <c r="C1107" s="46" t="n"/>
      <c r="D1107" s="46" t="n"/>
      <c r="E1107" s="47" t="n"/>
      <c r="F1107" s="47" t="n"/>
      <c r="G1107" s="43">
        <f>IF($B1107="","",N($E1107)+N($F1107))</f>
        <v/>
      </c>
      <c r="H1107" s="47" t="n"/>
      <c r="I1107" s="43">
        <f>IF($B1107="","",N($G1107)-N($H1107))</f>
        <v/>
      </c>
    </row>
    <row r="1108">
      <c r="A1108" s="39">
        <f>IF($B1108="","",COUNTA($B$4:$B1108))</f>
        <v/>
      </c>
      <c r="B1108" s="40" t="n"/>
      <c r="C1108" s="41" t="n"/>
      <c r="D1108" s="41" t="n"/>
      <c r="E1108" s="42" t="n"/>
      <c r="F1108" s="42" t="n"/>
      <c r="G1108" s="43">
        <f>IF($B1108="","",N($E1108)+N($F1108))</f>
        <v/>
      </c>
      <c r="H1108" s="42" t="n"/>
      <c r="I1108" s="43">
        <f>IF($B1108="","",N($G1108)-N($H1108))</f>
        <v/>
      </c>
    </row>
    <row r="1109">
      <c r="A1109" s="39">
        <f>IF($B1109="","",COUNTA($B$4:$B1109))</f>
        <v/>
      </c>
      <c r="B1109" s="45" t="n"/>
      <c r="C1109" s="46" t="n"/>
      <c r="D1109" s="46" t="n"/>
      <c r="E1109" s="47" t="n"/>
      <c r="F1109" s="47" t="n"/>
      <c r="G1109" s="43">
        <f>IF($B1109="","",N($E1109)+N($F1109))</f>
        <v/>
      </c>
      <c r="H1109" s="47" t="n"/>
      <c r="I1109" s="43">
        <f>IF($B1109="","",N($G1109)-N($H1109))</f>
        <v/>
      </c>
    </row>
    <row r="1110">
      <c r="A1110" s="39">
        <f>IF($B1110="","",COUNTA($B$4:$B1110))</f>
        <v/>
      </c>
      <c r="B1110" s="40" t="n"/>
      <c r="C1110" s="41" t="n"/>
      <c r="D1110" s="41" t="n"/>
      <c r="E1110" s="42" t="n"/>
      <c r="F1110" s="42" t="n"/>
      <c r="G1110" s="43">
        <f>IF($B1110="","",N($E1110)+N($F1110))</f>
        <v/>
      </c>
      <c r="H1110" s="42" t="n"/>
      <c r="I1110" s="43">
        <f>IF($B1110="","",N($G1110)-N($H1110))</f>
        <v/>
      </c>
    </row>
    <row r="1111">
      <c r="A1111" s="39">
        <f>IF($B1111="","",COUNTA($B$4:$B1111))</f>
        <v/>
      </c>
      <c r="B1111" s="45" t="n"/>
      <c r="C1111" s="46" t="n"/>
      <c r="D1111" s="46" t="n"/>
      <c r="E1111" s="47" t="n"/>
      <c r="F1111" s="47" t="n"/>
      <c r="G1111" s="43">
        <f>IF($B1111="","",N($E1111)+N($F1111))</f>
        <v/>
      </c>
      <c r="H1111" s="47" t="n"/>
      <c r="I1111" s="43">
        <f>IF($B1111="","",N($G1111)-N($H1111))</f>
        <v/>
      </c>
    </row>
    <row r="1112">
      <c r="A1112" s="39">
        <f>IF($B1112="","",COUNTA($B$4:$B1112))</f>
        <v/>
      </c>
      <c r="B1112" s="40" t="n"/>
      <c r="C1112" s="41" t="n"/>
      <c r="D1112" s="41" t="n"/>
      <c r="E1112" s="42" t="n"/>
      <c r="F1112" s="42" t="n"/>
      <c r="G1112" s="43">
        <f>IF($B1112="","",N($E1112)+N($F1112))</f>
        <v/>
      </c>
      <c r="H1112" s="42" t="n"/>
      <c r="I1112" s="43">
        <f>IF($B1112="","",N($G1112)-N($H1112))</f>
        <v/>
      </c>
    </row>
    <row r="1113">
      <c r="A1113" s="39">
        <f>IF($B1113="","",COUNTA($B$4:$B1113))</f>
        <v/>
      </c>
      <c r="B1113" s="45" t="n"/>
      <c r="C1113" s="46" t="n"/>
      <c r="D1113" s="46" t="n"/>
      <c r="E1113" s="47" t="n"/>
      <c r="F1113" s="47" t="n"/>
      <c r="G1113" s="43">
        <f>IF($B1113="","",N($E1113)+N($F1113))</f>
        <v/>
      </c>
      <c r="H1113" s="47" t="n"/>
      <c r="I1113" s="43">
        <f>IF($B1113="","",N($G1113)-N($H1113))</f>
        <v/>
      </c>
    </row>
    <row r="1114">
      <c r="A1114" s="39">
        <f>IF($B1114="","",COUNTA($B$4:$B1114))</f>
        <v/>
      </c>
      <c r="B1114" s="40" t="n"/>
      <c r="C1114" s="41" t="n"/>
      <c r="D1114" s="41" t="n"/>
      <c r="E1114" s="42" t="n"/>
      <c r="F1114" s="42" t="n"/>
      <c r="G1114" s="43">
        <f>IF($B1114="","",N($E1114)+N($F1114))</f>
        <v/>
      </c>
      <c r="H1114" s="42" t="n"/>
      <c r="I1114" s="43">
        <f>IF($B1114="","",N($G1114)-N($H1114))</f>
        <v/>
      </c>
    </row>
    <row r="1115">
      <c r="A1115" s="39">
        <f>IF($B1115="","",COUNTA($B$4:$B1115))</f>
        <v/>
      </c>
      <c r="B1115" s="45" t="n"/>
      <c r="C1115" s="46" t="n"/>
      <c r="D1115" s="46" t="n"/>
      <c r="E1115" s="47" t="n"/>
      <c r="F1115" s="47" t="n"/>
      <c r="G1115" s="43">
        <f>IF($B1115="","",N($E1115)+N($F1115))</f>
        <v/>
      </c>
      <c r="H1115" s="47" t="n"/>
      <c r="I1115" s="43">
        <f>IF($B1115="","",N($G1115)-N($H1115))</f>
        <v/>
      </c>
    </row>
    <row r="1116">
      <c r="A1116" s="39">
        <f>IF($B1116="","",COUNTA($B$4:$B1116))</f>
        <v/>
      </c>
      <c r="B1116" s="40" t="n"/>
      <c r="C1116" s="41" t="n"/>
      <c r="D1116" s="41" t="n"/>
      <c r="E1116" s="42" t="n"/>
      <c r="F1116" s="42" t="n"/>
      <c r="G1116" s="43">
        <f>IF($B1116="","",N($E1116)+N($F1116))</f>
        <v/>
      </c>
      <c r="H1116" s="42" t="n"/>
      <c r="I1116" s="43">
        <f>IF($B1116="","",N($G1116)-N($H1116))</f>
        <v/>
      </c>
    </row>
    <row r="1117">
      <c r="A1117" s="39">
        <f>IF($B1117="","",COUNTA($B$4:$B1117))</f>
        <v/>
      </c>
      <c r="B1117" s="45" t="n"/>
      <c r="C1117" s="46" t="n"/>
      <c r="D1117" s="46" t="n"/>
      <c r="E1117" s="47" t="n"/>
      <c r="F1117" s="47" t="n"/>
      <c r="G1117" s="43">
        <f>IF($B1117="","",N($E1117)+N($F1117))</f>
        <v/>
      </c>
      <c r="H1117" s="47" t="n"/>
      <c r="I1117" s="43">
        <f>IF($B1117="","",N($G1117)-N($H1117))</f>
        <v/>
      </c>
    </row>
    <row r="1118">
      <c r="A1118" s="39">
        <f>IF($B1118="","",COUNTA($B$4:$B1118))</f>
        <v/>
      </c>
      <c r="B1118" s="40" t="n"/>
      <c r="C1118" s="41" t="n"/>
      <c r="D1118" s="41" t="n"/>
      <c r="E1118" s="42" t="n"/>
      <c r="F1118" s="42" t="n"/>
      <c r="G1118" s="43">
        <f>IF($B1118="","",N($E1118)+N($F1118))</f>
        <v/>
      </c>
      <c r="H1118" s="42" t="n"/>
      <c r="I1118" s="43">
        <f>IF($B1118="","",N($G1118)-N($H1118))</f>
        <v/>
      </c>
    </row>
    <row r="1119">
      <c r="A1119" s="39">
        <f>IF($B1119="","",COUNTA($B$4:$B1119))</f>
        <v/>
      </c>
      <c r="B1119" s="45" t="n"/>
      <c r="C1119" s="46" t="n"/>
      <c r="D1119" s="46" t="n"/>
      <c r="E1119" s="47" t="n"/>
      <c r="F1119" s="47" t="n"/>
      <c r="G1119" s="43">
        <f>IF($B1119="","",N($E1119)+N($F1119))</f>
        <v/>
      </c>
      <c r="H1119" s="47" t="n"/>
      <c r="I1119" s="43">
        <f>IF($B1119="","",N($G1119)-N($H1119))</f>
        <v/>
      </c>
    </row>
    <row r="1120">
      <c r="A1120" s="39">
        <f>IF($B1120="","",COUNTA($B$4:$B1120))</f>
        <v/>
      </c>
      <c r="B1120" s="40" t="n"/>
      <c r="C1120" s="41" t="n"/>
      <c r="D1120" s="41" t="n"/>
      <c r="E1120" s="42" t="n"/>
      <c r="F1120" s="42" t="n"/>
      <c r="G1120" s="43">
        <f>IF($B1120="","",N($E1120)+N($F1120))</f>
        <v/>
      </c>
      <c r="H1120" s="42" t="n"/>
      <c r="I1120" s="43">
        <f>IF($B1120="","",N($G1120)-N($H1120))</f>
        <v/>
      </c>
    </row>
    <row r="1121">
      <c r="A1121" s="39">
        <f>IF($B1121="","",COUNTA($B$4:$B1121))</f>
        <v/>
      </c>
      <c r="B1121" s="45" t="n"/>
      <c r="C1121" s="46" t="n"/>
      <c r="D1121" s="46" t="n"/>
      <c r="E1121" s="47" t="n"/>
      <c r="F1121" s="47" t="n"/>
      <c r="G1121" s="43">
        <f>IF($B1121="","",N($E1121)+N($F1121))</f>
        <v/>
      </c>
      <c r="H1121" s="47" t="n"/>
      <c r="I1121" s="43">
        <f>IF($B1121="","",N($G1121)-N($H1121))</f>
        <v/>
      </c>
    </row>
    <row r="1122">
      <c r="A1122" s="39">
        <f>IF($B1122="","",COUNTA($B$4:$B1122))</f>
        <v/>
      </c>
      <c r="B1122" s="40" t="n"/>
      <c r="C1122" s="41" t="n"/>
      <c r="D1122" s="41" t="n"/>
      <c r="E1122" s="42" t="n"/>
      <c r="F1122" s="42" t="n"/>
      <c r="G1122" s="43">
        <f>IF($B1122="","",N($E1122)+N($F1122))</f>
        <v/>
      </c>
      <c r="H1122" s="42" t="n"/>
      <c r="I1122" s="43">
        <f>IF($B1122="","",N($G1122)-N($H1122))</f>
        <v/>
      </c>
    </row>
    <row r="1123">
      <c r="A1123" s="39">
        <f>IF($B1123="","",COUNTA($B$4:$B1123))</f>
        <v/>
      </c>
      <c r="B1123" s="45" t="n"/>
      <c r="C1123" s="46" t="n"/>
      <c r="D1123" s="46" t="n"/>
      <c r="E1123" s="47" t="n"/>
      <c r="F1123" s="47" t="n"/>
      <c r="G1123" s="43">
        <f>IF($B1123="","",N($E1123)+N($F1123))</f>
        <v/>
      </c>
      <c r="H1123" s="47" t="n"/>
      <c r="I1123" s="43">
        <f>IF($B1123="","",N($G1123)-N($H1123))</f>
        <v/>
      </c>
    </row>
    <row r="1124">
      <c r="A1124" s="39">
        <f>IF($B1124="","",COUNTA($B$4:$B1124))</f>
        <v/>
      </c>
      <c r="B1124" s="40" t="n"/>
      <c r="C1124" s="41" t="n"/>
      <c r="D1124" s="41" t="n"/>
      <c r="E1124" s="42" t="n"/>
      <c r="F1124" s="42" t="n"/>
      <c r="G1124" s="43">
        <f>IF($B1124="","",N($E1124)+N($F1124))</f>
        <v/>
      </c>
      <c r="H1124" s="42" t="n"/>
      <c r="I1124" s="43">
        <f>IF($B1124="","",N($G1124)-N($H1124))</f>
        <v/>
      </c>
    </row>
    <row r="1125">
      <c r="A1125" s="39">
        <f>IF($B1125="","",COUNTA($B$4:$B1125))</f>
        <v/>
      </c>
      <c r="B1125" s="45" t="n"/>
      <c r="C1125" s="46" t="n"/>
      <c r="D1125" s="46" t="n"/>
      <c r="E1125" s="47" t="n"/>
      <c r="F1125" s="47" t="n"/>
      <c r="G1125" s="43">
        <f>IF($B1125="","",N($E1125)+N($F1125))</f>
        <v/>
      </c>
      <c r="H1125" s="47" t="n"/>
      <c r="I1125" s="43">
        <f>IF($B1125="","",N($G1125)-N($H1125))</f>
        <v/>
      </c>
    </row>
    <row r="1126">
      <c r="A1126" s="39">
        <f>IF($B1126="","",COUNTA($B$4:$B1126))</f>
        <v/>
      </c>
      <c r="B1126" s="40" t="n"/>
      <c r="C1126" s="41" t="n"/>
      <c r="D1126" s="41" t="n"/>
      <c r="E1126" s="42" t="n"/>
      <c r="F1126" s="42" t="n"/>
      <c r="G1126" s="43">
        <f>IF($B1126="","",N($E1126)+N($F1126))</f>
        <v/>
      </c>
      <c r="H1126" s="42" t="n"/>
      <c r="I1126" s="43">
        <f>IF($B1126="","",N($G1126)-N($H1126))</f>
        <v/>
      </c>
    </row>
    <row r="1127">
      <c r="A1127" s="39">
        <f>IF($B1127="","",COUNTA($B$4:$B1127))</f>
        <v/>
      </c>
      <c r="B1127" s="45" t="n"/>
      <c r="C1127" s="46" t="n"/>
      <c r="D1127" s="46" t="n"/>
      <c r="E1127" s="47" t="n"/>
      <c r="F1127" s="47" t="n"/>
      <c r="G1127" s="43">
        <f>IF($B1127="","",N($E1127)+N($F1127))</f>
        <v/>
      </c>
      <c r="H1127" s="47" t="n"/>
      <c r="I1127" s="43">
        <f>IF($B1127="","",N($G1127)-N($H1127))</f>
        <v/>
      </c>
    </row>
    <row r="1128">
      <c r="A1128" s="39">
        <f>IF($B1128="","",COUNTA($B$4:$B1128))</f>
        <v/>
      </c>
      <c r="B1128" s="40" t="n"/>
      <c r="C1128" s="41" t="n"/>
      <c r="D1128" s="41" t="n"/>
      <c r="E1128" s="42" t="n"/>
      <c r="F1128" s="42" t="n"/>
      <c r="G1128" s="43">
        <f>IF($B1128="","",N($E1128)+N($F1128))</f>
        <v/>
      </c>
      <c r="H1128" s="42" t="n"/>
      <c r="I1128" s="43">
        <f>IF($B1128="","",N($G1128)-N($H1128))</f>
        <v/>
      </c>
    </row>
    <row r="1129">
      <c r="A1129" s="39">
        <f>IF($B1129="","",COUNTA($B$4:$B1129))</f>
        <v/>
      </c>
      <c r="B1129" s="45" t="n"/>
      <c r="C1129" s="46" t="n"/>
      <c r="D1129" s="46" t="n"/>
      <c r="E1129" s="47" t="n"/>
      <c r="F1129" s="47" t="n"/>
      <c r="G1129" s="43">
        <f>IF($B1129="","",N($E1129)+N($F1129))</f>
        <v/>
      </c>
      <c r="H1129" s="47" t="n"/>
      <c r="I1129" s="43">
        <f>IF($B1129="","",N($G1129)-N($H1129))</f>
        <v/>
      </c>
    </row>
    <row r="1130">
      <c r="A1130" s="39">
        <f>IF($B1130="","",COUNTA($B$4:$B1130))</f>
        <v/>
      </c>
      <c r="B1130" s="40" t="n"/>
      <c r="C1130" s="41" t="n"/>
      <c r="D1130" s="41" t="n"/>
      <c r="E1130" s="42" t="n"/>
      <c r="F1130" s="42" t="n"/>
      <c r="G1130" s="43">
        <f>IF($B1130="","",N($E1130)+N($F1130))</f>
        <v/>
      </c>
      <c r="H1130" s="42" t="n"/>
      <c r="I1130" s="43">
        <f>IF($B1130="","",N($G1130)-N($H1130))</f>
        <v/>
      </c>
    </row>
    <row r="1131">
      <c r="A1131" s="39">
        <f>IF($B1131="","",COUNTA($B$4:$B1131))</f>
        <v/>
      </c>
      <c r="B1131" s="45" t="n"/>
      <c r="C1131" s="46" t="n"/>
      <c r="D1131" s="46" t="n"/>
      <c r="E1131" s="47" t="n"/>
      <c r="F1131" s="47" t="n"/>
      <c r="G1131" s="43">
        <f>IF($B1131="","",N($E1131)+N($F1131))</f>
        <v/>
      </c>
      <c r="H1131" s="47" t="n"/>
      <c r="I1131" s="43">
        <f>IF($B1131="","",N($G1131)-N($H1131))</f>
        <v/>
      </c>
    </row>
    <row r="1132">
      <c r="A1132" s="39">
        <f>IF($B1132="","",COUNTA($B$4:$B1132))</f>
        <v/>
      </c>
      <c r="B1132" s="40" t="n"/>
      <c r="C1132" s="41" t="n"/>
      <c r="D1132" s="41" t="n"/>
      <c r="E1132" s="42" t="n"/>
      <c r="F1132" s="42" t="n"/>
      <c r="G1132" s="43">
        <f>IF($B1132="","",N($E1132)+N($F1132))</f>
        <v/>
      </c>
      <c r="H1132" s="42" t="n"/>
      <c r="I1132" s="43">
        <f>IF($B1132="","",N($G1132)-N($H1132))</f>
        <v/>
      </c>
    </row>
    <row r="1133">
      <c r="A1133" s="39">
        <f>IF($B1133="","",COUNTA($B$4:$B1133))</f>
        <v/>
      </c>
      <c r="B1133" s="45" t="n"/>
      <c r="C1133" s="46" t="n"/>
      <c r="D1133" s="46" t="n"/>
      <c r="E1133" s="47" t="n"/>
      <c r="F1133" s="47" t="n"/>
      <c r="G1133" s="43">
        <f>IF($B1133="","",N($E1133)+N($F1133))</f>
        <v/>
      </c>
      <c r="H1133" s="47" t="n"/>
      <c r="I1133" s="43">
        <f>IF($B1133="","",N($G1133)-N($H1133))</f>
        <v/>
      </c>
    </row>
    <row r="1134">
      <c r="A1134" s="39">
        <f>IF($B1134="","",COUNTA($B$4:$B1134))</f>
        <v/>
      </c>
      <c r="B1134" s="40" t="n"/>
      <c r="C1134" s="41" t="n"/>
      <c r="D1134" s="41" t="n"/>
      <c r="E1134" s="42" t="n"/>
      <c r="F1134" s="42" t="n"/>
      <c r="G1134" s="43">
        <f>IF($B1134="","",N($E1134)+N($F1134))</f>
        <v/>
      </c>
      <c r="H1134" s="42" t="n"/>
      <c r="I1134" s="43">
        <f>IF($B1134="","",N($G1134)-N($H1134))</f>
        <v/>
      </c>
    </row>
    <row r="1135">
      <c r="A1135" s="39">
        <f>IF($B1135="","",COUNTA($B$4:$B1135))</f>
        <v/>
      </c>
      <c r="B1135" s="45" t="n"/>
      <c r="C1135" s="46" t="n"/>
      <c r="D1135" s="46" t="n"/>
      <c r="E1135" s="47" t="n"/>
      <c r="F1135" s="47" t="n"/>
      <c r="G1135" s="43">
        <f>IF($B1135="","",N($E1135)+N($F1135))</f>
        <v/>
      </c>
      <c r="H1135" s="47" t="n"/>
      <c r="I1135" s="43">
        <f>IF($B1135="","",N($G1135)-N($H1135))</f>
        <v/>
      </c>
    </row>
    <row r="1136">
      <c r="A1136" s="39">
        <f>IF($B1136="","",COUNTA($B$4:$B1136))</f>
        <v/>
      </c>
      <c r="B1136" s="40" t="n"/>
      <c r="C1136" s="41" t="n"/>
      <c r="D1136" s="41" t="n"/>
      <c r="E1136" s="42" t="n"/>
      <c r="F1136" s="42" t="n"/>
      <c r="G1136" s="43">
        <f>IF($B1136="","",N($E1136)+N($F1136))</f>
        <v/>
      </c>
      <c r="H1136" s="42" t="n"/>
      <c r="I1136" s="43">
        <f>IF($B1136="","",N($G1136)-N($H1136))</f>
        <v/>
      </c>
    </row>
    <row r="1137">
      <c r="A1137" s="39">
        <f>IF($B1137="","",COUNTA($B$4:$B1137))</f>
        <v/>
      </c>
      <c r="B1137" s="45" t="n"/>
      <c r="C1137" s="46" t="n"/>
      <c r="D1137" s="46" t="n"/>
      <c r="E1137" s="47" t="n"/>
      <c r="F1137" s="47" t="n"/>
      <c r="G1137" s="43">
        <f>IF($B1137="","",N($E1137)+N($F1137))</f>
        <v/>
      </c>
      <c r="H1137" s="47" t="n"/>
      <c r="I1137" s="43">
        <f>IF($B1137="","",N($G1137)-N($H1137))</f>
        <v/>
      </c>
    </row>
    <row r="1138">
      <c r="A1138" s="39">
        <f>IF($B1138="","",COUNTA($B$4:$B1138))</f>
        <v/>
      </c>
      <c r="B1138" s="40" t="n"/>
      <c r="C1138" s="41" t="n"/>
      <c r="D1138" s="41" t="n"/>
      <c r="E1138" s="42" t="n"/>
      <c r="F1138" s="42" t="n"/>
      <c r="G1138" s="43">
        <f>IF($B1138="","",N($E1138)+N($F1138))</f>
        <v/>
      </c>
      <c r="H1138" s="42" t="n"/>
      <c r="I1138" s="43">
        <f>IF($B1138="","",N($G1138)-N($H1138))</f>
        <v/>
      </c>
    </row>
    <row r="1139">
      <c r="A1139" s="39">
        <f>IF($B1139="","",COUNTA($B$4:$B1139))</f>
        <v/>
      </c>
      <c r="B1139" s="45" t="n"/>
      <c r="C1139" s="46" t="n"/>
      <c r="D1139" s="46" t="n"/>
      <c r="E1139" s="47" t="n"/>
      <c r="F1139" s="47" t="n"/>
      <c r="G1139" s="43">
        <f>IF($B1139="","",N($E1139)+N($F1139))</f>
        <v/>
      </c>
      <c r="H1139" s="47" t="n"/>
      <c r="I1139" s="43">
        <f>IF($B1139="","",N($G1139)-N($H1139))</f>
        <v/>
      </c>
    </row>
    <row r="1140">
      <c r="A1140" s="39">
        <f>IF($B1140="","",COUNTA($B$4:$B1140))</f>
        <v/>
      </c>
      <c r="B1140" s="40" t="n"/>
      <c r="C1140" s="41" t="n"/>
      <c r="D1140" s="41" t="n"/>
      <c r="E1140" s="42" t="n"/>
      <c r="F1140" s="42" t="n"/>
      <c r="G1140" s="43">
        <f>IF($B1140="","",N($E1140)+N($F1140))</f>
        <v/>
      </c>
      <c r="H1140" s="42" t="n"/>
      <c r="I1140" s="43">
        <f>IF($B1140="","",N($G1140)-N($H1140))</f>
        <v/>
      </c>
    </row>
    <row r="1141">
      <c r="A1141" s="39">
        <f>IF($B1141="","",COUNTA($B$4:$B1141))</f>
        <v/>
      </c>
      <c r="B1141" s="45" t="n"/>
      <c r="C1141" s="46" t="n"/>
      <c r="D1141" s="46" t="n"/>
      <c r="E1141" s="47" t="n"/>
      <c r="F1141" s="47" t="n"/>
      <c r="G1141" s="43">
        <f>IF($B1141="","",N($E1141)+N($F1141))</f>
        <v/>
      </c>
      <c r="H1141" s="47" t="n"/>
      <c r="I1141" s="43">
        <f>IF($B1141="","",N($G1141)-N($H1141))</f>
        <v/>
      </c>
    </row>
    <row r="1142">
      <c r="A1142" s="39">
        <f>IF($B1142="","",COUNTA($B$4:$B1142))</f>
        <v/>
      </c>
      <c r="B1142" s="40" t="n"/>
      <c r="C1142" s="41" t="n"/>
      <c r="D1142" s="41" t="n"/>
      <c r="E1142" s="42" t="n"/>
      <c r="F1142" s="42" t="n"/>
      <c r="G1142" s="43">
        <f>IF($B1142="","",N($E1142)+N($F1142))</f>
        <v/>
      </c>
      <c r="H1142" s="42" t="n"/>
      <c r="I1142" s="43">
        <f>IF($B1142="","",N($G1142)-N($H1142))</f>
        <v/>
      </c>
    </row>
    <row r="1143">
      <c r="A1143" s="39">
        <f>IF($B1143="","",COUNTA($B$4:$B1143))</f>
        <v/>
      </c>
      <c r="B1143" s="45" t="n"/>
      <c r="C1143" s="46" t="n"/>
      <c r="D1143" s="46" t="n"/>
      <c r="E1143" s="47" t="n"/>
      <c r="F1143" s="47" t="n"/>
      <c r="G1143" s="43">
        <f>IF($B1143="","",N($E1143)+N($F1143))</f>
        <v/>
      </c>
      <c r="H1143" s="47" t="n"/>
      <c r="I1143" s="43">
        <f>IF($B1143="","",N($G1143)-N($H1143))</f>
        <v/>
      </c>
    </row>
    <row r="1144">
      <c r="A1144" s="39">
        <f>IF($B1144="","",COUNTA($B$4:$B1144))</f>
        <v/>
      </c>
      <c r="B1144" s="40" t="n"/>
      <c r="C1144" s="41" t="n"/>
      <c r="D1144" s="41" t="n"/>
      <c r="E1144" s="42" t="n"/>
      <c r="F1144" s="42" t="n"/>
      <c r="G1144" s="43">
        <f>IF($B1144="","",N($E1144)+N($F1144))</f>
        <v/>
      </c>
      <c r="H1144" s="42" t="n"/>
      <c r="I1144" s="43">
        <f>IF($B1144="","",N($G1144)-N($H1144))</f>
        <v/>
      </c>
    </row>
    <row r="1145">
      <c r="A1145" s="39">
        <f>IF($B1145="","",COUNTA($B$4:$B1145))</f>
        <v/>
      </c>
      <c r="B1145" s="45" t="n"/>
      <c r="C1145" s="46" t="n"/>
      <c r="D1145" s="46" t="n"/>
      <c r="E1145" s="47" t="n"/>
      <c r="F1145" s="47" t="n"/>
      <c r="G1145" s="43">
        <f>IF($B1145="","",N($E1145)+N($F1145))</f>
        <v/>
      </c>
      <c r="H1145" s="47" t="n"/>
      <c r="I1145" s="43">
        <f>IF($B1145="","",N($G1145)-N($H1145))</f>
        <v/>
      </c>
    </row>
    <row r="1146">
      <c r="A1146" s="39">
        <f>IF($B1146="","",COUNTA($B$4:$B1146))</f>
        <v/>
      </c>
      <c r="B1146" s="40" t="n"/>
      <c r="C1146" s="41" t="n"/>
      <c r="D1146" s="41" t="n"/>
      <c r="E1146" s="42" t="n"/>
      <c r="F1146" s="42" t="n"/>
      <c r="G1146" s="43">
        <f>IF($B1146="","",N($E1146)+N($F1146))</f>
        <v/>
      </c>
      <c r="H1146" s="42" t="n"/>
      <c r="I1146" s="43">
        <f>IF($B1146="","",N($G1146)-N($H1146))</f>
        <v/>
      </c>
    </row>
    <row r="1147">
      <c r="A1147" s="39">
        <f>IF($B1147="","",COUNTA($B$4:$B1147))</f>
        <v/>
      </c>
      <c r="B1147" s="45" t="n"/>
      <c r="C1147" s="46" t="n"/>
      <c r="D1147" s="46" t="n"/>
      <c r="E1147" s="47" t="n"/>
      <c r="F1147" s="47" t="n"/>
      <c r="G1147" s="43">
        <f>IF($B1147="","",N($E1147)+N($F1147))</f>
        <v/>
      </c>
      <c r="H1147" s="47" t="n"/>
      <c r="I1147" s="43">
        <f>IF($B1147="","",N($G1147)-N($H1147))</f>
        <v/>
      </c>
    </row>
    <row r="1148">
      <c r="A1148" s="39">
        <f>IF($B1148="","",COUNTA($B$4:$B1148))</f>
        <v/>
      </c>
      <c r="B1148" s="40" t="n"/>
      <c r="C1148" s="41" t="n"/>
      <c r="D1148" s="41" t="n"/>
      <c r="E1148" s="42" t="n"/>
      <c r="F1148" s="42" t="n"/>
      <c r="G1148" s="43">
        <f>IF($B1148="","",N($E1148)+N($F1148))</f>
        <v/>
      </c>
      <c r="H1148" s="42" t="n"/>
      <c r="I1148" s="43">
        <f>IF($B1148="","",N($G1148)-N($H1148))</f>
        <v/>
      </c>
    </row>
    <row r="1149">
      <c r="A1149" s="39">
        <f>IF($B1149="","",COUNTA($B$4:$B1149))</f>
        <v/>
      </c>
      <c r="B1149" s="45" t="n"/>
      <c r="C1149" s="46" t="n"/>
      <c r="D1149" s="46" t="n"/>
      <c r="E1149" s="47" t="n"/>
      <c r="F1149" s="47" t="n"/>
      <c r="G1149" s="43">
        <f>IF($B1149="","",N($E1149)+N($F1149))</f>
        <v/>
      </c>
      <c r="H1149" s="47" t="n"/>
      <c r="I1149" s="43">
        <f>IF($B1149="","",N($G1149)-N($H1149))</f>
        <v/>
      </c>
    </row>
    <row r="1150">
      <c r="A1150" s="39">
        <f>IF($B1150="","",COUNTA($B$4:$B1150))</f>
        <v/>
      </c>
      <c r="B1150" s="40" t="n"/>
      <c r="C1150" s="41" t="n"/>
      <c r="D1150" s="41" t="n"/>
      <c r="E1150" s="42" t="n"/>
      <c r="F1150" s="42" t="n"/>
      <c r="G1150" s="43">
        <f>IF($B1150="","",N($E1150)+N($F1150))</f>
        <v/>
      </c>
      <c r="H1150" s="42" t="n"/>
      <c r="I1150" s="43">
        <f>IF($B1150="","",N($G1150)-N($H1150))</f>
        <v/>
      </c>
    </row>
    <row r="1151">
      <c r="A1151" s="39">
        <f>IF($B1151="","",COUNTA($B$4:$B1151))</f>
        <v/>
      </c>
      <c r="B1151" s="45" t="n"/>
      <c r="C1151" s="46" t="n"/>
      <c r="D1151" s="46" t="n"/>
      <c r="E1151" s="47" t="n"/>
      <c r="F1151" s="47" t="n"/>
      <c r="G1151" s="43">
        <f>IF($B1151="","",N($E1151)+N($F1151))</f>
        <v/>
      </c>
      <c r="H1151" s="47" t="n"/>
      <c r="I1151" s="43">
        <f>IF($B1151="","",N($G1151)-N($H1151))</f>
        <v/>
      </c>
    </row>
    <row r="1152">
      <c r="A1152" s="39">
        <f>IF($B1152="","",COUNTA($B$4:$B1152))</f>
        <v/>
      </c>
      <c r="B1152" s="40" t="n"/>
      <c r="C1152" s="41" t="n"/>
      <c r="D1152" s="41" t="n"/>
      <c r="E1152" s="42" t="n"/>
      <c r="F1152" s="42" t="n"/>
      <c r="G1152" s="43">
        <f>IF($B1152="","",N($E1152)+N($F1152))</f>
        <v/>
      </c>
      <c r="H1152" s="42" t="n"/>
      <c r="I1152" s="43">
        <f>IF($B1152="","",N($G1152)-N($H1152))</f>
        <v/>
      </c>
    </row>
    <row r="1153">
      <c r="A1153" s="39">
        <f>IF($B1153="","",COUNTA($B$4:$B1153))</f>
        <v/>
      </c>
      <c r="B1153" s="45" t="n"/>
      <c r="C1153" s="46" t="n"/>
      <c r="D1153" s="46" t="n"/>
      <c r="E1153" s="47" t="n"/>
      <c r="F1153" s="47" t="n"/>
      <c r="G1153" s="43">
        <f>IF($B1153="","",N($E1153)+N($F1153))</f>
        <v/>
      </c>
      <c r="H1153" s="47" t="n"/>
      <c r="I1153" s="43">
        <f>IF($B1153="","",N($G1153)-N($H1153))</f>
        <v/>
      </c>
    </row>
    <row r="1154">
      <c r="A1154" s="39">
        <f>IF($B1154="","",COUNTA($B$4:$B1154))</f>
        <v/>
      </c>
      <c r="B1154" s="40" t="n"/>
      <c r="C1154" s="41" t="n"/>
      <c r="D1154" s="41" t="n"/>
      <c r="E1154" s="42" t="n"/>
      <c r="F1154" s="42" t="n"/>
      <c r="G1154" s="43">
        <f>IF($B1154="","",N($E1154)+N($F1154))</f>
        <v/>
      </c>
      <c r="H1154" s="42" t="n"/>
      <c r="I1154" s="43">
        <f>IF($B1154="","",N($G1154)-N($H1154))</f>
        <v/>
      </c>
    </row>
    <row r="1155">
      <c r="A1155" s="39">
        <f>IF($B1155="","",COUNTA($B$4:$B1155))</f>
        <v/>
      </c>
      <c r="B1155" s="45" t="n"/>
      <c r="C1155" s="46" t="n"/>
      <c r="D1155" s="46" t="n"/>
      <c r="E1155" s="47" t="n"/>
      <c r="F1155" s="47" t="n"/>
      <c r="G1155" s="43">
        <f>IF($B1155="","",N($E1155)+N($F1155))</f>
        <v/>
      </c>
      <c r="H1155" s="47" t="n"/>
      <c r="I1155" s="43">
        <f>IF($B1155="","",N($G1155)-N($H1155))</f>
        <v/>
      </c>
    </row>
    <row r="1156">
      <c r="A1156" s="39">
        <f>IF($B1156="","",COUNTA($B$4:$B1156))</f>
        <v/>
      </c>
      <c r="B1156" s="40" t="n"/>
      <c r="C1156" s="41" t="n"/>
      <c r="D1156" s="41" t="n"/>
      <c r="E1156" s="42" t="n"/>
      <c r="F1156" s="42" t="n"/>
      <c r="G1156" s="43">
        <f>IF($B1156="","",N($E1156)+N($F1156))</f>
        <v/>
      </c>
      <c r="H1156" s="42" t="n"/>
      <c r="I1156" s="43">
        <f>IF($B1156="","",N($G1156)-N($H1156))</f>
        <v/>
      </c>
    </row>
    <row r="1157">
      <c r="A1157" s="39">
        <f>IF($B1157="","",COUNTA($B$4:$B1157))</f>
        <v/>
      </c>
      <c r="B1157" s="45" t="n"/>
      <c r="C1157" s="46" t="n"/>
      <c r="D1157" s="46" t="n"/>
      <c r="E1157" s="47" t="n"/>
      <c r="F1157" s="47" t="n"/>
      <c r="G1157" s="43">
        <f>IF($B1157="","",N($E1157)+N($F1157))</f>
        <v/>
      </c>
      <c r="H1157" s="47" t="n"/>
      <c r="I1157" s="43">
        <f>IF($B1157="","",N($G1157)-N($H1157))</f>
        <v/>
      </c>
    </row>
    <row r="1158">
      <c r="A1158" s="39">
        <f>IF($B1158="","",COUNTA($B$4:$B1158))</f>
        <v/>
      </c>
      <c r="B1158" s="40" t="n"/>
      <c r="C1158" s="41" t="n"/>
      <c r="D1158" s="41" t="n"/>
      <c r="E1158" s="42" t="n"/>
      <c r="F1158" s="42" t="n"/>
      <c r="G1158" s="43">
        <f>IF($B1158="","",N($E1158)+N($F1158))</f>
        <v/>
      </c>
      <c r="H1158" s="42" t="n"/>
      <c r="I1158" s="43">
        <f>IF($B1158="","",N($G1158)-N($H1158))</f>
        <v/>
      </c>
    </row>
    <row r="1159">
      <c r="A1159" s="39">
        <f>IF($B1159="","",COUNTA($B$4:$B1159))</f>
        <v/>
      </c>
      <c r="B1159" s="45" t="n"/>
      <c r="C1159" s="46" t="n"/>
      <c r="D1159" s="46" t="n"/>
      <c r="E1159" s="47" t="n"/>
      <c r="F1159" s="47" t="n"/>
      <c r="G1159" s="43">
        <f>IF($B1159="","",N($E1159)+N($F1159))</f>
        <v/>
      </c>
      <c r="H1159" s="47" t="n"/>
      <c r="I1159" s="43">
        <f>IF($B1159="","",N($G1159)-N($H1159))</f>
        <v/>
      </c>
    </row>
    <row r="1160">
      <c r="A1160" s="39">
        <f>IF($B1160="","",COUNTA($B$4:$B1160))</f>
        <v/>
      </c>
      <c r="B1160" s="40" t="n"/>
      <c r="C1160" s="41" t="n"/>
      <c r="D1160" s="41" t="n"/>
      <c r="E1160" s="42" t="n"/>
      <c r="F1160" s="42" t="n"/>
      <c r="G1160" s="43">
        <f>IF($B1160="","",N($E1160)+N($F1160))</f>
        <v/>
      </c>
      <c r="H1160" s="42" t="n"/>
      <c r="I1160" s="43">
        <f>IF($B1160="","",N($G1160)-N($H1160))</f>
        <v/>
      </c>
    </row>
    <row r="1161">
      <c r="A1161" s="39">
        <f>IF($B1161="","",COUNTA($B$4:$B1161))</f>
        <v/>
      </c>
      <c r="B1161" s="45" t="n"/>
      <c r="C1161" s="46" t="n"/>
      <c r="D1161" s="46" t="n"/>
      <c r="E1161" s="47" t="n"/>
      <c r="F1161" s="47" t="n"/>
      <c r="G1161" s="43">
        <f>IF($B1161="","",N($E1161)+N($F1161))</f>
        <v/>
      </c>
      <c r="H1161" s="47" t="n"/>
      <c r="I1161" s="43">
        <f>IF($B1161="","",N($G1161)-N($H1161))</f>
        <v/>
      </c>
    </row>
    <row r="1162">
      <c r="A1162" s="39">
        <f>IF($B1162="","",COUNTA($B$4:$B1162))</f>
        <v/>
      </c>
      <c r="B1162" s="40" t="n"/>
      <c r="C1162" s="41" t="n"/>
      <c r="D1162" s="41" t="n"/>
      <c r="E1162" s="42" t="n"/>
      <c r="F1162" s="42" t="n"/>
      <c r="G1162" s="43">
        <f>IF($B1162="","",N($E1162)+N($F1162))</f>
        <v/>
      </c>
      <c r="H1162" s="42" t="n"/>
      <c r="I1162" s="43">
        <f>IF($B1162="","",N($G1162)-N($H1162))</f>
        <v/>
      </c>
    </row>
    <row r="1163">
      <c r="A1163" s="39">
        <f>IF($B1163="","",COUNTA($B$4:$B1163))</f>
        <v/>
      </c>
      <c r="B1163" s="45" t="n"/>
      <c r="C1163" s="46" t="n"/>
      <c r="D1163" s="46" t="n"/>
      <c r="E1163" s="47" t="n"/>
      <c r="F1163" s="47" t="n"/>
      <c r="G1163" s="43">
        <f>IF($B1163="","",N($E1163)+N($F1163))</f>
        <v/>
      </c>
      <c r="H1163" s="47" t="n"/>
      <c r="I1163" s="43">
        <f>IF($B1163="","",N($G1163)-N($H1163))</f>
        <v/>
      </c>
    </row>
    <row r="1164">
      <c r="A1164" s="39">
        <f>IF($B1164="","",COUNTA($B$4:$B1164))</f>
        <v/>
      </c>
      <c r="B1164" s="40" t="n"/>
      <c r="C1164" s="41" t="n"/>
      <c r="D1164" s="41" t="n"/>
      <c r="E1164" s="42" t="n"/>
      <c r="F1164" s="42" t="n"/>
      <c r="G1164" s="43">
        <f>IF($B1164="","",N($E1164)+N($F1164))</f>
        <v/>
      </c>
      <c r="H1164" s="42" t="n"/>
      <c r="I1164" s="43">
        <f>IF($B1164="","",N($G1164)-N($H1164))</f>
        <v/>
      </c>
    </row>
    <row r="1165">
      <c r="A1165" s="39">
        <f>IF($B1165="","",COUNTA($B$4:$B1165))</f>
        <v/>
      </c>
      <c r="B1165" s="45" t="n"/>
      <c r="C1165" s="46" t="n"/>
      <c r="D1165" s="46" t="n"/>
      <c r="E1165" s="47" t="n"/>
      <c r="F1165" s="47" t="n"/>
      <c r="G1165" s="43">
        <f>IF($B1165="","",N($E1165)+N($F1165))</f>
        <v/>
      </c>
      <c r="H1165" s="47" t="n"/>
      <c r="I1165" s="43">
        <f>IF($B1165="","",N($G1165)-N($H1165))</f>
        <v/>
      </c>
    </row>
    <row r="1166">
      <c r="A1166" s="39">
        <f>IF($B1166="","",COUNTA($B$4:$B1166))</f>
        <v/>
      </c>
      <c r="B1166" s="40" t="n"/>
      <c r="C1166" s="41" t="n"/>
      <c r="D1166" s="41" t="n"/>
      <c r="E1166" s="42" t="n"/>
      <c r="F1166" s="42" t="n"/>
      <c r="G1166" s="43">
        <f>IF($B1166="","",N($E1166)+N($F1166))</f>
        <v/>
      </c>
      <c r="H1166" s="42" t="n"/>
      <c r="I1166" s="43">
        <f>IF($B1166="","",N($G1166)-N($H1166))</f>
        <v/>
      </c>
    </row>
    <row r="1167">
      <c r="A1167" s="39">
        <f>IF($B1167="","",COUNTA($B$4:$B1167))</f>
        <v/>
      </c>
      <c r="B1167" s="45" t="n"/>
      <c r="C1167" s="46" t="n"/>
      <c r="D1167" s="46" t="n"/>
      <c r="E1167" s="47" t="n"/>
      <c r="F1167" s="47" t="n"/>
      <c r="G1167" s="43">
        <f>IF($B1167="","",N($E1167)+N($F1167))</f>
        <v/>
      </c>
      <c r="H1167" s="47" t="n"/>
      <c r="I1167" s="43">
        <f>IF($B1167="","",N($G1167)-N($H1167))</f>
        <v/>
      </c>
    </row>
    <row r="1168">
      <c r="A1168" s="39">
        <f>IF($B1168="","",COUNTA($B$4:$B1168))</f>
        <v/>
      </c>
      <c r="B1168" s="40" t="n"/>
      <c r="C1168" s="41" t="n"/>
      <c r="D1168" s="41" t="n"/>
      <c r="E1168" s="42" t="n"/>
      <c r="F1168" s="42" t="n"/>
      <c r="G1168" s="43">
        <f>IF($B1168="","",N($E1168)+N($F1168))</f>
        <v/>
      </c>
      <c r="H1168" s="42" t="n"/>
      <c r="I1168" s="43">
        <f>IF($B1168="","",N($G1168)-N($H1168))</f>
        <v/>
      </c>
    </row>
    <row r="1169">
      <c r="A1169" s="39">
        <f>IF($B1169="","",COUNTA($B$4:$B1169))</f>
        <v/>
      </c>
      <c r="B1169" s="45" t="n"/>
      <c r="C1169" s="46" t="n"/>
      <c r="D1169" s="46" t="n"/>
      <c r="E1169" s="47" t="n"/>
      <c r="F1169" s="47" t="n"/>
      <c r="G1169" s="43">
        <f>IF($B1169="","",N($E1169)+N($F1169))</f>
        <v/>
      </c>
      <c r="H1169" s="47" t="n"/>
      <c r="I1169" s="43">
        <f>IF($B1169="","",N($G1169)-N($H1169))</f>
        <v/>
      </c>
    </row>
    <row r="1170">
      <c r="A1170" s="39">
        <f>IF($B1170="","",COUNTA($B$4:$B1170))</f>
        <v/>
      </c>
      <c r="B1170" s="40" t="n"/>
      <c r="C1170" s="41" t="n"/>
      <c r="D1170" s="41" t="n"/>
      <c r="E1170" s="42" t="n"/>
      <c r="F1170" s="42" t="n"/>
      <c r="G1170" s="43">
        <f>IF($B1170="","",N($E1170)+N($F1170))</f>
        <v/>
      </c>
      <c r="H1170" s="42" t="n"/>
      <c r="I1170" s="43">
        <f>IF($B1170="","",N($G1170)-N($H1170))</f>
        <v/>
      </c>
    </row>
    <row r="1171">
      <c r="A1171" s="39">
        <f>IF($B1171="","",COUNTA($B$4:$B1171))</f>
        <v/>
      </c>
      <c r="B1171" s="45" t="n"/>
      <c r="C1171" s="46" t="n"/>
      <c r="D1171" s="46" t="n"/>
      <c r="E1171" s="47" t="n"/>
      <c r="F1171" s="47" t="n"/>
      <c r="G1171" s="43">
        <f>IF($B1171="","",N($E1171)+N($F1171))</f>
        <v/>
      </c>
      <c r="H1171" s="47" t="n"/>
      <c r="I1171" s="43">
        <f>IF($B1171="","",N($G1171)-N($H1171))</f>
        <v/>
      </c>
    </row>
    <row r="1172">
      <c r="A1172" s="39">
        <f>IF($B1172="","",COUNTA($B$4:$B1172))</f>
        <v/>
      </c>
      <c r="B1172" s="40" t="n"/>
      <c r="C1172" s="41" t="n"/>
      <c r="D1172" s="41" t="n"/>
      <c r="E1172" s="42" t="n"/>
      <c r="F1172" s="42" t="n"/>
      <c r="G1172" s="43">
        <f>IF($B1172="","",N($E1172)+N($F1172))</f>
        <v/>
      </c>
      <c r="H1172" s="42" t="n"/>
      <c r="I1172" s="43">
        <f>IF($B1172="","",N($G1172)-N($H1172))</f>
        <v/>
      </c>
    </row>
    <row r="1173">
      <c r="A1173" s="39">
        <f>IF($B1173="","",COUNTA($B$4:$B1173))</f>
        <v/>
      </c>
      <c r="B1173" s="45" t="n"/>
      <c r="C1173" s="46" t="n"/>
      <c r="D1173" s="46" t="n"/>
      <c r="E1173" s="47" t="n"/>
      <c r="F1173" s="47" t="n"/>
      <c r="G1173" s="43">
        <f>IF($B1173="","",N($E1173)+N($F1173))</f>
        <v/>
      </c>
      <c r="H1173" s="47" t="n"/>
      <c r="I1173" s="43">
        <f>IF($B1173="","",N($G1173)-N($H1173))</f>
        <v/>
      </c>
    </row>
    <row r="1174">
      <c r="A1174" s="39">
        <f>IF($B1174="","",COUNTA($B$4:$B1174))</f>
        <v/>
      </c>
      <c r="B1174" s="40" t="n"/>
      <c r="C1174" s="41" t="n"/>
      <c r="D1174" s="41" t="n"/>
      <c r="E1174" s="42" t="n"/>
      <c r="F1174" s="42" t="n"/>
      <c r="G1174" s="43">
        <f>IF($B1174="","",N($E1174)+N($F1174))</f>
        <v/>
      </c>
      <c r="H1174" s="42" t="n"/>
      <c r="I1174" s="43">
        <f>IF($B1174="","",N($G1174)-N($H1174))</f>
        <v/>
      </c>
    </row>
    <row r="1175">
      <c r="A1175" s="39">
        <f>IF($B1175="","",COUNTA($B$4:$B1175))</f>
        <v/>
      </c>
      <c r="B1175" s="45" t="n"/>
      <c r="C1175" s="46" t="n"/>
      <c r="D1175" s="46" t="n"/>
      <c r="E1175" s="47" t="n"/>
      <c r="F1175" s="47" t="n"/>
      <c r="G1175" s="43">
        <f>IF($B1175="","",N($E1175)+N($F1175))</f>
        <v/>
      </c>
      <c r="H1175" s="47" t="n"/>
      <c r="I1175" s="43">
        <f>IF($B1175="","",N($G1175)-N($H1175))</f>
        <v/>
      </c>
    </row>
    <row r="1176">
      <c r="A1176" s="39">
        <f>IF($B1176="","",COUNTA($B$4:$B1176))</f>
        <v/>
      </c>
      <c r="B1176" s="40" t="n"/>
      <c r="C1176" s="41" t="n"/>
      <c r="D1176" s="41" t="n"/>
      <c r="E1176" s="42" t="n"/>
      <c r="F1176" s="42" t="n"/>
      <c r="G1176" s="43">
        <f>IF($B1176="","",N($E1176)+N($F1176))</f>
        <v/>
      </c>
      <c r="H1176" s="42" t="n"/>
      <c r="I1176" s="43">
        <f>IF($B1176="","",N($G1176)-N($H1176))</f>
        <v/>
      </c>
    </row>
    <row r="1177">
      <c r="A1177" s="39">
        <f>IF($B1177="","",COUNTA($B$4:$B1177))</f>
        <v/>
      </c>
      <c r="B1177" s="45" t="n"/>
      <c r="C1177" s="46" t="n"/>
      <c r="D1177" s="46" t="n"/>
      <c r="E1177" s="47" t="n"/>
      <c r="F1177" s="47" t="n"/>
      <c r="G1177" s="43">
        <f>IF($B1177="","",N($E1177)+N($F1177))</f>
        <v/>
      </c>
      <c r="H1177" s="47" t="n"/>
      <c r="I1177" s="43">
        <f>IF($B1177="","",N($G1177)-N($H1177))</f>
        <v/>
      </c>
    </row>
    <row r="1178">
      <c r="A1178" s="39">
        <f>IF($B1178="","",COUNTA($B$4:$B1178))</f>
        <v/>
      </c>
      <c r="B1178" s="40" t="n"/>
      <c r="C1178" s="41" t="n"/>
      <c r="D1178" s="41" t="n"/>
      <c r="E1178" s="42" t="n"/>
      <c r="F1178" s="42" t="n"/>
      <c r="G1178" s="43">
        <f>IF($B1178="","",N($E1178)+N($F1178))</f>
        <v/>
      </c>
      <c r="H1178" s="42" t="n"/>
      <c r="I1178" s="43">
        <f>IF($B1178="","",N($G1178)-N($H1178))</f>
        <v/>
      </c>
    </row>
    <row r="1179">
      <c r="A1179" s="39">
        <f>IF($B1179="","",COUNTA($B$4:$B1179))</f>
        <v/>
      </c>
      <c r="B1179" s="45" t="n"/>
      <c r="C1179" s="46" t="n"/>
      <c r="D1179" s="46" t="n"/>
      <c r="E1179" s="47" t="n"/>
      <c r="F1179" s="47" t="n"/>
      <c r="G1179" s="43">
        <f>IF($B1179="","",N($E1179)+N($F1179))</f>
        <v/>
      </c>
      <c r="H1179" s="47" t="n"/>
      <c r="I1179" s="43">
        <f>IF($B1179="","",N($G1179)-N($H1179))</f>
        <v/>
      </c>
    </row>
    <row r="1180">
      <c r="A1180" s="39">
        <f>IF($B1180="","",COUNTA($B$4:$B1180))</f>
        <v/>
      </c>
      <c r="B1180" s="40" t="n"/>
      <c r="C1180" s="41" t="n"/>
      <c r="D1180" s="41" t="n"/>
      <c r="E1180" s="42" t="n"/>
      <c r="F1180" s="42" t="n"/>
      <c r="G1180" s="43">
        <f>IF($B1180="","",N($E1180)+N($F1180))</f>
        <v/>
      </c>
      <c r="H1180" s="42" t="n"/>
      <c r="I1180" s="43">
        <f>IF($B1180="","",N($G1180)-N($H1180))</f>
        <v/>
      </c>
    </row>
    <row r="1181">
      <c r="A1181" s="39">
        <f>IF($B1181="","",COUNTA($B$4:$B1181))</f>
        <v/>
      </c>
      <c r="B1181" s="45" t="n"/>
      <c r="C1181" s="46" t="n"/>
      <c r="D1181" s="46" t="n"/>
      <c r="E1181" s="47" t="n"/>
      <c r="F1181" s="47" t="n"/>
      <c r="G1181" s="43">
        <f>IF($B1181="","",N($E1181)+N($F1181))</f>
        <v/>
      </c>
      <c r="H1181" s="47" t="n"/>
      <c r="I1181" s="43">
        <f>IF($B1181="","",N($G1181)-N($H1181))</f>
        <v/>
      </c>
    </row>
    <row r="1182">
      <c r="A1182" s="39">
        <f>IF($B1182="","",COUNTA($B$4:$B1182))</f>
        <v/>
      </c>
      <c r="B1182" s="40" t="n"/>
      <c r="C1182" s="41" t="n"/>
      <c r="D1182" s="41" t="n"/>
      <c r="E1182" s="42" t="n"/>
      <c r="F1182" s="42" t="n"/>
      <c r="G1182" s="43">
        <f>IF($B1182="","",N($E1182)+N($F1182))</f>
        <v/>
      </c>
      <c r="H1182" s="42" t="n"/>
      <c r="I1182" s="43">
        <f>IF($B1182="","",N($G1182)-N($H1182))</f>
        <v/>
      </c>
    </row>
    <row r="1183">
      <c r="A1183" s="39">
        <f>IF($B1183="","",COUNTA($B$4:$B1183))</f>
        <v/>
      </c>
      <c r="B1183" s="45" t="n"/>
      <c r="C1183" s="46" t="n"/>
      <c r="D1183" s="46" t="n"/>
      <c r="E1183" s="47" t="n"/>
      <c r="F1183" s="47" t="n"/>
      <c r="G1183" s="43">
        <f>IF($B1183="","",N($E1183)+N($F1183))</f>
        <v/>
      </c>
      <c r="H1183" s="47" t="n"/>
      <c r="I1183" s="43">
        <f>IF($B1183="","",N($G1183)-N($H1183))</f>
        <v/>
      </c>
    </row>
    <row r="1184">
      <c r="A1184" s="39">
        <f>IF($B1184="","",COUNTA($B$4:$B1184))</f>
        <v/>
      </c>
      <c r="B1184" s="40" t="n"/>
      <c r="C1184" s="41" t="n"/>
      <c r="D1184" s="41" t="n"/>
      <c r="E1184" s="42" t="n"/>
      <c r="F1184" s="42" t="n"/>
      <c r="G1184" s="43">
        <f>IF($B1184="","",N($E1184)+N($F1184))</f>
        <v/>
      </c>
      <c r="H1184" s="42" t="n"/>
      <c r="I1184" s="43">
        <f>IF($B1184="","",N($G1184)-N($H1184))</f>
        <v/>
      </c>
    </row>
    <row r="1185">
      <c r="A1185" s="39">
        <f>IF($B1185="","",COUNTA($B$4:$B1185))</f>
        <v/>
      </c>
      <c r="B1185" s="45" t="n"/>
      <c r="C1185" s="46" t="n"/>
      <c r="D1185" s="46" t="n"/>
      <c r="E1185" s="47" t="n"/>
      <c r="F1185" s="47" t="n"/>
      <c r="G1185" s="43">
        <f>IF($B1185="","",N($E1185)+N($F1185))</f>
        <v/>
      </c>
      <c r="H1185" s="47" t="n"/>
      <c r="I1185" s="43">
        <f>IF($B1185="","",N($G1185)-N($H1185))</f>
        <v/>
      </c>
    </row>
    <row r="1186">
      <c r="A1186" s="39">
        <f>IF($B1186="","",COUNTA($B$4:$B1186))</f>
        <v/>
      </c>
      <c r="B1186" s="40" t="n"/>
      <c r="C1186" s="41" t="n"/>
      <c r="D1186" s="41" t="n"/>
      <c r="E1186" s="42" t="n"/>
      <c r="F1186" s="42" t="n"/>
      <c r="G1186" s="43">
        <f>IF($B1186="","",N($E1186)+N($F1186))</f>
        <v/>
      </c>
      <c r="H1186" s="42" t="n"/>
      <c r="I1186" s="43">
        <f>IF($B1186="","",N($G1186)-N($H1186))</f>
        <v/>
      </c>
    </row>
    <row r="1187">
      <c r="A1187" s="39">
        <f>IF($B1187="","",COUNTA($B$4:$B1187))</f>
        <v/>
      </c>
      <c r="B1187" s="45" t="n"/>
      <c r="C1187" s="46" t="n"/>
      <c r="D1187" s="46" t="n"/>
      <c r="E1187" s="47" t="n"/>
      <c r="F1187" s="47" t="n"/>
      <c r="G1187" s="43">
        <f>IF($B1187="","",N($E1187)+N($F1187))</f>
        <v/>
      </c>
      <c r="H1187" s="47" t="n"/>
      <c r="I1187" s="43">
        <f>IF($B1187="","",N($G1187)-N($H1187))</f>
        <v/>
      </c>
    </row>
    <row r="1188">
      <c r="A1188" s="39">
        <f>IF($B1188="","",COUNTA($B$4:$B1188))</f>
        <v/>
      </c>
      <c r="B1188" s="40" t="n"/>
      <c r="C1188" s="41" t="n"/>
      <c r="D1188" s="41" t="n"/>
      <c r="E1188" s="42" t="n"/>
      <c r="F1188" s="42" t="n"/>
      <c r="G1188" s="43">
        <f>IF($B1188="","",N($E1188)+N($F1188))</f>
        <v/>
      </c>
      <c r="H1188" s="42" t="n"/>
      <c r="I1188" s="43">
        <f>IF($B1188="","",N($G1188)-N($H1188))</f>
        <v/>
      </c>
    </row>
    <row r="1189">
      <c r="A1189" s="39">
        <f>IF($B1189="","",COUNTA($B$4:$B1189))</f>
        <v/>
      </c>
      <c r="B1189" s="45" t="n"/>
      <c r="C1189" s="46" t="n"/>
      <c r="D1189" s="46" t="n"/>
      <c r="E1189" s="47" t="n"/>
      <c r="F1189" s="47" t="n"/>
      <c r="G1189" s="43">
        <f>IF($B1189="","",N($E1189)+N($F1189))</f>
        <v/>
      </c>
      <c r="H1189" s="47" t="n"/>
      <c r="I1189" s="43">
        <f>IF($B1189="","",N($G1189)-N($H1189))</f>
        <v/>
      </c>
    </row>
    <row r="1190">
      <c r="A1190" s="39">
        <f>IF($B1190="","",COUNTA($B$4:$B1190))</f>
        <v/>
      </c>
      <c r="B1190" s="40" t="n"/>
      <c r="C1190" s="41" t="n"/>
      <c r="D1190" s="41" t="n"/>
      <c r="E1190" s="42" t="n"/>
      <c r="F1190" s="42" t="n"/>
      <c r="G1190" s="43">
        <f>IF($B1190="","",N($E1190)+N($F1190))</f>
        <v/>
      </c>
      <c r="H1190" s="42" t="n"/>
      <c r="I1190" s="43">
        <f>IF($B1190="","",N($G1190)-N($H1190))</f>
        <v/>
      </c>
    </row>
    <row r="1191">
      <c r="A1191" s="39">
        <f>IF($B1191="","",COUNTA($B$4:$B1191))</f>
        <v/>
      </c>
      <c r="B1191" s="45" t="n"/>
      <c r="C1191" s="46" t="n"/>
      <c r="D1191" s="46" t="n"/>
      <c r="E1191" s="47" t="n"/>
      <c r="F1191" s="47" t="n"/>
      <c r="G1191" s="43">
        <f>IF($B1191="","",N($E1191)+N($F1191))</f>
        <v/>
      </c>
      <c r="H1191" s="47" t="n"/>
      <c r="I1191" s="43">
        <f>IF($B1191="","",N($G1191)-N($H1191))</f>
        <v/>
      </c>
    </row>
    <row r="1192">
      <c r="A1192" s="39">
        <f>IF($B1192="","",COUNTA($B$4:$B1192))</f>
        <v/>
      </c>
      <c r="B1192" s="40" t="n"/>
      <c r="C1192" s="41" t="n"/>
      <c r="D1192" s="41" t="n"/>
      <c r="E1192" s="42" t="n"/>
      <c r="F1192" s="42" t="n"/>
      <c r="G1192" s="43">
        <f>IF($B1192="","",N($E1192)+N($F1192))</f>
        <v/>
      </c>
      <c r="H1192" s="42" t="n"/>
      <c r="I1192" s="43">
        <f>IF($B1192="","",N($G1192)-N($H1192))</f>
        <v/>
      </c>
    </row>
    <row r="1193">
      <c r="A1193" s="39">
        <f>IF($B1193="","",COUNTA($B$4:$B1193))</f>
        <v/>
      </c>
      <c r="B1193" s="45" t="n"/>
      <c r="C1193" s="46" t="n"/>
      <c r="D1193" s="46" t="n"/>
      <c r="E1193" s="47" t="n"/>
      <c r="F1193" s="47" t="n"/>
      <c r="G1193" s="43">
        <f>IF($B1193="","",N($E1193)+N($F1193))</f>
        <v/>
      </c>
      <c r="H1193" s="47" t="n"/>
      <c r="I1193" s="43">
        <f>IF($B1193="","",N($G1193)-N($H1193))</f>
        <v/>
      </c>
    </row>
    <row r="1194">
      <c r="A1194" s="39">
        <f>IF($B1194="","",COUNTA($B$4:$B1194))</f>
        <v/>
      </c>
      <c r="B1194" s="40" t="n"/>
      <c r="C1194" s="41" t="n"/>
      <c r="D1194" s="41" t="n"/>
      <c r="E1194" s="42" t="n"/>
      <c r="F1194" s="42" t="n"/>
      <c r="G1194" s="43">
        <f>IF($B1194="","",N($E1194)+N($F1194))</f>
        <v/>
      </c>
      <c r="H1194" s="42" t="n"/>
      <c r="I1194" s="43">
        <f>IF($B1194="","",N($G1194)-N($H1194))</f>
        <v/>
      </c>
    </row>
    <row r="1195">
      <c r="A1195" s="39">
        <f>IF($B1195="","",COUNTA($B$4:$B1195))</f>
        <v/>
      </c>
      <c r="B1195" s="45" t="n"/>
      <c r="C1195" s="46" t="n"/>
      <c r="D1195" s="46" t="n"/>
      <c r="E1195" s="47" t="n"/>
      <c r="F1195" s="47" t="n"/>
      <c r="G1195" s="43">
        <f>IF($B1195="","",N($E1195)+N($F1195))</f>
        <v/>
      </c>
      <c r="H1195" s="47" t="n"/>
      <c r="I1195" s="43">
        <f>IF($B1195="","",N($G1195)-N($H1195))</f>
        <v/>
      </c>
    </row>
    <row r="1196">
      <c r="A1196" s="39">
        <f>IF($B1196="","",COUNTA($B$4:$B1196))</f>
        <v/>
      </c>
      <c r="B1196" s="40" t="n"/>
      <c r="C1196" s="41" t="n"/>
      <c r="D1196" s="41" t="n"/>
      <c r="E1196" s="42" t="n"/>
      <c r="F1196" s="42" t="n"/>
      <c r="G1196" s="43">
        <f>IF($B1196="","",N($E1196)+N($F1196))</f>
        <v/>
      </c>
      <c r="H1196" s="42" t="n"/>
      <c r="I1196" s="43">
        <f>IF($B1196="","",N($G1196)-N($H1196))</f>
        <v/>
      </c>
    </row>
    <row r="1197">
      <c r="A1197" s="39">
        <f>IF($B1197="","",COUNTA($B$4:$B1197))</f>
        <v/>
      </c>
      <c r="B1197" s="45" t="n"/>
      <c r="C1197" s="46" t="n"/>
      <c r="D1197" s="46" t="n"/>
      <c r="E1197" s="47" t="n"/>
      <c r="F1197" s="47" t="n"/>
      <c r="G1197" s="43">
        <f>IF($B1197="","",N($E1197)+N($F1197))</f>
        <v/>
      </c>
      <c r="H1197" s="47" t="n"/>
      <c r="I1197" s="43">
        <f>IF($B1197="","",N($G1197)-N($H1197))</f>
        <v/>
      </c>
    </row>
    <row r="1198">
      <c r="A1198" s="39">
        <f>IF($B1198="","",COUNTA($B$4:$B1198))</f>
        <v/>
      </c>
      <c r="B1198" s="40" t="n"/>
      <c r="C1198" s="41" t="n"/>
      <c r="D1198" s="41" t="n"/>
      <c r="E1198" s="42" t="n"/>
      <c r="F1198" s="42" t="n"/>
      <c r="G1198" s="43">
        <f>IF($B1198="","",N($E1198)+N($F1198))</f>
        <v/>
      </c>
      <c r="H1198" s="42" t="n"/>
      <c r="I1198" s="43">
        <f>IF($B1198="","",N($G1198)-N($H1198))</f>
        <v/>
      </c>
    </row>
    <row r="1199">
      <c r="A1199" s="39">
        <f>IF($B1199="","",COUNTA($B$4:$B1199))</f>
        <v/>
      </c>
      <c r="B1199" s="45" t="n"/>
      <c r="C1199" s="46" t="n"/>
      <c r="D1199" s="46" t="n"/>
      <c r="E1199" s="47" t="n"/>
      <c r="F1199" s="47" t="n"/>
      <c r="G1199" s="43">
        <f>IF($B1199="","",N($E1199)+N($F1199))</f>
        <v/>
      </c>
      <c r="H1199" s="47" t="n"/>
      <c r="I1199" s="43">
        <f>IF($B1199="","",N($G1199)-N($H1199))</f>
        <v/>
      </c>
    </row>
    <row r="1200">
      <c r="A1200" s="39">
        <f>IF($B1200="","",COUNTA($B$4:$B1200))</f>
        <v/>
      </c>
      <c r="B1200" s="40" t="n"/>
      <c r="C1200" s="41" t="n"/>
      <c r="D1200" s="41" t="n"/>
      <c r="E1200" s="42" t="n"/>
      <c r="F1200" s="42" t="n"/>
      <c r="G1200" s="43">
        <f>IF($B1200="","",N($E1200)+N($F1200))</f>
        <v/>
      </c>
      <c r="H1200" s="42" t="n"/>
      <c r="I1200" s="43">
        <f>IF($B1200="","",N($G1200)-N($H1200))</f>
        <v/>
      </c>
    </row>
    <row r="1201">
      <c r="A1201" s="39">
        <f>IF($B1201="","",COUNTA($B$4:$B1201))</f>
        <v/>
      </c>
      <c r="B1201" s="45" t="n"/>
      <c r="C1201" s="46" t="n"/>
      <c r="D1201" s="46" t="n"/>
      <c r="E1201" s="47" t="n"/>
      <c r="F1201" s="47" t="n"/>
      <c r="G1201" s="43">
        <f>IF($B1201="","",N($E1201)+N($F1201))</f>
        <v/>
      </c>
      <c r="H1201" s="47" t="n"/>
      <c r="I1201" s="43">
        <f>IF($B1201="","",N($G1201)-N($H1201))</f>
        <v/>
      </c>
    </row>
    <row r="1202">
      <c r="A1202" s="39">
        <f>IF($B1202="","",COUNTA($B$4:$B1202))</f>
        <v/>
      </c>
      <c r="B1202" s="40" t="n"/>
      <c r="C1202" s="41" t="n"/>
      <c r="D1202" s="41" t="n"/>
      <c r="E1202" s="42" t="n"/>
      <c r="F1202" s="42" t="n"/>
      <c r="G1202" s="43">
        <f>IF($B1202="","",N($E1202)+N($F1202))</f>
        <v/>
      </c>
      <c r="H1202" s="42" t="n"/>
      <c r="I1202" s="43">
        <f>IF($B1202="","",N($G1202)-N($H1202))</f>
        <v/>
      </c>
    </row>
    <row r="1203">
      <c r="A1203" s="39">
        <f>IF($B1203="","",COUNTA($B$4:$B1203))</f>
        <v/>
      </c>
      <c r="B1203" s="45" t="n"/>
      <c r="C1203" s="46" t="n"/>
      <c r="D1203" s="46" t="n"/>
      <c r="E1203" s="47" t="n"/>
      <c r="F1203" s="47" t="n"/>
      <c r="G1203" s="43">
        <f>IF($B1203="","",N($E1203)+N($F1203))</f>
        <v/>
      </c>
      <c r="H1203" s="47" t="n"/>
      <c r="I1203" s="43">
        <f>IF($B1203="","",N($G1203)-N($H1203))</f>
        <v/>
      </c>
    </row>
    <row r="1204">
      <c r="A1204" s="39">
        <f>IF($B1204="","",COUNTA($B$4:$B1204))</f>
        <v/>
      </c>
      <c r="B1204" s="40" t="n"/>
      <c r="C1204" s="41" t="n"/>
      <c r="D1204" s="41" t="n"/>
      <c r="E1204" s="42" t="n"/>
      <c r="F1204" s="42" t="n"/>
      <c r="G1204" s="43">
        <f>IF($B1204="","",N($E1204)+N($F1204))</f>
        <v/>
      </c>
      <c r="H1204" s="42" t="n"/>
      <c r="I1204" s="43">
        <f>IF($B1204="","",N($G1204)-N($H1204))</f>
        <v/>
      </c>
    </row>
    <row r="1205">
      <c r="A1205" s="39">
        <f>IF($B1205="","",COUNTA($B$4:$B1205))</f>
        <v/>
      </c>
      <c r="B1205" s="45" t="n"/>
      <c r="C1205" s="46" t="n"/>
      <c r="D1205" s="46" t="n"/>
      <c r="E1205" s="47" t="n"/>
      <c r="F1205" s="47" t="n"/>
      <c r="G1205" s="43">
        <f>IF($B1205="","",N($E1205)+N($F1205))</f>
        <v/>
      </c>
      <c r="H1205" s="47" t="n"/>
      <c r="I1205" s="43">
        <f>IF($B1205="","",N($G1205)-N($H1205))</f>
        <v/>
      </c>
    </row>
    <row r="1206">
      <c r="A1206" s="39">
        <f>IF($B1206="","",COUNTA($B$4:$B1206))</f>
        <v/>
      </c>
      <c r="B1206" s="40" t="n"/>
      <c r="C1206" s="41" t="n"/>
      <c r="D1206" s="41" t="n"/>
      <c r="E1206" s="42" t="n"/>
      <c r="F1206" s="42" t="n"/>
      <c r="G1206" s="43">
        <f>IF($B1206="","",N($E1206)+N($F1206))</f>
        <v/>
      </c>
      <c r="H1206" s="42" t="n"/>
      <c r="I1206" s="43">
        <f>IF($B1206="","",N($G1206)-N($H1206))</f>
        <v/>
      </c>
    </row>
    <row r="1207">
      <c r="A1207" s="39">
        <f>IF($B1207="","",COUNTA($B$4:$B1207))</f>
        <v/>
      </c>
      <c r="B1207" s="45" t="n"/>
      <c r="C1207" s="46" t="n"/>
      <c r="D1207" s="46" t="n"/>
      <c r="E1207" s="47" t="n"/>
      <c r="F1207" s="47" t="n"/>
      <c r="G1207" s="43">
        <f>IF($B1207="","",N($E1207)+N($F1207))</f>
        <v/>
      </c>
      <c r="H1207" s="47" t="n"/>
      <c r="I1207" s="43">
        <f>IF($B1207="","",N($G1207)-N($H1207))</f>
        <v/>
      </c>
    </row>
    <row r="1208">
      <c r="A1208" s="39">
        <f>IF($B1208="","",COUNTA($B$4:$B1208))</f>
        <v/>
      </c>
      <c r="B1208" s="40" t="n"/>
      <c r="C1208" s="41" t="n"/>
      <c r="D1208" s="41" t="n"/>
      <c r="E1208" s="42" t="n"/>
      <c r="F1208" s="42" t="n"/>
      <c r="G1208" s="43">
        <f>IF($B1208="","",N($E1208)+N($F1208))</f>
        <v/>
      </c>
      <c r="H1208" s="42" t="n"/>
      <c r="I1208" s="43">
        <f>IF($B1208="","",N($G1208)-N($H1208))</f>
        <v/>
      </c>
    </row>
    <row r="1209">
      <c r="A1209" s="39">
        <f>IF($B1209="","",COUNTA($B$4:$B1209))</f>
        <v/>
      </c>
      <c r="B1209" s="45" t="n"/>
      <c r="C1209" s="46" t="n"/>
      <c r="D1209" s="46" t="n"/>
      <c r="E1209" s="47" t="n"/>
      <c r="F1209" s="47" t="n"/>
      <c r="G1209" s="43">
        <f>IF($B1209="","",N($E1209)+N($F1209))</f>
        <v/>
      </c>
      <c r="H1209" s="47" t="n"/>
      <c r="I1209" s="43">
        <f>IF($B1209="","",N($G1209)-N($H1209))</f>
        <v/>
      </c>
    </row>
    <row r="1210">
      <c r="A1210" s="39">
        <f>IF($B1210="","",COUNTA($B$4:$B1210))</f>
        <v/>
      </c>
      <c r="B1210" s="40" t="n"/>
      <c r="C1210" s="41" t="n"/>
      <c r="D1210" s="41" t="n"/>
      <c r="E1210" s="42" t="n"/>
      <c r="F1210" s="42" t="n"/>
      <c r="G1210" s="43">
        <f>IF($B1210="","",N($E1210)+N($F1210))</f>
        <v/>
      </c>
      <c r="H1210" s="42" t="n"/>
      <c r="I1210" s="43">
        <f>IF($B1210="","",N($G1210)-N($H1210))</f>
        <v/>
      </c>
    </row>
    <row r="1211">
      <c r="A1211" s="39">
        <f>IF($B1211="","",COUNTA($B$4:$B1211))</f>
        <v/>
      </c>
      <c r="B1211" s="45" t="n"/>
      <c r="C1211" s="46" t="n"/>
      <c r="D1211" s="46" t="n"/>
      <c r="E1211" s="47" t="n"/>
      <c r="F1211" s="47" t="n"/>
      <c r="G1211" s="43">
        <f>IF($B1211="","",N($E1211)+N($F1211))</f>
        <v/>
      </c>
      <c r="H1211" s="47" t="n"/>
      <c r="I1211" s="43">
        <f>IF($B1211="","",N($G1211)-N($H1211))</f>
        <v/>
      </c>
    </row>
    <row r="1212">
      <c r="A1212" s="39">
        <f>IF($B1212="","",COUNTA($B$4:$B1212))</f>
        <v/>
      </c>
      <c r="B1212" s="40" t="n"/>
      <c r="C1212" s="41" t="n"/>
      <c r="D1212" s="41" t="n"/>
      <c r="E1212" s="42" t="n"/>
      <c r="F1212" s="42" t="n"/>
      <c r="G1212" s="43">
        <f>IF($B1212="","",N($E1212)+N($F1212))</f>
        <v/>
      </c>
      <c r="H1212" s="42" t="n"/>
      <c r="I1212" s="43">
        <f>IF($B1212="","",N($G1212)-N($H1212))</f>
        <v/>
      </c>
    </row>
    <row r="1213">
      <c r="A1213" s="39">
        <f>IF($B1213="","",COUNTA($B$4:$B1213))</f>
        <v/>
      </c>
      <c r="B1213" s="45" t="n"/>
      <c r="C1213" s="46" t="n"/>
      <c r="D1213" s="46" t="n"/>
      <c r="E1213" s="47" t="n"/>
      <c r="F1213" s="47" t="n"/>
      <c r="G1213" s="43">
        <f>IF($B1213="","",N($E1213)+N($F1213))</f>
        <v/>
      </c>
      <c r="H1213" s="47" t="n"/>
      <c r="I1213" s="43">
        <f>IF($B1213="","",N($G1213)-N($H1213))</f>
        <v/>
      </c>
    </row>
    <row r="1214">
      <c r="A1214" s="39">
        <f>IF($B1214="","",COUNTA($B$4:$B1214))</f>
        <v/>
      </c>
      <c r="B1214" s="40" t="n"/>
      <c r="C1214" s="41" t="n"/>
      <c r="D1214" s="41" t="n"/>
      <c r="E1214" s="42" t="n"/>
      <c r="F1214" s="42" t="n"/>
      <c r="G1214" s="43">
        <f>IF($B1214="","",N($E1214)+N($F1214))</f>
        <v/>
      </c>
      <c r="H1214" s="42" t="n"/>
      <c r="I1214" s="43">
        <f>IF($B1214="","",N($G1214)-N($H1214))</f>
        <v/>
      </c>
    </row>
    <row r="1215">
      <c r="A1215" s="39">
        <f>IF($B1215="","",COUNTA($B$4:$B1215))</f>
        <v/>
      </c>
      <c r="B1215" s="45" t="n"/>
      <c r="C1215" s="46" t="n"/>
      <c r="D1215" s="46" t="n"/>
      <c r="E1215" s="47" t="n"/>
      <c r="F1215" s="47" t="n"/>
      <c r="G1215" s="43">
        <f>IF($B1215="","",N($E1215)+N($F1215))</f>
        <v/>
      </c>
      <c r="H1215" s="47" t="n"/>
      <c r="I1215" s="43">
        <f>IF($B1215="","",N($G1215)-N($H1215))</f>
        <v/>
      </c>
    </row>
    <row r="1216">
      <c r="A1216" s="39">
        <f>IF($B1216="","",COUNTA($B$4:$B1216))</f>
        <v/>
      </c>
      <c r="B1216" s="40" t="n"/>
      <c r="C1216" s="41" t="n"/>
      <c r="D1216" s="41" t="n"/>
      <c r="E1216" s="42" t="n"/>
      <c r="F1216" s="42" t="n"/>
      <c r="G1216" s="43">
        <f>IF($B1216="","",N($E1216)+N($F1216))</f>
        <v/>
      </c>
      <c r="H1216" s="42" t="n"/>
      <c r="I1216" s="43">
        <f>IF($B1216="","",N($G1216)-N($H1216))</f>
        <v/>
      </c>
    </row>
    <row r="1217">
      <c r="A1217" s="39">
        <f>IF($B1217="","",COUNTA($B$4:$B1217))</f>
        <v/>
      </c>
      <c r="B1217" s="45" t="n"/>
      <c r="C1217" s="46" t="n"/>
      <c r="D1217" s="46" t="n"/>
      <c r="E1217" s="47" t="n"/>
      <c r="F1217" s="47" t="n"/>
      <c r="G1217" s="43">
        <f>IF($B1217="","",N($E1217)+N($F1217))</f>
        <v/>
      </c>
      <c r="H1217" s="47" t="n"/>
      <c r="I1217" s="43">
        <f>IF($B1217="","",N($G1217)-N($H1217))</f>
        <v/>
      </c>
    </row>
    <row r="1218">
      <c r="A1218" s="39">
        <f>IF($B1218="","",COUNTA($B$4:$B1218))</f>
        <v/>
      </c>
      <c r="B1218" s="40" t="n"/>
      <c r="C1218" s="41" t="n"/>
      <c r="D1218" s="41" t="n"/>
      <c r="E1218" s="42" t="n"/>
      <c r="F1218" s="42" t="n"/>
      <c r="G1218" s="43">
        <f>IF($B1218="","",N($E1218)+N($F1218))</f>
        <v/>
      </c>
      <c r="H1218" s="42" t="n"/>
      <c r="I1218" s="43">
        <f>IF($B1218="","",N($G1218)-N($H1218))</f>
        <v/>
      </c>
    </row>
    <row r="1219">
      <c r="A1219" s="39">
        <f>IF($B1219="","",COUNTA($B$4:$B1219))</f>
        <v/>
      </c>
      <c r="B1219" s="45" t="n"/>
      <c r="C1219" s="46" t="n"/>
      <c r="D1219" s="46" t="n"/>
      <c r="E1219" s="47" t="n"/>
      <c r="F1219" s="47" t="n"/>
      <c r="G1219" s="43">
        <f>IF($B1219="","",N($E1219)+N($F1219))</f>
        <v/>
      </c>
      <c r="H1219" s="47" t="n"/>
      <c r="I1219" s="43">
        <f>IF($B1219="","",N($G1219)-N($H1219))</f>
        <v/>
      </c>
    </row>
    <row r="1220">
      <c r="A1220" s="39">
        <f>IF($B1220="","",COUNTA($B$4:$B1220))</f>
        <v/>
      </c>
      <c r="B1220" s="40" t="n"/>
      <c r="C1220" s="41" t="n"/>
      <c r="D1220" s="41" t="n"/>
      <c r="E1220" s="42" t="n"/>
      <c r="F1220" s="42" t="n"/>
      <c r="G1220" s="43">
        <f>IF($B1220="","",N($E1220)+N($F1220))</f>
        <v/>
      </c>
      <c r="H1220" s="42" t="n"/>
      <c r="I1220" s="43">
        <f>IF($B1220="","",N($G1220)-N($H1220))</f>
        <v/>
      </c>
    </row>
    <row r="1221">
      <c r="A1221" s="39">
        <f>IF($B1221="","",COUNTA($B$4:$B1221))</f>
        <v/>
      </c>
      <c r="B1221" s="45" t="n"/>
      <c r="C1221" s="46" t="n"/>
      <c r="D1221" s="46" t="n"/>
      <c r="E1221" s="47" t="n"/>
      <c r="F1221" s="47" t="n"/>
      <c r="G1221" s="43">
        <f>IF($B1221="","",N($E1221)+N($F1221))</f>
        <v/>
      </c>
      <c r="H1221" s="47" t="n"/>
      <c r="I1221" s="43">
        <f>IF($B1221="","",N($G1221)-N($H1221))</f>
        <v/>
      </c>
    </row>
    <row r="1222">
      <c r="A1222" s="39">
        <f>IF($B1222="","",COUNTA($B$4:$B1222))</f>
        <v/>
      </c>
      <c r="B1222" s="40" t="n"/>
      <c r="C1222" s="41" t="n"/>
      <c r="D1222" s="41" t="n"/>
      <c r="E1222" s="42" t="n"/>
      <c r="F1222" s="42" t="n"/>
      <c r="G1222" s="43">
        <f>IF($B1222="","",N($E1222)+N($F1222))</f>
        <v/>
      </c>
      <c r="H1222" s="42" t="n"/>
      <c r="I1222" s="43">
        <f>IF($B1222="","",N($G1222)-N($H1222))</f>
        <v/>
      </c>
    </row>
    <row r="1223">
      <c r="A1223" s="39">
        <f>IF($B1223="","",COUNTA($B$4:$B1223))</f>
        <v/>
      </c>
      <c r="B1223" s="45" t="n"/>
      <c r="C1223" s="46" t="n"/>
      <c r="D1223" s="46" t="n"/>
      <c r="E1223" s="47" t="n"/>
      <c r="F1223" s="47" t="n"/>
      <c r="G1223" s="43">
        <f>IF($B1223="","",N($E1223)+N($F1223))</f>
        <v/>
      </c>
      <c r="H1223" s="47" t="n"/>
      <c r="I1223" s="43">
        <f>IF($B1223="","",N($G1223)-N($H1223))</f>
        <v/>
      </c>
    </row>
    <row r="1224">
      <c r="A1224" s="39">
        <f>IF($B1224="","",COUNTA($B$4:$B1224))</f>
        <v/>
      </c>
      <c r="B1224" s="40" t="n"/>
      <c r="C1224" s="41" t="n"/>
      <c r="D1224" s="41" t="n"/>
      <c r="E1224" s="42" t="n"/>
      <c r="F1224" s="42" t="n"/>
      <c r="G1224" s="43">
        <f>IF($B1224="","",N($E1224)+N($F1224))</f>
        <v/>
      </c>
      <c r="H1224" s="42" t="n"/>
      <c r="I1224" s="43">
        <f>IF($B1224="","",N($G1224)-N($H1224))</f>
        <v/>
      </c>
    </row>
    <row r="1225">
      <c r="A1225" s="39">
        <f>IF($B1225="","",COUNTA($B$4:$B1225))</f>
        <v/>
      </c>
      <c r="B1225" s="45" t="n"/>
      <c r="C1225" s="46" t="n"/>
      <c r="D1225" s="46" t="n"/>
      <c r="E1225" s="47" t="n"/>
      <c r="F1225" s="47" t="n"/>
      <c r="G1225" s="43">
        <f>IF($B1225="","",N($E1225)+N($F1225))</f>
        <v/>
      </c>
      <c r="H1225" s="47" t="n"/>
      <c r="I1225" s="43">
        <f>IF($B1225="","",N($G1225)-N($H1225))</f>
        <v/>
      </c>
    </row>
    <row r="1226">
      <c r="A1226" s="39">
        <f>IF($B1226="","",COUNTA($B$4:$B1226))</f>
        <v/>
      </c>
      <c r="B1226" s="40" t="n"/>
      <c r="C1226" s="41" t="n"/>
      <c r="D1226" s="41" t="n"/>
      <c r="E1226" s="42" t="n"/>
      <c r="F1226" s="42" t="n"/>
      <c r="G1226" s="43">
        <f>IF($B1226="","",N($E1226)+N($F1226))</f>
        <v/>
      </c>
      <c r="H1226" s="42" t="n"/>
      <c r="I1226" s="43">
        <f>IF($B1226="","",N($G1226)-N($H1226))</f>
        <v/>
      </c>
    </row>
    <row r="1227">
      <c r="A1227" s="39">
        <f>IF($B1227="","",COUNTA($B$4:$B1227))</f>
        <v/>
      </c>
      <c r="B1227" s="45" t="n"/>
      <c r="C1227" s="46" t="n"/>
      <c r="D1227" s="46" t="n"/>
      <c r="E1227" s="47" t="n"/>
      <c r="F1227" s="47" t="n"/>
      <c r="G1227" s="43">
        <f>IF($B1227="","",N($E1227)+N($F1227))</f>
        <v/>
      </c>
      <c r="H1227" s="47" t="n"/>
      <c r="I1227" s="43">
        <f>IF($B1227="","",N($G1227)-N($H1227))</f>
        <v/>
      </c>
    </row>
    <row r="1228">
      <c r="A1228" s="39">
        <f>IF($B1228="","",COUNTA($B$4:$B1228))</f>
        <v/>
      </c>
      <c r="B1228" s="40" t="n"/>
      <c r="C1228" s="41" t="n"/>
      <c r="D1228" s="41" t="n"/>
      <c r="E1228" s="42" t="n"/>
      <c r="F1228" s="42" t="n"/>
      <c r="G1228" s="43">
        <f>IF($B1228="","",N($E1228)+N($F1228))</f>
        <v/>
      </c>
      <c r="H1228" s="42" t="n"/>
      <c r="I1228" s="43">
        <f>IF($B1228="","",N($G1228)-N($H1228))</f>
        <v/>
      </c>
    </row>
    <row r="1229">
      <c r="A1229" s="39">
        <f>IF($B1229="","",COUNTA($B$4:$B1229))</f>
        <v/>
      </c>
      <c r="B1229" s="45" t="n"/>
      <c r="C1229" s="46" t="n"/>
      <c r="D1229" s="46" t="n"/>
      <c r="E1229" s="47" t="n"/>
      <c r="F1229" s="47" t="n"/>
      <c r="G1229" s="43">
        <f>IF($B1229="","",N($E1229)+N($F1229))</f>
        <v/>
      </c>
      <c r="H1229" s="47" t="n"/>
      <c r="I1229" s="43">
        <f>IF($B1229="","",N($G1229)-N($H1229))</f>
        <v/>
      </c>
    </row>
    <row r="1230">
      <c r="A1230" s="39">
        <f>IF($B1230="","",COUNTA($B$4:$B1230))</f>
        <v/>
      </c>
      <c r="B1230" s="40" t="n"/>
      <c r="C1230" s="41" t="n"/>
      <c r="D1230" s="41" t="n"/>
      <c r="E1230" s="42" t="n"/>
      <c r="F1230" s="42" t="n"/>
      <c r="G1230" s="43">
        <f>IF($B1230="","",N($E1230)+N($F1230))</f>
        <v/>
      </c>
      <c r="H1230" s="42" t="n"/>
      <c r="I1230" s="43">
        <f>IF($B1230="","",N($G1230)-N($H1230))</f>
        <v/>
      </c>
    </row>
    <row r="1231">
      <c r="A1231" s="39">
        <f>IF($B1231="","",COUNTA($B$4:$B1231))</f>
        <v/>
      </c>
      <c r="B1231" s="45" t="n"/>
      <c r="C1231" s="46" t="n"/>
      <c r="D1231" s="46" t="n"/>
      <c r="E1231" s="47" t="n"/>
      <c r="F1231" s="47" t="n"/>
      <c r="G1231" s="43">
        <f>IF($B1231="","",N($E1231)+N($F1231))</f>
        <v/>
      </c>
      <c r="H1231" s="47" t="n"/>
      <c r="I1231" s="43">
        <f>IF($B1231="","",N($G1231)-N($H1231))</f>
        <v/>
      </c>
    </row>
    <row r="1232">
      <c r="A1232" s="39">
        <f>IF($B1232="","",COUNTA($B$4:$B1232))</f>
        <v/>
      </c>
      <c r="B1232" s="40" t="n"/>
      <c r="C1232" s="41" t="n"/>
      <c r="D1232" s="41" t="n"/>
      <c r="E1232" s="42" t="n"/>
      <c r="F1232" s="42" t="n"/>
      <c r="G1232" s="43">
        <f>IF($B1232="","",N($E1232)+N($F1232))</f>
        <v/>
      </c>
      <c r="H1232" s="42" t="n"/>
      <c r="I1232" s="43">
        <f>IF($B1232="","",N($G1232)-N($H1232))</f>
        <v/>
      </c>
    </row>
    <row r="1233">
      <c r="A1233" s="39">
        <f>IF($B1233="","",COUNTA($B$4:$B1233))</f>
        <v/>
      </c>
      <c r="B1233" s="45" t="n"/>
      <c r="C1233" s="46" t="n"/>
      <c r="D1233" s="46" t="n"/>
      <c r="E1233" s="47" t="n"/>
      <c r="F1233" s="47" t="n"/>
      <c r="G1233" s="43">
        <f>IF($B1233="","",N($E1233)+N($F1233))</f>
        <v/>
      </c>
      <c r="H1233" s="47" t="n"/>
      <c r="I1233" s="43">
        <f>IF($B1233="","",N($G1233)-N($H1233))</f>
        <v/>
      </c>
    </row>
    <row r="1234">
      <c r="A1234" s="39">
        <f>IF($B1234="","",COUNTA($B$4:$B1234))</f>
        <v/>
      </c>
      <c r="B1234" s="40" t="n"/>
      <c r="C1234" s="41" t="n"/>
      <c r="D1234" s="41" t="n"/>
      <c r="E1234" s="42" t="n"/>
      <c r="F1234" s="42" t="n"/>
      <c r="G1234" s="43">
        <f>IF($B1234="","",N($E1234)+N($F1234))</f>
        <v/>
      </c>
      <c r="H1234" s="42" t="n"/>
      <c r="I1234" s="43">
        <f>IF($B1234="","",N($G1234)-N($H1234))</f>
        <v/>
      </c>
    </row>
    <row r="1235">
      <c r="A1235" s="39">
        <f>IF($B1235="","",COUNTA($B$4:$B1235))</f>
        <v/>
      </c>
      <c r="B1235" s="45" t="n"/>
      <c r="C1235" s="46" t="n"/>
      <c r="D1235" s="46" t="n"/>
      <c r="E1235" s="47" t="n"/>
      <c r="F1235" s="47" t="n"/>
      <c r="G1235" s="43">
        <f>IF($B1235="","",N($E1235)+N($F1235))</f>
        <v/>
      </c>
      <c r="H1235" s="47" t="n"/>
      <c r="I1235" s="43">
        <f>IF($B1235="","",N($G1235)-N($H1235))</f>
        <v/>
      </c>
    </row>
    <row r="1236">
      <c r="A1236" s="39">
        <f>IF($B1236="","",COUNTA($B$4:$B1236))</f>
        <v/>
      </c>
      <c r="B1236" s="40" t="n"/>
      <c r="C1236" s="41" t="n"/>
      <c r="D1236" s="41" t="n"/>
      <c r="E1236" s="42" t="n"/>
      <c r="F1236" s="42" t="n"/>
      <c r="G1236" s="43">
        <f>IF($B1236="","",N($E1236)+N($F1236))</f>
        <v/>
      </c>
      <c r="H1236" s="42" t="n"/>
      <c r="I1236" s="43">
        <f>IF($B1236="","",N($G1236)-N($H1236))</f>
        <v/>
      </c>
    </row>
    <row r="1237">
      <c r="A1237" s="39">
        <f>IF($B1237="","",COUNTA($B$4:$B1237))</f>
        <v/>
      </c>
      <c r="B1237" s="45" t="n"/>
      <c r="C1237" s="46" t="n"/>
      <c r="D1237" s="46" t="n"/>
      <c r="E1237" s="47" t="n"/>
      <c r="F1237" s="47" t="n"/>
      <c r="G1237" s="43">
        <f>IF($B1237="","",N($E1237)+N($F1237))</f>
        <v/>
      </c>
      <c r="H1237" s="47" t="n"/>
      <c r="I1237" s="43">
        <f>IF($B1237="","",N($G1237)-N($H1237))</f>
        <v/>
      </c>
    </row>
    <row r="1238">
      <c r="A1238" s="39">
        <f>IF($B1238="","",COUNTA($B$4:$B1238))</f>
        <v/>
      </c>
      <c r="B1238" s="40" t="n"/>
      <c r="C1238" s="41" t="n"/>
      <c r="D1238" s="41" t="n"/>
      <c r="E1238" s="42" t="n"/>
      <c r="F1238" s="42" t="n"/>
      <c r="G1238" s="43">
        <f>IF($B1238="","",N($E1238)+N($F1238))</f>
        <v/>
      </c>
      <c r="H1238" s="42" t="n"/>
      <c r="I1238" s="43">
        <f>IF($B1238="","",N($G1238)-N($H1238))</f>
        <v/>
      </c>
    </row>
    <row r="1239">
      <c r="A1239" s="39">
        <f>IF($B1239="","",COUNTA($B$4:$B1239))</f>
        <v/>
      </c>
      <c r="B1239" s="45" t="n"/>
      <c r="C1239" s="46" t="n"/>
      <c r="D1239" s="46" t="n"/>
      <c r="E1239" s="47" t="n"/>
      <c r="F1239" s="47" t="n"/>
      <c r="G1239" s="43">
        <f>IF($B1239="","",N($E1239)+N($F1239))</f>
        <v/>
      </c>
      <c r="H1239" s="47" t="n"/>
      <c r="I1239" s="43">
        <f>IF($B1239="","",N($G1239)-N($H1239))</f>
        <v/>
      </c>
    </row>
    <row r="1240">
      <c r="A1240" s="39">
        <f>IF($B1240="","",COUNTA($B$4:$B1240))</f>
        <v/>
      </c>
      <c r="B1240" s="40" t="n"/>
      <c r="C1240" s="41" t="n"/>
      <c r="D1240" s="41" t="n"/>
      <c r="E1240" s="42" t="n"/>
      <c r="F1240" s="42" t="n"/>
      <c r="G1240" s="43">
        <f>IF($B1240="","",N($E1240)+N($F1240))</f>
        <v/>
      </c>
      <c r="H1240" s="42" t="n"/>
      <c r="I1240" s="43">
        <f>IF($B1240="","",N($G1240)-N($H1240))</f>
        <v/>
      </c>
    </row>
    <row r="1241">
      <c r="A1241" s="39">
        <f>IF($B1241="","",COUNTA($B$4:$B1241))</f>
        <v/>
      </c>
      <c r="B1241" s="45" t="n"/>
      <c r="C1241" s="46" t="n"/>
      <c r="D1241" s="46" t="n"/>
      <c r="E1241" s="47" t="n"/>
      <c r="F1241" s="47" t="n"/>
      <c r="G1241" s="43">
        <f>IF($B1241="","",N($E1241)+N($F1241))</f>
        <v/>
      </c>
      <c r="H1241" s="47" t="n"/>
      <c r="I1241" s="43">
        <f>IF($B1241="","",N($G1241)-N($H1241))</f>
        <v/>
      </c>
    </row>
    <row r="1242">
      <c r="A1242" s="39">
        <f>IF($B1242="","",COUNTA($B$4:$B1242))</f>
        <v/>
      </c>
      <c r="B1242" s="40" t="n"/>
      <c r="C1242" s="41" t="n"/>
      <c r="D1242" s="41" t="n"/>
      <c r="E1242" s="42" t="n"/>
      <c r="F1242" s="42" t="n"/>
      <c r="G1242" s="43">
        <f>IF($B1242="","",N($E1242)+N($F1242))</f>
        <v/>
      </c>
      <c r="H1242" s="42" t="n"/>
      <c r="I1242" s="43">
        <f>IF($B1242="","",N($G1242)-N($H1242))</f>
        <v/>
      </c>
    </row>
    <row r="1243">
      <c r="A1243" s="39">
        <f>IF($B1243="","",COUNTA($B$4:$B1243))</f>
        <v/>
      </c>
      <c r="B1243" s="45" t="n"/>
      <c r="C1243" s="46" t="n"/>
      <c r="D1243" s="46" t="n"/>
      <c r="E1243" s="47" t="n"/>
      <c r="F1243" s="47" t="n"/>
      <c r="G1243" s="43">
        <f>IF($B1243="","",N($E1243)+N($F1243))</f>
        <v/>
      </c>
      <c r="H1243" s="47" t="n"/>
      <c r="I1243" s="43">
        <f>IF($B1243="","",N($G1243)-N($H1243))</f>
        <v/>
      </c>
    </row>
    <row r="1244">
      <c r="A1244" s="39">
        <f>IF($B1244="","",COUNTA($B$4:$B1244))</f>
        <v/>
      </c>
      <c r="B1244" s="40" t="n"/>
      <c r="C1244" s="41" t="n"/>
      <c r="D1244" s="41" t="n"/>
      <c r="E1244" s="42" t="n"/>
      <c r="F1244" s="42" t="n"/>
      <c r="G1244" s="43">
        <f>IF($B1244="","",N($E1244)+N($F1244))</f>
        <v/>
      </c>
      <c r="H1244" s="42" t="n"/>
      <c r="I1244" s="43">
        <f>IF($B1244="","",N($G1244)-N($H1244))</f>
        <v/>
      </c>
    </row>
    <row r="1245">
      <c r="A1245" s="39">
        <f>IF($B1245="","",COUNTA($B$4:$B1245))</f>
        <v/>
      </c>
      <c r="B1245" s="45" t="n"/>
      <c r="C1245" s="46" t="n"/>
      <c r="D1245" s="46" t="n"/>
      <c r="E1245" s="47" t="n"/>
      <c r="F1245" s="47" t="n"/>
      <c r="G1245" s="43">
        <f>IF($B1245="","",N($E1245)+N($F1245))</f>
        <v/>
      </c>
      <c r="H1245" s="47" t="n"/>
      <c r="I1245" s="43">
        <f>IF($B1245="","",N($G1245)-N($H1245))</f>
        <v/>
      </c>
    </row>
    <row r="1246">
      <c r="A1246" s="39">
        <f>IF($B1246="","",COUNTA($B$4:$B1246))</f>
        <v/>
      </c>
      <c r="B1246" s="40" t="n"/>
      <c r="C1246" s="41" t="n"/>
      <c r="D1246" s="41" t="n"/>
      <c r="E1246" s="42" t="n"/>
      <c r="F1246" s="42" t="n"/>
      <c r="G1246" s="43">
        <f>IF($B1246="","",N($E1246)+N($F1246))</f>
        <v/>
      </c>
      <c r="H1246" s="42" t="n"/>
      <c r="I1246" s="43">
        <f>IF($B1246="","",N($G1246)-N($H1246))</f>
        <v/>
      </c>
    </row>
    <row r="1247">
      <c r="A1247" s="39">
        <f>IF($B1247="","",COUNTA($B$4:$B1247))</f>
        <v/>
      </c>
      <c r="B1247" s="45" t="n"/>
      <c r="C1247" s="46" t="n"/>
      <c r="D1247" s="46" t="n"/>
      <c r="E1247" s="47" t="n"/>
      <c r="F1247" s="47" t="n"/>
      <c r="G1247" s="43">
        <f>IF($B1247="","",N($E1247)+N($F1247))</f>
        <v/>
      </c>
      <c r="H1247" s="47" t="n"/>
      <c r="I1247" s="43">
        <f>IF($B1247="","",N($G1247)-N($H1247))</f>
        <v/>
      </c>
    </row>
    <row r="1248">
      <c r="A1248" s="39">
        <f>IF($B1248="","",COUNTA($B$4:$B1248))</f>
        <v/>
      </c>
      <c r="B1248" s="40" t="n"/>
      <c r="C1248" s="41" t="n"/>
      <c r="D1248" s="41" t="n"/>
      <c r="E1248" s="42" t="n"/>
      <c r="F1248" s="42" t="n"/>
      <c r="G1248" s="43">
        <f>IF($B1248="","",N($E1248)+N($F1248))</f>
        <v/>
      </c>
      <c r="H1248" s="42" t="n"/>
      <c r="I1248" s="43">
        <f>IF($B1248="","",N($G1248)-N($H1248))</f>
        <v/>
      </c>
    </row>
    <row r="1249">
      <c r="A1249" s="39">
        <f>IF($B1249="","",COUNTA($B$4:$B1249))</f>
        <v/>
      </c>
      <c r="B1249" s="45" t="n"/>
      <c r="C1249" s="46" t="n"/>
      <c r="D1249" s="46" t="n"/>
      <c r="E1249" s="47" t="n"/>
      <c r="F1249" s="47" t="n"/>
      <c r="G1249" s="43">
        <f>IF($B1249="","",N($E1249)+N($F1249))</f>
        <v/>
      </c>
      <c r="H1249" s="47" t="n"/>
      <c r="I1249" s="43">
        <f>IF($B1249="","",N($G1249)-N($H1249))</f>
        <v/>
      </c>
    </row>
    <row r="1250">
      <c r="A1250" s="39">
        <f>IF($B1250="","",COUNTA($B$4:$B1250))</f>
        <v/>
      </c>
      <c r="B1250" s="40" t="n"/>
      <c r="C1250" s="41" t="n"/>
      <c r="D1250" s="41" t="n"/>
      <c r="E1250" s="42" t="n"/>
      <c r="F1250" s="42" t="n"/>
      <c r="G1250" s="43">
        <f>IF($B1250="","",N($E1250)+N($F1250))</f>
        <v/>
      </c>
      <c r="H1250" s="42" t="n"/>
      <c r="I1250" s="43">
        <f>IF($B1250="","",N($G1250)-N($H1250))</f>
        <v/>
      </c>
    </row>
    <row r="1251">
      <c r="A1251" s="39">
        <f>IF($B1251="","",COUNTA($B$4:$B1251))</f>
        <v/>
      </c>
      <c r="B1251" s="45" t="n"/>
      <c r="C1251" s="46" t="n"/>
      <c r="D1251" s="46" t="n"/>
      <c r="E1251" s="47" t="n"/>
      <c r="F1251" s="47" t="n"/>
      <c r="G1251" s="43">
        <f>IF($B1251="","",N($E1251)+N($F1251))</f>
        <v/>
      </c>
      <c r="H1251" s="47" t="n"/>
      <c r="I1251" s="43">
        <f>IF($B1251="","",N($G1251)-N($H1251))</f>
        <v/>
      </c>
    </row>
    <row r="1252">
      <c r="A1252" s="39">
        <f>IF($B1252="","",COUNTA($B$4:$B1252))</f>
        <v/>
      </c>
      <c r="B1252" s="40" t="n"/>
      <c r="C1252" s="41" t="n"/>
      <c r="D1252" s="41" t="n"/>
      <c r="E1252" s="42" t="n"/>
      <c r="F1252" s="42" t="n"/>
      <c r="G1252" s="43">
        <f>IF($B1252="","",N($E1252)+N($F1252))</f>
        <v/>
      </c>
      <c r="H1252" s="42" t="n"/>
      <c r="I1252" s="43">
        <f>IF($B1252="","",N($G1252)-N($H1252))</f>
        <v/>
      </c>
    </row>
    <row r="1253">
      <c r="A1253" s="39">
        <f>IF($B1253="","",COUNTA($B$4:$B1253))</f>
        <v/>
      </c>
      <c r="B1253" s="45" t="n"/>
      <c r="C1253" s="46" t="n"/>
      <c r="D1253" s="46" t="n"/>
      <c r="E1253" s="47" t="n"/>
      <c r="F1253" s="47" t="n"/>
      <c r="G1253" s="43">
        <f>IF($B1253="","",N($E1253)+N($F1253))</f>
        <v/>
      </c>
      <c r="H1253" s="47" t="n"/>
      <c r="I1253" s="43">
        <f>IF($B1253="","",N($G1253)-N($H1253))</f>
        <v/>
      </c>
    </row>
    <row r="1254">
      <c r="A1254" s="39">
        <f>IF($B1254="","",COUNTA($B$4:$B1254))</f>
        <v/>
      </c>
      <c r="B1254" s="40" t="n"/>
      <c r="C1254" s="41" t="n"/>
      <c r="D1254" s="41" t="n"/>
      <c r="E1254" s="42" t="n"/>
      <c r="F1254" s="42" t="n"/>
      <c r="G1254" s="43">
        <f>IF($B1254="","",N($E1254)+N($F1254))</f>
        <v/>
      </c>
      <c r="H1254" s="42" t="n"/>
      <c r="I1254" s="43">
        <f>IF($B1254="","",N($G1254)-N($H1254))</f>
        <v/>
      </c>
    </row>
    <row r="1255">
      <c r="A1255" s="39">
        <f>IF($B1255="","",COUNTA($B$4:$B1255))</f>
        <v/>
      </c>
      <c r="B1255" s="45" t="n"/>
      <c r="C1255" s="46" t="n"/>
      <c r="D1255" s="46" t="n"/>
      <c r="E1255" s="47" t="n"/>
      <c r="F1255" s="47" t="n"/>
      <c r="G1255" s="43">
        <f>IF($B1255="","",N($E1255)+N($F1255))</f>
        <v/>
      </c>
      <c r="H1255" s="47" t="n"/>
      <c r="I1255" s="43">
        <f>IF($B1255="","",N($G1255)-N($H1255))</f>
        <v/>
      </c>
    </row>
    <row r="1256">
      <c r="A1256" s="39">
        <f>IF($B1256="","",COUNTA($B$4:$B1256))</f>
        <v/>
      </c>
      <c r="B1256" s="40" t="n"/>
      <c r="C1256" s="41" t="n"/>
      <c r="D1256" s="41" t="n"/>
      <c r="E1256" s="42" t="n"/>
      <c r="F1256" s="42" t="n"/>
      <c r="G1256" s="43">
        <f>IF($B1256="","",N($E1256)+N($F1256))</f>
        <v/>
      </c>
      <c r="H1256" s="42" t="n"/>
      <c r="I1256" s="43">
        <f>IF($B1256="","",N($G1256)-N($H1256))</f>
        <v/>
      </c>
    </row>
    <row r="1257">
      <c r="A1257" s="39">
        <f>IF($B1257="","",COUNTA($B$4:$B1257))</f>
        <v/>
      </c>
      <c r="B1257" s="45" t="n"/>
      <c r="C1257" s="46" t="n"/>
      <c r="D1257" s="46" t="n"/>
      <c r="E1257" s="47" t="n"/>
      <c r="F1257" s="47" t="n"/>
      <c r="G1257" s="43">
        <f>IF($B1257="","",N($E1257)+N($F1257))</f>
        <v/>
      </c>
      <c r="H1257" s="47" t="n"/>
      <c r="I1257" s="43">
        <f>IF($B1257="","",N($G1257)-N($H1257))</f>
        <v/>
      </c>
    </row>
    <row r="1258">
      <c r="A1258" s="39">
        <f>IF($B1258="","",COUNTA($B$4:$B1258))</f>
        <v/>
      </c>
      <c r="B1258" s="40" t="n"/>
      <c r="C1258" s="41" t="n"/>
      <c r="D1258" s="41" t="n"/>
      <c r="E1258" s="42" t="n"/>
      <c r="F1258" s="42" t="n"/>
      <c r="G1258" s="43">
        <f>IF($B1258="","",N($E1258)+N($F1258))</f>
        <v/>
      </c>
      <c r="H1258" s="42" t="n"/>
      <c r="I1258" s="43">
        <f>IF($B1258="","",N($G1258)-N($H1258))</f>
        <v/>
      </c>
    </row>
    <row r="1259">
      <c r="A1259" s="39">
        <f>IF($B1259="","",COUNTA($B$4:$B1259))</f>
        <v/>
      </c>
      <c r="B1259" s="45" t="n"/>
      <c r="C1259" s="46" t="n"/>
      <c r="D1259" s="46" t="n"/>
      <c r="E1259" s="47" t="n"/>
      <c r="F1259" s="47" t="n"/>
      <c r="G1259" s="43">
        <f>IF($B1259="","",N($E1259)+N($F1259))</f>
        <v/>
      </c>
      <c r="H1259" s="47" t="n"/>
      <c r="I1259" s="43">
        <f>IF($B1259="","",N($G1259)-N($H1259))</f>
        <v/>
      </c>
    </row>
    <row r="1260">
      <c r="A1260" s="39">
        <f>IF($B1260="","",COUNTA($B$4:$B1260))</f>
        <v/>
      </c>
      <c r="B1260" s="40" t="n"/>
      <c r="C1260" s="41" t="n"/>
      <c r="D1260" s="41" t="n"/>
      <c r="E1260" s="42" t="n"/>
      <c r="F1260" s="42" t="n"/>
      <c r="G1260" s="43">
        <f>IF($B1260="","",N($E1260)+N($F1260))</f>
        <v/>
      </c>
      <c r="H1260" s="42" t="n"/>
      <c r="I1260" s="43">
        <f>IF($B1260="","",N($G1260)-N($H1260))</f>
        <v/>
      </c>
    </row>
    <row r="1261">
      <c r="A1261" s="39">
        <f>IF($B1261="","",COUNTA($B$4:$B1261))</f>
        <v/>
      </c>
      <c r="B1261" s="45" t="n"/>
      <c r="C1261" s="46" t="n"/>
      <c r="D1261" s="46" t="n"/>
      <c r="E1261" s="47" t="n"/>
      <c r="F1261" s="47" t="n"/>
      <c r="G1261" s="43">
        <f>IF($B1261="","",N($E1261)+N($F1261))</f>
        <v/>
      </c>
      <c r="H1261" s="47" t="n"/>
      <c r="I1261" s="43">
        <f>IF($B1261="","",N($G1261)-N($H1261))</f>
        <v/>
      </c>
    </row>
    <row r="1262">
      <c r="A1262" s="39">
        <f>IF($B1262="","",COUNTA($B$4:$B1262))</f>
        <v/>
      </c>
      <c r="B1262" s="40" t="n"/>
      <c r="C1262" s="41" t="n"/>
      <c r="D1262" s="41" t="n"/>
      <c r="E1262" s="42" t="n"/>
      <c r="F1262" s="42" t="n"/>
      <c r="G1262" s="43">
        <f>IF($B1262="","",N($E1262)+N($F1262))</f>
        <v/>
      </c>
      <c r="H1262" s="42" t="n"/>
      <c r="I1262" s="43">
        <f>IF($B1262="","",N($G1262)-N($H1262))</f>
        <v/>
      </c>
    </row>
    <row r="1263">
      <c r="A1263" s="39">
        <f>IF($B1263="","",COUNTA($B$4:$B1263))</f>
        <v/>
      </c>
      <c r="B1263" s="45" t="n"/>
      <c r="C1263" s="46" t="n"/>
      <c r="D1263" s="46" t="n"/>
      <c r="E1263" s="47" t="n"/>
      <c r="F1263" s="47" t="n"/>
      <c r="G1263" s="43">
        <f>IF($B1263="","",N($E1263)+N($F1263))</f>
        <v/>
      </c>
      <c r="H1263" s="47" t="n"/>
      <c r="I1263" s="43">
        <f>IF($B1263="","",N($G1263)-N($H1263))</f>
        <v/>
      </c>
    </row>
    <row r="1264">
      <c r="A1264" s="39">
        <f>IF($B1264="","",COUNTA($B$4:$B1264))</f>
        <v/>
      </c>
      <c r="B1264" s="40" t="n"/>
      <c r="C1264" s="41" t="n"/>
      <c r="D1264" s="41" t="n"/>
      <c r="E1264" s="42" t="n"/>
      <c r="F1264" s="42" t="n"/>
      <c r="G1264" s="43">
        <f>IF($B1264="","",N($E1264)+N($F1264))</f>
        <v/>
      </c>
      <c r="H1264" s="42" t="n"/>
      <c r="I1264" s="43">
        <f>IF($B1264="","",N($G1264)-N($H1264))</f>
        <v/>
      </c>
    </row>
    <row r="1265">
      <c r="A1265" s="39">
        <f>IF($B1265="","",COUNTA($B$4:$B1265))</f>
        <v/>
      </c>
      <c r="B1265" s="45" t="n"/>
      <c r="C1265" s="46" t="n"/>
      <c r="D1265" s="46" t="n"/>
      <c r="E1265" s="47" t="n"/>
      <c r="F1265" s="47" t="n"/>
      <c r="G1265" s="43">
        <f>IF($B1265="","",N($E1265)+N($F1265))</f>
        <v/>
      </c>
      <c r="H1265" s="47" t="n"/>
      <c r="I1265" s="43">
        <f>IF($B1265="","",N($G1265)-N($H1265))</f>
        <v/>
      </c>
    </row>
    <row r="1266">
      <c r="A1266" s="39">
        <f>IF($B1266="","",COUNTA($B$4:$B1266))</f>
        <v/>
      </c>
      <c r="B1266" s="40" t="n"/>
      <c r="C1266" s="41" t="n"/>
      <c r="D1266" s="41" t="n"/>
      <c r="E1266" s="42" t="n"/>
      <c r="F1266" s="42" t="n"/>
      <c r="G1266" s="43">
        <f>IF($B1266="","",N($E1266)+N($F1266))</f>
        <v/>
      </c>
      <c r="H1266" s="42" t="n"/>
      <c r="I1266" s="43">
        <f>IF($B1266="","",N($G1266)-N($H1266))</f>
        <v/>
      </c>
    </row>
    <row r="1267">
      <c r="A1267" s="39">
        <f>IF($B1267="","",COUNTA($B$4:$B1267))</f>
        <v/>
      </c>
      <c r="B1267" s="45" t="n"/>
      <c r="C1267" s="46" t="n"/>
      <c r="D1267" s="46" t="n"/>
      <c r="E1267" s="47" t="n"/>
      <c r="F1267" s="47" t="n"/>
      <c r="G1267" s="43">
        <f>IF($B1267="","",N($E1267)+N($F1267))</f>
        <v/>
      </c>
      <c r="H1267" s="47" t="n"/>
      <c r="I1267" s="43">
        <f>IF($B1267="","",N($G1267)-N($H1267))</f>
        <v/>
      </c>
    </row>
    <row r="1268">
      <c r="A1268" s="39">
        <f>IF($B1268="","",COUNTA($B$4:$B1268))</f>
        <v/>
      </c>
      <c r="B1268" s="40" t="n"/>
      <c r="C1268" s="41" t="n"/>
      <c r="D1268" s="41" t="n"/>
      <c r="E1268" s="42" t="n"/>
      <c r="F1268" s="42" t="n"/>
      <c r="G1268" s="43">
        <f>IF($B1268="","",N($E1268)+N($F1268))</f>
        <v/>
      </c>
      <c r="H1268" s="42" t="n"/>
      <c r="I1268" s="43">
        <f>IF($B1268="","",N($G1268)-N($H1268))</f>
        <v/>
      </c>
    </row>
    <row r="1269">
      <c r="A1269" s="39">
        <f>IF($B1269="","",COUNTA($B$4:$B1269))</f>
        <v/>
      </c>
      <c r="B1269" s="45" t="n"/>
      <c r="C1269" s="46" t="n"/>
      <c r="D1269" s="46" t="n"/>
      <c r="E1269" s="47" t="n"/>
      <c r="F1269" s="47" t="n"/>
      <c r="G1269" s="43">
        <f>IF($B1269="","",N($E1269)+N($F1269))</f>
        <v/>
      </c>
      <c r="H1269" s="47" t="n"/>
      <c r="I1269" s="43">
        <f>IF($B1269="","",N($G1269)-N($H1269))</f>
        <v/>
      </c>
    </row>
    <row r="1270">
      <c r="A1270" s="39">
        <f>IF($B1270="","",COUNTA($B$4:$B1270))</f>
        <v/>
      </c>
      <c r="B1270" s="40" t="n"/>
      <c r="C1270" s="41" t="n"/>
      <c r="D1270" s="41" t="n"/>
      <c r="E1270" s="42" t="n"/>
      <c r="F1270" s="42" t="n"/>
      <c r="G1270" s="43">
        <f>IF($B1270="","",N($E1270)+N($F1270))</f>
        <v/>
      </c>
      <c r="H1270" s="42" t="n"/>
      <c r="I1270" s="43">
        <f>IF($B1270="","",N($G1270)-N($H1270))</f>
        <v/>
      </c>
    </row>
    <row r="1271">
      <c r="A1271" s="39">
        <f>IF($B1271="","",COUNTA($B$4:$B1271))</f>
        <v/>
      </c>
      <c r="B1271" s="45" t="n"/>
      <c r="C1271" s="46" t="n"/>
      <c r="D1271" s="46" t="n"/>
      <c r="E1271" s="47" t="n"/>
      <c r="F1271" s="47" t="n"/>
      <c r="G1271" s="43">
        <f>IF($B1271="","",N($E1271)+N($F1271))</f>
        <v/>
      </c>
      <c r="H1271" s="47" t="n"/>
      <c r="I1271" s="43">
        <f>IF($B1271="","",N($G1271)-N($H1271))</f>
        <v/>
      </c>
    </row>
    <row r="1272">
      <c r="A1272" s="39">
        <f>IF($B1272="","",COUNTA($B$4:$B1272))</f>
        <v/>
      </c>
      <c r="B1272" s="40" t="n"/>
      <c r="C1272" s="41" t="n"/>
      <c r="D1272" s="41" t="n"/>
      <c r="E1272" s="42" t="n"/>
      <c r="F1272" s="42" t="n"/>
      <c r="G1272" s="43">
        <f>IF($B1272="","",N($E1272)+N($F1272))</f>
        <v/>
      </c>
      <c r="H1272" s="42" t="n"/>
      <c r="I1272" s="43">
        <f>IF($B1272="","",N($G1272)-N($H1272))</f>
        <v/>
      </c>
    </row>
    <row r="1273">
      <c r="A1273" s="39">
        <f>IF($B1273="","",COUNTA($B$4:$B1273))</f>
        <v/>
      </c>
      <c r="B1273" s="45" t="n"/>
      <c r="C1273" s="46" t="n"/>
      <c r="D1273" s="46" t="n"/>
      <c r="E1273" s="47" t="n"/>
      <c r="F1273" s="47" t="n"/>
      <c r="G1273" s="43">
        <f>IF($B1273="","",N($E1273)+N($F1273))</f>
        <v/>
      </c>
      <c r="H1273" s="47" t="n"/>
      <c r="I1273" s="43">
        <f>IF($B1273="","",N($G1273)-N($H1273))</f>
        <v/>
      </c>
    </row>
    <row r="1274">
      <c r="A1274" s="39">
        <f>IF($B1274="","",COUNTA($B$4:$B1274))</f>
        <v/>
      </c>
      <c r="B1274" s="40" t="n"/>
      <c r="C1274" s="41" t="n"/>
      <c r="D1274" s="41" t="n"/>
      <c r="E1274" s="42" t="n"/>
      <c r="F1274" s="42" t="n"/>
      <c r="G1274" s="43">
        <f>IF($B1274="","",N($E1274)+N($F1274))</f>
        <v/>
      </c>
      <c r="H1274" s="42" t="n"/>
      <c r="I1274" s="43">
        <f>IF($B1274="","",N($G1274)-N($H1274))</f>
        <v/>
      </c>
    </row>
    <row r="1275">
      <c r="A1275" s="39">
        <f>IF($B1275="","",COUNTA($B$4:$B1275))</f>
        <v/>
      </c>
      <c r="B1275" s="45" t="n"/>
      <c r="C1275" s="46" t="n"/>
      <c r="D1275" s="46" t="n"/>
      <c r="E1275" s="47" t="n"/>
      <c r="F1275" s="47" t="n"/>
      <c r="G1275" s="43">
        <f>IF($B1275="","",N($E1275)+N($F1275))</f>
        <v/>
      </c>
      <c r="H1275" s="47" t="n"/>
      <c r="I1275" s="43">
        <f>IF($B1275="","",N($G1275)-N($H1275))</f>
        <v/>
      </c>
    </row>
    <row r="1276">
      <c r="A1276" s="39">
        <f>IF($B1276="","",COUNTA($B$4:$B1276))</f>
        <v/>
      </c>
      <c r="B1276" s="40" t="n"/>
      <c r="C1276" s="41" t="n"/>
      <c r="D1276" s="41" t="n"/>
      <c r="E1276" s="42" t="n"/>
      <c r="F1276" s="42" t="n"/>
      <c r="G1276" s="43">
        <f>IF($B1276="","",N($E1276)+N($F1276))</f>
        <v/>
      </c>
      <c r="H1276" s="42" t="n"/>
      <c r="I1276" s="43">
        <f>IF($B1276="","",N($G1276)-N($H1276))</f>
        <v/>
      </c>
    </row>
    <row r="1277">
      <c r="A1277" s="39">
        <f>IF($B1277="","",COUNTA($B$4:$B1277))</f>
        <v/>
      </c>
      <c r="B1277" s="45" t="n"/>
      <c r="C1277" s="46" t="n"/>
      <c r="D1277" s="46" t="n"/>
      <c r="E1277" s="47" t="n"/>
      <c r="F1277" s="47" t="n"/>
      <c r="G1277" s="43">
        <f>IF($B1277="","",N($E1277)+N($F1277))</f>
        <v/>
      </c>
      <c r="H1277" s="47" t="n"/>
      <c r="I1277" s="43">
        <f>IF($B1277="","",N($G1277)-N($H1277))</f>
        <v/>
      </c>
    </row>
    <row r="1278">
      <c r="A1278" s="39">
        <f>IF($B1278="","",COUNTA($B$4:$B1278))</f>
        <v/>
      </c>
      <c r="B1278" s="40" t="n"/>
      <c r="C1278" s="41" t="n"/>
      <c r="D1278" s="41" t="n"/>
      <c r="E1278" s="42" t="n"/>
      <c r="F1278" s="42" t="n"/>
      <c r="G1278" s="43">
        <f>IF($B1278="","",N($E1278)+N($F1278))</f>
        <v/>
      </c>
      <c r="H1278" s="42" t="n"/>
      <c r="I1278" s="43">
        <f>IF($B1278="","",N($G1278)-N($H1278))</f>
        <v/>
      </c>
    </row>
    <row r="1279">
      <c r="A1279" s="39">
        <f>IF($B1279="","",COUNTA($B$4:$B1279))</f>
        <v/>
      </c>
      <c r="B1279" s="45" t="n"/>
      <c r="C1279" s="46" t="n"/>
      <c r="D1279" s="46" t="n"/>
      <c r="E1279" s="47" t="n"/>
      <c r="F1279" s="47" t="n"/>
      <c r="G1279" s="43">
        <f>IF($B1279="","",N($E1279)+N($F1279))</f>
        <v/>
      </c>
      <c r="H1279" s="47" t="n"/>
      <c r="I1279" s="43">
        <f>IF($B1279="","",N($G1279)-N($H1279))</f>
        <v/>
      </c>
    </row>
    <row r="1280">
      <c r="A1280" s="39">
        <f>IF($B1280="","",COUNTA($B$4:$B1280))</f>
        <v/>
      </c>
      <c r="B1280" s="40" t="n"/>
      <c r="C1280" s="41" t="n"/>
      <c r="D1280" s="41" t="n"/>
      <c r="E1280" s="42" t="n"/>
      <c r="F1280" s="42" t="n"/>
      <c r="G1280" s="43">
        <f>IF($B1280="","",N($E1280)+N($F1280))</f>
        <v/>
      </c>
      <c r="H1280" s="42" t="n"/>
      <c r="I1280" s="43">
        <f>IF($B1280="","",N($G1280)-N($H1280))</f>
        <v/>
      </c>
    </row>
    <row r="1281">
      <c r="A1281" s="39">
        <f>IF($B1281="","",COUNTA($B$4:$B1281))</f>
        <v/>
      </c>
      <c r="B1281" s="45" t="n"/>
      <c r="C1281" s="46" t="n"/>
      <c r="D1281" s="46" t="n"/>
      <c r="E1281" s="47" t="n"/>
      <c r="F1281" s="47" t="n"/>
      <c r="G1281" s="43">
        <f>IF($B1281="","",N($E1281)+N($F1281))</f>
        <v/>
      </c>
      <c r="H1281" s="47" t="n"/>
      <c r="I1281" s="43">
        <f>IF($B1281="","",N($G1281)-N($H1281))</f>
        <v/>
      </c>
    </row>
    <row r="1282">
      <c r="A1282" s="39">
        <f>IF($B1282="","",COUNTA($B$4:$B1282))</f>
        <v/>
      </c>
      <c r="B1282" s="40" t="n"/>
      <c r="C1282" s="41" t="n"/>
      <c r="D1282" s="41" t="n"/>
      <c r="E1282" s="42" t="n"/>
      <c r="F1282" s="42" t="n"/>
      <c r="G1282" s="43">
        <f>IF($B1282="","",N($E1282)+N($F1282))</f>
        <v/>
      </c>
      <c r="H1282" s="42" t="n"/>
      <c r="I1282" s="43">
        <f>IF($B1282="","",N($G1282)-N($H1282))</f>
        <v/>
      </c>
    </row>
    <row r="1283">
      <c r="A1283" s="39">
        <f>IF($B1283="","",COUNTA($B$4:$B1283))</f>
        <v/>
      </c>
      <c r="B1283" s="45" t="n"/>
      <c r="C1283" s="46" t="n"/>
      <c r="D1283" s="46" t="n"/>
      <c r="E1283" s="47" t="n"/>
      <c r="F1283" s="47" t="n"/>
      <c r="G1283" s="43">
        <f>IF($B1283="","",N($E1283)+N($F1283))</f>
        <v/>
      </c>
      <c r="H1283" s="47" t="n"/>
      <c r="I1283" s="43">
        <f>IF($B1283="","",N($G1283)-N($H1283))</f>
        <v/>
      </c>
    </row>
    <row r="1284">
      <c r="A1284" s="39">
        <f>IF($B1284="","",COUNTA($B$4:$B1284))</f>
        <v/>
      </c>
      <c r="B1284" s="40" t="n"/>
      <c r="C1284" s="41" t="n"/>
      <c r="D1284" s="41" t="n"/>
      <c r="E1284" s="42" t="n"/>
      <c r="F1284" s="42" t="n"/>
      <c r="G1284" s="43">
        <f>IF($B1284="","",N($E1284)+N($F1284))</f>
        <v/>
      </c>
      <c r="H1284" s="42" t="n"/>
      <c r="I1284" s="43">
        <f>IF($B1284="","",N($G1284)-N($H1284))</f>
        <v/>
      </c>
    </row>
    <row r="1285">
      <c r="A1285" s="39">
        <f>IF($B1285="","",COUNTA($B$4:$B1285))</f>
        <v/>
      </c>
      <c r="B1285" s="45" t="n"/>
      <c r="C1285" s="46" t="n"/>
      <c r="D1285" s="46" t="n"/>
      <c r="E1285" s="47" t="n"/>
      <c r="F1285" s="47" t="n"/>
      <c r="G1285" s="43">
        <f>IF($B1285="","",N($E1285)+N($F1285))</f>
        <v/>
      </c>
      <c r="H1285" s="47" t="n"/>
      <c r="I1285" s="43">
        <f>IF($B1285="","",N($G1285)-N($H1285))</f>
        <v/>
      </c>
    </row>
    <row r="1286">
      <c r="A1286" s="39">
        <f>IF($B1286="","",COUNTA($B$4:$B1286))</f>
        <v/>
      </c>
      <c r="B1286" s="40" t="n"/>
      <c r="C1286" s="41" t="n"/>
      <c r="D1286" s="41" t="n"/>
      <c r="E1286" s="42" t="n"/>
      <c r="F1286" s="42" t="n"/>
      <c r="G1286" s="43">
        <f>IF($B1286="","",N($E1286)+N($F1286))</f>
        <v/>
      </c>
      <c r="H1286" s="42" t="n"/>
      <c r="I1286" s="43">
        <f>IF($B1286="","",N($G1286)-N($H1286))</f>
        <v/>
      </c>
    </row>
    <row r="1287">
      <c r="A1287" s="39">
        <f>IF($B1287="","",COUNTA($B$4:$B1287))</f>
        <v/>
      </c>
      <c r="B1287" s="45" t="n"/>
      <c r="C1287" s="46" t="n"/>
      <c r="D1287" s="46" t="n"/>
      <c r="E1287" s="47" t="n"/>
      <c r="F1287" s="47" t="n"/>
      <c r="G1287" s="43">
        <f>IF($B1287="","",N($E1287)+N($F1287))</f>
        <v/>
      </c>
      <c r="H1287" s="47" t="n"/>
      <c r="I1287" s="43">
        <f>IF($B1287="","",N($G1287)-N($H1287))</f>
        <v/>
      </c>
    </row>
    <row r="1288">
      <c r="A1288" s="39">
        <f>IF($B1288="","",COUNTA($B$4:$B1288))</f>
        <v/>
      </c>
      <c r="B1288" s="40" t="n"/>
      <c r="C1288" s="41" t="n"/>
      <c r="D1288" s="41" t="n"/>
      <c r="E1288" s="42" t="n"/>
      <c r="F1288" s="42" t="n"/>
      <c r="G1288" s="43">
        <f>IF($B1288="","",N($E1288)+N($F1288))</f>
        <v/>
      </c>
      <c r="H1288" s="42" t="n"/>
      <c r="I1288" s="43">
        <f>IF($B1288="","",N($G1288)-N($H1288))</f>
        <v/>
      </c>
    </row>
    <row r="1289">
      <c r="A1289" s="39">
        <f>IF($B1289="","",COUNTA($B$4:$B1289))</f>
        <v/>
      </c>
      <c r="B1289" s="45" t="n"/>
      <c r="C1289" s="46" t="n"/>
      <c r="D1289" s="46" t="n"/>
      <c r="E1289" s="47" t="n"/>
      <c r="F1289" s="47" t="n"/>
      <c r="G1289" s="43">
        <f>IF($B1289="","",N($E1289)+N($F1289))</f>
        <v/>
      </c>
      <c r="H1289" s="47" t="n"/>
      <c r="I1289" s="43">
        <f>IF($B1289="","",N($G1289)-N($H1289))</f>
        <v/>
      </c>
    </row>
    <row r="1290">
      <c r="A1290" s="39">
        <f>IF($B1290="","",COUNTA($B$4:$B1290))</f>
        <v/>
      </c>
      <c r="B1290" s="40" t="n"/>
      <c r="C1290" s="41" t="n"/>
      <c r="D1290" s="41" t="n"/>
      <c r="E1290" s="42" t="n"/>
      <c r="F1290" s="42" t="n"/>
      <c r="G1290" s="43">
        <f>IF($B1290="","",N($E1290)+N($F1290))</f>
        <v/>
      </c>
      <c r="H1290" s="42" t="n"/>
      <c r="I1290" s="43">
        <f>IF($B1290="","",N($G1290)-N($H1290))</f>
        <v/>
      </c>
    </row>
    <row r="1291">
      <c r="A1291" s="39">
        <f>IF($B1291="","",COUNTA($B$4:$B1291))</f>
        <v/>
      </c>
      <c r="B1291" s="45" t="n"/>
      <c r="C1291" s="46" t="n"/>
      <c r="D1291" s="46" t="n"/>
      <c r="E1291" s="47" t="n"/>
      <c r="F1291" s="47" t="n"/>
      <c r="G1291" s="43">
        <f>IF($B1291="","",N($E1291)+N($F1291))</f>
        <v/>
      </c>
      <c r="H1291" s="47" t="n"/>
      <c r="I1291" s="43">
        <f>IF($B1291="","",N($G1291)-N($H1291))</f>
        <v/>
      </c>
    </row>
    <row r="1292">
      <c r="A1292" s="39">
        <f>IF($B1292="","",COUNTA($B$4:$B1292))</f>
        <v/>
      </c>
      <c r="B1292" s="40" t="n"/>
      <c r="C1292" s="41" t="n"/>
      <c r="D1292" s="41" t="n"/>
      <c r="E1292" s="42" t="n"/>
      <c r="F1292" s="42" t="n"/>
      <c r="G1292" s="43">
        <f>IF($B1292="","",N($E1292)+N($F1292))</f>
        <v/>
      </c>
      <c r="H1292" s="42" t="n"/>
      <c r="I1292" s="43">
        <f>IF($B1292="","",N($G1292)-N($H1292))</f>
        <v/>
      </c>
    </row>
    <row r="1293">
      <c r="A1293" s="39">
        <f>IF($B1293="","",COUNTA($B$4:$B1293))</f>
        <v/>
      </c>
      <c r="B1293" s="45" t="n"/>
      <c r="C1293" s="46" t="n"/>
      <c r="D1293" s="46" t="n"/>
      <c r="E1293" s="47" t="n"/>
      <c r="F1293" s="47" t="n"/>
      <c r="G1293" s="43">
        <f>IF($B1293="","",N($E1293)+N($F1293))</f>
        <v/>
      </c>
      <c r="H1293" s="47" t="n"/>
      <c r="I1293" s="43">
        <f>IF($B1293="","",N($G1293)-N($H1293))</f>
        <v/>
      </c>
    </row>
    <row r="1294">
      <c r="A1294" s="39">
        <f>IF($B1294="","",COUNTA($B$4:$B1294))</f>
        <v/>
      </c>
      <c r="B1294" s="40" t="n"/>
      <c r="C1294" s="41" t="n"/>
      <c r="D1294" s="41" t="n"/>
      <c r="E1294" s="42" t="n"/>
      <c r="F1294" s="42" t="n"/>
      <c r="G1294" s="43">
        <f>IF($B1294="","",N($E1294)+N($F1294))</f>
        <v/>
      </c>
      <c r="H1294" s="42" t="n"/>
      <c r="I1294" s="43">
        <f>IF($B1294="","",N($G1294)-N($H1294))</f>
        <v/>
      </c>
    </row>
    <row r="1295">
      <c r="A1295" s="39">
        <f>IF($B1295="","",COUNTA($B$4:$B1295))</f>
        <v/>
      </c>
      <c r="B1295" s="45" t="n"/>
      <c r="C1295" s="46" t="n"/>
      <c r="D1295" s="46" t="n"/>
      <c r="E1295" s="47" t="n"/>
      <c r="F1295" s="47" t="n"/>
      <c r="G1295" s="43">
        <f>IF($B1295="","",N($E1295)+N($F1295))</f>
        <v/>
      </c>
      <c r="H1295" s="47" t="n"/>
      <c r="I1295" s="43">
        <f>IF($B1295="","",N($G1295)-N($H1295))</f>
        <v/>
      </c>
    </row>
    <row r="1296">
      <c r="A1296" s="39">
        <f>IF($B1296="","",COUNTA($B$4:$B1296))</f>
        <v/>
      </c>
      <c r="B1296" s="40" t="n"/>
      <c r="C1296" s="41" t="n"/>
      <c r="D1296" s="41" t="n"/>
      <c r="E1296" s="42" t="n"/>
      <c r="F1296" s="42" t="n"/>
      <c r="G1296" s="43">
        <f>IF($B1296="","",N($E1296)+N($F1296))</f>
        <v/>
      </c>
      <c r="H1296" s="42" t="n"/>
      <c r="I1296" s="43">
        <f>IF($B1296="","",N($G1296)-N($H1296))</f>
        <v/>
      </c>
    </row>
    <row r="1297">
      <c r="A1297" s="39">
        <f>IF($B1297="","",COUNTA($B$4:$B1297))</f>
        <v/>
      </c>
      <c r="B1297" s="45" t="n"/>
      <c r="C1297" s="46" t="n"/>
      <c r="D1297" s="46" t="n"/>
      <c r="E1297" s="47" t="n"/>
      <c r="F1297" s="47" t="n"/>
      <c r="G1297" s="43">
        <f>IF($B1297="","",N($E1297)+N($F1297))</f>
        <v/>
      </c>
      <c r="H1297" s="47" t="n"/>
      <c r="I1297" s="43">
        <f>IF($B1297="","",N($G1297)-N($H1297))</f>
        <v/>
      </c>
    </row>
    <row r="1298">
      <c r="A1298" s="39">
        <f>IF($B1298="","",COUNTA($B$4:$B1298))</f>
        <v/>
      </c>
      <c r="B1298" s="40" t="n"/>
      <c r="C1298" s="41" t="n"/>
      <c r="D1298" s="41" t="n"/>
      <c r="E1298" s="42" t="n"/>
      <c r="F1298" s="42" t="n"/>
      <c r="G1298" s="43">
        <f>IF($B1298="","",N($E1298)+N($F1298))</f>
        <v/>
      </c>
      <c r="H1298" s="42" t="n"/>
      <c r="I1298" s="43">
        <f>IF($B1298="","",N($G1298)-N($H1298))</f>
        <v/>
      </c>
    </row>
    <row r="1299">
      <c r="A1299" s="39">
        <f>IF($B1299="","",COUNTA($B$4:$B1299))</f>
        <v/>
      </c>
      <c r="B1299" s="45" t="n"/>
      <c r="C1299" s="46" t="n"/>
      <c r="D1299" s="46" t="n"/>
      <c r="E1299" s="47" t="n"/>
      <c r="F1299" s="47" t="n"/>
      <c r="G1299" s="43">
        <f>IF($B1299="","",N($E1299)+N($F1299))</f>
        <v/>
      </c>
      <c r="H1299" s="47" t="n"/>
      <c r="I1299" s="43">
        <f>IF($B1299="","",N($G1299)-N($H1299))</f>
        <v/>
      </c>
    </row>
    <row r="1300">
      <c r="A1300" s="39">
        <f>IF($B1300="","",COUNTA($B$4:$B1300))</f>
        <v/>
      </c>
      <c r="B1300" s="40" t="n"/>
      <c r="C1300" s="41" t="n"/>
      <c r="D1300" s="41" t="n"/>
      <c r="E1300" s="42" t="n"/>
      <c r="F1300" s="42" t="n"/>
      <c r="G1300" s="43">
        <f>IF($B1300="","",N($E1300)+N($F1300))</f>
        <v/>
      </c>
      <c r="H1300" s="42" t="n"/>
      <c r="I1300" s="43">
        <f>IF($B1300="","",N($G1300)-N($H1300))</f>
        <v/>
      </c>
    </row>
    <row r="1301">
      <c r="A1301" s="39">
        <f>IF($B1301="","",COUNTA($B$4:$B1301))</f>
        <v/>
      </c>
      <c r="B1301" s="45" t="n"/>
      <c r="C1301" s="46" t="n"/>
      <c r="D1301" s="46" t="n"/>
      <c r="E1301" s="47" t="n"/>
      <c r="F1301" s="47" t="n"/>
      <c r="G1301" s="43">
        <f>IF($B1301="","",N($E1301)+N($F1301))</f>
        <v/>
      </c>
      <c r="H1301" s="47" t="n"/>
      <c r="I1301" s="43">
        <f>IF($B1301="","",N($G1301)-N($H1301))</f>
        <v/>
      </c>
    </row>
    <row r="1302">
      <c r="A1302" s="39">
        <f>IF($B1302="","",COUNTA($B$4:$B1302))</f>
        <v/>
      </c>
      <c r="B1302" s="40" t="n"/>
      <c r="C1302" s="41" t="n"/>
      <c r="D1302" s="41" t="n"/>
      <c r="E1302" s="42" t="n"/>
      <c r="F1302" s="42" t="n"/>
      <c r="G1302" s="43">
        <f>IF($B1302="","",N($E1302)+N($F1302))</f>
        <v/>
      </c>
      <c r="H1302" s="42" t="n"/>
      <c r="I1302" s="43">
        <f>IF($B1302="","",N($G1302)-N($H1302))</f>
        <v/>
      </c>
    </row>
    <row r="1303">
      <c r="A1303" s="39">
        <f>IF($B1303="","",COUNTA($B$4:$B1303))</f>
        <v/>
      </c>
      <c r="B1303" s="45" t="n"/>
      <c r="C1303" s="46" t="n"/>
      <c r="D1303" s="46" t="n"/>
      <c r="E1303" s="47" t="n"/>
      <c r="F1303" s="47" t="n"/>
      <c r="G1303" s="43">
        <f>IF($B1303="","",N($E1303)+N($F1303))</f>
        <v/>
      </c>
      <c r="H1303" s="47" t="n"/>
      <c r="I1303" s="43">
        <f>IF($B1303="","",N($G1303)-N($H1303))</f>
        <v/>
      </c>
    </row>
    <row r="1304">
      <c r="A1304" s="39">
        <f>IF($B1304="","",COUNTA($B$4:$B1304))</f>
        <v/>
      </c>
      <c r="B1304" s="40" t="n"/>
      <c r="C1304" s="41" t="n"/>
      <c r="D1304" s="41" t="n"/>
      <c r="E1304" s="42" t="n"/>
      <c r="F1304" s="42" t="n"/>
      <c r="G1304" s="43">
        <f>IF($B1304="","",N($E1304)+N($F1304))</f>
        <v/>
      </c>
      <c r="H1304" s="42" t="n"/>
      <c r="I1304" s="43">
        <f>IF($B1304="","",N($G1304)-N($H1304))</f>
        <v/>
      </c>
    </row>
    <row r="1305">
      <c r="A1305" s="39">
        <f>IF($B1305="","",COUNTA($B$4:$B1305))</f>
        <v/>
      </c>
      <c r="B1305" s="45" t="n"/>
      <c r="C1305" s="46" t="n"/>
      <c r="D1305" s="46" t="n"/>
      <c r="E1305" s="47" t="n"/>
      <c r="F1305" s="47" t="n"/>
      <c r="G1305" s="43">
        <f>IF($B1305="","",N($E1305)+N($F1305))</f>
        <v/>
      </c>
      <c r="H1305" s="47" t="n"/>
      <c r="I1305" s="43">
        <f>IF($B1305="","",N($G1305)-N($H1305))</f>
        <v/>
      </c>
    </row>
    <row r="1306">
      <c r="A1306" s="39">
        <f>IF($B1306="","",COUNTA($B$4:$B1306))</f>
        <v/>
      </c>
      <c r="B1306" s="40" t="n"/>
      <c r="C1306" s="41" t="n"/>
      <c r="D1306" s="41" t="n"/>
      <c r="E1306" s="42" t="n"/>
      <c r="F1306" s="42" t="n"/>
      <c r="G1306" s="43">
        <f>IF($B1306="","",N($E1306)+N($F1306))</f>
        <v/>
      </c>
      <c r="H1306" s="42" t="n"/>
      <c r="I1306" s="43">
        <f>IF($B1306="","",N($G1306)-N($H1306))</f>
        <v/>
      </c>
    </row>
    <row r="1307">
      <c r="A1307" s="39">
        <f>IF($B1307="","",COUNTA($B$4:$B1307))</f>
        <v/>
      </c>
      <c r="B1307" s="45" t="n"/>
      <c r="C1307" s="46" t="n"/>
      <c r="D1307" s="46" t="n"/>
      <c r="E1307" s="47" t="n"/>
      <c r="F1307" s="47" t="n"/>
      <c r="G1307" s="43">
        <f>IF($B1307="","",N($E1307)+N($F1307))</f>
        <v/>
      </c>
      <c r="H1307" s="47" t="n"/>
      <c r="I1307" s="43">
        <f>IF($B1307="","",N($G1307)-N($H1307))</f>
        <v/>
      </c>
    </row>
    <row r="1308">
      <c r="A1308" s="39">
        <f>IF($B1308="","",COUNTA($B$4:$B1308))</f>
        <v/>
      </c>
      <c r="B1308" s="40" t="n"/>
      <c r="C1308" s="41" t="n"/>
      <c r="D1308" s="41" t="n"/>
      <c r="E1308" s="42" t="n"/>
      <c r="F1308" s="42" t="n"/>
      <c r="G1308" s="43">
        <f>IF($B1308="","",N($E1308)+N($F1308))</f>
        <v/>
      </c>
      <c r="H1308" s="42" t="n"/>
      <c r="I1308" s="43">
        <f>IF($B1308="","",N($G1308)-N($H1308))</f>
        <v/>
      </c>
    </row>
    <row r="1309">
      <c r="A1309" s="39">
        <f>IF($B1309="","",COUNTA($B$4:$B1309))</f>
        <v/>
      </c>
      <c r="B1309" s="45" t="n"/>
      <c r="C1309" s="46" t="n"/>
      <c r="D1309" s="46" t="n"/>
      <c r="E1309" s="47" t="n"/>
      <c r="F1309" s="47" t="n"/>
      <c r="G1309" s="43">
        <f>IF($B1309="","",N($E1309)+N($F1309))</f>
        <v/>
      </c>
      <c r="H1309" s="47" t="n"/>
      <c r="I1309" s="43">
        <f>IF($B1309="","",N($G1309)-N($H1309))</f>
        <v/>
      </c>
    </row>
    <row r="1310">
      <c r="A1310" s="39">
        <f>IF($B1310="","",COUNTA($B$4:$B1310))</f>
        <v/>
      </c>
      <c r="B1310" s="40" t="n"/>
      <c r="C1310" s="41" t="n"/>
      <c r="D1310" s="41" t="n"/>
      <c r="E1310" s="42" t="n"/>
      <c r="F1310" s="42" t="n"/>
      <c r="G1310" s="43">
        <f>IF($B1310="","",N($E1310)+N($F1310))</f>
        <v/>
      </c>
      <c r="H1310" s="42" t="n"/>
      <c r="I1310" s="43">
        <f>IF($B1310="","",N($G1310)-N($H1310))</f>
        <v/>
      </c>
    </row>
    <row r="1311">
      <c r="A1311" s="39">
        <f>IF($B1311="","",COUNTA($B$4:$B1311))</f>
        <v/>
      </c>
      <c r="B1311" s="45" t="n"/>
      <c r="C1311" s="46" t="n"/>
      <c r="D1311" s="46" t="n"/>
      <c r="E1311" s="47" t="n"/>
      <c r="F1311" s="47" t="n"/>
      <c r="G1311" s="43">
        <f>IF($B1311="","",N($E1311)+N($F1311))</f>
        <v/>
      </c>
      <c r="H1311" s="47" t="n"/>
      <c r="I1311" s="43">
        <f>IF($B1311="","",N($G1311)-N($H1311))</f>
        <v/>
      </c>
    </row>
    <row r="1312">
      <c r="A1312" s="39">
        <f>IF($B1312="","",COUNTA($B$4:$B1312))</f>
        <v/>
      </c>
      <c r="B1312" s="40" t="n"/>
      <c r="C1312" s="41" t="n"/>
      <c r="D1312" s="41" t="n"/>
      <c r="E1312" s="42" t="n"/>
      <c r="F1312" s="42" t="n"/>
      <c r="G1312" s="43">
        <f>IF($B1312="","",N($E1312)+N($F1312))</f>
        <v/>
      </c>
      <c r="H1312" s="42" t="n"/>
      <c r="I1312" s="43">
        <f>IF($B1312="","",N($G1312)-N($H1312))</f>
        <v/>
      </c>
    </row>
    <row r="1313">
      <c r="A1313" s="39">
        <f>IF($B1313="","",COUNTA($B$4:$B1313))</f>
        <v/>
      </c>
      <c r="B1313" s="45" t="n"/>
      <c r="C1313" s="46" t="n"/>
      <c r="D1313" s="46" t="n"/>
      <c r="E1313" s="47" t="n"/>
      <c r="F1313" s="47" t="n"/>
      <c r="G1313" s="43">
        <f>IF($B1313="","",N($E1313)+N($F1313))</f>
        <v/>
      </c>
      <c r="H1313" s="47" t="n"/>
      <c r="I1313" s="43">
        <f>IF($B1313="","",N($G1313)-N($H1313))</f>
        <v/>
      </c>
    </row>
    <row r="1314">
      <c r="A1314" s="39">
        <f>IF($B1314="","",COUNTA($B$4:$B1314))</f>
        <v/>
      </c>
      <c r="B1314" s="40" t="n"/>
      <c r="C1314" s="41" t="n"/>
      <c r="D1314" s="41" t="n"/>
      <c r="E1314" s="42" t="n"/>
      <c r="F1314" s="42" t="n"/>
      <c r="G1314" s="43">
        <f>IF($B1314="","",N($E1314)+N($F1314))</f>
        <v/>
      </c>
      <c r="H1314" s="42" t="n"/>
      <c r="I1314" s="43">
        <f>IF($B1314="","",N($G1314)-N($H1314))</f>
        <v/>
      </c>
    </row>
    <row r="1315">
      <c r="A1315" s="39">
        <f>IF($B1315="","",COUNTA($B$4:$B1315))</f>
        <v/>
      </c>
      <c r="B1315" s="45" t="n"/>
      <c r="C1315" s="46" t="n"/>
      <c r="D1315" s="46" t="n"/>
      <c r="E1315" s="47" t="n"/>
      <c r="F1315" s="47" t="n"/>
      <c r="G1315" s="43">
        <f>IF($B1315="","",N($E1315)+N($F1315))</f>
        <v/>
      </c>
      <c r="H1315" s="47" t="n"/>
      <c r="I1315" s="43">
        <f>IF($B1315="","",N($G1315)-N($H1315))</f>
        <v/>
      </c>
    </row>
    <row r="1316">
      <c r="A1316" s="39">
        <f>IF($B1316="","",COUNTA($B$4:$B1316))</f>
        <v/>
      </c>
      <c r="B1316" s="40" t="n"/>
      <c r="C1316" s="41" t="n"/>
      <c r="D1316" s="41" t="n"/>
      <c r="E1316" s="42" t="n"/>
      <c r="F1316" s="42" t="n"/>
      <c r="G1316" s="43">
        <f>IF($B1316="","",N($E1316)+N($F1316))</f>
        <v/>
      </c>
      <c r="H1316" s="42" t="n"/>
      <c r="I1316" s="43">
        <f>IF($B1316="","",N($G1316)-N($H1316))</f>
        <v/>
      </c>
    </row>
    <row r="1317">
      <c r="A1317" s="39">
        <f>IF($B1317="","",COUNTA($B$4:$B1317))</f>
        <v/>
      </c>
      <c r="B1317" s="45" t="n"/>
      <c r="C1317" s="46" t="n"/>
      <c r="D1317" s="46" t="n"/>
      <c r="E1317" s="47" t="n"/>
      <c r="F1317" s="47" t="n"/>
      <c r="G1317" s="43">
        <f>IF($B1317="","",N($E1317)+N($F1317))</f>
        <v/>
      </c>
      <c r="H1317" s="47" t="n"/>
      <c r="I1317" s="43">
        <f>IF($B1317="","",N($G1317)-N($H1317))</f>
        <v/>
      </c>
    </row>
    <row r="1318">
      <c r="A1318" s="39">
        <f>IF($B1318="","",COUNTA($B$4:$B1318))</f>
        <v/>
      </c>
      <c r="B1318" s="40" t="n"/>
      <c r="C1318" s="41" t="n"/>
      <c r="D1318" s="41" t="n"/>
      <c r="E1318" s="42" t="n"/>
      <c r="F1318" s="42" t="n"/>
      <c r="G1318" s="43">
        <f>IF($B1318="","",N($E1318)+N($F1318))</f>
        <v/>
      </c>
      <c r="H1318" s="42" t="n"/>
      <c r="I1318" s="43">
        <f>IF($B1318="","",N($G1318)-N($H1318))</f>
        <v/>
      </c>
    </row>
    <row r="1319">
      <c r="A1319" s="39">
        <f>IF($B1319="","",COUNTA($B$4:$B1319))</f>
        <v/>
      </c>
      <c r="B1319" s="45" t="n"/>
      <c r="C1319" s="46" t="n"/>
      <c r="D1319" s="46" t="n"/>
      <c r="E1319" s="47" t="n"/>
      <c r="F1319" s="47" t="n"/>
      <c r="G1319" s="43">
        <f>IF($B1319="","",N($E1319)+N($F1319))</f>
        <v/>
      </c>
      <c r="H1319" s="47" t="n"/>
      <c r="I1319" s="43">
        <f>IF($B1319="","",N($G1319)-N($H1319))</f>
        <v/>
      </c>
    </row>
    <row r="1320">
      <c r="A1320" s="39">
        <f>IF($B1320="","",COUNTA($B$4:$B1320))</f>
        <v/>
      </c>
      <c r="B1320" s="40" t="n"/>
      <c r="C1320" s="41" t="n"/>
      <c r="D1320" s="41" t="n"/>
      <c r="E1320" s="42" t="n"/>
      <c r="F1320" s="42" t="n"/>
      <c r="G1320" s="43">
        <f>IF($B1320="","",N($E1320)+N($F1320))</f>
        <v/>
      </c>
      <c r="H1320" s="42" t="n"/>
      <c r="I1320" s="43">
        <f>IF($B1320="","",N($G1320)-N($H1320))</f>
        <v/>
      </c>
    </row>
    <row r="1321">
      <c r="A1321" s="39">
        <f>IF($B1321="","",COUNTA($B$4:$B1321))</f>
        <v/>
      </c>
      <c r="B1321" s="45" t="n"/>
      <c r="C1321" s="46" t="n"/>
      <c r="D1321" s="46" t="n"/>
      <c r="E1321" s="47" t="n"/>
      <c r="F1321" s="47" t="n"/>
      <c r="G1321" s="43">
        <f>IF($B1321="","",N($E1321)+N($F1321))</f>
        <v/>
      </c>
      <c r="H1321" s="47" t="n"/>
      <c r="I1321" s="43">
        <f>IF($B1321="","",N($G1321)-N($H1321))</f>
        <v/>
      </c>
    </row>
    <row r="1322">
      <c r="A1322" s="39">
        <f>IF($B1322="","",COUNTA($B$4:$B1322))</f>
        <v/>
      </c>
      <c r="B1322" s="40" t="n"/>
      <c r="C1322" s="41" t="n"/>
      <c r="D1322" s="41" t="n"/>
      <c r="E1322" s="42" t="n"/>
      <c r="F1322" s="42" t="n"/>
      <c r="G1322" s="43">
        <f>IF($B1322="","",N($E1322)+N($F1322))</f>
        <v/>
      </c>
      <c r="H1322" s="42" t="n"/>
      <c r="I1322" s="43">
        <f>IF($B1322="","",N($G1322)-N($H1322))</f>
        <v/>
      </c>
    </row>
    <row r="1323">
      <c r="A1323" s="39">
        <f>IF($B1323="","",COUNTA($B$4:$B1323))</f>
        <v/>
      </c>
      <c r="B1323" s="45" t="n"/>
      <c r="C1323" s="46" t="n"/>
      <c r="D1323" s="46" t="n"/>
      <c r="E1323" s="47" t="n"/>
      <c r="F1323" s="47" t="n"/>
      <c r="G1323" s="43">
        <f>IF($B1323="","",N($E1323)+N($F1323))</f>
        <v/>
      </c>
      <c r="H1323" s="47" t="n"/>
      <c r="I1323" s="43">
        <f>IF($B1323="","",N($G1323)-N($H1323))</f>
        <v/>
      </c>
    </row>
    <row r="1324">
      <c r="A1324" s="39">
        <f>IF($B1324="","",COUNTA($B$4:$B1324))</f>
        <v/>
      </c>
      <c r="B1324" s="40" t="n"/>
      <c r="C1324" s="41" t="n"/>
      <c r="D1324" s="41" t="n"/>
      <c r="E1324" s="42" t="n"/>
      <c r="F1324" s="42" t="n"/>
      <c r="G1324" s="43">
        <f>IF($B1324="","",N($E1324)+N($F1324))</f>
        <v/>
      </c>
      <c r="H1324" s="42" t="n"/>
      <c r="I1324" s="43">
        <f>IF($B1324="","",N($G1324)-N($H1324))</f>
        <v/>
      </c>
    </row>
    <row r="1325">
      <c r="A1325" s="39">
        <f>IF($B1325="","",COUNTA($B$4:$B1325))</f>
        <v/>
      </c>
      <c r="B1325" s="45" t="n"/>
      <c r="C1325" s="46" t="n"/>
      <c r="D1325" s="46" t="n"/>
      <c r="E1325" s="47" t="n"/>
      <c r="F1325" s="47" t="n"/>
      <c r="G1325" s="43">
        <f>IF($B1325="","",N($E1325)+N($F1325))</f>
        <v/>
      </c>
      <c r="H1325" s="47" t="n"/>
      <c r="I1325" s="43">
        <f>IF($B1325="","",N($G1325)-N($H1325))</f>
        <v/>
      </c>
    </row>
    <row r="1326">
      <c r="A1326" s="39">
        <f>IF($B1326="","",COUNTA($B$4:$B1326))</f>
        <v/>
      </c>
      <c r="B1326" s="40" t="n"/>
      <c r="C1326" s="41" t="n"/>
      <c r="D1326" s="41" t="n"/>
      <c r="E1326" s="42" t="n"/>
      <c r="F1326" s="42" t="n"/>
      <c r="G1326" s="43">
        <f>IF($B1326="","",N($E1326)+N($F1326))</f>
        <v/>
      </c>
      <c r="H1326" s="42" t="n"/>
      <c r="I1326" s="43">
        <f>IF($B1326="","",N($G1326)-N($H1326))</f>
        <v/>
      </c>
    </row>
    <row r="1327">
      <c r="A1327" s="39">
        <f>IF($B1327="","",COUNTA($B$4:$B1327))</f>
        <v/>
      </c>
      <c r="B1327" s="45" t="n"/>
      <c r="C1327" s="46" t="n"/>
      <c r="D1327" s="46" t="n"/>
      <c r="E1327" s="47" t="n"/>
      <c r="F1327" s="47" t="n"/>
      <c r="G1327" s="43">
        <f>IF($B1327="","",N($E1327)+N($F1327))</f>
        <v/>
      </c>
      <c r="H1327" s="47" t="n"/>
      <c r="I1327" s="43">
        <f>IF($B1327="","",N($G1327)-N($H1327))</f>
        <v/>
      </c>
    </row>
    <row r="1328">
      <c r="A1328" s="39">
        <f>IF($B1328="","",COUNTA($B$4:$B1328))</f>
        <v/>
      </c>
      <c r="B1328" s="40" t="n"/>
      <c r="C1328" s="41" t="n"/>
      <c r="D1328" s="41" t="n"/>
      <c r="E1328" s="42" t="n"/>
      <c r="F1328" s="42" t="n"/>
      <c r="G1328" s="43">
        <f>IF($B1328="","",N($E1328)+N($F1328))</f>
        <v/>
      </c>
      <c r="H1328" s="42" t="n"/>
      <c r="I1328" s="43">
        <f>IF($B1328="","",N($G1328)-N($H1328))</f>
        <v/>
      </c>
    </row>
    <row r="1329">
      <c r="A1329" s="39">
        <f>IF($B1329="","",COUNTA($B$4:$B1329))</f>
        <v/>
      </c>
      <c r="B1329" s="45" t="n"/>
      <c r="C1329" s="46" t="n"/>
      <c r="D1329" s="46" t="n"/>
      <c r="E1329" s="47" t="n"/>
      <c r="F1329" s="47" t="n"/>
      <c r="G1329" s="43">
        <f>IF($B1329="","",N($E1329)+N($F1329))</f>
        <v/>
      </c>
      <c r="H1329" s="47" t="n"/>
      <c r="I1329" s="43">
        <f>IF($B1329="","",N($G1329)-N($H1329))</f>
        <v/>
      </c>
    </row>
    <row r="1330">
      <c r="A1330" s="39">
        <f>IF($B1330="","",COUNTA($B$4:$B1330))</f>
        <v/>
      </c>
      <c r="B1330" s="40" t="n"/>
      <c r="C1330" s="41" t="n"/>
      <c r="D1330" s="41" t="n"/>
      <c r="E1330" s="42" t="n"/>
      <c r="F1330" s="42" t="n"/>
      <c r="G1330" s="43">
        <f>IF($B1330="","",N($E1330)+N($F1330))</f>
        <v/>
      </c>
      <c r="H1330" s="42" t="n"/>
      <c r="I1330" s="43">
        <f>IF($B1330="","",N($G1330)-N($H1330))</f>
        <v/>
      </c>
    </row>
    <row r="1331">
      <c r="A1331" s="39">
        <f>IF($B1331="","",COUNTA($B$4:$B1331))</f>
        <v/>
      </c>
      <c r="B1331" s="45" t="n"/>
      <c r="C1331" s="46" t="n"/>
      <c r="D1331" s="46" t="n"/>
      <c r="E1331" s="47" t="n"/>
      <c r="F1331" s="47" t="n"/>
      <c r="G1331" s="43">
        <f>IF($B1331="","",N($E1331)+N($F1331))</f>
        <v/>
      </c>
      <c r="H1331" s="47" t="n"/>
      <c r="I1331" s="43">
        <f>IF($B1331="","",N($G1331)-N($H1331))</f>
        <v/>
      </c>
    </row>
    <row r="1332">
      <c r="A1332" s="39">
        <f>IF($B1332="","",COUNTA($B$4:$B1332))</f>
        <v/>
      </c>
      <c r="B1332" s="40" t="n"/>
      <c r="C1332" s="41" t="n"/>
      <c r="D1332" s="41" t="n"/>
      <c r="E1332" s="42" t="n"/>
      <c r="F1332" s="42" t="n"/>
      <c r="G1332" s="43">
        <f>IF($B1332="","",N($E1332)+N($F1332))</f>
        <v/>
      </c>
      <c r="H1332" s="42" t="n"/>
      <c r="I1332" s="43">
        <f>IF($B1332="","",N($G1332)-N($H1332))</f>
        <v/>
      </c>
    </row>
    <row r="1333">
      <c r="A1333" s="39">
        <f>IF($B1333="","",COUNTA($B$4:$B1333))</f>
        <v/>
      </c>
      <c r="B1333" s="45" t="n"/>
      <c r="C1333" s="46" t="n"/>
      <c r="D1333" s="46" t="n"/>
      <c r="E1333" s="47" t="n"/>
      <c r="F1333" s="47" t="n"/>
      <c r="G1333" s="43">
        <f>IF($B1333="","",N($E1333)+N($F1333))</f>
        <v/>
      </c>
      <c r="H1333" s="47" t="n"/>
      <c r="I1333" s="43">
        <f>IF($B1333="","",N($G1333)-N($H1333))</f>
        <v/>
      </c>
    </row>
    <row r="1334">
      <c r="A1334" s="39">
        <f>IF($B1334="","",COUNTA($B$4:$B1334))</f>
        <v/>
      </c>
      <c r="B1334" s="40" t="n"/>
      <c r="C1334" s="41" t="n"/>
      <c r="D1334" s="41" t="n"/>
      <c r="E1334" s="42" t="n"/>
      <c r="F1334" s="42" t="n"/>
      <c r="G1334" s="43">
        <f>IF($B1334="","",N($E1334)+N($F1334))</f>
        <v/>
      </c>
      <c r="H1334" s="42" t="n"/>
      <c r="I1334" s="43">
        <f>IF($B1334="","",N($G1334)-N($H1334))</f>
        <v/>
      </c>
    </row>
    <row r="1335">
      <c r="A1335" s="39">
        <f>IF($B1335="","",COUNTA($B$4:$B1335))</f>
        <v/>
      </c>
      <c r="B1335" s="45" t="n"/>
      <c r="C1335" s="46" t="n"/>
      <c r="D1335" s="46" t="n"/>
      <c r="E1335" s="47" t="n"/>
      <c r="F1335" s="47" t="n"/>
      <c r="G1335" s="43">
        <f>IF($B1335="","",N($E1335)+N($F1335))</f>
        <v/>
      </c>
      <c r="H1335" s="47" t="n"/>
      <c r="I1335" s="43">
        <f>IF($B1335="","",N($G1335)-N($H1335))</f>
        <v/>
      </c>
    </row>
    <row r="1336">
      <c r="A1336" s="39">
        <f>IF($B1336="","",COUNTA($B$4:$B1336))</f>
        <v/>
      </c>
      <c r="B1336" s="40" t="n"/>
      <c r="C1336" s="41" t="n"/>
      <c r="D1336" s="41" t="n"/>
      <c r="E1336" s="42" t="n"/>
      <c r="F1336" s="42" t="n"/>
      <c r="G1336" s="43">
        <f>IF($B1336="","",N($E1336)+N($F1336))</f>
        <v/>
      </c>
      <c r="H1336" s="42" t="n"/>
      <c r="I1336" s="43">
        <f>IF($B1336="","",N($G1336)-N($H1336))</f>
        <v/>
      </c>
    </row>
    <row r="1337">
      <c r="A1337" s="39">
        <f>IF($B1337="","",COUNTA($B$4:$B1337))</f>
        <v/>
      </c>
      <c r="B1337" s="45" t="n"/>
      <c r="C1337" s="46" t="n"/>
      <c r="D1337" s="46" t="n"/>
      <c r="E1337" s="47" t="n"/>
      <c r="F1337" s="47" t="n"/>
      <c r="G1337" s="43">
        <f>IF($B1337="","",N($E1337)+N($F1337))</f>
        <v/>
      </c>
      <c r="H1337" s="47" t="n"/>
      <c r="I1337" s="43">
        <f>IF($B1337="","",N($G1337)-N($H1337))</f>
        <v/>
      </c>
    </row>
    <row r="1338">
      <c r="A1338" s="39">
        <f>IF($B1338="","",COUNTA($B$4:$B1338))</f>
        <v/>
      </c>
      <c r="B1338" s="40" t="n"/>
      <c r="C1338" s="41" t="n"/>
      <c r="D1338" s="41" t="n"/>
      <c r="E1338" s="42" t="n"/>
      <c r="F1338" s="42" t="n"/>
      <c r="G1338" s="43">
        <f>IF($B1338="","",N($E1338)+N($F1338))</f>
        <v/>
      </c>
      <c r="H1338" s="42" t="n"/>
      <c r="I1338" s="43">
        <f>IF($B1338="","",N($G1338)-N($H1338))</f>
        <v/>
      </c>
    </row>
    <row r="1339">
      <c r="A1339" s="39">
        <f>IF($B1339="","",COUNTA($B$4:$B1339))</f>
        <v/>
      </c>
      <c r="B1339" s="45" t="n"/>
      <c r="C1339" s="46" t="n"/>
      <c r="D1339" s="46" t="n"/>
      <c r="E1339" s="47" t="n"/>
      <c r="F1339" s="47" t="n"/>
      <c r="G1339" s="43">
        <f>IF($B1339="","",N($E1339)+N($F1339))</f>
        <v/>
      </c>
      <c r="H1339" s="47" t="n"/>
      <c r="I1339" s="43">
        <f>IF($B1339="","",N($G1339)-N($H1339))</f>
        <v/>
      </c>
    </row>
    <row r="1340">
      <c r="A1340" s="39">
        <f>IF($B1340="","",COUNTA($B$4:$B1340))</f>
        <v/>
      </c>
      <c r="B1340" s="40" t="n"/>
      <c r="C1340" s="41" t="n"/>
      <c r="D1340" s="41" t="n"/>
      <c r="E1340" s="42" t="n"/>
      <c r="F1340" s="42" t="n"/>
      <c r="G1340" s="43">
        <f>IF($B1340="","",N($E1340)+N($F1340))</f>
        <v/>
      </c>
      <c r="H1340" s="42" t="n"/>
      <c r="I1340" s="43">
        <f>IF($B1340="","",N($G1340)-N($H1340))</f>
        <v/>
      </c>
    </row>
    <row r="1341">
      <c r="A1341" s="39">
        <f>IF($B1341="","",COUNTA($B$4:$B1341))</f>
        <v/>
      </c>
      <c r="B1341" s="45" t="n"/>
      <c r="C1341" s="46" t="n"/>
      <c r="D1341" s="46" t="n"/>
      <c r="E1341" s="47" t="n"/>
      <c r="F1341" s="47" t="n"/>
      <c r="G1341" s="43">
        <f>IF($B1341="","",N($E1341)+N($F1341))</f>
        <v/>
      </c>
      <c r="H1341" s="47" t="n"/>
      <c r="I1341" s="43">
        <f>IF($B1341="","",N($G1341)-N($H1341))</f>
        <v/>
      </c>
    </row>
    <row r="1342">
      <c r="A1342" s="39">
        <f>IF($B1342="","",COUNTA($B$4:$B1342))</f>
        <v/>
      </c>
      <c r="B1342" s="40" t="n"/>
      <c r="C1342" s="41" t="n"/>
      <c r="D1342" s="41" t="n"/>
      <c r="E1342" s="42" t="n"/>
      <c r="F1342" s="42" t="n"/>
      <c r="G1342" s="43">
        <f>IF($B1342="","",N($E1342)+N($F1342))</f>
        <v/>
      </c>
      <c r="H1342" s="42" t="n"/>
      <c r="I1342" s="43">
        <f>IF($B1342="","",N($G1342)-N($H1342))</f>
        <v/>
      </c>
    </row>
    <row r="1343">
      <c r="A1343" s="39">
        <f>IF($B1343="","",COUNTA($B$4:$B1343))</f>
        <v/>
      </c>
      <c r="B1343" s="45" t="n"/>
      <c r="C1343" s="46" t="n"/>
      <c r="D1343" s="46" t="n"/>
      <c r="E1343" s="47" t="n"/>
      <c r="F1343" s="47" t="n"/>
      <c r="G1343" s="43">
        <f>IF($B1343="","",N($E1343)+N($F1343))</f>
        <v/>
      </c>
      <c r="H1343" s="47" t="n"/>
      <c r="I1343" s="43">
        <f>IF($B1343="","",N($G1343)-N($H1343))</f>
        <v/>
      </c>
    </row>
    <row r="1344">
      <c r="A1344" s="39">
        <f>IF($B1344="","",COUNTA($B$4:$B1344))</f>
        <v/>
      </c>
      <c r="B1344" s="40" t="n"/>
      <c r="C1344" s="41" t="n"/>
      <c r="D1344" s="41" t="n"/>
      <c r="E1344" s="42" t="n"/>
      <c r="F1344" s="42" t="n"/>
      <c r="G1344" s="43">
        <f>IF($B1344="","",N($E1344)+N($F1344))</f>
        <v/>
      </c>
      <c r="H1344" s="42" t="n"/>
      <c r="I1344" s="43">
        <f>IF($B1344="","",N($G1344)-N($H1344))</f>
        <v/>
      </c>
    </row>
    <row r="1345">
      <c r="A1345" s="39">
        <f>IF($B1345="","",COUNTA($B$4:$B1345))</f>
        <v/>
      </c>
      <c r="B1345" s="45" t="n"/>
      <c r="C1345" s="46" t="n"/>
      <c r="D1345" s="46" t="n"/>
      <c r="E1345" s="47" t="n"/>
      <c r="F1345" s="47" t="n"/>
      <c r="G1345" s="43">
        <f>IF($B1345="","",N($E1345)+N($F1345))</f>
        <v/>
      </c>
      <c r="H1345" s="47" t="n"/>
      <c r="I1345" s="43">
        <f>IF($B1345="","",N($G1345)-N($H1345))</f>
        <v/>
      </c>
    </row>
    <row r="1346">
      <c r="A1346" s="39">
        <f>IF($B1346="","",COUNTA($B$4:$B1346))</f>
        <v/>
      </c>
      <c r="B1346" s="40" t="n"/>
      <c r="C1346" s="41" t="n"/>
      <c r="D1346" s="41" t="n"/>
      <c r="E1346" s="42" t="n"/>
      <c r="F1346" s="42" t="n"/>
      <c r="G1346" s="43">
        <f>IF($B1346="","",N($E1346)+N($F1346))</f>
        <v/>
      </c>
      <c r="H1346" s="42" t="n"/>
      <c r="I1346" s="43">
        <f>IF($B1346="","",N($G1346)-N($H1346))</f>
        <v/>
      </c>
    </row>
    <row r="1347">
      <c r="A1347" s="39">
        <f>IF($B1347="","",COUNTA($B$4:$B1347))</f>
        <v/>
      </c>
      <c r="B1347" s="45" t="n"/>
      <c r="C1347" s="46" t="n"/>
      <c r="D1347" s="46" t="n"/>
      <c r="E1347" s="47" t="n"/>
      <c r="F1347" s="47" t="n"/>
      <c r="G1347" s="43">
        <f>IF($B1347="","",N($E1347)+N($F1347))</f>
        <v/>
      </c>
      <c r="H1347" s="47" t="n"/>
      <c r="I1347" s="43">
        <f>IF($B1347="","",N($G1347)-N($H1347))</f>
        <v/>
      </c>
    </row>
    <row r="1348">
      <c r="A1348" s="39">
        <f>IF($B1348="","",COUNTA($B$4:$B1348))</f>
        <v/>
      </c>
      <c r="B1348" s="40" t="n"/>
      <c r="C1348" s="41" t="n"/>
      <c r="D1348" s="41" t="n"/>
      <c r="E1348" s="42" t="n"/>
      <c r="F1348" s="42" t="n"/>
      <c r="G1348" s="43">
        <f>IF($B1348="","",N($E1348)+N($F1348))</f>
        <v/>
      </c>
      <c r="H1348" s="42" t="n"/>
      <c r="I1348" s="43">
        <f>IF($B1348="","",N($G1348)-N($H1348))</f>
        <v/>
      </c>
    </row>
    <row r="1349">
      <c r="A1349" s="39">
        <f>IF($B1349="","",COUNTA($B$4:$B1349))</f>
        <v/>
      </c>
      <c r="B1349" s="45" t="n"/>
      <c r="C1349" s="46" t="n"/>
      <c r="D1349" s="46" t="n"/>
      <c r="E1349" s="47" t="n"/>
      <c r="F1349" s="47" t="n"/>
      <c r="G1349" s="43">
        <f>IF($B1349="","",N($E1349)+N($F1349))</f>
        <v/>
      </c>
      <c r="H1349" s="47" t="n"/>
      <c r="I1349" s="43">
        <f>IF($B1349="","",N($G1349)-N($H1349))</f>
        <v/>
      </c>
    </row>
    <row r="1350">
      <c r="A1350" s="39">
        <f>IF($B1350="","",COUNTA($B$4:$B1350))</f>
        <v/>
      </c>
      <c r="B1350" s="40" t="n"/>
      <c r="C1350" s="41" t="n"/>
      <c r="D1350" s="41" t="n"/>
      <c r="E1350" s="42" t="n"/>
      <c r="F1350" s="42" t="n"/>
      <c r="G1350" s="43">
        <f>IF($B1350="","",N($E1350)+N($F1350))</f>
        <v/>
      </c>
      <c r="H1350" s="42" t="n"/>
      <c r="I1350" s="43">
        <f>IF($B1350="","",N($G1350)-N($H1350))</f>
        <v/>
      </c>
    </row>
    <row r="1351">
      <c r="A1351" s="39">
        <f>IF($B1351="","",COUNTA($B$4:$B1351))</f>
        <v/>
      </c>
      <c r="B1351" s="45" t="n"/>
      <c r="C1351" s="46" t="n"/>
      <c r="D1351" s="46" t="n"/>
      <c r="E1351" s="47" t="n"/>
      <c r="F1351" s="47" t="n"/>
      <c r="G1351" s="43">
        <f>IF($B1351="","",N($E1351)+N($F1351))</f>
        <v/>
      </c>
      <c r="H1351" s="47" t="n"/>
      <c r="I1351" s="43">
        <f>IF($B1351="","",N($G1351)-N($H1351))</f>
        <v/>
      </c>
    </row>
    <row r="1352">
      <c r="A1352" s="39">
        <f>IF($B1352="","",COUNTA($B$4:$B1352))</f>
        <v/>
      </c>
      <c r="B1352" s="40" t="n"/>
      <c r="C1352" s="41" t="n"/>
      <c r="D1352" s="41" t="n"/>
      <c r="E1352" s="42" t="n"/>
      <c r="F1352" s="42" t="n"/>
      <c r="G1352" s="43">
        <f>IF($B1352="","",N($E1352)+N($F1352))</f>
        <v/>
      </c>
      <c r="H1352" s="42" t="n"/>
      <c r="I1352" s="43">
        <f>IF($B1352="","",N($G1352)-N($H1352))</f>
        <v/>
      </c>
    </row>
    <row r="1353">
      <c r="A1353" s="39">
        <f>IF($B1353="","",COUNTA($B$4:$B1353))</f>
        <v/>
      </c>
      <c r="B1353" s="45" t="n"/>
      <c r="C1353" s="46" t="n"/>
      <c r="D1353" s="46" t="n"/>
      <c r="E1353" s="47" t="n"/>
      <c r="F1353" s="47" t="n"/>
      <c r="G1353" s="43">
        <f>IF($B1353="","",N($E1353)+N($F1353))</f>
        <v/>
      </c>
      <c r="H1353" s="47" t="n"/>
      <c r="I1353" s="43">
        <f>IF($B1353="","",N($G1353)-N($H1353))</f>
        <v/>
      </c>
    </row>
    <row r="1354">
      <c r="A1354" s="39">
        <f>IF($B1354="","",COUNTA($B$4:$B1354))</f>
        <v/>
      </c>
      <c r="B1354" s="40" t="n"/>
      <c r="C1354" s="41" t="n"/>
      <c r="D1354" s="41" t="n"/>
      <c r="E1354" s="42" t="n"/>
      <c r="F1354" s="42" t="n"/>
      <c r="G1354" s="43">
        <f>IF($B1354="","",N($E1354)+N($F1354))</f>
        <v/>
      </c>
      <c r="H1354" s="42" t="n"/>
      <c r="I1354" s="43">
        <f>IF($B1354="","",N($G1354)-N($H1354))</f>
        <v/>
      </c>
    </row>
    <row r="1355">
      <c r="A1355" s="39">
        <f>IF($B1355="","",COUNTA($B$4:$B1355))</f>
        <v/>
      </c>
      <c r="B1355" s="45" t="n"/>
      <c r="C1355" s="46" t="n"/>
      <c r="D1355" s="46" t="n"/>
      <c r="E1355" s="47" t="n"/>
      <c r="F1355" s="47" t="n"/>
      <c r="G1355" s="43">
        <f>IF($B1355="","",N($E1355)+N($F1355))</f>
        <v/>
      </c>
      <c r="H1355" s="47" t="n"/>
      <c r="I1355" s="43">
        <f>IF($B1355="","",N($G1355)-N($H1355))</f>
        <v/>
      </c>
    </row>
    <row r="1356">
      <c r="A1356" s="39">
        <f>IF($B1356="","",COUNTA($B$4:$B1356))</f>
        <v/>
      </c>
      <c r="B1356" s="40" t="n"/>
      <c r="C1356" s="41" t="n"/>
      <c r="D1356" s="41" t="n"/>
      <c r="E1356" s="42" t="n"/>
      <c r="F1356" s="42" t="n"/>
      <c r="G1356" s="43">
        <f>IF($B1356="","",N($E1356)+N($F1356))</f>
        <v/>
      </c>
      <c r="H1356" s="42" t="n"/>
      <c r="I1356" s="43">
        <f>IF($B1356="","",N($G1356)-N($H1356))</f>
        <v/>
      </c>
    </row>
    <row r="1357">
      <c r="A1357" s="39">
        <f>IF($B1357="","",COUNTA($B$4:$B1357))</f>
        <v/>
      </c>
      <c r="B1357" s="45" t="n"/>
      <c r="C1357" s="46" t="n"/>
      <c r="D1357" s="46" t="n"/>
      <c r="E1357" s="47" t="n"/>
      <c r="F1357" s="47" t="n"/>
      <c r="G1357" s="43">
        <f>IF($B1357="","",N($E1357)+N($F1357))</f>
        <v/>
      </c>
      <c r="H1357" s="47" t="n"/>
      <c r="I1357" s="43">
        <f>IF($B1357="","",N($G1357)-N($H1357))</f>
        <v/>
      </c>
    </row>
    <row r="1358">
      <c r="A1358" s="39">
        <f>IF($B1358="","",COUNTA($B$4:$B1358))</f>
        <v/>
      </c>
      <c r="B1358" s="40" t="n"/>
      <c r="C1358" s="41" t="n"/>
      <c r="D1358" s="41" t="n"/>
      <c r="E1358" s="42" t="n"/>
      <c r="F1358" s="42" t="n"/>
      <c r="G1358" s="43">
        <f>IF($B1358="","",N($E1358)+N($F1358))</f>
        <v/>
      </c>
      <c r="H1358" s="42" t="n"/>
      <c r="I1358" s="43">
        <f>IF($B1358="","",N($G1358)-N($H1358))</f>
        <v/>
      </c>
    </row>
    <row r="1359">
      <c r="A1359" s="39">
        <f>IF($B1359="","",COUNTA($B$4:$B1359))</f>
        <v/>
      </c>
      <c r="B1359" s="45" t="n"/>
      <c r="C1359" s="46" t="n"/>
      <c r="D1359" s="46" t="n"/>
      <c r="E1359" s="47" t="n"/>
      <c r="F1359" s="47" t="n"/>
      <c r="G1359" s="43">
        <f>IF($B1359="","",N($E1359)+N($F1359))</f>
        <v/>
      </c>
      <c r="H1359" s="47" t="n"/>
      <c r="I1359" s="43">
        <f>IF($B1359="","",N($G1359)-N($H1359))</f>
        <v/>
      </c>
    </row>
    <row r="1360">
      <c r="A1360" s="39">
        <f>IF($B1360="","",COUNTA($B$4:$B1360))</f>
        <v/>
      </c>
      <c r="B1360" s="40" t="n"/>
      <c r="C1360" s="41" t="n"/>
      <c r="D1360" s="41" t="n"/>
      <c r="E1360" s="42" t="n"/>
      <c r="F1360" s="42" t="n"/>
      <c r="G1360" s="43">
        <f>IF($B1360="","",N($E1360)+N($F1360))</f>
        <v/>
      </c>
      <c r="H1360" s="42" t="n"/>
      <c r="I1360" s="43">
        <f>IF($B1360="","",N($G1360)-N($H1360))</f>
        <v/>
      </c>
    </row>
    <row r="1361">
      <c r="A1361" s="39">
        <f>IF($B1361="","",COUNTA($B$4:$B1361))</f>
        <v/>
      </c>
      <c r="B1361" s="45" t="n"/>
      <c r="C1361" s="46" t="n"/>
      <c r="D1361" s="46" t="n"/>
      <c r="E1361" s="47" t="n"/>
      <c r="F1361" s="47" t="n"/>
      <c r="G1361" s="43">
        <f>IF($B1361="","",N($E1361)+N($F1361))</f>
        <v/>
      </c>
      <c r="H1361" s="47" t="n"/>
      <c r="I1361" s="43">
        <f>IF($B1361="","",N($G1361)-N($H1361))</f>
        <v/>
      </c>
    </row>
    <row r="1362">
      <c r="A1362" s="39">
        <f>IF($B1362="","",COUNTA($B$4:$B1362))</f>
        <v/>
      </c>
      <c r="B1362" s="40" t="n"/>
      <c r="C1362" s="41" t="n"/>
      <c r="D1362" s="41" t="n"/>
      <c r="E1362" s="42" t="n"/>
      <c r="F1362" s="42" t="n"/>
      <c r="G1362" s="43">
        <f>IF($B1362="","",N($E1362)+N($F1362))</f>
        <v/>
      </c>
      <c r="H1362" s="42" t="n"/>
      <c r="I1362" s="43">
        <f>IF($B1362="","",N($G1362)-N($H1362))</f>
        <v/>
      </c>
    </row>
    <row r="1363">
      <c r="A1363" s="39">
        <f>IF($B1363="","",COUNTA($B$4:$B1363))</f>
        <v/>
      </c>
      <c r="B1363" s="45" t="n"/>
      <c r="C1363" s="46" t="n"/>
      <c r="D1363" s="46" t="n"/>
      <c r="E1363" s="47" t="n"/>
      <c r="F1363" s="47" t="n"/>
      <c r="G1363" s="43">
        <f>IF($B1363="","",N($E1363)+N($F1363))</f>
        <v/>
      </c>
      <c r="H1363" s="47" t="n"/>
      <c r="I1363" s="43">
        <f>IF($B1363="","",N($G1363)-N($H1363))</f>
        <v/>
      </c>
    </row>
    <row r="1364">
      <c r="A1364" s="39">
        <f>IF($B1364="","",COUNTA($B$4:$B1364))</f>
        <v/>
      </c>
      <c r="B1364" s="40" t="n"/>
      <c r="C1364" s="41" t="n"/>
      <c r="D1364" s="41" t="n"/>
      <c r="E1364" s="42" t="n"/>
      <c r="F1364" s="42" t="n"/>
      <c r="G1364" s="43">
        <f>IF($B1364="","",N($E1364)+N($F1364))</f>
        <v/>
      </c>
      <c r="H1364" s="42" t="n"/>
      <c r="I1364" s="43">
        <f>IF($B1364="","",N($G1364)-N($H1364))</f>
        <v/>
      </c>
    </row>
    <row r="1365">
      <c r="A1365" s="39">
        <f>IF($B1365="","",COUNTA($B$4:$B1365))</f>
        <v/>
      </c>
      <c r="B1365" s="45" t="n"/>
      <c r="C1365" s="46" t="n"/>
      <c r="D1365" s="46" t="n"/>
      <c r="E1365" s="47" t="n"/>
      <c r="F1365" s="47" t="n"/>
      <c r="G1365" s="43">
        <f>IF($B1365="","",N($E1365)+N($F1365))</f>
        <v/>
      </c>
      <c r="H1365" s="47" t="n"/>
      <c r="I1365" s="43">
        <f>IF($B1365="","",N($G1365)-N($H1365))</f>
        <v/>
      </c>
    </row>
    <row r="1366">
      <c r="A1366" s="39">
        <f>IF($B1366="","",COUNTA($B$4:$B1366))</f>
        <v/>
      </c>
      <c r="B1366" s="40" t="n"/>
      <c r="C1366" s="41" t="n"/>
      <c r="D1366" s="41" t="n"/>
      <c r="E1366" s="42" t="n"/>
      <c r="F1366" s="42" t="n"/>
      <c r="G1366" s="43">
        <f>IF($B1366="","",N($E1366)+N($F1366))</f>
        <v/>
      </c>
      <c r="H1366" s="42" t="n"/>
      <c r="I1366" s="43">
        <f>IF($B1366="","",N($G1366)-N($H1366))</f>
        <v/>
      </c>
    </row>
    <row r="1367">
      <c r="A1367" s="39">
        <f>IF($B1367="","",COUNTA($B$4:$B1367))</f>
        <v/>
      </c>
      <c r="B1367" s="45" t="n"/>
      <c r="C1367" s="46" t="n"/>
      <c r="D1367" s="46" t="n"/>
      <c r="E1367" s="47" t="n"/>
      <c r="F1367" s="47" t="n"/>
      <c r="G1367" s="43">
        <f>IF($B1367="","",N($E1367)+N($F1367))</f>
        <v/>
      </c>
      <c r="H1367" s="47" t="n"/>
      <c r="I1367" s="43">
        <f>IF($B1367="","",N($G1367)-N($H1367))</f>
        <v/>
      </c>
    </row>
    <row r="1368">
      <c r="A1368" s="39">
        <f>IF($B1368="","",COUNTA($B$4:$B1368))</f>
        <v/>
      </c>
      <c r="B1368" s="40" t="n"/>
      <c r="C1368" s="41" t="n"/>
      <c r="D1368" s="41" t="n"/>
      <c r="E1368" s="42" t="n"/>
      <c r="F1368" s="42" t="n"/>
      <c r="G1368" s="43">
        <f>IF($B1368="","",N($E1368)+N($F1368))</f>
        <v/>
      </c>
      <c r="H1368" s="42" t="n"/>
      <c r="I1368" s="43">
        <f>IF($B1368="","",N($G1368)-N($H1368))</f>
        <v/>
      </c>
    </row>
    <row r="1369">
      <c r="A1369" s="39">
        <f>IF($B1369="","",COUNTA($B$4:$B1369))</f>
        <v/>
      </c>
      <c r="B1369" s="45" t="n"/>
      <c r="C1369" s="46" t="n"/>
      <c r="D1369" s="46" t="n"/>
      <c r="E1369" s="47" t="n"/>
      <c r="F1369" s="47" t="n"/>
      <c r="G1369" s="43">
        <f>IF($B1369="","",N($E1369)+N($F1369))</f>
        <v/>
      </c>
      <c r="H1369" s="47" t="n"/>
      <c r="I1369" s="43">
        <f>IF($B1369="","",N($G1369)-N($H1369))</f>
        <v/>
      </c>
    </row>
    <row r="1370">
      <c r="A1370" s="39">
        <f>IF($B1370="","",COUNTA($B$4:$B1370))</f>
        <v/>
      </c>
      <c r="B1370" s="40" t="n"/>
      <c r="C1370" s="41" t="n"/>
      <c r="D1370" s="41" t="n"/>
      <c r="E1370" s="42" t="n"/>
      <c r="F1370" s="42" t="n"/>
      <c r="G1370" s="43">
        <f>IF($B1370="","",N($E1370)+N($F1370))</f>
        <v/>
      </c>
      <c r="H1370" s="42" t="n"/>
      <c r="I1370" s="43">
        <f>IF($B1370="","",N($G1370)-N($H1370))</f>
        <v/>
      </c>
    </row>
    <row r="1371">
      <c r="A1371" s="39">
        <f>IF($B1371="","",COUNTA($B$4:$B1371))</f>
        <v/>
      </c>
      <c r="B1371" s="45" t="n"/>
      <c r="C1371" s="46" t="n"/>
      <c r="D1371" s="46" t="n"/>
      <c r="E1371" s="47" t="n"/>
      <c r="F1371" s="47" t="n"/>
      <c r="G1371" s="43">
        <f>IF($B1371="","",N($E1371)+N($F1371))</f>
        <v/>
      </c>
      <c r="H1371" s="47" t="n"/>
      <c r="I1371" s="43">
        <f>IF($B1371="","",N($G1371)-N($H1371))</f>
        <v/>
      </c>
    </row>
    <row r="1372">
      <c r="A1372" s="39">
        <f>IF($B1372="","",COUNTA($B$4:$B1372))</f>
        <v/>
      </c>
      <c r="B1372" s="40" t="n"/>
      <c r="C1372" s="41" t="n"/>
      <c r="D1372" s="41" t="n"/>
      <c r="E1372" s="42" t="n"/>
      <c r="F1372" s="42" t="n"/>
      <c r="G1372" s="43">
        <f>IF($B1372="","",N($E1372)+N($F1372))</f>
        <v/>
      </c>
      <c r="H1372" s="42" t="n"/>
      <c r="I1372" s="43">
        <f>IF($B1372="","",N($G1372)-N($H1372))</f>
        <v/>
      </c>
    </row>
    <row r="1373">
      <c r="A1373" s="39">
        <f>IF($B1373="","",COUNTA($B$4:$B1373))</f>
        <v/>
      </c>
      <c r="B1373" s="45" t="n"/>
      <c r="C1373" s="46" t="n"/>
      <c r="D1373" s="46" t="n"/>
      <c r="E1373" s="47" t="n"/>
      <c r="F1373" s="47" t="n"/>
      <c r="G1373" s="43">
        <f>IF($B1373="","",N($E1373)+N($F1373))</f>
        <v/>
      </c>
      <c r="H1373" s="47" t="n"/>
      <c r="I1373" s="43">
        <f>IF($B1373="","",N($G1373)-N($H1373))</f>
        <v/>
      </c>
    </row>
    <row r="1374">
      <c r="A1374" s="39">
        <f>IF($B1374="","",COUNTA($B$4:$B1374))</f>
        <v/>
      </c>
      <c r="B1374" s="40" t="n"/>
      <c r="C1374" s="41" t="n"/>
      <c r="D1374" s="41" t="n"/>
      <c r="E1374" s="42" t="n"/>
      <c r="F1374" s="42" t="n"/>
      <c r="G1374" s="43">
        <f>IF($B1374="","",N($E1374)+N($F1374))</f>
        <v/>
      </c>
      <c r="H1374" s="42" t="n"/>
      <c r="I1374" s="43">
        <f>IF($B1374="","",N($G1374)-N($H1374))</f>
        <v/>
      </c>
    </row>
    <row r="1375">
      <c r="A1375" s="39">
        <f>IF($B1375="","",COUNTA($B$4:$B1375))</f>
        <v/>
      </c>
      <c r="B1375" s="45" t="n"/>
      <c r="C1375" s="46" t="n"/>
      <c r="D1375" s="46" t="n"/>
      <c r="E1375" s="47" t="n"/>
      <c r="F1375" s="47" t="n"/>
      <c r="G1375" s="43">
        <f>IF($B1375="","",N($E1375)+N($F1375))</f>
        <v/>
      </c>
      <c r="H1375" s="47" t="n"/>
      <c r="I1375" s="43">
        <f>IF($B1375="","",N($G1375)-N($H1375))</f>
        <v/>
      </c>
    </row>
    <row r="1376">
      <c r="A1376" s="39">
        <f>IF($B1376="","",COUNTA($B$4:$B1376))</f>
        <v/>
      </c>
      <c r="B1376" s="40" t="n"/>
      <c r="C1376" s="41" t="n"/>
      <c r="D1376" s="41" t="n"/>
      <c r="E1376" s="42" t="n"/>
      <c r="F1376" s="42" t="n"/>
      <c r="G1376" s="43">
        <f>IF($B1376="","",N($E1376)+N($F1376))</f>
        <v/>
      </c>
      <c r="H1376" s="42" t="n"/>
      <c r="I1376" s="43">
        <f>IF($B1376="","",N($G1376)-N($H1376))</f>
        <v/>
      </c>
    </row>
    <row r="1377">
      <c r="A1377" s="39">
        <f>IF($B1377="","",COUNTA($B$4:$B1377))</f>
        <v/>
      </c>
      <c r="B1377" s="45" t="n"/>
      <c r="C1377" s="46" t="n"/>
      <c r="D1377" s="46" t="n"/>
      <c r="E1377" s="47" t="n"/>
      <c r="F1377" s="47" t="n"/>
      <c r="G1377" s="43">
        <f>IF($B1377="","",N($E1377)+N($F1377))</f>
        <v/>
      </c>
      <c r="H1377" s="47" t="n"/>
      <c r="I1377" s="43">
        <f>IF($B1377="","",N($G1377)-N($H1377))</f>
        <v/>
      </c>
    </row>
    <row r="1378">
      <c r="A1378" s="39">
        <f>IF($B1378="","",COUNTA($B$4:$B1378))</f>
        <v/>
      </c>
      <c r="B1378" s="40" t="n"/>
      <c r="C1378" s="41" t="n"/>
      <c r="D1378" s="41" t="n"/>
      <c r="E1378" s="42" t="n"/>
      <c r="F1378" s="42" t="n"/>
      <c r="G1378" s="43">
        <f>IF($B1378="","",N($E1378)+N($F1378))</f>
        <v/>
      </c>
      <c r="H1378" s="42" t="n"/>
      <c r="I1378" s="43">
        <f>IF($B1378="","",N($G1378)-N($H1378))</f>
        <v/>
      </c>
    </row>
    <row r="1379">
      <c r="A1379" s="39">
        <f>IF($B1379="","",COUNTA($B$4:$B1379))</f>
        <v/>
      </c>
      <c r="B1379" s="45" t="n"/>
      <c r="C1379" s="46" t="n"/>
      <c r="D1379" s="46" t="n"/>
      <c r="E1379" s="47" t="n"/>
      <c r="F1379" s="47" t="n"/>
      <c r="G1379" s="43">
        <f>IF($B1379="","",N($E1379)+N($F1379))</f>
        <v/>
      </c>
      <c r="H1379" s="47" t="n"/>
      <c r="I1379" s="43">
        <f>IF($B1379="","",N($G1379)-N($H1379))</f>
        <v/>
      </c>
    </row>
    <row r="1380">
      <c r="A1380" s="39">
        <f>IF($B1380="","",COUNTA($B$4:$B1380))</f>
        <v/>
      </c>
      <c r="B1380" s="40" t="n"/>
      <c r="C1380" s="41" t="n"/>
      <c r="D1380" s="41" t="n"/>
      <c r="E1380" s="42" t="n"/>
      <c r="F1380" s="42" t="n"/>
      <c r="G1380" s="43">
        <f>IF($B1380="","",N($E1380)+N($F1380))</f>
        <v/>
      </c>
      <c r="H1380" s="42" t="n"/>
      <c r="I1380" s="43">
        <f>IF($B1380="","",N($G1380)-N($H1380))</f>
        <v/>
      </c>
    </row>
    <row r="1381">
      <c r="A1381" s="39">
        <f>IF($B1381="","",COUNTA($B$4:$B1381))</f>
        <v/>
      </c>
      <c r="B1381" s="45" t="n"/>
      <c r="C1381" s="46" t="n"/>
      <c r="D1381" s="46" t="n"/>
      <c r="E1381" s="47" t="n"/>
      <c r="F1381" s="47" t="n"/>
      <c r="G1381" s="43">
        <f>IF($B1381="","",N($E1381)+N($F1381))</f>
        <v/>
      </c>
      <c r="H1381" s="47" t="n"/>
      <c r="I1381" s="43">
        <f>IF($B1381="","",N($G1381)-N($H1381))</f>
        <v/>
      </c>
    </row>
    <row r="1382">
      <c r="A1382" s="39">
        <f>IF($B1382="","",COUNTA($B$4:$B1382))</f>
        <v/>
      </c>
      <c r="B1382" s="40" t="n"/>
      <c r="C1382" s="41" t="n"/>
      <c r="D1382" s="41" t="n"/>
      <c r="E1382" s="42" t="n"/>
      <c r="F1382" s="42" t="n"/>
      <c r="G1382" s="43">
        <f>IF($B1382="","",N($E1382)+N($F1382))</f>
        <v/>
      </c>
      <c r="H1382" s="42" t="n"/>
      <c r="I1382" s="43">
        <f>IF($B1382="","",N($G1382)-N($H1382))</f>
        <v/>
      </c>
    </row>
    <row r="1383">
      <c r="A1383" s="39">
        <f>IF($B1383="","",COUNTA($B$4:$B1383))</f>
        <v/>
      </c>
      <c r="B1383" s="45" t="n"/>
      <c r="C1383" s="46" t="n"/>
      <c r="D1383" s="46" t="n"/>
      <c r="E1383" s="47" t="n"/>
      <c r="F1383" s="47" t="n"/>
      <c r="G1383" s="43">
        <f>IF($B1383="","",N($E1383)+N($F1383))</f>
        <v/>
      </c>
      <c r="H1383" s="47" t="n"/>
      <c r="I1383" s="43">
        <f>IF($B1383="","",N($G1383)-N($H1383))</f>
        <v/>
      </c>
    </row>
    <row r="1384">
      <c r="A1384" s="39">
        <f>IF($B1384="","",COUNTA($B$4:$B1384))</f>
        <v/>
      </c>
      <c r="B1384" s="40" t="n"/>
      <c r="C1384" s="41" t="n"/>
      <c r="D1384" s="41" t="n"/>
      <c r="E1384" s="42" t="n"/>
      <c r="F1384" s="42" t="n"/>
      <c r="G1384" s="43">
        <f>IF($B1384="","",N($E1384)+N($F1384))</f>
        <v/>
      </c>
      <c r="H1384" s="42" t="n"/>
      <c r="I1384" s="43">
        <f>IF($B1384="","",N($G1384)-N($H1384))</f>
        <v/>
      </c>
    </row>
    <row r="1385">
      <c r="A1385" s="39">
        <f>IF($B1385="","",COUNTA($B$4:$B1385))</f>
        <v/>
      </c>
      <c r="B1385" s="45" t="n"/>
      <c r="C1385" s="46" t="n"/>
      <c r="D1385" s="46" t="n"/>
      <c r="E1385" s="47" t="n"/>
      <c r="F1385" s="47" t="n"/>
      <c r="G1385" s="43">
        <f>IF($B1385="","",N($E1385)+N($F1385))</f>
        <v/>
      </c>
      <c r="H1385" s="47" t="n"/>
      <c r="I1385" s="43">
        <f>IF($B1385="","",N($G1385)-N($H1385))</f>
        <v/>
      </c>
    </row>
    <row r="1386">
      <c r="A1386" s="39">
        <f>IF($B1386="","",COUNTA($B$4:$B1386))</f>
        <v/>
      </c>
      <c r="B1386" s="40" t="n"/>
      <c r="C1386" s="41" t="n"/>
      <c r="D1386" s="41" t="n"/>
      <c r="E1386" s="42" t="n"/>
      <c r="F1386" s="42" t="n"/>
      <c r="G1386" s="43">
        <f>IF($B1386="","",N($E1386)+N($F1386))</f>
        <v/>
      </c>
      <c r="H1386" s="42" t="n"/>
      <c r="I1386" s="43">
        <f>IF($B1386="","",N($G1386)-N($H1386))</f>
        <v/>
      </c>
    </row>
    <row r="1387">
      <c r="A1387" s="39">
        <f>IF($B1387="","",COUNTA($B$4:$B1387))</f>
        <v/>
      </c>
      <c r="B1387" s="45" t="n"/>
      <c r="C1387" s="46" t="n"/>
      <c r="D1387" s="46" t="n"/>
      <c r="E1387" s="47" t="n"/>
      <c r="F1387" s="47" t="n"/>
      <c r="G1387" s="43">
        <f>IF($B1387="","",N($E1387)+N($F1387))</f>
        <v/>
      </c>
      <c r="H1387" s="47" t="n"/>
      <c r="I1387" s="43">
        <f>IF($B1387="","",N($G1387)-N($H1387))</f>
        <v/>
      </c>
    </row>
    <row r="1388">
      <c r="A1388" s="39">
        <f>IF($B1388="","",COUNTA($B$4:$B1388))</f>
        <v/>
      </c>
      <c r="B1388" s="40" t="n"/>
      <c r="C1388" s="41" t="n"/>
      <c r="D1388" s="41" t="n"/>
      <c r="E1388" s="42" t="n"/>
      <c r="F1388" s="42" t="n"/>
      <c r="G1388" s="43">
        <f>IF($B1388="","",N($E1388)+N($F1388))</f>
        <v/>
      </c>
      <c r="H1388" s="42" t="n"/>
      <c r="I1388" s="43">
        <f>IF($B1388="","",N($G1388)-N($H1388))</f>
        <v/>
      </c>
    </row>
    <row r="1389">
      <c r="A1389" s="39">
        <f>IF($B1389="","",COUNTA($B$4:$B1389))</f>
        <v/>
      </c>
      <c r="B1389" s="45" t="n"/>
      <c r="C1389" s="46" t="n"/>
      <c r="D1389" s="46" t="n"/>
      <c r="E1389" s="47" t="n"/>
      <c r="F1389" s="47" t="n"/>
      <c r="G1389" s="43">
        <f>IF($B1389="","",N($E1389)+N($F1389))</f>
        <v/>
      </c>
      <c r="H1389" s="47" t="n"/>
      <c r="I1389" s="43">
        <f>IF($B1389="","",N($G1389)-N($H1389))</f>
        <v/>
      </c>
    </row>
    <row r="1390">
      <c r="A1390" s="39">
        <f>IF($B1390="","",COUNTA($B$4:$B1390))</f>
        <v/>
      </c>
      <c r="B1390" s="40" t="n"/>
      <c r="C1390" s="41" t="n"/>
      <c r="D1390" s="41" t="n"/>
      <c r="E1390" s="42" t="n"/>
      <c r="F1390" s="42" t="n"/>
      <c r="G1390" s="43">
        <f>IF($B1390="","",N($E1390)+N($F1390))</f>
        <v/>
      </c>
      <c r="H1390" s="42" t="n"/>
      <c r="I1390" s="43">
        <f>IF($B1390="","",N($G1390)-N($H1390))</f>
        <v/>
      </c>
    </row>
    <row r="1391">
      <c r="A1391" s="39">
        <f>IF($B1391="","",COUNTA($B$4:$B1391))</f>
        <v/>
      </c>
      <c r="B1391" s="45" t="n"/>
      <c r="C1391" s="46" t="n"/>
      <c r="D1391" s="46" t="n"/>
      <c r="E1391" s="47" t="n"/>
      <c r="F1391" s="47" t="n"/>
      <c r="G1391" s="43">
        <f>IF($B1391="","",N($E1391)+N($F1391))</f>
        <v/>
      </c>
      <c r="H1391" s="47" t="n"/>
      <c r="I1391" s="43">
        <f>IF($B1391="","",N($G1391)-N($H1391))</f>
        <v/>
      </c>
    </row>
    <row r="1392">
      <c r="A1392" s="39">
        <f>IF($B1392="","",COUNTA($B$4:$B1392))</f>
        <v/>
      </c>
      <c r="B1392" s="40" t="n"/>
      <c r="C1392" s="41" t="n"/>
      <c r="D1392" s="41" t="n"/>
      <c r="E1392" s="42" t="n"/>
      <c r="F1392" s="42" t="n"/>
      <c r="G1392" s="43">
        <f>IF($B1392="","",N($E1392)+N($F1392))</f>
        <v/>
      </c>
      <c r="H1392" s="42" t="n"/>
      <c r="I1392" s="43">
        <f>IF($B1392="","",N($G1392)-N($H1392))</f>
        <v/>
      </c>
    </row>
    <row r="1393">
      <c r="A1393" s="39">
        <f>IF($B1393="","",COUNTA($B$4:$B1393))</f>
        <v/>
      </c>
      <c r="B1393" s="45" t="n"/>
      <c r="C1393" s="46" t="n"/>
      <c r="D1393" s="46" t="n"/>
      <c r="E1393" s="47" t="n"/>
      <c r="F1393" s="47" t="n"/>
      <c r="G1393" s="43">
        <f>IF($B1393="","",N($E1393)+N($F1393))</f>
        <v/>
      </c>
      <c r="H1393" s="47" t="n"/>
      <c r="I1393" s="43">
        <f>IF($B1393="","",N($G1393)-N($H1393))</f>
        <v/>
      </c>
    </row>
    <row r="1394">
      <c r="A1394" s="39">
        <f>IF($B1394="","",COUNTA($B$4:$B1394))</f>
        <v/>
      </c>
      <c r="B1394" s="40" t="n"/>
      <c r="C1394" s="41" t="n"/>
      <c r="D1394" s="41" t="n"/>
      <c r="E1394" s="42" t="n"/>
      <c r="F1394" s="42" t="n"/>
      <c r="G1394" s="43">
        <f>IF($B1394="","",N($E1394)+N($F1394))</f>
        <v/>
      </c>
      <c r="H1394" s="42" t="n"/>
      <c r="I1394" s="43">
        <f>IF($B1394="","",N($G1394)-N($H1394))</f>
        <v/>
      </c>
    </row>
    <row r="1395">
      <c r="A1395" s="39">
        <f>IF($B1395="","",COUNTA($B$4:$B1395))</f>
        <v/>
      </c>
      <c r="B1395" s="45" t="n"/>
      <c r="C1395" s="46" t="n"/>
      <c r="D1395" s="46" t="n"/>
      <c r="E1395" s="47" t="n"/>
      <c r="F1395" s="47" t="n"/>
      <c r="G1395" s="43">
        <f>IF($B1395="","",N($E1395)+N($F1395))</f>
        <v/>
      </c>
      <c r="H1395" s="47" t="n"/>
      <c r="I1395" s="43">
        <f>IF($B1395="","",N($G1395)-N($H1395))</f>
        <v/>
      </c>
    </row>
    <row r="1396">
      <c r="A1396" s="39">
        <f>IF($B1396="","",COUNTA($B$4:$B1396))</f>
        <v/>
      </c>
      <c r="B1396" s="40" t="n"/>
      <c r="C1396" s="41" t="n"/>
      <c r="D1396" s="41" t="n"/>
      <c r="E1396" s="42" t="n"/>
      <c r="F1396" s="42" t="n"/>
      <c r="G1396" s="43">
        <f>IF($B1396="","",N($E1396)+N($F1396))</f>
        <v/>
      </c>
      <c r="H1396" s="42" t="n"/>
      <c r="I1396" s="43">
        <f>IF($B1396="","",N($G1396)-N($H1396))</f>
        <v/>
      </c>
    </row>
    <row r="1397">
      <c r="A1397" s="39">
        <f>IF($B1397="","",COUNTA($B$4:$B1397))</f>
        <v/>
      </c>
      <c r="B1397" s="45" t="n"/>
      <c r="C1397" s="46" t="n"/>
      <c r="D1397" s="46" t="n"/>
      <c r="E1397" s="47" t="n"/>
      <c r="F1397" s="47" t="n"/>
      <c r="G1397" s="43">
        <f>IF($B1397="","",N($E1397)+N($F1397))</f>
        <v/>
      </c>
      <c r="H1397" s="47" t="n"/>
      <c r="I1397" s="43">
        <f>IF($B1397="","",N($G1397)-N($H1397))</f>
        <v/>
      </c>
    </row>
    <row r="1398">
      <c r="A1398" s="39">
        <f>IF($B1398="","",COUNTA($B$4:$B1398))</f>
        <v/>
      </c>
      <c r="B1398" s="40" t="n"/>
      <c r="C1398" s="41" t="n"/>
      <c r="D1398" s="41" t="n"/>
      <c r="E1398" s="42" t="n"/>
      <c r="F1398" s="42" t="n"/>
      <c r="G1398" s="43">
        <f>IF($B1398="","",N($E1398)+N($F1398))</f>
        <v/>
      </c>
      <c r="H1398" s="42" t="n"/>
      <c r="I1398" s="43">
        <f>IF($B1398="","",N($G1398)-N($H1398))</f>
        <v/>
      </c>
    </row>
    <row r="1399">
      <c r="A1399" s="39">
        <f>IF($B1399="","",COUNTA($B$4:$B1399))</f>
        <v/>
      </c>
      <c r="B1399" s="45" t="n"/>
      <c r="C1399" s="46" t="n"/>
      <c r="D1399" s="46" t="n"/>
      <c r="E1399" s="47" t="n"/>
      <c r="F1399" s="47" t="n"/>
      <c r="G1399" s="43">
        <f>IF($B1399="","",N($E1399)+N($F1399))</f>
        <v/>
      </c>
      <c r="H1399" s="47" t="n"/>
      <c r="I1399" s="43">
        <f>IF($B1399="","",N($G1399)-N($H1399))</f>
        <v/>
      </c>
    </row>
    <row r="1400">
      <c r="A1400" s="39">
        <f>IF($B1400="","",COUNTA($B$4:$B1400))</f>
        <v/>
      </c>
      <c r="B1400" s="40" t="n"/>
      <c r="C1400" s="41" t="n"/>
      <c r="D1400" s="41" t="n"/>
      <c r="E1400" s="42" t="n"/>
      <c r="F1400" s="42" t="n"/>
      <c r="G1400" s="43">
        <f>IF($B1400="","",N($E1400)+N($F1400))</f>
        <v/>
      </c>
      <c r="H1400" s="42" t="n"/>
      <c r="I1400" s="43">
        <f>IF($B1400="","",N($G1400)-N($H1400))</f>
        <v/>
      </c>
    </row>
    <row r="1401">
      <c r="A1401" s="39">
        <f>IF($B1401="","",COUNTA($B$4:$B1401))</f>
        <v/>
      </c>
      <c r="B1401" s="45" t="n"/>
      <c r="C1401" s="46" t="n"/>
      <c r="D1401" s="46" t="n"/>
      <c r="E1401" s="47" t="n"/>
      <c r="F1401" s="47" t="n"/>
      <c r="G1401" s="43">
        <f>IF($B1401="","",N($E1401)+N($F1401))</f>
        <v/>
      </c>
      <c r="H1401" s="47" t="n"/>
      <c r="I1401" s="43">
        <f>IF($B1401="","",N($G1401)-N($H1401))</f>
        <v/>
      </c>
    </row>
    <row r="1402">
      <c r="A1402" s="39">
        <f>IF($B1402="","",COUNTA($B$4:$B1402))</f>
        <v/>
      </c>
      <c r="B1402" s="40" t="n"/>
      <c r="C1402" s="41" t="n"/>
      <c r="D1402" s="41" t="n"/>
      <c r="E1402" s="42" t="n"/>
      <c r="F1402" s="42" t="n"/>
      <c r="G1402" s="43">
        <f>IF($B1402="","",N($E1402)+N($F1402))</f>
        <v/>
      </c>
      <c r="H1402" s="42" t="n"/>
      <c r="I1402" s="43">
        <f>IF($B1402="","",N($G1402)-N($H1402))</f>
        <v/>
      </c>
    </row>
    <row r="1403">
      <c r="A1403" s="39">
        <f>IF($B1403="","",COUNTA($B$4:$B1403))</f>
        <v/>
      </c>
      <c r="B1403" s="45" t="n"/>
      <c r="C1403" s="46" t="n"/>
      <c r="D1403" s="46" t="n"/>
      <c r="E1403" s="47" t="n"/>
      <c r="F1403" s="47" t="n"/>
      <c r="G1403" s="43">
        <f>IF($B1403="","",N($E1403)+N($F1403))</f>
        <v/>
      </c>
      <c r="H1403" s="47" t="n"/>
      <c r="I1403" s="43">
        <f>IF($B1403="","",N($G1403)-N($H1403))</f>
        <v/>
      </c>
    </row>
    <row r="1404">
      <c r="A1404" s="39">
        <f>IF($B1404="","",COUNTA($B$4:$B1404))</f>
        <v/>
      </c>
      <c r="B1404" s="40" t="n"/>
      <c r="C1404" s="41" t="n"/>
      <c r="D1404" s="41" t="n"/>
      <c r="E1404" s="42" t="n"/>
      <c r="F1404" s="42" t="n"/>
      <c r="G1404" s="43">
        <f>IF($B1404="","",N($E1404)+N($F1404))</f>
        <v/>
      </c>
      <c r="H1404" s="42" t="n"/>
      <c r="I1404" s="43">
        <f>IF($B1404="","",N($G1404)-N($H1404))</f>
        <v/>
      </c>
    </row>
    <row r="1405">
      <c r="A1405" s="39">
        <f>IF($B1405="","",COUNTA($B$4:$B1405))</f>
        <v/>
      </c>
      <c r="B1405" s="45" t="n"/>
      <c r="C1405" s="46" t="n"/>
      <c r="D1405" s="46" t="n"/>
      <c r="E1405" s="47" t="n"/>
      <c r="F1405" s="47" t="n"/>
      <c r="G1405" s="43">
        <f>IF($B1405="","",N($E1405)+N($F1405))</f>
        <v/>
      </c>
      <c r="H1405" s="47" t="n"/>
      <c r="I1405" s="43">
        <f>IF($B1405="","",N($G1405)-N($H1405))</f>
        <v/>
      </c>
    </row>
    <row r="1406">
      <c r="A1406" s="39">
        <f>IF($B1406="","",COUNTA($B$4:$B1406))</f>
        <v/>
      </c>
      <c r="B1406" s="40" t="n"/>
      <c r="C1406" s="41" t="n"/>
      <c r="D1406" s="41" t="n"/>
      <c r="E1406" s="42" t="n"/>
      <c r="F1406" s="42" t="n"/>
      <c r="G1406" s="43">
        <f>IF($B1406="","",N($E1406)+N($F1406))</f>
        <v/>
      </c>
      <c r="H1406" s="42" t="n"/>
      <c r="I1406" s="43">
        <f>IF($B1406="","",N($G1406)-N($H1406))</f>
        <v/>
      </c>
    </row>
    <row r="1407">
      <c r="A1407" s="39">
        <f>IF($B1407="","",COUNTA($B$4:$B1407))</f>
        <v/>
      </c>
      <c r="B1407" s="45" t="n"/>
      <c r="C1407" s="46" t="n"/>
      <c r="D1407" s="46" t="n"/>
      <c r="E1407" s="47" t="n"/>
      <c r="F1407" s="47" t="n"/>
      <c r="G1407" s="43">
        <f>IF($B1407="","",N($E1407)+N($F1407))</f>
        <v/>
      </c>
      <c r="H1407" s="47" t="n"/>
      <c r="I1407" s="43">
        <f>IF($B1407="","",N($G1407)-N($H1407))</f>
        <v/>
      </c>
    </row>
    <row r="1408">
      <c r="A1408" s="39">
        <f>IF($B1408="","",COUNTA($B$4:$B1408))</f>
        <v/>
      </c>
      <c r="B1408" s="40" t="n"/>
      <c r="C1408" s="41" t="n"/>
      <c r="D1408" s="41" t="n"/>
      <c r="E1408" s="42" t="n"/>
      <c r="F1408" s="42" t="n"/>
      <c r="G1408" s="43">
        <f>IF($B1408="","",N($E1408)+N($F1408))</f>
        <v/>
      </c>
      <c r="H1408" s="42" t="n"/>
      <c r="I1408" s="43">
        <f>IF($B1408="","",N($G1408)-N($H1408))</f>
        <v/>
      </c>
    </row>
    <row r="1409">
      <c r="A1409" s="39">
        <f>IF($B1409="","",COUNTA($B$4:$B1409))</f>
        <v/>
      </c>
      <c r="B1409" s="45" t="n"/>
      <c r="C1409" s="46" t="n"/>
      <c r="D1409" s="46" t="n"/>
      <c r="E1409" s="47" t="n"/>
      <c r="F1409" s="47" t="n"/>
      <c r="G1409" s="43">
        <f>IF($B1409="","",N($E1409)+N($F1409))</f>
        <v/>
      </c>
      <c r="H1409" s="47" t="n"/>
      <c r="I1409" s="43">
        <f>IF($B1409="","",N($G1409)-N($H1409))</f>
        <v/>
      </c>
    </row>
    <row r="1410">
      <c r="A1410" s="39">
        <f>IF($B1410="","",COUNTA($B$4:$B1410))</f>
        <v/>
      </c>
      <c r="B1410" s="40" t="n"/>
      <c r="C1410" s="41" t="n"/>
      <c r="D1410" s="41" t="n"/>
      <c r="E1410" s="42" t="n"/>
      <c r="F1410" s="42" t="n"/>
      <c r="G1410" s="43">
        <f>IF($B1410="","",N($E1410)+N($F1410))</f>
        <v/>
      </c>
      <c r="H1410" s="42" t="n"/>
      <c r="I1410" s="43">
        <f>IF($B1410="","",N($G1410)-N($H1410))</f>
        <v/>
      </c>
    </row>
    <row r="1411">
      <c r="A1411" s="39">
        <f>IF($B1411="","",COUNTA($B$4:$B1411))</f>
        <v/>
      </c>
      <c r="B1411" s="45" t="n"/>
      <c r="C1411" s="46" t="n"/>
      <c r="D1411" s="46" t="n"/>
      <c r="E1411" s="47" t="n"/>
      <c r="F1411" s="47" t="n"/>
      <c r="G1411" s="43">
        <f>IF($B1411="","",N($E1411)+N($F1411))</f>
        <v/>
      </c>
      <c r="H1411" s="47" t="n"/>
      <c r="I1411" s="43">
        <f>IF($B1411="","",N($G1411)-N($H1411))</f>
        <v/>
      </c>
    </row>
    <row r="1412">
      <c r="A1412" s="39">
        <f>IF($B1412="","",COUNTA($B$4:$B1412))</f>
        <v/>
      </c>
      <c r="B1412" s="40" t="n"/>
      <c r="C1412" s="41" t="n"/>
      <c r="D1412" s="41" t="n"/>
      <c r="E1412" s="42" t="n"/>
      <c r="F1412" s="42" t="n"/>
      <c r="G1412" s="43">
        <f>IF($B1412="","",N($E1412)+N($F1412))</f>
        <v/>
      </c>
      <c r="H1412" s="42" t="n"/>
      <c r="I1412" s="43">
        <f>IF($B1412="","",N($G1412)-N($H1412))</f>
        <v/>
      </c>
    </row>
    <row r="1413">
      <c r="A1413" s="39">
        <f>IF($B1413="","",COUNTA($B$4:$B1413))</f>
        <v/>
      </c>
      <c r="B1413" s="45" t="n"/>
      <c r="C1413" s="46" t="n"/>
      <c r="D1413" s="46" t="n"/>
      <c r="E1413" s="47" t="n"/>
      <c r="F1413" s="47" t="n"/>
      <c r="G1413" s="43">
        <f>IF($B1413="","",N($E1413)+N($F1413))</f>
        <v/>
      </c>
      <c r="H1413" s="47" t="n"/>
      <c r="I1413" s="43">
        <f>IF($B1413="","",N($G1413)-N($H1413))</f>
        <v/>
      </c>
    </row>
    <row r="1414">
      <c r="A1414" s="39">
        <f>IF($B1414="","",COUNTA($B$4:$B1414))</f>
        <v/>
      </c>
      <c r="B1414" s="40" t="n"/>
      <c r="C1414" s="41" t="n"/>
      <c r="D1414" s="41" t="n"/>
      <c r="E1414" s="42" t="n"/>
      <c r="F1414" s="42" t="n"/>
      <c r="G1414" s="43">
        <f>IF($B1414="","",N($E1414)+N($F1414))</f>
        <v/>
      </c>
      <c r="H1414" s="42" t="n"/>
      <c r="I1414" s="43">
        <f>IF($B1414="","",N($G1414)-N($H1414))</f>
        <v/>
      </c>
    </row>
    <row r="1415">
      <c r="A1415" s="39">
        <f>IF($B1415="","",COUNTA($B$4:$B1415))</f>
        <v/>
      </c>
      <c r="B1415" s="45" t="n"/>
      <c r="C1415" s="46" t="n"/>
      <c r="D1415" s="46" t="n"/>
      <c r="E1415" s="47" t="n"/>
      <c r="F1415" s="47" t="n"/>
      <c r="G1415" s="43">
        <f>IF($B1415="","",N($E1415)+N($F1415))</f>
        <v/>
      </c>
      <c r="H1415" s="47" t="n"/>
      <c r="I1415" s="43">
        <f>IF($B1415="","",N($G1415)-N($H1415))</f>
        <v/>
      </c>
    </row>
    <row r="1416">
      <c r="A1416" s="39">
        <f>IF($B1416="","",COUNTA($B$4:$B1416))</f>
        <v/>
      </c>
      <c r="B1416" s="40" t="n"/>
      <c r="C1416" s="41" t="n"/>
      <c r="D1416" s="41" t="n"/>
      <c r="E1416" s="42" t="n"/>
      <c r="F1416" s="42" t="n"/>
      <c r="G1416" s="43">
        <f>IF($B1416="","",N($E1416)+N($F1416))</f>
        <v/>
      </c>
      <c r="H1416" s="42" t="n"/>
      <c r="I1416" s="43">
        <f>IF($B1416="","",N($G1416)-N($H1416))</f>
        <v/>
      </c>
    </row>
    <row r="1417">
      <c r="A1417" s="39">
        <f>IF($B1417="","",COUNTA($B$4:$B1417))</f>
        <v/>
      </c>
      <c r="B1417" s="45" t="n"/>
      <c r="C1417" s="46" t="n"/>
      <c r="D1417" s="46" t="n"/>
      <c r="E1417" s="47" t="n"/>
      <c r="F1417" s="47" t="n"/>
      <c r="G1417" s="43">
        <f>IF($B1417="","",N($E1417)+N($F1417))</f>
        <v/>
      </c>
      <c r="H1417" s="47" t="n"/>
      <c r="I1417" s="43">
        <f>IF($B1417="","",N($G1417)-N($H1417))</f>
        <v/>
      </c>
    </row>
    <row r="1418">
      <c r="A1418" s="39">
        <f>IF($B1418="","",COUNTA($B$4:$B1418))</f>
        <v/>
      </c>
      <c r="B1418" s="40" t="n"/>
      <c r="C1418" s="41" t="n"/>
      <c r="D1418" s="41" t="n"/>
      <c r="E1418" s="42" t="n"/>
      <c r="F1418" s="42" t="n"/>
      <c r="G1418" s="43">
        <f>IF($B1418="","",N($E1418)+N($F1418))</f>
        <v/>
      </c>
      <c r="H1418" s="42" t="n"/>
      <c r="I1418" s="43">
        <f>IF($B1418="","",N($G1418)-N($H1418))</f>
        <v/>
      </c>
    </row>
    <row r="1419">
      <c r="A1419" s="39">
        <f>IF($B1419="","",COUNTA($B$4:$B1419))</f>
        <v/>
      </c>
      <c r="B1419" s="45" t="n"/>
      <c r="C1419" s="46" t="n"/>
      <c r="D1419" s="46" t="n"/>
      <c r="E1419" s="47" t="n"/>
      <c r="F1419" s="47" t="n"/>
      <c r="G1419" s="43">
        <f>IF($B1419="","",N($E1419)+N($F1419))</f>
        <v/>
      </c>
      <c r="H1419" s="47" t="n"/>
      <c r="I1419" s="43">
        <f>IF($B1419="","",N($G1419)-N($H1419))</f>
        <v/>
      </c>
    </row>
    <row r="1420">
      <c r="A1420" s="39">
        <f>IF($B1420="","",COUNTA($B$4:$B1420))</f>
        <v/>
      </c>
      <c r="B1420" s="40" t="n"/>
      <c r="C1420" s="41" t="n"/>
      <c r="D1420" s="41" t="n"/>
      <c r="E1420" s="42" t="n"/>
      <c r="F1420" s="42" t="n"/>
      <c r="G1420" s="43">
        <f>IF($B1420="","",N($E1420)+N($F1420))</f>
        <v/>
      </c>
      <c r="H1420" s="42" t="n"/>
      <c r="I1420" s="43">
        <f>IF($B1420="","",N($G1420)-N($H1420))</f>
        <v/>
      </c>
    </row>
    <row r="1421">
      <c r="A1421" s="39">
        <f>IF($B1421="","",COUNTA($B$4:$B1421))</f>
        <v/>
      </c>
      <c r="B1421" s="45" t="n"/>
      <c r="C1421" s="46" t="n"/>
      <c r="D1421" s="46" t="n"/>
      <c r="E1421" s="47" t="n"/>
      <c r="F1421" s="47" t="n"/>
      <c r="G1421" s="43">
        <f>IF($B1421="","",N($E1421)+N($F1421))</f>
        <v/>
      </c>
      <c r="H1421" s="47" t="n"/>
      <c r="I1421" s="43">
        <f>IF($B1421="","",N($G1421)-N($H1421))</f>
        <v/>
      </c>
    </row>
    <row r="1422">
      <c r="A1422" s="39">
        <f>IF($B1422="","",COUNTA($B$4:$B1422))</f>
        <v/>
      </c>
      <c r="B1422" s="40" t="n"/>
      <c r="C1422" s="41" t="n"/>
      <c r="D1422" s="41" t="n"/>
      <c r="E1422" s="42" t="n"/>
      <c r="F1422" s="42" t="n"/>
      <c r="G1422" s="43">
        <f>IF($B1422="","",N($E1422)+N($F1422))</f>
        <v/>
      </c>
      <c r="H1422" s="42" t="n"/>
      <c r="I1422" s="43">
        <f>IF($B1422="","",N($G1422)-N($H1422))</f>
        <v/>
      </c>
    </row>
    <row r="1423">
      <c r="A1423" s="39">
        <f>IF($B1423="","",COUNTA($B$4:$B1423))</f>
        <v/>
      </c>
      <c r="B1423" s="45" t="n"/>
      <c r="C1423" s="46" t="n"/>
      <c r="D1423" s="46" t="n"/>
      <c r="E1423" s="47" t="n"/>
      <c r="F1423" s="47" t="n"/>
      <c r="G1423" s="43">
        <f>IF($B1423="","",N($E1423)+N($F1423))</f>
        <v/>
      </c>
      <c r="H1423" s="47" t="n"/>
      <c r="I1423" s="43">
        <f>IF($B1423="","",N($G1423)-N($H1423))</f>
        <v/>
      </c>
    </row>
    <row r="1424">
      <c r="A1424" s="39">
        <f>IF($B1424="","",COUNTA($B$4:$B1424))</f>
        <v/>
      </c>
      <c r="B1424" s="40" t="n"/>
      <c r="C1424" s="41" t="n"/>
      <c r="D1424" s="41" t="n"/>
      <c r="E1424" s="42" t="n"/>
      <c r="F1424" s="42" t="n"/>
      <c r="G1424" s="43">
        <f>IF($B1424="","",N($E1424)+N($F1424))</f>
        <v/>
      </c>
      <c r="H1424" s="42" t="n"/>
      <c r="I1424" s="43">
        <f>IF($B1424="","",N($G1424)-N($H1424))</f>
        <v/>
      </c>
    </row>
    <row r="1425">
      <c r="A1425" s="39">
        <f>IF($B1425="","",COUNTA($B$4:$B1425))</f>
        <v/>
      </c>
      <c r="B1425" s="45" t="n"/>
      <c r="C1425" s="46" t="n"/>
      <c r="D1425" s="46" t="n"/>
      <c r="E1425" s="47" t="n"/>
      <c r="F1425" s="47" t="n"/>
      <c r="G1425" s="43">
        <f>IF($B1425="","",N($E1425)+N($F1425))</f>
        <v/>
      </c>
      <c r="H1425" s="47" t="n"/>
      <c r="I1425" s="43">
        <f>IF($B1425="","",N($G1425)-N($H1425))</f>
        <v/>
      </c>
    </row>
    <row r="1426">
      <c r="A1426" s="39">
        <f>IF($B1426="","",COUNTA($B$4:$B1426))</f>
        <v/>
      </c>
      <c r="B1426" s="40" t="n"/>
      <c r="C1426" s="41" t="n"/>
      <c r="D1426" s="41" t="n"/>
      <c r="E1426" s="42" t="n"/>
      <c r="F1426" s="42" t="n"/>
      <c r="G1426" s="43">
        <f>IF($B1426="","",N($E1426)+N($F1426))</f>
        <v/>
      </c>
      <c r="H1426" s="42" t="n"/>
      <c r="I1426" s="43">
        <f>IF($B1426="","",N($G1426)-N($H1426))</f>
        <v/>
      </c>
    </row>
    <row r="1427">
      <c r="A1427" s="39">
        <f>IF($B1427="","",COUNTA($B$4:$B1427))</f>
        <v/>
      </c>
      <c r="B1427" s="45" t="n"/>
      <c r="C1427" s="46" t="n"/>
      <c r="D1427" s="46" t="n"/>
      <c r="E1427" s="47" t="n"/>
      <c r="F1427" s="47" t="n"/>
      <c r="G1427" s="43">
        <f>IF($B1427="","",N($E1427)+N($F1427))</f>
        <v/>
      </c>
      <c r="H1427" s="47" t="n"/>
      <c r="I1427" s="43">
        <f>IF($B1427="","",N($G1427)-N($H1427))</f>
        <v/>
      </c>
    </row>
    <row r="1428">
      <c r="A1428" s="39">
        <f>IF($B1428="","",COUNTA($B$4:$B1428))</f>
        <v/>
      </c>
      <c r="B1428" s="40" t="n"/>
      <c r="C1428" s="41" t="n"/>
      <c r="D1428" s="41" t="n"/>
      <c r="E1428" s="42" t="n"/>
      <c r="F1428" s="42" t="n"/>
      <c r="G1428" s="43">
        <f>IF($B1428="","",N($E1428)+N($F1428))</f>
        <v/>
      </c>
      <c r="H1428" s="42" t="n"/>
      <c r="I1428" s="43">
        <f>IF($B1428="","",N($G1428)-N($H1428))</f>
        <v/>
      </c>
    </row>
    <row r="1429">
      <c r="A1429" s="39">
        <f>IF($B1429="","",COUNTA($B$4:$B1429))</f>
        <v/>
      </c>
      <c r="B1429" s="45" t="n"/>
      <c r="C1429" s="46" t="n"/>
      <c r="D1429" s="46" t="n"/>
      <c r="E1429" s="47" t="n"/>
      <c r="F1429" s="47" t="n"/>
      <c r="G1429" s="43">
        <f>IF($B1429="","",N($E1429)+N($F1429))</f>
        <v/>
      </c>
      <c r="H1429" s="47" t="n"/>
      <c r="I1429" s="43">
        <f>IF($B1429="","",N($G1429)-N($H1429))</f>
        <v/>
      </c>
    </row>
    <row r="1430">
      <c r="A1430" s="39">
        <f>IF($B1430="","",COUNTA($B$4:$B1430))</f>
        <v/>
      </c>
      <c r="B1430" s="40" t="n"/>
      <c r="C1430" s="41" t="n"/>
      <c r="D1430" s="41" t="n"/>
      <c r="E1430" s="42" t="n"/>
      <c r="F1430" s="42" t="n"/>
      <c r="G1430" s="43">
        <f>IF($B1430="","",N($E1430)+N($F1430))</f>
        <v/>
      </c>
      <c r="H1430" s="42" t="n"/>
      <c r="I1430" s="43">
        <f>IF($B1430="","",N($G1430)-N($H1430))</f>
        <v/>
      </c>
    </row>
    <row r="1431">
      <c r="A1431" s="39">
        <f>IF($B1431="","",COUNTA($B$4:$B1431))</f>
        <v/>
      </c>
      <c r="B1431" s="45" t="n"/>
      <c r="C1431" s="46" t="n"/>
      <c r="D1431" s="46" t="n"/>
      <c r="E1431" s="47" t="n"/>
      <c r="F1431" s="47" t="n"/>
      <c r="G1431" s="43">
        <f>IF($B1431="","",N($E1431)+N($F1431))</f>
        <v/>
      </c>
      <c r="H1431" s="47" t="n"/>
      <c r="I1431" s="43">
        <f>IF($B1431="","",N($G1431)-N($H1431))</f>
        <v/>
      </c>
    </row>
    <row r="1432">
      <c r="A1432" s="39">
        <f>IF($B1432="","",COUNTA($B$4:$B1432))</f>
        <v/>
      </c>
      <c r="B1432" s="40" t="n"/>
      <c r="C1432" s="41" t="n"/>
      <c r="D1432" s="41" t="n"/>
      <c r="E1432" s="42" t="n"/>
      <c r="F1432" s="42" t="n"/>
      <c r="G1432" s="43">
        <f>IF($B1432="","",N($E1432)+N($F1432))</f>
        <v/>
      </c>
      <c r="H1432" s="42" t="n"/>
      <c r="I1432" s="43">
        <f>IF($B1432="","",N($G1432)-N($H1432))</f>
        <v/>
      </c>
    </row>
    <row r="1433">
      <c r="A1433" s="39">
        <f>IF($B1433="","",COUNTA($B$4:$B1433))</f>
        <v/>
      </c>
      <c r="B1433" s="45" t="n"/>
      <c r="C1433" s="46" t="n"/>
      <c r="D1433" s="46" t="n"/>
      <c r="E1433" s="47" t="n"/>
      <c r="F1433" s="47" t="n"/>
      <c r="G1433" s="43">
        <f>IF($B1433="","",N($E1433)+N($F1433))</f>
        <v/>
      </c>
      <c r="H1433" s="47" t="n"/>
      <c r="I1433" s="43">
        <f>IF($B1433="","",N($G1433)-N($H1433))</f>
        <v/>
      </c>
    </row>
    <row r="1434">
      <c r="A1434" s="39">
        <f>IF($B1434="","",COUNTA($B$4:$B1434))</f>
        <v/>
      </c>
      <c r="B1434" s="40" t="n"/>
      <c r="C1434" s="41" t="n"/>
      <c r="D1434" s="41" t="n"/>
      <c r="E1434" s="42" t="n"/>
      <c r="F1434" s="42" t="n"/>
      <c r="G1434" s="43">
        <f>IF($B1434="","",N($E1434)+N($F1434))</f>
        <v/>
      </c>
      <c r="H1434" s="42" t="n"/>
      <c r="I1434" s="43">
        <f>IF($B1434="","",N($G1434)-N($H1434))</f>
        <v/>
      </c>
    </row>
    <row r="1435">
      <c r="A1435" s="39">
        <f>IF($B1435="","",COUNTA($B$4:$B1435))</f>
        <v/>
      </c>
      <c r="B1435" s="45" t="n"/>
      <c r="C1435" s="46" t="n"/>
      <c r="D1435" s="46" t="n"/>
      <c r="E1435" s="47" t="n"/>
      <c r="F1435" s="47" t="n"/>
      <c r="G1435" s="43">
        <f>IF($B1435="","",N($E1435)+N($F1435))</f>
        <v/>
      </c>
      <c r="H1435" s="47" t="n"/>
      <c r="I1435" s="43">
        <f>IF($B1435="","",N($G1435)-N($H1435))</f>
        <v/>
      </c>
    </row>
    <row r="1436">
      <c r="A1436" s="39">
        <f>IF($B1436="","",COUNTA($B$4:$B1436))</f>
        <v/>
      </c>
      <c r="B1436" s="40" t="n"/>
      <c r="C1436" s="41" t="n"/>
      <c r="D1436" s="41" t="n"/>
      <c r="E1436" s="42" t="n"/>
      <c r="F1436" s="42" t="n"/>
      <c r="G1436" s="43">
        <f>IF($B1436="","",N($E1436)+N($F1436))</f>
        <v/>
      </c>
      <c r="H1436" s="42" t="n"/>
      <c r="I1436" s="43">
        <f>IF($B1436="","",N($G1436)-N($H1436))</f>
        <v/>
      </c>
    </row>
    <row r="1437">
      <c r="A1437" s="39">
        <f>IF($B1437="","",COUNTA($B$4:$B1437))</f>
        <v/>
      </c>
      <c r="B1437" s="45" t="n"/>
      <c r="C1437" s="46" t="n"/>
      <c r="D1437" s="46" t="n"/>
      <c r="E1437" s="47" t="n"/>
      <c r="F1437" s="47" t="n"/>
      <c r="G1437" s="43">
        <f>IF($B1437="","",N($E1437)+N($F1437))</f>
        <v/>
      </c>
      <c r="H1437" s="47" t="n"/>
      <c r="I1437" s="43">
        <f>IF($B1437="","",N($G1437)-N($H1437))</f>
        <v/>
      </c>
    </row>
    <row r="1438">
      <c r="A1438" s="39">
        <f>IF($B1438="","",COUNTA($B$4:$B1438))</f>
        <v/>
      </c>
      <c r="B1438" s="40" t="n"/>
      <c r="C1438" s="41" t="n"/>
      <c r="D1438" s="41" t="n"/>
      <c r="E1438" s="42" t="n"/>
      <c r="F1438" s="42" t="n"/>
      <c r="G1438" s="43">
        <f>IF($B1438="","",N($E1438)+N($F1438))</f>
        <v/>
      </c>
      <c r="H1438" s="42" t="n"/>
      <c r="I1438" s="43">
        <f>IF($B1438="","",N($G1438)-N($H1438))</f>
        <v/>
      </c>
    </row>
    <row r="1439">
      <c r="A1439" s="39">
        <f>IF($B1439="","",COUNTA($B$4:$B1439))</f>
        <v/>
      </c>
      <c r="B1439" s="45" t="n"/>
      <c r="C1439" s="46" t="n"/>
      <c r="D1439" s="46" t="n"/>
      <c r="E1439" s="47" t="n"/>
      <c r="F1439" s="47" t="n"/>
      <c r="G1439" s="43">
        <f>IF($B1439="","",N($E1439)+N($F1439))</f>
        <v/>
      </c>
      <c r="H1439" s="47" t="n"/>
      <c r="I1439" s="43">
        <f>IF($B1439="","",N($G1439)-N($H1439))</f>
        <v/>
      </c>
    </row>
    <row r="1440">
      <c r="A1440" s="39">
        <f>IF($B1440="","",COUNTA($B$4:$B1440))</f>
        <v/>
      </c>
      <c r="B1440" s="40" t="n"/>
      <c r="C1440" s="41" t="n"/>
      <c r="D1440" s="41" t="n"/>
      <c r="E1440" s="42" t="n"/>
      <c r="F1440" s="42" t="n"/>
      <c r="G1440" s="43">
        <f>IF($B1440="","",N($E1440)+N($F1440))</f>
        <v/>
      </c>
      <c r="H1440" s="42" t="n"/>
      <c r="I1440" s="43">
        <f>IF($B1440="","",N($G1440)-N($H1440))</f>
        <v/>
      </c>
    </row>
    <row r="1441">
      <c r="A1441" s="39">
        <f>IF($B1441="","",COUNTA($B$4:$B1441))</f>
        <v/>
      </c>
      <c r="B1441" s="45" t="n"/>
      <c r="C1441" s="46" t="n"/>
      <c r="D1441" s="46" t="n"/>
      <c r="E1441" s="47" t="n"/>
      <c r="F1441" s="47" t="n"/>
      <c r="G1441" s="43">
        <f>IF($B1441="","",N($E1441)+N($F1441))</f>
        <v/>
      </c>
      <c r="H1441" s="47" t="n"/>
      <c r="I1441" s="43">
        <f>IF($B1441="","",N($G1441)-N($H1441))</f>
        <v/>
      </c>
    </row>
    <row r="1442">
      <c r="A1442" s="39">
        <f>IF($B1442="","",COUNTA($B$4:$B1442))</f>
        <v/>
      </c>
      <c r="B1442" s="40" t="n"/>
      <c r="C1442" s="41" t="n"/>
      <c r="D1442" s="41" t="n"/>
      <c r="E1442" s="42" t="n"/>
      <c r="F1442" s="42" t="n"/>
      <c r="G1442" s="43">
        <f>IF($B1442="","",N($E1442)+N($F1442))</f>
        <v/>
      </c>
      <c r="H1442" s="42" t="n"/>
      <c r="I1442" s="43">
        <f>IF($B1442="","",N($G1442)-N($H1442))</f>
        <v/>
      </c>
    </row>
    <row r="1443">
      <c r="A1443" s="39">
        <f>IF($B1443="","",COUNTA($B$4:$B1443))</f>
        <v/>
      </c>
      <c r="B1443" s="45" t="n"/>
      <c r="C1443" s="46" t="n"/>
      <c r="D1443" s="46" t="n"/>
      <c r="E1443" s="47" t="n"/>
      <c r="F1443" s="47" t="n"/>
      <c r="G1443" s="43">
        <f>IF($B1443="","",N($E1443)+N($F1443))</f>
        <v/>
      </c>
      <c r="H1443" s="47" t="n"/>
      <c r="I1443" s="43">
        <f>IF($B1443="","",N($G1443)-N($H1443))</f>
        <v/>
      </c>
    </row>
    <row r="1444">
      <c r="A1444" s="39">
        <f>IF($B1444="","",COUNTA($B$4:$B1444))</f>
        <v/>
      </c>
      <c r="B1444" s="40" t="n"/>
      <c r="C1444" s="41" t="n"/>
      <c r="D1444" s="41" t="n"/>
      <c r="E1444" s="42" t="n"/>
      <c r="F1444" s="42" t="n"/>
      <c r="G1444" s="43">
        <f>IF($B1444="","",N($E1444)+N($F1444))</f>
        <v/>
      </c>
      <c r="H1444" s="42" t="n"/>
      <c r="I1444" s="43">
        <f>IF($B1444="","",N($G1444)-N($H1444))</f>
        <v/>
      </c>
    </row>
    <row r="1445">
      <c r="A1445" s="39">
        <f>IF($B1445="","",COUNTA($B$4:$B1445))</f>
        <v/>
      </c>
      <c r="B1445" s="45" t="n"/>
      <c r="C1445" s="46" t="n"/>
      <c r="D1445" s="46" t="n"/>
      <c r="E1445" s="47" t="n"/>
      <c r="F1445" s="47" t="n"/>
      <c r="G1445" s="43">
        <f>IF($B1445="","",N($E1445)+N($F1445))</f>
        <v/>
      </c>
      <c r="H1445" s="47" t="n"/>
      <c r="I1445" s="43">
        <f>IF($B1445="","",N($G1445)-N($H1445))</f>
        <v/>
      </c>
    </row>
    <row r="1446">
      <c r="A1446" s="39">
        <f>IF($B1446="","",COUNTA($B$4:$B1446))</f>
        <v/>
      </c>
      <c r="B1446" s="40" t="n"/>
      <c r="C1446" s="41" t="n"/>
      <c r="D1446" s="41" t="n"/>
      <c r="E1446" s="42" t="n"/>
      <c r="F1446" s="42" t="n"/>
      <c r="G1446" s="43">
        <f>IF($B1446="","",N($E1446)+N($F1446))</f>
        <v/>
      </c>
      <c r="H1446" s="42" t="n"/>
      <c r="I1446" s="43">
        <f>IF($B1446="","",N($G1446)-N($H1446))</f>
        <v/>
      </c>
    </row>
    <row r="1447">
      <c r="A1447" s="39">
        <f>IF($B1447="","",COUNTA($B$4:$B1447))</f>
        <v/>
      </c>
      <c r="B1447" s="45" t="n"/>
      <c r="C1447" s="46" t="n"/>
      <c r="D1447" s="46" t="n"/>
      <c r="E1447" s="47" t="n"/>
      <c r="F1447" s="47" t="n"/>
      <c r="G1447" s="43">
        <f>IF($B1447="","",N($E1447)+N($F1447))</f>
        <v/>
      </c>
      <c r="H1447" s="47" t="n"/>
      <c r="I1447" s="43">
        <f>IF($B1447="","",N($G1447)-N($H1447))</f>
        <v/>
      </c>
    </row>
    <row r="1448">
      <c r="A1448" s="39">
        <f>IF($B1448="","",COUNTA($B$4:$B1448))</f>
        <v/>
      </c>
      <c r="B1448" s="40" t="n"/>
      <c r="C1448" s="41" t="n"/>
      <c r="D1448" s="41" t="n"/>
      <c r="E1448" s="42" t="n"/>
      <c r="F1448" s="42" t="n"/>
      <c r="G1448" s="43">
        <f>IF($B1448="","",N($E1448)+N($F1448))</f>
        <v/>
      </c>
      <c r="H1448" s="42" t="n"/>
      <c r="I1448" s="43">
        <f>IF($B1448="","",N($G1448)-N($H1448))</f>
        <v/>
      </c>
    </row>
    <row r="1449">
      <c r="A1449" s="39">
        <f>IF($B1449="","",COUNTA($B$4:$B1449))</f>
        <v/>
      </c>
      <c r="B1449" s="45" t="n"/>
      <c r="C1449" s="46" t="n"/>
      <c r="D1449" s="46" t="n"/>
      <c r="E1449" s="47" t="n"/>
      <c r="F1449" s="47" t="n"/>
      <c r="G1449" s="43">
        <f>IF($B1449="","",N($E1449)+N($F1449))</f>
        <v/>
      </c>
      <c r="H1449" s="47" t="n"/>
      <c r="I1449" s="43">
        <f>IF($B1449="","",N($G1449)-N($H1449))</f>
        <v/>
      </c>
    </row>
    <row r="1450">
      <c r="A1450" s="39">
        <f>IF($B1450="","",COUNTA($B$4:$B1450))</f>
        <v/>
      </c>
      <c r="B1450" s="40" t="n"/>
      <c r="C1450" s="41" t="n"/>
      <c r="D1450" s="41" t="n"/>
      <c r="E1450" s="42" t="n"/>
      <c r="F1450" s="42" t="n"/>
      <c r="G1450" s="43">
        <f>IF($B1450="","",N($E1450)+N($F1450))</f>
        <v/>
      </c>
      <c r="H1450" s="42" t="n"/>
      <c r="I1450" s="43">
        <f>IF($B1450="","",N($G1450)-N($H1450))</f>
        <v/>
      </c>
    </row>
    <row r="1451">
      <c r="A1451" s="39">
        <f>IF($B1451="","",COUNTA($B$4:$B1451))</f>
        <v/>
      </c>
      <c r="B1451" s="45" t="n"/>
      <c r="C1451" s="46" t="n"/>
      <c r="D1451" s="46" t="n"/>
      <c r="E1451" s="47" t="n"/>
      <c r="F1451" s="47" t="n"/>
      <c r="G1451" s="43">
        <f>IF($B1451="","",N($E1451)+N($F1451))</f>
        <v/>
      </c>
      <c r="H1451" s="47" t="n"/>
      <c r="I1451" s="43">
        <f>IF($B1451="","",N($G1451)-N($H1451))</f>
        <v/>
      </c>
    </row>
    <row r="1452">
      <c r="A1452" s="39">
        <f>IF($B1452="","",COUNTA($B$4:$B1452))</f>
        <v/>
      </c>
      <c r="B1452" s="40" t="n"/>
      <c r="C1452" s="41" t="n"/>
      <c r="D1452" s="41" t="n"/>
      <c r="E1452" s="42" t="n"/>
      <c r="F1452" s="42" t="n"/>
      <c r="G1452" s="43">
        <f>IF($B1452="","",N($E1452)+N($F1452))</f>
        <v/>
      </c>
      <c r="H1452" s="42" t="n"/>
      <c r="I1452" s="43">
        <f>IF($B1452="","",N($G1452)-N($H1452))</f>
        <v/>
      </c>
    </row>
    <row r="1453">
      <c r="A1453" s="39">
        <f>IF($B1453="","",COUNTA($B$4:$B1453))</f>
        <v/>
      </c>
      <c r="B1453" s="45" t="n"/>
      <c r="C1453" s="46" t="n"/>
      <c r="D1453" s="46" t="n"/>
      <c r="E1453" s="47" t="n"/>
      <c r="F1453" s="47" t="n"/>
      <c r="G1453" s="43">
        <f>IF($B1453="","",N($E1453)+N($F1453))</f>
        <v/>
      </c>
      <c r="H1453" s="47" t="n"/>
      <c r="I1453" s="43">
        <f>IF($B1453="","",N($G1453)-N($H1453))</f>
        <v/>
      </c>
    </row>
    <row r="1454">
      <c r="A1454" s="39">
        <f>IF($B1454="","",COUNTA($B$4:$B1454))</f>
        <v/>
      </c>
      <c r="B1454" s="40" t="n"/>
      <c r="C1454" s="41" t="n"/>
      <c r="D1454" s="41" t="n"/>
      <c r="E1454" s="42" t="n"/>
      <c r="F1454" s="42" t="n"/>
      <c r="G1454" s="43">
        <f>IF($B1454="","",N($E1454)+N($F1454))</f>
        <v/>
      </c>
      <c r="H1454" s="42" t="n"/>
      <c r="I1454" s="43">
        <f>IF($B1454="","",N($G1454)-N($H1454))</f>
        <v/>
      </c>
    </row>
    <row r="1455">
      <c r="A1455" s="39">
        <f>IF($B1455="","",COUNTA($B$4:$B1455))</f>
        <v/>
      </c>
      <c r="B1455" s="45" t="n"/>
      <c r="C1455" s="46" t="n"/>
      <c r="D1455" s="46" t="n"/>
      <c r="E1455" s="47" t="n"/>
      <c r="F1455" s="47" t="n"/>
      <c r="G1455" s="43">
        <f>IF($B1455="","",N($E1455)+N($F1455))</f>
        <v/>
      </c>
      <c r="H1455" s="47" t="n"/>
      <c r="I1455" s="43">
        <f>IF($B1455="","",N($G1455)-N($H1455))</f>
        <v/>
      </c>
    </row>
    <row r="1456">
      <c r="A1456" s="39">
        <f>IF($B1456="","",COUNTA($B$4:$B1456))</f>
        <v/>
      </c>
      <c r="B1456" s="40" t="n"/>
      <c r="C1456" s="41" t="n"/>
      <c r="D1456" s="41" t="n"/>
      <c r="E1456" s="42" t="n"/>
      <c r="F1456" s="42" t="n"/>
      <c r="G1456" s="43">
        <f>IF($B1456="","",N($E1456)+N($F1456))</f>
        <v/>
      </c>
      <c r="H1456" s="42" t="n"/>
      <c r="I1456" s="43">
        <f>IF($B1456="","",N($G1456)-N($H1456))</f>
        <v/>
      </c>
    </row>
    <row r="1457">
      <c r="A1457" s="39">
        <f>IF($B1457="","",COUNTA($B$4:$B1457))</f>
        <v/>
      </c>
      <c r="B1457" s="45" t="n"/>
      <c r="C1457" s="46" t="n"/>
      <c r="D1457" s="46" t="n"/>
      <c r="E1457" s="47" t="n"/>
      <c r="F1457" s="47" t="n"/>
      <c r="G1457" s="43">
        <f>IF($B1457="","",N($E1457)+N($F1457))</f>
        <v/>
      </c>
      <c r="H1457" s="47" t="n"/>
      <c r="I1457" s="43">
        <f>IF($B1457="","",N($G1457)-N($H1457))</f>
        <v/>
      </c>
    </row>
    <row r="1458">
      <c r="A1458" s="39">
        <f>IF($B1458="","",COUNTA($B$4:$B1458))</f>
        <v/>
      </c>
      <c r="B1458" s="40" t="n"/>
      <c r="C1458" s="41" t="n"/>
      <c r="D1458" s="41" t="n"/>
      <c r="E1458" s="42" t="n"/>
      <c r="F1458" s="42" t="n"/>
      <c r="G1458" s="43">
        <f>IF($B1458="","",N($E1458)+N($F1458))</f>
        <v/>
      </c>
      <c r="H1458" s="42" t="n"/>
      <c r="I1458" s="43">
        <f>IF($B1458="","",N($G1458)-N($H1458))</f>
        <v/>
      </c>
    </row>
    <row r="1459">
      <c r="A1459" s="39">
        <f>IF($B1459="","",COUNTA($B$4:$B1459))</f>
        <v/>
      </c>
      <c r="B1459" s="45" t="n"/>
      <c r="C1459" s="46" t="n"/>
      <c r="D1459" s="46" t="n"/>
      <c r="E1459" s="47" t="n"/>
      <c r="F1459" s="47" t="n"/>
      <c r="G1459" s="43">
        <f>IF($B1459="","",N($E1459)+N($F1459))</f>
        <v/>
      </c>
      <c r="H1459" s="47" t="n"/>
      <c r="I1459" s="43">
        <f>IF($B1459="","",N($G1459)-N($H1459))</f>
        <v/>
      </c>
    </row>
    <row r="1460">
      <c r="A1460" s="39">
        <f>IF($B1460="","",COUNTA($B$4:$B1460))</f>
        <v/>
      </c>
      <c r="B1460" s="40" t="n"/>
      <c r="C1460" s="41" t="n"/>
      <c r="D1460" s="41" t="n"/>
      <c r="E1460" s="42" t="n"/>
      <c r="F1460" s="42" t="n"/>
      <c r="G1460" s="43">
        <f>IF($B1460="","",N($E1460)+N($F1460))</f>
        <v/>
      </c>
      <c r="H1460" s="42" t="n"/>
      <c r="I1460" s="43">
        <f>IF($B1460="","",N($G1460)-N($H1460))</f>
        <v/>
      </c>
    </row>
    <row r="1461">
      <c r="A1461" s="39">
        <f>IF($B1461="","",COUNTA($B$4:$B1461))</f>
        <v/>
      </c>
      <c r="B1461" s="45" t="n"/>
      <c r="C1461" s="46" t="n"/>
      <c r="D1461" s="46" t="n"/>
      <c r="E1461" s="47" t="n"/>
      <c r="F1461" s="47" t="n"/>
      <c r="G1461" s="43">
        <f>IF($B1461="","",N($E1461)+N($F1461))</f>
        <v/>
      </c>
      <c r="H1461" s="47" t="n"/>
      <c r="I1461" s="43">
        <f>IF($B1461="","",N($G1461)-N($H1461))</f>
        <v/>
      </c>
    </row>
    <row r="1462">
      <c r="A1462" s="39">
        <f>IF($B1462="","",COUNTA($B$4:$B1462))</f>
        <v/>
      </c>
      <c r="B1462" s="40" t="n"/>
      <c r="C1462" s="41" t="n"/>
      <c r="D1462" s="41" t="n"/>
      <c r="E1462" s="42" t="n"/>
      <c r="F1462" s="42" t="n"/>
      <c r="G1462" s="43">
        <f>IF($B1462="","",N($E1462)+N($F1462))</f>
        <v/>
      </c>
      <c r="H1462" s="42" t="n"/>
      <c r="I1462" s="43">
        <f>IF($B1462="","",N($G1462)-N($H1462))</f>
        <v/>
      </c>
    </row>
    <row r="1463">
      <c r="A1463" s="39">
        <f>IF($B1463="","",COUNTA($B$4:$B1463))</f>
        <v/>
      </c>
      <c r="B1463" s="45" t="n"/>
      <c r="C1463" s="46" t="n"/>
      <c r="D1463" s="46" t="n"/>
      <c r="E1463" s="47" t="n"/>
      <c r="F1463" s="47" t="n"/>
      <c r="G1463" s="43">
        <f>IF($B1463="","",N($E1463)+N($F1463))</f>
        <v/>
      </c>
      <c r="H1463" s="47" t="n"/>
      <c r="I1463" s="43">
        <f>IF($B1463="","",N($G1463)-N($H1463))</f>
        <v/>
      </c>
    </row>
    <row r="1464">
      <c r="A1464" s="39">
        <f>IF($B1464="","",COUNTA($B$4:$B1464))</f>
        <v/>
      </c>
      <c r="B1464" s="40" t="n"/>
      <c r="C1464" s="41" t="n"/>
      <c r="D1464" s="41" t="n"/>
      <c r="E1464" s="42" t="n"/>
      <c r="F1464" s="42" t="n"/>
      <c r="G1464" s="43">
        <f>IF($B1464="","",N($E1464)+N($F1464))</f>
        <v/>
      </c>
      <c r="H1464" s="42" t="n"/>
      <c r="I1464" s="43">
        <f>IF($B1464="","",N($G1464)-N($H1464))</f>
        <v/>
      </c>
    </row>
    <row r="1465">
      <c r="A1465" s="39">
        <f>IF($B1465="","",COUNTA($B$4:$B1465))</f>
        <v/>
      </c>
      <c r="B1465" s="45" t="n"/>
      <c r="C1465" s="46" t="n"/>
      <c r="D1465" s="46" t="n"/>
      <c r="E1465" s="47" t="n"/>
      <c r="F1465" s="47" t="n"/>
      <c r="G1465" s="43">
        <f>IF($B1465="","",N($E1465)+N($F1465))</f>
        <v/>
      </c>
      <c r="H1465" s="47" t="n"/>
      <c r="I1465" s="43">
        <f>IF($B1465="","",N($G1465)-N($H1465))</f>
        <v/>
      </c>
    </row>
    <row r="1466">
      <c r="A1466" s="39">
        <f>IF($B1466="","",COUNTA($B$4:$B1466))</f>
        <v/>
      </c>
      <c r="B1466" s="40" t="n"/>
      <c r="C1466" s="41" t="n"/>
      <c r="D1466" s="41" t="n"/>
      <c r="E1466" s="42" t="n"/>
      <c r="F1466" s="42" t="n"/>
      <c r="G1466" s="43">
        <f>IF($B1466="","",N($E1466)+N($F1466))</f>
        <v/>
      </c>
      <c r="H1466" s="42" t="n"/>
      <c r="I1466" s="43">
        <f>IF($B1466="","",N($G1466)-N($H1466))</f>
        <v/>
      </c>
    </row>
    <row r="1467">
      <c r="A1467" s="39">
        <f>IF($B1467="","",COUNTA($B$4:$B1467))</f>
        <v/>
      </c>
      <c r="B1467" s="45" t="n"/>
      <c r="C1467" s="46" t="n"/>
      <c r="D1467" s="46" t="n"/>
      <c r="E1467" s="47" t="n"/>
      <c r="F1467" s="47" t="n"/>
      <c r="G1467" s="43">
        <f>IF($B1467="","",N($E1467)+N($F1467))</f>
        <v/>
      </c>
      <c r="H1467" s="47" t="n"/>
      <c r="I1467" s="43">
        <f>IF($B1467="","",N($G1467)-N($H1467))</f>
        <v/>
      </c>
    </row>
    <row r="1468">
      <c r="A1468" s="39">
        <f>IF($B1468="","",COUNTA($B$4:$B1468))</f>
        <v/>
      </c>
      <c r="B1468" s="40" t="n"/>
      <c r="C1468" s="41" t="n"/>
      <c r="D1468" s="41" t="n"/>
      <c r="E1468" s="42" t="n"/>
      <c r="F1468" s="42" t="n"/>
      <c r="G1468" s="43">
        <f>IF($B1468="","",N($E1468)+N($F1468))</f>
        <v/>
      </c>
      <c r="H1468" s="42" t="n"/>
      <c r="I1468" s="43">
        <f>IF($B1468="","",N($G1468)-N($H1468))</f>
        <v/>
      </c>
    </row>
    <row r="1469">
      <c r="A1469" s="39">
        <f>IF($B1469="","",COUNTA($B$4:$B1469))</f>
        <v/>
      </c>
      <c r="B1469" s="45" t="n"/>
      <c r="C1469" s="46" t="n"/>
      <c r="D1469" s="46" t="n"/>
      <c r="E1469" s="47" t="n"/>
      <c r="F1469" s="47" t="n"/>
      <c r="G1469" s="43">
        <f>IF($B1469="","",N($E1469)+N($F1469))</f>
        <v/>
      </c>
      <c r="H1469" s="47" t="n"/>
      <c r="I1469" s="43">
        <f>IF($B1469="","",N($G1469)-N($H1469))</f>
        <v/>
      </c>
    </row>
    <row r="1470">
      <c r="A1470" s="39">
        <f>IF($B1470="","",COUNTA($B$4:$B1470))</f>
        <v/>
      </c>
      <c r="B1470" s="40" t="n"/>
      <c r="C1470" s="41" t="n"/>
      <c r="D1470" s="41" t="n"/>
      <c r="E1470" s="42" t="n"/>
      <c r="F1470" s="42" t="n"/>
      <c r="G1470" s="43">
        <f>IF($B1470="","",N($E1470)+N($F1470))</f>
        <v/>
      </c>
      <c r="H1470" s="42" t="n"/>
      <c r="I1470" s="43">
        <f>IF($B1470="","",N($G1470)-N($H1470))</f>
        <v/>
      </c>
    </row>
    <row r="1471">
      <c r="A1471" s="39">
        <f>IF($B1471="","",COUNTA($B$4:$B1471))</f>
        <v/>
      </c>
      <c r="B1471" s="45" t="n"/>
      <c r="C1471" s="46" t="n"/>
      <c r="D1471" s="46" t="n"/>
      <c r="E1471" s="47" t="n"/>
      <c r="F1471" s="47" t="n"/>
      <c r="G1471" s="43">
        <f>IF($B1471="","",N($E1471)+N($F1471))</f>
        <v/>
      </c>
      <c r="H1471" s="47" t="n"/>
      <c r="I1471" s="43">
        <f>IF($B1471="","",N($G1471)-N($H1471))</f>
        <v/>
      </c>
    </row>
    <row r="1472">
      <c r="A1472" s="39">
        <f>IF($B1472="","",COUNTA($B$4:$B1472))</f>
        <v/>
      </c>
      <c r="B1472" s="40" t="n"/>
      <c r="C1472" s="41" t="n"/>
      <c r="D1472" s="41" t="n"/>
      <c r="E1472" s="42" t="n"/>
      <c r="F1472" s="42" t="n"/>
      <c r="G1472" s="43">
        <f>IF($B1472="","",N($E1472)+N($F1472))</f>
        <v/>
      </c>
      <c r="H1472" s="42" t="n"/>
      <c r="I1472" s="43">
        <f>IF($B1472="","",N($G1472)-N($H1472))</f>
        <v/>
      </c>
    </row>
    <row r="1473">
      <c r="A1473" s="39">
        <f>IF($B1473="","",COUNTA($B$4:$B1473))</f>
        <v/>
      </c>
      <c r="B1473" s="45" t="n"/>
      <c r="C1473" s="46" t="n"/>
      <c r="D1473" s="46" t="n"/>
      <c r="E1473" s="47" t="n"/>
      <c r="F1473" s="47" t="n"/>
      <c r="G1473" s="43">
        <f>IF($B1473="","",N($E1473)+N($F1473))</f>
        <v/>
      </c>
      <c r="H1473" s="47" t="n"/>
      <c r="I1473" s="43">
        <f>IF($B1473="","",N($G1473)-N($H1473))</f>
        <v/>
      </c>
    </row>
    <row r="1474">
      <c r="A1474" s="39">
        <f>IF($B1474="","",COUNTA($B$4:$B1474))</f>
        <v/>
      </c>
      <c r="B1474" s="40" t="n"/>
      <c r="C1474" s="41" t="n"/>
      <c r="D1474" s="41" t="n"/>
      <c r="E1474" s="42" t="n"/>
      <c r="F1474" s="42" t="n"/>
      <c r="G1474" s="43">
        <f>IF($B1474="","",N($E1474)+N($F1474))</f>
        <v/>
      </c>
      <c r="H1474" s="42" t="n"/>
      <c r="I1474" s="43">
        <f>IF($B1474="","",N($G1474)-N($H1474))</f>
        <v/>
      </c>
    </row>
    <row r="1475">
      <c r="A1475" s="39">
        <f>IF($B1475="","",COUNTA($B$4:$B1475))</f>
        <v/>
      </c>
      <c r="B1475" s="45" t="n"/>
      <c r="C1475" s="46" t="n"/>
      <c r="D1475" s="46" t="n"/>
      <c r="E1475" s="47" t="n"/>
      <c r="F1475" s="47" t="n"/>
      <c r="G1475" s="43">
        <f>IF($B1475="","",N($E1475)+N($F1475))</f>
        <v/>
      </c>
      <c r="H1475" s="47" t="n"/>
      <c r="I1475" s="43">
        <f>IF($B1475="","",N($G1475)-N($H1475))</f>
        <v/>
      </c>
    </row>
    <row r="1476">
      <c r="A1476" s="39">
        <f>IF($B1476="","",COUNTA($B$4:$B1476))</f>
        <v/>
      </c>
      <c r="B1476" s="40" t="n"/>
      <c r="C1476" s="41" t="n"/>
      <c r="D1476" s="41" t="n"/>
      <c r="E1476" s="42" t="n"/>
      <c r="F1476" s="42" t="n"/>
      <c r="G1476" s="43">
        <f>IF($B1476="","",N($E1476)+N($F1476))</f>
        <v/>
      </c>
      <c r="H1476" s="42" t="n"/>
      <c r="I1476" s="43">
        <f>IF($B1476="","",N($G1476)-N($H1476))</f>
        <v/>
      </c>
    </row>
    <row r="1477">
      <c r="A1477" s="39">
        <f>IF($B1477="","",COUNTA($B$4:$B1477))</f>
        <v/>
      </c>
      <c r="B1477" s="45" t="n"/>
      <c r="C1477" s="46" t="n"/>
      <c r="D1477" s="46" t="n"/>
      <c r="E1477" s="47" t="n"/>
      <c r="F1477" s="47" t="n"/>
      <c r="G1477" s="43">
        <f>IF($B1477="","",N($E1477)+N($F1477))</f>
        <v/>
      </c>
      <c r="H1477" s="47" t="n"/>
      <c r="I1477" s="43">
        <f>IF($B1477="","",N($G1477)-N($H1477))</f>
        <v/>
      </c>
    </row>
    <row r="1478">
      <c r="A1478" s="39">
        <f>IF($B1478="","",COUNTA($B$4:$B1478))</f>
        <v/>
      </c>
      <c r="B1478" s="40" t="n"/>
      <c r="C1478" s="41" t="n"/>
      <c r="D1478" s="41" t="n"/>
      <c r="E1478" s="42" t="n"/>
      <c r="F1478" s="42" t="n"/>
      <c r="G1478" s="43">
        <f>IF($B1478="","",N($E1478)+N($F1478))</f>
        <v/>
      </c>
      <c r="H1478" s="42" t="n"/>
      <c r="I1478" s="43">
        <f>IF($B1478="","",N($G1478)-N($H1478))</f>
        <v/>
      </c>
    </row>
    <row r="1479">
      <c r="A1479" s="39">
        <f>IF($B1479="","",COUNTA($B$4:$B1479))</f>
        <v/>
      </c>
      <c r="B1479" s="45" t="n"/>
      <c r="C1479" s="46" t="n"/>
      <c r="D1479" s="46" t="n"/>
      <c r="E1479" s="47" t="n"/>
      <c r="F1479" s="47" t="n"/>
      <c r="G1479" s="43">
        <f>IF($B1479="","",N($E1479)+N($F1479))</f>
        <v/>
      </c>
      <c r="H1479" s="47" t="n"/>
      <c r="I1479" s="43">
        <f>IF($B1479="","",N($G1479)-N($H1479))</f>
        <v/>
      </c>
    </row>
    <row r="1480">
      <c r="A1480" s="39">
        <f>IF($B1480="","",COUNTA($B$4:$B1480))</f>
        <v/>
      </c>
      <c r="B1480" s="40" t="n"/>
      <c r="C1480" s="41" t="n"/>
      <c r="D1480" s="41" t="n"/>
      <c r="E1480" s="42" t="n"/>
      <c r="F1480" s="42" t="n"/>
      <c r="G1480" s="43">
        <f>IF($B1480="","",N($E1480)+N($F1480))</f>
        <v/>
      </c>
      <c r="H1480" s="42" t="n"/>
      <c r="I1480" s="43">
        <f>IF($B1480="","",N($G1480)-N($H1480))</f>
        <v/>
      </c>
    </row>
    <row r="1481">
      <c r="A1481" s="39">
        <f>IF($B1481="","",COUNTA($B$4:$B1481))</f>
        <v/>
      </c>
      <c r="B1481" s="45" t="n"/>
      <c r="C1481" s="46" t="n"/>
      <c r="D1481" s="46" t="n"/>
      <c r="E1481" s="47" t="n"/>
      <c r="F1481" s="47" t="n"/>
      <c r="G1481" s="43">
        <f>IF($B1481="","",N($E1481)+N($F1481))</f>
        <v/>
      </c>
      <c r="H1481" s="47" t="n"/>
      <c r="I1481" s="43">
        <f>IF($B1481="","",N($G1481)-N($H1481))</f>
        <v/>
      </c>
    </row>
    <row r="1482">
      <c r="A1482" s="39">
        <f>IF($B1482="","",COUNTA($B$4:$B1482))</f>
        <v/>
      </c>
      <c r="B1482" s="40" t="n"/>
      <c r="C1482" s="41" t="n"/>
      <c r="D1482" s="41" t="n"/>
      <c r="E1482" s="42" t="n"/>
      <c r="F1482" s="42" t="n"/>
      <c r="G1482" s="43">
        <f>IF($B1482="","",N($E1482)+N($F1482))</f>
        <v/>
      </c>
      <c r="H1482" s="42" t="n"/>
      <c r="I1482" s="43">
        <f>IF($B1482="","",N($G1482)-N($H1482))</f>
        <v/>
      </c>
    </row>
    <row r="1483">
      <c r="A1483" s="39">
        <f>IF($B1483="","",COUNTA($B$4:$B1483))</f>
        <v/>
      </c>
      <c r="B1483" s="45" t="n"/>
      <c r="C1483" s="46" t="n"/>
      <c r="D1483" s="46" t="n"/>
      <c r="E1483" s="47" t="n"/>
      <c r="F1483" s="47" t="n"/>
      <c r="G1483" s="43">
        <f>IF($B1483="","",N($E1483)+N($F1483))</f>
        <v/>
      </c>
      <c r="H1483" s="47" t="n"/>
      <c r="I1483" s="43">
        <f>IF($B1483="","",N($G1483)-N($H1483))</f>
        <v/>
      </c>
    </row>
    <row r="1484">
      <c r="A1484" s="39">
        <f>IF($B1484="","",COUNTA($B$4:$B1484))</f>
        <v/>
      </c>
      <c r="B1484" s="40" t="n"/>
      <c r="C1484" s="41" t="n"/>
      <c r="D1484" s="41" t="n"/>
      <c r="E1484" s="42" t="n"/>
      <c r="F1484" s="42" t="n"/>
      <c r="G1484" s="43">
        <f>IF($B1484="","",N($E1484)+N($F1484))</f>
        <v/>
      </c>
      <c r="H1484" s="42" t="n"/>
      <c r="I1484" s="43">
        <f>IF($B1484="","",N($G1484)-N($H1484))</f>
        <v/>
      </c>
    </row>
    <row r="1485">
      <c r="A1485" s="39">
        <f>IF($B1485="","",COUNTA($B$4:$B1485))</f>
        <v/>
      </c>
      <c r="B1485" s="45" t="n"/>
      <c r="C1485" s="46" t="n"/>
      <c r="D1485" s="46" t="n"/>
      <c r="E1485" s="47" t="n"/>
      <c r="F1485" s="47" t="n"/>
      <c r="G1485" s="43">
        <f>IF($B1485="","",N($E1485)+N($F1485))</f>
        <v/>
      </c>
      <c r="H1485" s="47" t="n"/>
      <c r="I1485" s="43">
        <f>IF($B1485="","",N($G1485)-N($H1485))</f>
        <v/>
      </c>
    </row>
    <row r="1486">
      <c r="A1486" s="39">
        <f>IF($B1486="","",COUNTA($B$4:$B1486))</f>
        <v/>
      </c>
      <c r="B1486" s="40" t="n"/>
      <c r="C1486" s="41" t="n"/>
      <c r="D1486" s="41" t="n"/>
      <c r="E1486" s="42" t="n"/>
      <c r="F1486" s="42" t="n"/>
      <c r="G1486" s="43">
        <f>IF($B1486="","",N($E1486)+N($F1486))</f>
        <v/>
      </c>
      <c r="H1486" s="42" t="n"/>
      <c r="I1486" s="43">
        <f>IF($B1486="","",N($G1486)-N($H1486))</f>
        <v/>
      </c>
    </row>
    <row r="1487">
      <c r="A1487" s="39">
        <f>IF($B1487="","",COUNTA($B$4:$B1487))</f>
        <v/>
      </c>
      <c r="B1487" s="45" t="n"/>
      <c r="C1487" s="46" t="n"/>
      <c r="D1487" s="46" t="n"/>
      <c r="E1487" s="47" t="n"/>
      <c r="F1487" s="47" t="n"/>
      <c r="G1487" s="43">
        <f>IF($B1487="","",N($E1487)+N($F1487))</f>
        <v/>
      </c>
      <c r="H1487" s="47" t="n"/>
      <c r="I1487" s="43">
        <f>IF($B1487="","",N($G1487)-N($H1487))</f>
        <v/>
      </c>
    </row>
    <row r="1488">
      <c r="A1488" s="39">
        <f>IF($B1488="","",COUNTA($B$4:$B1488))</f>
        <v/>
      </c>
      <c r="B1488" s="40" t="n"/>
      <c r="C1488" s="41" t="n"/>
      <c r="D1488" s="41" t="n"/>
      <c r="E1488" s="42" t="n"/>
      <c r="F1488" s="42" t="n"/>
      <c r="G1488" s="43">
        <f>IF($B1488="","",N($E1488)+N($F1488))</f>
        <v/>
      </c>
      <c r="H1488" s="42" t="n"/>
      <c r="I1488" s="43">
        <f>IF($B1488="","",N($G1488)-N($H1488))</f>
        <v/>
      </c>
    </row>
    <row r="1489">
      <c r="A1489" s="39">
        <f>IF($B1489="","",COUNTA($B$4:$B1489))</f>
        <v/>
      </c>
      <c r="B1489" s="45" t="n"/>
      <c r="C1489" s="46" t="n"/>
      <c r="D1489" s="46" t="n"/>
      <c r="E1489" s="47" t="n"/>
      <c r="F1489" s="47" t="n"/>
      <c r="G1489" s="43">
        <f>IF($B1489="","",N($E1489)+N($F1489))</f>
        <v/>
      </c>
      <c r="H1489" s="47" t="n"/>
      <c r="I1489" s="43">
        <f>IF($B1489="","",N($G1489)-N($H1489))</f>
        <v/>
      </c>
    </row>
    <row r="1490">
      <c r="A1490" s="39">
        <f>IF($B1490="","",COUNTA($B$4:$B1490))</f>
        <v/>
      </c>
      <c r="B1490" s="40" t="n"/>
      <c r="C1490" s="41" t="n"/>
      <c r="D1490" s="41" t="n"/>
      <c r="E1490" s="42" t="n"/>
      <c r="F1490" s="42" t="n"/>
      <c r="G1490" s="43">
        <f>IF($B1490="","",N($E1490)+N($F1490))</f>
        <v/>
      </c>
      <c r="H1490" s="42" t="n"/>
      <c r="I1490" s="43">
        <f>IF($B1490="","",N($G1490)-N($H1490))</f>
        <v/>
      </c>
    </row>
    <row r="1491">
      <c r="A1491" s="39">
        <f>IF($B1491="","",COUNTA($B$4:$B1491))</f>
        <v/>
      </c>
      <c r="B1491" s="45" t="n"/>
      <c r="C1491" s="46" t="n"/>
      <c r="D1491" s="46" t="n"/>
      <c r="E1491" s="47" t="n"/>
      <c r="F1491" s="47" t="n"/>
      <c r="G1491" s="43">
        <f>IF($B1491="","",N($E1491)+N($F1491))</f>
        <v/>
      </c>
      <c r="H1491" s="47" t="n"/>
      <c r="I1491" s="43">
        <f>IF($B1491="","",N($G1491)-N($H1491))</f>
        <v/>
      </c>
    </row>
    <row r="1492">
      <c r="A1492" s="39">
        <f>IF($B1492="","",COUNTA($B$4:$B1492))</f>
        <v/>
      </c>
      <c r="B1492" s="40" t="n"/>
      <c r="C1492" s="41" t="n"/>
      <c r="D1492" s="41" t="n"/>
      <c r="E1492" s="42" t="n"/>
      <c r="F1492" s="42" t="n"/>
      <c r="G1492" s="43">
        <f>IF($B1492="","",N($E1492)+N($F1492))</f>
        <v/>
      </c>
      <c r="H1492" s="42" t="n"/>
      <c r="I1492" s="43">
        <f>IF($B1492="","",N($G1492)-N($H1492))</f>
        <v/>
      </c>
    </row>
    <row r="1493">
      <c r="A1493" s="39">
        <f>IF($B1493="","",COUNTA($B$4:$B1493))</f>
        <v/>
      </c>
      <c r="B1493" s="45" t="n"/>
      <c r="C1493" s="46" t="n"/>
      <c r="D1493" s="46" t="n"/>
      <c r="E1493" s="47" t="n"/>
      <c r="F1493" s="47" t="n"/>
      <c r="G1493" s="43">
        <f>IF($B1493="","",N($E1493)+N($F1493))</f>
        <v/>
      </c>
      <c r="H1493" s="47" t="n"/>
      <c r="I1493" s="43">
        <f>IF($B1493="","",N($G1493)-N($H1493))</f>
        <v/>
      </c>
    </row>
    <row r="1494">
      <c r="A1494" s="39">
        <f>IF($B1494="","",COUNTA($B$4:$B1494))</f>
        <v/>
      </c>
      <c r="B1494" s="40" t="n"/>
      <c r="C1494" s="41" t="n"/>
      <c r="D1494" s="41" t="n"/>
      <c r="E1494" s="42" t="n"/>
      <c r="F1494" s="42" t="n"/>
      <c r="G1494" s="43">
        <f>IF($B1494="","",N($E1494)+N($F1494))</f>
        <v/>
      </c>
      <c r="H1494" s="42" t="n"/>
      <c r="I1494" s="43">
        <f>IF($B1494="","",N($G1494)-N($H1494))</f>
        <v/>
      </c>
    </row>
    <row r="1495">
      <c r="A1495" s="39">
        <f>IF($B1495="","",COUNTA($B$4:$B1495))</f>
        <v/>
      </c>
      <c r="B1495" s="45" t="n"/>
      <c r="C1495" s="46" t="n"/>
      <c r="D1495" s="46" t="n"/>
      <c r="E1495" s="47" t="n"/>
      <c r="F1495" s="47" t="n"/>
      <c r="G1495" s="43">
        <f>IF($B1495="","",N($E1495)+N($F1495))</f>
        <v/>
      </c>
      <c r="H1495" s="47" t="n"/>
      <c r="I1495" s="43">
        <f>IF($B1495="","",N($G1495)-N($H1495))</f>
        <v/>
      </c>
    </row>
    <row r="1496">
      <c r="A1496" s="39">
        <f>IF($B1496="","",COUNTA($B$4:$B1496))</f>
        <v/>
      </c>
      <c r="B1496" s="40" t="n"/>
      <c r="C1496" s="41" t="n"/>
      <c r="D1496" s="41" t="n"/>
      <c r="E1496" s="42" t="n"/>
      <c r="F1496" s="42" t="n"/>
      <c r="G1496" s="43">
        <f>IF($B1496="","",N($E1496)+N($F1496))</f>
        <v/>
      </c>
      <c r="H1496" s="42" t="n"/>
      <c r="I1496" s="43">
        <f>IF($B1496="","",N($G1496)-N($H1496))</f>
        <v/>
      </c>
    </row>
    <row r="1497">
      <c r="A1497" s="39">
        <f>IF($B1497="","",COUNTA($B$4:$B1497))</f>
        <v/>
      </c>
      <c r="B1497" s="45" t="n"/>
      <c r="C1497" s="46" t="n"/>
      <c r="D1497" s="46" t="n"/>
      <c r="E1497" s="47" t="n"/>
      <c r="F1497" s="47" t="n"/>
      <c r="G1497" s="43">
        <f>IF($B1497="","",N($E1497)+N($F1497))</f>
        <v/>
      </c>
      <c r="H1497" s="47" t="n"/>
      <c r="I1497" s="43">
        <f>IF($B1497="","",N($G1497)-N($H1497))</f>
        <v/>
      </c>
    </row>
    <row r="1498">
      <c r="A1498" s="39">
        <f>IF($B1498="","",COUNTA($B$4:$B1498))</f>
        <v/>
      </c>
      <c r="B1498" s="40" t="n"/>
      <c r="C1498" s="41" t="n"/>
      <c r="D1498" s="41" t="n"/>
      <c r="E1498" s="42" t="n"/>
      <c r="F1498" s="42" t="n"/>
      <c r="G1498" s="43">
        <f>IF($B1498="","",N($E1498)+N($F1498))</f>
        <v/>
      </c>
      <c r="H1498" s="42" t="n"/>
      <c r="I1498" s="43">
        <f>IF($B1498="","",N($G1498)-N($H1498))</f>
        <v/>
      </c>
    </row>
    <row r="1499">
      <c r="A1499" s="39">
        <f>IF($B1499="","",COUNTA($B$4:$B1499))</f>
        <v/>
      </c>
      <c r="B1499" s="45" t="n"/>
      <c r="C1499" s="46" t="n"/>
      <c r="D1499" s="46" t="n"/>
      <c r="E1499" s="47" t="n"/>
      <c r="F1499" s="47" t="n"/>
      <c r="G1499" s="43">
        <f>IF($B1499="","",N($E1499)+N($F1499))</f>
        <v/>
      </c>
      <c r="H1499" s="47" t="n"/>
      <c r="I1499" s="43">
        <f>IF($B1499="","",N($G1499)-N($H1499))</f>
        <v/>
      </c>
    </row>
    <row r="1500">
      <c r="A1500" s="39">
        <f>IF($B1500="","",COUNTA($B$4:$B1500))</f>
        <v/>
      </c>
      <c r="B1500" s="40" t="n"/>
      <c r="C1500" s="41" t="n"/>
      <c r="D1500" s="41" t="n"/>
      <c r="E1500" s="42" t="n"/>
      <c r="F1500" s="42" t="n"/>
      <c r="G1500" s="43">
        <f>IF($B1500="","",N($E1500)+N($F1500))</f>
        <v/>
      </c>
      <c r="H1500" s="42" t="n"/>
      <c r="I1500" s="43">
        <f>IF($B1500="","",N($G1500)-N($H1500))</f>
        <v/>
      </c>
    </row>
    <row r="1501">
      <c r="A1501" s="39">
        <f>IF($B1501="","",COUNTA($B$4:$B1501))</f>
        <v/>
      </c>
      <c r="B1501" s="45" t="n"/>
      <c r="C1501" s="46" t="n"/>
      <c r="D1501" s="46" t="n"/>
      <c r="E1501" s="47" t="n"/>
      <c r="F1501" s="47" t="n"/>
      <c r="G1501" s="43">
        <f>IF($B1501="","",N($E1501)+N($F1501))</f>
        <v/>
      </c>
      <c r="H1501" s="47" t="n"/>
      <c r="I1501" s="43">
        <f>IF($B1501="","",N($G1501)-N($H1501))</f>
        <v/>
      </c>
    </row>
    <row r="1502">
      <c r="A1502" s="39">
        <f>IF($B1502="","",COUNTA($B$4:$B1502))</f>
        <v/>
      </c>
      <c r="B1502" s="40" t="n"/>
      <c r="C1502" s="41" t="n"/>
      <c r="D1502" s="41" t="n"/>
      <c r="E1502" s="42" t="n"/>
      <c r="F1502" s="42" t="n"/>
      <c r="G1502" s="43">
        <f>IF($B1502="","",N($E1502)+N($F1502))</f>
        <v/>
      </c>
      <c r="H1502" s="42" t="n"/>
      <c r="I1502" s="43">
        <f>IF($B1502="","",N($G1502)-N($H1502))</f>
        <v/>
      </c>
    </row>
    <row r="1503">
      <c r="A1503" s="39">
        <f>IF($B1503="","",COUNTA($B$4:$B1503))</f>
        <v/>
      </c>
      <c r="B1503" s="45" t="n"/>
      <c r="C1503" s="46" t="n"/>
      <c r="D1503" s="46" t="n"/>
      <c r="E1503" s="47" t="n"/>
      <c r="F1503" s="47" t="n"/>
      <c r="G1503" s="43">
        <f>IF($B1503="","",N($E1503)+N($F1503))</f>
        <v/>
      </c>
      <c r="H1503" s="47" t="n"/>
      <c r="I1503" s="43">
        <f>IF($B1503="","",N($G1503)-N($H1503))</f>
        <v/>
      </c>
    </row>
    <row r="1504">
      <c r="A1504" s="39">
        <f>IF($B1504="","",COUNTA($B$4:$B1504))</f>
        <v/>
      </c>
      <c r="B1504" s="40" t="n"/>
      <c r="C1504" s="41" t="n"/>
      <c r="D1504" s="41" t="n"/>
      <c r="E1504" s="42" t="n"/>
      <c r="F1504" s="42" t="n"/>
      <c r="G1504" s="43">
        <f>IF($B1504="","",N($E1504)+N($F1504))</f>
        <v/>
      </c>
      <c r="H1504" s="42" t="n"/>
      <c r="I1504" s="43">
        <f>IF($B1504="","",N($G1504)-N($H1504))</f>
        <v/>
      </c>
    </row>
    <row r="1505">
      <c r="A1505" s="39">
        <f>IF($B1505="","",COUNTA($B$4:$B1505))</f>
        <v/>
      </c>
      <c r="B1505" s="45" t="n"/>
      <c r="C1505" s="46" t="n"/>
      <c r="D1505" s="46" t="n"/>
      <c r="E1505" s="47" t="n"/>
      <c r="F1505" s="47" t="n"/>
      <c r="G1505" s="43">
        <f>IF($B1505="","",N($E1505)+N($F1505))</f>
        <v/>
      </c>
      <c r="H1505" s="47" t="n"/>
      <c r="I1505" s="43">
        <f>IF($B1505="","",N($G1505)-N($H1505))</f>
        <v/>
      </c>
    </row>
    <row r="1506">
      <c r="A1506" s="39">
        <f>IF($B1506="","",COUNTA($B$4:$B1506))</f>
        <v/>
      </c>
      <c r="B1506" s="40" t="n"/>
      <c r="C1506" s="41" t="n"/>
      <c r="D1506" s="41" t="n"/>
      <c r="E1506" s="42" t="n"/>
      <c r="F1506" s="42" t="n"/>
      <c r="G1506" s="43">
        <f>IF($B1506="","",N($E1506)+N($F1506))</f>
        <v/>
      </c>
      <c r="H1506" s="42" t="n"/>
      <c r="I1506" s="43">
        <f>IF($B1506="","",N($G1506)-N($H1506))</f>
        <v/>
      </c>
    </row>
    <row r="1507">
      <c r="A1507" s="39">
        <f>IF($B1507="","",COUNTA($B$4:$B1507))</f>
        <v/>
      </c>
      <c r="B1507" s="45" t="n"/>
      <c r="C1507" s="46" t="n"/>
      <c r="D1507" s="46" t="n"/>
      <c r="E1507" s="47" t="n"/>
      <c r="F1507" s="47" t="n"/>
      <c r="G1507" s="43">
        <f>IF($B1507="","",N($E1507)+N($F1507))</f>
        <v/>
      </c>
      <c r="H1507" s="47" t="n"/>
      <c r="I1507" s="43">
        <f>IF($B1507="","",N($G1507)-N($H1507))</f>
        <v/>
      </c>
    </row>
    <row r="1508">
      <c r="A1508" s="39">
        <f>IF($B1508="","",COUNTA($B$4:$B1508))</f>
        <v/>
      </c>
      <c r="B1508" s="40" t="n"/>
      <c r="C1508" s="41" t="n"/>
      <c r="D1508" s="41" t="n"/>
      <c r="E1508" s="42" t="n"/>
      <c r="F1508" s="42" t="n"/>
      <c r="G1508" s="43">
        <f>IF($B1508="","",N($E1508)+N($F1508))</f>
        <v/>
      </c>
      <c r="H1508" s="42" t="n"/>
      <c r="I1508" s="43">
        <f>IF($B1508="","",N($G1508)-N($H1508))</f>
        <v/>
      </c>
    </row>
    <row r="1509">
      <c r="A1509" s="39">
        <f>IF($B1509="","",COUNTA($B$4:$B1509))</f>
        <v/>
      </c>
      <c r="B1509" s="45" t="n"/>
      <c r="C1509" s="46" t="n"/>
      <c r="D1509" s="46" t="n"/>
      <c r="E1509" s="47" t="n"/>
      <c r="F1509" s="47" t="n"/>
      <c r="G1509" s="43">
        <f>IF($B1509="","",N($E1509)+N($F1509))</f>
        <v/>
      </c>
      <c r="H1509" s="47" t="n"/>
      <c r="I1509" s="43">
        <f>IF($B1509="","",N($G1509)-N($H1509))</f>
        <v/>
      </c>
    </row>
    <row r="1510">
      <c r="A1510" s="39">
        <f>IF($B1510="","",COUNTA($B$4:$B1510))</f>
        <v/>
      </c>
      <c r="B1510" s="40" t="n"/>
      <c r="C1510" s="41" t="n"/>
      <c r="D1510" s="41" t="n"/>
      <c r="E1510" s="42" t="n"/>
      <c r="F1510" s="42" t="n"/>
      <c r="G1510" s="43">
        <f>IF($B1510="","",N($E1510)+N($F1510))</f>
        <v/>
      </c>
      <c r="H1510" s="42" t="n"/>
      <c r="I1510" s="43">
        <f>IF($B1510="","",N($G1510)-N($H1510))</f>
        <v/>
      </c>
    </row>
    <row r="1511">
      <c r="A1511" s="39">
        <f>IF($B1511="","",COUNTA($B$4:$B1511))</f>
        <v/>
      </c>
      <c r="B1511" s="45" t="n"/>
      <c r="C1511" s="46" t="n"/>
      <c r="D1511" s="46" t="n"/>
      <c r="E1511" s="47" t="n"/>
      <c r="F1511" s="47" t="n"/>
      <c r="G1511" s="43">
        <f>IF($B1511="","",N($E1511)+N($F1511))</f>
        <v/>
      </c>
      <c r="H1511" s="47" t="n"/>
      <c r="I1511" s="43">
        <f>IF($B1511="","",N($G1511)-N($H1511))</f>
        <v/>
      </c>
    </row>
    <row r="1512">
      <c r="A1512" s="39">
        <f>IF($B1512="","",COUNTA($B$4:$B1512))</f>
        <v/>
      </c>
      <c r="B1512" s="40" t="n"/>
      <c r="C1512" s="41" t="n"/>
      <c r="D1512" s="41" t="n"/>
      <c r="E1512" s="42" t="n"/>
      <c r="F1512" s="42" t="n"/>
      <c r="G1512" s="43">
        <f>IF($B1512="","",N($E1512)+N($F1512))</f>
        <v/>
      </c>
      <c r="H1512" s="42" t="n"/>
      <c r="I1512" s="43">
        <f>IF($B1512="","",N($G1512)-N($H1512))</f>
        <v/>
      </c>
    </row>
    <row r="1513">
      <c r="A1513" s="39">
        <f>IF($B1513="","",COUNTA($B$4:$B1513))</f>
        <v/>
      </c>
      <c r="B1513" s="45" t="n"/>
      <c r="C1513" s="46" t="n"/>
      <c r="D1513" s="46" t="n"/>
      <c r="E1513" s="47" t="n"/>
      <c r="F1513" s="47" t="n"/>
      <c r="G1513" s="43">
        <f>IF($B1513="","",N($E1513)+N($F1513))</f>
        <v/>
      </c>
      <c r="H1513" s="47" t="n"/>
      <c r="I1513" s="43">
        <f>IF($B1513="","",N($G1513)-N($H1513))</f>
        <v/>
      </c>
    </row>
    <row r="1514">
      <c r="A1514" s="39">
        <f>IF($B1514="","",COUNTA($B$4:$B1514))</f>
        <v/>
      </c>
      <c r="B1514" s="40" t="n"/>
      <c r="C1514" s="41" t="n"/>
      <c r="D1514" s="41" t="n"/>
      <c r="E1514" s="42" t="n"/>
      <c r="F1514" s="42" t="n"/>
      <c r="G1514" s="43">
        <f>IF($B1514="","",N($E1514)+N($F1514))</f>
        <v/>
      </c>
      <c r="H1514" s="42" t="n"/>
      <c r="I1514" s="43">
        <f>IF($B1514="","",N($G1514)-N($H1514))</f>
        <v/>
      </c>
    </row>
    <row r="1515">
      <c r="A1515" s="39">
        <f>IF($B1515="","",COUNTA($B$4:$B1515))</f>
        <v/>
      </c>
      <c r="B1515" s="45" t="n"/>
      <c r="C1515" s="46" t="n"/>
      <c r="D1515" s="46" t="n"/>
      <c r="E1515" s="47" t="n"/>
      <c r="F1515" s="47" t="n"/>
      <c r="G1515" s="43">
        <f>IF($B1515="","",N($E1515)+N($F1515))</f>
        <v/>
      </c>
      <c r="H1515" s="47" t="n"/>
      <c r="I1515" s="43">
        <f>IF($B1515="","",N($G1515)-N($H1515))</f>
        <v/>
      </c>
    </row>
    <row r="1516">
      <c r="A1516" s="39">
        <f>IF($B1516="","",COUNTA($B$4:$B1516))</f>
        <v/>
      </c>
      <c r="B1516" s="40" t="n"/>
      <c r="C1516" s="41" t="n"/>
      <c r="D1516" s="41" t="n"/>
      <c r="E1516" s="42" t="n"/>
      <c r="F1516" s="42" t="n"/>
      <c r="G1516" s="43">
        <f>IF($B1516="","",N($E1516)+N($F1516))</f>
        <v/>
      </c>
      <c r="H1516" s="42" t="n"/>
      <c r="I1516" s="43">
        <f>IF($B1516="","",N($G1516)-N($H1516))</f>
        <v/>
      </c>
    </row>
    <row r="1517">
      <c r="A1517" s="39">
        <f>IF($B1517="","",COUNTA($B$4:$B1517))</f>
        <v/>
      </c>
      <c r="B1517" s="45" t="n"/>
      <c r="C1517" s="46" t="n"/>
      <c r="D1517" s="46" t="n"/>
      <c r="E1517" s="47" t="n"/>
      <c r="F1517" s="47" t="n"/>
      <c r="G1517" s="43">
        <f>IF($B1517="","",N($E1517)+N($F1517))</f>
        <v/>
      </c>
      <c r="H1517" s="47" t="n"/>
      <c r="I1517" s="43">
        <f>IF($B1517="","",N($G1517)-N($H1517))</f>
        <v/>
      </c>
    </row>
    <row r="1518">
      <c r="A1518" s="39">
        <f>IF($B1518="","",COUNTA($B$4:$B1518))</f>
        <v/>
      </c>
      <c r="B1518" s="40" t="n"/>
      <c r="C1518" s="41" t="n"/>
      <c r="D1518" s="41" t="n"/>
      <c r="E1518" s="42" t="n"/>
      <c r="F1518" s="42" t="n"/>
      <c r="G1518" s="43">
        <f>IF($B1518="","",N($E1518)+N($F1518))</f>
        <v/>
      </c>
      <c r="H1518" s="42" t="n"/>
      <c r="I1518" s="43">
        <f>IF($B1518="","",N($G1518)-N($H1518))</f>
        <v/>
      </c>
    </row>
    <row r="1519">
      <c r="A1519" s="39">
        <f>IF($B1519="","",COUNTA($B$4:$B1519))</f>
        <v/>
      </c>
      <c r="B1519" s="45" t="n"/>
      <c r="C1519" s="46" t="n"/>
      <c r="D1519" s="46" t="n"/>
      <c r="E1519" s="47" t="n"/>
      <c r="F1519" s="47" t="n"/>
      <c r="G1519" s="43">
        <f>IF($B1519="","",N($E1519)+N($F1519))</f>
        <v/>
      </c>
      <c r="H1519" s="47" t="n"/>
      <c r="I1519" s="43">
        <f>IF($B1519="","",N($G1519)-N($H1519))</f>
        <v/>
      </c>
    </row>
    <row r="1520">
      <c r="A1520" s="39">
        <f>IF($B1520="","",COUNTA($B$4:$B1520))</f>
        <v/>
      </c>
      <c r="B1520" s="40" t="n"/>
      <c r="C1520" s="41" t="n"/>
      <c r="D1520" s="41" t="n"/>
      <c r="E1520" s="42" t="n"/>
      <c r="F1520" s="42" t="n"/>
      <c r="G1520" s="43">
        <f>IF($B1520="","",N($E1520)+N($F1520))</f>
        <v/>
      </c>
      <c r="H1520" s="42" t="n"/>
      <c r="I1520" s="43">
        <f>IF($B1520="","",N($G1520)-N($H1520))</f>
        <v/>
      </c>
    </row>
    <row r="1521">
      <c r="A1521" s="39">
        <f>IF($B1521="","",COUNTA($B$4:$B1521))</f>
        <v/>
      </c>
      <c r="B1521" s="45" t="n"/>
      <c r="C1521" s="46" t="n"/>
      <c r="D1521" s="46" t="n"/>
      <c r="E1521" s="47" t="n"/>
      <c r="F1521" s="47" t="n"/>
      <c r="G1521" s="43">
        <f>IF($B1521="","",N($E1521)+N($F1521))</f>
        <v/>
      </c>
      <c r="H1521" s="47" t="n"/>
      <c r="I1521" s="43">
        <f>IF($B1521="","",N($G1521)-N($H1521))</f>
        <v/>
      </c>
    </row>
    <row r="1522">
      <c r="A1522" s="39">
        <f>IF($B1522="","",COUNTA($B$4:$B1522))</f>
        <v/>
      </c>
      <c r="B1522" s="40" t="n"/>
      <c r="C1522" s="41" t="n"/>
      <c r="D1522" s="41" t="n"/>
      <c r="E1522" s="42" t="n"/>
      <c r="F1522" s="42" t="n"/>
      <c r="G1522" s="43">
        <f>IF($B1522="","",N($E1522)+N($F1522))</f>
        <v/>
      </c>
      <c r="H1522" s="42" t="n"/>
      <c r="I1522" s="43">
        <f>IF($B1522="","",N($G1522)-N($H1522))</f>
        <v/>
      </c>
    </row>
    <row r="1523">
      <c r="A1523" s="39">
        <f>IF($B1523="","",COUNTA($B$4:$B1523))</f>
        <v/>
      </c>
      <c r="B1523" s="45" t="n"/>
      <c r="C1523" s="46" t="n"/>
      <c r="D1523" s="46" t="n"/>
      <c r="E1523" s="47" t="n"/>
      <c r="F1523" s="47" t="n"/>
      <c r="G1523" s="43">
        <f>IF($B1523="","",N($E1523)+N($F1523))</f>
        <v/>
      </c>
      <c r="H1523" s="47" t="n"/>
      <c r="I1523" s="43">
        <f>IF($B1523="","",N($G1523)-N($H1523))</f>
        <v/>
      </c>
    </row>
    <row r="1524">
      <c r="A1524" s="39">
        <f>IF($B1524="","",COUNTA($B$4:$B1524))</f>
        <v/>
      </c>
      <c r="B1524" s="40" t="n"/>
      <c r="C1524" s="41" t="n"/>
      <c r="D1524" s="41" t="n"/>
      <c r="E1524" s="42" t="n"/>
      <c r="F1524" s="42" t="n"/>
      <c r="G1524" s="43">
        <f>IF($B1524="","",N($E1524)+N($F1524))</f>
        <v/>
      </c>
      <c r="H1524" s="42" t="n"/>
      <c r="I1524" s="43">
        <f>IF($B1524="","",N($G1524)-N($H1524))</f>
        <v/>
      </c>
    </row>
    <row r="1525">
      <c r="A1525" s="39">
        <f>IF($B1525="","",COUNTA($B$4:$B1525))</f>
        <v/>
      </c>
      <c r="B1525" s="45" t="n"/>
      <c r="C1525" s="46" t="n"/>
      <c r="D1525" s="46" t="n"/>
      <c r="E1525" s="47" t="n"/>
      <c r="F1525" s="47" t="n"/>
      <c r="G1525" s="43">
        <f>IF($B1525="","",N($E1525)+N($F1525))</f>
        <v/>
      </c>
      <c r="H1525" s="47" t="n"/>
      <c r="I1525" s="43">
        <f>IF($B1525="","",N($G1525)-N($H1525))</f>
        <v/>
      </c>
    </row>
    <row r="1526">
      <c r="A1526" s="39">
        <f>IF($B1526="","",COUNTA($B$4:$B1526))</f>
        <v/>
      </c>
      <c r="B1526" s="40" t="n"/>
      <c r="C1526" s="41" t="n"/>
      <c r="D1526" s="41" t="n"/>
      <c r="E1526" s="42" t="n"/>
      <c r="F1526" s="42" t="n"/>
      <c r="G1526" s="43">
        <f>IF($B1526="","",N($E1526)+N($F1526))</f>
        <v/>
      </c>
      <c r="H1526" s="42" t="n"/>
      <c r="I1526" s="43">
        <f>IF($B1526="","",N($G1526)-N($H1526))</f>
        <v/>
      </c>
    </row>
    <row r="1527">
      <c r="A1527" s="39">
        <f>IF($B1527="","",COUNTA($B$4:$B1527))</f>
        <v/>
      </c>
      <c r="B1527" s="45" t="n"/>
      <c r="C1527" s="46" t="n"/>
      <c r="D1527" s="46" t="n"/>
      <c r="E1527" s="47" t="n"/>
      <c r="F1527" s="47" t="n"/>
      <c r="G1527" s="43">
        <f>IF($B1527="","",N($E1527)+N($F1527))</f>
        <v/>
      </c>
      <c r="H1527" s="47" t="n"/>
      <c r="I1527" s="43">
        <f>IF($B1527="","",N($G1527)-N($H1527))</f>
        <v/>
      </c>
    </row>
    <row r="1528">
      <c r="A1528" s="39">
        <f>IF($B1528="","",COUNTA($B$4:$B1528))</f>
        <v/>
      </c>
      <c r="B1528" s="40" t="n"/>
      <c r="C1528" s="41" t="n"/>
      <c r="D1528" s="41" t="n"/>
      <c r="E1528" s="42" t="n"/>
      <c r="F1528" s="42" t="n"/>
      <c r="G1528" s="43">
        <f>IF($B1528="","",N($E1528)+N($F1528))</f>
        <v/>
      </c>
      <c r="H1528" s="42" t="n"/>
      <c r="I1528" s="43">
        <f>IF($B1528="","",N($G1528)-N($H1528))</f>
        <v/>
      </c>
    </row>
    <row r="1529">
      <c r="A1529" s="39">
        <f>IF($B1529="","",COUNTA($B$4:$B1529))</f>
        <v/>
      </c>
      <c r="B1529" s="45" t="n"/>
      <c r="C1529" s="46" t="n"/>
      <c r="D1529" s="46" t="n"/>
      <c r="E1529" s="47" t="n"/>
      <c r="F1529" s="47" t="n"/>
      <c r="G1529" s="43">
        <f>IF($B1529="","",N($E1529)+N($F1529))</f>
        <v/>
      </c>
      <c r="H1529" s="47" t="n"/>
      <c r="I1529" s="43">
        <f>IF($B1529="","",N($G1529)-N($H1529))</f>
        <v/>
      </c>
    </row>
    <row r="1530">
      <c r="A1530" s="39">
        <f>IF($B1530="","",COUNTA($B$4:$B1530))</f>
        <v/>
      </c>
      <c r="B1530" s="40" t="n"/>
      <c r="C1530" s="41" t="n"/>
      <c r="D1530" s="41" t="n"/>
      <c r="E1530" s="42" t="n"/>
      <c r="F1530" s="42" t="n"/>
      <c r="G1530" s="43">
        <f>IF($B1530="","",N($E1530)+N($F1530))</f>
        <v/>
      </c>
      <c r="H1530" s="42" t="n"/>
      <c r="I1530" s="43">
        <f>IF($B1530="","",N($G1530)-N($H1530))</f>
        <v/>
      </c>
    </row>
    <row r="1531">
      <c r="A1531" s="39">
        <f>IF($B1531="","",COUNTA($B$4:$B1531))</f>
        <v/>
      </c>
      <c r="B1531" s="45" t="n"/>
      <c r="C1531" s="46" t="n"/>
      <c r="D1531" s="46" t="n"/>
      <c r="E1531" s="47" t="n"/>
      <c r="F1531" s="47" t="n"/>
      <c r="G1531" s="43">
        <f>IF($B1531="","",N($E1531)+N($F1531))</f>
        <v/>
      </c>
      <c r="H1531" s="47" t="n"/>
      <c r="I1531" s="43">
        <f>IF($B1531="","",N($G1531)-N($H1531))</f>
        <v/>
      </c>
    </row>
    <row r="1532">
      <c r="A1532" s="39">
        <f>IF($B1532="","",COUNTA($B$4:$B1532))</f>
        <v/>
      </c>
      <c r="B1532" s="40" t="n"/>
      <c r="C1532" s="41" t="n"/>
      <c r="D1532" s="41" t="n"/>
      <c r="E1532" s="42" t="n"/>
      <c r="F1532" s="42" t="n"/>
      <c r="G1532" s="43">
        <f>IF($B1532="","",N($E1532)+N($F1532))</f>
        <v/>
      </c>
      <c r="H1532" s="42" t="n"/>
      <c r="I1532" s="43">
        <f>IF($B1532="","",N($G1532)-N($H1532))</f>
        <v/>
      </c>
    </row>
    <row r="1533">
      <c r="A1533" s="39">
        <f>IF($B1533="","",COUNTA($B$4:$B1533))</f>
        <v/>
      </c>
      <c r="B1533" s="45" t="n"/>
      <c r="C1533" s="46" t="n"/>
      <c r="D1533" s="46" t="n"/>
      <c r="E1533" s="47" t="n"/>
      <c r="F1533" s="47" t="n"/>
      <c r="G1533" s="43">
        <f>IF($B1533="","",N($E1533)+N($F1533))</f>
        <v/>
      </c>
      <c r="H1533" s="47" t="n"/>
      <c r="I1533" s="43">
        <f>IF($B1533="","",N($G1533)-N($H1533))</f>
        <v/>
      </c>
    </row>
    <row r="1534">
      <c r="A1534" s="39">
        <f>IF($B1534="","",COUNTA($B$4:$B1534))</f>
        <v/>
      </c>
      <c r="B1534" s="40" t="n"/>
      <c r="C1534" s="41" t="n"/>
      <c r="D1534" s="41" t="n"/>
      <c r="E1534" s="42" t="n"/>
      <c r="F1534" s="42" t="n"/>
      <c r="G1534" s="43">
        <f>IF($B1534="","",N($E1534)+N($F1534))</f>
        <v/>
      </c>
      <c r="H1534" s="42" t="n"/>
      <c r="I1534" s="43">
        <f>IF($B1534="","",N($G1534)-N($H1534))</f>
        <v/>
      </c>
    </row>
    <row r="1535">
      <c r="A1535" s="39">
        <f>IF($B1535="","",COUNTA($B$4:$B1535))</f>
        <v/>
      </c>
      <c r="B1535" s="45" t="n"/>
      <c r="C1535" s="46" t="n"/>
      <c r="D1535" s="46" t="n"/>
      <c r="E1535" s="47" t="n"/>
      <c r="F1535" s="47" t="n"/>
      <c r="G1535" s="43">
        <f>IF($B1535="","",N($E1535)+N($F1535))</f>
        <v/>
      </c>
      <c r="H1535" s="47" t="n"/>
      <c r="I1535" s="43">
        <f>IF($B1535="","",N($G1535)-N($H1535))</f>
        <v/>
      </c>
    </row>
    <row r="1536">
      <c r="A1536" s="39">
        <f>IF($B1536="","",COUNTA($B$4:$B1536))</f>
        <v/>
      </c>
      <c r="B1536" s="40" t="n"/>
      <c r="C1536" s="41" t="n"/>
      <c r="D1536" s="41" t="n"/>
      <c r="E1536" s="42" t="n"/>
      <c r="F1536" s="42" t="n"/>
      <c r="G1536" s="43">
        <f>IF($B1536="","",N($E1536)+N($F1536))</f>
        <v/>
      </c>
      <c r="H1536" s="42" t="n"/>
      <c r="I1536" s="43">
        <f>IF($B1536="","",N($G1536)-N($H1536))</f>
        <v/>
      </c>
    </row>
    <row r="1537">
      <c r="A1537" s="39">
        <f>IF($B1537="","",COUNTA($B$4:$B1537))</f>
        <v/>
      </c>
      <c r="B1537" s="45" t="n"/>
      <c r="C1537" s="46" t="n"/>
      <c r="D1537" s="46" t="n"/>
      <c r="E1537" s="47" t="n"/>
      <c r="F1537" s="47" t="n"/>
      <c r="G1537" s="43">
        <f>IF($B1537="","",N($E1537)+N($F1537))</f>
        <v/>
      </c>
      <c r="H1537" s="47" t="n"/>
      <c r="I1537" s="43">
        <f>IF($B1537="","",N($G1537)-N($H1537))</f>
        <v/>
      </c>
    </row>
    <row r="1538">
      <c r="A1538" s="39">
        <f>IF($B1538="","",COUNTA($B$4:$B1538))</f>
        <v/>
      </c>
      <c r="B1538" s="40" t="n"/>
      <c r="C1538" s="41" t="n"/>
      <c r="D1538" s="41" t="n"/>
      <c r="E1538" s="42" t="n"/>
      <c r="F1538" s="42" t="n"/>
      <c r="G1538" s="43">
        <f>IF($B1538="","",N($E1538)+N($F1538))</f>
        <v/>
      </c>
      <c r="H1538" s="42" t="n"/>
      <c r="I1538" s="43">
        <f>IF($B1538="","",N($G1538)-N($H1538))</f>
        <v/>
      </c>
    </row>
    <row r="1539">
      <c r="A1539" s="39">
        <f>IF($B1539="","",COUNTA($B$4:$B1539))</f>
        <v/>
      </c>
      <c r="B1539" s="45" t="n"/>
      <c r="C1539" s="46" t="n"/>
      <c r="D1539" s="46" t="n"/>
      <c r="E1539" s="47" t="n"/>
      <c r="F1539" s="47" t="n"/>
      <c r="G1539" s="43">
        <f>IF($B1539="","",N($E1539)+N($F1539))</f>
        <v/>
      </c>
      <c r="H1539" s="47" t="n"/>
      <c r="I1539" s="43">
        <f>IF($B1539="","",N($G1539)-N($H1539))</f>
        <v/>
      </c>
    </row>
    <row r="1540">
      <c r="A1540" s="39">
        <f>IF($B1540="","",COUNTA($B$4:$B1540))</f>
        <v/>
      </c>
      <c r="B1540" s="40" t="n"/>
      <c r="C1540" s="41" t="n"/>
      <c r="D1540" s="41" t="n"/>
      <c r="E1540" s="42" t="n"/>
      <c r="F1540" s="42" t="n"/>
      <c r="G1540" s="43">
        <f>IF($B1540="","",N($E1540)+N($F1540))</f>
        <v/>
      </c>
      <c r="H1540" s="42" t="n"/>
      <c r="I1540" s="43">
        <f>IF($B1540="","",N($G1540)-N($H1540))</f>
        <v/>
      </c>
    </row>
    <row r="1541">
      <c r="A1541" s="39">
        <f>IF($B1541="","",COUNTA($B$4:$B1541))</f>
        <v/>
      </c>
      <c r="B1541" s="45" t="n"/>
      <c r="C1541" s="46" t="n"/>
      <c r="D1541" s="46" t="n"/>
      <c r="E1541" s="47" t="n"/>
      <c r="F1541" s="47" t="n"/>
      <c r="G1541" s="43">
        <f>IF($B1541="","",N($E1541)+N($F1541))</f>
        <v/>
      </c>
      <c r="H1541" s="47" t="n"/>
      <c r="I1541" s="43">
        <f>IF($B1541="","",N($G1541)-N($H1541))</f>
        <v/>
      </c>
    </row>
    <row r="1542">
      <c r="A1542" s="39">
        <f>IF($B1542="","",COUNTA($B$4:$B1542))</f>
        <v/>
      </c>
      <c r="B1542" s="40" t="n"/>
      <c r="C1542" s="41" t="n"/>
      <c r="D1542" s="41" t="n"/>
      <c r="E1542" s="42" t="n"/>
      <c r="F1542" s="42" t="n"/>
      <c r="G1542" s="43">
        <f>IF($B1542="","",N($E1542)+N($F1542))</f>
        <v/>
      </c>
      <c r="H1542" s="42" t="n"/>
      <c r="I1542" s="43">
        <f>IF($B1542="","",N($G1542)-N($H1542))</f>
        <v/>
      </c>
    </row>
    <row r="1543">
      <c r="A1543" s="39">
        <f>IF($B1543="","",COUNTA($B$4:$B1543))</f>
        <v/>
      </c>
      <c r="B1543" s="45" t="n"/>
      <c r="C1543" s="46" t="n"/>
      <c r="D1543" s="46" t="n"/>
      <c r="E1543" s="47" t="n"/>
      <c r="F1543" s="47" t="n"/>
      <c r="G1543" s="43">
        <f>IF($B1543="","",N($E1543)+N($F1543))</f>
        <v/>
      </c>
      <c r="H1543" s="47" t="n"/>
      <c r="I1543" s="43">
        <f>IF($B1543="","",N($G1543)-N($H1543))</f>
        <v/>
      </c>
    </row>
    <row r="1544">
      <c r="A1544" s="39">
        <f>IF($B1544="","",COUNTA($B$4:$B1544))</f>
        <v/>
      </c>
      <c r="B1544" s="40" t="n"/>
      <c r="C1544" s="41" t="n"/>
      <c r="D1544" s="41" t="n"/>
      <c r="E1544" s="42" t="n"/>
      <c r="F1544" s="42" t="n"/>
      <c r="G1544" s="43">
        <f>IF($B1544="","",N($E1544)+N($F1544))</f>
        <v/>
      </c>
      <c r="H1544" s="42" t="n"/>
      <c r="I1544" s="43">
        <f>IF($B1544="","",N($G1544)-N($H1544))</f>
        <v/>
      </c>
    </row>
    <row r="1545">
      <c r="A1545" s="39">
        <f>IF($B1545="","",COUNTA($B$4:$B1545))</f>
        <v/>
      </c>
      <c r="B1545" s="45" t="n"/>
      <c r="C1545" s="46" t="n"/>
      <c r="D1545" s="46" t="n"/>
      <c r="E1545" s="47" t="n"/>
      <c r="F1545" s="47" t="n"/>
      <c r="G1545" s="43">
        <f>IF($B1545="","",N($E1545)+N($F1545))</f>
        <v/>
      </c>
      <c r="H1545" s="47" t="n"/>
      <c r="I1545" s="43">
        <f>IF($B1545="","",N($G1545)-N($H1545))</f>
        <v/>
      </c>
    </row>
    <row r="1546">
      <c r="A1546" s="39">
        <f>IF($B1546="","",COUNTA($B$4:$B1546))</f>
        <v/>
      </c>
      <c r="B1546" s="40" t="n"/>
      <c r="C1546" s="41" t="n"/>
      <c r="D1546" s="41" t="n"/>
      <c r="E1546" s="42" t="n"/>
      <c r="F1546" s="42" t="n"/>
      <c r="G1546" s="43">
        <f>IF($B1546="","",N($E1546)+N($F1546))</f>
        <v/>
      </c>
      <c r="H1546" s="42" t="n"/>
      <c r="I1546" s="43">
        <f>IF($B1546="","",N($G1546)-N($H1546))</f>
        <v/>
      </c>
    </row>
    <row r="1547">
      <c r="A1547" s="39">
        <f>IF($B1547="","",COUNTA($B$4:$B1547))</f>
        <v/>
      </c>
      <c r="B1547" s="45" t="n"/>
      <c r="C1547" s="46" t="n"/>
      <c r="D1547" s="46" t="n"/>
      <c r="E1547" s="47" t="n"/>
      <c r="F1547" s="47" t="n"/>
      <c r="G1547" s="43">
        <f>IF($B1547="","",N($E1547)+N($F1547))</f>
        <v/>
      </c>
      <c r="H1547" s="47" t="n"/>
      <c r="I1547" s="43">
        <f>IF($B1547="","",N($G1547)-N($H1547))</f>
        <v/>
      </c>
    </row>
    <row r="1548">
      <c r="A1548" s="39">
        <f>IF($B1548="","",COUNTA($B$4:$B1548))</f>
        <v/>
      </c>
      <c r="B1548" s="40" t="n"/>
      <c r="C1548" s="41" t="n"/>
      <c r="D1548" s="41" t="n"/>
      <c r="E1548" s="42" t="n"/>
      <c r="F1548" s="42" t="n"/>
      <c r="G1548" s="43">
        <f>IF($B1548="","",N($E1548)+N($F1548))</f>
        <v/>
      </c>
      <c r="H1548" s="42" t="n"/>
      <c r="I1548" s="43">
        <f>IF($B1548="","",N($G1548)-N($H1548))</f>
        <v/>
      </c>
    </row>
    <row r="1549">
      <c r="A1549" s="39">
        <f>IF($B1549="","",COUNTA($B$4:$B1549))</f>
        <v/>
      </c>
      <c r="B1549" s="45" t="n"/>
      <c r="C1549" s="46" t="n"/>
      <c r="D1549" s="46" t="n"/>
      <c r="E1549" s="47" t="n"/>
      <c r="F1549" s="47" t="n"/>
      <c r="G1549" s="43">
        <f>IF($B1549="","",N($E1549)+N($F1549))</f>
        <v/>
      </c>
      <c r="H1549" s="47" t="n"/>
      <c r="I1549" s="43">
        <f>IF($B1549="","",N($G1549)-N($H1549))</f>
        <v/>
      </c>
    </row>
    <row r="1550">
      <c r="A1550" s="39">
        <f>IF($B1550="","",COUNTA($B$4:$B1550))</f>
        <v/>
      </c>
      <c r="B1550" s="40" t="n"/>
      <c r="C1550" s="41" t="n"/>
      <c r="D1550" s="41" t="n"/>
      <c r="E1550" s="42" t="n"/>
      <c r="F1550" s="42" t="n"/>
      <c r="G1550" s="43">
        <f>IF($B1550="","",N($E1550)+N($F1550))</f>
        <v/>
      </c>
      <c r="H1550" s="42" t="n"/>
      <c r="I1550" s="43">
        <f>IF($B1550="","",N($G1550)-N($H1550))</f>
        <v/>
      </c>
    </row>
    <row r="1551">
      <c r="A1551" s="39">
        <f>IF($B1551="","",COUNTA($B$4:$B1551))</f>
        <v/>
      </c>
      <c r="B1551" s="45" t="n"/>
      <c r="C1551" s="46" t="n"/>
      <c r="D1551" s="46" t="n"/>
      <c r="E1551" s="47" t="n"/>
      <c r="F1551" s="47" t="n"/>
      <c r="G1551" s="43">
        <f>IF($B1551="","",N($E1551)+N($F1551))</f>
        <v/>
      </c>
      <c r="H1551" s="47" t="n"/>
      <c r="I1551" s="43">
        <f>IF($B1551="","",N($G1551)-N($H1551))</f>
        <v/>
      </c>
    </row>
    <row r="1552">
      <c r="A1552" s="39">
        <f>IF($B1552="","",COUNTA($B$4:$B1552))</f>
        <v/>
      </c>
      <c r="B1552" s="40" t="n"/>
      <c r="C1552" s="41" t="n"/>
      <c r="D1552" s="41" t="n"/>
      <c r="E1552" s="42" t="n"/>
      <c r="F1552" s="42" t="n"/>
      <c r="G1552" s="43">
        <f>IF($B1552="","",N($E1552)+N($F1552))</f>
        <v/>
      </c>
      <c r="H1552" s="42" t="n"/>
      <c r="I1552" s="43">
        <f>IF($B1552="","",N($G1552)-N($H1552))</f>
        <v/>
      </c>
    </row>
    <row r="1553">
      <c r="A1553" s="39">
        <f>IF($B1553="","",COUNTA($B$4:$B1553))</f>
        <v/>
      </c>
      <c r="B1553" s="45" t="n"/>
      <c r="C1553" s="46" t="n"/>
      <c r="D1553" s="46" t="n"/>
      <c r="E1553" s="47" t="n"/>
      <c r="F1553" s="47" t="n"/>
      <c r="G1553" s="43">
        <f>IF($B1553="","",N($E1553)+N($F1553))</f>
        <v/>
      </c>
      <c r="H1553" s="47" t="n"/>
      <c r="I1553" s="43">
        <f>IF($B1553="","",N($G1553)-N($H1553))</f>
        <v/>
      </c>
    </row>
    <row r="1554">
      <c r="A1554" s="39">
        <f>IF($B1554="","",COUNTA($B$4:$B1554))</f>
        <v/>
      </c>
      <c r="B1554" s="40" t="n"/>
      <c r="C1554" s="41" t="n"/>
      <c r="D1554" s="41" t="n"/>
      <c r="E1554" s="42" t="n"/>
      <c r="F1554" s="42" t="n"/>
      <c r="G1554" s="43">
        <f>IF($B1554="","",N($E1554)+N($F1554))</f>
        <v/>
      </c>
      <c r="H1554" s="42" t="n"/>
      <c r="I1554" s="43">
        <f>IF($B1554="","",N($G1554)-N($H1554))</f>
        <v/>
      </c>
    </row>
    <row r="1555">
      <c r="A1555" s="39">
        <f>IF($B1555="","",COUNTA($B$4:$B1555))</f>
        <v/>
      </c>
      <c r="B1555" s="45" t="n"/>
      <c r="C1555" s="46" t="n"/>
      <c r="D1555" s="46" t="n"/>
      <c r="E1555" s="47" t="n"/>
      <c r="F1555" s="47" t="n"/>
      <c r="G1555" s="43">
        <f>IF($B1555="","",N($E1555)+N($F1555))</f>
        <v/>
      </c>
      <c r="H1555" s="47" t="n"/>
      <c r="I1555" s="43">
        <f>IF($B1555="","",N($G1555)-N($H1555))</f>
        <v/>
      </c>
    </row>
    <row r="1556">
      <c r="A1556" s="39">
        <f>IF($B1556="","",COUNTA($B$4:$B1556))</f>
        <v/>
      </c>
      <c r="B1556" s="40" t="n"/>
      <c r="C1556" s="41" t="n"/>
      <c r="D1556" s="41" t="n"/>
      <c r="E1556" s="42" t="n"/>
      <c r="F1556" s="42" t="n"/>
      <c r="G1556" s="43">
        <f>IF($B1556="","",N($E1556)+N($F1556))</f>
        <v/>
      </c>
      <c r="H1556" s="42" t="n"/>
      <c r="I1556" s="43">
        <f>IF($B1556="","",N($G1556)-N($H1556))</f>
        <v/>
      </c>
    </row>
    <row r="1557">
      <c r="A1557" s="39">
        <f>IF($B1557="","",COUNTA($B$4:$B1557))</f>
        <v/>
      </c>
      <c r="B1557" s="45" t="n"/>
      <c r="C1557" s="46" t="n"/>
      <c r="D1557" s="46" t="n"/>
      <c r="E1557" s="47" t="n"/>
      <c r="F1557" s="47" t="n"/>
      <c r="G1557" s="43">
        <f>IF($B1557="","",N($E1557)+N($F1557))</f>
        <v/>
      </c>
      <c r="H1557" s="47" t="n"/>
      <c r="I1557" s="43">
        <f>IF($B1557="","",N($G1557)-N($H1557))</f>
        <v/>
      </c>
    </row>
    <row r="1558">
      <c r="A1558" s="39">
        <f>IF($B1558="","",COUNTA($B$4:$B1558))</f>
        <v/>
      </c>
      <c r="B1558" s="40" t="n"/>
      <c r="C1558" s="41" t="n"/>
      <c r="D1558" s="41" t="n"/>
      <c r="E1558" s="42" t="n"/>
      <c r="F1558" s="42" t="n"/>
      <c r="G1558" s="43">
        <f>IF($B1558="","",N($E1558)+N($F1558))</f>
        <v/>
      </c>
      <c r="H1558" s="42" t="n"/>
      <c r="I1558" s="43">
        <f>IF($B1558="","",N($G1558)-N($H1558))</f>
        <v/>
      </c>
    </row>
    <row r="1559">
      <c r="A1559" s="39">
        <f>IF($B1559="","",COUNTA($B$4:$B1559))</f>
        <v/>
      </c>
      <c r="B1559" s="45" t="n"/>
      <c r="C1559" s="46" t="n"/>
      <c r="D1559" s="46" t="n"/>
      <c r="E1559" s="47" t="n"/>
      <c r="F1559" s="47" t="n"/>
      <c r="G1559" s="43">
        <f>IF($B1559="","",N($E1559)+N($F1559))</f>
        <v/>
      </c>
      <c r="H1559" s="47" t="n"/>
      <c r="I1559" s="43">
        <f>IF($B1559="","",N($G1559)-N($H1559))</f>
        <v/>
      </c>
    </row>
    <row r="1560">
      <c r="A1560" s="39">
        <f>IF($B1560="","",COUNTA($B$4:$B1560))</f>
        <v/>
      </c>
      <c r="B1560" s="40" t="n"/>
      <c r="C1560" s="41" t="n"/>
      <c r="D1560" s="41" t="n"/>
      <c r="E1560" s="42" t="n"/>
      <c r="F1560" s="42" t="n"/>
      <c r="G1560" s="43">
        <f>IF($B1560="","",N($E1560)+N($F1560))</f>
        <v/>
      </c>
      <c r="H1560" s="42" t="n"/>
      <c r="I1560" s="43">
        <f>IF($B1560="","",N($G1560)-N($H1560))</f>
        <v/>
      </c>
    </row>
    <row r="1561">
      <c r="A1561" s="39">
        <f>IF($B1561="","",COUNTA($B$4:$B1561))</f>
        <v/>
      </c>
      <c r="B1561" s="45" t="n"/>
      <c r="C1561" s="46" t="n"/>
      <c r="D1561" s="46" t="n"/>
      <c r="E1561" s="47" t="n"/>
      <c r="F1561" s="47" t="n"/>
      <c r="G1561" s="43">
        <f>IF($B1561="","",N($E1561)+N($F1561))</f>
        <v/>
      </c>
      <c r="H1561" s="47" t="n"/>
      <c r="I1561" s="43">
        <f>IF($B1561="","",N($G1561)-N($H1561))</f>
        <v/>
      </c>
    </row>
    <row r="1562">
      <c r="A1562" s="39">
        <f>IF($B1562="","",COUNTA($B$4:$B1562))</f>
        <v/>
      </c>
      <c r="B1562" s="40" t="n"/>
      <c r="C1562" s="41" t="n"/>
      <c r="D1562" s="41" t="n"/>
      <c r="E1562" s="42" t="n"/>
      <c r="F1562" s="42" t="n"/>
      <c r="G1562" s="43">
        <f>IF($B1562="","",N($E1562)+N($F1562))</f>
        <v/>
      </c>
      <c r="H1562" s="42" t="n"/>
      <c r="I1562" s="43">
        <f>IF($B1562="","",N($G1562)-N($H1562))</f>
        <v/>
      </c>
    </row>
    <row r="1563">
      <c r="A1563" s="39">
        <f>IF($B1563="","",COUNTA($B$4:$B1563))</f>
        <v/>
      </c>
      <c r="B1563" s="45" t="n"/>
      <c r="C1563" s="46" t="n"/>
      <c r="D1563" s="46" t="n"/>
      <c r="E1563" s="47" t="n"/>
      <c r="F1563" s="47" t="n"/>
      <c r="G1563" s="43">
        <f>IF($B1563="","",N($E1563)+N($F1563))</f>
        <v/>
      </c>
      <c r="H1563" s="47" t="n"/>
      <c r="I1563" s="43">
        <f>IF($B1563="","",N($G1563)-N($H1563))</f>
        <v/>
      </c>
    </row>
    <row r="1564">
      <c r="A1564" s="39">
        <f>IF($B1564="","",COUNTA($B$4:$B1564))</f>
        <v/>
      </c>
      <c r="B1564" s="40" t="n"/>
      <c r="C1564" s="41" t="n"/>
      <c r="D1564" s="41" t="n"/>
      <c r="E1564" s="42" t="n"/>
      <c r="F1564" s="42" t="n"/>
      <c r="G1564" s="43">
        <f>IF($B1564="","",N($E1564)+N($F1564))</f>
        <v/>
      </c>
      <c r="H1564" s="42" t="n"/>
      <c r="I1564" s="43">
        <f>IF($B1564="","",N($G1564)-N($H1564))</f>
        <v/>
      </c>
    </row>
    <row r="1565">
      <c r="A1565" s="39">
        <f>IF($B1565="","",COUNTA($B$4:$B1565))</f>
        <v/>
      </c>
      <c r="B1565" s="45" t="n"/>
      <c r="C1565" s="46" t="n"/>
      <c r="D1565" s="46" t="n"/>
      <c r="E1565" s="47" t="n"/>
      <c r="F1565" s="47" t="n"/>
      <c r="G1565" s="43">
        <f>IF($B1565="","",N($E1565)+N($F1565))</f>
        <v/>
      </c>
      <c r="H1565" s="47" t="n"/>
      <c r="I1565" s="43">
        <f>IF($B1565="","",N($G1565)-N($H1565))</f>
        <v/>
      </c>
    </row>
    <row r="1566">
      <c r="A1566" s="39">
        <f>IF($B1566="","",COUNTA($B$4:$B1566))</f>
        <v/>
      </c>
      <c r="B1566" s="40" t="n"/>
      <c r="C1566" s="41" t="n"/>
      <c r="D1566" s="41" t="n"/>
      <c r="E1566" s="42" t="n"/>
      <c r="F1566" s="42" t="n"/>
      <c r="G1566" s="43">
        <f>IF($B1566="","",N($E1566)+N($F1566))</f>
        <v/>
      </c>
      <c r="H1566" s="42" t="n"/>
      <c r="I1566" s="43">
        <f>IF($B1566="","",N($G1566)-N($H1566))</f>
        <v/>
      </c>
    </row>
    <row r="1567">
      <c r="A1567" s="39">
        <f>IF($B1567="","",COUNTA($B$4:$B1567))</f>
        <v/>
      </c>
      <c r="B1567" s="45" t="n"/>
      <c r="C1567" s="46" t="n"/>
      <c r="D1567" s="46" t="n"/>
      <c r="E1567" s="47" t="n"/>
      <c r="F1567" s="47" t="n"/>
      <c r="G1567" s="43">
        <f>IF($B1567="","",N($E1567)+N($F1567))</f>
        <v/>
      </c>
      <c r="H1567" s="47" t="n"/>
      <c r="I1567" s="43">
        <f>IF($B1567="","",N($G1567)-N($H1567))</f>
        <v/>
      </c>
    </row>
    <row r="1568">
      <c r="A1568" s="39">
        <f>IF($B1568="","",COUNTA($B$4:$B1568))</f>
        <v/>
      </c>
      <c r="B1568" s="40" t="n"/>
      <c r="C1568" s="41" t="n"/>
      <c r="D1568" s="41" t="n"/>
      <c r="E1568" s="42" t="n"/>
      <c r="F1568" s="42" t="n"/>
      <c r="G1568" s="43">
        <f>IF($B1568="","",N($E1568)+N($F1568))</f>
        <v/>
      </c>
      <c r="H1568" s="42" t="n"/>
      <c r="I1568" s="43">
        <f>IF($B1568="","",N($G1568)-N($H1568))</f>
        <v/>
      </c>
    </row>
    <row r="1569">
      <c r="A1569" s="39">
        <f>IF($B1569="","",COUNTA($B$4:$B1569))</f>
        <v/>
      </c>
      <c r="B1569" s="45" t="n"/>
      <c r="C1569" s="46" t="n"/>
      <c r="D1569" s="46" t="n"/>
      <c r="E1569" s="47" t="n"/>
      <c r="F1569" s="47" t="n"/>
      <c r="G1569" s="43">
        <f>IF($B1569="","",N($E1569)+N($F1569))</f>
        <v/>
      </c>
      <c r="H1569" s="47" t="n"/>
      <c r="I1569" s="43">
        <f>IF($B1569="","",N($G1569)-N($H1569))</f>
        <v/>
      </c>
    </row>
    <row r="1570">
      <c r="A1570" s="39">
        <f>IF($B1570="","",COUNTA($B$4:$B1570))</f>
        <v/>
      </c>
      <c r="B1570" s="40" t="n"/>
      <c r="C1570" s="41" t="n"/>
      <c r="D1570" s="41" t="n"/>
      <c r="E1570" s="42" t="n"/>
      <c r="F1570" s="42" t="n"/>
      <c r="G1570" s="43">
        <f>IF($B1570="","",N($E1570)+N($F1570))</f>
        <v/>
      </c>
      <c r="H1570" s="42" t="n"/>
      <c r="I1570" s="43">
        <f>IF($B1570="","",N($G1570)-N($H1570))</f>
        <v/>
      </c>
    </row>
    <row r="1571">
      <c r="A1571" s="39">
        <f>IF($B1571="","",COUNTA($B$4:$B1571))</f>
        <v/>
      </c>
      <c r="B1571" s="45" t="n"/>
      <c r="C1571" s="46" t="n"/>
      <c r="D1571" s="46" t="n"/>
      <c r="E1571" s="47" t="n"/>
      <c r="F1571" s="47" t="n"/>
      <c r="G1571" s="43">
        <f>IF($B1571="","",N($E1571)+N($F1571))</f>
        <v/>
      </c>
      <c r="H1571" s="47" t="n"/>
      <c r="I1571" s="43">
        <f>IF($B1571="","",N($G1571)-N($H1571))</f>
        <v/>
      </c>
    </row>
    <row r="1572">
      <c r="A1572" s="39">
        <f>IF($B1572="","",COUNTA($B$4:$B1572))</f>
        <v/>
      </c>
      <c r="B1572" s="40" t="n"/>
      <c r="C1572" s="41" t="n"/>
      <c r="D1572" s="41" t="n"/>
      <c r="E1572" s="42" t="n"/>
      <c r="F1572" s="42" t="n"/>
      <c r="G1572" s="43">
        <f>IF($B1572="","",N($E1572)+N($F1572))</f>
        <v/>
      </c>
      <c r="H1572" s="42" t="n"/>
      <c r="I1572" s="43">
        <f>IF($B1572="","",N($G1572)-N($H1572))</f>
        <v/>
      </c>
    </row>
    <row r="1573">
      <c r="A1573" s="39">
        <f>IF($B1573="","",COUNTA($B$4:$B1573))</f>
        <v/>
      </c>
      <c r="B1573" s="45" t="n"/>
      <c r="C1573" s="46" t="n"/>
      <c r="D1573" s="46" t="n"/>
      <c r="E1573" s="47" t="n"/>
      <c r="F1573" s="47" t="n"/>
      <c r="G1573" s="43">
        <f>IF($B1573="","",N($E1573)+N($F1573))</f>
        <v/>
      </c>
      <c r="H1573" s="47" t="n"/>
      <c r="I1573" s="43">
        <f>IF($B1573="","",N($G1573)-N($H1573))</f>
        <v/>
      </c>
    </row>
    <row r="1574">
      <c r="A1574" s="39">
        <f>IF($B1574="","",COUNTA($B$4:$B1574))</f>
        <v/>
      </c>
      <c r="B1574" s="40" t="n"/>
      <c r="C1574" s="41" t="n"/>
      <c r="D1574" s="41" t="n"/>
      <c r="E1574" s="42" t="n"/>
      <c r="F1574" s="42" t="n"/>
      <c r="G1574" s="43">
        <f>IF($B1574="","",N($E1574)+N($F1574))</f>
        <v/>
      </c>
      <c r="H1574" s="42" t="n"/>
      <c r="I1574" s="43">
        <f>IF($B1574="","",N($G1574)-N($H1574))</f>
        <v/>
      </c>
    </row>
    <row r="1575">
      <c r="A1575" s="39">
        <f>IF($B1575="","",COUNTA($B$4:$B1575))</f>
        <v/>
      </c>
      <c r="B1575" s="45" t="n"/>
      <c r="C1575" s="46" t="n"/>
      <c r="D1575" s="46" t="n"/>
      <c r="E1575" s="47" t="n"/>
      <c r="F1575" s="47" t="n"/>
      <c r="G1575" s="43">
        <f>IF($B1575="","",N($E1575)+N($F1575))</f>
        <v/>
      </c>
      <c r="H1575" s="47" t="n"/>
      <c r="I1575" s="43">
        <f>IF($B1575="","",N($G1575)-N($H1575))</f>
        <v/>
      </c>
    </row>
    <row r="1576">
      <c r="A1576" s="39">
        <f>IF($B1576="","",COUNTA($B$4:$B1576))</f>
        <v/>
      </c>
      <c r="B1576" s="40" t="n"/>
      <c r="C1576" s="41" t="n"/>
      <c r="D1576" s="41" t="n"/>
      <c r="E1576" s="42" t="n"/>
      <c r="F1576" s="42" t="n"/>
      <c r="G1576" s="43">
        <f>IF($B1576="","",N($E1576)+N($F1576))</f>
        <v/>
      </c>
      <c r="H1576" s="42" t="n"/>
      <c r="I1576" s="43">
        <f>IF($B1576="","",N($G1576)-N($H1576))</f>
        <v/>
      </c>
    </row>
    <row r="1577">
      <c r="A1577" s="39">
        <f>IF($B1577="","",COUNTA($B$4:$B1577))</f>
        <v/>
      </c>
      <c r="B1577" s="45" t="n"/>
      <c r="C1577" s="46" t="n"/>
      <c r="D1577" s="46" t="n"/>
      <c r="E1577" s="47" t="n"/>
      <c r="F1577" s="47" t="n"/>
      <c r="G1577" s="43">
        <f>IF($B1577="","",N($E1577)+N($F1577))</f>
        <v/>
      </c>
      <c r="H1577" s="47" t="n"/>
      <c r="I1577" s="43">
        <f>IF($B1577="","",N($G1577)-N($H1577))</f>
        <v/>
      </c>
    </row>
    <row r="1578">
      <c r="A1578" s="39">
        <f>IF($B1578="","",COUNTA($B$4:$B1578))</f>
        <v/>
      </c>
      <c r="B1578" s="40" t="n"/>
      <c r="C1578" s="41" t="n"/>
      <c r="D1578" s="41" t="n"/>
      <c r="E1578" s="42" t="n"/>
      <c r="F1578" s="42" t="n"/>
      <c r="G1578" s="43">
        <f>IF($B1578="","",N($E1578)+N($F1578))</f>
        <v/>
      </c>
      <c r="H1578" s="42" t="n"/>
      <c r="I1578" s="43">
        <f>IF($B1578="","",N($G1578)-N($H1578))</f>
        <v/>
      </c>
    </row>
    <row r="1579">
      <c r="A1579" s="39">
        <f>IF($B1579="","",COUNTA($B$4:$B1579))</f>
        <v/>
      </c>
      <c r="B1579" s="45" t="n"/>
      <c r="C1579" s="46" t="n"/>
      <c r="D1579" s="46" t="n"/>
      <c r="E1579" s="47" t="n"/>
      <c r="F1579" s="47" t="n"/>
      <c r="G1579" s="43">
        <f>IF($B1579="","",N($E1579)+N($F1579))</f>
        <v/>
      </c>
      <c r="H1579" s="47" t="n"/>
      <c r="I1579" s="43">
        <f>IF($B1579="","",N($G1579)-N($H1579))</f>
        <v/>
      </c>
    </row>
    <row r="1580">
      <c r="A1580" s="39">
        <f>IF($B1580="","",COUNTA($B$4:$B1580))</f>
        <v/>
      </c>
      <c r="B1580" s="40" t="n"/>
      <c r="C1580" s="41" t="n"/>
      <c r="D1580" s="41" t="n"/>
      <c r="E1580" s="42" t="n"/>
      <c r="F1580" s="42" t="n"/>
      <c r="G1580" s="43">
        <f>IF($B1580="","",N($E1580)+N($F1580))</f>
        <v/>
      </c>
      <c r="H1580" s="42" t="n"/>
      <c r="I1580" s="43">
        <f>IF($B1580="","",N($G1580)-N($H1580))</f>
        <v/>
      </c>
    </row>
    <row r="1581">
      <c r="A1581" s="39">
        <f>IF($B1581="","",COUNTA($B$4:$B1581))</f>
        <v/>
      </c>
      <c r="B1581" s="45" t="n"/>
      <c r="C1581" s="46" t="n"/>
      <c r="D1581" s="46" t="n"/>
      <c r="E1581" s="47" t="n"/>
      <c r="F1581" s="47" t="n"/>
      <c r="G1581" s="43">
        <f>IF($B1581="","",N($E1581)+N($F1581))</f>
        <v/>
      </c>
      <c r="H1581" s="47" t="n"/>
      <c r="I1581" s="43">
        <f>IF($B1581="","",N($G1581)-N($H1581))</f>
        <v/>
      </c>
    </row>
    <row r="1582">
      <c r="A1582" s="39">
        <f>IF($B1582="","",COUNTA($B$4:$B1582))</f>
        <v/>
      </c>
      <c r="B1582" s="40" t="n"/>
      <c r="C1582" s="41" t="n"/>
      <c r="D1582" s="41" t="n"/>
      <c r="E1582" s="42" t="n"/>
      <c r="F1582" s="42" t="n"/>
      <c r="G1582" s="43">
        <f>IF($B1582="","",N($E1582)+N($F1582))</f>
        <v/>
      </c>
      <c r="H1582" s="42" t="n"/>
      <c r="I1582" s="43">
        <f>IF($B1582="","",N($G1582)-N($H1582))</f>
        <v/>
      </c>
    </row>
    <row r="1583">
      <c r="A1583" s="39">
        <f>IF($B1583="","",COUNTA($B$4:$B1583))</f>
        <v/>
      </c>
      <c r="B1583" s="45" t="n"/>
      <c r="C1583" s="46" t="n"/>
      <c r="D1583" s="46" t="n"/>
      <c r="E1583" s="47" t="n"/>
      <c r="F1583" s="47" t="n"/>
      <c r="G1583" s="43">
        <f>IF($B1583="","",N($E1583)+N($F1583))</f>
        <v/>
      </c>
      <c r="H1583" s="47" t="n"/>
      <c r="I1583" s="43">
        <f>IF($B1583="","",N($G1583)-N($H1583))</f>
        <v/>
      </c>
    </row>
    <row r="1584">
      <c r="A1584" s="39">
        <f>IF($B1584="","",COUNTA($B$4:$B1584))</f>
        <v/>
      </c>
      <c r="B1584" s="40" t="n"/>
      <c r="C1584" s="41" t="n"/>
      <c r="D1584" s="41" t="n"/>
      <c r="E1584" s="42" t="n"/>
      <c r="F1584" s="42" t="n"/>
      <c r="G1584" s="43">
        <f>IF($B1584="","",N($E1584)+N($F1584))</f>
        <v/>
      </c>
      <c r="H1584" s="42" t="n"/>
      <c r="I1584" s="43">
        <f>IF($B1584="","",N($G1584)-N($H1584))</f>
        <v/>
      </c>
    </row>
    <row r="1585">
      <c r="A1585" s="39">
        <f>IF($B1585="","",COUNTA($B$4:$B1585))</f>
        <v/>
      </c>
      <c r="B1585" s="45" t="n"/>
      <c r="C1585" s="46" t="n"/>
      <c r="D1585" s="46" t="n"/>
      <c r="E1585" s="47" t="n"/>
      <c r="F1585" s="47" t="n"/>
      <c r="G1585" s="43">
        <f>IF($B1585="","",N($E1585)+N($F1585))</f>
        <v/>
      </c>
      <c r="H1585" s="47" t="n"/>
      <c r="I1585" s="43">
        <f>IF($B1585="","",N($G1585)-N($H1585))</f>
        <v/>
      </c>
    </row>
    <row r="1586">
      <c r="A1586" s="39">
        <f>IF($B1586="","",COUNTA($B$4:$B1586))</f>
        <v/>
      </c>
      <c r="B1586" s="40" t="n"/>
      <c r="C1586" s="41" t="n"/>
      <c r="D1586" s="41" t="n"/>
      <c r="E1586" s="42" t="n"/>
      <c r="F1586" s="42" t="n"/>
      <c r="G1586" s="43">
        <f>IF($B1586="","",N($E1586)+N($F1586))</f>
        <v/>
      </c>
      <c r="H1586" s="42" t="n"/>
      <c r="I1586" s="43">
        <f>IF($B1586="","",N($G1586)-N($H1586))</f>
        <v/>
      </c>
    </row>
    <row r="1587">
      <c r="A1587" s="39">
        <f>IF($B1587="","",COUNTA($B$4:$B1587))</f>
        <v/>
      </c>
      <c r="B1587" s="45" t="n"/>
      <c r="C1587" s="46" t="n"/>
      <c r="D1587" s="46" t="n"/>
      <c r="E1587" s="47" t="n"/>
      <c r="F1587" s="47" t="n"/>
      <c r="G1587" s="43">
        <f>IF($B1587="","",N($E1587)+N($F1587))</f>
        <v/>
      </c>
      <c r="H1587" s="47" t="n"/>
      <c r="I1587" s="43">
        <f>IF($B1587="","",N($G1587)-N($H1587))</f>
        <v/>
      </c>
    </row>
    <row r="1588">
      <c r="A1588" s="39">
        <f>IF($B1588="","",COUNTA($B$4:$B1588))</f>
        <v/>
      </c>
      <c r="B1588" s="40" t="n"/>
      <c r="C1588" s="41" t="n"/>
      <c r="D1588" s="41" t="n"/>
      <c r="E1588" s="42" t="n"/>
      <c r="F1588" s="42" t="n"/>
      <c r="G1588" s="43">
        <f>IF($B1588="","",N($E1588)+N($F1588))</f>
        <v/>
      </c>
      <c r="H1588" s="42" t="n"/>
      <c r="I1588" s="43">
        <f>IF($B1588="","",N($G1588)-N($H1588))</f>
        <v/>
      </c>
    </row>
    <row r="1589">
      <c r="A1589" s="39">
        <f>IF($B1589="","",COUNTA($B$4:$B1589))</f>
        <v/>
      </c>
      <c r="B1589" s="45" t="n"/>
      <c r="C1589" s="46" t="n"/>
      <c r="D1589" s="46" t="n"/>
      <c r="E1589" s="47" t="n"/>
      <c r="F1589" s="47" t="n"/>
      <c r="G1589" s="43">
        <f>IF($B1589="","",N($E1589)+N($F1589))</f>
        <v/>
      </c>
      <c r="H1589" s="47" t="n"/>
      <c r="I1589" s="43">
        <f>IF($B1589="","",N($G1589)-N($H1589))</f>
        <v/>
      </c>
    </row>
    <row r="1590">
      <c r="A1590" s="39">
        <f>IF($B1590="","",COUNTA($B$4:$B1590))</f>
        <v/>
      </c>
      <c r="B1590" s="40" t="n"/>
      <c r="C1590" s="41" t="n"/>
      <c r="D1590" s="41" t="n"/>
      <c r="E1590" s="42" t="n"/>
      <c r="F1590" s="42" t="n"/>
      <c r="G1590" s="43">
        <f>IF($B1590="","",N($E1590)+N($F1590))</f>
        <v/>
      </c>
      <c r="H1590" s="42" t="n"/>
      <c r="I1590" s="43">
        <f>IF($B1590="","",N($G1590)-N($H1590))</f>
        <v/>
      </c>
    </row>
    <row r="1591">
      <c r="A1591" s="39">
        <f>IF($B1591="","",COUNTA($B$4:$B1591))</f>
        <v/>
      </c>
      <c r="B1591" s="45" t="n"/>
      <c r="C1591" s="46" t="n"/>
      <c r="D1591" s="46" t="n"/>
      <c r="E1591" s="47" t="n"/>
      <c r="F1591" s="47" t="n"/>
      <c r="G1591" s="43">
        <f>IF($B1591="","",N($E1591)+N($F1591))</f>
        <v/>
      </c>
      <c r="H1591" s="47" t="n"/>
      <c r="I1591" s="43">
        <f>IF($B1591="","",N($G1591)-N($H1591))</f>
        <v/>
      </c>
    </row>
    <row r="1592">
      <c r="A1592" s="39">
        <f>IF($B1592="","",COUNTA($B$4:$B1592))</f>
        <v/>
      </c>
      <c r="B1592" s="40" t="n"/>
      <c r="C1592" s="41" t="n"/>
      <c r="D1592" s="41" t="n"/>
      <c r="E1592" s="42" t="n"/>
      <c r="F1592" s="42" t="n"/>
      <c r="G1592" s="43">
        <f>IF($B1592="","",N($E1592)+N($F1592))</f>
        <v/>
      </c>
      <c r="H1592" s="42" t="n"/>
      <c r="I1592" s="43">
        <f>IF($B1592="","",N($G1592)-N($H1592))</f>
        <v/>
      </c>
    </row>
    <row r="1593">
      <c r="A1593" s="39">
        <f>IF($B1593="","",COUNTA($B$4:$B1593))</f>
        <v/>
      </c>
      <c r="B1593" s="45" t="n"/>
      <c r="C1593" s="46" t="n"/>
      <c r="D1593" s="46" t="n"/>
      <c r="E1593" s="47" t="n"/>
      <c r="F1593" s="47" t="n"/>
      <c r="G1593" s="43">
        <f>IF($B1593="","",N($E1593)+N($F1593))</f>
        <v/>
      </c>
      <c r="H1593" s="47" t="n"/>
      <c r="I1593" s="43">
        <f>IF($B1593="","",N($G1593)-N($H1593))</f>
        <v/>
      </c>
    </row>
    <row r="1594">
      <c r="A1594" s="39">
        <f>IF($B1594="","",COUNTA($B$4:$B1594))</f>
        <v/>
      </c>
      <c r="B1594" s="40" t="n"/>
      <c r="C1594" s="41" t="n"/>
      <c r="D1594" s="41" t="n"/>
      <c r="E1594" s="42" t="n"/>
      <c r="F1594" s="42" t="n"/>
      <c r="G1594" s="43">
        <f>IF($B1594="","",N($E1594)+N($F1594))</f>
        <v/>
      </c>
      <c r="H1594" s="42" t="n"/>
      <c r="I1594" s="43">
        <f>IF($B1594="","",N($G1594)-N($H1594))</f>
        <v/>
      </c>
    </row>
    <row r="1595">
      <c r="A1595" s="39">
        <f>IF($B1595="","",COUNTA($B$4:$B1595))</f>
        <v/>
      </c>
      <c r="B1595" s="45" t="n"/>
      <c r="C1595" s="46" t="n"/>
      <c r="D1595" s="46" t="n"/>
      <c r="E1595" s="47" t="n"/>
      <c r="F1595" s="47" t="n"/>
      <c r="G1595" s="43">
        <f>IF($B1595="","",N($E1595)+N($F1595))</f>
        <v/>
      </c>
      <c r="H1595" s="47" t="n"/>
      <c r="I1595" s="43">
        <f>IF($B1595="","",N($G1595)-N($H1595))</f>
        <v/>
      </c>
    </row>
    <row r="1596">
      <c r="A1596" s="39">
        <f>IF($B1596="","",COUNTA($B$4:$B1596))</f>
        <v/>
      </c>
      <c r="B1596" s="40" t="n"/>
      <c r="C1596" s="41" t="n"/>
      <c r="D1596" s="41" t="n"/>
      <c r="E1596" s="42" t="n"/>
      <c r="F1596" s="42" t="n"/>
      <c r="G1596" s="43">
        <f>IF($B1596="","",N($E1596)+N($F1596))</f>
        <v/>
      </c>
      <c r="H1596" s="42" t="n"/>
      <c r="I1596" s="43">
        <f>IF($B1596="","",N($G1596)-N($H1596))</f>
        <v/>
      </c>
    </row>
    <row r="1597">
      <c r="A1597" s="39">
        <f>IF($B1597="","",COUNTA($B$4:$B1597))</f>
        <v/>
      </c>
      <c r="B1597" s="45" t="n"/>
      <c r="C1597" s="46" t="n"/>
      <c r="D1597" s="46" t="n"/>
      <c r="E1597" s="47" t="n"/>
      <c r="F1597" s="47" t="n"/>
      <c r="G1597" s="43">
        <f>IF($B1597="","",N($E1597)+N($F1597))</f>
        <v/>
      </c>
      <c r="H1597" s="47" t="n"/>
      <c r="I1597" s="43">
        <f>IF($B1597="","",N($G1597)-N($H1597))</f>
        <v/>
      </c>
    </row>
    <row r="1598">
      <c r="A1598" s="39">
        <f>IF($B1598="","",COUNTA($B$4:$B1598))</f>
        <v/>
      </c>
      <c r="B1598" s="40" t="n"/>
      <c r="C1598" s="41" t="n"/>
      <c r="D1598" s="41" t="n"/>
      <c r="E1598" s="42" t="n"/>
      <c r="F1598" s="42" t="n"/>
      <c r="G1598" s="43">
        <f>IF($B1598="","",N($E1598)+N($F1598))</f>
        <v/>
      </c>
      <c r="H1598" s="42" t="n"/>
      <c r="I1598" s="43">
        <f>IF($B1598="","",N($G1598)-N($H1598))</f>
        <v/>
      </c>
    </row>
    <row r="1599">
      <c r="A1599" s="39">
        <f>IF($B1599="","",COUNTA($B$4:$B1599))</f>
        <v/>
      </c>
      <c r="B1599" s="45" t="n"/>
      <c r="C1599" s="46" t="n"/>
      <c r="D1599" s="46" t="n"/>
      <c r="E1599" s="47" t="n"/>
      <c r="F1599" s="47" t="n"/>
      <c r="G1599" s="43">
        <f>IF($B1599="","",N($E1599)+N($F1599))</f>
        <v/>
      </c>
      <c r="H1599" s="47" t="n"/>
      <c r="I1599" s="43">
        <f>IF($B1599="","",N($G1599)-N($H1599))</f>
        <v/>
      </c>
    </row>
    <row r="1600">
      <c r="A1600" s="39">
        <f>IF($B1600="","",COUNTA($B$4:$B1600))</f>
        <v/>
      </c>
      <c r="B1600" s="40" t="n"/>
      <c r="C1600" s="41" t="n"/>
      <c r="D1600" s="41" t="n"/>
      <c r="E1600" s="42" t="n"/>
      <c r="F1600" s="42" t="n"/>
      <c r="G1600" s="43">
        <f>IF($B1600="","",N($E1600)+N($F1600))</f>
        <v/>
      </c>
      <c r="H1600" s="42" t="n"/>
      <c r="I1600" s="43">
        <f>IF($B1600="","",N($G1600)-N($H1600))</f>
        <v/>
      </c>
    </row>
    <row r="1601">
      <c r="A1601" s="39">
        <f>IF($B1601="","",COUNTA($B$4:$B1601))</f>
        <v/>
      </c>
      <c r="B1601" s="45" t="n"/>
      <c r="C1601" s="46" t="n"/>
      <c r="D1601" s="46" t="n"/>
      <c r="E1601" s="47" t="n"/>
      <c r="F1601" s="47" t="n"/>
      <c r="G1601" s="43">
        <f>IF($B1601="","",N($E1601)+N($F1601))</f>
        <v/>
      </c>
      <c r="H1601" s="47" t="n"/>
      <c r="I1601" s="43">
        <f>IF($B1601="","",N($G1601)-N($H1601))</f>
        <v/>
      </c>
    </row>
    <row r="1602">
      <c r="A1602" s="39">
        <f>IF($B1602="","",COUNTA($B$4:$B1602))</f>
        <v/>
      </c>
      <c r="B1602" s="40" t="n"/>
      <c r="C1602" s="41" t="n"/>
      <c r="D1602" s="41" t="n"/>
      <c r="E1602" s="42" t="n"/>
      <c r="F1602" s="42" t="n"/>
      <c r="G1602" s="43">
        <f>IF($B1602="","",N($E1602)+N($F1602))</f>
        <v/>
      </c>
      <c r="H1602" s="42" t="n"/>
      <c r="I1602" s="43">
        <f>IF($B1602="","",N($G1602)-N($H1602))</f>
        <v/>
      </c>
    </row>
    <row r="1603">
      <c r="A1603" s="39">
        <f>IF($B1603="","",COUNTA($B$4:$B1603))</f>
        <v/>
      </c>
      <c r="B1603" s="45" t="n"/>
      <c r="C1603" s="46" t="n"/>
      <c r="D1603" s="46" t="n"/>
      <c r="E1603" s="47" t="n"/>
      <c r="F1603" s="47" t="n"/>
      <c r="G1603" s="43">
        <f>IF($B1603="","",N($E1603)+N($F1603))</f>
        <v/>
      </c>
      <c r="H1603" s="47" t="n"/>
      <c r="I1603" s="43">
        <f>IF($B1603="","",N($G1603)-N($H1603))</f>
        <v/>
      </c>
    </row>
    <row r="1604">
      <c r="A1604" s="39">
        <f>IF($B1604="","",COUNTA($B$4:$B1604))</f>
        <v/>
      </c>
      <c r="B1604" s="40" t="n"/>
      <c r="C1604" s="41" t="n"/>
      <c r="D1604" s="41" t="n"/>
      <c r="E1604" s="42" t="n"/>
      <c r="F1604" s="42" t="n"/>
      <c r="G1604" s="43">
        <f>IF($B1604="","",N($E1604)+N($F1604))</f>
        <v/>
      </c>
      <c r="H1604" s="42" t="n"/>
      <c r="I1604" s="43">
        <f>IF($B1604="","",N($G1604)-N($H1604))</f>
        <v/>
      </c>
    </row>
    <row r="1605">
      <c r="A1605" s="39">
        <f>IF($B1605="","",COUNTA($B$4:$B1605))</f>
        <v/>
      </c>
      <c r="B1605" s="45" t="n"/>
      <c r="C1605" s="46" t="n"/>
      <c r="D1605" s="46" t="n"/>
      <c r="E1605" s="47" t="n"/>
      <c r="F1605" s="47" t="n"/>
      <c r="G1605" s="43">
        <f>IF($B1605="","",N($E1605)+N($F1605))</f>
        <v/>
      </c>
      <c r="H1605" s="47" t="n"/>
      <c r="I1605" s="43">
        <f>IF($B1605="","",N($G1605)-N($H1605))</f>
        <v/>
      </c>
    </row>
    <row r="1606">
      <c r="A1606" s="39">
        <f>IF($B1606="","",COUNTA($B$4:$B1606))</f>
        <v/>
      </c>
      <c r="B1606" s="40" t="n"/>
      <c r="C1606" s="41" t="n"/>
      <c r="D1606" s="41" t="n"/>
      <c r="E1606" s="42" t="n"/>
      <c r="F1606" s="42" t="n"/>
      <c r="G1606" s="43">
        <f>IF($B1606="","",N($E1606)+N($F1606))</f>
        <v/>
      </c>
      <c r="H1606" s="42" t="n"/>
      <c r="I1606" s="43">
        <f>IF($B1606="","",N($G1606)-N($H1606))</f>
        <v/>
      </c>
    </row>
    <row r="1607">
      <c r="A1607" s="39">
        <f>IF($B1607="","",COUNTA($B$4:$B1607))</f>
        <v/>
      </c>
      <c r="B1607" s="45" t="n"/>
      <c r="C1607" s="46" t="n"/>
      <c r="D1607" s="46" t="n"/>
      <c r="E1607" s="47" t="n"/>
      <c r="F1607" s="47" t="n"/>
      <c r="G1607" s="43">
        <f>IF($B1607="","",N($E1607)+N($F1607))</f>
        <v/>
      </c>
      <c r="H1607" s="47" t="n"/>
      <c r="I1607" s="43">
        <f>IF($B1607="","",N($G1607)-N($H1607))</f>
        <v/>
      </c>
    </row>
    <row r="1608">
      <c r="A1608" s="39">
        <f>IF($B1608="","",COUNTA($B$4:$B1608))</f>
        <v/>
      </c>
      <c r="B1608" s="40" t="n"/>
      <c r="C1608" s="41" t="n"/>
      <c r="D1608" s="41" t="n"/>
      <c r="E1608" s="42" t="n"/>
      <c r="F1608" s="42" t="n"/>
      <c r="G1608" s="43">
        <f>IF($B1608="","",N($E1608)+N($F1608))</f>
        <v/>
      </c>
      <c r="H1608" s="42" t="n"/>
      <c r="I1608" s="43">
        <f>IF($B1608="","",N($G1608)-N($H1608))</f>
        <v/>
      </c>
    </row>
    <row r="1609">
      <c r="A1609" s="39">
        <f>IF($B1609="","",COUNTA($B$4:$B1609))</f>
        <v/>
      </c>
      <c r="B1609" s="45" t="n"/>
      <c r="C1609" s="46" t="n"/>
      <c r="D1609" s="46" t="n"/>
      <c r="E1609" s="47" t="n"/>
      <c r="F1609" s="47" t="n"/>
      <c r="G1609" s="43">
        <f>IF($B1609="","",N($E1609)+N($F1609))</f>
        <v/>
      </c>
      <c r="H1609" s="47" t="n"/>
      <c r="I1609" s="43">
        <f>IF($B1609="","",N($G1609)-N($H1609))</f>
        <v/>
      </c>
    </row>
    <row r="1610">
      <c r="A1610" s="39">
        <f>IF($B1610="","",COUNTA($B$4:$B1610))</f>
        <v/>
      </c>
      <c r="B1610" s="40" t="n"/>
      <c r="C1610" s="41" t="n"/>
      <c r="D1610" s="41" t="n"/>
      <c r="E1610" s="42" t="n"/>
      <c r="F1610" s="42" t="n"/>
      <c r="G1610" s="43">
        <f>IF($B1610="","",N($E1610)+N($F1610))</f>
        <v/>
      </c>
      <c r="H1610" s="42" t="n"/>
      <c r="I1610" s="43">
        <f>IF($B1610="","",N($G1610)-N($H1610))</f>
        <v/>
      </c>
    </row>
    <row r="1611">
      <c r="A1611" s="39">
        <f>IF($B1611="","",COUNTA($B$4:$B1611))</f>
        <v/>
      </c>
      <c r="B1611" s="45" t="n"/>
      <c r="C1611" s="46" t="n"/>
      <c r="D1611" s="46" t="n"/>
      <c r="E1611" s="47" t="n"/>
      <c r="F1611" s="47" t="n"/>
      <c r="G1611" s="43">
        <f>IF($B1611="","",N($E1611)+N($F1611))</f>
        <v/>
      </c>
      <c r="H1611" s="47" t="n"/>
      <c r="I1611" s="43">
        <f>IF($B1611="","",N($G1611)-N($H1611))</f>
        <v/>
      </c>
    </row>
    <row r="1612">
      <c r="A1612" s="39">
        <f>IF($B1612="","",COUNTA($B$4:$B1612))</f>
        <v/>
      </c>
      <c r="B1612" s="40" t="n"/>
      <c r="C1612" s="41" t="n"/>
      <c r="D1612" s="41" t="n"/>
      <c r="E1612" s="42" t="n"/>
      <c r="F1612" s="42" t="n"/>
      <c r="G1612" s="43">
        <f>IF($B1612="","",N($E1612)+N($F1612))</f>
        <v/>
      </c>
      <c r="H1612" s="42" t="n"/>
      <c r="I1612" s="43">
        <f>IF($B1612="","",N($G1612)-N($H1612))</f>
        <v/>
      </c>
    </row>
    <row r="1613">
      <c r="A1613" s="39">
        <f>IF($B1613="","",COUNTA($B$4:$B1613))</f>
        <v/>
      </c>
      <c r="B1613" s="45" t="n"/>
      <c r="C1613" s="46" t="n"/>
      <c r="D1613" s="46" t="n"/>
      <c r="E1613" s="47" t="n"/>
      <c r="F1613" s="47" t="n"/>
      <c r="G1613" s="43">
        <f>IF($B1613="","",N($E1613)+N($F1613))</f>
        <v/>
      </c>
      <c r="H1613" s="47" t="n"/>
      <c r="I1613" s="43">
        <f>IF($B1613="","",N($G1613)-N($H1613))</f>
        <v/>
      </c>
    </row>
    <row r="1614">
      <c r="A1614" s="39">
        <f>IF($B1614="","",COUNTA($B$4:$B1614))</f>
        <v/>
      </c>
      <c r="B1614" s="40" t="n"/>
      <c r="C1614" s="41" t="n"/>
      <c r="D1614" s="41" t="n"/>
      <c r="E1614" s="42" t="n"/>
      <c r="F1614" s="42" t="n"/>
      <c r="G1614" s="43">
        <f>IF($B1614="","",N($E1614)+N($F1614))</f>
        <v/>
      </c>
      <c r="H1614" s="42" t="n"/>
      <c r="I1614" s="43">
        <f>IF($B1614="","",N($G1614)-N($H1614))</f>
        <v/>
      </c>
    </row>
    <row r="1615">
      <c r="A1615" s="39">
        <f>IF($B1615="","",COUNTA($B$4:$B1615))</f>
        <v/>
      </c>
      <c r="B1615" s="45" t="n"/>
      <c r="C1615" s="46" t="n"/>
      <c r="D1615" s="46" t="n"/>
      <c r="E1615" s="47" t="n"/>
      <c r="F1615" s="47" t="n"/>
      <c r="G1615" s="43">
        <f>IF($B1615="","",N($E1615)+N($F1615))</f>
        <v/>
      </c>
      <c r="H1615" s="47" t="n"/>
      <c r="I1615" s="43">
        <f>IF($B1615="","",N($G1615)-N($H1615))</f>
        <v/>
      </c>
    </row>
    <row r="1616">
      <c r="A1616" s="39">
        <f>IF($B1616="","",COUNTA($B$4:$B1616))</f>
        <v/>
      </c>
      <c r="B1616" s="40" t="n"/>
      <c r="C1616" s="41" t="n"/>
      <c r="D1616" s="41" t="n"/>
      <c r="E1616" s="42" t="n"/>
      <c r="F1616" s="42" t="n"/>
      <c r="G1616" s="43">
        <f>IF($B1616="","",N($E1616)+N($F1616))</f>
        <v/>
      </c>
      <c r="H1616" s="42" t="n"/>
      <c r="I1616" s="43">
        <f>IF($B1616="","",N($G1616)-N($H1616))</f>
        <v/>
      </c>
    </row>
    <row r="1617">
      <c r="A1617" s="39">
        <f>IF($B1617="","",COUNTA($B$4:$B1617))</f>
        <v/>
      </c>
      <c r="B1617" s="45" t="n"/>
      <c r="C1617" s="46" t="n"/>
      <c r="D1617" s="46" t="n"/>
      <c r="E1617" s="47" t="n"/>
      <c r="F1617" s="47" t="n"/>
      <c r="G1617" s="43">
        <f>IF($B1617="","",N($E1617)+N($F1617))</f>
        <v/>
      </c>
      <c r="H1617" s="47" t="n"/>
      <c r="I1617" s="43">
        <f>IF($B1617="","",N($G1617)-N($H1617))</f>
        <v/>
      </c>
    </row>
    <row r="1618">
      <c r="A1618" s="39">
        <f>IF($B1618="","",COUNTA($B$4:$B1618))</f>
        <v/>
      </c>
      <c r="B1618" s="40" t="n"/>
      <c r="C1618" s="41" t="n"/>
      <c r="D1618" s="41" t="n"/>
      <c r="E1618" s="42" t="n"/>
      <c r="F1618" s="42" t="n"/>
      <c r="G1618" s="43">
        <f>IF($B1618="","",N($E1618)+N($F1618))</f>
        <v/>
      </c>
      <c r="H1618" s="42" t="n"/>
      <c r="I1618" s="43">
        <f>IF($B1618="","",N($G1618)-N($H1618))</f>
        <v/>
      </c>
    </row>
    <row r="1619">
      <c r="A1619" s="39">
        <f>IF($B1619="","",COUNTA($B$4:$B1619))</f>
        <v/>
      </c>
      <c r="B1619" s="45" t="n"/>
      <c r="C1619" s="46" t="n"/>
      <c r="D1619" s="46" t="n"/>
      <c r="E1619" s="47" t="n"/>
      <c r="F1619" s="47" t="n"/>
      <c r="G1619" s="43">
        <f>IF($B1619="","",N($E1619)+N($F1619))</f>
        <v/>
      </c>
      <c r="H1619" s="47" t="n"/>
      <c r="I1619" s="43">
        <f>IF($B1619="","",N($G1619)-N($H1619))</f>
        <v/>
      </c>
    </row>
    <row r="1620">
      <c r="A1620" s="39">
        <f>IF($B1620="","",COUNTA($B$4:$B1620))</f>
        <v/>
      </c>
      <c r="B1620" s="40" t="n"/>
      <c r="C1620" s="41" t="n"/>
      <c r="D1620" s="41" t="n"/>
      <c r="E1620" s="42" t="n"/>
      <c r="F1620" s="42" t="n"/>
      <c r="G1620" s="43">
        <f>IF($B1620="","",N($E1620)+N($F1620))</f>
        <v/>
      </c>
      <c r="H1620" s="42" t="n"/>
      <c r="I1620" s="43">
        <f>IF($B1620="","",N($G1620)-N($H1620))</f>
        <v/>
      </c>
    </row>
    <row r="1621">
      <c r="A1621" s="39">
        <f>IF($B1621="","",COUNTA($B$4:$B1621))</f>
        <v/>
      </c>
      <c r="B1621" s="45" t="n"/>
      <c r="C1621" s="46" t="n"/>
      <c r="D1621" s="46" t="n"/>
      <c r="E1621" s="47" t="n"/>
      <c r="F1621" s="47" t="n"/>
      <c r="G1621" s="43">
        <f>IF($B1621="","",N($E1621)+N($F1621))</f>
        <v/>
      </c>
      <c r="H1621" s="47" t="n"/>
      <c r="I1621" s="43">
        <f>IF($B1621="","",N($G1621)-N($H1621))</f>
        <v/>
      </c>
    </row>
    <row r="1622">
      <c r="A1622" s="39">
        <f>IF($B1622="","",COUNTA($B$4:$B1622))</f>
        <v/>
      </c>
      <c r="B1622" s="40" t="n"/>
      <c r="C1622" s="41" t="n"/>
      <c r="D1622" s="41" t="n"/>
      <c r="E1622" s="42" t="n"/>
      <c r="F1622" s="42" t="n"/>
      <c r="G1622" s="43">
        <f>IF($B1622="","",N($E1622)+N($F1622))</f>
        <v/>
      </c>
      <c r="H1622" s="42" t="n"/>
      <c r="I1622" s="43">
        <f>IF($B1622="","",N($G1622)-N($H1622))</f>
        <v/>
      </c>
    </row>
    <row r="1623">
      <c r="A1623" s="39">
        <f>IF($B1623="","",COUNTA($B$4:$B1623))</f>
        <v/>
      </c>
      <c r="B1623" s="45" t="n"/>
      <c r="C1623" s="46" t="n"/>
      <c r="D1623" s="46" t="n"/>
      <c r="E1623" s="47" t="n"/>
      <c r="F1623" s="47" t="n"/>
      <c r="G1623" s="43">
        <f>IF($B1623="","",N($E1623)+N($F1623))</f>
        <v/>
      </c>
      <c r="H1623" s="47" t="n"/>
      <c r="I1623" s="43">
        <f>IF($B1623="","",N($G1623)-N($H1623))</f>
        <v/>
      </c>
    </row>
    <row r="1624">
      <c r="A1624" s="39">
        <f>IF($B1624="","",COUNTA($B$4:$B1624))</f>
        <v/>
      </c>
      <c r="B1624" s="40" t="n"/>
      <c r="C1624" s="41" t="n"/>
      <c r="D1624" s="41" t="n"/>
      <c r="E1624" s="42" t="n"/>
      <c r="F1624" s="42" t="n"/>
      <c r="G1624" s="43">
        <f>IF($B1624="","",N($E1624)+N($F1624))</f>
        <v/>
      </c>
      <c r="H1624" s="42" t="n"/>
      <c r="I1624" s="43">
        <f>IF($B1624="","",N($G1624)-N($H1624))</f>
        <v/>
      </c>
    </row>
    <row r="1625">
      <c r="A1625" s="39">
        <f>IF($B1625="","",COUNTA($B$4:$B1625))</f>
        <v/>
      </c>
      <c r="B1625" s="45" t="n"/>
      <c r="C1625" s="46" t="n"/>
      <c r="D1625" s="46" t="n"/>
      <c r="E1625" s="47" t="n"/>
      <c r="F1625" s="47" t="n"/>
      <c r="G1625" s="43">
        <f>IF($B1625="","",N($E1625)+N($F1625))</f>
        <v/>
      </c>
      <c r="H1625" s="47" t="n"/>
      <c r="I1625" s="43">
        <f>IF($B1625="","",N($G1625)-N($H1625))</f>
        <v/>
      </c>
    </row>
    <row r="1626">
      <c r="A1626" s="39">
        <f>IF($B1626="","",COUNTA($B$4:$B1626))</f>
        <v/>
      </c>
      <c r="B1626" s="40" t="n"/>
      <c r="C1626" s="41" t="n"/>
      <c r="D1626" s="41" t="n"/>
      <c r="E1626" s="42" t="n"/>
      <c r="F1626" s="42" t="n"/>
      <c r="G1626" s="43">
        <f>IF($B1626="","",N($E1626)+N($F1626))</f>
        <v/>
      </c>
      <c r="H1626" s="42" t="n"/>
      <c r="I1626" s="43">
        <f>IF($B1626="","",N($G1626)-N($H1626))</f>
        <v/>
      </c>
    </row>
    <row r="1627">
      <c r="A1627" s="39">
        <f>IF($B1627="","",COUNTA($B$4:$B1627))</f>
        <v/>
      </c>
      <c r="B1627" s="45" t="n"/>
      <c r="C1627" s="46" t="n"/>
      <c r="D1627" s="46" t="n"/>
      <c r="E1627" s="47" t="n"/>
      <c r="F1627" s="47" t="n"/>
      <c r="G1627" s="43">
        <f>IF($B1627="","",N($E1627)+N($F1627))</f>
        <v/>
      </c>
      <c r="H1627" s="47" t="n"/>
      <c r="I1627" s="43">
        <f>IF($B1627="","",N($G1627)-N($H1627))</f>
        <v/>
      </c>
    </row>
    <row r="1628">
      <c r="A1628" s="39">
        <f>IF($B1628="","",COUNTA($B$4:$B1628))</f>
        <v/>
      </c>
      <c r="B1628" s="40" t="n"/>
      <c r="C1628" s="41" t="n"/>
      <c r="D1628" s="41" t="n"/>
      <c r="E1628" s="42" t="n"/>
      <c r="F1628" s="42" t="n"/>
      <c r="G1628" s="43">
        <f>IF($B1628="","",N($E1628)+N($F1628))</f>
        <v/>
      </c>
      <c r="H1628" s="42" t="n"/>
      <c r="I1628" s="43">
        <f>IF($B1628="","",N($G1628)-N($H1628))</f>
        <v/>
      </c>
    </row>
    <row r="1629">
      <c r="A1629" s="39">
        <f>IF($B1629="","",COUNTA($B$4:$B1629))</f>
        <v/>
      </c>
      <c r="B1629" s="45" t="n"/>
      <c r="C1629" s="46" t="n"/>
      <c r="D1629" s="46" t="n"/>
      <c r="E1629" s="47" t="n"/>
      <c r="F1629" s="47" t="n"/>
      <c r="G1629" s="43">
        <f>IF($B1629="","",N($E1629)+N($F1629))</f>
        <v/>
      </c>
      <c r="H1629" s="47" t="n"/>
      <c r="I1629" s="43">
        <f>IF($B1629="","",N($G1629)-N($H1629))</f>
        <v/>
      </c>
    </row>
    <row r="1630">
      <c r="A1630" s="39">
        <f>IF($B1630="","",COUNTA($B$4:$B1630))</f>
        <v/>
      </c>
      <c r="B1630" s="40" t="n"/>
      <c r="C1630" s="41" t="n"/>
      <c r="D1630" s="41" t="n"/>
      <c r="E1630" s="42" t="n"/>
      <c r="F1630" s="42" t="n"/>
      <c r="G1630" s="43">
        <f>IF($B1630="","",N($E1630)+N($F1630))</f>
        <v/>
      </c>
      <c r="H1630" s="42" t="n"/>
      <c r="I1630" s="43">
        <f>IF($B1630="","",N($G1630)-N($H1630))</f>
        <v/>
      </c>
    </row>
    <row r="1631">
      <c r="A1631" s="39">
        <f>IF($B1631="","",COUNTA($B$4:$B1631))</f>
        <v/>
      </c>
      <c r="B1631" s="45" t="n"/>
      <c r="C1631" s="46" t="n"/>
      <c r="D1631" s="46" t="n"/>
      <c r="E1631" s="47" t="n"/>
      <c r="F1631" s="47" t="n"/>
      <c r="G1631" s="43">
        <f>IF($B1631="","",N($E1631)+N($F1631))</f>
        <v/>
      </c>
      <c r="H1631" s="47" t="n"/>
      <c r="I1631" s="43">
        <f>IF($B1631="","",N($G1631)-N($H1631))</f>
        <v/>
      </c>
    </row>
    <row r="1632">
      <c r="A1632" s="39">
        <f>IF($B1632="","",COUNTA($B$4:$B1632))</f>
        <v/>
      </c>
      <c r="B1632" s="40" t="n"/>
      <c r="C1632" s="41" t="n"/>
      <c r="D1632" s="41" t="n"/>
      <c r="E1632" s="42" t="n"/>
      <c r="F1632" s="42" t="n"/>
      <c r="G1632" s="43">
        <f>IF($B1632="","",N($E1632)+N($F1632))</f>
        <v/>
      </c>
      <c r="H1632" s="42" t="n"/>
      <c r="I1632" s="43">
        <f>IF($B1632="","",N($G1632)-N($H1632))</f>
        <v/>
      </c>
    </row>
    <row r="1633">
      <c r="A1633" s="39">
        <f>IF($B1633="","",COUNTA($B$4:$B1633))</f>
        <v/>
      </c>
      <c r="B1633" s="45" t="n"/>
      <c r="C1633" s="46" t="n"/>
      <c r="D1633" s="46" t="n"/>
      <c r="E1633" s="47" t="n"/>
      <c r="F1633" s="47" t="n"/>
      <c r="G1633" s="43">
        <f>IF($B1633="","",N($E1633)+N($F1633))</f>
        <v/>
      </c>
      <c r="H1633" s="47" t="n"/>
      <c r="I1633" s="43">
        <f>IF($B1633="","",N($G1633)-N($H1633))</f>
        <v/>
      </c>
    </row>
    <row r="1634">
      <c r="A1634" s="39">
        <f>IF($B1634="","",COUNTA($B$4:$B1634))</f>
        <v/>
      </c>
      <c r="B1634" s="40" t="n"/>
      <c r="C1634" s="41" t="n"/>
      <c r="D1634" s="41" t="n"/>
      <c r="E1634" s="42" t="n"/>
      <c r="F1634" s="42" t="n"/>
      <c r="G1634" s="43">
        <f>IF($B1634="","",N($E1634)+N($F1634))</f>
        <v/>
      </c>
      <c r="H1634" s="42" t="n"/>
      <c r="I1634" s="43">
        <f>IF($B1634="","",N($G1634)-N($H1634))</f>
        <v/>
      </c>
    </row>
    <row r="1635">
      <c r="A1635" s="39">
        <f>IF($B1635="","",COUNTA($B$4:$B1635))</f>
        <v/>
      </c>
      <c r="B1635" s="45" t="n"/>
      <c r="C1635" s="46" t="n"/>
      <c r="D1635" s="46" t="n"/>
      <c r="E1635" s="47" t="n"/>
      <c r="F1635" s="47" t="n"/>
      <c r="G1635" s="43">
        <f>IF($B1635="","",N($E1635)+N($F1635))</f>
        <v/>
      </c>
      <c r="H1635" s="47" t="n"/>
      <c r="I1635" s="43">
        <f>IF($B1635="","",N($G1635)-N($H1635))</f>
        <v/>
      </c>
    </row>
    <row r="1636">
      <c r="A1636" s="39">
        <f>IF($B1636="","",COUNTA($B$4:$B1636))</f>
        <v/>
      </c>
      <c r="B1636" s="40" t="n"/>
      <c r="C1636" s="41" t="n"/>
      <c r="D1636" s="41" t="n"/>
      <c r="E1636" s="42" t="n"/>
      <c r="F1636" s="42" t="n"/>
      <c r="G1636" s="43">
        <f>IF($B1636="","",N($E1636)+N($F1636))</f>
        <v/>
      </c>
      <c r="H1636" s="42" t="n"/>
      <c r="I1636" s="43">
        <f>IF($B1636="","",N($G1636)-N($H1636))</f>
        <v/>
      </c>
    </row>
    <row r="1637">
      <c r="A1637" s="39">
        <f>IF($B1637="","",COUNTA($B$4:$B1637))</f>
        <v/>
      </c>
      <c r="B1637" s="45" t="n"/>
      <c r="C1637" s="46" t="n"/>
      <c r="D1637" s="46" t="n"/>
      <c r="E1637" s="47" t="n"/>
      <c r="F1637" s="47" t="n"/>
      <c r="G1637" s="43">
        <f>IF($B1637="","",N($E1637)+N($F1637))</f>
        <v/>
      </c>
      <c r="H1637" s="47" t="n"/>
      <c r="I1637" s="43">
        <f>IF($B1637="","",N($G1637)-N($H1637))</f>
        <v/>
      </c>
    </row>
    <row r="1638">
      <c r="A1638" s="39">
        <f>IF($B1638="","",COUNTA($B$4:$B1638))</f>
        <v/>
      </c>
      <c r="B1638" s="40" t="n"/>
      <c r="C1638" s="41" t="n"/>
      <c r="D1638" s="41" t="n"/>
      <c r="E1638" s="42" t="n"/>
      <c r="F1638" s="42" t="n"/>
      <c r="G1638" s="43">
        <f>IF($B1638="","",N($E1638)+N($F1638))</f>
        <v/>
      </c>
      <c r="H1638" s="42" t="n"/>
      <c r="I1638" s="43">
        <f>IF($B1638="","",N($G1638)-N($H1638))</f>
        <v/>
      </c>
    </row>
    <row r="1639">
      <c r="A1639" s="39">
        <f>IF($B1639="","",COUNTA($B$4:$B1639))</f>
        <v/>
      </c>
      <c r="B1639" s="45" t="n"/>
      <c r="C1639" s="46" t="n"/>
      <c r="D1639" s="46" t="n"/>
      <c r="E1639" s="47" t="n"/>
      <c r="F1639" s="47" t="n"/>
      <c r="G1639" s="43">
        <f>IF($B1639="","",N($E1639)+N($F1639))</f>
        <v/>
      </c>
      <c r="H1639" s="47" t="n"/>
      <c r="I1639" s="43">
        <f>IF($B1639="","",N($G1639)-N($H1639))</f>
        <v/>
      </c>
    </row>
    <row r="1640">
      <c r="A1640" s="39">
        <f>IF($B1640="","",COUNTA($B$4:$B1640))</f>
        <v/>
      </c>
      <c r="B1640" s="40" t="n"/>
      <c r="C1640" s="41" t="n"/>
      <c r="D1640" s="41" t="n"/>
      <c r="E1640" s="42" t="n"/>
      <c r="F1640" s="42" t="n"/>
      <c r="G1640" s="43">
        <f>IF($B1640="","",N($E1640)+N($F1640))</f>
        <v/>
      </c>
      <c r="H1640" s="42" t="n"/>
      <c r="I1640" s="43">
        <f>IF($B1640="","",N($G1640)-N($H1640))</f>
        <v/>
      </c>
    </row>
    <row r="1641">
      <c r="A1641" s="39">
        <f>IF($B1641="","",COUNTA($B$4:$B1641))</f>
        <v/>
      </c>
      <c r="B1641" s="45" t="n"/>
      <c r="C1641" s="46" t="n"/>
      <c r="D1641" s="46" t="n"/>
      <c r="E1641" s="47" t="n"/>
      <c r="F1641" s="47" t="n"/>
      <c r="G1641" s="43">
        <f>IF($B1641="","",N($E1641)+N($F1641))</f>
        <v/>
      </c>
      <c r="H1641" s="47" t="n"/>
      <c r="I1641" s="43">
        <f>IF($B1641="","",N($G1641)-N($H1641))</f>
        <v/>
      </c>
    </row>
    <row r="1642">
      <c r="A1642" s="39">
        <f>IF($B1642="","",COUNTA($B$4:$B1642))</f>
        <v/>
      </c>
      <c r="B1642" s="40" t="n"/>
      <c r="C1642" s="41" t="n"/>
      <c r="D1642" s="41" t="n"/>
      <c r="E1642" s="42" t="n"/>
      <c r="F1642" s="42" t="n"/>
      <c r="G1642" s="43">
        <f>IF($B1642="","",N($E1642)+N($F1642))</f>
        <v/>
      </c>
      <c r="H1642" s="42" t="n"/>
      <c r="I1642" s="43">
        <f>IF($B1642="","",N($G1642)-N($H1642))</f>
        <v/>
      </c>
    </row>
    <row r="1643">
      <c r="A1643" s="39">
        <f>IF($B1643="","",COUNTA($B$4:$B1643))</f>
        <v/>
      </c>
      <c r="B1643" s="45" t="n"/>
      <c r="C1643" s="46" t="n"/>
      <c r="D1643" s="46" t="n"/>
      <c r="E1643" s="47" t="n"/>
      <c r="F1643" s="47" t="n"/>
      <c r="G1643" s="43">
        <f>IF($B1643="","",N($E1643)+N($F1643))</f>
        <v/>
      </c>
      <c r="H1643" s="47" t="n"/>
      <c r="I1643" s="43">
        <f>IF($B1643="","",N($G1643)-N($H1643))</f>
        <v/>
      </c>
    </row>
    <row r="1644">
      <c r="A1644" s="39">
        <f>IF($B1644="","",COUNTA($B$4:$B1644))</f>
        <v/>
      </c>
      <c r="B1644" s="40" t="n"/>
      <c r="C1644" s="41" t="n"/>
      <c r="D1644" s="41" t="n"/>
      <c r="E1644" s="42" t="n"/>
      <c r="F1644" s="42" t="n"/>
      <c r="G1644" s="43">
        <f>IF($B1644="","",N($E1644)+N($F1644))</f>
        <v/>
      </c>
      <c r="H1644" s="42" t="n"/>
      <c r="I1644" s="43">
        <f>IF($B1644="","",N($G1644)-N($H1644))</f>
        <v/>
      </c>
    </row>
    <row r="1645">
      <c r="A1645" s="39">
        <f>IF($B1645="","",COUNTA($B$4:$B1645))</f>
        <v/>
      </c>
      <c r="B1645" s="45" t="n"/>
      <c r="C1645" s="46" t="n"/>
      <c r="D1645" s="46" t="n"/>
      <c r="E1645" s="47" t="n"/>
      <c r="F1645" s="47" t="n"/>
      <c r="G1645" s="43">
        <f>IF($B1645="","",N($E1645)+N($F1645))</f>
        <v/>
      </c>
      <c r="H1645" s="47" t="n"/>
      <c r="I1645" s="43">
        <f>IF($B1645="","",N($G1645)-N($H1645))</f>
        <v/>
      </c>
    </row>
    <row r="1646">
      <c r="A1646" s="39">
        <f>IF($B1646="","",COUNTA($B$4:$B1646))</f>
        <v/>
      </c>
      <c r="B1646" s="40" t="n"/>
      <c r="C1646" s="41" t="n"/>
      <c r="D1646" s="41" t="n"/>
      <c r="E1646" s="42" t="n"/>
      <c r="F1646" s="42" t="n"/>
      <c r="G1646" s="43">
        <f>IF($B1646="","",N($E1646)+N($F1646))</f>
        <v/>
      </c>
      <c r="H1646" s="42" t="n"/>
      <c r="I1646" s="43">
        <f>IF($B1646="","",N($G1646)-N($H1646))</f>
        <v/>
      </c>
    </row>
    <row r="1647">
      <c r="A1647" s="39">
        <f>IF($B1647="","",COUNTA($B$4:$B1647))</f>
        <v/>
      </c>
      <c r="B1647" s="45" t="n"/>
      <c r="C1647" s="46" t="n"/>
      <c r="D1647" s="46" t="n"/>
      <c r="E1647" s="47" t="n"/>
      <c r="F1647" s="47" t="n"/>
      <c r="G1647" s="43">
        <f>IF($B1647="","",N($E1647)+N($F1647))</f>
        <v/>
      </c>
      <c r="H1647" s="47" t="n"/>
      <c r="I1647" s="43">
        <f>IF($B1647="","",N($G1647)-N($H1647))</f>
        <v/>
      </c>
    </row>
    <row r="1648">
      <c r="A1648" s="39">
        <f>IF($B1648="","",COUNTA($B$4:$B1648))</f>
        <v/>
      </c>
      <c r="B1648" s="40" t="n"/>
      <c r="C1648" s="41" t="n"/>
      <c r="D1648" s="41" t="n"/>
      <c r="E1648" s="42" t="n"/>
      <c r="F1648" s="42" t="n"/>
      <c r="G1648" s="43">
        <f>IF($B1648="","",N($E1648)+N($F1648))</f>
        <v/>
      </c>
      <c r="H1648" s="42" t="n"/>
      <c r="I1648" s="43">
        <f>IF($B1648="","",N($G1648)-N($H1648))</f>
        <v/>
      </c>
    </row>
    <row r="1649">
      <c r="A1649" s="39">
        <f>IF($B1649="","",COUNTA($B$4:$B1649))</f>
        <v/>
      </c>
      <c r="B1649" s="45" t="n"/>
      <c r="C1649" s="46" t="n"/>
      <c r="D1649" s="46" t="n"/>
      <c r="E1649" s="47" t="n"/>
      <c r="F1649" s="47" t="n"/>
      <c r="G1649" s="43">
        <f>IF($B1649="","",N($E1649)+N($F1649))</f>
        <v/>
      </c>
      <c r="H1649" s="47" t="n"/>
      <c r="I1649" s="43">
        <f>IF($B1649="","",N($G1649)-N($H1649))</f>
        <v/>
      </c>
    </row>
    <row r="1650">
      <c r="A1650" s="39">
        <f>IF($B1650="","",COUNTA($B$4:$B1650))</f>
        <v/>
      </c>
      <c r="B1650" s="40" t="n"/>
      <c r="C1650" s="41" t="n"/>
      <c r="D1650" s="41" t="n"/>
      <c r="E1650" s="42" t="n"/>
      <c r="F1650" s="42" t="n"/>
      <c r="G1650" s="43">
        <f>IF($B1650="","",N($E1650)+N($F1650))</f>
        <v/>
      </c>
      <c r="H1650" s="42" t="n"/>
      <c r="I1650" s="43">
        <f>IF($B1650="","",N($G1650)-N($H1650))</f>
        <v/>
      </c>
    </row>
    <row r="1651">
      <c r="A1651" s="39">
        <f>IF($B1651="","",COUNTA($B$4:$B1651))</f>
        <v/>
      </c>
      <c r="B1651" s="45" t="n"/>
      <c r="C1651" s="46" t="n"/>
      <c r="D1651" s="46" t="n"/>
      <c r="E1651" s="47" t="n"/>
      <c r="F1651" s="47" t="n"/>
      <c r="G1651" s="43">
        <f>IF($B1651="","",N($E1651)+N($F1651))</f>
        <v/>
      </c>
      <c r="H1651" s="47" t="n"/>
      <c r="I1651" s="43">
        <f>IF($B1651="","",N($G1651)-N($H1651))</f>
        <v/>
      </c>
    </row>
    <row r="1652">
      <c r="A1652" s="39">
        <f>IF($B1652="","",COUNTA($B$4:$B1652))</f>
        <v/>
      </c>
      <c r="B1652" s="40" t="n"/>
      <c r="C1652" s="41" t="n"/>
      <c r="D1652" s="41" t="n"/>
      <c r="E1652" s="42" t="n"/>
      <c r="F1652" s="42" t="n"/>
      <c r="G1652" s="43">
        <f>IF($B1652="","",N($E1652)+N($F1652))</f>
        <v/>
      </c>
      <c r="H1652" s="42" t="n"/>
      <c r="I1652" s="43">
        <f>IF($B1652="","",N($G1652)-N($H1652))</f>
        <v/>
      </c>
    </row>
    <row r="1653">
      <c r="A1653" s="39">
        <f>IF($B1653="","",COUNTA($B$4:$B1653))</f>
        <v/>
      </c>
      <c r="B1653" s="45" t="n"/>
      <c r="C1653" s="46" t="n"/>
      <c r="D1653" s="46" t="n"/>
      <c r="E1653" s="47" t="n"/>
      <c r="F1653" s="47" t="n"/>
      <c r="G1653" s="43">
        <f>IF($B1653="","",N($E1653)+N($F1653))</f>
        <v/>
      </c>
      <c r="H1653" s="47" t="n"/>
      <c r="I1653" s="43">
        <f>IF($B1653="","",N($G1653)-N($H1653))</f>
        <v/>
      </c>
    </row>
    <row r="1654">
      <c r="A1654" s="39">
        <f>IF($B1654="","",COUNTA($B$4:$B1654))</f>
        <v/>
      </c>
      <c r="B1654" s="40" t="n"/>
      <c r="C1654" s="41" t="n"/>
      <c r="D1654" s="41" t="n"/>
      <c r="E1654" s="42" t="n"/>
      <c r="F1654" s="42" t="n"/>
      <c r="G1654" s="43">
        <f>IF($B1654="","",N($E1654)+N($F1654))</f>
        <v/>
      </c>
      <c r="H1654" s="42" t="n"/>
      <c r="I1654" s="43">
        <f>IF($B1654="","",N($G1654)-N($H1654))</f>
        <v/>
      </c>
    </row>
    <row r="1655">
      <c r="A1655" s="39">
        <f>IF($B1655="","",COUNTA($B$4:$B1655))</f>
        <v/>
      </c>
      <c r="B1655" s="45" t="n"/>
      <c r="C1655" s="46" t="n"/>
      <c r="D1655" s="46" t="n"/>
      <c r="E1655" s="47" t="n"/>
      <c r="F1655" s="47" t="n"/>
      <c r="G1655" s="43">
        <f>IF($B1655="","",N($E1655)+N($F1655))</f>
        <v/>
      </c>
      <c r="H1655" s="47" t="n"/>
      <c r="I1655" s="43">
        <f>IF($B1655="","",N($G1655)-N($H1655))</f>
        <v/>
      </c>
    </row>
    <row r="1656">
      <c r="A1656" s="39">
        <f>IF($B1656="","",COUNTA($B$4:$B1656))</f>
        <v/>
      </c>
      <c r="B1656" s="40" t="n"/>
      <c r="C1656" s="41" t="n"/>
      <c r="D1656" s="41" t="n"/>
      <c r="E1656" s="42" t="n"/>
      <c r="F1656" s="42" t="n"/>
      <c r="G1656" s="43">
        <f>IF($B1656="","",N($E1656)+N($F1656))</f>
        <v/>
      </c>
      <c r="H1656" s="42" t="n"/>
      <c r="I1656" s="43">
        <f>IF($B1656="","",N($G1656)-N($H1656))</f>
        <v/>
      </c>
    </row>
    <row r="1657">
      <c r="A1657" s="39">
        <f>IF($B1657="","",COUNTA($B$4:$B1657))</f>
        <v/>
      </c>
      <c r="B1657" s="45" t="n"/>
      <c r="C1657" s="46" t="n"/>
      <c r="D1657" s="46" t="n"/>
      <c r="E1657" s="47" t="n"/>
      <c r="F1657" s="47" t="n"/>
      <c r="G1657" s="43">
        <f>IF($B1657="","",N($E1657)+N($F1657))</f>
        <v/>
      </c>
      <c r="H1657" s="47" t="n"/>
      <c r="I1657" s="43">
        <f>IF($B1657="","",N($G1657)-N($H1657))</f>
        <v/>
      </c>
    </row>
    <row r="1658">
      <c r="A1658" s="39">
        <f>IF($B1658="","",COUNTA($B$4:$B1658))</f>
        <v/>
      </c>
      <c r="B1658" s="40" t="n"/>
      <c r="C1658" s="41" t="n"/>
      <c r="D1658" s="41" t="n"/>
      <c r="E1658" s="42" t="n"/>
      <c r="F1658" s="42" t="n"/>
      <c r="G1658" s="43">
        <f>IF($B1658="","",N($E1658)+N($F1658))</f>
        <v/>
      </c>
      <c r="H1658" s="42" t="n"/>
      <c r="I1658" s="43">
        <f>IF($B1658="","",N($G1658)-N($H1658))</f>
        <v/>
      </c>
    </row>
    <row r="1659">
      <c r="A1659" s="39">
        <f>IF($B1659="","",COUNTA($B$4:$B1659))</f>
        <v/>
      </c>
      <c r="B1659" s="45" t="n"/>
      <c r="C1659" s="46" t="n"/>
      <c r="D1659" s="46" t="n"/>
      <c r="E1659" s="47" t="n"/>
      <c r="F1659" s="47" t="n"/>
      <c r="G1659" s="43">
        <f>IF($B1659="","",N($E1659)+N($F1659))</f>
        <v/>
      </c>
      <c r="H1659" s="47" t="n"/>
      <c r="I1659" s="43">
        <f>IF($B1659="","",N($G1659)-N($H1659))</f>
        <v/>
      </c>
    </row>
    <row r="1660">
      <c r="A1660" s="39">
        <f>IF($B1660="","",COUNTA($B$4:$B1660))</f>
        <v/>
      </c>
      <c r="B1660" s="40" t="n"/>
      <c r="C1660" s="41" t="n"/>
      <c r="D1660" s="41" t="n"/>
      <c r="E1660" s="42" t="n"/>
      <c r="F1660" s="42" t="n"/>
      <c r="G1660" s="43">
        <f>IF($B1660="","",N($E1660)+N($F1660))</f>
        <v/>
      </c>
      <c r="H1660" s="42" t="n"/>
      <c r="I1660" s="43">
        <f>IF($B1660="","",N($G1660)-N($H1660))</f>
        <v/>
      </c>
    </row>
    <row r="1661">
      <c r="A1661" s="39">
        <f>IF($B1661="","",COUNTA($B$4:$B1661))</f>
        <v/>
      </c>
      <c r="B1661" s="45" t="n"/>
      <c r="C1661" s="46" t="n"/>
      <c r="D1661" s="46" t="n"/>
      <c r="E1661" s="47" t="n"/>
      <c r="F1661" s="47" t="n"/>
      <c r="G1661" s="43">
        <f>IF($B1661="","",N($E1661)+N($F1661))</f>
        <v/>
      </c>
      <c r="H1661" s="47" t="n"/>
      <c r="I1661" s="43">
        <f>IF($B1661="","",N($G1661)-N($H1661))</f>
        <v/>
      </c>
    </row>
    <row r="1662">
      <c r="A1662" s="39">
        <f>IF($B1662="","",COUNTA($B$4:$B1662))</f>
        <v/>
      </c>
      <c r="B1662" s="40" t="n"/>
      <c r="C1662" s="41" t="n"/>
      <c r="D1662" s="41" t="n"/>
      <c r="E1662" s="42" t="n"/>
      <c r="F1662" s="42" t="n"/>
      <c r="G1662" s="43">
        <f>IF($B1662="","",N($E1662)+N($F1662))</f>
        <v/>
      </c>
      <c r="H1662" s="42" t="n"/>
      <c r="I1662" s="43">
        <f>IF($B1662="","",N($G1662)-N($H1662))</f>
        <v/>
      </c>
    </row>
    <row r="1663">
      <c r="A1663" s="39">
        <f>IF($B1663="","",COUNTA($B$4:$B1663))</f>
        <v/>
      </c>
      <c r="B1663" s="45" t="n"/>
      <c r="C1663" s="46" t="n"/>
      <c r="D1663" s="46" t="n"/>
      <c r="E1663" s="47" t="n"/>
      <c r="F1663" s="47" t="n"/>
      <c r="G1663" s="43">
        <f>IF($B1663="","",N($E1663)+N($F1663))</f>
        <v/>
      </c>
      <c r="H1663" s="47" t="n"/>
      <c r="I1663" s="43">
        <f>IF($B1663="","",N($G1663)-N($H1663))</f>
        <v/>
      </c>
    </row>
    <row r="1664">
      <c r="A1664" s="39">
        <f>IF($B1664="","",COUNTA($B$4:$B1664))</f>
        <v/>
      </c>
      <c r="B1664" s="40" t="n"/>
      <c r="C1664" s="41" t="n"/>
      <c r="D1664" s="41" t="n"/>
      <c r="E1664" s="42" t="n"/>
      <c r="F1664" s="42" t="n"/>
      <c r="G1664" s="43">
        <f>IF($B1664="","",N($E1664)+N($F1664))</f>
        <v/>
      </c>
      <c r="H1664" s="42" t="n"/>
      <c r="I1664" s="43">
        <f>IF($B1664="","",N($G1664)-N($H1664))</f>
        <v/>
      </c>
    </row>
    <row r="1665">
      <c r="A1665" s="39">
        <f>IF($B1665="","",COUNTA($B$4:$B1665))</f>
        <v/>
      </c>
      <c r="B1665" s="45" t="n"/>
      <c r="C1665" s="46" t="n"/>
      <c r="D1665" s="46" t="n"/>
      <c r="E1665" s="47" t="n"/>
      <c r="F1665" s="47" t="n"/>
      <c r="G1665" s="43">
        <f>IF($B1665="","",N($E1665)+N($F1665))</f>
        <v/>
      </c>
      <c r="H1665" s="47" t="n"/>
      <c r="I1665" s="43">
        <f>IF($B1665="","",N($G1665)-N($H1665))</f>
        <v/>
      </c>
    </row>
    <row r="1666">
      <c r="A1666" s="39">
        <f>IF($B1666="","",COUNTA($B$4:$B1666))</f>
        <v/>
      </c>
      <c r="B1666" s="40" t="n"/>
      <c r="C1666" s="41" t="n"/>
      <c r="D1666" s="41" t="n"/>
      <c r="E1666" s="42" t="n"/>
      <c r="F1666" s="42" t="n"/>
      <c r="G1666" s="43">
        <f>IF($B1666="","",N($E1666)+N($F1666))</f>
        <v/>
      </c>
      <c r="H1666" s="42" t="n"/>
      <c r="I1666" s="43">
        <f>IF($B1666="","",N($G1666)-N($H1666))</f>
        <v/>
      </c>
    </row>
    <row r="1667">
      <c r="A1667" s="39">
        <f>IF($B1667="","",COUNTA($B$4:$B1667))</f>
        <v/>
      </c>
      <c r="B1667" s="45" t="n"/>
      <c r="C1667" s="46" t="n"/>
      <c r="D1667" s="46" t="n"/>
      <c r="E1667" s="47" t="n"/>
      <c r="F1667" s="47" t="n"/>
      <c r="G1667" s="43">
        <f>IF($B1667="","",N($E1667)+N($F1667))</f>
        <v/>
      </c>
      <c r="H1667" s="47" t="n"/>
      <c r="I1667" s="43">
        <f>IF($B1667="","",N($G1667)-N($H1667))</f>
        <v/>
      </c>
    </row>
    <row r="1668">
      <c r="A1668" s="39">
        <f>IF($B1668="","",COUNTA($B$4:$B1668))</f>
        <v/>
      </c>
      <c r="B1668" s="40" t="n"/>
      <c r="C1668" s="41" t="n"/>
      <c r="D1668" s="41" t="n"/>
      <c r="E1668" s="42" t="n"/>
      <c r="F1668" s="42" t="n"/>
      <c r="G1668" s="43">
        <f>IF($B1668="","",N($E1668)+N($F1668))</f>
        <v/>
      </c>
      <c r="H1668" s="42" t="n"/>
      <c r="I1668" s="43">
        <f>IF($B1668="","",N($G1668)-N($H1668))</f>
        <v/>
      </c>
    </row>
    <row r="1669">
      <c r="A1669" s="39">
        <f>IF($B1669="","",COUNTA($B$4:$B1669))</f>
        <v/>
      </c>
      <c r="B1669" s="45" t="n"/>
      <c r="C1669" s="46" t="n"/>
      <c r="D1669" s="46" t="n"/>
      <c r="E1669" s="47" t="n"/>
      <c r="F1669" s="47" t="n"/>
      <c r="G1669" s="43">
        <f>IF($B1669="","",N($E1669)+N($F1669))</f>
        <v/>
      </c>
      <c r="H1669" s="47" t="n"/>
      <c r="I1669" s="43">
        <f>IF($B1669="","",N($G1669)-N($H1669))</f>
        <v/>
      </c>
    </row>
    <row r="1670">
      <c r="A1670" s="39">
        <f>IF($B1670="","",COUNTA($B$4:$B1670))</f>
        <v/>
      </c>
      <c r="B1670" s="40" t="n"/>
      <c r="C1670" s="41" t="n"/>
      <c r="D1670" s="41" t="n"/>
      <c r="E1670" s="42" t="n"/>
      <c r="F1670" s="42" t="n"/>
      <c r="G1670" s="43">
        <f>IF($B1670="","",N($E1670)+N($F1670))</f>
        <v/>
      </c>
      <c r="H1670" s="42" t="n"/>
      <c r="I1670" s="43">
        <f>IF($B1670="","",N($G1670)-N($H1670))</f>
        <v/>
      </c>
    </row>
    <row r="1671">
      <c r="A1671" s="39">
        <f>IF($B1671="","",COUNTA($B$4:$B1671))</f>
        <v/>
      </c>
      <c r="B1671" s="45" t="n"/>
      <c r="C1671" s="46" t="n"/>
      <c r="D1671" s="46" t="n"/>
      <c r="E1671" s="47" t="n"/>
      <c r="F1671" s="47" t="n"/>
      <c r="G1671" s="43">
        <f>IF($B1671="","",N($E1671)+N($F1671))</f>
        <v/>
      </c>
      <c r="H1671" s="47" t="n"/>
      <c r="I1671" s="43">
        <f>IF($B1671="","",N($G1671)-N($H1671))</f>
        <v/>
      </c>
    </row>
    <row r="1672">
      <c r="A1672" s="39">
        <f>IF($B1672="","",COUNTA($B$4:$B1672))</f>
        <v/>
      </c>
      <c r="B1672" s="40" t="n"/>
      <c r="C1672" s="41" t="n"/>
      <c r="D1672" s="41" t="n"/>
      <c r="E1672" s="42" t="n"/>
      <c r="F1672" s="42" t="n"/>
      <c r="G1672" s="43">
        <f>IF($B1672="","",N($E1672)+N($F1672))</f>
        <v/>
      </c>
      <c r="H1672" s="42" t="n"/>
      <c r="I1672" s="43">
        <f>IF($B1672="","",N($G1672)-N($H1672))</f>
        <v/>
      </c>
    </row>
    <row r="1673">
      <c r="A1673" s="39">
        <f>IF($B1673="","",COUNTA($B$4:$B1673))</f>
        <v/>
      </c>
      <c r="B1673" s="45" t="n"/>
      <c r="C1673" s="46" t="n"/>
      <c r="D1673" s="46" t="n"/>
      <c r="E1673" s="47" t="n"/>
      <c r="F1673" s="47" t="n"/>
      <c r="G1673" s="43">
        <f>IF($B1673="","",N($E1673)+N($F1673))</f>
        <v/>
      </c>
      <c r="H1673" s="47" t="n"/>
      <c r="I1673" s="43">
        <f>IF($B1673="","",N($G1673)-N($H1673))</f>
        <v/>
      </c>
    </row>
    <row r="1674">
      <c r="A1674" s="39">
        <f>IF($B1674="","",COUNTA($B$4:$B1674))</f>
        <v/>
      </c>
      <c r="B1674" s="40" t="n"/>
      <c r="C1674" s="41" t="n"/>
      <c r="D1674" s="41" t="n"/>
      <c r="E1674" s="42" t="n"/>
      <c r="F1674" s="42" t="n"/>
      <c r="G1674" s="43">
        <f>IF($B1674="","",N($E1674)+N($F1674))</f>
        <v/>
      </c>
      <c r="H1674" s="42" t="n"/>
      <c r="I1674" s="43">
        <f>IF($B1674="","",N($G1674)-N($H1674))</f>
        <v/>
      </c>
    </row>
    <row r="1675">
      <c r="A1675" s="39">
        <f>IF($B1675="","",COUNTA($B$4:$B1675))</f>
        <v/>
      </c>
      <c r="B1675" s="45" t="n"/>
      <c r="C1675" s="46" t="n"/>
      <c r="D1675" s="46" t="n"/>
      <c r="E1675" s="47" t="n"/>
      <c r="F1675" s="47" t="n"/>
      <c r="G1675" s="43">
        <f>IF($B1675="","",N($E1675)+N($F1675))</f>
        <v/>
      </c>
      <c r="H1675" s="47" t="n"/>
      <c r="I1675" s="43">
        <f>IF($B1675="","",N($G1675)-N($H1675))</f>
        <v/>
      </c>
    </row>
    <row r="1676">
      <c r="A1676" s="39">
        <f>IF($B1676="","",COUNTA($B$4:$B1676))</f>
        <v/>
      </c>
      <c r="B1676" s="40" t="n"/>
      <c r="C1676" s="41" t="n"/>
      <c r="D1676" s="41" t="n"/>
      <c r="E1676" s="42" t="n"/>
      <c r="F1676" s="42" t="n"/>
      <c r="G1676" s="43">
        <f>IF($B1676="","",N($E1676)+N($F1676))</f>
        <v/>
      </c>
      <c r="H1676" s="42" t="n"/>
      <c r="I1676" s="43">
        <f>IF($B1676="","",N($G1676)-N($H1676))</f>
        <v/>
      </c>
    </row>
    <row r="1677">
      <c r="A1677" s="39">
        <f>IF($B1677="","",COUNTA($B$4:$B1677))</f>
        <v/>
      </c>
      <c r="B1677" s="45" t="n"/>
      <c r="C1677" s="46" t="n"/>
      <c r="D1677" s="46" t="n"/>
      <c r="E1677" s="47" t="n"/>
      <c r="F1677" s="47" t="n"/>
      <c r="G1677" s="43">
        <f>IF($B1677="","",N($E1677)+N($F1677))</f>
        <v/>
      </c>
      <c r="H1677" s="47" t="n"/>
      <c r="I1677" s="43">
        <f>IF($B1677="","",N($G1677)-N($H1677))</f>
        <v/>
      </c>
    </row>
    <row r="1678">
      <c r="A1678" s="39">
        <f>IF($B1678="","",COUNTA($B$4:$B1678))</f>
        <v/>
      </c>
      <c r="B1678" s="40" t="n"/>
      <c r="C1678" s="41" t="n"/>
      <c r="D1678" s="41" t="n"/>
      <c r="E1678" s="42" t="n"/>
      <c r="F1678" s="42" t="n"/>
      <c r="G1678" s="43">
        <f>IF($B1678="","",N($E1678)+N($F1678))</f>
        <v/>
      </c>
      <c r="H1678" s="42" t="n"/>
      <c r="I1678" s="43">
        <f>IF($B1678="","",N($G1678)-N($H1678))</f>
        <v/>
      </c>
    </row>
    <row r="1679">
      <c r="A1679" s="39">
        <f>IF($B1679="","",COUNTA($B$4:$B1679))</f>
        <v/>
      </c>
      <c r="B1679" s="45" t="n"/>
      <c r="C1679" s="46" t="n"/>
      <c r="D1679" s="46" t="n"/>
      <c r="E1679" s="47" t="n"/>
      <c r="F1679" s="47" t="n"/>
      <c r="G1679" s="43">
        <f>IF($B1679="","",N($E1679)+N($F1679))</f>
        <v/>
      </c>
      <c r="H1679" s="47" t="n"/>
      <c r="I1679" s="43">
        <f>IF($B1679="","",N($G1679)-N($H1679))</f>
        <v/>
      </c>
    </row>
    <row r="1680">
      <c r="A1680" s="39">
        <f>IF($B1680="","",COUNTA($B$4:$B1680))</f>
        <v/>
      </c>
      <c r="B1680" s="40" t="n"/>
      <c r="C1680" s="41" t="n"/>
      <c r="D1680" s="41" t="n"/>
      <c r="E1680" s="42" t="n"/>
      <c r="F1680" s="42" t="n"/>
      <c r="G1680" s="43">
        <f>IF($B1680="","",N($E1680)+N($F1680))</f>
        <v/>
      </c>
      <c r="H1680" s="42" t="n"/>
      <c r="I1680" s="43">
        <f>IF($B1680="","",N($G1680)-N($H1680))</f>
        <v/>
      </c>
    </row>
    <row r="1681">
      <c r="A1681" s="39">
        <f>IF($B1681="","",COUNTA($B$4:$B1681))</f>
        <v/>
      </c>
      <c r="B1681" s="45" t="n"/>
      <c r="C1681" s="46" t="n"/>
      <c r="D1681" s="46" t="n"/>
      <c r="E1681" s="47" t="n"/>
      <c r="F1681" s="47" t="n"/>
      <c r="G1681" s="43">
        <f>IF($B1681="","",N($E1681)+N($F1681))</f>
        <v/>
      </c>
      <c r="H1681" s="47" t="n"/>
      <c r="I1681" s="43">
        <f>IF($B1681="","",N($G1681)-N($H1681))</f>
        <v/>
      </c>
    </row>
    <row r="1682">
      <c r="A1682" s="39">
        <f>IF($B1682="","",COUNTA($B$4:$B1682))</f>
        <v/>
      </c>
      <c r="B1682" s="40" t="n"/>
      <c r="C1682" s="41" t="n"/>
      <c r="D1682" s="41" t="n"/>
      <c r="E1682" s="42" t="n"/>
      <c r="F1682" s="42" t="n"/>
      <c r="G1682" s="43">
        <f>IF($B1682="","",N($E1682)+N($F1682))</f>
        <v/>
      </c>
      <c r="H1682" s="42" t="n"/>
      <c r="I1682" s="43">
        <f>IF($B1682="","",N($G1682)-N($H1682))</f>
        <v/>
      </c>
    </row>
    <row r="1683">
      <c r="A1683" s="39">
        <f>IF($B1683="","",COUNTA($B$4:$B1683))</f>
        <v/>
      </c>
      <c r="B1683" s="45" t="n"/>
      <c r="C1683" s="46" t="n"/>
      <c r="D1683" s="46" t="n"/>
      <c r="E1683" s="47" t="n"/>
      <c r="F1683" s="47" t="n"/>
      <c r="G1683" s="43">
        <f>IF($B1683="","",N($E1683)+N($F1683))</f>
        <v/>
      </c>
      <c r="H1683" s="47" t="n"/>
      <c r="I1683" s="43">
        <f>IF($B1683="","",N($G1683)-N($H1683))</f>
        <v/>
      </c>
    </row>
    <row r="1684">
      <c r="A1684" s="39">
        <f>IF($B1684="","",COUNTA($B$4:$B1684))</f>
        <v/>
      </c>
      <c r="B1684" s="40" t="n"/>
      <c r="C1684" s="41" t="n"/>
      <c r="D1684" s="41" t="n"/>
      <c r="E1684" s="42" t="n"/>
      <c r="F1684" s="42" t="n"/>
      <c r="G1684" s="43">
        <f>IF($B1684="","",N($E1684)+N($F1684))</f>
        <v/>
      </c>
      <c r="H1684" s="42" t="n"/>
      <c r="I1684" s="43">
        <f>IF($B1684="","",N($G1684)-N($H1684))</f>
        <v/>
      </c>
    </row>
    <row r="1685">
      <c r="A1685" s="39">
        <f>IF($B1685="","",COUNTA($B$4:$B1685))</f>
        <v/>
      </c>
      <c r="B1685" s="45" t="n"/>
      <c r="C1685" s="46" t="n"/>
      <c r="D1685" s="46" t="n"/>
      <c r="E1685" s="47" t="n"/>
      <c r="F1685" s="47" t="n"/>
      <c r="G1685" s="43">
        <f>IF($B1685="","",N($E1685)+N($F1685))</f>
        <v/>
      </c>
      <c r="H1685" s="47" t="n"/>
      <c r="I1685" s="43">
        <f>IF($B1685="","",N($G1685)-N($H1685))</f>
        <v/>
      </c>
    </row>
    <row r="1686">
      <c r="A1686" s="39">
        <f>IF($B1686="","",COUNTA($B$4:$B1686))</f>
        <v/>
      </c>
      <c r="B1686" s="40" t="n"/>
      <c r="C1686" s="41" t="n"/>
      <c r="D1686" s="41" t="n"/>
      <c r="E1686" s="42" t="n"/>
      <c r="F1686" s="42" t="n"/>
      <c r="G1686" s="43">
        <f>IF($B1686="","",N($E1686)+N($F1686))</f>
        <v/>
      </c>
      <c r="H1686" s="42" t="n"/>
      <c r="I1686" s="43">
        <f>IF($B1686="","",N($G1686)-N($H1686))</f>
        <v/>
      </c>
    </row>
    <row r="1687">
      <c r="A1687" s="39">
        <f>IF($B1687="","",COUNTA($B$4:$B1687))</f>
        <v/>
      </c>
      <c r="B1687" s="45" t="n"/>
      <c r="C1687" s="46" t="n"/>
      <c r="D1687" s="46" t="n"/>
      <c r="E1687" s="47" t="n"/>
      <c r="F1687" s="47" t="n"/>
      <c r="G1687" s="43">
        <f>IF($B1687="","",N($E1687)+N($F1687))</f>
        <v/>
      </c>
      <c r="H1687" s="47" t="n"/>
      <c r="I1687" s="43">
        <f>IF($B1687="","",N($G1687)-N($H1687))</f>
        <v/>
      </c>
    </row>
    <row r="1688">
      <c r="A1688" s="39">
        <f>IF($B1688="","",COUNTA($B$4:$B1688))</f>
        <v/>
      </c>
      <c r="B1688" s="40" t="n"/>
      <c r="C1688" s="41" t="n"/>
      <c r="D1688" s="41" t="n"/>
      <c r="E1688" s="42" t="n"/>
      <c r="F1688" s="42" t="n"/>
      <c r="G1688" s="43">
        <f>IF($B1688="","",N($E1688)+N($F1688))</f>
        <v/>
      </c>
      <c r="H1688" s="42" t="n"/>
      <c r="I1688" s="43">
        <f>IF($B1688="","",N($G1688)-N($H1688))</f>
        <v/>
      </c>
    </row>
    <row r="1689">
      <c r="A1689" s="39">
        <f>IF($B1689="","",COUNTA($B$4:$B1689))</f>
        <v/>
      </c>
      <c r="B1689" s="45" t="n"/>
      <c r="C1689" s="46" t="n"/>
      <c r="D1689" s="46" t="n"/>
      <c r="E1689" s="47" t="n"/>
      <c r="F1689" s="47" t="n"/>
      <c r="G1689" s="43">
        <f>IF($B1689="","",N($E1689)+N($F1689))</f>
        <v/>
      </c>
      <c r="H1689" s="47" t="n"/>
      <c r="I1689" s="43">
        <f>IF($B1689="","",N($G1689)-N($H1689))</f>
        <v/>
      </c>
    </row>
    <row r="1690">
      <c r="A1690" s="39">
        <f>IF($B1690="","",COUNTA($B$4:$B1690))</f>
        <v/>
      </c>
      <c r="B1690" s="40" t="n"/>
      <c r="C1690" s="41" t="n"/>
      <c r="D1690" s="41" t="n"/>
      <c r="E1690" s="42" t="n"/>
      <c r="F1690" s="42" t="n"/>
      <c r="G1690" s="43">
        <f>IF($B1690="","",N($E1690)+N($F1690))</f>
        <v/>
      </c>
      <c r="H1690" s="42" t="n"/>
      <c r="I1690" s="43">
        <f>IF($B1690="","",N($G1690)-N($H1690))</f>
        <v/>
      </c>
    </row>
    <row r="1691">
      <c r="A1691" s="39">
        <f>IF($B1691="","",COUNTA($B$4:$B1691))</f>
        <v/>
      </c>
      <c r="B1691" s="45" t="n"/>
      <c r="C1691" s="46" t="n"/>
      <c r="D1691" s="46" t="n"/>
      <c r="E1691" s="47" t="n"/>
      <c r="F1691" s="47" t="n"/>
      <c r="G1691" s="43">
        <f>IF($B1691="","",N($E1691)+N($F1691))</f>
        <v/>
      </c>
      <c r="H1691" s="47" t="n"/>
      <c r="I1691" s="43">
        <f>IF($B1691="","",N($G1691)-N($H1691))</f>
        <v/>
      </c>
    </row>
    <row r="1692">
      <c r="A1692" s="39">
        <f>IF($B1692="","",COUNTA($B$4:$B1692))</f>
        <v/>
      </c>
      <c r="B1692" s="40" t="n"/>
      <c r="C1692" s="41" t="n"/>
      <c r="D1692" s="41" t="n"/>
      <c r="E1692" s="42" t="n"/>
      <c r="F1692" s="42" t="n"/>
      <c r="G1692" s="43">
        <f>IF($B1692="","",N($E1692)+N($F1692))</f>
        <v/>
      </c>
      <c r="H1692" s="42" t="n"/>
      <c r="I1692" s="43">
        <f>IF($B1692="","",N($G1692)-N($H1692))</f>
        <v/>
      </c>
    </row>
    <row r="1693">
      <c r="A1693" s="39">
        <f>IF($B1693="","",COUNTA($B$4:$B1693))</f>
        <v/>
      </c>
      <c r="B1693" s="45" t="n"/>
      <c r="C1693" s="46" t="n"/>
      <c r="D1693" s="46" t="n"/>
      <c r="E1693" s="47" t="n"/>
      <c r="F1693" s="47" t="n"/>
      <c r="G1693" s="43">
        <f>IF($B1693="","",N($E1693)+N($F1693))</f>
        <v/>
      </c>
      <c r="H1693" s="47" t="n"/>
      <c r="I1693" s="43">
        <f>IF($B1693="","",N($G1693)-N($H1693))</f>
        <v/>
      </c>
    </row>
    <row r="1694">
      <c r="A1694" s="39">
        <f>IF($B1694="","",COUNTA($B$4:$B1694))</f>
        <v/>
      </c>
      <c r="B1694" s="40" t="n"/>
      <c r="C1694" s="41" t="n"/>
      <c r="D1694" s="41" t="n"/>
      <c r="E1694" s="42" t="n"/>
      <c r="F1694" s="42" t="n"/>
      <c r="G1694" s="43">
        <f>IF($B1694="","",N($E1694)+N($F1694))</f>
        <v/>
      </c>
      <c r="H1694" s="42" t="n"/>
      <c r="I1694" s="43">
        <f>IF($B1694="","",N($G1694)-N($H1694))</f>
        <v/>
      </c>
    </row>
    <row r="1695">
      <c r="A1695" s="39">
        <f>IF($B1695="","",COUNTA($B$4:$B1695))</f>
        <v/>
      </c>
      <c r="B1695" s="45" t="n"/>
      <c r="C1695" s="46" t="n"/>
      <c r="D1695" s="46" t="n"/>
      <c r="E1695" s="47" t="n"/>
      <c r="F1695" s="47" t="n"/>
      <c r="G1695" s="43">
        <f>IF($B1695="","",N($E1695)+N($F1695))</f>
        <v/>
      </c>
      <c r="H1695" s="47" t="n"/>
      <c r="I1695" s="43">
        <f>IF($B1695="","",N($G1695)-N($H1695))</f>
        <v/>
      </c>
    </row>
    <row r="1696">
      <c r="A1696" s="39">
        <f>IF($B1696="","",COUNTA($B$4:$B1696))</f>
        <v/>
      </c>
      <c r="B1696" s="40" t="n"/>
      <c r="C1696" s="41" t="n"/>
      <c r="D1696" s="41" t="n"/>
      <c r="E1696" s="42" t="n"/>
      <c r="F1696" s="42" t="n"/>
      <c r="G1696" s="43">
        <f>IF($B1696="","",N($E1696)+N($F1696))</f>
        <v/>
      </c>
      <c r="H1696" s="42" t="n"/>
      <c r="I1696" s="43">
        <f>IF($B1696="","",N($G1696)-N($H1696))</f>
        <v/>
      </c>
    </row>
    <row r="1697">
      <c r="A1697" s="39">
        <f>IF($B1697="","",COUNTA($B$4:$B1697))</f>
        <v/>
      </c>
      <c r="B1697" s="45" t="n"/>
      <c r="C1697" s="46" t="n"/>
      <c r="D1697" s="46" t="n"/>
      <c r="E1697" s="47" t="n"/>
      <c r="F1697" s="47" t="n"/>
      <c r="G1697" s="43">
        <f>IF($B1697="","",N($E1697)+N($F1697))</f>
        <v/>
      </c>
      <c r="H1697" s="47" t="n"/>
      <c r="I1697" s="43">
        <f>IF($B1697="","",N($G1697)-N($H1697))</f>
        <v/>
      </c>
    </row>
    <row r="1698">
      <c r="A1698" s="39">
        <f>IF($B1698="","",COUNTA($B$4:$B1698))</f>
        <v/>
      </c>
      <c r="B1698" s="40" t="n"/>
      <c r="C1698" s="41" t="n"/>
      <c r="D1698" s="41" t="n"/>
      <c r="E1698" s="42" t="n"/>
      <c r="F1698" s="42" t="n"/>
      <c r="G1698" s="43">
        <f>IF($B1698="","",N($E1698)+N($F1698))</f>
        <v/>
      </c>
      <c r="H1698" s="42" t="n"/>
      <c r="I1698" s="43">
        <f>IF($B1698="","",N($G1698)-N($H1698))</f>
        <v/>
      </c>
    </row>
    <row r="1699">
      <c r="A1699" s="39">
        <f>IF($B1699="","",COUNTA($B$4:$B1699))</f>
        <v/>
      </c>
      <c r="B1699" s="45" t="n"/>
      <c r="C1699" s="46" t="n"/>
      <c r="D1699" s="46" t="n"/>
      <c r="E1699" s="47" t="n"/>
      <c r="F1699" s="47" t="n"/>
      <c r="G1699" s="43">
        <f>IF($B1699="","",N($E1699)+N($F1699))</f>
        <v/>
      </c>
      <c r="H1699" s="47" t="n"/>
      <c r="I1699" s="43">
        <f>IF($B1699="","",N($G1699)-N($H1699))</f>
        <v/>
      </c>
    </row>
    <row r="1700">
      <c r="A1700" s="39">
        <f>IF($B1700="","",COUNTA($B$4:$B1700))</f>
        <v/>
      </c>
      <c r="B1700" s="40" t="n"/>
      <c r="C1700" s="41" t="n"/>
      <c r="D1700" s="41" t="n"/>
      <c r="E1700" s="42" t="n"/>
      <c r="F1700" s="42" t="n"/>
      <c r="G1700" s="43">
        <f>IF($B1700="","",N($E1700)+N($F1700))</f>
        <v/>
      </c>
      <c r="H1700" s="42" t="n"/>
      <c r="I1700" s="43">
        <f>IF($B1700="","",N($G1700)-N($H1700))</f>
        <v/>
      </c>
    </row>
    <row r="1701">
      <c r="A1701" s="39">
        <f>IF($B1701="","",COUNTA($B$4:$B1701))</f>
        <v/>
      </c>
      <c r="B1701" s="45" t="n"/>
      <c r="C1701" s="46" t="n"/>
      <c r="D1701" s="46" t="n"/>
      <c r="E1701" s="47" t="n"/>
      <c r="F1701" s="47" t="n"/>
      <c r="G1701" s="43">
        <f>IF($B1701="","",N($E1701)+N($F1701))</f>
        <v/>
      </c>
      <c r="H1701" s="47" t="n"/>
      <c r="I1701" s="43">
        <f>IF($B1701="","",N($G1701)-N($H1701))</f>
        <v/>
      </c>
    </row>
    <row r="1702">
      <c r="A1702" s="39">
        <f>IF($B1702="","",COUNTA($B$4:$B1702))</f>
        <v/>
      </c>
      <c r="B1702" s="40" t="n"/>
      <c r="C1702" s="41" t="n"/>
      <c r="D1702" s="41" t="n"/>
      <c r="E1702" s="42" t="n"/>
      <c r="F1702" s="42" t="n"/>
      <c r="G1702" s="43">
        <f>IF($B1702="","",N($E1702)+N($F1702))</f>
        <v/>
      </c>
      <c r="H1702" s="42" t="n"/>
      <c r="I1702" s="43">
        <f>IF($B1702="","",N($G1702)-N($H1702))</f>
        <v/>
      </c>
    </row>
    <row r="1703">
      <c r="A1703" s="39">
        <f>IF($B1703="","",COUNTA($B$4:$B1703))</f>
        <v/>
      </c>
      <c r="B1703" s="45" t="n"/>
      <c r="C1703" s="46" t="n"/>
      <c r="D1703" s="46" t="n"/>
      <c r="E1703" s="47" t="n"/>
      <c r="F1703" s="47" t="n"/>
      <c r="G1703" s="43">
        <f>IF($B1703="","",N($E1703)+N($F1703))</f>
        <v/>
      </c>
      <c r="H1703" s="47" t="n"/>
      <c r="I1703" s="43">
        <f>IF($B1703="","",N($G1703)-N($H1703))</f>
        <v/>
      </c>
    </row>
    <row r="1704">
      <c r="A1704" s="39">
        <f>IF($B1704="","",COUNTA($B$4:$B1704))</f>
        <v/>
      </c>
      <c r="B1704" s="40" t="n"/>
      <c r="C1704" s="41" t="n"/>
      <c r="D1704" s="41" t="n"/>
      <c r="E1704" s="42" t="n"/>
      <c r="F1704" s="42" t="n"/>
      <c r="G1704" s="43">
        <f>IF($B1704="","",N($E1704)+N($F1704))</f>
        <v/>
      </c>
      <c r="H1704" s="42" t="n"/>
      <c r="I1704" s="43">
        <f>IF($B1704="","",N($G1704)-N($H1704))</f>
        <v/>
      </c>
    </row>
    <row r="1705">
      <c r="A1705" s="39">
        <f>IF($B1705="","",COUNTA($B$4:$B1705))</f>
        <v/>
      </c>
      <c r="B1705" s="45" t="n"/>
      <c r="C1705" s="46" t="n"/>
      <c r="D1705" s="46" t="n"/>
      <c r="E1705" s="47" t="n"/>
      <c r="F1705" s="47" t="n"/>
      <c r="G1705" s="43">
        <f>IF($B1705="","",N($E1705)+N($F1705))</f>
        <v/>
      </c>
      <c r="H1705" s="47" t="n"/>
      <c r="I1705" s="43">
        <f>IF($B1705="","",N($G1705)-N($H1705))</f>
        <v/>
      </c>
    </row>
    <row r="1706">
      <c r="A1706" s="39">
        <f>IF($B1706="","",COUNTA($B$4:$B1706))</f>
        <v/>
      </c>
      <c r="B1706" s="40" t="n"/>
      <c r="C1706" s="41" t="n"/>
      <c r="D1706" s="41" t="n"/>
      <c r="E1706" s="42" t="n"/>
      <c r="F1706" s="42" t="n"/>
      <c r="G1706" s="43">
        <f>IF($B1706="","",N($E1706)+N($F1706))</f>
        <v/>
      </c>
      <c r="H1706" s="42" t="n"/>
      <c r="I1706" s="43">
        <f>IF($B1706="","",N($G1706)-N($H1706))</f>
        <v/>
      </c>
    </row>
    <row r="1707">
      <c r="A1707" s="39">
        <f>IF($B1707="","",COUNTA($B$4:$B1707))</f>
        <v/>
      </c>
      <c r="B1707" s="45" t="n"/>
      <c r="C1707" s="46" t="n"/>
      <c r="D1707" s="46" t="n"/>
      <c r="E1707" s="47" t="n"/>
      <c r="F1707" s="47" t="n"/>
      <c r="G1707" s="43">
        <f>IF($B1707="","",N($E1707)+N($F1707))</f>
        <v/>
      </c>
      <c r="H1707" s="47" t="n"/>
      <c r="I1707" s="43">
        <f>IF($B1707="","",N($G1707)-N($H1707))</f>
        <v/>
      </c>
    </row>
    <row r="1708">
      <c r="A1708" s="39">
        <f>IF($B1708="","",COUNTA($B$4:$B1708))</f>
        <v/>
      </c>
      <c r="B1708" s="40" t="n"/>
      <c r="C1708" s="41" t="n"/>
      <c r="D1708" s="41" t="n"/>
      <c r="E1708" s="42" t="n"/>
      <c r="F1708" s="42" t="n"/>
      <c r="G1708" s="43">
        <f>IF($B1708="","",N($E1708)+N($F1708))</f>
        <v/>
      </c>
      <c r="H1708" s="42" t="n"/>
      <c r="I1708" s="43">
        <f>IF($B1708="","",N($G1708)-N($H1708))</f>
        <v/>
      </c>
    </row>
    <row r="1709">
      <c r="A1709" s="39">
        <f>IF($B1709="","",COUNTA($B$4:$B1709))</f>
        <v/>
      </c>
      <c r="B1709" s="45" t="n"/>
      <c r="C1709" s="46" t="n"/>
      <c r="D1709" s="46" t="n"/>
      <c r="E1709" s="47" t="n"/>
      <c r="F1709" s="47" t="n"/>
      <c r="G1709" s="43">
        <f>IF($B1709="","",N($E1709)+N($F1709))</f>
        <v/>
      </c>
      <c r="H1709" s="47" t="n"/>
      <c r="I1709" s="43">
        <f>IF($B1709="","",N($G1709)-N($H1709))</f>
        <v/>
      </c>
    </row>
    <row r="1710">
      <c r="A1710" s="39">
        <f>IF($B1710="","",COUNTA($B$4:$B1710))</f>
        <v/>
      </c>
      <c r="B1710" s="40" t="n"/>
      <c r="C1710" s="41" t="n"/>
      <c r="D1710" s="41" t="n"/>
      <c r="E1710" s="42" t="n"/>
      <c r="F1710" s="42" t="n"/>
      <c r="G1710" s="43">
        <f>IF($B1710="","",N($E1710)+N($F1710))</f>
        <v/>
      </c>
      <c r="H1710" s="42" t="n"/>
      <c r="I1710" s="43">
        <f>IF($B1710="","",N($G1710)-N($H1710))</f>
        <v/>
      </c>
    </row>
    <row r="1711">
      <c r="A1711" s="39">
        <f>IF($B1711="","",COUNTA($B$4:$B1711))</f>
        <v/>
      </c>
      <c r="B1711" s="45" t="n"/>
      <c r="C1711" s="46" t="n"/>
      <c r="D1711" s="46" t="n"/>
      <c r="E1711" s="47" t="n"/>
      <c r="F1711" s="47" t="n"/>
      <c r="G1711" s="43">
        <f>IF($B1711="","",N($E1711)+N($F1711))</f>
        <v/>
      </c>
      <c r="H1711" s="47" t="n"/>
      <c r="I1711" s="43">
        <f>IF($B1711="","",N($G1711)-N($H1711))</f>
        <v/>
      </c>
    </row>
    <row r="1712">
      <c r="A1712" s="39">
        <f>IF($B1712="","",COUNTA($B$4:$B1712))</f>
        <v/>
      </c>
      <c r="B1712" s="40" t="n"/>
      <c r="C1712" s="41" t="n"/>
      <c r="D1712" s="41" t="n"/>
      <c r="E1712" s="42" t="n"/>
      <c r="F1712" s="42" t="n"/>
      <c r="G1712" s="43">
        <f>IF($B1712="","",N($E1712)+N($F1712))</f>
        <v/>
      </c>
      <c r="H1712" s="42" t="n"/>
      <c r="I1712" s="43">
        <f>IF($B1712="","",N($G1712)-N($H1712))</f>
        <v/>
      </c>
    </row>
    <row r="1713">
      <c r="A1713" s="39">
        <f>IF($B1713="","",COUNTA($B$4:$B1713))</f>
        <v/>
      </c>
      <c r="B1713" s="45" t="n"/>
      <c r="C1713" s="46" t="n"/>
      <c r="D1713" s="46" t="n"/>
      <c r="E1713" s="47" t="n"/>
      <c r="F1713" s="47" t="n"/>
      <c r="G1713" s="43">
        <f>IF($B1713="","",N($E1713)+N($F1713))</f>
        <v/>
      </c>
      <c r="H1713" s="47" t="n"/>
      <c r="I1713" s="43">
        <f>IF($B1713="","",N($G1713)-N($H1713))</f>
        <v/>
      </c>
    </row>
    <row r="1714">
      <c r="A1714" s="39">
        <f>IF($B1714="","",COUNTA($B$4:$B1714))</f>
        <v/>
      </c>
      <c r="B1714" s="40" t="n"/>
      <c r="C1714" s="41" t="n"/>
      <c r="D1714" s="41" t="n"/>
      <c r="E1714" s="42" t="n"/>
      <c r="F1714" s="42" t="n"/>
      <c r="G1714" s="43">
        <f>IF($B1714="","",N($E1714)+N($F1714))</f>
        <v/>
      </c>
      <c r="H1714" s="42" t="n"/>
      <c r="I1714" s="43">
        <f>IF($B1714="","",N($G1714)-N($H1714))</f>
        <v/>
      </c>
    </row>
    <row r="1715">
      <c r="A1715" s="39">
        <f>IF($B1715="","",COUNTA($B$4:$B1715))</f>
        <v/>
      </c>
      <c r="B1715" s="45" t="n"/>
      <c r="C1715" s="46" t="n"/>
      <c r="D1715" s="46" t="n"/>
      <c r="E1715" s="47" t="n"/>
      <c r="F1715" s="47" t="n"/>
      <c r="G1715" s="43">
        <f>IF($B1715="","",N($E1715)+N($F1715))</f>
        <v/>
      </c>
      <c r="H1715" s="47" t="n"/>
      <c r="I1715" s="43">
        <f>IF($B1715="","",N($G1715)-N($H1715))</f>
        <v/>
      </c>
    </row>
    <row r="1716">
      <c r="A1716" s="39">
        <f>IF($B1716="","",COUNTA($B$4:$B1716))</f>
        <v/>
      </c>
      <c r="B1716" s="40" t="n"/>
      <c r="C1716" s="41" t="n"/>
      <c r="D1716" s="41" t="n"/>
      <c r="E1716" s="42" t="n"/>
      <c r="F1716" s="42" t="n"/>
      <c r="G1716" s="43">
        <f>IF($B1716="","",N($E1716)+N($F1716))</f>
        <v/>
      </c>
      <c r="H1716" s="42" t="n"/>
      <c r="I1716" s="43">
        <f>IF($B1716="","",N($G1716)-N($H1716))</f>
        <v/>
      </c>
    </row>
    <row r="1717">
      <c r="A1717" s="39">
        <f>IF($B1717="","",COUNTA($B$4:$B1717))</f>
        <v/>
      </c>
      <c r="B1717" s="45" t="n"/>
      <c r="C1717" s="46" t="n"/>
      <c r="D1717" s="46" t="n"/>
      <c r="E1717" s="47" t="n"/>
      <c r="F1717" s="47" t="n"/>
      <c r="G1717" s="43">
        <f>IF($B1717="","",N($E1717)+N($F1717))</f>
        <v/>
      </c>
      <c r="H1717" s="47" t="n"/>
      <c r="I1717" s="43">
        <f>IF($B1717="","",N($G1717)-N($H1717))</f>
        <v/>
      </c>
    </row>
    <row r="1718">
      <c r="A1718" s="39">
        <f>IF($B1718="","",COUNTA($B$4:$B1718))</f>
        <v/>
      </c>
      <c r="B1718" s="40" t="n"/>
      <c r="C1718" s="41" t="n"/>
      <c r="D1718" s="41" t="n"/>
      <c r="E1718" s="42" t="n"/>
      <c r="F1718" s="42" t="n"/>
      <c r="G1718" s="43">
        <f>IF($B1718="","",N($E1718)+N($F1718))</f>
        <v/>
      </c>
      <c r="H1718" s="42" t="n"/>
      <c r="I1718" s="43">
        <f>IF($B1718="","",N($G1718)-N($H1718))</f>
        <v/>
      </c>
    </row>
    <row r="1719">
      <c r="A1719" s="39">
        <f>IF($B1719="","",COUNTA($B$4:$B1719))</f>
        <v/>
      </c>
      <c r="B1719" s="45" t="n"/>
      <c r="C1719" s="46" t="n"/>
      <c r="D1719" s="46" t="n"/>
      <c r="E1719" s="47" t="n"/>
      <c r="F1719" s="47" t="n"/>
      <c r="G1719" s="43">
        <f>IF($B1719="","",N($E1719)+N($F1719))</f>
        <v/>
      </c>
      <c r="H1719" s="47" t="n"/>
      <c r="I1719" s="43">
        <f>IF($B1719="","",N($G1719)-N($H1719))</f>
        <v/>
      </c>
    </row>
    <row r="1720">
      <c r="A1720" s="39">
        <f>IF($B1720="","",COUNTA($B$4:$B1720))</f>
        <v/>
      </c>
      <c r="B1720" s="40" t="n"/>
      <c r="C1720" s="41" t="n"/>
      <c r="D1720" s="41" t="n"/>
      <c r="E1720" s="42" t="n"/>
      <c r="F1720" s="42" t="n"/>
      <c r="G1720" s="43">
        <f>IF($B1720="","",N($E1720)+N($F1720))</f>
        <v/>
      </c>
      <c r="H1720" s="42" t="n"/>
      <c r="I1720" s="43">
        <f>IF($B1720="","",N($G1720)-N($H1720))</f>
        <v/>
      </c>
    </row>
    <row r="1721">
      <c r="A1721" s="39">
        <f>IF($B1721="","",COUNTA($B$4:$B1721))</f>
        <v/>
      </c>
      <c r="B1721" s="45" t="n"/>
      <c r="C1721" s="46" t="n"/>
      <c r="D1721" s="46" t="n"/>
      <c r="E1721" s="47" t="n"/>
      <c r="F1721" s="47" t="n"/>
      <c r="G1721" s="43">
        <f>IF($B1721="","",N($E1721)+N($F1721))</f>
        <v/>
      </c>
      <c r="H1721" s="47" t="n"/>
      <c r="I1721" s="43">
        <f>IF($B1721="","",N($G1721)-N($H1721))</f>
        <v/>
      </c>
    </row>
    <row r="1722">
      <c r="A1722" s="39">
        <f>IF($B1722="","",COUNTA($B$4:$B1722))</f>
        <v/>
      </c>
      <c r="B1722" s="40" t="n"/>
      <c r="C1722" s="41" t="n"/>
      <c r="D1722" s="41" t="n"/>
      <c r="E1722" s="42" t="n"/>
      <c r="F1722" s="42" t="n"/>
      <c r="G1722" s="43">
        <f>IF($B1722="","",N($E1722)+N($F1722))</f>
        <v/>
      </c>
      <c r="H1722" s="42" t="n"/>
      <c r="I1722" s="43">
        <f>IF($B1722="","",N($G1722)-N($H1722))</f>
        <v/>
      </c>
    </row>
    <row r="1723">
      <c r="A1723" s="39">
        <f>IF($B1723="","",COUNTA($B$4:$B1723))</f>
        <v/>
      </c>
      <c r="B1723" s="45" t="n"/>
      <c r="C1723" s="46" t="n"/>
      <c r="D1723" s="46" t="n"/>
      <c r="E1723" s="47" t="n"/>
      <c r="F1723" s="47" t="n"/>
      <c r="G1723" s="43">
        <f>IF($B1723="","",N($E1723)+N($F1723))</f>
        <v/>
      </c>
      <c r="H1723" s="47" t="n"/>
      <c r="I1723" s="43">
        <f>IF($B1723="","",N($G1723)-N($H1723))</f>
        <v/>
      </c>
    </row>
    <row r="1724">
      <c r="A1724" s="39">
        <f>IF($B1724="","",COUNTA($B$4:$B1724))</f>
        <v/>
      </c>
      <c r="B1724" s="40" t="n"/>
      <c r="C1724" s="41" t="n"/>
      <c r="D1724" s="41" t="n"/>
      <c r="E1724" s="42" t="n"/>
      <c r="F1724" s="42" t="n"/>
      <c r="G1724" s="43">
        <f>IF($B1724="","",N($E1724)+N($F1724))</f>
        <v/>
      </c>
      <c r="H1724" s="42" t="n"/>
      <c r="I1724" s="43">
        <f>IF($B1724="","",N($G1724)-N($H1724))</f>
        <v/>
      </c>
    </row>
    <row r="1725">
      <c r="A1725" s="39">
        <f>IF($B1725="","",COUNTA($B$4:$B1725))</f>
        <v/>
      </c>
      <c r="B1725" s="45" t="n"/>
      <c r="C1725" s="46" t="n"/>
      <c r="D1725" s="46" t="n"/>
      <c r="E1725" s="47" t="n"/>
      <c r="F1725" s="47" t="n"/>
      <c r="G1725" s="43">
        <f>IF($B1725="","",N($E1725)+N($F1725))</f>
        <v/>
      </c>
      <c r="H1725" s="47" t="n"/>
      <c r="I1725" s="43">
        <f>IF($B1725="","",N($G1725)-N($H1725))</f>
        <v/>
      </c>
    </row>
    <row r="1726">
      <c r="A1726" s="39">
        <f>IF($B1726="","",COUNTA($B$4:$B1726))</f>
        <v/>
      </c>
      <c r="B1726" s="40" t="n"/>
      <c r="C1726" s="41" t="n"/>
      <c r="D1726" s="41" t="n"/>
      <c r="E1726" s="42" t="n"/>
      <c r="F1726" s="42" t="n"/>
      <c r="G1726" s="43">
        <f>IF($B1726="","",N($E1726)+N($F1726))</f>
        <v/>
      </c>
      <c r="H1726" s="42" t="n"/>
      <c r="I1726" s="43">
        <f>IF($B1726="","",N($G1726)-N($H1726))</f>
        <v/>
      </c>
    </row>
    <row r="1727">
      <c r="A1727" s="39">
        <f>IF($B1727="","",COUNTA($B$4:$B1727))</f>
        <v/>
      </c>
      <c r="B1727" s="45" t="n"/>
      <c r="C1727" s="46" t="n"/>
      <c r="D1727" s="46" t="n"/>
      <c r="E1727" s="47" t="n"/>
      <c r="F1727" s="47" t="n"/>
      <c r="G1727" s="43">
        <f>IF($B1727="","",N($E1727)+N($F1727))</f>
        <v/>
      </c>
      <c r="H1727" s="47" t="n"/>
      <c r="I1727" s="43">
        <f>IF($B1727="","",N($G1727)-N($H1727))</f>
        <v/>
      </c>
    </row>
    <row r="1728">
      <c r="A1728" s="39">
        <f>IF($B1728="","",COUNTA($B$4:$B1728))</f>
        <v/>
      </c>
      <c r="B1728" s="40" t="n"/>
      <c r="C1728" s="41" t="n"/>
      <c r="D1728" s="41" t="n"/>
      <c r="E1728" s="42" t="n"/>
      <c r="F1728" s="42" t="n"/>
      <c r="G1728" s="43">
        <f>IF($B1728="","",N($E1728)+N($F1728))</f>
        <v/>
      </c>
      <c r="H1728" s="42" t="n"/>
      <c r="I1728" s="43">
        <f>IF($B1728="","",N($G1728)-N($H1728))</f>
        <v/>
      </c>
    </row>
    <row r="1729">
      <c r="A1729" s="39">
        <f>IF($B1729="","",COUNTA($B$4:$B1729))</f>
        <v/>
      </c>
      <c r="B1729" s="45" t="n"/>
      <c r="C1729" s="46" t="n"/>
      <c r="D1729" s="46" t="n"/>
      <c r="E1729" s="47" t="n"/>
      <c r="F1729" s="47" t="n"/>
      <c r="G1729" s="43">
        <f>IF($B1729="","",N($E1729)+N($F1729))</f>
        <v/>
      </c>
      <c r="H1729" s="47" t="n"/>
      <c r="I1729" s="43">
        <f>IF($B1729="","",N($G1729)-N($H1729))</f>
        <v/>
      </c>
    </row>
    <row r="1730">
      <c r="A1730" s="39">
        <f>IF($B1730="","",COUNTA($B$4:$B1730))</f>
        <v/>
      </c>
      <c r="B1730" s="40" t="n"/>
      <c r="C1730" s="41" t="n"/>
      <c r="D1730" s="41" t="n"/>
      <c r="E1730" s="42" t="n"/>
      <c r="F1730" s="42" t="n"/>
      <c r="G1730" s="43">
        <f>IF($B1730="","",N($E1730)+N($F1730))</f>
        <v/>
      </c>
      <c r="H1730" s="42" t="n"/>
      <c r="I1730" s="43">
        <f>IF($B1730="","",N($G1730)-N($H1730))</f>
        <v/>
      </c>
    </row>
    <row r="1731">
      <c r="A1731" s="39">
        <f>IF($B1731="","",COUNTA($B$4:$B1731))</f>
        <v/>
      </c>
      <c r="B1731" s="45" t="n"/>
      <c r="C1731" s="46" t="n"/>
      <c r="D1731" s="46" t="n"/>
      <c r="E1731" s="47" t="n"/>
      <c r="F1731" s="47" t="n"/>
      <c r="G1731" s="43">
        <f>IF($B1731="","",N($E1731)+N($F1731))</f>
        <v/>
      </c>
      <c r="H1731" s="47" t="n"/>
      <c r="I1731" s="43">
        <f>IF($B1731="","",N($G1731)-N($H1731))</f>
        <v/>
      </c>
    </row>
    <row r="1732">
      <c r="A1732" s="39">
        <f>IF($B1732="","",COUNTA($B$4:$B1732))</f>
        <v/>
      </c>
      <c r="B1732" s="40" t="n"/>
      <c r="C1732" s="41" t="n"/>
      <c r="D1732" s="41" t="n"/>
      <c r="E1732" s="42" t="n"/>
      <c r="F1732" s="42" t="n"/>
      <c r="G1732" s="43">
        <f>IF($B1732="","",N($E1732)+N($F1732))</f>
        <v/>
      </c>
      <c r="H1732" s="42" t="n"/>
      <c r="I1732" s="43">
        <f>IF($B1732="","",N($G1732)-N($H1732))</f>
        <v/>
      </c>
    </row>
    <row r="1733">
      <c r="A1733" s="39">
        <f>IF($B1733="","",COUNTA($B$4:$B1733))</f>
        <v/>
      </c>
      <c r="B1733" s="45" t="n"/>
      <c r="C1733" s="46" t="n"/>
      <c r="D1733" s="46" t="n"/>
      <c r="E1733" s="47" t="n"/>
      <c r="F1733" s="47" t="n"/>
      <c r="G1733" s="43">
        <f>IF($B1733="","",N($E1733)+N($F1733))</f>
        <v/>
      </c>
      <c r="H1733" s="47" t="n"/>
      <c r="I1733" s="43">
        <f>IF($B1733="","",N($G1733)-N($H1733))</f>
        <v/>
      </c>
    </row>
    <row r="1734">
      <c r="A1734" s="39">
        <f>IF($B1734="","",COUNTA($B$4:$B1734))</f>
        <v/>
      </c>
      <c r="B1734" s="40" t="n"/>
      <c r="C1734" s="41" t="n"/>
      <c r="D1734" s="41" t="n"/>
      <c r="E1734" s="42" t="n"/>
      <c r="F1734" s="42" t="n"/>
      <c r="G1734" s="43">
        <f>IF($B1734="","",N($E1734)+N($F1734))</f>
        <v/>
      </c>
      <c r="H1734" s="42" t="n"/>
      <c r="I1734" s="43">
        <f>IF($B1734="","",N($G1734)-N($H1734))</f>
        <v/>
      </c>
    </row>
    <row r="1735">
      <c r="A1735" s="39">
        <f>IF($B1735="","",COUNTA($B$4:$B1735))</f>
        <v/>
      </c>
      <c r="B1735" s="45" t="n"/>
      <c r="C1735" s="46" t="n"/>
      <c r="D1735" s="46" t="n"/>
      <c r="E1735" s="47" t="n"/>
      <c r="F1735" s="47" t="n"/>
      <c r="G1735" s="43">
        <f>IF($B1735="","",N($E1735)+N($F1735))</f>
        <v/>
      </c>
      <c r="H1735" s="47" t="n"/>
      <c r="I1735" s="43">
        <f>IF($B1735="","",N($G1735)-N($H1735))</f>
        <v/>
      </c>
    </row>
    <row r="1736">
      <c r="A1736" s="39">
        <f>IF($B1736="","",COUNTA($B$4:$B1736))</f>
        <v/>
      </c>
      <c r="B1736" s="40" t="n"/>
      <c r="C1736" s="41" t="n"/>
      <c r="D1736" s="41" t="n"/>
      <c r="E1736" s="42" t="n"/>
      <c r="F1736" s="42" t="n"/>
      <c r="G1736" s="43">
        <f>IF($B1736="","",N($E1736)+N($F1736))</f>
        <v/>
      </c>
      <c r="H1736" s="42" t="n"/>
      <c r="I1736" s="43">
        <f>IF($B1736="","",N($G1736)-N($H1736))</f>
        <v/>
      </c>
    </row>
    <row r="1737">
      <c r="A1737" s="39">
        <f>IF($B1737="","",COUNTA($B$4:$B1737))</f>
        <v/>
      </c>
      <c r="B1737" s="45" t="n"/>
      <c r="C1737" s="46" t="n"/>
      <c r="D1737" s="46" t="n"/>
      <c r="E1737" s="47" t="n"/>
      <c r="F1737" s="47" t="n"/>
      <c r="G1737" s="43">
        <f>IF($B1737="","",N($E1737)+N($F1737))</f>
        <v/>
      </c>
      <c r="H1737" s="47" t="n"/>
      <c r="I1737" s="43">
        <f>IF($B1737="","",N($G1737)-N($H1737))</f>
        <v/>
      </c>
    </row>
    <row r="1738">
      <c r="A1738" s="39">
        <f>IF($B1738="","",COUNTA($B$4:$B1738))</f>
        <v/>
      </c>
      <c r="B1738" s="40" t="n"/>
      <c r="C1738" s="41" t="n"/>
      <c r="D1738" s="41" t="n"/>
      <c r="E1738" s="42" t="n"/>
      <c r="F1738" s="42" t="n"/>
      <c r="G1738" s="43">
        <f>IF($B1738="","",N($E1738)+N($F1738))</f>
        <v/>
      </c>
      <c r="H1738" s="42" t="n"/>
      <c r="I1738" s="43">
        <f>IF($B1738="","",N($G1738)-N($H1738))</f>
        <v/>
      </c>
    </row>
    <row r="1739">
      <c r="A1739" s="39">
        <f>IF($B1739="","",COUNTA($B$4:$B1739))</f>
        <v/>
      </c>
      <c r="B1739" s="45" t="n"/>
      <c r="C1739" s="46" t="n"/>
      <c r="D1739" s="46" t="n"/>
      <c r="E1739" s="47" t="n"/>
      <c r="F1739" s="47" t="n"/>
      <c r="G1739" s="43">
        <f>IF($B1739="","",N($E1739)+N($F1739))</f>
        <v/>
      </c>
      <c r="H1739" s="47" t="n"/>
      <c r="I1739" s="43">
        <f>IF($B1739="","",N($G1739)-N($H1739))</f>
        <v/>
      </c>
    </row>
    <row r="1740">
      <c r="A1740" s="39">
        <f>IF($B1740="","",COUNTA($B$4:$B1740))</f>
        <v/>
      </c>
      <c r="B1740" s="40" t="n"/>
      <c r="C1740" s="41" t="n"/>
      <c r="D1740" s="41" t="n"/>
      <c r="E1740" s="42" t="n"/>
      <c r="F1740" s="42" t="n"/>
      <c r="G1740" s="43">
        <f>IF($B1740="","",N($E1740)+N($F1740))</f>
        <v/>
      </c>
      <c r="H1740" s="42" t="n"/>
      <c r="I1740" s="43">
        <f>IF($B1740="","",N($G1740)-N($H1740))</f>
        <v/>
      </c>
    </row>
    <row r="1741">
      <c r="A1741" s="39">
        <f>IF($B1741="","",COUNTA($B$4:$B1741))</f>
        <v/>
      </c>
      <c r="B1741" s="45" t="n"/>
      <c r="C1741" s="46" t="n"/>
      <c r="D1741" s="46" t="n"/>
      <c r="E1741" s="47" t="n"/>
      <c r="F1741" s="47" t="n"/>
      <c r="G1741" s="43">
        <f>IF($B1741="","",N($E1741)+N($F1741))</f>
        <v/>
      </c>
      <c r="H1741" s="47" t="n"/>
      <c r="I1741" s="43">
        <f>IF($B1741="","",N($G1741)-N($H1741))</f>
        <v/>
      </c>
    </row>
    <row r="1742">
      <c r="A1742" s="39">
        <f>IF($B1742="","",COUNTA($B$4:$B1742))</f>
        <v/>
      </c>
      <c r="B1742" s="40" t="n"/>
      <c r="C1742" s="41" t="n"/>
      <c r="D1742" s="41" t="n"/>
      <c r="E1742" s="42" t="n"/>
      <c r="F1742" s="42" t="n"/>
      <c r="G1742" s="43">
        <f>IF($B1742="","",N($E1742)+N($F1742))</f>
        <v/>
      </c>
      <c r="H1742" s="42" t="n"/>
      <c r="I1742" s="43">
        <f>IF($B1742="","",N($G1742)-N($H1742))</f>
        <v/>
      </c>
    </row>
    <row r="1743">
      <c r="A1743" s="39">
        <f>IF($B1743="","",COUNTA($B$4:$B1743))</f>
        <v/>
      </c>
      <c r="B1743" s="45" t="n"/>
      <c r="C1743" s="46" t="n"/>
      <c r="D1743" s="46" t="n"/>
      <c r="E1743" s="47" t="n"/>
      <c r="F1743" s="47" t="n"/>
      <c r="G1743" s="43">
        <f>IF($B1743="","",N($E1743)+N($F1743))</f>
        <v/>
      </c>
      <c r="H1743" s="47" t="n"/>
      <c r="I1743" s="43">
        <f>IF($B1743="","",N($G1743)-N($H1743))</f>
        <v/>
      </c>
    </row>
    <row r="1744">
      <c r="A1744" s="39">
        <f>IF($B1744="","",COUNTA($B$4:$B1744))</f>
        <v/>
      </c>
      <c r="B1744" s="40" t="n"/>
      <c r="C1744" s="41" t="n"/>
      <c r="D1744" s="41" t="n"/>
      <c r="E1744" s="42" t="n"/>
      <c r="F1744" s="42" t="n"/>
      <c r="G1744" s="43">
        <f>IF($B1744="","",N($E1744)+N($F1744))</f>
        <v/>
      </c>
      <c r="H1744" s="42" t="n"/>
      <c r="I1744" s="43">
        <f>IF($B1744="","",N($G1744)-N($H1744))</f>
        <v/>
      </c>
    </row>
    <row r="1745">
      <c r="A1745" s="39">
        <f>IF($B1745="","",COUNTA($B$4:$B1745))</f>
        <v/>
      </c>
      <c r="B1745" s="45" t="n"/>
      <c r="C1745" s="46" t="n"/>
      <c r="D1745" s="46" t="n"/>
      <c r="E1745" s="47" t="n"/>
      <c r="F1745" s="47" t="n"/>
      <c r="G1745" s="43">
        <f>IF($B1745="","",N($E1745)+N($F1745))</f>
        <v/>
      </c>
      <c r="H1745" s="47" t="n"/>
      <c r="I1745" s="43">
        <f>IF($B1745="","",N($G1745)-N($H1745))</f>
        <v/>
      </c>
    </row>
    <row r="1746">
      <c r="A1746" s="39">
        <f>IF($B1746="","",COUNTA($B$4:$B1746))</f>
        <v/>
      </c>
      <c r="B1746" s="40" t="n"/>
      <c r="C1746" s="41" t="n"/>
      <c r="D1746" s="41" t="n"/>
      <c r="E1746" s="42" t="n"/>
      <c r="F1746" s="42" t="n"/>
      <c r="G1746" s="43">
        <f>IF($B1746="","",N($E1746)+N($F1746))</f>
        <v/>
      </c>
      <c r="H1746" s="42" t="n"/>
      <c r="I1746" s="43">
        <f>IF($B1746="","",N($G1746)-N($H1746))</f>
        <v/>
      </c>
    </row>
    <row r="1747">
      <c r="A1747" s="39">
        <f>IF($B1747="","",COUNTA($B$4:$B1747))</f>
        <v/>
      </c>
      <c r="B1747" s="45" t="n"/>
      <c r="C1747" s="46" t="n"/>
      <c r="D1747" s="46" t="n"/>
      <c r="E1747" s="47" t="n"/>
      <c r="F1747" s="47" t="n"/>
      <c r="G1747" s="43">
        <f>IF($B1747="","",N($E1747)+N($F1747))</f>
        <v/>
      </c>
      <c r="H1747" s="47" t="n"/>
      <c r="I1747" s="43">
        <f>IF($B1747="","",N($G1747)-N($H1747))</f>
        <v/>
      </c>
    </row>
    <row r="1748">
      <c r="A1748" s="39">
        <f>IF($B1748="","",COUNTA($B$4:$B1748))</f>
        <v/>
      </c>
      <c r="B1748" s="40" t="n"/>
      <c r="C1748" s="41" t="n"/>
      <c r="D1748" s="41" t="n"/>
      <c r="E1748" s="42" t="n"/>
      <c r="F1748" s="42" t="n"/>
      <c r="G1748" s="43">
        <f>IF($B1748="","",N($E1748)+N($F1748))</f>
        <v/>
      </c>
      <c r="H1748" s="42" t="n"/>
      <c r="I1748" s="43">
        <f>IF($B1748="","",N($G1748)-N($H1748))</f>
        <v/>
      </c>
    </row>
    <row r="1749">
      <c r="A1749" s="39">
        <f>IF($B1749="","",COUNTA($B$4:$B1749))</f>
        <v/>
      </c>
      <c r="B1749" s="45" t="n"/>
      <c r="C1749" s="46" t="n"/>
      <c r="D1749" s="46" t="n"/>
      <c r="E1749" s="47" t="n"/>
      <c r="F1749" s="47" t="n"/>
      <c r="G1749" s="43">
        <f>IF($B1749="","",N($E1749)+N($F1749))</f>
        <v/>
      </c>
      <c r="H1749" s="47" t="n"/>
      <c r="I1749" s="43">
        <f>IF($B1749="","",N($G1749)-N($H1749))</f>
        <v/>
      </c>
    </row>
    <row r="1750">
      <c r="A1750" s="39">
        <f>IF($B1750="","",COUNTA($B$4:$B1750))</f>
        <v/>
      </c>
      <c r="B1750" s="40" t="n"/>
      <c r="C1750" s="41" t="n"/>
      <c r="D1750" s="41" t="n"/>
      <c r="E1750" s="42" t="n"/>
      <c r="F1750" s="42" t="n"/>
      <c r="G1750" s="43">
        <f>IF($B1750="","",N($E1750)+N($F1750))</f>
        <v/>
      </c>
      <c r="H1750" s="42" t="n"/>
      <c r="I1750" s="43">
        <f>IF($B1750="","",N($G1750)-N($H1750))</f>
        <v/>
      </c>
    </row>
    <row r="1751">
      <c r="A1751" s="39">
        <f>IF($B1751="","",COUNTA($B$4:$B1751))</f>
        <v/>
      </c>
      <c r="B1751" s="45" t="n"/>
      <c r="C1751" s="46" t="n"/>
      <c r="D1751" s="46" t="n"/>
      <c r="E1751" s="47" t="n"/>
      <c r="F1751" s="47" t="n"/>
      <c r="G1751" s="43">
        <f>IF($B1751="","",N($E1751)+N($F1751))</f>
        <v/>
      </c>
      <c r="H1751" s="47" t="n"/>
      <c r="I1751" s="43">
        <f>IF($B1751="","",N($G1751)-N($H1751))</f>
        <v/>
      </c>
    </row>
    <row r="1752">
      <c r="A1752" s="39">
        <f>IF($B1752="","",COUNTA($B$4:$B1752))</f>
        <v/>
      </c>
      <c r="B1752" s="40" t="n"/>
      <c r="C1752" s="41" t="n"/>
      <c r="D1752" s="41" t="n"/>
      <c r="E1752" s="42" t="n"/>
      <c r="F1752" s="42" t="n"/>
      <c r="G1752" s="43">
        <f>IF($B1752="","",N($E1752)+N($F1752))</f>
        <v/>
      </c>
      <c r="H1752" s="42" t="n"/>
      <c r="I1752" s="43">
        <f>IF($B1752="","",N($G1752)-N($H1752))</f>
        <v/>
      </c>
    </row>
    <row r="1753">
      <c r="A1753" s="39">
        <f>IF($B1753="","",COUNTA($B$4:$B1753))</f>
        <v/>
      </c>
      <c r="B1753" s="45" t="n"/>
      <c r="C1753" s="46" t="n"/>
      <c r="D1753" s="46" t="n"/>
      <c r="E1753" s="47" t="n"/>
      <c r="F1753" s="47" t="n"/>
      <c r="G1753" s="43">
        <f>IF($B1753="","",N($E1753)+N($F1753))</f>
        <v/>
      </c>
      <c r="H1753" s="47" t="n"/>
      <c r="I1753" s="43">
        <f>IF($B1753="","",N($G1753)-N($H1753))</f>
        <v/>
      </c>
    </row>
    <row r="1754">
      <c r="A1754" s="39">
        <f>IF($B1754="","",COUNTA($B$4:$B1754))</f>
        <v/>
      </c>
      <c r="B1754" s="40" t="n"/>
      <c r="C1754" s="41" t="n"/>
      <c r="D1754" s="41" t="n"/>
      <c r="E1754" s="42" t="n"/>
      <c r="F1754" s="42" t="n"/>
      <c r="G1754" s="43">
        <f>IF($B1754="","",N($E1754)+N($F1754))</f>
        <v/>
      </c>
      <c r="H1754" s="42" t="n"/>
      <c r="I1754" s="43">
        <f>IF($B1754="","",N($G1754)-N($H1754))</f>
        <v/>
      </c>
    </row>
    <row r="1755">
      <c r="A1755" s="39">
        <f>IF($B1755="","",COUNTA($B$4:$B1755))</f>
        <v/>
      </c>
      <c r="B1755" s="45" t="n"/>
      <c r="C1755" s="46" t="n"/>
      <c r="D1755" s="46" t="n"/>
      <c r="E1755" s="47" t="n"/>
      <c r="F1755" s="47" t="n"/>
      <c r="G1755" s="43">
        <f>IF($B1755="","",N($E1755)+N($F1755))</f>
        <v/>
      </c>
      <c r="H1755" s="47" t="n"/>
      <c r="I1755" s="43">
        <f>IF($B1755="","",N($G1755)-N($H1755))</f>
        <v/>
      </c>
    </row>
    <row r="1756">
      <c r="A1756" s="39">
        <f>IF($B1756="","",COUNTA($B$4:$B1756))</f>
        <v/>
      </c>
      <c r="B1756" s="40" t="n"/>
      <c r="C1756" s="41" t="n"/>
      <c r="D1756" s="41" t="n"/>
      <c r="E1756" s="42" t="n"/>
      <c r="F1756" s="42" t="n"/>
      <c r="G1756" s="43">
        <f>IF($B1756="","",N($E1756)+N($F1756))</f>
        <v/>
      </c>
      <c r="H1756" s="42" t="n"/>
      <c r="I1756" s="43">
        <f>IF($B1756="","",N($G1756)-N($H1756))</f>
        <v/>
      </c>
    </row>
    <row r="1757">
      <c r="A1757" s="39">
        <f>IF($B1757="","",COUNTA($B$4:$B1757))</f>
        <v/>
      </c>
      <c r="B1757" s="45" t="n"/>
      <c r="C1757" s="46" t="n"/>
      <c r="D1757" s="46" t="n"/>
      <c r="E1757" s="47" t="n"/>
      <c r="F1757" s="47" t="n"/>
      <c r="G1757" s="43">
        <f>IF($B1757="","",N($E1757)+N($F1757))</f>
        <v/>
      </c>
      <c r="H1757" s="47" t="n"/>
      <c r="I1757" s="43">
        <f>IF($B1757="","",N($G1757)-N($H1757))</f>
        <v/>
      </c>
    </row>
    <row r="1758">
      <c r="A1758" s="39">
        <f>IF($B1758="","",COUNTA($B$4:$B1758))</f>
        <v/>
      </c>
      <c r="B1758" s="40" t="n"/>
      <c r="C1758" s="41" t="n"/>
      <c r="D1758" s="41" t="n"/>
      <c r="E1758" s="42" t="n"/>
      <c r="F1758" s="42" t="n"/>
      <c r="G1758" s="43">
        <f>IF($B1758="","",N($E1758)+N($F1758))</f>
        <v/>
      </c>
      <c r="H1758" s="42" t="n"/>
      <c r="I1758" s="43">
        <f>IF($B1758="","",N($G1758)-N($H1758))</f>
        <v/>
      </c>
    </row>
    <row r="1759">
      <c r="A1759" s="39">
        <f>IF($B1759="","",COUNTA($B$4:$B1759))</f>
        <v/>
      </c>
      <c r="B1759" s="45" t="n"/>
      <c r="C1759" s="46" t="n"/>
      <c r="D1759" s="46" t="n"/>
      <c r="E1759" s="47" t="n"/>
      <c r="F1759" s="47" t="n"/>
      <c r="G1759" s="43">
        <f>IF($B1759="","",N($E1759)+N($F1759))</f>
        <v/>
      </c>
      <c r="H1759" s="47" t="n"/>
      <c r="I1759" s="43">
        <f>IF($B1759="","",N($G1759)-N($H1759))</f>
        <v/>
      </c>
    </row>
    <row r="1760">
      <c r="A1760" s="39">
        <f>IF($B1760="","",COUNTA($B$4:$B1760))</f>
        <v/>
      </c>
      <c r="B1760" s="40" t="n"/>
      <c r="C1760" s="41" t="n"/>
      <c r="D1760" s="41" t="n"/>
      <c r="E1760" s="42" t="n"/>
      <c r="F1760" s="42" t="n"/>
      <c r="G1760" s="43">
        <f>IF($B1760="","",N($E1760)+N($F1760))</f>
        <v/>
      </c>
      <c r="H1760" s="42" t="n"/>
      <c r="I1760" s="43">
        <f>IF($B1760="","",N($G1760)-N($H1760))</f>
        <v/>
      </c>
    </row>
    <row r="1761">
      <c r="A1761" s="39">
        <f>IF($B1761="","",COUNTA($B$4:$B1761))</f>
        <v/>
      </c>
      <c r="B1761" s="45" t="n"/>
      <c r="C1761" s="46" t="n"/>
      <c r="D1761" s="46" t="n"/>
      <c r="E1761" s="47" t="n"/>
      <c r="F1761" s="47" t="n"/>
      <c r="G1761" s="43">
        <f>IF($B1761="","",N($E1761)+N($F1761))</f>
        <v/>
      </c>
      <c r="H1761" s="47" t="n"/>
      <c r="I1761" s="43">
        <f>IF($B1761="","",N($G1761)-N($H1761))</f>
        <v/>
      </c>
    </row>
    <row r="1762">
      <c r="A1762" s="39">
        <f>IF($B1762="","",COUNTA($B$4:$B1762))</f>
        <v/>
      </c>
      <c r="B1762" s="40" t="n"/>
      <c r="C1762" s="41" t="n"/>
      <c r="D1762" s="41" t="n"/>
      <c r="E1762" s="42" t="n"/>
      <c r="F1762" s="42" t="n"/>
      <c r="G1762" s="43">
        <f>IF($B1762="","",N($E1762)+N($F1762))</f>
        <v/>
      </c>
      <c r="H1762" s="42" t="n"/>
      <c r="I1762" s="43">
        <f>IF($B1762="","",N($G1762)-N($H1762))</f>
        <v/>
      </c>
    </row>
    <row r="1763">
      <c r="A1763" s="39">
        <f>IF($B1763="","",COUNTA($B$4:$B1763))</f>
        <v/>
      </c>
      <c r="B1763" s="45" t="n"/>
      <c r="C1763" s="46" t="n"/>
      <c r="D1763" s="46" t="n"/>
      <c r="E1763" s="47" t="n"/>
      <c r="F1763" s="47" t="n"/>
      <c r="G1763" s="43">
        <f>IF($B1763="","",N($E1763)+N($F1763))</f>
        <v/>
      </c>
      <c r="H1763" s="47" t="n"/>
      <c r="I1763" s="43">
        <f>IF($B1763="","",N($G1763)-N($H1763))</f>
        <v/>
      </c>
    </row>
    <row r="1764">
      <c r="A1764" s="39">
        <f>IF($B1764="","",COUNTA($B$4:$B1764))</f>
        <v/>
      </c>
      <c r="B1764" s="40" t="n"/>
      <c r="C1764" s="41" t="n"/>
      <c r="D1764" s="41" t="n"/>
      <c r="E1764" s="42" t="n"/>
      <c r="F1764" s="42" t="n"/>
      <c r="G1764" s="43">
        <f>IF($B1764="","",N($E1764)+N($F1764))</f>
        <v/>
      </c>
      <c r="H1764" s="42" t="n"/>
      <c r="I1764" s="43">
        <f>IF($B1764="","",N($G1764)-N($H1764))</f>
        <v/>
      </c>
    </row>
    <row r="1765">
      <c r="A1765" s="39">
        <f>IF($B1765="","",COUNTA($B$4:$B1765))</f>
        <v/>
      </c>
      <c r="B1765" s="45" t="n"/>
      <c r="C1765" s="46" t="n"/>
      <c r="D1765" s="46" t="n"/>
      <c r="E1765" s="47" t="n"/>
      <c r="F1765" s="47" t="n"/>
      <c r="G1765" s="43">
        <f>IF($B1765="","",N($E1765)+N($F1765))</f>
        <v/>
      </c>
      <c r="H1765" s="47" t="n"/>
      <c r="I1765" s="43">
        <f>IF($B1765="","",N($G1765)-N($H1765))</f>
        <v/>
      </c>
    </row>
    <row r="1766">
      <c r="A1766" s="39">
        <f>IF($B1766="","",COUNTA($B$4:$B1766))</f>
        <v/>
      </c>
      <c r="B1766" s="40" t="n"/>
      <c r="C1766" s="41" t="n"/>
      <c r="D1766" s="41" t="n"/>
      <c r="E1766" s="42" t="n"/>
      <c r="F1766" s="42" t="n"/>
      <c r="G1766" s="43">
        <f>IF($B1766="","",N($E1766)+N($F1766))</f>
        <v/>
      </c>
      <c r="H1766" s="42" t="n"/>
      <c r="I1766" s="43">
        <f>IF($B1766="","",N($G1766)-N($H1766))</f>
        <v/>
      </c>
    </row>
    <row r="1767">
      <c r="A1767" s="39">
        <f>IF($B1767="","",COUNTA($B$4:$B1767))</f>
        <v/>
      </c>
      <c r="B1767" s="45" t="n"/>
      <c r="C1767" s="46" t="n"/>
      <c r="D1767" s="46" t="n"/>
      <c r="E1767" s="47" t="n"/>
      <c r="F1767" s="47" t="n"/>
      <c r="G1767" s="43">
        <f>IF($B1767="","",N($E1767)+N($F1767))</f>
        <v/>
      </c>
      <c r="H1767" s="47" t="n"/>
      <c r="I1767" s="43">
        <f>IF($B1767="","",N($G1767)-N($H1767))</f>
        <v/>
      </c>
    </row>
    <row r="1768">
      <c r="A1768" s="39">
        <f>IF($B1768="","",COUNTA($B$4:$B1768))</f>
        <v/>
      </c>
      <c r="B1768" s="40" t="n"/>
      <c r="C1768" s="41" t="n"/>
      <c r="D1768" s="41" t="n"/>
      <c r="E1768" s="42" t="n"/>
      <c r="F1768" s="42" t="n"/>
      <c r="G1768" s="43">
        <f>IF($B1768="","",N($E1768)+N($F1768))</f>
        <v/>
      </c>
      <c r="H1768" s="42" t="n"/>
      <c r="I1768" s="43">
        <f>IF($B1768="","",N($G1768)-N($H1768))</f>
        <v/>
      </c>
    </row>
    <row r="1769">
      <c r="A1769" s="39">
        <f>IF($B1769="","",COUNTA($B$4:$B1769))</f>
        <v/>
      </c>
      <c r="B1769" s="45" t="n"/>
      <c r="C1769" s="46" t="n"/>
      <c r="D1769" s="46" t="n"/>
      <c r="E1769" s="47" t="n"/>
      <c r="F1769" s="47" t="n"/>
      <c r="G1769" s="43">
        <f>IF($B1769="","",N($E1769)+N($F1769))</f>
        <v/>
      </c>
      <c r="H1769" s="47" t="n"/>
      <c r="I1769" s="43">
        <f>IF($B1769="","",N($G1769)-N($H1769))</f>
        <v/>
      </c>
    </row>
    <row r="1770">
      <c r="A1770" s="39">
        <f>IF($B1770="","",COUNTA($B$4:$B1770))</f>
        <v/>
      </c>
      <c r="B1770" s="40" t="n"/>
      <c r="C1770" s="41" t="n"/>
      <c r="D1770" s="41" t="n"/>
      <c r="E1770" s="42" t="n"/>
      <c r="F1770" s="42" t="n"/>
      <c r="G1770" s="43">
        <f>IF($B1770="","",N($E1770)+N($F1770))</f>
        <v/>
      </c>
      <c r="H1770" s="42" t="n"/>
      <c r="I1770" s="43">
        <f>IF($B1770="","",N($G1770)-N($H1770))</f>
        <v/>
      </c>
    </row>
    <row r="1771">
      <c r="A1771" s="39">
        <f>IF($B1771="","",COUNTA($B$4:$B1771))</f>
        <v/>
      </c>
      <c r="B1771" s="45" t="n"/>
      <c r="C1771" s="46" t="n"/>
      <c r="D1771" s="46" t="n"/>
      <c r="E1771" s="47" t="n"/>
      <c r="F1771" s="47" t="n"/>
      <c r="G1771" s="43">
        <f>IF($B1771="","",N($E1771)+N($F1771))</f>
        <v/>
      </c>
      <c r="H1771" s="47" t="n"/>
      <c r="I1771" s="43">
        <f>IF($B1771="","",N($G1771)-N($H1771))</f>
        <v/>
      </c>
    </row>
    <row r="1772">
      <c r="A1772" s="39">
        <f>IF($B1772="","",COUNTA($B$4:$B1772))</f>
        <v/>
      </c>
      <c r="B1772" s="40" t="n"/>
      <c r="C1772" s="41" t="n"/>
      <c r="D1772" s="41" t="n"/>
      <c r="E1772" s="42" t="n"/>
      <c r="F1772" s="42" t="n"/>
      <c r="G1772" s="43">
        <f>IF($B1772="","",N($E1772)+N($F1772))</f>
        <v/>
      </c>
      <c r="H1772" s="42" t="n"/>
      <c r="I1772" s="43">
        <f>IF($B1772="","",N($G1772)-N($H1772))</f>
        <v/>
      </c>
    </row>
    <row r="1773">
      <c r="A1773" s="39">
        <f>IF($B1773="","",COUNTA($B$4:$B1773))</f>
        <v/>
      </c>
      <c r="B1773" s="45" t="n"/>
      <c r="C1773" s="46" t="n"/>
      <c r="D1773" s="46" t="n"/>
      <c r="E1773" s="47" t="n"/>
      <c r="F1773" s="47" t="n"/>
      <c r="G1773" s="43">
        <f>IF($B1773="","",N($E1773)+N($F1773))</f>
        <v/>
      </c>
      <c r="H1773" s="47" t="n"/>
      <c r="I1773" s="43">
        <f>IF($B1773="","",N($G1773)-N($H1773))</f>
        <v/>
      </c>
    </row>
    <row r="1774">
      <c r="A1774" s="39">
        <f>IF($B1774="","",COUNTA($B$4:$B1774))</f>
        <v/>
      </c>
      <c r="B1774" s="40" t="n"/>
      <c r="C1774" s="41" t="n"/>
      <c r="D1774" s="41" t="n"/>
      <c r="E1774" s="42" t="n"/>
      <c r="F1774" s="42" t="n"/>
      <c r="G1774" s="43">
        <f>IF($B1774="","",N($E1774)+N($F1774))</f>
        <v/>
      </c>
      <c r="H1774" s="42" t="n"/>
      <c r="I1774" s="43">
        <f>IF($B1774="","",N($G1774)-N($H1774))</f>
        <v/>
      </c>
    </row>
    <row r="1775">
      <c r="A1775" s="39">
        <f>IF($B1775="","",COUNTA($B$4:$B1775))</f>
        <v/>
      </c>
      <c r="B1775" s="45" t="n"/>
      <c r="C1775" s="46" t="n"/>
      <c r="D1775" s="46" t="n"/>
      <c r="E1775" s="47" t="n"/>
      <c r="F1775" s="47" t="n"/>
      <c r="G1775" s="43">
        <f>IF($B1775="","",N($E1775)+N($F1775))</f>
        <v/>
      </c>
      <c r="H1775" s="47" t="n"/>
      <c r="I1775" s="43">
        <f>IF($B1775="","",N($G1775)-N($H1775))</f>
        <v/>
      </c>
    </row>
    <row r="1776">
      <c r="A1776" s="39">
        <f>IF($B1776="","",COUNTA($B$4:$B1776))</f>
        <v/>
      </c>
      <c r="B1776" s="40" t="n"/>
      <c r="C1776" s="41" t="n"/>
      <c r="D1776" s="41" t="n"/>
      <c r="E1776" s="42" t="n"/>
      <c r="F1776" s="42" t="n"/>
      <c r="G1776" s="43">
        <f>IF($B1776="","",N($E1776)+N($F1776))</f>
        <v/>
      </c>
      <c r="H1776" s="42" t="n"/>
      <c r="I1776" s="43">
        <f>IF($B1776="","",N($G1776)-N($H1776))</f>
        <v/>
      </c>
    </row>
    <row r="1777">
      <c r="A1777" s="39">
        <f>IF($B1777="","",COUNTA($B$4:$B1777))</f>
        <v/>
      </c>
      <c r="B1777" s="45" t="n"/>
      <c r="C1777" s="46" t="n"/>
      <c r="D1777" s="46" t="n"/>
      <c r="E1777" s="47" t="n"/>
      <c r="F1777" s="47" t="n"/>
      <c r="G1777" s="43">
        <f>IF($B1777="","",N($E1777)+N($F1777))</f>
        <v/>
      </c>
      <c r="H1777" s="47" t="n"/>
      <c r="I1777" s="43">
        <f>IF($B1777="","",N($G1777)-N($H1777))</f>
        <v/>
      </c>
    </row>
    <row r="1778">
      <c r="A1778" s="39">
        <f>IF($B1778="","",COUNTA($B$4:$B1778))</f>
        <v/>
      </c>
      <c r="B1778" s="40" t="n"/>
      <c r="C1778" s="41" t="n"/>
      <c r="D1778" s="41" t="n"/>
      <c r="E1778" s="42" t="n"/>
      <c r="F1778" s="42" t="n"/>
      <c r="G1778" s="43">
        <f>IF($B1778="","",N($E1778)+N($F1778))</f>
        <v/>
      </c>
      <c r="H1778" s="42" t="n"/>
      <c r="I1778" s="43">
        <f>IF($B1778="","",N($G1778)-N($H1778))</f>
        <v/>
      </c>
    </row>
    <row r="1779">
      <c r="A1779" s="39">
        <f>IF($B1779="","",COUNTA($B$4:$B1779))</f>
        <v/>
      </c>
      <c r="B1779" s="45" t="n"/>
      <c r="C1779" s="46" t="n"/>
      <c r="D1779" s="46" t="n"/>
      <c r="E1779" s="47" t="n"/>
      <c r="F1779" s="47" t="n"/>
      <c r="G1779" s="43">
        <f>IF($B1779="","",N($E1779)+N($F1779))</f>
        <v/>
      </c>
      <c r="H1779" s="47" t="n"/>
      <c r="I1779" s="43">
        <f>IF($B1779="","",N($G1779)-N($H1779))</f>
        <v/>
      </c>
    </row>
    <row r="1780">
      <c r="A1780" s="39">
        <f>IF($B1780="","",COUNTA($B$4:$B1780))</f>
        <v/>
      </c>
      <c r="B1780" s="40" t="n"/>
      <c r="C1780" s="41" t="n"/>
      <c r="D1780" s="41" t="n"/>
      <c r="E1780" s="42" t="n"/>
      <c r="F1780" s="42" t="n"/>
      <c r="G1780" s="43">
        <f>IF($B1780="","",N($E1780)+N($F1780))</f>
        <v/>
      </c>
      <c r="H1780" s="42" t="n"/>
      <c r="I1780" s="43">
        <f>IF($B1780="","",N($G1780)-N($H1780))</f>
        <v/>
      </c>
    </row>
    <row r="1781">
      <c r="A1781" s="39">
        <f>IF($B1781="","",COUNTA($B$4:$B1781))</f>
        <v/>
      </c>
      <c r="B1781" s="45" t="n"/>
      <c r="C1781" s="46" t="n"/>
      <c r="D1781" s="46" t="n"/>
      <c r="E1781" s="47" t="n"/>
      <c r="F1781" s="47" t="n"/>
      <c r="G1781" s="43">
        <f>IF($B1781="","",N($E1781)+N($F1781))</f>
        <v/>
      </c>
      <c r="H1781" s="47" t="n"/>
      <c r="I1781" s="43">
        <f>IF($B1781="","",N($G1781)-N($H1781))</f>
        <v/>
      </c>
    </row>
    <row r="1782">
      <c r="A1782" s="39">
        <f>IF($B1782="","",COUNTA($B$4:$B1782))</f>
        <v/>
      </c>
      <c r="B1782" s="40" t="n"/>
      <c r="C1782" s="41" t="n"/>
      <c r="D1782" s="41" t="n"/>
      <c r="E1782" s="42" t="n"/>
      <c r="F1782" s="42" t="n"/>
      <c r="G1782" s="43">
        <f>IF($B1782="","",N($E1782)+N($F1782))</f>
        <v/>
      </c>
      <c r="H1782" s="42" t="n"/>
      <c r="I1782" s="43">
        <f>IF($B1782="","",N($G1782)-N($H1782))</f>
        <v/>
      </c>
    </row>
    <row r="1783">
      <c r="A1783" s="39">
        <f>IF($B1783="","",COUNTA($B$4:$B1783))</f>
        <v/>
      </c>
      <c r="B1783" s="45" t="n"/>
      <c r="C1783" s="46" t="n"/>
      <c r="D1783" s="46" t="n"/>
      <c r="E1783" s="47" t="n"/>
      <c r="F1783" s="47" t="n"/>
      <c r="G1783" s="43">
        <f>IF($B1783="","",N($E1783)+N($F1783))</f>
        <v/>
      </c>
      <c r="H1783" s="47" t="n"/>
      <c r="I1783" s="43">
        <f>IF($B1783="","",N($G1783)-N($H1783))</f>
        <v/>
      </c>
    </row>
    <row r="1784">
      <c r="A1784" s="39">
        <f>IF($B1784="","",COUNTA($B$4:$B1784))</f>
        <v/>
      </c>
      <c r="B1784" s="40" t="n"/>
      <c r="C1784" s="41" t="n"/>
      <c r="D1784" s="41" t="n"/>
      <c r="E1784" s="42" t="n"/>
      <c r="F1784" s="42" t="n"/>
      <c r="G1784" s="43">
        <f>IF($B1784="","",N($E1784)+N($F1784))</f>
        <v/>
      </c>
      <c r="H1784" s="42" t="n"/>
      <c r="I1784" s="43">
        <f>IF($B1784="","",N($G1784)-N($H1784))</f>
        <v/>
      </c>
    </row>
    <row r="1785">
      <c r="A1785" s="39">
        <f>IF($B1785="","",COUNTA($B$4:$B1785))</f>
        <v/>
      </c>
      <c r="B1785" s="45" t="n"/>
      <c r="C1785" s="46" t="n"/>
      <c r="D1785" s="46" t="n"/>
      <c r="E1785" s="47" t="n"/>
      <c r="F1785" s="47" t="n"/>
      <c r="G1785" s="43">
        <f>IF($B1785="","",N($E1785)+N($F1785))</f>
        <v/>
      </c>
      <c r="H1785" s="47" t="n"/>
      <c r="I1785" s="43">
        <f>IF($B1785="","",N($G1785)-N($H1785))</f>
        <v/>
      </c>
    </row>
    <row r="1786">
      <c r="A1786" s="39">
        <f>IF($B1786="","",COUNTA($B$4:$B1786))</f>
        <v/>
      </c>
      <c r="B1786" s="40" t="n"/>
      <c r="C1786" s="41" t="n"/>
      <c r="D1786" s="41" t="n"/>
      <c r="E1786" s="42" t="n"/>
      <c r="F1786" s="42" t="n"/>
      <c r="G1786" s="43">
        <f>IF($B1786="","",N($E1786)+N($F1786))</f>
        <v/>
      </c>
      <c r="H1786" s="42" t="n"/>
      <c r="I1786" s="43">
        <f>IF($B1786="","",N($G1786)-N($H1786))</f>
        <v/>
      </c>
    </row>
    <row r="1787">
      <c r="A1787" s="39">
        <f>IF($B1787="","",COUNTA($B$4:$B1787))</f>
        <v/>
      </c>
      <c r="B1787" s="45" t="n"/>
      <c r="C1787" s="46" t="n"/>
      <c r="D1787" s="46" t="n"/>
      <c r="E1787" s="47" t="n"/>
      <c r="F1787" s="47" t="n"/>
      <c r="G1787" s="43">
        <f>IF($B1787="","",N($E1787)+N($F1787))</f>
        <v/>
      </c>
      <c r="H1787" s="47" t="n"/>
      <c r="I1787" s="43">
        <f>IF($B1787="","",N($G1787)-N($H1787))</f>
        <v/>
      </c>
    </row>
    <row r="1788">
      <c r="A1788" s="39">
        <f>IF($B1788="","",COUNTA($B$4:$B1788))</f>
        <v/>
      </c>
      <c r="B1788" s="40" t="n"/>
      <c r="C1788" s="41" t="n"/>
      <c r="D1788" s="41" t="n"/>
      <c r="E1788" s="42" t="n"/>
      <c r="F1788" s="42" t="n"/>
      <c r="G1788" s="43">
        <f>IF($B1788="","",N($E1788)+N($F1788))</f>
        <v/>
      </c>
      <c r="H1788" s="42" t="n"/>
      <c r="I1788" s="43">
        <f>IF($B1788="","",N($G1788)-N($H1788))</f>
        <v/>
      </c>
    </row>
    <row r="1789">
      <c r="A1789" s="39">
        <f>IF($B1789="","",COUNTA($B$4:$B1789))</f>
        <v/>
      </c>
      <c r="B1789" s="45" t="n"/>
      <c r="C1789" s="46" t="n"/>
      <c r="D1789" s="46" t="n"/>
      <c r="E1789" s="47" t="n"/>
      <c r="F1789" s="47" t="n"/>
      <c r="G1789" s="43">
        <f>IF($B1789="","",N($E1789)+N($F1789))</f>
        <v/>
      </c>
      <c r="H1789" s="47" t="n"/>
      <c r="I1789" s="43">
        <f>IF($B1789="","",N($G1789)-N($H1789))</f>
        <v/>
      </c>
    </row>
    <row r="1790">
      <c r="A1790" s="39">
        <f>IF($B1790="","",COUNTA($B$4:$B1790))</f>
        <v/>
      </c>
      <c r="B1790" s="40" t="n"/>
      <c r="C1790" s="41" t="n"/>
      <c r="D1790" s="41" t="n"/>
      <c r="E1790" s="42" t="n"/>
      <c r="F1790" s="42" t="n"/>
      <c r="G1790" s="43">
        <f>IF($B1790="","",N($E1790)+N($F1790))</f>
        <v/>
      </c>
      <c r="H1790" s="42" t="n"/>
      <c r="I1790" s="43">
        <f>IF($B1790="","",N($G1790)-N($H1790))</f>
        <v/>
      </c>
    </row>
    <row r="1791">
      <c r="A1791" s="39">
        <f>IF($B1791="","",COUNTA($B$4:$B1791))</f>
        <v/>
      </c>
      <c r="B1791" s="45" t="n"/>
      <c r="C1791" s="46" t="n"/>
      <c r="D1791" s="46" t="n"/>
      <c r="E1791" s="47" t="n"/>
      <c r="F1791" s="47" t="n"/>
      <c r="G1791" s="43">
        <f>IF($B1791="","",N($E1791)+N($F1791))</f>
        <v/>
      </c>
      <c r="H1791" s="47" t="n"/>
      <c r="I1791" s="43">
        <f>IF($B1791="","",N($G1791)-N($H1791))</f>
        <v/>
      </c>
    </row>
    <row r="1792">
      <c r="A1792" s="39">
        <f>IF($B1792="","",COUNTA($B$4:$B1792))</f>
        <v/>
      </c>
      <c r="B1792" s="40" t="n"/>
      <c r="C1792" s="41" t="n"/>
      <c r="D1792" s="41" t="n"/>
      <c r="E1792" s="42" t="n"/>
      <c r="F1792" s="42" t="n"/>
      <c r="G1792" s="43">
        <f>IF($B1792="","",N($E1792)+N($F1792))</f>
        <v/>
      </c>
      <c r="H1792" s="42" t="n"/>
      <c r="I1792" s="43">
        <f>IF($B1792="","",N($G1792)-N($H1792))</f>
        <v/>
      </c>
    </row>
    <row r="1793">
      <c r="A1793" s="39">
        <f>IF($B1793="","",COUNTA($B$4:$B1793))</f>
        <v/>
      </c>
      <c r="B1793" s="45" t="n"/>
      <c r="C1793" s="46" t="n"/>
      <c r="D1793" s="46" t="n"/>
      <c r="E1793" s="47" t="n"/>
      <c r="F1793" s="47" t="n"/>
      <c r="G1793" s="43">
        <f>IF($B1793="","",N($E1793)+N($F1793))</f>
        <v/>
      </c>
      <c r="H1793" s="47" t="n"/>
      <c r="I1793" s="43">
        <f>IF($B1793="","",N($G1793)-N($H1793))</f>
        <v/>
      </c>
    </row>
    <row r="1794">
      <c r="A1794" s="39">
        <f>IF($B1794="","",COUNTA($B$4:$B1794))</f>
        <v/>
      </c>
      <c r="B1794" s="40" t="n"/>
      <c r="C1794" s="41" t="n"/>
      <c r="D1794" s="41" t="n"/>
      <c r="E1794" s="42" t="n"/>
      <c r="F1794" s="42" t="n"/>
      <c r="G1794" s="43">
        <f>IF($B1794="","",N($E1794)+N($F1794))</f>
        <v/>
      </c>
      <c r="H1794" s="42" t="n"/>
      <c r="I1794" s="43">
        <f>IF($B1794="","",N($G1794)-N($H1794))</f>
        <v/>
      </c>
    </row>
    <row r="1795">
      <c r="A1795" s="39">
        <f>IF($B1795="","",COUNTA($B$4:$B1795))</f>
        <v/>
      </c>
      <c r="B1795" s="45" t="n"/>
      <c r="C1795" s="46" t="n"/>
      <c r="D1795" s="46" t="n"/>
      <c r="E1795" s="47" t="n"/>
      <c r="F1795" s="47" t="n"/>
      <c r="G1795" s="43">
        <f>IF($B1795="","",N($E1795)+N($F1795))</f>
        <v/>
      </c>
      <c r="H1795" s="47" t="n"/>
      <c r="I1795" s="43">
        <f>IF($B1795="","",N($G1795)-N($H1795))</f>
        <v/>
      </c>
    </row>
    <row r="1796">
      <c r="A1796" s="39">
        <f>IF($B1796="","",COUNTA($B$4:$B1796))</f>
        <v/>
      </c>
      <c r="B1796" s="40" t="n"/>
      <c r="C1796" s="41" t="n"/>
      <c r="D1796" s="41" t="n"/>
      <c r="E1796" s="42" t="n"/>
      <c r="F1796" s="42" t="n"/>
      <c r="G1796" s="43">
        <f>IF($B1796="","",N($E1796)+N($F1796))</f>
        <v/>
      </c>
      <c r="H1796" s="42" t="n"/>
      <c r="I1796" s="43">
        <f>IF($B1796="","",N($G1796)-N($H1796))</f>
        <v/>
      </c>
    </row>
    <row r="1797">
      <c r="A1797" s="39">
        <f>IF($B1797="","",COUNTA($B$4:$B1797))</f>
        <v/>
      </c>
      <c r="B1797" s="45" t="n"/>
      <c r="C1797" s="46" t="n"/>
      <c r="D1797" s="46" t="n"/>
      <c r="E1797" s="47" t="n"/>
      <c r="F1797" s="47" t="n"/>
      <c r="G1797" s="43">
        <f>IF($B1797="","",N($E1797)+N($F1797))</f>
        <v/>
      </c>
      <c r="H1797" s="47" t="n"/>
      <c r="I1797" s="43">
        <f>IF($B1797="","",N($G1797)-N($H1797))</f>
        <v/>
      </c>
    </row>
    <row r="1798">
      <c r="A1798" s="39">
        <f>IF($B1798="","",COUNTA($B$4:$B1798))</f>
        <v/>
      </c>
      <c r="B1798" s="40" t="n"/>
      <c r="C1798" s="41" t="n"/>
      <c r="D1798" s="41" t="n"/>
      <c r="E1798" s="42" t="n"/>
      <c r="F1798" s="42" t="n"/>
      <c r="G1798" s="43">
        <f>IF($B1798="","",N($E1798)+N($F1798))</f>
        <v/>
      </c>
      <c r="H1798" s="42" t="n"/>
      <c r="I1798" s="43">
        <f>IF($B1798="","",N($G1798)-N($H1798))</f>
        <v/>
      </c>
    </row>
    <row r="1799">
      <c r="A1799" s="39">
        <f>IF($B1799="","",COUNTA($B$4:$B1799))</f>
        <v/>
      </c>
      <c r="B1799" s="45" t="n"/>
      <c r="C1799" s="46" t="n"/>
      <c r="D1799" s="46" t="n"/>
      <c r="E1799" s="47" t="n"/>
      <c r="F1799" s="47" t="n"/>
      <c r="G1799" s="43">
        <f>IF($B1799="","",N($E1799)+N($F1799))</f>
        <v/>
      </c>
      <c r="H1799" s="47" t="n"/>
      <c r="I1799" s="43">
        <f>IF($B1799="","",N($G1799)-N($H1799))</f>
        <v/>
      </c>
    </row>
    <row r="1800">
      <c r="A1800" s="39">
        <f>IF($B1800="","",COUNTA($B$4:$B1800))</f>
        <v/>
      </c>
      <c r="B1800" s="40" t="n"/>
      <c r="C1800" s="41" t="n"/>
      <c r="D1800" s="41" t="n"/>
      <c r="E1800" s="42" t="n"/>
      <c r="F1800" s="42" t="n"/>
      <c r="G1800" s="43">
        <f>IF($B1800="","",N($E1800)+N($F1800))</f>
        <v/>
      </c>
      <c r="H1800" s="42" t="n"/>
      <c r="I1800" s="43">
        <f>IF($B1800="","",N($G1800)-N($H1800))</f>
        <v/>
      </c>
    </row>
    <row r="1801">
      <c r="A1801" s="39">
        <f>IF($B1801="","",COUNTA($B$4:$B1801))</f>
        <v/>
      </c>
      <c r="B1801" s="45" t="n"/>
      <c r="C1801" s="46" t="n"/>
      <c r="D1801" s="46" t="n"/>
      <c r="E1801" s="47" t="n"/>
      <c r="F1801" s="47" t="n"/>
      <c r="G1801" s="43">
        <f>IF($B1801="","",N($E1801)+N($F1801))</f>
        <v/>
      </c>
      <c r="H1801" s="47" t="n"/>
      <c r="I1801" s="43">
        <f>IF($B1801="","",N($G1801)-N($H1801))</f>
        <v/>
      </c>
    </row>
    <row r="1802">
      <c r="A1802" s="39">
        <f>IF($B1802="","",COUNTA($B$4:$B1802))</f>
        <v/>
      </c>
      <c r="B1802" s="40" t="n"/>
      <c r="C1802" s="41" t="n"/>
      <c r="D1802" s="41" t="n"/>
      <c r="E1802" s="42" t="n"/>
      <c r="F1802" s="42" t="n"/>
      <c r="G1802" s="43">
        <f>IF($B1802="","",N($E1802)+N($F1802))</f>
        <v/>
      </c>
      <c r="H1802" s="42" t="n"/>
      <c r="I1802" s="43">
        <f>IF($B1802="","",N($G1802)-N($H1802))</f>
        <v/>
      </c>
    </row>
    <row r="1803">
      <c r="A1803" s="39">
        <f>IF($B1803="","",COUNTA($B$4:$B1803))</f>
        <v/>
      </c>
      <c r="B1803" s="45" t="n"/>
      <c r="C1803" s="46" t="n"/>
      <c r="D1803" s="46" t="n"/>
      <c r="E1803" s="47" t="n"/>
      <c r="F1803" s="47" t="n"/>
      <c r="G1803" s="43">
        <f>IF($B1803="","",N($E1803)+N($F1803))</f>
        <v/>
      </c>
      <c r="H1803" s="47" t="n"/>
      <c r="I1803" s="43">
        <f>IF($B1803="","",N($G1803)-N($H1803))</f>
        <v/>
      </c>
    </row>
    <row r="1804">
      <c r="A1804" s="39">
        <f>IF($B1804="","",COUNTA($B$4:$B1804))</f>
        <v/>
      </c>
      <c r="B1804" s="40" t="n"/>
      <c r="C1804" s="41" t="n"/>
      <c r="D1804" s="41" t="n"/>
      <c r="E1804" s="42" t="n"/>
      <c r="F1804" s="42" t="n"/>
      <c r="G1804" s="43">
        <f>IF($B1804="","",N($E1804)+N($F1804))</f>
        <v/>
      </c>
      <c r="H1804" s="42" t="n"/>
      <c r="I1804" s="43">
        <f>IF($B1804="","",N($G1804)-N($H1804))</f>
        <v/>
      </c>
    </row>
    <row r="1805">
      <c r="A1805" s="39">
        <f>IF($B1805="","",COUNTA($B$4:$B1805))</f>
        <v/>
      </c>
      <c r="B1805" s="45" t="n"/>
      <c r="C1805" s="46" t="n"/>
      <c r="D1805" s="46" t="n"/>
      <c r="E1805" s="47" t="n"/>
      <c r="F1805" s="47" t="n"/>
      <c r="G1805" s="43">
        <f>IF($B1805="","",N($E1805)+N($F1805))</f>
        <v/>
      </c>
      <c r="H1805" s="47" t="n"/>
      <c r="I1805" s="43">
        <f>IF($B1805="","",N($G1805)-N($H1805))</f>
        <v/>
      </c>
    </row>
    <row r="1806">
      <c r="A1806" s="39">
        <f>IF($B1806="","",COUNTA($B$4:$B1806))</f>
        <v/>
      </c>
      <c r="B1806" s="40" t="n"/>
      <c r="C1806" s="41" t="n"/>
      <c r="D1806" s="41" t="n"/>
      <c r="E1806" s="42" t="n"/>
      <c r="F1806" s="42" t="n"/>
      <c r="G1806" s="43">
        <f>IF($B1806="","",N($E1806)+N($F1806))</f>
        <v/>
      </c>
      <c r="H1806" s="42" t="n"/>
      <c r="I1806" s="43">
        <f>IF($B1806="","",N($G1806)-N($H1806))</f>
        <v/>
      </c>
    </row>
    <row r="1807">
      <c r="A1807" s="39">
        <f>IF($B1807="","",COUNTA($B$4:$B1807))</f>
        <v/>
      </c>
      <c r="B1807" s="45" t="n"/>
      <c r="C1807" s="46" t="n"/>
      <c r="D1807" s="46" t="n"/>
      <c r="E1807" s="47" t="n"/>
      <c r="F1807" s="47" t="n"/>
      <c r="G1807" s="43">
        <f>IF($B1807="","",N($E1807)+N($F1807))</f>
        <v/>
      </c>
      <c r="H1807" s="47" t="n"/>
      <c r="I1807" s="43">
        <f>IF($B1807="","",N($G1807)-N($H1807))</f>
        <v/>
      </c>
    </row>
    <row r="1808">
      <c r="A1808" s="39">
        <f>IF($B1808="","",COUNTA($B$4:$B1808))</f>
        <v/>
      </c>
      <c r="B1808" s="40" t="n"/>
      <c r="C1808" s="41" t="n"/>
      <c r="D1808" s="41" t="n"/>
      <c r="E1808" s="42" t="n"/>
      <c r="F1808" s="42" t="n"/>
      <c r="G1808" s="43">
        <f>IF($B1808="","",N($E1808)+N($F1808))</f>
        <v/>
      </c>
      <c r="H1808" s="42" t="n"/>
      <c r="I1808" s="43">
        <f>IF($B1808="","",N($G1808)-N($H1808))</f>
        <v/>
      </c>
    </row>
    <row r="1809">
      <c r="A1809" s="39">
        <f>IF($B1809="","",COUNTA($B$4:$B1809))</f>
        <v/>
      </c>
      <c r="B1809" s="45" t="n"/>
      <c r="C1809" s="46" t="n"/>
      <c r="D1809" s="46" t="n"/>
      <c r="E1809" s="47" t="n"/>
      <c r="F1809" s="47" t="n"/>
      <c r="G1809" s="43">
        <f>IF($B1809="","",N($E1809)+N($F1809))</f>
        <v/>
      </c>
      <c r="H1809" s="47" t="n"/>
      <c r="I1809" s="43">
        <f>IF($B1809="","",N($G1809)-N($H1809))</f>
        <v/>
      </c>
    </row>
    <row r="1810">
      <c r="A1810" s="39">
        <f>IF($B1810="","",COUNTA($B$4:$B1810))</f>
        <v/>
      </c>
      <c r="B1810" s="40" t="n"/>
      <c r="C1810" s="41" t="n"/>
      <c r="D1810" s="41" t="n"/>
      <c r="E1810" s="42" t="n"/>
      <c r="F1810" s="42" t="n"/>
      <c r="G1810" s="43">
        <f>IF($B1810="","",N($E1810)+N($F1810))</f>
        <v/>
      </c>
      <c r="H1810" s="42" t="n"/>
      <c r="I1810" s="43">
        <f>IF($B1810="","",N($G1810)-N($H1810))</f>
        <v/>
      </c>
    </row>
    <row r="1811">
      <c r="A1811" s="39">
        <f>IF($B1811="","",COUNTA($B$4:$B1811))</f>
        <v/>
      </c>
      <c r="B1811" s="45" t="n"/>
      <c r="C1811" s="46" t="n"/>
      <c r="D1811" s="46" t="n"/>
      <c r="E1811" s="47" t="n"/>
      <c r="F1811" s="47" t="n"/>
      <c r="G1811" s="43">
        <f>IF($B1811="","",N($E1811)+N($F1811))</f>
        <v/>
      </c>
      <c r="H1811" s="47" t="n"/>
      <c r="I1811" s="43">
        <f>IF($B1811="","",N($G1811)-N($H1811))</f>
        <v/>
      </c>
    </row>
    <row r="1812">
      <c r="A1812" s="39">
        <f>IF($B1812="","",COUNTA($B$4:$B1812))</f>
        <v/>
      </c>
      <c r="B1812" s="40" t="n"/>
      <c r="C1812" s="41" t="n"/>
      <c r="D1812" s="41" t="n"/>
      <c r="E1812" s="42" t="n"/>
      <c r="F1812" s="42" t="n"/>
      <c r="G1812" s="43">
        <f>IF($B1812="","",N($E1812)+N($F1812))</f>
        <v/>
      </c>
      <c r="H1812" s="42" t="n"/>
      <c r="I1812" s="43">
        <f>IF($B1812="","",N($G1812)-N($H1812))</f>
        <v/>
      </c>
    </row>
    <row r="1813">
      <c r="A1813" s="39">
        <f>IF($B1813="","",COUNTA($B$4:$B1813))</f>
        <v/>
      </c>
      <c r="B1813" s="45" t="n"/>
      <c r="C1813" s="46" t="n"/>
      <c r="D1813" s="46" t="n"/>
      <c r="E1813" s="47" t="n"/>
      <c r="F1813" s="47" t="n"/>
      <c r="G1813" s="43">
        <f>IF($B1813="","",N($E1813)+N($F1813))</f>
        <v/>
      </c>
      <c r="H1813" s="47" t="n"/>
      <c r="I1813" s="43">
        <f>IF($B1813="","",N($G1813)-N($H1813))</f>
        <v/>
      </c>
    </row>
    <row r="1814">
      <c r="A1814" s="39">
        <f>IF($B1814="","",COUNTA($B$4:$B1814))</f>
        <v/>
      </c>
      <c r="B1814" s="40" t="n"/>
      <c r="C1814" s="41" t="n"/>
      <c r="D1814" s="41" t="n"/>
      <c r="E1814" s="42" t="n"/>
      <c r="F1814" s="42" t="n"/>
      <c r="G1814" s="43">
        <f>IF($B1814="","",N($E1814)+N($F1814))</f>
        <v/>
      </c>
      <c r="H1814" s="42" t="n"/>
      <c r="I1814" s="43">
        <f>IF($B1814="","",N($G1814)-N($H1814))</f>
        <v/>
      </c>
    </row>
    <row r="1815">
      <c r="A1815" s="39">
        <f>IF($B1815="","",COUNTA($B$4:$B1815))</f>
        <v/>
      </c>
      <c r="B1815" s="45" t="n"/>
      <c r="C1815" s="46" t="n"/>
      <c r="D1815" s="46" t="n"/>
      <c r="E1815" s="47" t="n"/>
      <c r="F1815" s="47" t="n"/>
      <c r="G1815" s="43">
        <f>IF($B1815="","",N($E1815)+N($F1815))</f>
        <v/>
      </c>
      <c r="H1815" s="47" t="n"/>
      <c r="I1815" s="43">
        <f>IF($B1815="","",N($G1815)-N($H1815))</f>
        <v/>
      </c>
    </row>
    <row r="1816">
      <c r="A1816" s="39">
        <f>IF($B1816="","",COUNTA($B$4:$B1816))</f>
        <v/>
      </c>
      <c r="B1816" s="40" t="n"/>
      <c r="C1816" s="41" t="n"/>
      <c r="D1816" s="41" t="n"/>
      <c r="E1816" s="42" t="n"/>
      <c r="F1816" s="42" t="n"/>
      <c r="G1816" s="43">
        <f>IF($B1816="","",N($E1816)+N($F1816))</f>
        <v/>
      </c>
      <c r="H1816" s="42" t="n"/>
      <c r="I1816" s="43">
        <f>IF($B1816="","",N($G1816)-N($H1816))</f>
        <v/>
      </c>
    </row>
    <row r="1817">
      <c r="A1817" s="39">
        <f>IF($B1817="","",COUNTA($B$4:$B1817))</f>
        <v/>
      </c>
      <c r="B1817" s="45" t="n"/>
      <c r="C1817" s="46" t="n"/>
      <c r="D1817" s="46" t="n"/>
      <c r="E1817" s="47" t="n"/>
      <c r="F1817" s="47" t="n"/>
      <c r="G1817" s="43">
        <f>IF($B1817="","",N($E1817)+N($F1817))</f>
        <v/>
      </c>
      <c r="H1817" s="47" t="n"/>
      <c r="I1817" s="43">
        <f>IF($B1817="","",N($G1817)-N($H1817))</f>
        <v/>
      </c>
    </row>
    <row r="1818">
      <c r="A1818" s="39">
        <f>IF($B1818="","",COUNTA($B$4:$B1818))</f>
        <v/>
      </c>
      <c r="B1818" s="40" t="n"/>
      <c r="C1818" s="41" t="n"/>
      <c r="D1818" s="41" t="n"/>
      <c r="E1818" s="42" t="n"/>
      <c r="F1818" s="42" t="n"/>
      <c r="G1818" s="43">
        <f>IF($B1818="","",N($E1818)+N($F1818))</f>
        <v/>
      </c>
      <c r="H1818" s="42" t="n"/>
      <c r="I1818" s="43">
        <f>IF($B1818="","",N($G1818)-N($H1818))</f>
        <v/>
      </c>
    </row>
    <row r="1819">
      <c r="A1819" s="39">
        <f>IF($B1819="","",COUNTA($B$4:$B1819))</f>
        <v/>
      </c>
      <c r="B1819" s="45" t="n"/>
      <c r="C1819" s="46" t="n"/>
      <c r="D1819" s="46" t="n"/>
      <c r="E1819" s="47" t="n"/>
      <c r="F1819" s="47" t="n"/>
      <c r="G1819" s="43">
        <f>IF($B1819="","",N($E1819)+N($F1819))</f>
        <v/>
      </c>
      <c r="H1819" s="47" t="n"/>
      <c r="I1819" s="43">
        <f>IF($B1819="","",N($G1819)-N($H1819))</f>
        <v/>
      </c>
    </row>
    <row r="1820">
      <c r="A1820" s="39">
        <f>IF($B1820="","",COUNTA($B$4:$B1820))</f>
        <v/>
      </c>
      <c r="B1820" s="40" t="n"/>
      <c r="C1820" s="41" t="n"/>
      <c r="D1820" s="41" t="n"/>
      <c r="E1820" s="42" t="n"/>
      <c r="F1820" s="42" t="n"/>
      <c r="G1820" s="43">
        <f>IF($B1820="","",N($E1820)+N($F1820))</f>
        <v/>
      </c>
      <c r="H1820" s="42" t="n"/>
      <c r="I1820" s="43">
        <f>IF($B1820="","",N($G1820)-N($H1820))</f>
        <v/>
      </c>
    </row>
    <row r="1821">
      <c r="A1821" s="39">
        <f>IF($B1821="","",COUNTA($B$4:$B1821))</f>
        <v/>
      </c>
      <c r="B1821" s="45" t="n"/>
      <c r="C1821" s="46" t="n"/>
      <c r="D1821" s="46" t="n"/>
      <c r="E1821" s="47" t="n"/>
      <c r="F1821" s="47" t="n"/>
      <c r="G1821" s="43">
        <f>IF($B1821="","",N($E1821)+N($F1821))</f>
        <v/>
      </c>
      <c r="H1821" s="47" t="n"/>
      <c r="I1821" s="43">
        <f>IF($B1821="","",N($G1821)-N($H1821))</f>
        <v/>
      </c>
    </row>
    <row r="1822">
      <c r="A1822" s="39">
        <f>IF($B1822="","",COUNTA($B$4:$B1822))</f>
        <v/>
      </c>
      <c r="B1822" s="40" t="n"/>
      <c r="C1822" s="41" t="n"/>
      <c r="D1822" s="41" t="n"/>
      <c r="E1822" s="42" t="n"/>
      <c r="F1822" s="42" t="n"/>
      <c r="G1822" s="43">
        <f>IF($B1822="","",N($E1822)+N($F1822))</f>
        <v/>
      </c>
      <c r="H1822" s="42" t="n"/>
      <c r="I1822" s="43">
        <f>IF($B1822="","",N($G1822)-N($H1822))</f>
        <v/>
      </c>
    </row>
    <row r="1823">
      <c r="A1823" s="39">
        <f>IF($B1823="","",COUNTA($B$4:$B1823))</f>
        <v/>
      </c>
      <c r="B1823" s="45" t="n"/>
      <c r="C1823" s="46" t="n"/>
      <c r="D1823" s="46" t="n"/>
      <c r="E1823" s="47" t="n"/>
      <c r="F1823" s="47" t="n"/>
      <c r="G1823" s="43">
        <f>IF($B1823="","",N($E1823)+N($F1823))</f>
        <v/>
      </c>
      <c r="H1823" s="47" t="n"/>
      <c r="I1823" s="43">
        <f>IF($B1823="","",N($G1823)-N($H1823))</f>
        <v/>
      </c>
    </row>
    <row r="1824">
      <c r="A1824" s="39">
        <f>IF($B1824="","",COUNTA($B$4:$B1824))</f>
        <v/>
      </c>
      <c r="B1824" s="40" t="n"/>
      <c r="C1824" s="41" t="n"/>
      <c r="D1824" s="41" t="n"/>
      <c r="E1824" s="42" t="n"/>
      <c r="F1824" s="42" t="n"/>
      <c r="G1824" s="43">
        <f>IF($B1824="","",N($E1824)+N($F1824))</f>
        <v/>
      </c>
      <c r="H1824" s="42" t="n"/>
      <c r="I1824" s="43">
        <f>IF($B1824="","",N($G1824)-N($H1824))</f>
        <v/>
      </c>
    </row>
    <row r="1825">
      <c r="A1825" s="39">
        <f>IF($B1825="","",COUNTA($B$4:$B1825))</f>
        <v/>
      </c>
      <c r="B1825" s="45" t="n"/>
      <c r="C1825" s="46" t="n"/>
      <c r="D1825" s="46" t="n"/>
      <c r="E1825" s="47" t="n"/>
      <c r="F1825" s="47" t="n"/>
      <c r="G1825" s="43">
        <f>IF($B1825="","",N($E1825)+N($F1825))</f>
        <v/>
      </c>
      <c r="H1825" s="47" t="n"/>
      <c r="I1825" s="43">
        <f>IF($B1825="","",N($G1825)-N($H1825))</f>
        <v/>
      </c>
    </row>
    <row r="1826">
      <c r="A1826" s="39">
        <f>IF($B1826="","",COUNTA($B$4:$B1826))</f>
        <v/>
      </c>
      <c r="B1826" s="40" t="n"/>
      <c r="C1826" s="41" t="n"/>
      <c r="D1826" s="41" t="n"/>
      <c r="E1826" s="42" t="n"/>
      <c r="F1826" s="42" t="n"/>
      <c r="G1826" s="43">
        <f>IF($B1826="","",N($E1826)+N($F1826))</f>
        <v/>
      </c>
      <c r="H1826" s="42" t="n"/>
      <c r="I1826" s="43">
        <f>IF($B1826="","",N($G1826)-N($H1826))</f>
        <v/>
      </c>
    </row>
    <row r="1827">
      <c r="A1827" s="39">
        <f>IF($B1827="","",COUNTA($B$4:$B1827))</f>
        <v/>
      </c>
      <c r="B1827" s="45" t="n"/>
      <c r="C1827" s="46" t="n"/>
      <c r="D1827" s="46" t="n"/>
      <c r="E1827" s="47" t="n"/>
      <c r="F1827" s="47" t="n"/>
      <c r="G1827" s="43">
        <f>IF($B1827="","",N($E1827)+N($F1827))</f>
        <v/>
      </c>
      <c r="H1827" s="47" t="n"/>
      <c r="I1827" s="43">
        <f>IF($B1827="","",N($G1827)-N($H1827))</f>
        <v/>
      </c>
    </row>
    <row r="1828">
      <c r="A1828" s="39">
        <f>IF($B1828="","",COUNTA($B$4:$B1828))</f>
        <v/>
      </c>
      <c r="B1828" s="40" t="n"/>
      <c r="C1828" s="41" t="n"/>
      <c r="D1828" s="41" t="n"/>
      <c r="E1828" s="42" t="n"/>
      <c r="F1828" s="42" t="n"/>
      <c r="G1828" s="43">
        <f>IF($B1828="","",N($E1828)+N($F1828))</f>
        <v/>
      </c>
      <c r="H1828" s="42" t="n"/>
      <c r="I1828" s="43">
        <f>IF($B1828="","",N($G1828)-N($H1828))</f>
        <v/>
      </c>
    </row>
    <row r="1829">
      <c r="A1829" s="39">
        <f>IF($B1829="","",COUNTA($B$4:$B1829))</f>
        <v/>
      </c>
      <c r="B1829" s="45" t="n"/>
      <c r="C1829" s="46" t="n"/>
      <c r="D1829" s="46" t="n"/>
      <c r="E1829" s="47" t="n"/>
      <c r="F1829" s="47" t="n"/>
      <c r="G1829" s="43">
        <f>IF($B1829="","",N($E1829)+N($F1829))</f>
        <v/>
      </c>
      <c r="H1829" s="47" t="n"/>
      <c r="I1829" s="43">
        <f>IF($B1829="","",N($G1829)-N($H1829))</f>
        <v/>
      </c>
    </row>
    <row r="1830">
      <c r="A1830" s="39">
        <f>IF($B1830="","",COUNTA($B$4:$B1830))</f>
        <v/>
      </c>
      <c r="B1830" s="40" t="n"/>
      <c r="C1830" s="41" t="n"/>
      <c r="D1830" s="41" t="n"/>
      <c r="E1830" s="42" t="n"/>
      <c r="F1830" s="42" t="n"/>
      <c r="G1830" s="43">
        <f>IF($B1830="","",N($E1830)+N($F1830))</f>
        <v/>
      </c>
      <c r="H1830" s="42" t="n"/>
      <c r="I1830" s="43">
        <f>IF($B1830="","",N($G1830)-N($H1830))</f>
        <v/>
      </c>
    </row>
    <row r="1831">
      <c r="A1831" s="39">
        <f>IF($B1831="","",COUNTA($B$4:$B1831))</f>
        <v/>
      </c>
      <c r="B1831" s="45" t="n"/>
      <c r="C1831" s="46" t="n"/>
      <c r="D1831" s="46" t="n"/>
      <c r="E1831" s="47" t="n"/>
      <c r="F1831" s="47" t="n"/>
      <c r="G1831" s="43">
        <f>IF($B1831="","",N($E1831)+N($F1831))</f>
        <v/>
      </c>
      <c r="H1831" s="47" t="n"/>
      <c r="I1831" s="43">
        <f>IF($B1831="","",N($G1831)-N($H1831))</f>
        <v/>
      </c>
    </row>
    <row r="1832">
      <c r="A1832" s="39">
        <f>IF($B1832="","",COUNTA($B$4:$B1832))</f>
        <v/>
      </c>
      <c r="B1832" s="40" t="n"/>
      <c r="C1832" s="41" t="n"/>
      <c r="D1832" s="41" t="n"/>
      <c r="E1832" s="42" t="n"/>
      <c r="F1832" s="42" t="n"/>
      <c r="G1832" s="43">
        <f>IF($B1832="","",N($E1832)+N($F1832))</f>
        <v/>
      </c>
      <c r="H1832" s="42" t="n"/>
      <c r="I1832" s="43">
        <f>IF($B1832="","",N($G1832)-N($H1832))</f>
        <v/>
      </c>
    </row>
    <row r="1833">
      <c r="A1833" s="39">
        <f>IF($B1833="","",COUNTA($B$4:$B1833))</f>
        <v/>
      </c>
      <c r="B1833" s="45" t="n"/>
      <c r="C1833" s="46" t="n"/>
      <c r="D1833" s="46" t="n"/>
      <c r="E1833" s="47" t="n"/>
      <c r="F1833" s="47" t="n"/>
      <c r="G1833" s="43">
        <f>IF($B1833="","",N($E1833)+N($F1833))</f>
        <v/>
      </c>
      <c r="H1833" s="47" t="n"/>
      <c r="I1833" s="43">
        <f>IF($B1833="","",N($G1833)-N($H1833))</f>
        <v/>
      </c>
    </row>
    <row r="1834">
      <c r="A1834" s="39">
        <f>IF($B1834="","",COUNTA($B$4:$B1834))</f>
        <v/>
      </c>
      <c r="B1834" s="40" t="n"/>
      <c r="C1834" s="41" t="n"/>
      <c r="D1834" s="41" t="n"/>
      <c r="E1834" s="42" t="n"/>
      <c r="F1834" s="42" t="n"/>
      <c r="G1834" s="43">
        <f>IF($B1834="","",N($E1834)+N($F1834))</f>
        <v/>
      </c>
      <c r="H1834" s="42" t="n"/>
      <c r="I1834" s="43">
        <f>IF($B1834="","",N($G1834)-N($H1834))</f>
        <v/>
      </c>
    </row>
    <row r="1835">
      <c r="A1835" s="39">
        <f>IF($B1835="","",COUNTA($B$4:$B1835))</f>
        <v/>
      </c>
      <c r="B1835" s="45" t="n"/>
      <c r="C1835" s="46" t="n"/>
      <c r="D1835" s="46" t="n"/>
      <c r="E1835" s="47" t="n"/>
      <c r="F1835" s="47" t="n"/>
      <c r="G1835" s="43">
        <f>IF($B1835="","",N($E1835)+N($F1835))</f>
        <v/>
      </c>
      <c r="H1835" s="47" t="n"/>
      <c r="I1835" s="43">
        <f>IF($B1835="","",N($G1835)-N($H1835))</f>
        <v/>
      </c>
    </row>
    <row r="1836">
      <c r="A1836" s="39">
        <f>IF($B1836="","",COUNTA($B$4:$B1836))</f>
        <v/>
      </c>
      <c r="B1836" s="40" t="n"/>
      <c r="C1836" s="41" t="n"/>
      <c r="D1836" s="41" t="n"/>
      <c r="E1836" s="42" t="n"/>
      <c r="F1836" s="42" t="n"/>
      <c r="G1836" s="43">
        <f>IF($B1836="","",N($E1836)+N($F1836))</f>
        <v/>
      </c>
      <c r="H1836" s="42" t="n"/>
      <c r="I1836" s="43">
        <f>IF($B1836="","",N($G1836)-N($H1836))</f>
        <v/>
      </c>
    </row>
    <row r="1837">
      <c r="A1837" s="39">
        <f>IF($B1837="","",COUNTA($B$4:$B1837))</f>
        <v/>
      </c>
      <c r="B1837" s="45" t="n"/>
      <c r="C1837" s="46" t="n"/>
      <c r="D1837" s="46" t="n"/>
      <c r="E1837" s="47" t="n"/>
      <c r="F1837" s="47" t="n"/>
      <c r="G1837" s="43">
        <f>IF($B1837="","",N($E1837)+N($F1837))</f>
        <v/>
      </c>
      <c r="H1837" s="47" t="n"/>
      <c r="I1837" s="43">
        <f>IF($B1837="","",N($G1837)-N($H1837))</f>
        <v/>
      </c>
    </row>
    <row r="1838">
      <c r="A1838" s="39">
        <f>IF($B1838="","",COUNTA($B$4:$B1838))</f>
        <v/>
      </c>
      <c r="B1838" s="40" t="n"/>
      <c r="C1838" s="41" t="n"/>
      <c r="D1838" s="41" t="n"/>
      <c r="E1838" s="42" t="n"/>
      <c r="F1838" s="42" t="n"/>
      <c r="G1838" s="43">
        <f>IF($B1838="","",N($E1838)+N($F1838))</f>
        <v/>
      </c>
      <c r="H1838" s="42" t="n"/>
      <c r="I1838" s="43">
        <f>IF($B1838="","",N($G1838)-N($H1838))</f>
        <v/>
      </c>
    </row>
    <row r="1839">
      <c r="A1839" s="39">
        <f>IF($B1839="","",COUNTA($B$4:$B1839))</f>
        <v/>
      </c>
      <c r="B1839" s="45" t="n"/>
      <c r="C1839" s="46" t="n"/>
      <c r="D1839" s="46" t="n"/>
      <c r="E1839" s="47" t="n"/>
      <c r="F1839" s="47" t="n"/>
      <c r="G1839" s="43">
        <f>IF($B1839="","",N($E1839)+N($F1839))</f>
        <v/>
      </c>
      <c r="H1839" s="47" t="n"/>
      <c r="I1839" s="43">
        <f>IF($B1839="","",N($G1839)-N($H1839))</f>
        <v/>
      </c>
    </row>
    <row r="1840">
      <c r="A1840" s="39">
        <f>IF($B1840="","",COUNTA($B$4:$B1840))</f>
        <v/>
      </c>
      <c r="B1840" s="40" t="n"/>
      <c r="C1840" s="41" t="n"/>
      <c r="D1840" s="41" t="n"/>
      <c r="E1840" s="42" t="n"/>
      <c r="F1840" s="42" t="n"/>
      <c r="G1840" s="43">
        <f>IF($B1840="","",N($E1840)+N($F1840))</f>
        <v/>
      </c>
      <c r="H1840" s="42" t="n"/>
      <c r="I1840" s="43">
        <f>IF($B1840="","",N($G1840)-N($H1840))</f>
        <v/>
      </c>
    </row>
    <row r="1841">
      <c r="A1841" s="39">
        <f>IF($B1841="","",COUNTA($B$4:$B1841))</f>
        <v/>
      </c>
      <c r="B1841" s="45" t="n"/>
      <c r="C1841" s="46" t="n"/>
      <c r="D1841" s="46" t="n"/>
      <c r="E1841" s="47" t="n"/>
      <c r="F1841" s="47" t="n"/>
      <c r="G1841" s="43">
        <f>IF($B1841="","",N($E1841)+N($F1841))</f>
        <v/>
      </c>
      <c r="H1841" s="47" t="n"/>
      <c r="I1841" s="43">
        <f>IF($B1841="","",N($G1841)-N($H1841))</f>
        <v/>
      </c>
    </row>
    <row r="1842">
      <c r="A1842" s="39">
        <f>IF($B1842="","",COUNTA($B$4:$B1842))</f>
        <v/>
      </c>
      <c r="B1842" s="40" t="n"/>
      <c r="C1842" s="41" t="n"/>
      <c r="D1842" s="41" t="n"/>
      <c r="E1842" s="42" t="n"/>
      <c r="F1842" s="42" t="n"/>
      <c r="G1842" s="43">
        <f>IF($B1842="","",N($E1842)+N($F1842))</f>
        <v/>
      </c>
      <c r="H1842" s="42" t="n"/>
      <c r="I1842" s="43">
        <f>IF($B1842="","",N($G1842)-N($H1842))</f>
        <v/>
      </c>
    </row>
    <row r="1843">
      <c r="A1843" s="39">
        <f>IF($B1843="","",COUNTA($B$4:$B1843))</f>
        <v/>
      </c>
      <c r="B1843" s="45" t="n"/>
      <c r="C1843" s="46" t="n"/>
      <c r="D1843" s="46" t="n"/>
      <c r="E1843" s="47" t="n"/>
      <c r="F1843" s="47" t="n"/>
      <c r="G1843" s="43">
        <f>IF($B1843="","",N($E1843)+N($F1843))</f>
        <v/>
      </c>
      <c r="H1843" s="47" t="n"/>
      <c r="I1843" s="43">
        <f>IF($B1843="","",N($G1843)-N($H1843))</f>
        <v/>
      </c>
    </row>
    <row r="1844">
      <c r="A1844" s="39">
        <f>IF($B1844="","",COUNTA($B$4:$B1844))</f>
        <v/>
      </c>
      <c r="B1844" s="40" t="n"/>
      <c r="C1844" s="41" t="n"/>
      <c r="D1844" s="41" t="n"/>
      <c r="E1844" s="42" t="n"/>
      <c r="F1844" s="42" t="n"/>
      <c r="G1844" s="43">
        <f>IF($B1844="","",N($E1844)+N($F1844))</f>
        <v/>
      </c>
      <c r="H1844" s="42" t="n"/>
      <c r="I1844" s="43">
        <f>IF($B1844="","",N($G1844)-N($H1844))</f>
        <v/>
      </c>
    </row>
    <row r="1845">
      <c r="A1845" s="39">
        <f>IF($B1845="","",COUNTA($B$4:$B1845))</f>
        <v/>
      </c>
      <c r="B1845" s="45" t="n"/>
      <c r="C1845" s="46" t="n"/>
      <c r="D1845" s="46" t="n"/>
      <c r="E1845" s="47" t="n"/>
      <c r="F1845" s="47" t="n"/>
      <c r="G1845" s="43">
        <f>IF($B1845="","",N($E1845)+N($F1845))</f>
        <v/>
      </c>
      <c r="H1845" s="47" t="n"/>
      <c r="I1845" s="43">
        <f>IF($B1845="","",N($G1845)-N($H1845))</f>
        <v/>
      </c>
    </row>
    <row r="1846">
      <c r="A1846" s="39">
        <f>IF($B1846="","",COUNTA($B$4:$B1846))</f>
        <v/>
      </c>
      <c r="B1846" s="40" t="n"/>
      <c r="C1846" s="41" t="n"/>
      <c r="D1846" s="41" t="n"/>
      <c r="E1846" s="42" t="n"/>
      <c r="F1846" s="42" t="n"/>
      <c r="G1846" s="43">
        <f>IF($B1846="","",N($E1846)+N($F1846))</f>
        <v/>
      </c>
      <c r="H1846" s="42" t="n"/>
      <c r="I1846" s="43">
        <f>IF($B1846="","",N($G1846)-N($H1846))</f>
        <v/>
      </c>
    </row>
    <row r="1847">
      <c r="A1847" s="39">
        <f>IF($B1847="","",COUNTA($B$4:$B1847))</f>
        <v/>
      </c>
      <c r="B1847" s="45" t="n"/>
      <c r="C1847" s="46" t="n"/>
      <c r="D1847" s="46" t="n"/>
      <c r="E1847" s="47" t="n"/>
      <c r="F1847" s="47" t="n"/>
      <c r="G1847" s="43">
        <f>IF($B1847="","",N($E1847)+N($F1847))</f>
        <v/>
      </c>
      <c r="H1847" s="47" t="n"/>
      <c r="I1847" s="43">
        <f>IF($B1847="","",N($G1847)-N($H1847))</f>
        <v/>
      </c>
    </row>
    <row r="1848">
      <c r="A1848" s="39">
        <f>IF($B1848="","",COUNTA($B$4:$B1848))</f>
        <v/>
      </c>
      <c r="B1848" s="40" t="n"/>
      <c r="C1848" s="41" t="n"/>
      <c r="D1848" s="41" t="n"/>
      <c r="E1848" s="42" t="n"/>
      <c r="F1848" s="42" t="n"/>
      <c r="G1848" s="43">
        <f>IF($B1848="","",N($E1848)+N($F1848))</f>
        <v/>
      </c>
      <c r="H1848" s="42" t="n"/>
      <c r="I1848" s="43">
        <f>IF($B1848="","",N($G1848)-N($H1848))</f>
        <v/>
      </c>
    </row>
    <row r="1849">
      <c r="A1849" s="39">
        <f>IF($B1849="","",COUNTA($B$4:$B1849))</f>
        <v/>
      </c>
      <c r="B1849" s="45" t="n"/>
      <c r="C1849" s="46" t="n"/>
      <c r="D1849" s="46" t="n"/>
      <c r="E1849" s="47" t="n"/>
      <c r="F1849" s="47" t="n"/>
      <c r="G1849" s="43">
        <f>IF($B1849="","",N($E1849)+N($F1849))</f>
        <v/>
      </c>
      <c r="H1849" s="47" t="n"/>
      <c r="I1849" s="43">
        <f>IF($B1849="","",N($G1849)-N($H1849))</f>
        <v/>
      </c>
    </row>
    <row r="1850">
      <c r="A1850" s="39">
        <f>IF($B1850="","",COUNTA($B$4:$B1850))</f>
        <v/>
      </c>
      <c r="B1850" s="40" t="n"/>
      <c r="C1850" s="41" t="n"/>
      <c r="D1850" s="41" t="n"/>
      <c r="E1850" s="42" t="n"/>
      <c r="F1850" s="42" t="n"/>
      <c r="G1850" s="43">
        <f>IF($B1850="","",N($E1850)+N($F1850))</f>
        <v/>
      </c>
      <c r="H1850" s="42" t="n"/>
      <c r="I1850" s="43">
        <f>IF($B1850="","",N($G1850)-N($H1850))</f>
        <v/>
      </c>
    </row>
    <row r="1851">
      <c r="A1851" s="39">
        <f>IF($B1851="","",COUNTA($B$4:$B1851))</f>
        <v/>
      </c>
      <c r="B1851" s="45" t="n"/>
      <c r="C1851" s="46" t="n"/>
      <c r="D1851" s="46" t="n"/>
      <c r="E1851" s="47" t="n"/>
      <c r="F1851" s="47" t="n"/>
      <c r="G1851" s="43">
        <f>IF($B1851="","",N($E1851)+N($F1851))</f>
        <v/>
      </c>
      <c r="H1851" s="47" t="n"/>
      <c r="I1851" s="43">
        <f>IF($B1851="","",N($G1851)-N($H1851))</f>
        <v/>
      </c>
    </row>
    <row r="1852">
      <c r="A1852" s="39">
        <f>IF($B1852="","",COUNTA($B$4:$B1852))</f>
        <v/>
      </c>
      <c r="B1852" s="40" t="n"/>
      <c r="C1852" s="41" t="n"/>
      <c r="D1852" s="41" t="n"/>
      <c r="E1852" s="42" t="n"/>
      <c r="F1852" s="42" t="n"/>
      <c r="G1852" s="43">
        <f>IF($B1852="","",N($E1852)+N($F1852))</f>
        <v/>
      </c>
      <c r="H1852" s="42" t="n"/>
      <c r="I1852" s="43">
        <f>IF($B1852="","",N($G1852)-N($H1852))</f>
        <v/>
      </c>
    </row>
    <row r="1853">
      <c r="A1853" s="39">
        <f>IF($B1853="","",COUNTA($B$4:$B1853))</f>
        <v/>
      </c>
      <c r="B1853" s="45" t="n"/>
      <c r="C1853" s="46" t="n"/>
      <c r="D1853" s="46" t="n"/>
      <c r="E1853" s="47" t="n"/>
      <c r="F1853" s="47" t="n"/>
      <c r="G1853" s="43">
        <f>IF($B1853="","",N($E1853)+N($F1853))</f>
        <v/>
      </c>
      <c r="H1853" s="47" t="n"/>
      <c r="I1853" s="43">
        <f>IF($B1853="","",N($G1853)-N($H1853))</f>
        <v/>
      </c>
    </row>
    <row r="1854">
      <c r="A1854" s="39">
        <f>IF($B1854="","",COUNTA($B$4:$B1854))</f>
        <v/>
      </c>
      <c r="B1854" s="40" t="n"/>
      <c r="C1854" s="41" t="n"/>
      <c r="D1854" s="41" t="n"/>
      <c r="E1854" s="42" t="n"/>
      <c r="F1854" s="42" t="n"/>
      <c r="G1854" s="43">
        <f>IF($B1854="","",N($E1854)+N($F1854))</f>
        <v/>
      </c>
      <c r="H1854" s="42" t="n"/>
      <c r="I1854" s="43">
        <f>IF($B1854="","",N($G1854)-N($H1854))</f>
        <v/>
      </c>
    </row>
    <row r="1855">
      <c r="A1855" s="39">
        <f>IF($B1855="","",COUNTA($B$4:$B1855))</f>
        <v/>
      </c>
      <c r="B1855" s="45" t="n"/>
      <c r="C1855" s="46" t="n"/>
      <c r="D1855" s="46" t="n"/>
      <c r="E1855" s="47" t="n"/>
      <c r="F1855" s="47" t="n"/>
      <c r="G1855" s="43">
        <f>IF($B1855="","",N($E1855)+N($F1855))</f>
        <v/>
      </c>
      <c r="H1855" s="47" t="n"/>
      <c r="I1855" s="43">
        <f>IF($B1855="","",N($G1855)-N($H1855))</f>
        <v/>
      </c>
    </row>
    <row r="1856">
      <c r="A1856" s="39">
        <f>IF($B1856="","",COUNTA($B$4:$B1856))</f>
        <v/>
      </c>
      <c r="B1856" s="40" t="n"/>
      <c r="C1856" s="41" t="n"/>
      <c r="D1856" s="41" t="n"/>
      <c r="E1856" s="42" t="n"/>
      <c r="F1856" s="42" t="n"/>
      <c r="G1856" s="43">
        <f>IF($B1856="","",N($E1856)+N($F1856))</f>
        <v/>
      </c>
      <c r="H1856" s="42" t="n"/>
      <c r="I1856" s="43">
        <f>IF($B1856="","",N($G1856)-N($H1856))</f>
        <v/>
      </c>
    </row>
    <row r="1857">
      <c r="A1857" s="39">
        <f>IF($B1857="","",COUNTA($B$4:$B1857))</f>
        <v/>
      </c>
      <c r="B1857" s="45" t="n"/>
      <c r="C1857" s="46" t="n"/>
      <c r="D1857" s="46" t="n"/>
      <c r="E1857" s="47" t="n"/>
      <c r="F1857" s="47" t="n"/>
      <c r="G1857" s="43">
        <f>IF($B1857="","",N($E1857)+N($F1857))</f>
        <v/>
      </c>
      <c r="H1857" s="47" t="n"/>
      <c r="I1857" s="43">
        <f>IF($B1857="","",N($G1857)-N($H1857))</f>
        <v/>
      </c>
    </row>
    <row r="1858">
      <c r="A1858" s="39">
        <f>IF($B1858="","",COUNTA($B$4:$B1858))</f>
        <v/>
      </c>
      <c r="B1858" s="40" t="n"/>
      <c r="C1858" s="41" t="n"/>
      <c r="D1858" s="41" t="n"/>
      <c r="E1858" s="42" t="n"/>
      <c r="F1858" s="42" t="n"/>
      <c r="G1858" s="43">
        <f>IF($B1858="","",N($E1858)+N($F1858))</f>
        <v/>
      </c>
      <c r="H1858" s="42" t="n"/>
      <c r="I1858" s="43">
        <f>IF($B1858="","",N($G1858)-N($H1858))</f>
        <v/>
      </c>
    </row>
    <row r="1859">
      <c r="A1859" s="39">
        <f>IF($B1859="","",COUNTA($B$4:$B1859))</f>
        <v/>
      </c>
      <c r="B1859" s="45" t="n"/>
      <c r="C1859" s="46" t="n"/>
      <c r="D1859" s="46" t="n"/>
      <c r="E1859" s="47" t="n"/>
      <c r="F1859" s="47" t="n"/>
      <c r="G1859" s="43">
        <f>IF($B1859="","",N($E1859)+N($F1859))</f>
        <v/>
      </c>
      <c r="H1859" s="47" t="n"/>
      <c r="I1859" s="43">
        <f>IF($B1859="","",N($G1859)-N($H1859))</f>
        <v/>
      </c>
    </row>
    <row r="1860">
      <c r="A1860" s="39">
        <f>IF($B1860="","",COUNTA($B$4:$B1860))</f>
        <v/>
      </c>
      <c r="B1860" s="40" t="n"/>
      <c r="C1860" s="41" t="n"/>
      <c r="D1860" s="41" t="n"/>
      <c r="E1860" s="42" t="n"/>
      <c r="F1860" s="42" t="n"/>
      <c r="G1860" s="43">
        <f>IF($B1860="","",N($E1860)+N($F1860))</f>
        <v/>
      </c>
      <c r="H1860" s="42" t="n"/>
      <c r="I1860" s="43">
        <f>IF($B1860="","",N($G1860)-N($H1860))</f>
        <v/>
      </c>
    </row>
    <row r="1861">
      <c r="A1861" s="39">
        <f>IF($B1861="","",COUNTA($B$4:$B1861))</f>
        <v/>
      </c>
      <c r="B1861" s="45" t="n"/>
      <c r="C1861" s="46" t="n"/>
      <c r="D1861" s="46" t="n"/>
      <c r="E1861" s="47" t="n"/>
      <c r="F1861" s="47" t="n"/>
      <c r="G1861" s="43">
        <f>IF($B1861="","",N($E1861)+N($F1861))</f>
        <v/>
      </c>
      <c r="H1861" s="47" t="n"/>
      <c r="I1861" s="43">
        <f>IF($B1861="","",N($G1861)-N($H1861))</f>
        <v/>
      </c>
    </row>
    <row r="1862">
      <c r="A1862" s="39">
        <f>IF($B1862="","",COUNTA($B$4:$B1862))</f>
        <v/>
      </c>
      <c r="B1862" s="40" t="n"/>
      <c r="C1862" s="41" t="n"/>
      <c r="D1862" s="41" t="n"/>
      <c r="E1862" s="42" t="n"/>
      <c r="F1862" s="42" t="n"/>
      <c r="G1862" s="43">
        <f>IF($B1862="","",N($E1862)+N($F1862))</f>
        <v/>
      </c>
      <c r="H1862" s="42" t="n"/>
      <c r="I1862" s="43">
        <f>IF($B1862="","",N($G1862)-N($H1862))</f>
        <v/>
      </c>
    </row>
    <row r="1863">
      <c r="A1863" s="39">
        <f>IF($B1863="","",COUNTA($B$4:$B1863))</f>
        <v/>
      </c>
      <c r="B1863" s="45" t="n"/>
      <c r="C1863" s="46" t="n"/>
      <c r="D1863" s="46" t="n"/>
      <c r="E1863" s="47" t="n"/>
      <c r="F1863" s="47" t="n"/>
      <c r="G1863" s="43">
        <f>IF($B1863="","",N($E1863)+N($F1863))</f>
        <v/>
      </c>
      <c r="H1863" s="47" t="n"/>
      <c r="I1863" s="43">
        <f>IF($B1863="","",N($G1863)-N($H1863))</f>
        <v/>
      </c>
    </row>
    <row r="1864">
      <c r="A1864" s="39">
        <f>IF($B1864="","",COUNTA($B$4:$B1864))</f>
        <v/>
      </c>
      <c r="B1864" s="40" t="n"/>
      <c r="C1864" s="41" t="n"/>
      <c r="D1864" s="41" t="n"/>
      <c r="E1864" s="42" t="n"/>
      <c r="F1864" s="42" t="n"/>
      <c r="G1864" s="43">
        <f>IF($B1864="","",N($E1864)+N($F1864))</f>
        <v/>
      </c>
      <c r="H1864" s="42" t="n"/>
      <c r="I1864" s="43">
        <f>IF($B1864="","",N($G1864)-N($H1864))</f>
        <v/>
      </c>
    </row>
    <row r="1865">
      <c r="A1865" s="39">
        <f>IF($B1865="","",COUNTA($B$4:$B1865))</f>
        <v/>
      </c>
      <c r="B1865" s="45" t="n"/>
      <c r="C1865" s="46" t="n"/>
      <c r="D1865" s="46" t="n"/>
      <c r="E1865" s="47" t="n"/>
      <c r="F1865" s="47" t="n"/>
      <c r="G1865" s="43">
        <f>IF($B1865="","",N($E1865)+N($F1865))</f>
        <v/>
      </c>
      <c r="H1865" s="47" t="n"/>
      <c r="I1865" s="43">
        <f>IF($B1865="","",N($G1865)-N($H1865))</f>
        <v/>
      </c>
    </row>
    <row r="1866">
      <c r="A1866" s="39">
        <f>IF($B1866="","",COUNTA($B$4:$B1866))</f>
        <v/>
      </c>
      <c r="B1866" s="40" t="n"/>
      <c r="C1866" s="41" t="n"/>
      <c r="D1866" s="41" t="n"/>
      <c r="E1866" s="42" t="n"/>
      <c r="F1866" s="42" t="n"/>
      <c r="G1866" s="43">
        <f>IF($B1866="","",N($E1866)+N($F1866))</f>
        <v/>
      </c>
      <c r="H1866" s="42" t="n"/>
      <c r="I1866" s="43">
        <f>IF($B1866="","",N($G1866)-N($H1866))</f>
        <v/>
      </c>
    </row>
    <row r="1867">
      <c r="A1867" s="39">
        <f>IF($B1867="","",COUNTA($B$4:$B1867))</f>
        <v/>
      </c>
      <c r="B1867" s="45" t="n"/>
      <c r="C1867" s="46" t="n"/>
      <c r="D1867" s="46" t="n"/>
      <c r="E1867" s="47" t="n"/>
      <c r="F1867" s="47" t="n"/>
      <c r="G1867" s="43">
        <f>IF($B1867="","",N($E1867)+N($F1867))</f>
        <v/>
      </c>
      <c r="H1867" s="47" t="n"/>
      <c r="I1867" s="43">
        <f>IF($B1867="","",N($G1867)-N($H1867))</f>
        <v/>
      </c>
    </row>
    <row r="1868">
      <c r="A1868" s="39">
        <f>IF($B1868="","",COUNTA($B$4:$B1868))</f>
        <v/>
      </c>
      <c r="B1868" s="40" t="n"/>
      <c r="C1868" s="41" t="n"/>
      <c r="D1868" s="41" t="n"/>
      <c r="E1868" s="42" t="n"/>
      <c r="F1868" s="42" t="n"/>
      <c r="G1868" s="43">
        <f>IF($B1868="","",N($E1868)+N($F1868))</f>
        <v/>
      </c>
      <c r="H1868" s="42" t="n"/>
      <c r="I1868" s="43">
        <f>IF($B1868="","",N($G1868)-N($H1868))</f>
        <v/>
      </c>
    </row>
    <row r="1869">
      <c r="A1869" s="39">
        <f>IF($B1869="","",COUNTA($B$4:$B1869))</f>
        <v/>
      </c>
      <c r="B1869" s="45" t="n"/>
      <c r="C1869" s="46" t="n"/>
      <c r="D1869" s="46" t="n"/>
      <c r="E1869" s="47" t="n"/>
      <c r="F1869" s="47" t="n"/>
      <c r="G1869" s="43">
        <f>IF($B1869="","",N($E1869)+N($F1869))</f>
        <v/>
      </c>
      <c r="H1869" s="47" t="n"/>
      <c r="I1869" s="43">
        <f>IF($B1869="","",N($G1869)-N($H1869))</f>
        <v/>
      </c>
    </row>
    <row r="1870">
      <c r="A1870" s="39">
        <f>IF($B1870="","",COUNTA($B$4:$B1870))</f>
        <v/>
      </c>
      <c r="B1870" s="40" t="n"/>
      <c r="C1870" s="41" t="n"/>
      <c r="D1870" s="41" t="n"/>
      <c r="E1870" s="42" t="n"/>
      <c r="F1870" s="42" t="n"/>
      <c r="G1870" s="43">
        <f>IF($B1870="","",N($E1870)+N($F1870))</f>
        <v/>
      </c>
      <c r="H1870" s="42" t="n"/>
      <c r="I1870" s="43">
        <f>IF($B1870="","",N($G1870)-N($H1870))</f>
        <v/>
      </c>
    </row>
    <row r="1871">
      <c r="A1871" s="39">
        <f>IF($B1871="","",COUNTA($B$4:$B1871))</f>
        <v/>
      </c>
      <c r="B1871" s="45" t="n"/>
      <c r="C1871" s="46" t="n"/>
      <c r="D1871" s="46" t="n"/>
      <c r="E1871" s="47" t="n"/>
      <c r="F1871" s="47" t="n"/>
      <c r="G1871" s="43">
        <f>IF($B1871="","",N($E1871)+N($F1871))</f>
        <v/>
      </c>
      <c r="H1871" s="47" t="n"/>
      <c r="I1871" s="43">
        <f>IF($B1871="","",N($G1871)-N($H1871))</f>
        <v/>
      </c>
    </row>
    <row r="1872">
      <c r="A1872" s="39">
        <f>IF($B1872="","",COUNTA($B$4:$B1872))</f>
        <v/>
      </c>
      <c r="B1872" s="40" t="n"/>
      <c r="C1872" s="41" t="n"/>
      <c r="D1872" s="41" t="n"/>
      <c r="E1872" s="42" t="n"/>
      <c r="F1872" s="42" t="n"/>
      <c r="G1872" s="43">
        <f>IF($B1872="","",N($E1872)+N($F1872))</f>
        <v/>
      </c>
      <c r="H1872" s="42" t="n"/>
      <c r="I1872" s="43">
        <f>IF($B1872="","",N($G1872)-N($H1872))</f>
        <v/>
      </c>
    </row>
    <row r="1873">
      <c r="A1873" s="39">
        <f>IF($B1873="","",COUNTA($B$4:$B1873))</f>
        <v/>
      </c>
      <c r="B1873" s="45" t="n"/>
      <c r="C1873" s="46" t="n"/>
      <c r="D1873" s="46" t="n"/>
      <c r="E1873" s="47" t="n"/>
      <c r="F1873" s="47" t="n"/>
      <c r="G1873" s="43">
        <f>IF($B1873="","",N($E1873)+N($F1873))</f>
        <v/>
      </c>
      <c r="H1873" s="47" t="n"/>
      <c r="I1873" s="43">
        <f>IF($B1873="","",N($G1873)-N($H1873))</f>
        <v/>
      </c>
    </row>
    <row r="1874">
      <c r="A1874" s="39">
        <f>IF($B1874="","",COUNTA($B$4:$B1874))</f>
        <v/>
      </c>
      <c r="B1874" s="40" t="n"/>
      <c r="C1874" s="41" t="n"/>
      <c r="D1874" s="41" t="n"/>
      <c r="E1874" s="42" t="n"/>
      <c r="F1874" s="42" t="n"/>
      <c r="G1874" s="43">
        <f>IF($B1874="","",N($E1874)+N($F1874))</f>
        <v/>
      </c>
      <c r="H1874" s="42" t="n"/>
      <c r="I1874" s="43">
        <f>IF($B1874="","",N($G1874)-N($H1874))</f>
        <v/>
      </c>
    </row>
    <row r="1875">
      <c r="A1875" s="39">
        <f>IF($B1875="","",COUNTA($B$4:$B1875))</f>
        <v/>
      </c>
      <c r="B1875" s="45" t="n"/>
      <c r="C1875" s="46" t="n"/>
      <c r="D1875" s="46" t="n"/>
      <c r="E1875" s="47" t="n"/>
      <c r="F1875" s="47" t="n"/>
      <c r="G1875" s="43">
        <f>IF($B1875="","",N($E1875)+N($F1875))</f>
        <v/>
      </c>
      <c r="H1875" s="47" t="n"/>
      <c r="I1875" s="43">
        <f>IF($B1875="","",N($G1875)-N($H1875))</f>
        <v/>
      </c>
    </row>
    <row r="1876">
      <c r="A1876" s="39">
        <f>IF($B1876="","",COUNTA($B$4:$B1876))</f>
        <v/>
      </c>
      <c r="B1876" s="40" t="n"/>
      <c r="C1876" s="41" t="n"/>
      <c r="D1876" s="41" t="n"/>
      <c r="E1876" s="42" t="n"/>
      <c r="F1876" s="42" t="n"/>
      <c r="G1876" s="43">
        <f>IF($B1876="","",N($E1876)+N($F1876))</f>
        <v/>
      </c>
      <c r="H1876" s="42" t="n"/>
      <c r="I1876" s="43">
        <f>IF($B1876="","",N($G1876)-N($H1876))</f>
        <v/>
      </c>
    </row>
    <row r="1877">
      <c r="A1877" s="39">
        <f>IF($B1877="","",COUNTA($B$4:$B1877))</f>
        <v/>
      </c>
      <c r="B1877" s="45" t="n"/>
      <c r="C1877" s="46" t="n"/>
      <c r="D1877" s="46" t="n"/>
      <c r="E1877" s="47" t="n"/>
      <c r="F1877" s="47" t="n"/>
      <c r="G1877" s="43">
        <f>IF($B1877="","",N($E1877)+N($F1877))</f>
        <v/>
      </c>
      <c r="H1877" s="47" t="n"/>
      <c r="I1877" s="43">
        <f>IF($B1877="","",N($G1877)-N($H1877))</f>
        <v/>
      </c>
    </row>
    <row r="1878">
      <c r="A1878" s="39">
        <f>IF($B1878="","",COUNTA($B$4:$B1878))</f>
        <v/>
      </c>
      <c r="B1878" s="40" t="n"/>
      <c r="C1878" s="41" t="n"/>
      <c r="D1878" s="41" t="n"/>
      <c r="E1878" s="42" t="n"/>
      <c r="F1878" s="42" t="n"/>
      <c r="G1878" s="43">
        <f>IF($B1878="","",N($E1878)+N($F1878))</f>
        <v/>
      </c>
      <c r="H1878" s="42" t="n"/>
      <c r="I1878" s="43">
        <f>IF($B1878="","",N($G1878)-N($H1878))</f>
        <v/>
      </c>
    </row>
    <row r="1879">
      <c r="A1879" s="39">
        <f>IF($B1879="","",COUNTA($B$4:$B1879))</f>
        <v/>
      </c>
      <c r="B1879" s="45" t="n"/>
      <c r="C1879" s="46" t="n"/>
      <c r="D1879" s="46" t="n"/>
      <c r="E1879" s="47" t="n"/>
      <c r="F1879" s="47" t="n"/>
      <c r="G1879" s="43">
        <f>IF($B1879="","",N($E1879)+N($F1879))</f>
        <v/>
      </c>
      <c r="H1879" s="47" t="n"/>
      <c r="I1879" s="43">
        <f>IF($B1879="","",N($G1879)-N($H1879))</f>
        <v/>
      </c>
    </row>
    <row r="1880">
      <c r="A1880" s="39">
        <f>IF($B1880="","",COUNTA($B$4:$B1880))</f>
        <v/>
      </c>
      <c r="B1880" s="40" t="n"/>
      <c r="C1880" s="41" t="n"/>
      <c r="D1880" s="41" t="n"/>
      <c r="E1880" s="42" t="n"/>
      <c r="F1880" s="42" t="n"/>
      <c r="G1880" s="43">
        <f>IF($B1880="","",N($E1880)+N($F1880))</f>
        <v/>
      </c>
      <c r="H1880" s="42" t="n"/>
      <c r="I1880" s="43">
        <f>IF($B1880="","",N($G1880)-N($H1880))</f>
        <v/>
      </c>
    </row>
    <row r="1881">
      <c r="A1881" s="39">
        <f>IF($B1881="","",COUNTA($B$4:$B1881))</f>
        <v/>
      </c>
      <c r="B1881" s="45" t="n"/>
      <c r="C1881" s="46" t="n"/>
      <c r="D1881" s="46" t="n"/>
      <c r="E1881" s="47" t="n"/>
      <c r="F1881" s="47" t="n"/>
      <c r="G1881" s="43">
        <f>IF($B1881="","",N($E1881)+N($F1881))</f>
        <v/>
      </c>
      <c r="H1881" s="47" t="n"/>
      <c r="I1881" s="43">
        <f>IF($B1881="","",N($G1881)-N($H1881))</f>
        <v/>
      </c>
    </row>
    <row r="1882">
      <c r="A1882" s="39">
        <f>IF($B1882="","",COUNTA($B$4:$B1882))</f>
        <v/>
      </c>
      <c r="B1882" s="40" t="n"/>
      <c r="C1882" s="41" t="n"/>
      <c r="D1882" s="41" t="n"/>
      <c r="E1882" s="42" t="n"/>
      <c r="F1882" s="42" t="n"/>
      <c r="G1882" s="43">
        <f>IF($B1882="","",N($E1882)+N($F1882))</f>
        <v/>
      </c>
      <c r="H1882" s="42" t="n"/>
      <c r="I1882" s="43">
        <f>IF($B1882="","",N($G1882)-N($H1882))</f>
        <v/>
      </c>
    </row>
    <row r="1883">
      <c r="A1883" s="39">
        <f>IF($B1883="","",COUNTA($B$4:$B1883))</f>
        <v/>
      </c>
      <c r="B1883" s="45" t="n"/>
      <c r="C1883" s="46" t="n"/>
      <c r="D1883" s="46" t="n"/>
      <c r="E1883" s="47" t="n"/>
      <c r="F1883" s="47" t="n"/>
      <c r="G1883" s="43">
        <f>IF($B1883="","",N($E1883)+N($F1883))</f>
        <v/>
      </c>
      <c r="H1883" s="47" t="n"/>
      <c r="I1883" s="43">
        <f>IF($B1883="","",N($G1883)-N($H1883))</f>
        <v/>
      </c>
    </row>
    <row r="1884">
      <c r="A1884" s="39">
        <f>IF($B1884="","",COUNTA($B$4:$B1884))</f>
        <v/>
      </c>
      <c r="B1884" s="40" t="n"/>
      <c r="C1884" s="41" t="n"/>
      <c r="D1884" s="41" t="n"/>
      <c r="E1884" s="42" t="n"/>
      <c r="F1884" s="42" t="n"/>
      <c r="G1884" s="43">
        <f>IF($B1884="","",N($E1884)+N($F1884))</f>
        <v/>
      </c>
      <c r="H1884" s="42" t="n"/>
      <c r="I1884" s="43">
        <f>IF($B1884="","",N($G1884)-N($H1884))</f>
        <v/>
      </c>
    </row>
    <row r="1885">
      <c r="A1885" s="39">
        <f>IF($B1885="","",COUNTA($B$4:$B1885))</f>
        <v/>
      </c>
      <c r="B1885" s="45" t="n"/>
      <c r="C1885" s="46" t="n"/>
      <c r="D1885" s="46" t="n"/>
      <c r="E1885" s="47" t="n"/>
      <c r="F1885" s="47" t="n"/>
      <c r="G1885" s="43">
        <f>IF($B1885="","",N($E1885)+N($F1885))</f>
        <v/>
      </c>
      <c r="H1885" s="47" t="n"/>
      <c r="I1885" s="43">
        <f>IF($B1885="","",N($G1885)-N($H1885))</f>
        <v/>
      </c>
    </row>
    <row r="1886">
      <c r="A1886" s="39">
        <f>IF($B1886="","",COUNTA($B$4:$B1886))</f>
        <v/>
      </c>
      <c r="B1886" s="40" t="n"/>
      <c r="C1886" s="41" t="n"/>
      <c r="D1886" s="41" t="n"/>
      <c r="E1886" s="42" t="n"/>
      <c r="F1886" s="42" t="n"/>
      <c r="G1886" s="43">
        <f>IF($B1886="","",N($E1886)+N($F1886))</f>
        <v/>
      </c>
      <c r="H1886" s="42" t="n"/>
      <c r="I1886" s="43">
        <f>IF($B1886="","",N($G1886)-N($H1886))</f>
        <v/>
      </c>
    </row>
    <row r="1887">
      <c r="A1887" s="39">
        <f>IF($B1887="","",COUNTA($B$4:$B1887))</f>
        <v/>
      </c>
      <c r="B1887" s="45" t="n"/>
      <c r="C1887" s="46" t="n"/>
      <c r="D1887" s="46" t="n"/>
      <c r="E1887" s="47" t="n"/>
      <c r="F1887" s="47" t="n"/>
      <c r="G1887" s="43">
        <f>IF($B1887="","",N($E1887)+N($F1887))</f>
        <v/>
      </c>
      <c r="H1887" s="47" t="n"/>
      <c r="I1887" s="43">
        <f>IF($B1887="","",N($G1887)-N($H1887))</f>
        <v/>
      </c>
    </row>
    <row r="1888">
      <c r="A1888" s="39">
        <f>IF($B1888="","",COUNTA($B$4:$B1888))</f>
        <v/>
      </c>
      <c r="B1888" s="40" t="n"/>
      <c r="C1888" s="41" t="n"/>
      <c r="D1888" s="41" t="n"/>
      <c r="E1888" s="42" t="n"/>
      <c r="F1888" s="42" t="n"/>
      <c r="G1888" s="43">
        <f>IF($B1888="","",N($E1888)+N($F1888))</f>
        <v/>
      </c>
      <c r="H1888" s="42" t="n"/>
      <c r="I1888" s="43">
        <f>IF($B1888="","",N($G1888)-N($H1888))</f>
        <v/>
      </c>
    </row>
    <row r="1889">
      <c r="A1889" s="39">
        <f>IF($B1889="","",COUNTA($B$4:$B1889))</f>
        <v/>
      </c>
      <c r="B1889" s="45" t="n"/>
      <c r="C1889" s="46" t="n"/>
      <c r="D1889" s="46" t="n"/>
      <c r="E1889" s="47" t="n"/>
      <c r="F1889" s="47" t="n"/>
      <c r="G1889" s="43">
        <f>IF($B1889="","",N($E1889)+N($F1889))</f>
        <v/>
      </c>
      <c r="H1889" s="47" t="n"/>
      <c r="I1889" s="43">
        <f>IF($B1889="","",N($G1889)-N($H1889))</f>
        <v/>
      </c>
    </row>
    <row r="1890">
      <c r="A1890" s="39">
        <f>IF($B1890="","",COUNTA($B$4:$B1890))</f>
        <v/>
      </c>
      <c r="B1890" s="40" t="n"/>
      <c r="C1890" s="41" t="n"/>
      <c r="D1890" s="41" t="n"/>
      <c r="E1890" s="42" t="n"/>
      <c r="F1890" s="42" t="n"/>
      <c r="G1890" s="43">
        <f>IF($B1890="","",N($E1890)+N($F1890))</f>
        <v/>
      </c>
      <c r="H1890" s="42" t="n"/>
      <c r="I1890" s="43">
        <f>IF($B1890="","",N($G1890)-N($H1890))</f>
        <v/>
      </c>
    </row>
    <row r="1891">
      <c r="A1891" s="39">
        <f>IF($B1891="","",COUNTA($B$4:$B1891))</f>
        <v/>
      </c>
      <c r="B1891" s="45" t="n"/>
      <c r="C1891" s="46" t="n"/>
      <c r="D1891" s="46" t="n"/>
      <c r="E1891" s="47" t="n"/>
      <c r="F1891" s="47" t="n"/>
      <c r="G1891" s="43">
        <f>IF($B1891="","",N($E1891)+N($F1891))</f>
        <v/>
      </c>
      <c r="H1891" s="47" t="n"/>
      <c r="I1891" s="43">
        <f>IF($B1891="","",N($G1891)-N($H1891))</f>
        <v/>
      </c>
    </row>
    <row r="1892">
      <c r="A1892" s="39">
        <f>IF($B1892="","",COUNTA($B$4:$B1892))</f>
        <v/>
      </c>
      <c r="B1892" s="40" t="n"/>
      <c r="C1892" s="41" t="n"/>
      <c r="D1892" s="41" t="n"/>
      <c r="E1892" s="42" t="n"/>
      <c r="F1892" s="42" t="n"/>
      <c r="G1892" s="43">
        <f>IF($B1892="","",N($E1892)+N($F1892))</f>
        <v/>
      </c>
      <c r="H1892" s="42" t="n"/>
      <c r="I1892" s="43">
        <f>IF($B1892="","",N($G1892)-N($H1892))</f>
        <v/>
      </c>
    </row>
    <row r="1893">
      <c r="A1893" s="39">
        <f>IF($B1893="","",COUNTA($B$4:$B1893))</f>
        <v/>
      </c>
      <c r="B1893" s="45" t="n"/>
      <c r="C1893" s="46" t="n"/>
      <c r="D1893" s="46" t="n"/>
      <c r="E1893" s="47" t="n"/>
      <c r="F1893" s="47" t="n"/>
      <c r="G1893" s="43">
        <f>IF($B1893="","",N($E1893)+N($F1893))</f>
        <v/>
      </c>
      <c r="H1893" s="47" t="n"/>
      <c r="I1893" s="43">
        <f>IF($B1893="","",N($G1893)-N($H1893))</f>
        <v/>
      </c>
    </row>
    <row r="1894">
      <c r="A1894" s="39">
        <f>IF($B1894="","",COUNTA($B$4:$B1894))</f>
        <v/>
      </c>
      <c r="B1894" s="40" t="n"/>
      <c r="C1894" s="41" t="n"/>
      <c r="D1894" s="41" t="n"/>
      <c r="E1894" s="42" t="n"/>
      <c r="F1894" s="42" t="n"/>
      <c r="G1894" s="43">
        <f>IF($B1894="","",N($E1894)+N($F1894))</f>
        <v/>
      </c>
      <c r="H1894" s="42" t="n"/>
      <c r="I1894" s="43">
        <f>IF($B1894="","",N($G1894)-N($H1894))</f>
        <v/>
      </c>
    </row>
    <row r="1895">
      <c r="A1895" s="39">
        <f>IF($B1895="","",COUNTA($B$4:$B1895))</f>
        <v/>
      </c>
      <c r="B1895" s="45" t="n"/>
      <c r="C1895" s="46" t="n"/>
      <c r="D1895" s="46" t="n"/>
      <c r="E1895" s="47" t="n"/>
      <c r="F1895" s="47" t="n"/>
      <c r="G1895" s="43">
        <f>IF($B1895="","",N($E1895)+N($F1895))</f>
        <v/>
      </c>
      <c r="H1895" s="47" t="n"/>
      <c r="I1895" s="43">
        <f>IF($B1895="","",N($G1895)-N($H1895))</f>
        <v/>
      </c>
    </row>
    <row r="1896">
      <c r="A1896" s="39">
        <f>IF($B1896="","",COUNTA($B$4:$B1896))</f>
        <v/>
      </c>
      <c r="B1896" s="40" t="n"/>
      <c r="C1896" s="41" t="n"/>
      <c r="D1896" s="41" t="n"/>
      <c r="E1896" s="42" t="n"/>
      <c r="F1896" s="42" t="n"/>
      <c r="G1896" s="43">
        <f>IF($B1896="","",N($E1896)+N($F1896))</f>
        <v/>
      </c>
      <c r="H1896" s="42" t="n"/>
      <c r="I1896" s="43">
        <f>IF($B1896="","",N($G1896)-N($H1896))</f>
        <v/>
      </c>
    </row>
    <row r="1897">
      <c r="A1897" s="39">
        <f>IF($B1897="","",COUNTA($B$4:$B1897))</f>
        <v/>
      </c>
      <c r="B1897" s="45" t="n"/>
      <c r="C1897" s="46" t="n"/>
      <c r="D1897" s="46" t="n"/>
      <c r="E1897" s="47" t="n"/>
      <c r="F1897" s="47" t="n"/>
      <c r="G1897" s="43">
        <f>IF($B1897="","",N($E1897)+N($F1897))</f>
        <v/>
      </c>
      <c r="H1897" s="47" t="n"/>
      <c r="I1897" s="43">
        <f>IF($B1897="","",N($G1897)-N($H1897))</f>
        <v/>
      </c>
    </row>
    <row r="1898">
      <c r="A1898" s="39">
        <f>IF($B1898="","",COUNTA($B$4:$B1898))</f>
        <v/>
      </c>
      <c r="B1898" s="40" t="n"/>
      <c r="C1898" s="41" t="n"/>
      <c r="D1898" s="41" t="n"/>
      <c r="E1898" s="42" t="n"/>
      <c r="F1898" s="42" t="n"/>
      <c r="G1898" s="43">
        <f>IF($B1898="","",N($E1898)+N($F1898))</f>
        <v/>
      </c>
      <c r="H1898" s="42" t="n"/>
      <c r="I1898" s="43">
        <f>IF($B1898="","",N($G1898)-N($H1898))</f>
        <v/>
      </c>
    </row>
    <row r="1899">
      <c r="A1899" s="39">
        <f>IF($B1899="","",COUNTA($B$4:$B1899))</f>
        <v/>
      </c>
      <c r="B1899" s="45" t="n"/>
      <c r="C1899" s="46" t="n"/>
      <c r="D1899" s="46" t="n"/>
      <c r="E1899" s="47" t="n"/>
      <c r="F1899" s="47" t="n"/>
      <c r="G1899" s="43">
        <f>IF($B1899="","",N($E1899)+N($F1899))</f>
        <v/>
      </c>
      <c r="H1899" s="47" t="n"/>
      <c r="I1899" s="43">
        <f>IF($B1899="","",N($G1899)-N($H1899))</f>
        <v/>
      </c>
    </row>
    <row r="1900">
      <c r="A1900" s="39">
        <f>IF($B1900="","",COUNTA($B$4:$B1900))</f>
        <v/>
      </c>
      <c r="B1900" s="40" t="n"/>
      <c r="C1900" s="41" t="n"/>
      <c r="D1900" s="41" t="n"/>
      <c r="E1900" s="42" t="n"/>
      <c r="F1900" s="42" t="n"/>
      <c r="G1900" s="43">
        <f>IF($B1900="","",N($E1900)+N($F1900))</f>
        <v/>
      </c>
      <c r="H1900" s="42" t="n"/>
      <c r="I1900" s="43">
        <f>IF($B1900="","",N($G1900)-N($H1900))</f>
        <v/>
      </c>
    </row>
    <row r="1901">
      <c r="A1901" s="39">
        <f>IF($B1901="","",COUNTA($B$4:$B1901))</f>
        <v/>
      </c>
      <c r="B1901" s="45" t="n"/>
      <c r="C1901" s="46" t="n"/>
      <c r="D1901" s="46" t="n"/>
      <c r="E1901" s="47" t="n"/>
      <c r="F1901" s="47" t="n"/>
      <c r="G1901" s="43">
        <f>IF($B1901="","",N($E1901)+N($F1901))</f>
        <v/>
      </c>
      <c r="H1901" s="47" t="n"/>
      <c r="I1901" s="43">
        <f>IF($B1901="","",N($G1901)-N($H1901))</f>
        <v/>
      </c>
    </row>
    <row r="1902">
      <c r="A1902" s="39">
        <f>IF($B1902="","",COUNTA($B$4:$B1902))</f>
        <v/>
      </c>
      <c r="B1902" s="40" t="n"/>
      <c r="C1902" s="41" t="n"/>
      <c r="D1902" s="41" t="n"/>
      <c r="E1902" s="42" t="n"/>
      <c r="F1902" s="42" t="n"/>
      <c r="G1902" s="43">
        <f>IF($B1902="","",N($E1902)+N($F1902))</f>
        <v/>
      </c>
      <c r="H1902" s="42" t="n"/>
      <c r="I1902" s="43">
        <f>IF($B1902="","",N($G1902)-N($H1902))</f>
        <v/>
      </c>
    </row>
    <row r="1903">
      <c r="A1903" s="39">
        <f>IF($B1903="","",COUNTA($B$4:$B1903))</f>
        <v/>
      </c>
      <c r="B1903" s="45" t="n"/>
      <c r="C1903" s="46" t="n"/>
      <c r="D1903" s="46" t="n"/>
      <c r="E1903" s="47" t="n"/>
      <c r="F1903" s="47" t="n"/>
      <c r="G1903" s="43">
        <f>IF($B1903="","",N($E1903)+N($F1903))</f>
        <v/>
      </c>
      <c r="H1903" s="47" t="n"/>
      <c r="I1903" s="43">
        <f>IF($B1903="","",N($G1903)-N($H1903))</f>
        <v/>
      </c>
    </row>
    <row r="1904">
      <c r="A1904" s="39">
        <f>IF($B1904="","",COUNTA($B$4:$B1904))</f>
        <v/>
      </c>
      <c r="B1904" s="40" t="n"/>
      <c r="C1904" s="41" t="n"/>
      <c r="D1904" s="41" t="n"/>
      <c r="E1904" s="42" t="n"/>
      <c r="F1904" s="42" t="n"/>
      <c r="G1904" s="43">
        <f>IF($B1904="","",N($E1904)+N($F1904))</f>
        <v/>
      </c>
      <c r="H1904" s="42" t="n"/>
      <c r="I1904" s="43">
        <f>IF($B1904="","",N($G1904)-N($H1904))</f>
        <v/>
      </c>
    </row>
    <row r="1905">
      <c r="A1905" s="39">
        <f>IF($B1905="","",COUNTA($B$4:$B1905))</f>
        <v/>
      </c>
      <c r="B1905" s="45" t="n"/>
      <c r="C1905" s="46" t="n"/>
      <c r="D1905" s="46" t="n"/>
      <c r="E1905" s="47" t="n"/>
      <c r="F1905" s="47" t="n"/>
      <c r="G1905" s="43">
        <f>IF($B1905="","",N($E1905)+N($F1905))</f>
        <v/>
      </c>
      <c r="H1905" s="47" t="n"/>
      <c r="I1905" s="43">
        <f>IF($B1905="","",N($G1905)-N($H1905))</f>
        <v/>
      </c>
    </row>
    <row r="1906">
      <c r="A1906" s="39">
        <f>IF($B1906="","",COUNTA($B$4:$B1906))</f>
        <v/>
      </c>
      <c r="B1906" s="40" t="n"/>
      <c r="C1906" s="41" t="n"/>
      <c r="D1906" s="41" t="n"/>
      <c r="E1906" s="42" t="n"/>
      <c r="F1906" s="42" t="n"/>
      <c r="G1906" s="43">
        <f>IF($B1906="","",N($E1906)+N($F1906))</f>
        <v/>
      </c>
      <c r="H1906" s="42" t="n"/>
      <c r="I1906" s="43">
        <f>IF($B1906="","",N($G1906)-N($H1906))</f>
        <v/>
      </c>
    </row>
    <row r="1907">
      <c r="A1907" s="39">
        <f>IF($B1907="","",COUNTA($B$4:$B1907))</f>
        <v/>
      </c>
      <c r="B1907" s="45" t="n"/>
      <c r="C1907" s="46" t="n"/>
      <c r="D1907" s="46" t="n"/>
      <c r="E1907" s="47" t="n"/>
      <c r="F1907" s="47" t="n"/>
      <c r="G1907" s="43">
        <f>IF($B1907="","",N($E1907)+N($F1907))</f>
        <v/>
      </c>
      <c r="H1907" s="47" t="n"/>
      <c r="I1907" s="43">
        <f>IF($B1907="","",N($G1907)-N($H1907))</f>
        <v/>
      </c>
    </row>
    <row r="1908">
      <c r="A1908" s="39">
        <f>IF($B1908="","",COUNTA($B$4:$B1908))</f>
        <v/>
      </c>
      <c r="B1908" s="40" t="n"/>
      <c r="C1908" s="41" t="n"/>
      <c r="D1908" s="41" t="n"/>
      <c r="E1908" s="42" t="n"/>
      <c r="F1908" s="42" t="n"/>
      <c r="G1908" s="43">
        <f>IF($B1908="","",N($E1908)+N($F1908))</f>
        <v/>
      </c>
      <c r="H1908" s="42" t="n"/>
      <c r="I1908" s="43">
        <f>IF($B1908="","",N($G1908)-N($H1908))</f>
        <v/>
      </c>
    </row>
    <row r="1909">
      <c r="A1909" s="39">
        <f>IF($B1909="","",COUNTA($B$4:$B1909))</f>
        <v/>
      </c>
      <c r="B1909" s="45" t="n"/>
      <c r="C1909" s="46" t="n"/>
      <c r="D1909" s="46" t="n"/>
      <c r="E1909" s="47" t="n"/>
      <c r="F1909" s="47" t="n"/>
      <c r="G1909" s="43">
        <f>IF($B1909="","",N($E1909)+N($F1909))</f>
        <v/>
      </c>
      <c r="H1909" s="47" t="n"/>
      <c r="I1909" s="43">
        <f>IF($B1909="","",N($G1909)-N($H1909))</f>
        <v/>
      </c>
    </row>
    <row r="1910">
      <c r="A1910" s="39">
        <f>IF($B1910="","",COUNTA($B$4:$B1910))</f>
        <v/>
      </c>
      <c r="B1910" s="40" t="n"/>
      <c r="C1910" s="41" t="n"/>
      <c r="D1910" s="41" t="n"/>
      <c r="E1910" s="42" t="n"/>
      <c r="F1910" s="42" t="n"/>
      <c r="G1910" s="43">
        <f>IF($B1910="","",N($E1910)+N($F1910))</f>
        <v/>
      </c>
      <c r="H1910" s="42" t="n"/>
      <c r="I1910" s="43">
        <f>IF($B1910="","",N($G1910)-N($H1910))</f>
        <v/>
      </c>
    </row>
    <row r="1911">
      <c r="A1911" s="39">
        <f>IF($B1911="","",COUNTA($B$4:$B1911))</f>
        <v/>
      </c>
      <c r="B1911" s="45" t="n"/>
      <c r="C1911" s="46" t="n"/>
      <c r="D1911" s="46" t="n"/>
      <c r="E1911" s="47" t="n"/>
      <c r="F1911" s="47" t="n"/>
      <c r="G1911" s="43">
        <f>IF($B1911="","",N($E1911)+N($F1911))</f>
        <v/>
      </c>
      <c r="H1911" s="47" t="n"/>
      <c r="I1911" s="43">
        <f>IF($B1911="","",N($G1911)-N($H1911))</f>
        <v/>
      </c>
    </row>
    <row r="1912">
      <c r="A1912" s="39">
        <f>IF($B1912="","",COUNTA($B$4:$B1912))</f>
        <v/>
      </c>
      <c r="B1912" s="40" t="n"/>
      <c r="C1912" s="41" t="n"/>
      <c r="D1912" s="41" t="n"/>
      <c r="E1912" s="42" t="n"/>
      <c r="F1912" s="42" t="n"/>
      <c r="G1912" s="43">
        <f>IF($B1912="","",N($E1912)+N($F1912))</f>
        <v/>
      </c>
      <c r="H1912" s="42" t="n"/>
      <c r="I1912" s="43">
        <f>IF($B1912="","",N($G1912)-N($H1912))</f>
        <v/>
      </c>
    </row>
    <row r="1913">
      <c r="A1913" s="39">
        <f>IF($B1913="","",COUNTA($B$4:$B1913))</f>
        <v/>
      </c>
      <c r="B1913" s="45" t="n"/>
      <c r="C1913" s="46" t="n"/>
      <c r="D1913" s="46" t="n"/>
      <c r="E1913" s="47" t="n"/>
      <c r="F1913" s="47" t="n"/>
      <c r="G1913" s="43">
        <f>IF($B1913="","",N($E1913)+N($F1913))</f>
        <v/>
      </c>
      <c r="H1913" s="47" t="n"/>
      <c r="I1913" s="43">
        <f>IF($B1913="","",N($G1913)-N($H1913))</f>
        <v/>
      </c>
    </row>
    <row r="1914">
      <c r="A1914" s="39">
        <f>IF($B1914="","",COUNTA($B$4:$B1914))</f>
        <v/>
      </c>
      <c r="B1914" s="40" t="n"/>
      <c r="C1914" s="41" t="n"/>
      <c r="D1914" s="41" t="n"/>
      <c r="E1914" s="42" t="n"/>
      <c r="F1914" s="42" t="n"/>
      <c r="G1914" s="43">
        <f>IF($B1914="","",N($E1914)+N($F1914))</f>
        <v/>
      </c>
      <c r="H1914" s="42" t="n"/>
      <c r="I1914" s="43">
        <f>IF($B1914="","",N($G1914)-N($H1914))</f>
        <v/>
      </c>
    </row>
    <row r="1915">
      <c r="A1915" s="39">
        <f>IF($B1915="","",COUNTA($B$4:$B1915))</f>
        <v/>
      </c>
      <c r="B1915" s="45" t="n"/>
      <c r="C1915" s="46" t="n"/>
      <c r="D1915" s="46" t="n"/>
      <c r="E1915" s="47" t="n"/>
      <c r="F1915" s="47" t="n"/>
      <c r="G1915" s="43">
        <f>IF($B1915="","",N($E1915)+N($F1915))</f>
        <v/>
      </c>
      <c r="H1915" s="47" t="n"/>
      <c r="I1915" s="43">
        <f>IF($B1915="","",N($G1915)-N($H1915))</f>
        <v/>
      </c>
    </row>
    <row r="1916">
      <c r="A1916" s="39">
        <f>IF($B1916="","",COUNTA($B$4:$B1916))</f>
        <v/>
      </c>
      <c r="B1916" s="40" t="n"/>
      <c r="C1916" s="41" t="n"/>
      <c r="D1916" s="41" t="n"/>
      <c r="E1916" s="42" t="n"/>
      <c r="F1916" s="42" t="n"/>
      <c r="G1916" s="43">
        <f>IF($B1916="","",N($E1916)+N($F1916))</f>
        <v/>
      </c>
      <c r="H1916" s="42" t="n"/>
      <c r="I1916" s="43">
        <f>IF($B1916="","",N($G1916)-N($H1916))</f>
        <v/>
      </c>
    </row>
    <row r="1917">
      <c r="A1917" s="39">
        <f>IF($B1917="","",COUNTA($B$4:$B1917))</f>
        <v/>
      </c>
      <c r="B1917" s="45" t="n"/>
      <c r="C1917" s="46" t="n"/>
      <c r="D1917" s="46" t="n"/>
      <c r="E1917" s="47" t="n"/>
      <c r="F1917" s="47" t="n"/>
      <c r="G1917" s="43">
        <f>IF($B1917="","",N($E1917)+N($F1917))</f>
        <v/>
      </c>
      <c r="H1917" s="47" t="n"/>
      <c r="I1917" s="43">
        <f>IF($B1917="","",N($G1917)-N($H1917))</f>
        <v/>
      </c>
    </row>
    <row r="1918">
      <c r="A1918" s="39">
        <f>IF($B1918="","",COUNTA($B$4:$B1918))</f>
        <v/>
      </c>
      <c r="B1918" s="40" t="n"/>
      <c r="C1918" s="41" t="n"/>
      <c r="D1918" s="41" t="n"/>
      <c r="E1918" s="42" t="n"/>
      <c r="F1918" s="42" t="n"/>
      <c r="G1918" s="43">
        <f>IF($B1918="","",N($E1918)+N($F1918))</f>
        <v/>
      </c>
      <c r="H1918" s="42" t="n"/>
      <c r="I1918" s="43">
        <f>IF($B1918="","",N($G1918)-N($H1918))</f>
        <v/>
      </c>
    </row>
    <row r="1919">
      <c r="A1919" s="39">
        <f>IF($B1919="","",COUNTA($B$4:$B1919))</f>
        <v/>
      </c>
      <c r="B1919" s="45" t="n"/>
      <c r="C1919" s="46" t="n"/>
      <c r="D1919" s="46" t="n"/>
      <c r="E1919" s="47" t="n"/>
      <c r="F1919" s="47" t="n"/>
      <c r="G1919" s="43">
        <f>IF($B1919="","",N($E1919)+N($F1919))</f>
        <v/>
      </c>
      <c r="H1919" s="47" t="n"/>
      <c r="I1919" s="43">
        <f>IF($B1919="","",N($G1919)-N($H1919))</f>
        <v/>
      </c>
    </row>
    <row r="1920">
      <c r="A1920" s="39">
        <f>IF($B1920="","",COUNTA($B$4:$B1920))</f>
        <v/>
      </c>
      <c r="B1920" s="40" t="n"/>
      <c r="C1920" s="41" t="n"/>
      <c r="D1920" s="41" t="n"/>
      <c r="E1920" s="42" t="n"/>
      <c r="F1920" s="42" t="n"/>
      <c r="G1920" s="43">
        <f>IF($B1920="","",N($E1920)+N($F1920))</f>
        <v/>
      </c>
      <c r="H1920" s="42" t="n"/>
      <c r="I1920" s="43">
        <f>IF($B1920="","",N($G1920)-N($H1920))</f>
        <v/>
      </c>
    </row>
    <row r="1921">
      <c r="A1921" s="39">
        <f>IF($B1921="","",COUNTA($B$4:$B1921))</f>
        <v/>
      </c>
      <c r="B1921" s="45" t="n"/>
      <c r="C1921" s="46" t="n"/>
      <c r="D1921" s="46" t="n"/>
      <c r="E1921" s="47" t="n"/>
      <c r="F1921" s="47" t="n"/>
      <c r="G1921" s="43">
        <f>IF($B1921="","",N($E1921)+N($F1921))</f>
        <v/>
      </c>
      <c r="H1921" s="47" t="n"/>
      <c r="I1921" s="43">
        <f>IF($B1921="","",N($G1921)-N($H1921))</f>
        <v/>
      </c>
    </row>
    <row r="1922">
      <c r="A1922" s="39">
        <f>IF($B1922="","",COUNTA($B$4:$B1922))</f>
        <v/>
      </c>
      <c r="B1922" s="40" t="n"/>
      <c r="C1922" s="41" t="n"/>
      <c r="D1922" s="41" t="n"/>
      <c r="E1922" s="42" t="n"/>
      <c r="F1922" s="42" t="n"/>
      <c r="G1922" s="43">
        <f>IF($B1922="","",N($E1922)+N($F1922))</f>
        <v/>
      </c>
      <c r="H1922" s="42" t="n"/>
      <c r="I1922" s="43">
        <f>IF($B1922="","",N($G1922)-N($H1922))</f>
        <v/>
      </c>
    </row>
    <row r="1923">
      <c r="A1923" s="39">
        <f>IF($B1923="","",COUNTA($B$4:$B1923))</f>
        <v/>
      </c>
      <c r="B1923" s="45" t="n"/>
      <c r="C1923" s="46" t="n"/>
      <c r="D1923" s="46" t="n"/>
      <c r="E1923" s="47" t="n"/>
      <c r="F1923" s="47" t="n"/>
      <c r="G1923" s="43">
        <f>IF($B1923="","",N($E1923)+N($F1923))</f>
        <v/>
      </c>
      <c r="H1923" s="47" t="n"/>
      <c r="I1923" s="43">
        <f>IF($B1923="","",N($G1923)-N($H1923))</f>
        <v/>
      </c>
    </row>
    <row r="1924">
      <c r="A1924" s="39">
        <f>IF($B1924="","",COUNTA($B$4:$B1924))</f>
        <v/>
      </c>
      <c r="B1924" s="40" t="n"/>
      <c r="C1924" s="41" t="n"/>
      <c r="D1924" s="41" t="n"/>
      <c r="E1924" s="42" t="n"/>
      <c r="F1924" s="42" t="n"/>
      <c r="G1924" s="43">
        <f>IF($B1924="","",N($E1924)+N($F1924))</f>
        <v/>
      </c>
      <c r="H1924" s="42" t="n"/>
      <c r="I1924" s="43">
        <f>IF($B1924="","",N($G1924)-N($H1924))</f>
        <v/>
      </c>
    </row>
    <row r="1925">
      <c r="A1925" s="39">
        <f>IF($B1925="","",COUNTA($B$4:$B1925))</f>
        <v/>
      </c>
      <c r="B1925" s="45" t="n"/>
      <c r="C1925" s="46" t="n"/>
      <c r="D1925" s="46" t="n"/>
      <c r="E1925" s="47" t="n"/>
      <c r="F1925" s="47" t="n"/>
      <c r="G1925" s="43">
        <f>IF($B1925="","",N($E1925)+N($F1925))</f>
        <v/>
      </c>
      <c r="H1925" s="47" t="n"/>
      <c r="I1925" s="43">
        <f>IF($B1925="","",N($G1925)-N($H1925))</f>
        <v/>
      </c>
    </row>
    <row r="1926">
      <c r="A1926" s="39">
        <f>IF($B1926="","",COUNTA($B$4:$B1926))</f>
        <v/>
      </c>
      <c r="B1926" s="40" t="n"/>
      <c r="C1926" s="41" t="n"/>
      <c r="D1926" s="41" t="n"/>
      <c r="E1926" s="42" t="n"/>
      <c r="F1926" s="42" t="n"/>
      <c r="G1926" s="43">
        <f>IF($B1926="","",N($E1926)+N($F1926))</f>
        <v/>
      </c>
      <c r="H1926" s="42" t="n"/>
      <c r="I1926" s="43">
        <f>IF($B1926="","",N($G1926)-N($H1926))</f>
        <v/>
      </c>
    </row>
    <row r="1927">
      <c r="A1927" s="39">
        <f>IF($B1927="","",COUNTA($B$4:$B1927))</f>
        <v/>
      </c>
      <c r="B1927" s="45" t="n"/>
      <c r="C1927" s="46" t="n"/>
      <c r="D1927" s="46" t="n"/>
      <c r="E1927" s="47" t="n"/>
      <c r="F1927" s="47" t="n"/>
      <c r="G1927" s="43">
        <f>IF($B1927="","",N($E1927)+N($F1927))</f>
        <v/>
      </c>
      <c r="H1927" s="47" t="n"/>
      <c r="I1927" s="43">
        <f>IF($B1927="","",N($G1927)-N($H1927))</f>
        <v/>
      </c>
    </row>
    <row r="1928">
      <c r="A1928" s="39">
        <f>IF($B1928="","",COUNTA($B$4:$B1928))</f>
        <v/>
      </c>
      <c r="B1928" s="40" t="n"/>
      <c r="C1928" s="41" t="n"/>
      <c r="D1928" s="41" t="n"/>
      <c r="E1928" s="42" t="n"/>
      <c r="F1928" s="42" t="n"/>
      <c r="G1928" s="43">
        <f>IF($B1928="","",N($E1928)+N($F1928))</f>
        <v/>
      </c>
      <c r="H1928" s="42" t="n"/>
      <c r="I1928" s="43">
        <f>IF($B1928="","",N($G1928)-N($H1928))</f>
        <v/>
      </c>
    </row>
    <row r="1929">
      <c r="A1929" s="39">
        <f>IF($B1929="","",COUNTA($B$4:$B1929))</f>
        <v/>
      </c>
      <c r="B1929" s="45" t="n"/>
      <c r="C1929" s="46" t="n"/>
      <c r="D1929" s="46" t="n"/>
      <c r="E1929" s="47" t="n"/>
      <c r="F1929" s="47" t="n"/>
      <c r="G1929" s="43">
        <f>IF($B1929="","",N($E1929)+N($F1929))</f>
        <v/>
      </c>
      <c r="H1929" s="47" t="n"/>
      <c r="I1929" s="43">
        <f>IF($B1929="","",N($G1929)-N($H1929))</f>
        <v/>
      </c>
    </row>
    <row r="1930">
      <c r="A1930" s="39">
        <f>IF($B1930="","",COUNTA($B$4:$B1930))</f>
        <v/>
      </c>
      <c r="B1930" s="40" t="n"/>
      <c r="C1930" s="41" t="n"/>
      <c r="D1930" s="41" t="n"/>
      <c r="E1930" s="42" t="n"/>
      <c r="F1930" s="42" t="n"/>
      <c r="G1930" s="43">
        <f>IF($B1930="","",N($E1930)+N($F1930))</f>
        <v/>
      </c>
      <c r="H1930" s="42" t="n"/>
      <c r="I1930" s="43">
        <f>IF($B1930="","",N($G1930)-N($H1930))</f>
        <v/>
      </c>
    </row>
    <row r="1931">
      <c r="A1931" s="39">
        <f>IF($B1931="","",COUNTA($B$4:$B1931))</f>
        <v/>
      </c>
      <c r="B1931" s="45" t="n"/>
      <c r="C1931" s="46" t="n"/>
      <c r="D1931" s="46" t="n"/>
      <c r="E1931" s="47" t="n"/>
      <c r="F1931" s="47" t="n"/>
      <c r="G1931" s="43">
        <f>IF($B1931="","",N($E1931)+N($F1931))</f>
        <v/>
      </c>
      <c r="H1931" s="47" t="n"/>
      <c r="I1931" s="43">
        <f>IF($B1931="","",N($G1931)-N($H1931))</f>
        <v/>
      </c>
    </row>
    <row r="1932">
      <c r="A1932" s="39">
        <f>IF($B1932="","",COUNTA($B$4:$B1932))</f>
        <v/>
      </c>
      <c r="B1932" s="40" t="n"/>
      <c r="C1932" s="41" t="n"/>
      <c r="D1932" s="41" t="n"/>
      <c r="E1932" s="42" t="n"/>
      <c r="F1932" s="42" t="n"/>
      <c r="G1932" s="43">
        <f>IF($B1932="","",N($E1932)+N($F1932))</f>
        <v/>
      </c>
      <c r="H1932" s="42" t="n"/>
      <c r="I1932" s="43">
        <f>IF($B1932="","",N($G1932)-N($H1932))</f>
        <v/>
      </c>
    </row>
    <row r="1933">
      <c r="A1933" s="39">
        <f>IF($B1933="","",COUNTA($B$4:$B1933))</f>
        <v/>
      </c>
      <c r="B1933" s="45" t="n"/>
      <c r="C1933" s="46" t="n"/>
      <c r="D1933" s="46" t="n"/>
      <c r="E1933" s="47" t="n"/>
      <c r="F1933" s="47" t="n"/>
      <c r="G1933" s="43">
        <f>IF($B1933="","",N($E1933)+N($F1933))</f>
        <v/>
      </c>
      <c r="H1933" s="47" t="n"/>
      <c r="I1933" s="43">
        <f>IF($B1933="","",N($G1933)-N($H1933))</f>
        <v/>
      </c>
    </row>
    <row r="1934">
      <c r="A1934" s="39">
        <f>IF($B1934="","",COUNTA($B$4:$B1934))</f>
        <v/>
      </c>
      <c r="B1934" s="40" t="n"/>
      <c r="C1934" s="41" t="n"/>
      <c r="D1934" s="41" t="n"/>
      <c r="E1934" s="42" t="n"/>
      <c r="F1934" s="42" t="n"/>
      <c r="G1934" s="43">
        <f>IF($B1934="","",N($E1934)+N($F1934))</f>
        <v/>
      </c>
      <c r="H1934" s="42" t="n"/>
      <c r="I1934" s="43">
        <f>IF($B1934="","",N($G1934)-N($H1934))</f>
        <v/>
      </c>
    </row>
    <row r="1935">
      <c r="A1935" s="39">
        <f>IF($B1935="","",COUNTA($B$4:$B1935))</f>
        <v/>
      </c>
      <c r="B1935" s="45" t="n"/>
      <c r="C1935" s="46" t="n"/>
      <c r="D1935" s="46" t="n"/>
      <c r="E1935" s="47" t="n"/>
      <c r="F1935" s="47" t="n"/>
      <c r="G1935" s="43">
        <f>IF($B1935="","",N($E1935)+N($F1935))</f>
        <v/>
      </c>
      <c r="H1935" s="47" t="n"/>
      <c r="I1935" s="43">
        <f>IF($B1935="","",N($G1935)-N($H1935))</f>
        <v/>
      </c>
    </row>
    <row r="1936">
      <c r="A1936" s="39">
        <f>IF($B1936="","",COUNTA($B$4:$B1936))</f>
        <v/>
      </c>
      <c r="B1936" s="40" t="n"/>
      <c r="C1936" s="41" t="n"/>
      <c r="D1936" s="41" t="n"/>
      <c r="E1936" s="42" t="n"/>
      <c r="F1936" s="42" t="n"/>
      <c r="G1936" s="43">
        <f>IF($B1936="","",N($E1936)+N($F1936))</f>
        <v/>
      </c>
      <c r="H1936" s="42" t="n"/>
      <c r="I1936" s="43">
        <f>IF($B1936="","",N($G1936)-N($H1936))</f>
        <v/>
      </c>
    </row>
    <row r="1937">
      <c r="A1937" s="39">
        <f>IF($B1937="","",COUNTA($B$4:$B1937))</f>
        <v/>
      </c>
      <c r="B1937" s="45" t="n"/>
      <c r="C1937" s="46" t="n"/>
      <c r="D1937" s="46" t="n"/>
      <c r="E1937" s="47" t="n"/>
      <c r="F1937" s="47" t="n"/>
      <c r="G1937" s="43">
        <f>IF($B1937="","",N($E1937)+N($F1937))</f>
        <v/>
      </c>
      <c r="H1937" s="47" t="n"/>
      <c r="I1937" s="43">
        <f>IF($B1937="","",N($G1937)-N($H1937))</f>
        <v/>
      </c>
    </row>
    <row r="1938">
      <c r="A1938" s="39">
        <f>IF($B1938="","",COUNTA($B$4:$B1938))</f>
        <v/>
      </c>
      <c r="B1938" s="40" t="n"/>
      <c r="C1938" s="41" t="n"/>
      <c r="D1938" s="41" t="n"/>
      <c r="E1938" s="42" t="n"/>
      <c r="F1938" s="42" t="n"/>
      <c r="G1938" s="43">
        <f>IF($B1938="","",N($E1938)+N($F1938))</f>
        <v/>
      </c>
      <c r="H1938" s="42" t="n"/>
      <c r="I1938" s="43">
        <f>IF($B1938="","",N($G1938)-N($H1938))</f>
        <v/>
      </c>
    </row>
    <row r="1939">
      <c r="A1939" s="39">
        <f>IF($B1939="","",COUNTA($B$4:$B1939))</f>
        <v/>
      </c>
      <c r="B1939" s="45" t="n"/>
      <c r="C1939" s="46" t="n"/>
      <c r="D1939" s="46" t="n"/>
      <c r="E1939" s="47" t="n"/>
      <c r="F1939" s="47" t="n"/>
      <c r="G1939" s="43">
        <f>IF($B1939="","",N($E1939)+N($F1939))</f>
        <v/>
      </c>
      <c r="H1939" s="47" t="n"/>
      <c r="I1939" s="43">
        <f>IF($B1939="","",N($G1939)-N($H1939))</f>
        <v/>
      </c>
    </row>
    <row r="1940">
      <c r="A1940" s="39">
        <f>IF($B1940="","",COUNTA($B$4:$B1940))</f>
        <v/>
      </c>
      <c r="B1940" s="40" t="n"/>
      <c r="C1940" s="41" t="n"/>
      <c r="D1940" s="41" t="n"/>
      <c r="E1940" s="42" t="n"/>
      <c r="F1940" s="42" t="n"/>
      <c r="G1940" s="43">
        <f>IF($B1940="","",N($E1940)+N($F1940))</f>
        <v/>
      </c>
      <c r="H1940" s="42" t="n"/>
      <c r="I1940" s="43">
        <f>IF($B1940="","",N($G1940)-N($H1940))</f>
        <v/>
      </c>
    </row>
    <row r="1941">
      <c r="A1941" s="39">
        <f>IF($B1941="","",COUNTA($B$4:$B1941))</f>
        <v/>
      </c>
      <c r="B1941" s="45" t="n"/>
      <c r="C1941" s="46" t="n"/>
      <c r="D1941" s="46" t="n"/>
      <c r="E1941" s="47" t="n"/>
      <c r="F1941" s="47" t="n"/>
      <c r="G1941" s="43">
        <f>IF($B1941="","",N($E1941)+N($F1941))</f>
        <v/>
      </c>
      <c r="H1941" s="47" t="n"/>
      <c r="I1941" s="43">
        <f>IF($B1941="","",N($G1941)-N($H1941))</f>
        <v/>
      </c>
    </row>
    <row r="1942">
      <c r="A1942" s="39">
        <f>IF($B1942="","",COUNTA($B$4:$B1942))</f>
        <v/>
      </c>
      <c r="B1942" s="40" t="n"/>
      <c r="C1942" s="41" t="n"/>
      <c r="D1942" s="41" t="n"/>
      <c r="E1942" s="42" t="n"/>
      <c r="F1942" s="42" t="n"/>
      <c r="G1942" s="43">
        <f>IF($B1942="","",N($E1942)+N($F1942))</f>
        <v/>
      </c>
      <c r="H1942" s="42" t="n"/>
      <c r="I1942" s="43">
        <f>IF($B1942="","",N($G1942)-N($H1942))</f>
        <v/>
      </c>
    </row>
    <row r="1943">
      <c r="A1943" s="39">
        <f>IF($B1943="","",COUNTA($B$4:$B1943))</f>
        <v/>
      </c>
      <c r="B1943" s="45" t="n"/>
      <c r="C1943" s="46" t="n"/>
      <c r="D1943" s="46" t="n"/>
      <c r="E1943" s="47" t="n"/>
      <c r="F1943" s="47" t="n"/>
      <c r="G1943" s="43">
        <f>IF($B1943="","",N($E1943)+N($F1943))</f>
        <v/>
      </c>
      <c r="H1943" s="47" t="n"/>
      <c r="I1943" s="43">
        <f>IF($B1943="","",N($G1943)-N($H1943))</f>
        <v/>
      </c>
    </row>
    <row r="1944">
      <c r="A1944" s="39">
        <f>IF($B1944="","",COUNTA($B$4:$B1944))</f>
        <v/>
      </c>
      <c r="B1944" s="40" t="n"/>
      <c r="C1944" s="41" t="n"/>
      <c r="D1944" s="41" t="n"/>
      <c r="E1944" s="42" t="n"/>
      <c r="F1944" s="42" t="n"/>
      <c r="G1944" s="43">
        <f>IF($B1944="","",N($E1944)+N($F1944))</f>
        <v/>
      </c>
      <c r="H1944" s="42" t="n"/>
      <c r="I1944" s="43">
        <f>IF($B1944="","",N($G1944)-N($H1944))</f>
        <v/>
      </c>
    </row>
    <row r="1945">
      <c r="A1945" s="39">
        <f>IF($B1945="","",COUNTA($B$4:$B1945))</f>
        <v/>
      </c>
      <c r="B1945" s="45" t="n"/>
      <c r="C1945" s="46" t="n"/>
      <c r="D1945" s="46" t="n"/>
      <c r="E1945" s="47" t="n"/>
      <c r="F1945" s="47" t="n"/>
      <c r="G1945" s="43">
        <f>IF($B1945="","",N($E1945)+N($F1945))</f>
        <v/>
      </c>
      <c r="H1945" s="47" t="n"/>
      <c r="I1945" s="43">
        <f>IF($B1945="","",N($G1945)-N($H1945))</f>
        <v/>
      </c>
    </row>
    <row r="1946">
      <c r="A1946" s="39">
        <f>IF($B1946="","",COUNTA($B$4:$B1946))</f>
        <v/>
      </c>
      <c r="B1946" s="40" t="n"/>
      <c r="C1946" s="41" t="n"/>
      <c r="D1946" s="41" t="n"/>
      <c r="E1946" s="42" t="n"/>
      <c r="F1946" s="42" t="n"/>
      <c r="G1946" s="43">
        <f>IF($B1946="","",N($E1946)+N($F1946))</f>
        <v/>
      </c>
      <c r="H1946" s="42" t="n"/>
      <c r="I1946" s="43">
        <f>IF($B1946="","",N($G1946)-N($H1946))</f>
        <v/>
      </c>
    </row>
    <row r="1947">
      <c r="A1947" s="39">
        <f>IF($B1947="","",COUNTA($B$4:$B1947))</f>
        <v/>
      </c>
      <c r="B1947" s="45" t="n"/>
      <c r="C1947" s="46" t="n"/>
      <c r="D1947" s="46" t="n"/>
      <c r="E1947" s="47" t="n"/>
      <c r="F1947" s="47" t="n"/>
      <c r="G1947" s="43">
        <f>IF($B1947="","",N($E1947)+N($F1947))</f>
        <v/>
      </c>
      <c r="H1947" s="47" t="n"/>
      <c r="I1947" s="43">
        <f>IF($B1947="","",N($G1947)-N($H1947))</f>
        <v/>
      </c>
    </row>
    <row r="1948">
      <c r="A1948" s="39">
        <f>IF($B1948="","",COUNTA($B$4:$B1948))</f>
        <v/>
      </c>
      <c r="B1948" s="40" t="n"/>
      <c r="C1948" s="41" t="n"/>
      <c r="D1948" s="41" t="n"/>
      <c r="E1948" s="42" t="n"/>
      <c r="F1948" s="42" t="n"/>
      <c r="G1948" s="43">
        <f>IF($B1948="","",N($E1948)+N($F1948))</f>
        <v/>
      </c>
      <c r="H1948" s="42" t="n"/>
      <c r="I1948" s="43">
        <f>IF($B1948="","",N($G1948)-N($H1948))</f>
        <v/>
      </c>
    </row>
    <row r="1949">
      <c r="A1949" s="39">
        <f>IF($B1949="","",COUNTA($B$4:$B1949))</f>
        <v/>
      </c>
      <c r="B1949" s="45" t="n"/>
      <c r="C1949" s="46" t="n"/>
      <c r="D1949" s="46" t="n"/>
      <c r="E1949" s="47" t="n"/>
      <c r="F1949" s="47" t="n"/>
      <c r="G1949" s="43">
        <f>IF($B1949="","",N($E1949)+N($F1949))</f>
        <v/>
      </c>
      <c r="H1949" s="47" t="n"/>
      <c r="I1949" s="43">
        <f>IF($B1949="","",N($G1949)-N($H1949))</f>
        <v/>
      </c>
    </row>
    <row r="1950">
      <c r="A1950" s="39">
        <f>IF($B1950="","",COUNTA($B$4:$B1950))</f>
        <v/>
      </c>
      <c r="B1950" s="40" t="n"/>
      <c r="C1950" s="41" t="n"/>
      <c r="D1950" s="41" t="n"/>
      <c r="E1950" s="42" t="n"/>
      <c r="F1950" s="42" t="n"/>
      <c r="G1950" s="43">
        <f>IF($B1950="","",N($E1950)+N($F1950))</f>
        <v/>
      </c>
      <c r="H1950" s="42" t="n"/>
      <c r="I1950" s="43">
        <f>IF($B1950="","",N($G1950)-N($H1950))</f>
        <v/>
      </c>
    </row>
    <row r="1951">
      <c r="A1951" s="39">
        <f>IF($B1951="","",COUNTA($B$4:$B1951))</f>
        <v/>
      </c>
      <c r="B1951" s="45" t="n"/>
      <c r="C1951" s="46" t="n"/>
      <c r="D1951" s="46" t="n"/>
      <c r="E1951" s="47" t="n"/>
      <c r="F1951" s="47" t="n"/>
      <c r="G1951" s="43">
        <f>IF($B1951="","",N($E1951)+N($F1951))</f>
        <v/>
      </c>
      <c r="H1951" s="47" t="n"/>
      <c r="I1951" s="43">
        <f>IF($B1951="","",N($G1951)-N($H1951))</f>
        <v/>
      </c>
    </row>
    <row r="1952">
      <c r="A1952" s="39">
        <f>IF($B1952="","",COUNTA($B$4:$B1952))</f>
        <v/>
      </c>
      <c r="B1952" s="40" t="n"/>
      <c r="C1952" s="41" t="n"/>
      <c r="D1952" s="41" t="n"/>
      <c r="E1952" s="42" t="n"/>
      <c r="F1952" s="42" t="n"/>
      <c r="G1952" s="43">
        <f>IF($B1952="","",N($E1952)+N($F1952))</f>
        <v/>
      </c>
      <c r="H1952" s="42" t="n"/>
      <c r="I1952" s="43">
        <f>IF($B1952="","",N($G1952)-N($H1952))</f>
        <v/>
      </c>
    </row>
    <row r="1953">
      <c r="A1953" s="39">
        <f>IF($B1953="","",COUNTA($B$4:$B1953))</f>
        <v/>
      </c>
      <c r="B1953" s="45" t="n"/>
      <c r="C1953" s="46" t="n"/>
      <c r="D1953" s="46" t="n"/>
      <c r="E1953" s="47" t="n"/>
      <c r="F1953" s="47" t="n"/>
      <c r="G1953" s="43">
        <f>IF($B1953="","",N($E1953)+N($F1953))</f>
        <v/>
      </c>
      <c r="H1953" s="47" t="n"/>
      <c r="I1953" s="43">
        <f>IF($B1953="","",N($G1953)-N($H1953))</f>
        <v/>
      </c>
    </row>
    <row r="1954">
      <c r="A1954" s="39">
        <f>IF($B1954="","",COUNTA($B$4:$B1954))</f>
        <v/>
      </c>
      <c r="B1954" s="40" t="n"/>
      <c r="C1954" s="41" t="n"/>
      <c r="D1954" s="41" t="n"/>
      <c r="E1954" s="42" t="n"/>
      <c r="F1954" s="42" t="n"/>
      <c r="G1954" s="43">
        <f>IF($B1954="","",N($E1954)+N($F1954))</f>
        <v/>
      </c>
      <c r="H1954" s="42" t="n"/>
      <c r="I1954" s="43">
        <f>IF($B1954="","",N($G1954)-N($H1954))</f>
        <v/>
      </c>
    </row>
    <row r="1955">
      <c r="A1955" s="39">
        <f>IF($B1955="","",COUNTA($B$4:$B1955))</f>
        <v/>
      </c>
      <c r="B1955" s="45" t="n"/>
      <c r="C1955" s="46" t="n"/>
      <c r="D1955" s="46" t="n"/>
      <c r="E1955" s="47" t="n"/>
      <c r="F1955" s="47" t="n"/>
      <c r="G1955" s="43">
        <f>IF($B1955="","",N($E1955)+N($F1955))</f>
        <v/>
      </c>
      <c r="H1955" s="47" t="n"/>
      <c r="I1955" s="43">
        <f>IF($B1955="","",N($G1955)-N($H1955))</f>
        <v/>
      </c>
    </row>
    <row r="1956">
      <c r="A1956" s="39">
        <f>IF($B1956="","",COUNTA($B$4:$B1956))</f>
        <v/>
      </c>
      <c r="B1956" s="40" t="n"/>
      <c r="C1956" s="41" t="n"/>
      <c r="D1956" s="41" t="n"/>
      <c r="E1956" s="42" t="n"/>
      <c r="F1956" s="42" t="n"/>
      <c r="G1956" s="43">
        <f>IF($B1956="","",N($E1956)+N($F1956))</f>
        <v/>
      </c>
      <c r="H1956" s="42" t="n"/>
      <c r="I1956" s="43">
        <f>IF($B1956="","",N($G1956)-N($H1956))</f>
        <v/>
      </c>
    </row>
    <row r="1957">
      <c r="A1957" s="39">
        <f>IF($B1957="","",COUNTA($B$4:$B1957))</f>
        <v/>
      </c>
      <c r="B1957" s="45" t="n"/>
      <c r="C1957" s="46" t="n"/>
      <c r="D1957" s="46" t="n"/>
      <c r="E1957" s="47" t="n"/>
      <c r="F1957" s="47" t="n"/>
      <c r="G1957" s="43">
        <f>IF($B1957="","",N($E1957)+N($F1957))</f>
        <v/>
      </c>
      <c r="H1957" s="47" t="n"/>
      <c r="I1957" s="43">
        <f>IF($B1957="","",N($G1957)-N($H1957))</f>
        <v/>
      </c>
    </row>
    <row r="1958">
      <c r="A1958" s="39">
        <f>IF($B1958="","",COUNTA($B$4:$B1958))</f>
        <v/>
      </c>
      <c r="B1958" s="40" t="n"/>
      <c r="C1958" s="41" t="n"/>
      <c r="D1958" s="41" t="n"/>
      <c r="E1958" s="42" t="n"/>
      <c r="F1958" s="42" t="n"/>
      <c r="G1958" s="43">
        <f>IF($B1958="","",N($E1958)+N($F1958))</f>
        <v/>
      </c>
      <c r="H1958" s="42" t="n"/>
      <c r="I1958" s="43">
        <f>IF($B1958="","",N($G1958)-N($H1958))</f>
        <v/>
      </c>
    </row>
    <row r="1959">
      <c r="A1959" s="39">
        <f>IF($B1959="","",COUNTA($B$4:$B1959))</f>
        <v/>
      </c>
      <c r="B1959" s="45" t="n"/>
      <c r="C1959" s="46" t="n"/>
      <c r="D1959" s="46" t="n"/>
      <c r="E1959" s="47" t="n"/>
      <c r="F1959" s="47" t="n"/>
      <c r="G1959" s="43">
        <f>IF($B1959="","",N($E1959)+N($F1959))</f>
        <v/>
      </c>
      <c r="H1959" s="47" t="n"/>
      <c r="I1959" s="43">
        <f>IF($B1959="","",N($G1959)-N($H1959))</f>
        <v/>
      </c>
    </row>
    <row r="1960">
      <c r="A1960" s="39">
        <f>IF($B1960="","",COUNTA($B$4:$B1960))</f>
        <v/>
      </c>
      <c r="B1960" s="40" t="n"/>
      <c r="C1960" s="41" t="n"/>
      <c r="D1960" s="41" t="n"/>
      <c r="E1960" s="42" t="n"/>
      <c r="F1960" s="42" t="n"/>
      <c r="G1960" s="43">
        <f>IF($B1960="","",N($E1960)+N($F1960))</f>
        <v/>
      </c>
      <c r="H1960" s="42" t="n"/>
      <c r="I1960" s="43">
        <f>IF($B1960="","",N($G1960)-N($H1960))</f>
        <v/>
      </c>
    </row>
    <row r="1961">
      <c r="A1961" s="39">
        <f>IF($B1961="","",COUNTA($B$4:$B1961))</f>
        <v/>
      </c>
      <c r="B1961" s="45" t="n"/>
      <c r="C1961" s="46" t="n"/>
      <c r="D1961" s="46" t="n"/>
      <c r="E1961" s="47" t="n"/>
      <c r="F1961" s="47" t="n"/>
      <c r="G1961" s="43">
        <f>IF($B1961="","",N($E1961)+N($F1961))</f>
        <v/>
      </c>
      <c r="H1961" s="47" t="n"/>
      <c r="I1961" s="43">
        <f>IF($B1961="","",N($G1961)-N($H1961))</f>
        <v/>
      </c>
    </row>
    <row r="1962">
      <c r="A1962" s="39">
        <f>IF($B1962="","",COUNTA($B$4:$B1962))</f>
        <v/>
      </c>
      <c r="B1962" s="40" t="n"/>
      <c r="C1962" s="41" t="n"/>
      <c r="D1962" s="41" t="n"/>
      <c r="E1962" s="42" t="n"/>
      <c r="F1962" s="42" t="n"/>
      <c r="G1962" s="43">
        <f>IF($B1962="","",N($E1962)+N($F1962))</f>
        <v/>
      </c>
      <c r="H1962" s="42" t="n"/>
      <c r="I1962" s="43">
        <f>IF($B1962="","",N($G1962)-N($H1962))</f>
        <v/>
      </c>
    </row>
    <row r="1963">
      <c r="A1963" s="39">
        <f>IF($B1963="","",COUNTA($B$4:$B1963))</f>
        <v/>
      </c>
      <c r="B1963" s="45" t="n"/>
      <c r="C1963" s="46" t="n"/>
      <c r="D1963" s="46" t="n"/>
      <c r="E1963" s="47" t="n"/>
      <c r="F1963" s="47" t="n"/>
      <c r="G1963" s="43">
        <f>IF($B1963="","",N($E1963)+N($F1963))</f>
        <v/>
      </c>
      <c r="H1963" s="47" t="n"/>
      <c r="I1963" s="43">
        <f>IF($B1963="","",N($G1963)-N($H1963))</f>
        <v/>
      </c>
    </row>
    <row r="1964">
      <c r="A1964" s="39">
        <f>IF($B1964="","",COUNTA($B$4:$B1964))</f>
        <v/>
      </c>
      <c r="B1964" s="40" t="n"/>
      <c r="C1964" s="41" t="n"/>
      <c r="D1964" s="41" t="n"/>
      <c r="E1964" s="42" t="n"/>
      <c r="F1964" s="42" t="n"/>
      <c r="G1964" s="43">
        <f>IF($B1964="","",N($E1964)+N($F1964))</f>
        <v/>
      </c>
      <c r="H1964" s="42" t="n"/>
      <c r="I1964" s="43">
        <f>IF($B1964="","",N($G1964)-N($H1964))</f>
        <v/>
      </c>
    </row>
    <row r="1965">
      <c r="A1965" s="39">
        <f>IF($B1965="","",COUNTA($B$4:$B1965))</f>
        <v/>
      </c>
      <c r="B1965" s="45" t="n"/>
      <c r="C1965" s="46" t="n"/>
      <c r="D1965" s="46" t="n"/>
      <c r="E1965" s="47" t="n"/>
      <c r="F1965" s="47" t="n"/>
      <c r="G1965" s="43">
        <f>IF($B1965="","",N($E1965)+N($F1965))</f>
        <v/>
      </c>
      <c r="H1965" s="47" t="n"/>
      <c r="I1965" s="43">
        <f>IF($B1965="","",N($G1965)-N($H1965))</f>
        <v/>
      </c>
    </row>
    <row r="1966">
      <c r="A1966" s="39">
        <f>IF($B1966="","",COUNTA($B$4:$B1966))</f>
        <v/>
      </c>
      <c r="B1966" s="40" t="n"/>
      <c r="C1966" s="41" t="n"/>
      <c r="D1966" s="41" t="n"/>
      <c r="E1966" s="42" t="n"/>
      <c r="F1966" s="42" t="n"/>
      <c r="G1966" s="43">
        <f>IF($B1966="","",N($E1966)+N($F1966))</f>
        <v/>
      </c>
      <c r="H1966" s="42" t="n"/>
      <c r="I1966" s="43">
        <f>IF($B1966="","",N($G1966)-N($H1966))</f>
        <v/>
      </c>
    </row>
    <row r="1967">
      <c r="A1967" s="39">
        <f>IF($B1967="","",COUNTA($B$4:$B1967))</f>
        <v/>
      </c>
      <c r="B1967" s="45" t="n"/>
      <c r="C1967" s="46" t="n"/>
      <c r="D1967" s="46" t="n"/>
      <c r="E1967" s="47" t="n"/>
      <c r="F1967" s="47" t="n"/>
      <c r="G1967" s="43">
        <f>IF($B1967="","",N($E1967)+N($F1967))</f>
        <v/>
      </c>
      <c r="H1967" s="47" t="n"/>
      <c r="I1967" s="43">
        <f>IF($B1967="","",N($G1967)-N($H1967))</f>
        <v/>
      </c>
    </row>
    <row r="1968">
      <c r="A1968" s="39">
        <f>IF($B1968="","",COUNTA($B$4:$B1968))</f>
        <v/>
      </c>
      <c r="B1968" s="40" t="n"/>
      <c r="C1968" s="41" t="n"/>
      <c r="D1968" s="41" t="n"/>
      <c r="E1968" s="42" t="n"/>
      <c r="F1968" s="42" t="n"/>
      <c r="G1968" s="43">
        <f>IF($B1968="","",N($E1968)+N($F1968))</f>
        <v/>
      </c>
      <c r="H1968" s="42" t="n"/>
      <c r="I1968" s="43">
        <f>IF($B1968="","",N($G1968)-N($H1968))</f>
        <v/>
      </c>
    </row>
    <row r="1969">
      <c r="A1969" s="39">
        <f>IF($B1969="","",COUNTA($B$4:$B1969))</f>
        <v/>
      </c>
      <c r="B1969" s="45" t="n"/>
      <c r="C1969" s="46" t="n"/>
      <c r="D1969" s="46" t="n"/>
      <c r="E1969" s="47" t="n"/>
      <c r="F1969" s="47" t="n"/>
      <c r="G1969" s="43">
        <f>IF($B1969="","",N($E1969)+N($F1969))</f>
        <v/>
      </c>
      <c r="H1969" s="47" t="n"/>
      <c r="I1969" s="43">
        <f>IF($B1969="","",N($G1969)-N($H1969))</f>
        <v/>
      </c>
    </row>
    <row r="1970">
      <c r="A1970" s="39">
        <f>IF($B1970="","",COUNTA($B$4:$B1970))</f>
        <v/>
      </c>
      <c r="B1970" s="40" t="n"/>
      <c r="C1970" s="41" t="n"/>
      <c r="D1970" s="41" t="n"/>
      <c r="E1970" s="42" t="n"/>
      <c r="F1970" s="42" t="n"/>
      <c r="G1970" s="43">
        <f>IF($B1970="","",N($E1970)+N($F1970))</f>
        <v/>
      </c>
      <c r="H1970" s="42" t="n"/>
      <c r="I1970" s="43">
        <f>IF($B1970="","",N($G1970)-N($H1970))</f>
        <v/>
      </c>
    </row>
    <row r="1971">
      <c r="A1971" s="39">
        <f>IF($B1971="","",COUNTA($B$4:$B1971))</f>
        <v/>
      </c>
      <c r="B1971" s="45" t="n"/>
      <c r="C1971" s="46" t="n"/>
      <c r="D1971" s="46" t="n"/>
      <c r="E1971" s="47" t="n"/>
      <c r="F1971" s="47" t="n"/>
      <c r="G1971" s="43">
        <f>IF($B1971="","",N($E1971)+N($F1971))</f>
        <v/>
      </c>
      <c r="H1971" s="47" t="n"/>
      <c r="I1971" s="43">
        <f>IF($B1971="","",N($G1971)-N($H1971))</f>
        <v/>
      </c>
    </row>
    <row r="1972">
      <c r="A1972" s="39">
        <f>IF($B1972="","",COUNTA($B$4:$B1972))</f>
        <v/>
      </c>
      <c r="B1972" s="40" t="n"/>
      <c r="C1972" s="41" t="n"/>
      <c r="D1972" s="41" t="n"/>
      <c r="E1972" s="42" t="n"/>
      <c r="F1972" s="42" t="n"/>
      <c r="G1972" s="43">
        <f>IF($B1972="","",N($E1972)+N($F1972))</f>
        <v/>
      </c>
      <c r="H1972" s="42" t="n"/>
      <c r="I1972" s="43">
        <f>IF($B1972="","",N($G1972)-N($H1972))</f>
        <v/>
      </c>
    </row>
    <row r="1973">
      <c r="A1973" s="39">
        <f>IF($B1973="","",COUNTA($B$4:$B1973))</f>
        <v/>
      </c>
      <c r="B1973" s="45" t="n"/>
      <c r="C1973" s="46" t="n"/>
      <c r="D1973" s="46" t="n"/>
      <c r="E1973" s="47" t="n"/>
      <c r="F1973" s="47" t="n"/>
      <c r="G1973" s="43">
        <f>IF($B1973="","",N($E1973)+N($F1973))</f>
        <v/>
      </c>
      <c r="H1973" s="47" t="n"/>
      <c r="I1973" s="43">
        <f>IF($B1973="","",N($G1973)-N($H1973))</f>
        <v/>
      </c>
    </row>
    <row r="1974">
      <c r="A1974" s="39">
        <f>IF($B1974="","",COUNTA($B$4:$B1974))</f>
        <v/>
      </c>
      <c r="B1974" s="40" t="n"/>
      <c r="C1974" s="41" t="n"/>
      <c r="D1974" s="41" t="n"/>
      <c r="E1974" s="42" t="n"/>
      <c r="F1974" s="42" t="n"/>
      <c r="G1974" s="43">
        <f>IF($B1974="","",N($E1974)+N($F1974))</f>
        <v/>
      </c>
      <c r="H1974" s="42" t="n"/>
      <c r="I1974" s="43">
        <f>IF($B1974="","",N($G1974)-N($H1974))</f>
        <v/>
      </c>
    </row>
    <row r="1975">
      <c r="A1975" s="39">
        <f>IF($B1975="","",COUNTA($B$4:$B1975))</f>
        <v/>
      </c>
      <c r="B1975" s="45" t="n"/>
      <c r="C1975" s="46" t="n"/>
      <c r="D1975" s="46" t="n"/>
      <c r="E1975" s="47" t="n"/>
      <c r="F1975" s="47" t="n"/>
      <c r="G1975" s="43">
        <f>IF($B1975="","",N($E1975)+N($F1975))</f>
        <v/>
      </c>
      <c r="H1975" s="47" t="n"/>
      <c r="I1975" s="43">
        <f>IF($B1975="","",N($G1975)-N($H1975))</f>
        <v/>
      </c>
    </row>
    <row r="1976">
      <c r="A1976" s="39">
        <f>IF($B1976="","",COUNTA($B$4:$B1976))</f>
        <v/>
      </c>
      <c r="B1976" s="40" t="n"/>
      <c r="C1976" s="41" t="n"/>
      <c r="D1976" s="41" t="n"/>
      <c r="E1976" s="42" t="n"/>
      <c r="F1976" s="42" t="n"/>
      <c r="G1976" s="43">
        <f>IF($B1976="","",N($E1976)+N($F1976))</f>
        <v/>
      </c>
      <c r="H1976" s="42" t="n"/>
      <c r="I1976" s="43">
        <f>IF($B1976="","",N($G1976)-N($H1976))</f>
        <v/>
      </c>
    </row>
    <row r="1977">
      <c r="A1977" s="39">
        <f>IF($B1977="","",COUNTA($B$4:$B1977))</f>
        <v/>
      </c>
      <c r="B1977" s="45" t="n"/>
      <c r="C1977" s="46" t="n"/>
      <c r="D1977" s="46" t="n"/>
      <c r="E1977" s="47" t="n"/>
      <c r="F1977" s="47" t="n"/>
      <c r="G1977" s="43">
        <f>IF($B1977="","",N($E1977)+N($F1977))</f>
        <v/>
      </c>
      <c r="H1977" s="47" t="n"/>
      <c r="I1977" s="43">
        <f>IF($B1977="","",N($G1977)-N($H1977))</f>
        <v/>
      </c>
    </row>
    <row r="1978">
      <c r="A1978" s="39">
        <f>IF($B1978="","",COUNTA($B$4:$B1978))</f>
        <v/>
      </c>
      <c r="B1978" s="40" t="n"/>
      <c r="C1978" s="41" t="n"/>
      <c r="D1978" s="41" t="n"/>
      <c r="E1978" s="42" t="n"/>
      <c r="F1978" s="42" t="n"/>
      <c r="G1978" s="43">
        <f>IF($B1978="","",N($E1978)+N($F1978))</f>
        <v/>
      </c>
      <c r="H1978" s="42" t="n"/>
      <c r="I1978" s="43">
        <f>IF($B1978="","",N($G1978)-N($H1978))</f>
        <v/>
      </c>
    </row>
    <row r="1979">
      <c r="A1979" s="39">
        <f>IF($B1979="","",COUNTA($B$4:$B1979))</f>
        <v/>
      </c>
      <c r="B1979" s="45" t="n"/>
      <c r="C1979" s="46" t="n"/>
      <c r="D1979" s="46" t="n"/>
      <c r="E1979" s="47" t="n"/>
      <c r="F1979" s="47" t="n"/>
      <c r="G1979" s="43">
        <f>IF($B1979="","",N($E1979)+N($F1979))</f>
        <v/>
      </c>
      <c r="H1979" s="47" t="n"/>
      <c r="I1979" s="43">
        <f>IF($B1979="","",N($G1979)-N($H1979))</f>
        <v/>
      </c>
    </row>
    <row r="1980">
      <c r="A1980" s="39">
        <f>IF($B1980="","",COUNTA($B$4:$B1980))</f>
        <v/>
      </c>
      <c r="B1980" s="40" t="n"/>
      <c r="C1980" s="41" t="n"/>
      <c r="D1980" s="41" t="n"/>
      <c r="E1980" s="42" t="n"/>
      <c r="F1980" s="42" t="n"/>
      <c r="G1980" s="43">
        <f>IF($B1980="","",N($E1980)+N($F1980))</f>
        <v/>
      </c>
      <c r="H1980" s="42" t="n"/>
      <c r="I1980" s="43">
        <f>IF($B1980="","",N($G1980)-N($H1980))</f>
        <v/>
      </c>
    </row>
    <row r="1981">
      <c r="A1981" s="39">
        <f>IF($B1981="","",COUNTA($B$4:$B1981))</f>
        <v/>
      </c>
      <c r="B1981" s="45" t="n"/>
      <c r="C1981" s="46" t="n"/>
      <c r="D1981" s="46" t="n"/>
      <c r="E1981" s="47" t="n"/>
      <c r="F1981" s="47" t="n"/>
      <c r="G1981" s="43">
        <f>IF($B1981="","",N($E1981)+N($F1981))</f>
        <v/>
      </c>
      <c r="H1981" s="47" t="n"/>
      <c r="I1981" s="43">
        <f>IF($B1981="","",N($G1981)-N($H1981))</f>
        <v/>
      </c>
    </row>
    <row r="1982">
      <c r="A1982" s="39">
        <f>IF($B1982="","",COUNTA($B$4:$B1982))</f>
        <v/>
      </c>
      <c r="B1982" s="40" t="n"/>
      <c r="C1982" s="41" t="n"/>
      <c r="D1982" s="41" t="n"/>
      <c r="E1982" s="42" t="n"/>
      <c r="F1982" s="42" t="n"/>
      <c r="G1982" s="43">
        <f>IF($B1982="","",N($E1982)+N($F1982))</f>
        <v/>
      </c>
      <c r="H1982" s="42" t="n"/>
      <c r="I1982" s="43">
        <f>IF($B1982="","",N($G1982)-N($H1982))</f>
        <v/>
      </c>
    </row>
    <row r="1983">
      <c r="A1983" s="39">
        <f>IF($B1983="","",COUNTA($B$4:$B1983))</f>
        <v/>
      </c>
      <c r="B1983" s="45" t="n"/>
      <c r="C1983" s="46" t="n"/>
      <c r="D1983" s="46" t="n"/>
      <c r="E1983" s="47" t="n"/>
      <c r="F1983" s="47" t="n"/>
      <c r="G1983" s="43">
        <f>IF($B1983="","",N($E1983)+N($F1983))</f>
        <v/>
      </c>
      <c r="H1983" s="47" t="n"/>
      <c r="I1983" s="43">
        <f>IF($B1983="","",N($G1983)-N($H1983))</f>
        <v/>
      </c>
    </row>
    <row r="1984">
      <c r="A1984" s="39">
        <f>IF($B1984="","",COUNTA($B$4:$B1984))</f>
        <v/>
      </c>
      <c r="B1984" s="40" t="n"/>
      <c r="C1984" s="41" t="n"/>
      <c r="D1984" s="41" t="n"/>
      <c r="E1984" s="42" t="n"/>
      <c r="F1984" s="42" t="n"/>
      <c r="G1984" s="43">
        <f>IF($B1984="","",N($E1984)+N($F1984))</f>
        <v/>
      </c>
      <c r="H1984" s="42" t="n"/>
      <c r="I1984" s="43">
        <f>IF($B1984="","",N($G1984)-N($H1984))</f>
        <v/>
      </c>
    </row>
    <row r="1985">
      <c r="A1985" s="39">
        <f>IF($B1985="","",COUNTA($B$4:$B1985))</f>
        <v/>
      </c>
      <c r="B1985" s="45" t="n"/>
      <c r="C1985" s="46" t="n"/>
      <c r="D1985" s="46" t="n"/>
      <c r="E1985" s="47" t="n"/>
      <c r="F1985" s="47" t="n"/>
      <c r="G1985" s="43">
        <f>IF($B1985="","",N($E1985)+N($F1985))</f>
        <v/>
      </c>
      <c r="H1985" s="47" t="n"/>
      <c r="I1985" s="43">
        <f>IF($B1985="","",N($G1985)-N($H1985))</f>
        <v/>
      </c>
    </row>
    <row r="1986">
      <c r="A1986" s="39">
        <f>IF($B1986="","",COUNTA($B$4:$B1986))</f>
        <v/>
      </c>
      <c r="B1986" s="40" t="n"/>
      <c r="C1986" s="41" t="n"/>
      <c r="D1986" s="41" t="n"/>
      <c r="E1986" s="42" t="n"/>
      <c r="F1986" s="42" t="n"/>
      <c r="G1986" s="43">
        <f>IF($B1986="","",N($E1986)+N($F1986))</f>
        <v/>
      </c>
      <c r="H1986" s="42" t="n"/>
      <c r="I1986" s="43">
        <f>IF($B1986="","",N($G1986)-N($H1986))</f>
        <v/>
      </c>
    </row>
    <row r="1987">
      <c r="A1987" s="39">
        <f>IF($B1987="","",COUNTA($B$4:$B1987))</f>
        <v/>
      </c>
      <c r="B1987" s="45" t="n"/>
      <c r="C1987" s="46" t="n"/>
      <c r="D1987" s="46" t="n"/>
      <c r="E1987" s="47" t="n"/>
      <c r="F1987" s="47" t="n"/>
      <c r="G1987" s="43">
        <f>IF($B1987="","",N($E1987)+N($F1987))</f>
        <v/>
      </c>
      <c r="H1987" s="47" t="n"/>
      <c r="I1987" s="43">
        <f>IF($B1987="","",N($G1987)-N($H1987))</f>
        <v/>
      </c>
    </row>
    <row r="1988">
      <c r="A1988" s="39">
        <f>IF($B1988="","",COUNTA($B$4:$B1988))</f>
        <v/>
      </c>
      <c r="B1988" s="40" t="n"/>
      <c r="C1988" s="41" t="n"/>
      <c r="D1988" s="41" t="n"/>
      <c r="E1988" s="42" t="n"/>
      <c r="F1988" s="42" t="n"/>
      <c r="G1988" s="43">
        <f>IF($B1988="","",N($E1988)+N($F1988))</f>
        <v/>
      </c>
      <c r="H1988" s="42" t="n"/>
      <c r="I1988" s="43">
        <f>IF($B1988="","",N($G1988)-N($H1988))</f>
        <v/>
      </c>
    </row>
    <row r="1989">
      <c r="A1989" s="39">
        <f>IF($B1989="","",COUNTA($B$4:$B1989))</f>
        <v/>
      </c>
      <c r="B1989" s="45" t="n"/>
      <c r="C1989" s="46" t="n"/>
      <c r="D1989" s="46" t="n"/>
      <c r="E1989" s="47" t="n"/>
      <c r="F1989" s="47" t="n"/>
      <c r="G1989" s="43">
        <f>IF($B1989="","",N($E1989)+N($F1989))</f>
        <v/>
      </c>
      <c r="H1989" s="47" t="n"/>
      <c r="I1989" s="43">
        <f>IF($B1989="","",N($G1989)-N($H1989))</f>
        <v/>
      </c>
    </row>
    <row r="1990">
      <c r="A1990" s="39">
        <f>IF($B1990="","",COUNTA($B$4:$B1990))</f>
        <v/>
      </c>
      <c r="B1990" s="40" t="n"/>
      <c r="C1990" s="41" t="n"/>
      <c r="D1990" s="41" t="n"/>
      <c r="E1990" s="42" t="n"/>
      <c r="F1990" s="42" t="n"/>
      <c r="G1990" s="43">
        <f>IF($B1990="","",N($E1990)+N($F1990))</f>
        <v/>
      </c>
      <c r="H1990" s="42" t="n"/>
      <c r="I1990" s="43">
        <f>IF($B1990="","",N($G1990)-N($H1990))</f>
        <v/>
      </c>
    </row>
    <row r="1991">
      <c r="A1991" s="39">
        <f>IF($B1991="","",COUNTA($B$4:$B1991))</f>
        <v/>
      </c>
      <c r="B1991" s="45" t="n"/>
      <c r="C1991" s="46" t="n"/>
      <c r="D1991" s="46" t="n"/>
      <c r="E1991" s="47" t="n"/>
      <c r="F1991" s="47" t="n"/>
      <c r="G1991" s="43">
        <f>IF($B1991="","",N($E1991)+N($F1991))</f>
        <v/>
      </c>
      <c r="H1991" s="47" t="n"/>
      <c r="I1991" s="43">
        <f>IF($B1991="","",N($G1991)-N($H1991))</f>
        <v/>
      </c>
    </row>
    <row r="1992">
      <c r="A1992" s="39">
        <f>IF($B1992="","",COUNTA($B$4:$B1992))</f>
        <v/>
      </c>
      <c r="B1992" s="40" t="n"/>
      <c r="C1992" s="41" t="n"/>
      <c r="D1992" s="41" t="n"/>
      <c r="E1992" s="42" t="n"/>
      <c r="F1992" s="42" t="n"/>
      <c r="G1992" s="43">
        <f>IF($B1992="","",N($E1992)+N($F1992))</f>
        <v/>
      </c>
      <c r="H1992" s="42" t="n"/>
      <c r="I1992" s="43">
        <f>IF($B1992="","",N($G1992)-N($H1992))</f>
        <v/>
      </c>
    </row>
    <row r="1993">
      <c r="A1993" s="39">
        <f>IF($B1993="","",COUNTA($B$4:$B1993))</f>
        <v/>
      </c>
      <c r="B1993" s="45" t="n"/>
      <c r="C1993" s="46" t="n"/>
      <c r="D1993" s="46" t="n"/>
      <c r="E1993" s="47" t="n"/>
      <c r="F1993" s="47" t="n"/>
      <c r="G1993" s="43">
        <f>IF($B1993="","",N($E1993)+N($F1993))</f>
        <v/>
      </c>
      <c r="H1993" s="47" t="n"/>
      <c r="I1993" s="43">
        <f>IF($B1993="","",N($G1993)-N($H1993))</f>
        <v/>
      </c>
    </row>
    <row r="1994">
      <c r="A1994" s="39">
        <f>IF($B1994="","",COUNTA($B$4:$B1994))</f>
        <v/>
      </c>
      <c r="B1994" s="40" t="n"/>
      <c r="C1994" s="41" t="n"/>
      <c r="D1994" s="41" t="n"/>
      <c r="E1994" s="42" t="n"/>
      <c r="F1994" s="42" t="n"/>
      <c r="G1994" s="43">
        <f>IF($B1994="","",N($E1994)+N($F1994))</f>
        <v/>
      </c>
      <c r="H1994" s="42" t="n"/>
      <c r="I1994" s="43">
        <f>IF($B1994="","",N($G1994)-N($H1994))</f>
        <v/>
      </c>
    </row>
    <row r="1995">
      <c r="A1995" s="39">
        <f>IF($B1995="","",COUNTA($B$4:$B1995))</f>
        <v/>
      </c>
      <c r="B1995" s="45" t="n"/>
      <c r="C1995" s="46" t="n"/>
      <c r="D1995" s="46" t="n"/>
      <c r="E1995" s="47" t="n"/>
      <c r="F1995" s="47" t="n"/>
      <c r="G1995" s="43">
        <f>IF($B1995="","",N($E1995)+N($F1995))</f>
        <v/>
      </c>
      <c r="H1995" s="47" t="n"/>
      <c r="I1995" s="43">
        <f>IF($B1995="","",N($G1995)-N($H1995))</f>
        <v/>
      </c>
    </row>
    <row r="1996">
      <c r="A1996" s="39">
        <f>IF($B1996="","",COUNTA($B$4:$B1996))</f>
        <v/>
      </c>
      <c r="B1996" s="40" t="n"/>
      <c r="C1996" s="41" t="n"/>
      <c r="D1996" s="41" t="n"/>
      <c r="E1996" s="42" t="n"/>
      <c r="F1996" s="42" t="n"/>
      <c r="G1996" s="43">
        <f>IF($B1996="","",N($E1996)+N($F1996))</f>
        <v/>
      </c>
      <c r="H1996" s="42" t="n"/>
      <c r="I1996" s="43">
        <f>IF($B1996="","",N($G1996)-N($H1996))</f>
        <v/>
      </c>
    </row>
    <row r="1997">
      <c r="A1997" s="39">
        <f>IF($B1997="","",COUNTA($B$4:$B1997))</f>
        <v/>
      </c>
      <c r="B1997" s="45" t="n"/>
      <c r="C1997" s="46" t="n"/>
      <c r="D1997" s="46" t="n"/>
      <c r="E1997" s="47" t="n"/>
      <c r="F1997" s="47" t="n"/>
      <c r="G1997" s="43">
        <f>IF($B1997="","",N($E1997)+N($F1997))</f>
        <v/>
      </c>
      <c r="H1997" s="47" t="n"/>
      <c r="I1997" s="43">
        <f>IF($B1997="","",N($G1997)-N($H1997))</f>
        <v/>
      </c>
    </row>
    <row r="1998">
      <c r="A1998" s="39">
        <f>IF($B1998="","",COUNTA($B$4:$B1998))</f>
        <v/>
      </c>
      <c r="B1998" s="40" t="n"/>
      <c r="C1998" s="41" t="n"/>
      <c r="D1998" s="41" t="n"/>
      <c r="E1998" s="42" t="n"/>
      <c r="F1998" s="42" t="n"/>
      <c r="G1998" s="43">
        <f>IF($B1998="","",N($E1998)+N($F1998))</f>
        <v/>
      </c>
      <c r="H1998" s="42" t="n"/>
      <c r="I1998" s="43">
        <f>IF($B1998="","",N($G1998)-N($H1998))</f>
        <v/>
      </c>
    </row>
    <row r="1999">
      <c r="A1999" s="39">
        <f>IF($B1999="","",COUNTA($B$4:$B1999))</f>
        <v/>
      </c>
      <c r="B1999" s="45" t="n"/>
      <c r="C1999" s="46" t="n"/>
      <c r="D1999" s="46" t="n"/>
      <c r="E1999" s="47" t="n"/>
      <c r="F1999" s="47" t="n"/>
      <c r="G1999" s="43">
        <f>IF($B1999="","",N($E1999)+N($F1999))</f>
        <v/>
      </c>
      <c r="H1999" s="47" t="n"/>
      <c r="I1999" s="43">
        <f>IF($B1999="","",N($G1999)-N($H1999))</f>
        <v/>
      </c>
    </row>
    <row r="2000">
      <c r="A2000" s="39">
        <f>IF($B2000="","",COUNTA($B$4:$B2000))</f>
        <v/>
      </c>
      <c r="B2000" s="40" t="n"/>
      <c r="C2000" s="41" t="n"/>
      <c r="D2000" s="41" t="n"/>
      <c r="E2000" s="42" t="n"/>
      <c r="F2000" s="42" t="n"/>
      <c r="G2000" s="43">
        <f>IF($B2000="","",N($E2000)+N($F2000))</f>
        <v/>
      </c>
      <c r="H2000" s="42" t="n"/>
      <c r="I2000" s="43">
        <f>IF($B2000="","",N($G2000)-N($H2000))</f>
        <v/>
      </c>
    </row>
    <row r="2001">
      <c r="A2001" s="39">
        <f>IF($B2001="","",COUNTA($B$4:$B2001))</f>
        <v/>
      </c>
      <c r="B2001" s="45" t="n"/>
      <c r="C2001" s="46" t="n"/>
      <c r="D2001" s="46" t="n"/>
      <c r="E2001" s="47" t="n"/>
      <c r="F2001" s="47" t="n"/>
      <c r="G2001" s="43">
        <f>IF($B2001="","",N($E2001)+N($F2001))</f>
        <v/>
      </c>
      <c r="H2001" s="47" t="n"/>
      <c r="I2001" s="43">
        <f>IF($B2001="","",N($G2001)-N($H2001))</f>
        <v/>
      </c>
    </row>
    <row r="2002">
      <c r="A2002" s="39">
        <f>IF($B2002="","",COUNTA($B$4:$B2002))</f>
        <v/>
      </c>
      <c r="B2002" s="40" t="n"/>
      <c r="C2002" s="41" t="n"/>
      <c r="D2002" s="41" t="n"/>
      <c r="E2002" s="42" t="n"/>
      <c r="F2002" s="42" t="n"/>
      <c r="G2002" s="43">
        <f>IF($B2002="","",N($E2002)+N($F2002))</f>
        <v/>
      </c>
      <c r="H2002" s="42" t="n"/>
      <c r="I2002" s="43">
        <f>IF($B2002="","",N($G2002)-N($H2002))</f>
        <v/>
      </c>
    </row>
    <row r="2003">
      <c r="A2003" s="39">
        <f>IF($B2003="","",COUNTA($B$4:$B2003))</f>
        <v/>
      </c>
      <c r="B2003" s="45" t="n"/>
      <c r="C2003" s="46" t="n"/>
      <c r="D2003" s="46" t="n"/>
      <c r="E2003" s="47" t="n"/>
      <c r="F2003" s="47" t="n"/>
      <c r="G2003" s="43">
        <f>IF($B2003="","",N($E2003)+N($F2003))</f>
        <v/>
      </c>
      <c r="H2003" s="47" t="n"/>
      <c r="I2003" s="43">
        <f>IF($B2003="","",N($G2003)-N($H2003))</f>
        <v/>
      </c>
    </row>
    <row r="2004">
      <c r="A2004" s="39">
        <f>IF($B2004="","",COUNTA($B$4:$B2004))</f>
        <v/>
      </c>
      <c r="B2004" s="40" t="n"/>
      <c r="C2004" s="41" t="n"/>
      <c r="D2004" s="41" t="n"/>
      <c r="E2004" s="42" t="n"/>
      <c r="F2004" s="42" t="n"/>
      <c r="G2004" s="43">
        <f>IF($B2004="","",N($E2004)+N($F2004))</f>
        <v/>
      </c>
      <c r="H2004" s="42" t="n"/>
      <c r="I2004" s="43">
        <f>IF($B2004="","",N($G2004)-N($H2004))</f>
        <v/>
      </c>
    </row>
    <row r="2005">
      <c r="A2005" s="39">
        <f>IF($B2005="","",COUNTA($B$4:$B2005))</f>
        <v/>
      </c>
      <c r="B2005" s="45" t="n"/>
      <c r="C2005" s="46" t="n"/>
      <c r="D2005" s="46" t="n"/>
      <c r="E2005" s="47" t="n"/>
      <c r="F2005" s="47" t="n"/>
      <c r="G2005" s="43">
        <f>IF($B2005="","",N($E2005)+N($F2005))</f>
        <v/>
      </c>
      <c r="H2005" s="47" t="n"/>
      <c r="I2005" s="43">
        <f>IF($B2005="","",N($G2005)-N($H2005))</f>
        <v/>
      </c>
    </row>
    <row r="2006">
      <c r="A2006" s="39">
        <f>IF($B2006="","",COUNTA($B$4:$B2006))</f>
        <v/>
      </c>
      <c r="B2006" s="40" t="n"/>
      <c r="C2006" s="41" t="n"/>
      <c r="D2006" s="41" t="n"/>
      <c r="E2006" s="42" t="n"/>
      <c r="F2006" s="42" t="n"/>
      <c r="G2006" s="43">
        <f>IF($B2006="","",N($E2006)+N($F2006))</f>
        <v/>
      </c>
      <c r="H2006" s="42" t="n"/>
      <c r="I2006" s="43">
        <f>IF($B2006="","",N($G2006)-N($H2006))</f>
        <v/>
      </c>
    </row>
    <row r="2007">
      <c r="A2007" s="39">
        <f>IF($B2007="","",COUNTA($B$4:$B2007))</f>
        <v/>
      </c>
      <c r="B2007" s="45" t="n"/>
      <c r="C2007" s="46" t="n"/>
      <c r="D2007" s="46" t="n"/>
      <c r="E2007" s="47" t="n"/>
      <c r="F2007" s="47" t="n"/>
      <c r="G2007" s="43">
        <f>IF($B2007="","",N($E2007)+N($F2007))</f>
        <v/>
      </c>
      <c r="H2007" s="47" t="n"/>
      <c r="I2007" s="43">
        <f>IF($B2007="","",N($G2007)-N($H2007))</f>
        <v/>
      </c>
    </row>
    <row r="2008">
      <c r="A2008" s="39">
        <f>IF($B2008="","",COUNTA($B$4:$B2008))</f>
        <v/>
      </c>
      <c r="B2008" s="40" t="n"/>
      <c r="C2008" s="41" t="n"/>
      <c r="D2008" s="41" t="n"/>
      <c r="E2008" s="42" t="n"/>
      <c r="F2008" s="42" t="n"/>
      <c r="G2008" s="43">
        <f>IF($B2008="","",N($E2008)+N($F2008))</f>
        <v/>
      </c>
      <c r="H2008" s="42" t="n"/>
      <c r="I2008" s="43">
        <f>IF($B2008="","",N($G2008)-N($H2008))</f>
        <v/>
      </c>
    </row>
    <row r="2009">
      <c r="A2009" s="39">
        <f>IF($B2009="","",COUNTA($B$4:$B2009))</f>
        <v/>
      </c>
      <c r="B2009" s="45" t="n"/>
      <c r="C2009" s="46" t="n"/>
      <c r="D2009" s="46" t="n"/>
      <c r="E2009" s="47" t="n"/>
      <c r="F2009" s="47" t="n"/>
      <c r="G2009" s="43">
        <f>IF($B2009="","",N($E2009)+N($F2009))</f>
        <v/>
      </c>
      <c r="H2009" s="47" t="n"/>
      <c r="I2009" s="43">
        <f>IF($B2009="","",N($G2009)-N($H2009))</f>
        <v/>
      </c>
    </row>
    <row r="2010">
      <c r="A2010" s="39">
        <f>IF($B2010="","",COUNTA($B$4:$B2010))</f>
        <v/>
      </c>
      <c r="B2010" s="40" t="n"/>
      <c r="C2010" s="41" t="n"/>
      <c r="D2010" s="41" t="n"/>
      <c r="E2010" s="42" t="n"/>
      <c r="F2010" s="42" t="n"/>
      <c r="G2010" s="43">
        <f>IF($B2010="","",N($E2010)+N($F2010))</f>
        <v/>
      </c>
      <c r="H2010" s="42" t="n"/>
      <c r="I2010" s="43">
        <f>IF($B2010="","",N($G2010)-N($H2010))</f>
        <v/>
      </c>
    </row>
    <row r="2011">
      <c r="A2011" s="39">
        <f>IF($B2011="","",COUNTA($B$4:$B2011))</f>
        <v/>
      </c>
      <c r="B2011" s="45" t="n"/>
      <c r="C2011" s="46" t="n"/>
      <c r="D2011" s="46" t="n"/>
      <c r="E2011" s="47" t="n"/>
      <c r="F2011" s="47" t="n"/>
      <c r="G2011" s="43">
        <f>IF($B2011="","",N($E2011)+N($F2011))</f>
        <v/>
      </c>
      <c r="H2011" s="47" t="n"/>
      <c r="I2011" s="43">
        <f>IF($B2011="","",N($G2011)-N($H2011))</f>
        <v/>
      </c>
    </row>
    <row r="2012">
      <c r="A2012" s="39">
        <f>IF($B2012="","",COUNTA($B$4:$B2012))</f>
        <v/>
      </c>
      <c r="B2012" s="40" t="n"/>
      <c r="C2012" s="41" t="n"/>
      <c r="D2012" s="41" t="n"/>
      <c r="E2012" s="42" t="n"/>
      <c r="F2012" s="42" t="n"/>
      <c r="G2012" s="43">
        <f>IF($B2012="","",N($E2012)+N($F2012))</f>
        <v/>
      </c>
      <c r="H2012" s="42" t="n"/>
      <c r="I2012" s="43">
        <f>IF($B2012="","",N($G2012)-N($H2012))</f>
        <v/>
      </c>
    </row>
    <row r="2013">
      <c r="A2013" s="39">
        <f>IF($B2013="","",COUNTA($B$4:$B2013))</f>
        <v/>
      </c>
      <c r="B2013" s="45" t="n"/>
      <c r="C2013" s="46" t="n"/>
      <c r="D2013" s="46" t="n"/>
      <c r="E2013" s="47" t="n"/>
      <c r="F2013" s="47" t="n"/>
      <c r="G2013" s="43">
        <f>IF($B2013="","",N($E2013)+N($F2013))</f>
        <v/>
      </c>
      <c r="H2013" s="47" t="n"/>
      <c r="I2013" s="43">
        <f>IF($B2013="","",N($G2013)-N($H2013))</f>
        <v/>
      </c>
    </row>
    <row r="2014">
      <c r="A2014" s="39">
        <f>IF($B2014="","",COUNTA($B$4:$B2014))</f>
        <v/>
      </c>
      <c r="B2014" s="40" t="n"/>
      <c r="C2014" s="41" t="n"/>
      <c r="D2014" s="41" t="n"/>
      <c r="E2014" s="42" t="n"/>
      <c r="F2014" s="42" t="n"/>
      <c r="G2014" s="43">
        <f>IF($B2014="","",N($E2014)+N($F2014))</f>
        <v/>
      </c>
      <c r="H2014" s="42" t="n"/>
      <c r="I2014" s="43">
        <f>IF($B2014="","",N($G2014)-N($H2014))</f>
        <v/>
      </c>
    </row>
    <row r="2015">
      <c r="A2015" s="39">
        <f>IF($B2015="","",COUNTA($B$4:$B2015))</f>
        <v/>
      </c>
      <c r="B2015" s="45" t="n"/>
      <c r="C2015" s="46" t="n"/>
      <c r="D2015" s="46" t="n"/>
      <c r="E2015" s="47" t="n"/>
      <c r="F2015" s="47" t="n"/>
      <c r="G2015" s="43">
        <f>IF($B2015="","",N($E2015)+N($F2015))</f>
        <v/>
      </c>
      <c r="H2015" s="47" t="n"/>
      <c r="I2015" s="43">
        <f>IF($B2015="","",N($G2015)-N($H2015))</f>
        <v/>
      </c>
    </row>
    <row r="2016">
      <c r="A2016" s="39">
        <f>IF($B2016="","",COUNTA($B$4:$B2016))</f>
        <v/>
      </c>
      <c r="B2016" s="40" t="n"/>
      <c r="C2016" s="41" t="n"/>
      <c r="D2016" s="41" t="n"/>
      <c r="E2016" s="42" t="n"/>
      <c r="F2016" s="42" t="n"/>
      <c r="G2016" s="43">
        <f>IF($B2016="","",N($E2016)+N($F2016))</f>
        <v/>
      </c>
      <c r="H2016" s="42" t="n"/>
      <c r="I2016" s="43">
        <f>IF($B2016="","",N($G2016)-N($H2016))</f>
        <v/>
      </c>
    </row>
    <row r="2017">
      <c r="A2017" s="39">
        <f>IF($B2017="","",COUNTA($B$4:$B2017))</f>
        <v/>
      </c>
      <c r="B2017" s="45" t="n"/>
      <c r="C2017" s="46" t="n"/>
      <c r="D2017" s="46" t="n"/>
      <c r="E2017" s="47" t="n"/>
      <c r="F2017" s="47" t="n"/>
      <c r="G2017" s="43">
        <f>IF($B2017="","",N($E2017)+N($F2017))</f>
        <v/>
      </c>
      <c r="H2017" s="47" t="n"/>
      <c r="I2017" s="43">
        <f>IF($B2017="","",N($G2017)-N($H2017))</f>
        <v/>
      </c>
    </row>
    <row r="2018">
      <c r="A2018" s="39">
        <f>IF($B2018="","",COUNTA($B$4:$B2018))</f>
        <v/>
      </c>
      <c r="B2018" s="40" t="n"/>
      <c r="C2018" s="41" t="n"/>
      <c r="D2018" s="41" t="n"/>
      <c r="E2018" s="42" t="n"/>
      <c r="F2018" s="42" t="n"/>
      <c r="G2018" s="43">
        <f>IF($B2018="","",N($E2018)+N($F2018))</f>
        <v/>
      </c>
      <c r="H2018" s="42" t="n"/>
      <c r="I2018" s="43">
        <f>IF($B2018="","",N($G2018)-N($H2018))</f>
        <v/>
      </c>
    </row>
    <row r="2019">
      <c r="A2019" s="39">
        <f>IF($B2019="","",COUNTA($B$4:$B2019))</f>
        <v/>
      </c>
      <c r="B2019" s="45" t="n"/>
      <c r="C2019" s="46" t="n"/>
      <c r="D2019" s="46" t="n"/>
      <c r="E2019" s="47" t="n"/>
      <c r="F2019" s="47" t="n"/>
      <c r="G2019" s="43">
        <f>IF($B2019="","",N($E2019)+N($F2019))</f>
        <v/>
      </c>
      <c r="H2019" s="47" t="n"/>
      <c r="I2019" s="43">
        <f>IF($B2019="","",N($G2019)-N($H2019))</f>
        <v/>
      </c>
    </row>
    <row r="2020">
      <c r="A2020" s="39">
        <f>IF($B2020="","",COUNTA($B$4:$B2020))</f>
        <v/>
      </c>
      <c r="B2020" s="40" t="n"/>
      <c r="C2020" s="41" t="n"/>
      <c r="D2020" s="41" t="n"/>
      <c r="E2020" s="42" t="n"/>
      <c r="F2020" s="42" t="n"/>
      <c r="G2020" s="43">
        <f>IF($B2020="","",N($E2020)+N($F2020))</f>
        <v/>
      </c>
      <c r="H2020" s="42" t="n"/>
      <c r="I2020" s="43">
        <f>IF($B2020="","",N($G2020)-N($H2020))</f>
        <v/>
      </c>
    </row>
    <row r="2021">
      <c r="A2021" s="39">
        <f>IF($B2021="","",COUNTA($B$4:$B2021))</f>
        <v/>
      </c>
      <c r="B2021" s="45" t="n"/>
      <c r="C2021" s="46" t="n"/>
      <c r="D2021" s="46" t="n"/>
      <c r="E2021" s="47" t="n"/>
      <c r="F2021" s="47" t="n"/>
      <c r="G2021" s="43">
        <f>IF($B2021="","",N($E2021)+N($F2021))</f>
        <v/>
      </c>
      <c r="H2021" s="47" t="n"/>
      <c r="I2021" s="43">
        <f>IF($B2021="","",N($G2021)-N($H2021))</f>
        <v/>
      </c>
    </row>
    <row r="2022">
      <c r="A2022" s="39">
        <f>IF($B2022="","",COUNTA($B$4:$B2022))</f>
        <v/>
      </c>
      <c r="B2022" s="40" t="n"/>
      <c r="C2022" s="41" t="n"/>
      <c r="D2022" s="41" t="n"/>
      <c r="E2022" s="42" t="n"/>
      <c r="F2022" s="42" t="n"/>
      <c r="G2022" s="43">
        <f>IF($B2022="","",N($E2022)+N($F2022))</f>
        <v/>
      </c>
      <c r="H2022" s="42" t="n"/>
      <c r="I2022" s="43">
        <f>IF($B2022="","",N($G2022)-N($H2022))</f>
        <v/>
      </c>
    </row>
    <row r="2023">
      <c r="A2023" s="39">
        <f>IF($B2023="","",COUNTA($B$4:$B2023))</f>
        <v/>
      </c>
      <c r="B2023" s="45" t="n"/>
      <c r="C2023" s="46" t="n"/>
      <c r="D2023" s="46" t="n"/>
      <c r="E2023" s="47" t="n"/>
      <c r="F2023" s="47" t="n"/>
      <c r="G2023" s="43">
        <f>IF($B2023="","",N($E2023)+N($F2023))</f>
        <v/>
      </c>
      <c r="H2023" s="47" t="n"/>
      <c r="I2023" s="43">
        <f>IF($B2023="","",N($G2023)-N($H2023))</f>
        <v/>
      </c>
    </row>
    <row r="2024">
      <c r="A2024" s="39">
        <f>IF($B2024="","",COUNTA($B$4:$B2024))</f>
        <v/>
      </c>
      <c r="B2024" s="40" t="n"/>
      <c r="C2024" s="41" t="n"/>
      <c r="D2024" s="41" t="n"/>
      <c r="E2024" s="42" t="n"/>
      <c r="F2024" s="42" t="n"/>
      <c r="G2024" s="43">
        <f>IF($B2024="","",N($E2024)+N($F2024))</f>
        <v/>
      </c>
      <c r="H2024" s="42" t="n"/>
      <c r="I2024" s="43">
        <f>IF($B2024="","",N($G2024)-N($H2024))</f>
        <v/>
      </c>
    </row>
    <row r="2025">
      <c r="A2025" s="39">
        <f>IF($B2025="","",COUNTA($B$4:$B2025))</f>
        <v/>
      </c>
      <c r="B2025" s="45" t="n"/>
      <c r="C2025" s="46" t="n"/>
      <c r="D2025" s="46" t="n"/>
      <c r="E2025" s="47" t="n"/>
      <c r="F2025" s="47" t="n"/>
      <c r="G2025" s="43">
        <f>IF($B2025="","",N($E2025)+N($F2025))</f>
        <v/>
      </c>
      <c r="H2025" s="47" t="n"/>
      <c r="I2025" s="43">
        <f>IF($B2025="","",N($G2025)-N($H2025))</f>
        <v/>
      </c>
    </row>
    <row r="2026">
      <c r="A2026" s="39">
        <f>IF($B2026="","",COUNTA($B$4:$B2026))</f>
        <v/>
      </c>
      <c r="B2026" s="40" t="n"/>
      <c r="C2026" s="41" t="n"/>
      <c r="D2026" s="41" t="n"/>
      <c r="E2026" s="42" t="n"/>
      <c r="F2026" s="42" t="n"/>
      <c r="G2026" s="43">
        <f>IF($B2026="","",N($E2026)+N($F2026))</f>
        <v/>
      </c>
      <c r="H2026" s="42" t="n"/>
      <c r="I2026" s="43">
        <f>IF($B2026="","",N($G2026)-N($H2026))</f>
        <v/>
      </c>
    </row>
    <row r="2027">
      <c r="A2027" s="39">
        <f>IF($B2027="","",COUNTA($B$4:$B2027))</f>
        <v/>
      </c>
      <c r="B2027" s="45" t="n"/>
      <c r="C2027" s="46" t="n"/>
      <c r="D2027" s="46" t="n"/>
      <c r="E2027" s="47" t="n"/>
      <c r="F2027" s="47" t="n"/>
      <c r="G2027" s="43">
        <f>IF($B2027="","",N($E2027)+N($F2027))</f>
        <v/>
      </c>
      <c r="H2027" s="47" t="n"/>
      <c r="I2027" s="43">
        <f>IF($B2027="","",N($G2027)-N($H2027))</f>
        <v/>
      </c>
    </row>
    <row r="2028">
      <c r="A2028" s="39">
        <f>IF($B2028="","",COUNTA($B$4:$B2028))</f>
        <v/>
      </c>
      <c r="B2028" s="40" t="n"/>
      <c r="C2028" s="41" t="n"/>
      <c r="D2028" s="41" t="n"/>
      <c r="E2028" s="42" t="n"/>
      <c r="F2028" s="42" t="n"/>
      <c r="G2028" s="43">
        <f>IF($B2028="","",N($E2028)+N($F2028))</f>
        <v/>
      </c>
      <c r="H2028" s="42" t="n"/>
      <c r="I2028" s="43">
        <f>IF($B2028="","",N($G2028)-N($H2028))</f>
        <v/>
      </c>
    </row>
    <row r="2029">
      <c r="A2029" s="39">
        <f>IF($B2029="","",COUNTA($B$4:$B2029))</f>
        <v/>
      </c>
      <c r="B2029" s="45" t="n"/>
      <c r="C2029" s="46" t="n"/>
      <c r="D2029" s="46" t="n"/>
      <c r="E2029" s="47" t="n"/>
      <c r="F2029" s="47" t="n"/>
      <c r="G2029" s="43">
        <f>IF($B2029="","",N($E2029)+N($F2029))</f>
        <v/>
      </c>
      <c r="H2029" s="47" t="n"/>
      <c r="I2029" s="43">
        <f>IF($B2029="","",N($G2029)-N($H2029))</f>
        <v/>
      </c>
    </row>
    <row r="2030">
      <c r="A2030" s="39">
        <f>IF($B2030="","",COUNTA($B$4:$B2030))</f>
        <v/>
      </c>
      <c r="B2030" s="40" t="n"/>
      <c r="C2030" s="41" t="n"/>
      <c r="D2030" s="41" t="n"/>
      <c r="E2030" s="42" t="n"/>
      <c r="F2030" s="42" t="n"/>
      <c r="G2030" s="43">
        <f>IF($B2030="","",N($E2030)+N($F2030))</f>
        <v/>
      </c>
      <c r="H2030" s="42" t="n"/>
      <c r="I2030" s="43">
        <f>IF($B2030="","",N($G2030)-N($H2030))</f>
        <v/>
      </c>
    </row>
    <row r="2031">
      <c r="A2031" s="39">
        <f>IF($B2031="","",COUNTA($B$4:$B2031))</f>
        <v/>
      </c>
      <c r="B2031" s="45" t="n"/>
      <c r="C2031" s="46" t="n"/>
      <c r="D2031" s="46" t="n"/>
      <c r="E2031" s="47" t="n"/>
      <c r="F2031" s="47" t="n"/>
      <c r="G2031" s="43">
        <f>IF($B2031="","",N($E2031)+N($F2031))</f>
        <v/>
      </c>
      <c r="H2031" s="47" t="n"/>
      <c r="I2031" s="43">
        <f>IF($B2031="","",N($G2031)-N($H2031))</f>
        <v/>
      </c>
    </row>
    <row r="2032">
      <c r="A2032" s="39">
        <f>IF($B2032="","",COUNTA($B$4:$B2032))</f>
        <v/>
      </c>
      <c r="B2032" s="40" t="n"/>
      <c r="C2032" s="41" t="n"/>
      <c r="D2032" s="41" t="n"/>
      <c r="E2032" s="42" t="n"/>
      <c r="F2032" s="42" t="n"/>
      <c r="G2032" s="43">
        <f>IF($B2032="","",N($E2032)+N($F2032))</f>
        <v/>
      </c>
      <c r="H2032" s="42" t="n"/>
      <c r="I2032" s="43">
        <f>IF($B2032="","",N($G2032)-N($H2032))</f>
        <v/>
      </c>
    </row>
    <row r="2033">
      <c r="A2033" s="39">
        <f>IF($B2033="","",COUNTA($B$4:$B2033))</f>
        <v/>
      </c>
      <c r="B2033" s="45" t="n"/>
      <c r="C2033" s="46" t="n"/>
      <c r="D2033" s="46" t="n"/>
      <c r="E2033" s="47" t="n"/>
      <c r="F2033" s="47" t="n"/>
      <c r="G2033" s="43">
        <f>IF($B2033="","",N($E2033)+N($F2033))</f>
        <v/>
      </c>
      <c r="H2033" s="47" t="n"/>
      <c r="I2033" s="43">
        <f>IF($B2033="","",N($G2033)-N($H2033))</f>
        <v/>
      </c>
    </row>
    <row r="2034">
      <c r="A2034" s="39">
        <f>IF($B2034="","",COUNTA($B$4:$B2034))</f>
        <v/>
      </c>
      <c r="B2034" s="40" t="n"/>
      <c r="C2034" s="41" t="n"/>
      <c r="D2034" s="41" t="n"/>
      <c r="E2034" s="42" t="n"/>
      <c r="F2034" s="42" t="n"/>
      <c r="G2034" s="43">
        <f>IF($B2034="","",N($E2034)+N($F2034))</f>
        <v/>
      </c>
      <c r="H2034" s="42" t="n"/>
      <c r="I2034" s="43">
        <f>IF($B2034="","",N($G2034)-N($H2034))</f>
        <v/>
      </c>
    </row>
    <row r="2035">
      <c r="A2035" s="39">
        <f>IF($B2035="","",COUNTA($B$4:$B2035))</f>
        <v/>
      </c>
      <c r="B2035" s="45" t="n"/>
      <c r="C2035" s="46" t="n"/>
      <c r="D2035" s="46" t="n"/>
      <c r="E2035" s="47" t="n"/>
      <c r="F2035" s="47" t="n"/>
      <c r="G2035" s="43">
        <f>IF($B2035="","",N($E2035)+N($F2035))</f>
        <v/>
      </c>
      <c r="H2035" s="47" t="n"/>
      <c r="I2035" s="43">
        <f>IF($B2035="","",N($G2035)-N($H2035))</f>
        <v/>
      </c>
    </row>
    <row r="2036">
      <c r="A2036" s="39">
        <f>IF($B2036="","",COUNTA($B$4:$B2036))</f>
        <v/>
      </c>
      <c r="B2036" s="40" t="n"/>
      <c r="C2036" s="41" t="n"/>
      <c r="D2036" s="41" t="n"/>
      <c r="E2036" s="42" t="n"/>
      <c r="F2036" s="42" t="n"/>
      <c r="G2036" s="43">
        <f>IF($B2036="","",N($E2036)+N($F2036))</f>
        <v/>
      </c>
      <c r="H2036" s="42" t="n"/>
      <c r="I2036" s="43">
        <f>IF($B2036="","",N($G2036)-N($H2036))</f>
        <v/>
      </c>
    </row>
    <row r="2037">
      <c r="A2037" s="39">
        <f>IF($B2037="","",COUNTA($B$4:$B2037))</f>
        <v/>
      </c>
      <c r="B2037" s="45" t="n"/>
      <c r="C2037" s="46" t="n"/>
      <c r="D2037" s="46" t="n"/>
      <c r="E2037" s="47" t="n"/>
      <c r="F2037" s="47" t="n"/>
      <c r="G2037" s="43">
        <f>IF($B2037="","",N($E2037)+N($F2037))</f>
        <v/>
      </c>
      <c r="H2037" s="47" t="n"/>
      <c r="I2037" s="43">
        <f>IF($B2037="","",N($G2037)-N($H2037))</f>
        <v/>
      </c>
    </row>
    <row r="2038">
      <c r="A2038" s="39">
        <f>IF($B2038="","",COUNTA($B$4:$B2038))</f>
        <v/>
      </c>
      <c r="B2038" s="40" t="n"/>
      <c r="C2038" s="41" t="n"/>
      <c r="D2038" s="41" t="n"/>
      <c r="E2038" s="42" t="n"/>
      <c r="F2038" s="42" t="n"/>
      <c r="G2038" s="43">
        <f>IF($B2038="","",N($E2038)+N($F2038))</f>
        <v/>
      </c>
      <c r="H2038" s="42" t="n"/>
      <c r="I2038" s="43">
        <f>IF($B2038="","",N($G2038)-N($H2038))</f>
        <v/>
      </c>
    </row>
    <row r="2039">
      <c r="A2039" s="39">
        <f>IF($B2039="","",COUNTA($B$4:$B2039))</f>
        <v/>
      </c>
      <c r="B2039" s="45" t="n"/>
      <c r="C2039" s="46" t="n"/>
      <c r="D2039" s="46" t="n"/>
      <c r="E2039" s="47" t="n"/>
      <c r="F2039" s="47" t="n"/>
      <c r="G2039" s="43">
        <f>IF($B2039="","",N($E2039)+N($F2039))</f>
        <v/>
      </c>
      <c r="H2039" s="47" t="n"/>
      <c r="I2039" s="43">
        <f>IF($B2039="","",N($G2039)-N($H2039))</f>
        <v/>
      </c>
    </row>
    <row r="2040">
      <c r="A2040" s="39">
        <f>IF($B2040="","",COUNTA($B$4:$B2040))</f>
        <v/>
      </c>
      <c r="B2040" s="40" t="n"/>
      <c r="C2040" s="41" t="n"/>
      <c r="D2040" s="41" t="n"/>
      <c r="E2040" s="42" t="n"/>
      <c r="F2040" s="42" t="n"/>
      <c r="G2040" s="43">
        <f>IF($B2040="","",N($E2040)+N($F2040))</f>
        <v/>
      </c>
      <c r="H2040" s="42" t="n"/>
      <c r="I2040" s="43">
        <f>IF($B2040="","",N($G2040)-N($H2040))</f>
        <v/>
      </c>
    </row>
    <row r="2041">
      <c r="A2041" s="39">
        <f>IF($B2041="","",COUNTA($B$4:$B2041))</f>
        <v/>
      </c>
      <c r="B2041" s="45" t="n"/>
      <c r="C2041" s="46" t="n"/>
      <c r="D2041" s="46" t="n"/>
      <c r="E2041" s="47" t="n"/>
      <c r="F2041" s="47" t="n"/>
      <c r="G2041" s="43">
        <f>IF($B2041="","",N($E2041)+N($F2041))</f>
        <v/>
      </c>
      <c r="H2041" s="47" t="n"/>
      <c r="I2041" s="43">
        <f>IF($B2041="","",N($G2041)-N($H2041))</f>
        <v/>
      </c>
    </row>
    <row r="2042">
      <c r="A2042" s="39">
        <f>IF($B2042="","",COUNTA($B$4:$B2042))</f>
        <v/>
      </c>
      <c r="B2042" s="40" t="n"/>
      <c r="C2042" s="41" t="n"/>
      <c r="D2042" s="41" t="n"/>
      <c r="E2042" s="42" t="n"/>
      <c r="F2042" s="42" t="n"/>
      <c r="G2042" s="43">
        <f>IF($B2042="","",N($E2042)+N($F2042))</f>
        <v/>
      </c>
      <c r="H2042" s="42" t="n"/>
      <c r="I2042" s="43">
        <f>IF($B2042="","",N($G2042)-N($H2042))</f>
        <v/>
      </c>
    </row>
    <row r="2043">
      <c r="A2043" s="39">
        <f>IF($B2043="","",COUNTA($B$4:$B2043))</f>
        <v/>
      </c>
      <c r="B2043" s="45" t="n"/>
      <c r="C2043" s="46" t="n"/>
      <c r="D2043" s="46" t="n"/>
      <c r="E2043" s="47" t="n"/>
      <c r="F2043" s="47" t="n"/>
      <c r="G2043" s="43">
        <f>IF($B2043="","",N($E2043)+N($F2043))</f>
        <v/>
      </c>
      <c r="H2043" s="47" t="n"/>
      <c r="I2043" s="43">
        <f>IF($B2043="","",N($G2043)-N($H2043))</f>
        <v/>
      </c>
    </row>
    <row r="2044">
      <c r="A2044" s="39">
        <f>IF($B2044="","",COUNTA($B$4:$B2044))</f>
        <v/>
      </c>
      <c r="B2044" s="40" t="n"/>
      <c r="C2044" s="41" t="n"/>
      <c r="D2044" s="41" t="n"/>
      <c r="E2044" s="42" t="n"/>
      <c r="F2044" s="42" t="n"/>
      <c r="G2044" s="43">
        <f>IF($B2044="","",N($E2044)+N($F2044))</f>
        <v/>
      </c>
      <c r="H2044" s="42" t="n"/>
      <c r="I2044" s="43">
        <f>IF($B2044="","",N($G2044)-N($H2044))</f>
        <v/>
      </c>
    </row>
    <row r="2045">
      <c r="A2045" s="39">
        <f>IF($B2045="","",COUNTA($B$4:$B2045))</f>
        <v/>
      </c>
      <c r="B2045" s="45" t="n"/>
      <c r="C2045" s="46" t="n"/>
      <c r="D2045" s="46" t="n"/>
      <c r="E2045" s="47" t="n"/>
      <c r="F2045" s="47" t="n"/>
      <c r="G2045" s="43">
        <f>IF($B2045="","",N($E2045)+N($F2045))</f>
        <v/>
      </c>
      <c r="H2045" s="47" t="n"/>
      <c r="I2045" s="43">
        <f>IF($B2045="","",N($G2045)-N($H2045))</f>
        <v/>
      </c>
    </row>
    <row r="2046">
      <c r="A2046" s="39">
        <f>IF($B2046="","",COUNTA($B$4:$B2046))</f>
        <v/>
      </c>
      <c r="B2046" s="40" t="n"/>
      <c r="C2046" s="41" t="n"/>
      <c r="D2046" s="41" t="n"/>
      <c r="E2046" s="42" t="n"/>
      <c r="F2046" s="42" t="n"/>
      <c r="G2046" s="43">
        <f>IF($B2046="","",N($E2046)+N($F2046))</f>
        <v/>
      </c>
      <c r="H2046" s="42" t="n"/>
      <c r="I2046" s="43">
        <f>IF($B2046="","",N($G2046)-N($H2046))</f>
        <v/>
      </c>
    </row>
    <row r="2047">
      <c r="A2047" s="39">
        <f>IF($B2047="","",COUNTA($B$4:$B2047))</f>
        <v/>
      </c>
      <c r="B2047" s="45" t="n"/>
      <c r="C2047" s="46" t="n"/>
      <c r="D2047" s="46" t="n"/>
      <c r="E2047" s="47" t="n"/>
      <c r="F2047" s="47" t="n"/>
      <c r="G2047" s="43">
        <f>IF($B2047="","",N($E2047)+N($F2047))</f>
        <v/>
      </c>
      <c r="H2047" s="47" t="n"/>
      <c r="I2047" s="43">
        <f>IF($B2047="","",N($G2047)-N($H2047))</f>
        <v/>
      </c>
    </row>
    <row r="2048">
      <c r="A2048" s="39">
        <f>IF($B2048="","",COUNTA($B$4:$B2048))</f>
        <v/>
      </c>
      <c r="B2048" s="40" t="n"/>
      <c r="C2048" s="41" t="n"/>
      <c r="D2048" s="41" t="n"/>
      <c r="E2048" s="42" t="n"/>
      <c r="F2048" s="42" t="n"/>
      <c r="G2048" s="43">
        <f>IF($B2048="","",N($E2048)+N($F2048))</f>
        <v/>
      </c>
      <c r="H2048" s="42" t="n"/>
      <c r="I2048" s="43">
        <f>IF($B2048="","",N($G2048)-N($H2048))</f>
        <v/>
      </c>
    </row>
    <row r="2049">
      <c r="A2049" s="39">
        <f>IF($B2049="","",COUNTA($B$4:$B2049))</f>
        <v/>
      </c>
      <c r="B2049" s="45" t="n"/>
      <c r="C2049" s="46" t="n"/>
      <c r="D2049" s="46" t="n"/>
      <c r="E2049" s="47" t="n"/>
      <c r="F2049" s="47" t="n"/>
      <c r="G2049" s="43">
        <f>IF($B2049="","",N($E2049)+N($F2049))</f>
        <v/>
      </c>
      <c r="H2049" s="47" t="n"/>
      <c r="I2049" s="43">
        <f>IF($B2049="","",N($G2049)-N($H2049))</f>
        <v/>
      </c>
    </row>
    <row r="2050">
      <c r="A2050" s="39">
        <f>IF($B2050="","",COUNTA($B$4:$B2050))</f>
        <v/>
      </c>
      <c r="B2050" s="40" t="n"/>
      <c r="C2050" s="41" t="n"/>
      <c r="D2050" s="41" t="n"/>
      <c r="E2050" s="42" t="n"/>
      <c r="F2050" s="42" t="n"/>
      <c r="G2050" s="43">
        <f>IF($B2050="","",N($E2050)+N($F2050))</f>
        <v/>
      </c>
      <c r="H2050" s="42" t="n"/>
      <c r="I2050" s="43">
        <f>IF($B2050="","",N($G2050)-N($H2050))</f>
        <v/>
      </c>
    </row>
    <row r="2051">
      <c r="A2051" s="39">
        <f>IF($B2051="","",COUNTA($B$4:$B2051))</f>
        <v/>
      </c>
      <c r="B2051" s="45" t="n"/>
      <c r="C2051" s="46" t="n"/>
      <c r="D2051" s="46" t="n"/>
      <c r="E2051" s="47" t="n"/>
      <c r="F2051" s="47" t="n"/>
      <c r="G2051" s="43">
        <f>IF($B2051="","",N($E2051)+N($F2051))</f>
        <v/>
      </c>
      <c r="H2051" s="47" t="n"/>
      <c r="I2051" s="43">
        <f>IF($B2051="","",N($G2051)-N($H2051))</f>
        <v/>
      </c>
    </row>
    <row r="2052">
      <c r="A2052" s="39">
        <f>IF($B2052="","",COUNTA($B$4:$B2052))</f>
        <v/>
      </c>
      <c r="B2052" s="40" t="n"/>
      <c r="C2052" s="41" t="n"/>
      <c r="D2052" s="41" t="n"/>
      <c r="E2052" s="42" t="n"/>
      <c r="F2052" s="42" t="n"/>
      <c r="G2052" s="43">
        <f>IF($B2052="","",N($E2052)+N($F2052))</f>
        <v/>
      </c>
      <c r="H2052" s="42" t="n"/>
      <c r="I2052" s="43">
        <f>IF($B2052="","",N($G2052)-N($H2052))</f>
        <v/>
      </c>
    </row>
    <row r="2053">
      <c r="A2053" s="39">
        <f>IF($B2053="","",COUNTA($B$4:$B2053))</f>
        <v/>
      </c>
      <c r="B2053" s="45" t="n"/>
      <c r="C2053" s="46" t="n"/>
      <c r="D2053" s="46" t="n"/>
      <c r="E2053" s="47" t="n"/>
      <c r="F2053" s="47" t="n"/>
      <c r="G2053" s="43">
        <f>IF($B2053="","",N($E2053)+N($F2053))</f>
        <v/>
      </c>
      <c r="H2053" s="47" t="n"/>
      <c r="I2053" s="43">
        <f>IF($B2053="","",N($G2053)-N($H2053))</f>
        <v/>
      </c>
    </row>
    <row r="2054">
      <c r="A2054" s="39">
        <f>IF($B2054="","",COUNTA($B$4:$B2054))</f>
        <v/>
      </c>
      <c r="B2054" s="40" t="n"/>
      <c r="C2054" s="41" t="n"/>
      <c r="D2054" s="41" t="n"/>
      <c r="E2054" s="42" t="n"/>
      <c r="F2054" s="42" t="n"/>
      <c r="G2054" s="43">
        <f>IF($B2054="","",N($E2054)+N($F2054))</f>
        <v/>
      </c>
      <c r="H2054" s="42" t="n"/>
      <c r="I2054" s="43">
        <f>IF($B2054="","",N($G2054)-N($H2054))</f>
        <v/>
      </c>
    </row>
    <row r="2055">
      <c r="A2055" s="39">
        <f>IF($B2055="","",COUNTA($B$4:$B2055))</f>
        <v/>
      </c>
      <c r="B2055" s="45" t="n"/>
      <c r="C2055" s="46" t="n"/>
      <c r="D2055" s="46" t="n"/>
      <c r="E2055" s="47" t="n"/>
      <c r="F2055" s="47" t="n"/>
      <c r="G2055" s="43">
        <f>IF($B2055="","",N($E2055)+N($F2055))</f>
        <v/>
      </c>
      <c r="H2055" s="47" t="n"/>
      <c r="I2055" s="43">
        <f>IF($B2055="","",N($G2055)-N($H2055))</f>
        <v/>
      </c>
    </row>
    <row r="2056">
      <c r="A2056" s="39">
        <f>IF($B2056="","",COUNTA($B$4:$B2056))</f>
        <v/>
      </c>
      <c r="B2056" s="40" t="n"/>
      <c r="C2056" s="41" t="n"/>
      <c r="D2056" s="41" t="n"/>
      <c r="E2056" s="42" t="n"/>
      <c r="F2056" s="42" t="n"/>
      <c r="G2056" s="43">
        <f>IF($B2056="","",N($E2056)+N($F2056))</f>
        <v/>
      </c>
      <c r="H2056" s="42" t="n"/>
      <c r="I2056" s="43">
        <f>IF($B2056="","",N($G2056)-N($H2056))</f>
        <v/>
      </c>
    </row>
    <row r="2057">
      <c r="A2057" s="39">
        <f>IF($B2057="","",COUNTA($B$4:$B2057))</f>
        <v/>
      </c>
      <c r="B2057" s="45" t="n"/>
      <c r="C2057" s="46" t="n"/>
      <c r="D2057" s="46" t="n"/>
      <c r="E2057" s="47" t="n"/>
      <c r="F2057" s="47" t="n"/>
      <c r="G2057" s="43">
        <f>IF($B2057="","",N($E2057)+N($F2057))</f>
        <v/>
      </c>
      <c r="H2057" s="47" t="n"/>
      <c r="I2057" s="43">
        <f>IF($B2057="","",N($G2057)-N($H2057))</f>
        <v/>
      </c>
    </row>
    <row r="2058">
      <c r="A2058" s="39">
        <f>IF($B2058="","",COUNTA($B$4:$B2058))</f>
        <v/>
      </c>
      <c r="B2058" s="40" t="n"/>
      <c r="C2058" s="41" t="n"/>
      <c r="D2058" s="41" t="n"/>
      <c r="E2058" s="42" t="n"/>
      <c r="F2058" s="42" t="n"/>
      <c r="G2058" s="43">
        <f>IF($B2058="","",N($E2058)+N($F2058))</f>
        <v/>
      </c>
      <c r="H2058" s="42" t="n"/>
      <c r="I2058" s="43">
        <f>IF($B2058="","",N($G2058)-N($H2058))</f>
        <v/>
      </c>
    </row>
    <row r="2059">
      <c r="A2059" s="39">
        <f>IF($B2059="","",COUNTA($B$4:$B2059))</f>
        <v/>
      </c>
      <c r="B2059" s="45" t="n"/>
      <c r="C2059" s="46" t="n"/>
      <c r="D2059" s="46" t="n"/>
      <c r="E2059" s="47" t="n"/>
      <c r="F2059" s="47" t="n"/>
      <c r="G2059" s="43">
        <f>IF($B2059="","",N($E2059)+N($F2059))</f>
        <v/>
      </c>
      <c r="H2059" s="47" t="n"/>
      <c r="I2059" s="43">
        <f>IF($B2059="","",N($G2059)-N($H2059))</f>
        <v/>
      </c>
    </row>
    <row r="2060">
      <c r="A2060" s="39">
        <f>IF($B2060="","",COUNTA($B$4:$B2060))</f>
        <v/>
      </c>
      <c r="B2060" s="40" t="n"/>
      <c r="C2060" s="41" t="n"/>
      <c r="D2060" s="41" t="n"/>
      <c r="E2060" s="42" t="n"/>
      <c r="F2060" s="42" t="n"/>
      <c r="G2060" s="43">
        <f>IF($B2060="","",N($E2060)+N($F2060))</f>
        <v/>
      </c>
      <c r="H2060" s="42" t="n"/>
      <c r="I2060" s="43">
        <f>IF($B2060="","",N($G2060)-N($H2060))</f>
        <v/>
      </c>
    </row>
    <row r="2061">
      <c r="A2061" s="39">
        <f>IF($B2061="","",COUNTA($B$4:$B2061))</f>
        <v/>
      </c>
      <c r="B2061" s="45" t="n"/>
      <c r="C2061" s="46" t="n"/>
      <c r="D2061" s="46" t="n"/>
      <c r="E2061" s="47" t="n"/>
      <c r="F2061" s="47" t="n"/>
      <c r="G2061" s="43">
        <f>IF($B2061="","",N($E2061)+N($F2061))</f>
        <v/>
      </c>
      <c r="H2061" s="47" t="n"/>
      <c r="I2061" s="43">
        <f>IF($B2061="","",N($G2061)-N($H2061))</f>
        <v/>
      </c>
    </row>
    <row r="2062">
      <c r="A2062" s="39">
        <f>IF($B2062="","",COUNTA($B$4:$B2062))</f>
        <v/>
      </c>
      <c r="B2062" s="40" t="n"/>
      <c r="C2062" s="41" t="n"/>
      <c r="D2062" s="41" t="n"/>
      <c r="E2062" s="42" t="n"/>
      <c r="F2062" s="42" t="n"/>
      <c r="G2062" s="43">
        <f>IF($B2062="","",N($E2062)+N($F2062))</f>
        <v/>
      </c>
      <c r="H2062" s="42" t="n"/>
      <c r="I2062" s="43">
        <f>IF($B2062="","",N($G2062)-N($H2062))</f>
        <v/>
      </c>
    </row>
    <row r="2063">
      <c r="A2063" s="39">
        <f>IF($B2063="","",COUNTA($B$4:$B2063))</f>
        <v/>
      </c>
      <c r="B2063" s="45" t="n"/>
      <c r="C2063" s="46" t="n"/>
      <c r="D2063" s="46" t="n"/>
      <c r="E2063" s="47" t="n"/>
      <c r="F2063" s="47" t="n"/>
      <c r="G2063" s="43">
        <f>IF($B2063="","",N($E2063)+N($F2063))</f>
        <v/>
      </c>
      <c r="H2063" s="47" t="n"/>
      <c r="I2063" s="43">
        <f>IF($B2063="","",N($G2063)-N($H2063))</f>
        <v/>
      </c>
    </row>
    <row r="2064">
      <c r="A2064" s="39">
        <f>IF($B2064="","",COUNTA($B$4:$B2064))</f>
        <v/>
      </c>
      <c r="B2064" s="40" t="n"/>
      <c r="C2064" s="41" t="n"/>
      <c r="D2064" s="41" t="n"/>
      <c r="E2064" s="42" t="n"/>
      <c r="F2064" s="42" t="n"/>
      <c r="G2064" s="43">
        <f>IF($B2064="","",N($E2064)+N($F2064))</f>
        <v/>
      </c>
      <c r="H2064" s="42" t="n"/>
      <c r="I2064" s="43">
        <f>IF($B2064="","",N($G2064)-N($H2064))</f>
        <v/>
      </c>
    </row>
    <row r="2065">
      <c r="A2065" s="39">
        <f>IF($B2065="","",COUNTA($B$4:$B2065))</f>
        <v/>
      </c>
      <c r="B2065" s="45" t="n"/>
      <c r="C2065" s="46" t="n"/>
      <c r="D2065" s="46" t="n"/>
      <c r="E2065" s="47" t="n"/>
      <c r="F2065" s="47" t="n"/>
      <c r="G2065" s="43">
        <f>IF($B2065="","",N($E2065)+N($F2065))</f>
        <v/>
      </c>
      <c r="H2065" s="47" t="n"/>
      <c r="I2065" s="43">
        <f>IF($B2065="","",N($G2065)-N($H2065))</f>
        <v/>
      </c>
    </row>
    <row r="2066">
      <c r="A2066" s="39">
        <f>IF($B2066="","",COUNTA($B$4:$B2066))</f>
        <v/>
      </c>
      <c r="B2066" s="40" t="n"/>
      <c r="C2066" s="41" t="n"/>
      <c r="D2066" s="41" t="n"/>
      <c r="E2066" s="42" t="n"/>
      <c r="F2066" s="42" t="n"/>
      <c r="G2066" s="43">
        <f>IF($B2066="","",N($E2066)+N($F2066))</f>
        <v/>
      </c>
      <c r="H2066" s="42" t="n"/>
      <c r="I2066" s="43">
        <f>IF($B2066="","",N($G2066)-N($H2066))</f>
        <v/>
      </c>
    </row>
    <row r="2067">
      <c r="A2067" s="39">
        <f>IF($B2067="","",COUNTA($B$4:$B2067))</f>
        <v/>
      </c>
      <c r="B2067" s="45" t="n"/>
      <c r="C2067" s="46" t="n"/>
      <c r="D2067" s="46" t="n"/>
      <c r="E2067" s="47" t="n"/>
      <c r="F2067" s="47" t="n"/>
      <c r="G2067" s="43">
        <f>IF($B2067="","",N($E2067)+N($F2067))</f>
        <v/>
      </c>
      <c r="H2067" s="47" t="n"/>
      <c r="I2067" s="43">
        <f>IF($B2067="","",N($G2067)-N($H2067))</f>
        <v/>
      </c>
    </row>
    <row r="2068">
      <c r="A2068" s="39">
        <f>IF($B2068="","",COUNTA($B$4:$B2068))</f>
        <v/>
      </c>
      <c r="B2068" s="40" t="n"/>
      <c r="C2068" s="41" t="n"/>
      <c r="D2068" s="41" t="n"/>
      <c r="E2068" s="42" t="n"/>
      <c r="F2068" s="42" t="n"/>
      <c r="G2068" s="43">
        <f>IF($B2068="","",N($E2068)+N($F2068))</f>
        <v/>
      </c>
      <c r="H2068" s="42" t="n"/>
      <c r="I2068" s="43">
        <f>IF($B2068="","",N($G2068)-N($H2068))</f>
        <v/>
      </c>
    </row>
    <row r="2069">
      <c r="A2069" s="39">
        <f>IF($B2069="","",COUNTA($B$4:$B2069))</f>
        <v/>
      </c>
      <c r="B2069" s="45" t="n"/>
      <c r="C2069" s="46" t="n"/>
      <c r="D2069" s="46" t="n"/>
      <c r="E2069" s="47" t="n"/>
      <c r="F2069" s="47" t="n"/>
      <c r="G2069" s="43">
        <f>IF($B2069="","",N($E2069)+N($F2069))</f>
        <v/>
      </c>
      <c r="H2069" s="47" t="n"/>
      <c r="I2069" s="43">
        <f>IF($B2069="","",N($G2069)-N($H2069))</f>
        <v/>
      </c>
    </row>
    <row r="2070">
      <c r="A2070" s="39">
        <f>IF($B2070="","",COUNTA($B$4:$B2070))</f>
        <v/>
      </c>
      <c r="B2070" s="40" t="n"/>
      <c r="C2070" s="41" t="n"/>
      <c r="D2070" s="41" t="n"/>
      <c r="E2070" s="42" t="n"/>
      <c r="F2070" s="42" t="n"/>
      <c r="G2070" s="43">
        <f>IF($B2070="","",N($E2070)+N($F2070))</f>
        <v/>
      </c>
      <c r="H2070" s="42" t="n"/>
      <c r="I2070" s="43">
        <f>IF($B2070="","",N($G2070)-N($H2070))</f>
        <v/>
      </c>
    </row>
    <row r="2071">
      <c r="A2071" s="39">
        <f>IF($B2071="","",COUNTA($B$4:$B2071))</f>
        <v/>
      </c>
      <c r="B2071" s="45" t="n"/>
      <c r="C2071" s="46" t="n"/>
      <c r="D2071" s="46" t="n"/>
      <c r="E2071" s="47" t="n"/>
      <c r="F2071" s="47" t="n"/>
      <c r="G2071" s="43">
        <f>IF($B2071="","",N($E2071)+N($F2071))</f>
        <v/>
      </c>
      <c r="H2071" s="47" t="n"/>
      <c r="I2071" s="43">
        <f>IF($B2071="","",N($G2071)-N($H2071))</f>
        <v/>
      </c>
    </row>
    <row r="2072">
      <c r="A2072" s="39">
        <f>IF($B2072="","",COUNTA($B$4:$B2072))</f>
        <v/>
      </c>
      <c r="B2072" s="40" t="n"/>
      <c r="C2072" s="41" t="n"/>
      <c r="D2072" s="41" t="n"/>
      <c r="E2072" s="42" t="n"/>
      <c r="F2072" s="42" t="n"/>
      <c r="G2072" s="43">
        <f>IF($B2072="","",N($E2072)+N($F2072))</f>
        <v/>
      </c>
      <c r="H2072" s="42" t="n"/>
      <c r="I2072" s="43">
        <f>IF($B2072="","",N($G2072)-N($H2072))</f>
        <v/>
      </c>
    </row>
    <row r="2073">
      <c r="A2073" s="39">
        <f>IF($B2073="","",COUNTA($B$4:$B2073))</f>
        <v/>
      </c>
      <c r="B2073" s="45" t="n"/>
      <c r="C2073" s="46" t="n"/>
      <c r="D2073" s="46" t="n"/>
      <c r="E2073" s="47" t="n"/>
      <c r="F2073" s="47" t="n"/>
      <c r="G2073" s="43">
        <f>IF($B2073="","",N($E2073)+N($F2073))</f>
        <v/>
      </c>
      <c r="H2073" s="47" t="n"/>
      <c r="I2073" s="43">
        <f>IF($B2073="","",N($G2073)-N($H2073))</f>
        <v/>
      </c>
    </row>
    <row r="2074">
      <c r="A2074" s="39">
        <f>IF($B2074="","",COUNTA($B$4:$B2074))</f>
        <v/>
      </c>
      <c r="B2074" s="40" t="n"/>
      <c r="C2074" s="41" t="n"/>
      <c r="D2074" s="41" t="n"/>
      <c r="E2074" s="42" t="n"/>
      <c r="F2074" s="42" t="n"/>
      <c r="G2074" s="43">
        <f>IF($B2074="","",N($E2074)+N($F2074))</f>
        <v/>
      </c>
      <c r="H2074" s="42" t="n"/>
      <c r="I2074" s="43">
        <f>IF($B2074="","",N($G2074)-N($H2074))</f>
        <v/>
      </c>
    </row>
    <row r="2075">
      <c r="A2075" s="39">
        <f>IF($B2075="","",COUNTA($B$4:$B2075))</f>
        <v/>
      </c>
      <c r="B2075" s="45" t="n"/>
      <c r="C2075" s="46" t="n"/>
      <c r="D2075" s="46" t="n"/>
      <c r="E2075" s="47" t="n"/>
      <c r="F2075" s="47" t="n"/>
      <c r="G2075" s="43">
        <f>IF($B2075="","",N($E2075)+N($F2075))</f>
        <v/>
      </c>
      <c r="H2075" s="47" t="n"/>
      <c r="I2075" s="43">
        <f>IF($B2075="","",N($G2075)-N($H2075))</f>
        <v/>
      </c>
    </row>
    <row r="2076">
      <c r="A2076" s="39">
        <f>IF($B2076="","",COUNTA($B$4:$B2076))</f>
        <v/>
      </c>
      <c r="B2076" s="40" t="n"/>
      <c r="C2076" s="41" t="n"/>
      <c r="D2076" s="41" t="n"/>
      <c r="E2076" s="42" t="n"/>
      <c r="F2076" s="42" t="n"/>
      <c r="G2076" s="43">
        <f>IF($B2076="","",N($E2076)+N($F2076))</f>
        <v/>
      </c>
      <c r="H2076" s="42" t="n"/>
      <c r="I2076" s="43">
        <f>IF($B2076="","",N($G2076)-N($H2076))</f>
        <v/>
      </c>
    </row>
    <row r="2077">
      <c r="A2077" s="39">
        <f>IF($B2077="","",COUNTA($B$4:$B2077))</f>
        <v/>
      </c>
      <c r="B2077" s="45" t="n"/>
      <c r="C2077" s="46" t="n"/>
      <c r="D2077" s="46" t="n"/>
      <c r="E2077" s="47" t="n"/>
      <c r="F2077" s="47" t="n"/>
      <c r="G2077" s="43">
        <f>IF($B2077="","",N($E2077)+N($F2077))</f>
        <v/>
      </c>
      <c r="H2077" s="47" t="n"/>
      <c r="I2077" s="43">
        <f>IF($B2077="","",N($G2077)-N($H2077))</f>
        <v/>
      </c>
    </row>
    <row r="2078">
      <c r="A2078" s="39">
        <f>IF($B2078="","",COUNTA($B$4:$B2078))</f>
        <v/>
      </c>
      <c r="B2078" s="40" t="n"/>
      <c r="C2078" s="41" t="n"/>
      <c r="D2078" s="41" t="n"/>
      <c r="E2078" s="42" t="n"/>
      <c r="F2078" s="42" t="n"/>
      <c r="G2078" s="43">
        <f>IF($B2078="","",N($E2078)+N($F2078))</f>
        <v/>
      </c>
      <c r="H2078" s="42" t="n"/>
      <c r="I2078" s="43">
        <f>IF($B2078="","",N($G2078)-N($H2078))</f>
        <v/>
      </c>
    </row>
    <row r="2079">
      <c r="A2079" s="39">
        <f>IF($B2079="","",COUNTA($B$4:$B2079))</f>
        <v/>
      </c>
      <c r="B2079" s="45" t="n"/>
      <c r="C2079" s="46" t="n"/>
      <c r="D2079" s="46" t="n"/>
      <c r="E2079" s="47" t="n"/>
      <c r="F2079" s="47" t="n"/>
      <c r="G2079" s="43">
        <f>IF($B2079="","",N($E2079)+N($F2079))</f>
        <v/>
      </c>
      <c r="H2079" s="47" t="n"/>
      <c r="I2079" s="43">
        <f>IF($B2079="","",N($G2079)-N($H2079))</f>
        <v/>
      </c>
    </row>
    <row r="2080">
      <c r="A2080" s="39">
        <f>IF($B2080="","",COUNTA($B$4:$B2080))</f>
        <v/>
      </c>
      <c r="B2080" s="40" t="n"/>
      <c r="C2080" s="41" t="n"/>
      <c r="D2080" s="41" t="n"/>
      <c r="E2080" s="42" t="n"/>
      <c r="F2080" s="42" t="n"/>
      <c r="G2080" s="43">
        <f>IF($B2080="","",N($E2080)+N($F2080))</f>
        <v/>
      </c>
      <c r="H2080" s="42" t="n"/>
      <c r="I2080" s="43">
        <f>IF($B2080="","",N($G2080)-N($H2080))</f>
        <v/>
      </c>
    </row>
    <row r="2081">
      <c r="A2081" s="39">
        <f>IF($B2081="","",COUNTA($B$4:$B2081))</f>
        <v/>
      </c>
      <c r="B2081" s="45" t="n"/>
      <c r="C2081" s="46" t="n"/>
      <c r="D2081" s="46" t="n"/>
      <c r="E2081" s="47" t="n"/>
      <c r="F2081" s="47" t="n"/>
      <c r="G2081" s="43">
        <f>IF($B2081="","",N($E2081)+N($F2081))</f>
        <v/>
      </c>
      <c r="H2081" s="47" t="n"/>
      <c r="I2081" s="43">
        <f>IF($B2081="","",N($G2081)-N($H2081))</f>
        <v/>
      </c>
    </row>
    <row r="2082">
      <c r="A2082" s="39">
        <f>IF($B2082="","",COUNTA($B$4:$B2082))</f>
        <v/>
      </c>
      <c r="B2082" s="40" t="n"/>
      <c r="C2082" s="41" t="n"/>
      <c r="D2082" s="41" t="n"/>
      <c r="E2082" s="42" t="n"/>
      <c r="F2082" s="42" t="n"/>
      <c r="G2082" s="43">
        <f>IF($B2082="","",N($E2082)+N($F2082))</f>
        <v/>
      </c>
      <c r="H2082" s="42" t="n"/>
      <c r="I2082" s="43">
        <f>IF($B2082="","",N($G2082)-N($H2082))</f>
        <v/>
      </c>
    </row>
    <row r="2083">
      <c r="A2083" s="39">
        <f>IF($B2083="","",COUNTA($B$4:$B2083))</f>
        <v/>
      </c>
      <c r="B2083" s="45" t="n"/>
      <c r="C2083" s="46" t="n"/>
      <c r="D2083" s="46" t="n"/>
      <c r="E2083" s="47" t="n"/>
      <c r="F2083" s="47" t="n"/>
      <c r="G2083" s="43">
        <f>IF($B2083="","",N($E2083)+N($F2083))</f>
        <v/>
      </c>
      <c r="H2083" s="47" t="n"/>
      <c r="I2083" s="43">
        <f>IF($B2083="","",N($G2083)-N($H2083))</f>
        <v/>
      </c>
    </row>
    <row r="2084">
      <c r="A2084" s="39">
        <f>IF($B2084="","",COUNTA($B$4:$B2084))</f>
        <v/>
      </c>
      <c r="B2084" s="40" t="n"/>
      <c r="C2084" s="41" t="n"/>
      <c r="D2084" s="41" t="n"/>
      <c r="E2084" s="42" t="n"/>
      <c r="F2084" s="42" t="n"/>
      <c r="G2084" s="43">
        <f>IF($B2084="","",N($E2084)+N($F2084))</f>
        <v/>
      </c>
      <c r="H2084" s="42" t="n"/>
      <c r="I2084" s="43">
        <f>IF($B2084="","",N($G2084)-N($H2084))</f>
        <v/>
      </c>
    </row>
    <row r="2085">
      <c r="A2085" s="39">
        <f>IF($B2085="","",COUNTA($B$4:$B2085))</f>
        <v/>
      </c>
      <c r="B2085" s="45" t="n"/>
      <c r="C2085" s="46" t="n"/>
      <c r="D2085" s="46" t="n"/>
      <c r="E2085" s="47" t="n"/>
      <c r="F2085" s="47" t="n"/>
      <c r="G2085" s="43">
        <f>IF($B2085="","",N($E2085)+N($F2085))</f>
        <v/>
      </c>
      <c r="H2085" s="47" t="n"/>
      <c r="I2085" s="43">
        <f>IF($B2085="","",N($G2085)-N($H2085))</f>
        <v/>
      </c>
    </row>
    <row r="2086">
      <c r="A2086" s="39">
        <f>IF($B2086="","",COUNTA($B$4:$B2086))</f>
        <v/>
      </c>
      <c r="B2086" s="40" t="n"/>
      <c r="C2086" s="41" t="n"/>
      <c r="D2086" s="41" t="n"/>
      <c r="E2086" s="42" t="n"/>
      <c r="F2086" s="42" t="n"/>
      <c r="G2086" s="43">
        <f>IF($B2086="","",N($E2086)+N($F2086))</f>
        <v/>
      </c>
      <c r="H2086" s="42" t="n"/>
      <c r="I2086" s="43">
        <f>IF($B2086="","",N($G2086)-N($H2086))</f>
        <v/>
      </c>
    </row>
    <row r="2087">
      <c r="A2087" s="39">
        <f>IF($B2087="","",COUNTA($B$4:$B2087))</f>
        <v/>
      </c>
      <c r="B2087" s="45" t="n"/>
      <c r="C2087" s="46" t="n"/>
      <c r="D2087" s="46" t="n"/>
      <c r="E2087" s="47" t="n"/>
      <c r="F2087" s="47" t="n"/>
      <c r="G2087" s="43">
        <f>IF($B2087="","",N($E2087)+N($F2087))</f>
        <v/>
      </c>
      <c r="H2087" s="47" t="n"/>
      <c r="I2087" s="43">
        <f>IF($B2087="","",N($G2087)-N($H2087))</f>
        <v/>
      </c>
    </row>
    <row r="2088">
      <c r="A2088" s="39">
        <f>IF($B2088="","",COUNTA($B$4:$B2088))</f>
        <v/>
      </c>
      <c r="B2088" s="40" t="n"/>
      <c r="C2088" s="41" t="n"/>
      <c r="D2088" s="41" t="n"/>
      <c r="E2088" s="42" t="n"/>
      <c r="F2088" s="42" t="n"/>
      <c r="G2088" s="43">
        <f>IF($B2088="","",N($E2088)+N($F2088))</f>
        <v/>
      </c>
      <c r="H2088" s="42" t="n"/>
      <c r="I2088" s="43">
        <f>IF($B2088="","",N($G2088)-N($H2088))</f>
        <v/>
      </c>
    </row>
    <row r="2089">
      <c r="A2089" s="39">
        <f>IF($B2089="","",COUNTA($B$4:$B2089))</f>
        <v/>
      </c>
      <c r="B2089" s="45" t="n"/>
      <c r="C2089" s="46" t="n"/>
      <c r="D2089" s="46" t="n"/>
      <c r="E2089" s="47" t="n"/>
      <c r="F2089" s="47" t="n"/>
      <c r="G2089" s="43">
        <f>IF($B2089="","",N($E2089)+N($F2089))</f>
        <v/>
      </c>
      <c r="H2089" s="47" t="n"/>
      <c r="I2089" s="43">
        <f>IF($B2089="","",N($G2089)-N($H2089))</f>
        <v/>
      </c>
    </row>
    <row r="2090">
      <c r="A2090" s="39">
        <f>IF($B2090="","",COUNTA($B$4:$B2090))</f>
        <v/>
      </c>
      <c r="B2090" s="40" t="n"/>
      <c r="C2090" s="41" t="n"/>
      <c r="D2090" s="41" t="n"/>
      <c r="E2090" s="42" t="n"/>
      <c r="F2090" s="42" t="n"/>
      <c r="G2090" s="43">
        <f>IF($B2090="","",N($E2090)+N($F2090))</f>
        <v/>
      </c>
      <c r="H2090" s="42" t="n"/>
      <c r="I2090" s="43">
        <f>IF($B2090="","",N($G2090)-N($H2090))</f>
        <v/>
      </c>
    </row>
    <row r="2091">
      <c r="A2091" s="39">
        <f>IF($B2091="","",COUNTA($B$4:$B2091))</f>
        <v/>
      </c>
      <c r="B2091" s="45" t="n"/>
      <c r="C2091" s="46" t="n"/>
      <c r="D2091" s="46" t="n"/>
      <c r="E2091" s="47" t="n"/>
      <c r="F2091" s="47" t="n"/>
      <c r="G2091" s="43">
        <f>IF($B2091="","",N($E2091)+N($F2091))</f>
        <v/>
      </c>
      <c r="H2091" s="47" t="n"/>
      <c r="I2091" s="43">
        <f>IF($B2091="","",N($G2091)-N($H2091))</f>
        <v/>
      </c>
    </row>
    <row r="2092">
      <c r="A2092" s="39">
        <f>IF($B2092="","",COUNTA($B$4:$B2092))</f>
        <v/>
      </c>
      <c r="B2092" s="40" t="n"/>
      <c r="C2092" s="41" t="n"/>
      <c r="D2092" s="41" t="n"/>
      <c r="E2092" s="42" t="n"/>
      <c r="F2092" s="42" t="n"/>
      <c r="G2092" s="43">
        <f>IF($B2092="","",N($E2092)+N($F2092))</f>
        <v/>
      </c>
      <c r="H2092" s="42" t="n"/>
      <c r="I2092" s="43">
        <f>IF($B2092="","",N($G2092)-N($H2092))</f>
        <v/>
      </c>
    </row>
    <row r="2093">
      <c r="A2093" s="39">
        <f>IF($B2093="","",COUNTA($B$4:$B2093))</f>
        <v/>
      </c>
      <c r="B2093" s="45" t="n"/>
      <c r="C2093" s="46" t="n"/>
      <c r="D2093" s="46" t="n"/>
      <c r="E2093" s="47" t="n"/>
      <c r="F2093" s="47" t="n"/>
      <c r="G2093" s="43">
        <f>IF($B2093="","",N($E2093)+N($F2093))</f>
        <v/>
      </c>
      <c r="H2093" s="47" t="n"/>
      <c r="I2093" s="43">
        <f>IF($B2093="","",N($G2093)-N($H2093))</f>
        <v/>
      </c>
    </row>
    <row r="2094">
      <c r="A2094" s="39">
        <f>IF($B2094="","",COUNTA($B$4:$B2094))</f>
        <v/>
      </c>
      <c r="B2094" s="40" t="n"/>
      <c r="C2094" s="41" t="n"/>
      <c r="D2094" s="41" t="n"/>
      <c r="E2094" s="42" t="n"/>
      <c r="F2094" s="42" t="n"/>
      <c r="G2094" s="43">
        <f>IF($B2094="","",N($E2094)+N($F2094))</f>
        <v/>
      </c>
      <c r="H2094" s="42" t="n"/>
      <c r="I2094" s="43">
        <f>IF($B2094="","",N($G2094)-N($H2094))</f>
        <v/>
      </c>
    </row>
    <row r="2095">
      <c r="A2095" s="39">
        <f>IF($B2095="","",COUNTA($B$4:$B2095))</f>
        <v/>
      </c>
      <c r="B2095" s="45" t="n"/>
      <c r="C2095" s="46" t="n"/>
      <c r="D2095" s="46" t="n"/>
      <c r="E2095" s="47" t="n"/>
      <c r="F2095" s="47" t="n"/>
      <c r="G2095" s="43">
        <f>IF($B2095="","",N($E2095)+N($F2095))</f>
        <v/>
      </c>
      <c r="H2095" s="47" t="n"/>
      <c r="I2095" s="43">
        <f>IF($B2095="","",N($G2095)-N($H2095))</f>
        <v/>
      </c>
    </row>
    <row r="2096">
      <c r="A2096" s="39">
        <f>IF($B2096="","",COUNTA($B$4:$B2096))</f>
        <v/>
      </c>
      <c r="B2096" s="40" t="n"/>
      <c r="C2096" s="41" t="n"/>
      <c r="D2096" s="41" t="n"/>
      <c r="E2096" s="42" t="n"/>
      <c r="F2096" s="42" t="n"/>
      <c r="G2096" s="43">
        <f>IF($B2096="","",N($E2096)+N($F2096))</f>
        <v/>
      </c>
      <c r="H2096" s="42" t="n"/>
      <c r="I2096" s="43">
        <f>IF($B2096="","",N($G2096)-N($H2096))</f>
        <v/>
      </c>
    </row>
    <row r="2097">
      <c r="A2097" s="39">
        <f>IF($B2097="","",COUNTA($B$4:$B2097))</f>
        <v/>
      </c>
      <c r="B2097" s="45" t="n"/>
      <c r="C2097" s="46" t="n"/>
      <c r="D2097" s="46" t="n"/>
      <c r="E2097" s="47" t="n"/>
      <c r="F2097" s="47" t="n"/>
      <c r="G2097" s="43">
        <f>IF($B2097="","",N($E2097)+N($F2097))</f>
        <v/>
      </c>
      <c r="H2097" s="47" t="n"/>
      <c r="I2097" s="43">
        <f>IF($B2097="","",N($G2097)-N($H2097))</f>
        <v/>
      </c>
    </row>
    <row r="2098">
      <c r="A2098" s="39">
        <f>IF($B2098="","",COUNTA($B$4:$B2098))</f>
        <v/>
      </c>
      <c r="B2098" s="40" t="n"/>
      <c r="C2098" s="41" t="n"/>
      <c r="D2098" s="41" t="n"/>
      <c r="E2098" s="42" t="n"/>
      <c r="F2098" s="42" t="n"/>
      <c r="G2098" s="43">
        <f>IF($B2098="","",N($E2098)+N($F2098))</f>
        <v/>
      </c>
      <c r="H2098" s="42" t="n"/>
      <c r="I2098" s="43">
        <f>IF($B2098="","",N($G2098)-N($H2098))</f>
        <v/>
      </c>
    </row>
    <row r="2099">
      <c r="A2099" s="39">
        <f>IF($B2099="","",COUNTA($B$4:$B2099))</f>
        <v/>
      </c>
      <c r="B2099" s="45" t="n"/>
      <c r="C2099" s="46" t="n"/>
      <c r="D2099" s="46" t="n"/>
      <c r="E2099" s="47" t="n"/>
      <c r="F2099" s="47" t="n"/>
      <c r="G2099" s="43">
        <f>IF($B2099="","",N($E2099)+N($F2099))</f>
        <v/>
      </c>
      <c r="H2099" s="47" t="n"/>
      <c r="I2099" s="43">
        <f>IF($B2099="","",N($G2099)-N($H2099))</f>
        <v/>
      </c>
    </row>
    <row r="2100">
      <c r="A2100" s="39">
        <f>IF($B2100="","",COUNTA($B$4:$B2100))</f>
        <v/>
      </c>
      <c r="B2100" s="40" t="n"/>
      <c r="C2100" s="41" t="n"/>
      <c r="D2100" s="41" t="n"/>
      <c r="E2100" s="42" t="n"/>
      <c r="F2100" s="42" t="n"/>
      <c r="G2100" s="43">
        <f>IF($B2100="","",N($E2100)+N($F2100))</f>
        <v/>
      </c>
      <c r="H2100" s="42" t="n"/>
      <c r="I2100" s="43">
        <f>IF($B2100="","",N($G2100)-N($H2100))</f>
        <v/>
      </c>
    </row>
    <row r="2101">
      <c r="A2101" s="39">
        <f>IF($B2101="","",COUNTA($B$4:$B2101))</f>
        <v/>
      </c>
      <c r="B2101" s="45" t="n"/>
      <c r="C2101" s="46" t="n"/>
      <c r="D2101" s="46" t="n"/>
      <c r="E2101" s="47" t="n"/>
      <c r="F2101" s="47" t="n"/>
      <c r="G2101" s="43">
        <f>IF($B2101="","",N($E2101)+N($F2101))</f>
        <v/>
      </c>
      <c r="H2101" s="47" t="n"/>
      <c r="I2101" s="43">
        <f>IF($B2101="","",N($G2101)-N($H2101))</f>
        <v/>
      </c>
    </row>
    <row r="2102">
      <c r="A2102" s="39">
        <f>IF($B2102="","",COUNTA($B$4:$B2102))</f>
        <v/>
      </c>
      <c r="B2102" s="40" t="n"/>
      <c r="C2102" s="41" t="n"/>
      <c r="D2102" s="41" t="n"/>
      <c r="E2102" s="42" t="n"/>
      <c r="F2102" s="42" t="n"/>
      <c r="G2102" s="43">
        <f>IF($B2102="","",N($E2102)+N($F2102))</f>
        <v/>
      </c>
      <c r="H2102" s="42" t="n"/>
      <c r="I2102" s="43">
        <f>IF($B2102="","",N($G2102)-N($H2102))</f>
        <v/>
      </c>
    </row>
    <row r="2103">
      <c r="A2103" s="39">
        <f>IF($B2103="","",COUNTA($B$4:$B2103))</f>
        <v/>
      </c>
      <c r="B2103" s="45" t="n"/>
      <c r="C2103" s="46" t="n"/>
      <c r="D2103" s="46" t="n"/>
      <c r="E2103" s="47" t="n"/>
      <c r="F2103" s="47" t="n"/>
      <c r="G2103" s="43">
        <f>IF($B2103="","",N($E2103)+N($F2103))</f>
        <v/>
      </c>
      <c r="H2103" s="47" t="n"/>
      <c r="I2103" s="43">
        <f>IF($B2103="","",N($G2103)-N($H2103))</f>
        <v/>
      </c>
    </row>
    <row r="2104">
      <c r="A2104" s="39">
        <f>IF($B2104="","",COUNTA($B$4:$B2104))</f>
        <v/>
      </c>
      <c r="B2104" s="40" t="n"/>
      <c r="C2104" s="41" t="n"/>
      <c r="D2104" s="41" t="n"/>
      <c r="E2104" s="42" t="n"/>
      <c r="F2104" s="42" t="n"/>
      <c r="G2104" s="43">
        <f>IF($B2104="","",N($E2104)+N($F2104))</f>
        <v/>
      </c>
      <c r="H2104" s="42" t="n"/>
      <c r="I2104" s="43">
        <f>IF($B2104="","",N($G2104)-N($H2104))</f>
        <v/>
      </c>
    </row>
    <row r="2105">
      <c r="A2105" s="39">
        <f>IF($B2105="","",COUNTA($B$4:$B2105))</f>
        <v/>
      </c>
      <c r="B2105" s="45" t="n"/>
      <c r="C2105" s="46" t="n"/>
      <c r="D2105" s="46" t="n"/>
      <c r="E2105" s="47" t="n"/>
      <c r="F2105" s="47" t="n"/>
      <c r="G2105" s="43">
        <f>IF($B2105="","",N($E2105)+N($F2105))</f>
        <v/>
      </c>
      <c r="H2105" s="47" t="n"/>
      <c r="I2105" s="43">
        <f>IF($B2105="","",N($G2105)-N($H2105))</f>
        <v/>
      </c>
    </row>
    <row r="2106">
      <c r="A2106" s="39">
        <f>IF($B2106="","",COUNTA($B$4:$B2106))</f>
        <v/>
      </c>
      <c r="B2106" s="40" t="n"/>
      <c r="C2106" s="41" t="n"/>
      <c r="D2106" s="41" t="n"/>
      <c r="E2106" s="42" t="n"/>
      <c r="F2106" s="42" t="n"/>
      <c r="G2106" s="43">
        <f>IF($B2106="","",N($E2106)+N($F2106))</f>
        <v/>
      </c>
      <c r="H2106" s="42" t="n"/>
      <c r="I2106" s="43">
        <f>IF($B2106="","",N($G2106)-N($H2106))</f>
        <v/>
      </c>
    </row>
    <row r="2107">
      <c r="A2107" s="39">
        <f>IF($B2107="","",COUNTA($B$4:$B2107))</f>
        <v/>
      </c>
      <c r="B2107" s="45" t="n"/>
      <c r="C2107" s="46" t="n"/>
      <c r="D2107" s="46" t="n"/>
      <c r="E2107" s="47" t="n"/>
      <c r="F2107" s="47" t="n"/>
      <c r="G2107" s="43">
        <f>IF($B2107="","",N($E2107)+N($F2107))</f>
        <v/>
      </c>
      <c r="H2107" s="47" t="n"/>
      <c r="I2107" s="43">
        <f>IF($B2107="","",N($G2107)-N($H2107))</f>
        <v/>
      </c>
    </row>
    <row r="2108">
      <c r="A2108" s="39">
        <f>IF($B2108="","",COUNTA($B$4:$B2108))</f>
        <v/>
      </c>
      <c r="B2108" s="40" t="n"/>
      <c r="C2108" s="41" t="n"/>
      <c r="D2108" s="41" t="n"/>
      <c r="E2108" s="42" t="n"/>
      <c r="F2108" s="42" t="n"/>
      <c r="G2108" s="43">
        <f>IF($B2108="","",N($E2108)+N($F2108))</f>
        <v/>
      </c>
      <c r="H2108" s="42" t="n"/>
      <c r="I2108" s="43">
        <f>IF($B2108="","",N($G2108)-N($H2108))</f>
        <v/>
      </c>
    </row>
    <row r="2109">
      <c r="A2109" s="39">
        <f>IF($B2109="","",COUNTA($B$4:$B2109))</f>
        <v/>
      </c>
      <c r="B2109" s="45" t="n"/>
      <c r="C2109" s="46" t="n"/>
      <c r="D2109" s="46" t="n"/>
      <c r="E2109" s="47" t="n"/>
      <c r="F2109" s="47" t="n"/>
      <c r="G2109" s="43">
        <f>IF($B2109="","",N($E2109)+N($F2109))</f>
        <v/>
      </c>
      <c r="H2109" s="47" t="n"/>
      <c r="I2109" s="43">
        <f>IF($B2109="","",N($G2109)-N($H2109))</f>
        <v/>
      </c>
    </row>
    <row r="2110">
      <c r="A2110" s="39">
        <f>IF($B2110="","",COUNTA($B$4:$B2110))</f>
        <v/>
      </c>
      <c r="B2110" s="40" t="n"/>
      <c r="C2110" s="41" t="n"/>
      <c r="D2110" s="41" t="n"/>
      <c r="E2110" s="42" t="n"/>
      <c r="F2110" s="42" t="n"/>
      <c r="G2110" s="43">
        <f>IF($B2110="","",N($E2110)+N($F2110))</f>
        <v/>
      </c>
      <c r="H2110" s="42" t="n"/>
      <c r="I2110" s="43">
        <f>IF($B2110="","",N($G2110)-N($H2110))</f>
        <v/>
      </c>
    </row>
    <row r="2111">
      <c r="A2111" s="39">
        <f>IF($B2111="","",COUNTA($B$4:$B2111))</f>
        <v/>
      </c>
      <c r="B2111" s="45" t="n"/>
      <c r="C2111" s="46" t="n"/>
      <c r="D2111" s="46" t="n"/>
      <c r="E2111" s="47" t="n"/>
      <c r="F2111" s="47" t="n"/>
      <c r="G2111" s="43">
        <f>IF($B2111="","",N($E2111)+N($F2111))</f>
        <v/>
      </c>
      <c r="H2111" s="47" t="n"/>
      <c r="I2111" s="43">
        <f>IF($B2111="","",N($G2111)-N($H2111))</f>
        <v/>
      </c>
    </row>
    <row r="2112">
      <c r="A2112" s="39">
        <f>IF($B2112="","",COUNTA($B$4:$B2112))</f>
        <v/>
      </c>
      <c r="B2112" s="40" t="n"/>
      <c r="C2112" s="41" t="n"/>
      <c r="D2112" s="41" t="n"/>
      <c r="E2112" s="42" t="n"/>
      <c r="F2112" s="42" t="n"/>
      <c r="G2112" s="43">
        <f>IF($B2112="","",N($E2112)+N($F2112))</f>
        <v/>
      </c>
      <c r="H2112" s="42" t="n"/>
      <c r="I2112" s="43">
        <f>IF($B2112="","",N($G2112)-N($H2112))</f>
        <v/>
      </c>
    </row>
    <row r="2113">
      <c r="A2113" s="39">
        <f>IF($B2113="","",COUNTA($B$4:$B2113))</f>
        <v/>
      </c>
      <c r="B2113" s="45" t="n"/>
      <c r="C2113" s="46" t="n"/>
      <c r="D2113" s="46" t="n"/>
      <c r="E2113" s="47" t="n"/>
      <c r="F2113" s="47" t="n"/>
      <c r="G2113" s="43">
        <f>IF($B2113="","",N($E2113)+N($F2113))</f>
        <v/>
      </c>
      <c r="H2113" s="47" t="n"/>
      <c r="I2113" s="43">
        <f>IF($B2113="","",N($G2113)-N($H2113))</f>
        <v/>
      </c>
    </row>
    <row r="2114">
      <c r="A2114" s="39">
        <f>IF($B2114="","",COUNTA($B$4:$B2114))</f>
        <v/>
      </c>
      <c r="B2114" s="40" t="n"/>
      <c r="C2114" s="41" t="n"/>
      <c r="D2114" s="41" t="n"/>
      <c r="E2114" s="42" t="n"/>
      <c r="F2114" s="42" t="n"/>
      <c r="G2114" s="43">
        <f>IF($B2114="","",N($E2114)+N($F2114))</f>
        <v/>
      </c>
      <c r="H2114" s="42" t="n"/>
      <c r="I2114" s="43">
        <f>IF($B2114="","",N($G2114)-N($H2114))</f>
        <v/>
      </c>
    </row>
    <row r="2115">
      <c r="A2115" s="39">
        <f>IF($B2115="","",COUNTA($B$4:$B2115))</f>
        <v/>
      </c>
      <c r="B2115" s="45" t="n"/>
      <c r="C2115" s="46" t="n"/>
      <c r="D2115" s="46" t="n"/>
      <c r="E2115" s="47" t="n"/>
      <c r="F2115" s="47" t="n"/>
      <c r="G2115" s="43">
        <f>IF($B2115="","",N($E2115)+N($F2115))</f>
        <v/>
      </c>
      <c r="H2115" s="47" t="n"/>
      <c r="I2115" s="43">
        <f>IF($B2115="","",N($G2115)-N($H2115))</f>
        <v/>
      </c>
    </row>
    <row r="2116">
      <c r="A2116" s="39">
        <f>IF($B2116="","",COUNTA($B$4:$B2116))</f>
        <v/>
      </c>
      <c r="B2116" s="40" t="n"/>
      <c r="C2116" s="41" t="n"/>
      <c r="D2116" s="41" t="n"/>
      <c r="E2116" s="42" t="n"/>
      <c r="F2116" s="42" t="n"/>
      <c r="G2116" s="43">
        <f>IF($B2116="","",N($E2116)+N($F2116))</f>
        <v/>
      </c>
      <c r="H2116" s="42" t="n"/>
      <c r="I2116" s="43">
        <f>IF($B2116="","",N($G2116)-N($H2116))</f>
        <v/>
      </c>
    </row>
    <row r="2117">
      <c r="A2117" s="39">
        <f>IF($B2117="","",COUNTA($B$4:$B2117))</f>
        <v/>
      </c>
      <c r="B2117" s="45" t="n"/>
      <c r="C2117" s="46" t="n"/>
      <c r="D2117" s="46" t="n"/>
      <c r="E2117" s="47" t="n"/>
      <c r="F2117" s="47" t="n"/>
      <c r="G2117" s="43">
        <f>IF($B2117="","",N($E2117)+N($F2117))</f>
        <v/>
      </c>
      <c r="H2117" s="47" t="n"/>
      <c r="I2117" s="43">
        <f>IF($B2117="","",N($G2117)-N($H2117))</f>
        <v/>
      </c>
    </row>
    <row r="2118">
      <c r="A2118" s="39">
        <f>IF($B2118="","",COUNTA($B$4:$B2118))</f>
        <v/>
      </c>
      <c r="B2118" s="40" t="n"/>
      <c r="C2118" s="41" t="n"/>
      <c r="D2118" s="41" t="n"/>
      <c r="E2118" s="42" t="n"/>
      <c r="F2118" s="42" t="n"/>
      <c r="G2118" s="43">
        <f>IF($B2118="","",N($E2118)+N($F2118))</f>
        <v/>
      </c>
      <c r="H2118" s="42" t="n"/>
      <c r="I2118" s="43">
        <f>IF($B2118="","",N($G2118)-N($H2118))</f>
        <v/>
      </c>
    </row>
    <row r="2119">
      <c r="A2119" s="39">
        <f>IF($B2119="","",COUNTA($B$4:$B2119))</f>
        <v/>
      </c>
      <c r="B2119" s="45" t="n"/>
      <c r="C2119" s="46" t="n"/>
      <c r="D2119" s="46" t="n"/>
      <c r="E2119" s="47" t="n"/>
      <c r="F2119" s="47" t="n"/>
      <c r="G2119" s="43">
        <f>IF($B2119="","",N($E2119)+N($F2119))</f>
        <v/>
      </c>
      <c r="H2119" s="47" t="n"/>
      <c r="I2119" s="43">
        <f>IF($B2119="","",N($G2119)-N($H2119))</f>
        <v/>
      </c>
    </row>
    <row r="2120">
      <c r="A2120" s="39">
        <f>IF($B2120="","",COUNTA($B$4:$B2120))</f>
        <v/>
      </c>
      <c r="B2120" s="40" t="n"/>
      <c r="C2120" s="41" t="n"/>
      <c r="D2120" s="41" t="n"/>
      <c r="E2120" s="42" t="n"/>
      <c r="F2120" s="42" t="n"/>
      <c r="G2120" s="43">
        <f>IF($B2120="","",N($E2120)+N($F2120))</f>
        <v/>
      </c>
      <c r="H2120" s="42" t="n"/>
      <c r="I2120" s="43">
        <f>IF($B2120="","",N($G2120)-N($H2120))</f>
        <v/>
      </c>
    </row>
    <row r="2121">
      <c r="A2121" s="39">
        <f>IF($B2121="","",COUNTA($B$4:$B2121))</f>
        <v/>
      </c>
      <c r="B2121" s="45" t="n"/>
      <c r="C2121" s="46" t="n"/>
      <c r="D2121" s="46" t="n"/>
      <c r="E2121" s="47" t="n"/>
      <c r="F2121" s="47" t="n"/>
      <c r="G2121" s="43">
        <f>IF($B2121="","",N($E2121)+N($F2121))</f>
        <v/>
      </c>
      <c r="H2121" s="47" t="n"/>
      <c r="I2121" s="43">
        <f>IF($B2121="","",N($G2121)-N($H2121))</f>
        <v/>
      </c>
    </row>
    <row r="2122">
      <c r="A2122" s="39">
        <f>IF($B2122="","",COUNTA($B$4:$B2122))</f>
        <v/>
      </c>
      <c r="B2122" s="40" t="n"/>
      <c r="C2122" s="41" t="n"/>
      <c r="D2122" s="41" t="n"/>
      <c r="E2122" s="42" t="n"/>
      <c r="F2122" s="42" t="n"/>
      <c r="G2122" s="43">
        <f>IF($B2122="","",N($E2122)+N($F2122))</f>
        <v/>
      </c>
      <c r="H2122" s="42" t="n"/>
      <c r="I2122" s="43">
        <f>IF($B2122="","",N($G2122)-N($H2122))</f>
        <v/>
      </c>
    </row>
    <row r="2123">
      <c r="A2123" s="39">
        <f>IF($B2123="","",COUNTA($B$4:$B2123))</f>
        <v/>
      </c>
      <c r="B2123" s="45" t="n"/>
      <c r="C2123" s="46" t="n"/>
      <c r="D2123" s="46" t="n"/>
      <c r="E2123" s="47" t="n"/>
      <c r="F2123" s="47" t="n"/>
      <c r="G2123" s="43">
        <f>IF($B2123="","",N($E2123)+N($F2123))</f>
        <v/>
      </c>
      <c r="H2123" s="47" t="n"/>
      <c r="I2123" s="43">
        <f>IF($B2123="","",N($G2123)-N($H2123))</f>
        <v/>
      </c>
    </row>
    <row r="2124">
      <c r="A2124" s="39">
        <f>IF($B2124="","",COUNTA($B$4:$B2124))</f>
        <v/>
      </c>
      <c r="B2124" s="40" t="n"/>
      <c r="C2124" s="41" t="n"/>
      <c r="D2124" s="41" t="n"/>
      <c r="E2124" s="42" t="n"/>
      <c r="F2124" s="42" t="n"/>
      <c r="G2124" s="43">
        <f>IF($B2124="","",N($E2124)+N($F2124))</f>
        <v/>
      </c>
      <c r="H2124" s="42" t="n"/>
      <c r="I2124" s="43">
        <f>IF($B2124="","",N($G2124)-N($H2124))</f>
        <v/>
      </c>
    </row>
    <row r="2125">
      <c r="A2125" s="39">
        <f>IF($B2125="","",COUNTA($B$4:$B2125))</f>
        <v/>
      </c>
      <c r="B2125" s="45" t="n"/>
      <c r="C2125" s="46" t="n"/>
      <c r="D2125" s="46" t="n"/>
      <c r="E2125" s="47" t="n"/>
      <c r="F2125" s="47" t="n"/>
      <c r="G2125" s="43">
        <f>IF($B2125="","",N($E2125)+N($F2125))</f>
        <v/>
      </c>
      <c r="H2125" s="47" t="n"/>
      <c r="I2125" s="43">
        <f>IF($B2125="","",N($G2125)-N($H2125))</f>
        <v/>
      </c>
    </row>
    <row r="2126">
      <c r="A2126" s="39">
        <f>IF($B2126="","",COUNTA($B$4:$B2126))</f>
        <v/>
      </c>
      <c r="B2126" s="40" t="n"/>
      <c r="C2126" s="41" t="n"/>
      <c r="D2126" s="41" t="n"/>
      <c r="E2126" s="42" t="n"/>
      <c r="F2126" s="42" t="n"/>
      <c r="G2126" s="43">
        <f>IF($B2126="","",N($E2126)+N($F2126))</f>
        <v/>
      </c>
      <c r="H2126" s="42" t="n"/>
      <c r="I2126" s="43">
        <f>IF($B2126="","",N($G2126)-N($H2126))</f>
        <v/>
      </c>
    </row>
    <row r="2127">
      <c r="A2127" s="39">
        <f>IF($B2127="","",COUNTA($B$4:$B2127))</f>
        <v/>
      </c>
      <c r="B2127" s="45" t="n"/>
      <c r="C2127" s="46" t="n"/>
      <c r="D2127" s="46" t="n"/>
      <c r="E2127" s="47" t="n"/>
      <c r="F2127" s="47" t="n"/>
      <c r="G2127" s="43">
        <f>IF($B2127="","",N($E2127)+N($F2127))</f>
        <v/>
      </c>
      <c r="H2127" s="47" t="n"/>
      <c r="I2127" s="43">
        <f>IF($B2127="","",N($G2127)-N($H2127))</f>
        <v/>
      </c>
    </row>
    <row r="2128">
      <c r="A2128" s="39">
        <f>IF($B2128="","",COUNTA($B$4:$B2128))</f>
        <v/>
      </c>
      <c r="B2128" s="40" t="n"/>
      <c r="C2128" s="41" t="n"/>
      <c r="D2128" s="41" t="n"/>
      <c r="E2128" s="42" t="n"/>
      <c r="F2128" s="42" t="n"/>
      <c r="G2128" s="43">
        <f>IF($B2128="","",N($E2128)+N($F2128))</f>
        <v/>
      </c>
      <c r="H2128" s="42" t="n"/>
      <c r="I2128" s="43">
        <f>IF($B2128="","",N($G2128)-N($H2128))</f>
        <v/>
      </c>
    </row>
    <row r="2129">
      <c r="A2129" s="39">
        <f>IF($B2129="","",COUNTA($B$4:$B2129))</f>
        <v/>
      </c>
      <c r="B2129" s="45" t="n"/>
      <c r="C2129" s="46" t="n"/>
      <c r="D2129" s="46" t="n"/>
      <c r="E2129" s="47" t="n"/>
      <c r="F2129" s="47" t="n"/>
      <c r="G2129" s="43">
        <f>IF($B2129="","",N($E2129)+N($F2129))</f>
        <v/>
      </c>
      <c r="H2129" s="47" t="n"/>
      <c r="I2129" s="43">
        <f>IF($B2129="","",N($G2129)-N($H2129))</f>
        <v/>
      </c>
    </row>
    <row r="2130">
      <c r="A2130" s="39">
        <f>IF($B2130="","",COUNTA($B$4:$B2130))</f>
        <v/>
      </c>
      <c r="B2130" s="40" t="n"/>
      <c r="C2130" s="41" t="n"/>
      <c r="D2130" s="41" t="n"/>
      <c r="E2130" s="42" t="n"/>
      <c r="F2130" s="42" t="n"/>
      <c r="G2130" s="43">
        <f>IF($B2130="","",N($E2130)+N($F2130))</f>
        <v/>
      </c>
      <c r="H2130" s="42" t="n"/>
      <c r="I2130" s="43">
        <f>IF($B2130="","",N($G2130)-N($H2130))</f>
        <v/>
      </c>
    </row>
    <row r="2131">
      <c r="A2131" s="39">
        <f>IF($B2131="","",COUNTA($B$4:$B2131))</f>
        <v/>
      </c>
      <c r="B2131" s="45" t="n"/>
      <c r="C2131" s="46" t="n"/>
      <c r="D2131" s="46" t="n"/>
      <c r="E2131" s="47" t="n"/>
      <c r="F2131" s="47" t="n"/>
      <c r="G2131" s="43">
        <f>IF($B2131="","",N($E2131)+N($F2131))</f>
        <v/>
      </c>
      <c r="H2131" s="47" t="n"/>
      <c r="I2131" s="43">
        <f>IF($B2131="","",N($G2131)-N($H2131))</f>
        <v/>
      </c>
    </row>
    <row r="2132">
      <c r="A2132" s="39">
        <f>IF($B2132="","",COUNTA($B$4:$B2132))</f>
        <v/>
      </c>
      <c r="B2132" s="40" t="n"/>
      <c r="C2132" s="41" t="n"/>
      <c r="D2132" s="41" t="n"/>
      <c r="E2132" s="42" t="n"/>
      <c r="F2132" s="42" t="n"/>
      <c r="G2132" s="43">
        <f>IF($B2132="","",N($E2132)+N($F2132))</f>
        <v/>
      </c>
      <c r="H2132" s="42" t="n"/>
      <c r="I2132" s="43">
        <f>IF($B2132="","",N($G2132)-N($H2132))</f>
        <v/>
      </c>
    </row>
    <row r="2133">
      <c r="A2133" s="39">
        <f>IF($B2133="","",COUNTA($B$4:$B2133))</f>
        <v/>
      </c>
      <c r="B2133" s="45" t="n"/>
      <c r="C2133" s="46" t="n"/>
      <c r="D2133" s="46" t="n"/>
      <c r="E2133" s="47" t="n"/>
      <c r="F2133" s="47" t="n"/>
      <c r="G2133" s="43">
        <f>IF($B2133="","",N($E2133)+N($F2133))</f>
        <v/>
      </c>
      <c r="H2133" s="47" t="n"/>
      <c r="I2133" s="43">
        <f>IF($B2133="","",N($G2133)-N($H2133))</f>
        <v/>
      </c>
    </row>
    <row r="2134">
      <c r="A2134" s="39">
        <f>IF($B2134="","",COUNTA($B$4:$B2134))</f>
        <v/>
      </c>
      <c r="B2134" s="40" t="n"/>
      <c r="C2134" s="41" t="n"/>
      <c r="D2134" s="41" t="n"/>
      <c r="E2134" s="42" t="n"/>
      <c r="F2134" s="42" t="n"/>
      <c r="G2134" s="43">
        <f>IF($B2134="","",N($E2134)+N($F2134))</f>
        <v/>
      </c>
      <c r="H2134" s="42" t="n"/>
      <c r="I2134" s="43">
        <f>IF($B2134="","",N($G2134)-N($H2134))</f>
        <v/>
      </c>
    </row>
    <row r="2135">
      <c r="A2135" s="39">
        <f>IF($B2135="","",COUNTA($B$4:$B2135))</f>
        <v/>
      </c>
      <c r="B2135" s="45" t="n"/>
      <c r="C2135" s="46" t="n"/>
      <c r="D2135" s="46" t="n"/>
      <c r="E2135" s="47" t="n"/>
      <c r="F2135" s="47" t="n"/>
      <c r="G2135" s="43">
        <f>IF($B2135="","",N($E2135)+N($F2135))</f>
        <v/>
      </c>
      <c r="H2135" s="47" t="n"/>
      <c r="I2135" s="43">
        <f>IF($B2135="","",N($G2135)-N($H2135))</f>
        <v/>
      </c>
    </row>
    <row r="2136">
      <c r="A2136" s="39">
        <f>IF($B2136="","",COUNTA($B$4:$B2136))</f>
        <v/>
      </c>
      <c r="B2136" s="40" t="n"/>
      <c r="C2136" s="41" t="n"/>
      <c r="D2136" s="41" t="n"/>
      <c r="E2136" s="42" t="n"/>
      <c r="F2136" s="42" t="n"/>
      <c r="G2136" s="43">
        <f>IF($B2136="","",N($E2136)+N($F2136))</f>
        <v/>
      </c>
      <c r="H2136" s="42" t="n"/>
      <c r="I2136" s="43">
        <f>IF($B2136="","",N($G2136)-N($H2136))</f>
        <v/>
      </c>
    </row>
    <row r="2137">
      <c r="A2137" s="39">
        <f>IF($B2137="","",COUNTA($B$4:$B2137))</f>
        <v/>
      </c>
      <c r="B2137" s="45" t="n"/>
      <c r="C2137" s="46" t="n"/>
      <c r="D2137" s="46" t="n"/>
      <c r="E2137" s="47" t="n"/>
      <c r="F2137" s="47" t="n"/>
      <c r="G2137" s="43">
        <f>IF($B2137="","",N($E2137)+N($F2137))</f>
        <v/>
      </c>
      <c r="H2137" s="47" t="n"/>
      <c r="I2137" s="43">
        <f>IF($B2137="","",N($G2137)-N($H2137))</f>
        <v/>
      </c>
    </row>
    <row r="2138">
      <c r="A2138" s="39">
        <f>IF($B2138="","",COUNTA($B$4:$B2138))</f>
        <v/>
      </c>
      <c r="B2138" s="40" t="n"/>
      <c r="C2138" s="41" t="n"/>
      <c r="D2138" s="41" t="n"/>
      <c r="E2138" s="42" t="n"/>
      <c r="F2138" s="42" t="n"/>
      <c r="G2138" s="43">
        <f>IF($B2138="","",N($E2138)+N($F2138))</f>
        <v/>
      </c>
      <c r="H2138" s="42" t="n"/>
      <c r="I2138" s="43">
        <f>IF($B2138="","",N($G2138)-N($H2138))</f>
        <v/>
      </c>
    </row>
    <row r="2139">
      <c r="A2139" s="39">
        <f>IF($B2139="","",COUNTA($B$4:$B2139))</f>
        <v/>
      </c>
      <c r="B2139" s="45" t="n"/>
      <c r="C2139" s="46" t="n"/>
      <c r="D2139" s="46" t="n"/>
      <c r="E2139" s="47" t="n"/>
      <c r="F2139" s="47" t="n"/>
      <c r="G2139" s="43">
        <f>IF($B2139="","",N($E2139)+N($F2139))</f>
        <v/>
      </c>
      <c r="H2139" s="47" t="n"/>
      <c r="I2139" s="43">
        <f>IF($B2139="","",N($G2139)-N($H2139))</f>
        <v/>
      </c>
    </row>
    <row r="2140">
      <c r="A2140" s="39">
        <f>IF($B2140="","",COUNTA($B$4:$B2140))</f>
        <v/>
      </c>
      <c r="B2140" s="40" t="n"/>
      <c r="C2140" s="41" t="n"/>
      <c r="D2140" s="41" t="n"/>
      <c r="E2140" s="42" t="n"/>
      <c r="F2140" s="42" t="n"/>
      <c r="G2140" s="43">
        <f>IF($B2140="","",N($E2140)+N($F2140))</f>
        <v/>
      </c>
      <c r="H2140" s="42" t="n"/>
      <c r="I2140" s="43">
        <f>IF($B2140="","",N($G2140)-N($H2140))</f>
        <v/>
      </c>
    </row>
    <row r="2141">
      <c r="A2141" s="39">
        <f>IF($B2141="","",COUNTA($B$4:$B2141))</f>
        <v/>
      </c>
      <c r="B2141" s="45" t="n"/>
      <c r="C2141" s="46" t="n"/>
      <c r="D2141" s="46" t="n"/>
      <c r="E2141" s="47" t="n"/>
      <c r="F2141" s="47" t="n"/>
      <c r="G2141" s="43">
        <f>IF($B2141="","",N($E2141)+N($F2141))</f>
        <v/>
      </c>
      <c r="H2141" s="47" t="n"/>
      <c r="I2141" s="43">
        <f>IF($B2141="","",N($G2141)-N($H2141))</f>
        <v/>
      </c>
    </row>
    <row r="2142">
      <c r="A2142" s="39">
        <f>IF($B2142="","",COUNTA($B$4:$B2142))</f>
        <v/>
      </c>
      <c r="B2142" s="40" t="n"/>
      <c r="C2142" s="41" t="n"/>
      <c r="D2142" s="41" t="n"/>
      <c r="E2142" s="42" t="n"/>
      <c r="F2142" s="42" t="n"/>
      <c r="G2142" s="43">
        <f>IF($B2142="","",N($E2142)+N($F2142))</f>
        <v/>
      </c>
      <c r="H2142" s="42" t="n"/>
      <c r="I2142" s="43">
        <f>IF($B2142="","",N($G2142)-N($H2142))</f>
        <v/>
      </c>
    </row>
    <row r="2143">
      <c r="A2143" s="39">
        <f>IF($B2143="","",COUNTA($B$4:$B2143))</f>
        <v/>
      </c>
      <c r="B2143" s="45" t="n"/>
      <c r="C2143" s="46" t="n"/>
      <c r="D2143" s="46" t="n"/>
      <c r="E2143" s="47" t="n"/>
      <c r="F2143" s="47" t="n"/>
      <c r="G2143" s="43">
        <f>IF($B2143="","",N($E2143)+N($F2143))</f>
        <v/>
      </c>
      <c r="H2143" s="47" t="n"/>
      <c r="I2143" s="43">
        <f>IF($B2143="","",N($G2143)-N($H2143))</f>
        <v/>
      </c>
    </row>
    <row r="2144">
      <c r="A2144" s="39">
        <f>IF($B2144="","",COUNTA($B$4:$B2144))</f>
        <v/>
      </c>
      <c r="B2144" s="40" t="n"/>
      <c r="C2144" s="41" t="n"/>
      <c r="D2144" s="41" t="n"/>
      <c r="E2144" s="42" t="n"/>
      <c r="F2144" s="42" t="n"/>
      <c r="G2144" s="43">
        <f>IF($B2144="","",N($E2144)+N($F2144))</f>
        <v/>
      </c>
      <c r="H2144" s="42" t="n"/>
      <c r="I2144" s="43">
        <f>IF($B2144="","",N($G2144)-N($H2144))</f>
        <v/>
      </c>
    </row>
    <row r="2145">
      <c r="A2145" s="39">
        <f>IF($B2145="","",COUNTA($B$4:$B2145))</f>
        <v/>
      </c>
      <c r="B2145" s="45" t="n"/>
      <c r="C2145" s="46" t="n"/>
      <c r="D2145" s="46" t="n"/>
      <c r="E2145" s="47" t="n"/>
      <c r="F2145" s="47" t="n"/>
      <c r="G2145" s="43">
        <f>IF($B2145="","",N($E2145)+N($F2145))</f>
        <v/>
      </c>
      <c r="H2145" s="47" t="n"/>
      <c r="I2145" s="43">
        <f>IF($B2145="","",N($G2145)-N($H2145))</f>
        <v/>
      </c>
    </row>
    <row r="2146">
      <c r="A2146" s="39">
        <f>IF($B2146="","",COUNTA($B$4:$B2146))</f>
        <v/>
      </c>
      <c r="B2146" s="40" t="n"/>
      <c r="C2146" s="41" t="n"/>
      <c r="D2146" s="41" t="n"/>
      <c r="E2146" s="42" t="n"/>
      <c r="F2146" s="42" t="n"/>
      <c r="G2146" s="43">
        <f>IF($B2146="","",N($E2146)+N($F2146))</f>
        <v/>
      </c>
      <c r="H2146" s="42" t="n"/>
      <c r="I2146" s="43">
        <f>IF($B2146="","",N($G2146)-N($H2146))</f>
        <v/>
      </c>
    </row>
    <row r="2147">
      <c r="A2147" s="39">
        <f>IF($B2147="","",COUNTA($B$4:$B2147))</f>
        <v/>
      </c>
      <c r="B2147" s="45" t="n"/>
      <c r="C2147" s="46" t="n"/>
      <c r="D2147" s="46" t="n"/>
      <c r="E2147" s="47" t="n"/>
      <c r="F2147" s="47" t="n"/>
      <c r="G2147" s="43">
        <f>IF($B2147="","",N($E2147)+N($F2147))</f>
        <v/>
      </c>
      <c r="H2147" s="47" t="n"/>
      <c r="I2147" s="43">
        <f>IF($B2147="","",N($G2147)-N($H2147))</f>
        <v/>
      </c>
    </row>
    <row r="2148">
      <c r="A2148" s="39">
        <f>IF($B2148="","",COUNTA($B$4:$B2148))</f>
        <v/>
      </c>
      <c r="B2148" s="40" t="n"/>
      <c r="C2148" s="41" t="n"/>
      <c r="D2148" s="41" t="n"/>
      <c r="E2148" s="42" t="n"/>
      <c r="F2148" s="42" t="n"/>
      <c r="G2148" s="43">
        <f>IF($B2148="","",N($E2148)+N($F2148))</f>
        <v/>
      </c>
      <c r="H2148" s="42" t="n"/>
      <c r="I2148" s="43">
        <f>IF($B2148="","",N($G2148)-N($H2148))</f>
        <v/>
      </c>
    </row>
    <row r="2149">
      <c r="A2149" s="39">
        <f>IF($B2149="","",COUNTA($B$4:$B2149))</f>
        <v/>
      </c>
      <c r="B2149" s="45" t="n"/>
      <c r="C2149" s="46" t="n"/>
      <c r="D2149" s="46" t="n"/>
      <c r="E2149" s="47" t="n"/>
      <c r="F2149" s="47" t="n"/>
      <c r="G2149" s="43">
        <f>IF($B2149="","",N($E2149)+N($F2149))</f>
        <v/>
      </c>
      <c r="H2149" s="47" t="n"/>
      <c r="I2149" s="43">
        <f>IF($B2149="","",N($G2149)-N($H2149))</f>
        <v/>
      </c>
    </row>
    <row r="2150">
      <c r="A2150" s="39">
        <f>IF($B2150="","",COUNTA($B$4:$B2150))</f>
        <v/>
      </c>
      <c r="B2150" s="40" t="n"/>
      <c r="C2150" s="41" t="n"/>
      <c r="D2150" s="41" t="n"/>
      <c r="E2150" s="42" t="n"/>
      <c r="F2150" s="42" t="n"/>
      <c r="G2150" s="43">
        <f>IF($B2150="","",N($E2150)+N($F2150))</f>
        <v/>
      </c>
      <c r="H2150" s="42" t="n"/>
      <c r="I2150" s="43">
        <f>IF($B2150="","",N($G2150)-N($H2150))</f>
        <v/>
      </c>
    </row>
    <row r="2151">
      <c r="A2151" s="39">
        <f>IF($B2151="","",COUNTA($B$4:$B2151))</f>
        <v/>
      </c>
      <c r="B2151" s="45" t="n"/>
      <c r="C2151" s="46" t="n"/>
      <c r="D2151" s="46" t="n"/>
      <c r="E2151" s="47" t="n"/>
      <c r="F2151" s="47" t="n"/>
      <c r="G2151" s="43">
        <f>IF($B2151="","",N($E2151)+N($F2151))</f>
        <v/>
      </c>
      <c r="H2151" s="47" t="n"/>
      <c r="I2151" s="43">
        <f>IF($B2151="","",N($G2151)-N($H2151))</f>
        <v/>
      </c>
    </row>
    <row r="2152">
      <c r="A2152" s="39">
        <f>IF($B2152="","",COUNTA($B$4:$B2152))</f>
        <v/>
      </c>
      <c r="B2152" s="40" t="n"/>
      <c r="C2152" s="41" t="n"/>
      <c r="D2152" s="41" t="n"/>
      <c r="E2152" s="42" t="n"/>
      <c r="F2152" s="42" t="n"/>
      <c r="G2152" s="43">
        <f>IF($B2152="","",N($E2152)+N($F2152))</f>
        <v/>
      </c>
      <c r="H2152" s="42" t="n"/>
      <c r="I2152" s="43">
        <f>IF($B2152="","",N($G2152)-N($H2152))</f>
        <v/>
      </c>
    </row>
    <row r="2153">
      <c r="A2153" s="39">
        <f>IF($B2153="","",COUNTA($B$4:$B2153))</f>
        <v/>
      </c>
      <c r="B2153" s="45" t="n"/>
      <c r="C2153" s="46" t="n"/>
      <c r="D2153" s="46" t="n"/>
      <c r="E2153" s="47" t="n"/>
      <c r="F2153" s="47" t="n"/>
      <c r="G2153" s="43">
        <f>IF($B2153="","",N($E2153)+N($F2153))</f>
        <v/>
      </c>
      <c r="H2153" s="47" t="n"/>
      <c r="I2153" s="43">
        <f>IF($B2153="","",N($G2153)-N($H2153))</f>
        <v/>
      </c>
    </row>
    <row r="2154">
      <c r="A2154" s="39">
        <f>IF($B2154="","",COUNTA($B$4:$B2154))</f>
        <v/>
      </c>
      <c r="B2154" s="40" t="n"/>
      <c r="C2154" s="41" t="n"/>
      <c r="D2154" s="41" t="n"/>
      <c r="E2154" s="42" t="n"/>
      <c r="F2154" s="42" t="n"/>
      <c r="G2154" s="43">
        <f>IF($B2154="","",N($E2154)+N($F2154))</f>
        <v/>
      </c>
      <c r="H2154" s="42" t="n"/>
      <c r="I2154" s="43">
        <f>IF($B2154="","",N($G2154)-N($H2154))</f>
        <v/>
      </c>
    </row>
    <row r="2155">
      <c r="A2155" s="39">
        <f>IF($B2155="","",COUNTA($B$4:$B2155))</f>
        <v/>
      </c>
      <c r="B2155" s="45" t="n"/>
      <c r="C2155" s="46" t="n"/>
      <c r="D2155" s="46" t="n"/>
      <c r="E2155" s="47" t="n"/>
      <c r="F2155" s="47" t="n"/>
      <c r="G2155" s="43">
        <f>IF($B2155="","",N($E2155)+N($F2155))</f>
        <v/>
      </c>
      <c r="H2155" s="47" t="n"/>
      <c r="I2155" s="43">
        <f>IF($B2155="","",N($G2155)-N($H2155))</f>
        <v/>
      </c>
    </row>
    <row r="2156">
      <c r="A2156" s="39">
        <f>IF($B2156="","",COUNTA($B$4:$B2156))</f>
        <v/>
      </c>
      <c r="B2156" s="40" t="n"/>
      <c r="C2156" s="41" t="n"/>
      <c r="D2156" s="41" t="n"/>
      <c r="E2156" s="42" t="n"/>
      <c r="F2156" s="42" t="n"/>
      <c r="G2156" s="43">
        <f>IF($B2156="","",N($E2156)+N($F2156))</f>
        <v/>
      </c>
      <c r="H2156" s="42" t="n"/>
      <c r="I2156" s="43">
        <f>IF($B2156="","",N($G2156)-N($H2156))</f>
        <v/>
      </c>
    </row>
    <row r="2157">
      <c r="A2157" s="39">
        <f>IF($B2157="","",COUNTA($B$4:$B2157))</f>
        <v/>
      </c>
      <c r="B2157" s="45" t="n"/>
      <c r="C2157" s="46" t="n"/>
      <c r="D2157" s="46" t="n"/>
      <c r="E2157" s="47" t="n"/>
      <c r="F2157" s="47" t="n"/>
      <c r="G2157" s="43">
        <f>IF($B2157="","",N($E2157)+N($F2157))</f>
        <v/>
      </c>
      <c r="H2157" s="47" t="n"/>
      <c r="I2157" s="43">
        <f>IF($B2157="","",N($G2157)-N($H2157))</f>
        <v/>
      </c>
    </row>
    <row r="2158">
      <c r="A2158" s="39">
        <f>IF($B2158="","",COUNTA($B$4:$B2158))</f>
        <v/>
      </c>
      <c r="B2158" s="40" t="n"/>
      <c r="C2158" s="41" t="n"/>
      <c r="D2158" s="41" t="n"/>
      <c r="E2158" s="42" t="n"/>
      <c r="F2158" s="42" t="n"/>
      <c r="G2158" s="43">
        <f>IF($B2158="","",N($E2158)+N($F2158))</f>
        <v/>
      </c>
      <c r="H2158" s="42" t="n"/>
      <c r="I2158" s="43">
        <f>IF($B2158="","",N($G2158)-N($H2158))</f>
        <v/>
      </c>
    </row>
    <row r="2159">
      <c r="A2159" s="39">
        <f>IF($B2159="","",COUNTA($B$4:$B2159))</f>
        <v/>
      </c>
      <c r="B2159" s="45" t="n"/>
      <c r="C2159" s="46" t="n"/>
      <c r="D2159" s="46" t="n"/>
      <c r="E2159" s="47" t="n"/>
      <c r="F2159" s="47" t="n"/>
      <c r="G2159" s="43">
        <f>IF($B2159="","",N($E2159)+N($F2159))</f>
        <v/>
      </c>
      <c r="H2159" s="47" t="n"/>
      <c r="I2159" s="43">
        <f>IF($B2159="","",N($G2159)-N($H2159))</f>
        <v/>
      </c>
    </row>
    <row r="2160">
      <c r="A2160" s="39">
        <f>IF($B2160="","",COUNTA($B$4:$B2160))</f>
        <v/>
      </c>
      <c r="B2160" s="40" t="n"/>
      <c r="C2160" s="41" t="n"/>
      <c r="D2160" s="41" t="n"/>
      <c r="E2160" s="42" t="n"/>
      <c r="F2160" s="42" t="n"/>
      <c r="G2160" s="43">
        <f>IF($B2160="","",N($E2160)+N($F2160))</f>
        <v/>
      </c>
      <c r="H2160" s="42" t="n"/>
      <c r="I2160" s="43">
        <f>IF($B2160="","",N($G2160)-N($H2160))</f>
        <v/>
      </c>
    </row>
    <row r="2161">
      <c r="A2161" s="39">
        <f>IF($B2161="","",COUNTA($B$4:$B2161))</f>
        <v/>
      </c>
      <c r="B2161" s="45" t="n"/>
      <c r="C2161" s="46" t="n"/>
      <c r="D2161" s="46" t="n"/>
      <c r="E2161" s="47" t="n"/>
      <c r="F2161" s="47" t="n"/>
      <c r="G2161" s="43">
        <f>IF($B2161="","",N($E2161)+N($F2161))</f>
        <v/>
      </c>
      <c r="H2161" s="47" t="n"/>
      <c r="I2161" s="43">
        <f>IF($B2161="","",N($G2161)-N($H2161))</f>
        <v/>
      </c>
    </row>
    <row r="2162">
      <c r="A2162" s="39">
        <f>IF($B2162="","",COUNTA($B$4:$B2162))</f>
        <v/>
      </c>
      <c r="B2162" s="40" t="n"/>
      <c r="C2162" s="41" t="n"/>
      <c r="D2162" s="41" t="n"/>
      <c r="E2162" s="42" t="n"/>
      <c r="F2162" s="42" t="n"/>
      <c r="G2162" s="43">
        <f>IF($B2162="","",N($E2162)+N($F2162))</f>
        <v/>
      </c>
      <c r="H2162" s="42" t="n"/>
      <c r="I2162" s="43">
        <f>IF($B2162="","",N($G2162)-N($H2162))</f>
        <v/>
      </c>
    </row>
    <row r="2163">
      <c r="A2163" s="39">
        <f>IF($B2163="","",COUNTA($B$4:$B2163))</f>
        <v/>
      </c>
      <c r="B2163" s="45" t="n"/>
      <c r="C2163" s="46" t="n"/>
      <c r="D2163" s="46" t="n"/>
      <c r="E2163" s="47" t="n"/>
      <c r="F2163" s="47" t="n"/>
      <c r="G2163" s="43">
        <f>IF($B2163="","",N($E2163)+N($F2163))</f>
        <v/>
      </c>
      <c r="H2163" s="47" t="n"/>
      <c r="I2163" s="43">
        <f>IF($B2163="","",N($G2163)-N($H2163))</f>
        <v/>
      </c>
    </row>
    <row r="2164">
      <c r="A2164" s="39">
        <f>IF($B2164="","",COUNTA($B$4:$B2164))</f>
        <v/>
      </c>
      <c r="B2164" s="40" t="n"/>
      <c r="C2164" s="41" t="n"/>
      <c r="D2164" s="41" t="n"/>
      <c r="E2164" s="42" t="n"/>
      <c r="F2164" s="42" t="n"/>
      <c r="G2164" s="43">
        <f>IF($B2164="","",N($E2164)+N($F2164))</f>
        <v/>
      </c>
      <c r="H2164" s="42" t="n"/>
      <c r="I2164" s="43">
        <f>IF($B2164="","",N($G2164)-N($H2164))</f>
        <v/>
      </c>
    </row>
    <row r="2165">
      <c r="A2165" s="39">
        <f>IF($B2165="","",COUNTA($B$4:$B2165))</f>
        <v/>
      </c>
      <c r="B2165" s="45" t="n"/>
      <c r="C2165" s="46" t="n"/>
      <c r="D2165" s="46" t="n"/>
      <c r="E2165" s="47" t="n"/>
      <c r="F2165" s="47" t="n"/>
      <c r="G2165" s="43">
        <f>IF($B2165="","",N($E2165)+N($F2165))</f>
        <v/>
      </c>
      <c r="H2165" s="47" t="n"/>
      <c r="I2165" s="43">
        <f>IF($B2165="","",N($G2165)-N($H2165))</f>
        <v/>
      </c>
    </row>
    <row r="2166">
      <c r="A2166" s="39">
        <f>IF($B2166="","",COUNTA($B$4:$B2166))</f>
        <v/>
      </c>
      <c r="B2166" s="40" t="n"/>
      <c r="C2166" s="41" t="n"/>
      <c r="D2166" s="41" t="n"/>
      <c r="E2166" s="42" t="n"/>
      <c r="F2166" s="42" t="n"/>
      <c r="G2166" s="43">
        <f>IF($B2166="","",N($E2166)+N($F2166))</f>
        <v/>
      </c>
      <c r="H2166" s="42" t="n"/>
      <c r="I2166" s="43">
        <f>IF($B2166="","",N($G2166)-N($H2166))</f>
        <v/>
      </c>
    </row>
    <row r="2167">
      <c r="A2167" s="39">
        <f>IF($B2167="","",COUNTA($B$4:$B2167))</f>
        <v/>
      </c>
      <c r="B2167" s="45" t="n"/>
      <c r="C2167" s="46" t="n"/>
      <c r="D2167" s="46" t="n"/>
      <c r="E2167" s="47" t="n"/>
      <c r="F2167" s="47" t="n"/>
      <c r="G2167" s="43">
        <f>IF($B2167="","",N($E2167)+N($F2167))</f>
        <v/>
      </c>
      <c r="H2167" s="47" t="n"/>
      <c r="I2167" s="43">
        <f>IF($B2167="","",N($G2167)-N($H2167))</f>
        <v/>
      </c>
    </row>
    <row r="2168">
      <c r="A2168" s="39">
        <f>IF($B2168="","",COUNTA($B$4:$B2168))</f>
        <v/>
      </c>
      <c r="B2168" s="40" t="n"/>
      <c r="C2168" s="41" t="n"/>
      <c r="D2168" s="41" t="n"/>
      <c r="E2168" s="42" t="n"/>
      <c r="F2168" s="42" t="n"/>
      <c r="G2168" s="43">
        <f>IF($B2168="","",N($E2168)+N($F2168))</f>
        <v/>
      </c>
      <c r="H2168" s="42" t="n"/>
      <c r="I2168" s="43">
        <f>IF($B2168="","",N($G2168)-N($H2168))</f>
        <v/>
      </c>
    </row>
    <row r="2169">
      <c r="A2169" s="39">
        <f>IF($B2169="","",COUNTA($B$4:$B2169))</f>
        <v/>
      </c>
      <c r="B2169" s="45" t="n"/>
      <c r="C2169" s="46" t="n"/>
      <c r="D2169" s="46" t="n"/>
      <c r="E2169" s="47" t="n"/>
      <c r="F2169" s="47" t="n"/>
      <c r="G2169" s="43">
        <f>IF($B2169="","",N($E2169)+N($F2169))</f>
        <v/>
      </c>
      <c r="H2169" s="47" t="n"/>
      <c r="I2169" s="43">
        <f>IF($B2169="","",N($G2169)-N($H2169))</f>
        <v/>
      </c>
    </row>
    <row r="2170">
      <c r="A2170" s="39">
        <f>IF($B2170="","",COUNTA($B$4:$B2170))</f>
        <v/>
      </c>
      <c r="B2170" s="40" t="n"/>
      <c r="C2170" s="41" t="n"/>
      <c r="D2170" s="41" t="n"/>
      <c r="E2170" s="42" t="n"/>
      <c r="F2170" s="42" t="n"/>
      <c r="G2170" s="43">
        <f>IF($B2170="","",N($E2170)+N($F2170))</f>
        <v/>
      </c>
      <c r="H2170" s="42" t="n"/>
      <c r="I2170" s="43">
        <f>IF($B2170="","",N($G2170)-N($H2170))</f>
        <v/>
      </c>
    </row>
    <row r="2171">
      <c r="A2171" s="39">
        <f>IF($B2171="","",COUNTA($B$4:$B2171))</f>
        <v/>
      </c>
      <c r="B2171" s="45" t="n"/>
      <c r="C2171" s="46" t="n"/>
      <c r="D2171" s="46" t="n"/>
      <c r="E2171" s="47" t="n"/>
      <c r="F2171" s="47" t="n"/>
      <c r="G2171" s="43">
        <f>IF($B2171="","",N($E2171)+N($F2171))</f>
        <v/>
      </c>
      <c r="H2171" s="47" t="n"/>
      <c r="I2171" s="43">
        <f>IF($B2171="","",N($G2171)-N($H2171))</f>
        <v/>
      </c>
    </row>
    <row r="2172">
      <c r="A2172" s="39">
        <f>IF($B2172="","",COUNTA($B$4:$B2172))</f>
        <v/>
      </c>
      <c r="B2172" s="40" t="n"/>
      <c r="C2172" s="41" t="n"/>
      <c r="D2172" s="41" t="n"/>
      <c r="E2172" s="42" t="n"/>
      <c r="F2172" s="42" t="n"/>
      <c r="G2172" s="43">
        <f>IF($B2172="","",N($E2172)+N($F2172))</f>
        <v/>
      </c>
      <c r="H2172" s="42" t="n"/>
      <c r="I2172" s="43">
        <f>IF($B2172="","",N($G2172)-N($H2172))</f>
        <v/>
      </c>
    </row>
    <row r="2173">
      <c r="A2173" s="39">
        <f>IF($B2173="","",COUNTA($B$4:$B2173))</f>
        <v/>
      </c>
      <c r="B2173" s="45" t="n"/>
      <c r="C2173" s="46" t="n"/>
      <c r="D2173" s="46" t="n"/>
      <c r="E2173" s="47" t="n"/>
      <c r="F2173" s="47" t="n"/>
      <c r="G2173" s="43">
        <f>IF($B2173="","",N($E2173)+N($F2173))</f>
        <v/>
      </c>
      <c r="H2173" s="47" t="n"/>
      <c r="I2173" s="43">
        <f>IF($B2173="","",N($G2173)-N($H2173))</f>
        <v/>
      </c>
    </row>
    <row r="2174">
      <c r="A2174" s="39">
        <f>IF($B2174="","",COUNTA($B$4:$B2174))</f>
        <v/>
      </c>
      <c r="B2174" s="40" t="n"/>
      <c r="C2174" s="41" t="n"/>
      <c r="D2174" s="41" t="n"/>
      <c r="E2174" s="42" t="n"/>
      <c r="F2174" s="42" t="n"/>
      <c r="G2174" s="43">
        <f>IF($B2174="","",N($E2174)+N($F2174))</f>
        <v/>
      </c>
      <c r="H2174" s="42" t="n"/>
      <c r="I2174" s="43">
        <f>IF($B2174="","",N($G2174)-N($H2174))</f>
        <v/>
      </c>
    </row>
    <row r="2175">
      <c r="A2175" s="39">
        <f>IF($B2175="","",COUNTA($B$4:$B2175))</f>
        <v/>
      </c>
      <c r="B2175" s="45" t="n"/>
      <c r="C2175" s="46" t="n"/>
      <c r="D2175" s="46" t="n"/>
      <c r="E2175" s="47" t="n"/>
      <c r="F2175" s="47" t="n"/>
      <c r="G2175" s="43">
        <f>IF($B2175="","",N($E2175)+N($F2175))</f>
        <v/>
      </c>
      <c r="H2175" s="47" t="n"/>
      <c r="I2175" s="43">
        <f>IF($B2175="","",N($G2175)-N($H2175))</f>
        <v/>
      </c>
    </row>
    <row r="2176">
      <c r="A2176" s="39">
        <f>IF($B2176="","",COUNTA($B$4:$B2176))</f>
        <v/>
      </c>
      <c r="B2176" s="40" t="n"/>
      <c r="C2176" s="41" t="n"/>
      <c r="D2176" s="41" t="n"/>
      <c r="E2176" s="42" t="n"/>
      <c r="F2176" s="42" t="n"/>
      <c r="G2176" s="43">
        <f>IF($B2176="","",N($E2176)+N($F2176))</f>
        <v/>
      </c>
      <c r="H2176" s="42" t="n"/>
      <c r="I2176" s="43">
        <f>IF($B2176="","",N($G2176)-N($H2176))</f>
        <v/>
      </c>
    </row>
    <row r="2177">
      <c r="A2177" s="39">
        <f>IF($B2177="","",COUNTA($B$4:$B2177))</f>
        <v/>
      </c>
      <c r="B2177" s="45" t="n"/>
      <c r="C2177" s="46" t="n"/>
      <c r="D2177" s="46" t="n"/>
      <c r="E2177" s="47" t="n"/>
      <c r="F2177" s="47" t="n"/>
      <c r="G2177" s="43">
        <f>IF($B2177="","",N($E2177)+N($F2177))</f>
        <v/>
      </c>
      <c r="H2177" s="47" t="n"/>
      <c r="I2177" s="43">
        <f>IF($B2177="","",N($G2177)-N($H2177))</f>
        <v/>
      </c>
    </row>
    <row r="2178">
      <c r="A2178" s="39">
        <f>IF($B2178="","",COUNTA($B$4:$B2178))</f>
        <v/>
      </c>
      <c r="B2178" s="40" t="n"/>
      <c r="C2178" s="41" t="n"/>
      <c r="D2178" s="41" t="n"/>
      <c r="E2178" s="42" t="n"/>
      <c r="F2178" s="42" t="n"/>
      <c r="G2178" s="43">
        <f>IF($B2178="","",N($E2178)+N($F2178))</f>
        <v/>
      </c>
      <c r="H2178" s="42" t="n"/>
      <c r="I2178" s="43">
        <f>IF($B2178="","",N($G2178)-N($H2178))</f>
        <v/>
      </c>
    </row>
    <row r="2179">
      <c r="A2179" s="39">
        <f>IF($B2179="","",COUNTA($B$4:$B2179))</f>
        <v/>
      </c>
      <c r="B2179" s="45" t="n"/>
      <c r="C2179" s="46" t="n"/>
      <c r="D2179" s="46" t="n"/>
      <c r="E2179" s="47" t="n"/>
      <c r="F2179" s="47" t="n"/>
      <c r="G2179" s="43">
        <f>IF($B2179="","",N($E2179)+N($F2179))</f>
        <v/>
      </c>
      <c r="H2179" s="47" t="n"/>
      <c r="I2179" s="43">
        <f>IF($B2179="","",N($G2179)-N($H2179))</f>
        <v/>
      </c>
    </row>
    <row r="2180">
      <c r="A2180" s="39">
        <f>IF($B2180="","",COUNTA($B$4:$B2180))</f>
        <v/>
      </c>
      <c r="B2180" s="40" t="n"/>
      <c r="C2180" s="41" t="n"/>
      <c r="D2180" s="41" t="n"/>
      <c r="E2180" s="42" t="n"/>
      <c r="F2180" s="42" t="n"/>
      <c r="G2180" s="43">
        <f>IF($B2180="","",N($E2180)+N($F2180))</f>
        <v/>
      </c>
      <c r="H2180" s="42" t="n"/>
      <c r="I2180" s="43">
        <f>IF($B2180="","",N($G2180)-N($H2180))</f>
        <v/>
      </c>
    </row>
    <row r="2181">
      <c r="A2181" s="39">
        <f>IF($B2181="","",COUNTA($B$4:$B2181))</f>
        <v/>
      </c>
      <c r="B2181" s="45" t="n"/>
      <c r="C2181" s="46" t="n"/>
      <c r="D2181" s="46" t="n"/>
      <c r="E2181" s="47" t="n"/>
      <c r="F2181" s="47" t="n"/>
      <c r="G2181" s="43">
        <f>IF($B2181="","",N($E2181)+N($F2181))</f>
        <v/>
      </c>
      <c r="H2181" s="47" t="n"/>
      <c r="I2181" s="43">
        <f>IF($B2181="","",N($G2181)-N($H2181))</f>
        <v/>
      </c>
    </row>
    <row r="2182">
      <c r="A2182" s="39">
        <f>IF($B2182="","",COUNTA($B$4:$B2182))</f>
        <v/>
      </c>
      <c r="B2182" s="40" t="n"/>
      <c r="C2182" s="41" t="n"/>
      <c r="D2182" s="41" t="n"/>
      <c r="E2182" s="42" t="n"/>
      <c r="F2182" s="42" t="n"/>
      <c r="G2182" s="43">
        <f>IF($B2182="","",N($E2182)+N($F2182))</f>
        <v/>
      </c>
      <c r="H2182" s="42" t="n"/>
      <c r="I2182" s="43">
        <f>IF($B2182="","",N($G2182)-N($H2182))</f>
        <v/>
      </c>
    </row>
    <row r="2183">
      <c r="A2183" s="39">
        <f>IF($B2183="","",COUNTA($B$4:$B2183))</f>
        <v/>
      </c>
      <c r="B2183" s="45" t="n"/>
      <c r="C2183" s="46" t="n"/>
      <c r="D2183" s="46" t="n"/>
      <c r="E2183" s="47" t="n"/>
      <c r="F2183" s="47" t="n"/>
      <c r="G2183" s="43">
        <f>IF($B2183="","",N($E2183)+N($F2183))</f>
        <v/>
      </c>
      <c r="H2183" s="47" t="n"/>
      <c r="I2183" s="43">
        <f>IF($B2183="","",N($G2183)-N($H2183))</f>
        <v/>
      </c>
    </row>
    <row r="2184">
      <c r="A2184" s="39">
        <f>IF($B2184="","",COUNTA($B$4:$B2184))</f>
        <v/>
      </c>
      <c r="B2184" s="40" t="n"/>
      <c r="C2184" s="41" t="n"/>
      <c r="D2184" s="41" t="n"/>
      <c r="E2184" s="42" t="n"/>
      <c r="F2184" s="42" t="n"/>
      <c r="G2184" s="43">
        <f>IF($B2184="","",N($E2184)+N($F2184))</f>
        <v/>
      </c>
      <c r="H2184" s="42" t="n"/>
      <c r="I2184" s="43">
        <f>IF($B2184="","",N($G2184)-N($H2184))</f>
        <v/>
      </c>
    </row>
    <row r="2185">
      <c r="A2185" s="39">
        <f>IF($B2185="","",COUNTA($B$4:$B2185))</f>
        <v/>
      </c>
      <c r="B2185" s="45" t="n"/>
      <c r="C2185" s="46" t="n"/>
      <c r="D2185" s="46" t="n"/>
      <c r="E2185" s="47" t="n"/>
      <c r="F2185" s="47" t="n"/>
      <c r="G2185" s="43">
        <f>IF($B2185="","",N($E2185)+N($F2185))</f>
        <v/>
      </c>
      <c r="H2185" s="47" t="n"/>
      <c r="I2185" s="43">
        <f>IF($B2185="","",N($G2185)-N($H2185))</f>
        <v/>
      </c>
    </row>
    <row r="2186">
      <c r="A2186" s="39">
        <f>IF($B2186="","",COUNTA($B$4:$B2186))</f>
        <v/>
      </c>
      <c r="B2186" s="40" t="n"/>
      <c r="C2186" s="41" t="n"/>
      <c r="D2186" s="41" t="n"/>
      <c r="E2186" s="42" t="n"/>
      <c r="F2186" s="42" t="n"/>
      <c r="G2186" s="43">
        <f>IF($B2186="","",N($E2186)+N($F2186))</f>
        <v/>
      </c>
      <c r="H2186" s="42" t="n"/>
      <c r="I2186" s="43">
        <f>IF($B2186="","",N($G2186)-N($H2186))</f>
        <v/>
      </c>
    </row>
    <row r="2187">
      <c r="A2187" s="39">
        <f>IF($B2187="","",COUNTA($B$4:$B2187))</f>
        <v/>
      </c>
      <c r="B2187" s="45" t="n"/>
      <c r="C2187" s="46" t="n"/>
      <c r="D2187" s="46" t="n"/>
      <c r="E2187" s="47" t="n"/>
      <c r="F2187" s="47" t="n"/>
      <c r="G2187" s="43">
        <f>IF($B2187="","",N($E2187)+N($F2187))</f>
        <v/>
      </c>
      <c r="H2187" s="47" t="n"/>
      <c r="I2187" s="43">
        <f>IF($B2187="","",N($G2187)-N($H2187))</f>
        <v/>
      </c>
    </row>
    <row r="2188">
      <c r="A2188" s="39">
        <f>IF($B2188="","",COUNTA($B$4:$B2188))</f>
        <v/>
      </c>
      <c r="B2188" s="40" t="n"/>
      <c r="C2188" s="41" t="n"/>
      <c r="D2188" s="41" t="n"/>
      <c r="E2188" s="42" t="n"/>
      <c r="F2188" s="42" t="n"/>
      <c r="G2188" s="43">
        <f>IF($B2188="","",N($E2188)+N($F2188))</f>
        <v/>
      </c>
      <c r="H2188" s="42" t="n"/>
      <c r="I2188" s="43">
        <f>IF($B2188="","",N($G2188)-N($H2188))</f>
        <v/>
      </c>
    </row>
    <row r="2189">
      <c r="A2189" s="39">
        <f>IF($B2189="","",COUNTA($B$4:$B2189))</f>
        <v/>
      </c>
      <c r="B2189" s="45" t="n"/>
      <c r="C2189" s="46" t="n"/>
      <c r="D2189" s="46" t="n"/>
      <c r="E2189" s="47" t="n"/>
      <c r="F2189" s="47" t="n"/>
      <c r="G2189" s="43">
        <f>IF($B2189="","",N($E2189)+N($F2189))</f>
        <v/>
      </c>
      <c r="H2189" s="47" t="n"/>
      <c r="I2189" s="43">
        <f>IF($B2189="","",N($G2189)-N($H2189))</f>
        <v/>
      </c>
    </row>
    <row r="2190">
      <c r="A2190" s="39">
        <f>IF($B2190="","",COUNTA($B$4:$B2190))</f>
        <v/>
      </c>
      <c r="B2190" s="40" t="n"/>
      <c r="C2190" s="41" t="n"/>
      <c r="D2190" s="41" t="n"/>
      <c r="E2190" s="42" t="n"/>
      <c r="F2190" s="42" t="n"/>
      <c r="G2190" s="43">
        <f>IF($B2190="","",N($E2190)+N($F2190))</f>
        <v/>
      </c>
      <c r="H2190" s="42" t="n"/>
      <c r="I2190" s="43">
        <f>IF($B2190="","",N($G2190)-N($H2190))</f>
        <v/>
      </c>
    </row>
    <row r="2191">
      <c r="A2191" s="39">
        <f>IF($B2191="","",COUNTA($B$4:$B2191))</f>
        <v/>
      </c>
      <c r="B2191" s="45" t="n"/>
      <c r="C2191" s="46" t="n"/>
      <c r="D2191" s="46" t="n"/>
      <c r="E2191" s="47" t="n"/>
      <c r="F2191" s="47" t="n"/>
      <c r="G2191" s="43">
        <f>IF($B2191="","",N($E2191)+N($F2191))</f>
        <v/>
      </c>
      <c r="H2191" s="47" t="n"/>
      <c r="I2191" s="43">
        <f>IF($B2191="","",N($G2191)-N($H2191))</f>
        <v/>
      </c>
    </row>
    <row r="2192">
      <c r="A2192" s="39">
        <f>IF($B2192="","",COUNTA($B$4:$B2192))</f>
        <v/>
      </c>
      <c r="B2192" s="40" t="n"/>
      <c r="C2192" s="41" t="n"/>
      <c r="D2192" s="41" t="n"/>
      <c r="E2192" s="42" t="n"/>
      <c r="F2192" s="42" t="n"/>
      <c r="G2192" s="43">
        <f>IF($B2192="","",N($E2192)+N($F2192))</f>
        <v/>
      </c>
      <c r="H2192" s="42" t="n"/>
      <c r="I2192" s="43">
        <f>IF($B2192="","",N($G2192)-N($H2192))</f>
        <v/>
      </c>
    </row>
    <row r="2193">
      <c r="A2193" s="39">
        <f>IF($B2193="","",COUNTA($B$4:$B2193))</f>
        <v/>
      </c>
      <c r="B2193" s="45" t="n"/>
      <c r="C2193" s="46" t="n"/>
      <c r="D2193" s="46" t="n"/>
      <c r="E2193" s="47" t="n"/>
      <c r="F2193" s="47" t="n"/>
      <c r="G2193" s="43">
        <f>IF($B2193="","",N($E2193)+N($F2193))</f>
        <v/>
      </c>
      <c r="H2193" s="47" t="n"/>
      <c r="I2193" s="43">
        <f>IF($B2193="","",N($G2193)-N($H2193))</f>
        <v/>
      </c>
    </row>
    <row r="2194">
      <c r="A2194" s="39">
        <f>IF($B2194="","",COUNTA($B$4:$B2194))</f>
        <v/>
      </c>
      <c r="B2194" s="40" t="n"/>
      <c r="C2194" s="41" t="n"/>
      <c r="D2194" s="41" t="n"/>
      <c r="E2194" s="42" t="n"/>
      <c r="F2194" s="42" t="n"/>
      <c r="G2194" s="43">
        <f>IF($B2194="","",N($E2194)+N($F2194))</f>
        <v/>
      </c>
      <c r="H2194" s="42" t="n"/>
      <c r="I2194" s="43">
        <f>IF($B2194="","",N($G2194)-N($H2194))</f>
        <v/>
      </c>
    </row>
    <row r="2195">
      <c r="A2195" s="39">
        <f>IF($B2195="","",COUNTA($B$4:$B2195))</f>
        <v/>
      </c>
      <c r="B2195" s="45" t="n"/>
      <c r="C2195" s="46" t="n"/>
      <c r="D2195" s="46" t="n"/>
      <c r="E2195" s="47" t="n"/>
      <c r="F2195" s="47" t="n"/>
      <c r="G2195" s="43">
        <f>IF($B2195="","",N($E2195)+N($F2195))</f>
        <v/>
      </c>
      <c r="H2195" s="47" t="n"/>
      <c r="I2195" s="43">
        <f>IF($B2195="","",N($G2195)-N($H2195))</f>
        <v/>
      </c>
    </row>
    <row r="2196">
      <c r="A2196" s="39">
        <f>IF($B2196="","",COUNTA($B$4:$B2196))</f>
        <v/>
      </c>
      <c r="B2196" s="40" t="n"/>
      <c r="C2196" s="41" t="n"/>
      <c r="D2196" s="41" t="n"/>
      <c r="E2196" s="42" t="n"/>
      <c r="F2196" s="42" t="n"/>
      <c r="G2196" s="43">
        <f>IF($B2196="","",N($E2196)+N($F2196))</f>
        <v/>
      </c>
      <c r="H2196" s="42" t="n"/>
      <c r="I2196" s="43">
        <f>IF($B2196="","",N($G2196)-N($H2196))</f>
        <v/>
      </c>
    </row>
    <row r="2197">
      <c r="A2197" s="39">
        <f>IF($B2197="","",COUNTA($B$4:$B2197))</f>
        <v/>
      </c>
      <c r="B2197" s="45" t="n"/>
      <c r="C2197" s="46" t="n"/>
      <c r="D2197" s="46" t="n"/>
      <c r="E2197" s="47" t="n"/>
      <c r="F2197" s="47" t="n"/>
      <c r="G2197" s="43">
        <f>IF($B2197="","",N($E2197)+N($F2197))</f>
        <v/>
      </c>
      <c r="H2197" s="47" t="n"/>
      <c r="I2197" s="43">
        <f>IF($B2197="","",N($G2197)-N($H2197))</f>
        <v/>
      </c>
    </row>
    <row r="2198">
      <c r="A2198" s="39">
        <f>IF($B2198="","",COUNTA($B$4:$B2198))</f>
        <v/>
      </c>
      <c r="B2198" s="40" t="n"/>
      <c r="C2198" s="41" t="n"/>
      <c r="D2198" s="41" t="n"/>
      <c r="E2198" s="42" t="n"/>
      <c r="F2198" s="42" t="n"/>
      <c r="G2198" s="43">
        <f>IF($B2198="","",N($E2198)+N($F2198))</f>
        <v/>
      </c>
      <c r="H2198" s="42" t="n"/>
      <c r="I2198" s="43">
        <f>IF($B2198="","",N($G2198)-N($H2198))</f>
        <v/>
      </c>
    </row>
    <row r="2199">
      <c r="A2199" s="39">
        <f>IF($B2199="","",COUNTA($B$4:$B2199))</f>
        <v/>
      </c>
      <c r="B2199" s="45" t="n"/>
      <c r="C2199" s="46" t="n"/>
      <c r="D2199" s="46" t="n"/>
      <c r="E2199" s="47" t="n"/>
      <c r="F2199" s="47" t="n"/>
      <c r="G2199" s="43">
        <f>IF($B2199="","",N($E2199)+N($F2199))</f>
        <v/>
      </c>
      <c r="H2199" s="47" t="n"/>
      <c r="I2199" s="43">
        <f>IF($B2199="","",N($G2199)-N($H2199))</f>
        <v/>
      </c>
    </row>
    <row r="2200">
      <c r="A2200" s="39">
        <f>IF($B2200="","",COUNTA($B$4:$B2200))</f>
        <v/>
      </c>
      <c r="B2200" s="40" t="n"/>
      <c r="C2200" s="41" t="n"/>
      <c r="D2200" s="41" t="n"/>
      <c r="E2200" s="42" t="n"/>
      <c r="F2200" s="42" t="n"/>
      <c r="G2200" s="43">
        <f>IF($B2200="","",N($E2200)+N($F2200))</f>
        <v/>
      </c>
      <c r="H2200" s="42" t="n"/>
      <c r="I2200" s="43">
        <f>IF($B2200="","",N($G2200)-N($H2200))</f>
        <v/>
      </c>
    </row>
    <row r="2201">
      <c r="A2201" s="39">
        <f>IF($B2201="","",COUNTA($B$4:$B2201))</f>
        <v/>
      </c>
      <c r="B2201" s="45" t="n"/>
      <c r="C2201" s="46" t="n"/>
      <c r="D2201" s="46" t="n"/>
      <c r="E2201" s="47" t="n"/>
      <c r="F2201" s="47" t="n"/>
      <c r="G2201" s="43">
        <f>IF($B2201="","",N($E2201)+N($F2201))</f>
        <v/>
      </c>
      <c r="H2201" s="47" t="n"/>
      <c r="I2201" s="43">
        <f>IF($B2201="","",N($G2201)-N($H2201))</f>
        <v/>
      </c>
    </row>
    <row r="2202">
      <c r="A2202" s="39">
        <f>IF($B2202="","",COUNTA($B$4:$B2202))</f>
        <v/>
      </c>
      <c r="B2202" s="40" t="n"/>
      <c r="C2202" s="41" t="n"/>
      <c r="D2202" s="41" t="n"/>
      <c r="E2202" s="42" t="n"/>
      <c r="F2202" s="42" t="n"/>
      <c r="G2202" s="43">
        <f>IF($B2202="","",N($E2202)+N($F2202))</f>
        <v/>
      </c>
      <c r="H2202" s="42" t="n"/>
      <c r="I2202" s="43">
        <f>IF($B2202="","",N($G2202)-N($H2202))</f>
        <v/>
      </c>
    </row>
    <row r="2203">
      <c r="A2203" s="39">
        <f>IF($B2203="","",COUNTA($B$4:$B2203))</f>
        <v/>
      </c>
      <c r="B2203" s="45" t="n"/>
      <c r="C2203" s="46" t="n"/>
      <c r="D2203" s="46" t="n"/>
      <c r="E2203" s="47" t="n"/>
      <c r="F2203" s="47" t="n"/>
      <c r="G2203" s="43">
        <f>IF($B2203="","",N($E2203)+N($F2203))</f>
        <v/>
      </c>
      <c r="H2203" s="47" t="n"/>
      <c r="I2203" s="43">
        <f>IF($B2203="","",N($G2203)-N($H2203))</f>
        <v/>
      </c>
    </row>
    <row r="2204" ht="22" customHeight="1">
      <c r="A2204" s="48" t="n"/>
      <c r="B2204" s="48" t="inlineStr">
        <is>
          <t>الإجماليات</t>
        </is>
      </c>
      <c r="C2204" s="48" t="n"/>
      <c r="D2204" s="48" t="n"/>
      <c r="E2204" s="49">
        <f>SUM($E$4:$E$2203)</f>
        <v/>
      </c>
      <c r="F2204" s="49">
        <f>SUM($F$4:$F$2203)</f>
        <v/>
      </c>
      <c r="G2204" s="49">
        <f>SUM($G$4:$G$2203)</f>
        <v/>
      </c>
      <c r="H2204" s="49">
        <f>SUM($H$4:$H$2203)</f>
        <v/>
      </c>
      <c r="I2204" s="49">
        <f>SUM($I$4:$I$2203)</f>
        <v/>
      </c>
    </row>
  </sheetData>
  <autoFilter ref="A3:I2203"/>
  <mergeCells count="2">
    <mergeCell ref="A1:I1"/>
    <mergeCell ref="A2:I2"/>
  </mergeCells>
  <conditionalFormatting sqref="I4:I2203">
    <cfRule type="cellIs" priority="1" operator="greaterThan" dxfId="2">
      <formula>0</formula>
    </cfRule>
  </conditionalFormatting>
  <printOptions horizontalCentered="1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5B3E7A"/>
    <outlinePr summaryBelow="1" summaryRight="1"/>
    <pageSetUpPr fitToPage="1"/>
  </sheetPr>
  <dimension ref="A1:I2204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22" customWidth="1" min="3" max="3"/>
    <col width="26" customWidth="1" min="4" max="4"/>
    <col width="14" customWidth="1" min="5" max="5"/>
    <col width="12" customWidth="1" min="6" max="6"/>
    <col width="14" customWidth="1" min="7" max="7"/>
    <col width="14" customWidth="1" min="8" max="8"/>
    <col width="15" customWidth="1" min="9" max="9"/>
  </cols>
  <sheetData>
    <row r="1" ht="34" customHeight="1">
      <c r="A1" s="1" t="inlineStr">
        <is>
          <t>شركة المتوكل  —  مولدات ايجي كول</t>
        </is>
      </c>
    </row>
    <row r="2" ht="20" customHeight="1">
      <c r="A2" s="3" t="inlineStr">
        <is>
          <t>سجل نقل مولدات شركة ايجي كول</t>
        </is>
      </c>
    </row>
    <row r="3" ht="40" customHeight="1">
      <c r="A3" s="34" t="inlineStr">
        <is>
          <t>م</t>
        </is>
      </c>
      <c r="B3" s="34" t="inlineStr">
        <is>
          <t>التاريخ</t>
        </is>
      </c>
      <c r="C3" s="34" t="inlineStr">
        <is>
          <t>اسم الشركة</t>
        </is>
      </c>
      <c r="D3" s="34" t="inlineStr">
        <is>
          <t>العنوان</t>
        </is>
      </c>
      <c r="E3" s="34" t="inlineStr">
        <is>
          <t>رقم الإذن</t>
        </is>
      </c>
      <c r="F3" s="35" t="inlineStr">
        <is>
          <t>عدد المولدات</t>
        </is>
      </c>
      <c r="G3" s="36" t="inlineStr">
        <is>
          <t>النولون</t>
        </is>
      </c>
      <c r="H3" s="36" t="inlineStr">
        <is>
          <t>الدفعات</t>
        </is>
      </c>
      <c r="I3" s="38" t="inlineStr">
        <is>
          <t>المتبقي</t>
        </is>
      </c>
    </row>
    <row r="4">
      <c r="A4" s="39">
        <f>IF($B4="","",COUNTA($B$4:$B4))</f>
        <v/>
      </c>
      <c r="B4" s="40" t="n">
        <v>46030</v>
      </c>
      <c r="C4" s="41" t="inlineStr">
        <is>
          <t xml:space="preserve">المسعد </t>
        </is>
      </c>
      <c r="D4" s="41" t="inlineStr">
        <is>
          <t xml:space="preserve">البرج </t>
        </is>
      </c>
      <c r="E4" s="41" t="n">
        <v>871257</v>
      </c>
      <c r="F4" s="50" t="n">
        <v>2</v>
      </c>
      <c r="G4" s="42" t="n">
        <v>5500</v>
      </c>
      <c r="H4" s="42" t="n"/>
      <c r="I4" s="43">
        <f>IF($B4="","",N($G4)-N($H4))</f>
        <v/>
      </c>
    </row>
    <row r="5">
      <c r="A5" s="39">
        <f>IF($B5="","",COUNTA($B$4:$B5))</f>
        <v/>
      </c>
      <c r="B5" s="45" t="n">
        <v>46033</v>
      </c>
      <c r="C5" s="46" t="inlineStr">
        <is>
          <t xml:space="preserve">ماى فارم </t>
        </is>
      </c>
      <c r="D5" s="46" t="inlineStr">
        <is>
          <t xml:space="preserve">جمصة </t>
        </is>
      </c>
      <c r="E5" s="46" t="n">
        <v>75127</v>
      </c>
      <c r="F5" s="51" t="n">
        <v>1</v>
      </c>
      <c r="G5" s="47" t="n">
        <v>2750</v>
      </c>
      <c r="H5" s="47" t="n"/>
      <c r="I5" s="43">
        <f>IF($B5="","",N($G5)-N($H5))</f>
        <v/>
      </c>
    </row>
    <row r="6">
      <c r="A6" s="39">
        <f>IF($B6="","",COUNTA($B$4:$B6))</f>
        <v/>
      </c>
      <c r="B6" s="40" t="n">
        <v>46037</v>
      </c>
      <c r="C6" s="41" t="inlineStr">
        <is>
          <t xml:space="preserve">الفرسان </t>
        </is>
      </c>
      <c r="D6" s="41" t="inlineStr">
        <is>
          <t>اكتوبر</t>
        </is>
      </c>
      <c r="E6" s="41" t="n">
        <v>873056</v>
      </c>
      <c r="F6" s="50" t="n">
        <v>4</v>
      </c>
      <c r="G6" s="42" t="n">
        <v>11000</v>
      </c>
      <c r="H6" s="42" t="n"/>
      <c r="I6" s="43">
        <f>IF($B6="","",N($G6)-N($H6))</f>
        <v/>
      </c>
    </row>
    <row r="7">
      <c r="A7" s="39">
        <f>IF($B7="","",COUNTA($B$4:$B7))</f>
        <v/>
      </c>
      <c r="B7" s="45" t="n">
        <v>46039</v>
      </c>
      <c r="C7" s="46" t="inlineStr">
        <is>
          <t xml:space="preserve">الفرسان </t>
        </is>
      </c>
      <c r="D7" s="46" t="inlineStr">
        <is>
          <t>اكتوبر</t>
        </is>
      </c>
      <c r="E7" s="46" t="n">
        <v>873078</v>
      </c>
      <c r="F7" s="51" t="n">
        <v>1</v>
      </c>
      <c r="G7" s="47" t="n">
        <v>2750</v>
      </c>
      <c r="H7" s="47" t="n"/>
      <c r="I7" s="43">
        <f>IF($B7="","",N($G7)-N($H7))</f>
        <v/>
      </c>
    </row>
    <row r="8">
      <c r="A8" s="39">
        <f>IF($B8="","",COUNTA($B$4:$B8))</f>
        <v/>
      </c>
      <c r="B8" s="40" t="n">
        <v>46044</v>
      </c>
      <c r="C8" s="41" t="inlineStr">
        <is>
          <t>المجد</t>
        </is>
      </c>
      <c r="D8" s="41" t="inlineStr">
        <is>
          <t>النوبارية</t>
        </is>
      </c>
      <c r="E8" s="41" t="n">
        <v>3034</v>
      </c>
      <c r="F8" s="50" t="n">
        <v>2</v>
      </c>
      <c r="G8" s="42" t="n">
        <v>5500</v>
      </c>
      <c r="H8" s="42" t="n"/>
      <c r="I8" s="43">
        <f>IF($B8="","",N($G8)-N($H8))</f>
        <v/>
      </c>
    </row>
    <row r="9">
      <c r="A9" s="39">
        <f>IF($B9="","",COUNTA($B$4:$B9))</f>
        <v/>
      </c>
      <c r="B9" s="45" t="n">
        <v>46046</v>
      </c>
      <c r="C9" s="46" t="inlineStr">
        <is>
          <t xml:space="preserve">ماى فارم </t>
        </is>
      </c>
      <c r="D9" s="46" t="inlineStr">
        <is>
          <t xml:space="preserve">جمصة </t>
        </is>
      </c>
      <c r="E9" s="46" t="n">
        <v>37584</v>
      </c>
      <c r="F9" s="51" t="n">
        <v>1</v>
      </c>
      <c r="G9" s="47" t="n">
        <v>2750</v>
      </c>
      <c r="H9" s="47" t="n"/>
      <c r="I9" s="43">
        <f>IF($B9="","",N($G9)-N($H9))</f>
        <v/>
      </c>
    </row>
    <row r="10">
      <c r="A10" s="39">
        <f>IF($B10="","",COUNTA($B$4:$B10))</f>
        <v/>
      </c>
      <c r="B10" s="40" t="n">
        <v>46047</v>
      </c>
      <c r="C10" s="41" t="inlineStr">
        <is>
          <t>الصعيد</t>
        </is>
      </c>
      <c r="D10" s="41" t="inlineStr">
        <is>
          <t xml:space="preserve">بنى سويف </t>
        </is>
      </c>
      <c r="E10" s="41" t="n">
        <v>276995</v>
      </c>
      <c r="F10" s="50" t="n">
        <v>4</v>
      </c>
      <c r="G10" s="42" t="n">
        <v>11000</v>
      </c>
      <c r="H10" s="42" t="n"/>
      <c r="I10" s="43">
        <f>IF($B10="","",N($G10)-N($H10))</f>
        <v/>
      </c>
    </row>
    <row r="11">
      <c r="A11" s="39">
        <f>IF($B11="","",COUNTA($B$4:$B11))</f>
        <v/>
      </c>
      <c r="B11" s="45" t="n">
        <v>46047</v>
      </c>
      <c r="C11" s="46" t="inlineStr">
        <is>
          <t>الصعيد</t>
        </is>
      </c>
      <c r="D11" s="46" t="inlineStr">
        <is>
          <t xml:space="preserve">بنى سويف </t>
        </is>
      </c>
      <c r="E11" s="46" t="n">
        <v>277114</v>
      </c>
      <c r="F11" s="51" t="n">
        <v>1</v>
      </c>
      <c r="G11" s="47" t="n">
        <v>2750</v>
      </c>
      <c r="H11" s="47" t="n"/>
      <c r="I11" s="43">
        <f>IF($B11="","",N($G11)-N($H11))</f>
        <v/>
      </c>
    </row>
    <row r="12">
      <c r="A12" s="39">
        <f>IF($B12="","",COUNTA($B$4:$B12))</f>
        <v/>
      </c>
      <c r="B12" s="40" t="n">
        <v>46047</v>
      </c>
      <c r="C12" s="41" t="inlineStr">
        <is>
          <t xml:space="preserve">ماى فارم </t>
        </is>
      </c>
      <c r="D12" s="41" t="inlineStr">
        <is>
          <t xml:space="preserve">الجيزة </t>
        </is>
      </c>
      <c r="E12" s="41" t="n">
        <v>873146</v>
      </c>
      <c r="F12" s="50" t="n">
        <v>1</v>
      </c>
      <c r="G12" s="42" t="n">
        <v>2750</v>
      </c>
      <c r="H12" s="42" t="n"/>
      <c r="I12" s="43">
        <f>IF($B12="","",N($G12)-N($H12))</f>
        <v/>
      </c>
    </row>
    <row r="13">
      <c r="A13" s="39">
        <f>IF($B13="","",COUNTA($B$4:$B13))</f>
        <v/>
      </c>
      <c r="B13" s="45" t="n">
        <v>46051</v>
      </c>
      <c r="C13" s="46" t="inlineStr">
        <is>
          <t>المجد</t>
        </is>
      </c>
      <c r="D13" s="46" t="inlineStr">
        <is>
          <t>النوبارية</t>
        </is>
      </c>
      <c r="E13" s="46" t="n">
        <v>1515</v>
      </c>
      <c r="F13" s="51" t="n">
        <v>2</v>
      </c>
      <c r="G13" s="47" t="n">
        <v>5500</v>
      </c>
      <c r="H13" s="47" t="n"/>
      <c r="I13" s="43">
        <f>IF($B13="","",N($G13)-N($H13))</f>
        <v/>
      </c>
    </row>
    <row r="14">
      <c r="A14" s="39">
        <f>IF($B14="","",COUNTA($B$4:$B14))</f>
        <v/>
      </c>
      <c r="B14" s="40" t="n">
        <v>46051</v>
      </c>
      <c r="C14" s="41" t="inlineStr">
        <is>
          <t>المجد</t>
        </is>
      </c>
      <c r="D14" s="41" t="inlineStr">
        <is>
          <t>التوفيقية</t>
        </is>
      </c>
      <c r="E14" s="41" t="n">
        <v>1520</v>
      </c>
      <c r="F14" s="50" t="n">
        <v>3</v>
      </c>
      <c r="G14" s="42" t="n">
        <v>8250</v>
      </c>
      <c r="H14" s="42" t="n"/>
      <c r="I14" s="43">
        <f>IF($B14="","",N($G14)-N($H14))</f>
        <v/>
      </c>
    </row>
    <row r="15">
      <c r="A15" s="39">
        <f>IF($B15="","",COUNTA($B$4:$B15))</f>
        <v/>
      </c>
      <c r="B15" s="45" t="n">
        <v>46055</v>
      </c>
      <c r="C15" s="46" t="inlineStr">
        <is>
          <t xml:space="preserve">بيك اجرى </t>
        </is>
      </c>
      <c r="D15" s="46" t="inlineStr">
        <is>
          <t>النوبارية</t>
        </is>
      </c>
      <c r="E15" s="46" t="n">
        <v>878856</v>
      </c>
      <c r="F15" s="51" t="n">
        <v>1</v>
      </c>
      <c r="G15" s="47" t="n">
        <v>2750</v>
      </c>
      <c r="H15" s="47" t="n"/>
      <c r="I15" s="43">
        <f>IF($B15="","",N($G15)-N($H15))</f>
        <v/>
      </c>
    </row>
    <row r="16">
      <c r="A16" s="39">
        <f>IF($B16="","",COUNTA($B$4:$B16))</f>
        <v/>
      </c>
      <c r="B16" s="40" t="n">
        <v>46063</v>
      </c>
      <c r="C16" s="41" t="n"/>
      <c r="D16" s="41" t="n"/>
      <c r="E16" s="41" t="n"/>
      <c r="F16" s="50" t="n"/>
      <c r="G16" s="42" t="n"/>
      <c r="H16" s="42" t="n">
        <v>50000</v>
      </c>
      <c r="I16" s="43">
        <f>IF($B16="","",N($G16)-N($H16))</f>
        <v/>
      </c>
    </row>
    <row r="17">
      <c r="A17" s="39">
        <f>IF($B17="","",COUNTA($B$4:$B17))</f>
        <v/>
      </c>
      <c r="B17" s="45" t="n">
        <v>46063</v>
      </c>
      <c r="C17" s="46" t="inlineStr">
        <is>
          <t xml:space="preserve">معبد فارم </t>
        </is>
      </c>
      <c r="D17" s="46" t="inlineStr">
        <is>
          <t>القناطر</t>
        </is>
      </c>
      <c r="E17" s="46" t="n">
        <v>882981</v>
      </c>
      <c r="F17" s="51" t="n">
        <v>1</v>
      </c>
      <c r="G17" s="47" t="n">
        <v>2750</v>
      </c>
      <c r="H17" s="47" t="n"/>
      <c r="I17" s="43">
        <f>IF($B17="","",N($G17)-N($H17))</f>
        <v/>
      </c>
    </row>
    <row r="18">
      <c r="A18" s="39">
        <f>IF($B18="","",COUNTA($B$4:$B18))</f>
        <v/>
      </c>
      <c r="B18" s="40" t="n">
        <v>46068</v>
      </c>
      <c r="C18" s="41" t="inlineStr">
        <is>
          <t>انترواكو</t>
        </is>
      </c>
      <c r="D18" s="41" t="inlineStr">
        <is>
          <t>القناطر</t>
        </is>
      </c>
      <c r="E18" s="41" t="n">
        <v>884175</v>
      </c>
      <c r="F18" s="50" t="n">
        <v>2</v>
      </c>
      <c r="G18" s="42" t="n">
        <v>5500</v>
      </c>
      <c r="H18" s="42" t="n"/>
      <c r="I18" s="43">
        <f>IF($B18="","",N($G18)-N($H18))</f>
        <v/>
      </c>
    </row>
    <row r="19">
      <c r="A19" s="39">
        <f>IF($B19="","",COUNTA($B$4:$B19))</f>
        <v/>
      </c>
      <c r="B19" s="45" t="n">
        <v>46074</v>
      </c>
      <c r="C19" s="46" t="inlineStr">
        <is>
          <t>نورميلا</t>
        </is>
      </c>
      <c r="D19" s="46" t="inlineStr">
        <is>
          <t xml:space="preserve">البرج </t>
        </is>
      </c>
      <c r="E19" s="46" t="n">
        <v>57110</v>
      </c>
      <c r="F19" s="51" t="n">
        <v>2</v>
      </c>
      <c r="G19" s="47" t="n">
        <v>5500</v>
      </c>
      <c r="H19" s="47" t="n"/>
      <c r="I19" s="43">
        <f>IF($B19="","",N($G19)-N($H19))</f>
        <v/>
      </c>
    </row>
    <row r="20">
      <c r="A20" s="39">
        <f>IF($B20="","",COUNTA($B$4:$B20))</f>
        <v/>
      </c>
      <c r="B20" s="40" t="n">
        <v>46074</v>
      </c>
      <c r="C20" s="41" t="inlineStr">
        <is>
          <t>انترواكو</t>
        </is>
      </c>
      <c r="D20" s="41" t="inlineStr">
        <is>
          <t>القناطر</t>
        </is>
      </c>
      <c r="E20" s="41" t="n">
        <v>57109</v>
      </c>
      <c r="F20" s="50" t="n">
        <v>2</v>
      </c>
      <c r="G20" s="42" t="n">
        <v>5500</v>
      </c>
      <c r="H20" s="42" t="n"/>
      <c r="I20" s="43">
        <f>IF($B20="","",N($G20)-N($H20))</f>
        <v/>
      </c>
    </row>
    <row r="21">
      <c r="A21" s="39">
        <f>IF($B21="","",COUNTA($B$4:$B21))</f>
        <v/>
      </c>
      <c r="B21" s="45" t="n">
        <v>46076</v>
      </c>
      <c r="C21" s="46" t="inlineStr">
        <is>
          <t xml:space="preserve">اورينت </t>
        </is>
      </c>
      <c r="D21" s="46" t="inlineStr">
        <is>
          <t xml:space="preserve">العبور </t>
        </is>
      </c>
      <c r="E21" s="46" t="n"/>
      <c r="F21" s="51" t="n">
        <v>1</v>
      </c>
      <c r="G21" s="47" t="n">
        <v>2750</v>
      </c>
      <c r="H21" s="47" t="n"/>
      <c r="I21" s="43">
        <f>IF($B21="","",N($G21)-N($H21))</f>
        <v/>
      </c>
    </row>
    <row r="22">
      <c r="A22" s="39">
        <f>IF($B22="","",COUNTA($B$4:$B22))</f>
        <v/>
      </c>
      <c r="B22" s="40" t="n">
        <v>46079</v>
      </c>
      <c r="C22" s="41" t="inlineStr">
        <is>
          <t xml:space="preserve">الفرسان </t>
        </is>
      </c>
      <c r="D22" s="41" t="inlineStr">
        <is>
          <t>اكتوبر</t>
        </is>
      </c>
      <c r="E22" s="41" t="n">
        <v>89983</v>
      </c>
      <c r="F22" s="50" t="n">
        <v>1</v>
      </c>
      <c r="G22" s="42" t="n">
        <v>2750</v>
      </c>
      <c r="H22" s="42" t="n"/>
      <c r="I22" s="43">
        <f>IF($B22="","",N($G22)-N($H22))</f>
        <v/>
      </c>
    </row>
    <row r="23">
      <c r="A23" s="39">
        <f>IF($B23="","",COUNTA($B$4:$B23))</f>
        <v/>
      </c>
      <c r="B23" s="45" t="n">
        <v>46079</v>
      </c>
      <c r="C23" s="46" t="n"/>
      <c r="D23" s="46" t="n"/>
      <c r="E23" s="46" t="n"/>
      <c r="F23" s="51" t="n"/>
      <c r="G23" s="47" t="n"/>
      <c r="H23" s="47" t="n">
        <v>30000</v>
      </c>
      <c r="I23" s="43">
        <f>IF($B23="","",N($G23)-N($H23))</f>
        <v/>
      </c>
    </row>
    <row r="24">
      <c r="A24" s="39">
        <f>IF($B24="","",COUNTA($B$4:$B24))</f>
        <v/>
      </c>
      <c r="B24" s="40" t="n">
        <v>46083</v>
      </c>
      <c r="C24" s="41" t="inlineStr">
        <is>
          <t xml:space="preserve">تومكو </t>
        </is>
      </c>
      <c r="D24" s="41" t="inlineStr">
        <is>
          <t xml:space="preserve">المنيا </t>
        </is>
      </c>
      <c r="E24" s="41" t="n">
        <v>279807</v>
      </c>
      <c r="F24" s="50" t="n">
        <v>1</v>
      </c>
      <c r="G24" s="42" t="n">
        <v>3750</v>
      </c>
      <c r="H24" s="42" t="n"/>
      <c r="I24" s="43">
        <f>IF($B24="","",N($G24)-N($H24))</f>
        <v/>
      </c>
    </row>
    <row r="25">
      <c r="A25" s="39">
        <f>IF($B25="","",COUNTA($B$4:$B25))</f>
        <v/>
      </c>
      <c r="B25" s="45" t="n">
        <v>46089</v>
      </c>
      <c r="C25" s="46" t="inlineStr">
        <is>
          <t>انتراكو</t>
        </is>
      </c>
      <c r="D25" s="46" t="inlineStr">
        <is>
          <t>القناطر</t>
        </is>
      </c>
      <c r="E25" s="46" t="n">
        <v>9020621020</v>
      </c>
      <c r="F25" s="51" t="n">
        <v>4</v>
      </c>
      <c r="G25" s="47" t="n">
        <v>11000</v>
      </c>
      <c r="H25" s="47" t="n"/>
      <c r="I25" s="43">
        <f>IF($B25="","",N($G25)-N($H25))</f>
        <v/>
      </c>
    </row>
    <row r="26">
      <c r="A26" s="39">
        <f>IF($B26="","",COUNTA($B$4:$B26))</f>
        <v/>
      </c>
      <c r="B26" s="40" t="n">
        <v>46090</v>
      </c>
      <c r="C26" s="41" t="inlineStr">
        <is>
          <t xml:space="preserve">الريعى </t>
        </is>
      </c>
      <c r="D26" s="41" t="inlineStr">
        <is>
          <t xml:space="preserve">الشرقية </t>
        </is>
      </c>
      <c r="E26" s="41" t="n">
        <v>892394</v>
      </c>
      <c r="F26" s="50" t="n">
        <v>1</v>
      </c>
      <c r="G26" s="42" t="n">
        <v>2750</v>
      </c>
      <c r="H26" s="42" t="n"/>
      <c r="I26" s="43">
        <f>IF($B26="","",N($G26)-N($H26))</f>
        <v/>
      </c>
    </row>
    <row r="27">
      <c r="A27" s="39">
        <f>IF($B27="","",COUNTA($B$4:$B27))</f>
        <v/>
      </c>
      <c r="B27" s="45" t="n">
        <v>46090</v>
      </c>
      <c r="C27" s="46" t="inlineStr">
        <is>
          <t xml:space="preserve">المجد </t>
        </is>
      </c>
      <c r="D27" s="46" t="inlineStr">
        <is>
          <t xml:space="preserve">بلد </t>
        </is>
      </c>
      <c r="E27" s="46" t="n">
        <v>16111072</v>
      </c>
      <c r="F27" s="51" t="n">
        <v>1</v>
      </c>
      <c r="G27" s="47" t="n">
        <v>2750</v>
      </c>
      <c r="H27" s="47" t="n"/>
      <c r="I27" s="43">
        <f>IF($B27="","",N($G27)-N($H27))</f>
        <v/>
      </c>
    </row>
    <row r="28">
      <c r="A28" s="39">
        <f>IF($B28="","",COUNTA($B$4:$B28))</f>
        <v/>
      </c>
      <c r="B28" s="40" t="n">
        <v>46093</v>
      </c>
      <c r="C28" s="41" t="inlineStr">
        <is>
          <t>انتراكو</t>
        </is>
      </c>
      <c r="D28" s="41" t="inlineStr">
        <is>
          <t xml:space="preserve">السادات </t>
        </is>
      </c>
      <c r="E28" s="41" t="n">
        <v>894052</v>
      </c>
      <c r="F28" s="50" t="n"/>
      <c r="G28" s="42" t="n"/>
      <c r="H28" s="42" t="n"/>
      <c r="I28" s="43">
        <f>IF($B28="","",N($G28)-N($H28))</f>
        <v/>
      </c>
    </row>
    <row r="29">
      <c r="A29" s="39">
        <f>IF($B29="","",COUNTA($B$4:$B29))</f>
        <v/>
      </c>
      <c r="B29" s="45" t="n">
        <v>46093</v>
      </c>
      <c r="C29" s="46" t="inlineStr">
        <is>
          <t>انتراكو</t>
        </is>
      </c>
      <c r="D29" s="46" t="inlineStr">
        <is>
          <t xml:space="preserve">بنى سويف </t>
        </is>
      </c>
      <c r="E29" s="46" t="n">
        <v>895171</v>
      </c>
      <c r="F29" s="51" t="n">
        <v>1</v>
      </c>
      <c r="G29" s="47" t="n">
        <v>2750</v>
      </c>
      <c r="H29" s="47" t="n"/>
      <c r="I29" s="43">
        <f>IF($B29="","",N($G29)-N($H29))</f>
        <v/>
      </c>
    </row>
    <row r="30">
      <c r="A30" s="39">
        <f>IF($B30="","",COUNTA($B$4:$B30))</f>
        <v/>
      </c>
      <c r="B30" s="40" t="n">
        <v>46095</v>
      </c>
      <c r="C30" s="41" t="inlineStr">
        <is>
          <t xml:space="preserve">الفرسان </t>
        </is>
      </c>
      <c r="D30" s="41" t="inlineStr">
        <is>
          <t>اكتوبر</t>
        </is>
      </c>
      <c r="E30" s="41" t="n">
        <v>894811</v>
      </c>
      <c r="F30" s="50" t="n">
        <v>1</v>
      </c>
      <c r="G30" s="42" t="n">
        <v>2750</v>
      </c>
      <c r="H30" s="42" t="n"/>
      <c r="I30" s="43">
        <f>IF($B30="","",N($G30)-N($H30))</f>
        <v/>
      </c>
    </row>
    <row r="31">
      <c r="A31" s="39">
        <f>IF($B31="","",COUNTA($B$4:$B31))</f>
        <v/>
      </c>
      <c r="B31" s="45" t="n">
        <v>46097</v>
      </c>
      <c r="C31" s="46" t="inlineStr">
        <is>
          <t>انتراكو</t>
        </is>
      </c>
      <c r="D31" s="46" t="inlineStr">
        <is>
          <t xml:space="preserve">السادات </t>
        </is>
      </c>
      <c r="E31" s="46" t="n">
        <v>896107</v>
      </c>
      <c r="F31" s="51" t="n">
        <v>1</v>
      </c>
      <c r="G31" s="47" t="n">
        <v>2750</v>
      </c>
      <c r="H31" s="47" t="n"/>
      <c r="I31" s="43">
        <f>IF($B31="","",N($G31)-N($H31))</f>
        <v/>
      </c>
    </row>
    <row r="32">
      <c r="A32" s="39">
        <f>IF($B32="","",COUNTA($B$4:$B32))</f>
        <v/>
      </c>
      <c r="B32" s="40" t="n">
        <v>46098</v>
      </c>
      <c r="C32" s="41" t="inlineStr">
        <is>
          <t xml:space="preserve">جرين لاند </t>
        </is>
      </c>
      <c r="D32" s="41" t="inlineStr">
        <is>
          <t xml:space="preserve">ك الدوار </t>
        </is>
      </c>
      <c r="E32" s="41" t="n">
        <v>886874</v>
      </c>
      <c r="F32" s="50" t="n">
        <v>2</v>
      </c>
      <c r="G32" s="42" t="n">
        <v>5500</v>
      </c>
      <c r="H32" s="42" t="n"/>
      <c r="I32" s="43">
        <f>IF($B32="","",N($G32)-N($H32))</f>
        <v/>
      </c>
    </row>
    <row r="33">
      <c r="A33" s="39">
        <f>IF($B33="","",COUNTA($B$4:$B33))</f>
        <v/>
      </c>
      <c r="B33" s="45" t="n">
        <v>46099</v>
      </c>
      <c r="C33" s="46" t="n"/>
      <c r="D33" s="46" t="n"/>
      <c r="E33" s="46" t="n"/>
      <c r="F33" s="51" t="n"/>
      <c r="G33" s="47" t="n"/>
      <c r="H33" s="47" t="n">
        <v>40000</v>
      </c>
      <c r="I33" s="43">
        <f>IF($B33="","",N($G33)-N($H33))</f>
        <v/>
      </c>
    </row>
    <row r="34">
      <c r="A34" s="39">
        <f>IF($B34="","",COUNTA($B$4:$B34))</f>
        <v/>
      </c>
      <c r="B34" s="40" t="n">
        <v>46111</v>
      </c>
      <c r="C34" s="41" t="inlineStr">
        <is>
          <t>انتراكو</t>
        </is>
      </c>
      <c r="D34" s="41" t="inlineStr">
        <is>
          <t xml:space="preserve">السادات </t>
        </is>
      </c>
      <c r="E34" s="41" t="n">
        <v>900217</v>
      </c>
      <c r="F34" s="50" t="n">
        <v>4</v>
      </c>
      <c r="G34" s="42" t="n">
        <v>11000</v>
      </c>
      <c r="H34" s="42" t="n"/>
      <c r="I34" s="43">
        <f>IF($B34="","",N($G34)-N($H34))</f>
        <v/>
      </c>
    </row>
    <row r="35">
      <c r="A35" s="39">
        <f>IF($B35="","",COUNTA($B$4:$B35))</f>
        <v/>
      </c>
      <c r="B35" s="45" t="n">
        <v>46121</v>
      </c>
      <c r="C35" s="46" t="inlineStr">
        <is>
          <t>انتراكو</t>
        </is>
      </c>
      <c r="D35" s="46" t="inlineStr">
        <is>
          <t xml:space="preserve">السادات </t>
        </is>
      </c>
      <c r="E35" s="46" t="n">
        <v>900788</v>
      </c>
      <c r="F35" s="51" t="n">
        <v>4</v>
      </c>
      <c r="G35" s="47" t="n">
        <v>11000</v>
      </c>
      <c r="H35" s="47" t="n"/>
      <c r="I35" s="43">
        <f>IF($B35="","",N($G35)-N($H35))</f>
        <v/>
      </c>
    </row>
    <row r="36">
      <c r="A36" s="39">
        <f>IF($B36="","",COUNTA($B$4:$B36))</f>
        <v/>
      </c>
      <c r="B36" s="40" t="n">
        <v>46121</v>
      </c>
      <c r="C36" s="41" t="inlineStr">
        <is>
          <t xml:space="preserve">الموندو </t>
        </is>
      </c>
      <c r="D36" s="41" t="inlineStr">
        <is>
          <t xml:space="preserve">السادات </t>
        </is>
      </c>
      <c r="E36" s="41" t="n">
        <v>9020717040</v>
      </c>
      <c r="F36" s="50" t="n">
        <v>1</v>
      </c>
      <c r="G36" s="42" t="n">
        <v>2750</v>
      </c>
      <c r="H36" s="42" t="n"/>
      <c r="I36" s="43">
        <f>IF($B36="","",N($G36)-N($H36))</f>
        <v/>
      </c>
    </row>
    <row r="37">
      <c r="A37" s="39">
        <f>IF($B37="","",COUNTA($B$4:$B37))</f>
        <v/>
      </c>
      <c r="B37" s="45" t="n">
        <v>46128</v>
      </c>
      <c r="C37" s="46" t="inlineStr">
        <is>
          <t>البستانية وارد</t>
        </is>
      </c>
      <c r="D37" s="46" t="inlineStr">
        <is>
          <t xml:space="preserve">السادات </t>
        </is>
      </c>
      <c r="E37" s="46" t="n">
        <v>148538</v>
      </c>
      <c r="F37" s="51" t="n">
        <v>2</v>
      </c>
      <c r="G37" s="47" t="n">
        <v>5500</v>
      </c>
      <c r="H37" s="47" t="n"/>
      <c r="I37" s="43">
        <f>IF($B37="","",N($G37)-N($H37))</f>
        <v/>
      </c>
    </row>
    <row r="38">
      <c r="A38" s="39">
        <f>IF($B38="","",COUNTA($B$4:$B38))</f>
        <v/>
      </c>
      <c r="B38" s="40" t="n">
        <v>46133</v>
      </c>
      <c r="C38" s="41" t="n"/>
      <c r="D38" s="41" t="n"/>
      <c r="E38" s="41" t="n"/>
      <c r="F38" s="50" t="n"/>
      <c r="G38" s="42" t="n"/>
      <c r="H38" s="42" t="n">
        <v>40000</v>
      </c>
      <c r="I38" s="43">
        <f>IF($B38="","",N($G38)-N($H38))</f>
        <v/>
      </c>
    </row>
    <row r="39">
      <c r="A39" s="39">
        <f>IF($B39="","",COUNTA($B$4:$B39))</f>
        <v/>
      </c>
      <c r="B39" s="45" t="n">
        <v>46133</v>
      </c>
      <c r="C39" s="46" t="inlineStr">
        <is>
          <t xml:space="preserve">الفرسان </t>
        </is>
      </c>
      <c r="D39" s="46" t="inlineStr">
        <is>
          <t>اكتوبر</t>
        </is>
      </c>
      <c r="E39" s="46" t="n">
        <v>903929</v>
      </c>
      <c r="F39" s="51" t="n">
        <v>1</v>
      </c>
      <c r="G39" s="47" t="n">
        <v>2750</v>
      </c>
      <c r="H39" s="47" t="n"/>
      <c r="I39" s="43">
        <f>IF($B39="","",N($G39)-N($H39))</f>
        <v/>
      </c>
    </row>
    <row r="40">
      <c r="A40" s="39">
        <f>IF($B40="","",COUNTA($B$4:$B40))</f>
        <v/>
      </c>
      <c r="B40" s="40" t="n">
        <v>46133</v>
      </c>
      <c r="C40" s="41" t="inlineStr">
        <is>
          <t xml:space="preserve">الفرسان </t>
        </is>
      </c>
      <c r="D40" s="41" t="inlineStr">
        <is>
          <t>اكتوبر</t>
        </is>
      </c>
      <c r="E40" s="41" t="n">
        <v>908217</v>
      </c>
      <c r="F40" s="50" t="n">
        <v>1</v>
      </c>
      <c r="G40" s="42" t="n">
        <v>2750</v>
      </c>
      <c r="H40" s="42" t="n"/>
      <c r="I40" s="43">
        <f>IF($B40="","",N($G40)-N($H40))</f>
        <v/>
      </c>
    </row>
    <row r="41">
      <c r="A41" s="39">
        <f>IF($B41="","",COUNTA($B$4:$B41))</f>
        <v/>
      </c>
      <c r="B41" s="45" t="n">
        <v>46135</v>
      </c>
      <c r="C41" s="46" t="inlineStr">
        <is>
          <t xml:space="preserve">الفرسان </t>
        </is>
      </c>
      <c r="D41" s="46" t="inlineStr">
        <is>
          <t>اكتوبر</t>
        </is>
      </c>
      <c r="E41" s="46" t="n">
        <v>903980</v>
      </c>
      <c r="F41" s="51" t="n"/>
      <c r="G41" s="47" t="n"/>
      <c r="H41" s="47" t="n"/>
      <c r="I41" s="43">
        <f>IF($B41="","",N($G41)-N($H41))</f>
        <v/>
      </c>
    </row>
    <row r="42">
      <c r="A42" s="39">
        <f>IF($B42="","",COUNTA($B$4:$B42))</f>
        <v/>
      </c>
      <c r="B42" s="40" t="n">
        <v>46135</v>
      </c>
      <c r="C42" s="41" t="inlineStr">
        <is>
          <t xml:space="preserve">ماى فارم </t>
        </is>
      </c>
      <c r="D42" s="41" t="inlineStr">
        <is>
          <t xml:space="preserve">جمصة </t>
        </is>
      </c>
      <c r="E42" s="41" t="n">
        <v>24671489</v>
      </c>
      <c r="F42" s="50" t="n">
        <v>1</v>
      </c>
      <c r="G42" s="42" t="n">
        <v>2750</v>
      </c>
      <c r="H42" s="42" t="n"/>
      <c r="I42" s="43">
        <f>IF($B42="","",N($G42)-N($H42))</f>
        <v/>
      </c>
    </row>
    <row r="43">
      <c r="A43" s="39">
        <f>IF($B43="","",COUNTA($B$4:$B43))</f>
        <v/>
      </c>
      <c r="B43" s="45" t="n">
        <v>46138</v>
      </c>
      <c r="C43" s="46" t="inlineStr">
        <is>
          <t>المراعى الخضراء</t>
        </is>
      </c>
      <c r="D43" s="46" t="inlineStr">
        <is>
          <t>اكتوبر</t>
        </is>
      </c>
      <c r="E43" s="46" t="n">
        <v>911076</v>
      </c>
      <c r="F43" s="51" t="n">
        <v>1</v>
      </c>
      <c r="G43" s="47" t="n">
        <v>2750</v>
      </c>
      <c r="H43" s="47" t="n"/>
      <c r="I43" s="43">
        <f>IF($B43="","",N($G43)-N($H43))</f>
        <v/>
      </c>
    </row>
    <row r="44">
      <c r="A44" s="39">
        <f>IF($B44="","",COUNTA($B$4:$B44))</f>
        <v/>
      </c>
      <c r="B44" s="40" t="n">
        <v>46140</v>
      </c>
      <c r="C44" s="41" t="inlineStr">
        <is>
          <t>انتراكو</t>
        </is>
      </c>
      <c r="D44" s="41" t="inlineStr">
        <is>
          <t xml:space="preserve">الاسماعيلية </t>
        </is>
      </c>
      <c r="E44" s="41" t="n">
        <v>196994</v>
      </c>
      <c r="F44" s="50" t="n">
        <v>1</v>
      </c>
      <c r="G44" s="42" t="n">
        <v>2750</v>
      </c>
      <c r="H44" s="42" t="n"/>
      <c r="I44" s="43">
        <f>IF($B44="","",N($G44)-N($H44))</f>
        <v/>
      </c>
    </row>
    <row r="45">
      <c r="A45" s="39">
        <f>IF($B45="","",COUNTA($B$4:$B45))</f>
        <v/>
      </c>
      <c r="B45" s="45" t="n">
        <v>46140</v>
      </c>
      <c r="C45" s="46" t="inlineStr">
        <is>
          <t>المراعى الخضراء</t>
        </is>
      </c>
      <c r="D45" s="46" t="inlineStr">
        <is>
          <t>اكتوبر</t>
        </is>
      </c>
      <c r="E45" s="46" t="n">
        <v>426369889</v>
      </c>
      <c r="F45" s="51" t="n">
        <v>1</v>
      </c>
      <c r="G45" s="47" t="n">
        <v>2750</v>
      </c>
      <c r="H45" s="47" t="n"/>
      <c r="I45" s="43">
        <f>IF($B45="","",N($G45)-N($H45))</f>
        <v/>
      </c>
    </row>
    <row r="46">
      <c r="A46" s="39">
        <f>IF($B46="","",COUNTA($B$4:$B46))</f>
        <v/>
      </c>
      <c r="B46" s="40" t="n">
        <v>46140</v>
      </c>
      <c r="C46" s="41" t="inlineStr">
        <is>
          <t xml:space="preserve">النوبارية </t>
        </is>
      </c>
      <c r="D46" s="41" t="inlineStr">
        <is>
          <t>انتراكوا</t>
        </is>
      </c>
      <c r="E46" s="41" t="n">
        <v>902077488</v>
      </c>
      <c r="F46" s="50" t="n">
        <v>3</v>
      </c>
      <c r="G46" s="42" t="n">
        <v>8250</v>
      </c>
      <c r="H46" s="42" t="n"/>
      <c r="I46" s="43">
        <f>IF($B46="","",N($G46)-N($H46))</f>
        <v/>
      </c>
    </row>
    <row r="47">
      <c r="A47" s="39">
        <f>IF($B47="","",COUNTA($B$4:$B47))</f>
        <v/>
      </c>
      <c r="B47" s="45" t="n">
        <v>46146</v>
      </c>
      <c r="C47" s="46" t="inlineStr">
        <is>
          <t xml:space="preserve">العاشر </t>
        </is>
      </c>
      <c r="D47" s="46" t="inlineStr">
        <is>
          <t>الكوثر</t>
        </is>
      </c>
      <c r="E47" s="46" t="inlineStr">
        <is>
          <t>613/098</t>
        </is>
      </c>
      <c r="F47" s="51" t="n">
        <v>2</v>
      </c>
      <c r="G47" s="47" t="n">
        <v>2150</v>
      </c>
      <c r="H47" s="47" t="n"/>
      <c r="I47" s="43">
        <f>IF($B47="","",N($G47)-N($H47))</f>
        <v/>
      </c>
    </row>
    <row r="48">
      <c r="A48" s="39">
        <f>IF($B48="","",COUNTA($B$4:$B48))</f>
        <v/>
      </c>
      <c r="B48" s="40" t="n">
        <v>46146</v>
      </c>
      <c r="C48" s="41" t="inlineStr">
        <is>
          <t xml:space="preserve">العاشر </t>
        </is>
      </c>
      <c r="D48" s="41" t="inlineStr">
        <is>
          <t>الكوثر</t>
        </is>
      </c>
      <c r="E48" s="41" t="inlineStr">
        <is>
          <t>613/133</t>
        </is>
      </c>
      <c r="F48" s="50" t="n"/>
      <c r="G48" s="42" t="n"/>
      <c r="H48" s="42" t="n"/>
      <c r="I48" s="43">
        <f>IF($B48="","",N($G48)-N($H48))</f>
        <v/>
      </c>
    </row>
    <row r="49">
      <c r="A49" s="39">
        <f>IF($B49="","",COUNTA($B$4:$B49))</f>
        <v/>
      </c>
      <c r="B49" s="45" t="n">
        <v>46167</v>
      </c>
      <c r="C49" s="46" t="n"/>
      <c r="D49" s="46" t="n"/>
      <c r="E49" s="46" t="n"/>
      <c r="F49" s="51" t="n"/>
      <c r="G49" s="47" t="n"/>
      <c r="H49" s="47" t="n">
        <v>50000</v>
      </c>
      <c r="I49" s="43">
        <f>IF($B49="","",N($G49)-N($H49))</f>
        <v/>
      </c>
    </row>
    <row r="50">
      <c r="A50" s="39">
        <f>IF($B50="","",COUNTA($B$4:$B50))</f>
        <v/>
      </c>
      <c r="B50" s="40" t="n"/>
      <c r="C50" s="41" t="n"/>
      <c r="D50" s="41" t="n"/>
      <c r="E50" s="41" t="n"/>
      <c r="F50" s="50" t="n"/>
      <c r="G50" s="42" t="n"/>
      <c r="H50" s="42" t="n"/>
      <c r="I50" s="43">
        <f>IF($B50="","",N($G50)-N($H50))</f>
        <v/>
      </c>
    </row>
    <row r="51">
      <c r="A51" s="39">
        <f>IF($B51="","",COUNTA($B$4:$B51))</f>
        <v/>
      </c>
      <c r="B51" s="45" t="n"/>
      <c r="C51" s="46" t="n"/>
      <c r="D51" s="46" t="n"/>
      <c r="E51" s="46" t="n"/>
      <c r="F51" s="51" t="n"/>
      <c r="G51" s="47" t="n"/>
      <c r="H51" s="47" t="n"/>
      <c r="I51" s="43">
        <f>IF($B51="","",N($G51)-N($H51))</f>
        <v/>
      </c>
    </row>
    <row r="52">
      <c r="A52" s="39">
        <f>IF($B52="","",COUNTA($B$4:$B52))</f>
        <v/>
      </c>
      <c r="B52" s="40" t="n"/>
      <c r="C52" s="41" t="n"/>
      <c r="D52" s="41" t="n"/>
      <c r="E52" s="41" t="n"/>
      <c r="F52" s="50" t="n"/>
      <c r="G52" s="42" t="n"/>
      <c r="H52" s="42" t="n"/>
      <c r="I52" s="43">
        <f>IF($B52="","",N($G52)-N($H52))</f>
        <v/>
      </c>
    </row>
    <row r="53">
      <c r="A53" s="39">
        <f>IF($B53="","",COUNTA($B$4:$B53))</f>
        <v/>
      </c>
      <c r="B53" s="45" t="n"/>
      <c r="C53" s="46" t="n"/>
      <c r="D53" s="46" t="n"/>
      <c r="E53" s="46" t="n"/>
      <c r="F53" s="51" t="n"/>
      <c r="G53" s="47" t="n"/>
      <c r="H53" s="47" t="n"/>
      <c r="I53" s="43">
        <f>IF($B53="","",N($G53)-N($H53))</f>
        <v/>
      </c>
    </row>
    <row r="54">
      <c r="A54" s="39">
        <f>IF($B54="","",COUNTA($B$4:$B54))</f>
        <v/>
      </c>
      <c r="B54" s="40" t="n"/>
      <c r="C54" s="41" t="n"/>
      <c r="D54" s="41" t="n"/>
      <c r="E54" s="41" t="n"/>
      <c r="F54" s="50" t="n"/>
      <c r="G54" s="42" t="n"/>
      <c r="H54" s="42" t="n"/>
      <c r="I54" s="43">
        <f>IF($B54="","",N($G54)-N($H54))</f>
        <v/>
      </c>
    </row>
    <row r="55">
      <c r="A55" s="39">
        <f>IF($B55="","",COUNTA($B$4:$B55))</f>
        <v/>
      </c>
      <c r="B55" s="45" t="n"/>
      <c r="C55" s="46" t="n"/>
      <c r="D55" s="46" t="n"/>
      <c r="E55" s="46" t="n"/>
      <c r="F55" s="51" t="n"/>
      <c r="G55" s="47" t="n"/>
      <c r="H55" s="47" t="n"/>
      <c r="I55" s="43">
        <f>IF($B55="","",N($G55)-N($H55))</f>
        <v/>
      </c>
    </row>
    <row r="56">
      <c r="A56" s="39">
        <f>IF($B56="","",COUNTA($B$4:$B56))</f>
        <v/>
      </c>
      <c r="B56" s="40" t="n"/>
      <c r="C56" s="41" t="n"/>
      <c r="D56" s="41" t="n"/>
      <c r="E56" s="41" t="n"/>
      <c r="F56" s="50" t="n"/>
      <c r="G56" s="42" t="n"/>
      <c r="H56" s="42" t="n"/>
      <c r="I56" s="43">
        <f>IF($B56="","",N($G56)-N($H56))</f>
        <v/>
      </c>
    </row>
    <row r="57">
      <c r="A57" s="39">
        <f>IF($B57="","",COUNTA($B$4:$B57))</f>
        <v/>
      </c>
      <c r="B57" s="45" t="n"/>
      <c r="C57" s="46" t="n"/>
      <c r="D57" s="46" t="n"/>
      <c r="E57" s="46" t="n"/>
      <c r="F57" s="51" t="n"/>
      <c r="G57" s="47" t="n"/>
      <c r="H57" s="47" t="n"/>
      <c r="I57" s="43">
        <f>IF($B57="","",N($G57)-N($H57))</f>
        <v/>
      </c>
    </row>
    <row r="58">
      <c r="A58" s="39">
        <f>IF($B58="","",COUNTA($B$4:$B58))</f>
        <v/>
      </c>
      <c r="B58" s="40" t="n"/>
      <c r="C58" s="41" t="n"/>
      <c r="D58" s="41" t="n"/>
      <c r="E58" s="41" t="n"/>
      <c r="F58" s="50" t="n"/>
      <c r="G58" s="42" t="n"/>
      <c r="H58" s="42" t="n"/>
      <c r="I58" s="43">
        <f>IF($B58="","",N($G58)-N($H58))</f>
        <v/>
      </c>
    </row>
    <row r="59">
      <c r="A59" s="39">
        <f>IF($B59="","",COUNTA($B$4:$B59))</f>
        <v/>
      </c>
      <c r="B59" s="45" t="n"/>
      <c r="C59" s="46" t="n"/>
      <c r="D59" s="46" t="n"/>
      <c r="E59" s="46" t="n"/>
      <c r="F59" s="51" t="n"/>
      <c r="G59" s="47" t="n"/>
      <c r="H59" s="47" t="n"/>
      <c r="I59" s="43">
        <f>IF($B59="","",N($G59)-N($H59))</f>
        <v/>
      </c>
    </row>
    <row r="60">
      <c r="A60" s="39">
        <f>IF($B60="","",COUNTA($B$4:$B60))</f>
        <v/>
      </c>
      <c r="B60" s="40" t="n"/>
      <c r="C60" s="41" t="n"/>
      <c r="D60" s="41" t="n"/>
      <c r="E60" s="41" t="n"/>
      <c r="F60" s="50" t="n"/>
      <c r="G60" s="42" t="n"/>
      <c r="H60" s="42" t="n"/>
      <c r="I60" s="43">
        <f>IF($B60="","",N($G60)-N($H60))</f>
        <v/>
      </c>
    </row>
    <row r="61">
      <c r="A61" s="39">
        <f>IF($B61="","",COUNTA($B$4:$B61))</f>
        <v/>
      </c>
      <c r="B61" s="45" t="n"/>
      <c r="C61" s="46" t="n"/>
      <c r="D61" s="46" t="n"/>
      <c r="E61" s="46" t="n"/>
      <c r="F61" s="51" t="n"/>
      <c r="G61" s="47" t="n"/>
      <c r="H61" s="47" t="n"/>
      <c r="I61" s="43">
        <f>IF($B61="","",N($G61)-N($H61))</f>
        <v/>
      </c>
    </row>
    <row r="62">
      <c r="A62" s="39">
        <f>IF($B62="","",COUNTA($B$4:$B62))</f>
        <v/>
      </c>
      <c r="B62" s="40" t="n"/>
      <c r="C62" s="41" t="n"/>
      <c r="D62" s="41" t="n"/>
      <c r="E62" s="41" t="n"/>
      <c r="F62" s="50" t="n"/>
      <c r="G62" s="42" t="n"/>
      <c r="H62" s="42" t="n"/>
      <c r="I62" s="43">
        <f>IF($B62="","",N($G62)-N($H62))</f>
        <v/>
      </c>
    </row>
    <row r="63">
      <c r="A63" s="39">
        <f>IF($B63="","",COUNTA($B$4:$B63))</f>
        <v/>
      </c>
      <c r="B63" s="45" t="n"/>
      <c r="C63" s="46" t="n"/>
      <c r="D63" s="46" t="n"/>
      <c r="E63" s="46" t="n"/>
      <c r="F63" s="51" t="n"/>
      <c r="G63" s="47" t="n"/>
      <c r="H63" s="47" t="n"/>
      <c r="I63" s="43">
        <f>IF($B63="","",N($G63)-N($H63))</f>
        <v/>
      </c>
    </row>
    <row r="64">
      <c r="A64" s="39">
        <f>IF($B64="","",COUNTA($B$4:$B64))</f>
        <v/>
      </c>
      <c r="B64" s="40" t="n"/>
      <c r="C64" s="41" t="n"/>
      <c r="D64" s="41" t="n"/>
      <c r="E64" s="41" t="n"/>
      <c r="F64" s="50" t="n"/>
      <c r="G64" s="42" t="n"/>
      <c r="H64" s="42" t="n"/>
      <c r="I64" s="43">
        <f>IF($B64="","",N($G64)-N($H64))</f>
        <v/>
      </c>
    </row>
    <row r="65">
      <c r="A65" s="39">
        <f>IF($B65="","",COUNTA($B$4:$B65))</f>
        <v/>
      </c>
      <c r="B65" s="45" t="n"/>
      <c r="C65" s="46" t="n"/>
      <c r="D65" s="46" t="n"/>
      <c r="E65" s="46" t="n"/>
      <c r="F65" s="51" t="n"/>
      <c r="G65" s="47" t="n"/>
      <c r="H65" s="47" t="n"/>
      <c r="I65" s="43">
        <f>IF($B65="","",N($G65)-N($H65))</f>
        <v/>
      </c>
    </row>
    <row r="66">
      <c r="A66" s="39">
        <f>IF($B66="","",COUNTA($B$4:$B66))</f>
        <v/>
      </c>
      <c r="B66" s="40" t="n"/>
      <c r="C66" s="41" t="n"/>
      <c r="D66" s="41" t="n"/>
      <c r="E66" s="41" t="n"/>
      <c r="F66" s="50" t="n"/>
      <c r="G66" s="42" t="n"/>
      <c r="H66" s="42" t="n"/>
      <c r="I66" s="43">
        <f>IF($B66="","",N($G66)-N($H66))</f>
        <v/>
      </c>
    </row>
    <row r="67">
      <c r="A67" s="39">
        <f>IF($B67="","",COUNTA($B$4:$B67))</f>
        <v/>
      </c>
      <c r="B67" s="45" t="n"/>
      <c r="C67" s="46" t="n"/>
      <c r="D67" s="46" t="n"/>
      <c r="E67" s="46" t="n"/>
      <c r="F67" s="51" t="n"/>
      <c r="G67" s="47" t="n"/>
      <c r="H67" s="47" t="n"/>
      <c r="I67" s="43">
        <f>IF($B67="","",N($G67)-N($H67))</f>
        <v/>
      </c>
    </row>
    <row r="68">
      <c r="A68" s="39">
        <f>IF($B68="","",COUNTA($B$4:$B68))</f>
        <v/>
      </c>
      <c r="B68" s="40" t="n"/>
      <c r="C68" s="41" t="n"/>
      <c r="D68" s="41" t="n"/>
      <c r="E68" s="41" t="n"/>
      <c r="F68" s="50" t="n"/>
      <c r="G68" s="42" t="n"/>
      <c r="H68" s="42" t="n"/>
      <c r="I68" s="43">
        <f>IF($B68="","",N($G68)-N($H68))</f>
        <v/>
      </c>
    </row>
    <row r="69">
      <c r="A69" s="39">
        <f>IF($B69="","",COUNTA($B$4:$B69))</f>
        <v/>
      </c>
      <c r="B69" s="45" t="n"/>
      <c r="C69" s="46" t="n"/>
      <c r="D69" s="46" t="n"/>
      <c r="E69" s="46" t="n"/>
      <c r="F69" s="51" t="n"/>
      <c r="G69" s="47" t="n"/>
      <c r="H69" s="47" t="n"/>
      <c r="I69" s="43">
        <f>IF($B69="","",N($G69)-N($H69))</f>
        <v/>
      </c>
    </row>
    <row r="70">
      <c r="A70" s="39">
        <f>IF($B70="","",COUNTA($B$4:$B70))</f>
        <v/>
      </c>
      <c r="B70" s="40" t="n"/>
      <c r="C70" s="41" t="n"/>
      <c r="D70" s="41" t="n"/>
      <c r="E70" s="41" t="n"/>
      <c r="F70" s="50" t="n"/>
      <c r="G70" s="42" t="n"/>
      <c r="H70" s="42" t="n"/>
      <c r="I70" s="43">
        <f>IF($B70="","",N($G70)-N($H70))</f>
        <v/>
      </c>
    </row>
    <row r="71">
      <c r="A71" s="39">
        <f>IF($B71="","",COUNTA($B$4:$B71))</f>
        <v/>
      </c>
      <c r="B71" s="45" t="n"/>
      <c r="C71" s="46" t="n"/>
      <c r="D71" s="46" t="n"/>
      <c r="E71" s="46" t="n"/>
      <c r="F71" s="51" t="n"/>
      <c r="G71" s="47" t="n"/>
      <c r="H71" s="47" t="n"/>
      <c r="I71" s="43">
        <f>IF($B71="","",N($G71)-N($H71))</f>
        <v/>
      </c>
    </row>
    <row r="72">
      <c r="A72" s="39">
        <f>IF($B72="","",COUNTA($B$4:$B72))</f>
        <v/>
      </c>
      <c r="B72" s="40" t="n"/>
      <c r="C72" s="41" t="n"/>
      <c r="D72" s="41" t="n"/>
      <c r="E72" s="41" t="n"/>
      <c r="F72" s="50" t="n"/>
      <c r="G72" s="42" t="n"/>
      <c r="H72" s="42" t="n"/>
      <c r="I72" s="43">
        <f>IF($B72="","",N($G72)-N($H72))</f>
        <v/>
      </c>
    </row>
    <row r="73">
      <c r="A73" s="39">
        <f>IF($B73="","",COUNTA($B$4:$B73))</f>
        <v/>
      </c>
      <c r="B73" s="45" t="n"/>
      <c r="C73" s="46" t="n"/>
      <c r="D73" s="46" t="n"/>
      <c r="E73" s="46" t="n"/>
      <c r="F73" s="51" t="n"/>
      <c r="G73" s="47" t="n"/>
      <c r="H73" s="47" t="n"/>
      <c r="I73" s="43">
        <f>IF($B73="","",N($G73)-N($H73))</f>
        <v/>
      </c>
    </row>
    <row r="74">
      <c r="A74" s="39">
        <f>IF($B74="","",COUNTA($B$4:$B74))</f>
        <v/>
      </c>
      <c r="B74" s="40" t="n"/>
      <c r="C74" s="41" t="n"/>
      <c r="D74" s="41" t="n"/>
      <c r="E74" s="41" t="n"/>
      <c r="F74" s="50" t="n"/>
      <c r="G74" s="42" t="n"/>
      <c r="H74" s="42" t="n"/>
      <c r="I74" s="43">
        <f>IF($B74="","",N($G74)-N($H74))</f>
        <v/>
      </c>
    </row>
    <row r="75">
      <c r="A75" s="39">
        <f>IF($B75="","",COUNTA($B$4:$B75))</f>
        <v/>
      </c>
      <c r="B75" s="45" t="n"/>
      <c r="C75" s="46" t="n"/>
      <c r="D75" s="46" t="n"/>
      <c r="E75" s="46" t="n"/>
      <c r="F75" s="51" t="n"/>
      <c r="G75" s="47" t="n"/>
      <c r="H75" s="47" t="n"/>
      <c r="I75" s="43">
        <f>IF($B75="","",N($G75)-N($H75))</f>
        <v/>
      </c>
    </row>
    <row r="76">
      <c r="A76" s="39">
        <f>IF($B76="","",COUNTA($B$4:$B76))</f>
        <v/>
      </c>
      <c r="B76" s="40" t="n"/>
      <c r="C76" s="41" t="n"/>
      <c r="D76" s="41" t="n"/>
      <c r="E76" s="41" t="n"/>
      <c r="F76" s="50" t="n"/>
      <c r="G76" s="42" t="n"/>
      <c r="H76" s="42" t="n"/>
      <c r="I76" s="43">
        <f>IF($B76="","",N($G76)-N($H76))</f>
        <v/>
      </c>
    </row>
    <row r="77">
      <c r="A77" s="39">
        <f>IF($B77="","",COUNTA($B$4:$B77))</f>
        <v/>
      </c>
      <c r="B77" s="45" t="n"/>
      <c r="C77" s="46" t="n"/>
      <c r="D77" s="46" t="n"/>
      <c r="E77" s="46" t="n"/>
      <c r="F77" s="51" t="n"/>
      <c r="G77" s="47" t="n"/>
      <c r="H77" s="47" t="n"/>
      <c r="I77" s="43">
        <f>IF($B77="","",N($G77)-N($H77))</f>
        <v/>
      </c>
    </row>
    <row r="78">
      <c r="A78" s="39">
        <f>IF($B78="","",COUNTA($B$4:$B78))</f>
        <v/>
      </c>
      <c r="B78" s="40" t="n"/>
      <c r="C78" s="41" t="n"/>
      <c r="D78" s="41" t="n"/>
      <c r="E78" s="41" t="n"/>
      <c r="F78" s="50" t="n"/>
      <c r="G78" s="42" t="n"/>
      <c r="H78" s="42" t="n"/>
      <c r="I78" s="43">
        <f>IF($B78="","",N($G78)-N($H78))</f>
        <v/>
      </c>
    </row>
    <row r="79">
      <c r="A79" s="39">
        <f>IF($B79="","",COUNTA($B$4:$B79))</f>
        <v/>
      </c>
      <c r="B79" s="45" t="n"/>
      <c r="C79" s="46" t="n"/>
      <c r="D79" s="46" t="n"/>
      <c r="E79" s="46" t="n"/>
      <c r="F79" s="51" t="n"/>
      <c r="G79" s="47" t="n"/>
      <c r="H79" s="47" t="n"/>
      <c r="I79" s="43">
        <f>IF($B79="","",N($G79)-N($H79))</f>
        <v/>
      </c>
    </row>
    <row r="80">
      <c r="A80" s="39">
        <f>IF($B80="","",COUNTA($B$4:$B80))</f>
        <v/>
      </c>
      <c r="B80" s="40" t="n"/>
      <c r="C80" s="41" t="n"/>
      <c r="D80" s="41" t="n"/>
      <c r="E80" s="41" t="n"/>
      <c r="F80" s="50" t="n"/>
      <c r="G80" s="42" t="n"/>
      <c r="H80" s="42" t="n"/>
      <c r="I80" s="43">
        <f>IF($B80="","",N($G80)-N($H80))</f>
        <v/>
      </c>
    </row>
    <row r="81">
      <c r="A81" s="39">
        <f>IF($B81="","",COUNTA($B$4:$B81))</f>
        <v/>
      </c>
      <c r="B81" s="45" t="n"/>
      <c r="C81" s="46" t="n"/>
      <c r="D81" s="46" t="n"/>
      <c r="E81" s="46" t="n"/>
      <c r="F81" s="51" t="n"/>
      <c r="G81" s="47" t="n"/>
      <c r="H81" s="47" t="n"/>
      <c r="I81" s="43">
        <f>IF($B81="","",N($G81)-N($H81))</f>
        <v/>
      </c>
    </row>
    <row r="82">
      <c r="A82" s="39">
        <f>IF($B82="","",COUNTA($B$4:$B82))</f>
        <v/>
      </c>
      <c r="B82" s="40" t="n"/>
      <c r="C82" s="41" t="n"/>
      <c r="D82" s="41" t="n"/>
      <c r="E82" s="41" t="n"/>
      <c r="F82" s="50" t="n"/>
      <c r="G82" s="42" t="n"/>
      <c r="H82" s="42" t="n"/>
      <c r="I82" s="43">
        <f>IF($B82="","",N($G82)-N($H82))</f>
        <v/>
      </c>
    </row>
    <row r="83">
      <c r="A83" s="39">
        <f>IF($B83="","",COUNTA($B$4:$B83))</f>
        <v/>
      </c>
      <c r="B83" s="45" t="n"/>
      <c r="C83" s="46" t="n"/>
      <c r="D83" s="46" t="n"/>
      <c r="E83" s="46" t="n"/>
      <c r="F83" s="51" t="n"/>
      <c r="G83" s="47" t="n"/>
      <c r="H83" s="47" t="n"/>
      <c r="I83" s="43">
        <f>IF($B83="","",N($G83)-N($H83))</f>
        <v/>
      </c>
    </row>
    <row r="84">
      <c r="A84" s="39">
        <f>IF($B84="","",COUNTA($B$4:$B84))</f>
        <v/>
      </c>
      <c r="B84" s="40" t="n"/>
      <c r="C84" s="41" t="n"/>
      <c r="D84" s="41" t="n"/>
      <c r="E84" s="41" t="n"/>
      <c r="F84" s="50" t="n"/>
      <c r="G84" s="42" t="n"/>
      <c r="H84" s="42" t="n"/>
      <c r="I84" s="43">
        <f>IF($B84="","",N($G84)-N($H84))</f>
        <v/>
      </c>
    </row>
    <row r="85">
      <c r="A85" s="39">
        <f>IF($B85="","",COUNTA($B$4:$B85))</f>
        <v/>
      </c>
      <c r="B85" s="45" t="n"/>
      <c r="C85" s="46" t="n"/>
      <c r="D85" s="46" t="n"/>
      <c r="E85" s="46" t="n"/>
      <c r="F85" s="51" t="n"/>
      <c r="G85" s="47" t="n"/>
      <c r="H85" s="47" t="n"/>
      <c r="I85" s="43">
        <f>IF($B85="","",N($G85)-N($H85))</f>
        <v/>
      </c>
    </row>
    <row r="86">
      <c r="A86" s="39">
        <f>IF($B86="","",COUNTA($B$4:$B86))</f>
        <v/>
      </c>
      <c r="B86" s="40" t="n"/>
      <c r="C86" s="41" t="n"/>
      <c r="D86" s="41" t="n"/>
      <c r="E86" s="41" t="n"/>
      <c r="F86" s="50" t="n"/>
      <c r="G86" s="42" t="n"/>
      <c r="H86" s="42" t="n"/>
      <c r="I86" s="43">
        <f>IF($B86="","",N($G86)-N($H86))</f>
        <v/>
      </c>
    </row>
    <row r="87">
      <c r="A87" s="39">
        <f>IF($B87="","",COUNTA($B$4:$B87))</f>
        <v/>
      </c>
      <c r="B87" s="45" t="n"/>
      <c r="C87" s="46" t="n"/>
      <c r="D87" s="46" t="n"/>
      <c r="E87" s="46" t="n"/>
      <c r="F87" s="51" t="n"/>
      <c r="G87" s="47" t="n"/>
      <c r="H87" s="47" t="n"/>
      <c r="I87" s="43">
        <f>IF($B87="","",N($G87)-N($H87))</f>
        <v/>
      </c>
    </row>
    <row r="88">
      <c r="A88" s="39">
        <f>IF($B88="","",COUNTA($B$4:$B88))</f>
        <v/>
      </c>
      <c r="B88" s="40" t="n"/>
      <c r="C88" s="41" t="n"/>
      <c r="D88" s="41" t="n"/>
      <c r="E88" s="41" t="n"/>
      <c r="F88" s="50" t="n"/>
      <c r="G88" s="42" t="n"/>
      <c r="H88" s="42" t="n"/>
      <c r="I88" s="43">
        <f>IF($B88="","",N($G88)-N($H88))</f>
        <v/>
      </c>
    </row>
    <row r="89">
      <c r="A89" s="39">
        <f>IF($B89="","",COUNTA($B$4:$B89))</f>
        <v/>
      </c>
      <c r="B89" s="45" t="n"/>
      <c r="C89" s="46" t="n"/>
      <c r="D89" s="46" t="n"/>
      <c r="E89" s="46" t="n"/>
      <c r="F89" s="51" t="n"/>
      <c r="G89" s="47" t="n"/>
      <c r="H89" s="47" t="n"/>
      <c r="I89" s="43">
        <f>IF($B89="","",N($G89)-N($H89))</f>
        <v/>
      </c>
    </row>
    <row r="90">
      <c r="A90" s="39">
        <f>IF($B90="","",COUNTA($B$4:$B90))</f>
        <v/>
      </c>
      <c r="B90" s="40" t="n"/>
      <c r="C90" s="41" t="n"/>
      <c r="D90" s="41" t="n"/>
      <c r="E90" s="41" t="n"/>
      <c r="F90" s="50" t="n"/>
      <c r="G90" s="42" t="n"/>
      <c r="H90" s="42" t="n"/>
      <c r="I90" s="43">
        <f>IF($B90="","",N($G90)-N($H90))</f>
        <v/>
      </c>
    </row>
    <row r="91">
      <c r="A91" s="39">
        <f>IF($B91="","",COUNTA($B$4:$B91))</f>
        <v/>
      </c>
      <c r="B91" s="45" t="n"/>
      <c r="C91" s="46" t="n"/>
      <c r="D91" s="46" t="n"/>
      <c r="E91" s="46" t="n"/>
      <c r="F91" s="51" t="n"/>
      <c r="G91" s="47" t="n"/>
      <c r="H91" s="47" t="n"/>
      <c r="I91" s="43">
        <f>IF($B91="","",N($G91)-N($H91))</f>
        <v/>
      </c>
    </row>
    <row r="92">
      <c r="A92" s="39">
        <f>IF($B92="","",COUNTA($B$4:$B92))</f>
        <v/>
      </c>
      <c r="B92" s="40" t="n"/>
      <c r="C92" s="41" t="n"/>
      <c r="D92" s="41" t="n"/>
      <c r="E92" s="41" t="n"/>
      <c r="F92" s="50" t="n"/>
      <c r="G92" s="42" t="n"/>
      <c r="H92" s="42" t="n"/>
      <c r="I92" s="43">
        <f>IF($B92="","",N($G92)-N($H92))</f>
        <v/>
      </c>
    </row>
    <row r="93">
      <c r="A93" s="39">
        <f>IF($B93="","",COUNTA($B$4:$B93))</f>
        <v/>
      </c>
      <c r="B93" s="45" t="n"/>
      <c r="C93" s="46" t="n"/>
      <c r="D93" s="46" t="n"/>
      <c r="E93" s="46" t="n"/>
      <c r="F93" s="51" t="n"/>
      <c r="G93" s="47" t="n"/>
      <c r="H93" s="47" t="n"/>
      <c r="I93" s="43">
        <f>IF($B93="","",N($G93)-N($H93))</f>
        <v/>
      </c>
    </row>
    <row r="94">
      <c r="A94" s="39">
        <f>IF($B94="","",COUNTA($B$4:$B94))</f>
        <v/>
      </c>
      <c r="B94" s="40" t="n"/>
      <c r="C94" s="41" t="n"/>
      <c r="D94" s="41" t="n"/>
      <c r="E94" s="41" t="n"/>
      <c r="F94" s="50" t="n"/>
      <c r="G94" s="42" t="n"/>
      <c r="H94" s="42" t="n"/>
      <c r="I94" s="43">
        <f>IF($B94="","",N($G94)-N($H94))</f>
        <v/>
      </c>
    </row>
    <row r="95">
      <c r="A95" s="39">
        <f>IF($B95="","",COUNTA($B$4:$B95))</f>
        <v/>
      </c>
      <c r="B95" s="45" t="n"/>
      <c r="C95" s="46" t="n"/>
      <c r="D95" s="46" t="n"/>
      <c r="E95" s="46" t="n"/>
      <c r="F95" s="51" t="n"/>
      <c r="G95" s="47" t="n"/>
      <c r="H95" s="47" t="n"/>
      <c r="I95" s="43">
        <f>IF($B95="","",N($G95)-N($H95))</f>
        <v/>
      </c>
    </row>
    <row r="96">
      <c r="A96" s="39">
        <f>IF($B96="","",COUNTA($B$4:$B96))</f>
        <v/>
      </c>
      <c r="B96" s="40" t="n"/>
      <c r="C96" s="41" t="n"/>
      <c r="D96" s="41" t="n"/>
      <c r="E96" s="41" t="n"/>
      <c r="F96" s="50" t="n"/>
      <c r="G96" s="42" t="n"/>
      <c r="H96" s="42" t="n"/>
      <c r="I96" s="43">
        <f>IF($B96="","",N($G96)-N($H96))</f>
        <v/>
      </c>
    </row>
    <row r="97">
      <c r="A97" s="39">
        <f>IF($B97="","",COUNTA($B$4:$B97))</f>
        <v/>
      </c>
      <c r="B97" s="45" t="n"/>
      <c r="C97" s="46" t="n"/>
      <c r="D97" s="46" t="n"/>
      <c r="E97" s="46" t="n"/>
      <c r="F97" s="51" t="n"/>
      <c r="G97" s="47" t="n"/>
      <c r="H97" s="47" t="n"/>
      <c r="I97" s="43">
        <f>IF($B97="","",N($G97)-N($H97))</f>
        <v/>
      </c>
    </row>
    <row r="98">
      <c r="A98" s="39">
        <f>IF($B98="","",COUNTA($B$4:$B98))</f>
        <v/>
      </c>
      <c r="B98" s="40" t="n"/>
      <c r="C98" s="41" t="n"/>
      <c r="D98" s="41" t="n"/>
      <c r="E98" s="41" t="n"/>
      <c r="F98" s="50" t="n"/>
      <c r="G98" s="42" t="n"/>
      <c r="H98" s="42" t="n"/>
      <c r="I98" s="43">
        <f>IF($B98="","",N($G98)-N($H98))</f>
        <v/>
      </c>
    </row>
    <row r="99">
      <c r="A99" s="39">
        <f>IF($B99="","",COUNTA($B$4:$B99))</f>
        <v/>
      </c>
      <c r="B99" s="45" t="n"/>
      <c r="C99" s="46" t="n"/>
      <c r="D99" s="46" t="n"/>
      <c r="E99" s="46" t="n"/>
      <c r="F99" s="51" t="n"/>
      <c r="G99" s="47" t="n"/>
      <c r="H99" s="47" t="n"/>
      <c r="I99" s="43">
        <f>IF($B99="","",N($G99)-N($H99))</f>
        <v/>
      </c>
    </row>
    <row r="100">
      <c r="A100" s="39">
        <f>IF($B100="","",COUNTA($B$4:$B100))</f>
        <v/>
      </c>
      <c r="B100" s="40" t="n"/>
      <c r="C100" s="41" t="n"/>
      <c r="D100" s="41" t="n"/>
      <c r="E100" s="41" t="n"/>
      <c r="F100" s="50" t="n"/>
      <c r="G100" s="42" t="n"/>
      <c r="H100" s="42" t="n"/>
      <c r="I100" s="43">
        <f>IF($B100="","",N($G100)-N($H100))</f>
        <v/>
      </c>
    </row>
    <row r="101">
      <c r="A101" s="39">
        <f>IF($B101="","",COUNTA($B$4:$B101))</f>
        <v/>
      </c>
      <c r="B101" s="45" t="n"/>
      <c r="C101" s="46" t="n"/>
      <c r="D101" s="46" t="n"/>
      <c r="E101" s="46" t="n"/>
      <c r="F101" s="51" t="n"/>
      <c r="G101" s="47" t="n"/>
      <c r="H101" s="47" t="n"/>
      <c r="I101" s="43">
        <f>IF($B101="","",N($G101)-N($H101))</f>
        <v/>
      </c>
    </row>
    <row r="102">
      <c r="A102" s="39">
        <f>IF($B102="","",COUNTA($B$4:$B102))</f>
        <v/>
      </c>
      <c r="B102" s="40" t="n"/>
      <c r="C102" s="41" t="n"/>
      <c r="D102" s="41" t="n"/>
      <c r="E102" s="41" t="n"/>
      <c r="F102" s="50" t="n"/>
      <c r="G102" s="42" t="n"/>
      <c r="H102" s="42" t="n"/>
      <c r="I102" s="43">
        <f>IF($B102="","",N($G102)-N($H102))</f>
        <v/>
      </c>
    </row>
    <row r="103">
      <c r="A103" s="39">
        <f>IF($B103="","",COUNTA($B$4:$B103))</f>
        <v/>
      </c>
      <c r="B103" s="45" t="n"/>
      <c r="C103" s="46" t="n"/>
      <c r="D103" s="46" t="n"/>
      <c r="E103" s="46" t="n"/>
      <c r="F103" s="51" t="n"/>
      <c r="G103" s="47" t="n"/>
      <c r="H103" s="47" t="n"/>
      <c r="I103" s="43">
        <f>IF($B103="","",N($G103)-N($H103))</f>
        <v/>
      </c>
    </row>
    <row r="104">
      <c r="A104" s="39">
        <f>IF($B104="","",COUNTA($B$4:$B104))</f>
        <v/>
      </c>
      <c r="B104" s="40" t="n"/>
      <c r="C104" s="41" t="n"/>
      <c r="D104" s="41" t="n"/>
      <c r="E104" s="41" t="n"/>
      <c r="F104" s="50" t="n"/>
      <c r="G104" s="42" t="n"/>
      <c r="H104" s="42" t="n"/>
      <c r="I104" s="43">
        <f>IF($B104="","",N($G104)-N($H104))</f>
        <v/>
      </c>
    </row>
    <row r="105">
      <c r="A105" s="39">
        <f>IF($B105="","",COUNTA($B$4:$B105))</f>
        <v/>
      </c>
      <c r="B105" s="45" t="n"/>
      <c r="C105" s="46" t="n"/>
      <c r="D105" s="46" t="n"/>
      <c r="E105" s="46" t="n"/>
      <c r="F105" s="51" t="n"/>
      <c r="G105" s="47" t="n"/>
      <c r="H105" s="47" t="n"/>
      <c r="I105" s="43">
        <f>IF($B105="","",N($G105)-N($H105))</f>
        <v/>
      </c>
    </row>
    <row r="106">
      <c r="A106" s="39">
        <f>IF($B106="","",COUNTA($B$4:$B106))</f>
        <v/>
      </c>
      <c r="B106" s="40" t="n"/>
      <c r="C106" s="41" t="n"/>
      <c r="D106" s="41" t="n"/>
      <c r="E106" s="41" t="n"/>
      <c r="F106" s="50" t="n"/>
      <c r="G106" s="42" t="n"/>
      <c r="H106" s="42" t="n"/>
      <c r="I106" s="43">
        <f>IF($B106="","",N($G106)-N($H106))</f>
        <v/>
      </c>
    </row>
    <row r="107">
      <c r="A107" s="39">
        <f>IF($B107="","",COUNTA($B$4:$B107))</f>
        <v/>
      </c>
      <c r="B107" s="45" t="n"/>
      <c r="C107" s="46" t="n"/>
      <c r="D107" s="46" t="n"/>
      <c r="E107" s="46" t="n"/>
      <c r="F107" s="51" t="n"/>
      <c r="G107" s="47" t="n"/>
      <c r="H107" s="47" t="n"/>
      <c r="I107" s="43">
        <f>IF($B107="","",N($G107)-N($H107))</f>
        <v/>
      </c>
    </row>
    <row r="108">
      <c r="A108" s="39">
        <f>IF($B108="","",COUNTA($B$4:$B108))</f>
        <v/>
      </c>
      <c r="B108" s="40" t="n"/>
      <c r="C108" s="41" t="n"/>
      <c r="D108" s="41" t="n"/>
      <c r="E108" s="41" t="n"/>
      <c r="F108" s="50" t="n"/>
      <c r="G108" s="42" t="n"/>
      <c r="H108" s="42" t="n"/>
      <c r="I108" s="43">
        <f>IF($B108="","",N($G108)-N($H108))</f>
        <v/>
      </c>
    </row>
    <row r="109">
      <c r="A109" s="39">
        <f>IF($B109="","",COUNTA($B$4:$B109))</f>
        <v/>
      </c>
      <c r="B109" s="45" t="n"/>
      <c r="C109" s="46" t="n"/>
      <c r="D109" s="46" t="n"/>
      <c r="E109" s="46" t="n"/>
      <c r="F109" s="51" t="n"/>
      <c r="G109" s="47" t="n"/>
      <c r="H109" s="47" t="n"/>
      <c r="I109" s="43">
        <f>IF($B109="","",N($G109)-N($H109))</f>
        <v/>
      </c>
    </row>
    <row r="110">
      <c r="A110" s="39">
        <f>IF($B110="","",COUNTA($B$4:$B110))</f>
        <v/>
      </c>
      <c r="B110" s="40" t="n"/>
      <c r="C110" s="41" t="n"/>
      <c r="D110" s="41" t="n"/>
      <c r="E110" s="41" t="n"/>
      <c r="F110" s="50" t="n"/>
      <c r="G110" s="42" t="n"/>
      <c r="H110" s="42" t="n"/>
      <c r="I110" s="43">
        <f>IF($B110="","",N($G110)-N($H110))</f>
        <v/>
      </c>
    </row>
    <row r="111">
      <c r="A111" s="39">
        <f>IF($B111="","",COUNTA($B$4:$B111))</f>
        <v/>
      </c>
      <c r="B111" s="45" t="n"/>
      <c r="C111" s="46" t="n"/>
      <c r="D111" s="46" t="n"/>
      <c r="E111" s="46" t="n"/>
      <c r="F111" s="51" t="n"/>
      <c r="G111" s="47" t="n"/>
      <c r="H111" s="47" t="n"/>
      <c r="I111" s="43">
        <f>IF($B111="","",N($G111)-N($H111))</f>
        <v/>
      </c>
    </row>
    <row r="112">
      <c r="A112" s="39">
        <f>IF($B112="","",COUNTA($B$4:$B112))</f>
        <v/>
      </c>
      <c r="B112" s="40" t="n"/>
      <c r="C112" s="41" t="n"/>
      <c r="D112" s="41" t="n"/>
      <c r="E112" s="41" t="n"/>
      <c r="F112" s="50" t="n"/>
      <c r="G112" s="42" t="n"/>
      <c r="H112" s="42" t="n"/>
      <c r="I112" s="43">
        <f>IF($B112="","",N($G112)-N($H112))</f>
        <v/>
      </c>
    </row>
    <row r="113">
      <c r="A113" s="39">
        <f>IF($B113="","",COUNTA($B$4:$B113))</f>
        <v/>
      </c>
      <c r="B113" s="45" t="n"/>
      <c r="C113" s="46" t="n"/>
      <c r="D113" s="46" t="n"/>
      <c r="E113" s="46" t="n"/>
      <c r="F113" s="51" t="n"/>
      <c r="G113" s="47" t="n"/>
      <c r="H113" s="47" t="n"/>
      <c r="I113" s="43">
        <f>IF($B113="","",N($G113)-N($H113))</f>
        <v/>
      </c>
    </row>
    <row r="114">
      <c r="A114" s="39">
        <f>IF($B114="","",COUNTA($B$4:$B114))</f>
        <v/>
      </c>
      <c r="B114" s="40" t="n"/>
      <c r="C114" s="41" t="n"/>
      <c r="D114" s="41" t="n"/>
      <c r="E114" s="41" t="n"/>
      <c r="F114" s="50" t="n"/>
      <c r="G114" s="42" t="n"/>
      <c r="H114" s="42" t="n"/>
      <c r="I114" s="43">
        <f>IF($B114="","",N($G114)-N($H114))</f>
        <v/>
      </c>
    </row>
    <row r="115">
      <c r="A115" s="39">
        <f>IF($B115="","",COUNTA($B$4:$B115))</f>
        <v/>
      </c>
      <c r="B115" s="45" t="n"/>
      <c r="C115" s="46" t="n"/>
      <c r="D115" s="46" t="n"/>
      <c r="E115" s="46" t="n"/>
      <c r="F115" s="51" t="n"/>
      <c r="G115" s="47" t="n"/>
      <c r="H115" s="47" t="n"/>
      <c r="I115" s="43">
        <f>IF($B115="","",N($G115)-N($H115))</f>
        <v/>
      </c>
    </row>
    <row r="116">
      <c r="A116" s="39">
        <f>IF($B116="","",COUNTA($B$4:$B116))</f>
        <v/>
      </c>
      <c r="B116" s="40" t="n"/>
      <c r="C116" s="41" t="n"/>
      <c r="D116" s="41" t="n"/>
      <c r="E116" s="41" t="n"/>
      <c r="F116" s="50" t="n"/>
      <c r="G116" s="42" t="n"/>
      <c r="H116" s="42" t="n"/>
      <c r="I116" s="43">
        <f>IF($B116="","",N($G116)-N($H116))</f>
        <v/>
      </c>
    </row>
    <row r="117">
      <c r="A117" s="39">
        <f>IF($B117="","",COUNTA($B$4:$B117))</f>
        <v/>
      </c>
      <c r="B117" s="45" t="n"/>
      <c r="C117" s="46" t="n"/>
      <c r="D117" s="46" t="n"/>
      <c r="E117" s="46" t="n"/>
      <c r="F117" s="51" t="n"/>
      <c r="G117" s="47" t="n"/>
      <c r="H117" s="47" t="n"/>
      <c r="I117" s="43">
        <f>IF($B117="","",N($G117)-N($H117))</f>
        <v/>
      </c>
    </row>
    <row r="118">
      <c r="A118" s="39">
        <f>IF($B118="","",COUNTA($B$4:$B118))</f>
        <v/>
      </c>
      <c r="B118" s="40" t="n"/>
      <c r="C118" s="41" t="n"/>
      <c r="D118" s="41" t="n"/>
      <c r="E118" s="41" t="n"/>
      <c r="F118" s="50" t="n"/>
      <c r="G118" s="42" t="n"/>
      <c r="H118" s="42" t="n"/>
      <c r="I118" s="43">
        <f>IF($B118="","",N($G118)-N($H118))</f>
        <v/>
      </c>
    </row>
    <row r="119">
      <c r="A119" s="39">
        <f>IF($B119="","",COUNTA($B$4:$B119))</f>
        <v/>
      </c>
      <c r="B119" s="45" t="n"/>
      <c r="C119" s="46" t="n"/>
      <c r="D119" s="46" t="n"/>
      <c r="E119" s="46" t="n"/>
      <c r="F119" s="51" t="n"/>
      <c r="G119" s="47" t="n"/>
      <c r="H119" s="47" t="n"/>
      <c r="I119" s="43">
        <f>IF($B119="","",N($G119)-N($H119))</f>
        <v/>
      </c>
    </row>
    <row r="120">
      <c r="A120" s="39">
        <f>IF($B120="","",COUNTA($B$4:$B120))</f>
        <v/>
      </c>
      <c r="B120" s="40" t="n"/>
      <c r="C120" s="41" t="n"/>
      <c r="D120" s="41" t="n"/>
      <c r="E120" s="41" t="n"/>
      <c r="F120" s="50" t="n"/>
      <c r="G120" s="42" t="n"/>
      <c r="H120" s="42" t="n"/>
      <c r="I120" s="43">
        <f>IF($B120="","",N($G120)-N($H120))</f>
        <v/>
      </c>
    </row>
    <row r="121">
      <c r="A121" s="39">
        <f>IF($B121="","",COUNTA($B$4:$B121))</f>
        <v/>
      </c>
      <c r="B121" s="45" t="n"/>
      <c r="C121" s="46" t="n"/>
      <c r="D121" s="46" t="n"/>
      <c r="E121" s="46" t="n"/>
      <c r="F121" s="51" t="n"/>
      <c r="G121" s="47" t="n"/>
      <c r="H121" s="47" t="n"/>
      <c r="I121" s="43">
        <f>IF($B121="","",N($G121)-N($H121))</f>
        <v/>
      </c>
    </row>
    <row r="122">
      <c r="A122" s="39">
        <f>IF($B122="","",COUNTA($B$4:$B122))</f>
        <v/>
      </c>
      <c r="B122" s="40" t="n"/>
      <c r="C122" s="41" t="n"/>
      <c r="D122" s="41" t="n"/>
      <c r="E122" s="41" t="n"/>
      <c r="F122" s="50" t="n"/>
      <c r="G122" s="42" t="n"/>
      <c r="H122" s="42" t="n"/>
      <c r="I122" s="43">
        <f>IF($B122="","",N($G122)-N($H122))</f>
        <v/>
      </c>
    </row>
    <row r="123">
      <c r="A123" s="39">
        <f>IF($B123="","",COUNTA($B$4:$B123))</f>
        <v/>
      </c>
      <c r="B123" s="45" t="n"/>
      <c r="C123" s="46" t="n"/>
      <c r="D123" s="46" t="n"/>
      <c r="E123" s="46" t="n"/>
      <c r="F123" s="51" t="n"/>
      <c r="G123" s="47" t="n"/>
      <c r="H123" s="47" t="n"/>
      <c r="I123" s="43">
        <f>IF($B123="","",N($G123)-N($H123))</f>
        <v/>
      </c>
    </row>
    <row r="124">
      <c r="A124" s="39">
        <f>IF($B124="","",COUNTA($B$4:$B124))</f>
        <v/>
      </c>
      <c r="B124" s="40" t="n"/>
      <c r="C124" s="41" t="n"/>
      <c r="D124" s="41" t="n"/>
      <c r="E124" s="41" t="n"/>
      <c r="F124" s="50" t="n"/>
      <c r="G124" s="42" t="n"/>
      <c r="H124" s="42" t="n"/>
      <c r="I124" s="43">
        <f>IF($B124="","",N($G124)-N($H124))</f>
        <v/>
      </c>
    </row>
    <row r="125">
      <c r="A125" s="39">
        <f>IF($B125="","",COUNTA($B$4:$B125))</f>
        <v/>
      </c>
      <c r="B125" s="45" t="n"/>
      <c r="C125" s="46" t="n"/>
      <c r="D125" s="46" t="n"/>
      <c r="E125" s="46" t="n"/>
      <c r="F125" s="51" t="n"/>
      <c r="G125" s="47" t="n"/>
      <c r="H125" s="47" t="n"/>
      <c r="I125" s="43">
        <f>IF($B125="","",N($G125)-N($H125))</f>
        <v/>
      </c>
    </row>
    <row r="126">
      <c r="A126" s="39">
        <f>IF($B126="","",COUNTA($B$4:$B126))</f>
        <v/>
      </c>
      <c r="B126" s="40" t="n"/>
      <c r="C126" s="41" t="n"/>
      <c r="D126" s="41" t="n"/>
      <c r="E126" s="41" t="n"/>
      <c r="F126" s="50" t="n"/>
      <c r="G126" s="42" t="n"/>
      <c r="H126" s="42" t="n"/>
      <c r="I126" s="43">
        <f>IF($B126="","",N($G126)-N($H126))</f>
        <v/>
      </c>
    </row>
    <row r="127">
      <c r="A127" s="39">
        <f>IF($B127="","",COUNTA($B$4:$B127))</f>
        <v/>
      </c>
      <c r="B127" s="45" t="n"/>
      <c r="C127" s="46" t="n"/>
      <c r="D127" s="46" t="n"/>
      <c r="E127" s="46" t="n"/>
      <c r="F127" s="51" t="n"/>
      <c r="G127" s="47" t="n"/>
      <c r="H127" s="47" t="n"/>
      <c r="I127" s="43">
        <f>IF($B127="","",N($G127)-N($H127))</f>
        <v/>
      </c>
    </row>
    <row r="128">
      <c r="A128" s="39">
        <f>IF($B128="","",COUNTA($B$4:$B128))</f>
        <v/>
      </c>
      <c r="B128" s="40" t="n"/>
      <c r="C128" s="41" t="n"/>
      <c r="D128" s="41" t="n"/>
      <c r="E128" s="41" t="n"/>
      <c r="F128" s="50" t="n"/>
      <c r="G128" s="42" t="n"/>
      <c r="H128" s="42" t="n"/>
      <c r="I128" s="43">
        <f>IF($B128="","",N($G128)-N($H128))</f>
        <v/>
      </c>
    </row>
    <row r="129">
      <c r="A129" s="39">
        <f>IF($B129="","",COUNTA($B$4:$B129))</f>
        <v/>
      </c>
      <c r="B129" s="45" t="n"/>
      <c r="C129" s="46" t="n"/>
      <c r="D129" s="46" t="n"/>
      <c r="E129" s="46" t="n"/>
      <c r="F129" s="51" t="n"/>
      <c r="G129" s="47" t="n"/>
      <c r="H129" s="47" t="n"/>
      <c r="I129" s="43">
        <f>IF($B129="","",N($G129)-N($H129))</f>
        <v/>
      </c>
    </row>
    <row r="130">
      <c r="A130" s="39">
        <f>IF($B130="","",COUNTA($B$4:$B130))</f>
        <v/>
      </c>
      <c r="B130" s="40" t="n"/>
      <c r="C130" s="41" t="n"/>
      <c r="D130" s="41" t="n"/>
      <c r="E130" s="41" t="n"/>
      <c r="F130" s="50" t="n"/>
      <c r="G130" s="42" t="n"/>
      <c r="H130" s="42" t="n"/>
      <c r="I130" s="43">
        <f>IF($B130="","",N($G130)-N($H130))</f>
        <v/>
      </c>
    </row>
    <row r="131">
      <c r="A131" s="39">
        <f>IF($B131="","",COUNTA($B$4:$B131))</f>
        <v/>
      </c>
      <c r="B131" s="45" t="n"/>
      <c r="C131" s="46" t="n"/>
      <c r="D131" s="46" t="n"/>
      <c r="E131" s="46" t="n"/>
      <c r="F131" s="51" t="n"/>
      <c r="G131" s="47" t="n"/>
      <c r="H131" s="47" t="n"/>
      <c r="I131" s="43">
        <f>IF($B131="","",N($G131)-N($H131))</f>
        <v/>
      </c>
    </row>
    <row r="132">
      <c r="A132" s="39">
        <f>IF($B132="","",COUNTA($B$4:$B132))</f>
        <v/>
      </c>
      <c r="B132" s="40" t="n"/>
      <c r="C132" s="41" t="n"/>
      <c r="D132" s="41" t="n"/>
      <c r="E132" s="41" t="n"/>
      <c r="F132" s="50" t="n"/>
      <c r="G132" s="42" t="n"/>
      <c r="H132" s="42" t="n"/>
      <c r="I132" s="43">
        <f>IF($B132="","",N($G132)-N($H132))</f>
        <v/>
      </c>
    </row>
    <row r="133">
      <c r="A133" s="39">
        <f>IF($B133="","",COUNTA($B$4:$B133))</f>
        <v/>
      </c>
      <c r="B133" s="45" t="n"/>
      <c r="C133" s="46" t="n"/>
      <c r="D133" s="46" t="n"/>
      <c r="E133" s="46" t="n"/>
      <c r="F133" s="51" t="n"/>
      <c r="G133" s="47" t="n"/>
      <c r="H133" s="47" t="n"/>
      <c r="I133" s="43">
        <f>IF($B133="","",N($G133)-N($H133))</f>
        <v/>
      </c>
    </row>
    <row r="134">
      <c r="A134" s="39">
        <f>IF($B134="","",COUNTA($B$4:$B134))</f>
        <v/>
      </c>
      <c r="B134" s="40" t="n"/>
      <c r="C134" s="41" t="n"/>
      <c r="D134" s="41" t="n"/>
      <c r="E134" s="41" t="n"/>
      <c r="F134" s="50" t="n"/>
      <c r="G134" s="42" t="n"/>
      <c r="H134" s="42" t="n"/>
      <c r="I134" s="43">
        <f>IF($B134="","",N($G134)-N($H134))</f>
        <v/>
      </c>
    </row>
    <row r="135">
      <c r="A135" s="39">
        <f>IF($B135="","",COUNTA($B$4:$B135))</f>
        <v/>
      </c>
      <c r="B135" s="45" t="n"/>
      <c r="C135" s="46" t="n"/>
      <c r="D135" s="46" t="n"/>
      <c r="E135" s="46" t="n"/>
      <c r="F135" s="51" t="n"/>
      <c r="G135" s="47" t="n"/>
      <c r="H135" s="47" t="n"/>
      <c r="I135" s="43">
        <f>IF($B135="","",N($G135)-N($H135))</f>
        <v/>
      </c>
    </row>
    <row r="136">
      <c r="A136" s="39">
        <f>IF($B136="","",COUNTA($B$4:$B136))</f>
        <v/>
      </c>
      <c r="B136" s="40" t="n"/>
      <c r="C136" s="41" t="n"/>
      <c r="D136" s="41" t="n"/>
      <c r="E136" s="41" t="n"/>
      <c r="F136" s="50" t="n"/>
      <c r="G136" s="42" t="n"/>
      <c r="H136" s="42" t="n"/>
      <c r="I136" s="43">
        <f>IF($B136="","",N($G136)-N($H136))</f>
        <v/>
      </c>
    </row>
    <row r="137">
      <c r="A137" s="39">
        <f>IF($B137="","",COUNTA($B$4:$B137))</f>
        <v/>
      </c>
      <c r="B137" s="45" t="n"/>
      <c r="C137" s="46" t="n"/>
      <c r="D137" s="46" t="n"/>
      <c r="E137" s="46" t="n"/>
      <c r="F137" s="51" t="n"/>
      <c r="G137" s="47" t="n"/>
      <c r="H137" s="47" t="n"/>
      <c r="I137" s="43">
        <f>IF($B137="","",N($G137)-N($H137))</f>
        <v/>
      </c>
    </row>
    <row r="138">
      <c r="A138" s="39">
        <f>IF($B138="","",COUNTA($B$4:$B138))</f>
        <v/>
      </c>
      <c r="B138" s="40" t="n"/>
      <c r="C138" s="41" t="n"/>
      <c r="D138" s="41" t="n"/>
      <c r="E138" s="41" t="n"/>
      <c r="F138" s="50" t="n"/>
      <c r="G138" s="42" t="n"/>
      <c r="H138" s="42" t="n"/>
      <c r="I138" s="43">
        <f>IF($B138="","",N($G138)-N($H138))</f>
        <v/>
      </c>
    </row>
    <row r="139">
      <c r="A139" s="39">
        <f>IF($B139="","",COUNTA($B$4:$B139))</f>
        <v/>
      </c>
      <c r="B139" s="45" t="n"/>
      <c r="C139" s="46" t="n"/>
      <c r="D139" s="46" t="n"/>
      <c r="E139" s="46" t="n"/>
      <c r="F139" s="51" t="n"/>
      <c r="G139" s="47" t="n"/>
      <c r="H139" s="47" t="n"/>
      <c r="I139" s="43">
        <f>IF($B139="","",N($G139)-N($H139))</f>
        <v/>
      </c>
    </row>
    <row r="140">
      <c r="A140" s="39">
        <f>IF($B140="","",COUNTA($B$4:$B140))</f>
        <v/>
      </c>
      <c r="B140" s="40" t="n"/>
      <c r="C140" s="41" t="n"/>
      <c r="D140" s="41" t="n"/>
      <c r="E140" s="41" t="n"/>
      <c r="F140" s="50" t="n"/>
      <c r="G140" s="42" t="n"/>
      <c r="H140" s="42" t="n"/>
      <c r="I140" s="43">
        <f>IF($B140="","",N($G140)-N($H140))</f>
        <v/>
      </c>
    </row>
    <row r="141">
      <c r="A141" s="39">
        <f>IF($B141="","",COUNTA($B$4:$B141))</f>
        <v/>
      </c>
      <c r="B141" s="45" t="n"/>
      <c r="C141" s="46" t="n"/>
      <c r="D141" s="46" t="n"/>
      <c r="E141" s="46" t="n"/>
      <c r="F141" s="51" t="n"/>
      <c r="G141" s="47" t="n"/>
      <c r="H141" s="47" t="n"/>
      <c r="I141" s="43">
        <f>IF($B141="","",N($G141)-N($H141))</f>
        <v/>
      </c>
    </row>
    <row r="142">
      <c r="A142" s="39">
        <f>IF($B142="","",COUNTA($B$4:$B142))</f>
        <v/>
      </c>
      <c r="B142" s="40" t="n"/>
      <c r="C142" s="41" t="n"/>
      <c r="D142" s="41" t="n"/>
      <c r="E142" s="41" t="n"/>
      <c r="F142" s="50" t="n"/>
      <c r="G142" s="42" t="n"/>
      <c r="H142" s="42" t="n"/>
      <c r="I142" s="43">
        <f>IF($B142="","",N($G142)-N($H142))</f>
        <v/>
      </c>
    </row>
    <row r="143">
      <c r="A143" s="39">
        <f>IF($B143="","",COUNTA($B$4:$B143))</f>
        <v/>
      </c>
      <c r="B143" s="45" t="n"/>
      <c r="C143" s="46" t="n"/>
      <c r="D143" s="46" t="n"/>
      <c r="E143" s="46" t="n"/>
      <c r="F143" s="51" t="n"/>
      <c r="G143" s="47" t="n"/>
      <c r="H143" s="47" t="n"/>
      <c r="I143" s="43">
        <f>IF($B143="","",N($G143)-N($H143))</f>
        <v/>
      </c>
    </row>
    <row r="144">
      <c r="A144" s="39">
        <f>IF($B144="","",COUNTA($B$4:$B144))</f>
        <v/>
      </c>
      <c r="B144" s="40" t="n"/>
      <c r="C144" s="41" t="n"/>
      <c r="D144" s="41" t="n"/>
      <c r="E144" s="41" t="n"/>
      <c r="F144" s="50" t="n"/>
      <c r="G144" s="42" t="n"/>
      <c r="H144" s="42" t="n"/>
      <c r="I144" s="43">
        <f>IF($B144="","",N($G144)-N($H144))</f>
        <v/>
      </c>
    </row>
    <row r="145">
      <c r="A145" s="39">
        <f>IF($B145="","",COUNTA($B$4:$B145))</f>
        <v/>
      </c>
      <c r="B145" s="45" t="n"/>
      <c r="C145" s="46" t="n"/>
      <c r="D145" s="46" t="n"/>
      <c r="E145" s="46" t="n"/>
      <c r="F145" s="51" t="n"/>
      <c r="G145" s="47" t="n"/>
      <c r="H145" s="47" t="n"/>
      <c r="I145" s="43">
        <f>IF($B145="","",N($G145)-N($H145))</f>
        <v/>
      </c>
    </row>
    <row r="146">
      <c r="A146" s="39">
        <f>IF($B146="","",COUNTA($B$4:$B146))</f>
        <v/>
      </c>
      <c r="B146" s="40" t="n"/>
      <c r="C146" s="41" t="n"/>
      <c r="D146" s="41" t="n"/>
      <c r="E146" s="41" t="n"/>
      <c r="F146" s="50" t="n"/>
      <c r="G146" s="42" t="n"/>
      <c r="H146" s="42" t="n"/>
      <c r="I146" s="43">
        <f>IF($B146="","",N($G146)-N($H146))</f>
        <v/>
      </c>
    </row>
    <row r="147">
      <c r="A147" s="39">
        <f>IF($B147="","",COUNTA($B$4:$B147))</f>
        <v/>
      </c>
      <c r="B147" s="45" t="n"/>
      <c r="C147" s="46" t="n"/>
      <c r="D147" s="46" t="n"/>
      <c r="E147" s="46" t="n"/>
      <c r="F147" s="51" t="n"/>
      <c r="G147" s="47" t="n"/>
      <c r="H147" s="47" t="n"/>
      <c r="I147" s="43">
        <f>IF($B147="","",N($G147)-N($H147))</f>
        <v/>
      </c>
    </row>
    <row r="148">
      <c r="A148" s="39">
        <f>IF($B148="","",COUNTA($B$4:$B148))</f>
        <v/>
      </c>
      <c r="B148" s="40" t="n"/>
      <c r="C148" s="41" t="n"/>
      <c r="D148" s="41" t="n"/>
      <c r="E148" s="41" t="n"/>
      <c r="F148" s="50" t="n"/>
      <c r="G148" s="42" t="n"/>
      <c r="H148" s="42" t="n"/>
      <c r="I148" s="43">
        <f>IF($B148="","",N($G148)-N($H148))</f>
        <v/>
      </c>
    </row>
    <row r="149">
      <c r="A149" s="39">
        <f>IF($B149="","",COUNTA($B$4:$B149))</f>
        <v/>
      </c>
      <c r="B149" s="45" t="n"/>
      <c r="C149" s="46" t="n"/>
      <c r="D149" s="46" t="n"/>
      <c r="E149" s="46" t="n"/>
      <c r="F149" s="51" t="n"/>
      <c r="G149" s="47" t="n"/>
      <c r="H149" s="47" t="n"/>
      <c r="I149" s="43">
        <f>IF($B149="","",N($G149)-N($H149))</f>
        <v/>
      </c>
    </row>
    <row r="150">
      <c r="A150" s="39">
        <f>IF($B150="","",COUNTA($B$4:$B150))</f>
        <v/>
      </c>
      <c r="B150" s="40" t="n"/>
      <c r="C150" s="41" t="n"/>
      <c r="D150" s="41" t="n"/>
      <c r="E150" s="41" t="n"/>
      <c r="F150" s="50" t="n"/>
      <c r="G150" s="42" t="n"/>
      <c r="H150" s="42" t="n"/>
      <c r="I150" s="43">
        <f>IF($B150="","",N($G150)-N($H150))</f>
        <v/>
      </c>
    </row>
    <row r="151">
      <c r="A151" s="39">
        <f>IF($B151="","",COUNTA($B$4:$B151))</f>
        <v/>
      </c>
      <c r="B151" s="45" t="n"/>
      <c r="C151" s="46" t="n"/>
      <c r="D151" s="46" t="n"/>
      <c r="E151" s="46" t="n"/>
      <c r="F151" s="51" t="n"/>
      <c r="G151" s="47" t="n"/>
      <c r="H151" s="47" t="n"/>
      <c r="I151" s="43">
        <f>IF($B151="","",N($G151)-N($H151))</f>
        <v/>
      </c>
    </row>
    <row r="152">
      <c r="A152" s="39">
        <f>IF($B152="","",COUNTA($B$4:$B152))</f>
        <v/>
      </c>
      <c r="B152" s="40" t="n"/>
      <c r="C152" s="41" t="n"/>
      <c r="D152" s="41" t="n"/>
      <c r="E152" s="41" t="n"/>
      <c r="F152" s="50" t="n"/>
      <c r="G152" s="42" t="n"/>
      <c r="H152" s="42" t="n"/>
      <c r="I152" s="43">
        <f>IF($B152="","",N($G152)-N($H152))</f>
        <v/>
      </c>
    </row>
    <row r="153">
      <c r="A153" s="39">
        <f>IF($B153="","",COUNTA($B$4:$B153))</f>
        <v/>
      </c>
      <c r="B153" s="45" t="n"/>
      <c r="C153" s="46" t="n"/>
      <c r="D153" s="46" t="n"/>
      <c r="E153" s="46" t="n"/>
      <c r="F153" s="51" t="n"/>
      <c r="G153" s="47" t="n"/>
      <c r="H153" s="47" t="n"/>
      <c r="I153" s="43">
        <f>IF($B153="","",N($G153)-N($H153))</f>
        <v/>
      </c>
    </row>
    <row r="154">
      <c r="A154" s="39">
        <f>IF($B154="","",COUNTA($B$4:$B154))</f>
        <v/>
      </c>
      <c r="B154" s="40" t="n"/>
      <c r="C154" s="41" t="n"/>
      <c r="D154" s="41" t="n"/>
      <c r="E154" s="41" t="n"/>
      <c r="F154" s="50" t="n"/>
      <c r="G154" s="42" t="n"/>
      <c r="H154" s="42" t="n"/>
      <c r="I154" s="43">
        <f>IF($B154="","",N($G154)-N($H154))</f>
        <v/>
      </c>
    </row>
    <row r="155">
      <c r="A155" s="39">
        <f>IF($B155="","",COUNTA($B$4:$B155))</f>
        <v/>
      </c>
      <c r="B155" s="45" t="n"/>
      <c r="C155" s="46" t="n"/>
      <c r="D155" s="46" t="n"/>
      <c r="E155" s="46" t="n"/>
      <c r="F155" s="51" t="n"/>
      <c r="G155" s="47" t="n"/>
      <c r="H155" s="47" t="n"/>
      <c r="I155" s="43">
        <f>IF($B155="","",N($G155)-N($H155))</f>
        <v/>
      </c>
    </row>
    <row r="156">
      <c r="A156" s="39">
        <f>IF($B156="","",COUNTA($B$4:$B156))</f>
        <v/>
      </c>
      <c r="B156" s="40" t="n"/>
      <c r="C156" s="41" t="n"/>
      <c r="D156" s="41" t="n"/>
      <c r="E156" s="41" t="n"/>
      <c r="F156" s="50" t="n"/>
      <c r="G156" s="42" t="n"/>
      <c r="H156" s="42" t="n"/>
      <c r="I156" s="43">
        <f>IF($B156="","",N($G156)-N($H156))</f>
        <v/>
      </c>
    </row>
    <row r="157">
      <c r="A157" s="39">
        <f>IF($B157="","",COUNTA($B$4:$B157))</f>
        <v/>
      </c>
      <c r="B157" s="45" t="n"/>
      <c r="C157" s="46" t="n"/>
      <c r="D157" s="46" t="n"/>
      <c r="E157" s="46" t="n"/>
      <c r="F157" s="51" t="n"/>
      <c r="G157" s="47" t="n"/>
      <c r="H157" s="47" t="n"/>
      <c r="I157" s="43">
        <f>IF($B157="","",N($G157)-N($H157))</f>
        <v/>
      </c>
    </row>
    <row r="158">
      <c r="A158" s="39">
        <f>IF($B158="","",COUNTA($B$4:$B158))</f>
        <v/>
      </c>
      <c r="B158" s="40" t="n"/>
      <c r="C158" s="41" t="n"/>
      <c r="D158" s="41" t="n"/>
      <c r="E158" s="41" t="n"/>
      <c r="F158" s="50" t="n"/>
      <c r="G158" s="42" t="n"/>
      <c r="H158" s="42" t="n"/>
      <c r="I158" s="43">
        <f>IF($B158="","",N($G158)-N($H158))</f>
        <v/>
      </c>
    </row>
    <row r="159">
      <c r="A159" s="39">
        <f>IF($B159="","",COUNTA($B$4:$B159))</f>
        <v/>
      </c>
      <c r="B159" s="45" t="n"/>
      <c r="C159" s="46" t="n"/>
      <c r="D159" s="46" t="n"/>
      <c r="E159" s="46" t="n"/>
      <c r="F159" s="51" t="n"/>
      <c r="G159" s="47" t="n"/>
      <c r="H159" s="47" t="n"/>
      <c r="I159" s="43">
        <f>IF($B159="","",N($G159)-N($H159))</f>
        <v/>
      </c>
    </row>
    <row r="160">
      <c r="A160" s="39">
        <f>IF($B160="","",COUNTA($B$4:$B160))</f>
        <v/>
      </c>
      <c r="B160" s="40" t="n"/>
      <c r="C160" s="41" t="n"/>
      <c r="D160" s="41" t="n"/>
      <c r="E160" s="41" t="n"/>
      <c r="F160" s="50" t="n"/>
      <c r="G160" s="42" t="n"/>
      <c r="H160" s="42" t="n"/>
      <c r="I160" s="43">
        <f>IF($B160="","",N($G160)-N($H160))</f>
        <v/>
      </c>
    </row>
    <row r="161">
      <c r="A161" s="39">
        <f>IF($B161="","",COUNTA($B$4:$B161))</f>
        <v/>
      </c>
      <c r="B161" s="45" t="n"/>
      <c r="C161" s="46" t="n"/>
      <c r="D161" s="46" t="n"/>
      <c r="E161" s="46" t="n"/>
      <c r="F161" s="51" t="n"/>
      <c r="G161" s="47" t="n"/>
      <c r="H161" s="47" t="n"/>
      <c r="I161" s="43">
        <f>IF($B161="","",N($G161)-N($H161))</f>
        <v/>
      </c>
    </row>
    <row r="162">
      <c r="A162" s="39">
        <f>IF($B162="","",COUNTA($B$4:$B162))</f>
        <v/>
      </c>
      <c r="B162" s="40" t="n"/>
      <c r="C162" s="41" t="n"/>
      <c r="D162" s="41" t="n"/>
      <c r="E162" s="41" t="n"/>
      <c r="F162" s="50" t="n"/>
      <c r="G162" s="42" t="n"/>
      <c r="H162" s="42" t="n"/>
      <c r="I162" s="43">
        <f>IF($B162="","",N($G162)-N($H162))</f>
        <v/>
      </c>
    </row>
    <row r="163">
      <c r="A163" s="39">
        <f>IF($B163="","",COUNTA($B$4:$B163))</f>
        <v/>
      </c>
      <c r="B163" s="45" t="n"/>
      <c r="C163" s="46" t="n"/>
      <c r="D163" s="46" t="n"/>
      <c r="E163" s="46" t="n"/>
      <c r="F163" s="51" t="n"/>
      <c r="G163" s="47" t="n"/>
      <c r="H163" s="47" t="n"/>
      <c r="I163" s="43">
        <f>IF($B163="","",N($G163)-N($H163))</f>
        <v/>
      </c>
    </row>
    <row r="164">
      <c r="A164" s="39">
        <f>IF($B164="","",COUNTA($B$4:$B164))</f>
        <v/>
      </c>
      <c r="B164" s="40" t="n"/>
      <c r="C164" s="41" t="n"/>
      <c r="D164" s="41" t="n"/>
      <c r="E164" s="41" t="n"/>
      <c r="F164" s="50" t="n"/>
      <c r="G164" s="42" t="n"/>
      <c r="H164" s="42" t="n"/>
      <c r="I164" s="43">
        <f>IF($B164="","",N($G164)-N($H164))</f>
        <v/>
      </c>
    </row>
    <row r="165">
      <c r="A165" s="39">
        <f>IF($B165="","",COUNTA($B$4:$B165))</f>
        <v/>
      </c>
      <c r="B165" s="45" t="n"/>
      <c r="C165" s="46" t="n"/>
      <c r="D165" s="46" t="n"/>
      <c r="E165" s="46" t="n"/>
      <c r="F165" s="51" t="n"/>
      <c r="G165" s="47" t="n"/>
      <c r="H165" s="47" t="n"/>
      <c r="I165" s="43">
        <f>IF($B165="","",N($G165)-N($H165))</f>
        <v/>
      </c>
    </row>
    <row r="166">
      <c r="A166" s="39">
        <f>IF($B166="","",COUNTA($B$4:$B166))</f>
        <v/>
      </c>
      <c r="B166" s="40" t="n"/>
      <c r="C166" s="41" t="n"/>
      <c r="D166" s="41" t="n"/>
      <c r="E166" s="41" t="n"/>
      <c r="F166" s="50" t="n"/>
      <c r="G166" s="42" t="n"/>
      <c r="H166" s="42" t="n"/>
      <c r="I166" s="43">
        <f>IF($B166="","",N($G166)-N($H166))</f>
        <v/>
      </c>
    </row>
    <row r="167">
      <c r="A167" s="39">
        <f>IF($B167="","",COUNTA($B$4:$B167))</f>
        <v/>
      </c>
      <c r="B167" s="45" t="n"/>
      <c r="C167" s="46" t="n"/>
      <c r="D167" s="46" t="n"/>
      <c r="E167" s="46" t="n"/>
      <c r="F167" s="51" t="n"/>
      <c r="G167" s="47" t="n"/>
      <c r="H167" s="47" t="n"/>
      <c r="I167" s="43">
        <f>IF($B167="","",N($G167)-N($H167))</f>
        <v/>
      </c>
    </row>
    <row r="168">
      <c r="A168" s="39">
        <f>IF($B168="","",COUNTA($B$4:$B168))</f>
        <v/>
      </c>
      <c r="B168" s="40" t="n"/>
      <c r="C168" s="41" t="n"/>
      <c r="D168" s="41" t="n"/>
      <c r="E168" s="41" t="n"/>
      <c r="F168" s="50" t="n"/>
      <c r="G168" s="42" t="n"/>
      <c r="H168" s="42" t="n"/>
      <c r="I168" s="43">
        <f>IF($B168="","",N($G168)-N($H168))</f>
        <v/>
      </c>
    </row>
    <row r="169">
      <c r="A169" s="39">
        <f>IF($B169="","",COUNTA($B$4:$B169))</f>
        <v/>
      </c>
      <c r="B169" s="45" t="n"/>
      <c r="C169" s="46" t="n"/>
      <c r="D169" s="46" t="n"/>
      <c r="E169" s="46" t="n"/>
      <c r="F169" s="51" t="n"/>
      <c r="G169" s="47" t="n"/>
      <c r="H169" s="47" t="n"/>
      <c r="I169" s="43">
        <f>IF($B169="","",N($G169)-N($H169))</f>
        <v/>
      </c>
    </row>
    <row r="170">
      <c r="A170" s="39">
        <f>IF($B170="","",COUNTA($B$4:$B170))</f>
        <v/>
      </c>
      <c r="B170" s="40" t="n"/>
      <c r="C170" s="41" t="n"/>
      <c r="D170" s="41" t="n"/>
      <c r="E170" s="41" t="n"/>
      <c r="F170" s="50" t="n"/>
      <c r="G170" s="42" t="n"/>
      <c r="H170" s="42" t="n"/>
      <c r="I170" s="43">
        <f>IF($B170="","",N($G170)-N($H170))</f>
        <v/>
      </c>
    </row>
    <row r="171">
      <c r="A171" s="39">
        <f>IF($B171="","",COUNTA($B$4:$B171))</f>
        <v/>
      </c>
      <c r="B171" s="45" t="n"/>
      <c r="C171" s="46" t="n"/>
      <c r="D171" s="46" t="n"/>
      <c r="E171" s="46" t="n"/>
      <c r="F171" s="51" t="n"/>
      <c r="G171" s="47" t="n"/>
      <c r="H171" s="47" t="n"/>
      <c r="I171" s="43">
        <f>IF($B171="","",N($G171)-N($H171))</f>
        <v/>
      </c>
    </row>
    <row r="172">
      <c r="A172" s="39">
        <f>IF($B172="","",COUNTA($B$4:$B172))</f>
        <v/>
      </c>
      <c r="B172" s="40" t="n"/>
      <c r="C172" s="41" t="n"/>
      <c r="D172" s="41" t="n"/>
      <c r="E172" s="41" t="n"/>
      <c r="F172" s="50" t="n"/>
      <c r="G172" s="42" t="n"/>
      <c r="H172" s="42" t="n"/>
      <c r="I172" s="43">
        <f>IF($B172="","",N($G172)-N($H172))</f>
        <v/>
      </c>
    </row>
    <row r="173">
      <c r="A173" s="39">
        <f>IF($B173="","",COUNTA($B$4:$B173))</f>
        <v/>
      </c>
      <c r="B173" s="45" t="n"/>
      <c r="C173" s="46" t="n"/>
      <c r="D173" s="46" t="n"/>
      <c r="E173" s="46" t="n"/>
      <c r="F173" s="51" t="n"/>
      <c r="G173" s="47" t="n"/>
      <c r="H173" s="47" t="n"/>
      <c r="I173" s="43">
        <f>IF($B173="","",N($G173)-N($H173))</f>
        <v/>
      </c>
    </row>
    <row r="174">
      <c r="A174" s="39">
        <f>IF($B174="","",COUNTA($B$4:$B174))</f>
        <v/>
      </c>
      <c r="B174" s="40" t="n"/>
      <c r="C174" s="41" t="n"/>
      <c r="D174" s="41" t="n"/>
      <c r="E174" s="41" t="n"/>
      <c r="F174" s="50" t="n"/>
      <c r="G174" s="42" t="n"/>
      <c r="H174" s="42" t="n"/>
      <c r="I174" s="43">
        <f>IF($B174="","",N($G174)-N($H174))</f>
        <v/>
      </c>
    </row>
    <row r="175">
      <c r="A175" s="39">
        <f>IF($B175="","",COUNTA($B$4:$B175))</f>
        <v/>
      </c>
      <c r="B175" s="45" t="n"/>
      <c r="C175" s="46" t="n"/>
      <c r="D175" s="46" t="n"/>
      <c r="E175" s="46" t="n"/>
      <c r="F175" s="51" t="n"/>
      <c r="G175" s="47" t="n"/>
      <c r="H175" s="47" t="n"/>
      <c r="I175" s="43">
        <f>IF($B175="","",N($G175)-N($H175))</f>
        <v/>
      </c>
    </row>
    <row r="176">
      <c r="A176" s="39">
        <f>IF($B176="","",COUNTA($B$4:$B176))</f>
        <v/>
      </c>
      <c r="B176" s="40" t="n"/>
      <c r="C176" s="41" t="n"/>
      <c r="D176" s="41" t="n"/>
      <c r="E176" s="41" t="n"/>
      <c r="F176" s="50" t="n"/>
      <c r="G176" s="42" t="n"/>
      <c r="H176" s="42" t="n"/>
      <c r="I176" s="43">
        <f>IF($B176="","",N($G176)-N($H176))</f>
        <v/>
      </c>
    </row>
    <row r="177">
      <c r="A177" s="39">
        <f>IF($B177="","",COUNTA($B$4:$B177))</f>
        <v/>
      </c>
      <c r="B177" s="45" t="n"/>
      <c r="C177" s="46" t="n"/>
      <c r="D177" s="46" t="n"/>
      <c r="E177" s="46" t="n"/>
      <c r="F177" s="51" t="n"/>
      <c r="G177" s="47" t="n"/>
      <c r="H177" s="47" t="n"/>
      <c r="I177" s="43">
        <f>IF($B177="","",N($G177)-N($H177))</f>
        <v/>
      </c>
    </row>
    <row r="178">
      <c r="A178" s="39">
        <f>IF($B178="","",COUNTA($B$4:$B178))</f>
        <v/>
      </c>
      <c r="B178" s="40" t="n"/>
      <c r="C178" s="41" t="n"/>
      <c r="D178" s="41" t="n"/>
      <c r="E178" s="41" t="n"/>
      <c r="F178" s="50" t="n"/>
      <c r="G178" s="42" t="n"/>
      <c r="H178" s="42" t="n"/>
      <c r="I178" s="43">
        <f>IF($B178="","",N($G178)-N($H178))</f>
        <v/>
      </c>
    </row>
    <row r="179">
      <c r="A179" s="39">
        <f>IF($B179="","",COUNTA($B$4:$B179))</f>
        <v/>
      </c>
      <c r="B179" s="45" t="n"/>
      <c r="C179" s="46" t="n"/>
      <c r="D179" s="46" t="n"/>
      <c r="E179" s="46" t="n"/>
      <c r="F179" s="51" t="n"/>
      <c r="G179" s="47" t="n"/>
      <c r="H179" s="47" t="n"/>
      <c r="I179" s="43">
        <f>IF($B179="","",N($G179)-N($H179))</f>
        <v/>
      </c>
    </row>
    <row r="180">
      <c r="A180" s="39">
        <f>IF($B180="","",COUNTA($B$4:$B180))</f>
        <v/>
      </c>
      <c r="B180" s="40" t="n"/>
      <c r="C180" s="41" t="n"/>
      <c r="D180" s="41" t="n"/>
      <c r="E180" s="41" t="n"/>
      <c r="F180" s="50" t="n"/>
      <c r="G180" s="42" t="n"/>
      <c r="H180" s="42" t="n"/>
      <c r="I180" s="43">
        <f>IF($B180="","",N($G180)-N($H180))</f>
        <v/>
      </c>
    </row>
    <row r="181">
      <c r="A181" s="39">
        <f>IF($B181="","",COUNTA($B$4:$B181))</f>
        <v/>
      </c>
      <c r="B181" s="45" t="n"/>
      <c r="C181" s="46" t="n"/>
      <c r="D181" s="46" t="n"/>
      <c r="E181" s="46" t="n"/>
      <c r="F181" s="51" t="n"/>
      <c r="G181" s="47" t="n"/>
      <c r="H181" s="47" t="n"/>
      <c r="I181" s="43">
        <f>IF($B181="","",N($G181)-N($H181))</f>
        <v/>
      </c>
    </row>
    <row r="182">
      <c r="A182" s="39">
        <f>IF($B182="","",COUNTA($B$4:$B182))</f>
        <v/>
      </c>
      <c r="B182" s="40" t="n"/>
      <c r="C182" s="41" t="n"/>
      <c r="D182" s="41" t="n"/>
      <c r="E182" s="41" t="n"/>
      <c r="F182" s="50" t="n"/>
      <c r="G182" s="42" t="n"/>
      <c r="H182" s="42" t="n"/>
      <c r="I182" s="43">
        <f>IF($B182="","",N($G182)-N($H182))</f>
        <v/>
      </c>
    </row>
    <row r="183">
      <c r="A183" s="39">
        <f>IF($B183="","",COUNTA($B$4:$B183))</f>
        <v/>
      </c>
      <c r="B183" s="45" t="n"/>
      <c r="C183" s="46" t="n"/>
      <c r="D183" s="46" t="n"/>
      <c r="E183" s="46" t="n"/>
      <c r="F183" s="51" t="n"/>
      <c r="G183" s="47" t="n"/>
      <c r="H183" s="47" t="n"/>
      <c r="I183" s="43">
        <f>IF($B183="","",N($G183)-N($H183))</f>
        <v/>
      </c>
    </row>
    <row r="184">
      <c r="A184" s="39">
        <f>IF($B184="","",COUNTA($B$4:$B184))</f>
        <v/>
      </c>
      <c r="B184" s="40" t="n"/>
      <c r="C184" s="41" t="n"/>
      <c r="D184" s="41" t="n"/>
      <c r="E184" s="41" t="n"/>
      <c r="F184" s="50" t="n"/>
      <c r="G184" s="42" t="n"/>
      <c r="H184" s="42" t="n"/>
      <c r="I184" s="43">
        <f>IF($B184="","",N($G184)-N($H184))</f>
        <v/>
      </c>
    </row>
    <row r="185">
      <c r="A185" s="39">
        <f>IF($B185="","",COUNTA($B$4:$B185))</f>
        <v/>
      </c>
      <c r="B185" s="45" t="n"/>
      <c r="C185" s="46" t="n"/>
      <c r="D185" s="46" t="n"/>
      <c r="E185" s="46" t="n"/>
      <c r="F185" s="51" t="n"/>
      <c r="G185" s="47" t="n"/>
      <c r="H185" s="47" t="n"/>
      <c r="I185" s="43">
        <f>IF($B185="","",N($G185)-N($H185))</f>
        <v/>
      </c>
    </row>
    <row r="186">
      <c r="A186" s="39">
        <f>IF($B186="","",COUNTA($B$4:$B186))</f>
        <v/>
      </c>
      <c r="B186" s="40" t="n"/>
      <c r="C186" s="41" t="n"/>
      <c r="D186" s="41" t="n"/>
      <c r="E186" s="41" t="n"/>
      <c r="F186" s="50" t="n"/>
      <c r="G186" s="42" t="n"/>
      <c r="H186" s="42" t="n"/>
      <c r="I186" s="43">
        <f>IF($B186="","",N($G186)-N($H186))</f>
        <v/>
      </c>
    </row>
    <row r="187">
      <c r="A187" s="39">
        <f>IF($B187="","",COUNTA($B$4:$B187))</f>
        <v/>
      </c>
      <c r="B187" s="45" t="n"/>
      <c r="C187" s="46" t="n"/>
      <c r="D187" s="46" t="n"/>
      <c r="E187" s="46" t="n"/>
      <c r="F187" s="51" t="n"/>
      <c r="G187" s="47" t="n"/>
      <c r="H187" s="47" t="n"/>
      <c r="I187" s="43">
        <f>IF($B187="","",N($G187)-N($H187))</f>
        <v/>
      </c>
    </row>
    <row r="188">
      <c r="A188" s="39">
        <f>IF($B188="","",COUNTA($B$4:$B188))</f>
        <v/>
      </c>
      <c r="B188" s="40" t="n"/>
      <c r="C188" s="41" t="n"/>
      <c r="D188" s="41" t="n"/>
      <c r="E188" s="41" t="n"/>
      <c r="F188" s="50" t="n"/>
      <c r="G188" s="42" t="n"/>
      <c r="H188" s="42" t="n"/>
      <c r="I188" s="43">
        <f>IF($B188="","",N($G188)-N($H188))</f>
        <v/>
      </c>
    </row>
    <row r="189">
      <c r="A189" s="39">
        <f>IF($B189="","",COUNTA($B$4:$B189))</f>
        <v/>
      </c>
      <c r="B189" s="45" t="n"/>
      <c r="C189" s="46" t="n"/>
      <c r="D189" s="46" t="n"/>
      <c r="E189" s="46" t="n"/>
      <c r="F189" s="51" t="n"/>
      <c r="G189" s="47" t="n"/>
      <c r="H189" s="47" t="n"/>
      <c r="I189" s="43">
        <f>IF($B189="","",N($G189)-N($H189))</f>
        <v/>
      </c>
    </row>
    <row r="190">
      <c r="A190" s="39">
        <f>IF($B190="","",COUNTA($B$4:$B190))</f>
        <v/>
      </c>
      <c r="B190" s="40" t="n"/>
      <c r="C190" s="41" t="n"/>
      <c r="D190" s="41" t="n"/>
      <c r="E190" s="41" t="n"/>
      <c r="F190" s="50" t="n"/>
      <c r="G190" s="42" t="n"/>
      <c r="H190" s="42" t="n"/>
      <c r="I190" s="43">
        <f>IF($B190="","",N($G190)-N($H190))</f>
        <v/>
      </c>
    </row>
    <row r="191">
      <c r="A191" s="39">
        <f>IF($B191="","",COUNTA($B$4:$B191))</f>
        <v/>
      </c>
      <c r="B191" s="45" t="n"/>
      <c r="C191" s="46" t="n"/>
      <c r="D191" s="46" t="n"/>
      <c r="E191" s="46" t="n"/>
      <c r="F191" s="51" t="n"/>
      <c r="G191" s="47" t="n"/>
      <c r="H191" s="47" t="n"/>
      <c r="I191" s="43">
        <f>IF($B191="","",N($G191)-N($H191))</f>
        <v/>
      </c>
    </row>
    <row r="192">
      <c r="A192" s="39">
        <f>IF($B192="","",COUNTA($B$4:$B192))</f>
        <v/>
      </c>
      <c r="B192" s="40" t="n"/>
      <c r="C192" s="41" t="n"/>
      <c r="D192" s="41" t="n"/>
      <c r="E192" s="41" t="n"/>
      <c r="F192" s="50" t="n"/>
      <c r="G192" s="42" t="n"/>
      <c r="H192" s="42" t="n"/>
      <c r="I192" s="43">
        <f>IF($B192="","",N($G192)-N($H192))</f>
        <v/>
      </c>
    </row>
    <row r="193">
      <c r="A193" s="39">
        <f>IF($B193="","",COUNTA($B$4:$B193))</f>
        <v/>
      </c>
      <c r="B193" s="45" t="n"/>
      <c r="C193" s="46" t="n"/>
      <c r="D193" s="46" t="n"/>
      <c r="E193" s="46" t="n"/>
      <c r="F193" s="51" t="n"/>
      <c r="G193" s="47" t="n"/>
      <c r="H193" s="47" t="n"/>
      <c r="I193" s="43">
        <f>IF($B193="","",N($G193)-N($H193))</f>
        <v/>
      </c>
    </row>
    <row r="194">
      <c r="A194" s="39">
        <f>IF($B194="","",COUNTA($B$4:$B194))</f>
        <v/>
      </c>
      <c r="B194" s="40" t="n"/>
      <c r="C194" s="41" t="n"/>
      <c r="D194" s="41" t="n"/>
      <c r="E194" s="41" t="n"/>
      <c r="F194" s="50" t="n"/>
      <c r="G194" s="42" t="n"/>
      <c r="H194" s="42" t="n"/>
      <c r="I194" s="43">
        <f>IF($B194="","",N($G194)-N($H194))</f>
        <v/>
      </c>
    </row>
    <row r="195">
      <c r="A195" s="39">
        <f>IF($B195="","",COUNTA($B$4:$B195))</f>
        <v/>
      </c>
      <c r="B195" s="45" t="n"/>
      <c r="C195" s="46" t="n"/>
      <c r="D195" s="46" t="n"/>
      <c r="E195" s="46" t="n"/>
      <c r="F195" s="51" t="n"/>
      <c r="G195" s="47" t="n"/>
      <c r="H195" s="47" t="n"/>
      <c r="I195" s="43">
        <f>IF($B195="","",N($G195)-N($H195))</f>
        <v/>
      </c>
    </row>
    <row r="196">
      <c r="A196" s="39">
        <f>IF($B196="","",COUNTA($B$4:$B196))</f>
        <v/>
      </c>
      <c r="B196" s="40" t="n"/>
      <c r="C196" s="41" t="n"/>
      <c r="D196" s="41" t="n"/>
      <c r="E196" s="41" t="n"/>
      <c r="F196" s="50" t="n"/>
      <c r="G196" s="42" t="n"/>
      <c r="H196" s="42" t="n"/>
      <c r="I196" s="43">
        <f>IF($B196="","",N($G196)-N($H196))</f>
        <v/>
      </c>
    </row>
    <row r="197">
      <c r="A197" s="39">
        <f>IF($B197="","",COUNTA($B$4:$B197))</f>
        <v/>
      </c>
      <c r="B197" s="45" t="n"/>
      <c r="C197" s="46" t="n"/>
      <c r="D197" s="46" t="n"/>
      <c r="E197" s="46" t="n"/>
      <c r="F197" s="51" t="n"/>
      <c r="G197" s="47" t="n"/>
      <c r="H197" s="47" t="n"/>
      <c r="I197" s="43">
        <f>IF($B197="","",N($G197)-N($H197))</f>
        <v/>
      </c>
    </row>
    <row r="198">
      <c r="A198" s="39">
        <f>IF($B198="","",COUNTA($B$4:$B198))</f>
        <v/>
      </c>
      <c r="B198" s="40" t="n"/>
      <c r="C198" s="41" t="n"/>
      <c r="D198" s="41" t="n"/>
      <c r="E198" s="41" t="n"/>
      <c r="F198" s="50" t="n"/>
      <c r="G198" s="42" t="n"/>
      <c r="H198" s="42" t="n"/>
      <c r="I198" s="43">
        <f>IF($B198="","",N($G198)-N($H198))</f>
        <v/>
      </c>
    </row>
    <row r="199">
      <c r="A199" s="39">
        <f>IF($B199="","",COUNTA($B$4:$B199))</f>
        <v/>
      </c>
      <c r="B199" s="45" t="n"/>
      <c r="C199" s="46" t="n"/>
      <c r="D199" s="46" t="n"/>
      <c r="E199" s="46" t="n"/>
      <c r="F199" s="51" t="n"/>
      <c r="G199" s="47" t="n"/>
      <c r="H199" s="47" t="n"/>
      <c r="I199" s="43">
        <f>IF($B199="","",N($G199)-N($H199))</f>
        <v/>
      </c>
    </row>
    <row r="200">
      <c r="A200" s="39">
        <f>IF($B200="","",COUNTA($B$4:$B200))</f>
        <v/>
      </c>
      <c r="B200" s="40" t="n"/>
      <c r="C200" s="41" t="n"/>
      <c r="D200" s="41" t="n"/>
      <c r="E200" s="41" t="n"/>
      <c r="F200" s="50" t="n"/>
      <c r="G200" s="42" t="n"/>
      <c r="H200" s="42" t="n"/>
      <c r="I200" s="43">
        <f>IF($B200="","",N($G200)-N($H200))</f>
        <v/>
      </c>
    </row>
    <row r="201">
      <c r="A201" s="39">
        <f>IF($B201="","",COUNTA($B$4:$B201))</f>
        <v/>
      </c>
      <c r="B201" s="45" t="n"/>
      <c r="C201" s="46" t="n"/>
      <c r="D201" s="46" t="n"/>
      <c r="E201" s="46" t="n"/>
      <c r="F201" s="51" t="n"/>
      <c r="G201" s="47" t="n"/>
      <c r="H201" s="47" t="n"/>
      <c r="I201" s="43">
        <f>IF($B201="","",N($G201)-N($H201))</f>
        <v/>
      </c>
    </row>
    <row r="202">
      <c r="A202" s="39">
        <f>IF($B202="","",COUNTA($B$4:$B202))</f>
        <v/>
      </c>
      <c r="B202" s="40" t="n"/>
      <c r="C202" s="41" t="n"/>
      <c r="D202" s="41" t="n"/>
      <c r="E202" s="41" t="n"/>
      <c r="F202" s="50" t="n"/>
      <c r="G202" s="42" t="n"/>
      <c r="H202" s="42" t="n"/>
      <c r="I202" s="43">
        <f>IF($B202="","",N($G202)-N($H202))</f>
        <v/>
      </c>
    </row>
    <row r="203">
      <c r="A203" s="39">
        <f>IF($B203="","",COUNTA($B$4:$B203))</f>
        <v/>
      </c>
      <c r="B203" s="45" t="n"/>
      <c r="C203" s="46" t="n"/>
      <c r="D203" s="46" t="n"/>
      <c r="E203" s="46" t="n"/>
      <c r="F203" s="51" t="n"/>
      <c r="G203" s="47" t="n"/>
      <c r="H203" s="47" t="n"/>
      <c r="I203" s="43">
        <f>IF($B203="","",N($G203)-N($H203))</f>
        <v/>
      </c>
    </row>
    <row r="204">
      <c r="A204" s="39">
        <f>IF($B204="","",COUNTA($B$4:$B204))</f>
        <v/>
      </c>
      <c r="B204" s="40" t="n"/>
      <c r="C204" s="41" t="n"/>
      <c r="D204" s="41" t="n"/>
      <c r="E204" s="41" t="n"/>
      <c r="F204" s="50" t="n"/>
      <c r="G204" s="42" t="n"/>
      <c r="H204" s="42" t="n"/>
      <c r="I204" s="43">
        <f>IF($B204="","",N($G204)-N($H204))</f>
        <v/>
      </c>
    </row>
    <row r="205">
      <c r="A205" s="39">
        <f>IF($B205="","",COUNTA($B$4:$B205))</f>
        <v/>
      </c>
      <c r="B205" s="45" t="n"/>
      <c r="C205" s="46" t="n"/>
      <c r="D205" s="46" t="n"/>
      <c r="E205" s="46" t="n"/>
      <c r="F205" s="51" t="n"/>
      <c r="G205" s="47" t="n"/>
      <c r="H205" s="47" t="n"/>
      <c r="I205" s="43">
        <f>IF($B205="","",N($G205)-N($H205))</f>
        <v/>
      </c>
    </row>
    <row r="206">
      <c r="A206" s="39">
        <f>IF($B206="","",COUNTA($B$4:$B206))</f>
        <v/>
      </c>
      <c r="B206" s="40" t="n"/>
      <c r="C206" s="41" t="n"/>
      <c r="D206" s="41" t="n"/>
      <c r="E206" s="41" t="n"/>
      <c r="F206" s="50" t="n"/>
      <c r="G206" s="42" t="n"/>
      <c r="H206" s="42" t="n"/>
      <c r="I206" s="43">
        <f>IF($B206="","",N($G206)-N($H206))</f>
        <v/>
      </c>
    </row>
    <row r="207">
      <c r="A207" s="39">
        <f>IF($B207="","",COUNTA($B$4:$B207))</f>
        <v/>
      </c>
      <c r="B207" s="45" t="n"/>
      <c r="C207" s="46" t="n"/>
      <c r="D207" s="46" t="n"/>
      <c r="E207" s="46" t="n"/>
      <c r="F207" s="51" t="n"/>
      <c r="G207" s="47" t="n"/>
      <c r="H207" s="47" t="n"/>
      <c r="I207" s="43">
        <f>IF($B207="","",N($G207)-N($H207))</f>
        <v/>
      </c>
    </row>
    <row r="208">
      <c r="A208" s="39">
        <f>IF($B208="","",COUNTA($B$4:$B208))</f>
        <v/>
      </c>
      <c r="B208" s="40" t="n"/>
      <c r="C208" s="41" t="n"/>
      <c r="D208" s="41" t="n"/>
      <c r="E208" s="41" t="n"/>
      <c r="F208" s="50" t="n"/>
      <c r="G208" s="42" t="n"/>
      <c r="H208" s="42" t="n"/>
      <c r="I208" s="43">
        <f>IF($B208="","",N($G208)-N($H208))</f>
        <v/>
      </c>
    </row>
    <row r="209">
      <c r="A209" s="39">
        <f>IF($B209="","",COUNTA($B$4:$B209))</f>
        <v/>
      </c>
      <c r="B209" s="45" t="n"/>
      <c r="C209" s="46" t="n"/>
      <c r="D209" s="46" t="n"/>
      <c r="E209" s="46" t="n"/>
      <c r="F209" s="51" t="n"/>
      <c r="G209" s="47" t="n"/>
      <c r="H209" s="47" t="n"/>
      <c r="I209" s="43">
        <f>IF($B209="","",N($G209)-N($H209))</f>
        <v/>
      </c>
    </row>
    <row r="210">
      <c r="A210" s="39">
        <f>IF($B210="","",COUNTA($B$4:$B210))</f>
        <v/>
      </c>
      <c r="B210" s="40" t="n"/>
      <c r="C210" s="41" t="n"/>
      <c r="D210" s="41" t="n"/>
      <c r="E210" s="41" t="n"/>
      <c r="F210" s="50" t="n"/>
      <c r="G210" s="42" t="n"/>
      <c r="H210" s="42" t="n"/>
      <c r="I210" s="43">
        <f>IF($B210="","",N($G210)-N($H210))</f>
        <v/>
      </c>
    </row>
    <row r="211">
      <c r="A211" s="39">
        <f>IF($B211="","",COUNTA($B$4:$B211))</f>
        <v/>
      </c>
      <c r="B211" s="45" t="n"/>
      <c r="C211" s="46" t="n"/>
      <c r="D211" s="46" t="n"/>
      <c r="E211" s="46" t="n"/>
      <c r="F211" s="51" t="n"/>
      <c r="G211" s="47" t="n"/>
      <c r="H211" s="47" t="n"/>
      <c r="I211" s="43">
        <f>IF($B211="","",N($G211)-N($H211))</f>
        <v/>
      </c>
    </row>
    <row r="212">
      <c r="A212" s="39">
        <f>IF($B212="","",COUNTA($B$4:$B212))</f>
        <v/>
      </c>
      <c r="B212" s="40" t="n"/>
      <c r="C212" s="41" t="n"/>
      <c r="D212" s="41" t="n"/>
      <c r="E212" s="41" t="n"/>
      <c r="F212" s="50" t="n"/>
      <c r="G212" s="42" t="n"/>
      <c r="H212" s="42" t="n"/>
      <c r="I212" s="43">
        <f>IF($B212="","",N($G212)-N($H212))</f>
        <v/>
      </c>
    </row>
    <row r="213">
      <c r="A213" s="39">
        <f>IF($B213="","",COUNTA($B$4:$B213))</f>
        <v/>
      </c>
      <c r="B213" s="45" t="n"/>
      <c r="C213" s="46" t="n"/>
      <c r="D213" s="46" t="n"/>
      <c r="E213" s="46" t="n"/>
      <c r="F213" s="51" t="n"/>
      <c r="G213" s="47" t="n"/>
      <c r="H213" s="47" t="n"/>
      <c r="I213" s="43">
        <f>IF($B213="","",N($G213)-N($H213))</f>
        <v/>
      </c>
    </row>
    <row r="214">
      <c r="A214" s="39">
        <f>IF($B214="","",COUNTA($B$4:$B214))</f>
        <v/>
      </c>
      <c r="B214" s="40" t="n"/>
      <c r="C214" s="41" t="n"/>
      <c r="D214" s="41" t="n"/>
      <c r="E214" s="41" t="n"/>
      <c r="F214" s="50" t="n"/>
      <c r="G214" s="42" t="n"/>
      <c r="H214" s="42" t="n"/>
      <c r="I214" s="43">
        <f>IF($B214="","",N($G214)-N($H214))</f>
        <v/>
      </c>
    </row>
    <row r="215">
      <c r="A215" s="39">
        <f>IF($B215="","",COUNTA($B$4:$B215))</f>
        <v/>
      </c>
      <c r="B215" s="45" t="n"/>
      <c r="C215" s="46" t="n"/>
      <c r="D215" s="46" t="n"/>
      <c r="E215" s="46" t="n"/>
      <c r="F215" s="51" t="n"/>
      <c r="G215" s="47" t="n"/>
      <c r="H215" s="47" t="n"/>
      <c r="I215" s="43">
        <f>IF($B215="","",N($G215)-N($H215))</f>
        <v/>
      </c>
    </row>
    <row r="216">
      <c r="A216" s="39">
        <f>IF($B216="","",COUNTA($B$4:$B216))</f>
        <v/>
      </c>
      <c r="B216" s="40" t="n"/>
      <c r="C216" s="41" t="n"/>
      <c r="D216" s="41" t="n"/>
      <c r="E216" s="41" t="n"/>
      <c r="F216" s="50" t="n"/>
      <c r="G216" s="42" t="n"/>
      <c r="H216" s="42" t="n"/>
      <c r="I216" s="43">
        <f>IF($B216="","",N($G216)-N($H216))</f>
        <v/>
      </c>
    </row>
    <row r="217">
      <c r="A217" s="39">
        <f>IF($B217="","",COUNTA($B$4:$B217))</f>
        <v/>
      </c>
      <c r="B217" s="45" t="n"/>
      <c r="C217" s="46" t="n"/>
      <c r="D217" s="46" t="n"/>
      <c r="E217" s="46" t="n"/>
      <c r="F217" s="51" t="n"/>
      <c r="G217" s="47" t="n"/>
      <c r="H217" s="47" t="n"/>
      <c r="I217" s="43">
        <f>IF($B217="","",N($G217)-N($H217))</f>
        <v/>
      </c>
    </row>
    <row r="218">
      <c r="A218" s="39">
        <f>IF($B218="","",COUNTA($B$4:$B218))</f>
        <v/>
      </c>
      <c r="B218" s="40" t="n"/>
      <c r="C218" s="41" t="n"/>
      <c r="D218" s="41" t="n"/>
      <c r="E218" s="41" t="n"/>
      <c r="F218" s="50" t="n"/>
      <c r="G218" s="42" t="n"/>
      <c r="H218" s="42" t="n"/>
      <c r="I218" s="43">
        <f>IF($B218="","",N($G218)-N($H218))</f>
        <v/>
      </c>
    </row>
    <row r="219">
      <c r="A219" s="39">
        <f>IF($B219="","",COUNTA($B$4:$B219))</f>
        <v/>
      </c>
      <c r="B219" s="45" t="n"/>
      <c r="C219" s="46" t="n"/>
      <c r="D219" s="46" t="n"/>
      <c r="E219" s="46" t="n"/>
      <c r="F219" s="51" t="n"/>
      <c r="G219" s="47" t="n"/>
      <c r="H219" s="47" t="n"/>
      <c r="I219" s="43">
        <f>IF($B219="","",N($G219)-N($H219))</f>
        <v/>
      </c>
    </row>
    <row r="220">
      <c r="A220" s="39">
        <f>IF($B220="","",COUNTA($B$4:$B220))</f>
        <v/>
      </c>
      <c r="B220" s="40" t="n"/>
      <c r="C220" s="41" t="n"/>
      <c r="D220" s="41" t="n"/>
      <c r="E220" s="41" t="n"/>
      <c r="F220" s="50" t="n"/>
      <c r="G220" s="42" t="n"/>
      <c r="H220" s="42" t="n"/>
      <c r="I220" s="43">
        <f>IF($B220="","",N($G220)-N($H220))</f>
        <v/>
      </c>
    </row>
    <row r="221">
      <c r="A221" s="39">
        <f>IF($B221="","",COUNTA($B$4:$B221))</f>
        <v/>
      </c>
      <c r="B221" s="45" t="n"/>
      <c r="C221" s="46" t="n"/>
      <c r="D221" s="46" t="n"/>
      <c r="E221" s="46" t="n"/>
      <c r="F221" s="51" t="n"/>
      <c r="G221" s="47" t="n"/>
      <c r="H221" s="47" t="n"/>
      <c r="I221" s="43">
        <f>IF($B221="","",N($G221)-N($H221))</f>
        <v/>
      </c>
    </row>
    <row r="222">
      <c r="A222" s="39">
        <f>IF($B222="","",COUNTA($B$4:$B222))</f>
        <v/>
      </c>
      <c r="B222" s="40" t="n"/>
      <c r="C222" s="41" t="n"/>
      <c r="D222" s="41" t="n"/>
      <c r="E222" s="41" t="n"/>
      <c r="F222" s="50" t="n"/>
      <c r="G222" s="42" t="n"/>
      <c r="H222" s="42" t="n"/>
      <c r="I222" s="43">
        <f>IF($B222="","",N($G222)-N($H222))</f>
        <v/>
      </c>
    </row>
    <row r="223">
      <c r="A223" s="39">
        <f>IF($B223="","",COUNTA($B$4:$B223))</f>
        <v/>
      </c>
      <c r="B223" s="45" t="n"/>
      <c r="C223" s="46" t="n"/>
      <c r="D223" s="46" t="n"/>
      <c r="E223" s="46" t="n"/>
      <c r="F223" s="51" t="n"/>
      <c r="G223" s="47" t="n"/>
      <c r="H223" s="47" t="n"/>
      <c r="I223" s="43">
        <f>IF($B223="","",N($G223)-N($H223))</f>
        <v/>
      </c>
    </row>
    <row r="224">
      <c r="A224" s="39">
        <f>IF($B224="","",COUNTA($B$4:$B224))</f>
        <v/>
      </c>
      <c r="B224" s="40" t="n"/>
      <c r="C224" s="41" t="n"/>
      <c r="D224" s="41" t="n"/>
      <c r="E224" s="41" t="n"/>
      <c r="F224" s="50" t="n"/>
      <c r="G224" s="42" t="n"/>
      <c r="H224" s="42" t="n"/>
      <c r="I224" s="43">
        <f>IF($B224="","",N($G224)-N($H224))</f>
        <v/>
      </c>
    </row>
    <row r="225">
      <c r="A225" s="39">
        <f>IF($B225="","",COUNTA($B$4:$B225))</f>
        <v/>
      </c>
      <c r="B225" s="45" t="n"/>
      <c r="C225" s="46" t="n"/>
      <c r="D225" s="46" t="n"/>
      <c r="E225" s="46" t="n"/>
      <c r="F225" s="51" t="n"/>
      <c r="G225" s="47" t="n"/>
      <c r="H225" s="47" t="n"/>
      <c r="I225" s="43">
        <f>IF($B225="","",N($G225)-N($H225))</f>
        <v/>
      </c>
    </row>
    <row r="226">
      <c r="A226" s="39">
        <f>IF($B226="","",COUNTA($B$4:$B226))</f>
        <v/>
      </c>
      <c r="B226" s="40" t="n"/>
      <c r="C226" s="41" t="n"/>
      <c r="D226" s="41" t="n"/>
      <c r="E226" s="41" t="n"/>
      <c r="F226" s="50" t="n"/>
      <c r="G226" s="42" t="n"/>
      <c r="H226" s="42" t="n"/>
      <c r="I226" s="43">
        <f>IF($B226="","",N($G226)-N($H226))</f>
        <v/>
      </c>
    </row>
    <row r="227">
      <c r="A227" s="39">
        <f>IF($B227="","",COUNTA($B$4:$B227))</f>
        <v/>
      </c>
      <c r="B227" s="45" t="n"/>
      <c r="C227" s="46" t="n"/>
      <c r="D227" s="46" t="n"/>
      <c r="E227" s="46" t="n"/>
      <c r="F227" s="51" t="n"/>
      <c r="G227" s="47" t="n"/>
      <c r="H227" s="47" t="n"/>
      <c r="I227" s="43">
        <f>IF($B227="","",N($G227)-N($H227))</f>
        <v/>
      </c>
    </row>
    <row r="228">
      <c r="A228" s="39">
        <f>IF($B228="","",COUNTA($B$4:$B228))</f>
        <v/>
      </c>
      <c r="B228" s="40" t="n"/>
      <c r="C228" s="41" t="n"/>
      <c r="D228" s="41" t="n"/>
      <c r="E228" s="41" t="n"/>
      <c r="F228" s="50" t="n"/>
      <c r="G228" s="42" t="n"/>
      <c r="H228" s="42" t="n"/>
      <c r="I228" s="43">
        <f>IF($B228="","",N($G228)-N($H228))</f>
        <v/>
      </c>
    </row>
    <row r="229">
      <c r="A229" s="39">
        <f>IF($B229="","",COUNTA($B$4:$B229))</f>
        <v/>
      </c>
      <c r="B229" s="45" t="n"/>
      <c r="C229" s="46" t="n"/>
      <c r="D229" s="46" t="n"/>
      <c r="E229" s="46" t="n"/>
      <c r="F229" s="51" t="n"/>
      <c r="G229" s="47" t="n"/>
      <c r="H229" s="47" t="n"/>
      <c r="I229" s="43">
        <f>IF($B229="","",N($G229)-N($H229))</f>
        <v/>
      </c>
    </row>
    <row r="230">
      <c r="A230" s="39">
        <f>IF($B230="","",COUNTA($B$4:$B230))</f>
        <v/>
      </c>
      <c r="B230" s="40" t="n"/>
      <c r="C230" s="41" t="n"/>
      <c r="D230" s="41" t="n"/>
      <c r="E230" s="41" t="n"/>
      <c r="F230" s="50" t="n"/>
      <c r="G230" s="42" t="n"/>
      <c r="H230" s="42" t="n"/>
      <c r="I230" s="43">
        <f>IF($B230="","",N($G230)-N($H230))</f>
        <v/>
      </c>
    </row>
    <row r="231">
      <c r="A231" s="39">
        <f>IF($B231="","",COUNTA($B$4:$B231))</f>
        <v/>
      </c>
      <c r="B231" s="45" t="n"/>
      <c r="C231" s="46" t="n"/>
      <c r="D231" s="46" t="n"/>
      <c r="E231" s="46" t="n"/>
      <c r="F231" s="51" t="n"/>
      <c r="G231" s="47" t="n"/>
      <c r="H231" s="47" t="n"/>
      <c r="I231" s="43">
        <f>IF($B231="","",N($G231)-N($H231))</f>
        <v/>
      </c>
    </row>
    <row r="232">
      <c r="A232" s="39">
        <f>IF($B232="","",COUNTA($B$4:$B232))</f>
        <v/>
      </c>
      <c r="B232" s="40" t="n"/>
      <c r="C232" s="41" t="n"/>
      <c r="D232" s="41" t="n"/>
      <c r="E232" s="41" t="n"/>
      <c r="F232" s="50" t="n"/>
      <c r="G232" s="42" t="n"/>
      <c r="H232" s="42" t="n"/>
      <c r="I232" s="43">
        <f>IF($B232="","",N($G232)-N($H232))</f>
        <v/>
      </c>
    </row>
    <row r="233">
      <c r="A233" s="39">
        <f>IF($B233="","",COUNTA($B$4:$B233))</f>
        <v/>
      </c>
      <c r="B233" s="45" t="n"/>
      <c r="C233" s="46" t="n"/>
      <c r="D233" s="46" t="n"/>
      <c r="E233" s="46" t="n"/>
      <c r="F233" s="51" t="n"/>
      <c r="G233" s="47" t="n"/>
      <c r="H233" s="47" t="n"/>
      <c r="I233" s="43">
        <f>IF($B233="","",N($G233)-N($H233))</f>
        <v/>
      </c>
    </row>
    <row r="234">
      <c r="A234" s="39">
        <f>IF($B234="","",COUNTA($B$4:$B234))</f>
        <v/>
      </c>
      <c r="B234" s="40" t="n"/>
      <c r="C234" s="41" t="n"/>
      <c r="D234" s="41" t="n"/>
      <c r="E234" s="41" t="n"/>
      <c r="F234" s="50" t="n"/>
      <c r="G234" s="42" t="n"/>
      <c r="H234" s="42" t="n"/>
      <c r="I234" s="43">
        <f>IF($B234="","",N($G234)-N($H234))</f>
        <v/>
      </c>
    </row>
    <row r="235">
      <c r="A235" s="39">
        <f>IF($B235="","",COUNTA($B$4:$B235))</f>
        <v/>
      </c>
      <c r="B235" s="45" t="n"/>
      <c r="C235" s="46" t="n"/>
      <c r="D235" s="46" t="n"/>
      <c r="E235" s="46" t="n"/>
      <c r="F235" s="51" t="n"/>
      <c r="G235" s="47" t="n"/>
      <c r="H235" s="47" t="n"/>
      <c r="I235" s="43">
        <f>IF($B235="","",N($G235)-N($H235))</f>
        <v/>
      </c>
    </row>
    <row r="236">
      <c r="A236" s="39">
        <f>IF($B236="","",COUNTA($B$4:$B236))</f>
        <v/>
      </c>
      <c r="B236" s="40" t="n"/>
      <c r="C236" s="41" t="n"/>
      <c r="D236" s="41" t="n"/>
      <c r="E236" s="41" t="n"/>
      <c r="F236" s="50" t="n"/>
      <c r="G236" s="42" t="n"/>
      <c r="H236" s="42" t="n"/>
      <c r="I236" s="43">
        <f>IF($B236="","",N($G236)-N($H236))</f>
        <v/>
      </c>
    </row>
    <row r="237">
      <c r="A237" s="39">
        <f>IF($B237="","",COUNTA($B$4:$B237))</f>
        <v/>
      </c>
      <c r="B237" s="45" t="n"/>
      <c r="C237" s="46" t="n"/>
      <c r="D237" s="46" t="n"/>
      <c r="E237" s="46" t="n"/>
      <c r="F237" s="51" t="n"/>
      <c r="G237" s="47" t="n"/>
      <c r="H237" s="47" t="n"/>
      <c r="I237" s="43">
        <f>IF($B237="","",N($G237)-N($H237))</f>
        <v/>
      </c>
    </row>
    <row r="238">
      <c r="A238" s="39">
        <f>IF($B238="","",COUNTA($B$4:$B238))</f>
        <v/>
      </c>
      <c r="B238" s="40" t="n"/>
      <c r="C238" s="41" t="n"/>
      <c r="D238" s="41" t="n"/>
      <c r="E238" s="41" t="n"/>
      <c r="F238" s="50" t="n"/>
      <c r="G238" s="42" t="n"/>
      <c r="H238" s="42" t="n"/>
      <c r="I238" s="43">
        <f>IF($B238="","",N($G238)-N($H238))</f>
        <v/>
      </c>
    </row>
    <row r="239">
      <c r="A239" s="39">
        <f>IF($B239="","",COUNTA($B$4:$B239))</f>
        <v/>
      </c>
      <c r="B239" s="45" t="n"/>
      <c r="C239" s="46" t="n"/>
      <c r="D239" s="46" t="n"/>
      <c r="E239" s="46" t="n"/>
      <c r="F239" s="51" t="n"/>
      <c r="G239" s="47" t="n"/>
      <c r="H239" s="47" t="n"/>
      <c r="I239" s="43">
        <f>IF($B239="","",N($G239)-N($H239))</f>
        <v/>
      </c>
    </row>
    <row r="240">
      <c r="A240" s="39">
        <f>IF($B240="","",COUNTA($B$4:$B240))</f>
        <v/>
      </c>
      <c r="B240" s="40" t="n"/>
      <c r="C240" s="41" t="n"/>
      <c r="D240" s="41" t="n"/>
      <c r="E240" s="41" t="n"/>
      <c r="F240" s="50" t="n"/>
      <c r="G240" s="42" t="n"/>
      <c r="H240" s="42" t="n"/>
      <c r="I240" s="43">
        <f>IF($B240="","",N($G240)-N($H240))</f>
        <v/>
      </c>
    </row>
    <row r="241">
      <c r="A241" s="39">
        <f>IF($B241="","",COUNTA($B$4:$B241))</f>
        <v/>
      </c>
      <c r="B241" s="45" t="n"/>
      <c r="C241" s="46" t="n"/>
      <c r="D241" s="46" t="n"/>
      <c r="E241" s="46" t="n"/>
      <c r="F241" s="51" t="n"/>
      <c r="G241" s="47" t="n"/>
      <c r="H241" s="47" t="n"/>
      <c r="I241" s="43">
        <f>IF($B241="","",N($G241)-N($H241))</f>
        <v/>
      </c>
    </row>
    <row r="242">
      <c r="A242" s="39">
        <f>IF($B242="","",COUNTA($B$4:$B242))</f>
        <v/>
      </c>
      <c r="B242" s="40" t="n"/>
      <c r="C242" s="41" t="n"/>
      <c r="D242" s="41" t="n"/>
      <c r="E242" s="41" t="n"/>
      <c r="F242" s="50" t="n"/>
      <c r="G242" s="42" t="n"/>
      <c r="H242" s="42" t="n"/>
      <c r="I242" s="43">
        <f>IF($B242="","",N($G242)-N($H242))</f>
        <v/>
      </c>
    </row>
    <row r="243">
      <c r="A243" s="39">
        <f>IF($B243="","",COUNTA($B$4:$B243))</f>
        <v/>
      </c>
      <c r="B243" s="45" t="n"/>
      <c r="C243" s="46" t="n"/>
      <c r="D243" s="46" t="n"/>
      <c r="E243" s="46" t="n"/>
      <c r="F243" s="51" t="n"/>
      <c r="G243" s="47" t="n"/>
      <c r="H243" s="47" t="n"/>
      <c r="I243" s="43">
        <f>IF($B243="","",N($G243)-N($H243))</f>
        <v/>
      </c>
    </row>
    <row r="244">
      <c r="A244" s="39">
        <f>IF($B244="","",COUNTA($B$4:$B244))</f>
        <v/>
      </c>
      <c r="B244" s="40" t="n"/>
      <c r="C244" s="41" t="n"/>
      <c r="D244" s="41" t="n"/>
      <c r="E244" s="41" t="n"/>
      <c r="F244" s="50" t="n"/>
      <c r="G244" s="42" t="n"/>
      <c r="H244" s="42" t="n"/>
      <c r="I244" s="43">
        <f>IF($B244="","",N($G244)-N($H244))</f>
        <v/>
      </c>
    </row>
    <row r="245">
      <c r="A245" s="39">
        <f>IF($B245="","",COUNTA($B$4:$B245))</f>
        <v/>
      </c>
      <c r="B245" s="45" t="n"/>
      <c r="C245" s="46" t="n"/>
      <c r="D245" s="46" t="n"/>
      <c r="E245" s="46" t="n"/>
      <c r="F245" s="51" t="n"/>
      <c r="G245" s="47" t="n"/>
      <c r="H245" s="47" t="n"/>
      <c r="I245" s="43">
        <f>IF($B245="","",N($G245)-N($H245))</f>
        <v/>
      </c>
    </row>
    <row r="246">
      <c r="A246" s="39">
        <f>IF($B246="","",COUNTA($B$4:$B246))</f>
        <v/>
      </c>
      <c r="B246" s="40" t="n"/>
      <c r="C246" s="41" t="n"/>
      <c r="D246" s="41" t="n"/>
      <c r="E246" s="41" t="n"/>
      <c r="F246" s="50" t="n"/>
      <c r="G246" s="42" t="n"/>
      <c r="H246" s="42" t="n"/>
      <c r="I246" s="43">
        <f>IF($B246="","",N($G246)-N($H246))</f>
        <v/>
      </c>
    </row>
    <row r="247">
      <c r="A247" s="39">
        <f>IF($B247="","",COUNTA($B$4:$B247))</f>
        <v/>
      </c>
      <c r="B247" s="45" t="n"/>
      <c r="C247" s="46" t="n"/>
      <c r="D247" s="46" t="n"/>
      <c r="E247" s="46" t="n"/>
      <c r="F247" s="51" t="n"/>
      <c r="G247" s="47" t="n"/>
      <c r="H247" s="47" t="n"/>
      <c r="I247" s="43">
        <f>IF($B247="","",N($G247)-N($H247))</f>
        <v/>
      </c>
    </row>
    <row r="248">
      <c r="A248" s="39">
        <f>IF($B248="","",COUNTA($B$4:$B248))</f>
        <v/>
      </c>
      <c r="B248" s="40" t="n"/>
      <c r="C248" s="41" t="n"/>
      <c r="D248" s="41" t="n"/>
      <c r="E248" s="41" t="n"/>
      <c r="F248" s="50" t="n"/>
      <c r="G248" s="42" t="n"/>
      <c r="H248" s="42" t="n"/>
      <c r="I248" s="43">
        <f>IF($B248="","",N($G248)-N($H248))</f>
        <v/>
      </c>
    </row>
    <row r="249">
      <c r="A249" s="39">
        <f>IF($B249="","",COUNTA($B$4:$B249))</f>
        <v/>
      </c>
      <c r="B249" s="45" t="n"/>
      <c r="C249" s="46" t="n"/>
      <c r="D249" s="46" t="n"/>
      <c r="E249" s="46" t="n"/>
      <c r="F249" s="51" t="n"/>
      <c r="G249" s="47" t="n"/>
      <c r="H249" s="47" t="n"/>
      <c r="I249" s="43">
        <f>IF($B249="","",N($G249)-N($H249))</f>
        <v/>
      </c>
    </row>
    <row r="250">
      <c r="A250" s="39">
        <f>IF($B250="","",COUNTA($B$4:$B250))</f>
        <v/>
      </c>
      <c r="B250" s="40" t="n"/>
      <c r="C250" s="41" t="n"/>
      <c r="D250" s="41" t="n"/>
      <c r="E250" s="41" t="n"/>
      <c r="F250" s="50" t="n"/>
      <c r="G250" s="42" t="n"/>
      <c r="H250" s="42" t="n"/>
      <c r="I250" s="43">
        <f>IF($B250="","",N($G250)-N($H250))</f>
        <v/>
      </c>
    </row>
    <row r="251">
      <c r="A251" s="39">
        <f>IF($B251="","",COUNTA($B$4:$B251))</f>
        <v/>
      </c>
      <c r="B251" s="45" t="n"/>
      <c r="C251" s="46" t="n"/>
      <c r="D251" s="46" t="n"/>
      <c r="E251" s="46" t="n"/>
      <c r="F251" s="51" t="n"/>
      <c r="G251" s="47" t="n"/>
      <c r="H251" s="47" t="n"/>
      <c r="I251" s="43">
        <f>IF($B251="","",N($G251)-N($H251))</f>
        <v/>
      </c>
    </row>
    <row r="252">
      <c r="A252" s="39">
        <f>IF($B252="","",COUNTA($B$4:$B252))</f>
        <v/>
      </c>
      <c r="B252" s="40" t="n"/>
      <c r="C252" s="41" t="n"/>
      <c r="D252" s="41" t="n"/>
      <c r="E252" s="41" t="n"/>
      <c r="F252" s="50" t="n"/>
      <c r="G252" s="42" t="n"/>
      <c r="H252" s="42" t="n"/>
      <c r="I252" s="43">
        <f>IF($B252="","",N($G252)-N($H252))</f>
        <v/>
      </c>
    </row>
    <row r="253">
      <c r="A253" s="39">
        <f>IF($B253="","",COUNTA($B$4:$B253))</f>
        <v/>
      </c>
      <c r="B253" s="45" t="n"/>
      <c r="C253" s="46" t="n"/>
      <c r="D253" s="46" t="n"/>
      <c r="E253" s="46" t="n"/>
      <c r="F253" s="51" t="n"/>
      <c r="G253" s="47" t="n"/>
      <c r="H253" s="47" t="n"/>
      <c r="I253" s="43">
        <f>IF($B253="","",N($G253)-N($H253))</f>
        <v/>
      </c>
    </row>
    <row r="254">
      <c r="A254" s="39">
        <f>IF($B254="","",COUNTA($B$4:$B254))</f>
        <v/>
      </c>
      <c r="B254" s="40" t="n"/>
      <c r="C254" s="41" t="n"/>
      <c r="D254" s="41" t="n"/>
      <c r="E254" s="41" t="n"/>
      <c r="F254" s="50" t="n"/>
      <c r="G254" s="42" t="n"/>
      <c r="H254" s="42" t="n"/>
      <c r="I254" s="43">
        <f>IF($B254="","",N($G254)-N($H254))</f>
        <v/>
      </c>
    </row>
    <row r="255">
      <c r="A255" s="39">
        <f>IF($B255="","",COUNTA($B$4:$B255))</f>
        <v/>
      </c>
      <c r="B255" s="45" t="n"/>
      <c r="C255" s="46" t="n"/>
      <c r="D255" s="46" t="n"/>
      <c r="E255" s="46" t="n"/>
      <c r="F255" s="51" t="n"/>
      <c r="G255" s="47" t="n"/>
      <c r="H255" s="47" t="n"/>
      <c r="I255" s="43">
        <f>IF($B255="","",N($G255)-N($H255))</f>
        <v/>
      </c>
    </row>
    <row r="256">
      <c r="A256" s="39">
        <f>IF($B256="","",COUNTA($B$4:$B256))</f>
        <v/>
      </c>
      <c r="B256" s="40" t="n"/>
      <c r="C256" s="41" t="n"/>
      <c r="D256" s="41" t="n"/>
      <c r="E256" s="41" t="n"/>
      <c r="F256" s="50" t="n"/>
      <c r="G256" s="42" t="n"/>
      <c r="H256" s="42" t="n"/>
      <c r="I256" s="43">
        <f>IF($B256="","",N($G256)-N($H256))</f>
        <v/>
      </c>
    </row>
    <row r="257">
      <c r="A257" s="39">
        <f>IF($B257="","",COUNTA($B$4:$B257))</f>
        <v/>
      </c>
      <c r="B257" s="45" t="n"/>
      <c r="C257" s="46" t="n"/>
      <c r="D257" s="46" t="n"/>
      <c r="E257" s="46" t="n"/>
      <c r="F257" s="51" t="n"/>
      <c r="G257" s="47" t="n"/>
      <c r="H257" s="47" t="n"/>
      <c r="I257" s="43">
        <f>IF($B257="","",N($G257)-N($H257))</f>
        <v/>
      </c>
    </row>
    <row r="258">
      <c r="A258" s="39">
        <f>IF($B258="","",COUNTA($B$4:$B258))</f>
        <v/>
      </c>
      <c r="B258" s="40" t="n"/>
      <c r="C258" s="41" t="n"/>
      <c r="D258" s="41" t="n"/>
      <c r="E258" s="41" t="n"/>
      <c r="F258" s="50" t="n"/>
      <c r="G258" s="42" t="n"/>
      <c r="H258" s="42" t="n"/>
      <c r="I258" s="43">
        <f>IF($B258="","",N($G258)-N($H258))</f>
        <v/>
      </c>
    </row>
    <row r="259">
      <c r="A259" s="39">
        <f>IF($B259="","",COUNTA($B$4:$B259))</f>
        <v/>
      </c>
      <c r="B259" s="45" t="n"/>
      <c r="C259" s="46" t="n"/>
      <c r="D259" s="46" t="n"/>
      <c r="E259" s="46" t="n"/>
      <c r="F259" s="51" t="n"/>
      <c r="G259" s="47" t="n"/>
      <c r="H259" s="47" t="n"/>
      <c r="I259" s="43">
        <f>IF($B259="","",N($G259)-N($H259))</f>
        <v/>
      </c>
    </row>
    <row r="260">
      <c r="A260" s="39">
        <f>IF($B260="","",COUNTA($B$4:$B260))</f>
        <v/>
      </c>
      <c r="B260" s="40" t="n"/>
      <c r="C260" s="41" t="n"/>
      <c r="D260" s="41" t="n"/>
      <c r="E260" s="41" t="n"/>
      <c r="F260" s="50" t="n"/>
      <c r="G260" s="42" t="n"/>
      <c r="H260" s="42" t="n"/>
      <c r="I260" s="43">
        <f>IF($B260="","",N($G260)-N($H260))</f>
        <v/>
      </c>
    </row>
    <row r="261">
      <c r="A261" s="39">
        <f>IF($B261="","",COUNTA($B$4:$B261))</f>
        <v/>
      </c>
      <c r="B261" s="45" t="n"/>
      <c r="C261" s="46" t="n"/>
      <c r="D261" s="46" t="n"/>
      <c r="E261" s="46" t="n"/>
      <c r="F261" s="51" t="n"/>
      <c r="G261" s="47" t="n"/>
      <c r="H261" s="47" t="n"/>
      <c r="I261" s="43">
        <f>IF($B261="","",N($G261)-N($H261))</f>
        <v/>
      </c>
    </row>
    <row r="262">
      <c r="A262" s="39">
        <f>IF($B262="","",COUNTA($B$4:$B262))</f>
        <v/>
      </c>
      <c r="B262" s="40" t="n"/>
      <c r="C262" s="41" t="n"/>
      <c r="D262" s="41" t="n"/>
      <c r="E262" s="41" t="n"/>
      <c r="F262" s="50" t="n"/>
      <c r="G262" s="42" t="n"/>
      <c r="H262" s="42" t="n"/>
      <c r="I262" s="43">
        <f>IF($B262="","",N($G262)-N($H262))</f>
        <v/>
      </c>
    </row>
    <row r="263">
      <c r="A263" s="39">
        <f>IF($B263="","",COUNTA($B$4:$B263))</f>
        <v/>
      </c>
      <c r="B263" s="45" t="n"/>
      <c r="C263" s="46" t="n"/>
      <c r="D263" s="46" t="n"/>
      <c r="E263" s="46" t="n"/>
      <c r="F263" s="51" t="n"/>
      <c r="G263" s="47" t="n"/>
      <c r="H263" s="47" t="n"/>
      <c r="I263" s="43">
        <f>IF($B263="","",N($G263)-N($H263))</f>
        <v/>
      </c>
    </row>
    <row r="264">
      <c r="A264" s="39">
        <f>IF($B264="","",COUNTA($B$4:$B264))</f>
        <v/>
      </c>
      <c r="B264" s="40" t="n"/>
      <c r="C264" s="41" t="n"/>
      <c r="D264" s="41" t="n"/>
      <c r="E264" s="41" t="n"/>
      <c r="F264" s="50" t="n"/>
      <c r="G264" s="42" t="n"/>
      <c r="H264" s="42" t="n"/>
      <c r="I264" s="43">
        <f>IF($B264="","",N($G264)-N($H264))</f>
        <v/>
      </c>
    </row>
    <row r="265">
      <c r="A265" s="39">
        <f>IF($B265="","",COUNTA($B$4:$B265))</f>
        <v/>
      </c>
      <c r="B265" s="45" t="n"/>
      <c r="C265" s="46" t="n"/>
      <c r="D265" s="46" t="n"/>
      <c r="E265" s="46" t="n"/>
      <c r="F265" s="51" t="n"/>
      <c r="G265" s="47" t="n"/>
      <c r="H265" s="47" t="n"/>
      <c r="I265" s="43">
        <f>IF($B265="","",N($G265)-N($H265))</f>
        <v/>
      </c>
    </row>
    <row r="266">
      <c r="A266" s="39">
        <f>IF($B266="","",COUNTA($B$4:$B266))</f>
        <v/>
      </c>
      <c r="B266" s="40" t="n"/>
      <c r="C266" s="41" t="n"/>
      <c r="D266" s="41" t="n"/>
      <c r="E266" s="41" t="n"/>
      <c r="F266" s="50" t="n"/>
      <c r="G266" s="42" t="n"/>
      <c r="H266" s="42" t="n"/>
      <c r="I266" s="43">
        <f>IF($B266="","",N($G266)-N($H266))</f>
        <v/>
      </c>
    </row>
    <row r="267">
      <c r="A267" s="39">
        <f>IF($B267="","",COUNTA($B$4:$B267))</f>
        <v/>
      </c>
      <c r="B267" s="45" t="n"/>
      <c r="C267" s="46" t="n"/>
      <c r="D267" s="46" t="n"/>
      <c r="E267" s="46" t="n"/>
      <c r="F267" s="51" t="n"/>
      <c r="G267" s="47" t="n"/>
      <c r="H267" s="47" t="n"/>
      <c r="I267" s="43">
        <f>IF($B267="","",N($G267)-N($H267))</f>
        <v/>
      </c>
    </row>
    <row r="268">
      <c r="A268" s="39">
        <f>IF($B268="","",COUNTA($B$4:$B268))</f>
        <v/>
      </c>
      <c r="B268" s="40" t="n"/>
      <c r="C268" s="41" t="n"/>
      <c r="D268" s="41" t="n"/>
      <c r="E268" s="41" t="n"/>
      <c r="F268" s="50" t="n"/>
      <c r="G268" s="42" t="n"/>
      <c r="H268" s="42" t="n"/>
      <c r="I268" s="43">
        <f>IF($B268="","",N($G268)-N($H268))</f>
        <v/>
      </c>
    </row>
    <row r="269">
      <c r="A269" s="39">
        <f>IF($B269="","",COUNTA($B$4:$B269))</f>
        <v/>
      </c>
      <c r="B269" s="45" t="n"/>
      <c r="C269" s="46" t="n"/>
      <c r="D269" s="46" t="n"/>
      <c r="E269" s="46" t="n"/>
      <c r="F269" s="51" t="n"/>
      <c r="G269" s="47" t="n"/>
      <c r="H269" s="47" t="n"/>
      <c r="I269" s="43">
        <f>IF($B269="","",N($G269)-N($H269))</f>
        <v/>
      </c>
    </row>
    <row r="270">
      <c r="A270" s="39">
        <f>IF($B270="","",COUNTA($B$4:$B270))</f>
        <v/>
      </c>
      <c r="B270" s="40" t="n"/>
      <c r="C270" s="41" t="n"/>
      <c r="D270" s="41" t="n"/>
      <c r="E270" s="41" t="n"/>
      <c r="F270" s="50" t="n"/>
      <c r="G270" s="42" t="n"/>
      <c r="H270" s="42" t="n"/>
      <c r="I270" s="43">
        <f>IF($B270="","",N($G270)-N($H270))</f>
        <v/>
      </c>
    </row>
    <row r="271">
      <c r="A271" s="39">
        <f>IF($B271="","",COUNTA($B$4:$B271))</f>
        <v/>
      </c>
      <c r="B271" s="45" t="n"/>
      <c r="C271" s="46" t="n"/>
      <c r="D271" s="46" t="n"/>
      <c r="E271" s="46" t="n"/>
      <c r="F271" s="51" t="n"/>
      <c r="G271" s="47" t="n"/>
      <c r="H271" s="47" t="n"/>
      <c r="I271" s="43">
        <f>IF($B271="","",N($G271)-N($H271))</f>
        <v/>
      </c>
    </row>
    <row r="272">
      <c r="A272" s="39">
        <f>IF($B272="","",COUNTA($B$4:$B272))</f>
        <v/>
      </c>
      <c r="B272" s="40" t="n"/>
      <c r="C272" s="41" t="n"/>
      <c r="D272" s="41" t="n"/>
      <c r="E272" s="41" t="n"/>
      <c r="F272" s="50" t="n"/>
      <c r="G272" s="42" t="n"/>
      <c r="H272" s="42" t="n"/>
      <c r="I272" s="43">
        <f>IF($B272="","",N($G272)-N($H272))</f>
        <v/>
      </c>
    </row>
    <row r="273">
      <c r="A273" s="39">
        <f>IF($B273="","",COUNTA($B$4:$B273))</f>
        <v/>
      </c>
      <c r="B273" s="45" t="n"/>
      <c r="C273" s="46" t="n"/>
      <c r="D273" s="46" t="n"/>
      <c r="E273" s="46" t="n"/>
      <c r="F273" s="51" t="n"/>
      <c r="G273" s="47" t="n"/>
      <c r="H273" s="47" t="n"/>
      <c r="I273" s="43">
        <f>IF($B273="","",N($G273)-N($H273))</f>
        <v/>
      </c>
    </row>
    <row r="274">
      <c r="A274" s="39">
        <f>IF($B274="","",COUNTA($B$4:$B274))</f>
        <v/>
      </c>
      <c r="B274" s="40" t="n"/>
      <c r="C274" s="41" t="n"/>
      <c r="D274" s="41" t="n"/>
      <c r="E274" s="41" t="n"/>
      <c r="F274" s="50" t="n"/>
      <c r="G274" s="42" t="n"/>
      <c r="H274" s="42" t="n"/>
      <c r="I274" s="43">
        <f>IF($B274="","",N($G274)-N($H274))</f>
        <v/>
      </c>
    </row>
    <row r="275">
      <c r="A275" s="39">
        <f>IF($B275="","",COUNTA($B$4:$B275))</f>
        <v/>
      </c>
      <c r="B275" s="45" t="n"/>
      <c r="C275" s="46" t="n"/>
      <c r="D275" s="46" t="n"/>
      <c r="E275" s="46" t="n"/>
      <c r="F275" s="51" t="n"/>
      <c r="G275" s="47" t="n"/>
      <c r="H275" s="47" t="n"/>
      <c r="I275" s="43">
        <f>IF($B275="","",N($G275)-N($H275))</f>
        <v/>
      </c>
    </row>
    <row r="276">
      <c r="A276" s="39">
        <f>IF($B276="","",COUNTA($B$4:$B276))</f>
        <v/>
      </c>
      <c r="B276" s="40" t="n"/>
      <c r="C276" s="41" t="n"/>
      <c r="D276" s="41" t="n"/>
      <c r="E276" s="41" t="n"/>
      <c r="F276" s="50" t="n"/>
      <c r="G276" s="42" t="n"/>
      <c r="H276" s="42" t="n"/>
      <c r="I276" s="43">
        <f>IF($B276="","",N($G276)-N($H276))</f>
        <v/>
      </c>
    </row>
    <row r="277">
      <c r="A277" s="39">
        <f>IF($B277="","",COUNTA($B$4:$B277))</f>
        <v/>
      </c>
      <c r="B277" s="45" t="n"/>
      <c r="C277" s="46" t="n"/>
      <c r="D277" s="46" t="n"/>
      <c r="E277" s="46" t="n"/>
      <c r="F277" s="51" t="n"/>
      <c r="G277" s="47" t="n"/>
      <c r="H277" s="47" t="n"/>
      <c r="I277" s="43">
        <f>IF($B277="","",N($G277)-N($H277))</f>
        <v/>
      </c>
    </row>
    <row r="278">
      <c r="A278" s="39">
        <f>IF($B278="","",COUNTA($B$4:$B278))</f>
        <v/>
      </c>
      <c r="B278" s="40" t="n"/>
      <c r="C278" s="41" t="n"/>
      <c r="D278" s="41" t="n"/>
      <c r="E278" s="41" t="n"/>
      <c r="F278" s="50" t="n"/>
      <c r="G278" s="42" t="n"/>
      <c r="H278" s="42" t="n"/>
      <c r="I278" s="43">
        <f>IF($B278="","",N($G278)-N($H278))</f>
        <v/>
      </c>
    </row>
    <row r="279">
      <c r="A279" s="39">
        <f>IF($B279="","",COUNTA($B$4:$B279))</f>
        <v/>
      </c>
      <c r="B279" s="45" t="n"/>
      <c r="C279" s="46" t="n"/>
      <c r="D279" s="46" t="n"/>
      <c r="E279" s="46" t="n"/>
      <c r="F279" s="51" t="n"/>
      <c r="G279" s="47" t="n"/>
      <c r="H279" s="47" t="n"/>
      <c r="I279" s="43">
        <f>IF($B279="","",N($G279)-N($H279))</f>
        <v/>
      </c>
    </row>
    <row r="280">
      <c r="A280" s="39">
        <f>IF($B280="","",COUNTA($B$4:$B280))</f>
        <v/>
      </c>
      <c r="B280" s="40" t="n"/>
      <c r="C280" s="41" t="n"/>
      <c r="D280" s="41" t="n"/>
      <c r="E280" s="41" t="n"/>
      <c r="F280" s="50" t="n"/>
      <c r="G280" s="42" t="n"/>
      <c r="H280" s="42" t="n"/>
      <c r="I280" s="43">
        <f>IF($B280="","",N($G280)-N($H280))</f>
        <v/>
      </c>
    </row>
    <row r="281">
      <c r="A281" s="39">
        <f>IF($B281="","",COUNTA($B$4:$B281))</f>
        <v/>
      </c>
      <c r="B281" s="45" t="n"/>
      <c r="C281" s="46" t="n"/>
      <c r="D281" s="46" t="n"/>
      <c r="E281" s="46" t="n"/>
      <c r="F281" s="51" t="n"/>
      <c r="G281" s="47" t="n"/>
      <c r="H281" s="47" t="n"/>
      <c r="I281" s="43">
        <f>IF($B281="","",N($G281)-N($H281))</f>
        <v/>
      </c>
    </row>
    <row r="282">
      <c r="A282" s="39">
        <f>IF($B282="","",COUNTA($B$4:$B282))</f>
        <v/>
      </c>
      <c r="B282" s="40" t="n"/>
      <c r="C282" s="41" t="n"/>
      <c r="D282" s="41" t="n"/>
      <c r="E282" s="41" t="n"/>
      <c r="F282" s="50" t="n"/>
      <c r="G282" s="42" t="n"/>
      <c r="H282" s="42" t="n"/>
      <c r="I282" s="43">
        <f>IF($B282="","",N($G282)-N($H282))</f>
        <v/>
      </c>
    </row>
    <row r="283">
      <c r="A283" s="39">
        <f>IF($B283="","",COUNTA($B$4:$B283))</f>
        <v/>
      </c>
      <c r="B283" s="45" t="n"/>
      <c r="C283" s="46" t="n"/>
      <c r="D283" s="46" t="n"/>
      <c r="E283" s="46" t="n"/>
      <c r="F283" s="51" t="n"/>
      <c r="G283" s="47" t="n"/>
      <c r="H283" s="47" t="n"/>
      <c r="I283" s="43">
        <f>IF($B283="","",N($G283)-N($H283))</f>
        <v/>
      </c>
    </row>
    <row r="284">
      <c r="A284" s="39">
        <f>IF($B284="","",COUNTA($B$4:$B284))</f>
        <v/>
      </c>
      <c r="B284" s="40" t="n"/>
      <c r="C284" s="41" t="n"/>
      <c r="D284" s="41" t="n"/>
      <c r="E284" s="41" t="n"/>
      <c r="F284" s="50" t="n"/>
      <c r="G284" s="42" t="n"/>
      <c r="H284" s="42" t="n"/>
      <c r="I284" s="43">
        <f>IF($B284="","",N($G284)-N($H284))</f>
        <v/>
      </c>
    </row>
    <row r="285">
      <c r="A285" s="39">
        <f>IF($B285="","",COUNTA($B$4:$B285))</f>
        <v/>
      </c>
      <c r="B285" s="45" t="n"/>
      <c r="C285" s="46" t="n"/>
      <c r="D285" s="46" t="n"/>
      <c r="E285" s="46" t="n"/>
      <c r="F285" s="51" t="n"/>
      <c r="G285" s="47" t="n"/>
      <c r="H285" s="47" t="n"/>
      <c r="I285" s="43">
        <f>IF($B285="","",N($G285)-N($H285))</f>
        <v/>
      </c>
    </row>
    <row r="286">
      <c r="A286" s="39">
        <f>IF($B286="","",COUNTA($B$4:$B286))</f>
        <v/>
      </c>
      <c r="B286" s="40" t="n"/>
      <c r="C286" s="41" t="n"/>
      <c r="D286" s="41" t="n"/>
      <c r="E286" s="41" t="n"/>
      <c r="F286" s="50" t="n"/>
      <c r="G286" s="42" t="n"/>
      <c r="H286" s="42" t="n"/>
      <c r="I286" s="43">
        <f>IF($B286="","",N($G286)-N($H286))</f>
        <v/>
      </c>
    </row>
    <row r="287">
      <c r="A287" s="39">
        <f>IF($B287="","",COUNTA($B$4:$B287))</f>
        <v/>
      </c>
      <c r="B287" s="45" t="n"/>
      <c r="C287" s="46" t="n"/>
      <c r="D287" s="46" t="n"/>
      <c r="E287" s="46" t="n"/>
      <c r="F287" s="51" t="n"/>
      <c r="G287" s="47" t="n"/>
      <c r="H287" s="47" t="n"/>
      <c r="I287" s="43">
        <f>IF($B287="","",N($G287)-N($H287))</f>
        <v/>
      </c>
    </row>
    <row r="288">
      <c r="A288" s="39">
        <f>IF($B288="","",COUNTA($B$4:$B288))</f>
        <v/>
      </c>
      <c r="B288" s="40" t="n"/>
      <c r="C288" s="41" t="n"/>
      <c r="D288" s="41" t="n"/>
      <c r="E288" s="41" t="n"/>
      <c r="F288" s="50" t="n"/>
      <c r="G288" s="42" t="n"/>
      <c r="H288" s="42" t="n"/>
      <c r="I288" s="43">
        <f>IF($B288="","",N($G288)-N($H288))</f>
        <v/>
      </c>
    </row>
    <row r="289">
      <c r="A289" s="39">
        <f>IF($B289="","",COUNTA($B$4:$B289))</f>
        <v/>
      </c>
      <c r="B289" s="45" t="n"/>
      <c r="C289" s="46" t="n"/>
      <c r="D289" s="46" t="n"/>
      <c r="E289" s="46" t="n"/>
      <c r="F289" s="51" t="n"/>
      <c r="G289" s="47" t="n"/>
      <c r="H289" s="47" t="n"/>
      <c r="I289" s="43">
        <f>IF($B289="","",N($G289)-N($H289))</f>
        <v/>
      </c>
    </row>
    <row r="290">
      <c r="A290" s="39">
        <f>IF($B290="","",COUNTA($B$4:$B290))</f>
        <v/>
      </c>
      <c r="B290" s="40" t="n"/>
      <c r="C290" s="41" t="n"/>
      <c r="D290" s="41" t="n"/>
      <c r="E290" s="41" t="n"/>
      <c r="F290" s="50" t="n"/>
      <c r="G290" s="42" t="n"/>
      <c r="H290" s="42" t="n"/>
      <c r="I290" s="43">
        <f>IF($B290="","",N($G290)-N($H290))</f>
        <v/>
      </c>
    </row>
    <row r="291">
      <c r="A291" s="39">
        <f>IF($B291="","",COUNTA($B$4:$B291))</f>
        <v/>
      </c>
      <c r="B291" s="45" t="n"/>
      <c r="C291" s="46" t="n"/>
      <c r="D291" s="46" t="n"/>
      <c r="E291" s="46" t="n"/>
      <c r="F291" s="51" t="n"/>
      <c r="G291" s="47" t="n"/>
      <c r="H291" s="47" t="n"/>
      <c r="I291" s="43">
        <f>IF($B291="","",N($G291)-N($H291))</f>
        <v/>
      </c>
    </row>
    <row r="292">
      <c r="A292" s="39">
        <f>IF($B292="","",COUNTA($B$4:$B292))</f>
        <v/>
      </c>
      <c r="B292" s="40" t="n"/>
      <c r="C292" s="41" t="n"/>
      <c r="D292" s="41" t="n"/>
      <c r="E292" s="41" t="n"/>
      <c r="F292" s="50" t="n"/>
      <c r="G292" s="42" t="n"/>
      <c r="H292" s="42" t="n"/>
      <c r="I292" s="43">
        <f>IF($B292="","",N($G292)-N($H292))</f>
        <v/>
      </c>
    </row>
    <row r="293">
      <c r="A293" s="39">
        <f>IF($B293="","",COUNTA($B$4:$B293))</f>
        <v/>
      </c>
      <c r="B293" s="45" t="n"/>
      <c r="C293" s="46" t="n"/>
      <c r="D293" s="46" t="n"/>
      <c r="E293" s="46" t="n"/>
      <c r="F293" s="51" t="n"/>
      <c r="G293" s="47" t="n"/>
      <c r="H293" s="47" t="n"/>
      <c r="I293" s="43">
        <f>IF($B293="","",N($G293)-N($H293))</f>
        <v/>
      </c>
    </row>
    <row r="294">
      <c r="A294" s="39">
        <f>IF($B294="","",COUNTA($B$4:$B294))</f>
        <v/>
      </c>
      <c r="B294" s="40" t="n"/>
      <c r="C294" s="41" t="n"/>
      <c r="D294" s="41" t="n"/>
      <c r="E294" s="41" t="n"/>
      <c r="F294" s="50" t="n"/>
      <c r="G294" s="42" t="n"/>
      <c r="H294" s="42" t="n"/>
      <c r="I294" s="43">
        <f>IF($B294="","",N($G294)-N($H294))</f>
        <v/>
      </c>
    </row>
    <row r="295">
      <c r="A295" s="39">
        <f>IF($B295="","",COUNTA($B$4:$B295))</f>
        <v/>
      </c>
      <c r="B295" s="45" t="n"/>
      <c r="C295" s="46" t="n"/>
      <c r="D295" s="46" t="n"/>
      <c r="E295" s="46" t="n"/>
      <c r="F295" s="51" t="n"/>
      <c r="G295" s="47" t="n"/>
      <c r="H295" s="47" t="n"/>
      <c r="I295" s="43">
        <f>IF($B295="","",N($G295)-N($H295))</f>
        <v/>
      </c>
    </row>
    <row r="296">
      <c r="A296" s="39">
        <f>IF($B296="","",COUNTA($B$4:$B296))</f>
        <v/>
      </c>
      <c r="B296" s="40" t="n"/>
      <c r="C296" s="41" t="n"/>
      <c r="D296" s="41" t="n"/>
      <c r="E296" s="41" t="n"/>
      <c r="F296" s="50" t="n"/>
      <c r="G296" s="42" t="n"/>
      <c r="H296" s="42" t="n"/>
      <c r="I296" s="43">
        <f>IF($B296="","",N($G296)-N($H296))</f>
        <v/>
      </c>
    </row>
    <row r="297">
      <c r="A297" s="39">
        <f>IF($B297="","",COUNTA($B$4:$B297))</f>
        <v/>
      </c>
      <c r="B297" s="45" t="n"/>
      <c r="C297" s="46" t="n"/>
      <c r="D297" s="46" t="n"/>
      <c r="E297" s="46" t="n"/>
      <c r="F297" s="51" t="n"/>
      <c r="G297" s="47" t="n"/>
      <c r="H297" s="47" t="n"/>
      <c r="I297" s="43">
        <f>IF($B297="","",N($G297)-N($H297))</f>
        <v/>
      </c>
    </row>
    <row r="298">
      <c r="A298" s="39">
        <f>IF($B298="","",COUNTA($B$4:$B298))</f>
        <v/>
      </c>
      <c r="B298" s="40" t="n"/>
      <c r="C298" s="41" t="n"/>
      <c r="D298" s="41" t="n"/>
      <c r="E298" s="41" t="n"/>
      <c r="F298" s="50" t="n"/>
      <c r="G298" s="42" t="n"/>
      <c r="H298" s="42" t="n"/>
      <c r="I298" s="43">
        <f>IF($B298="","",N($G298)-N($H298))</f>
        <v/>
      </c>
    </row>
    <row r="299">
      <c r="A299" s="39">
        <f>IF($B299="","",COUNTA($B$4:$B299))</f>
        <v/>
      </c>
      <c r="B299" s="45" t="n"/>
      <c r="C299" s="46" t="n"/>
      <c r="D299" s="46" t="n"/>
      <c r="E299" s="46" t="n"/>
      <c r="F299" s="51" t="n"/>
      <c r="G299" s="47" t="n"/>
      <c r="H299" s="47" t="n"/>
      <c r="I299" s="43">
        <f>IF($B299="","",N($G299)-N($H299))</f>
        <v/>
      </c>
    </row>
    <row r="300">
      <c r="A300" s="39">
        <f>IF($B300="","",COUNTA($B$4:$B300))</f>
        <v/>
      </c>
      <c r="B300" s="40" t="n"/>
      <c r="C300" s="41" t="n"/>
      <c r="D300" s="41" t="n"/>
      <c r="E300" s="41" t="n"/>
      <c r="F300" s="50" t="n"/>
      <c r="G300" s="42" t="n"/>
      <c r="H300" s="42" t="n"/>
      <c r="I300" s="43">
        <f>IF($B300="","",N($G300)-N($H300))</f>
        <v/>
      </c>
    </row>
    <row r="301">
      <c r="A301" s="39">
        <f>IF($B301="","",COUNTA($B$4:$B301))</f>
        <v/>
      </c>
      <c r="B301" s="45" t="n"/>
      <c r="C301" s="46" t="n"/>
      <c r="D301" s="46" t="n"/>
      <c r="E301" s="46" t="n"/>
      <c r="F301" s="51" t="n"/>
      <c r="G301" s="47" t="n"/>
      <c r="H301" s="47" t="n"/>
      <c r="I301" s="43">
        <f>IF($B301="","",N($G301)-N($H301))</f>
        <v/>
      </c>
    </row>
    <row r="302">
      <c r="A302" s="39">
        <f>IF($B302="","",COUNTA($B$4:$B302))</f>
        <v/>
      </c>
      <c r="B302" s="40" t="n"/>
      <c r="C302" s="41" t="n"/>
      <c r="D302" s="41" t="n"/>
      <c r="E302" s="41" t="n"/>
      <c r="F302" s="50" t="n"/>
      <c r="G302" s="42" t="n"/>
      <c r="H302" s="42" t="n"/>
      <c r="I302" s="43">
        <f>IF($B302="","",N($G302)-N($H302))</f>
        <v/>
      </c>
    </row>
    <row r="303">
      <c r="A303" s="39">
        <f>IF($B303="","",COUNTA($B$4:$B303))</f>
        <v/>
      </c>
      <c r="B303" s="45" t="n"/>
      <c r="C303" s="46" t="n"/>
      <c r="D303" s="46" t="n"/>
      <c r="E303" s="46" t="n"/>
      <c r="F303" s="51" t="n"/>
      <c r="G303" s="47" t="n"/>
      <c r="H303" s="47" t="n"/>
      <c r="I303" s="43">
        <f>IF($B303="","",N($G303)-N($H303))</f>
        <v/>
      </c>
    </row>
    <row r="304">
      <c r="A304" s="39">
        <f>IF($B304="","",COUNTA($B$4:$B304))</f>
        <v/>
      </c>
      <c r="B304" s="40" t="n"/>
      <c r="C304" s="41" t="n"/>
      <c r="D304" s="41" t="n"/>
      <c r="E304" s="41" t="n"/>
      <c r="F304" s="50" t="n"/>
      <c r="G304" s="42" t="n"/>
      <c r="H304" s="42" t="n"/>
      <c r="I304" s="43">
        <f>IF($B304="","",N($G304)-N($H304))</f>
        <v/>
      </c>
    </row>
    <row r="305">
      <c r="A305" s="39">
        <f>IF($B305="","",COUNTA($B$4:$B305))</f>
        <v/>
      </c>
      <c r="B305" s="45" t="n"/>
      <c r="C305" s="46" t="n"/>
      <c r="D305" s="46" t="n"/>
      <c r="E305" s="46" t="n"/>
      <c r="F305" s="51" t="n"/>
      <c r="G305" s="47" t="n"/>
      <c r="H305" s="47" t="n"/>
      <c r="I305" s="43">
        <f>IF($B305="","",N($G305)-N($H305))</f>
        <v/>
      </c>
    </row>
    <row r="306">
      <c r="A306" s="39">
        <f>IF($B306="","",COUNTA($B$4:$B306))</f>
        <v/>
      </c>
      <c r="B306" s="40" t="n"/>
      <c r="C306" s="41" t="n"/>
      <c r="D306" s="41" t="n"/>
      <c r="E306" s="41" t="n"/>
      <c r="F306" s="50" t="n"/>
      <c r="G306" s="42" t="n"/>
      <c r="H306" s="42" t="n"/>
      <c r="I306" s="43">
        <f>IF($B306="","",N($G306)-N($H306))</f>
        <v/>
      </c>
    </row>
    <row r="307">
      <c r="A307" s="39">
        <f>IF($B307="","",COUNTA($B$4:$B307))</f>
        <v/>
      </c>
      <c r="B307" s="45" t="n"/>
      <c r="C307" s="46" t="n"/>
      <c r="D307" s="46" t="n"/>
      <c r="E307" s="46" t="n"/>
      <c r="F307" s="51" t="n"/>
      <c r="G307" s="47" t="n"/>
      <c r="H307" s="47" t="n"/>
      <c r="I307" s="43">
        <f>IF($B307="","",N($G307)-N($H307))</f>
        <v/>
      </c>
    </row>
    <row r="308">
      <c r="A308" s="39">
        <f>IF($B308="","",COUNTA($B$4:$B308))</f>
        <v/>
      </c>
      <c r="B308" s="40" t="n"/>
      <c r="C308" s="41" t="n"/>
      <c r="D308" s="41" t="n"/>
      <c r="E308" s="41" t="n"/>
      <c r="F308" s="50" t="n"/>
      <c r="G308" s="42" t="n"/>
      <c r="H308" s="42" t="n"/>
      <c r="I308" s="43">
        <f>IF($B308="","",N($G308)-N($H308))</f>
        <v/>
      </c>
    </row>
    <row r="309">
      <c r="A309" s="39">
        <f>IF($B309="","",COUNTA($B$4:$B309))</f>
        <v/>
      </c>
      <c r="B309" s="45" t="n"/>
      <c r="C309" s="46" t="n"/>
      <c r="D309" s="46" t="n"/>
      <c r="E309" s="46" t="n"/>
      <c r="F309" s="51" t="n"/>
      <c r="G309" s="47" t="n"/>
      <c r="H309" s="47" t="n"/>
      <c r="I309" s="43">
        <f>IF($B309="","",N($G309)-N($H309))</f>
        <v/>
      </c>
    </row>
    <row r="310">
      <c r="A310" s="39">
        <f>IF($B310="","",COUNTA($B$4:$B310))</f>
        <v/>
      </c>
      <c r="B310" s="40" t="n"/>
      <c r="C310" s="41" t="n"/>
      <c r="D310" s="41" t="n"/>
      <c r="E310" s="41" t="n"/>
      <c r="F310" s="50" t="n"/>
      <c r="G310" s="42" t="n"/>
      <c r="H310" s="42" t="n"/>
      <c r="I310" s="43">
        <f>IF($B310="","",N($G310)-N($H310))</f>
        <v/>
      </c>
    </row>
    <row r="311">
      <c r="A311" s="39">
        <f>IF($B311="","",COUNTA($B$4:$B311))</f>
        <v/>
      </c>
      <c r="B311" s="45" t="n"/>
      <c r="C311" s="46" t="n"/>
      <c r="D311" s="46" t="n"/>
      <c r="E311" s="46" t="n"/>
      <c r="F311" s="51" t="n"/>
      <c r="G311" s="47" t="n"/>
      <c r="H311" s="47" t="n"/>
      <c r="I311" s="43">
        <f>IF($B311="","",N($G311)-N($H311))</f>
        <v/>
      </c>
    </row>
    <row r="312">
      <c r="A312" s="39">
        <f>IF($B312="","",COUNTA($B$4:$B312))</f>
        <v/>
      </c>
      <c r="B312" s="40" t="n"/>
      <c r="C312" s="41" t="n"/>
      <c r="D312" s="41" t="n"/>
      <c r="E312" s="41" t="n"/>
      <c r="F312" s="50" t="n"/>
      <c r="G312" s="42" t="n"/>
      <c r="H312" s="42" t="n"/>
      <c r="I312" s="43">
        <f>IF($B312="","",N($G312)-N($H312))</f>
        <v/>
      </c>
    </row>
    <row r="313">
      <c r="A313" s="39">
        <f>IF($B313="","",COUNTA($B$4:$B313))</f>
        <v/>
      </c>
      <c r="B313" s="45" t="n"/>
      <c r="C313" s="46" t="n"/>
      <c r="D313" s="46" t="n"/>
      <c r="E313" s="46" t="n"/>
      <c r="F313" s="51" t="n"/>
      <c r="G313" s="47" t="n"/>
      <c r="H313" s="47" t="n"/>
      <c r="I313" s="43">
        <f>IF($B313="","",N($G313)-N($H313))</f>
        <v/>
      </c>
    </row>
    <row r="314">
      <c r="A314" s="39">
        <f>IF($B314="","",COUNTA($B$4:$B314))</f>
        <v/>
      </c>
      <c r="B314" s="40" t="n"/>
      <c r="C314" s="41" t="n"/>
      <c r="D314" s="41" t="n"/>
      <c r="E314" s="41" t="n"/>
      <c r="F314" s="50" t="n"/>
      <c r="G314" s="42" t="n"/>
      <c r="H314" s="42" t="n"/>
      <c r="I314" s="43">
        <f>IF($B314="","",N($G314)-N($H314))</f>
        <v/>
      </c>
    </row>
    <row r="315">
      <c r="A315" s="39">
        <f>IF($B315="","",COUNTA($B$4:$B315))</f>
        <v/>
      </c>
      <c r="B315" s="45" t="n"/>
      <c r="C315" s="46" t="n"/>
      <c r="D315" s="46" t="n"/>
      <c r="E315" s="46" t="n"/>
      <c r="F315" s="51" t="n"/>
      <c r="G315" s="47" t="n"/>
      <c r="H315" s="47" t="n"/>
      <c r="I315" s="43">
        <f>IF($B315="","",N($G315)-N($H315))</f>
        <v/>
      </c>
    </row>
    <row r="316">
      <c r="A316" s="39">
        <f>IF($B316="","",COUNTA($B$4:$B316))</f>
        <v/>
      </c>
      <c r="B316" s="40" t="n"/>
      <c r="C316" s="41" t="n"/>
      <c r="D316" s="41" t="n"/>
      <c r="E316" s="41" t="n"/>
      <c r="F316" s="50" t="n"/>
      <c r="G316" s="42" t="n"/>
      <c r="H316" s="42" t="n"/>
      <c r="I316" s="43">
        <f>IF($B316="","",N($G316)-N($H316))</f>
        <v/>
      </c>
    </row>
    <row r="317">
      <c r="A317" s="39">
        <f>IF($B317="","",COUNTA($B$4:$B317))</f>
        <v/>
      </c>
      <c r="B317" s="45" t="n"/>
      <c r="C317" s="46" t="n"/>
      <c r="D317" s="46" t="n"/>
      <c r="E317" s="46" t="n"/>
      <c r="F317" s="51" t="n"/>
      <c r="G317" s="47" t="n"/>
      <c r="H317" s="47" t="n"/>
      <c r="I317" s="43">
        <f>IF($B317="","",N($G317)-N($H317))</f>
        <v/>
      </c>
    </row>
    <row r="318">
      <c r="A318" s="39">
        <f>IF($B318="","",COUNTA($B$4:$B318))</f>
        <v/>
      </c>
      <c r="B318" s="40" t="n"/>
      <c r="C318" s="41" t="n"/>
      <c r="D318" s="41" t="n"/>
      <c r="E318" s="41" t="n"/>
      <c r="F318" s="50" t="n"/>
      <c r="G318" s="42" t="n"/>
      <c r="H318" s="42" t="n"/>
      <c r="I318" s="43">
        <f>IF($B318="","",N($G318)-N($H318))</f>
        <v/>
      </c>
    </row>
    <row r="319">
      <c r="A319" s="39">
        <f>IF($B319="","",COUNTA($B$4:$B319))</f>
        <v/>
      </c>
      <c r="B319" s="45" t="n"/>
      <c r="C319" s="46" t="n"/>
      <c r="D319" s="46" t="n"/>
      <c r="E319" s="46" t="n"/>
      <c r="F319" s="51" t="n"/>
      <c r="G319" s="47" t="n"/>
      <c r="H319" s="47" t="n"/>
      <c r="I319" s="43">
        <f>IF($B319="","",N($G319)-N($H319))</f>
        <v/>
      </c>
    </row>
    <row r="320">
      <c r="A320" s="39">
        <f>IF($B320="","",COUNTA($B$4:$B320))</f>
        <v/>
      </c>
      <c r="B320" s="40" t="n"/>
      <c r="C320" s="41" t="n"/>
      <c r="D320" s="41" t="n"/>
      <c r="E320" s="41" t="n"/>
      <c r="F320" s="50" t="n"/>
      <c r="G320" s="42" t="n"/>
      <c r="H320" s="42" t="n"/>
      <c r="I320" s="43">
        <f>IF($B320="","",N($G320)-N($H320))</f>
        <v/>
      </c>
    </row>
    <row r="321">
      <c r="A321" s="39">
        <f>IF($B321="","",COUNTA($B$4:$B321))</f>
        <v/>
      </c>
      <c r="B321" s="45" t="n"/>
      <c r="C321" s="46" t="n"/>
      <c r="D321" s="46" t="n"/>
      <c r="E321" s="46" t="n"/>
      <c r="F321" s="51" t="n"/>
      <c r="G321" s="47" t="n"/>
      <c r="H321" s="47" t="n"/>
      <c r="I321" s="43">
        <f>IF($B321="","",N($G321)-N($H321))</f>
        <v/>
      </c>
    </row>
    <row r="322">
      <c r="A322" s="39">
        <f>IF($B322="","",COUNTA($B$4:$B322))</f>
        <v/>
      </c>
      <c r="B322" s="40" t="n"/>
      <c r="C322" s="41" t="n"/>
      <c r="D322" s="41" t="n"/>
      <c r="E322" s="41" t="n"/>
      <c r="F322" s="50" t="n"/>
      <c r="G322" s="42" t="n"/>
      <c r="H322" s="42" t="n"/>
      <c r="I322" s="43">
        <f>IF($B322="","",N($G322)-N($H322))</f>
        <v/>
      </c>
    </row>
    <row r="323">
      <c r="A323" s="39">
        <f>IF($B323="","",COUNTA($B$4:$B323))</f>
        <v/>
      </c>
      <c r="B323" s="45" t="n"/>
      <c r="C323" s="46" t="n"/>
      <c r="D323" s="46" t="n"/>
      <c r="E323" s="46" t="n"/>
      <c r="F323" s="51" t="n"/>
      <c r="G323" s="47" t="n"/>
      <c r="H323" s="47" t="n"/>
      <c r="I323" s="43">
        <f>IF($B323="","",N($G323)-N($H323))</f>
        <v/>
      </c>
    </row>
    <row r="324">
      <c r="A324" s="39">
        <f>IF($B324="","",COUNTA($B$4:$B324))</f>
        <v/>
      </c>
      <c r="B324" s="40" t="n"/>
      <c r="C324" s="41" t="n"/>
      <c r="D324" s="41" t="n"/>
      <c r="E324" s="41" t="n"/>
      <c r="F324" s="50" t="n"/>
      <c r="G324" s="42" t="n"/>
      <c r="H324" s="42" t="n"/>
      <c r="I324" s="43">
        <f>IF($B324="","",N($G324)-N($H324))</f>
        <v/>
      </c>
    </row>
    <row r="325">
      <c r="A325" s="39">
        <f>IF($B325="","",COUNTA($B$4:$B325))</f>
        <v/>
      </c>
      <c r="B325" s="45" t="n"/>
      <c r="C325" s="46" t="n"/>
      <c r="D325" s="46" t="n"/>
      <c r="E325" s="46" t="n"/>
      <c r="F325" s="51" t="n"/>
      <c r="G325" s="47" t="n"/>
      <c r="H325" s="47" t="n"/>
      <c r="I325" s="43">
        <f>IF($B325="","",N($G325)-N($H325))</f>
        <v/>
      </c>
    </row>
    <row r="326">
      <c r="A326" s="39">
        <f>IF($B326="","",COUNTA($B$4:$B326))</f>
        <v/>
      </c>
      <c r="B326" s="40" t="n"/>
      <c r="C326" s="41" t="n"/>
      <c r="D326" s="41" t="n"/>
      <c r="E326" s="41" t="n"/>
      <c r="F326" s="50" t="n"/>
      <c r="G326" s="42" t="n"/>
      <c r="H326" s="42" t="n"/>
      <c r="I326" s="43">
        <f>IF($B326="","",N($G326)-N($H326))</f>
        <v/>
      </c>
    </row>
    <row r="327">
      <c r="A327" s="39">
        <f>IF($B327="","",COUNTA($B$4:$B327))</f>
        <v/>
      </c>
      <c r="B327" s="45" t="n"/>
      <c r="C327" s="46" t="n"/>
      <c r="D327" s="46" t="n"/>
      <c r="E327" s="46" t="n"/>
      <c r="F327" s="51" t="n"/>
      <c r="G327" s="47" t="n"/>
      <c r="H327" s="47" t="n"/>
      <c r="I327" s="43">
        <f>IF($B327="","",N($G327)-N($H327))</f>
        <v/>
      </c>
    </row>
    <row r="328">
      <c r="A328" s="39">
        <f>IF($B328="","",COUNTA($B$4:$B328))</f>
        <v/>
      </c>
      <c r="B328" s="40" t="n"/>
      <c r="C328" s="41" t="n"/>
      <c r="D328" s="41" t="n"/>
      <c r="E328" s="41" t="n"/>
      <c r="F328" s="50" t="n"/>
      <c r="G328" s="42" t="n"/>
      <c r="H328" s="42" t="n"/>
      <c r="I328" s="43">
        <f>IF($B328="","",N($G328)-N($H328))</f>
        <v/>
      </c>
    </row>
    <row r="329">
      <c r="A329" s="39">
        <f>IF($B329="","",COUNTA($B$4:$B329))</f>
        <v/>
      </c>
      <c r="B329" s="45" t="n"/>
      <c r="C329" s="46" t="n"/>
      <c r="D329" s="46" t="n"/>
      <c r="E329" s="46" t="n"/>
      <c r="F329" s="51" t="n"/>
      <c r="G329" s="47" t="n"/>
      <c r="H329" s="47" t="n"/>
      <c r="I329" s="43">
        <f>IF($B329="","",N($G329)-N($H329))</f>
        <v/>
      </c>
    </row>
    <row r="330">
      <c r="A330" s="39">
        <f>IF($B330="","",COUNTA($B$4:$B330))</f>
        <v/>
      </c>
      <c r="B330" s="40" t="n"/>
      <c r="C330" s="41" t="n"/>
      <c r="D330" s="41" t="n"/>
      <c r="E330" s="41" t="n"/>
      <c r="F330" s="50" t="n"/>
      <c r="G330" s="42" t="n"/>
      <c r="H330" s="42" t="n"/>
      <c r="I330" s="43">
        <f>IF($B330="","",N($G330)-N($H330))</f>
        <v/>
      </c>
    </row>
    <row r="331">
      <c r="A331" s="39">
        <f>IF($B331="","",COUNTA($B$4:$B331))</f>
        <v/>
      </c>
      <c r="B331" s="45" t="n"/>
      <c r="C331" s="46" t="n"/>
      <c r="D331" s="46" t="n"/>
      <c r="E331" s="46" t="n"/>
      <c r="F331" s="51" t="n"/>
      <c r="G331" s="47" t="n"/>
      <c r="H331" s="47" t="n"/>
      <c r="I331" s="43">
        <f>IF($B331="","",N($G331)-N($H331))</f>
        <v/>
      </c>
    </row>
    <row r="332">
      <c r="A332" s="39">
        <f>IF($B332="","",COUNTA($B$4:$B332))</f>
        <v/>
      </c>
      <c r="B332" s="40" t="n"/>
      <c r="C332" s="41" t="n"/>
      <c r="D332" s="41" t="n"/>
      <c r="E332" s="41" t="n"/>
      <c r="F332" s="50" t="n"/>
      <c r="G332" s="42" t="n"/>
      <c r="H332" s="42" t="n"/>
      <c r="I332" s="43">
        <f>IF($B332="","",N($G332)-N($H332))</f>
        <v/>
      </c>
    </row>
    <row r="333">
      <c r="A333" s="39">
        <f>IF($B333="","",COUNTA($B$4:$B333))</f>
        <v/>
      </c>
      <c r="B333" s="45" t="n"/>
      <c r="C333" s="46" t="n"/>
      <c r="D333" s="46" t="n"/>
      <c r="E333" s="46" t="n"/>
      <c r="F333" s="51" t="n"/>
      <c r="G333" s="47" t="n"/>
      <c r="H333" s="47" t="n"/>
      <c r="I333" s="43">
        <f>IF($B333="","",N($G333)-N($H333))</f>
        <v/>
      </c>
    </row>
    <row r="334">
      <c r="A334" s="39">
        <f>IF($B334="","",COUNTA($B$4:$B334))</f>
        <v/>
      </c>
      <c r="B334" s="40" t="n"/>
      <c r="C334" s="41" t="n"/>
      <c r="D334" s="41" t="n"/>
      <c r="E334" s="41" t="n"/>
      <c r="F334" s="50" t="n"/>
      <c r="G334" s="42" t="n"/>
      <c r="H334" s="42" t="n"/>
      <c r="I334" s="43">
        <f>IF($B334="","",N($G334)-N($H334))</f>
        <v/>
      </c>
    </row>
    <row r="335">
      <c r="A335" s="39">
        <f>IF($B335="","",COUNTA($B$4:$B335))</f>
        <v/>
      </c>
      <c r="B335" s="45" t="n"/>
      <c r="C335" s="46" t="n"/>
      <c r="D335" s="46" t="n"/>
      <c r="E335" s="46" t="n"/>
      <c r="F335" s="51" t="n"/>
      <c r="G335" s="47" t="n"/>
      <c r="H335" s="47" t="n"/>
      <c r="I335" s="43">
        <f>IF($B335="","",N($G335)-N($H335))</f>
        <v/>
      </c>
    </row>
    <row r="336">
      <c r="A336" s="39">
        <f>IF($B336="","",COUNTA($B$4:$B336))</f>
        <v/>
      </c>
      <c r="B336" s="40" t="n"/>
      <c r="C336" s="41" t="n"/>
      <c r="D336" s="41" t="n"/>
      <c r="E336" s="41" t="n"/>
      <c r="F336" s="50" t="n"/>
      <c r="G336" s="42" t="n"/>
      <c r="H336" s="42" t="n"/>
      <c r="I336" s="43">
        <f>IF($B336="","",N($G336)-N($H336))</f>
        <v/>
      </c>
    </row>
    <row r="337">
      <c r="A337" s="39">
        <f>IF($B337="","",COUNTA($B$4:$B337))</f>
        <v/>
      </c>
      <c r="B337" s="45" t="n"/>
      <c r="C337" s="46" t="n"/>
      <c r="D337" s="46" t="n"/>
      <c r="E337" s="46" t="n"/>
      <c r="F337" s="51" t="n"/>
      <c r="G337" s="47" t="n"/>
      <c r="H337" s="47" t="n"/>
      <c r="I337" s="43">
        <f>IF($B337="","",N($G337)-N($H337))</f>
        <v/>
      </c>
    </row>
    <row r="338">
      <c r="A338" s="39">
        <f>IF($B338="","",COUNTA($B$4:$B338))</f>
        <v/>
      </c>
      <c r="B338" s="40" t="n"/>
      <c r="C338" s="41" t="n"/>
      <c r="D338" s="41" t="n"/>
      <c r="E338" s="41" t="n"/>
      <c r="F338" s="50" t="n"/>
      <c r="G338" s="42" t="n"/>
      <c r="H338" s="42" t="n"/>
      <c r="I338" s="43">
        <f>IF($B338="","",N($G338)-N($H338))</f>
        <v/>
      </c>
    </row>
    <row r="339">
      <c r="A339" s="39">
        <f>IF($B339="","",COUNTA($B$4:$B339))</f>
        <v/>
      </c>
      <c r="B339" s="45" t="n"/>
      <c r="C339" s="46" t="n"/>
      <c r="D339" s="46" t="n"/>
      <c r="E339" s="46" t="n"/>
      <c r="F339" s="51" t="n"/>
      <c r="G339" s="47" t="n"/>
      <c r="H339" s="47" t="n"/>
      <c r="I339" s="43">
        <f>IF($B339="","",N($G339)-N($H339))</f>
        <v/>
      </c>
    </row>
    <row r="340">
      <c r="A340" s="39">
        <f>IF($B340="","",COUNTA($B$4:$B340))</f>
        <v/>
      </c>
      <c r="B340" s="40" t="n"/>
      <c r="C340" s="41" t="n"/>
      <c r="D340" s="41" t="n"/>
      <c r="E340" s="41" t="n"/>
      <c r="F340" s="50" t="n"/>
      <c r="G340" s="42" t="n"/>
      <c r="H340" s="42" t="n"/>
      <c r="I340" s="43">
        <f>IF($B340="","",N($G340)-N($H340))</f>
        <v/>
      </c>
    </row>
    <row r="341">
      <c r="A341" s="39">
        <f>IF($B341="","",COUNTA($B$4:$B341))</f>
        <v/>
      </c>
      <c r="B341" s="45" t="n"/>
      <c r="C341" s="46" t="n"/>
      <c r="D341" s="46" t="n"/>
      <c r="E341" s="46" t="n"/>
      <c r="F341" s="51" t="n"/>
      <c r="G341" s="47" t="n"/>
      <c r="H341" s="47" t="n"/>
      <c r="I341" s="43">
        <f>IF($B341="","",N($G341)-N($H341))</f>
        <v/>
      </c>
    </row>
    <row r="342">
      <c r="A342" s="39">
        <f>IF($B342="","",COUNTA($B$4:$B342))</f>
        <v/>
      </c>
      <c r="B342" s="40" t="n"/>
      <c r="C342" s="41" t="n"/>
      <c r="D342" s="41" t="n"/>
      <c r="E342" s="41" t="n"/>
      <c r="F342" s="50" t="n"/>
      <c r="G342" s="42" t="n"/>
      <c r="H342" s="42" t="n"/>
      <c r="I342" s="43">
        <f>IF($B342="","",N($G342)-N($H342))</f>
        <v/>
      </c>
    </row>
    <row r="343">
      <c r="A343" s="39">
        <f>IF($B343="","",COUNTA($B$4:$B343))</f>
        <v/>
      </c>
      <c r="B343" s="45" t="n"/>
      <c r="C343" s="46" t="n"/>
      <c r="D343" s="46" t="n"/>
      <c r="E343" s="46" t="n"/>
      <c r="F343" s="51" t="n"/>
      <c r="G343" s="47" t="n"/>
      <c r="H343" s="47" t="n"/>
      <c r="I343" s="43">
        <f>IF($B343="","",N($G343)-N($H343))</f>
        <v/>
      </c>
    </row>
    <row r="344">
      <c r="A344" s="39">
        <f>IF($B344="","",COUNTA($B$4:$B344))</f>
        <v/>
      </c>
      <c r="B344" s="40" t="n"/>
      <c r="C344" s="41" t="n"/>
      <c r="D344" s="41" t="n"/>
      <c r="E344" s="41" t="n"/>
      <c r="F344" s="50" t="n"/>
      <c r="G344" s="42" t="n"/>
      <c r="H344" s="42" t="n"/>
      <c r="I344" s="43">
        <f>IF($B344="","",N($G344)-N($H344))</f>
        <v/>
      </c>
    </row>
    <row r="345">
      <c r="A345" s="39">
        <f>IF($B345="","",COUNTA($B$4:$B345))</f>
        <v/>
      </c>
      <c r="B345" s="45" t="n"/>
      <c r="C345" s="46" t="n"/>
      <c r="D345" s="46" t="n"/>
      <c r="E345" s="46" t="n"/>
      <c r="F345" s="51" t="n"/>
      <c r="G345" s="47" t="n"/>
      <c r="H345" s="47" t="n"/>
      <c r="I345" s="43">
        <f>IF($B345="","",N($G345)-N($H345))</f>
        <v/>
      </c>
    </row>
    <row r="346">
      <c r="A346" s="39">
        <f>IF($B346="","",COUNTA($B$4:$B346))</f>
        <v/>
      </c>
      <c r="B346" s="40" t="n"/>
      <c r="C346" s="41" t="n"/>
      <c r="D346" s="41" t="n"/>
      <c r="E346" s="41" t="n"/>
      <c r="F346" s="50" t="n"/>
      <c r="G346" s="42" t="n"/>
      <c r="H346" s="42" t="n"/>
      <c r="I346" s="43">
        <f>IF($B346="","",N($G346)-N($H346))</f>
        <v/>
      </c>
    </row>
    <row r="347">
      <c r="A347" s="39">
        <f>IF($B347="","",COUNTA($B$4:$B347))</f>
        <v/>
      </c>
      <c r="B347" s="45" t="n"/>
      <c r="C347" s="46" t="n"/>
      <c r="D347" s="46" t="n"/>
      <c r="E347" s="46" t="n"/>
      <c r="F347" s="51" t="n"/>
      <c r="G347" s="47" t="n"/>
      <c r="H347" s="47" t="n"/>
      <c r="I347" s="43">
        <f>IF($B347="","",N($G347)-N($H347))</f>
        <v/>
      </c>
    </row>
    <row r="348">
      <c r="A348" s="39">
        <f>IF($B348="","",COUNTA($B$4:$B348))</f>
        <v/>
      </c>
      <c r="B348" s="40" t="n"/>
      <c r="C348" s="41" t="n"/>
      <c r="D348" s="41" t="n"/>
      <c r="E348" s="41" t="n"/>
      <c r="F348" s="50" t="n"/>
      <c r="G348" s="42" t="n"/>
      <c r="H348" s="42" t="n"/>
      <c r="I348" s="43">
        <f>IF($B348="","",N($G348)-N($H348))</f>
        <v/>
      </c>
    </row>
    <row r="349">
      <c r="A349" s="39">
        <f>IF($B349="","",COUNTA($B$4:$B349))</f>
        <v/>
      </c>
      <c r="B349" s="45" t="n"/>
      <c r="C349" s="46" t="n"/>
      <c r="D349" s="46" t="n"/>
      <c r="E349" s="46" t="n"/>
      <c r="F349" s="51" t="n"/>
      <c r="G349" s="47" t="n"/>
      <c r="H349" s="47" t="n"/>
      <c r="I349" s="43">
        <f>IF($B349="","",N($G349)-N($H349))</f>
        <v/>
      </c>
    </row>
    <row r="350">
      <c r="A350" s="39">
        <f>IF($B350="","",COUNTA($B$4:$B350))</f>
        <v/>
      </c>
      <c r="B350" s="40" t="n"/>
      <c r="C350" s="41" t="n"/>
      <c r="D350" s="41" t="n"/>
      <c r="E350" s="41" t="n"/>
      <c r="F350" s="50" t="n"/>
      <c r="G350" s="42" t="n"/>
      <c r="H350" s="42" t="n"/>
      <c r="I350" s="43">
        <f>IF($B350="","",N($G350)-N($H350))</f>
        <v/>
      </c>
    </row>
    <row r="351">
      <c r="A351" s="39">
        <f>IF($B351="","",COUNTA($B$4:$B351))</f>
        <v/>
      </c>
      <c r="B351" s="45" t="n"/>
      <c r="C351" s="46" t="n"/>
      <c r="D351" s="46" t="n"/>
      <c r="E351" s="46" t="n"/>
      <c r="F351" s="51" t="n"/>
      <c r="G351" s="47" t="n"/>
      <c r="H351" s="47" t="n"/>
      <c r="I351" s="43">
        <f>IF($B351="","",N($G351)-N($H351))</f>
        <v/>
      </c>
    </row>
    <row r="352">
      <c r="A352" s="39">
        <f>IF($B352="","",COUNTA($B$4:$B352))</f>
        <v/>
      </c>
      <c r="B352" s="40" t="n"/>
      <c r="C352" s="41" t="n"/>
      <c r="D352" s="41" t="n"/>
      <c r="E352" s="41" t="n"/>
      <c r="F352" s="50" t="n"/>
      <c r="G352" s="42" t="n"/>
      <c r="H352" s="42" t="n"/>
      <c r="I352" s="43">
        <f>IF($B352="","",N($G352)-N($H352))</f>
        <v/>
      </c>
    </row>
    <row r="353">
      <c r="A353" s="39">
        <f>IF($B353="","",COUNTA($B$4:$B353))</f>
        <v/>
      </c>
      <c r="B353" s="45" t="n"/>
      <c r="C353" s="46" t="n"/>
      <c r="D353" s="46" t="n"/>
      <c r="E353" s="46" t="n"/>
      <c r="F353" s="51" t="n"/>
      <c r="G353" s="47" t="n"/>
      <c r="H353" s="47" t="n"/>
      <c r="I353" s="43">
        <f>IF($B353="","",N($G353)-N($H353))</f>
        <v/>
      </c>
    </row>
    <row r="354">
      <c r="A354" s="39">
        <f>IF($B354="","",COUNTA($B$4:$B354))</f>
        <v/>
      </c>
      <c r="B354" s="40" t="n"/>
      <c r="C354" s="41" t="n"/>
      <c r="D354" s="41" t="n"/>
      <c r="E354" s="41" t="n"/>
      <c r="F354" s="50" t="n"/>
      <c r="G354" s="42" t="n"/>
      <c r="H354" s="42" t="n"/>
      <c r="I354" s="43">
        <f>IF($B354="","",N($G354)-N($H354))</f>
        <v/>
      </c>
    </row>
    <row r="355">
      <c r="A355" s="39">
        <f>IF($B355="","",COUNTA($B$4:$B355))</f>
        <v/>
      </c>
      <c r="B355" s="45" t="n"/>
      <c r="C355" s="46" t="n"/>
      <c r="D355" s="46" t="n"/>
      <c r="E355" s="46" t="n"/>
      <c r="F355" s="51" t="n"/>
      <c r="G355" s="47" t="n"/>
      <c r="H355" s="47" t="n"/>
      <c r="I355" s="43">
        <f>IF($B355="","",N($G355)-N($H355))</f>
        <v/>
      </c>
    </row>
    <row r="356">
      <c r="A356" s="39">
        <f>IF($B356="","",COUNTA($B$4:$B356))</f>
        <v/>
      </c>
      <c r="B356" s="40" t="n"/>
      <c r="C356" s="41" t="n"/>
      <c r="D356" s="41" t="n"/>
      <c r="E356" s="41" t="n"/>
      <c r="F356" s="50" t="n"/>
      <c r="G356" s="42" t="n"/>
      <c r="H356" s="42" t="n"/>
      <c r="I356" s="43">
        <f>IF($B356="","",N($G356)-N($H356))</f>
        <v/>
      </c>
    </row>
    <row r="357">
      <c r="A357" s="39">
        <f>IF($B357="","",COUNTA($B$4:$B357))</f>
        <v/>
      </c>
      <c r="B357" s="45" t="n"/>
      <c r="C357" s="46" t="n"/>
      <c r="D357" s="46" t="n"/>
      <c r="E357" s="46" t="n"/>
      <c r="F357" s="51" t="n"/>
      <c r="G357" s="47" t="n"/>
      <c r="H357" s="47" t="n"/>
      <c r="I357" s="43">
        <f>IF($B357="","",N($G357)-N($H357))</f>
        <v/>
      </c>
    </row>
    <row r="358">
      <c r="A358" s="39">
        <f>IF($B358="","",COUNTA($B$4:$B358))</f>
        <v/>
      </c>
      <c r="B358" s="40" t="n"/>
      <c r="C358" s="41" t="n"/>
      <c r="D358" s="41" t="n"/>
      <c r="E358" s="41" t="n"/>
      <c r="F358" s="50" t="n"/>
      <c r="G358" s="42" t="n"/>
      <c r="H358" s="42" t="n"/>
      <c r="I358" s="43">
        <f>IF($B358="","",N($G358)-N($H358))</f>
        <v/>
      </c>
    </row>
    <row r="359">
      <c r="A359" s="39">
        <f>IF($B359="","",COUNTA($B$4:$B359))</f>
        <v/>
      </c>
      <c r="B359" s="45" t="n"/>
      <c r="C359" s="46" t="n"/>
      <c r="D359" s="46" t="n"/>
      <c r="E359" s="46" t="n"/>
      <c r="F359" s="51" t="n"/>
      <c r="G359" s="47" t="n"/>
      <c r="H359" s="47" t="n"/>
      <c r="I359" s="43">
        <f>IF($B359="","",N($G359)-N($H359))</f>
        <v/>
      </c>
    </row>
    <row r="360">
      <c r="A360" s="39">
        <f>IF($B360="","",COUNTA($B$4:$B360))</f>
        <v/>
      </c>
      <c r="B360" s="40" t="n"/>
      <c r="C360" s="41" t="n"/>
      <c r="D360" s="41" t="n"/>
      <c r="E360" s="41" t="n"/>
      <c r="F360" s="50" t="n"/>
      <c r="G360" s="42" t="n"/>
      <c r="H360" s="42" t="n"/>
      <c r="I360" s="43">
        <f>IF($B360="","",N($G360)-N($H360))</f>
        <v/>
      </c>
    </row>
    <row r="361">
      <c r="A361" s="39">
        <f>IF($B361="","",COUNTA($B$4:$B361))</f>
        <v/>
      </c>
      <c r="B361" s="45" t="n"/>
      <c r="C361" s="46" t="n"/>
      <c r="D361" s="46" t="n"/>
      <c r="E361" s="46" t="n"/>
      <c r="F361" s="51" t="n"/>
      <c r="G361" s="47" t="n"/>
      <c r="H361" s="47" t="n"/>
      <c r="I361" s="43">
        <f>IF($B361="","",N($G361)-N($H361))</f>
        <v/>
      </c>
    </row>
    <row r="362">
      <c r="A362" s="39">
        <f>IF($B362="","",COUNTA($B$4:$B362))</f>
        <v/>
      </c>
      <c r="B362" s="40" t="n"/>
      <c r="C362" s="41" t="n"/>
      <c r="D362" s="41" t="n"/>
      <c r="E362" s="41" t="n"/>
      <c r="F362" s="50" t="n"/>
      <c r="G362" s="42" t="n"/>
      <c r="H362" s="42" t="n"/>
      <c r="I362" s="43">
        <f>IF($B362="","",N($G362)-N($H362))</f>
        <v/>
      </c>
    </row>
    <row r="363">
      <c r="A363" s="39">
        <f>IF($B363="","",COUNTA($B$4:$B363))</f>
        <v/>
      </c>
      <c r="B363" s="45" t="n"/>
      <c r="C363" s="46" t="n"/>
      <c r="D363" s="46" t="n"/>
      <c r="E363" s="46" t="n"/>
      <c r="F363" s="51" t="n"/>
      <c r="G363" s="47" t="n"/>
      <c r="H363" s="47" t="n"/>
      <c r="I363" s="43">
        <f>IF($B363="","",N($G363)-N($H363))</f>
        <v/>
      </c>
    </row>
    <row r="364">
      <c r="A364" s="39">
        <f>IF($B364="","",COUNTA($B$4:$B364))</f>
        <v/>
      </c>
      <c r="B364" s="40" t="n"/>
      <c r="C364" s="41" t="n"/>
      <c r="D364" s="41" t="n"/>
      <c r="E364" s="41" t="n"/>
      <c r="F364" s="50" t="n"/>
      <c r="G364" s="42" t="n"/>
      <c r="H364" s="42" t="n"/>
      <c r="I364" s="43">
        <f>IF($B364="","",N($G364)-N($H364))</f>
        <v/>
      </c>
    </row>
    <row r="365">
      <c r="A365" s="39">
        <f>IF($B365="","",COUNTA($B$4:$B365))</f>
        <v/>
      </c>
      <c r="B365" s="45" t="n"/>
      <c r="C365" s="46" t="n"/>
      <c r="D365" s="46" t="n"/>
      <c r="E365" s="46" t="n"/>
      <c r="F365" s="51" t="n"/>
      <c r="G365" s="47" t="n"/>
      <c r="H365" s="47" t="n"/>
      <c r="I365" s="43">
        <f>IF($B365="","",N($G365)-N($H365))</f>
        <v/>
      </c>
    </row>
    <row r="366">
      <c r="A366" s="39">
        <f>IF($B366="","",COUNTA($B$4:$B366))</f>
        <v/>
      </c>
      <c r="B366" s="40" t="n"/>
      <c r="C366" s="41" t="n"/>
      <c r="D366" s="41" t="n"/>
      <c r="E366" s="41" t="n"/>
      <c r="F366" s="50" t="n"/>
      <c r="G366" s="42" t="n"/>
      <c r="H366" s="42" t="n"/>
      <c r="I366" s="43">
        <f>IF($B366="","",N($G366)-N($H366))</f>
        <v/>
      </c>
    </row>
    <row r="367">
      <c r="A367" s="39">
        <f>IF($B367="","",COUNTA($B$4:$B367))</f>
        <v/>
      </c>
      <c r="B367" s="45" t="n"/>
      <c r="C367" s="46" t="n"/>
      <c r="D367" s="46" t="n"/>
      <c r="E367" s="46" t="n"/>
      <c r="F367" s="51" t="n"/>
      <c r="G367" s="47" t="n"/>
      <c r="H367" s="47" t="n"/>
      <c r="I367" s="43">
        <f>IF($B367="","",N($G367)-N($H367))</f>
        <v/>
      </c>
    </row>
    <row r="368">
      <c r="A368" s="39">
        <f>IF($B368="","",COUNTA($B$4:$B368))</f>
        <v/>
      </c>
      <c r="B368" s="40" t="n"/>
      <c r="C368" s="41" t="n"/>
      <c r="D368" s="41" t="n"/>
      <c r="E368" s="41" t="n"/>
      <c r="F368" s="50" t="n"/>
      <c r="G368" s="42" t="n"/>
      <c r="H368" s="42" t="n"/>
      <c r="I368" s="43">
        <f>IF($B368="","",N($G368)-N($H368))</f>
        <v/>
      </c>
    </row>
    <row r="369">
      <c r="A369" s="39">
        <f>IF($B369="","",COUNTA($B$4:$B369))</f>
        <v/>
      </c>
      <c r="B369" s="45" t="n"/>
      <c r="C369" s="46" t="n"/>
      <c r="D369" s="46" t="n"/>
      <c r="E369" s="46" t="n"/>
      <c r="F369" s="51" t="n"/>
      <c r="G369" s="47" t="n"/>
      <c r="H369" s="47" t="n"/>
      <c r="I369" s="43">
        <f>IF($B369="","",N($G369)-N($H369))</f>
        <v/>
      </c>
    </row>
    <row r="370">
      <c r="A370" s="39">
        <f>IF($B370="","",COUNTA($B$4:$B370))</f>
        <v/>
      </c>
      <c r="B370" s="40" t="n"/>
      <c r="C370" s="41" t="n"/>
      <c r="D370" s="41" t="n"/>
      <c r="E370" s="41" t="n"/>
      <c r="F370" s="50" t="n"/>
      <c r="G370" s="42" t="n"/>
      <c r="H370" s="42" t="n"/>
      <c r="I370" s="43">
        <f>IF($B370="","",N($G370)-N($H370))</f>
        <v/>
      </c>
    </row>
    <row r="371">
      <c r="A371" s="39">
        <f>IF($B371="","",COUNTA($B$4:$B371))</f>
        <v/>
      </c>
      <c r="B371" s="45" t="n"/>
      <c r="C371" s="46" t="n"/>
      <c r="D371" s="46" t="n"/>
      <c r="E371" s="46" t="n"/>
      <c r="F371" s="51" t="n"/>
      <c r="G371" s="47" t="n"/>
      <c r="H371" s="47" t="n"/>
      <c r="I371" s="43">
        <f>IF($B371="","",N($G371)-N($H371))</f>
        <v/>
      </c>
    </row>
    <row r="372">
      <c r="A372" s="39">
        <f>IF($B372="","",COUNTA($B$4:$B372))</f>
        <v/>
      </c>
      <c r="B372" s="40" t="n"/>
      <c r="C372" s="41" t="n"/>
      <c r="D372" s="41" t="n"/>
      <c r="E372" s="41" t="n"/>
      <c r="F372" s="50" t="n"/>
      <c r="G372" s="42" t="n"/>
      <c r="H372" s="42" t="n"/>
      <c r="I372" s="43">
        <f>IF($B372="","",N($G372)-N($H372))</f>
        <v/>
      </c>
    </row>
    <row r="373">
      <c r="A373" s="39">
        <f>IF($B373="","",COUNTA($B$4:$B373))</f>
        <v/>
      </c>
      <c r="B373" s="45" t="n"/>
      <c r="C373" s="46" t="n"/>
      <c r="D373" s="46" t="n"/>
      <c r="E373" s="46" t="n"/>
      <c r="F373" s="51" t="n"/>
      <c r="G373" s="47" t="n"/>
      <c r="H373" s="47" t="n"/>
      <c r="I373" s="43">
        <f>IF($B373="","",N($G373)-N($H373))</f>
        <v/>
      </c>
    </row>
    <row r="374">
      <c r="A374" s="39">
        <f>IF($B374="","",COUNTA($B$4:$B374))</f>
        <v/>
      </c>
      <c r="B374" s="40" t="n"/>
      <c r="C374" s="41" t="n"/>
      <c r="D374" s="41" t="n"/>
      <c r="E374" s="41" t="n"/>
      <c r="F374" s="50" t="n"/>
      <c r="G374" s="42" t="n"/>
      <c r="H374" s="42" t="n"/>
      <c r="I374" s="43">
        <f>IF($B374="","",N($G374)-N($H374))</f>
        <v/>
      </c>
    </row>
    <row r="375">
      <c r="A375" s="39">
        <f>IF($B375="","",COUNTA($B$4:$B375))</f>
        <v/>
      </c>
      <c r="B375" s="45" t="n"/>
      <c r="C375" s="46" t="n"/>
      <c r="D375" s="46" t="n"/>
      <c r="E375" s="46" t="n"/>
      <c r="F375" s="51" t="n"/>
      <c r="G375" s="47" t="n"/>
      <c r="H375" s="47" t="n"/>
      <c r="I375" s="43">
        <f>IF($B375="","",N($G375)-N($H375))</f>
        <v/>
      </c>
    </row>
    <row r="376">
      <c r="A376" s="39">
        <f>IF($B376="","",COUNTA($B$4:$B376))</f>
        <v/>
      </c>
      <c r="B376" s="40" t="n"/>
      <c r="C376" s="41" t="n"/>
      <c r="D376" s="41" t="n"/>
      <c r="E376" s="41" t="n"/>
      <c r="F376" s="50" t="n"/>
      <c r="G376" s="42" t="n"/>
      <c r="H376" s="42" t="n"/>
      <c r="I376" s="43">
        <f>IF($B376="","",N($G376)-N($H376))</f>
        <v/>
      </c>
    </row>
    <row r="377">
      <c r="A377" s="39">
        <f>IF($B377="","",COUNTA($B$4:$B377))</f>
        <v/>
      </c>
      <c r="B377" s="45" t="n"/>
      <c r="C377" s="46" t="n"/>
      <c r="D377" s="46" t="n"/>
      <c r="E377" s="46" t="n"/>
      <c r="F377" s="51" t="n"/>
      <c r="G377" s="47" t="n"/>
      <c r="H377" s="47" t="n"/>
      <c r="I377" s="43">
        <f>IF($B377="","",N($G377)-N($H377))</f>
        <v/>
      </c>
    </row>
    <row r="378">
      <c r="A378" s="39">
        <f>IF($B378="","",COUNTA($B$4:$B378))</f>
        <v/>
      </c>
      <c r="B378" s="40" t="n"/>
      <c r="C378" s="41" t="n"/>
      <c r="D378" s="41" t="n"/>
      <c r="E378" s="41" t="n"/>
      <c r="F378" s="50" t="n"/>
      <c r="G378" s="42" t="n"/>
      <c r="H378" s="42" t="n"/>
      <c r="I378" s="43">
        <f>IF($B378="","",N($G378)-N($H378))</f>
        <v/>
      </c>
    </row>
    <row r="379">
      <c r="A379" s="39">
        <f>IF($B379="","",COUNTA($B$4:$B379))</f>
        <v/>
      </c>
      <c r="B379" s="45" t="n"/>
      <c r="C379" s="46" t="n"/>
      <c r="D379" s="46" t="n"/>
      <c r="E379" s="46" t="n"/>
      <c r="F379" s="51" t="n"/>
      <c r="G379" s="47" t="n"/>
      <c r="H379" s="47" t="n"/>
      <c r="I379" s="43">
        <f>IF($B379="","",N($G379)-N($H379))</f>
        <v/>
      </c>
    </row>
    <row r="380">
      <c r="A380" s="39">
        <f>IF($B380="","",COUNTA($B$4:$B380))</f>
        <v/>
      </c>
      <c r="B380" s="40" t="n"/>
      <c r="C380" s="41" t="n"/>
      <c r="D380" s="41" t="n"/>
      <c r="E380" s="41" t="n"/>
      <c r="F380" s="50" t="n"/>
      <c r="G380" s="42" t="n"/>
      <c r="H380" s="42" t="n"/>
      <c r="I380" s="43">
        <f>IF($B380="","",N($G380)-N($H380))</f>
        <v/>
      </c>
    </row>
    <row r="381">
      <c r="A381" s="39">
        <f>IF($B381="","",COUNTA($B$4:$B381))</f>
        <v/>
      </c>
      <c r="B381" s="45" t="n"/>
      <c r="C381" s="46" t="n"/>
      <c r="D381" s="46" t="n"/>
      <c r="E381" s="46" t="n"/>
      <c r="F381" s="51" t="n"/>
      <c r="G381" s="47" t="n"/>
      <c r="H381" s="47" t="n"/>
      <c r="I381" s="43">
        <f>IF($B381="","",N($G381)-N($H381))</f>
        <v/>
      </c>
    </row>
    <row r="382">
      <c r="A382" s="39">
        <f>IF($B382="","",COUNTA($B$4:$B382))</f>
        <v/>
      </c>
      <c r="B382" s="40" t="n"/>
      <c r="C382" s="41" t="n"/>
      <c r="D382" s="41" t="n"/>
      <c r="E382" s="41" t="n"/>
      <c r="F382" s="50" t="n"/>
      <c r="G382" s="42" t="n"/>
      <c r="H382" s="42" t="n"/>
      <c r="I382" s="43">
        <f>IF($B382="","",N($G382)-N($H382))</f>
        <v/>
      </c>
    </row>
    <row r="383">
      <c r="A383" s="39">
        <f>IF($B383="","",COUNTA($B$4:$B383))</f>
        <v/>
      </c>
      <c r="B383" s="45" t="n"/>
      <c r="C383" s="46" t="n"/>
      <c r="D383" s="46" t="n"/>
      <c r="E383" s="46" t="n"/>
      <c r="F383" s="51" t="n"/>
      <c r="G383" s="47" t="n"/>
      <c r="H383" s="47" t="n"/>
      <c r="I383" s="43">
        <f>IF($B383="","",N($G383)-N($H383))</f>
        <v/>
      </c>
    </row>
    <row r="384">
      <c r="A384" s="39">
        <f>IF($B384="","",COUNTA($B$4:$B384))</f>
        <v/>
      </c>
      <c r="B384" s="40" t="n"/>
      <c r="C384" s="41" t="n"/>
      <c r="D384" s="41" t="n"/>
      <c r="E384" s="41" t="n"/>
      <c r="F384" s="50" t="n"/>
      <c r="G384" s="42" t="n"/>
      <c r="H384" s="42" t="n"/>
      <c r="I384" s="43">
        <f>IF($B384="","",N($G384)-N($H384))</f>
        <v/>
      </c>
    </row>
    <row r="385">
      <c r="A385" s="39">
        <f>IF($B385="","",COUNTA($B$4:$B385))</f>
        <v/>
      </c>
      <c r="B385" s="45" t="n"/>
      <c r="C385" s="46" t="n"/>
      <c r="D385" s="46" t="n"/>
      <c r="E385" s="46" t="n"/>
      <c r="F385" s="51" t="n"/>
      <c r="G385" s="47" t="n"/>
      <c r="H385" s="47" t="n"/>
      <c r="I385" s="43">
        <f>IF($B385="","",N($G385)-N($H385))</f>
        <v/>
      </c>
    </row>
    <row r="386">
      <c r="A386" s="39">
        <f>IF($B386="","",COUNTA($B$4:$B386))</f>
        <v/>
      </c>
      <c r="B386" s="40" t="n"/>
      <c r="C386" s="41" t="n"/>
      <c r="D386" s="41" t="n"/>
      <c r="E386" s="41" t="n"/>
      <c r="F386" s="50" t="n"/>
      <c r="G386" s="42" t="n"/>
      <c r="H386" s="42" t="n"/>
      <c r="I386" s="43">
        <f>IF($B386="","",N($G386)-N($H386))</f>
        <v/>
      </c>
    </row>
    <row r="387">
      <c r="A387" s="39">
        <f>IF($B387="","",COUNTA($B$4:$B387))</f>
        <v/>
      </c>
      <c r="B387" s="45" t="n"/>
      <c r="C387" s="46" t="n"/>
      <c r="D387" s="46" t="n"/>
      <c r="E387" s="46" t="n"/>
      <c r="F387" s="51" t="n"/>
      <c r="G387" s="47" t="n"/>
      <c r="H387" s="47" t="n"/>
      <c r="I387" s="43">
        <f>IF($B387="","",N($G387)-N($H387))</f>
        <v/>
      </c>
    </row>
    <row r="388">
      <c r="A388" s="39">
        <f>IF($B388="","",COUNTA($B$4:$B388))</f>
        <v/>
      </c>
      <c r="B388" s="40" t="n"/>
      <c r="C388" s="41" t="n"/>
      <c r="D388" s="41" t="n"/>
      <c r="E388" s="41" t="n"/>
      <c r="F388" s="50" t="n"/>
      <c r="G388" s="42" t="n"/>
      <c r="H388" s="42" t="n"/>
      <c r="I388" s="43">
        <f>IF($B388="","",N($G388)-N($H388))</f>
        <v/>
      </c>
    </row>
    <row r="389">
      <c r="A389" s="39">
        <f>IF($B389="","",COUNTA($B$4:$B389))</f>
        <v/>
      </c>
      <c r="B389" s="45" t="n"/>
      <c r="C389" s="46" t="n"/>
      <c r="D389" s="46" t="n"/>
      <c r="E389" s="46" t="n"/>
      <c r="F389" s="51" t="n"/>
      <c r="G389" s="47" t="n"/>
      <c r="H389" s="47" t="n"/>
      <c r="I389" s="43">
        <f>IF($B389="","",N($G389)-N($H389))</f>
        <v/>
      </c>
    </row>
    <row r="390">
      <c r="A390" s="39">
        <f>IF($B390="","",COUNTA($B$4:$B390))</f>
        <v/>
      </c>
      <c r="B390" s="40" t="n"/>
      <c r="C390" s="41" t="n"/>
      <c r="D390" s="41" t="n"/>
      <c r="E390" s="41" t="n"/>
      <c r="F390" s="50" t="n"/>
      <c r="G390" s="42" t="n"/>
      <c r="H390" s="42" t="n"/>
      <c r="I390" s="43">
        <f>IF($B390="","",N($G390)-N($H390))</f>
        <v/>
      </c>
    </row>
    <row r="391">
      <c r="A391" s="39">
        <f>IF($B391="","",COUNTA($B$4:$B391))</f>
        <v/>
      </c>
      <c r="B391" s="45" t="n"/>
      <c r="C391" s="46" t="n"/>
      <c r="D391" s="46" t="n"/>
      <c r="E391" s="46" t="n"/>
      <c r="F391" s="51" t="n"/>
      <c r="G391" s="47" t="n"/>
      <c r="H391" s="47" t="n"/>
      <c r="I391" s="43">
        <f>IF($B391="","",N($G391)-N($H391))</f>
        <v/>
      </c>
    </row>
    <row r="392">
      <c r="A392" s="39">
        <f>IF($B392="","",COUNTA($B$4:$B392))</f>
        <v/>
      </c>
      <c r="B392" s="40" t="n"/>
      <c r="C392" s="41" t="n"/>
      <c r="D392" s="41" t="n"/>
      <c r="E392" s="41" t="n"/>
      <c r="F392" s="50" t="n"/>
      <c r="G392" s="42" t="n"/>
      <c r="H392" s="42" t="n"/>
      <c r="I392" s="43">
        <f>IF($B392="","",N($G392)-N($H392))</f>
        <v/>
      </c>
    </row>
    <row r="393">
      <c r="A393" s="39">
        <f>IF($B393="","",COUNTA($B$4:$B393))</f>
        <v/>
      </c>
      <c r="B393" s="45" t="n"/>
      <c r="C393" s="46" t="n"/>
      <c r="D393" s="46" t="n"/>
      <c r="E393" s="46" t="n"/>
      <c r="F393" s="51" t="n"/>
      <c r="G393" s="47" t="n"/>
      <c r="H393" s="47" t="n"/>
      <c r="I393" s="43">
        <f>IF($B393="","",N($G393)-N($H393))</f>
        <v/>
      </c>
    </row>
    <row r="394">
      <c r="A394" s="39">
        <f>IF($B394="","",COUNTA($B$4:$B394))</f>
        <v/>
      </c>
      <c r="B394" s="40" t="n"/>
      <c r="C394" s="41" t="n"/>
      <c r="D394" s="41" t="n"/>
      <c r="E394" s="41" t="n"/>
      <c r="F394" s="50" t="n"/>
      <c r="G394" s="42" t="n"/>
      <c r="H394" s="42" t="n"/>
      <c r="I394" s="43">
        <f>IF($B394="","",N($G394)-N($H394))</f>
        <v/>
      </c>
    </row>
    <row r="395">
      <c r="A395" s="39">
        <f>IF($B395="","",COUNTA($B$4:$B395))</f>
        <v/>
      </c>
      <c r="B395" s="45" t="n"/>
      <c r="C395" s="46" t="n"/>
      <c r="D395" s="46" t="n"/>
      <c r="E395" s="46" t="n"/>
      <c r="F395" s="51" t="n"/>
      <c r="G395" s="47" t="n"/>
      <c r="H395" s="47" t="n"/>
      <c r="I395" s="43">
        <f>IF($B395="","",N($G395)-N($H395))</f>
        <v/>
      </c>
    </row>
    <row r="396">
      <c r="A396" s="39">
        <f>IF($B396="","",COUNTA($B$4:$B396))</f>
        <v/>
      </c>
      <c r="B396" s="40" t="n"/>
      <c r="C396" s="41" t="n"/>
      <c r="D396" s="41" t="n"/>
      <c r="E396" s="41" t="n"/>
      <c r="F396" s="50" t="n"/>
      <c r="G396" s="42" t="n"/>
      <c r="H396" s="42" t="n"/>
      <c r="I396" s="43">
        <f>IF($B396="","",N($G396)-N($H396))</f>
        <v/>
      </c>
    </row>
    <row r="397">
      <c r="A397" s="39">
        <f>IF($B397="","",COUNTA($B$4:$B397))</f>
        <v/>
      </c>
      <c r="B397" s="45" t="n"/>
      <c r="C397" s="46" t="n"/>
      <c r="D397" s="46" t="n"/>
      <c r="E397" s="46" t="n"/>
      <c r="F397" s="51" t="n"/>
      <c r="G397" s="47" t="n"/>
      <c r="H397" s="47" t="n"/>
      <c r="I397" s="43">
        <f>IF($B397="","",N($G397)-N($H397))</f>
        <v/>
      </c>
    </row>
    <row r="398">
      <c r="A398" s="39">
        <f>IF($B398="","",COUNTA($B$4:$B398))</f>
        <v/>
      </c>
      <c r="B398" s="40" t="n"/>
      <c r="C398" s="41" t="n"/>
      <c r="D398" s="41" t="n"/>
      <c r="E398" s="41" t="n"/>
      <c r="F398" s="50" t="n"/>
      <c r="G398" s="42" t="n"/>
      <c r="H398" s="42" t="n"/>
      <c r="I398" s="43">
        <f>IF($B398="","",N($G398)-N($H398))</f>
        <v/>
      </c>
    </row>
    <row r="399">
      <c r="A399" s="39">
        <f>IF($B399="","",COUNTA($B$4:$B399))</f>
        <v/>
      </c>
      <c r="B399" s="45" t="n"/>
      <c r="C399" s="46" t="n"/>
      <c r="D399" s="46" t="n"/>
      <c r="E399" s="46" t="n"/>
      <c r="F399" s="51" t="n"/>
      <c r="G399" s="47" t="n"/>
      <c r="H399" s="47" t="n"/>
      <c r="I399" s="43">
        <f>IF($B399="","",N($G399)-N($H399))</f>
        <v/>
      </c>
    </row>
    <row r="400">
      <c r="A400" s="39">
        <f>IF($B400="","",COUNTA($B$4:$B400))</f>
        <v/>
      </c>
      <c r="B400" s="40" t="n"/>
      <c r="C400" s="41" t="n"/>
      <c r="D400" s="41" t="n"/>
      <c r="E400" s="41" t="n"/>
      <c r="F400" s="50" t="n"/>
      <c r="G400" s="42" t="n"/>
      <c r="H400" s="42" t="n"/>
      <c r="I400" s="43">
        <f>IF($B400="","",N($G400)-N($H400))</f>
        <v/>
      </c>
    </row>
    <row r="401">
      <c r="A401" s="39">
        <f>IF($B401="","",COUNTA($B$4:$B401))</f>
        <v/>
      </c>
      <c r="B401" s="45" t="n"/>
      <c r="C401" s="46" t="n"/>
      <c r="D401" s="46" t="n"/>
      <c r="E401" s="46" t="n"/>
      <c r="F401" s="51" t="n"/>
      <c r="G401" s="47" t="n"/>
      <c r="H401" s="47" t="n"/>
      <c r="I401" s="43">
        <f>IF($B401="","",N($G401)-N($H401))</f>
        <v/>
      </c>
    </row>
    <row r="402">
      <c r="A402" s="39">
        <f>IF($B402="","",COUNTA($B$4:$B402))</f>
        <v/>
      </c>
      <c r="B402" s="40" t="n"/>
      <c r="C402" s="41" t="n"/>
      <c r="D402" s="41" t="n"/>
      <c r="E402" s="41" t="n"/>
      <c r="F402" s="50" t="n"/>
      <c r="G402" s="42" t="n"/>
      <c r="H402" s="42" t="n"/>
      <c r="I402" s="43">
        <f>IF($B402="","",N($G402)-N($H402))</f>
        <v/>
      </c>
    </row>
    <row r="403">
      <c r="A403" s="39">
        <f>IF($B403="","",COUNTA($B$4:$B403))</f>
        <v/>
      </c>
      <c r="B403" s="45" t="n"/>
      <c r="C403" s="46" t="n"/>
      <c r="D403" s="46" t="n"/>
      <c r="E403" s="46" t="n"/>
      <c r="F403" s="51" t="n"/>
      <c r="G403" s="47" t="n"/>
      <c r="H403" s="47" t="n"/>
      <c r="I403" s="43">
        <f>IF($B403="","",N($G403)-N($H403))</f>
        <v/>
      </c>
    </row>
    <row r="404">
      <c r="A404" s="39">
        <f>IF($B404="","",COUNTA($B$4:$B404))</f>
        <v/>
      </c>
      <c r="B404" s="40" t="n"/>
      <c r="C404" s="41" t="n"/>
      <c r="D404" s="41" t="n"/>
      <c r="E404" s="41" t="n"/>
      <c r="F404" s="50" t="n"/>
      <c r="G404" s="42" t="n"/>
      <c r="H404" s="42" t="n"/>
      <c r="I404" s="43">
        <f>IF($B404="","",N($G404)-N($H404))</f>
        <v/>
      </c>
    </row>
    <row r="405">
      <c r="A405" s="39">
        <f>IF($B405="","",COUNTA($B$4:$B405))</f>
        <v/>
      </c>
      <c r="B405" s="45" t="n"/>
      <c r="C405" s="46" t="n"/>
      <c r="D405" s="46" t="n"/>
      <c r="E405" s="46" t="n"/>
      <c r="F405" s="51" t="n"/>
      <c r="G405" s="47" t="n"/>
      <c r="H405" s="47" t="n"/>
      <c r="I405" s="43">
        <f>IF($B405="","",N($G405)-N($H405))</f>
        <v/>
      </c>
    </row>
    <row r="406">
      <c r="A406" s="39">
        <f>IF($B406="","",COUNTA($B$4:$B406))</f>
        <v/>
      </c>
      <c r="B406" s="40" t="n"/>
      <c r="C406" s="41" t="n"/>
      <c r="D406" s="41" t="n"/>
      <c r="E406" s="41" t="n"/>
      <c r="F406" s="50" t="n"/>
      <c r="G406" s="42" t="n"/>
      <c r="H406" s="42" t="n"/>
      <c r="I406" s="43">
        <f>IF($B406="","",N($G406)-N($H406))</f>
        <v/>
      </c>
    </row>
    <row r="407">
      <c r="A407" s="39">
        <f>IF($B407="","",COUNTA($B$4:$B407))</f>
        <v/>
      </c>
      <c r="B407" s="45" t="n"/>
      <c r="C407" s="46" t="n"/>
      <c r="D407" s="46" t="n"/>
      <c r="E407" s="46" t="n"/>
      <c r="F407" s="51" t="n"/>
      <c r="G407" s="47" t="n"/>
      <c r="H407" s="47" t="n"/>
      <c r="I407" s="43">
        <f>IF($B407="","",N($G407)-N($H407))</f>
        <v/>
      </c>
    </row>
    <row r="408">
      <c r="A408" s="39">
        <f>IF($B408="","",COUNTA($B$4:$B408))</f>
        <v/>
      </c>
      <c r="B408" s="40" t="n"/>
      <c r="C408" s="41" t="n"/>
      <c r="D408" s="41" t="n"/>
      <c r="E408" s="41" t="n"/>
      <c r="F408" s="50" t="n"/>
      <c r="G408" s="42" t="n"/>
      <c r="H408" s="42" t="n"/>
      <c r="I408" s="43">
        <f>IF($B408="","",N($G408)-N($H408))</f>
        <v/>
      </c>
    </row>
    <row r="409">
      <c r="A409" s="39">
        <f>IF($B409="","",COUNTA($B$4:$B409))</f>
        <v/>
      </c>
      <c r="B409" s="45" t="n"/>
      <c r="C409" s="46" t="n"/>
      <c r="D409" s="46" t="n"/>
      <c r="E409" s="46" t="n"/>
      <c r="F409" s="51" t="n"/>
      <c r="G409" s="47" t="n"/>
      <c r="H409" s="47" t="n"/>
      <c r="I409" s="43">
        <f>IF($B409="","",N($G409)-N($H409))</f>
        <v/>
      </c>
    </row>
    <row r="410">
      <c r="A410" s="39">
        <f>IF($B410="","",COUNTA($B$4:$B410))</f>
        <v/>
      </c>
      <c r="B410" s="40" t="n"/>
      <c r="C410" s="41" t="n"/>
      <c r="D410" s="41" t="n"/>
      <c r="E410" s="41" t="n"/>
      <c r="F410" s="50" t="n"/>
      <c r="G410" s="42" t="n"/>
      <c r="H410" s="42" t="n"/>
      <c r="I410" s="43">
        <f>IF($B410="","",N($G410)-N($H410))</f>
        <v/>
      </c>
    </row>
    <row r="411">
      <c r="A411" s="39">
        <f>IF($B411="","",COUNTA($B$4:$B411))</f>
        <v/>
      </c>
      <c r="B411" s="45" t="n"/>
      <c r="C411" s="46" t="n"/>
      <c r="D411" s="46" t="n"/>
      <c r="E411" s="46" t="n"/>
      <c r="F411" s="51" t="n"/>
      <c r="G411" s="47" t="n"/>
      <c r="H411" s="47" t="n"/>
      <c r="I411" s="43">
        <f>IF($B411="","",N($G411)-N($H411))</f>
        <v/>
      </c>
    </row>
    <row r="412">
      <c r="A412" s="39">
        <f>IF($B412="","",COUNTA($B$4:$B412))</f>
        <v/>
      </c>
      <c r="B412" s="40" t="n"/>
      <c r="C412" s="41" t="n"/>
      <c r="D412" s="41" t="n"/>
      <c r="E412" s="41" t="n"/>
      <c r="F412" s="50" t="n"/>
      <c r="G412" s="42" t="n"/>
      <c r="H412" s="42" t="n"/>
      <c r="I412" s="43">
        <f>IF($B412="","",N($G412)-N($H412))</f>
        <v/>
      </c>
    </row>
    <row r="413">
      <c r="A413" s="39">
        <f>IF($B413="","",COUNTA($B$4:$B413))</f>
        <v/>
      </c>
      <c r="B413" s="45" t="n"/>
      <c r="C413" s="46" t="n"/>
      <c r="D413" s="46" t="n"/>
      <c r="E413" s="46" t="n"/>
      <c r="F413" s="51" t="n"/>
      <c r="G413" s="47" t="n"/>
      <c r="H413" s="47" t="n"/>
      <c r="I413" s="43">
        <f>IF($B413="","",N($G413)-N($H413))</f>
        <v/>
      </c>
    </row>
    <row r="414">
      <c r="A414" s="39">
        <f>IF($B414="","",COUNTA($B$4:$B414))</f>
        <v/>
      </c>
      <c r="B414" s="40" t="n"/>
      <c r="C414" s="41" t="n"/>
      <c r="D414" s="41" t="n"/>
      <c r="E414" s="41" t="n"/>
      <c r="F414" s="50" t="n"/>
      <c r="G414" s="42" t="n"/>
      <c r="H414" s="42" t="n"/>
      <c r="I414" s="43">
        <f>IF($B414="","",N($G414)-N($H414))</f>
        <v/>
      </c>
    </row>
    <row r="415">
      <c r="A415" s="39">
        <f>IF($B415="","",COUNTA($B$4:$B415))</f>
        <v/>
      </c>
      <c r="B415" s="45" t="n"/>
      <c r="C415" s="46" t="n"/>
      <c r="D415" s="46" t="n"/>
      <c r="E415" s="46" t="n"/>
      <c r="F415" s="51" t="n"/>
      <c r="G415" s="47" t="n"/>
      <c r="H415" s="47" t="n"/>
      <c r="I415" s="43">
        <f>IF($B415="","",N($G415)-N($H415))</f>
        <v/>
      </c>
    </row>
    <row r="416">
      <c r="A416" s="39">
        <f>IF($B416="","",COUNTA($B$4:$B416))</f>
        <v/>
      </c>
      <c r="B416" s="40" t="n"/>
      <c r="C416" s="41" t="n"/>
      <c r="D416" s="41" t="n"/>
      <c r="E416" s="41" t="n"/>
      <c r="F416" s="50" t="n"/>
      <c r="G416" s="42" t="n"/>
      <c r="H416" s="42" t="n"/>
      <c r="I416" s="43">
        <f>IF($B416="","",N($G416)-N($H416))</f>
        <v/>
      </c>
    </row>
    <row r="417">
      <c r="A417" s="39">
        <f>IF($B417="","",COUNTA($B$4:$B417))</f>
        <v/>
      </c>
      <c r="B417" s="45" t="n"/>
      <c r="C417" s="46" t="n"/>
      <c r="D417" s="46" t="n"/>
      <c r="E417" s="46" t="n"/>
      <c r="F417" s="51" t="n"/>
      <c r="G417" s="47" t="n"/>
      <c r="H417" s="47" t="n"/>
      <c r="I417" s="43">
        <f>IF($B417="","",N($G417)-N($H417))</f>
        <v/>
      </c>
    </row>
    <row r="418">
      <c r="A418" s="39">
        <f>IF($B418="","",COUNTA($B$4:$B418))</f>
        <v/>
      </c>
      <c r="B418" s="40" t="n"/>
      <c r="C418" s="41" t="n"/>
      <c r="D418" s="41" t="n"/>
      <c r="E418" s="41" t="n"/>
      <c r="F418" s="50" t="n"/>
      <c r="G418" s="42" t="n"/>
      <c r="H418" s="42" t="n"/>
      <c r="I418" s="43">
        <f>IF($B418="","",N($G418)-N($H418))</f>
        <v/>
      </c>
    </row>
    <row r="419">
      <c r="A419" s="39">
        <f>IF($B419="","",COUNTA($B$4:$B419))</f>
        <v/>
      </c>
      <c r="B419" s="45" t="n"/>
      <c r="C419" s="46" t="n"/>
      <c r="D419" s="46" t="n"/>
      <c r="E419" s="46" t="n"/>
      <c r="F419" s="51" t="n"/>
      <c r="G419" s="47" t="n"/>
      <c r="H419" s="47" t="n"/>
      <c r="I419" s="43">
        <f>IF($B419="","",N($G419)-N($H419))</f>
        <v/>
      </c>
    </row>
    <row r="420">
      <c r="A420" s="39">
        <f>IF($B420="","",COUNTA($B$4:$B420))</f>
        <v/>
      </c>
      <c r="B420" s="40" t="n"/>
      <c r="C420" s="41" t="n"/>
      <c r="D420" s="41" t="n"/>
      <c r="E420" s="41" t="n"/>
      <c r="F420" s="50" t="n"/>
      <c r="G420" s="42" t="n"/>
      <c r="H420" s="42" t="n"/>
      <c r="I420" s="43">
        <f>IF($B420="","",N($G420)-N($H420))</f>
        <v/>
      </c>
    </row>
    <row r="421">
      <c r="A421" s="39">
        <f>IF($B421="","",COUNTA($B$4:$B421))</f>
        <v/>
      </c>
      <c r="B421" s="45" t="n"/>
      <c r="C421" s="46" t="n"/>
      <c r="D421" s="46" t="n"/>
      <c r="E421" s="46" t="n"/>
      <c r="F421" s="51" t="n"/>
      <c r="G421" s="47" t="n"/>
      <c r="H421" s="47" t="n"/>
      <c r="I421" s="43">
        <f>IF($B421="","",N($G421)-N($H421))</f>
        <v/>
      </c>
    </row>
    <row r="422">
      <c r="A422" s="39">
        <f>IF($B422="","",COUNTA($B$4:$B422))</f>
        <v/>
      </c>
      <c r="B422" s="40" t="n"/>
      <c r="C422" s="41" t="n"/>
      <c r="D422" s="41" t="n"/>
      <c r="E422" s="41" t="n"/>
      <c r="F422" s="50" t="n"/>
      <c r="G422" s="42" t="n"/>
      <c r="H422" s="42" t="n"/>
      <c r="I422" s="43">
        <f>IF($B422="","",N($G422)-N($H422))</f>
        <v/>
      </c>
    </row>
    <row r="423">
      <c r="A423" s="39">
        <f>IF($B423="","",COUNTA($B$4:$B423))</f>
        <v/>
      </c>
      <c r="B423" s="45" t="n"/>
      <c r="C423" s="46" t="n"/>
      <c r="D423" s="46" t="n"/>
      <c r="E423" s="46" t="n"/>
      <c r="F423" s="51" t="n"/>
      <c r="G423" s="47" t="n"/>
      <c r="H423" s="47" t="n"/>
      <c r="I423" s="43">
        <f>IF($B423="","",N($G423)-N($H423))</f>
        <v/>
      </c>
    </row>
    <row r="424">
      <c r="A424" s="39">
        <f>IF($B424="","",COUNTA($B$4:$B424))</f>
        <v/>
      </c>
      <c r="B424" s="40" t="n"/>
      <c r="C424" s="41" t="n"/>
      <c r="D424" s="41" t="n"/>
      <c r="E424" s="41" t="n"/>
      <c r="F424" s="50" t="n"/>
      <c r="G424" s="42" t="n"/>
      <c r="H424" s="42" t="n"/>
      <c r="I424" s="43">
        <f>IF($B424="","",N($G424)-N($H424))</f>
        <v/>
      </c>
    </row>
    <row r="425">
      <c r="A425" s="39">
        <f>IF($B425="","",COUNTA($B$4:$B425))</f>
        <v/>
      </c>
      <c r="B425" s="45" t="n"/>
      <c r="C425" s="46" t="n"/>
      <c r="D425" s="46" t="n"/>
      <c r="E425" s="46" t="n"/>
      <c r="F425" s="51" t="n"/>
      <c r="G425" s="47" t="n"/>
      <c r="H425" s="47" t="n"/>
      <c r="I425" s="43">
        <f>IF($B425="","",N($G425)-N($H425))</f>
        <v/>
      </c>
    </row>
    <row r="426">
      <c r="A426" s="39">
        <f>IF($B426="","",COUNTA($B$4:$B426))</f>
        <v/>
      </c>
      <c r="B426" s="40" t="n"/>
      <c r="C426" s="41" t="n"/>
      <c r="D426" s="41" t="n"/>
      <c r="E426" s="41" t="n"/>
      <c r="F426" s="50" t="n"/>
      <c r="G426" s="42" t="n"/>
      <c r="H426" s="42" t="n"/>
      <c r="I426" s="43">
        <f>IF($B426="","",N($G426)-N($H426))</f>
        <v/>
      </c>
    </row>
    <row r="427">
      <c r="A427" s="39">
        <f>IF($B427="","",COUNTA($B$4:$B427))</f>
        <v/>
      </c>
      <c r="B427" s="45" t="n"/>
      <c r="C427" s="46" t="n"/>
      <c r="D427" s="46" t="n"/>
      <c r="E427" s="46" t="n"/>
      <c r="F427" s="51" t="n"/>
      <c r="G427" s="47" t="n"/>
      <c r="H427" s="47" t="n"/>
      <c r="I427" s="43">
        <f>IF($B427="","",N($G427)-N($H427))</f>
        <v/>
      </c>
    </row>
    <row r="428">
      <c r="A428" s="39">
        <f>IF($B428="","",COUNTA($B$4:$B428))</f>
        <v/>
      </c>
      <c r="B428" s="40" t="n"/>
      <c r="C428" s="41" t="n"/>
      <c r="D428" s="41" t="n"/>
      <c r="E428" s="41" t="n"/>
      <c r="F428" s="50" t="n"/>
      <c r="G428" s="42" t="n"/>
      <c r="H428" s="42" t="n"/>
      <c r="I428" s="43">
        <f>IF($B428="","",N($G428)-N($H428))</f>
        <v/>
      </c>
    </row>
    <row r="429">
      <c r="A429" s="39">
        <f>IF($B429="","",COUNTA($B$4:$B429))</f>
        <v/>
      </c>
      <c r="B429" s="45" t="n"/>
      <c r="C429" s="46" t="n"/>
      <c r="D429" s="46" t="n"/>
      <c r="E429" s="46" t="n"/>
      <c r="F429" s="51" t="n"/>
      <c r="G429" s="47" t="n"/>
      <c r="H429" s="47" t="n"/>
      <c r="I429" s="43">
        <f>IF($B429="","",N($G429)-N($H429))</f>
        <v/>
      </c>
    </row>
    <row r="430">
      <c r="A430" s="39">
        <f>IF($B430="","",COUNTA($B$4:$B430))</f>
        <v/>
      </c>
      <c r="B430" s="40" t="n"/>
      <c r="C430" s="41" t="n"/>
      <c r="D430" s="41" t="n"/>
      <c r="E430" s="41" t="n"/>
      <c r="F430" s="50" t="n"/>
      <c r="G430" s="42" t="n"/>
      <c r="H430" s="42" t="n"/>
      <c r="I430" s="43">
        <f>IF($B430="","",N($G430)-N($H430))</f>
        <v/>
      </c>
    </row>
    <row r="431">
      <c r="A431" s="39">
        <f>IF($B431="","",COUNTA($B$4:$B431))</f>
        <v/>
      </c>
      <c r="B431" s="45" t="n"/>
      <c r="C431" s="46" t="n"/>
      <c r="D431" s="46" t="n"/>
      <c r="E431" s="46" t="n"/>
      <c r="F431" s="51" t="n"/>
      <c r="G431" s="47" t="n"/>
      <c r="H431" s="47" t="n"/>
      <c r="I431" s="43">
        <f>IF($B431="","",N($G431)-N($H431))</f>
        <v/>
      </c>
    </row>
    <row r="432">
      <c r="A432" s="39">
        <f>IF($B432="","",COUNTA($B$4:$B432))</f>
        <v/>
      </c>
      <c r="B432" s="40" t="n"/>
      <c r="C432" s="41" t="n"/>
      <c r="D432" s="41" t="n"/>
      <c r="E432" s="41" t="n"/>
      <c r="F432" s="50" t="n"/>
      <c r="G432" s="42" t="n"/>
      <c r="H432" s="42" t="n"/>
      <c r="I432" s="43">
        <f>IF($B432="","",N($G432)-N($H432))</f>
        <v/>
      </c>
    </row>
    <row r="433">
      <c r="A433" s="39">
        <f>IF($B433="","",COUNTA($B$4:$B433))</f>
        <v/>
      </c>
      <c r="B433" s="45" t="n"/>
      <c r="C433" s="46" t="n"/>
      <c r="D433" s="46" t="n"/>
      <c r="E433" s="46" t="n"/>
      <c r="F433" s="51" t="n"/>
      <c r="G433" s="47" t="n"/>
      <c r="H433" s="47" t="n"/>
      <c r="I433" s="43">
        <f>IF($B433="","",N($G433)-N($H433))</f>
        <v/>
      </c>
    </row>
    <row r="434">
      <c r="A434" s="39">
        <f>IF($B434="","",COUNTA($B$4:$B434))</f>
        <v/>
      </c>
      <c r="B434" s="40" t="n"/>
      <c r="C434" s="41" t="n"/>
      <c r="D434" s="41" t="n"/>
      <c r="E434" s="41" t="n"/>
      <c r="F434" s="50" t="n"/>
      <c r="G434" s="42" t="n"/>
      <c r="H434" s="42" t="n"/>
      <c r="I434" s="43">
        <f>IF($B434="","",N($G434)-N($H434))</f>
        <v/>
      </c>
    </row>
    <row r="435">
      <c r="A435" s="39">
        <f>IF($B435="","",COUNTA($B$4:$B435))</f>
        <v/>
      </c>
      <c r="B435" s="45" t="n"/>
      <c r="C435" s="46" t="n"/>
      <c r="D435" s="46" t="n"/>
      <c r="E435" s="46" t="n"/>
      <c r="F435" s="51" t="n"/>
      <c r="G435" s="47" t="n"/>
      <c r="H435" s="47" t="n"/>
      <c r="I435" s="43">
        <f>IF($B435="","",N($G435)-N($H435))</f>
        <v/>
      </c>
    </row>
    <row r="436">
      <c r="A436" s="39">
        <f>IF($B436="","",COUNTA($B$4:$B436))</f>
        <v/>
      </c>
      <c r="B436" s="40" t="n"/>
      <c r="C436" s="41" t="n"/>
      <c r="D436" s="41" t="n"/>
      <c r="E436" s="41" t="n"/>
      <c r="F436" s="50" t="n"/>
      <c r="G436" s="42" t="n"/>
      <c r="H436" s="42" t="n"/>
      <c r="I436" s="43">
        <f>IF($B436="","",N($G436)-N($H436))</f>
        <v/>
      </c>
    </row>
    <row r="437">
      <c r="A437" s="39">
        <f>IF($B437="","",COUNTA($B$4:$B437))</f>
        <v/>
      </c>
      <c r="B437" s="45" t="n"/>
      <c r="C437" s="46" t="n"/>
      <c r="D437" s="46" t="n"/>
      <c r="E437" s="46" t="n"/>
      <c r="F437" s="51" t="n"/>
      <c r="G437" s="47" t="n"/>
      <c r="H437" s="47" t="n"/>
      <c r="I437" s="43">
        <f>IF($B437="","",N($G437)-N($H437))</f>
        <v/>
      </c>
    </row>
    <row r="438">
      <c r="A438" s="39">
        <f>IF($B438="","",COUNTA($B$4:$B438))</f>
        <v/>
      </c>
      <c r="B438" s="40" t="n"/>
      <c r="C438" s="41" t="n"/>
      <c r="D438" s="41" t="n"/>
      <c r="E438" s="41" t="n"/>
      <c r="F438" s="50" t="n"/>
      <c r="G438" s="42" t="n"/>
      <c r="H438" s="42" t="n"/>
      <c r="I438" s="43">
        <f>IF($B438="","",N($G438)-N($H438))</f>
        <v/>
      </c>
    </row>
    <row r="439">
      <c r="A439" s="39">
        <f>IF($B439="","",COUNTA($B$4:$B439))</f>
        <v/>
      </c>
      <c r="B439" s="45" t="n"/>
      <c r="C439" s="46" t="n"/>
      <c r="D439" s="46" t="n"/>
      <c r="E439" s="46" t="n"/>
      <c r="F439" s="51" t="n"/>
      <c r="G439" s="47" t="n"/>
      <c r="H439" s="47" t="n"/>
      <c r="I439" s="43">
        <f>IF($B439="","",N($G439)-N($H439))</f>
        <v/>
      </c>
    </row>
    <row r="440">
      <c r="A440" s="39">
        <f>IF($B440="","",COUNTA($B$4:$B440))</f>
        <v/>
      </c>
      <c r="B440" s="40" t="n"/>
      <c r="C440" s="41" t="n"/>
      <c r="D440" s="41" t="n"/>
      <c r="E440" s="41" t="n"/>
      <c r="F440" s="50" t="n"/>
      <c r="G440" s="42" t="n"/>
      <c r="H440" s="42" t="n"/>
      <c r="I440" s="43">
        <f>IF($B440="","",N($G440)-N($H440))</f>
        <v/>
      </c>
    </row>
    <row r="441">
      <c r="A441" s="39">
        <f>IF($B441="","",COUNTA($B$4:$B441))</f>
        <v/>
      </c>
      <c r="B441" s="45" t="n"/>
      <c r="C441" s="46" t="n"/>
      <c r="D441" s="46" t="n"/>
      <c r="E441" s="46" t="n"/>
      <c r="F441" s="51" t="n"/>
      <c r="G441" s="47" t="n"/>
      <c r="H441" s="47" t="n"/>
      <c r="I441" s="43">
        <f>IF($B441="","",N($G441)-N($H441))</f>
        <v/>
      </c>
    </row>
    <row r="442">
      <c r="A442" s="39">
        <f>IF($B442="","",COUNTA($B$4:$B442))</f>
        <v/>
      </c>
      <c r="B442" s="40" t="n"/>
      <c r="C442" s="41" t="n"/>
      <c r="D442" s="41" t="n"/>
      <c r="E442" s="41" t="n"/>
      <c r="F442" s="50" t="n"/>
      <c r="G442" s="42" t="n"/>
      <c r="H442" s="42" t="n"/>
      <c r="I442" s="43">
        <f>IF($B442="","",N($G442)-N($H442))</f>
        <v/>
      </c>
    </row>
    <row r="443">
      <c r="A443" s="39">
        <f>IF($B443="","",COUNTA($B$4:$B443))</f>
        <v/>
      </c>
      <c r="B443" s="45" t="n"/>
      <c r="C443" s="46" t="n"/>
      <c r="D443" s="46" t="n"/>
      <c r="E443" s="46" t="n"/>
      <c r="F443" s="51" t="n"/>
      <c r="G443" s="47" t="n"/>
      <c r="H443" s="47" t="n"/>
      <c r="I443" s="43">
        <f>IF($B443="","",N($G443)-N($H443))</f>
        <v/>
      </c>
    </row>
    <row r="444">
      <c r="A444" s="39">
        <f>IF($B444="","",COUNTA($B$4:$B444))</f>
        <v/>
      </c>
      <c r="B444" s="40" t="n"/>
      <c r="C444" s="41" t="n"/>
      <c r="D444" s="41" t="n"/>
      <c r="E444" s="41" t="n"/>
      <c r="F444" s="50" t="n"/>
      <c r="G444" s="42" t="n"/>
      <c r="H444" s="42" t="n"/>
      <c r="I444" s="43">
        <f>IF($B444="","",N($G444)-N($H444))</f>
        <v/>
      </c>
    </row>
    <row r="445">
      <c r="A445" s="39">
        <f>IF($B445="","",COUNTA($B$4:$B445))</f>
        <v/>
      </c>
      <c r="B445" s="45" t="n"/>
      <c r="C445" s="46" t="n"/>
      <c r="D445" s="46" t="n"/>
      <c r="E445" s="46" t="n"/>
      <c r="F445" s="51" t="n"/>
      <c r="G445" s="47" t="n"/>
      <c r="H445" s="47" t="n"/>
      <c r="I445" s="43">
        <f>IF($B445="","",N($G445)-N($H445))</f>
        <v/>
      </c>
    </row>
    <row r="446">
      <c r="A446" s="39">
        <f>IF($B446="","",COUNTA($B$4:$B446))</f>
        <v/>
      </c>
      <c r="B446" s="40" t="n"/>
      <c r="C446" s="41" t="n"/>
      <c r="D446" s="41" t="n"/>
      <c r="E446" s="41" t="n"/>
      <c r="F446" s="50" t="n"/>
      <c r="G446" s="42" t="n"/>
      <c r="H446" s="42" t="n"/>
      <c r="I446" s="43">
        <f>IF($B446="","",N($G446)-N($H446))</f>
        <v/>
      </c>
    </row>
    <row r="447">
      <c r="A447" s="39">
        <f>IF($B447="","",COUNTA($B$4:$B447))</f>
        <v/>
      </c>
      <c r="B447" s="45" t="n"/>
      <c r="C447" s="46" t="n"/>
      <c r="D447" s="46" t="n"/>
      <c r="E447" s="46" t="n"/>
      <c r="F447" s="51" t="n"/>
      <c r="G447" s="47" t="n"/>
      <c r="H447" s="47" t="n"/>
      <c r="I447" s="43">
        <f>IF($B447="","",N($G447)-N($H447))</f>
        <v/>
      </c>
    </row>
    <row r="448">
      <c r="A448" s="39">
        <f>IF($B448="","",COUNTA($B$4:$B448))</f>
        <v/>
      </c>
      <c r="B448" s="40" t="n"/>
      <c r="C448" s="41" t="n"/>
      <c r="D448" s="41" t="n"/>
      <c r="E448" s="41" t="n"/>
      <c r="F448" s="50" t="n"/>
      <c r="G448" s="42" t="n"/>
      <c r="H448" s="42" t="n"/>
      <c r="I448" s="43">
        <f>IF($B448="","",N($G448)-N($H448))</f>
        <v/>
      </c>
    </row>
    <row r="449">
      <c r="A449" s="39">
        <f>IF($B449="","",COUNTA($B$4:$B449))</f>
        <v/>
      </c>
      <c r="B449" s="45" t="n"/>
      <c r="C449" s="46" t="n"/>
      <c r="D449" s="46" t="n"/>
      <c r="E449" s="46" t="n"/>
      <c r="F449" s="51" t="n"/>
      <c r="G449" s="47" t="n"/>
      <c r="H449" s="47" t="n"/>
      <c r="I449" s="43">
        <f>IF($B449="","",N($G449)-N($H449))</f>
        <v/>
      </c>
    </row>
    <row r="450">
      <c r="A450" s="39">
        <f>IF($B450="","",COUNTA($B$4:$B450))</f>
        <v/>
      </c>
      <c r="B450" s="40" t="n"/>
      <c r="C450" s="41" t="n"/>
      <c r="D450" s="41" t="n"/>
      <c r="E450" s="41" t="n"/>
      <c r="F450" s="50" t="n"/>
      <c r="G450" s="42" t="n"/>
      <c r="H450" s="42" t="n"/>
      <c r="I450" s="43">
        <f>IF($B450="","",N($G450)-N($H450))</f>
        <v/>
      </c>
    </row>
    <row r="451">
      <c r="A451" s="39">
        <f>IF($B451="","",COUNTA($B$4:$B451))</f>
        <v/>
      </c>
      <c r="B451" s="45" t="n"/>
      <c r="C451" s="46" t="n"/>
      <c r="D451" s="46" t="n"/>
      <c r="E451" s="46" t="n"/>
      <c r="F451" s="51" t="n"/>
      <c r="G451" s="47" t="n"/>
      <c r="H451" s="47" t="n"/>
      <c r="I451" s="43">
        <f>IF($B451="","",N($G451)-N($H451))</f>
        <v/>
      </c>
    </row>
    <row r="452">
      <c r="A452" s="39">
        <f>IF($B452="","",COUNTA($B$4:$B452))</f>
        <v/>
      </c>
      <c r="B452" s="40" t="n"/>
      <c r="C452" s="41" t="n"/>
      <c r="D452" s="41" t="n"/>
      <c r="E452" s="41" t="n"/>
      <c r="F452" s="50" t="n"/>
      <c r="G452" s="42" t="n"/>
      <c r="H452" s="42" t="n"/>
      <c r="I452" s="43">
        <f>IF($B452="","",N($G452)-N($H452))</f>
        <v/>
      </c>
    </row>
    <row r="453">
      <c r="A453" s="39">
        <f>IF($B453="","",COUNTA($B$4:$B453))</f>
        <v/>
      </c>
      <c r="B453" s="45" t="n"/>
      <c r="C453" s="46" t="n"/>
      <c r="D453" s="46" t="n"/>
      <c r="E453" s="46" t="n"/>
      <c r="F453" s="51" t="n"/>
      <c r="G453" s="47" t="n"/>
      <c r="H453" s="47" t="n"/>
      <c r="I453" s="43">
        <f>IF($B453="","",N($G453)-N($H453))</f>
        <v/>
      </c>
    </row>
    <row r="454">
      <c r="A454" s="39">
        <f>IF($B454="","",COUNTA($B$4:$B454))</f>
        <v/>
      </c>
      <c r="B454" s="40" t="n"/>
      <c r="C454" s="41" t="n"/>
      <c r="D454" s="41" t="n"/>
      <c r="E454" s="41" t="n"/>
      <c r="F454" s="50" t="n"/>
      <c r="G454" s="42" t="n"/>
      <c r="H454" s="42" t="n"/>
      <c r="I454" s="43">
        <f>IF($B454="","",N($G454)-N($H454))</f>
        <v/>
      </c>
    </row>
    <row r="455">
      <c r="A455" s="39">
        <f>IF($B455="","",COUNTA($B$4:$B455))</f>
        <v/>
      </c>
      <c r="B455" s="45" t="n"/>
      <c r="C455" s="46" t="n"/>
      <c r="D455" s="46" t="n"/>
      <c r="E455" s="46" t="n"/>
      <c r="F455" s="51" t="n"/>
      <c r="G455" s="47" t="n"/>
      <c r="H455" s="47" t="n"/>
      <c r="I455" s="43">
        <f>IF($B455="","",N($G455)-N($H455))</f>
        <v/>
      </c>
    </row>
    <row r="456">
      <c r="A456" s="39">
        <f>IF($B456="","",COUNTA($B$4:$B456))</f>
        <v/>
      </c>
      <c r="B456" s="40" t="n"/>
      <c r="C456" s="41" t="n"/>
      <c r="D456" s="41" t="n"/>
      <c r="E456" s="41" t="n"/>
      <c r="F456" s="50" t="n"/>
      <c r="G456" s="42" t="n"/>
      <c r="H456" s="42" t="n"/>
      <c r="I456" s="43">
        <f>IF($B456="","",N($G456)-N($H456))</f>
        <v/>
      </c>
    </row>
    <row r="457">
      <c r="A457" s="39">
        <f>IF($B457="","",COUNTA($B$4:$B457))</f>
        <v/>
      </c>
      <c r="B457" s="45" t="n"/>
      <c r="C457" s="46" t="n"/>
      <c r="D457" s="46" t="n"/>
      <c r="E457" s="46" t="n"/>
      <c r="F457" s="51" t="n"/>
      <c r="G457" s="47" t="n"/>
      <c r="H457" s="47" t="n"/>
      <c r="I457" s="43">
        <f>IF($B457="","",N($G457)-N($H457))</f>
        <v/>
      </c>
    </row>
    <row r="458">
      <c r="A458" s="39">
        <f>IF($B458="","",COUNTA($B$4:$B458))</f>
        <v/>
      </c>
      <c r="B458" s="40" t="n"/>
      <c r="C458" s="41" t="n"/>
      <c r="D458" s="41" t="n"/>
      <c r="E458" s="41" t="n"/>
      <c r="F458" s="50" t="n"/>
      <c r="G458" s="42" t="n"/>
      <c r="H458" s="42" t="n"/>
      <c r="I458" s="43">
        <f>IF($B458="","",N($G458)-N($H458))</f>
        <v/>
      </c>
    </row>
    <row r="459">
      <c r="A459" s="39">
        <f>IF($B459="","",COUNTA($B$4:$B459))</f>
        <v/>
      </c>
      <c r="B459" s="45" t="n"/>
      <c r="C459" s="46" t="n"/>
      <c r="D459" s="46" t="n"/>
      <c r="E459" s="46" t="n"/>
      <c r="F459" s="51" t="n"/>
      <c r="G459" s="47" t="n"/>
      <c r="H459" s="47" t="n"/>
      <c r="I459" s="43">
        <f>IF($B459="","",N($G459)-N($H459))</f>
        <v/>
      </c>
    </row>
    <row r="460">
      <c r="A460" s="39">
        <f>IF($B460="","",COUNTA($B$4:$B460))</f>
        <v/>
      </c>
      <c r="B460" s="40" t="n"/>
      <c r="C460" s="41" t="n"/>
      <c r="D460" s="41" t="n"/>
      <c r="E460" s="41" t="n"/>
      <c r="F460" s="50" t="n"/>
      <c r="G460" s="42" t="n"/>
      <c r="H460" s="42" t="n"/>
      <c r="I460" s="43">
        <f>IF($B460="","",N($G460)-N($H460))</f>
        <v/>
      </c>
    </row>
    <row r="461">
      <c r="A461" s="39">
        <f>IF($B461="","",COUNTA($B$4:$B461))</f>
        <v/>
      </c>
      <c r="B461" s="45" t="n"/>
      <c r="C461" s="46" t="n"/>
      <c r="D461" s="46" t="n"/>
      <c r="E461" s="46" t="n"/>
      <c r="F461" s="51" t="n"/>
      <c r="G461" s="47" t="n"/>
      <c r="H461" s="47" t="n"/>
      <c r="I461" s="43">
        <f>IF($B461="","",N($G461)-N($H461))</f>
        <v/>
      </c>
    </row>
    <row r="462">
      <c r="A462" s="39">
        <f>IF($B462="","",COUNTA($B$4:$B462))</f>
        <v/>
      </c>
      <c r="B462" s="40" t="n"/>
      <c r="C462" s="41" t="n"/>
      <c r="D462" s="41" t="n"/>
      <c r="E462" s="41" t="n"/>
      <c r="F462" s="50" t="n"/>
      <c r="G462" s="42" t="n"/>
      <c r="H462" s="42" t="n"/>
      <c r="I462" s="43">
        <f>IF($B462="","",N($G462)-N($H462))</f>
        <v/>
      </c>
    </row>
    <row r="463">
      <c r="A463" s="39">
        <f>IF($B463="","",COUNTA($B$4:$B463))</f>
        <v/>
      </c>
      <c r="B463" s="45" t="n"/>
      <c r="C463" s="46" t="n"/>
      <c r="D463" s="46" t="n"/>
      <c r="E463" s="46" t="n"/>
      <c r="F463" s="51" t="n"/>
      <c r="G463" s="47" t="n"/>
      <c r="H463" s="47" t="n"/>
      <c r="I463" s="43">
        <f>IF($B463="","",N($G463)-N($H463))</f>
        <v/>
      </c>
    </row>
    <row r="464">
      <c r="A464" s="39">
        <f>IF($B464="","",COUNTA($B$4:$B464))</f>
        <v/>
      </c>
      <c r="B464" s="40" t="n"/>
      <c r="C464" s="41" t="n"/>
      <c r="D464" s="41" t="n"/>
      <c r="E464" s="41" t="n"/>
      <c r="F464" s="50" t="n"/>
      <c r="G464" s="42" t="n"/>
      <c r="H464" s="42" t="n"/>
      <c r="I464" s="43">
        <f>IF($B464="","",N($G464)-N($H464))</f>
        <v/>
      </c>
    </row>
    <row r="465">
      <c r="A465" s="39">
        <f>IF($B465="","",COUNTA($B$4:$B465))</f>
        <v/>
      </c>
      <c r="B465" s="45" t="n"/>
      <c r="C465" s="46" t="n"/>
      <c r="D465" s="46" t="n"/>
      <c r="E465" s="46" t="n"/>
      <c r="F465" s="51" t="n"/>
      <c r="G465" s="47" t="n"/>
      <c r="H465" s="47" t="n"/>
      <c r="I465" s="43">
        <f>IF($B465="","",N($G465)-N($H465))</f>
        <v/>
      </c>
    </row>
    <row r="466">
      <c r="A466" s="39">
        <f>IF($B466="","",COUNTA($B$4:$B466))</f>
        <v/>
      </c>
      <c r="B466" s="40" t="n"/>
      <c r="C466" s="41" t="n"/>
      <c r="D466" s="41" t="n"/>
      <c r="E466" s="41" t="n"/>
      <c r="F466" s="50" t="n"/>
      <c r="G466" s="42" t="n"/>
      <c r="H466" s="42" t="n"/>
      <c r="I466" s="43">
        <f>IF($B466="","",N($G466)-N($H466))</f>
        <v/>
      </c>
    </row>
    <row r="467">
      <c r="A467" s="39">
        <f>IF($B467="","",COUNTA($B$4:$B467))</f>
        <v/>
      </c>
      <c r="B467" s="45" t="n"/>
      <c r="C467" s="46" t="n"/>
      <c r="D467" s="46" t="n"/>
      <c r="E467" s="46" t="n"/>
      <c r="F467" s="51" t="n"/>
      <c r="G467" s="47" t="n"/>
      <c r="H467" s="47" t="n"/>
      <c r="I467" s="43">
        <f>IF($B467="","",N($G467)-N($H467))</f>
        <v/>
      </c>
    </row>
    <row r="468">
      <c r="A468" s="39">
        <f>IF($B468="","",COUNTA($B$4:$B468))</f>
        <v/>
      </c>
      <c r="B468" s="40" t="n"/>
      <c r="C468" s="41" t="n"/>
      <c r="D468" s="41" t="n"/>
      <c r="E468" s="41" t="n"/>
      <c r="F468" s="50" t="n"/>
      <c r="G468" s="42" t="n"/>
      <c r="H468" s="42" t="n"/>
      <c r="I468" s="43">
        <f>IF($B468="","",N($G468)-N($H468))</f>
        <v/>
      </c>
    </row>
    <row r="469">
      <c r="A469" s="39">
        <f>IF($B469="","",COUNTA($B$4:$B469))</f>
        <v/>
      </c>
      <c r="B469" s="45" t="n"/>
      <c r="C469" s="46" t="n"/>
      <c r="D469" s="46" t="n"/>
      <c r="E469" s="46" t="n"/>
      <c r="F469" s="51" t="n"/>
      <c r="G469" s="47" t="n"/>
      <c r="H469" s="47" t="n"/>
      <c r="I469" s="43">
        <f>IF($B469="","",N($G469)-N($H469))</f>
        <v/>
      </c>
    </row>
    <row r="470">
      <c r="A470" s="39">
        <f>IF($B470="","",COUNTA($B$4:$B470))</f>
        <v/>
      </c>
      <c r="B470" s="40" t="n"/>
      <c r="C470" s="41" t="n"/>
      <c r="D470" s="41" t="n"/>
      <c r="E470" s="41" t="n"/>
      <c r="F470" s="50" t="n"/>
      <c r="G470" s="42" t="n"/>
      <c r="H470" s="42" t="n"/>
      <c r="I470" s="43">
        <f>IF($B470="","",N($G470)-N($H470))</f>
        <v/>
      </c>
    </row>
    <row r="471">
      <c r="A471" s="39">
        <f>IF($B471="","",COUNTA($B$4:$B471))</f>
        <v/>
      </c>
      <c r="B471" s="45" t="n"/>
      <c r="C471" s="46" t="n"/>
      <c r="D471" s="46" t="n"/>
      <c r="E471" s="46" t="n"/>
      <c r="F471" s="51" t="n"/>
      <c r="G471" s="47" t="n"/>
      <c r="H471" s="47" t="n"/>
      <c r="I471" s="43">
        <f>IF($B471="","",N($G471)-N($H471))</f>
        <v/>
      </c>
    </row>
    <row r="472">
      <c r="A472" s="39">
        <f>IF($B472="","",COUNTA($B$4:$B472))</f>
        <v/>
      </c>
      <c r="B472" s="40" t="n"/>
      <c r="C472" s="41" t="n"/>
      <c r="D472" s="41" t="n"/>
      <c r="E472" s="41" t="n"/>
      <c r="F472" s="50" t="n"/>
      <c r="G472" s="42" t="n"/>
      <c r="H472" s="42" t="n"/>
      <c r="I472" s="43">
        <f>IF($B472="","",N($G472)-N($H472))</f>
        <v/>
      </c>
    </row>
    <row r="473">
      <c r="A473" s="39">
        <f>IF($B473="","",COUNTA($B$4:$B473))</f>
        <v/>
      </c>
      <c r="B473" s="45" t="n"/>
      <c r="C473" s="46" t="n"/>
      <c r="D473" s="46" t="n"/>
      <c r="E473" s="46" t="n"/>
      <c r="F473" s="51" t="n"/>
      <c r="G473" s="47" t="n"/>
      <c r="H473" s="47" t="n"/>
      <c r="I473" s="43">
        <f>IF($B473="","",N($G473)-N($H473))</f>
        <v/>
      </c>
    </row>
    <row r="474">
      <c r="A474" s="39">
        <f>IF($B474="","",COUNTA($B$4:$B474))</f>
        <v/>
      </c>
      <c r="B474" s="40" t="n"/>
      <c r="C474" s="41" t="n"/>
      <c r="D474" s="41" t="n"/>
      <c r="E474" s="41" t="n"/>
      <c r="F474" s="50" t="n"/>
      <c r="G474" s="42" t="n"/>
      <c r="H474" s="42" t="n"/>
      <c r="I474" s="43">
        <f>IF($B474="","",N($G474)-N($H474))</f>
        <v/>
      </c>
    </row>
    <row r="475">
      <c r="A475" s="39">
        <f>IF($B475="","",COUNTA($B$4:$B475))</f>
        <v/>
      </c>
      <c r="B475" s="45" t="n"/>
      <c r="C475" s="46" t="n"/>
      <c r="D475" s="46" t="n"/>
      <c r="E475" s="46" t="n"/>
      <c r="F475" s="51" t="n"/>
      <c r="G475" s="47" t="n"/>
      <c r="H475" s="47" t="n"/>
      <c r="I475" s="43">
        <f>IF($B475="","",N($G475)-N($H475))</f>
        <v/>
      </c>
    </row>
    <row r="476">
      <c r="A476" s="39">
        <f>IF($B476="","",COUNTA($B$4:$B476))</f>
        <v/>
      </c>
      <c r="B476" s="40" t="n"/>
      <c r="C476" s="41" t="n"/>
      <c r="D476" s="41" t="n"/>
      <c r="E476" s="41" t="n"/>
      <c r="F476" s="50" t="n"/>
      <c r="G476" s="42" t="n"/>
      <c r="H476" s="42" t="n"/>
      <c r="I476" s="43">
        <f>IF($B476="","",N($G476)-N($H476))</f>
        <v/>
      </c>
    </row>
    <row r="477">
      <c r="A477" s="39">
        <f>IF($B477="","",COUNTA($B$4:$B477))</f>
        <v/>
      </c>
      <c r="B477" s="45" t="n"/>
      <c r="C477" s="46" t="n"/>
      <c r="D477" s="46" t="n"/>
      <c r="E477" s="46" t="n"/>
      <c r="F477" s="51" t="n"/>
      <c r="G477" s="47" t="n"/>
      <c r="H477" s="47" t="n"/>
      <c r="I477" s="43">
        <f>IF($B477="","",N($G477)-N($H477))</f>
        <v/>
      </c>
    </row>
    <row r="478">
      <c r="A478" s="39">
        <f>IF($B478="","",COUNTA($B$4:$B478))</f>
        <v/>
      </c>
      <c r="B478" s="40" t="n"/>
      <c r="C478" s="41" t="n"/>
      <c r="D478" s="41" t="n"/>
      <c r="E478" s="41" t="n"/>
      <c r="F478" s="50" t="n"/>
      <c r="G478" s="42" t="n"/>
      <c r="H478" s="42" t="n"/>
      <c r="I478" s="43">
        <f>IF($B478="","",N($G478)-N($H478))</f>
        <v/>
      </c>
    </row>
    <row r="479">
      <c r="A479" s="39">
        <f>IF($B479="","",COUNTA($B$4:$B479))</f>
        <v/>
      </c>
      <c r="B479" s="45" t="n"/>
      <c r="C479" s="46" t="n"/>
      <c r="D479" s="46" t="n"/>
      <c r="E479" s="46" t="n"/>
      <c r="F479" s="51" t="n"/>
      <c r="G479" s="47" t="n"/>
      <c r="H479" s="47" t="n"/>
      <c r="I479" s="43">
        <f>IF($B479="","",N($G479)-N($H479))</f>
        <v/>
      </c>
    </row>
    <row r="480">
      <c r="A480" s="39">
        <f>IF($B480="","",COUNTA($B$4:$B480))</f>
        <v/>
      </c>
      <c r="B480" s="40" t="n"/>
      <c r="C480" s="41" t="n"/>
      <c r="D480" s="41" t="n"/>
      <c r="E480" s="41" t="n"/>
      <c r="F480" s="50" t="n"/>
      <c r="G480" s="42" t="n"/>
      <c r="H480" s="42" t="n"/>
      <c r="I480" s="43">
        <f>IF($B480="","",N($G480)-N($H480))</f>
        <v/>
      </c>
    </row>
    <row r="481">
      <c r="A481" s="39">
        <f>IF($B481="","",COUNTA($B$4:$B481))</f>
        <v/>
      </c>
      <c r="B481" s="45" t="n"/>
      <c r="C481" s="46" t="n"/>
      <c r="D481" s="46" t="n"/>
      <c r="E481" s="46" t="n"/>
      <c r="F481" s="51" t="n"/>
      <c r="G481" s="47" t="n"/>
      <c r="H481" s="47" t="n"/>
      <c r="I481" s="43">
        <f>IF($B481="","",N($G481)-N($H481))</f>
        <v/>
      </c>
    </row>
    <row r="482">
      <c r="A482" s="39">
        <f>IF($B482="","",COUNTA($B$4:$B482))</f>
        <v/>
      </c>
      <c r="B482" s="40" t="n"/>
      <c r="C482" s="41" t="n"/>
      <c r="D482" s="41" t="n"/>
      <c r="E482" s="41" t="n"/>
      <c r="F482" s="50" t="n"/>
      <c r="G482" s="42" t="n"/>
      <c r="H482" s="42" t="n"/>
      <c r="I482" s="43">
        <f>IF($B482="","",N($G482)-N($H482))</f>
        <v/>
      </c>
    </row>
    <row r="483">
      <c r="A483" s="39">
        <f>IF($B483="","",COUNTA($B$4:$B483))</f>
        <v/>
      </c>
      <c r="B483" s="45" t="n"/>
      <c r="C483" s="46" t="n"/>
      <c r="D483" s="46" t="n"/>
      <c r="E483" s="46" t="n"/>
      <c r="F483" s="51" t="n"/>
      <c r="G483" s="47" t="n"/>
      <c r="H483" s="47" t="n"/>
      <c r="I483" s="43">
        <f>IF($B483="","",N($G483)-N($H483))</f>
        <v/>
      </c>
    </row>
    <row r="484">
      <c r="A484" s="39">
        <f>IF($B484="","",COUNTA($B$4:$B484))</f>
        <v/>
      </c>
      <c r="B484" s="40" t="n"/>
      <c r="C484" s="41" t="n"/>
      <c r="D484" s="41" t="n"/>
      <c r="E484" s="41" t="n"/>
      <c r="F484" s="50" t="n"/>
      <c r="G484" s="42" t="n"/>
      <c r="H484" s="42" t="n"/>
      <c r="I484" s="43">
        <f>IF($B484="","",N($G484)-N($H484))</f>
        <v/>
      </c>
    </row>
    <row r="485">
      <c r="A485" s="39">
        <f>IF($B485="","",COUNTA($B$4:$B485))</f>
        <v/>
      </c>
      <c r="B485" s="45" t="n"/>
      <c r="C485" s="46" t="n"/>
      <c r="D485" s="46" t="n"/>
      <c r="E485" s="46" t="n"/>
      <c r="F485" s="51" t="n"/>
      <c r="G485" s="47" t="n"/>
      <c r="H485" s="47" t="n"/>
      <c r="I485" s="43">
        <f>IF($B485="","",N($G485)-N($H485))</f>
        <v/>
      </c>
    </row>
    <row r="486">
      <c r="A486" s="39">
        <f>IF($B486="","",COUNTA($B$4:$B486))</f>
        <v/>
      </c>
      <c r="B486" s="40" t="n"/>
      <c r="C486" s="41" t="n"/>
      <c r="D486" s="41" t="n"/>
      <c r="E486" s="41" t="n"/>
      <c r="F486" s="50" t="n"/>
      <c r="G486" s="42" t="n"/>
      <c r="H486" s="42" t="n"/>
      <c r="I486" s="43">
        <f>IF($B486="","",N($G486)-N($H486))</f>
        <v/>
      </c>
    </row>
    <row r="487">
      <c r="A487" s="39">
        <f>IF($B487="","",COUNTA($B$4:$B487))</f>
        <v/>
      </c>
      <c r="B487" s="45" t="n"/>
      <c r="C487" s="46" t="n"/>
      <c r="D487" s="46" t="n"/>
      <c r="E487" s="46" t="n"/>
      <c r="F487" s="51" t="n"/>
      <c r="G487" s="47" t="n"/>
      <c r="H487" s="47" t="n"/>
      <c r="I487" s="43">
        <f>IF($B487="","",N($G487)-N($H487))</f>
        <v/>
      </c>
    </row>
    <row r="488">
      <c r="A488" s="39">
        <f>IF($B488="","",COUNTA($B$4:$B488))</f>
        <v/>
      </c>
      <c r="B488" s="40" t="n"/>
      <c r="C488" s="41" t="n"/>
      <c r="D488" s="41" t="n"/>
      <c r="E488" s="41" t="n"/>
      <c r="F488" s="50" t="n"/>
      <c r="G488" s="42" t="n"/>
      <c r="H488" s="42" t="n"/>
      <c r="I488" s="43">
        <f>IF($B488="","",N($G488)-N($H488))</f>
        <v/>
      </c>
    </row>
    <row r="489">
      <c r="A489" s="39">
        <f>IF($B489="","",COUNTA($B$4:$B489))</f>
        <v/>
      </c>
      <c r="B489" s="45" t="n"/>
      <c r="C489" s="46" t="n"/>
      <c r="D489" s="46" t="n"/>
      <c r="E489" s="46" t="n"/>
      <c r="F489" s="51" t="n"/>
      <c r="G489" s="47" t="n"/>
      <c r="H489" s="47" t="n"/>
      <c r="I489" s="43">
        <f>IF($B489="","",N($G489)-N($H489))</f>
        <v/>
      </c>
    </row>
    <row r="490">
      <c r="A490" s="39">
        <f>IF($B490="","",COUNTA($B$4:$B490))</f>
        <v/>
      </c>
      <c r="B490" s="40" t="n"/>
      <c r="C490" s="41" t="n"/>
      <c r="D490" s="41" t="n"/>
      <c r="E490" s="41" t="n"/>
      <c r="F490" s="50" t="n"/>
      <c r="G490" s="42" t="n"/>
      <c r="H490" s="42" t="n"/>
      <c r="I490" s="43">
        <f>IF($B490="","",N($G490)-N($H490))</f>
        <v/>
      </c>
    </row>
    <row r="491">
      <c r="A491" s="39">
        <f>IF($B491="","",COUNTA($B$4:$B491))</f>
        <v/>
      </c>
      <c r="B491" s="45" t="n"/>
      <c r="C491" s="46" t="n"/>
      <c r="D491" s="46" t="n"/>
      <c r="E491" s="46" t="n"/>
      <c r="F491" s="51" t="n"/>
      <c r="G491" s="47" t="n"/>
      <c r="H491" s="47" t="n"/>
      <c r="I491" s="43">
        <f>IF($B491="","",N($G491)-N($H491))</f>
        <v/>
      </c>
    </row>
    <row r="492">
      <c r="A492" s="39">
        <f>IF($B492="","",COUNTA($B$4:$B492))</f>
        <v/>
      </c>
      <c r="B492" s="40" t="n"/>
      <c r="C492" s="41" t="n"/>
      <c r="D492" s="41" t="n"/>
      <c r="E492" s="41" t="n"/>
      <c r="F492" s="50" t="n"/>
      <c r="G492" s="42" t="n"/>
      <c r="H492" s="42" t="n"/>
      <c r="I492" s="43">
        <f>IF($B492="","",N($G492)-N($H492))</f>
        <v/>
      </c>
    </row>
    <row r="493">
      <c r="A493" s="39">
        <f>IF($B493="","",COUNTA($B$4:$B493))</f>
        <v/>
      </c>
      <c r="B493" s="45" t="n"/>
      <c r="C493" s="46" t="n"/>
      <c r="D493" s="46" t="n"/>
      <c r="E493" s="46" t="n"/>
      <c r="F493" s="51" t="n"/>
      <c r="G493" s="47" t="n"/>
      <c r="H493" s="47" t="n"/>
      <c r="I493" s="43">
        <f>IF($B493="","",N($G493)-N($H493))</f>
        <v/>
      </c>
    </row>
    <row r="494">
      <c r="A494" s="39">
        <f>IF($B494="","",COUNTA($B$4:$B494))</f>
        <v/>
      </c>
      <c r="B494" s="40" t="n"/>
      <c r="C494" s="41" t="n"/>
      <c r="D494" s="41" t="n"/>
      <c r="E494" s="41" t="n"/>
      <c r="F494" s="50" t="n"/>
      <c r="G494" s="42" t="n"/>
      <c r="H494" s="42" t="n"/>
      <c r="I494" s="43">
        <f>IF($B494="","",N($G494)-N($H494))</f>
        <v/>
      </c>
    </row>
    <row r="495">
      <c r="A495" s="39">
        <f>IF($B495="","",COUNTA($B$4:$B495))</f>
        <v/>
      </c>
      <c r="B495" s="45" t="n"/>
      <c r="C495" s="46" t="n"/>
      <c r="D495" s="46" t="n"/>
      <c r="E495" s="46" t="n"/>
      <c r="F495" s="51" t="n"/>
      <c r="G495" s="47" t="n"/>
      <c r="H495" s="47" t="n"/>
      <c r="I495" s="43">
        <f>IF($B495="","",N($G495)-N($H495))</f>
        <v/>
      </c>
    </row>
    <row r="496">
      <c r="A496" s="39">
        <f>IF($B496="","",COUNTA($B$4:$B496))</f>
        <v/>
      </c>
      <c r="B496" s="40" t="n"/>
      <c r="C496" s="41" t="n"/>
      <c r="D496" s="41" t="n"/>
      <c r="E496" s="41" t="n"/>
      <c r="F496" s="50" t="n"/>
      <c r="G496" s="42" t="n"/>
      <c r="H496" s="42" t="n"/>
      <c r="I496" s="43">
        <f>IF($B496="","",N($G496)-N($H496))</f>
        <v/>
      </c>
    </row>
    <row r="497">
      <c r="A497" s="39">
        <f>IF($B497="","",COUNTA($B$4:$B497))</f>
        <v/>
      </c>
      <c r="B497" s="45" t="n"/>
      <c r="C497" s="46" t="n"/>
      <c r="D497" s="46" t="n"/>
      <c r="E497" s="46" t="n"/>
      <c r="F497" s="51" t="n"/>
      <c r="G497" s="47" t="n"/>
      <c r="H497" s="47" t="n"/>
      <c r="I497" s="43">
        <f>IF($B497="","",N($G497)-N($H497))</f>
        <v/>
      </c>
    </row>
    <row r="498">
      <c r="A498" s="39">
        <f>IF($B498="","",COUNTA($B$4:$B498))</f>
        <v/>
      </c>
      <c r="B498" s="40" t="n"/>
      <c r="C498" s="41" t="n"/>
      <c r="D498" s="41" t="n"/>
      <c r="E498" s="41" t="n"/>
      <c r="F498" s="50" t="n"/>
      <c r="G498" s="42" t="n"/>
      <c r="H498" s="42" t="n"/>
      <c r="I498" s="43">
        <f>IF($B498="","",N($G498)-N($H498))</f>
        <v/>
      </c>
    </row>
    <row r="499">
      <c r="A499" s="39">
        <f>IF($B499="","",COUNTA($B$4:$B499))</f>
        <v/>
      </c>
      <c r="B499" s="45" t="n"/>
      <c r="C499" s="46" t="n"/>
      <c r="D499" s="46" t="n"/>
      <c r="E499" s="46" t="n"/>
      <c r="F499" s="51" t="n"/>
      <c r="G499" s="47" t="n"/>
      <c r="H499" s="47" t="n"/>
      <c r="I499" s="43">
        <f>IF($B499="","",N($G499)-N($H499))</f>
        <v/>
      </c>
    </row>
    <row r="500">
      <c r="A500" s="39">
        <f>IF($B500="","",COUNTA($B$4:$B500))</f>
        <v/>
      </c>
      <c r="B500" s="40" t="n"/>
      <c r="C500" s="41" t="n"/>
      <c r="D500" s="41" t="n"/>
      <c r="E500" s="41" t="n"/>
      <c r="F500" s="50" t="n"/>
      <c r="G500" s="42" t="n"/>
      <c r="H500" s="42" t="n"/>
      <c r="I500" s="43">
        <f>IF($B500="","",N($G500)-N($H500))</f>
        <v/>
      </c>
    </row>
    <row r="501">
      <c r="A501" s="39">
        <f>IF($B501="","",COUNTA($B$4:$B501))</f>
        <v/>
      </c>
      <c r="B501" s="45" t="n"/>
      <c r="C501" s="46" t="n"/>
      <c r="D501" s="46" t="n"/>
      <c r="E501" s="46" t="n"/>
      <c r="F501" s="51" t="n"/>
      <c r="G501" s="47" t="n"/>
      <c r="H501" s="47" t="n"/>
      <c r="I501" s="43">
        <f>IF($B501="","",N($G501)-N($H501))</f>
        <v/>
      </c>
    </row>
    <row r="502">
      <c r="A502" s="39">
        <f>IF($B502="","",COUNTA($B$4:$B502))</f>
        <v/>
      </c>
      <c r="B502" s="40" t="n"/>
      <c r="C502" s="41" t="n"/>
      <c r="D502" s="41" t="n"/>
      <c r="E502" s="41" t="n"/>
      <c r="F502" s="50" t="n"/>
      <c r="G502" s="42" t="n"/>
      <c r="H502" s="42" t="n"/>
      <c r="I502" s="43">
        <f>IF($B502="","",N($G502)-N($H502))</f>
        <v/>
      </c>
    </row>
    <row r="503">
      <c r="A503" s="39">
        <f>IF($B503="","",COUNTA($B$4:$B503))</f>
        <v/>
      </c>
      <c r="B503" s="45" t="n"/>
      <c r="C503" s="46" t="n"/>
      <c r="D503" s="46" t="n"/>
      <c r="E503" s="46" t="n"/>
      <c r="F503" s="51" t="n"/>
      <c r="G503" s="47" t="n"/>
      <c r="H503" s="47" t="n"/>
      <c r="I503" s="43">
        <f>IF($B503="","",N($G503)-N($H503))</f>
        <v/>
      </c>
    </row>
    <row r="504">
      <c r="A504" s="39">
        <f>IF($B504="","",COUNTA($B$4:$B504))</f>
        <v/>
      </c>
      <c r="B504" s="40" t="n"/>
      <c r="C504" s="41" t="n"/>
      <c r="D504" s="41" t="n"/>
      <c r="E504" s="41" t="n"/>
      <c r="F504" s="50" t="n"/>
      <c r="G504" s="42" t="n"/>
      <c r="H504" s="42" t="n"/>
      <c r="I504" s="43">
        <f>IF($B504="","",N($G504)-N($H504))</f>
        <v/>
      </c>
    </row>
    <row r="505">
      <c r="A505" s="39">
        <f>IF($B505="","",COUNTA($B$4:$B505))</f>
        <v/>
      </c>
      <c r="B505" s="45" t="n"/>
      <c r="C505" s="46" t="n"/>
      <c r="D505" s="46" t="n"/>
      <c r="E505" s="46" t="n"/>
      <c r="F505" s="51" t="n"/>
      <c r="G505" s="47" t="n"/>
      <c r="H505" s="47" t="n"/>
      <c r="I505" s="43">
        <f>IF($B505="","",N($G505)-N($H505))</f>
        <v/>
      </c>
    </row>
    <row r="506">
      <c r="A506" s="39">
        <f>IF($B506="","",COUNTA($B$4:$B506))</f>
        <v/>
      </c>
      <c r="B506" s="40" t="n"/>
      <c r="C506" s="41" t="n"/>
      <c r="D506" s="41" t="n"/>
      <c r="E506" s="41" t="n"/>
      <c r="F506" s="50" t="n"/>
      <c r="G506" s="42" t="n"/>
      <c r="H506" s="42" t="n"/>
      <c r="I506" s="43">
        <f>IF($B506="","",N($G506)-N($H506))</f>
        <v/>
      </c>
    </row>
    <row r="507">
      <c r="A507" s="39">
        <f>IF($B507="","",COUNTA($B$4:$B507))</f>
        <v/>
      </c>
      <c r="B507" s="45" t="n"/>
      <c r="C507" s="46" t="n"/>
      <c r="D507" s="46" t="n"/>
      <c r="E507" s="46" t="n"/>
      <c r="F507" s="51" t="n"/>
      <c r="G507" s="47" t="n"/>
      <c r="H507" s="47" t="n"/>
      <c r="I507" s="43">
        <f>IF($B507="","",N($G507)-N($H507))</f>
        <v/>
      </c>
    </row>
    <row r="508">
      <c r="A508" s="39">
        <f>IF($B508="","",COUNTA($B$4:$B508))</f>
        <v/>
      </c>
      <c r="B508" s="40" t="n"/>
      <c r="C508" s="41" t="n"/>
      <c r="D508" s="41" t="n"/>
      <c r="E508" s="41" t="n"/>
      <c r="F508" s="50" t="n"/>
      <c r="G508" s="42" t="n"/>
      <c r="H508" s="42" t="n"/>
      <c r="I508" s="43">
        <f>IF($B508="","",N($G508)-N($H508))</f>
        <v/>
      </c>
    </row>
    <row r="509">
      <c r="A509" s="39">
        <f>IF($B509="","",COUNTA($B$4:$B509))</f>
        <v/>
      </c>
      <c r="B509" s="45" t="n"/>
      <c r="C509" s="46" t="n"/>
      <c r="D509" s="46" t="n"/>
      <c r="E509" s="46" t="n"/>
      <c r="F509" s="51" t="n"/>
      <c r="G509" s="47" t="n"/>
      <c r="H509" s="47" t="n"/>
      <c r="I509" s="43">
        <f>IF($B509="","",N($G509)-N($H509))</f>
        <v/>
      </c>
    </row>
    <row r="510">
      <c r="A510" s="39">
        <f>IF($B510="","",COUNTA($B$4:$B510))</f>
        <v/>
      </c>
      <c r="B510" s="40" t="n"/>
      <c r="C510" s="41" t="n"/>
      <c r="D510" s="41" t="n"/>
      <c r="E510" s="41" t="n"/>
      <c r="F510" s="50" t="n"/>
      <c r="G510" s="42" t="n"/>
      <c r="H510" s="42" t="n"/>
      <c r="I510" s="43">
        <f>IF($B510="","",N($G510)-N($H510))</f>
        <v/>
      </c>
    </row>
    <row r="511">
      <c r="A511" s="39">
        <f>IF($B511="","",COUNTA($B$4:$B511))</f>
        <v/>
      </c>
      <c r="B511" s="45" t="n"/>
      <c r="C511" s="46" t="n"/>
      <c r="D511" s="46" t="n"/>
      <c r="E511" s="46" t="n"/>
      <c r="F511" s="51" t="n"/>
      <c r="G511" s="47" t="n"/>
      <c r="H511" s="47" t="n"/>
      <c r="I511" s="43">
        <f>IF($B511="","",N($G511)-N($H511))</f>
        <v/>
      </c>
    </row>
    <row r="512">
      <c r="A512" s="39">
        <f>IF($B512="","",COUNTA($B$4:$B512))</f>
        <v/>
      </c>
      <c r="B512" s="40" t="n"/>
      <c r="C512" s="41" t="n"/>
      <c r="D512" s="41" t="n"/>
      <c r="E512" s="41" t="n"/>
      <c r="F512" s="50" t="n"/>
      <c r="G512" s="42" t="n"/>
      <c r="H512" s="42" t="n"/>
      <c r="I512" s="43">
        <f>IF($B512="","",N($G512)-N($H512))</f>
        <v/>
      </c>
    </row>
    <row r="513">
      <c r="A513" s="39">
        <f>IF($B513="","",COUNTA($B$4:$B513))</f>
        <v/>
      </c>
      <c r="B513" s="45" t="n"/>
      <c r="C513" s="46" t="n"/>
      <c r="D513" s="46" t="n"/>
      <c r="E513" s="46" t="n"/>
      <c r="F513" s="51" t="n"/>
      <c r="G513" s="47" t="n"/>
      <c r="H513" s="47" t="n"/>
      <c r="I513" s="43">
        <f>IF($B513="","",N($G513)-N($H513))</f>
        <v/>
      </c>
    </row>
    <row r="514">
      <c r="A514" s="39">
        <f>IF($B514="","",COUNTA($B$4:$B514))</f>
        <v/>
      </c>
      <c r="B514" s="40" t="n"/>
      <c r="C514" s="41" t="n"/>
      <c r="D514" s="41" t="n"/>
      <c r="E514" s="41" t="n"/>
      <c r="F514" s="50" t="n"/>
      <c r="G514" s="42" t="n"/>
      <c r="H514" s="42" t="n"/>
      <c r="I514" s="43">
        <f>IF($B514="","",N($G514)-N($H514))</f>
        <v/>
      </c>
    </row>
    <row r="515">
      <c r="A515" s="39">
        <f>IF($B515="","",COUNTA($B$4:$B515))</f>
        <v/>
      </c>
      <c r="B515" s="45" t="n"/>
      <c r="C515" s="46" t="n"/>
      <c r="D515" s="46" t="n"/>
      <c r="E515" s="46" t="n"/>
      <c r="F515" s="51" t="n"/>
      <c r="G515" s="47" t="n"/>
      <c r="H515" s="47" t="n"/>
      <c r="I515" s="43">
        <f>IF($B515="","",N($G515)-N($H515))</f>
        <v/>
      </c>
    </row>
    <row r="516">
      <c r="A516" s="39">
        <f>IF($B516="","",COUNTA($B$4:$B516))</f>
        <v/>
      </c>
      <c r="B516" s="40" t="n"/>
      <c r="C516" s="41" t="n"/>
      <c r="D516" s="41" t="n"/>
      <c r="E516" s="41" t="n"/>
      <c r="F516" s="50" t="n"/>
      <c r="G516" s="42" t="n"/>
      <c r="H516" s="42" t="n"/>
      <c r="I516" s="43">
        <f>IF($B516="","",N($G516)-N($H516))</f>
        <v/>
      </c>
    </row>
    <row r="517">
      <c r="A517" s="39">
        <f>IF($B517="","",COUNTA($B$4:$B517))</f>
        <v/>
      </c>
      <c r="B517" s="45" t="n"/>
      <c r="C517" s="46" t="n"/>
      <c r="D517" s="46" t="n"/>
      <c r="E517" s="46" t="n"/>
      <c r="F517" s="51" t="n"/>
      <c r="G517" s="47" t="n"/>
      <c r="H517" s="47" t="n"/>
      <c r="I517" s="43">
        <f>IF($B517="","",N($G517)-N($H517))</f>
        <v/>
      </c>
    </row>
    <row r="518">
      <c r="A518" s="39">
        <f>IF($B518="","",COUNTA($B$4:$B518))</f>
        <v/>
      </c>
      <c r="B518" s="40" t="n"/>
      <c r="C518" s="41" t="n"/>
      <c r="D518" s="41" t="n"/>
      <c r="E518" s="41" t="n"/>
      <c r="F518" s="50" t="n"/>
      <c r="G518" s="42" t="n"/>
      <c r="H518" s="42" t="n"/>
      <c r="I518" s="43">
        <f>IF($B518="","",N($G518)-N($H518))</f>
        <v/>
      </c>
    </row>
    <row r="519">
      <c r="A519" s="39">
        <f>IF($B519="","",COUNTA($B$4:$B519))</f>
        <v/>
      </c>
      <c r="B519" s="45" t="n"/>
      <c r="C519" s="46" t="n"/>
      <c r="D519" s="46" t="n"/>
      <c r="E519" s="46" t="n"/>
      <c r="F519" s="51" t="n"/>
      <c r="G519" s="47" t="n"/>
      <c r="H519" s="47" t="n"/>
      <c r="I519" s="43">
        <f>IF($B519="","",N($G519)-N($H519))</f>
        <v/>
      </c>
    </row>
    <row r="520">
      <c r="A520" s="39">
        <f>IF($B520="","",COUNTA($B$4:$B520))</f>
        <v/>
      </c>
      <c r="B520" s="40" t="n"/>
      <c r="C520" s="41" t="n"/>
      <c r="D520" s="41" t="n"/>
      <c r="E520" s="41" t="n"/>
      <c r="F520" s="50" t="n"/>
      <c r="G520" s="42" t="n"/>
      <c r="H520" s="42" t="n"/>
      <c r="I520" s="43">
        <f>IF($B520="","",N($G520)-N($H520))</f>
        <v/>
      </c>
    </row>
    <row r="521">
      <c r="A521" s="39">
        <f>IF($B521="","",COUNTA($B$4:$B521))</f>
        <v/>
      </c>
      <c r="B521" s="45" t="n"/>
      <c r="C521" s="46" t="n"/>
      <c r="D521" s="46" t="n"/>
      <c r="E521" s="46" t="n"/>
      <c r="F521" s="51" t="n"/>
      <c r="G521" s="47" t="n"/>
      <c r="H521" s="47" t="n"/>
      <c r="I521" s="43">
        <f>IF($B521="","",N($G521)-N($H521))</f>
        <v/>
      </c>
    </row>
    <row r="522">
      <c r="A522" s="39">
        <f>IF($B522="","",COUNTA($B$4:$B522))</f>
        <v/>
      </c>
      <c r="B522" s="40" t="n"/>
      <c r="C522" s="41" t="n"/>
      <c r="D522" s="41" t="n"/>
      <c r="E522" s="41" t="n"/>
      <c r="F522" s="50" t="n"/>
      <c r="G522" s="42" t="n"/>
      <c r="H522" s="42" t="n"/>
      <c r="I522" s="43">
        <f>IF($B522="","",N($G522)-N($H522))</f>
        <v/>
      </c>
    </row>
    <row r="523">
      <c r="A523" s="39">
        <f>IF($B523="","",COUNTA($B$4:$B523))</f>
        <v/>
      </c>
      <c r="B523" s="45" t="n"/>
      <c r="C523" s="46" t="n"/>
      <c r="D523" s="46" t="n"/>
      <c r="E523" s="46" t="n"/>
      <c r="F523" s="51" t="n"/>
      <c r="G523" s="47" t="n"/>
      <c r="H523" s="47" t="n"/>
      <c r="I523" s="43">
        <f>IF($B523="","",N($G523)-N($H523))</f>
        <v/>
      </c>
    </row>
    <row r="524">
      <c r="A524" s="39">
        <f>IF($B524="","",COUNTA($B$4:$B524))</f>
        <v/>
      </c>
      <c r="B524" s="40" t="n"/>
      <c r="C524" s="41" t="n"/>
      <c r="D524" s="41" t="n"/>
      <c r="E524" s="41" t="n"/>
      <c r="F524" s="50" t="n"/>
      <c r="G524" s="42" t="n"/>
      <c r="H524" s="42" t="n"/>
      <c r="I524" s="43">
        <f>IF($B524="","",N($G524)-N($H524))</f>
        <v/>
      </c>
    </row>
    <row r="525">
      <c r="A525" s="39">
        <f>IF($B525="","",COUNTA($B$4:$B525))</f>
        <v/>
      </c>
      <c r="B525" s="45" t="n"/>
      <c r="C525" s="46" t="n"/>
      <c r="D525" s="46" t="n"/>
      <c r="E525" s="46" t="n"/>
      <c r="F525" s="51" t="n"/>
      <c r="G525" s="47" t="n"/>
      <c r="H525" s="47" t="n"/>
      <c r="I525" s="43">
        <f>IF($B525="","",N($G525)-N($H525))</f>
        <v/>
      </c>
    </row>
    <row r="526">
      <c r="A526" s="39">
        <f>IF($B526="","",COUNTA($B$4:$B526))</f>
        <v/>
      </c>
      <c r="B526" s="40" t="n"/>
      <c r="C526" s="41" t="n"/>
      <c r="D526" s="41" t="n"/>
      <c r="E526" s="41" t="n"/>
      <c r="F526" s="50" t="n"/>
      <c r="G526" s="42" t="n"/>
      <c r="H526" s="42" t="n"/>
      <c r="I526" s="43">
        <f>IF($B526="","",N($G526)-N($H526))</f>
        <v/>
      </c>
    </row>
    <row r="527">
      <c r="A527" s="39">
        <f>IF($B527="","",COUNTA($B$4:$B527))</f>
        <v/>
      </c>
      <c r="B527" s="45" t="n"/>
      <c r="C527" s="46" t="n"/>
      <c r="D527" s="46" t="n"/>
      <c r="E527" s="46" t="n"/>
      <c r="F527" s="51" t="n"/>
      <c r="G527" s="47" t="n"/>
      <c r="H527" s="47" t="n"/>
      <c r="I527" s="43">
        <f>IF($B527="","",N($G527)-N($H527))</f>
        <v/>
      </c>
    </row>
    <row r="528">
      <c r="A528" s="39">
        <f>IF($B528="","",COUNTA($B$4:$B528))</f>
        <v/>
      </c>
      <c r="B528" s="40" t="n"/>
      <c r="C528" s="41" t="n"/>
      <c r="D528" s="41" t="n"/>
      <c r="E528" s="41" t="n"/>
      <c r="F528" s="50" t="n"/>
      <c r="G528" s="42" t="n"/>
      <c r="H528" s="42" t="n"/>
      <c r="I528" s="43">
        <f>IF($B528="","",N($G528)-N($H528))</f>
        <v/>
      </c>
    </row>
    <row r="529">
      <c r="A529" s="39">
        <f>IF($B529="","",COUNTA($B$4:$B529))</f>
        <v/>
      </c>
      <c r="B529" s="45" t="n"/>
      <c r="C529" s="46" t="n"/>
      <c r="D529" s="46" t="n"/>
      <c r="E529" s="46" t="n"/>
      <c r="F529" s="51" t="n"/>
      <c r="G529" s="47" t="n"/>
      <c r="H529" s="47" t="n"/>
      <c r="I529" s="43">
        <f>IF($B529="","",N($G529)-N($H529))</f>
        <v/>
      </c>
    </row>
    <row r="530">
      <c r="A530" s="39">
        <f>IF($B530="","",COUNTA($B$4:$B530))</f>
        <v/>
      </c>
      <c r="B530" s="40" t="n"/>
      <c r="C530" s="41" t="n"/>
      <c r="D530" s="41" t="n"/>
      <c r="E530" s="41" t="n"/>
      <c r="F530" s="50" t="n"/>
      <c r="G530" s="42" t="n"/>
      <c r="H530" s="42" t="n"/>
      <c r="I530" s="43">
        <f>IF($B530="","",N($G530)-N($H530))</f>
        <v/>
      </c>
    </row>
    <row r="531">
      <c r="A531" s="39">
        <f>IF($B531="","",COUNTA($B$4:$B531))</f>
        <v/>
      </c>
      <c r="B531" s="45" t="n"/>
      <c r="C531" s="46" t="n"/>
      <c r="D531" s="46" t="n"/>
      <c r="E531" s="46" t="n"/>
      <c r="F531" s="51" t="n"/>
      <c r="G531" s="47" t="n"/>
      <c r="H531" s="47" t="n"/>
      <c r="I531" s="43">
        <f>IF($B531="","",N($G531)-N($H531))</f>
        <v/>
      </c>
    </row>
    <row r="532">
      <c r="A532" s="39">
        <f>IF($B532="","",COUNTA($B$4:$B532))</f>
        <v/>
      </c>
      <c r="B532" s="40" t="n"/>
      <c r="C532" s="41" t="n"/>
      <c r="D532" s="41" t="n"/>
      <c r="E532" s="41" t="n"/>
      <c r="F532" s="50" t="n"/>
      <c r="G532" s="42" t="n"/>
      <c r="H532" s="42" t="n"/>
      <c r="I532" s="43">
        <f>IF($B532="","",N($G532)-N($H532))</f>
        <v/>
      </c>
    </row>
    <row r="533">
      <c r="A533" s="39">
        <f>IF($B533="","",COUNTA($B$4:$B533))</f>
        <v/>
      </c>
      <c r="B533" s="45" t="n"/>
      <c r="C533" s="46" t="n"/>
      <c r="D533" s="46" t="n"/>
      <c r="E533" s="46" t="n"/>
      <c r="F533" s="51" t="n"/>
      <c r="G533" s="47" t="n"/>
      <c r="H533" s="47" t="n"/>
      <c r="I533" s="43">
        <f>IF($B533="","",N($G533)-N($H533))</f>
        <v/>
      </c>
    </row>
    <row r="534">
      <c r="A534" s="39">
        <f>IF($B534="","",COUNTA($B$4:$B534))</f>
        <v/>
      </c>
      <c r="B534" s="40" t="n"/>
      <c r="C534" s="41" t="n"/>
      <c r="D534" s="41" t="n"/>
      <c r="E534" s="41" t="n"/>
      <c r="F534" s="50" t="n"/>
      <c r="G534" s="42" t="n"/>
      <c r="H534" s="42" t="n"/>
      <c r="I534" s="43">
        <f>IF($B534="","",N($G534)-N($H534))</f>
        <v/>
      </c>
    </row>
    <row r="535">
      <c r="A535" s="39">
        <f>IF($B535="","",COUNTA($B$4:$B535))</f>
        <v/>
      </c>
      <c r="B535" s="45" t="n"/>
      <c r="C535" s="46" t="n"/>
      <c r="D535" s="46" t="n"/>
      <c r="E535" s="46" t="n"/>
      <c r="F535" s="51" t="n"/>
      <c r="G535" s="47" t="n"/>
      <c r="H535" s="47" t="n"/>
      <c r="I535" s="43">
        <f>IF($B535="","",N($G535)-N($H535))</f>
        <v/>
      </c>
    </row>
    <row r="536">
      <c r="A536" s="39">
        <f>IF($B536="","",COUNTA($B$4:$B536))</f>
        <v/>
      </c>
      <c r="B536" s="40" t="n"/>
      <c r="C536" s="41" t="n"/>
      <c r="D536" s="41" t="n"/>
      <c r="E536" s="41" t="n"/>
      <c r="F536" s="50" t="n"/>
      <c r="G536" s="42" t="n"/>
      <c r="H536" s="42" t="n"/>
      <c r="I536" s="43">
        <f>IF($B536="","",N($G536)-N($H536))</f>
        <v/>
      </c>
    </row>
    <row r="537">
      <c r="A537" s="39">
        <f>IF($B537="","",COUNTA($B$4:$B537))</f>
        <v/>
      </c>
      <c r="B537" s="45" t="n"/>
      <c r="C537" s="46" t="n"/>
      <c r="D537" s="46" t="n"/>
      <c r="E537" s="46" t="n"/>
      <c r="F537" s="51" t="n"/>
      <c r="G537" s="47" t="n"/>
      <c r="H537" s="47" t="n"/>
      <c r="I537" s="43">
        <f>IF($B537="","",N($G537)-N($H537))</f>
        <v/>
      </c>
    </row>
    <row r="538">
      <c r="A538" s="39">
        <f>IF($B538="","",COUNTA($B$4:$B538))</f>
        <v/>
      </c>
      <c r="B538" s="40" t="n"/>
      <c r="C538" s="41" t="n"/>
      <c r="D538" s="41" t="n"/>
      <c r="E538" s="41" t="n"/>
      <c r="F538" s="50" t="n"/>
      <c r="G538" s="42" t="n"/>
      <c r="H538" s="42" t="n"/>
      <c r="I538" s="43">
        <f>IF($B538="","",N($G538)-N($H538))</f>
        <v/>
      </c>
    </row>
    <row r="539">
      <c r="A539" s="39">
        <f>IF($B539="","",COUNTA($B$4:$B539))</f>
        <v/>
      </c>
      <c r="B539" s="45" t="n"/>
      <c r="C539" s="46" t="n"/>
      <c r="D539" s="46" t="n"/>
      <c r="E539" s="46" t="n"/>
      <c r="F539" s="51" t="n"/>
      <c r="G539" s="47" t="n"/>
      <c r="H539" s="47" t="n"/>
      <c r="I539" s="43">
        <f>IF($B539="","",N($G539)-N($H539))</f>
        <v/>
      </c>
    </row>
    <row r="540">
      <c r="A540" s="39">
        <f>IF($B540="","",COUNTA($B$4:$B540))</f>
        <v/>
      </c>
      <c r="B540" s="40" t="n"/>
      <c r="C540" s="41" t="n"/>
      <c r="D540" s="41" t="n"/>
      <c r="E540" s="41" t="n"/>
      <c r="F540" s="50" t="n"/>
      <c r="G540" s="42" t="n"/>
      <c r="H540" s="42" t="n"/>
      <c r="I540" s="43">
        <f>IF($B540="","",N($G540)-N($H540))</f>
        <v/>
      </c>
    </row>
    <row r="541">
      <c r="A541" s="39">
        <f>IF($B541="","",COUNTA($B$4:$B541))</f>
        <v/>
      </c>
      <c r="B541" s="45" t="n"/>
      <c r="C541" s="46" t="n"/>
      <c r="D541" s="46" t="n"/>
      <c r="E541" s="46" t="n"/>
      <c r="F541" s="51" t="n"/>
      <c r="G541" s="47" t="n"/>
      <c r="H541" s="47" t="n"/>
      <c r="I541" s="43">
        <f>IF($B541="","",N($G541)-N($H541))</f>
        <v/>
      </c>
    </row>
    <row r="542">
      <c r="A542" s="39">
        <f>IF($B542="","",COUNTA($B$4:$B542))</f>
        <v/>
      </c>
      <c r="B542" s="40" t="n"/>
      <c r="C542" s="41" t="n"/>
      <c r="D542" s="41" t="n"/>
      <c r="E542" s="41" t="n"/>
      <c r="F542" s="50" t="n"/>
      <c r="G542" s="42" t="n"/>
      <c r="H542" s="42" t="n"/>
      <c r="I542" s="43">
        <f>IF($B542="","",N($G542)-N($H542))</f>
        <v/>
      </c>
    </row>
    <row r="543">
      <c r="A543" s="39">
        <f>IF($B543="","",COUNTA($B$4:$B543))</f>
        <v/>
      </c>
      <c r="B543" s="45" t="n"/>
      <c r="C543" s="46" t="n"/>
      <c r="D543" s="46" t="n"/>
      <c r="E543" s="46" t="n"/>
      <c r="F543" s="51" t="n"/>
      <c r="G543" s="47" t="n"/>
      <c r="H543" s="47" t="n"/>
      <c r="I543" s="43">
        <f>IF($B543="","",N($G543)-N($H543))</f>
        <v/>
      </c>
    </row>
    <row r="544">
      <c r="A544" s="39">
        <f>IF($B544="","",COUNTA($B$4:$B544))</f>
        <v/>
      </c>
      <c r="B544" s="40" t="n"/>
      <c r="C544" s="41" t="n"/>
      <c r="D544" s="41" t="n"/>
      <c r="E544" s="41" t="n"/>
      <c r="F544" s="50" t="n"/>
      <c r="G544" s="42" t="n"/>
      <c r="H544" s="42" t="n"/>
      <c r="I544" s="43">
        <f>IF($B544="","",N($G544)-N($H544))</f>
        <v/>
      </c>
    </row>
    <row r="545">
      <c r="A545" s="39">
        <f>IF($B545="","",COUNTA($B$4:$B545))</f>
        <v/>
      </c>
      <c r="B545" s="45" t="n"/>
      <c r="C545" s="46" t="n"/>
      <c r="D545" s="46" t="n"/>
      <c r="E545" s="46" t="n"/>
      <c r="F545" s="51" t="n"/>
      <c r="G545" s="47" t="n"/>
      <c r="H545" s="47" t="n"/>
      <c r="I545" s="43">
        <f>IF($B545="","",N($G545)-N($H545))</f>
        <v/>
      </c>
    </row>
    <row r="546">
      <c r="A546" s="39">
        <f>IF($B546="","",COUNTA($B$4:$B546))</f>
        <v/>
      </c>
      <c r="B546" s="40" t="n"/>
      <c r="C546" s="41" t="n"/>
      <c r="D546" s="41" t="n"/>
      <c r="E546" s="41" t="n"/>
      <c r="F546" s="50" t="n"/>
      <c r="G546" s="42" t="n"/>
      <c r="H546" s="42" t="n"/>
      <c r="I546" s="43">
        <f>IF($B546="","",N($G546)-N($H546))</f>
        <v/>
      </c>
    </row>
    <row r="547">
      <c r="A547" s="39">
        <f>IF($B547="","",COUNTA($B$4:$B547))</f>
        <v/>
      </c>
      <c r="B547" s="45" t="n"/>
      <c r="C547" s="46" t="n"/>
      <c r="D547" s="46" t="n"/>
      <c r="E547" s="46" t="n"/>
      <c r="F547" s="51" t="n"/>
      <c r="G547" s="47" t="n"/>
      <c r="H547" s="47" t="n"/>
      <c r="I547" s="43">
        <f>IF($B547="","",N($G547)-N($H547))</f>
        <v/>
      </c>
    </row>
    <row r="548">
      <c r="A548" s="39">
        <f>IF($B548="","",COUNTA($B$4:$B548))</f>
        <v/>
      </c>
      <c r="B548" s="40" t="n"/>
      <c r="C548" s="41" t="n"/>
      <c r="D548" s="41" t="n"/>
      <c r="E548" s="41" t="n"/>
      <c r="F548" s="50" t="n"/>
      <c r="G548" s="42" t="n"/>
      <c r="H548" s="42" t="n"/>
      <c r="I548" s="43">
        <f>IF($B548="","",N($G548)-N($H548))</f>
        <v/>
      </c>
    </row>
    <row r="549">
      <c r="A549" s="39">
        <f>IF($B549="","",COUNTA($B$4:$B549))</f>
        <v/>
      </c>
      <c r="B549" s="45" t="n"/>
      <c r="C549" s="46" t="n"/>
      <c r="D549" s="46" t="n"/>
      <c r="E549" s="46" t="n"/>
      <c r="F549" s="51" t="n"/>
      <c r="G549" s="47" t="n"/>
      <c r="H549" s="47" t="n"/>
      <c r="I549" s="43">
        <f>IF($B549="","",N($G549)-N($H549))</f>
        <v/>
      </c>
    </row>
    <row r="550">
      <c r="A550" s="39">
        <f>IF($B550="","",COUNTA($B$4:$B550))</f>
        <v/>
      </c>
      <c r="B550" s="40" t="n"/>
      <c r="C550" s="41" t="n"/>
      <c r="D550" s="41" t="n"/>
      <c r="E550" s="41" t="n"/>
      <c r="F550" s="50" t="n"/>
      <c r="G550" s="42" t="n"/>
      <c r="H550" s="42" t="n"/>
      <c r="I550" s="43">
        <f>IF($B550="","",N($G550)-N($H550))</f>
        <v/>
      </c>
    </row>
    <row r="551">
      <c r="A551" s="39">
        <f>IF($B551="","",COUNTA($B$4:$B551))</f>
        <v/>
      </c>
      <c r="B551" s="45" t="n"/>
      <c r="C551" s="46" t="n"/>
      <c r="D551" s="46" t="n"/>
      <c r="E551" s="46" t="n"/>
      <c r="F551" s="51" t="n"/>
      <c r="G551" s="47" t="n"/>
      <c r="H551" s="47" t="n"/>
      <c r="I551" s="43">
        <f>IF($B551="","",N($G551)-N($H551))</f>
        <v/>
      </c>
    </row>
    <row r="552">
      <c r="A552" s="39">
        <f>IF($B552="","",COUNTA($B$4:$B552))</f>
        <v/>
      </c>
      <c r="B552" s="40" t="n"/>
      <c r="C552" s="41" t="n"/>
      <c r="D552" s="41" t="n"/>
      <c r="E552" s="41" t="n"/>
      <c r="F552" s="50" t="n"/>
      <c r="G552" s="42" t="n"/>
      <c r="H552" s="42" t="n"/>
      <c r="I552" s="43">
        <f>IF($B552="","",N($G552)-N($H552))</f>
        <v/>
      </c>
    </row>
    <row r="553">
      <c r="A553" s="39">
        <f>IF($B553="","",COUNTA($B$4:$B553))</f>
        <v/>
      </c>
      <c r="B553" s="45" t="n"/>
      <c r="C553" s="46" t="n"/>
      <c r="D553" s="46" t="n"/>
      <c r="E553" s="46" t="n"/>
      <c r="F553" s="51" t="n"/>
      <c r="G553" s="47" t="n"/>
      <c r="H553" s="47" t="n"/>
      <c r="I553" s="43">
        <f>IF($B553="","",N($G553)-N($H553))</f>
        <v/>
      </c>
    </row>
    <row r="554">
      <c r="A554" s="39">
        <f>IF($B554="","",COUNTA($B$4:$B554))</f>
        <v/>
      </c>
      <c r="B554" s="40" t="n"/>
      <c r="C554" s="41" t="n"/>
      <c r="D554" s="41" t="n"/>
      <c r="E554" s="41" t="n"/>
      <c r="F554" s="50" t="n"/>
      <c r="G554" s="42" t="n"/>
      <c r="H554" s="42" t="n"/>
      <c r="I554" s="43">
        <f>IF($B554="","",N($G554)-N($H554))</f>
        <v/>
      </c>
    </row>
    <row r="555">
      <c r="A555" s="39">
        <f>IF($B555="","",COUNTA($B$4:$B555))</f>
        <v/>
      </c>
      <c r="B555" s="45" t="n"/>
      <c r="C555" s="46" t="n"/>
      <c r="D555" s="46" t="n"/>
      <c r="E555" s="46" t="n"/>
      <c r="F555" s="51" t="n"/>
      <c r="G555" s="47" t="n"/>
      <c r="H555" s="47" t="n"/>
      <c r="I555" s="43">
        <f>IF($B555="","",N($G555)-N($H555))</f>
        <v/>
      </c>
    </row>
    <row r="556">
      <c r="A556" s="39">
        <f>IF($B556="","",COUNTA($B$4:$B556))</f>
        <v/>
      </c>
      <c r="B556" s="40" t="n"/>
      <c r="C556" s="41" t="n"/>
      <c r="D556" s="41" t="n"/>
      <c r="E556" s="41" t="n"/>
      <c r="F556" s="50" t="n"/>
      <c r="G556" s="42" t="n"/>
      <c r="H556" s="42" t="n"/>
      <c r="I556" s="43">
        <f>IF($B556="","",N($G556)-N($H556))</f>
        <v/>
      </c>
    </row>
    <row r="557">
      <c r="A557" s="39">
        <f>IF($B557="","",COUNTA($B$4:$B557))</f>
        <v/>
      </c>
      <c r="B557" s="45" t="n"/>
      <c r="C557" s="46" t="n"/>
      <c r="D557" s="46" t="n"/>
      <c r="E557" s="46" t="n"/>
      <c r="F557" s="51" t="n"/>
      <c r="G557" s="47" t="n"/>
      <c r="H557" s="47" t="n"/>
      <c r="I557" s="43">
        <f>IF($B557="","",N($G557)-N($H557))</f>
        <v/>
      </c>
    </row>
    <row r="558">
      <c r="A558" s="39">
        <f>IF($B558="","",COUNTA($B$4:$B558))</f>
        <v/>
      </c>
      <c r="B558" s="40" t="n"/>
      <c r="C558" s="41" t="n"/>
      <c r="D558" s="41" t="n"/>
      <c r="E558" s="41" t="n"/>
      <c r="F558" s="50" t="n"/>
      <c r="G558" s="42" t="n"/>
      <c r="H558" s="42" t="n"/>
      <c r="I558" s="43">
        <f>IF($B558="","",N($G558)-N($H558))</f>
        <v/>
      </c>
    </row>
    <row r="559">
      <c r="A559" s="39">
        <f>IF($B559="","",COUNTA($B$4:$B559))</f>
        <v/>
      </c>
      <c r="B559" s="45" t="n"/>
      <c r="C559" s="46" t="n"/>
      <c r="D559" s="46" t="n"/>
      <c r="E559" s="46" t="n"/>
      <c r="F559" s="51" t="n"/>
      <c r="G559" s="47" t="n"/>
      <c r="H559" s="47" t="n"/>
      <c r="I559" s="43">
        <f>IF($B559="","",N($G559)-N($H559))</f>
        <v/>
      </c>
    </row>
    <row r="560">
      <c r="A560" s="39">
        <f>IF($B560="","",COUNTA($B$4:$B560))</f>
        <v/>
      </c>
      <c r="B560" s="40" t="n"/>
      <c r="C560" s="41" t="n"/>
      <c r="D560" s="41" t="n"/>
      <c r="E560" s="41" t="n"/>
      <c r="F560" s="50" t="n"/>
      <c r="G560" s="42" t="n"/>
      <c r="H560" s="42" t="n"/>
      <c r="I560" s="43">
        <f>IF($B560="","",N($G560)-N($H560))</f>
        <v/>
      </c>
    </row>
    <row r="561">
      <c r="A561" s="39">
        <f>IF($B561="","",COUNTA($B$4:$B561))</f>
        <v/>
      </c>
      <c r="B561" s="45" t="n"/>
      <c r="C561" s="46" t="n"/>
      <c r="D561" s="46" t="n"/>
      <c r="E561" s="46" t="n"/>
      <c r="F561" s="51" t="n"/>
      <c r="G561" s="47" t="n"/>
      <c r="H561" s="47" t="n"/>
      <c r="I561" s="43">
        <f>IF($B561="","",N($G561)-N($H561))</f>
        <v/>
      </c>
    </row>
    <row r="562">
      <c r="A562" s="39">
        <f>IF($B562="","",COUNTA($B$4:$B562))</f>
        <v/>
      </c>
      <c r="B562" s="40" t="n"/>
      <c r="C562" s="41" t="n"/>
      <c r="D562" s="41" t="n"/>
      <c r="E562" s="41" t="n"/>
      <c r="F562" s="50" t="n"/>
      <c r="G562" s="42" t="n"/>
      <c r="H562" s="42" t="n"/>
      <c r="I562" s="43">
        <f>IF($B562="","",N($G562)-N($H562))</f>
        <v/>
      </c>
    </row>
    <row r="563">
      <c r="A563" s="39">
        <f>IF($B563="","",COUNTA($B$4:$B563))</f>
        <v/>
      </c>
      <c r="B563" s="45" t="n"/>
      <c r="C563" s="46" t="n"/>
      <c r="D563" s="46" t="n"/>
      <c r="E563" s="46" t="n"/>
      <c r="F563" s="51" t="n"/>
      <c r="G563" s="47" t="n"/>
      <c r="H563" s="47" t="n"/>
      <c r="I563" s="43">
        <f>IF($B563="","",N($G563)-N($H563))</f>
        <v/>
      </c>
    </row>
    <row r="564">
      <c r="A564" s="39">
        <f>IF($B564="","",COUNTA($B$4:$B564))</f>
        <v/>
      </c>
      <c r="B564" s="40" t="n"/>
      <c r="C564" s="41" t="n"/>
      <c r="D564" s="41" t="n"/>
      <c r="E564" s="41" t="n"/>
      <c r="F564" s="50" t="n"/>
      <c r="G564" s="42" t="n"/>
      <c r="H564" s="42" t="n"/>
      <c r="I564" s="43">
        <f>IF($B564="","",N($G564)-N($H564))</f>
        <v/>
      </c>
    </row>
    <row r="565">
      <c r="A565" s="39">
        <f>IF($B565="","",COUNTA($B$4:$B565))</f>
        <v/>
      </c>
      <c r="B565" s="45" t="n"/>
      <c r="C565" s="46" t="n"/>
      <c r="D565" s="46" t="n"/>
      <c r="E565" s="46" t="n"/>
      <c r="F565" s="51" t="n"/>
      <c r="G565" s="47" t="n"/>
      <c r="H565" s="47" t="n"/>
      <c r="I565" s="43">
        <f>IF($B565="","",N($G565)-N($H565))</f>
        <v/>
      </c>
    </row>
    <row r="566">
      <c r="A566" s="39">
        <f>IF($B566="","",COUNTA($B$4:$B566))</f>
        <v/>
      </c>
      <c r="B566" s="40" t="n"/>
      <c r="C566" s="41" t="n"/>
      <c r="D566" s="41" t="n"/>
      <c r="E566" s="41" t="n"/>
      <c r="F566" s="50" t="n"/>
      <c r="G566" s="42" t="n"/>
      <c r="H566" s="42" t="n"/>
      <c r="I566" s="43">
        <f>IF($B566="","",N($G566)-N($H566))</f>
        <v/>
      </c>
    </row>
    <row r="567">
      <c r="A567" s="39">
        <f>IF($B567="","",COUNTA($B$4:$B567))</f>
        <v/>
      </c>
      <c r="B567" s="45" t="n"/>
      <c r="C567" s="46" t="n"/>
      <c r="D567" s="46" t="n"/>
      <c r="E567" s="46" t="n"/>
      <c r="F567" s="51" t="n"/>
      <c r="G567" s="47" t="n"/>
      <c r="H567" s="47" t="n"/>
      <c r="I567" s="43">
        <f>IF($B567="","",N($G567)-N($H567))</f>
        <v/>
      </c>
    </row>
    <row r="568">
      <c r="A568" s="39">
        <f>IF($B568="","",COUNTA($B$4:$B568))</f>
        <v/>
      </c>
      <c r="B568" s="40" t="n"/>
      <c r="C568" s="41" t="n"/>
      <c r="D568" s="41" t="n"/>
      <c r="E568" s="41" t="n"/>
      <c r="F568" s="50" t="n"/>
      <c r="G568" s="42" t="n"/>
      <c r="H568" s="42" t="n"/>
      <c r="I568" s="43">
        <f>IF($B568="","",N($G568)-N($H568))</f>
        <v/>
      </c>
    </row>
    <row r="569">
      <c r="A569" s="39">
        <f>IF($B569="","",COUNTA($B$4:$B569))</f>
        <v/>
      </c>
      <c r="B569" s="45" t="n"/>
      <c r="C569" s="46" t="n"/>
      <c r="D569" s="46" t="n"/>
      <c r="E569" s="46" t="n"/>
      <c r="F569" s="51" t="n"/>
      <c r="G569" s="47" t="n"/>
      <c r="H569" s="47" t="n"/>
      <c r="I569" s="43">
        <f>IF($B569="","",N($G569)-N($H569))</f>
        <v/>
      </c>
    </row>
    <row r="570">
      <c r="A570" s="39">
        <f>IF($B570="","",COUNTA($B$4:$B570))</f>
        <v/>
      </c>
      <c r="B570" s="40" t="n"/>
      <c r="C570" s="41" t="n"/>
      <c r="D570" s="41" t="n"/>
      <c r="E570" s="41" t="n"/>
      <c r="F570" s="50" t="n"/>
      <c r="G570" s="42" t="n"/>
      <c r="H570" s="42" t="n"/>
      <c r="I570" s="43">
        <f>IF($B570="","",N($G570)-N($H570))</f>
        <v/>
      </c>
    </row>
    <row r="571">
      <c r="A571" s="39">
        <f>IF($B571="","",COUNTA($B$4:$B571))</f>
        <v/>
      </c>
      <c r="B571" s="45" t="n"/>
      <c r="C571" s="46" t="n"/>
      <c r="D571" s="46" t="n"/>
      <c r="E571" s="46" t="n"/>
      <c r="F571" s="51" t="n"/>
      <c r="G571" s="47" t="n"/>
      <c r="H571" s="47" t="n"/>
      <c r="I571" s="43">
        <f>IF($B571="","",N($G571)-N($H571))</f>
        <v/>
      </c>
    </row>
    <row r="572">
      <c r="A572" s="39">
        <f>IF($B572="","",COUNTA($B$4:$B572))</f>
        <v/>
      </c>
      <c r="B572" s="40" t="n"/>
      <c r="C572" s="41" t="n"/>
      <c r="D572" s="41" t="n"/>
      <c r="E572" s="41" t="n"/>
      <c r="F572" s="50" t="n"/>
      <c r="G572" s="42" t="n"/>
      <c r="H572" s="42" t="n"/>
      <c r="I572" s="43">
        <f>IF($B572="","",N($G572)-N($H572))</f>
        <v/>
      </c>
    </row>
    <row r="573">
      <c r="A573" s="39">
        <f>IF($B573="","",COUNTA($B$4:$B573))</f>
        <v/>
      </c>
      <c r="B573" s="45" t="n"/>
      <c r="C573" s="46" t="n"/>
      <c r="D573" s="46" t="n"/>
      <c r="E573" s="46" t="n"/>
      <c r="F573" s="51" t="n"/>
      <c r="G573" s="47" t="n"/>
      <c r="H573" s="47" t="n"/>
      <c r="I573" s="43">
        <f>IF($B573="","",N($G573)-N($H573))</f>
        <v/>
      </c>
    </row>
    <row r="574">
      <c r="A574" s="39">
        <f>IF($B574="","",COUNTA($B$4:$B574))</f>
        <v/>
      </c>
      <c r="B574" s="40" t="n"/>
      <c r="C574" s="41" t="n"/>
      <c r="D574" s="41" t="n"/>
      <c r="E574" s="41" t="n"/>
      <c r="F574" s="50" t="n"/>
      <c r="G574" s="42" t="n"/>
      <c r="H574" s="42" t="n"/>
      <c r="I574" s="43">
        <f>IF($B574="","",N($G574)-N($H574))</f>
        <v/>
      </c>
    </row>
    <row r="575">
      <c r="A575" s="39">
        <f>IF($B575="","",COUNTA($B$4:$B575))</f>
        <v/>
      </c>
      <c r="B575" s="45" t="n"/>
      <c r="C575" s="46" t="n"/>
      <c r="D575" s="46" t="n"/>
      <c r="E575" s="46" t="n"/>
      <c r="F575" s="51" t="n"/>
      <c r="G575" s="47" t="n"/>
      <c r="H575" s="47" t="n"/>
      <c r="I575" s="43">
        <f>IF($B575="","",N($G575)-N($H575))</f>
        <v/>
      </c>
    </row>
    <row r="576">
      <c r="A576" s="39">
        <f>IF($B576="","",COUNTA($B$4:$B576))</f>
        <v/>
      </c>
      <c r="B576" s="40" t="n"/>
      <c r="C576" s="41" t="n"/>
      <c r="D576" s="41" t="n"/>
      <c r="E576" s="41" t="n"/>
      <c r="F576" s="50" t="n"/>
      <c r="G576" s="42" t="n"/>
      <c r="H576" s="42" t="n"/>
      <c r="I576" s="43">
        <f>IF($B576="","",N($G576)-N($H576))</f>
        <v/>
      </c>
    </row>
    <row r="577">
      <c r="A577" s="39">
        <f>IF($B577="","",COUNTA($B$4:$B577))</f>
        <v/>
      </c>
      <c r="B577" s="45" t="n"/>
      <c r="C577" s="46" t="n"/>
      <c r="D577" s="46" t="n"/>
      <c r="E577" s="46" t="n"/>
      <c r="F577" s="51" t="n"/>
      <c r="G577" s="47" t="n"/>
      <c r="H577" s="47" t="n"/>
      <c r="I577" s="43">
        <f>IF($B577="","",N($G577)-N($H577))</f>
        <v/>
      </c>
    </row>
    <row r="578">
      <c r="A578" s="39">
        <f>IF($B578="","",COUNTA($B$4:$B578))</f>
        <v/>
      </c>
      <c r="B578" s="40" t="n"/>
      <c r="C578" s="41" t="n"/>
      <c r="D578" s="41" t="n"/>
      <c r="E578" s="41" t="n"/>
      <c r="F578" s="50" t="n"/>
      <c r="G578" s="42" t="n"/>
      <c r="H578" s="42" t="n"/>
      <c r="I578" s="43">
        <f>IF($B578="","",N($G578)-N($H578))</f>
        <v/>
      </c>
    </row>
    <row r="579">
      <c r="A579" s="39">
        <f>IF($B579="","",COUNTA($B$4:$B579))</f>
        <v/>
      </c>
      <c r="B579" s="45" t="n"/>
      <c r="C579" s="46" t="n"/>
      <c r="D579" s="46" t="n"/>
      <c r="E579" s="46" t="n"/>
      <c r="F579" s="51" t="n"/>
      <c r="G579" s="47" t="n"/>
      <c r="H579" s="47" t="n"/>
      <c r="I579" s="43">
        <f>IF($B579="","",N($G579)-N($H579))</f>
        <v/>
      </c>
    </row>
    <row r="580">
      <c r="A580" s="39">
        <f>IF($B580="","",COUNTA($B$4:$B580))</f>
        <v/>
      </c>
      <c r="B580" s="40" t="n"/>
      <c r="C580" s="41" t="n"/>
      <c r="D580" s="41" t="n"/>
      <c r="E580" s="41" t="n"/>
      <c r="F580" s="50" t="n"/>
      <c r="G580" s="42" t="n"/>
      <c r="H580" s="42" t="n"/>
      <c r="I580" s="43">
        <f>IF($B580="","",N($G580)-N($H580))</f>
        <v/>
      </c>
    </row>
    <row r="581">
      <c r="A581" s="39">
        <f>IF($B581="","",COUNTA($B$4:$B581))</f>
        <v/>
      </c>
      <c r="B581" s="45" t="n"/>
      <c r="C581" s="46" t="n"/>
      <c r="D581" s="46" t="n"/>
      <c r="E581" s="46" t="n"/>
      <c r="F581" s="51" t="n"/>
      <c r="G581" s="47" t="n"/>
      <c r="H581" s="47" t="n"/>
      <c r="I581" s="43">
        <f>IF($B581="","",N($G581)-N($H581))</f>
        <v/>
      </c>
    </row>
    <row r="582">
      <c r="A582" s="39">
        <f>IF($B582="","",COUNTA($B$4:$B582))</f>
        <v/>
      </c>
      <c r="B582" s="40" t="n"/>
      <c r="C582" s="41" t="n"/>
      <c r="D582" s="41" t="n"/>
      <c r="E582" s="41" t="n"/>
      <c r="F582" s="50" t="n"/>
      <c r="G582" s="42" t="n"/>
      <c r="H582" s="42" t="n"/>
      <c r="I582" s="43">
        <f>IF($B582="","",N($G582)-N($H582))</f>
        <v/>
      </c>
    </row>
    <row r="583">
      <c r="A583" s="39">
        <f>IF($B583="","",COUNTA($B$4:$B583))</f>
        <v/>
      </c>
      <c r="B583" s="45" t="n"/>
      <c r="C583" s="46" t="n"/>
      <c r="D583" s="46" t="n"/>
      <c r="E583" s="46" t="n"/>
      <c r="F583" s="51" t="n"/>
      <c r="G583" s="47" t="n"/>
      <c r="H583" s="47" t="n"/>
      <c r="I583" s="43">
        <f>IF($B583="","",N($G583)-N($H583))</f>
        <v/>
      </c>
    </row>
    <row r="584">
      <c r="A584" s="39">
        <f>IF($B584="","",COUNTA($B$4:$B584))</f>
        <v/>
      </c>
      <c r="B584" s="40" t="n"/>
      <c r="C584" s="41" t="n"/>
      <c r="D584" s="41" t="n"/>
      <c r="E584" s="41" t="n"/>
      <c r="F584" s="50" t="n"/>
      <c r="G584" s="42" t="n"/>
      <c r="H584" s="42" t="n"/>
      <c r="I584" s="43">
        <f>IF($B584="","",N($G584)-N($H584))</f>
        <v/>
      </c>
    </row>
    <row r="585">
      <c r="A585" s="39">
        <f>IF($B585="","",COUNTA($B$4:$B585))</f>
        <v/>
      </c>
      <c r="B585" s="45" t="n"/>
      <c r="C585" s="46" t="n"/>
      <c r="D585" s="46" t="n"/>
      <c r="E585" s="46" t="n"/>
      <c r="F585" s="51" t="n"/>
      <c r="G585" s="47" t="n"/>
      <c r="H585" s="47" t="n"/>
      <c r="I585" s="43">
        <f>IF($B585="","",N($G585)-N($H585))</f>
        <v/>
      </c>
    </row>
    <row r="586">
      <c r="A586" s="39">
        <f>IF($B586="","",COUNTA($B$4:$B586))</f>
        <v/>
      </c>
      <c r="B586" s="40" t="n"/>
      <c r="C586" s="41" t="n"/>
      <c r="D586" s="41" t="n"/>
      <c r="E586" s="41" t="n"/>
      <c r="F586" s="50" t="n"/>
      <c r="G586" s="42" t="n"/>
      <c r="H586" s="42" t="n"/>
      <c r="I586" s="43">
        <f>IF($B586="","",N($G586)-N($H586))</f>
        <v/>
      </c>
    </row>
    <row r="587">
      <c r="A587" s="39">
        <f>IF($B587="","",COUNTA($B$4:$B587))</f>
        <v/>
      </c>
      <c r="B587" s="45" t="n"/>
      <c r="C587" s="46" t="n"/>
      <c r="D587" s="46" t="n"/>
      <c r="E587" s="46" t="n"/>
      <c r="F587" s="51" t="n"/>
      <c r="G587" s="47" t="n"/>
      <c r="H587" s="47" t="n"/>
      <c r="I587" s="43">
        <f>IF($B587="","",N($G587)-N($H587))</f>
        <v/>
      </c>
    </row>
    <row r="588">
      <c r="A588" s="39">
        <f>IF($B588="","",COUNTA($B$4:$B588))</f>
        <v/>
      </c>
      <c r="B588" s="40" t="n"/>
      <c r="C588" s="41" t="n"/>
      <c r="D588" s="41" t="n"/>
      <c r="E588" s="41" t="n"/>
      <c r="F588" s="50" t="n"/>
      <c r="G588" s="42" t="n"/>
      <c r="H588" s="42" t="n"/>
      <c r="I588" s="43">
        <f>IF($B588="","",N($G588)-N($H588))</f>
        <v/>
      </c>
    </row>
    <row r="589">
      <c r="A589" s="39">
        <f>IF($B589="","",COUNTA($B$4:$B589))</f>
        <v/>
      </c>
      <c r="B589" s="45" t="n"/>
      <c r="C589" s="46" t="n"/>
      <c r="D589" s="46" t="n"/>
      <c r="E589" s="46" t="n"/>
      <c r="F589" s="51" t="n"/>
      <c r="G589" s="47" t="n"/>
      <c r="H589" s="47" t="n"/>
      <c r="I589" s="43">
        <f>IF($B589="","",N($G589)-N($H589))</f>
        <v/>
      </c>
    </row>
    <row r="590">
      <c r="A590" s="39">
        <f>IF($B590="","",COUNTA($B$4:$B590))</f>
        <v/>
      </c>
      <c r="B590" s="40" t="n"/>
      <c r="C590" s="41" t="n"/>
      <c r="D590" s="41" t="n"/>
      <c r="E590" s="41" t="n"/>
      <c r="F590" s="50" t="n"/>
      <c r="G590" s="42" t="n"/>
      <c r="H590" s="42" t="n"/>
      <c r="I590" s="43">
        <f>IF($B590="","",N($G590)-N($H590))</f>
        <v/>
      </c>
    </row>
    <row r="591">
      <c r="A591" s="39">
        <f>IF($B591="","",COUNTA($B$4:$B591))</f>
        <v/>
      </c>
      <c r="B591" s="45" t="n"/>
      <c r="C591" s="46" t="n"/>
      <c r="D591" s="46" t="n"/>
      <c r="E591" s="46" t="n"/>
      <c r="F591" s="51" t="n"/>
      <c r="G591" s="47" t="n"/>
      <c r="H591" s="47" t="n"/>
      <c r="I591" s="43">
        <f>IF($B591="","",N($G591)-N($H591))</f>
        <v/>
      </c>
    </row>
    <row r="592">
      <c r="A592" s="39">
        <f>IF($B592="","",COUNTA($B$4:$B592))</f>
        <v/>
      </c>
      <c r="B592" s="40" t="n"/>
      <c r="C592" s="41" t="n"/>
      <c r="D592" s="41" t="n"/>
      <c r="E592" s="41" t="n"/>
      <c r="F592" s="50" t="n"/>
      <c r="G592" s="42" t="n"/>
      <c r="H592" s="42" t="n"/>
      <c r="I592" s="43">
        <f>IF($B592="","",N($G592)-N($H592))</f>
        <v/>
      </c>
    </row>
    <row r="593">
      <c r="A593" s="39">
        <f>IF($B593="","",COUNTA($B$4:$B593))</f>
        <v/>
      </c>
      <c r="B593" s="45" t="n"/>
      <c r="C593" s="46" t="n"/>
      <c r="D593" s="46" t="n"/>
      <c r="E593" s="46" t="n"/>
      <c r="F593" s="51" t="n"/>
      <c r="G593" s="47" t="n"/>
      <c r="H593" s="47" t="n"/>
      <c r="I593" s="43">
        <f>IF($B593="","",N($G593)-N($H593))</f>
        <v/>
      </c>
    </row>
    <row r="594">
      <c r="A594" s="39">
        <f>IF($B594="","",COUNTA($B$4:$B594))</f>
        <v/>
      </c>
      <c r="B594" s="40" t="n"/>
      <c r="C594" s="41" t="n"/>
      <c r="D594" s="41" t="n"/>
      <c r="E594" s="41" t="n"/>
      <c r="F594" s="50" t="n"/>
      <c r="G594" s="42" t="n"/>
      <c r="H594" s="42" t="n"/>
      <c r="I594" s="43">
        <f>IF($B594="","",N($G594)-N($H594))</f>
        <v/>
      </c>
    </row>
    <row r="595">
      <c r="A595" s="39">
        <f>IF($B595="","",COUNTA($B$4:$B595))</f>
        <v/>
      </c>
      <c r="B595" s="45" t="n"/>
      <c r="C595" s="46" t="n"/>
      <c r="D595" s="46" t="n"/>
      <c r="E595" s="46" t="n"/>
      <c r="F595" s="51" t="n"/>
      <c r="G595" s="47" t="n"/>
      <c r="H595" s="47" t="n"/>
      <c r="I595" s="43">
        <f>IF($B595="","",N($G595)-N($H595))</f>
        <v/>
      </c>
    </row>
    <row r="596">
      <c r="A596" s="39">
        <f>IF($B596="","",COUNTA($B$4:$B596))</f>
        <v/>
      </c>
      <c r="B596" s="40" t="n"/>
      <c r="C596" s="41" t="n"/>
      <c r="D596" s="41" t="n"/>
      <c r="E596" s="41" t="n"/>
      <c r="F596" s="50" t="n"/>
      <c r="G596" s="42" t="n"/>
      <c r="H596" s="42" t="n"/>
      <c r="I596" s="43">
        <f>IF($B596="","",N($G596)-N($H596))</f>
        <v/>
      </c>
    </row>
    <row r="597">
      <c r="A597" s="39">
        <f>IF($B597="","",COUNTA($B$4:$B597))</f>
        <v/>
      </c>
      <c r="B597" s="45" t="n"/>
      <c r="C597" s="46" t="n"/>
      <c r="D597" s="46" t="n"/>
      <c r="E597" s="46" t="n"/>
      <c r="F597" s="51" t="n"/>
      <c r="G597" s="47" t="n"/>
      <c r="H597" s="47" t="n"/>
      <c r="I597" s="43">
        <f>IF($B597="","",N($G597)-N($H597))</f>
        <v/>
      </c>
    </row>
    <row r="598">
      <c r="A598" s="39">
        <f>IF($B598="","",COUNTA($B$4:$B598))</f>
        <v/>
      </c>
      <c r="B598" s="40" t="n"/>
      <c r="C598" s="41" t="n"/>
      <c r="D598" s="41" t="n"/>
      <c r="E598" s="41" t="n"/>
      <c r="F598" s="50" t="n"/>
      <c r="G598" s="42" t="n"/>
      <c r="H598" s="42" t="n"/>
      <c r="I598" s="43">
        <f>IF($B598="","",N($G598)-N($H598))</f>
        <v/>
      </c>
    </row>
    <row r="599">
      <c r="A599" s="39">
        <f>IF($B599="","",COUNTA($B$4:$B599))</f>
        <v/>
      </c>
      <c r="B599" s="45" t="n"/>
      <c r="C599" s="46" t="n"/>
      <c r="D599" s="46" t="n"/>
      <c r="E599" s="46" t="n"/>
      <c r="F599" s="51" t="n"/>
      <c r="G599" s="47" t="n"/>
      <c r="H599" s="47" t="n"/>
      <c r="I599" s="43">
        <f>IF($B599="","",N($G599)-N($H599))</f>
        <v/>
      </c>
    </row>
    <row r="600">
      <c r="A600" s="39">
        <f>IF($B600="","",COUNTA($B$4:$B600))</f>
        <v/>
      </c>
      <c r="B600" s="40" t="n"/>
      <c r="C600" s="41" t="n"/>
      <c r="D600" s="41" t="n"/>
      <c r="E600" s="41" t="n"/>
      <c r="F600" s="50" t="n"/>
      <c r="G600" s="42" t="n"/>
      <c r="H600" s="42" t="n"/>
      <c r="I600" s="43">
        <f>IF($B600="","",N($G600)-N($H600))</f>
        <v/>
      </c>
    </row>
    <row r="601">
      <c r="A601" s="39">
        <f>IF($B601="","",COUNTA($B$4:$B601))</f>
        <v/>
      </c>
      <c r="B601" s="45" t="n"/>
      <c r="C601" s="46" t="n"/>
      <c r="D601" s="46" t="n"/>
      <c r="E601" s="46" t="n"/>
      <c r="F601" s="51" t="n"/>
      <c r="G601" s="47" t="n"/>
      <c r="H601" s="47" t="n"/>
      <c r="I601" s="43">
        <f>IF($B601="","",N($G601)-N($H601))</f>
        <v/>
      </c>
    </row>
    <row r="602">
      <c r="A602" s="39">
        <f>IF($B602="","",COUNTA($B$4:$B602))</f>
        <v/>
      </c>
      <c r="B602" s="40" t="n"/>
      <c r="C602" s="41" t="n"/>
      <c r="D602" s="41" t="n"/>
      <c r="E602" s="41" t="n"/>
      <c r="F602" s="50" t="n"/>
      <c r="G602" s="42" t="n"/>
      <c r="H602" s="42" t="n"/>
      <c r="I602" s="43">
        <f>IF($B602="","",N($G602)-N($H602))</f>
        <v/>
      </c>
    </row>
    <row r="603">
      <c r="A603" s="39">
        <f>IF($B603="","",COUNTA($B$4:$B603))</f>
        <v/>
      </c>
      <c r="B603" s="45" t="n"/>
      <c r="C603" s="46" t="n"/>
      <c r="D603" s="46" t="n"/>
      <c r="E603" s="46" t="n"/>
      <c r="F603" s="51" t="n"/>
      <c r="G603" s="47" t="n"/>
      <c r="H603" s="47" t="n"/>
      <c r="I603" s="43">
        <f>IF($B603="","",N($G603)-N($H603))</f>
        <v/>
      </c>
    </row>
    <row r="604">
      <c r="A604" s="39">
        <f>IF($B604="","",COUNTA($B$4:$B604))</f>
        <v/>
      </c>
      <c r="B604" s="40" t="n"/>
      <c r="C604" s="41" t="n"/>
      <c r="D604" s="41" t="n"/>
      <c r="E604" s="41" t="n"/>
      <c r="F604" s="50" t="n"/>
      <c r="G604" s="42" t="n"/>
      <c r="H604" s="42" t="n"/>
      <c r="I604" s="43">
        <f>IF($B604="","",N($G604)-N($H604))</f>
        <v/>
      </c>
    </row>
    <row r="605">
      <c r="A605" s="39">
        <f>IF($B605="","",COUNTA($B$4:$B605))</f>
        <v/>
      </c>
      <c r="B605" s="45" t="n"/>
      <c r="C605" s="46" t="n"/>
      <c r="D605" s="46" t="n"/>
      <c r="E605" s="46" t="n"/>
      <c r="F605" s="51" t="n"/>
      <c r="G605" s="47" t="n"/>
      <c r="H605" s="47" t="n"/>
      <c r="I605" s="43">
        <f>IF($B605="","",N($G605)-N($H605))</f>
        <v/>
      </c>
    </row>
    <row r="606">
      <c r="A606" s="39">
        <f>IF($B606="","",COUNTA($B$4:$B606))</f>
        <v/>
      </c>
      <c r="B606" s="40" t="n"/>
      <c r="C606" s="41" t="n"/>
      <c r="D606" s="41" t="n"/>
      <c r="E606" s="41" t="n"/>
      <c r="F606" s="50" t="n"/>
      <c r="G606" s="42" t="n"/>
      <c r="H606" s="42" t="n"/>
      <c r="I606" s="43">
        <f>IF($B606="","",N($G606)-N($H606))</f>
        <v/>
      </c>
    </row>
    <row r="607">
      <c r="A607" s="39">
        <f>IF($B607="","",COUNTA($B$4:$B607))</f>
        <v/>
      </c>
      <c r="B607" s="45" t="n"/>
      <c r="C607" s="46" t="n"/>
      <c r="D607" s="46" t="n"/>
      <c r="E607" s="46" t="n"/>
      <c r="F607" s="51" t="n"/>
      <c r="G607" s="47" t="n"/>
      <c r="H607" s="47" t="n"/>
      <c r="I607" s="43">
        <f>IF($B607="","",N($G607)-N($H607))</f>
        <v/>
      </c>
    </row>
    <row r="608">
      <c r="A608" s="39">
        <f>IF($B608="","",COUNTA($B$4:$B608))</f>
        <v/>
      </c>
      <c r="B608" s="40" t="n"/>
      <c r="C608" s="41" t="n"/>
      <c r="D608" s="41" t="n"/>
      <c r="E608" s="41" t="n"/>
      <c r="F608" s="50" t="n"/>
      <c r="G608" s="42" t="n"/>
      <c r="H608" s="42" t="n"/>
      <c r="I608" s="43">
        <f>IF($B608="","",N($G608)-N($H608))</f>
        <v/>
      </c>
    </row>
    <row r="609">
      <c r="A609" s="39">
        <f>IF($B609="","",COUNTA($B$4:$B609))</f>
        <v/>
      </c>
      <c r="B609" s="45" t="n"/>
      <c r="C609" s="46" t="n"/>
      <c r="D609" s="46" t="n"/>
      <c r="E609" s="46" t="n"/>
      <c r="F609" s="51" t="n"/>
      <c r="G609" s="47" t="n"/>
      <c r="H609" s="47" t="n"/>
      <c r="I609" s="43">
        <f>IF($B609="","",N($G609)-N($H609))</f>
        <v/>
      </c>
    </row>
    <row r="610">
      <c r="A610" s="39">
        <f>IF($B610="","",COUNTA($B$4:$B610))</f>
        <v/>
      </c>
      <c r="B610" s="40" t="n"/>
      <c r="C610" s="41" t="n"/>
      <c r="D610" s="41" t="n"/>
      <c r="E610" s="41" t="n"/>
      <c r="F610" s="50" t="n"/>
      <c r="G610" s="42" t="n"/>
      <c r="H610" s="42" t="n"/>
      <c r="I610" s="43">
        <f>IF($B610="","",N($G610)-N($H610))</f>
        <v/>
      </c>
    </row>
    <row r="611">
      <c r="A611" s="39">
        <f>IF($B611="","",COUNTA($B$4:$B611))</f>
        <v/>
      </c>
      <c r="B611" s="45" t="n"/>
      <c r="C611" s="46" t="n"/>
      <c r="D611" s="46" t="n"/>
      <c r="E611" s="46" t="n"/>
      <c r="F611" s="51" t="n"/>
      <c r="G611" s="47" t="n"/>
      <c r="H611" s="47" t="n"/>
      <c r="I611" s="43">
        <f>IF($B611="","",N($G611)-N($H611))</f>
        <v/>
      </c>
    </row>
    <row r="612">
      <c r="A612" s="39">
        <f>IF($B612="","",COUNTA($B$4:$B612))</f>
        <v/>
      </c>
      <c r="B612" s="40" t="n"/>
      <c r="C612" s="41" t="n"/>
      <c r="D612" s="41" t="n"/>
      <c r="E612" s="41" t="n"/>
      <c r="F612" s="50" t="n"/>
      <c r="G612" s="42" t="n"/>
      <c r="H612" s="42" t="n"/>
      <c r="I612" s="43">
        <f>IF($B612="","",N($G612)-N($H612))</f>
        <v/>
      </c>
    </row>
    <row r="613">
      <c r="A613" s="39">
        <f>IF($B613="","",COUNTA($B$4:$B613))</f>
        <v/>
      </c>
      <c r="B613" s="45" t="n"/>
      <c r="C613" s="46" t="n"/>
      <c r="D613" s="46" t="n"/>
      <c r="E613" s="46" t="n"/>
      <c r="F613" s="51" t="n"/>
      <c r="G613" s="47" t="n"/>
      <c r="H613" s="47" t="n"/>
      <c r="I613" s="43">
        <f>IF($B613="","",N($G613)-N($H613))</f>
        <v/>
      </c>
    </row>
    <row r="614">
      <c r="A614" s="39">
        <f>IF($B614="","",COUNTA($B$4:$B614))</f>
        <v/>
      </c>
      <c r="B614" s="40" t="n"/>
      <c r="C614" s="41" t="n"/>
      <c r="D614" s="41" t="n"/>
      <c r="E614" s="41" t="n"/>
      <c r="F614" s="50" t="n"/>
      <c r="G614" s="42" t="n"/>
      <c r="H614" s="42" t="n"/>
      <c r="I614" s="43">
        <f>IF($B614="","",N($G614)-N($H614))</f>
        <v/>
      </c>
    </row>
    <row r="615">
      <c r="A615" s="39">
        <f>IF($B615="","",COUNTA($B$4:$B615))</f>
        <v/>
      </c>
      <c r="B615" s="45" t="n"/>
      <c r="C615" s="46" t="n"/>
      <c r="D615" s="46" t="n"/>
      <c r="E615" s="46" t="n"/>
      <c r="F615" s="51" t="n"/>
      <c r="G615" s="47" t="n"/>
      <c r="H615" s="47" t="n"/>
      <c r="I615" s="43">
        <f>IF($B615="","",N($G615)-N($H615))</f>
        <v/>
      </c>
    </row>
    <row r="616">
      <c r="A616" s="39">
        <f>IF($B616="","",COUNTA($B$4:$B616))</f>
        <v/>
      </c>
      <c r="B616" s="40" t="n"/>
      <c r="C616" s="41" t="n"/>
      <c r="D616" s="41" t="n"/>
      <c r="E616" s="41" t="n"/>
      <c r="F616" s="50" t="n"/>
      <c r="G616" s="42" t="n"/>
      <c r="H616" s="42" t="n"/>
      <c r="I616" s="43">
        <f>IF($B616="","",N($G616)-N($H616))</f>
        <v/>
      </c>
    </row>
    <row r="617">
      <c r="A617" s="39">
        <f>IF($B617="","",COUNTA($B$4:$B617))</f>
        <v/>
      </c>
      <c r="B617" s="45" t="n"/>
      <c r="C617" s="46" t="n"/>
      <c r="D617" s="46" t="n"/>
      <c r="E617" s="46" t="n"/>
      <c r="F617" s="51" t="n"/>
      <c r="G617" s="47" t="n"/>
      <c r="H617" s="47" t="n"/>
      <c r="I617" s="43">
        <f>IF($B617="","",N($G617)-N($H617))</f>
        <v/>
      </c>
    </row>
    <row r="618">
      <c r="A618" s="39">
        <f>IF($B618="","",COUNTA($B$4:$B618))</f>
        <v/>
      </c>
      <c r="B618" s="40" t="n"/>
      <c r="C618" s="41" t="n"/>
      <c r="D618" s="41" t="n"/>
      <c r="E618" s="41" t="n"/>
      <c r="F618" s="50" t="n"/>
      <c r="G618" s="42" t="n"/>
      <c r="H618" s="42" t="n"/>
      <c r="I618" s="43">
        <f>IF($B618="","",N($G618)-N($H618))</f>
        <v/>
      </c>
    </row>
    <row r="619">
      <c r="A619" s="39">
        <f>IF($B619="","",COUNTA($B$4:$B619))</f>
        <v/>
      </c>
      <c r="B619" s="45" t="n"/>
      <c r="C619" s="46" t="n"/>
      <c r="D619" s="46" t="n"/>
      <c r="E619" s="46" t="n"/>
      <c r="F619" s="51" t="n"/>
      <c r="G619" s="47" t="n"/>
      <c r="H619" s="47" t="n"/>
      <c r="I619" s="43">
        <f>IF($B619="","",N($G619)-N($H619))</f>
        <v/>
      </c>
    </row>
    <row r="620">
      <c r="A620" s="39">
        <f>IF($B620="","",COUNTA($B$4:$B620))</f>
        <v/>
      </c>
      <c r="B620" s="40" t="n"/>
      <c r="C620" s="41" t="n"/>
      <c r="D620" s="41" t="n"/>
      <c r="E620" s="41" t="n"/>
      <c r="F620" s="50" t="n"/>
      <c r="G620" s="42" t="n"/>
      <c r="H620" s="42" t="n"/>
      <c r="I620" s="43">
        <f>IF($B620="","",N($G620)-N($H620))</f>
        <v/>
      </c>
    </row>
    <row r="621">
      <c r="A621" s="39">
        <f>IF($B621="","",COUNTA($B$4:$B621))</f>
        <v/>
      </c>
      <c r="B621" s="45" t="n"/>
      <c r="C621" s="46" t="n"/>
      <c r="D621" s="46" t="n"/>
      <c r="E621" s="46" t="n"/>
      <c r="F621" s="51" t="n"/>
      <c r="G621" s="47" t="n"/>
      <c r="H621" s="47" t="n"/>
      <c r="I621" s="43">
        <f>IF($B621="","",N($G621)-N($H621))</f>
        <v/>
      </c>
    </row>
    <row r="622">
      <c r="A622" s="39">
        <f>IF($B622="","",COUNTA($B$4:$B622))</f>
        <v/>
      </c>
      <c r="B622" s="40" t="n"/>
      <c r="C622" s="41" t="n"/>
      <c r="D622" s="41" t="n"/>
      <c r="E622" s="41" t="n"/>
      <c r="F622" s="50" t="n"/>
      <c r="G622" s="42" t="n"/>
      <c r="H622" s="42" t="n"/>
      <c r="I622" s="43">
        <f>IF($B622="","",N($G622)-N($H622))</f>
        <v/>
      </c>
    </row>
    <row r="623">
      <c r="A623" s="39">
        <f>IF($B623="","",COUNTA($B$4:$B623))</f>
        <v/>
      </c>
      <c r="B623" s="45" t="n"/>
      <c r="C623" s="46" t="n"/>
      <c r="D623" s="46" t="n"/>
      <c r="E623" s="46" t="n"/>
      <c r="F623" s="51" t="n"/>
      <c r="G623" s="47" t="n"/>
      <c r="H623" s="47" t="n"/>
      <c r="I623" s="43">
        <f>IF($B623="","",N($G623)-N($H623))</f>
        <v/>
      </c>
    </row>
    <row r="624">
      <c r="A624" s="39">
        <f>IF($B624="","",COUNTA($B$4:$B624))</f>
        <v/>
      </c>
      <c r="B624" s="40" t="n"/>
      <c r="C624" s="41" t="n"/>
      <c r="D624" s="41" t="n"/>
      <c r="E624" s="41" t="n"/>
      <c r="F624" s="50" t="n"/>
      <c r="G624" s="42" t="n"/>
      <c r="H624" s="42" t="n"/>
      <c r="I624" s="43">
        <f>IF($B624="","",N($G624)-N($H624))</f>
        <v/>
      </c>
    </row>
    <row r="625">
      <c r="A625" s="39">
        <f>IF($B625="","",COUNTA($B$4:$B625))</f>
        <v/>
      </c>
      <c r="B625" s="45" t="n"/>
      <c r="C625" s="46" t="n"/>
      <c r="D625" s="46" t="n"/>
      <c r="E625" s="46" t="n"/>
      <c r="F625" s="51" t="n"/>
      <c r="G625" s="47" t="n"/>
      <c r="H625" s="47" t="n"/>
      <c r="I625" s="43">
        <f>IF($B625="","",N($G625)-N($H625))</f>
        <v/>
      </c>
    </row>
    <row r="626">
      <c r="A626" s="39">
        <f>IF($B626="","",COUNTA($B$4:$B626))</f>
        <v/>
      </c>
      <c r="B626" s="40" t="n"/>
      <c r="C626" s="41" t="n"/>
      <c r="D626" s="41" t="n"/>
      <c r="E626" s="41" t="n"/>
      <c r="F626" s="50" t="n"/>
      <c r="G626" s="42" t="n"/>
      <c r="H626" s="42" t="n"/>
      <c r="I626" s="43">
        <f>IF($B626="","",N($G626)-N($H626))</f>
        <v/>
      </c>
    </row>
    <row r="627">
      <c r="A627" s="39">
        <f>IF($B627="","",COUNTA($B$4:$B627))</f>
        <v/>
      </c>
      <c r="B627" s="45" t="n"/>
      <c r="C627" s="46" t="n"/>
      <c r="D627" s="46" t="n"/>
      <c r="E627" s="46" t="n"/>
      <c r="F627" s="51" t="n"/>
      <c r="G627" s="47" t="n"/>
      <c r="H627" s="47" t="n"/>
      <c r="I627" s="43">
        <f>IF($B627="","",N($G627)-N($H627))</f>
        <v/>
      </c>
    </row>
    <row r="628">
      <c r="A628" s="39">
        <f>IF($B628="","",COUNTA($B$4:$B628))</f>
        <v/>
      </c>
      <c r="B628" s="40" t="n"/>
      <c r="C628" s="41" t="n"/>
      <c r="D628" s="41" t="n"/>
      <c r="E628" s="41" t="n"/>
      <c r="F628" s="50" t="n"/>
      <c r="G628" s="42" t="n"/>
      <c r="H628" s="42" t="n"/>
      <c r="I628" s="43">
        <f>IF($B628="","",N($G628)-N($H628))</f>
        <v/>
      </c>
    </row>
    <row r="629">
      <c r="A629" s="39">
        <f>IF($B629="","",COUNTA($B$4:$B629))</f>
        <v/>
      </c>
      <c r="B629" s="45" t="n"/>
      <c r="C629" s="46" t="n"/>
      <c r="D629" s="46" t="n"/>
      <c r="E629" s="46" t="n"/>
      <c r="F629" s="51" t="n"/>
      <c r="G629" s="47" t="n"/>
      <c r="H629" s="47" t="n"/>
      <c r="I629" s="43">
        <f>IF($B629="","",N($G629)-N($H629))</f>
        <v/>
      </c>
    </row>
    <row r="630">
      <c r="A630" s="39">
        <f>IF($B630="","",COUNTA($B$4:$B630))</f>
        <v/>
      </c>
      <c r="B630" s="40" t="n"/>
      <c r="C630" s="41" t="n"/>
      <c r="D630" s="41" t="n"/>
      <c r="E630" s="41" t="n"/>
      <c r="F630" s="50" t="n"/>
      <c r="G630" s="42" t="n"/>
      <c r="H630" s="42" t="n"/>
      <c r="I630" s="43">
        <f>IF($B630="","",N($G630)-N($H630))</f>
        <v/>
      </c>
    </row>
    <row r="631">
      <c r="A631" s="39">
        <f>IF($B631="","",COUNTA($B$4:$B631))</f>
        <v/>
      </c>
      <c r="B631" s="45" t="n"/>
      <c r="C631" s="46" t="n"/>
      <c r="D631" s="46" t="n"/>
      <c r="E631" s="46" t="n"/>
      <c r="F631" s="51" t="n"/>
      <c r="G631" s="47" t="n"/>
      <c r="H631" s="47" t="n"/>
      <c r="I631" s="43">
        <f>IF($B631="","",N($G631)-N($H631))</f>
        <v/>
      </c>
    </row>
    <row r="632">
      <c r="A632" s="39">
        <f>IF($B632="","",COUNTA($B$4:$B632))</f>
        <v/>
      </c>
      <c r="B632" s="40" t="n"/>
      <c r="C632" s="41" t="n"/>
      <c r="D632" s="41" t="n"/>
      <c r="E632" s="41" t="n"/>
      <c r="F632" s="50" t="n"/>
      <c r="G632" s="42" t="n"/>
      <c r="H632" s="42" t="n"/>
      <c r="I632" s="43">
        <f>IF($B632="","",N($G632)-N($H632))</f>
        <v/>
      </c>
    </row>
    <row r="633">
      <c r="A633" s="39">
        <f>IF($B633="","",COUNTA($B$4:$B633))</f>
        <v/>
      </c>
      <c r="B633" s="45" t="n"/>
      <c r="C633" s="46" t="n"/>
      <c r="D633" s="46" t="n"/>
      <c r="E633" s="46" t="n"/>
      <c r="F633" s="51" t="n"/>
      <c r="G633" s="47" t="n"/>
      <c r="H633" s="47" t="n"/>
      <c r="I633" s="43">
        <f>IF($B633="","",N($G633)-N($H633))</f>
        <v/>
      </c>
    </row>
    <row r="634">
      <c r="A634" s="39">
        <f>IF($B634="","",COUNTA($B$4:$B634))</f>
        <v/>
      </c>
      <c r="B634" s="40" t="n"/>
      <c r="C634" s="41" t="n"/>
      <c r="D634" s="41" t="n"/>
      <c r="E634" s="41" t="n"/>
      <c r="F634" s="50" t="n"/>
      <c r="G634" s="42" t="n"/>
      <c r="H634" s="42" t="n"/>
      <c r="I634" s="43">
        <f>IF($B634="","",N($G634)-N($H634))</f>
        <v/>
      </c>
    </row>
    <row r="635">
      <c r="A635" s="39">
        <f>IF($B635="","",COUNTA($B$4:$B635))</f>
        <v/>
      </c>
      <c r="B635" s="45" t="n"/>
      <c r="C635" s="46" t="n"/>
      <c r="D635" s="46" t="n"/>
      <c r="E635" s="46" t="n"/>
      <c r="F635" s="51" t="n"/>
      <c r="G635" s="47" t="n"/>
      <c r="H635" s="47" t="n"/>
      <c r="I635" s="43">
        <f>IF($B635="","",N($G635)-N($H635))</f>
        <v/>
      </c>
    </row>
    <row r="636">
      <c r="A636" s="39">
        <f>IF($B636="","",COUNTA($B$4:$B636))</f>
        <v/>
      </c>
      <c r="B636" s="40" t="n"/>
      <c r="C636" s="41" t="n"/>
      <c r="D636" s="41" t="n"/>
      <c r="E636" s="41" t="n"/>
      <c r="F636" s="50" t="n"/>
      <c r="G636" s="42" t="n"/>
      <c r="H636" s="42" t="n"/>
      <c r="I636" s="43">
        <f>IF($B636="","",N($G636)-N($H636))</f>
        <v/>
      </c>
    </row>
    <row r="637">
      <c r="A637" s="39">
        <f>IF($B637="","",COUNTA($B$4:$B637))</f>
        <v/>
      </c>
      <c r="B637" s="45" t="n"/>
      <c r="C637" s="46" t="n"/>
      <c r="D637" s="46" t="n"/>
      <c r="E637" s="46" t="n"/>
      <c r="F637" s="51" t="n"/>
      <c r="G637" s="47" t="n"/>
      <c r="H637" s="47" t="n"/>
      <c r="I637" s="43">
        <f>IF($B637="","",N($G637)-N($H637))</f>
        <v/>
      </c>
    </row>
    <row r="638">
      <c r="A638" s="39">
        <f>IF($B638="","",COUNTA($B$4:$B638))</f>
        <v/>
      </c>
      <c r="B638" s="40" t="n"/>
      <c r="C638" s="41" t="n"/>
      <c r="D638" s="41" t="n"/>
      <c r="E638" s="41" t="n"/>
      <c r="F638" s="50" t="n"/>
      <c r="G638" s="42" t="n"/>
      <c r="H638" s="42" t="n"/>
      <c r="I638" s="43">
        <f>IF($B638="","",N($G638)-N($H638))</f>
        <v/>
      </c>
    </row>
    <row r="639">
      <c r="A639" s="39">
        <f>IF($B639="","",COUNTA($B$4:$B639))</f>
        <v/>
      </c>
      <c r="B639" s="45" t="n"/>
      <c r="C639" s="46" t="n"/>
      <c r="D639" s="46" t="n"/>
      <c r="E639" s="46" t="n"/>
      <c r="F639" s="51" t="n"/>
      <c r="G639" s="47" t="n"/>
      <c r="H639" s="47" t="n"/>
      <c r="I639" s="43">
        <f>IF($B639="","",N($G639)-N($H639))</f>
        <v/>
      </c>
    </row>
    <row r="640">
      <c r="A640" s="39">
        <f>IF($B640="","",COUNTA($B$4:$B640))</f>
        <v/>
      </c>
      <c r="B640" s="40" t="n"/>
      <c r="C640" s="41" t="n"/>
      <c r="D640" s="41" t="n"/>
      <c r="E640" s="41" t="n"/>
      <c r="F640" s="50" t="n"/>
      <c r="G640" s="42" t="n"/>
      <c r="H640" s="42" t="n"/>
      <c r="I640" s="43">
        <f>IF($B640="","",N($G640)-N($H640))</f>
        <v/>
      </c>
    </row>
    <row r="641">
      <c r="A641" s="39">
        <f>IF($B641="","",COUNTA($B$4:$B641))</f>
        <v/>
      </c>
      <c r="B641" s="45" t="n"/>
      <c r="C641" s="46" t="n"/>
      <c r="D641" s="46" t="n"/>
      <c r="E641" s="46" t="n"/>
      <c r="F641" s="51" t="n"/>
      <c r="G641" s="47" t="n"/>
      <c r="H641" s="47" t="n"/>
      <c r="I641" s="43">
        <f>IF($B641="","",N($G641)-N($H641))</f>
        <v/>
      </c>
    </row>
    <row r="642">
      <c r="A642" s="39">
        <f>IF($B642="","",COUNTA($B$4:$B642))</f>
        <v/>
      </c>
      <c r="B642" s="40" t="n"/>
      <c r="C642" s="41" t="n"/>
      <c r="D642" s="41" t="n"/>
      <c r="E642" s="41" t="n"/>
      <c r="F642" s="50" t="n"/>
      <c r="G642" s="42" t="n"/>
      <c r="H642" s="42" t="n"/>
      <c r="I642" s="43">
        <f>IF($B642="","",N($G642)-N($H642))</f>
        <v/>
      </c>
    </row>
    <row r="643">
      <c r="A643" s="39">
        <f>IF($B643="","",COUNTA($B$4:$B643))</f>
        <v/>
      </c>
      <c r="B643" s="45" t="n"/>
      <c r="C643" s="46" t="n"/>
      <c r="D643" s="46" t="n"/>
      <c r="E643" s="46" t="n"/>
      <c r="F643" s="51" t="n"/>
      <c r="G643" s="47" t="n"/>
      <c r="H643" s="47" t="n"/>
      <c r="I643" s="43">
        <f>IF($B643="","",N($G643)-N($H643))</f>
        <v/>
      </c>
    </row>
    <row r="644">
      <c r="A644" s="39">
        <f>IF($B644="","",COUNTA($B$4:$B644))</f>
        <v/>
      </c>
      <c r="B644" s="40" t="n"/>
      <c r="C644" s="41" t="n"/>
      <c r="D644" s="41" t="n"/>
      <c r="E644" s="41" t="n"/>
      <c r="F644" s="50" t="n"/>
      <c r="G644" s="42" t="n"/>
      <c r="H644" s="42" t="n"/>
      <c r="I644" s="43">
        <f>IF($B644="","",N($G644)-N($H644))</f>
        <v/>
      </c>
    </row>
    <row r="645">
      <c r="A645" s="39">
        <f>IF($B645="","",COUNTA($B$4:$B645))</f>
        <v/>
      </c>
      <c r="B645" s="45" t="n"/>
      <c r="C645" s="46" t="n"/>
      <c r="D645" s="46" t="n"/>
      <c r="E645" s="46" t="n"/>
      <c r="F645" s="51" t="n"/>
      <c r="G645" s="47" t="n"/>
      <c r="H645" s="47" t="n"/>
      <c r="I645" s="43">
        <f>IF($B645="","",N($G645)-N($H645))</f>
        <v/>
      </c>
    </row>
    <row r="646">
      <c r="A646" s="39">
        <f>IF($B646="","",COUNTA($B$4:$B646))</f>
        <v/>
      </c>
      <c r="B646" s="40" t="n"/>
      <c r="C646" s="41" t="n"/>
      <c r="D646" s="41" t="n"/>
      <c r="E646" s="41" t="n"/>
      <c r="F646" s="50" t="n"/>
      <c r="G646" s="42" t="n"/>
      <c r="H646" s="42" t="n"/>
      <c r="I646" s="43">
        <f>IF($B646="","",N($G646)-N($H646))</f>
        <v/>
      </c>
    </row>
    <row r="647">
      <c r="A647" s="39">
        <f>IF($B647="","",COUNTA($B$4:$B647))</f>
        <v/>
      </c>
      <c r="B647" s="45" t="n"/>
      <c r="C647" s="46" t="n"/>
      <c r="D647" s="46" t="n"/>
      <c r="E647" s="46" t="n"/>
      <c r="F647" s="51" t="n"/>
      <c r="G647" s="47" t="n"/>
      <c r="H647" s="47" t="n"/>
      <c r="I647" s="43">
        <f>IF($B647="","",N($G647)-N($H647))</f>
        <v/>
      </c>
    </row>
    <row r="648">
      <c r="A648" s="39">
        <f>IF($B648="","",COUNTA($B$4:$B648))</f>
        <v/>
      </c>
      <c r="B648" s="40" t="n"/>
      <c r="C648" s="41" t="n"/>
      <c r="D648" s="41" t="n"/>
      <c r="E648" s="41" t="n"/>
      <c r="F648" s="50" t="n"/>
      <c r="G648" s="42" t="n"/>
      <c r="H648" s="42" t="n"/>
      <c r="I648" s="43">
        <f>IF($B648="","",N($G648)-N($H648))</f>
        <v/>
      </c>
    </row>
    <row r="649">
      <c r="A649" s="39">
        <f>IF($B649="","",COUNTA($B$4:$B649))</f>
        <v/>
      </c>
      <c r="B649" s="45" t="n"/>
      <c r="C649" s="46" t="n"/>
      <c r="D649" s="46" t="n"/>
      <c r="E649" s="46" t="n"/>
      <c r="F649" s="51" t="n"/>
      <c r="G649" s="47" t="n"/>
      <c r="H649" s="47" t="n"/>
      <c r="I649" s="43">
        <f>IF($B649="","",N($G649)-N($H649))</f>
        <v/>
      </c>
    </row>
    <row r="650">
      <c r="A650" s="39">
        <f>IF($B650="","",COUNTA($B$4:$B650))</f>
        <v/>
      </c>
      <c r="B650" s="40" t="n"/>
      <c r="C650" s="41" t="n"/>
      <c r="D650" s="41" t="n"/>
      <c r="E650" s="41" t="n"/>
      <c r="F650" s="50" t="n"/>
      <c r="G650" s="42" t="n"/>
      <c r="H650" s="42" t="n"/>
      <c r="I650" s="43">
        <f>IF($B650="","",N($G650)-N($H650))</f>
        <v/>
      </c>
    </row>
    <row r="651">
      <c r="A651" s="39">
        <f>IF($B651="","",COUNTA($B$4:$B651))</f>
        <v/>
      </c>
      <c r="B651" s="45" t="n"/>
      <c r="C651" s="46" t="n"/>
      <c r="D651" s="46" t="n"/>
      <c r="E651" s="46" t="n"/>
      <c r="F651" s="51" t="n"/>
      <c r="G651" s="47" t="n"/>
      <c r="H651" s="47" t="n"/>
      <c r="I651" s="43">
        <f>IF($B651="","",N($G651)-N($H651))</f>
        <v/>
      </c>
    </row>
    <row r="652">
      <c r="A652" s="39">
        <f>IF($B652="","",COUNTA($B$4:$B652))</f>
        <v/>
      </c>
      <c r="B652" s="40" t="n"/>
      <c r="C652" s="41" t="n"/>
      <c r="D652" s="41" t="n"/>
      <c r="E652" s="41" t="n"/>
      <c r="F652" s="50" t="n"/>
      <c r="G652" s="42" t="n"/>
      <c r="H652" s="42" t="n"/>
      <c r="I652" s="43">
        <f>IF($B652="","",N($G652)-N($H652))</f>
        <v/>
      </c>
    </row>
    <row r="653">
      <c r="A653" s="39">
        <f>IF($B653="","",COUNTA($B$4:$B653))</f>
        <v/>
      </c>
      <c r="B653" s="45" t="n"/>
      <c r="C653" s="46" t="n"/>
      <c r="D653" s="46" t="n"/>
      <c r="E653" s="46" t="n"/>
      <c r="F653" s="51" t="n"/>
      <c r="G653" s="47" t="n"/>
      <c r="H653" s="47" t="n"/>
      <c r="I653" s="43">
        <f>IF($B653="","",N($G653)-N($H653))</f>
        <v/>
      </c>
    </row>
    <row r="654">
      <c r="A654" s="39">
        <f>IF($B654="","",COUNTA($B$4:$B654))</f>
        <v/>
      </c>
      <c r="B654" s="40" t="n"/>
      <c r="C654" s="41" t="n"/>
      <c r="D654" s="41" t="n"/>
      <c r="E654" s="41" t="n"/>
      <c r="F654" s="50" t="n"/>
      <c r="G654" s="42" t="n"/>
      <c r="H654" s="42" t="n"/>
      <c r="I654" s="43">
        <f>IF($B654="","",N($G654)-N($H654))</f>
        <v/>
      </c>
    </row>
    <row r="655">
      <c r="A655" s="39">
        <f>IF($B655="","",COUNTA($B$4:$B655))</f>
        <v/>
      </c>
      <c r="B655" s="45" t="n"/>
      <c r="C655" s="46" t="n"/>
      <c r="D655" s="46" t="n"/>
      <c r="E655" s="46" t="n"/>
      <c r="F655" s="51" t="n"/>
      <c r="G655" s="47" t="n"/>
      <c r="H655" s="47" t="n"/>
      <c r="I655" s="43">
        <f>IF($B655="","",N($G655)-N($H655))</f>
        <v/>
      </c>
    </row>
    <row r="656">
      <c r="A656" s="39">
        <f>IF($B656="","",COUNTA($B$4:$B656))</f>
        <v/>
      </c>
      <c r="B656" s="40" t="n"/>
      <c r="C656" s="41" t="n"/>
      <c r="D656" s="41" t="n"/>
      <c r="E656" s="41" t="n"/>
      <c r="F656" s="50" t="n"/>
      <c r="G656" s="42" t="n"/>
      <c r="H656" s="42" t="n"/>
      <c r="I656" s="43">
        <f>IF($B656="","",N($G656)-N($H656))</f>
        <v/>
      </c>
    </row>
    <row r="657">
      <c r="A657" s="39">
        <f>IF($B657="","",COUNTA($B$4:$B657))</f>
        <v/>
      </c>
      <c r="B657" s="45" t="n"/>
      <c r="C657" s="46" t="n"/>
      <c r="D657" s="46" t="n"/>
      <c r="E657" s="46" t="n"/>
      <c r="F657" s="51" t="n"/>
      <c r="G657" s="47" t="n"/>
      <c r="H657" s="47" t="n"/>
      <c r="I657" s="43">
        <f>IF($B657="","",N($G657)-N($H657))</f>
        <v/>
      </c>
    </row>
    <row r="658">
      <c r="A658" s="39">
        <f>IF($B658="","",COUNTA($B$4:$B658))</f>
        <v/>
      </c>
      <c r="B658" s="40" t="n"/>
      <c r="C658" s="41" t="n"/>
      <c r="D658" s="41" t="n"/>
      <c r="E658" s="41" t="n"/>
      <c r="F658" s="50" t="n"/>
      <c r="G658" s="42" t="n"/>
      <c r="H658" s="42" t="n"/>
      <c r="I658" s="43">
        <f>IF($B658="","",N($G658)-N($H658))</f>
        <v/>
      </c>
    </row>
    <row r="659">
      <c r="A659" s="39">
        <f>IF($B659="","",COUNTA($B$4:$B659))</f>
        <v/>
      </c>
      <c r="B659" s="45" t="n"/>
      <c r="C659" s="46" t="n"/>
      <c r="D659" s="46" t="n"/>
      <c r="E659" s="46" t="n"/>
      <c r="F659" s="51" t="n"/>
      <c r="G659" s="47" t="n"/>
      <c r="H659" s="47" t="n"/>
      <c r="I659" s="43">
        <f>IF($B659="","",N($G659)-N($H659))</f>
        <v/>
      </c>
    </row>
    <row r="660">
      <c r="A660" s="39">
        <f>IF($B660="","",COUNTA($B$4:$B660))</f>
        <v/>
      </c>
      <c r="B660" s="40" t="n"/>
      <c r="C660" s="41" t="n"/>
      <c r="D660" s="41" t="n"/>
      <c r="E660" s="41" t="n"/>
      <c r="F660" s="50" t="n"/>
      <c r="G660" s="42" t="n"/>
      <c r="H660" s="42" t="n"/>
      <c r="I660" s="43">
        <f>IF($B660="","",N($G660)-N($H660))</f>
        <v/>
      </c>
    </row>
    <row r="661">
      <c r="A661" s="39">
        <f>IF($B661="","",COUNTA($B$4:$B661))</f>
        <v/>
      </c>
      <c r="B661" s="45" t="n"/>
      <c r="C661" s="46" t="n"/>
      <c r="D661" s="46" t="n"/>
      <c r="E661" s="46" t="n"/>
      <c r="F661" s="51" t="n"/>
      <c r="G661" s="47" t="n"/>
      <c r="H661" s="47" t="n"/>
      <c r="I661" s="43">
        <f>IF($B661="","",N($G661)-N($H661))</f>
        <v/>
      </c>
    </row>
    <row r="662">
      <c r="A662" s="39">
        <f>IF($B662="","",COUNTA($B$4:$B662))</f>
        <v/>
      </c>
      <c r="B662" s="40" t="n"/>
      <c r="C662" s="41" t="n"/>
      <c r="D662" s="41" t="n"/>
      <c r="E662" s="41" t="n"/>
      <c r="F662" s="50" t="n"/>
      <c r="G662" s="42" t="n"/>
      <c r="H662" s="42" t="n"/>
      <c r="I662" s="43">
        <f>IF($B662="","",N($G662)-N($H662))</f>
        <v/>
      </c>
    </row>
    <row r="663">
      <c r="A663" s="39">
        <f>IF($B663="","",COUNTA($B$4:$B663))</f>
        <v/>
      </c>
      <c r="B663" s="45" t="n"/>
      <c r="C663" s="46" t="n"/>
      <c r="D663" s="46" t="n"/>
      <c r="E663" s="46" t="n"/>
      <c r="F663" s="51" t="n"/>
      <c r="G663" s="47" t="n"/>
      <c r="H663" s="47" t="n"/>
      <c r="I663" s="43">
        <f>IF($B663="","",N($G663)-N($H663))</f>
        <v/>
      </c>
    </row>
    <row r="664">
      <c r="A664" s="39">
        <f>IF($B664="","",COUNTA($B$4:$B664))</f>
        <v/>
      </c>
      <c r="B664" s="40" t="n"/>
      <c r="C664" s="41" t="n"/>
      <c r="D664" s="41" t="n"/>
      <c r="E664" s="41" t="n"/>
      <c r="F664" s="50" t="n"/>
      <c r="G664" s="42" t="n"/>
      <c r="H664" s="42" t="n"/>
      <c r="I664" s="43">
        <f>IF($B664="","",N($G664)-N($H664))</f>
        <v/>
      </c>
    </row>
    <row r="665">
      <c r="A665" s="39">
        <f>IF($B665="","",COUNTA($B$4:$B665))</f>
        <v/>
      </c>
      <c r="B665" s="45" t="n"/>
      <c r="C665" s="46" t="n"/>
      <c r="D665" s="46" t="n"/>
      <c r="E665" s="46" t="n"/>
      <c r="F665" s="51" t="n"/>
      <c r="G665" s="47" t="n"/>
      <c r="H665" s="47" t="n"/>
      <c r="I665" s="43">
        <f>IF($B665="","",N($G665)-N($H665))</f>
        <v/>
      </c>
    </row>
    <row r="666">
      <c r="A666" s="39">
        <f>IF($B666="","",COUNTA($B$4:$B666))</f>
        <v/>
      </c>
      <c r="B666" s="40" t="n"/>
      <c r="C666" s="41" t="n"/>
      <c r="D666" s="41" t="n"/>
      <c r="E666" s="41" t="n"/>
      <c r="F666" s="50" t="n"/>
      <c r="G666" s="42" t="n"/>
      <c r="H666" s="42" t="n"/>
      <c r="I666" s="43">
        <f>IF($B666="","",N($G666)-N($H666))</f>
        <v/>
      </c>
    </row>
    <row r="667">
      <c r="A667" s="39">
        <f>IF($B667="","",COUNTA($B$4:$B667))</f>
        <v/>
      </c>
      <c r="B667" s="45" t="n"/>
      <c r="C667" s="46" t="n"/>
      <c r="D667" s="46" t="n"/>
      <c r="E667" s="46" t="n"/>
      <c r="F667" s="51" t="n"/>
      <c r="G667" s="47" t="n"/>
      <c r="H667" s="47" t="n"/>
      <c r="I667" s="43">
        <f>IF($B667="","",N($G667)-N($H667))</f>
        <v/>
      </c>
    </row>
    <row r="668">
      <c r="A668" s="39">
        <f>IF($B668="","",COUNTA($B$4:$B668))</f>
        <v/>
      </c>
      <c r="B668" s="40" t="n"/>
      <c r="C668" s="41" t="n"/>
      <c r="D668" s="41" t="n"/>
      <c r="E668" s="41" t="n"/>
      <c r="F668" s="50" t="n"/>
      <c r="G668" s="42" t="n"/>
      <c r="H668" s="42" t="n"/>
      <c r="I668" s="43">
        <f>IF($B668="","",N($G668)-N($H668))</f>
        <v/>
      </c>
    </row>
    <row r="669">
      <c r="A669" s="39">
        <f>IF($B669="","",COUNTA($B$4:$B669))</f>
        <v/>
      </c>
      <c r="B669" s="45" t="n"/>
      <c r="C669" s="46" t="n"/>
      <c r="D669" s="46" t="n"/>
      <c r="E669" s="46" t="n"/>
      <c r="F669" s="51" t="n"/>
      <c r="G669" s="47" t="n"/>
      <c r="H669" s="47" t="n"/>
      <c r="I669" s="43">
        <f>IF($B669="","",N($G669)-N($H669))</f>
        <v/>
      </c>
    </row>
    <row r="670">
      <c r="A670" s="39">
        <f>IF($B670="","",COUNTA($B$4:$B670))</f>
        <v/>
      </c>
      <c r="B670" s="40" t="n"/>
      <c r="C670" s="41" t="n"/>
      <c r="D670" s="41" t="n"/>
      <c r="E670" s="41" t="n"/>
      <c r="F670" s="50" t="n"/>
      <c r="G670" s="42" t="n"/>
      <c r="H670" s="42" t="n"/>
      <c r="I670" s="43">
        <f>IF($B670="","",N($G670)-N($H670))</f>
        <v/>
      </c>
    </row>
    <row r="671">
      <c r="A671" s="39">
        <f>IF($B671="","",COUNTA($B$4:$B671))</f>
        <v/>
      </c>
      <c r="B671" s="45" t="n"/>
      <c r="C671" s="46" t="n"/>
      <c r="D671" s="46" t="n"/>
      <c r="E671" s="46" t="n"/>
      <c r="F671" s="51" t="n"/>
      <c r="G671" s="47" t="n"/>
      <c r="H671" s="47" t="n"/>
      <c r="I671" s="43">
        <f>IF($B671="","",N($G671)-N($H671))</f>
        <v/>
      </c>
    </row>
    <row r="672">
      <c r="A672" s="39">
        <f>IF($B672="","",COUNTA($B$4:$B672))</f>
        <v/>
      </c>
      <c r="B672" s="40" t="n"/>
      <c r="C672" s="41" t="n"/>
      <c r="D672" s="41" t="n"/>
      <c r="E672" s="41" t="n"/>
      <c r="F672" s="50" t="n"/>
      <c r="G672" s="42" t="n"/>
      <c r="H672" s="42" t="n"/>
      <c r="I672" s="43">
        <f>IF($B672="","",N($G672)-N($H672))</f>
        <v/>
      </c>
    </row>
    <row r="673">
      <c r="A673" s="39">
        <f>IF($B673="","",COUNTA($B$4:$B673))</f>
        <v/>
      </c>
      <c r="B673" s="45" t="n"/>
      <c r="C673" s="46" t="n"/>
      <c r="D673" s="46" t="n"/>
      <c r="E673" s="46" t="n"/>
      <c r="F673" s="51" t="n"/>
      <c r="G673" s="47" t="n"/>
      <c r="H673" s="47" t="n"/>
      <c r="I673" s="43">
        <f>IF($B673="","",N($G673)-N($H673))</f>
        <v/>
      </c>
    </row>
    <row r="674">
      <c r="A674" s="39">
        <f>IF($B674="","",COUNTA($B$4:$B674))</f>
        <v/>
      </c>
      <c r="B674" s="40" t="n"/>
      <c r="C674" s="41" t="n"/>
      <c r="D674" s="41" t="n"/>
      <c r="E674" s="41" t="n"/>
      <c r="F674" s="50" t="n"/>
      <c r="G674" s="42" t="n"/>
      <c r="H674" s="42" t="n"/>
      <c r="I674" s="43">
        <f>IF($B674="","",N($G674)-N($H674))</f>
        <v/>
      </c>
    </row>
    <row r="675">
      <c r="A675" s="39">
        <f>IF($B675="","",COUNTA($B$4:$B675))</f>
        <v/>
      </c>
      <c r="B675" s="45" t="n"/>
      <c r="C675" s="46" t="n"/>
      <c r="D675" s="46" t="n"/>
      <c r="E675" s="46" t="n"/>
      <c r="F675" s="51" t="n"/>
      <c r="G675" s="47" t="n"/>
      <c r="H675" s="47" t="n"/>
      <c r="I675" s="43">
        <f>IF($B675="","",N($G675)-N($H675))</f>
        <v/>
      </c>
    </row>
    <row r="676">
      <c r="A676" s="39">
        <f>IF($B676="","",COUNTA($B$4:$B676))</f>
        <v/>
      </c>
      <c r="B676" s="40" t="n"/>
      <c r="C676" s="41" t="n"/>
      <c r="D676" s="41" t="n"/>
      <c r="E676" s="41" t="n"/>
      <c r="F676" s="50" t="n"/>
      <c r="G676" s="42" t="n"/>
      <c r="H676" s="42" t="n"/>
      <c r="I676" s="43">
        <f>IF($B676="","",N($G676)-N($H676))</f>
        <v/>
      </c>
    </row>
    <row r="677">
      <c r="A677" s="39">
        <f>IF($B677="","",COUNTA($B$4:$B677))</f>
        <v/>
      </c>
      <c r="B677" s="45" t="n"/>
      <c r="C677" s="46" t="n"/>
      <c r="D677" s="46" t="n"/>
      <c r="E677" s="46" t="n"/>
      <c r="F677" s="51" t="n"/>
      <c r="G677" s="47" t="n"/>
      <c r="H677" s="47" t="n"/>
      <c r="I677" s="43">
        <f>IF($B677="","",N($G677)-N($H677))</f>
        <v/>
      </c>
    </row>
    <row r="678">
      <c r="A678" s="39">
        <f>IF($B678="","",COUNTA($B$4:$B678))</f>
        <v/>
      </c>
      <c r="B678" s="40" t="n"/>
      <c r="C678" s="41" t="n"/>
      <c r="D678" s="41" t="n"/>
      <c r="E678" s="41" t="n"/>
      <c r="F678" s="50" t="n"/>
      <c r="G678" s="42" t="n"/>
      <c r="H678" s="42" t="n"/>
      <c r="I678" s="43">
        <f>IF($B678="","",N($G678)-N($H678))</f>
        <v/>
      </c>
    </row>
    <row r="679">
      <c r="A679" s="39">
        <f>IF($B679="","",COUNTA($B$4:$B679))</f>
        <v/>
      </c>
      <c r="B679" s="45" t="n"/>
      <c r="C679" s="46" t="n"/>
      <c r="D679" s="46" t="n"/>
      <c r="E679" s="46" t="n"/>
      <c r="F679" s="51" t="n"/>
      <c r="G679" s="47" t="n"/>
      <c r="H679" s="47" t="n"/>
      <c r="I679" s="43">
        <f>IF($B679="","",N($G679)-N($H679))</f>
        <v/>
      </c>
    </row>
    <row r="680">
      <c r="A680" s="39">
        <f>IF($B680="","",COUNTA($B$4:$B680))</f>
        <v/>
      </c>
      <c r="B680" s="40" t="n"/>
      <c r="C680" s="41" t="n"/>
      <c r="D680" s="41" t="n"/>
      <c r="E680" s="41" t="n"/>
      <c r="F680" s="50" t="n"/>
      <c r="G680" s="42" t="n"/>
      <c r="H680" s="42" t="n"/>
      <c r="I680" s="43">
        <f>IF($B680="","",N($G680)-N($H680))</f>
        <v/>
      </c>
    </row>
    <row r="681">
      <c r="A681" s="39">
        <f>IF($B681="","",COUNTA($B$4:$B681))</f>
        <v/>
      </c>
      <c r="B681" s="45" t="n"/>
      <c r="C681" s="46" t="n"/>
      <c r="D681" s="46" t="n"/>
      <c r="E681" s="46" t="n"/>
      <c r="F681" s="51" t="n"/>
      <c r="G681" s="47" t="n"/>
      <c r="H681" s="47" t="n"/>
      <c r="I681" s="43">
        <f>IF($B681="","",N($G681)-N($H681))</f>
        <v/>
      </c>
    </row>
    <row r="682">
      <c r="A682" s="39">
        <f>IF($B682="","",COUNTA($B$4:$B682))</f>
        <v/>
      </c>
      <c r="B682" s="40" t="n"/>
      <c r="C682" s="41" t="n"/>
      <c r="D682" s="41" t="n"/>
      <c r="E682" s="41" t="n"/>
      <c r="F682" s="50" t="n"/>
      <c r="G682" s="42" t="n"/>
      <c r="H682" s="42" t="n"/>
      <c r="I682" s="43">
        <f>IF($B682="","",N($G682)-N($H682))</f>
        <v/>
      </c>
    </row>
    <row r="683">
      <c r="A683" s="39">
        <f>IF($B683="","",COUNTA($B$4:$B683))</f>
        <v/>
      </c>
      <c r="B683" s="45" t="n"/>
      <c r="C683" s="46" t="n"/>
      <c r="D683" s="46" t="n"/>
      <c r="E683" s="46" t="n"/>
      <c r="F683" s="51" t="n"/>
      <c r="G683" s="47" t="n"/>
      <c r="H683" s="47" t="n"/>
      <c r="I683" s="43">
        <f>IF($B683="","",N($G683)-N($H683))</f>
        <v/>
      </c>
    </row>
    <row r="684">
      <c r="A684" s="39">
        <f>IF($B684="","",COUNTA($B$4:$B684))</f>
        <v/>
      </c>
      <c r="B684" s="40" t="n"/>
      <c r="C684" s="41" t="n"/>
      <c r="D684" s="41" t="n"/>
      <c r="E684" s="41" t="n"/>
      <c r="F684" s="50" t="n"/>
      <c r="G684" s="42" t="n"/>
      <c r="H684" s="42" t="n"/>
      <c r="I684" s="43">
        <f>IF($B684="","",N($G684)-N($H684))</f>
        <v/>
      </c>
    </row>
    <row r="685">
      <c r="A685" s="39">
        <f>IF($B685="","",COUNTA($B$4:$B685))</f>
        <v/>
      </c>
      <c r="B685" s="45" t="n"/>
      <c r="C685" s="46" t="n"/>
      <c r="D685" s="46" t="n"/>
      <c r="E685" s="46" t="n"/>
      <c r="F685" s="51" t="n"/>
      <c r="G685" s="47" t="n"/>
      <c r="H685" s="47" t="n"/>
      <c r="I685" s="43">
        <f>IF($B685="","",N($G685)-N($H685))</f>
        <v/>
      </c>
    </row>
    <row r="686">
      <c r="A686" s="39">
        <f>IF($B686="","",COUNTA($B$4:$B686))</f>
        <v/>
      </c>
      <c r="B686" s="40" t="n"/>
      <c r="C686" s="41" t="n"/>
      <c r="D686" s="41" t="n"/>
      <c r="E686" s="41" t="n"/>
      <c r="F686" s="50" t="n"/>
      <c r="G686" s="42" t="n"/>
      <c r="H686" s="42" t="n"/>
      <c r="I686" s="43">
        <f>IF($B686="","",N($G686)-N($H686))</f>
        <v/>
      </c>
    </row>
    <row r="687">
      <c r="A687" s="39">
        <f>IF($B687="","",COUNTA($B$4:$B687))</f>
        <v/>
      </c>
      <c r="B687" s="45" t="n"/>
      <c r="C687" s="46" t="n"/>
      <c r="D687" s="46" t="n"/>
      <c r="E687" s="46" t="n"/>
      <c r="F687" s="51" t="n"/>
      <c r="G687" s="47" t="n"/>
      <c r="H687" s="47" t="n"/>
      <c r="I687" s="43">
        <f>IF($B687="","",N($G687)-N($H687))</f>
        <v/>
      </c>
    </row>
    <row r="688">
      <c r="A688" s="39">
        <f>IF($B688="","",COUNTA($B$4:$B688))</f>
        <v/>
      </c>
      <c r="B688" s="40" t="n"/>
      <c r="C688" s="41" t="n"/>
      <c r="D688" s="41" t="n"/>
      <c r="E688" s="41" t="n"/>
      <c r="F688" s="50" t="n"/>
      <c r="G688" s="42" t="n"/>
      <c r="H688" s="42" t="n"/>
      <c r="I688" s="43">
        <f>IF($B688="","",N($G688)-N($H688))</f>
        <v/>
      </c>
    </row>
    <row r="689">
      <c r="A689" s="39">
        <f>IF($B689="","",COUNTA($B$4:$B689))</f>
        <v/>
      </c>
      <c r="B689" s="45" t="n"/>
      <c r="C689" s="46" t="n"/>
      <c r="D689" s="46" t="n"/>
      <c r="E689" s="46" t="n"/>
      <c r="F689" s="51" t="n"/>
      <c r="G689" s="47" t="n"/>
      <c r="H689" s="47" t="n"/>
      <c r="I689" s="43">
        <f>IF($B689="","",N($G689)-N($H689))</f>
        <v/>
      </c>
    </row>
    <row r="690">
      <c r="A690" s="39">
        <f>IF($B690="","",COUNTA($B$4:$B690))</f>
        <v/>
      </c>
      <c r="B690" s="40" t="n"/>
      <c r="C690" s="41" t="n"/>
      <c r="D690" s="41" t="n"/>
      <c r="E690" s="41" t="n"/>
      <c r="F690" s="50" t="n"/>
      <c r="G690" s="42" t="n"/>
      <c r="H690" s="42" t="n"/>
      <c r="I690" s="43">
        <f>IF($B690="","",N($G690)-N($H690))</f>
        <v/>
      </c>
    </row>
    <row r="691">
      <c r="A691" s="39">
        <f>IF($B691="","",COUNTA($B$4:$B691))</f>
        <v/>
      </c>
      <c r="B691" s="45" t="n"/>
      <c r="C691" s="46" t="n"/>
      <c r="D691" s="46" t="n"/>
      <c r="E691" s="46" t="n"/>
      <c r="F691" s="51" t="n"/>
      <c r="G691" s="47" t="n"/>
      <c r="H691" s="47" t="n"/>
      <c r="I691" s="43">
        <f>IF($B691="","",N($G691)-N($H691))</f>
        <v/>
      </c>
    </row>
    <row r="692">
      <c r="A692" s="39">
        <f>IF($B692="","",COUNTA($B$4:$B692))</f>
        <v/>
      </c>
      <c r="B692" s="40" t="n"/>
      <c r="C692" s="41" t="n"/>
      <c r="D692" s="41" t="n"/>
      <c r="E692" s="41" t="n"/>
      <c r="F692" s="50" t="n"/>
      <c r="G692" s="42" t="n"/>
      <c r="H692" s="42" t="n"/>
      <c r="I692" s="43">
        <f>IF($B692="","",N($G692)-N($H692))</f>
        <v/>
      </c>
    </row>
    <row r="693">
      <c r="A693" s="39">
        <f>IF($B693="","",COUNTA($B$4:$B693))</f>
        <v/>
      </c>
      <c r="B693" s="45" t="n"/>
      <c r="C693" s="46" t="n"/>
      <c r="D693" s="46" t="n"/>
      <c r="E693" s="46" t="n"/>
      <c r="F693" s="51" t="n"/>
      <c r="G693" s="47" t="n"/>
      <c r="H693" s="47" t="n"/>
      <c r="I693" s="43">
        <f>IF($B693="","",N($G693)-N($H693))</f>
        <v/>
      </c>
    </row>
    <row r="694">
      <c r="A694" s="39">
        <f>IF($B694="","",COUNTA($B$4:$B694))</f>
        <v/>
      </c>
      <c r="B694" s="40" t="n"/>
      <c r="C694" s="41" t="n"/>
      <c r="D694" s="41" t="n"/>
      <c r="E694" s="41" t="n"/>
      <c r="F694" s="50" t="n"/>
      <c r="G694" s="42" t="n"/>
      <c r="H694" s="42" t="n"/>
      <c r="I694" s="43">
        <f>IF($B694="","",N($G694)-N($H694))</f>
        <v/>
      </c>
    </row>
    <row r="695">
      <c r="A695" s="39">
        <f>IF($B695="","",COUNTA($B$4:$B695))</f>
        <v/>
      </c>
      <c r="B695" s="45" t="n"/>
      <c r="C695" s="46" t="n"/>
      <c r="D695" s="46" t="n"/>
      <c r="E695" s="46" t="n"/>
      <c r="F695" s="51" t="n"/>
      <c r="G695" s="47" t="n"/>
      <c r="H695" s="47" t="n"/>
      <c r="I695" s="43">
        <f>IF($B695="","",N($G695)-N($H695))</f>
        <v/>
      </c>
    </row>
    <row r="696">
      <c r="A696" s="39">
        <f>IF($B696="","",COUNTA($B$4:$B696))</f>
        <v/>
      </c>
      <c r="B696" s="40" t="n"/>
      <c r="C696" s="41" t="n"/>
      <c r="D696" s="41" t="n"/>
      <c r="E696" s="41" t="n"/>
      <c r="F696" s="50" t="n"/>
      <c r="G696" s="42" t="n"/>
      <c r="H696" s="42" t="n"/>
      <c r="I696" s="43">
        <f>IF($B696="","",N($G696)-N($H696))</f>
        <v/>
      </c>
    </row>
    <row r="697">
      <c r="A697" s="39">
        <f>IF($B697="","",COUNTA($B$4:$B697))</f>
        <v/>
      </c>
      <c r="B697" s="45" t="n"/>
      <c r="C697" s="46" t="n"/>
      <c r="D697" s="46" t="n"/>
      <c r="E697" s="46" t="n"/>
      <c r="F697" s="51" t="n"/>
      <c r="G697" s="47" t="n"/>
      <c r="H697" s="47" t="n"/>
      <c r="I697" s="43">
        <f>IF($B697="","",N($G697)-N($H697))</f>
        <v/>
      </c>
    </row>
    <row r="698">
      <c r="A698" s="39">
        <f>IF($B698="","",COUNTA($B$4:$B698))</f>
        <v/>
      </c>
      <c r="B698" s="40" t="n"/>
      <c r="C698" s="41" t="n"/>
      <c r="D698" s="41" t="n"/>
      <c r="E698" s="41" t="n"/>
      <c r="F698" s="50" t="n"/>
      <c r="G698" s="42" t="n"/>
      <c r="H698" s="42" t="n"/>
      <c r="I698" s="43">
        <f>IF($B698="","",N($G698)-N($H698))</f>
        <v/>
      </c>
    </row>
    <row r="699">
      <c r="A699" s="39">
        <f>IF($B699="","",COUNTA($B$4:$B699))</f>
        <v/>
      </c>
      <c r="B699" s="45" t="n"/>
      <c r="C699" s="46" t="n"/>
      <c r="D699" s="46" t="n"/>
      <c r="E699" s="46" t="n"/>
      <c r="F699" s="51" t="n"/>
      <c r="G699" s="47" t="n"/>
      <c r="H699" s="47" t="n"/>
      <c r="I699" s="43">
        <f>IF($B699="","",N($G699)-N($H699))</f>
        <v/>
      </c>
    </row>
    <row r="700">
      <c r="A700" s="39">
        <f>IF($B700="","",COUNTA($B$4:$B700))</f>
        <v/>
      </c>
      <c r="B700" s="40" t="n"/>
      <c r="C700" s="41" t="n"/>
      <c r="D700" s="41" t="n"/>
      <c r="E700" s="41" t="n"/>
      <c r="F700" s="50" t="n"/>
      <c r="G700" s="42" t="n"/>
      <c r="H700" s="42" t="n"/>
      <c r="I700" s="43">
        <f>IF($B700="","",N($G700)-N($H700))</f>
        <v/>
      </c>
    </row>
    <row r="701">
      <c r="A701" s="39">
        <f>IF($B701="","",COUNTA($B$4:$B701))</f>
        <v/>
      </c>
      <c r="B701" s="45" t="n"/>
      <c r="C701" s="46" t="n"/>
      <c r="D701" s="46" t="n"/>
      <c r="E701" s="46" t="n"/>
      <c r="F701" s="51" t="n"/>
      <c r="G701" s="47" t="n"/>
      <c r="H701" s="47" t="n"/>
      <c r="I701" s="43">
        <f>IF($B701="","",N($G701)-N($H701))</f>
        <v/>
      </c>
    </row>
    <row r="702">
      <c r="A702" s="39">
        <f>IF($B702="","",COUNTA($B$4:$B702))</f>
        <v/>
      </c>
      <c r="B702" s="40" t="n"/>
      <c r="C702" s="41" t="n"/>
      <c r="D702" s="41" t="n"/>
      <c r="E702" s="41" t="n"/>
      <c r="F702" s="50" t="n"/>
      <c r="G702" s="42" t="n"/>
      <c r="H702" s="42" t="n"/>
      <c r="I702" s="43">
        <f>IF($B702="","",N($G702)-N($H702))</f>
        <v/>
      </c>
    </row>
    <row r="703">
      <c r="A703" s="39">
        <f>IF($B703="","",COUNTA($B$4:$B703))</f>
        <v/>
      </c>
      <c r="B703" s="45" t="n"/>
      <c r="C703" s="46" t="n"/>
      <c r="D703" s="46" t="n"/>
      <c r="E703" s="46" t="n"/>
      <c r="F703" s="51" t="n"/>
      <c r="G703" s="47" t="n"/>
      <c r="H703" s="47" t="n"/>
      <c r="I703" s="43">
        <f>IF($B703="","",N($G703)-N($H703))</f>
        <v/>
      </c>
    </row>
    <row r="704">
      <c r="A704" s="39">
        <f>IF($B704="","",COUNTA($B$4:$B704))</f>
        <v/>
      </c>
      <c r="B704" s="40" t="n"/>
      <c r="C704" s="41" t="n"/>
      <c r="D704" s="41" t="n"/>
      <c r="E704" s="41" t="n"/>
      <c r="F704" s="50" t="n"/>
      <c r="G704" s="42" t="n"/>
      <c r="H704" s="42" t="n"/>
      <c r="I704" s="43">
        <f>IF($B704="","",N($G704)-N($H704))</f>
        <v/>
      </c>
    </row>
    <row r="705">
      <c r="A705" s="39">
        <f>IF($B705="","",COUNTA($B$4:$B705))</f>
        <v/>
      </c>
      <c r="B705" s="45" t="n"/>
      <c r="C705" s="46" t="n"/>
      <c r="D705" s="46" t="n"/>
      <c r="E705" s="46" t="n"/>
      <c r="F705" s="51" t="n"/>
      <c r="G705" s="47" t="n"/>
      <c r="H705" s="47" t="n"/>
      <c r="I705" s="43">
        <f>IF($B705="","",N($G705)-N($H705))</f>
        <v/>
      </c>
    </row>
    <row r="706">
      <c r="A706" s="39">
        <f>IF($B706="","",COUNTA($B$4:$B706))</f>
        <v/>
      </c>
      <c r="B706" s="40" t="n"/>
      <c r="C706" s="41" t="n"/>
      <c r="D706" s="41" t="n"/>
      <c r="E706" s="41" t="n"/>
      <c r="F706" s="50" t="n"/>
      <c r="G706" s="42" t="n"/>
      <c r="H706" s="42" t="n"/>
      <c r="I706" s="43">
        <f>IF($B706="","",N($G706)-N($H706))</f>
        <v/>
      </c>
    </row>
    <row r="707">
      <c r="A707" s="39">
        <f>IF($B707="","",COUNTA($B$4:$B707))</f>
        <v/>
      </c>
      <c r="B707" s="45" t="n"/>
      <c r="C707" s="46" t="n"/>
      <c r="D707" s="46" t="n"/>
      <c r="E707" s="46" t="n"/>
      <c r="F707" s="51" t="n"/>
      <c r="G707" s="47" t="n"/>
      <c r="H707" s="47" t="n"/>
      <c r="I707" s="43">
        <f>IF($B707="","",N($G707)-N($H707))</f>
        <v/>
      </c>
    </row>
    <row r="708">
      <c r="A708" s="39">
        <f>IF($B708="","",COUNTA($B$4:$B708))</f>
        <v/>
      </c>
      <c r="B708" s="40" t="n"/>
      <c r="C708" s="41" t="n"/>
      <c r="D708" s="41" t="n"/>
      <c r="E708" s="41" t="n"/>
      <c r="F708" s="50" t="n"/>
      <c r="G708" s="42" t="n"/>
      <c r="H708" s="42" t="n"/>
      <c r="I708" s="43">
        <f>IF($B708="","",N($G708)-N($H708))</f>
        <v/>
      </c>
    </row>
    <row r="709">
      <c r="A709" s="39">
        <f>IF($B709="","",COUNTA($B$4:$B709))</f>
        <v/>
      </c>
      <c r="B709" s="45" t="n"/>
      <c r="C709" s="46" t="n"/>
      <c r="D709" s="46" t="n"/>
      <c r="E709" s="46" t="n"/>
      <c r="F709" s="51" t="n"/>
      <c r="G709" s="47" t="n"/>
      <c r="H709" s="47" t="n"/>
      <c r="I709" s="43">
        <f>IF($B709="","",N($G709)-N($H709))</f>
        <v/>
      </c>
    </row>
    <row r="710">
      <c r="A710" s="39">
        <f>IF($B710="","",COUNTA($B$4:$B710))</f>
        <v/>
      </c>
      <c r="B710" s="40" t="n"/>
      <c r="C710" s="41" t="n"/>
      <c r="D710" s="41" t="n"/>
      <c r="E710" s="41" t="n"/>
      <c r="F710" s="50" t="n"/>
      <c r="G710" s="42" t="n"/>
      <c r="H710" s="42" t="n"/>
      <c r="I710" s="43">
        <f>IF($B710="","",N($G710)-N($H710))</f>
        <v/>
      </c>
    </row>
    <row r="711">
      <c r="A711" s="39">
        <f>IF($B711="","",COUNTA($B$4:$B711))</f>
        <v/>
      </c>
      <c r="B711" s="45" t="n"/>
      <c r="C711" s="46" t="n"/>
      <c r="D711" s="46" t="n"/>
      <c r="E711" s="46" t="n"/>
      <c r="F711" s="51" t="n"/>
      <c r="G711" s="47" t="n"/>
      <c r="H711" s="47" t="n"/>
      <c r="I711" s="43">
        <f>IF($B711="","",N($G711)-N($H711))</f>
        <v/>
      </c>
    </row>
    <row r="712">
      <c r="A712" s="39">
        <f>IF($B712="","",COUNTA($B$4:$B712))</f>
        <v/>
      </c>
      <c r="B712" s="40" t="n"/>
      <c r="C712" s="41" t="n"/>
      <c r="D712" s="41" t="n"/>
      <c r="E712" s="41" t="n"/>
      <c r="F712" s="50" t="n"/>
      <c r="G712" s="42" t="n"/>
      <c r="H712" s="42" t="n"/>
      <c r="I712" s="43">
        <f>IF($B712="","",N($G712)-N($H712))</f>
        <v/>
      </c>
    </row>
    <row r="713">
      <c r="A713" s="39">
        <f>IF($B713="","",COUNTA($B$4:$B713))</f>
        <v/>
      </c>
      <c r="B713" s="45" t="n"/>
      <c r="C713" s="46" t="n"/>
      <c r="D713" s="46" t="n"/>
      <c r="E713" s="46" t="n"/>
      <c r="F713" s="51" t="n"/>
      <c r="G713" s="47" t="n"/>
      <c r="H713" s="47" t="n"/>
      <c r="I713" s="43">
        <f>IF($B713="","",N($G713)-N($H713))</f>
        <v/>
      </c>
    </row>
    <row r="714">
      <c r="A714" s="39">
        <f>IF($B714="","",COUNTA($B$4:$B714))</f>
        <v/>
      </c>
      <c r="B714" s="40" t="n"/>
      <c r="C714" s="41" t="n"/>
      <c r="D714" s="41" t="n"/>
      <c r="E714" s="41" t="n"/>
      <c r="F714" s="50" t="n"/>
      <c r="G714" s="42" t="n"/>
      <c r="H714" s="42" t="n"/>
      <c r="I714" s="43">
        <f>IF($B714="","",N($G714)-N($H714))</f>
        <v/>
      </c>
    </row>
    <row r="715">
      <c r="A715" s="39">
        <f>IF($B715="","",COUNTA($B$4:$B715))</f>
        <v/>
      </c>
      <c r="B715" s="45" t="n"/>
      <c r="C715" s="46" t="n"/>
      <c r="D715" s="46" t="n"/>
      <c r="E715" s="46" t="n"/>
      <c r="F715" s="51" t="n"/>
      <c r="G715" s="47" t="n"/>
      <c r="H715" s="47" t="n"/>
      <c r="I715" s="43">
        <f>IF($B715="","",N($G715)-N($H715))</f>
        <v/>
      </c>
    </row>
    <row r="716">
      <c r="A716" s="39">
        <f>IF($B716="","",COUNTA($B$4:$B716))</f>
        <v/>
      </c>
      <c r="B716" s="40" t="n"/>
      <c r="C716" s="41" t="n"/>
      <c r="D716" s="41" t="n"/>
      <c r="E716" s="41" t="n"/>
      <c r="F716" s="50" t="n"/>
      <c r="G716" s="42" t="n"/>
      <c r="H716" s="42" t="n"/>
      <c r="I716" s="43">
        <f>IF($B716="","",N($G716)-N($H716))</f>
        <v/>
      </c>
    </row>
    <row r="717">
      <c r="A717" s="39">
        <f>IF($B717="","",COUNTA($B$4:$B717))</f>
        <v/>
      </c>
      <c r="B717" s="45" t="n"/>
      <c r="C717" s="46" t="n"/>
      <c r="D717" s="46" t="n"/>
      <c r="E717" s="46" t="n"/>
      <c r="F717" s="51" t="n"/>
      <c r="G717" s="47" t="n"/>
      <c r="H717" s="47" t="n"/>
      <c r="I717" s="43">
        <f>IF($B717="","",N($G717)-N($H717))</f>
        <v/>
      </c>
    </row>
    <row r="718">
      <c r="A718" s="39">
        <f>IF($B718="","",COUNTA($B$4:$B718))</f>
        <v/>
      </c>
      <c r="B718" s="40" t="n"/>
      <c r="C718" s="41" t="n"/>
      <c r="D718" s="41" t="n"/>
      <c r="E718" s="41" t="n"/>
      <c r="F718" s="50" t="n"/>
      <c r="G718" s="42" t="n"/>
      <c r="H718" s="42" t="n"/>
      <c r="I718" s="43">
        <f>IF($B718="","",N($G718)-N($H718))</f>
        <v/>
      </c>
    </row>
    <row r="719">
      <c r="A719" s="39">
        <f>IF($B719="","",COUNTA($B$4:$B719))</f>
        <v/>
      </c>
      <c r="B719" s="45" t="n"/>
      <c r="C719" s="46" t="n"/>
      <c r="D719" s="46" t="n"/>
      <c r="E719" s="46" t="n"/>
      <c r="F719" s="51" t="n"/>
      <c r="G719" s="47" t="n"/>
      <c r="H719" s="47" t="n"/>
      <c r="I719" s="43">
        <f>IF($B719="","",N($G719)-N($H719))</f>
        <v/>
      </c>
    </row>
    <row r="720">
      <c r="A720" s="39">
        <f>IF($B720="","",COUNTA($B$4:$B720))</f>
        <v/>
      </c>
      <c r="B720" s="40" t="n"/>
      <c r="C720" s="41" t="n"/>
      <c r="D720" s="41" t="n"/>
      <c r="E720" s="41" t="n"/>
      <c r="F720" s="50" t="n"/>
      <c r="G720" s="42" t="n"/>
      <c r="H720" s="42" t="n"/>
      <c r="I720" s="43">
        <f>IF($B720="","",N($G720)-N($H720))</f>
        <v/>
      </c>
    </row>
    <row r="721">
      <c r="A721" s="39">
        <f>IF($B721="","",COUNTA($B$4:$B721))</f>
        <v/>
      </c>
      <c r="B721" s="45" t="n"/>
      <c r="C721" s="46" t="n"/>
      <c r="D721" s="46" t="n"/>
      <c r="E721" s="46" t="n"/>
      <c r="F721" s="51" t="n"/>
      <c r="G721" s="47" t="n"/>
      <c r="H721" s="47" t="n"/>
      <c r="I721" s="43">
        <f>IF($B721="","",N($G721)-N($H721))</f>
        <v/>
      </c>
    </row>
    <row r="722">
      <c r="A722" s="39">
        <f>IF($B722="","",COUNTA($B$4:$B722))</f>
        <v/>
      </c>
      <c r="B722" s="40" t="n"/>
      <c r="C722" s="41" t="n"/>
      <c r="D722" s="41" t="n"/>
      <c r="E722" s="41" t="n"/>
      <c r="F722" s="50" t="n"/>
      <c r="G722" s="42" t="n"/>
      <c r="H722" s="42" t="n"/>
      <c r="I722" s="43">
        <f>IF($B722="","",N($G722)-N($H722))</f>
        <v/>
      </c>
    </row>
    <row r="723">
      <c r="A723" s="39">
        <f>IF($B723="","",COUNTA($B$4:$B723))</f>
        <v/>
      </c>
      <c r="B723" s="45" t="n"/>
      <c r="C723" s="46" t="n"/>
      <c r="D723" s="46" t="n"/>
      <c r="E723" s="46" t="n"/>
      <c r="F723" s="51" t="n"/>
      <c r="G723" s="47" t="n"/>
      <c r="H723" s="47" t="n"/>
      <c r="I723" s="43">
        <f>IF($B723="","",N($G723)-N($H723))</f>
        <v/>
      </c>
    </row>
    <row r="724">
      <c r="A724" s="39">
        <f>IF($B724="","",COUNTA($B$4:$B724))</f>
        <v/>
      </c>
      <c r="B724" s="40" t="n"/>
      <c r="C724" s="41" t="n"/>
      <c r="D724" s="41" t="n"/>
      <c r="E724" s="41" t="n"/>
      <c r="F724" s="50" t="n"/>
      <c r="G724" s="42" t="n"/>
      <c r="H724" s="42" t="n"/>
      <c r="I724" s="43">
        <f>IF($B724="","",N($G724)-N($H724))</f>
        <v/>
      </c>
    </row>
    <row r="725">
      <c r="A725" s="39">
        <f>IF($B725="","",COUNTA($B$4:$B725))</f>
        <v/>
      </c>
      <c r="B725" s="45" t="n"/>
      <c r="C725" s="46" t="n"/>
      <c r="D725" s="46" t="n"/>
      <c r="E725" s="46" t="n"/>
      <c r="F725" s="51" t="n"/>
      <c r="G725" s="47" t="n"/>
      <c r="H725" s="47" t="n"/>
      <c r="I725" s="43">
        <f>IF($B725="","",N($G725)-N($H725))</f>
        <v/>
      </c>
    </row>
    <row r="726">
      <c r="A726" s="39">
        <f>IF($B726="","",COUNTA($B$4:$B726))</f>
        <v/>
      </c>
      <c r="B726" s="40" t="n"/>
      <c r="C726" s="41" t="n"/>
      <c r="D726" s="41" t="n"/>
      <c r="E726" s="41" t="n"/>
      <c r="F726" s="50" t="n"/>
      <c r="G726" s="42" t="n"/>
      <c r="H726" s="42" t="n"/>
      <c r="I726" s="43">
        <f>IF($B726="","",N($G726)-N($H726))</f>
        <v/>
      </c>
    </row>
    <row r="727">
      <c r="A727" s="39">
        <f>IF($B727="","",COUNTA($B$4:$B727))</f>
        <v/>
      </c>
      <c r="B727" s="45" t="n"/>
      <c r="C727" s="46" t="n"/>
      <c r="D727" s="46" t="n"/>
      <c r="E727" s="46" t="n"/>
      <c r="F727" s="51" t="n"/>
      <c r="G727" s="47" t="n"/>
      <c r="H727" s="47" t="n"/>
      <c r="I727" s="43">
        <f>IF($B727="","",N($G727)-N($H727))</f>
        <v/>
      </c>
    </row>
    <row r="728">
      <c r="A728" s="39">
        <f>IF($B728="","",COUNTA($B$4:$B728))</f>
        <v/>
      </c>
      <c r="B728" s="40" t="n"/>
      <c r="C728" s="41" t="n"/>
      <c r="D728" s="41" t="n"/>
      <c r="E728" s="41" t="n"/>
      <c r="F728" s="50" t="n"/>
      <c r="G728" s="42" t="n"/>
      <c r="H728" s="42" t="n"/>
      <c r="I728" s="43">
        <f>IF($B728="","",N($G728)-N($H728))</f>
        <v/>
      </c>
    </row>
    <row r="729">
      <c r="A729" s="39">
        <f>IF($B729="","",COUNTA($B$4:$B729))</f>
        <v/>
      </c>
      <c r="B729" s="45" t="n"/>
      <c r="C729" s="46" t="n"/>
      <c r="D729" s="46" t="n"/>
      <c r="E729" s="46" t="n"/>
      <c r="F729" s="51" t="n"/>
      <c r="G729" s="47" t="n"/>
      <c r="H729" s="47" t="n"/>
      <c r="I729" s="43">
        <f>IF($B729="","",N($G729)-N($H729))</f>
        <v/>
      </c>
    </row>
    <row r="730">
      <c r="A730" s="39">
        <f>IF($B730="","",COUNTA($B$4:$B730))</f>
        <v/>
      </c>
      <c r="B730" s="40" t="n"/>
      <c r="C730" s="41" t="n"/>
      <c r="D730" s="41" t="n"/>
      <c r="E730" s="41" t="n"/>
      <c r="F730" s="50" t="n"/>
      <c r="G730" s="42" t="n"/>
      <c r="H730" s="42" t="n"/>
      <c r="I730" s="43">
        <f>IF($B730="","",N($G730)-N($H730))</f>
        <v/>
      </c>
    </row>
    <row r="731">
      <c r="A731" s="39">
        <f>IF($B731="","",COUNTA($B$4:$B731))</f>
        <v/>
      </c>
      <c r="B731" s="45" t="n"/>
      <c r="C731" s="46" t="n"/>
      <c r="D731" s="46" t="n"/>
      <c r="E731" s="46" t="n"/>
      <c r="F731" s="51" t="n"/>
      <c r="G731" s="47" t="n"/>
      <c r="H731" s="47" t="n"/>
      <c r="I731" s="43">
        <f>IF($B731="","",N($G731)-N($H731))</f>
        <v/>
      </c>
    </row>
    <row r="732">
      <c r="A732" s="39">
        <f>IF($B732="","",COUNTA($B$4:$B732))</f>
        <v/>
      </c>
      <c r="B732" s="40" t="n"/>
      <c r="C732" s="41" t="n"/>
      <c r="D732" s="41" t="n"/>
      <c r="E732" s="41" t="n"/>
      <c r="F732" s="50" t="n"/>
      <c r="G732" s="42" t="n"/>
      <c r="H732" s="42" t="n"/>
      <c r="I732" s="43">
        <f>IF($B732="","",N($G732)-N($H732))</f>
        <v/>
      </c>
    </row>
    <row r="733">
      <c r="A733" s="39">
        <f>IF($B733="","",COUNTA($B$4:$B733))</f>
        <v/>
      </c>
      <c r="B733" s="45" t="n"/>
      <c r="C733" s="46" t="n"/>
      <c r="D733" s="46" t="n"/>
      <c r="E733" s="46" t="n"/>
      <c r="F733" s="51" t="n"/>
      <c r="G733" s="47" t="n"/>
      <c r="H733" s="47" t="n"/>
      <c r="I733" s="43">
        <f>IF($B733="","",N($G733)-N($H733))</f>
        <v/>
      </c>
    </row>
    <row r="734">
      <c r="A734" s="39">
        <f>IF($B734="","",COUNTA($B$4:$B734))</f>
        <v/>
      </c>
      <c r="B734" s="40" t="n"/>
      <c r="C734" s="41" t="n"/>
      <c r="D734" s="41" t="n"/>
      <c r="E734" s="41" t="n"/>
      <c r="F734" s="50" t="n"/>
      <c r="G734" s="42" t="n"/>
      <c r="H734" s="42" t="n"/>
      <c r="I734" s="43">
        <f>IF($B734="","",N($G734)-N($H734))</f>
        <v/>
      </c>
    </row>
    <row r="735">
      <c r="A735" s="39">
        <f>IF($B735="","",COUNTA($B$4:$B735))</f>
        <v/>
      </c>
      <c r="B735" s="45" t="n"/>
      <c r="C735" s="46" t="n"/>
      <c r="D735" s="46" t="n"/>
      <c r="E735" s="46" t="n"/>
      <c r="F735" s="51" t="n"/>
      <c r="G735" s="47" t="n"/>
      <c r="H735" s="47" t="n"/>
      <c r="I735" s="43">
        <f>IF($B735="","",N($G735)-N($H735))</f>
        <v/>
      </c>
    </row>
    <row r="736">
      <c r="A736" s="39">
        <f>IF($B736="","",COUNTA($B$4:$B736))</f>
        <v/>
      </c>
      <c r="B736" s="40" t="n"/>
      <c r="C736" s="41" t="n"/>
      <c r="D736" s="41" t="n"/>
      <c r="E736" s="41" t="n"/>
      <c r="F736" s="50" t="n"/>
      <c r="G736" s="42" t="n"/>
      <c r="H736" s="42" t="n"/>
      <c r="I736" s="43">
        <f>IF($B736="","",N($G736)-N($H736))</f>
        <v/>
      </c>
    </row>
    <row r="737">
      <c r="A737" s="39">
        <f>IF($B737="","",COUNTA($B$4:$B737))</f>
        <v/>
      </c>
      <c r="B737" s="45" t="n"/>
      <c r="C737" s="46" t="n"/>
      <c r="D737" s="46" t="n"/>
      <c r="E737" s="46" t="n"/>
      <c r="F737" s="51" t="n"/>
      <c r="G737" s="47" t="n"/>
      <c r="H737" s="47" t="n"/>
      <c r="I737" s="43">
        <f>IF($B737="","",N($G737)-N($H737))</f>
        <v/>
      </c>
    </row>
    <row r="738">
      <c r="A738" s="39">
        <f>IF($B738="","",COUNTA($B$4:$B738))</f>
        <v/>
      </c>
      <c r="B738" s="40" t="n"/>
      <c r="C738" s="41" t="n"/>
      <c r="D738" s="41" t="n"/>
      <c r="E738" s="41" t="n"/>
      <c r="F738" s="50" t="n"/>
      <c r="G738" s="42" t="n"/>
      <c r="H738" s="42" t="n"/>
      <c r="I738" s="43">
        <f>IF($B738="","",N($G738)-N($H738))</f>
        <v/>
      </c>
    </row>
    <row r="739">
      <c r="A739" s="39">
        <f>IF($B739="","",COUNTA($B$4:$B739))</f>
        <v/>
      </c>
      <c r="B739" s="45" t="n"/>
      <c r="C739" s="46" t="n"/>
      <c r="D739" s="46" t="n"/>
      <c r="E739" s="46" t="n"/>
      <c r="F739" s="51" t="n"/>
      <c r="G739" s="47" t="n"/>
      <c r="H739" s="47" t="n"/>
      <c r="I739" s="43">
        <f>IF($B739="","",N($G739)-N($H739))</f>
        <v/>
      </c>
    </row>
    <row r="740">
      <c r="A740" s="39">
        <f>IF($B740="","",COUNTA($B$4:$B740))</f>
        <v/>
      </c>
      <c r="B740" s="40" t="n"/>
      <c r="C740" s="41" t="n"/>
      <c r="D740" s="41" t="n"/>
      <c r="E740" s="41" t="n"/>
      <c r="F740" s="50" t="n"/>
      <c r="G740" s="42" t="n"/>
      <c r="H740" s="42" t="n"/>
      <c r="I740" s="43">
        <f>IF($B740="","",N($G740)-N($H740))</f>
        <v/>
      </c>
    </row>
    <row r="741">
      <c r="A741" s="39">
        <f>IF($B741="","",COUNTA($B$4:$B741))</f>
        <v/>
      </c>
      <c r="B741" s="45" t="n"/>
      <c r="C741" s="46" t="n"/>
      <c r="D741" s="46" t="n"/>
      <c r="E741" s="46" t="n"/>
      <c r="F741" s="51" t="n"/>
      <c r="G741" s="47" t="n"/>
      <c r="H741" s="47" t="n"/>
      <c r="I741" s="43">
        <f>IF($B741="","",N($G741)-N($H741))</f>
        <v/>
      </c>
    </row>
    <row r="742">
      <c r="A742" s="39">
        <f>IF($B742="","",COUNTA($B$4:$B742))</f>
        <v/>
      </c>
      <c r="B742" s="40" t="n"/>
      <c r="C742" s="41" t="n"/>
      <c r="D742" s="41" t="n"/>
      <c r="E742" s="41" t="n"/>
      <c r="F742" s="50" t="n"/>
      <c r="G742" s="42" t="n"/>
      <c r="H742" s="42" t="n"/>
      <c r="I742" s="43">
        <f>IF($B742="","",N($G742)-N($H742))</f>
        <v/>
      </c>
    </row>
    <row r="743">
      <c r="A743" s="39">
        <f>IF($B743="","",COUNTA($B$4:$B743))</f>
        <v/>
      </c>
      <c r="B743" s="45" t="n"/>
      <c r="C743" s="46" t="n"/>
      <c r="D743" s="46" t="n"/>
      <c r="E743" s="46" t="n"/>
      <c r="F743" s="51" t="n"/>
      <c r="G743" s="47" t="n"/>
      <c r="H743" s="47" t="n"/>
      <c r="I743" s="43">
        <f>IF($B743="","",N($G743)-N($H743))</f>
        <v/>
      </c>
    </row>
    <row r="744">
      <c r="A744" s="39">
        <f>IF($B744="","",COUNTA($B$4:$B744))</f>
        <v/>
      </c>
      <c r="B744" s="40" t="n"/>
      <c r="C744" s="41" t="n"/>
      <c r="D744" s="41" t="n"/>
      <c r="E744" s="41" t="n"/>
      <c r="F744" s="50" t="n"/>
      <c r="G744" s="42" t="n"/>
      <c r="H744" s="42" t="n"/>
      <c r="I744" s="43">
        <f>IF($B744="","",N($G744)-N($H744))</f>
        <v/>
      </c>
    </row>
    <row r="745">
      <c r="A745" s="39">
        <f>IF($B745="","",COUNTA($B$4:$B745))</f>
        <v/>
      </c>
      <c r="B745" s="45" t="n"/>
      <c r="C745" s="46" t="n"/>
      <c r="D745" s="46" t="n"/>
      <c r="E745" s="46" t="n"/>
      <c r="F745" s="51" t="n"/>
      <c r="G745" s="47" t="n"/>
      <c r="H745" s="47" t="n"/>
      <c r="I745" s="43">
        <f>IF($B745="","",N($G745)-N($H745))</f>
        <v/>
      </c>
    </row>
    <row r="746">
      <c r="A746" s="39">
        <f>IF($B746="","",COUNTA($B$4:$B746))</f>
        <v/>
      </c>
      <c r="B746" s="40" t="n"/>
      <c r="C746" s="41" t="n"/>
      <c r="D746" s="41" t="n"/>
      <c r="E746" s="41" t="n"/>
      <c r="F746" s="50" t="n"/>
      <c r="G746" s="42" t="n"/>
      <c r="H746" s="42" t="n"/>
      <c r="I746" s="43">
        <f>IF($B746="","",N($G746)-N($H746))</f>
        <v/>
      </c>
    </row>
    <row r="747">
      <c r="A747" s="39">
        <f>IF($B747="","",COUNTA($B$4:$B747))</f>
        <v/>
      </c>
      <c r="B747" s="45" t="n"/>
      <c r="C747" s="46" t="n"/>
      <c r="D747" s="46" t="n"/>
      <c r="E747" s="46" t="n"/>
      <c r="F747" s="51" t="n"/>
      <c r="G747" s="47" t="n"/>
      <c r="H747" s="47" t="n"/>
      <c r="I747" s="43">
        <f>IF($B747="","",N($G747)-N($H747))</f>
        <v/>
      </c>
    </row>
    <row r="748">
      <c r="A748" s="39">
        <f>IF($B748="","",COUNTA($B$4:$B748))</f>
        <v/>
      </c>
      <c r="B748" s="40" t="n"/>
      <c r="C748" s="41" t="n"/>
      <c r="D748" s="41" t="n"/>
      <c r="E748" s="41" t="n"/>
      <c r="F748" s="50" t="n"/>
      <c r="G748" s="42" t="n"/>
      <c r="H748" s="42" t="n"/>
      <c r="I748" s="43">
        <f>IF($B748="","",N($G748)-N($H748))</f>
        <v/>
      </c>
    </row>
    <row r="749">
      <c r="A749" s="39">
        <f>IF($B749="","",COUNTA($B$4:$B749))</f>
        <v/>
      </c>
      <c r="B749" s="45" t="n"/>
      <c r="C749" s="46" t="n"/>
      <c r="D749" s="46" t="n"/>
      <c r="E749" s="46" t="n"/>
      <c r="F749" s="51" t="n"/>
      <c r="G749" s="47" t="n"/>
      <c r="H749" s="47" t="n"/>
      <c r="I749" s="43">
        <f>IF($B749="","",N($G749)-N($H749))</f>
        <v/>
      </c>
    </row>
    <row r="750">
      <c r="A750" s="39">
        <f>IF($B750="","",COUNTA($B$4:$B750))</f>
        <v/>
      </c>
      <c r="B750" s="40" t="n"/>
      <c r="C750" s="41" t="n"/>
      <c r="D750" s="41" t="n"/>
      <c r="E750" s="41" t="n"/>
      <c r="F750" s="50" t="n"/>
      <c r="G750" s="42" t="n"/>
      <c r="H750" s="42" t="n"/>
      <c r="I750" s="43">
        <f>IF($B750="","",N($G750)-N($H750))</f>
        <v/>
      </c>
    </row>
    <row r="751">
      <c r="A751" s="39">
        <f>IF($B751="","",COUNTA($B$4:$B751))</f>
        <v/>
      </c>
      <c r="B751" s="45" t="n"/>
      <c r="C751" s="46" t="n"/>
      <c r="D751" s="46" t="n"/>
      <c r="E751" s="46" t="n"/>
      <c r="F751" s="51" t="n"/>
      <c r="G751" s="47" t="n"/>
      <c r="H751" s="47" t="n"/>
      <c r="I751" s="43">
        <f>IF($B751="","",N($G751)-N($H751))</f>
        <v/>
      </c>
    </row>
    <row r="752">
      <c r="A752" s="39">
        <f>IF($B752="","",COUNTA($B$4:$B752))</f>
        <v/>
      </c>
      <c r="B752" s="40" t="n"/>
      <c r="C752" s="41" t="n"/>
      <c r="D752" s="41" t="n"/>
      <c r="E752" s="41" t="n"/>
      <c r="F752" s="50" t="n"/>
      <c r="G752" s="42" t="n"/>
      <c r="H752" s="42" t="n"/>
      <c r="I752" s="43">
        <f>IF($B752="","",N($G752)-N($H752))</f>
        <v/>
      </c>
    </row>
    <row r="753">
      <c r="A753" s="39">
        <f>IF($B753="","",COUNTA($B$4:$B753))</f>
        <v/>
      </c>
      <c r="B753" s="45" t="n"/>
      <c r="C753" s="46" t="n"/>
      <c r="D753" s="46" t="n"/>
      <c r="E753" s="46" t="n"/>
      <c r="F753" s="51" t="n"/>
      <c r="G753" s="47" t="n"/>
      <c r="H753" s="47" t="n"/>
      <c r="I753" s="43">
        <f>IF($B753="","",N($G753)-N($H753))</f>
        <v/>
      </c>
    </row>
    <row r="754">
      <c r="A754" s="39">
        <f>IF($B754="","",COUNTA($B$4:$B754))</f>
        <v/>
      </c>
      <c r="B754" s="40" t="n"/>
      <c r="C754" s="41" t="n"/>
      <c r="D754" s="41" t="n"/>
      <c r="E754" s="41" t="n"/>
      <c r="F754" s="50" t="n"/>
      <c r="G754" s="42" t="n"/>
      <c r="H754" s="42" t="n"/>
      <c r="I754" s="43">
        <f>IF($B754="","",N($G754)-N($H754))</f>
        <v/>
      </c>
    </row>
    <row r="755">
      <c r="A755" s="39">
        <f>IF($B755="","",COUNTA($B$4:$B755))</f>
        <v/>
      </c>
      <c r="B755" s="45" t="n"/>
      <c r="C755" s="46" t="n"/>
      <c r="D755" s="46" t="n"/>
      <c r="E755" s="46" t="n"/>
      <c r="F755" s="51" t="n"/>
      <c r="G755" s="47" t="n"/>
      <c r="H755" s="47" t="n"/>
      <c r="I755" s="43">
        <f>IF($B755="","",N($G755)-N($H755))</f>
        <v/>
      </c>
    </row>
    <row r="756">
      <c r="A756" s="39">
        <f>IF($B756="","",COUNTA($B$4:$B756))</f>
        <v/>
      </c>
      <c r="B756" s="40" t="n"/>
      <c r="C756" s="41" t="n"/>
      <c r="D756" s="41" t="n"/>
      <c r="E756" s="41" t="n"/>
      <c r="F756" s="50" t="n"/>
      <c r="G756" s="42" t="n"/>
      <c r="H756" s="42" t="n"/>
      <c r="I756" s="43">
        <f>IF($B756="","",N($G756)-N($H756))</f>
        <v/>
      </c>
    </row>
    <row r="757">
      <c r="A757" s="39">
        <f>IF($B757="","",COUNTA($B$4:$B757))</f>
        <v/>
      </c>
      <c r="B757" s="45" t="n"/>
      <c r="C757" s="46" t="n"/>
      <c r="D757" s="46" t="n"/>
      <c r="E757" s="46" t="n"/>
      <c r="F757" s="51" t="n"/>
      <c r="G757" s="47" t="n"/>
      <c r="H757" s="47" t="n"/>
      <c r="I757" s="43">
        <f>IF($B757="","",N($G757)-N($H757))</f>
        <v/>
      </c>
    </row>
    <row r="758">
      <c r="A758" s="39">
        <f>IF($B758="","",COUNTA($B$4:$B758))</f>
        <v/>
      </c>
      <c r="B758" s="40" t="n"/>
      <c r="C758" s="41" t="n"/>
      <c r="D758" s="41" t="n"/>
      <c r="E758" s="41" t="n"/>
      <c r="F758" s="50" t="n"/>
      <c r="G758" s="42" t="n"/>
      <c r="H758" s="42" t="n"/>
      <c r="I758" s="43">
        <f>IF($B758="","",N($G758)-N($H758))</f>
        <v/>
      </c>
    </row>
    <row r="759">
      <c r="A759" s="39">
        <f>IF($B759="","",COUNTA($B$4:$B759))</f>
        <v/>
      </c>
      <c r="B759" s="45" t="n"/>
      <c r="C759" s="46" t="n"/>
      <c r="D759" s="46" t="n"/>
      <c r="E759" s="46" t="n"/>
      <c r="F759" s="51" t="n"/>
      <c r="G759" s="47" t="n"/>
      <c r="H759" s="47" t="n"/>
      <c r="I759" s="43">
        <f>IF($B759="","",N($G759)-N($H759))</f>
        <v/>
      </c>
    </row>
    <row r="760">
      <c r="A760" s="39">
        <f>IF($B760="","",COUNTA($B$4:$B760))</f>
        <v/>
      </c>
      <c r="B760" s="40" t="n"/>
      <c r="C760" s="41" t="n"/>
      <c r="D760" s="41" t="n"/>
      <c r="E760" s="41" t="n"/>
      <c r="F760" s="50" t="n"/>
      <c r="G760" s="42" t="n"/>
      <c r="H760" s="42" t="n"/>
      <c r="I760" s="43">
        <f>IF($B760="","",N($G760)-N($H760))</f>
        <v/>
      </c>
    </row>
    <row r="761">
      <c r="A761" s="39">
        <f>IF($B761="","",COUNTA($B$4:$B761))</f>
        <v/>
      </c>
      <c r="B761" s="45" t="n"/>
      <c r="C761" s="46" t="n"/>
      <c r="D761" s="46" t="n"/>
      <c r="E761" s="46" t="n"/>
      <c r="F761" s="51" t="n"/>
      <c r="G761" s="47" t="n"/>
      <c r="H761" s="47" t="n"/>
      <c r="I761" s="43">
        <f>IF($B761="","",N($G761)-N($H761))</f>
        <v/>
      </c>
    </row>
    <row r="762">
      <c r="A762" s="39">
        <f>IF($B762="","",COUNTA($B$4:$B762))</f>
        <v/>
      </c>
      <c r="B762" s="40" t="n"/>
      <c r="C762" s="41" t="n"/>
      <c r="D762" s="41" t="n"/>
      <c r="E762" s="41" t="n"/>
      <c r="F762" s="50" t="n"/>
      <c r="G762" s="42" t="n"/>
      <c r="H762" s="42" t="n"/>
      <c r="I762" s="43">
        <f>IF($B762="","",N($G762)-N($H762))</f>
        <v/>
      </c>
    </row>
    <row r="763">
      <c r="A763" s="39">
        <f>IF($B763="","",COUNTA($B$4:$B763))</f>
        <v/>
      </c>
      <c r="B763" s="45" t="n"/>
      <c r="C763" s="46" t="n"/>
      <c r="D763" s="46" t="n"/>
      <c r="E763" s="46" t="n"/>
      <c r="F763" s="51" t="n"/>
      <c r="G763" s="47" t="n"/>
      <c r="H763" s="47" t="n"/>
      <c r="I763" s="43">
        <f>IF($B763="","",N($G763)-N($H763))</f>
        <v/>
      </c>
    </row>
    <row r="764">
      <c r="A764" s="39">
        <f>IF($B764="","",COUNTA($B$4:$B764))</f>
        <v/>
      </c>
      <c r="B764" s="40" t="n"/>
      <c r="C764" s="41" t="n"/>
      <c r="D764" s="41" t="n"/>
      <c r="E764" s="41" t="n"/>
      <c r="F764" s="50" t="n"/>
      <c r="G764" s="42" t="n"/>
      <c r="H764" s="42" t="n"/>
      <c r="I764" s="43">
        <f>IF($B764="","",N($G764)-N($H764))</f>
        <v/>
      </c>
    </row>
    <row r="765">
      <c r="A765" s="39">
        <f>IF($B765="","",COUNTA($B$4:$B765))</f>
        <v/>
      </c>
      <c r="B765" s="45" t="n"/>
      <c r="C765" s="46" t="n"/>
      <c r="D765" s="46" t="n"/>
      <c r="E765" s="46" t="n"/>
      <c r="F765" s="51" t="n"/>
      <c r="G765" s="47" t="n"/>
      <c r="H765" s="47" t="n"/>
      <c r="I765" s="43">
        <f>IF($B765="","",N($G765)-N($H765))</f>
        <v/>
      </c>
    </row>
    <row r="766">
      <c r="A766" s="39">
        <f>IF($B766="","",COUNTA($B$4:$B766))</f>
        <v/>
      </c>
      <c r="B766" s="40" t="n"/>
      <c r="C766" s="41" t="n"/>
      <c r="D766" s="41" t="n"/>
      <c r="E766" s="41" t="n"/>
      <c r="F766" s="50" t="n"/>
      <c r="G766" s="42" t="n"/>
      <c r="H766" s="42" t="n"/>
      <c r="I766" s="43">
        <f>IF($B766="","",N($G766)-N($H766))</f>
        <v/>
      </c>
    </row>
    <row r="767">
      <c r="A767" s="39">
        <f>IF($B767="","",COUNTA($B$4:$B767))</f>
        <v/>
      </c>
      <c r="B767" s="45" t="n"/>
      <c r="C767" s="46" t="n"/>
      <c r="D767" s="46" t="n"/>
      <c r="E767" s="46" t="n"/>
      <c r="F767" s="51" t="n"/>
      <c r="G767" s="47" t="n"/>
      <c r="H767" s="47" t="n"/>
      <c r="I767" s="43">
        <f>IF($B767="","",N($G767)-N($H767))</f>
        <v/>
      </c>
    </row>
    <row r="768">
      <c r="A768" s="39">
        <f>IF($B768="","",COUNTA($B$4:$B768))</f>
        <v/>
      </c>
      <c r="B768" s="40" t="n"/>
      <c r="C768" s="41" t="n"/>
      <c r="D768" s="41" t="n"/>
      <c r="E768" s="41" t="n"/>
      <c r="F768" s="50" t="n"/>
      <c r="G768" s="42" t="n"/>
      <c r="H768" s="42" t="n"/>
      <c r="I768" s="43">
        <f>IF($B768="","",N($G768)-N($H768))</f>
        <v/>
      </c>
    </row>
    <row r="769">
      <c r="A769" s="39">
        <f>IF($B769="","",COUNTA($B$4:$B769))</f>
        <v/>
      </c>
      <c r="B769" s="45" t="n"/>
      <c r="C769" s="46" t="n"/>
      <c r="D769" s="46" t="n"/>
      <c r="E769" s="46" t="n"/>
      <c r="F769" s="51" t="n"/>
      <c r="G769" s="47" t="n"/>
      <c r="H769" s="47" t="n"/>
      <c r="I769" s="43">
        <f>IF($B769="","",N($G769)-N($H769))</f>
        <v/>
      </c>
    </row>
    <row r="770">
      <c r="A770" s="39">
        <f>IF($B770="","",COUNTA($B$4:$B770))</f>
        <v/>
      </c>
      <c r="B770" s="40" t="n"/>
      <c r="C770" s="41" t="n"/>
      <c r="D770" s="41" t="n"/>
      <c r="E770" s="41" t="n"/>
      <c r="F770" s="50" t="n"/>
      <c r="G770" s="42" t="n"/>
      <c r="H770" s="42" t="n"/>
      <c r="I770" s="43">
        <f>IF($B770="","",N($G770)-N($H770))</f>
        <v/>
      </c>
    </row>
    <row r="771">
      <c r="A771" s="39">
        <f>IF($B771="","",COUNTA($B$4:$B771))</f>
        <v/>
      </c>
      <c r="B771" s="45" t="n"/>
      <c r="C771" s="46" t="n"/>
      <c r="D771" s="46" t="n"/>
      <c r="E771" s="46" t="n"/>
      <c r="F771" s="51" t="n"/>
      <c r="G771" s="47" t="n"/>
      <c r="H771" s="47" t="n"/>
      <c r="I771" s="43">
        <f>IF($B771="","",N($G771)-N($H771))</f>
        <v/>
      </c>
    </row>
    <row r="772">
      <c r="A772" s="39">
        <f>IF($B772="","",COUNTA($B$4:$B772))</f>
        <v/>
      </c>
      <c r="B772" s="40" t="n"/>
      <c r="C772" s="41" t="n"/>
      <c r="D772" s="41" t="n"/>
      <c r="E772" s="41" t="n"/>
      <c r="F772" s="50" t="n"/>
      <c r="G772" s="42" t="n"/>
      <c r="H772" s="42" t="n"/>
      <c r="I772" s="43">
        <f>IF($B772="","",N($G772)-N($H772))</f>
        <v/>
      </c>
    </row>
    <row r="773">
      <c r="A773" s="39">
        <f>IF($B773="","",COUNTA($B$4:$B773))</f>
        <v/>
      </c>
      <c r="B773" s="45" t="n"/>
      <c r="C773" s="46" t="n"/>
      <c r="D773" s="46" t="n"/>
      <c r="E773" s="46" t="n"/>
      <c r="F773" s="51" t="n"/>
      <c r="G773" s="47" t="n"/>
      <c r="H773" s="47" t="n"/>
      <c r="I773" s="43">
        <f>IF($B773="","",N($G773)-N($H773))</f>
        <v/>
      </c>
    </row>
    <row r="774">
      <c r="A774" s="39">
        <f>IF($B774="","",COUNTA($B$4:$B774))</f>
        <v/>
      </c>
      <c r="B774" s="40" t="n"/>
      <c r="C774" s="41" t="n"/>
      <c r="D774" s="41" t="n"/>
      <c r="E774" s="41" t="n"/>
      <c r="F774" s="50" t="n"/>
      <c r="G774" s="42" t="n"/>
      <c r="H774" s="42" t="n"/>
      <c r="I774" s="43">
        <f>IF($B774="","",N($G774)-N($H774))</f>
        <v/>
      </c>
    </row>
    <row r="775">
      <c r="A775" s="39">
        <f>IF($B775="","",COUNTA($B$4:$B775))</f>
        <v/>
      </c>
      <c r="B775" s="45" t="n"/>
      <c r="C775" s="46" t="n"/>
      <c r="D775" s="46" t="n"/>
      <c r="E775" s="46" t="n"/>
      <c r="F775" s="51" t="n"/>
      <c r="G775" s="47" t="n"/>
      <c r="H775" s="47" t="n"/>
      <c r="I775" s="43">
        <f>IF($B775="","",N($G775)-N($H775))</f>
        <v/>
      </c>
    </row>
    <row r="776">
      <c r="A776" s="39">
        <f>IF($B776="","",COUNTA($B$4:$B776))</f>
        <v/>
      </c>
      <c r="B776" s="40" t="n"/>
      <c r="C776" s="41" t="n"/>
      <c r="D776" s="41" t="n"/>
      <c r="E776" s="41" t="n"/>
      <c r="F776" s="50" t="n"/>
      <c r="G776" s="42" t="n"/>
      <c r="H776" s="42" t="n"/>
      <c r="I776" s="43">
        <f>IF($B776="","",N($G776)-N($H776))</f>
        <v/>
      </c>
    </row>
    <row r="777">
      <c r="A777" s="39">
        <f>IF($B777="","",COUNTA($B$4:$B777))</f>
        <v/>
      </c>
      <c r="B777" s="45" t="n"/>
      <c r="C777" s="46" t="n"/>
      <c r="D777" s="46" t="n"/>
      <c r="E777" s="46" t="n"/>
      <c r="F777" s="51" t="n"/>
      <c r="G777" s="47" t="n"/>
      <c r="H777" s="47" t="n"/>
      <c r="I777" s="43">
        <f>IF($B777="","",N($G777)-N($H777))</f>
        <v/>
      </c>
    </row>
    <row r="778">
      <c r="A778" s="39">
        <f>IF($B778="","",COUNTA($B$4:$B778))</f>
        <v/>
      </c>
      <c r="B778" s="40" t="n"/>
      <c r="C778" s="41" t="n"/>
      <c r="D778" s="41" t="n"/>
      <c r="E778" s="41" t="n"/>
      <c r="F778" s="50" t="n"/>
      <c r="G778" s="42" t="n"/>
      <c r="H778" s="42" t="n"/>
      <c r="I778" s="43">
        <f>IF($B778="","",N($G778)-N($H778))</f>
        <v/>
      </c>
    </row>
    <row r="779">
      <c r="A779" s="39">
        <f>IF($B779="","",COUNTA($B$4:$B779))</f>
        <v/>
      </c>
      <c r="B779" s="45" t="n"/>
      <c r="C779" s="46" t="n"/>
      <c r="D779" s="46" t="n"/>
      <c r="E779" s="46" t="n"/>
      <c r="F779" s="51" t="n"/>
      <c r="G779" s="47" t="n"/>
      <c r="H779" s="47" t="n"/>
      <c r="I779" s="43">
        <f>IF($B779="","",N($G779)-N($H779))</f>
        <v/>
      </c>
    </row>
    <row r="780">
      <c r="A780" s="39">
        <f>IF($B780="","",COUNTA($B$4:$B780))</f>
        <v/>
      </c>
      <c r="B780" s="40" t="n"/>
      <c r="C780" s="41" t="n"/>
      <c r="D780" s="41" t="n"/>
      <c r="E780" s="41" t="n"/>
      <c r="F780" s="50" t="n"/>
      <c r="G780" s="42" t="n"/>
      <c r="H780" s="42" t="n"/>
      <c r="I780" s="43">
        <f>IF($B780="","",N($G780)-N($H780))</f>
        <v/>
      </c>
    </row>
    <row r="781">
      <c r="A781" s="39">
        <f>IF($B781="","",COUNTA($B$4:$B781))</f>
        <v/>
      </c>
      <c r="B781" s="45" t="n"/>
      <c r="C781" s="46" t="n"/>
      <c r="D781" s="46" t="n"/>
      <c r="E781" s="46" t="n"/>
      <c r="F781" s="51" t="n"/>
      <c r="G781" s="47" t="n"/>
      <c r="H781" s="47" t="n"/>
      <c r="I781" s="43">
        <f>IF($B781="","",N($G781)-N($H781))</f>
        <v/>
      </c>
    </row>
    <row r="782">
      <c r="A782" s="39">
        <f>IF($B782="","",COUNTA($B$4:$B782))</f>
        <v/>
      </c>
      <c r="B782" s="40" t="n"/>
      <c r="C782" s="41" t="n"/>
      <c r="D782" s="41" t="n"/>
      <c r="E782" s="41" t="n"/>
      <c r="F782" s="50" t="n"/>
      <c r="G782" s="42" t="n"/>
      <c r="H782" s="42" t="n"/>
      <c r="I782" s="43">
        <f>IF($B782="","",N($G782)-N($H782))</f>
        <v/>
      </c>
    </row>
    <row r="783">
      <c r="A783" s="39">
        <f>IF($B783="","",COUNTA($B$4:$B783))</f>
        <v/>
      </c>
      <c r="B783" s="45" t="n"/>
      <c r="C783" s="46" t="n"/>
      <c r="D783" s="46" t="n"/>
      <c r="E783" s="46" t="n"/>
      <c r="F783" s="51" t="n"/>
      <c r="G783" s="47" t="n"/>
      <c r="H783" s="47" t="n"/>
      <c r="I783" s="43">
        <f>IF($B783="","",N($G783)-N($H783))</f>
        <v/>
      </c>
    </row>
    <row r="784">
      <c r="A784" s="39">
        <f>IF($B784="","",COUNTA($B$4:$B784))</f>
        <v/>
      </c>
      <c r="B784" s="40" t="n"/>
      <c r="C784" s="41" t="n"/>
      <c r="D784" s="41" t="n"/>
      <c r="E784" s="41" t="n"/>
      <c r="F784" s="50" t="n"/>
      <c r="G784" s="42" t="n"/>
      <c r="H784" s="42" t="n"/>
      <c r="I784" s="43">
        <f>IF($B784="","",N($G784)-N($H784))</f>
        <v/>
      </c>
    </row>
    <row r="785">
      <c r="A785" s="39">
        <f>IF($B785="","",COUNTA($B$4:$B785))</f>
        <v/>
      </c>
      <c r="B785" s="45" t="n"/>
      <c r="C785" s="46" t="n"/>
      <c r="D785" s="46" t="n"/>
      <c r="E785" s="46" t="n"/>
      <c r="F785" s="51" t="n"/>
      <c r="G785" s="47" t="n"/>
      <c r="H785" s="47" t="n"/>
      <c r="I785" s="43">
        <f>IF($B785="","",N($G785)-N($H785))</f>
        <v/>
      </c>
    </row>
    <row r="786">
      <c r="A786" s="39">
        <f>IF($B786="","",COUNTA($B$4:$B786))</f>
        <v/>
      </c>
      <c r="B786" s="40" t="n"/>
      <c r="C786" s="41" t="n"/>
      <c r="D786" s="41" t="n"/>
      <c r="E786" s="41" t="n"/>
      <c r="F786" s="50" t="n"/>
      <c r="G786" s="42" t="n"/>
      <c r="H786" s="42" t="n"/>
      <c r="I786" s="43">
        <f>IF($B786="","",N($G786)-N($H786))</f>
        <v/>
      </c>
    </row>
    <row r="787">
      <c r="A787" s="39">
        <f>IF($B787="","",COUNTA($B$4:$B787))</f>
        <v/>
      </c>
      <c r="B787" s="45" t="n"/>
      <c r="C787" s="46" t="n"/>
      <c r="D787" s="46" t="n"/>
      <c r="E787" s="46" t="n"/>
      <c r="F787" s="51" t="n"/>
      <c r="G787" s="47" t="n"/>
      <c r="H787" s="47" t="n"/>
      <c r="I787" s="43">
        <f>IF($B787="","",N($G787)-N($H787))</f>
        <v/>
      </c>
    </row>
    <row r="788">
      <c r="A788" s="39">
        <f>IF($B788="","",COUNTA($B$4:$B788))</f>
        <v/>
      </c>
      <c r="B788" s="40" t="n"/>
      <c r="C788" s="41" t="n"/>
      <c r="D788" s="41" t="n"/>
      <c r="E788" s="41" t="n"/>
      <c r="F788" s="50" t="n"/>
      <c r="G788" s="42" t="n"/>
      <c r="H788" s="42" t="n"/>
      <c r="I788" s="43">
        <f>IF($B788="","",N($G788)-N($H788))</f>
        <v/>
      </c>
    </row>
    <row r="789">
      <c r="A789" s="39">
        <f>IF($B789="","",COUNTA($B$4:$B789))</f>
        <v/>
      </c>
      <c r="B789" s="45" t="n"/>
      <c r="C789" s="46" t="n"/>
      <c r="D789" s="46" t="n"/>
      <c r="E789" s="46" t="n"/>
      <c r="F789" s="51" t="n"/>
      <c r="G789" s="47" t="n"/>
      <c r="H789" s="47" t="n"/>
      <c r="I789" s="43">
        <f>IF($B789="","",N($G789)-N($H789))</f>
        <v/>
      </c>
    </row>
    <row r="790">
      <c r="A790" s="39">
        <f>IF($B790="","",COUNTA($B$4:$B790))</f>
        <v/>
      </c>
      <c r="B790" s="40" t="n"/>
      <c r="C790" s="41" t="n"/>
      <c r="D790" s="41" t="n"/>
      <c r="E790" s="41" t="n"/>
      <c r="F790" s="50" t="n"/>
      <c r="G790" s="42" t="n"/>
      <c r="H790" s="42" t="n"/>
      <c r="I790" s="43">
        <f>IF($B790="","",N($G790)-N($H790))</f>
        <v/>
      </c>
    </row>
    <row r="791">
      <c r="A791" s="39">
        <f>IF($B791="","",COUNTA($B$4:$B791))</f>
        <v/>
      </c>
      <c r="B791" s="45" t="n"/>
      <c r="C791" s="46" t="n"/>
      <c r="D791" s="46" t="n"/>
      <c r="E791" s="46" t="n"/>
      <c r="F791" s="51" t="n"/>
      <c r="G791" s="47" t="n"/>
      <c r="H791" s="47" t="n"/>
      <c r="I791" s="43">
        <f>IF($B791="","",N($G791)-N($H791))</f>
        <v/>
      </c>
    </row>
    <row r="792">
      <c r="A792" s="39">
        <f>IF($B792="","",COUNTA($B$4:$B792))</f>
        <v/>
      </c>
      <c r="B792" s="40" t="n"/>
      <c r="C792" s="41" t="n"/>
      <c r="D792" s="41" t="n"/>
      <c r="E792" s="41" t="n"/>
      <c r="F792" s="50" t="n"/>
      <c r="G792" s="42" t="n"/>
      <c r="H792" s="42" t="n"/>
      <c r="I792" s="43">
        <f>IF($B792="","",N($G792)-N($H792))</f>
        <v/>
      </c>
    </row>
    <row r="793">
      <c r="A793" s="39">
        <f>IF($B793="","",COUNTA($B$4:$B793))</f>
        <v/>
      </c>
      <c r="B793" s="45" t="n"/>
      <c r="C793" s="46" t="n"/>
      <c r="D793" s="46" t="n"/>
      <c r="E793" s="46" t="n"/>
      <c r="F793" s="51" t="n"/>
      <c r="G793" s="47" t="n"/>
      <c r="H793" s="47" t="n"/>
      <c r="I793" s="43">
        <f>IF($B793="","",N($G793)-N($H793))</f>
        <v/>
      </c>
    </row>
    <row r="794">
      <c r="A794" s="39">
        <f>IF($B794="","",COUNTA($B$4:$B794))</f>
        <v/>
      </c>
      <c r="B794" s="40" t="n"/>
      <c r="C794" s="41" t="n"/>
      <c r="D794" s="41" t="n"/>
      <c r="E794" s="41" t="n"/>
      <c r="F794" s="50" t="n"/>
      <c r="G794" s="42" t="n"/>
      <c r="H794" s="42" t="n"/>
      <c r="I794" s="43">
        <f>IF($B794="","",N($G794)-N($H794))</f>
        <v/>
      </c>
    </row>
    <row r="795">
      <c r="A795" s="39">
        <f>IF($B795="","",COUNTA($B$4:$B795))</f>
        <v/>
      </c>
      <c r="B795" s="45" t="n"/>
      <c r="C795" s="46" t="n"/>
      <c r="D795" s="46" t="n"/>
      <c r="E795" s="46" t="n"/>
      <c r="F795" s="51" t="n"/>
      <c r="G795" s="47" t="n"/>
      <c r="H795" s="47" t="n"/>
      <c r="I795" s="43">
        <f>IF($B795="","",N($G795)-N($H795))</f>
        <v/>
      </c>
    </row>
    <row r="796">
      <c r="A796" s="39">
        <f>IF($B796="","",COUNTA($B$4:$B796))</f>
        <v/>
      </c>
      <c r="B796" s="40" t="n"/>
      <c r="C796" s="41" t="n"/>
      <c r="D796" s="41" t="n"/>
      <c r="E796" s="41" t="n"/>
      <c r="F796" s="50" t="n"/>
      <c r="G796" s="42" t="n"/>
      <c r="H796" s="42" t="n"/>
      <c r="I796" s="43">
        <f>IF($B796="","",N($G796)-N($H796))</f>
        <v/>
      </c>
    </row>
    <row r="797">
      <c r="A797" s="39">
        <f>IF($B797="","",COUNTA($B$4:$B797))</f>
        <v/>
      </c>
      <c r="B797" s="45" t="n"/>
      <c r="C797" s="46" t="n"/>
      <c r="D797" s="46" t="n"/>
      <c r="E797" s="46" t="n"/>
      <c r="F797" s="51" t="n"/>
      <c r="G797" s="47" t="n"/>
      <c r="H797" s="47" t="n"/>
      <c r="I797" s="43">
        <f>IF($B797="","",N($G797)-N($H797))</f>
        <v/>
      </c>
    </row>
    <row r="798">
      <c r="A798" s="39">
        <f>IF($B798="","",COUNTA($B$4:$B798))</f>
        <v/>
      </c>
      <c r="B798" s="40" t="n"/>
      <c r="C798" s="41" t="n"/>
      <c r="D798" s="41" t="n"/>
      <c r="E798" s="41" t="n"/>
      <c r="F798" s="50" t="n"/>
      <c r="G798" s="42" t="n"/>
      <c r="H798" s="42" t="n"/>
      <c r="I798" s="43">
        <f>IF($B798="","",N($G798)-N($H798))</f>
        <v/>
      </c>
    </row>
    <row r="799">
      <c r="A799" s="39">
        <f>IF($B799="","",COUNTA($B$4:$B799))</f>
        <v/>
      </c>
      <c r="B799" s="45" t="n"/>
      <c r="C799" s="46" t="n"/>
      <c r="D799" s="46" t="n"/>
      <c r="E799" s="46" t="n"/>
      <c r="F799" s="51" t="n"/>
      <c r="G799" s="47" t="n"/>
      <c r="H799" s="47" t="n"/>
      <c r="I799" s="43">
        <f>IF($B799="","",N($G799)-N($H799))</f>
        <v/>
      </c>
    </row>
    <row r="800">
      <c r="A800" s="39">
        <f>IF($B800="","",COUNTA($B$4:$B800))</f>
        <v/>
      </c>
      <c r="B800" s="40" t="n"/>
      <c r="C800" s="41" t="n"/>
      <c r="D800" s="41" t="n"/>
      <c r="E800" s="41" t="n"/>
      <c r="F800" s="50" t="n"/>
      <c r="G800" s="42" t="n"/>
      <c r="H800" s="42" t="n"/>
      <c r="I800" s="43">
        <f>IF($B800="","",N($G800)-N($H800))</f>
        <v/>
      </c>
    </row>
    <row r="801">
      <c r="A801" s="39">
        <f>IF($B801="","",COUNTA($B$4:$B801))</f>
        <v/>
      </c>
      <c r="B801" s="45" t="n"/>
      <c r="C801" s="46" t="n"/>
      <c r="D801" s="46" t="n"/>
      <c r="E801" s="46" t="n"/>
      <c r="F801" s="51" t="n"/>
      <c r="G801" s="47" t="n"/>
      <c r="H801" s="47" t="n"/>
      <c r="I801" s="43">
        <f>IF($B801="","",N($G801)-N($H801))</f>
        <v/>
      </c>
    </row>
    <row r="802">
      <c r="A802" s="39">
        <f>IF($B802="","",COUNTA($B$4:$B802))</f>
        <v/>
      </c>
      <c r="B802" s="40" t="n"/>
      <c r="C802" s="41" t="n"/>
      <c r="D802" s="41" t="n"/>
      <c r="E802" s="41" t="n"/>
      <c r="F802" s="50" t="n"/>
      <c r="G802" s="42" t="n"/>
      <c r="H802" s="42" t="n"/>
      <c r="I802" s="43">
        <f>IF($B802="","",N($G802)-N($H802))</f>
        <v/>
      </c>
    </row>
    <row r="803">
      <c r="A803" s="39">
        <f>IF($B803="","",COUNTA($B$4:$B803))</f>
        <v/>
      </c>
      <c r="B803" s="45" t="n"/>
      <c r="C803" s="46" t="n"/>
      <c r="D803" s="46" t="n"/>
      <c r="E803" s="46" t="n"/>
      <c r="F803" s="51" t="n"/>
      <c r="G803" s="47" t="n"/>
      <c r="H803" s="47" t="n"/>
      <c r="I803" s="43">
        <f>IF($B803="","",N($G803)-N($H803))</f>
        <v/>
      </c>
    </row>
    <row r="804">
      <c r="A804" s="39">
        <f>IF($B804="","",COUNTA($B$4:$B804))</f>
        <v/>
      </c>
      <c r="B804" s="40" t="n"/>
      <c r="C804" s="41" t="n"/>
      <c r="D804" s="41" t="n"/>
      <c r="E804" s="41" t="n"/>
      <c r="F804" s="50" t="n"/>
      <c r="G804" s="42" t="n"/>
      <c r="H804" s="42" t="n"/>
      <c r="I804" s="43">
        <f>IF($B804="","",N($G804)-N($H804))</f>
        <v/>
      </c>
    </row>
    <row r="805">
      <c r="A805" s="39">
        <f>IF($B805="","",COUNTA($B$4:$B805))</f>
        <v/>
      </c>
      <c r="B805" s="45" t="n"/>
      <c r="C805" s="46" t="n"/>
      <c r="D805" s="46" t="n"/>
      <c r="E805" s="46" t="n"/>
      <c r="F805" s="51" t="n"/>
      <c r="G805" s="47" t="n"/>
      <c r="H805" s="47" t="n"/>
      <c r="I805" s="43">
        <f>IF($B805="","",N($G805)-N($H805))</f>
        <v/>
      </c>
    </row>
    <row r="806">
      <c r="A806" s="39">
        <f>IF($B806="","",COUNTA($B$4:$B806))</f>
        <v/>
      </c>
      <c r="B806" s="40" t="n"/>
      <c r="C806" s="41" t="n"/>
      <c r="D806" s="41" t="n"/>
      <c r="E806" s="41" t="n"/>
      <c r="F806" s="50" t="n"/>
      <c r="G806" s="42" t="n"/>
      <c r="H806" s="42" t="n"/>
      <c r="I806" s="43">
        <f>IF($B806="","",N($G806)-N($H806))</f>
        <v/>
      </c>
    </row>
    <row r="807">
      <c r="A807" s="39">
        <f>IF($B807="","",COUNTA($B$4:$B807))</f>
        <v/>
      </c>
      <c r="B807" s="45" t="n"/>
      <c r="C807" s="46" t="n"/>
      <c r="D807" s="46" t="n"/>
      <c r="E807" s="46" t="n"/>
      <c r="F807" s="51" t="n"/>
      <c r="G807" s="47" t="n"/>
      <c r="H807" s="47" t="n"/>
      <c r="I807" s="43">
        <f>IF($B807="","",N($G807)-N($H807))</f>
        <v/>
      </c>
    </row>
    <row r="808">
      <c r="A808" s="39">
        <f>IF($B808="","",COUNTA($B$4:$B808))</f>
        <v/>
      </c>
      <c r="B808" s="40" t="n"/>
      <c r="C808" s="41" t="n"/>
      <c r="D808" s="41" t="n"/>
      <c r="E808" s="41" t="n"/>
      <c r="F808" s="50" t="n"/>
      <c r="G808" s="42" t="n"/>
      <c r="H808" s="42" t="n"/>
      <c r="I808" s="43">
        <f>IF($B808="","",N($G808)-N($H808))</f>
        <v/>
      </c>
    </row>
    <row r="809">
      <c r="A809" s="39">
        <f>IF($B809="","",COUNTA($B$4:$B809))</f>
        <v/>
      </c>
      <c r="B809" s="45" t="n"/>
      <c r="C809" s="46" t="n"/>
      <c r="D809" s="46" t="n"/>
      <c r="E809" s="46" t="n"/>
      <c r="F809" s="51" t="n"/>
      <c r="G809" s="47" t="n"/>
      <c r="H809" s="47" t="n"/>
      <c r="I809" s="43">
        <f>IF($B809="","",N($G809)-N($H809))</f>
        <v/>
      </c>
    </row>
    <row r="810">
      <c r="A810" s="39">
        <f>IF($B810="","",COUNTA($B$4:$B810))</f>
        <v/>
      </c>
      <c r="B810" s="40" t="n"/>
      <c r="C810" s="41" t="n"/>
      <c r="D810" s="41" t="n"/>
      <c r="E810" s="41" t="n"/>
      <c r="F810" s="50" t="n"/>
      <c r="G810" s="42" t="n"/>
      <c r="H810" s="42" t="n"/>
      <c r="I810" s="43">
        <f>IF($B810="","",N($G810)-N($H810))</f>
        <v/>
      </c>
    </row>
    <row r="811">
      <c r="A811" s="39">
        <f>IF($B811="","",COUNTA($B$4:$B811))</f>
        <v/>
      </c>
      <c r="B811" s="45" t="n"/>
      <c r="C811" s="46" t="n"/>
      <c r="D811" s="46" t="n"/>
      <c r="E811" s="46" t="n"/>
      <c r="F811" s="51" t="n"/>
      <c r="G811" s="47" t="n"/>
      <c r="H811" s="47" t="n"/>
      <c r="I811" s="43">
        <f>IF($B811="","",N($G811)-N($H811))</f>
        <v/>
      </c>
    </row>
    <row r="812">
      <c r="A812" s="39">
        <f>IF($B812="","",COUNTA($B$4:$B812))</f>
        <v/>
      </c>
      <c r="B812" s="40" t="n"/>
      <c r="C812" s="41" t="n"/>
      <c r="D812" s="41" t="n"/>
      <c r="E812" s="41" t="n"/>
      <c r="F812" s="50" t="n"/>
      <c r="G812" s="42" t="n"/>
      <c r="H812" s="42" t="n"/>
      <c r="I812" s="43">
        <f>IF($B812="","",N($G812)-N($H812))</f>
        <v/>
      </c>
    </row>
    <row r="813">
      <c r="A813" s="39">
        <f>IF($B813="","",COUNTA($B$4:$B813))</f>
        <v/>
      </c>
      <c r="B813" s="45" t="n"/>
      <c r="C813" s="46" t="n"/>
      <c r="D813" s="46" t="n"/>
      <c r="E813" s="46" t="n"/>
      <c r="F813" s="51" t="n"/>
      <c r="G813" s="47" t="n"/>
      <c r="H813" s="47" t="n"/>
      <c r="I813" s="43">
        <f>IF($B813="","",N($G813)-N($H813))</f>
        <v/>
      </c>
    </row>
    <row r="814">
      <c r="A814" s="39">
        <f>IF($B814="","",COUNTA($B$4:$B814))</f>
        <v/>
      </c>
      <c r="B814" s="40" t="n"/>
      <c r="C814" s="41" t="n"/>
      <c r="D814" s="41" t="n"/>
      <c r="E814" s="41" t="n"/>
      <c r="F814" s="50" t="n"/>
      <c r="G814" s="42" t="n"/>
      <c r="H814" s="42" t="n"/>
      <c r="I814" s="43">
        <f>IF($B814="","",N($G814)-N($H814))</f>
        <v/>
      </c>
    </row>
    <row r="815">
      <c r="A815" s="39">
        <f>IF($B815="","",COUNTA($B$4:$B815))</f>
        <v/>
      </c>
      <c r="B815" s="45" t="n"/>
      <c r="C815" s="46" t="n"/>
      <c r="D815" s="46" t="n"/>
      <c r="E815" s="46" t="n"/>
      <c r="F815" s="51" t="n"/>
      <c r="G815" s="47" t="n"/>
      <c r="H815" s="47" t="n"/>
      <c r="I815" s="43">
        <f>IF($B815="","",N($G815)-N($H815))</f>
        <v/>
      </c>
    </row>
    <row r="816">
      <c r="A816" s="39">
        <f>IF($B816="","",COUNTA($B$4:$B816))</f>
        <v/>
      </c>
      <c r="B816" s="40" t="n"/>
      <c r="C816" s="41" t="n"/>
      <c r="D816" s="41" t="n"/>
      <c r="E816" s="41" t="n"/>
      <c r="F816" s="50" t="n"/>
      <c r="G816" s="42" t="n"/>
      <c r="H816" s="42" t="n"/>
      <c r="I816" s="43">
        <f>IF($B816="","",N($G816)-N($H816))</f>
        <v/>
      </c>
    </row>
    <row r="817">
      <c r="A817" s="39">
        <f>IF($B817="","",COUNTA($B$4:$B817))</f>
        <v/>
      </c>
      <c r="B817" s="45" t="n"/>
      <c r="C817" s="46" t="n"/>
      <c r="D817" s="46" t="n"/>
      <c r="E817" s="46" t="n"/>
      <c r="F817" s="51" t="n"/>
      <c r="G817" s="47" t="n"/>
      <c r="H817" s="47" t="n"/>
      <c r="I817" s="43">
        <f>IF($B817="","",N($G817)-N($H817))</f>
        <v/>
      </c>
    </row>
    <row r="818">
      <c r="A818" s="39">
        <f>IF($B818="","",COUNTA($B$4:$B818))</f>
        <v/>
      </c>
      <c r="B818" s="40" t="n"/>
      <c r="C818" s="41" t="n"/>
      <c r="D818" s="41" t="n"/>
      <c r="E818" s="41" t="n"/>
      <c r="F818" s="50" t="n"/>
      <c r="G818" s="42" t="n"/>
      <c r="H818" s="42" t="n"/>
      <c r="I818" s="43">
        <f>IF($B818="","",N($G818)-N($H818))</f>
        <v/>
      </c>
    </row>
    <row r="819">
      <c r="A819" s="39">
        <f>IF($B819="","",COUNTA($B$4:$B819))</f>
        <v/>
      </c>
      <c r="B819" s="45" t="n"/>
      <c r="C819" s="46" t="n"/>
      <c r="D819" s="46" t="n"/>
      <c r="E819" s="46" t="n"/>
      <c r="F819" s="51" t="n"/>
      <c r="G819" s="47" t="n"/>
      <c r="H819" s="47" t="n"/>
      <c r="I819" s="43">
        <f>IF($B819="","",N($G819)-N($H819))</f>
        <v/>
      </c>
    </row>
    <row r="820">
      <c r="A820" s="39">
        <f>IF($B820="","",COUNTA($B$4:$B820))</f>
        <v/>
      </c>
      <c r="B820" s="40" t="n"/>
      <c r="C820" s="41" t="n"/>
      <c r="D820" s="41" t="n"/>
      <c r="E820" s="41" t="n"/>
      <c r="F820" s="50" t="n"/>
      <c r="G820" s="42" t="n"/>
      <c r="H820" s="42" t="n"/>
      <c r="I820" s="43">
        <f>IF($B820="","",N($G820)-N($H820))</f>
        <v/>
      </c>
    </row>
    <row r="821">
      <c r="A821" s="39">
        <f>IF($B821="","",COUNTA($B$4:$B821))</f>
        <v/>
      </c>
      <c r="B821" s="45" t="n"/>
      <c r="C821" s="46" t="n"/>
      <c r="D821" s="46" t="n"/>
      <c r="E821" s="46" t="n"/>
      <c r="F821" s="51" t="n"/>
      <c r="G821" s="47" t="n"/>
      <c r="H821" s="47" t="n"/>
      <c r="I821" s="43">
        <f>IF($B821="","",N($G821)-N($H821))</f>
        <v/>
      </c>
    </row>
    <row r="822">
      <c r="A822" s="39">
        <f>IF($B822="","",COUNTA($B$4:$B822))</f>
        <v/>
      </c>
      <c r="B822" s="40" t="n"/>
      <c r="C822" s="41" t="n"/>
      <c r="D822" s="41" t="n"/>
      <c r="E822" s="41" t="n"/>
      <c r="F822" s="50" t="n"/>
      <c r="G822" s="42" t="n"/>
      <c r="H822" s="42" t="n"/>
      <c r="I822" s="43">
        <f>IF($B822="","",N($G822)-N($H822))</f>
        <v/>
      </c>
    </row>
    <row r="823">
      <c r="A823" s="39">
        <f>IF($B823="","",COUNTA($B$4:$B823))</f>
        <v/>
      </c>
      <c r="B823" s="45" t="n"/>
      <c r="C823" s="46" t="n"/>
      <c r="D823" s="46" t="n"/>
      <c r="E823" s="46" t="n"/>
      <c r="F823" s="51" t="n"/>
      <c r="G823" s="47" t="n"/>
      <c r="H823" s="47" t="n"/>
      <c r="I823" s="43">
        <f>IF($B823="","",N($G823)-N($H823))</f>
        <v/>
      </c>
    </row>
    <row r="824">
      <c r="A824" s="39">
        <f>IF($B824="","",COUNTA($B$4:$B824))</f>
        <v/>
      </c>
      <c r="B824" s="40" t="n"/>
      <c r="C824" s="41" t="n"/>
      <c r="D824" s="41" t="n"/>
      <c r="E824" s="41" t="n"/>
      <c r="F824" s="50" t="n"/>
      <c r="G824" s="42" t="n"/>
      <c r="H824" s="42" t="n"/>
      <c r="I824" s="43">
        <f>IF($B824="","",N($G824)-N($H824))</f>
        <v/>
      </c>
    </row>
    <row r="825">
      <c r="A825" s="39">
        <f>IF($B825="","",COUNTA($B$4:$B825))</f>
        <v/>
      </c>
      <c r="B825" s="45" t="n"/>
      <c r="C825" s="46" t="n"/>
      <c r="D825" s="46" t="n"/>
      <c r="E825" s="46" t="n"/>
      <c r="F825" s="51" t="n"/>
      <c r="G825" s="47" t="n"/>
      <c r="H825" s="47" t="n"/>
      <c r="I825" s="43">
        <f>IF($B825="","",N($G825)-N($H825))</f>
        <v/>
      </c>
    </row>
    <row r="826">
      <c r="A826" s="39">
        <f>IF($B826="","",COUNTA($B$4:$B826))</f>
        <v/>
      </c>
      <c r="B826" s="40" t="n"/>
      <c r="C826" s="41" t="n"/>
      <c r="D826" s="41" t="n"/>
      <c r="E826" s="41" t="n"/>
      <c r="F826" s="50" t="n"/>
      <c r="G826" s="42" t="n"/>
      <c r="H826" s="42" t="n"/>
      <c r="I826" s="43">
        <f>IF($B826="","",N($G826)-N($H826))</f>
        <v/>
      </c>
    </row>
    <row r="827">
      <c r="A827" s="39">
        <f>IF($B827="","",COUNTA($B$4:$B827))</f>
        <v/>
      </c>
      <c r="B827" s="45" t="n"/>
      <c r="C827" s="46" t="n"/>
      <c r="D827" s="46" t="n"/>
      <c r="E827" s="46" t="n"/>
      <c r="F827" s="51" t="n"/>
      <c r="G827" s="47" t="n"/>
      <c r="H827" s="47" t="n"/>
      <c r="I827" s="43">
        <f>IF($B827="","",N($G827)-N($H827))</f>
        <v/>
      </c>
    </row>
    <row r="828">
      <c r="A828" s="39">
        <f>IF($B828="","",COUNTA($B$4:$B828))</f>
        <v/>
      </c>
      <c r="B828" s="40" t="n"/>
      <c r="C828" s="41" t="n"/>
      <c r="D828" s="41" t="n"/>
      <c r="E828" s="41" t="n"/>
      <c r="F828" s="50" t="n"/>
      <c r="G828" s="42" t="n"/>
      <c r="H828" s="42" t="n"/>
      <c r="I828" s="43">
        <f>IF($B828="","",N($G828)-N($H828))</f>
        <v/>
      </c>
    </row>
    <row r="829">
      <c r="A829" s="39">
        <f>IF($B829="","",COUNTA($B$4:$B829))</f>
        <v/>
      </c>
      <c r="B829" s="45" t="n"/>
      <c r="C829" s="46" t="n"/>
      <c r="D829" s="46" t="n"/>
      <c r="E829" s="46" t="n"/>
      <c r="F829" s="51" t="n"/>
      <c r="G829" s="47" t="n"/>
      <c r="H829" s="47" t="n"/>
      <c r="I829" s="43">
        <f>IF($B829="","",N($G829)-N($H829))</f>
        <v/>
      </c>
    </row>
    <row r="830">
      <c r="A830" s="39">
        <f>IF($B830="","",COUNTA($B$4:$B830))</f>
        <v/>
      </c>
      <c r="B830" s="40" t="n"/>
      <c r="C830" s="41" t="n"/>
      <c r="D830" s="41" t="n"/>
      <c r="E830" s="41" t="n"/>
      <c r="F830" s="50" t="n"/>
      <c r="G830" s="42" t="n"/>
      <c r="H830" s="42" t="n"/>
      <c r="I830" s="43">
        <f>IF($B830="","",N($G830)-N($H830))</f>
        <v/>
      </c>
    </row>
    <row r="831">
      <c r="A831" s="39">
        <f>IF($B831="","",COUNTA($B$4:$B831))</f>
        <v/>
      </c>
      <c r="B831" s="45" t="n"/>
      <c r="C831" s="46" t="n"/>
      <c r="D831" s="46" t="n"/>
      <c r="E831" s="46" t="n"/>
      <c r="F831" s="51" t="n"/>
      <c r="G831" s="47" t="n"/>
      <c r="H831" s="47" t="n"/>
      <c r="I831" s="43">
        <f>IF($B831="","",N($G831)-N($H831))</f>
        <v/>
      </c>
    </row>
    <row r="832">
      <c r="A832" s="39">
        <f>IF($B832="","",COUNTA($B$4:$B832))</f>
        <v/>
      </c>
      <c r="B832" s="40" t="n"/>
      <c r="C832" s="41" t="n"/>
      <c r="D832" s="41" t="n"/>
      <c r="E832" s="41" t="n"/>
      <c r="F832" s="50" t="n"/>
      <c r="G832" s="42" t="n"/>
      <c r="H832" s="42" t="n"/>
      <c r="I832" s="43">
        <f>IF($B832="","",N($G832)-N($H832))</f>
        <v/>
      </c>
    </row>
    <row r="833">
      <c r="A833" s="39">
        <f>IF($B833="","",COUNTA($B$4:$B833))</f>
        <v/>
      </c>
      <c r="B833" s="45" t="n"/>
      <c r="C833" s="46" t="n"/>
      <c r="D833" s="46" t="n"/>
      <c r="E833" s="46" t="n"/>
      <c r="F833" s="51" t="n"/>
      <c r="G833" s="47" t="n"/>
      <c r="H833" s="47" t="n"/>
      <c r="I833" s="43">
        <f>IF($B833="","",N($G833)-N($H833))</f>
        <v/>
      </c>
    </row>
    <row r="834">
      <c r="A834" s="39">
        <f>IF($B834="","",COUNTA($B$4:$B834))</f>
        <v/>
      </c>
      <c r="B834" s="40" t="n"/>
      <c r="C834" s="41" t="n"/>
      <c r="D834" s="41" t="n"/>
      <c r="E834" s="41" t="n"/>
      <c r="F834" s="50" t="n"/>
      <c r="G834" s="42" t="n"/>
      <c r="H834" s="42" t="n"/>
      <c r="I834" s="43">
        <f>IF($B834="","",N($G834)-N($H834))</f>
        <v/>
      </c>
    </row>
    <row r="835">
      <c r="A835" s="39">
        <f>IF($B835="","",COUNTA($B$4:$B835))</f>
        <v/>
      </c>
      <c r="B835" s="45" t="n"/>
      <c r="C835" s="46" t="n"/>
      <c r="D835" s="46" t="n"/>
      <c r="E835" s="46" t="n"/>
      <c r="F835" s="51" t="n"/>
      <c r="G835" s="47" t="n"/>
      <c r="H835" s="47" t="n"/>
      <c r="I835" s="43">
        <f>IF($B835="","",N($G835)-N($H835))</f>
        <v/>
      </c>
    </row>
    <row r="836">
      <c r="A836" s="39">
        <f>IF($B836="","",COUNTA($B$4:$B836))</f>
        <v/>
      </c>
      <c r="B836" s="40" t="n"/>
      <c r="C836" s="41" t="n"/>
      <c r="D836" s="41" t="n"/>
      <c r="E836" s="41" t="n"/>
      <c r="F836" s="50" t="n"/>
      <c r="G836" s="42" t="n"/>
      <c r="H836" s="42" t="n"/>
      <c r="I836" s="43">
        <f>IF($B836="","",N($G836)-N($H836))</f>
        <v/>
      </c>
    </row>
    <row r="837">
      <c r="A837" s="39">
        <f>IF($B837="","",COUNTA($B$4:$B837))</f>
        <v/>
      </c>
      <c r="B837" s="45" t="n"/>
      <c r="C837" s="46" t="n"/>
      <c r="D837" s="46" t="n"/>
      <c r="E837" s="46" t="n"/>
      <c r="F837" s="51" t="n"/>
      <c r="G837" s="47" t="n"/>
      <c r="H837" s="47" t="n"/>
      <c r="I837" s="43">
        <f>IF($B837="","",N($G837)-N($H837))</f>
        <v/>
      </c>
    </row>
    <row r="838">
      <c r="A838" s="39">
        <f>IF($B838="","",COUNTA($B$4:$B838))</f>
        <v/>
      </c>
      <c r="B838" s="40" t="n"/>
      <c r="C838" s="41" t="n"/>
      <c r="D838" s="41" t="n"/>
      <c r="E838" s="41" t="n"/>
      <c r="F838" s="50" t="n"/>
      <c r="G838" s="42" t="n"/>
      <c r="H838" s="42" t="n"/>
      <c r="I838" s="43">
        <f>IF($B838="","",N($G838)-N($H838))</f>
        <v/>
      </c>
    </row>
    <row r="839">
      <c r="A839" s="39">
        <f>IF($B839="","",COUNTA($B$4:$B839))</f>
        <v/>
      </c>
      <c r="B839" s="45" t="n"/>
      <c r="C839" s="46" t="n"/>
      <c r="D839" s="46" t="n"/>
      <c r="E839" s="46" t="n"/>
      <c r="F839" s="51" t="n"/>
      <c r="G839" s="47" t="n"/>
      <c r="H839" s="47" t="n"/>
      <c r="I839" s="43">
        <f>IF($B839="","",N($G839)-N($H839))</f>
        <v/>
      </c>
    </row>
    <row r="840">
      <c r="A840" s="39">
        <f>IF($B840="","",COUNTA($B$4:$B840))</f>
        <v/>
      </c>
      <c r="B840" s="40" t="n"/>
      <c r="C840" s="41" t="n"/>
      <c r="D840" s="41" t="n"/>
      <c r="E840" s="41" t="n"/>
      <c r="F840" s="50" t="n"/>
      <c r="G840" s="42" t="n"/>
      <c r="H840" s="42" t="n"/>
      <c r="I840" s="43">
        <f>IF($B840="","",N($G840)-N($H840))</f>
        <v/>
      </c>
    </row>
    <row r="841">
      <c r="A841" s="39">
        <f>IF($B841="","",COUNTA($B$4:$B841))</f>
        <v/>
      </c>
      <c r="B841" s="45" t="n"/>
      <c r="C841" s="46" t="n"/>
      <c r="D841" s="46" t="n"/>
      <c r="E841" s="46" t="n"/>
      <c r="F841" s="51" t="n"/>
      <c r="G841" s="47" t="n"/>
      <c r="H841" s="47" t="n"/>
      <c r="I841" s="43">
        <f>IF($B841="","",N($G841)-N($H841))</f>
        <v/>
      </c>
    </row>
    <row r="842">
      <c r="A842" s="39">
        <f>IF($B842="","",COUNTA($B$4:$B842))</f>
        <v/>
      </c>
      <c r="B842" s="40" t="n"/>
      <c r="C842" s="41" t="n"/>
      <c r="D842" s="41" t="n"/>
      <c r="E842" s="41" t="n"/>
      <c r="F842" s="50" t="n"/>
      <c r="G842" s="42" t="n"/>
      <c r="H842" s="42" t="n"/>
      <c r="I842" s="43">
        <f>IF($B842="","",N($G842)-N($H842))</f>
        <v/>
      </c>
    </row>
    <row r="843">
      <c r="A843" s="39">
        <f>IF($B843="","",COUNTA($B$4:$B843))</f>
        <v/>
      </c>
      <c r="B843" s="45" t="n"/>
      <c r="C843" s="46" t="n"/>
      <c r="D843" s="46" t="n"/>
      <c r="E843" s="46" t="n"/>
      <c r="F843" s="51" t="n"/>
      <c r="G843" s="47" t="n"/>
      <c r="H843" s="47" t="n"/>
      <c r="I843" s="43">
        <f>IF($B843="","",N($G843)-N($H843))</f>
        <v/>
      </c>
    </row>
    <row r="844">
      <c r="A844" s="39">
        <f>IF($B844="","",COUNTA($B$4:$B844))</f>
        <v/>
      </c>
      <c r="B844" s="40" t="n"/>
      <c r="C844" s="41" t="n"/>
      <c r="D844" s="41" t="n"/>
      <c r="E844" s="41" t="n"/>
      <c r="F844" s="50" t="n"/>
      <c r="G844" s="42" t="n"/>
      <c r="H844" s="42" t="n"/>
      <c r="I844" s="43">
        <f>IF($B844="","",N($G844)-N($H844))</f>
        <v/>
      </c>
    </row>
    <row r="845">
      <c r="A845" s="39">
        <f>IF($B845="","",COUNTA($B$4:$B845))</f>
        <v/>
      </c>
      <c r="B845" s="45" t="n"/>
      <c r="C845" s="46" t="n"/>
      <c r="D845" s="46" t="n"/>
      <c r="E845" s="46" t="n"/>
      <c r="F845" s="51" t="n"/>
      <c r="G845" s="47" t="n"/>
      <c r="H845" s="47" t="n"/>
      <c r="I845" s="43">
        <f>IF($B845="","",N($G845)-N($H845))</f>
        <v/>
      </c>
    </row>
    <row r="846">
      <c r="A846" s="39">
        <f>IF($B846="","",COUNTA($B$4:$B846))</f>
        <v/>
      </c>
      <c r="B846" s="40" t="n"/>
      <c r="C846" s="41" t="n"/>
      <c r="D846" s="41" t="n"/>
      <c r="E846" s="41" t="n"/>
      <c r="F846" s="50" t="n"/>
      <c r="G846" s="42" t="n"/>
      <c r="H846" s="42" t="n"/>
      <c r="I846" s="43">
        <f>IF($B846="","",N($G846)-N($H846))</f>
        <v/>
      </c>
    </row>
    <row r="847">
      <c r="A847" s="39">
        <f>IF($B847="","",COUNTA($B$4:$B847))</f>
        <v/>
      </c>
      <c r="B847" s="45" t="n"/>
      <c r="C847" s="46" t="n"/>
      <c r="D847" s="46" t="n"/>
      <c r="E847" s="46" t="n"/>
      <c r="F847" s="51" t="n"/>
      <c r="G847" s="47" t="n"/>
      <c r="H847" s="47" t="n"/>
      <c r="I847" s="43">
        <f>IF($B847="","",N($G847)-N($H847))</f>
        <v/>
      </c>
    </row>
    <row r="848">
      <c r="A848" s="39">
        <f>IF($B848="","",COUNTA($B$4:$B848))</f>
        <v/>
      </c>
      <c r="B848" s="40" t="n"/>
      <c r="C848" s="41" t="n"/>
      <c r="D848" s="41" t="n"/>
      <c r="E848" s="41" t="n"/>
      <c r="F848" s="50" t="n"/>
      <c r="G848" s="42" t="n"/>
      <c r="H848" s="42" t="n"/>
      <c r="I848" s="43">
        <f>IF($B848="","",N($G848)-N($H848))</f>
        <v/>
      </c>
    </row>
    <row r="849">
      <c r="A849" s="39">
        <f>IF($B849="","",COUNTA($B$4:$B849))</f>
        <v/>
      </c>
      <c r="B849" s="45" t="n"/>
      <c r="C849" s="46" t="n"/>
      <c r="D849" s="46" t="n"/>
      <c r="E849" s="46" t="n"/>
      <c r="F849" s="51" t="n"/>
      <c r="G849" s="47" t="n"/>
      <c r="H849" s="47" t="n"/>
      <c r="I849" s="43">
        <f>IF($B849="","",N($G849)-N($H849))</f>
        <v/>
      </c>
    </row>
    <row r="850">
      <c r="A850" s="39">
        <f>IF($B850="","",COUNTA($B$4:$B850))</f>
        <v/>
      </c>
      <c r="B850" s="40" t="n"/>
      <c r="C850" s="41" t="n"/>
      <c r="D850" s="41" t="n"/>
      <c r="E850" s="41" t="n"/>
      <c r="F850" s="50" t="n"/>
      <c r="G850" s="42" t="n"/>
      <c r="H850" s="42" t="n"/>
      <c r="I850" s="43">
        <f>IF($B850="","",N($G850)-N($H850))</f>
        <v/>
      </c>
    </row>
    <row r="851">
      <c r="A851" s="39">
        <f>IF($B851="","",COUNTA($B$4:$B851))</f>
        <v/>
      </c>
      <c r="B851" s="45" t="n"/>
      <c r="C851" s="46" t="n"/>
      <c r="D851" s="46" t="n"/>
      <c r="E851" s="46" t="n"/>
      <c r="F851" s="51" t="n"/>
      <c r="G851" s="47" t="n"/>
      <c r="H851" s="47" t="n"/>
      <c r="I851" s="43">
        <f>IF($B851="","",N($G851)-N($H851))</f>
        <v/>
      </c>
    </row>
    <row r="852">
      <c r="A852" s="39">
        <f>IF($B852="","",COUNTA($B$4:$B852))</f>
        <v/>
      </c>
      <c r="B852" s="40" t="n"/>
      <c r="C852" s="41" t="n"/>
      <c r="D852" s="41" t="n"/>
      <c r="E852" s="41" t="n"/>
      <c r="F852" s="50" t="n"/>
      <c r="G852" s="42" t="n"/>
      <c r="H852" s="42" t="n"/>
      <c r="I852" s="43">
        <f>IF($B852="","",N($G852)-N($H852))</f>
        <v/>
      </c>
    </row>
    <row r="853">
      <c r="A853" s="39">
        <f>IF($B853="","",COUNTA($B$4:$B853))</f>
        <v/>
      </c>
      <c r="B853" s="45" t="n"/>
      <c r="C853" s="46" t="n"/>
      <c r="D853" s="46" t="n"/>
      <c r="E853" s="46" t="n"/>
      <c r="F853" s="51" t="n"/>
      <c r="G853" s="47" t="n"/>
      <c r="H853" s="47" t="n"/>
      <c r="I853" s="43">
        <f>IF($B853="","",N($G853)-N($H853))</f>
        <v/>
      </c>
    </row>
    <row r="854">
      <c r="A854" s="39">
        <f>IF($B854="","",COUNTA($B$4:$B854))</f>
        <v/>
      </c>
      <c r="B854" s="40" t="n"/>
      <c r="C854" s="41" t="n"/>
      <c r="D854" s="41" t="n"/>
      <c r="E854" s="41" t="n"/>
      <c r="F854" s="50" t="n"/>
      <c r="G854" s="42" t="n"/>
      <c r="H854" s="42" t="n"/>
      <c r="I854" s="43">
        <f>IF($B854="","",N($G854)-N($H854))</f>
        <v/>
      </c>
    </row>
    <row r="855">
      <c r="A855" s="39">
        <f>IF($B855="","",COUNTA($B$4:$B855))</f>
        <v/>
      </c>
      <c r="B855" s="45" t="n"/>
      <c r="C855" s="46" t="n"/>
      <c r="D855" s="46" t="n"/>
      <c r="E855" s="46" t="n"/>
      <c r="F855" s="51" t="n"/>
      <c r="G855" s="47" t="n"/>
      <c r="H855" s="47" t="n"/>
      <c r="I855" s="43">
        <f>IF($B855="","",N($G855)-N($H855))</f>
        <v/>
      </c>
    </row>
    <row r="856">
      <c r="A856" s="39">
        <f>IF($B856="","",COUNTA($B$4:$B856))</f>
        <v/>
      </c>
      <c r="B856" s="40" t="n"/>
      <c r="C856" s="41" t="n"/>
      <c r="D856" s="41" t="n"/>
      <c r="E856" s="41" t="n"/>
      <c r="F856" s="50" t="n"/>
      <c r="G856" s="42" t="n"/>
      <c r="H856" s="42" t="n"/>
      <c r="I856" s="43">
        <f>IF($B856="","",N($G856)-N($H856))</f>
        <v/>
      </c>
    </row>
    <row r="857">
      <c r="A857" s="39">
        <f>IF($B857="","",COUNTA($B$4:$B857))</f>
        <v/>
      </c>
      <c r="B857" s="45" t="n"/>
      <c r="C857" s="46" t="n"/>
      <c r="D857" s="46" t="n"/>
      <c r="E857" s="46" t="n"/>
      <c r="F857" s="51" t="n"/>
      <c r="G857" s="47" t="n"/>
      <c r="H857" s="47" t="n"/>
      <c r="I857" s="43">
        <f>IF($B857="","",N($G857)-N($H857))</f>
        <v/>
      </c>
    </row>
    <row r="858">
      <c r="A858" s="39">
        <f>IF($B858="","",COUNTA($B$4:$B858))</f>
        <v/>
      </c>
      <c r="B858" s="40" t="n"/>
      <c r="C858" s="41" t="n"/>
      <c r="D858" s="41" t="n"/>
      <c r="E858" s="41" t="n"/>
      <c r="F858" s="50" t="n"/>
      <c r="G858" s="42" t="n"/>
      <c r="H858" s="42" t="n"/>
      <c r="I858" s="43">
        <f>IF($B858="","",N($G858)-N($H858))</f>
        <v/>
      </c>
    </row>
    <row r="859">
      <c r="A859" s="39">
        <f>IF($B859="","",COUNTA($B$4:$B859))</f>
        <v/>
      </c>
      <c r="B859" s="45" t="n"/>
      <c r="C859" s="46" t="n"/>
      <c r="D859" s="46" t="n"/>
      <c r="E859" s="46" t="n"/>
      <c r="F859" s="51" t="n"/>
      <c r="G859" s="47" t="n"/>
      <c r="H859" s="47" t="n"/>
      <c r="I859" s="43">
        <f>IF($B859="","",N($G859)-N($H859))</f>
        <v/>
      </c>
    </row>
    <row r="860">
      <c r="A860" s="39">
        <f>IF($B860="","",COUNTA($B$4:$B860))</f>
        <v/>
      </c>
      <c r="B860" s="40" t="n"/>
      <c r="C860" s="41" t="n"/>
      <c r="D860" s="41" t="n"/>
      <c r="E860" s="41" t="n"/>
      <c r="F860" s="50" t="n"/>
      <c r="G860" s="42" t="n"/>
      <c r="H860" s="42" t="n"/>
      <c r="I860" s="43">
        <f>IF($B860="","",N($G860)-N($H860))</f>
        <v/>
      </c>
    </row>
    <row r="861">
      <c r="A861" s="39">
        <f>IF($B861="","",COUNTA($B$4:$B861))</f>
        <v/>
      </c>
      <c r="B861" s="45" t="n"/>
      <c r="C861" s="46" t="n"/>
      <c r="D861" s="46" t="n"/>
      <c r="E861" s="46" t="n"/>
      <c r="F861" s="51" t="n"/>
      <c r="G861" s="47" t="n"/>
      <c r="H861" s="47" t="n"/>
      <c r="I861" s="43">
        <f>IF($B861="","",N($G861)-N($H861))</f>
        <v/>
      </c>
    </row>
    <row r="862">
      <c r="A862" s="39">
        <f>IF($B862="","",COUNTA($B$4:$B862))</f>
        <v/>
      </c>
      <c r="B862" s="40" t="n"/>
      <c r="C862" s="41" t="n"/>
      <c r="D862" s="41" t="n"/>
      <c r="E862" s="41" t="n"/>
      <c r="F862" s="50" t="n"/>
      <c r="G862" s="42" t="n"/>
      <c r="H862" s="42" t="n"/>
      <c r="I862" s="43">
        <f>IF($B862="","",N($G862)-N($H862))</f>
        <v/>
      </c>
    </row>
    <row r="863">
      <c r="A863" s="39">
        <f>IF($B863="","",COUNTA($B$4:$B863))</f>
        <v/>
      </c>
      <c r="B863" s="45" t="n"/>
      <c r="C863" s="46" t="n"/>
      <c r="D863" s="46" t="n"/>
      <c r="E863" s="46" t="n"/>
      <c r="F863" s="51" t="n"/>
      <c r="G863" s="47" t="n"/>
      <c r="H863" s="47" t="n"/>
      <c r="I863" s="43">
        <f>IF($B863="","",N($G863)-N($H863))</f>
        <v/>
      </c>
    </row>
    <row r="864">
      <c r="A864" s="39">
        <f>IF($B864="","",COUNTA($B$4:$B864))</f>
        <v/>
      </c>
      <c r="B864" s="40" t="n"/>
      <c r="C864" s="41" t="n"/>
      <c r="D864" s="41" t="n"/>
      <c r="E864" s="41" t="n"/>
      <c r="F864" s="50" t="n"/>
      <c r="G864" s="42" t="n"/>
      <c r="H864" s="42" t="n"/>
      <c r="I864" s="43">
        <f>IF($B864="","",N($G864)-N($H864))</f>
        <v/>
      </c>
    </row>
    <row r="865">
      <c r="A865" s="39">
        <f>IF($B865="","",COUNTA($B$4:$B865))</f>
        <v/>
      </c>
      <c r="B865" s="45" t="n"/>
      <c r="C865" s="46" t="n"/>
      <c r="D865" s="46" t="n"/>
      <c r="E865" s="46" t="n"/>
      <c r="F865" s="51" t="n"/>
      <c r="G865" s="47" t="n"/>
      <c r="H865" s="47" t="n"/>
      <c r="I865" s="43">
        <f>IF($B865="","",N($G865)-N($H865))</f>
        <v/>
      </c>
    </row>
    <row r="866">
      <c r="A866" s="39">
        <f>IF($B866="","",COUNTA($B$4:$B866))</f>
        <v/>
      </c>
      <c r="B866" s="40" t="n"/>
      <c r="C866" s="41" t="n"/>
      <c r="D866" s="41" t="n"/>
      <c r="E866" s="41" t="n"/>
      <c r="F866" s="50" t="n"/>
      <c r="G866" s="42" t="n"/>
      <c r="H866" s="42" t="n"/>
      <c r="I866" s="43">
        <f>IF($B866="","",N($G866)-N($H866))</f>
        <v/>
      </c>
    </row>
    <row r="867">
      <c r="A867" s="39">
        <f>IF($B867="","",COUNTA($B$4:$B867))</f>
        <v/>
      </c>
      <c r="B867" s="45" t="n"/>
      <c r="C867" s="46" t="n"/>
      <c r="D867" s="46" t="n"/>
      <c r="E867" s="46" t="n"/>
      <c r="F867" s="51" t="n"/>
      <c r="G867" s="47" t="n"/>
      <c r="H867" s="47" t="n"/>
      <c r="I867" s="43">
        <f>IF($B867="","",N($G867)-N($H867))</f>
        <v/>
      </c>
    </row>
    <row r="868">
      <c r="A868" s="39">
        <f>IF($B868="","",COUNTA($B$4:$B868))</f>
        <v/>
      </c>
      <c r="B868" s="40" t="n"/>
      <c r="C868" s="41" t="n"/>
      <c r="D868" s="41" t="n"/>
      <c r="E868" s="41" t="n"/>
      <c r="F868" s="50" t="n"/>
      <c r="G868" s="42" t="n"/>
      <c r="H868" s="42" t="n"/>
      <c r="I868" s="43">
        <f>IF($B868="","",N($G868)-N($H868))</f>
        <v/>
      </c>
    </row>
    <row r="869">
      <c r="A869" s="39">
        <f>IF($B869="","",COUNTA($B$4:$B869))</f>
        <v/>
      </c>
      <c r="B869" s="45" t="n"/>
      <c r="C869" s="46" t="n"/>
      <c r="D869" s="46" t="n"/>
      <c r="E869" s="46" t="n"/>
      <c r="F869" s="51" t="n"/>
      <c r="G869" s="47" t="n"/>
      <c r="H869" s="47" t="n"/>
      <c r="I869" s="43">
        <f>IF($B869="","",N($G869)-N($H869))</f>
        <v/>
      </c>
    </row>
    <row r="870">
      <c r="A870" s="39">
        <f>IF($B870="","",COUNTA($B$4:$B870))</f>
        <v/>
      </c>
      <c r="B870" s="40" t="n"/>
      <c r="C870" s="41" t="n"/>
      <c r="D870" s="41" t="n"/>
      <c r="E870" s="41" t="n"/>
      <c r="F870" s="50" t="n"/>
      <c r="G870" s="42" t="n"/>
      <c r="H870" s="42" t="n"/>
      <c r="I870" s="43">
        <f>IF($B870="","",N($G870)-N($H870))</f>
        <v/>
      </c>
    </row>
    <row r="871">
      <c r="A871" s="39">
        <f>IF($B871="","",COUNTA($B$4:$B871))</f>
        <v/>
      </c>
      <c r="B871" s="45" t="n"/>
      <c r="C871" s="46" t="n"/>
      <c r="D871" s="46" t="n"/>
      <c r="E871" s="46" t="n"/>
      <c r="F871" s="51" t="n"/>
      <c r="G871" s="47" t="n"/>
      <c r="H871" s="47" t="n"/>
      <c r="I871" s="43">
        <f>IF($B871="","",N($G871)-N($H871))</f>
        <v/>
      </c>
    </row>
    <row r="872">
      <c r="A872" s="39">
        <f>IF($B872="","",COUNTA($B$4:$B872))</f>
        <v/>
      </c>
      <c r="B872" s="40" t="n"/>
      <c r="C872" s="41" t="n"/>
      <c r="D872" s="41" t="n"/>
      <c r="E872" s="41" t="n"/>
      <c r="F872" s="50" t="n"/>
      <c r="G872" s="42" t="n"/>
      <c r="H872" s="42" t="n"/>
      <c r="I872" s="43">
        <f>IF($B872="","",N($G872)-N($H872))</f>
        <v/>
      </c>
    </row>
    <row r="873">
      <c r="A873" s="39">
        <f>IF($B873="","",COUNTA($B$4:$B873))</f>
        <v/>
      </c>
      <c r="B873" s="45" t="n"/>
      <c r="C873" s="46" t="n"/>
      <c r="D873" s="46" t="n"/>
      <c r="E873" s="46" t="n"/>
      <c r="F873" s="51" t="n"/>
      <c r="G873" s="47" t="n"/>
      <c r="H873" s="47" t="n"/>
      <c r="I873" s="43">
        <f>IF($B873="","",N($G873)-N($H873))</f>
        <v/>
      </c>
    </row>
    <row r="874">
      <c r="A874" s="39">
        <f>IF($B874="","",COUNTA($B$4:$B874))</f>
        <v/>
      </c>
      <c r="B874" s="40" t="n"/>
      <c r="C874" s="41" t="n"/>
      <c r="D874" s="41" t="n"/>
      <c r="E874" s="41" t="n"/>
      <c r="F874" s="50" t="n"/>
      <c r="G874" s="42" t="n"/>
      <c r="H874" s="42" t="n"/>
      <c r="I874" s="43">
        <f>IF($B874="","",N($G874)-N($H874))</f>
        <v/>
      </c>
    </row>
    <row r="875">
      <c r="A875" s="39">
        <f>IF($B875="","",COUNTA($B$4:$B875))</f>
        <v/>
      </c>
      <c r="B875" s="45" t="n"/>
      <c r="C875" s="46" t="n"/>
      <c r="D875" s="46" t="n"/>
      <c r="E875" s="46" t="n"/>
      <c r="F875" s="51" t="n"/>
      <c r="G875" s="47" t="n"/>
      <c r="H875" s="47" t="n"/>
      <c r="I875" s="43">
        <f>IF($B875="","",N($G875)-N($H875))</f>
        <v/>
      </c>
    </row>
    <row r="876">
      <c r="A876" s="39">
        <f>IF($B876="","",COUNTA($B$4:$B876))</f>
        <v/>
      </c>
      <c r="B876" s="40" t="n"/>
      <c r="C876" s="41" t="n"/>
      <c r="D876" s="41" t="n"/>
      <c r="E876" s="41" t="n"/>
      <c r="F876" s="50" t="n"/>
      <c r="G876" s="42" t="n"/>
      <c r="H876" s="42" t="n"/>
      <c r="I876" s="43">
        <f>IF($B876="","",N($G876)-N($H876))</f>
        <v/>
      </c>
    </row>
    <row r="877">
      <c r="A877" s="39">
        <f>IF($B877="","",COUNTA($B$4:$B877))</f>
        <v/>
      </c>
      <c r="B877" s="45" t="n"/>
      <c r="C877" s="46" t="n"/>
      <c r="D877" s="46" t="n"/>
      <c r="E877" s="46" t="n"/>
      <c r="F877" s="51" t="n"/>
      <c r="G877" s="47" t="n"/>
      <c r="H877" s="47" t="n"/>
      <c r="I877" s="43">
        <f>IF($B877="","",N($G877)-N($H877))</f>
        <v/>
      </c>
    </row>
    <row r="878">
      <c r="A878" s="39">
        <f>IF($B878="","",COUNTA($B$4:$B878))</f>
        <v/>
      </c>
      <c r="B878" s="40" t="n"/>
      <c r="C878" s="41" t="n"/>
      <c r="D878" s="41" t="n"/>
      <c r="E878" s="41" t="n"/>
      <c r="F878" s="50" t="n"/>
      <c r="G878" s="42" t="n"/>
      <c r="H878" s="42" t="n"/>
      <c r="I878" s="43">
        <f>IF($B878="","",N($G878)-N($H878))</f>
        <v/>
      </c>
    </row>
    <row r="879">
      <c r="A879" s="39">
        <f>IF($B879="","",COUNTA($B$4:$B879))</f>
        <v/>
      </c>
      <c r="B879" s="45" t="n"/>
      <c r="C879" s="46" t="n"/>
      <c r="D879" s="46" t="n"/>
      <c r="E879" s="46" t="n"/>
      <c r="F879" s="51" t="n"/>
      <c r="G879" s="47" t="n"/>
      <c r="H879" s="47" t="n"/>
      <c r="I879" s="43">
        <f>IF($B879="","",N($G879)-N($H879))</f>
        <v/>
      </c>
    </row>
    <row r="880">
      <c r="A880" s="39">
        <f>IF($B880="","",COUNTA($B$4:$B880))</f>
        <v/>
      </c>
      <c r="B880" s="40" t="n"/>
      <c r="C880" s="41" t="n"/>
      <c r="D880" s="41" t="n"/>
      <c r="E880" s="41" t="n"/>
      <c r="F880" s="50" t="n"/>
      <c r="G880" s="42" t="n"/>
      <c r="H880" s="42" t="n"/>
      <c r="I880" s="43">
        <f>IF($B880="","",N($G880)-N($H880))</f>
        <v/>
      </c>
    </row>
    <row r="881">
      <c r="A881" s="39">
        <f>IF($B881="","",COUNTA($B$4:$B881))</f>
        <v/>
      </c>
      <c r="B881" s="45" t="n"/>
      <c r="C881" s="46" t="n"/>
      <c r="D881" s="46" t="n"/>
      <c r="E881" s="46" t="n"/>
      <c r="F881" s="51" t="n"/>
      <c r="G881" s="47" t="n"/>
      <c r="H881" s="47" t="n"/>
      <c r="I881" s="43">
        <f>IF($B881="","",N($G881)-N($H881))</f>
        <v/>
      </c>
    </row>
    <row r="882">
      <c r="A882" s="39">
        <f>IF($B882="","",COUNTA($B$4:$B882))</f>
        <v/>
      </c>
      <c r="B882" s="40" t="n"/>
      <c r="C882" s="41" t="n"/>
      <c r="D882" s="41" t="n"/>
      <c r="E882" s="41" t="n"/>
      <c r="F882" s="50" t="n"/>
      <c r="G882" s="42" t="n"/>
      <c r="H882" s="42" t="n"/>
      <c r="I882" s="43">
        <f>IF($B882="","",N($G882)-N($H882))</f>
        <v/>
      </c>
    </row>
    <row r="883">
      <c r="A883" s="39">
        <f>IF($B883="","",COUNTA($B$4:$B883))</f>
        <v/>
      </c>
      <c r="B883" s="45" t="n"/>
      <c r="C883" s="46" t="n"/>
      <c r="D883" s="46" t="n"/>
      <c r="E883" s="46" t="n"/>
      <c r="F883" s="51" t="n"/>
      <c r="G883" s="47" t="n"/>
      <c r="H883" s="47" t="n"/>
      <c r="I883" s="43">
        <f>IF($B883="","",N($G883)-N($H883))</f>
        <v/>
      </c>
    </row>
    <row r="884">
      <c r="A884" s="39">
        <f>IF($B884="","",COUNTA($B$4:$B884))</f>
        <v/>
      </c>
      <c r="B884" s="40" t="n"/>
      <c r="C884" s="41" t="n"/>
      <c r="D884" s="41" t="n"/>
      <c r="E884" s="41" t="n"/>
      <c r="F884" s="50" t="n"/>
      <c r="G884" s="42" t="n"/>
      <c r="H884" s="42" t="n"/>
      <c r="I884" s="43">
        <f>IF($B884="","",N($G884)-N($H884))</f>
        <v/>
      </c>
    </row>
    <row r="885">
      <c r="A885" s="39">
        <f>IF($B885="","",COUNTA($B$4:$B885))</f>
        <v/>
      </c>
      <c r="B885" s="45" t="n"/>
      <c r="C885" s="46" t="n"/>
      <c r="D885" s="46" t="n"/>
      <c r="E885" s="46" t="n"/>
      <c r="F885" s="51" t="n"/>
      <c r="G885" s="47" t="n"/>
      <c r="H885" s="47" t="n"/>
      <c r="I885" s="43">
        <f>IF($B885="","",N($G885)-N($H885))</f>
        <v/>
      </c>
    </row>
    <row r="886">
      <c r="A886" s="39">
        <f>IF($B886="","",COUNTA($B$4:$B886))</f>
        <v/>
      </c>
      <c r="B886" s="40" t="n"/>
      <c r="C886" s="41" t="n"/>
      <c r="D886" s="41" t="n"/>
      <c r="E886" s="41" t="n"/>
      <c r="F886" s="50" t="n"/>
      <c r="G886" s="42" t="n"/>
      <c r="H886" s="42" t="n"/>
      <c r="I886" s="43">
        <f>IF($B886="","",N($G886)-N($H886))</f>
        <v/>
      </c>
    </row>
    <row r="887">
      <c r="A887" s="39">
        <f>IF($B887="","",COUNTA($B$4:$B887))</f>
        <v/>
      </c>
      <c r="B887" s="45" t="n"/>
      <c r="C887" s="46" t="n"/>
      <c r="D887" s="46" t="n"/>
      <c r="E887" s="46" t="n"/>
      <c r="F887" s="51" t="n"/>
      <c r="G887" s="47" t="n"/>
      <c r="H887" s="47" t="n"/>
      <c r="I887" s="43">
        <f>IF($B887="","",N($G887)-N($H887))</f>
        <v/>
      </c>
    </row>
    <row r="888">
      <c r="A888" s="39">
        <f>IF($B888="","",COUNTA($B$4:$B888))</f>
        <v/>
      </c>
      <c r="B888" s="40" t="n"/>
      <c r="C888" s="41" t="n"/>
      <c r="D888" s="41" t="n"/>
      <c r="E888" s="41" t="n"/>
      <c r="F888" s="50" t="n"/>
      <c r="G888" s="42" t="n"/>
      <c r="H888" s="42" t="n"/>
      <c r="I888" s="43">
        <f>IF($B888="","",N($G888)-N($H888))</f>
        <v/>
      </c>
    </row>
    <row r="889">
      <c r="A889" s="39">
        <f>IF($B889="","",COUNTA($B$4:$B889))</f>
        <v/>
      </c>
      <c r="B889" s="45" t="n"/>
      <c r="C889" s="46" t="n"/>
      <c r="D889" s="46" t="n"/>
      <c r="E889" s="46" t="n"/>
      <c r="F889" s="51" t="n"/>
      <c r="G889" s="47" t="n"/>
      <c r="H889" s="47" t="n"/>
      <c r="I889" s="43">
        <f>IF($B889="","",N($G889)-N($H889))</f>
        <v/>
      </c>
    </row>
    <row r="890">
      <c r="A890" s="39">
        <f>IF($B890="","",COUNTA($B$4:$B890))</f>
        <v/>
      </c>
      <c r="B890" s="40" t="n"/>
      <c r="C890" s="41" t="n"/>
      <c r="D890" s="41" t="n"/>
      <c r="E890" s="41" t="n"/>
      <c r="F890" s="50" t="n"/>
      <c r="G890" s="42" t="n"/>
      <c r="H890" s="42" t="n"/>
      <c r="I890" s="43">
        <f>IF($B890="","",N($G890)-N($H890))</f>
        <v/>
      </c>
    </row>
    <row r="891">
      <c r="A891" s="39">
        <f>IF($B891="","",COUNTA($B$4:$B891))</f>
        <v/>
      </c>
      <c r="B891" s="45" t="n"/>
      <c r="C891" s="46" t="n"/>
      <c r="D891" s="46" t="n"/>
      <c r="E891" s="46" t="n"/>
      <c r="F891" s="51" t="n"/>
      <c r="G891" s="47" t="n"/>
      <c r="H891" s="47" t="n"/>
      <c r="I891" s="43">
        <f>IF($B891="","",N($G891)-N($H891))</f>
        <v/>
      </c>
    </row>
    <row r="892">
      <c r="A892" s="39">
        <f>IF($B892="","",COUNTA($B$4:$B892))</f>
        <v/>
      </c>
      <c r="B892" s="40" t="n"/>
      <c r="C892" s="41" t="n"/>
      <c r="D892" s="41" t="n"/>
      <c r="E892" s="41" t="n"/>
      <c r="F892" s="50" t="n"/>
      <c r="G892" s="42" t="n"/>
      <c r="H892" s="42" t="n"/>
      <c r="I892" s="43">
        <f>IF($B892="","",N($G892)-N($H892))</f>
        <v/>
      </c>
    </row>
    <row r="893">
      <c r="A893" s="39">
        <f>IF($B893="","",COUNTA($B$4:$B893))</f>
        <v/>
      </c>
      <c r="B893" s="45" t="n"/>
      <c r="C893" s="46" t="n"/>
      <c r="D893" s="46" t="n"/>
      <c r="E893" s="46" t="n"/>
      <c r="F893" s="51" t="n"/>
      <c r="G893" s="47" t="n"/>
      <c r="H893" s="47" t="n"/>
      <c r="I893" s="43">
        <f>IF($B893="","",N($G893)-N($H893))</f>
        <v/>
      </c>
    </row>
    <row r="894">
      <c r="A894" s="39">
        <f>IF($B894="","",COUNTA($B$4:$B894))</f>
        <v/>
      </c>
      <c r="B894" s="40" t="n"/>
      <c r="C894" s="41" t="n"/>
      <c r="D894" s="41" t="n"/>
      <c r="E894" s="41" t="n"/>
      <c r="F894" s="50" t="n"/>
      <c r="G894" s="42" t="n"/>
      <c r="H894" s="42" t="n"/>
      <c r="I894" s="43">
        <f>IF($B894="","",N($G894)-N($H894))</f>
        <v/>
      </c>
    </row>
    <row r="895">
      <c r="A895" s="39">
        <f>IF($B895="","",COUNTA($B$4:$B895))</f>
        <v/>
      </c>
      <c r="B895" s="45" t="n"/>
      <c r="C895" s="46" t="n"/>
      <c r="D895" s="46" t="n"/>
      <c r="E895" s="46" t="n"/>
      <c r="F895" s="51" t="n"/>
      <c r="G895" s="47" t="n"/>
      <c r="H895" s="47" t="n"/>
      <c r="I895" s="43">
        <f>IF($B895="","",N($G895)-N($H895))</f>
        <v/>
      </c>
    </row>
    <row r="896">
      <c r="A896" s="39">
        <f>IF($B896="","",COUNTA($B$4:$B896))</f>
        <v/>
      </c>
      <c r="B896" s="40" t="n"/>
      <c r="C896" s="41" t="n"/>
      <c r="D896" s="41" t="n"/>
      <c r="E896" s="41" t="n"/>
      <c r="F896" s="50" t="n"/>
      <c r="G896" s="42" t="n"/>
      <c r="H896" s="42" t="n"/>
      <c r="I896" s="43">
        <f>IF($B896="","",N($G896)-N($H896))</f>
        <v/>
      </c>
    </row>
    <row r="897">
      <c r="A897" s="39">
        <f>IF($B897="","",COUNTA($B$4:$B897))</f>
        <v/>
      </c>
      <c r="B897" s="45" t="n"/>
      <c r="C897" s="46" t="n"/>
      <c r="D897" s="46" t="n"/>
      <c r="E897" s="46" t="n"/>
      <c r="F897" s="51" t="n"/>
      <c r="G897" s="47" t="n"/>
      <c r="H897" s="47" t="n"/>
      <c r="I897" s="43">
        <f>IF($B897="","",N($G897)-N($H897))</f>
        <v/>
      </c>
    </row>
    <row r="898">
      <c r="A898" s="39">
        <f>IF($B898="","",COUNTA($B$4:$B898))</f>
        <v/>
      </c>
      <c r="B898" s="40" t="n"/>
      <c r="C898" s="41" t="n"/>
      <c r="D898" s="41" t="n"/>
      <c r="E898" s="41" t="n"/>
      <c r="F898" s="50" t="n"/>
      <c r="G898" s="42" t="n"/>
      <c r="H898" s="42" t="n"/>
      <c r="I898" s="43">
        <f>IF($B898="","",N($G898)-N($H898))</f>
        <v/>
      </c>
    </row>
    <row r="899">
      <c r="A899" s="39">
        <f>IF($B899="","",COUNTA($B$4:$B899))</f>
        <v/>
      </c>
      <c r="B899" s="45" t="n"/>
      <c r="C899" s="46" t="n"/>
      <c r="D899" s="46" t="n"/>
      <c r="E899" s="46" t="n"/>
      <c r="F899" s="51" t="n"/>
      <c r="G899" s="47" t="n"/>
      <c r="H899" s="47" t="n"/>
      <c r="I899" s="43">
        <f>IF($B899="","",N($G899)-N($H899))</f>
        <v/>
      </c>
    </row>
    <row r="900">
      <c r="A900" s="39">
        <f>IF($B900="","",COUNTA($B$4:$B900))</f>
        <v/>
      </c>
      <c r="B900" s="40" t="n"/>
      <c r="C900" s="41" t="n"/>
      <c r="D900" s="41" t="n"/>
      <c r="E900" s="41" t="n"/>
      <c r="F900" s="50" t="n"/>
      <c r="G900" s="42" t="n"/>
      <c r="H900" s="42" t="n"/>
      <c r="I900" s="43">
        <f>IF($B900="","",N($G900)-N($H900))</f>
        <v/>
      </c>
    </row>
    <row r="901">
      <c r="A901" s="39">
        <f>IF($B901="","",COUNTA($B$4:$B901))</f>
        <v/>
      </c>
      <c r="B901" s="45" t="n"/>
      <c r="C901" s="46" t="n"/>
      <c r="D901" s="46" t="n"/>
      <c r="E901" s="46" t="n"/>
      <c r="F901" s="51" t="n"/>
      <c r="G901" s="47" t="n"/>
      <c r="H901" s="47" t="n"/>
      <c r="I901" s="43">
        <f>IF($B901="","",N($G901)-N($H901))</f>
        <v/>
      </c>
    </row>
    <row r="902">
      <c r="A902" s="39">
        <f>IF($B902="","",COUNTA($B$4:$B902))</f>
        <v/>
      </c>
      <c r="B902" s="40" t="n"/>
      <c r="C902" s="41" t="n"/>
      <c r="D902" s="41" t="n"/>
      <c r="E902" s="41" t="n"/>
      <c r="F902" s="50" t="n"/>
      <c r="G902" s="42" t="n"/>
      <c r="H902" s="42" t="n"/>
      <c r="I902" s="43">
        <f>IF($B902="","",N($G902)-N($H902))</f>
        <v/>
      </c>
    </row>
    <row r="903">
      <c r="A903" s="39">
        <f>IF($B903="","",COUNTA($B$4:$B903))</f>
        <v/>
      </c>
      <c r="B903" s="45" t="n"/>
      <c r="C903" s="46" t="n"/>
      <c r="D903" s="46" t="n"/>
      <c r="E903" s="46" t="n"/>
      <c r="F903" s="51" t="n"/>
      <c r="G903" s="47" t="n"/>
      <c r="H903" s="47" t="n"/>
      <c r="I903" s="43">
        <f>IF($B903="","",N($G903)-N($H903))</f>
        <v/>
      </c>
    </row>
    <row r="904">
      <c r="A904" s="39">
        <f>IF($B904="","",COUNTA($B$4:$B904))</f>
        <v/>
      </c>
      <c r="B904" s="40" t="n"/>
      <c r="C904" s="41" t="n"/>
      <c r="D904" s="41" t="n"/>
      <c r="E904" s="41" t="n"/>
      <c r="F904" s="50" t="n"/>
      <c r="G904" s="42" t="n"/>
      <c r="H904" s="42" t="n"/>
      <c r="I904" s="43">
        <f>IF($B904="","",N($G904)-N($H904))</f>
        <v/>
      </c>
    </row>
    <row r="905">
      <c r="A905" s="39">
        <f>IF($B905="","",COUNTA($B$4:$B905))</f>
        <v/>
      </c>
      <c r="B905" s="45" t="n"/>
      <c r="C905" s="46" t="n"/>
      <c r="D905" s="46" t="n"/>
      <c r="E905" s="46" t="n"/>
      <c r="F905" s="51" t="n"/>
      <c r="G905" s="47" t="n"/>
      <c r="H905" s="47" t="n"/>
      <c r="I905" s="43">
        <f>IF($B905="","",N($G905)-N($H905))</f>
        <v/>
      </c>
    </row>
    <row r="906">
      <c r="A906" s="39">
        <f>IF($B906="","",COUNTA($B$4:$B906))</f>
        <v/>
      </c>
      <c r="B906" s="40" t="n"/>
      <c r="C906" s="41" t="n"/>
      <c r="D906" s="41" t="n"/>
      <c r="E906" s="41" t="n"/>
      <c r="F906" s="50" t="n"/>
      <c r="G906" s="42" t="n"/>
      <c r="H906" s="42" t="n"/>
      <c r="I906" s="43">
        <f>IF($B906="","",N($G906)-N($H906))</f>
        <v/>
      </c>
    </row>
    <row r="907">
      <c r="A907" s="39">
        <f>IF($B907="","",COUNTA($B$4:$B907))</f>
        <v/>
      </c>
      <c r="B907" s="45" t="n"/>
      <c r="C907" s="46" t="n"/>
      <c r="D907" s="46" t="n"/>
      <c r="E907" s="46" t="n"/>
      <c r="F907" s="51" t="n"/>
      <c r="G907" s="47" t="n"/>
      <c r="H907" s="47" t="n"/>
      <c r="I907" s="43">
        <f>IF($B907="","",N($G907)-N($H907))</f>
        <v/>
      </c>
    </row>
    <row r="908">
      <c r="A908" s="39">
        <f>IF($B908="","",COUNTA($B$4:$B908))</f>
        <v/>
      </c>
      <c r="B908" s="40" t="n"/>
      <c r="C908" s="41" t="n"/>
      <c r="D908" s="41" t="n"/>
      <c r="E908" s="41" t="n"/>
      <c r="F908" s="50" t="n"/>
      <c r="G908" s="42" t="n"/>
      <c r="H908" s="42" t="n"/>
      <c r="I908" s="43">
        <f>IF($B908="","",N($G908)-N($H908))</f>
        <v/>
      </c>
    </row>
    <row r="909">
      <c r="A909" s="39">
        <f>IF($B909="","",COUNTA($B$4:$B909))</f>
        <v/>
      </c>
      <c r="B909" s="45" t="n"/>
      <c r="C909" s="46" t="n"/>
      <c r="D909" s="46" t="n"/>
      <c r="E909" s="46" t="n"/>
      <c r="F909" s="51" t="n"/>
      <c r="G909" s="47" t="n"/>
      <c r="H909" s="47" t="n"/>
      <c r="I909" s="43">
        <f>IF($B909="","",N($G909)-N($H909))</f>
        <v/>
      </c>
    </row>
    <row r="910">
      <c r="A910" s="39">
        <f>IF($B910="","",COUNTA($B$4:$B910))</f>
        <v/>
      </c>
      <c r="B910" s="40" t="n"/>
      <c r="C910" s="41" t="n"/>
      <c r="D910" s="41" t="n"/>
      <c r="E910" s="41" t="n"/>
      <c r="F910" s="50" t="n"/>
      <c r="G910" s="42" t="n"/>
      <c r="H910" s="42" t="n"/>
      <c r="I910" s="43">
        <f>IF($B910="","",N($G910)-N($H910))</f>
        <v/>
      </c>
    </row>
    <row r="911">
      <c r="A911" s="39">
        <f>IF($B911="","",COUNTA($B$4:$B911))</f>
        <v/>
      </c>
      <c r="B911" s="45" t="n"/>
      <c r="C911" s="46" t="n"/>
      <c r="D911" s="46" t="n"/>
      <c r="E911" s="46" t="n"/>
      <c r="F911" s="51" t="n"/>
      <c r="G911" s="47" t="n"/>
      <c r="H911" s="47" t="n"/>
      <c r="I911" s="43">
        <f>IF($B911="","",N($G911)-N($H911))</f>
        <v/>
      </c>
    </row>
    <row r="912">
      <c r="A912" s="39">
        <f>IF($B912="","",COUNTA($B$4:$B912))</f>
        <v/>
      </c>
      <c r="B912" s="40" t="n"/>
      <c r="C912" s="41" t="n"/>
      <c r="D912" s="41" t="n"/>
      <c r="E912" s="41" t="n"/>
      <c r="F912" s="50" t="n"/>
      <c r="G912" s="42" t="n"/>
      <c r="H912" s="42" t="n"/>
      <c r="I912" s="43">
        <f>IF($B912="","",N($G912)-N($H912))</f>
        <v/>
      </c>
    </row>
    <row r="913">
      <c r="A913" s="39">
        <f>IF($B913="","",COUNTA($B$4:$B913))</f>
        <v/>
      </c>
      <c r="B913" s="45" t="n"/>
      <c r="C913" s="46" t="n"/>
      <c r="D913" s="46" t="n"/>
      <c r="E913" s="46" t="n"/>
      <c r="F913" s="51" t="n"/>
      <c r="G913" s="47" t="n"/>
      <c r="H913" s="47" t="n"/>
      <c r="I913" s="43">
        <f>IF($B913="","",N($G913)-N($H913))</f>
        <v/>
      </c>
    </row>
    <row r="914">
      <c r="A914" s="39">
        <f>IF($B914="","",COUNTA($B$4:$B914))</f>
        <v/>
      </c>
      <c r="B914" s="40" t="n"/>
      <c r="C914" s="41" t="n"/>
      <c r="D914" s="41" t="n"/>
      <c r="E914" s="41" t="n"/>
      <c r="F914" s="50" t="n"/>
      <c r="G914" s="42" t="n"/>
      <c r="H914" s="42" t="n"/>
      <c r="I914" s="43">
        <f>IF($B914="","",N($G914)-N($H914))</f>
        <v/>
      </c>
    </row>
    <row r="915">
      <c r="A915" s="39">
        <f>IF($B915="","",COUNTA($B$4:$B915))</f>
        <v/>
      </c>
      <c r="B915" s="45" t="n"/>
      <c r="C915" s="46" t="n"/>
      <c r="D915" s="46" t="n"/>
      <c r="E915" s="46" t="n"/>
      <c r="F915" s="51" t="n"/>
      <c r="G915" s="47" t="n"/>
      <c r="H915" s="47" t="n"/>
      <c r="I915" s="43">
        <f>IF($B915="","",N($G915)-N($H915))</f>
        <v/>
      </c>
    </row>
    <row r="916">
      <c r="A916" s="39">
        <f>IF($B916="","",COUNTA($B$4:$B916))</f>
        <v/>
      </c>
      <c r="B916" s="40" t="n"/>
      <c r="C916" s="41" t="n"/>
      <c r="D916" s="41" t="n"/>
      <c r="E916" s="41" t="n"/>
      <c r="F916" s="50" t="n"/>
      <c r="G916" s="42" t="n"/>
      <c r="H916" s="42" t="n"/>
      <c r="I916" s="43">
        <f>IF($B916="","",N($G916)-N($H916))</f>
        <v/>
      </c>
    </row>
    <row r="917">
      <c r="A917" s="39">
        <f>IF($B917="","",COUNTA($B$4:$B917))</f>
        <v/>
      </c>
      <c r="B917" s="45" t="n"/>
      <c r="C917" s="46" t="n"/>
      <c r="D917" s="46" t="n"/>
      <c r="E917" s="46" t="n"/>
      <c r="F917" s="51" t="n"/>
      <c r="G917" s="47" t="n"/>
      <c r="H917" s="47" t="n"/>
      <c r="I917" s="43">
        <f>IF($B917="","",N($G917)-N($H917))</f>
        <v/>
      </c>
    </row>
    <row r="918">
      <c r="A918" s="39">
        <f>IF($B918="","",COUNTA($B$4:$B918))</f>
        <v/>
      </c>
      <c r="B918" s="40" t="n"/>
      <c r="C918" s="41" t="n"/>
      <c r="D918" s="41" t="n"/>
      <c r="E918" s="41" t="n"/>
      <c r="F918" s="50" t="n"/>
      <c r="G918" s="42" t="n"/>
      <c r="H918" s="42" t="n"/>
      <c r="I918" s="43">
        <f>IF($B918="","",N($G918)-N($H918))</f>
        <v/>
      </c>
    </row>
    <row r="919">
      <c r="A919" s="39">
        <f>IF($B919="","",COUNTA($B$4:$B919))</f>
        <v/>
      </c>
      <c r="B919" s="45" t="n"/>
      <c r="C919" s="46" t="n"/>
      <c r="D919" s="46" t="n"/>
      <c r="E919" s="46" t="n"/>
      <c r="F919" s="51" t="n"/>
      <c r="G919" s="47" t="n"/>
      <c r="H919" s="47" t="n"/>
      <c r="I919" s="43">
        <f>IF($B919="","",N($G919)-N($H919))</f>
        <v/>
      </c>
    </row>
    <row r="920">
      <c r="A920" s="39">
        <f>IF($B920="","",COUNTA($B$4:$B920))</f>
        <v/>
      </c>
      <c r="B920" s="40" t="n"/>
      <c r="C920" s="41" t="n"/>
      <c r="D920" s="41" t="n"/>
      <c r="E920" s="41" t="n"/>
      <c r="F920" s="50" t="n"/>
      <c r="G920" s="42" t="n"/>
      <c r="H920" s="42" t="n"/>
      <c r="I920" s="43">
        <f>IF($B920="","",N($G920)-N($H920))</f>
        <v/>
      </c>
    </row>
    <row r="921">
      <c r="A921" s="39">
        <f>IF($B921="","",COUNTA($B$4:$B921))</f>
        <v/>
      </c>
      <c r="B921" s="45" t="n"/>
      <c r="C921" s="46" t="n"/>
      <c r="D921" s="46" t="n"/>
      <c r="E921" s="46" t="n"/>
      <c r="F921" s="51" t="n"/>
      <c r="G921" s="47" t="n"/>
      <c r="H921" s="47" t="n"/>
      <c r="I921" s="43">
        <f>IF($B921="","",N($G921)-N($H921))</f>
        <v/>
      </c>
    </row>
    <row r="922">
      <c r="A922" s="39">
        <f>IF($B922="","",COUNTA($B$4:$B922))</f>
        <v/>
      </c>
      <c r="B922" s="40" t="n"/>
      <c r="C922" s="41" t="n"/>
      <c r="D922" s="41" t="n"/>
      <c r="E922" s="41" t="n"/>
      <c r="F922" s="50" t="n"/>
      <c r="G922" s="42" t="n"/>
      <c r="H922" s="42" t="n"/>
      <c r="I922" s="43">
        <f>IF($B922="","",N($G922)-N($H922))</f>
        <v/>
      </c>
    </row>
    <row r="923">
      <c r="A923" s="39">
        <f>IF($B923="","",COUNTA($B$4:$B923))</f>
        <v/>
      </c>
      <c r="B923" s="45" t="n"/>
      <c r="C923" s="46" t="n"/>
      <c r="D923" s="46" t="n"/>
      <c r="E923" s="46" t="n"/>
      <c r="F923" s="51" t="n"/>
      <c r="G923" s="47" t="n"/>
      <c r="H923" s="47" t="n"/>
      <c r="I923" s="43">
        <f>IF($B923="","",N($G923)-N($H923))</f>
        <v/>
      </c>
    </row>
    <row r="924">
      <c r="A924" s="39">
        <f>IF($B924="","",COUNTA($B$4:$B924))</f>
        <v/>
      </c>
      <c r="B924" s="40" t="n"/>
      <c r="C924" s="41" t="n"/>
      <c r="D924" s="41" t="n"/>
      <c r="E924" s="41" t="n"/>
      <c r="F924" s="50" t="n"/>
      <c r="G924" s="42" t="n"/>
      <c r="H924" s="42" t="n"/>
      <c r="I924" s="43">
        <f>IF($B924="","",N($G924)-N($H924))</f>
        <v/>
      </c>
    </row>
    <row r="925">
      <c r="A925" s="39">
        <f>IF($B925="","",COUNTA($B$4:$B925))</f>
        <v/>
      </c>
      <c r="B925" s="45" t="n"/>
      <c r="C925" s="46" t="n"/>
      <c r="D925" s="46" t="n"/>
      <c r="E925" s="46" t="n"/>
      <c r="F925" s="51" t="n"/>
      <c r="G925" s="47" t="n"/>
      <c r="H925" s="47" t="n"/>
      <c r="I925" s="43">
        <f>IF($B925="","",N($G925)-N($H925))</f>
        <v/>
      </c>
    </row>
    <row r="926">
      <c r="A926" s="39">
        <f>IF($B926="","",COUNTA($B$4:$B926))</f>
        <v/>
      </c>
      <c r="B926" s="40" t="n"/>
      <c r="C926" s="41" t="n"/>
      <c r="D926" s="41" t="n"/>
      <c r="E926" s="41" t="n"/>
      <c r="F926" s="50" t="n"/>
      <c r="G926" s="42" t="n"/>
      <c r="H926" s="42" t="n"/>
      <c r="I926" s="43">
        <f>IF($B926="","",N($G926)-N($H926))</f>
        <v/>
      </c>
    </row>
    <row r="927">
      <c r="A927" s="39">
        <f>IF($B927="","",COUNTA($B$4:$B927))</f>
        <v/>
      </c>
      <c r="B927" s="45" t="n"/>
      <c r="C927" s="46" t="n"/>
      <c r="D927" s="46" t="n"/>
      <c r="E927" s="46" t="n"/>
      <c r="F927" s="51" t="n"/>
      <c r="G927" s="47" t="n"/>
      <c r="H927" s="47" t="n"/>
      <c r="I927" s="43">
        <f>IF($B927="","",N($G927)-N($H927))</f>
        <v/>
      </c>
    </row>
    <row r="928">
      <c r="A928" s="39">
        <f>IF($B928="","",COUNTA($B$4:$B928))</f>
        <v/>
      </c>
      <c r="B928" s="40" t="n"/>
      <c r="C928" s="41" t="n"/>
      <c r="D928" s="41" t="n"/>
      <c r="E928" s="41" t="n"/>
      <c r="F928" s="50" t="n"/>
      <c r="G928" s="42" t="n"/>
      <c r="H928" s="42" t="n"/>
      <c r="I928" s="43">
        <f>IF($B928="","",N($G928)-N($H928))</f>
        <v/>
      </c>
    </row>
    <row r="929">
      <c r="A929" s="39">
        <f>IF($B929="","",COUNTA($B$4:$B929))</f>
        <v/>
      </c>
      <c r="B929" s="45" t="n"/>
      <c r="C929" s="46" t="n"/>
      <c r="D929" s="46" t="n"/>
      <c r="E929" s="46" t="n"/>
      <c r="F929" s="51" t="n"/>
      <c r="G929" s="47" t="n"/>
      <c r="H929" s="47" t="n"/>
      <c r="I929" s="43">
        <f>IF($B929="","",N($G929)-N($H929))</f>
        <v/>
      </c>
    </row>
    <row r="930">
      <c r="A930" s="39">
        <f>IF($B930="","",COUNTA($B$4:$B930))</f>
        <v/>
      </c>
      <c r="B930" s="40" t="n"/>
      <c r="C930" s="41" t="n"/>
      <c r="D930" s="41" t="n"/>
      <c r="E930" s="41" t="n"/>
      <c r="F930" s="50" t="n"/>
      <c r="G930" s="42" t="n"/>
      <c r="H930" s="42" t="n"/>
      <c r="I930" s="43">
        <f>IF($B930="","",N($G930)-N($H930))</f>
        <v/>
      </c>
    </row>
    <row r="931">
      <c r="A931" s="39">
        <f>IF($B931="","",COUNTA($B$4:$B931))</f>
        <v/>
      </c>
      <c r="B931" s="45" t="n"/>
      <c r="C931" s="46" t="n"/>
      <c r="D931" s="46" t="n"/>
      <c r="E931" s="46" t="n"/>
      <c r="F931" s="51" t="n"/>
      <c r="G931" s="47" t="n"/>
      <c r="H931" s="47" t="n"/>
      <c r="I931" s="43">
        <f>IF($B931="","",N($G931)-N($H931))</f>
        <v/>
      </c>
    </row>
    <row r="932">
      <c r="A932" s="39">
        <f>IF($B932="","",COUNTA($B$4:$B932))</f>
        <v/>
      </c>
      <c r="B932" s="40" t="n"/>
      <c r="C932" s="41" t="n"/>
      <c r="D932" s="41" t="n"/>
      <c r="E932" s="41" t="n"/>
      <c r="F932" s="50" t="n"/>
      <c r="G932" s="42" t="n"/>
      <c r="H932" s="42" t="n"/>
      <c r="I932" s="43">
        <f>IF($B932="","",N($G932)-N($H932))</f>
        <v/>
      </c>
    </row>
    <row r="933">
      <c r="A933" s="39">
        <f>IF($B933="","",COUNTA($B$4:$B933))</f>
        <v/>
      </c>
      <c r="B933" s="45" t="n"/>
      <c r="C933" s="46" t="n"/>
      <c r="D933" s="46" t="n"/>
      <c r="E933" s="46" t="n"/>
      <c r="F933" s="51" t="n"/>
      <c r="G933" s="47" t="n"/>
      <c r="H933" s="47" t="n"/>
      <c r="I933" s="43">
        <f>IF($B933="","",N($G933)-N($H933))</f>
        <v/>
      </c>
    </row>
    <row r="934">
      <c r="A934" s="39">
        <f>IF($B934="","",COUNTA($B$4:$B934))</f>
        <v/>
      </c>
      <c r="B934" s="40" t="n"/>
      <c r="C934" s="41" t="n"/>
      <c r="D934" s="41" t="n"/>
      <c r="E934" s="41" t="n"/>
      <c r="F934" s="50" t="n"/>
      <c r="G934" s="42" t="n"/>
      <c r="H934" s="42" t="n"/>
      <c r="I934" s="43">
        <f>IF($B934="","",N($G934)-N($H934))</f>
        <v/>
      </c>
    </row>
    <row r="935">
      <c r="A935" s="39">
        <f>IF($B935="","",COUNTA($B$4:$B935))</f>
        <v/>
      </c>
      <c r="B935" s="45" t="n"/>
      <c r="C935" s="46" t="n"/>
      <c r="D935" s="46" t="n"/>
      <c r="E935" s="46" t="n"/>
      <c r="F935" s="51" t="n"/>
      <c r="G935" s="47" t="n"/>
      <c r="H935" s="47" t="n"/>
      <c r="I935" s="43">
        <f>IF($B935="","",N($G935)-N($H935))</f>
        <v/>
      </c>
    </row>
    <row r="936">
      <c r="A936" s="39">
        <f>IF($B936="","",COUNTA($B$4:$B936))</f>
        <v/>
      </c>
      <c r="B936" s="40" t="n"/>
      <c r="C936" s="41" t="n"/>
      <c r="D936" s="41" t="n"/>
      <c r="E936" s="41" t="n"/>
      <c r="F936" s="50" t="n"/>
      <c r="G936" s="42" t="n"/>
      <c r="H936" s="42" t="n"/>
      <c r="I936" s="43">
        <f>IF($B936="","",N($G936)-N($H936))</f>
        <v/>
      </c>
    </row>
    <row r="937">
      <c r="A937" s="39">
        <f>IF($B937="","",COUNTA($B$4:$B937))</f>
        <v/>
      </c>
      <c r="B937" s="45" t="n"/>
      <c r="C937" s="46" t="n"/>
      <c r="D937" s="46" t="n"/>
      <c r="E937" s="46" t="n"/>
      <c r="F937" s="51" t="n"/>
      <c r="G937" s="47" t="n"/>
      <c r="H937" s="47" t="n"/>
      <c r="I937" s="43">
        <f>IF($B937="","",N($G937)-N($H937))</f>
        <v/>
      </c>
    </row>
    <row r="938">
      <c r="A938" s="39">
        <f>IF($B938="","",COUNTA($B$4:$B938))</f>
        <v/>
      </c>
      <c r="B938" s="40" t="n"/>
      <c r="C938" s="41" t="n"/>
      <c r="D938" s="41" t="n"/>
      <c r="E938" s="41" t="n"/>
      <c r="F938" s="50" t="n"/>
      <c r="G938" s="42" t="n"/>
      <c r="H938" s="42" t="n"/>
      <c r="I938" s="43">
        <f>IF($B938="","",N($G938)-N($H938))</f>
        <v/>
      </c>
    </row>
    <row r="939">
      <c r="A939" s="39">
        <f>IF($B939="","",COUNTA($B$4:$B939))</f>
        <v/>
      </c>
      <c r="B939" s="45" t="n"/>
      <c r="C939" s="46" t="n"/>
      <c r="D939" s="46" t="n"/>
      <c r="E939" s="46" t="n"/>
      <c r="F939" s="51" t="n"/>
      <c r="G939" s="47" t="n"/>
      <c r="H939" s="47" t="n"/>
      <c r="I939" s="43">
        <f>IF($B939="","",N($G939)-N($H939))</f>
        <v/>
      </c>
    </row>
    <row r="940">
      <c r="A940" s="39">
        <f>IF($B940="","",COUNTA($B$4:$B940))</f>
        <v/>
      </c>
      <c r="B940" s="40" t="n"/>
      <c r="C940" s="41" t="n"/>
      <c r="D940" s="41" t="n"/>
      <c r="E940" s="41" t="n"/>
      <c r="F940" s="50" t="n"/>
      <c r="G940" s="42" t="n"/>
      <c r="H940" s="42" t="n"/>
      <c r="I940" s="43">
        <f>IF($B940="","",N($G940)-N($H940))</f>
        <v/>
      </c>
    </row>
    <row r="941">
      <c r="A941" s="39">
        <f>IF($B941="","",COUNTA($B$4:$B941))</f>
        <v/>
      </c>
      <c r="B941" s="45" t="n"/>
      <c r="C941" s="46" t="n"/>
      <c r="D941" s="46" t="n"/>
      <c r="E941" s="46" t="n"/>
      <c r="F941" s="51" t="n"/>
      <c r="G941" s="47" t="n"/>
      <c r="H941" s="47" t="n"/>
      <c r="I941" s="43">
        <f>IF($B941="","",N($G941)-N($H941))</f>
        <v/>
      </c>
    </row>
    <row r="942">
      <c r="A942" s="39">
        <f>IF($B942="","",COUNTA($B$4:$B942))</f>
        <v/>
      </c>
      <c r="B942" s="40" t="n"/>
      <c r="C942" s="41" t="n"/>
      <c r="D942" s="41" t="n"/>
      <c r="E942" s="41" t="n"/>
      <c r="F942" s="50" t="n"/>
      <c r="G942" s="42" t="n"/>
      <c r="H942" s="42" t="n"/>
      <c r="I942" s="43">
        <f>IF($B942="","",N($G942)-N($H942))</f>
        <v/>
      </c>
    </row>
    <row r="943">
      <c r="A943" s="39">
        <f>IF($B943="","",COUNTA($B$4:$B943))</f>
        <v/>
      </c>
      <c r="B943" s="45" t="n"/>
      <c r="C943" s="46" t="n"/>
      <c r="D943" s="46" t="n"/>
      <c r="E943" s="46" t="n"/>
      <c r="F943" s="51" t="n"/>
      <c r="G943" s="47" t="n"/>
      <c r="H943" s="47" t="n"/>
      <c r="I943" s="43">
        <f>IF($B943="","",N($G943)-N($H943))</f>
        <v/>
      </c>
    </row>
    <row r="944">
      <c r="A944" s="39">
        <f>IF($B944="","",COUNTA($B$4:$B944))</f>
        <v/>
      </c>
      <c r="B944" s="40" t="n"/>
      <c r="C944" s="41" t="n"/>
      <c r="D944" s="41" t="n"/>
      <c r="E944" s="41" t="n"/>
      <c r="F944" s="50" t="n"/>
      <c r="G944" s="42" t="n"/>
      <c r="H944" s="42" t="n"/>
      <c r="I944" s="43">
        <f>IF($B944="","",N($G944)-N($H944))</f>
        <v/>
      </c>
    </row>
    <row r="945">
      <c r="A945" s="39">
        <f>IF($B945="","",COUNTA($B$4:$B945))</f>
        <v/>
      </c>
      <c r="B945" s="45" t="n"/>
      <c r="C945" s="46" t="n"/>
      <c r="D945" s="46" t="n"/>
      <c r="E945" s="46" t="n"/>
      <c r="F945" s="51" t="n"/>
      <c r="G945" s="47" t="n"/>
      <c r="H945" s="47" t="n"/>
      <c r="I945" s="43">
        <f>IF($B945="","",N($G945)-N($H945))</f>
        <v/>
      </c>
    </row>
    <row r="946">
      <c r="A946" s="39">
        <f>IF($B946="","",COUNTA($B$4:$B946))</f>
        <v/>
      </c>
      <c r="B946" s="40" t="n"/>
      <c r="C946" s="41" t="n"/>
      <c r="D946" s="41" t="n"/>
      <c r="E946" s="41" t="n"/>
      <c r="F946" s="50" t="n"/>
      <c r="G946" s="42" t="n"/>
      <c r="H946" s="42" t="n"/>
      <c r="I946" s="43">
        <f>IF($B946="","",N($G946)-N($H946))</f>
        <v/>
      </c>
    </row>
    <row r="947">
      <c r="A947" s="39">
        <f>IF($B947="","",COUNTA($B$4:$B947))</f>
        <v/>
      </c>
      <c r="B947" s="45" t="n"/>
      <c r="C947" s="46" t="n"/>
      <c r="D947" s="46" t="n"/>
      <c r="E947" s="46" t="n"/>
      <c r="F947" s="51" t="n"/>
      <c r="G947" s="47" t="n"/>
      <c r="H947" s="47" t="n"/>
      <c r="I947" s="43">
        <f>IF($B947="","",N($G947)-N($H947))</f>
        <v/>
      </c>
    </row>
    <row r="948">
      <c r="A948" s="39">
        <f>IF($B948="","",COUNTA($B$4:$B948))</f>
        <v/>
      </c>
      <c r="B948" s="40" t="n"/>
      <c r="C948" s="41" t="n"/>
      <c r="D948" s="41" t="n"/>
      <c r="E948" s="41" t="n"/>
      <c r="F948" s="50" t="n"/>
      <c r="G948" s="42" t="n"/>
      <c r="H948" s="42" t="n"/>
      <c r="I948" s="43">
        <f>IF($B948="","",N($G948)-N($H948))</f>
        <v/>
      </c>
    </row>
    <row r="949">
      <c r="A949" s="39">
        <f>IF($B949="","",COUNTA($B$4:$B949))</f>
        <v/>
      </c>
      <c r="B949" s="45" t="n"/>
      <c r="C949" s="46" t="n"/>
      <c r="D949" s="46" t="n"/>
      <c r="E949" s="46" t="n"/>
      <c r="F949" s="51" t="n"/>
      <c r="G949" s="47" t="n"/>
      <c r="H949" s="47" t="n"/>
      <c r="I949" s="43">
        <f>IF($B949="","",N($G949)-N($H949))</f>
        <v/>
      </c>
    </row>
    <row r="950">
      <c r="A950" s="39">
        <f>IF($B950="","",COUNTA($B$4:$B950))</f>
        <v/>
      </c>
      <c r="B950" s="40" t="n"/>
      <c r="C950" s="41" t="n"/>
      <c r="D950" s="41" t="n"/>
      <c r="E950" s="41" t="n"/>
      <c r="F950" s="50" t="n"/>
      <c r="G950" s="42" t="n"/>
      <c r="H950" s="42" t="n"/>
      <c r="I950" s="43">
        <f>IF($B950="","",N($G950)-N($H950))</f>
        <v/>
      </c>
    </row>
    <row r="951">
      <c r="A951" s="39">
        <f>IF($B951="","",COUNTA($B$4:$B951))</f>
        <v/>
      </c>
      <c r="B951" s="45" t="n"/>
      <c r="C951" s="46" t="n"/>
      <c r="D951" s="46" t="n"/>
      <c r="E951" s="46" t="n"/>
      <c r="F951" s="51" t="n"/>
      <c r="G951" s="47" t="n"/>
      <c r="H951" s="47" t="n"/>
      <c r="I951" s="43">
        <f>IF($B951="","",N($G951)-N($H951))</f>
        <v/>
      </c>
    </row>
    <row r="952">
      <c r="A952" s="39">
        <f>IF($B952="","",COUNTA($B$4:$B952))</f>
        <v/>
      </c>
      <c r="B952" s="40" t="n"/>
      <c r="C952" s="41" t="n"/>
      <c r="D952" s="41" t="n"/>
      <c r="E952" s="41" t="n"/>
      <c r="F952" s="50" t="n"/>
      <c r="G952" s="42" t="n"/>
      <c r="H952" s="42" t="n"/>
      <c r="I952" s="43">
        <f>IF($B952="","",N($G952)-N($H952))</f>
        <v/>
      </c>
    </row>
    <row r="953">
      <c r="A953" s="39">
        <f>IF($B953="","",COUNTA($B$4:$B953))</f>
        <v/>
      </c>
      <c r="B953" s="45" t="n"/>
      <c r="C953" s="46" t="n"/>
      <c r="D953" s="46" t="n"/>
      <c r="E953" s="46" t="n"/>
      <c r="F953" s="51" t="n"/>
      <c r="G953" s="47" t="n"/>
      <c r="H953" s="47" t="n"/>
      <c r="I953" s="43">
        <f>IF($B953="","",N($G953)-N($H953))</f>
        <v/>
      </c>
    </row>
    <row r="954">
      <c r="A954" s="39">
        <f>IF($B954="","",COUNTA($B$4:$B954))</f>
        <v/>
      </c>
      <c r="B954" s="40" t="n"/>
      <c r="C954" s="41" t="n"/>
      <c r="D954" s="41" t="n"/>
      <c r="E954" s="41" t="n"/>
      <c r="F954" s="50" t="n"/>
      <c r="G954" s="42" t="n"/>
      <c r="H954" s="42" t="n"/>
      <c r="I954" s="43">
        <f>IF($B954="","",N($G954)-N($H954))</f>
        <v/>
      </c>
    </row>
    <row r="955">
      <c r="A955" s="39">
        <f>IF($B955="","",COUNTA($B$4:$B955))</f>
        <v/>
      </c>
      <c r="B955" s="45" t="n"/>
      <c r="C955" s="46" t="n"/>
      <c r="D955" s="46" t="n"/>
      <c r="E955" s="46" t="n"/>
      <c r="F955" s="51" t="n"/>
      <c r="G955" s="47" t="n"/>
      <c r="H955" s="47" t="n"/>
      <c r="I955" s="43">
        <f>IF($B955="","",N($G955)-N($H955))</f>
        <v/>
      </c>
    </row>
    <row r="956">
      <c r="A956" s="39">
        <f>IF($B956="","",COUNTA($B$4:$B956))</f>
        <v/>
      </c>
      <c r="B956" s="40" t="n"/>
      <c r="C956" s="41" t="n"/>
      <c r="D956" s="41" t="n"/>
      <c r="E956" s="41" t="n"/>
      <c r="F956" s="50" t="n"/>
      <c r="G956" s="42" t="n"/>
      <c r="H956" s="42" t="n"/>
      <c r="I956" s="43">
        <f>IF($B956="","",N($G956)-N($H956))</f>
        <v/>
      </c>
    </row>
    <row r="957">
      <c r="A957" s="39">
        <f>IF($B957="","",COUNTA($B$4:$B957))</f>
        <v/>
      </c>
      <c r="B957" s="45" t="n"/>
      <c r="C957" s="46" t="n"/>
      <c r="D957" s="46" t="n"/>
      <c r="E957" s="46" t="n"/>
      <c r="F957" s="51" t="n"/>
      <c r="G957" s="47" t="n"/>
      <c r="H957" s="47" t="n"/>
      <c r="I957" s="43">
        <f>IF($B957="","",N($G957)-N($H957))</f>
        <v/>
      </c>
    </row>
    <row r="958">
      <c r="A958" s="39">
        <f>IF($B958="","",COUNTA($B$4:$B958))</f>
        <v/>
      </c>
      <c r="B958" s="40" t="n"/>
      <c r="C958" s="41" t="n"/>
      <c r="D958" s="41" t="n"/>
      <c r="E958" s="41" t="n"/>
      <c r="F958" s="50" t="n"/>
      <c r="G958" s="42" t="n"/>
      <c r="H958" s="42" t="n"/>
      <c r="I958" s="43">
        <f>IF($B958="","",N($G958)-N($H958))</f>
        <v/>
      </c>
    </row>
    <row r="959">
      <c r="A959" s="39">
        <f>IF($B959="","",COUNTA($B$4:$B959))</f>
        <v/>
      </c>
      <c r="B959" s="45" t="n"/>
      <c r="C959" s="46" t="n"/>
      <c r="D959" s="46" t="n"/>
      <c r="E959" s="46" t="n"/>
      <c r="F959" s="51" t="n"/>
      <c r="G959" s="47" t="n"/>
      <c r="H959" s="47" t="n"/>
      <c r="I959" s="43">
        <f>IF($B959="","",N($G959)-N($H959))</f>
        <v/>
      </c>
    </row>
    <row r="960">
      <c r="A960" s="39">
        <f>IF($B960="","",COUNTA($B$4:$B960))</f>
        <v/>
      </c>
      <c r="B960" s="40" t="n"/>
      <c r="C960" s="41" t="n"/>
      <c r="D960" s="41" t="n"/>
      <c r="E960" s="41" t="n"/>
      <c r="F960" s="50" t="n"/>
      <c r="G960" s="42" t="n"/>
      <c r="H960" s="42" t="n"/>
      <c r="I960" s="43">
        <f>IF($B960="","",N($G960)-N($H960))</f>
        <v/>
      </c>
    </row>
    <row r="961">
      <c r="A961" s="39">
        <f>IF($B961="","",COUNTA($B$4:$B961))</f>
        <v/>
      </c>
      <c r="B961" s="45" t="n"/>
      <c r="C961" s="46" t="n"/>
      <c r="D961" s="46" t="n"/>
      <c r="E961" s="46" t="n"/>
      <c r="F961" s="51" t="n"/>
      <c r="G961" s="47" t="n"/>
      <c r="H961" s="47" t="n"/>
      <c r="I961" s="43">
        <f>IF($B961="","",N($G961)-N($H961))</f>
        <v/>
      </c>
    </row>
    <row r="962">
      <c r="A962" s="39">
        <f>IF($B962="","",COUNTA($B$4:$B962))</f>
        <v/>
      </c>
      <c r="B962" s="40" t="n"/>
      <c r="C962" s="41" t="n"/>
      <c r="D962" s="41" t="n"/>
      <c r="E962" s="41" t="n"/>
      <c r="F962" s="50" t="n"/>
      <c r="G962" s="42" t="n"/>
      <c r="H962" s="42" t="n"/>
      <c r="I962" s="43">
        <f>IF($B962="","",N($G962)-N($H962))</f>
        <v/>
      </c>
    </row>
    <row r="963">
      <c r="A963" s="39">
        <f>IF($B963="","",COUNTA($B$4:$B963))</f>
        <v/>
      </c>
      <c r="B963" s="45" t="n"/>
      <c r="C963" s="46" t="n"/>
      <c r="D963" s="46" t="n"/>
      <c r="E963" s="46" t="n"/>
      <c r="F963" s="51" t="n"/>
      <c r="G963" s="47" t="n"/>
      <c r="H963" s="47" t="n"/>
      <c r="I963" s="43">
        <f>IF($B963="","",N($G963)-N($H963))</f>
        <v/>
      </c>
    </row>
    <row r="964">
      <c r="A964" s="39">
        <f>IF($B964="","",COUNTA($B$4:$B964))</f>
        <v/>
      </c>
      <c r="B964" s="40" t="n"/>
      <c r="C964" s="41" t="n"/>
      <c r="D964" s="41" t="n"/>
      <c r="E964" s="41" t="n"/>
      <c r="F964" s="50" t="n"/>
      <c r="G964" s="42" t="n"/>
      <c r="H964" s="42" t="n"/>
      <c r="I964" s="43">
        <f>IF($B964="","",N($G964)-N($H964))</f>
        <v/>
      </c>
    </row>
    <row r="965">
      <c r="A965" s="39">
        <f>IF($B965="","",COUNTA($B$4:$B965))</f>
        <v/>
      </c>
      <c r="B965" s="45" t="n"/>
      <c r="C965" s="46" t="n"/>
      <c r="D965" s="46" t="n"/>
      <c r="E965" s="46" t="n"/>
      <c r="F965" s="51" t="n"/>
      <c r="G965" s="47" t="n"/>
      <c r="H965" s="47" t="n"/>
      <c r="I965" s="43">
        <f>IF($B965="","",N($G965)-N($H965))</f>
        <v/>
      </c>
    </row>
    <row r="966">
      <c r="A966" s="39">
        <f>IF($B966="","",COUNTA($B$4:$B966))</f>
        <v/>
      </c>
      <c r="B966" s="40" t="n"/>
      <c r="C966" s="41" t="n"/>
      <c r="D966" s="41" t="n"/>
      <c r="E966" s="41" t="n"/>
      <c r="F966" s="50" t="n"/>
      <c r="G966" s="42" t="n"/>
      <c r="H966" s="42" t="n"/>
      <c r="I966" s="43">
        <f>IF($B966="","",N($G966)-N($H966))</f>
        <v/>
      </c>
    </row>
    <row r="967">
      <c r="A967" s="39">
        <f>IF($B967="","",COUNTA($B$4:$B967))</f>
        <v/>
      </c>
      <c r="B967" s="45" t="n"/>
      <c r="C967" s="46" t="n"/>
      <c r="D967" s="46" t="n"/>
      <c r="E967" s="46" t="n"/>
      <c r="F967" s="51" t="n"/>
      <c r="G967" s="47" t="n"/>
      <c r="H967" s="47" t="n"/>
      <c r="I967" s="43">
        <f>IF($B967="","",N($G967)-N($H967))</f>
        <v/>
      </c>
    </row>
    <row r="968">
      <c r="A968" s="39">
        <f>IF($B968="","",COUNTA($B$4:$B968))</f>
        <v/>
      </c>
      <c r="B968" s="40" t="n"/>
      <c r="C968" s="41" t="n"/>
      <c r="D968" s="41" t="n"/>
      <c r="E968" s="41" t="n"/>
      <c r="F968" s="50" t="n"/>
      <c r="G968" s="42" t="n"/>
      <c r="H968" s="42" t="n"/>
      <c r="I968" s="43">
        <f>IF($B968="","",N($G968)-N($H968))</f>
        <v/>
      </c>
    </row>
    <row r="969">
      <c r="A969" s="39">
        <f>IF($B969="","",COUNTA($B$4:$B969))</f>
        <v/>
      </c>
      <c r="B969" s="45" t="n"/>
      <c r="C969" s="46" t="n"/>
      <c r="D969" s="46" t="n"/>
      <c r="E969" s="46" t="n"/>
      <c r="F969" s="51" t="n"/>
      <c r="G969" s="47" t="n"/>
      <c r="H969" s="47" t="n"/>
      <c r="I969" s="43">
        <f>IF($B969="","",N($G969)-N($H969))</f>
        <v/>
      </c>
    </row>
    <row r="970">
      <c r="A970" s="39">
        <f>IF($B970="","",COUNTA($B$4:$B970))</f>
        <v/>
      </c>
      <c r="B970" s="40" t="n"/>
      <c r="C970" s="41" t="n"/>
      <c r="D970" s="41" t="n"/>
      <c r="E970" s="41" t="n"/>
      <c r="F970" s="50" t="n"/>
      <c r="G970" s="42" t="n"/>
      <c r="H970" s="42" t="n"/>
      <c r="I970" s="43">
        <f>IF($B970="","",N($G970)-N($H970))</f>
        <v/>
      </c>
    </row>
    <row r="971">
      <c r="A971" s="39">
        <f>IF($B971="","",COUNTA($B$4:$B971))</f>
        <v/>
      </c>
      <c r="B971" s="45" t="n"/>
      <c r="C971" s="46" t="n"/>
      <c r="D971" s="46" t="n"/>
      <c r="E971" s="46" t="n"/>
      <c r="F971" s="51" t="n"/>
      <c r="G971" s="47" t="n"/>
      <c r="H971" s="47" t="n"/>
      <c r="I971" s="43">
        <f>IF($B971="","",N($G971)-N($H971))</f>
        <v/>
      </c>
    </row>
    <row r="972">
      <c r="A972" s="39">
        <f>IF($B972="","",COUNTA($B$4:$B972))</f>
        <v/>
      </c>
      <c r="B972" s="40" t="n"/>
      <c r="C972" s="41" t="n"/>
      <c r="D972" s="41" t="n"/>
      <c r="E972" s="41" t="n"/>
      <c r="F972" s="50" t="n"/>
      <c r="G972" s="42" t="n"/>
      <c r="H972" s="42" t="n"/>
      <c r="I972" s="43">
        <f>IF($B972="","",N($G972)-N($H972))</f>
        <v/>
      </c>
    </row>
    <row r="973">
      <c r="A973" s="39">
        <f>IF($B973="","",COUNTA($B$4:$B973))</f>
        <v/>
      </c>
      <c r="B973" s="45" t="n"/>
      <c r="C973" s="46" t="n"/>
      <c r="D973" s="46" t="n"/>
      <c r="E973" s="46" t="n"/>
      <c r="F973" s="51" t="n"/>
      <c r="G973" s="47" t="n"/>
      <c r="H973" s="47" t="n"/>
      <c r="I973" s="43">
        <f>IF($B973="","",N($G973)-N($H973))</f>
        <v/>
      </c>
    </row>
    <row r="974">
      <c r="A974" s="39">
        <f>IF($B974="","",COUNTA($B$4:$B974))</f>
        <v/>
      </c>
      <c r="B974" s="40" t="n"/>
      <c r="C974" s="41" t="n"/>
      <c r="D974" s="41" t="n"/>
      <c r="E974" s="41" t="n"/>
      <c r="F974" s="50" t="n"/>
      <c r="G974" s="42" t="n"/>
      <c r="H974" s="42" t="n"/>
      <c r="I974" s="43">
        <f>IF($B974="","",N($G974)-N($H974))</f>
        <v/>
      </c>
    </row>
    <row r="975">
      <c r="A975" s="39">
        <f>IF($B975="","",COUNTA($B$4:$B975))</f>
        <v/>
      </c>
      <c r="B975" s="45" t="n"/>
      <c r="C975" s="46" t="n"/>
      <c r="D975" s="46" t="n"/>
      <c r="E975" s="46" t="n"/>
      <c r="F975" s="51" t="n"/>
      <c r="G975" s="47" t="n"/>
      <c r="H975" s="47" t="n"/>
      <c r="I975" s="43">
        <f>IF($B975="","",N($G975)-N($H975))</f>
        <v/>
      </c>
    </row>
    <row r="976">
      <c r="A976" s="39">
        <f>IF($B976="","",COUNTA($B$4:$B976))</f>
        <v/>
      </c>
      <c r="B976" s="40" t="n"/>
      <c r="C976" s="41" t="n"/>
      <c r="D976" s="41" t="n"/>
      <c r="E976" s="41" t="n"/>
      <c r="F976" s="50" t="n"/>
      <c r="G976" s="42" t="n"/>
      <c r="H976" s="42" t="n"/>
      <c r="I976" s="43">
        <f>IF($B976="","",N($G976)-N($H976))</f>
        <v/>
      </c>
    </row>
    <row r="977">
      <c r="A977" s="39">
        <f>IF($B977="","",COUNTA($B$4:$B977))</f>
        <v/>
      </c>
      <c r="B977" s="45" t="n"/>
      <c r="C977" s="46" t="n"/>
      <c r="D977" s="46" t="n"/>
      <c r="E977" s="46" t="n"/>
      <c r="F977" s="51" t="n"/>
      <c r="G977" s="47" t="n"/>
      <c r="H977" s="47" t="n"/>
      <c r="I977" s="43">
        <f>IF($B977="","",N($G977)-N($H977))</f>
        <v/>
      </c>
    </row>
    <row r="978">
      <c r="A978" s="39">
        <f>IF($B978="","",COUNTA($B$4:$B978))</f>
        <v/>
      </c>
      <c r="B978" s="40" t="n"/>
      <c r="C978" s="41" t="n"/>
      <c r="D978" s="41" t="n"/>
      <c r="E978" s="41" t="n"/>
      <c r="F978" s="50" t="n"/>
      <c r="G978" s="42" t="n"/>
      <c r="H978" s="42" t="n"/>
      <c r="I978" s="43">
        <f>IF($B978="","",N($G978)-N($H978))</f>
        <v/>
      </c>
    </row>
    <row r="979">
      <c r="A979" s="39">
        <f>IF($B979="","",COUNTA($B$4:$B979))</f>
        <v/>
      </c>
      <c r="B979" s="45" t="n"/>
      <c r="C979" s="46" t="n"/>
      <c r="D979" s="46" t="n"/>
      <c r="E979" s="46" t="n"/>
      <c r="F979" s="51" t="n"/>
      <c r="G979" s="47" t="n"/>
      <c r="H979" s="47" t="n"/>
      <c r="I979" s="43">
        <f>IF($B979="","",N($G979)-N($H979))</f>
        <v/>
      </c>
    </row>
    <row r="980">
      <c r="A980" s="39">
        <f>IF($B980="","",COUNTA($B$4:$B980))</f>
        <v/>
      </c>
      <c r="B980" s="40" t="n"/>
      <c r="C980" s="41" t="n"/>
      <c r="D980" s="41" t="n"/>
      <c r="E980" s="41" t="n"/>
      <c r="F980" s="50" t="n"/>
      <c r="G980" s="42" t="n"/>
      <c r="H980" s="42" t="n"/>
      <c r="I980" s="43">
        <f>IF($B980="","",N($G980)-N($H980))</f>
        <v/>
      </c>
    </row>
    <row r="981">
      <c r="A981" s="39">
        <f>IF($B981="","",COUNTA($B$4:$B981))</f>
        <v/>
      </c>
      <c r="B981" s="45" t="n"/>
      <c r="C981" s="46" t="n"/>
      <c r="D981" s="46" t="n"/>
      <c r="E981" s="46" t="n"/>
      <c r="F981" s="51" t="n"/>
      <c r="G981" s="47" t="n"/>
      <c r="H981" s="47" t="n"/>
      <c r="I981" s="43">
        <f>IF($B981="","",N($G981)-N($H981))</f>
        <v/>
      </c>
    </row>
    <row r="982">
      <c r="A982" s="39">
        <f>IF($B982="","",COUNTA($B$4:$B982))</f>
        <v/>
      </c>
      <c r="B982" s="40" t="n"/>
      <c r="C982" s="41" t="n"/>
      <c r="D982" s="41" t="n"/>
      <c r="E982" s="41" t="n"/>
      <c r="F982" s="50" t="n"/>
      <c r="G982" s="42" t="n"/>
      <c r="H982" s="42" t="n"/>
      <c r="I982" s="43">
        <f>IF($B982="","",N($G982)-N($H982))</f>
        <v/>
      </c>
    </row>
    <row r="983">
      <c r="A983" s="39">
        <f>IF($B983="","",COUNTA($B$4:$B983))</f>
        <v/>
      </c>
      <c r="B983" s="45" t="n"/>
      <c r="C983" s="46" t="n"/>
      <c r="D983" s="46" t="n"/>
      <c r="E983" s="46" t="n"/>
      <c r="F983" s="51" t="n"/>
      <c r="G983" s="47" t="n"/>
      <c r="H983" s="47" t="n"/>
      <c r="I983" s="43">
        <f>IF($B983="","",N($G983)-N($H983))</f>
        <v/>
      </c>
    </row>
    <row r="984">
      <c r="A984" s="39">
        <f>IF($B984="","",COUNTA($B$4:$B984))</f>
        <v/>
      </c>
      <c r="B984" s="40" t="n"/>
      <c r="C984" s="41" t="n"/>
      <c r="D984" s="41" t="n"/>
      <c r="E984" s="41" t="n"/>
      <c r="F984" s="50" t="n"/>
      <c r="G984" s="42" t="n"/>
      <c r="H984" s="42" t="n"/>
      <c r="I984" s="43">
        <f>IF($B984="","",N($G984)-N($H984))</f>
        <v/>
      </c>
    </row>
    <row r="985">
      <c r="A985" s="39">
        <f>IF($B985="","",COUNTA($B$4:$B985))</f>
        <v/>
      </c>
      <c r="B985" s="45" t="n"/>
      <c r="C985" s="46" t="n"/>
      <c r="D985" s="46" t="n"/>
      <c r="E985" s="46" t="n"/>
      <c r="F985" s="51" t="n"/>
      <c r="G985" s="47" t="n"/>
      <c r="H985" s="47" t="n"/>
      <c r="I985" s="43">
        <f>IF($B985="","",N($G985)-N($H985))</f>
        <v/>
      </c>
    </row>
    <row r="986">
      <c r="A986" s="39">
        <f>IF($B986="","",COUNTA($B$4:$B986))</f>
        <v/>
      </c>
      <c r="B986" s="40" t="n"/>
      <c r="C986" s="41" t="n"/>
      <c r="D986" s="41" t="n"/>
      <c r="E986" s="41" t="n"/>
      <c r="F986" s="50" t="n"/>
      <c r="G986" s="42" t="n"/>
      <c r="H986" s="42" t="n"/>
      <c r="I986" s="43">
        <f>IF($B986="","",N($G986)-N($H986))</f>
        <v/>
      </c>
    </row>
    <row r="987">
      <c r="A987" s="39">
        <f>IF($B987="","",COUNTA($B$4:$B987))</f>
        <v/>
      </c>
      <c r="B987" s="45" t="n"/>
      <c r="C987" s="46" t="n"/>
      <c r="D987" s="46" t="n"/>
      <c r="E987" s="46" t="n"/>
      <c r="F987" s="51" t="n"/>
      <c r="G987" s="47" t="n"/>
      <c r="H987" s="47" t="n"/>
      <c r="I987" s="43">
        <f>IF($B987="","",N($G987)-N($H987))</f>
        <v/>
      </c>
    </row>
    <row r="988">
      <c r="A988" s="39">
        <f>IF($B988="","",COUNTA($B$4:$B988))</f>
        <v/>
      </c>
      <c r="B988" s="40" t="n"/>
      <c r="C988" s="41" t="n"/>
      <c r="D988" s="41" t="n"/>
      <c r="E988" s="41" t="n"/>
      <c r="F988" s="50" t="n"/>
      <c r="G988" s="42" t="n"/>
      <c r="H988" s="42" t="n"/>
      <c r="I988" s="43">
        <f>IF($B988="","",N($G988)-N($H988))</f>
        <v/>
      </c>
    </row>
    <row r="989">
      <c r="A989" s="39">
        <f>IF($B989="","",COUNTA($B$4:$B989))</f>
        <v/>
      </c>
      <c r="B989" s="45" t="n"/>
      <c r="C989" s="46" t="n"/>
      <c r="D989" s="46" t="n"/>
      <c r="E989" s="46" t="n"/>
      <c r="F989" s="51" t="n"/>
      <c r="G989" s="47" t="n"/>
      <c r="H989" s="47" t="n"/>
      <c r="I989" s="43">
        <f>IF($B989="","",N($G989)-N($H989))</f>
        <v/>
      </c>
    </row>
    <row r="990">
      <c r="A990" s="39">
        <f>IF($B990="","",COUNTA($B$4:$B990))</f>
        <v/>
      </c>
      <c r="B990" s="40" t="n"/>
      <c r="C990" s="41" t="n"/>
      <c r="D990" s="41" t="n"/>
      <c r="E990" s="41" t="n"/>
      <c r="F990" s="50" t="n"/>
      <c r="G990" s="42" t="n"/>
      <c r="H990" s="42" t="n"/>
      <c r="I990" s="43">
        <f>IF($B990="","",N($G990)-N($H990))</f>
        <v/>
      </c>
    </row>
    <row r="991">
      <c r="A991" s="39">
        <f>IF($B991="","",COUNTA($B$4:$B991))</f>
        <v/>
      </c>
      <c r="B991" s="45" t="n"/>
      <c r="C991" s="46" t="n"/>
      <c r="D991" s="46" t="n"/>
      <c r="E991" s="46" t="n"/>
      <c r="F991" s="51" t="n"/>
      <c r="G991" s="47" t="n"/>
      <c r="H991" s="47" t="n"/>
      <c r="I991" s="43">
        <f>IF($B991="","",N($G991)-N($H991))</f>
        <v/>
      </c>
    </row>
    <row r="992">
      <c r="A992" s="39">
        <f>IF($B992="","",COUNTA($B$4:$B992))</f>
        <v/>
      </c>
      <c r="B992" s="40" t="n"/>
      <c r="C992" s="41" t="n"/>
      <c r="D992" s="41" t="n"/>
      <c r="E992" s="41" t="n"/>
      <c r="F992" s="50" t="n"/>
      <c r="G992" s="42" t="n"/>
      <c r="H992" s="42" t="n"/>
      <c r="I992" s="43">
        <f>IF($B992="","",N($G992)-N($H992))</f>
        <v/>
      </c>
    </row>
    <row r="993">
      <c r="A993" s="39">
        <f>IF($B993="","",COUNTA($B$4:$B993))</f>
        <v/>
      </c>
      <c r="B993" s="45" t="n"/>
      <c r="C993" s="46" t="n"/>
      <c r="D993" s="46" t="n"/>
      <c r="E993" s="46" t="n"/>
      <c r="F993" s="51" t="n"/>
      <c r="G993" s="47" t="n"/>
      <c r="H993" s="47" t="n"/>
      <c r="I993" s="43">
        <f>IF($B993="","",N($G993)-N($H993))</f>
        <v/>
      </c>
    </row>
    <row r="994">
      <c r="A994" s="39">
        <f>IF($B994="","",COUNTA($B$4:$B994))</f>
        <v/>
      </c>
      <c r="B994" s="40" t="n"/>
      <c r="C994" s="41" t="n"/>
      <c r="D994" s="41" t="n"/>
      <c r="E994" s="41" t="n"/>
      <c r="F994" s="50" t="n"/>
      <c r="G994" s="42" t="n"/>
      <c r="H994" s="42" t="n"/>
      <c r="I994" s="43">
        <f>IF($B994="","",N($G994)-N($H994))</f>
        <v/>
      </c>
    </row>
    <row r="995">
      <c r="A995" s="39">
        <f>IF($B995="","",COUNTA($B$4:$B995))</f>
        <v/>
      </c>
      <c r="B995" s="45" t="n"/>
      <c r="C995" s="46" t="n"/>
      <c r="D995" s="46" t="n"/>
      <c r="E995" s="46" t="n"/>
      <c r="F995" s="51" t="n"/>
      <c r="G995" s="47" t="n"/>
      <c r="H995" s="47" t="n"/>
      <c r="I995" s="43">
        <f>IF($B995="","",N($G995)-N($H995))</f>
        <v/>
      </c>
    </row>
    <row r="996">
      <c r="A996" s="39">
        <f>IF($B996="","",COUNTA($B$4:$B996))</f>
        <v/>
      </c>
      <c r="B996" s="40" t="n"/>
      <c r="C996" s="41" t="n"/>
      <c r="D996" s="41" t="n"/>
      <c r="E996" s="41" t="n"/>
      <c r="F996" s="50" t="n"/>
      <c r="G996" s="42" t="n"/>
      <c r="H996" s="42" t="n"/>
      <c r="I996" s="43">
        <f>IF($B996="","",N($G996)-N($H996))</f>
        <v/>
      </c>
    </row>
    <row r="997">
      <c r="A997" s="39">
        <f>IF($B997="","",COUNTA($B$4:$B997))</f>
        <v/>
      </c>
      <c r="B997" s="45" t="n"/>
      <c r="C997" s="46" t="n"/>
      <c r="D997" s="46" t="n"/>
      <c r="E997" s="46" t="n"/>
      <c r="F997" s="51" t="n"/>
      <c r="G997" s="47" t="n"/>
      <c r="H997" s="47" t="n"/>
      <c r="I997" s="43">
        <f>IF($B997="","",N($G997)-N($H997))</f>
        <v/>
      </c>
    </row>
    <row r="998">
      <c r="A998" s="39">
        <f>IF($B998="","",COUNTA($B$4:$B998))</f>
        <v/>
      </c>
      <c r="B998" s="40" t="n"/>
      <c r="C998" s="41" t="n"/>
      <c r="D998" s="41" t="n"/>
      <c r="E998" s="41" t="n"/>
      <c r="F998" s="50" t="n"/>
      <c r="G998" s="42" t="n"/>
      <c r="H998" s="42" t="n"/>
      <c r="I998" s="43">
        <f>IF($B998="","",N($G998)-N($H998))</f>
        <v/>
      </c>
    </row>
    <row r="999">
      <c r="A999" s="39">
        <f>IF($B999="","",COUNTA($B$4:$B999))</f>
        <v/>
      </c>
      <c r="B999" s="45" t="n"/>
      <c r="C999" s="46" t="n"/>
      <c r="D999" s="46" t="n"/>
      <c r="E999" s="46" t="n"/>
      <c r="F999" s="51" t="n"/>
      <c r="G999" s="47" t="n"/>
      <c r="H999" s="47" t="n"/>
      <c r="I999" s="43">
        <f>IF($B999="","",N($G999)-N($H999))</f>
        <v/>
      </c>
    </row>
    <row r="1000">
      <c r="A1000" s="39">
        <f>IF($B1000="","",COUNTA($B$4:$B1000))</f>
        <v/>
      </c>
      <c r="B1000" s="40" t="n"/>
      <c r="C1000" s="41" t="n"/>
      <c r="D1000" s="41" t="n"/>
      <c r="E1000" s="41" t="n"/>
      <c r="F1000" s="50" t="n"/>
      <c r="G1000" s="42" t="n"/>
      <c r="H1000" s="42" t="n"/>
      <c r="I1000" s="43">
        <f>IF($B1000="","",N($G1000)-N($H1000))</f>
        <v/>
      </c>
    </row>
    <row r="1001">
      <c r="A1001" s="39">
        <f>IF($B1001="","",COUNTA($B$4:$B1001))</f>
        <v/>
      </c>
      <c r="B1001" s="45" t="n"/>
      <c r="C1001" s="46" t="n"/>
      <c r="D1001" s="46" t="n"/>
      <c r="E1001" s="46" t="n"/>
      <c r="F1001" s="51" t="n"/>
      <c r="G1001" s="47" t="n"/>
      <c r="H1001" s="47" t="n"/>
      <c r="I1001" s="43">
        <f>IF($B1001="","",N($G1001)-N($H1001))</f>
        <v/>
      </c>
    </row>
    <row r="1002">
      <c r="A1002" s="39">
        <f>IF($B1002="","",COUNTA($B$4:$B1002))</f>
        <v/>
      </c>
      <c r="B1002" s="40" t="n"/>
      <c r="C1002" s="41" t="n"/>
      <c r="D1002" s="41" t="n"/>
      <c r="E1002" s="41" t="n"/>
      <c r="F1002" s="50" t="n"/>
      <c r="G1002" s="42" t="n"/>
      <c r="H1002" s="42" t="n"/>
      <c r="I1002" s="43">
        <f>IF($B1002="","",N($G1002)-N($H1002))</f>
        <v/>
      </c>
    </row>
    <row r="1003">
      <c r="A1003" s="39">
        <f>IF($B1003="","",COUNTA($B$4:$B1003))</f>
        <v/>
      </c>
      <c r="B1003" s="45" t="n"/>
      <c r="C1003" s="46" t="n"/>
      <c r="D1003" s="46" t="n"/>
      <c r="E1003" s="46" t="n"/>
      <c r="F1003" s="51" t="n"/>
      <c r="G1003" s="47" t="n"/>
      <c r="H1003" s="47" t="n"/>
      <c r="I1003" s="43">
        <f>IF($B1003="","",N($G1003)-N($H1003))</f>
        <v/>
      </c>
    </row>
    <row r="1004">
      <c r="A1004" s="39">
        <f>IF($B1004="","",COUNTA($B$4:$B1004))</f>
        <v/>
      </c>
      <c r="B1004" s="40" t="n"/>
      <c r="C1004" s="41" t="n"/>
      <c r="D1004" s="41" t="n"/>
      <c r="E1004" s="41" t="n"/>
      <c r="F1004" s="50" t="n"/>
      <c r="G1004" s="42" t="n"/>
      <c r="H1004" s="42" t="n"/>
      <c r="I1004" s="43">
        <f>IF($B1004="","",N($G1004)-N($H1004))</f>
        <v/>
      </c>
    </row>
    <row r="1005">
      <c r="A1005" s="39">
        <f>IF($B1005="","",COUNTA($B$4:$B1005))</f>
        <v/>
      </c>
      <c r="B1005" s="45" t="n"/>
      <c r="C1005" s="46" t="n"/>
      <c r="D1005" s="46" t="n"/>
      <c r="E1005" s="46" t="n"/>
      <c r="F1005" s="51" t="n"/>
      <c r="G1005" s="47" t="n"/>
      <c r="H1005" s="47" t="n"/>
      <c r="I1005" s="43">
        <f>IF($B1005="","",N($G1005)-N($H1005))</f>
        <v/>
      </c>
    </row>
    <row r="1006">
      <c r="A1006" s="39">
        <f>IF($B1006="","",COUNTA($B$4:$B1006))</f>
        <v/>
      </c>
      <c r="B1006" s="40" t="n"/>
      <c r="C1006" s="41" t="n"/>
      <c r="D1006" s="41" t="n"/>
      <c r="E1006" s="41" t="n"/>
      <c r="F1006" s="50" t="n"/>
      <c r="G1006" s="42" t="n"/>
      <c r="H1006" s="42" t="n"/>
      <c r="I1006" s="43">
        <f>IF($B1006="","",N($G1006)-N($H1006))</f>
        <v/>
      </c>
    </row>
    <row r="1007">
      <c r="A1007" s="39">
        <f>IF($B1007="","",COUNTA($B$4:$B1007))</f>
        <v/>
      </c>
      <c r="B1007" s="45" t="n"/>
      <c r="C1007" s="46" t="n"/>
      <c r="D1007" s="46" t="n"/>
      <c r="E1007" s="46" t="n"/>
      <c r="F1007" s="51" t="n"/>
      <c r="G1007" s="47" t="n"/>
      <c r="H1007" s="47" t="n"/>
      <c r="I1007" s="43">
        <f>IF($B1007="","",N($G1007)-N($H1007))</f>
        <v/>
      </c>
    </row>
    <row r="1008">
      <c r="A1008" s="39">
        <f>IF($B1008="","",COUNTA($B$4:$B1008))</f>
        <v/>
      </c>
      <c r="B1008" s="40" t="n"/>
      <c r="C1008" s="41" t="n"/>
      <c r="D1008" s="41" t="n"/>
      <c r="E1008" s="41" t="n"/>
      <c r="F1008" s="50" t="n"/>
      <c r="G1008" s="42" t="n"/>
      <c r="H1008" s="42" t="n"/>
      <c r="I1008" s="43">
        <f>IF($B1008="","",N($G1008)-N($H1008))</f>
        <v/>
      </c>
    </row>
    <row r="1009">
      <c r="A1009" s="39">
        <f>IF($B1009="","",COUNTA($B$4:$B1009))</f>
        <v/>
      </c>
      <c r="B1009" s="45" t="n"/>
      <c r="C1009" s="46" t="n"/>
      <c r="D1009" s="46" t="n"/>
      <c r="E1009" s="46" t="n"/>
      <c r="F1009" s="51" t="n"/>
      <c r="G1009" s="47" t="n"/>
      <c r="H1009" s="47" t="n"/>
      <c r="I1009" s="43">
        <f>IF($B1009="","",N($G1009)-N($H1009))</f>
        <v/>
      </c>
    </row>
    <row r="1010">
      <c r="A1010" s="39">
        <f>IF($B1010="","",COUNTA($B$4:$B1010))</f>
        <v/>
      </c>
      <c r="B1010" s="40" t="n"/>
      <c r="C1010" s="41" t="n"/>
      <c r="D1010" s="41" t="n"/>
      <c r="E1010" s="41" t="n"/>
      <c r="F1010" s="50" t="n"/>
      <c r="G1010" s="42" t="n"/>
      <c r="H1010" s="42" t="n"/>
      <c r="I1010" s="43">
        <f>IF($B1010="","",N($G1010)-N($H1010))</f>
        <v/>
      </c>
    </row>
    <row r="1011">
      <c r="A1011" s="39">
        <f>IF($B1011="","",COUNTA($B$4:$B1011))</f>
        <v/>
      </c>
      <c r="B1011" s="45" t="n"/>
      <c r="C1011" s="46" t="n"/>
      <c r="D1011" s="46" t="n"/>
      <c r="E1011" s="46" t="n"/>
      <c r="F1011" s="51" t="n"/>
      <c r="G1011" s="47" t="n"/>
      <c r="H1011" s="47" t="n"/>
      <c r="I1011" s="43">
        <f>IF($B1011="","",N($G1011)-N($H1011))</f>
        <v/>
      </c>
    </row>
    <row r="1012">
      <c r="A1012" s="39">
        <f>IF($B1012="","",COUNTA($B$4:$B1012))</f>
        <v/>
      </c>
      <c r="B1012" s="40" t="n"/>
      <c r="C1012" s="41" t="n"/>
      <c r="D1012" s="41" t="n"/>
      <c r="E1012" s="41" t="n"/>
      <c r="F1012" s="50" t="n"/>
      <c r="G1012" s="42" t="n"/>
      <c r="H1012" s="42" t="n"/>
      <c r="I1012" s="43">
        <f>IF($B1012="","",N($G1012)-N($H1012))</f>
        <v/>
      </c>
    </row>
    <row r="1013">
      <c r="A1013" s="39">
        <f>IF($B1013="","",COUNTA($B$4:$B1013))</f>
        <v/>
      </c>
      <c r="B1013" s="45" t="n"/>
      <c r="C1013" s="46" t="n"/>
      <c r="D1013" s="46" t="n"/>
      <c r="E1013" s="46" t="n"/>
      <c r="F1013" s="51" t="n"/>
      <c r="G1013" s="47" t="n"/>
      <c r="H1013" s="47" t="n"/>
      <c r="I1013" s="43">
        <f>IF($B1013="","",N($G1013)-N($H1013))</f>
        <v/>
      </c>
    </row>
    <row r="1014">
      <c r="A1014" s="39">
        <f>IF($B1014="","",COUNTA($B$4:$B1014))</f>
        <v/>
      </c>
      <c r="B1014" s="40" t="n"/>
      <c r="C1014" s="41" t="n"/>
      <c r="D1014" s="41" t="n"/>
      <c r="E1014" s="41" t="n"/>
      <c r="F1014" s="50" t="n"/>
      <c r="G1014" s="42" t="n"/>
      <c r="H1014" s="42" t="n"/>
      <c r="I1014" s="43">
        <f>IF($B1014="","",N($G1014)-N($H1014))</f>
        <v/>
      </c>
    </row>
    <row r="1015">
      <c r="A1015" s="39">
        <f>IF($B1015="","",COUNTA($B$4:$B1015))</f>
        <v/>
      </c>
      <c r="B1015" s="45" t="n"/>
      <c r="C1015" s="46" t="n"/>
      <c r="D1015" s="46" t="n"/>
      <c r="E1015" s="46" t="n"/>
      <c r="F1015" s="51" t="n"/>
      <c r="G1015" s="47" t="n"/>
      <c r="H1015" s="47" t="n"/>
      <c r="I1015" s="43">
        <f>IF($B1015="","",N($G1015)-N($H1015))</f>
        <v/>
      </c>
    </row>
    <row r="1016">
      <c r="A1016" s="39">
        <f>IF($B1016="","",COUNTA($B$4:$B1016))</f>
        <v/>
      </c>
      <c r="B1016" s="40" t="n"/>
      <c r="C1016" s="41" t="n"/>
      <c r="D1016" s="41" t="n"/>
      <c r="E1016" s="41" t="n"/>
      <c r="F1016" s="50" t="n"/>
      <c r="G1016" s="42" t="n"/>
      <c r="H1016" s="42" t="n"/>
      <c r="I1016" s="43">
        <f>IF($B1016="","",N($G1016)-N($H1016))</f>
        <v/>
      </c>
    </row>
    <row r="1017">
      <c r="A1017" s="39">
        <f>IF($B1017="","",COUNTA($B$4:$B1017))</f>
        <v/>
      </c>
      <c r="B1017" s="45" t="n"/>
      <c r="C1017" s="46" t="n"/>
      <c r="D1017" s="46" t="n"/>
      <c r="E1017" s="46" t="n"/>
      <c r="F1017" s="51" t="n"/>
      <c r="G1017" s="47" t="n"/>
      <c r="H1017" s="47" t="n"/>
      <c r="I1017" s="43">
        <f>IF($B1017="","",N($G1017)-N($H1017))</f>
        <v/>
      </c>
    </row>
    <row r="1018">
      <c r="A1018" s="39">
        <f>IF($B1018="","",COUNTA($B$4:$B1018))</f>
        <v/>
      </c>
      <c r="B1018" s="40" t="n"/>
      <c r="C1018" s="41" t="n"/>
      <c r="D1018" s="41" t="n"/>
      <c r="E1018" s="41" t="n"/>
      <c r="F1018" s="50" t="n"/>
      <c r="G1018" s="42" t="n"/>
      <c r="H1018" s="42" t="n"/>
      <c r="I1018" s="43">
        <f>IF($B1018="","",N($G1018)-N($H1018))</f>
        <v/>
      </c>
    </row>
    <row r="1019">
      <c r="A1019" s="39">
        <f>IF($B1019="","",COUNTA($B$4:$B1019))</f>
        <v/>
      </c>
      <c r="B1019" s="45" t="n"/>
      <c r="C1019" s="46" t="n"/>
      <c r="D1019" s="46" t="n"/>
      <c r="E1019" s="46" t="n"/>
      <c r="F1019" s="51" t="n"/>
      <c r="G1019" s="47" t="n"/>
      <c r="H1019" s="47" t="n"/>
      <c r="I1019" s="43">
        <f>IF($B1019="","",N($G1019)-N($H1019))</f>
        <v/>
      </c>
    </row>
    <row r="1020">
      <c r="A1020" s="39">
        <f>IF($B1020="","",COUNTA($B$4:$B1020))</f>
        <v/>
      </c>
      <c r="B1020" s="40" t="n"/>
      <c r="C1020" s="41" t="n"/>
      <c r="D1020" s="41" t="n"/>
      <c r="E1020" s="41" t="n"/>
      <c r="F1020" s="50" t="n"/>
      <c r="G1020" s="42" t="n"/>
      <c r="H1020" s="42" t="n"/>
      <c r="I1020" s="43">
        <f>IF($B1020="","",N($G1020)-N($H1020))</f>
        <v/>
      </c>
    </row>
    <row r="1021">
      <c r="A1021" s="39">
        <f>IF($B1021="","",COUNTA($B$4:$B1021))</f>
        <v/>
      </c>
      <c r="B1021" s="45" t="n"/>
      <c r="C1021" s="46" t="n"/>
      <c r="D1021" s="46" t="n"/>
      <c r="E1021" s="46" t="n"/>
      <c r="F1021" s="51" t="n"/>
      <c r="G1021" s="47" t="n"/>
      <c r="H1021" s="47" t="n"/>
      <c r="I1021" s="43">
        <f>IF($B1021="","",N($G1021)-N($H1021))</f>
        <v/>
      </c>
    </row>
    <row r="1022">
      <c r="A1022" s="39">
        <f>IF($B1022="","",COUNTA($B$4:$B1022))</f>
        <v/>
      </c>
      <c r="B1022" s="40" t="n"/>
      <c r="C1022" s="41" t="n"/>
      <c r="D1022" s="41" t="n"/>
      <c r="E1022" s="41" t="n"/>
      <c r="F1022" s="50" t="n"/>
      <c r="G1022" s="42" t="n"/>
      <c r="H1022" s="42" t="n"/>
      <c r="I1022" s="43">
        <f>IF($B1022="","",N($G1022)-N($H1022))</f>
        <v/>
      </c>
    </row>
    <row r="1023">
      <c r="A1023" s="39">
        <f>IF($B1023="","",COUNTA($B$4:$B1023))</f>
        <v/>
      </c>
      <c r="B1023" s="45" t="n"/>
      <c r="C1023" s="46" t="n"/>
      <c r="D1023" s="46" t="n"/>
      <c r="E1023" s="46" t="n"/>
      <c r="F1023" s="51" t="n"/>
      <c r="G1023" s="47" t="n"/>
      <c r="H1023" s="47" t="n"/>
      <c r="I1023" s="43">
        <f>IF($B1023="","",N($G1023)-N($H1023))</f>
        <v/>
      </c>
    </row>
    <row r="1024">
      <c r="A1024" s="39">
        <f>IF($B1024="","",COUNTA($B$4:$B1024))</f>
        <v/>
      </c>
      <c r="B1024" s="40" t="n"/>
      <c r="C1024" s="41" t="n"/>
      <c r="D1024" s="41" t="n"/>
      <c r="E1024" s="41" t="n"/>
      <c r="F1024" s="50" t="n"/>
      <c r="G1024" s="42" t="n"/>
      <c r="H1024" s="42" t="n"/>
      <c r="I1024" s="43">
        <f>IF($B1024="","",N($G1024)-N($H1024))</f>
        <v/>
      </c>
    </row>
    <row r="1025">
      <c r="A1025" s="39">
        <f>IF($B1025="","",COUNTA($B$4:$B1025))</f>
        <v/>
      </c>
      <c r="B1025" s="45" t="n"/>
      <c r="C1025" s="46" t="n"/>
      <c r="D1025" s="46" t="n"/>
      <c r="E1025" s="46" t="n"/>
      <c r="F1025" s="51" t="n"/>
      <c r="G1025" s="47" t="n"/>
      <c r="H1025" s="47" t="n"/>
      <c r="I1025" s="43">
        <f>IF($B1025="","",N($G1025)-N($H1025))</f>
        <v/>
      </c>
    </row>
    <row r="1026">
      <c r="A1026" s="39">
        <f>IF($B1026="","",COUNTA($B$4:$B1026))</f>
        <v/>
      </c>
      <c r="B1026" s="40" t="n"/>
      <c r="C1026" s="41" t="n"/>
      <c r="D1026" s="41" t="n"/>
      <c r="E1026" s="41" t="n"/>
      <c r="F1026" s="50" t="n"/>
      <c r="G1026" s="42" t="n"/>
      <c r="H1026" s="42" t="n"/>
      <c r="I1026" s="43">
        <f>IF($B1026="","",N($G1026)-N($H1026))</f>
        <v/>
      </c>
    </row>
    <row r="1027">
      <c r="A1027" s="39">
        <f>IF($B1027="","",COUNTA($B$4:$B1027))</f>
        <v/>
      </c>
      <c r="B1027" s="45" t="n"/>
      <c r="C1027" s="46" t="n"/>
      <c r="D1027" s="46" t="n"/>
      <c r="E1027" s="46" t="n"/>
      <c r="F1027" s="51" t="n"/>
      <c r="G1027" s="47" t="n"/>
      <c r="H1027" s="47" t="n"/>
      <c r="I1027" s="43">
        <f>IF($B1027="","",N($G1027)-N($H1027))</f>
        <v/>
      </c>
    </row>
    <row r="1028">
      <c r="A1028" s="39">
        <f>IF($B1028="","",COUNTA($B$4:$B1028))</f>
        <v/>
      </c>
      <c r="B1028" s="40" t="n"/>
      <c r="C1028" s="41" t="n"/>
      <c r="D1028" s="41" t="n"/>
      <c r="E1028" s="41" t="n"/>
      <c r="F1028" s="50" t="n"/>
      <c r="G1028" s="42" t="n"/>
      <c r="H1028" s="42" t="n"/>
      <c r="I1028" s="43">
        <f>IF($B1028="","",N($G1028)-N($H1028))</f>
        <v/>
      </c>
    </row>
    <row r="1029">
      <c r="A1029" s="39">
        <f>IF($B1029="","",COUNTA($B$4:$B1029))</f>
        <v/>
      </c>
      <c r="B1029" s="45" t="n"/>
      <c r="C1029" s="46" t="n"/>
      <c r="D1029" s="46" t="n"/>
      <c r="E1029" s="46" t="n"/>
      <c r="F1029" s="51" t="n"/>
      <c r="G1029" s="47" t="n"/>
      <c r="H1029" s="47" t="n"/>
      <c r="I1029" s="43">
        <f>IF($B1029="","",N($G1029)-N($H1029))</f>
        <v/>
      </c>
    </row>
    <row r="1030">
      <c r="A1030" s="39">
        <f>IF($B1030="","",COUNTA($B$4:$B1030))</f>
        <v/>
      </c>
      <c r="B1030" s="40" t="n"/>
      <c r="C1030" s="41" t="n"/>
      <c r="D1030" s="41" t="n"/>
      <c r="E1030" s="41" t="n"/>
      <c r="F1030" s="50" t="n"/>
      <c r="G1030" s="42" t="n"/>
      <c r="H1030" s="42" t="n"/>
      <c r="I1030" s="43">
        <f>IF($B1030="","",N($G1030)-N($H1030))</f>
        <v/>
      </c>
    </row>
    <row r="1031">
      <c r="A1031" s="39">
        <f>IF($B1031="","",COUNTA($B$4:$B1031))</f>
        <v/>
      </c>
      <c r="B1031" s="45" t="n"/>
      <c r="C1031" s="46" t="n"/>
      <c r="D1031" s="46" t="n"/>
      <c r="E1031" s="46" t="n"/>
      <c r="F1031" s="51" t="n"/>
      <c r="G1031" s="47" t="n"/>
      <c r="H1031" s="47" t="n"/>
      <c r="I1031" s="43">
        <f>IF($B1031="","",N($G1031)-N($H1031))</f>
        <v/>
      </c>
    </row>
    <row r="1032">
      <c r="A1032" s="39">
        <f>IF($B1032="","",COUNTA($B$4:$B1032))</f>
        <v/>
      </c>
      <c r="B1032" s="40" t="n"/>
      <c r="C1032" s="41" t="n"/>
      <c r="D1032" s="41" t="n"/>
      <c r="E1032" s="41" t="n"/>
      <c r="F1032" s="50" t="n"/>
      <c r="G1032" s="42" t="n"/>
      <c r="H1032" s="42" t="n"/>
      <c r="I1032" s="43">
        <f>IF($B1032="","",N($G1032)-N($H1032))</f>
        <v/>
      </c>
    </row>
    <row r="1033">
      <c r="A1033" s="39">
        <f>IF($B1033="","",COUNTA($B$4:$B1033))</f>
        <v/>
      </c>
      <c r="B1033" s="45" t="n"/>
      <c r="C1033" s="46" t="n"/>
      <c r="D1033" s="46" t="n"/>
      <c r="E1033" s="46" t="n"/>
      <c r="F1033" s="51" t="n"/>
      <c r="G1033" s="47" t="n"/>
      <c r="H1033" s="47" t="n"/>
      <c r="I1033" s="43">
        <f>IF($B1033="","",N($G1033)-N($H1033))</f>
        <v/>
      </c>
    </row>
    <row r="1034">
      <c r="A1034" s="39">
        <f>IF($B1034="","",COUNTA($B$4:$B1034))</f>
        <v/>
      </c>
      <c r="B1034" s="40" t="n"/>
      <c r="C1034" s="41" t="n"/>
      <c r="D1034" s="41" t="n"/>
      <c r="E1034" s="41" t="n"/>
      <c r="F1034" s="50" t="n"/>
      <c r="G1034" s="42" t="n"/>
      <c r="H1034" s="42" t="n"/>
      <c r="I1034" s="43">
        <f>IF($B1034="","",N($G1034)-N($H1034))</f>
        <v/>
      </c>
    </row>
    <row r="1035">
      <c r="A1035" s="39">
        <f>IF($B1035="","",COUNTA($B$4:$B1035))</f>
        <v/>
      </c>
      <c r="B1035" s="45" t="n"/>
      <c r="C1035" s="46" t="n"/>
      <c r="D1035" s="46" t="n"/>
      <c r="E1035" s="46" t="n"/>
      <c r="F1035" s="51" t="n"/>
      <c r="G1035" s="47" t="n"/>
      <c r="H1035" s="47" t="n"/>
      <c r="I1035" s="43">
        <f>IF($B1035="","",N($G1035)-N($H1035))</f>
        <v/>
      </c>
    </row>
    <row r="1036">
      <c r="A1036" s="39">
        <f>IF($B1036="","",COUNTA($B$4:$B1036))</f>
        <v/>
      </c>
      <c r="B1036" s="40" t="n"/>
      <c r="C1036" s="41" t="n"/>
      <c r="D1036" s="41" t="n"/>
      <c r="E1036" s="41" t="n"/>
      <c r="F1036" s="50" t="n"/>
      <c r="G1036" s="42" t="n"/>
      <c r="H1036" s="42" t="n"/>
      <c r="I1036" s="43">
        <f>IF($B1036="","",N($G1036)-N($H1036))</f>
        <v/>
      </c>
    </row>
    <row r="1037">
      <c r="A1037" s="39">
        <f>IF($B1037="","",COUNTA($B$4:$B1037))</f>
        <v/>
      </c>
      <c r="B1037" s="45" t="n"/>
      <c r="C1037" s="46" t="n"/>
      <c r="D1037" s="46" t="n"/>
      <c r="E1037" s="46" t="n"/>
      <c r="F1037" s="51" t="n"/>
      <c r="G1037" s="47" t="n"/>
      <c r="H1037" s="47" t="n"/>
      <c r="I1037" s="43">
        <f>IF($B1037="","",N($G1037)-N($H1037))</f>
        <v/>
      </c>
    </row>
    <row r="1038">
      <c r="A1038" s="39">
        <f>IF($B1038="","",COUNTA($B$4:$B1038))</f>
        <v/>
      </c>
      <c r="B1038" s="40" t="n"/>
      <c r="C1038" s="41" t="n"/>
      <c r="D1038" s="41" t="n"/>
      <c r="E1038" s="41" t="n"/>
      <c r="F1038" s="50" t="n"/>
      <c r="G1038" s="42" t="n"/>
      <c r="H1038" s="42" t="n"/>
      <c r="I1038" s="43">
        <f>IF($B1038="","",N($G1038)-N($H1038))</f>
        <v/>
      </c>
    </row>
    <row r="1039">
      <c r="A1039" s="39">
        <f>IF($B1039="","",COUNTA($B$4:$B1039))</f>
        <v/>
      </c>
      <c r="B1039" s="45" t="n"/>
      <c r="C1039" s="46" t="n"/>
      <c r="D1039" s="46" t="n"/>
      <c r="E1039" s="46" t="n"/>
      <c r="F1039" s="51" t="n"/>
      <c r="G1039" s="47" t="n"/>
      <c r="H1039" s="47" t="n"/>
      <c r="I1039" s="43">
        <f>IF($B1039="","",N($G1039)-N($H1039))</f>
        <v/>
      </c>
    </row>
    <row r="1040">
      <c r="A1040" s="39">
        <f>IF($B1040="","",COUNTA($B$4:$B1040))</f>
        <v/>
      </c>
      <c r="B1040" s="40" t="n"/>
      <c r="C1040" s="41" t="n"/>
      <c r="D1040" s="41" t="n"/>
      <c r="E1040" s="41" t="n"/>
      <c r="F1040" s="50" t="n"/>
      <c r="G1040" s="42" t="n"/>
      <c r="H1040" s="42" t="n"/>
      <c r="I1040" s="43">
        <f>IF($B1040="","",N($G1040)-N($H1040))</f>
        <v/>
      </c>
    </row>
    <row r="1041">
      <c r="A1041" s="39">
        <f>IF($B1041="","",COUNTA($B$4:$B1041))</f>
        <v/>
      </c>
      <c r="B1041" s="45" t="n"/>
      <c r="C1041" s="46" t="n"/>
      <c r="D1041" s="46" t="n"/>
      <c r="E1041" s="46" t="n"/>
      <c r="F1041" s="51" t="n"/>
      <c r="G1041" s="47" t="n"/>
      <c r="H1041" s="47" t="n"/>
      <c r="I1041" s="43">
        <f>IF($B1041="","",N($G1041)-N($H1041))</f>
        <v/>
      </c>
    </row>
    <row r="1042">
      <c r="A1042" s="39">
        <f>IF($B1042="","",COUNTA($B$4:$B1042))</f>
        <v/>
      </c>
      <c r="B1042" s="40" t="n"/>
      <c r="C1042" s="41" t="n"/>
      <c r="D1042" s="41" t="n"/>
      <c r="E1042" s="41" t="n"/>
      <c r="F1042" s="50" t="n"/>
      <c r="G1042" s="42" t="n"/>
      <c r="H1042" s="42" t="n"/>
      <c r="I1042" s="43">
        <f>IF($B1042="","",N($G1042)-N($H1042))</f>
        <v/>
      </c>
    </row>
    <row r="1043">
      <c r="A1043" s="39">
        <f>IF($B1043="","",COUNTA($B$4:$B1043))</f>
        <v/>
      </c>
      <c r="B1043" s="45" t="n"/>
      <c r="C1043" s="46" t="n"/>
      <c r="D1043" s="46" t="n"/>
      <c r="E1043" s="46" t="n"/>
      <c r="F1043" s="51" t="n"/>
      <c r="G1043" s="47" t="n"/>
      <c r="H1043" s="47" t="n"/>
      <c r="I1043" s="43">
        <f>IF($B1043="","",N($G1043)-N($H1043))</f>
        <v/>
      </c>
    </row>
    <row r="1044">
      <c r="A1044" s="39">
        <f>IF($B1044="","",COUNTA($B$4:$B1044))</f>
        <v/>
      </c>
      <c r="B1044" s="40" t="n"/>
      <c r="C1044" s="41" t="n"/>
      <c r="D1044" s="41" t="n"/>
      <c r="E1044" s="41" t="n"/>
      <c r="F1044" s="50" t="n"/>
      <c r="G1044" s="42" t="n"/>
      <c r="H1044" s="42" t="n"/>
      <c r="I1044" s="43">
        <f>IF($B1044="","",N($G1044)-N($H1044))</f>
        <v/>
      </c>
    </row>
    <row r="1045">
      <c r="A1045" s="39">
        <f>IF($B1045="","",COUNTA($B$4:$B1045))</f>
        <v/>
      </c>
      <c r="B1045" s="45" t="n"/>
      <c r="C1045" s="46" t="n"/>
      <c r="D1045" s="46" t="n"/>
      <c r="E1045" s="46" t="n"/>
      <c r="F1045" s="51" t="n"/>
      <c r="G1045" s="47" t="n"/>
      <c r="H1045" s="47" t="n"/>
      <c r="I1045" s="43">
        <f>IF($B1045="","",N($G1045)-N($H1045))</f>
        <v/>
      </c>
    </row>
    <row r="1046">
      <c r="A1046" s="39">
        <f>IF($B1046="","",COUNTA($B$4:$B1046))</f>
        <v/>
      </c>
      <c r="B1046" s="40" t="n"/>
      <c r="C1046" s="41" t="n"/>
      <c r="D1046" s="41" t="n"/>
      <c r="E1046" s="41" t="n"/>
      <c r="F1046" s="50" t="n"/>
      <c r="G1046" s="42" t="n"/>
      <c r="H1046" s="42" t="n"/>
      <c r="I1046" s="43">
        <f>IF($B1046="","",N($G1046)-N($H1046))</f>
        <v/>
      </c>
    </row>
    <row r="1047">
      <c r="A1047" s="39">
        <f>IF($B1047="","",COUNTA($B$4:$B1047))</f>
        <v/>
      </c>
      <c r="B1047" s="45" t="n"/>
      <c r="C1047" s="46" t="n"/>
      <c r="D1047" s="46" t="n"/>
      <c r="E1047" s="46" t="n"/>
      <c r="F1047" s="51" t="n"/>
      <c r="G1047" s="47" t="n"/>
      <c r="H1047" s="47" t="n"/>
      <c r="I1047" s="43">
        <f>IF($B1047="","",N($G1047)-N($H1047))</f>
        <v/>
      </c>
    </row>
    <row r="1048">
      <c r="A1048" s="39">
        <f>IF($B1048="","",COUNTA($B$4:$B1048))</f>
        <v/>
      </c>
      <c r="B1048" s="40" t="n"/>
      <c r="C1048" s="41" t="n"/>
      <c r="D1048" s="41" t="n"/>
      <c r="E1048" s="41" t="n"/>
      <c r="F1048" s="50" t="n"/>
      <c r="G1048" s="42" t="n"/>
      <c r="H1048" s="42" t="n"/>
      <c r="I1048" s="43">
        <f>IF($B1048="","",N($G1048)-N($H1048))</f>
        <v/>
      </c>
    </row>
    <row r="1049">
      <c r="A1049" s="39">
        <f>IF($B1049="","",COUNTA($B$4:$B1049))</f>
        <v/>
      </c>
      <c r="B1049" s="45" t="n"/>
      <c r="C1049" s="46" t="n"/>
      <c r="D1049" s="46" t="n"/>
      <c r="E1049" s="46" t="n"/>
      <c r="F1049" s="51" t="n"/>
      <c r="G1049" s="47" t="n"/>
      <c r="H1049" s="47" t="n"/>
      <c r="I1049" s="43">
        <f>IF($B1049="","",N($G1049)-N($H1049))</f>
        <v/>
      </c>
    </row>
    <row r="1050">
      <c r="A1050" s="39">
        <f>IF($B1050="","",COUNTA($B$4:$B1050))</f>
        <v/>
      </c>
      <c r="B1050" s="40" t="n"/>
      <c r="C1050" s="41" t="n"/>
      <c r="D1050" s="41" t="n"/>
      <c r="E1050" s="41" t="n"/>
      <c r="F1050" s="50" t="n"/>
      <c r="G1050" s="42" t="n"/>
      <c r="H1050" s="42" t="n"/>
      <c r="I1050" s="43">
        <f>IF($B1050="","",N($G1050)-N($H1050))</f>
        <v/>
      </c>
    </row>
    <row r="1051">
      <c r="A1051" s="39">
        <f>IF($B1051="","",COUNTA($B$4:$B1051))</f>
        <v/>
      </c>
      <c r="B1051" s="45" t="n"/>
      <c r="C1051" s="46" t="n"/>
      <c r="D1051" s="46" t="n"/>
      <c r="E1051" s="46" t="n"/>
      <c r="F1051" s="51" t="n"/>
      <c r="G1051" s="47" t="n"/>
      <c r="H1051" s="47" t="n"/>
      <c r="I1051" s="43">
        <f>IF($B1051="","",N($G1051)-N($H1051))</f>
        <v/>
      </c>
    </row>
    <row r="1052">
      <c r="A1052" s="39">
        <f>IF($B1052="","",COUNTA($B$4:$B1052))</f>
        <v/>
      </c>
      <c r="B1052" s="40" t="n"/>
      <c r="C1052" s="41" t="n"/>
      <c r="D1052" s="41" t="n"/>
      <c r="E1052" s="41" t="n"/>
      <c r="F1052" s="50" t="n"/>
      <c r="G1052" s="42" t="n"/>
      <c r="H1052" s="42" t="n"/>
      <c r="I1052" s="43">
        <f>IF($B1052="","",N($G1052)-N($H1052))</f>
        <v/>
      </c>
    </row>
    <row r="1053">
      <c r="A1053" s="39">
        <f>IF($B1053="","",COUNTA($B$4:$B1053))</f>
        <v/>
      </c>
      <c r="B1053" s="45" t="n"/>
      <c r="C1053" s="46" t="n"/>
      <c r="D1053" s="46" t="n"/>
      <c r="E1053" s="46" t="n"/>
      <c r="F1053" s="51" t="n"/>
      <c r="G1053" s="47" t="n"/>
      <c r="H1053" s="47" t="n"/>
      <c r="I1053" s="43">
        <f>IF($B1053="","",N($G1053)-N($H1053))</f>
        <v/>
      </c>
    </row>
    <row r="1054">
      <c r="A1054" s="39">
        <f>IF($B1054="","",COUNTA($B$4:$B1054))</f>
        <v/>
      </c>
      <c r="B1054" s="40" t="n"/>
      <c r="C1054" s="41" t="n"/>
      <c r="D1054" s="41" t="n"/>
      <c r="E1054" s="41" t="n"/>
      <c r="F1054" s="50" t="n"/>
      <c r="G1054" s="42" t="n"/>
      <c r="H1054" s="42" t="n"/>
      <c r="I1054" s="43">
        <f>IF($B1054="","",N($G1054)-N($H1054))</f>
        <v/>
      </c>
    </row>
    <row r="1055">
      <c r="A1055" s="39">
        <f>IF($B1055="","",COUNTA($B$4:$B1055))</f>
        <v/>
      </c>
      <c r="B1055" s="45" t="n"/>
      <c r="C1055" s="46" t="n"/>
      <c r="D1055" s="46" t="n"/>
      <c r="E1055" s="46" t="n"/>
      <c r="F1055" s="51" t="n"/>
      <c r="G1055" s="47" t="n"/>
      <c r="H1055" s="47" t="n"/>
      <c r="I1055" s="43">
        <f>IF($B1055="","",N($G1055)-N($H1055))</f>
        <v/>
      </c>
    </row>
    <row r="1056">
      <c r="A1056" s="39">
        <f>IF($B1056="","",COUNTA($B$4:$B1056))</f>
        <v/>
      </c>
      <c r="B1056" s="40" t="n"/>
      <c r="C1056" s="41" t="n"/>
      <c r="D1056" s="41" t="n"/>
      <c r="E1056" s="41" t="n"/>
      <c r="F1056" s="50" t="n"/>
      <c r="G1056" s="42" t="n"/>
      <c r="H1056" s="42" t="n"/>
      <c r="I1056" s="43">
        <f>IF($B1056="","",N($G1056)-N($H1056))</f>
        <v/>
      </c>
    </row>
    <row r="1057">
      <c r="A1057" s="39">
        <f>IF($B1057="","",COUNTA($B$4:$B1057))</f>
        <v/>
      </c>
      <c r="B1057" s="45" t="n"/>
      <c r="C1057" s="46" t="n"/>
      <c r="D1057" s="46" t="n"/>
      <c r="E1057" s="46" t="n"/>
      <c r="F1057" s="51" t="n"/>
      <c r="G1057" s="47" t="n"/>
      <c r="H1057" s="47" t="n"/>
      <c r="I1057" s="43">
        <f>IF($B1057="","",N($G1057)-N($H1057))</f>
        <v/>
      </c>
    </row>
    <row r="1058">
      <c r="A1058" s="39">
        <f>IF($B1058="","",COUNTA($B$4:$B1058))</f>
        <v/>
      </c>
      <c r="B1058" s="40" t="n"/>
      <c r="C1058" s="41" t="n"/>
      <c r="D1058" s="41" t="n"/>
      <c r="E1058" s="41" t="n"/>
      <c r="F1058" s="50" t="n"/>
      <c r="G1058" s="42" t="n"/>
      <c r="H1058" s="42" t="n"/>
      <c r="I1058" s="43">
        <f>IF($B1058="","",N($G1058)-N($H1058))</f>
        <v/>
      </c>
    </row>
    <row r="1059">
      <c r="A1059" s="39">
        <f>IF($B1059="","",COUNTA($B$4:$B1059))</f>
        <v/>
      </c>
      <c r="B1059" s="45" t="n"/>
      <c r="C1059" s="46" t="n"/>
      <c r="D1059" s="46" t="n"/>
      <c r="E1059" s="46" t="n"/>
      <c r="F1059" s="51" t="n"/>
      <c r="G1059" s="47" t="n"/>
      <c r="H1059" s="47" t="n"/>
      <c r="I1059" s="43">
        <f>IF($B1059="","",N($G1059)-N($H1059))</f>
        <v/>
      </c>
    </row>
    <row r="1060">
      <c r="A1060" s="39">
        <f>IF($B1060="","",COUNTA($B$4:$B1060))</f>
        <v/>
      </c>
      <c r="B1060" s="40" t="n"/>
      <c r="C1060" s="41" t="n"/>
      <c r="D1060" s="41" t="n"/>
      <c r="E1060" s="41" t="n"/>
      <c r="F1060" s="50" t="n"/>
      <c r="G1060" s="42" t="n"/>
      <c r="H1060" s="42" t="n"/>
      <c r="I1060" s="43">
        <f>IF($B1060="","",N($G1060)-N($H1060))</f>
        <v/>
      </c>
    </row>
    <row r="1061">
      <c r="A1061" s="39">
        <f>IF($B1061="","",COUNTA($B$4:$B1061))</f>
        <v/>
      </c>
      <c r="B1061" s="45" t="n"/>
      <c r="C1061" s="46" t="n"/>
      <c r="D1061" s="46" t="n"/>
      <c r="E1061" s="46" t="n"/>
      <c r="F1061" s="51" t="n"/>
      <c r="G1061" s="47" t="n"/>
      <c r="H1061" s="47" t="n"/>
      <c r="I1061" s="43">
        <f>IF($B1061="","",N($G1061)-N($H1061))</f>
        <v/>
      </c>
    </row>
    <row r="1062">
      <c r="A1062" s="39">
        <f>IF($B1062="","",COUNTA($B$4:$B1062))</f>
        <v/>
      </c>
      <c r="B1062" s="40" t="n"/>
      <c r="C1062" s="41" t="n"/>
      <c r="D1062" s="41" t="n"/>
      <c r="E1062" s="41" t="n"/>
      <c r="F1062" s="50" t="n"/>
      <c r="G1062" s="42" t="n"/>
      <c r="H1062" s="42" t="n"/>
      <c r="I1062" s="43">
        <f>IF($B1062="","",N($G1062)-N($H1062))</f>
        <v/>
      </c>
    </row>
    <row r="1063">
      <c r="A1063" s="39">
        <f>IF($B1063="","",COUNTA($B$4:$B1063))</f>
        <v/>
      </c>
      <c r="B1063" s="45" t="n"/>
      <c r="C1063" s="46" t="n"/>
      <c r="D1063" s="46" t="n"/>
      <c r="E1063" s="46" t="n"/>
      <c r="F1063" s="51" t="n"/>
      <c r="G1063" s="47" t="n"/>
      <c r="H1063" s="47" t="n"/>
      <c r="I1063" s="43">
        <f>IF($B1063="","",N($G1063)-N($H1063))</f>
        <v/>
      </c>
    </row>
    <row r="1064">
      <c r="A1064" s="39">
        <f>IF($B1064="","",COUNTA($B$4:$B1064))</f>
        <v/>
      </c>
      <c r="B1064" s="40" t="n"/>
      <c r="C1064" s="41" t="n"/>
      <c r="D1064" s="41" t="n"/>
      <c r="E1064" s="41" t="n"/>
      <c r="F1064" s="50" t="n"/>
      <c r="G1064" s="42" t="n"/>
      <c r="H1064" s="42" t="n"/>
      <c r="I1064" s="43">
        <f>IF($B1064="","",N($G1064)-N($H1064))</f>
        <v/>
      </c>
    </row>
    <row r="1065">
      <c r="A1065" s="39">
        <f>IF($B1065="","",COUNTA($B$4:$B1065))</f>
        <v/>
      </c>
      <c r="B1065" s="45" t="n"/>
      <c r="C1065" s="46" t="n"/>
      <c r="D1065" s="46" t="n"/>
      <c r="E1065" s="46" t="n"/>
      <c r="F1065" s="51" t="n"/>
      <c r="G1065" s="47" t="n"/>
      <c r="H1065" s="47" t="n"/>
      <c r="I1065" s="43">
        <f>IF($B1065="","",N($G1065)-N($H1065))</f>
        <v/>
      </c>
    </row>
    <row r="1066">
      <c r="A1066" s="39">
        <f>IF($B1066="","",COUNTA($B$4:$B1066))</f>
        <v/>
      </c>
      <c r="B1066" s="40" t="n"/>
      <c r="C1066" s="41" t="n"/>
      <c r="D1066" s="41" t="n"/>
      <c r="E1066" s="41" t="n"/>
      <c r="F1066" s="50" t="n"/>
      <c r="G1066" s="42" t="n"/>
      <c r="H1066" s="42" t="n"/>
      <c r="I1066" s="43">
        <f>IF($B1066="","",N($G1066)-N($H1066))</f>
        <v/>
      </c>
    </row>
    <row r="1067">
      <c r="A1067" s="39">
        <f>IF($B1067="","",COUNTA($B$4:$B1067))</f>
        <v/>
      </c>
      <c r="B1067" s="45" t="n"/>
      <c r="C1067" s="46" t="n"/>
      <c r="D1067" s="46" t="n"/>
      <c r="E1067" s="46" t="n"/>
      <c r="F1067" s="51" t="n"/>
      <c r="G1067" s="47" t="n"/>
      <c r="H1067" s="47" t="n"/>
      <c r="I1067" s="43">
        <f>IF($B1067="","",N($G1067)-N($H1067))</f>
        <v/>
      </c>
    </row>
    <row r="1068">
      <c r="A1068" s="39">
        <f>IF($B1068="","",COUNTA($B$4:$B1068))</f>
        <v/>
      </c>
      <c r="B1068" s="40" t="n"/>
      <c r="C1068" s="41" t="n"/>
      <c r="D1068" s="41" t="n"/>
      <c r="E1068" s="41" t="n"/>
      <c r="F1068" s="50" t="n"/>
      <c r="G1068" s="42" t="n"/>
      <c r="H1068" s="42" t="n"/>
      <c r="I1068" s="43">
        <f>IF($B1068="","",N($G1068)-N($H1068))</f>
        <v/>
      </c>
    </row>
    <row r="1069">
      <c r="A1069" s="39">
        <f>IF($B1069="","",COUNTA($B$4:$B1069))</f>
        <v/>
      </c>
      <c r="B1069" s="45" t="n"/>
      <c r="C1069" s="46" t="n"/>
      <c r="D1069" s="46" t="n"/>
      <c r="E1069" s="46" t="n"/>
      <c r="F1069" s="51" t="n"/>
      <c r="G1069" s="47" t="n"/>
      <c r="H1069" s="47" t="n"/>
      <c r="I1069" s="43">
        <f>IF($B1069="","",N($G1069)-N($H1069))</f>
        <v/>
      </c>
    </row>
    <row r="1070">
      <c r="A1070" s="39">
        <f>IF($B1070="","",COUNTA($B$4:$B1070))</f>
        <v/>
      </c>
      <c r="B1070" s="40" t="n"/>
      <c r="C1070" s="41" t="n"/>
      <c r="D1070" s="41" t="n"/>
      <c r="E1070" s="41" t="n"/>
      <c r="F1070" s="50" t="n"/>
      <c r="G1070" s="42" t="n"/>
      <c r="H1070" s="42" t="n"/>
      <c r="I1070" s="43">
        <f>IF($B1070="","",N($G1070)-N($H1070))</f>
        <v/>
      </c>
    </row>
    <row r="1071">
      <c r="A1071" s="39">
        <f>IF($B1071="","",COUNTA($B$4:$B1071))</f>
        <v/>
      </c>
      <c r="B1071" s="45" t="n"/>
      <c r="C1071" s="46" t="n"/>
      <c r="D1071" s="46" t="n"/>
      <c r="E1071" s="46" t="n"/>
      <c r="F1071" s="51" t="n"/>
      <c r="G1071" s="47" t="n"/>
      <c r="H1071" s="47" t="n"/>
      <c r="I1071" s="43">
        <f>IF($B1071="","",N($G1071)-N($H1071))</f>
        <v/>
      </c>
    </row>
    <row r="1072">
      <c r="A1072" s="39">
        <f>IF($B1072="","",COUNTA($B$4:$B1072))</f>
        <v/>
      </c>
      <c r="B1072" s="40" t="n"/>
      <c r="C1072" s="41" t="n"/>
      <c r="D1072" s="41" t="n"/>
      <c r="E1072" s="41" t="n"/>
      <c r="F1072" s="50" t="n"/>
      <c r="G1072" s="42" t="n"/>
      <c r="H1072" s="42" t="n"/>
      <c r="I1072" s="43">
        <f>IF($B1072="","",N($G1072)-N($H1072))</f>
        <v/>
      </c>
    </row>
    <row r="1073">
      <c r="A1073" s="39">
        <f>IF($B1073="","",COUNTA($B$4:$B1073))</f>
        <v/>
      </c>
      <c r="B1073" s="45" t="n"/>
      <c r="C1073" s="46" t="n"/>
      <c r="D1073" s="46" t="n"/>
      <c r="E1073" s="46" t="n"/>
      <c r="F1073" s="51" t="n"/>
      <c r="G1073" s="47" t="n"/>
      <c r="H1073" s="47" t="n"/>
      <c r="I1073" s="43">
        <f>IF($B1073="","",N($G1073)-N($H1073))</f>
        <v/>
      </c>
    </row>
    <row r="1074">
      <c r="A1074" s="39">
        <f>IF($B1074="","",COUNTA($B$4:$B1074))</f>
        <v/>
      </c>
      <c r="B1074" s="40" t="n"/>
      <c r="C1074" s="41" t="n"/>
      <c r="D1074" s="41" t="n"/>
      <c r="E1074" s="41" t="n"/>
      <c r="F1074" s="50" t="n"/>
      <c r="G1074" s="42" t="n"/>
      <c r="H1074" s="42" t="n"/>
      <c r="I1074" s="43">
        <f>IF($B1074="","",N($G1074)-N($H1074))</f>
        <v/>
      </c>
    </row>
    <row r="1075">
      <c r="A1075" s="39">
        <f>IF($B1075="","",COUNTA($B$4:$B1075))</f>
        <v/>
      </c>
      <c r="B1075" s="45" t="n"/>
      <c r="C1075" s="46" t="n"/>
      <c r="D1075" s="46" t="n"/>
      <c r="E1075" s="46" t="n"/>
      <c r="F1075" s="51" t="n"/>
      <c r="G1075" s="47" t="n"/>
      <c r="H1075" s="47" t="n"/>
      <c r="I1075" s="43">
        <f>IF($B1075="","",N($G1075)-N($H1075))</f>
        <v/>
      </c>
    </row>
    <row r="1076">
      <c r="A1076" s="39">
        <f>IF($B1076="","",COUNTA($B$4:$B1076))</f>
        <v/>
      </c>
      <c r="B1076" s="40" t="n"/>
      <c r="C1076" s="41" t="n"/>
      <c r="D1076" s="41" t="n"/>
      <c r="E1076" s="41" t="n"/>
      <c r="F1076" s="50" t="n"/>
      <c r="G1076" s="42" t="n"/>
      <c r="H1076" s="42" t="n"/>
      <c r="I1076" s="43">
        <f>IF($B1076="","",N($G1076)-N($H1076))</f>
        <v/>
      </c>
    </row>
    <row r="1077">
      <c r="A1077" s="39">
        <f>IF($B1077="","",COUNTA($B$4:$B1077))</f>
        <v/>
      </c>
      <c r="B1077" s="45" t="n"/>
      <c r="C1077" s="46" t="n"/>
      <c r="D1077" s="46" t="n"/>
      <c r="E1077" s="46" t="n"/>
      <c r="F1077" s="51" t="n"/>
      <c r="G1077" s="47" t="n"/>
      <c r="H1077" s="47" t="n"/>
      <c r="I1077" s="43">
        <f>IF($B1077="","",N($G1077)-N($H1077))</f>
        <v/>
      </c>
    </row>
    <row r="1078">
      <c r="A1078" s="39">
        <f>IF($B1078="","",COUNTA($B$4:$B1078))</f>
        <v/>
      </c>
      <c r="B1078" s="40" t="n"/>
      <c r="C1078" s="41" t="n"/>
      <c r="D1078" s="41" t="n"/>
      <c r="E1078" s="41" t="n"/>
      <c r="F1078" s="50" t="n"/>
      <c r="G1078" s="42" t="n"/>
      <c r="H1078" s="42" t="n"/>
      <c r="I1078" s="43">
        <f>IF($B1078="","",N($G1078)-N($H1078))</f>
        <v/>
      </c>
    </row>
    <row r="1079">
      <c r="A1079" s="39">
        <f>IF($B1079="","",COUNTA($B$4:$B1079))</f>
        <v/>
      </c>
      <c r="B1079" s="45" t="n"/>
      <c r="C1079" s="46" t="n"/>
      <c r="D1079" s="46" t="n"/>
      <c r="E1079" s="46" t="n"/>
      <c r="F1079" s="51" t="n"/>
      <c r="G1079" s="47" t="n"/>
      <c r="H1079" s="47" t="n"/>
      <c r="I1079" s="43">
        <f>IF($B1079="","",N($G1079)-N($H1079))</f>
        <v/>
      </c>
    </row>
    <row r="1080">
      <c r="A1080" s="39">
        <f>IF($B1080="","",COUNTA($B$4:$B1080))</f>
        <v/>
      </c>
      <c r="B1080" s="40" t="n"/>
      <c r="C1080" s="41" t="n"/>
      <c r="D1080" s="41" t="n"/>
      <c r="E1080" s="41" t="n"/>
      <c r="F1080" s="50" t="n"/>
      <c r="G1080" s="42" t="n"/>
      <c r="H1080" s="42" t="n"/>
      <c r="I1080" s="43">
        <f>IF($B1080="","",N($G1080)-N($H1080))</f>
        <v/>
      </c>
    </row>
    <row r="1081">
      <c r="A1081" s="39">
        <f>IF($B1081="","",COUNTA($B$4:$B1081))</f>
        <v/>
      </c>
      <c r="B1081" s="45" t="n"/>
      <c r="C1081" s="46" t="n"/>
      <c r="D1081" s="46" t="n"/>
      <c r="E1081" s="46" t="n"/>
      <c r="F1081" s="51" t="n"/>
      <c r="G1081" s="47" t="n"/>
      <c r="H1081" s="47" t="n"/>
      <c r="I1081" s="43">
        <f>IF($B1081="","",N($G1081)-N($H1081))</f>
        <v/>
      </c>
    </row>
    <row r="1082">
      <c r="A1082" s="39">
        <f>IF($B1082="","",COUNTA($B$4:$B1082))</f>
        <v/>
      </c>
      <c r="B1082" s="40" t="n"/>
      <c r="C1082" s="41" t="n"/>
      <c r="D1082" s="41" t="n"/>
      <c r="E1082" s="41" t="n"/>
      <c r="F1082" s="50" t="n"/>
      <c r="G1082" s="42" t="n"/>
      <c r="H1082" s="42" t="n"/>
      <c r="I1082" s="43">
        <f>IF($B1082="","",N($G1082)-N($H1082))</f>
        <v/>
      </c>
    </row>
    <row r="1083">
      <c r="A1083" s="39">
        <f>IF($B1083="","",COUNTA($B$4:$B1083))</f>
        <v/>
      </c>
      <c r="B1083" s="45" t="n"/>
      <c r="C1083" s="46" t="n"/>
      <c r="D1083" s="46" t="n"/>
      <c r="E1083" s="46" t="n"/>
      <c r="F1083" s="51" t="n"/>
      <c r="G1083" s="47" t="n"/>
      <c r="H1083" s="47" t="n"/>
      <c r="I1083" s="43">
        <f>IF($B1083="","",N($G1083)-N($H1083))</f>
        <v/>
      </c>
    </row>
    <row r="1084">
      <c r="A1084" s="39">
        <f>IF($B1084="","",COUNTA($B$4:$B1084))</f>
        <v/>
      </c>
      <c r="B1084" s="40" t="n"/>
      <c r="C1084" s="41" t="n"/>
      <c r="D1084" s="41" t="n"/>
      <c r="E1084" s="41" t="n"/>
      <c r="F1084" s="50" t="n"/>
      <c r="G1084" s="42" t="n"/>
      <c r="H1084" s="42" t="n"/>
      <c r="I1084" s="43">
        <f>IF($B1084="","",N($G1084)-N($H1084))</f>
        <v/>
      </c>
    </row>
    <row r="1085">
      <c r="A1085" s="39">
        <f>IF($B1085="","",COUNTA($B$4:$B1085))</f>
        <v/>
      </c>
      <c r="B1085" s="45" t="n"/>
      <c r="C1085" s="46" t="n"/>
      <c r="D1085" s="46" t="n"/>
      <c r="E1085" s="46" t="n"/>
      <c r="F1085" s="51" t="n"/>
      <c r="G1085" s="47" t="n"/>
      <c r="H1085" s="47" t="n"/>
      <c r="I1085" s="43">
        <f>IF($B1085="","",N($G1085)-N($H1085))</f>
        <v/>
      </c>
    </row>
    <row r="1086">
      <c r="A1086" s="39">
        <f>IF($B1086="","",COUNTA($B$4:$B1086))</f>
        <v/>
      </c>
      <c r="B1086" s="40" t="n"/>
      <c r="C1086" s="41" t="n"/>
      <c r="D1086" s="41" t="n"/>
      <c r="E1086" s="41" t="n"/>
      <c r="F1086" s="50" t="n"/>
      <c r="G1086" s="42" t="n"/>
      <c r="H1086" s="42" t="n"/>
      <c r="I1086" s="43">
        <f>IF($B1086="","",N($G1086)-N($H1086))</f>
        <v/>
      </c>
    </row>
    <row r="1087">
      <c r="A1087" s="39">
        <f>IF($B1087="","",COUNTA($B$4:$B1087))</f>
        <v/>
      </c>
      <c r="B1087" s="45" t="n"/>
      <c r="C1087" s="46" t="n"/>
      <c r="D1087" s="46" t="n"/>
      <c r="E1087" s="46" t="n"/>
      <c r="F1087" s="51" t="n"/>
      <c r="G1087" s="47" t="n"/>
      <c r="H1087" s="47" t="n"/>
      <c r="I1087" s="43">
        <f>IF($B1087="","",N($G1087)-N($H1087))</f>
        <v/>
      </c>
    </row>
    <row r="1088">
      <c r="A1088" s="39">
        <f>IF($B1088="","",COUNTA($B$4:$B1088))</f>
        <v/>
      </c>
      <c r="B1088" s="40" t="n"/>
      <c r="C1088" s="41" t="n"/>
      <c r="D1088" s="41" t="n"/>
      <c r="E1088" s="41" t="n"/>
      <c r="F1088" s="50" t="n"/>
      <c r="G1088" s="42" t="n"/>
      <c r="H1088" s="42" t="n"/>
      <c r="I1088" s="43">
        <f>IF($B1088="","",N($G1088)-N($H1088))</f>
        <v/>
      </c>
    </row>
    <row r="1089">
      <c r="A1089" s="39">
        <f>IF($B1089="","",COUNTA($B$4:$B1089))</f>
        <v/>
      </c>
      <c r="B1089" s="45" t="n"/>
      <c r="C1089" s="46" t="n"/>
      <c r="D1089" s="46" t="n"/>
      <c r="E1089" s="46" t="n"/>
      <c r="F1089" s="51" t="n"/>
      <c r="G1089" s="47" t="n"/>
      <c r="H1089" s="47" t="n"/>
      <c r="I1089" s="43">
        <f>IF($B1089="","",N($G1089)-N($H1089))</f>
        <v/>
      </c>
    </row>
    <row r="1090">
      <c r="A1090" s="39">
        <f>IF($B1090="","",COUNTA($B$4:$B1090))</f>
        <v/>
      </c>
      <c r="B1090" s="40" t="n"/>
      <c r="C1090" s="41" t="n"/>
      <c r="D1090" s="41" t="n"/>
      <c r="E1090" s="41" t="n"/>
      <c r="F1090" s="50" t="n"/>
      <c r="G1090" s="42" t="n"/>
      <c r="H1090" s="42" t="n"/>
      <c r="I1090" s="43">
        <f>IF($B1090="","",N($G1090)-N($H1090))</f>
        <v/>
      </c>
    </row>
    <row r="1091">
      <c r="A1091" s="39">
        <f>IF($B1091="","",COUNTA($B$4:$B1091))</f>
        <v/>
      </c>
      <c r="B1091" s="45" t="n"/>
      <c r="C1091" s="46" t="n"/>
      <c r="D1091" s="46" t="n"/>
      <c r="E1091" s="46" t="n"/>
      <c r="F1091" s="51" t="n"/>
      <c r="G1091" s="47" t="n"/>
      <c r="H1091" s="47" t="n"/>
      <c r="I1091" s="43">
        <f>IF($B1091="","",N($G1091)-N($H1091))</f>
        <v/>
      </c>
    </row>
    <row r="1092">
      <c r="A1092" s="39">
        <f>IF($B1092="","",COUNTA($B$4:$B1092))</f>
        <v/>
      </c>
      <c r="B1092" s="40" t="n"/>
      <c r="C1092" s="41" t="n"/>
      <c r="D1092" s="41" t="n"/>
      <c r="E1092" s="41" t="n"/>
      <c r="F1092" s="50" t="n"/>
      <c r="G1092" s="42" t="n"/>
      <c r="H1092" s="42" t="n"/>
      <c r="I1092" s="43">
        <f>IF($B1092="","",N($G1092)-N($H1092))</f>
        <v/>
      </c>
    </row>
    <row r="1093">
      <c r="A1093" s="39">
        <f>IF($B1093="","",COUNTA($B$4:$B1093))</f>
        <v/>
      </c>
      <c r="B1093" s="45" t="n"/>
      <c r="C1093" s="46" t="n"/>
      <c r="D1093" s="46" t="n"/>
      <c r="E1093" s="46" t="n"/>
      <c r="F1093" s="51" t="n"/>
      <c r="G1093" s="47" t="n"/>
      <c r="H1093" s="47" t="n"/>
      <c r="I1093" s="43">
        <f>IF($B1093="","",N($G1093)-N($H1093))</f>
        <v/>
      </c>
    </row>
    <row r="1094">
      <c r="A1094" s="39">
        <f>IF($B1094="","",COUNTA($B$4:$B1094))</f>
        <v/>
      </c>
      <c r="B1094" s="40" t="n"/>
      <c r="C1094" s="41" t="n"/>
      <c r="D1094" s="41" t="n"/>
      <c r="E1094" s="41" t="n"/>
      <c r="F1094" s="50" t="n"/>
      <c r="G1094" s="42" t="n"/>
      <c r="H1094" s="42" t="n"/>
      <c r="I1094" s="43">
        <f>IF($B1094="","",N($G1094)-N($H1094))</f>
        <v/>
      </c>
    </row>
    <row r="1095">
      <c r="A1095" s="39">
        <f>IF($B1095="","",COUNTA($B$4:$B1095))</f>
        <v/>
      </c>
      <c r="B1095" s="45" t="n"/>
      <c r="C1095" s="46" t="n"/>
      <c r="D1095" s="46" t="n"/>
      <c r="E1095" s="46" t="n"/>
      <c r="F1095" s="51" t="n"/>
      <c r="G1095" s="47" t="n"/>
      <c r="H1095" s="47" t="n"/>
      <c r="I1095" s="43">
        <f>IF($B1095="","",N($G1095)-N($H1095))</f>
        <v/>
      </c>
    </row>
    <row r="1096">
      <c r="A1096" s="39">
        <f>IF($B1096="","",COUNTA($B$4:$B1096))</f>
        <v/>
      </c>
      <c r="B1096" s="40" t="n"/>
      <c r="C1096" s="41" t="n"/>
      <c r="D1096" s="41" t="n"/>
      <c r="E1096" s="41" t="n"/>
      <c r="F1096" s="50" t="n"/>
      <c r="G1096" s="42" t="n"/>
      <c r="H1096" s="42" t="n"/>
      <c r="I1096" s="43">
        <f>IF($B1096="","",N($G1096)-N($H1096))</f>
        <v/>
      </c>
    </row>
    <row r="1097">
      <c r="A1097" s="39">
        <f>IF($B1097="","",COUNTA($B$4:$B1097))</f>
        <v/>
      </c>
      <c r="B1097" s="45" t="n"/>
      <c r="C1097" s="46" t="n"/>
      <c r="D1097" s="46" t="n"/>
      <c r="E1097" s="46" t="n"/>
      <c r="F1097" s="51" t="n"/>
      <c r="G1097" s="47" t="n"/>
      <c r="H1097" s="47" t="n"/>
      <c r="I1097" s="43">
        <f>IF($B1097="","",N($G1097)-N($H1097))</f>
        <v/>
      </c>
    </row>
    <row r="1098">
      <c r="A1098" s="39">
        <f>IF($B1098="","",COUNTA($B$4:$B1098))</f>
        <v/>
      </c>
      <c r="B1098" s="40" t="n"/>
      <c r="C1098" s="41" t="n"/>
      <c r="D1098" s="41" t="n"/>
      <c r="E1098" s="41" t="n"/>
      <c r="F1098" s="50" t="n"/>
      <c r="G1098" s="42" t="n"/>
      <c r="H1098" s="42" t="n"/>
      <c r="I1098" s="43">
        <f>IF($B1098="","",N($G1098)-N($H1098))</f>
        <v/>
      </c>
    </row>
    <row r="1099">
      <c r="A1099" s="39">
        <f>IF($B1099="","",COUNTA($B$4:$B1099))</f>
        <v/>
      </c>
      <c r="B1099" s="45" t="n"/>
      <c r="C1099" s="46" t="n"/>
      <c r="D1099" s="46" t="n"/>
      <c r="E1099" s="46" t="n"/>
      <c r="F1099" s="51" t="n"/>
      <c r="G1099" s="47" t="n"/>
      <c r="H1099" s="47" t="n"/>
      <c r="I1099" s="43">
        <f>IF($B1099="","",N($G1099)-N($H1099))</f>
        <v/>
      </c>
    </row>
    <row r="1100">
      <c r="A1100" s="39">
        <f>IF($B1100="","",COUNTA($B$4:$B1100))</f>
        <v/>
      </c>
      <c r="B1100" s="40" t="n"/>
      <c r="C1100" s="41" t="n"/>
      <c r="D1100" s="41" t="n"/>
      <c r="E1100" s="41" t="n"/>
      <c r="F1100" s="50" t="n"/>
      <c r="G1100" s="42" t="n"/>
      <c r="H1100" s="42" t="n"/>
      <c r="I1100" s="43">
        <f>IF($B1100="","",N($G1100)-N($H1100))</f>
        <v/>
      </c>
    </row>
    <row r="1101">
      <c r="A1101" s="39">
        <f>IF($B1101="","",COUNTA($B$4:$B1101))</f>
        <v/>
      </c>
      <c r="B1101" s="45" t="n"/>
      <c r="C1101" s="46" t="n"/>
      <c r="D1101" s="46" t="n"/>
      <c r="E1101" s="46" t="n"/>
      <c r="F1101" s="51" t="n"/>
      <c r="G1101" s="47" t="n"/>
      <c r="H1101" s="47" t="n"/>
      <c r="I1101" s="43">
        <f>IF($B1101="","",N($G1101)-N($H1101))</f>
        <v/>
      </c>
    </row>
    <row r="1102">
      <c r="A1102" s="39">
        <f>IF($B1102="","",COUNTA($B$4:$B1102))</f>
        <v/>
      </c>
      <c r="B1102" s="40" t="n"/>
      <c r="C1102" s="41" t="n"/>
      <c r="D1102" s="41" t="n"/>
      <c r="E1102" s="41" t="n"/>
      <c r="F1102" s="50" t="n"/>
      <c r="G1102" s="42" t="n"/>
      <c r="H1102" s="42" t="n"/>
      <c r="I1102" s="43">
        <f>IF($B1102="","",N($G1102)-N($H1102))</f>
        <v/>
      </c>
    </row>
    <row r="1103">
      <c r="A1103" s="39">
        <f>IF($B1103="","",COUNTA($B$4:$B1103))</f>
        <v/>
      </c>
      <c r="B1103" s="45" t="n"/>
      <c r="C1103" s="46" t="n"/>
      <c r="D1103" s="46" t="n"/>
      <c r="E1103" s="46" t="n"/>
      <c r="F1103" s="51" t="n"/>
      <c r="G1103" s="47" t="n"/>
      <c r="H1103" s="47" t="n"/>
      <c r="I1103" s="43">
        <f>IF($B1103="","",N($G1103)-N($H1103))</f>
        <v/>
      </c>
    </row>
    <row r="1104">
      <c r="A1104" s="39">
        <f>IF($B1104="","",COUNTA($B$4:$B1104))</f>
        <v/>
      </c>
      <c r="B1104" s="40" t="n"/>
      <c r="C1104" s="41" t="n"/>
      <c r="D1104" s="41" t="n"/>
      <c r="E1104" s="41" t="n"/>
      <c r="F1104" s="50" t="n"/>
      <c r="G1104" s="42" t="n"/>
      <c r="H1104" s="42" t="n"/>
      <c r="I1104" s="43">
        <f>IF($B1104="","",N($G1104)-N($H1104))</f>
        <v/>
      </c>
    </row>
    <row r="1105">
      <c r="A1105" s="39">
        <f>IF($B1105="","",COUNTA($B$4:$B1105))</f>
        <v/>
      </c>
      <c r="B1105" s="45" t="n"/>
      <c r="C1105" s="46" t="n"/>
      <c r="D1105" s="46" t="n"/>
      <c r="E1105" s="46" t="n"/>
      <c r="F1105" s="51" t="n"/>
      <c r="G1105" s="47" t="n"/>
      <c r="H1105" s="47" t="n"/>
      <c r="I1105" s="43">
        <f>IF($B1105="","",N($G1105)-N($H1105))</f>
        <v/>
      </c>
    </row>
    <row r="1106">
      <c r="A1106" s="39">
        <f>IF($B1106="","",COUNTA($B$4:$B1106))</f>
        <v/>
      </c>
      <c r="B1106" s="40" t="n"/>
      <c r="C1106" s="41" t="n"/>
      <c r="D1106" s="41" t="n"/>
      <c r="E1106" s="41" t="n"/>
      <c r="F1106" s="50" t="n"/>
      <c r="G1106" s="42" t="n"/>
      <c r="H1106" s="42" t="n"/>
      <c r="I1106" s="43">
        <f>IF($B1106="","",N($G1106)-N($H1106))</f>
        <v/>
      </c>
    </row>
    <row r="1107">
      <c r="A1107" s="39">
        <f>IF($B1107="","",COUNTA($B$4:$B1107))</f>
        <v/>
      </c>
      <c r="B1107" s="45" t="n"/>
      <c r="C1107" s="46" t="n"/>
      <c r="D1107" s="46" t="n"/>
      <c r="E1107" s="46" t="n"/>
      <c r="F1107" s="51" t="n"/>
      <c r="G1107" s="47" t="n"/>
      <c r="H1107" s="47" t="n"/>
      <c r="I1107" s="43">
        <f>IF($B1107="","",N($G1107)-N($H1107))</f>
        <v/>
      </c>
    </row>
    <row r="1108">
      <c r="A1108" s="39">
        <f>IF($B1108="","",COUNTA($B$4:$B1108))</f>
        <v/>
      </c>
      <c r="B1108" s="40" t="n"/>
      <c r="C1108" s="41" t="n"/>
      <c r="D1108" s="41" t="n"/>
      <c r="E1108" s="41" t="n"/>
      <c r="F1108" s="50" t="n"/>
      <c r="G1108" s="42" t="n"/>
      <c r="H1108" s="42" t="n"/>
      <c r="I1108" s="43">
        <f>IF($B1108="","",N($G1108)-N($H1108))</f>
        <v/>
      </c>
    </row>
    <row r="1109">
      <c r="A1109" s="39">
        <f>IF($B1109="","",COUNTA($B$4:$B1109))</f>
        <v/>
      </c>
      <c r="B1109" s="45" t="n"/>
      <c r="C1109" s="46" t="n"/>
      <c r="D1109" s="46" t="n"/>
      <c r="E1109" s="46" t="n"/>
      <c r="F1109" s="51" t="n"/>
      <c r="G1109" s="47" t="n"/>
      <c r="H1109" s="47" t="n"/>
      <c r="I1109" s="43">
        <f>IF($B1109="","",N($G1109)-N($H1109))</f>
        <v/>
      </c>
    </row>
    <row r="1110">
      <c r="A1110" s="39">
        <f>IF($B1110="","",COUNTA($B$4:$B1110))</f>
        <v/>
      </c>
      <c r="B1110" s="40" t="n"/>
      <c r="C1110" s="41" t="n"/>
      <c r="D1110" s="41" t="n"/>
      <c r="E1110" s="41" t="n"/>
      <c r="F1110" s="50" t="n"/>
      <c r="G1110" s="42" t="n"/>
      <c r="H1110" s="42" t="n"/>
      <c r="I1110" s="43">
        <f>IF($B1110="","",N($G1110)-N($H1110))</f>
        <v/>
      </c>
    </row>
    <row r="1111">
      <c r="A1111" s="39">
        <f>IF($B1111="","",COUNTA($B$4:$B1111))</f>
        <v/>
      </c>
      <c r="B1111" s="45" t="n"/>
      <c r="C1111" s="46" t="n"/>
      <c r="D1111" s="46" t="n"/>
      <c r="E1111" s="46" t="n"/>
      <c r="F1111" s="51" t="n"/>
      <c r="G1111" s="47" t="n"/>
      <c r="H1111" s="47" t="n"/>
      <c r="I1111" s="43">
        <f>IF($B1111="","",N($G1111)-N($H1111))</f>
        <v/>
      </c>
    </row>
    <row r="1112">
      <c r="A1112" s="39">
        <f>IF($B1112="","",COUNTA($B$4:$B1112))</f>
        <v/>
      </c>
      <c r="B1112" s="40" t="n"/>
      <c r="C1112" s="41" t="n"/>
      <c r="D1112" s="41" t="n"/>
      <c r="E1112" s="41" t="n"/>
      <c r="F1112" s="50" t="n"/>
      <c r="G1112" s="42" t="n"/>
      <c r="H1112" s="42" t="n"/>
      <c r="I1112" s="43">
        <f>IF($B1112="","",N($G1112)-N($H1112))</f>
        <v/>
      </c>
    </row>
    <row r="1113">
      <c r="A1113" s="39">
        <f>IF($B1113="","",COUNTA($B$4:$B1113))</f>
        <v/>
      </c>
      <c r="B1113" s="45" t="n"/>
      <c r="C1113" s="46" t="n"/>
      <c r="D1113" s="46" t="n"/>
      <c r="E1113" s="46" t="n"/>
      <c r="F1113" s="51" t="n"/>
      <c r="G1113" s="47" t="n"/>
      <c r="H1113" s="47" t="n"/>
      <c r="I1113" s="43">
        <f>IF($B1113="","",N($G1113)-N($H1113))</f>
        <v/>
      </c>
    </row>
    <row r="1114">
      <c r="A1114" s="39">
        <f>IF($B1114="","",COUNTA($B$4:$B1114))</f>
        <v/>
      </c>
      <c r="B1114" s="40" t="n"/>
      <c r="C1114" s="41" t="n"/>
      <c r="D1114" s="41" t="n"/>
      <c r="E1114" s="41" t="n"/>
      <c r="F1114" s="50" t="n"/>
      <c r="G1114" s="42" t="n"/>
      <c r="H1114" s="42" t="n"/>
      <c r="I1114" s="43">
        <f>IF($B1114="","",N($G1114)-N($H1114))</f>
        <v/>
      </c>
    </row>
    <row r="1115">
      <c r="A1115" s="39">
        <f>IF($B1115="","",COUNTA($B$4:$B1115))</f>
        <v/>
      </c>
      <c r="B1115" s="45" t="n"/>
      <c r="C1115" s="46" t="n"/>
      <c r="D1115" s="46" t="n"/>
      <c r="E1115" s="46" t="n"/>
      <c r="F1115" s="51" t="n"/>
      <c r="G1115" s="47" t="n"/>
      <c r="H1115" s="47" t="n"/>
      <c r="I1115" s="43">
        <f>IF($B1115="","",N($G1115)-N($H1115))</f>
        <v/>
      </c>
    </row>
    <row r="1116">
      <c r="A1116" s="39">
        <f>IF($B1116="","",COUNTA($B$4:$B1116))</f>
        <v/>
      </c>
      <c r="B1116" s="40" t="n"/>
      <c r="C1116" s="41" t="n"/>
      <c r="D1116" s="41" t="n"/>
      <c r="E1116" s="41" t="n"/>
      <c r="F1116" s="50" t="n"/>
      <c r="G1116" s="42" t="n"/>
      <c r="H1116" s="42" t="n"/>
      <c r="I1116" s="43">
        <f>IF($B1116="","",N($G1116)-N($H1116))</f>
        <v/>
      </c>
    </row>
    <row r="1117">
      <c r="A1117" s="39">
        <f>IF($B1117="","",COUNTA($B$4:$B1117))</f>
        <v/>
      </c>
      <c r="B1117" s="45" t="n"/>
      <c r="C1117" s="46" t="n"/>
      <c r="D1117" s="46" t="n"/>
      <c r="E1117" s="46" t="n"/>
      <c r="F1117" s="51" t="n"/>
      <c r="G1117" s="47" t="n"/>
      <c r="H1117" s="47" t="n"/>
      <c r="I1117" s="43">
        <f>IF($B1117="","",N($G1117)-N($H1117))</f>
        <v/>
      </c>
    </row>
    <row r="1118">
      <c r="A1118" s="39">
        <f>IF($B1118="","",COUNTA($B$4:$B1118))</f>
        <v/>
      </c>
      <c r="B1118" s="40" t="n"/>
      <c r="C1118" s="41" t="n"/>
      <c r="D1118" s="41" t="n"/>
      <c r="E1118" s="41" t="n"/>
      <c r="F1118" s="50" t="n"/>
      <c r="G1118" s="42" t="n"/>
      <c r="H1118" s="42" t="n"/>
      <c r="I1118" s="43">
        <f>IF($B1118="","",N($G1118)-N($H1118))</f>
        <v/>
      </c>
    </row>
    <row r="1119">
      <c r="A1119" s="39">
        <f>IF($B1119="","",COUNTA($B$4:$B1119))</f>
        <v/>
      </c>
      <c r="B1119" s="45" t="n"/>
      <c r="C1119" s="46" t="n"/>
      <c r="D1119" s="46" t="n"/>
      <c r="E1119" s="46" t="n"/>
      <c r="F1119" s="51" t="n"/>
      <c r="G1119" s="47" t="n"/>
      <c r="H1119" s="47" t="n"/>
      <c r="I1119" s="43">
        <f>IF($B1119="","",N($G1119)-N($H1119))</f>
        <v/>
      </c>
    </row>
    <row r="1120">
      <c r="A1120" s="39">
        <f>IF($B1120="","",COUNTA($B$4:$B1120))</f>
        <v/>
      </c>
      <c r="B1120" s="40" t="n"/>
      <c r="C1120" s="41" t="n"/>
      <c r="D1120" s="41" t="n"/>
      <c r="E1120" s="41" t="n"/>
      <c r="F1120" s="50" t="n"/>
      <c r="G1120" s="42" t="n"/>
      <c r="H1120" s="42" t="n"/>
      <c r="I1120" s="43">
        <f>IF($B1120="","",N($G1120)-N($H1120))</f>
        <v/>
      </c>
    </row>
    <row r="1121">
      <c r="A1121" s="39">
        <f>IF($B1121="","",COUNTA($B$4:$B1121))</f>
        <v/>
      </c>
      <c r="B1121" s="45" t="n"/>
      <c r="C1121" s="46" t="n"/>
      <c r="D1121" s="46" t="n"/>
      <c r="E1121" s="46" t="n"/>
      <c r="F1121" s="51" t="n"/>
      <c r="G1121" s="47" t="n"/>
      <c r="H1121" s="47" t="n"/>
      <c r="I1121" s="43">
        <f>IF($B1121="","",N($G1121)-N($H1121))</f>
        <v/>
      </c>
    </row>
    <row r="1122">
      <c r="A1122" s="39">
        <f>IF($B1122="","",COUNTA($B$4:$B1122))</f>
        <v/>
      </c>
      <c r="B1122" s="40" t="n"/>
      <c r="C1122" s="41" t="n"/>
      <c r="D1122" s="41" t="n"/>
      <c r="E1122" s="41" t="n"/>
      <c r="F1122" s="50" t="n"/>
      <c r="G1122" s="42" t="n"/>
      <c r="H1122" s="42" t="n"/>
      <c r="I1122" s="43">
        <f>IF($B1122="","",N($G1122)-N($H1122))</f>
        <v/>
      </c>
    </row>
    <row r="1123">
      <c r="A1123" s="39">
        <f>IF($B1123="","",COUNTA($B$4:$B1123))</f>
        <v/>
      </c>
      <c r="B1123" s="45" t="n"/>
      <c r="C1123" s="46" t="n"/>
      <c r="D1123" s="46" t="n"/>
      <c r="E1123" s="46" t="n"/>
      <c r="F1123" s="51" t="n"/>
      <c r="G1123" s="47" t="n"/>
      <c r="H1123" s="47" t="n"/>
      <c r="I1123" s="43">
        <f>IF($B1123="","",N($G1123)-N($H1123))</f>
        <v/>
      </c>
    </row>
    <row r="1124">
      <c r="A1124" s="39">
        <f>IF($B1124="","",COUNTA($B$4:$B1124))</f>
        <v/>
      </c>
      <c r="B1124" s="40" t="n"/>
      <c r="C1124" s="41" t="n"/>
      <c r="D1124" s="41" t="n"/>
      <c r="E1124" s="41" t="n"/>
      <c r="F1124" s="50" t="n"/>
      <c r="G1124" s="42" t="n"/>
      <c r="H1124" s="42" t="n"/>
      <c r="I1124" s="43">
        <f>IF($B1124="","",N($G1124)-N($H1124))</f>
        <v/>
      </c>
    </row>
    <row r="1125">
      <c r="A1125" s="39">
        <f>IF($B1125="","",COUNTA($B$4:$B1125))</f>
        <v/>
      </c>
      <c r="B1125" s="45" t="n"/>
      <c r="C1125" s="46" t="n"/>
      <c r="D1125" s="46" t="n"/>
      <c r="E1125" s="46" t="n"/>
      <c r="F1125" s="51" t="n"/>
      <c r="G1125" s="47" t="n"/>
      <c r="H1125" s="47" t="n"/>
      <c r="I1125" s="43">
        <f>IF($B1125="","",N($G1125)-N($H1125))</f>
        <v/>
      </c>
    </row>
    <row r="1126">
      <c r="A1126" s="39">
        <f>IF($B1126="","",COUNTA($B$4:$B1126))</f>
        <v/>
      </c>
      <c r="B1126" s="40" t="n"/>
      <c r="C1126" s="41" t="n"/>
      <c r="D1126" s="41" t="n"/>
      <c r="E1126" s="41" t="n"/>
      <c r="F1126" s="50" t="n"/>
      <c r="G1126" s="42" t="n"/>
      <c r="H1126" s="42" t="n"/>
      <c r="I1126" s="43">
        <f>IF($B1126="","",N($G1126)-N($H1126))</f>
        <v/>
      </c>
    </row>
    <row r="1127">
      <c r="A1127" s="39">
        <f>IF($B1127="","",COUNTA($B$4:$B1127))</f>
        <v/>
      </c>
      <c r="B1127" s="45" t="n"/>
      <c r="C1127" s="46" t="n"/>
      <c r="D1127" s="46" t="n"/>
      <c r="E1127" s="46" t="n"/>
      <c r="F1127" s="51" t="n"/>
      <c r="G1127" s="47" t="n"/>
      <c r="H1127" s="47" t="n"/>
      <c r="I1127" s="43">
        <f>IF($B1127="","",N($G1127)-N($H1127))</f>
        <v/>
      </c>
    </row>
    <row r="1128">
      <c r="A1128" s="39">
        <f>IF($B1128="","",COUNTA($B$4:$B1128))</f>
        <v/>
      </c>
      <c r="B1128" s="40" t="n"/>
      <c r="C1128" s="41" t="n"/>
      <c r="D1128" s="41" t="n"/>
      <c r="E1128" s="41" t="n"/>
      <c r="F1128" s="50" t="n"/>
      <c r="G1128" s="42" t="n"/>
      <c r="H1128" s="42" t="n"/>
      <c r="I1128" s="43">
        <f>IF($B1128="","",N($G1128)-N($H1128))</f>
        <v/>
      </c>
    </row>
    <row r="1129">
      <c r="A1129" s="39">
        <f>IF($B1129="","",COUNTA($B$4:$B1129))</f>
        <v/>
      </c>
      <c r="B1129" s="45" t="n"/>
      <c r="C1129" s="46" t="n"/>
      <c r="D1129" s="46" t="n"/>
      <c r="E1129" s="46" t="n"/>
      <c r="F1129" s="51" t="n"/>
      <c r="G1129" s="47" t="n"/>
      <c r="H1129" s="47" t="n"/>
      <c r="I1129" s="43">
        <f>IF($B1129="","",N($G1129)-N($H1129))</f>
        <v/>
      </c>
    </row>
    <row r="1130">
      <c r="A1130" s="39">
        <f>IF($B1130="","",COUNTA($B$4:$B1130))</f>
        <v/>
      </c>
      <c r="B1130" s="40" t="n"/>
      <c r="C1130" s="41" t="n"/>
      <c r="D1130" s="41" t="n"/>
      <c r="E1130" s="41" t="n"/>
      <c r="F1130" s="50" t="n"/>
      <c r="G1130" s="42" t="n"/>
      <c r="H1130" s="42" t="n"/>
      <c r="I1130" s="43">
        <f>IF($B1130="","",N($G1130)-N($H1130))</f>
        <v/>
      </c>
    </row>
    <row r="1131">
      <c r="A1131" s="39">
        <f>IF($B1131="","",COUNTA($B$4:$B1131))</f>
        <v/>
      </c>
      <c r="B1131" s="45" t="n"/>
      <c r="C1131" s="46" t="n"/>
      <c r="D1131" s="46" t="n"/>
      <c r="E1131" s="46" t="n"/>
      <c r="F1131" s="51" t="n"/>
      <c r="G1131" s="47" t="n"/>
      <c r="H1131" s="47" t="n"/>
      <c r="I1131" s="43">
        <f>IF($B1131="","",N($G1131)-N($H1131))</f>
        <v/>
      </c>
    </row>
    <row r="1132">
      <c r="A1132" s="39">
        <f>IF($B1132="","",COUNTA($B$4:$B1132))</f>
        <v/>
      </c>
      <c r="B1132" s="40" t="n"/>
      <c r="C1132" s="41" t="n"/>
      <c r="D1132" s="41" t="n"/>
      <c r="E1132" s="41" t="n"/>
      <c r="F1132" s="50" t="n"/>
      <c r="G1132" s="42" t="n"/>
      <c r="H1132" s="42" t="n"/>
      <c r="I1132" s="43">
        <f>IF($B1132="","",N($G1132)-N($H1132))</f>
        <v/>
      </c>
    </row>
    <row r="1133">
      <c r="A1133" s="39">
        <f>IF($B1133="","",COUNTA($B$4:$B1133))</f>
        <v/>
      </c>
      <c r="B1133" s="45" t="n"/>
      <c r="C1133" s="46" t="n"/>
      <c r="D1133" s="46" t="n"/>
      <c r="E1133" s="46" t="n"/>
      <c r="F1133" s="51" t="n"/>
      <c r="G1133" s="47" t="n"/>
      <c r="H1133" s="47" t="n"/>
      <c r="I1133" s="43">
        <f>IF($B1133="","",N($G1133)-N($H1133))</f>
        <v/>
      </c>
    </row>
    <row r="1134">
      <c r="A1134" s="39">
        <f>IF($B1134="","",COUNTA($B$4:$B1134))</f>
        <v/>
      </c>
      <c r="B1134" s="40" t="n"/>
      <c r="C1134" s="41" t="n"/>
      <c r="D1134" s="41" t="n"/>
      <c r="E1134" s="41" t="n"/>
      <c r="F1134" s="50" t="n"/>
      <c r="G1134" s="42" t="n"/>
      <c r="H1134" s="42" t="n"/>
      <c r="I1134" s="43">
        <f>IF($B1134="","",N($G1134)-N($H1134))</f>
        <v/>
      </c>
    </row>
    <row r="1135">
      <c r="A1135" s="39">
        <f>IF($B1135="","",COUNTA($B$4:$B1135))</f>
        <v/>
      </c>
      <c r="B1135" s="45" t="n"/>
      <c r="C1135" s="46" t="n"/>
      <c r="D1135" s="46" t="n"/>
      <c r="E1135" s="46" t="n"/>
      <c r="F1135" s="51" t="n"/>
      <c r="G1135" s="47" t="n"/>
      <c r="H1135" s="47" t="n"/>
      <c r="I1135" s="43">
        <f>IF($B1135="","",N($G1135)-N($H1135))</f>
        <v/>
      </c>
    </row>
    <row r="1136">
      <c r="A1136" s="39">
        <f>IF($B1136="","",COUNTA($B$4:$B1136))</f>
        <v/>
      </c>
      <c r="B1136" s="40" t="n"/>
      <c r="C1136" s="41" t="n"/>
      <c r="D1136" s="41" t="n"/>
      <c r="E1136" s="41" t="n"/>
      <c r="F1136" s="50" t="n"/>
      <c r="G1136" s="42" t="n"/>
      <c r="H1136" s="42" t="n"/>
      <c r="I1136" s="43">
        <f>IF($B1136="","",N($G1136)-N($H1136))</f>
        <v/>
      </c>
    </row>
    <row r="1137">
      <c r="A1137" s="39">
        <f>IF($B1137="","",COUNTA($B$4:$B1137))</f>
        <v/>
      </c>
      <c r="B1137" s="45" t="n"/>
      <c r="C1137" s="46" t="n"/>
      <c r="D1137" s="46" t="n"/>
      <c r="E1137" s="46" t="n"/>
      <c r="F1137" s="51" t="n"/>
      <c r="G1137" s="47" t="n"/>
      <c r="H1137" s="47" t="n"/>
      <c r="I1137" s="43">
        <f>IF($B1137="","",N($G1137)-N($H1137))</f>
        <v/>
      </c>
    </row>
    <row r="1138">
      <c r="A1138" s="39">
        <f>IF($B1138="","",COUNTA($B$4:$B1138))</f>
        <v/>
      </c>
      <c r="B1138" s="40" t="n"/>
      <c r="C1138" s="41" t="n"/>
      <c r="D1138" s="41" t="n"/>
      <c r="E1138" s="41" t="n"/>
      <c r="F1138" s="50" t="n"/>
      <c r="G1138" s="42" t="n"/>
      <c r="H1138" s="42" t="n"/>
      <c r="I1138" s="43">
        <f>IF($B1138="","",N($G1138)-N($H1138))</f>
        <v/>
      </c>
    </row>
    <row r="1139">
      <c r="A1139" s="39">
        <f>IF($B1139="","",COUNTA($B$4:$B1139))</f>
        <v/>
      </c>
      <c r="B1139" s="45" t="n"/>
      <c r="C1139" s="46" t="n"/>
      <c r="D1139" s="46" t="n"/>
      <c r="E1139" s="46" t="n"/>
      <c r="F1139" s="51" t="n"/>
      <c r="G1139" s="47" t="n"/>
      <c r="H1139" s="47" t="n"/>
      <c r="I1139" s="43">
        <f>IF($B1139="","",N($G1139)-N($H1139))</f>
        <v/>
      </c>
    </row>
    <row r="1140">
      <c r="A1140" s="39">
        <f>IF($B1140="","",COUNTA($B$4:$B1140))</f>
        <v/>
      </c>
      <c r="B1140" s="40" t="n"/>
      <c r="C1140" s="41" t="n"/>
      <c r="D1140" s="41" t="n"/>
      <c r="E1140" s="41" t="n"/>
      <c r="F1140" s="50" t="n"/>
      <c r="G1140" s="42" t="n"/>
      <c r="H1140" s="42" t="n"/>
      <c r="I1140" s="43">
        <f>IF($B1140="","",N($G1140)-N($H1140))</f>
        <v/>
      </c>
    </row>
    <row r="1141">
      <c r="A1141" s="39">
        <f>IF($B1141="","",COUNTA($B$4:$B1141))</f>
        <v/>
      </c>
      <c r="B1141" s="45" t="n"/>
      <c r="C1141" s="46" t="n"/>
      <c r="D1141" s="46" t="n"/>
      <c r="E1141" s="46" t="n"/>
      <c r="F1141" s="51" t="n"/>
      <c r="G1141" s="47" t="n"/>
      <c r="H1141" s="47" t="n"/>
      <c r="I1141" s="43">
        <f>IF($B1141="","",N($G1141)-N($H1141))</f>
        <v/>
      </c>
    </row>
    <row r="1142">
      <c r="A1142" s="39">
        <f>IF($B1142="","",COUNTA($B$4:$B1142))</f>
        <v/>
      </c>
      <c r="B1142" s="40" t="n"/>
      <c r="C1142" s="41" t="n"/>
      <c r="D1142" s="41" t="n"/>
      <c r="E1142" s="41" t="n"/>
      <c r="F1142" s="50" t="n"/>
      <c r="G1142" s="42" t="n"/>
      <c r="H1142" s="42" t="n"/>
      <c r="I1142" s="43">
        <f>IF($B1142="","",N($G1142)-N($H1142))</f>
        <v/>
      </c>
    </row>
    <row r="1143">
      <c r="A1143" s="39">
        <f>IF($B1143="","",COUNTA($B$4:$B1143))</f>
        <v/>
      </c>
      <c r="B1143" s="45" t="n"/>
      <c r="C1143" s="46" t="n"/>
      <c r="D1143" s="46" t="n"/>
      <c r="E1143" s="46" t="n"/>
      <c r="F1143" s="51" t="n"/>
      <c r="G1143" s="47" t="n"/>
      <c r="H1143" s="47" t="n"/>
      <c r="I1143" s="43">
        <f>IF($B1143="","",N($G1143)-N($H1143))</f>
        <v/>
      </c>
    </row>
    <row r="1144">
      <c r="A1144" s="39">
        <f>IF($B1144="","",COUNTA($B$4:$B1144))</f>
        <v/>
      </c>
      <c r="B1144" s="40" t="n"/>
      <c r="C1144" s="41" t="n"/>
      <c r="D1144" s="41" t="n"/>
      <c r="E1144" s="41" t="n"/>
      <c r="F1144" s="50" t="n"/>
      <c r="G1144" s="42" t="n"/>
      <c r="H1144" s="42" t="n"/>
      <c r="I1144" s="43">
        <f>IF($B1144="","",N($G1144)-N($H1144))</f>
        <v/>
      </c>
    </row>
    <row r="1145">
      <c r="A1145" s="39">
        <f>IF($B1145="","",COUNTA($B$4:$B1145))</f>
        <v/>
      </c>
      <c r="B1145" s="45" t="n"/>
      <c r="C1145" s="46" t="n"/>
      <c r="D1145" s="46" t="n"/>
      <c r="E1145" s="46" t="n"/>
      <c r="F1145" s="51" t="n"/>
      <c r="G1145" s="47" t="n"/>
      <c r="H1145" s="47" t="n"/>
      <c r="I1145" s="43">
        <f>IF($B1145="","",N($G1145)-N($H1145))</f>
        <v/>
      </c>
    </row>
    <row r="1146">
      <c r="A1146" s="39">
        <f>IF($B1146="","",COUNTA($B$4:$B1146))</f>
        <v/>
      </c>
      <c r="B1146" s="40" t="n"/>
      <c r="C1146" s="41" t="n"/>
      <c r="D1146" s="41" t="n"/>
      <c r="E1146" s="41" t="n"/>
      <c r="F1146" s="50" t="n"/>
      <c r="G1146" s="42" t="n"/>
      <c r="H1146" s="42" t="n"/>
      <c r="I1146" s="43">
        <f>IF($B1146="","",N($G1146)-N($H1146))</f>
        <v/>
      </c>
    </row>
    <row r="1147">
      <c r="A1147" s="39">
        <f>IF($B1147="","",COUNTA($B$4:$B1147))</f>
        <v/>
      </c>
      <c r="B1147" s="45" t="n"/>
      <c r="C1147" s="46" t="n"/>
      <c r="D1147" s="46" t="n"/>
      <c r="E1147" s="46" t="n"/>
      <c r="F1147" s="51" t="n"/>
      <c r="G1147" s="47" t="n"/>
      <c r="H1147" s="47" t="n"/>
      <c r="I1147" s="43">
        <f>IF($B1147="","",N($G1147)-N($H1147))</f>
        <v/>
      </c>
    </row>
    <row r="1148">
      <c r="A1148" s="39">
        <f>IF($B1148="","",COUNTA($B$4:$B1148))</f>
        <v/>
      </c>
      <c r="B1148" s="40" t="n"/>
      <c r="C1148" s="41" t="n"/>
      <c r="D1148" s="41" t="n"/>
      <c r="E1148" s="41" t="n"/>
      <c r="F1148" s="50" t="n"/>
      <c r="G1148" s="42" t="n"/>
      <c r="H1148" s="42" t="n"/>
      <c r="I1148" s="43">
        <f>IF($B1148="","",N($G1148)-N($H1148))</f>
        <v/>
      </c>
    </row>
    <row r="1149">
      <c r="A1149" s="39">
        <f>IF($B1149="","",COUNTA($B$4:$B1149))</f>
        <v/>
      </c>
      <c r="B1149" s="45" t="n"/>
      <c r="C1149" s="46" t="n"/>
      <c r="D1149" s="46" t="n"/>
      <c r="E1149" s="46" t="n"/>
      <c r="F1149" s="51" t="n"/>
      <c r="G1149" s="47" t="n"/>
      <c r="H1149" s="47" t="n"/>
      <c r="I1149" s="43">
        <f>IF($B1149="","",N($G1149)-N($H1149))</f>
        <v/>
      </c>
    </row>
    <row r="1150">
      <c r="A1150" s="39">
        <f>IF($B1150="","",COUNTA($B$4:$B1150))</f>
        <v/>
      </c>
      <c r="B1150" s="40" t="n"/>
      <c r="C1150" s="41" t="n"/>
      <c r="D1150" s="41" t="n"/>
      <c r="E1150" s="41" t="n"/>
      <c r="F1150" s="50" t="n"/>
      <c r="G1150" s="42" t="n"/>
      <c r="H1150" s="42" t="n"/>
      <c r="I1150" s="43">
        <f>IF($B1150="","",N($G1150)-N($H1150))</f>
        <v/>
      </c>
    </row>
    <row r="1151">
      <c r="A1151" s="39">
        <f>IF($B1151="","",COUNTA($B$4:$B1151))</f>
        <v/>
      </c>
      <c r="B1151" s="45" t="n"/>
      <c r="C1151" s="46" t="n"/>
      <c r="D1151" s="46" t="n"/>
      <c r="E1151" s="46" t="n"/>
      <c r="F1151" s="51" t="n"/>
      <c r="G1151" s="47" t="n"/>
      <c r="H1151" s="47" t="n"/>
      <c r="I1151" s="43">
        <f>IF($B1151="","",N($G1151)-N($H1151))</f>
        <v/>
      </c>
    </row>
    <row r="1152">
      <c r="A1152" s="39">
        <f>IF($B1152="","",COUNTA($B$4:$B1152))</f>
        <v/>
      </c>
      <c r="B1152" s="40" t="n"/>
      <c r="C1152" s="41" t="n"/>
      <c r="D1152" s="41" t="n"/>
      <c r="E1152" s="41" t="n"/>
      <c r="F1152" s="50" t="n"/>
      <c r="G1152" s="42" t="n"/>
      <c r="H1152" s="42" t="n"/>
      <c r="I1152" s="43">
        <f>IF($B1152="","",N($G1152)-N($H1152))</f>
        <v/>
      </c>
    </row>
    <row r="1153">
      <c r="A1153" s="39">
        <f>IF($B1153="","",COUNTA($B$4:$B1153))</f>
        <v/>
      </c>
      <c r="B1153" s="45" t="n"/>
      <c r="C1153" s="46" t="n"/>
      <c r="D1153" s="46" t="n"/>
      <c r="E1153" s="46" t="n"/>
      <c r="F1153" s="51" t="n"/>
      <c r="G1153" s="47" t="n"/>
      <c r="H1153" s="47" t="n"/>
      <c r="I1153" s="43">
        <f>IF($B1153="","",N($G1153)-N($H1153))</f>
        <v/>
      </c>
    </row>
    <row r="1154">
      <c r="A1154" s="39">
        <f>IF($B1154="","",COUNTA($B$4:$B1154))</f>
        <v/>
      </c>
      <c r="B1154" s="40" t="n"/>
      <c r="C1154" s="41" t="n"/>
      <c r="D1154" s="41" t="n"/>
      <c r="E1154" s="41" t="n"/>
      <c r="F1154" s="50" t="n"/>
      <c r="G1154" s="42" t="n"/>
      <c r="H1154" s="42" t="n"/>
      <c r="I1154" s="43">
        <f>IF($B1154="","",N($G1154)-N($H1154))</f>
        <v/>
      </c>
    </row>
    <row r="1155">
      <c r="A1155" s="39">
        <f>IF($B1155="","",COUNTA($B$4:$B1155))</f>
        <v/>
      </c>
      <c r="B1155" s="45" t="n"/>
      <c r="C1155" s="46" t="n"/>
      <c r="D1155" s="46" t="n"/>
      <c r="E1155" s="46" t="n"/>
      <c r="F1155" s="51" t="n"/>
      <c r="G1155" s="47" t="n"/>
      <c r="H1155" s="47" t="n"/>
      <c r="I1155" s="43">
        <f>IF($B1155="","",N($G1155)-N($H1155))</f>
        <v/>
      </c>
    </row>
    <row r="1156">
      <c r="A1156" s="39">
        <f>IF($B1156="","",COUNTA($B$4:$B1156))</f>
        <v/>
      </c>
      <c r="B1156" s="40" t="n"/>
      <c r="C1156" s="41" t="n"/>
      <c r="D1156" s="41" t="n"/>
      <c r="E1156" s="41" t="n"/>
      <c r="F1156" s="50" t="n"/>
      <c r="G1156" s="42" t="n"/>
      <c r="H1156" s="42" t="n"/>
      <c r="I1156" s="43">
        <f>IF($B1156="","",N($G1156)-N($H1156))</f>
        <v/>
      </c>
    </row>
    <row r="1157">
      <c r="A1157" s="39">
        <f>IF($B1157="","",COUNTA($B$4:$B1157))</f>
        <v/>
      </c>
      <c r="B1157" s="45" t="n"/>
      <c r="C1157" s="46" t="n"/>
      <c r="D1157" s="46" t="n"/>
      <c r="E1157" s="46" t="n"/>
      <c r="F1157" s="51" t="n"/>
      <c r="G1157" s="47" t="n"/>
      <c r="H1157" s="47" t="n"/>
      <c r="I1157" s="43">
        <f>IF($B1157="","",N($G1157)-N($H1157))</f>
        <v/>
      </c>
    </row>
    <row r="1158">
      <c r="A1158" s="39">
        <f>IF($B1158="","",COUNTA($B$4:$B1158))</f>
        <v/>
      </c>
      <c r="B1158" s="40" t="n"/>
      <c r="C1158" s="41" t="n"/>
      <c r="D1158" s="41" t="n"/>
      <c r="E1158" s="41" t="n"/>
      <c r="F1158" s="50" t="n"/>
      <c r="G1158" s="42" t="n"/>
      <c r="H1158" s="42" t="n"/>
      <c r="I1158" s="43">
        <f>IF($B1158="","",N($G1158)-N($H1158))</f>
        <v/>
      </c>
    </row>
    <row r="1159">
      <c r="A1159" s="39">
        <f>IF($B1159="","",COUNTA($B$4:$B1159))</f>
        <v/>
      </c>
      <c r="B1159" s="45" t="n"/>
      <c r="C1159" s="46" t="n"/>
      <c r="D1159" s="46" t="n"/>
      <c r="E1159" s="46" t="n"/>
      <c r="F1159" s="51" t="n"/>
      <c r="G1159" s="47" t="n"/>
      <c r="H1159" s="47" t="n"/>
      <c r="I1159" s="43">
        <f>IF($B1159="","",N($G1159)-N($H1159))</f>
        <v/>
      </c>
    </row>
    <row r="1160">
      <c r="A1160" s="39">
        <f>IF($B1160="","",COUNTA($B$4:$B1160))</f>
        <v/>
      </c>
      <c r="B1160" s="40" t="n"/>
      <c r="C1160" s="41" t="n"/>
      <c r="D1160" s="41" t="n"/>
      <c r="E1160" s="41" t="n"/>
      <c r="F1160" s="50" t="n"/>
      <c r="G1160" s="42" t="n"/>
      <c r="H1160" s="42" t="n"/>
      <c r="I1160" s="43">
        <f>IF($B1160="","",N($G1160)-N($H1160))</f>
        <v/>
      </c>
    </row>
    <row r="1161">
      <c r="A1161" s="39">
        <f>IF($B1161="","",COUNTA($B$4:$B1161))</f>
        <v/>
      </c>
      <c r="B1161" s="45" t="n"/>
      <c r="C1161" s="46" t="n"/>
      <c r="D1161" s="46" t="n"/>
      <c r="E1161" s="46" t="n"/>
      <c r="F1161" s="51" t="n"/>
      <c r="G1161" s="47" t="n"/>
      <c r="H1161" s="47" t="n"/>
      <c r="I1161" s="43">
        <f>IF($B1161="","",N($G1161)-N($H1161))</f>
        <v/>
      </c>
    </row>
    <row r="1162">
      <c r="A1162" s="39">
        <f>IF($B1162="","",COUNTA($B$4:$B1162))</f>
        <v/>
      </c>
      <c r="B1162" s="40" t="n"/>
      <c r="C1162" s="41" t="n"/>
      <c r="D1162" s="41" t="n"/>
      <c r="E1162" s="41" t="n"/>
      <c r="F1162" s="50" t="n"/>
      <c r="G1162" s="42" t="n"/>
      <c r="H1162" s="42" t="n"/>
      <c r="I1162" s="43">
        <f>IF($B1162="","",N($G1162)-N($H1162))</f>
        <v/>
      </c>
    </row>
    <row r="1163">
      <c r="A1163" s="39">
        <f>IF($B1163="","",COUNTA($B$4:$B1163))</f>
        <v/>
      </c>
      <c r="B1163" s="45" t="n"/>
      <c r="C1163" s="46" t="n"/>
      <c r="D1163" s="46" t="n"/>
      <c r="E1163" s="46" t="n"/>
      <c r="F1163" s="51" t="n"/>
      <c r="G1163" s="47" t="n"/>
      <c r="H1163" s="47" t="n"/>
      <c r="I1163" s="43">
        <f>IF($B1163="","",N($G1163)-N($H1163))</f>
        <v/>
      </c>
    </row>
    <row r="1164">
      <c r="A1164" s="39">
        <f>IF($B1164="","",COUNTA($B$4:$B1164))</f>
        <v/>
      </c>
      <c r="B1164" s="40" t="n"/>
      <c r="C1164" s="41" t="n"/>
      <c r="D1164" s="41" t="n"/>
      <c r="E1164" s="41" t="n"/>
      <c r="F1164" s="50" t="n"/>
      <c r="G1164" s="42" t="n"/>
      <c r="H1164" s="42" t="n"/>
      <c r="I1164" s="43">
        <f>IF($B1164="","",N($G1164)-N($H1164))</f>
        <v/>
      </c>
    </row>
    <row r="1165">
      <c r="A1165" s="39">
        <f>IF($B1165="","",COUNTA($B$4:$B1165))</f>
        <v/>
      </c>
      <c r="B1165" s="45" t="n"/>
      <c r="C1165" s="46" t="n"/>
      <c r="D1165" s="46" t="n"/>
      <c r="E1165" s="46" t="n"/>
      <c r="F1165" s="51" t="n"/>
      <c r="G1165" s="47" t="n"/>
      <c r="H1165" s="47" t="n"/>
      <c r="I1165" s="43">
        <f>IF($B1165="","",N($G1165)-N($H1165))</f>
        <v/>
      </c>
    </row>
    <row r="1166">
      <c r="A1166" s="39">
        <f>IF($B1166="","",COUNTA($B$4:$B1166))</f>
        <v/>
      </c>
      <c r="B1166" s="40" t="n"/>
      <c r="C1166" s="41" t="n"/>
      <c r="D1166" s="41" t="n"/>
      <c r="E1166" s="41" t="n"/>
      <c r="F1166" s="50" t="n"/>
      <c r="G1166" s="42" t="n"/>
      <c r="H1166" s="42" t="n"/>
      <c r="I1166" s="43">
        <f>IF($B1166="","",N($G1166)-N($H1166))</f>
        <v/>
      </c>
    </row>
    <row r="1167">
      <c r="A1167" s="39">
        <f>IF($B1167="","",COUNTA($B$4:$B1167))</f>
        <v/>
      </c>
      <c r="B1167" s="45" t="n"/>
      <c r="C1167" s="46" t="n"/>
      <c r="D1167" s="46" t="n"/>
      <c r="E1167" s="46" t="n"/>
      <c r="F1167" s="51" t="n"/>
      <c r="G1167" s="47" t="n"/>
      <c r="H1167" s="47" t="n"/>
      <c r="I1167" s="43">
        <f>IF($B1167="","",N($G1167)-N($H1167))</f>
        <v/>
      </c>
    </row>
    <row r="1168">
      <c r="A1168" s="39">
        <f>IF($B1168="","",COUNTA($B$4:$B1168))</f>
        <v/>
      </c>
      <c r="B1168" s="40" t="n"/>
      <c r="C1168" s="41" t="n"/>
      <c r="D1168" s="41" t="n"/>
      <c r="E1168" s="41" t="n"/>
      <c r="F1168" s="50" t="n"/>
      <c r="G1168" s="42" t="n"/>
      <c r="H1168" s="42" t="n"/>
      <c r="I1168" s="43">
        <f>IF($B1168="","",N($G1168)-N($H1168))</f>
        <v/>
      </c>
    </row>
    <row r="1169">
      <c r="A1169" s="39">
        <f>IF($B1169="","",COUNTA($B$4:$B1169))</f>
        <v/>
      </c>
      <c r="B1169" s="45" t="n"/>
      <c r="C1169" s="46" t="n"/>
      <c r="D1169" s="46" t="n"/>
      <c r="E1169" s="46" t="n"/>
      <c r="F1169" s="51" t="n"/>
      <c r="G1169" s="47" t="n"/>
      <c r="H1169" s="47" t="n"/>
      <c r="I1169" s="43">
        <f>IF($B1169="","",N($G1169)-N($H1169))</f>
        <v/>
      </c>
    </row>
    <row r="1170">
      <c r="A1170" s="39">
        <f>IF($B1170="","",COUNTA($B$4:$B1170))</f>
        <v/>
      </c>
      <c r="B1170" s="40" t="n"/>
      <c r="C1170" s="41" t="n"/>
      <c r="D1170" s="41" t="n"/>
      <c r="E1170" s="41" t="n"/>
      <c r="F1170" s="50" t="n"/>
      <c r="G1170" s="42" t="n"/>
      <c r="H1170" s="42" t="n"/>
      <c r="I1170" s="43">
        <f>IF($B1170="","",N($G1170)-N($H1170))</f>
        <v/>
      </c>
    </row>
    <row r="1171">
      <c r="A1171" s="39">
        <f>IF($B1171="","",COUNTA($B$4:$B1171))</f>
        <v/>
      </c>
      <c r="B1171" s="45" t="n"/>
      <c r="C1171" s="46" t="n"/>
      <c r="D1171" s="46" t="n"/>
      <c r="E1171" s="46" t="n"/>
      <c r="F1171" s="51" t="n"/>
      <c r="G1171" s="47" t="n"/>
      <c r="H1171" s="47" t="n"/>
      <c r="I1171" s="43">
        <f>IF($B1171="","",N($G1171)-N($H1171))</f>
        <v/>
      </c>
    </row>
    <row r="1172">
      <c r="A1172" s="39">
        <f>IF($B1172="","",COUNTA($B$4:$B1172))</f>
        <v/>
      </c>
      <c r="B1172" s="40" t="n"/>
      <c r="C1172" s="41" t="n"/>
      <c r="D1172" s="41" t="n"/>
      <c r="E1172" s="41" t="n"/>
      <c r="F1172" s="50" t="n"/>
      <c r="G1172" s="42" t="n"/>
      <c r="H1172" s="42" t="n"/>
      <c r="I1172" s="43">
        <f>IF($B1172="","",N($G1172)-N($H1172))</f>
        <v/>
      </c>
    </row>
    <row r="1173">
      <c r="A1173" s="39">
        <f>IF($B1173="","",COUNTA($B$4:$B1173))</f>
        <v/>
      </c>
      <c r="B1173" s="45" t="n"/>
      <c r="C1173" s="46" t="n"/>
      <c r="D1173" s="46" t="n"/>
      <c r="E1173" s="46" t="n"/>
      <c r="F1173" s="51" t="n"/>
      <c r="G1173" s="47" t="n"/>
      <c r="H1173" s="47" t="n"/>
      <c r="I1173" s="43">
        <f>IF($B1173="","",N($G1173)-N($H1173))</f>
        <v/>
      </c>
    </row>
    <row r="1174">
      <c r="A1174" s="39">
        <f>IF($B1174="","",COUNTA($B$4:$B1174))</f>
        <v/>
      </c>
      <c r="B1174" s="40" t="n"/>
      <c r="C1174" s="41" t="n"/>
      <c r="D1174" s="41" t="n"/>
      <c r="E1174" s="41" t="n"/>
      <c r="F1174" s="50" t="n"/>
      <c r="G1174" s="42" t="n"/>
      <c r="H1174" s="42" t="n"/>
      <c r="I1174" s="43">
        <f>IF($B1174="","",N($G1174)-N($H1174))</f>
        <v/>
      </c>
    </row>
    <row r="1175">
      <c r="A1175" s="39">
        <f>IF($B1175="","",COUNTA($B$4:$B1175))</f>
        <v/>
      </c>
      <c r="B1175" s="45" t="n"/>
      <c r="C1175" s="46" t="n"/>
      <c r="D1175" s="46" t="n"/>
      <c r="E1175" s="46" t="n"/>
      <c r="F1175" s="51" t="n"/>
      <c r="G1175" s="47" t="n"/>
      <c r="H1175" s="47" t="n"/>
      <c r="I1175" s="43">
        <f>IF($B1175="","",N($G1175)-N($H1175))</f>
        <v/>
      </c>
    </row>
    <row r="1176">
      <c r="A1176" s="39">
        <f>IF($B1176="","",COUNTA($B$4:$B1176))</f>
        <v/>
      </c>
      <c r="B1176" s="40" t="n"/>
      <c r="C1176" s="41" t="n"/>
      <c r="D1176" s="41" t="n"/>
      <c r="E1176" s="41" t="n"/>
      <c r="F1176" s="50" t="n"/>
      <c r="G1176" s="42" t="n"/>
      <c r="H1176" s="42" t="n"/>
      <c r="I1176" s="43">
        <f>IF($B1176="","",N($G1176)-N($H1176))</f>
        <v/>
      </c>
    </row>
    <row r="1177">
      <c r="A1177" s="39">
        <f>IF($B1177="","",COUNTA($B$4:$B1177))</f>
        <v/>
      </c>
      <c r="B1177" s="45" t="n"/>
      <c r="C1177" s="46" t="n"/>
      <c r="D1177" s="46" t="n"/>
      <c r="E1177" s="46" t="n"/>
      <c r="F1177" s="51" t="n"/>
      <c r="G1177" s="47" t="n"/>
      <c r="H1177" s="47" t="n"/>
      <c r="I1177" s="43">
        <f>IF($B1177="","",N($G1177)-N($H1177))</f>
        <v/>
      </c>
    </row>
    <row r="1178">
      <c r="A1178" s="39">
        <f>IF($B1178="","",COUNTA($B$4:$B1178))</f>
        <v/>
      </c>
      <c r="B1178" s="40" t="n"/>
      <c r="C1178" s="41" t="n"/>
      <c r="D1178" s="41" t="n"/>
      <c r="E1178" s="41" t="n"/>
      <c r="F1178" s="50" t="n"/>
      <c r="G1178" s="42" t="n"/>
      <c r="H1178" s="42" t="n"/>
      <c r="I1178" s="43">
        <f>IF($B1178="","",N($G1178)-N($H1178))</f>
        <v/>
      </c>
    </row>
    <row r="1179">
      <c r="A1179" s="39">
        <f>IF($B1179="","",COUNTA($B$4:$B1179))</f>
        <v/>
      </c>
      <c r="B1179" s="45" t="n"/>
      <c r="C1179" s="46" t="n"/>
      <c r="D1179" s="46" t="n"/>
      <c r="E1179" s="46" t="n"/>
      <c r="F1179" s="51" t="n"/>
      <c r="G1179" s="47" t="n"/>
      <c r="H1179" s="47" t="n"/>
      <c r="I1179" s="43">
        <f>IF($B1179="","",N($G1179)-N($H1179))</f>
        <v/>
      </c>
    </row>
    <row r="1180">
      <c r="A1180" s="39">
        <f>IF($B1180="","",COUNTA($B$4:$B1180))</f>
        <v/>
      </c>
      <c r="B1180" s="40" t="n"/>
      <c r="C1180" s="41" t="n"/>
      <c r="D1180" s="41" t="n"/>
      <c r="E1180" s="41" t="n"/>
      <c r="F1180" s="50" t="n"/>
      <c r="G1180" s="42" t="n"/>
      <c r="H1180" s="42" t="n"/>
      <c r="I1180" s="43">
        <f>IF($B1180="","",N($G1180)-N($H1180))</f>
        <v/>
      </c>
    </row>
    <row r="1181">
      <c r="A1181" s="39">
        <f>IF($B1181="","",COUNTA($B$4:$B1181))</f>
        <v/>
      </c>
      <c r="B1181" s="45" t="n"/>
      <c r="C1181" s="46" t="n"/>
      <c r="D1181" s="46" t="n"/>
      <c r="E1181" s="46" t="n"/>
      <c r="F1181" s="51" t="n"/>
      <c r="G1181" s="47" t="n"/>
      <c r="H1181" s="47" t="n"/>
      <c r="I1181" s="43">
        <f>IF($B1181="","",N($G1181)-N($H1181))</f>
        <v/>
      </c>
    </row>
    <row r="1182">
      <c r="A1182" s="39">
        <f>IF($B1182="","",COUNTA($B$4:$B1182))</f>
        <v/>
      </c>
      <c r="B1182" s="40" t="n"/>
      <c r="C1182" s="41" t="n"/>
      <c r="D1182" s="41" t="n"/>
      <c r="E1182" s="41" t="n"/>
      <c r="F1182" s="50" t="n"/>
      <c r="G1182" s="42" t="n"/>
      <c r="H1182" s="42" t="n"/>
      <c r="I1182" s="43">
        <f>IF($B1182="","",N($G1182)-N($H1182))</f>
        <v/>
      </c>
    </row>
    <row r="1183">
      <c r="A1183" s="39">
        <f>IF($B1183="","",COUNTA($B$4:$B1183))</f>
        <v/>
      </c>
      <c r="B1183" s="45" t="n"/>
      <c r="C1183" s="46" t="n"/>
      <c r="D1183" s="46" t="n"/>
      <c r="E1183" s="46" t="n"/>
      <c r="F1183" s="51" t="n"/>
      <c r="G1183" s="47" t="n"/>
      <c r="H1183" s="47" t="n"/>
      <c r="I1183" s="43">
        <f>IF($B1183="","",N($G1183)-N($H1183))</f>
        <v/>
      </c>
    </row>
    <row r="1184">
      <c r="A1184" s="39">
        <f>IF($B1184="","",COUNTA($B$4:$B1184))</f>
        <v/>
      </c>
      <c r="B1184" s="40" t="n"/>
      <c r="C1184" s="41" t="n"/>
      <c r="D1184" s="41" t="n"/>
      <c r="E1184" s="41" t="n"/>
      <c r="F1184" s="50" t="n"/>
      <c r="G1184" s="42" t="n"/>
      <c r="H1184" s="42" t="n"/>
      <c r="I1184" s="43">
        <f>IF($B1184="","",N($G1184)-N($H1184))</f>
        <v/>
      </c>
    </row>
    <row r="1185">
      <c r="A1185" s="39">
        <f>IF($B1185="","",COUNTA($B$4:$B1185))</f>
        <v/>
      </c>
      <c r="B1185" s="45" t="n"/>
      <c r="C1185" s="46" t="n"/>
      <c r="D1185" s="46" t="n"/>
      <c r="E1185" s="46" t="n"/>
      <c r="F1185" s="51" t="n"/>
      <c r="G1185" s="47" t="n"/>
      <c r="H1185" s="47" t="n"/>
      <c r="I1185" s="43">
        <f>IF($B1185="","",N($G1185)-N($H1185))</f>
        <v/>
      </c>
    </row>
    <row r="1186">
      <c r="A1186" s="39">
        <f>IF($B1186="","",COUNTA($B$4:$B1186))</f>
        <v/>
      </c>
      <c r="B1186" s="40" t="n"/>
      <c r="C1186" s="41" t="n"/>
      <c r="D1186" s="41" t="n"/>
      <c r="E1186" s="41" t="n"/>
      <c r="F1186" s="50" t="n"/>
      <c r="G1186" s="42" t="n"/>
      <c r="H1186" s="42" t="n"/>
      <c r="I1186" s="43">
        <f>IF($B1186="","",N($G1186)-N($H1186))</f>
        <v/>
      </c>
    </row>
    <row r="1187">
      <c r="A1187" s="39">
        <f>IF($B1187="","",COUNTA($B$4:$B1187))</f>
        <v/>
      </c>
      <c r="B1187" s="45" t="n"/>
      <c r="C1187" s="46" t="n"/>
      <c r="D1187" s="46" t="n"/>
      <c r="E1187" s="46" t="n"/>
      <c r="F1187" s="51" t="n"/>
      <c r="G1187" s="47" t="n"/>
      <c r="H1187" s="47" t="n"/>
      <c r="I1187" s="43">
        <f>IF($B1187="","",N($G1187)-N($H1187))</f>
        <v/>
      </c>
    </row>
    <row r="1188">
      <c r="A1188" s="39">
        <f>IF($B1188="","",COUNTA($B$4:$B1188))</f>
        <v/>
      </c>
      <c r="B1188" s="40" t="n"/>
      <c r="C1188" s="41" t="n"/>
      <c r="D1188" s="41" t="n"/>
      <c r="E1188" s="41" t="n"/>
      <c r="F1188" s="50" t="n"/>
      <c r="G1188" s="42" t="n"/>
      <c r="H1188" s="42" t="n"/>
      <c r="I1188" s="43">
        <f>IF($B1188="","",N($G1188)-N($H1188))</f>
        <v/>
      </c>
    </row>
    <row r="1189">
      <c r="A1189" s="39">
        <f>IF($B1189="","",COUNTA($B$4:$B1189))</f>
        <v/>
      </c>
      <c r="B1189" s="45" t="n"/>
      <c r="C1189" s="46" t="n"/>
      <c r="D1189" s="46" t="n"/>
      <c r="E1189" s="46" t="n"/>
      <c r="F1189" s="51" t="n"/>
      <c r="G1189" s="47" t="n"/>
      <c r="H1189" s="47" t="n"/>
      <c r="I1189" s="43">
        <f>IF($B1189="","",N($G1189)-N($H1189))</f>
        <v/>
      </c>
    </row>
    <row r="1190">
      <c r="A1190" s="39">
        <f>IF($B1190="","",COUNTA($B$4:$B1190))</f>
        <v/>
      </c>
      <c r="B1190" s="40" t="n"/>
      <c r="C1190" s="41" t="n"/>
      <c r="D1190" s="41" t="n"/>
      <c r="E1190" s="41" t="n"/>
      <c r="F1190" s="50" t="n"/>
      <c r="G1190" s="42" t="n"/>
      <c r="H1190" s="42" t="n"/>
      <c r="I1190" s="43">
        <f>IF($B1190="","",N($G1190)-N($H1190))</f>
        <v/>
      </c>
    </row>
    <row r="1191">
      <c r="A1191" s="39">
        <f>IF($B1191="","",COUNTA($B$4:$B1191))</f>
        <v/>
      </c>
      <c r="B1191" s="45" t="n"/>
      <c r="C1191" s="46" t="n"/>
      <c r="D1191" s="46" t="n"/>
      <c r="E1191" s="46" t="n"/>
      <c r="F1191" s="51" t="n"/>
      <c r="G1191" s="47" t="n"/>
      <c r="H1191" s="47" t="n"/>
      <c r="I1191" s="43">
        <f>IF($B1191="","",N($G1191)-N($H1191))</f>
        <v/>
      </c>
    </row>
    <row r="1192">
      <c r="A1192" s="39">
        <f>IF($B1192="","",COUNTA($B$4:$B1192))</f>
        <v/>
      </c>
      <c r="B1192" s="40" t="n"/>
      <c r="C1192" s="41" t="n"/>
      <c r="D1192" s="41" t="n"/>
      <c r="E1192" s="41" t="n"/>
      <c r="F1192" s="50" t="n"/>
      <c r="G1192" s="42" t="n"/>
      <c r="H1192" s="42" t="n"/>
      <c r="I1192" s="43">
        <f>IF($B1192="","",N($G1192)-N($H1192))</f>
        <v/>
      </c>
    </row>
    <row r="1193">
      <c r="A1193" s="39">
        <f>IF($B1193="","",COUNTA($B$4:$B1193))</f>
        <v/>
      </c>
      <c r="B1193" s="45" t="n"/>
      <c r="C1193" s="46" t="n"/>
      <c r="D1193" s="46" t="n"/>
      <c r="E1193" s="46" t="n"/>
      <c r="F1193" s="51" t="n"/>
      <c r="G1193" s="47" t="n"/>
      <c r="H1193" s="47" t="n"/>
      <c r="I1193" s="43">
        <f>IF($B1193="","",N($G1193)-N($H1193))</f>
        <v/>
      </c>
    </row>
    <row r="1194">
      <c r="A1194" s="39">
        <f>IF($B1194="","",COUNTA($B$4:$B1194))</f>
        <v/>
      </c>
      <c r="B1194" s="40" t="n"/>
      <c r="C1194" s="41" t="n"/>
      <c r="D1194" s="41" t="n"/>
      <c r="E1194" s="41" t="n"/>
      <c r="F1194" s="50" t="n"/>
      <c r="G1194" s="42" t="n"/>
      <c r="H1194" s="42" t="n"/>
      <c r="I1194" s="43">
        <f>IF($B1194="","",N($G1194)-N($H1194))</f>
        <v/>
      </c>
    </row>
    <row r="1195">
      <c r="A1195" s="39">
        <f>IF($B1195="","",COUNTA($B$4:$B1195))</f>
        <v/>
      </c>
      <c r="B1195" s="45" t="n"/>
      <c r="C1195" s="46" t="n"/>
      <c r="D1195" s="46" t="n"/>
      <c r="E1195" s="46" t="n"/>
      <c r="F1195" s="51" t="n"/>
      <c r="G1195" s="47" t="n"/>
      <c r="H1195" s="47" t="n"/>
      <c r="I1195" s="43">
        <f>IF($B1195="","",N($G1195)-N($H1195))</f>
        <v/>
      </c>
    </row>
    <row r="1196">
      <c r="A1196" s="39">
        <f>IF($B1196="","",COUNTA($B$4:$B1196))</f>
        <v/>
      </c>
      <c r="B1196" s="40" t="n"/>
      <c r="C1196" s="41" t="n"/>
      <c r="D1196" s="41" t="n"/>
      <c r="E1196" s="41" t="n"/>
      <c r="F1196" s="50" t="n"/>
      <c r="G1196" s="42" t="n"/>
      <c r="H1196" s="42" t="n"/>
      <c r="I1196" s="43">
        <f>IF($B1196="","",N($G1196)-N($H1196))</f>
        <v/>
      </c>
    </row>
    <row r="1197">
      <c r="A1197" s="39">
        <f>IF($B1197="","",COUNTA($B$4:$B1197))</f>
        <v/>
      </c>
      <c r="B1197" s="45" t="n"/>
      <c r="C1197" s="46" t="n"/>
      <c r="D1197" s="46" t="n"/>
      <c r="E1197" s="46" t="n"/>
      <c r="F1197" s="51" t="n"/>
      <c r="G1197" s="47" t="n"/>
      <c r="H1197" s="47" t="n"/>
      <c r="I1197" s="43">
        <f>IF($B1197="","",N($G1197)-N($H1197))</f>
        <v/>
      </c>
    </row>
    <row r="1198">
      <c r="A1198" s="39">
        <f>IF($B1198="","",COUNTA($B$4:$B1198))</f>
        <v/>
      </c>
      <c r="B1198" s="40" t="n"/>
      <c r="C1198" s="41" t="n"/>
      <c r="D1198" s="41" t="n"/>
      <c r="E1198" s="41" t="n"/>
      <c r="F1198" s="50" t="n"/>
      <c r="G1198" s="42" t="n"/>
      <c r="H1198" s="42" t="n"/>
      <c r="I1198" s="43">
        <f>IF($B1198="","",N($G1198)-N($H1198))</f>
        <v/>
      </c>
    </row>
    <row r="1199">
      <c r="A1199" s="39">
        <f>IF($B1199="","",COUNTA($B$4:$B1199))</f>
        <v/>
      </c>
      <c r="B1199" s="45" t="n"/>
      <c r="C1199" s="46" t="n"/>
      <c r="D1199" s="46" t="n"/>
      <c r="E1199" s="46" t="n"/>
      <c r="F1199" s="51" t="n"/>
      <c r="G1199" s="47" t="n"/>
      <c r="H1199" s="47" t="n"/>
      <c r="I1199" s="43">
        <f>IF($B1199="","",N($G1199)-N($H1199))</f>
        <v/>
      </c>
    </row>
    <row r="1200">
      <c r="A1200" s="39">
        <f>IF($B1200="","",COUNTA($B$4:$B1200))</f>
        <v/>
      </c>
      <c r="B1200" s="40" t="n"/>
      <c r="C1200" s="41" t="n"/>
      <c r="D1200" s="41" t="n"/>
      <c r="E1200" s="41" t="n"/>
      <c r="F1200" s="50" t="n"/>
      <c r="G1200" s="42" t="n"/>
      <c r="H1200" s="42" t="n"/>
      <c r="I1200" s="43">
        <f>IF($B1200="","",N($G1200)-N($H1200))</f>
        <v/>
      </c>
    </row>
    <row r="1201">
      <c r="A1201" s="39">
        <f>IF($B1201="","",COUNTA($B$4:$B1201))</f>
        <v/>
      </c>
      <c r="B1201" s="45" t="n"/>
      <c r="C1201" s="46" t="n"/>
      <c r="D1201" s="46" t="n"/>
      <c r="E1201" s="46" t="n"/>
      <c r="F1201" s="51" t="n"/>
      <c r="G1201" s="47" t="n"/>
      <c r="H1201" s="47" t="n"/>
      <c r="I1201" s="43">
        <f>IF($B1201="","",N($G1201)-N($H1201))</f>
        <v/>
      </c>
    </row>
    <row r="1202">
      <c r="A1202" s="39">
        <f>IF($B1202="","",COUNTA($B$4:$B1202))</f>
        <v/>
      </c>
      <c r="B1202" s="40" t="n"/>
      <c r="C1202" s="41" t="n"/>
      <c r="D1202" s="41" t="n"/>
      <c r="E1202" s="41" t="n"/>
      <c r="F1202" s="50" t="n"/>
      <c r="G1202" s="42" t="n"/>
      <c r="H1202" s="42" t="n"/>
      <c r="I1202" s="43">
        <f>IF($B1202="","",N($G1202)-N($H1202))</f>
        <v/>
      </c>
    </row>
    <row r="1203">
      <c r="A1203" s="39">
        <f>IF($B1203="","",COUNTA($B$4:$B1203))</f>
        <v/>
      </c>
      <c r="B1203" s="45" t="n"/>
      <c r="C1203" s="46" t="n"/>
      <c r="D1203" s="46" t="n"/>
      <c r="E1203" s="46" t="n"/>
      <c r="F1203" s="51" t="n"/>
      <c r="G1203" s="47" t="n"/>
      <c r="H1203" s="47" t="n"/>
      <c r="I1203" s="43">
        <f>IF($B1203="","",N($G1203)-N($H1203))</f>
        <v/>
      </c>
    </row>
    <row r="1204">
      <c r="A1204" s="39">
        <f>IF($B1204="","",COUNTA($B$4:$B1204))</f>
        <v/>
      </c>
      <c r="B1204" s="40" t="n"/>
      <c r="C1204" s="41" t="n"/>
      <c r="D1204" s="41" t="n"/>
      <c r="E1204" s="41" t="n"/>
      <c r="F1204" s="50" t="n"/>
      <c r="G1204" s="42" t="n"/>
      <c r="H1204" s="42" t="n"/>
      <c r="I1204" s="43">
        <f>IF($B1204="","",N($G1204)-N($H1204))</f>
        <v/>
      </c>
    </row>
    <row r="1205">
      <c r="A1205" s="39">
        <f>IF($B1205="","",COUNTA($B$4:$B1205))</f>
        <v/>
      </c>
      <c r="B1205" s="45" t="n"/>
      <c r="C1205" s="46" t="n"/>
      <c r="D1205" s="46" t="n"/>
      <c r="E1205" s="46" t="n"/>
      <c r="F1205" s="51" t="n"/>
      <c r="G1205" s="47" t="n"/>
      <c r="H1205" s="47" t="n"/>
      <c r="I1205" s="43">
        <f>IF($B1205="","",N($G1205)-N($H1205))</f>
        <v/>
      </c>
    </row>
    <row r="1206">
      <c r="A1206" s="39">
        <f>IF($B1206="","",COUNTA($B$4:$B1206))</f>
        <v/>
      </c>
      <c r="B1206" s="40" t="n"/>
      <c r="C1206" s="41" t="n"/>
      <c r="D1206" s="41" t="n"/>
      <c r="E1206" s="41" t="n"/>
      <c r="F1206" s="50" t="n"/>
      <c r="G1206" s="42" t="n"/>
      <c r="H1206" s="42" t="n"/>
      <c r="I1206" s="43">
        <f>IF($B1206="","",N($G1206)-N($H1206))</f>
        <v/>
      </c>
    </row>
    <row r="1207">
      <c r="A1207" s="39">
        <f>IF($B1207="","",COUNTA($B$4:$B1207))</f>
        <v/>
      </c>
      <c r="B1207" s="45" t="n"/>
      <c r="C1207" s="46" t="n"/>
      <c r="D1207" s="46" t="n"/>
      <c r="E1207" s="46" t="n"/>
      <c r="F1207" s="51" t="n"/>
      <c r="G1207" s="47" t="n"/>
      <c r="H1207" s="47" t="n"/>
      <c r="I1207" s="43">
        <f>IF($B1207="","",N($G1207)-N($H1207))</f>
        <v/>
      </c>
    </row>
    <row r="1208">
      <c r="A1208" s="39">
        <f>IF($B1208="","",COUNTA($B$4:$B1208))</f>
        <v/>
      </c>
      <c r="B1208" s="40" t="n"/>
      <c r="C1208" s="41" t="n"/>
      <c r="D1208" s="41" t="n"/>
      <c r="E1208" s="41" t="n"/>
      <c r="F1208" s="50" t="n"/>
      <c r="G1208" s="42" t="n"/>
      <c r="H1208" s="42" t="n"/>
      <c r="I1208" s="43">
        <f>IF($B1208="","",N($G1208)-N($H1208))</f>
        <v/>
      </c>
    </row>
    <row r="1209">
      <c r="A1209" s="39">
        <f>IF($B1209="","",COUNTA($B$4:$B1209))</f>
        <v/>
      </c>
      <c r="B1209" s="45" t="n"/>
      <c r="C1209" s="46" t="n"/>
      <c r="D1209" s="46" t="n"/>
      <c r="E1209" s="46" t="n"/>
      <c r="F1209" s="51" t="n"/>
      <c r="G1209" s="47" t="n"/>
      <c r="H1209" s="47" t="n"/>
      <c r="I1209" s="43">
        <f>IF($B1209="","",N($G1209)-N($H1209))</f>
        <v/>
      </c>
    </row>
    <row r="1210">
      <c r="A1210" s="39">
        <f>IF($B1210="","",COUNTA($B$4:$B1210))</f>
        <v/>
      </c>
      <c r="B1210" s="40" t="n"/>
      <c r="C1210" s="41" t="n"/>
      <c r="D1210" s="41" t="n"/>
      <c r="E1210" s="41" t="n"/>
      <c r="F1210" s="50" t="n"/>
      <c r="G1210" s="42" t="n"/>
      <c r="H1210" s="42" t="n"/>
      <c r="I1210" s="43">
        <f>IF($B1210="","",N($G1210)-N($H1210))</f>
        <v/>
      </c>
    </row>
    <row r="1211">
      <c r="A1211" s="39">
        <f>IF($B1211="","",COUNTA($B$4:$B1211))</f>
        <v/>
      </c>
      <c r="B1211" s="45" t="n"/>
      <c r="C1211" s="46" t="n"/>
      <c r="D1211" s="46" t="n"/>
      <c r="E1211" s="46" t="n"/>
      <c r="F1211" s="51" t="n"/>
      <c r="G1211" s="47" t="n"/>
      <c r="H1211" s="47" t="n"/>
      <c r="I1211" s="43">
        <f>IF($B1211="","",N($G1211)-N($H1211))</f>
        <v/>
      </c>
    </row>
    <row r="1212">
      <c r="A1212" s="39">
        <f>IF($B1212="","",COUNTA($B$4:$B1212))</f>
        <v/>
      </c>
      <c r="B1212" s="40" t="n"/>
      <c r="C1212" s="41" t="n"/>
      <c r="D1212" s="41" t="n"/>
      <c r="E1212" s="41" t="n"/>
      <c r="F1212" s="50" t="n"/>
      <c r="G1212" s="42" t="n"/>
      <c r="H1212" s="42" t="n"/>
      <c r="I1212" s="43">
        <f>IF($B1212="","",N($G1212)-N($H1212))</f>
        <v/>
      </c>
    </row>
    <row r="1213">
      <c r="A1213" s="39">
        <f>IF($B1213="","",COUNTA($B$4:$B1213))</f>
        <v/>
      </c>
      <c r="B1213" s="45" t="n"/>
      <c r="C1213" s="46" t="n"/>
      <c r="D1213" s="46" t="n"/>
      <c r="E1213" s="46" t="n"/>
      <c r="F1213" s="51" t="n"/>
      <c r="G1213" s="47" t="n"/>
      <c r="H1213" s="47" t="n"/>
      <c r="I1213" s="43">
        <f>IF($B1213="","",N($G1213)-N($H1213))</f>
        <v/>
      </c>
    </row>
    <row r="1214">
      <c r="A1214" s="39">
        <f>IF($B1214="","",COUNTA($B$4:$B1214))</f>
        <v/>
      </c>
      <c r="B1214" s="40" t="n"/>
      <c r="C1214" s="41" t="n"/>
      <c r="D1214" s="41" t="n"/>
      <c r="E1214" s="41" t="n"/>
      <c r="F1214" s="50" t="n"/>
      <c r="G1214" s="42" t="n"/>
      <c r="H1214" s="42" t="n"/>
      <c r="I1214" s="43">
        <f>IF($B1214="","",N($G1214)-N($H1214))</f>
        <v/>
      </c>
    </row>
    <row r="1215">
      <c r="A1215" s="39">
        <f>IF($B1215="","",COUNTA($B$4:$B1215))</f>
        <v/>
      </c>
      <c r="B1215" s="45" t="n"/>
      <c r="C1215" s="46" t="n"/>
      <c r="D1215" s="46" t="n"/>
      <c r="E1215" s="46" t="n"/>
      <c r="F1215" s="51" t="n"/>
      <c r="G1215" s="47" t="n"/>
      <c r="H1215" s="47" t="n"/>
      <c r="I1215" s="43">
        <f>IF($B1215="","",N($G1215)-N($H1215))</f>
        <v/>
      </c>
    </row>
    <row r="1216">
      <c r="A1216" s="39">
        <f>IF($B1216="","",COUNTA($B$4:$B1216))</f>
        <v/>
      </c>
      <c r="B1216" s="40" t="n"/>
      <c r="C1216" s="41" t="n"/>
      <c r="D1216" s="41" t="n"/>
      <c r="E1216" s="41" t="n"/>
      <c r="F1216" s="50" t="n"/>
      <c r="G1216" s="42" t="n"/>
      <c r="H1216" s="42" t="n"/>
      <c r="I1216" s="43">
        <f>IF($B1216="","",N($G1216)-N($H1216))</f>
        <v/>
      </c>
    </row>
    <row r="1217">
      <c r="A1217" s="39">
        <f>IF($B1217="","",COUNTA($B$4:$B1217))</f>
        <v/>
      </c>
      <c r="B1217" s="45" t="n"/>
      <c r="C1217" s="46" t="n"/>
      <c r="D1217" s="46" t="n"/>
      <c r="E1217" s="46" t="n"/>
      <c r="F1217" s="51" t="n"/>
      <c r="G1217" s="47" t="n"/>
      <c r="H1217" s="47" t="n"/>
      <c r="I1217" s="43">
        <f>IF($B1217="","",N($G1217)-N($H1217))</f>
        <v/>
      </c>
    </row>
    <row r="1218">
      <c r="A1218" s="39">
        <f>IF($B1218="","",COUNTA($B$4:$B1218))</f>
        <v/>
      </c>
      <c r="B1218" s="40" t="n"/>
      <c r="C1218" s="41" t="n"/>
      <c r="D1218" s="41" t="n"/>
      <c r="E1218" s="41" t="n"/>
      <c r="F1218" s="50" t="n"/>
      <c r="G1218" s="42" t="n"/>
      <c r="H1218" s="42" t="n"/>
      <c r="I1218" s="43">
        <f>IF($B1218="","",N($G1218)-N($H1218))</f>
        <v/>
      </c>
    </row>
    <row r="1219">
      <c r="A1219" s="39">
        <f>IF($B1219="","",COUNTA($B$4:$B1219))</f>
        <v/>
      </c>
      <c r="B1219" s="45" t="n"/>
      <c r="C1219" s="46" t="n"/>
      <c r="D1219" s="46" t="n"/>
      <c r="E1219" s="46" t="n"/>
      <c r="F1219" s="51" t="n"/>
      <c r="G1219" s="47" t="n"/>
      <c r="H1219" s="47" t="n"/>
      <c r="I1219" s="43">
        <f>IF($B1219="","",N($G1219)-N($H1219))</f>
        <v/>
      </c>
    </row>
    <row r="1220">
      <c r="A1220" s="39">
        <f>IF($B1220="","",COUNTA($B$4:$B1220))</f>
        <v/>
      </c>
      <c r="B1220" s="40" t="n"/>
      <c r="C1220" s="41" t="n"/>
      <c r="D1220" s="41" t="n"/>
      <c r="E1220" s="41" t="n"/>
      <c r="F1220" s="50" t="n"/>
      <c r="G1220" s="42" t="n"/>
      <c r="H1220" s="42" t="n"/>
      <c r="I1220" s="43">
        <f>IF($B1220="","",N($G1220)-N($H1220))</f>
        <v/>
      </c>
    </row>
    <row r="1221">
      <c r="A1221" s="39">
        <f>IF($B1221="","",COUNTA($B$4:$B1221))</f>
        <v/>
      </c>
      <c r="B1221" s="45" t="n"/>
      <c r="C1221" s="46" t="n"/>
      <c r="D1221" s="46" t="n"/>
      <c r="E1221" s="46" t="n"/>
      <c r="F1221" s="51" t="n"/>
      <c r="G1221" s="47" t="n"/>
      <c r="H1221" s="47" t="n"/>
      <c r="I1221" s="43">
        <f>IF($B1221="","",N($G1221)-N($H1221))</f>
        <v/>
      </c>
    </row>
    <row r="1222">
      <c r="A1222" s="39">
        <f>IF($B1222="","",COUNTA($B$4:$B1222))</f>
        <v/>
      </c>
      <c r="B1222" s="40" t="n"/>
      <c r="C1222" s="41" t="n"/>
      <c r="D1222" s="41" t="n"/>
      <c r="E1222" s="41" t="n"/>
      <c r="F1222" s="50" t="n"/>
      <c r="G1222" s="42" t="n"/>
      <c r="H1222" s="42" t="n"/>
      <c r="I1222" s="43">
        <f>IF($B1222="","",N($G1222)-N($H1222))</f>
        <v/>
      </c>
    </row>
    <row r="1223">
      <c r="A1223" s="39">
        <f>IF($B1223="","",COUNTA($B$4:$B1223))</f>
        <v/>
      </c>
      <c r="B1223" s="45" t="n"/>
      <c r="C1223" s="46" t="n"/>
      <c r="D1223" s="46" t="n"/>
      <c r="E1223" s="46" t="n"/>
      <c r="F1223" s="51" t="n"/>
      <c r="G1223" s="47" t="n"/>
      <c r="H1223" s="47" t="n"/>
      <c r="I1223" s="43">
        <f>IF($B1223="","",N($G1223)-N($H1223))</f>
        <v/>
      </c>
    </row>
    <row r="1224">
      <c r="A1224" s="39">
        <f>IF($B1224="","",COUNTA($B$4:$B1224))</f>
        <v/>
      </c>
      <c r="B1224" s="40" t="n"/>
      <c r="C1224" s="41" t="n"/>
      <c r="D1224" s="41" t="n"/>
      <c r="E1224" s="41" t="n"/>
      <c r="F1224" s="50" t="n"/>
      <c r="G1224" s="42" t="n"/>
      <c r="H1224" s="42" t="n"/>
      <c r="I1224" s="43">
        <f>IF($B1224="","",N($G1224)-N($H1224))</f>
        <v/>
      </c>
    </row>
    <row r="1225">
      <c r="A1225" s="39">
        <f>IF($B1225="","",COUNTA($B$4:$B1225))</f>
        <v/>
      </c>
      <c r="B1225" s="45" t="n"/>
      <c r="C1225" s="46" t="n"/>
      <c r="D1225" s="46" t="n"/>
      <c r="E1225" s="46" t="n"/>
      <c r="F1225" s="51" t="n"/>
      <c r="G1225" s="47" t="n"/>
      <c r="H1225" s="47" t="n"/>
      <c r="I1225" s="43">
        <f>IF($B1225="","",N($G1225)-N($H1225))</f>
        <v/>
      </c>
    </row>
    <row r="1226">
      <c r="A1226" s="39">
        <f>IF($B1226="","",COUNTA($B$4:$B1226))</f>
        <v/>
      </c>
      <c r="B1226" s="40" t="n"/>
      <c r="C1226" s="41" t="n"/>
      <c r="D1226" s="41" t="n"/>
      <c r="E1226" s="41" t="n"/>
      <c r="F1226" s="50" t="n"/>
      <c r="G1226" s="42" t="n"/>
      <c r="H1226" s="42" t="n"/>
      <c r="I1226" s="43">
        <f>IF($B1226="","",N($G1226)-N($H1226))</f>
        <v/>
      </c>
    </row>
    <row r="1227">
      <c r="A1227" s="39">
        <f>IF($B1227="","",COUNTA($B$4:$B1227))</f>
        <v/>
      </c>
      <c r="B1227" s="45" t="n"/>
      <c r="C1227" s="46" t="n"/>
      <c r="D1227" s="46" t="n"/>
      <c r="E1227" s="46" t="n"/>
      <c r="F1227" s="51" t="n"/>
      <c r="G1227" s="47" t="n"/>
      <c r="H1227" s="47" t="n"/>
      <c r="I1227" s="43">
        <f>IF($B1227="","",N($G1227)-N($H1227))</f>
        <v/>
      </c>
    </row>
    <row r="1228">
      <c r="A1228" s="39">
        <f>IF($B1228="","",COUNTA($B$4:$B1228))</f>
        <v/>
      </c>
      <c r="B1228" s="40" t="n"/>
      <c r="C1228" s="41" t="n"/>
      <c r="D1228" s="41" t="n"/>
      <c r="E1228" s="41" t="n"/>
      <c r="F1228" s="50" t="n"/>
      <c r="G1228" s="42" t="n"/>
      <c r="H1228" s="42" t="n"/>
      <c r="I1228" s="43">
        <f>IF($B1228="","",N($G1228)-N($H1228))</f>
        <v/>
      </c>
    </row>
    <row r="1229">
      <c r="A1229" s="39">
        <f>IF($B1229="","",COUNTA($B$4:$B1229))</f>
        <v/>
      </c>
      <c r="B1229" s="45" t="n"/>
      <c r="C1229" s="46" t="n"/>
      <c r="D1229" s="46" t="n"/>
      <c r="E1229" s="46" t="n"/>
      <c r="F1229" s="51" t="n"/>
      <c r="G1229" s="47" t="n"/>
      <c r="H1229" s="47" t="n"/>
      <c r="I1229" s="43">
        <f>IF($B1229="","",N($G1229)-N($H1229))</f>
        <v/>
      </c>
    </row>
    <row r="1230">
      <c r="A1230" s="39">
        <f>IF($B1230="","",COUNTA($B$4:$B1230))</f>
        <v/>
      </c>
      <c r="B1230" s="40" t="n"/>
      <c r="C1230" s="41" t="n"/>
      <c r="D1230" s="41" t="n"/>
      <c r="E1230" s="41" t="n"/>
      <c r="F1230" s="50" t="n"/>
      <c r="G1230" s="42" t="n"/>
      <c r="H1230" s="42" t="n"/>
      <c r="I1230" s="43">
        <f>IF($B1230="","",N($G1230)-N($H1230))</f>
        <v/>
      </c>
    </row>
    <row r="1231">
      <c r="A1231" s="39">
        <f>IF($B1231="","",COUNTA($B$4:$B1231))</f>
        <v/>
      </c>
      <c r="B1231" s="45" t="n"/>
      <c r="C1231" s="46" t="n"/>
      <c r="D1231" s="46" t="n"/>
      <c r="E1231" s="46" t="n"/>
      <c r="F1231" s="51" t="n"/>
      <c r="G1231" s="47" t="n"/>
      <c r="H1231" s="47" t="n"/>
      <c r="I1231" s="43">
        <f>IF($B1231="","",N($G1231)-N($H1231))</f>
        <v/>
      </c>
    </row>
    <row r="1232">
      <c r="A1232" s="39">
        <f>IF($B1232="","",COUNTA($B$4:$B1232))</f>
        <v/>
      </c>
      <c r="B1232" s="40" t="n"/>
      <c r="C1232" s="41" t="n"/>
      <c r="D1232" s="41" t="n"/>
      <c r="E1232" s="41" t="n"/>
      <c r="F1232" s="50" t="n"/>
      <c r="G1232" s="42" t="n"/>
      <c r="H1232" s="42" t="n"/>
      <c r="I1232" s="43">
        <f>IF($B1232="","",N($G1232)-N($H1232))</f>
        <v/>
      </c>
    </row>
    <row r="1233">
      <c r="A1233" s="39">
        <f>IF($B1233="","",COUNTA($B$4:$B1233))</f>
        <v/>
      </c>
      <c r="B1233" s="45" t="n"/>
      <c r="C1233" s="46" t="n"/>
      <c r="D1233" s="46" t="n"/>
      <c r="E1233" s="46" t="n"/>
      <c r="F1233" s="51" t="n"/>
      <c r="G1233" s="47" t="n"/>
      <c r="H1233" s="47" t="n"/>
      <c r="I1233" s="43">
        <f>IF($B1233="","",N($G1233)-N($H1233))</f>
        <v/>
      </c>
    </row>
    <row r="1234">
      <c r="A1234" s="39">
        <f>IF($B1234="","",COUNTA($B$4:$B1234))</f>
        <v/>
      </c>
      <c r="B1234" s="40" t="n"/>
      <c r="C1234" s="41" t="n"/>
      <c r="D1234" s="41" t="n"/>
      <c r="E1234" s="41" t="n"/>
      <c r="F1234" s="50" t="n"/>
      <c r="G1234" s="42" t="n"/>
      <c r="H1234" s="42" t="n"/>
      <c r="I1234" s="43">
        <f>IF($B1234="","",N($G1234)-N($H1234))</f>
        <v/>
      </c>
    </row>
    <row r="1235">
      <c r="A1235" s="39">
        <f>IF($B1235="","",COUNTA($B$4:$B1235))</f>
        <v/>
      </c>
      <c r="B1235" s="45" t="n"/>
      <c r="C1235" s="46" t="n"/>
      <c r="D1235" s="46" t="n"/>
      <c r="E1235" s="46" t="n"/>
      <c r="F1235" s="51" t="n"/>
      <c r="G1235" s="47" t="n"/>
      <c r="H1235" s="47" t="n"/>
      <c r="I1235" s="43">
        <f>IF($B1235="","",N($G1235)-N($H1235))</f>
        <v/>
      </c>
    </row>
    <row r="1236">
      <c r="A1236" s="39">
        <f>IF($B1236="","",COUNTA($B$4:$B1236))</f>
        <v/>
      </c>
      <c r="B1236" s="40" t="n"/>
      <c r="C1236" s="41" t="n"/>
      <c r="D1236" s="41" t="n"/>
      <c r="E1236" s="41" t="n"/>
      <c r="F1236" s="50" t="n"/>
      <c r="G1236" s="42" t="n"/>
      <c r="H1236" s="42" t="n"/>
      <c r="I1236" s="43">
        <f>IF($B1236="","",N($G1236)-N($H1236))</f>
        <v/>
      </c>
    </row>
    <row r="1237">
      <c r="A1237" s="39">
        <f>IF($B1237="","",COUNTA($B$4:$B1237))</f>
        <v/>
      </c>
      <c r="B1237" s="45" t="n"/>
      <c r="C1237" s="46" t="n"/>
      <c r="D1237" s="46" t="n"/>
      <c r="E1237" s="46" t="n"/>
      <c r="F1237" s="51" t="n"/>
      <c r="G1237" s="47" t="n"/>
      <c r="H1237" s="47" t="n"/>
      <c r="I1237" s="43">
        <f>IF($B1237="","",N($G1237)-N($H1237))</f>
        <v/>
      </c>
    </row>
    <row r="1238">
      <c r="A1238" s="39">
        <f>IF($B1238="","",COUNTA($B$4:$B1238))</f>
        <v/>
      </c>
      <c r="B1238" s="40" t="n"/>
      <c r="C1238" s="41" t="n"/>
      <c r="D1238" s="41" t="n"/>
      <c r="E1238" s="41" t="n"/>
      <c r="F1238" s="50" t="n"/>
      <c r="G1238" s="42" t="n"/>
      <c r="H1238" s="42" t="n"/>
      <c r="I1238" s="43">
        <f>IF($B1238="","",N($G1238)-N($H1238))</f>
        <v/>
      </c>
    </row>
    <row r="1239">
      <c r="A1239" s="39">
        <f>IF($B1239="","",COUNTA($B$4:$B1239))</f>
        <v/>
      </c>
      <c r="B1239" s="45" t="n"/>
      <c r="C1239" s="46" t="n"/>
      <c r="D1239" s="46" t="n"/>
      <c r="E1239" s="46" t="n"/>
      <c r="F1239" s="51" t="n"/>
      <c r="G1239" s="47" t="n"/>
      <c r="H1239" s="47" t="n"/>
      <c r="I1239" s="43">
        <f>IF($B1239="","",N($G1239)-N($H1239))</f>
        <v/>
      </c>
    </row>
    <row r="1240">
      <c r="A1240" s="39">
        <f>IF($B1240="","",COUNTA($B$4:$B1240))</f>
        <v/>
      </c>
      <c r="B1240" s="40" t="n"/>
      <c r="C1240" s="41" t="n"/>
      <c r="D1240" s="41" t="n"/>
      <c r="E1240" s="41" t="n"/>
      <c r="F1240" s="50" t="n"/>
      <c r="G1240" s="42" t="n"/>
      <c r="H1240" s="42" t="n"/>
      <c r="I1240" s="43">
        <f>IF($B1240="","",N($G1240)-N($H1240))</f>
        <v/>
      </c>
    </row>
    <row r="1241">
      <c r="A1241" s="39">
        <f>IF($B1241="","",COUNTA($B$4:$B1241))</f>
        <v/>
      </c>
      <c r="B1241" s="45" t="n"/>
      <c r="C1241" s="46" t="n"/>
      <c r="D1241" s="46" t="n"/>
      <c r="E1241" s="46" t="n"/>
      <c r="F1241" s="51" t="n"/>
      <c r="G1241" s="47" t="n"/>
      <c r="H1241" s="47" t="n"/>
      <c r="I1241" s="43">
        <f>IF($B1241="","",N($G1241)-N($H1241))</f>
        <v/>
      </c>
    </row>
    <row r="1242">
      <c r="A1242" s="39">
        <f>IF($B1242="","",COUNTA($B$4:$B1242))</f>
        <v/>
      </c>
      <c r="B1242" s="40" t="n"/>
      <c r="C1242" s="41" t="n"/>
      <c r="D1242" s="41" t="n"/>
      <c r="E1242" s="41" t="n"/>
      <c r="F1242" s="50" t="n"/>
      <c r="G1242" s="42" t="n"/>
      <c r="H1242" s="42" t="n"/>
      <c r="I1242" s="43">
        <f>IF($B1242="","",N($G1242)-N($H1242))</f>
        <v/>
      </c>
    </row>
    <row r="1243">
      <c r="A1243" s="39">
        <f>IF($B1243="","",COUNTA($B$4:$B1243))</f>
        <v/>
      </c>
      <c r="B1243" s="45" t="n"/>
      <c r="C1243" s="46" t="n"/>
      <c r="D1243" s="46" t="n"/>
      <c r="E1243" s="46" t="n"/>
      <c r="F1243" s="51" t="n"/>
      <c r="G1243" s="47" t="n"/>
      <c r="H1243" s="47" t="n"/>
      <c r="I1243" s="43">
        <f>IF($B1243="","",N($G1243)-N($H1243))</f>
        <v/>
      </c>
    </row>
    <row r="1244">
      <c r="A1244" s="39">
        <f>IF($B1244="","",COUNTA($B$4:$B1244))</f>
        <v/>
      </c>
      <c r="B1244" s="40" t="n"/>
      <c r="C1244" s="41" t="n"/>
      <c r="D1244" s="41" t="n"/>
      <c r="E1244" s="41" t="n"/>
      <c r="F1244" s="50" t="n"/>
      <c r="G1244" s="42" t="n"/>
      <c r="H1244" s="42" t="n"/>
      <c r="I1244" s="43">
        <f>IF($B1244="","",N($G1244)-N($H1244))</f>
        <v/>
      </c>
    </row>
    <row r="1245">
      <c r="A1245" s="39">
        <f>IF($B1245="","",COUNTA($B$4:$B1245))</f>
        <v/>
      </c>
      <c r="B1245" s="45" t="n"/>
      <c r="C1245" s="46" t="n"/>
      <c r="D1245" s="46" t="n"/>
      <c r="E1245" s="46" t="n"/>
      <c r="F1245" s="51" t="n"/>
      <c r="G1245" s="47" t="n"/>
      <c r="H1245" s="47" t="n"/>
      <c r="I1245" s="43">
        <f>IF($B1245="","",N($G1245)-N($H1245))</f>
        <v/>
      </c>
    </row>
    <row r="1246">
      <c r="A1246" s="39">
        <f>IF($B1246="","",COUNTA($B$4:$B1246))</f>
        <v/>
      </c>
      <c r="B1246" s="40" t="n"/>
      <c r="C1246" s="41" t="n"/>
      <c r="D1246" s="41" t="n"/>
      <c r="E1246" s="41" t="n"/>
      <c r="F1246" s="50" t="n"/>
      <c r="G1246" s="42" t="n"/>
      <c r="H1246" s="42" t="n"/>
      <c r="I1246" s="43">
        <f>IF($B1246="","",N($G1246)-N($H1246))</f>
        <v/>
      </c>
    </row>
    <row r="1247">
      <c r="A1247" s="39">
        <f>IF($B1247="","",COUNTA($B$4:$B1247))</f>
        <v/>
      </c>
      <c r="B1247" s="45" t="n"/>
      <c r="C1247" s="46" t="n"/>
      <c r="D1247" s="46" t="n"/>
      <c r="E1247" s="46" t="n"/>
      <c r="F1247" s="51" t="n"/>
      <c r="G1247" s="47" t="n"/>
      <c r="H1247" s="47" t="n"/>
      <c r="I1247" s="43">
        <f>IF($B1247="","",N($G1247)-N($H1247))</f>
        <v/>
      </c>
    </row>
    <row r="1248">
      <c r="A1248" s="39">
        <f>IF($B1248="","",COUNTA($B$4:$B1248))</f>
        <v/>
      </c>
      <c r="B1248" s="40" t="n"/>
      <c r="C1248" s="41" t="n"/>
      <c r="D1248" s="41" t="n"/>
      <c r="E1248" s="41" t="n"/>
      <c r="F1248" s="50" t="n"/>
      <c r="G1248" s="42" t="n"/>
      <c r="H1248" s="42" t="n"/>
      <c r="I1248" s="43">
        <f>IF($B1248="","",N($G1248)-N($H1248))</f>
        <v/>
      </c>
    </row>
    <row r="1249">
      <c r="A1249" s="39">
        <f>IF($B1249="","",COUNTA($B$4:$B1249))</f>
        <v/>
      </c>
      <c r="B1249" s="45" t="n"/>
      <c r="C1249" s="46" t="n"/>
      <c r="D1249" s="46" t="n"/>
      <c r="E1249" s="46" t="n"/>
      <c r="F1249" s="51" t="n"/>
      <c r="G1249" s="47" t="n"/>
      <c r="H1249" s="47" t="n"/>
      <c r="I1249" s="43">
        <f>IF($B1249="","",N($G1249)-N($H1249))</f>
        <v/>
      </c>
    </row>
    <row r="1250">
      <c r="A1250" s="39">
        <f>IF($B1250="","",COUNTA($B$4:$B1250))</f>
        <v/>
      </c>
      <c r="B1250" s="40" t="n"/>
      <c r="C1250" s="41" t="n"/>
      <c r="D1250" s="41" t="n"/>
      <c r="E1250" s="41" t="n"/>
      <c r="F1250" s="50" t="n"/>
      <c r="G1250" s="42" t="n"/>
      <c r="H1250" s="42" t="n"/>
      <c r="I1250" s="43">
        <f>IF($B1250="","",N($G1250)-N($H1250))</f>
        <v/>
      </c>
    </row>
    <row r="1251">
      <c r="A1251" s="39">
        <f>IF($B1251="","",COUNTA($B$4:$B1251))</f>
        <v/>
      </c>
      <c r="B1251" s="45" t="n"/>
      <c r="C1251" s="46" t="n"/>
      <c r="D1251" s="46" t="n"/>
      <c r="E1251" s="46" t="n"/>
      <c r="F1251" s="51" t="n"/>
      <c r="G1251" s="47" t="n"/>
      <c r="H1251" s="47" t="n"/>
      <c r="I1251" s="43">
        <f>IF($B1251="","",N($G1251)-N($H1251))</f>
        <v/>
      </c>
    </row>
    <row r="1252">
      <c r="A1252" s="39">
        <f>IF($B1252="","",COUNTA($B$4:$B1252))</f>
        <v/>
      </c>
      <c r="B1252" s="40" t="n"/>
      <c r="C1252" s="41" t="n"/>
      <c r="D1252" s="41" t="n"/>
      <c r="E1252" s="41" t="n"/>
      <c r="F1252" s="50" t="n"/>
      <c r="G1252" s="42" t="n"/>
      <c r="H1252" s="42" t="n"/>
      <c r="I1252" s="43">
        <f>IF($B1252="","",N($G1252)-N($H1252))</f>
        <v/>
      </c>
    </row>
    <row r="1253">
      <c r="A1253" s="39">
        <f>IF($B1253="","",COUNTA($B$4:$B1253))</f>
        <v/>
      </c>
      <c r="B1253" s="45" t="n"/>
      <c r="C1253" s="46" t="n"/>
      <c r="D1253" s="46" t="n"/>
      <c r="E1253" s="46" t="n"/>
      <c r="F1253" s="51" t="n"/>
      <c r="G1253" s="47" t="n"/>
      <c r="H1253" s="47" t="n"/>
      <c r="I1253" s="43">
        <f>IF($B1253="","",N($G1253)-N($H1253))</f>
        <v/>
      </c>
    </row>
    <row r="1254">
      <c r="A1254" s="39">
        <f>IF($B1254="","",COUNTA($B$4:$B1254))</f>
        <v/>
      </c>
      <c r="B1254" s="40" t="n"/>
      <c r="C1254" s="41" t="n"/>
      <c r="D1254" s="41" t="n"/>
      <c r="E1254" s="41" t="n"/>
      <c r="F1254" s="50" t="n"/>
      <c r="G1254" s="42" t="n"/>
      <c r="H1254" s="42" t="n"/>
      <c r="I1254" s="43">
        <f>IF($B1254="","",N($G1254)-N($H1254))</f>
        <v/>
      </c>
    </row>
    <row r="1255">
      <c r="A1255" s="39">
        <f>IF($B1255="","",COUNTA($B$4:$B1255))</f>
        <v/>
      </c>
      <c r="B1255" s="45" t="n"/>
      <c r="C1255" s="46" t="n"/>
      <c r="D1255" s="46" t="n"/>
      <c r="E1255" s="46" t="n"/>
      <c r="F1255" s="51" t="n"/>
      <c r="G1255" s="47" t="n"/>
      <c r="H1255" s="47" t="n"/>
      <c r="I1255" s="43">
        <f>IF($B1255="","",N($G1255)-N($H1255))</f>
        <v/>
      </c>
    </row>
    <row r="1256">
      <c r="A1256" s="39">
        <f>IF($B1256="","",COUNTA($B$4:$B1256))</f>
        <v/>
      </c>
      <c r="B1256" s="40" t="n"/>
      <c r="C1256" s="41" t="n"/>
      <c r="D1256" s="41" t="n"/>
      <c r="E1256" s="41" t="n"/>
      <c r="F1256" s="50" t="n"/>
      <c r="G1256" s="42" t="n"/>
      <c r="H1256" s="42" t="n"/>
      <c r="I1256" s="43">
        <f>IF($B1256="","",N($G1256)-N($H1256))</f>
        <v/>
      </c>
    </row>
    <row r="1257">
      <c r="A1257" s="39">
        <f>IF($B1257="","",COUNTA($B$4:$B1257))</f>
        <v/>
      </c>
      <c r="B1257" s="45" t="n"/>
      <c r="C1257" s="46" t="n"/>
      <c r="D1257" s="46" t="n"/>
      <c r="E1257" s="46" t="n"/>
      <c r="F1257" s="51" t="n"/>
      <c r="G1257" s="47" t="n"/>
      <c r="H1257" s="47" t="n"/>
      <c r="I1257" s="43">
        <f>IF($B1257="","",N($G1257)-N($H1257))</f>
        <v/>
      </c>
    </row>
    <row r="1258">
      <c r="A1258" s="39">
        <f>IF($B1258="","",COUNTA($B$4:$B1258))</f>
        <v/>
      </c>
      <c r="B1258" s="40" t="n"/>
      <c r="C1258" s="41" t="n"/>
      <c r="D1258" s="41" t="n"/>
      <c r="E1258" s="41" t="n"/>
      <c r="F1258" s="50" t="n"/>
      <c r="G1258" s="42" t="n"/>
      <c r="H1258" s="42" t="n"/>
      <c r="I1258" s="43">
        <f>IF($B1258="","",N($G1258)-N($H1258))</f>
        <v/>
      </c>
    </row>
    <row r="1259">
      <c r="A1259" s="39">
        <f>IF($B1259="","",COUNTA($B$4:$B1259))</f>
        <v/>
      </c>
      <c r="B1259" s="45" t="n"/>
      <c r="C1259" s="46" t="n"/>
      <c r="D1259" s="46" t="n"/>
      <c r="E1259" s="46" t="n"/>
      <c r="F1259" s="51" t="n"/>
      <c r="G1259" s="47" t="n"/>
      <c r="H1259" s="47" t="n"/>
      <c r="I1259" s="43">
        <f>IF($B1259="","",N($G1259)-N($H1259))</f>
        <v/>
      </c>
    </row>
    <row r="1260">
      <c r="A1260" s="39">
        <f>IF($B1260="","",COUNTA($B$4:$B1260))</f>
        <v/>
      </c>
      <c r="B1260" s="40" t="n"/>
      <c r="C1260" s="41" t="n"/>
      <c r="D1260" s="41" t="n"/>
      <c r="E1260" s="41" t="n"/>
      <c r="F1260" s="50" t="n"/>
      <c r="G1260" s="42" t="n"/>
      <c r="H1260" s="42" t="n"/>
      <c r="I1260" s="43">
        <f>IF($B1260="","",N($G1260)-N($H1260))</f>
        <v/>
      </c>
    </row>
    <row r="1261">
      <c r="A1261" s="39">
        <f>IF($B1261="","",COUNTA($B$4:$B1261))</f>
        <v/>
      </c>
      <c r="B1261" s="45" t="n"/>
      <c r="C1261" s="46" t="n"/>
      <c r="D1261" s="46" t="n"/>
      <c r="E1261" s="46" t="n"/>
      <c r="F1261" s="51" t="n"/>
      <c r="G1261" s="47" t="n"/>
      <c r="H1261" s="47" t="n"/>
      <c r="I1261" s="43">
        <f>IF($B1261="","",N($G1261)-N($H1261))</f>
        <v/>
      </c>
    </row>
    <row r="1262">
      <c r="A1262" s="39">
        <f>IF($B1262="","",COUNTA($B$4:$B1262))</f>
        <v/>
      </c>
      <c r="B1262" s="40" t="n"/>
      <c r="C1262" s="41" t="n"/>
      <c r="D1262" s="41" t="n"/>
      <c r="E1262" s="41" t="n"/>
      <c r="F1262" s="50" t="n"/>
      <c r="G1262" s="42" t="n"/>
      <c r="H1262" s="42" t="n"/>
      <c r="I1262" s="43">
        <f>IF($B1262="","",N($G1262)-N($H1262))</f>
        <v/>
      </c>
    </row>
    <row r="1263">
      <c r="A1263" s="39">
        <f>IF($B1263="","",COUNTA($B$4:$B1263))</f>
        <v/>
      </c>
      <c r="B1263" s="45" t="n"/>
      <c r="C1263" s="46" t="n"/>
      <c r="D1263" s="46" t="n"/>
      <c r="E1263" s="46" t="n"/>
      <c r="F1263" s="51" t="n"/>
      <c r="G1263" s="47" t="n"/>
      <c r="H1263" s="47" t="n"/>
      <c r="I1263" s="43">
        <f>IF($B1263="","",N($G1263)-N($H1263))</f>
        <v/>
      </c>
    </row>
    <row r="1264">
      <c r="A1264" s="39">
        <f>IF($B1264="","",COUNTA($B$4:$B1264))</f>
        <v/>
      </c>
      <c r="B1264" s="40" t="n"/>
      <c r="C1264" s="41" t="n"/>
      <c r="D1264" s="41" t="n"/>
      <c r="E1264" s="41" t="n"/>
      <c r="F1264" s="50" t="n"/>
      <c r="G1264" s="42" t="n"/>
      <c r="H1264" s="42" t="n"/>
      <c r="I1264" s="43">
        <f>IF($B1264="","",N($G1264)-N($H1264))</f>
        <v/>
      </c>
    </row>
    <row r="1265">
      <c r="A1265" s="39">
        <f>IF($B1265="","",COUNTA($B$4:$B1265))</f>
        <v/>
      </c>
      <c r="B1265" s="45" t="n"/>
      <c r="C1265" s="46" t="n"/>
      <c r="D1265" s="46" t="n"/>
      <c r="E1265" s="46" t="n"/>
      <c r="F1265" s="51" t="n"/>
      <c r="G1265" s="47" t="n"/>
      <c r="H1265" s="47" t="n"/>
      <c r="I1265" s="43">
        <f>IF($B1265="","",N($G1265)-N($H1265))</f>
        <v/>
      </c>
    </row>
    <row r="1266">
      <c r="A1266" s="39">
        <f>IF($B1266="","",COUNTA($B$4:$B1266))</f>
        <v/>
      </c>
      <c r="B1266" s="40" t="n"/>
      <c r="C1266" s="41" t="n"/>
      <c r="D1266" s="41" t="n"/>
      <c r="E1266" s="41" t="n"/>
      <c r="F1266" s="50" t="n"/>
      <c r="G1266" s="42" t="n"/>
      <c r="H1266" s="42" t="n"/>
      <c r="I1266" s="43">
        <f>IF($B1266="","",N($G1266)-N($H1266))</f>
        <v/>
      </c>
    </row>
    <row r="1267">
      <c r="A1267" s="39">
        <f>IF($B1267="","",COUNTA($B$4:$B1267))</f>
        <v/>
      </c>
      <c r="B1267" s="45" t="n"/>
      <c r="C1267" s="46" t="n"/>
      <c r="D1267" s="46" t="n"/>
      <c r="E1267" s="46" t="n"/>
      <c r="F1267" s="51" t="n"/>
      <c r="G1267" s="47" t="n"/>
      <c r="H1267" s="47" t="n"/>
      <c r="I1267" s="43">
        <f>IF($B1267="","",N($G1267)-N($H1267))</f>
        <v/>
      </c>
    </row>
    <row r="1268">
      <c r="A1268" s="39">
        <f>IF($B1268="","",COUNTA($B$4:$B1268))</f>
        <v/>
      </c>
      <c r="B1268" s="40" t="n"/>
      <c r="C1268" s="41" t="n"/>
      <c r="D1268" s="41" t="n"/>
      <c r="E1268" s="41" t="n"/>
      <c r="F1268" s="50" t="n"/>
      <c r="G1268" s="42" t="n"/>
      <c r="H1268" s="42" t="n"/>
      <c r="I1268" s="43">
        <f>IF($B1268="","",N($G1268)-N($H1268))</f>
        <v/>
      </c>
    </row>
    <row r="1269">
      <c r="A1269" s="39">
        <f>IF($B1269="","",COUNTA($B$4:$B1269))</f>
        <v/>
      </c>
      <c r="B1269" s="45" t="n"/>
      <c r="C1269" s="46" t="n"/>
      <c r="D1269" s="46" t="n"/>
      <c r="E1269" s="46" t="n"/>
      <c r="F1269" s="51" t="n"/>
      <c r="G1269" s="47" t="n"/>
      <c r="H1269" s="47" t="n"/>
      <c r="I1269" s="43">
        <f>IF($B1269="","",N($G1269)-N($H1269))</f>
        <v/>
      </c>
    </row>
    <row r="1270">
      <c r="A1270" s="39">
        <f>IF($B1270="","",COUNTA($B$4:$B1270))</f>
        <v/>
      </c>
      <c r="B1270" s="40" t="n"/>
      <c r="C1270" s="41" t="n"/>
      <c r="D1270" s="41" t="n"/>
      <c r="E1270" s="41" t="n"/>
      <c r="F1270" s="50" t="n"/>
      <c r="G1270" s="42" t="n"/>
      <c r="H1270" s="42" t="n"/>
      <c r="I1270" s="43">
        <f>IF($B1270="","",N($G1270)-N($H1270))</f>
        <v/>
      </c>
    </row>
    <row r="1271">
      <c r="A1271" s="39">
        <f>IF($B1271="","",COUNTA($B$4:$B1271))</f>
        <v/>
      </c>
      <c r="B1271" s="45" t="n"/>
      <c r="C1271" s="46" t="n"/>
      <c r="D1271" s="46" t="n"/>
      <c r="E1271" s="46" t="n"/>
      <c r="F1271" s="51" t="n"/>
      <c r="G1271" s="47" t="n"/>
      <c r="H1271" s="47" t="n"/>
      <c r="I1271" s="43">
        <f>IF($B1271="","",N($G1271)-N($H1271))</f>
        <v/>
      </c>
    </row>
    <row r="1272">
      <c r="A1272" s="39">
        <f>IF($B1272="","",COUNTA($B$4:$B1272))</f>
        <v/>
      </c>
      <c r="B1272" s="40" t="n"/>
      <c r="C1272" s="41" t="n"/>
      <c r="D1272" s="41" t="n"/>
      <c r="E1272" s="41" t="n"/>
      <c r="F1272" s="50" t="n"/>
      <c r="G1272" s="42" t="n"/>
      <c r="H1272" s="42" t="n"/>
      <c r="I1272" s="43">
        <f>IF($B1272="","",N($G1272)-N($H1272))</f>
        <v/>
      </c>
    </row>
    <row r="1273">
      <c r="A1273" s="39">
        <f>IF($B1273="","",COUNTA($B$4:$B1273))</f>
        <v/>
      </c>
      <c r="B1273" s="45" t="n"/>
      <c r="C1273" s="46" t="n"/>
      <c r="D1273" s="46" t="n"/>
      <c r="E1273" s="46" t="n"/>
      <c r="F1273" s="51" t="n"/>
      <c r="G1273" s="47" t="n"/>
      <c r="H1273" s="47" t="n"/>
      <c r="I1273" s="43">
        <f>IF($B1273="","",N($G1273)-N($H1273))</f>
        <v/>
      </c>
    </row>
    <row r="1274">
      <c r="A1274" s="39">
        <f>IF($B1274="","",COUNTA($B$4:$B1274))</f>
        <v/>
      </c>
      <c r="B1274" s="40" t="n"/>
      <c r="C1274" s="41" t="n"/>
      <c r="D1274" s="41" t="n"/>
      <c r="E1274" s="41" t="n"/>
      <c r="F1274" s="50" t="n"/>
      <c r="G1274" s="42" t="n"/>
      <c r="H1274" s="42" t="n"/>
      <c r="I1274" s="43">
        <f>IF($B1274="","",N($G1274)-N($H1274))</f>
        <v/>
      </c>
    </row>
    <row r="1275">
      <c r="A1275" s="39">
        <f>IF($B1275="","",COUNTA($B$4:$B1275))</f>
        <v/>
      </c>
      <c r="B1275" s="45" t="n"/>
      <c r="C1275" s="46" t="n"/>
      <c r="D1275" s="46" t="n"/>
      <c r="E1275" s="46" t="n"/>
      <c r="F1275" s="51" t="n"/>
      <c r="G1275" s="47" t="n"/>
      <c r="H1275" s="47" t="n"/>
      <c r="I1275" s="43">
        <f>IF($B1275="","",N($G1275)-N($H1275))</f>
        <v/>
      </c>
    </row>
    <row r="1276">
      <c r="A1276" s="39">
        <f>IF($B1276="","",COUNTA($B$4:$B1276))</f>
        <v/>
      </c>
      <c r="B1276" s="40" t="n"/>
      <c r="C1276" s="41" t="n"/>
      <c r="D1276" s="41" t="n"/>
      <c r="E1276" s="41" t="n"/>
      <c r="F1276" s="50" t="n"/>
      <c r="G1276" s="42" t="n"/>
      <c r="H1276" s="42" t="n"/>
      <c r="I1276" s="43">
        <f>IF($B1276="","",N($G1276)-N($H1276))</f>
        <v/>
      </c>
    </row>
    <row r="1277">
      <c r="A1277" s="39">
        <f>IF($B1277="","",COUNTA($B$4:$B1277))</f>
        <v/>
      </c>
      <c r="B1277" s="45" t="n"/>
      <c r="C1277" s="46" t="n"/>
      <c r="D1277" s="46" t="n"/>
      <c r="E1277" s="46" t="n"/>
      <c r="F1277" s="51" t="n"/>
      <c r="G1277" s="47" t="n"/>
      <c r="H1277" s="47" t="n"/>
      <c r="I1277" s="43">
        <f>IF($B1277="","",N($G1277)-N($H1277))</f>
        <v/>
      </c>
    </row>
    <row r="1278">
      <c r="A1278" s="39">
        <f>IF($B1278="","",COUNTA($B$4:$B1278))</f>
        <v/>
      </c>
      <c r="B1278" s="40" t="n"/>
      <c r="C1278" s="41" t="n"/>
      <c r="D1278" s="41" t="n"/>
      <c r="E1278" s="41" t="n"/>
      <c r="F1278" s="50" t="n"/>
      <c r="G1278" s="42" t="n"/>
      <c r="H1278" s="42" t="n"/>
      <c r="I1278" s="43">
        <f>IF($B1278="","",N($G1278)-N($H1278))</f>
        <v/>
      </c>
    </row>
    <row r="1279">
      <c r="A1279" s="39">
        <f>IF($B1279="","",COUNTA($B$4:$B1279))</f>
        <v/>
      </c>
      <c r="B1279" s="45" t="n"/>
      <c r="C1279" s="46" t="n"/>
      <c r="D1279" s="46" t="n"/>
      <c r="E1279" s="46" t="n"/>
      <c r="F1279" s="51" t="n"/>
      <c r="G1279" s="47" t="n"/>
      <c r="H1279" s="47" t="n"/>
      <c r="I1279" s="43">
        <f>IF($B1279="","",N($G1279)-N($H1279))</f>
        <v/>
      </c>
    </row>
    <row r="1280">
      <c r="A1280" s="39">
        <f>IF($B1280="","",COUNTA($B$4:$B1280))</f>
        <v/>
      </c>
      <c r="B1280" s="40" t="n"/>
      <c r="C1280" s="41" t="n"/>
      <c r="D1280" s="41" t="n"/>
      <c r="E1280" s="41" t="n"/>
      <c r="F1280" s="50" t="n"/>
      <c r="G1280" s="42" t="n"/>
      <c r="H1280" s="42" t="n"/>
      <c r="I1280" s="43">
        <f>IF($B1280="","",N($G1280)-N($H1280))</f>
        <v/>
      </c>
    </row>
    <row r="1281">
      <c r="A1281" s="39">
        <f>IF($B1281="","",COUNTA($B$4:$B1281))</f>
        <v/>
      </c>
      <c r="B1281" s="45" t="n"/>
      <c r="C1281" s="46" t="n"/>
      <c r="D1281" s="46" t="n"/>
      <c r="E1281" s="46" t="n"/>
      <c r="F1281" s="51" t="n"/>
      <c r="G1281" s="47" t="n"/>
      <c r="H1281" s="47" t="n"/>
      <c r="I1281" s="43">
        <f>IF($B1281="","",N($G1281)-N($H1281))</f>
        <v/>
      </c>
    </row>
    <row r="1282">
      <c r="A1282" s="39">
        <f>IF($B1282="","",COUNTA($B$4:$B1282))</f>
        <v/>
      </c>
      <c r="B1282" s="40" t="n"/>
      <c r="C1282" s="41" t="n"/>
      <c r="D1282" s="41" t="n"/>
      <c r="E1282" s="41" t="n"/>
      <c r="F1282" s="50" t="n"/>
      <c r="G1282" s="42" t="n"/>
      <c r="H1282" s="42" t="n"/>
      <c r="I1282" s="43">
        <f>IF($B1282="","",N($G1282)-N($H1282))</f>
        <v/>
      </c>
    </row>
    <row r="1283">
      <c r="A1283" s="39">
        <f>IF($B1283="","",COUNTA($B$4:$B1283))</f>
        <v/>
      </c>
      <c r="B1283" s="45" t="n"/>
      <c r="C1283" s="46" t="n"/>
      <c r="D1283" s="46" t="n"/>
      <c r="E1283" s="46" t="n"/>
      <c r="F1283" s="51" t="n"/>
      <c r="G1283" s="47" t="n"/>
      <c r="H1283" s="47" t="n"/>
      <c r="I1283" s="43">
        <f>IF($B1283="","",N($G1283)-N($H1283))</f>
        <v/>
      </c>
    </row>
    <row r="1284">
      <c r="A1284" s="39">
        <f>IF($B1284="","",COUNTA($B$4:$B1284))</f>
        <v/>
      </c>
      <c r="B1284" s="40" t="n"/>
      <c r="C1284" s="41" t="n"/>
      <c r="D1284" s="41" t="n"/>
      <c r="E1284" s="41" t="n"/>
      <c r="F1284" s="50" t="n"/>
      <c r="G1284" s="42" t="n"/>
      <c r="H1284" s="42" t="n"/>
      <c r="I1284" s="43">
        <f>IF($B1284="","",N($G1284)-N($H1284))</f>
        <v/>
      </c>
    </row>
    <row r="1285">
      <c r="A1285" s="39">
        <f>IF($B1285="","",COUNTA($B$4:$B1285))</f>
        <v/>
      </c>
      <c r="B1285" s="45" t="n"/>
      <c r="C1285" s="46" t="n"/>
      <c r="D1285" s="46" t="n"/>
      <c r="E1285" s="46" t="n"/>
      <c r="F1285" s="51" t="n"/>
      <c r="G1285" s="47" t="n"/>
      <c r="H1285" s="47" t="n"/>
      <c r="I1285" s="43">
        <f>IF($B1285="","",N($G1285)-N($H1285))</f>
        <v/>
      </c>
    </row>
    <row r="1286">
      <c r="A1286" s="39">
        <f>IF($B1286="","",COUNTA($B$4:$B1286))</f>
        <v/>
      </c>
      <c r="B1286" s="40" t="n"/>
      <c r="C1286" s="41" t="n"/>
      <c r="D1286" s="41" t="n"/>
      <c r="E1286" s="41" t="n"/>
      <c r="F1286" s="50" t="n"/>
      <c r="G1286" s="42" t="n"/>
      <c r="H1286" s="42" t="n"/>
      <c r="I1286" s="43">
        <f>IF($B1286="","",N($G1286)-N($H1286))</f>
        <v/>
      </c>
    </row>
    <row r="1287">
      <c r="A1287" s="39">
        <f>IF($B1287="","",COUNTA($B$4:$B1287))</f>
        <v/>
      </c>
      <c r="B1287" s="45" t="n"/>
      <c r="C1287" s="46" t="n"/>
      <c r="D1287" s="46" t="n"/>
      <c r="E1287" s="46" t="n"/>
      <c r="F1287" s="51" t="n"/>
      <c r="G1287" s="47" t="n"/>
      <c r="H1287" s="47" t="n"/>
      <c r="I1287" s="43">
        <f>IF($B1287="","",N($G1287)-N($H1287))</f>
        <v/>
      </c>
    </row>
    <row r="1288">
      <c r="A1288" s="39">
        <f>IF($B1288="","",COUNTA($B$4:$B1288))</f>
        <v/>
      </c>
      <c r="B1288" s="40" t="n"/>
      <c r="C1288" s="41" t="n"/>
      <c r="D1288" s="41" t="n"/>
      <c r="E1288" s="41" t="n"/>
      <c r="F1288" s="50" t="n"/>
      <c r="G1288" s="42" t="n"/>
      <c r="H1288" s="42" t="n"/>
      <c r="I1288" s="43">
        <f>IF($B1288="","",N($G1288)-N($H1288))</f>
        <v/>
      </c>
    </row>
    <row r="1289">
      <c r="A1289" s="39">
        <f>IF($B1289="","",COUNTA($B$4:$B1289))</f>
        <v/>
      </c>
      <c r="B1289" s="45" t="n"/>
      <c r="C1289" s="46" t="n"/>
      <c r="D1289" s="46" t="n"/>
      <c r="E1289" s="46" t="n"/>
      <c r="F1289" s="51" t="n"/>
      <c r="G1289" s="47" t="n"/>
      <c r="H1289" s="47" t="n"/>
      <c r="I1289" s="43">
        <f>IF($B1289="","",N($G1289)-N($H1289))</f>
        <v/>
      </c>
    </row>
    <row r="1290">
      <c r="A1290" s="39">
        <f>IF($B1290="","",COUNTA($B$4:$B1290))</f>
        <v/>
      </c>
      <c r="B1290" s="40" t="n"/>
      <c r="C1290" s="41" t="n"/>
      <c r="D1290" s="41" t="n"/>
      <c r="E1290" s="41" t="n"/>
      <c r="F1290" s="50" t="n"/>
      <c r="G1290" s="42" t="n"/>
      <c r="H1290" s="42" t="n"/>
      <c r="I1290" s="43">
        <f>IF($B1290="","",N($G1290)-N($H1290))</f>
        <v/>
      </c>
    </row>
    <row r="1291">
      <c r="A1291" s="39">
        <f>IF($B1291="","",COUNTA($B$4:$B1291))</f>
        <v/>
      </c>
      <c r="B1291" s="45" t="n"/>
      <c r="C1291" s="46" t="n"/>
      <c r="D1291" s="46" t="n"/>
      <c r="E1291" s="46" t="n"/>
      <c r="F1291" s="51" t="n"/>
      <c r="G1291" s="47" t="n"/>
      <c r="H1291" s="47" t="n"/>
      <c r="I1291" s="43">
        <f>IF($B1291="","",N($G1291)-N($H1291))</f>
        <v/>
      </c>
    </row>
    <row r="1292">
      <c r="A1292" s="39">
        <f>IF($B1292="","",COUNTA($B$4:$B1292))</f>
        <v/>
      </c>
      <c r="B1292" s="40" t="n"/>
      <c r="C1292" s="41" t="n"/>
      <c r="D1292" s="41" t="n"/>
      <c r="E1292" s="41" t="n"/>
      <c r="F1292" s="50" t="n"/>
      <c r="G1292" s="42" t="n"/>
      <c r="H1292" s="42" t="n"/>
      <c r="I1292" s="43">
        <f>IF($B1292="","",N($G1292)-N($H1292))</f>
        <v/>
      </c>
    </row>
    <row r="1293">
      <c r="A1293" s="39">
        <f>IF($B1293="","",COUNTA($B$4:$B1293))</f>
        <v/>
      </c>
      <c r="B1293" s="45" t="n"/>
      <c r="C1293" s="46" t="n"/>
      <c r="D1293" s="46" t="n"/>
      <c r="E1293" s="46" t="n"/>
      <c r="F1293" s="51" t="n"/>
      <c r="G1293" s="47" t="n"/>
      <c r="H1293" s="47" t="n"/>
      <c r="I1293" s="43">
        <f>IF($B1293="","",N($G1293)-N($H1293))</f>
        <v/>
      </c>
    </row>
    <row r="1294">
      <c r="A1294" s="39">
        <f>IF($B1294="","",COUNTA($B$4:$B1294))</f>
        <v/>
      </c>
      <c r="B1294" s="40" t="n"/>
      <c r="C1294" s="41" t="n"/>
      <c r="D1294" s="41" t="n"/>
      <c r="E1294" s="41" t="n"/>
      <c r="F1294" s="50" t="n"/>
      <c r="G1294" s="42" t="n"/>
      <c r="H1294" s="42" t="n"/>
      <c r="I1294" s="43">
        <f>IF($B1294="","",N($G1294)-N($H1294))</f>
        <v/>
      </c>
    </row>
    <row r="1295">
      <c r="A1295" s="39">
        <f>IF($B1295="","",COUNTA($B$4:$B1295))</f>
        <v/>
      </c>
      <c r="B1295" s="45" t="n"/>
      <c r="C1295" s="46" t="n"/>
      <c r="D1295" s="46" t="n"/>
      <c r="E1295" s="46" t="n"/>
      <c r="F1295" s="51" t="n"/>
      <c r="G1295" s="47" t="n"/>
      <c r="H1295" s="47" t="n"/>
      <c r="I1295" s="43">
        <f>IF($B1295="","",N($G1295)-N($H1295))</f>
        <v/>
      </c>
    </row>
    <row r="1296">
      <c r="A1296" s="39">
        <f>IF($B1296="","",COUNTA($B$4:$B1296))</f>
        <v/>
      </c>
      <c r="B1296" s="40" t="n"/>
      <c r="C1296" s="41" t="n"/>
      <c r="D1296" s="41" t="n"/>
      <c r="E1296" s="41" t="n"/>
      <c r="F1296" s="50" t="n"/>
      <c r="G1296" s="42" t="n"/>
      <c r="H1296" s="42" t="n"/>
      <c r="I1296" s="43">
        <f>IF($B1296="","",N($G1296)-N($H1296))</f>
        <v/>
      </c>
    </row>
    <row r="1297">
      <c r="A1297" s="39">
        <f>IF($B1297="","",COUNTA($B$4:$B1297))</f>
        <v/>
      </c>
      <c r="B1297" s="45" t="n"/>
      <c r="C1297" s="46" t="n"/>
      <c r="D1297" s="46" t="n"/>
      <c r="E1297" s="46" t="n"/>
      <c r="F1297" s="51" t="n"/>
      <c r="G1297" s="47" t="n"/>
      <c r="H1297" s="47" t="n"/>
      <c r="I1297" s="43">
        <f>IF($B1297="","",N($G1297)-N($H1297))</f>
        <v/>
      </c>
    </row>
    <row r="1298">
      <c r="A1298" s="39">
        <f>IF($B1298="","",COUNTA($B$4:$B1298))</f>
        <v/>
      </c>
      <c r="B1298" s="40" t="n"/>
      <c r="C1298" s="41" t="n"/>
      <c r="D1298" s="41" t="n"/>
      <c r="E1298" s="41" t="n"/>
      <c r="F1298" s="50" t="n"/>
      <c r="G1298" s="42" t="n"/>
      <c r="H1298" s="42" t="n"/>
      <c r="I1298" s="43">
        <f>IF($B1298="","",N($G1298)-N($H1298))</f>
        <v/>
      </c>
    </row>
    <row r="1299">
      <c r="A1299" s="39">
        <f>IF($B1299="","",COUNTA($B$4:$B1299))</f>
        <v/>
      </c>
      <c r="B1299" s="45" t="n"/>
      <c r="C1299" s="46" t="n"/>
      <c r="D1299" s="46" t="n"/>
      <c r="E1299" s="46" t="n"/>
      <c r="F1299" s="51" t="n"/>
      <c r="G1299" s="47" t="n"/>
      <c r="H1299" s="47" t="n"/>
      <c r="I1299" s="43">
        <f>IF($B1299="","",N($G1299)-N($H1299))</f>
        <v/>
      </c>
    </row>
    <row r="1300">
      <c r="A1300" s="39">
        <f>IF($B1300="","",COUNTA($B$4:$B1300))</f>
        <v/>
      </c>
      <c r="B1300" s="40" t="n"/>
      <c r="C1300" s="41" t="n"/>
      <c r="D1300" s="41" t="n"/>
      <c r="E1300" s="41" t="n"/>
      <c r="F1300" s="50" t="n"/>
      <c r="G1300" s="42" t="n"/>
      <c r="H1300" s="42" t="n"/>
      <c r="I1300" s="43">
        <f>IF($B1300="","",N($G1300)-N($H1300))</f>
        <v/>
      </c>
    </row>
    <row r="1301">
      <c r="A1301" s="39">
        <f>IF($B1301="","",COUNTA($B$4:$B1301))</f>
        <v/>
      </c>
      <c r="B1301" s="45" t="n"/>
      <c r="C1301" s="46" t="n"/>
      <c r="D1301" s="46" t="n"/>
      <c r="E1301" s="46" t="n"/>
      <c r="F1301" s="51" t="n"/>
      <c r="G1301" s="47" t="n"/>
      <c r="H1301" s="47" t="n"/>
      <c r="I1301" s="43">
        <f>IF($B1301="","",N($G1301)-N($H1301))</f>
        <v/>
      </c>
    </row>
    <row r="1302">
      <c r="A1302" s="39">
        <f>IF($B1302="","",COUNTA($B$4:$B1302))</f>
        <v/>
      </c>
      <c r="B1302" s="40" t="n"/>
      <c r="C1302" s="41" t="n"/>
      <c r="D1302" s="41" t="n"/>
      <c r="E1302" s="41" t="n"/>
      <c r="F1302" s="50" t="n"/>
      <c r="G1302" s="42" t="n"/>
      <c r="H1302" s="42" t="n"/>
      <c r="I1302" s="43">
        <f>IF($B1302="","",N($G1302)-N($H1302))</f>
        <v/>
      </c>
    </row>
    <row r="1303">
      <c r="A1303" s="39">
        <f>IF($B1303="","",COUNTA($B$4:$B1303))</f>
        <v/>
      </c>
      <c r="B1303" s="45" t="n"/>
      <c r="C1303" s="46" t="n"/>
      <c r="D1303" s="46" t="n"/>
      <c r="E1303" s="46" t="n"/>
      <c r="F1303" s="51" t="n"/>
      <c r="G1303" s="47" t="n"/>
      <c r="H1303" s="47" t="n"/>
      <c r="I1303" s="43">
        <f>IF($B1303="","",N($G1303)-N($H1303))</f>
        <v/>
      </c>
    </row>
    <row r="1304">
      <c r="A1304" s="39">
        <f>IF($B1304="","",COUNTA($B$4:$B1304))</f>
        <v/>
      </c>
      <c r="B1304" s="40" t="n"/>
      <c r="C1304" s="41" t="n"/>
      <c r="D1304" s="41" t="n"/>
      <c r="E1304" s="41" t="n"/>
      <c r="F1304" s="50" t="n"/>
      <c r="G1304" s="42" t="n"/>
      <c r="H1304" s="42" t="n"/>
      <c r="I1304" s="43">
        <f>IF($B1304="","",N($G1304)-N($H1304))</f>
        <v/>
      </c>
    </row>
    <row r="1305">
      <c r="A1305" s="39">
        <f>IF($B1305="","",COUNTA($B$4:$B1305))</f>
        <v/>
      </c>
      <c r="B1305" s="45" t="n"/>
      <c r="C1305" s="46" t="n"/>
      <c r="D1305" s="46" t="n"/>
      <c r="E1305" s="46" t="n"/>
      <c r="F1305" s="51" t="n"/>
      <c r="G1305" s="47" t="n"/>
      <c r="H1305" s="47" t="n"/>
      <c r="I1305" s="43">
        <f>IF($B1305="","",N($G1305)-N($H1305))</f>
        <v/>
      </c>
    </row>
    <row r="1306">
      <c r="A1306" s="39">
        <f>IF($B1306="","",COUNTA($B$4:$B1306))</f>
        <v/>
      </c>
      <c r="B1306" s="40" t="n"/>
      <c r="C1306" s="41" t="n"/>
      <c r="D1306" s="41" t="n"/>
      <c r="E1306" s="41" t="n"/>
      <c r="F1306" s="50" t="n"/>
      <c r="G1306" s="42" t="n"/>
      <c r="H1306" s="42" t="n"/>
      <c r="I1306" s="43">
        <f>IF($B1306="","",N($G1306)-N($H1306))</f>
        <v/>
      </c>
    </row>
    <row r="1307">
      <c r="A1307" s="39">
        <f>IF($B1307="","",COUNTA($B$4:$B1307))</f>
        <v/>
      </c>
      <c r="B1307" s="45" t="n"/>
      <c r="C1307" s="46" t="n"/>
      <c r="D1307" s="46" t="n"/>
      <c r="E1307" s="46" t="n"/>
      <c r="F1307" s="51" t="n"/>
      <c r="G1307" s="47" t="n"/>
      <c r="H1307" s="47" t="n"/>
      <c r="I1307" s="43">
        <f>IF($B1307="","",N($G1307)-N($H1307))</f>
        <v/>
      </c>
    </row>
    <row r="1308">
      <c r="A1308" s="39">
        <f>IF($B1308="","",COUNTA($B$4:$B1308))</f>
        <v/>
      </c>
      <c r="B1308" s="40" t="n"/>
      <c r="C1308" s="41" t="n"/>
      <c r="D1308" s="41" t="n"/>
      <c r="E1308" s="41" t="n"/>
      <c r="F1308" s="50" t="n"/>
      <c r="G1308" s="42" t="n"/>
      <c r="H1308" s="42" t="n"/>
      <c r="I1308" s="43">
        <f>IF($B1308="","",N($G1308)-N($H1308))</f>
        <v/>
      </c>
    </row>
    <row r="1309">
      <c r="A1309" s="39">
        <f>IF($B1309="","",COUNTA($B$4:$B1309))</f>
        <v/>
      </c>
      <c r="B1309" s="45" t="n"/>
      <c r="C1309" s="46" t="n"/>
      <c r="D1309" s="46" t="n"/>
      <c r="E1309" s="46" t="n"/>
      <c r="F1309" s="51" t="n"/>
      <c r="G1309" s="47" t="n"/>
      <c r="H1309" s="47" t="n"/>
      <c r="I1309" s="43">
        <f>IF($B1309="","",N($G1309)-N($H1309))</f>
        <v/>
      </c>
    </row>
    <row r="1310">
      <c r="A1310" s="39">
        <f>IF($B1310="","",COUNTA($B$4:$B1310))</f>
        <v/>
      </c>
      <c r="B1310" s="40" t="n"/>
      <c r="C1310" s="41" t="n"/>
      <c r="D1310" s="41" t="n"/>
      <c r="E1310" s="41" t="n"/>
      <c r="F1310" s="50" t="n"/>
      <c r="G1310" s="42" t="n"/>
      <c r="H1310" s="42" t="n"/>
      <c r="I1310" s="43">
        <f>IF($B1310="","",N($G1310)-N($H1310))</f>
        <v/>
      </c>
    </row>
    <row r="1311">
      <c r="A1311" s="39">
        <f>IF($B1311="","",COUNTA($B$4:$B1311))</f>
        <v/>
      </c>
      <c r="B1311" s="45" t="n"/>
      <c r="C1311" s="46" t="n"/>
      <c r="D1311" s="46" t="n"/>
      <c r="E1311" s="46" t="n"/>
      <c r="F1311" s="51" t="n"/>
      <c r="G1311" s="47" t="n"/>
      <c r="H1311" s="47" t="n"/>
      <c r="I1311" s="43">
        <f>IF($B1311="","",N($G1311)-N($H1311))</f>
        <v/>
      </c>
    </row>
    <row r="1312">
      <c r="A1312" s="39">
        <f>IF($B1312="","",COUNTA($B$4:$B1312))</f>
        <v/>
      </c>
      <c r="B1312" s="40" t="n"/>
      <c r="C1312" s="41" t="n"/>
      <c r="D1312" s="41" t="n"/>
      <c r="E1312" s="41" t="n"/>
      <c r="F1312" s="50" t="n"/>
      <c r="G1312" s="42" t="n"/>
      <c r="H1312" s="42" t="n"/>
      <c r="I1312" s="43">
        <f>IF($B1312="","",N($G1312)-N($H1312))</f>
        <v/>
      </c>
    </row>
    <row r="1313">
      <c r="A1313" s="39">
        <f>IF($B1313="","",COUNTA($B$4:$B1313))</f>
        <v/>
      </c>
      <c r="B1313" s="45" t="n"/>
      <c r="C1313" s="46" t="n"/>
      <c r="D1313" s="46" t="n"/>
      <c r="E1313" s="46" t="n"/>
      <c r="F1313" s="51" t="n"/>
      <c r="G1313" s="47" t="n"/>
      <c r="H1313" s="47" t="n"/>
      <c r="I1313" s="43">
        <f>IF($B1313="","",N($G1313)-N($H1313))</f>
        <v/>
      </c>
    </row>
    <row r="1314">
      <c r="A1314" s="39">
        <f>IF($B1314="","",COUNTA($B$4:$B1314))</f>
        <v/>
      </c>
      <c r="B1314" s="40" t="n"/>
      <c r="C1314" s="41" t="n"/>
      <c r="D1314" s="41" t="n"/>
      <c r="E1314" s="41" t="n"/>
      <c r="F1314" s="50" t="n"/>
      <c r="G1314" s="42" t="n"/>
      <c r="H1314" s="42" t="n"/>
      <c r="I1314" s="43">
        <f>IF($B1314="","",N($G1314)-N($H1314))</f>
        <v/>
      </c>
    </row>
    <row r="1315">
      <c r="A1315" s="39">
        <f>IF($B1315="","",COUNTA($B$4:$B1315))</f>
        <v/>
      </c>
      <c r="B1315" s="45" t="n"/>
      <c r="C1315" s="46" t="n"/>
      <c r="D1315" s="46" t="n"/>
      <c r="E1315" s="46" t="n"/>
      <c r="F1315" s="51" t="n"/>
      <c r="G1315" s="47" t="n"/>
      <c r="H1315" s="47" t="n"/>
      <c r="I1315" s="43">
        <f>IF($B1315="","",N($G1315)-N($H1315))</f>
        <v/>
      </c>
    </row>
    <row r="1316">
      <c r="A1316" s="39">
        <f>IF($B1316="","",COUNTA($B$4:$B1316))</f>
        <v/>
      </c>
      <c r="B1316" s="40" t="n"/>
      <c r="C1316" s="41" t="n"/>
      <c r="D1316" s="41" t="n"/>
      <c r="E1316" s="41" t="n"/>
      <c r="F1316" s="50" t="n"/>
      <c r="G1316" s="42" t="n"/>
      <c r="H1316" s="42" t="n"/>
      <c r="I1316" s="43">
        <f>IF($B1316="","",N($G1316)-N($H1316))</f>
        <v/>
      </c>
    </row>
    <row r="1317">
      <c r="A1317" s="39">
        <f>IF($B1317="","",COUNTA($B$4:$B1317))</f>
        <v/>
      </c>
      <c r="B1317" s="45" t="n"/>
      <c r="C1317" s="46" t="n"/>
      <c r="D1317" s="46" t="n"/>
      <c r="E1317" s="46" t="n"/>
      <c r="F1317" s="51" t="n"/>
      <c r="G1317" s="47" t="n"/>
      <c r="H1317" s="47" t="n"/>
      <c r="I1317" s="43">
        <f>IF($B1317="","",N($G1317)-N($H1317))</f>
        <v/>
      </c>
    </row>
    <row r="1318">
      <c r="A1318" s="39">
        <f>IF($B1318="","",COUNTA($B$4:$B1318))</f>
        <v/>
      </c>
      <c r="B1318" s="40" t="n"/>
      <c r="C1318" s="41" t="n"/>
      <c r="D1318" s="41" t="n"/>
      <c r="E1318" s="41" t="n"/>
      <c r="F1318" s="50" t="n"/>
      <c r="G1318" s="42" t="n"/>
      <c r="H1318" s="42" t="n"/>
      <c r="I1318" s="43">
        <f>IF($B1318="","",N($G1318)-N($H1318))</f>
        <v/>
      </c>
    </row>
    <row r="1319">
      <c r="A1319" s="39">
        <f>IF($B1319="","",COUNTA($B$4:$B1319))</f>
        <v/>
      </c>
      <c r="B1319" s="45" t="n"/>
      <c r="C1319" s="46" t="n"/>
      <c r="D1319" s="46" t="n"/>
      <c r="E1319" s="46" t="n"/>
      <c r="F1319" s="51" t="n"/>
      <c r="G1319" s="47" t="n"/>
      <c r="H1319" s="47" t="n"/>
      <c r="I1319" s="43">
        <f>IF($B1319="","",N($G1319)-N($H1319))</f>
        <v/>
      </c>
    </row>
    <row r="1320">
      <c r="A1320" s="39">
        <f>IF($B1320="","",COUNTA($B$4:$B1320))</f>
        <v/>
      </c>
      <c r="B1320" s="40" t="n"/>
      <c r="C1320" s="41" t="n"/>
      <c r="D1320" s="41" t="n"/>
      <c r="E1320" s="41" t="n"/>
      <c r="F1320" s="50" t="n"/>
      <c r="G1320" s="42" t="n"/>
      <c r="H1320" s="42" t="n"/>
      <c r="I1320" s="43">
        <f>IF($B1320="","",N($G1320)-N($H1320))</f>
        <v/>
      </c>
    </row>
    <row r="1321">
      <c r="A1321" s="39">
        <f>IF($B1321="","",COUNTA($B$4:$B1321))</f>
        <v/>
      </c>
      <c r="B1321" s="45" t="n"/>
      <c r="C1321" s="46" t="n"/>
      <c r="D1321" s="46" t="n"/>
      <c r="E1321" s="46" t="n"/>
      <c r="F1321" s="51" t="n"/>
      <c r="G1321" s="47" t="n"/>
      <c r="H1321" s="47" t="n"/>
      <c r="I1321" s="43">
        <f>IF($B1321="","",N($G1321)-N($H1321))</f>
        <v/>
      </c>
    </row>
    <row r="1322">
      <c r="A1322" s="39">
        <f>IF($B1322="","",COUNTA($B$4:$B1322))</f>
        <v/>
      </c>
      <c r="B1322" s="40" t="n"/>
      <c r="C1322" s="41" t="n"/>
      <c r="D1322" s="41" t="n"/>
      <c r="E1322" s="41" t="n"/>
      <c r="F1322" s="50" t="n"/>
      <c r="G1322" s="42" t="n"/>
      <c r="H1322" s="42" t="n"/>
      <c r="I1322" s="43">
        <f>IF($B1322="","",N($G1322)-N($H1322))</f>
        <v/>
      </c>
    </row>
    <row r="1323">
      <c r="A1323" s="39">
        <f>IF($B1323="","",COUNTA($B$4:$B1323))</f>
        <v/>
      </c>
      <c r="B1323" s="45" t="n"/>
      <c r="C1323" s="46" t="n"/>
      <c r="D1323" s="46" t="n"/>
      <c r="E1323" s="46" t="n"/>
      <c r="F1323" s="51" t="n"/>
      <c r="G1323" s="47" t="n"/>
      <c r="H1323" s="47" t="n"/>
      <c r="I1323" s="43">
        <f>IF($B1323="","",N($G1323)-N($H1323))</f>
        <v/>
      </c>
    </row>
    <row r="1324">
      <c r="A1324" s="39">
        <f>IF($B1324="","",COUNTA($B$4:$B1324))</f>
        <v/>
      </c>
      <c r="B1324" s="40" t="n"/>
      <c r="C1324" s="41" t="n"/>
      <c r="D1324" s="41" t="n"/>
      <c r="E1324" s="41" t="n"/>
      <c r="F1324" s="50" t="n"/>
      <c r="G1324" s="42" t="n"/>
      <c r="H1324" s="42" t="n"/>
      <c r="I1324" s="43">
        <f>IF($B1324="","",N($G1324)-N($H1324))</f>
        <v/>
      </c>
    </row>
    <row r="1325">
      <c r="A1325" s="39">
        <f>IF($B1325="","",COUNTA($B$4:$B1325))</f>
        <v/>
      </c>
      <c r="B1325" s="45" t="n"/>
      <c r="C1325" s="46" t="n"/>
      <c r="D1325" s="46" t="n"/>
      <c r="E1325" s="46" t="n"/>
      <c r="F1325" s="51" t="n"/>
      <c r="G1325" s="47" t="n"/>
      <c r="H1325" s="47" t="n"/>
      <c r="I1325" s="43">
        <f>IF($B1325="","",N($G1325)-N($H1325))</f>
        <v/>
      </c>
    </row>
    <row r="1326">
      <c r="A1326" s="39">
        <f>IF($B1326="","",COUNTA($B$4:$B1326))</f>
        <v/>
      </c>
      <c r="B1326" s="40" t="n"/>
      <c r="C1326" s="41" t="n"/>
      <c r="D1326" s="41" t="n"/>
      <c r="E1326" s="41" t="n"/>
      <c r="F1326" s="50" t="n"/>
      <c r="G1326" s="42" t="n"/>
      <c r="H1326" s="42" t="n"/>
      <c r="I1326" s="43">
        <f>IF($B1326="","",N($G1326)-N($H1326))</f>
        <v/>
      </c>
    </row>
    <row r="1327">
      <c r="A1327" s="39">
        <f>IF($B1327="","",COUNTA($B$4:$B1327))</f>
        <v/>
      </c>
      <c r="B1327" s="45" t="n"/>
      <c r="C1327" s="46" t="n"/>
      <c r="D1327" s="46" t="n"/>
      <c r="E1327" s="46" t="n"/>
      <c r="F1327" s="51" t="n"/>
      <c r="G1327" s="47" t="n"/>
      <c r="H1327" s="47" t="n"/>
      <c r="I1327" s="43">
        <f>IF($B1327="","",N($G1327)-N($H1327))</f>
        <v/>
      </c>
    </row>
    <row r="1328">
      <c r="A1328" s="39">
        <f>IF($B1328="","",COUNTA($B$4:$B1328))</f>
        <v/>
      </c>
      <c r="B1328" s="40" t="n"/>
      <c r="C1328" s="41" t="n"/>
      <c r="D1328" s="41" t="n"/>
      <c r="E1328" s="41" t="n"/>
      <c r="F1328" s="50" t="n"/>
      <c r="G1328" s="42" t="n"/>
      <c r="H1328" s="42" t="n"/>
      <c r="I1328" s="43">
        <f>IF($B1328="","",N($G1328)-N($H1328))</f>
        <v/>
      </c>
    </row>
    <row r="1329">
      <c r="A1329" s="39">
        <f>IF($B1329="","",COUNTA($B$4:$B1329))</f>
        <v/>
      </c>
      <c r="B1329" s="45" t="n"/>
      <c r="C1329" s="46" t="n"/>
      <c r="D1329" s="46" t="n"/>
      <c r="E1329" s="46" t="n"/>
      <c r="F1329" s="51" t="n"/>
      <c r="G1329" s="47" t="n"/>
      <c r="H1329" s="47" t="n"/>
      <c r="I1329" s="43">
        <f>IF($B1329="","",N($G1329)-N($H1329))</f>
        <v/>
      </c>
    </row>
    <row r="1330">
      <c r="A1330" s="39">
        <f>IF($B1330="","",COUNTA($B$4:$B1330))</f>
        <v/>
      </c>
      <c r="B1330" s="40" t="n"/>
      <c r="C1330" s="41" t="n"/>
      <c r="D1330" s="41" t="n"/>
      <c r="E1330" s="41" t="n"/>
      <c r="F1330" s="50" t="n"/>
      <c r="G1330" s="42" t="n"/>
      <c r="H1330" s="42" t="n"/>
      <c r="I1330" s="43">
        <f>IF($B1330="","",N($G1330)-N($H1330))</f>
        <v/>
      </c>
    </row>
    <row r="1331">
      <c r="A1331" s="39">
        <f>IF($B1331="","",COUNTA($B$4:$B1331))</f>
        <v/>
      </c>
      <c r="B1331" s="45" t="n"/>
      <c r="C1331" s="46" t="n"/>
      <c r="D1331" s="46" t="n"/>
      <c r="E1331" s="46" t="n"/>
      <c r="F1331" s="51" t="n"/>
      <c r="G1331" s="47" t="n"/>
      <c r="H1331" s="47" t="n"/>
      <c r="I1331" s="43">
        <f>IF($B1331="","",N($G1331)-N($H1331))</f>
        <v/>
      </c>
    </row>
    <row r="1332">
      <c r="A1332" s="39">
        <f>IF($B1332="","",COUNTA($B$4:$B1332))</f>
        <v/>
      </c>
      <c r="B1332" s="40" t="n"/>
      <c r="C1332" s="41" t="n"/>
      <c r="D1332" s="41" t="n"/>
      <c r="E1332" s="41" t="n"/>
      <c r="F1332" s="50" t="n"/>
      <c r="G1332" s="42" t="n"/>
      <c r="H1332" s="42" t="n"/>
      <c r="I1332" s="43">
        <f>IF($B1332="","",N($G1332)-N($H1332))</f>
        <v/>
      </c>
    </row>
    <row r="1333">
      <c r="A1333" s="39">
        <f>IF($B1333="","",COUNTA($B$4:$B1333))</f>
        <v/>
      </c>
      <c r="B1333" s="45" t="n"/>
      <c r="C1333" s="46" t="n"/>
      <c r="D1333" s="46" t="n"/>
      <c r="E1333" s="46" t="n"/>
      <c r="F1333" s="51" t="n"/>
      <c r="G1333" s="47" t="n"/>
      <c r="H1333" s="47" t="n"/>
      <c r="I1333" s="43">
        <f>IF($B1333="","",N($G1333)-N($H1333))</f>
        <v/>
      </c>
    </row>
    <row r="1334">
      <c r="A1334" s="39">
        <f>IF($B1334="","",COUNTA($B$4:$B1334))</f>
        <v/>
      </c>
      <c r="B1334" s="40" t="n"/>
      <c r="C1334" s="41" t="n"/>
      <c r="D1334" s="41" t="n"/>
      <c r="E1334" s="41" t="n"/>
      <c r="F1334" s="50" t="n"/>
      <c r="G1334" s="42" t="n"/>
      <c r="H1334" s="42" t="n"/>
      <c r="I1334" s="43">
        <f>IF($B1334="","",N($G1334)-N($H1334))</f>
        <v/>
      </c>
    </row>
    <row r="1335">
      <c r="A1335" s="39">
        <f>IF($B1335="","",COUNTA($B$4:$B1335))</f>
        <v/>
      </c>
      <c r="B1335" s="45" t="n"/>
      <c r="C1335" s="46" t="n"/>
      <c r="D1335" s="46" t="n"/>
      <c r="E1335" s="46" t="n"/>
      <c r="F1335" s="51" t="n"/>
      <c r="G1335" s="47" t="n"/>
      <c r="H1335" s="47" t="n"/>
      <c r="I1335" s="43">
        <f>IF($B1335="","",N($G1335)-N($H1335))</f>
        <v/>
      </c>
    </row>
    <row r="1336">
      <c r="A1336" s="39">
        <f>IF($B1336="","",COUNTA($B$4:$B1336))</f>
        <v/>
      </c>
      <c r="B1336" s="40" t="n"/>
      <c r="C1336" s="41" t="n"/>
      <c r="D1336" s="41" t="n"/>
      <c r="E1336" s="41" t="n"/>
      <c r="F1336" s="50" t="n"/>
      <c r="G1336" s="42" t="n"/>
      <c r="H1336" s="42" t="n"/>
      <c r="I1336" s="43">
        <f>IF($B1336="","",N($G1336)-N($H1336))</f>
        <v/>
      </c>
    </row>
    <row r="1337">
      <c r="A1337" s="39">
        <f>IF($B1337="","",COUNTA($B$4:$B1337))</f>
        <v/>
      </c>
      <c r="B1337" s="45" t="n"/>
      <c r="C1337" s="46" t="n"/>
      <c r="D1337" s="46" t="n"/>
      <c r="E1337" s="46" t="n"/>
      <c r="F1337" s="51" t="n"/>
      <c r="G1337" s="47" t="n"/>
      <c r="H1337" s="47" t="n"/>
      <c r="I1337" s="43">
        <f>IF($B1337="","",N($G1337)-N($H1337))</f>
        <v/>
      </c>
    </row>
    <row r="1338">
      <c r="A1338" s="39">
        <f>IF($B1338="","",COUNTA($B$4:$B1338))</f>
        <v/>
      </c>
      <c r="B1338" s="40" t="n"/>
      <c r="C1338" s="41" t="n"/>
      <c r="D1338" s="41" t="n"/>
      <c r="E1338" s="41" t="n"/>
      <c r="F1338" s="50" t="n"/>
      <c r="G1338" s="42" t="n"/>
      <c r="H1338" s="42" t="n"/>
      <c r="I1338" s="43">
        <f>IF($B1338="","",N($G1338)-N($H1338))</f>
        <v/>
      </c>
    </row>
    <row r="1339">
      <c r="A1339" s="39">
        <f>IF($B1339="","",COUNTA($B$4:$B1339))</f>
        <v/>
      </c>
      <c r="B1339" s="45" t="n"/>
      <c r="C1339" s="46" t="n"/>
      <c r="D1339" s="46" t="n"/>
      <c r="E1339" s="46" t="n"/>
      <c r="F1339" s="51" t="n"/>
      <c r="G1339" s="47" t="n"/>
      <c r="H1339" s="47" t="n"/>
      <c r="I1339" s="43">
        <f>IF($B1339="","",N($G1339)-N($H1339))</f>
        <v/>
      </c>
    </row>
    <row r="1340">
      <c r="A1340" s="39">
        <f>IF($B1340="","",COUNTA($B$4:$B1340))</f>
        <v/>
      </c>
      <c r="B1340" s="40" t="n"/>
      <c r="C1340" s="41" t="n"/>
      <c r="D1340" s="41" t="n"/>
      <c r="E1340" s="41" t="n"/>
      <c r="F1340" s="50" t="n"/>
      <c r="G1340" s="42" t="n"/>
      <c r="H1340" s="42" t="n"/>
      <c r="I1340" s="43">
        <f>IF($B1340="","",N($G1340)-N($H1340))</f>
        <v/>
      </c>
    </row>
    <row r="1341">
      <c r="A1341" s="39">
        <f>IF($B1341="","",COUNTA($B$4:$B1341))</f>
        <v/>
      </c>
      <c r="B1341" s="45" t="n"/>
      <c r="C1341" s="46" t="n"/>
      <c r="D1341" s="46" t="n"/>
      <c r="E1341" s="46" t="n"/>
      <c r="F1341" s="51" t="n"/>
      <c r="G1341" s="47" t="n"/>
      <c r="H1341" s="47" t="n"/>
      <c r="I1341" s="43">
        <f>IF($B1341="","",N($G1341)-N($H1341))</f>
        <v/>
      </c>
    </row>
    <row r="1342">
      <c r="A1342" s="39">
        <f>IF($B1342="","",COUNTA($B$4:$B1342))</f>
        <v/>
      </c>
      <c r="B1342" s="40" t="n"/>
      <c r="C1342" s="41" t="n"/>
      <c r="D1342" s="41" t="n"/>
      <c r="E1342" s="41" t="n"/>
      <c r="F1342" s="50" t="n"/>
      <c r="G1342" s="42" t="n"/>
      <c r="H1342" s="42" t="n"/>
      <c r="I1342" s="43">
        <f>IF($B1342="","",N($G1342)-N($H1342))</f>
        <v/>
      </c>
    </row>
    <row r="1343">
      <c r="A1343" s="39">
        <f>IF($B1343="","",COUNTA($B$4:$B1343))</f>
        <v/>
      </c>
      <c r="B1343" s="45" t="n"/>
      <c r="C1343" s="46" t="n"/>
      <c r="D1343" s="46" t="n"/>
      <c r="E1343" s="46" t="n"/>
      <c r="F1343" s="51" t="n"/>
      <c r="G1343" s="47" t="n"/>
      <c r="H1343" s="47" t="n"/>
      <c r="I1343" s="43">
        <f>IF($B1343="","",N($G1343)-N($H1343))</f>
        <v/>
      </c>
    </row>
    <row r="1344">
      <c r="A1344" s="39">
        <f>IF($B1344="","",COUNTA($B$4:$B1344))</f>
        <v/>
      </c>
      <c r="B1344" s="40" t="n"/>
      <c r="C1344" s="41" t="n"/>
      <c r="D1344" s="41" t="n"/>
      <c r="E1344" s="41" t="n"/>
      <c r="F1344" s="50" t="n"/>
      <c r="G1344" s="42" t="n"/>
      <c r="H1344" s="42" t="n"/>
      <c r="I1344" s="43">
        <f>IF($B1344="","",N($G1344)-N($H1344))</f>
        <v/>
      </c>
    </row>
    <row r="1345">
      <c r="A1345" s="39">
        <f>IF($B1345="","",COUNTA($B$4:$B1345))</f>
        <v/>
      </c>
      <c r="B1345" s="45" t="n"/>
      <c r="C1345" s="46" t="n"/>
      <c r="D1345" s="46" t="n"/>
      <c r="E1345" s="46" t="n"/>
      <c r="F1345" s="51" t="n"/>
      <c r="G1345" s="47" t="n"/>
      <c r="H1345" s="47" t="n"/>
      <c r="I1345" s="43">
        <f>IF($B1345="","",N($G1345)-N($H1345))</f>
        <v/>
      </c>
    </row>
    <row r="1346">
      <c r="A1346" s="39">
        <f>IF($B1346="","",COUNTA($B$4:$B1346))</f>
        <v/>
      </c>
      <c r="B1346" s="40" t="n"/>
      <c r="C1346" s="41" t="n"/>
      <c r="D1346" s="41" t="n"/>
      <c r="E1346" s="41" t="n"/>
      <c r="F1346" s="50" t="n"/>
      <c r="G1346" s="42" t="n"/>
      <c r="H1346" s="42" t="n"/>
      <c r="I1346" s="43">
        <f>IF($B1346="","",N($G1346)-N($H1346))</f>
        <v/>
      </c>
    </row>
    <row r="1347">
      <c r="A1347" s="39">
        <f>IF($B1347="","",COUNTA($B$4:$B1347))</f>
        <v/>
      </c>
      <c r="B1347" s="45" t="n"/>
      <c r="C1347" s="46" t="n"/>
      <c r="D1347" s="46" t="n"/>
      <c r="E1347" s="46" t="n"/>
      <c r="F1347" s="51" t="n"/>
      <c r="G1347" s="47" t="n"/>
      <c r="H1347" s="47" t="n"/>
      <c r="I1347" s="43">
        <f>IF($B1347="","",N($G1347)-N($H1347))</f>
        <v/>
      </c>
    </row>
    <row r="1348">
      <c r="A1348" s="39">
        <f>IF($B1348="","",COUNTA($B$4:$B1348))</f>
        <v/>
      </c>
      <c r="B1348" s="40" t="n"/>
      <c r="C1348" s="41" t="n"/>
      <c r="D1348" s="41" t="n"/>
      <c r="E1348" s="41" t="n"/>
      <c r="F1348" s="50" t="n"/>
      <c r="G1348" s="42" t="n"/>
      <c r="H1348" s="42" t="n"/>
      <c r="I1348" s="43">
        <f>IF($B1348="","",N($G1348)-N($H1348))</f>
        <v/>
      </c>
    </row>
    <row r="1349">
      <c r="A1349" s="39">
        <f>IF($B1349="","",COUNTA($B$4:$B1349))</f>
        <v/>
      </c>
      <c r="B1349" s="45" t="n"/>
      <c r="C1349" s="46" t="n"/>
      <c r="D1349" s="46" t="n"/>
      <c r="E1349" s="46" t="n"/>
      <c r="F1349" s="51" t="n"/>
      <c r="G1349" s="47" t="n"/>
      <c r="H1349" s="47" t="n"/>
      <c r="I1349" s="43">
        <f>IF($B1349="","",N($G1349)-N($H1349))</f>
        <v/>
      </c>
    </row>
    <row r="1350">
      <c r="A1350" s="39">
        <f>IF($B1350="","",COUNTA($B$4:$B1350))</f>
        <v/>
      </c>
      <c r="B1350" s="40" t="n"/>
      <c r="C1350" s="41" t="n"/>
      <c r="D1350" s="41" t="n"/>
      <c r="E1350" s="41" t="n"/>
      <c r="F1350" s="50" t="n"/>
      <c r="G1350" s="42" t="n"/>
      <c r="H1350" s="42" t="n"/>
      <c r="I1350" s="43">
        <f>IF($B1350="","",N($G1350)-N($H1350))</f>
        <v/>
      </c>
    </row>
    <row r="1351">
      <c r="A1351" s="39">
        <f>IF($B1351="","",COUNTA($B$4:$B1351))</f>
        <v/>
      </c>
      <c r="B1351" s="45" t="n"/>
      <c r="C1351" s="46" t="n"/>
      <c r="D1351" s="46" t="n"/>
      <c r="E1351" s="46" t="n"/>
      <c r="F1351" s="51" t="n"/>
      <c r="G1351" s="47" t="n"/>
      <c r="H1351" s="47" t="n"/>
      <c r="I1351" s="43">
        <f>IF($B1351="","",N($G1351)-N($H1351))</f>
        <v/>
      </c>
    </row>
    <row r="1352">
      <c r="A1352" s="39">
        <f>IF($B1352="","",COUNTA($B$4:$B1352))</f>
        <v/>
      </c>
      <c r="B1352" s="40" t="n"/>
      <c r="C1352" s="41" t="n"/>
      <c r="D1352" s="41" t="n"/>
      <c r="E1352" s="41" t="n"/>
      <c r="F1352" s="50" t="n"/>
      <c r="G1352" s="42" t="n"/>
      <c r="H1352" s="42" t="n"/>
      <c r="I1352" s="43">
        <f>IF($B1352="","",N($G1352)-N($H1352))</f>
        <v/>
      </c>
    </row>
    <row r="1353">
      <c r="A1353" s="39">
        <f>IF($B1353="","",COUNTA($B$4:$B1353))</f>
        <v/>
      </c>
      <c r="B1353" s="45" t="n"/>
      <c r="C1353" s="46" t="n"/>
      <c r="D1353" s="46" t="n"/>
      <c r="E1353" s="46" t="n"/>
      <c r="F1353" s="51" t="n"/>
      <c r="G1353" s="47" t="n"/>
      <c r="H1353" s="47" t="n"/>
      <c r="I1353" s="43">
        <f>IF($B1353="","",N($G1353)-N($H1353))</f>
        <v/>
      </c>
    </row>
    <row r="1354">
      <c r="A1354" s="39">
        <f>IF($B1354="","",COUNTA($B$4:$B1354))</f>
        <v/>
      </c>
      <c r="B1354" s="40" t="n"/>
      <c r="C1354" s="41" t="n"/>
      <c r="D1354" s="41" t="n"/>
      <c r="E1354" s="41" t="n"/>
      <c r="F1354" s="50" t="n"/>
      <c r="G1354" s="42" t="n"/>
      <c r="H1354" s="42" t="n"/>
      <c r="I1354" s="43">
        <f>IF($B1354="","",N($G1354)-N($H1354))</f>
        <v/>
      </c>
    </row>
    <row r="1355">
      <c r="A1355" s="39">
        <f>IF($B1355="","",COUNTA($B$4:$B1355))</f>
        <v/>
      </c>
      <c r="B1355" s="45" t="n"/>
      <c r="C1355" s="46" t="n"/>
      <c r="D1355" s="46" t="n"/>
      <c r="E1355" s="46" t="n"/>
      <c r="F1355" s="51" t="n"/>
      <c r="G1355" s="47" t="n"/>
      <c r="H1355" s="47" t="n"/>
      <c r="I1355" s="43">
        <f>IF($B1355="","",N($G1355)-N($H1355))</f>
        <v/>
      </c>
    </row>
    <row r="1356">
      <c r="A1356" s="39">
        <f>IF($B1356="","",COUNTA($B$4:$B1356))</f>
        <v/>
      </c>
      <c r="B1356" s="40" t="n"/>
      <c r="C1356" s="41" t="n"/>
      <c r="D1356" s="41" t="n"/>
      <c r="E1356" s="41" t="n"/>
      <c r="F1356" s="50" t="n"/>
      <c r="G1356" s="42" t="n"/>
      <c r="H1356" s="42" t="n"/>
      <c r="I1356" s="43">
        <f>IF($B1356="","",N($G1356)-N($H1356))</f>
        <v/>
      </c>
    </row>
    <row r="1357">
      <c r="A1357" s="39">
        <f>IF($B1357="","",COUNTA($B$4:$B1357))</f>
        <v/>
      </c>
      <c r="B1357" s="45" t="n"/>
      <c r="C1357" s="46" t="n"/>
      <c r="D1357" s="46" t="n"/>
      <c r="E1357" s="46" t="n"/>
      <c r="F1357" s="51" t="n"/>
      <c r="G1357" s="47" t="n"/>
      <c r="H1357" s="47" t="n"/>
      <c r="I1357" s="43">
        <f>IF($B1357="","",N($G1357)-N($H1357))</f>
        <v/>
      </c>
    </row>
    <row r="1358">
      <c r="A1358" s="39">
        <f>IF($B1358="","",COUNTA($B$4:$B1358))</f>
        <v/>
      </c>
      <c r="B1358" s="40" t="n"/>
      <c r="C1358" s="41" t="n"/>
      <c r="D1358" s="41" t="n"/>
      <c r="E1358" s="41" t="n"/>
      <c r="F1358" s="50" t="n"/>
      <c r="G1358" s="42" t="n"/>
      <c r="H1358" s="42" t="n"/>
      <c r="I1358" s="43">
        <f>IF($B1358="","",N($G1358)-N($H1358))</f>
        <v/>
      </c>
    </row>
    <row r="1359">
      <c r="A1359" s="39">
        <f>IF($B1359="","",COUNTA($B$4:$B1359))</f>
        <v/>
      </c>
      <c r="B1359" s="45" t="n"/>
      <c r="C1359" s="46" t="n"/>
      <c r="D1359" s="46" t="n"/>
      <c r="E1359" s="46" t="n"/>
      <c r="F1359" s="51" t="n"/>
      <c r="G1359" s="47" t="n"/>
      <c r="H1359" s="47" t="n"/>
      <c r="I1359" s="43">
        <f>IF($B1359="","",N($G1359)-N($H1359))</f>
        <v/>
      </c>
    </row>
    <row r="1360">
      <c r="A1360" s="39">
        <f>IF($B1360="","",COUNTA($B$4:$B1360))</f>
        <v/>
      </c>
      <c r="B1360" s="40" t="n"/>
      <c r="C1360" s="41" t="n"/>
      <c r="D1360" s="41" t="n"/>
      <c r="E1360" s="41" t="n"/>
      <c r="F1360" s="50" t="n"/>
      <c r="G1360" s="42" t="n"/>
      <c r="H1360" s="42" t="n"/>
      <c r="I1360" s="43">
        <f>IF($B1360="","",N($G1360)-N($H1360))</f>
        <v/>
      </c>
    </row>
    <row r="1361">
      <c r="A1361" s="39">
        <f>IF($B1361="","",COUNTA($B$4:$B1361))</f>
        <v/>
      </c>
      <c r="B1361" s="45" t="n"/>
      <c r="C1361" s="46" t="n"/>
      <c r="D1361" s="46" t="n"/>
      <c r="E1361" s="46" t="n"/>
      <c r="F1361" s="51" t="n"/>
      <c r="G1361" s="47" t="n"/>
      <c r="H1361" s="47" t="n"/>
      <c r="I1361" s="43">
        <f>IF($B1361="","",N($G1361)-N($H1361))</f>
        <v/>
      </c>
    </row>
    <row r="1362">
      <c r="A1362" s="39">
        <f>IF($B1362="","",COUNTA($B$4:$B1362))</f>
        <v/>
      </c>
      <c r="B1362" s="40" t="n"/>
      <c r="C1362" s="41" t="n"/>
      <c r="D1362" s="41" t="n"/>
      <c r="E1362" s="41" t="n"/>
      <c r="F1362" s="50" t="n"/>
      <c r="G1362" s="42" t="n"/>
      <c r="H1362" s="42" t="n"/>
      <c r="I1362" s="43">
        <f>IF($B1362="","",N($G1362)-N($H1362))</f>
        <v/>
      </c>
    </row>
    <row r="1363">
      <c r="A1363" s="39">
        <f>IF($B1363="","",COUNTA($B$4:$B1363))</f>
        <v/>
      </c>
      <c r="B1363" s="45" t="n"/>
      <c r="C1363" s="46" t="n"/>
      <c r="D1363" s="46" t="n"/>
      <c r="E1363" s="46" t="n"/>
      <c r="F1363" s="51" t="n"/>
      <c r="G1363" s="47" t="n"/>
      <c r="H1363" s="47" t="n"/>
      <c r="I1363" s="43">
        <f>IF($B1363="","",N($G1363)-N($H1363))</f>
        <v/>
      </c>
    </row>
    <row r="1364">
      <c r="A1364" s="39">
        <f>IF($B1364="","",COUNTA($B$4:$B1364))</f>
        <v/>
      </c>
      <c r="B1364" s="40" t="n"/>
      <c r="C1364" s="41" t="n"/>
      <c r="D1364" s="41" t="n"/>
      <c r="E1364" s="41" t="n"/>
      <c r="F1364" s="50" t="n"/>
      <c r="G1364" s="42" t="n"/>
      <c r="H1364" s="42" t="n"/>
      <c r="I1364" s="43">
        <f>IF($B1364="","",N($G1364)-N($H1364))</f>
        <v/>
      </c>
    </row>
    <row r="1365">
      <c r="A1365" s="39">
        <f>IF($B1365="","",COUNTA($B$4:$B1365))</f>
        <v/>
      </c>
      <c r="B1365" s="45" t="n"/>
      <c r="C1365" s="46" t="n"/>
      <c r="D1365" s="46" t="n"/>
      <c r="E1365" s="46" t="n"/>
      <c r="F1365" s="51" t="n"/>
      <c r="G1365" s="47" t="n"/>
      <c r="H1365" s="47" t="n"/>
      <c r="I1365" s="43">
        <f>IF($B1365="","",N($G1365)-N($H1365))</f>
        <v/>
      </c>
    </row>
    <row r="1366">
      <c r="A1366" s="39">
        <f>IF($B1366="","",COUNTA($B$4:$B1366))</f>
        <v/>
      </c>
      <c r="B1366" s="40" t="n"/>
      <c r="C1366" s="41" t="n"/>
      <c r="D1366" s="41" t="n"/>
      <c r="E1366" s="41" t="n"/>
      <c r="F1366" s="50" t="n"/>
      <c r="G1366" s="42" t="n"/>
      <c r="H1366" s="42" t="n"/>
      <c r="I1366" s="43">
        <f>IF($B1366="","",N($G1366)-N($H1366))</f>
        <v/>
      </c>
    </row>
    <row r="1367">
      <c r="A1367" s="39">
        <f>IF($B1367="","",COUNTA($B$4:$B1367))</f>
        <v/>
      </c>
      <c r="B1367" s="45" t="n"/>
      <c r="C1367" s="46" t="n"/>
      <c r="D1367" s="46" t="n"/>
      <c r="E1367" s="46" t="n"/>
      <c r="F1367" s="51" t="n"/>
      <c r="G1367" s="47" t="n"/>
      <c r="H1367" s="47" t="n"/>
      <c r="I1367" s="43">
        <f>IF($B1367="","",N($G1367)-N($H1367))</f>
        <v/>
      </c>
    </row>
    <row r="1368">
      <c r="A1368" s="39">
        <f>IF($B1368="","",COUNTA($B$4:$B1368))</f>
        <v/>
      </c>
      <c r="B1368" s="40" t="n"/>
      <c r="C1368" s="41" t="n"/>
      <c r="D1368" s="41" t="n"/>
      <c r="E1368" s="41" t="n"/>
      <c r="F1368" s="50" t="n"/>
      <c r="G1368" s="42" t="n"/>
      <c r="H1368" s="42" t="n"/>
      <c r="I1368" s="43">
        <f>IF($B1368="","",N($G1368)-N($H1368))</f>
        <v/>
      </c>
    </row>
    <row r="1369">
      <c r="A1369" s="39">
        <f>IF($B1369="","",COUNTA($B$4:$B1369))</f>
        <v/>
      </c>
      <c r="B1369" s="45" t="n"/>
      <c r="C1369" s="46" t="n"/>
      <c r="D1369" s="46" t="n"/>
      <c r="E1369" s="46" t="n"/>
      <c r="F1369" s="51" t="n"/>
      <c r="G1369" s="47" t="n"/>
      <c r="H1369" s="47" t="n"/>
      <c r="I1369" s="43">
        <f>IF($B1369="","",N($G1369)-N($H1369))</f>
        <v/>
      </c>
    </row>
    <row r="1370">
      <c r="A1370" s="39">
        <f>IF($B1370="","",COUNTA($B$4:$B1370))</f>
        <v/>
      </c>
      <c r="B1370" s="40" t="n"/>
      <c r="C1370" s="41" t="n"/>
      <c r="D1370" s="41" t="n"/>
      <c r="E1370" s="41" t="n"/>
      <c r="F1370" s="50" t="n"/>
      <c r="G1370" s="42" t="n"/>
      <c r="H1370" s="42" t="n"/>
      <c r="I1370" s="43">
        <f>IF($B1370="","",N($G1370)-N($H1370))</f>
        <v/>
      </c>
    </row>
    <row r="1371">
      <c r="A1371" s="39">
        <f>IF($B1371="","",COUNTA($B$4:$B1371))</f>
        <v/>
      </c>
      <c r="B1371" s="45" t="n"/>
      <c r="C1371" s="46" t="n"/>
      <c r="D1371" s="46" t="n"/>
      <c r="E1371" s="46" t="n"/>
      <c r="F1371" s="51" t="n"/>
      <c r="G1371" s="47" t="n"/>
      <c r="H1371" s="47" t="n"/>
      <c r="I1371" s="43">
        <f>IF($B1371="","",N($G1371)-N($H1371))</f>
        <v/>
      </c>
    </row>
    <row r="1372">
      <c r="A1372" s="39">
        <f>IF($B1372="","",COUNTA($B$4:$B1372))</f>
        <v/>
      </c>
      <c r="B1372" s="40" t="n"/>
      <c r="C1372" s="41" t="n"/>
      <c r="D1372" s="41" t="n"/>
      <c r="E1372" s="41" t="n"/>
      <c r="F1372" s="50" t="n"/>
      <c r="G1372" s="42" t="n"/>
      <c r="H1372" s="42" t="n"/>
      <c r="I1372" s="43">
        <f>IF($B1372="","",N($G1372)-N($H1372))</f>
        <v/>
      </c>
    </row>
    <row r="1373">
      <c r="A1373" s="39">
        <f>IF($B1373="","",COUNTA($B$4:$B1373))</f>
        <v/>
      </c>
      <c r="B1373" s="45" t="n"/>
      <c r="C1373" s="46" t="n"/>
      <c r="D1373" s="46" t="n"/>
      <c r="E1373" s="46" t="n"/>
      <c r="F1373" s="51" t="n"/>
      <c r="G1373" s="47" t="n"/>
      <c r="H1373" s="47" t="n"/>
      <c r="I1373" s="43">
        <f>IF($B1373="","",N($G1373)-N($H1373))</f>
        <v/>
      </c>
    </row>
    <row r="1374">
      <c r="A1374" s="39">
        <f>IF($B1374="","",COUNTA($B$4:$B1374))</f>
        <v/>
      </c>
      <c r="B1374" s="40" t="n"/>
      <c r="C1374" s="41" t="n"/>
      <c r="D1374" s="41" t="n"/>
      <c r="E1374" s="41" t="n"/>
      <c r="F1374" s="50" t="n"/>
      <c r="G1374" s="42" t="n"/>
      <c r="H1374" s="42" t="n"/>
      <c r="I1374" s="43">
        <f>IF($B1374="","",N($G1374)-N($H1374))</f>
        <v/>
      </c>
    </row>
    <row r="1375">
      <c r="A1375" s="39">
        <f>IF($B1375="","",COUNTA($B$4:$B1375))</f>
        <v/>
      </c>
      <c r="B1375" s="45" t="n"/>
      <c r="C1375" s="46" t="n"/>
      <c r="D1375" s="46" t="n"/>
      <c r="E1375" s="46" t="n"/>
      <c r="F1375" s="51" t="n"/>
      <c r="G1375" s="47" t="n"/>
      <c r="H1375" s="47" t="n"/>
      <c r="I1375" s="43">
        <f>IF($B1375="","",N($G1375)-N($H1375))</f>
        <v/>
      </c>
    </row>
    <row r="1376">
      <c r="A1376" s="39">
        <f>IF($B1376="","",COUNTA($B$4:$B1376))</f>
        <v/>
      </c>
      <c r="B1376" s="40" t="n"/>
      <c r="C1376" s="41" t="n"/>
      <c r="D1376" s="41" t="n"/>
      <c r="E1376" s="41" t="n"/>
      <c r="F1376" s="50" t="n"/>
      <c r="G1376" s="42" t="n"/>
      <c r="H1376" s="42" t="n"/>
      <c r="I1376" s="43">
        <f>IF($B1376="","",N($G1376)-N($H1376))</f>
        <v/>
      </c>
    </row>
    <row r="1377">
      <c r="A1377" s="39">
        <f>IF($B1377="","",COUNTA($B$4:$B1377))</f>
        <v/>
      </c>
      <c r="B1377" s="45" t="n"/>
      <c r="C1377" s="46" t="n"/>
      <c r="D1377" s="46" t="n"/>
      <c r="E1377" s="46" t="n"/>
      <c r="F1377" s="51" t="n"/>
      <c r="G1377" s="47" t="n"/>
      <c r="H1377" s="47" t="n"/>
      <c r="I1377" s="43">
        <f>IF($B1377="","",N($G1377)-N($H1377))</f>
        <v/>
      </c>
    </row>
    <row r="1378">
      <c r="A1378" s="39">
        <f>IF($B1378="","",COUNTA($B$4:$B1378))</f>
        <v/>
      </c>
      <c r="B1378" s="40" t="n"/>
      <c r="C1378" s="41" t="n"/>
      <c r="D1378" s="41" t="n"/>
      <c r="E1378" s="41" t="n"/>
      <c r="F1378" s="50" t="n"/>
      <c r="G1378" s="42" t="n"/>
      <c r="H1378" s="42" t="n"/>
      <c r="I1378" s="43">
        <f>IF($B1378="","",N($G1378)-N($H1378))</f>
        <v/>
      </c>
    </row>
    <row r="1379">
      <c r="A1379" s="39">
        <f>IF($B1379="","",COUNTA($B$4:$B1379))</f>
        <v/>
      </c>
      <c r="B1379" s="45" t="n"/>
      <c r="C1379" s="46" t="n"/>
      <c r="D1379" s="46" t="n"/>
      <c r="E1379" s="46" t="n"/>
      <c r="F1379" s="51" t="n"/>
      <c r="G1379" s="47" t="n"/>
      <c r="H1379" s="47" t="n"/>
      <c r="I1379" s="43">
        <f>IF($B1379="","",N($G1379)-N($H1379))</f>
        <v/>
      </c>
    </row>
    <row r="1380">
      <c r="A1380" s="39">
        <f>IF($B1380="","",COUNTA($B$4:$B1380))</f>
        <v/>
      </c>
      <c r="B1380" s="40" t="n"/>
      <c r="C1380" s="41" t="n"/>
      <c r="D1380" s="41" t="n"/>
      <c r="E1380" s="41" t="n"/>
      <c r="F1380" s="50" t="n"/>
      <c r="G1380" s="42" t="n"/>
      <c r="H1380" s="42" t="n"/>
      <c r="I1380" s="43">
        <f>IF($B1380="","",N($G1380)-N($H1380))</f>
        <v/>
      </c>
    </row>
    <row r="1381">
      <c r="A1381" s="39">
        <f>IF($B1381="","",COUNTA($B$4:$B1381))</f>
        <v/>
      </c>
      <c r="B1381" s="45" t="n"/>
      <c r="C1381" s="46" t="n"/>
      <c r="D1381" s="46" t="n"/>
      <c r="E1381" s="46" t="n"/>
      <c r="F1381" s="51" t="n"/>
      <c r="G1381" s="47" t="n"/>
      <c r="H1381" s="47" t="n"/>
      <c r="I1381" s="43">
        <f>IF($B1381="","",N($G1381)-N($H1381))</f>
        <v/>
      </c>
    </row>
    <row r="1382">
      <c r="A1382" s="39">
        <f>IF($B1382="","",COUNTA($B$4:$B1382))</f>
        <v/>
      </c>
      <c r="B1382" s="40" t="n"/>
      <c r="C1382" s="41" t="n"/>
      <c r="D1382" s="41" t="n"/>
      <c r="E1382" s="41" t="n"/>
      <c r="F1382" s="50" t="n"/>
      <c r="G1382" s="42" t="n"/>
      <c r="H1382" s="42" t="n"/>
      <c r="I1382" s="43">
        <f>IF($B1382="","",N($G1382)-N($H1382))</f>
        <v/>
      </c>
    </row>
    <row r="1383">
      <c r="A1383" s="39">
        <f>IF($B1383="","",COUNTA($B$4:$B1383))</f>
        <v/>
      </c>
      <c r="B1383" s="45" t="n"/>
      <c r="C1383" s="46" t="n"/>
      <c r="D1383" s="46" t="n"/>
      <c r="E1383" s="46" t="n"/>
      <c r="F1383" s="51" t="n"/>
      <c r="G1383" s="47" t="n"/>
      <c r="H1383" s="47" t="n"/>
      <c r="I1383" s="43">
        <f>IF($B1383="","",N($G1383)-N($H1383))</f>
        <v/>
      </c>
    </row>
    <row r="1384">
      <c r="A1384" s="39">
        <f>IF($B1384="","",COUNTA($B$4:$B1384))</f>
        <v/>
      </c>
      <c r="B1384" s="40" t="n"/>
      <c r="C1384" s="41" t="n"/>
      <c r="D1384" s="41" t="n"/>
      <c r="E1384" s="41" t="n"/>
      <c r="F1384" s="50" t="n"/>
      <c r="G1384" s="42" t="n"/>
      <c r="H1384" s="42" t="n"/>
      <c r="I1384" s="43">
        <f>IF($B1384="","",N($G1384)-N($H1384))</f>
        <v/>
      </c>
    </row>
    <row r="1385">
      <c r="A1385" s="39">
        <f>IF($B1385="","",COUNTA($B$4:$B1385))</f>
        <v/>
      </c>
      <c r="B1385" s="45" t="n"/>
      <c r="C1385" s="46" t="n"/>
      <c r="D1385" s="46" t="n"/>
      <c r="E1385" s="46" t="n"/>
      <c r="F1385" s="51" t="n"/>
      <c r="G1385" s="47" t="n"/>
      <c r="H1385" s="47" t="n"/>
      <c r="I1385" s="43">
        <f>IF($B1385="","",N($G1385)-N($H1385))</f>
        <v/>
      </c>
    </row>
    <row r="1386">
      <c r="A1386" s="39">
        <f>IF($B1386="","",COUNTA($B$4:$B1386))</f>
        <v/>
      </c>
      <c r="B1386" s="40" t="n"/>
      <c r="C1386" s="41" t="n"/>
      <c r="D1386" s="41" t="n"/>
      <c r="E1386" s="41" t="n"/>
      <c r="F1386" s="50" t="n"/>
      <c r="G1386" s="42" t="n"/>
      <c r="H1386" s="42" t="n"/>
      <c r="I1386" s="43">
        <f>IF($B1386="","",N($G1386)-N($H1386))</f>
        <v/>
      </c>
    </row>
    <row r="1387">
      <c r="A1387" s="39">
        <f>IF($B1387="","",COUNTA($B$4:$B1387))</f>
        <v/>
      </c>
      <c r="B1387" s="45" t="n"/>
      <c r="C1387" s="46" t="n"/>
      <c r="D1387" s="46" t="n"/>
      <c r="E1387" s="46" t="n"/>
      <c r="F1387" s="51" t="n"/>
      <c r="G1387" s="47" t="n"/>
      <c r="H1387" s="47" t="n"/>
      <c r="I1387" s="43">
        <f>IF($B1387="","",N($G1387)-N($H1387))</f>
        <v/>
      </c>
    </row>
    <row r="1388">
      <c r="A1388" s="39">
        <f>IF($B1388="","",COUNTA($B$4:$B1388))</f>
        <v/>
      </c>
      <c r="B1388" s="40" t="n"/>
      <c r="C1388" s="41" t="n"/>
      <c r="D1388" s="41" t="n"/>
      <c r="E1388" s="41" t="n"/>
      <c r="F1388" s="50" t="n"/>
      <c r="G1388" s="42" t="n"/>
      <c r="H1388" s="42" t="n"/>
      <c r="I1388" s="43">
        <f>IF($B1388="","",N($G1388)-N($H1388))</f>
        <v/>
      </c>
    </row>
    <row r="1389">
      <c r="A1389" s="39">
        <f>IF($B1389="","",COUNTA($B$4:$B1389))</f>
        <v/>
      </c>
      <c r="B1389" s="45" t="n"/>
      <c r="C1389" s="46" t="n"/>
      <c r="D1389" s="46" t="n"/>
      <c r="E1389" s="46" t="n"/>
      <c r="F1389" s="51" t="n"/>
      <c r="G1389" s="47" t="n"/>
      <c r="H1389" s="47" t="n"/>
      <c r="I1389" s="43">
        <f>IF($B1389="","",N($G1389)-N($H1389))</f>
        <v/>
      </c>
    </row>
    <row r="1390">
      <c r="A1390" s="39">
        <f>IF($B1390="","",COUNTA($B$4:$B1390))</f>
        <v/>
      </c>
      <c r="B1390" s="40" t="n"/>
      <c r="C1390" s="41" t="n"/>
      <c r="D1390" s="41" t="n"/>
      <c r="E1390" s="41" t="n"/>
      <c r="F1390" s="50" t="n"/>
      <c r="G1390" s="42" t="n"/>
      <c r="H1390" s="42" t="n"/>
      <c r="I1390" s="43">
        <f>IF($B1390="","",N($G1390)-N($H1390))</f>
        <v/>
      </c>
    </row>
    <row r="1391">
      <c r="A1391" s="39">
        <f>IF($B1391="","",COUNTA($B$4:$B1391))</f>
        <v/>
      </c>
      <c r="B1391" s="45" t="n"/>
      <c r="C1391" s="46" t="n"/>
      <c r="D1391" s="46" t="n"/>
      <c r="E1391" s="46" t="n"/>
      <c r="F1391" s="51" t="n"/>
      <c r="G1391" s="47" t="n"/>
      <c r="H1391" s="47" t="n"/>
      <c r="I1391" s="43">
        <f>IF($B1391="","",N($G1391)-N($H1391))</f>
        <v/>
      </c>
    </row>
    <row r="1392">
      <c r="A1392" s="39">
        <f>IF($B1392="","",COUNTA($B$4:$B1392))</f>
        <v/>
      </c>
      <c r="B1392" s="40" t="n"/>
      <c r="C1392" s="41" t="n"/>
      <c r="D1392" s="41" t="n"/>
      <c r="E1392" s="41" t="n"/>
      <c r="F1392" s="50" t="n"/>
      <c r="G1392" s="42" t="n"/>
      <c r="H1392" s="42" t="n"/>
      <c r="I1392" s="43">
        <f>IF($B1392="","",N($G1392)-N($H1392))</f>
        <v/>
      </c>
    </row>
    <row r="1393">
      <c r="A1393" s="39">
        <f>IF($B1393="","",COUNTA($B$4:$B1393))</f>
        <v/>
      </c>
      <c r="B1393" s="45" t="n"/>
      <c r="C1393" s="46" t="n"/>
      <c r="D1393" s="46" t="n"/>
      <c r="E1393" s="46" t="n"/>
      <c r="F1393" s="51" t="n"/>
      <c r="G1393" s="47" t="n"/>
      <c r="H1393" s="47" t="n"/>
      <c r="I1393" s="43">
        <f>IF($B1393="","",N($G1393)-N($H1393))</f>
        <v/>
      </c>
    </row>
    <row r="1394">
      <c r="A1394" s="39">
        <f>IF($B1394="","",COUNTA($B$4:$B1394))</f>
        <v/>
      </c>
      <c r="B1394" s="40" t="n"/>
      <c r="C1394" s="41" t="n"/>
      <c r="D1394" s="41" t="n"/>
      <c r="E1394" s="41" t="n"/>
      <c r="F1394" s="50" t="n"/>
      <c r="G1394" s="42" t="n"/>
      <c r="H1394" s="42" t="n"/>
      <c r="I1394" s="43">
        <f>IF($B1394="","",N($G1394)-N($H1394))</f>
        <v/>
      </c>
    </row>
    <row r="1395">
      <c r="A1395" s="39">
        <f>IF($B1395="","",COUNTA($B$4:$B1395))</f>
        <v/>
      </c>
      <c r="B1395" s="45" t="n"/>
      <c r="C1395" s="46" t="n"/>
      <c r="D1395" s="46" t="n"/>
      <c r="E1395" s="46" t="n"/>
      <c r="F1395" s="51" t="n"/>
      <c r="G1395" s="47" t="n"/>
      <c r="H1395" s="47" t="n"/>
      <c r="I1395" s="43">
        <f>IF($B1395="","",N($G1395)-N($H1395))</f>
        <v/>
      </c>
    </row>
    <row r="1396">
      <c r="A1396" s="39">
        <f>IF($B1396="","",COUNTA($B$4:$B1396))</f>
        <v/>
      </c>
      <c r="B1396" s="40" t="n"/>
      <c r="C1396" s="41" t="n"/>
      <c r="D1396" s="41" t="n"/>
      <c r="E1396" s="41" t="n"/>
      <c r="F1396" s="50" t="n"/>
      <c r="G1396" s="42" t="n"/>
      <c r="H1396" s="42" t="n"/>
      <c r="I1396" s="43">
        <f>IF($B1396="","",N($G1396)-N($H1396))</f>
        <v/>
      </c>
    </row>
    <row r="1397">
      <c r="A1397" s="39">
        <f>IF($B1397="","",COUNTA($B$4:$B1397))</f>
        <v/>
      </c>
      <c r="B1397" s="45" t="n"/>
      <c r="C1397" s="46" t="n"/>
      <c r="D1397" s="46" t="n"/>
      <c r="E1397" s="46" t="n"/>
      <c r="F1397" s="51" t="n"/>
      <c r="G1397" s="47" t="n"/>
      <c r="H1397" s="47" t="n"/>
      <c r="I1397" s="43">
        <f>IF($B1397="","",N($G1397)-N($H1397))</f>
        <v/>
      </c>
    </row>
    <row r="1398">
      <c r="A1398" s="39">
        <f>IF($B1398="","",COUNTA($B$4:$B1398))</f>
        <v/>
      </c>
      <c r="B1398" s="40" t="n"/>
      <c r="C1398" s="41" t="n"/>
      <c r="D1398" s="41" t="n"/>
      <c r="E1398" s="41" t="n"/>
      <c r="F1398" s="50" t="n"/>
      <c r="G1398" s="42" t="n"/>
      <c r="H1398" s="42" t="n"/>
      <c r="I1398" s="43">
        <f>IF($B1398="","",N($G1398)-N($H1398))</f>
        <v/>
      </c>
    </row>
    <row r="1399">
      <c r="A1399" s="39">
        <f>IF($B1399="","",COUNTA($B$4:$B1399))</f>
        <v/>
      </c>
      <c r="B1399" s="45" t="n"/>
      <c r="C1399" s="46" t="n"/>
      <c r="D1399" s="46" t="n"/>
      <c r="E1399" s="46" t="n"/>
      <c r="F1399" s="51" t="n"/>
      <c r="G1399" s="47" t="n"/>
      <c r="H1399" s="47" t="n"/>
      <c r="I1399" s="43">
        <f>IF($B1399="","",N($G1399)-N($H1399))</f>
        <v/>
      </c>
    </row>
    <row r="1400">
      <c r="A1400" s="39">
        <f>IF($B1400="","",COUNTA($B$4:$B1400))</f>
        <v/>
      </c>
      <c r="B1400" s="40" t="n"/>
      <c r="C1400" s="41" t="n"/>
      <c r="D1400" s="41" t="n"/>
      <c r="E1400" s="41" t="n"/>
      <c r="F1400" s="50" t="n"/>
      <c r="G1400" s="42" t="n"/>
      <c r="H1400" s="42" t="n"/>
      <c r="I1400" s="43">
        <f>IF($B1400="","",N($G1400)-N($H1400))</f>
        <v/>
      </c>
    </row>
    <row r="1401">
      <c r="A1401" s="39">
        <f>IF($B1401="","",COUNTA($B$4:$B1401))</f>
        <v/>
      </c>
      <c r="B1401" s="45" t="n"/>
      <c r="C1401" s="46" t="n"/>
      <c r="D1401" s="46" t="n"/>
      <c r="E1401" s="46" t="n"/>
      <c r="F1401" s="51" t="n"/>
      <c r="G1401" s="47" t="n"/>
      <c r="H1401" s="47" t="n"/>
      <c r="I1401" s="43">
        <f>IF($B1401="","",N($G1401)-N($H1401))</f>
        <v/>
      </c>
    </row>
    <row r="1402">
      <c r="A1402" s="39">
        <f>IF($B1402="","",COUNTA($B$4:$B1402))</f>
        <v/>
      </c>
      <c r="B1402" s="40" t="n"/>
      <c r="C1402" s="41" t="n"/>
      <c r="D1402" s="41" t="n"/>
      <c r="E1402" s="41" t="n"/>
      <c r="F1402" s="50" t="n"/>
      <c r="G1402" s="42" t="n"/>
      <c r="H1402" s="42" t="n"/>
      <c r="I1402" s="43">
        <f>IF($B1402="","",N($G1402)-N($H1402))</f>
        <v/>
      </c>
    </row>
    <row r="1403">
      <c r="A1403" s="39">
        <f>IF($B1403="","",COUNTA($B$4:$B1403))</f>
        <v/>
      </c>
      <c r="B1403" s="45" t="n"/>
      <c r="C1403" s="46" t="n"/>
      <c r="D1403" s="46" t="n"/>
      <c r="E1403" s="46" t="n"/>
      <c r="F1403" s="51" t="n"/>
      <c r="G1403" s="47" t="n"/>
      <c r="H1403" s="47" t="n"/>
      <c r="I1403" s="43">
        <f>IF($B1403="","",N($G1403)-N($H1403))</f>
        <v/>
      </c>
    </row>
    <row r="1404">
      <c r="A1404" s="39">
        <f>IF($B1404="","",COUNTA($B$4:$B1404))</f>
        <v/>
      </c>
      <c r="B1404" s="40" t="n"/>
      <c r="C1404" s="41" t="n"/>
      <c r="D1404" s="41" t="n"/>
      <c r="E1404" s="41" t="n"/>
      <c r="F1404" s="50" t="n"/>
      <c r="G1404" s="42" t="n"/>
      <c r="H1404" s="42" t="n"/>
      <c r="I1404" s="43">
        <f>IF($B1404="","",N($G1404)-N($H1404))</f>
        <v/>
      </c>
    </row>
    <row r="1405">
      <c r="A1405" s="39">
        <f>IF($B1405="","",COUNTA($B$4:$B1405))</f>
        <v/>
      </c>
      <c r="B1405" s="45" t="n"/>
      <c r="C1405" s="46" t="n"/>
      <c r="D1405" s="46" t="n"/>
      <c r="E1405" s="46" t="n"/>
      <c r="F1405" s="51" t="n"/>
      <c r="G1405" s="47" t="n"/>
      <c r="H1405" s="47" t="n"/>
      <c r="I1405" s="43">
        <f>IF($B1405="","",N($G1405)-N($H1405))</f>
        <v/>
      </c>
    </row>
    <row r="1406">
      <c r="A1406" s="39">
        <f>IF($B1406="","",COUNTA($B$4:$B1406))</f>
        <v/>
      </c>
      <c r="B1406" s="40" t="n"/>
      <c r="C1406" s="41" t="n"/>
      <c r="D1406" s="41" t="n"/>
      <c r="E1406" s="41" t="n"/>
      <c r="F1406" s="50" t="n"/>
      <c r="G1406" s="42" t="n"/>
      <c r="H1406" s="42" t="n"/>
      <c r="I1406" s="43">
        <f>IF($B1406="","",N($G1406)-N($H1406))</f>
        <v/>
      </c>
    </row>
    <row r="1407">
      <c r="A1407" s="39">
        <f>IF($B1407="","",COUNTA($B$4:$B1407))</f>
        <v/>
      </c>
      <c r="B1407" s="45" t="n"/>
      <c r="C1407" s="46" t="n"/>
      <c r="D1407" s="46" t="n"/>
      <c r="E1407" s="46" t="n"/>
      <c r="F1407" s="51" t="n"/>
      <c r="G1407" s="47" t="n"/>
      <c r="H1407" s="47" t="n"/>
      <c r="I1407" s="43">
        <f>IF($B1407="","",N($G1407)-N($H1407))</f>
        <v/>
      </c>
    </row>
    <row r="1408">
      <c r="A1408" s="39">
        <f>IF($B1408="","",COUNTA($B$4:$B1408))</f>
        <v/>
      </c>
      <c r="B1408" s="40" t="n"/>
      <c r="C1408" s="41" t="n"/>
      <c r="D1408" s="41" t="n"/>
      <c r="E1408" s="41" t="n"/>
      <c r="F1408" s="50" t="n"/>
      <c r="G1408" s="42" t="n"/>
      <c r="H1408" s="42" t="n"/>
      <c r="I1408" s="43">
        <f>IF($B1408="","",N($G1408)-N($H1408))</f>
        <v/>
      </c>
    </row>
    <row r="1409">
      <c r="A1409" s="39">
        <f>IF($B1409="","",COUNTA($B$4:$B1409))</f>
        <v/>
      </c>
      <c r="B1409" s="45" t="n"/>
      <c r="C1409" s="46" t="n"/>
      <c r="D1409" s="46" t="n"/>
      <c r="E1409" s="46" t="n"/>
      <c r="F1409" s="51" t="n"/>
      <c r="G1409" s="47" t="n"/>
      <c r="H1409" s="47" t="n"/>
      <c r="I1409" s="43">
        <f>IF($B1409="","",N($G1409)-N($H1409))</f>
        <v/>
      </c>
    </row>
    <row r="1410">
      <c r="A1410" s="39">
        <f>IF($B1410="","",COUNTA($B$4:$B1410))</f>
        <v/>
      </c>
      <c r="B1410" s="40" t="n"/>
      <c r="C1410" s="41" t="n"/>
      <c r="D1410" s="41" t="n"/>
      <c r="E1410" s="41" t="n"/>
      <c r="F1410" s="50" t="n"/>
      <c r="G1410" s="42" t="n"/>
      <c r="H1410" s="42" t="n"/>
      <c r="I1410" s="43">
        <f>IF($B1410="","",N($G1410)-N($H1410))</f>
        <v/>
      </c>
    </row>
    <row r="1411">
      <c r="A1411" s="39">
        <f>IF($B1411="","",COUNTA($B$4:$B1411))</f>
        <v/>
      </c>
      <c r="B1411" s="45" t="n"/>
      <c r="C1411" s="46" t="n"/>
      <c r="D1411" s="46" t="n"/>
      <c r="E1411" s="46" t="n"/>
      <c r="F1411" s="51" t="n"/>
      <c r="G1411" s="47" t="n"/>
      <c r="H1411" s="47" t="n"/>
      <c r="I1411" s="43">
        <f>IF($B1411="","",N($G1411)-N($H1411))</f>
        <v/>
      </c>
    </row>
    <row r="1412">
      <c r="A1412" s="39">
        <f>IF($B1412="","",COUNTA($B$4:$B1412))</f>
        <v/>
      </c>
      <c r="B1412" s="40" t="n"/>
      <c r="C1412" s="41" t="n"/>
      <c r="D1412" s="41" t="n"/>
      <c r="E1412" s="41" t="n"/>
      <c r="F1412" s="50" t="n"/>
      <c r="G1412" s="42" t="n"/>
      <c r="H1412" s="42" t="n"/>
      <c r="I1412" s="43">
        <f>IF($B1412="","",N($G1412)-N($H1412))</f>
        <v/>
      </c>
    </row>
    <row r="1413">
      <c r="A1413" s="39">
        <f>IF($B1413="","",COUNTA($B$4:$B1413))</f>
        <v/>
      </c>
      <c r="B1413" s="45" t="n"/>
      <c r="C1413" s="46" t="n"/>
      <c r="D1413" s="46" t="n"/>
      <c r="E1413" s="46" t="n"/>
      <c r="F1413" s="51" t="n"/>
      <c r="G1413" s="47" t="n"/>
      <c r="H1413" s="47" t="n"/>
      <c r="I1413" s="43">
        <f>IF($B1413="","",N($G1413)-N($H1413))</f>
        <v/>
      </c>
    </row>
    <row r="1414">
      <c r="A1414" s="39">
        <f>IF($B1414="","",COUNTA($B$4:$B1414))</f>
        <v/>
      </c>
      <c r="B1414" s="40" t="n"/>
      <c r="C1414" s="41" t="n"/>
      <c r="D1414" s="41" t="n"/>
      <c r="E1414" s="41" t="n"/>
      <c r="F1414" s="50" t="n"/>
      <c r="G1414" s="42" t="n"/>
      <c r="H1414" s="42" t="n"/>
      <c r="I1414" s="43">
        <f>IF($B1414="","",N($G1414)-N($H1414))</f>
        <v/>
      </c>
    </row>
    <row r="1415">
      <c r="A1415" s="39">
        <f>IF($B1415="","",COUNTA($B$4:$B1415))</f>
        <v/>
      </c>
      <c r="B1415" s="45" t="n"/>
      <c r="C1415" s="46" t="n"/>
      <c r="D1415" s="46" t="n"/>
      <c r="E1415" s="46" t="n"/>
      <c r="F1415" s="51" t="n"/>
      <c r="G1415" s="47" t="n"/>
      <c r="H1415" s="47" t="n"/>
      <c r="I1415" s="43">
        <f>IF($B1415="","",N($G1415)-N($H1415))</f>
        <v/>
      </c>
    </row>
    <row r="1416">
      <c r="A1416" s="39">
        <f>IF($B1416="","",COUNTA($B$4:$B1416))</f>
        <v/>
      </c>
      <c r="B1416" s="40" t="n"/>
      <c r="C1416" s="41" t="n"/>
      <c r="D1416" s="41" t="n"/>
      <c r="E1416" s="41" t="n"/>
      <c r="F1416" s="50" t="n"/>
      <c r="G1416" s="42" t="n"/>
      <c r="H1416" s="42" t="n"/>
      <c r="I1416" s="43">
        <f>IF($B1416="","",N($G1416)-N($H1416))</f>
        <v/>
      </c>
    </row>
    <row r="1417">
      <c r="A1417" s="39">
        <f>IF($B1417="","",COUNTA($B$4:$B1417))</f>
        <v/>
      </c>
      <c r="B1417" s="45" t="n"/>
      <c r="C1417" s="46" t="n"/>
      <c r="D1417" s="46" t="n"/>
      <c r="E1417" s="46" t="n"/>
      <c r="F1417" s="51" t="n"/>
      <c r="G1417" s="47" t="n"/>
      <c r="H1417" s="47" t="n"/>
      <c r="I1417" s="43">
        <f>IF($B1417="","",N($G1417)-N($H1417))</f>
        <v/>
      </c>
    </row>
    <row r="1418">
      <c r="A1418" s="39">
        <f>IF($B1418="","",COUNTA($B$4:$B1418))</f>
        <v/>
      </c>
      <c r="B1418" s="40" t="n"/>
      <c r="C1418" s="41" t="n"/>
      <c r="D1418" s="41" t="n"/>
      <c r="E1418" s="41" t="n"/>
      <c r="F1418" s="50" t="n"/>
      <c r="G1418" s="42" t="n"/>
      <c r="H1418" s="42" t="n"/>
      <c r="I1418" s="43">
        <f>IF($B1418="","",N($G1418)-N($H1418))</f>
        <v/>
      </c>
    </row>
    <row r="1419">
      <c r="A1419" s="39">
        <f>IF($B1419="","",COUNTA($B$4:$B1419))</f>
        <v/>
      </c>
      <c r="B1419" s="45" t="n"/>
      <c r="C1419" s="46" t="n"/>
      <c r="D1419" s="46" t="n"/>
      <c r="E1419" s="46" t="n"/>
      <c r="F1419" s="51" t="n"/>
      <c r="G1419" s="47" t="n"/>
      <c r="H1419" s="47" t="n"/>
      <c r="I1419" s="43">
        <f>IF($B1419="","",N($G1419)-N($H1419))</f>
        <v/>
      </c>
    </row>
    <row r="1420">
      <c r="A1420" s="39">
        <f>IF($B1420="","",COUNTA($B$4:$B1420))</f>
        <v/>
      </c>
      <c r="B1420" s="40" t="n"/>
      <c r="C1420" s="41" t="n"/>
      <c r="D1420" s="41" t="n"/>
      <c r="E1420" s="41" t="n"/>
      <c r="F1420" s="50" t="n"/>
      <c r="G1420" s="42" t="n"/>
      <c r="H1420" s="42" t="n"/>
      <c r="I1420" s="43">
        <f>IF($B1420="","",N($G1420)-N($H1420))</f>
        <v/>
      </c>
    </row>
    <row r="1421">
      <c r="A1421" s="39">
        <f>IF($B1421="","",COUNTA($B$4:$B1421))</f>
        <v/>
      </c>
      <c r="B1421" s="45" t="n"/>
      <c r="C1421" s="46" t="n"/>
      <c r="D1421" s="46" t="n"/>
      <c r="E1421" s="46" t="n"/>
      <c r="F1421" s="51" t="n"/>
      <c r="G1421" s="47" t="n"/>
      <c r="H1421" s="47" t="n"/>
      <c r="I1421" s="43">
        <f>IF($B1421="","",N($G1421)-N($H1421))</f>
        <v/>
      </c>
    </row>
    <row r="1422">
      <c r="A1422" s="39">
        <f>IF($B1422="","",COUNTA($B$4:$B1422))</f>
        <v/>
      </c>
      <c r="B1422" s="40" t="n"/>
      <c r="C1422" s="41" t="n"/>
      <c r="D1422" s="41" t="n"/>
      <c r="E1422" s="41" t="n"/>
      <c r="F1422" s="50" t="n"/>
      <c r="G1422" s="42" t="n"/>
      <c r="H1422" s="42" t="n"/>
      <c r="I1422" s="43">
        <f>IF($B1422="","",N($G1422)-N($H1422))</f>
        <v/>
      </c>
    </row>
    <row r="1423">
      <c r="A1423" s="39">
        <f>IF($B1423="","",COUNTA($B$4:$B1423))</f>
        <v/>
      </c>
      <c r="B1423" s="45" t="n"/>
      <c r="C1423" s="46" t="n"/>
      <c r="D1423" s="46" t="n"/>
      <c r="E1423" s="46" t="n"/>
      <c r="F1423" s="51" t="n"/>
      <c r="G1423" s="47" t="n"/>
      <c r="H1423" s="47" t="n"/>
      <c r="I1423" s="43">
        <f>IF($B1423="","",N($G1423)-N($H1423))</f>
        <v/>
      </c>
    </row>
    <row r="1424">
      <c r="A1424" s="39">
        <f>IF($B1424="","",COUNTA($B$4:$B1424))</f>
        <v/>
      </c>
      <c r="B1424" s="40" t="n"/>
      <c r="C1424" s="41" t="n"/>
      <c r="D1424" s="41" t="n"/>
      <c r="E1424" s="41" t="n"/>
      <c r="F1424" s="50" t="n"/>
      <c r="G1424" s="42" t="n"/>
      <c r="H1424" s="42" t="n"/>
      <c r="I1424" s="43">
        <f>IF($B1424="","",N($G1424)-N($H1424))</f>
        <v/>
      </c>
    </row>
    <row r="1425">
      <c r="A1425" s="39">
        <f>IF($B1425="","",COUNTA($B$4:$B1425))</f>
        <v/>
      </c>
      <c r="B1425" s="45" t="n"/>
      <c r="C1425" s="46" t="n"/>
      <c r="D1425" s="46" t="n"/>
      <c r="E1425" s="46" t="n"/>
      <c r="F1425" s="51" t="n"/>
      <c r="G1425" s="47" t="n"/>
      <c r="H1425" s="47" t="n"/>
      <c r="I1425" s="43">
        <f>IF($B1425="","",N($G1425)-N($H1425))</f>
        <v/>
      </c>
    </row>
    <row r="1426">
      <c r="A1426" s="39">
        <f>IF($B1426="","",COUNTA($B$4:$B1426))</f>
        <v/>
      </c>
      <c r="B1426" s="40" t="n"/>
      <c r="C1426" s="41" t="n"/>
      <c r="D1426" s="41" t="n"/>
      <c r="E1426" s="41" t="n"/>
      <c r="F1426" s="50" t="n"/>
      <c r="G1426" s="42" t="n"/>
      <c r="H1426" s="42" t="n"/>
      <c r="I1426" s="43">
        <f>IF($B1426="","",N($G1426)-N($H1426))</f>
        <v/>
      </c>
    </row>
    <row r="1427">
      <c r="A1427" s="39">
        <f>IF($B1427="","",COUNTA($B$4:$B1427))</f>
        <v/>
      </c>
      <c r="B1427" s="45" t="n"/>
      <c r="C1427" s="46" t="n"/>
      <c r="D1427" s="46" t="n"/>
      <c r="E1427" s="46" t="n"/>
      <c r="F1427" s="51" t="n"/>
      <c r="G1427" s="47" t="n"/>
      <c r="H1427" s="47" t="n"/>
      <c r="I1427" s="43">
        <f>IF($B1427="","",N($G1427)-N($H1427))</f>
        <v/>
      </c>
    </row>
    <row r="1428">
      <c r="A1428" s="39">
        <f>IF($B1428="","",COUNTA($B$4:$B1428))</f>
        <v/>
      </c>
      <c r="B1428" s="40" t="n"/>
      <c r="C1428" s="41" t="n"/>
      <c r="D1428" s="41" t="n"/>
      <c r="E1428" s="41" t="n"/>
      <c r="F1428" s="50" t="n"/>
      <c r="G1428" s="42" t="n"/>
      <c r="H1428" s="42" t="n"/>
      <c r="I1428" s="43">
        <f>IF($B1428="","",N($G1428)-N($H1428))</f>
        <v/>
      </c>
    </row>
    <row r="1429">
      <c r="A1429" s="39">
        <f>IF($B1429="","",COUNTA($B$4:$B1429))</f>
        <v/>
      </c>
      <c r="B1429" s="45" t="n"/>
      <c r="C1429" s="46" t="n"/>
      <c r="D1429" s="46" t="n"/>
      <c r="E1429" s="46" t="n"/>
      <c r="F1429" s="51" t="n"/>
      <c r="G1429" s="47" t="n"/>
      <c r="H1429" s="47" t="n"/>
      <c r="I1429" s="43">
        <f>IF($B1429="","",N($G1429)-N($H1429))</f>
        <v/>
      </c>
    </row>
    <row r="1430">
      <c r="A1430" s="39">
        <f>IF($B1430="","",COUNTA($B$4:$B1430))</f>
        <v/>
      </c>
      <c r="B1430" s="40" t="n"/>
      <c r="C1430" s="41" t="n"/>
      <c r="D1430" s="41" t="n"/>
      <c r="E1430" s="41" t="n"/>
      <c r="F1430" s="50" t="n"/>
      <c r="G1430" s="42" t="n"/>
      <c r="H1430" s="42" t="n"/>
      <c r="I1430" s="43">
        <f>IF($B1430="","",N($G1430)-N($H1430))</f>
        <v/>
      </c>
    </row>
    <row r="1431">
      <c r="A1431" s="39">
        <f>IF($B1431="","",COUNTA($B$4:$B1431))</f>
        <v/>
      </c>
      <c r="B1431" s="45" t="n"/>
      <c r="C1431" s="46" t="n"/>
      <c r="D1431" s="46" t="n"/>
      <c r="E1431" s="46" t="n"/>
      <c r="F1431" s="51" t="n"/>
      <c r="G1431" s="47" t="n"/>
      <c r="H1431" s="47" t="n"/>
      <c r="I1431" s="43">
        <f>IF($B1431="","",N($G1431)-N($H1431))</f>
        <v/>
      </c>
    </row>
    <row r="1432">
      <c r="A1432" s="39">
        <f>IF($B1432="","",COUNTA($B$4:$B1432))</f>
        <v/>
      </c>
      <c r="B1432" s="40" t="n"/>
      <c r="C1432" s="41" t="n"/>
      <c r="D1432" s="41" t="n"/>
      <c r="E1432" s="41" t="n"/>
      <c r="F1432" s="50" t="n"/>
      <c r="G1432" s="42" t="n"/>
      <c r="H1432" s="42" t="n"/>
      <c r="I1432" s="43">
        <f>IF($B1432="","",N($G1432)-N($H1432))</f>
        <v/>
      </c>
    </row>
    <row r="1433">
      <c r="A1433" s="39">
        <f>IF($B1433="","",COUNTA($B$4:$B1433))</f>
        <v/>
      </c>
      <c r="B1433" s="45" t="n"/>
      <c r="C1433" s="46" t="n"/>
      <c r="D1433" s="46" t="n"/>
      <c r="E1433" s="46" t="n"/>
      <c r="F1433" s="51" t="n"/>
      <c r="G1433" s="47" t="n"/>
      <c r="H1433" s="47" t="n"/>
      <c r="I1433" s="43">
        <f>IF($B1433="","",N($G1433)-N($H1433))</f>
        <v/>
      </c>
    </row>
    <row r="1434">
      <c r="A1434" s="39">
        <f>IF($B1434="","",COUNTA($B$4:$B1434))</f>
        <v/>
      </c>
      <c r="B1434" s="40" t="n"/>
      <c r="C1434" s="41" t="n"/>
      <c r="D1434" s="41" t="n"/>
      <c r="E1434" s="41" t="n"/>
      <c r="F1434" s="50" t="n"/>
      <c r="G1434" s="42" t="n"/>
      <c r="H1434" s="42" t="n"/>
      <c r="I1434" s="43">
        <f>IF($B1434="","",N($G1434)-N($H1434))</f>
        <v/>
      </c>
    </row>
    <row r="1435">
      <c r="A1435" s="39">
        <f>IF($B1435="","",COUNTA($B$4:$B1435))</f>
        <v/>
      </c>
      <c r="B1435" s="45" t="n"/>
      <c r="C1435" s="46" t="n"/>
      <c r="D1435" s="46" t="n"/>
      <c r="E1435" s="46" t="n"/>
      <c r="F1435" s="51" t="n"/>
      <c r="G1435" s="47" t="n"/>
      <c r="H1435" s="47" t="n"/>
      <c r="I1435" s="43">
        <f>IF($B1435="","",N($G1435)-N($H1435))</f>
        <v/>
      </c>
    </row>
    <row r="1436">
      <c r="A1436" s="39">
        <f>IF($B1436="","",COUNTA($B$4:$B1436))</f>
        <v/>
      </c>
      <c r="B1436" s="40" t="n"/>
      <c r="C1436" s="41" t="n"/>
      <c r="D1436" s="41" t="n"/>
      <c r="E1436" s="41" t="n"/>
      <c r="F1436" s="50" t="n"/>
      <c r="G1436" s="42" t="n"/>
      <c r="H1436" s="42" t="n"/>
      <c r="I1436" s="43">
        <f>IF($B1436="","",N($G1436)-N($H1436))</f>
        <v/>
      </c>
    </row>
    <row r="1437">
      <c r="A1437" s="39">
        <f>IF($B1437="","",COUNTA($B$4:$B1437))</f>
        <v/>
      </c>
      <c r="B1437" s="45" t="n"/>
      <c r="C1437" s="46" t="n"/>
      <c r="D1437" s="46" t="n"/>
      <c r="E1437" s="46" t="n"/>
      <c r="F1437" s="51" t="n"/>
      <c r="G1437" s="47" t="n"/>
      <c r="H1437" s="47" t="n"/>
      <c r="I1437" s="43">
        <f>IF($B1437="","",N($G1437)-N($H1437))</f>
        <v/>
      </c>
    </row>
    <row r="1438">
      <c r="A1438" s="39">
        <f>IF($B1438="","",COUNTA($B$4:$B1438))</f>
        <v/>
      </c>
      <c r="B1438" s="40" t="n"/>
      <c r="C1438" s="41" t="n"/>
      <c r="D1438" s="41" t="n"/>
      <c r="E1438" s="41" t="n"/>
      <c r="F1438" s="50" t="n"/>
      <c r="G1438" s="42" t="n"/>
      <c r="H1438" s="42" t="n"/>
      <c r="I1438" s="43">
        <f>IF($B1438="","",N($G1438)-N($H1438))</f>
        <v/>
      </c>
    </row>
    <row r="1439">
      <c r="A1439" s="39">
        <f>IF($B1439="","",COUNTA($B$4:$B1439))</f>
        <v/>
      </c>
      <c r="B1439" s="45" t="n"/>
      <c r="C1439" s="46" t="n"/>
      <c r="D1439" s="46" t="n"/>
      <c r="E1439" s="46" t="n"/>
      <c r="F1439" s="51" t="n"/>
      <c r="G1439" s="47" t="n"/>
      <c r="H1439" s="47" t="n"/>
      <c r="I1439" s="43">
        <f>IF($B1439="","",N($G1439)-N($H1439))</f>
        <v/>
      </c>
    </row>
    <row r="1440">
      <c r="A1440" s="39">
        <f>IF($B1440="","",COUNTA($B$4:$B1440))</f>
        <v/>
      </c>
      <c r="B1440" s="40" t="n"/>
      <c r="C1440" s="41" t="n"/>
      <c r="D1440" s="41" t="n"/>
      <c r="E1440" s="41" t="n"/>
      <c r="F1440" s="50" t="n"/>
      <c r="G1440" s="42" t="n"/>
      <c r="H1440" s="42" t="n"/>
      <c r="I1440" s="43">
        <f>IF($B1440="","",N($G1440)-N($H1440))</f>
        <v/>
      </c>
    </row>
    <row r="1441">
      <c r="A1441" s="39">
        <f>IF($B1441="","",COUNTA($B$4:$B1441))</f>
        <v/>
      </c>
      <c r="B1441" s="45" t="n"/>
      <c r="C1441" s="46" t="n"/>
      <c r="D1441" s="46" t="n"/>
      <c r="E1441" s="46" t="n"/>
      <c r="F1441" s="51" t="n"/>
      <c r="G1441" s="47" t="n"/>
      <c r="H1441" s="47" t="n"/>
      <c r="I1441" s="43">
        <f>IF($B1441="","",N($G1441)-N($H1441))</f>
        <v/>
      </c>
    </row>
    <row r="1442">
      <c r="A1442" s="39">
        <f>IF($B1442="","",COUNTA($B$4:$B1442))</f>
        <v/>
      </c>
      <c r="B1442" s="40" t="n"/>
      <c r="C1442" s="41" t="n"/>
      <c r="D1442" s="41" t="n"/>
      <c r="E1442" s="41" t="n"/>
      <c r="F1442" s="50" t="n"/>
      <c r="G1442" s="42" t="n"/>
      <c r="H1442" s="42" t="n"/>
      <c r="I1442" s="43">
        <f>IF($B1442="","",N($G1442)-N($H1442))</f>
        <v/>
      </c>
    </row>
    <row r="1443">
      <c r="A1443" s="39">
        <f>IF($B1443="","",COUNTA($B$4:$B1443))</f>
        <v/>
      </c>
      <c r="B1443" s="45" t="n"/>
      <c r="C1443" s="46" t="n"/>
      <c r="D1443" s="46" t="n"/>
      <c r="E1443" s="46" t="n"/>
      <c r="F1443" s="51" t="n"/>
      <c r="G1443" s="47" t="n"/>
      <c r="H1443" s="47" t="n"/>
      <c r="I1443" s="43">
        <f>IF($B1443="","",N($G1443)-N($H1443))</f>
        <v/>
      </c>
    </row>
    <row r="1444">
      <c r="A1444" s="39">
        <f>IF($B1444="","",COUNTA($B$4:$B1444))</f>
        <v/>
      </c>
      <c r="B1444" s="40" t="n"/>
      <c r="C1444" s="41" t="n"/>
      <c r="D1444" s="41" t="n"/>
      <c r="E1444" s="41" t="n"/>
      <c r="F1444" s="50" t="n"/>
      <c r="G1444" s="42" t="n"/>
      <c r="H1444" s="42" t="n"/>
      <c r="I1444" s="43">
        <f>IF($B1444="","",N($G1444)-N($H1444))</f>
        <v/>
      </c>
    </row>
    <row r="1445">
      <c r="A1445" s="39">
        <f>IF($B1445="","",COUNTA($B$4:$B1445))</f>
        <v/>
      </c>
      <c r="B1445" s="45" t="n"/>
      <c r="C1445" s="46" t="n"/>
      <c r="D1445" s="46" t="n"/>
      <c r="E1445" s="46" t="n"/>
      <c r="F1445" s="51" t="n"/>
      <c r="G1445" s="47" t="n"/>
      <c r="H1445" s="47" t="n"/>
      <c r="I1445" s="43">
        <f>IF($B1445="","",N($G1445)-N($H1445))</f>
        <v/>
      </c>
    </row>
    <row r="1446">
      <c r="A1446" s="39">
        <f>IF($B1446="","",COUNTA($B$4:$B1446))</f>
        <v/>
      </c>
      <c r="B1446" s="40" t="n"/>
      <c r="C1446" s="41" t="n"/>
      <c r="D1446" s="41" t="n"/>
      <c r="E1446" s="41" t="n"/>
      <c r="F1446" s="50" t="n"/>
      <c r="G1446" s="42" t="n"/>
      <c r="H1446" s="42" t="n"/>
      <c r="I1446" s="43">
        <f>IF($B1446="","",N($G1446)-N($H1446))</f>
        <v/>
      </c>
    </row>
    <row r="1447">
      <c r="A1447" s="39">
        <f>IF($B1447="","",COUNTA($B$4:$B1447))</f>
        <v/>
      </c>
      <c r="B1447" s="45" t="n"/>
      <c r="C1447" s="46" t="n"/>
      <c r="D1447" s="46" t="n"/>
      <c r="E1447" s="46" t="n"/>
      <c r="F1447" s="51" t="n"/>
      <c r="G1447" s="47" t="n"/>
      <c r="H1447" s="47" t="n"/>
      <c r="I1447" s="43">
        <f>IF($B1447="","",N($G1447)-N($H1447))</f>
        <v/>
      </c>
    </row>
    <row r="1448">
      <c r="A1448" s="39">
        <f>IF($B1448="","",COUNTA($B$4:$B1448))</f>
        <v/>
      </c>
      <c r="B1448" s="40" t="n"/>
      <c r="C1448" s="41" t="n"/>
      <c r="D1448" s="41" t="n"/>
      <c r="E1448" s="41" t="n"/>
      <c r="F1448" s="50" t="n"/>
      <c r="G1448" s="42" t="n"/>
      <c r="H1448" s="42" t="n"/>
      <c r="I1448" s="43">
        <f>IF($B1448="","",N($G1448)-N($H1448))</f>
        <v/>
      </c>
    </row>
    <row r="1449">
      <c r="A1449" s="39">
        <f>IF($B1449="","",COUNTA($B$4:$B1449))</f>
        <v/>
      </c>
      <c r="B1449" s="45" t="n"/>
      <c r="C1449" s="46" t="n"/>
      <c r="D1449" s="46" t="n"/>
      <c r="E1449" s="46" t="n"/>
      <c r="F1449" s="51" t="n"/>
      <c r="G1449" s="47" t="n"/>
      <c r="H1449" s="47" t="n"/>
      <c r="I1449" s="43">
        <f>IF($B1449="","",N($G1449)-N($H1449))</f>
        <v/>
      </c>
    </row>
    <row r="1450">
      <c r="A1450" s="39">
        <f>IF($B1450="","",COUNTA($B$4:$B1450))</f>
        <v/>
      </c>
      <c r="B1450" s="40" t="n"/>
      <c r="C1450" s="41" t="n"/>
      <c r="D1450" s="41" t="n"/>
      <c r="E1450" s="41" t="n"/>
      <c r="F1450" s="50" t="n"/>
      <c r="G1450" s="42" t="n"/>
      <c r="H1450" s="42" t="n"/>
      <c r="I1450" s="43">
        <f>IF($B1450="","",N($G1450)-N($H1450))</f>
        <v/>
      </c>
    </row>
    <row r="1451">
      <c r="A1451" s="39">
        <f>IF($B1451="","",COUNTA($B$4:$B1451))</f>
        <v/>
      </c>
      <c r="B1451" s="45" t="n"/>
      <c r="C1451" s="46" t="n"/>
      <c r="D1451" s="46" t="n"/>
      <c r="E1451" s="46" t="n"/>
      <c r="F1451" s="51" t="n"/>
      <c r="G1451" s="47" t="n"/>
      <c r="H1451" s="47" t="n"/>
      <c r="I1451" s="43">
        <f>IF($B1451="","",N($G1451)-N($H1451))</f>
        <v/>
      </c>
    </row>
    <row r="1452">
      <c r="A1452" s="39">
        <f>IF($B1452="","",COUNTA($B$4:$B1452))</f>
        <v/>
      </c>
      <c r="B1452" s="40" t="n"/>
      <c r="C1452" s="41" t="n"/>
      <c r="D1452" s="41" t="n"/>
      <c r="E1452" s="41" t="n"/>
      <c r="F1452" s="50" t="n"/>
      <c r="G1452" s="42" t="n"/>
      <c r="H1452" s="42" t="n"/>
      <c r="I1452" s="43">
        <f>IF($B1452="","",N($G1452)-N($H1452))</f>
        <v/>
      </c>
    </row>
    <row r="1453">
      <c r="A1453" s="39">
        <f>IF($B1453="","",COUNTA($B$4:$B1453))</f>
        <v/>
      </c>
      <c r="B1453" s="45" t="n"/>
      <c r="C1453" s="46" t="n"/>
      <c r="D1453" s="46" t="n"/>
      <c r="E1453" s="46" t="n"/>
      <c r="F1453" s="51" t="n"/>
      <c r="G1453" s="47" t="n"/>
      <c r="H1453" s="47" t="n"/>
      <c r="I1453" s="43">
        <f>IF($B1453="","",N($G1453)-N($H1453))</f>
        <v/>
      </c>
    </row>
    <row r="1454">
      <c r="A1454" s="39">
        <f>IF($B1454="","",COUNTA($B$4:$B1454))</f>
        <v/>
      </c>
      <c r="B1454" s="40" t="n"/>
      <c r="C1454" s="41" t="n"/>
      <c r="D1454" s="41" t="n"/>
      <c r="E1454" s="41" t="n"/>
      <c r="F1454" s="50" t="n"/>
      <c r="G1454" s="42" t="n"/>
      <c r="H1454" s="42" t="n"/>
      <c r="I1454" s="43">
        <f>IF($B1454="","",N($G1454)-N($H1454))</f>
        <v/>
      </c>
    </row>
    <row r="1455">
      <c r="A1455" s="39">
        <f>IF($B1455="","",COUNTA($B$4:$B1455))</f>
        <v/>
      </c>
      <c r="B1455" s="45" t="n"/>
      <c r="C1455" s="46" t="n"/>
      <c r="D1455" s="46" t="n"/>
      <c r="E1455" s="46" t="n"/>
      <c r="F1455" s="51" t="n"/>
      <c r="G1455" s="47" t="n"/>
      <c r="H1455" s="47" t="n"/>
      <c r="I1455" s="43">
        <f>IF($B1455="","",N($G1455)-N($H1455))</f>
        <v/>
      </c>
    </row>
    <row r="1456">
      <c r="A1456" s="39">
        <f>IF($B1456="","",COUNTA($B$4:$B1456))</f>
        <v/>
      </c>
      <c r="B1456" s="40" t="n"/>
      <c r="C1456" s="41" t="n"/>
      <c r="D1456" s="41" t="n"/>
      <c r="E1456" s="41" t="n"/>
      <c r="F1456" s="50" t="n"/>
      <c r="G1456" s="42" t="n"/>
      <c r="H1456" s="42" t="n"/>
      <c r="I1456" s="43">
        <f>IF($B1456="","",N($G1456)-N($H1456))</f>
        <v/>
      </c>
    </row>
    <row r="1457">
      <c r="A1457" s="39">
        <f>IF($B1457="","",COUNTA($B$4:$B1457))</f>
        <v/>
      </c>
      <c r="B1457" s="45" t="n"/>
      <c r="C1457" s="46" t="n"/>
      <c r="D1457" s="46" t="n"/>
      <c r="E1457" s="46" t="n"/>
      <c r="F1457" s="51" t="n"/>
      <c r="G1457" s="47" t="n"/>
      <c r="H1457" s="47" t="n"/>
      <c r="I1457" s="43">
        <f>IF($B1457="","",N($G1457)-N($H1457))</f>
        <v/>
      </c>
    </row>
    <row r="1458">
      <c r="A1458" s="39">
        <f>IF($B1458="","",COUNTA($B$4:$B1458))</f>
        <v/>
      </c>
      <c r="B1458" s="40" t="n"/>
      <c r="C1458" s="41" t="n"/>
      <c r="D1458" s="41" t="n"/>
      <c r="E1458" s="41" t="n"/>
      <c r="F1458" s="50" t="n"/>
      <c r="G1458" s="42" t="n"/>
      <c r="H1458" s="42" t="n"/>
      <c r="I1458" s="43">
        <f>IF($B1458="","",N($G1458)-N($H1458))</f>
        <v/>
      </c>
    </row>
    <row r="1459">
      <c r="A1459" s="39">
        <f>IF($B1459="","",COUNTA($B$4:$B1459))</f>
        <v/>
      </c>
      <c r="B1459" s="45" t="n"/>
      <c r="C1459" s="46" t="n"/>
      <c r="D1459" s="46" t="n"/>
      <c r="E1459" s="46" t="n"/>
      <c r="F1459" s="51" t="n"/>
      <c r="G1459" s="47" t="n"/>
      <c r="H1459" s="47" t="n"/>
      <c r="I1459" s="43">
        <f>IF($B1459="","",N($G1459)-N($H1459))</f>
        <v/>
      </c>
    </row>
    <row r="1460">
      <c r="A1460" s="39">
        <f>IF($B1460="","",COUNTA($B$4:$B1460))</f>
        <v/>
      </c>
      <c r="B1460" s="40" t="n"/>
      <c r="C1460" s="41" t="n"/>
      <c r="D1460" s="41" t="n"/>
      <c r="E1460" s="41" t="n"/>
      <c r="F1460" s="50" t="n"/>
      <c r="G1460" s="42" t="n"/>
      <c r="H1460" s="42" t="n"/>
      <c r="I1460" s="43">
        <f>IF($B1460="","",N($G1460)-N($H1460))</f>
        <v/>
      </c>
    </row>
    <row r="1461">
      <c r="A1461" s="39">
        <f>IF($B1461="","",COUNTA($B$4:$B1461))</f>
        <v/>
      </c>
      <c r="B1461" s="45" t="n"/>
      <c r="C1461" s="46" t="n"/>
      <c r="D1461" s="46" t="n"/>
      <c r="E1461" s="46" t="n"/>
      <c r="F1461" s="51" t="n"/>
      <c r="G1461" s="47" t="n"/>
      <c r="H1461" s="47" t="n"/>
      <c r="I1461" s="43">
        <f>IF($B1461="","",N($G1461)-N($H1461))</f>
        <v/>
      </c>
    </row>
    <row r="1462">
      <c r="A1462" s="39">
        <f>IF($B1462="","",COUNTA($B$4:$B1462))</f>
        <v/>
      </c>
      <c r="B1462" s="40" t="n"/>
      <c r="C1462" s="41" t="n"/>
      <c r="D1462" s="41" t="n"/>
      <c r="E1462" s="41" t="n"/>
      <c r="F1462" s="50" t="n"/>
      <c r="G1462" s="42" t="n"/>
      <c r="H1462" s="42" t="n"/>
      <c r="I1462" s="43">
        <f>IF($B1462="","",N($G1462)-N($H1462))</f>
        <v/>
      </c>
    </row>
    <row r="1463">
      <c r="A1463" s="39">
        <f>IF($B1463="","",COUNTA($B$4:$B1463))</f>
        <v/>
      </c>
      <c r="B1463" s="45" t="n"/>
      <c r="C1463" s="46" t="n"/>
      <c r="D1463" s="46" t="n"/>
      <c r="E1463" s="46" t="n"/>
      <c r="F1463" s="51" t="n"/>
      <c r="G1463" s="47" t="n"/>
      <c r="H1463" s="47" t="n"/>
      <c r="I1463" s="43">
        <f>IF($B1463="","",N($G1463)-N($H1463))</f>
        <v/>
      </c>
    </row>
    <row r="1464">
      <c r="A1464" s="39">
        <f>IF($B1464="","",COUNTA($B$4:$B1464))</f>
        <v/>
      </c>
      <c r="B1464" s="40" t="n"/>
      <c r="C1464" s="41" t="n"/>
      <c r="D1464" s="41" t="n"/>
      <c r="E1464" s="41" t="n"/>
      <c r="F1464" s="50" t="n"/>
      <c r="G1464" s="42" t="n"/>
      <c r="H1464" s="42" t="n"/>
      <c r="I1464" s="43">
        <f>IF($B1464="","",N($G1464)-N($H1464))</f>
        <v/>
      </c>
    </row>
    <row r="1465">
      <c r="A1465" s="39">
        <f>IF($B1465="","",COUNTA($B$4:$B1465))</f>
        <v/>
      </c>
      <c r="B1465" s="45" t="n"/>
      <c r="C1465" s="46" t="n"/>
      <c r="D1465" s="46" t="n"/>
      <c r="E1465" s="46" t="n"/>
      <c r="F1465" s="51" t="n"/>
      <c r="G1465" s="47" t="n"/>
      <c r="H1465" s="47" t="n"/>
      <c r="I1465" s="43">
        <f>IF($B1465="","",N($G1465)-N($H1465))</f>
        <v/>
      </c>
    </row>
    <row r="1466">
      <c r="A1466" s="39">
        <f>IF($B1466="","",COUNTA($B$4:$B1466))</f>
        <v/>
      </c>
      <c r="B1466" s="40" t="n"/>
      <c r="C1466" s="41" t="n"/>
      <c r="D1466" s="41" t="n"/>
      <c r="E1466" s="41" t="n"/>
      <c r="F1466" s="50" t="n"/>
      <c r="G1466" s="42" t="n"/>
      <c r="H1466" s="42" t="n"/>
      <c r="I1466" s="43">
        <f>IF($B1466="","",N($G1466)-N($H1466))</f>
        <v/>
      </c>
    </row>
    <row r="1467">
      <c r="A1467" s="39">
        <f>IF($B1467="","",COUNTA($B$4:$B1467))</f>
        <v/>
      </c>
      <c r="B1467" s="45" t="n"/>
      <c r="C1467" s="46" t="n"/>
      <c r="D1467" s="46" t="n"/>
      <c r="E1467" s="46" t="n"/>
      <c r="F1467" s="51" t="n"/>
      <c r="G1467" s="47" t="n"/>
      <c r="H1467" s="47" t="n"/>
      <c r="I1467" s="43">
        <f>IF($B1467="","",N($G1467)-N($H1467))</f>
        <v/>
      </c>
    </row>
    <row r="1468">
      <c r="A1468" s="39">
        <f>IF($B1468="","",COUNTA($B$4:$B1468))</f>
        <v/>
      </c>
      <c r="B1468" s="40" t="n"/>
      <c r="C1468" s="41" t="n"/>
      <c r="D1468" s="41" t="n"/>
      <c r="E1468" s="41" t="n"/>
      <c r="F1468" s="50" t="n"/>
      <c r="G1468" s="42" t="n"/>
      <c r="H1468" s="42" t="n"/>
      <c r="I1468" s="43">
        <f>IF($B1468="","",N($G1468)-N($H1468))</f>
        <v/>
      </c>
    </row>
    <row r="1469">
      <c r="A1469" s="39">
        <f>IF($B1469="","",COUNTA($B$4:$B1469))</f>
        <v/>
      </c>
      <c r="B1469" s="45" t="n"/>
      <c r="C1469" s="46" t="n"/>
      <c r="D1469" s="46" t="n"/>
      <c r="E1469" s="46" t="n"/>
      <c r="F1469" s="51" t="n"/>
      <c r="G1469" s="47" t="n"/>
      <c r="H1469" s="47" t="n"/>
      <c r="I1469" s="43">
        <f>IF($B1469="","",N($G1469)-N($H1469))</f>
        <v/>
      </c>
    </row>
    <row r="1470">
      <c r="A1470" s="39">
        <f>IF($B1470="","",COUNTA($B$4:$B1470))</f>
        <v/>
      </c>
      <c r="B1470" s="40" t="n"/>
      <c r="C1470" s="41" t="n"/>
      <c r="D1470" s="41" t="n"/>
      <c r="E1470" s="41" t="n"/>
      <c r="F1470" s="50" t="n"/>
      <c r="G1470" s="42" t="n"/>
      <c r="H1470" s="42" t="n"/>
      <c r="I1470" s="43">
        <f>IF($B1470="","",N($G1470)-N($H1470))</f>
        <v/>
      </c>
    </row>
    <row r="1471">
      <c r="A1471" s="39">
        <f>IF($B1471="","",COUNTA($B$4:$B1471))</f>
        <v/>
      </c>
      <c r="B1471" s="45" t="n"/>
      <c r="C1471" s="46" t="n"/>
      <c r="D1471" s="46" t="n"/>
      <c r="E1471" s="46" t="n"/>
      <c r="F1471" s="51" t="n"/>
      <c r="G1471" s="47" t="n"/>
      <c r="H1471" s="47" t="n"/>
      <c r="I1471" s="43">
        <f>IF($B1471="","",N($G1471)-N($H1471))</f>
        <v/>
      </c>
    </row>
    <row r="1472">
      <c r="A1472" s="39">
        <f>IF($B1472="","",COUNTA($B$4:$B1472))</f>
        <v/>
      </c>
      <c r="B1472" s="40" t="n"/>
      <c r="C1472" s="41" t="n"/>
      <c r="D1472" s="41" t="n"/>
      <c r="E1472" s="41" t="n"/>
      <c r="F1472" s="50" t="n"/>
      <c r="G1472" s="42" t="n"/>
      <c r="H1472" s="42" t="n"/>
      <c r="I1472" s="43">
        <f>IF($B1472="","",N($G1472)-N($H1472))</f>
        <v/>
      </c>
    </row>
    <row r="1473">
      <c r="A1473" s="39">
        <f>IF($B1473="","",COUNTA($B$4:$B1473))</f>
        <v/>
      </c>
      <c r="B1473" s="45" t="n"/>
      <c r="C1473" s="46" t="n"/>
      <c r="D1473" s="46" t="n"/>
      <c r="E1473" s="46" t="n"/>
      <c r="F1473" s="51" t="n"/>
      <c r="G1473" s="47" t="n"/>
      <c r="H1473" s="47" t="n"/>
      <c r="I1473" s="43">
        <f>IF($B1473="","",N($G1473)-N($H1473))</f>
        <v/>
      </c>
    </row>
    <row r="1474">
      <c r="A1474" s="39">
        <f>IF($B1474="","",COUNTA($B$4:$B1474))</f>
        <v/>
      </c>
      <c r="B1474" s="40" t="n"/>
      <c r="C1474" s="41" t="n"/>
      <c r="D1474" s="41" t="n"/>
      <c r="E1474" s="41" t="n"/>
      <c r="F1474" s="50" t="n"/>
      <c r="G1474" s="42" t="n"/>
      <c r="H1474" s="42" t="n"/>
      <c r="I1474" s="43">
        <f>IF($B1474="","",N($G1474)-N($H1474))</f>
        <v/>
      </c>
    </row>
    <row r="1475">
      <c r="A1475" s="39">
        <f>IF($B1475="","",COUNTA($B$4:$B1475))</f>
        <v/>
      </c>
      <c r="B1475" s="45" t="n"/>
      <c r="C1475" s="46" t="n"/>
      <c r="D1475" s="46" t="n"/>
      <c r="E1475" s="46" t="n"/>
      <c r="F1475" s="51" t="n"/>
      <c r="G1475" s="47" t="n"/>
      <c r="H1475" s="47" t="n"/>
      <c r="I1475" s="43">
        <f>IF($B1475="","",N($G1475)-N($H1475))</f>
        <v/>
      </c>
    </row>
    <row r="1476">
      <c r="A1476" s="39">
        <f>IF($B1476="","",COUNTA($B$4:$B1476))</f>
        <v/>
      </c>
      <c r="B1476" s="40" t="n"/>
      <c r="C1476" s="41" t="n"/>
      <c r="D1476" s="41" t="n"/>
      <c r="E1476" s="41" t="n"/>
      <c r="F1476" s="50" t="n"/>
      <c r="G1476" s="42" t="n"/>
      <c r="H1476" s="42" t="n"/>
      <c r="I1476" s="43">
        <f>IF($B1476="","",N($G1476)-N($H1476))</f>
        <v/>
      </c>
    </row>
    <row r="1477">
      <c r="A1477" s="39">
        <f>IF($B1477="","",COUNTA($B$4:$B1477))</f>
        <v/>
      </c>
      <c r="B1477" s="45" t="n"/>
      <c r="C1477" s="46" t="n"/>
      <c r="D1477" s="46" t="n"/>
      <c r="E1477" s="46" t="n"/>
      <c r="F1477" s="51" t="n"/>
      <c r="G1477" s="47" t="n"/>
      <c r="H1477" s="47" t="n"/>
      <c r="I1477" s="43">
        <f>IF($B1477="","",N($G1477)-N($H1477))</f>
        <v/>
      </c>
    </row>
    <row r="1478">
      <c r="A1478" s="39">
        <f>IF($B1478="","",COUNTA($B$4:$B1478))</f>
        <v/>
      </c>
      <c r="B1478" s="40" t="n"/>
      <c r="C1478" s="41" t="n"/>
      <c r="D1478" s="41" t="n"/>
      <c r="E1478" s="41" t="n"/>
      <c r="F1478" s="50" t="n"/>
      <c r="G1478" s="42" t="n"/>
      <c r="H1478" s="42" t="n"/>
      <c r="I1478" s="43">
        <f>IF($B1478="","",N($G1478)-N($H1478))</f>
        <v/>
      </c>
    </row>
    <row r="1479">
      <c r="A1479" s="39">
        <f>IF($B1479="","",COUNTA($B$4:$B1479))</f>
        <v/>
      </c>
      <c r="B1479" s="45" t="n"/>
      <c r="C1479" s="46" t="n"/>
      <c r="D1479" s="46" t="n"/>
      <c r="E1479" s="46" t="n"/>
      <c r="F1479" s="51" t="n"/>
      <c r="G1479" s="47" t="n"/>
      <c r="H1479" s="47" t="n"/>
      <c r="I1479" s="43">
        <f>IF($B1479="","",N($G1479)-N($H1479))</f>
        <v/>
      </c>
    </row>
    <row r="1480">
      <c r="A1480" s="39">
        <f>IF($B1480="","",COUNTA($B$4:$B1480))</f>
        <v/>
      </c>
      <c r="B1480" s="40" t="n"/>
      <c r="C1480" s="41" t="n"/>
      <c r="D1480" s="41" t="n"/>
      <c r="E1480" s="41" t="n"/>
      <c r="F1480" s="50" t="n"/>
      <c r="G1480" s="42" t="n"/>
      <c r="H1480" s="42" t="n"/>
      <c r="I1480" s="43">
        <f>IF($B1480="","",N($G1480)-N($H1480))</f>
        <v/>
      </c>
    </row>
    <row r="1481">
      <c r="A1481" s="39">
        <f>IF($B1481="","",COUNTA($B$4:$B1481))</f>
        <v/>
      </c>
      <c r="B1481" s="45" t="n"/>
      <c r="C1481" s="46" t="n"/>
      <c r="D1481" s="46" t="n"/>
      <c r="E1481" s="46" t="n"/>
      <c r="F1481" s="51" t="n"/>
      <c r="G1481" s="47" t="n"/>
      <c r="H1481" s="47" t="n"/>
      <c r="I1481" s="43">
        <f>IF($B1481="","",N($G1481)-N($H1481))</f>
        <v/>
      </c>
    </row>
    <row r="1482">
      <c r="A1482" s="39">
        <f>IF($B1482="","",COUNTA($B$4:$B1482))</f>
        <v/>
      </c>
      <c r="B1482" s="40" t="n"/>
      <c r="C1482" s="41" t="n"/>
      <c r="D1482" s="41" t="n"/>
      <c r="E1482" s="41" t="n"/>
      <c r="F1482" s="50" t="n"/>
      <c r="G1482" s="42" t="n"/>
      <c r="H1482" s="42" t="n"/>
      <c r="I1482" s="43">
        <f>IF($B1482="","",N($G1482)-N($H1482))</f>
        <v/>
      </c>
    </row>
    <row r="1483">
      <c r="A1483" s="39">
        <f>IF($B1483="","",COUNTA($B$4:$B1483))</f>
        <v/>
      </c>
      <c r="B1483" s="45" t="n"/>
      <c r="C1483" s="46" t="n"/>
      <c r="D1483" s="46" t="n"/>
      <c r="E1483" s="46" t="n"/>
      <c r="F1483" s="51" t="n"/>
      <c r="G1483" s="47" t="n"/>
      <c r="H1483" s="47" t="n"/>
      <c r="I1483" s="43">
        <f>IF($B1483="","",N($G1483)-N($H1483))</f>
        <v/>
      </c>
    </row>
    <row r="1484">
      <c r="A1484" s="39">
        <f>IF($B1484="","",COUNTA($B$4:$B1484))</f>
        <v/>
      </c>
      <c r="B1484" s="40" t="n"/>
      <c r="C1484" s="41" t="n"/>
      <c r="D1484" s="41" t="n"/>
      <c r="E1484" s="41" t="n"/>
      <c r="F1484" s="50" t="n"/>
      <c r="G1484" s="42" t="n"/>
      <c r="H1484" s="42" t="n"/>
      <c r="I1484" s="43">
        <f>IF($B1484="","",N($G1484)-N($H1484))</f>
        <v/>
      </c>
    </row>
    <row r="1485">
      <c r="A1485" s="39">
        <f>IF($B1485="","",COUNTA($B$4:$B1485))</f>
        <v/>
      </c>
      <c r="B1485" s="45" t="n"/>
      <c r="C1485" s="46" t="n"/>
      <c r="D1485" s="46" t="n"/>
      <c r="E1485" s="46" t="n"/>
      <c r="F1485" s="51" t="n"/>
      <c r="G1485" s="47" t="n"/>
      <c r="H1485" s="47" t="n"/>
      <c r="I1485" s="43">
        <f>IF($B1485="","",N($G1485)-N($H1485))</f>
        <v/>
      </c>
    </row>
    <row r="1486">
      <c r="A1486" s="39">
        <f>IF($B1486="","",COUNTA($B$4:$B1486))</f>
        <v/>
      </c>
      <c r="B1486" s="40" t="n"/>
      <c r="C1486" s="41" t="n"/>
      <c r="D1486" s="41" t="n"/>
      <c r="E1486" s="41" t="n"/>
      <c r="F1486" s="50" t="n"/>
      <c r="G1486" s="42" t="n"/>
      <c r="H1486" s="42" t="n"/>
      <c r="I1486" s="43">
        <f>IF($B1486="","",N($G1486)-N($H1486))</f>
        <v/>
      </c>
    </row>
    <row r="1487">
      <c r="A1487" s="39">
        <f>IF($B1487="","",COUNTA($B$4:$B1487))</f>
        <v/>
      </c>
      <c r="B1487" s="45" t="n"/>
      <c r="C1487" s="46" t="n"/>
      <c r="D1487" s="46" t="n"/>
      <c r="E1487" s="46" t="n"/>
      <c r="F1487" s="51" t="n"/>
      <c r="G1487" s="47" t="n"/>
      <c r="H1487" s="47" t="n"/>
      <c r="I1487" s="43">
        <f>IF($B1487="","",N($G1487)-N($H1487))</f>
        <v/>
      </c>
    </row>
    <row r="1488">
      <c r="A1488" s="39">
        <f>IF($B1488="","",COUNTA($B$4:$B1488))</f>
        <v/>
      </c>
      <c r="B1488" s="40" t="n"/>
      <c r="C1488" s="41" t="n"/>
      <c r="D1488" s="41" t="n"/>
      <c r="E1488" s="41" t="n"/>
      <c r="F1488" s="50" t="n"/>
      <c r="G1488" s="42" t="n"/>
      <c r="H1488" s="42" t="n"/>
      <c r="I1488" s="43">
        <f>IF($B1488="","",N($G1488)-N($H1488))</f>
        <v/>
      </c>
    </row>
    <row r="1489">
      <c r="A1489" s="39">
        <f>IF($B1489="","",COUNTA($B$4:$B1489))</f>
        <v/>
      </c>
      <c r="B1489" s="45" t="n"/>
      <c r="C1489" s="46" t="n"/>
      <c r="D1489" s="46" t="n"/>
      <c r="E1489" s="46" t="n"/>
      <c r="F1489" s="51" t="n"/>
      <c r="G1489" s="47" t="n"/>
      <c r="H1489" s="47" t="n"/>
      <c r="I1489" s="43">
        <f>IF($B1489="","",N($G1489)-N($H1489))</f>
        <v/>
      </c>
    </row>
    <row r="1490">
      <c r="A1490" s="39">
        <f>IF($B1490="","",COUNTA($B$4:$B1490))</f>
        <v/>
      </c>
      <c r="B1490" s="40" t="n"/>
      <c r="C1490" s="41" t="n"/>
      <c r="D1490" s="41" t="n"/>
      <c r="E1490" s="41" t="n"/>
      <c r="F1490" s="50" t="n"/>
      <c r="G1490" s="42" t="n"/>
      <c r="H1490" s="42" t="n"/>
      <c r="I1490" s="43">
        <f>IF($B1490="","",N($G1490)-N($H1490))</f>
        <v/>
      </c>
    </row>
    <row r="1491">
      <c r="A1491" s="39">
        <f>IF($B1491="","",COUNTA($B$4:$B1491))</f>
        <v/>
      </c>
      <c r="B1491" s="45" t="n"/>
      <c r="C1491" s="46" t="n"/>
      <c r="D1491" s="46" t="n"/>
      <c r="E1491" s="46" t="n"/>
      <c r="F1491" s="51" t="n"/>
      <c r="G1491" s="47" t="n"/>
      <c r="H1491" s="47" t="n"/>
      <c r="I1491" s="43">
        <f>IF($B1491="","",N($G1491)-N($H1491))</f>
        <v/>
      </c>
    </row>
    <row r="1492">
      <c r="A1492" s="39">
        <f>IF($B1492="","",COUNTA($B$4:$B1492))</f>
        <v/>
      </c>
      <c r="B1492" s="40" t="n"/>
      <c r="C1492" s="41" t="n"/>
      <c r="D1492" s="41" t="n"/>
      <c r="E1492" s="41" t="n"/>
      <c r="F1492" s="50" t="n"/>
      <c r="G1492" s="42" t="n"/>
      <c r="H1492" s="42" t="n"/>
      <c r="I1492" s="43">
        <f>IF($B1492="","",N($G1492)-N($H1492))</f>
        <v/>
      </c>
    </row>
    <row r="1493">
      <c r="A1493" s="39">
        <f>IF($B1493="","",COUNTA($B$4:$B1493))</f>
        <v/>
      </c>
      <c r="B1493" s="45" t="n"/>
      <c r="C1493" s="46" t="n"/>
      <c r="D1493" s="46" t="n"/>
      <c r="E1493" s="46" t="n"/>
      <c r="F1493" s="51" t="n"/>
      <c r="G1493" s="47" t="n"/>
      <c r="H1493" s="47" t="n"/>
      <c r="I1493" s="43">
        <f>IF($B1493="","",N($G1493)-N($H1493))</f>
        <v/>
      </c>
    </row>
    <row r="1494">
      <c r="A1494" s="39">
        <f>IF($B1494="","",COUNTA($B$4:$B1494))</f>
        <v/>
      </c>
      <c r="B1494" s="40" t="n"/>
      <c r="C1494" s="41" t="n"/>
      <c r="D1494" s="41" t="n"/>
      <c r="E1494" s="41" t="n"/>
      <c r="F1494" s="50" t="n"/>
      <c r="G1494" s="42" t="n"/>
      <c r="H1494" s="42" t="n"/>
      <c r="I1494" s="43">
        <f>IF($B1494="","",N($G1494)-N($H1494))</f>
        <v/>
      </c>
    </row>
    <row r="1495">
      <c r="A1495" s="39">
        <f>IF($B1495="","",COUNTA($B$4:$B1495))</f>
        <v/>
      </c>
      <c r="B1495" s="45" t="n"/>
      <c r="C1495" s="46" t="n"/>
      <c r="D1495" s="46" t="n"/>
      <c r="E1495" s="46" t="n"/>
      <c r="F1495" s="51" t="n"/>
      <c r="G1495" s="47" t="n"/>
      <c r="H1495" s="47" t="n"/>
      <c r="I1495" s="43">
        <f>IF($B1495="","",N($G1495)-N($H1495))</f>
        <v/>
      </c>
    </row>
    <row r="1496">
      <c r="A1496" s="39">
        <f>IF($B1496="","",COUNTA($B$4:$B1496))</f>
        <v/>
      </c>
      <c r="B1496" s="40" t="n"/>
      <c r="C1496" s="41" t="n"/>
      <c r="D1496" s="41" t="n"/>
      <c r="E1496" s="41" t="n"/>
      <c r="F1496" s="50" t="n"/>
      <c r="G1496" s="42" t="n"/>
      <c r="H1496" s="42" t="n"/>
      <c r="I1496" s="43">
        <f>IF($B1496="","",N($G1496)-N($H1496))</f>
        <v/>
      </c>
    </row>
    <row r="1497">
      <c r="A1497" s="39">
        <f>IF($B1497="","",COUNTA($B$4:$B1497))</f>
        <v/>
      </c>
      <c r="B1497" s="45" t="n"/>
      <c r="C1497" s="46" t="n"/>
      <c r="D1497" s="46" t="n"/>
      <c r="E1497" s="46" t="n"/>
      <c r="F1497" s="51" t="n"/>
      <c r="G1497" s="47" t="n"/>
      <c r="H1497" s="47" t="n"/>
      <c r="I1497" s="43">
        <f>IF($B1497="","",N($G1497)-N($H1497))</f>
        <v/>
      </c>
    </row>
    <row r="1498">
      <c r="A1498" s="39">
        <f>IF($B1498="","",COUNTA($B$4:$B1498))</f>
        <v/>
      </c>
      <c r="B1498" s="40" t="n"/>
      <c r="C1498" s="41" t="n"/>
      <c r="D1498" s="41" t="n"/>
      <c r="E1498" s="41" t="n"/>
      <c r="F1498" s="50" t="n"/>
      <c r="G1498" s="42" t="n"/>
      <c r="H1498" s="42" t="n"/>
      <c r="I1498" s="43">
        <f>IF($B1498="","",N($G1498)-N($H1498))</f>
        <v/>
      </c>
    </row>
    <row r="1499">
      <c r="A1499" s="39">
        <f>IF($B1499="","",COUNTA($B$4:$B1499))</f>
        <v/>
      </c>
      <c r="B1499" s="45" t="n"/>
      <c r="C1499" s="46" t="n"/>
      <c r="D1499" s="46" t="n"/>
      <c r="E1499" s="46" t="n"/>
      <c r="F1499" s="51" t="n"/>
      <c r="G1499" s="47" t="n"/>
      <c r="H1499" s="47" t="n"/>
      <c r="I1499" s="43">
        <f>IF($B1499="","",N($G1499)-N($H1499))</f>
        <v/>
      </c>
    </row>
    <row r="1500">
      <c r="A1500" s="39">
        <f>IF($B1500="","",COUNTA($B$4:$B1500))</f>
        <v/>
      </c>
      <c r="B1500" s="40" t="n"/>
      <c r="C1500" s="41" t="n"/>
      <c r="D1500" s="41" t="n"/>
      <c r="E1500" s="41" t="n"/>
      <c r="F1500" s="50" t="n"/>
      <c r="G1500" s="42" t="n"/>
      <c r="H1500" s="42" t="n"/>
      <c r="I1500" s="43">
        <f>IF($B1500="","",N($G1500)-N($H1500))</f>
        <v/>
      </c>
    </row>
    <row r="1501">
      <c r="A1501" s="39">
        <f>IF($B1501="","",COUNTA($B$4:$B1501))</f>
        <v/>
      </c>
      <c r="B1501" s="45" t="n"/>
      <c r="C1501" s="46" t="n"/>
      <c r="D1501" s="46" t="n"/>
      <c r="E1501" s="46" t="n"/>
      <c r="F1501" s="51" t="n"/>
      <c r="G1501" s="47" t="n"/>
      <c r="H1501" s="47" t="n"/>
      <c r="I1501" s="43">
        <f>IF($B1501="","",N($G1501)-N($H1501))</f>
        <v/>
      </c>
    </row>
    <row r="1502">
      <c r="A1502" s="39">
        <f>IF($B1502="","",COUNTA($B$4:$B1502))</f>
        <v/>
      </c>
      <c r="B1502" s="40" t="n"/>
      <c r="C1502" s="41" t="n"/>
      <c r="D1502" s="41" t="n"/>
      <c r="E1502" s="41" t="n"/>
      <c r="F1502" s="50" t="n"/>
      <c r="G1502" s="42" t="n"/>
      <c r="H1502" s="42" t="n"/>
      <c r="I1502" s="43">
        <f>IF($B1502="","",N($G1502)-N($H1502))</f>
        <v/>
      </c>
    </row>
    <row r="1503">
      <c r="A1503" s="39">
        <f>IF($B1503="","",COUNTA($B$4:$B1503))</f>
        <v/>
      </c>
      <c r="B1503" s="45" t="n"/>
      <c r="C1503" s="46" t="n"/>
      <c r="D1503" s="46" t="n"/>
      <c r="E1503" s="46" t="n"/>
      <c r="F1503" s="51" t="n"/>
      <c r="G1503" s="47" t="n"/>
      <c r="H1503" s="47" t="n"/>
      <c r="I1503" s="43">
        <f>IF($B1503="","",N($G1503)-N($H1503))</f>
        <v/>
      </c>
    </row>
    <row r="1504">
      <c r="A1504" s="39">
        <f>IF($B1504="","",COUNTA($B$4:$B1504))</f>
        <v/>
      </c>
      <c r="B1504" s="40" t="n"/>
      <c r="C1504" s="41" t="n"/>
      <c r="D1504" s="41" t="n"/>
      <c r="E1504" s="41" t="n"/>
      <c r="F1504" s="50" t="n"/>
      <c r="G1504" s="42" t="n"/>
      <c r="H1504" s="42" t="n"/>
      <c r="I1504" s="43">
        <f>IF($B1504="","",N($G1504)-N($H1504))</f>
        <v/>
      </c>
    </row>
    <row r="1505">
      <c r="A1505" s="39">
        <f>IF($B1505="","",COUNTA($B$4:$B1505))</f>
        <v/>
      </c>
      <c r="B1505" s="45" t="n"/>
      <c r="C1505" s="46" t="n"/>
      <c r="D1505" s="46" t="n"/>
      <c r="E1505" s="46" t="n"/>
      <c r="F1505" s="51" t="n"/>
      <c r="G1505" s="47" t="n"/>
      <c r="H1505" s="47" t="n"/>
      <c r="I1505" s="43">
        <f>IF($B1505="","",N($G1505)-N($H1505))</f>
        <v/>
      </c>
    </row>
    <row r="1506">
      <c r="A1506" s="39">
        <f>IF($B1506="","",COUNTA($B$4:$B1506))</f>
        <v/>
      </c>
      <c r="B1506" s="40" t="n"/>
      <c r="C1506" s="41" t="n"/>
      <c r="D1506" s="41" t="n"/>
      <c r="E1506" s="41" t="n"/>
      <c r="F1506" s="50" t="n"/>
      <c r="G1506" s="42" t="n"/>
      <c r="H1506" s="42" t="n"/>
      <c r="I1506" s="43">
        <f>IF($B1506="","",N($G1506)-N($H1506))</f>
        <v/>
      </c>
    </row>
    <row r="1507">
      <c r="A1507" s="39">
        <f>IF($B1507="","",COUNTA($B$4:$B1507))</f>
        <v/>
      </c>
      <c r="B1507" s="45" t="n"/>
      <c r="C1507" s="46" t="n"/>
      <c r="D1507" s="46" t="n"/>
      <c r="E1507" s="46" t="n"/>
      <c r="F1507" s="51" t="n"/>
      <c r="G1507" s="47" t="n"/>
      <c r="H1507" s="47" t="n"/>
      <c r="I1507" s="43">
        <f>IF($B1507="","",N($G1507)-N($H1507))</f>
        <v/>
      </c>
    </row>
    <row r="1508">
      <c r="A1508" s="39">
        <f>IF($B1508="","",COUNTA($B$4:$B1508))</f>
        <v/>
      </c>
      <c r="B1508" s="40" t="n"/>
      <c r="C1508" s="41" t="n"/>
      <c r="D1508" s="41" t="n"/>
      <c r="E1508" s="41" t="n"/>
      <c r="F1508" s="50" t="n"/>
      <c r="G1508" s="42" t="n"/>
      <c r="H1508" s="42" t="n"/>
      <c r="I1508" s="43">
        <f>IF($B1508="","",N($G1508)-N($H1508))</f>
        <v/>
      </c>
    </row>
    <row r="1509">
      <c r="A1509" s="39">
        <f>IF($B1509="","",COUNTA($B$4:$B1509))</f>
        <v/>
      </c>
      <c r="B1509" s="45" t="n"/>
      <c r="C1509" s="46" t="n"/>
      <c r="D1509" s="46" t="n"/>
      <c r="E1509" s="46" t="n"/>
      <c r="F1509" s="51" t="n"/>
      <c r="G1509" s="47" t="n"/>
      <c r="H1509" s="47" t="n"/>
      <c r="I1509" s="43">
        <f>IF($B1509="","",N($G1509)-N($H1509))</f>
        <v/>
      </c>
    </row>
    <row r="1510">
      <c r="A1510" s="39">
        <f>IF($B1510="","",COUNTA($B$4:$B1510))</f>
        <v/>
      </c>
      <c r="B1510" s="40" t="n"/>
      <c r="C1510" s="41" t="n"/>
      <c r="D1510" s="41" t="n"/>
      <c r="E1510" s="41" t="n"/>
      <c r="F1510" s="50" t="n"/>
      <c r="G1510" s="42" t="n"/>
      <c r="H1510" s="42" t="n"/>
      <c r="I1510" s="43">
        <f>IF($B1510="","",N($G1510)-N($H1510))</f>
        <v/>
      </c>
    </row>
    <row r="1511">
      <c r="A1511" s="39">
        <f>IF($B1511="","",COUNTA($B$4:$B1511))</f>
        <v/>
      </c>
      <c r="B1511" s="45" t="n"/>
      <c r="C1511" s="46" t="n"/>
      <c r="D1511" s="46" t="n"/>
      <c r="E1511" s="46" t="n"/>
      <c r="F1511" s="51" t="n"/>
      <c r="G1511" s="47" t="n"/>
      <c r="H1511" s="47" t="n"/>
      <c r="I1511" s="43">
        <f>IF($B1511="","",N($G1511)-N($H1511))</f>
        <v/>
      </c>
    </row>
    <row r="1512">
      <c r="A1512" s="39">
        <f>IF($B1512="","",COUNTA($B$4:$B1512))</f>
        <v/>
      </c>
      <c r="B1512" s="40" t="n"/>
      <c r="C1512" s="41" t="n"/>
      <c r="D1512" s="41" t="n"/>
      <c r="E1512" s="41" t="n"/>
      <c r="F1512" s="50" t="n"/>
      <c r="G1512" s="42" t="n"/>
      <c r="H1512" s="42" t="n"/>
      <c r="I1512" s="43">
        <f>IF($B1512="","",N($G1512)-N($H1512))</f>
        <v/>
      </c>
    </row>
    <row r="1513">
      <c r="A1513" s="39">
        <f>IF($B1513="","",COUNTA($B$4:$B1513))</f>
        <v/>
      </c>
      <c r="B1513" s="45" t="n"/>
      <c r="C1513" s="46" t="n"/>
      <c r="D1513" s="46" t="n"/>
      <c r="E1513" s="46" t="n"/>
      <c r="F1513" s="51" t="n"/>
      <c r="G1513" s="47" t="n"/>
      <c r="H1513" s="47" t="n"/>
      <c r="I1513" s="43">
        <f>IF($B1513="","",N($G1513)-N($H1513))</f>
        <v/>
      </c>
    </row>
    <row r="1514">
      <c r="A1514" s="39">
        <f>IF($B1514="","",COUNTA($B$4:$B1514))</f>
        <v/>
      </c>
      <c r="B1514" s="40" t="n"/>
      <c r="C1514" s="41" t="n"/>
      <c r="D1514" s="41" t="n"/>
      <c r="E1514" s="41" t="n"/>
      <c r="F1514" s="50" t="n"/>
      <c r="G1514" s="42" t="n"/>
      <c r="H1514" s="42" t="n"/>
      <c r="I1514" s="43">
        <f>IF($B1514="","",N($G1514)-N($H1514))</f>
        <v/>
      </c>
    </row>
    <row r="1515">
      <c r="A1515" s="39">
        <f>IF($B1515="","",COUNTA($B$4:$B1515))</f>
        <v/>
      </c>
      <c r="B1515" s="45" t="n"/>
      <c r="C1515" s="46" t="n"/>
      <c r="D1515" s="46" t="n"/>
      <c r="E1515" s="46" t="n"/>
      <c r="F1515" s="51" t="n"/>
      <c r="G1515" s="47" t="n"/>
      <c r="H1515" s="47" t="n"/>
      <c r="I1515" s="43">
        <f>IF($B1515="","",N($G1515)-N($H1515))</f>
        <v/>
      </c>
    </row>
    <row r="1516">
      <c r="A1516" s="39">
        <f>IF($B1516="","",COUNTA($B$4:$B1516))</f>
        <v/>
      </c>
      <c r="B1516" s="40" t="n"/>
      <c r="C1516" s="41" t="n"/>
      <c r="D1516" s="41" t="n"/>
      <c r="E1516" s="41" t="n"/>
      <c r="F1516" s="50" t="n"/>
      <c r="G1516" s="42" t="n"/>
      <c r="H1516" s="42" t="n"/>
      <c r="I1516" s="43">
        <f>IF($B1516="","",N($G1516)-N($H1516))</f>
        <v/>
      </c>
    </row>
    <row r="1517">
      <c r="A1517" s="39">
        <f>IF($B1517="","",COUNTA($B$4:$B1517))</f>
        <v/>
      </c>
      <c r="B1517" s="45" t="n"/>
      <c r="C1517" s="46" t="n"/>
      <c r="D1517" s="46" t="n"/>
      <c r="E1517" s="46" t="n"/>
      <c r="F1517" s="51" t="n"/>
      <c r="G1517" s="47" t="n"/>
      <c r="H1517" s="47" t="n"/>
      <c r="I1517" s="43">
        <f>IF($B1517="","",N($G1517)-N($H1517))</f>
        <v/>
      </c>
    </row>
    <row r="1518">
      <c r="A1518" s="39">
        <f>IF($B1518="","",COUNTA($B$4:$B1518))</f>
        <v/>
      </c>
      <c r="B1518" s="40" t="n"/>
      <c r="C1518" s="41" t="n"/>
      <c r="D1518" s="41" t="n"/>
      <c r="E1518" s="41" t="n"/>
      <c r="F1518" s="50" t="n"/>
      <c r="G1518" s="42" t="n"/>
      <c r="H1518" s="42" t="n"/>
      <c r="I1518" s="43">
        <f>IF($B1518="","",N($G1518)-N($H1518))</f>
        <v/>
      </c>
    </row>
    <row r="1519">
      <c r="A1519" s="39">
        <f>IF($B1519="","",COUNTA($B$4:$B1519))</f>
        <v/>
      </c>
      <c r="B1519" s="45" t="n"/>
      <c r="C1519" s="46" t="n"/>
      <c r="D1519" s="46" t="n"/>
      <c r="E1519" s="46" t="n"/>
      <c r="F1519" s="51" t="n"/>
      <c r="G1519" s="47" t="n"/>
      <c r="H1519" s="47" t="n"/>
      <c r="I1519" s="43">
        <f>IF($B1519="","",N($G1519)-N($H1519))</f>
        <v/>
      </c>
    </row>
    <row r="1520">
      <c r="A1520" s="39">
        <f>IF($B1520="","",COUNTA($B$4:$B1520))</f>
        <v/>
      </c>
      <c r="B1520" s="40" t="n"/>
      <c r="C1520" s="41" t="n"/>
      <c r="D1520" s="41" t="n"/>
      <c r="E1520" s="41" t="n"/>
      <c r="F1520" s="50" t="n"/>
      <c r="G1520" s="42" t="n"/>
      <c r="H1520" s="42" t="n"/>
      <c r="I1520" s="43">
        <f>IF($B1520="","",N($G1520)-N($H1520))</f>
        <v/>
      </c>
    </row>
    <row r="1521">
      <c r="A1521" s="39">
        <f>IF($B1521="","",COUNTA($B$4:$B1521))</f>
        <v/>
      </c>
      <c r="B1521" s="45" t="n"/>
      <c r="C1521" s="46" t="n"/>
      <c r="D1521" s="46" t="n"/>
      <c r="E1521" s="46" t="n"/>
      <c r="F1521" s="51" t="n"/>
      <c r="G1521" s="47" t="n"/>
      <c r="H1521" s="47" t="n"/>
      <c r="I1521" s="43">
        <f>IF($B1521="","",N($G1521)-N($H1521))</f>
        <v/>
      </c>
    </row>
    <row r="1522">
      <c r="A1522" s="39">
        <f>IF($B1522="","",COUNTA($B$4:$B1522))</f>
        <v/>
      </c>
      <c r="B1522" s="40" t="n"/>
      <c r="C1522" s="41" t="n"/>
      <c r="D1522" s="41" t="n"/>
      <c r="E1522" s="41" t="n"/>
      <c r="F1522" s="50" t="n"/>
      <c r="G1522" s="42" t="n"/>
      <c r="H1522" s="42" t="n"/>
      <c r="I1522" s="43">
        <f>IF($B1522="","",N($G1522)-N($H1522))</f>
        <v/>
      </c>
    </row>
    <row r="1523">
      <c r="A1523" s="39">
        <f>IF($B1523="","",COUNTA($B$4:$B1523))</f>
        <v/>
      </c>
      <c r="B1523" s="45" t="n"/>
      <c r="C1523" s="46" t="n"/>
      <c r="D1523" s="46" t="n"/>
      <c r="E1523" s="46" t="n"/>
      <c r="F1523" s="51" t="n"/>
      <c r="G1523" s="47" t="n"/>
      <c r="H1523" s="47" t="n"/>
      <c r="I1523" s="43">
        <f>IF($B1523="","",N($G1523)-N($H1523))</f>
        <v/>
      </c>
    </row>
    <row r="1524">
      <c r="A1524" s="39">
        <f>IF($B1524="","",COUNTA($B$4:$B1524))</f>
        <v/>
      </c>
      <c r="B1524" s="40" t="n"/>
      <c r="C1524" s="41" t="n"/>
      <c r="D1524" s="41" t="n"/>
      <c r="E1524" s="41" t="n"/>
      <c r="F1524" s="50" t="n"/>
      <c r="G1524" s="42" t="n"/>
      <c r="H1524" s="42" t="n"/>
      <c r="I1524" s="43">
        <f>IF($B1524="","",N($G1524)-N($H1524))</f>
        <v/>
      </c>
    </row>
    <row r="1525">
      <c r="A1525" s="39">
        <f>IF($B1525="","",COUNTA($B$4:$B1525))</f>
        <v/>
      </c>
      <c r="B1525" s="45" t="n"/>
      <c r="C1525" s="46" t="n"/>
      <c r="D1525" s="46" t="n"/>
      <c r="E1525" s="46" t="n"/>
      <c r="F1525" s="51" t="n"/>
      <c r="G1525" s="47" t="n"/>
      <c r="H1525" s="47" t="n"/>
      <c r="I1525" s="43">
        <f>IF($B1525="","",N($G1525)-N($H1525))</f>
        <v/>
      </c>
    </row>
    <row r="1526">
      <c r="A1526" s="39">
        <f>IF($B1526="","",COUNTA($B$4:$B1526))</f>
        <v/>
      </c>
      <c r="B1526" s="40" t="n"/>
      <c r="C1526" s="41" t="n"/>
      <c r="D1526" s="41" t="n"/>
      <c r="E1526" s="41" t="n"/>
      <c r="F1526" s="50" t="n"/>
      <c r="G1526" s="42" t="n"/>
      <c r="H1526" s="42" t="n"/>
      <c r="I1526" s="43">
        <f>IF($B1526="","",N($G1526)-N($H1526))</f>
        <v/>
      </c>
    </row>
    <row r="1527">
      <c r="A1527" s="39">
        <f>IF($B1527="","",COUNTA($B$4:$B1527))</f>
        <v/>
      </c>
      <c r="B1527" s="45" t="n"/>
      <c r="C1527" s="46" t="n"/>
      <c r="D1527" s="46" t="n"/>
      <c r="E1527" s="46" t="n"/>
      <c r="F1527" s="51" t="n"/>
      <c r="G1527" s="47" t="n"/>
      <c r="H1527" s="47" t="n"/>
      <c r="I1527" s="43">
        <f>IF($B1527="","",N($G1527)-N($H1527))</f>
        <v/>
      </c>
    </row>
    <row r="1528">
      <c r="A1528" s="39">
        <f>IF($B1528="","",COUNTA($B$4:$B1528))</f>
        <v/>
      </c>
      <c r="B1528" s="40" t="n"/>
      <c r="C1528" s="41" t="n"/>
      <c r="D1528" s="41" t="n"/>
      <c r="E1528" s="41" t="n"/>
      <c r="F1528" s="50" t="n"/>
      <c r="G1528" s="42" t="n"/>
      <c r="H1528" s="42" t="n"/>
      <c r="I1528" s="43">
        <f>IF($B1528="","",N($G1528)-N($H1528))</f>
        <v/>
      </c>
    </row>
    <row r="1529">
      <c r="A1529" s="39">
        <f>IF($B1529="","",COUNTA($B$4:$B1529))</f>
        <v/>
      </c>
      <c r="B1529" s="45" t="n"/>
      <c r="C1529" s="46" t="n"/>
      <c r="D1529" s="46" t="n"/>
      <c r="E1529" s="46" t="n"/>
      <c r="F1529" s="51" t="n"/>
      <c r="G1529" s="47" t="n"/>
      <c r="H1529" s="47" t="n"/>
      <c r="I1529" s="43">
        <f>IF($B1529="","",N($G1529)-N($H1529))</f>
        <v/>
      </c>
    </row>
    <row r="1530">
      <c r="A1530" s="39">
        <f>IF($B1530="","",COUNTA($B$4:$B1530))</f>
        <v/>
      </c>
      <c r="B1530" s="40" t="n"/>
      <c r="C1530" s="41" t="n"/>
      <c r="D1530" s="41" t="n"/>
      <c r="E1530" s="41" t="n"/>
      <c r="F1530" s="50" t="n"/>
      <c r="G1530" s="42" t="n"/>
      <c r="H1530" s="42" t="n"/>
      <c r="I1530" s="43">
        <f>IF($B1530="","",N($G1530)-N($H1530))</f>
        <v/>
      </c>
    </row>
    <row r="1531">
      <c r="A1531" s="39">
        <f>IF($B1531="","",COUNTA($B$4:$B1531))</f>
        <v/>
      </c>
      <c r="B1531" s="45" t="n"/>
      <c r="C1531" s="46" t="n"/>
      <c r="D1531" s="46" t="n"/>
      <c r="E1531" s="46" t="n"/>
      <c r="F1531" s="51" t="n"/>
      <c r="G1531" s="47" t="n"/>
      <c r="H1531" s="47" t="n"/>
      <c r="I1531" s="43">
        <f>IF($B1531="","",N($G1531)-N($H1531))</f>
        <v/>
      </c>
    </row>
    <row r="1532">
      <c r="A1532" s="39">
        <f>IF($B1532="","",COUNTA($B$4:$B1532))</f>
        <v/>
      </c>
      <c r="B1532" s="40" t="n"/>
      <c r="C1532" s="41" t="n"/>
      <c r="D1532" s="41" t="n"/>
      <c r="E1532" s="41" t="n"/>
      <c r="F1532" s="50" t="n"/>
      <c r="G1532" s="42" t="n"/>
      <c r="H1532" s="42" t="n"/>
      <c r="I1532" s="43">
        <f>IF($B1532="","",N($G1532)-N($H1532))</f>
        <v/>
      </c>
    </row>
    <row r="1533">
      <c r="A1533" s="39">
        <f>IF($B1533="","",COUNTA($B$4:$B1533))</f>
        <v/>
      </c>
      <c r="B1533" s="45" t="n"/>
      <c r="C1533" s="46" t="n"/>
      <c r="D1533" s="46" t="n"/>
      <c r="E1533" s="46" t="n"/>
      <c r="F1533" s="51" t="n"/>
      <c r="G1533" s="47" t="n"/>
      <c r="H1533" s="47" t="n"/>
      <c r="I1533" s="43">
        <f>IF($B1533="","",N($G1533)-N($H1533))</f>
        <v/>
      </c>
    </row>
    <row r="1534">
      <c r="A1534" s="39">
        <f>IF($B1534="","",COUNTA($B$4:$B1534))</f>
        <v/>
      </c>
      <c r="B1534" s="40" t="n"/>
      <c r="C1534" s="41" t="n"/>
      <c r="D1534" s="41" t="n"/>
      <c r="E1534" s="41" t="n"/>
      <c r="F1534" s="50" t="n"/>
      <c r="G1534" s="42" t="n"/>
      <c r="H1534" s="42" t="n"/>
      <c r="I1534" s="43">
        <f>IF($B1534="","",N($G1534)-N($H1534))</f>
        <v/>
      </c>
    </row>
    <row r="1535">
      <c r="A1535" s="39">
        <f>IF($B1535="","",COUNTA($B$4:$B1535))</f>
        <v/>
      </c>
      <c r="B1535" s="45" t="n"/>
      <c r="C1535" s="46" t="n"/>
      <c r="D1535" s="46" t="n"/>
      <c r="E1535" s="46" t="n"/>
      <c r="F1535" s="51" t="n"/>
      <c r="G1535" s="47" t="n"/>
      <c r="H1535" s="47" t="n"/>
      <c r="I1535" s="43">
        <f>IF($B1535="","",N($G1535)-N($H1535))</f>
        <v/>
      </c>
    </row>
    <row r="1536">
      <c r="A1536" s="39">
        <f>IF($B1536="","",COUNTA($B$4:$B1536))</f>
        <v/>
      </c>
      <c r="B1536" s="40" t="n"/>
      <c r="C1536" s="41" t="n"/>
      <c r="D1536" s="41" t="n"/>
      <c r="E1536" s="41" t="n"/>
      <c r="F1536" s="50" t="n"/>
      <c r="G1536" s="42" t="n"/>
      <c r="H1536" s="42" t="n"/>
      <c r="I1536" s="43">
        <f>IF($B1536="","",N($G1536)-N($H1536))</f>
        <v/>
      </c>
    </row>
    <row r="1537">
      <c r="A1537" s="39">
        <f>IF($B1537="","",COUNTA($B$4:$B1537))</f>
        <v/>
      </c>
      <c r="B1537" s="45" t="n"/>
      <c r="C1537" s="46" t="n"/>
      <c r="D1537" s="46" t="n"/>
      <c r="E1537" s="46" t="n"/>
      <c r="F1537" s="51" t="n"/>
      <c r="G1537" s="47" t="n"/>
      <c r="H1537" s="47" t="n"/>
      <c r="I1537" s="43">
        <f>IF($B1537="","",N($G1537)-N($H1537))</f>
        <v/>
      </c>
    </row>
    <row r="1538">
      <c r="A1538" s="39">
        <f>IF($B1538="","",COUNTA($B$4:$B1538))</f>
        <v/>
      </c>
      <c r="B1538" s="40" t="n"/>
      <c r="C1538" s="41" t="n"/>
      <c r="D1538" s="41" t="n"/>
      <c r="E1538" s="41" t="n"/>
      <c r="F1538" s="50" t="n"/>
      <c r="G1538" s="42" t="n"/>
      <c r="H1538" s="42" t="n"/>
      <c r="I1538" s="43">
        <f>IF($B1538="","",N($G1538)-N($H1538))</f>
        <v/>
      </c>
    </row>
    <row r="1539">
      <c r="A1539" s="39">
        <f>IF($B1539="","",COUNTA($B$4:$B1539))</f>
        <v/>
      </c>
      <c r="B1539" s="45" t="n"/>
      <c r="C1539" s="46" t="n"/>
      <c r="D1539" s="46" t="n"/>
      <c r="E1539" s="46" t="n"/>
      <c r="F1539" s="51" t="n"/>
      <c r="G1539" s="47" t="n"/>
      <c r="H1539" s="47" t="n"/>
      <c r="I1539" s="43">
        <f>IF($B1539="","",N($G1539)-N($H1539))</f>
        <v/>
      </c>
    </row>
    <row r="1540">
      <c r="A1540" s="39">
        <f>IF($B1540="","",COUNTA($B$4:$B1540))</f>
        <v/>
      </c>
      <c r="B1540" s="40" t="n"/>
      <c r="C1540" s="41" t="n"/>
      <c r="D1540" s="41" t="n"/>
      <c r="E1540" s="41" t="n"/>
      <c r="F1540" s="50" t="n"/>
      <c r="G1540" s="42" t="n"/>
      <c r="H1540" s="42" t="n"/>
      <c r="I1540" s="43">
        <f>IF($B1540="","",N($G1540)-N($H1540))</f>
        <v/>
      </c>
    </row>
    <row r="1541">
      <c r="A1541" s="39">
        <f>IF($B1541="","",COUNTA($B$4:$B1541))</f>
        <v/>
      </c>
      <c r="B1541" s="45" t="n"/>
      <c r="C1541" s="46" t="n"/>
      <c r="D1541" s="46" t="n"/>
      <c r="E1541" s="46" t="n"/>
      <c r="F1541" s="51" t="n"/>
      <c r="G1541" s="47" t="n"/>
      <c r="H1541" s="47" t="n"/>
      <c r="I1541" s="43">
        <f>IF($B1541="","",N($G1541)-N($H1541))</f>
        <v/>
      </c>
    </row>
    <row r="1542">
      <c r="A1542" s="39">
        <f>IF($B1542="","",COUNTA($B$4:$B1542))</f>
        <v/>
      </c>
      <c r="B1542" s="40" t="n"/>
      <c r="C1542" s="41" t="n"/>
      <c r="D1542" s="41" t="n"/>
      <c r="E1542" s="41" t="n"/>
      <c r="F1542" s="50" t="n"/>
      <c r="G1542" s="42" t="n"/>
      <c r="H1542" s="42" t="n"/>
      <c r="I1542" s="43">
        <f>IF($B1542="","",N($G1542)-N($H1542))</f>
        <v/>
      </c>
    </row>
    <row r="1543">
      <c r="A1543" s="39">
        <f>IF($B1543="","",COUNTA($B$4:$B1543))</f>
        <v/>
      </c>
      <c r="B1543" s="45" t="n"/>
      <c r="C1543" s="46" t="n"/>
      <c r="D1543" s="46" t="n"/>
      <c r="E1543" s="46" t="n"/>
      <c r="F1543" s="51" t="n"/>
      <c r="G1543" s="47" t="n"/>
      <c r="H1543" s="47" t="n"/>
      <c r="I1543" s="43">
        <f>IF($B1543="","",N($G1543)-N($H1543))</f>
        <v/>
      </c>
    </row>
    <row r="1544">
      <c r="A1544" s="39">
        <f>IF($B1544="","",COUNTA($B$4:$B1544))</f>
        <v/>
      </c>
      <c r="B1544" s="40" t="n"/>
      <c r="C1544" s="41" t="n"/>
      <c r="D1544" s="41" t="n"/>
      <c r="E1544" s="41" t="n"/>
      <c r="F1544" s="50" t="n"/>
      <c r="G1544" s="42" t="n"/>
      <c r="H1544" s="42" t="n"/>
      <c r="I1544" s="43">
        <f>IF($B1544="","",N($G1544)-N($H1544))</f>
        <v/>
      </c>
    </row>
    <row r="1545">
      <c r="A1545" s="39">
        <f>IF($B1545="","",COUNTA($B$4:$B1545))</f>
        <v/>
      </c>
      <c r="B1545" s="45" t="n"/>
      <c r="C1545" s="46" t="n"/>
      <c r="D1545" s="46" t="n"/>
      <c r="E1545" s="46" t="n"/>
      <c r="F1545" s="51" t="n"/>
      <c r="G1545" s="47" t="n"/>
      <c r="H1545" s="47" t="n"/>
      <c r="I1545" s="43">
        <f>IF($B1545="","",N($G1545)-N($H1545))</f>
        <v/>
      </c>
    </row>
    <row r="1546">
      <c r="A1546" s="39">
        <f>IF($B1546="","",COUNTA($B$4:$B1546))</f>
        <v/>
      </c>
      <c r="B1546" s="40" t="n"/>
      <c r="C1546" s="41" t="n"/>
      <c r="D1546" s="41" t="n"/>
      <c r="E1546" s="41" t="n"/>
      <c r="F1546" s="50" t="n"/>
      <c r="G1546" s="42" t="n"/>
      <c r="H1546" s="42" t="n"/>
      <c r="I1546" s="43">
        <f>IF($B1546="","",N($G1546)-N($H1546))</f>
        <v/>
      </c>
    </row>
    <row r="1547">
      <c r="A1547" s="39">
        <f>IF($B1547="","",COUNTA($B$4:$B1547))</f>
        <v/>
      </c>
      <c r="B1547" s="45" t="n"/>
      <c r="C1547" s="46" t="n"/>
      <c r="D1547" s="46" t="n"/>
      <c r="E1547" s="46" t="n"/>
      <c r="F1547" s="51" t="n"/>
      <c r="G1547" s="47" t="n"/>
      <c r="H1547" s="47" t="n"/>
      <c r="I1547" s="43">
        <f>IF($B1547="","",N($G1547)-N($H1547))</f>
        <v/>
      </c>
    </row>
    <row r="1548">
      <c r="A1548" s="39">
        <f>IF($B1548="","",COUNTA($B$4:$B1548))</f>
        <v/>
      </c>
      <c r="B1548" s="40" t="n"/>
      <c r="C1548" s="41" t="n"/>
      <c r="D1548" s="41" t="n"/>
      <c r="E1548" s="41" t="n"/>
      <c r="F1548" s="50" t="n"/>
      <c r="G1548" s="42" t="n"/>
      <c r="H1548" s="42" t="n"/>
      <c r="I1548" s="43">
        <f>IF($B1548="","",N($G1548)-N($H1548))</f>
        <v/>
      </c>
    </row>
    <row r="1549">
      <c r="A1549" s="39">
        <f>IF($B1549="","",COUNTA($B$4:$B1549))</f>
        <v/>
      </c>
      <c r="B1549" s="45" t="n"/>
      <c r="C1549" s="46" t="n"/>
      <c r="D1549" s="46" t="n"/>
      <c r="E1549" s="46" t="n"/>
      <c r="F1549" s="51" t="n"/>
      <c r="G1549" s="47" t="n"/>
      <c r="H1549" s="47" t="n"/>
      <c r="I1549" s="43">
        <f>IF($B1549="","",N($G1549)-N($H1549))</f>
        <v/>
      </c>
    </row>
    <row r="1550">
      <c r="A1550" s="39">
        <f>IF($B1550="","",COUNTA($B$4:$B1550))</f>
        <v/>
      </c>
      <c r="B1550" s="40" t="n"/>
      <c r="C1550" s="41" t="n"/>
      <c r="D1550" s="41" t="n"/>
      <c r="E1550" s="41" t="n"/>
      <c r="F1550" s="50" t="n"/>
      <c r="G1550" s="42" t="n"/>
      <c r="H1550" s="42" t="n"/>
      <c r="I1550" s="43">
        <f>IF($B1550="","",N($G1550)-N($H1550))</f>
        <v/>
      </c>
    </row>
    <row r="1551">
      <c r="A1551" s="39">
        <f>IF($B1551="","",COUNTA($B$4:$B1551))</f>
        <v/>
      </c>
      <c r="B1551" s="45" t="n"/>
      <c r="C1551" s="46" t="n"/>
      <c r="D1551" s="46" t="n"/>
      <c r="E1551" s="46" t="n"/>
      <c r="F1551" s="51" t="n"/>
      <c r="G1551" s="47" t="n"/>
      <c r="H1551" s="47" t="n"/>
      <c r="I1551" s="43">
        <f>IF($B1551="","",N($G1551)-N($H1551))</f>
        <v/>
      </c>
    </row>
    <row r="1552">
      <c r="A1552" s="39">
        <f>IF($B1552="","",COUNTA($B$4:$B1552))</f>
        <v/>
      </c>
      <c r="B1552" s="40" t="n"/>
      <c r="C1552" s="41" t="n"/>
      <c r="D1552" s="41" t="n"/>
      <c r="E1552" s="41" t="n"/>
      <c r="F1552" s="50" t="n"/>
      <c r="G1552" s="42" t="n"/>
      <c r="H1552" s="42" t="n"/>
      <c r="I1552" s="43">
        <f>IF($B1552="","",N($G1552)-N($H1552))</f>
        <v/>
      </c>
    </row>
    <row r="1553">
      <c r="A1553" s="39">
        <f>IF($B1553="","",COUNTA($B$4:$B1553))</f>
        <v/>
      </c>
      <c r="B1553" s="45" t="n"/>
      <c r="C1553" s="46" t="n"/>
      <c r="D1553" s="46" t="n"/>
      <c r="E1553" s="46" t="n"/>
      <c r="F1553" s="51" t="n"/>
      <c r="G1553" s="47" t="n"/>
      <c r="H1553" s="47" t="n"/>
      <c r="I1553" s="43">
        <f>IF($B1553="","",N($G1553)-N($H1553))</f>
        <v/>
      </c>
    </row>
    <row r="1554">
      <c r="A1554" s="39">
        <f>IF($B1554="","",COUNTA($B$4:$B1554))</f>
        <v/>
      </c>
      <c r="B1554" s="40" t="n"/>
      <c r="C1554" s="41" t="n"/>
      <c r="D1554" s="41" t="n"/>
      <c r="E1554" s="41" t="n"/>
      <c r="F1554" s="50" t="n"/>
      <c r="G1554" s="42" t="n"/>
      <c r="H1554" s="42" t="n"/>
      <c r="I1554" s="43">
        <f>IF($B1554="","",N($G1554)-N($H1554))</f>
        <v/>
      </c>
    </row>
    <row r="1555">
      <c r="A1555" s="39">
        <f>IF($B1555="","",COUNTA($B$4:$B1555))</f>
        <v/>
      </c>
      <c r="B1555" s="45" t="n"/>
      <c r="C1555" s="46" t="n"/>
      <c r="D1555" s="46" t="n"/>
      <c r="E1555" s="46" t="n"/>
      <c r="F1555" s="51" t="n"/>
      <c r="G1555" s="47" t="n"/>
      <c r="H1555" s="47" t="n"/>
      <c r="I1555" s="43">
        <f>IF($B1555="","",N($G1555)-N($H1555))</f>
        <v/>
      </c>
    </row>
    <row r="1556">
      <c r="A1556" s="39">
        <f>IF($B1556="","",COUNTA($B$4:$B1556))</f>
        <v/>
      </c>
      <c r="B1556" s="40" t="n"/>
      <c r="C1556" s="41" t="n"/>
      <c r="D1556" s="41" t="n"/>
      <c r="E1556" s="41" t="n"/>
      <c r="F1556" s="50" t="n"/>
      <c r="G1556" s="42" t="n"/>
      <c r="H1556" s="42" t="n"/>
      <c r="I1556" s="43">
        <f>IF($B1556="","",N($G1556)-N($H1556))</f>
        <v/>
      </c>
    </row>
    <row r="1557">
      <c r="A1557" s="39">
        <f>IF($B1557="","",COUNTA($B$4:$B1557))</f>
        <v/>
      </c>
      <c r="B1557" s="45" t="n"/>
      <c r="C1557" s="46" t="n"/>
      <c r="D1557" s="46" t="n"/>
      <c r="E1557" s="46" t="n"/>
      <c r="F1557" s="51" t="n"/>
      <c r="G1557" s="47" t="n"/>
      <c r="H1557" s="47" t="n"/>
      <c r="I1557" s="43">
        <f>IF($B1557="","",N($G1557)-N($H1557))</f>
        <v/>
      </c>
    </row>
    <row r="1558">
      <c r="A1558" s="39">
        <f>IF($B1558="","",COUNTA($B$4:$B1558))</f>
        <v/>
      </c>
      <c r="B1558" s="40" t="n"/>
      <c r="C1558" s="41" t="n"/>
      <c r="D1558" s="41" t="n"/>
      <c r="E1558" s="41" t="n"/>
      <c r="F1558" s="50" t="n"/>
      <c r="G1558" s="42" t="n"/>
      <c r="H1558" s="42" t="n"/>
      <c r="I1558" s="43">
        <f>IF($B1558="","",N($G1558)-N($H1558))</f>
        <v/>
      </c>
    </row>
    <row r="1559">
      <c r="A1559" s="39">
        <f>IF($B1559="","",COUNTA($B$4:$B1559))</f>
        <v/>
      </c>
      <c r="B1559" s="45" t="n"/>
      <c r="C1559" s="46" t="n"/>
      <c r="D1559" s="46" t="n"/>
      <c r="E1559" s="46" t="n"/>
      <c r="F1559" s="51" t="n"/>
      <c r="G1559" s="47" t="n"/>
      <c r="H1559" s="47" t="n"/>
      <c r="I1559" s="43">
        <f>IF($B1559="","",N($G1559)-N($H1559))</f>
        <v/>
      </c>
    </row>
    <row r="1560">
      <c r="A1560" s="39">
        <f>IF($B1560="","",COUNTA($B$4:$B1560))</f>
        <v/>
      </c>
      <c r="B1560" s="40" t="n"/>
      <c r="C1560" s="41" t="n"/>
      <c r="D1560" s="41" t="n"/>
      <c r="E1560" s="41" t="n"/>
      <c r="F1560" s="50" t="n"/>
      <c r="G1560" s="42" t="n"/>
      <c r="H1560" s="42" t="n"/>
      <c r="I1560" s="43">
        <f>IF($B1560="","",N($G1560)-N($H1560))</f>
        <v/>
      </c>
    </row>
    <row r="1561">
      <c r="A1561" s="39">
        <f>IF($B1561="","",COUNTA($B$4:$B1561))</f>
        <v/>
      </c>
      <c r="B1561" s="45" t="n"/>
      <c r="C1561" s="46" t="n"/>
      <c r="D1561" s="46" t="n"/>
      <c r="E1561" s="46" t="n"/>
      <c r="F1561" s="51" t="n"/>
      <c r="G1561" s="47" t="n"/>
      <c r="H1561" s="47" t="n"/>
      <c r="I1561" s="43">
        <f>IF($B1561="","",N($G1561)-N($H1561))</f>
        <v/>
      </c>
    </row>
    <row r="1562">
      <c r="A1562" s="39">
        <f>IF($B1562="","",COUNTA($B$4:$B1562))</f>
        <v/>
      </c>
      <c r="B1562" s="40" t="n"/>
      <c r="C1562" s="41" t="n"/>
      <c r="D1562" s="41" t="n"/>
      <c r="E1562" s="41" t="n"/>
      <c r="F1562" s="50" t="n"/>
      <c r="G1562" s="42" t="n"/>
      <c r="H1562" s="42" t="n"/>
      <c r="I1562" s="43">
        <f>IF($B1562="","",N($G1562)-N($H1562))</f>
        <v/>
      </c>
    </row>
    <row r="1563">
      <c r="A1563" s="39">
        <f>IF($B1563="","",COUNTA($B$4:$B1563))</f>
        <v/>
      </c>
      <c r="B1563" s="45" t="n"/>
      <c r="C1563" s="46" t="n"/>
      <c r="D1563" s="46" t="n"/>
      <c r="E1563" s="46" t="n"/>
      <c r="F1563" s="51" t="n"/>
      <c r="G1563" s="47" t="n"/>
      <c r="H1563" s="47" t="n"/>
      <c r="I1563" s="43">
        <f>IF($B1563="","",N($G1563)-N($H1563))</f>
        <v/>
      </c>
    </row>
    <row r="1564">
      <c r="A1564" s="39">
        <f>IF($B1564="","",COUNTA($B$4:$B1564))</f>
        <v/>
      </c>
      <c r="B1564" s="40" t="n"/>
      <c r="C1564" s="41" t="n"/>
      <c r="D1564" s="41" t="n"/>
      <c r="E1564" s="41" t="n"/>
      <c r="F1564" s="50" t="n"/>
      <c r="G1564" s="42" t="n"/>
      <c r="H1564" s="42" t="n"/>
      <c r="I1564" s="43">
        <f>IF($B1564="","",N($G1564)-N($H1564))</f>
        <v/>
      </c>
    </row>
    <row r="1565">
      <c r="A1565" s="39">
        <f>IF($B1565="","",COUNTA($B$4:$B1565))</f>
        <v/>
      </c>
      <c r="B1565" s="45" t="n"/>
      <c r="C1565" s="46" t="n"/>
      <c r="D1565" s="46" t="n"/>
      <c r="E1565" s="46" t="n"/>
      <c r="F1565" s="51" t="n"/>
      <c r="G1565" s="47" t="n"/>
      <c r="H1565" s="47" t="n"/>
      <c r="I1565" s="43">
        <f>IF($B1565="","",N($G1565)-N($H1565))</f>
        <v/>
      </c>
    </row>
    <row r="1566">
      <c r="A1566" s="39">
        <f>IF($B1566="","",COUNTA($B$4:$B1566))</f>
        <v/>
      </c>
      <c r="B1566" s="40" t="n"/>
      <c r="C1566" s="41" t="n"/>
      <c r="D1566" s="41" t="n"/>
      <c r="E1566" s="41" t="n"/>
      <c r="F1566" s="50" t="n"/>
      <c r="G1566" s="42" t="n"/>
      <c r="H1566" s="42" t="n"/>
      <c r="I1566" s="43">
        <f>IF($B1566="","",N($G1566)-N($H1566))</f>
        <v/>
      </c>
    </row>
    <row r="1567">
      <c r="A1567" s="39">
        <f>IF($B1567="","",COUNTA($B$4:$B1567))</f>
        <v/>
      </c>
      <c r="B1567" s="45" t="n"/>
      <c r="C1567" s="46" t="n"/>
      <c r="D1567" s="46" t="n"/>
      <c r="E1567" s="46" t="n"/>
      <c r="F1567" s="51" t="n"/>
      <c r="G1567" s="47" t="n"/>
      <c r="H1567" s="47" t="n"/>
      <c r="I1567" s="43">
        <f>IF($B1567="","",N($G1567)-N($H1567))</f>
        <v/>
      </c>
    </row>
    <row r="1568">
      <c r="A1568" s="39">
        <f>IF($B1568="","",COUNTA($B$4:$B1568))</f>
        <v/>
      </c>
      <c r="B1568" s="40" t="n"/>
      <c r="C1568" s="41" t="n"/>
      <c r="D1568" s="41" t="n"/>
      <c r="E1568" s="41" t="n"/>
      <c r="F1568" s="50" t="n"/>
      <c r="G1568" s="42" t="n"/>
      <c r="H1568" s="42" t="n"/>
      <c r="I1568" s="43">
        <f>IF($B1568="","",N($G1568)-N($H1568))</f>
        <v/>
      </c>
    </row>
    <row r="1569">
      <c r="A1569" s="39">
        <f>IF($B1569="","",COUNTA($B$4:$B1569))</f>
        <v/>
      </c>
      <c r="B1569" s="45" t="n"/>
      <c r="C1569" s="46" t="n"/>
      <c r="D1569" s="46" t="n"/>
      <c r="E1569" s="46" t="n"/>
      <c r="F1569" s="51" t="n"/>
      <c r="G1569" s="47" t="n"/>
      <c r="H1569" s="47" t="n"/>
      <c r="I1569" s="43">
        <f>IF($B1569="","",N($G1569)-N($H1569))</f>
        <v/>
      </c>
    </row>
    <row r="1570">
      <c r="A1570" s="39">
        <f>IF($B1570="","",COUNTA($B$4:$B1570))</f>
        <v/>
      </c>
      <c r="B1570" s="40" t="n"/>
      <c r="C1570" s="41" t="n"/>
      <c r="D1570" s="41" t="n"/>
      <c r="E1570" s="41" t="n"/>
      <c r="F1570" s="50" t="n"/>
      <c r="G1570" s="42" t="n"/>
      <c r="H1570" s="42" t="n"/>
      <c r="I1570" s="43">
        <f>IF($B1570="","",N($G1570)-N($H1570))</f>
        <v/>
      </c>
    </row>
    <row r="1571">
      <c r="A1571" s="39">
        <f>IF($B1571="","",COUNTA($B$4:$B1571))</f>
        <v/>
      </c>
      <c r="B1571" s="45" t="n"/>
      <c r="C1571" s="46" t="n"/>
      <c r="D1571" s="46" t="n"/>
      <c r="E1571" s="46" t="n"/>
      <c r="F1571" s="51" t="n"/>
      <c r="G1571" s="47" t="n"/>
      <c r="H1571" s="47" t="n"/>
      <c r="I1571" s="43">
        <f>IF($B1571="","",N($G1571)-N($H1571))</f>
        <v/>
      </c>
    </row>
    <row r="1572">
      <c r="A1572" s="39">
        <f>IF($B1572="","",COUNTA($B$4:$B1572))</f>
        <v/>
      </c>
      <c r="B1572" s="40" t="n"/>
      <c r="C1572" s="41" t="n"/>
      <c r="D1572" s="41" t="n"/>
      <c r="E1572" s="41" t="n"/>
      <c r="F1572" s="50" t="n"/>
      <c r="G1572" s="42" t="n"/>
      <c r="H1572" s="42" t="n"/>
      <c r="I1572" s="43">
        <f>IF($B1572="","",N($G1572)-N($H1572))</f>
        <v/>
      </c>
    </row>
    <row r="1573">
      <c r="A1573" s="39">
        <f>IF($B1573="","",COUNTA($B$4:$B1573))</f>
        <v/>
      </c>
      <c r="B1573" s="45" t="n"/>
      <c r="C1573" s="46" t="n"/>
      <c r="D1573" s="46" t="n"/>
      <c r="E1573" s="46" t="n"/>
      <c r="F1573" s="51" t="n"/>
      <c r="G1573" s="47" t="n"/>
      <c r="H1573" s="47" t="n"/>
      <c r="I1573" s="43">
        <f>IF($B1573="","",N($G1573)-N($H1573))</f>
        <v/>
      </c>
    </row>
    <row r="1574">
      <c r="A1574" s="39">
        <f>IF($B1574="","",COUNTA($B$4:$B1574))</f>
        <v/>
      </c>
      <c r="B1574" s="40" t="n"/>
      <c r="C1574" s="41" t="n"/>
      <c r="D1574" s="41" t="n"/>
      <c r="E1574" s="41" t="n"/>
      <c r="F1574" s="50" t="n"/>
      <c r="G1574" s="42" t="n"/>
      <c r="H1574" s="42" t="n"/>
      <c r="I1574" s="43">
        <f>IF($B1574="","",N($G1574)-N($H1574))</f>
        <v/>
      </c>
    </row>
    <row r="1575">
      <c r="A1575" s="39">
        <f>IF($B1575="","",COUNTA($B$4:$B1575))</f>
        <v/>
      </c>
      <c r="B1575" s="45" t="n"/>
      <c r="C1575" s="46" t="n"/>
      <c r="D1575" s="46" t="n"/>
      <c r="E1575" s="46" t="n"/>
      <c r="F1575" s="51" t="n"/>
      <c r="G1575" s="47" t="n"/>
      <c r="H1575" s="47" t="n"/>
      <c r="I1575" s="43">
        <f>IF($B1575="","",N($G1575)-N($H1575))</f>
        <v/>
      </c>
    </row>
    <row r="1576">
      <c r="A1576" s="39">
        <f>IF($B1576="","",COUNTA($B$4:$B1576))</f>
        <v/>
      </c>
      <c r="B1576" s="40" t="n"/>
      <c r="C1576" s="41" t="n"/>
      <c r="D1576" s="41" t="n"/>
      <c r="E1576" s="41" t="n"/>
      <c r="F1576" s="50" t="n"/>
      <c r="G1576" s="42" t="n"/>
      <c r="H1576" s="42" t="n"/>
      <c r="I1576" s="43">
        <f>IF($B1576="","",N($G1576)-N($H1576))</f>
        <v/>
      </c>
    </row>
    <row r="1577">
      <c r="A1577" s="39">
        <f>IF($B1577="","",COUNTA($B$4:$B1577))</f>
        <v/>
      </c>
      <c r="B1577" s="45" t="n"/>
      <c r="C1577" s="46" t="n"/>
      <c r="D1577" s="46" t="n"/>
      <c r="E1577" s="46" t="n"/>
      <c r="F1577" s="51" t="n"/>
      <c r="G1577" s="47" t="n"/>
      <c r="H1577" s="47" t="n"/>
      <c r="I1577" s="43">
        <f>IF($B1577="","",N($G1577)-N($H1577))</f>
        <v/>
      </c>
    </row>
    <row r="1578">
      <c r="A1578" s="39">
        <f>IF($B1578="","",COUNTA($B$4:$B1578))</f>
        <v/>
      </c>
      <c r="B1578" s="40" t="n"/>
      <c r="C1578" s="41" t="n"/>
      <c r="D1578" s="41" t="n"/>
      <c r="E1578" s="41" t="n"/>
      <c r="F1578" s="50" t="n"/>
      <c r="G1578" s="42" t="n"/>
      <c r="H1578" s="42" t="n"/>
      <c r="I1578" s="43">
        <f>IF($B1578="","",N($G1578)-N($H1578))</f>
        <v/>
      </c>
    </row>
    <row r="1579">
      <c r="A1579" s="39">
        <f>IF($B1579="","",COUNTA($B$4:$B1579))</f>
        <v/>
      </c>
      <c r="B1579" s="45" t="n"/>
      <c r="C1579" s="46" t="n"/>
      <c r="D1579" s="46" t="n"/>
      <c r="E1579" s="46" t="n"/>
      <c r="F1579" s="51" t="n"/>
      <c r="G1579" s="47" t="n"/>
      <c r="H1579" s="47" t="n"/>
      <c r="I1579" s="43">
        <f>IF($B1579="","",N($G1579)-N($H1579))</f>
        <v/>
      </c>
    </row>
    <row r="1580">
      <c r="A1580" s="39">
        <f>IF($B1580="","",COUNTA($B$4:$B1580))</f>
        <v/>
      </c>
      <c r="B1580" s="40" t="n"/>
      <c r="C1580" s="41" t="n"/>
      <c r="D1580" s="41" t="n"/>
      <c r="E1580" s="41" t="n"/>
      <c r="F1580" s="50" t="n"/>
      <c r="G1580" s="42" t="n"/>
      <c r="H1580" s="42" t="n"/>
      <c r="I1580" s="43">
        <f>IF($B1580="","",N($G1580)-N($H1580))</f>
        <v/>
      </c>
    </row>
    <row r="1581">
      <c r="A1581" s="39">
        <f>IF($B1581="","",COUNTA($B$4:$B1581))</f>
        <v/>
      </c>
      <c r="B1581" s="45" t="n"/>
      <c r="C1581" s="46" t="n"/>
      <c r="D1581" s="46" t="n"/>
      <c r="E1581" s="46" t="n"/>
      <c r="F1581" s="51" t="n"/>
      <c r="G1581" s="47" t="n"/>
      <c r="H1581" s="47" t="n"/>
      <c r="I1581" s="43">
        <f>IF($B1581="","",N($G1581)-N($H1581))</f>
        <v/>
      </c>
    </row>
    <row r="1582">
      <c r="A1582" s="39">
        <f>IF($B1582="","",COUNTA($B$4:$B1582))</f>
        <v/>
      </c>
      <c r="B1582" s="40" t="n"/>
      <c r="C1582" s="41" t="n"/>
      <c r="D1582" s="41" t="n"/>
      <c r="E1582" s="41" t="n"/>
      <c r="F1582" s="50" t="n"/>
      <c r="G1582" s="42" t="n"/>
      <c r="H1582" s="42" t="n"/>
      <c r="I1582" s="43">
        <f>IF($B1582="","",N($G1582)-N($H1582))</f>
        <v/>
      </c>
    </row>
    <row r="1583">
      <c r="A1583" s="39">
        <f>IF($B1583="","",COUNTA($B$4:$B1583))</f>
        <v/>
      </c>
      <c r="B1583" s="45" t="n"/>
      <c r="C1583" s="46" t="n"/>
      <c r="D1583" s="46" t="n"/>
      <c r="E1583" s="46" t="n"/>
      <c r="F1583" s="51" t="n"/>
      <c r="G1583" s="47" t="n"/>
      <c r="H1583" s="47" t="n"/>
      <c r="I1583" s="43">
        <f>IF($B1583="","",N($G1583)-N($H1583))</f>
        <v/>
      </c>
    </row>
    <row r="1584">
      <c r="A1584" s="39">
        <f>IF($B1584="","",COUNTA($B$4:$B1584))</f>
        <v/>
      </c>
      <c r="B1584" s="40" t="n"/>
      <c r="C1584" s="41" t="n"/>
      <c r="D1584" s="41" t="n"/>
      <c r="E1584" s="41" t="n"/>
      <c r="F1584" s="50" t="n"/>
      <c r="G1584" s="42" t="n"/>
      <c r="H1584" s="42" t="n"/>
      <c r="I1584" s="43">
        <f>IF($B1584="","",N($G1584)-N($H1584))</f>
        <v/>
      </c>
    </row>
    <row r="1585">
      <c r="A1585" s="39">
        <f>IF($B1585="","",COUNTA($B$4:$B1585))</f>
        <v/>
      </c>
      <c r="B1585" s="45" t="n"/>
      <c r="C1585" s="46" t="n"/>
      <c r="D1585" s="46" t="n"/>
      <c r="E1585" s="46" t="n"/>
      <c r="F1585" s="51" t="n"/>
      <c r="G1585" s="47" t="n"/>
      <c r="H1585" s="47" t="n"/>
      <c r="I1585" s="43">
        <f>IF($B1585="","",N($G1585)-N($H1585))</f>
        <v/>
      </c>
    </row>
    <row r="1586">
      <c r="A1586" s="39">
        <f>IF($B1586="","",COUNTA($B$4:$B1586))</f>
        <v/>
      </c>
      <c r="B1586" s="40" t="n"/>
      <c r="C1586" s="41" t="n"/>
      <c r="D1586" s="41" t="n"/>
      <c r="E1586" s="41" t="n"/>
      <c r="F1586" s="50" t="n"/>
      <c r="G1586" s="42" t="n"/>
      <c r="H1586" s="42" t="n"/>
      <c r="I1586" s="43">
        <f>IF($B1586="","",N($G1586)-N($H1586))</f>
        <v/>
      </c>
    </row>
    <row r="1587">
      <c r="A1587" s="39">
        <f>IF($B1587="","",COUNTA($B$4:$B1587))</f>
        <v/>
      </c>
      <c r="B1587" s="45" t="n"/>
      <c r="C1587" s="46" t="n"/>
      <c r="D1587" s="46" t="n"/>
      <c r="E1587" s="46" t="n"/>
      <c r="F1587" s="51" t="n"/>
      <c r="G1587" s="47" t="n"/>
      <c r="H1587" s="47" t="n"/>
      <c r="I1587" s="43">
        <f>IF($B1587="","",N($G1587)-N($H1587))</f>
        <v/>
      </c>
    </row>
    <row r="1588">
      <c r="A1588" s="39">
        <f>IF($B1588="","",COUNTA($B$4:$B1588))</f>
        <v/>
      </c>
      <c r="B1588" s="40" t="n"/>
      <c r="C1588" s="41" t="n"/>
      <c r="D1588" s="41" t="n"/>
      <c r="E1588" s="41" t="n"/>
      <c r="F1588" s="50" t="n"/>
      <c r="G1588" s="42" t="n"/>
      <c r="H1588" s="42" t="n"/>
      <c r="I1588" s="43">
        <f>IF($B1588="","",N($G1588)-N($H1588))</f>
        <v/>
      </c>
    </row>
    <row r="1589">
      <c r="A1589" s="39">
        <f>IF($B1589="","",COUNTA($B$4:$B1589))</f>
        <v/>
      </c>
      <c r="B1589" s="45" t="n"/>
      <c r="C1589" s="46" t="n"/>
      <c r="D1589" s="46" t="n"/>
      <c r="E1589" s="46" t="n"/>
      <c r="F1589" s="51" t="n"/>
      <c r="G1589" s="47" t="n"/>
      <c r="H1589" s="47" t="n"/>
      <c r="I1589" s="43">
        <f>IF($B1589="","",N($G1589)-N($H1589))</f>
        <v/>
      </c>
    </row>
    <row r="1590">
      <c r="A1590" s="39">
        <f>IF($B1590="","",COUNTA($B$4:$B1590))</f>
        <v/>
      </c>
      <c r="B1590" s="40" t="n"/>
      <c r="C1590" s="41" t="n"/>
      <c r="D1590" s="41" t="n"/>
      <c r="E1590" s="41" t="n"/>
      <c r="F1590" s="50" t="n"/>
      <c r="G1590" s="42" t="n"/>
      <c r="H1590" s="42" t="n"/>
      <c r="I1590" s="43">
        <f>IF($B1590="","",N($G1590)-N($H1590))</f>
        <v/>
      </c>
    </row>
    <row r="1591">
      <c r="A1591" s="39">
        <f>IF($B1591="","",COUNTA($B$4:$B1591))</f>
        <v/>
      </c>
      <c r="B1591" s="45" t="n"/>
      <c r="C1591" s="46" t="n"/>
      <c r="D1591" s="46" t="n"/>
      <c r="E1591" s="46" t="n"/>
      <c r="F1591" s="51" t="n"/>
      <c r="G1591" s="47" t="n"/>
      <c r="H1591" s="47" t="n"/>
      <c r="I1591" s="43">
        <f>IF($B1591="","",N($G1591)-N($H1591))</f>
        <v/>
      </c>
    </row>
    <row r="1592">
      <c r="A1592" s="39">
        <f>IF($B1592="","",COUNTA($B$4:$B1592))</f>
        <v/>
      </c>
      <c r="B1592" s="40" t="n"/>
      <c r="C1592" s="41" t="n"/>
      <c r="D1592" s="41" t="n"/>
      <c r="E1592" s="41" t="n"/>
      <c r="F1592" s="50" t="n"/>
      <c r="G1592" s="42" t="n"/>
      <c r="H1592" s="42" t="n"/>
      <c r="I1592" s="43">
        <f>IF($B1592="","",N($G1592)-N($H1592))</f>
        <v/>
      </c>
    </row>
    <row r="1593">
      <c r="A1593" s="39">
        <f>IF($B1593="","",COUNTA($B$4:$B1593))</f>
        <v/>
      </c>
      <c r="B1593" s="45" t="n"/>
      <c r="C1593" s="46" t="n"/>
      <c r="D1593" s="46" t="n"/>
      <c r="E1593" s="46" t="n"/>
      <c r="F1593" s="51" t="n"/>
      <c r="G1593" s="47" t="n"/>
      <c r="H1593" s="47" t="n"/>
      <c r="I1593" s="43">
        <f>IF($B1593="","",N($G1593)-N($H1593))</f>
        <v/>
      </c>
    </row>
    <row r="1594">
      <c r="A1594" s="39">
        <f>IF($B1594="","",COUNTA($B$4:$B1594))</f>
        <v/>
      </c>
      <c r="B1594" s="40" t="n"/>
      <c r="C1594" s="41" t="n"/>
      <c r="D1594" s="41" t="n"/>
      <c r="E1594" s="41" t="n"/>
      <c r="F1594" s="50" t="n"/>
      <c r="G1594" s="42" t="n"/>
      <c r="H1594" s="42" t="n"/>
      <c r="I1594" s="43">
        <f>IF($B1594="","",N($G1594)-N($H1594))</f>
        <v/>
      </c>
    </row>
    <row r="1595">
      <c r="A1595" s="39">
        <f>IF($B1595="","",COUNTA($B$4:$B1595))</f>
        <v/>
      </c>
      <c r="B1595" s="45" t="n"/>
      <c r="C1595" s="46" t="n"/>
      <c r="D1595" s="46" t="n"/>
      <c r="E1595" s="46" t="n"/>
      <c r="F1595" s="51" t="n"/>
      <c r="G1595" s="47" t="n"/>
      <c r="H1595" s="47" t="n"/>
      <c r="I1595" s="43">
        <f>IF($B1595="","",N($G1595)-N($H1595))</f>
        <v/>
      </c>
    </row>
    <row r="1596">
      <c r="A1596" s="39">
        <f>IF($B1596="","",COUNTA($B$4:$B1596))</f>
        <v/>
      </c>
      <c r="B1596" s="40" t="n"/>
      <c r="C1596" s="41" t="n"/>
      <c r="D1596" s="41" t="n"/>
      <c r="E1596" s="41" t="n"/>
      <c r="F1596" s="50" t="n"/>
      <c r="G1596" s="42" t="n"/>
      <c r="H1596" s="42" t="n"/>
      <c r="I1596" s="43">
        <f>IF($B1596="","",N($G1596)-N($H1596))</f>
        <v/>
      </c>
    </row>
    <row r="1597">
      <c r="A1597" s="39">
        <f>IF($B1597="","",COUNTA($B$4:$B1597))</f>
        <v/>
      </c>
      <c r="B1597" s="45" t="n"/>
      <c r="C1597" s="46" t="n"/>
      <c r="D1597" s="46" t="n"/>
      <c r="E1597" s="46" t="n"/>
      <c r="F1597" s="51" t="n"/>
      <c r="G1597" s="47" t="n"/>
      <c r="H1597" s="47" t="n"/>
      <c r="I1597" s="43">
        <f>IF($B1597="","",N($G1597)-N($H1597))</f>
        <v/>
      </c>
    </row>
    <row r="1598">
      <c r="A1598" s="39">
        <f>IF($B1598="","",COUNTA($B$4:$B1598))</f>
        <v/>
      </c>
      <c r="B1598" s="40" t="n"/>
      <c r="C1598" s="41" t="n"/>
      <c r="D1598" s="41" t="n"/>
      <c r="E1598" s="41" t="n"/>
      <c r="F1598" s="50" t="n"/>
      <c r="G1598" s="42" t="n"/>
      <c r="H1598" s="42" t="n"/>
      <c r="I1598" s="43">
        <f>IF($B1598="","",N($G1598)-N($H1598))</f>
        <v/>
      </c>
    </row>
    <row r="1599">
      <c r="A1599" s="39">
        <f>IF($B1599="","",COUNTA($B$4:$B1599))</f>
        <v/>
      </c>
      <c r="B1599" s="45" t="n"/>
      <c r="C1599" s="46" t="n"/>
      <c r="D1599" s="46" t="n"/>
      <c r="E1599" s="46" t="n"/>
      <c r="F1599" s="51" t="n"/>
      <c r="G1599" s="47" t="n"/>
      <c r="H1599" s="47" t="n"/>
      <c r="I1599" s="43">
        <f>IF($B1599="","",N($G1599)-N($H1599))</f>
        <v/>
      </c>
    </row>
    <row r="1600">
      <c r="A1600" s="39">
        <f>IF($B1600="","",COUNTA($B$4:$B1600))</f>
        <v/>
      </c>
      <c r="B1600" s="40" t="n"/>
      <c r="C1600" s="41" t="n"/>
      <c r="D1600" s="41" t="n"/>
      <c r="E1600" s="41" t="n"/>
      <c r="F1600" s="50" t="n"/>
      <c r="G1600" s="42" t="n"/>
      <c r="H1600" s="42" t="n"/>
      <c r="I1600" s="43">
        <f>IF($B1600="","",N($G1600)-N($H1600))</f>
        <v/>
      </c>
    </row>
    <row r="1601">
      <c r="A1601" s="39">
        <f>IF($B1601="","",COUNTA($B$4:$B1601))</f>
        <v/>
      </c>
      <c r="B1601" s="45" t="n"/>
      <c r="C1601" s="46" t="n"/>
      <c r="D1601" s="46" t="n"/>
      <c r="E1601" s="46" t="n"/>
      <c r="F1601" s="51" t="n"/>
      <c r="G1601" s="47" t="n"/>
      <c r="H1601" s="47" t="n"/>
      <c r="I1601" s="43">
        <f>IF($B1601="","",N($G1601)-N($H1601))</f>
        <v/>
      </c>
    </row>
    <row r="1602">
      <c r="A1602" s="39">
        <f>IF($B1602="","",COUNTA($B$4:$B1602))</f>
        <v/>
      </c>
      <c r="B1602" s="40" t="n"/>
      <c r="C1602" s="41" t="n"/>
      <c r="D1602" s="41" t="n"/>
      <c r="E1602" s="41" t="n"/>
      <c r="F1602" s="50" t="n"/>
      <c r="G1602" s="42" t="n"/>
      <c r="H1602" s="42" t="n"/>
      <c r="I1602" s="43">
        <f>IF($B1602="","",N($G1602)-N($H1602))</f>
        <v/>
      </c>
    </row>
    <row r="1603">
      <c r="A1603" s="39">
        <f>IF($B1603="","",COUNTA($B$4:$B1603))</f>
        <v/>
      </c>
      <c r="B1603" s="45" t="n"/>
      <c r="C1603" s="46" t="n"/>
      <c r="D1603" s="46" t="n"/>
      <c r="E1603" s="46" t="n"/>
      <c r="F1603" s="51" t="n"/>
      <c r="G1603" s="47" t="n"/>
      <c r="H1603" s="47" t="n"/>
      <c r="I1603" s="43">
        <f>IF($B1603="","",N($G1603)-N($H1603))</f>
        <v/>
      </c>
    </row>
    <row r="1604">
      <c r="A1604" s="39">
        <f>IF($B1604="","",COUNTA($B$4:$B1604))</f>
        <v/>
      </c>
      <c r="B1604" s="40" t="n"/>
      <c r="C1604" s="41" t="n"/>
      <c r="D1604" s="41" t="n"/>
      <c r="E1604" s="41" t="n"/>
      <c r="F1604" s="50" t="n"/>
      <c r="G1604" s="42" t="n"/>
      <c r="H1604" s="42" t="n"/>
      <c r="I1604" s="43">
        <f>IF($B1604="","",N($G1604)-N($H1604))</f>
        <v/>
      </c>
    </row>
    <row r="1605">
      <c r="A1605" s="39">
        <f>IF($B1605="","",COUNTA($B$4:$B1605))</f>
        <v/>
      </c>
      <c r="B1605" s="45" t="n"/>
      <c r="C1605" s="46" t="n"/>
      <c r="D1605" s="46" t="n"/>
      <c r="E1605" s="46" t="n"/>
      <c r="F1605" s="51" t="n"/>
      <c r="G1605" s="47" t="n"/>
      <c r="H1605" s="47" t="n"/>
      <c r="I1605" s="43">
        <f>IF($B1605="","",N($G1605)-N($H1605))</f>
        <v/>
      </c>
    </row>
    <row r="1606">
      <c r="A1606" s="39">
        <f>IF($B1606="","",COUNTA($B$4:$B1606))</f>
        <v/>
      </c>
      <c r="B1606" s="40" t="n"/>
      <c r="C1606" s="41" t="n"/>
      <c r="D1606" s="41" t="n"/>
      <c r="E1606" s="41" t="n"/>
      <c r="F1606" s="50" t="n"/>
      <c r="G1606" s="42" t="n"/>
      <c r="H1606" s="42" t="n"/>
      <c r="I1606" s="43">
        <f>IF($B1606="","",N($G1606)-N($H1606))</f>
        <v/>
      </c>
    </row>
    <row r="1607">
      <c r="A1607" s="39">
        <f>IF($B1607="","",COUNTA($B$4:$B1607))</f>
        <v/>
      </c>
      <c r="B1607" s="45" t="n"/>
      <c r="C1607" s="46" t="n"/>
      <c r="D1607" s="46" t="n"/>
      <c r="E1607" s="46" t="n"/>
      <c r="F1607" s="51" t="n"/>
      <c r="G1607" s="47" t="n"/>
      <c r="H1607" s="47" t="n"/>
      <c r="I1607" s="43">
        <f>IF($B1607="","",N($G1607)-N($H1607))</f>
        <v/>
      </c>
    </row>
    <row r="1608">
      <c r="A1608" s="39">
        <f>IF($B1608="","",COUNTA($B$4:$B1608))</f>
        <v/>
      </c>
      <c r="B1608" s="40" t="n"/>
      <c r="C1608" s="41" t="n"/>
      <c r="D1608" s="41" t="n"/>
      <c r="E1608" s="41" t="n"/>
      <c r="F1608" s="50" t="n"/>
      <c r="G1608" s="42" t="n"/>
      <c r="H1608" s="42" t="n"/>
      <c r="I1608" s="43">
        <f>IF($B1608="","",N($G1608)-N($H1608))</f>
        <v/>
      </c>
    </row>
    <row r="1609">
      <c r="A1609" s="39">
        <f>IF($B1609="","",COUNTA($B$4:$B1609))</f>
        <v/>
      </c>
      <c r="B1609" s="45" t="n"/>
      <c r="C1609" s="46" t="n"/>
      <c r="D1609" s="46" t="n"/>
      <c r="E1609" s="46" t="n"/>
      <c r="F1609" s="51" t="n"/>
      <c r="G1609" s="47" t="n"/>
      <c r="H1609" s="47" t="n"/>
      <c r="I1609" s="43">
        <f>IF($B1609="","",N($G1609)-N($H1609))</f>
        <v/>
      </c>
    </row>
    <row r="1610">
      <c r="A1610" s="39">
        <f>IF($B1610="","",COUNTA($B$4:$B1610))</f>
        <v/>
      </c>
      <c r="B1610" s="40" t="n"/>
      <c r="C1610" s="41" t="n"/>
      <c r="D1610" s="41" t="n"/>
      <c r="E1610" s="41" t="n"/>
      <c r="F1610" s="50" t="n"/>
      <c r="G1610" s="42" t="n"/>
      <c r="H1610" s="42" t="n"/>
      <c r="I1610" s="43">
        <f>IF($B1610="","",N($G1610)-N($H1610))</f>
        <v/>
      </c>
    </row>
    <row r="1611">
      <c r="A1611" s="39">
        <f>IF($B1611="","",COUNTA($B$4:$B1611))</f>
        <v/>
      </c>
      <c r="B1611" s="45" t="n"/>
      <c r="C1611" s="46" t="n"/>
      <c r="D1611" s="46" t="n"/>
      <c r="E1611" s="46" t="n"/>
      <c r="F1611" s="51" t="n"/>
      <c r="G1611" s="47" t="n"/>
      <c r="H1611" s="47" t="n"/>
      <c r="I1611" s="43">
        <f>IF($B1611="","",N($G1611)-N($H1611))</f>
        <v/>
      </c>
    </row>
    <row r="1612">
      <c r="A1612" s="39">
        <f>IF($B1612="","",COUNTA($B$4:$B1612))</f>
        <v/>
      </c>
      <c r="B1612" s="40" t="n"/>
      <c r="C1612" s="41" t="n"/>
      <c r="D1612" s="41" t="n"/>
      <c r="E1612" s="41" t="n"/>
      <c r="F1612" s="50" t="n"/>
      <c r="G1612" s="42" t="n"/>
      <c r="H1612" s="42" t="n"/>
      <c r="I1612" s="43">
        <f>IF($B1612="","",N($G1612)-N($H1612))</f>
        <v/>
      </c>
    </row>
    <row r="1613">
      <c r="A1613" s="39">
        <f>IF($B1613="","",COUNTA($B$4:$B1613))</f>
        <v/>
      </c>
      <c r="B1613" s="45" t="n"/>
      <c r="C1613" s="46" t="n"/>
      <c r="D1613" s="46" t="n"/>
      <c r="E1613" s="46" t="n"/>
      <c r="F1613" s="51" t="n"/>
      <c r="G1613" s="47" t="n"/>
      <c r="H1613" s="47" t="n"/>
      <c r="I1613" s="43">
        <f>IF($B1613="","",N($G1613)-N($H1613))</f>
        <v/>
      </c>
    </row>
    <row r="1614">
      <c r="A1614" s="39">
        <f>IF($B1614="","",COUNTA($B$4:$B1614))</f>
        <v/>
      </c>
      <c r="B1614" s="40" t="n"/>
      <c r="C1614" s="41" t="n"/>
      <c r="D1614" s="41" t="n"/>
      <c r="E1614" s="41" t="n"/>
      <c r="F1614" s="50" t="n"/>
      <c r="G1614" s="42" t="n"/>
      <c r="H1614" s="42" t="n"/>
      <c r="I1614" s="43">
        <f>IF($B1614="","",N($G1614)-N($H1614))</f>
        <v/>
      </c>
    </row>
    <row r="1615">
      <c r="A1615" s="39">
        <f>IF($B1615="","",COUNTA($B$4:$B1615))</f>
        <v/>
      </c>
      <c r="B1615" s="45" t="n"/>
      <c r="C1615" s="46" t="n"/>
      <c r="D1615" s="46" t="n"/>
      <c r="E1615" s="46" t="n"/>
      <c r="F1615" s="51" t="n"/>
      <c r="G1615" s="47" t="n"/>
      <c r="H1615" s="47" t="n"/>
      <c r="I1615" s="43">
        <f>IF($B1615="","",N($G1615)-N($H1615))</f>
        <v/>
      </c>
    </row>
    <row r="1616">
      <c r="A1616" s="39">
        <f>IF($B1616="","",COUNTA($B$4:$B1616))</f>
        <v/>
      </c>
      <c r="B1616" s="40" t="n"/>
      <c r="C1616" s="41" t="n"/>
      <c r="D1616" s="41" t="n"/>
      <c r="E1616" s="41" t="n"/>
      <c r="F1616" s="50" t="n"/>
      <c r="G1616" s="42" t="n"/>
      <c r="H1616" s="42" t="n"/>
      <c r="I1616" s="43">
        <f>IF($B1616="","",N($G1616)-N($H1616))</f>
        <v/>
      </c>
    </row>
    <row r="1617">
      <c r="A1617" s="39">
        <f>IF($B1617="","",COUNTA($B$4:$B1617))</f>
        <v/>
      </c>
      <c r="B1617" s="45" t="n"/>
      <c r="C1617" s="46" t="n"/>
      <c r="D1617" s="46" t="n"/>
      <c r="E1617" s="46" t="n"/>
      <c r="F1617" s="51" t="n"/>
      <c r="G1617" s="47" t="n"/>
      <c r="H1617" s="47" t="n"/>
      <c r="I1617" s="43">
        <f>IF($B1617="","",N($G1617)-N($H1617))</f>
        <v/>
      </c>
    </row>
    <row r="1618">
      <c r="A1618" s="39">
        <f>IF($B1618="","",COUNTA($B$4:$B1618))</f>
        <v/>
      </c>
      <c r="B1618" s="40" t="n"/>
      <c r="C1618" s="41" t="n"/>
      <c r="D1618" s="41" t="n"/>
      <c r="E1618" s="41" t="n"/>
      <c r="F1618" s="50" t="n"/>
      <c r="G1618" s="42" t="n"/>
      <c r="H1618" s="42" t="n"/>
      <c r="I1618" s="43">
        <f>IF($B1618="","",N($G1618)-N($H1618))</f>
        <v/>
      </c>
    </row>
    <row r="1619">
      <c r="A1619" s="39">
        <f>IF($B1619="","",COUNTA($B$4:$B1619))</f>
        <v/>
      </c>
      <c r="B1619" s="45" t="n"/>
      <c r="C1619" s="46" t="n"/>
      <c r="D1619" s="46" t="n"/>
      <c r="E1619" s="46" t="n"/>
      <c r="F1619" s="51" t="n"/>
      <c r="G1619" s="47" t="n"/>
      <c r="H1619" s="47" t="n"/>
      <c r="I1619" s="43">
        <f>IF($B1619="","",N($G1619)-N($H1619))</f>
        <v/>
      </c>
    </row>
    <row r="1620">
      <c r="A1620" s="39">
        <f>IF($B1620="","",COUNTA($B$4:$B1620))</f>
        <v/>
      </c>
      <c r="B1620" s="40" t="n"/>
      <c r="C1620" s="41" t="n"/>
      <c r="D1620" s="41" t="n"/>
      <c r="E1620" s="41" t="n"/>
      <c r="F1620" s="50" t="n"/>
      <c r="G1620" s="42" t="n"/>
      <c r="H1620" s="42" t="n"/>
      <c r="I1620" s="43">
        <f>IF($B1620="","",N($G1620)-N($H1620))</f>
        <v/>
      </c>
    </row>
    <row r="1621">
      <c r="A1621" s="39">
        <f>IF($B1621="","",COUNTA($B$4:$B1621))</f>
        <v/>
      </c>
      <c r="B1621" s="45" t="n"/>
      <c r="C1621" s="46" t="n"/>
      <c r="D1621" s="46" t="n"/>
      <c r="E1621" s="46" t="n"/>
      <c r="F1621" s="51" t="n"/>
      <c r="G1621" s="47" t="n"/>
      <c r="H1621" s="47" t="n"/>
      <c r="I1621" s="43">
        <f>IF($B1621="","",N($G1621)-N($H1621))</f>
        <v/>
      </c>
    </row>
    <row r="1622">
      <c r="A1622" s="39">
        <f>IF($B1622="","",COUNTA($B$4:$B1622))</f>
        <v/>
      </c>
      <c r="B1622" s="40" t="n"/>
      <c r="C1622" s="41" t="n"/>
      <c r="D1622" s="41" t="n"/>
      <c r="E1622" s="41" t="n"/>
      <c r="F1622" s="50" t="n"/>
      <c r="G1622" s="42" t="n"/>
      <c r="H1622" s="42" t="n"/>
      <c r="I1622" s="43">
        <f>IF($B1622="","",N($G1622)-N($H1622))</f>
        <v/>
      </c>
    </row>
    <row r="1623">
      <c r="A1623" s="39">
        <f>IF($B1623="","",COUNTA($B$4:$B1623))</f>
        <v/>
      </c>
      <c r="B1623" s="45" t="n"/>
      <c r="C1623" s="46" t="n"/>
      <c r="D1623" s="46" t="n"/>
      <c r="E1623" s="46" t="n"/>
      <c r="F1623" s="51" t="n"/>
      <c r="G1623" s="47" t="n"/>
      <c r="H1623" s="47" t="n"/>
      <c r="I1623" s="43">
        <f>IF($B1623="","",N($G1623)-N($H1623))</f>
        <v/>
      </c>
    </row>
    <row r="1624">
      <c r="A1624" s="39">
        <f>IF($B1624="","",COUNTA($B$4:$B1624))</f>
        <v/>
      </c>
      <c r="B1624" s="40" t="n"/>
      <c r="C1624" s="41" t="n"/>
      <c r="D1624" s="41" t="n"/>
      <c r="E1624" s="41" t="n"/>
      <c r="F1624" s="50" t="n"/>
      <c r="G1624" s="42" t="n"/>
      <c r="H1624" s="42" t="n"/>
      <c r="I1624" s="43">
        <f>IF($B1624="","",N($G1624)-N($H1624))</f>
        <v/>
      </c>
    </row>
    <row r="1625">
      <c r="A1625" s="39">
        <f>IF($B1625="","",COUNTA($B$4:$B1625))</f>
        <v/>
      </c>
      <c r="B1625" s="45" t="n"/>
      <c r="C1625" s="46" t="n"/>
      <c r="D1625" s="46" t="n"/>
      <c r="E1625" s="46" t="n"/>
      <c r="F1625" s="51" t="n"/>
      <c r="G1625" s="47" t="n"/>
      <c r="H1625" s="47" t="n"/>
      <c r="I1625" s="43">
        <f>IF($B1625="","",N($G1625)-N($H1625))</f>
        <v/>
      </c>
    </row>
    <row r="1626">
      <c r="A1626" s="39">
        <f>IF($B1626="","",COUNTA($B$4:$B1626))</f>
        <v/>
      </c>
      <c r="B1626" s="40" t="n"/>
      <c r="C1626" s="41" t="n"/>
      <c r="D1626" s="41" t="n"/>
      <c r="E1626" s="41" t="n"/>
      <c r="F1626" s="50" t="n"/>
      <c r="G1626" s="42" t="n"/>
      <c r="H1626" s="42" t="n"/>
      <c r="I1626" s="43">
        <f>IF($B1626="","",N($G1626)-N($H1626))</f>
        <v/>
      </c>
    </row>
    <row r="1627">
      <c r="A1627" s="39">
        <f>IF($B1627="","",COUNTA($B$4:$B1627))</f>
        <v/>
      </c>
      <c r="B1627" s="45" t="n"/>
      <c r="C1627" s="46" t="n"/>
      <c r="D1627" s="46" t="n"/>
      <c r="E1627" s="46" t="n"/>
      <c r="F1627" s="51" t="n"/>
      <c r="G1627" s="47" t="n"/>
      <c r="H1627" s="47" t="n"/>
      <c r="I1627" s="43">
        <f>IF($B1627="","",N($G1627)-N($H1627))</f>
        <v/>
      </c>
    </row>
    <row r="1628">
      <c r="A1628" s="39">
        <f>IF($B1628="","",COUNTA($B$4:$B1628))</f>
        <v/>
      </c>
      <c r="B1628" s="40" t="n"/>
      <c r="C1628" s="41" t="n"/>
      <c r="D1628" s="41" t="n"/>
      <c r="E1628" s="41" t="n"/>
      <c r="F1628" s="50" t="n"/>
      <c r="G1628" s="42" t="n"/>
      <c r="H1628" s="42" t="n"/>
      <c r="I1628" s="43">
        <f>IF($B1628="","",N($G1628)-N($H1628))</f>
        <v/>
      </c>
    </row>
    <row r="1629">
      <c r="A1629" s="39">
        <f>IF($B1629="","",COUNTA($B$4:$B1629))</f>
        <v/>
      </c>
      <c r="B1629" s="45" t="n"/>
      <c r="C1629" s="46" t="n"/>
      <c r="D1629" s="46" t="n"/>
      <c r="E1629" s="46" t="n"/>
      <c r="F1629" s="51" t="n"/>
      <c r="G1629" s="47" t="n"/>
      <c r="H1629" s="47" t="n"/>
      <c r="I1629" s="43">
        <f>IF($B1629="","",N($G1629)-N($H1629))</f>
        <v/>
      </c>
    </row>
    <row r="1630">
      <c r="A1630" s="39">
        <f>IF($B1630="","",COUNTA($B$4:$B1630))</f>
        <v/>
      </c>
      <c r="B1630" s="40" t="n"/>
      <c r="C1630" s="41" t="n"/>
      <c r="D1630" s="41" t="n"/>
      <c r="E1630" s="41" t="n"/>
      <c r="F1630" s="50" t="n"/>
      <c r="G1630" s="42" t="n"/>
      <c r="H1630" s="42" t="n"/>
      <c r="I1630" s="43">
        <f>IF($B1630="","",N($G1630)-N($H1630))</f>
        <v/>
      </c>
    </row>
    <row r="1631">
      <c r="A1631" s="39">
        <f>IF($B1631="","",COUNTA($B$4:$B1631))</f>
        <v/>
      </c>
      <c r="B1631" s="45" t="n"/>
      <c r="C1631" s="46" t="n"/>
      <c r="D1631" s="46" t="n"/>
      <c r="E1631" s="46" t="n"/>
      <c r="F1631" s="51" t="n"/>
      <c r="G1631" s="47" t="n"/>
      <c r="H1631" s="47" t="n"/>
      <c r="I1631" s="43">
        <f>IF($B1631="","",N($G1631)-N($H1631))</f>
        <v/>
      </c>
    </row>
    <row r="1632">
      <c r="A1632" s="39">
        <f>IF($B1632="","",COUNTA($B$4:$B1632))</f>
        <v/>
      </c>
      <c r="B1632" s="40" t="n"/>
      <c r="C1632" s="41" t="n"/>
      <c r="D1632" s="41" t="n"/>
      <c r="E1632" s="41" t="n"/>
      <c r="F1632" s="50" t="n"/>
      <c r="G1632" s="42" t="n"/>
      <c r="H1632" s="42" t="n"/>
      <c r="I1632" s="43">
        <f>IF($B1632="","",N($G1632)-N($H1632))</f>
        <v/>
      </c>
    </row>
    <row r="1633">
      <c r="A1633" s="39">
        <f>IF($B1633="","",COUNTA($B$4:$B1633))</f>
        <v/>
      </c>
      <c r="B1633" s="45" t="n"/>
      <c r="C1633" s="46" t="n"/>
      <c r="D1633" s="46" t="n"/>
      <c r="E1633" s="46" t="n"/>
      <c r="F1633" s="51" t="n"/>
      <c r="G1633" s="47" t="n"/>
      <c r="H1633" s="47" t="n"/>
      <c r="I1633" s="43">
        <f>IF($B1633="","",N($G1633)-N($H1633))</f>
        <v/>
      </c>
    </row>
    <row r="1634">
      <c r="A1634" s="39">
        <f>IF($B1634="","",COUNTA($B$4:$B1634))</f>
        <v/>
      </c>
      <c r="B1634" s="40" t="n"/>
      <c r="C1634" s="41" t="n"/>
      <c r="D1634" s="41" t="n"/>
      <c r="E1634" s="41" t="n"/>
      <c r="F1634" s="50" t="n"/>
      <c r="G1634" s="42" t="n"/>
      <c r="H1634" s="42" t="n"/>
      <c r="I1634" s="43">
        <f>IF($B1634="","",N($G1634)-N($H1634))</f>
        <v/>
      </c>
    </row>
    <row r="1635">
      <c r="A1635" s="39">
        <f>IF($B1635="","",COUNTA($B$4:$B1635))</f>
        <v/>
      </c>
      <c r="B1635" s="45" t="n"/>
      <c r="C1635" s="46" t="n"/>
      <c r="D1635" s="46" t="n"/>
      <c r="E1635" s="46" t="n"/>
      <c r="F1635" s="51" t="n"/>
      <c r="G1635" s="47" t="n"/>
      <c r="H1635" s="47" t="n"/>
      <c r="I1635" s="43">
        <f>IF($B1635="","",N($G1635)-N($H1635))</f>
        <v/>
      </c>
    </row>
    <row r="1636">
      <c r="A1636" s="39">
        <f>IF($B1636="","",COUNTA($B$4:$B1636))</f>
        <v/>
      </c>
      <c r="B1636" s="40" t="n"/>
      <c r="C1636" s="41" t="n"/>
      <c r="D1636" s="41" t="n"/>
      <c r="E1636" s="41" t="n"/>
      <c r="F1636" s="50" t="n"/>
      <c r="G1636" s="42" t="n"/>
      <c r="H1636" s="42" t="n"/>
      <c r="I1636" s="43">
        <f>IF($B1636="","",N($G1636)-N($H1636))</f>
        <v/>
      </c>
    </row>
    <row r="1637">
      <c r="A1637" s="39">
        <f>IF($B1637="","",COUNTA($B$4:$B1637))</f>
        <v/>
      </c>
      <c r="B1637" s="45" t="n"/>
      <c r="C1637" s="46" t="n"/>
      <c r="D1637" s="46" t="n"/>
      <c r="E1637" s="46" t="n"/>
      <c r="F1637" s="51" t="n"/>
      <c r="G1637" s="47" t="n"/>
      <c r="H1637" s="47" t="n"/>
      <c r="I1637" s="43">
        <f>IF($B1637="","",N($G1637)-N($H1637))</f>
        <v/>
      </c>
    </row>
    <row r="1638">
      <c r="A1638" s="39">
        <f>IF($B1638="","",COUNTA($B$4:$B1638))</f>
        <v/>
      </c>
      <c r="B1638" s="40" t="n"/>
      <c r="C1638" s="41" t="n"/>
      <c r="D1638" s="41" t="n"/>
      <c r="E1638" s="41" t="n"/>
      <c r="F1638" s="50" t="n"/>
      <c r="G1638" s="42" t="n"/>
      <c r="H1638" s="42" t="n"/>
      <c r="I1638" s="43">
        <f>IF($B1638="","",N($G1638)-N($H1638))</f>
        <v/>
      </c>
    </row>
    <row r="1639">
      <c r="A1639" s="39">
        <f>IF($B1639="","",COUNTA($B$4:$B1639))</f>
        <v/>
      </c>
      <c r="B1639" s="45" t="n"/>
      <c r="C1639" s="46" t="n"/>
      <c r="D1639" s="46" t="n"/>
      <c r="E1639" s="46" t="n"/>
      <c r="F1639" s="51" t="n"/>
      <c r="G1639" s="47" t="n"/>
      <c r="H1639" s="47" t="n"/>
      <c r="I1639" s="43">
        <f>IF($B1639="","",N($G1639)-N($H1639))</f>
        <v/>
      </c>
    </row>
    <row r="1640">
      <c r="A1640" s="39">
        <f>IF($B1640="","",COUNTA($B$4:$B1640))</f>
        <v/>
      </c>
      <c r="B1640" s="40" t="n"/>
      <c r="C1640" s="41" t="n"/>
      <c r="D1640" s="41" t="n"/>
      <c r="E1640" s="41" t="n"/>
      <c r="F1640" s="50" t="n"/>
      <c r="G1640" s="42" t="n"/>
      <c r="H1640" s="42" t="n"/>
      <c r="I1640" s="43">
        <f>IF($B1640="","",N($G1640)-N($H1640))</f>
        <v/>
      </c>
    </row>
    <row r="1641">
      <c r="A1641" s="39">
        <f>IF($B1641="","",COUNTA($B$4:$B1641))</f>
        <v/>
      </c>
      <c r="B1641" s="45" t="n"/>
      <c r="C1641" s="46" t="n"/>
      <c r="D1641" s="46" t="n"/>
      <c r="E1641" s="46" t="n"/>
      <c r="F1641" s="51" t="n"/>
      <c r="G1641" s="47" t="n"/>
      <c r="H1641" s="47" t="n"/>
      <c r="I1641" s="43">
        <f>IF($B1641="","",N($G1641)-N($H1641))</f>
        <v/>
      </c>
    </row>
    <row r="1642">
      <c r="A1642" s="39">
        <f>IF($B1642="","",COUNTA($B$4:$B1642))</f>
        <v/>
      </c>
      <c r="B1642" s="40" t="n"/>
      <c r="C1642" s="41" t="n"/>
      <c r="D1642" s="41" t="n"/>
      <c r="E1642" s="41" t="n"/>
      <c r="F1642" s="50" t="n"/>
      <c r="G1642" s="42" t="n"/>
      <c r="H1642" s="42" t="n"/>
      <c r="I1642" s="43">
        <f>IF($B1642="","",N($G1642)-N($H1642))</f>
        <v/>
      </c>
    </row>
    <row r="1643">
      <c r="A1643" s="39">
        <f>IF($B1643="","",COUNTA($B$4:$B1643))</f>
        <v/>
      </c>
      <c r="B1643" s="45" t="n"/>
      <c r="C1643" s="46" t="n"/>
      <c r="D1643" s="46" t="n"/>
      <c r="E1643" s="46" t="n"/>
      <c r="F1643" s="51" t="n"/>
      <c r="G1643" s="47" t="n"/>
      <c r="H1643" s="47" t="n"/>
      <c r="I1643" s="43">
        <f>IF($B1643="","",N($G1643)-N($H1643))</f>
        <v/>
      </c>
    </row>
    <row r="1644">
      <c r="A1644" s="39">
        <f>IF($B1644="","",COUNTA($B$4:$B1644))</f>
        <v/>
      </c>
      <c r="B1644" s="40" t="n"/>
      <c r="C1644" s="41" t="n"/>
      <c r="D1644" s="41" t="n"/>
      <c r="E1644" s="41" t="n"/>
      <c r="F1644" s="50" t="n"/>
      <c r="G1644" s="42" t="n"/>
      <c r="H1644" s="42" t="n"/>
      <c r="I1644" s="43">
        <f>IF($B1644="","",N($G1644)-N($H1644))</f>
        <v/>
      </c>
    </row>
    <row r="1645">
      <c r="A1645" s="39">
        <f>IF($B1645="","",COUNTA($B$4:$B1645))</f>
        <v/>
      </c>
      <c r="B1645" s="45" t="n"/>
      <c r="C1645" s="46" t="n"/>
      <c r="D1645" s="46" t="n"/>
      <c r="E1645" s="46" t="n"/>
      <c r="F1645" s="51" t="n"/>
      <c r="G1645" s="47" t="n"/>
      <c r="H1645" s="47" t="n"/>
      <c r="I1645" s="43">
        <f>IF($B1645="","",N($G1645)-N($H1645))</f>
        <v/>
      </c>
    </row>
    <row r="1646">
      <c r="A1646" s="39">
        <f>IF($B1646="","",COUNTA($B$4:$B1646))</f>
        <v/>
      </c>
      <c r="B1646" s="40" t="n"/>
      <c r="C1646" s="41" t="n"/>
      <c r="D1646" s="41" t="n"/>
      <c r="E1646" s="41" t="n"/>
      <c r="F1646" s="50" t="n"/>
      <c r="G1646" s="42" t="n"/>
      <c r="H1646" s="42" t="n"/>
      <c r="I1646" s="43">
        <f>IF($B1646="","",N($G1646)-N($H1646))</f>
        <v/>
      </c>
    </row>
    <row r="1647">
      <c r="A1647" s="39">
        <f>IF($B1647="","",COUNTA($B$4:$B1647))</f>
        <v/>
      </c>
      <c r="B1647" s="45" t="n"/>
      <c r="C1647" s="46" t="n"/>
      <c r="D1647" s="46" t="n"/>
      <c r="E1647" s="46" t="n"/>
      <c r="F1647" s="51" t="n"/>
      <c r="G1647" s="47" t="n"/>
      <c r="H1647" s="47" t="n"/>
      <c r="I1647" s="43">
        <f>IF($B1647="","",N($G1647)-N($H1647))</f>
        <v/>
      </c>
    </row>
    <row r="1648">
      <c r="A1648" s="39">
        <f>IF($B1648="","",COUNTA($B$4:$B1648))</f>
        <v/>
      </c>
      <c r="B1648" s="40" t="n"/>
      <c r="C1648" s="41" t="n"/>
      <c r="D1648" s="41" t="n"/>
      <c r="E1648" s="41" t="n"/>
      <c r="F1648" s="50" t="n"/>
      <c r="G1648" s="42" t="n"/>
      <c r="H1648" s="42" t="n"/>
      <c r="I1648" s="43">
        <f>IF($B1648="","",N($G1648)-N($H1648))</f>
        <v/>
      </c>
    </row>
    <row r="1649">
      <c r="A1649" s="39">
        <f>IF($B1649="","",COUNTA($B$4:$B1649))</f>
        <v/>
      </c>
      <c r="B1649" s="45" t="n"/>
      <c r="C1649" s="46" t="n"/>
      <c r="D1649" s="46" t="n"/>
      <c r="E1649" s="46" t="n"/>
      <c r="F1649" s="51" t="n"/>
      <c r="G1649" s="47" t="n"/>
      <c r="H1649" s="47" t="n"/>
      <c r="I1649" s="43">
        <f>IF($B1649="","",N($G1649)-N($H1649))</f>
        <v/>
      </c>
    </row>
    <row r="1650">
      <c r="A1650" s="39">
        <f>IF($B1650="","",COUNTA($B$4:$B1650))</f>
        <v/>
      </c>
      <c r="B1650" s="40" t="n"/>
      <c r="C1650" s="41" t="n"/>
      <c r="D1650" s="41" t="n"/>
      <c r="E1650" s="41" t="n"/>
      <c r="F1650" s="50" t="n"/>
      <c r="G1650" s="42" t="n"/>
      <c r="H1650" s="42" t="n"/>
      <c r="I1650" s="43">
        <f>IF($B1650="","",N($G1650)-N($H1650))</f>
        <v/>
      </c>
    </row>
    <row r="1651">
      <c r="A1651" s="39">
        <f>IF($B1651="","",COUNTA($B$4:$B1651))</f>
        <v/>
      </c>
      <c r="B1651" s="45" t="n"/>
      <c r="C1651" s="46" t="n"/>
      <c r="D1651" s="46" t="n"/>
      <c r="E1651" s="46" t="n"/>
      <c r="F1651" s="51" t="n"/>
      <c r="G1651" s="47" t="n"/>
      <c r="H1651" s="47" t="n"/>
      <c r="I1651" s="43">
        <f>IF($B1651="","",N($G1651)-N($H1651))</f>
        <v/>
      </c>
    </row>
    <row r="1652">
      <c r="A1652" s="39">
        <f>IF($B1652="","",COUNTA($B$4:$B1652))</f>
        <v/>
      </c>
      <c r="B1652" s="40" t="n"/>
      <c r="C1652" s="41" t="n"/>
      <c r="D1652" s="41" t="n"/>
      <c r="E1652" s="41" t="n"/>
      <c r="F1652" s="50" t="n"/>
      <c r="G1652" s="42" t="n"/>
      <c r="H1652" s="42" t="n"/>
      <c r="I1652" s="43">
        <f>IF($B1652="","",N($G1652)-N($H1652))</f>
        <v/>
      </c>
    </row>
    <row r="1653">
      <c r="A1653" s="39">
        <f>IF($B1653="","",COUNTA($B$4:$B1653))</f>
        <v/>
      </c>
      <c r="B1653" s="45" t="n"/>
      <c r="C1653" s="46" t="n"/>
      <c r="D1653" s="46" t="n"/>
      <c r="E1653" s="46" t="n"/>
      <c r="F1653" s="51" t="n"/>
      <c r="G1653" s="47" t="n"/>
      <c r="H1653" s="47" t="n"/>
      <c r="I1653" s="43">
        <f>IF($B1653="","",N($G1653)-N($H1653))</f>
        <v/>
      </c>
    </row>
    <row r="1654">
      <c r="A1654" s="39">
        <f>IF($B1654="","",COUNTA($B$4:$B1654))</f>
        <v/>
      </c>
      <c r="B1654" s="40" t="n"/>
      <c r="C1654" s="41" t="n"/>
      <c r="D1654" s="41" t="n"/>
      <c r="E1654" s="41" t="n"/>
      <c r="F1654" s="50" t="n"/>
      <c r="G1654" s="42" t="n"/>
      <c r="H1654" s="42" t="n"/>
      <c r="I1654" s="43">
        <f>IF($B1654="","",N($G1654)-N($H1654))</f>
        <v/>
      </c>
    </row>
    <row r="1655">
      <c r="A1655" s="39">
        <f>IF($B1655="","",COUNTA($B$4:$B1655))</f>
        <v/>
      </c>
      <c r="B1655" s="45" t="n"/>
      <c r="C1655" s="46" t="n"/>
      <c r="D1655" s="46" t="n"/>
      <c r="E1655" s="46" t="n"/>
      <c r="F1655" s="51" t="n"/>
      <c r="G1655" s="47" t="n"/>
      <c r="H1655" s="47" t="n"/>
      <c r="I1655" s="43">
        <f>IF($B1655="","",N($G1655)-N($H1655))</f>
        <v/>
      </c>
    </row>
    <row r="1656">
      <c r="A1656" s="39">
        <f>IF($B1656="","",COUNTA($B$4:$B1656))</f>
        <v/>
      </c>
      <c r="B1656" s="40" t="n"/>
      <c r="C1656" s="41" t="n"/>
      <c r="D1656" s="41" t="n"/>
      <c r="E1656" s="41" t="n"/>
      <c r="F1656" s="50" t="n"/>
      <c r="G1656" s="42" t="n"/>
      <c r="H1656" s="42" t="n"/>
      <c r="I1656" s="43">
        <f>IF($B1656="","",N($G1656)-N($H1656))</f>
        <v/>
      </c>
    </row>
    <row r="1657">
      <c r="A1657" s="39">
        <f>IF($B1657="","",COUNTA($B$4:$B1657))</f>
        <v/>
      </c>
      <c r="B1657" s="45" t="n"/>
      <c r="C1657" s="46" t="n"/>
      <c r="D1657" s="46" t="n"/>
      <c r="E1657" s="46" t="n"/>
      <c r="F1657" s="51" t="n"/>
      <c r="G1657" s="47" t="n"/>
      <c r="H1657" s="47" t="n"/>
      <c r="I1657" s="43">
        <f>IF($B1657="","",N($G1657)-N($H1657))</f>
        <v/>
      </c>
    </row>
    <row r="1658">
      <c r="A1658" s="39">
        <f>IF($B1658="","",COUNTA($B$4:$B1658))</f>
        <v/>
      </c>
      <c r="B1658" s="40" t="n"/>
      <c r="C1658" s="41" t="n"/>
      <c r="D1658" s="41" t="n"/>
      <c r="E1658" s="41" t="n"/>
      <c r="F1658" s="50" t="n"/>
      <c r="G1658" s="42" t="n"/>
      <c r="H1658" s="42" t="n"/>
      <c r="I1658" s="43">
        <f>IF($B1658="","",N($G1658)-N($H1658))</f>
        <v/>
      </c>
    </row>
    <row r="1659">
      <c r="A1659" s="39">
        <f>IF($B1659="","",COUNTA($B$4:$B1659))</f>
        <v/>
      </c>
      <c r="B1659" s="45" t="n"/>
      <c r="C1659" s="46" t="n"/>
      <c r="D1659" s="46" t="n"/>
      <c r="E1659" s="46" t="n"/>
      <c r="F1659" s="51" t="n"/>
      <c r="G1659" s="47" t="n"/>
      <c r="H1659" s="47" t="n"/>
      <c r="I1659" s="43">
        <f>IF($B1659="","",N($G1659)-N($H1659))</f>
        <v/>
      </c>
    </row>
    <row r="1660">
      <c r="A1660" s="39">
        <f>IF($B1660="","",COUNTA($B$4:$B1660))</f>
        <v/>
      </c>
      <c r="B1660" s="40" t="n"/>
      <c r="C1660" s="41" t="n"/>
      <c r="D1660" s="41" t="n"/>
      <c r="E1660" s="41" t="n"/>
      <c r="F1660" s="50" t="n"/>
      <c r="G1660" s="42" t="n"/>
      <c r="H1660" s="42" t="n"/>
      <c r="I1660" s="43">
        <f>IF($B1660="","",N($G1660)-N($H1660))</f>
        <v/>
      </c>
    </row>
    <row r="1661">
      <c r="A1661" s="39">
        <f>IF($B1661="","",COUNTA($B$4:$B1661))</f>
        <v/>
      </c>
      <c r="B1661" s="45" t="n"/>
      <c r="C1661" s="46" t="n"/>
      <c r="D1661" s="46" t="n"/>
      <c r="E1661" s="46" t="n"/>
      <c r="F1661" s="51" t="n"/>
      <c r="G1661" s="47" t="n"/>
      <c r="H1661" s="47" t="n"/>
      <c r="I1661" s="43">
        <f>IF($B1661="","",N($G1661)-N($H1661))</f>
        <v/>
      </c>
    </row>
    <row r="1662">
      <c r="A1662" s="39">
        <f>IF($B1662="","",COUNTA($B$4:$B1662))</f>
        <v/>
      </c>
      <c r="B1662" s="40" t="n"/>
      <c r="C1662" s="41" t="n"/>
      <c r="D1662" s="41" t="n"/>
      <c r="E1662" s="41" t="n"/>
      <c r="F1662" s="50" t="n"/>
      <c r="G1662" s="42" t="n"/>
      <c r="H1662" s="42" t="n"/>
      <c r="I1662" s="43">
        <f>IF($B1662="","",N($G1662)-N($H1662))</f>
        <v/>
      </c>
    </row>
    <row r="1663">
      <c r="A1663" s="39">
        <f>IF($B1663="","",COUNTA($B$4:$B1663))</f>
        <v/>
      </c>
      <c r="B1663" s="45" t="n"/>
      <c r="C1663" s="46" t="n"/>
      <c r="D1663" s="46" t="n"/>
      <c r="E1663" s="46" t="n"/>
      <c r="F1663" s="51" t="n"/>
      <c r="G1663" s="47" t="n"/>
      <c r="H1663" s="47" t="n"/>
      <c r="I1663" s="43">
        <f>IF($B1663="","",N($G1663)-N($H1663))</f>
        <v/>
      </c>
    </row>
    <row r="1664">
      <c r="A1664" s="39">
        <f>IF($B1664="","",COUNTA($B$4:$B1664))</f>
        <v/>
      </c>
      <c r="B1664" s="40" t="n"/>
      <c r="C1664" s="41" t="n"/>
      <c r="D1664" s="41" t="n"/>
      <c r="E1664" s="41" t="n"/>
      <c r="F1664" s="50" t="n"/>
      <c r="G1664" s="42" t="n"/>
      <c r="H1664" s="42" t="n"/>
      <c r="I1664" s="43">
        <f>IF($B1664="","",N($G1664)-N($H1664))</f>
        <v/>
      </c>
    </row>
    <row r="1665">
      <c r="A1665" s="39">
        <f>IF($B1665="","",COUNTA($B$4:$B1665))</f>
        <v/>
      </c>
      <c r="B1665" s="45" t="n"/>
      <c r="C1665" s="46" t="n"/>
      <c r="D1665" s="46" t="n"/>
      <c r="E1665" s="46" t="n"/>
      <c r="F1665" s="51" t="n"/>
      <c r="G1665" s="47" t="n"/>
      <c r="H1665" s="47" t="n"/>
      <c r="I1665" s="43">
        <f>IF($B1665="","",N($G1665)-N($H1665))</f>
        <v/>
      </c>
    </row>
    <row r="1666">
      <c r="A1666" s="39">
        <f>IF($B1666="","",COUNTA($B$4:$B1666))</f>
        <v/>
      </c>
      <c r="B1666" s="40" t="n"/>
      <c r="C1666" s="41" t="n"/>
      <c r="D1666" s="41" t="n"/>
      <c r="E1666" s="41" t="n"/>
      <c r="F1666" s="50" t="n"/>
      <c r="G1666" s="42" t="n"/>
      <c r="H1666" s="42" t="n"/>
      <c r="I1666" s="43">
        <f>IF($B1666="","",N($G1666)-N($H1666))</f>
        <v/>
      </c>
    </row>
    <row r="1667">
      <c r="A1667" s="39">
        <f>IF($B1667="","",COUNTA($B$4:$B1667))</f>
        <v/>
      </c>
      <c r="B1667" s="45" t="n"/>
      <c r="C1667" s="46" t="n"/>
      <c r="D1667" s="46" t="n"/>
      <c r="E1667" s="46" t="n"/>
      <c r="F1667" s="51" t="n"/>
      <c r="G1667" s="47" t="n"/>
      <c r="H1667" s="47" t="n"/>
      <c r="I1667" s="43">
        <f>IF($B1667="","",N($G1667)-N($H1667))</f>
        <v/>
      </c>
    </row>
    <row r="1668">
      <c r="A1668" s="39">
        <f>IF($B1668="","",COUNTA($B$4:$B1668))</f>
        <v/>
      </c>
      <c r="B1668" s="40" t="n"/>
      <c r="C1668" s="41" t="n"/>
      <c r="D1668" s="41" t="n"/>
      <c r="E1668" s="41" t="n"/>
      <c r="F1668" s="50" t="n"/>
      <c r="G1668" s="42" t="n"/>
      <c r="H1668" s="42" t="n"/>
      <c r="I1668" s="43">
        <f>IF($B1668="","",N($G1668)-N($H1668))</f>
        <v/>
      </c>
    </row>
    <row r="1669">
      <c r="A1669" s="39">
        <f>IF($B1669="","",COUNTA($B$4:$B1669))</f>
        <v/>
      </c>
      <c r="B1669" s="45" t="n"/>
      <c r="C1669" s="46" t="n"/>
      <c r="D1669" s="46" t="n"/>
      <c r="E1669" s="46" t="n"/>
      <c r="F1669" s="51" t="n"/>
      <c r="G1669" s="47" t="n"/>
      <c r="H1669" s="47" t="n"/>
      <c r="I1669" s="43">
        <f>IF($B1669="","",N($G1669)-N($H1669))</f>
        <v/>
      </c>
    </row>
    <row r="1670">
      <c r="A1670" s="39">
        <f>IF($B1670="","",COUNTA($B$4:$B1670))</f>
        <v/>
      </c>
      <c r="B1670" s="40" t="n"/>
      <c r="C1670" s="41" t="n"/>
      <c r="D1670" s="41" t="n"/>
      <c r="E1670" s="41" t="n"/>
      <c r="F1670" s="50" t="n"/>
      <c r="G1670" s="42" t="n"/>
      <c r="H1670" s="42" t="n"/>
      <c r="I1670" s="43">
        <f>IF($B1670="","",N($G1670)-N($H1670))</f>
        <v/>
      </c>
    </row>
    <row r="1671">
      <c r="A1671" s="39">
        <f>IF($B1671="","",COUNTA($B$4:$B1671))</f>
        <v/>
      </c>
      <c r="B1671" s="45" t="n"/>
      <c r="C1671" s="46" t="n"/>
      <c r="D1671" s="46" t="n"/>
      <c r="E1671" s="46" t="n"/>
      <c r="F1671" s="51" t="n"/>
      <c r="G1671" s="47" t="n"/>
      <c r="H1671" s="47" t="n"/>
      <c r="I1671" s="43">
        <f>IF($B1671="","",N($G1671)-N($H1671))</f>
        <v/>
      </c>
    </row>
    <row r="1672">
      <c r="A1672" s="39">
        <f>IF($B1672="","",COUNTA($B$4:$B1672))</f>
        <v/>
      </c>
      <c r="B1672" s="40" t="n"/>
      <c r="C1672" s="41" t="n"/>
      <c r="D1672" s="41" t="n"/>
      <c r="E1672" s="41" t="n"/>
      <c r="F1672" s="50" t="n"/>
      <c r="G1672" s="42" t="n"/>
      <c r="H1672" s="42" t="n"/>
      <c r="I1672" s="43">
        <f>IF($B1672="","",N($G1672)-N($H1672))</f>
        <v/>
      </c>
    </row>
    <row r="1673">
      <c r="A1673" s="39">
        <f>IF($B1673="","",COUNTA($B$4:$B1673))</f>
        <v/>
      </c>
      <c r="B1673" s="45" t="n"/>
      <c r="C1673" s="46" t="n"/>
      <c r="D1673" s="46" t="n"/>
      <c r="E1673" s="46" t="n"/>
      <c r="F1673" s="51" t="n"/>
      <c r="G1673" s="47" t="n"/>
      <c r="H1673" s="47" t="n"/>
      <c r="I1673" s="43">
        <f>IF($B1673="","",N($G1673)-N($H1673))</f>
        <v/>
      </c>
    </row>
    <row r="1674">
      <c r="A1674" s="39">
        <f>IF($B1674="","",COUNTA($B$4:$B1674))</f>
        <v/>
      </c>
      <c r="B1674" s="40" t="n"/>
      <c r="C1674" s="41" t="n"/>
      <c r="D1674" s="41" t="n"/>
      <c r="E1674" s="41" t="n"/>
      <c r="F1674" s="50" t="n"/>
      <c r="G1674" s="42" t="n"/>
      <c r="H1674" s="42" t="n"/>
      <c r="I1674" s="43">
        <f>IF($B1674="","",N($G1674)-N($H1674))</f>
        <v/>
      </c>
    </row>
    <row r="1675">
      <c r="A1675" s="39">
        <f>IF($B1675="","",COUNTA($B$4:$B1675))</f>
        <v/>
      </c>
      <c r="B1675" s="45" t="n"/>
      <c r="C1675" s="46" t="n"/>
      <c r="D1675" s="46" t="n"/>
      <c r="E1675" s="46" t="n"/>
      <c r="F1675" s="51" t="n"/>
      <c r="G1675" s="47" t="n"/>
      <c r="H1675" s="47" t="n"/>
      <c r="I1675" s="43">
        <f>IF($B1675="","",N($G1675)-N($H1675))</f>
        <v/>
      </c>
    </row>
    <row r="1676">
      <c r="A1676" s="39">
        <f>IF($B1676="","",COUNTA($B$4:$B1676))</f>
        <v/>
      </c>
      <c r="B1676" s="40" t="n"/>
      <c r="C1676" s="41" t="n"/>
      <c r="D1676" s="41" t="n"/>
      <c r="E1676" s="41" t="n"/>
      <c r="F1676" s="50" t="n"/>
      <c r="G1676" s="42" t="n"/>
      <c r="H1676" s="42" t="n"/>
      <c r="I1676" s="43">
        <f>IF($B1676="","",N($G1676)-N($H1676))</f>
        <v/>
      </c>
    </row>
    <row r="1677">
      <c r="A1677" s="39">
        <f>IF($B1677="","",COUNTA($B$4:$B1677))</f>
        <v/>
      </c>
      <c r="B1677" s="45" t="n"/>
      <c r="C1677" s="46" t="n"/>
      <c r="D1677" s="46" t="n"/>
      <c r="E1677" s="46" t="n"/>
      <c r="F1677" s="51" t="n"/>
      <c r="G1677" s="47" t="n"/>
      <c r="H1677" s="47" t="n"/>
      <c r="I1677" s="43">
        <f>IF($B1677="","",N($G1677)-N($H1677))</f>
        <v/>
      </c>
    </row>
    <row r="1678">
      <c r="A1678" s="39">
        <f>IF($B1678="","",COUNTA($B$4:$B1678))</f>
        <v/>
      </c>
      <c r="B1678" s="40" t="n"/>
      <c r="C1678" s="41" t="n"/>
      <c r="D1678" s="41" t="n"/>
      <c r="E1678" s="41" t="n"/>
      <c r="F1678" s="50" t="n"/>
      <c r="G1678" s="42" t="n"/>
      <c r="H1678" s="42" t="n"/>
      <c r="I1678" s="43">
        <f>IF($B1678="","",N($G1678)-N($H1678))</f>
        <v/>
      </c>
    </row>
    <row r="1679">
      <c r="A1679" s="39">
        <f>IF($B1679="","",COUNTA($B$4:$B1679))</f>
        <v/>
      </c>
      <c r="B1679" s="45" t="n"/>
      <c r="C1679" s="46" t="n"/>
      <c r="D1679" s="46" t="n"/>
      <c r="E1679" s="46" t="n"/>
      <c r="F1679" s="51" t="n"/>
      <c r="G1679" s="47" t="n"/>
      <c r="H1679" s="47" t="n"/>
      <c r="I1679" s="43">
        <f>IF($B1679="","",N($G1679)-N($H1679))</f>
        <v/>
      </c>
    </row>
    <row r="1680">
      <c r="A1680" s="39">
        <f>IF($B1680="","",COUNTA($B$4:$B1680))</f>
        <v/>
      </c>
      <c r="B1680" s="40" t="n"/>
      <c r="C1680" s="41" t="n"/>
      <c r="D1680" s="41" t="n"/>
      <c r="E1680" s="41" t="n"/>
      <c r="F1680" s="50" t="n"/>
      <c r="G1680" s="42" t="n"/>
      <c r="H1680" s="42" t="n"/>
      <c r="I1680" s="43">
        <f>IF($B1680="","",N($G1680)-N($H1680))</f>
        <v/>
      </c>
    </row>
    <row r="1681">
      <c r="A1681" s="39">
        <f>IF($B1681="","",COUNTA($B$4:$B1681))</f>
        <v/>
      </c>
      <c r="B1681" s="45" t="n"/>
      <c r="C1681" s="46" t="n"/>
      <c r="D1681" s="46" t="n"/>
      <c r="E1681" s="46" t="n"/>
      <c r="F1681" s="51" t="n"/>
      <c r="G1681" s="47" t="n"/>
      <c r="H1681" s="47" t="n"/>
      <c r="I1681" s="43">
        <f>IF($B1681="","",N($G1681)-N($H1681))</f>
        <v/>
      </c>
    </row>
    <row r="1682">
      <c r="A1682" s="39">
        <f>IF($B1682="","",COUNTA($B$4:$B1682))</f>
        <v/>
      </c>
      <c r="B1682" s="40" t="n"/>
      <c r="C1682" s="41" t="n"/>
      <c r="D1682" s="41" t="n"/>
      <c r="E1682" s="41" t="n"/>
      <c r="F1682" s="50" t="n"/>
      <c r="G1682" s="42" t="n"/>
      <c r="H1682" s="42" t="n"/>
      <c r="I1682" s="43">
        <f>IF($B1682="","",N($G1682)-N($H1682))</f>
        <v/>
      </c>
    </row>
    <row r="1683">
      <c r="A1683" s="39">
        <f>IF($B1683="","",COUNTA($B$4:$B1683))</f>
        <v/>
      </c>
      <c r="B1683" s="45" t="n"/>
      <c r="C1683" s="46" t="n"/>
      <c r="D1683" s="46" t="n"/>
      <c r="E1683" s="46" t="n"/>
      <c r="F1683" s="51" t="n"/>
      <c r="G1683" s="47" t="n"/>
      <c r="H1683" s="47" t="n"/>
      <c r="I1683" s="43">
        <f>IF($B1683="","",N($G1683)-N($H1683))</f>
        <v/>
      </c>
    </row>
    <row r="1684">
      <c r="A1684" s="39">
        <f>IF($B1684="","",COUNTA($B$4:$B1684))</f>
        <v/>
      </c>
      <c r="B1684" s="40" t="n"/>
      <c r="C1684" s="41" t="n"/>
      <c r="D1684" s="41" t="n"/>
      <c r="E1684" s="41" t="n"/>
      <c r="F1684" s="50" t="n"/>
      <c r="G1684" s="42" t="n"/>
      <c r="H1684" s="42" t="n"/>
      <c r="I1684" s="43">
        <f>IF($B1684="","",N($G1684)-N($H1684))</f>
        <v/>
      </c>
    </row>
    <row r="1685">
      <c r="A1685" s="39">
        <f>IF($B1685="","",COUNTA($B$4:$B1685))</f>
        <v/>
      </c>
      <c r="B1685" s="45" t="n"/>
      <c r="C1685" s="46" t="n"/>
      <c r="D1685" s="46" t="n"/>
      <c r="E1685" s="46" t="n"/>
      <c r="F1685" s="51" t="n"/>
      <c r="G1685" s="47" t="n"/>
      <c r="H1685" s="47" t="n"/>
      <c r="I1685" s="43">
        <f>IF($B1685="","",N($G1685)-N($H1685))</f>
        <v/>
      </c>
    </row>
    <row r="1686">
      <c r="A1686" s="39">
        <f>IF($B1686="","",COUNTA($B$4:$B1686))</f>
        <v/>
      </c>
      <c r="B1686" s="40" t="n"/>
      <c r="C1686" s="41" t="n"/>
      <c r="D1686" s="41" t="n"/>
      <c r="E1686" s="41" t="n"/>
      <c r="F1686" s="50" t="n"/>
      <c r="G1686" s="42" t="n"/>
      <c r="H1686" s="42" t="n"/>
      <c r="I1686" s="43">
        <f>IF($B1686="","",N($G1686)-N($H1686))</f>
        <v/>
      </c>
    </row>
    <row r="1687">
      <c r="A1687" s="39">
        <f>IF($B1687="","",COUNTA($B$4:$B1687))</f>
        <v/>
      </c>
      <c r="B1687" s="45" t="n"/>
      <c r="C1687" s="46" t="n"/>
      <c r="D1687" s="46" t="n"/>
      <c r="E1687" s="46" t="n"/>
      <c r="F1687" s="51" t="n"/>
      <c r="G1687" s="47" t="n"/>
      <c r="H1687" s="47" t="n"/>
      <c r="I1687" s="43">
        <f>IF($B1687="","",N($G1687)-N($H1687))</f>
        <v/>
      </c>
    </row>
    <row r="1688">
      <c r="A1688" s="39">
        <f>IF($B1688="","",COUNTA($B$4:$B1688))</f>
        <v/>
      </c>
      <c r="B1688" s="40" t="n"/>
      <c r="C1688" s="41" t="n"/>
      <c r="D1688" s="41" t="n"/>
      <c r="E1688" s="41" t="n"/>
      <c r="F1688" s="50" t="n"/>
      <c r="G1688" s="42" t="n"/>
      <c r="H1688" s="42" t="n"/>
      <c r="I1688" s="43">
        <f>IF($B1688="","",N($G1688)-N($H1688))</f>
        <v/>
      </c>
    </row>
    <row r="1689">
      <c r="A1689" s="39">
        <f>IF($B1689="","",COUNTA($B$4:$B1689))</f>
        <v/>
      </c>
      <c r="B1689" s="45" t="n"/>
      <c r="C1689" s="46" t="n"/>
      <c r="D1689" s="46" t="n"/>
      <c r="E1689" s="46" t="n"/>
      <c r="F1689" s="51" t="n"/>
      <c r="G1689" s="47" t="n"/>
      <c r="H1689" s="47" t="n"/>
      <c r="I1689" s="43">
        <f>IF($B1689="","",N($G1689)-N($H1689))</f>
        <v/>
      </c>
    </row>
    <row r="1690">
      <c r="A1690" s="39">
        <f>IF($B1690="","",COUNTA($B$4:$B1690))</f>
        <v/>
      </c>
      <c r="B1690" s="40" t="n"/>
      <c r="C1690" s="41" t="n"/>
      <c r="D1690" s="41" t="n"/>
      <c r="E1690" s="41" t="n"/>
      <c r="F1690" s="50" t="n"/>
      <c r="G1690" s="42" t="n"/>
      <c r="H1690" s="42" t="n"/>
      <c r="I1690" s="43">
        <f>IF($B1690="","",N($G1690)-N($H1690))</f>
        <v/>
      </c>
    </row>
    <row r="1691">
      <c r="A1691" s="39">
        <f>IF($B1691="","",COUNTA($B$4:$B1691))</f>
        <v/>
      </c>
      <c r="B1691" s="45" t="n"/>
      <c r="C1691" s="46" t="n"/>
      <c r="D1691" s="46" t="n"/>
      <c r="E1691" s="46" t="n"/>
      <c r="F1691" s="51" t="n"/>
      <c r="G1691" s="47" t="n"/>
      <c r="H1691" s="47" t="n"/>
      <c r="I1691" s="43">
        <f>IF($B1691="","",N($G1691)-N($H1691))</f>
        <v/>
      </c>
    </row>
    <row r="1692">
      <c r="A1692" s="39">
        <f>IF($B1692="","",COUNTA($B$4:$B1692))</f>
        <v/>
      </c>
      <c r="B1692" s="40" t="n"/>
      <c r="C1692" s="41" t="n"/>
      <c r="D1692" s="41" t="n"/>
      <c r="E1692" s="41" t="n"/>
      <c r="F1692" s="50" t="n"/>
      <c r="G1692" s="42" t="n"/>
      <c r="H1692" s="42" t="n"/>
      <c r="I1692" s="43">
        <f>IF($B1692="","",N($G1692)-N($H1692))</f>
        <v/>
      </c>
    </row>
    <row r="1693">
      <c r="A1693" s="39">
        <f>IF($B1693="","",COUNTA($B$4:$B1693))</f>
        <v/>
      </c>
      <c r="B1693" s="45" t="n"/>
      <c r="C1693" s="46" t="n"/>
      <c r="D1693" s="46" t="n"/>
      <c r="E1693" s="46" t="n"/>
      <c r="F1693" s="51" t="n"/>
      <c r="G1693" s="47" t="n"/>
      <c r="H1693" s="47" t="n"/>
      <c r="I1693" s="43">
        <f>IF($B1693="","",N($G1693)-N($H1693))</f>
        <v/>
      </c>
    </row>
    <row r="1694">
      <c r="A1694" s="39">
        <f>IF($B1694="","",COUNTA($B$4:$B1694))</f>
        <v/>
      </c>
      <c r="B1694" s="40" t="n"/>
      <c r="C1694" s="41" t="n"/>
      <c r="D1694" s="41" t="n"/>
      <c r="E1694" s="41" t="n"/>
      <c r="F1694" s="50" t="n"/>
      <c r="G1694" s="42" t="n"/>
      <c r="H1694" s="42" t="n"/>
      <c r="I1694" s="43">
        <f>IF($B1694="","",N($G1694)-N($H1694))</f>
        <v/>
      </c>
    </row>
    <row r="1695">
      <c r="A1695" s="39">
        <f>IF($B1695="","",COUNTA($B$4:$B1695))</f>
        <v/>
      </c>
      <c r="B1695" s="45" t="n"/>
      <c r="C1695" s="46" t="n"/>
      <c r="D1695" s="46" t="n"/>
      <c r="E1695" s="46" t="n"/>
      <c r="F1695" s="51" t="n"/>
      <c r="G1695" s="47" t="n"/>
      <c r="H1695" s="47" t="n"/>
      <c r="I1695" s="43">
        <f>IF($B1695="","",N($G1695)-N($H1695))</f>
        <v/>
      </c>
    </row>
    <row r="1696">
      <c r="A1696" s="39">
        <f>IF($B1696="","",COUNTA($B$4:$B1696))</f>
        <v/>
      </c>
      <c r="B1696" s="40" t="n"/>
      <c r="C1696" s="41" t="n"/>
      <c r="D1696" s="41" t="n"/>
      <c r="E1696" s="41" t="n"/>
      <c r="F1696" s="50" t="n"/>
      <c r="G1696" s="42" t="n"/>
      <c r="H1696" s="42" t="n"/>
      <c r="I1696" s="43">
        <f>IF($B1696="","",N($G1696)-N($H1696))</f>
        <v/>
      </c>
    </row>
    <row r="1697">
      <c r="A1697" s="39">
        <f>IF($B1697="","",COUNTA($B$4:$B1697))</f>
        <v/>
      </c>
      <c r="B1697" s="45" t="n"/>
      <c r="C1697" s="46" t="n"/>
      <c r="D1697" s="46" t="n"/>
      <c r="E1697" s="46" t="n"/>
      <c r="F1697" s="51" t="n"/>
      <c r="G1697" s="47" t="n"/>
      <c r="H1697" s="47" t="n"/>
      <c r="I1697" s="43">
        <f>IF($B1697="","",N($G1697)-N($H1697))</f>
        <v/>
      </c>
    </row>
    <row r="1698">
      <c r="A1698" s="39">
        <f>IF($B1698="","",COUNTA($B$4:$B1698))</f>
        <v/>
      </c>
      <c r="B1698" s="40" t="n"/>
      <c r="C1698" s="41" t="n"/>
      <c r="D1698" s="41" t="n"/>
      <c r="E1698" s="41" t="n"/>
      <c r="F1698" s="50" t="n"/>
      <c r="G1698" s="42" t="n"/>
      <c r="H1698" s="42" t="n"/>
      <c r="I1698" s="43">
        <f>IF($B1698="","",N($G1698)-N($H1698))</f>
        <v/>
      </c>
    </row>
    <row r="1699">
      <c r="A1699" s="39">
        <f>IF($B1699="","",COUNTA($B$4:$B1699))</f>
        <v/>
      </c>
      <c r="B1699" s="45" t="n"/>
      <c r="C1699" s="46" t="n"/>
      <c r="D1699" s="46" t="n"/>
      <c r="E1699" s="46" t="n"/>
      <c r="F1699" s="51" t="n"/>
      <c r="G1699" s="47" t="n"/>
      <c r="H1699" s="47" t="n"/>
      <c r="I1699" s="43">
        <f>IF($B1699="","",N($G1699)-N($H1699))</f>
        <v/>
      </c>
    </row>
    <row r="1700">
      <c r="A1700" s="39">
        <f>IF($B1700="","",COUNTA($B$4:$B1700))</f>
        <v/>
      </c>
      <c r="B1700" s="40" t="n"/>
      <c r="C1700" s="41" t="n"/>
      <c r="D1700" s="41" t="n"/>
      <c r="E1700" s="41" t="n"/>
      <c r="F1700" s="50" t="n"/>
      <c r="G1700" s="42" t="n"/>
      <c r="H1700" s="42" t="n"/>
      <c r="I1700" s="43">
        <f>IF($B1700="","",N($G1700)-N($H1700))</f>
        <v/>
      </c>
    </row>
    <row r="1701">
      <c r="A1701" s="39">
        <f>IF($B1701="","",COUNTA($B$4:$B1701))</f>
        <v/>
      </c>
      <c r="B1701" s="45" t="n"/>
      <c r="C1701" s="46" t="n"/>
      <c r="D1701" s="46" t="n"/>
      <c r="E1701" s="46" t="n"/>
      <c r="F1701" s="51" t="n"/>
      <c r="G1701" s="47" t="n"/>
      <c r="H1701" s="47" t="n"/>
      <c r="I1701" s="43">
        <f>IF($B1701="","",N($G1701)-N($H1701))</f>
        <v/>
      </c>
    </row>
    <row r="1702">
      <c r="A1702" s="39">
        <f>IF($B1702="","",COUNTA($B$4:$B1702))</f>
        <v/>
      </c>
      <c r="B1702" s="40" t="n"/>
      <c r="C1702" s="41" t="n"/>
      <c r="D1702" s="41" t="n"/>
      <c r="E1702" s="41" t="n"/>
      <c r="F1702" s="50" t="n"/>
      <c r="G1702" s="42" t="n"/>
      <c r="H1702" s="42" t="n"/>
      <c r="I1702" s="43">
        <f>IF($B1702="","",N($G1702)-N($H1702))</f>
        <v/>
      </c>
    </row>
    <row r="1703">
      <c r="A1703" s="39">
        <f>IF($B1703="","",COUNTA($B$4:$B1703))</f>
        <v/>
      </c>
      <c r="B1703" s="45" t="n"/>
      <c r="C1703" s="46" t="n"/>
      <c r="D1703" s="46" t="n"/>
      <c r="E1703" s="46" t="n"/>
      <c r="F1703" s="51" t="n"/>
      <c r="G1703" s="47" t="n"/>
      <c r="H1703" s="47" t="n"/>
      <c r="I1703" s="43">
        <f>IF($B1703="","",N($G1703)-N($H1703))</f>
        <v/>
      </c>
    </row>
    <row r="1704">
      <c r="A1704" s="39">
        <f>IF($B1704="","",COUNTA($B$4:$B1704))</f>
        <v/>
      </c>
      <c r="B1704" s="40" t="n"/>
      <c r="C1704" s="41" t="n"/>
      <c r="D1704" s="41" t="n"/>
      <c r="E1704" s="41" t="n"/>
      <c r="F1704" s="50" t="n"/>
      <c r="G1704" s="42" t="n"/>
      <c r="H1704" s="42" t="n"/>
      <c r="I1704" s="43">
        <f>IF($B1704="","",N($G1704)-N($H1704))</f>
        <v/>
      </c>
    </row>
    <row r="1705">
      <c r="A1705" s="39">
        <f>IF($B1705="","",COUNTA($B$4:$B1705))</f>
        <v/>
      </c>
      <c r="B1705" s="45" t="n"/>
      <c r="C1705" s="46" t="n"/>
      <c r="D1705" s="46" t="n"/>
      <c r="E1705" s="46" t="n"/>
      <c r="F1705" s="51" t="n"/>
      <c r="G1705" s="47" t="n"/>
      <c r="H1705" s="47" t="n"/>
      <c r="I1705" s="43">
        <f>IF($B1705="","",N($G1705)-N($H1705))</f>
        <v/>
      </c>
    </row>
    <row r="1706">
      <c r="A1706" s="39">
        <f>IF($B1706="","",COUNTA($B$4:$B1706))</f>
        <v/>
      </c>
      <c r="B1706" s="40" t="n"/>
      <c r="C1706" s="41" t="n"/>
      <c r="D1706" s="41" t="n"/>
      <c r="E1706" s="41" t="n"/>
      <c r="F1706" s="50" t="n"/>
      <c r="G1706" s="42" t="n"/>
      <c r="H1706" s="42" t="n"/>
      <c r="I1706" s="43">
        <f>IF($B1706="","",N($G1706)-N($H1706))</f>
        <v/>
      </c>
    </row>
    <row r="1707">
      <c r="A1707" s="39">
        <f>IF($B1707="","",COUNTA($B$4:$B1707))</f>
        <v/>
      </c>
      <c r="B1707" s="45" t="n"/>
      <c r="C1707" s="46" t="n"/>
      <c r="D1707" s="46" t="n"/>
      <c r="E1707" s="46" t="n"/>
      <c r="F1707" s="51" t="n"/>
      <c r="G1707" s="47" t="n"/>
      <c r="H1707" s="47" t="n"/>
      <c r="I1707" s="43">
        <f>IF($B1707="","",N($G1707)-N($H1707))</f>
        <v/>
      </c>
    </row>
    <row r="1708">
      <c r="A1708" s="39">
        <f>IF($B1708="","",COUNTA($B$4:$B1708))</f>
        <v/>
      </c>
      <c r="B1708" s="40" t="n"/>
      <c r="C1708" s="41" t="n"/>
      <c r="D1708" s="41" t="n"/>
      <c r="E1708" s="41" t="n"/>
      <c r="F1708" s="50" t="n"/>
      <c r="G1708" s="42" t="n"/>
      <c r="H1708" s="42" t="n"/>
      <c r="I1708" s="43">
        <f>IF($B1708="","",N($G1708)-N($H1708))</f>
        <v/>
      </c>
    </row>
    <row r="1709">
      <c r="A1709" s="39">
        <f>IF($B1709="","",COUNTA($B$4:$B1709))</f>
        <v/>
      </c>
      <c r="B1709" s="45" t="n"/>
      <c r="C1709" s="46" t="n"/>
      <c r="D1709" s="46" t="n"/>
      <c r="E1709" s="46" t="n"/>
      <c r="F1709" s="51" t="n"/>
      <c r="G1709" s="47" t="n"/>
      <c r="H1709" s="47" t="n"/>
      <c r="I1709" s="43">
        <f>IF($B1709="","",N($G1709)-N($H1709))</f>
        <v/>
      </c>
    </row>
    <row r="1710">
      <c r="A1710" s="39">
        <f>IF($B1710="","",COUNTA($B$4:$B1710))</f>
        <v/>
      </c>
      <c r="B1710" s="40" t="n"/>
      <c r="C1710" s="41" t="n"/>
      <c r="D1710" s="41" t="n"/>
      <c r="E1710" s="41" t="n"/>
      <c r="F1710" s="50" t="n"/>
      <c r="G1710" s="42" t="n"/>
      <c r="H1710" s="42" t="n"/>
      <c r="I1710" s="43">
        <f>IF($B1710="","",N($G1710)-N($H1710))</f>
        <v/>
      </c>
    </row>
    <row r="1711">
      <c r="A1711" s="39">
        <f>IF($B1711="","",COUNTA($B$4:$B1711))</f>
        <v/>
      </c>
      <c r="B1711" s="45" t="n"/>
      <c r="C1711" s="46" t="n"/>
      <c r="D1711" s="46" t="n"/>
      <c r="E1711" s="46" t="n"/>
      <c r="F1711" s="51" t="n"/>
      <c r="G1711" s="47" t="n"/>
      <c r="H1711" s="47" t="n"/>
      <c r="I1711" s="43">
        <f>IF($B1711="","",N($G1711)-N($H1711))</f>
        <v/>
      </c>
    </row>
    <row r="1712">
      <c r="A1712" s="39">
        <f>IF($B1712="","",COUNTA($B$4:$B1712))</f>
        <v/>
      </c>
      <c r="B1712" s="40" t="n"/>
      <c r="C1712" s="41" t="n"/>
      <c r="D1712" s="41" t="n"/>
      <c r="E1712" s="41" t="n"/>
      <c r="F1712" s="50" t="n"/>
      <c r="G1712" s="42" t="n"/>
      <c r="H1712" s="42" t="n"/>
      <c r="I1712" s="43">
        <f>IF($B1712="","",N($G1712)-N($H1712))</f>
        <v/>
      </c>
    </row>
    <row r="1713">
      <c r="A1713" s="39">
        <f>IF($B1713="","",COUNTA($B$4:$B1713))</f>
        <v/>
      </c>
      <c r="B1713" s="45" t="n"/>
      <c r="C1713" s="46" t="n"/>
      <c r="D1713" s="46" t="n"/>
      <c r="E1713" s="46" t="n"/>
      <c r="F1713" s="51" t="n"/>
      <c r="G1713" s="47" t="n"/>
      <c r="H1713" s="47" t="n"/>
      <c r="I1713" s="43">
        <f>IF($B1713="","",N($G1713)-N($H1713))</f>
        <v/>
      </c>
    </row>
    <row r="1714">
      <c r="A1714" s="39">
        <f>IF($B1714="","",COUNTA($B$4:$B1714))</f>
        <v/>
      </c>
      <c r="B1714" s="40" t="n"/>
      <c r="C1714" s="41" t="n"/>
      <c r="D1714" s="41" t="n"/>
      <c r="E1714" s="41" t="n"/>
      <c r="F1714" s="50" t="n"/>
      <c r="G1714" s="42" t="n"/>
      <c r="H1714" s="42" t="n"/>
      <c r="I1714" s="43">
        <f>IF($B1714="","",N($G1714)-N($H1714))</f>
        <v/>
      </c>
    </row>
    <row r="1715">
      <c r="A1715" s="39">
        <f>IF($B1715="","",COUNTA($B$4:$B1715))</f>
        <v/>
      </c>
      <c r="B1715" s="45" t="n"/>
      <c r="C1715" s="46" t="n"/>
      <c r="D1715" s="46" t="n"/>
      <c r="E1715" s="46" t="n"/>
      <c r="F1715" s="51" t="n"/>
      <c r="G1715" s="47" t="n"/>
      <c r="H1715" s="47" t="n"/>
      <c r="I1715" s="43">
        <f>IF($B1715="","",N($G1715)-N($H1715))</f>
        <v/>
      </c>
    </row>
    <row r="1716">
      <c r="A1716" s="39">
        <f>IF($B1716="","",COUNTA($B$4:$B1716))</f>
        <v/>
      </c>
      <c r="B1716" s="40" t="n"/>
      <c r="C1716" s="41" t="n"/>
      <c r="D1716" s="41" t="n"/>
      <c r="E1716" s="41" t="n"/>
      <c r="F1716" s="50" t="n"/>
      <c r="G1716" s="42" t="n"/>
      <c r="H1716" s="42" t="n"/>
      <c r="I1716" s="43">
        <f>IF($B1716="","",N($G1716)-N($H1716))</f>
        <v/>
      </c>
    </row>
    <row r="1717">
      <c r="A1717" s="39">
        <f>IF($B1717="","",COUNTA($B$4:$B1717))</f>
        <v/>
      </c>
      <c r="B1717" s="45" t="n"/>
      <c r="C1717" s="46" t="n"/>
      <c r="D1717" s="46" t="n"/>
      <c r="E1717" s="46" t="n"/>
      <c r="F1717" s="51" t="n"/>
      <c r="G1717" s="47" t="n"/>
      <c r="H1717" s="47" t="n"/>
      <c r="I1717" s="43">
        <f>IF($B1717="","",N($G1717)-N($H1717))</f>
        <v/>
      </c>
    </row>
    <row r="1718">
      <c r="A1718" s="39">
        <f>IF($B1718="","",COUNTA($B$4:$B1718))</f>
        <v/>
      </c>
      <c r="B1718" s="40" t="n"/>
      <c r="C1718" s="41" t="n"/>
      <c r="D1718" s="41" t="n"/>
      <c r="E1718" s="41" t="n"/>
      <c r="F1718" s="50" t="n"/>
      <c r="G1718" s="42" t="n"/>
      <c r="H1718" s="42" t="n"/>
      <c r="I1718" s="43">
        <f>IF($B1718="","",N($G1718)-N($H1718))</f>
        <v/>
      </c>
    </row>
    <row r="1719">
      <c r="A1719" s="39">
        <f>IF($B1719="","",COUNTA($B$4:$B1719))</f>
        <v/>
      </c>
      <c r="B1719" s="45" t="n"/>
      <c r="C1719" s="46" t="n"/>
      <c r="D1719" s="46" t="n"/>
      <c r="E1719" s="46" t="n"/>
      <c r="F1719" s="51" t="n"/>
      <c r="G1719" s="47" t="n"/>
      <c r="H1719" s="47" t="n"/>
      <c r="I1719" s="43">
        <f>IF($B1719="","",N($G1719)-N($H1719))</f>
        <v/>
      </c>
    </row>
    <row r="1720">
      <c r="A1720" s="39">
        <f>IF($B1720="","",COUNTA($B$4:$B1720))</f>
        <v/>
      </c>
      <c r="B1720" s="40" t="n"/>
      <c r="C1720" s="41" t="n"/>
      <c r="D1720" s="41" t="n"/>
      <c r="E1720" s="41" t="n"/>
      <c r="F1720" s="50" t="n"/>
      <c r="G1720" s="42" t="n"/>
      <c r="H1720" s="42" t="n"/>
      <c r="I1720" s="43">
        <f>IF($B1720="","",N($G1720)-N($H1720))</f>
        <v/>
      </c>
    </row>
    <row r="1721">
      <c r="A1721" s="39">
        <f>IF($B1721="","",COUNTA($B$4:$B1721))</f>
        <v/>
      </c>
      <c r="B1721" s="45" t="n"/>
      <c r="C1721" s="46" t="n"/>
      <c r="D1721" s="46" t="n"/>
      <c r="E1721" s="46" t="n"/>
      <c r="F1721" s="51" t="n"/>
      <c r="G1721" s="47" t="n"/>
      <c r="H1721" s="47" t="n"/>
      <c r="I1721" s="43">
        <f>IF($B1721="","",N($G1721)-N($H1721))</f>
        <v/>
      </c>
    </row>
    <row r="1722">
      <c r="A1722" s="39">
        <f>IF($B1722="","",COUNTA($B$4:$B1722))</f>
        <v/>
      </c>
      <c r="B1722" s="40" t="n"/>
      <c r="C1722" s="41" t="n"/>
      <c r="D1722" s="41" t="n"/>
      <c r="E1722" s="41" t="n"/>
      <c r="F1722" s="50" t="n"/>
      <c r="G1722" s="42" t="n"/>
      <c r="H1722" s="42" t="n"/>
      <c r="I1722" s="43">
        <f>IF($B1722="","",N($G1722)-N($H1722))</f>
        <v/>
      </c>
    </row>
    <row r="1723">
      <c r="A1723" s="39">
        <f>IF($B1723="","",COUNTA($B$4:$B1723))</f>
        <v/>
      </c>
      <c r="B1723" s="45" t="n"/>
      <c r="C1723" s="46" t="n"/>
      <c r="D1723" s="46" t="n"/>
      <c r="E1723" s="46" t="n"/>
      <c r="F1723" s="51" t="n"/>
      <c r="G1723" s="47" t="n"/>
      <c r="H1723" s="47" t="n"/>
      <c r="I1723" s="43">
        <f>IF($B1723="","",N($G1723)-N($H1723))</f>
        <v/>
      </c>
    </row>
    <row r="1724">
      <c r="A1724" s="39">
        <f>IF($B1724="","",COUNTA($B$4:$B1724))</f>
        <v/>
      </c>
      <c r="B1724" s="40" t="n"/>
      <c r="C1724" s="41" t="n"/>
      <c r="D1724" s="41" t="n"/>
      <c r="E1724" s="41" t="n"/>
      <c r="F1724" s="50" t="n"/>
      <c r="G1724" s="42" t="n"/>
      <c r="H1724" s="42" t="n"/>
      <c r="I1724" s="43">
        <f>IF($B1724="","",N($G1724)-N($H1724))</f>
        <v/>
      </c>
    </row>
    <row r="1725">
      <c r="A1725" s="39">
        <f>IF($B1725="","",COUNTA($B$4:$B1725))</f>
        <v/>
      </c>
      <c r="B1725" s="45" t="n"/>
      <c r="C1725" s="46" t="n"/>
      <c r="D1725" s="46" t="n"/>
      <c r="E1725" s="46" t="n"/>
      <c r="F1725" s="51" t="n"/>
      <c r="G1725" s="47" t="n"/>
      <c r="H1725" s="47" t="n"/>
      <c r="I1725" s="43">
        <f>IF($B1725="","",N($G1725)-N($H1725))</f>
        <v/>
      </c>
    </row>
    <row r="1726">
      <c r="A1726" s="39">
        <f>IF($B1726="","",COUNTA($B$4:$B1726))</f>
        <v/>
      </c>
      <c r="B1726" s="40" t="n"/>
      <c r="C1726" s="41" t="n"/>
      <c r="D1726" s="41" t="n"/>
      <c r="E1726" s="41" t="n"/>
      <c r="F1726" s="50" t="n"/>
      <c r="G1726" s="42" t="n"/>
      <c r="H1726" s="42" t="n"/>
      <c r="I1726" s="43">
        <f>IF($B1726="","",N($G1726)-N($H1726))</f>
        <v/>
      </c>
    </row>
    <row r="1727">
      <c r="A1727" s="39">
        <f>IF($B1727="","",COUNTA($B$4:$B1727))</f>
        <v/>
      </c>
      <c r="B1727" s="45" t="n"/>
      <c r="C1727" s="46" t="n"/>
      <c r="D1727" s="46" t="n"/>
      <c r="E1727" s="46" t="n"/>
      <c r="F1727" s="51" t="n"/>
      <c r="G1727" s="47" t="n"/>
      <c r="H1727" s="47" t="n"/>
      <c r="I1727" s="43">
        <f>IF($B1727="","",N($G1727)-N($H1727))</f>
        <v/>
      </c>
    </row>
    <row r="1728">
      <c r="A1728" s="39">
        <f>IF($B1728="","",COUNTA($B$4:$B1728))</f>
        <v/>
      </c>
      <c r="B1728" s="40" t="n"/>
      <c r="C1728" s="41" t="n"/>
      <c r="D1728" s="41" t="n"/>
      <c r="E1728" s="41" t="n"/>
      <c r="F1728" s="50" t="n"/>
      <c r="G1728" s="42" t="n"/>
      <c r="H1728" s="42" t="n"/>
      <c r="I1728" s="43">
        <f>IF($B1728="","",N($G1728)-N($H1728))</f>
        <v/>
      </c>
    </row>
    <row r="1729">
      <c r="A1729" s="39">
        <f>IF($B1729="","",COUNTA($B$4:$B1729))</f>
        <v/>
      </c>
      <c r="B1729" s="45" t="n"/>
      <c r="C1729" s="46" t="n"/>
      <c r="D1729" s="46" t="n"/>
      <c r="E1729" s="46" t="n"/>
      <c r="F1729" s="51" t="n"/>
      <c r="G1729" s="47" t="n"/>
      <c r="H1729" s="47" t="n"/>
      <c r="I1729" s="43">
        <f>IF($B1729="","",N($G1729)-N($H1729))</f>
        <v/>
      </c>
    </row>
    <row r="1730">
      <c r="A1730" s="39">
        <f>IF($B1730="","",COUNTA($B$4:$B1730))</f>
        <v/>
      </c>
      <c r="B1730" s="40" t="n"/>
      <c r="C1730" s="41" t="n"/>
      <c r="D1730" s="41" t="n"/>
      <c r="E1730" s="41" t="n"/>
      <c r="F1730" s="50" t="n"/>
      <c r="G1730" s="42" t="n"/>
      <c r="H1730" s="42" t="n"/>
      <c r="I1730" s="43">
        <f>IF($B1730="","",N($G1730)-N($H1730))</f>
        <v/>
      </c>
    </row>
    <row r="1731">
      <c r="A1731" s="39">
        <f>IF($B1731="","",COUNTA($B$4:$B1731))</f>
        <v/>
      </c>
      <c r="B1731" s="45" t="n"/>
      <c r="C1731" s="46" t="n"/>
      <c r="D1731" s="46" t="n"/>
      <c r="E1731" s="46" t="n"/>
      <c r="F1731" s="51" t="n"/>
      <c r="G1731" s="47" t="n"/>
      <c r="H1731" s="47" t="n"/>
      <c r="I1731" s="43">
        <f>IF($B1731="","",N($G1731)-N($H1731))</f>
        <v/>
      </c>
    </row>
    <row r="1732">
      <c r="A1732" s="39">
        <f>IF($B1732="","",COUNTA($B$4:$B1732))</f>
        <v/>
      </c>
      <c r="B1732" s="40" t="n"/>
      <c r="C1732" s="41" t="n"/>
      <c r="D1732" s="41" t="n"/>
      <c r="E1732" s="41" t="n"/>
      <c r="F1732" s="50" t="n"/>
      <c r="G1732" s="42" t="n"/>
      <c r="H1732" s="42" t="n"/>
      <c r="I1732" s="43">
        <f>IF($B1732="","",N($G1732)-N($H1732))</f>
        <v/>
      </c>
    </row>
    <row r="1733">
      <c r="A1733" s="39">
        <f>IF($B1733="","",COUNTA($B$4:$B1733))</f>
        <v/>
      </c>
      <c r="B1733" s="45" t="n"/>
      <c r="C1733" s="46" t="n"/>
      <c r="D1733" s="46" t="n"/>
      <c r="E1733" s="46" t="n"/>
      <c r="F1733" s="51" t="n"/>
      <c r="G1733" s="47" t="n"/>
      <c r="H1733" s="47" t="n"/>
      <c r="I1733" s="43">
        <f>IF($B1733="","",N($G1733)-N($H1733))</f>
        <v/>
      </c>
    </row>
    <row r="1734">
      <c r="A1734" s="39">
        <f>IF($B1734="","",COUNTA($B$4:$B1734))</f>
        <v/>
      </c>
      <c r="B1734" s="40" t="n"/>
      <c r="C1734" s="41" t="n"/>
      <c r="D1734" s="41" t="n"/>
      <c r="E1734" s="41" t="n"/>
      <c r="F1734" s="50" t="n"/>
      <c r="G1734" s="42" t="n"/>
      <c r="H1734" s="42" t="n"/>
      <c r="I1734" s="43">
        <f>IF($B1734="","",N($G1734)-N($H1734))</f>
        <v/>
      </c>
    </row>
    <row r="1735">
      <c r="A1735" s="39">
        <f>IF($B1735="","",COUNTA($B$4:$B1735))</f>
        <v/>
      </c>
      <c r="B1735" s="45" t="n"/>
      <c r="C1735" s="46" t="n"/>
      <c r="D1735" s="46" t="n"/>
      <c r="E1735" s="46" t="n"/>
      <c r="F1735" s="51" t="n"/>
      <c r="G1735" s="47" t="n"/>
      <c r="H1735" s="47" t="n"/>
      <c r="I1735" s="43">
        <f>IF($B1735="","",N($G1735)-N($H1735))</f>
        <v/>
      </c>
    </row>
    <row r="1736">
      <c r="A1736" s="39">
        <f>IF($B1736="","",COUNTA($B$4:$B1736))</f>
        <v/>
      </c>
      <c r="B1736" s="40" t="n"/>
      <c r="C1736" s="41" t="n"/>
      <c r="D1736" s="41" t="n"/>
      <c r="E1736" s="41" t="n"/>
      <c r="F1736" s="50" t="n"/>
      <c r="G1736" s="42" t="n"/>
      <c r="H1736" s="42" t="n"/>
      <c r="I1736" s="43">
        <f>IF($B1736="","",N($G1736)-N($H1736))</f>
        <v/>
      </c>
    </row>
    <row r="1737">
      <c r="A1737" s="39">
        <f>IF($B1737="","",COUNTA($B$4:$B1737))</f>
        <v/>
      </c>
      <c r="B1737" s="45" t="n"/>
      <c r="C1737" s="46" t="n"/>
      <c r="D1737" s="46" t="n"/>
      <c r="E1737" s="46" t="n"/>
      <c r="F1737" s="51" t="n"/>
      <c r="G1737" s="47" t="n"/>
      <c r="H1737" s="47" t="n"/>
      <c r="I1737" s="43">
        <f>IF($B1737="","",N($G1737)-N($H1737))</f>
        <v/>
      </c>
    </row>
    <row r="1738">
      <c r="A1738" s="39">
        <f>IF($B1738="","",COUNTA($B$4:$B1738))</f>
        <v/>
      </c>
      <c r="B1738" s="40" t="n"/>
      <c r="C1738" s="41" t="n"/>
      <c r="D1738" s="41" t="n"/>
      <c r="E1738" s="41" t="n"/>
      <c r="F1738" s="50" t="n"/>
      <c r="G1738" s="42" t="n"/>
      <c r="H1738" s="42" t="n"/>
      <c r="I1738" s="43">
        <f>IF($B1738="","",N($G1738)-N($H1738))</f>
        <v/>
      </c>
    </row>
    <row r="1739">
      <c r="A1739" s="39">
        <f>IF($B1739="","",COUNTA($B$4:$B1739))</f>
        <v/>
      </c>
      <c r="B1739" s="45" t="n"/>
      <c r="C1739" s="46" t="n"/>
      <c r="D1739" s="46" t="n"/>
      <c r="E1739" s="46" t="n"/>
      <c r="F1739" s="51" t="n"/>
      <c r="G1739" s="47" t="n"/>
      <c r="H1739" s="47" t="n"/>
      <c r="I1739" s="43">
        <f>IF($B1739="","",N($G1739)-N($H1739))</f>
        <v/>
      </c>
    </row>
    <row r="1740">
      <c r="A1740" s="39">
        <f>IF($B1740="","",COUNTA($B$4:$B1740))</f>
        <v/>
      </c>
      <c r="B1740" s="40" t="n"/>
      <c r="C1740" s="41" t="n"/>
      <c r="D1740" s="41" t="n"/>
      <c r="E1740" s="41" t="n"/>
      <c r="F1740" s="50" t="n"/>
      <c r="G1740" s="42" t="n"/>
      <c r="H1740" s="42" t="n"/>
      <c r="I1740" s="43">
        <f>IF($B1740="","",N($G1740)-N($H1740))</f>
        <v/>
      </c>
    </row>
    <row r="1741">
      <c r="A1741" s="39">
        <f>IF($B1741="","",COUNTA($B$4:$B1741))</f>
        <v/>
      </c>
      <c r="B1741" s="45" t="n"/>
      <c r="C1741" s="46" t="n"/>
      <c r="D1741" s="46" t="n"/>
      <c r="E1741" s="46" t="n"/>
      <c r="F1741" s="51" t="n"/>
      <c r="G1741" s="47" t="n"/>
      <c r="H1741" s="47" t="n"/>
      <c r="I1741" s="43">
        <f>IF($B1741="","",N($G1741)-N($H1741))</f>
        <v/>
      </c>
    </row>
    <row r="1742">
      <c r="A1742" s="39">
        <f>IF($B1742="","",COUNTA($B$4:$B1742))</f>
        <v/>
      </c>
      <c r="B1742" s="40" t="n"/>
      <c r="C1742" s="41" t="n"/>
      <c r="D1742" s="41" t="n"/>
      <c r="E1742" s="41" t="n"/>
      <c r="F1742" s="50" t="n"/>
      <c r="G1742" s="42" t="n"/>
      <c r="H1742" s="42" t="n"/>
      <c r="I1742" s="43">
        <f>IF($B1742="","",N($G1742)-N($H1742))</f>
        <v/>
      </c>
    </row>
    <row r="1743">
      <c r="A1743" s="39">
        <f>IF($B1743="","",COUNTA($B$4:$B1743))</f>
        <v/>
      </c>
      <c r="B1743" s="45" t="n"/>
      <c r="C1743" s="46" t="n"/>
      <c r="D1743" s="46" t="n"/>
      <c r="E1743" s="46" t="n"/>
      <c r="F1743" s="51" t="n"/>
      <c r="G1743" s="47" t="n"/>
      <c r="H1743" s="47" t="n"/>
      <c r="I1743" s="43">
        <f>IF($B1743="","",N($G1743)-N($H1743))</f>
        <v/>
      </c>
    </row>
    <row r="1744">
      <c r="A1744" s="39">
        <f>IF($B1744="","",COUNTA($B$4:$B1744))</f>
        <v/>
      </c>
      <c r="B1744" s="40" t="n"/>
      <c r="C1744" s="41" t="n"/>
      <c r="D1744" s="41" t="n"/>
      <c r="E1744" s="41" t="n"/>
      <c r="F1744" s="50" t="n"/>
      <c r="G1744" s="42" t="n"/>
      <c r="H1744" s="42" t="n"/>
      <c r="I1744" s="43">
        <f>IF($B1744="","",N($G1744)-N($H1744))</f>
        <v/>
      </c>
    </row>
    <row r="1745">
      <c r="A1745" s="39">
        <f>IF($B1745="","",COUNTA($B$4:$B1745))</f>
        <v/>
      </c>
      <c r="B1745" s="45" t="n"/>
      <c r="C1745" s="46" t="n"/>
      <c r="D1745" s="46" t="n"/>
      <c r="E1745" s="46" t="n"/>
      <c r="F1745" s="51" t="n"/>
      <c r="G1745" s="47" t="n"/>
      <c r="H1745" s="47" t="n"/>
      <c r="I1745" s="43">
        <f>IF($B1745="","",N($G1745)-N($H1745))</f>
        <v/>
      </c>
    </row>
    <row r="1746">
      <c r="A1746" s="39">
        <f>IF($B1746="","",COUNTA($B$4:$B1746))</f>
        <v/>
      </c>
      <c r="B1746" s="40" t="n"/>
      <c r="C1746" s="41" t="n"/>
      <c r="D1746" s="41" t="n"/>
      <c r="E1746" s="41" t="n"/>
      <c r="F1746" s="50" t="n"/>
      <c r="G1746" s="42" t="n"/>
      <c r="H1746" s="42" t="n"/>
      <c r="I1746" s="43">
        <f>IF($B1746="","",N($G1746)-N($H1746))</f>
        <v/>
      </c>
    </row>
    <row r="1747">
      <c r="A1747" s="39">
        <f>IF($B1747="","",COUNTA($B$4:$B1747))</f>
        <v/>
      </c>
      <c r="B1747" s="45" t="n"/>
      <c r="C1747" s="46" t="n"/>
      <c r="D1747" s="46" t="n"/>
      <c r="E1747" s="46" t="n"/>
      <c r="F1747" s="51" t="n"/>
      <c r="G1747" s="47" t="n"/>
      <c r="H1747" s="47" t="n"/>
      <c r="I1747" s="43">
        <f>IF($B1747="","",N($G1747)-N($H1747))</f>
        <v/>
      </c>
    </row>
    <row r="1748">
      <c r="A1748" s="39">
        <f>IF($B1748="","",COUNTA($B$4:$B1748))</f>
        <v/>
      </c>
      <c r="B1748" s="40" t="n"/>
      <c r="C1748" s="41" t="n"/>
      <c r="D1748" s="41" t="n"/>
      <c r="E1748" s="41" t="n"/>
      <c r="F1748" s="50" t="n"/>
      <c r="G1748" s="42" t="n"/>
      <c r="H1748" s="42" t="n"/>
      <c r="I1748" s="43">
        <f>IF($B1748="","",N($G1748)-N($H1748))</f>
        <v/>
      </c>
    </row>
    <row r="1749">
      <c r="A1749" s="39">
        <f>IF($B1749="","",COUNTA($B$4:$B1749))</f>
        <v/>
      </c>
      <c r="B1749" s="45" t="n"/>
      <c r="C1749" s="46" t="n"/>
      <c r="D1749" s="46" t="n"/>
      <c r="E1749" s="46" t="n"/>
      <c r="F1749" s="51" t="n"/>
      <c r="G1749" s="47" t="n"/>
      <c r="H1749" s="47" t="n"/>
      <c r="I1749" s="43">
        <f>IF($B1749="","",N($G1749)-N($H1749))</f>
        <v/>
      </c>
    </row>
    <row r="1750">
      <c r="A1750" s="39">
        <f>IF($B1750="","",COUNTA($B$4:$B1750))</f>
        <v/>
      </c>
      <c r="B1750" s="40" t="n"/>
      <c r="C1750" s="41" t="n"/>
      <c r="D1750" s="41" t="n"/>
      <c r="E1750" s="41" t="n"/>
      <c r="F1750" s="50" t="n"/>
      <c r="G1750" s="42" t="n"/>
      <c r="H1750" s="42" t="n"/>
      <c r="I1750" s="43">
        <f>IF($B1750="","",N($G1750)-N($H1750))</f>
        <v/>
      </c>
    </row>
    <row r="1751">
      <c r="A1751" s="39">
        <f>IF($B1751="","",COUNTA($B$4:$B1751))</f>
        <v/>
      </c>
      <c r="B1751" s="45" t="n"/>
      <c r="C1751" s="46" t="n"/>
      <c r="D1751" s="46" t="n"/>
      <c r="E1751" s="46" t="n"/>
      <c r="F1751" s="51" t="n"/>
      <c r="G1751" s="47" t="n"/>
      <c r="H1751" s="47" t="n"/>
      <c r="I1751" s="43">
        <f>IF($B1751="","",N($G1751)-N($H1751))</f>
        <v/>
      </c>
    </row>
    <row r="1752">
      <c r="A1752" s="39">
        <f>IF($B1752="","",COUNTA($B$4:$B1752))</f>
        <v/>
      </c>
      <c r="B1752" s="40" t="n"/>
      <c r="C1752" s="41" t="n"/>
      <c r="D1752" s="41" t="n"/>
      <c r="E1752" s="41" t="n"/>
      <c r="F1752" s="50" t="n"/>
      <c r="G1752" s="42" t="n"/>
      <c r="H1752" s="42" t="n"/>
      <c r="I1752" s="43">
        <f>IF($B1752="","",N($G1752)-N($H1752))</f>
        <v/>
      </c>
    </row>
    <row r="1753">
      <c r="A1753" s="39">
        <f>IF($B1753="","",COUNTA($B$4:$B1753))</f>
        <v/>
      </c>
      <c r="B1753" s="45" t="n"/>
      <c r="C1753" s="46" t="n"/>
      <c r="D1753" s="46" t="n"/>
      <c r="E1753" s="46" t="n"/>
      <c r="F1753" s="51" t="n"/>
      <c r="G1753" s="47" t="n"/>
      <c r="H1753" s="47" t="n"/>
      <c r="I1753" s="43">
        <f>IF($B1753="","",N($G1753)-N($H1753))</f>
        <v/>
      </c>
    </row>
    <row r="1754">
      <c r="A1754" s="39">
        <f>IF($B1754="","",COUNTA($B$4:$B1754))</f>
        <v/>
      </c>
      <c r="B1754" s="40" t="n"/>
      <c r="C1754" s="41" t="n"/>
      <c r="D1754" s="41" t="n"/>
      <c r="E1754" s="41" t="n"/>
      <c r="F1754" s="50" t="n"/>
      <c r="G1754" s="42" t="n"/>
      <c r="H1754" s="42" t="n"/>
      <c r="I1754" s="43">
        <f>IF($B1754="","",N($G1754)-N($H1754))</f>
        <v/>
      </c>
    </row>
    <row r="1755">
      <c r="A1755" s="39">
        <f>IF($B1755="","",COUNTA($B$4:$B1755))</f>
        <v/>
      </c>
      <c r="B1755" s="45" t="n"/>
      <c r="C1755" s="46" t="n"/>
      <c r="D1755" s="46" t="n"/>
      <c r="E1755" s="46" t="n"/>
      <c r="F1755" s="51" t="n"/>
      <c r="G1755" s="47" t="n"/>
      <c r="H1755" s="47" t="n"/>
      <c r="I1755" s="43">
        <f>IF($B1755="","",N($G1755)-N($H1755))</f>
        <v/>
      </c>
    </row>
    <row r="1756">
      <c r="A1756" s="39">
        <f>IF($B1756="","",COUNTA($B$4:$B1756))</f>
        <v/>
      </c>
      <c r="B1756" s="40" t="n"/>
      <c r="C1756" s="41" t="n"/>
      <c r="D1756" s="41" t="n"/>
      <c r="E1756" s="41" t="n"/>
      <c r="F1756" s="50" t="n"/>
      <c r="G1756" s="42" t="n"/>
      <c r="H1756" s="42" t="n"/>
      <c r="I1756" s="43">
        <f>IF($B1756="","",N($G1756)-N($H1756))</f>
        <v/>
      </c>
    </row>
    <row r="1757">
      <c r="A1757" s="39">
        <f>IF($B1757="","",COUNTA($B$4:$B1757))</f>
        <v/>
      </c>
      <c r="B1757" s="45" t="n"/>
      <c r="C1757" s="46" t="n"/>
      <c r="D1757" s="46" t="n"/>
      <c r="E1757" s="46" t="n"/>
      <c r="F1757" s="51" t="n"/>
      <c r="G1757" s="47" t="n"/>
      <c r="H1757" s="47" t="n"/>
      <c r="I1757" s="43">
        <f>IF($B1757="","",N($G1757)-N($H1757))</f>
        <v/>
      </c>
    </row>
    <row r="1758">
      <c r="A1758" s="39">
        <f>IF($B1758="","",COUNTA($B$4:$B1758))</f>
        <v/>
      </c>
      <c r="B1758" s="40" t="n"/>
      <c r="C1758" s="41" t="n"/>
      <c r="D1758" s="41" t="n"/>
      <c r="E1758" s="41" t="n"/>
      <c r="F1758" s="50" t="n"/>
      <c r="G1758" s="42" t="n"/>
      <c r="H1758" s="42" t="n"/>
      <c r="I1758" s="43">
        <f>IF($B1758="","",N($G1758)-N($H1758))</f>
        <v/>
      </c>
    </row>
    <row r="1759">
      <c r="A1759" s="39">
        <f>IF($B1759="","",COUNTA($B$4:$B1759))</f>
        <v/>
      </c>
      <c r="B1759" s="45" t="n"/>
      <c r="C1759" s="46" t="n"/>
      <c r="D1759" s="46" t="n"/>
      <c r="E1759" s="46" t="n"/>
      <c r="F1759" s="51" t="n"/>
      <c r="G1759" s="47" t="n"/>
      <c r="H1759" s="47" t="n"/>
      <c r="I1759" s="43">
        <f>IF($B1759="","",N($G1759)-N($H1759))</f>
        <v/>
      </c>
    </row>
    <row r="1760">
      <c r="A1760" s="39">
        <f>IF($B1760="","",COUNTA($B$4:$B1760))</f>
        <v/>
      </c>
      <c r="B1760" s="40" t="n"/>
      <c r="C1760" s="41" t="n"/>
      <c r="D1760" s="41" t="n"/>
      <c r="E1760" s="41" t="n"/>
      <c r="F1760" s="50" t="n"/>
      <c r="G1760" s="42" t="n"/>
      <c r="H1760" s="42" t="n"/>
      <c r="I1760" s="43">
        <f>IF($B1760="","",N($G1760)-N($H1760))</f>
        <v/>
      </c>
    </row>
    <row r="1761">
      <c r="A1761" s="39">
        <f>IF($B1761="","",COUNTA($B$4:$B1761))</f>
        <v/>
      </c>
      <c r="B1761" s="45" t="n"/>
      <c r="C1761" s="46" t="n"/>
      <c r="D1761" s="46" t="n"/>
      <c r="E1761" s="46" t="n"/>
      <c r="F1761" s="51" t="n"/>
      <c r="G1761" s="47" t="n"/>
      <c r="H1761" s="47" t="n"/>
      <c r="I1761" s="43">
        <f>IF($B1761="","",N($G1761)-N($H1761))</f>
        <v/>
      </c>
    </row>
    <row r="1762">
      <c r="A1762" s="39">
        <f>IF($B1762="","",COUNTA($B$4:$B1762))</f>
        <v/>
      </c>
      <c r="B1762" s="40" t="n"/>
      <c r="C1762" s="41" t="n"/>
      <c r="D1762" s="41" t="n"/>
      <c r="E1762" s="41" t="n"/>
      <c r="F1762" s="50" t="n"/>
      <c r="G1762" s="42" t="n"/>
      <c r="H1762" s="42" t="n"/>
      <c r="I1762" s="43">
        <f>IF($B1762="","",N($G1762)-N($H1762))</f>
        <v/>
      </c>
    </row>
    <row r="1763">
      <c r="A1763" s="39">
        <f>IF($B1763="","",COUNTA($B$4:$B1763))</f>
        <v/>
      </c>
      <c r="B1763" s="45" t="n"/>
      <c r="C1763" s="46" t="n"/>
      <c r="D1763" s="46" t="n"/>
      <c r="E1763" s="46" t="n"/>
      <c r="F1763" s="51" t="n"/>
      <c r="G1763" s="47" t="n"/>
      <c r="H1763" s="47" t="n"/>
      <c r="I1763" s="43">
        <f>IF($B1763="","",N($G1763)-N($H1763))</f>
        <v/>
      </c>
    </row>
    <row r="1764">
      <c r="A1764" s="39">
        <f>IF($B1764="","",COUNTA($B$4:$B1764))</f>
        <v/>
      </c>
      <c r="B1764" s="40" t="n"/>
      <c r="C1764" s="41" t="n"/>
      <c r="D1764" s="41" t="n"/>
      <c r="E1764" s="41" t="n"/>
      <c r="F1764" s="50" t="n"/>
      <c r="G1764" s="42" t="n"/>
      <c r="H1764" s="42" t="n"/>
      <c r="I1764" s="43">
        <f>IF($B1764="","",N($G1764)-N($H1764))</f>
        <v/>
      </c>
    </row>
    <row r="1765">
      <c r="A1765" s="39">
        <f>IF($B1765="","",COUNTA($B$4:$B1765))</f>
        <v/>
      </c>
      <c r="B1765" s="45" t="n"/>
      <c r="C1765" s="46" t="n"/>
      <c r="D1765" s="46" t="n"/>
      <c r="E1765" s="46" t="n"/>
      <c r="F1765" s="51" t="n"/>
      <c r="G1765" s="47" t="n"/>
      <c r="H1765" s="47" t="n"/>
      <c r="I1765" s="43">
        <f>IF($B1765="","",N($G1765)-N($H1765))</f>
        <v/>
      </c>
    </row>
    <row r="1766">
      <c r="A1766" s="39">
        <f>IF($B1766="","",COUNTA($B$4:$B1766))</f>
        <v/>
      </c>
      <c r="B1766" s="40" t="n"/>
      <c r="C1766" s="41" t="n"/>
      <c r="D1766" s="41" t="n"/>
      <c r="E1766" s="41" t="n"/>
      <c r="F1766" s="50" t="n"/>
      <c r="G1766" s="42" t="n"/>
      <c r="H1766" s="42" t="n"/>
      <c r="I1766" s="43">
        <f>IF($B1766="","",N($G1766)-N($H1766))</f>
        <v/>
      </c>
    </row>
    <row r="1767">
      <c r="A1767" s="39">
        <f>IF($B1767="","",COUNTA($B$4:$B1767))</f>
        <v/>
      </c>
      <c r="B1767" s="45" t="n"/>
      <c r="C1767" s="46" t="n"/>
      <c r="D1767" s="46" t="n"/>
      <c r="E1767" s="46" t="n"/>
      <c r="F1767" s="51" t="n"/>
      <c r="G1767" s="47" t="n"/>
      <c r="H1767" s="47" t="n"/>
      <c r="I1767" s="43">
        <f>IF($B1767="","",N($G1767)-N($H1767))</f>
        <v/>
      </c>
    </row>
    <row r="1768">
      <c r="A1768" s="39">
        <f>IF($B1768="","",COUNTA($B$4:$B1768))</f>
        <v/>
      </c>
      <c r="B1768" s="40" t="n"/>
      <c r="C1768" s="41" t="n"/>
      <c r="D1768" s="41" t="n"/>
      <c r="E1768" s="41" t="n"/>
      <c r="F1768" s="50" t="n"/>
      <c r="G1768" s="42" t="n"/>
      <c r="H1768" s="42" t="n"/>
      <c r="I1768" s="43">
        <f>IF($B1768="","",N($G1768)-N($H1768))</f>
        <v/>
      </c>
    </row>
    <row r="1769">
      <c r="A1769" s="39">
        <f>IF($B1769="","",COUNTA($B$4:$B1769))</f>
        <v/>
      </c>
      <c r="B1769" s="45" t="n"/>
      <c r="C1769" s="46" t="n"/>
      <c r="D1769" s="46" t="n"/>
      <c r="E1769" s="46" t="n"/>
      <c r="F1769" s="51" t="n"/>
      <c r="G1769" s="47" t="n"/>
      <c r="H1769" s="47" t="n"/>
      <c r="I1769" s="43">
        <f>IF($B1769="","",N($G1769)-N($H1769))</f>
        <v/>
      </c>
    </row>
    <row r="1770">
      <c r="A1770" s="39">
        <f>IF($B1770="","",COUNTA($B$4:$B1770))</f>
        <v/>
      </c>
      <c r="B1770" s="40" t="n"/>
      <c r="C1770" s="41" t="n"/>
      <c r="D1770" s="41" t="n"/>
      <c r="E1770" s="41" t="n"/>
      <c r="F1770" s="50" t="n"/>
      <c r="G1770" s="42" t="n"/>
      <c r="H1770" s="42" t="n"/>
      <c r="I1770" s="43">
        <f>IF($B1770="","",N($G1770)-N($H1770))</f>
        <v/>
      </c>
    </row>
    <row r="1771">
      <c r="A1771" s="39">
        <f>IF($B1771="","",COUNTA($B$4:$B1771))</f>
        <v/>
      </c>
      <c r="B1771" s="45" t="n"/>
      <c r="C1771" s="46" t="n"/>
      <c r="D1771" s="46" t="n"/>
      <c r="E1771" s="46" t="n"/>
      <c r="F1771" s="51" t="n"/>
      <c r="G1771" s="47" t="n"/>
      <c r="H1771" s="47" t="n"/>
      <c r="I1771" s="43">
        <f>IF($B1771="","",N($G1771)-N($H1771))</f>
        <v/>
      </c>
    </row>
    <row r="1772">
      <c r="A1772" s="39">
        <f>IF($B1772="","",COUNTA($B$4:$B1772))</f>
        <v/>
      </c>
      <c r="B1772" s="40" t="n"/>
      <c r="C1772" s="41" t="n"/>
      <c r="D1772" s="41" t="n"/>
      <c r="E1772" s="41" t="n"/>
      <c r="F1772" s="50" t="n"/>
      <c r="G1772" s="42" t="n"/>
      <c r="H1772" s="42" t="n"/>
      <c r="I1772" s="43">
        <f>IF($B1772="","",N($G1772)-N($H1772))</f>
        <v/>
      </c>
    </row>
    <row r="1773">
      <c r="A1773" s="39">
        <f>IF($B1773="","",COUNTA($B$4:$B1773))</f>
        <v/>
      </c>
      <c r="B1773" s="45" t="n"/>
      <c r="C1773" s="46" t="n"/>
      <c r="D1773" s="46" t="n"/>
      <c r="E1773" s="46" t="n"/>
      <c r="F1773" s="51" t="n"/>
      <c r="G1773" s="47" t="n"/>
      <c r="H1773" s="47" t="n"/>
      <c r="I1773" s="43">
        <f>IF($B1773="","",N($G1773)-N($H1773))</f>
        <v/>
      </c>
    </row>
    <row r="1774">
      <c r="A1774" s="39">
        <f>IF($B1774="","",COUNTA($B$4:$B1774))</f>
        <v/>
      </c>
      <c r="B1774" s="40" t="n"/>
      <c r="C1774" s="41" t="n"/>
      <c r="D1774" s="41" t="n"/>
      <c r="E1774" s="41" t="n"/>
      <c r="F1774" s="50" t="n"/>
      <c r="G1774" s="42" t="n"/>
      <c r="H1774" s="42" t="n"/>
      <c r="I1774" s="43">
        <f>IF($B1774="","",N($G1774)-N($H1774))</f>
        <v/>
      </c>
    </row>
    <row r="1775">
      <c r="A1775" s="39">
        <f>IF($B1775="","",COUNTA($B$4:$B1775))</f>
        <v/>
      </c>
      <c r="B1775" s="45" t="n"/>
      <c r="C1775" s="46" t="n"/>
      <c r="D1775" s="46" t="n"/>
      <c r="E1775" s="46" t="n"/>
      <c r="F1775" s="51" t="n"/>
      <c r="G1775" s="47" t="n"/>
      <c r="H1775" s="47" t="n"/>
      <c r="I1775" s="43">
        <f>IF($B1775="","",N($G1775)-N($H1775))</f>
        <v/>
      </c>
    </row>
    <row r="1776">
      <c r="A1776" s="39">
        <f>IF($B1776="","",COUNTA($B$4:$B1776))</f>
        <v/>
      </c>
      <c r="B1776" s="40" t="n"/>
      <c r="C1776" s="41" t="n"/>
      <c r="D1776" s="41" t="n"/>
      <c r="E1776" s="41" t="n"/>
      <c r="F1776" s="50" t="n"/>
      <c r="G1776" s="42" t="n"/>
      <c r="H1776" s="42" t="n"/>
      <c r="I1776" s="43">
        <f>IF($B1776="","",N($G1776)-N($H1776))</f>
        <v/>
      </c>
    </row>
    <row r="1777">
      <c r="A1777" s="39">
        <f>IF($B1777="","",COUNTA($B$4:$B1777))</f>
        <v/>
      </c>
      <c r="B1777" s="45" t="n"/>
      <c r="C1777" s="46" t="n"/>
      <c r="D1777" s="46" t="n"/>
      <c r="E1777" s="46" t="n"/>
      <c r="F1777" s="51" t="n"/>
      <c r="G1777" s="47" t="n"/>
      <c r="H1777" s="47" t="n"/>
      <c r="I1777" s="43">
        <f>IF($B1777="","",N($G1777)-N($H1777))</f>
        <v/>
      </c>
    </row>
    <row r="1778">
      <c r="A1778" s="39">
        <f>IF($B1778="","",COUNTA($B$4:$B1778))</f>
        <v/>
      </c>
      <c r="B1778" s="40" t="n"/>
      <c r="C1778" s="41" t="n"/>
      <c r="D1778" s="41" t="n"/>
      <c r="E1778" s="41" t="n"/>
      <c r="F1778" s="50" t="n"/>
      <c r="G1778" s="42" t="n"/>
      <c r="H1778" s="42" t="n"/>
      <c r="I1778" s="43">
        <f>IF($B1778="","",N($G1778)-N($H1778))</f>
        <v/>
      </c>
    </row>
    <row r="1779">
      <c r="A1779" s="39">
        <f>IF($B1779="","",COUNTA($B$4:$B1779))</f>
        <v/>
      </c>
      <c r="B1779" s="45" t="n"/>
      <c r="C1779" s="46" t="n"/>
      <c r="D1779" s="46" t="n"/>
      <c r="E1779" s="46" t="n"/>
      <c r="F1779" s="51" t="n"/>
      <c r="G1779" s="47" t="n"/>
      <c r="H1779" s="47" t="n"/>
      <c r="I1779" s="43">
        <f>IF($B1779="","",N($G1779)-N($H1779))</f>
        <v/>
      </c>
    </row>
    <row r="1780">
      <c r="A1780" s="39">
        <f>IF($B1780="","",COUNTA($B$4:$B1780))</f>
        <v/>
      </c>
      <c r="B1780" s="40" t="n"/>
      <c r="C1780" s="41" t="n"/>
      <c r="D1780" s="41" t="n"/>
      <c r="E1780" s="41" t="n"/>
      <c r="F1780" s="50" t="n"/>
      <c r="G1780" s="42" t="n"/>
      <c r="H1780" s="42" t="n"/>
      <c r="I1780" s="43">
        <f>IF($B1780="","",N($G1780)-N($H1780))</f>
        <v/>
      </c>
    </row>
    <row r="1781">
      <c r="A1781" s="39">
        <f>IF($B1781="","",COUNTA($B$4:$B1781))</f>
        <v/>
      </c>
      <c r="B1781" s="45" t="n"/>
      <c r="C1781" s="46" t="n"/>
      <c r="D1781" s="46" t="n"/>
      <c r="E1781" s="46" t="n"/>
      <c r="F1781" s="51" t="n"/>
      <c r="G1781" s="47" t="n"/>
      <c r="H1781" s="47" t="n"/>
      <c r="I1781" s="43">
        <f>IF($B1781="","",N($G1781)-N($H1781))</f>
        <v/>
      </c>
    </row>
    <row r="1782">
      <c r="A1782" s="39">
        <f>IF($B1782="","",COUNTA($B$4:$B1782))</f>
        <v/>
      </c>
      <c r="B1782" s="40" t="n"/>
      <c r="C1782" s="41" t="n"/>
      <c r="D1782" s="41" t="n"/>
      <c r="E1782" s="41" t="n"/>
      <c r="F1782" s="50" t="n"/>
      <c r="G1782" s="42" t="n"/>
      <c r="H1782" s="42" t="n"/>
      <c r="I1782" s="43">
        <f>IF($B1782="","",N($G1782)-N($H1782))</f>
        <v/>
      </c>
    </row>
    <row r="1783">
      <c r="A1783" s="39">
        <f>IF($B1783="","",COUNTA($B$4:$B1783))</f>
        <v/>
      </c>
      <c r="B1783" s="45" t="n"/>
      <c r="C1783" s="46" t="n"/>
      <c r="D1783" s="46" t="n"/>
      <c r="E1783" s="46" t="n"/>
      <c r="F1783" s="51" t="n"/>
      <c r="G1783" s="47" t="n"/>
      <c r="H1783" s="47" t="n"/>
      <c r="I1783" s="43">
        <f>IF($B1783="","",N($G1783)-N($H1783))</f>
        <v/>
      </c>
    </row>
    <row r="1784">
      <c r="A1784" s="39">
        <f>IF($B1784="","",COUNTA($B$4:$B1784))</f>
        <v/>
      </c>
      <c r="B1784" s="40" t="n"/>
      <c r="C1784" s="41" t="n"/>
      <c r="D1784" s="41" t="n"/>
      <c r="E1784" s="41" t="n"/>
      <c r="F1784" s="50" t="n"/>
      <c r="G1784" s="42" t="n"/>
      <c r="H1784" s="42" t="n"/>
      <c r="I1784" s="43">
        <f>IF($B1784="","",N($G1784)-N($H1784))</f>
        <v/>
      </c>
    </row>
    <row r="1785">
      <c r="A1785" s="39">
        <f>IF($B1785="","",COUNTA($B$4:$B1785))</f>
        <v/>
      </c>
      <c r="B1785" s="45" t="n"/>
      <c r="C1785" s="46" t="n"/>
      <c r="D1785" s="46" t="n"/>
      <c r="E1785" s="46" t="n"/>
      <c r="F1785" s="51" t="n"/>
      <c r="G1785" s="47" t="n"/>
      <c r="H1785" s="47" t="n"/>
      <c r="I1785" s="43">
        <f>IF($B1785="","",N($G1785)-N($H1785))</f>
        <v/>
      </c>
    </row>
    <row r="1786">
      <c r="A1786" s="39">
        <f>IF($B1786="","",COUNTA($B$4:$B1786))</f>
        <v/>
      </c>
      <c r="B1786" s="40" t="n"/>
      <c r="C1786" s="41" t="n"/>
      <c r="D1786" s="41" t="n"/>
      <c r="E1786" s="41" t="n"/>
      <c r="F1786" s="50" t="n"/>
      <c r="G1786" s="42" t="n"/>
      <c r="H1786" s="42" t="n"/>
      <c r="I1786" s="43">
        <f>IF($B1786="","",N($G1786)-N($H1786))</f>
        <v/>
      </c>
    </row>
    <row r="1787">
      <c r="A1787" s="39">
        <f>IF($B1787="","",COUNTA($B$4:$B1787))</f>
        <v/>
      </c>
      <c r="B1787" s="45" t="n"/>
      <c r="C1787" s="46" t="n"/>
      <c r="D1787" s="46" t="n"/>
      <c r="E1787" s="46" t="n"/>
      <c r="F1787" s="51" t="n"/>
      <c r="G1787" s="47" t="n"/>
      <c r="H1787" s="47" t="n"/>
      <c r="I1787" s="43">
        <f>IF($B1787="","",N($G1787)-N($H1787))</f>
        <v/>
      </c>
    </row>
    <row r="1788">
      <c r="A1788" s="39">
        <f>IF($B1788="","",COUNTA($B$4:$B1788))</f>
        <v/>
      </c>
      <c r="B1788" s="40" t="n"/>
      <c r="C1788" s="41" t="n"/>
      <c r="D1788" s="41" t="n"/>
      <c r="E1788" s="41" t="n"/>
      <c r="F1788" s="50" t="n"/>
      <c r="G1788" s="42" t="n"/>
      <c r="H1788" s="42" t="n"/>
      <c r="I1788" s="43">
        <f>IF($B1788="","",N($G1788)-N($H1788))</f>
        <v/>
      </c>
    </row>
    <row r="1789">
      <c r="A1789" s="39">
        <f>IF($B1789="","",COUNTA($B$4:$B1789))</f>
        <v/>
      </c>
      <c r="B1789" s="45" t="n"/>
      <c r="C1789" s="46" t="n"/>
      <c r="D1789" s="46" t="n"/>
      <c r="E1789" s="46" t="n"/>
      <c r="F1789" s="51" t="n"/>
      <c r="G1789" s="47" t="n"/>
      <c r="H1789" s="47" t="n"/>
      <c r="I1789" s="43">
        <f>IF($B1789="","",N($G1789)-N($H1789))</f>
        <v/>
      </c>
    </row>
    <row r="1790">
      <c r="A1790" s="39">
        <f>IF($B1790="","",COUNTA($B$4:$B1790))</f>
        <v/>
      </c>
      <c r="B1790" s="40" t="n"/>
      <c r="C1790" s="41" t="n"/>
      <c r="D1790" s="41" t="n"/>
      <c r="E1790" s="41" t="n"/>
      <c r="F1790" s="50" t="n"/>
      <c r="G1790" s="42" t="n"/>
      <c r="H1790" s="42" t="n"/>
      <c r="I1790" s="43">
        <f>IF($B1790="","",N($G1790)-N($H1790))</f>
        <v/>
      </c>
    </row>
    <row r="1791">
      <c r="A1791" s="39">
        <f>IF($B1791="","",COUNTA($B$4:$B1791))</f>
        <v/>
      </c>
      <c r="B1791" s="45" t="n"/>
      <c r="C1791" s="46" t="n"/>
      <c r="D1791" s="46" t="n"/>
      <c r="E1791" s="46" t="n"/>
      <c r="F1791" s="51" t="n"/>
      <c r="G1791" s="47" t="n"/>
      <c r="H1791" s="47" t="n"/>
      <c r="I1791" s="43">
        <f>IF($B1791="","",N($G1791)-N($H1791))</f>
        <v/>
      </c>
    </row>
    <row r="1792">
      <c r="A1792" s="39">
        <f>IF($B1792="","",COUNTA($B$4:$B1792))</f>
        <v/>
      </c>
      <c r="B1792" s="40" t="n"/>
      <c r="C1792" s="41" t="n"/>
      <c r="D1792" s="41" t="n"/>
      <c r="E1792" s="41" t="n"/>
      <c r="F1792" s="50" t="n"/>
      <c r="G1792" s="42" t="n"/>
      <c r="H1792" s="42" t="n"/>
      <c r="I1792" s="43">
        <f>IF($B1792="","",N($G1792)-N($H1792))</f>
        <v/>
      </c>
    </row>
    <row r="1793">
      <c r="A1793" s="39">
        <f>IF($B1793="","",COUNTA($B$4:$B1793))</f>
        <v/>
      </c>
      <c r="B1793" s="45" t="n"/>
      <c r="C1793" s="46" t="n"/>
      <c r="D1793" s="46" t="n"/>
      <c r="E1793" s="46" t="n"/>
      <c r="F1793" s="51" t="n"/>
      <c r="G1793" s="47" t="n"/>
      <c r="H1793" s="47" t="n"/>
      <c r="I1793" s="43">
        <f>IF($B1793="","",N($G1793)-N($H1793))</f>
        <v/>
      </c>
    </row>
    <row r="1794">
      <c r="A1794" s="39">
        <f>IF($B1794="","",COUNTA($B$4:$B1794))</f>
        <v/>
      </c>
      <c r="B1794" s="40" t="n"/>
      <c r="C1794" s="41" t="n"/>
      <c r="D1794" s="41" t="n"/>
      <c r="E1794" s="41" t="n"/>
      <c r="F1794" s="50" t="n"/>
      <c r="G1794" s="42" t="n"/>
      <c r="H1794" s="42" t="n"/>
      <c r="I1794" s="43">
        <f>IF($B1794="","",N($G1794)-N($H1794))</f>
        <v/>
      </c>
    </row>
    <row r="1795">
      <c r="A1795" s="39">
        <f>IF($B1795="","",COUNTA($B$4:$B1795))</f>
        <v/>
      </c>
      <c r="B1795" s="45" t="n"/>
      <c r="C1795" s="46" t="n"/>
      <c r="D1795" s="46" t="n"/>
      <c r="E1795" s="46" t="n"/>
      <c r="F1795" s="51" t="n"/>
      <c r="G1795" s="47" t="n"/>
      <c r="H1795" s="47" t="n"/>
      <c r="I1795" s="43">
        <f>IF($B1795="","",N($G1795)-N($H1795))</f>
        <v/>
      </c>
    </row>
    <row r="1796">
      <c r="A1796" s="39">
        <f>IF($B1796="","",COUNTA($B$4:$B1796))</f>
        <v/>
      </c>
      <c r="B1796" s="40" t="n"/>
      <c r="C1796" s="41" t="n"/>
      <c r="D1796" s="41" t="n"/>
      <c r="E1796" s="41" t="n"/>
      <c r="F1796" s="50" t="n"/>
      <c r="G1796" s="42" t="n"/>
      <c r="H1796" s="42" t="n"/>
      <c r="I1796" s="43">
        <f>IF($B1796="","",N($G1796)-N($H1796))</f>
        <v/>
      </c>
    </row>
    <row r="1797">
      <c r="A1797" s="39">
        <f>IF($B1797="","",COUNTA($B$4:$B1797))</f>
        <v/>
      </c>
      <c r="B1797" s="45" t="n"/>
      <c r="C1797" s="46" t="n"/>
      <c r="D1797" s="46" t="n"/>
      <c r="E1797" s="46" t="n"/>
      <c r="F1797" s="51" t="n"/>
      <c r="G1797" s="47" t="n"/>
      <c r="H1797" s="47" t="n"/>
      <c r="I1797" s="43">
        <f>IF($B1797="","",N($G1797)-N($H1797))</f>
        <v/>
      </c>
    </row>
    <row r="1798">
      <c r="A1798" s="39">
        <f>IF($B1798="","",COUNTA($B$4:$B1798))</f>
        <v/>
      </c>
      <c r="B1798" s="40" t="n"/>
      <c r="C1798" s="41" t="n"/>
      <c r="D1798" s="41" t="n"/>
      <c r="E1798" s="41" t="n"/>
      <c r="F1798" s="50" t="n"/>
      <c r="G1798" s="42" t="n"/>
      <c r="H1798" s="42" t="n"/>
      <c r="I1798" s="43">
        <f>IF($B1798="","",N($G1798)-N($H1798))</f>
        <v/>
      </c>
    </row>
    <row r="1799">
      <c r="A1799" s="39">
        <f>IF($B1799="","",COUNTA($B$4:$B1799))</f>
        <v/>
      </c>
      <c r="B1799" s="45" t="n"/>
      <c r="C1799" s="46" t="n"/>
      <c r="D1799" s="46" t="n"/>
      <c r="E1799" s="46" t="n"/>
      <c r="F1799" s="51" t="n"/>
      <c r="G1799" s="47" t="n"/>
      <c r="H1799" s="47" t="n"/>
      <c r="I1799" s="43">
        <f>IF($B1799="","",N($G1799)-N($H1799))</f>
        <v/>
      </c>
    </row>
    <row r="1800">
      <c r="A1800" s="39">
        <f>IF($B1800="","",COUNTA($B$4:$B1800))</f>
        <v/>
      </c>
      <c r="B1800" s="40" t="n"/>
      <c r="C1800" s="41" t="n"/>
      <c r="D1800" s="41" t="n"/>
      <c r="E1800" s="41" t="n"/>
      <c r="F1800" s="50" t="n"/>
      <c r="G1800" s="42" t="n"/>
      <c r="H1800" s="42" t="n"/>
      <c r="I1800" s="43">
        <f>IF($B1800="","",N($G1800)-N($H1800))</f>
        <v/>
      </c>
    </row>
    <row r="1801">
      <c r="A1801" s="39">
        <f>IF($B1801="","",COUNTA($B$4:$B1801))</f>
        <v/>
      </c>
      <c r="B1801" s="45" t="n"/>
      <c r="C1801" s="46" t="n"/>
      <c r="D1801" s="46" t="n"/>
      <c r="E1801" s="46" t="n"/>
      <c r="F1801" s="51" t="n"/>
      <c r="G1801" s="47" t="n"/>
      <c r="H1801" s="47" t="n"/>
      <c r="I1801" s="43">
        <f>IF($B1801="","",N($G1801)-N($H1801))</f>
        <v/>
      </c>
    </row>
    <row r="1802">
      <c r="A1802" s="39">
        <f>IF($B1802="","",COUNTA($B$4:$B1802))</f>
        <v/>
      </c>
      <c r="B1802" s="40" t="n"/>
      <c r="C1802" s="41" t="n"/>
      <c r="D1802" s="41" t="n"/>
      <c r="E1802" s="41" t="n"/>
      <c r="F1802" s="50" t="n"/>
      <c r="G1802" s="42" t="n"/>
      <c r="H1802" s="42" t="n"/>
      <c r="I1802" s="43">
        <f>IF($B1802="","",N($G1802)-N($H1802))</f>
        <v/>
      </c>
    </row>
    <row r="1803">
      <c r="A1803" s="39">
        <f>IF($B1803="","",COUNTA($B$4:$B1803))</f>
        <v/>
      </c>
      <c r="B1803" s="45" t="n"/>
      <c r="C1803" s="46" t="n"/>
      <c r="D1803" s="46" t="n"/>
      <c r="E1803" s="46" t="n"/>
      <c r="F1803" s="51" t="n"/>
      <c r="G1803" s="47" t="n"/>
      <c r="H1803" s="47" t="n"/>
      <c r="I1803" s="43">
        <f>IF($B1803="","",N($G1803)-N($H1803))</f>
        <v/>
      </c>
    </row>
    <row r="1804">
      <c r="A1804" s="39">
        <f>IF($B1804="","",COUNTA($B$4:$B1804))</f>
        <v/>
      </c>
      <c r="B1804" s="40" t="n"/>
      <c r="C1804" s="41" t="n"/>
      <c r="D1804" s="41" t="n"/>
      <c r="E1804" s="41" t="n"/>
      <c r="F1804" s="50" t="n"/>
      <c r="G1804" s="42" t="n"/>
      <c r="H1804" s="42" t="n"/>
      <c r="I1804" s="43">
        <f>IF($B1804="","",N($G1804)-N($H1804))</f>
        <v/>
      </c>
    </row>
    <row r="1805">
      <c r="A1805" s="39">
        <f>IF($B1805="","",COUNTA($B$4:$B1805))</f>
        <v/>
      </c>
      <c r="B1805" s="45" t="n"/>
      <c r="C1805" s="46" t="n"/>
      <c r="D1805" s="46" t="n"/>
      <c r="E1805" s="46" t="n"/>
      <c r="F1805" s="51" t="n"/>
      <c r="G1805" s="47" t="n"/>
      <c r="H1805" s="47" t="n"/>
      <c r="I1805" s="43">
        <f>IF($B1805="","",N($G1805)-N($H1805))</f>
        <v/>
      </c>
    </row>
    <row r="1806">
      <c r="A1806" s="39">
        <f>IF($B1806="","",COUNTA($B$4:$B1806))</f>
        <v/>
      </c>
      <c r="B1806" s="40" t="n"/>
      <c r="C1806" s="41" t="n"/>
      <c r="D1806" s="41" t="n"/>
      <c r="E1806" s="41" t="n"/>
      <c r="F1806" s="50" t="n"/>
      <c r="G1806" s="42" t="n"/>
      <c r="H1806" s="42" t="n"/>
      <c r="I1806" s="43">
        <f>IF($B1806="","",N($G1806)-N($H1806))</f>
        <v/>
      </c>
    </row>
    <row r="1807">
      <c r="A1807" s="39">
        <f>IF($B1807="","",COUNTA($B$4:$B1807))</f>
        <v/>
      </c>
      <c r="B1807" s="45" t="n"/>
      <c r="C1807" s="46" t="n"/>
      <c r="D1807" s="46" t="n"/>
      <c r="E1807" s="46" t="n"/>
      <c r="F1807" s="51" t="n"/>
      <c r="G1807" s="47" t="n"/>
      <c r="H1807" s="47" t="n"/>
      <c r="I1807" s="43">
        <f>IF($B1807="","",N($G1807)-N($H1807))</f>
        <v/>
      </c>
    </row>
    <row r="1808">
      <c r="A1808" s="39">
        <f>IF($B1808="","",COUNTA($B$4:$B1808))</f>
        <v/>
      </c>
      <c r="B1808" s="40" t="n"/>
      <c r="C1808" s="41" t="n"/>
      <c r="D1808" s="41" t="n"/>
      <c r="E1808" s="41" t="n"/>
      <c r="F1808" s="50" t="n"/>
      <c r="G1808" s="42" t="n"/>
      <c r="H1808" s="42" t="n"/>
      <c r="I1808" s="43">
        <f>IF($B1808="","",N($G1808)-N($H1808))</f>
        <v/>
      </c>
    </row>
    <row r="1809">
      <c r="A1809" s="39">
        <f>IF($B1809="","",COUNTA($B$4:$B1809))</f>
        <v/>
      </c>
      <c r="B1809" s="45" t="n"/>
      <c r="C1809" s="46" t="n"/>
      <c r="D1809" s="46" t="n"/>
      <c r="E1809" s="46" t="n"/>
      <c r="F1809" s="51" t="n"/>
      <c r="G1809" s="47" t="n"/>
      <c r="H1809" s="47" t="n"/>
      <c r="I1809" s="43">
        <f>IF($B1809="","",N($G1809)-N($H1809))</f>
        <v/>
      </c>
    </row>
    <row r="1810">
      <c r="A1810" s="39">
        <f>IF($B1810="","",COUNTA($B$4:$B1810))</f>
        <v/>
      </c>
      <c r="B1810" s="40" t="n"/>
      <c r="C1810" s="41" t="n"/>
      <c r="D1810" s="41" t="n"/>
      <c r="E1810" s="41" t="n"/>
      <c r="F1810" s="50" t="n"/>
      <c r="G1810" s="42" t="n"/>
      <c r="H1810" s="42" t="n"/>
      <c r="I1810" s="43">
        <f>IF($B1810="","",N($G1810)-N($H1810))</f>
        <v/>
      </c>
    </row>
    <row r="1811">
      <c r="A1811" s="39">
        <f>IF($B1811="","",COUNTA($B$4:$B1811))</f>
        <v/>
      </c>
      <c r="B1811" s="45" t="n"/>
      <c r="C1811" s="46" t="n"/>
      <c r="D1811" s="46" t="n"/>
      <c r="E1811" s="46" t="n"/>
      <c r="F1811" s="51" t="n"/>
      <c r="G1811" s="47" t="n"/>
      <c r="H1811" s="47" t="n"/>
      <c r="I1811" s="43">
        <f>IF($B1811="","",N($G1811)-N($H1811))</f>
        <v/>
      </c>
    </row>
    <row r="1812">
      <c r="A1812" s="39">
        <f>IF($B1812="","",COUNTA($B$4:$B1812))</f>
        <v/>
      </c>
      <c r="B1812" s="40" t="n"/>
      <c r="C1812" s="41" t="n"/>
      <c r="D1812" s="41" t="n"/>
      <c r="E1812" s="41" t="n"/>
      <c r="F1812" s="50" t="n"/>
      <c r="G1812" s="42" t="n"/>
      <c r="H1812" s="42" t="n"/>
      <c r="I1812" s="43">
        <f>IF($B1812="","",N($G1812)-N($H1812))</f>
        <v/>
      </c>
    </row>
    <row r="1813">
      <c r="A1813" s="39">
        <f>IF($B1813="","",COUNTA($B$4:$B1813))</f>
        <v/>
      </c>
      <c r="B1813" s="45" t="n"/>
      <c r="C1813" s="46" t="n"/>
      <c r="D1813" s="46" t="n"/>
      <c r="E1813" s="46" t="n"/>
      <c r="F1813" s="51" t="n"/>
      <c r="G1813" s="47" t="n"/>
      <c r="H1813" s="47" t="n"/>
      <c r="I1813" s="43">
        <f>IF($B1813="","",N($G1813)-N($H1813))</f>
        <v/>
      </c>
    </row>
    <row r="1814">
      <c r="A1814" s="39">
        <f>IF($B1814="","",COUNTA($B$4:$B1814))</f>
        <v/>
      </c>
      <c r="B1814" s="40" t="n"/>
      <c r="C1814" s="41" t="n"/>
      <c r="D1814" s="41" t="n"/>
      <c r="E1814" s="41" t="n"/>
      <c r="F1814" s="50" t="n"/>
      <c r="G1814" s="42" t="n"/>
      <c r="H1814" s="42" t="n"/>
      <c r="I1814" s="43">
        <f>IF($B1814="","",N($G1814)-N($H1814))</f>
        <v/>
      </c>
    </row>
    <row r="1815">
      <c r="A1815" s="39">
        <f>IF($B1815="","",COUNTA($B$4:$B1815))</f>
        <v/>
      </c>
      <c r="B1815" s="45" t="n"/>
      <c r="C1815" s="46" t="n"/>
      <c r="D1815" s="46" t="n"/>
      <c r="E1815" s="46" t="n"/>
      <c r="F1815" s="51" t="n"/>
      <c r="G1815" s="47" t="n"/>
      <c r="H1815" s="47" t="n"/>
      <c r="I1815" s="43">
        <f>IF($B1815="","",N($G1815)-N($H1815))</f>
        <v/>
      </c>
    </row>
    <row r="1816">
      <c r="A1816" s="39">
        <f>IF($B1816="","",COUNTA($B$4:$B1816))</f>
        <v/>
      </c>
      <c r="B1816" s="40" t="n"/>
      <c r="C1816" s="41" t="n"/>
      <c r="D1816" s="41" t="n"/>
      <c r="E1816" s="41" t="n"/>
      <c r="F1816" s="50" t="n"/>
      <c r="G1816" s="42" t="n"/>
      <c r="H1816" s="42" t="n"/>
      <c r="I1816" s="43">
        <f>IF($B1816="","",N($G1816)-N($H1816))</f>
        <v/>
      </c>
    </row>
    <row r="1817">
      <c r="A1817" s="39">
        <f>IF($B1817="","",COUNTA($B$4:$B1817))</f>
        <v/>
      </c>
      <c r="B1817" s="45" t="n"/>
      <c r="C1817" s="46" t="n"/>
      <c r="D1817" s="46" t="n"/>
      <c r="E1817" s="46" t="n"/>
      <c r="F1817" s="51" t="n"/>
      <c r="G1817" s="47" t="n"/>
      <c r="H1817" s="47" t="n"/>
      <c r="I1817" s="43">
        <f>IF($B1817="","",N($G1817)-N($H1817))</f>
        <v/>
      </c>
    </row>
    <row r="1818">
      <c r="A1818" s="39">
        <f>IF($B1818="","",COUNTA($B$4:$B1818))</f>
        <v/>
      </c>
      <c r="B1818" s="40" t="n"/>
      <c r="C1818" s="41" t="n"/>
      <c r="D1818" s="41" t="n"/>
      <c r="E1818" s="41" t="n"/>
      <c r="F1818" s="50" t="n"/>
      <c r="G1818" s="42" t="n"/>
      <c r="H1818" s="42" t="n"/>
      <c r="I1818" s="43">
        <f>IF($B1818="","",N($G1818)-N($H1818))</f>
        <v/>
      </c>
    </row>
    <row r="1819">
      <c r="A1819" s="39">
        <f>IF($B1819="","",COUNTA($B$4:$B1819))</f>
        <v/>
      </c>
      <c r="B1819" s="45" t="n"/>
      <c r="C1819" s="46" t="n"/>
      <c r="D1819" s="46" t="n"/>
      <c r="E1819" s="46" t="n"/>
      <c r="F1819" s="51" t="n"/>
      <c r="G1819" s="47" t="n"/>
      <c r="H1819" s="47" t="n"/>
      <c r="I1819" s="43">
        <f>IF($B1819="","",N($G1819)-N($H1819))</f>
        <v/>
      </c>
    </row>
    <row r="1820">
      <c r="A1820" s="39">
        <f>IF($B1820="","",COUNTA($B$4:$B1820))</f>
        <v/>
      </c>
      <c r="B1820" s="40" t="n"/>
      <c r="C1820" s="41" t="n"/>
      <c r="D1820" s="41" t="n"/>
      <c r="E1820" s="41" t="n"/>
      <c r="F1820" s="50" t="n"/>
      <c r="G1820" s="42" t="n"/>
      <c r="H1820" s="42" t="n"/>
      <c r="I1820" s="43">
        <f>IF($B1820="","",N($G1820)-N($H1820))</f>
        <v/>
      </c>
    </row>
    <row r="1821">
      <c r="A1821" s="39">
        <f>IF($B1821="","",COUNTA($B$4:$B1821))</f>
        <v/>
      </c>
      <c r="B1821" s="45" t="n"/>
      <c r="C1821" s="46" t="n"/>
      <c r="D1821" s="46" t="n"/>
      <c r="E1821" s="46" t="n"/>
      <c r="F1821" s="51" t="n"/>
      <c r="G1821" s="47" t="n"/>
      <c r="H1821" s="47" t="n"/>
      <c r="I1821" s="43">
        <f>IF($B1821="","",N($G1821)-N($H1821))</f>
        <v/>
      </c>
    </row>
    <row r="1822">
      <c r="A1822" s="39">
        <f>IF($B1822="","",COUNTA($B$4:$B1822))</f>
        <v/>
      </c>
      <c r="B1822" s="40" t="n"/>
      <c r="C1822" s="41" t="n"/>
      <c r="D1822" s="41" t="n"/>
      <c r="E1822" s="41" t="n"/>
      <c r="F1822" s="50" t="n"/>
      <c r="G1822" s="42" t="n"/>
      <c r="H1822" s="42" t="n"/>
      <c r="I1822" s="43">
        <f>IF($B1822="","",N($G1822)-N($H1822))</f>
        <v/>
      </c>
    </row>
    <row r="1823">
      <c r="A1823" s="39">
        <f>IF($B1823="","",COUNTA($B$4:$B1823))</f>
        <v/>
      </c>
      <c r="B1823" s="45" t="n"/>
      <c r="C1823" s="46" t="n"/>
      <c r="D1823" s="46" t="n"/>
      <c r="E1823" s="46" t="n"/>
      <c r="F1823" s="51" t="n"/>
      <c r="G1823" s="47" t="n"/>
      <c r="H1823" s="47" t="n"/>
      <c r="I1823" s="43">
        <f>IF($B1823="","",N($G1823)-N($H1823))</f>
        <v/>
      </c>
    </row>
    <row r="1824">
      <c r="A1824" s="39">
        <f>IF($B1824="","",COUNTA($B$4:$B1824))</f>
        <v/>
      </c>
      <c r="B1824" s="40" t="n"/>
      <c r="C1824" s="41" t="n"/>
      <c r="D1824" s="41" t="n"/>
      <c r="E1824" s="41" t="n"/>
      <c r="F1824" s="50" t="n"/>
      <c r="G1824" s="42" t="n"/>
      <c r="H1824" s="42" t="n"/>
      <c r="I1824" s="43">
        <f>IF($B1824="","",N($G1824)-N($H1824))</f>
        <v/>
      </c>
    </row>
    <row r="1825">
      <c r="A1825" s="39">
        <f>IF($B1825="","",COUNTA($B$4:$B1825))</f>
        <v/>
      </c>
      <c r="B1825" s="45" t="n"/>
      <c r="C1825" s="46" t="n"/>
      <c r="D1825" s="46" t="n"/>
      <c r="E1825" s="46" t="n"/>
      <c r="F1825" s="51" t="n"/>
      <c r="G1825" s="47" t="n"/>
      <c r="H1825" s="47" t="n"/>
      <c r="I1825" s="43">
        <f>IF($B1825="","",N($G1825)-N($H1825))</f>
        <v/>
      </c>
    </row>
    <row r="1826">
      <c r="A1826" s="39">
        <f>IF($B1826="","",COUNTA($B$4:$B1826))</f>
        <v/>
      </c>
      <c r="B1826" s="40" t="n"/>
      <c r="C1826" s="41" t="n"/>
      <c r="D1826" s="41" t="n"/>
      <c r="E1826" s="41" t="n"/>
      <c r="F1826" s="50" t="n"/>
      <c r="G1826" s="42" t="n"/>
      <c r="H1826" s="42" t="n"/>
      <c r="I1826" s="43">
        <f>IF($B1826="","",N($G1826)-N($H1826))</f>
        <v/>
      </c>
    </row>
    <row r="1827">
      <c r="A1827" s="39">
        <f>IF($B1827="","",COUNTA($B$4:$B1827))</f>
        <v/>
      </c>
      <c r="B1827" s="45" t="n"/>
      <c r="C1827" s="46" t="n"/>
      <c r="D1827" s="46" t="n"/>
      <c r="E1827" s="46" t="n"/>
      <c r="F1827" s="51" t="n"/>
      <c r="G1827" s="47" t="n"/>
      <c r="H1827" s="47" t="n"/>
      <c r="I1827" s="43">
        <f>IF($B1827="","",N($G1827)-N($H1827))</f>
        <v/>
      </c>
    </row>
    <row r="1828">
      <c r="A1828" s="39">
        <f>IF($B1828="","",COUNTA($B$4:$B1828))</f>
        <v/>
      </c>
      <c r="B1828" s="40" t="n"/>
      <c r="C1828" s="41" t="n"/>
      <c r="D1828" s="41" t="n"/>
      <c r="E1828" s="41" t="n"/>
      <c r="F1828" s="50" t="n"/>
      <c r="G1828" s="42" t="n"/>
      <c r="H1828" s="42" t="n"/>
      <c r="I1828" s="43">
        <f>IF($B1828="","",N($G1828)-N($H1828))</f>
        <v/>
      </c>
    </row>
    <row r="1829">
      <c r="A1829" s="39">
        <f>IF($B1829="","",COUNTA($B$4:$B1829))</f>
        <v/>
      </c>
      <c r="B1829" s="45" t="n"/>
      <c r="C1829" s="46" t="n"/>
      <c r="D1829" s="46" t="n"/>
      <c r="E1829" s="46" t="n"/>
      <c r="F1829" s="51" t="n"/>
      <c r="G1829" s="47" t="n"/>
      <c r="H1829" s="47" t="n"/>
      <c r="I1829" s="43">
        <f>IF($B1829="","",N($G1829)-N($H1829))</f>
        <v/>
      </c>
    </row>
    <row r="1830">
      <c r="A1830" s="39">
        <f>IF($B1830="","",COUNTA($B$4:$B1830))</f>
        <v/>
      </c>
      <c r="B1830" s="40" t="n"/>
      <c r="C1830" s="41" t="n"/>
      <c r="D1830" s="41" t="n"/>
      <c r="E1830" s="41" t="n"/>
      <c r="F1830" s="50" t="n"/>
      <c r="G1830" s="42" t="n"/>
      <c r="H1830" s="42" t="n"/>
      <c r="I1830" s="43">
        <f>IF($B1830="","",N($G1830)-N($H1830))</f>
        <v/>
      </c>
    </row>
    <row r="1831">
      <c r="A1831" s="39">
        <f>IF($B1831="","",COUNTA($B$4:$B1831))</f>
        <v/>
      </c>
      <c r="B1831" s="45" t="n"/>
      <c r="C1831" s="46" t="n"/>
      <c r="D1831" s="46" t="n"/>
      <c r="E1831" s="46" t="n"/>
      <c r="F1831" s="51" t="n"/>
      <c r="G1831" s="47" t="n"/>
      <c r="H1831" s="47" t="n"/>
      <c r="I1831" s="43">
        <f>IF($B1831="","",N($G1831)-N($H1831))</f>
        <v/>
      </c>
    </row>
    <row r="1832">
      <c r="A1832" s="39">
        <f>IF($B1832="","",COUNTA($B$4:$B1832))</f>
        <v/>
      </c>
      <c r="B1832" s="40" t="n"/>
      <c r="C1832" s="41" t="n"/>
      <c r="D1832" s="41" t="n"/>
      <c r="E1832" s="41" t="n"/>
      <c r="F1832" s="50" t="n"/>
      <c r="G1832" s="42" t="n"/>
      <c r="H1832" s="42" t="n"/>
      <c r="I1832" s="43">
        <f>IF($B1832="","",N($G1832)-N($H1832))</f>
        <v/>
      </c>
    </row>
    <row r="1833">
      <c r="A1833" s="39">
        <f>IF($B1833="","",COUNTA($B$4:$B1833))</f>
        <v/>
      </c>
      <c r="B1833" s="45" t="n"/>
      <c r="C1833" s="46" t="n"/>
      <c r="D1833" s="46" t="n"/>
      <c r="E1833" s="46" t="n"/>
      <c r="F1833" s="51" t="n"/>
      <c r="G1833" s="47" t="n"/>
      <c r="H1833" s="47" t="n"/>
      <c r="I1833" s="43">
        <f>IF($B1833="","",N($G1833)-N($H1833))</f>
        <v/>
      </c>
    </row>
    <row r="1834">
      <c r="A1834" s="39">
        <f>IF($B1834="","",COUNTA($B$4:$B1834))</f>
        <v/>
      </c>
      <c r="B1834" s="40" t="n"/>
      <c r="C1834" s="41" t="n"/>
      <c r="D1834" s="41" t="n"/>
      <c r="E1834" s="41" t="n"/>
      <c r="F1834" s="50" t="n"/>
      <c r="G1834" s="42" t="n"/>
      <c r="H1834" s="42" t="n"/>
      <c r="I1834" s="43">
        <f>IF($B1834="","",N($G1834)-N($H1834))</f>
        <v/>
      </c>
    </row>
    <row r="1835">
      <c r="A1835" s="39">
        <f>IF($B1835="","",COUNTA($B$4:$B1835))</f>
        <v/>
      </c>
      <c r="B1835" s="45" t="n"/>
      <c r="C1835" s="46" t="n"/>
      <c r="D1835" s="46" t="n"/>
      <c r="E1835" s="46" t="n"/>
      <c r="F1835" s="51" t="n"/>
      <c r="G1835" s="47" t="n"/>
      <c r="H1835" s="47" t="n"/>
      <c r="I1835" s="43">
        <f>IF($B1835="","",N($G1835)-N($H1835))</f>
        <v/>
      </c>
    </row>
    <row r="1836">
      <c r="A1836" s="39">
        <f>IF($B1836="","",COUNTA($B$4:$B1836))</f>
        <v/>
      </c>
      <c r="B1836" s="40" t="n"/>
      <c r="C1836" s="41" t="n"/>
      <c r="D1836" s="41" t="n"/>
      <c r="E1836" s="41" t="n"/>
      <c r="F1836" s="50" t="n"/>
      <c r="G1836" s="42" t="n"/>
      <c r="H1836" s="42" t="n"/>
      <c r="I1836" s="43">
        <f>IF($B1836="","",N($G1836)-N($H1836))</f>
        <v/>
      </c>
    </row>
    <row r="1837">
      <c r="A1837" s="39">
        <f>IF($B1837="","",COUNTA($B$4:$B1837))</f>
        <v/>
      </c>
      <c r="B1837" s="45" t="n"/>
      <c r="C1837" s="46" t="n"/>
      <c r="D1837" s="46" t="n"/>
      <c r="E1837" s="46" t="n"/>
      <c r="F1837" s="51" t="n"/>
      <c r="G1837" s="47" t="n"/>
      <c r="H1837" s="47" t="n"/>
      <c r="I1837" s="43">
        <f>IF($B1837="","",N($G1837)-N($H1837))</f>
        <v/>
      </c>
    </row>
    <row r="1838">
      <c r="A1838" s="39">
        <f>IF($B1838="","",COUNTA($B$4:$B1838))</f>
        <v/>
      </c>
      <c r="B1838" s="40" t="n"/>
      <c r="C1838" s="41" t="n"/>
      <c r="D1838" s="41" t="n"/>
      <c r="E1838" s="41" t="n"/>
      <c r="F1838" s="50" t="n"/>
      <c r="G1838" s="42" t="n"/>
      <c r="H1838" s="42" t="n"/>
      <c r="I1838" s="43">
        <f>IF($B1838="","",N($G1838)-N($H1838))</f>
        <v/>
      </c>
    </row>
    <row r="1839">
      <c r="A1839" s="39">
        <f>IF($B1839="","",COUNTA($B$4:$B1839))</f>
        <v/>
      </c>
      <c r="B1839" s="45" t="n"/>
      <c r="C1839" s="46" t="n"/>
      <c r="D1839" s="46" t="n"/>
      <c r="E1839" s="46" t="n"/>
      <c r="F1839" s="51" t="n"/>
      <c r="G1839" s="47" t="n"/>
      <c r="H1839" s="47" t="n"/>
      <c r="I1839" s="43">
        <f>IF($B1839="","",N($G1839)-N($H1839))</f>
        <v/>
      </c>
    </row>
    <row r="1840">
      <c r="A1840" s="39">
        <f>IF($B1840="","",COUNTA($B$4:$B1840))</f>
        <v/>
      </c>
      <c r="B1840" s="40" t="n"/>
      <c r="C1840" s="41" t="n"/>
      <c r="D1840" s="41" t="n"/>
      <c r="E1840" s="41" t="n"/>
      <c r="F1840" s="50" t="n"/>
      <c r="G1840" s="42" t="n"/>
      <c r="H1840" s="42" t="n"/>
      <c r="I1840" s="43">
        <f>IF($B1840="","",N($G1840)-N($H1840))</f>
        <v/>
      </c>
    </row>
    <row r="1841">
      <c r="A1841" s="39">
        <f>IF($B1841="","",COUNTA($B$4:$B1841))</f>
        <v/>
      </c>
      <c r="B1841" s="45" t="n"/>
      <c r="C1841" s="46" t="n"/>
      <c r="D1841" s="46" t="n"/>
      <c r="E1841" s="46" t="n"/>
      <c r="F1841" s="51" t="n"/>
      <c r="G1841" s="47" t="n"/>
      <c r="H1841" s="47" t="n"/>
      <c r="I1841" s="43">
        <f>IF($B1841="","",N($G1841)-N($H1841))</f>
        <v/>
      </c>
    </row>
    <row r="1842">
      <c r="A1842" s="39">
        <f>IF($B1842="","",COUNTA($B$4:$B1842))</f>
        <v/>
      </c>
      <c r="B1842" s="40" t="n"/>
      <c r="C1842" s="41" t="n"/>
      <c r="D1842" s="41" t="n"/>
      <c r="E1842" s="41" t="n"/>
      <c r="F1842" s="50" t="n"/>
      <c r="G1842" s="42" t="n"/>
      <c r="H1842" s="42" t="n"/>
      <c r="I1842" s="43">
        <f>IF($B1842="","",N($G1842)-N($H1842))</f>
        <v/>
      </c>
    </row>
    <row r="1843">
      <c r="A1843" s="39">
        <f>IF($B1843="","",COUNTA($B$4:$B1843))</f>
        <v/>
      </c>
      <c r="B1843" s="45" t="n"/>
      <c r="C1843" s="46" t="n"/>
      <c r="D1843" s="46" t="n"/>
      <c r="E1843" s="46" t="n"/>
      <c r="F1843" s="51" t="n"/>
      <c r="G1843" s="47" t="n"/>
      <c r="H1843" s="47" t="n"/>
      <c r="I1843" s="43">
        <f>IF($B1843="","",N($G1843)-N($H1843))</f>
        <v/>
      </c>
    </row>
    <row r="1844">
      <c r="A1844" s="39">
        <f>IF($B1844="","",COUNTA($B$4:$B1844))</f>
        <v/>
      </c>
      <c r="B1844" s="40" t="n"/>
      <c r="C1844" s="41" t="n"/>
      <c r="D1844" s="41" t="n"/>
      <c r="E1844" s="41" t="n"/>
      <c r="F1844" s="50" t="n"/>
      <c r="G1844" s="42" t="n"/>
      <c r="H1844" s="42" t="n"/>
      <c r="I1844" s="43">
        <f>IF($B1844="","",N($G1844)-N($H1844))</f>
        <v/>
      </c>
    </row>
    <row r="1845">
      <c r="A1845" s="39">
        <f>IF($B1845="","",COUNTA($B$4:$B1845))</f>
        <v/>
      </c>
      <c r="B1845" s="45" t="n"/>
      <c r="C1845" s="46" t="n"/>
      <c r="D1845" s="46" t="n"/>
      <c r="E1845" s="46" t="n"/>
      <c r="F1845" s="51" t="n"/>
      <c r="G1845" s="47" t="n"/>
      <c r="H1845" s="47" t="n"/>
      <c r="I1845" s="43">
        <f>IF($B1845="","",N($G1845)-N($H1845))</f>
        <v/>
      </c>
    </row>
    <row r="1846">
      <c r="A1846" s="39">
        <f>IF($B1846="","",COUNTA($B$4:$B1846))</f>
        <v/>
      </c>
      <c r="B1846" s="40" t="n"/>
      <c r="C1846" s="41" t="n"/>
      <c r="D1846" s="41" t="n"/>
      <c r="E1846" s="41" t="n"/>
      <c r="F1846" s="50" t="n"/>
      <c r="G1846" s="42" t="n"/>
      <c r="H1846" s="42" t="n"/>
      <c r="I1846" s="43">
        <f>IF($B1846="","",N($G1846)-N($H1846))</f>
        <v/>
      </c>
    </row>
    <row r="1847">
      <c r="A1847" s="39">
        <f>IF($B1847="","",COUNTA($B$4:$B1847))</f>
        <v/>
      </c>
      <c r="B1847" s="45" t="n"/>
      <c r="C1847" s="46" t="n"/>
      <c r="D1847" s="46" t="n"/>
      <c r="E1847" s="46" t="n"/>
      <c r="F1847" s="51" t="n"/>
      <c r="G1847" s="47" t="n"/>
      <c r="H1847" s="47" t="n"/>
      <c r="I1847" s="43">
        <f>IF($B1847="","",N($G1847)-N($H1847))</f>
        <v/>
      </c>
    </row>
    <row r="1848">
      <c r="A1848" s="39">
        <f>IF($B1848="","",COUNTA($B$4:$B1848))</f>
        <v/>
      </c>
      <c r="B1848" s="40" t="n"/>
      <c r="C1848" s="41" t="n"/>
      <c r="D1848" s="41" t="n"/>
      <c r="E1848" s="41" t="n"/>
      <c r="F1848" s="50" t="n"/>
      <c r="G1848" s="42" t="n"/>
      <c r="H1848" s="42" t="n"/>
      <c r="I1848" s="43">
        <f>IF($B1848="","",N($G1848)-N($H1848))</f>
        <v/>
      </c>
    </row>
    <row r="1849">
      <c r="A1849" s="39">
        <f>IF($B1849="","",COUNTA($B$4:$B1849))</f>
        <v/>
      </c>
      <c r="B1849" s="45" t="n"/>
      <c r="C1849" s="46" t="n"/>
      <c r="D1849" s="46" t="n"/>
      <c r="E1849" s="46" t="n"/>
      <c r="F1849" s="51" t="n"/>
      <c r="G1849" s="47" t="n"/>
      <c r="H1849" s="47" t="n"/>
      <c r="I1849" s="43">
        <f>IF($B1849="","",N($G1849)-N($H1849))</f>
        <v/>
      </c>
    </row>
    <row r="1850">
      <c r="A1850" s="39">
        <f>IF($B1850="","",COUNTA($B$4:$B1850))</f>
        <v/>
      </c>
      <c r="B1850" s="40" t="n"/>
      <c r="C1850" s="41" t="n"/>
      <c r="D1850" s="41" t="n"/>
      <c r="E1850" s="41" t="n"/>
      <c r="F1850" s="50" t="n"/>
      <c r="G1850" s="42" t="n"/>
      <c r="H1850" s="42" t="n"/>
      <c r="I1850" s="43">
        <f>IF($B1850="","",N($G1850)-N($H1850))</f>
        <v/>
      </c>
    </row>
    <row r="1851">
      <c r="A1851" s="39">
        <f>IF($B1851="","",COUNTA($B$4:$B1851))</f>
        <v/>
      </c>
      <c r="B1851" s="45" t="n"/>
      <c r="C1851" s="46" t="n"/>
      <c r="D1851" s="46" t="n"/>
      <c r="E1851" s="46" t="n"/>
      <c r="F1851" s="51" t="n"/>
      <c r="G1851" s="47" t="n"/>
      <c r="H1851" s="47" t="n"/>
      <c r="I1851" s="43">
        <f>IF($B1851="","",N($G1851)-N($H1851))</f>
        <v/>
      </c>
    </row>
    <row r="1852">
      <c r="A1852" s="39">
        <f>IF($B1852="","",COUNTA($B$4:$B1852))</f>
        <v/>
      </c>
      <c r="B1852" s="40" t="n"/>
      <c r="C1852" s="41" t="n"/>
      <c r="D1852" s="41" t="n"/>
      <c r="E1852" s="41" t="n"/>
      <c r="F1852" s="50" t="n"/>
      <c r="G1852" s="42" t="n"/>
      <c r="H1852" s="42" t="n"/>
      <c r="I1852" s="43">
        <f>IF($B1852="","",N($G1852)-N($H1852))</f>
        <v/>
      </c>
    </row>
    <row r="1853">
      <c r="A1853" s="39">
        <f>IF($B1853="","",COUNTA($B$4:$B1853))</f>
        <v/>
      </c>
      <c r="B1853" s="45" t="n"/>
      <c r="C1853" s="46" t="n"/>
      <c r="D1853" s="46" t="n"/>
      <c r="E1853" s="46" t="n"/>
      <c r="F1853" s="51" t="n"/>
      <c r="G1853" s="47" t="n"/>
      <c r="H1853" s="47" t="n"/>
      <c r="I1853" s="43">
        <f>IF($B1853="","",N($G1853)-N($H1853))</f>
        <v/>
      </c>
    </row>
    <row r="1854">
      <c r="A1854" s="39">
        <f>IF($B1854="","",COUNTA($B$4:$B1854))</f>
        <v/>
      </c>
      <c r="B1854" s="40" t="n"/>
      <c r="C1854" s="41" t="n"/>
      <c r="D1854" s="41" t="n"/>
      <c r="E1854" s="41" t="n"/>
      <c r="F1854" s="50" t="n"/>
      <c r="G1854" s="42" t="n"/>
      <c r="H1854" s="42" t="n"/>
      <c r="I1854" s="43">
        <f>IF($B1854="","",N($G1854)-N($H1854))</f>
        <v/>
      </c>
    </row>
    <row r="1855">
      <c r="A1855" s="39">
        <f>IF($B1855="","",COUNTA($B$4:$B1855))</f>
        <v/>
      </c>
      <c r="B1855" s="45" t="n"/>
      <c r="C1855" s="46" t="n"/>
      <c r="D1855" s="46" t="n"/>
      <c r="E1855" s="46" t="n"/>
      <c r="F1855" s="51" t="n"/>
      <c r="G1855" s="47" t="n"/>
      <c r="H1855" s="47" t="n"/>
      <c r="I1855" s="43">
        <f>IF($B1855="","",N($G1855)-N($H1855))</f>
        <v/>
      </c>
    </row>
    <row r="1856">
      <c r="A1856" s="39">
        <f>IF($B1856="","",COUNTA($B$4:$B1856))</f>
        <v/>
      </c>
      <c r="B1856" s="40" t="n"/>
      <c r="C1856" s="41" t="n"/>
      <c r="D1856" s="41" t="n"/>
      <c r="E1856" s="41" t="n"/>
      <c r="F1856" s="50" t="n"/>
      <c r="G1856" s="42" t="n"/>
      <c r="H1856" s="42" t="n"/>
      <c r="I1856" s="43">
        <f>IF($B1856="","",N($G1856)-N($H1856))</f>
        <v/>
      </c>
    </row>
    <row r="1857">
      <c r="A1857" s="39">
        <f>IF($B1857="","",COUNTA($B$4:$B1857))</f>
        <v/>
      </c>
      <c r="B1857" s="45" t="n"/>
      <c r="C1857" s="46" t="n"/>
      <c r="D1857" s="46" t="n"/>
      <c r="E1857" s="46" t="n"/>
      <c r="F1857" s="51" t="n"/>
      <c r="G1857" s="47" t="n"/>
      <c r="H1857" s="47" t="n"/>
      <c r="I1857" s="43">
        <f>IF($B1857="","",N($G1857)-N($H1857))</f>
        <v/>
      </c>
    </row>
    <row r="1858">
      <c r="A1858" s="39">
        <f>IF($B1858="","",COUNTA($B$4:$B1858))</f>
        <v/>
      </c>
      <c r="B1858" s="40" t="n"/>
      <c r="C1858" s="41" t="n"/>
      <c r="D1858" s="41" t="n"/>
      <c r="E1858" s="41" t="n"/>
      <c r="F1858" s="50" t="n"/>
      <c r="G1858" s="42" t="n"/>
      <c r="H1858" s="42" t="n"/>
      <c r="I1858" s="43">
        <f>IF($B1858="","",N($G1858)-N($H1858))</f>
        <v/>
      </c>
    </row>
    <row r="1859">
      <c r="A1859" s="39">
        <f>IF($B1859="","",COUNTA($B$4:$B1859))</f>
        <v/>
      </c>
      <c r="B1859" s="45" t="n"/>
      <c r="C1859" s="46" t="n"/>
      <c r="D1859" s="46" t="n"/>
      <c r="E1859" s="46" t="n"/>
      <c r="F1859" s="51" t="n"/>
      <c r="G1859" s="47" t="n"/>
      <c r="H1859" s="47" t="n"/>
      <c r="I1859" s="43">
        <f>IF($B1859="","",N($G1859)-N($H1859))</f>
        <v/>
      </c>
    </row>
    <row r="1860">
      <c r="A1860" s="39">
        <f>IF($B1860="","",COUNTA($B$4:$B1860))</f>
        <v/>
      </c>
      <c r="B1860" s="40" t="n"/>
      <c r="C1860" s="41" t="n"/>
      <c r="D1860" s="41" t="n"/>
      <c r="E1860" s="41" t="n"/>
      <c r="F1860" s="50" t="n"/>
      <c r="G1860" s="42" t="n"/>
      <c r="H1860" s="42" t="n"/>
      <c r="I1860" s="43">
        <f>IF($B1860="","",N($G1860)-N($H1860))</f>
        <v/>
      </c>
    </row>
    <row r="1861">
      <c r="A1861" s="39">
        <f>IF($B1861="","",COUNTA($B$4:$B1861))</f>
        <v/>
      </c>
      <c r="B1861" s="45" t="n"/>
      <c r="C1861" s="46" t="n"/>
      <c r="D1861" s="46" t="n"/>
      <c r="E1861" s="46" t="n"/>
      <c r="F1861" s="51" t="n"/>
      <c r="G1861" s="47" t="n"/>
      <c r="H1861" s="47" t="n"/>
      <c r="I1861" s="43">
        <f>IF($B1861="","",N($G1861)-N($H1861))</f>
        <v/>
      </c>
    </row>
    <row r="1862">
      <c r="A1862" s="39">
        <f>IF($B1862="","",COUNTA($B$4:$B1862))</f>
        <v/>
      </c>
      <c r="B1862" s="40" t="n"/>
      <c r="C1862" s="41" t="n"/>
      <c r="D1862" s="41" t="n"/>
      <c r="E1862" s="41" t="n"/>
      <c r="F1862" s="50" t="n"/>
      <c r="G1862" s="42" t="n"/>
      <c r="H1862" s="42" t="n"/>
      <c r="I1862" s="43">
        <f>IF($B1862="","",N($G1862)-N($H1862))</f>
        <v/>
      </c>
    </row>
    <row r="1863">
      <c r="A1863" s="39">
        <f>IF($B1863="","",COUNTA($B$4:$B1863))</f>
        <v/>
      </c>
      <c r="B1863" s="45" t="n"/>
      <c r="C1863" s="46" t="n"/>
      <c r="D1863" s="46" t="n"/>
      <c r="E1863" s="46" t="n"/>
      <c r="F1863" s="51" t="n"/>
      <c r="G1863" s="47" t="n"/>
      <c r="H1863" s="47" t="n"/>
      <c r="I1863" s="43">
        <f>IF($B1863="","",N($G1863)-N($H1863))</f>
        <v/>
      </c>
    </row>
    <row r="1864">
      <c r="A1864" s="39">
        <f>IF($B1864="","",COUNTA($B$4:$B1864))</f>
        <v/>
      </c>
      <c r="B1864" s="40" t="n"/>
      <c r="C1864" s="41" t="n"/>
      <c r="D1864" s="41" t="n"/>
      <c r="E1864" s="41" t="n"/>
      <c r="F1864" s="50" t="n"/>
      <c r="G1864" s="42" t="n"/>
      <c r="H1864" s="42" t="n"/>
      <c r="I1864" s="43">
        <f>IF($B1864="","",N($G1864)-N($H1864))</f>
        <v/>
      </c>
    </row>
    <row r="1865">
      <c r="A1865" s="39">
        <f>IF($B1865="","",COUNTA($B$4:$B1865))</f>
        <v/>
      </c>
      <c r="B1865" s="45" t="n"/>
      <c r="C1865" s="46" t="n"/>
      <c r="D1865" s="46" t="n"/>
      <c r="E1865" s="46" t="n"/>
      <c r="F1865" s="51" t="n"/>
      <c r="G1865" s="47" t="n"/>
      <c r="H1865" s="47" t="n"/>
      <c r="I1865" s="43">
        <f>IF($B1865="","",N($G1865)-N($H1865))</f>
        <v/>
      </c>
    </row>
    <row r="1866">
      <c r="A1866" s="39">
        <f>IF($B1866="","",COUNTA($B$4:$B1866))</f>
        <v/>
      </c>
      <c r="B1866" s="40" t="n"/>
      <c r="C1866" s="41" t="n"/>
      <c r="D1866" s="41" t="n"/>
      <c r="E1866" s="41" t="n"/>
      <c r="F1866" s="50" t="n"/>
      <c r="G1866" s="42" t="n"/>
      <c r="H1866" s="42" t="n"/>
      <c r="I1866" s="43">
        <f>IF($B1866="","",N($G1866)-N($H1866))</f>
        <v/>
      </c>
    </row>
    <row r="1867">
      <c r="A1867" s="39">
        <f>IF($B1867="","",COUNTA($B$4:$B1867))</f>
        <v/>
      </c>
      <c r="B1867" s="45" t="n"/>
      <c r="C1867" s="46" t="n"/>
      <c r="D1867" s="46" t="n"/>
      <c r="E1867" s="46" t="n"/>
      <c r="F1867" s="51" t="n"/>
      <c r="G1867" s="47" t="n"/>
      <c r="H1867" s="47" t="n"/>
      <c r="I1867" s="43">
        <f>IF($B1867="","",N($G1867)-N($H1867))</f>
        <v/>
      </c>
    </row>
    <row r="1868">
      <c r="A1868" s="39">
        <f>IF($B1868="","",COUNTA($B$4:$B1868))</f>
        <v/>
      </c>
      <c r="B1868" s="40" t="n"/>
      <c r="C1868" s="41" t="n"/>
      <c r="D1868" s="41" t="n"/>
      <c r="E1868" s="41" t="n"/>
      <c r="F1868" s="50" t="n"/>
      <c r="G1868" s="42" t="n"/>
      <c r="H1868" s="42" t="n"/>
      <c r="I1868" s="43">
        <f>IF($B1868="","",N($G1868)-N($H1868))</f>
        <v/>
      </c>
    </row>
    <row r="1869">
      <c r="A1869" s="39">
        <f>IF($B1869="","",COUNTA($B$4:$B1869))</f>
        <v/>
      </c>
      <c r="B1869" s="45" t="n"/>
      <c r="C1869" s="46" t="n"/>
      <c r="D1869" s="46" t="n"/>
      <c r="E1869" s="46" t="n"/>
      <c r="F1869" s="51" t="n"/>
      <c r="G1869" s="47" t="n"/>
      <c r="H1869" s="47" t="n"/>
      <c r="I1869" s="43">
        <f>IF($B1869="","",N($G1869)-N($H1869))</f>
        <v/>
      </c>
    </row>
    <row r="1870">
      <c r="A1870" s="39">
        <f>IF($B1870="","",COUNTA($B$4:$B1870))</f>
        <v/>
      </c>
      <c r="B1870" s="40" t="n"/>
      <c r="C1870" s="41" t="n"/>
      <c r="D1870" s="41" t="n"/>
      <c r="E1870" s="41" t="n"/>
      <c r="F1870" s="50" t="n"/>
      <c r="G1870" s="42" t="n"/>
      <c r="H1870" s="42" t="n"/>
      <c r="I1870" s="43">
        <f>IF($B1870="","",N($G1870)-N($H1870))</f>
        <v/>
      </c>
    </row>
    <row r="1871">
      <c r="A1871" s="39">
        <f>IF($B1871="","",COUNTA($B$4:$B1871))</f>
        <v/>
      </c>
      <c r="B1871" s="45" t="n"/>
      <c r="C1871" s="46" t="n"/>
      <c r="D1871" s="46" t="n"/>
      <c r="E1871" s="46" t="n"/>
      <c r="F1871" s="51" t="n"/>
      <c r="G1871" s="47" t="n"/>
      <c r="H1871" s="47" t="n"/>
      <c r="I1871" s="43">
        <f>IF($B1871="","",N($G1871)-N($H1871))</f>
        <v/>
      </c>
    </row>
    <row r="1872">
      <c r="A1872" s="39">
        <f>IF($B1872="","",COUNTA($B$4:$B1872))</f>
        <v/>
      </c>
      <c r="B1872" s="40" t="n"/>
      <c r="C1872" s="41" t="n"/>
      <c r="D1872" s="41" t="n"/>
      <c r="E1872" s="41" t="n"/>
      <c r="F1872" s="50" t="n"/>
      <c r="G1872" s="42" t="n"/>
      <c r="H1872" s="42" t="n"/>
      <c r="I1872" s="43">
        <f>IF($B1872="","",N($G1872)-N($H1872))</f>
        <v/>
      </c>
    </row>
    <row r="1873">
      <c r="A1873" s="39">
        <f>IF($B1873="","",COUNTA($B$4:$B1873))</f>
        <v/>
      </c>
      <c r="B1873" s="45" t="n"/>
      <c r="C1873" s="46" t="n"/>
      <c r="D1873" s="46" t="n"/>
      <c r="E1873" s="46" t="n"/>
      <c r="F1873" s="51" t="n"/>
      <c r="G1873" s="47" t="n"/>
      <c r="H1873" s="47" t="n"/>
      <c r="I1873" s="43">
        <f>IF($B1873="","",N($G1873)-N($H1873))</f>
        <v/>
      </c>
    </row>
    <row r="1874">
      <c r="A1874" s="39">
        <f>IF($B1874="","",COUNTA($B$4:$B1874))</f>
        <v/>
      </c>
      <c r="B1874" s="40" t="n"/>
      <c r="C1874" s="41" t="n"/>
      <c r="D1874" s="41" t="n"/>
      <c r="E1874" s="41" t="n"/>
      <c r="F1874" s="50" t="n"/>
      <c r="G1874" s="42" t="n"/>
      <c r="H1874" s="42" t="n"/>
      <c r="I1874" s="43">
        <f>IF($B1874="","",N($G1874)-N($H1874))</f>
        <v/>
      </c>
    </row>
    <row r="1875">
      <c r="A1875" s="39">
        <f>IF($B1875="","",COUNTA($B$4:$B1875))</f>
        <v/>
      </c>
      <c r="B1875" s="45" t="n"/>
      <c r="C1875" s="46" t="n"/>
      <c r="D1875" s="46" t="n"/>
      <c r="E1875" s="46" t="n"/>
      <c r="F1875" s="51" t="n"/>
      <c r="G1875" s="47" t="n"/>
      <c r="H1875" s="47" t="n"/>
      <c r="I1875" s="43">
        <f>IF($B1875="","",N($G1875)-N($H1875))</f>
        <v/>
      </c>
    </row>
    <row r="1876">
      <c r="A1876" s="39">
        <f>IF($B1876="","",COUNTA($B$4:$B1876))</f>
        <v/>
      </c>
      <c r="B1876" s="40" t="n"/>
      <c r="C1876" s="41" t="n"/>
      <c r="D1876" s="41" t="n"/>
      <c r="E1876" s="41" t="n"/>
      <c r="F1876" s="50" t="n"/>
      <c r="G1876" s="42" t="n"/>
      <c r="H1876" s="42" t="n"/>
      <c r="I1876" s="43">
        <f>IF($B1876="","",N($G1876)-N($H1876))</f>
        <v/>
      </c>
    </row>
    <row r="1877">
      <c r="A1877" s="39">
        <f>IF($B1877="","",COUNTA($B$4:$B1877))</f>
        <v/>
      </c>
      <c r="B1877" s="45" t="n"/>
      <c r="C1877" s="46" t="n"/>
      <c r="D1877" s="46" t="n"/>
      <c r="E1877" s="46" t="n"/>
      <c r="F1877" s="51" t="n"/>
      <c r="G1877" s="47" t="n"/>
      <c r="H1877" s="47" t="n"/>
      <c r="I1877" s="43">
        <f>IF($B1877="","",N($G1877)-N($H1877))</f>
        <v/>
      </c>
    </row>
    <row r="1878">
      <c r="A1878" s="39">
        <f>IF($B1878="","",COUNTA($B$4:$B1878))</f>
        <v/>
      </c>
      <c r="B1878" s="40" t="n"/>
      <c r="C1878" s="41" t="n"/>
      <c r="D1878" s="41" t="n"/>
      <c r="E1878" s="41" t="n"/>
      <c r="F1878" s="50" t="n"/>
      <c r="G1878" s="42" t="n"/>
      <c r="H1878" s="42" t="n"/>
      <c r="I1878" s="43">
        <f>IF($B1878="","",N($G1878)-N($H1878))</f>
        <v/>
      </c>
    </row>
    <row r="1879">
      <c r="A1879" s="39">
        <f>IF($B1879="","",COUNTA($B$4:$B1879))</f>
        <v/>
      </c>
      <c r="B1879" s="45" t="n"/>
      <c r="C1879" s="46" t="n"/>
      <c r="D1879" s="46" t="n"/>
      <c r="E1879" s="46" t="n"/>
      <c r="F1879" s="51" t="n"/>
      <c r="G1879" s="47" t="n"/>
      <c r="H1879" s="47" t="n"/>
      <c r="I1879" s="43">
        <f>IF($B1879="","",N($G1879)-N($H1879))</f>
        <v/>
      </c>
    </row>
    <row r="1880">
      <c r="A1880" s="39">
        <f>IF($B1880="","",COUNTA($B$4:$B1880))</f>
        <v/>
      </c>
      <c r="B1880" s="40" t="n"/>
      <c r="C1880" s="41" t="n"/>
      <c r="D1880" s="41" t="n"/>
      <c r="E1880" s="41" t="n"/>
      <c r="F1880" s="50" t="n"/>
      <c r="G1880" s="42" t="n"/>
      <c r="H1880" s="42" t="n"/>
      <c r="I1880" s="43">
        <f>IF($B1880="","",N($G1880)-N($H1880))</f>
        <v/>
      </c>
    </row>
    <row r="1881">
      <c r="A1881" s="39">
        <f>IF($B1881="","",COUNTA($B$4:$B1881))</f>
        <v/>
      </c>
      <c r="B1881" s="45" t="n"/>
      <c r="C1881" s="46" t="n"/>
      <c r="D1881" s="46" t="n"/>
      <c r="E1881" s="46" t="n"/>
      <c r="F1881" s="51" t="n"/>
      <c r="G1881" s="47" t="n"/>
      <c r="H1881" s="47" t="n"/>
      <c r="I1881" s="43">
        <f>IF($B1881="","",N($G1881)-N($H1881))</f>
        <v/>
      </c>
    </row>
    <row r="1882">
      <c r="A1882" s="39">
        <f>IF($B1882="","",COUNTA($B$4:$B1882))</f>
        <v/>
      </c>
      <c r="B1882" s="40" t="n"/>
      <c r="C1882" s="41" t="n"/>
      <c r="D1882" s="41" t="n"/>
      <c r="E1882" s="41" t="n"/>
      <c r="F1882" s="50" t="n"/>
      <c r="G1882" s="42" t="n"/>
      <c r="H1882" s="42" t="n"/>
      <c r="I1882" s="43">
        <f>IF($B1882="","",N($G1882)-N($H1882))</f>
        <v/>
      </c>
    </row>
    <row r="1883">
      <c r="A1883" s="39">
        <f>IF($B1883="","",COUNTA($B$4:$B1883))</f>
        <v/>
      </c>
      <c r="B1883" s="45" t="n"/>
      <c r="C1883" s="46" t="n"/>
      <c r="D1883" s="46" t="n"/>
      <c r="E1883" s="46" t="n"/>
      <c r="F1883" s="51" t="n"/>
      <c r="G1883" s="47" t="n"/>
      <c r="H1883" s="47" t="n"/>
      <c r="I1883" s="43">
        <f>IF($B1883="","",N($G1883)-N($H1883))</f>
        <v/>
      </c>
    </row>
    <row r="1884">
      <c r="A1884" s="39">
        <f>IF($B1884="","",COUNTA($B$4:$B1884))</f>
        <v/>
      </c>
      <c r="B1884" s="40" t="n"/>
      <c r="C1884" s="41" t="n"/>
      <c r="D1884" s="41" t="n"/>
      <c r="E1884" s="41" t="n"/>
      <c r="F1884" s="50" t="n"/>
      <c r="G1884" s="42" t="n"/>
      <c r="H1884" s="42" t="n"/>
      <c r="I1884" s="43">
        <f>IF($B1884="","",N($G1884)-N($H1884))</f>
        <v/>
      </c>
    </row>
    <row r="1885">
      <c r="A1885" s="39">
        <f>IF($B1885="","",COUNTA($B$4:$B1885))</f>
        <v/>
      </c>
      <c r="B1885" s="45" t="n"/>
      <c r="C1885" s="46" t="n"/>
      <c r="D1885" s="46" t="n"/>
      <c r="E1885" s="46" t="n"/>
      <c r="F1885" s="51" t="n"/>
      <c r="G1885" s="47" t="n"/>
      <c r="H1885" s="47" t="n"/>
      <c r="I1885" s="43">
        <f>IF($B1885="","",N($G1885)-N($H1885))</f>
        <v/>
      </c>
    </row>
    <row r="1886">
      <c r="A1886" s="39">
        <f>IF($B1886="","",COUNTA($B$4:$B1886))</f>
        <v/>
      </c>
      <c r="B1886" s="40" t="n"/>
      <c r="C1886" s="41" t="n"/>
      <c r="D1886" s="41" t="n"/>
      <c r="E1886" s="41" t="n"/>
      <c r="F1886" s="50" t="n"/>
      <c r="G1886" s="42" t="n"/>
      <c r="H1886" s="42" t="n"/>
      <c r="I1886" s="43">
        <f>IF($B1886="","",N($G1886)-N($H1886))</f>
        <v/>
      </c>
    </row>
    <row r="1887">
      <c r="A1887" s="39">
        <f>IF($B1887="","",COUNTA($B$4:$B1887))</f>
        <v/>
      </c>
      <c r="B1887" s="45" t="n"/>
      <c r="C1887" s="46" t="n"/>
      <c r="D1887" s="46" t="n"/>
      <c r="E1887" s="46" t="n"/>
      <c r="F1887" s="51" t="n"/>
      <c r="G1887" s="47" t="n"/>
      <c r="H1887" s="47" t="n"/>
      <c r="I1887" s="43">
        <f>IF($B1887="","",N($G1887)-N($H1887))</f>
        <v/>
      </c>
    </row>
    <row r="1888">
      <c r="A1888" s="39">
        <f>IF($B1888="","",COUNTA($B$4:$B1888))</f>
        <v/>
      </c>
      <c r="B1888" s="40" t="n"/>
      <c r="C1888" s="41" t="n"/>
      <c r="D1888" s="41" t="n"/>
      <c r="E1888" s="41" t="n"/>
      <c r="F1888" s="50" t="n"/>
      <c r="G1888" s="42" t="n"/>
      <c r="H1888" s="42" t="n"/>
      <c r="I1888" s="43">
        <f>IF($B1888="","",N($G1888)-N($H1888))</f>
        <v/>
      </c>
    </row>
    <row r="1889">
      <c r="A1889" s="39">
        <f>IF($B1889="","",COUNTA($B$4:$B1889))</f>
        <v/>
      </c>
      <c r="B1889" s="45" t="n"/>
      <c r="C1889" s="46" t="n"/>
      <c r="D1889" s="46" t="n"/>
      <c r="E1889" s="46" t="n"/>
      <c r="F1889" s="51" t="n"/>
      <c r="G1889" s="47" t="n"/>
      <c r="H1889" s="47" t="n"/>
      <c r="I1889" s="43">
        <f>IF($B1889="","",N($G1889)-N($H1889))</f>
        <v/>
      </c>
    </row>
    <row r="1890">
      <c r="A1890" s="39">
        <f>IF($B1890="","",COUNTA($B$4:$B1890))</f>
        <v/>
      </c>
      <c r="B1890" s="40" t="n"/>
      <c r="C1890" s="41" t="n"/>
      <c r="D1890" s="41" t="n"/>
      <c r="E1890" s="41" t="n"/>
      <c r="F1890" s="50" t="n"/>
      <c r="G1890" s="42" t="n"/>
      <c r="H1890" s="42" t="n"/>
      <c r="I1890" s="43">
        <f>IF($B1890="","",N($G1890)-N($H1890))</f>
        <v/>
      </c>
    </row>
    <row r="1891">
      <c r="A1891" s="39">
        <f>IF($B1891="","",COUNTA($B$4:$B1891))</f>
        <v/>
      </c>
      <c r="B1891" s="45" t="n"/>
      <c r="C1891" s="46" t="n"/>
      <c r="D1891" s="46" t="n"/>
      <c r="E1891" s="46" t="n"/>
      <c r="F1891" s="51" t="n"/>
      <c r="G1891" s="47" t="n"/>
      <c r="H1891" s="47" t="n"/>
      <c r="I1891" s="43">
        <f>IF($B1891="","",N($G1891)-N($H1891))</f>
        <v/>
      </c>
    </row>
    <row r="1892">
      <c r="A1892" s="39">
        <f>IF($B1892="","",COUNTA($B$4:$B1892))</f>
        <v/>
      </c>
      <c r="B1892" s="40" t="n"/>
      <c r="C1892" s="41" t="n"/>
      <c r="D1892" s="41" t="n"/>
      <c r="E1892" s="41" t="n"/>
      <c r="F1892" s="50" t="n"/>
      <c r="G1892" s="42" t="n"/>
      <c r="H1892" s="42" t="n"/>
      <c r="I1892" s="43">
        <f>IF($B1892="","",N($G1892)-N($H1892))</f>
        <v/>
      </c>
    </row>
    <row r="1893">
      <c r="A1893" s="39">
        <f>IF($B1893="","",COUNTA($B$4:$B1893))</f>
        <v/>
      </c>
      <c r="B1893" s="45" t="n"/>
      <c r="C1893" s="46" t="n"/>
      <c r="D1893" s="46" t="n"/>
      <c r="E1893" s="46" t="n"/>
      <c r="F1893" s="51" t="n"/>
      <c r="G1893" s="47" t="n"/>
      <c r="H1893" s="47" t="n"/>
      <c r="I1893" s="43">
        <f>IF($B1893="","",N($G1893)-N($H1893))</f>
        <v/>
      </c>
    </row>
    <row r="1894">
      <c r="A1894" s="39">
        <f>IF($B1894="","",COUNTA($B$4:$B1894))</f>
        <v/>
      </c>
      <c r="B1894" s="40" t="n"/>
      <c r="C1894" s="41" t="n"/>
      <c r="D1894" s="41" t="n"/>
      <c r="E1894" s="41" t="n"/>
      <c r="F1894" s="50" t="n"/>
      <c r="G1894" s="42" t="n"/>
      <c r="H1894" s="42" t="n"/>
      <c r="I1894" s="43">
        <f>IF($B1894="","",N($G1894)-N($H1894))</f>
        <v/>
      </c>
    </row>
    <row r="1895">
      <c r="A1895" s="39">
        <f>IF($B1895="","",COUNTA($B$4:$B1895))</f>
        <v/>
      </c>
      <c r="B1895" s="45" t="n"/>
      <c r="C1895" s="46" t="n"/>
      <c r="D1895" s="46" t="n"/>
      <c r="E1895" s="46" t="n"/>
      <c r="F1895" s="51" t="n"/>
      <c r="G1895" s="47" t="n"/>
      <c r="H1895" s="47" t="n"/>
      <c r="I1895" s="43">
        <f>IF($B1895="","",N($G1895)-N($H1895))</f>
        <v/>
      </c>
    </row>
    <row r="1896">
      <c r="A1896" s="39">
        <f>IF($B1896="","",COUNTA($B$4:$B1896))</f>
        <v/>
      </c>
      <c r="B1896" s="40" t="n"/>
      <c r="C1896" s="41" t="n"/>
      <c r="D1896" s="41" t="n"/>
      <c r="E1896" s="41" t="n"/>
      <c r="F1896" s="50" t="n"/>
      <c r="G1896" s="42" t="n"/>
      <c r="H1896" s="42" t="n"/>
      <c r="I1896" s="43">
        <f>IF($B1896="","",N($G1896)-N($H1896))</f>
        <v/>
      </c>
    </row>
    <row r="1897">
      <c r="A1897" s="39">
        <f>IF($B1897="","",COUNTA($B$4:$B1897))</f>
        <v/>
      </c>
      <c r="B1897" s="45" t="n"/>
      <c r="C1897" s="46" t="n"/>
      <c r="D1897" s="46" t="n"/>
      <c r="E1897" s="46" t="n"/>
      <c r="F1897" s="51" t="n"/>
      <c r="G1897" s="47" t="n"/>
      <c r="H1897" s="47" t="n"/>
      <c r="I1897" s="43">
        <f>IF($B1897="","",N($G1897)-N($H1897))</f>
        <v/>
      </c>
    </row>
    <row r="1898">
      <c r="A1898" s="39">
        <f>IF($B1898="","",COUNTA($B$4:$B1898))</f>
        <v/>
      </c>
      <c r="B1898" s="40" t="n"/>
      <c r="C1898" s="41" t="n"/>
      <c r="D1898" s="41" t="n"/>
      <c r="E1898" s="41" t="n"/>
      <c r="F1898" s="50" t="n"/>
      <c r="G1898" s="42" t="n"/>
      <c r="H1898" s="42" t="n"/>
      <c r="I1898" s="43">
        <f>IF($B1898="","",N($G1898)-N($H1898))</f>
        <v/>
      </c>
    </row>
    <row r="1899">
      <c r="A1899" s="39">
        <f>IF($B1899="","",COUNTA($B$4:$B1899))</f>
        <v/>
      </c>
      <c r="B1899" s="45" t="n"/>
      <c r="C1899" s="46" t="n"/>
      <c r="D1899" s="46" t="n"/>
      <c r="E1899" s="46" t="n"/>
      <c r="F1899" s="51" t="n"/>
      <c r="G1899" s="47" t="n"/>
      <c r="H1899" s="47" t="n"/>
      <c r="I1899" s="43">
        <f>IF($B1899="","",N($G1899)-N($H1899))</f>
        <v/>
      </c>
    </row>
    <row r="1900">
      <c r="A1900" s="39">
        <f>IF($B1900="","",COUNTA($B$4:$B1900))</f>
        <v/>
      </c>
      <c r="B1900" s="40" t="n"/>
      <c r="C1900" s="41" t="n"/>
      <c r="D1900" s="41" t="n"/>
      <c r="E1900" s="41" t="n"/>
      <c r="F1900" s="50" t="n"/>
      <c r="G1900" s="42" t="n"/>
      <c r="H1900" s="42" t="n"/>
      <c r="I1900" s="43">
        <f>IF($B1900="","",N($G1900)-N($H1900))</f>
        <v/>
      </c>
    </row>
    <row r="1901">
      <c r="A1901" s="39">
        <f>IF($B1901="","",COUNTA($B$4:$B1901))</f>
        <v/>
      </c>
      <c r="B1901" s="45" t="n"/>
      <c r="C1901" s="46" t="n"/>
      <c r="D1901" s="46" t="n"/>
      <c r="E1901" s="46" t="n"/>
      <c r="F1901" s="51" t="n"/>
      <c r="G1901" s="47" t="n"/>
      <c r="H1901" s="47" t="n"/>
      <c r="I1901" s="43">
        <f>IF($B1901="","",N($G1901)-N($H1901))</f>
        <v/>
      </c>
    </row>
    <row r="1902">
      <c r="A1902" s="39">
        <f>IF($B1902="","",COUNTA($B$4:$B1902))</f>
        <v/>
      </c>
      <c r="B1902" s="40" t="n"/>
      <c r="C1902" s="41" t="n"/>
      <c r="D1902" s="41" t="n"/>
      <c r="E1902" s="41" t="n"/>
      <c r="F1902" s="50" t="n"/>
      <c r="G1902" s="42" t="n"/>
      <c r="H1902" s="42" t="n"/>
      <c r="I1902" s="43">
        <f>IF($B1902="","",N($G1902)-N($H1902))</f>
        <v/>
      </c>
    </row>
    <row r="1903">
      <c r="A1903" s="39">
        <f>IF($B1903="","",COUNTA($B$4:$B1903))</f>
        <v/>
      </c>
      <c r="B1903" s="45" t="n"/>
      <c r="C1903" s="46" t="n"/>
      <c r="D1903" s="46" t="n"/>
      <c r="E1903" s="46" t="n"/>
      <c r="F1903" s="51" t="n"/>
      <c r="G1903" s="47" t="n"/>
      <c r="H1903" s="47" t="n"/>
      <c r="I1903" s="43">
        <f>IF($B1903="","",N($G1903)-N($H1903))</f>
        <v/>
      </c>
    </row>
    <row r="1904">
      <c r="A1904" s="39">
        <f>IF($B1904="","",COUNTA($B$4:$B1904))</f>
        <v/>
      </c>
      <c r="B1904" s="40" t="n"/>
      <c r="C1904" s="41" t="n"/>
      <c r="D1904" s="41" t="n"/>
      <c r="E1904" s="41" t="n"/>
      <c r="F1904" s="50" t="n"/>
      <c r="G1904" s="42" t="n"/>
      <c r="H1904" s="42" t="n"/>
      <c r="I1904" s="43">
        <f>IF($B1904="","",N($G1904)-N($H1904))</f>
        <v/>
      </c>
    </row>
    <row r="1905">
      <c r="A1905" s="39">
        <f>IF($B1905="","",COUNTA($B$4:$B1905))</f>
        <v/>
      </c>
      <c r="B1905" s="45" t="n"/>
      <c r="C1905" s="46" t="n"/>
      <c r="D1905" s="46" t="n"/>
      <c r="E1905" s="46" t="n"/>
      <c r="F1905" s="51" t="n"/>
      <c r="G1905" s="47" t="n"/>
      <c r="H1905" s="47" t="n"/>
      <c r="I1905" s="43">
        <f>IF($B1905="","",N($G1905)-N($H1905))</f>
        <v/>
      </c>
    </row>
    <row r="1906">
      <c r="A1906" s="39">
        <f>IF($B1906="","",COUNTA($B$4:$B1906))</f>
        <v/>
      </c>
      <c r="B1906" s="40" t="n"/>
      <c r="C1906" s="41" t="n"/>
      <c r="D1906" s="41" t="n"/>
      <c r="E1906" s="41" t="n"/>
      <c r="F1906" s="50" t="n"/>
      <c r="G1906" s="42" t="n"/>
      <c r="H1906" s="42" t="n"/>
      <c r="I1906" s="43">
        <f>IF($B1906="","",N($G1906)-N($H1906))</f>
        <v/>
      </c>
    </row>
    <row r="1907">
      <c r="A1907" s="39">
        <f>IF($B1907="","",COUNTA($B$4:$B1907))</f>
        <v/>
      </c>
      <c r="B1907" s="45" t="n"/>
      <c r="C1907" s="46" t="n"/>
      <c r="D1907" s="46" t="n"/>
      <c r="E1907" s="46" t="n"/>
      <c r="F1907" s="51" t="n"/>
      <c r="G1907" s="47" t="n"/>
      <c r="H1907" s="47" t="n"/>
      <c r="I1907" s="43">
        <f>IF($B1907="","",N($G1907)-N($H1907))</f>
        <v/>
      </c>
    </row>
    <row r="1908">
      <c r="A1908" s="39">
        <f>IF($B1908="","",COUNTA($B$4:$B1908))</f>
        <v/>
      </c>
      <c r="B1908" s="40" t="n"/>
      <c r="C1908" s="41" t="n"/>
      <c r="D1908" s="41" t="n"/>
      <c r="E1908" s="41" t="n"/>
      <c r="F1908" s="50" t="n"/>
      <c r="G1908" s="42" t="n"/>
      <c r="H1908" s="42" t="n"/>
      <c r="I1908" s="43">
        <f>IF($B1908="","",N($G1908)-N($H1908))</f>
        <v/>
      </c>
    </row>
    <row r="1909">
      <c r="A1909" s="39">
        <f>IF($B1909="","",COUNTA($B$4:$B1909))</f>
        <v/>
      </c>
      <c r="B1909" s="45" t="n"/>
      <c r="C1909" s="46" t="n"/>
      <c r="D1909" s="46" t="n"/>
      <c r="E1909" s="46" t="n"/>
      <c r="F1909" s="51" t="n"/>
      <c r="G1909" s="47" t="n"/>
      <c r="H1909" s="47" t="n"/>
      <c r="I1909" s="43">
        <f>IF($B1909="","",N($G1909)-N($H1909))</f>
        <v/>
      </c>
    </row>
    <row r="1910">
      <c r="A1910" s="39">
        <f>IF($B1910="","",COUNTA($B$4:$B1910))</f>
        <v/>
      </c>
      <c r="B1910" s="40" t="n"/>
      <c r="C1910" s="41" t="n"/>
      <c r="D1910" s="41" t="n"/>
      <c r="E1910" s="41" t="n"/>
      <c r="F1910" s="50" t="n"/>
      <c r="G1910" s="42" t="n"/>
      <c r="H1910" s="42" t="n"/>
      <c r="I1910" s="43">
        <f>IF($B1910="","",N($G1910)-N($H1910))</f>
        <v/>
      </c>
    </row>
    <row r="1911">
      <c r="A1911" s="39">
        <f>IF($B1911="","",COUNTA($B$4:$B1911))</f>
        <v/>
      </c>
      <c r="B1911" s="45" t="n"/>
      <c r="C1911" s="46" t="n"/>
      <c r="D1911" s="46" t="n"/>
      <c r="E1911" s="46" t="n"/>
      <c r="F1911" s="51" t="n"/>
      <c r="G1911" s="47" t="n"/>
      <c r="H1911" s="47" t="n"/>
      <c r="I1911" s="43">
        <f>IF($B1911="","",N($G1911)-N($H1911))</f>
        <v/>
      </c>
    </row>
    <row r="1912">
      <c r="A1912" s="39">
        <f>IF($B1912="","",COUNTA($B$4:$B1912))</f>
        <v/>
      </c>
      <c r="B1912" s="40" t="n"/>
      <c r="C1912" s="41" t="n"/>
      <c r="D1912" s="41" t="n"/>
      <c r="E1912" s="41" t="n"/>
      <c r="F1912" s="50" t="n"/>
      <c r="G1912" s="42" t="n"/>
      <c r="H1912" s="42" t="n"/>
      <c r="I1912" s="43">
        <f>IF($B1912="","",N($G1912)-N($H1912))</f>
        <v/>
      </c>
    </row>
    <row r="1913">
      <c r="A1913" s="39">
        <f>IF($B1913="","",COUNTA($B$4:$B1913))</f>
        <v/>
      </c>
      <c r="B1913" s="45" t="n"/>
      <c r="C1913" s="46" t="n"/>
      <c r="D1913" s="46" t="n"/>
      <c r="E1913" s="46" t="n"/>
      <c r="F1913" s="51" t="n"/>
      <c r="G1913" s="47" t="n"/>
      <c r="H1913" s="47" t="n"/>
      <c r="I1913" s="43">
        <f>IF($B1913="","",N($G1913)-N($H1913))</f>
        <v/>
      </c>
    </row>
    <row r="1914">
      <c r="A1914" s="39">
        <f>IF($B1914="","",COUNTA($B$4:$B1914))</f>
        <v/>
      </c>
      <c r="B1914" s="40" t="n"/>
      <c r="C1914" s="41" t="n"/>
      <c r="D1914" s="41" t="n"/>
      <c r="E1914" s="41" t="n"/>
      <c r="F1914" s="50" t="n"/>
      <c r="G1914" s="42" t="n"/>
      <c r="H1914" s="42" t="n"/>
      <c r="I1914" s="43">
        <f>IF($B1914="","",N($G1914)-N($H1914))</f>
        <v/>
      </c>
    </row>
    <row r="1915">
      <c r="A1915" s="39">
        <f>IF($B1915="","",COUNTA($B$4:$B1915))</f>
        <v/>
      </c>
      <c r="B1915" s="45" t="n"/>
      <c r="C1915" s="46" t="n"/>
      <c r="D1915" s="46" t="n"/>
      <c r="E1915" s="46" t="n"/>
      <c r="F1915" s="51" t="n"/>
      <c r="G1915" s="47" t="n"/>
      <c r="H1915" s="47" t="n"/>
      <c r="I1915" s="43">
        <f>IF($B1915="","",N($G1915)-N($H1915))</f>
        <v/>
      </c>
    </row>
    <row r="1916">
      <c r="A1916" s="39">
        <f>IF($B1916="","",COUNTA($B$4:$B1916))</f>
        <v/>
      </c>
      <c r="B1916" s="40" t="n"/>
      <c r="C1916" s="41" t="n"/>
      <c r="D1916" s="41" t="n"/>
      <c r="E1916" s="41" t="n"/>
      <c r="F1916" s="50" t="n"/>
      <c r="G1916" s="42" t="n"/>
      <c r="H1916" s="42" t="n"/>
      <c r="I1916" s="43">
        <f>IF($B1916="","",N($G1916)-N($H1916))</f>
        <v/>
      </c>
    </row>
    <row r="1917">
      <c r="A1917" s="39">
        <f>IF($B1917="","",COUNTA($B$4:$B1917))</f>
        <v/>
      </c>
      <c r="B1917" s="45" t="n"/>
      <c r="C1917" s="46" t="n"/>
      <c r="D1917" s="46" t="n"/>
      <c r="E1917" s="46" t="n"/>
      <c r="F1917" s="51" t="n"/>
      <c r="G1917" s="47" t="n"/>
      <c r="H1917" s="47" t="n"/>
      <c r="I1917" s="43">
        <f>IF($B1917="","",N($G1917)-N($H1917))</f>
        <v/>
      </c>
    </row>
    <row r="1918">
      <c r="A1918" s="39">
        <f>IF($B1918="","",COUNTA($B$4:$B1918))</f>
        <v/>
      </c>
      <c r="B1918" s="40" t="n"/>
      <c r="C1918" s="41" t="n"/>
      <c r="D1918" s="41" t="n"/>
      <c r="E1918" s="41" t="n"/>
      <c r="F1918" s="50" t="n"/>
      <c r="G1918" s="42" t="n"/>
      <c r="H1918" s="42" t="n"/>
      <c r="I1918" s="43">
        <f>IF($B1918="","",N($G1918)-N($H1918))</f>
        <v/>
      </c>
    </row>
    <row r="1919">
      <c r="A1919" s="39">
        <f>IF($B1919="","",COUNTA($B$4:$B1919))</f>
        <v/>
      </c>
      <c r="B1919" s="45" t="n"/>
      <c r="C1919" s="46" t="n"/>
      <c r="D1919" s="46" t="n"/>
      <c r="E1919" s="46" t="n"/>
      <c r="F1919" s="51" t="n"/>
      <c r="G1919" s="47" t="n"/>
      <c r="H1919" s="47" t="n"/>
      <c r="I1919" s="43">
        <f>IF($B1919="","",N($G1919)-N($H1919))</f>
        <v/>
      </c>
    </row>
    <row r="1920">
      <c r="A1920" s="39">
        <f>IF($B1920="","",COUNTA($B$4:$B1920))</f>
        <v/>
      </c>
      <c r="B1920" s="40" t="n"/>
      <c r="C1920" s="41" t="n"/>
      <c r="D1920" s="41" t="n"/>
      <c r="E1920" s="41" t="n"/>
      <c r="F1920" s="50" t="n"/>
      <c r="G1920" s="42" t="n"/>
      <c r="H1920" s="42" t="n"/>
      <c r="I1920" s="43">
        <f>IF($B1920="","",N($G1920)-N($H1920))</f>
        <v/>
      </c>
    </row>
    <row r="1921">
      <c r="A1921" s="39">
        <f>IF($B1921="","",COUNTA($B$4:$B1921))</f>
        <v/>
      </c>
      <c r="B1921" s="45" t="n"/>
      <c r="C1921" s="46" t="n"/>
      <c r="D1921" s="46" t="n"/>
      <c r="E1921" s="46" t="n"/>
      <c r="F1921" s="51" t="n"/>
      <c r="G1921" s="47" t="n"/>
      <c r="H1921" s="47" t="n"/>
      <c r="I1921" s="43">
        <f>IF($B1921="","",N($G1921)-N($H1921))</f>
        <v/>
      </c>
    </row>
    <row r="1922">
      <c r="A1922" s="39">
        <f>IF($B1922="","",COUNTA($B$4:$B1922))</f>
        <v/>
      </c>
      <c r="B1922" s="40" t="n"/>
      <c r="C1922" s="41" t="n"/>
      <c r="D1922" s="41" t="n"/>
      <c r="E1922" s="41" t="n"/>
      <c r="F1922" s="50" t="n"/>
      <c r="G1922" s="42" t="n"/>
      <c r="H1922" s="42" t="n"/>
      <c r="I1922" s="43">
        <f>IF($B1922="","",N($G1922)-N($H1922))</f>
        <v/>
      </c>
    </row>
    <row r="1923">
      <c r="A1923" s="39">
        <f>IF($B1923="","",COUNTA($B$4:$B1923))</f>
        <v/>
      </c>
      <c r="B1923" s="45" t="n"/>
      <c r="C1923" s="46" t="n"/>
      <c r="D1923" s="46" t="n"/>
      <c r="E1923" s="46" t="n"/>
      <c r="F1923" s="51" t="n"/>
      <c r="G1923" s="47" t="n"/>
      <c r="H1923" s="47" t="n"/>
      <c r="I1923" s="43">
        <f>IF($B1923="","",N($G1923)-N($H1923))</f>
        <v/>
      </c>
    </row>
    <row r="1924">
      <c r="A1924" s="39">
        <f>IF($B1924="","",COUNTA($B$4:$B1924))</f>
        <v/>
      </c>
      <c r="B1924" s="40" t="n"/>
      <c r="C1924" s="41" t="n"/>
      <c r="D1924" s="41" t="n"/>
      <c r="E1924" s="41" t="n"/>
      <c r="F1924" s="50" t="n"/>
      <c r="G1924" s="42" t="n"/>
      <c r="H1924" s="42" t="n"/>
      <c r="I1924" s="43">
        <f>IF($B1924="","",N($G1924)-N($H1924))</f>
        <v/>
      </c>
    </row>
    <row r="1925">
      <c r="A1925" s="39">
        <f>IF($B1925="","",COUNTA($B$4:$B1925))</f>
        <v/>
      </c>
      <c r="B1925" s="45" t="n"/>
      <c r="C1925" s="46" t="n"/>
      <c r="D1925" s="46" t="n"/>
      <c r="E1925" s="46" t="n"/>
      <c r="F1925" s="51" t="n"/>
      <c r="G1925" s="47" t="n"/>
      <c r="H1925" s="47" t="n"/>
      <c r="I1925" s="43">
        <f>IF($B1925="","",N($G1925)-N($H1925))</f>
        <v/>
      </c>
    </row>
    <row r="1926">
      <c r="A1926" s="39">
        <f>IF($B1926="","",COUNTA($B$4:$B1926))</f>
        <v/>
      </c>
      <c r="B1926" s="40" t="n"/>
      <c r="C1926" s="41" t="n"/>
      <c r="D1926" s="41" t="n"/>
      <c r="E1926" s="41" t="n"/>
      <c r="F1926" s="50" t="n"/>
      <c r="G1926" s="42" t="n"/>
      <c r="H1926" s="42" t="n"/>
      <c r="I1926" s="43">
        <f>IF($B1926="","",N($G1926)-N($H1926))</f>
        <v/>
      </c>
    </row>
    <row r="1927">
      <c r="A1927" s="39">
        <f>IF($B1927="","",COUNTA($B$4:$B1927))</f>
        <v/>
      </c>
      <c r="B1927" s="45" t="n"/>
      <c r="C1927" s="46" t="n"/>
      <c r="D1927" s="46" t="n"/>
      <c r="E1927" s="46" t="n"/>
      <c r="F1927" s="51" t="n"/>
      <c r="G1927" s="47" t="n"/>
      <c r="H1927" s="47" t="n"/>
      <c r="I1927" s="43">
        <f>IF($B1927="","",N($G1927)-N($H1927))</f>
        <v/>
      </c>
    </row>
    <row r="1928">
      <c r="A1928" s="39">
        <f>IF($B1928="","",COUNTA($B$4:$B1928))</f>
        <v/>
      </c>
      <c r="B1928" s="40" t="n"/>
      <c r="C1928" s="41" t="n"/>
      <c r="D1928" s="41" t="n"/>
      <c r="E1928" s="41" t="n"/>
      <c r="F1928" s="50" t="n"/>
      <c r="G1928" s="42" t="n"/>
      <c r="H1928" s="42" t="n"/>
      <c r="I1928" s="43">
        <f>IF($B1928="","",N($G1928)-N($H1928))</f>
        <v/>
      </c>
    </row>
    <row r="1929">
      <c r="A1929" s="39">
        <f>IF($B1929="","",COUNTA($B$4:$B1929))</f>
        <v/>
      </c>
      <c r="B1929" s="45" t="n"/>
      <c r="C1929" s="46" t="n"/>
      <c r="D1929" s="46" t="n"/>
      <c r="E1929" s="46" t="n"/>
      <c r="F1929" s="51" t="n"/>
      <c r="G1929" s="47" t="n"/>
      <c r="H1929" s="47" t="n"/>
      <c r="I1929" s="43">
        <f>IF($B1929="","",N($G1929)-N($H1929))</f>
        <v/>
      </c>
    </row>
    <row r="1930">
      <c r="A1930" s="39">
        <f>IF($B1930="","",COUNTA($B$4:$B1930))</f>
        <v/>
      </c>
      <c r="B1930" s="40" t="n"/>
      <c r="C1930" s="41" t="n"/>
      <c r="D1930" s="41" t="n"/>
      <c r="E1930" s="41" t="n"/>
      <c r="F1930" s="50" t="n"/>
      <c r="G1930" s="42" t="n"/>
      <c r="H1930" s="42" t="n"/>
      <c r="I1930" s="43">
        <f>IF($B1930="","",N($G1930)-N($H1930))</f>
        <v/>
      </c>
    </row>
    <row r="1931">
      <c r="A1931" s="39">
        <f>IF($B1931="","",COUNTA($B$4:$B1931))</f>
        <v/>
      </c>
      <c r="B1931" s="45" t="n"/>
      <c r="C1931" s="46" t="n"/>
      <c r="D1931" s="46" t="n"/>
      <c r="E1931" s="46" t="n"/>
      <c r="F1931" s="51" t="n"/>
      <c r="G1931" s="47" t="n"/>
      <c r="H1931" s="47" t="n"/>
      <c r="I1931" s="43">
        <f>IF($B1931="","",N($G1931)-N($H1931))</f>
        <v/>
      </c>
    </row>
    <row r="1932">
      <c r="A1932" s="39">
        <f>IF($B1932="","",COUNTA($B$4:$B1932))</f>
        <v/>
      </c>
      <c r="B1932" s="40" t="n"/>
      <c r="C1932" s="41" t="n"/>
      <c r="D1932" s="41" t="n"/>
      <c r="E1932" s="41" t="n"/>
      <c r="F1932" s="50" t="n"/>
      <c r="G1932" s="42" t="n"/>
      <c r="H1932" s="42" t="n"/>
      <c r="I1932" s="43">
        <f>IF($B1932="","",N($G1932)-N($H1932))</f>
        <v/>
      </c>
    </row>
    <row r="1933">
      <c r="A1933" s="39">
        <f>IF($B1933="","",COUNTA($B$4:$B1933))</f>
        <v/>
      </c>
      <c r="B1933" s="45" t="n"/>
      <c r="C1933" s="46" t="n"/>
      <c r="D1933" s="46" t="n"/>
      <c r="E1933" s="46" t="n"/>
      <c r="F1933" s="51" t="n"/>
      <c r="G1933" s="47" t="n"/>
      <c r="H1933" s="47" t="n"/>
      <c r="I1933" s="43">
        <f>IF($B1933="","",N($G1933)-N($H1933))</f>
        <v/>
      </c>
    </row>
    <row r="1934">
      <c r="A1934" s="39">
        <f>IF($B1934="","",COUNTA($B$4:$B1934))</f>
        <v/>
      </c>
      <c r="B1934" s="40" t="n"/>
      <c r="C1934" s="41" t="n"/>
      <c r="D1934" s="41" t="n"/>
      <c r="E1934" s="41" t="n"/>
      <c r="F1934" s="50" t="n"/>
      <c r="G1934" s="42" t="n"/>
      <c r="H1934" s="42" t="n"/>
      <c r="I1934" s="43">
        <f>IF($B1934="","",N($G1934)-N($H1934))</f>
        <v/>
      </c>
    </row>
    <row r="1935">
      <c r="A1935" s="39">
        <f>IF($B1935="","",COUNTA($B$4:$B1935))</f>
        <v/>
      </c>
      <c r="B1935" s="45" t="n"/>
      <c r="C1935" s="46" t="n"/>
      <c r="D1935" s="46" t="n"/>
      <c r="E1935" s="46" t="n"/>
      <c r="F1935" s="51" t="n"/>
      <c r="G1935" s="47" t="n"/>
      <c r="H1935" s="47" t="n"/>
      <c r="I1935" s="43">
        <f>IF($B1935="","",N($G1935)-N($H1935))</f>
        <v/>
      </c>
    </row>
    <row r="1936">
      <c r="A1936" s="39">
        <f>IF($B1936="","",COUNTA($B$4:$B1936))</f>
        <v/>
      </c>
      <c r="B1936" s="40" t="n"/>
      <c r="C1936" s="41" t="n"/>
      <c r="D1936" s="41" t="n"/>
      <c r="E1936" s="41" t="n"/>
      <c r="F1936" s="50" t="n"/>
      <c r="G1936" s="42" t="n"/>
      <c r="H1936" s="42" t="n"/>
      <c r="I1936" s="43">
        <f>IF($B1936="","",N($G1936)-N($H1936))</f>
        <v/>
      </c>
    </row>
    <row r="1937">
      <c r="A1937" s="39">
        <f>IF($B1937="","",COUNTA($B$4:$B1937))</f>
        <v/>
      </c>
      <c r="B1937" s="45" t="n"/>
      <c r="C1937" s="46" t="n"/>
      <c r="D1937" s="46" t="n"/>
      <c r="E1937" s="46" t="n"/>
      <c r="F1937" s="51" t="n"/>
      <c r="G1937" s="47" t="n"/>
      <c r="H1937" s="47" t="n"/>
      <c r="I1937" s="43">
        <f>IF($B1937="","",N($G1937)-N($H1937))</f>
        <v/>
      </c>
    </row>
    <row r="1938">
      <c r="A1938" s="39">
        <f>IF($B1938="","",COUNTA($B$4:$B1938))</f>
        <v/>
      </c>
      <c r="B1938" s="40" t="n"/>
      <c r="C1938" s="41" t="n"/>
      <c r="D1938" s="41" t="n"/>
      <c r="E1938" s="41" t="n"/>
      <c r="F1938" s="50" t="n"/>
      <c r="G1938" s="42" t="n"/>
      <c r="H1938" s="42" t="n"/>
      <c r="I1938" s="43">
        <f>IF($B1938="","",N($G1938)-N($H1938))</f>
        <v/>
      </c>
    </row>
    <row r="1939">
      <c r="A1939" s="39">
        <f>IF($B1939="","",COUNTA($B$4:$B1939))</f>
        <v/>
      </c>
      <c r="B1939" s="45" t="n"/>
      <c r="C1939" s="46" t="n"/>
      <c r="D1939" s="46" t="n"/>
      <c r="E1939" s="46" t="n"/>
      <c r="F1939" s="51" t="n"/>
      <c r="G1939" s="47" t="n"/>
      <c r="H1939" s="47" t="n"/>
      <c r="I1939" s="43">
        <f>IF($B1939="","",N($G1939)-N($H1939))</f>
        <v/>
      </c>
    </row>
    <row r="1940">
      <c r="A1940" s="39">
        <f>IF($B1940="","",COUNTA($B$4:$B1940))</f>
        <v/>
      </c>
      <c r="B1940" s="40" t="n"/>
      <c r="C1940" s="41" t="n"/>
      <c r="D1940" s="41" t="n"/>
      <c r="E1940" s="41" t="n"/>
      <c r="F1940" s="50" t="n"/>
      <c r="G1940" s="42" t="n"/>
      <c r="H1940" s="42" t="n"/>
      <c r="I1940" s="43">
        <f>IF($B1940="","",N($G1940)-N($H1940))</f>
        <v/>
      </c>
    </row>
    <row r="1941">
      <c r="A1941" s="39">
        <f>IF($B1941="","",COUNTA($B$4:$B1941))</f>
        <v/>
      </c>
      <c r="B1941" s="45" t="n"/>
      <c r="C1941" s="46" t="n"/>
      <c r="D1941" s="46" t="n"/>
      <c r="E1941" s="46" t="n"/>
      <c r="F1941" s="51" t="n"/>
      <c r="G1941" s="47" t="n"/>
      <c r="H1941" s="47" t="n"/>
      <c r="I1941" s="43">
        <f>IF($B1941="","",N($G1941)-N($H1941))</f>
        <v/>
      </c>
    </row>
    <row r="1942">
      <c r="A1942" s="39">
        <f>IF($B1942="","",COUNTA($B$4:$B1942))</f>
        <v/>
      </c>
      <c r="B1942" s="40" t="n"/>
      <c r="C1942" s="41" t="n"/>
      <c r="D1942" s="41" t="n"/>
      <c r="E1942" s="41" t="n"/>
      <c r="F1942" s="50" t="n"/>
      <c r="G1942" s="42" t="n"/>
      <c r="H1942" s="42" t="n"/>
      <c r="I1942" s="43">
        <f>IF($B1942="","",N($G1942)-N($H1942))</f>
        <v/>
      </c>
    </row>
    <row r="1943">
      <c r="A1943" s="39">
        <f>IF($B1943="","",COUNTA($B$4:$B1943))</f>
        <v/>
      </c>
      <c r="B1943" s="45" t="n"/>
      <c r="C1943" s="46" t="n"/>
      <c r="D1943" s="46" t="n"/>
      <c r="E1943" s="46" t="n"/>
      <c r="F1943" s="51" t="n"/>
      <c r="G1943" s="47" t="n"/>
      <c r="H1943" s="47" t="n"/>
      <c r="I1943" s="43">
        <f>IF($B1943="","",N($G1943)-N($H1943))</f>
        <v/>
      </c>
    </row>
    <row r="1944">
      <c r="A1944" s="39">
        <f>IF($B1944="","",COUNTA($B$4:$B1944))</f>
        <v/>
      </c>
      <c r="B1944" s="40" t="n"/>
      <c r="C1944" s="41" t="n"/>
      <c r="D1944" s="41" t="n"/>
      <c r="E1944" s="41" t="n"/>
      <c r="F1944" s="50" t="n"/>
      <c r="G1944" s="42" t="n"/>
      <c r="H1944" s="42" t="n"/>
      <c r="I1944" s="43">
        <f>IF($B1944="","",N($G1944)-N($H1944))</f>
        <v/>
      </c>
    </row>
    <row r="1945">
      <c r="A1945" s="39">
        <f>IF($B1945="","",COUNTA($B$4:$B1945))</f>
        <v/>
      </c>
      <c r="B1945" s="45" t="n"/>
      <c r="C1945" s="46" t="n"/>
      <c r="D1945" s="46" t="n"/>
      <c r="E1945" s="46" t="n"/>
      <c r="F1945" s="51" t="n"/>
      <c r="G1945" s="47" t="n"/>
      <c r="H1945" s="47" t="n"/>
      <c r="I1945" s="43">
        <f>IF($B1945="","",N($G1945)-N($H1945))</f>
        <v/>
      </c>
    </row>
    <row r="1946">
      <c r="A1946" s="39">
        <f>IF($B1946="","",COUNTA($B$4:$B1946))</f>
        <v/>
      </c>
      <c r="B1946" s="40" t="n"/>
      <c r="C1946" s="41" t="n"/>
      <c r="D1946" s="41" t="n"/>
      <c r="E1946" s="41" t="n"/>
      <c r="F1946" s="50" t="n"/>
      <c r="G1946" s="42" t="n"/>
      <c r="H1946" s="42" t="n"/>
      <c r="I1946" s="43">
        <f>IF($B1946="","",N($G1946)-N($H1946))</f>
        <v/>
      </c>
    </row>
    <row r="1947">
      <c r="A1947" s="39">
        <f>IF($B1947="","",COUNTA($B$4:$B1947))</f>
        <v/>
      </c>
      <c r="B1947" s="45" t="n"/>
      <c r="C1947" s="46" t="n"/>
      <c r="D1947" s="46" t="n"/>
      <c r="E1947" s="46" t="n"/>
      <c r="F1947" s="51" t="n"/>
      <c r="G1947" s="47" t="n"/>
      <c r="H1947" s="47" t="n"/>
      <c r="I1947" s="43">
        <f>IF($B1947="","",N($G1947)-N($H1947))</f>
        <v/>
      </c>
    </row>
    <row r="1948">
      <c r="A1948" s="39">
        <f>IF($B1948="","",COUNTA($B$4:$B1948))</f>
        <v/>
      </c>
      <c r="B1948" s="40" t="n"/>
      <c r="C1948" s="41" t="n"/>
      <c r="D1948" s="41" t="n"/>
      <c r="E1948" s="41" t="n"/>
      <c r="F1948" s="50" t="n"/>
      <c r="G1948" s="42" t="n"/>
      <c r="H1948" s="42" t="n"/>
      <c r="I1948" s="43">
        <f>IF($B1948="","",N($G1948)-N($H1948))</f>
        <v/>
      </c>
    </row>
    <row r="1949">
      <c r="A1949" s="39">
        <f>IF($B1949="","",COUNTA($B$4:$B1949))</f>
        <v/>
      </c>
      <c r="B1949" s="45" t="n"/>
      <c r="C1949" s="46" t="n"/>
      <c r="D1949" s="46" t="n"/>
      <c r="E1949" s="46" t="n"/>
      <c r="F1949" s="51" t="n"/>
      <c r="G1949" s="47" t="n"/>
      <c r="H1949" s="47" t="n"/>
      <c r="I1949" s="43">
        <f>IF($B1949="","",N($G1949)-N($H1949))</f>
        <v/>
      </c>
    </row>
    <row r="1950">
      <c r="A1950" s="39">
        <f>IF($B1950="","",COUNTA($B$4:$B1950))</f>
        <v/>
      </c>
      <c r="B1950" s="40" t="n"/>
      <c r="C1950" s="41" t="n"/>
      <c r="D1950" s="41" t="n"/>
      <c r="E1950" s="41" t="n"/>
      <c r="F1950" s="50" t="n"/>
      <c r="G1950" s="42" t="n"/>
      <c r="H1950" s="42" t="n"/>
      <c r="I1950" s="43">
        <f>IF($B1950="","",N($G1950)-N($H1950))</f>
        <v/>
      </c>
    </row>
    <row r="1951">
      <c r="A1951" s="39">
        <f>IF($B1951="","",COUNTA($B$4:$B1951))</f>
        <v/>
      </c>
      <c r="B1951" s="45" t="n"/>
      <c r="C1951" s="46" t="n"/>
      <c r="D1951" s="46" t="n"/>
      <c r="E1951" s="46" t="n"/>
      <c r="F1951" s="51" t="n"/>
      <c r="G1951" s="47" t="n"/>
      <c r="H1951" s="47" t="n"/>
      <c r="I1951" s="43">
        <f>IF($B1951="","",N($G1951)-N($H1951))</f>
        <v/>
      </c>
    </row>
    <row r="1952">
      <c r="A1952" s="39">
        <f>IF($B1952="","",COUNTA($B$4:$B1952))</f>
        <v/>
      </c>
      <c r="B1952" s="40" t="n"/>
      <c r="C1952" s="41" t="n"/>
      <c r="D1952" s="41" t="n"/>
      <c r="E1952" s="41" t="n"/>
      <c r="F1952" s="50" t="n"/>
      <c r="G1952" s="42" t="n"/>
      <c r="H1952" s="42" t="n"/>
      <c r="I1952" s="43">
        <f>IF($B1952="","",N($G1952)-N($H1952))</f>
        <v/>
      </c>
    </row>
    <row r="1953">
      <c r="A1953" s="39">
        <f>IF($B1953="","",COUNTA($B$4:$B1953))</f>
        <v/>
      </c>
      <c r="B1953" s="45" t="n"/>
      <c r="C1953" s="46" t="n"/>
      <c r="D1953" s="46" t="n"/>
      <c r="E1953" s="46" t="n"/>
      <c r="F1953" s="51" t="n"/>
      <c r="G1953" s="47" t="n"/>
      <c r="H1953" s="47" t="n"/>
      <c r="I1953" s="43">
        <f>IF($B1953="","",N($G1953)-N($H1953))</f>
        <v/>
      </c>
    </row>
    <row r="1954">
      <c r="A1954" s="39">
        <f>IF($B1954="","",COUNTA($B$4:$B1954))</f>
        <v/>
      </c>
      <c r="B1954" s="40" t="n"/>
      <c r="C1954" s="41" t="n"/>
      <c r="D1954" s="41" t="n"/>
      <c r="E1954" s="41" t="n"/>
      <c r="F1954" s="50" t="n"/>
      <c r="G1954" s="42" t="n"/>
      <c r="H1954" s="42" t="n"/>
      <c r="I1954" s="43">
        <f>IF($B1954="","",N($G1954)-N($H1954))</f>
        <v/>
      </c>
    </row>
    <row r="1955">
      <c r="A1955" s="39">
        <f>IF($B1955="","",COUNTA($B$4:$B1955))</f>
        <v/>
      </c>
      <c r="B1955" s="45" t="n"/>
      <c r="C1955" s="46" t="n"/>
      <c r="D1955" s="46" t="n"/>
      <c r="E1955" s="46" t="n"/>
      <c r="F1955" s="51" t="n"/>
      <c r="G1955" s="47" t="n"/>
      <c r="H1955" s="47" t="n"/>
      <c r="I1955" s="43">
        <f>IF($B1955="","",N($G1955)-N($H1955))</f>
        <v/>
      </c>
    </row>
    <row r="1956">
      <c r="A1956" s="39">
        <f>IF($B1956="","",COUNTA($B$4:$B1956))</f>
        <v/>
      </c>
      <c r="B1956" s="40" t="n"/>
      <c r="C1956" s="41" t="n"/>
      <c r="D1956" s="41" t="n"/>
      <c r="E1956" s="41" t="n"/>
      <c r="F1956" s="50" t="n"/>
      <c r="G1956" s="42" t="n"/>
      <c r="H1956" s="42" t="n"/>
      <c r="I1956" s="43">
        <f>IF($B1956="","",N($G1956)-N($H1956))</f>
        <v/>
      </c>
    </row>
    <row r="1957">
      <c r="A1957" s="39">
        <f>IF($B1957="","",COUNTA($B$4:$B1957))</f>
        <v/>
      </c>
      <c r="B1957" s="45" t="n"/>
      <c r="C1957" s="46" t="n"/>
      <c r="D1957" s="46" t="n"/>
      <c r="E1957" s="46" t="n"/>
      <c r="F1957" s="51" t="n"/>
      <c r="G1957" s="47" t="n"/>
      <c r="H1957" s="47" t="n"/>
      <c r="I1957" s="43">
        <f>IF($B1957="","",N($G1957)-N($H1957))</f>
        <v/>
      </c>
    </row>
    <row r="1958">
      <c r="A1958" s="39">
        <f>IF($B1958="","",COUNTA($B$4:$B1958))</f>
        <v/>
      </c>
      <c r="B1958" s="40" t="n"/>
      <c r="C1958" s="41" t="n"/>
      <c r="D1958" s="41" t="n"/>
      <c r="E1958" s="41" t="n"/>
      <c r="F1958" s="50" t="n"/>
      <c r="G1958" s="42" t="n"/>
      <c r="H1958" s="42" t="n"/>
      <c r="I1958" s="43">
        <f>IF($B1958="","",N($G1958)-N($H1958))</f>
        <v/>
      </c>
    </row>
    <row r="1959">
      <c r="A1959" s="39">
        <f>IF($B1959="","",COUNTA($B$4:$B1959))</f>
        <v/>
      </c>
      <c r="B1959" s="45" t="n"/>
      <c r="C1959" s="46" t="n"/>
      <c r="D1959" s="46" t="n"/>
      <c r="E1959" s="46" t="n"/>
      <c r="F1959" s="51" t="n"/>
      <c r="G1959" s="47" t="n"/>
      <c r="H1959" s="47" t="n"/>
      <c r="I1959" s="43">
        <f>IF($B1959="","",N($G1959)-N($H1959))</f>
        <v/>
      </c>
    </row>
    <row r="1960">
      <c r="A1960" s="39">
        <f>IF($B1960="","",COUNTA($B$4:$B1960))</f>
        <v/>
      </c>
      <c r="B1960" s="40" t="n"/>
      <c r="C1960" s="41" t="n"/>
      <c r="D1960" s="41" t="n"/>
      <c r="E1960" s="41" t="n"/>
      <c r="F1960" s="50" t="n"/>
      <c r="G1960" s="42" t="n"/>
      <c r="H1960" s="42" t="n"/>
      <c r="I1960" s="43">
        <f>IF($B1960="","",N($G1960)-N($H1960))</f>
        <v/>
      </c>
    </row>
    <row r="1961">
      <c r="A1961" s="39">
        <f>IF($B1961="","",COUNTA($B$4:$B1961))</f>
        <v/>
      </c>
      <c r="B1961" s="45" t="n"/>
      <c r="C1961" s="46" t="n"/>
      <c r="D1961" s="46" t="n"/>
      <c r="E1961" s="46" t="n"/>
      <c r="F1961" s="51" t="n"/>
      <c r="G1961" s="47" t="n"/>
      <c r="H1961" s="47" t="n"/>
      <c r="I1961" s="43">
        <f>IF($B1961="","",N($G1961)-N($H1961))</f>
        <v/>
      </c>
    </row>
    <row r="1962">
      <c r="A1962" s="39">
        <f>IF($B1962="","",COUNTA($B$4:$B1962))</f>
        <v/>
      </c>
      <c r="B1962" s="40" t="n"/>
      <c r="C1962" s="41" t="n"/>
      <c r="D1962" s="41" t="n"/>
      <c r="E1962" s="41" t="n"/>
      <c r="F1962" s="50" t="n"/>
      <c r="G1962" s="42" t="n"/>
      <c r="H1962" s="42" t="n"/>
      <c r="I1962" s="43">
        <f>IF($B1962="","",N($G1962)-N($H1962))</f>
        <v/>
      </c>
    </row>
    <row r="1963">
      <c r="A1963" s="39">
        <f>IF($B1963="","",COUNTA($B$4:$B1963))</f>
        <v/>
      </c>
      <c r="B1963" s="45" t="n"/>
      <c r="C1963" s="46" t="n"/>
      <c r="D1963" s="46" t="n"/>
      <c r="E1963" s="46" t="n"/>
      <c r="F1963" s="51" t="n"/>
      <c r="G1963" s="47" t="n"/>
      <c r="H1963" s="47" t="n"/>
      <c r="I1963" s="43">
        <f>IF($B1963="","",N($G1963)-N($H1963))</f>
        <v/>
      </c>
    </row>
    <row r="1964">
      <c r="A1964" s="39">
        <f>IF($B1964="","",COUNTA($B$4:$B1964))</f>
        <v/>
      </c>
      <c r="B1964" s="40" t="n"/>
      <c r="C1964" s="41" t="n"/>
      <c r="D1964" s="41" t="n"/>
      <c r="E1964" s="41" t="n"/>
      <c r="F1964" s="50" t="n"/>
      <c r="G1964" s="42" t="n"/>
      <c r="H1964" s="42" t="n"/>
      <c r="I1964" s="43">
        <f>IF($B1964="","",N($G1964)-N($H1964))</f>
        <v/>
      </c>
    </row>
    <row r="1965">
      <c r="A1965" s="39">
        <f>IF($B1965="","",COUNTA($B$4:$B1965))</f>
        <v/>
      </c>
      <c r="B1965" s="45" t="n"/>
      <c r="C1965" s="46" t="n"/>
      <c r="D1965" s="46" t="n"/>
      <c r="E1965" s="46" t="n"/>
      <c r="F1965" s="51" t="n"/>
      <c r="G1965" s="47" t="n"/>
      <c r="H1965" s="47" t="n"/>
      <c r="I1965" s="43">
        <f>IF($B1965="","",N($G1965)-N($H1965))</f>
        <v/>
      </c>
    </row>
    <row r="1966">
      <c r="A1966" s="39">
        <f>IF($B1966="","",COUNTA($B$4:$B1966))</f>
        <v/>
      </c>
      <c r="B1966" s="40" t="n"/>
      <c r="C1966" s="41" t="n"/>
      <c r="D1966" s="41" t="n"/>
      <c r="E1966" s="41" t="n"/>
      <c r="F1966" s="50" t="n"/>
      <c r="G1966" s="42" t="n"/>
      <c r="H1966" s="42" t="n"/>
      <c r="I1966" s="43">
        <f>IF($B1966="","",N($G1966)-N($H1966))</f>
        <v/>
      </c>
    </row>
    <row r="1967">
      <c r="A1967" s="39">
        <f>IF($B1967="","",COUNTA($B$4:$B1967))</f>
        <v/>
      </c>
      <c r="B1967" s="45" t="n"/>
      <c r="C1967" s="46" t="n"/>
      <c r="D1967" s="46" t="n"/>
      <c r="E1967" s="46" t="n"/>
      <c r="F1967" s="51" t="n"/>
      <c r="G1967" s="47" t="n"/>
      <c r="H1967" s="47" t="n"/>
      <c r="I1967" s="43">
        <f>IF($B1967="","",N($G1967)-N($H1967))</f>
        <v/>
      </c>
    </row>
    <row r="1968">
      <c r="A1968" s="39">
        <f>IF($B1968="","",COUNTA($B$4:$B1968))</f>
        <v/>
      </c>
      <c r="B1968" s="40" t="n"/>
      <c r="C1968" s="41" t="n"/>
      <c r="D1968" s="41" t="n"/>
      <c r="E1968" s="41" t="n"/>
      <c r="F1968" s="50" t="n"/>
      <c r="G1968" s="42" t="n"/>
      <c r="H1968" s="42" t="n"/>
      <c r="I1968" s="43">
        <f>IF($B1968="","",N($G1968)-N($H1968))</f>
        <v/>
      </c>
    </row>
    <row r="1969">
      <c r="A1969" s="39">
        <f>IF($B1969="","",COUNTA($B$4:$B1969))</f>
        <v/>
      </c>
      <c r="B1969" s="45" t="n"/>
      <c r="C1969" s="46" t="n"/>
      <c r="D1969" s="46" t="n"/>
      <c r="E1969" s="46" t="n"/>
      <c r="F1969" s="51" t="n"/>
      <c r="G1969" s="47" t="n"/>
      <c r="H1969" s="47" t="n"/>
      <c r="I1969" s="43">
        <f>IF($B1969="","",N($G1969)-N($H1969))</f>
        <v/>
      </c>
    </row>
    <row r="1970">
      <c r="A1970" s="39">
        <f>IF($B1970="","",COUNTA($B$4:$B1970))</f>
        <v/>
      </c>
      <c r="B1970" s="40" t="n"/>
      <c r="C1970" s="41" t="n"/>
      <c r="D1970" s="41" t="n"/>
      <c r="E1970" s="41" t="n"/>
      <c r="F1970" s="50" t="n"/>
      <c r="G1970" s="42" t="n"/>
      <c r="H1970" s="42" t="n"/>
      <c r="I1970" s="43">
        <f>IF($B1970="","",N($G1970)-N($H1970))</f>
        <v/>
      </c>
    </row>
    <row r="1971">
      <c r="A1971" s="39">
        <f>IF($B1971="","",COUNTA($B$4:$B1971))</f>
        <v/>
      </c>
      <c r="B1971" s="45" t="n"/>
      <c r="C1971" s="46" t="n"/>
      <c r="D1971" s="46" t="n"/>
      <c r="E1971" s="46" t="n"/>
      <c r="F1971" s="51" t="n"/>
      <c r="G1971" s="47" t="n"/>
      <c r="H1971" s="47" t="n"/>
      <c r="I1971" s="43">
        <f>IF($B1971="","",N($G1971)-N($H1971))</f>
        <v/>
      </c>
    </row>
    <row r="1972">
      <c r="A1972" s="39">
        <f>IF($B1972="","",COUNTA($B$4:$B1972))</f>
        <v/>
      </c>
      <c r="B1972" s="40" t="n"/>
      <c r="C1972" s="41" t="n"/>
      <c r="D1972" s="41" t="n"/>
      <c r="E1972" s="41" t="n"/>
      <c r="F1972" s="50" t="n"/>
      <c r="G1972" s="42" t="n"/>
      <c r="H1972" s="42" t="n"/>
      <c r="I1972" s="43">
        <f>IF($B1972="","",N($G1972)-N($H1972))</f>
        <v/>
      </c>
    </row>
    <row r="1973">
      <c r="A1973" s="39">
        <f>IF($B1973="","",COUNTA($B$4:$B1973))</f>
        <v/>
      </c>
      <c r="B1973" s="45" t="n"/>
      <c r="C1973" s="46" t="n"/>
      <c r="D1973" s="46" t="n"/>
      <c r="E1973" s="46" t="n"/>
      <c r="F1973" s="51" t="n"/>
      <c r="G1973" s="47" t="n"/>
      <c r="H1973" s="47" t="n"/>
      <c r="I1973" s="43">
        <f>IF($B1973="","",N($G1973)-N($H1973))</f>
        <v/>
      </c>
    </row>
    <row r="1974">
      <c r="A1974" s="39">
        <f>IF($B1974="","",COUNTA($B$4:$B1974))</f>
        <v/>
      </c>
      <c r="B1974" s="40" t="n"/>
      <c r="C1974" s="41" t="n"/>
      <c r="D1974" s="41" t="n"/>
      <c r="E1974" s="41" t="n"/>
      <c r="F1974" s="50" t="n"/>
      <c r="G1974" s="42" t="n"/>
      <c r="H1974" s="42" t="n"/>
      <c r="I1974" s="43">
        <f>IF($B1974="","",N($G1974)-N($H1974))</f>
        <v/>
      </c>
    </row>
    <row r="1975">
      <c r="A1975" s="39">
        <f>IF($B1975="","",COUNTA($B$4:$B1975))</f>
        <v/>
      </c>
      <c r="B1975" s="45" t="n"/>
      <c r="C1975" s="46" t="n"/>
      <c r="D1975" s="46" t="n"/>
      <c r="E1975" s="46" t="n"/>
      <c r="F1975" s="51" t="n"/>
      <c r="G1975" s="47" t="n"/>
      <c r="H1975" s="47" t="n"/>
      <c r="I1975" s="43">
        <f>IF($B1975="","",N($G1975)-N($H1975))</f>
        <v/>
      </c>
    </row>
    <row r="1976">
      <c r="A1976" s="39">
        <f>IF($B1976="","",COUNTA($B$4:$B1976))</f>
        <v/>
      </c>
      <c r="B1976" s="40" t="n"/>
      <c r="C1976" s="41" t="n"/>
      <c r="D1976" s="41" t="n"/>
      <c r="E1976" s="41" t="n"/>
      <c r="F1976" s="50" t="n"/>
      <c r="G1976" s="42" t="n"/>
      <c r="H1976" s="42" t="n"/>
      <c r="I1976" s="43">
        <f>IF($B1976="","",N($G1976)-N($H1976))</f>
        <v/>
      </c>
    </row>
    <row r="1977">
      <c r="A1977" s="39">
        <f>IF($B1977="","",COUNTA($B$4:$B1977))</f>
        <v/>
      </c>
      <c r="B1977" s="45" t="n"/>
      <c r="C1977" s="46" t="n"/>
      <c r="D1977" s="46" t="n"/>
      <c r="E1977" s="46" t="n"/>
      <c r="F1977" s="51" t="n"/>
      <c r="G1977" s="47" t="n"/>
      <c r="H1977" s="47" t="n"/>
      <c r="I1977" s="43">
        <f>IF($B1977="","",N($G1977)-N($H1977))</f>
        <v/>
      </c>
    </row>
    <row r="1978">
      <c r="A1978" s="39">
        <f>IF($B1978="","",COUNTA($B$4:$B1978))</f>
        <v/>
      </c>
      <c r="B1978" s="40" t="n"/>
      <c r="C1978" s="41" t="n"/>
      <c r="D1978" s="41" t="n"/>
      <c r="E1978" s="41" t="n"/>
      <c r="F1978" s="50" t="n"/>
      <c r="G1978" s="42" t="n"/>
      <c r="H1978" s="42" t="n"/>
      <c r="I1978" s="43">
        <f>IF($B1978="","",N($G1978)-N($H1978))</f>
        <v/>
      </c>
    </row>
    <row r="1979">
      <c r="A1979" s="39">
        <f>IF($B1979="","",COUNTA($B$4:$B1979))</f>
        <v/>
      </c>
      <c r="B1979" s="45" t="n"/>
      <c r="C1979" s="46" t="n"/>
      <c r="D1979" s="46" t="n"/>
      <c r="E1979" s="46" t="n"/>
      <c r="F1979" s="51" t="n"/>
      <c r="G1979" s="47" t="n"/>
      <c r="H1979" s="47" t="n"/>
      <c r="I1979" s="43">
        <f>IF($B1979="","",N($G1979)-N($H1979))</f>
        <v/>
      </c>
    </row>
    <row r="1980">
      <c r="A1980" s="39">
        <f>IF($B1980="","",COUNTA($B$4:$B1980))</f>
        <v/>
      </c>
      <c r="B1980" s="40" t="n"/>
      <c r="C1980" s="41" t="n"/>
      <c r="D1980" s="41" t="n"/>
      <c r="E1980" s="41" t="n"/>
      <c r="F1980" s="50" t="n"/>
      <c r="G1980" s="42" t="n"/>
      <c r="H1980" s="42" t="n"/>
      <c r="I1980" s="43">
        <f>IF($B1980="","",N($G1980)-N($H1980))</f>
        <v/>
      </c>
    </row>
    <row r="1981">
      <c r="A1981" s="39">
        <f>IF($B1981="","",COUNTA($B$4:$B1981))</f>
        <v/>
      </c>
      <c r="B1981" s="45" t="n"/>
      <c r="C1981" s="46" t="n"/>
      <c r="D1981" s="46" t="n"/>
      <c r="E1981" s="46" t="n"/>
      <c r="F1981" s="51" t="n"/>
      <c r="G1981" s="47" t="n"/>
      <c r="H1981" s="47" t="n"/>
      <c r="I1981" s="43">
        <f>IF($B1981="","",N($G1981)-N($H1981))</f>
        <v/>
      </c>
    </row>
    <row r="1982">
      <c r="A1982" s="39">
        <f>IF($B1982="","",COUNTA($B$4:$B1982))</f>
        <v/>
      </c>
      <c r="B1982" s="40" t="n"/>
      <c r="C1982" s="41" t="n"/>
      <c r="D1982" s="41" t="n"/>
      <c r="E1982" s="41" t="n"/>
      <c r="F1982" s="50" t="n"/>
      <c r="G1982" s="42" t="n"/>
      <c r="H1982" s="42" t="n"/>
      <c r="I1982" s="43">
        <f>IF($B1982="","",N($G1982)-N($H1982))</f>
        <v/>
      </c>
    </row>
    <row r="1983">
      <c r="A1983" s="39">
        <f>IF($B1983="","",COUNTA($B$4:$B1983))</f>
        <v/>
      </c>
      <c r="B1983" s="45" t="n"/>
      <c r="C1983" s="46" t="n"/>
      <c r="D1983" s="46" t="n"/>
      <c r="E1983" s="46" t="n"/>
      <c r="F1983" s="51" t="n"/>
      <c r="G1983" s="47" t="n"/>
      <c r="H1983" s="47" t="n"/>
      <c r="I1983" s="43">
        <f>IF($B1983="","",N($G1983)-N($H1983))</f>
        <v/>
      </c>
    </row>
    <row r="1984">
      <c r="A1984" s="39">
        <f>IF($B1984="","",COUNTA($B$4:$B1984))</f>
        <v/>
      </c>
      <c r="B1984" s="40" t="n"/>
      <c r="C1984" s="41" t="n"/>
      <c r="D1984" s="41" t="n"/>
      <c r="E1984" s="41" t="n"/>
      <c r="F1984" s="50" t="n"/>
      <c r="G1984" s="42" t="n"/>
      <c r="H1984" s="42" t="n"/>
      <c r="I1984" s="43">
        <f>IF($B1984="","",N($G1984)-N($H1984))</f>
        <v/>
      </c>
    </row>
    <row r="1985">
      <c r="A1985" s="39">
        <f>IF($B1985="","",COUNTA($B$4:$B1985))</f>
        <v/>
      </c>
      <c r="B1985" s="45" t="n"/>
      <c r="C1985" s="46" t="n"/>
      <c r="D1985" s="46" t="n"/>
      <c r="E1985" s="46" t="n"/>
      <c r="F1985" s="51" t="n"/>
      <c r="G1985" s="47" t="n"/>
      <c r="H1985" s="47" t="n"/>
      <c r="I1985" s="43">
        <f>IF($B1985="","",N($G1985)-N($H1985))</f>
        <v/>
      </c>
    </row>
    <row r="1986">
      <c r="A1986" s="39">
        <f>IF($B1986="","",COUNTA($B$4:$B1986))</f>
        <v/>
      </c>
      <c r="B1986" s="40" t="n"/>
      <c r="C1986" s="41" t="n"/>
      <c r="D1986" s="41" t="n"/>
      <c r="E1986" s="41" t="n"/>
      <c r="F1986" s="50" t="n"/>
      <c r="G1986" s="42" t="n"/>
      <c r="H1986" s="42" t="n"/>
      <c r="I1986" s="43">
        <f>IF($B1986="","",N($G1986)-N($H1986))</f>
        <v/>
      </c>
    </row>
    <row r="1987">
      <c r="A1987" s="39">
        <f>IF($B1987="","",COUNTA($B$4:$B1987))</f>
        <v/>
      </c>
      <c r="B1987" s="45" t="n"/>
      <c r="C1987" s="46" t="n"/>
      <c r="D1987" s="46" t="n"/>
      <c r="E1987" s="46" t="n"/>
      <c r="F1987" s="51" t="n"/>
      <c r="G1987" s="47" t="n"/>
      <c r="H1987" s="47" t="n"/>
      <c r="I1987" s="43">
        <f>IF($B1987="","",N($G1987)-N($H1987))</f>
        <v/>
      </c>
    </row>
    <row r="1988">
      <c r="A1988" s="39">
        <f>IF($B1988="","",COUNTA($B$4:$B1988))</f>
        <v/>
      </c>
      <c r="B1988" s="40" t="n"/>
      <c r="C1988" s="41" t="n"/>
      <c r="D1988" s="41" t="n"/>
      <c r="E1988" s="41" t="n"/>
      <c r="F1988" s="50" t="n"/>
      <c r="G1988" s="42" t="n"/>
      <c r="H1988" s="42" t="n"/>
      <c r="I1988" s="43">
        <f>IF($B1988="","",N($G1988)-N($H1988))</f>
        <v/>
      </c>
    </row>
    <row r="1989">
      <c r="A1989" s="39">
        <f>IF($B1989="","",COUNTA($B$4:$B1989))</f>
        <v/>
      </c>
      <c r="B1989" s="45" t="n"/>
      <c r="C1989" s="46" t="n"/>
      <c r="D1989" s="46" t="n"/>
      <c r="E1989" s="46" t="n"/>
      <c r="F1989" s="51" t="n"/>
      <c r="G1989" s="47" t="n"/>
      <c r="H1989" s="47" t="n"/>
      <c r="I1989" s="43">
        <f>IF($B1989="","",N($G1989)-N($H1989))</f>
        <v/>
      </c>
    </row>
    <row r="1990">
      <c r="A1990" s="39">
        <f>IF($B1990="","",COUNTA($B$4:$B1990))</f>
        <v/>
      </c>
      <c r="B1990" s="40" t="n"/>
      <c r="C1990" s="41" t="n"/>
      <c r="D1990" s="41" t="n"/>
      <c r="E1990" s="41" t="n"/>
      <c r="F1990" s="50" t="n"/>
      <c r="G1990" s="42" t="n"/>
      <c r="H1990" s="42" t="n"/>
      <c r="I1990" s="43">
        <f>IF($B1990="","",N($G1990)-N($H1990))</f>
        <v/>
      </c>
    </row>
    <row r="1991">
      <c r="A1991" s="39">
        <f>IF($B1991="","",COUNTA($B$4:$B1991))</f>
        <v/>
      </c>
      <c r="B1991" s="45" t="n"/>
      <c r="C1991" s="46" t="n"/>
      <c r="D1991" s="46" t="n"/>
      <c r="E1991" s="46" t="n"/>
      <c r="F1991" s="51" t="n"/>
      <c r="G1991" s="47" t="n"/>
      <c r="H1991" s="47" t="n"/>
      <c r="I1991" s="43">
        <f>IF($B1991="","",N($G1991)-N($H1991))</f>
        <v/>
      </c>
    </row>
    <row r="1992">
      <c r="A1992" s="39">
        <f>IF($B1992="","",COUNTA($B$4:$B1992))</f>
        <v/>
      </c>
      <c r="B1992" s="40" t="n"/>
      <c r="C1992" s="41" t="n"/>
      <c r="D1992" s="41" t="n"/>
      <c r="E1992" s="41" t="n"/>
      <c r="F1992" s="50" t="n"/>
      <c r="G1992" s="42" t="n"/>
      <c r="H1992" s="42" t="n"/>
      <c r="I1992" s="43">
        <f>IF($B1992="","",N($G1992)-N($H1992))</f>
        <v/>
      </c>
    </row>
    <row r="1993">
      <c r="A1993" s="39">
        <f>IF($B1993="","",COUNTA($B$4:$B1993))</f>
        <v/>
      </c>
      <c r="B1993" s="45" t="n"/>
      <c r="C1993" s="46" t="n"/>
      <c r="D1993" s="46" t="n"/>
      <c r="E1993" s="46" t="n"/>
      <c r="F1993" s="51" t="n"/>
      <c r="G1993" s="47" t="n"/>
      <c r="H1993" s="47" t="n"/>
      <c r="I1993" s="43">
        <f>IF($B1993="","",N($G1993)-N($H1993))</f>
        <v/>
      </c>
    </row>
    <row r="1994">
      <c r="A1994" s="39">
        <f>IF($B1994="","",COUNTA($B$4:$B1994))</f>
        <v/>
      </c>
      <c r="B1994" s="40" t="n"/>
      <c r="C1994" s="41" t="n"/>
      <c r="D1994" s="41" t="n"/>
      <c r="E1994" s="41" t="n"/>
      <c r="F1994" s="50" t="n"/>
      <c r="G1994" s="42" t="n"/>
      <c r="H1994" s="42" t="n"/>
      <c r="I1994" s="43">
        <f>IF($B1994="","",N($G1994)-N($H1994))</f>
        <v/>
      </c>
    </row>
    <row r="1995">
      <c r="A1995" s="39">
        <f>IF($B1995="","",COUNTA($B$4:$B1995))</f>
        <v/>
      </c>
      <c r="B1995" s="45" t="n"/>
      <c r="C1995" s="46" t="n"/>
      <c r="D1995" s="46" t="n"/>
      <c r="E1995" s="46" t="n"/>
      <c r="F1995" s="51" t="n"/>
      <c r="G1995" s="47" t="n"/>
      <c r="H1995" s="47" t="n"/>
      <c r="I1995" s="43">
        <f>IF($B1995="","",N($G1995)-N($H1995))</f>
        <v/>
      </c>
    </row>
    <row r="1996">
      <c r="A1996" s="39">
        <f>IF($B1996="","",COUNTA($B$4:$B1996))</f>
        <v/>
      </c>
      <c r="B1996" s="40" t="n"/>
      <c r="C1996" s="41" t="n"/>
      <c r="D1996" s="41" t="n"/>
      <c r="E1996" s="41" t="n"/>
      <c r="F1996" s="50" t="n"/>
      <c r="G1996" s="42" t="n"/>
      <c r="H1996" s="42" t="n"/>
      <c r="I1996" s="43">
        <f>IF($B1996="","",N($G1996)-N($H1996))</f>
        <v/>
      </c>
    </row>
    <row r="1997">
      <c r="A1997" s="39">
        <f>IF($B1997="","",COUNTA($B$4:$B1997))</f>
        <v/>
      </c>
      <c r="B1997" s="45" t="n"/>
      <c r="C1997" s="46" t="n"/>
      <c r="D1997" s="46" t="n"/>
      <c r="E1997" s="46" t="n"/>
      <c r="F1997" s="51" t="n"/>
      <c r="G1997" s="47" t="n"/>
      <c r="H1997" s="47" t="n"/>
      <c r="I1997" s="43">
        <f>IF($B1997="","",N($G1997)-N($H1997))</f>
        <v/>
      </c>
    </row>
    <row r="1998">
      <c r="A1998" s="39">
        <f>IF($B1998="","",COUNTA($B$4:$B1998))</f>
        <v/>
      </c>
      <c r="B1998" s="40" t="n"/>
      <c r="C1998" s="41" t="n"/>
      <c r="D1998" s="41" t="n"/>
      <c r="E1998" s="41" t="n"/>
      <c r="F1998" s="50" t="n"/>
      <c r="G1998" s="42" t="n"/>
      <c r="H1998" s="42" t="n"/>
      <c r="I1998" s="43">
        <f>IF($B1998="","",N($G1998)-N($H1998))</f>
        <v/>
      </c>
    </row>
    <row r="1999">
      <c r="A1999" s="39">
        <f>IF($B1999="","",COUNTA($B$4:$B1999))</f>
        <v/>
      </c>
      <c r="B1999" s="45" t="n"/>
      <c r="C1999" s="46" t="n"/>
      <c r="D1999" s="46" t="n"/>
      <c r="E1999" s="46" t="n"/>
      <c r="F1999" s="51" t="n"/>
      <c r="G1999" s="47" t="n"/>
      <c r="H1999" s="47" t="n"/>
      <c r="I1999" s="43">
        <f>IF($B1999="","",N($G1999)-N($H1999))</f>
        <v/>
      </c>
    </row>
    <row r="2000">
      <c r="A2000" s="39">
        <f>IF($B2000="","",COUNTA($B$4:$B2000))</f>
        <v/>
      </c>
      <c r="B2000" s="40" t="n"/>
      <c r="C2000" s="41" t="n"/>
      <c r="D2000" s="41" t="n"/>
      <c r="E2000" s="41" t="n"/>
      <c r="F2000" s="50" t="n"/>
      <c r="G2000" s="42" t="n"/>
      <c r="H2000" s="42" t="n"/>
      <c r="I2000" s="43">
        <f>IF($B2000="","",N($G2000)-N($H2000))</f>
        <v/>
      </c>
    </row>
    <row r="2001">
      <c r="A2001" s="39">
        <f>IF($B2001="","",COUNTA($B$4:$B2001))</f>
        <v/>
      </c>
      <c r="B2001" s="45" t="n"/>
      <c r="C2001" s="46" t="n"/>
      <c r="D2001" s="46" t="n"/>
      <c r="E2001" s="46" t="n"/>
      <c r="F2001" s="51" t="n"/>
      <c r="G2001" s="47" t="n"/>
      <c r="H2001" s="47" t="n"/>
      <c r="I2001" s="43">
        <f>IF($B2001="","",N($G2001)-N($H2001))</f>
        <v/>
      </c>
    </row>
    <row r="2002">
      <c r="A2002" s="39">
        <f>IF($B2002="","",COUNTA($B$4:$B2002))</f>
        <v/>
      </c>
      <c r="B2002" s="40" t="n"/>
      <c r="C2002" s="41" t="n"/>
      <c r="D2002" s="41" t="n"/>
      <c r="E2002" s="41" t="n"/>
      <c r="F2002" s="50" t="n"/>
      <c r="G2002" s="42" t="n"/>
      <c r="H2002" s="42" t="n"/>
      <c r="I2002" s="43">
        <f>IF($B2002="","",N($G2002)-N($H2002))</f>
        <v/>
      </c>
    </row>
    <row r="2003">
      <c r="A2003" s="39">
        <f>IF($B2003="","",COUNTA($B$4:$B2003))</f>
        <v/>
      </c>
      <c r="B2003" s="45" t="n"/>
      <c r="C2003" s="46" t="n"/>
      <c r="D2003" s="46" t="n"/>
      <c r="E2003" s="46" t="n"/>
      <c r="F2003" s="51" t="n"/>
      <c r="G2003" s="47" t="n"/>
      <c r="H2003" s="47" t="n"/>
      <c r="I2003" s="43">
        <f>IF($B2003="","",N($G2003)-N($H2003))</f>
        <v/>
      </c>
    </row>
    <row r="2004">
      <c r="A2004" s="39">
        <f>IF($B2004="","",COUNTA($B$4:$B2004))</f>
        <v/>
      </c>
      <c r="B2004" s="40" t="n"/>
      <c r="C2004" s="41" t="n"/>
      <c r="D2004" s="41" t="n"/>
      <c r="E2004" s="41" t="n"/>
      <c r="F2004" s="50" t="n"/>
      <c r="G2004" s="42" t="n"/>
      <c r="H2004" s="42" t="n"/>
      <c r="I2004" s="43">
        <f>IF($B2004="","",N($G2004)-N($H2004))</f>
        <v/>
      </c>
    </row>
    <row r="2005">
      <c r="A2005" s="39">
        <f>IF($B2005="","",COUNTA($B$4:$B2005))</f>
        <v/>
      </c>
      <c r="B2005" s="45" t="n"/>
      <c r="C2005" s="46" t="n"/>
      <c r="D2005" s="46" t="n"/>
      <c r="E2005" s="46" t="n"/>
      <c r="F2005" s="51" t="n"/>
      <c r="G2005" s="47" t="n"/>
      <c r="H2005" s="47" t="n"/>
      <c r="I2005" s="43">
        <f>IF($B2005="","",N($G2005)-N($H2005))</f>
        <v/>
      </c>
    </row>
    <row r="2006">
      <c r="A2006" s="39">
        <f>IF($B2006="","",COUNTA($B$4:$B2006))</f>
        <v/>
      </c>
      <c r="B2006" s="40" t="n"/>
      <c r="C2006" s="41" t="n"/>
      <c r="D2006" s="41" t="n"/>
      <c r="E2006" s="41" t="n"/>
      <c r="F2006" s="50" t="n"/>
      <c r="G2006" s="42" t="n"/>
      <c r="H2006" s="42" t="n"/>
      <c r="I2006" s="43">
        <f>IF($B2006="","",N($G2006)-N($H2006))</f>
        <v/>
      </c>
    </row>
    <row r="2007">
      <c r="A2007" s="39">
        <f>IF($B2007="","",COUNTA($B$4:$B2007))</f>
        <v/>
      </c>
      <c r="B2007" s="45" t="n"/>
      <c r="C2007" s="46" t="n"/>
      <c r="D2007" s="46" t="n"/>
      <c r="E2007" s="46" t="n"/>
      <c r="F2007" s="51" t="n"/>
      <c r="G2007" s="47" t="n"/>
      <c r="H2007" s="47" t="n"/>
      <c r="I2007" s="43">
        <f>IF($B2007="","",N($G2007)-N($H2007))</f>
        <v/>
      </c>
    </row>
    <row r="2008">
      <c r="A2008" s="39">
        <f>IF($B2008="","",COUNTA($B$4:$B2008))</f>
        <v/>
      </c>
      <c r="B2008" s="40" t="n"/>
      <c r="C2008" s="41" t="n"/>
      <c r="D2008" s="41" t="n"/>
      <c r="E2008" s="41" t="n"/>
      <c r="F2008" s="50" t="n"/>
      <c r="G2008" s="42" t="n"/>
      <c r="H2008" s="42" t="n"/>
      <c r="I2008" s="43">
        <f>IF($B2008="","",N($G2008)-N($H2008))</f>
        <v/>
      </c>
    </row>
    <row r="2009">
      <c r="A2009" s="39">
        <f>IF($B2009="","",COUNTA($B$4:$B2009))</f>
        <v/>
      </c>
      <c r="B2009" s="45" t="n"/>
      <c r="C2009" s="46" t="n"/>
      <c r="D2009" s="46" t="n"/>
      <c r="E2009" s="46" t="n"/>
      <c r="F2009" s="51" t="n"/>
      <c r="G2009" s="47" t="n"/>
      <c r="H2009" s="47" t="n"/>
      <c r="I2009" s="43">
        <f>IF($B2009="","",N($G2009)-N($H2009))</f>
        <v/>
      </c>
    </row>
    <row r="2010">
      <c r="A2010" s="39">
        <f>IF($B2010="","",COUNTA($B$4:$B2010))</f>
        <v/>
      </c>
      <c r="B2010" s="40" t="n"/>
      <c r="C2010" s="41" t="n"/>
      <c r="D2010" s="41" t="n"/>
      <c r="E2010" s="41" t="n"/>
      <c r="F2010" s="50" t="n"/>
      <c r="G2010" s="42" t="n"/>
      <c r="H2010" s="42" t="n"/>
      <c r="I2010" s="43">
        <f>IF($B2010="","",N($G2010)-N($H2010))</f>
        <v/>
      </c>
    </row>
    <row r="2011">
      <c r="A2011" s="39">
        <f>IF($B2011="","",COUNTA($B$4:$B2011))</f>
        <v/>
      </c>
      <c r="B2011" s="45" t="n"/>
      <c r="C2011" s="46" t="n"/>
      <c r="D2011" s="46" t="n"/>
      <c r="E2011" s="46" t="n"/>
      <c r="F2011" s="51" t="n"/>
      <c r="G2011" s="47" t="n"/>
      <c r="H2011" s="47" t="n"/>
      <c r="I2011" s="43">
        <f>IF($B2011="","",N($G2011)-N($H2011))</f>
        <v/>
      </c>
    </row>
    <row r="2012">
      <c r="A2012" s="39">
        <f>IF($B2012="","",COUNTA($B$4:$B2012))</f>
        <v/>
      </c>
      <c r="B2012" s="40" t="n"/>
      <c r="C2012" s="41" t="n"/>
      <c r="D2012" s="41" t="n"/>
      <c r="E2012" s="41" t="n"/>
      <c r="F2012" s="50" t="n"/>
      <c r="G2012" s="42" t="n"/>
      <c r="H2012" s="42" t="n"/>
      <c r="I2012" s="43">
        <f>IF($B2012="","",N($G2012)-N($H2012))</f>
        <v/>
      </c>
    </row>
    <row r="2013">
      <c r="A2013" s="39">
        <f>IF($B2013="","",COUNTA($B$4:$B2013))</f>
        <v/>
      </c>
      <c r="B2013" s="45" t="n"/>
      <c r="C2013" s="46" t="n"/>
      <c r="D2013" s="46" t="n"/>
      <c r="E2013" s="46" t="n"/>
      <c r="F2013" s="51" t="n"/>
      <c r="G2013" s="47" t="n"/>
      <c r="H2013" s="47" t="n"/>
      <c r="I2013" s="43">
        <f>IF($B2013="","",N($G2013)-N($H2013))</f>
        <v/>
      </c>
    </row>
    <row r="2014">
      <c r="A2014" s="39">
        <f>IF($B2014="","",COUNTA($B$4:$B2014))</f>
        <v/>
      </c>
      <c r="B2014" s="40" t="n"/>
      <c r="C2014" s="41" t="n"/>
      <c r="D2014" s="41" t="n"/>
      <c r="E2014" s="41" t="n"/>
      <c r="F2014" s="50" t="n"/>
      <c r="G2014" s="42" t="n"/>
      <c r="H2014" s="42" t="n"/>
      <c r="I2014" s="43">
        <f>IF($B2014="","",N($G2014)-N($H2014))</f>
        <v/>
      </c>
    </row>
    <row r="2015">
      <c r="A2015" s="39">
        <f>IF($B2015="","",COUNTA($B$4:$B2015))</f>
        <v/>
      </c>
      <c r="B2015" s="45" t="n"/>
      <c r="C2015" s="46" t="n"/>
      <c r="D2015" s="46" t="n"/>
      <c r="E2015" s="46" t="n"/>
      <c r="F2015" s="51" t="n"/>
      <c r="G2015" s="47" t="n"/>
      <c r="H2015" s="47" t="n"/>
      <c r="I2015" s="43">
        <f>IF($B2015="","",N($G2015)-N($H2015))</f>
        <v/>
      </c>
    </row>
    <row r="2016">
      <c r="A2016" s="39">
        <f>IF($B2016="","",COUNTA($B$4:$B2016))</f>
        <v/>
      </c>
      <c r="B2016" s="40" t="n"/>
      <c r="C2016" s="41" t="n"/>
      <c r="D2016" s="41" t="n"/>
      <c r="E2016" s="41" t="n"/>
      <c r="F2016" s="50" t="n"/>
      <c r="G2016" s="42" t="n"/>
      <c r="H2016" s="42" t="n"/>
      <c r="I2016" s="43">
        <f>IF($B2016="","",N($G2016)-N($H2016))</f>
        <v/>
      </c>
    </row>
    <row r="2017">
      <c r="A2017" s="39">
        <f>IF($B2017="","",COUNTA($B$4:$B2017))</f>
        <v/>
      </c>
      <c r="B2017" s="45" t="n"/>
      <c r="C2017" s="46" t="n"/>
      <c r="D2017" s="46" t="n"/>
      <c r="E2017" s="46" t="n"/>
      <c r="F2017" s="51" t="n"/>
      <c r="G2017" s="47" t="n"/>
      <c r="H2017" s="47" t="n"/>
      <c r="I2017" s="43">
        <f>IF($B2017="","",N($G2017)-N($H2017))</f>
        <v/>
      </c>
    </row>
    <row r="2018">
      <c r="A2018" s="39">
        <f>IF($B2018="","",COUNTA($B$4:$B2018))</f>
        <v/>
      </c>
      <c r="B2018" s="40" t="n"/>
      <c r="C2018" s="41" t="n"/>
      <c r="D2018" s="41" t="n"/>
      <c r="E2018" s="41" t="n"/>
      <c r="F2018" s="50" t="n"/>
      <c r="G2018" s="42" t="n"/>
      <c r="H2018" s="42" t="n"/>
      <c r="I2018" s="43">
        <f>IF($B2018="","",N($G2018)-N($H2018))</f>
        <v/>
      </c>
    </row>
    <row r="2019">
      <c r="A2019" s="39">
        <f>IF($B2019="","",COUNTA($B$4:$B2019))</f>
        <v/>
      </c>
      <c r="B2019" s="45" t="n"/>
      <c r="C2019" s="46" t="n"/>
      <c r="D2019" s="46" t="n"/>
      <c r="E2019" s="46" t="n"/>
      <c r="F2019" s="51" t="n"/>
      <c r="G2019" s="47" t="n"/>
      <c r="H2019" s="47" t="n"/>
      <c r="I2019" s="43">
        <f>IF($B2019="","",N($G2019)-N($H2019))</f>
        <v/>
      </c>
    </row>
    <row r="2020">
      <c r="A2020" s="39">
        <f>IF($B2020="","",COUNTA($B$4:$B2020))</f>
        <v/>
      </c>
      <c r="B2020" s="40" t="n"/>
      <c r="C2020" s="41" t="n"/>
      <c r="D2020" s="41" t="n"/>
      <c r="E2020" s="41" t="n"/>
      <c r="F2020" s="50" t="n"/>
      <c r="G2020" s="42" t="n"/>
      <c r="H2020" s="42" t="n"/>
      <c r="I2020" s="43">
        <f>IF($B2020="","",N($G2020)-N($H2020))</f>
        <v/>
      </c>
    </row>
    <row r="2021">
      <c r="A2021" s="39">
        <f>IF($B2021="","",COUNTA($B$4:$B2021))</f>
        <v/>
      </c>
      <c r="B2021" s="45" t="n"/>
      <c r="C2021" s="46" t="n"/>
      <c r="D2021" s="46" t="n"/>
      <c r="E2021" s="46" t="n"/>
      <c r="F2021" s="51" t="n"/>
      <c r="G2021" s="47" t="n"/>
      <c r="H2021" s="47" t="n"/>
      <c r="I2021" s="43">
        <f>IF($B2021="","",N($G2021)-N($H2021))</f>
        <v/>
      </c>
    </row>
    <row r="2022">
      <c r="A2022" s="39">
        <f>IF($B2022="","",COUNTA($B$4:$B2022))</f>
        <v/>
      </c>
      <c r="B2022" s="40" t="n"/>
      <c r="C2022" s="41" t="n"/>
      <c r="D2022" s="41" t="n"/>
      <c r="E2022" s="41" t="n"/>
      <c r="F2022" s="50" t="n"/>
      <c r="G2022" s="42" t="n"/>
      <c r="H2022" s="42" t="n"/>
      <c r="I2022" s="43">
        <f>IF($B2022="","",N($G2022)-N($H2022))</f>
        <v/>
      </c>
    </row>
    <row r="2023">
      <c r="A2023" s="39">
        <f>IF($B2023="","",COUNTA($B$4:$B2023))</f>
        <v/>
      </c>
      <c r="B2023" s="45" t="n"/>
      <c r="C2023" s="46" t="n"/>
      <c r="D2023" s="46" t="n"/>
      <c r="E2023" s="46" t="n"/>
      <c r="F2023" s="51" t="n"/>
      <c r="G2023" s="47" t="n"/>
      <c r="H2023" s="47" t="n"/>
      <c r="I2023" s="43">
        <f>IF($B2023="","",N($G2023)-N($H2023))</f>
        <v/>
      </c>
    </row>
    <row r="2024">
      <c r="A2024" s="39">
        <f>IF($B2024="","",COUNTA($B$4:$B2024))</f>
        <v/>
      </c>
      <c r="B2024" s="40" t="n"/>
      <c r="C2024" s="41" t="n"/>
      <c r="D2024" s="41" t="n"/>
      <c r="E2024" s="41" t="n"/>
      <c r="F2024" s="50" t="n"/>
      <c r="G2024" s="42" t="n"/>
      <c r="H2024" s="42" t="n"/>
      <c r="I2024" s="43">
        <f>IF($B2024="","",N($G2024)-N($H2024))</f>
        <v/>
      </c>
    </row>
    <row r="2025">
      <c r="A2025" s="39">
        <f>IF($B2025="","",COUNTA($B$4:$B2025))</f>
        <v/>
      </c>
      <c r="B2025" s="45" t="n"/>
      <c r="C2025" s="46" t="n"/>
      <c r="D2025" s="46" t="n"/>
      <c r="E2025" s="46" t="n"/>
      <c r="F2025" s="51" t="n"/>
      <c r="G2025" s="47" t="n"/>
      <c r="H2025" s="47" t="n"/>
      <c r="I2025" s="43">
        <f>IF($B2025="","",N($G2025)-N($H2025))</f>
        <v/>
      </c>
    </row>
    <row r="2026">
      <c r="A2026" s="39">
        <f>IF($B2026="","",COUNTA($B$4:$B2026))</f>
        <v/>
      </c>
      <c r="B2026" s="40" t="n"/>
      <c r="C2026" s="41" t="n"/>
      <c r="D2026" s="41" t="n"/>
      <c r="E2026" s="41" t="n"/>
      <c r="F2026" s="50" t="n"/>
      <c r="G2026" s="42" t="n"/>
      <c r="H2026" s="42" t="n"/>
      <c r="I2026" s="43">
        <f>IF($B2026="","",N($G2026)-N($H2026))</f>
        <v/>
      </c>
    </row>
    <row r="2027">
      <c r="A2027" s="39">
        <f>IF($B2027="","",COUNTA($B$4:$B2027))</f>
        <v/>
      </c>
      <c r="B2027" s="45" t="n"/>
      <c r="C2027" s="46" t="n"/>
      <c r="D2027" s="46" t="n"/>
      <c r="E2027" s="46" t="n"/>
      <c r="F2027" s="51" t="n"/>
      <c r="G2027" s="47" t="n"/>
      <c r="H2027" s="47" t="n"/>
      <c r="I2027" s="43">
        <f>IF($B2027="","",N($G2027)-N($H2027))</f>
        <v/>
      </c>
    </row>
    <row r="2028">
      <c r="A2028" s="39">
        <f>IF($B2028="","",COUNTA($B$4:$B2028))</f>
        <v/>
      </c>
      <c r="B2028" s="40" t="n"/>
      <c r="C2028" s="41" t="n"/>
      <c r="D2028" s="41" t="n"/>
      <c r="E2028" s="41" t="n"/>
      <c r="F2028" s="50" t="n"/>
      <c r="G2028" s="42" t="n"/>
      <c r="H2028" s="42" t="n"/>
      <c r="I2028" s="43">
        <f>IF($B2028="","",N($G2028)-N($H2028))</f>
        <v/>
      </c>
    </row>
    <row r="2029">
      <c r="A2029" s="39">
        <f>IF($B2029="","",COUNTA($B$4:$B2029))</f>
        <v/>
      </c>
      <c r="B2029" s="45" t="n"/>
      <c r="C2029" s="46" t="n"/>
      <c r="D2029" s="46" t="n"/>
      <c r="E2029" s="46" t="n"/>
      <c r="F2029" s="51" t="n"/>
      <c r="G2029" s="47" t="n"/>
      <c r="H2029" s="47" t="n"/>
      <c r="I2029" s="43">
        <f>IF($B2029="","",N($G2029)-N($H2029))</f>
        <v/>
      </c>
    </row>
    <row r="2030">
      <c r="A2030" s="39">
        <f>IF($B2030="","",COUNTA($B$4:$B2030))</f>
        <v/>
      </c>
      <c r="B2030" s="40" t="n"/>
      <c r="C2030" s="41" t="n"/>
      <c r="D2030" s="41" t="n"/>
      <c r="E2030" s="41" t="n"/>
      <c r="F2030" s="50" t="n"/>
      <c r="G2030" s="42" t="n"/>
      <c r="H2030" s="42" t="n"/>
      <c r="I2030" s="43">
        <f>IF($B2030="","",N($G2030)-N($H2030))</f>
        <v/>
      </c>
    </row>
    <row r="2031">
      <c r="A2031" s="39">
        <f>IF($B2031="","",COUNTA($B$4:$B2031))</f>
        <v/>
      </c>
      <c r="B2031" s="45" t="n"/>
      <c r="C2031" s="46" t="n"/>
      <c r="D2031" s="46" t="n"/>
      <c r="E2031" s="46" t="n"/>
      <c r="F2031" s="51" t="n"/>
      <c r="G2031" s="47" t="n"/>
      <c r="H2031" s="47" t="n"/>
      <c r="I2031" s="43">
        <f>IF($B2031="","",N($G2031)-N($H2031))</f>
        <v/>
      </c>
    </row>
    <row r="2032">
      <c r="A2032" s="39">
        <f>IF($B2032="","",COUNTA($B$4:$B2032))</f>
        <v/>
      </c>
      <c r="B2032" s="40" t="n"/>
      <c r="C2032" s="41" t="n"/>
      <c r="D2032" s="41" t="n"/>
      <c r="E2032" s="41" t="n"/>
      <c r="F2032" s="50" t="n"/>
      <c r="G2032" s="42" t="n"/>
      <c r="H2032" s="42" t="n"/>
      <c r="I2032" s="43">
        <f>IF($B2032="","",N($G2032)-N($H2032))</f>
        <v/>
      </c>
    </row>
    <row r="2033">
      <c r="A2033" s="39">
        <f>IF($B2033="","",COUNTA($B$4:$B2033))</f>
        <v/>
      </c>
      <c r="B2033" s="45" t="n"/>
      <c r="C2033" s="46" t="n"/>
      <c r="D2033" s="46" t="n"/>
      <c r="E2033" s="46" t="n"/>
      <c r="F2033" s="51" t="n"/>
      <c r="G2033" s="47" t="n"/>
      <c r="H2033" s="47" t="n"/>
      <c r="I2033" s="43">
        <f>IF($B2033="","",N($G2033)-N($H2033))</f>
        <v/>
      </c>
    </row>
    <row r="2034">
      <c r="A2034" s="39">
        <f>IF($B2034="","",COUNTA($B$4:$B2034))</f>
        <v/>
      </c>
      <c r="B2034" s="40" t="n"/>
      <c r="C2034" s="41" t="n"/>
      <c r="D2034" s="41" t="n"/>
      <c r="E2034" s="41" t="n"/>
      <c r="F2034" s="50" t="n"/>
      <c r="G2034" s="42" t="n"/>
      <c r="H2034" s="42" t="n"/>
      <c r="I2034" s="43">
        <f>IF($B2034="","",N($G2034)-N($H2034))</f>
        <v/>
      </c>
    </row>
    <row r="2035">
      <c r="A2035" s="39">
        <f>IF($B2035="","",COUNTA($B$4:$B2035))</f>
        <v/>
      </c>
      <c r="B2035" s="45" t="n"/>
      <c r="C2035" s="46" t="n"/>
      <c r="D2035" s="46" t="n"/>
      <c r="E2035" s="46" t="n"/>
      <c r="F2035" s="51" t="n"/>
      <c r="G2035" s="47" t="n"/>
      <c r="H2035" s="47" t="n"/>
      <c r="I2035" s="43">
        <f>IF($B2035="","",N($G2035)-N($H2035))</f>
        <v/>
      </c>
    </row>
    <row r="2036">
      <c r="A2036" s="39">
        <f>IF($B2036="","",COUNTA($B$4:$B2036))</f>
        <v/>
      </c>
      <c r="B2036" s="40" t="n"/>
      <c r="C2036" s="41" t="n"/>
      <c r="D2036" s="41" t="n"/>
      <c r="E2036" s="41" t="n"/>
      <c r="F2036" s="50" t="n"/>
      <c r="G2036" s="42" t="n"/>
      <c r="H2036" s="42" t="n"/>
      <c r="I2036" s="43">
        <f>IF($B2036="","",N($G2036)-N($H2036))</f>
        <v/>
      </c>
    </row>
    <row r="2037">
      <c r="A2037" s="39">
        <f>IF($B2037="","",COUNTA($B$4:$B2037))</f>
        <v/>
      </c>
      <c r="B2037" s="45" t="n"/>
      <c r="C2037" s="46" t="n"/>
      <c r="D2037" s="46" t="n"/>
      <c r="E2037" s="46" t="n"/>
      <c r="F2037" s="51" t="n"/>
      <c r="G2037" s="47" t="n"/>
      <c r="H2037" s="47" t="n"/>
      <c r="I2037" s="43">
        <f>IF($B2037="","",N($G2037)-N($H2037))</f>
        <v/>
      </c>
    </row>
    <row r="2038">
      <c r="A2038" s="39">
        <f>IF($B2038="","",COUNTA($B$4:$B2038))</f>
        <v/>
      </c>
      <c r="B2038" s="40" t="n"/>
      <c r="C2038" s="41" t="n"/>
      <c r="D2038" s="41" t="n"/>
      <c r="E2038" s="41" t="n"/>
      <c r="F2038" s="50" t="n"/>
      <c r="G2038" s="42" t="n"/>
      <c r="H2038" s="42" t="n"/>
      <c r="I2038" s="43">
        <f>IF($B2038="","",N($G2038)-N($H2038))</f>
        <v/>
      </c>
    </row>
    <row r="2039">
      <c r="A2039" s="39">
        <f>IF($B2039="","",COUNTA($B$4:$B2039))</f>
        <v/>
      </c>
      <c r="B2039" s="45" t="n"/>
      <c r="C2039" s="46" t="n"/>
      <c r="D2039" s="46" t="n"/>
      <c r="E2039" s="46" t="n"/>
      <c r="F2039" s="51" t="n"/>
      <c r="G2039" s="47" t="n"/>
      <c r="H2039" s="47" t="n"/>
      <c r="I2039" s="43">
        <f>IF($B2039="","",N($G2039)-N($H2039))</f>
        <v/>
      </c>
    </row>
    <row r="2040">
      <c r="A2040" s="39">
        <f>IF($B2040="","",COUNTA($B$4:$B2040))</f>
        <v/>
      </c>
      <c r="B2040" s="40" t="n"/>
      <c r="C2040" s="41" t="n"/>
      <c r="D2040" s="41" t="n"/>
      <c r="E2040" s="41" t="n"/>
      <c r="F2040" s="50" t="n"/>
      <c r="G2040" s="42" t="n"/>
      <c r="H2040" s="42" t="n"/>
      <c r="I2040" s="43">
        <f>IF($B2040="","",N($G2040)-N($H2040))</f>
        <v/>
      </c>
    </row>
    <row r="2041">
      <c r="A2041" s="39">
        <f>IF($B2041="","",COUNTA($B$4:$B2041))</f>
        <v/>
      </c>
      <c r="B2041" s="45" t="n"/>
      <c r="C2041" s="46" t="n"/>
      <c r="D2041" s="46" t="n"/>
      <c r="E2041" s="46" t="n"/>
      <c r="F2041" s="51" t="n"/>
      <c r="G2041" s="47" t="n"/>
      <c r="H2041" s="47" t="n"/>
      <c r="I2041" s="43">
        <f>IF($B2041="","",N($G2041)-N($H2041))</f>
        <v/>
      </c>
    </row>
    <row r="2042">
      <c r="A2042" s="39">
        <f>IF($B2042="","",COUNTA($B$4:$B2042))</f>
        <v/>
      </c>
      <c r="B2042" s="40" t="n"/>
      <c r="C2042" s="41" t="n"/>
      <c r="D2042" s="41" t="n"/>
      <c r="E2042" s="41" t="n"/>
      <c r="F2042" s="50" t="n"/>
      <c r="G2042" s="42" t="n"/>
      <c r="H2042" s="42" t="n"/>
      <c r="I2042" s="43">
        <f>IF($B2042="","",N($G2042)-N($H2042))</f>
        <v/>
      </c>
    </row>
    <row r="2043">
      <c r="A2043" s="39">
        <f>IF($B2043="","",COUNTA($B$4:$B2043))</f>
        <v/>
      </c>
      <c r="B2043" s="45" t="n"/>
      <c r="C2043" s="46" t="n"/>
      <c r="D2043" s="46" t="n"/>
      <c r="E2043" s="46" t="n"/>
      <c r="F2043" s="51" t="n"/>
      <c r="G2043" s="47" t="n"/>
      <c r="H2043" s="47" t="n"/>
      <c r="I2043" s="43">
        <f>IF($B2043="","",N($G2043)-N($H2043))</f>
        <v/>
      </c>
    </row>
    <row r="2044">
      <c r="A2044" s="39">
        <f>IF($B2044="","",COUNTA($B$4:$B2044))</f>
        <v/>
      </c>
      <c r="B2044" s="40" t="n"/>
      <c r="C2044" s="41" t="n"/>
      <c r="D2044" s="41" t="n"/>
      <c r="E2044" s="41" t="n"/>
      <c r="F2044" s="50" t="n"/>
      <c r="G2044" s="42" t="n"/>
      <c r="H2044" s="42" t="n"/>
      <c r="I2044" s="43">
        <f>IF($B2044="","",N($G2044)-N($H2044))</f>
        <v/>
      </c>
    </row>
    <row r="2045">
      <c r="A2045" s="39">
        <f>IF($B2045="","",COUNTA($B$4:$B2045))</f>
        <v/>
      </c>
      <c r="B2045" s="45" t="n"/>
      <c r="C2045" s="46" t="n"/>
      <c r="D2045" s="46" t="n"/>
      <c r="E2045" s="46" t="n"/>
      <c r="F2045" s="51" t="n"/>
      <c r="G2045" s="47" t="n"/>
      <c r="H2045" s="47" t="n"/>
      <c r="I2045" s="43">
        <f>IF($B2045="","",N($G2045)-N($H2045))</f>
        <v/>
      </c>
    </row>
    <row r="2046">
      <c r="A2046" s="39">
        <f>IF($B2046="","",COUNTA($B$4:$B2046))</f>
        <v/>
      </c>
      <c r="B2046" s="40" t="n"/>
      <c r="C2046" s="41" t="n"/>
      <c r="D2046" s="41" t="n"/>
      <c r="E2046" s="41" t="n"/>
      <c r="F2046" s="50" t="n"/>
      <c r="G2046" s="42" t="n"/>
      <c r="H2046" s="42" t="n"/>
      <c r="I2046" s="43">
        <f>IF($B2046="","",N($G2046)-N($H2046))</f>
        <v/>
      </c>
    </row>
    <row r="2047">
      <c r="A2047" s="39">
        <f>IF($B2047="","",COUNTA($B$4:$B2047))</f>
        <v/>
      </c>
      <c r="B2047" s="45" t="n"/>
      <c r="C2047" s="46" t="n"/>
      <c r="D2047" s="46" t="n"/>
      <c r="E2047" s="46" t="n"/>
      <c r="F2047" s="51" t="n"/>
      <c r="G2047" s="47" t="n"/>
      <c r="H2047" s="47" t="n"/>
      <c r="I2047" s="43">
        <f>IF($B2047="","",N($G2047)-N($H2047))</f>
        <v/>
      </c>
    </row>
    <row r="2048">
      <c r="A2048" s="39">
        <f>IF($B2048="","",COUNTA($B$4:$B2048))</f>
        <v/>
      </c>
      <c r="B2048" s="40" t="n"/>
      <c r="C2048" s="41" t="n"/>
      <c r="D2048" s="41" t="n"/>
      <c r="E2048" s="41" t="n"/>
      <c r="F2048" s="50" t="n"/>
      <c r="G2048" s="42" t="n"/>
      <c r="H2048" s="42" t="n"/>
      <c r="I2048" s="43">
        <f>IF($B2048="","",N($G2048)-N($H2048))</f>
        <v/>
      </c>
    </row>
    <row r="2049">
      <c r="A2049" s="39">
        <f>IF($B2049="","",COUNTA($B$4:$B2049))</f>
        <v/>
      </c>
      <c r="B2049" s="45" t="n"/>
      <c r="C2049" s="46" t="n"/>
      <c r="D2049" s="46" t="n"/>
      <c r="E2049" s="46" t="n"/>
      <c r="F2049" s="51" t="n"/>
      <c r="G2049" s="47" t="n"/>
      <c r="H2049" s="47" t="n"/>
      <c r="I2049" s="43">
        <f>IF($B2049="","",N($G2049)-N($H2049))</f>
        <v/>
      </c>
    </row>
    <row r="2050">
      <c r="A2050" s="39">
        <f>IF($B2050="","",COUNTA($B$4:$B2050))</f>
        <v/>
      </c>
      <c r="B2050" s="40" t="n"/>
      <c r="C2050" s="41" t="n"/>
      <c r="D2050" s="41" t="n"/>
      <c r="E2050" s="41" t="n"/>
      <c r="F2050" s="50" t="n"/>
      <c r="G2050" s="42" t="n"/>
      <c r="H2050" s="42" t="n"/>
      <c r="I2050" s="43">
        <f>IF($B2050="","",N($G2050)-N($H2050))</f>
        <v/>
      </c>
    </row>
    <row r="2051">
      <c r="A2051" s="39">
        <f>IF($B2051="","",COUNTA($B$4:$B2051))</f>
        <v/>
      </c>
      <c r="B2051" s="45" t="n"/>
      <c r="C2051" s="46" t="n"/>
      <c r="D2051" s="46" t="n"/>
      <c r="E2051" s="46" t="n"/>
      <c r="F2051" s="51" t="n"/>
      <c r="G2051" s="47" t="n"/>
      <c r="H2051" s="47" t="n"/>
      <c r="I2051" s="43">
        <f>IF($B2051="","",N($G2051)-N($H2051))</f>
        <v/>
      </c>
    </row>
    <row r="2052">
      <c r="A2052" s="39">
        <f>IF($B2052="","",COUNTA($B$4:$B2052))</f>
        <v/>
      </c>
      <c r="B2052" s="40" t="n"/>
      <c r="C2052" s="41" t="n"/>
      <c r="D2052" s="41" t="n"/>
      <c r="E2052" s="41" t="n"/>
      <c r="F2052" s="50" t="n"/>
      <c r="G2052" s="42" t="n"/>
      <c r="H2052" s="42" t="n"/>
      <c r="I2052" s="43">
        <f>IF($B2052="","",N($G2052)-N($H2052))</f>
        <v/>
      </c>
    </row>
    <row r="2053">
      <c r="A2053" s="39">
        <f>IF($B2053="","",COUNTA($B$4:$B2053))</f>
        <v/>
      </c>
      <c r="B2053" s="45" t="n"/>
      <c r="C2053" s="46" t="n"/>
      <c r="D2053" s="46" t="n"/>
      <c r="E2053" s="46" t="n"/>
      <c r="F2053" s="51" t="n"/>
      <c r="G2053" s="47" t="n"/>
      <c r="H2053" s="47" t="n"/>
      <c r="I2053" s="43">
        <f>IF($B2053="","",N($G2053)-N($H2053))</f>
        <v/>
      </c>
    </row>
    <row r="2054">
      <c r="A2054" s="39">
        <f>IF($B2054="","",COUNTA($B$4:$B2054))</f>
        <v/>
      </c>
      <c r="B2054" s="40" t="n"/>
      <c r="C2054" s="41" t="n"/>
      <c r="D2054" s="41" t="n"/>
      <c r="E2054" s="41" t="n"/>
      <c r="F2054" s="50" t="n"/>
      <c r="G2054" s="42" t="n"/>
      <c r="H2054" s="42" t="n"/>
      <c r="I2054" s="43">
        <f>IF($B2054="","",N($G2054)-N($H2054))</f>
        <v/>
      </c>
    </row>
    <row r="2055">
      <c r="A2055" s="39">
        <f>IF($B2055="","",COUNTA($B$4:$B2055))</f>
        <v/>
      </c>
      <c r="B2055" s="45" t="n"/>
      <c r="C2055" s="46" t="n"/>
      <c r="D2055" s="46" t="n"/>
      <c r="E2055" s="46" t="n"/>
      <c r="F2055" s="51" t="n"/>
      <c r="G2055" s="47" t="n"/>
      <c r="H2055" s="47" t="n"/>
      <c r="I2055" s="43">
        <f>IF($B2055="","",N($G2055)-N($H2055))</f>
        <v/>
      </c>
    </row>
    <row r="2056">
      <c r="A2056" s="39">
        <f>IF($B2056="","",COUNTA($B$4:$B2056))</f>
        <v/>
      </c>
      <c r="B2056" s="40" t="n"/>
      <c r="C2056" s="41" t="n"/>
      <c r="D2056" s="41" t="n"/>
      <c r="E2056" s="41" t="n"/>
      <c r="F2056" s="50" t="n"/>
      <c r="G2056" s="42" t="n"/>
      <c r="H2056" s="42" t="n"/>
      <c r="I2056" s="43">
        <f>IF($B2056="","",N($G2056)-N($H2056))</f>
        <v/>
      </c>
    </row>
    <row r="2057">
      <c r="A2057" s="39">
        <f>IF($B2057="","",COUNTA($B$4:$B2057))</f>
        <v/>
      </c>
      <c r="B2057" s="45" t="n"/>
      <c r="C2057" s="46" t="n"/>
      <c r="D2057" s="46" t="n"/>
      <c r="E2057" s="46" t="n"/>
      <c r="F2057" s="51" t="n"/>
      <c r="G2057" s="47" t="n"/>
      <c r="H2057" s="47" t="n"/>
      <c r="I2057" s="43">
        <f>IF($B2057="","",N($G2057)-N($H2057))</f>
        <v/>
      </c>
    </row>
    <row r="2058">
      <c r="A2058" s="39">
        <f>IF($B2058="","",COUNTA($B$4:$B2058))</f>
        <v/>
      </c>
      <c r="B2058" s="40" t="n"/>
      <c r="C2058" s="41" t="n"/>
      <c r="D2058" s="41" t="n"/>
      <c r="E2058" s="41" t="n"/>
      <c r="F2058" s="50" t="n"/>
      <c r="G2058" s="42" t="n"/>
      <c r="H2058" s="42" t="n"/>
      <c r="I2058" s="43">
        <f>IF($B2058="","",N($G2058)-N($H2058))</f>
        <v/>
      </c>
    </row>
    <row r="2059">
      <c r="A2059" s="39">
        <f>IF($B2059="","",COUNTA($B$4:$B2059))</f>
        <v/>
      </c>
      <c r="B2059" s="45" t="n"/>
      <c r="C2059" s="46" t="n"/>
      <c r="D2059" s="46" t="n"/>
      <c r="E2059" s="46" t="n"/>
      <c r="F2059" s="51" t="n"/>
      <c r="G2059" s="47" t="n"/>
      <c r="H2059" s="47" t="n"/>
      <c r="I2059" s="43">
        <f>IF($B2059="","",N($G2059)-N($H2059))</f>
        <v/>
      </c>
    </row>
    <row r="2060">
      <c r="A2060" s="39">
        <f>IF($B2060="","",COUNTA($B$4:$B2060))</f>
        <v/>
      </c>
      <c r="B2060" s="40" t="n"/>
      <c r="C2060" s="41" t="n"/>
      <c r="D2060" s="41" t="n"/>
      <c r="E2060" s="41" t="n"/>
      <c r="F2060" s="50" t="n"/>
      <c r="G2060" s="42" t="n"/>
      <c r="H2060" s="42" t="n"/>
      <c r="I2060" s="43">
        <f>IF($B2060="","",N($G2060)-N($H2060))</f>
        <v/>
      </c>
    </row>
    <row r="2061">
      <c r="A2061" s="39">
        <f>IF($B2061="","",COUNTA($B$4:$B2061))</f>
        <v/>
      </c>
      <c r="B2061" s="45" t="n"/>
      <c r="C2061" s="46" t="n"/>
      <c r="D2061" s="46" t="n"/>
      <c r="E2061" s="46" t="n"/>
      <c r="F2061" s="51" t="n"/>
      <c r="G2061" s="47" t="n"/>
      <c r="H2061" s="47" t="n"/>
      <c r="I2061" s="43">
        <f>IF($B2061="","",N($G2061)-N($H2061))</f>
        <v/>
      </c>
    </row>
    <row r="2062">
      <c r="A2062" s="39">
        <f>IF($B2062="","",COUNTA($B$4:$B2062))</f>
        <v/>
      </c>
      <c r="B2062" s="40" t="n"/>
      <c r="C2062" s="41" t="n"/>
      <c r="D2062" s="41" t="n"/>
      <c r="E2062" s="41" t="n"/>
      <c r="F2062" s="50" t="n"/>
      <c r="G2062" s="42" t="n"/>
      <c r="H2062" s="42" t="n"/>
      <c r="I2062" s="43">
        <f>IF($B2062="","",N($G2062)-N($H2062))</f>
        <v/>
      </c>
    </row>
    <row r="2063">
      <c r="A2063" s="39">
        <f>IF($B2063="","",COUNTA($B$4:$B2063))</f>
        <v/>
      </c>
      <c r="B2063" s="45" t="n"/>
      <c r="C2063" s="46" t="n"/>
      <c r="D2063" s="46" t="n"/>
      <c r="E2063" s="46" t="n"/>
      <c r="F2063" s="51" t="n"/>
      <c r="G2063" s="47" t="n"/>
      <c r="H2063" s="47" t="n"/>
      <c r="I2063" s="43">
        <f>IF($B2063="","",N($G2063)-N($H2063))</f>
        <v/>
      </c>
    </row>
    <row r="2064">
      <c r="A2064" s="39">
        <f>IF($B2064="","",COUNTA($B$4:$B2064))</f>
        <v/>
      </c>
      <c r="B2064" s="40" t="n"/>
      <c r="C2064" s="41" t="n"/>
      <c r="D2064" s="41" t="n"/>
      <c r="E2064" s="41" t="n"/>
      <c r="F2064" s="50" t="n"/>
      <c r="G2064" s="42" t="n"/>
      <c r="H2064" s="42" t="n"/>
      <c r="I2064" s="43">
        <f>IF($B2064="","",N($G2064)-N($H2064))</f>
        <v/>
      </c>
    </row>
    <row r="2065">
      <c r="A2065" s="39">
        <f>IF($B2065="","",COUNTA($B$4:$B2065))</f>
        <v/>
      </c>
      <c r="B2065" s="45" t="n"/>
      <c r="C2065" s="46" t="n"/>
      <c r="D2065" s="46" t="n"/>
      <c r="E2065" s="46" t="n"/>
      <c r="F2065" s="51" t="n"/>
      <c r="G2065" s="47" t="n"/>
      <c r="H2065" s="47" t="n"/>
      <c r="I2065" s="43">
        <f>IF($B2065="","",N($G2065)-N($H2065))</f>
        <v/>
      </c>
    </row>
    <row r="2066">
      <c r="A2066" s="39">
        <f>IF($B2066="","",COUNTA($B$4:$B2066))</f>
        <v/>
      </c>
      <c r="B2066" s="40" t="n"/>
      <c r="C2066" s="41" t="n"/>
      <c r="D2066" s="41" t="n"/>
      <c r="E2066" s="41" t="n"/>
      <c r="F2066" s="50" t="n"/>
      <c r="G2066" s="42" t="n"/>
      <c r="H2066" s="42" t="n"/>
      <c r="I2066" s="43">
        <f>IF($B2066="","",N($G2066)-N($H2066))</f>
        <v/>
      </c>
    </row>
    <row r="2067">
      <c r="A2067" s="39">
        <f>IF($B2067="","",COUNTA($B$4:$B2067))</f>
        <v/>
      </c>
      <c r="B2067" s="45" t="n"/>
      <c r="C2067" s="46" t="n"/>
      <c r="D2067" s="46" t="n"/>
      <c r="E2067" s="46" t="n"/>
      <c r="F2067" s="51" t="n"/>
      <c r="G2067" s="47" t="n"/>
      <c r="H2067" s="47" t="n"/>
      <c r="I2067" s="43">
        <f>IF($B2067="","",N($G2067)-N($H2067))</f>
        <v/>
      </c>
    </row>
    <row r="2068">
      <c r="A2068" s="39">
        <f>IF($B2068="","",COUNTA($B$4:$B2068))</f>
        <v/>
      </c>
      <c r="B2068" s="40" t="n"/>
      <c r="C2068" s="41" t="n"/>
      <c r="D2068" s="41" t="n"/>
      <c r="E2068" s="41" t="n"/>
      <c r="F2068" s="50" t="n"/>
      <c r="G2068" s="42" t="n"/>
      <c r="H2068" s="42" t="n"/>
      <c r="I2068" s="43">
        <f>IF($B2068="","",N($G2068)-N($H2068))</f>
        <v/>
      </c>
    </row>
    <row r="2069">
      <c r="A2069" s="39">
        <f>IF($B2069="","",COUNTA($B$4:$B2069))</f>
        <v/>
      </c>
      <c r="B2069" s="45" t="n"/>
      <c r="C2069" s="46" t="n"/>
      <c r="D2069" s="46" t="n"/>
      <c r="E2069" s="46" t="n"/>
      <c r="F2069" s="51" t="n"/>
      <c r="G2069" s="47" t="n"/>
      <c r="H2069" s="47" t="n"/>
      <c r="I2069" s="43">
        <f>IF($B2069="","",N($G2069)-N($H2069))</f>
        <v/>
      </c>
    </row>
    <row r="2070">
      <c r="A2070" s="39">
        <f>IF($B2070="","",COUNTA($B$4:$B2070))</f>
        <v/>
      </c>
      <c r="B2070" s="40" t="n"/>
      <c r="C2070" s="41" t="n"/>
      <c r="D2070" s="41" t="n"/>
      <c r="E2070" s="41" t="n"/>
      <c r="F2070" s="50" t="n"/>
      <c r="G2070" s="42" t="n"/>
      <c r="H2070" s="42" t="n"/>
      <c r="I2070" s="43">
        <f>IF($B2070="","",N($G2070)-N($H2070))</f>
        <v/>
      </c>
    </row>
    <row r="2071">
      <c r="A2071" s="39">
        <f>IF($B2071="","",COUNTA($B$4:$B2071))</f>
        <v/>
      </c>
      <c r="B2071" s="45" t="n"/>
      <c r="C2071" s="46" t="n"/>
      <c r="D2071" s="46" t="n"/>
      <c r="E2071" s="46" t="n"/>
      <c r="F2071" s="51" t="n"/>
      <c r="G2071" s="47" t="n"/>
      <c r="H2071" s="47" t="n"/>
      <c r="I2071" s="43">
        <f>IF($B2071="","",N($G2071)-N($H2071))</f>
        <v/>
      </c>
    </row>
    <row r="2072">
      <c r="A2072" s="39">
        <f>IF($B2072="","",COUNTA($B$4:$B2072))</f>
        <v/>
      </c>
      <c r="B2072" s="40" t="n"/>
      <c r="C2072" s="41" t="n"/>
      <c r="D2072" s="41" t="n"/>
      <c r="E2072" s="41" t="n"/>
      <c r="F2072" s="50" t="n"/>
      <c r="G2072" s="42" t="n"/>
      <c r="H2072" s="42" t="n"/>
      <c r="I2072" s="43">
        <f>IF($B2072="","",N($G2072)-N($H2072))</f>
        <v/>
      </c>
    </row>
    <row r="2073">
      <c r="A2073" s="39">
        <f>IF($B2073="","",COUNTA($B$4:$B2073))</f>
        <v/>
      </c>
      <c r="B2073" s="45" t="n"/>
      <c r="C2073" s="46" t="n"/>
      <c r="D2073" s="46" t="n"/>
      <c r="E2073" s="46" t="n"/>
      <c r="F2073" s="51" t="n"/>
      <c r="G2073" s="47" t="n"/>
      <c r="H2073" s="47" t="n"/>
      <c r="I2073" s="43">
        <f>IF($B2073="","",N($G2073)-N($H2073))</f>
        <v/>
      </c>
    </row>
    <row r="2074">
      <c r="A2074" s="39">
        <f>IF($B2074="","",COUNTA($B$4:$B2074))</f>
        <v/>
      </c>
      <c r="B2074" s="40" t="n"/>
      <c r="C2074" s="41" t="n"/>
      <c r="D2074" s="41" t="n"/>
      <c r="E2074" s="41" t="n"/>
      <c r="F2074" s="50" t="n"/>
      <c r="G2074" s="42" t="n"/>
      <c r="H2074" s="42" t="n"/>
      <c r="I2074" s="43">
        <f>IF($B2074="","",N($G2074)-N($H2074))</f>
        <v/>
      </c>
    </row>
    <row r="2075">
      <c r="A2075" s="39">
        <f>IF($B2075="","",COUNTA($B$4:$B2075))</f>
        <v/>
      </c>
      <c r="B2075" s="45" t="n"/>
      <c r="C2075" s="46" t="n"/>
      <c r="D2075" s="46" t="n"/>
      <c r="E2075" s="46" t="n"/>
      <c r="F2075" s="51" t="n"/>
      <c r="G2075" s="47" t="n"/>
      <c r="H2075" s="47" t="n"/>
      <c r="I2075" s="43">
        <f>IF($B2075="","",N($G2075)-N($H2075))</f>
        <v/>
      </c>
    </row>
    <row r="2076">
      <c r="A2076" s="39">
        <f>IF($B2076="","",COUNTA($B$4:$B2076))</f>
        <v/>
      </c>
      <c r="B2076" s="40" t="n"/>
      <c r="C2076" s="41" t="n"/>
      <c r="D2076" s="41" t="n"/>
      <c r="E2076" s="41" t="n"/>
      <c r="F2076" s="50" t="n"/>
      <c r="G2076" s="42" t="n"/>
      <c r="H2076" s="42" t="n"/>
      <c r="I2076" s="43">
        <f>IF($B2076="","",N($G2076)-N($H2076))</f>
        <v/>
      </c>
    </row>
    <row r="2077">
      <c r="A2077" s="39">
        <f>IF($B2077="","",COUNTA($B$4:$B2077))</f>
        <v/>
      </c>
      <c r="B2077" s="45" t="n"/>
      <c r="C2077" s="46" t="n"/>
      <c r="D2077" s="46" t="n"/>
      <c r="E2077" s="46" t="n"/>
      <c r="F2077" s="51" t="n"/>
      <c r="G2077" s="47" t="n"/>
      <c r="H2077" s="47" t="n"/>
      <c r="I2077" s="43">
        <f>IF($B2077="","",N($G2077)-N($H2077))</f>
        <v/>
      </c>
    </row>
    <row r="2078">
      <c r="A2078" s="39">
        <f>IF($B2078="","",COUNTA($B$4:$B2078))</f>
        <v/>
      </c>
      <c r="B2078" s="40" t="n"/>
      <c r="C2078" s="41" t="n"/>
      <c r="D2078" s="41" t="n"/>
      <c r="E2078" s="41" t="n"/>
      <c r="F2078" s="50" t="n"/>
      <c r="G2078" s="42" t="n"/>
      <c r="H2078" s="42" t="n"/>
      <c r="I2078" s="43">
        <f>IF($B2078="","",N($G2078)-N($H2078))</f>
        <v/>
      </c>
    </row>
    <row r="2079">
      <c r="A2079" s="39">
        <f>IF($B2079="","",COUNTA($B$4:$B2079))</f>
        <v/>
      </c>
      <c r="B2079" s="45" t="n"/>
      <c r="C2079" s="46" t="n"/>
      <c r="D2079" s="46" t="n"/>
      <c r="E2079" s="46" t="n"/>
      <c r="F2079" s="51" t="n"/>
      <c r="G2079" s="47" t="n"/>
      <c r="H2079" s="47" t="n"/>
      <c r="I2079" s="43">
        <f>IF($B2079="","",N($G2079)-N($H2079))</f>
        <v/>
      </c>
    </row>
    <row r="2080">
      <c r="A2080" s="39">
        <f>IF($B2080="","",COUNTA($B$4:$B2080))</f>
        <v/>
      </c>
      <c r="B2080" s="40" t="n"/>
      <c r="C2080" s="41" t="n"/>
      <c r="D2080" s="41" t="n"/>
      <c r="E2080" s="41" t="n"/>
      <c r="F2080" s="50" t="n"/>
      <c r="G2080" s="42" t="n"/>
      <c r="H2080" s="42" t="n"/>
      <c r="I2080" s="43">
        <f>IF($B2080="","",N($G2080)-N($H2080))</f>
        <v/>
      </c>
    </row>
    <row r="2081">
      <c r="A2081" s="39">
        <f>IF($B2081="","",COUNTA($B$4:$B2081))</f>
        <v/>
      </c>
      <c r="B2081" s="45" t="n"/>
      <c r="C2081" s="46" t="n"/>
      <c r="D2081" s="46" t="n"/>
      <c r="E2081" s="46" t="n"/>
      <c r="F2081" s="51" t="n"/>
      <c r="G2081" s="47" t="n"/>
      <c r="H2081" s="47" t="n"/>
      <c r="I2081" s="43">
        <f>IF($B2081="","",N($G2081)-N($H2081))</f>
        <v/>
      </c>
    </row>
    <row r="2082">
      <c r="A2082" s="39">
        <f>IF($B2082="","",COUNTA($B$4:$B2082))</f>
        <v/>
      </c>
      <c r="B2082" s="40" t="n"/>
      <c r="C2082" s="41" t="n"/>
      <c r="D2082" s="41" t="n"/>
      <c r="E2082" s="41" t="n"/>
      <c r="F2082" s="50" t="n"/>
      <c r="G2082" s="42" t="n"/>
      <c r="H2082" s="42" t="n"/>
      <c r="I2082" s="43">
        <f>IF($B2082="","",N($G2082)-N($H2082))</f>
        <v/>
      </c>
    </row>
    <row r="2083">
      <c r="A2083" s="39">
        <f>IF($B2083="","",COUNTA($B$4:$B2083))</f>
        <v/>
      </c>
      <c r="B2083" s="45" t="n"/>
      <c r="C2083" s="46" t="n"/>
      <c r="D2083" s="46" t="n"/>
      <c r="E2083" s="46" t="n"/>
      <c r="F2083" s="51" t="n"/>
      <c r="G2083" s="47" t="n"/>
      <c r="H2083" s="47" t="n"/>
      <c r="I2083" s="43">
        <f>IF($B2083="","",N($G2083)-N($H2083))</f>
        <v/>
      </c>
    </row>
    <row r="2084">
      <c r="A2084" s="39">
        <f>IF($B2084="","",COUNTA($B$4:$B2084))</f>
        <v/>
      </c>
      <c r="B2084" s="40" t="n"/>
      <c r="C2084" s="41" t="n"/>
      <c r="D2084" s="41" t="n"/>
      <c r="E2084" s="41" t="n"/>
      <c r="F2084" s="50" t="n"/>
      <c r="G2084" s="42" t="n"/>
      <c r="H2084" s="42" t="n"/>
      <c r="I2084" s="43">
        <f>IF($B2084="","",N($G2084)-N($H2084))</f>
        <v/>
      </c>
    </row>
    <row r="2085">
      <c r="A2085" s="39">
        <f>IF($B2085="","",COUNTA($B$4:$B2085))</f>
        <v/>
      </c>
      <c r="B2085" s="45" t="n"/>
      <c r="C2085" s="46" t="n"/>
      <c r="D2085" s="46" t="n"/>
      <c r="E2085" s="46" t="n"/>
      <c r="F2085" s="51" t="n"/>
      <c r="G2085" s="47" t="n"/>
      <c r="H2085" s="47" t="n"/>
      <c r="I2085" s="43">
        <f>IF($B2085="","",N($G2085)-N($H2085))</f>
        <v/>
      </c>
    </row>
    <row r="2086">
      <c r="A2086" s="39">
        <f>IF($B2086="","",COUNTA($B$4:$B2086))</f>
        <v/>
      </c>
      <c r="B2086" s="40" t="n"/>
      <c r="C2086" s="41" t="n"/>
      <c r="D2086" s="41" t="n"/>
      <c r="E2086" s="41" t="n"/>
      <c r="F2086" s="50" t="n"/>
      <c r="G2086" s="42" t="n"/>
      <c r="H2086" s="42" t="n"/>
      <c r="I2086" s="43">
        <f>IF($B2086="","",N($G2086)-N($H2086))</f>
        <v/>
      </c>
    </row>
    <row r="2087">
      <c r="A2087" s="39">
        <f>IF($B2087="","",COUNTA($B$4:$B2087))</f>
        <v/>
      </c>
      <c r="B2087" s="45" t="n"/>
      <c r="C2087" s="46" t="n"/>
      <c r="D2087" s="46" t="n"/>
      <c r="E2087" s="46" t="n"/>
      <c r="F2087" s="51" t="n"/>
      <c r="G2087" s="47" t="n"/>
      <c r="H2087" s="47" t="n"/>
      <c r="I2087" s="43">
        <f>IF($B2087="","",N($G2087)-N($H2087))</f>
        <v/>
      </c>
    </row>
    <row r="2088">
      <c r="A2088" s="39">
        <f>IF($B2088="","",COUNTA($B$4:$B2088))</f>
        <v/>
      </c>
      <c r="B2088" s="40" t="n"/>
      <c r="C2088" s="41" t="n"/>
      <c r="D2088" s="41" t="n"/>
      <c r="E2088" s="41" t="n"/>
      <c r="F2088" s="50" t="n"/>
      <c r="G2088" s="42" t="n"/>
      <c r="H2088" s="42" t="n"/>
      <c r="I2088" s="43">
        <f>IF($B2088="","",N($G2088)-N($H2088))</f>
        <v/>
      </c>
    </row>
    <row r="2089">
      <c r="A2089" s="39">
        <f>IF($B2089="","",COUNTA($B$4:$B2089))</f>
        <v/>
      </c>
      <c r="B2089" s="45" t="n"/>
      <c r="C2089" s="46" t="n"/>
      <c r="D2089" s="46" t="n"/>
      <c r="E2089" s="46" t="n"/>
      <c r="F2089" s="51" t="n"/>
      <c r="G2089" s="47" t="n"/>
      <c r="H2089" s="47" t="n"/>
      <c r="I2089" s="43">
        <f>IF($B2089="","",N($G2089)-N($H2089))</f>
        <v/>
      </c>
    </row>
    <row r="2090">
      <c r="A2090" s="39">
        <f>IF($B2090="","",COUNTA($B$4:$B2090))</f>
        <v/>
      </c>
      <c r="B2090" s="40" t="n"/>
      <c r="C2090" s="41" t="n"/>
      <c r="D2090" s="41" t="n"/>
      <c r="E2090" s="41" t="n"/>
      <c r="F2090" s="50" t="n"/>
      <c r="G2090" s="42" t="n"/>
      <c r="H2090" s="42" t="n"/>
      <c r="I2090" s="43">
        <f>IF($B2090="","",N($G2090)-N($H2090))</f>
        <v/>
      </c>
    </row>
    <row r="2091">
      <c r="A2091" s="39">
        <f>IF($B2091="","",COUNTA($B$4:$B2091))</f>
        <v/>
      </c>
      <c r="B2091" s="45" t="n"/>
      <c r="C2091" s="46" t="n"/>
      <c r="D2091" s="46" t="n"/>
      <c r="E2091" s="46" t="n"/>
      <c r="F2091" s="51" t="n"/>
      <c r="G2091" s="47" t="n"/>
      <c r="H2091" s="47" t="n"/>
      <c r="I2091" s="43">
        <f>IF($B2091="","",N($G2091)-N($H2091))</f>
        <v/>
      </c>
    </row>
    <row r="2092">
      <c r="A2092" s="39">
        <f>IF($B2092="","",COUNTA($B$4:$B2092))</f>
        <v/>
      </c>
      <c r="B2092" s="40" t="n"/>
      <c r="C2092" s="41" t="n"/>
      <c r="D2092" s="41" t="n"/>
      <c r="E2092" s="41" t="n"/>
      <c r="F2092" s="50" t="n"/>
      <c r="G2092" s="42" t="n"/>
      <c r="H2092" s="42" t="n"/>
      <c r="I2092" s="43">
        <f>IF($B2092="","",N($G2092)-N($H2092))</f>
        <v/>
      </c>
    </row>
    <row r="2093">
      <c r="A2093" s="39">
        <f>IF($B2093="","",COUNTA($B$4:$B2093))</f>
        <v/>
      </c>
      <c r="B2093" s="45" t="n"/>
      <c r="C2093" s="46" t="n"/>
      <c r="D2093" s="46" t="n"/>
      <c r="E2093" s="46" t="n"/>
      <c r="F2093" s="51" t="n"/>
      <c r="G2093" s="47" t="n"/>
      <c r="H2093" s="47" t="n"/>
      <c r="I2093" s="43">
        <f>IF($B2093="","",N($G2093)-N($H2093))</f>
        <v/>
      </c>
    </row>
    <row r="2094">
      <c r="A2094" s="39">
        <f>IF($B2094="","",COUNTA($B$4:$B2094))</f>
        <v/>
      </c>
      <c r="B2094" s="40" t="n"/>
      <c r="C2094" s="41" t="n"/>
      <c r="D2094" s="41" t="n"/>
      <c r="E2094" s="41" t="n"/>
      <c r="F2094" s="50" t="n"/>
      <c r="G2094" s="42" t="n"/>
      <c r="H2094" s="42" t="n"/>
      <c r="I2094" s="43">
        <f>IF($B2094="","",N($G2094)-N($H2094))</f>
        <v/>
      </c>
    </row>
    <row r="2095">
      <c r="A2095" s="39">
        <f>IF($B2095="","",COUNTA($B$4:$B2095))</f>
        <v/>
      </c>
      <c r="B2095" s="45" t="n"/>
      <c r="C2095" s="46" t="n"/>
      <c r="D2095" s="46" t="n"/>
      <c r="E2095" s="46" t="n"/>
      <c r="F2095" s="51" t="n"/>
      <c r="G2095" s="47" t="n"/>
      <c r="H2095" s="47" t="n"/>
      <c r="I2095" s="43">
        <f>IF($B2095="","",N($G2095)-N($H2095))</f>
        <v/>
      </c>
    </row>
    <row r="2096">
      <c r="A2096" s="39">
        <f>IF($B2096="","",COUNTA($B$4:$B2096))</f>
        <v/>
      </c>
      <c r="B2096" s="40" t="n"/>
      <c r="C2096" s="41" t="n"/>
      <c r="D2096" s="41" t="n"/>
      <c r="E2096" s="41" t="n"/>
      <c r="F2096" s="50" t="n"/>
      <c r="G2096" s="42" t="n"/>
      <c r="H2096" s="42" t="n"/>
      <c r="I2096" s="43">
        <f>IF($B2096="","",N($G2096)-N($H2096))</f>
        <v/>
      </c>
    </row>
    <row r="2097">
      <c r="A2097" s="39">
        <f>IF($B2097="","",COUNTA($B$4:$B2097))</f>
        <v/>
      </c>
      <c r="B2097" s="45" t="n"/>
      <c r="C2097" s="46" t="n"/>
      <c r="D2097" s="46" t="n"/>
      <c r="E2097" s="46" t="n"/>
      <c r="F2097" s="51" t="n"/>
      <c r="G2097" s="47" t="n"/>
      <c r="H2097" s="47" t="n"/>
      <c r="I2097" s="43">
        <f>IF($B2097="","",N($G2097)-N($H2097))</f>
        <v/>
      </c>
    </row>
    <row r="2098">
      <c r="A2098" s="39">
        <f>IF($B2098="","",COUNTA($B$4:$B2098))</f>
        <v/>
      </c>
      <c r="B2098" s="40" t="n"/>
      <c r="C2098" s="41" t="n"/>
      <c r="D2098" s="41" t="n"/>
      <c r="E2098" s="41" t="n"/>
      <c r="F2098" s="50" t="n"/>
      <c r="G2098" s="42" t="n"/>
      <c r="H2098" s="42" t="n"/>
      <c r="I2098" s="43">
        <f>IF($B2098="","",N($G2098)-N($H2098))</f>
        <v/>
      </c>
    </row>
    <row r="2099">
      <c r="A2099" s="39">
        <f>IF($B2099="","",COUNTA($B$4:$B2099))</f>
        <v/>
      </c>
      <c r="B2099" s="45" t="n"/>
      <c r="C2099" s="46" t="n"/>
      <c r="D2099" s="46" t="n"/>
      <c r="E2099" s="46" t="n"/>
      <c r="F2099" s="51" t="n"/>
      <c r="G2099" s="47" t="n"/>
      <c r="H2099" s="47" t="n"/>
      <c r="I2099" s="43">
        <f>IF($B2099="","",N($G2099)-N($H2099))</f>
        <v/>
      </c>
    </row>
    <row r="2100">
      <c r="A2100" s="39">
        <f>IF($B2100="","",COUNTA($B$4:$B2100))</f>
        <v/>
      </c>
      <c r="B2100" s="40" t="n"/>
      <c r="C2100" s="41" t="n"/>
      <c r="D2100" s="41" t="n"/>
      <c r="E2100" s="41" t="n"/>
      <c r="F2100" s="50" t="n"/>
      <c r="G2100" s="42" t="n"/>
      <c r="H2100" s="42" t="n"/>
      <c r="I2100" s="43">
        <f>IF($B2100="","",N($G2100)-N($H2100))</f>
        <v/>
      </c>
    </row>
    <row r="2101">
      <c r="A2101" s="39">
        <f>IF($B2101="","",COUNTA($B$4:$B2101))</f>
        <v/>
      </c>
      <c r="B2101" s="45" t="n"/>
      <c r="C2101" s="46" t="n"/>
      <c r="D2101" s="46" t="n"/>
      <c r="E2101" s="46" t="n"/>
      <c r="F2101" s="51" t="n"/>
      <c r="G2101" s="47" t="n"/>
      <c r="H2101" s="47" t="n"/>
      <c r="I2101" s="43">
        <f>IF($B2101="","",N($G2101)-N($H2101))</f>
        <v/>
      </c>
    </row>
    <row r="2102">
      <c r="A2102" s="39">
        <f>IF($B2102="","",COUNTA($B$4:$B2102))</f>
        <v/>
      </c>
      <c r="B2102" s="40" t="n"/>
      <c r="C2102" s="41" t="n"/>
      <c r="D2102" s="41" t="n"/>
      <c r="E2102" s="41" t="n"/>
      <c r="F2102" s="50" t="n"/>
      <c r="G2102" s="42" t="n"/>
      <c r="H2102" s="42" t="n"/>
      <c r="I2102" s="43">
        <f>IF($B2102="","",N($G2102)-N($H2102))</f>
        <v/>
      </c>
    </row>
    <row r="2103">
      <c r="A2103" s="39">
        <f>IF($B2103="","",COUNTA($B$4:$B2103))</f>
        <v/>
      </c>
      <c r="B2103" s="45" t="n"/>
      <c r="C2103" s="46" t="n"/>
      <c r="D2103" s="46" t="n"/>
      <c r="E2103" s="46" t="n"/>
      <c r="F2103" s="51" t="n"/>
      <c r="G2103" s="47" t="n"/>
      <c r="H2103" s="47" t="n"/>
      <c r="I2103" s="43">
        <f>IF($B2103="","",N($G2103)-N($H2103))</f>
        <v/>
      </c>
    </row>
    <row r="2104">
      <c r="A2104" s="39">
        <f>IF($B2104="","",COUNTA($B$4:$B2104))</f>
        <v/>
      </c>
      <c r="B2104" s="40" t="n"/>
      <c r="C2104" s="41" t="n"/>
      <c r="D2104" s="41" t="n"/>
      <c r="E2104" s="41" t="n"/>
      <c r="F2104" s="50" t="n"/>
      <c r="G2104" s="42" t="n"/>
      <c r="H2104" s="42" t="n"/>
      <c r="I2104" s="43">
        <f>IF($B2104="","",N($G2104)-N($H2104))</f>
        <v/>
      </c>
    </row>
    <row r="2105">
      <c r="A2105" s="39">
        <f>IF($B2105="","",COUNTA($B$4:$B2105))</f>
        <v/>
      </c>
      <c r="B2105" s="45" t="n"/>
      <c r="C2105" s="46" t="n"/>
      <c r="D2105" s="46" t="n"/>
      <c r="E2105" s="46" t="n"/>
      <c r="F2105" s="51" t="n"/>
      <c r="G2105" s="47" t="n"/>
      <c r="H2105" s="47" t="n"/>
      <c r="I2105" s="43">
        <f>IF($B2105="","",N($G2105)-N($H2105))</f>
        <v/>
      </c>
    </row>
    <row r="2106">
      <c r="A2106" s="39">
        <f>IF($B2106="","",COUNTA($B$4:$B2106))</f>
        <v/>
      </c>
      <c r="B2106" s="40" t="n"/>
      <c r="C2106" s="41" t="n"/>
      <c r="D2106" s="41" t="n"/>
      <c r="E2106" s="41" t="n"/>
      <c r="F2106" s="50" t="n"/>
      <c r="G2106" s="42" t="n"/>
      <c r="H2106" s="42" t="n"/>
      <c r="I2106" s="43">
        <f>IF($B2106="","",N($G2106)-N($H2106))</f>
        <v/>
      </c>
    </row>
    <row r="2107">
      <c r="A2107" s="39">
        <f>IF($B2107="","",COUNTA($B$4:$B2107))</f>
        <v/>
      </c>
      <c r="B2107" s="45" t="n"/>
      <c r="C2107" s="46" t="n"/>
      <c r="D2107" s="46" t="n"/>
      <c r="E2107" s="46" t="n"/>
      <c r="F2107" s="51" t="n"/>
      <c r="G2107" s="47" t="n"/>
      <c r="H2107" s="47" t="n"/>
      <c r="I2107" s="43">
        <f>IF($B2107="","",N($G2107)-N($H2107))</f>
        <v/>
      </c>
    </row>
    <row r="2108">
      <c r="A2108" s="39">
        <f>IF($B2108="","",COUNTA($B$4:$B2108))</f>
        <v/>
      </c>
      <c r="B2108" s="40" t="n"/>
      <c r="C2108" s="41" t="n"/>
      <c r="D2108" s="41" t="n"/>
      <c r="E2108" s="41" t="n"/>
      <c r="F2108" s="50" t="n"/>
      <c r="G2108" s="42" t="n"/>
      <c r="H2108" s="42" t="n"/>
      <c r="I2108" s="43">
        <f>IF($B2108="","",N($G2108)-N($H2108))</f>
        <v/>
      </c>
    </row>
    <row r="2109">
      <c r="A2109" s="39">
        <f>IF($B2109="","",COUNTA($B$4:$B2109))</f>
        <v/>
      </c>
      <c r="B2109" s="45" t="n"/>
      <c r="C2109" s="46" t="n"/>
      <c r="D2109" s="46" t="n"/>
      <c r="E2109" s="46" t="n"/>
      <c r="F2109" s="51" t="n"/>
      <c r="G2109" s="47" t="n"/>
      <c r="H2109" s="47" t="n"/>
      <c r="I2109" s="43">
        <f>IF($B2109="","",N($G2109)-N($H2109))</f>
        <v/>
      </c>
    </row>
    <row r="2110">
      <c r="A2110" s="39">
        <f>IF($B2110="","",COUNTA($B$4:$B2110))</f>
        <v/>
      </c>
      <c r="B2110" s="40" t="n"/>
      <c r="C2110" s="41" t="n"/>
      <c r="D2110" s="41" t="n"/>
      <c r="E2110" s="41" t="n"/>
      <c r="F2110" s="50" t="n"/>
      <c r="G2110" s="42" t="n"/>
      <c r="H2110" s="42" t="n"/>
      <c r="I2110" s="43">
        <f>IF($B2110="","",N($G2110)-N($H2110))</f>
        <v/>
      </c>
    </row>
    <row r="2111">
      <c r="A2111" s="39">
        <f>IF($B2111="","",COUNTA($B$4:$B2111))</f>
        <v/>
      </c>
      <c r="B2111" s="45" t="n"/>
      <c r="C2111" s="46" t="n"/>
      <c r="D2111" s="46" t="n"/>
      <c r="E2111" s="46" t="n"/>
      <c r="F2111" s="51" t="n"/>
      <c r="G2111" s="47" t="n"/>
      <c r="H2111" s="47" t="n"/>
      <c r="I2111" s="43">
        <f>IF($B2111="","",N($G2111)-N($H2111))</f>
        <v/>
      </c>
    </row>
    <row r="2112">
      <c r="A2112" s="39">
        <f>IF($B2112="","",COUNTA($B$4:$B2112))</f>
        <v/>
      </c>
      <c r="B2112" s="40" t="n"/>
      <c r="C2112" s="41" t="n"/>
      <c r="D2112" s="41" t="n"/>
      <c r="E2112" s="41" t="n"/>
      <c r="F2112" s="50" t="n"/>
      <c r="G2112" s="42" t="n"/>
      <c r="H2112" s="42" t="n"/>
      <c r="I2112" s="43">
        <f>IF($B2112="","",N($G2112)-N($H2112))</f>
        <v/>
      </c>
    </row>
    <row r="2113">
      <c r="A2113" s="39">
        <f>IF($B2113="","",COUNTA($B$4:$B2113))</f>
        <v/>
      </c>
      <c r="B2113" s="45" t="n"/>
      <c r="C2113" s="46" t="n"/>
      <c r="D2113" s="46" t="n"/>
      <c r="E2113" s="46" t="n"/>
      <c r="F2113" s="51" t="n"/>
      <c r="G2113" s="47" t="n"/>
      <c r="H2113" s="47" t="n"/>
      <c r="I2113" s="43">
        <f>IF($B2113="","",N($G2113)-N($H2113))</f>
        <v/>
      </c>
    </row>
    <row r="2114">
      <c r="A2114" s="39">
        <f>IF($B2114="","",COUNTA($B$4:$B2114))</f>
        <v/>
      </c>
      <c r="B2114" s="40" t="n"/>
      <c r="C2114" s="41" t="n"/>
      <c r="D2114" s="41" t="n"/>
      <c r="E2114" s="41" t="n"/>
      <c r="F2114" s="50" t="n"/>
      <c r="G2114" s="42" t="n"/>
      <c r="H2114" s="42" t="n"/>
      <c r="I2114" s="43">
        <f>IF($B2114="","",N($G2114)-N($H2114))</f>
        <v/>
      </c>
    </row>
    <row r="2115">
      <c r="A2115" s="39">
        <f>IF($B2115="","",COUNTA($B$4:$B2115))</f>
        <v/>
      </c>
      <c r="B2115" s="45" t="n"/>
      <c r="C2115" s="46" t="n"/>
      <c r="D2115" s="46" t="n"/>
      <c r="E2115" s="46" t="n"/>
      <c r="F2115" s="51" t="n"/>
      <c r="G2115" s="47" t="n"/>
      <c r="H2115" s="47" t="n"/>
      <c r="I2115" s="43">
        <f>IF($B2115="","",N($G2115)-N($H2115))</f>
        <v/>
      </c>
    </row>
    <row r="2116">
      <c r="A2116" s="39">
        <f>IF($B2116="","",COUNTA($B$4:$B2116))</f>
        <v/>
      </c>
      <c r="B2116" s="40" t="n"/>
      <c r="C2116" s="41" t="n"/>
      <c r="D2116" s="41" t="n"/>
      <c r="E2116" s="41" t="n"/>
      <c r="F2116" s="50" t="n"/>
      <c r="G2116" s="42" t="n"/>
      <c r="H2116" s="42" t="n"/>
      <c r="I2116" s="43">
        <f>IF($B2116="","",N($G2116)-N($H2116))</f>
        <v/>
      </c>
    </row>
    <row r="2117">
      <c r="A2117" s="39">
        <f>IF($B2117="","",COUNTA($B$4:$B2117))</f>
        <v/>
      </c>
      <c r="B2117" s="45" t="n"/>
      <c r="C2117" s="46" t="n"/>
      <c r="D2117" s="46" t="n"/>
      <c r="E2117" s="46" t="n"/>
      <c r="F2117" s="51" t="n"/>
      <c r="G2117" s="47" t="n"/>
      <c r="H2117" s="47" t="n"/>
      <c r="I2117" s="43">
        <f>IF($B2117="","",N($G2117)-N($H2117))</f>
        <v/>
      </c>
    </row>
    <row r="2118">
      <c r="A2118" s="39">
        <f>IF($B2118="","",COUNTA($B$4:$B2118))</f>
        <v/>
      </c>
      <c r="B2118" s="40" t="n"/>
      <c r="C2118" s="41" t="n"/>
      <c r="D2118" s="41" t="n"/>
      <c r="E2118" s="41" t="n"/>
      <c r="F2118" s="50" t="n"/>
      <c r="G2118" s="42" t="n"/>
      <c r="H2118" s="42" t="n"/>
      <c r="I2118" s="43">
        <f>IF($B2118="","",N($G2118)-N($H2118))</f>
        <v/>
      </c>
    </row>
    <row r="2119">
      <c r="A2119" s="39">
        <f>IF($B2119="","",COUNTA($B$4:$B2119))</f>
        <v/>
      </c>
      <c r="B2119" s="45" t="n"/>
      <c r="C2119" s="46" t="n"/>
      <c r="D2119" s="46" t="n"/>
      <c r="E2119" s="46" t="n"/>
      <c r="F2119" s="51" t="n"/>
      <c r="G2119" s="47" t="n"/>
      <c r="H2119" s="47" t="n"/>
      <c r="I2119" s="43">
        <f>IF($B2119="","",N($G2119)-N($H2119))</f>
        <v/>
      </c>
    </row>
    <row r="2120">
      <c r="A2120" s="39">
        <f>IF($B2120="","",COUNTA($B$4:$B2120))</f>
        <v/>
      </c>
      <c r="B2120" s="40" t="n"/>
      <c r="C2120" s="41" t="n"/>
      <c r="D2120" s="41" t="n"/>
      <c r="E2120" s="41" t="n"/>
      <c r="F2120" s="50" t="n"/>
      <c r="G2120" s="42" t="n"/>
      <c r="H2120" s="42" t="n"/>
      <c r="I2120" s="43">
        <f>IF($B2120="","",N($G2120)-N($H2120))</f>
        <v/>
      </c>
    </row>
    <row r="2121">
      <c r="A2121" s="39">
        <f>IF($B2121="","",COUNTA($B$4:$B2121))</f>
        <v/>
      </c>
      <c r="B2121" s="45" t="n"/>
      <c r="C2121" s="46" t="n"/>
      <c r="D2121" s="46" t="n"/>
      <c r="E2121" s="46" t="n"/>
      <c r="F2121" s="51" t="n"/>
      <c r="G2121" s="47" t="n"/>
      <c r="H2121" s="47" t="n"/>
      <c r="I2121" s="43">
        <f>IF($B2121="","",N($G2121)-N($H2121))</f>
        <v/>
      </c>
    </row>
    <row r="2122">
      <c r="A2122" s="39">
        <f>IF($B2122="","",COUNTA($B$4:$B2122))</f>
        <v/>
      </c>
      <c r="B2122" s="40" t="n"/>
      <c r="C2122" s="41" t="n"/>
      <c r="D2122" s="41" t="n"/>
      <c r="E2122" s="41" t="n"/>
      <c r="F2122" s="50" t="n"/>
      <c r="G2122" s="42" t="n"/>
      <c r="H2122" s="42" t="n"/>
      <c r="I2122" s="43">
        <f>IF($B2122="","",N($G2122)-N($H2122))</f>
        <v/>
      </c>
    </row>
    <row r="2123">
      <c r="A2123" s="39">
        <f>IF($B2123="","",COUNTA($B$4:$B2123))</f>
        <v/>
      </c>
      <c r="B2123" s="45" t="n"/>
      <c r="C2123" s="46" t="n"/>
      <c r="D2123" s="46" t="n"/>
      <c r="E2123" s="46" t="n"/>
      <c r="F2123" s="51" t="n"/>
      <c r="G2123" s="47" t="n"/>
      <c r="H2123" s="47" t="n"/>
      <c r="I2123" s="43">
        <f>IF($B2123="","",N($G2123)-N($H2123))</f>
        <v/>
      </c>
    </row>
    <row r="2124">
      <c r="A2124" s="39">
        <f>IF($B2124="","",COUNTA($B$4:$B2124))</f>
        <v/>
      </c>
      <c r="B2124" s="40" t="n"/>
      <c r="C2124" s="41" t="n"/>
      <c r="D2124" s="41" t="n"/>
      <c r="E2124" s="41" t="n"/>
      <c r="F2124" s="50" t="n"/>
      <c r="G2124" s="42" t="n"/>
      <c r="H2124" s="42" t="n"/>
      <c r="I2124" s="43">
        <f>IF($B2124="","",N($G2124)-N($H2124))</f>
        <v/>
      </c>
    </row>
    <row r="2125">
      <c r="A2125" s="39">
        <f>IF($B2125="","",COUNTA($B$4:$B2125))</f>
        <v/>
      </c>
      <c r="B2125" s="45" t="n"/>
      <c r="C2125" s="46" t="n"/>
      <c r="D2125" s="46" t="n"/>
      <c r="E2125" s="46" t="n"/>
      <c r="F2125" s="51" t="n"/>
      <c r="G2125" s="47" t="n"/>
      <c r="H2125" s="47" t="n"/>
      <c r="I2125" s="43">
        <f>IF($B2125="","",N($G2125)-N($H2125))</f>
        <v/>
      </c>
    </row>
    <row r="2126">
      <c r="A2126" s="39">
        <f>IF($B2126="","",COUNTA($B$4:$B2126))</f>
        <v/>
      </c>
      <c r="B2126" s="40" t="n"/>
      <c r="C2126" s="41" t="n"/>
      <c r="D2126" s="41" t="n"/>
      <c r="E2126" s="41" t="n"/>
      <c r="F2126" s="50" t="n"/>
      <c r="G2126" s="42" t="n"/>
      <c r="H2126" s="42" t="n"/>
      <c r="I2126" s="43">
        <f>IF($B2126="","",N($G2126)-N($H2126))</f>
        <v/>
      </c>
    </row>
    <row r="2127">
      <c r="A2127" s="39">
        <f>IF($B2127="","",COUNTA($B$4:$B2127))</f>
        <v/>
      </c>
      <c r="B2127" s="45" t="n"/>
      <c r="C2127" s="46" t="n"/>
      <c r="D2127" s="46" t="n"/>
      <c r="E2127" s="46" t="n"/>
      <c r="F2127" s="51" t="n"/>
      <c r="G2127" s="47" t="n"/>
      <c r="H2127" s="47" t="n"/>
      <c r="I2127" s="43">
        <f>IF($B2127="","",N($G2127)-N($H2127))</f>
        <v/>
      </c>
    </row>
    <row r="2128">
      <c r="A2128" s="39">
        <f>IF($B2128="","",COUNTA($B$4:$B2128))</f>
        <v/>
      </c>
      <c r="B2128" s="40" t="n"/>
      <c r="C2128" s="41" t="n"/>
      <c r="D2128" s="41" t="n"/>
      <c r="E2128" s="41" t="n"/>
      <c r="F2128" s="50" t="n"/>
      <c r="G2128" s="42" t="n"/>
      <c r="H2128" s="42" t="n"/>
      <c r="I2128" s="43">
        <f>IF($B2128="","",N($G2128)-N($H2128))</f>
        <v/>
      </c>
    </row>
    <row r="2129">
      <c r="A2129" s="39">
        <f>IF($B2129="","",COUNTA($B$4:$B2129))</f>
        <v/>
      </c>
      <c r="B2129" s="45" t="n"/>
      <c r="C2129" s="46" t="n"/>
      <c r="D2129" s="46" t="n"/>
      <c r="E2129" s="46" t="n"/>
      <c r="F2129" s="51" t="n"/>
      <c r="G2129" s="47" t="n"/>
      <c r="H2129" s="47" t="n"/>
      <c r="I2129" s="43">
        <f>IF($B2129="","",N($G2129)-N($H2129))</f>
        <v/>
      </c>
    </row>
    <row r="2130">
      <c r="A2130" s="39">
        <f>IF($B2130="","",COUNTA($B$4:$B2130))</f>
        <v/>
      </c>
      <c r="B2130" s="40" t="n"/>
      <c r="C2130" s="41" t="n"/>
      <c r="D2130" s="41" t="n"/>
      <c r="E2130" s="41" t="n"/>
      <c r="F2130" s="50" t="n"/>
      <c r="G2130" s="42" t="n"/>
      <c r="H2130" s="42" t="n"/>
      <c r="I2130" s="43">
        <f>IF($B2130="","",N($G2130)-N($H2130))</f>
        <v/>
      </c>
    </row>
    <row r="2131">
      <c r="A2131" s="39">
        <f>IF($B2131="","",COUNTA($B$4:$B2131))</f>
        <v/>
      </c>
      <c r="B2131" s="45" t="n"/>
      <c r="C2131" s="46" t="n"/>
      <c r="D2131" s="46" t="n"/>
      <c r="E2131" s="46" t="n"/>
      <c r="F2131" s="51" t="n"/>
      <c r="G2131" s="47" t="n"/>
      <c r="H2131" s="47" t="n"/>
      <c r="I2131" s="43">
        <f>IF($B2131="","",N($G2131)-N($H2131))</f>
        <v/>
      </c>
    </row>
    <row r="2132">
      <c r="A2132" s="39">
        <f>IF($B2132="","",COUNTA($B$4:$B2132))</f>
        <v/>
      </c>
      <c r="B2132" s="40" t="n"/>
      <c r="C2132" s="41" t="n"/>
      <c r="D2132" s="41" t="n"/>
      <c r="E2132" s="41" t="n"/>
      <c r="F2132" s="50" t="n"/>
      <c r="G2132" s="42" t="n"/>
      <c r="H2132" s="42" t="n"/>
      <c r="I2132" s="43">
        <f>IF($B2132="","",N($G2132)-N($H2132))</f>
        <v/>
      </c>
    </row>
    <row r="2133">
      <c r="A2133" s="39">
        <f>IF($B2133="","",COUNTA($B$4:$B2133))</f>
        <v/>
      </c>
      <c r="B2133" s="45" t="n"/>
      <c r="C2133" s="46" t="n"/>
      <c r="D2133" s="46" t="n"/>
      <c r="E2133" s="46" t="n"/>
      <c r="F2133" s="51" t="n"/>
      <c r="G2133" s="47" t="n"/>
      <c r="H2133" s="47" t="n"/>
      <c r="I2133" s="43">
        <f>IF($B2133="","",N($G2133)-N($H2133))</f>
        <v/>
      </c>
    </row>
    <row r="2134">
      <c r="A2134" s="39">
        <f>IF($B2134="","",COUNTA($B$4:$B2134))</f>
        <v/>
      </c>
      <c r="B2134" s="40" t="n"/>
      <c r="C2134" s="41" t="n"/>
      <c r="D2134" s="41" t="n"/>
      <c r="E2134" s="41" t="n"/>
      <c r="F2134" s="50" t="n"/>
      <c r="G2134" s="42" t="n"/>
      <c r="H2134" s="42" t="n"/>
      <c r="I2134" s="43">
        <f>IF($B2134="","",N($G2134)-N($H2134))</f>
        <v/>
      </c>
    </row>
    <row r="2135">
      <c r="A2135" s="39">
        <f>IF($B2135="","",COUNTA($B$4:$B2135))</f>
        <v/>
      </c>
      <c r="B2135" s="45" t="n"/>
      <c r="C2135" s="46" t="n"/>
      <c r="D2135" s="46" t="n"/>
      <c r="E2135" s="46" t="n"/>
      <c r="F2135" s="51" t="n"/>
      <c r="G2135" s="47" t="n"/>
      <c r="H2135" s="47" t="n"/>
      <c r="I2135" s="43">
        <f>IF($B2135="","",N($G2135)-N($H2135))</f>
        <v/>
      </c>
    </row>
    <row r="2136">
      <c r="A2136" s="39">
        <f>IF($B2136="","",COUNTA($B$4:$B2136))</f>
        <v/>
      </c>
      <c r="B2136" s="40" t="n"/>
      <c r="C2136" s="41" t="n"/>
      <c r="D2136" s="41" t="n"/>
      <c r="E2136" s="41" t="n"/>
      <c r="F2136" s="50" t="n"/>
      <c r="G2136" s="42" t="n"/>
      <c r="H2136" s="42" t="n"/>
      <c r="I2136" s="43">
        <f>IF($B2136="","",N($G2136)-N($H2136))</f>
        <v/>
      </c>
    </row>
    <row r="2137">
      <c r="A2137" s="39">
        <f>IF($B2137="","",COUNTA($B$4:$B2137))</f>
        <v/>
      </c>
      <c r="B2137" s="45" t="n"/>
      <c r="C2137" s="46" t="n"/>
      <c r="D2137" s="46" t="n"/>
      <c r="E2137" s="46" t="n"/>
      <c r="F2137" s="51" t="n"/>
      <c r="G2137" s="47" t="n"/>
      <c r="H2137" s="47" t="n"/>
      <c r="I2137" s="43">
        <f>IF($B2137="","",N($G2137)-N($H2137))</f>
        <v/>
      </c>
    </row>
    <row r="2138">
      <c r="A2138" s="39">
        <f>IF($B2138="","",COUNTA($B$4:$B2138))</f>
        <v/>
      </c>
      <c r="B2138" s="40" t="n"/>
      <c r="C2138" s="41" t="n"/>
      <c r="D2138" s="41" t="n"/>
      <c r="E2138" s="41" t="n"/>
      <c r="F2138" s="50" t="n"/>
      <c r="G2138" s="42" t="n"/>
      <c r="H2138" s="42" t="n"/>
      <c r="I2138" s="43">
        <f>IF($B2138="","",N($G2138)-N($H2138))</f>
        <v/>
      </c>
    </row>
    <row r="2139">
      <c r="A2139" s="39">
        <f>IF($B2139="","",COUNTA($B$4:$B2139))</f>
        <v/>
      </c>
      <c r="B2139" s="45" t="n"/>
      <c r="C2139" s="46" t="n"/>
      <c r="D2139" s="46" t="n"/>
      <c r="E2139" s="46" t="n"/>
      <c r="F2139" s="51" t="n"/>
      <c r="G2139" s="47" t="n"/>
      <c r="H2139" s="47" t="n"/>
      <c r="I2139" s="43">
        <f>IF($B2139="","",N($G2139)-N($H2139))</f>
        <v/>
      </c>
    </row>
    <row r="2140">
      <c r="A2140" s="39">
        <f>IF($B2140="","",COUNTA($B$4:$B2140))</f>
        <v/>
      </c>
      <c r="B2140" s="40" t="n"/>
      <c r="C2140" s="41" t="n"/>
      <c r="D2140" s="41" t="n"/>
      <c r="E2140" s="41" t="n"/>
      <c r="F2140" s="50" t="n"/>
      <c r="G2140" s="42" t="n"/>
      <c r="H2140" s="42" t="n"/>
      <c r="I2140" s="43">
        <f>IF($B2140="","",N($G2140)-N($H2140))</f>
        <v/>
      </c>
    </row>
    <row r="2141">
      <c r="A2141" s="39">
        <f>IF($B2141="","",COUNTA($B$4:$B2141))</f>
        <v/>
      </c>
      <c r="B2141" s="45" t="n"/>
      <c r="C2141" s="46" t="n"/>
      <c r="D2141" s="46" t="n"/>
      <c r="E2141" s="46" t="n"/>
      <c r="F2141" s="51" t="n"/>
      <c r="G2141" s="47" t="n"/>
      <c r="H2141" s="47" t="n"/>
      <c r="I2141" s="43">
        <f>IF($B2141="","",N($G2141)-N($H2141))</f>
        <v/>
      </c>
    </row>
    <row r="2142">
      <c r="A2142" s="39">
        <f>IF($B2142="","",COUNTA($B$4:$B2142))</f>
        <v/>
      </c>
      <c r="B2142" s="40" t="n"/>
      <c r="C2142" s="41" t="n"/>
      <c r="D2142" s="41" t="n"/>
      <c r="E2142" s="41" t="n"/>
      <c r="F2142" s="50" t="n"/>
      <c r="G2142" s="42" t="n"/>
      <c r="H2142" s="42" t="n"/>
      <c r="I2142" s="43">
        <f>IF($B2142="","",N($G2142)-N($H2142))</f>
        <v/>
      </c>
    </row>
    <row r="2143">
      <c r="A2143" s="39">
        <f>IF($B2143="","",COUNTA($B$4:$B2143))</f>
        <v/>
      </c>
      <c r="B2143" s="45" t="n"/>
      <c r="C2143" s="46" t="n"/>
      <c r="D2143" s="46" t="n"/>
      <c r="E2143" s="46" t="n"/>
      <c r="F2143" s="51" t="n"/>
      <c r="G2143" s="47" t="n"/>
      <c r="H2143" s="47" t="n"/>
      <c r="I2143" s="43">
        <f>IF($B2143="","",N($G2143)-N($H2143))</f>
        <v/>
      </c>
    </row>
    <row r="2144">
      <c r="A2144" s="39">
        <f>IF($B2144="","",COUNTA($B$4:$B2144))</f>
        <v/>
      </c>
      <c r="B2144" s="40" t="n"/>
      <c r="C2144" s="41" t="n"/>
      <c r="D2144" s="41" t="n"/>
      <c r="E2144" s="41" t="n"/>
      <c r="F2144" s="50" t="n"/>
      <c r="G2144" s="42" t="n"/>
      <c r="H2144" s="42" t="n"/>
      <c r="I2144" s="43">
        <f>IF($B2144="","",N($G2144)-N($H2144))</f>
        <v/>
      </c>
    </row>
    <row r="2145">
      <c r="A2145" s="39">
        <f>IF($B2145="","",COUNTA($B$4:$B2145))</f>
        <v/>
      </c>
      <c r="B2145" s="45" t="n"/>
      <c r="C2145" s="46" t="n"/>
      <c r="D2145" s="46" t="n"/>
      <c r="E2145" s="46" t="n"/>
      <c r="F2145" s="51" t="n"/>
      <c r="G2145" s="47" t="n"/>
      <c r="H2145" s="47" t="n"/>
      <c r="I2145" s="43">
        <f>IF($B2145="","",N($G2145)-N($H2145))</f>
        <v/>
      </c>
    </row>
    <row r="2146">
      <c r="A2146" s="39">
        <f>IF($B2146="","",COUNTA($B$4:$B2146))</f>
        <v/>
      </c>
      <c r="B2146" s="40" t="n"/>
      <c r="C2146" s="41" t="n"/>
      <c r="D2146" s="41" t="n"/>
      <c r="E2146" s="41" t="n"/>
      <c r="F2146" s="50" t="n"/>
      <c r="G2146" s="42" t="n"/>
      <c r="H2146" s="42" t="n"/>
      <c r="I2146" s="43">
        <f>IF($B2146="","",N($G2146)-N($H2146))</f>
        <v/>
      </c>
    </row>
    <row r="2147">
      <c r="A2147" s="39">
        <f>IF($B2147="","",COUNTA($B$4:$B2147))</f>
        <v/>
      </c>
      <c r="B2147" s="45" t="n"/>
      <c r="C2147" s="46" t="n"/>
      <c r="D2147" s="46" t="n"/>
      <c r="E2147" s="46" t="n"/>
      <c r="F2147" s="51" t="n"/>
      <c r="G2147" s="47" t="n"/>
      <c r="H2147" s="47" t="n"/>
      <c r="I2147" s="43">
        <f>IF($B2147="","",N($G2147)-N($H2147))</f>
        <v/>
      </c>
    </row>
    <row r="2148">
      <c r="A2148" s="39">
        <f>IF($B2148="","",COUNTA($B$4:$B2148))</f>
        <v/>
      </c>
      <c r="B2148" s="40" t="n"/>
      <c r="C2148" s="41" t="n"/>
      <c r="D2148" s="41" t="n"/>
      <c r="E2148" s="41" t="n"/>
      <c r="F2148" s="50" t="n"/>
      <c r="G2148" s="42" t="n"/>
      <c r="H2148" s="42" t="n"/>
      <c r="I2148" s="43">
        <f>IF($B2148="","",N($G2148)-N($H2148))</f>
        <v/>
      </c>
    </row>
    <row r="2149">
      <c r="A2149" s="39">
        <f>IF($B2149="","",COUNTA($B$4:$B2149))</f>
        <v/>
      </c>
      <c r="B2149" s="45" t="n"/>
      <c r="C2149" s="46" t="n"/>
      <c r="D2149" s="46" t="n"/>
      <c r="E2149" s="46" t="n"/>
      <c r="F2149" s="51" t="n"/>
      <c r="G2149" s="47" t="n"/>
      <c r="H2149" s="47" t="n"/>
      <c r="I2149" s="43">
        <f>IF($B2149="","",N($G2149)-N($H2149))</f>
        <v/>
      </c>
    </row>
    <row r="2150">
      <c r="A2150" s="39">
        <f>IF($B2150="","",COUNTA($B$4:$B2150))</f>
        <v/>
      </c>
      <c r="B2150" s="40" t="n"/>
      <c r="C2150" s="41" t="n"/>
      <c r="D2150" s="41" t="n"/>
      <c r="E2150" s="41" t="n"/>
      <c r="F2150" s="50" t="n"/>
      <c r="G2150" s="42" t="n"/>
      <c r="H2150" s="42" t="n"/>
      <c r="I2150" s="43">
        <f>IF($B2150="","",N($G2150)-N($H2150))</f>
        <v/>
      </c>
    </row>
    <row r="2151">
      <c r="A2151" s="39">
        <f>IF($B2151="","",COUNTA($B$4:$B2151))</f>
        <v/>
      </c>
      <c r="B2151" s="45" t="n"/>
      <c r="C2151" s="46" t="n"/>
      <c r="D2151" s="46" t="n"/>
      <c r="E2151" s="46" t="n"/>
      <c r="F2151" s="51" t="n"/>
      <c r="G2151" s="47" t="n"/>
      <c r="H2151" s="47" t="n"/>
      <c r="I2151" s="43">
        <f>IF($B2151="","",N($G2151)-N($H2151))</f>
        <v/>
      </c>
    </row>
    <row r="2152">
      <c r="A2152" s="39">
        <f>IF($B2152="","",COUNTA($B$4:$B2152))</f>
        <v/>
      </c>
      <c r="B2152" s="40" t="n"/>
      <c r="C2152" s="41" t="n"/>
      <c r="D2152" s="41" t="n"/>
      <c r="E2152" s="41" t="n"/>
      <c r="F2152" s="50" t="n"/>
      <c r="G2152" s="42" t="n"/>
      <c r="H2152" s="42" t="n"/>
      <c r="I2152" s="43">
        <f>IF($B2152="","",N($G2152)-N($H2152))</f>
        <v/>
      </c>
    </row>
    <row r="2153">
      <c r="A2153" s="39">
        <f>IF($B2153="","",COUNTA($B$4:$B2153))</f>
        <v/>
      </c>
      <c r="B2153" s="45" t="n"/>
      <c r="C2153" s="46" t="n"/>
      <c r="D2153" s="46" t="n"/>
      <c r="E2153" s="46" t="n"/>
      <c r="F2153" s="51" t="n"/>
      <c r="G2153" s="47" t="n"/>
      <c r="H2153" s="47" t="n"/>
      <c r="I2153" s="43">
        <f>IF($B2153="","",N($G2153)-N($H2153))</f>
        <v/>
      </c>
    </row>
    <row r="2154">
      <c r="A2154" s="39">
        <f>IF($B2154="","",COUNTA($B$4:$B2154))</f>
        <v/>
      </c>
      <c r="B2154" s="40" t="n"/>
      <c r="C2154" s="41" t="n"/>
      <c r="D2154" s="41" t="n"/>
      <c r="E2154" s="41" t="n"/>
      <c r="F2154" s="50" t="n"/>
      <c r="G2154" s="42" t="n"/>
      <c r="H2154" s="42" t="n"/>
      <c r="I2154" s="43">
        <f>IF($B2154="","",N($G2154)-N($H2154))</f>
        <v/>
      </c>
    </row>
    <row r="2155">
      <c r="A2155" s="39">
        <f>IF($B2155="","",COUNTA($B$4:$B2155))</f>
        <v/>
      </c>
      <c r="B2155" s="45" t="n"/>
      <c r="C2155" s="46" t="n"/>
      <c r="D2155" s="46" t="n"/>
      <c r="E2155" s="46" t="n"/>
      <c r="F2155" s="51" t="n"/>
      <c r="G2155" s="47" t="n"/>
      <c r="H2155" s="47" t="n"/>
      <c r="I2155" s="43">
        <f>IF($B2155="","",N($G2155)-N($H2155))</f>
        <v/>
      </c>
    </row>
    <row r="2156">
      <c r="A2156" s="39">
        <f>IF($B2156="","",COUNTA($B$4:$B2156))</f>
        <v/>
      </c>
      <c r="B2156" s="40" t="n"/>
      <c r="C2156" s="41" t="n"/>
      <c r="D2156" s="41" t="n"/>
      <c r="E2156" s="41" t="n"/>
      <c r="F2156" s="50" t="n"/>
      <c r="G2156" s="42" t="n"/>
      <c r="H2156" s="42" t="n"/>
      <c r="I2156" s="43">
        <f>IF($B2156="","",N($G2156)-N($H2156))</f>
        <v/>
      </c>
    </row>
    <row r="2157">
      <c r="A2157" s="39">
        <f>IF($B2157="","",COUNTA($B$4:$B2157))</f>
        <v/>
      </c>
      <c r="B2157" s="45" t="n"/>
      <c r="C2157" s="46" t="n"/>
      <c r="D2157" s="46" t="n"/>
      <c r="E2157" s="46" t="n"/>
      <c r="F2157" s="51" t="n"/>
      <c r="G2157" s="47" t="n"/>
      <c r="H2157" s="47" t="n"/>
      <c r="I2157" s="43">
        <f>IF($B2157="","",N($G2157)-N($H2157))</f>
        <v/>
      </c>
    </row>
    <row r="2158">
      <c r="A2158" s="39">
        <f>IF($B2158="","",COUNTA($B$4:$B2158))</f>
        <v/>
      </c>
      <c r="B2158" s="40" t="n"/>
      <c r="C2158" s="41" t="n"/>
      <c r="D2158" s="41" t="n"/>
      <c r="E2158" s="41" t="n"/>
      <c r="F2158" s="50" t="n"/>
      <c r="G2158" s="42" t="n"/>
      <c r="H2158" s="42" t="n"/>
      <c r="I2158" s="43">
        <f>IF($B2158="","",N($G2158)-N($H2158))</f>
        <v/>
      </c>
    </row>
    <row r="2159">
      <c r="A2159" s="39">
        <f>IF($B2159="","",COUNTA($B$4:$B2159))</f>
        <v/>
      </c>
      <c r="B2159" s="45" t="n"/>
      <c r="C2159" s="46" t="n"/>
      <c r="D2159" s="46" t="n"/>
      <c r="E2159" s="46" t="n"/>
      <c r="F2159" s="51" t="n"/>
      <c r="G2159" s="47" t="n"/>
      <c r="H2159" s="47" t="n"/>
      <c r="I2159" s="43">
        <f>IF($B2159="","",N($G2159)-N($H2159))</f>
        <v/>
      </c>
    </row>
    <row r="2160">
      <c r="A2160" s="39">
        <f>IF($B2160="","",COUNTA($B$4:$B2160))</f>
        <v/>
      </c>
      <c r="B2160" s="40" t="n"/>
      <c r="C2160" s="41" t="n"/>
      <c r="D2160" s="41" t="n"/>
      <c r="E2160" s="41" t="n"/>
      <c r="F2160" s="50" t="n"/>
      <c r="G2160" s="42" t="n"/>
      <c r="H2160" s="42" t="n"/>
      <c r="I2160" s="43">
        <f>IF($B2160="","",N($G2160)-N($H2160))</f>
        <v/>
      </c>
    </row>
    <row r="2161">
      <c r="A2161" s="39">
        <f>IF($B2161="","",COUNTA($B$4:$B2161))</f>
        <v/>
      </c>
      <c r="B2161" s="45" t="n"/>
      <c r="C2161" s="46" t="n"/>
      <c r="D2161" s="46" t="n"/>
      <c r="E2161" s="46" t="n"/>
      <c r="F2161" s="51" t="n"/>
      <c r="G2161" s="47" t="n"/>
      <c r="H2161" s="47" t="n"/>
      <c r="I2161" s="43">
        <f>IF($B2161="","",N($G2161)-N($H2161))</f>
        <v/>
      </c>
    </row>
    <row r="2162">
      <c r="A2162" s="39">
        <f>IF($B2162="","",COUNTA($B$4:$B2162))</f>
        <v/>
      </c>
      <c r="B2162" s="40" t="n"/>
      <c r="C2162" s="41" t="n"/>
      <c r="D2162" s="41" t="n"/>
      <c r="E2162" s="41" t="n"/>
      <c r="F2162" s="50" t="n"/>
      <c r="G2162" s="42" t="n"/>
      <c r="H2162" s="42" t="n"/>
      <c r="I2162" s="43">
        <f>IF($B2162="","",N($G2162)-N($H2162))</f>
        <v/>
      </c>
    </row>
    <row r="2163">
      <c r="A2163" s="39">
        <f>IF($B2163="","",COUNTA($B$4:$B2163))</f>
        <v/>
      </c>
      <c r="B2163" s="45" t="n"/>
      <c r="C2163" s="46" t="n"/>
      <c r="D2163" s="46" t="n"/>
      <c r="E2163" s="46" t="n"/>
      <c r="F2163" s="51" t="n"/>
      <c r="G2163" s="47" t="n"/>
      <c r="H2163" s="47" t="n"/>
      <c r="I2163" s="43">
        <f>IF($B2163="","",N($G2163)-N($H2163))</f>
        <v/>
      </c>
    </row>
    <row r="2164">
      <c r="A2164" s="39">
        <f>IF($B2164="","",COUNTA($B$4:$B2164))</f>
        <v/>
      </c>
      <c r="B2164" s="40" t="n"/>
      <c r="C2164" s="41" t="n"/>
      <c r="D2164" s="41" t="n"/>
      <c r="E2164" s="41" t="n"/>
      <c r="F2164" s="50" t="n"/>
      <c r="G2164" s="42" t="n"/>
      <c r="H2164" s="42" t="n"/>
      <c r="I2164" s="43">
        <f>IF($B2164="","",N($G2164)-N($H2164))</f>
        <v/>
      </c>
    </row>
    <row r="2165">
      <c r="A2165" s="39">
        <f>IF($B2165="","",COUNTA($B$4:$B2165))</f>
        <v/>
      </c>
      <c r="B2165" s="45" t="n"/>
      <c r="C2165" s="46" t="n"/>
      <c r="D2165" s="46" t="n"/>
      <c r="E2165" s="46" t="n"/>
      <c r="F2165" s="51" t="n"/>
      <c r="G2165" s="47" t="n"/>
      <c r="H2165" s="47" t="n"/>
      <c r="I2165" s="43">
        <f>IF($B2165="","",N($G2165)-N($H2165))</f>
        <v/>
      </c>
    </row>
    <row r="2166">
      <c r="A2166" s="39">
        <f>IF($B2166="","",COUNTA($B$4:$B2166))</f>
        <v/>
      </c>
      <c r="B2166" s="40" t="n"/>
      <c r="C2166" s="41" t="n"/>
      <c r="D2166" s="41" t="n"/>
      <c r="E2166" s="41" t="n"/>
      <c r="F2166" s="50" t="n"/>
      <c r="G2166" s="42" t="n"/>
      <c r="H2166" s="42" t="n"/>
      <c r="I2166" s="43">
        <f>IF($B2166="","",N($G2166)-N($H2166))</f>
        <v/>
      </c>
    </row>
    <row r="2167">
      <c r="A2167" s="39">
        <f>IF($B2167="","",COUNTA($B$4:$B2167))</f>
        <v/>
      </c>
      <c r="B2167" s="45" t="n"/>
      <c r="C2167" s="46" t="n"/>
      <c r="D2167" s="46" t="n"/>
      <c r="E2167" s="46" t="n"/>
      <c r="F2167" s="51" t="n"/>
      <c r="G2167" s="47" t="n"/>
      <c r="H2167" s="47" t="n"/>
      <c r="I2167" s="43">
        <f>IF($B2167="","",N($G2167)-N($H2167))</f>
        <v/>
      </c>
    </row>
    <row r="2168">
      <c r="A2168" s="39">
        <f>IF($B2168="","",COUNTA($B$4:$B2168))</f>
        <v/>
      </c>
      <c r="B2168" s="40" t="n"/>
      <c r="C2168" s="41" t="n"/>
      <c r="D2168" s="41" t="n"/>
      <c r="E2168" s="41" t="n"/>
      <c r="F2168" s="50" t="n"/>
      <c r="G2168" s="42" t="n"/>
      <c r="H2168" s="42" t="n"/>
      <c r="I2168" s="43">
        <f>IF($B2168="","",N($G2168)-N($H2168))</f>
        <v/>
      </c>
    </row>
    <row r="2169">
      <c r="A2169" s="39">
        <f>IF($B2169="","",COUNTA($B$4:$B2169))</f>
        <v/>
      </c>
      <c r="B2169" s="45" t="n"/>
      <c r="C2169" s="46" t="n"/>
      <c r="D2169" s="46" t="n"/>
      <c r="E2169" s="46" t="n"/>
      <c r="F2169" s="51" t="n"/>
      <c r="G2169" s="47" t="n"/>
      <c r="H2169" s="47" t="n"/>
      <c r="I2169" s="43">
        <f>IF($B2169="","",N($G2169)-N($H2169))</f>
        <v/>
      </c>
    </row>
    <row r="2170">
      <c r="A2170" s="39">
        <f>IF($B2170="","",COUNTA($B$4:$B2170))</f>
        <v/>
      </c>
      <c r="B2170" s="40" t="n"/>
      <c r="C2170" s="41" t="n"/>
      <c r="D2170" s="41" t="n"/>
      <c r="E2170" s="41" t="n"/>
      <c r="F2170" s="50" t="n"/>
      <c r="G2170" s="42" t="n"/>
      <c r="H2170" s="42" t="n"/>
      <c r="I2170" s="43">
        <f>IF($B2170="","",N($G2170)-N($H2170))</f>
        <v/>
      </c>
    </row>
    <row r="2171">
      <c r="A2171" s="39">
        <f>IF($B2171="","",COUNTA($B$4:$B2171))</f>
        <v/>
      </c>
      <c r="B2171" s="45" t="n"/>
      <c r="C2171" s="46" t="n"/>
      <c r="D2171" s="46" t="n"/>
      <c r="E2171" s="46" t="n"/>
      <c r="F2171" s="51" t="n"/>
      <c r="G2171" s="47" t="n"/>
      <c r="H2171" s="47" t="n"/>
      <c r="I2171" s="43">
        <f>IF($B2171="","",N($G2171)-N($H2171))</f>
        <v/>
      </c>
    </row>
    <row r="2172">
      <c r="A2172" s="39">
        <f>IF($B2172="","",COUNTA($B$4:$B2172))</f>
        <v/>
      </c>
      <c r="B2172" s="40" t="n"/>
      <c r="C2172" s="41" t="n"/>
      <c r="D2172" s="41" t="n"/>
      <c r="E2172" s="41" t="n"/>
      <c r="F2172" s="50" t="n"/>
      <c r="G2172" s="42" t="n"/>
      <c r="H2172" s="42" t="n"/>
      <c r="I2172" s="43">
        <f>IF($B2172="","",N($G2172)-N($H2172))</f>
        <v/>
      </c>
    </row>
    <row r="2173">
      <c r="A2173" s="39">
        <f>IF($B2173="","",COUNTA($B$4:$B2173))</f>
        <v/>
      </c>
      <c r="B2173" s="45" t="n"/>
      <c r="C2173" s="46" t="n"/>
      <c r="D2173" s="46" t="n"/>
      <c r="E2173" s="46" t="n"/>
      <c r="F2173" s="51" t="n"/>
      <c r="G2173" s="47" t="n"/>
      <c r="H2173" s="47" t="n"/>
      <c r="I2173" s="43">
        <f>IF($B2173="","",N($G2173)-N($H2173))</f>
        <v/>
      </c>
    </row>
    <row r="2174">
      <c r="A2174" s="39">
        <f>IF($B2174="","",COUNTA($B$4:$B2174))</f>
        <v/>
      </c>
      <c r="B2174" s="40" t="n"/>
      <c r="C2174" s="41" t="n"/>
      <c r="D2174" s="41" t="n"/>
      <c r="E2174" s="41" t="n"/>
      <c r="F2174" s="50" t="n"/>
      <c r="G2174" s="42" t="n"/>
      <c r="H2174" s="42" t="n"/>
      <c r="I2174" s="43">
        <f>IF($B2174="","",N($G2174)-N($H2174))</f>
        <v/>
      </c>
    </row>
    <row r="2175">
      <c r="A2175" s="39">
        <f>IF($B2175="","",COUNTA($B$4:$B2175))</f>
        <v/>
      </c>
      <c r="B2175" s="45" t="n"/>
      <c r="C2175" s="46" t="n"/>
      <c r="D2175" s="46" t="n"/>
      <c r="E2175" s="46" t="n"/>
      <c r="F2175" s="51" t="n"/>
      <c r="G2175" s="47" t="n"/>
      <c r="H2175" s="47" t="n"/>
      <c r="I2175" s="43">
        <f>IF($B2175="","",N($G2175)-N($H2175))</f>
        <v/>
      </c>
    </row>
    <row r="2176">
      <c r="A2176" s="39">
        <f>IF($B2176="","",COUNTA($B$4:$B2176))</f>
        <v/>
      </c>
      <c r="B2176" s="40" t="n"/>
      <c r="C2176" s="41" t="n"/>
      <c r="D2176" s="41" t="n"/>
      <c r="E2176" s="41" t="n"/>
      <c r="F2176" s="50" t="n"/>
      <c r="G2176" s="42" t="n"/>
      <c r="H2176" s="42" t="n"/>
      <c r="I2176" s="43">
        <f>IF($B2176="","",N($G2176)-N($H2176))</f>
        <v/>
      </c>
    </row>
    <row r="2177">
      <c r="A2177" s="39">
        <f>IF($B2177="","",COUNTA($B$4:$B2177))</f>
        <v/>
      </c>
      <c r="B2177" s="45" t="n"/>
      <c r="C2177" s="46" t="n"/>
      <c r="D2177" s="46" t="n"/>
      <c r="E2177" s="46" t="n"/>
      <c r="F2177" s="51" t="n"/>
      <c r="G2177" s="47" t="n"/>
      <c r="H2177" s="47" t="n"/>
      <c r="I2177" s="43">
        <f>IF($B2177="","",N($G2177)-N($H2177))</f>
        <v/>
      </c>
    </row>
    <row r="2178">
      <c r="A2178" s="39">
        <f>IF($B2178="","",COUNTA($B$4:$B2178))</f>
        <v/>
      </c>
      <c r="B2178" s="40" t="n"/>
      <c r="C2178" s="41" t="n"/>
      <c r="D2178" s="41" t="n"/>
      <c r="E2178" s="41" t="n"/>
      <c r="F2178" s="50" t="n"/>
      <c r="G2178" s="42" t="n"/>
      <c r="H2178" s="42" t="n"/>
      <c r="I2178" s="43">
        <f>IF($B2178="","",N($G2178)-N($H2178))</f>
        <v/>
      </c>
    </row>
    <row r="2179">
      <c r="A2179" s="39">
        <f>IF($B2179="","",COUNTA($B$4:$B2179))</f>
        <v/>
      </c>
      <c r="B2179" s="45" t="n"/>
      <c r="C2179" s="46" t="n"/>
      <c r="D2179" s="46" t="n"/>
      <c r="E2179" s="46" t="n"/>
      <c r="F2179" s="51" t="n"/>
      <c r="G2179" s="47" t="n"/>
      <c r="H2179" s="47" t="n"/>
      <c r="I2179" s="43">
        <f>IF($B2179="","",N($G2179)-N($H2179))</f>
        <v/>
      </c>
    </row>
    <row r="2180">
      <c r="A2180" s="39">
        <f>IF($B2180="","",COUNTA($B$4:$B2180))</f>
        <v/>
      </c>
      <c r="B2180" s="40" t="n"/>
      <c r="C2180" s="41" t="n"/>
      <c r="D2180" s="41" t="n"/>
      <c r="E2180" s="41" t="n"/>
      <c r="F2180" s="50" t="n"/>
      <c r="G2180" s="42" t="n"/>
      <c r="H2180" s="42" t="n"/>
      <c r="I2180" s="43">
        <f>IF($B2180="","",N($G2180)-N($H2180))</f>
        <v/>
      </c>
    </row>
    <row r="2181">
      <c r="A2181" s="39">
        <f>IF($B2181="","",COUNTA($B$4:$B2181))</f>
        <v/>
      </c>
      <c r="B2181" s="45" t="n"/>
      <c r="C2181" s="46" t="n"/>
      <c r="D2181" s="46" t="n"/>
      <c r="E2181" s="46" t="n"/>
      <c r="F2181" s="51" t="n"/>
      <c r="G2181" s="47" t="n"/>
      <c r="H2181" s="47" t="n"/>
      <c r="I2181" s="43">
        <f>IF($B2181="","",N($G2181)-N($H2181))</f>
        <v/>
      </c>
    </row>
    <row r="2182">
      <c r="A2182" s="39">
        <f>IF($B2182="","",COUNTA($B$4:$B2182))</f>
        <v/>
      </c>
      <c r="B2182" s="40" t="n"/>
      <c r="C2182" s="41" t="n"/>
      <c r="D2182" s="41" t="n"/>
      <c r="E2182" s="41" t="n"/>
      <c r="F2182" s="50" t="n"/>
      <c r="G2182" s="42" t="n"/>
      <c r="H2182" s="42" t="n"/>
      <c r="I2182" s="43">
        <f>IF($B2182="","",N($G2182)-N($H2182))</f>
        <v/>
      </c>
    </row>
    <row r="2183">
      <c r="A2183" s="39">
        <f>IF($B2183="","",COUNTA($B$4:$B2183))</f>
        <v/>
      </c>
      <c r="B2183" s="45" t="n"/>
      <c r="C2183" s="46" t="n"/>
      <c r="D2183" s="46" t="n"/>
      <c r="E2183" s="46" t="n"/>
      <c r="F2183" s="51" t="n"/>
      <c r="G2183" s="47" t="n"/>
      <c r="H2183" s="47" t="n"/>
      <c r="I2183" s="43">
        <f>IF($B2183="","",N($G2183)-N($H2183))</f>
        <v/>
      </c>
    </row>
    <row r="2184">
      <c r="A2184" s="39">
        <f>IF($B2184="","",COUNTA($B$4:$B2184))</f>
        <v/>
      </c>
      <c r="B2184" s="40" t="n"/>
      <c r="C2184" s="41" t="n"/>
      <c r="D2184" s="41" t="n"/>
      <c r="E2184" s="41" t="n"/>
      <c r="F2184" s="50" t="n"/>
      <c r="G2184" s="42" t="n"/>
      <c r="H2184" s="42" t="n"/>
      <c r="I2184" s="43">
        <f>IF($B2184="","",N($G2184)-N($H2184))</f>
        <v/>
      </c>
    </row>
    <row r="2185">
      <c r="A2185" s="39">
        <f>IF($B2185="","",COUNTA($B$4:$B2185))</f>
        <v/>
      </c>
      <c r="B2185" s="45" t="n"/>
      <c r="C2185" s="46" t="n"/>
      <c r="D2185" s="46" t="n"/>
      <c r="E2185" s="46" t="n"/>
      <c r="F2185" s="51" t="n"/>
      <c r="G2185" s="47" t="n"/>
      <c r="H2185" s="47" t="n"/>
      <c r="I2185" s="43">
        <f>IF($B2185="","",N($G2185)-N($H2185))</f>
        <v/>
      </c>
    </row>
    <row r="2186">
      <c r="A2186" s="39">
        <f>IF($B2186="","",COUNTA($B$4:$B2186))</f>
        <v/>
      </c>
      <c r="B2186" s="40" t="n"/>
      <c r="C2186" s="41" t="n"/>
      <c r="D2186" s="41" t="n"/>
      <c r="E2186" s="41" t="n"/>
      <c r="F2186" s="50" t="n"/>
      <c r="G2186" s="42" t="n"/>
      <c r="H2186" s="42" t="n"/>
      <c r="I2186" s="43">
        <f>IF($B2186="","",N($G2186)-N($H2186))</f>
        <v/>
      </c>
    </row>
    <row r="2187">
      <c r="A2187" s="39">
        <f>IF($B2187="","",COUNTA($B$4:$B2187))</f>
        <v/>
      </c>
      <c r="B2187" s="45" t="n"/>
      <c r="C2187" s="46" t="n"/>
      <c r="D2187" s="46" t="n"/>
      <c r="E2187" s="46" t="n"/>
      <c r="F2187" s="51" t="n"/>
      <c r="G2187" s="47" t="n"/>
      <c r="H2187" s="47" t="n"/>
      <c r="I2187" s="43">
        <f>IF($B2187="","",N($G2187)-N($H2187))</f>
        <v/>
      </c>
    </row>
    <row r="2188">
      <c r="A2188" s="39">
        <f>IF($B2188="","",COUNTA($B$4:$B2188))</f>
        <v/>
      </c>
      <c r="B2188" s="40" t="n"/>
      <c r="C2188" s="41" t="n"/>
      <c r="D2188" s="41" t="n"/>
      <c r="E2188" s="41" t="n"/>
      <c r="F2188" s="50" t="n"/>
      <c r="G2188" s="42" t="n"/>
      <c r="H2188" s="42" t="n"/>
      <c r="I2188" s="43">
        <f>IF($B2188="","",N($G2188)-N($H2188))</f>
        <v/>
      </c>
    </row>
    <row r="2189">
      <c r="A2189" s="39">
        <f>IF($B2189="","",COUNTA($B$4:$B2189))</f>
        <v/>
      </c>
      <c r="B2189" s="45" t="n"/>
      <c r="C2189" s="46" t="n"/>
      <c r="D2189" s="46" t="n"/>
      <c r="E2189" s="46" t="n"/>
      <c r="F2189" s="51" t="n"/>
      <c r="G2189" s="47" t="n"/>
      <c r="H2189" s="47" t="n"/>
      <c r="I2189" s="43">
        <f>IF($B2189="","",N($G2189)-N($H2189))</f>
        <v/>
      </c>
    </row>
    <row r="2190">
      <c r="A2190" s="39">
        <f>IF($B2190="","",COUNTA($B$4:$B2190))</f>
        <v/>
      </c>
      <c r="B2190" s="40" t="n"/>
      <c r="C2190" s="41" t="n"/>
      <c r="D2190" s="41" t="n"/>
      <c r="E2190" s="41" t="n"/>
      <c r="F2190" s="50" t="n"/>
      <c r="G2190" s="42" t="n"/>
      <c r="H2190" s="42" t="n"/>
      <c r="I2190" s="43">
        <f>IF($B2190="","",N($G2190)-N($H2190))</f>
        <v/>
      </c>
    </row>
    <row r="2191">
      <c r="A2191" s="39">
        <f>IF($B2191="","",COUNTA($B$4:$B2191))</f>
        <v/>
      </c>
      <c r="B2191" s="45" t="n"/>
      <c r="C2191" s="46" t="n"/>
      <c r="D2191" s="46" t="n"/>
      <c r="E2191" s="46" t="n"/>
      <c r="F2191" s="51" t="n"/>
      <c r="G2191" s="47" t="n"/>
      <c r="H2191" s="47" t="n"/>
      <c r="I2191" s="43">
        <f>IF($B2191="","",N($G2191)-N($H2191))</f>
        <v/>
      </c>
    </row>
    <row r="2192">
      <c r="A2192" s="39">
        <f>IF($B2192="","",COUNTA($B$4:$B2192))</f>
        <v/>
      </c>
      <c r="B2192" s="40" t="n"/>
      <c r="C2192" s="41" t="n"/>
      <c r="D2192" s="41" t="n"/>
      <c r="E2192" s="41" t="n"/>
      <c r="F2192" s="50" t="n"/>
      <c r="G2192" s="42" t="n"/>
      <c r="H2192" s="42" t="n"/>
      <c r="I2192" s="43">
        <f>IF($B2192="","",N($G2192)-N($H2192))</f>
        <v/>
      </c>
    </row>
    <row r="2193">
      <c r="A2193" s="39">
        <f>IF($B2193="","",COUNTA($B$4:$B2193))</f>
        <v/>
      </c>
      <c r="B2193" s="45" t="n"/>
      <c r="C2193" s="46" t="n"/>
      <c r="D2193" s="46" t="n"/>
      <c r="E2193" s="46" t="n"/>
      <c r="F2193" s="51" t="n"/>
      <c r="G2193" s="47" t="n"/>
      <c r="H2193" s="47" t="n"/>
      <c r="I2193" s="43">
        <f>IF($B2193="","",N($G2193)-N($H2193))</f>
        <v/>
      </c>
    </row>
    <row r="2194">
      <c r="A2194" s="39">
        <f>IF($B2194="","",COUNTA($B$4:$B2194))</f>
        <v/>
      </c>
      <c r="B2194" s="40" t="n"/>
      <c r="C2194" s="41" t="n"/>
      <c r="D2194" s="41" t="n"/>
      <c r="E2194" s="41" t="n"/>
      <c r="F2194" s="50" t="n"/>
      <c r="G2194" s="42" t="n"/>
      <c r="H2194" s="42" t="n"/>
      <c r="I2194" s="43">
        <f>IF($B2194="","",N($G2194)-N($H2194))</f>
        <v/>
      </c>
    </row>
    <row r="2195">
      <c r="A2195" s="39">
        <f>IF($B2195="","",COUNTA($B$4:$B2195))</f>
        <v/>
      </c>
      <c r="B2195" s="45" t="n"/>
      <c r="C2195" s="46" t="n"/>
      <c r="D2195" s="46" t="n"/>
      <c r="E2195" s="46" t="n"/>
      <c r="F2195" s="51" t="n"/>
      <c r="G2195" s="47" t="n"/>
      <c r="H2195" s="47" t="n"/>
      <c r="I2195" s="43">
        <f>IF($B2195="","",N($G2195)-N($H2195))</f>
        <v/>
      </c>
    </row>
    <row r="2196">
      <c r="A2196" s="39">
        <f>IF($B2196="","",COUNTA($B$4:$B2196))</f>
        <v/>
      </c>
      <c r="B2196" s="40" t="n"/>
      <c r="C2196" s="41" t="n"/>
      <c r="D2196" s="41" t="n"/>
      <c r="E2196" s="41" t="n"/>
      <c r="F2196" s="50" t="n"/>
      <c r="G2196" s="42" t="n"/>
      <c r="H2196" s="42" t="n"/>
      <c r="I2196" s="43">
        <f>IF($B2196="","",N($G2196)-N($H2196))</f>
        <v/>
      </c>
    </row>
    <row r="2197">
      <c r="A2197" s="39">
        <f>IF($B2197="","",COUNTA($B$4:$B2197))</f>
        <v/>
      </c>
      <c r="B2197" s="45" t="n"/>
      <c r="C2197" s="46" t="n"/>
      <c r="D2197" s="46" t="n"/>
      <c r="E2197" s="46" t="n"/>
      <c r="F2197" s="51" t="n"/>
      <c r="G2197" s="47" t="n"/>
      <c r="H2197" s="47" t="n"/>
      <c r="I2197" s="43">
        <f>IF($B2197="","",N($G2197)-N($H2197))</f>
        <v/>
      </c>
    </row>
    <row r="2198">
      <c r="A2198" s="39">
        <f>IF($B2198="","",COUNTA($B$4:$B2198))</f>
        <v/>
      </c>
      <c r="B2198" s="40" t="n"/>
      <c r="C2198" s="41" t="n"/>
      <c r="D2198" s="41" t="n"/>
      <c r="E2198" s="41" t="n"/>
      <c r="F2198" s="50" t="n"/>
      <c r="G2198" s="42" t="n"/>
      <c r="H2198" s="42" t="n"/>
      <c r="I2198" s="43">
        <f>IF($B2198="","",N($G2198)-N($H2198))</f>
        <v/>
      </c>
    </row>
    <row r="2199">
      <c r="A2199" s="39">
        <f>IF($B2199="","",COUNTA($B$4:$B2199))</f>
        <v/>
      </c>
      <c r="B2199" s="45" t="n"/>
      <c r="C2199" s="46" t="n"/>
      <c r="D2199" s="46" t="n"/>
      <c r="E2199" s="46" t="n"/>
      <c r="F2199" s="51" t="n"/>
      <c r="G2199" s="47" t="n"/>
      <c r="H2199" s="47" t="n"/>
      <c r="I2199" s="43">
        <f>IF($B2199="","",N($G2199)-N($H2199))</f>
        <v/>
      </c>
    </row>
    <row r="2200">
      <c r="A2200" s="39">
        <f>IF($B2200="","",COUNTA($B$4:$B2200))</f>
        <v/>
      </c>
      <c r="B2200" s="40" t="n"/>
      <c r="C2200" s="41" t="n"/>
      <c r="D2200" s="41" t="n"/>
      <c r="E2200" s="41" t="n"/>
      <c r="F2200" s="50" t="n"/>
      <c r="G2200" s="42" t="n"/>
      <c r="H2200" s="42" t="n"/>
      <c r="I2200" s="43">
        <f>IF($B2200="","",N($G2200)-N($H2200))</f>
        <v/>
      </c>
    </row>
    <row r="2201">
      <c r="A2201" s="39">
        <f>IF($B2201="","",COUNTA($B$4:$B2201))</f>
        <v/>
      </c>
      <c r="B2201" s="45" t="n"/>
      <c r="C2201" s="46" t="n"/>
      <c r="D2201" s="46" t="n"/>
      <c r="E2201" s="46" t="n"/>
      <c r="F2201" s="51" t="n"/>
      <c r="G2201" s="47" t="n"/>
      <c r="H2201" s="47" t="n"/>
      <c r="I2201" s="43">
        <f>IF($B2201="","",N($G2201)-N($H2201))</f>
        <v/>
      </c>
    </row>
    <row r="2202">
      <c r="A2202" s="39">
        <f>IF($B2202="","",COUNTA($B$4:$B2202))</f>
        <v/>
      </c>
      <c r="B2202" s="40" t="n"/>
      <c r="C2202" s="41" t="n"/>
      <c r="D2202" s="41" t="n"/>
      <c r="E2202" s="41" t="n"/>
      <c r="F2202" s="50" t="n"/>
      <c r="G2202" s="42" t="n"/>
      <c r="H2202" s="42" t="n"/>
      <c r="I2202" s="43">
        <f>IF($B2202="","",N($G2202)-N($H2202))</f>
        <v/>
      </c>
    </row>
    <row r="2203">
      <c r="A2203" s="39">
        <f>IF($B2203="","",COUNTA($B$4:$B2203))</f>
        <v/>
      </c>
      <c r="B2203" s="45" t="n"/>
      <c r="C2203" s="46" t="n"/>
      <c r="D2203" s="46" t="n"/>
      <c r="E2203" s="46" t="n"/>
      <c r="F2203" s="51" t="n"/>
      <c r="G2203" s="47" t="n"/>
      <c r="H2203" s="47" t="n"/>
      <c r="I2203" s="43">
        <f>IF($B2203="","",N($G2203)-N($H2203))</f>
        <v/>
      </c>
    </row>
    <row r="2204" ht="22" customHeight="1">
      <c r="A2204" s="48" t="n"/>
      <c r="B2204" s="48" t="inlineStr">
        <is>
          <t>الإجماليات</t>
        </is>
      </c>
      <c r="C2204" s="48" t="n"/>
      <c r="D2204" s="48" t="n"/>
      <c r="E2204" s="48" t="n"/>
      <c r="F2204" s="52">
        <f>SUM($F$4:$F$2203)</f>
        <v/>
      </c>
      <c r="G2204" s="49">
        <f>SUM($G$4:$G$2203)</f>
        <v/>
      </c>
      <c r="H2204" s="49">
        <f>SUM($H$4:$H$2203)</f>
        <v/>
      </c>
      <c r="I2204" s="49">
        <f>SUM($I$4:$I$2203)</f>
        <v/>
      </c>
    </row>
  </sheetData>
  <autoFilter ref="A3:I2203"/>
  <mergeCells count="2">
    <mergeCell ref="A1:I1"/>
    <mergeCell ref="A2:I2"/>
  </mergeCells>
  <conditionalFormatting sqref="I4:I2203">
    <cfRule type="cellIs" priority="1" operator="greaterThan" dxfId="2">
      <formula>0</formula>
    </cfRule>
  </conditionalFormatting>
  <dataValidations count="1">
    <dataValidation sqref="C4:C2203" showDropDown="0" showInputMessage="0" showErrorMessage="0" allowBlank="1" errorTitle="قيمة غير موجودة" error="اختر من القائمة أو أضف العنصر في صفحة الإعدادات" prompt="اختر من القائمة" type="list">
      <formula1>='الإعدادات'!$E$4:$E$203</formula1>
    </dataValidation>
  </dataValidations>
  <printOptions horizontalCentered="1"/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5B3E7A"/>
    <outlinePr summaryBelow="1" summaryRight="1"/>
    <pageSetUpPr fitToPage="1"/>
  </sheetPr>
  <dimension ref="A1:I2204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22" customWidth="1" min="3" max="3"/>
    <col width="26" customWidth="1" min="4" max="4"/>
    <col width="14" customWidth="1" min="5" max="5"/>
    <col width="12" customWidth="1" min="6" max="6"/>
    <col width="14" customWidth="1" min="7" max="7"/>
    <col width="14" customWidth="1" min="8" max="8"/>
    <col width="15" customWidth="1" min="9" max="9"/>
  </cols>
  <sheetData>
    <row r="1" ht="34" customHeight="1">
      <c r="A1" s="1" t="inlineStr">
        <is>
          <t>شركة المتوكل  —  مولدات الشجيع</t>
        </is>
      </c>
    </row>
    <row r="2" ht="20" customHeight="1">
      <c r="A2" s="3" t="inlineStr">
        <is>
          <t>سجل نقل مولدات الشجيع</t>
        </is>
      </c>
    </row>
    <row r="3" ht="40" customHeight="1">
      <c r="A3" s="34" t="inlineStr">
        <is>
          <t>م</t>
        </is>
      </c>
      <c r="B3" s="34" t="inlineStr">
        <is>
          <t>التاريخ</t>
        </is>
      </c>
      <c r="C3" s="34" t="inlineStr">
        <is>
          <t>اسم الشركة</t>
        </is>
      </c>
      <c r="D3" s="34" t="inlineStr">
        <is>
          <t>العنوان</t>
        </is>
      </c>
      <c r="E3" s="34" t="inlineStr">
        <is>
          <t>رقم الإذن</t>
        </is>
      </c>
      <c r="F3" s="35" t="inlineStr">
        <is>
          <t>عدد المولدات</t>
        </is>
      </c>
      <c r="G3" s="36" t="inlineStr">
        <is>
          <t>النولون</t>
        </is>
      </c>
      <c r="H3" s="36" t="inlineStr">
        <is>
          <t>الدفعات</t>
        </is>
      </c>
      <c r="I3" s="38" t="inlineStr">
        <is>
          <t>المتبقي</t>
        </is>
      </c>
    </row>
    <row r="4">
      <c r="A4" s="39">
        <f>IF($B4="","",COUNTA($B$4:$B4))</f>
        <v/>
      </c>
      <c r="B4" s="40" t="n">
        <v>46110</v>
      </c>
      <c r="C4" s="41" t="inlineStr">
        <is>
          <t>انتراكوا</t>
        </is>
      </c>
      <c r="D4" s="41" t="inlineStr">
        <is>
          <t xml:space="preserve">الاسماعيلية </t>
        </is>
      </c>
      <c r="E4" s="41" t="n">
        <v>900222</v>
      </c>
      <c r="F4" s="50" t="n">
        <v>1</v>
      </c>
      <c r="G4" s="42" t="n"/>
      <c r="H4" s="42" t="n"/>
      <c r="I4" s="43">
        <f>IF($B4="","",N($G4)-N($H4))</f>
        <v/>
      </c>
    </row>
    <row r="5">
      <c r="A5" s="39">
        <f>IF($B5="","",COUNTA($B$4:$B5))</f>
        <v/>
      </c>
      <c r="B5" s="45" t="n">
        <v>46116</v>
      </c>
      <c r="C5" s="46" t="inlineStr">
        <is>
          <t xml:space="preserve">تومكو </t>
        </is>
      </c>
      <c r="D5" s="46" t="inlineStr">
        <is>
          <t>المنيا</t>
        </is>
      </c>
      <c r="E5" s="46" t="n">
        <v>901954</v>
      </c>
      <c r="F5" s="51" t="n">
        <v>2</v>
      </c>
      <c r="G5" s="47" t="n"/>
      <c r="H5" s="47" t="n"/>
      <c r="I5" s="43">
        <f>IF($B5="","",N($G5)-N($H5))</f>
        <v/>
      </c>
    </row>
    <row r="6">
      <c r="A6" s="39">
        <f>IF($B6="","",COUNTA($B$4:$B6))</f>
        <v/>
      </c>
      <c r="B6" s="40" t="n">
        <v>46118</v>
      </c>
      <c r="C6" s="41" t="n"/>
      <c r="D6" s="41" t="n"/>
      <c r="E6" s="41" t="n"/>
      <c r="F6" s="50" t="n"/>
      <c r="G6" s="42" t="n"/>
      <c r="H6" s="42" t="n"/>
      <c r="I6" s="43">
        <f>IF($B6="","",N($G6)-N($H6))</f>
        <v/>
      </c>
    </row>
    <row r="7">
      <c r="A7" s="39">
        <f>IF($B7="","",COUNTA($B$4:$B7))</f>
        <v/>
      </c>
      <c r="B7" s="45" t="n"/>
      <c r="C7" s="46" t="n"/>
      <c r="D7" s="46" t="n"/>
      <c r="E7" s="46" t="n"/>
      <c r="F7" s="51" t="n"/>
      <c r="G7" s="47" t="n"/>
      <c r="H7" s="47" t="n"/>
      <c r="I7" s="43">
        <f>IF($B7="","",N($G7)-N($H7))</f>
        <v/>
      </c>
    </row>
    <row r="8">
      <c r="A8" s="39">
        <f>IF($B8="","",COUNTA($B$4:$B8))</f>
        <v/>
      </c>
      <c r="B8" s="40" t="n"/>
      <c r="C8" s="41" t="n"/>
      <c r="D8" s="41" t="n"/>
      <c r="E8" s="41" t="n"/>
      <c r="F8" s="50" t="n"/>
      <c r="G8" s="42" t="n"/>
      <c r="H8" s="42" t="n"/>
      <c r="I8" s="43">
        <f>IF($B8="","",N($G8)-N($H8))</f>
        <v/>
      </c>
    </row>
    <row r="9">
      <c r="A9" s="39">
        <f>IF($B9="","",COUNTA($B$4:$B9))</f>
        <v/>
      </c>
      <c r="B9" s="45" t="n"/>
      <c r="C9" s="46" t="n"/>
      <c r="D9" s="46" t="n"/>
      <c r="E9" s="46" t="n"/>
      <c r="F9" s="51" t="n"/>
      <c r="G9" s="47" t="n"/>
      <c r="H9" s="47" t="n"/>
      <c r="I9" s="43">
        <f>IF($B9="","",N($G9)-N($H9))</f>
        <v/>
      </c>
    </row>
    <row r="10">
      <c r="A10" s="39">
        <f>IF($B10="","",COUNTA($B$4:$B10))</f>
        <v/>
      </c>
      <c r="B10" s="40" t="n"/>
      <c r="C10" s="41" t="n"/>
      <c r="D10" s="41" t="n"/>
      <c r="E10" s="41" t="n"/>
      <c r="F10" s="50" t="n"/>
      <c r="G10" s="42" t="n"/>
      <c r="H10" s="42" t="n"/>
      <c r="I10" s="43">
        <f>IF($B10="","",N($G10)-N($H10))</f>
        <v/>
      </c>
    </row>
    <row r="11">
      <c r="A11" s="39">
        <f>IF($B11="","",COUNTA($B$4:$B11))</f>
        <v/>
      </c>
      <c r="B11" s="45" t="n"/>
      <c r="C11" s="46" t="n"/>
      <c r="D11" s="46" t="n"/>
      <c r="E11" s="46" t="n"/>
      <c r="F11" s="51" t="n"/>
      <c r="G11" s="47" t="n"/>
      <c r="H11" s="47" t="n"/>
      <c r="I11" s="43">
        <f>IF($B11="","",N($G11)-N($H11))</f>
        <v/>
      </c>
    </row>
    <row r="12">
      <c r="A12" s="39">
        <f>IF($B12="","",COUNTA($B$4:$B12))</f>
        <v/>
      </c>
      <c r="B12" s="40" t="n"/>
      <c r="C12" s="41" t="n"/>
      <c r="D12" s="41" t="n"/>
      <c r="E12" s="41" t="n"/>
      <c r="F12" s="50" t="n"/>
      <c r="G12" s="42" t="n"/>
      <c r="H12" s="42" t="n"/>
      <c r="I12" s="43">
        <f>IF($B12="","",N($G12)-N($H12))</f>
        <v/>
      </c>
    </row>
    <row r="13">
      <c r="A13" s="39">
        <f>IF($B13="","",COUNTA($B$4:$B13))</f>
        <v/>
      </c>
      <c r="B13" s="45" t="n"/>
      <c r="C13" s="46" t="n"/>
      <c r="D13" s="46" t="n"/>
      <c r="E13" s="46" t="n"/>
      <c r="F13" s="51" t="n"/>
      <c r="G13" s="47" t="n"/>
      <c r="H13" s="47" t="n"/>
      <c r="I13" s="43">
        <f>IF($B13="","",N($G13)-N($H13))</f>
        <v/>
      </c>
    </row>
    <row r="14">
      <c r="A14" s="39">
        <f>IF($B14="","",COUNTA($B$4:$B14))</f>
        <v/>
      </c>
      <c r="B14" s="40" t="n"/>
      <c r="C14" s="41" t="n"/>
      <c r="D14" s="41" t="n"/>
      <c r="E14" s="41" t="n"/>
      <c r="F14" s="50" t="n"/>
      <c r="G14" s="42" t="n"/>
      <c r="H14" s="42" t="n"/>
      <c r="I14" s="43">
        <f>IF($B14="","",N($G14)-N($H14))</f>
        <v/>
      </c>
    </row>
    <row r="15">
      <c r="A15" s="39">
        <f>IF($B15="","",COUNTA($B$4:$B15))</f>
        <v/>
      </c>
      <c r="B15" s="45" t="n"/>
      <c r="C15" s="46" t="n"/>
      <c r="D15" s="46" t="n"/>
      <c r="E15" s="46" t="n"/>
      <c r="F15" s="51" t="n"/>
      <c r="G15" s="47" t="n"/>
      <c r="H15" s="47" t="n"/>
      <c r="I15" s="43">
        <f>IF($B15="","",N($G15)-N($H15))</f>
        <v/>
      </c>
    </row>
    <row r="16">
      <c r="A16" s="39">
        <f>IF($B16="","",COUNTA($B$4:$B16))</f>
        <v/>
      </c>
      <c r="B16" s="40" t="n"/>
      <c r="C16" s="41" t="n"/>
      <c r="D16" s="41" t="n"/>
      <c r="E16" s="41" t="n"/>
      <c r="F16" s="50" t="n"/>
      <c r="G16" s="42" t="n"/>
      <c r="H16" s="42" t="n"/>
      <c r="I16" s="43">
        <f>IF($B16="","",N($G16)-N($H16))</f>
        <v/>
      </c>
    </row>
    <row r="17">
      <c r="A17" s="39">
        <f>IF($B17="","",COUNTA($B$4:$B17))</f>
        <v/>
      </c>
      <c r="B17" s="45" t="n"/>
      <c r="C17" s="46" t="n"/>
      <c r="D17" s="46" t="n"/>
      <c r="E17" s="46" t="n"/>
      <c r="F17" s="51" t="n"/>
      <c r="G17" s="47" t="n"/>
      <c r="H17" s="47" t="n"/>
      <c r="I17" s="43">
        <f>IF($B17="","",N($G17)-N($H17))</f>
        <v/>
      </c>
    </row>
    <row r="18">
      <c r="A18" s="39">
        <f>IF($B18="","",COUNTA($B$4:$B18))</f>
        <v/>
      </c>
      <c r="B18" s="40" t="n"/>
      <c r="C18" s="41" t="n"/>
      <c r="D18" s="41" t="n"/>
      <c r="E18" s="41" t="n"/>
      <c r="F18" s="50" t="n"/>
      <c r="G18" s="42" t="n"/>
      <c r="H18" s="42" t="n"/>
      <c r="I18" s="43">
        <f>IF($B18="","",N($G18)-N($H18))</f>
        <v/>
      </c>
    </row>
    <row r="19">
      <c r="A19" s="39">
        <f>IF($B19="","",COUNTA($B$4:$B19))</f>
        <v/>
      </c>
      <c r="B19" s="45" t="n"/>
      <c r="C19" s="46" t="n"/>
      <c r="D19" s="46" t="n"/>
      <c r="E19" s="46" t="n"/>
      <c r="F19" s="51" t="n"/>
      <c r="G19" s="47" t="n"/>
      <c r="H19" s="47" t="n"/>
      <c r="I19" s="43">
        <f>IF($B19="","",N($G19)-N($H19))</f>
        <v/>
      </c>
    </row>
    <row r="20">
      <c r="A20" s="39">
        <f>IF($B20="","",COUNTA($B$4:$B20))</f>
        <v/>
      </c>
      <c r="B20" s="40" t="n"/>
      <c r="C20" s="41" t="n"/>
      <c r="D20" s="41" t="n"/>
      <c r="E20" s="41" t="n"/>
      <c r="F20" s="50" t="n"/>
      <c r="G20" s="42" t="n"/>
      <c r="H20" s="42" t="n"/>
      <c r="I20" s="43">
        <f>IF($B20="","",N($G20)-N($H20))</f>
        <v/>
      </c>
    </row>
    <row r="21">
      <c r="A21" s="39">
        <f>IF($B21="","",COUNTA($B$4:$B21))</f>
        <v/>
      </c>
      <c r="B21" s="45" t="n"/>
      <c r="C21" s="46" t="n"/>
      <c r="D21" s="46" t="n"/>
      <c r="E21" s="46" t="n"/>
      <c r="F21" s="51" t="n"/>
      <c r="G21" s="47" t="n"/>
      <c r="H21" s="47" t="n"/>
      <c r="I21" s="43">
        <f>IF($B21="","",N($G21)-N($H21))</f>
        <v/>
      </c>
    </row>
    <row r="22">
      <c r="A22" s="39">
        <f>IF($B22="","",COUNTA($B$4:$B22))</f>
        <v/>
      </c>
      <c r="B22" s="40" t="n"/>
      <c r="C22" s="41" t="n"/>
      <c r="D22" s="41" t="n"/>
      <c r="E22" s="41" t="n"/>
      <c r="F22" s="50" t="n"/>
      <c r="G22" s="42" t="n"/>
      <c r="H22" s="42" t="n"/>
      <c r="I22" s="43">
        <f>IF($B22="","",N($G22)-N($H22))</f>
        <v/>
      </c>
    </row>
    <row r="23">
      <c r="A23" s="39">
        <f>IF($B23="","",COUNTA($B$4:$B23))</f>
        <v/>
      </c>
      <c r="B23" s="45" t="n"/>
      <c r="C23" s="46" t="n"/>
      <c r="D23" s="46" t="n"/>
      <c r="E23" s="46" t="n"/>
      <c r="F23" s="51" t="n"/>
      <c r="G23" s="47" t="n"/>
      <c r="H23" s="47" t="n"/>
      <c r="I23" s="43">
        <f>IF($B23="","",N($G23)-N($H23))</f>
        <v/>
      </c>
    </row>
    <row r="24">
      <c r="A24" s="39">
        <f>IF($B24="","",COUNTA($B$4:$B24))</f>
        <v/>
      </c>
      <c r="B24" s="40" t="n"/>
      <c r="C24" s="41" t="n"/>
      <c r="D24" s="41" t="n"/>
      <c r="E24" s="41" t="n"/>
      <c r="F24" s="50" t="n"/>
      <c r="G24" s="42" t="n"/>
      <c r="H24" s="42" t="n"/>
      <c r="I24" s="43">
        <f>IF($B24="","",N($G24)-N($H24))</f>
        <v/>
      </c>
    </row>
    <row r="25">
      <c r="A25" s="39">
        <f>IF($B25="","",COUNTA($B$4:$B25))</f>
        <v/>
      </c>
      <c r="B25" s="45" t="n"/>
      <c r="C25" s="46" t="n"/>
      <c r="D25" s="46" t="n"/>
      <c r="E25" s="46" t="n"/>
      <c r="F25" s="51" t="n"/>
      <c r="G25" s="47" t="n"/>
      <c r="H25" s="47" t="n"/>
      <c r="I25" s="43">
        <f>IF($B25="","",N($G25)-N($H25))</f>
        <v/>
      </c>
    </row>
    <row r="26">
      <c r="A26" s="39">
        <f>IF($B26="","",COUNTA($B$4:$B26))</f>
        <v/>
      </c>
      <c r="B26" s="40" t="n"/>
      <c r="C26" s="41" t="n"/>
      <c r="D26" s="41" t="n"/>
      <c r="E26" s="41" t="n"/>
      <c r="F26" s="50" t="n"/>
      <c r="G26" s="42" t="n"/>
      <c r="H26" s="42" t="n"/>
      <c r="I26" s="43">
        <f>IF($B26="","",N($G26)-N($H26))</f>
        <v/>
      </c>
    </row>
    <row r="27">
      <c r="A27" s="39">
        <f>IF($B27="","",COUNTA($B$4:$B27))</f>
        <v/>
      </c>
      <c r="B27" s="45" t="n"/>
      <c r="C27" s="46" t="n"/>
      <c r="D27" s="46" t="n"/>
      <c r="E27" s="46" t="n"/>
      <c r="F27" s="51" t="n"/>
      <c r="G27" s="47" t="n"/>
      <c r="H27" s="47" t="n"/>
      <c r="I27" s="43">
        <f>IF($B27="","",N($G27)-N($H27))</f>
        <v/>
      </c>
    </row>
    <row r="28">
      <c r="A28" s="39">
        <f>IF($B28="","",COUNTA($B$4:$B28))</f>
        <v/>
      </c>
      <c r="B28" s="40" t="n"/>
      <c r="C28" s="41" t="n"/>
      <c r="D28" s="41" t="n"/>
      <c r="E28" s="41" t="n"/>
      <c r="F28" s="50" t="n"/>
      <c r="G28" s="42" t="n"/>
      <c r="H28" s="42" t="n"/>
      <c r="I28" s="43">
        <f>IF($B28="","",N($G28)-N($H28))</f>
        <v/>
      </c>
    </row>
    <row r="29">
      <c r="A29" s="39">
        <f>IF($B29="","",COUNTA($B$4:$B29))</f>
        <v/>
      </c>
      <c r="B29" s="45" t="n"/>
      <c r="C29" s="46" t="n"/>
      <c r="D29" s="46" t="n"/>
      <c r="E29" s="46" t="n"/>
      <c r="F29" s="51" t="n"/>
      <c r="G29" s="47" t="n"/>
      <c r="H29" s="47" t="n"/>
      <c r="I29" s="43">
        <f>IF($B29="","",N($G29)-N($H29))</f>
        <v/>
      </c>
    </row>
    <row r="30">
      <c r="A30" s="39">
        <f>IF($B30="","",COUNTA($B$4:$B30))</f>
        <v/>
      </c>
      <c r="B30" s="40" t="n"/>
      <c r="C30" s="41" t="n"/>
      <c r="D30" s="41" t="n"/>
      <c r="E30" s="41" t="n"/>
      <c r="F30" s="50" t="n"/>
      <c r="G30" s="42" t="n"/>
      <c r="H30" s="42" t="n"/>
      <c r="I30" s="43">
        <f>IF($B30="","",N($G30)-N($H30))</f>
        <v/>
      </c>
    </row>
    <row r="31">
      <c r="A31" s="39">
        <f>IF($B31="","",COUNTA($B$4:$B31))</f>
        <v/>
      </c>
      <c r="B31" s="45" t="n"/>
      <c r="C31" s="46" t="n"/>
      <c r="D31" s="46" t="n"/>
      <c r="E31" s="46" t="n"/>
      <c r="F31" s="51" t="n"/>
      <c r="G31" s="47" t="n"/>
      <c r="H31" s="47" t="n"/>
      <c r="I31" s="43">
        <f>IF($B31="","",N($G31)-N($H31))</f>
        <v/>
      </c>
    </row>
    <row r="32">
      <c r="A32" s="39">
        <f>IF($B32="","",COUNTA($B$4:$B32))</f>
        <v/>
      </c>
      <c r="B32" s="40" t="n"/>
      <c r="C32" s="41" t="n"/>
      <c r="D32" s="41" t="n"/>
      <c r="E32" s="41" t="n"/>
      <c r="F32" s="50" t="n"/>
      <c r="G32" s="42" t="n"/>
      <c r="H32" s="42" t="n"/>
      <c r="I32" s="43">
        <f>IF($B32="","",N($G32)-N($H32))</f>
        <v/>
      </c>
    </row>
    <row r="33">
      <c r="A33" s="39">
        <f>IF($B33="","",COUNTA($B$4:$B33))</f>
        <v/>
      </c>
      <c r="B33" s="45" t="n"/>
      <c r="C33" s="46" t="n"/>
      <c r="D33" s="46" t="n"/>
      <c r="E33" s="46" t="n"/>
      <c r="F33" s="51" t="n"/>
      <c r="G33" s="47" t="n"/>
      <c r="H33" s="47" t="n"/>
      <c r="I33" s="43">
        <f>IF($B33="","",N($G33)-N($H33))</f>
        <v/>
      </c>
    </row>
    <row r="34">
      <c r="A34" s="39">
        <f>IF($B34="","",COUNTA($B$4:$B34))</f>
        <v/>
      </c>
      <c r="B34" s="40" t="n"/>
      <c r="C34" s="41" t="n"/>
      <c r="D34" s="41" t="n"/>
      <c r="E34" s="41" t="n"/>
      <c r="F34" s="50" t="n"/>
      <c r="G34" s="42" t="n"/>
      <c r="H34" s="42" t="n"/>
      <c r="I34" s="43">
        <f>IF($B34="","",N($G34)-N($H34))</f>
        <v/>
      </c>
    </row>
    <row r="35">
      <c r="A35" s="39">
        <f>IF($B35="","",COUNTA($B$4:$B35))</f>
        <v/>
      </c>
      <c r="B35" s="45" t="n"/>
      <c r="C35" s="46" t="n"/>
      <c r="D35" s="46" t="n"/>
      <c r="E35" s="46" t="n"/>
      <c r="F35" s="51" t="n"/>
      <c r="G35" s="47" t="n"/>
      <c r="H35" s="47" t="n"/>
      <c r="I35" s="43">
        <f>IF($B35="","",N($G35)-N($H35))</f>
        <v/>
      </c>
    </row>
    <row r="36">
      <c r="A36" s="39">
        <f>IF($B36="","",COUNTA($B$4:$B36))</f>
        <v/>
      </c>
      <c r="B36" s="40" t="n"/>
      <c r="C36" s="41" t="n"/>
      <c r="D36" s="41" t="n"/>
      <c r="E36" s="41" t="n"/>
      <c r="F36" s="50" t="n"/>
      <c r="G36" s="42" t="n"/>
      <c r="H36" s="42" t="n"/>
      <c r="I36" s="43">
        <f>IF($B36="","",N($G36)-N($H36))</f>
        <v/>
      </c>
    </row>
    <row r="37">
      <c r="A37" s="39">
        <f>IF($B37="","",COUNTA($B$4:$B37))</f>
        <v/>
      </c>
      <c r="B37" s="45" t="n"/>
      <c r="C37" s="46" t="n"/>
      <c r="D37" s="46" t="n"/>
      <c r="E37" s="46" t="n"/>
      <c r="F37" s="51" t="n"/>
      <c r="G37" s="47" t="n"/>
      <c r="H37" s="47" t="n"/>
      <c r="I37" s="43">
        <f>IF($B37="","",N($G37)-N($H37))</f>
        <v/>
      </c>
    </row>
    <row r="38">
      <c r="A38" s="39">
        <f>IF($B38="","",COUNTA($B$4:$B38))</f>
        <v/>
      </c>
      <c r="B38" s="40" t="n"/>
      <c r="C38" s="41" t="n"/>
      <c r="D38" s="41" t="n"/>
      <c r="E38" s="41" t="n"/>
      <c r="F38" s="50" t="n"/>
      <c r="G38" s="42" t="n"/>
      <c r="H38" s="42" t="n"/>
      <c r="I38" s="43">
        <f>IF($B38="","",N($G38)-N($H38))</f>
        <v/>
      </c>
    </row>
    <row r="39">
      <c r="A39" s="39">
        <f>IF($B39="","",COUNTA($B$4:$B39))</f>
        <v/>
      </c>
      <c r="B39" s="45" t="n"/>
      <c r="C39" s="46" t="n"/>
      <c r="D39" s="46" t="n"/>
      <c r="E39" s="46" t="n"/>
      <c r="F39" s="51" t="n"/>
      <c r="G39" s="47" t="n"/>
      <c r="H39" s="47" t="n"/>
      <c r="I39" s="43">
        <f>IF($B39="","",N($G39)-N($H39))</f>
        <v/>
      </c>
    </row>
    <row r="40">
      <c r="A40" s="39">
        <f>IF($B40="","",COUNTA($B$4:$B40))</f>
        <v/>
      </c>
      <c r="B40" s="40" t="n"/>
      <c r="C40" s="41" t="n"/>
      <c r="D40" s="41" t="n"/>
      <c r="E40" s="41" t="n"/>
      <c r="F40" s="50" t="n"/>
      <c r="G40" s="42" t="n"/>
      <c r="H40" s="42" t="n"/>
      <c r="I40" s="43">
        <f>IF($B40="","",N($G40)-N($H40))</f>
        <v/>
      </c>
    </row>
    <row r="41">
      <c r="A41" s="39">
        <f>IF($B41="","",COUNTA($B$4:$B41))</f>
        <v/>
      </c>
      <c r="B41" s="45" t="n"/>
      <c r="C41" s="46" t="n"/>
      <c r="D41" s="46" t="n"/>
      <c r="E41" s="46" t="n"/>
      <c r="F41" s="51" t="n"/>
      <c r="G41" s="47" t="n"/>
      <c r="H41" s="47" t="n"/>
      <c r="I41" s="43">
        <f>IF($B41="","",N($G41)-N($H41))</f>
        <v/>
      </c>
    </row>
    <row r="42">
      <c r="A42" s="39">
        <f>IF($B42="","",COUNTA($B$4:$B42))</f>
        <v/>
      </c>
      <c r="B42" s="40" t="n"/>
      <c r="C42" s="41" t="n"/>
      <c r="D42" s="41" t="n"/>
      <c r="E42" s="41" t="n"/>
      <c r="F42" s="50" t="n"/>
      <c r="G42" s="42" t="n"/>
      <c r="H42" s="42" t="n"/>
      <c r="I42" s="43">
        <f>IF($B42="","",N($G42)-N($H42))</f>
        <v/>
      </c>
    </row>
    <row r="43">
      <c r="A43" s="39">
        <f>IF($B43="","",COUNTA($B$4:$B43))</f>
        <v/>
      </c>
      <c r="B43" s="45" t="n"/>
      <c r="C43" s="46" t="n"/>
      <c r="D43" s="46" t="n"/>
      <c r="E43" s="46" t="n"/>
      <c r="F43" s="51" t="n"/>
      <c r="G43" s="47" t="n"/>
      <c r="H43" s="47" t="n"/>
      <c r="I43" s="43">
        <f>IF($B43="","",N($G43)-N($H43))</f>
        <v/>
      </c>
    </row>
    <row r="44">
      <c r="A44" s="39">
        <f>IF($B44="","",COUNTA($B$4:$B44))</f>
        <v/>
      </c>
      <c r="B44" s="40" t="n"/>
      <c r="C44" s="41" t="n"/>
      <c r="D44" s="41" t="n"/>
      <c r="E44" s="41" t="n"/>
      <c r="F44" s="50" t="n"/>
      <c r="G44" s="42" t="n"/>
      <c r="H44" s="42" t="n"/>
      <c r="I44" s="43">
        <f>IF($B44="","",N($G44)-N($H44))</f>
        <v/>
      </c>
    </row>
    <row r="45">
      <c r="A45" s="39">
        <f>IF($B45="","",COUNTA($B$4:$B45))</f>
        <v/>
      </c>
      <c r="B45" s="45" t="n"/>
      <c r="C45" s="46" t="n"/>
      <c r="D45" s="46" t="n"/>
      <c r="E45" s="46" t="n"/>
      <c r="F45" s="51" t="n"/>
      <c r="G45" s="47" t="n"/>
      <c r="H45" s="47" t="n"/>
      <c r="I45" s="43">
        <f>IF($B45="","",N($G45)-N($H45))</f>
        <v/>
      </c>
    </row>
    <row r="46">
      <c r="A46" s="39">
        <f>IF($B46="","",COUNTA($B$4:$B46))</f>
        <v/>
      </c>
      <c r="B46" s="40" t="n"/>
      <c r="C46" s="41" t="n"/>
      <c r="D46" s="41" t="n"/>
      <c r="E46" s="41" t="n"/>
      <c r="F46" s="50" t="n"/>
      <c r="G46" s="42" t="n"/>
      <c r="H46" s="42" t="n"/>
      <c r="I46" s="43">
        <f>IF($B46="","",N($G46)-N($H46))</f>
        <v/>
      </c>
    </row>
    <row r="47">
      <c r="A47" s="39">
        <f>IF($B47="","",COUNTA($B$4:$B47))</f>
        <v/>
      </c>
      <c r="B47" s="45" t="n"/>
      <c r="C47" s="46" t="n"/>
      <c r="D47" s="46" t="n"/>
      <c r="E47" s="46" t="n"/>
      <c r="F47" s="51" t="n"/>
      <c r="G47" s="47" t="n"/>
      <c r="H47" s="47" t="n"/>
      <c r="I47" s="43">
        <f>IF($B47="","",N($G47)-N($H47))</f>
        <v/>
      </c>
    </row>
    <row r="48">
      <c r="A48" s="39">
        <f>IF($B48="","",COUNTA($B$4:$B48))</f>
        <v/>
      </c>
      <c r="B48" s="40" t="n"/>
      <c r="C48" s="41" t="n"/>
      <c r="D48" s="41" t="n"/>
      <c r="E48" s="41" t="n"/>
      <c r="F48" s="50" t="n"/>
      <c r="G48" s="42" t="n"/>
      <c r="H48" s="42" t="n"/>
      <c r="I48" s="43">
        <f>IF($B48="","",N($G48)-N($H48))</f>
        <v/>
      </c>
    </row>
    <row r="49">
      <c r="A49" s="39">
        <f>IF($B49="","",COUNTA($B$4:$B49))</f>
        <v/>
      </c>
      <c r="B49" s="45" t="n"/>
      <c r="C49" s="46" t="n"/>
      <c r="D49" s="46" t="n"/>
      <c r="E49" s="46" t="n"/>
      <c r="F49" s="51" t="n"/>
      <c r="G49" s="47" t="n"/>
      <c r="H49" s="47" t="n"/>
      <c r="I49" s="43">
        <f>IF($B49="","",N($G49)-N($H49))</f>
        <v/>
      </c>
    </row>
    <row r="50">
      <c r="A50" s="39">
        <f>IF($B50="","",COUNTA($B$4:$B50))</f>
        <v/>
      </c>
      <c r="B50" s="40" t="n"/>
      <c r="C50" s="41" t="n"/>
      <c r="D50" s="41" t="n"/>
      <c r="E50" s="41" t="n"/>
      <c r="F50" s="50" t="n"/>
      <c r="G50" s="42" t="n"/>
      <c r="H50" s="42" t="n"/>
      <c r="I50" s="43">
        <f>IF($B50="","",N($G50)-N($H50))</f>
        <v/>
      </c>
    </row>
    <row r="51">
      <c r="A51" s="39">
        <f>IF($B51="","",COUNTA($B$4:$B51))</f>
        <v/>
      </c>
      <c r="B51" s="45" t="n"/>
      <c r="C51" s="46" t="n"/>
      <c r="D51" s="46" t="n"/>
      <c r="E51" s="46" t="n"/>
      <c r="F51" s="51" t="n"/>
      <c r="G51" s="47" t="n"/>
      <c r="H51" s="47" t="n"/>
      <c r="I51" s="43">
        <f>IF($B51="","",N($G51)-N($H51))</f>
        <v/>
      </c>
    </row>
    <row r="52">
      <c r="A52" s="39">
        <f>IF($B52="","",COUNTA($B$4:$B52))</f>
        <v/>
      </c>
      <c r="B52" s="40" t="n"/>
      <c r="C52" s="41" t="n"/>
      <c r="D52" s="41" t="n"/>
      <c r="E52" s="41" t="n"/>
      <c r="F52" s="50" t="n"/>
      <c r="G52" s="42" t="n"/>
      <c r="H52" s="42" t="n"/>
      <c r="I52" s="43">
        <f>IF($B52="","",N($G52)-N($H52))</f>
        <v/>
      </c>
    </row>
    <row r="53">
      <c r="A53" s="39">
        <f>IF($B53="","",COUNTA($B$4:$B53))</f>
        <v/>
      </c>
      <c r="B53" s="45" t="n"/>
      <c r="C53" s="46" t="n"/>
      <c r="D53" s="46" t="n"/>
      <c r="E53" s="46" t="n"/>
      <c r="F53" s="51" t="n"/>
      <c r="G53" s="47" t="n"/>
      <c r="H53" s="47" t="n"/>
      <c r="I53" s="43">
        <f>IF($B53="","",N($G53)-N($H53))</f>
        <v/>
      </c>
    </row>
    <row r="54">
      <c r="A54" s="39">
        <f>IF($B54="","",COUNTA($B$4:$B54))</f>
        <v/>
      </c>
      <c r="B54" s="40" t="n"/>
      <c r="C54" s="41" t="n"/>
      <c r="D54" s="41" t="n"/>
      <c r="E54" s="41" t="n"/>
      <c r="F54" s="50" t="n"/>
      <c r="G54" s="42" t="n"/>
      <c r="H54" s="42" t="n"/>
      <c r="I54" s="43">
        <f>IF($B54="","",N($G54)-N($H54))</f>
        <v/>
      </c>
    </row>
    <row r="55">
      <c r="A55" s="39">
        <f>IF($B55="","",COUNTA($B$4:$B55))</f>
        <v/>
      </c>
      <c r="B55" s="45" t="n"/>
      <c r="C55" s="46" t="n"/>
      <c r="D55" s="46" t="n"/>
      <c r="E55" s="46" t="n"/>
      <c r="F55" s="51" t="n"/>
      <c r="G55" s="47" t="n"/>
      <c r="H55" s="47" t="n"/>
      <c r="I55" s="43">
        <f>IF($B55="","",N($G55)-N($H55))</f>
        <v/>
      </c>
    </row>
    <row r="56">
      <c r="A56" s="39">
        <f>IF($B56="","",COUNTA($B$4:$B56))</f>
        <v/>
      </c>
      <c r="B56" s="40" t="n"/>
      <c r="C56" s="41" t="n"/>
      <c r="D56" s="41" t="n"/>
      <c r="E56" s="41" t="n"/>
      <c r="F56" s="50" t="n"/>
      <c r="G56" s="42" t="n"/>
      <c r="H56" s="42" t="n"/>
      <c r="I56" s="43">
        <f>IF($B56="","",N($G56)-N($H56))</f>
        <v/>
      </c>
    </row>
    <row r="57">
      <c r="A57" s="39">
        <f>IF($B57="","",COUNTA($B$4:$B57))</f>
        <v/>
      </c>
      <c r="B57" s="45" t="n"/>
      <c r="C57" s="46" t="n"/>
      <c r="D57" s="46" t="n"/>
      <c r="E57" s="46" t="n"/>
      <c r="F57" s="51" t="n"/>
      <c r="G57" s="47" t="n"/>
      <c r="H57" s="47" t="n"/>
      <c r="I57" s="43">
        <f>IF($B57="","",N($G57)-N($H57))</f>
        <v/>
      </c>
    </row>
    <row r="58">
      <c r="A58" s="39">
        <f>IF($B58="","",COUNTA($B$4:$B58))</f>
        <v/>
      </c>
      <c r="B58" s="40" t="n"/>
      <c r="C58" s="41" t="n"/>
      <c r="D58" s="41" t="n"/>
      <c r="E58" s="41" t="n"/>
      <c r="F58" s="50" t="n"/>
      <c r="G58" s="42" t="n"/>
      <c r="H58" s="42" t="n"/>
      <c r="I58" s="43">
        <f>IF($B58="","",N($G58)-N($H58))</f>
        <v/>
      </c>
    </row>
    <row r="59">
      <c r="A59" s="39">
        <f>IF($B59="","",COUNTA($B$4:$B59))</f>
        <v/>
      </c>
      <c r="B59" s="45" t="n"/>
      <c r="C59" s="46" t="n"/>
      <c r="D59" s="46" t="n"/>
      <c r="E59" s="46" t="n"/>
      <c r="F59" s="51" t="n"/>
      <c r="G59" s="47" t="n"/>
      <c r="H59" s="47" t="n"/>
      <c r="I59" s="43">
        <f>IF($B59="","",N($G59)-N($H59))</f>
        <v/>
      </c>
    </row>
    <row r="60">
      <c r="A60" s="39">
        <f>IF($B60="","",COUNTA($B$4:$B60))</f>
        <v/>
      </c>
      <c r="B60" s="40" t="n"/>
      <c r="C60" s="41" t="n"/>
      <c r="D60" s="41" t="n"/>
      <c r="E60" s="41" t="n"/>
      <c r="F60" s="50" t="n"/>
      <c r="G60" s="42" t="n"/>
      <c r="H60" s="42" t="n"/>
      <c r="I60" s="43">
        <f>IF($B60="","",N($G60)-N($H60))</f>
        <v/>
      </c>
    </row>
    <row r="61">
      <c r="A61" s="39">
        <f>IF($B61="","",COUNTA($B$4:$B61))</f>
        <v/>
      </c>
      <c r="B61" s="45" t="n"/>
      <c r="C61" s="46" t="n"/>
      <c r="D61" s="46" t="n"/>
      <c r="E61" s="46" t="n"/>
      <c r="F61" s="51" t="n"/>
      <c r="G61" s="47" t="n"/>
      <c r="H61" s="47" t="n"/>
      <c r="I61" s="43">
        <f>IF($B61="","",N($G61)-N($H61))</f>
        <v/>
      </c>
    </row>
    <row r="62">
      <c r="A62" s="39">
        <f>IF($B62="","",COUNTA($B$4:$B62))</f>
        <v/>
      </c>
      <c r="B62" s="40" t="n"/>
      <c r="C62" s="41" t="n"/>
      <c r="D62" s="41" t="n"/>
      <c r="E62" s="41" t="n"/>
      <c r="F62" s="50" t="n"/>
      <c r="G62" s="42" t="n"/>
      <c r="H62" s="42" t="n"/>
      <c r="I62" s="43">
        <f>IF($B62="","",N($G62)-N($H62))</f>
        <v/>
      </c>
    </row>
    <row r="63">
      <c r="A63" s="39">
        <f>IF($B63="","",COUNTA($B$4:$B63))</f>
        <v/>
      </c>
      <c r="B63" s="45" t="n"/>
      <c r="C63" s="46" t="n"/>
      <c r="D63" s="46" t="n"/>
      <c r="E63" s="46" t="n"/>
      <c r="F63" s="51" t="n"/>
      <c r="G63" s="47" t="n"/>
      <c r="H63" s="47" t="n"/>
      <c r="I63" s="43">
        <f>IF($B63="","",N($G63)-N($H63))</f>
        <v/>
      </c>
    </row>
    <row r="64">
      <c r="A64" s="39">
        <f>IF($B64="","",COUNTA($B$4:$B64))</f>
        <v/>
      </c>
      <c r="B64" s="40" t="n"/>
      <c r="C64" s="41" t="n"/>
      <c r="D64" s="41" t="n"/>
      <c r="E64" s="41" t="n"/>
      <c r="F64" s="50" t="n"/>
      <c r="G64" s="42" t="n"/>
      <c r="H64" s="42" t="n"/>
      <c r="I64" s="43">
        <f>IF($B64="","",N($G64)-N($H64))</f>
        <v/>
      </c>
    </row>
    <row r="65">
      <c r="A65" s="39">
        <f>IF($B65="","",COUNTA($B$4:$B65))</f>
        <v/>
      </c>
      <c r="B65" s="45" t="n"/>
      <c r="C65" s="46" t="n"/>
      <c r="D65" s="46" t="n"/>
      <c r="E65" s="46" t="n"/>
      <c r="F65" s="51" t="n"/>
      <c r="G65" s="47" t="n"/>
      <c r="H65" s="47" t="n"/>
      <c r="I65" s="43">
        <f>IF($B65="","",N($G65)-N($H65))</f>
        <v/>
      </c>
    </row>
    <row r="66">
      <c r="A66" s="39">
        <f>IF($B66="","",COUNTA($B$4:$B66))</f>
        <v/>
      </c>
      <c r="B66" s="40" t="n"/>
      <c r="C66" s="41" t="n"/>
      <c r="D66" s="41" t="n"/>
      <c r="E66" s="41" t="n"/>
      <c r="F66" s="50" t="n"/>
      <c r="G66" s="42" t="n"/>
      <c r="H66" s="42" t="n"/>
      <c r="I66" s="43">
        <f>IF($B66="","",N($G66)-N($H66))</f>
        <v/>
      </c>
    </row>
    <row r="67">
      <c r="A67" s="39">
        <f>IF($B67="","",COUNTA($B$4:$B67))</f>
        <v/>
      </c>
      <c r="B67" s="45" t="n"/>
      <c r="C67" s="46" t="n"/>
      <c r="D67" s="46" t="n"/>
      <c r="E67" s="46" t="n"/>
      <c r="F67" s="51" t="n"/>
      <c r="G67" s="47" t="n"/>
      <c r="H67" s="47" t="n"/>
      <c r="I67" s="43">
        <f>IF($B67="","",N($G67)-N($H67))</f>
        <v/>
      </c>
    </row>
    <row r="68">
      <c r="A68" s="39">
        <f>IF($B68="","",COUNTA($B$4:$B68))</f>
        <v/>
      </c>
      <c r="B68" s="40" t="n"/>
      <c r="C68" s="41" t="n"/>
      <c r="D68" s="41" t="n"/>
      <c r="E68" s="41" t="n"/>
      <c r="F68" s="50" t="n"/>
      <c r="G68" s="42" t="n"/>
      <c r="H68" s="42" t="n"/>
      <c r="I68" s="43">
        <f>IF($B68="","",N($G68)-N($H68))</f>
        <v/>
      </c>
    </row>
    <row r="69">
      <c r="A69" s="39">
        <f>IF($B69="","",COUNTA($B$4:$B69))</f>
        <v/>
      </c>
      <c r="B69" s="45" t="n"/>
      <c r="C69" s="46" t="n"/>
      <c r="D69" s="46" t="n"/>
      <c r="E69" s="46" t="n"/>
      <c r="F69" s="51" t="n"/>
      <c r="G69" s="47" t="n"/>
      <c r="H69" s="47" t="n"/>
      <c r="I69" s="43">
        <f>IF($B69="","",N($G69)-N($H69))</f>
        <v/>
      </c>
    </row>
    <row r="70">
      <c r="A70" s="39">
        <f>IF($B70="","",COUNTA($B$4:$B70))</f>
        <v/>
      </c>
      <c r="B70" s="40" t="n"/>
      <c r="C70" s="41" t="n"/>
      <c r="D70" s="41" t="n"/>
      <c r="E70" s="41" t="n"/>
      <c r="F70" s="50" t="n"/>
      <c r="G70" s="42" t="n"/>
      <c r="H70" s="42" t="n"/>
      <c r="I70" s="43">
        <f>IF($B70="","",N($G70)-N($H70))</f>
        <v/>
      </c>
    </row>
    <row r="71">
      <c r="A71" s="39">
        <f>IF($B71="","",COUNTA($B$4:$B71))</f>
        <v/>
      </c>
      <c r="B71" s="45" t="n"/>
      <c r="C71" s="46" t="n"/>
      <c r="D71" s="46" t="n"/>
      <c r="E71" s="46" t="n"/>
      <c r="F71" s="51" t="n"/>
      <c r="G71" s="47" t="n"/>
      <c r="H71" s="47" t="n"/>
      <c r="I71" s="43">
        <f>IF($B71="","",N($G71)-N($H71))</f>
        <v/>
      </c>
    </row>
    <row r="72">
      <c r="A72" s="39">
        <f>IF($B72="","",COUNTA($B$4:$B72))</f>
        <v/>
      </c>
      <c r="B72" s="40" t="n"/>
      <c r="C72" s="41" t="n"/>
      <c r="D72" s="41" t="n"/>
      <c r="E72" s="41" t="n"/>
      <c r="F72" s="50" t="n"/>
      <c r="G72" s="42" t="n"/>
      <c r="H72" s="42" t="n"/>
      <c r="I72" s="43">
        <f>IF($B72="","",N($G72)-N($H72))</f>
        <v/>
      </c>
    </row>
    <row r="73">
      <c r="A73" s="39">
        <f>IF($B73="","",COUNTA($B$4:$B73))</f>
        <v/>
      </c>
      <c r="B73" s="45" t="n"/>
      <c r="C73" s="46" t="n"/>
      <c r="D73" s="46" t="n"/>
      <c r="E73" s="46" t="n"/>
      <c r="F73" s="51" t="n"/>
      <c r="G73" s="47" t="n"/>
      <c r="H73" s="47" t="n"/>
      <c r="I73" s="43">
        <f>IF($B73="","",N($G73)-N($H73))</f>
        <v/>
      </c>
    </row>
    <row r="74">
      <c r="A74" s="39">
        <f>IF($B74="","",COUNTA($B$4:$B74))</f>
        <v/>
      </c>
      <c r="B74" s="40" t="n"/>
      <c r="C74" s="41" t="n"/>
      <c r="D74" s="41" t="n"/>
      <c r="E74" s="41" t="n"/>
      <c r="F74" s="50" t="n"/>
      <c r="G74" s="42" t="n"/>
      <c r="H74" s="42" t="n"/>
      <c r="I74" s="43">
        <f>IF($B74="","",N($G74)-N($H74))</f>
        <v/>
      </c>
    </row>
    <row r="75">
      <c r="A75" s="39">
        <f>IF($B75="","",COUNTA($B$4:$B75))</f>
        <v/>
      </c>
      <c r="B75" s="45" t="n"/>
      <c r="C75" s="46" t="n"/>
      <c r="D75" s="46" t="n"/>
      <c r="E75" s="46" t="n"/>
      <c r="F75" s="51" t="n"/>
      <c r="G75" s="47" t="n"/>
      <c r="H75" s="47" t="n"/>
      <c r="I75" s="43">
        <f>IF($B75="","",N($G75)-N($H75))</f>
        <v/>
      </c>
    </row>
    <row r="76">
      <c r="A76" s="39">
        <f>IF($B76="","",COUNTA($B$4:$B76))</f>
        <v/>
      </c>
      <c r="B76" s="40" t="n"/>
      <c r="C76" s="41" t="n"/>
      <c r="D76" s="41" t="n"/>
      <c r="E76" s="41" t="n"/>
      <c r="F76" s="50" t="n"/>
      <c r="G76" s="42" t="n"/>
      <c r="H76" s="42" t="n"/>
      <c r="I76" s="43">
        <f>IF($B76="","",N($G76)-N($H76))</f>
        <v/>
      </c>
    </row>
    <row r="77">
      <c r="A77" s="39">
        <f>IF($B77="","",COUNTA($B$4:$B77))</f>
        <v/>
      </c>
      <c r="B77" s="45" t="n"/>
      <c r="C77" s="46" t="n"/>
      <c r="D77" s="46" t="n"/>
      <c r="E77" s="46" t="n"/>
      <c r="F77" s="51" t="n"/>
      <c r="G77" s="47" t="n"/>
      <c r="H77" s="47" t="n"/>
      <c r="I77" s="43">
        <f>IF($B77="","",N($G77)-N($H77))</f>
        <v/>
      </c>
    </row>
    <row r="78">
      <c r="A78" s="39">
        <f>IF($B78="","",COUNTA($B$4:$B78))</f>
        <v/>
      </c>
      <c r="B78" s="40" t="n"/>
      <c r="C78" s="41" t="n"/>
      <c r="D78" s="41" t="n"/>
      <c r="E78" s="41" t="n"/>
      <c r="F78" s="50" t="n"/>
      <c r="G78" s="42" t="n"/>
      <c r="H78" s="42" t="n"/>
      <c r="I78" s="43">
        <f>IF($B78="","",N($G78)-N($H78))</f>
        <v/>
      </c>
    </row>
    <row r="79">
      <c r="A79" s="39">
        <f>IF($B79="","",COUNTA($B$4:$B79))</f>
        <v/>
      </c>
      <c r="B79" s="45" t="n"/>
      <c r="C79" s="46" t="n"/>
      <c r="D79" s="46" t="n"/>
      <c r="E79" s="46" t="n"/>
      <c r="F79" s="51" t="n"/>
      <c r="G79" s="47" t="n"/>
      <c r="H79" s="47" t="n"/>
      <c r="I79" s="43">
        <f>IF($B79="","",N($G79)-N($H79))</f>
        <v/>
      </c>
    </row>
    <row r="80">
      <c r="A80" s="39">
        <f>IF($B80="","",COUNTA($B$4:$B80))</f>
        <v/>
      </c>
      <c r="B80" s="40" t="n"/>
      <c r="C80" s="41" t="n"/>
      <c r="D80" s="41" t="n"/>
      <c r="E80" s="41" t="n"/>
      <c r="F80" s="50" t="n"/>
      <c r="G80" s="42" t="n"/>
      <c r="H80" s="42" t="n"/>
      <c r="I80" s="43">
        <f>IF($B80="","",N($G80)-N($H80))</f>
        <v/>
      </c>
    </row>
    <row r="81">
      <c r="A81" s="39">
        <f>IF($B81="","",COUNTA($B$4:$B81))</f>
        <v/>
      </c>
      <c r="B81" s="45" t="n"/>
      <c r="C81" s="46" t="n"/>
      <c r="D81" s="46" t="n"/>
      <c r="E81" s="46" t="n"/>
      <c r="F81" s="51" t="n"/>
      <c r="G81" s="47" t="n"/>
      <c r="H81" s="47" t="n"/>
      <c r="I81" s="43">
        <f>IF($B81="","",N($G81)-N($H81))</f>
        <v/>
      </c>
    </row>
    <row r="82">
      <c r="A82" s="39">
        <f>IF($B82="","",COUNTA($B$4:$B82))</f>
        <v/>
      </c>
      <c r="B82" s="40" t="n"/>
      <c r="C82" s="41" t="n"/>
      <c r="D82" s="41" t="n"/>
      <c r="E82" s="41" t="n"/>
      <c r="F82" s="50" t="n"/>
      <c r="G82" s="42" t="n"/>
      <c r="H82" s="42" t="n"/>
      <c r="I82" s="43">
        <f>IF($B82="","",N($G82)-N($H82))</f>
        <v/>
      </c>
    </row>
    <row r="83">
      <c r="A83" s="39">
        <f>IF($B83="","",COUNTA($B$4:$B83))</f>
        <v/>
      </c>
      <c r="B83" s="45" t="n"/>
      <c r="C83" s="46" t="n"/>
      <c r="D83" s="46" t="n"/>
      <c r="E83" s="46" t="n"/>
      <c r="F83" s="51" t="n"/>
      <c r="G83" s="47" t="n"/>
      <c r="H83" s="47" t="n"/>
      <c r="I83" s="43">
        <f>IF($B83="","",N($G83)-N($H83))</f>
        <v/>
      </c>
    </row>
    <row r="84">
      <c r="A84" s="39">
        <f>IF($B84="","",COUNTA($B$4:$B84))</f>
        <v/>
      </c>
      <c r="B84" s="40" t="n"/>
      <c r="C84" s="41" t="n"/>
      <c r="D84" s="41" t="n"/>
      <c r="E84" s="41" t="n"/>
      <c r="F84" s="50" t="n"/>
      <c r="G84" s="42" t="n"/>
      <c r="H84" s="42" t="n"/>
      <c r="I84" s="43">
        <f>IF($B84="","",N($G84)-N($H84))</f>
        <v/>
      </c>
    </row>
    <row r="85">
      <c r="A85" s="39">
        <f>IF($B85="","",COUNTA($B$4:$B85))</f>
        <v/>
      </c>
      <c r="B85" s="45" t="n"/>
      <c r="C85" s="46" t="n"/>
      <c r="D85" s="46" t="n"/>
      <c r="E85" s="46" t="n"/>
      <c r="F85" s="51" t="n"/>
      <c r="G85" s="47" t="n"/>
      <c r="H85" s="47" t="n"/>
      <c r="I85" s="43">
        <f>IF($B85="","",N($G85)-N($H85))</f>
        <v/>
      </c>
    </row>
    <row r="86">
      <c r="A86" s="39">
        <f>IF($B86="","",COUNTA($B$4:$B86))</f>
        <v/>
      </c>
      <c r="B86" s="40" t="n"/>
      <c r="C86" s="41" t="n"/>
      <c r="D86" s="41" t="n"/>
      <c r="E86" s="41" t="n"/>
      <c r="F86" s="50" t="n"/>
      <c r="G86" s="42" t="n"/>
      <c r="H86" s="42" t="n"/>
      <c r="I86" s="43">
        <f>IF($B86="","",N($G86)-N($H86))</f>
        <v/>
      </c>
    </row>
    <row r="87">
      <c r="A87" s="39">
        <f>IF($B87="","",COUNTA($B$4:$B87))</f>
        <v/>
      </c>
      <c r="B87" s="45" t="n"/>
      <c r="C87" s="46" t="n"/>
      <c r="D87" s="46" t="n"/>
      <c r="E87" s="46" t="n"/>
      <c r="F87" s="51" t="n"/>
      <c r="G87" s="47" t="n"/>
      <c r="H87" s="47" t="n"/>
      <c r="I87" s="43">
        <f>IF($B87="","",N($G87)-N($H87))</f>
        <v/>
      </c>
    </row>
    <row r="88">
      <c r="A88" s="39">
        <f>IF($B88="","",COUNTA($B$4:$B88))</f>
        <v/>
      </c>
      <c r="B88" s="40" t="n"/>
      <c r="C88" s="41" t="n"/>
      <c r="D88" s="41" t="n"/>
      <c r="E88" s="41" t="n"/>
      <c r="F88" s="50" t="n"/>
      <c r="G88" s="42" t="n"/>
      <c r="H88" s="42" t="n"/>
      <c r="I88" s="43">
        <f>IF($B88="","",N($G88)-N($H88))</f>
        <v/>
      </c>
    </row>
    <row r="89">
      <c r="A89" s="39">
        <f>IF($B89="","",COUNTA($B$4:$B89))</f>
        <v/>
      </c>
      <c r="B89" s="45" t="n"/>
      <c r="C89" s="46" t="n"/>
      <c r="D89" s="46" t="n"/>
      <c r="E89" s="46" t="n"/>
      <c r="F89" s="51" t="n"/>
      <c r="G89" s="47" t="n"/>
      <c r="H89" s="47" t="n"/>
      <c r="I89" s="43">
        <f>IF($B89="","",N($G89)-N($H89))</f>
        <v/>
      </c>
    </row>
    <row r="90">
      <c r="A90" s="39">
        <f>IF($B90="","",COUNTA($B$4:$B90))</f>
        <v/>
      </c>
      <c r="B90" s="40" t="n"/>
      <c r="C90" s="41" t="n"/>
      <c r="D90" s="41" t="n"/>
      <c r="E90" s="41" t="n"/>
      <c r="F90" s="50" t="n"/>
      <c r="G90" s="42" t="n"/>
      <c r="H90" s="42" t="n"/>
      <c r="I90" s="43">
        <f>IF($B90="","",N($G90)-N($H90))</f>
        <v/>
      </c>
    </row>
    <row r="91">
      <c r="A91" s="39">
        <f>IF($B91="","",COUNTA($B$4:$B91))</f>
        <v/>
      </c>
      <c r="B91" s="45" t="n"/>
      <c r="C91" s="46" t="n"/>
      <c r="D91" s="46" t="n"/>
      <c r="E91" s="46" t="n"/>
      <c r="F91" s="51" t="n"/>
      <c r="G91" s="47" t="n"/>
      <c r="H91" s="47" t="n"/>
      <c r="I91" s="43">
        <f>IF($B91="","",N($G91)-N($H91))</f>
        <v/>
      </c>
    </row>
    <row r="92">
      <c r="A92" s="39">
        <f>IF($B92="","",COUNTA($B$4:$B92))</f>
        <v/>
      </c>
      <c r="B92" s="40" t="n"/>
      <c r="C92" s="41" t="n"/>
      <c r="D92" s="41" t="n"/>
      <c r="E92" s="41" t="n"/>
      <c r="F92" s="50" t="n"/>
      <c r="G92" s="42" t="n"/>
      <c r="H92" s="42" t="n"/>
      <c r="I92" s="43">
        <f>IF($B92="","",N($G92)-N($H92))</f>
        <v/>
      </c>
    </row>
    <row r="93">
      <c r="A93" s="39">
        <f>IF($B93="","",COUNTA($B$4:$B93))</f>
        <v/>
      </c>
      <c r="B93" s="45" t="n"/>
      <c r="C93" s="46" t="n"/>
      <c r="D93" s="46" t="n"/>
      <c r="E93" s="46" t="n"/>
      <c r="F93" s="51" t="n"/>
      <c r="G93" s="47" t="n"/>
      <c r="H93" s="47" t="n"/>
      <c r="I93" s="43">
        <f>IF($B93="","",N($G93)-N($H93))</f>
        <v/>
      </c>
    </row>
    <row r="94">
      <c r="A94" s="39">
        <f>IF($B94="","",COUNTA($B$4:$B94))</f>
        <v/>
      </c>
      <c r="B94" s="40" t="n"/>
      <c r="C94" s="41" t="n"/>
      <c r="D94" s="41" t="n"/>
      <c r="E94" s="41" t="n"/>
      <c r="F94" s="50" t="n"/>
      <c r="G94" s="42" t="n"/>
      <c r="H94" s="42" t="n"/>
      <c r="I94" s="43">
        <f>IF($B94="","",N($G94)-N($H94))</f>
        <v/>
      </c>
    </row>
    <row r="95">
      <c r="A95" s="39">
        <f>IF($B95="","",COUNTA($B$4:$B95))</f>
        <v/>
      </c>
      <c r="B95" s="45" t="n"/>
      <c r="C95" s="46" t="n"/>
      <c r="D95" s="46" t="n"/>
      <c r="E95" s="46" t="n"/>
      <c r="F95" s="51" t="n"/>
      <c r="G95" s="47" t="n"/>
      <c r="H95" s="47" t="n"/>
      <c r="I95" s="43">
        <f>IF($B95="","",N($G95)-N($H95))</f>
        <v/>
      </c>
    </row>
    <row r="96">
      <c r="A96" s="39">
        <f>IF($B96="","",COUNTA($B$4:$B96))</f>
        <v/>
      </c>
      <c r="B96" s="40" t="n"/>
      <c r="C96" s="41" t="n"/>
      <c r="D96" s="41" t="n"/>
      <c r="E96" s="41" t="n"/>
      <c r="F96" s="50" t="n"/>
      <c r="G96" s="42" t="n"/>
      <c r="H96" s="42" t="n"/>
      <c r="I96" s="43">
        <f>IF($B96="","",N($G96)-N($H96))</f>
        <v/>
      </c>
    </row>
    <row r="97">
      <c r="A97" s="39">
        <f>IF($B97="","",COUNTA($B$4:$B97))</f>
        <v/>
      </c>
      <c r="B97" s="45" t="n"/>
      <c r="C97" s="46" t="n"/>
      <c r="D97" s="46" t="n"/>
      <c r="E97" s="46" t="n"/>
      <c r="F97" s="51" t="n"/>
      <c r="G97" s="47" t="n"/>
      <c r="H97" s="47" t="n"/>
      <c r="I97" s="43">
        <f>IF($B97="","",N($G97)-N($H97))</f>
        <v/>
      </c>
    </row>
    <row r="98">
      <c r="A98" s="39">
        <f>IF($B98="","",COUNTA($B$4:$B98))</f>
        <v/>
      </c>
      <c r="B98" s="40" t="n"/>
      <c r="C98" s="41" t="n"/>
      <c r="D98" s="41" t="n"/>
      <c r="E98" s="41" t="n"/>
      <c r="F98" s="50" t="n"/>
      <c r="G98" s="42" t="n"/>
      <c r="H98" s="42" t="n"/>
      <c r="I98" s="43">
        <f>IF($B98="","",N($G98)-N($H98))</f>
        <v/>
      </c>
    </row>
    <row r="99">
      <c r="A99" s="39">
        <f>IF($B99="","",COUNTA($B$4:$B99))</f>
        <v/>
      </c>
      <c r="B99" s="45" t="n"/>
      <c r="C99" s="46" t="n"/>
      <c r="D99" s="46" t="n"/>
      <c r="E99" s="46" t="n"/>
      <c r="F99" s="51" t="n"/>
      <c r="G99" s="47" t="n"/>
      <c r="H99" s="47" t="n"/>
      <c r="I99" s="43">
        <f>IF($B99="","",N($G99)-N($H99))</f>
        <v/>
      </c>
    </row>
    <row r="100">
      <c r="A100" s="39">
        <f>IF($B100="","",COUNTA($B$4:$B100))</f>
        <v/>
      </c>
      <c r="B100" s="40" t="n"/>
      <c r="C100" s="41" t="n"/>
      <c r="D100" s="41" t="n"/>
      <c r="E100" s="41" t="n"/>
      <c r="F100" s="50" t="n"/>
      <c r="G100" s="42" t="n"/>
      <c r="H100" s="42" t="n"/>
      <c r="I100" s="43">
        <f>IF($B100="","",N($G100)-N($H100))</f>
        <v/>
      </c>
    </row>
    <row r="101">
      <c r="A101" s="39">
        <f>IF($B101="","",COUNTA($B$4:$B101))</f>
        <v/>
      </c>
      <c r="B101" s="45" t="n"/>
      <c r="C101" s="46" t="n"/>
      <c r="D101" s="46" t="n"/>
      <c r="E101" s="46" t="n"/>
      <c r="F101" s="51" t="n"/>
      <c r="G101" s="47" t="n"/>
      <c r="H101" s="47" t="n"/>
      <c r="I101" s="43">
        <f>IF($B101="","",N($G101)-N($H101))</f>
        <v/>
      </c>
    </row>
    <row r="102">
      <c r="A102" s="39">
        <f>IF($B102="","",COUNTA($B$4:$B102))</f>
        <v/>
      </c>
      <c r="B102" s="40" t="n"/>
      <c r="C102" s="41" t="n"/>
      <c r="D102" s="41" t="n"/>
      <c r="E102" s="41" t="n"/>
      <c r="F102" s="50" t="n"/>
      <c r="G102" s="42" t="n"/>
      <c r="H102" s="42" t="n"/>
      <c r="I102" s="43">
        <f>IF($B102="","",N($G102)-N($H102))</f>
        <v/>
      </c>
    </row>
    <row r="103">
      <c r="A103" s="39">
        <f>IF($B103="","",COUNTA($B$4:$B103))</f>
        <v/>
      </c>
      <c r="B103" s="45" t="n"/>
      <c r="C103" s="46" t="n"/>
      <c r="D103" s="46" t="n"/>
      <c r="E103" s="46" t="n"/>
      <c r="F103" s="51" t="n"/>
      <c r="G103" s="47" t="n"/>
      <c r="H103" s="47" t="n"/>
      <c r="I103" s="43">
        <f>IF($B103="","",N($G103)-N($H103))</f>
        <v/>
      </c>
    </row>
    <row r="104">
      <c r="A104" s="39">
        <f>IF($B104="","",COUNTA($B$4:$B104))</f>
        <v/>
      </c>
      <c r="B104" s="40" t="n"/>
      <c r="C104" s="41" t="n"/>
      <c r="D104" s="41" t="n"/>
      <c r="E104" s="41" t="n"/>
      <c r="F104" s="50" t="n"/>
      <c r="G104" s="42" t="n"/>
      <c r="H104" s="42" t="n"/>
      <c r="I104" s="43">
        <f>IF($B104="","",N($G104)-N($H104))</f>
        <v/>
      </c>
    </row>
    <row r="105">
      <c r="A105" s="39">
        <f>IF($B105="","",COUNTA($B$4:$B105))</f>
        <v/>
      </c>
      <c r="B105" s="45" t="n"/>
      <c r="C105" s="46" t="n"/>
      <c r="D105" s="46" t="n"/>
      <c r="E105" s="46" t="n"/>
      <c r="F105" s="51" t="n"/>
      <c r="G105" s="47" t="n"/>
      <c r="H105" s="47" t="n"/>
      <c r="I105" s="43">
        <f>IF($B105="","",N($G105)-N($H105))</f>
        <v/>
      </c>
    </row>
    <row r="106">
      <c r="A106" s="39">
        <f>IF($B106="","",COUNTA($B$4:$B106))</f>
        <v/>
      </c>
      <c r="B106" s="40" t="n"/>
      <c r="C106" s="41" t="n"/>
      <c r="D106" s="41" t="n"/>
      <c r="E106" s="41" t="n"/>
      <c r="F106" s="50" t="n"/>
      <c r="G106" s="42" t="n"/>
      <c r="H106" s="42" t="n"/>
      <c r="I106" s="43">
        <f>IF($B106="","",N($G106)-N($H106))</f>
        <v/>
      </c>
    </row>
    <row r="107">
      <c r="A107" s="39">
        <f>IF($B107="","",COUNTA($B$4:$B107))</f>
        <v/>
      </c>
      <c r="B107" s="45" t="n"/>
      <c r="C107" s="46" t="n"/>
      <c r="D107" s="46" t="n"/>
      <c r="E107" s="46" t="n"/>
      <c r="F107" s="51" t="n"/>
      <c r="G107" s="47" t="n"/>
      <c r="H107" s="47" t="n"/>
      <c r="I107" s="43">
        <f>IF($B107="","",N($G107)-N($H107))</f>
        <v/>
      </c>
    </row>
    <row r="108">
      <c r="A108" s="39">
        <f>IF($B108="","",COUNTA($B$4:$B108))</f>
        <v/>
      </c>
      <c r="B108" s="40" t="n"/>
      <c r="C108" s="41" t="n"/>
      <c r="D108" s="41" t="n"/>
      <c r="E108" s="41" t="n"/>
      <c r="F108" s="50" t="n"/>
      <c r="G108" s="42" t="n"/>
      <c r="H108" s="42" t="n"/>
      <c r="I108" s="43">
        <f>IF($B108="","",N($G108)-N($H108))</f>
        <v/>
      </c>
    </row>
    <row r="109">
      <c r="A109" s="39">
        <f>IF($B109="","",COUNTA($B$4:$B109))</f>
        <v/>
      </c>
      <c r="B109" s="45" t="n"/>
      <c r="C109" s="46" t="n"/>
      <c r="D109" s="46" t="n"/>
      <c r="E109" s="46" t="n"/>
      <c r="F109" s="51" t="n"/>
      <c r="G109" s="47" t="n"/>
      <c r="H109" s="47" t="n"/>
      <c r="I109" s="43">
        <f>IF($B109="","",N($G109)-N($H109))</f>
        <v/>
      </c>
    </row>
    <row r="110">
      <c r="A110" s="39">
        <f>IF($B110="","",COUNTA($B$4:$B110))</f>
        <v/>
      </c>
      <c r="B110" s="40" t="n"/>
      <c r="C110" s="41" t="n"/>
      <c r="D110" s="41" t="n"/>
      <c r="E110" s="41" t="n"/>
      <c r="F110" s="50" t="n"/>
      <c r="G110" s="42" t="n"/>
      <c r="H110" s="42" t="n"/>
      <c r="I110" s="43">
        <f>IF($B110="","",N($G110)-N($H110))</f>
        <v/>
      </c>
    </row>
    <row r="111">
      <c r="A111" s="39">
        <f>IF($B111="","",COUNTA($B$4:$B111))</f>
        <v/>
      </c>
      <c r="B111" s="45" t="n"/>
      <c r="C111" s="46" t="n"/>
      <c r="D111" s="46" t="n"/>
      <c r="E111" s="46" t="n"/>
      <c r="F111" s="51" t="n"/>
      <c r="G111" s="47" t="n"/>
      <c r="H111" s="47" t="n"/>
      <c r="I111" s="43">
        <f>IF($B111="","",N($G111)-N($H111))</f>
        <v/>
      </c>
    </row>
    <row r="112">
      <c r="A112" s="39">
        <f>IF($B112="","",COUNTA($B$4:$B112))</f>
        <v/>
      </c>
      <c r="B112" s="40" t="n"/>
      <c r="C112" s="41" t="n"/>
      <c r="D112" s="41" t="n"/>
      <c r="E112" s="41" t="n"/>
      <c r="F112" s="50" t="n"/>
      <c r="G112" s="42" t="n"/>
      <c r="H112" s="42" t="n"/>
      <c r="I112" s="43">
        <f>IF($B112="","",N($G112)-N($H112))</f>
        <v/>
      </c>
    </row>
    <row r="113">
      <c r="A113" s="39">
        <f>IF($B113="","",COUNTA($B$4:$B113))</f>
        <v/>
      </c>
      <c r="B113" s="45" t="n"/>
      <c r="C113" s="46" t="n"/>
      <c r="D113" s="46" t="n"/>
      <c r="E113" s="46" t="n"/>
      <c r="F113" s="51" t="n"/>
      <c r="G113" s="47" t="n"/>
      <c r="H113" s="47" t="n"/>
      <c r="I113" s="43">
        <f>IF($B113="","",N($G113)-N($H113))</f>
        <v/>
      </c>
    </row>
    <row r="114">
      <c r="A114" s="39">
        <f>IF($B114="","",COUNTA($B$4:$B114))</f>
        <v/>
      </c>
      <c r="B114" s="40" t="n"/>
      <c r="C114" s="41" t="n"/>
      <c r="D114" s="41" t="n"/>
      <c r="E114" s="41" t="n"/>
      <c r="F114" s="50" t="n"/>
      <c r="G114" s="42" t="n"/>
      <c r="H114" s="42" t="n"/>
      <c r="I114" s="43">
        <f>IF($B114="","",N($G114)-N($H114))</f>
        <v/>
      </c>
    </row>
    <row r="115">
      <c r="A115" s="39">
        <f>IF($B115="","",COUNTA($B$4:$B115))</f>
        <v/>
      </c>
      <c r="B115" s="45" t="n"/>
      <c r="C115" s="46" t="n"/>
      <c r="D115" s="46" t="n"/>
      <c r="E115" s="46" t="n"/>
      <c r="F115" s="51" t="n"/>
      <c r="G115" s="47" t="n"/>
      <c r="H115" s="47" t="n"/>
      <c r="I115" s="43">
        <f>IF($B115="","",N($G115)-N($H115))</f>
        <v/>
      </c>
    </row>
    <row r="116">
      <c r="A116" s="39">
        <f>IF($B116="","",COUNTA($B$4:$B116))</f>
        <v/>
      </c>
      <c r="B116" s="40" t="n"/>
      <c r="C116" s="41" t="n"/>
      <c r="D116" s="41" t="n"/>
      <c r="E116" s="41" t="n"/>
      <c r="F116" s="50" t="n"/>
      <c r="G116" s="42" t="n"/>
      <c r="H116" s="42" t="n"/>
      <c r="I116" s="43">
        <f>IF($B116="","",N($G116)-N($H116))</f>
        <v/>
      </c>
    </row>
    <row r="117">
      <c r="A117" s="39">
        <f>IF($B117="","",COUNTA($B$4:$B117))</f>
        <v/>
      </c>
      <c r="B117" s="45" t="n"/>
      <c r="C117" s="46" t="n"/>
      <c r="D117" s="46" t="n"/>
      <c r="E117" s="46" t="n"/>
      <c r="F117" s="51" t="n"/>
      <c r="G117" s="47" t="n"/>
      <c r="H117" s="47" t="n"/>
      <c r="I117" s="43">
        <f>IF($B117="","",N($G117)-N($H117))</f>
        <v/>
      </c>
    </row>
    <row r="118">
      <c r="A118" s="39">
        <f>IF($B118="","",COUNTA($B$4:$B118))</f>
        <v/>
      </c>
      <c r="B118" s="40" t="n"/>
      <c r="C118" s="41" t="n"/>
      <c r="D118" s="41" t="n"/>
      <c r="E118" s="41" t="n"/>
      <c r="F118" s="50" t="n"/>
      <c r="G118" s="42" t="n"/>
      <c r="H118" s="42" t="n"/>
      <c r="I118" s="43">
        <f>IF($B118="","",N($G118)-N($H118))</f>
        <v/>
      </c>
    </row>
    <row r="119">
      <c r="A119" s="39">
        <f>IF($B119="","",COUNTA($B$4:$B119))</f>
        <v/>
      </c>
      <c r="B119" s="45" t="n"/>
      <c r="C119" s="46" t="n"/>
      <c r="D119" s="46" t="n"/>
      <c r="E119" s="46" t="n"/>
      <c r="F119" s="51" t="n"/>
      <c r="G119" s="47" t="n"/>
      <c r="H119" s="47" t="n"/>
      <c r="I119" s="43">
        <f>IF($B119="","",N($G119)-N($H119))</f>
        <v/>
      </c>
    </row>
    <row r="120">
      <c r="A120" s="39">
        <f>IF($B120="","",COUNTA($B$4:$B120))</f>
        <v/>
      </c>
      <c r="B120" s="40" t="n"/>
      <c r="C120" s="41" t="n"/>
      <c r="D120" s="41" t="n"/>
      <c r="E120" s="41" t="n"/>
      <c r="F120" s="50" t="n"/>
      <c r="G120" s="42" t="n"/>
      <c r="H120" s="42" t="n"/>
      <c r="I120" s="43">
        <f>IF($B120="","",N($G120)-N($H120))</f>
        <v/>
      </c>
    </row>
    <row r="121">
      <c r="A121" s="39">
        <f>IF($B121="","",COUNTA($B$4:$B121))</f>
        <v/>
      </c>
      <c r="B121" s="45" t="n"/>
      <c r="C121" s="46" t="n"/>
      <c r="D121" s="46" t="n"/>
      <c r="E121" s="46" t="n"/>
      <c r="F121" s="51" t="n"/>
      <c r="G121" s="47" t="n"/>
      <c r="H121" s="47" t="n"/>
      <c r="I121" s="43">
        <f>IF($B121="","",N($G121)-N($H121))</f>
        <v/>
      </c>
    </row>
    <row r="122">
      <c r="A122" s="39">
        <f>IF($B122="","",COUNTA($B$4:$B122))</f>
        <v/>
      </c>
      <c r="B122" s="40" t="n"/>
      <c r="C122" s="41" t="n"/>
      <c r="D122" s="41" t="n"/>
      <c r="E122" s="41" t="n"/>
      <c r="F122" s="50" t="n"/>
      <c r="G122" s="42" t="n"/>
      <c r="H122" s="42" t="n"/>
      <c r="I122" s="43">
        <f>IF($B122="","",N($G122)-N($H122))</f>
        <v/>
      </c>
    </row>
    <row r="123">
      <c r="A123" s="39">
        <f>IF($B123="","",COUNTA($B$4:$B123))</f>
        <v/>
      </c>
      <c r="B123" s="45" t="n"/>
      <c r="C123" s="46" t="n"/>
      <c r="D123" s="46" t="n"/>
      <c r="E123" s="46" t="n"/>
      <c r="F123" s="51" t="n"/>
      <c r="G123" s="47" t="n"/>
      <c r="H123" s="47" t="n"/>
      <c r="I123" s="43">
        <f>IF($B123="","",N($G123)-N($H123))</f>
        <v/>
      </c>
    </row>
    <row r="124">
      <c r="A124" s="39">
        <f>IF($B124="","",COUNTA($B$4:$B124))</f>
        <v/>
      </c>
      <c r="B124" s="40" t="n"/>
      <c r="C124" s="41" t="n"/>
      <c r="D124" s="41" t="n"/>
      <c r="E124" s="41" t="n"/>
      <c r="F124" s="50" t="n"/>
      <c r="G124" s="42" t="n"/>
      <c r="H124" s="42" t="n"/>
      <c r="I124" s="43">
        <f>IF($B124="","",N($G124)-N($H124))</f>
        <v/>
      </c>
    </row>
    <row r="125">
      <c r="A125" s="39">
        <f>IF($B125="","",COUNTA($B$4:$B125))</f>
        <v/>
      </c>
      <c r="B125" s="45" t="n"/>
      <c r="C125" s="46" t="n"/>
      <c r="D125" s="46" t="n"/>
      <c r="E125" s="46" t="n"/>
      <c r="F125" s="51" t="n"/>
      <c r="G125" s="47" t="n"/>
      <c r="H125" s="47" t="n"/>
      <c r="I125" s="43">
        <f>IF($B125="","",N($G125)-N($H125))</f>
        <v/>
      </c>
    </row>
    <row r="126">
      <c r="A126" s="39">
        <f>IF($B126="","",COUNTA($B$4:$B126))</f>
        <v/>
      </c>
      <c r="B126" s="40" t="n"/>
      <c r="C126" s="41" t="n"/>
      <c r="D126" s="41" t="n"/>
      <c r="E126" s="41" t="n"/>
      <c r="F126" s="50" t="n"/>
      <c r="G126" s="42" t="n"/>
      <c r="H126" s="42" t="n"/>
      <c r="I126" s="43">
        <f>IF($B126="","",N($G126)-N($H126))</f>
        <v/>
      </c>
    </row>
    <row r="127">
      <c r="A127" s="39">
        <f>IF($B127="","",COUNTA($B$4:$B127))</f>
        <v/>
      </c>
      <c r="B127" s="45" t="n"/>
      <c r="C127" s="46" t="n"/>
      <c r="D127" s="46" t="n"/>
      <c r="E127" s="46" t="n"/>
      <c r="F127" s="51" t="n"/>
      <c r="G127" s="47" t="n"/>
      <c r="H127" s="47" t="n"/>
      <c r="I127" s="43">
        <f>IF($B127="","",N($G127)-N($H127))</f>
        <v/>
      </c>
    </row>
    <row r="128">
      <c r="A128" s="39">
        <f>IF($B128="","",COUNTA($B$4:$B128))</f>
        <v/>
      </c>
      <c r="B128" s="40" t="n"/>
      <c r="C128" s="41" t="n"/>
      <c r="D128" s="41" t="n"/>
      <c r="E128" s="41" t="n"/>
      <c r="F128" s="50" t="n"/>
      <c r="G128" s="42" t="n"/>
      <c r="H128" s="42" t="n"/>
      <c r="I128" s="43">
        <f>IF($B128="","",N($G128)-N($H128))</f>
        <v/>
      </c>
    </row>
    <row r="129">
      <c r="A129" s="39">
        <f>IF($B129="","",COUNTA($B$4:$B129))</f>
        <v/>
      </c>
      <c r="B129" s="45" t="n"/>
      <c r="C129" s="46" t="n"/>
      <c r="D129" s="46" t="n"/>
      <c r="E129" s="46" t="n"/>
      <c r="F129" s="51" t="n"/>
      <c r="G129" s="47" t="n"/>
      <c r="H129" s="47" t="n"/>
      <c r="I129" s="43">
        <f>IF($B129="","",N($G129)-N($H129))</f>
        <v/>
      </c>
    </row>
    <row r="130">
      <c r="A130" s="39">
        <f>IF($B130="","",COUNTA($B$4:$B130))</f>
        <v/>
      </c>
      <c r="B130" s="40" t="n"/>
      <c r="C130" s="41" t="n"/>
      <c r="D130" s="41" t="n"/>
      <c r="E130" s="41" t="n"/>
      <c r="F130" s="50" t="n"/>
      <c r="G130" s="42" t="n"/>
      <c r="H130" s="42" t="n"/>
      <c r="I130" s="43">
        <f>IF($B130="","",N($G130)-N($H130))</f>
        <v/>
      </c>
    </row>
    <row r="131">
      <c r="A131" s="39">
        <f>IF($B131="","",COUNTA($B$4:$B131))</f>
        <v/>
      </c>
      <c r="B131" s="45" t="n"/>
      <c r="C131" s="46" t="n"/>
      <c r="D131" s="46" t="n"/>
      <c r="E131" s="46" t="n"/>
      <c r="F131" s="51" t="n"/>
      <c r="G131" s="47" t="n"/>
      <c r="H131" s="47" t="n"/>
      <c r="I131" s="43">
        <f>IF($B131="","",N($G131)-N($H131))</f>
        <v/>
      </c>
    </row>
    <row r="132">
      <c r="A132" s="39">
        <f>IF($B132="","",COUNTA($B$4:$B132))</f>
        <v/>
      </c>
      <c r="B132" s="40" t="n"/>
      <c r="C132" s="41" t="n"/>
      <c r="D132" s="41" t="n"/>
      <c r="E132" s="41" t="n"/>
      <c r="F132" s="50" t="n"/>
      <c r="G132" s="42" t="n"/>
      <c r="H132" s="42" t="n"/>
      <c r="I132" s="43">
        <f>IF($B132="","",N($G132)-N($H132))</f>
        <v/>
      </c>
    </row>
    <row r="133">
      <c r="A133" s="39">
        <f>IF($B133="","",COUNTA($B$4:$B133))</f>
        <v/>
      </c>
      <c r="B133" s="45" t="n"/>
      <c r="C133" s="46" t="n"/>
      <c r="D133" s="46" t="n"/>
      <c r="E133" s="46" t="n"/>
      <c r="F133" s="51" t="n"/>
      <c r="G133" s="47" t="n"/>
      <c r="H133" s="47" t="n"/>
      <c r="I133" s="43">
        <f>IF($B133="","",N($G133)-N($H133))</f>
        <v/>
      </c>
    </row>
    <row r="134">
      <c r="A134" s="39">
        <f>IF($B134="","",COUNTA($B$4:$B134))</f>
        <v/>
      </c>
      <c r="B134" s="40" t="n"/>
      <c r="C134" s="41" t="n"/>
      <c r="D134" s="41" t="n"/>
      <c r="E134" s="41" t="n"/>
      <c r="F134" s="50" t="n"/>
      <c r="G134" s="42" t="n"/>
      <c r="H134" s="42" t="n"/>
      <c r="I134" s="43">
        <f>IF($B134="","",N($G134)-N($H134))</f>
        <v/>
      </c>
    </row>
    <row r="135">
      <c r="A135" s="39">
        <f>IF($B135="","",COUNTA($B$4:$B135))</f>
        <v/>
      </c>
      <c r="B135" s="45" t="n"/>
      <c r="C135" s="46" t="n"/>
      <c r="D135" s="46" t="n"/>
      <c r="E135" s="46" t="n"/>
      <c r="F135" s="51" t="n"/>
      <c r="G135" s="47" t="n"/>
      <c r="H135" s="47" t="n"/>
      <c r="I135" s="43">
        <f>IF($B135="","",N($G135)-N($H135))</f>
        <v/>
      </c>
    </row>
    <row r="136">
      <c r="A136" s="39">
        <f>IF($B136="","",COUNTA($B$4:$B136))</f>
        <v/>
      </c>
      <c r="B136" s="40" t="n"/>
      <c r="C136" s="41" t="n"/>
      <c r="D136" s="41" t="n"/>
      <c r="E136" s="41" t="n"/>
      <c r="F136" s="50" t="n"/>
      <c r="G136" s="42" t="n"/>
      <c r="H136" s="42" t="n"/>
      <c r="I136" s="43">
        <f>IF($B136="","",N($G136)-N($H136))</f>
        <v/>
      </c>
    </row>
    <row r="137">
      <c r="A137" s="39">
        <f>IF($B137="","",COUNTA($B$4:$B137))</f>
        <v/>
      </c>
      <c r="B137" s="45" t="n"/>
      <c r="C137" s="46" t="n"/>
      <c r="D137" s="46" t="n"/>
      <c r="E137" s="46" t="n"/>
      <c r="F137" s="51" t="n"/>
      <c r="G137" s="47" t="n"/>
      <c r="H137" s="47" t="n"/>
      <c r="I137" s="43">
        <f>IF($B137="","",N($G137)-N($H137))</f>
        <v/>
      </c>
    </row>
    <row r="138">
      <c r="A138" s="39">
        <f>IF($B138="","",COUNTA($B$4:$B138))</f>
        <v/>
      </c>
      <c r="B138" s="40" t="n"/>
      <c r="C138" s="41" t="n"/>
      <c r="D138" s="41" t="n"/>
      <c r="E138" s="41" t="n"/>
      <c r="F138" s="50" t="n"/>
      <c r="G138" s="42" t="n"/>
      <c r="H138" s="42" t="n"/>
      <c r="I138" s="43">
        <f>IF($B138="","",N($G138)-N($H138))</f>
        <v/>
      </c>
    </row>
    <row r="139">
      <c r="A139" s="39">
        <f>IF($B139="","",COUNTA($B$4:$B139))</f>
        <v/>
      </c>
      <c r="B139" s="45" t="n"/>
      <c r="C139" s="46" t="n"/>
      <c r="D139" s="46" t="n"/>
      <c r="E139" s="46" t="n"/>
      <c r="F139" s="51" t="n"/>
      <c r="G139" s="47" t="n"/>
      <c r="H139" s="47" t="n"/>
      <c r="I139" s="43">
        <f>IF($B139="","",N($G139)-N($H139))</f>
        <v/>
      </c>
    </row>
    <row r="140">
      <c r="A140" s="39">
        <f>IF($B140="","",COUNTA($B$4:$B140))</f>
        <v/>
      </c>
      <c r="B140" s="40" t="n"/>
      <c r="C140" s="41" t="n"/>
      <c r="D140" s="41" t="n"/>
      <c r="E140" s="41" t="n"/>
      <c r="F140" s="50" t="n"/>
      <c r="G140" s="42" t="n"/>
      <c r="H140" s="42" t="n"/>
      <c r="I140" s="43">
        <f>IF($B140="","",N($G140)-N($H140))</f>
        <v/>
      </c>
    </row>
    <row r="141">
      <c r="A141" s="39">
        <f>IF($B141="","",COUNTA($B$4:$B141))</f>
        <v/>
      </c>
      <c r="B141" s="45" t="n"/>
      <c r="C141" s="46" t="n"/>
      <c r="D141" s="46" t="n"/>
      <c r="E141" s="46" t="n"/>
      <c r="F141" s="51" t="n"/>
      <c r="G141" s="47" t="n"/>
      <c r="H141" s="47" t="n"/>
      <c r="I141" s="43">
        <f>IF($B141="","",N($G141)-N($H141))</f>
        <v/>
      </c>
    </row>
    <row r="142">
      <c r="A142" s="39">
        <f>IF($B142="","",COUNTA($B$4:$B142))</f>
        <v/>
      </c>
      <c r="B142" s="40" t="n"/>
      <c r="C142" s="41" t="n"/>
      <c r="D142" s="41" t="n"/>
      <c r="E142" s="41" t="n"/>
      <c r="F142" s="50" t="n"/>
      <c r="G142" s="42" t="n"/>
      <c r="H142" s="42" t="n"/>
      <c r="I142" s="43">
        <f>IF($B142="","",N($G142)-N($H142))</f>
        <v/>
      </c>
    </row>
    <row r="143">
      <c r="A143" s="39">
        <f>IF($B143="","",COUNTA($B$4:$B143))</f>
        <v/>
      </c>
      <c r="B143" s="45" t="n"/>
      <c r="C143" s="46" t="n"/>
      <c r="D143" s="46" t="n"/>
      <c r="E143" s="46" t="n"/>
      <c r="F143" s="51" t="n"/>
      <c r="G143" s="47" t="n"/>
      <c r="H143" s="47" t="n"/>
      <c r="I143" s="43">
        <f>IF($B143="","",N($G143)-N($H143))</f>
        <v/>
      </c>
    </row>
    <row r="144">
      <c r="A144" s="39">
        <f>IF($B144="","",COUNTA($B$4:$B144))</f>
        <v/>
      </c>
      <c r="B144" s="40" t="n"/>
      <c r="C144" s="41" t="n"/>
      <c r="D144" s="41" t="n"/>
      <c r="E144" s="41" t="n"/>
      <c r="F144" s="50" t="n"/>
      <c r="G144" s="42" t="n"/>
      <c r="H144" s="42" t="n"/>
      <c r="I144" s="43">
        <f>IF($B144="","",N($G144)-N($H144))</f>
        <v/>
      </c>
    </row>
    <row r="145">
      <c r="A145" s="39">
        <f>IF($B145="","",COUNTA($B$4:$B145))</f>
        <v/>
      </c>
      <c r="B145" s="45" t="n"/>
      <c r="C145" s="46" t="n"/>
      <c r="D145" s="46" t="n"/>
      <c r="E145" s="46" t="n"/>
      <c r="F145" s="51" t="n"/>
      <c r="G145" s="47" t="n"/>
      <c r="H145" s="47" t="n"/>
      <c r="I145" s="43">
        <f>IF($B145="","",N($G145)-N($H145))</f>
        <v/>
      </c>
    </row>
    <row r="146">
      <c r="A146" s="39">
        <f>IF($B146="","",COUNTA($B$4:$B146))</f>
        <v/>
      </c>
      <c r="B146" s="40" t="n"/>
      <c r="C146" s="41" t="n"/>
      <c r="D146" s="41" t="n"/>
      <c r="E146" s="41" t="n"/>
      <c r="F146" s="50" t="n"/>
      <c r="G146" s="42" t="n"/>
      <c r="H146" s="42" t="n"/>
      <c r="I146" s="43">
        <f>IF($B146="","",N($G146)-N($H146))</f>
        <v/>
      </c>
    </row>
    <row r="147">
      <c r="A147" s="39">
        <f>IF($B147="","",COUNTA($B$4:$B147))</f>
        <v/>
      </c>
      <c r="B147" s="45" t="n"/>
      <c r="C147" s="46" t="n"/>
      <c r="D147" s="46" t="n"/>
      <c r="E147" s="46" t="n"/>
      <c r="F147" s="51" t="n"/>
      <c r="G147" s="47" t="n"/>
      <c r="H147" s="47" t="n"/>
      <c r="I147" s="43">
        <f>IF($B147="","",N($G147)-N($H147))</f>
        <v/>
      </c>
    </row>
    <row r="148">
      <c r="A148" s="39">
        <f>IF($B148="","",COUNTA($B$4:$B148))</f>
        <v/>
      </c>
      <c r="B148" s="40" t="n"/>
      <c r="C148" s="41" t="n"/>
      <c r="D148" s="41" t="n"/>
      <c r="E148" s="41" t="n"/>
      <c r="F148" s="50" t="n"/>
      <c r="G148" s="42" t="n"/>
      <c r="H148" s="42" t="n"/>
      <c r="I148" s="43">
        <f>IF($B148="","",N($G148)-N($H148))</f>
        <v/>
      </c>
    </row>
    <row r="149">
      <c r="A149" s="39">
        <f>IF($B149="","",COUNTA($B$4:$B149))</f>
        <v/>
      </c>
      <c r="B149" s="45" t="n"/>
      <c r="C149" s="46" t="n"/>
      <c r="D149" s="46" t="n"/>
      <c r="E149" s="46" t="n"/>
      <c r="F149" s="51" t="n"/>
      <c r="G149" s="47" t="n"/>
      <c r="H149" s="47" t="n"/>
      <c r="I149" s="43">
        <f>IF($B149="","",N($G149)-N($H149))</f>
        <v/>
      </c>
    </row>
    <row r="150">
      <c r="A150" s="39">
        <f>IF($B150="","",COUNTA($B$4:$B150))</f>
        <v/>
      </c>
      <c r="B150" s="40" t="n"/>
      <c r="C150" s="41" t="n"/>
      <c r="D150" s="41" t="n"/>
      <c r="E150" s="41" t="n"/>
      <c r="F150" s="50" t="n"/>
      <c r="G150" s="42" t="n"/>
      <c r="H150" s="42" t="n"/>
      <c r="I150" s="43">
        <f>IF($B150="","",N($G150)-N($H150))</f>
        <v/>
      </c>
    </row>
    <row r="151">
      <c r="A151" s="39">
        <f>IF($B151="","",COUNTA($B$4:$B151))</f>
        <v/>
      </c>
      <c r="B151" s="45" t="n"/>
      <c r="C151" s="46" t="n"/>
      <c r="D151" s="46" t="n"/>
      <c r="E151" s="46" t="n"/>
      <c r="F151" s="51" t="n"/>
      <c r="G151" s="47" t="n"/>
      <c r="H151" s="47" t="n"/>
      <c r="I151" s="43">
        <f>IF($B151="","",N($G151)-N($H151))</f>
        <v/>
      </c>
    </row>
    <row r="152">
      <c r="A152" s="39">
        <f>IF($B152="","",COUNTA($B$4:$B152))</f>
        <v/>
      </c>
      <c r="B152" s="40" t="n"/>
      <c r="C152" s="41" t="n"/>
      <c r="D152" s="41" t="n"/>
      <c r="E152" s="41" t="n"/>
      <c r="F152" s="50" t="n"/>
      <c r="G152" s="42" t="n"/>
      <c r="H152" s="42" t="n"/>
      <c r="I152" s="43">
        <f>IF($B152="","",N($G152)-N($H152))</f>
        <v/>
      </c>
    </row>
    <row r="153">
      <c r="A153" s="39">
        <f>IF($B153="","",COUNTA($B$4:$B153))</f>
        <v/>
      </c>
      <c r="B153" s="45" t="n"/>
      <c r="C153" s="46" t="n"/>
      <c r="D153" s="46" t="n"/>
      <c r="E153" s="46" t="n"/>
      <c r="F153" s="51" t="n"/>
      <c r="G153" s="47" t="n"/>
      <c r="H153" s="47" t="n"/>
      <c r="I153" s="43">
        <f>IF($B153="","",N($G153)-N($H153))</f>
        <v/>
      </c>
    </row>
    <row r="154">
      <c r="A154" s="39">
        <f>IF($B154="","",COUNTA($B$4:$B154))</f>
        <v/>
      </c>
      <c r="B154" s="40" t="n"/>
      <c r="C154" s="41" t="n"/>
      <c r="D154" s="41" t="n"/>
      <c r="E154" s="41" t="n"/>
      <c r="F154" s="50" t="n"/>
      <c r="G154" s="42" t="n"/>
      <c r="H154" s="42" t="n"/>
      <c r="I154" s="43">
        <f>IF($B154="","",N($G154)-N($H154))</f>
        <v/>
      </c>
    </row>
    <row r="155">
      <c r="A155" s="39">
        <f>IF($B155="","",COUNTA($B$4:$B155))</f>
        <v/>
      </c>
      <c r="B155" s="45" t="n"/>
      <c r="C155" s="46" t="n"/>
      <c r="D155" s="46" t="n"/>
      <c r="E155" s="46" t="n"/>
      <c r="F155" s="51" t="n"/>
      <c r="G155" s="47" t="n"/>
      <c r="H155" s="47" t="n"/>
      <c r="I155" s="43">
        <f>IF($B155="","",N($G155)-N($H155))</f>
        <v/>
      </c>
    </row>
    <row r="156">
      <c r="A156" s="39">
        <f>IF($B156="","",COUNTA($B$4:$B156))</f>
        <v/>
      </c>
      <c r="B156" s="40" t="n"/>
      <c r="C156" s="41" t="n"/>
      <c r="D156" s="41" t="n"/>
      <c r="E156" s="41" t="n"/>
      <c r="F156" s="50" t="n"/>
      <c r="G156" s="42" t="n"/>
      <c r="H156" s="42" t="n"/>
      <c r="I156" s="43">
        <f>IF($B156="","",N($G156)-N($H156))</f>
        <v/>
      </c>
    </row>
    <row r="157">
      <c r="A157" s="39">
        <f>IF($B157="","",COUNTA($B$4:$B157))</f>
        <v/>
      </c>
      <c r="B157" s="45" t="n"/>
      <c r="C157" s="46" t="n"/>
      <c r="D157" s="46" t="n"/>
      <c r="E157" s="46" t="n"/>
      <c r="F157" s="51" t="n"/>
      <c r="G157" s="47" t="n"/>
      <c r="H157" s="47" t="n"/>
      <c r="I157" s="43">
        <f>IF($B157="","",N($G157)-N($H157))</f>
        <v/>
      </c>
    </row>
    <row r="158">
      <c r="A158" s="39">
        <f>IF($B158="","",COUNTA($B$4:$B158))</f>
        <v/>
      </c>
      <c r="B158" s="40" t="n"/>
      <c r="C158" s="41" t="n"/>
      <c r="D158" s="41" t="n"/>
      <c r="E158" s="41" t="n"/>
      <c r="F158" s="50" t="n"/>
      <c r="G158" s="42" t="n"/>
      <c r="H158" s="42" t="n"/>
      <c r="I158" s="43">
        <f>IF($B158="","",N($G158)-N($H158))</f>
        <v/>
      </c>
    </row>
    <row r="159">
      <c r="A159" s="39">
        <f>IF($B159="","",COUNTA($B$4:$B159))</f>
        <v/>
      </c>
      <c r="B159" s="45" t="n"/>
      <c r="C159" s="46" t="n"/>
      <c r="D159" s="46" t="n"/>
      <c r="E159" s="46" t="n"/>
      <c r="F159" s="51" t="n"/>
      <c r="G159" s="47" t="n"/>
      <c r="H159" s="47" t="n"/>
      <c r="I159" s="43">
        <f>IF($B159="","",N($G159)-N($H159))</f>
        <v/>
      </c>
    </row>
    <row r="160">
      <c r="A160" s="39">
        <f>IF($B160="","",COUNTA($B$4:$B160))</f>
        <v/>
      </c>
      <c r="B160" s="40" t="n"/>
      <c r="C160" s="41" t="n"/>
      <c r="D160" s="41" t="n"/>
      <c r="E160" s="41" t="n"/>
      <c r="F160" s="50" t="n"/>
      <c r="G160" s="42" t="n"/>
      <c r="H160" s="42" t="n"/>
      <c r="I160" s="43">
        <f>IF($B160="","",N($G160)-N($H160))</f>
        <v/>
      </c>
    </row>
    <row r="161">
      <c r="A161" s="39">
        <f>IF($B161="","",COUNTA($B$4:$B161))</f>
        <v/>
      </c>
      <c r="B161" s="45" t="n"/>
      <c r="C161" s="46" t="n"/>
      <c r="D161" s="46" t="n"/>
      <c r="E161" s="46" t="n"/>
      <c r="F161" s="51" t="n"/>
      <c r="G161" s="47" t="n"/>
      <c r="H161" s="47" t="n"/>
      <c r="I161" s="43">
        <f>IF($B161="","",N($G161)-N($H161))</f>
        <v/>
      </c>
    </row>
    <row r="162">
      <c r="A162" s="39">
        <f>IF($B162="","",COUNTA($B$4:$B162))</f>
        <v/>
      </c>
      <c r="B162" s="40" t="n"/>
      <c r="C162" s="41" t="n"/>
      <c r="D162" s="41" t="n"/>
      <c r="E162" s="41" t="n"/>
      <c r="F162" s="50" t="n"/>
      <c r="G162" s="42" t="n"/>
      <c r="H162" s="42" t="n"/>
      <c r="I162" s="43">
        <f>IF($B162="","",N($G162)-N($H162))</f>
        <v/>
      </c>
    </row>
    <row r="163">
      <c r="A163" s="39">
        <f>IF($B163="","",COUNTA($B$4:$B163))</f>
        <v/>
      </c>
      <c r="B163" s="45" t="n"/>
      <c r="C163" s="46" t="n"/>
      <c r="D163" s="46" t="n"/>
      <c r="E163" s="46" t="n"/>
      <c r="F163" s="51" t="n"/>
      <c r="G163" s="47" t="n"/>
      <c r="H163" s="47" t="n"/>
      <c r="I163" s="43">
        <f>IF($B163="","",N($G163)-N($H163))</f>
        <v/>
      </c>
    </row>
    <row r="164">
      <c r="A164" s="39">
        <f>IF($B164="","",COUNTA($B$4:$B164))</f>
        <v/>
      </c>
      <c r="B164" s="40" t="n"/>
      <c r="C164" s="41" t="n"/>
      <c r="D164" s="41" t="n"/>
      <c r="E164" s="41" t="n"/>
      <c r="F164" s="50" t="n"/>
      <c r="G164" s="42" t="n"/>
      <c r="H164" s="42" t="n"/>
      <c r="I164" s="43">
        <f>IF($B164="","",N($G164)-N($H164))</f>
        <v/>
      </c>
    </row>
    <row r="165">
      <c r="A165" s="39">
        <f>IF($B165="","",COUNTA($B$4:$B165))</f>
        <v/>
      </c>
      <c r="B165" s="45" t="n"/>
      <c r="C165" s="46" t="n"/>
      <c r="D165" s="46" t="n"/>
      <c r="E165" s="46" t="n"/>
      <c r="F165" s="51" t="n"/>
      <c r="G165" s="47" t="n"/>
      <c r="H165" s="47" t="n"/>
      <c r="I165" s="43">
        <f>IF($B165="","",N($G165)-N($H165))</f>
        <v/>
      </c>
    </row>
    <row r="166">
      <c r="A166" s="39">
        <f>IF($B166="","",COUNTA($B$4:$B166))</f>
        <v/>
      </c>
      <c r="B166" s="40" t="n"/>
      <c r="C166" s="41" t="n"/>
      <c r="D166" s="41" t="n"/>
      <c r="E166" s="41" t="n"/>
      <c r="F166" s="50" t="n"/>
      <c r="G166" s="42" t="n"/>
      <c r="H166" s="42" t="n"/>
      <c r="I166" s="43">
        <f>IF($B166="","",N($G166)-N($H166))</f>
        <v/>
      </c>
    </row>
    <row r="167">
      <c r="A167" s="39">
        <f>IF($B167="","",COUNTA($B$4:$B167))</f>
        <v/>
      </c>
      <c r="B167" s="45" t="n"/>
      <c r="C167" s="46" t="n"/>
      <c r="D167" s="46" t="n"/>
      <c r="E167" s="46" t="n"/>
      <c r="F167" s="51" t="n"/>
      <c r="G167" s="47" t="n"/>
      <c r="H167" s="47" t="n"/>
      <c r="I167" s="43">
        <f>IF($B167="","",N($G167)-N($H167))</f>
        <v/>
      </c>
    </row>
    <row r="168">
      <c r="A168" s="39">
        <f>IF($B168="","",COUNTA($B$4:$B168))</f>
        <v/>
      </c>
      <c r="B168" s="40" t="n"/>
      <c r="C168" s="41" t="n"/>
      <c r="D168" s="41" t="n"/>
      <c r="E168" s="41" t="n"/>
      <c r="F168" s="50" t="n"/>
      <c r="G168" s="42" t="n"/>
      <c r="H168" s="42" t="n"/>
      <c r="I168" s="43">
        <f>IF($B168="","",N($G168)-N($H168))</f>
        <v/>
      </c>
    </row>
    <row r="169">
      <c r="A169" s="39">
        <f>IF($B169="","",COUNTA($B$4:$B169))</f>
        <v/>
      </c>
      <c r="B169" s="45" t="n"/>
      <c r="C169" s="46" t="n"/>
      <c r="D169" s="46" t="n"/>
      <c r="E169" s="46" t="n"/>
      <c r="F169" s="51" t="n"/>
      <c r="G169" s="47" t="n"/>
      <c r="H169" s="47" t="n"/>
      <c r="I169" s="43">
        <f>IF($B169="","",N($G169)-N($H169))</f>
        <v/>
      </c>
    </row>
    <row r="170">
      <c r="A170" s="39">
        <f>IF($B170="","",COUNTA($B$4:$B170))</f>
        <v/>
      </c>
      <c r="B170" s="40" t="n"/>
      <c r="C170" s="41" t="n"/>
      <c r="D170" s="41" t="n"/>
      <c r="E170" s="41" t="n"/>
      <c r="F170" s="50" t="n"/>
      <c r="G170" s="42" t="n"/>
      <c r="H170" s="42" t="n"/>
      <c r="I170" s="43">
        <f>IF($B170="","",N($G170)-N($H170))</f>
        <v/>
      </c>
    </row>
    <row r="171">
      <c r="A171" s="39">
        <f>IF($B171="","",COUNTA($B$4:$B171))</f>
        <v/>
      </c>
      <c r="B171" s="45" t="n"/>
      <c r="C171" s="46" t="n"/>
      <c r="D171" s="46" t="n"/>
      <c r="E171" s="46" t="n"/>
      <c r="F171" s="51" t="n"/>
      <c r="G171" s="47" t="n"/>
      <c r="H171" s="47" t="n"/>
      <c r="I171" s="43">
        <f>IF($B171="","",N($G171)-N($H171))</f>
        <v/>
      </c>
    </row>
    <row r="172">
      <c r="A172" s="39">
        <f>IF($B172="","",COUNTA($B$4:$B172))</f>
        <v/>
      </c>
      <c r="B172" s="40" t="n"/>
      <c r="C172" s="41" t="n"/>
      <c r="D172" s="41" t="n"/>
      <c r="E172" s="41" t="n"/>
      <c r="F172" s="50" t="n"/>
      <c r="G172" s="42" t="n"/>
      <c r="H172" s="42" t="n"/>
      <c r="I172" s="43">
        <f>IF($B172="","",N($G172)-N($H172))</f>
        <v/>
      </c>
    </row>
    <row r="173">
      <c r="A173" s="39">
        <f>IF($B173="","",COUNTA($B$4:$B173))</f>
        <v/>
      </c>
      <c r="B173" s="45" t="n"/>
      <c r="C173" s="46" t="n"/>
      <c r="D173" s="46" t="n"/>
      <c r="E173" s="46" t="n"/>
      <c r="F173" s="51" t="n"/>
      <c r="G173" s="47" t="n"/>
      <c r="H173" s="47" t="n"/>
      <c r="I173" s="43">
        <f>IF($B173="","",N($G173)-N($H173))</f>
        <v/>
      </c>
    </row>
    <row r="174">
      <c r="A174" s="39">
        <f>IF($B174="","",COUNTA($B$4:$B174))</f>
        <v/>
      </c>
      <c r="B174" s="40" t="n"/>
      <c r="C174" s="41" t="n"/>
      <c r="D174" s="41" t="n"/>
      <c r="E174" s="41" t="n"/>
      <c r="F174" s="50" t="n"/>
      <c r="G174" s="42" t="n"/>
      <c r="H174" s="42" t="n"/>
      <c r="I174" s="43">
        <f>IF($B174="","",N($G174)-N($H174))</f>
        <v/>
      </c>
    </row>
    <row r="175">
      <c r="A175" s="39">
        <f>IF($B175="","",COUNTA($B$4:$B175))</f>
        <v/>
      </c>
      <c r="B175" s="45" t="n"/>
      <c r="C175" s="46" t="n"/>
      <c r="D175" s="46" t="n"/>
      <c r="E175" s="46" t="n"/>
      <c r="F175" s="51" t="n"/>
      <c r="G175" s="47" t="n"/>
      <c r="H175" s="47" t="n"/>
      <c r="I175" s="43">
        <f>IF($B175="","",N($G175)-N($H175))</f>
        <v/>
      </c>
    </row>
    <row r="176">
      <c r="A176" s="39">
        <f>IF($B176="","",COUNTA($B$4:$B176))</f>
        <v/>
      </c>
      <c r="B176" s="40" t="n"/>
      <c r="C176" s="41" t="n"/>
      <c r="D176" s="41" t="n"/>
      <c r="E176" s="41" t="n"/>
      <c r="F176" s="50" t="n"/>
      <c r="G176" s="42" t="n"/>
      <c r="H176" s="42" t="n"/>
      <c r="I176" s="43">
        <f>IF($B176="","",N($G176)-N($H176))</f>
        <v/>
      </c>
    </row>
    <row r="177">
      <c r="A177" s="39">
        <f>IF($B177="","",COUNTA($B$4:$B177))</f>
        <v/>
      </c>
      <c r="B177" s="45" t="n"/>
      <c r="C177" s="46" t="n"/>
      <c r="D177" s="46" t="n"/>
      <c r="E177" s="46" t="n"/>
      <c r="F177" s="51" t="n"/>
      <c r="G177" s="47" t="n"/>
      <c r="H177" s="47" t="n"/>
      <c r="I177" s="43">
        <f>IF($B177="","",N($G177)-N($H177))</f>
        <v/>
      </c>
    </row>
    <row r="178">
      <c r="A178" s="39">
        <f>IF($B178="","",COUNTA($B$4:$B178))</f>
        <v/>
      </c>
      <c r="B178" s="40" t="n"/>
      <c r="C178" s="41" t="n"/>
      <c r="D178" s="41" t="n"/>
      <c r="E178" s="41" t="n"/>
      <c r="F178" s="50" t="n"/>
      <c r="G178" s="42" t="n"/>
      <c r="H178" s="42" t="n"/>
      <c r="I178" s="43">
        <f>IF($B178="","",N($G178)-N($H178))</f>
        <v/>
      </c>
    </row>
    <row r="179">
      <c r="A179" s="39">
        <f>IF($B179="","",COUNTA($B$4:$B179))</f>
        <v/>
      </c>
      <c r="B179" s="45" t="n"/>
      <c r="C179" s="46" t="n"/>
      <c r="D179" s="46" t="n"/>
      <c r="E179" s="46" t="n"/>
      <c r="F179" s="51" t="n"/>
      <c r="G179" s="47" t="n"/>
      <c r="H179" s="47" t="n"/>
      <c r="I179" s="43">
        <f>IF($B179="","",N($G179)-N($H179))</f>
        <v/>
      </c>
    </row>
    <row r="180">
      <c r="A180" s="39">
        <f>IF($B180="","",COUNTA($B$4:$B180))</f>
        <v/>
      </c>
      <c r="B180" s="40" t="n"/>
      <c r="C180" s="41" t="n"/>
      <c r="D180" s="41" t="n"/>
      <c r="E180" s="41" t="n"/>
      <c r="F180" s="50" t="n"/>
      <c r="G180" s="42" t="n"/>
      <c r="H180" s="42" t="n"/>
      <c r="I180" s="43">
        <f>IF($B180="","",N($G180)-N($H180))</f>
        <v/>
      </c>
    </row>
    <row r="181">
      <c r="A181" s="39">
        <f>IF($B181="","",COUNTA($B$4:$B181))</f>
        <v/>
      </c>
      <c r="B181" s="45" t="n"/>
      <c r="C181" s="46" t="n"/>
      <c r="D181" s="46" t="n"/>
      <c r="E181" s="46" t="n"/>
      <c r="F181" s="51" t="n"/>
      <c r="G181" s="47" t="n"/>
      <c r="H181" s="47" t="n"/>
      <c r="I181" s="43">
        <f>IF($B181="","",N($G181)-N($H181))</f>
        <v/>
      </c>
    </row>
    <row r="182">
      <c r="A182" s="39">
        <f>IF($B182="","",COUNTA($B$4:$B182))</f>
        <v/>
      </c>
      <c r="B182" s="40" t="n"/>
      <c r="C182" s="41" t="n"/>
      <c r="D182" s="41" t="n"/>
      <c r="E182" s="41" t="n"/>
      <c r="F182" s="50" t="n"/>
      <c r="G182" s="42" t="n"/>
      <c r="H182" s="42" t="n"/>
      <c r="I182" s="43">
        <f>IF($B182="","",N($G182)-N($H182))</f>
        <v/>
      </c>
    </row>
    <row r="183">
      <c r="A183" s="39">
        <f>IF($B183="","",COUNTA($B$4:$B183))</f>
        <v/>
      </c>
      <c r="B183" s="45" t="n"/>
      <c r="C183" s="46" t="n"/>
      <c r="D183" s="46" t="n"/>
      <c r="E183" s="46" t="n"/>
      <c r="F183" s="51" t="n"/>
      <c r="G183" s="47" t="n"/>
      <c r="H183" s="47" t="n"/>
      <c r="I183" s="43">
        <f>IF($B183="","",N($G183)-N($H183))</f>
        <v/>
      </c>
    </row>
    <row r="184">
      <c r="A184" s="39">
        <f>IF($B184="","",COUNTA($B$4:$B184))</f>
        <v/>
      </c>
      <c r="B184" s="40" t="n"/>
      <c r="C184" s="41" t="n"/>
      <c r="D184" s="41" t="n"/>
      <c r="E184" s="41" t="n"/>
      <c r="F184" s="50" t="n"/>
      <c r="G184" s="42" t="n"/>
      <c r="H184" s="42" t="n"/>
      <c r="I184" s="43">
        <f>IF($B184="","",N($G184)-N($H184))</f>
        <v/>
      </c>
    </row>
    <row r="185">
      <c r="A185" s="39">
        <f>IF($B185="","",COUNTA($B$4:$B185))</f>
        <v/>
      </c>
      <c r="B185" s="45" t="n"/>
      <c r="C185" s="46" t="n"/>
      <c r="D185" s="46" t="n"/>
      <c r="E185" s="46" t="n"/>
      <c r="F185" s="51" t="n"/>
      <c r="G185" s="47" t="n"/>
      <c r="H185" s="47" t="n"/>
      <c r="I185" s="43">
        <f>IF($B185="","",N($G185)-N($H185))</f>
        <v/>
      </c>
    </row>
    <row r="186">
      <c r="A186" s="39">
        <f>IF($B186="","",COUNTA($B$4:$B186))</f>
        <v/>
      </c>
      <c r="B186" s="40" t="n"/>
      <c r="C186" s="41" t="n"/>
      <c r="D186" s="41" t="n"/>
      <c r="E186" s="41" t="n"/>
      <c r="F186" s="50" t="n"/>
      <c r="G186" s="42" t="n"/>
      <c r="H186" s="42" t="n"/>
      <c r="I186" s="43">
        <f>IF($B186="","",N($G186)-N($H186))</f>
        <v/>
      </c>
    </row>
    <row r="187">
      <c r="A187" s="39">
        <f>IF($B187="","",COUNTA($B$4:$B187))</f>
        <v/>
      </c>
      <c r="B187" s="45" t="n"/>
      <c r="C187" s="46" t="n"/>
      <c r="D187" s="46" t="n"/>
      <c r="E187" s="46" t="n"/>
      <c r="F187" s="51" t="n"/>
      <c r="G187" s="47" t="n"/>
      <c r="H187" s="47" t="n"/>
      <c r="I187" s="43">
        <f>IF($B187="","",N($G187)-N($H187))</f>
        <v/>
      </c>
    </row>
    <row r="188">
      <c r="A188" s="39">
        <f>IF($B188="","",COUNTA($B$4:$B188))</f>
        <v/>
      </c>
      <c r="B188" s="40" t="n"/>
      <c r="C188" s="41" t="n"/>
      <c r="D188" s="41" t="n"/>
      <c r="E188" s="41" t="n"/>
      <c r="F188" s="50" t="n"/>
      <c r="G188" s="42" t="n"/>
      <c r="H188" s="42" t="n"/>
      <c r="I188" s="43">
        <f>IF($B188="","",N($G188)-N($H188))</f>
        <v/>
      </c>
    </row>
    <row r="189">
      <c r="A189" s="39">
        <f>IF($B189="","",COUNTA($B$4:$B189))</f>
        <v/>
      </c>
      <c r="B189" s="45" t="n"/>
      <c r="C189" s="46" t="n"/>
      <c r="D189" s="46" t="n"/>
      <c r="E189" s="46" t="n"/>
      <c r="F189" s="51" t="n"/>
      <c r="G189" s="47" t="n"/>
      <c r="H189" s="47" t="n"/>
      <c r="I189" s="43">
        <f>IF($B189="","",N($G189)-N($H189))</f>
        <v/>
      </c>
    </row>
    <row r="190">
      <c r="A190" s="39">
        <f>IF($B190="","",COUNTA($B$4:$B190))</f>
        <v/>
      </c>
      <c r="B190" s="40" t="n"/>
      <c r="C190" s="41" t="n"/>
      <c r="D190" s="41" t="n"/>
      <c r="E190" s="41" t="n"/>
      <c r="F190" s="50" t="n"/>
      <c r="G190" s="42" t="n"/>
      <c r="H190" s="42" t="n"/>
      <c r="I190" s="43">
        <f>IF($B190="","",N($G190)-N($H190))</f>
        <v/>
      </c>
    </row>
    <row r="191">
      <c r="A191" s="39">
        <f>IF($B191="","",COUNTA($B$4:$B191))</f>
        <v/>
      </c>
      <c r="B191" s="45" t="n"/>
      <c r="C191" s="46" t="n"/>
      <c r="D191" s="46" t="n"/>
      <c r="E191" s="46" t="n"/>
      <c r="F191" s="51" t="n"/>
      <c r="G191" s="47" t="n"/>
      <c r="H191" s="47" t="n"/>
      <c r="I191" s="43">
        <f>IF($B191="","",N($G191)-N($H191))</f>
        <v/>
      </c>
    </row>
    <row r="192">
      <c r="A192" s="39">
        <f>IF($B192="","",COUNTA($B$4:$B192))</f>
        <v/>
      </c>
      <c r="B192" s="40" t="n"/>
      <c r="C192" s="41" t="n"/>
      <c r="D192" s="41" t="n"/>
      <c r="E192" s="41" t="n"/>
      <c r="F192" s="50" t="n"/>
      <c r="G192" s="42" t="n"/>
      <c r="H192" s="42" t="n"/>
      <c r="I192" s="43">
        <f>IF($B192="","",N($G192)-N($H192))</f>
        <v/>
      </c>
    </row>
    <row r="193">
      <c r="A193" s="39">
        <f>IF($B193="","",COUNTA($B$4:$B193))</f>
        <v/>
      </c>
      <c r="B193" s="45" t="n"/>
      <c r="C193" s="46" t="n"/>
      <c r="D193" s="46" t="n"/>
      <c r="E193" s="46" t="n"/>
      <c r="F193" s="51" t="n"/>
      <c r="G193" s="47" t="n"/>
      <c r="H193" s="47" t="n"/>
      <c r="I193" s="43">
        <f>IF($B193="","",N($G193)-N($H193))</f>
        <v/>
      </c>
    </row>
    <row r="194">
      <c r="A194" s="39">
        <f>IF($B194="","",COUNTA($B$4:$B194))</f>
        <v/>
      </c>
      <c r="B194" s="40" t="n"/>
      <c r="C194" s="41" t="n"/>
      <c r="D194" s="41" t="n"/>
      <c r="E194" s="41" t="n"/>
      <c r="F194" s="50" t="n"/>
      <c r="G194" s="42" t="n"/>
      <c r="H194" s="42" t="n"/>
      <c r="I194" s="43">
        <f>IF($B194="","",N($G194)-N($H194))</f>
        <v/>
      </c>
    </row>
    <row r="195">
      <c r="A195" s="39">
        <f>IF($B195="","",COUNTA($B$4:$B195))</f>
        <v/>
      </c>
      <c r="B195" s="45" t="n"/>
      <c r="C195" s="46" t="n"/>
      <c r="D195" s="46" t="n"/>
      <c r="E195" s="46" t="n"/>
      <c r="F195" s="51" t="n"/>
      <c r="G195" s="47" t="n"/>
      <c r="H195" s="47" t="n"/>
      <c r="I195" s="43">
        <f>IF($B195="","",N($G195)-N($H195))</f>
        <v/>
      </c>
    </row>
    <row r="196">
      <c r="A196" s="39">
        <f>IF($B196="","",COUNTA($B$4:$B196))</f>
        <v/>
      </c>
      <c r="B196" s="40" t="n"/>
      <c r="C196" s="41" t="n"/>
      <c r="D196" s="41" t="n"/>
      <c r="E196" s="41" t="n"/>
      <c r="F196" s="50" t="n"/>
      <c r="G196" s="42" t="n"/>
      <c r="H196" s="42" t="n"/>
      <c r="I196" s="43">
        <f>IF($B196="","",N($G196)-N($H196))</f>
        <v/>
      </c>
    </row>
    <row r="197">
      <c r="A197" s="39">
        <f>IF($B197="","",COUNTA($B$4:$B197))</f>
        <v/>
      </c>
      <c r="B197" s="45" t="n"/>
      <c r="C197" s="46" t="n"/>
      <c r="D197" s="46" t="n"/>
      <c r="E197" s="46" t="n"/>
      <c r="F197" s="51" t="n"/>
      <c r="G197" s="47" t="n"/>
      <c r="H197" s="47" t="n"/>
      <c r="I197" s="43">
        <f>IF($B197="","",N($G197)-N($H197))</f>
        <v/>
      </c>
    </row>
    <row r="198">
      <c r="A198" s="39">
        <f>IF($B198="","",COUNTA($B$4:$B198))</f>
        <v/>
      </c>
      <c r="B198" s="40" t="n"/>
      <c r="C198" s="41" t="n"/>
      <c r="D198" s="41" t="n"/>
      <c r="E198" s="41" t="n"/>
      <c r="F198" s="50" t="n"/>
      <c r="G198" s="42" t="n"/>
      <c r="H198" s="42" t="n"/>
      <c r="I198" s="43">
        <f>IF($B198="","",N($G198)-N($H198))</f>
        <v/>
      </c>
    </row>
    <row r="199">
      <c r="A199" s="39">
        <f>IF($B199="","",COUNTA($B$4:$B199))</f>
        <v/>
      </c>
      <c r="B199" s="45" t="n"/>
      <c r="C199" s="46" t="n"/>
      <c r="D199" s="46" t="n"/>
      <c r="E199" s="46" t="n"/>
      <c r="F199" s="51" t="n"/>
      <c r="G199" s="47" t="n"/>
      <c r="H199" s="47" t="n"/>
      <c r="I199" s="43">
        <f>IF($B199="","",N($G199)-N($H199))</f>
        <v/>
      </c>
    </row>
    <row r="200">
      <c r="A200" s="39">
        <f>IF($B200="","",COUNTA($B$4:$B200))</f>
        <v/>
      </c>
      <c r="B200" s="40" t="n"/>
      <c r="C200" s="41" t="n"/>
      <c r="D200" s="41" t="n"/>
      <c r="E200" s="41" t="n"/>
      <c r="F200" s="50" t="n"/>
      <c r="G200" s="42" t="n"/>
      <c r="H200" s="42" t="n"/>
      <c r="I200" s="43">
        <f>IF($B200="","",N($G200)-N($H200))</f>
        <v/>
      </c>
    </row>
    <row r="201">
      <c r="A201" s="39">
        <f>IF($B201="","",COUNTA($B$4:$B201))</f>
        <v/>
      </c>
      <c r="B201" s="45" t="n"/>
      <c r="C201" s="46" t="n"/>
      <c r="D201" s="46" t="n"/>
      <c r="E201" s="46" t="n"/>
      <c r="F201" s="51" t="n"/>
      <c r="G201" s="47" t="n"/>
      <c r="H201" s="47" t="n"/>
      <c r="I201" s="43">
        <f>IF($B201="","",N($G201)-N($H201))</f>
        <v/>
      </c>
    </row>
    <row r="202">
      <c r="A202" s="39">
        <f>IF($B202="","",COUNTA($B$4:$B202))</f>
        <v/>
      </c>
      <c r="B202" s="40" t="n"/>
      <c r="C202" s="41" t="n"/>
      <c r="D202" s="41" t="n"/>
      <c r="E202" s="41" t="n"/>
      <c r="F202" s="50" t="n"/>
      <c r="G202" s="42" t="n"/>
      <c r="H202" s="42" t="n"/>
      <c r="I202" s="43">
        <f>IF($B202="","",N($G202)-N($H202))</f>
        <v/>
      </c>
    </row>
    <row r="203">
      <c r="A203" s="39">
        <f>IF($B203="","",COUNTA($B$4:$B203))</f>
        <v/>
      </c>
      <c r="B203" s="45" t="n"/>
      <c r="C203" s="46" t="n"/>
      <c r="D203" s="46" t="n"/>
      <c r="E203" s="46" t="n"/>
      <c r="F203" s="51" t="n"/>
      <c r="G203" s="47" t="n"/>
      <c r="H203" s="47" t="n"/>
      <c r="I203" s="43">
        <f>IF($B203="","",N($G203)-N($H203))</f>
        <v/>
      </c>
    </row>
    <row r="204">
      <c r="A204" s="39">
        <f>IF($B204="","",COUNTA($B$4:$B204))</f>
        <v/>
      </c>
      <c r="B204" s="40" t="n"/>
      <c r="C204" s="41" t="n"/>
      <c r="D204" s="41" t="n"/>
      <c r="E204" s="41" t="n"/>
      <c r="F204" s="50" t="n"/>
      <c r="G204" s="42" t="n"/>
      <c r="H204" s="42" t="n"/>
      <c r="I204" s="43">
        <f>IF($B204="","",N($G204)-N($H204))</f>
        <v/>
      </c>
    </row>
    <row r="205">
      <c r="A205" s="39">
        <f>IF($B205="","",COUNTA($B$4:$B205))</f>
        <v/>
      </c>
      <c r="B205" s="45" t="n"/>
      <c r="C205" s="46" t="n"/>
      <c r="D205" s="46" t="n"/>
      <c r="E205" s="46" t="n"/>
      <c r="F205" s="51" t="n"/>
      <c r="G205" s="47" t="n"/>
      <c r="H205" s="47" t="n"/>
      <c r="I205" s="43">
        <f>IF($B205="","",N($G205)-N($H205))</f>
        <v/>
      </c>
    </row>
    <row r="206">
      <c r="A206" s="39">
        <f>IF($B206="","",COUNTA($B$4:$B206))</f>
        <v/>
      </c>
      <c r="B206" s="40" t="n"/>
      <c r="C206" s="41" t="n"/>
      <c r="D206" s="41" t="n"/>
      <c r="E206" s="41" t="n"/>
      <c r="F206" s="50" t="n"/>
      <c r="G206" s="42" t="n"/>
      <c r="H206" s="42" t="n"/>
      <c r="I206" s="43">
        <f>IF($B206="","",N($G206)-N($H206))</f>
        <v/>
      </c>
    </row>
    <row r="207">
      <c r="A207" s="39">
        <f>IF($B207="","",COUNTA($B$4:$B207))</f>
        <v/>
      </c>
      <c r="B207" s="45" t="n"/>
      <c r="C207" s="46" t="n"/>
      <c r="D207" s="46" t="n"/>
      <c r="E207" s="46" t="n"/>
      <c r="F207" s="51" t="n"/>
      <c r="G207" s="47" t="n"/>
      <c r="H207" s="47" t="n"/>
      <c r="I207" s="43">
        <f>IF($B207="","",N($G207)-N($H207))</f>
        <v/>
      </c>
    </row>
    <row r="208">
      <c r="A208" s="39">
        <f>IF($B208="","",COUNTA($B$4:$B208))</f>
        <v/>
      </c>
      <c r="B208" s="40" t="n"/>
      <c r="C208" s="41" t="n"/>
      <c r="D208" s="41" t="n"/>
      <c r="E208" s="41" t="n"/>
      <c r="F208" s="50" t="n"/>
      <c r="G208" s="42" t="n"/>
      <c r="H208" s="42" t="n"/>
      <c r="I208" s="43">
        <f>IF($B208="","",N($G208)-N($H208))</f>
        <v/>
      </c>
    </row>
    <row r="209">
      <c r="A209" s="39">
        <f>IF($B209="","",COUNTA($B$4:$B209))</f>
        <v/>
      </c>
      <c r="B209" s="45" t="n"/>
      <c r="C209" s="46" t="n"/>
      <c r="D209" s="46" t="n"/>
      <c r="E209" s="46" t="n"/>
      <c r="F209" s="51" t="n"/>
      <c r="G209" s="47" t="n"/>
      <c r="H209" s="47" t="n"/>
      <c r="I209" s="43">
        <f>IF($B209="","",N($G209)-N($H209))</f>
        <v/>
      </c>
    </row>
    <row r="210">
      <c r="A210" s="39">
        <f>IF($B210="","",COUNTA($B$4:$B210))</f>
        <v/>
      </c>
      <c r="B210" s="40" t="n"/>
      <c r="C210" s="41" t="n"/>
      <c r="D210" s="41" t="n"/>
      <c r="E210" s="41" t="n"/>
      <c r="F210" s="50" t="n"/>
      <c r="G210" s="42" t="n"/>
      <c r="H210" s="42" t="n"/>
      <c r="I210" s="43">
        <f>IF($B210="","",N($G210)-N($H210))</f>
        <v/>
      </c>
    </row>
    <row r="211">
      <c r="A211" s="39">
        <f>IF($B211="","",COUNTA($B$4:$B211))</f>
        <v/>
      </c>
      <c r="B211" s="45" t="n"/>
      <c r="C211" s="46" t="n"/>
      <c r="D211" s="46" t="n"/>
      <c r="E211" s="46" t="n"/>
      <c r="F211" s="51" t="n"/>
      <c r="G211" s="47" t="n"/>
      <c r="H211" s="47" t="n"/>
      <c r="I211" s="43">
        <f>IF($B211="","",N($G211)-N($H211))</f>
        <v/>
      </c>
    </row>
    <row r="212">
      <c r="A212" s="39">
        <f>IF($B212="","",COUNTA($B$4:$B212))</f>
        <v/>
      </c>
      <c r="B212" s="40" t="n"/>
      <c r="C212" s="41" t="n"/>
      <c r="D212" s="41" t="n"/>
      <c r="E212" s="41" t="n"/>
      <c r="F212" s="50" t="n"/>
      <c r="G212" s="42" t="n"/>
      <c r="H212" s="42" t="n"/>
      <c r="I212" s="43">
        <f>IF($B212="","",N($G212)-N($H212))</f>
        <v/>
      </c>
    </row>
    <row r="213">
      <c r="A213" s="39">
        <f>IF($B213="","",COUNTA($B$4:$B213))</f>
        <v/>
      </c>
      <c r="B213" s="45" t="n"/>
      <c r="C213" s="46" t="n"/>
      <c r="D213" s="46" t="n"/>
      <c r="E213" s="46" t="n"/>
      <c r="F213" s="51" t="n"/>
      <c r="G213" s="47" t="n"/>
      <c r="H213" s="47" t="n"/>
      <c r="I213" s="43">
        <f>IF($B213="","",N($G213)-N($H213))</f>
        <v/>
      </c>
    </row>
    <row r="214">
      <c r="A214" s="39">
        <f>IF($B214="","",COUNTA($B$4:$B214))</f>
        <v/>
      </c>
      <c r="B214" s="40" t="n"/>
      <c r="C214" s="41" t="n"/>
      <c r="D214" s="41" t="n"/>
      <c r="E214" s="41" t="n"/>
      <c r="F214" s="50" t="n"/>
      <c r="G214" s="42" t="n"/>
      <c r="H214" s="42" t="n"/>
      <c r="I214" s="43">
        <f>IF($B214="","",N($G214)-N($H214))</f>
        <v/>
      </c>
    </row>
    <row r="215">
      <c r="A215" s="39">
        <f>IF($B215="","",COUNTA($B$4:$B215))</f>
        <v/>
      </c>
      <c r="B215" s="45" t="n"/>
      <c r="C215" s="46" t="n"/>
      <c r="D215" s="46" t="n"/>
      <c r="E215" s="46" t="n"/>
      <c r="F215" s="51" t="n"/>
      <c r="G215" s="47" t="n"/>
      <c r="H215" s="47" t="n"/>
      <c r="I215" s="43">
        <f>IF($B215="","",N($G215)-N($H215))</f>
        <v/>
      </c>
    </row>
    <row r="216">
      <c r="A216" s="39">
        <f>IF($B216="","",COUNTA($B$4:$B216))</f>
        <v/>
      </c>
      <c r="B216" s="40" t="n"/>
      <c r="C216" s="41" t="n"/>
      <c r="D216" s="41" t="n"/>
      <c r="E216" s="41" t="n"/>
      <c r="F216" s="50" t="n"/>
      <c r="G216" s="42" t="n"/>
      <c r="H216" s="42" t="n"/>
      <c r="I216" s="43">
        <f>IF($B216="","",N($G216)-N($H216))</f>
        <v/>
      </c>
    </row>
    <row r="217">
      <c r="A217" s="39">
        <f>IF($B217="","",COUNTA($B$4:$B217))</f>
        <v/>
      </c>
      <c r="B217" s="45" t="n"/>
      <c r="C217" s="46" t="n"/>
      <c r="D217" s="46" t="n"/>
      <c r="E217" s="46" t="n"/>
      <c r="F217" s="51" t="n"/>
      <c r="G217" s="47" t="n"/>
      <c r="H217" s="47" t="n"/>
      <c r="I217" s="43">
        <f>IF($B217="","",N($G217)-N($H217))</f>
        <v/>
      </c>
    </row>
    <row r="218">
      <c r="A218" s="39">
        <f>IF($B218="","",COUNTA($B$4:$B218))</f>
        <v/>
      </c>
      <c r="B218" s="40" t="n"/>
      <c r="C218" s="41" t="n"/>
      <c r="D218" s="41" t="n"/>
      <c r="E218" s="41" t="n"/>
      <c r="F218" s="50" t="n"/>
      <c r="G218" s="42" t="n"/>
      <c r="H218" s="42" t="n"/>
      <c r="I218" s="43">
        <f>IF($B218="","",N($G218)-N($H218))</f>
        <v/>
      </c>
    </row>
    <row r="219">
      <c r="A219" s="39">
        <f>IF($B219="","",COUNTA($B$4:$B219))</f>
        <v/>
      </c>
      <c r="B219" s="45" t="n"/>
      <c r="C219" s="46" t="n"/>
      <c r="D219" s="46" t="n"/>
      <c r="E219" s="46" t="n"/>
      <c r="F219" s="51" t="n"/>
      <c r="G219" s="47" t="n"/>
      <c r="H219" s="47" t="n"/>
      <c r="I219" s="43">
        <f>IF($B219="","",N($G219)-N($H219))</f>
        <v/>
      </c>
    </row>
    <row r="220">
      <c r="A220" s="39">
        <f>IF($B220="","",COUNTA($B$4:$B220))</f>
        <v/>
      </c>
      <c r="B220" s="40" t="n"/>
      <c r="C220" s="41" t="n"/>
      <c r="D220" s="41" t="n"/>
      <c r="E220" s="41" t="n"/>
      <c r="F220" s="50" t="n"/>
      <c r="G220" s="42" t="n"/>
      <c r="H220" s="42" t="n"/>
      <c r="I220" s="43">
        <f>IF($B220="","",N($G220)-N($H220))</f>
        <v/>
      </c>
    </row>
    <row r="221">
      <c r="A221" s="39">
        <f>IF($B221="","",COUNTA($B$4:$B221))</f>
        <v/>
      </c>
      <c r="B221" s="45" t="n"/>
      <c r="C221" s="46" t="n"/>
      <c r="D221" s="46" t="n"/>
      <c r="E221" s="46" t="n"/>
      <c r="F221" s="51" t="n"/>
      <c r="G221" s="47" t="n"/>
      <c r="H221" s="47" t="n"/>
      <c r="I221" s="43">
        <f>IF($B221="","",N($G221)-N($H221))</f>
        <v/>
      </c>
    </row>
    <row r="222">
      <c r="A222" s="39">
        <f>IF($B222="","",COUNTA($B$4:$B222))</f>
        <v/>
      </c>
      <c r="B222" s="40" t="n"/>
      <c r="C222" s="41" t="n"/>
      <c r="D222" s="41" t="n"/>
      <c r="E222" s="41" t="n"/>
      <c r="F222" s="50" t="n"/>
      <c r="G222" s="42" t="n"/>
      <c r="H222" s="42" t="n"/>
      <c r="I222" s="43">
        <f>IF($B222="","",N($G222)-N($H222))</f>
        <v/>
      </c>
    </row>
    <row r="223">
      <c r="A223" s="39">
        <f>IF($B223="","",COUNTA($B$4:$B223))</f>
        <v/>
      </c>
      <c r="B223" s="45" t="n"/>
      <c r="C223" s="46" t="n"/>
      <c r="D223" s="46" t="n"/>
      <c r="E223" s="46" t="n"/>
      <c r="F223" s="51" t="n"/>
      <c r="G223" s="47" t="n"/>
      <c r="H223" s="47" t="n"/>
      <c r="I223" s="43">
        <f>IF($B223="","",N($G223)-N($H223))</f>
        <v/>
      </c>
    </row>
    <row r="224">
      <c r="A224" s="39">
        <f>IF($B224="","",COUNTA($B$4:$B224))</f>
        <v/>
      </c>
      <c r="B224" s="40" t="n"/>
      <c r="C224" s="41" t="n"/>
      <c r="D224" s="41" t="n"/>
      <c r="E224" s="41" t="n"/>
      <c r="F224" s="50" t="n"/>
      <c r="G224" s="42" t="n"/>
      <c r="H224" s="42" t="n"/>
      <c r="I224" s="43">
        <f>IF($B224="","",N($G224)-N($H224))</f>
        <v/>
      </c>
    </row>
    <row r="225">
      <c r="A225" s="39">
        <f>IF($B225="","",COUNTA($B$4:$B225))</f>
        <v/>
      </c>
      <c r="B225" s="45" t="n"/>
      <c r="C225" s="46" t="n"/>
      <c r="D225" s="46" t="n"/>
      <c r="E225" s="46" t="n"/>
      <c r="F225" s="51" t="n"/>
      <c r="G225" s="47" t="n"/>
      <c r="H225" s="47" t="n"/>
      <c r="I225" s="43">
        <f>IF($B225="","",N($G225)-N($H225))</f>
        <v/>
      </c>
    </row>
    <row r="226">
      <c r="A226" s="39">
        <f>IF($B226="","",COUNTA($B$4:$B226))</f>
        <v/>
      </c>
      <c r="B226" s="40" t="n"/>
      <c r="C226" s="41" t="n"/>
      <c r="D226" s="41" t="n"/>
      <c r="E226" s="41" t="n"/>
      <c r="F226" s="50" t="n"/>
      <c r="G226" s="42" t="n"/>
      <c r="H226" s="42" t="n"/>
      <c r="I226" s="43">
        <f>IF($B226="","",N($G226)-N($H226))</f>
        <v/>
      </c>
    </row>
    <row r="227">
      <c r="A227" s="39">
        <f>IF($B227="","",COUNTA($B$4:$B227))</f>
        <v/>
      </c>
      <c r="B227" s="45" t="n"/>
      <c r="C227" s="46" t="n"/>
      <c r="D227" s="46" t="n"/>
      <c r="E227" s="46" t="n"/>
      <c r="F227" s="51" t="n"/>
      <c r="G227" s="47" t="n"/>
      <c r="H227" s="47" t="n"/>
      <c r="I227" s="43">
        <f>IF($B227="","",N($G227)-N($H227))</f>
        <v/>
      </c>
    </row>
    <row r="228">
      <c r="A228" s="39">
        <f>IF($B228="","",COUNTA($B$4:$B228))</f>
        <v/>
      </c>
      <c r="B228" s="40" t="n"/>
      <c r="C228" s="41" t="n"/>
      <c r="D228" s="41" t="n"/>
      <c r="E228" s="41" t="n"/>
      <c r="F228" s="50" t="n"/>
      <c r="G228" s="42" t="n"/>
      <c r="H228" s="42" t="n"/>
      <c r="I228" s="43">
        <f>IF($B228="","",N($G228)-N($H228))</f>
        <v/>
      </c>
    </row>
    <row r="229">
      <c r="A229" s="39">
        <f>IF($B229="","",COUNTA($B$4:$B229))</f>
        <v/>
      </c>
      <c r="B229" s="45" t="n"/>
      <c r="C229" s="46" t="n"/>
      <c r="D229" s="46" t="n"/>
      <c r="E229" s="46" t="n"/>
      <c r="F229" s="51" t="n"/>
      <c r="G229" s="47" t="n"/>
      <c r="H229" s="47" t="n"/>
      <c r="I229" s="43">
        <f>IF($B229="","",N($G229)-N($H229))</f>
        <v/>
      </c>
    </row>
    <row r="230">
      <c r="A230" s="39">
        <f>IF($B230="","",COUNTA($B$4:$B230))</f>
        <v/>
      </c>
      <c r="B230" s="40" t="n"/>
      <c r="C230" s="41" t="n"/>
      <c r="D230" s="41" t="n"/>
      <c r="E230" s="41" t="n"/>
      <c r="F230" s="50" t="n"/>
      <c r="G230" s="42" t="n"/>
      <c r="H230" s="42" t="n"/>
      <c r="I230" s="43">
        <f>IF($B230="","",N($G230)-N($H230))</f>
        <v/>
      </c>
    </row>
    <row r="231">
      <c r="A231" s="39">
        <f>IF($B231="","",COUNTA($B$4:$B231))</f>
        <v/>
      </c>
      <c r="B231" s="45" t="n"/>
      <c r="C231" s="46" t="n"/>
      <c r="D231" s="46" t="n"/>
      <c r="E231" s="46" t="n"/>
      <c r="F231" s="51" t="n"/>
      <c r="G231" s="47" t="n"/>
      <c r="H231" s="47" t="n"/>
      <c r="I231" s="43">
        <f>IF($B231="","",N($G231)-N($H231))</f>
        <v/>
      </c>
    </row>
    <row r="232">
      <c r="A232" s="39">
        <f>IF($B232="","",COUNTA($B$4:$B232))</f>
        <v/>
      </c>
      <c r="B232" s="40" t="n"/>
      <c r="C232" s="41" t="n"/>
      <c r="D232" s="41" t="n"/>
      <c r="E232" s="41" t="n"/>
      <c r="F232" s="50" t="n"/>
      <c r="G232" s="42" t="n"/>
      <c r="H232" s="42" t="n"/>
      <c r="I232" s="43">
        <f>IF($B232="","",N($G232)-N($H232))</f>
        <v/>
      </c>
    </row>
    <row r="233">
      <c r="A233" s="39">
        <f>IF($B233="","",COUNTA($B$4:$B233))</f>
        <v/>
      </c>
      <c r="B233" s="45" t="n"/>
      <c r="C233" s="46" t="n"/>
      <c r="D233" s="46" t="n"/>
      <c r="E233" s="46" t="n"/>
      <c r="F233" s="51" t="n"/>
      <c r="G233" s="47" t="n"/>
      <c r="H233" s="47" t="n"/>
      <c r="I233" s="43">
        <f>IF($B233="","",N($G233)-N($H233))</f>
        <v/>
      </c>
    </row>
    <row r="234">
      <c r="A234" s="39">
        <f>IF($B234="","",COUNTA($B$4:$B234))</f>
        <v/>
      </c>
      <c r="B234" s="40" t="n"/>
      <c r="C234" s="41" t="n"/>
      <c r="D234" s="41" t="n"/>
      <c r="E234" s="41" t="n"/>
      <c r="F234" s="50" t="n"/>
      <c r="G234" s="42" t="n"/>
      <c r="H234" s="42" t="n"/>
      <c r="I234" s="43">
        <f>IF($B234="","",N($G234)-N($H234))</f>
        <v/>
      </c>
    </row>
    <row r="235">
      <c r="A235" s="39">
        <f>IF($B235="","",COUNTA($B$4:$B235))</f>
        <v/>
      </c>
      <c r="B235" s="45" t="n"/>
      <c r="C235" s="46" t="n"/>
      <c r="D235" s="46" t="n"/>
      <c r="E235" s="46" t="n"/>
      <c r="F235" s="51" t="n"/>
      <c r="G235" s="47" t="n"/>
      <c r="H235" s="47" t="n"/>
      <c r="I235" s="43">
        <f>IF($B235="","",N($G235)-N($H235))</f>
        <v/>
      </c>
    </row>
    <row r="236">
      <c r="A236" s="39">
        <f>IF($B236="","",COUNTA($B$4:$B236))</f>
        <v/>
      </c>
      <c r="B236" s="40" t="n"/>
      <c r="C236" s="41" t="n"/>
      <c r="D236" s="41" t="n"/>
      <c r="E236" s="41" t="n"/>
      <c r="F236" s="50" t="n"/>
      <c r="G236" s="42" t="n"/>
      <c r="H236" s="42" t="n"/>
      <c r="I236" s="43">
        <f>IF($B236="","",N($G236)-N($H236))</f>
        <v/>
      </c>
    </row>
    <row r="237">
      <c r="A237" s="39">
        <f>IF($B237="","",COUNTA($B$4:$B237))</f>
        <v/>
      </c>
      <c r="B237" s="45" t="n"/>
      <c r="C237" s="46" t="n"/>
      <c r="D237" s="46" t="n"/>
      <c r="E237" s="46" t="n"/>
      <c r="F237" s="51" t="n"/>
      <c r="G237" s="47" t="n"/>
      <c r="H237" s="47" t="n"/>
      <c r="I237" s="43">
        <f>IF($B237="","",N($G237)-N($H237))</f>
        <v/>
      </c>
    </row>
    <row r="238">
      <c r="A238" s="39">
        <f>IF($B238="","",COUNTA($B$4:$B238))</f>
        <v/>
      </c>
      <c r="B238" s="40" t="n"/>
      <c r="C238" s="41" t="n"/>
      <c r="D238" s="41" t="n"/>
      <c r="E238" s="41" t="n"/>
      <c r="F238" s="50" t="n"/>
      <c r="G238" s="42" t="n"/>
      <c r="H238" s="42" t="n"/>
      <c r="I238" s="43">
        <f>IF($B238="","",N($G238)-N($H238))</f>
        <v/>
      </c>
    </row>
    <row r="239">
      <c r="A239" s="39">
        <f>IF($B239="","",COUNTA($B$4:$B239))</f>
        <v/>
      </c>
      <c r="B239" s="45" t="n"/>
      <c r="C239" s="46" t="n"/>
      <c r="D239" s="46" t="n"/>
      <c r="E239" s="46" t="n"/>
      <c r="F239" s="51" t="n"/>
      <c r="G239" s="47" t="n"/>
      <c r="H239" s="47" t="n"/>
      <c r="I239" s="43">
        <f>IF($B239="","",N($G239)-N($H239))</f>
        <v/>
      </c>
    </row>
    <row r="240">
      <c r="A240" s="39">
        <f>IF($B240="","",COUNTA($B$4:$B240))</f>
        <v/>
      </c>
      <c r="B240" s="40" t="n"/>
      <c r="C240" s="41" t="n"/>
      <c r="D240" s="41" t="n"/>
      <c r="E240" s="41" t="n"/>
      <c r="F240" s="50" t="n"/>
      <c r="G240" s="42" t="n"/>
      <c r="H240" s="42" t="n"/>
      <c r="I240" s="43">
        <f>IF($B240="","",N($G240)-N($H240))</f>
        <v/>
      </c>
    </row>
    <row r="241">
      <c r="A241" s="39">
        <f>IF($B241="","",COUNTA($B$4:$B241))</f>
        <v/>
      </c>
      <c r="B241" s="45" t="n"/>
      <c r="C241" s="46" t="n"/>
      <c r="D241" s="46" t="n"/>
      <c r="E241" s="46" t="n"/>
      <c r="F241" s="51" t="n"/>
      <c r="G241" s="47" t="n"/>
      <c r="H241" s="47" t="n"/>
      <c r="I241" s="43">
        <f>IF($B241="","",N($G241)-N($H241))</f>
        <v/>
      </c>
    </row>
    <row r="242">
      <c r="A242" s="39">
        <f>IF($B242="","",COUNTA($B$4:$B242))</f>
        <v/>
      </c>
      <c r="B242" s="40" t="n"/>
      <c r="C242" s="41" t="n"/>
      <c r="D242" s="41" t="n"/>
      <c r="E242" s="41" t="n"/>
      <c r="F242" s="50" t="n"/>
      <c r="G242" s="42" t="n"/>
      <c r="H242" s="42" t="n"/>
      <c r="I242" s="43">
        <f>IF($B242="","",N($G242)-N($H242))</f>
        <v/>
      </c>
    </row>
    <row r="243">
      <c r="A243" s="39">
        <f>IF($B243="","",COUNTA($B$4:$B243))</f>
        <v/>
      </c>
      <c r="B243" s="45" t="n"/>
      <c r="C243" s="46" t="n"/>
      <c r="D243" s="46" t="n"/>
      <c r="E243" s="46" t="n"/>
      <c r="F243" s="51" t="n"/>
      <c r="G243" s="47" t="n"/>
      <c r="H243" s="47" t="n"/>
      <c r="I243" s="43">
        <f>IF($B243="","",N($G243)-N($H243))</f>
        <v/>
      </c>
    </row>
    <row r="244">
      <c r="A244" s="39">
        <f>IF($B244="","",COUNTA($B$4:$B244))</f>
        <v/>
      </c>
      <c r="B244" s="40" t="n"/>
      <c r="C244" s="41" t="n"/>
      <c r="D244" s="41" t="n"/>
      <c r="E244" s="41" t="n"/>
      <c r="F244" s="50" t="n"/>
      <c r="G244" s="42" t="n"/>
      <c r="H244" s="42" t="n"/>
      <c r="I244" s="43">
        <f>IF($B244="","",N($G244)-N($H244))</f>
        <v/>
      </c>
    </row>
    <row r="245">
      <c r="A245" s="39">
        <f>IF($B245="","",COUNTA($B$4:$B245))</f>
        <v/>
      </c>
      <c r="B245" s="45" t="n"/>
      <c r="C245" s="46" t="n"/>
      <c r="D245" s="46" t="n"/>
      <c r="E245" s="46" t="n"/>
      <c r="F245" s="51" t="n"/>
      <c r="G245" s="47" t="n"/>
      <c r="H245" s="47" t="n"/>
      <c r="I245" s="43">
        <f>IF($B245="","",N($G245)-N($H245))</f>
        <v/>
      </c>
    </row>
    <row r="246">
      <c r="A246" s="39">
        <f>IF($B246="","",COUNTA($B$4:$B246))</f>
        <v/>
      </c>
      <c r="B246" s="40" t="n"/>
      <c r="C246" s="41" t="n"/>
      <c r="D246" s="41" t="n"/>
      <c r="E246" s="41" t="n"/>
      <c r="F246" s="50" t="n"/>
      <c r="G246" s="42" t="n"/>
      <c r="H246" s="42" t="n"/>
      <c r="I246" s="43">
        <f>IF($B246="","",N($G246)-N($H246))</f>
        <v/>
      </c>
    </row>
    <row r="247">
      <c r="A247" s="39">
        <f>IF($B247="","",COUNTA($B$4:$B247))</f>
        <v/>
      </c>
      <c r="B247" s="45" t="n"/>
      <c r="C247" s="46" t="n"/>
      <c r="D247" s="46" t="n"/>
      <c r="E247" s="46" t="n"/>
      <c r="F247" s="51" t="n"/>
      <c r="G247" s="47" t="n"/>
      <c r="H247" s="47" t="n"/>
      <c r="I247" s="43">
        <f>IF($B247="","",N($G247)-N($H247))</f>
        <v/>
      </c>
    </row>
    <row r="248">
      <c r="A248" s="39">
        <f>IF($B248="","",COUNTA($B$4:$B248))</f>
        <v/>
      </c>
      <c r="B248" s="40" t="n"/>
      <c r="C248" s="41" t="n"/>
      <c r="D248" s="41" t="n"/>
      <c r="E248" s="41" t="n"/>
      <c r="F248" s="50" t="n"/>
      <c r="G248" s="42" t="n"/>
      <c r="H248" s="42" t="n"/>
      <c r="I248" s="43">
        <f>IF($B248="","",N($G248)-N($H248))</f>
        <v/>
      </c>
    </row>
    <row r="249">
      <c r="A249" s="39">
        <f>IF($B249="","",COUNTA($B$4:$B249))</f>
        <v/>
      </c>
      <c r="B249" s="45" t="n"/>
      <c r="C249" s="46" t="n"/>
      <c r="D249" s="46" t="n"/>
      <c r="E249" s="46" t="n"/>
      <c r="F249" s="51" t="n"/>
      <c r="G249" s="47" t="n"/>
      <c r="H249" s="47" t="n"/>
      <c r="I249" s="43">
        <f>IF($B249="","",N($G249)-N($H249))</f>
        <v/>
      </c>
    </row>
    <row r="250">
      <c r="A250" s="39">
        <f>IF($B250="","",COUNTA($B$4:$B250))</f>
        <v/>
      </c>
      <c r="B250" s="40" t="n"/>
      <c r="C250" s="41" t="n"/>
      <c r="D250" s="41" t="n"/>
      <c r="E250" s="41" t="n"/>
      <c r="F250" s="50" t="n"/>
      <c r="G250" s="42" t="n"/>
      <c r="H250" s="42" t="n"/>
      <c r="I250" s="43">
        <f>IF($B250="","",N($G250)-N($H250))</f>
        <v/>
      </c>
    </row>
    <row r="251">
      <c r="A251" s="39">
        <f>IF($B251="","",COUNTA($B$4:$B251))</f>
        <v/>
      </c>
      <c r="B251" s="45" t="n"/>
      <c r="C251" s="46" t="n"/>
      <c r="D251" s="46" t="n"/>
      <c r="E251" s="46" t="n"/>
      <c r="F251" s="51" t="n"/>
      <c r="G251" s="47" t="n"/>
      <c r="H251" s="47" t="n"/>
      <c r="I251" s="43">
        <f>IF($B251="","",N($G251)-N($H251))</f>
        <v/>
      </c>
    </row>
    <row r="252">
      <c r="A252" s="39">
        <f>IF($B252="","",COUNTA($B$4:$B252))</f>
        <v/>
      </c>
      <c r="B252" s="40" t="n"/>
      <c r="C252" s="41" t="n"/>
      <c r="D252" s="41" t="n"/>
      <c r="E252" s="41" t="n"/>
      <c r="F252" s="50" t="n"/>
      <c r="G252" s="42" t="n"/>
      <c r="H252" s="42" t="n"/>
      <c r="I252" s="43">
        <f>IF($B252="","",N($G252)-N($H252))</f>
        <v/>
      </c>
    </row>
    <row r="253">
      <c r="A253" s="39">
        <f>IF($B253="","",COUNTA($B$4:$B253))</f>
        <v/>
      </c>
      <c r="B253" s="45" t="n"/>
      <c r="C253" s="46" t="n"/>
      <c r="D253" s="46" t="n"/>
      <c r="E253" s="46" t="n"/>
      <c r="F253" s="51" t="n"/>
      <c r="G253" s="47" t="n"/>
      <c r="H253" s="47" t="n"/>
      <c r="I253" s="43">
        <f>IF($B253="","",N($G253)-N($H253))</f>
        <v/>
      </c>
    </row>
    <row r="254">
      <c r="A254" s="39">
        <f>IF($B254="","",COUNTA($B$4:$B254))</f>
        <v/>
      </c>
      <c r="B254" s="40" t="n"/>
      <c r="C254" s="41" t="n"/>
      <c r="D254" s="41" t="n"/>
      <c r="E254" s="41" t="n"/>
      <c r="F254" s="50" t="n"/>
      <c r="G254" s="42" t="n"/>
      <c r="H254" s="42" t="n"/>
      <c r="I254" s="43">
        <f>IF($B254="","",N($G254)-N($H254))</f>
        <v/>
      </c>
    </row>
    <row r="255">
      <c r="A255" s="39">
        <f>IF($B255="","",COUNTA($B$4:$B255))</f>
        <v/>
      </c>
      <c r="B255" s="45" t="n"/>
      <c r="C255" s="46" t="n"/>
      <c r="D255" s="46" t="n"/>
      <c r="E255" s="46" t="n"/>
      <c r="F255" s="51" t="n"/>
      <c r="G255" s="47" t="n"/>
      <c r="H255" s="47" t="n"/>
      <c r="I255" s="43">
        <f>IF($B255="","",N($G255)-N($H255))</f>
        <v/>
      </c>
    </row>
    <row r="256">
      <c r="A256" s="39">
        <f>IF($B256="","",COUNTA($B$4:$B256))</f>
        <v/>
      </c>
      <c r="B256" s="40" t="n"/>
      <c r="C256" s="41" t="n"/>
      <c r="D256" s="41" t="n"/>
      <c r="E256" s="41" t="n"/>
      <c r="F256" s="50" t="n"/>
      <c r="G256" s="42" t="n"/>
      <c r="H256" s="42" t="n"/>
      <c r="I256" s="43">
        <f>IF($B256="","",N($G256)-N($H256))</f>
        <v/>
      </c>
    </row>
    <row r="257">
      <c r="A257" s="39">
        <f>IF($B257="","",COUNTA($B$4:$B257))</f>
        <v/>
      </c>
      <c r="B257" s="45" t="n"/>
      <c r="C257" s="46" t="n"/>
      <c r="D257" s="46" t="n"/>
      <c r="E257" s="46" t="n"/>
      <c r="F257" s="51" t="n"/>
      <c r="G257" s="47" t="n"/>
      <c r="H257" s="47" t="n"/>
      <c r="I257" s="43">
        <f>IF($B257="","",N($G257)-N($H257))</f>
        <v/>
      </c>
    </row>
    <row r="258">
      <c r="A258" s="39">
        <f>IF($B258="","",COUNTA($B$4:$B258))</f>
        <v/>
      </c>
      <c r="B258" s="40" t="n"/>
      <c r="C258" s="41" t="n"/>
      <c r="D258" s="41" t="n"/>
      <c r="E258" s="41" t="n"/>
      <c r="F258" s="50" t="n"/>
      <c r="G258" s="42" t="n"/>
      <c r="H258" s="42" t="n"/>
      <c r="I258" s="43">
        <f>IF($B258="","",N($G258)-N($H258))</f>
        <v/>
      </c>
    </row>
    <row r="259">
      <c r="A259" s="39">
        <f>IF($B259="","",COUNTA($B$4:$B259))</f>
        <v/>
      </c>
      <c r="B259" s="45" t="n"/>
      <c r="C259" s="46" t="n"/>
      <c r="D259" s="46" t="n"/>
      <c r="E259" s="46" t="n"/>
      <c r="F259" s="51" t="n"/>
      <c r="G259" s="47" t="n"/>
      <c r="H259" s="47" t="n"/>
      <c r="I259" s="43">
        <f>IF($B259="","",N($G259)-N($H259))</f>
        <v/>
      </c>
    </row>
    <row r="260">
      <c r="A260" s="39">
        <f>IF($B260="","",COUNTA($B$4:$B260))</f>
        <v/>
      </c>
      <c r="B260" s="40" t="n"/>
      <c r="C260" s="41" t="n"/>
      <c r="D260" s="41" t="n"/>
      <c r="E260" s="41" t="n"/>
      <c r="F260" s="50" t="n"/>
      <c r="G260" s="42" t="n"/>
      <c r="H260" s="42" t="n"/>
      <c r="I260" s="43">
        <f>IF($B260="","",N($G260)-N($H260))</f>
        <v/>
      </c>
    </row>
    <row r="261">
      <c r="A261" s="39">
        <f>IF($B261="","",COUNTA($B$4:$B261))</f>
        <v/>
      </c>
      <c r="B261" s="45" t="n"/>
      <c r="C261" s="46" t="n"/>
      <c r="D261" s="46" t="n"/>
      <c r="E261" s="46" t="n"/>
      <c r="F261" s="51" t="n"/>
      <c r="G261" s="47" t="n"/>
      <c r="H261" s="47" t="n"/>
      <c r="I261" s="43">
        <f>IF($B261="","",N($G261)-N($H261))</f>
        <v/>
      </c>
    </row>
    <row r="262">
      <c r="A262" s="39">
        <f>IF($B262="","",COUNTA($B$4:$B262))</f>
        <v/>
      </c>
      <c r="B262" s="40" t="n"/>
      <c r="C262" s="41" t="n"/>
      <c r="D262" s="41" t="n"/>
      <c r="E262" s="41" t="n"/>
      <c r="F262" s="50" t="n"/>
      <c r="G262" s="42" t="n"/>
      <c r="H262" s="42" t="n"/>
      <c r="I262" s="43">
        <f>IF($B262="","",N($G262)-N($H262))</f>
        <v/>
      </c>
    </row>
    <row r="263">
      <c r="A263" s="39">
        <f>IF($B263="","",COUNTA($B$4:$B263))</f>
        <v/>
      </c>
      <c r="B263" s="45" t="n"/>
      <c r="C263" s="46" t="n"/>
      <c r="D263" s="46" t="n"/>
      <c r="E263" s="46" t="n"/>
      <c r="F263" s="51" t="n"/>
      <c r="G263" s="47" t="n"/>
      <c r="H263" s="47" t="n"/>
      <c r="I263" s="43">
        <f>IF($B263="","",N($G263)-N($H263))</f>
        <v/>
      </c>
    </row>
    <row r="264">
      <c r="A264" s="39">
        <f>IF($B264="","",COUNTA($B$4:$B264))</f>
        <v/>
      </c>
      <c r="B264" s="40" t="n"/>
      <c r="C264" s="41" t="n"/>
      <c r="D264" s="41" t="n"/>
      <c r="E264" s="41" t="n"/>
      <c r="F264" s="50" t="n"/>
      <c r="G264" s="42" t="n"/>
      <c r="H264" s="42" t="n"/>
      <c r="I264" s="43">
        <f>IF($B264="","",N($G264)-N($H264))</f>
        <v/>
      </c>
    </row>
    <row r="265">
      <c r="A265" s="39">
        <f>IF($B265="","",COUNTA($B$4:$B265))</f>
        <v/>
      </c>
      <c r="B265" s="45" t="n"/>
      <c r="C265" s="46" t="n"/>
      <c r="D265" s="46" t="n"/>
      <c r="E265" s="46" t="n"/>
      <c r="F265" s="51" t="n"/>
      <c r="G265" s="47" t="n"/>
      <c r="H265" s="47" t="n"/>
      <c r="I265" s="43">
        <f>IF($B265="","",N($G265)-N($H265))</f>
        <v/>
      </c>
    </row>
    <row r="266">
      <c r="A266" s="39">
        <f>IF($B266="","",COUNTA($B$4:$B266))</f>
        <v/>
      </c>
      <c r="B266" s="40" t="n"/>
      <c r="C266" s="41" t="n"/>
      <c r="D266" s="41" t="n"/>
      <c r="E266" s="41" t="n"/>
      <c r="F266" s="50" t="n"/>
      <c r="G266" s="42" t="n"/>
      <c r="H266" s="42" t="n"/>
      <c r="I266" s="43">
        <f>IF($B266="","",N($G266)-N($H266))</f>
        <v/>
      </c>
    </row>
    <row r="267">
      <c r="A267" s="39">
        <f>IF($B267="","",COUNTA($B$4:$B267))</f>
        <v/>
      </c>
      <c r="B267" s="45" t="n"/>
      <c r="C267" s="46" t="n"/>
      <c r="D267" s="46" t="n"/>
      <c r="E267" s="46" t="n"/>
      <c r="F267" s="51" t="n"/>
      <c r="G267" s="47" t="n"/>
      <c r="H267" s="47" t="n"/>
      <c r="I267" s="43">
        <f>IF($B267="","",N($G267)-N($H267))</f>
        <v/>
      </c>
    </row>
    <row r="268">
      <c r="A268" s="39">
        <f>IF($B268="","",COUNTA($B$4:$B268))</f>
        <v/>
      </c>
      <c r="B268" s="40" t="n"/>
      <c r="C268" s="41" t="n"/>
      <c r="D268" s="41" t="n"/>
      <c r="E268" s="41" t="n"/>
      <c r="F268" s="50" t="n"/>
      <c r="G268" s="42" t="n"/>
      <c r="H268" s="42" t="n"/>
      <c r="I268" s="43">
        <f>IF($B268="","",N($G268)-N($H268))</f>
        <v/>
      </c>
    </row>
    <row r="269">
      <c r="A269" s="39">
        <f>IF($B269="","",COUNTA($B$4:$B269))</f>
        <v/>
      </c>
      <c r="B269" s="45" t="n"/>
      <c r="C269" s="46" t="n"/>
      <c r="D269" s="46" t="n"/>
      <c r="E269" s="46" t="n"/>
      <c r="F269" s="51" t="n"/>
      <c r="G269" s="47" t="n"/>
      <c r="H269" s="47" t="n"/>
      <c r="I269" s="43">
        <f>IF($B269="","",N($G269)-N($H269))</f>
        <v/>
      </c>
    </row>
    <row r="270">
      <c r="A270" s="39">
        <f>IF($B270="","",COUNTA($B$4:$B270))</f>
        <v/>
      </c>
      <c r="B270" s="40" t="n"/>
      <c r="C270" s="41" t="n"/>
      <c r="D270" s="41" t="n"/>
      <c r="E270" s="41" t="n"/>
      <c r="F270" s="50" t="n"/>
      <c r="G270" s="42" t="n"/>
      <c r="H270" s="42" t="n"/>
      <c r="I270" s="43">
        <f>IF($B270="","",N($G270)-N($H270))</f>
        <v/>
      </c>
    </row>
    <row r="271">
      <c r="A271" s="39">
        <f>IF($B271="","",COUNTA($B$4:$B271))</f>
        <v/>
      </c>
      <c r="B271" s="45" t="n"/>
      <c r="C271" s="46" t="n"/>
      <c r="D271" s="46" t="n"/>
      <c r="E271" s="46" t="n"/>
      <c r="F271" s="51" t="n"/>
      <c r="G271" s="47" t="n"/>
      <c r="H271" s="47" t="n"/>
      <c r="I271" s="43">
        <f>IF($B271="","",N($G271)-N($H271))</f>
        <v/>
      </c>
    </row>
    <row r="272">
      <c r="A272" s="39">
        <f>IF($B272="","",COUNTA($B$4:$B272))</f>
        <v/>
      </c>
      <c r="B272" s="40" t="n"/>
      <c r="C272" s="41" t="n"/>
      <c r="D272" s="41" t="n"/>
      <c r="E272" s="41" t="n"/>
      <c r="F272" s="50" t="n"/>
      <c r="G272" s="42" t="n"/>
      <c r="H272" s="42" t="n"/>
      <c r="I272" s="43">
        <f>IF($B272="","",N($G272)-N($H272))</f>
        <v/>
      </c>
    </row>
    <row r="273">
      <c r="A273" s="39">
        <f>IF($B273="","",COUNTA($B$4:$B273))</f>
        <v/>
      </c>
      <c r="B273" s="45" t="n"/>
      <c r="C273" s="46" t="n"/>
      <c r="D273" s="46" t="n"/>
      <c r="E273" s="46" t="n"/>
      <c r="F273" s="51" t="n"/>
      <c r="G273" s="47" t="n"/>
      <c r="H273" s="47" t="n"/>
      <c r="I273" s="43">
        <f>IF($B273="","",N($G273)-N($H273))</f>
        <v/>
      </c>
    </row>
    <row r="274">
      <c r="A274" s="39">
        <f>IF($B274="","",COUNTA($B$4:$B274))</f>
        <v/>
      </c>
      <c r="B274" s="40" t="n"/>
      <c r="C274" s="41" t="n"/>
      <c r="D274" s="41" t="n"/>
      <c r="E274" s="41" t="n"/>
      <c r="F274" s="50" t="n"/>
      <c r="G274" s="42" t="n"/>
      <c r="H274" s="42" t="n"/>
      <c r="I274" s="43">
        <f>IF($B274="","",N($G274)-N($H274))</f>
        <v/>
      </c>
    </row>
    <row r="275">
      <c r="A275" s="39">
        <f>IF($B275="","",COUNTA($B$4:$B275))</f>
        <v/>
      </c>
      <c r="B275" s="45" t="n"/>
      <c r="C275" s="46" t="n"/>
      <c r="D275" s="46" t="n"/>
      <c r="E275" s="46" t="n"/>
      <c r="F275" s="51" t="n"/>
      <c r="G275" s="47" t="n"/>
      <c r="H275" s="47" t="n"/>
      <c r="I275" s="43">
        <f>IF($B275="","",N($G275)-N($H275))</f>
        <v/>
      </c>
    </row>
    <row r="276">
      <c r="A276" s="39">
        <f>IF($B276="","",COUNTA($B$4:$B276))</f>
        <v/>
      </c>
      <c r="B276" s="40" t="n"/>
      <c r="C276" s="41" t="n"/>
      <c r="D276" s="41" t="n"/>
      <c r="E276" s="41" t="n"/>
      <c r="F276" s="50" t="n"/>
      <c r="G276" s="42" t="n"/>
      <c r="H276" s="42" t="n"/>
      <c r="I276" s="43">
        <f>IF($B276="","",N($G276)-N($H276))</f>
        <v/>
      </c>
    </row>
    <row r="277">
      <c r="A277" s="39">
        <f>IF($B277="","",COUNTA($B$4:$B277))</f>
        <v/>
      </c>
      <c r="B277" s="45" t="n"/>
      <c r="C277" s="46" t="n"/>
      <c r="D277" s="46" t="n"/>
      <c r="E277" s="46" t="n"/>
      <c r="F277" s="51" t="n"/>
      <c r="G277" s="47" t="n"/>
      <c r="H277" s="47" t="n"/>
      <c r="I277" s="43">
        <f>IF($B277="","",N($G277)-N($H277))</f>
        <v/>
      </c>
    </row>
    <row r="278">
      <c r="A278" s="39">
        <f>IF($B278="","",COUNTA($B$4:$B278))</f>
        <v/>
      </c>
      <c r="B278" s="40" t="n"/>
      <c r="C278" s="41" t="n"/>
      <c r="D278" s="41" t="n"/>
      <c r="E278" s="41" t="n"/>
      <c r="F278" s="50" t="n"/>
      <c r="G278" s="42" t="n"/>
      <c r="H278" s="42" t="n"/>
      <c r="I278" s="43">
        <f>IF($B278="","",N($G278)-N($H278))</f>
        <v/>
      </c>
    </row>
    <row r="279">
      <c r="A279" s="39">
        <f>IF($B279="","",COUNTA($B$4:$B279))</f>
        <v/>
      </c>
      <c r="B279" s="45" t="n"/>
      <c r="C279" s="46" t="n"/>
      <c r="D279" s="46" t="n"/>
      <c r="E279" s="46" t="n"/>
      <c r="F279" s="51" t="n"/>
      <c r="G279" s="47" t="n"/>
      <c r="H279" s="47" t="n"/>
      <c r="I279" s="43">
        <f>IF($B279="","",N($G279)-N($H279))</f>
        <v/>
      </c>
    </row>
    <row r="280">
      <c r="A280" s="39">
        <f>IF($B280="","",COUNTA($B$4:$B280))</f>
        <v/>
      </c>
      <c r="B280" s="40" t="n"/>
      <c r="C280" s="41" t="n"/>
      <c r="D280" s="41" t="n"/>
      <c r="E280" s="41" t="n"/>
      <c r="F280" s="50" t="n"/>
      <c r="G280" s="42" t="n"/>
      <c r="H280" s="42" t="n"/>
      <c r="I280" s="43">
        <f>IF($B280="","",N($G280)-N($H280))</f>
        <v/>
      </c>
    </row>
    <row r="281">
      <c r="A281" s="39">
        <f>IF($B281="","",COUNTA($B$4:$B281))</f>
        <v/>
      </c>
      <c r="B281" s="45" t="n"/>
      <c r="C281" s="46" t="n"/>
      <c r="D281" s="46" t="n"/>
      <c r="E281" s="46" t="n"/>
      <c r="F281" s="51" t="n"/>
      <c r="G281" s="47" t="n"/>
      <c r="H281" s="47" t="n"/>
      <c r="I281" s="43">
        <f>IF($B281="","",N($G281)-N($H281))</f>
        <v/>
      </c>
    </row>
    <row r="282">
      <c r="A282" s="39">
        <f>IF($B282="","",COUNTA($B$4:$B282))</f>
        <v/>
      </c>
      <c r="B282" s="40" t="n"/>
      <c r="C282" s="41" t="n"/>
      <c r="D282" s="41" t="n"/>
      <c r="E282" s="41" t="n"/>
      <c r="F282" s="50" t="n"/>
      <c r="G282" s="42" t="n"/>
      <c r="H282" s="42" t="n"/>
      <c r="I282" s="43">
        <f>IF($B282="","",N($G282)-N($H282))</f>
        <v/>
      </c>
    </row>
    <row r="283">
      <c r="A283" s="39">
        <f>IF($B283="","",COUNTA($B$4:$B283))</f>
        <v/>
      </c>
      <c r="B283" s="45" t="n"/>
      <c r="C283" s="46" t="n"/>
      <c r="D283" s="46" t="n"/>
      <c r="E283" s="46" t="n"/>
      <c r="F283" s="51" t="n"/>
      <c r="G283" s="47" t="n"/>
      <c r="H283" s="47" t="n"/>
      <c r="I283" s="43">
        <f>IF($B283="","",N($G283)-N($H283))</f>
        <v/>
      </c>
    </row>
    <row r="284">
      <c r="A284" s="39">
        <f>IF($B284="","",COUNTA($B$4:$B284))</f>
        <v/>
      </c>
      <c r="B284" s="40" t="n"/>
      <c r="C284" s="41" t="n"/>
      <c r="D284" s="41" t="n"/>
      <c r="E284" s="41" t="n"/>
      <c r="F284" s="50" t="n"/>
      <c r="G284" s="42" t="n"/>
      <c r="H284" s="42" t="n"/>
      <c r="I284" s="43">
        <f>IF($B284="","",N($G284)-N($H284))</f>
        <v/>
      </c>
    </row>
    <row r="285">
      <c r="A285" s="39">
        <f>IF($B285="","",COUNTA($B$4:$B285))</f>
        <v/>
      </c>
      <c r="B285" s="45" t="n"/>
      <c r="C285" s="46" t="n"/>
      <c r="D285" s="46" t="n"/>
      <c r="E285" s="46" t="n"/>
      <c r="F285" s="51" t="n"/>
      <c r="G285" s="47" t="n"/>
      <c r="H285" s="47" t="n"/>
      <c r="I285" s="43">
        <f>IF($B285="","",N($G285)-N($H285))</f>
        <v/>
      </c>
    </row>
    <row r="286">
      <c r="A286" s="39">
        <f>IF($B286="","",COUNTA($B$4:$B286))</f>
        <v/>
      </c>
      <c r="B286" s="40" t="n"/>
      <c r="C286" s="41" t="n"/>
      <c r="D286" s="41" t="n"/>
      <c r="E286" s="41" t="n"/>
      <c r="F286" s="50" t="n"/>
      <c r="G286" s="42" t="n"/>
      <c r="H286" s="42" t="n"/>
      <c r="I286" s="43">
        <f>IF($B286="","",N($G286)-N($H286))</f>
        <v/>
      </c>
    </row>
    <row r="287">
      <c r="A287" s="39">
        <f>IF($B287="","",COUNTA($B$4:$B287))</f>
        <v/>
      </c>
      <c r="B287" s="45" t="n"/>
      <c r="C287" s="46" t="n"/>
      <c r="D287" s="46" t="n"/>
      <c r="E287" s="46" t="n"/>
      <c r="F287" s="51" t="n"/>
      <c r="G287" s="47" t="n"/>
      <c r="H287" s="47" t="n"/>
      <c r="I287" s="43">
        <f>IF($B287="","",N($G287)-N($H287))</f>
        <v/>
      </c>
    </row>
    <row r="288">
      <c r="A288" s="39">
        <f>IF($B288="","",COUNTA($B$4:$B288))</f>
        <v/>
      </c>
      <c r="B288" s="40" t="n"/>
      <c r="C288" s="41" t="n"/>
      <c r="D288" s="41" t="n"/>
      <c r="E288" s="41" t="n"/>
      <c r="F288" s="50" t="n"/>
      <c r="G288" s="42" t="n"/>
      <c r="H288" s="42" t="n"/>
      <c r="I288" s="43">
        <f>IF($B288="","",N($G288)-N($H288))</f>
        <v/>
      </c>
    </row>
    <row r="289">
      <c r="A289" s="39">
        <f>IF($B289="","",COUNTA($B$4:$B289))</f>
        <v/>
      </c>
      <c r="B289" s="45" t="n"/>
      <c r="C289" s="46" t="n"/>
      <c r="D289" s="46" t="n"/>
      <c r="E289" s="46" t="n"/>
      <c r="F289" s="51" t="n"/>
      <c r="G289" s="47" t="n"/>
      <c r="H289" s="47" t="n"/>
      <c r="I289" s="43">
        <f>IF($B289="","",N($G289)-N($H289))</f>
        <v/>
      </c>
    </row>
    <row r="290">
      <c r="A290" s="39">
        <f>IF($B290="","",COUNTA($B$4:$B290))</f>
        <v/>
      </c>
      <c r="B290" s="40" t="n"/>
      <c r="C290" s="41" t="n"/>
      <c r="D290" s="41" t="n"/>
      <c r="E290" s="41" t="n"/>
      <c r="F290" s="50" t="n"/>
      <c r="G290" s="42" t="n"/>
      <c r="H290" s="42" t="n"/>
      <c r="I290" s="43">
        <f>IF($B290="","",N($G290)-N($H290))</f>
        <v/>
      </c>
    </row>
    <row r="291">
      <c r="A291" s="39">
        <f>IF($B291="","",COUNTA($B$4:$B291))</f>
        <v/>
      </c>
      <c r="B291" s="45" t="n"/>
      <c r="C291" s="46" t="n"/>
      <c r="D291" s="46" t="n"/>
      <c r="E291" s="46" t="n"/>
      <c r="F291" s="51" t="n"/>
      <c r="G291" s="47" t="n"/>
      <c r="H291" s="47" t="n"/>
      <c r="I291" s="43">
        <f>IF($B291="","",N($G291)-N($H291))</f>
        <v/>
      </c>
    </row>
    <row r="292">
      <c r="A292" s="39">
        <f>IF($B292="","",COUNTA($B$4:$B292))</f>
        <v/>
      </c>
      <c r="B292" s="40" t="n"/>
      <c r="C292" s="41" t="n"/>
      <c r="D292" s="41" t="n"/>
      <c r="E292" s="41" t="n"/>
      <c r="F292" s="50" t="n"/>
      <c r="G292" s="42" t="n"/>
      <c r="H292" s="42" t="n"/>
      <c r="I292" s="43">
        <f>IF($B292="","",N($G292)-N($H292))</f>
        <v/>
      </c>
    </row>
    <row r="293">
      <c r="A293" s="39">
        <f>IF($B293="","",COUNTA($B$4:$B293))</f>
        <v/>
      </c>
      <c r="B293" s="45" t="n"/>
      <c r="C293" s="46" t="n"/>
      <c r="D293" s="46" t="n"/>
      <c r="E293" s="46" t="n"/>
      <c r="F293" s="51" t="n"/>
      <c r="G293" s="47" t="n"/>
      <c r="H293" s="47" t="n"/>
      <c r="I293" s="43">
        <f>IF($B293="","",N($G293)-N($H293))</f>
        <v/>
      </c>
    </row>
    <row r="294">
      <c r="A294" s="39">
        <f>IF($B294="","",COUNTA($B$4:$B294))</f>
        <v/>
      </c>
      <c r="B294" s="40" t="n"/>
      <c r="C294" s="41" t="n"/>
      <c r="D294" s="41" t="n"/>
      <c r="E294" s="41" t="n"/>
      <c r="F294" s="50" t="n"/>
      <c r="G294" s="42" t="n"/>
      <c r="H294" s="42" t="n"/>
      <c r="I294" s="43">
        <f>IF($B294="","",N($G294)-N($H294))</f>
        <v/>
      </c>
    </row>
    <row r="295">
      <c r="A295" s="39">
        <f>IF($B295="","",COUNTA($B$4:$B295))</f>
        <v/>
      </c>
      <c r="B295" s="45" t="n"/>
      <c r="C295" s="46" t="n"/>
      <c r="D295" s="46" t="n"/>
      <c r="E295" s="46" t="n"/>
      <c r="F295" s="51" t="n"/>
      <c r="G295" s="47" t="n"/>
      <c r="H295" s="47" t="n"/>
      <c r="I295" s="43">
        <f>IF($B295="","",N($G295)-N($H295))</f>
        <v/>
      </c>
    </row>
    <row r="296">
      <c r="A296" s="39">
        <f>IF($B296="","",COUNTA($B$4:$B296))</f>
        <v/>
      </c>
      <c r="B296" s="40" t="n"/>
      <c r="C296" s="41" t="n"/>
      <c r="D296" s="41" t="n"/>
      <c r="E296" s="41" t="n"/>
      <c r="F296" s="50" t="n"/>
      <c r="G296" s="42" t="n"/>
      <c r="H296" s="42" t="n"/>
      <c r="I296" s="43">
        <f>IF($B296="","",N($G296)-N($H296))</f>
        <v/>
      </c>
    </row>
    <row r="297">
      <c r="A297" s="39">
        <f>IF($B297="","",COUNTA($B$4:$B297))</f>
        <v/>
      </c>
      <c r="B297" s="45" t="n"/>
      <c r="C297" s="46" t="n"/>
      <c r="D297" s="46" t="n"/>
      <c r="E297" s="46" t="n"/>
      <c r="F297" s="51" t="n"/>
      <c r="G297" s="47" t="n"/>
      <c r="H297" s="47" t="n"/>
      <c r="I297" s="43">
        <f>IF($B297="","",N($G297)-N($H297))</f>
        <v/>
      </c>
    </row>
    <row r="298">
      <c r="A298" s="39">
        <f>IF($B298="","",COUNTA($B$4:$B298))</f>
        <v/>
      </c>
      <c r="B298" s="40" t="n"/>
      <c r="C298" s="41" t="n"/>
      <c r="D298" s="41" t="n"/>
      <c r="E298" s="41" t="n"/>
      <c r="F298" s="50" t="n"/>
      <c r="G298" s="42" t="n"/>
      <c r="H298" s="42" t="n"/>
      <c r="I298" s="43">
        <f>IF($B298="","",N($G298)-N($H298))</f>
        <v/>
      </c>
    </row>
    <row r="299">
      <c r="A299" s="39">
        <f>IF($B299="","",COUNTA($B$4:$B299))</f>
        <v/>
      </c>
      <c r="B299" s="45" t="n"/>
      <c r="C299" s="46" t="n"/>
      <c r="D299" s="46" t="n"/>
      <c r="E299" s="46" t="n"/>
      <c r="F299" s="51" t="n"/>
      <c r="G299" s="47" t="n"/>
      <c r="H299" s="47" t="n"/>
      <c r="I299" s="43">
        <f>IF($B299="","",N($G299)-N($H299))</f>
        <v/>
      </c>
    </row>
    <row r="300">
      <c r="A300" s="39">
        <f>IF($B300="","",COUNTA($B$4:$B300))</f>
        <v/>
      </c>
      <c r="B300" s="40" t="n"/>
      <c r="C300" s="41" t="n"/>
      <c r="D300" s="41" t="n"/>
      <c r="E300" s="41" t="n"/>
      <c r="F300" s="50" t="n"/>
      <c r="G300" s="42" t="n"/>
      <c r="H300" s="42" t="n"/>
      <c r="I300" s="43">
        <f>IF($B300="","",N($G300)-N($H300))</f>
        <v/>
      </c>
    </row>
    <row r="301">
      <c r="A301" s="39">
        <f>IF($B301="","",COUNTA($B$4:$B301))</f>
        <v/>
      </c>
      <c r="B301" s="45" t="n"/>
      <c r="C301" s="46" t="n"/>
      <c r="D301" s="46" t="n"/>
      <c r="E301" s="46" t="n"/>
      <c r="F301" s="51" t="n"/>
      <c r="G301" s="47" t="n"/>
      <c r="H301" s="47" t="n"/>
      <c r="I301" s="43">
        <f>IF($B301="","",N($G301)-N($H301))</f>
        <v/>
      </c>
    </row>
    <row r="302">
      <c r="A302" s="39">
        <f>IF($B302="","",COUNTA($B$4:$B302))</f>
        <v/>
      </c>
      <c r="B302" s="40" t="n"/>
      <c r="C302" s="41" t="n"/>
      <c r="D302" s="41" t="n"/>
      <c r="E302" s="41" t="n"/>
      <c r="F302" s="50" t="n"/>
      <c r="G302" s="42" t="n"/>
      <c r="H302" s="42" t="n"/>
      <c r="I302" s="43">
        <f>IF($B302="","",N($G302)-N($H302))</f>
        <v/>
      </c>
    </row>
    <row r="303">
      <c r="A303" s="39">
        <f>IF($B303="","",COUNTA($B$4:$B303))</f>
        <v/>
      </c>
      <c r="B303" s="45" t="n"/>
      <c r="C303" s="46" t="n"/>
      <c r="D303" s="46" t="n"/>
      <c r="E303" s="46" t="n"/>
      <c r="F303" s="51" t="n"/>
      <c r="G303" s="47" t="n"/>
      <c r="H303" s="47" t="n"/>
      <c r="I303" s="43">
        <f>IF($B303="","",N($G303)-N($H303))</f>
        <v/>
      </c>
    </row>
    <row r="304">
      <c r="A304" s="39">
        <f>IF($B304="","",COUNTA($B$4:$B304))</f>
        <v/>
      </c>
      <c r="B304" s="40" t="n"/>
      <c r="C304" s="41" t="n"/>
      <c r="D304" s="41" t="n"/>
      <c r="E304" s="41" t="n"/>
      <c r="F304" s="50" t="n"/>
      <c r="G304" s="42" t="n"/>
      <c r="H304" s="42" t="n"/>
      <c r="I304" s="43">
        <f>IF($B304="","",N($G304)-N($H304))</f>
        <v/>
      </c>
    </row>
    <row r="305">
      <c r="A305" s="39">
        <f>IF($B305="","",COUNTA($B$4:$B305))</f>
        <v/>
      </c>
      <c r="B305" s="45" t="n"/>
      <c r="C305" s="46" t="n"/>
      <c r="D305" s="46" t="n"/>
      <c r="E305" s="46" t="n"/>
      <c r="F305" s="51" t="n"/>
      <c r="G305" s="47" t="n"/>
      <c r="H305" s="47" t="n"/>
      <c r="I305" s="43">
        <f>IF($B305="","",N($G305)-N($H305))</f>
        <v/>
      </c>
    </row>
    <row r="306">
      <c r="A306" s="39">
        <f>IF($B306="","",COUNTA($B$4:$B306))</f>
        <v/>
      </c>
      <c r="B306" s="40" t="n"/>
      <c r="C306" s="41" t="n"/>
      <c r="D306" s="41" t="n"/>
      <c r="E306" s="41" t="n"/>
      <c r="F306" s="50" t="n"/>
      <c r="G306" s="42" t="n"/>
      <c r="H306" s="42" t="n"/>
      <c r="I306" s="43">
        <f>IF($B306="","",N($G306)-N($H306))</f>
        <v/>
      </c>
    </row>
    <row r="307">
      <c r="A307" s="39">
        <f>IF($B307="","",COUNTA($B$4:$B307))</f>
        <v/>
      </c>
      <c r="B307" s="45" t="n"/>
      <c r="C307" s="46" t="n"/>
      <c r="D307" s="46" t="n"/>
      <c r="E307" s="46" t="n"/>
      <c r="F307" s="51" t="n"/>
      <c r="G307" s="47" t="n"/>
      <c r="H307" s="47" t="n"/>
      <c r="I307" s="43">
        <f>IF($B307="","",N($G307)-N($H307))</f>
        <v/>
      </c>
    </row>
    <row r="308">
      <c r="A308" s="39">
        <f>IF($B308="","",COUNTA($B$4:$B308))</f>
        <v/>
      </c>
      <c r="B308" s="40" t="n"/>
      <c r="C308" s="41" t="n"/>
      <c r="D308" s="41" t="n"/>
      <c r="E308" s="41" t="n"/>
      <c r="F308" s="50" t="n"/>
      <c r="G308" s="42" t="n"/>
      <c r="H308" s="42" t="n"/>
      <c r="I308" s="43">
        <f>IF($B308="","",N($G308)-N($H308))</f>
        <v/>
      </c>
    </row>
    <row r="309">
      <c r="A309" s="39">
        <f>IF($B309="","",COUNTA($B$4:$B309))</f>
        <v/>
      </c>
      <c r="B309" s="45" t="n"/>
      <c r="C309" s="46" t="n"/>
      <c r="D309" s="46" t="n"/>
      <c r="E309" s="46" t="n"/>
      <c r="F309" s="51" t="n"/>
      <c r="G309" s="47" t="n"/>
      <c r="H309" s="47" t="n"/>
      <c r="I309" s="43">
        <f>IF($B309="","",N($G309)-N($H309))</f>
        <v/>
      </c>
    </row>
    <row r="310">
      <c r="A310" s="39">
        <f>IF($B310="","",COUNTA($B$4:$B310))</f>
        <v/>
      </c>
      <c r="B310" s="40" t="n"/>
      <c r="C310" s="41" t="n"/>
      <c r="D310" s="41" t="n"/>
      <c r="E310" s="41" t="n"/>
      <c r="F310" s="50" t="n"/>
      <c r="G310" s="42" t="n"/>
      <c r="H310" s="42" t="n"/>
      <c r="I310" s="43">
        <f>IF($B310="","",N($G310)-N($H310))</f>
        <v/>
      </c>
    </row>
    <row r="311">
      <c r="A311" s="39">
        <f>IF($B311="","",COUNTA($B$4:$B311))</f>
        <v/>
      </c>
      <c r="B311" s="45" t="n"/>
      <c r="C311" s="46" t="n"/>
      <c r="D311" s="46" t="n"/>
      <c r="E311" s="46" t="n"/>
      <c r="F311" s="51" t="n"/>
      <c r="G311" s="47" t="n"/>
      <c r="H311" s="47" t="n"/>
      <c r="I311" s="43">
        <f>IF($B311="","",N($G311)-N($H311))</f>
        <v/>
      </c>
    </row>
    <row r="312">
      <c r="A312" s="39">
        <f>IF($B312="","",COUNTA($B$4:$B312))</f>
        <v/>
      </c>
      <c r="B312" s="40" t="n"/>
      <c r="C312" s="41" t="n"/>
      <c r="D312" s="41" t="n"/>
      <c r="E312" s="41" t="n"/>
      <c r="F312" s="50" t="n"/>
      <c r="G312" s="42" t="n"/>
      <c r="H312" s="42" t="n"/>
      <c r="I312" s="43">
        <f>IF($B312="","",N($G312)-N($H312))</f>
        <v/>
      </c>
    </row>
    <row r="313">
      <c r="A313" s="39">
        <f>IF($B313="","",COUNTA($B$4:$B313))</f>
        <v/>
      </c>
      <c r="B313" s="45" t="n"/>
      <c r="C313" s="46" t="n"/>
      <c r="D313" s="46" t="n"/>
      <c r="E313" s="46" t="n"/>
      <c r="F313" s="51" t="n"/>
      <c r="G313" s="47" t="n"/>
      <c r="H313" s="47" t="n"/>
      <c r="I313" s="43">
        <f>IF($B313="","",N($G313)-N($H313))</f>
        <v/>
      </c>
    </row>
    <row r="314">
      <c r="A314" s="39">
        <f>IF($B314="","",COUNTA($B$4:$B314))</f>
        <v/>
      </c>
      <c r="B314" s="40" t="n"/>
      <c r="C314" s="41" t="n"/>
      <c r="D314" s="41" t="n"/>
      <c r="E314" s="41" t="n"/>
      <c r="F314" s="50" t="n"/>
      <c r="G314" s="42" t="n"/>
      <c r="H314" s="42" t="n"/>
      <c r="I314" s="43">
        <f>IF($B314="","",N($G314)-N($H314))</f>
        <v/>
      </c>
    </row>
    <row r="315">
      <c r="A315" s="39">
        <f>IF($B315="","",COUNTA($B$4:$B315))</f>
        <v/>
      </c>
      <c r="B315" s="45" t="n"/>
      <c r="C315" s="46" t="n"/>
      <c r="D315" s="46" t="n"/>
      <c r="E315" s="46" t="n"/>
      <c r="F315" s="51" t="n"/>
      <c r="G315" s="47" t="n"/>
      <c r="H315" s="47" t="n"/>
      <c r="I315" s="43">
        <f>IF($B315="","",N($G315)-N($H315))</f>
        <v/>
      </c>
    </row>
    <row r="316">
      <c r="A316" s="39">
        <f>IF($B316="","",COUNTA($B$4:$B316))</f>
        <v/>
      </c>
      <c r="B316" s="40" t="n"/>
      <c r="C316" s="41" t="n"/>
      <c r="D316" s="41" t="n"/>
      <c r="E316" s="41" t="n"/>
      <c r="F316" s="50" t="n"/>
      <c r="G316" s="42" t="n"/>
      <c r="H316" s="42" t="n"/>
      <c r="I316" s="43">
        <f>IF($B316="","",N($G316)-N($H316))</f>
        <v/>
      </c>
    </row>
    <row r="317">
      <c r="A317" s="39">
        <f>IF($B317="","",COUNTA($B$4:$B317))</f>
        <v/>
      </c>
      <c r="B317" s="45" t="n"/>
      <c r="C317" s="46" t="n"/>
      <c r="D317" s="46" t="n"/>
      <c r="E317" s="46" t="n"/>
      <c r="F317" s="51" t="n"/>
      <c r="G317" s="47" t="n"/>
      <c r="H317" s="47" t="n"/>
      <c r="I317" s="43">
        <f>IF($B317="","",N($G317)-N($H317))</f>
        <v/>
      </c>
    </row>
    <row r="318">
      <c r="A318" s="39">
        <f>IF($B318="","",COUNTA($B$4:$B318))</f>
        <v/>
      </c>
      <c r="B318" s="40" t="n"/>
      <c r="C318" s="41" t="n"/>
      <c r="D318" s="41" t="n"/>
      <c r="E318" s="41" t="n"/>
      <c r="F318" s="50" t="n"/>
      <c r="G318" s="42" t="n"/>
      <c r="H318" s="42" t="n"/>
      <c r="I318" s="43">
        <f>IF($B318="","",N($G318)-N($H318))</f>
        <v/>
      </c>
    </row>
    <row r="319">
      <c r="A319" s="39">
        <f>IF($B319="","",COUNTA($B$4:$B319))</f>
        <v/>
      </c>
      <c r="B319" s="45" t="n"/>
      <c r="C319" s="46" t="n"/>
      <c r="D319" s="46" t="n"/>
      <c r="E319" s="46" t="n"/>
      <c r="F319" s="51" t="n"/>
      <c r="G319" s="47" t="n"/>
      <c r="H319" s="47" t="n"/>
      <c r="I319" s="43">
        <f>IF($B319="","",N($G319)-N($H319))</f>
        <v/>
      </c>
    </row>
    <row r="320">
      <c r="A320" s="39">
        <f>IF($B320="","",COUNTA($B$4:$B320))</f>
        <v/>
      </c>
      <c r="B320" s="40" t="n"/>
      <c r="C320" s="41" t="n"/>
      <c r="D320" s="41" t="n"/>
      <c r="E320" s="41" t="n"/>
      <c r="F320" s="50" t="n"/>
      <c r="G320" s="42" t="n"/>
      <c r="H320" s="42" t="n"/>
      <c r="I320" s="43">
        <f>IF($B320="","",N($G320)-N($H320))</f>
        <v/>
      </c>
    </row>
    <row r="321">
      <c r="A321" s="39">
        <f>IF($B321="","",COUNTA($B$4:$B321))</f>
        <v/>
      </c>
      <c r="B321" s="45" t="n"/>
      <c r="C321" s="46" t="n"/>
      <c r="D321" s="46" t="n"/>
      <c r="E321" s="46" t="n"/>
      <c r="F321" s="51" t="n"/>
      <c r="G321" s="47" t="n"/>
      <c r="H321" s="47" t="n"/>
      <c r="I321" s="43">
        <f>IF($B321="","",N($G321)-N($H321))</f>
        <v/>
      </c>
    </row>
    <row r="322">
      <c r="A322" s="39">
        <f>IF($B322="","",COUNTA($B$4:$B322))</f>
        <v/>
      </c>
      <c r="B322" s="40" t="n"/>
      <c r="C322" s="41" t="n"/>
      <c r="D322" s="41" t="n"/>
      <c r="E322" s="41" t="n"/>
      <c r="F322" s="50" t="n"/>
      <c r="G322" s="42" t="n"/>
      <c r="H322" s="42" t="n"/>
      <c r="I322" s="43">
        <f>IF($B322="","",N($G322)-N($H322))</f>
        <v/>
      </c>
    </row>
    <row r="323">
      <c r="A323" s="39">
        <f>IF($B323="","",COUNTA($B$4:$B323))</f>
        <v/>
      </c>
      <c r="B323" s="45" t="n"/>
      <c r="C323" s="46" t="n"/>
      <c r="D323" s="46" t="n"/>
      <c r="E323" s="46" t="n"/>
      <c r="F323" s="51" t="n"/>
      <c r="G323" s="47" t="n"/>
      <c r="H323" s="47" t="n"/>
      <c r="I323" s="43">
        <f>IF($B323="","",N($G323)-N($H323))</f>
        <v/>
      </c>
    </row>
    <row r="324">
      <c r="A324" s="39">
        <f>IF($B324="","",COUNTA($B$4:$B324))</f>
        <v/>
      </c>
      <c r="B324" s="40" t="n"/>
      <c r="C324" s="41" t="n"/>
      <c r="D324" s="41" t="n"/>
      <c r="E324" s="41" t="n"/>
      <c r="F324" s="50" t="n"/>
      <c r="G324" s="42" t="n"/>
      <c r="H324" s="42" t="n"/>
      <c r="I324" s="43">
        <f>IF($B324="","",N($G324)-N($H324))</f>
        <v/>
      </c>
    </row>
    <row r="325">
      <c r="A325" s="39">
        <f>IF($B325="","",COUNTA($B$4:$B325))</f>
        <v/>
      </c>
      <c r="B325" s="45" t="n"/>
      <c r="C325" s="46" t="n"/>
      <c r="D325" s="46" t="n"/>
      <c r="E325" s="46" t="n"/>
      <c r="F325" s="51" t="n"/>
      <c r="G325" s="47" t="n"/>
      <c r="H325" s="47" t="n"/>
      <c r="I325" s="43">
        <f>IF($B325="","",N($G325)-N($H325))</f>
        <v/>
      </c>
    </row>
    <row r="326">
      <c r="A326" s="39">
        <f>IF($B326="","",COUNTA($B$4:$B326))</f>
        <v/>
      </c>
      <c r="B326" s="40" t="n"/>
      <c r="C326" s="41" t="n"/>
      <c r="D326" s="41" t="n"/>
      <c r="E326" s="41" t="n"/>
      <c r="F326" s="50" t="n"/>
      <c r="G326" s="42" t="n"/>
      <c r="H326" s="42" t="n"/>
      <c r="I326" s="43">
        <f>IF($B326="","",N($G326)-N($H326))</f>
        <v/>
      </c>
    </row>
    <row r="327">
      <c r="A327" s="39">
        <f>IF($B327="","",COUNTA($B$4:$B327))</f>
        <v/>
      </c>
      <c r="B327" s="45" t="n"/>
      <c r="C327" s="46" t="n"/>
      <c r="D327" s="46" t="n"/>
      <c r="E327" s="46" t="n"/>
      <c r="F327" s="51" t="n"/>
      <c r="G327" s="47" t="n"/>
      <c r="H327" s="47" t="n"/>
      <c r="I327" s="43">
        <f>IF($B327="","",N($G327)-N($H327))</f>
        <v/>
      </c>
    </row>
    <row r="328">
      <c r="A328" s="39">
        <f>IF($B328="","",COUNTA($B$4:$B328))</f>
        <v/>
      </c>
      <c r="B328" s="40" t="n"/>
      <c r="C328" s="41" t="n"/>
      <c r="D328" s="41" t="n"/>
      <c r="E328" s="41" t="n"/>
      <c r="F328" s="50" t="n"/>
      <c r="G328" s="42" t="n"/>
      <c r="H328" s="42" t="n"/>
      <c r="I328" s="43">
        <f>IF($B328="","",N($G328)-N($H328))</f>
        <v/>
      </c>
    </row>
    <row r="329">
      <c r="A329" s="39">
        <f>IF($B329="","",COUNTA($B$4:$B329))</f>
        <v/>
      </c>
      <c r="B329" s="45" t="n"/>
      <c r="C329" s="46" t="n"/>
      <c r="D329" s="46" t="n"/>
      <c r="E329" s="46" t="n"/>
      <c r="F329" s="51" t="n"/>
      <c r="G329" s="47" t="n"/>
      <c r="H329" s="47" t="n"/>
      <c r="I329" s="43">
        <f>IF($B329="","",N($G329)-N($H329))</f>
        <v/>
      </c>
    </row>
    <row r="330">
      <c r="A330" s="39">
        <f>IF($B330="","",COUNTA($B$4:$B330))</f>
        <v/>
      </c>
      <c r="B330" s="40" t="n"/>
      <c r="C330" s="41" t="n"/>
      <c r="D330" s="41" t="n"/>
      <c r="E330" s="41" t="n"/>
      <c r="F330" s="50" t="n"/>
      <c r="G330" s="42" t="n"/>
      <c r="H330" s="42" t="n"/>
      <c r="I330" s="43">
        <f>IF($B330="","",N($G330)-N($H330))</f>
        <v/>
      </c>
    </row>
    <row r="331">
      <c r="A331" s="39">
        <f>IF($B331="","",COUNTA($B$4:$B331))</f>
        <v/>
      </c>
      <c r="B331" s="45" t="n"/>
      <c r="C331" s="46" t="n"/>
      <c r="D331" s="46" t="n"/>
      <c r="E331" s="46" t="n"/>
      <c r="F331" s="51" t="n"/>
      <c r="G331" s="47" t="n"/>
      <c r="H331" s="47" t="n"/>
      <c r="I331" s="43">
        <f>IF($B331="","",N($G331)-N($H331))</f>
        <v/>
      </c>
    </row>
    <row r="332">
      <c r="A332" s="39">
        <f>IF($B332="","",COUNTA($B$4:$B332))</f>
        <v/>
      </c>
      <c r="B332" s="40" t="n"/>
      <c r="C332" s="41" t="n"/>
      <c r="D332" s="41" t="n"/>
      <c r="E332" s="41" t="n"/>
      <c r="F332" s="50" t="n"/>
      <c r="G332" s="42" t="n"/>
      <c r="H332" s="42" t="n"/>
      <c r="I332" s="43">
        <f>IF($B332="","",N($G332)-N($H332))</f>
        <v/>
      </c>
    </row>
    <row r="333">
      <c r="A333" s="39">
        <f>IF($B333="","",COUNTA($B$4:$B333))</f>
        <v/>
      </c>
      <c r="B333" s="45" t="n"/>
      <c r="C333" s="46" t="n"/>
      <c r="D333" s="46" t="n"/>
      <c r="E333" s="46" t="n"/>
      <c r="F333" s="51" t="n"/>
      <c r="G333" s="47" t="n"/>
      <c r="H333" s="47" t="n"/>
      <c r="I333" s="43">
        <f>IF($B333="","",N($G333)-N($H333))</f>
        <v/>
      </c>
    </row>
    <row r="334">
      <c r="A334" s="39">
        <f>IF($B334="","",COUNTA($B$4:$B334))</f>
        <v/>
      </c>
      <c r="B334" s="40" t="n"/>
      <c r="C334" s="41" t="n"/>
      <c r="D334" s="41" t="n"/>
      <c r="E334" s="41" t="n"/>
      <c r="F334" s="50" t="n"/>
      <c r="G334" s="42" t="n"/>
      <c r="H334" s="42" t="n"/>
      <c r="I334" s="43">
        <f>IF($B334="","",N($G334)-N($H334))</f>
        <v/>
      </c>
    </row>
    <row r="335">
      <c r="A335" s="39">
        <f>IF($B335="","",COUNTA($B$4:$B335))</f>
        <v/>
      </c>
      <c r="B335" s="45" t="n"/>
      <c r="C335" s="46" t="n"/>
      <c r="D335" s="46" t="n"/>
      <c r="E335" s="46" t="n"/>
      <c r="F335" s="51" t="n"/>
      <c r="G335" s="47" t="n"/>
      <c r="H335" s="47" t="n"/>
      <c r="I335" s="43">
        <f>IF($B335="","",N($G335)-N($H335))</f>
        <v/>
      </c>
    </row>
    <row r="336">
      <c r="A336" s="39">
        <f>IF($B336="","",COUNTA($B$4:$B336))</f>
        <v/>
      </c>
      <c r="B336" s="40" t="n"/>
      <c r="C336" s="41" t="n"/>
      <c r="D336" s="41" t="n"/>
      <c r="E336" s="41" t="n"/>
      <c r="F336" s="50" t="n"/>
      <c r="G336" s="42" t="n"/>
      <c r="H336" s="42" t="n"/>
      <c r="I336" s="43">
        <f>IF($B336="","",N($G336)-N($H336))</f>
        <v/>
      </c>
    </row>
    <row r="337">
      <c r="A337" s="39">
        <f>IF($B337="","",COUNTA($B$4:$B337))</f>
        <v/>
      </c>
      <c r="B337" s="45" t="n"/>
      <c r="C337" s="46" t="n"/>
      <c r="D337" s="46" t="n"/>
      <c r="E337" s="46" t="n"/>
      <c r="F337" s="51" t="n"/>
      <c r="G337" s="47" t="n"/>
      <c r="H337" s="47" t="n"/>
      <c r="I337" s="43">
        <f>IF($B337="","",N($G337)-N($H337))</f>
        <v/>
      </c>
    </row>
    <row r="338">
      <c r="A338" s="39">
        <f>IF($B338="","",COUNTA($B$4:$B338))</f>
        <v/>
      </c>
      <c r="B338" s="40" t="n"/>
      <c r="C338" s="41" t="n"/>
      <c r="D338" s="41" t="n"/>
      <c r="E338" s="41" t="n"/>
      <c r="F338" s="50" t="n"/>
      <c r="G338" s="42" t="n"/>
      <c r="H338" s="42" t="n"/>
      <c r="I338" s="43">
        <f>IF($B338="","",N($G338)-N($H338))</f>
        <v/>
      </c>
    </row>
    <row r="339">
      <c r="A339" s="39">
        <f>IF($B339="","",COUNTA($B$4:$B339))</f>
        <v/>
      </c>
      <c r="B339" s="45" t="n"/>
      <c r="C339" s="46" t="n"/>
      <c r="D339" s="46" t="n"/>
      <c r="E339" s="46" t="n"/>
      <c r="F339" s="51" t="n"/>
      <c r="G339" s="47" t="n"/>
      <c r="H339" s="47" t="n"/>
      <c r="I339" s="43">
        <f>IF($B339="","",N($G339)-N($H339))</f>
        <v/>
      </c>
    </row>
    <row r="340">
      <c r="A340" s="39">
        <f>IF($B340="","",COUNTA($B$4:$B340))</f>
        <v/>
      </c>
      <c r="B340" s="40" t="n"/>
      <c r="C340" s="41" t="n"/>
      <c r="D340" s="41" t="n"/>
      <c r="E340" s="41" t="n"/>
      <c r="F340" s="50" t="n"/>
      <c r="G340" s="42" t="n"/>
      <c r="H340" s="42" t="n"/>
      <c r="I340" s="43">
        <f>IF($B340="","",N($G340)-N($H340))</f>
        <v/>
      </c>
    </row>
    <row r="341">
      <c r="A341" s="39">
        <f>IF($B341="","",COUNTA($B$4:$B341))</f>
        <v/>
      </c>
      <c r="B341" s="45" t="n"/>
      <c r="C341" s="46" t="n"/>
      <c r="D341" s="46" t="n"/>
      <c r="E341" s="46" t="n"/>
      <c r="F341" s="51" t="n"/>
      <c r="G341" s="47" t="n"/>
      <c r="H341" s="47" t="n"/>
      <c r="I341" s="43">
        <f>IF($B341="","",N($G341)-N($H341))</f>
        <v/>
      </c>
    </row>
    <row r="342">
      <c r="A342" s="39">
        <f>IF($B342="","",COUNTA($B$4:$B342))</f>
        <v/>
      </c>
      <c r="B342" s="40" t="n"/>
      <c r="C342" s="41" t="n"/>
      <c r="D342" s="41" t="n"/>
      <c r="E342" s="41" t="n"/>
      <c r="F342" s="50" t="n"/>
      <c r="G342" s="42" t="n"/>
      <c r="H342" s="42" t="n"/>
      <c r="I342" s="43">
        <f>IF($B342="","",N($G342)-N($H342))</f>
        <v/>
      </c>
    </row>
    <row r="343">
      <c r="A343" s="39">
        <f>IF($B343="","",COUNTA($B$4:$B343))</f>
        <v/>
      </c>
      <c r="B343" s="45" t="n"/>
      <c r="C343" s="46" t="n"/>
      <c r="D343" s="46" t="n"/>
      <c r="E343" s="46" t="n"/>
      <c r="F343" s="51" t="n"/>
      <c r="G343" s="47" t="n"/>
      <c r="H343" s="47" t="n"/>
      <c r="I343" s="43">
        <f>IF($B343="","",N($G343)-N($H343))</f>
        <v/>
      </c>
    </row>
    <row r="344">
      <c r="A344" s="39">
        <f>IF($B344="","",COUNTA($B$4:$B344))</f>
        <v/>
      </c>
      <c r="B344" s="40" t="n"/>
      <c r="C344" s="41" t="n"/>
      <c r="D344" s="41" t="n"/>
      <c r="E344" s="41" t="n"/>
      <c r="F344" s="50" t="n"/>
      <c r="G344" s="42" t="n"/>
      <c r="H344" s="42" t="n"/>
      <c r="I344" s="43">
        <f>IF($B344="","",N($G344)-N($H344))</f>
        <v/>
      </c>
    </row>
    <row r="345">
      <c r="A345" s="39">
        <f>IF($B345="","",COUNTA($B$4:$B345))</f>
        <v/>
      </c>
      <c r="B345" s="45" t="n"/>
      <c r="C345" s="46" t="n"/>
      <c r="D345" s="46" t="n"/>
      <c r="E345" s="46" t="n"/>
      <c r="F345" s="51" t="n"/>
      <c r="G345" s="47" t="n"/>
      <c r="H345" s="47" t="n"/>
      <c r="I345" s="43">
        <f>IF($B345="","",N($G345)-N($H345))</f>
        <v/>
      </c>
    </row>
    <row r="346">
      <c r="A346" s="39">
        <f>IF($B346="","",COUNTA($B$4:$B346))</f>
        <v/>
      </c>
      <c r="B346" s="40" t="n"/>
      <c r="C346" s="41" t="n"/>
      <c r="D346" s="41" t="n"/>
      <c r="E346" s="41" t="n"/>
      <c r="F346" s="50" t="n"/>
      <c r="G346" s="42" t="n"/>
      <c r="H346" s="42" t="n"/>
      <c r="I346" s="43">
        <f>IF($B346="","",N($G346)-N($H346))</f>
        <v/>
      </c>
    </row>
    <row r="347">
      <c r="A347" s="39">
        <f>IF($B347="","",COUNTA($B$4:$B347))</f>
        <v/>
      </c>
      <c r="B347" s="45" t="n"/>
      <c r="C347" s="46" t="n"/>
      <c r="D347" s="46" t="n"/>
      <c r="E347" s="46" t="n"/>
      <c r="F347" s="51" t="n"/>
      <c r="G347" s="47" t="n"/>
      <c r="H347" s="47" t="n"/>
      <c r="I347" s="43">
        <f>IF($B347="","",N($G347)-N($H347))</f>
        <v/>
      </c>
    </row>
    <row r="348">
      <c r="A348" s="39">
        <f>IF($B348="","",COUNTA($B$4:$B348))</f>
        <v/>
      </c>
      <c r="B348" s="40" t="n"/>
      <c r="C348" s="41" t="n"/>
      <c r="D348" s="41" t="n"/>
      <c r="E348" s="41" t="n"/>
      <c r="F348" s="50" t="n"/>
      <c r="G348" s="42" t="n"/>
      <c r="H348" s="42" t="n"/>
      <c r="I348" s="43">
        <f>IF($B348="","",N($G348)-N($H348))</f>
        <v/>
      </c>
    </row>
    <row r="349">
      <c r="A349" s="39">
        <f>IF($B349="","",COUNTA($B$4:$B349))</f>
        <v/>
      </c>
      <c r="B349" s="45" t="n"/>
      <c r="C349" s="46" t="n"/>
      <c r="D349" s="46" t="n"/>
      <c r="E349" s="46" t="n"/>
      <c r="F349" s="51" t="n"/>
      <c r="G349" s="47" t="n"/>
      <c r="H349" s="47" t="n"/>
      <c r="I349" s="43">
        <f>IF($B349="","",N($G349)-N($H349))</f>
        <v/>
      </c>
    </row>
    <row r="350">
      <c r="A350" s="39">
        <f>IF($B350="","",COUNTA($B$4:$B350))</f>
        <v/>
      </c>
      <c r="B350" s="40" t="n"/>
      <c r="C350" s="41" t="n"/>
      <c r="D350" s="41" t="n"/>
      <c r="E350" s="41" t="n"/>
      <c r="F350" s="50" t="n"/>
      <c r="G350" s="42" t="n"/>
      <c r="H350" s="42" t="n"/>
      <c r="I350" s="43">
        <f>IF($B350="","",N($G350)-N($H350))</f>
        <v/>
      </c>
    </row>
    <row r="351">
      <c r="A351" s="39">
        <f>IF($B351="","",COUNTA($B$4:$B351))</f>
        <v/>
      </c>
      <c r="B351" s="45" t="n"/>
      <c r="C351" s="46" t="n"/>
      <c r="D351" s="46" t="n"/>
      <c r="E351" s="46" t="n"/>
      <c r="F351" s="51" t="n"/>
      <c r="G351" s="47" t="n"/>
      <c r="H351" s="47" t="n"/>
      <c r="I351" s="43">
        <f>IF($B351="","",N($G351)-N($H351))</f>
        <v/>
      </c>
    </row>
    <row r="352">
      <c r="A352" s="39">
        <f>IF($B352="","",COUNTA($B$4:$B352))</f>
        <v/>
      </c>
      <c r="B352" s="40" t="n"/>
      <c r="C352" s="41" t="n"/>
      <c r="D352" s="41" t="n"/>
      <c r="E352" s="41" t="n"/>
      <c r="F352" s="50" t="n"/>
      <c r="G352" s="42" t="n"/>
      <c r="H352" s="42" t="n"/>
      <c r="I352" s="43">
        <f>IF($B352="","",N($G352)-N($H352))</f>
        <v/>
      </c>
    </row>
    <row r="353">
      <c r="A353" s="39">
        <f>IF($B353="","",COUNTA($B$4:$B353))</f>
        <v/>
      </c>
      <c r="B353" s="45" t="n"/>
      <c r="C353" s="46" t="n"/>
      <c r="D353" s="46" t="n"/>
      <c r="E353" s="46" t="n"/>
      <c r="F353" s="51" t="n"/>
      <c r="G353" s="47" t="n"/>
      <c r="H353" s="47" t="n"/>
      <c r="I353" s="43">
        <f>IF($B353="","",N($G353)-N($H353))</f>
        <v/>
      </c>
    </row>
    <row r="354">
      <c r="A354" s="39">
        <f>IF($B354="","",COUNTA($B$4:$B354))</f>
        <v/>
      </c>
      <c r="B354" s="40" t="n"/>
      <c r="C354" s="41" t="n"/>
      <c r="D354" s="41" t="n"/>
      <c r="E354" s="41" t="n"/>
      <c r="F354" s="50" t="n"/>
      <c r="G354" s="42" t="n"/>
      <c r="H354" s="42" t="n"/>
      <c r="I354" s="43">
        <f>IF($B354="","",N($G354)-N($H354))</f>
        <v/>
      </c>
    </row>
    <row r="355">
      <c r="A355" s="39">
        <f>IF($B355="","",COUNTA($B$4:$B355))</f>
        <v/>
      </c>
      <c r="B355" s="45" t="n"/>
      <c r="C355" s="46" t="n"/>
      <c r="D355" s="46" t="n"/>
      <c r="E355" s="46" t="n"/>
      <c r="F355" s="51" t="n"/>
      <c r="G355" s="47" t="n"/>
      <c r="H355" s="47" t="n"/>
      <c r="I355" s="43">
        <f>IF($B355="","",N($G355)-N($H355))</f>
        <v/>
      </c>
    </row>
    <row r="356">
      <c r="A356" s="39">
        <f>IF($B356="","",COUNTA($B$4:$B356))</f>
        <v/>
      </c>
      <c r="B356" s="40" t="n"/>
      <c r="C356" s="41" t="n"/>
      <c r="D356" s="41" t="n"/>
      <c r="E356" s="41" t="n"/>
      <c r="F356" s="50" t="n"/>
      <c r="G356" s="42" t="n"/>
      <c r="H356" s="42" t="n"/>
      <c r="I356" s="43">
        <f>IF($B356="","",N($G356)-N($H356))</f>
        <v/>
      </c>
    </row>
    <row r="357">
      <c r="A357" s="39">
        <f>IF($B357="","",COUNTA($B$4:$B357))</f>
        <v/>
      </c>
      <c r="B357" s="45" t="n"/>
      <c r="C357" s="46" t="n"/>
      <c r="D357" s="46" t="n"/>
      <c r="E357" s="46" t="n"/>
      <c r="F357" s="51" t="n"/>
      <c r="G357" s="47" t="n"/>
      <c r="H357" s="47" t="n"/>
      <c r="I357" s="43">
        <f>IF($B357="","",N($G357)-N($H357))</f>
        <v/>
      </c>
    </row>
    <row r="358">
      <c r="A358" s="39">
        <f>IF($B358="","",COUNTA($B$4:$B358))</f>
        <v/>
      </c>
      <c r="B358" s="40" t="n"/>
      <c r="C358" s="41" t="n"/>
      <c r="D358" s="41" t="n"/>
      <c r="E358" s="41" t="n"/>
      <c r="F358" s="50" t="n"/>
      <c r="G358" s="42" t="n"/>
      <c r="H358" s="42" t="n"/>
      <c r="I358" s="43">
        <f>IF($B358="","",N($G358)-N($H358))</f>
        <v/>
      </c>
    </row>
    <row r="359">
      <c r="A359" s="39">
        <f>IF($B359="","",COUNTA($B$4:$B359))</f>
        <v/>
      </c>
      <c r="B359" s="45" t="n"/>
      <c r="C359" s="46" t="n"/>
      <c r="D359" s="46" t="n"/>
      <c r="E359" s="46" t="n"/>
      <c r="F359" s="51" t="n"/>
      <c r="G359" s="47" t="n"/>
      <c r="H359" s="47" t="n"/>
      <c r="I359" s="43">
        <f>IF($B359="","",N($G359)-N($H359))</f>
        <v/>
      </c>
    </row>
    <row r="360">
      <c r="A360" s="39">
        <f>IF($B360="","",COUNTA($B$4:$B360))</f>
        <v/>
      </c>
      <c r="B360" s="40" t="n"/>
      <c r="C360" s="41" t="n"/>
      <c r="D360" s="41" t="n"/>
      <c r="E360" s="41" t="n"/>
      <c r="F360" s="50" t="n"/>
      <c r="G360" s="42" t="n"/>
      <c r="H360" s="42" t="n"/>
      <c r="I360" s="43">
        <f>IF($B360="","",N($G360)-N($H360))</f>
        <v/>
      </c>
    </row>
    <row r="361">
      <c r="A361" s="39">
        <f>IF($B361="","",COUNTA($B$4:$B361))</f>
        <v/>
      </c>
      <c r="B361" s="45" t="n"/>
      <c r="C361" s="46" t="n"/>
      <c r="D361" s="46" t="n"/>
      <c r="E361" s="46" t="n"/>
      <c r="F361" s="51" t="n"/>
      <c r="G361" s="47" t="n"/>
      <c r="H361" s="47" t="n"/>
      <c r="I361" s="43">
        <f>IF($B361="","",N($G361)-N($H361))</f>
        <v/>
      </c>
    </row>
    <row r="362">
      <c r="A362" s="39">
        <f>IF($B362="","",COUNTA($B$4:$B362))</f>
        <v/>
      </c>
      <c r="B362" s="40" t="n"/>
      <c r="C362" s="41" t="n"/>
      <c r="D362" s="41" t="n"/>
      <c r="E362" s="41" t="n"/>
      <c r="F362" s="50" t="n"/>
      <c r="G362" s="42" t="n"/>
      <c r="H362" s="42" t="n"/>
      <c r="I362" s="43">
        <f>IF($B362="","",N($G362)-N($H362))</f>
        <v/>
      </c>
    </row>
    <row r="363">
      <c r="A363" s="39">
        <f>IF($B363="","",COUNTA($B$4:$B363))</f>
        <v/>
      </c>
      <c r="B363" s="45" t="n"/>
      <c r="C363" s="46" t="n"/>
      <c r="D363" s="46" t="n"/>
      <c r="E363" s="46" t="n"/>
      <c r="F363" s="51" t="n"/>
      <c r="G363" s="47" t="n"/>
      <c r="H363" s="47" t="n"/>
      <c r="I363" s="43">
        <f>IF($B363="","",N($G363)-N($H363))</f>
        <v/>
      </c>
    </row>
    <row r="364">
      <c r="A364" s="39">
        <f>IF($B364="","",COUNTA($B$4:$B364))</f>
        <v/>
      </c>
      <c r="B364" s="40" t="n"/>
      <c r="C364" s="41" t="n"/>
      <c r="D364" s="41" t="n"/>
      <c r="E364" s="41" t="n"/>
      <c r="F364" s="50" t="n"/>
      <c r="G364" s="42" t="n"/>
      <c r="H364" s="42" t="n"/>
      <c r="I364" s="43">
        <f>IF($B364="","",N($G364)-N($H364))</f>
        <v/>
      </c>
    </row>
    <row r="365">
      <c r="A365" s="39">
        <f>IF($B365="","",COUNTA($B$4:$B365))</f>
        <v/>
      </c>
      <c r="B365" s="45" t="n"/>
      <c r="C365" s="46" t="n"/>
      <c r="D365" s="46" t="n"/>
      <c r="E365" s="46" t="n"/>
      <c r="F365" s="51" t="n"/>
      <c r="G365" s="47" t="n"/>
      <c r="H365" s="47" t="n"/>
      <c r="I365" s="43">
        <f>IF($B365="","",N($G365)-N($H365))</f>
        <v/>
      </c>
    </row>
    <row r="366">
      <c r="A366" s="39">
        <f>IF($B366="","",COUNTA($B$4:$B366))</f>
        <v/>
      </c>
      <c r="B366" s="40" t="n"/>
      <c r="C366" s="41" t="n"/>
      <c r="D366" s="41" t="n"/>
      <c r="E366" s="41" t="n"/>
      <c r="F366" s="50" t="n"/>
      <c r="G366" s="42" t="n"/>
      <c r="H366" s="42" t="n"/>
      <c r="I366" s="43">
        <f>IF($B366="","",N($G366)-N($H366))</f>
        <v/>
      </c>
    </row>
    <row r="367">
      <c r="A367" s="39">
        <f>IF($B367="","",COUNTA($B$4:$B367))</f>
        <v/>
      </c>
      <c r="B367" s="45" t="n"/>
      <c r="C367" s="46" t="n"/>
      <c r="D367" s="46" t="n"/>
      <c r="E367" s="46" t="n"/>
      <c r="F367" s="51" t="n"/>
      <c r="G367" s="47" t="n"/>
      <c r="H367" s="47" t="n"/>
      <c r="I367" s="43">
        <f>IF($B367="","",N($G367)-N($H367))</f>
        <v/>
      </c>
    </row>
    <row r="368">
      <c r="A368" s="39">
        <f>IF($B368="","",COUNTA($B$4:$B368))</f>
        <v/>
      </c>
      <c r="B368" s="40" t="n"/>
      <c r="C368" s="41" t="n"/>
      <c r="D368" s="41" t="n"/>
      <c r="E368" s="41" t="n"/>
      <c r="F368" s="50" t="n"/>
      <c r="G368" s="42" t="n"/>
      <c r="H368" s="42" t="n"/>
      <c r="I368" s="43">
        <f>IF($B368="","",N($G368)-N($H368))</f>
        <v/>
      </c>
    </row>
    <row r="369">
      <c r="A369" s="39">
        <f>IF($B369="","",COUNTA($B$4:$B369))</f>
        <v/>
      </c>
      <c r="B369" s="45" t="n"/>
      <c r="C369" s="46" t="n"/>
      <c r="D369" s="46" t="n"/>
      <c r="E369" s="46" t="n"/>
      <c r="F369" s="51" t="n"/>
      <c r="G369" s="47" t="n"/>
      <c r="H369" s="47" t="n"/>
      <c r="I369" s="43">
        <f>IF($B369="","",N($G369)-N($H369))</f>
        <v/>
      </c>
    </row>
    <row r="370">
      <c r="A370" s="39">
        <f>IF($B370="","",COUNTA($B$4:$B370))</f>
        <v/>
      </c>
      <c r="B370" s="40" t="n"/>
      <c r="C370" s="41" t="n"/>
      <c r="D370" s="41" t="n"/>
      <c r="E370" s="41" t="n"/>
      <c r="F370" s="50" t="n"/>
      <c r="G370" s="42" t="n"/>
      <c r="H370" s="42" t="n"/>
      <c r="I370" s="43">
        <f>IF($B370="","",N($G370)-N($H370))</f>
        <v/>
      </c>
    </row>
    <row r="371">
      <c r="A371" s="39">
        <f>IF($B371="","",COUNTA($B$4:$B371))</f>
        <v/>
      </c>
      <c r="B371" s="45" t="n"/>
      <c r="C371" s="46" t="n"/>
      <c r="D371" s="46" t="n"/>
      <c r="E371" s="46" t="n"/>
      <c r="F371" s="51" t="n"/>
      <c r="G371" s="47" t="n"/>
      <c r="H371" s="47" t="n"/>
      <c r="I371" s="43">
        <f>IF($B371="","",N($G371)-N($H371))</f>
        <v/>
      </c>
    </row>
    <row r="372">
      <c r="A372" s="39">
        <f>IF($B372="","",COUNTA($B$4:$B372))</f>
        <v/>
      </c>
      <c r="B372" s="40" t="n"/>
      <c r="C372" s="41" t="n"/>
      <c r="D372" s="41" t="n"/>
      <c r="E372" s="41" t="n"/>
      <c r="F372" s="50" t="n"/>
      <c r="G372" s="42" t="n"/>
      <c r="H372" s="42" t="n"/>
      <c r="I372" s="43">
        <f>IF($B372="","",N($G372)-N($H372))</f>
        <v/>
      </c>
    </row>
    <row r="373">
      <c r="A373" s="39">
        <f>IF($B373="","",COUNTA($B$4:$B373))</f>
        <v/>
      </c>
      <c r="B373" s="45" t="n"/>
      <c r="C373" s="46" t="n"/>
      <c r="D373" s="46" t="n"/>
      <c r="E373" s="46" t="n"/>
      <c r="F373" s="51" t="n"/>
      <c r="G373" s="47" t="n"/>
      <c r="H373" s="47" t="n"/>
      <c r="I373" s="43">
        <f>IF($B373="","",N($G373)-N($H373))</f>
        <v/>
      </c>
    </row>
    <row r="374">
      <c r="A374" s="39">
        <f>IF($B374="","",COUNTA($B$4:$B374))</f>
        <v/>
      </c>
      <c r="B374" s="40" t="n"/>
      <c r="C374" s="41" t="n"/>
      <c r="D374" s="41" t="n"/>
      <c r="E374" s="41" t="n"/>
      <c r="F374" s="50" t="n"/>
      <c r="G374" s="42" t="n"/>
      <c r="H374" s="42" t="n"/>
      <c r="I374" s="43">
        <f>IF($B374="","",N($G374)-N($H374))</f>
        <v/>
      </c>
    </row>
    <row r="375">
      <c r="A375" s="39">
        <f>IF($B375="","",COUNTA($B$4:$B375))</f>
        <v/>
      </c>
      <c r="B375" s="45" t="n"/>
      <c r="C375" s="46" t="n"/>
      <c r="D375" s="46" t="n"/>
      <c r="E375" s="46" t="n"/>
      <c r="F375" s="51" t="n"/>
      <c r="G375" s="47" t="n"/>
      <c r="H375" s="47" t="n"/>
      <c r="I375" s="43">
        <f>IF($B375="","",N($G375)-N($H375))</f>
        <v/>
      </c>
    </row>
    <row r="376">
      <c r="A376" s="39">
        <f>IF($B376="","",COUNTA($B$4:$B376))</f>
        <v/>
      </c>
      <c r="B376" s="40" t="n"/>
      <c r="C376" s="41" t="n"/>
      <c r="D376" s="41" t="n"/>
      <c r="E376" s="41" t="n"/>
      <c r="F376" s="50" t="n"/>
      <c r="G376" s="42" t="n"/>
      <c r="H376" s="42" t="n"/>
      <c r="I376" s="43">
        <f>IF($B376="","",N($G376)-N($H376))</f>
        <v/>
      </c>
    </row>
    <row r="377">
      <c r="A377" s="39">
        <f>IF($B377="","",COUNTA($B$4:$B377))</f>
        <v/>
      </c>
      <c r="B377" s="45" t="n"/>
      <c r="C377" s="46" t="n"/>
      <c r="D377" s="46" t="n"/>
      <c r="E377" s="46" t="n"/>
      <c r="F377" s="51" t="n"/>
      <c r="G377" s="47" t="n"/>
      <c r="H377" s="47" t="n"/>
      <c r="I377" s="43">
        <f>IF($B377="","",N($G377)-N($H377))</f>
        <v/>
      </c>
    </row>
    <row r="378">
      <c r="A378" s="39">
        <f>IF($B378="","",COUNTA($B$4:$B378))</f>
        <v/>
      </c>
      <c r="B378" s="40" t="n"/>
      <c r="C378" s="41" t="n"/>
      <c r="D378" s="41" t="n"/>
      <c r="E378" s="41" t="n"/>
      <c r="F378" s="50" t="n"/>
      <c r="G378" s="42" t="n"/>
      <c r="H378" s="42" t="n"/>
      <c r="I378" s="43">
        <f>IF($B378="","",N($G378)-N($H378))</f>
        <v/>
      </c>
    </row>
    <row r="379">
      <c r="A379" s="39">
        <f>IF($B379="","",COUNTA($B$4:$B379))</f>
        <v/>
      </c>
      <c r="B379" s="45" t="n"/>
      <c r="C379" s="46" t="n"/>
      <c r="D379" s="46" t="n"/>
      <c r="E379" s="46" t="n"/>
      <c r="F379" s="51" t="n"/>
      <c r="G379" s="47" t="n"/>
      <c r="H379" s="47" t="n"/>
      <c r="I379" s="43">
        <f>IF($B379="","",N($G379)-N($H379))</f>
        <v/>
      </c>
    </row>
    <row r="380">
      <c r="A380" s="39">
        <f>IF($B380="","",COUNTA($B$4:$B380))</f>
        <v/>
      </c>
      <c r="B380" s="40" t="n"/>
      <c r="C380" s="41" t="n"/>
      <c r="D380" s="41" t="n"/>
      <c r="E380" s="41" t="n"/>
      <c r="F380" s="50" t="n"/>
      <c r="G380" s="42" t="n"/>
      <c r="H380" s="42" t="n"/>
      <c r="I380" s="43">
        <f>IF($B380="","",N($G380)-N($H380))</f>
        <v/>
      </c>
    </row>
    <row r="381">
      <c r="A381" s="39">
        <f>IF($B381="","",COUNTA($B$4:$B381))</f>
        <v/>
      </c>
      <c r="B381" s="45" t="n"/>
      <c r="C381" s="46" t="n"/>
      <c r="D381" s="46" t="n"/>
      <c r="E381" s="46" t="n"/>
      <c r="F381" s="51" t="n"/>
      <c r="G381" s="47" t="n"/>
      <c r="H381" s="47" t="n"/>
      <c r="I381" s="43">
        <f>IF($B381="","",N($G381)-N($H381))</f>
        <v/>
      </c>
    </row>
    <row r="382">
      <c r="A382" s="39">
        <f>IF($B382="","",COUNTA($B$4:$B382))</f>
        <v/>
      </c>
      <c r="B382" s="40" t="n"/>
      <c r="C382" s="41" t="n"/>
      <c r="D382" s="41" t="n"/>
      <c r="E382" s="41" t="n"/>
      <c r="F382" s="50" t="n"/>
      <c r="G382" s="42" t="n"/>
      <c r="H382" s="42" t="n"/>
      <c r="I382" s="43">
        <f>IF($B382="","",N($G382)-N($H382))</f>
        <v/>
      </c>
    </row>
    <row r="383">
      <c r="A383" s="39">
        <f>IF($B383="","",COUNTA($B$4:$B383))</f>
        <v/>
      </c>
      <c r="B383" s="45" t="n"/>
      <c r="C383" s="46" t="n"/>
      <c r="D383" s="46" t="n"/>
      <c r="E383" s="46" t="n"/>
      <c r="F383" s="51" t="n"/>
      <c r="G383" s="47" t="n"/>
      <c r="H383" s="47" t="n"/>
      <c r="I383" s="43">
        <f>IF($B383="","",N($G383)-N($H383))</f>
        <v/>
      </c>
    </row>
    <row r="384">
      <c r="A384" s="39">
        <f>IF($B384="","",COUNTA($B$4:$B384))</f>
        <v/>
      </c>
      <c r="B384" s="40" t="n"/>
      <c r="C384" s="41" t="n"/>
      <c r="D384" s="41" t="n"/>
      <c r="E384" s="41" t="n"/>
      <c r="F384" s="50" t="n"/>
      <c r="G384" s="42" t="n"/>
      <c r="H384" s="42" t="n"/>
      <c r="I384" s="43">
        <f>IF($B384="","",N($G384)-N($H384))</f>
        <v/>
      </c>
    </row>
    <row r="385">
      <c r="A385" s="39">
        <f>IF($B385="","",COUNTA($B$4:$B385))</f>
        <v/>
      </c>
      <c r="B385" s="45" t="n"/>
      <c r="C385" s="46" t="n"/>
      <c r="D385" s="46" t="n"/>
      <c r="E385" s="46" t="n"/>
      <c r="F385" s="51" t="n"/>
      <c r="G385" s="47" t="n"/>
      <c r="H385" s="47" t="n"/>
      <c r="I385" s="43">
        <f>IF($B385="","",N($G385)-N($H385))</f>
        <v/>
      </c>
    </row>
    <row r="386">
      <c r="A386" s="39">
        <f>IF($B386="","",COUNTA($B$4:$B386))</f>
        <v/>
      </c>
      <c r="B386" s="40" t="n"/>
      <c r="C386" s="41" t="n"/>
      <c r="D386" s="41" t="n"/>
      <c r="E386" s="41" t="n"/>
      <c r="F386" s="50" t="n"/>
      <c r="G386" s="42" t="n"/>
      <c r="H386" s="42" t="n"/>
      <c r="I386" s="43">
        <f>IF($B386="","",N($G386)-N($H386))</f>
        <v/>
      </c>
    </row>
    <row r="387">
      <c r="A387" s="39">
        <f>IF($B387="","",COUNTA($B$4:$B387))</f>
        <v/>
      </c>
      <c r="B387" s="45" t="n"/>
      <c r="C387" s="46" t="n"/>
      <c r="D387" s="46" t="n"/>
      <c r="E387" s="46" t="n"/>
      <c r="F387" s="51" t="n"/>
      <c r="G387" s="47" t="n"/>
      <c r="H387" s="47" t="n"/>
      <c r="I387" s="43">
        <f>IF($B387="","",N($G387)-N($H387))</f>
        <v/>
      </c>
    </row>
    <row r="388">
      <c r="A388" s="39">
        <f>IF($B388="","",COUNTA($B$4:$B388))</f>
        <v/>
      </c>
      <c r="B388" s="40" t="n"/>
      <c r="C388" s="41" t="n"/>
      <c r="D388" s="41" t="n"/>
      <c r="E388" s="41" t="n"/>
      <c r="F388" s="50" t="n"/>
      <c r="G388" s="42" t="n"/>
      <c r="H388" s="42" t="n"/>
      <c r="I388" s="43">
        <f>IF($B388="","",N($G388)-N($H388))</f>
        <v/>
      </c>
    </row>
    <row r="389">
      <c r="A389" s="39">
        <f>IF($B389="","",COUNTA($B$4:$B389))</f>
        <v/>
      </c>
      <c r="B389" s="45" t="n"/>
      <c r="C389" s="46" t="n"/>
      <c r="D389" s="46" t="n"/>
      <c r="E389" s="46" t="n"/>
      <c r="F389" s="51" t="n"/>
      <c r="G389" s="47" t="n"/>
      <c r="H389" s="47" t="n"/>
      <c r="I389" s="43">
        <f>IF($B389="","",N($G389)-N($H389))</f>
        <v/>
      </c>
    </row>
    <row r="390">
      <c r="A390" s="39">
        <f>IF($B390="","",COUNTA($B$4:$B390))</f>
        <v/>
      </c>
      <c r="B390" s="40" t="n"/>
      <c r="C390" s="41" t="n"/>
      <c r="D390" s="41" t="n"/>
      <c r="E390" s="41" t="n"/>
      <c r="F390" s="50" t="n"/>
      <c r="G390" s="42" t="n"/>
      <c r="H390" s="42" t="n"/>
      <c r="I390" s="43">
        <f>IF($B390="","",N($G390)-N($H390))</f>
        <v/>
      </c>
    </row>
    <row r="391">
      <c r="A391" s="39">
        <f>IF($B391="","",COUNTA($B$4:$B391))</f>
        <v/>
      </c>
      <c r="B391" s="45" t="n"/>
      <c r="C391" s="46" t="n"/>
      <c r="D391" s="46" t="n"/>
      <c r="E391" s="46" t="n"/>
      <c r="F391" s="51" t="n"/>
      <c r="G391" s="47" t="n"/>
      <c r="H391" s="47" t="n"/>
      <c r="I391" s="43">
        <f>IF($B391="","",N($G391)-N($H391))</f>
        <v/>
      </c>
    </row>
    <row r="392">
      <c r="A392" s="39">
        <f>IF($B392="","",COUNTA($B$4:$B392))</f>
        <v/>
      </c>
      <c r="B392" s="40" t="n"/>
      <c r="C392" s="41" t="n"/>
      <c r="D392" s="41" t="n"/>
      <c r="E392" s="41" t="n"/>
      <c r="F392" s="50" t="n"/>
      <c r="G392" s="42" t="n"/>
      <c r="H392" s="42" t="n"/>
      <c r="I392" s="43">
        <f>IF($B392="","",N($G392)-N($H392))</f>
        <v/>
      </c>
    </row>
    <row r="393">
      <c r="A393" s="39">
        <f>IF($B393="","",COUNTA($B$4:$B393))</f>
        <v/>
      </c>
      <c r="B393" s="45" t="n"/>
      <c r="C393" s="46" t="n"/>
      <c r="D393" s="46" t="n"/>
      <c r="E393" s="46" t="n"/>
      <c r="F393" s="51" t="n"/>
      <c r="G393" s="47" t="n"/>
      <c r="H393" s="47" t="n"/>
      <c r="I393" s="43">
        <f>IF($B393="","",N($G393)-N($H393))</f>
        <v/>
      </c>
    </row>
    <row r="394">
      <c r="A394" s="39">
        <f>IF($B394="","",COUNTA($B$4:$B394))</f>
        <v/>
      </c>
      <c r="B394" s="40" t="n"/>
      <c r="C394" s="41" t="n"/>
      <c r="D394" s="41" t="n"/>
      <c r="E394" s="41" t="n"/>
      <c r="F394" s="50" t="n"/>
      <c r="G394" s="42" t="n"/>
      <c r="H394" s="42" t="n"/>
      <c r="I394" s="43">
        <f>IF($B394="","",N($G394)-N($H394))</f>
        <v/>
      </c>
    </row>
    <row r="395">
      <c r="A395" s="39">
        <f>IF($B395="","",COUNTA($B$4:$B395))</f>
        <v/>
      </c>
      <c r="B395" s="45" t="n"/>
      <c r="C395" s="46" t="n"/>
      <c r="D395" s="46" t="n"/>
      <c r="E395" s="46" t="n"/>
      <c r="F395" s="51" t="n"/>
      <c r="G395" s="47" t="n"/>
      <c r="H395" s="47" t="n"/>
      <c r="I395" s="43">
        <f>IF($B395="","",N($G395)-N($H395))</f>
        <v/>
      </c>
    </row>
    <row r="396">
      <c r="A396" s="39">
        <f>IF($B396="","",COUNTA($B$4:$B396))</f>
        <v/>
      </c>
      <c r="B396" s="40" t="n"/>
      <c r="C396" s="41" t="n"/>
      <c r="D396" s="41" t="n"/>
      <c r="E396" s="41" t="n"/>
      <c r="F396" s="50" t="n"/>
      <c r="G396" s="42" t="n"/>
      <c r="H396" s="42" t="n"/>
      <c r="I396" s="43">
        <f>IF($B396="","",N($G396)-N($H396))</f>
        <v/>
      </c>
    </row>
    <row r="397">
      <c r="A397" s="39">
        <f>IF($B397="","",COUNTA($B$4:$B397))</f>
        <v/>
      </c>
      <c r="B397" s="45" t="n"/>
      <c r="C397" s="46" t="n"/>
      <c r="D397" s="46" t="n"/>
      <c r="E397" s="46" t="n"/>
      <c r="F397" s="51" t="n"/>
      <c r="G397" s="47" t="n"/>
      <c r="H397" s="47" t="n"/>
      <c r="I397" s="43">
        <f>IF($B397="","",N($G397)-N($H397))</f>
        <v/>
      </c>
    </row>
    <row r="398">
      <c r="A398" s="39">
        <f>IF($B398="","",COUNTA($B$4:$B398))</f>
        <v/>
      </c>
      <c r="B398" s="40" t="n"/>
      <c r="C398" s="41" t="n"/>
      <c r="D398" s="41" t="n"/>
      <c r="E398" s="41" t="n"/>
      <c r="F398" s="50" t="n"/>
      <c r="G398" s="42" t="n"/>
      <c r="H398" s="42" t="n"/>
      <c r="I398" s="43">
        <f>IF($B398="","",N($G398)-N($H398))</f>
        <v/>
      </c>
    </row>
    <row r="399">
      <c r="A399" s="39">
        <f>IF($B399="","",COUNTA($B$4:$B399))</f>
        <v/>
      </c>
      <c r="B399" s="45" t="n"/>
      <c r="C399" s="46" t="n"/>
      <c r="D399" s="46" t="n"/>
      <c r="E399" s="46" t="n"/>
      <c r="F399" s="51" t="n"/>
      <c r="G399" s="47" t="n"/>
      <c r="H399" s="47" t="n"/>
      <c r="I399" s="43">
        <f>IF($B399="","",N($G399)-N($H399))</f>
        <v/>
      </c>
    </row>
    <row r="400">
      <c r="A400" s="39">
        <f>IF($B400="","",COUNTA($B$4:$B400))</f>
        <v/>
      </c>
      <c r="B400" s="40" t="n"/>
      <c r="C400" s="41" t="n"/>
      <c r="D400" s="41" t="n"/>
      <c r="E400" s="41" t="n"/>
      <c r="F400" s="50" t="n"/>
      <c r="G400" s="42" t="n"/>
      <c r="H400" s="42" t="n"/>
      <c r="I400" s="43">
        <f>IF($B400="","",N($G400)-N($H400))</f>
        <v/>
      </c>
    </row>
    <row r="401">
      <c r="A401" s="39">
        <f>IF($B401="","",COUNTA($B$4:$B401))</f>
        <v/>
      </c>
      <c r="B401" s="45" t="n"/>
      <c r="C401" s="46" t="n"/>
      <c r="D401" s="46" t="n"/>
      <c r="E401" s="46" t="n"/>
      <c r="F401" s="51" t="n"/>
      <c r="G401" s="47" t="n"/>
      <c r="H401" s="47" t="n"/>
      <c r="I401" s="43">
        <f>IF($B401="","",N($G401)-N($H401))</f>
        <v/>
      </c>
    </row>
    <row r="402">
      <c r="A402" s="39">
        <f>IF($B402="","",COUNTA($B$4:$B402))</f>
        <v/>
      </c>
      <c r="B402" s="40" t="n"/>
      <c r="C402" s="41" t="n"/>
      <c r="D402" s="41" t="n"/>
      <c r="E402" s="41" t="n"/>
      <c r="F402" s="50" t="n"/>
      <c r="G402" s="42" t="n"/>
      <c r="H402" s="42" t="n"/>
      <c r="I402" s="43">
        <f>IF($B402="","",N($G402)-N($H402))</f>
        <v/>
      </c>
    </row>
    <row r="403">
      <c r="A403" s="39">
        <f>IF($B403="","",COUNTA($B$4:$B403))</f>
        <v/>
      </c>
      <c r="B403" s="45" t="n"/>
      <c r="C403" s="46" t="n"/>
      <c r="D403" s="46" t="n"/>
      <c r="E403" s="46" t="n"/>
      <c r="F403" s="51" t="n"/>
      <c r="G403" s="47" t="n"/>
      <c r="H403" s="47" t="n"/>
      <c r="I403" s="43">
        <f>IF($B403="","",N($G403)-N($H403))</f>
        <v/>
      </c>
    </row>
    <row r="404">
      <c r="A404" s="39">
        <f>IF($B404="","",COUNTA($B$4:$B404))</f>
        <v/>
      </c>
      <c r="B404" s="40" t="n"/>
      <c r="C404" s="41" t="n"/>
      <c r="D404" s="41" t="n"/>
      <c r="E404" s="41" t="n"/>
      <c r="F404" s="50" t="n"/>
      <c r="G404" s="42" t="n"/>
      <c r="H404" s="42" t="n"/>
      <c r="I404" s="43">
        <f>IF($B404="","",N($G404)-N($H404))</f>
        <v/>
      </c>
    </row>
    <row r="405">
      <c r="A405" s="39">
        <f>IF($B405="","",COUNTA($B$4:$B405))</f>
        <v/>
      </c>
      <c r="B405" s="45" t="n"/>
      <c r="C405" s="46" t="n"/>
      <c r="D405" s="46" t="n"/>
      <c r="E405" s="46" t="n"/>
      <c r="F405" s="51" t="n"/>
      <c r="G405" s="47" t="n"/>
      <c r="H405" s="47" t="n"/>
      <c r="I405" s="43">
        <f>IF($B405="","",N($G405)-N($H405))</f>
        <v/>
      </c>
    </row>
    <row r="406">
      <c r="A406" s="39">
        <f>IF($B406="","",COUNTA($B$4:$B406))</f>
        <v/>
      </c>
      <c r="B406" s="40" t="n"/>
      <c r="C406" s="41" t="n"/>
      <c r="D406" s="41" t="n"/>
      <c r="E406" s="41" t="n"/>
      <c r="F406" s="50" t="n"/>
      <c r="G406" s="42" t="n"/>
      <c r="H406" s="42" t="n"/>
      <c r="I406" s="43">
        <f>IF($B406="","",N($G406)-N($H406))</f>
        <v/>
      </c>
    </row>
    <row r="407">
      <c r="A407" s="39">
        <f>IF($B407="","",COUNTA($B$4:$B407))</f>
        <v/>
      </c>
      <c r="B407" s="45" t="n"/>
      <c r="C407" s="46" t="n"/>
      <c r="D407" s="46" t="n"/>
      <c r="E407" s="46" t="n"/>
      <c r="F407" s="51" t="n"/>
      <c r="G407" s="47" t="n"/>
      <c r="H407" s="47" t="n"/>
      <c r="I407" s="43">
        <f>IF($B407="","",N($G407)-N($H407))</f>
        <v/>
      </c>
    </row>
    <row r="408">
      <c r="A408" s="39">
        <f>IF($B408="","",COUNTA($B$4:$B408))</f>
        <v/>
      </c>
      <c r="B408" s="40" t="n"/>
      <c r="C408" s="41" t="n"/>
      <c r="D408" s="41" t="n"/>
      <c r="E408" s="41" t="n"/>
      <c r="F408" s="50" t="n"/>
      <c r="G408" s="42" t="n"/>
      <c r="H408" s="42" t="n"/>
      <c r="I408" s="43">
        <f>IF($B408="","",N($G408)-N($H408))</f>
        <v/>
      </c>
    </row>
    <row r="409">
      <c r="A409" s="39">
        <f>IF($B409="","",COUNTA($B$4:$B409))</f>
        <v/>
      </c>
      <c r="B409" s="45" t="n"/>
      <c r="C409" s="46" t="n"/>
      <c r="D409" s="46" t="n"/>
      <c r="E409" s="46" t="n"/>
      <c r="F409" s="51" t="n"/>
      <c r="G409" s="47" t="n"/>
      <c r="H409" s="47" t="n"/>
      <c r="I409" s="43">
        <f>IF($B409="","",N($G409)-N($H409))</f>
        <v/>
      </c>
    </row>
    <row r="410">
      <c r="A410" s="39">
        <f>IF($B410="","",COUNTA($B$4:$B410))</f>
        <v/>
      </c>
      <c r="B410" s="40" t="n"/>
      <c r="C410" s="41" t="n"/>
      <c r="D410" s="41" t="n"/>
      <c r="E410" s="41" t="n"/>
      <c r="F410" s="50" t="n"/>
      <c r="G410" s="42" t="n"/>
      <c r="H410" s="42" t="n"/>
      <c r="I410" s="43">
        <f>IF($B410="","",N($G410)-N($H410))</f>
        <v/>
      </c>
    </row>
    <row r="411">
      <c r="A411" s="39">
        <f>IF($B411="","",COUNTA($B$4:$B411))</f>
        <v/>
      </c>
      <c r="B411" s="45" t="n"/>
      <c r="C411" s="46" t="n"/>
      <c r="D411" s="46" t="n"/>
      <c r="E411" s="46" t="n"/>
      <c r="F411" s="51" t="n"/>
      <c r="G411" s="47" t="n"/>
      <c r="H411" s="47" t="n"/>
      <c r="I411" s="43">
        <f>IF($B411="","",N($G411)-N($H411))</f>
        <v/>
      </c>
    </row>
    <row r="412">
      <c r="A412" s="39">
        <f>IF($B412="","",COUNTA($B$4:$B412))</f>
        <v/>
      </c>
      <c r="B412" s="40" t="n"/>
      <c r="C412" s="41" t="n"/>
      <c r="D412" s="41" t="n"/>
      <c r="E412" s="41" t="n"/>
      <c r="F412" s="50" t="n"/>
      <c r="G412" s="42" t="n"/>
      <c r="H412" s="42" t="n"/>
      <c r="I412" s="43">
        <f>IF($B412="","",N($G412)-N($H412))</f>
        <v/>
      </c>
    </row>
    <row r="413">
      <c r="A413" s="39">
        <f>IF($B413="","",COUNTA($B$4:$B413))</f>
        <v/>
      </c>
      <c r="B413" s="45" t="n"/>
      <c r="C413" s="46" t="n"/>
      <c r="D413" s="46" t="n"/>
      <c r="E413" s="46" t="n"/>
      <c r="F413" s="51" t="n"/>
      <c r="G413" s="47" t="n"/>
      <c r="H413" s="47" t="n"/>
      <c r="I413" s="43">
        <f>IF($B413="","",N($G413)-N($H413))</f>
        <v/>
      </c>
    </row>
    <row r="414">
      <c r="A414" s="39">
        <f>IF($B414="","",COUNTA($B$4:$B414))</f>
        <v/>
      </c>
      <c r="B414" s="40" t="n"/>
      <c r="C414" s="41" t="n"/>
      <c r="D414" s="41" t="n"/>
      <c r="E414" s="41" t="n"/>
      <c r="F414" s="50" t="n"/>
      <c r="G414" s="42" t="n"/>
      <c r="H414" s="42" t="n"/>
      <c r="I414" s="43">
        <f>IF($B414="","",N($G414)-N($H414))</f>
        <v/>
      </c>
    </row>
    <row r="415">
      <c r="A415" s="39">
        <f>IF($B415="","",COUNTA($B$4:$B415))</f>
        <v/>
      </c>
      <c r="B415" s="45" t="n"/>
      <c r="C415" s="46" t="n"/>
      <c r="D415" s="46" t="n"/>
      <c r="E415" s="46" t="n"/>
      <c r="F415" s="51" t="n"/>
      <c r="G415" s="47" t="n"/>
      <c r="H415" s="47" t="n"/>
      <c r="I415" s="43">
        <f>IF($B415="","",N($G415)-N($H415))</f>
        <v/>
      </c>
    </row>
    <row r="416">
      <c r="A416" s="39">
        <f>IF($B416="","",COUNTA($B$4:$B416))</f>
        <v/>
      </c>
      <c r="B416" s="40" t="n"/>
      <c r="C416" s="41" t="n"/>
      <c r="D416" s="41" t="n"/>
      <c r="E416" s="41" t="n"/>
      <c r="F416" s="50" t="n"/>
      <c r="G416" s="42" t="n"/>
      <c r="H416" s="42" t="n"/>
      <c r="I416" s="43">
        <f>IF($B416="","",N($G416)-N($H416))</f>
        <v/>
      </c>
    </row>
    <row r="417">
      <c r="A417" s="39">
        <f>IF($B417="","",COUNTA($B$4:$B417))</f>
        <v/>
      </c>
      <c r="B417" s="45" t="n"/>
      <c r="C417" s="46" t="n"/>
      <c r="D417" s="46" t="n"/>
      <c r="E417" s="46" t="n"/>
      <c r="F417" s="51" t="n"/>
      <c r="G417" s="47" t="n"/>
      <c r="H417" s="47" t="n"/>
      <c r="I417" s="43">
        <f>IF($B417="","",N($G417)-N($H417))</f>
        <v/>
      </c>
    </row>
    <row r="418">
      <c r="A418" s="39">
        <f>IF($B418="","",COUNTA($B$4:$B418))</f>
        <v/>
      </c>
      <c r="B418" s="40" t="n"/>
      <c r="C418" s="41" t="n"/>
      <c r="D418" s="41" t="n"/>
      <c r="E418" s="41" t="n"/>
      <c r="F418" s="50" t="n"/>
      <c r="G418" s="42" t="n"/>
      <c r="H418" s="42" t="n"/>
      <c r="I418" s="43">
        <f>IF($B418="","",N($G418)-N($H418))</f>
        <v/>
      </c>
    </row>
    <row r="419">
      <c r="A419" s="39">
        <f>IF($B419="","",COUNTA($B$4:$B419))</f>
        <v/>
      </c>
      <c r="B419" s="45" t="n"/>
      <c r="C419" s="46" t="n"/>
      <c r="D419" s="46" t="n"/>
      <c r="E419" s="46" t="n"/>
      <c r="F419" s="51" t="n"/>
      <c r="G419" s="47" t="n"/>
      <c r="H419" s="47" t="n"/>
      <c r="I419" s="43">
        <f>IF($B419="","",N($G419)-N($H419))</f>
        <v/>
      </c>
    </row>
    <row r="420">
      <c r="A420" s="39">
        <f>IF($B420="","",COUNTA($B$4:$B420))</f>
        <v/>
      </c>
      <c r="B420" s="40" t="n"/>
      <c r="C420" s="41" t="n"/>
      <c r="D420" s="41" t="n"/>
      <c r="E420" s="41" t="n"/>
      <c r="F420" s="50" t="n"/>
      <c r="G420" s="42" t="n"/>
      <c r="H420" s="42" t="n"/>
      <c r="I420" s="43">
        <f>IF($B420="","",N($G420)-N($H420))</f>
        <v/>
      </c>
    </row>
    <row r="421">
      <c r="A421" s="39">
        <f>IF($B421="","",COUNTA($B$4:$B421))</f>
        <v/>
      </c>
      <c r="B421" s="45" t="n"/>
      <c r="C421" s="46" t="n"/>
      <c r="D421" s="46" t="n"/>
      <c r="E421" s="46" t="n"/>
      <c r="F421" s="51" t="n"/>
      <c r="G421" s="47" t="n"/>
      <c r="H421" s="47" t="n"/>
      <c r="I421" s="43">
        <f>IF($B421="","",N($G421)-N($H421))</f>
        <v/>
      </c>
    </row>
    <row r="422">
      <c r="A422" s="39">
        <f>IF($B422="","",COUNTA($B$4:$B422))</f>
        <v/>
      </c>
      <c r="B422" s="40" t="n"/>
      <c r="C422" s="41" t="n"/>
      <c r="D422" s="41" t="n"/>
      <c r="E422" s="41" t="n"/>
      <c r="F422" s="50" t="n"/>
      <c r="G422" s="42" t="n"/>
      <c r="H422" s="42" t="n"/>
      <c r="I422" s="43">
        <f>IF($B422="","",N($G422)-N($H422))</f>
        <v/>
      </c>
    </row>
    <row r="423">
      <c r="A423" s="39">
        <f>IF($B423="","",COUNTA($B$4:$B423))</f>
        <v/>
      </c>
      <c r="B423" s="45" t="n"/>
      <c r="C423" s="46" t="n"/>
      <c r="D423" s="46" t="n"/>
      <c r="E423" s="46" t="n"/>
      <c r="F423" s="51" t="n"/>
      <c r="G423" s="47" t="n"/>
      <c r="H423" s="47" t="n"/>
      <c r="I423" s="43">
        <f>IF($B423="","",N($G423)-N($H423))</f>
        <v/>
      </c>
    </row>
    <row r="424">
      <c r="A424" s="39">
        <f>IF($B424="","",COUNTA($B$4:$B424))</f>
        <v/>
      </c>
      <c r="B424" s="40" t="n"/>
      <c r="C424" s="41" t="n"/>
      <c r="D424" s="41" t="n"/>
      <c r="E424" s="41" t="n"/>
      <c r="F424" s="50" t="n"/>
      <c r="G424" s="42" t="n"/>
      <c r="H424" s="42" t="n"/>
      <c r="I424" s="43">
        <f>IF($B424="","",N($G424)-N($H424))</f>
        <v/>
      </c>
    </row>
    <row r="425">
      <c r="A425" s="39">
        <f>IF($B425="","",COUNTA($B$4:$B425))</f>
        <v/>
      </c>
      <c r="B425" s="45" t="n"/>
      <c r="C425" s="46" t="n"/>
      <c r="D425" s="46" t="n"/>
      <c r="E425" s="46" t="n"/>
      <c r="F425" s="51" t="n"/>
      <c r="G425" s="47" t="n"/>
      <c r="H425" s="47" t="n"/>
      <c r="I425" s="43">
        <f>IF($B425="","",N($G425)-N($H425))</f>
        <v/>
      </c>
    </row>
    <row r="426">
      <c r="A426" s="39">
        <f>IF($B426="","",COUNTA($B$4:$B426))</f>
        <v/>
      </c>
      <c r="B426" s="40" t="n"/>
      <c r="C426" s="41" t="n"/>
      <c r="D426" s="41" t="n"/>
      <c r="E426" s="41" t="n"/>
      <c r="F426" s="50" t="n"/>
      <c r="G426" s="42" t="n"/>
      <c r="H426" s="42" t="n"/>
      <c r="I426" s="43">
        <f>IF($B426="","",N($G426)-N($H426))</f>
        <v/>
      </c>
    </row>
    <row r="427">
      <c r="A427" s="39">
        <f>IF($B427="","",COUNTA($B$4:$B427))</f>
        <v/>
      </c>
      <c r="B427" s="45" t="n"/>
      <c r="C427" s="46" t="n"/>
      <c r="D427" s="46" t="n"/>
      <c r="E427" s="46" t="n"/>
      <c r="F427" s="51" t="n"/>
      <c r="G427" s="47" t="n"/>
      <c r="H427" s="47" t="n"/>
      <c r="I427" s="43">
        <f>IF($B427="","",N($G427)-N($H427))</f>
        <v/>
      </c>
    </row>
    <row r="428">
      <c r="A428" s="39">
        <f>IF($B428="","",COUNTA($B$4:$B428))</f>
        <v/>
      </c>
      <c r="B428" s="40" t="n"/>
      <c r="C428" s="41" t="n"/>
      <c r="D428" s="41" t="n"/>
      <c r="E428" s="41" t="n"/>
      <c r="F428" s="50" t="n"/>
      <c r="G428" s="42" t="n"/>
      <c r="H428" s="42" t="n"/>
      <c r="I428" s="43">
        <f>IF($B428="","",N($G428)-N($H428))</f>
        <v/>
      </c>
    </row>
    <row r="429">
      <c r="A429" s="39">
        <f>IF($B429="","",COUNTA($B$4:$B429))</f>
        <v/>
      </c>
      <c r="B429" s="45" t="n"/>
      <c r="C429" s="46" t="n"/>
      <c r="D429" s="46" t="n"/>
      <c r="E429" s="46" t="n"/>
      <c r="F429" s="51" t="n"/>
      <c r="G429" s="47" t="n"/>
      <c r="H429" s="47" t="n"/>
      <c r="I429" s="43">
        <f>IF($B429="","",N($G429)-N($H429))</f>
        <v/>
      </c>
    </row>
    <row r="430">
      <c r="A430" s="39">
        <f>IF($B430="","",COUNTA($B$4:$B430))</f>
        <v/>
      </c>
      <c r="B430" s="40" t="n"/>
      <c r="C430" s="41" t="n"/>
      <c r="D430" s="41" t="n"/>
      <c r="E430" s="41" t="n"/>
      <c r="F430" s="50" t="n"/>
      <c r="G430" s="42" t="n"/>
      <c r="H430" s="42" t="n"/>
      <c r="I430" s="43">
        <f>IF($B430="","",N($G430)-N($H430))</f>
        <v/>
      </c>
    </row>
    <row r="431">
      <c r="A431" s="39">
        <f>IF($B431="","",COUNTA($B$4:$B431))</f>
        <v/>
      </c>
      <c r="B431" s="45" t="n"/>
      <c r="C431" s="46" t="n"/>
      <c r="D431" s="46" t="n"/>
      <c r="E431" s="46" t="n"/>
      <c r="F431" s="51" t="n"/>
      <c r="G431" s="47" t="n"/>
      <c r="H431" s="47" t="n"/>
      <c r="I431" s="43">
        <f>IF($B431="","",N($G431)-N($H431))</f>
        <v/>
      </c>
    </row>
    <row r="432">
      <c r="A432" s="39">
        <f>IF($B432="","",COUNTA($B$4:$B432))</f>
        <v/>
      </c>
      <c r="B432" s="40" t="n"/>
      <c r="C432" s="41" t="n"/>
      <c r="D432" s="41" t="n"/>
      <c r="E432" s="41" t="n"/>
      <c r="F432" s="50" t="n"/>
      <c r="G432" s="42" t="n"/>
      <c r="H432" s="42" t="n"/>
      <c r="I432" s="43">
        <f>IF($B432="","",N($G432)-N($H432))</f>
        <v/>
      </c>
    </row>
    <row r="433">
      <c r="A433" s="39">
        <f>IF($B433="","",COUNTA($B$4:$B433))</f>
        <v/>
      </c>
      <c r="B433" s="45" t="n"/>
      <c r="C433" s="46" t="n"/>
      <c r="D433" s="46" t="n"/>
      <c r="E433" s="46" t="n"/>
      <c r="F433" s="51" t="n"/>
      <c r="G433" s="47" t="n"/>
      <c r="H433" s="47" t="n"/>
      <c r="I433" s="43">
        <f>IF($B433="","",N($G433)-N($H433))</f>
        <v/>
      </c>
    </row>
    <row r="434">
      <c r="A434" s="39">
        <f>IF($B434="","",COUNTA($B$4:$B434))</f>
        <v/>
      </c>
      <c r="B434" s="40" t="n"/>
      <c r="C434" s="41" t="n"/>
      <c r="D434" s="41" t="n"/>
      <c r="E434" s="41" t="n"/>
      <c r="F434" s="50" t="n"/>
      <c r="G434" s="42" t="n"/>
      <c r="H434" s="42" t="n"/>
      <c r="I434" s="43">
        <f>IF($B434="","",N($G434)-N($H434))</f>
        <v/>
      </c>
    </row>
    <row r="435">
      <c r="A435" s="39">
        <f>IF($B435="","",COUNTA($B$4:$B435))</f>
        <v/>
      </c>
      <c r="B435" s="45" t="n"/>
      <c r="C435" s="46" t="n"/>
      <c r="D435" s="46" t="n"/>
      <c r="E435" s="46" t="n"/>
      <c r="F435" s="51" t="n"/>
      <c r="G435" s="47" t="n"/>
      <c r="H435" s="47" t="n"/>
      <c r="I435" s="43">
        <f>IF($B435="","",N($G435)-N($H435))</f>
        <v/>
      </c>
    </row>
    <row r="436">
      <c r="A436" s="39">
        <f>IF($B436="","",COUNTA($B$4:$B436))</f>
        <v/>
      </c>
      <c r="B436" s="40" t="n"/>
      <c r="C436" s="41" t="n"/>
      <c r="D436" s="41" t="n"/>
      <c r="E436" s="41" t="n"/>
      <c r="F436" s="50" t="n"/>
      <c r="G436" s="42" t="n"/>
      <c r="H436" s="42" t="n"/>
      <c r="I436" s="43">
        <f>IF($B436="","",N($G436)-N($H436))</f>
        <v/>
      </c>
    </row>
    <row r="437">
      <c r="A437" s="39">
        <f>IF($B437="","",COUNTA($B$4:$B437))</f>
        <v/>
      </c>
      <c r="B437" s="45" t="n"/>
      <c r="C437" s="46" t="n"/>
      <c r="D437" s="46" t="n"/>
      <c r="E437" s="46" t="n"/>
      <c r="F437" s="51" t="n"/>
      <c r="G437" s="47" t="n"/>
      <c r="H437" s="47" t="n"/>
      <c r="I437" s="43">
        <f>IF($B437="","",N($G437)-N($H437))</f>
        <v/>
      </c>
    </row>
    <row r="438">
      <c r="A438" s="39">
        <f>IF($B438="","",COUNTA($B$4:$B438))</f>
        <v/>
      </c>
      <c r="B438" s="40" t="n"/>
      <c r="C438" s="41" t="n"/>
      <c r="D438" s="41" t="n"/>
      <c r="E438" s="41" t="n"/>
      <c r="F438" s="50" t="n"/>
      <c r="G438" s="42" t="n"/>
      <c r="H438" s="42" t="n"/>
      <c r="I438" s="43">
        <f>IF($B438="","",N($G438)-N($H438))</f>
        <v/>
      </c>
    </row>
    <row r="439">
      <c r="A439" s="39">
        <f>IF($B439="","",COUNTA($B$4:$B439))</f>
        <v/>
      </c>
      <c r="B439" s="45" t="n"/>
      <c r="C439" s="46" t="n"/>
      <c r="D439" s="46" t="n"/>
      <c r="E439" s="46" t="n"/>
      <c r="F439" s="51" t="n"/>
      <c r="G439" s="47" t="n"/>
      <c r="H439" s="47" t="n"/>
      <c r="I439" s="43">
        <f>IF($B439="","",N($G439)-N($H439))</f>
        <v/>
      </c>
    </row>
    <row r="440">
      <c r="A440" s="39">
        <f>IF($B440="","",COUNTA($B$4:$B440))</f>
        <v/>
      </c>
      <c r="B440" s="40" t="n"/>
      <c r="C440" s="41" t="n"/>
      <c r="D440" s="41" t="n"/>
      <c r="E440" s="41" t="n"/>
      <c r="F440" s="50" t="n"/>
      <c r="G440" s="42" t="n"/>
      <c r="H440" s="42" t="n"/>
      <c r="I440" s="43">
        <f>IF($B440="","",N($G440)-N($H440))</f>
        <v/>
      </c>
    </row>
    <row r="441">
      <c r="A441" s="39">
        <f>IF($B441="","",COUNTA($B$4:$B441))</f>
        <v/>
      </c>
      <c r="B441" s="45" t="n"/>
      <c r="C441" s="46" t="n"/>
      <c r="D441" s="46" t="n"/>
      <c r="E441" s="46" t="n"/>
      <c r="F441" s="51" t="n"/>
      <c r="G441" s="47" t="n"/>
      <c r="H441" s="47" t="n"/>
      <c r="I441" s="43">
        <f>IF($B441="","",N($G441)-N($H441))</f>
        <v/>
      </c>
    </row>
    <row r="442">
      <c r="A442" s="39">
        <f>IF($B442="","",COUNTA($B$4:$B442))</f>
        <v/>
      </c>
      <c r="B442" s="40" t="n"/>
      <c r="C442" s="41" t="n"/>
      <c r="D442" s="41" t="n"/>
      <c r="E442" s="41" t="n"/>
      <c r="F442" s="50" t="n"/>
      <c r="G442" s="42" t="n"/>
      <c r="H442" s="42" t="n"/>
      <c r="I442" s="43">
        <f>IF($B442="","",N($G442)-N($H442))</f>
        <v/>
      </c>
    </row>
    <row r="443">
      <c r="A443" s="39">
        <f>IF($B443="","",COUNTA($B$4:$B443))</f>
        <v/>
      </c>
      <c r="B443" s="45" t="n"/>
      <c r="C443" s="46" t="n"/>
      <c r="D443" s="46" t="n"/>
      <c r="E443" s="46" t="n"/>
      <c r="F443" s="51" t="n"/>
      <c r="G443" s="47" t="n"/>
      <c r="H443" s="47" t="n"/>
      <c r="I443" s="43">
        <f>IF($B443="","",N($G443)-N($H443))</f>
        <v/>
      </c>
    </row>
    <row r="444">
      <c r="A444" s="39">
        <f>IF($B444="","",COUNTA($B$4:$B444))</f>
        <v/>
      </c>
      <c r="B444" s="40" t="n"/>
      <c r="C444" s="41" t="n"/>
      <c r="D444" s="41" t="n"/>
      <c r="E444" s="41" t="n"/>
      <c r="F444" s="50" t="n"/>
      <c r="G444" s="42" t="n"/>
      <c r="H444" s="42" t="n"/>
      <c r="I444" s="43">
        <f>IF($B444="","",N($G444)-N($H444))</f>
        <v/>
      </c>
    </row>
    <row r="445">
      <c r="A445" s="39">
        <f>IF($B445="","",COUNTA($B$4:$B445))</f>
        <v/>
      </c>
      <c r="B445" s="45" t="n"/>
      <c r="C445" s="46" t="n"/>
      <c r="D445" s="46" t="n"/>
      <c r="E445" s="46" t="n"/>
      <c r="F445" s="51" t="n"/>
      <c r="G445" s="47" t="n"/>
      <c r="H445" s="47" t="n"/>
      <c r="I445" s="43">
        <f>IF($B445="","",N($G445)-N($H445))</f>
        <v/>
      </c>
    </row>
    <row r="446">
      <c r="A446" s="39">
        <f>IF($B446="","",COUNTA($B$4:$B446))</f>
        <v/>
      </c>
      <c r="B446" s="40" t="n"/>
      <c r="C446" s="41" t="n"/>
      <c r="D446" s="41" t="n"/>
      <c r="E446" s="41" t="n"/>
      <c r="F446" s="50" t="n"/>
      <c r="G446" s="42" t="n"/>
      <c r="H446" s="42" t="n"/>
      <c r="I446" s="43">
        <f>IF($B446="","",N($G446)-N($H446))</f>
        <v/>
      </c>
    </row>
    <row r="447">
      <c r="A447" s="39">
        <f>IF($B447="","",COUNTA($B$4:$B447))</f>
        <v/>
      </c>
      <c r="B447" s="45" t="n"/>
      <c r="C447" s="46" t="n"/>
      <c r="D447" s="46" t="n"/>
      <c r="E447" s="46" t="n"/>
      <c r="F447" s="51" t="n"/>
      <c r="G447" s="47" t="n"/>
      <c r="H447" s="47" t="n"/>
      <c r="I447" s="43">
        <f>IF($B447="","",N($G447)-N($H447))</f>
        <v/>
      </c>
    </row>
    <row r="448">
      <c r="A448" s="39">
        <f>IF($B448="","",COUNTA($B$4:$B448))</f>
        <v/>
      </c>
      <c r="B448" s="40" t="n"/>
      <c r="C448" s="41" t="n"/>
      <c r="D448" s="41" t="n"/>
      <c r="E448" s="41" t="n"/>
      <c r="F448" s="50" t="n"/>
      <c r="G448" s="42" t="n"/>
      <c r="H448" s="42" t="n"/>
      <c r="I448" s="43">
        <f>IF($B448="","",N($G448)-N($H448))</f>
        <v/>
      </c>
    </row>
    <row r="449">
      <c r="A449" s="39">
        <f>IF($B449="","",COUNTA($B$4:$B449))</f>
        <v/>
      </c>
      <c r="B449" s="45" t="n"/>
      <c r="C449" s="46" t="n"/>
      <c r="D449" s="46" t="n"/>
      <c r="E449" s="46" t="n"/>
      <c r="F449" s="51" t="n"/>
      <c r="G449" s="47" t="n"/>
      <c r="H449" s="47" t="n"/>
      <c r="I449" s="43">
        <f>IF($B449="","",N($G449)-N($H449))</f>
        <v/>
      </c>
    </row>
    <row r="450">
      <c r="A450" s="39">
        <f>IF($B450="","",COUNTA($B$4:$B450))</f>
        <v/>
      </c>
      <c r="B450" s="40" t="n"/>
      <c r="C450" s="41" t="n"/>
      <c r="D450" s="41" t="n"/>
      <c r="E450" s="41" t="n"/>
      <c r="F450" s="50" t="n"/>
      <c r="G450" s="42" t="n"/>
      <c r="H450" s="42" t="n"/>
      <c r="I450" s="43">
        <f>IF($B450="","",N($G450)-N($H450))</f>
        <v/>
      </c>
    </row>
    <row r="451">
      <c r="A451" s="39">
        <f>IF($B451="","",COUNTA($B$4:$B451))</f>
        <v/>
      </c>
      <c r="B451" s="45" t="n"/>
      <c r="C451" s="46" t="n"/>
      <c r="D451" s="46" t="n"/>
      <c r="E451" s="46" t="n"/>
      <c r="F451" s="51" t="n"/>
      <c r="G451" s="47" t="n"/>
      <c r="H451" s="47" t="n"/>
      <c r="I451" s="43">
        <f>IF($B451="","",N($G451)-N($H451))</f>
        <v/>
      </c>
    </row>
    <row r="452">
      <c r="A452" s="39">
        <f>IF($B452="","",COUNTA($B$4:$B452))</f>
        <v/>
      </c>
      <c r="B452" s="40" t="n"/>
      <c r="C452" s="41" t="n"/>
      <c r="D452" s="41" t="n"/>
      <c r="E452" s="41" t="n"/>
      <c r="F452" s="50" t="n"/>
      <c r="G452" s="42" t="n"/>
      <c r="H452" s="42" t="n"/>
      <c r="I452" s="43">
        <f>IF($B452="","",N($G452)-N($H452))</f>
        <v/>
      </c>
    </row>
    <row r="453">
      <c r="A453" s="39">
        <f>IF($B453="","",COUNTA($B$4:$B453))</f>
        <v/>
      </c>
      <c r="B453" s="45" t="n"/>
      <c r="C453" s="46" t="n"/>
      <c r="D453" s="46" t="n"/>
      <c r="E453" s="46" t="n"/>
      <c r="F453" s="51" t="n"/>
      <c r="G453" s="47" t="n"/>
      <c r="H453" s="47" t="n"/>
      <c r="I453" s="43">
        <f>IF($B453="","",N($G453)-N($H453))</f>
        <v/>
      </c>
    </row>
    <row r="454">
      <c r="A454" s="39">
        <f>IF($B454="","",COUNTA($B$4:$B454))</f>
        <v/>
      </c>
      <c r="B454" s="40" t="n"/>
      <c r="C454" s="41" t="n"/>
      <c r="D454" s="41" t="n"/>
      <c r="E454" s="41" t="n"/>
      <c r="F454" s="50" t="n"/>
      <c r="G454" s="42" t="n"/>
      <c r="H454" s="42" t="n"/>
      <c r="I454" s="43">
        <f>IF($B454="","",N($G454)-N($H454))</f>
        <v/>
      </c>
    </row>
    <row r="455">
      <c r="A455" s="39">
        <f>IF($B455="","",COUNTA($B$4:$B455))</f>
        <v/>
      </c>
      <c r="B455" s="45" t="n"/>
      <c r="C455" s="46" t="n"/>
      <c r="D455" s="46" t="n"/>
      <c r="E455" s="46" t="n"/>
      <c r="F455" s="51" t="n"/>
      <c r="G455" s="47" t="n"/>
      <c r="H455" s="47" t="n"/>
      <c r="I455" s="43">
        <f>IF($B455="","",N($G455)-N($H455))</f>
        <v/>
      </c>
    </row>
    <row r="456">
      <c r="A456" s="39">
        <f>IF($B456="","",COUNTA($B$4:$B456))</f>
        <v/>
      </c>
      <c r="B456" s="40" t="n"/>
      <c r="C456" s="41" t="n"/>
      <c r="D456" s="41" t="n"/>
      <c r="E456" s="41" t="n"/>
      <c r="F456" s="50" t="n"/>
      <c r="G456" s="42" t="n"/>
      <c r="H456" s="42" t="n"/>
      <c r="I456" s="43">
        <f>IF($B456="","",N($G456)-N($H456))</f>
        <v/>
      </c>
    </row>
    <row r="457">
      <c r="A457" s="39">
        <f>IF($B457="","",COUNTA($B$4:$B457))</f>
        <v/>
      </c>
      <c r="B457" s="45" t="n"/>
      <c r="C457" s="46" t="n"/>
      <c r="D457" s="46" t="n"/>
      <c r="E457" s="46" t="n"/>
      <c r="F457" s="51" t="n"/>
      <c r="G457" s="47" t="n"/>
      <c r="H457" s="47" t="n"/>
      <c r="I457" s="43">
        <f>IF($B457="","",N($G457)-N($H457))</f>
        <v/>
      </c>
    </row>
    <row r="458">
      <c r="A458" s="39">
        <f>IF($B458="","",COUNTA($B$4:$B458))</f>
        <v/>
      </c>
      <c r="B458" s="40" t="n"/>
      <c r="C458" s="41" t="n"/>
      <c r="D458" s="41" t="n"/>
      <c r="E458" s="41" t="n"/>
      <c r="F458" s="50" t="n"/>
      <c r="G458" s="42" t="n"/>
      <c r="H458" s="42" t="n"/>
      <c r="I458" s="43">
        <f>IF($B458="","",N($G458)-N($H458))</f>
        <v/>
      </c>
    </row>
    <row r="459">
      <c r="A459" s="39">
        <f>IF($B459="","",COUNTA($B$4:$B459))</f>
        <v/>
      </c>
      <c r="B459" s="45" t="n"/>
      <c r="C459" s="46" t="n"/>
      <c r="D459" s="46" t="n"/>
      <c r="E459" s="46" t="n"/>
      <c r="F459" s="51" t="n"/>
      <c r="G459" s="47" t="n"/>
      <c r="H459" s="47" t="n"/>
      <c r="I459" s="43">
        <f>IF($B459="","",N($G459)-N($H459))</f>
        <v/>
      </c>
    </row>
    <row r="460">
      <c r="A460" s="39">
        <f>IF($B460="","",COUNTA($B$4:$B460))</f>
        <v/>
      </c>
      <c r="B460" s="40" t="n"/>
      <c r="C460" s="41" t="n"/>
      <c r="D460" s="41" t="n"/>
      <c r="E460" s="41" t="n"/>
      <c r="F460" s="50" t="n"/>
      <c r="G460" s="42" t="n"/>
      <c r="H460" s="42" t="n"/>
      <c r="I460" s="43">
        <f>IF($B460="","",N($G460)-N($H460))</f>
        <v/>
      </c>
    </row>
    <row r="461">
      <c r="A461" s="39">
        <f>IF($B461="","",COUNTA($B$4:$B461))</f>
        <v/>
      </c>
      <c r="B461" s="45" t="n"/>
      <c r="C461" s="46" t="n"/>
      <c r="D461" s="46" t="n"/>
      <c r="E461" s="46" t="n"/>
      <c r="F461" s="51" t="n"/>
      <c r="G461" s="47" t="n"/>
      <c r="H461" s="47" t="n"/>
      <c r="I461" s="43">
        <f>IF($B461="","",N($G461)-N($H461))</f>
        <v/>
      </c>
    </row>
    <row r="462">
      <c r="A462" s="39">
        <f>IF($B462="","",COUNTA($B$4:$B462))</f>
        <v/>
      </c>
      <c r="B462" s="40" t="n"/>
      <c r="C462" s="41" t="n"/>
      <c r="D462" s="41" t="n"/>
      <c r="E462" s="41" t="n"/>
      <c r="F462" s="50" t="n"/>
      <c r="G462" s="42" t="n"/>
      <c r="H462" s="42" t="n"/>
      <c r="I462" s="43">
        <f>IF($B462="","",N($G462)-N($H462))</f>
        <v/>
      </c>
    </row>
    <row r="463">
      <c r="A463" s="39">
        <f>IF($B463="","",COUNTA($B$4:$B463))</f>
        <v/>
      </c>
      <c r="B463" s="45" t="n"/>
      <c r="C463" s="46" t="n"/>
      <c r="D463" s="46" t="n"/>
      <c r="E463" s="46" t="n"/>
      <c r="F463" s="51" t="n"/>
      <c r="G463" s="47" t="n"/>
      <c r="H463" s="47" t="n"/>
      <c r="I463" s="43">
        <f>IF($B463="","",N($G463)-N($H463))</f>
        <v/>
      </c>
    </row>
    <row r="464">
      <c r="A464" s="39">
        <f>IF($B464="","",COUNTA($B$4:$B464))</f>
        <v/>
      </c>
      <c r="B464" s="40" t="n"/>
      <c r="C464" s="41" t="n"/>
      <c r="D464" s="41" t="n"/>
      <c r="E464" s="41" t="n"/>
      <c r="F464" s="50" t="n"/>
      <c r="G464" s="42" t="n"/>
      <c r="H464" s="42" t="n"/>
      <c r="I464" s="43">
        <f>IF($B464="","",N($G464)-N($H464))</f>
        <v/>
      </c>
    </row>
    <row r="465">
      <c r="A465" s="39">
        <f>IF($B465="","",COUNTA($B$4:$B465))</f>
        <v/>
      </c>
      <c r="B465" s="45" t="n"/>
      <c r="C465" s="46" t="n"/>
      <c r="D465" s="46" t="n"/>
      <c r="E465" s="46" t="n"/>
      <c r="F465" s="51" t="n"/>
      <c r="G465" s="47" t="n"/>
      <c r="H465" s="47" t="n"/>
      <c r="I465" s="43">
        <f>IF($B465="","",N($G465)-N($H465))</f>
        <v/>
      </c>
    </row>
    <row r="466">
      <c r="A466" s="39">
        <f>IF($B466="","",COUNTA($B$4:$B466))</f>
        <v/>
      </c>
      <c r="B466" s="40" t="n"/>
      <c r="C466" s="41" t="n"/>
      <c r="D466" s="41" t="n"/>
      <c r="E466" s="41" t="n"/>
      <c r="F466" s="50" t="n"/>
      <c r="G466" s="42" t="n"/>
      <c r="H466" s="42" t="n"/>
      <c r="I466" s="43">
        <f>IF($B466="","",N($G466)-N($H466))</f>
        <v/>
      </c>
    </row>
    <row r="467">
      <c r="A467" s="39">
        <f>IF($B467="","",COUNTA($B$4:$B467))</f>
        <v/>
      </c>
      <c r="B467" s="45" t="n"/>
      <c r="C467" s="46" t="n"/>
      <c r="D467" s="46" t="n"/>
      <c r="E467" s="46" t="n"/>
      <c r="F467" s="51" t="n"/>
      <c r="G467" s="47" t="n"/>
      <c r="H467" s="47" t="n"/>
      <c r="I467" s="43">
        <f>IF($B467="","",N($G467)-N($H467))</f>
        <v/>
      </c>
    </row>
    <row r="468">
      <c r="A468" s="39">
        <f>IF($B468="","",COUNTA($B$4:$B468))</f>
        <v/>
      </c>
      <c r="B468" s="40" t="n"/>
      <c r="C468" s="41" t="n"/>
      <c r="D468" s="41" t="n"/>
      <c r="E468" s="41" t="n"/>
      <c r="F468" s="50" t="n"/>
      <c r="G468" s="42" t="n"/>
      <c r="H468" s="42" t="n"/>
      <c r="I468" s="43">
        <f>IF($B468="","",N($G468)-N($H468))</f>
        <v/>
      </c>
    </row>
    <row r="469">
      <c r="A469" s="39">
        <f>IF($B469="","",COUNTA($B$4:$B469))</f>
        <v/>
      </c>
      <c r="B469" s="45" t="n"/>
      <c r="C469" s="46" t="n"/>
      <c r="D469" s="46" t="n"/>
      <c r="E469" s="46" t="n"/>
      <c r="F469" s="51" t="n"/>
      <c r="G469" s="47" t="n"/>
      <c r="H469" s="47" t="n"/>
      <c r="I469" s="43">
        <f>IF($B469="","",N($G469)-N($H469))</f>
        <v/>
      </c>
    </row>
    <row r="470">
      <c r="A470" s="39">
        <f>IF($B470="","",COUNTA($B$4:$B470))</f>
        <v/>
      </c>
      <c r="B470" s="40" t="n"/>
      <c r="C470" s="41" t="n"/>
      <c r="D470" s="41" t="n"/>
      <c r="E470" s="41" t="n"/>
      <c r="F470" s="50" t="n"/>
      <c r="G470" s="42" t="n"/>
      <c r="H470" s="42" t="n"/>
      <c r="I470" s="43">
        <f>IF($B470="","",N($G470)-N($H470))</f>
        <v/>
      </c>
    </row>
    <row r="471">
      <c r="A471" s="39">
        <f>IF($B471="","",COUNTA($B$4:$B471))</f>
        <v/>
      </c>
      <c r="B471" s="45" t="n"/>
      <c r="C471" s="46" t="n"/>
      <c r="D471" s="46" t="n"/>
      <c r="E471" s="46" t="n"/>
      <c r="F471" s="51" t="n"/>
      <c r="G471" s="47" t="n"/>
      <c r="H471" s="47" t="n"/>
      <c r="I471" s="43">
        <f>IF($B471="","",N($G471)-N($H471))</f>
        <v/>
      </c>
    </row>
    <row r="472">
      <c r="A472" s="39">
        <f>IF($B472="","",COUNTA($B$4:$B472))</f>
        <v/>
      </c>
      <c r="B472" s="40" t="n"/>
      <c r="C472" s="41" t="n"/>
      <c r="D472" s="41" t="n"/>
      <c r="E472" s="41" t="n"/>
      <c r="F472" s="50" t="n"/>
      <c r="G472" s="42" t="n"/>
      <c r="H472" s="42" t="n"/>
      <c r="I472" s="43">
        <f>IF($B472="","",N($G472)-N($H472))</f>
        <v/>
      </c>
    </row>
    <row r="473">
      <c r="A473" s="39">
        <f>IF($B473="","",COUNTA($B$4:$B473))</f>
        <v/>
      </c>
      <c r="B473" s="45" t="n"/>
      <c r="C473" s="46" t="n"/>
      <c r="D473" s="46" t="n"/>
      <c r="E473" s="46" t="n"/>
      <c r="F473" s="51" t="n"/>
      <c r="G473" s="47" t="n"/>
      <c r="H473" s="47" t="n"/>
      <c r="I473" s="43">
        <f>IF($B473="","",N($G473)-N($H473))</f>
        <v/>
      </c>
    </row>
    <row r="474">
      <c r="A474" s="39">
        <f>IF($B474="","",COUNTA($B$4:$B474))</f>
        <v/>
      </c>
      <c r="B474" s="40" t="n"/>
      <c r="C474" s="41" t="n"/>
      <c r="D474" s="41" t="n"/>
      <c r="E474" s="41" t="n"/>
      <c r="F474" s="50" t="n"/>
      <c r="G474" s="42" t="n"/>
      <c r="H474" s="42" t="n"/>
      <c r="I474" s="43">
        <f>IF($B474="","",N($G474)-N($H474))</f>
        <v/>
      </c>
    </row>
    <row r="475">
      <c r="A475" s="39">
        <f>IF($B475="","",COUNTA($B$4:$B475))</f>
        <v/>
      </c>
      <c r="B475" s="45" t="n"/>
      <c r="C475" s="46" t="n"/>
      <c r="D475" s="46" t="n"/>
      <c r="E475" s="46" t="n"/>
      <c r="F475" s="51" t="n"/>
      <c r="G475" s="47" t="n"/>
      <c r="H475" s="47" t="n"/>
      <c r="I475" s="43">
        <f>IF($B475="","",N($G475)-N($H475))</f>
        <v/>
      </c>
    </row>
    <row r="476">
      <c r="A476" s="39">
        <f>IF($B476="","",COUNTA($B$4:$B476))</f>
        <v/>
      </c>
      <c r="B476" s="40" t="n"/>
      <c r="C476" s="41" t="n"/>
      <c r="D476" s="41" t="n"/>
      <c r="E476" s="41" t="n"/>
      <c r="F476" s="50" t="n"/>
      <c r="G476" s="42" t="n"/>
      <c r="H476" s="42" t="n"/>
      <c r="I476" s="43">
        <f>IF($B476="","",N($G476)-N($H476))</f>
        <v/>
      </c>
    </row>
    <row r="477">
      <c r="A477" s="39">
        <f>IF($B477="","",COUNTA($B$4:$B477))</f>
        <v/>
      </c>
      <c r="B477" s="45" t="n"/>
      <c r="C477" s="46" t="n"/>
      <c r="D477" s="46" t="n"/>
      <c r="E477" s="46" t="n"/>
      <c r="F477" s="51" t="n"/>
      <c r="G477" s="47" t="n"/>
      <c r="H477" s="47" t="n"/>
      <c r="I477" s="43">
        <f>IF($B477="","",N($G477)-N($H477))</f>
        <v/>
      </c>
    </row>
    <row r="478">
      <c r="A478" s="39">
        <f>IF($B478="","",COUNTA($B$4:$B478))</f>
        <v/>
      </c>
      <c r="B478" s="40" t="n"/>
      <c r="C478" s="41" t="n"/>
      <c r="D478" s="41" t="n"/>
      <c r="E478" s="41" t="n"/>
      <c r="F478" s="50" t="n"/>
      <c r="G478" s="42" t="n"/>
      <c r="H478" s="42" t="n"/>
      <c r="I478" s="43">
        <f>IF($B478="","",N($G478)-N($H478))</f>
        <v/>
      </c>
    </row>
    <row r="479">
      <c r="A479" s="39">
        <f>IF($B479="","",COUNTA($B$4:$B479))</f>
        <v/>
      </c>
      <c r="B479" s="45" t="n"/>
      <c r="C479" s="46" t="n"/>
      <c r="D479" s="46" t="n"/>
      <c r="E479" s="46" t="n"/>
      <c r="F479" s="51" t="n"/>
      <c r="G479" s="47" t="n"/>
      <c r="H479" s="47" t="n"/>
      <c r="I479" s="43">
        <f>IF($B479="","",N($G479)-N($H479))</f>
        <v/>
      </c>
    </row>
    <row r="480">
      <c r="A480" s="39">
        <f>IF($B480="","",COUNTA($B$4:$B480))</f>
        <v/>
      </c>
      <c r="B480" s="40" t="n"/>
      <c r="C480" s="41" t="n"/>
      <c r="D480" s="41" t="n"/>
      <c r="E480" s="41" t="n"/>
      <c r="F480" s="50" t="n"/>
      <c r="G480" s="42" t="n"/>
      <c r="H480" s="42" t="n"/>
      <c r="I480" s="43">
        <f>IF($B480="","",N($G480)-N($H480))</f>
        <v/>
      </c>
    </row>
    <row r="481">
      <c r="A481" s="39">
        <f>IF($B481="","",COUNTA($B$4:$B481))</f>
        <v/>
      </c>
      <c r="B481" s="45" t="n"/>
      <c r="C481" s="46" t="n"/>
      <c r="D481" s="46" t="n"/>
      <c r="E481" s="46" t="n"/>
      <c r="F481" s="51" t="n"/>
      <c r="G481" s="47" t="n"/>
      <c r="H481" s="47" t="n"/>
      <c r="I481" s="43">
        <f>IF($B481="","",N($G481)-N($H481))</f>
        <v/>
      </c>
    </row>
    <row r="482">
      <c r="A482" s="39">
        <f>IF($B482="","",COUNTA($B$4:$B482))</f>
        <v/>
      </c>
      <c r="B482" s="40" t="n"/>
      <c r="C482" s="41" t="n"/>
      <c r="D482" s="41" t="n"/>
      <c r="E482" s="41" t="n"/>
      <c r="F482" s="50" t="n"/>
      <c r="G482" s="42" t="n"/>
      <c r="H482" s="42" t="n"/>
      <c r="I482" s="43">
        <f>IF($B482="","",N($G482)-N($H482))</f>
        <v/>
      </c>
    </row>
    <row r="483">
      <c r="A483" s="39">
        <f>IF($B483="","",COUNTA($B$4:$B483))</f>
        <v/>
      </c>
      <c r="B483" s="45" t="n"/>
      <c r="C483" s="46" t="n"/>
      <c r="D483" s="46" t="n"/>
      <c r="E483" s="46" t="n"/>
      <c r="F483" s="51" t="n"/>
      <c r="G483" s="47" t="n"/>
      <c r="H483" s="47" t="n"/>
      <c r="I483" s="43">
        <f>IF($B483="","",N($G483)-N($H483))</f>
        <v/>
      </c>
    </row>
    <row r="484">
      <c r="A484" s="39">
        <f>IF($B484="","",COUNTA($B$4:$B484))</f>
        <v/>
      </c>
      <c r="B484" s="40" t="n"/>
      <c r="C484" s="41" t="n"/>
      <c r="D484" s="41" t="n"/>
      <c r="E484" s="41" t="n"/>
      <c r="F484" s="50" t="n"/>
      <c r="G484" s="42" t="n"/>
      <c r="H484" s="42" t="n"/>
      <c r="I484" s="43">
        <f>IF($B484="","",N($G484)-N($H484))</f>
        <v/>
      </c>
    </row>
    <row r="485">
      <c r="A485" s="39">
        <f>IF($B485="","",COUNTA($B$4:$B485))</f>
        <v/>
      </c>
      <c r="B485" s="45" t="n"/>
      <c r="C485" s="46" t="n"/>
      <c r="D485" s="46" t="n"/>
      <c r="E485" s="46" t="n"/>
      <c r="F485" s="51" t="n"/>
      <c r="G485" s="47" t="n"/>
      <c r="H485" s="47" t="n"/>
      <c r="I485" s="43">
        <f>IF($B485="","",N($G485)-N($H485))</f>
        <v/>
      </c>
    </row>
    <row r="486">
      <c r="A486" s="39">
        <f>IF($B486="","",COUNTA($B$4:$B486))</f>
        <v/>
      </c>
      <c r="B486" s="40" t="n"/>
      <c r="C486" s="41" t="n"/>
      <c r="D486" s="41" t="n"/>
      <c r="E486" s="41" t="n"/>
      <c r="F486" s="50" t="n"/>
      <c r="G486" s="42" t="n"/>
      <c r="H486" s="42" t="n"/>
      <c r="I486" s="43">
        <f>IF($B486="","",N($G486)-N($H486))</f>
        <v/>
      </c>
    </row>
    <row r="487">
      <c r="A487" s="39">
        <f>IF($B487="","",COUNTA($B$4:$B487))</f>
        <v/>
      </c>
      <c r="B487" s="45" t="n"/>
      <c r="C487" s="46" t="n"/>
      <c r="D487" s="46" t="n"/>
      <c r="E487" s="46" t="n"/>
      <c r="F487" s="51" t="n"/>
      <c r="G487" s="47" t="n"/>
      <c r="H487" s="47" t="n"/>
      <c r="I487" s="43">
        <f>IF($B487="","",N($G487)-N($H487))</f>
        <v/>
      </c>
    </row>
    <row r="488">
      <c r="A488" s="39">
        <f>IF($B488="","",COUNTA($B$4:$B488))</f>
        <v/>
      </c>
      <c r="B488" s="40" t="n"/>
      <c r="C488" s="41" t="n"/>
      <c r="D488" s="41" t="n"/>
      <c r="E488" s="41" t="n"/>
      <c r="F488" s="50" t="n"/>
      <c r="G488" s="42" t="n"/>
      <c r="H488" s="42" t="n"/>
      <c r="I488" s="43">
        <f>IF($B488="","",N($G488)-N($H488))</f>
        <v/>
      </c>
    </row>
    <row r="489">
      <c r="A489" s="39">
        <f>IF($B489="","",COUNTA($B$4:$B489))</f>
        <v/>
      </c>
      <c r="B489" s="45" t="n"/>
      <c r="C489" s="46" t="n"/>
      <c r="D489" s="46" t="n"/>
      <c r="E489" s="46" t="n"/>
      <c r="F489" s="51" t="n"/>
      <c r="G489" s="47" t="n"/>
      <c r="H489" s="47" t="n"/>
      <c r="I489" s="43">
        <f>IF($B489="","",N($G489)-N($H489))</f>
        <v/>
      </c>
    </row>
    <row r="490">
      <c r="A490" s="39">
        <f>IF($B490="","",COUNTA($B$4:$B490))</f>
        <v/>
      </c>
      <c r="B490" s="40" t="n"/>
      <c r="C490" s="41" t="n"/>
      <c r="D490" s="41" t="n"/>
      <c r="E490" s="41" t="n"/>
      <c r="F490" s="50" t="n"/>
      <c r="G490" s="42" t="n"/>
      <c r="H490" s="42" t="n"/>
      <c r="I490" s="43">
        <f>IF($B490="","",N($G490)-N($H490))</f>
        <v/>
      </c>
    </row>
    <row r="491">
      <c r="A491" s="39">
        <f>IF($B491="","",COUNTA($B$4:$B491))</f>
        <v/>
      </c>
      <c r="B491" s="45" t="n"/>
      <c r="C491" s="46" t="n"/>
      <c r="D491" s="46" t="n"/>
      <c r="E491" s="46" t="n"/>
      <c r="F491" s="51" t="n"/>
      <c r="G491" s="47" t="n"/>
      <c r="H491" s="47" t="n"/>
      <c r="I491" s="43">
        <f>IF($B491="","",N($G491)-N($H491))</f>
        <v/>
      </c>
    </row>
    <row r="492">
      <c r="A492" s="39">
        <f>IF($B492="","",COUNTA($B$4:$B492))</f>
        <v/>
      </c>
      <c r="B492" s="40" t="n"/>
      <c r="C492" s="41" t="n"/>
      <c r="D492" s="41" t="n"/>
      <c r="E492" s="41" t="n"/>
      <c r="F492" s="50" t="n"/>
      <c r="G492" s="42" t="n"/>
      <c r="H492" s="42" t="n"/>
      <c r="I492" s="43">
        <f>IF($B492="","",N($G492)-N($H492))</f>
        <v/>
      </c>
    </row>
    <row r="493">
      <c r="A493" s="39">
        <f>IF($B493="","",COUNTA($B$4:$B493))</f>
        <v/>
      </c>
      <c r="B493" s="45" t="n"/>
      <c r="C493" s="46" t="n"/>
      <c r="D493" s="46" t="n"/>
      <c r="E493" s="46" t="n"/>
      <c r="F493" s="51" t="n"/>
      <c r="G493" s="47" t="n"/>
      <c r="H493" s="47" t="n"/>
      <c r="I493" s="43">
        <f>IF($B493="","",N($G493)-N($H493))</f>
        <v/>
      </c>
    </row>
    <row r="494">
      <c r="A494" s="39">
        <f>IF($B494="","",COUNTA($B$4:$B494))</f>
        <v/>
      </c>
      <c r="B494" s="40" t="n"/>
      <c r="C494" s="41" t="n"/>
      <c r="D494" s="41" t="n"/>
      <c r="E494" s="41" t="n"/>
      <c r="F494" s="50" t="n"/>
      <c r="G494" s="42" t="n"/>
      <c r="H494" s="42" t="n"/>
      <c r="I494" s="43">
        <f>IF($B494="","",N($G494)-N($H494))</f>
        <v/>
      </c>
    </row>
    <row r="495">
      <c r="A495" s="39">
        <f>IF($B495="","",COUNTA($B$4:$B495))</f>
        <v/>
      </c>
      <c r="B495" s="45" t="n"/>
      <c r="C495" s="46" t="n"/>
      <c r="D495" s="46" t="n"/>
      <c r="E495" s="46" t="n"/>
      <c r="F495" s="51" t="n"/>
      <c r="G495" s="47" t="n"/>
      <c r="H495" s="47" t="n"/>
      <c r="I495" s="43">
        <f>IF($B495="","",N($G495)-N($H495))</f>
        <v/>
      </c>
    </row>
    <row r="496">
      <c r="A496" s="39">
        <f>IF($B496="","",COUNTA($B$4:$B496))</f>
        <v/>
      </c>
      <c r="B496" s="40" t="n"/>
      <c r="C496" s="41" t="n"/>
      <c r="D496" s="41" t="n"/>
      <c r="E496" s="41" t="n"/>
      <c r="F496" s="50" t="n"/>
      <c r="G496" s="42" t="n"/>
      <c r="H496" s="42" t="n"/>
      <c r="I496" s="43">
        <f>IF($B496="","",N($G496)-N($H496))</f>
        <v/>
      </c>
    </row>
    <row r="497">
      <c r="A497" s="39">
        <f>IF($B497="","",COUNTA($B$4:$B497))</f>
        <v/>
      </c>
      <c r="B497" s="45" t="n"/>
      <c r="C497" s="46" t="n"/>
      <c r="D497" s="46" t="n"/>
      <c r="E497" s="46" t="n"/>
      <c r="F497" s="51" t="n"/>
      <c r="G497" s="47" t="n"/>
      <c r="H497" s="47" t="n"/>
      <c r="I497" s="43">
        <f>IF($B497="","",N($G497)-N($H497))</f>
        <v/>
      </c>
    </row>
    <row r="498">
      <c r="A498" s="39">
        <f>IF($B498="","",COUNTA($B$4:$B498))</f>
        <v/>
      </c>
      <c r="B498" s="40" t="n"/>
      <c r="C498" s="41" t="n"/>
      <c r="D498" s="41" t="n"/>
      <c r="E498" s="41" t="n"/>
      <c r="F498" s="50" t="n"/>
      <c r="G498" s="42" t="n"/>
      <c r="H498" s="42" t="n"/>
      <c r="I498" s="43">
        <f>IF($B498="","",N($G498)-N($H498))</f>
        <v/>
      </c>
    </row>
    <row r="499">
      <c r="A499" s="39">
        <f>IF($B499="","",COUNTA($B$4:$B499))</f>
        <v/>
      </c>
      <c r="B499" s="45" t="n"/>
      <c r="C499" s="46" t="n"/>
      <c r="D499" s="46" t="n"/>
      <c r="E499" s="46" t="n"/>
      <c r="F499" s="51" t="n"/>
      <c r="G499" s="47" t="n"/>
      <c r="H499" s="47" t="n"/>
      <c r="I499" s="43">
        <f>IF($B499="","",N($G499)-N($H499))</f>
        <v/>
      </c>
    </row>
    <row r="500">
      <c r="A500" s="39">
        <f>IF($B500="","",COUNTA($B$4:$B500))</f>
        <v/>
      </c>
      <c r="B500" s="40" t="n"/>
      <c r="C500" s="41" t="n"/>
      <c r="D500" s="41" t="n"/>
      <c r="E500" s="41" t="n"/>
      <c r="F500" s="50" t="n"/>
      <c r="G500" s="42" t="n"/>
      <c r="H500" s="42" t="n"/>
      <c r="I500" s="43">
        <f>IF($B500="","",N($G500)-N($H500))</f>
        <v/>
      </c>
    </row>
    <row r="501">
      <c r="A501" s="39">
        <f>IF($B501="","",COUNTA($B$4:$B501))</f>
        <v/>
      </c>
      <c r="B501" s="45" t="n"/>
      <c r="C501" s="46" t="n"/>
      <c r="D501" s="46" t="n"/>
      <c r="E501" s="46" t="n"/>
      <c r="F501" s="51" t="n"/>
      <c r="G501" s="47" t="n"/>
      <c r="H501" s="47" t="n"/>
      <c r="I501" s="43">
        <f>IF($B501="","",N($G501)-N($H501))</f>
        <v/>
      </c>
    </row>
    <row r="502">
      <c r="A502" s="39">
        <f>IF($B502="","",COUNTA($B$4:$B502))</f>
        <v/>
      </c>
      <c r="B502" s="40" t="n"/>
      <c r="C502" s="41" t="n"/>
      <c r="D502" s="41" t="n"/>
      <c r="E502" s="41" t="n"/>
      <c r="F502" s="50" t="n"/>
      <c r="G502" s="42" t="n"/>
      <c r="H502" s="42" t="n"/>
      <c r="I502" s="43">
        <f>IF($B502="","",N($G502)-N($H502))</f>
        <v/>
      </c>
    </row>
    <row r="503">
      <c r="A503" s="39">
        <f>IF($B503="","",COUNTA($B$4:$B503))</f>
        <v/>
      </c>
      <c r="B503" s="45" t="n"/>
      <c r="C503" s="46" t="n"/>
      <c r="D503" s="46" t="n"/>
      <c r="E503" s="46" t="n"/>
      <c r="F503" s="51" t="n"/>
      <c r="G503" s="47" t="n"/>
      <c r="H503" s="47" t="n"/>
      <c r="I503" s="43">
        <f>IF($B503="","",N($G503)-N($H503))</f>
        <v/>
      </c>
    </row>
    <row r="504">
      <c r="A504" s="39">
        <f>IF($B504="","",COUNTA($B$4:$B504))</f>
        <v/>
      </c>
      <c r="B504" s="40" t="n"/>
      <c r="C504" s="41" t="n"/>
      <c r="D504" s="41" t="n"/>
      <c r="E504" s="41" t="n"/>
      <c r="F504" s="50" t="n"/>
      <c r="G504" s="42" t="n"/>
      <c r="H504" s="42" t="n"/>
      <c r="I504" s="43">
        <f>IF($B504="","",N($G504)-N($H504))</f>
        <v/>
      </c>
    </row>
    <row r="505">
      <c r="A505" s="39">
        <f>IF($B505="","",COUNTA($B$4:$B505))</f>
        <v/>
      </c>
      <c r="B505" s="45" t="n"/>
      <c r="C505" s="46" t="n"/>
      <c r="D505" s="46" t="n"/>
      <c r="E505" s="46" t="n"/>
      <c r="F505" s="51" t="n"/>
      <c r="G505" s="47" t="n"/>
      <c r="H505" s="47" t="n"/>
      <c r="I505" s="43">
        <f>IF($B505="","",N($G505)-N($H505))</f>
        <v/>
      </c>
    </row>
    <row r="506">
      <c r="A506" s="39">
        <f>IF($B506="","",COUNTA($B$4:$B506))</f>
        <v/>
      </c>
      <c r="B506" s="40" t="n"/>
      <c r="C506" s="41" t="n"/>
      <c r="D506" s="41" t="n"/>
      <c r="E506" s="41" t="n"/>
      <c r="F506" s="50" t="n"/>
      <c r="G506" s="42" t="n"/>
      <c r="H506" s="42" t="n"/>
      <c r="I506" s="43">
        <f>IF($B506="","",N($G506)-N($H506))</f>
        <v/>
      </c>
    </row>
    <row r="507">
      <c r="A507" s="39">
        <f>IF($B507="","",COUNTA($B$4:$B507))</f>
        <v/>
      </c>
      <c r="B507" s="45" t="n"/>
      <c r="C507" s="46" t="n"/>
      <c r="D507" s="46" t="n"/>
      <c r="E507" s="46" t="n"/>
      <c r="F507" s="51" t="n"/>
      <c r="G507" s="47" t="n"/>
      <c r="H507" s="47" t="n"/>
      <c r="I507" s="43">
        <f>IF($B507="","",N($G507)-N($H507))</f>
        <v/>
      </c>
    </row>
    <row r="508">
      <c r="A508" s="39">
        <f>IF($B508="","",COUNTA($B$4:$B508))</f>
        <v/>
      </c>
      <c r="B508" s="40" t="n"/>
      <c r="C508" s="41" t="n"/>
      <c r="D508" s="41" t="n"/>
      <c r="E508" s="41" t="n"/>
      <c r="F508" s="50" t="n"/>
      <c r="G508" s="42" t="n"/>
      <c r="H508" s="42" t="n"/>
      <c r="I508" s="43">
        <f>IF($B508="","",N($G508)-N($H508))</f>
        <v/>
      </c>
    </row>
    <row r="509">
      <c r="A509" s="39">
        <f>IF($B509="","",COUNTA($B$4:$B509))</f>
        <v/>
      </c>
      <c r="B509" s="45" t="n"/>
      <c r="C509" s="46" t="n"/>
      <c r="D509" s="46" t="n"/>
      <c r="E509" s="46" t="n"/>
      <c r="F509" s="51" t="n"/>
      <c r="G509" s="47" t="n"/>
      <c r="H509" s="47" t="n"/>
      <c r="I509" s="43">
        <f>IF($B509="","",N($G509)-N($H509))</f>
        <v/>
      </c>
    </row>
    <row r="510">
      <c r="A510" s="39">
        <f>IF($B510="","",COUNTA($B$4:$B510))</f>
        <v/>
      </c>
      <c r="B510" s="40" t="n"/>
      <c r="C510" s="41" t="n"/>
      <c r="D510" s="41" t="n"/>
      <c r="E510" s="41" t="n"/>
      <c r="F510" s="50" t="n"/>
      <c r="G510" s="42" t="n"/>
      <c r="H510" s="42" t="n"/>
      <c r="I510" s="43">
        <f>IF($B510="","",N($G510)-N($H510))</f>
        <v/>
      </c>
    </row>
    <row r="511">
      <c r="A511" s="39">
        <f>IF($B511="","",COUNTA($B$4:$B511))</f>
        <v/>
      </c>
      <c r="B511" s="45" t="n"/>
      <c r="C511" s="46" t="n"/>
      <c r="D511" s="46" t="n"/>
      <c r="E511" s="46" t="n"/>
      <c r="F511" s="51" t="n"/>
      <c r="G511" s="47" t="n"/>
      <c r="H511" s="47" t="n"/>
      <c r="I511" s="43">
        <f>IF($B511="","",N($G511)-N($H511))</f>
        <v/>
      </c>
    </row>
    <row r="512">
      <c r="A512" s="39">
        <f>IF($B512="","",COUNTA($B$4:$B512))</f>
        <v/>
      </c>
      <c r="B512" s="40" t="n"/>
      <c r="C512" s="41" t="n"/>
      <c r="D512" s="41" t="n"/>
      <c r="E512" s="41" t="n"/>
      <c r="F512" s="50" t="n"/>
      <c r="G512" s="42" t="n"/>
      <c r="H512" s="42" t="n"/>
      <c r="I512" s="43">
        <f>IF($B512="","",N($G512)-N($H512))</f>
        <v/>
      </c>
    </row>
    <row r="513">
      <c r="A513" s="39">
        <f>IF($B513="","",COUNTA($B$4:$B513))</f>
        <v/>
      </c>
      <c r="B513" s="45" t="n"/>
      <c r="C513" s="46" t="n"/>
      <c r="D513" s="46" t="n"/>
      <c r="E513" s="46" t="n"/>
      <c r="F513" s="51" t="n"/>
      <c r="G513" s="47" t="n"/>
      <c r="H513" s="47" t="n"/>
      <c r="I513" s="43">
        <f>IF($B513="","",N($G513)-N($H513))</f>
        <v/>
      </c>
    </row>
    <row r="514">
      <c r="A514" s="39">
        <f>IF($B514="","",COUNTA($B$4:$B514))</f>
        <v/>
      </c>
      <c r="B514" s="40" t="n"/>
      <c r="C514" s="41" t="n"/>
      <c r="D514" s="41" t="n"/>
      <c r="E514" s="41" t="n"/>
      <c r="F514" s="50" t="n"/>
      <c r="G514" s="42" t="n"/>
      <c r="H514" s="42" t="n"/>
      <c r="I514" s="43">
        <f>IF($B514="","",N($G514)-N($H514))</f>
        <v/>
      </c>
    </row>
    <row r="515">
      <c r="A515" s="39">
        <f>IF($B515="","",COUNTA($B$4:$B515))</f>
        <v/>
      </c>
      <c r="B515" s="45" t="n"/>
      <c r="C515" s="46" t="n"/>
      <c r="D515" s="46" t="n"/>
      <c r="E515" s="46" t="n"/>
      <c r="F515" s="51" t="n"/>
      <c r="G515" s="47" t="n"/>
      <c r="H515" s="47" t="n"/>
      <c r="I515" s="43">
        <f>IF($B515="","",N($G515)-N($H515))</f>
        <v/>
      </c>
    </row>
    <row r="516">
      <c r="A516" s="39">
        <f>IF($B516="","",COUNTA($B$4:$B516))</f>
        <v/>
      </c>
      <c r="B516" s="40" t="n"/>
      <c r="C516" s="41" t="n"/>
      <c r="D516" s="41" t="n"/>
      <c r="E516" s="41" t="n"/>
      <c r="F516" s="50" t="n"/>
      <c r="G516" s="42" t="n"/>
      <c r="H516" s="42" t="n"/>
      <c r="I516" s="43">
        <f>IF($B516="","",N($G516)-N($H516))</f>
        <v/>
      </c>
    </row>
    <row r="517">
      <c r="A517" s="39">
        <f>IF($B517="","",COUNTA($B$4:$B517))</f>
        <v/>
      </c>
      <c r="B517" s="45" t="n"/>
      <c r="C517" s="46" t="n"/>
      <c r="D517" s="46" t="n"/>
      <c r="E517" s="46" t="n"/>
      <c r="F517" s="51" t="n"/>
      <c r="G517" s="47" t="n"/>
      <c r="H517" s="47" t="n"/>
      <c r="I517" s="43">
        <f>IF($B517="","",N($G517)-N($H517))</f>
        <v/>
      </c>
    </row>
    <row r="518">
      <c r="A518" s="39">
        <f>IF($B518="","",COUNTA($B$4:$B518))</f>
        <v/>
      </c>
      <c r="B518" s="40" t="n"/>
      <c r="C518" s="41" t="n"/>
      <c r="D518" s="41" t="n"/>
      <c r="E518" s="41" t="n"/>
      <c r="F518" s="50" t="n"/>
      <c r="G518" s="42" t="n"/>
      <c r="H518" s="42" t="n"/>
      <c r="I518" s="43">
        <f>IF($B518="","",N($G518)-N($H518))</f>
        <v/>
      </c>
    </row>
    <row r="519">
      <c r="A519" s="39">
        <f>IF($B519="","",COUNTA($B$4:$B519))</f>
        <v/>
      </c>
      <c r="B519" s="45" t="n"/>
      <c r="C519" s="46" t="n"/>
      <c r="D519" s="46" t="n"/>
      <c r="E519" s="46" t="n"/>
      <c r="F519" s="51" t="n"/>
      <c r="G519" s="47" t="n"/>
      <c r="H519" s="47" t="n"/>
      <c r="I519" s="43">
        <f>IF($B519="","",N($G519)-N($H519))</f>
        <v/>
      </c>
    </row>
    <row r="520">
      <c r="A520" s="39">
        <f>IF($B520="","",COUNTA($B$4:$B520))</f>
        <v/>
      </c>
      <c r="B520" s="40" t="n"/>
      <c r="C520" s="41" t="n"/>
      <c r="D520" s="41" t="n"/>
      <c r="E520" s="41" t="n"/>
      <c r="F520" s="50" t="n"/>
      <c r="G520" s="42" t="n"/>
      <c r="H520" s="42" t="n"/>
      <c r="I520" s="43">
        <f>IF($B520="","",N($G520)-N($H520))</f>
        <v/>
      </c>
    </row>
    <row r="521">
      <c r="A521" s="39">
        <f>IF($B521="","",COUNTA($B$4:$B521))</f>
        <v/>
      </c>
      <c r="B521" s="45" t="n"/>
      <c r="C521" s="46" t="n"/>
      <c r="D521" s="46" t="n"/>
      <c r="E521" s="46" t="n"/>
      <c r="F521" s="51" t="n"/>
      <c r="G521" s="47" t="n"/>
      <c r="H521" s="47" t="n"/>
      <c r="I521" s="43">
        <f>IF($B521="","",N($G521)-N($H521))</f>
        <v/>
      </c>
    </row>
    <row r="522">
      <c r="A522" s="39">
        <f>IF($B522="","",COUNTA($B$4:$B522))</f>
        <v/>
      </c>
      <c r="B522" s="40" t="n"/>
      <c r="C522" s="41" t="n"/>
      <c r="D522" s="41" t="n"/>
      <c r="E522" s="41" t="n"/>
      <c r="F522" s="50" t="n"/>
      <c r="G522" s="42" t="n"/>
      <c r="H522" s="42" t="n"/>
      <c r="I522" s="43">
        <f>IF($B522="","",N($G522)-N($H522))</f>
        <v/>
      </c>
    </row>
    <row r="523">
      <c r="A523" s="39">
        <f>IF($B523="","",COUNTA($B$4:$B523))</f>
        <v/>
      </c>
      <c r="B523" s="45" t="n"/>
      <c r="C523" s="46" t="n"/>
      <c r="D523" s="46" t="n"/>
      <c r="E523" s="46" t="n"/>
      <c r="F523" s="51" t="n"/>
      <c r="G523" s="47" t="n"/>
      <c r="H523" s="47" t="n"/>
      <c r="I523" s="43">
        <f>IF($B523="","",N($G523)-N($H523))</f>
        <v/>
      </c>
    </row>
    <row r="524">
      <c r="A524" s="39">
        <f>IF($B524="","",COUNTA($B$4:$B524))</f>
        <v/>
      </c>
      <c r="B524" s="40" t="n"/>
      <c r="C524" s="41" t="n"/>
      <c r="D524" s="41" t="n"/>
      <c r="E524" s="41" t="n"/>
      <c r="F524" s="50" t="n"/>
      <c r="G524" s="42" t="n"/>
      <c r="H524" s="42" t="n"/>
      <c r="I524" s="43">
        <f>IF($B524="","",N($G524)-N($H524))</f>
        <v/>
      </c>
    </row>
    <row r="525">
      <c r="A525" s="39">
        <f>IF($B525="","",COUNTA($B$4:$B525))</f>
        <v/>
      </c>
      <c r="B525" s="45" t="n"/>
      <c r="C525" s="46" t="n"/>
      <c r="D525" s="46" t="n"/>
      <c r="E525" s="46" t="n"/>
      <c r="F525" s="51" t="n"/>
      <c r="G525" s="47" t="n"/>
      <c r="H525" s="47" t="n"/>
      <c r="I525" s="43">
        <f>IF($B525="","",N($G525)-N($H525))</f>
        <v/>
      </c>
    </row>
    <row r="526">
      <c r="A526" s="39">
        <f>IF($B526="","",COUNTA($B$4:$B526))</f>
        <v/>
      </c>
      <c r="B526" s="40" t="n"/>
      <c r="C526" s="41" t="n"/>
      <c r="D526" s="41" t="n"/>
      <c r="E526" s="41" t="n"/>
      <c r="F526" s="50" t="n"/>
      <c r="G526" s="42" t="n"/>
      <c r="H526" s="42" t="n"/>
      <c r="I526" s="43">
        <f>IF($B526="","",N($G526)-N($H526))</f>
        <v/>
      </c>
    </row>
    <row r="527">
      <c r="A527" s="39">
        <f>IF($B527="","",COUNTA($B$4:$B527))</f>
        <v/>
      </c>
      <c r="B527" s="45" t="n"/>
      <c r="C527" s="46" t="n"/>
      <c r="D527" s="46" t="n"/>
      <c r="E527" s="46" t="n"/>
      <c r="F527" s="51" t="n"/>
      <c r="G527" s="47" t="n"/>
      <c r="H527" s="47" t="n"/>
      <c r="I527" s="43">
        <f>IF($B527="","",N($G527)-N($H527))</f>
        <v/>
      </c>
    </row>
    <row r="528">
      <c r="A528" s="39">
        <f>IF($B528="","",COUNTA($B$4:$B528))</f>
        <v/>
      </c>
      <c r="B528" s="40" t="n"/>
      <c r="C528" s="41" t="n"/>
      <c r="D528" s="41" t="n"/>
      <c r="E528" s="41" t="n"/>
      <c r="F528" s="50" t="n"/>
      <c r="G528" s="42" t="n"/>
      <c r="H528" s="42" t="n"/>
      <c r="I528" s="43">
        <f>IF($B528="","",N($G528)-N($H528))</f>
        <v/>
      </c>
    </row>
    <row r="529">
      <c r="A529" s="39">
        <f>IF($B529="","",COUNTA($B$4:$B529))</f>
        <v/>
      </c>
      <c r="B529" s="45" t="n"/>
      <c r="C529" s="46" t="n"/>
      <c r="D529" s="46" t="n"/>
      <c r="E529" s="46" t="n"/>
      <c r="F529" s="51" t="n"/>
      <c r="G529" s="47" t="n"/>
      <c r="H529" s="47" t="n"/>
      <c r="I529" s="43">
        <f>IF($B529="","",N($G529)-N($H529))</f>
        <v/>
      </c>
    </row>
    <row r="530">
      <c r="A530" s="39">
        <f>IF($B530="","",COUNTA($B$4:$B530))</f>
        <v/>
      </c>
      <c r="B530" s="40" t="n"/>
      <c r="C530" s="41" t="n"/>
      <c r="D530" s="41" t="n"/>
      <c r="E530" s="41" t="n"/>
      <c r="F530" s="50" t="n"/>
      <c r="G530" s="42" t="n"/>
      <c r="H530" s="42" t="n"/>
      <c r="I530" s="43">
        <f>IF($B530="","",N($G530)-N($H530))</f>
        <v/>
      </c>
    </row>
    <row r="531">
      <c r="A531" s="39">
        <f>IF($B531="","",COUNTA($B$4:$B531))</f>
        <v/>
      </c>
      <c r="B531" s="45" t="n"/>
      <c r="C531" s="46" t="n"/>
      <c r="D531" s="46" t="n"/>
      <c r="E531" s="46" t="n"/>
      <c r="F531" s="51" t="n"/>
      <c r="G531" s="47" t="n"/>
      <c r="H531" s="47" t="n"/>
      <c r="I531" s="43">
        <f>IF($B531="","",N($G531)-N($H531))</f>
        <v/>
      </c>
    </row>
    <row r="532">
      <c r="A532" s="39">
        <f>IF($B532="","",COUNTA($B$4:$B532))</f>
        <v/>
      </c>
      <c r="B532" s="40" t="n"/>
      <c r="C532" s="41" t="n"/>
      <c r="D532" s="41" t="n"/>
      <c r="E532" s="41" t="n"/>
      <c r="F532" s="50" t="n"/>
      <c r="G532" s="42" t="n"/>
      <c r="H532" s="42" t="n"/>
      <c r="I532" s="43">
        <f>IF($B532="","",N($G532)-N($H532))</f>
        <v/>
      </c>
    </row>
    <row r="533">
      <c r="A533" s="39">
        <f>IF($B533="","",COUNTA($B$4:$B533))</f>
        <v/>
      </c>
      <c r="B533" s="45" t="n"/>
      <c r="C533" s="46" t="n"/>
      <c r="D533" s="46" t="n"/>
      <c r="E533" s="46" t="n"/>
      <c r="F533" s="51" t="n"/>
      <c r="G533" s="47" t="n"/>
      <c r="H533" s="47" t="n"/>
      <c r="I533" s="43">
        <f>IF($B533="","",N($G533)-N($H533))</f>
        <v/>
      </c>
    </row>
    <row r="534">
      <c r="A534" s="39">
        <f>IF($B534="","",COUNTA($B$4:$B534))</f>
        <v/>
      </c>
      <c r="B534" s="40" t="n"/>
      <c r="C534" s="41" t="n"/>
      <c r="D534" s="41" t="n"/>
      <c r="E534" s="41" t="n"/>
      <c r="F534" s="50" t="n"/>
      <c r="G534" s="42" t="n"/>
      <c r="H534" s="42" t="n"/>
      <c r="I534" s="43">
        <f>IF($B534="","",N($G534)-N($H534))</f>
        <v/>
      </c>
    </row>
    <row r="535">
      <c r="A535" s="39">
        <f>IF($B535="","",COUNTA($B$4:$B535))</f>
        <v/>
      </c>
      <c r="B535" s="45" t="n"/>
      <c r="C535" s="46" t="n"/>
      <c r="D535" s="46" t="n"/>
      <c r="E535" s="46" t="n"/>
      <c r="F535" s="51" t="n"/>
      <c r="G535" s="47" t="n"/>
      <c r="H535" s="47" t="n"/>
      <c r="I535" s="43">
        <f>IF($B535="","",N($G535)-N($H535))</f>
        <v/>
      </c>
    </row>
    <row r="536">
      <c r="A536" s="39">
        <f>IF($B536="","",COUNTA($B$4:$B536))</f>
        <v/>
      </c>
      <c r="B536" s="40" t="n"/>
      <c r="C536" s="41" t="n"/>
      <c r="D536" s="41" t="n"/>
      <c r="E536" s="41" t="n"/>
      <c r="F536" s="50" t="n"/>
      <c r="G536" s="42" t="n"/>
      <c r="H536" s="42" t="n"/>
      <c r="I536" s="43">
        <f>IF($B536="","",N($G536)-N($H536))</f>
        <v/>
      </c>
    </row>
    <row r="537">
      <c r="A537" s="39">
        <f>IF($B537="","",COUNTA($B$4:$B537))</f>
        <v/>
      </c>
      <c r="B537" s="45" t="n"/>
      <c r="C537" s="46" t="n"/>
      <c r="D537" s="46" t="n"/>
      <c r="E537" s="46" t="n"/>
      <c r="F537" s="51" t="n"/>
      <c r="G537" s="47" t="n"/>
      <c r="H537" s="47" t="n"/>
      <c r="I537" s="43">
        <f>IF($B537="","",N($G537)-N($H537))</f>
        <v/>
      </c>
    </row>
    <row r="538">
      <c r="A538" s="39">
        <f>IF($B538="","",COUNTA($B$4:$B538))</f>
        <v/>
      </c>
      <c r="B538" s="40" t="n"/>
      <c r="C538" s="41" t="n"/>
      <c r="D538" s="41" t="n"/>
      <c r="E538" s="41" t="n"/>
      <c r="F538" s="50" t="n"/>
      <c r="G538" s="42" t="n"/>
      <c r="H538" s="42" t="n"/>
      <c r="I538" s="43">
        <f>IF($B538="","",N($G538)-N($H538))</f>
        <v/>
      </c>
    </row>
    <row r="539">
      <c r="A539" s="39">
        <f>IF($B539="","",COUNTA($B$4:$B539))</f>
        <v/>
      </c>
      <c r="B539" s="45" t="n"/>
      <c r="C539" s="46" t="n"/>
      <c r="D539" s="46" t="n"/>
      <c r="E539" s="46" t="n"/>
      <c r="F539" s="51" t="n"/>
      <c r="G539" s="47" t="n"/>
      <c r="H539" s="47" t="n"/>
      <c r="I539" s="43">
        <f>IF($B539="","",N($G539)-N($H539))</f>
        <v/>
      </c>
    </row>
    <row r="540">
      <c r="A540" s="39">
        <f>IF($B540="","",COUNTA($B$4:$B540))</f>
        <v/>
      </c>
      <c r="B540" s="40" t="n"/>
      <c r="C540" s="41" t="n"/>
      <c r="D540" s="41" t="n"/>
      <c r="E540" s="41" t="n"/>
      <c r="F540" s="50" t="n"/>
      <c r="G540" s="42" t="n"/>
      <c r="H540" s="42" t="n"/>
      <c r="I540" s="43">
        <f>IF($B540="","",N($G540)-N($H540))</f>
        <v/>
      </c>
    </row>
    <row r="541">
      <c r="A541" s="39">
        <f>IF($B541="","",COUNTA($B$4:$B541))</f>
        <v/>
      </c>
      <c r="B541" s="45" t="n"/>
      <c r="C541" s="46" t="n"/>
      <c r="D541" s="46" t="n"/>
      <c r="E541" s="46" t="n"/>
      <c r="F541" s="51" t="n"/>
      <c r="G541" s="47" t="n"/>
      <c r="H541" s="47" t="n"/>
      <c r="I541" s="43">
        <f>IF($B541="","",N($G541)-N($H541))</f>
        <v/>
      </c>
    </row>
    <row r="542">
      <c r="A542" s="39">
        <f>IF($B542="","",COUNTA($B$4:$B542))</f>
        <v/>
      </c>
      <c r="B542" s="40" t="n"/>
      <c r="C542" s="41" t="n"/>
      <c r="D542" s="41" t="n"/>
      <c r="E542" s="41" t="n"/>
      <c r="F542" s="50" t="n"/>
      <c r="G542" s="42" t="n"/>
      <c r="H542" s="42" t="n"/>
      <c r="I542" s="43">
        <f>IF($B542="","",N($G542)-N($H542))</f>
        <v/>
      </c>
    </row>
    <row r="543">
      <c r="A543" s="39">
        <f>IF($B543="","",COUNTA($B$4:$B543))</f>
        <v/>
      </c>
      <c r="B543" s="45" t="n"/>
      <c r="C543" s="46" t="n"/>
      <c r="D543" s="46" t="n"/>
      <c r="E543" s="46" t="n"/>
      <c r="F543" s="51" t="n"/>
      <c r="G543" s="47" t="n"/>
      <c r="H543" s="47" t="n"/>
      <c r="I543" s="43">
        <f>IF($B543="","",N($G543)-N($H543))</f>
        <v/>
      </c>
    </row>
    <row r="544">
      <c r="A544" s="39">
        <f>IF($B544="","",COUNTA($B$4:$B544))</f>
        <v/>
      </c>
      <c r="B544" s="40" t="n"/>
      <c r="C544" s="41" t="n"/>
      <c r="D544" s="41" t="n"/>
      <c r="E544" s="41" t="n"/>
      <c r="F544" s="50" t="n"/>
      <c r="G544" s="42" t="n"/>
      <c r="H544" s="42" t="n"/>
      <c r="I544" s="43">
        <f>IF($B544="","",N($G544)-N($H544))</f>
        <v/>
      </c>
    </row>
    <row r="545">
      <c r="A545" s="39">
        <f>IF($B545="","",COUNTA($B$4:$B545))</f>
        <v/>
      </c>
      <c r="B545" s="45" t="n"/>
      <c r="C545" s="46" t="n"/>
      <c r="D545" s="46" t="n"/>
      <c r="E545" s="46" t="n"/>
      <c r="F545" s="51" t="n"/>
      <c r="G545" s="47" t="n"/>
      <c r="H545" s="47" t="n"/>
      <c r="I545" s="43">
        <f>IF($B545="","",N($G545)-N($H545))</f>
        <v/>
      </c>
    </row>
    <row r="546">
      <c r="A546" s="39">
        <f>IF($B546="","",COUNTA($B$4:$B546))</f>
        <v/>
      </c>
      <c r="B546" s="40" t="n"/>
      <c r="C546" s="41" t="n"/>
      <c r="D546" s="41" t="n"/>
      <c r="E546" s="41" t="n"/>
      <c r="F546" s="50" t="n"/>
      <c r="G546" s="42" t="n"/>
      <c r="H546" s="42" t="n"/>
      <c r="I546" s="43">
        <f>IF($B546="","",N($G546)-N($H546))</f>
        <v/>
      </c>
    </row>
    <row r="547">
      <c r="A547" s="39">
        <f>IF($B547="","",COUNTA($B$4:$B547))</f>
        <v/>
      </c>
      <c r="B547" s="45" t="n"/>
      <c r="C547" s="46" t="n"/>
      <c r="D547" s="46" t="n"/>
      <c r="E547" s="46" t="n"/>
      <c r="F547" s="51" t="n"/>
      <c r="G547" s="47" t="n"/>
      <c r="H547" s="47" t="n"/>
      <c r="I547" s="43">
        <f>IF($B547="","",N($G547)-N($H547))</f>
        <v/>
      </c>
    </row>
    <row r="548">
      <c r="A548" s="39">
        <f>IF($B548="","",COUNTA($B$4:$B548))</f>
        <v/>
      </c>
      <c r="B548" s="40" t="n"/>
      <c r="C548" s="41" t="n"/>
      <c r="D548" s="41" t="n"/>
      <c r="E548" s="41" t="n"/>
      <c r="F548" s="50" t="n"/>
      <c r="G548" s="42" t="n"/>
      <c r="H548" s="42" t="n"/>
      <c r="I548" s="43">
        <f>IF($B548="","",N($G548)-N($H548))</f>
        <v/>
      </c>
    </row>
    <row r="549">
      <c r="A549" s="39">
        <f>IF($B549="","",COUNTA($B$4:$B549))</f>
        <v/>
      </c>
      <c r="B549" s="45" t="n"/>
      <c r="C549" s="46" t="n"/>
      <c r="D549" s="46" t="n"/>
      <c r="E549" s="46" t="n"/>
      <c r="F549" s="51" t="n"/>
      <c r="G549" s="47" t="n"/>
      <c r="H549" s="47" t="n"/>
      <c r="I549" s="43">
        <f>IF($B549="","",N($G549)-N($H549))</f>
        <v/>
      </c>
    </row>
    <row r="550">
      <c r="A550" s="39">
        <f>IF($B550="","",COUNTA($B$4:$B550))</f>
        <v/>
      </c>
      <c r="B550" s="40" t="n"/>
      <c r="C550" s="41" t="n"/>
      <c r="D550" s="41" t="n"/>
      <c r="E550" s="41" t="n"/>
      <c r="F550" s="50" t="n"/>
      <c r="G550" s="42" t="n"/>
      <c r="H550" s="42" t="n"/>
      <c r="I550" s="43">
        <f>IF($B550="","",N($G550)-N($H550))</f>
        <v/>
      </c>
    </row>
    <row r="551">
      <c r="A551" s="39">
        <f>IF($B551="","",COUNTA($B$4:$B551))</f>
        <v/>
      </c>
      <c r="B551" s="45" t="n"/>
      <c r="C551" s="46" t="n"/>
      <c r="D551" s="46" t="n"/>
      <c r="E551" s="46" t="n"/>
      <c r="F551" s="51" t="n"/>
      <c r="G551" s="47" t="n"/>
      <c r="H551" s="47" t="n"/>
      <c r="I551" s="43">
        <f>IF($B551="","",N($G551)-N($H551))</f>
        <v/>
      </c>
    </row>
    <row r="552">
      <c r="A552" s="39">
        <f>IF($B552="","",COUNTA($B$4:$B552))</f>
        <v/>
      </c>
      <c r="B552" s="40" t="n"/>
      <c r="C552" s="41" t="n"/>
      <c r="D552" s="41" t="n"/>
      <c r="E552" s="41" t="n"/>
      <c r="F552" s="50" t="n"/>
      <c r="G552" s="42" t="n"/>
      <c r="H552" s="42" t="n"/>
      <c r="I552" s="43">
        <f>IF($B552="","",N($G552)-N($H552))</f>
        <v/>
      </c>
    </row>
    <row r="553">
      <c r="A553" s="39">
        <f>IF($B553="","",COUNTA($B$4:$B553))</f>
        <v/>
      </c>
      <c r="B553" s="45" t="n"/>
      <c r="C553" s="46" t="n"/>
      <c r="D553" s="46" t="n"/>
      <c r="E553" s="46" t="n"/>
      <c r="F553" s="51" t="n"/>
      <c r="G553" s="47" t="n"/>
      <c r="H553" s="47" t="n"/>
      <c r="I553" s="43">
        <f>IF($B553="","",N($G553)-N($H553))</f>
        <v/>
      </c>
    </row>
    <row r="554">
      <c r="A554" s="39">
        <f>IF($B554="","",COUNTA($B$4:$B554))</f>
        <v/>
      </c>
      <c r="B554" s="40" t="n"/>
      <c r="C554" s="41" t="n"/>
      <c r="D554" s="41" t="n"/>
      <c r="E554" s="41" t="n"/>
      <c r="F554" s="50" t="n"/>
      <c r="G554" s="42" t="n"/>
      <c r="H554" s="42" t="n"/>
      <c r="I554" s="43">
        <f>IF($B554="","",N($G554)-N($H554))</f>
        <v/>
      </c>
    </row>
    <row r="555">
      <c r="A555" s="39">
        <f>IF($B555="","",COUNTA($B$4:$B555))</f>
        <v/>
      </c>
      <c r="B555" s="45" t="n"/>
      <c r="C555" s="46" t="n"/>
      <c r="D555" s="46" t="n"/>
      <c r="E555" s="46" t="n"/>
      <c r="F555" s="51" t="n"/>
      <c r="G555" s="47" t="n"/>
      <c r="H555" s="47" t="n"/>
      <c r="I555" s="43">
        <f>IF($B555="","",N($G555)-N($H555))</f>
        <v/>
      </c>
    </row>
    <row r="556">
      <c r="A556" s="39">
        <f>IF($B556="","",COUNTA($B$4:$B556))</f>
        <v/>
      </c>
      <c r="B556" s="40" t="n"/>
      <c r="C556" s="41" t="n"/>
      <c r="D556" s="41" t="n"/>
      <c r="E556" s="41" t="n"/>
      <c r="F556" s="50" t="n"/>
      <c r="G556" s="42" t="n"/>
      <c r="H556" s="42" t="n"/>
      <c r="I556" s="43">
        <f>IF($B556="","",N($G556)-N($H556))</f>
        <v/>
      </c>
    </row>
    <row r="557">
      <c r="A557" s="39">
        <f>IF($B557="","",COUNTA($B$4:$B557))</f>
        <v/>
      </c>
      <c r="B557" s="45" t="n"/>
      <c r="C557" s="46" t="n"/>
      <c r="D557" s="46" t="n"/>
      <c r="E557" s="46" t="n"/>
      <c r="F557" s="51" t="n"/>
      <c r="G557" s="47" t="n"/>
      <c r="H557" s="47" t="n"/>
      <c r="I557" s="43">
        <f>IF($B557="","",N($G557)-N($H557))</f>
        <v/>
      </c>
    </row>
    <row r="558">
      <c r="A558" s="39">
        <f>IF($B558="","",COUNTA($B$4:$B558))</f>
        <v/>
      </c>
      <c r="B558" s="40" t="n"/>
      <c r="C558" s="41" t="n"/>
      <c r="D558" s="41" t="n"/>
      <c r="E558" s="41" t="n"/>
      <c r="F558" s="50" t="n"/>
      <c r="G558" s="42" t="n"/>
      <c r="H558" s="42" t="n"/>
      <c r="I558" s="43">
        <f>IF($B558="","",N($G558)-N($H558))</f>
        <v/>
      </c>
    </row>
    <row r="559">
      <c r="A559" s="39">
        <f>IF($B559="","",COUNTA($B$4:$B559))</f>
        <v/>
      </c>
      <c r="B559" s="45" t="n"/>
      <c r="C559" s="46" t="n"/>
      <c r="D559" s="46" t="n"/>
      <c r="E559" s="46" t="n"/>
      <c r="F559" s="51" t="n"/>
      <c r="G559" s="47" t="n"/>
      <c r="H559" s="47" t="n"/>
      <c r="I559" s="43">
        <f>IF($B559="","",N($G559)-N($H559))</f>
        <v/>
      </c>
    </row>
    <row r="560">
      <c r="A560" s="39">
        <f>IF($B560="","",COUNTA($B$4:$B560))</f>
        <v/>
      </c>
      <c r="B560" s="40" t="n"/>
      <c r="C560" s="41" t="n"/>
      <c r="D560" s="41" t="n"/>
      <c r="E560" s="41" t="n"/>
      <c r="F560" s="50" t="n"/>
      <c r="G560" s="42" t="n"/>
      <c r="H560" s="42" t="n"/>
      <c r="I560" s="43">
        <f>IF($B560="","",N($G560)-N($H560))</f>
        <v/>
      </c>
    </row>
    <row r="561">
      <c r="A561" s="39">
        <f>IF($B561="","",COUNTA($B$4:$B561))</f>
        <v/>
      </c>
      <c r="B561" s="45" t="n"/>
      <c r="C561" s="46" t="n"/>
      <c r="D561" s="46" t="n"/>
      <c r="E561" s="46" t="n"/>
      <c r="F561" s="51" t="n"/>
      <c r="G561" s="47" t="n"/>
      <c r="H561" s="47" t="n"/>
      <c r="I561" s="43">
        <f>IF($B561="","",N($G561)-N($H561))</f>
        <v/>
      </c>
    </row>
    <row r="562">
      <c r="A562" s="39">
        <f>IF($B562="","",COUNTA($B$4:$B562))</f>
        <v/>
      </c>
      <c r="B562" s="40" t="n"/>
      <c r="C562" s="41" t="n"/>
      <c r="D562" s="41" t="n"/>
      <c r="E562" s="41" t="n"/>
      <c r="F562" s="50" t="n"/>
      <c r="G562" s="42" t="n"/>
      <c r="H562" s="42" t="n"/>
      <c r="I562" s="43">
        <f>IF($B562="","",N($G562)-N($H562))</f>
        <v/>
      </c>
    </row>
    <row r="563">
      <c r="A563" s="39">
        <f>IF($B563="","",COUNTA($B$4:$B563))</f>
        <v/>
      </c>
      <c r="B563" s="45" t="n"/>
      <c r="C563" s="46" t="n"/>
      <c r="D563" s="46" t="n"/>
      <c r="E563" s="46" t="n"/>
      <c r="F563" s="51" t="n"/>
      <c r="G563" s="47" t="n"/>
      <c r="H563" s="47" t="n"/>
      <c r="I563" s="43">
        <f>IF($B563="","",N($G563)-N($H563))</f>
        <v/>
      </c>
    </row>
    <row r="564">
      <c r="A564" s="39">
        <f>IF($B564="","",COUNTA($B$4:$B564))</f>
        <v/>
      </c>
      <c r="B564" s="40" t="n"/>
      <c r="C564" s="41" t="n"/>
      <c r="D564" s="41" t="n"/>
      <c r="E564" s="41" t="n"/>
      <c r="F564" s="50" t="n"/>
      <c r="G564" s="42" t="n"/>
      <c r="H564" s="42" t="n"/>
      <c r="I564" s="43">
        <f>IF($B564="","",N($G564)-N($H564))</f>
        <v/>
      </c>
    </row>
    <row r="565">
      <c r="A565" s="39">
        <f>IF($B565="","",COUNTA($B$4:$B565))</f>
        <v/>
      </c>
      <c r="B565" s="45" t="n"/>
      <c r="C565" s="46" t="n"/>
      <c r="D565" s="46" t="n"/>
      <c r="E565" s="46" t="n"/>
      <c r="F565" s="51" t="n"/>
      <c r="G565" s="47" t="n"/>
      <c r="H565" s="47" t="n"/>
      <c r="I565" s="43">
        <f>IF($B565="","",N($G565)-N($H565))</f>
        <v/>
      </c>
    </row>
    <row r="566">
      <c r="A566" s="39">
        <f>IF($B566="","",COUNTA($B$4:$B566))</f>
        <v/>
      </c>
      <c r="B566" s="40" t="n"/>
      <c r="C566" s="41" t="n"/>
      <c r="D566" s="41" t="n"/>
      <c r="E566" s="41" t="n"/>
      <c r="F566" s="50" t="n"/>
      <c r="G566" s="42" t="n"/>
      <c r="H566" s="42" t="n"/>
      <c r="I566" s="43">
        <f>IF($B566="","",N($G566)-N($H566))</f>
        <v/>
      </c>
    </row>
    <row r="567">
      <c r="A567" s="39">
        <f>IF($B567="","",COUNTA($B$4:$B567))</f>
        <v/>
      </c>
      <c r="B567" s="45" t="n"/>
      <c r="C567" s="46" t="n"/>
      <c r="D567" s="46" t="n"/>
      <c r="E567" s="46" t="n"/>
      <c r="F567" s="51" t="n"/>
      <c r="G567" s="47" t="n"/>
      <c r="H567" s="47" t="n"/>
      <c r="I567" s="43">
        <f>IF($B567="","",N($G567)-N($H567))</f>
        <v/>
      </c>
    </row>
    <row r="568">
      <c r="A568" s="39">
        <f>IF($B568="","",COUNTA($B$4:$B568))</f>
        <v/>
      </c>
      <c r="B568" s="40" t="n"/>
      <c r="C568" s="41" t="n"/>
      <c r="D568" s="41" t="n"/>
      <c r="E568" s="41" t="n"/>
      <c r="F568" s="50" t="n"/>
      <c r="G568" s="42" t="n"/>
      <c r="H568" s="42" t="n"/>
      <c r="I568" s="43">
        <f>IF($B568="","",N($G568)-N($H568))</f>
        <v/>
      </c>
    </row>
    <row r="569">
      <c r="A569" s="39">
        <f>IF($B569="","",COUNTA($B$4:$B569))</f>
        <v/>
      </c>
      <c r="B569" s="45" t="n"/>
      <c r="C569" s="46" t="n"/>
      <c r="D569" s="46" t="n"/>
      <c r="E569" s="46" t="n"/>
      <c r="F569" s="51" t="n"/>
      <c r="G569" s="47" t="n"/>
      <c r="H569" s="47" t="n"/>
      <c r="I569" s="43">
        <f>IF($B569="","",N($G569)-N($H569))</f>
        <v/>
      </c>
    </row>
    <row r="570">
      <c r="A570" s="39">
        <f>IF($B570="","",COUNTA($B$4:$B570))</f>
        <v/>
      </c>
      <c r="B570" s="40" t="n"/>
      <c r="C570" s="41" t="n"/>
      <c r="D570" s="41" t="n"/>
      <c r="E570" s="41" t="n"/>
      <c r="F570" s="50" t="n"/>
      <c r="G570" s="42" t="n"/>
      <c r="H570" s="42" t="n"/>
      <c r="I570" s="43">
        <f>IF($B570="","",N($G570)-N($H570))</f>
        <v/>
      </c>
    </row>
    <row r="571">
      <c r="A571" s="39">
        <f>IF($B571="","",COUNTA($B$4:$B571))</f>
        <v/>
      </c>
      <c r="B571" s="45" t="n"/>
      <c r="C571" s="46" t="n"/>
      <c r="D571" s="46" t="n"/>
      <c r="E571" s="46" t="n"/>
      <c r="F571" s="51" t="n"/>
      <c r="G571" s="47" t="n"/>
      <c r="H571" s="47" t="n"/>
      <c r="I571" s="43">
        <f>IF($B571="","",N($G571)-N($H571))</f>
        <v/>
      </c>
    </row>
    <row r="572">
      <c r="A572" s="39">
        <f>IF($B572="","",COUNTA($B$4:$B572))</f>
        <v/>
      </c>
      <c r="B572" s="40" t="n"/>
      <c r="C572" s="41" t="n"/>
      <c r="D572" s="41" t="n"/>
      <c r="E572" s="41" t="n"/>
      <c r="F572" s="50" t="n"/>
      <c r="G572" s="42" t="n"/>
      <c r="H572" s="42" t="n"/>
      <c r="I572" s="43">
        <f>IF($B572="","",N($G572)-N($H572))</f>
        <v/>
      </c>
    </row>
    <row r="573">
      <c r="A573" s="39">
        <f>IF($B573="","",COUNTA($B$4:$B573))</f>
        <v/>
      </c>
      <c r="B573" s="45" t="n"/>
      <c r="C573" s="46" t="n"/>
      <c r="D573" s="46" t="n"/>
      <c r="E573" s="46" t="n"/>
      <c r="F573" s="51" t="n"/>
      <c r="G573" s="47" t="n"/>
      <c r="H573" s="47" t="n"/>
      <c r="I573" s="43">
        <f>IF($B573="","",N($G573)-N($H573))</f>
        <v/>
      </c>
    </row>
    <row r="574">
      <c r="A574" s="39">
        <f>IF($B574="","",COUNTA($B$4:$B574))</f>
        <v/>
      </c>
      <c r="B574" s="40" t="n"/>
      <c r="C574" s="41" t="n"/>
      <c r="D574" s="41" t="n"/>
      <c r="E574" s="41" t="n"/>
      <c r="F574" s="50" t="n"/>
      <c r="G574" s="42" t="n"/>
      <c r="H574" s="42" t="n"/>
      <c r="I574" s="43">
        <f>IF($B574="","",N($G574)-N($H574))</f>
        <v/>
      </c>
    </row>
    <row r="575">
      <c r="A575" s="39">
        <f>IF($B575="","",COUNTA($B$4:$B575))</f>
        <v/>
      </c>
      <c r="B575" s="45" t="n"/>
      <c r="C575" s="46" t="n"/>
      <c r="D575" s="46" t="n"/>
      <c r="E575" s="46" t="n"/>
      <c r="F575" s="51" t="n"/>
      <c r="G575" s="47" t="n"/>
      <c r="H575" s="47" t="n"/>
      <c r="I575" s="43">
        <f>IF($B575="","",N($G575)-N($H575))</f>
        <v/>
      </c>
    </row>
    <row r="576">
      <c r="A576" s="39">
        <f>IF($B576="","",COUNTA($B$4:$B576))</f>
        <v/>
      </c>
      <c r="B576" s="40" t="n"/>
      <c r="C576" s="41" t="n"/>
      <c r="D576" s="41" t="n"/>
      <c r="E576" s="41" t="n"/>
      <c r="F576" s="50" t="n"/>
      <c r="G576" s="42" t="n"/>
      <c r="H576" s="42" t="n"/>
      <c r="I576" s="43">
        <f>IF($B576="","",N($G576)-N($H576))</f>
        <v/>
      </c>
    </row>
    <row r="577">
      <c r="A577" s="39">
        <f>IF($B577="","",COUNTA($B$4:$B577))</f>
        <v/>
      </c>
      <c r="B577" s="45" t="n"/>
      <c r="C577" s="46" t="n"/>
      <c r="D577" s="46" t="n"/>
      <c r="E577" s="46" t="n"/>
      <c r="F577" s="51" t="n"/>
      <c r="G577" s="47" t="n"/>
      <c r="H577" s="47" t="n"/>
      <c r="I577" s="43">
        <f>IF($B577="","",N($G577)-N($H577))</f>
        <v/>
      </c>
    </row>
    <row r="578">
      <c r="A578" s="39">
        <f>IF($B578="","",COUNTA($B$4:$B578))</f>
        <v/>
      </c>
      <c r="B578" s="40" t="n"/>
      <c r="C578" s="41" t="n"/>
      <c r="D578" s="41" t="n"/>
      <c r="E578" s="41" t="n"/>
      <c r="F578" s="50" t="n"/>
      <c r="G578" s="42" t="n"/>
      <c r="H578" s="42" t="n"/>
      <c r="I578" s="43">
        <f>IF($B578="","",N($G578)-N($H578))</f>
        <v/>
      </c>
    </row>
    <row r="579">
      <c r="A579" s="39">
        <f>IF($B579="","",COUNTA($B$4:$B579))</f>
        <v/>
      </c>
      <c r="B579" s="45" t="n"/>
      <c r="C579" s="46" t="n"/>
      <c r="D579" s="46" t="n"/>
      <c r="E579" s="46" t="n"/>
      <c r="F579" s="51" t="n"/>
      <c r="G579" s="47" t="n"/>
      <c r="H579" s="47" t="n"/>
      <c r="I579" s="43">
        <f>IF($B579="","",N($G579)-N($H579))</f>
        <v/>
      </c>
    </row>
    <row r="580">
      <c r="A580" s="39">
        <f>IF($B580="","",COUNTA($B$4:$B580))</f>
        <v/>
      </c>
      <c r="B580" s="40" t="n"/>
      <c r="C580" s="41" t="n"/>
      <c r="D580" s="41" t="n"/>
      <c r="E580" s="41" t="n"/>
      <c r="F580" s="50" t="n"/>
      <c r="G580" s="42" t="n"/>
      <c r="H580" s="42" t="n"/>
      <c r="I580" s="43">
        <f>IF($B580="","",N($G580)-N($H580))</f>
        <v/>
      </c>
    </row>
    <row r="581">
      <c r="A581" s="39">
        <f>IF($B581="","",COUNTA($B$4:$B581))</f>
        <v/>
      </c>
      <c r="B581" s="45" t="n"/>
      <c r="C581" s="46" t="n"/>
      <c r="D581" s="46" t="n"/>
      <c r="E581" s="46" t="n"/>
      <c r="F581" s="51" t="n"/>
      <c r="G581" s="47" t="n"/>
      <c r="H581" s="47" t="n"/>
      <c r="I581" s="43">
        <f>IF($B581="","",N($G581)-N($H581))</f>
        <v/>
      </c>
    </row>
    <row r="582">
      <c r="A582" s="39">
        <f>IF($B582="","",COUNTA($B$4:$B582))</f>
        <v/>
      </c>
      <c r="B582" s="40" t="n"/>
      <c r="C582" s="41" t="n"/>
      <c r="D582" s="41" t="n"/>
      <c r="E582" s="41" t="n"/>
      <c r="F582" s="50" t="n"/>
      <c r="G582" s="42" t="n"/>
      <c r="H582" s="42" t="n"/>
      <c r="I582" s="43">
        <f>IF($B582="","",N($G582)-N($H582))</f>
        <v/>
      </c>
    </row>
    <row r="583">
      <c r="A583" s="39">
        <f>IF($B583="","",COUNTA($B$4:$B583))</f>
        <v/>
      </c>
      <c r="B583" s="45" t="n"/>
      <c r="C583" s="46" t="n"/>
      <c r="D583" s="46" t="n"/>
      <c r="E583" s="46" t="n"/>
      <c r="F583" s="51" t="n"/>
      <c r="G583" s="47" t="n"/>
      <c r="H583" s="47" t="n"/>
      <c r="I583" s="43">
        <f>IF($B583="","",N($G583)-N($H583))</f>
        <v/>
      </c>
    </row>
    <row r="584">
      <c r="A584" s="39">
        <f>IF($B584="","",COUNTA($B$4:$B584))</f>
        <v/>
      </c>
      <c r="B584" s="40" t="n"/>
      <c r="C584" s="41" t="n"/>
      <c r="D584" s="41" t="n"/>
      <c r="E584" s="41" t="n"/>
      <c r="F584" s="50" t="n"/>
      <c r="G584" s="42" t="n"/>
      <c r="H584" s="42" t="n"/>
      <c r="I584" s="43">
        <f>IF($B584="","",N($G584)-N($H584))</f>
        <v/>
      </c>
    </row>
    <row r="585">
      <c r="A585" s="39">
        <f>IF($B585="","",COUNTA($B$4:$B585))</f>
        <v/>
      </c>
      <c r="B585" s="45" t="n"/>
      <c r="C585" s="46" t="n"/>
      <c r="D585" s="46" t="n"/>
      <c r="E585" s="46" t="n"/>
      <c r="F585" s="51" t="n"/>
      <c r="G585" s="47" t="n"/>
      <c r="H585" s="47" t="n"/>
      <c r="I585" s="43">
        <f>IF($B585="","",N($G585)-N($H585))</f>
        <v/>
      </c>
    </row>
    <row r="586">
      <c r="A586" s="39">
        <f>IF($B586="","",COUNTA($B$4:$B586))</f>
        <v/>
      </c>
      <c r="B586" s="40" t="n"/>
      <c r="C586" s="41" t="n"/>
      <c r="D586" s="41" t="n"/>
      <c r="E586" s="41" t="n"/>
      <c r="F586" s="50" t="n"/>
      <c r="G586" s="42" t="n"/>
      <c r="H586" s="42" t="n"/>
      <c r="I586" s="43">
        <f>IF($B586="","",N($G586)-N($H586))</f>
        <v/>
      </c>
    </row>
    <row r="587">
      <c r="A587" s="39">
        <f>IF($B587="","",COUNTA($B$4:$B587))</f>
        <v/>
      </c>
      <c r="B587" s="45" t="n"/>
      <c r="C587" s="46" t="n"/>
      <c r="D587" s="46" t="n"/>
      <c r="E587" s="46" t="n"/>
      <c r="F587" s="51" t="n"/>
      <c r="G587" s="47" t="n"/>
      <c r="H587" s="47" t="n"/>
      <c r="I587" s="43">
        <f>IF($B587="","",N($G587)-N($H587))</f>
        <v/>
      </c>
    </row>
    <row r="588">
      <c r="A588" s="39">
        <f>IF($B588="","",COUNTA($B$4:$B588))</f>
        <v/>
      </c>
      <c r="B588" s="40" t="n"/>
      <c r="C588" s="41" t="n"/>
      <c r="D588" s="41" t="n"/>
      <c r="E588" s="41" t="n"/>
      <c r="F588" s="50" t="n"/>
      <c r="G588" s="42" t="n"/>
      <c r="H588" s="42" t="n"/>
      <c r="I588" s="43">
        <f>IF($B588="","",N($G588)-N($H588))</f>
        <v/>
      </c>
    </row>
    <row r="589">
      <c r="A589" s="39">
        <f>IF($B589="","",COUNTA($B$4:$B589))</f>
        <v/>
      </c>
      <c r="B589" s="45" t="n"/>
      <c r="C589" s="46" t="n"/>
      <c r="D589" s="46" t="n"/>
      <c r="E589" s="46" t="n"/>
      <c r="F589" s="51" t="n"/>
      <c r="G589" s="47" t="n"/>
      <c r="H589" s="47" t="n"/>
      <c r="I589" s="43">
        <f>IF($B589="","",N($G589)-N($H589))</f>
        <v/>
      </c>
    </row>
    <row r="590">
      <c r="A590" s="39">
        <f>IF($B590="","",COUNTA($B$4:$B590))</f>
        <v/>
      </c>
      <c r="B590" s="40" t="n"/>
      <c r="C590" s="41" t="n"/>
      <c r="D590" s="41" t="n"/>
      <c r="E590" s="41" t="n"/>
      <c r="F590" s="50" t="n"/>
      <c r="G590" s="42" t="n"/>
      <c r="H590" s="42" t="n"/>
      <c r="I590" s="43">
        <f>IF($B590="","",N($G590)-N($H590))</f>
        <v/>
      </c>
    </row>
    <row r="591">
      <c r="A591" s="39">
        <f>IF($B591="","",COUNTA($B$4:$B591))</f>
        <v/>
      </c>
      <c r="B591" s="45" t="n"/>
      <c r="C591" s="46" t="n"/>
      <c r="D591" s="46" t="n"/>
      <c r="E591" s="46" t="n"/>
      <c r="F591" s="51" t="n"/>
      <c r="G591" s="47" t="n"/>
      <c r="H591" s="47" t="n"/>
      <c r="I591" s="43">
        <f>IF($B591="","",N($G591)-N($H591))</f>
        <v/>
      </c>
    </row>
    <row r="592">
      <c r="A592" s="39">
        <f>IF($B592="","",COUNTA($B$4:$B592))</f>
        <v/>
      </c>
      <c r="B592" s="40" t="n"/>
      <c r="C592" s="41" t="n"/>
      <c r="D592" s="41" t="n"/>
      <c r="E592" s="41" t="n"/>
      <c r="F592" s="50" t="n"/>
      <c r="G592" s="42" t="n"/>
      <c r="H592" s="42" t="n"/>
      <c r="I592" s="43">
        <f>IF($B592="","",N($G592)-N($H592))</f>
        <v/>
      </c>
    </row>
    <row r="593">
      <c r="A593" s="39">
        <f>IF($B593="","",COUNTA($B$4:$B593))</f>
        <v/>
      </c>
      <c r="B593" s="45" t="n"/>
      <c r="C593" s="46" t="n"/>
      <c r="D593" s="46" t="n"/>
      <c r="E593" s="46" t="n"/>
      <c r="F593" s="51" t="n"/>
      <c r="G593" s="47" t="n"/>
      <c r="H593" s="47" t="n"/>
      <c r="I593" s="43">
        <f>IF($B593="","",N($G593)-N($H593))</f>
        <v/>
      </c>
    </row>
    <row r="594">
      <c r="A594" s="39">
        <f>IF($B594="","",COUNTA($B$4:$B594))</f>
        <v/>
      </c>
      <c r="B594" s="40" t="n"/>
      <c r="C594" s="41" t="n"/>
      <c r="D594" s="41" t="n"/>
      <c r="E594" s="41" t="n"/>
      <c r="F594" s="50" t="n"/>
      <c r="G594" s="42" t="n"/>
      <c r="H594" s="42" t="n"/>
      <c r="I594" s="43">
        <f>IF($B594="","",N($G594)-N($H594))</f>
        <v/>
      </c>
    </row>
    <row r="595">
      <c r="A595" s="39">
        <f>IF($B595="","",COUNTA($B$4:$B595))</f>
        <v/>
      </c>
      <c r="B595" s="45" t="n"/>
      <c r="C595" s="46" t="n"/>
      <c r="D595" s="46" t="n"/>
      <c r="E595" s="46" t="n"/>
      <c r="F595" s="51" t="n"/>
      <c r="G595" s="47" t="n"/>
      <c r="H595" s="47" t="n"/>
      <c r="I595" s="43">
        <f>IF($B595="","",N($G595)-N($H595))</f>
        <v/>
      </c>
    </row>
    <row r="596">
      <c r="A596" s="39">
        <f>IF($B596="","",COUNTA($B$4:$B596))</f>
        <v/>
      </c>
      <c r="B596" s="40" t="n"/>
      <c r="C596" s="41" t="n"/>
      <c r="D596" s="41" t="n"/>
      <c r="E596" s="41" t="n"/>
      <c r="F596" s="50" t="n"/>
      <c r="G596" s="42" t="n"/>
      <c r="H596" s="42" t="n"/>
      <c r="I596" s="43">
        <f>IF($B596="","",N($G596)-N($H596))</f>
        <v/>
      </c>
    </row>
    <row r="597">
      <c r="A597" s="39">
        <f>IF($B597="","",COUNTA($B$4:$B597))</f>
        <v/>
      </c>
      <c r="B597" s="45" t="n"/>
      <c r="C597" s="46" t="n"/>
      <c r="D597" s="46" t="n"/>
      <c r="E597" s="46" t="n"/>
      <c r="F597" s="51" t="n"/>
      <c r="G597" s="47" t="n"/>
      <c r="H597" s="47" t="n"/>
      <c r="I597" s="43">
        <f>IF($B597="","",N($G597)-N($H597))</f>
        <v/>
      </c>
    </row>
    <row r="598">
      <c r="A598" s="39">
        <f>IF($B598="","",COUNTA($B$4:$B598))</f>
        <v/>
      </c>
      <c r="B598" s="40" t="n"/>
      <c r="C598" s="41" t="n"/>
      <c r="D598" s="41" t="n"/>
      <c r="E598" s="41" t="n"/>
      <c r="F598" s="50" t="n"/>
      <c r="G598" s="42" t="n"/>
      <c r="H598" s="42" t="n"/>
      <c r="I598" s="43">
        <f>IF($B598="","",N($G598)-N($H598))</f>
        <v/>
      </c>
    </row>
    <row r="599">
      <c r="A599" s="39">
        <f>IF($B599="","",COUNTA($B$4:$B599))</f>
        <v/>
      </c>
      <c r="B599" s="45" t="n"/>
      <c r="C599" s="46" t="n"/>
      <c r="D599" s="46" t="n"/>
      <c r="E599" s="46" t="n"/>
      <c r="F599" s="51" t="n"/>
      <c r="G599" s="47" t="n"/>
      <c r="H599" s="47" t="n"/>
      <c r="I599" s="43">
        <f>IF($B599="","",N($G599)-N($H599))</f>
        <v/>
      </c>
    </row>
    <row r="600">
      <c r="A600" s="39">
        <f>IF($B600="","",COUNTA($B$4:$B600))</f>
        <v/>
      </c>
      <c r="B600" s="40" t="n"/>
      <c r="C600" s="41" t="n"/>
      <c r="D600" s="41" t="n"/>
      <c r="E600" s="41" t="n"/>
      <c r="F600" s="50" t="n"/>
      <c r="G600" s="42" t="n"/>
      <c r="H600" s="42" t="n"/>
      <c r="I600" s="43">
        <f>IF($B600="","",N($G600)-N($H600))</f>
        <v/>
      </c>
    </row>
    <row r="601">
      <c r="A601" s="39">
        <f>IF($B601="","",COUNTA($B$4:$B601))</f>
        <v/>
      </c>
      <c r="B601" s="45" t="n"/>
      <c r="C601" s="46" t="n"/>
      <c r="D601" s="46" t="n"/>
      <c r="E601" s="46" t="n"/>
      <c r="F601" s="51" t="n"/>
      <c r="G601" s="47" t="n"/>
      <c r="H601" s="47" t="n"/>
      <c r="I601" s="43">
        <f>IF($B601="","",N($G601)-N($H601))</f>
        <v/>
      </c>
    </row>
    <row r="602">
      <c r="A602" s="39">
        <f>IF($B602="","",COUNTA($B$4:$B602))</f>
        <v/>
      </c>
      <c r="B602" s="40" t="n"/>
      <c r="C602" s="41" t="n"/>
      <c r="D602" s="41" t="n"/>
      <c r="E602" s="41" t="n"/>
      <c r="F602" s="50" t="n"/>
      <c r="G602" s="42" t="n"/>
      <c r="H602" s="42" t="n"/>
      <c r="I602" s="43">
        <f>IF($B602="","",N($G602)-N($H602))</f>
        <v/>
      </c>
    </row>
    <row r="603">
      <c r="A603" s="39">
        <f>IF($B603="","",COUNTA($B$4:$B603))</f>
        <v/>
      </c>
      <c r="B603" s="45" t="n"/>
      <c r="C603" s="46" t="n"/>
      <c r="D603" s="46" t="n"/>
      <c r="E603" s="46" t="n"/>
      <c r="F603" s="51" t="n"/>
      <c r="G603" s="47" t="n"/>
      <c r="H603" s="47" t="n"/>
      <c r="I603" s="43">
        <f>IF($B603="","",N($G603)-N($H603))</f>
        <v/>
      </c>
    </row>
    <row r="604">
      <c r="A604" s="39">
        <f>IF($B604="","",COUNTA($B$4:$B604))</f>
        <v/>
      </c>
      <c r="B604" s="40" t="n"/>
      <c r="C604" s="41" t="n"/>
      <c r="D604" s="41" t="n"/>
      <c r="E604" s="41" t="n"/>
      <c r="F604" s="50" t="n"/>
      <c r="G604" s="42" t="n"/>
      <c r="H604" s="42" t="n"/>
      <c r="I604" s="43">
        <f>IF($B604="","",N($G604)-N($H604))</f>
        <v/>
      </c>
    </row>
    <row r="605">
      <c r="A605" s="39">
        <f>IF($B605="","",COUNTA($B$4:$B605))</f>
        <v/>
      </c>
      <c r="B605" s="45" t="n"/>
      <c r="C605" s="46" t="n"/>
      <c r="D605" s="46" t="n"/>
      <c r="E605" s="46" t="n"/>
      <c r="F605" s="51" t="n"/>
      <c r="G605" s="47" t="n"/>
      <c r="H605" s="47" t="n"/>
      <c r="I605" s="43">
        <f>IF($B605="","",N($G605)-N($H605))</f>
        <v/>
      </c>
    </row>
    <row r="606">
      <c r="A606" s="39">
        <f>IF($B606="","",COUNTA($B$4:$B606))</f>
        <v/>
      </c>
      <c r="B606" s="40" t="n"/>
      <c r="C606" s="41" t="n"/>
      <c r="D606" s="41" t="n"/>
      <c r="E606" s="41" t="n"/>
      <c r="F606" s="50" t="n"/>
      <c r="G606" s="42" t="n"/>
      <c r="H606" s="42" t="n"/>
      <c r="I606" s="43">
        <f>IF($B606="","",N($G606)-N($H606))</f>
        <v/>
      </c>
    </row>
    <row r="607">
      <c r="A607" s="39">
        <f>IF($B607="","",COUNTA($B$4:$B607))</f>
        <v/>
      </c>
      <c r="B607" s="45" t="n"/>
      <c r="C607" s="46" t="n"/>
      <c r="D607" s="46" t="n"/>
      <c r="E607" s="46" t="n"/>
      <c r="F607" s="51" t="n"/>
      <c r="G607" s="47" t="n"/>
      <c r="H607" s="47" t="n"/>
      <c r="I607" s="43">
        <f>IF($B607="","",N($G607)-N($H607))</f>
        <v/>
      </c>
    </row>
    <row r="608">
      <c r="A608" s="39">
        <f>IF($B608="","",COUNTA($B$4:$B608))</f>
        <v/>
      </c>
      <c r="B608" s="40" t="n"/>
      <c r="C608" s="41" t="n"/>
      <c r="D608" s="41" t="n"/>
      <c r="E608" s="41" t="n"/>
      <c r="F608" s="50" t="n"/>
      <c r="G608" s="42" t="n"/>
      <c r="H608" s="42" t="n"/>
      <c r="I608" s="43">
        <f>IF($B608="","",N($G608)-N($H608))</f>
        <v/>
      </c>
    </row>
    <row r="609">
      <c r="A609" s="39">
        <f>IF($B609="","",COUNTA($B$4:$B609))</f>
        <v/>
      </c>
      <c r="B609" s="45" t="n"/>
      <c r="C609" s="46" t="n"/>
      <c r="D609" s="46" t="n"/>
      <c r="E609" s="46" t="n"/>
      <c r="F609" s="51" t="n"/>
      <c r="G609" s="47" t="n"/>
      <c r="H609" s="47" t="n"/>
      <c r="I609" s="43">
        <f>IF($B609="","",N($G609)-N($H609))</f>
        <v/>
      </c>
    </row>
    <row r="610">
      <c r="A610" s="39">
        <f>IF($B610="","",COUNTA($B$4:$B610))</f>
        <v/>
      </c>
      <c r="B610" s="40" t="n"/>
      <c r="C610" s="41" t="n"/>
      <c r="D610" s="41" t="n"/>
      <c r="E610" s="41" t="n"/>
      <c r="F610" s="50" t="n"/>
      <c r="G610" s="42" t="n"/>
      <c r="H610" s="42" t="n"/>
      <c r="I610" s="43">
        <f>IF($B610="","",N($G610)-N($H610))</f>
        <v/>
      </c>
    </row>
    <row r="611">
      <c r="A611" s="39">
        <f>IF($B611="","",COUNTA($B$4:$B611))</f>
        <v/>
      </c>
      <c r="B611" s="45" t="n"/>
      <c r="C611" s="46" t="n"/>
      <c r="D611" s="46" t="n"/>
      <c r="E611" s="46" t="n"/>
      <c r="F611" s="51" t="n"/>
      <c r="G611" s="47" t="n"/>
      <c r="H611" s="47" t="n"/>
      <c r="I611" s="43">
        <f>IF($B611="","",N($G611)-N($H611))</f>
        <v/>
      </c>
    </row>
    <row r="612">
      <c r="A612" s="39">
        <f>IF($B612="","",COUNTA($B$4:$B612))</f>
        <v/>
      </c>
      <c r="B612" s="40" t="n"/>
      <c r="C612" s="41" t="n"/>
      <c r="D612" s="41" t="n"/>
      <c r="E612" s="41" t="n"/>
      <c r="F612" s="50" t="n"/>
      <c r="G612" s="42" t="n"/>
      <c r="H612" s="42" t="n"/>
      <c r="I612" s="43">
        <f>IF($B612="","",N($G612)-N($H612))</f>
        <v/>
      </c>
    </row>
    <row r="613">
      <c r="A613" s="39">
        <f>IF($B613="","",COUNTA($B$4:$B613))</f>
        <v/>
      </c>
      <c r="B613" s="45" t="n"/>
      <c r="C613" s="46" t="n"/>
      <c r="D613" s="46" t="n"/>
      <c r="E613" s="46" t="n"/>
      <c r="F613" s="51" t="n"/>
      <c r="G613" s="47" t="n"/>
      <c r="H613" s="47" t="n"/>
      <c r="I613" s="43">
        <f>IF($B613="","",N($G613)-N($H613))</f>
        <v/>
      </c>
    </row>
    <row r="614">
      <c r="A614" s="39">
        <f>IF($B614="","",COUNTA($B$4:$B614))</f>
        <v/>
      </c>
      <c r="B614" s="40" t="n"/>
      <c r="C614" s="41" t="n"/>
      <c r="D614" s="41" t="n"/>
      <c r="E614" s="41" t="n"/>
      <c r="F614" s="50" t="n"/>
      <c r="G614" s="42" t="n"/>
      <c r="H614" s="42" t="n"/>
      <c r="I614" s="43">
        <f>IF($B614="","",N($G614)-N($H614))</f>
        <v/>
      </c>
    </row>
    <row r="615">
      <c r="A615" s="39">
        <f>IF($B615="","",COUNTA($B$4:$B615))</f>
        <v/>
      </c>
      <c r="B615" s="45" t="n"/>
      <c r="C615" s="46" t="n"/>
      <c r="D615" s="46" t="n"/>
      <c r="E615" s="46" t="n"/>
      <c r="F615" s="51" t="n"/>
      <c r="G615" s="47" t="n"/>
      <c r="H615" s="47" t="n"/>
      <c r="I615" s="43">
        <f>IF($B615="","",N($G615)-N($H615))</f>
        <v/>
      </c>
    </row>
    <row r="616">
      <c r="A616" s="39">
        <f>IF($B616="","",COUNTA($B$4:$B616))</f>
        <v/>
      </c>
      <c r="B616" s="40" t="n"/>
      <c r="C616" s="41" t="n"/>
      <c r="D616" s="41" t="n"/>
      <c r="E616" s="41" t="n"/>
      <c r="F616" s="50" t="n"/>
      <c r="G616" s="42" t="n"/>
      <c r="H616" s="42" t="n"/>
      <c r="I616" s="43">
        <f>IF($B616="","",N($G616)-N($H616))</f>
        <v/>
      </c>
    </row>
    <row r="617">
      <c r="A617" s="39">
        <f>IF($B617="","",COUNTA($B$4:$B617))</f>
        <v/>
      </c>
      <c r="B617" s="45" t="n"/>
      <c r="C617" s="46" t="n"/>
      <c r="D617" s="46" t="n"/>
      <c r="E617" s="46" t="n"/>
      <c r="F617" s="51" t="n"/>
      <c r="G617" s="47" t="n"/>
      <c r="H617" s="47" t="n"/>
      <c r="I617" s="43">
        <f>IF($B617="","",N($G617)-N($H617))</f>
        <v/>
      </c>
    </row>
    <row r="618">
      <c r="A618" s="39">
        <f>IF($B618="","",COUNTA($B$4:$B618))</f>
        <v/>
      </c>
      <c r="B618" s="40" t="n"/>
      <c r="C618" s="41" t="n"/>
      <c r="D618" s="41" t="n"/>
      <c r="E618" s="41" t="n"/>
      <c r="F618" s="50" t="n"/>
      <c r="G618" s="42" t="n"/>
      <c r="H618" s="42" t="n"/>
      <c r="I618" s="43">
        <f>IF($B618="","",N($G618)-N($H618))</f>
        <v/>
      </c>
    </row>
    <row r="619">
      <c r="A619" s="39">
        <f>IF($B619="","",COUNTA($B$4:$B619))</f>
        <v/>
      </c>
      <c r="B619" s="45" t="n"/>
      <c r="C619" s="46" t="n"/>
      <c r="D619" s="46" t="n"/>
      <c r="E619" s="46" t="n"/>
      <c r="F619" s="51" t="n"/>
      <c r="G619" s="47" t="n"/>
      <c r="H619" s="47" t="n"/>
      <c r="I619" s="43">
        <f>IF($B619="","",N($G619)-N($H619))</f>
        <v/>
      </c>
    </row>
    <row r="620">
      <c r="A620" s="39">
        <f>IF($B620="","",COUNTA($B$4:$B620))</f>
        <v/>
      </c>
      <c r="B620" s="40" t="n"/>
      <c r="C620" s="41" t="n"/>
      <c r="D620" s="41" t="n"/>
      <c r="E620" s="41" t="n"/>
      <c r="F620" s="50" t="n"/>
      <c r="G620" s="42" t="n"/>
      <c r="H620" s="42" t="n"/>
      <c r="I620" s="43">
        <f>IF($B620="","",N($G620)-N($H620))</f>
        <v/>
      </c>
    </row>
    <row r="621">
      <c r="A621" s="39">
        <f>IF($B621="","",COUNTA($B$4:$B621))</f>
        <v/>
      </c>
      <c r="B621" s="45" t="n"/>
      <c r="C621" s="46" t="n"/>
      <c r="D621" s="46" t="n"/>
      <c r="E621" s="46" t="n"/>
      <c r="F621" s="51" t="n"/>
      <c r="G621" s="47" t="n"/>
      <c r="H621" s="47" t="n"/>
      <c r="I621" s="43">
        <f>IF($B621="","",N($G621)-N($H621))</f>
        <v/>
      </c>
    </row>
    <row r="622">
      <c r="A622" s="39">
        <f>IF($B622="","",COUNTA($B$4:$B622))</f>
        <v/>
      </c>
      <c r="B622" s="40" t="n"/>
      <c r="C622" s="41" t="n"/>
      <c r="D622" s="41" t="n"/>
      <c r="E622" s="41" t="n"/>
      <c r="F622" s="50" t="n"/>
      <c r="G622" s="42" t="n"/>
      <c r="H622" s="42" t="n"/>
      <c r="I622" s="43">
        <f>IF($B622="","",N($G622)-N($H622))</f>
        <v/>
      </c>
    </row>
    <row r="623">
      <c r="A623" s="39">
        <f>IF($B623="","",COUNTA($B$4:$B623))</f>
        <v/>
      </c>
      <c r="B623" s="45" t="n"/>
      <c r="C623" s="46" t="n"/>
      <c r="D623" s="46" t="n"/>
      <c r="E623" s="46" t="n"/>
      <c r="F623" s="51" t="n"/>
      <c r="G623" s="47" t="n"/>
      <c r="H623" s="47" t="n"/>
      <c r="I623" s="43">
        <f>IF($B623="","",N($G623)-N($H623))</f>
        <v/>
      </c>
    </row>
    <row r="624">
      <c r="A624" s="39">
        <f>IF($B624="","",COUNTA($B$4:$B624))</f>
        <v/>
      </c>
      <c r="B624" s="40" t="n"/>
      <c r="C624" s="41" t="n"/>
      <c r="D624" s="41" t="n"/>
      <c r="E624" s="41" t="n"/>
      <c r="F624" s="50" t="n"/>
      <c r="G624" s="42" t="n"/>
      <c r="H624" s="42" t="n"/>
      <c r="I624" s="43">
        <f>IF($B624="","",N($G624)-N($H624))</f>
        <v/>
      </c>
    </row>
    <row r="625">
      <c r="A625" s="39">
        <f>IF($B625="","",COUNTA($B$4:$B625))</f>
        <v/>
      </c>
      <c r="B625" s="45" t="n"/>
      <c r="C625" s="46" t="n"/>
      <c r="D625" s="46" t="n"/>
      <c r="E625" s="46" t="n"/>
      <c r="F625" s="51" t="n"/>
      <c r="G625" s="47" t="n"/>
      <c r="H625" s="47" t="n"/>
      <c r="I625" s="43">
        <f>IF($B625="","",N($G625)-N($H625))</f>
        <v/>
      </c>
    </row>
    <row r="626">
      <c r="A626" s="39">
        <f>IF($B626="","",COUNTA($B$4:$B626))</f>
        <v/>
      </c>
      <c r="B626" s="40" t="n"/>
      <c r="C626" s="41" t="n"/>
      <c r="D626" s="41" t="n"/>
      <c r="E626" s="41" t="n"/>
      <c r="F626" s="50" t="n"/>
      <c r="G626" s="42" t="n"/>
      <c r="H626" s="42" t="n"/>
      <c r="I626" s="43">
        <f>IF($B626="","",N($G626)-N($H626))</f>
        <v/>
      </c>
    </row>
    <row r="627">
      <c r="A627" s="39">
        <f>IF($B627="","",COUNTA($B$4:$B627))</f>
        <v/>
      </c>
      <c r="B627" s="45" t="n"/>
      <c r="C627" s="46" t="n"/>
      <c r="D627" s="46" t="n"/>
      <c r="E627" s="46" t="n"/>
      <c r="F627" s="51" t="n"/>
      <c r="G627" s="47" t="n"/>
      <c r="H627" s="47" t="n"/>
      <c r="I627" s="43">
        <f>IF($B627="","",N($G627)-N($H627))</f>
        <v/>
      </c>
    </row>
    <row r="628">
      <c r="A628" s="39">
        <f>IF($B628="","",COUNTA($B$4:$B628))</f>
        <v/>
      </c>
      <c r="B628" s="40" t="n"/>
      <c r="C628" s="41" t="n"/>
      <c r="D628" s="41" t="n"/>
      <c r="E628" s="41" t="n"/>
      <c r="F628" s="50" t="n"/>
      <c r="G628" s="42" t="n"/>
      <c r="H628" s="42" t="n"/>
      <c r="I628" s="43">
        <f>IF($B628="","",N($G628)-N($H628))</f>
        <v/>
      </c>
    </row>
    <row r="629">
      <c r="A629" s="39">
        <f>IF($B629="","",COUNTA($B$4:$B629))</f>
        <v/>
      </c>
      <c r="B629" s="45" t="n"/>
      <c r="C629" s="46" t="n"/>
      <c r="D629" s="46" t="n"/>
      <c r="E629" s="46" t="n"/>
      <c r="F629" s="51" t="n"/>
      <c r="G629" s="47" t="n"/>
      <c r="H629" s="47" t="n"/>
      <c r="I629" s="43">
        <f>IF($B629="","",N($G629)-N($H629))</f>
        <v/>
      </c>
    </row>
    <row r="630">
      <c r="A630" s="39">
        <f>IF($B630="","",COUNTA($B$4:$B630))</f>
        <v/>
      </c>
      <c r="B630" s="40" t="n"/>
      <c r="C630" s="41" t="n"/>
      <c r="D630" s="41" t="n"/>
      <c r="E630" s="41" t="n"/>
      <c r="F630" s="50" t="n"/>
      <c r="G630" s="42" t="n"/>
      <c r="H630" s="42" t="n"/>
      <c r="I630" s="43">
        <f>IF($B630="","",N($G630)-N($H630))</f>
        <v/>
      </c>
    </row>
    <row r="631">
      <c r="A631" s="39">
        <f>IF($B631="","",COUNTA($B$4:$B631))</f>
        <v/>
      </c>
      <c r="B631" s="45" t="n"/>
      <c r="C631" s="46" t="n"/>
      <c r="D631" s="46" t="n"/>
      <c r="E631" s="46" t="n"/>
      <c r="F631" s="51" t="n"/>
      <c r="G631" s="47" t="n"/>
      <c r="H631" s="47" t="n"/>
      <c r="I631" s="43">
        <f>IF($B631="","",N($G631)-N($H631))</f>
        <v/>
      </c>
    </row>
    <row r="632">
      <c r="A632" s="39">
        <f>IF($B632="","",COUNTA($B$4:$B632))</f>
        <v/>
      </c>
      <c r="B632" s="40" t="n"/>
      <c r="C632" s="41" t="n"/>
      <c r="D632" s="41" t="n"/>
      <c r="E632" s="41" t="n"/>
      <c r="F632" s="50" t="n"/>
      <c r="G632" s="42" t="n"/>
      <c r="H632" s="42" t="n"/>
      <c r="I632" s="43">
        <f>IF($B632="","",N($G632)-N($H632))</f>
        <v/>
      </c>
    </row>
    <row r="633">
      <c r="A633" s="39">
        <f>IF($B633="","",COUNTA($B$4:$B633))</f>
        <v/>
      </c>
      <c r="B633" s="45" t="n"/>
      <c r="C633" s="46" t="n"/>
      <c r="D633" s="46" t="n"/>
      <c r="E633" s="46" t="n"/>
      <c r="F633" s="51" t="n"/>
      <c r="G633" s="47" t="n"/>
      <c r="H633" s="47" t="n"/>
      <c r="I633" s="43">
        <f>IF($B633="","",N($G633)-N($H633))</f>
        <v/>
      </c>
    </row>
    <row r="634">
      <c r="A634" s="39">
        <f>IF($B634="","",COUNTA($B$4:$B634))</f>
        <v/>
      </c>
      <c r="B634" s="40" t="n"/>
      <c r="C634" s="41" t="n"/>
      <c r="D634" s="41" t="n"/>
      <c r="E634" s="41" t="n"/>
      <c r="F634" s="50" t="n"/>
      <c r="G634" s="42" t="n"/>
      <c r="H634" s="42" t="n"/>
      <c r="I634" s="43">
        <f>IF($B634="","",N($G634)-N($H634))</f>
        <v/>
      </c>
    </row>
    <row r="635">
      <c r="A635" s="39">
        <f>IF($B635="","",COUNTA($B$4:$B635))</f>
        <v/>
      </c>
      <c r="B635" s="45" t="n"/>
      <c r="C635" s="46" t="n"/>
      <c r="D635" s="46" t="n"/>
      <c r="E635" s="46" t="n"/>
      <c r="F635" s="51" t="n"/>
      <c r="G635" s="47" t="n"/>
      <c r="H635" s="47" t="n"/>
      <c r="I635" s="43">
        <f>IF($B635="","",N($G635)-N($H635))</f>
        <v/>
      </c>
    </row>
    <row r="636">
      <c r="A636" s="39">
        <f>IF($B636="","",COUNTA($B$4:$B636))</f>
        <v/>
      </c>
      <c r="B636" s="40" t="n"/>
      <c r="C636" s="41" t="n"/>
      <c r="D636" s="41" t="n"/>
      <c r="E636" s="41" t="n"/>
      <c r="F636" s="50" t="n"/>
      <c r="G636" s="42" t="n"/>
      <c r="H636" s="42" t="n"/>
      <c r="I636" s="43">
        <f>IF($B636="","",N($G636)-N($H636))</f>
        <v/>
      </c>
    </row>
    <row r="637">
      <c r="A637" s="39">
        <f>IF($B637="","",COUNTA($B$4:$B637))</f>
        <v/>
      </c>
      <c r="B637" s="45" t="n"/>
      <c r="C637" s="46" t="n"/>
      <c r="D637" s="46" t="n"/>
      <c r="E637" s="46" t="n"/>
      <c r="F637" s="51" t="n"/>
      <c r="G637" s="47" t="n"/>
      <c r="H637" s="47" t="n"/>
      <c r="I637" s="43">
        <f>IF($B637="","",N($G637)-N($H637))</f>
        <v/>
      </c>
    </row>
    <row r="638">
      <c r="A638" s="39">
        <f>IF($B638="","",COUNTA($B$4:$B638))</f>
        <v/>
      </c>
      <c r="B638" s="40" t="n"/>
      <c r="C638" s="41" t="n"/>
      <c r="D638" s="41" t="n"/>
      <c r="E638" s="41" t="n"/>
      <c r="F638" s="50" t="n"/>
      <c r="G638" s="42" t="n"/>
      <c r="H638" s="42" t="n"/>
      <c r="I638" s="43">
        <f>IF($B638="","",N($G638)-N($H638))</f>
        <v/>
      </c>
    </row>
    <row r="639">
      <c r="A639" s="39">
        <f>IF($B639="","",COUNTA($B$4:$B639))</f>
        <v/>
      </c>
      <c r="B639" s="45" t="n"/>
      <c r="C639" s="46" t="n"/>
      <c r="D639" s="46" t="n"/>
      <c r="E639" s="46" t="n"/>
      <c r="F639" s="51" t="n"/>
      <c r="G639" s="47" t="n"/>
      <c r="H639" s="47" t="n"/>
      <c r="I639" s="43">
        <f>IF($B639="","",N($G639)-N($H639))</f>
        <v/>
      </c>
    </row>
    <row r="640">
      <c r="A640" s="39">
        <f>IF($B640="","",COUNTA($B$4:$B640))</f>
        <v/>
      </c>
      <c r="B640" s="40" t="n"/>
      <c r="C640" s="41" t="n"/>
      <c r="D640" s="41" t="n"/>
      <c r="E640" s="41" t="n"/>
      <c r="F640" s="50" t="n"/>
      <c r="G640" s="42" t="n"/>
      <c r="H640" s="42" t="n"/>
      <c r="I640" s="43">
        <f>IF($B640="","",N($G640)-N($H640))</f>
        <v/>
      </c>
    </row>
    <row r="641">
      <c r="A641" s="39">
        <f>IF($B641="","",COUNTA($B$4:$B641))</f>
        <v/>
      </c>
      <c r="B641" s="45" t="n"/>
      <c r="C641" s="46" t="n"/>
      <c r="D641" s="46" t="n"/>
      <c r="E641" s="46" t="n"/>
      <c r="F641" s="51" t="n"/>
      <c r="G641" s="47" t="n"/>
      <c r="H641" s="47" t="n"/>
      <c r="I641" s="43">
        <f>IF($B641="","",N($G641)-N($H641))</f>
        <v/>
      </c>
    </row>
    <row r="642">
      <c r="A642" s="39">
        <f>IF($B642="","",COUNTA($B$4:$B642))</f>
        <v/>
      </c>
      <c r="B642" s="40" t="n"/>
      <c r="C642" s="41" t="n"/>
      <c r="D642" s="41" t="n"/>
      <c r="E642" s="41" t="n"/>
      <c r="F642" s="50" t="n"/>
      <c r="G642" s="42" t="n"/>
      <c r="H642" s="42" t="n"/>
      <c r="I642" s="43">
        <f>IF($B642="","",N($G642)-N($H642))</f>
        <v/>
      </c>
    </row>
    <row r="643">
      <c r="A643" s="39">
        <f>IF($B643="","",COUNTA($B$4:$B643))</f>
        <v/>
      </c>
      <c r="B643" s="45" t="n"/>
      <c r="C643" s="46" t="n"/>
      <c r="D643" s="46" t="n"/>
      <c r="E643" s="46" t="n"/>
      <c r="F643" s="51" t="n"/>
      <c r="G643" s="47" t="n"/>
      <c r="H643" s="47" t="n"/>
      <c r="I643" s="43">
        <f>IF($B643="","",N($G643)-N($H643))</f>
        <v/>
      </c>
    </row>
    <row r="644">
      <c r="A644" s="39">
        <f>IF($B644="","",COUNTA($B$4:$B644))</f>
        <v/>
      </c>
      <c r="B644" s="40" t="n"/>
      <c r="C644" s="41" t="n"/>
      <c r="D644" s="41" t="n"/>
      <c r="E644" s="41" t="n"/>
      <c r="F644" s="50" t="n"/>
      <c r="G644" s="42" t="n"/>
      <c r="H644" s="42" t="n"/>
      <c r="I644" s="43">
        <f>IF($B644="","",N($G644)-N($H644))</f>
        <v/>
      </c>
    </row>
    <row r="645">
      <c r="A645" s="39">
        <f>IF($B645="","",COUNTA($B$4:$B645))</f>
        <v/>
      </c>
      <c r="B645" s="45" t="n"/>
      <c r="C645" s="46" t="n"/>
      <c r="D645" s="46" t="n"/>
      <c r="E645" s="46" t="n"/>
      <c r="F645" s="51" t="n"/>
      <c r="G645" s="47" t="n"/>
      <c r="H645" s="47" t="n"/>
      <c r="I645" s="43">
        <f>IF($B645="","",N($G645)-N($H645))</f>
        <v/>
      </c>
    </row>
    <row r="646">
      <c r="A646" s="39">
        <f>IF($B646="","",COUNTA($B$4:$B646))</f>
        <v/>
      </c>
      <c r="B646" s="40" t="n"/>
      <c r="C646" s="41" t="n"/>
      <c r="D646" s="41" t="n"/>
      <c r="E646" s="41" t="n"/>
      <c r="F646" s="50" t="n"/>
      <c r="G646" s="42" t="n"/>
      <c r="H646" s="42" t="n"/>
      <c r="I646" s="43">
        <f>IF($B646="","",N($G646)-N($H646))</f>
        <v/>
      </c>
    </row>
    <row r="647">
      <c r="A647" s="39">
        <f>IF($B647="","",COUNTA($B$4:$B647))</f>
        <v/>
      </c>
      <c r="B647" s="45" t="n"/>
      <c r="C647" s="46" t="n"/>
      <c r="D647" s="46" t="n"/>
      <c r="E647" s="46" t="n"/>
      <c r="F647" s="51" t="n"/>
      <c r="G647" s="47" t="n"/>
      <c r="H647" s="47" t="n"/>
      <c r="I647" s="43">
        <f>IF($B647="","",N($G647)-N($H647))</f>
        <v/>
      </c>
    </row>
    <row r="648">
      <c r="A648" s="39">
        <f>IF($B648="","",COUNTA($B$4:$B648))</f>
        <v/>
      </c>
      <c r="B648" s="40" t="n"/>
      <c r="C648" s="41" t="n"/>
      <c r="D648" s="41" t="n"/>
      <c r="E648" s="41" t="n"/>
      <c r="F648" s="50" t="n"/>
      <c r="G648" s="42" t="n"/>
      <c r="H648" s="42" t="n"/>
      <c r="I648" s="43">
        <f>IF($B648="","",N($G648)-N($H648))</f>
        <v/>
      </c>
    </row>
    <row r="649">
      <c r="A649" s="39">
        <f>IF($B649="","",COUNTA($B$4:$B649))</f>
        <v/>
      </c>
      <c r="B649" s="45" t="n"/>
      <c r="C649" s="46" t="n"/>
      <c r="D649" s="46" t="n"/>
      <c r="E649" s="46" t="n"/>
      <c r="F649" s="51" t="n"/>
      <c r="G649" s="47" t="n"/>
      <c r="H649" s="47" t="n"/>
      <c r="I649" s="43">
        <f>IF($B649="","",N($G649)-N($H649))</f>
        <v/>
      </c>
    </row>
    <row r="650">
      <c r="A650" s="39">
        <f>IF($B650="","",COUNTA($B$4:$B650))</f>
        <v/>
      </c>
      <c r="B650" s="40" t="n"/>
      <c r="C650" s="41" t="n"/>
      <c r="D650" s="41" t="n"/>
      <c r="E650" s="41" t="n"/>
      <c r="F650" s="50" t="n"/>
      <c r="G650" s="42" t="n"/>
      <c r="H650" s="42" t="n"/>
      <c r="I650" s="43">
        <f>IF($B650="","",N($G650)-N($H650))</f>
        <v/>
      </c>
    </row>
    <row r="651">
      <c r="A651" s="39">
        <f>IF($B651="","",COUNTA($B$4:$B651))</f>
        <v/>
      </c>
      <c r="B651" s="45" t="n"/>
      <c r="C651" s="46" t="n"/>
      <c r="D651" s="46" t="n"/>
      <c r="E651" s="46" t="n"/>
      <c r="F651" s="51" t="n"/>
      <c r="G651" s="47" t="n"/>
      <c r="H651" s="47" t="n"/>
      <c r="I651" s="43">
        <f>IF($B651="","",N($G651)-N($H651))</f>
        <v/>
      </c>
    </row>
    <row r="652">
      <c r="A652" s="39">
        <f>IF($B652="","",COUNTA($B$4:$B652))</f>
        <v/>
      </c>
      <c r="B652" s="40" t="n"/>
      <c r="C652" s="41" t="n"/>
      <c r="D652" s="41" t="n"/>
      <c r="E652" s="41" t="n"/>
      <c r="F652" s="50" t="n"/>
      <c r="G652" s="42" t="n"/>
      <c r="H652" s="42" t="n"/>
      <c r="I652" s="43">
        <f>IF($B652="","",N($G652)-N($H652))</f>
        <v/>
      </c>
    </row>
    <row r="653">
      <c r="A653" s="39">
        <f>IF($B653="","",COUNTA($B$4:$B653))</f>
        <v/>
      </c>
      <c r="B653" s="45" t="n"/>
      <c r="C653" s="46" t="n"/>
      <c r="D653" s="46" t="n"/>
      <c r="E653" s="46" t="n"/>
      <c r="F653" s="51" t="n"/>
      <c r="G653" s="47" t="n"/>
      <c r="H653" s="47" t="n"/>
      <c r="I653" s="43">
        <f>IF($B653="","",N($G653)-N($H653))</f>
        <v/>
      </c>
    </row>
    <row r="654">
      <c r="A654" s="39">
        <f>IF($B654="","",COUNTA($B$4:$B654))</f>
        <v/>
      </c>
      <c r="B654" s="40" t="n"/>
      <c r="C654" s="41" t="n"/>
      <c r="D654" s="41" t="n"/>
      <c r="E654" s="41" t="n"/>
      <c r="F654" s="50" t="n"/>
      <c r="G654" s="42" t="n"/>
      <c r="H654" s="42" t="n"/>
      <c r="I654" s="43">
        <f>IF($B654="","",N($G654)-N($H654))</f>
        <v/>
      </c>
    </row>
    <row r="655">
      <c r="A655" s="39">
        <f>IF($B655="","",COUNTA($B$4:$B655))</f>
        <v/>
      </c>
      <c r="B655" s="45" t="n"/>
      <c r="C655" s="46" t="n"/>
      <c r="D655" s="46" t="n"/>
      <c r="E655" s="46" t="n"/>
      <c r="F655" s="51" t="n"/>
      <c r="G655" s="47" t="n"/>
      <c r="H655" s="47" t="n"/>
      <c r="I655" s="43">
        <f>IF($B655="","",N($G655)-N($H655))</f>
        <v/>
      </c>
    </row>
    <row r="656">
      <c r="A656" s="39">
        <f>IF($B656="","",COUNTA($B$4:$B656))</f>
        <v/>
      </c>
      <c r="B656" s="40" t="n"/>
      <c r="C656" s="41" t="n"/>
      <c r="D656" s="41" t="n"/>
      <c r="E656" s="41" t="n"/>
      <c r="F656" s="50" t="n"/>
      <c r="G656" s="42" t="n"/>
      <c r="H656" s="42" t="n"/>
      <c r="I656" s="43">
        <f>IF($B656="","",N($G656)-N($H656))</f>
        <v/>
      </c>
    </row>
    <row r="657">
      <c r="A657" s="39">
        <f>IF($B657="","",COUNTA($B$4:$B657))</f>
        <v/>
      </c>
      <c r="B657" s="45" t="n"/>
      <c r="C657" s="46" t="n"/>
      <c r="D657" s="46" t="n"/>
      <c r="E657" s="46" t="n"/>
      <c r="F657" s="51" t="n"/>
      <c r="G657" s="47" t="n"/>
      <c r="H657" s="47" t="n"/>
      <c r="I657" s="43">
        <f>IF($B657="","",N($G657)-N($H657))</f>
        <v/>
      </c>
    </row>
    <row r="658">
      <c r="A658" s="39">
        <f>IF($B658="","",COUNTA($B$4:$B658))</f>
        <v/>
      </c>
      <c r="B658" s="40" t="n"/>
      <c r="C658" s="41" t="n"/>
      <c r="D658" s="41" t="n"/>
      <c r="E658" s="41" t="n"/>
      <c r="F658" s="50" t="n"/>
      <c r="G658" s="42" t="n"/>
      <c r="H658" s="42" t="n"/>
      <c r="I658" s="43">
        <f>IF($B658="","",N($G658)-N($H658))</f>
        <v/>
      </c>
    </row>
    <row r="659">
      <c r="A659" s="39">
        <f>IF($B659="","",COUNTA($B$4:$B659))</f>
        <v/>
      </c>
      <c r="B659" s="45" t="n"/>
      <c r="C659" s="46" t="n"/>
      <c r="D659" s="46" t="n"/>
      <c r="E659" s="46" t="n"/>
      <c r="F659" s="51" t="n"/>
      <c r="G659" s="47" t="n"/>
      <c r="H659" s="47" t="n"/>
      <c r="I659" s="43">
        <f>IF($B659="","",N($G659)-N($H659))</f>
        <v/>
      </c>
    </row>
    <row r="660">
      <c r="A660" s="39">
        <f>IF($B660="","",COUNTA($B$4:$B660))</f>
        <v/>
      </c>
      <c r="B660" s="40" t="n"/>
      <c r="C660" s="41" t="n"/>
      <c r="D660" s="41" t="n"/>
      <c r="E660" s="41" t="n"/>
      <c r="F660" s="50" t="n"/>
      <c r="G660" s="42" t="n"/>
      <c r="H660" s="42" t="n"/>
      <c r="I660" s="43">
        <f>IF($B660="","",N($G660)-N($H660))</f>
        <v/>
      </c>
    </row>
    <row r="661">
      <c r="A661" s="39">
        <f>IF($B661="","",COUNTA($B$4:$B661))</f>
        <v/>
      </c>
      <c r="B661" s="45" t="n"/>
      <c r="C661" s="46" t="n"/>
      <c r="D661" s="46" t="n"/>
      <c r="E661" s="46" t="n"/>
      <c r="F661" s="51" t="n"/>
      <c r="G661" s="47" t="n"/>
      <c r="H661" s="47" t="n"/>
      <c r="I661" s="43">
        <f>IF($B661="","",N($G661)-N($H661))</f>
        <v/>
      </c>
    </row>
    <row r="662">
      <c r="A662" s="39">
        <f>IF($B662="","",COUNTA($B$4:$B662))</f>
        <v/>
      </c>
      <c r="B662" s="40" t="n"/>
      <c r="C662" s="41" t="n"/>
      <c r="D662" s="41" t="n"/>
      <c r="E662" s="41" t="n"/>
      <c r="F662" s="50" t="n"/>
      <c r="G662" s="42" t="n"/>
      <c r="H662" s="42" t="n"/>
      <c r="I662" s="43">
        <f>IF($B662="","",N($G662)-N($H662))</f>
        <v/>
      </c>
    </row>
    <row r="663">
      <c r="A663" s="39">
        <f>IF($B663="","",COUNTA($B$4:$B663))</f>
        <v/>
      </c>
      <c r="B663" s="45" t="n"/>
      <c r="C663" s="46" t="n"/>
      <c r="D663" s="46" t="n"/>
      <c r="E663" s="46" t="n"/>
      <c r="F663" s="51" t="n"/>
      <c r="G663" s="47" t="n"/>
      <c r="H663" s="47" t="n"/>
      <c r="I663" s="43">
        <f>IF($B663="","",N($G663)-N($H663))</f>
        <v/>
      </c>
    </row>
    <row r="664">
      <c r="A664" s="39">
        <f>IF($B664="","",COUNTA($B$4:$B664))</f>
        <v/>
      </c>
      <c r="B664" s="40" t="n"/>
      <c r="C664" s="41" t="n"/>
      <c r="D664" s="41" t="n"/>
      <c r="E664" s="41" t="n"/>
      <c r="F664" s="50" t="n"/>
      <c r="G664" s="42" t="n"/>
      <c r="H664" s="42" t="n"/>
      <c r="I664" s="43">
        <f>IF($B664="","",N($G664)-N($H664))</f>
        <v/>
      </c>
    </row>
    <row r="665">
      <c r="A665" s="39">
        <f>IF($B665="","",COUNTA($B$4:$B665))</f>
        <v/>
      </c>
      <c r="B665" s="45" t="n"/>
      <c r="C665" s="46" t="n"/>
      <c r="D665" s="46" t="n"/>
      <c r="E665" s="46" t="n"/>
      <c r="F665" s="51" t="n"/>
      <c r="G665" s="47" t="n"/>
      <c r="H665" s="47" t="n"/>
      <c r="I665" s="43">
        <f>IF($B665="","",N($G665)-N($H665))</f>
        <v/>
      </c>
    </row>
    <row r="666">
      <c r="A666" s="39">
        <f>IF($B666="","",COUNTA($B$4:$B666))</f>
        <v/>
      </c>
      <c r="B666" s="40" t="n"/>
      <c r="C666" s="41" t="n"/>
      <c r="D666" s="41" t="n"/>
      <c r="E666" s="41" t="n"/>
      <c r="F666" s="50" t="n"/>
      <c r="G666" s="42" t="n"/>
      <c r="H666" s="42" t="n"/>
      <c r="I666" s="43">
        <f>IF($B666="","",N($G666)-N($H666))</f>
        <v/>
      </c>
    </row>
    <row r="667">
      <c r="A667" s="39">
        <f>IF($B667="","",COUNTA($B$4:$B667))</f>
        <v/>
      </c>
      <c r="B667" s="45" t="n"/>
      <c r="C667" s="46" t="n"/>
      <c r="D667" s="46" t="n"/>
      <c r="E667" s="46" t="n"/>
      <c r="F667" s="51" t="n"/>
      <c r="G667" s="47" t="n"/>
      <c r="H667" s="47" t="n"/>
      <c r="I667" s="43">
        <f>IF($B667="","",N($G667)-N($H667))</f>
        <v/>
      </c>
    </row>
    <row r="668">
      <c r="A668" s="39">
        <f>IF($B668="","",COUNTA($B$4:$B668))</f>
        <v/>
      </c>
      <c r="B668" s="40" t="n"/>
      <c r="C668" s="41" t="n"/>
      <c r="D668" s="41" t="n"/>
      <c r="E668" s="41" t="n"/>
      <c r="F668" s="50" t="n"/>
      <c r="G668" s="42" t="n"/>
      <c r="H668" s="42" t="n"/>
      <c r="I668" s="43">
        <f>IF($B668="","",N($G668)-N($H668))</f>
        <v/>
      </c>
    </row>
    <row r="669">
      <c r="A669" s="39">
        <f>IF($B669="","",COUNTA($B$4:$B669))</f>
        <v/>
      </c>
      <c r="B669" s="45" t="n"/>
      <c r="C669" s="46" t="n"/>
      <c r="D669" s="46" t="n"/>
      <c r="E669" s="46" t="n"/>
      <c r="F669" s="51" t="n"/>
      <c r="G669" s="47" t="n"/>
      <c r="H669" s="47" t="n"/>
      <c r="I669" s="43">
        <f>IF($B669="","",N($G669)-N($H669))</f>
        <v/>
      </c>
    </row>
    <row r="670">
      <c r="A670" s="39">
        <f>IF($B670="","",COUNTA($B$4:$B670))</f>
        <v/>
      </c>
      <c r="B670" s="40" t="n"/>
      <c r="C670" s="41" t="n"/>
      <c r="D670" s="41" t="n"/>
      <c r="E670" s="41" t="n"/>
      <c r="F670" s="50" t="n"/>
      <c r="G670" s="42" t="n"/>
      <c r="H670" s="42" t="n"/>
      <c r="I670" s="43">
        <f>IF($B670="","",N($G670)-N($H670))</f>
        <v/>
      </c>
    </row>
    <row r="671">
      <c r="A671" s="39">
        <f>IF($B671="","",COUNTA($B$4:$B671))</f>
        <v/>
      </c>
      <c r="B671" s="45" t="n"/>
      <c r="C671" s="46" t="n"/>
      <c r="D671" s="46" t="n"/>
      <c r="E671" s="46" t="n"/>
      <c r="F671" s="51" t="n"/>
      <c r="G671" s="47" t="n"/>
      <c r="H671" s="47" t="n"/>
      <c r="I671" s="43">
        <f>IF($B671="","",N($G671)-N($H671))</f>
        <v/>
      </c>
    </row>
    <row r="672">
      <c r="A672" s="39">
        <f>IF($B672="","",COUNTA($B$4:$B672))</f>
        <v/>
      </c>
      <c r="B672" s="40" t="n"/>
      <c r="C672" s="41" t="n"/>
      <c r="D672" s="41" t="n"/>
      <c r="E672" s="41" t="n"/>
      <c r="F672" s="50" t="n"/>
      <c r="G672" s="42" t="n"/>
      <c r="H672" s="42" t="n"/>
      <c r="I672" s="43">
        <f>IF($B672="","",N($G672)-N($H672))</f>
        <v/>
      </c>
    </row>
    <row r="673">
      <c r="A673" s="39">
        <f>IF($B673="","",COUNTA($B$4:$B673))</f>
        <v/>
      </c>
      <c r="B673" s="45" t="n"/>
      <c r="C673" s="46" t="n"/>
      <c r="D673" s="46" t="n"/>
      <c r="E673" s="46" t="n"/>
      <c r="F673" s="51" t="n"/>
      <c r="G673" s="47" t="n"/>
      <c r="H673" s="47" t="n"/>
      <c r="I673" s="43">
        <f>IF($B673="","",N($G673)-N($H673))</f>
        <v/>
      </c>
    </row>
    <row r="674">
      <c r="A674" s="39">
        <f>IF($B674="","",COUNTA($B$4:$B674))</f>
        <v/>
      </c>
      <c r="B674" s="40" t="n"/>
      <c r="C674" s="41" t="n"/>
      <c r="D674" s="41" t="n"/>
      <c r="E674" s="41" t="n"/>
      <c r="F674" s="50" t="n"/>
      <c r="G674" s="42" t="n"/>
      <c r="H674" s="42" t="n"/>
      <c r="I674" s="43">
        <f>IF($B674="","",N($G674)-N($H674))</f>
        <v/>
      </c>
    </row>
    <row r="675">
      <c r="A675" s="39">
        <f>IF($B675="","",COUNTA($B$4:$B675))</f>
        <v/>
      </c>
      <c r="B675" s="45" t="n"/>
      <c r="C675" s="46" t="n"/>
      <c r="D675" s="46" t="n"/>
      <c r="E675" s="46" t="n"/>
      <c r="F675" s="51" t="n"/>
      <c r="G675" s="47" t="n"/>
      <c r="H675" s="47" t="n"/>
      <c r="I675" s="43">
        <f>IF($B675="","",N($G675)-N($H675))</f>
        <v/>
      </c>
    </row>
    <row r="676">
      <c r="A676" s="39">
        <f>IF($B676="","",COUNTA($B$4:$B676))</f>
        <v/>
      </c>
      <c r="B676" s="40" t="n"/>
      <c r="C676" s="41" t="n"/>
      <c r="D676" s="41" t="n"/>
      <c r="E676" s="41" t="n"/>
      <c r="F676" s="50" t="n"/>
      <c r="G676" s="42" t="n"/>
      <c r="H676" s="42" t="n"/>
      <c r="I676" s="43">
        <f>IF($B676="","",N($G676)-N($H676))</f>
        <v/>
      </c>
    </row>
    <row r="677">
      <c r="A677" s="39">
        <f>IF($B677="","",COUNTA($B$4:$B677))</f>
        <v/>
      </c>
      <c r="B677" s="45" t="n"/>
      <c r="C677" s="46" t="n"/>
      <c r="D677" s="46" t="n"/>
      <c r="E677" s="46" t="n"/>
      <c r="F677" s="51" t="n"/>
      <c r="G677" s="47" t="n"/>
      <c r="H677" s="47" t="n"/>
      <c r="I677" s="43">
        <f>IF($B677="","",N($G677)-N($H677))</f>
        <v/>
      </c>
    </row>
    <row r="678">
      <c r="A678" s="39">
        <f>IF($B678="","",COUNTA($B$4:$B678))</f>
        <v/>
      </c>
      <c r="B678" s="40" t="n"/>
      <c r="C678" s="41" t="n"/>
      <c r="D678" s="41" t="n"/>
      <c r="E678" s="41" t="n"/>
      <c r="F678" s="50" t="n"/>
      <c r="G678" s="42" t="n"/>
      <c r="H678" s="42" t="n"/>
      <c r="I678" s="43">
        <f>IF($B678="","",N($G678)-N($H678))</f>
        <v/>
      </c>
    </row>
    <row r="679">
      <c r="A679" s="39">
        <f>IF($B679="","",COUNTA($B$4:$B679))</f>
        <v/>
      </c>
      <c r="B679" s="45" t="n"/>
      <c r="C679" s="46" t="n"/>
      <c r="D679" s="46" t="n"/>
      <c r="E679" s="46" t="n"/>
      <c r="F679" s="51" t="n"/>
      <c r="G679" s="47" t="n"/>
      <c r="H679" s="47" t="n"/>
      <c r="I679" s="43">
        <f>IF($B679="","",N($G679)-N($H679))</f>
        <v/>
      </c>
    </row>
    <row r="680">
      <c r="A680" s="39">
        <f>IF($B680="","",COUNTA($B$4:$B680))</f>
        <v/>
      </c>
      <c r="B680" s="40" t="n"/>
      <c r="C680" s="41" t="n"/>
      <c r="D680" s="41" t="n"/>
      <c r="E680" s="41" t="n"/>
      <c r="F680" s="50" t="n"/>
      <c r="G680" s="42" t="n"/>
      <c r="H680" s="42" t="n"/>
      <c r="I680" s="43">
        <f>IF($B680="","",N($G680)-N($H680))</f>
        <v/>
      </c>
    </row>
    <row r="681">
      <c r="A681" s="39">
        <f>IF($B681="","",COUNTA($B$4:$B681))</f>
        <v/>
      </c>
      <c r="B681" s="45" t="n"/>
      <c r="C681" s="46" t="n"/>
      <c r="D681" s="46" t="n"/>
      <c r="E681" s="46" t="n"/>
      <c r="F681" s="51" t="n"/>
      <c r="G681" s="47" t="n"/>
      <c r="H681" s="47" t="n"/>
      <c r="I681" s="43">
        <f>IF($B681="","",N($G681)-N($H681))</f>
        <v/>
      </c>
    </row>
    <row r="682">
      <c r="A682" s="39">
        <f>IF($B682="","",COUNTA($B$4:$B682))</f>
        <v/>
      </c>
      <c r="B682" s="40" t="n"/>
      <c r="C682" s="41" t="n"/>
      <c r="D682" s="41" t="n"/>
      <c r="E682" s="41" t="n"/>
      <c r="F682" s="50" t="n"/>
      <c r="G682" s="42" t="n"/>
      <c r="H682" s="42" t="n"/>
      <c r="I682" s="43">
        <f>IF($B682="","",N($G682)-N($H682))</f>
        <v/>
      </c>
    </row>
    <row r="683">
      <c r="A683" s="39">
        <f>IF($B683="","",COUNTA($B$4:$B683))</f>
        <v/>
      </c>
      <c r="B683" s="45" t="n"/>
      <c r="C683" s="46" t="n"/>
      <c r="D683" s="46" t="n"/>
      <c r="E683" s="46" t="n"/>
      <c r="F683" s="51" t="n"/>
      <c r="G683" s="47" t="n"/>
      <c r="H683" s="47" t="n"/>
      <c r="I683" s="43">
        <f>IF($B683="","",N($G683)-N($H683))</f>
        <v/>
      </c>
    </row>
    <row r="684">
      <c r="A684" s="39">
        <f>IF($B684="","",COUNTA($B$4:$B684))</f>
        <v/>
      </c>
      <c r="B684" s="40" t="n"/>
      <c r="C684" s="41" t="n"/>
      <c r="D684" s="41" t="n"/>
      <c r="E684" s="41" t="n"/>
      <c r="F684" s="50" t="n"/>
      <c r="G684" s="42" t="n"/>
      <c r="H684" s="42" t="n"/>
      <c r="I684" s="43">
        <f>IF($B684="","",N($G684)-N($H684))</f>
        <v/>
      </c>
    </row>
    <row r="685">
      <c r="A685" s="39">
        <f>IF($B685="","",COUNTA($B$4:$B685))</f>
        <v/>
      </c>
      <c r="B685" s="45" t="n"/>
      <c r="C685" s="46" t="n"/>
      <c r="D685" s="46" t="n"/>
      <c r="E685" s="46" t="n"/>
      <c r="F685" s="51" t="n"/>
      <c r="G685" s="47" t="n"/>
      <c r="H685" s="47" t="n"/>
      <c r="I685" s="43">
        <f>IF($B685="","",N($G685)-N($H685))</f>
        <v/>
      </c>
    </row>
    <row r="686">
      <c r="A686" s="39">
        <f>IF($B686="","",COUNTA($B$4:$B686))</f>
        <v/>
      </c>
      <c r="B686" s="40" t="n"/>
      <c r="C686" s="41" t="n"/>
      <c r="D686" s="41" t="n"/>
      <c r="E686" s="41" t="n"/>
      <c r="F686" s="50" t="n"/>
      <c r="G686" s="42" t="n"/>
      <c r="H686" s="42" t="n"/>
      <c r="I686" s="43">
        <f>IF($B686="","",N($G686)-N($H686))</f>
        <v/>
      </c>
    </row>
    <row r="687">
      <c r="A687" s="39">
        <f>IF($B687="","",COUNTA($B$4:$B687))</f>
        <v/>
      </c>
      <c r="B687" s="45" t="n"/>
      <c r="C687" s="46" t="n"/>
      <c r="D687" s="46" t="n"/>
      <c r="E687" s="46" t="n"/>
      <c r="F687" s="51" t="n"/>
      <c r="G687" s="47" t="n"/>
      <c r="H687" s="47" t="n"/>
      <c r="I687" s="43">
        <f>IF($B687="","",N($G687)-N($H687))</f>
        <v/>
      </c>
    </row>
    <row r="688">
      <c r="A688" s="39">
        <f>IF($B688="","",COUNTA($B$4:$B688))</f>
        <v/>
      </c>
      <c r="B688" s="40" t="n"/>
      <c r="C688" s="41" t="n"/>
      <c r="D688" s="41" t="n"/>
      <c r="E688" s="41" t="n"/>
      <c r="F688" s="50" t="n"/>
      <c r="G688" s="42" t="n"/>
      <c r="H688" s="42" t="n"/>
      <c r="I688" s="43">
        <f>IF($B688="","",N($G688)-N($H688))</f>
        <v/>
      </c>
    </row>
    <row r="689">
      <c r="A689" s="39">
        <f>IF($B689="","",COUNTA($B$4:$B689))</f>
        <v/>
      </c>
      <c r="B689" s="45" t="n"/>
      <c r="C689" s="46" t="n"/>
      <c r="D689" s="46" t="n"/>
      <c r="E689" s="46" t="n"/>
      <c r="F689" s="51" t="n"/>
      <c r="G689" s="47" t="n"/>
      <c r="H689" s="47" t="n"/>
      <c r="I689" s="43">
        <f>IF($B689="","",N($G689)-N($H689))</f>
        <v/>
      </c>
    </row>
    <row r="690">
      <c r="A690" s="39">
        <f>IF($B690="","",COUNTA($B$4:$B690))</f>
        <v/>
      </c>
      <c r="B690" s="40" t="n"/>
      <c r="C690" s="41" t="n"/>
      <c r="D690" s="41" t="n"/>
      <c r="E690" s="41" t="n"/>
      <c r="F690" s="50" t="n"/>
      <c r="G690" s="42" t="n"/>
      <c r="H690" s="42" t="n"/>
      <c r="I690" s="43">
        <f>IF($B690="","",N($G690)-N($H690))</f>
        <v/>
      </c>
    </row>
    <row r="691">
      <c r="A691" s="39">
        <f>IF($B691="","",COUNTA($B$4:$B691))</f>
        <v/>
      </c>
      <c r="B691" s="45" t="n"/>
      <c r="C691" s="46" t="n"/>
      <c r="D691" s="46" t="n"/>
      <c r="E691" s="46" t="n"/>
      <c r="F691" s="51" t="n"/>
      <c r="G691" s="47" t="n"/>
      <c r="H691" s="47" t="n"/>
      <c r="I691" s="43">
        <f>IF($B691="","",N($G691)-N($H691))</f>
        <v/>
      </c>
    </row>
    <row r="692">
      <c r="A692" s="39">
        <f>IF($B692="","",COUNTA($B$4:$B692))</f>
        <v/>
      </c>
      <c r="B692" s="40" t="n"/>
      <c r="C692" s="41" t="n"/>
      <c r="D692" s="41" t="n"/>
      <c r="E692" s="41" t="n"/>
      <c r="F692" s="50" t="n"/>
      <c r="G692" s="42" t="n"/>
      <c r="H692" s="42" t="n"/>
      <c r="I692" s="43">
        <f>IF($B692="","",N($G692)-N($H692))</f>
        <v/>
      </c>
    </row>
    <row r="693">
      <c r="A693" s="39">
        <f>IF($B693="","",COUNTA($B$4:$B693))</f>
        <v/>
      </c>
      <c r="B693" s="45" t="n"/>
      <c r="C693" s="46" t="n"/>
      <c r="D693" s="46" t="n"/>
      <c r="E693" s="46" t="n"/>
      <c r="F693" s="51" t="n"/>
      <c r="G693" s="47" t="n"/>
      <c r="H693" s="47" t="n"/>
      <c r="I693" s="43">
        <f>IF($B693="","",N($G693)-N($H693))</f>
        <v/>
      </c>
    </row>
    <row r="694">
      <c r="A694" s="39">
        <f>IF($B694="","",COUNTA($B$4:$B694))</f>
        <v/>
      </c>
      <c r="B694" s="40" t="n"/>
      <c r="C694" s="41" t="n"/>
      <c r="D694" s="41" t="n"/>
      <c r="E694" s="41" t="n"/>
      <c r="F694" s="50" t="n"/>
      <c r="G694" s="42" t="n"/>
      <c r="H694" s="42" t="n"/>
      <c r="I694" s="43">
        <f>IF($B694="","",N($G694)-N($H694))</f>
        <v/>
      </c>
    </row>
    <row r="695">
      <c r="A695" s="39">
        <f>IF($B695="","",COUNTA($B$4:$B695))</f>
        <v/>
      </c>
      <c r="B695" s="45" t="n"/>
      <c r="C695" s="46" t="n"/>
      <c r="D695" s="46" t="n"/>
      <c r="E695" s="46" t="n"/>
      <c r="F695" s="51" t="n"/>
      <c r="G695" s="47" t="n"/>
      <c r="H695" s="47" t="n"/>
      <c r="I695" s="43">
        <f>IF($B695="","",N($G695)-N($H695))</f>
        <v/>
      </c>
    </row>
    <row r="696">
      <c r="A696" s="39">
        <f>IF($B696="","",COUNTA($B$4:$B696))</f>
        <v/>
      </c>
      <c r="B696" s="40" t="n"/>
      <c r="C696" s="41" t="n"/>
      <c r="D696" s="41" t="n"/>
      <c r="E696" s="41" t="n"/>
      <c r="F696" s="50" t="n"/>
      <c r="G696" s="42" t="n"/>
      <c r="H696" s="42" t="n"/>
      <c r="I696" s="43">
        <f>IF($B696="","",N($G696)-N($H696))</f>
        <v/>
      </c>
    </row>
    <row r="697">
      <c r="A697" s="39">
        <f>IF($B697="","",COUNTA($B$4:$B697))</f>
        <v/>
      </c>
      <c r="B697" s="45" t="n"/>
      <c r="C697" s="46" t="n"/>
      <c r="D697" s="46" t="n"/>
      <c r="E697" s="46" t="n"/>
      <c r="F697" s="51" t="n"/>
      <c r="G697" s="47" t="n"/>
      <c r="H697" s="47" t="n"/>
      <c r="I697" s="43">
        <f>IF($B697="","",N($G697)-N($H697))</f>
        <v/>
      </c>
    </row>
    <row r="698">
      <c r="A698" s="39">
        <f>IF($B698="","",COUNTA($B$4:$B698))</f>
        <v/>
      </c>
      <c r="B698" s="40" t="n"/>
      <c r="C698" s="41" t="n"/>
      <c r="D698" s="41" t="n"/>
      <c r="E698" s="41" t="n"/>
      <c r="F698" s="50" t="n"/>
      <c r="G698" s="42" t="n"/>
      <c r="H698" s="42" t="n"/>
      <c r="I698" s="43">
        <f>IF($B698="","",N($G698)-N($H698))</f>
        <v/>
      </c>
    </row>
    <row r="699">
      <c r="A699" s="39">
        <f>IF($B699="","",COUNTA($B$4:$B699))</f>
        <v/>
      </c>
      <c r="B699" s="45" t="n"/>
      <c r="C699" s="46" t="n"/>
      <c r="D699" s="46" t="n"/>
      <c r="E699" s="46" t="n"/>
      <c r="F699" s="51" t="n"/>
      <c r="G699" s="47" t="n"/>
      <c r="H699" s="47" t="n"/>
      <c r="I699" s="43">
        <f>IF($B699="","",N($G699)-N($H699))</f>
        <v/>
      </c>
    </row>
    <row r="700">
      <c r="A700" s="39">
        <f>IF($B700="","",COUNTA($B$4:$B700))</f>
        <v/>
      </c>
      <c r="B700" s="40" t="n"/>
      <c r="C700" s="41" t="n"/>
      <c r="D700" s="41" t="n"/>
      <c r="E700" s="41" t="n"/>
      <c r="F700" s="50" t="n"/>
      <c r="G700" s="42" t="n"/>
      <c r="H700" s="42" t="n"/>
      <c r="I700" s="43">
        <f>IF($B700="","",N($G700)-N($H700))</f>
        <v/>
      </c>
    </row>
    <row r="701">
      <c r="A701" s="39">
        <f>IF($B701="","",COUNTA($B$4:$B701))</f>
        <v/>
      </c>
      <c r="B701" s="45" t="n"/>
      <c r="C701" s="46" t="n"/>
      <c r="D701" s="46" t="n"/>
      <c r="E701" s="46" t="n"/>
      <c r="F701" s="51" t="n"/>
      <c r="G701" s="47" t="n"/>
      <c r="H701" s="47" t="n"/>
      <c r="I701" s="43">
        <f>IF($B701="","",N($G701)-N($H701))</f>
        <v/>
      </c>
    </row>
    <row r="702">
      <c r="A702" s="39">
        <f>IF($B702="","",COUNTA($B$4:$B702))</f>
        <v/>
      </c>
      <c r="B702" s="40" t="n"/>
      <c r="C702" s="41" t="n"/>
      <c r="D702" s="41" t="n"/>
      <c r="E702" s="41" t="n"/>
      <c r="F702" s="50" t="n"/>
      <c r="G702" s="42" t="n"/>
      <c r="H702" s="42" t="n"/>
      <c r="I702" s="43">
        <f>IF($B702="","",N($G702)-N($H702))</f>
        <v/>
      </c>
    </row>
    <row r="703">
      <c r="A703" s="39">
        <f>IF($B703="","",COUNTA($B$4:$B703))</f>
        <v/>
      </c>
      <c r="B703" s="45" t="n"/>
      <c r="C703" s="46" t="n"/>
      <c r="D703" s="46" t="n"/>
      <c r="E703" s="46" t="n"/>
      <c r="F703" s="51" t="n"/>
      <c r="G703" s="47" t="n"/>
      <c r="H703" s="47" t="n"/>
      <c r="I703" s="43">
        <f>IF($B703="","",N($G703)-N($H703))</f>
        <v/>
      </c>
    </row>
    <row r="704">
      <c r="A704" s="39">
        <f>IF($B704="","",COUNTA($B$4:$B704))</f>
        <v/>
      </c>
      <c r="B704" s="40" t="n"/>
      <c r="C704" s="41" t="n"/>
      <c r="D704" s="41" t="n"/>
      <c r="E704" s="41" t="n"/>
      <c r="F704" s="50" t="n"/>
      <c r="G704" s="42" t="n"/>
      <c r="H704" s="42" t="n"/>
      <c r="I704" s="43">
        <f>IF($B704="","",N($G704)-N($H704))</f>
        <v/>
      </c>
    </row>
    <row r="705">
      <c r="A705" s="39">
        <f>IF($B705="","",COUNTA($B$4:$B705))</f>
        <v/>
      </c>
      <c r="B705" s="45" t="n"/>
      <c r="C705" s="46" t="n"/>
      <c r="D705" s="46" t="n"/>
      <c r="E705" s="46" t="n"/>
      <c r="F705" s="51" t="n"/>
      <c r="G705" s="47" t="n"/>
      <c r="H705" s="47" t="n"/>
      <c r="I705" s="43">
        <f>IF($B705="","",N($G705)-N($H705))</f>
        <v/>
      </c>
    </row>
    <row r="706">
      <c r="A706" s="39">
        <f>IF($B706="","",COUNTA($B$4:$B706))</f>
        <v/>
      </c>
      <c r="B706" s="40" t="n"/>
      <c r="C706" s="41" t="n"/>
      <c r="D706" s="41" t="n"/>
      <c r="E706" s="41" t="n"/>
      <c r="F706" s="50" t="n"/>
      <c r="G706" s="42" t="n"/>
      <c r="H706" s="42" t="n"/>
      <c r="I706" s="43">
        <f>IF($B706="","",N($G706)-N($H706))</f>
        <v/>
      </c>
    </row>
    <row r="707">
      <c r="A707" s="39">
        <f>IF($B707="","",COUNTA($B$4:$B707))</f>
        <v/>
      </c>
      <c r="B707" s="45" t="n"/>
      <c r="C707" s="46" t="n"/>
      <c r="D707" s="46" t="n"/>
      <c r="E707" s="46" t="n"/>
      <c r="F707" s="51" t="n"/>
      <c r="G707" s="47" t="n"/>
      <c r="H707" s="47" t="n"/>
      <c r="I707" s="43">
        <f>IF($B707="","",N($G707)-N($H707))</f>
        <v/>
      </c>
    </row>
    <row r="708">
      <c r="A708" s="39">
        <f>IF($B708="","",COUNTA($B$4:$B708))</f>
        <v/>
      </c>
      <c r="B708" s="40" t="n"/>
      <c r="C708" s="41" t="n"/>
      <c r="D708" s="41" t="n"/>
      <c r="E708" s="41" t="n"/>
      <c r="F708" s="50" t="n"/>
      <c r="G708" s="42" t="n"/>
      <c r="H708" s="42" t="n"/>
      <c r="I708" s="43">
        <f>IF($B708="","",N($G708)-N($H708))</f>
        <v/>
      </c>
    </row>
    <row r="709">
      <c r="A709" s="39">
        <f>IF($B709="","",COUNTA($B$4:$B709))</f>
        <v/>
      </c>
      <c r="B709" s="45" t="n"/>
      <c r="C709" s="46" t="n"/>
      <c r="D709" s="46" t="n"/>
      <c r="E709" s="46" t="n"/>
      <c r="F709" s="51" t="n"/>
      <c r="G709" s="47" t="n"/>
      <c r="H709" s="47" t="n"/>
      <c r="I709" s="43">
        <f>IF($B709="","",N($G709)-N($H709))</f>
        <v/>
      </c>
    </row>
    <row r="710">
      <c r="A710" s="39">
        <f>IF($B710="","",COUNTA($B$4:$B710))</f>
        <v/>
      </c>
      <c r="B710" s="40" t="n"/>
      <c r="C710" s="41" t="n"/>
      <c r="D710" s="41" t="n"/>
      <c r="E710" s="41" t="n"/>
      <c r="F710" s="50" t="n"/>
      <c r="G710" s="42" t="n"/>
      <c r="H710" s="42" t="n"/>
      <c r="I710" s="43">
        <f>IF($B710="","",N($G710)-N($H710))</f>
        <v/>
      </c>
    </row>
    <row r="711">
      <c r="A711" s="39">
        <f>IF($B711="","",COUNTA($B$4:$B711))</f>
        <v/>
      </c>
      <c r="B711" s="45" t="n"/>
      <c r="C711" s="46" t="n"/>
      <c r="D711" s="46" t="n"/>
      <c r="E711" s="46" t="n"/>
      <c r="F711" s="51" t="n"/>
      <c r="G711" s="47" t="n"/>
      <c r="H711" s="47" t="n"/>
      <c r="I711" s="43">
        <f>IF($B711="","",N($G711)-N($H711))</f>
        <v/>
      </c>
    </row>
    <row r="712">
      <c r="A712" s="39">
        <f>IF($B712="","",COUNTA($B$4:$B712))</f>
        <v/>
      </c>
      <c r="B712" s="40" t="n"/>
      <c r="C712" s="41" t="n"/>
      <c r="D712" s="41" t="n"/>
      <c r="E712" s="41" t="n"/>
      <c r="F712" s="50" t="n"/>
      <c r="G712" s="42" t="n"/>
      <c r="H712" s="42" t="n"/>
      <c r="I712" s="43">
        <f>IF($B712="","",N($G712)-N($H712))</f>
        <v/>
      </c>
    </row>
    <row r="713">
      <c r="A713" s="39">
        <f>IF($B713="","",COUNTA($B$4:$B713))</f>
        <v/>
      </c>
      <c r="B713" s="45" t="n"/>
      <c r="C713" s="46" t="n"/>
      <c r="D713" s="46" t="n"/>
      <c r="E713" s="46" t="n"/>
      <c r="F713" s="51" t="n"/>
      <c r="G713" s="47" t="n"/>
      <c r="H713" s="47" t="n"/>
      <c r="I713" s="43">
        <f>IF($B713="","",N($G713)-N($H713))</f>
        <v/>
      </c>
    </row>
    <row r="714">
      <c r="A714" s="39">
        <f>IF($B714="","",COUNTA($B$4:$B714))</f>
        <v/>
      </c>
      <c r="B714" s="40" t="n"/>
      <c r="C714" s="41" t="n"/>
      <c r="D714" s="41" t="n"/>
      <c r="E714" s="41" t="n"/>
      <c r="F714" s="50" t="n"/>
      <c r="G714" s="42" t="n"/>
      <c r="H714" s="42" t="n"/>
      <c r="I714" s="43">
        <f>IF($B714="","",N($G714)-N($H714))</f>
        <v/>
      </c>
    </row>
    <row r="715">
      <c r="A715" s="39">
        <f>IF($B715="","",COUNTA($B$4:$B715))</f>
        <v/>
      </c>
      <c r="B715" s="45" t="n"/>
      <c r="C715" s="46" t="n"/>
      <c r="D715" s="46" t="n"/>
      <c r="E715" s="46" t="n"/>
      <c r="F715" s="51" t="n"/>
      <c r="G715" s="47" t="n"/>
      <c r="H715" s="47" t="n"/>
      <c r="I715" s="43">
        <f>IF($B715="","",N($G715)-N($H715))</f>
        <v/>
      </c>
    </row>
    <row r="716">
      <c r="A716" s="39">
        <f>IF($B716="","",COUNTA($B$4:$B716))</f>
        <v/>
      </c>
      <c r="B716" s="40" t="n"/>
      <c r="C716" s="41" t="n"/>
      <c r="D716" s="41" t="n"/>
      <c r="E716" s="41" t="n"/>
      <c r="F716" s="50" t="n"/>
      <c r="G716" s="42" t="n"/>
      <c r="H716" s="42" t="n"/>
      <c r="I716" s="43">
        <f>IF($B716="","",N($G716)-N($H716))</f>
        <v/>
      </c>
    </row>
    <row r="717">
      <c r="A717" s="39">
        <f>IF($B717="","",COUNTA($B$4:$B717))</f>
        <v/>
      </c>
      <c r="B717" s="45" t="n"/>
      <c r="C717" s="46" t="n"/>
      <c r="D717" s="46" t="n"/>
      <c r="E717" s="46" t="n"/>
      <c r="F717" s="51" t="n"/>
      <c r="G717" s="47" t="n"/>
      <c r="H717" s="47" t="n"/>
      <c r="I717" s="43">
        <f>IF($B717="","",N($G717)-N($H717))</f>
        <v/>
      </c>
    </row>
    <row r="718">
      <c r="A718" s="39">
        <f>IF($B718="","",COUNTA($B$4:$B718))</f>
        <v/>
      </c>
      <c r="B718" s="40" t="n"/>
      <c r="C718" s="41" t="n"/>
      <c r="D718" s="41" t="n"/>
      <c r="E718" s="41" t="n"/>
      <c r="F718" s="50" t="n"/>
      <c r="G718" s="42" t="n"/>
      <c r="H718" s="42" t="n"/>
      <c r="I718" s="43">
        <f>IF($B718="","",N($G718)-N($H718))</f>
        <v/>
      </c>
    </row>
    <row r="719">
      <c r="A719" s="39">
        <f>IF($B719="","",COUNTA($B$4:$B719))</f>
        <v/>
      </c>
      <c r="B719" s="45" t="n"/>
      <c r="C719" s="46" t="n"/>
      <c r="D719" s="46" t="n"/>
      <c r="E719" s="46" t="n"/>
      <c r="F719" s="51" t="n"/>
      <c r="G719" s="47" t="n"/>
      <c r="H719" s="47" t="n"/>
      <c r="I719" s="43">
        <f>IF($B719="","",N($G719)-N($H719))</f>
        <v/>
      </c>
    </row>
    <row r="720">
      <c r="A720" s="39">
        <f>IF($B720="","",COUNTA($B$4:$B720))</f>
        <v/>
      </c>
      <c r="B720" s="40" t="n"/>
      <c r="C720" s="41" t="n"/>
      <c r="D720" s="41" t="n"/>
      <c r="E720" s="41" t="n"/>
      <c r="F720" s="50" t="n"/>
      <c r="G720" s="42" t="n"/>
      <c r="H720" s="42" t="n"/>
      <c r="I720" s="43">
        <f>IF($B720="","",N($G720)-N($H720))</f>
        <v/>
      </c>
    </row>
    <row r="721">
      <c r="A721" s="39">
        <f>IF($B721="","",COUNTA($B$4:$B721))</f>
        <v/>
      </c>
      <c r="B721" s="45" t="n"/>
      <c r="C721" s="46" t="n"/>
      <c r="D721" s="46" t="n"/>
      <c r="E721" s="46" t="n"/>
      <c r="F721" s="51" t="n"/>
      <c r="G721" s="47" t="n"/>
      <c r="H721" s="47" t="n"/>
      <c r="I721" s="43">
        <f>IF($B721="","",N($G721)-N($H721))</f>
        <v/>
      </c>
    </row>
    <row r="722">
      <c r="A722" s="39">
        <f>IF($B722="","",COUNTA($B$4:$B722))</f>
        <v/>
      </c>
      <c r="B722" s="40" t="n"/>
      <c r="C722" s="41" t="n"/>
      <c r="D722" s="41" t="n"/>
      <c r="E722" s="41" t="n"/>
      <c r="F722" s="50" t="n"/>
      <c r="G722" s="42" t="n"/>
      <c r="H722" s="42" t="n"/>
      <c r="I722" s="43">
        <f>IF($B722="","",N($G722)-N($H722))</f>
        <v/>
      </c>
    </row>
    <row r="723">
      <c r="A723" s="39">
        <f>IF($B723="","",COUNTA($B$4:$B723))</f>
        <v/>
      </c>
      <c r="B723" s="45" t="n"/>
      <c r="C723" s="46" t="n"/>
      <c r="D723" s="46" t="n"/>
      <c r="E723" s="46" t="n"/>
      <c r="F723" s="51" t="n"/>
      <c r="G723" s="47" t="n"/>
      <c r="H723" s="47" t="n"/>
      <c r="I723" s="43">
        <f>IF($B723="","",N($G723)-N($H723))</f>
        <v/>
      </c>
    </row>
    <row r="724">
      <c r="A724" s="39">
        <f>IF($B724="","",COUNTA($B$4:$B724))</f>
        <v/>
      </c>
      <c r="B724" s="40" t="n"/>
      <c r="C724" s="41" t="n"/>
      <c r="D724" s="41" t="n"/>
      <c r="E724" s="41" t="n"/>
      <c r="F724" s="50" t="n"/>
      <c r="G724" s="42" t="n"/>
      <c r="H724" s="42" t="n"/>
      <c r="I724" s="43">
        <f>IF($B724="","",N($G724)-N($H724))</f>
        <v/>
      </c>
    </row>
    <row r="725">
      <c r="A725" s="39">
        <f>IF($B725="","",COUNTA($B$4:$B725))</f>
        <v/>
      </c>
      <c r="B725" s="45" t="n"/>
      <c r="C725" s="46" t="n"/>
      <c r="D725" s="46" t="n"/>
      <c r="E725" s="46" t="n"/>
      <c r="F725" s="51" t="n"/>
      <c r="G725" s="47" t="n"/>
      <c r="H725" s="47" t="n"/>
      <c r="I725" s="43">
        <f>IF($B725="","",N($G725)-N($H725))</f>
        <v/>
      </c>
    </row>
    <row r="726">
      <c r="A726" s="39">
        <f>IF($B726="","",COUNTA($B$4:$B726))</f>
        <v/>
      </c>
      <c r="B726" s="40" t="n"/>
      <c r="C726" s="41" t="n"/>
      <c r="D726" s="41" t="n"/>
      <c r="E726" s="41" t="n"/>
      <c r="F726" s="50" t="n"/>
      <c r="G726" s="42" t="n"/>
      <c r="H726" s="42" t="n"/>
      <c r="I726" s="43">
        <f>IF($B726="","",N($G726)-N($H726))</f>
        <v/>
      </c>
    </row>
    <row r="727">
      <c r="A727" s="39">
        <f>IF($B727="","",COUNTA($B$4:$B727))</f>
        <v/>
      </c>
      <c r="B727" s="45" t="n"/>
      <c r="C727" s="46" t="n"/>
      <c r="D727" s="46" t="n"/>
      <c r="E727" s="46" t="n"/>
      <c r="F727" s="51" t="n"/>
      <c r="G727" s="47" t="n"/>
      <c r="H727" s="47" t="n"/>
      <c r="I727" s="43">
        <f>IF($B727="","",N($G727)-N($H727))</f>
        <v/>
      </c>
    </row>
    <row r="728">
      <c r="A728" s="39">
        <f>IF($B728="","",COUNTA($B$4:$B728))</f>
        <v/>
      </c>
      <c r="B728" s="40" t="n"/>
      <c r="C728" s="41" t="n"/>
      <c r="D728" s="41" t="n"/>
      <c r="E728" s="41" t="n"/>
      <c r="F728" s="50" t="n"/>
      <c r="G728" s="42" t="n"/>
      <c r="H728" s="42" t="n"/>
      <c r="I728" s="43">
        <f>IF($B728="","",N($G728)-N($H728))</f>
        <v/>
      </c>
    </row>
    <row r="729">
      <c r="A729" s="39">
        <f>IF($B729="","",COUNTA($B$4:$B729))</f>
        <v/>
      </c>
      <c r="B729" s="45" t="n"/>
      <c r="C729" s="46" t="n"/>
      <c r="D729" s="46" t="n"/>
      <c r="E729" s="46" t="n"/>
      <c r="F729" s="51" t="n"/>
      <c r="G729" s="47" t="n"/>
      <c r="H729" s="47" t="n"/>
      <c r="I729" s="43">
        <f>IF($B729="","",N($G729)-N($H729))</f>
        <v/>
      </c>
    </row>
    <row r="730">
      <c r="A730" s="39">
        <f>IF($B730="","",COUNTA($B$4:$B730))</f>
        <v/>
      </c>
      <c r="B730" s="40" t="n"/>
      <c r="C730" s="41" t="n"/>
      <c r="D730" s="41" t="n"/>
      <c r="E730" s="41" t="n"/>
      <c r="F730" s="50" t="n"/>
      <c r="G730" s="42" t="n"/>
      <c r="H730" s="42" t="n"/>
      <c r="I730" s="43">
        <f>IF($B730="","",N($G730)-N($H730))</f>
        <v/>
      </c>
    </row>
    <row r="731">
      <c r="A731" s="39">
        <f>IF($B731="","",COUNTA($B$4:$B731))</f>
        <v/>
      </c>
      <c r="B731" s="45" t="n"/>
      <c r="C731" s="46" t="n"/>
      <c r="D731" s="46" t="n"/>
      <c r="E731" s="46" t="n"/>
      <c r="F731" s="51" t="n"/>
      <c r="G731" s="47" t="n"/>
      <c r="H731" s="47" t="n"/>
      <c r="I731" s="43">
        <f>IF($B731="","",N($G731)-N($H731))</f>
        <v/>
      </c>
    </row>
    <row r="732">
      <c r="A732" s="39">
        <f>IF($B732="","",COUNTA($B$4:$B732))</f>
        <v/>
      </c>
      <c r="B732" s="40" t="n"/>
      <c r="C732" s="41" t="n"/>
      <c r="D732" s="41" t="n"/>
      <c r="E732" s="41" t="n"/>
      <c r="F732" s="50" t="n"/>
      <c r="G732" s="42" t="n"/>
      <c r="H732" s="42" t="n"/>
      <c r="I732" s="43">
        <f>IF($B732="","",N($G732)-N($H732))</f>
        <v/>
      </c>
    </row>
    <row r="733">
      <c r="A733" s="39">
        <f>IF($B733="","",COUNTA($B$4:$B733))</f>
        <v/>
      </c>
      <c r="B733" s="45" t="n"/>
      <c r="C733" s="46" t="n"/>
      <c r="D733" s="46" t="n"/>
      <c r="E733" s="46" t="n"/>
      <c r="F733" s="51" t="n"/>
      <c r="G733" s="47" t="n"/>
      <c r="H733" s="47" t="n"/>
      <c r="I733" s="43">
        <f>IF($B733="","",N($G733)-N($H733))</f>
        <v/>
      </c>
    </row>
    <row r="734">
      <c r="A734" s="39">
        <f>IF($B734="","",COUNTA($B$4:$B734))</f>
        <v/>
      </c>
      <c r="B734" s="40" t="n"/>
      <c r="C734" s="41" t="n"/>
      <c r="D734" s="41" t="n"/>
      <c r="E734" s="41" t="n"/>
      <c r="F734" s="50" t="n"/>
      <c r="G734" s="42" t="n"/>
      <c r="H734" s="42" t="n"/>
      <c r="I734" s="43">
        <f>IF($B734="","",N($G734)-N($H734))</f>
        <v/>
      </c>
    </row>
    <row r="735">
      <c r="A735" s="39">
        <f>IF($B735="","",COUNTA($B$4:$B735))</f>
        <v/>
      </c>
      <c r="B735" s="45" t="n"/>
      <c r="C735" s="46" t="n"/>
      <c r="D735" s="46" t="n"/>
      <c r="E735" s="46" t="n"/>
      <c r="F735" s="51" t="n"/>
      <c r="G735" s="47" t="n"/>
      <c r="H735" s="47" t="n"/>
      <c r="I735" s="43">
        <f>IF($B735="","",N($G735)-N($H735))</f>
        <v/>
      </c>
    </row>
    <row r="736">
      <c r="A736" s="39">
        <f>IF($B736="","",COUNTA($B$4:$B736))</f>
        <v/>
      </c>
      <c r="B736" s="40" t="n"/>
      <c r="C736" s="41" t="n"/>
      <c r="D736" s="41" t="n"/>
      <c r="E736" s="41" t="n"/>
      <c r="F736" s="50" t="n"/>
      <c r="G736" s="42" t="n"/>
      <c r="H736" s="42" t="n"/>
      <c r="I736" s="43">
        <f>IF($B736="","",N($G736)-N($H736))</f>
        <v/>
      </c>
    </row>
    <row r="737">
      <c r="A737" s="39">
        <f>IF($B737="","",COUNTA($B$4:$B737))</f>
        <v/>
      </c>
      <c r="B737" s="45" t="n"/>
      <c r="C737" s="46" t="n"/>
      <c r="D737" s="46" t="n"/>
      <c r="E737" s="46" t="n"/>
      <c r="F737" s="51" t="n"/>
      <c r="G737" s="47" t="n"/>
      <c r="H737" s="47" t="n"/>
      <c r="I737" s="43">
        <f>IF($B737="","",N($G737)-N($H737))</f>
        <v/>
      </c>
    </row>
    <row r="738">
      <c r="A738" s="39">
        <f>IF($B738="","",COUNTA($B$4:$B738))</f>
        <v/>
      </c>
      <c r="B738" s="40" t="n"/>
      <c r="C738" s="41" t="n"/>
      <c r="D738" s="41" t="n"/>
      <c r="E738" s="41" t="n"/>
      <c r="F738" s="50" t="n"/>
      <c r="G738" s="42" t="n"/>
      <c r="H738" s="42" t="n"/>
      <c r="I738" s="43">
        <f>IF($B738="","",N($G738)-N($H738))</f>
        <v/>
      </c>
    </row>
    <row r="739">
      <c r="A739" s="39">
        <f>IF($B739="","",COUNTA($B$4:$B739))</f>
        <v/>
      </c>
      <c r="B739" s="45" t="n"/>
      <c r="C739" s="46" t="n"/>
      <c r="D739" s="46" t="n"/>
      <c r="E739" s="46" t="n"/>
      <c r="F739" s="51" t="n"/>
      <c r="G739" s="47" t="n"/>
      <c r="H739" s="47" t="n"/>
      <c r="I739" s="43">
        <f>IF($B739="","",N($G739)-N($H739))</f>
        <v/>
      </c>
    </row>
    <row r="740">
      <c r="A740" s="39">
        <f>IF($B740="","",COUNTA($B$4:$B740))</f>
        <v/>
      </c>
      <c r="B740" s="40" t="n"/>
      <c r="C740" s="41" t="n"/>
      <c r="D740" s="41" t="n"/>
      <c r="E740" s="41" t="n"/>
      <c r="F740" s="50" t="n"/>
      <c r="G740" s="42" t="n"/>
      <c r="H740" s="42" t="n"/>
      <c r="I740" s="43">
        <f>IF($B740="","",N($G740)-N($H740))</f>
        <v/>
      </c>
    </row>
    <row r="741">
      <c r="A741" s="39">
        <f>IF($B741="","",COUNTA($B$4:$B741))</f>
        <v/>
      </c>
      <c r="B741" s="45" t="n"/>
      <c r="C741" s="46" t="n"/>
      <c r="D741" s="46" t="n"/>
      <c r="E741" s="46" t="n"/>
      <c r="F741" s="51" t="n"/>
      <c r="G741" s="47" t="n"/>
      <c r="H741" s="47" t="n"/>
      <c r="I741" s="43">
        <f>IF($B741="","",N($G741)-N($H741))</f>
        <v/>
      </c>
    </row>
    <row r="742">
      <c r="A742" s="39">
        <f>IF($B742="","",COUNTA($B$4:$B742))</f>
        <v/>
      </c>
      <c r="B742" s="40" t="n"/>
      <c r="C742" s="41" t="n"/>
      <c r="D742" s="41" t="n"/>
      <c r="E742" s="41" t="n"/>
      <c r="F742" s="50" t="n"/>
      <c r="G742" s="42" t="n"/>
      <c r="H742" s="42" t="n"/>
      <c r="I742" s="43">
        <f>IF($B742="","",N($G742)-N($H742))</f>
        <v/>
      </c>
    </row>
    <row r="743">
      <c r="A743" s="39">
        <f>IF($B743="","",COUNTA($B$4:$B743))</f>
        <v/>
      </c>
      <c r="B743" s="45" t="n"/>
      <c r="C743" s="46" t="n"/>
      <c r="D743" s="46" t="n"/>
      <c r="E743" s="46" t="n"/>
      <c r="F743" s="51" t="n"/>
      <c r="G743" s="47" t="n"/>
      <c r="H743" s="47" t="n"/>
      <c r="I743" s="43">
        <f>IF($B743="","",N($G743)-N($H743))</f>
        <v/>
      </c>
    </row>
    <row r="744">
      <c r="A744" s="39">
        <f>IF($B744="","",COUNTA($B$4:$B744))</f>
        <v/>
      </c>
      <c r="B744" s="40" t="n"/>
      <c r="C744" s="41" t="n"/>
      <c r="D744" s="41" t="n"/>
      <c r="E744" s="41" t="n"/>
      <c r="F744" s="50" t="n"/>
      <c r="G744" s="42" t="n"/>
      <c r="H744" s="42" t="n"/>
      <c r="I744" s="43">
        <f>IF($B744="","",N($G744)-N($H744))</f>
        <v/>
      </c>
    </row>
    <row r="745">
      <c r="A745" s="39">
        <f>IF($B745="","",COUNTA($B$4:$B745))</f>
        <v/>
      </c>
      <c r="B745" s="45" t="n"/>
      <c r="C745" s="46" t="n"/>
      <c r="D745" s="46" t="n"/>
      <c r="E745" s="46" t="n"/>
      <c r="F745" s="51" t="n"/>
      <c r="G745" s="47" t="n"/>
      <c r="H745" s="47" t="n"/>
      <c r="I745" s="43">
        <f>IF($B745="","",N($G745)-N($H745))</f>
        <v/>
      </c>
    </row>
    <row r="746">
      <c r="A746" s="39">
        <f>IF($B746="","",COUNTA($B$4:$B746))</f>
        <v/>
      </c>
      <c r="B746" s="40" t="n"/>
      <c r="C746" s="41" t="n"/>
      <c r="D746" s="41" t="n"/>
      <c r="E746" s="41" t="n"/>
      <c r="F746" s="50" t="n"/>
      <c r="G746" s="42" t="n"/>
      <c r="H746" s="42" t="n"/>
      <c r="I746" s="43">
        <f>IF($B746="","",N($G746)-N($H746))</f>
        <v/>
      </c>
    </row>
    <row r="747">
      <c r="A747" s="39">
        <f>IF($B747="","",COUNTA($B$4:$B747))</f>
        <v/>
      </c>
      <c r="B747" s="45" t="n"/>
      <c r="C747" s="46" t="n"/>
      <c r="D747" s="46" t="n"/>
      <c r="E747" s="46" t="n"/>
      <c r="F747" s="51" t="n"/>
      <c r="G747" s="47" t="n"/>
      <c r="H747" s="47" t="n"/>
      <c r="I747" s="43">
        <f>IF($B747="","",N($G747)-N($H747))</f>
        <v/>
      </c>
    </row>
    <row r="748">
      <c r="A748" s="39">
        <f>IF($B748="","",COUNTA($B$4:$B748))</f>
        <v/>
      </c>
      <c r="B748" s="40" t="n"/>
      <c r="C748" s="41" t="n"/>
      <c r="D748" s="41" t="n"/>
      <c r="E748" s="41" t="n"/>
      <c r="F748" s="50" t="n"/>
      <c r="G748" s="42" t="n"/>
      <c r="H748" s="42" t="n"/>
      <c r="I748" s="43">
        <f>IF($B748="","",N($G748)-N($H748))</f>
        <v/>
      </c>
    </row>
    <row r="749">
      <c r="A749" s="39">
        <f>IF($B749="","",COUNTA($B$4:$B749))</f>
        <v/>
      </c>
      <c r="B749" s="45" t="n"/>
      <c r="C749" s="46" t="n"/>
      <c r="D749" s="46" t="n"/>
      <c r="E749" s="46" t="n"/>
      <c r="F749" s="51" t="n"/>
      <c r="G749" s="47" t="n"/>
      <c r="H749" s="47" t="n"/>
      <c r="I749" s="43">
        <f>IF($B749="","",N($G749)-N($H749))</f>
        <v/>
      </c>
    </row>
    <row r="750">
      <c r="A750" s="39">
        <f>IF($B750="","",COUNTA($B$4:$B750))</f>
        <v/>
      </c>
      <c r="B750" s="40" t="n"/>
      <c r="C750" s="41" t="n"/>
      <c r="D750" s="41" t="n"/>
      <c r="E750" s="41" t="n"/>
      <c r="F750" s="50" t="n"/>
      <c r="G750" s="42" t="n"/>
      <c r="H750" s="42" t="n"/>
      <c r="I750" s="43">
        <f>IF($B750="","",N($G750)-N($H750))</f>
        <v/>
      </c>
    </row>
    <row r="751">
      <c r="A751" s="39">
        <f>IF($B751="","",COUNTA($B$4:$B751))</f>
        <v/>
      </c>
      <c r="B751" s="45" t="n"/>
      <c r="C751" s="46" t="n"/>
      <c r="D751" s="46" t="n"/>
      <c r="E751" s="46" t="n"/>
      <c r="F751" s="51" t="n"/>
      <c r="G751" s="47" t="n"/>
      <c r="H751" s="47" t="n"/>
      <c r="I751" s="43">
        <f>IF($B751="","",N($G751)-N($H751))</f>
        <v/>
      </c>
    </row>
    <row r="752">
      <c r="A752" s="39">
        <f>IF($B752="","",COUNTA($B$4:$B752))</f>
        <v/>
      </c>
      <c r="B752" s="40" t="n"/>
      <c r="C752" s="41" t="n"/>
      <c r="D752" s="41" t="n"/>
      <c r="E752" s="41" t="n"/>
      <c r="F752" s="50" t="n"/>
      <c r="G752" s="42" t="n"/>
      <c r="H752" s="42" t="n"/>
      <c r="I752" s="43">
        <f>IF($B752="","",N($G752)-N($H752))</f>
        <v/>
      </c>
    </row>
    <row r="753">
      <c r="A753" s="39">
        <f>IF($B753="","",COUNTA($B$4:$B753))</f>
        <v/>
      </c>
      <c r="B753" s="45" t="n"/>
      <c r="C753" s="46" t="n"/>
      <c r="D753" s="46" t="n"/>
      <c r="E753" s="46" t="n"/>
      <c r="F753" s="51" t="n"/>
      <c r="G753" s="47" t="n"/>
      <c r="H753" s="47" t="n"/>
      <c r="I753" s="43">
        <f>IF($B753="","",N($G753)-N($H753))</f>
        <v/>
      </c>
    </row>
    <row r="754">
      <c r="A754" s="39">
        <f>IF($B754="","",COUNTA($B$4:$B754))</f>
        <v/>
      </c>
      <c r="B754" s="40" t="n"/>
      <c r="C754" s="41" t="n"/>
      <c r="D754" s="41" t="n"/>
      <c r="E754" s="41" t="n"/>
      <c r="F754" s="50" t="n"/>
      <c r="G754" s="42" t="n"/>
      <c r="H754" s="42" t="n"/>
      <c r="I754" s="43">
        <f>IF($B754="","",N($G754)-N($H754))</f>
        <v/>
      </c>
    </row>
    <row r="755">
      <c r="A755" s="39">
        <f>IF($B755="","",COUNTA($B$4:$B755))</f>
        <v/>
      </c>
      <c r="B755" s="45" t="n"/>
      <c r="C755" s="46" t="n"/>
      <c r="D755" s="46" t="n"/>
      <c r="E755" s="46" t="n"/>
      <c r="F755" s="51" t="n"/>
      <c r="G755" s="47" t="n"/>
      <c r="H755" s="47" t="n"/>
      <c r="I755" s="43">
        <f>IF($B755="","",N($G755)-N($H755))</f>
        <v/>
      </c>
    </row>
    <row r="756">
      <c r="A756" s="39">
        <f>IF($B756="","",COUNTA($B$4:$B756))</f>
        <v/>
      </c>
      <c r="B756" s="40" t="n"/>
      <c r="C756" s="41" t="n"/>
      <c r="D756" s="41" t="n"/>
      <c r="E756" s="41" t="n"/>
      <c r="F756" s="50" t="n"/>
      <c r="G756" s="42" t="n"/>
      <c r="H756" s="42" t="n"/>
      <c r="I756" s="43">
        <f>IF($B756="","",N($G756)-N($H756))</f>
        <v/>
      </c>
    </row>
    <row r="757">
      <c r="A757" s="39">
        <f>IF($B757="","",COUNTA($B$4:$B757))</f>
        <v/>
      </c>
      <c r="B757" s="45" t="n"/>
      <c r="C757" s="46" t="n"/>
      <c r="D757" s="46" t="n"/>
      <c r="E757" s="46" t="n"/>
      <c r="F757" s="51" t="n"/>
      <c r="G757" s="47" t="n"/>
      <c r="H757" s="47" t="n"/>
      <c r="I757" s="43">
        <f>IF($B757="","",N($G757)-N($H757))</f>
        <v/>
      </c>
    </row>
    <row r="758">
      <c r="A758" s="39">
        <f>IF($B758="","",COUNTA($B$4:$B758))</f>
        <v/>
      </c>
      <c r="B758" s="40" t="n"/>
      <c r="C758" s="41" t="n"/>
      <c r="D758" s="41" t="n"/>
      <c r="E758" s="41" t="n"/>
      <c r="F758" s="50" t="n"/>
      <c r="G758" s="42" t="n"/>
      <c r="H758" s="42" t="n"/>
      <c r="I758" s="43">
        <f>IF($B758="","",N($G758)-N($H758))</f>
        <v/>
      </c>
    </row>
    <row r="759">
      <c r="A759" s="39">
        <f>IF($B759="","",COUNTA($B$4:$B759))</f>
        <v/>
      </c>
      <c r="B759" s="45" t="n"/>
      <c r="C759" s="46" t="n"/>
      <c r="D759" s="46" t="n"/>
      <c r="E759" s="46" t="n"/>
      <c r="F759" s="51" t="n"/>
      <c r="G759" s="47" t="n"/>
      <c r="H759" s="47" t="n"/>
      <c r="I759" s="43">
        <f>IF($B759="","",N($G759)-N($H759))</f>
        <v/>
      </c>
    </row>
    <row r="760">
      <c r="A760" s="39">
        <f>IF($B760="","",COUNTA($B$4:$B760))</f>
        <v/>
      </c>
      <c r="B760" s="40" t="n"/>
      <c r="C760" s="41" t="n"/>
      <c r="D760" s="41" t="n"/>
      <c r="E760" s="41" t="n"/>
      <c r="F760" s="50" t="n"/>
      <c r="G760" s="42" t="n"/>
      <c r="H760" s="42" t="n"/>
      <c r="I760" s="43">
        <f>IF($B760="","",N($G760)-N($H760))</f>
        <v/>
      </c>
    </row>
    <row r="761">
      <c r="A761" s="39">
        <f>IF($B761="","",COUNTA($B$4:$B761))</f>
        <v/>
      </c>
      <c r="B761" s="45" t="n"/>
      <c r="C761" s="46" t="n"/>
      <c r="D761" s="46" t="n"/>
      <c r="E761" s="46" t="n"/>
      <c r="F761" s="51" t="n"/>
      <c r="G761" s="47" t="n"/>
      <c r="H761" s="47" t="n"/>
      <c r="I761" s="43">
        <f>IF($B761="","",N($G761)-N($H761))</f>
        <v/>
      </c>
    </row>
    <row r="762">
      <c r="A762" s="39">
        <f>IF($B762="","",COUNTA($B$4:$B762))</f>
        <v/>
      </c>
      <c r="B762" s="40" t="n"/>
      <c r="C762" s="41" t="n"/>
      <c r="D762" s="41" t="n"/>
      <c r="E762" s="41" t="n"/>
      <c r="F762" s="50" t="n"/>
      <c r="G762" s="42" t="n"/>
      <c r="H762" s="42" t="n"/>
      <c r="I762" s="43">
        <f>IF($B762="","",N($G762)-N($H762))</f>
        <v/>
      </c>
    </row>
    <row r="763">
      <c r="A763" s="39">
        <f>IF($B763="","",COUNTA($B$4:$B763))</f>
        <v/>
      </c>
      <c r="B763" s="45" t="n"/>
      <c r="C763" s="46" t="n"/>
      <c r="D763" s="46" t="n"/>
      <c r="E763" s="46" t="n"/>
      <c r="F763" s="51" t="n"/>
      <c r="G763" s="47" t="n"/>
      <c r="H763" s="47" t="n"/>
      <c r="I763" s="43">
        <f>IF($B763="","",N($G763)-N($H763))</f>
        <v/>
      </c>
    </row>
    <row r="764">
      <c r="A764" s="39">
        <f>IF($B764="","",COUNTA($B$4:$B764))</f>
        <v/>
      </c>
      <c r="B764" s="40" t="n"/>
      <c r="C764" s="41" t="n"/>
      <c r="D764" s="41" t="n"/>
      <c r="E764" s="41" t="n"/>
      <c r="F764" s="50" t="n"/>
      <c r="G764" s="42" t="n"/>
      <c r="H764" s="42" t="n"/>
      <c r="I764" s="43">
        <f>IF($B764="","",N($G764)-N($H764))</f>
        <v/>
      </c>
    </row>
    <row r="765">
      <c r="A765" s="39">
        <f>IF($B765="","",COUNTA($B$4:$B765))</f>
        <v/>
      </c>
      <c r="B765" s="45" t="n"/>
      <c r="C765" s="46" t="n"/>
      <c r="D765" s="46" t="n"/>
      <c r="E765" s="46" t="n"/>
      <c r="F765" s="51" t="n"/>
      <c r="G765" s="47" t="n"/>
      <c r="H765" s="47" t="n"/>
      <c r="I765" s="43">
        <f>IF($B765="","",N($G765)-N($H765))</f>
        <v/>
      </c>
    </row>
    <row r="766">
      <c r="A766" s="39">
        <f>IF($B766="","",COUNTA($B$4:$B766))</f>
        <v/>
      </c>
      <c r="B766" s="40" t="n"/>
      <c r="C766" s="41" t="n"/>
      <c r="D766" s="41" t="n"/>
      <c r="E766" s="41" t="n"/>
      <c r="F766" s="50" t="n"/>
      <c r="G766" s="42" t="n"/>
      <c r="H766" s="42" t="n"/>
      <c r="I766" s="43">
        <f>IF($B766="","",N($G766)-N($H766))</f>
        <v/>
      </c>
    </row>
    <row r="767">
      <c r="A767" s="39">
        <f>IF($B767="","",COUNTA($B$4:$B767))</f>
        <v/>
      </c>
      <c r="B767" s="45" t="n"/>
      <c r="C767" s="46" t="n"/>
      <c r="D767" s="46" t="n"/>
      <c r="E767" s="46" t="n"/>
      <c r="F767" s="51" t="n"/>
      <c r="G767" s="47" t="n"/>
      <c r="H767" s="47" t="n"/>
      <c r="I767" s="43">
        <f>IF($B767="","",N($G767)-N($H767))</f>
        <v/>
      </c>
    </row>
    <row r="768">
      <c r="A768" s="39">
        <f>IF($B768="","",COUNTA($B$4:$B768))</f>
        <v/>
      </c>
      <c r="B768" s="40" t="n"/>
      <c r="C768" s="41" t="n"/>
      <c r="D768" s="41" t="n"/>
      <c r="E768" s="41" t="n"/>
      <c r="F768" s="50" t="n"/>
      <c r="G768" s="42" t="n"/>
      <c r="H768" s="42" t="n"/>
      <c r="I768" s="43">
        <f>IF($B768="","",N($G768)-N($H768))</f>
        <v/>
      </c>
    </row>
    <row r="769">
      <c r="A769" s="39">
        <f>IF($B769="","",COUNTA($B$4:$B769))</f>
        <v/>
      </c>
      <c r="B769" s="45" t="n"/>
      <c r="C769" s="46" t="n"/>
      <c r="D769" s="46" t="n"/>
      <c r="E769" s="46" t="n"/>
      <c r="F769" s="51" t="n"/>
      <c r="G769" s="47" t="n"/>
      <c r="H769" s="47" t="n"/>
      <c r="I769" s="43">
        <f>IF($B769="","",N($G769)-N($H769))</f>
        <v/>
      </c>
    </row>
    <row r="770">
      <c r="A770" s="39">
        <f>IF($B770="","",COUNTA($B$4:$B770))</f>
        <v/>
      </c>
      <c r="B770" s="40" t="n"/>
      <c r="C770" s="41" t="n"/>
      <c r="D770" s="41" t="n"/>
      <c r="E770" s="41" t="n"/>
      <c r="F770" s="50" t="n"/>
      <c r="G770" s="42" t="n"/>
      <c r="H770" s="42" t="n"/>
      <c r="I770" s="43">
        <f>IF($B770="","",N($G770)-N($H770))</f>
        <v/>
      </c>
    </row>
    <row r="771">
      <c r="A771" s="39">
        <f>IF($B771="","",COUNTA($B$4:$B771))</f>
        <v/>
      </c>
      <c r="B771" s="45" t="n"/>
      <c r="C771" s="46" t="n"/>
      <c r="D771" s="46" t="n"/>
      <c r="E771" s="46" t="n"/>
      <c r="F771" s="51" t="n"/>
      <c r="G771" s="47" t="n"/>
      <c r="H771" s="47" t="n"/>
      <c r="I771" s="43">
        <f>IF($B771="","",N($G771)-N($H771))</f>
        <v/>
      </c>
    </row>
    <row r="772">
      <c r="A772" s="39">
        <f>IF($B772="","",COUNTA($B$4:$B772))</f>
        <v/>
      </c>
      <c r="B772" s="40" t="n"/>
      <c r="C772" s="41" t="n"/>
      <c r="D772" s="41" t="n"/>
      <c r="E772" s="41" t="n"/>
      <c r="F772" s="50" t="n"/>
      <c r="G772" s="42" t="n"/>
      <c r="H772" s="42" t="n"/>
      <c r="I772" s="43">
        <f>IF($B772="","",N($G772)-N($H772))</f>
        <v/>
      </c>
    </row>
    <row r="773">
      <c r="A773" s="39">
        <f>IF($B773="","",COUNTA($B$4:$B773))</f>
        <v/>
      </c>
      <c r="B773" s="45" t="n"/>
      <c r="C773" s="46" t="n"/>
      <c r="D773" s="46" t="n"/>
      <c r="E773" s="46" t="n"/>
      <c r="F773" s="51" t="n"/>
      <c r="G773" s="47" t="n"/>
      <c r="H773" s="47" t="n"/>
      <c r="I773" s="43">
        <f>IF($B773="","",N($G773)-N($H773))</f>
        <v/>
      </c>
    </row>
    <row r="774">
      <c r="A774" s="39">
        <f>IF($B774="","",COUNTA($B$4:$B774))</f>
        <v/>
      </c>
      <c r="B774" s="40" t="n"/>
      <c r="C774" s="41" t="n"/>
      <c r="D774" s="41" t="n"/>
      <c r="E774" s="41" t="n"/>
      <c r="F774" s="50" t="n"/>
      <c r="G774" s="42" t="n"/>
      <c r="H774" s="42" t="n"/>
      <c r="I774" s="43">
        <f>IF($B774="","",N($G774)-N($H774))</f>
        <v/>
      </c>
    </row>
    <row r="775">
      <c r="A775" s="39">
        <f>IF($B775="","",COUNTA($B$4:$B775))</f>
        <v/>
      </c>
      <c r="B775" s="45" t="n"/>
      <c r="C775" s="46" t="n"/>
      <c r="D775" s="46" t="n"/>
      <c r="E775" s="46" t="n"/>
      <c r="F775" s="51" t="n"/>
      <c r="G775" s="47" t="n"/>
      <c r="H775" s="47" t="n"/>
      <c r="I775" s="43">
        <f>IF($B775="","",N($G775)-N($H775))</f>
        <v/>
      </c>
    </row>
    <row r="776">
      <c r="A776" s="39">
        <f>IF($B776="","",COUNTA($B$4:$B776))</f>
        <v/>
      </c>
      <c r="B776" s="40" t="n"/>
      <c r="C776" s="41" t="n"/>
      <c r="D776" s="41" t="n"/>
      <c r="E776" s="41" t="n"/>
      <c r="F776" s="50" t="n"/>
      <c r="G776" s="42" t="n"/>
      <c r="H776" s="42" t="n"/>
      <c r="I776" s="43">
        <f>IF($B776="","",N($G776)-N($H776))</f>
        <v/>
      </c>
    </row>
    <row r="777">
      <c r="A777" s="39">
        <f>IF($B777="","",COUNTA($B$4:$B777))</f>
        <v/>
      </c>
      <c r="B777" s="45" t="n"/>
      <c r="C777" s="46" t="n"/>
      <c r="D777" s="46" t="n"/>
      <c r="E777" s="46" t="n"/>
      <c r="F777" s="51" t="n"/>
      <c r="G777" s="47" t="n"/>
      <c r="H777" s="47" t="n"/>
      <c r="I777" s="43">
        <f>IF($B777="","",N($G777)-N($H777))</f>
        <v/>
      </c>
    </row>
    <row r="778">
      <c r="A778" s="39">
        <f>IF($B778="","",COUNTA($B$4:$B778))</f>
        <v/>
      </c>
      <c r="B778" s="40" t="n"/>
      <c r="C778" s="41" t="n"/>
      <c r="D778" s="41" t="n"/>
      <c r="E778" s="41" t="n"/>
      <c r="F778" s="50" t="n"/>
      <c r="G778" s="42" t="n"/>
      <c r="H778" s="42" t="n"/>
      <c r="I778" s="43">
        <f>IF($B778="","",N($G778)-N($H778))</f>
        <v/>
      </c>
    </row>
    <row r="779">
      <c r="A779" s="39">
        <f>IF($B779="","",COUNTA($B$4:$B779))</f>
        <v/>
      </c>
      <c r="B779" s="45" t="n"/>
      <c r="C779" s="46" t="n"/>
      <c r="D779" s="46" t="n"/>
      <c r="E779" s="46" t="n"/>
      <c r="F779" s="51" t="n"/>
      <c r="G779" s="47" t="n"/>
      <c r="H779" s="47" t="n"/>
      <c r="I779" s="43">
        <f>IF($B779="","",N($G779)-N($H779))</f>
        <v/>
      </c>
    </row>
    <row r="780">
      <c r="A780" s="39">
        <f>IF($B780="","",COUNTA($B$4:$B780))</f>
        <v/>
      </c>
      <c r="B780" s="40" t="n"/>
      <c r="C780" s="41" t="n"/>
      <c r="D780" s="41" t="n"/>
      <c r="E780" s="41" t="n"/>
      <c r="F780" s="50" t="n"/>
      <c r="G780" s="42" t="n"/>
      <c r="H780" s="42" t="n"/>
      <c r="I780" s="43">
        <f>IF($B780="","",N($G780)-N($H780))</f>
        <v/>
      </c>
    </row>
    <row r="781">
      <c r="A781" s="39">
        <f>IF($B781="","",COUNTA($B$4:$B781))</f>
        <v/>
      </c>
      <c r="B781" s="45" t="n"/>
      <c r="C781" s="46" t="n"/>
      <c r="D781" s="46" t="n"/>
      <c r="E781" s="46" t="n"/>
      <c r="F781" s="51" t="n"/>
      <c r="G781" s="47" t="n"/>
      <c r="H781" s="47" t="n"/>
      <c r="I781" s="43">
        <f>IF($B781="","",N($G781)-N($H781))</f>
        <v/>
      </c>
    </row>
    <row r="782">
      <c r="A782" s="39">
        <f>IF($B782="","",COUNTA($B$4:$B782))</f>
        <v/>
      </c>
      <c r="B782" s="40" t="n"/>
      <c r="C782" s="41" t="n"/>
      <c r="D782" s="41" t="n"/>
      <c r="E782" s="41" t="n"/>
      <c r="F782" s="50" t="n"/>
      <c r="G782" s="42" t="n"/>
      <c r="H782" s="42" t="n"/>
      <c r="I782" s="43">
        <f>IF($B782="","",N($G782)-N($H782))</f>
        <v/>
      </c>
    </row>
    <row r="783">
      <c r="A783" s="39">
        <f>IF($B783="","",COUNTA($B$4:$B783))</f>
        <v/>
      </c>
      <c r="B783" s="45" t="n"/>
      <c r="C783" s="46" t="n"/>
      <c r="D783" s="46" t="n"/>
      <c r="E783" s="46" t="n"/>
      <c r="F783" s="51" t="n"/>
      <c r="G783" s="47" t="n"/>
      <c r="H783" s="47" t="n"/>
      <c r="I783" s="43">
        <f>IF($B783="","",N($G783)-N($H783))</f>
        <v/>
      </c>
    </row>
    <row r="784">
      <c r="A784" s="39">
        <f>IF($B784="","",COUNTA($B$4:$B784))</f>
        <v/>
      </c>
      <c r="B784" s="40" t="n"/>
      <c r="C784" s="41" t="n"/>
      <c r="D784" s="41" t="n"/>
      <c r="E784" s="41" t="n"/>
      <c r="F784" s="50" t="n"/>
      <c r="G784" s="42" t="n"/>
      <c r="H784" s="42" t="n"/>
      <c r="I784" s="43">
        <f>IF($B784="","",N($G784)-N($H784))</f>
        <v/>
      </c>
    </row>
    <row r="785">
      <c r="A785" s="39">
        <f>IF($B785="","",COUNTA($B$4:$B785))</f>
        <v/>
      </c>
      <c r="B785" s="45" t="n"/>
      <c r="C785" s="46" t="n"/>
      <c r="D785" s="46" t="n"/>
      <c r="E785" s="46" t="n"/>
      <c r="F785" s="51" t="n"/>
      <c r="G785" s="47" t="n"/>
      <c r="H785" s="47" t="n"/>
      <c r="I785" s="43">
        <f>IF($B785="","",N($G785)-N($H785))</f>
        <v/>
      </c>
    </row>
    <row r="786">
      <c r="A786" s="39">
        <f>IF($B786="","",COUNTA($B$4:$B786))</f>
        <v/>
      </c>
      <c r="B786" s="40" t="n"/>
      <c r="C786" s="41" t="n"/>
      <c r="D786" s="41" t="n"/>
      <c r="E786" s="41" t="n"/>
      <c r="F786" s="50" t="n"/>
      <c r="G786" s="42" t="n"/>
      <c r="H786" s="42" t="n"/>
      <c r="I786" s="43">
        <f>IF($B786="","",N($G786)-N($H786))</f>
        <v/>
      </c>
    </row>
    <row r="787">
      <c r="A787" s="39">
        <f>IF($B787="","",COUNTA($B$4:$B787))</f>
        <v/>
      </c>
      <c r="B787" s="45" t="n"/>
      <c r="C787" s="46" t="n"/>
      <c r="D787" s="46" t="n"/>
      <c r="E787" s="46" t="n"/>
      <c r="F787" s="51" t="n"/>
      <c r="G787" s="47" t="n"/>
      <c r="H787" s="47" t="n"/>
      <c r="I787" s="43">
        <f>IF($B787="","",N($G787)-N($H787))</f>
        <v/>
      </c>
    </row>
    <row r="788">
      <c r="A788" s="39">
        <f>IF($B788="","",COUNTA($B$4:$B788))</f>
        <v/>
      </c>
      <c r="B788" s="40" t="n"/>
      <c r="C788" s="41" t="n"/>
      <c r="D788" s="41" t="n"/>
      <c r="E788" s="41" t="n"/>
      <c r="F788" s="50" t="n"/>
      <c r="G788" s="42" t="n"/>
      <c r="H788" s="42" t="n"/>
      <c r="I788" s="43">
        <f>IF($B788="","",N($G788)-N($H788))</f>
        <v/>
      </c>
    </row>
    <row r="789">
      <c r="A789" s="39">
        <f>IF($B789="","",COUNTA($B$4:$B789))</f>
        <v/>
      </c>
      <c r="B789" s="45" t="n"/>
      <c r="C789" s="46" t="n"/>
      <c r="D789" s="46" t="n"/>
      <c r="E789" s="46" t="n"/>
      <c r="F789" s="51" t="n"/>
      <c r="G789" s="47" t="n"/>
      <c r="H789" s="47" t="n"/>
      <c r="I789" s="43">
        <f>IF($B789="","",N($G789)-N($H789))</f>
        <v/>
      </c>
    </row>
    <row r="790">
      <c r="A790" s="39">
        <f>IF($B790="","",COUNTA($B$4:$B790))</f>
        <v/>
      </c>
      <c r="B790" s="40" t="n"/>
      <c r="C790" s="41" t="n"/>
      <c r="D790" s="41" t="n"/>
      <c r="E790" s="41" t="n"/>
      <c r="F790" s="50" t="n"/>
      <c r="G790" s="42" t="n"/>
      <c r="H790" s="42" t="n"/>
      <c r="I790" s="43">
        <f>IF($B790="","",N($G790)-N($H790))</f>
        <v/>
      </c>
    </row>
    <row r="791">
      <c r="A791" s="39">
        <f>IF($B791="","",COUNTA($B$4:$B791))</f>
        <v/>
      </c>
      <c r="B791" s="45" t="n"/>
      <c r="C791" s="46" t="n"/>
      <c r="D791" s="46" t="n"/>
      <c r="E791" s="46" t="n"/>
      <c r="F791" s="51" t="n"/>
      <c r="G791" s="47" t="n"/>
      <c r="H791" s="47" t="n"/>
      <c r="I791" s="43">
        <f>IF($B791="","",N($G791)-N($H791))</f>
        <v/>
      </c>
    </row>
    <row r="792">
      <c r="A792" s="39">
        <f>IF($B792="","",COUNTA($B$4:$B792))</f>
        <v/>
      </c>
      <c r="B792" s="40" t="n"/>
      <c r="C792" s="41" t="n"/>
      <c r="D792" s="41" t="n"/>
      <c r="E792" s="41" t="n"/>
      <c r="F792" s="50" t="n"/>
      <c r="G792" s="42" t="n"/>
      <c r="H792" s="42" t="n"/>
      <c r="I792" s="43">
        <f>IF($B792="","",N($G792)-N($H792))</f>
        <v/>
      </c>
    </row>
    <row r="793">
      <c r="A793" s="39">
        <f>IF($B793="","",COUNTA($B$4:$B793))</f>
        <v/>
      </c>
      <c r="B793" s="45" t="n"/>
      <c r="C793" s="46" t="n"/>
      <c r="D793" s="46" t="n"/>
      <c r="E793" s="46" t="n"/>
      <c r="F793" s="51" t="n"/>
      <c r="G793" s="47" t="n"/>
      <c r="H793" s="47" t="n"/>
      <c r="I793" s="43">
        <f>IF($B793="","",N($G793)-N($H793))</f>
        <v/>
      </c>
    </row>
    <row r="794">
      <c r="A794" s="39">
        <f>IF($B794="","",COUNTA($B$4:$B794))</f>
        <v/>
      </c>
      <c r="B794" s="40" t="n"/>
      <c r="C794" s="41" t="n"/>
      <c r="D794" s="41" t="n"/>
      <c r="E794" s="41" t="n"/>
      <c r="F794" s="50" t="n"/>
      <c r="G794" s="42" t="n"/>
      <c r="H794" s="42" t="n"/>
      <c r="I794" s="43">
        <f>IF($B794="","",N($G794)-N($H794))</f>
        <v/>
      </c>
    </row>
    <row r="795">
      <c r="A795" s="39">
        <f>IF($B795="","",COUNTA($B$4:$B795))</f>
        <v/>
      </c>
      <c r="B795" s="45" t="n"/>
      <c r="C795" s="46" t="n"/>
      <c r="D795" s="46" t="n"/>
      <c r="E795" s="46" t="n"/>
      <c r="F795" s="51" t="n"/>
      <c r="G795" s="47" t="n"/>
      <c r="H795" s="47" t="n"/>
      <c r="I795" s="43">
        <f>IF($B795="","",N($G795)-N($H795))</f>
        <v/>
      </c>
    </row>
    <row r="796">
      <c r="A796" s="39">
        <f>IF($B796="","",COUNTA($B$4:$B796))</f>
        <v/>
      </c>
      <c r="B796" s="40" t="n"/>
      <c r="C796" s="41" t="n"/>
      <c r="D796" s="41" t="n"/>
      <c r="E796" s="41" t="n"/>
      <c r="F796" s="50" t="n"/>
      <c r="G796" s="42" t="n"/>
      <c r="H796" s="42" t="n"/>
      <c r="I796" s="43">
        <f>IF($B796="","",N($G796)-N($H796))</f>
        <v/>
      </c>
    </row>
    <row r="797">
      <c r="A797" s="39">
        <f>IF($B797="","",COUNTA($B$4:$B797))</f>
        <v/>
      </c>
      <c r="B797" s="45" t="n"/>
      <c r="C797" s="46" t="n"/>
      <c r="D797" s="46" t="n"/>
      <c r="E797" s="46" t="n"/>
      <c r="F797" s="51" t="n"/>
      <c r="G797" s="47" t="n"/>
      <c r="H797" s="47" t="n"/>
      <c r="I797" s="43">
        <f>IF($B797="","",N($G797)-N($H797))</f>
        <v/>
      </c>
    </row>
    <row r="798">
      <c r="A798" s="39">
        <f>IF($B798="","",COUNTA($B$4:$B798))</f>
        <v/>
      </c>
      <c r="B798" s="40" t="n"/>
      <c r="C798" s="41" t="n"/>
      <c r="D798" s="41" t="n"/>
      <c r="E798" s="41" t="n"/>
      <c r="F798" s="50" t="n"/>
      <c r="G798" s="42" t="n"/>
      <c r="H798" s="42" t="n"/>
      <c r="I798" s="43">
        <f>IF($B798="","",N($G798)-N($H798))</f>
        <v/>
      </c>
    </row>
    <row r="799">
      <c r="A799" s="39">
        <f>IF($B799="","",COUNTA($B$4:$B799))</f>
        <v/>
      </c>
      <c r="B799" s="45" t="n"/>
      <c r="C799" s="46" t="n"/>
      <c r="D799" s="46" t="n"/>
      <c r="E799" s="46" t="n"/>
      <c r="F799" s="51" t="n"/>
      <c r="G799" s="47" t="n"/>
      <c r="H799" s="47" t="n"/>
      <c r="I799" s="43">
        <f>IF($B799="","",N($G799)-N($H799))</f>
        <v/>
      </c>
    </row>
    <row r="800">
      <c r="A800" s="39">
        <f>IF($B800="","",COUNTA($B$4:$B800))</f>
        <v/>
      </c>
      <c r="B800" s="40" t="n"/>
      <c r="C800" s="41" t="n"/>
      <c r="D800" s="41" t="n"/>
      <c r="E800" s="41" t="n"/>
      <c r="F800" s="50" t="n"/>
      <c r="G800" s="42" t="n"/>
      <c r="H800" s="42" t="n"/>
      <c r="I800" s="43">
        <f>IF($B800="","",N($G800)-N($H800))</f>
        <v/>
      </c>
    </row>
    <row r="801">
      <c r="A801" s="39">
        <f>IF($B801="","",COUNTA($B$4:$B801))</f>
        <v/>
      </c>
      <c r="B801" s="45" t="n"/>
      <c r="C801" s="46" t="n"/>
      <c r="D801" s="46" t="n"/>
      <c r="E801" s="46" t="n"/>
      <c r="F801" s="51" t="n"/>
      <c r="G801" s="47" t="n"/>
      <c r="H801" s="47" t="n"/>
      <c r="I801" s="43">
        <f>IF($B801="","",N($G801)-N($H801))</f>
        <v/>
      </c>
    </row>
    <row r="802">
      <c r="A802" s="39">
        <f>IF($B802="","",COUNTA($B$4:$B802))</f>
        <v/>
      </c>
      <c r="B802" s="40" t="n"/>
      <c r="C802" s="41" t="n"/>
      <c r="D802" s="41" t="n"/>
      <c r="E802" s="41" t="n"/>
      <c r="F802" s="50" t="n"/>
      <c r="G802" s="42" t="n"/>
      <c r="H802" s="42" t="n"/>
      <c r="I802" s="43">
        <f>IF($B802="","",N($G802)-N($H802))</f>
        <v/>
      </c>
    </row>
    <row r="803">
      <c r="A803" s="39">
        <f>IF($B803="","",COUNTA($B$4:$B803))</f>
        <v/>
      </c>
      <c r="B803" s="45" t="n"/>
      <c r="C803" s="46" t="n"/>
      <c r="D803" s="46" t="n"/>
      <c r="E803" s="46" t="n"/>
      <c r="F803" s="51" t="n"/>
      <c r="G803" s="47" t="n"/>
      <c r="H803" s="47" t="n"/>
      <c r="I803" s="43">
        <f>IF($B803="","",N($G803)-N($H803))</f>
        <v/>
      </c>
    </row>
    <row r="804">
      <c r="A804" s="39">
        <f>IF($B804="","",COUNTA($B$4:$B804))</f>
        <v/>
      </c>
      <c r="B804" s="40" t="n"/>
      <c r="C804" s="41" t="n"/>
      <c r="D804" s="41" t="n"/>
      <c r="E804" s="41" t="n"/>
      <c r="F804" s="50" t="n"/>
      <c r="G804" s="42" t="n"/>
      <c r="H804" s="42" t="n"/>
      <c r="I804" s="43">
        <f>IF($B804="","",N($G804)-N($H804))</f>
        <v/>
      </c>
    </row>
    <row r="805">
      <c r="A805" s="39">
        <f>IF($B805="","",COUNTA($B$4:$B805))</f>
        <v/>
      </c>
      <c r="B805" s="45" t="n"/>
      <c r="C805" s="46" t="n"/>
      <c r="D805" s="46" t="n"/>
      <c r="E805" s="46" t="n"/>
      <c r="F805" s="51" t="n"/>
      <c r="G805" s="47" t="n"/>
      <c r="H805" s="47" t="n"/>
      <c r="I805" s="43">
        <f>IF($B805="","",N($G805)-N($H805))</f>
        <v/>
      </c>
    </row>
    <row r="806">
      <c r="A806" s="39">
        <f>IF($B806="","",COUNTA($B$4:$B806))</f>
        <v/>
      </c>
      <c r="B806" s="40" t="n"/>
      <c r="C806" s="41" t="n"/>
      <c r="D806" s="41" t="n"/>
      <c r="E806" s="41" t="n"/>
      <c r="F806" s="50" t="n"/>
      <c r="G806" s="42" t="n"/>
      <c r="H806" s="42" t="n"/>
      <c r="I806" s="43">
        <f>IF($B806="","",N($G806)-N($H806))</f>
        <v/>
      </c>
    </row>
    <row r="807">
      <c r="A807" s="39">
        <f>IF($B807="","",COUNTA($B$4:$B807))</f>
        <v/>
      </c>
      <c r="B807" s="45" t="n"/>
      <c r="C807" s="46" t="n"/>
      <c r="D807" s="46" t="n"/>
      <c r="E807" s="46" t="n"/>
      <c r="F807" s="51" t="n"/>
      <c r="G807" s="47" t="n"/>
      <c r="H807" s="47" t="n"/>
      <c r="I807" s="43">
        <f>IF($B807="","",N($G807)-N($H807))</f>
        <v/>
      </c>
    </row>
    <row r="808">
      <c r="A808" s="39">
        <f>IF($B808="","",COUNTA($B$4:$B808))</f>
        <v/>
      </c>
      <c r="B808" s="40" t="n"/>
      <c r="C808" s="41" t="n"/>
      <c r="D808" s="41" t="n"/>
      <c r="E808" s="41" t="n"/>
      <c r="F808" s="50" t="n"/>
      <c r="G808" s="42" t="n"/>
      <c r="H808" s="42" t="n"/>
      <c r="I808" s="43">
        <f>IF($B808="","",N($G808)-N($H808))</f>
        <v/>
      </c>
    </row>
    <row r="809">
      <c r="A809" s="39">
        <f>IF($B809="","",COUNTA($B$4:$B809))</f>
        <v/>
      </c>
      <c r="B809" s="45" t="n"/>
      <c r="C809" s="46" t="n"/>
      <c r="D809" s="46" t="n"/>
      <c r="E809" s="46" t="n"/>
      <c r="F809" s="51" t="n"/>
      <c r="G809" s="47" t="n"/>
      <c r="H809" s="47" t="n"/>
      <c r="I809" s="43">
        <f>IF($B809="","",N($G809)-N($H809))</f>
        <v/>
      </c>
    </row>
    <row r="810">
      <c r="A810" s="39">
        <f>IF($B810="","",COUNTA($B$4:$B810))</f>
        <v/>
      </c>
      <c r="B810" s="40" t="n"/>
      <c r="C810" s="41" t="n"/>
      <c r="D810" s="41" t="n"/>
      <c r="E810" s="41" t="n"/>
      <c r="F810" s="50" t="n"/>
      <c r="G810" s="42" t="n"/>
      <c r="H810" s="42" t="n"/>
      <c r="I810" s="43">
        <f>IF($B810="","",N($G810)-N($H810))</f>
        <v/>
      </c>
    </row>
    <row r="811">
      <c r="A811" s="39">
        <f>IF($B811="","",COUNTA($B$4:$B811))</f>
        <v/>
      </c>
      <c r="B811" s="45" t="n"/>
      <c r="C811" s="46" t="n"/>
      <c r="D811" s="46" t="n"/>
      <c r="E811" s="46" t="n"/>
      <c r="F811" s="51" t="n"/>
      <c r="G811" s="47" t="n"/>
      <c r="H811" s="47" t="n"/>
      <c r="I811" s="43">
        <f>IF($B811="","",N($G811)-N($H811))</f>
        <v/>
      </c>
    </row>
    <row r="812">
      <c r="A812" s="39">
        <f>IF($B812="","",COUNTA($B$4:$B812))</f>
        <v/>
      </c>
      <c r="B812" s="40" t="n"/>
      <c r="C812" s="41" t="n"/>
      <c r="D812" s="41" t="n"/>
      <c r="E812" s="41" t="n"/>
      <c r="F812" s="50" t="n"/>
      <c r="G812" s="42" t="n"/>
      <c r="H812" s="42" t="n"/>
      <c r="I812" s="43">
        <f>IF($B812="","",N($G812)-N($H812))</f>
        <v/>
      </c>
    </row>
    <row r="813">
      <c r="A813" s="39">
        <f>IF($B813="","",COUNTA($B$4:$B813))</f>
        <v/>
      </c>
      <c r="B813" s="45" t="n"/>
      <c r="C813" s="46" t="n"/>
      <c r="D813" s="46" t="n"/>
      <c r="E813" s="46" t="n"/>
      <c r="F813" s="51" t="n"/>
      <c r="G813" s="47" t="n"/>
      <c r="H813" s="47" t="n"/>
      <c r="I813" s="43">
        <f>IF($B813="","",N($G813)-N($H813))</f>
        <v/>
      </c>
    </row>
    <row r="814">
      <c r="A814" s="39">
        <f>IF($B814="","",COUNTA($B$4:$B814))</f>
        <v/>
      </c>
      <c r="B814" s="40" t="n"/>
      <c r="C814" s="41" t="n"/>
      <c r="D814" s="41" t="n"/>
      <c r="E814" s="41" t="n"/>
      <c r="F814" s="50" t="n"/>
      <c r="G814" s="42" t="n"/>
      <c r="H814" s="42" t="n"/>
      <c r="I814" s="43">
        <f>IF($B814="","",N($G814)-N($H814))</f>
        <v/>
      </c>
    </row>
    <row r="815">
      <c r="A815" s="39">
        <f>IF($B815="","",COUNTA($B$4:$B815))</f>
        <v/>
      </c>
      <c r="B815" s="45" t="n"/>
      <c r="C815" s="46" t="n"/>
      <c r="D815" s="46" t="n"/>
      <c r="E815" s="46" t="n"/>
      <c r="F815" s="51" t="n"/>
      <c r="G815" s="47" t="n"/>
      <c r="H815" s="47" t="n"/>
      <c r="I815" s="43">
        <f>IF($B815="","",N($G815)-N($H815))</f>
        <v/>
      </c>
    </row>
    <row r="816">
      <c r="A816" s="39">
        <f>IF($B816="","",COUNTA($B$4:$B816))</f>
        <v/>
      </c>
      <c r="B816" s="40" t="n"/>
      <c r="C816" s="41" t="n"/>
      <c r="D816" s="41" t="n"/>
      <c r="E816" s="41" t="n"/>
      <c r="F816" s="50" t="n"/>
      <c r="G816" s="42" t="n"/>
      <c r="H816" s="42" t="n"/>
      <c r="I816" s="43">
        <f>IF($B816="","",N($G816)-N($H816))</f>
        <v/>
      </c>
    </row>
    <row r="817">
      <c r="A817" s="39">
        <f>IF($B817="","",COUNTA($B$4:$B817))</f>
        <v/>
      </c>
      <c r="B817" s="45" t="n"/>
      <c r="C817" s="46" t="n"/>
      <c r="D817" s="46" t="n"/>
      <c r="E817" s="46" t="n"/>
      <c r="F817" s="51" t="n"/>
      <c r="G817" s="47" t="n"/>
      <c r="H817" s="47" t="n"/>
      <c r="I817" s="43">
        <f>IF($B817="","",N($G817)-N($H817))</f>
        <v/>
      </c>
    </row>
    <row r="818">
      <c r="A818" s="39">
        <f>IF($B818="","",COUNTA($B$4:$B818))</f>
        <v/>
      </c>
      <c r="B818" s="40" t="n"/>
      <c r="C818" s="41" t="n"/>
      <c r="D818" s="41" t="n"/>
      <c r="E818" s="41" t="n"/>
      <c r="F818" s="50" t="n"/>
      <c r="G818" s="42" t="n"/>
      <c r="H818" s="42" t="n"/>
      <c r="I818" s="43">
        <f>IF($B818="","",N($G818)-N($H818))</f>
        <v/>
      </c>
    </row>
    <row r="819">
      <c r="A819" s="39">
        <f>IF($B819="","",COUNTA($B$4:$B819))</f>
        <v/>
      </c>
      <c r="B819" s="45" t="n"/>
      <c r="C819" s="46" t="n"/>
      <c r="D819" s="46" t="n"/>
      <c r="E819" s="46" t="n"/>
      <c r="F819" s="51" t="n"/>
      <c r="G819" s="47" t="n"/>
      <c r="H819" s="47" t="n"/>
      <c r="I819" s="43">
        <f>IF($B819="","",N($G819)-N($H819))</f>
        <v/>
      </c>
    </row>
    <row r="820">
      <c r="A820" s="39">
        <f>IF($B820="","",COUNTA($B$4:$B820))</f>
        <v/>
      </c>
      <c r="B820" s="40" t="n"/>
      <c r="C820" s="41" t="n"/>
      <c r="D820" s="41" t="n"/>
      <c r="E820" s="41" t="n"/>
      <c r="F820" s="50" t="n"/>
      <c r="G820" s="42" t="n"/>
      <c r="H820" s="42" t="n"/>
      <c r="I820" s="43">
        <f>IF($B820="","",N($G820)-N($H820))</f>
        <v/>
      </c>
    </row>
    <row r="821">
      <c r="A821" s="39">
        <f>IF($B821="","",COUNTA($B$4:$B821))</f>
        <v/>
      </c>
      <c r="B821" s="45" t="n"/>
      <c r="C821" s="46" t="n"/>
      <c r="D821" s="46" t="n"/>
      <c r="E821" s="46" t="n"/>
      <c r="F821" s="51" t="n"/>
      <c r="G821" s="47" t="n"/>
      <c r="H821" s="47" t="n"/>
      <c r="I821" s="43">
        <f>IF($B821="","",N($G821)-N($H821))</f>
        <v/>
      </c>
    </row>
    <row r="822">
      <c r="A822" s="39">
        <f>IF($B822="","",COUNTA($B$4:$B822))</f>
        <v/>
      </c>
      <c r="B822" s="40" t="n"/>
      <c r="C822" s="41" t="n"/>
      <c r="D822" s="41" t="n"/>
      <c r="E822" s="41" t="n"/>
      <c r="F822" s="50" t="n"/>
      <c r="G822" s="42" t="n"/>
      <c r="H822" s="42" t="n"/>
      <c r="I822" s="43">
        <f>IF($B822="","",N($G822)-N($H822))</f>
        <v/>
      </c>
    </row>
    <row r="823">
      <c r="A823" s="39">
        <f>IF($B823="","",COUNTA($B$4:$B823))</f>
        <v/>
      </c>
      <c r="B823" s="45" t="n"/>
      <c r="C823" s="46" t="n"/>
      <c r="D823" s="46" t="n"/>
      <c r="E823" s="46" t="n"/>
      <c r="F823" s="51" t="n"/>
      <c r="G823" s="47" t="n"/>
      <c r="H823" s="47" t="n"/>
      <c r="I823" s="43">
        <f>IF($B823="","",N($G823)-N($H823))</f>
        <v/>
      </c>
    </row>
    <row r="824">
      <c r="A824" s="39">
        <f>IF($B824="","",COUNTA($B$4:$B824))</f>
        <v/>
      </c>
      <c r="B824" s="40" t="n"/>
      <c r="C824" s="41" t="n"/>
      <c r="D824" s="41" t="n"/>
      <c r="E824" s="41" t="n"/>
      <c r="F824" s="50" t="n"/>
      <c r="G824" s="42" t="n"/>
      <c r="H824" s="42" t="n"/>
      <c r="I824" s="43">
        <f>IF($B824="","",N($G824)-N($H824))</f>
        <v/>
      </c>
    </row>
    <row r="825">
      <c r="A825" s="39">
        <f>IF($B825="","",COUNTA($B$4:$B825))</f>
        <v/>
      </c>
      <c r="B825" s="45" t="n"/>
      <c r="C825" s="46" t="n"/>
      <c r="D825" s="46" t="n"/>
      <c r="E825" s="46" t="n"/>
      <c r="F825" s="51" t="n"/>
      <c r="G825" s="47" t="n"/>
      <c r="H825" s="47" t="n"/>
      <c r="I825" s="43">
        <f>IF($B825="","",N($G825)-N($H825))</f>
        <v/>
      </c>
    </row>
    <row r="826">
      <c r="A826" s="39">
        <f>IF($B826="","",COUNTA($B$4:$B826))</f>
        <v/>
      </c>
      <c r="B826" s="40" t="n"/>
      <c r="C826" s="41" t="n"/>
      <c r="D826" s="41" t="n"/>
      <c r="E826" s="41" t="n"/>
      <c r="F826" s="50" t="n"/>
      <c r="G826" s="42" t="n"/>
      <c r="H826" s="42" t="n"/>
      <c r="I826" s="43">
        <f>IF($B826="","",N($G826)-N($H826))</f>
        <v/>
      </c>
    </row>
    <row r="827">
      <c r="A827" s="39">
        <f>IF($B827="","",COUNTA($B$4:$B827))</f>
        <v/>
      </c>
      <c r="B827" s="45" t="n"/>
      <c r="C827" s="46" t="n"/>
      <c r="D827" s="46" t="n"/>
      <c r="E827" s="46" t="n"/>
      <c r="F827" s="51" t="n"/>
      <c r="G827" s="47" t="n"/>
      <c r="H827" s="47" t="n"/>
      <c r="I827" s="43">
        <f>IF($B827="","",N($G827)-N($H827))</f>
        <v/>
      </c>
    </row>
    <row r="828">
      <c r="A828" s="39">
        <f>IF($B828="","",COUNTA($B$4:$B828))</f>
        <v/>
      </c>
      <c r="B828" s="40" t="n"/>
      <c r="C828" s="41" t="n"/>
      <c r="D828" s="41" t="n"/>
      <c r="E828" s="41" t="n"/>
      <c r="F828" s="50" t="n"/>
      <c r="G828" s="42" t="n"/>
      <c r="H828" s="42" t="n"/>
      <c r="I828" s="43">
        <f>IF($B828="","",N($G828)-N($H828))</f>
        <v/>
      </c>
    </row>
    <row r="829">
      <c r="A829" s="39">
        <f>IF($B829="","",COUNTA($B$4:$B829))</f>
        <v/>
      </c>
      <c r="B829" s="45" t="n"/>
      <c r="C829" s="46" t="n"/>
      <c r="D829" s="46" t="n"/>
      <c r="E829" s="46" t="n"/>
      <c r="F829" s="51" t="n"/>
      <c r="G829" s="47" t="n"/>
      <c r="H829" s="47" t="n"/>
      <c r="I829" s="43">
        <f>IF($B829="","",N($G829)-N($H829))</f>
        <v/>
      </c>
    </row>
    <row r="830">
      <c r="A830" s="39">
        <f>IF($B830="","",COUNTA($B$4:$B830))</f>
        <v/>
      </c>
      <c r="B830" s="40" t="n"/>
      <c r="C830" s="41" t="n"/>
      <c r="D830" s="41" t="n"/>
      <c r="E830" s="41" t="n"/>
      <c r="F830" s="50" t="n"/>
      <c r="G830" s="42" t="n"/>
      <c r="H830" s="42" t="n"/>
      <c r="I830" s="43">
        <f>IF($B830="","",N($G830)-N($H830))</f>
        <v/>
      </c>
    </row>
    <row r="831">
      <c r="A831" s="39">
        <f>IF($B831="","",COUNTA($B$4:$B831))</f>
        <v/>
      </c>
      <c r="B831" s="45" t="n"/>
      <c r="C831" s="46" t="n"/>
      <c r="D831" s="46" t="n"/>
      <c r="E831" s="46" t="n"/>
      <c r="F831" s="51" t="n"/>
      <c r="G831" s="47" t="n"/>
      <c r="H831" s="47" t="n"/>
      <c r="I831" s="43">
        <f>IF($B831="","",N($G831)-N($H831))</f>
        <v/>
      </c>
    </row>
    <row r="832">
      <c r="A832" s="39">
        <f>IF($B832="","",COUNTA($B$4:$B832))</f>
        <v/>
      </c>
      <c r="B832" s="40" t="n"/>
      <c r="C832" s="41" t="n"/>
      <c r="D832" s="41" t="n"/>
      <c r="E832" s="41" t="n"/>
      <c r="F832" s="50" t="n"/>
      <c r="G832" s="42" t="n"/>
      <c r="H832" s="42" t="n"/>
      <c r="I832" s="43">
        <f>IF($B832="","",N($G832)-N($H832))</f>
        <v/>
      </c>
    </row>
    <row r="833">
      <c r="A833" s="39">
        <f>IF($B833="","",COUNTA($B$4:$B833))</f>
        <v/>
      </c>
      <c r="B833" s="45" t="n"/>
      <c r="C833" s="46" t="n"/>
      <c r="D833" s="46" t="n"/>
      <c r="E833" s="46" t="n"/>
      <c r="F833" s="51" t="n"/>
      <c r="G833" s="47" t="n"/>
      <c r="H833" s="47" t="n"/>
      <c r="I833" s="43">
        <f>IF($B833="","",N($G833)-N($H833))</f>
        <v/>
      </c>
    </row>
    <row r="834">
      <c r="A834" s="39">
        <f>IF($B834="","",COUNTA($B$4:$B834))</f>
        <v/>
      </c>
      <c r="B834" s="40" t="n"/>
      <c r="C834" s="41" t="n"/>
      <c r="D834" s="41" t="n"/>
      <c r="E834" s="41" t="n"/>
      <c r="F834" s="50" t="n"/>
      <c r="G834" s="42" t="n"/>
      <c r="H834" s="42" t="n"/>
      <c r="I834" s="43">
        <f>IF($B834="","",N($G834)-N($H834))</f>
        <v/>
      </c>
    </row>
    <row r="835">
      <c r="A835" s="39">
        <f>IF($B835="","",COUNTA($B$4:$B835))</f>
        <v/>
      </c>
      <c r="B835" s="45" t="n"/>
      <c r="C835" s="46" t="n"/>
      <c r="D835" s="46" t="n"/>
      <c r="E835" s="46" t="n"/>
      <c r="F835" s="51" t="n"/>
      <c r="G835" s="47" t="n"/>
      <c r="H835" s="47" t="n"/>
      <c r="I835" s="43">
        <f>IF($B835="","",N($G835)-N($H835))</f>
        <v/>
      </c>
    </row>
    <row r="836">
      <c r="A836" s="39">
        <f>IF($B836="","",COUNTA($B$4:$B836))</f>
        <v/>
      </c>
      <c r="B836" s="40" t="n"/>
      <c r="C836" s="41" t="n"/>
      <c r="D836" s="41" t="n"/>
      <c r="E836" s="41" t="n"/>
      <c r="F836" s="50" t="n"/>
      <c r="G836" s="42" t="n"/>
      <c r="H836" s="42" t="n"/>
      <c r="I836" s="43">
        <f>IF($B836="","",N($G836)-N($H836))</f>
        <v/>
      </c>
    </row>
    <row r="837">
      <c r="A837" s="39">
        <f>IF($B837="","",COUNTA($B$4:$B837))</f>
        <v/>
      </c>
      <c r="B837" s="45" t="n"/>
      <c r="C837" s="46" t="n"/>
      <c r="D837" s="46" t="n"/>
      <c r="E837" s="46" t="n"/>
      <c r="F837" s="51" t="n"/>
      <c r="G837" s="47" t="n"/>
      <c r="H837" s="47" t="n"/>
      <c r="I837" s="43">
        <f>IF($B837="","",N($G837)-N($H837))</f>
        <v/>
      </c>
    </row>
    <row r="838">
      <c r="A838" s="39">
        <f>IF($B838="","",COUNTA($B$4:$B838))</f>
        <v/>
      </c>
      <c r="B838" s="40" t="n"/>
      <c r="C838" s="41" t="n"/>
      <c r="D838" s="41" t="n"/>
      <c r="E838" s="41" t="n"/>
      <c r="F838" s="50" t="n"/>
      <c r="G838" s="42" t="n"/>
      <c r="H838" s="42" t="n"/>
      <c r="I838" s="43">
        <f>IF($B838="","",N($G838)-N($H838))</f>
        <v/>
      </c>
    </row>
    <row r="839">
      <c r="A839" s="39">
        <f>IF($B839="","",COUNTA($B$4:$B839))</f>
        <v/>
      </c>
      <c r="B839" s="45" t="n"/>
      <c r="C839" s="46" t="n"/>
      <c r="D839" s="46" t="n"/>
      <c r="E839" s="46" t="n"/>
      <c r="F839" s="51" t="n"/>
      <c r="G839" s="47" t="n"/>
      <c r="H839" s="47" t="n"/>
      <c r="I839" s="43">
        <f>IF($B839="","",N($G839)-N($H839))</f>
        <v/>
      </c>
    </row>
    <row r="840">
      <c r="A840" s="39">
        <f>IF($B840="","",COUNTA($B$4:$B840))</f>
        <v/>
      </c>
      <c r="B840" s="40" t="n"/>
      <c r="C840" s="41" t="n"/>
      <c r="D840" s="41" t="n"/>
      <c r="E840" s="41" t="n"/>
      <c r="F840" s="50" t="n"/>
      <c r="G840" s="42" t="n"/>
      <c r="H840" s="42" t="n"/>
      <c r="I840" s="43">
        <f>IF($B840="","",N($G840)-N($H840))</f>
        <v/>
      </c>
    </row>
    <row r="841">
      <c r="A841" s="39">
        <f>IF($B841="","",COUNTA($B$4:$B841))</f>
        <v/>
      </c>
      <c r="B841" s="45" t="n"/>
      <c r="C841" s="46" t="n"/>
      <c r="D841" s="46" t="n"/>
      <c r="E841" s="46" t="n"/>
      <c r="F841" s="51" t="n"/>
      <c r="G841" s="47" t="n"/>
      <c r="H841" s="47" t="n"/>
      <c r="I841" s="43">
        <f>IF($B841="","",N($G841)-N($H841))</f>
        <v/>
      </c>
    </row>
    <row r="842">
      <c r="A842" s="39">
        <f>IF($B842="","",COUNTA($B$4:$B842))</f>
        <v/>
      </c>
      <c r="B842" s="40" t="n"/>
      <c r="C842" s="41" t="n"/>
      <c r="D842" s="41" t="n"/>
      <c r="E842" s="41" t="n"/>
      <c r="F842" s="50" t="n"/>
      <c r="G842" s="42" t="n"/>
      <c r="H842" s="42" t="n"/>
      <c r="I842" s="43">
        <f>IF($B842="","",N($G842)-N($H842))</f>
        <v/>
      </c>
    </row>
    <row r="843">
      <c r="A843" s="39">
        <f>IF($B843="","",COUNTA($B$4:$B843))</f>
        <v/>
      </c>
      <c r="B843" s="45" t="n"/>
      <c r="C843" s="46" t="n"/>
      <c r="D843" s="46" t="n"/>
      <c r="E843" s="46" t="n"/>
      <c r="F843" s="51" t="n"/>
      <c r="G843" s="47" t="n"/>
      <c r="H843" s="47" t="n"/>
      <c r="I843" s="43">
        <f>IF($B843="","",N($G843)-N($H843))</f>
        <v/>
      </c>
    </row>
    <row r="844">
      <c r="A844" s="39">
        <f>IF($B844="","",COUNTA($B$4:$B844))</f>
        <v/>
      </c>
      <c r="B844" s="40" t="n"/>
      <c r="C844" s="41" t="n"/>
      <c r="D844" s="41" t="n"/>
      <c r="E844" s="41" t="n"/>
      <c r="F844" s="50" t="n"/>
      <c r="G844" s="42" t="n"/>
      <c r="H844" s="42" t="n"/>
      <c r="I844" s="43">
        <f>IF($B844="","",N($G844)-N($H844))</f>
        <v/>
      </c>
    </row>
    <row r="845">
      <c r="A845" s="39">
        <f>IF($B845="","",COUNTA($B$4:$B845))</f>
        <v/>
      </c>
      <c r="B845" s="45" t="n"/>
      <c r="C845" s="46" t="n"/>
      <c r="D845" s="46" t="n"/>
      <c r="E845" s="46" t="n"/>
      <c r="F845" s="51" t="n"/>
      <c r="G845" s="47" t="n"/>
      <c r="H845" s="47" t="n"/>
      <c r="I845" s="43">
        <f>IF($B845="","",N($G845)-N($H845))</f>
        <v/>
      </c>
    </row>
    <row r="846">
      <c r="A846" s="39">
        <f>IF($B846="","",COUNTA($B$4:$B846))</f>
        <v/>
      </c>
      <c r="B846" s="40" t="n"/>
      <c r="C846" s="41" t="n"/>
      <c r="D846" s="41" t="n"/>
      <c r="E846" s="41" t="n"/>
      <c r="F846" s="50" t="n"/>
      <c r="G846" s="42" t="n"/>
      <c r="H846" s="42" t="n"/>
      <c r="I846" s="43">
        <f>IF($B846="","",N($G846)-N($H846))</f>
        <v/>
      </c>
    </row>
    <row r="847">
      <c r="A847" s="39">
        <f>IF($B847="","",COUNTA($B$4:$B847))</f>
        <v/>
      </c>
      <c r="B847" s="45" t="n"/>
      <c r="C847" s="46" t="n"/>
      <c r="D847" s="46" t="n"/>
      <c r="E847" s="46" t="n"/>
      <c r="F847" s="51" t="n"/>
      <c r="G847" s="47" t="n"/>
      <c r="H847" s="47" t="n"/>
      <c r="I847" s="43">
        <f>IF($B847="","",N($G847)-N($H847))</f>
        <v/>
      </c>
    </row>
    <row r="848">
      <c r="A848" s="39">
        <f>IF($B848="","",COUNTA($B$4:$B848))</f>
        <v/>
      </c>
      <c r="B848" s="40" t="n"/>
      <c r="C848" s="41" t="n"/>
      <c r="D848" s="41" t="n"/>
      <c r="E848" s="41" t="n"/>
      <c r="F848" s="50" t="n"/>
      <c r="G848" s="42" t="n"/>
      <c r="H848" s="42" t="n"/>
      <c r="I848" s="43">
        <f>IF($B848="","",N($G848)-N($H848))</f>
        <v/>
      </c>
    </row>
    <row r="849">
      <c r="A849" s="39">
        <f>IF($B849="","",COUNTA($B$4:$B849))</f>
        <v/>
      </c>
      <c r="B849" s="45" t="n"/>
      <c r="C849" s="46" t="n"/>
      <c r="D849" s="46" t="n"/>
      <c r="E849" s="46" t="n"/>
      <c r="F849" s="51" t="n"/>
      <c r="G849" s="47" t="n"/>
      <c r="H849" s="47" t="n"/>
      <c r="I849" s="43">
        <f>IF($B849="","",N($G849)-N($H849))</f>
        <v/>
      </c>
    </row>
    <row r="850">
      <c r="A850" s="39">
        <f>IF($B850="","",COUNTA($B$4:$B850))</f>
        <v/>
      </c>
      <c r="B850" s="40" t="n"/>
      <c r="C850" s="41" t="n"/>
      <c r="D850" s="41" t="n"/>
      <c r="E850" s="41" t="n"/>
      <c r="F850" s="50" t="n"/>
      <c r="G850" s="42" t="n"/>
      <c r="H850" s="42" t="n"/>
      <c r="I850" s="43">
        <f>IF($B850="","",N($G850)-N($H850))</f>
        <v/>
      </c>
    </row>
    <row r="851">
      <c r="A851" s="39">
        <f>IF($B851="","",COUNTA($B$4:$B851))</f>
        <v/>
      </c>
      <c r="B851" s="45" t="n"/>
      <c r="C851" s="46" t="n"/>
      <c r="D851" s="46" t="n"/>
      <c r="E851" s="46" t="n"/>
      <c r="F851" s="51" t="n"/>
      <c r="G851" s="47" t="n"/>
      <c r="H851" s="47" t="n"/>
      <c r="I851" s="43">
        <f>IF($B851="","",N($G851)-N($H851))</f>
        <v/>
      </c>
    </row>
    <row r="852">
      <c r="A852" s="39">
        <f>IF($B852="","",COUNTA($B$4:$B852))</f>
        <v/>
      </c>
      <c r="B852" s="40" t="n"/>
      <c r="C852" s="41" t="n"/>
      <c r="D852" s="41" t="n"/>
      <c r="E852" s="41" t="n"/>
      <c r="F852" s="50" t="n"/>
      <c r="G852" s="42" t="n"/>
      <c r="H852" s="42" t="n"/>
      <c r="I852" s="43">
        <f>IF($B852="","",N($G852)-N($H852))</f>
        <v/>
      </c>
    </row>
    <row r="853">
      <c r="A853" s="39">
        <f>IF($B853="","",COUNTA($B$4:$B853))</f>
        <v/>
      </c>
      <c r="B853" s="45" t="n"/>
      <c r="C853" s="46" t="n"/>
      <c r="D853" s="46" t="n"/>
      <c r="E853" s="46" t="n"/>
      <c r="F853" s="51" t="n"/>
      <c r="G853" s="47" t="n"/>
      <c r="H853" s="47" t="n"/>
      <c r="I853" s="43">
        <f>IF($B853="","",N($G853)-N($H853))</f>
        <v/>
      </c>
    </row>
    <row r="854">
      <c r="A854" s="39">
        <f>IF($B854="","",COUNTA($B$4:$B854))</f>
        <v/>
      </c>
      <c r="B854" s="40" t="n"/>
      <c r="C854" s="41" t="n"/>
      <c r="D854" s="41" t="n"/>
      <c r="E854" s="41" t="n"/>
      <c r="F854" s="50" t="n"/>
      <c r="G854" s="42" t="n"/>
      <c r="H854" s="42" t="n"/>
      <c r="I854" s="43">
        <f>IF($B854="","",N($G854)-N($H854))</f>
        <v/>
      </c>
    </row>
    <row r="855">
      <c r="A855" s="39">
        <f>IF($B855="","",COUNTA($B$4:$B855))</f>
        <v/>
      </c>
      <c r="B855" s="45" t="n"/>
      <c r="C855" s="46" t="n"/>
      <c r="D855" s="46" t="n"/>
      <c r="E855" s="46" t="n"/>
      <c r="F855" s="51" t="n"/>
      <c r="G855" s="47" t="n"/>
      <c r="H855" s="47" t="n"/>
      <c r="I855" s="43">
        <f>IF($B855="","",N($G855)-N($H855))</f>
        <v/>
      </c>
    </row>
    <row r="856">
      <c r="A856" s="39">
        <f>IF($B856="","",COUNTA($B$4:$B856))</f>
        <v/>
      </c>
      <c r="B856" s="40" t="n"/>
      <c r="C856" s="41" t="n"/>
      <c r="D856" s="41" t="n"/>
      <c r="E856" s="41" t="n"/>
      <c r="F856" s="50" t="n"/>
      <c r="G856" s="42" t="n"/>
      <c r="H856" s="42" t="n"/>
      <c r="I856" s="43">
        <f>IF($B856="","",N($G856)-N($H856))</f>
        <v/>
      </c>
    </row>
    <row r="857">
      <c r="A857" s="39">
        <f>IF($B857="","",COUNTA($B$4:$B857))</f>
        <v/>
      </c>
      <c r="B857" s="45" t="n"/>
      <c r="C857" s="46" t="n"/>
      <c r="D857" s="46" t="n"/>
      <c r="E857" s="46" t="n"/>
      <c r="F857" s="51" t="n"/>
      <c r="G857" s="47" t="n"/>
      <c r="H857" s="47" t="n"/>
      <c r="I857" s="43">
        <f>IF($B857="","",N($G857)-N($H857))</f>
        <v/>
      </c>
    </row>
    <row r="858">
      <c r="A858" s="39">
        <f>IF($B858="","",COUNTA($B$4:$B858))</f>
        <v/>
      </c>
      <c r="B858" s="40" t="n"/>
      <c r="C858" s="41" t="n"/>
      <c r="D858" s="41" t="n"/>
      <c r="E858" s="41" t="n"/>
      <c r="F858" s="50" t="n"/>
      <c r="G858" s="42" t="n"/>
      <c r="H858" s="42" t="n"/>
      <c r="I858" s="43">
        <f>IF($B858="","",N($G858)-N($H858))</f>
        <v/>
      </c>
    </row>
    <row r="859">
      <c r="A859" s="39">
        <f>IF($B859="","",COUNTA($B$4:$B859))</f>
        <v/>
      </c>
      <c r="B859" s="45" t="n"/>
      <c r="C859" s="46" t="n"/>
      <c r="D859" s="46" t="n"/>
      <c r="E859" s="46" t="n"/>
      <c r="F859" s="51" t="n"/>
      <c r="G859" s="47" t="n"/>
      <c r="H859" s="47" t="n"/>
      <c r="I859" s="43">
        <f>IF($B859="","",N($G859)-N($H859))</f>
        <v/>
      </c>
    </row>
    <row r="860">
      <c r="A860" s="39">
        <f>IF($B860="","",COUNTA($B$4:$B860))</f>
        <v/>
      </c>
      <c r="B860" s="40" t="n"/>
      <c r="C860" s="41" t="n"/>
      <c r="D860" s="41" t="n"/>
      <c r="E860" s="41" t="n"/>
      <c r="F860" s="50" t="n"/>
      <c r="G860" s="42" t="n"/>
      <c r="H860" s="42" t="n"/>
      <c r="I860" s="43">
        <f>IF($B860="","",N($G860)-N($H860))</f>
        <v/>
      </c>
    </row>
    <row r="861">
      <c r="A861" s="39">
        <f>IF($B861="","",COUNTA($B$4:$B861))</f>
        <v/>
      </c>
      <c r="B861" s="45" t="n"/>
      <c r="C861" s="46" t="n"/>
      <c r="D861" s="46" t="n"/>
      <c r="E861" s="46" t="n"/>
      <c r="F861" s="51" t="n"/>
      <c r="G861" s="47" t="n"/>
      <c r="H861" s="47" t="n"/>
      <c r="I861" s="43">
        <f>IF($B861="","",N($G861)-N($H861))</f>
        <v/>
      </c>
    </row>
    <row r="862">
      <c r="A862" s="39">
        <f>IF($B862="","",COUNTA($B$4:$B862))</f>
        <v/>
      </c>
      <c r="B862" s="40" t="n"/>
      <c r="C862" s="41" t="n"/>
      <c r="D862" s="41" t="n"/>
      <c r="E862" s="41" t="n"/>
      <c r="F862" s="50" t="n"/>
      <c r="G862" s="42" t="n"/>
      <c r="H862" s="42" t="n"/>
      <c r="I862" s="43">
        <f>IF($B862="","",N($G862)-N($H862))</f>
        <v/>
      </c>
    </row>
    <row r="863">
      <c r="A863" s="39">
        <f>IF($B863="","",COUNTA($B$4:$B863))</f>
        <v/>
      </c>
      <c r="B863" s="45" t="n"/>
      <c r="C863" s="46" t="n"/>
      <c r="D863" s="46" t="n"/>
      <c r="E863" s="46" t="n"/>
      <c r="F863" s="51" t="n"/>
      <c r="G863" s="47" t="n"/>
      <c r="H863" s="47" t="n"/>
      <c r="I863" s="43">
        <f>IF($B863="","",N($G863)-N($H863))</f>
        <v/>
      </c>
    </row>
    <row r="864">
      <c r="A864" s="39">
        <f>IF($B864="","",COUNTA($B$4:$B864))</f>
        <v/>
      </c>
      <c r="B864" s="40" t="n"/>
      <c r="C864" s="41" t="n"/>
      <c r="D864" s="41" t="n"/>
      <c r="E864" s="41" t="n"/>
      <c r="F864" s="50" t="n"/>
      <c r="G864" s="42" t="n"/>
      <c r="H864" s="42" t="n"/>
      <c r="I864" s="43">
        <f>IF($B864="","",N($G864)-N($H864))</f>
        <v/>
      </c>
    </row>
    <row r="865">
      <c r="A865" s="39">
        <f>IF($B865="","",COUNTA($B$4:$B865))</f>
        <v/>
      </c>
      <c r="B865" s="45" t="n"/>
      <c r="C865" s="46" t="n"/>
      <c r="D865" s="46" t="n"/>
      <c r="E865" s="46" t="n"/>
      <c r="F865" s="51" t="n"/>
      <c r="G865" s="47" t="n"/>
      <c r="H865" s="47" t="n"/>
      <c r="I865" s="43">
        <f>IF($B865="","",N($G865)-N($H865))</f>
        <v/>
      </c>
    </row>
    <row r="866">
      <c r="A866" s="39">
        <f>IF($B866="","",COUNTA($B$4:$B866))</f>
        <v/>
      </c>
      <c r="B866" s="40" t="n"/>
      <c r="C866" s="41" t="n"/>
      <c r="D866" s="41" t="n"/>
      <c r="E866" s="41" t="n"/>
      <c r="F866" s="50" t="n"/>
      <c r="G866" s="42" t="n"/>
      <c r="H866" s="42" t="n"/>
      <c r="I866" s="43">
        <f>IF($B866="","",N($G866)-N($H866))</f>
        <v/>
      </c>
    </row>
    <row r="867">
      <c r="A867" s="39">
        <f>IF($B867="","",COUNTA($B$4:$B867))</f>
        <v/>
      </c>
      <c r="B867" s="45" t="n"/>
      <c r="C867" s="46" t="n"/>
      <c r="D867" s="46" t="n"/>
      <c r="E867" s="46" t="n"/>
      <c r="F867" s="51" t="n"/>
      <c r="G867" s="47" t="n"/>
      <c r="H867" s="47" t="n"/>
      <c r="I867" s="43">
        <f>IF($B867="","",N($G867)-N($H867))</f>
        <v/>
      </c>
    </row>
    <row r="868">
      <c r="A868" s="39">
        <f>IF($B868="","",COUNTA($B$4:$B868))</f>
        <v/>
      </c>
      <c r="B868" s="40" t="n"/>
      <c r="C868" s="41" t="n"/>
      <c r="D868" s="41" t="n"/>
      <c r="E868" s="41" t="n"/>
      <c r="F868" s="50" t="n"/>
      <c r="G868" s="42" t="n"/>
      <c r="H868" s="42" t="n"/>
      <c r="I868" s="43">
        <f>IF($B868="","",N($G868)-N($H868))</f>
        <v/>
      </c>
    </row>
    <row r="869">
      <c r="A869" s="39">
        <f>IF($B869="","",COUNTA($B$4:$B869))</f>
        <v/>
      </c>
      <c r="B869" s="45" t="n"/>
      <c r="C869" s="46" t="n"/>
      <c r="D869" s="46" t="n"/>
      <c r="E869" s="46" t="n"/>
      <c r="F869" s="51" t="n"/>
      <c r="G869" s="47" t="n"/>
      <c r="H869" s="47" t="n"/>
      <c r="I869" s="43">
        <f>IF($B869="","",N($G869)-N($H869))</f>
        <v/>
      </c>
    </row>
    <row r="870">
      <c r="A870" s="39">
        <f>IF($B870="","",COUNTA($B$4:$B870))</f>
        <v/>
      </c>
      <c r="B870" s="40" t="n"/>
      <c r="C870" s="41" t="n"/>
      <c r="D870" s="41" t="n"/>
      <c r="E870" s="41" t="n"/>
      <c r="F870" s="50" t="n"/>
      <c r="G870" s="42" t="n"/>
      <c r="H870" s="42" t="n"/>
      <c r="I870" s="43">
        <f>IF($B870="","",N($G870)-N($H870))</f>
        <v/>
      </c>
    </row>
    <row r="871">
      <c r="A871" s="39">
        <f>IF($B871="","",COUNTA($B$4:$B871))</f>
        <v/>
      </c>
      <c r="B871" s="45" t="n"/>
      <c r="C871" s="46" t="n"/>
      <c r="D871" s="46" t="n"/>
      <c r="E871" s="46" t="n"/>
      <c r="F871" s="51" t="n"/>
      <c r="G871" s="47" t="n"/>
      <c r="H871" s="47" t="n"/>
      <c r="I871" s="43">
        <f>IF($B871="","",N($G871)-N($H871))</f>
        <v/>
      </c>
    </row>
    <row r="872">
      <c r="A872" s="39">
        <f>IF($B872="","",COUNTA($B$4:$B872))</f>
        <v/>
      </c>
      <c r="B872" s="40" t="n"/>
      <c r="C872" s="41" t="n"/>
      <c r="D872" s="41" t="n"/>
      <c r="E872" s="41" t="n"/>
      <c r="F872" s="50" t="n"/>
      <c r="G872" s="42" t="n"/>
      <c r="H872" s="42" t="n"/>
      <c r="I872" s="43">
        <f>IF($B872="","",N($G872)-N($H872))</f>
        <v/>
      </c>
    </row>
    <row r="873">
      <c r="A873" s="39">
        <f>IF($B873="","",COUNTA($B$4:$B873))</f>
        <v/>
      </c>
      <c r="B873" s="45" t="n"/>
      <c r="C873" s="46" t="n"/>
      <c r="D873" s="46" t="n"/>
      <c r="E873" s="46" t="n"/>
      <c r="F873" s="51" t="n"/>
      <c r="G873" s="47" t="n"/>
      <c r="H873" s="47" t="n"/>
      <c r="I873" s="43">
        <f>IF($B873="","",N($G873)-N($H873))</f>
        <v/>
      </c>
    </row>
    <row r="874">
      <c r="A874" s="39">
        <f>IF($B874="","",COUNTA($B$4:$B874))</f>
        <v/>
      </c>
      <c r="B874" s="40" t="n"/>
      <c r="C874" s="41" t="n"/>
      <c r="D874" s="41" t="n"/>
      <c r="E874" s="41" t="n"/>
      <c r="F874" s="50" t="n"/>
      <c r="G874" s="42" t="n"/>
      <c r="H874" s="42" t="n"/>
      <c r="I874" s="43">
        <f>IF($B874="","",N($G874)-N($H874))</f>
        <v/>
      </c>
    </row>
    <row r="875">
      <c r="A875" s="39">
        <f>IF($B875="","",COUNTA($B$4:$B875))</f>
        <v/>
      </c>
      <c r="B875" s="45" t="n"/>
      <c r="C875" s="46" t="n"/>
      <c r="D875" s="46" t="n"/>
      <c r="E875" s="46" t="n"/>
      <c r="F875" s="51" t="n"/>
      <c r="G875" s="47" t="n"/>
      <c r="H875" s="47" t="n"/>
      <c r="I875" s="43">
        <f>IF($B875="","",N($G875)-N($H875))</f>
        <v/>
      </c>
    </row>
    <row r="876">
      <c r="A876" s="39">
        <f>IF($B876="","",COUNTA($B$4:$B876))</f>
        <v/>
      </c>
      <c r="B876" s="40" t="n"/>
      <c r="C876" s="41" t="n"/>
      <c r="D876" s="41" t="n"/>
      <c r="E876" s="41" t="n"/>
      <c r="F876" s="50" t="n"/>
      <c r="G876" s="42" t="n"/>
      <c r="H876" s="42" t="n"/>
      <c r="I876" s="43">
        <f>IF($B876="","",N($G876)-N($H876))</f>
        <v/>
      </c>
    </row>
    <row r="877">
      <c r="A877" s="39">
        <f>IF($B877="","",COUNTA($B$4:$B877))</f>
        <v/>
      </c>
      <c r="B877" s="45" t="n"/>
      <c r="C877" s="46" t="n"/>
      <c r="D877" s="46" t="n"/>
      <c r="E877" s="46" t="n"/>
      <c r="F877" s="51" t="n"/>
      <c r="G877" s="47" t="n"/>
      <c r="H877" s="47" t="n"/>
      <c r="I877" s="43">
        <f>IF($B877="","",N($G877)-N($H877))</f>
        <v/>
      </c>
    </row>
    <row r="878">
      <c r="A878" s="39">
        <f>IF($B878="","",COUNTA($B$4:$B878))</f>
        <v/>
      </c>
      <c r="B878" s="40" t="n"/>
      <c r="C878" s="41" t="n"/>
      <c r="D878" s="41" t="n"/>
      <c r="E878" s="41" t="n"/>
      <c r="F878" s="50" t="n"/>
      <c r="G878" s="42" t="n"/>
      <c r="H878" s="42" t="n"/>
      <c r="I878" s="43">
        <f>IF($B878="","",N($G878)-N($H878))</f>
        <v/>
      </c>
    </row>
    <row r="879">
      <c r="A879" s="39">
        <f>IF($B879="","",COUNTA($B$4:$B879))</f>
        <v/>
      </c>
      <c r="B879" s="45" t="n"/>
      <c r="C879" s="46" t="n"/>
      <c r="D879" s="46" t="n"/>
      <c r="E879" s="46" t="n"/>
      <c r="F879" s="51" t="n"/>
      <c r="G879" s="47" t="n"/>
      <c r="H879" s="47" t="n"/>
      <c r="I879" s="43">
        <f>IF($B879="","",N($G879)-N($H879))</f>
        <v/>
      </c>
    </row>
    <row r="880">
      <c r="A880" s="39">
        <f>IF($B880="","",COUNTA($B$4:$B880))</f>
        <v/>
      </c>
      <c r="B880" s="40" t="n"/>
      <c r="C880" s="41" t="n"/>
      <c r="D880" s="41" t="n"/>
      <c r="E880" s="41" t="n"/>
      <c r="F880" s="50" t="n"/>
      <c r="G880" s="42" t="n"/>
      <c r="H880" s="42" t="n"/>
      <c r="I880" s="43">
        <f>IF($B880="","",N($G880)-N($H880))</f>
        <v/>
      </c>
    </row>
    <row r="881">
      <c r="A881" s="39">
        <f>IF($B881="","",COUNTA($B$4:$B881))</f>
        <v/>
      </c>
      <c r="B881" s="45" t="n"/>
      <c r="C881" s="46" t="n"/>
      <c r="D881" s="46" t="n"/>
      <c r="E881" s="46" t="n"/>
      <c r="F881" s="51" t="n"/>
      <c r="G881" s="47" t="n"/>
      <c r="H881" s="47" t="n"/>
      <c r="I881" s="43">
        <f>IF($B881="","",N($G881)-N($H881))</f>
        <v/>
      </c>
    </row>
    <row r="882">
      <c r="A882" s="39">
        <f>IF($B882="","",COUNTA($B$4:$B882))</f>
        <v/>
      </c>
      <c r="B882" s="40" t="n"/>
      <c r="C882" s="41" t="n"/>
      <c r="D882" s="41" t="n"/>
      <c r="E882" s="41" t="n"/>
      <c r="F882" s="50" t="n"/>
      <c r="G882" s="42" t="n"/>
      <c r="H882" s="42" t="n"/>
      <c r="I882" s="43">
        <f>IF($B882="","",N($G882)-N($H882))</f>
        <v/>
      </c>
    </row>
    <row r="883">
      <c r="A883" s="39">
        <f>IF($B883="","",COUNTA($B$4:$B883))</f>
        <v/>
      </c>
      <c r="B883" s="45" t="n"/>
      <c r="C883" s="46" t="n"/>
      <c r="D883" s="46" t="n"/>
      <c r="E883" s="46" t="n"/>
      <c r="F883" s="51" t="n"/>
      <c r="G883" s="47" t="n"/>
      <c r="H883" s="47" t="n"/>
      <c r="I883" s="43">
        <f>IF($B883="","",N($G883)-N($H883))</f>
        <v/>
      </c>
    </row>
    <row r="884">
      <c r="A884" s="39">
        <f>IF($B884="","",COUNTA($B$4:$B884))</f>
        <v/>
      </c>
      <c r="B884" s="40" t="n"/>
      <c r="C884" s="41" t="n"/>
      <c r="D884" s="41" t="n"/>
      <c r="E884" s="41" t="n"/>
      <c r="F884" s="50" t="n"/>
      <c r="G884" s="42" t="n"/>
      <c r="H884" s="42" t="n"/>
      <c r="I884" s="43">
        <f>IF($B884="","",N($G884)-N($H884))</f>
        <v/>
      </c>
    </row>
    <row r="885">
      <c r="A885" s="39">
        <f>IF($B885="","",COUNTA($B$4:$B885))</f>
        <v/>
      </c>
      <c r="B885" s="45" t="n"/>
      <c r="C885" s="46" t="n"/>
      <c r="D885" s="46" t="n"/>
      <c r="E885" s="46" t="n"/>
      <c r="F885" s="51" t="n"/>
      <c r="G885" s="47" t="n"/>
      <c r="H885" s="47" t="n"/>
      <c r="I885" s="43">
        <f>IF($B885="","",N($G885)-N($H885))</f>
        <v/>
      </c>
    </row>
    <row r="886">
      <c r="A886" s="39">
        <f>IF($B886="","",COUNTA($B$4:$B886))</f>
        <v/>
      </c>
      <c r="B886" s="40" t="n"/>
      <c r="C886" s="41" t="n"/>
      <c r="D886" s="41" t="n"/>
      <c r="E886" s="41" t="n"/>
      <c r="F886" s="50" t="n"/>
      <c r="G886" s="42" t="n"/>
      <c r="H886" s="42" t="n"/>
      <c r="I886" s="43">
        <f>IF($B886="","",N($G886)-N($H886))</f>
        <v/>
      </c>
    </row>
    <row r="887">
      <c r="A887" s="39">
        <f>IF($B887="","",COUNTA($B$4:$B887))</f>
        <v/>
      </c>
      <c r="B887" s="45" t="n"/>
      <c r="C887" s="46" t="n"/>
      <c r="D887" s="46" t="n"/>
      <c r="E887" s="46" t="n"/>
      <c r="F887" s="51" t="n"/>
      <c r="G887" s="47" t="n"/>
      <c r="H887" s="47" t="n"/>
      <c r="I887" s="43">
        <f>IF($B887="","",N($G887)-N($H887))</f>
        <v/>
      </c>
    </row>
    <row r="888">
      <c r="A888" s="39">
        <f>IF($B888="","",COUNTA($B$4:$B888))</f>
        <v/>
      </c>
      <c r="B888" s="40" t="n"/>
      <c r="C888" s="41" t="n"/>
      <c r="D888" s="41" t="n"/>
      <c r="E888" s="41" t="n"/>
      <c r="F888" s="50" t="n"/>
      <c r="G888" s="42" t="n"/>
      <c r="H888" s="42" t="n"/>
      <c r="I888" s="43">
        <f>IF($B888="","",N($G888)-N($H888))</f>
        <v/>
      </c>
    </row>
    <row r="889">
      <c r="A889" s="39">
        <f>IF($B889="","",COUNTA($B$4:$B889))</f>
        <v/>
      </c>
      <c r="B889" s="45" t="n"/>
      <c r="C889" s="46" t="n"/>
      <c r="D889" s="46" t="n"/>
      <c r="E889" s="46" t="n"/>
      <c r="F889" s="51" t="n"/>
      <c r="G889" s="47" t="n"/>
      <c r="H889" s="47" t="n"/>
      <c r="I889" s="43">
        <f>IF($B889="","",N($G889)-N($H889))</f>
        <v/>
      </c>
    </row>
    <row r="890">
      <c r="A890" s="39">
        <f>IF($B890="","",COUNTA($B$4:$B890))</f>
        <v/>
      </c>
      <c r="B890" s="40" t="n"/>
      <c r="C890" s="41" t="n"/>
      <c r="D890" s="41" t="n"/>
      <c r="E890" s="41" t="n"/>
      <c r="F890" s="50" t="n"/>
      <c r="G890" s="42" t="n"/>
      <c r="H890" s="42" t="n"/>
      <c r="I890" s="43">
        <f>IF($B890="","",N($G890)-N($H890))</f>
        <v/>
      </c>
    </row>
    <row r="891">
      <c r="A891" s="39">
        <f>IF($B891="","",COUNTA($B$4:$B891))</f>
        <v/>
      </c>
      <c r="B891" s="45" t="n"/>
      <c r="C891" s="46" t="n"/>
      <c r="D891" s="46" t="n"/>
      <c r="E891" s="46" t="n"/>
      <c r="F891" s="51" t="n"/>
      <c r="G891" s="47" t="n"/>
      <c r="H891" s="47" t="n"/>
      <c r="I891" s="43">
        <f>IF($B891="","",N($G891)-N($H891))</f>
        <v/>
      </c>
    </row>
    <row r="892">
      <c r="A892" s="39">
        <f>IF($B892="","",COUNTA($B$4:$B892))</f>
        <v/>
      </c>
      <c r="B892" s="40" t="n"/>
      <c r="C892" s="41" t="n"/>
      <c r="D892" s="41" t="n"/>
      <c r="E892" s="41" t="n"/>
      <c r="F892" s="50" t="n"/>
      <c r="G892" s="42" t="n"/>
      <c r="H892" s="42" t="n"/>
      <c r="I892" s="43">
        <f>IF($B892="","",N($G892)-N($H892))</f>
        <v/>
      </c>
    </row>
    <row r="893">
      <c r="A893" s="39">
        <f>IF($B893="","",COUNTA($B$4:$B893))</f>
        <v/>
      </c>
      <c r="B893" s="45" t="n"/>
      <c r="C893" s="46" t="n"/>
      <c r="D893" s="46" t="n"/>
      <c r="E893" s="46" t="n"/>
      <c r="F893" s="51" t="n"/>
      <c r="G893" s="47" t="n"/>
      <c r="H893" s="47" t="n"/>
      <c r="I893" s="43">
        <f>IF($B893="","",N($G893)-N($H893))</f>
        <v/>
      </c>
    </row>
    <row r="894">
      <c r="A894" s="39">
        <f>IF($B894="","",COUNTA($B$4:$B894))</f>
        <v/>
      </c>
      <c r="B894" s="40" t="n"/>
      <c r="C894" s="41" t="n"/>
      <c r="D894" s="41" t="n"/>
      <c r="E894" s="41" t="n"/>
      <c r="F894" s="50" t="n"/>
      <c r="G894" s="42" t="n"/>
      <c r="H894" s="42" t="n"/>
      <c r="I894" s="43">
        <f>IF($B894="","",N($G894)-N($H894))</f>
        <v/>
      </c>
    </row>
    <row r="895">
      <c r="A895" s="39">
        <f>IF($B895="","",COUNTA($B$4:$B895))</f>
        <v/>
      </c>
      <c r="B895" s="45" t="n"/>
      <c r="C895" s="46" t="n"/>
      <c r="D895" s="46" t="n"/>
      <c r="E895" s="46" t="n"/>
      <c r="F895" s="51" t="n"/>
      <c r="G895" s="47" t="n"/>
      <c r="H895" s="47" t="n"/>
      <c r="I895" s="43">
        <f>IF($B895="","",N($G895)-N($H895))</f>
        <v/>
      </c>
    </row>
    <row r="896">
      <c r="A896" s="39">
        <f>IF($B896="","",COUNTA($B$4:$B896))</f>
        <v/>
      </c>
      <c r="B896" s="40" t="n"/>
      <c r="C896" s="41" t="n"/>
      <c r="D896" s="41" t="n"/>
      <c r="E896" s="41" t="n"/>
      <c r="F896" s="50" t="n"/>
      <c r="G896" s="42" t="n"/>
      <c r="H896" s="42" t="n"/>
      <c r="I896" s="43">
        <f>IF($B896="","",N($G896)-N($H896))</f>
        <v/>
      </c>
    </row>
    <row r="897">
      <c r="A897" s="39">
        <f>IF($B897="","",COUNTA($B$4:$B897))</f>
        <v/>
      </c>
      <c r="B897" s="45" t="n"/>
      <c r="C897" s="46" t="n"/>
      <c r="D897" s="46" t="n"/>
      <c r="E897" s="46" t="n"/>
      <c r="F897" s="51" t="n"/>
      <c r="G897" s="47" t="n"/>
      <c r="H897" s="47" t="n"/>
      <c r="I897" s="43">
        <f>IF($B897="","",N($G897)-N($H897))</f>
        <v/>
      </c>
    </row>
    <row r="898">
      <c r="A898" s="39">
        <f>IF($B898="","",COUNTA($B$4:$B898))</f>
        <v/>
      </c>
      <c r="B898" s="40" t="n"/>
      <c r="C898" s="41" t="n"/>
      <c r="D898" s="41" t="n"/>
      <c r="E898" s="41" t="n"/>
      <c r="F898" s="50" t="n"/>
      <c r="G898" s="42" t="n"/>
      <c r="H898" s="42" t="n"/>
      <c r="I898" s="43">
        <f>IF($B898="","",N($G898)-N($H898))</f>
        <v/>
      </c>
    </row>
    <row r="899">
      <c r="A899" s="39">
        <f>IF($B899="","",COUNTA($B$4:$B899))</f>
        <v/>
      </c>
      <c r="B899" s="45" t="n"/>
      <c r="C899" s="46" t="n"/>
      <c r="D899" s="46" t="n"/>
      <c r="E899" s="46" t="n"/>
      <c r="F899" s="51" t="n"/>
      <c r="G899" s="47" t="n"/>
      <c r="H899" s="47" t="n"/>
      <c r="I899" s="43">
        <f>IF($B899="","",N($G899)-N($H899))</f>
        <v/>
      </c>
    </row>
    <row r="900">
      <c r="A900" s="39">
        <f>IF($B900="","",COUNTA($B$4:$B900))</f>
        <v/>
      </c>
      <c r="B900" s="40" t="n"/>
      <c r="C900" s="41" t="n"/>
      <c r="D900" s="41" t="n"/>
      <c r="E900" s="41" t="n"/>
      <c r="F900" s="50" t="n"/>
      <c r="G900" s="42" t="n"/>
      <c r="H900" s="42" t="n"/>
      <c r="I900" s="43">
        <f>IF($B900="","",N($G900)-N($H900))</f>
        <v/>
      </c>
    </row>
    <row r="901">
      <c r="A901" s="39">
        <f>IF($B901="","",COUNTA($B$4:$B901))</f>
        <v/>
      </c>
      <c r="B901" s="45" t="n"/>
      <c r="C901" s="46" t="n"/>
      <c r="D901" s="46" t="n"/>
      <c r="E901" s="46" t="n"/>
      <c r="F901" s="51" t="n"/>
      <c r="G901" s="47" t="n"/>
      <c r="H901" s="47" t="n"/>
      <c r="I901" s="43">
        <f>IF($B901="","",N($G901)-N($H901))</f>
        <v/>
      </c>
    </row>
    <row r="902">
      <c r="A902" s="39">
        <f>IF($B902="","",COUNTA($B$4:$B902))</f>
        <v/>
      </c>
      <c r="B902" s="40" t="n"/>
      <c r="C902" s="41" t="n"/>
      <c r="D902" s="41" t="n"/>
      <c r="E902" s="41" t="n"/>
      <c r="F902" s="50" t="n"/>
      <c r="G902" s="42" t="n"/>
      <c r="H902" s="42" t="n"/>
      <c r="I902" s="43">
        <f>IF($B902="","",N($G902)-N($H902))</f>
        <v/>
      </c>
    </row>
    <row r="903">
      <c r="A903" s="39">
        <f>IF($B903="","",COUNTA($B$4:$B903))</f>
        <v/>
      </c>
      <c r="B903" s="45" t="n"/>
      <c r="C903" s="46" t="n"/>
      <c r="D903" s="46" t="n"/>
      <c r="E903" s="46" t="n"/>
      <c r="F903" s="51" t="n"/>
      <c r="G903" s="47" t="n"/>
      <c r="H903" s="47" t="n"/>
      <c r="I903" s="43">
        <f>IF($B903="","",N($G903)-N($H903))</f>
        <v/>
      </c>
    </row>
    <row r="904">
      <c r="A904" s="39">
        <f>IF($B904="","",COUNTA($B$4:$B904))</f>
        <v/>
      </c>
      <c r="B904" s="40" t="n"/>
      <c r="C904" s="41" t="n"/>
      <c r="D904" s="41" t="n"/>
      <c r="E904" s="41" t="n"/>
      <c r="F904" s="50" t="n"/>
      <c r="G904" s="42" t="n"/>
      <c r="H904" s="42" t="n"/>
      <c r="I904" s="43">
        <f>IF($B904="","",N($G904)-N($H904))</f>
        <v/>
      </c>
    </row>
    <row r="905">
      <c r="A905" s="39">
        <f>IF($B905="","",COUNTA($B$4:$B905))</f>
        <v/>
      </c>
      <c r="B905" s="45" t="n"/>
      <c r="C905" s="46" t="n"/>
      <c r="D905" s="46" t="n"/>
      <c r="E905" s="46" t="n"/>
      <c r="F905" s="51" t="n"/>
      <c r="G905" s="47" t="n"/>
      <c r="H905" s="47" t="n"/>
      <c r="I905" s="43">
        <f>IF($B905="","",N($G905)-N($H905))</f>
        <v/>
      </c>
    </row>
    <row r="906">
      <c r="A906" s="39">
        <f>IF($B906="","",COUNTA($B$4:$B906))</f>
        <v/>
      </c>
      <c r="B906" s="40" t="n"/>
      <c r="C906" s="41" t="n"/>
      <c r="D906" s="41" t="n"/>
      <c r="E906" s="41" t="n"/>
      <c r="F906" s="50" t="n"/>
      <c r="G906" s="42" t="n"/>
      <c r="H906" s="42" t="n"/>
      <c r="I906" s="43">
        <f>IF($B906="","",N($G906)-N($H906))</f>
        <v/>
      </c>
    </row>
    <row r="907">
      <c r="A907" s="39">
        <f>IF($B907="","",COUNTA($B$4:$B907))</f>
        <v/>
      </c>
      <c r="B907" s="45" t="n"/>
      <c r="C907" s="46" t="n"/>
      <c r="D907" s="46" t="n"/>
      <c r="E907" s="46" t="n"/>
      <c r="F907" s="51" t="n"/>
      <c r="G907" s="47" t="n"/>
      <c r="H907" s="47" t="n"/>
      <c r="I907" s="43">
        <f>IF($B907="","",N($G907)-N($H907))</f>
        <v/>
      </c>
    </row>
    <row r="908">
      <c r="A908" s="39">
        <f>IF($B908="","",COUNTA($B$4:$B908))</f>
        <v/>
      </c>
      <c r="B908" s="40" t="n"/>
      <c r="C908" s="41" t="n"/>
      <c r="D908" s="41" t="n"/>
      <c r="E908" s="41" t="n"/>
      <c r="F908" s="50" t="n"/>
      <c r="G908" s="42" t="n"/>
      <c r="H908" s="42" t="n"/>
      <c r="I908" s="43">
        <f>IF($B908="","",N($G908)-N($H908))</f>
        <v/>
      </c>
    </row>
    <row r="909">
      <c r="A909" s="39">
        <f>IF($B909="","",COUNTA($B$4:$B909))</f>
        <v/>
      </c>
      <c r="B909" s="45" t="n"/>
      <c r="C909" s="46" t="n"/>
      <c r="D909" s="46" t="n"/>
      <c r="E909" s="46" t="n"/>
      <c r="F909" s="51" t="n"/>
      <c r="G909" s="47" t="n"/>
      <c r="H909" s="47" t="n"/>
      <c r="I909" s="43">
        <f>IF($B909="","",N($G909)-N($H909))</f>
        <v/>
      </c>
    </row>
    <row r="910">
      <c r="A910" s="39">
        <f>IF($B910="","",COUNTA($B$4:$B910))</f>
        <v/>
      </c>
      <c r="B910" s="40" t="n"/>
      <c r="C910" s="41" t="n"/>
      <c r="D910" s="41" t="n"/>
      <c r="E910" s="41" t="n"/>
      <c r="F910" s="50" t="n"/>
      <c r="G910" s="42" t="n"/>
      <c r="H910" s="42" t="n"/>
      <c r="I910" s="43">
        <f>IF($B910="","",N($G910)-N($H910))</f>
        <v/>
      </c>
    </row>
    <row r="911">
      <c r="A911" s="39">
        <f>IF($B911="","",COUNTA($B$4:$B911))</f>
        <v/>
      </c>
      <c r="B911" s="45" t="n"/>
      <c r="C911" s="46" t="n"/>
      <c r="D911" s="46" t="n"/>
      <c r="E911" s="46" t="n"/>
      <c r="F911" s="51" t="n"/>
      <c r="G911" s="47" t="n"/>
      <c r="H911" s="47" t="n"/>
      <c r="I911" s="43">
        <f>IF($B911="","",N($G911)-N($H911))</f>
        <v/>
      </c>
    </row>
    <row r="912">
      <c r="A912" s="39">
        <f>IF($B912="","",COUNTA($B$4:$B912))</f>
        <v/>
      </c>
      <c r="B912" s="40" t="n"/>
      <c r="C912" s="41" t="n"/>
      <c r="D912" s="41" t="n"/>
      <c r="E912" s="41" t="n"/>
      <c r="F912" s="50" t="n"/>
      <c r="G912" s="42" t="n"/>
      <c r="H912" s="42" t="n"/>
      <c r="I912" s="43">
        <f>IF($B912="","",N($G912)-N($H912))</f>
        <v/>
      </c>
    </row>
    <row r="913">
      <c r="A913" s="39">
        <f>IF($B913="","",COUNTA($B$4:$B913))</f>
        <v/>
      </c>
      <c r="B913" s="45" t="n"/>
      <c r="C913" s="46" t="n"/>
      <c r="D913" s="46" t="n"/>
      <c r="E913" s="46" t="n"/>
      <c r="F913" s="51" t="n"/>
      <c r="G913" s="47" t="n"/>
      <c r="H913" s="47" t="n"/>
      <c r="I913" s="43">
        <f>IF($B913="","",N($G913)-N($H913))</f>
        <v/>
      </c>
    </row>
    <row r="914">
      <c r="A914" s="39">
        <f>IF($B914="","",COUNTA($B$4:$B914))</f>
        <v/>
      </c>
      <c r="B914" s="40" t="n"/>
      <c r="C914" s="41" t="n"/>
      <c r="D914" s="41" t="n"/>
      <c r="E914" s="41" t="n"/>
      <c r="F914" s="50" t="n"/>
      <c r="G914" s="42" t="n"/>
      <c r="H914" s="42" t="n"/>
      <c r="I914" s="43">
        <f>IF($B914="","",N($G914)-N($H914))</f>
        <v/>
      </c>
    </row>
    <row r="915">
      <c r="A915" s="39">
        <f>IF($B915="","",COUNTA($B$4:$B915))</f>
        <v/>
      </c>
      <c r="B915" s="45" t="n"/>
      <c r="C915" s="46" t="n"/>
      <c r="D915" s="46" t="n"/>
      <c r="E915" s="46" t="n"/>
      <c r="F915" s="51" t="n"/>
      <c r="G915" s="47" t="n"/>
      <c r="H915" s="47" t="n"/>
      <c r="I915" s="43">
        <f>IF($B915="","",N($G915)-N($H915))</f>
        <v/>
      </c>
    </row>
    <row r="916">
      <c r="A916" s="39">
        <f>IF($B916="","",COUNTA($B$4:$B916))</f>
        <v/>
      </c>
      <c r="B916" s="40" t="n"/>
      <c r="C916" s="41" t="n"/>
      <c r="D916" s="41" t="n"/>
      <c r="E916" s="41" t="n"/>
      <c r="F916" s="50" t="n"/>
      <c r="G916" s="42" t="n"/>
      <c r="H916" s="42" t="n"/>
      <c r="I916" s="43">
        <f>IF($B916="","",N($G916)-N($H916))</f>
        <v/>
      </c>
    </row>
    <row r="917">
      <c r="A917" s="39">
        <f>IF($B917="","",COUNTA($B$4:$B917))</f>
        <v/>
      </c>
      <c r="B917" s="45" t="n"/>
      <c r="C917" s="46" t="n"/>
      <c r="D917" s="46" t="n"/>
      <c r="E917" s="46" t="n"/>
      <c r="F917" s="51" t="n"/>
      <c r="G917" s="47" t="n"/>
      <c r="H917" s="47" t="n"/>
      <c r="I917" s="43">
        <f>IF($B917="","",N($G917)-N($H917))</f>
        <v/>
      </c>
    </row>
    <row r="918">
      <c r="A918" s="39">
        <f>IF($B918="","",COUNTA($B$4:$B918))</f>
        <v/>
      </c>
      <c r="B918" s="40" t="n"/>
      <c r="C918" s="41" t="n"/>
      <c r="D918" s="41" t="n"/>
      <c r="E918" s="41" t="n"/>
      <c r="F918" s="50" t="n"/>
      <c r="G918" s="42" t="n"/>
      <c r="H918" s="42" t="n"/>
      <c r="I918" s="43">
        <f>IF($B918="","",N($G918)-N($H918))</f>
        <v/>
      </c>
    </row>
    <row r="919">
      <c r="A919" s="39">
        <f>IF($B919="","",COUNTA($B$4:$B919))</f>
        <v/>
      </c>
      <c r="B919" s="45" t="n"/>
      <c r="C919" s="46" t="n"/>
      <c r="D919" s="46" t="n"/>
      <c r="E919" s="46" t="n"/>
      <c r="F919" s="51" t="n"/>
      <c r="G919" s="47" t="n"/>
      <c r="H919" s="47" t="n"/>
      <c r="I919" s="43">
        <f>IF($B919="","",N($G919)-N($H919))</f>
        <v/>
      </c>
    </row>
    <row r="920">
      <c r="A920" s="39">
        <f>IF($B920="","",COUNTA($B$4:$B920))</f>
        <v/>
      </c>
      <c r="B920" s="40" t="n"/>
      <c r="C920" s="41" t="n"/>
      <c r="D920" s="41" t="n"/>
      <c r="E920" s="41" t="n"/>
      <c r="F920" s="50" t="n"/>
      <c r="G920" s="42" t="n"/>
      <c r="H920" s="42" t="n"/>
      <c r="I920" s="43">
        <f>IF($B920="","",N($G920)-N($H920))</f>
        <v/>
      </c>
    </row>
    <row r="921">
      <c r="A921" s="39">
        <f>IF($B921="","",COUNTA($B$4:$B921))</f>
        <v/>
      </c>
      <c r="B921" s="45" t="n"/>
      <c r="C921" s="46" t="n"/>
      <c r="D921" s="46" t="n"/>
      <c r="E921" s="46" t="n"/>
      <c r="F921" s="51" t="n"/>
      <c r="G921" s="47" t="n"/>
      <c r="H921" s="47" t="n"/>
      <c r="I921" s="43">
        <f>IF($B921="","",N($G921)-N($H921))</f>
        <v/>
      </c>
    </row>
    <row r="922">
      <c r="A922" s="39">
        <f>IF($B922="","",COUNTA($B$4:$B922))</f>
        <v/>
      </c>
      <c r="B922" s="40" t="n"/>
      <c r="C922" s="41" t="n"/>
      <c r="D922" s="41" t="n"/>
      <c r="E922" s="41" t="n"/>
      <c r="F922" s="50" t="n"/>
      <c r="G922" s="42" t="n"/>
      <c r="H922" s="42" t="n"/>
      <c r="I922" s="43">
        <f>IF($B922="","",N($G922)-N($H922))</f>
        <v/>
      </c>
    </row>
    <row r="923">
      <c r="A923" s="39">
        <f>IF($B923="","",COUNTA($B$4:$B923))</f>
        <v/>
      </c>
      <c r="B923" s="45" t="n"/>
      <c r="C923" s="46" t="n"/>
      <c r="D923" s="46" t="n"/>
      <c r="E923" s="46" t="n"/>
      <c r="F923" s="51" t="n"/>
      <c r="G923" s="47" t="n"/>
      <c r="H923" s="47" t="n"/>
      <c r="I923" s="43">
        <f>IF($B923="","",N($G923)-N($H923))</f>
        <v/>
      </c>
    </row>
    <row r="924">
      <c r="A924" s="39">
        <f>IF($B924="","",COUNTA($B$4:$B924))</f>
        <v/>
      </c>
      <c r="B924" s="40" t="n"/>
      <c r="C924" s="41" t="n"/>
      <c r="D924" s="41" t="n"/>
      <c r="E924" s="41" t="n"/>
      <c r="F924" s="50" t="n"/>
      <c r="G924" s="42" t="n"/>
      <c r="H924" s="42" t="n"/>
      <c r="I924" s="43">
        <f>IF($B924="","",N($G924)-N($H924))</f>
        <v/>
      </c>
    </row>
    <row r="925">
      <c r="A925" s="39">
        <f>IF($B925="","",COUNTA($B$4:$B925))</f>
        <v/>
      </c>
      <c r="B925" s="45" t="n"/>
      <c r="C925" s="46" t="n"/>
      <c r="D925" s="46" t="n"/>
      <c r="E925" s="46" t="n"/>
      <c r="F925" s="51" t="n"/>
      <c r="G925" s="47" t="n"/>
      <c r="H925" s="47" t="n"/>
      <c r="I925" s="43">
        <f>IF($B925="","",N($G925)-N($H925))</f>
        <v/>
      </c>
    </row>
    <row r="926">
      <c r="A926" s="39">
        <f>IF($B926="","",COUNTA($B$4:$B926))</f>
        <v/>
      </c>
      <c r="B926" s="40" t="n"/>
      <c r="C926" s="41" t="n"/>
      <c r="D926" s="41" t="n"/>
      <c r="E926" s="41" t="n"/>
      <c r="F926" s="50" t="n"/>
      <c r="G926" s="42" t="n"/>
      <c r="H926" s="42" t="n"/>
      <c r="I926" s="43">
        <f>IF($B926="","",N($G926)-N($H926))</f>
        <v/>
      </c>
    </row>
    <row r="927">
      <c r="A927" s="39">
        <f>IF($B927="","",COUNTA($B$4:$B927))</f>
        <v/>
      </c>
      <c r="B927" s="45" t="n"/>
      <c r="C927" s="46" t="n"/>
      <c r="D927" s="46" t="n"/>
      <c r="E927" s="46" t="n"/>
      <c r="F927" s="51" t="n"/>
      <c r="G927" s="47" t="n"/>
      <c r="H927" s="47" t="n"/>
      <c r="I927" s="43">
        <f>IF($B927="","",N($G927)-N($H927))</f>
        <v/>
      </c>
    </row>
    <row r="928">
      <c r="A928" s="39">
        <f>IF($B928="","",COUNTA($B$4:$B928))</f>
        <v/>
      </c>
      <c r="B928" s="40" t="n"/>
      <c r="C928" s="41" t="n"/>
      <c r="D928" s="41" t="n"/>
      <c r="E928" s="41" t="n"/>
      <c r="F928" s="50" t="n"/>
      <c r="G928" s="42" t="n"/>
      <c r="H928" s="42" t="n"/>
      <c r="I928" s="43">
        <f>IF($B928="","",N($G928)-N($H928))</f>
        <v/>
      </c>
    </row>
    <row r="929">
      <c r="A929" s="39">
        <f>IF($B929="","",COUNTA($B$4:$B929))</f>
        <v/>
      </c>
      <c r="B929" s="45" t="n"/>
      <c r="C929" s="46" t="n"/>
      <c r="D929" s="46" t="n"/>
      <c r="E929" s="46" t="n"/>
      <c r="F929" s="51" t="n"/>
      <c r="G929" s="47" t="n"/>
      <c r="H929" s="47" t="n"/>
      <c r="I929" s="43">
        <f>IF($B929="","",N($G929)-N($H929))</f>
        <v/>
      </c>
    </row>
    <row r="930">
      <c r="A930" s="39">
        <f>IF($B930="","",COUNTA($B$4:$B930))</f>
        <v/>
      </c>
      <c r="B930" s="40" t="n"/>
      <c r="C930" s="41" t="n"/>
      <c r="D930" s="41" t="n"/>
      <c r="E930" s="41" t="n"/>
      <c r="F930" s="50" t="n"/>
      <c r="G930" s="42" t="n"/>
      <c r="H930" s="42" t="n"/>
      <c r="I930" s="43">
        <f>IF($B930="","",N($G930)-N($H930))</f>
        <v/>
      </c>
    </row>
    <row r="931">
      <c r="A931" s="39">
        <f>IF($B931="","",COUNTA($B$4:$B931))</f>
        <v/>
      </c>
      <c r="B931" s="45" t="n"/>
      <c r="C931" s="46" t="n"/>
      <c r="D931" s="46" t="n"/>
      <c r="E931" s="46" t="n"/>
      <c r="F931" s="51" t="n"/>
      <c r="G931" s="47" t="n"/>
      <c r="H931" s="47" t="n"/>
      <c r="I931" s="43">
        <f>IF($B931="","",N($G931)-N($H931))</f>
        <v/>
      </c>
    </row>
    <row r="932">
      <c r="A932" s="39">
        <f>IF($B932="","",COUNTA($B$4:$B932))</f>
        <v/>
      </c>
      <c r="B932" s="40" t="n"/>
      <c r="C932" s="41" t="n"/>
      <c r="D932" s="41" t="n"/>
      <c r="E932" s="41" t="n"/>
      <c r="F932" s="50" t="n"/>
      <c r="G932" s="42" t="n"/>
      <c r="H932" s="42" t="n"/>
      <c r="I932" s="43">
        <f>IF($B932="","",N($G932)-N($H932))</f>
        <v/>
      </c>
    </row>
    <row r="933">
      <c r="A933" s="39">
        <f>IF($B933="","",COUNTA($B$4:$B933))</f>
        <v/>
      </c>
      <c r="B933" s="45" t="n"/>
      <c r="C933" s="46" t="n"/>
      <c r="D933" s="46" t="n"/>
      <c r="E933" s="46" t="n"/>
      <c r="F933" s="51" t="n"/>
      <c r="G933" s="47" t="n"/>
      <c r="H933" s="47" t="n"/>
      <c r="I933" s="43">
        <f>IF($B933="","",N($G933)-N($H933))</f>
        <v/>
      </c>
    </row>
    <row r="934">
      <c r="A934" s="39">
        <f>IF($B934="","",COUNTA($B$4:$B934))</f>
        <v/>
      </c>
      <c r="B934" s="40" t="n"/>
      <c r="C934" s="41" t="n"/>
      <c r="D934" s="41" t="n"/>
      <c r="E934" s="41" t="n"/>
      <c r="F934" s="50" t="n"/>
      <c r="G934" s="42" t="n"/>
      <c r="H934" s="42" t="n"/>
      <c r="I934" s="43">
        <f>IF($B934="","",N($G934)-N($H934))</f>
        <v/>
      </c>
    </row>
    <row r="935">
      <c r="A935" s="39">
        <f>IF($B935="","",COUNTA($B$4:$B935))</f>
        <v/>
      </c>
      <c r="B935" s="45" t="n"/>
      <c r="C935" s="46" t="n"/>
      <c r="D935" s="46" t="n"/>
      <c r="E935" s="46" t="n"/>
      <c r="F935" s="51" t="n"/>
      <c r="G935" s="47" t="n"/>
      <c r="H935" s="47" t="n"/>
      <c r="I935" s="43">
        <f>IF($B935="","",N($G935)-N($H935))</f>
        <v/>
      </c>
    </row>
    <row r="936">
      <c r="A936" s="39">
        <f>IF($B936="","",COUNTA($B$4:$B936))</f>
        <v/>
      </c>
      <c r="B936" s="40" t="n"/>
      <c r="C936" s="41" t="n"/>
      <c r="D936" s="41" t="n"/>
      <c r="E936" s="41" t="n"/>
      <c r="F936" s="50" t="n"/>
      <c r="G936" s="42" t="n"/>
      <c r="H936" s="42" t="n"/>
      <c r="I936" s="43">
        <f>IF($B936="","",N($G936)-N($H936))</f>
        <v/>
      </c>
    </row>
    <row r="937">
      <c r="A937" s="39">
        <f>IF($B937="","",COUNTA($B$4:$B937))</f>
        <v/>
      </c>
      <c r="B937" s="45" t="n"/>
      <c r="C937" s="46" t="n"/>
      <c r="D937" s="46" t="n"/>
      <c r="E937" s="46" t="n"/>
      <c r="F937" s="51" t="n"/>
      <c r="G937" s="47" t="n"/>
      <c r="H937" s="47" t="n"/>
      <c r="I937" s="43">
        <f>IF($B937="","",N($G937)-N($H937))</f>
        <v/>
      </c>
    </row>
    <row r="938">
      <c r="A938" s="39">
        <f>IF($B938="","",COUNTA($B$4:$B938))</f>
        <v/>
      </c>
      <c r="B938" s="40" t="n"/>
      <c r="C938" s="41" t="n"/>
      <c r="D938" s="41" t="n"/>
      <c r="E938" s="41" t="n"/>
      <c r="F938" s="50" t="n"/>
      <c r="G938" s="42" t="n"/>
      <c r="H938" s="42" t="n"/>
      <c r="I938" s="43">
        <f>IF($B938="","",N($G938)-N($H938))</f>
        <v/>
      </c>
    </row>
    <row r="939">
      <c r="A939" s="39">
        <f>IF($B939="","",COUNTA($B$4:$B939))</f>
        <v/>
      </c>
      <c r="B939" s="45" t="n"/>
      <c r="C939" s="46" t="n"/>
      <c r="D939" s="46" t="n"/>
      <c r="E939" s="46" t="n"/>
      <c r="F939" s="51" t="n"/>
      <c r="G939" s="47" t="n"/>
      <c r="H939" s="47" t="n"/>
      <c r="I939" s="43">
        <f>IF($B939="","",N($G939)-N($H939))</f>
        <v/>
      </c>
    </row>
    <row r="940">
      <c r="A940" s="39">
        <f>IF($B940="","",COUNTA($B$4:$B940))</f>
        <v/>
      </c>
      <c r="B940" s="40" t="n"/>
      <c r="C940" s="41" t="n"/>
      <c r="D940" s="41" t="n"/>
      <c r="E940" s="41" t="n"/>
      <c r="F940" s="50" t="n"/>
      <c r="G940" s="42" t="n"/>
      <c r="H940" s="42" t="n"/>
      <c r="I940" s="43">
        <f>IF($B940="","",N($G940)-N($H940))</f>
        <v/>
      </c>
    </row>
    <row r="941">
      <c r="A941" s="39">
        <f>IF($B941="","",COUNTA($B$4:$B941))</f>
        <v/>
      </c>
      <c r="B941" s="45" t="n"/>
      <c r="C941" s="46" t="n"/>
      <c r="D941" s="46" t="n"/>
      <c r="E941" s="46" t="n"/>
      <c r="F941" s="51" t="n"/>
      <c r="G941" s="47" t="n"/>
      <c r="H941" s="47" t="n"/>
      <c r="I941" s="43">
        <f>IF($B941="","",N($G941)-N($H941))</f>
        <v/>
      </c>
    </row>
    <row r="942">
      <c r="A942" s="39">
        <f>IF($B942="","",COUNTA($B$4:$B942))</f>
        <v/>
      </c>
      <c r="B942" s="40" t="n"/>
      <c r="C942" s="41" t="n"/>
      <c r="D942" s="41" t="n"/>
      <c r="E942" s="41" t="n"/>
      <c r="F942" s="50" t="n"/>
      <c r="G942" s="42" t="n"/>
      <c r="H942" s="42" t="n"/>
      <c r="I942" s="43">
        <f>IF($B942="","",N($G942)-N($H942))</f>
        <v/>
      </c>
    </row>
    <row r="943">
      <c r="A943" s="39">
        <f>IF($B943="","",COUNTA($B$4:$B943))</f>
        <v/>
      </c>
      <c r="B943" s="45" t="n"/>
      <c r="C943" s="46" t="n"/>
      <c r="D943" s="46" t="n"/>
      <c r="E943" s="46" t="n"/>
      <c r="F943" s="51" t="n"/>
      <c r="G943" s="47" t="n"/>
      <c r="H943" s="47" t="n"/>
      <c r="I943" s="43">
        <f>IF($B943="","",N($G943)-N($H943))</f>
        <v/>
      </c>
    </row>
    <row r="944">
      <c r="A944" s="39">
        <f>IF($B944="","",COUNTA($B$4:$B944))</f>
        <v/>
      </c>
      <c r="B944" s="40" t="n"/>
      <c r="C944" s="41" t="n"/>
      <c r="D944" s="41" t="n"/>
      <c r="E944" s="41" t="n"/>
      <c r="F944" s="50" t="n"/>
      <c r="G944" s="42" t="n"/>
      <c r="H944" s="42" t="n"/>
      <c r="I944" s="43">
        <f>IF($B944="","",N($G944)-N($H944))</f>
        <v/>
      </c>
    </row>
    <row r="945">
      <c r="A945" s="39">
        <f>IF($B945="","",COUNTA($B$4:$B945))</f>
        <v/>
      </c>
      <c r="B945" s="45" t="n"/>
      <c r="C945" s="46" t="n"/>
      <c r="D945" s="46" t="n"/>
      <c r="E945" s="46" t="n"/>
      <c r="F945" s="51" t="n"/>
      <c r="G945" s="47" t="n"/>
      <c r="H945" s="47" t="n"/>
      <c r="I945" s="43">
        <f>IF($B945="","",N($G945)-N($H945))</f>
        <v/>
      </c>
    </row>
    <row r="946">
      <c r="A946" s="39">
        <f>IF($B946="","",COUNTA($B$4:$B946))</f>
        <v/>
      </c>
      <c r="B946" s="40" t="n"/>
      <c r="C946" s="41" t="n"/>
      <c r="D946" s="41" t="n"/>
      <c r="E946" s="41" t="n"/>
      <c r="F946" s="50" t="n"/>
      <c r="G946" s="42" t="n"/>
      <c r="H946" s="42" t="n"/>
      <c r="I946" s="43">
        <f>IF($B946="","",N($G946)-N($H946))</f>
        <v/>
      </c>
    </row>
    <row r="947">
      <c r="A947" s="39">
        <f>IF($B947="","",COUNTA($B$4:$B947))</f>
        <v/>
      </c>
      <c r="B947" s="45" t="n"/>
      <c r="C947" s="46" t="n"/>
      <c r="D947" s="46" t="n"/>
      <c r="E947" s="46" t="n"/>
      <c r="F947" s="51" t="n"/>
      <c r="G947" s="47" t="n"/>
      <c r="H947" s="47" t="n"/>
      <c r="I947" s="43">
        <f>IF($B947="","",N($G947)-N($H947))</f>
        <v/>
      </c>
    </row>
    <row r="948">
      <c r="A948" s="39">
        <f>IF($B948="","",COUNTA($B$4:$B948))</f>
        <v/>
      </c>
      <c r="B948" s="40" t="n"/>
      <c r="C948" s="41" t="n"/>
      <c r="D948" s="41" t="n"/>
      <c r="E948" s="41" t="n"/>
      <c r="F948" s="50" t="n"/>
      <c r="G948" s="42" t="n"/>
      <c r="H948" s="42" t="n"/>
      <c r="I948" s="43">
        <f>IF($B948="","",N($G948)-N($H948))</f>
        <v/>
      </c>
    </row>
    <row r="949">
      <c r="A949" s="39">
        <f>IF($B949="","",COUNTA($B$4:$B949))</f>
        <v/>
      </c>
      <c r="B949" s="45" t="n"/>
      <c r="C949" s="46" t="n"/>
      <c r="D949" s="46" t="n"/>
      <c r="E949" s="46" t="n"/>
      <c r="F949" s="51" t="n"/>
      <c r="G949" s="47" t="n"/>
      <c r="H949" s="47" t="n"/>
      <c r="I949" s="43">
        <f>IF($B949="","",N($G949)-N($H949))</f>
        <v/>
      </c>
    </row>
    <row r="950">
      <c r="A950" s="39">
        <f>IF($B950="","",COUNTA($B$4:$B950))</f>
        <v/>
      </c>
      <c r="B950" s="40" t="n"/>
      <c r="C950" s="41" t="n"/>
      <c r="D950" s="41" t="n"/>
      <c r="E950" s="41" t="n"/>
      <c r="F950" s="50" t="n"/>
      <c r="G950" s="42" t="n"/>
      <c r="H950" s="42" t="n"/>
      <c r="I950" s="43">
        <f>IF($B950="","",N($G950)-N($H950))</f>
        <v/>
      </c>
    </row>
    <row r="951">
      <c r="A951" s="39">
        <f>IF($B951="","",COUNTA($B$4:$B951))</f>
        <v/>
      </c>
      <c r="B951" s="45" t="n"/>
      <c r="C951" s="46" t="n"/>
      <c r="D951" s="46" t="n"/>
      <c r="E951" s="46" t="n"/>
      <c r="F951" s="51" t="n"/>
      <c r="G951" s="47" t="n"/>
      <c r="H951" s="47" t="n"/>
      <c r="I951" s="43">
        <f>IF($B951="","",N($G951)-N($H951))</f>
        <v/>
      </c>
    </row>
    <row r="952">
      <c r="A952" s="39">
        <f>IF($B952="","",COUNTA($B$4:$B952))</f>
        <v/>
      </c>
      <c r="B952" s="40" t="n"/>
      <c r="C952" s="41" t="n"/>
      <c r="D952" s="41" t="n"/>
      <c r="E952" s="41" t="n"/>
      <c r="F952" s="50" t="n"/>
      <c r="G952" s="42" t="n"/>
      <c r="H952" s="42" t="n"/>
      <c r="I952" s="43">
        <f>IF($B952="","",N($G952)-N($H952))</f>
        <v/>
      </c>
    </row>
    <row r="953">
      <c r="A953" s="39">
        <f>IF($B953="","",COUNTA($B$4:$B953))</f>
        <v/>
      </c>
      <c r="B953" s="45" t="n"/>
      <c r="C953" s="46" t="n"/>
      <c r="D953" s="46" t="n"/>
      <c r="E953" s="46" t="n"/>
      <c r="F953" s="51" t="n"/>
      <c r="G953" s="47" t="n"/>
      <c r="H953" s="47" t="n"/>
      <c r="I953" s="43">
        <f>IF($B953="","",N($G953)-N($H953))</f>
        <v/>
      </c>
    </row>
    <row r="954">
      <c r="A954" s="39">
        <f>IF($B954="","",COUNTA($B$4:$B954))</f>
        <v/>
      </c>
      <c r="B954" s="40" t="n"/>
      <c r="C954" s="41" t="n"/>
      <c r="D954" s="41" t="n"/>
      <c r="E954" s="41" t="n"/>
      <c r="F954" s="50" t="n"/>
      <c r="G954" s="42" t="n"/>
      <c r="H954" s="42" t="n"/>
      <c r="I954" s="43">
        <f>IF($B954="","",N($G954)-N($H954))</f>
        <v/>
      </c>
    </row>
    <row r="955">
      <c r="A955" s="39">
        <f>IF($B955="","",COUNTA($B$4:$B955))</f>
        <v/>
      </c>
      <c r="B955" s="45" t="n"/>
      <c r="C955" s="46" t="n"/>
      <c r="D955" s="46" t="n"/>
      <c r="E955" s="46" t="n"/>
      <c r="F955" s="51" t="n"/>
      <c r="G955" s="47" t="n"/>
      <c r="H955" s="47" t="n"/>
      <c r="I955" s="43">
        <f>IF($B955="","",N($G955)-N($H955))</f>
        <v/>
      </c>
    </row>
    <row r="956">
      <c r="A956" s="39">
        <f>IF($B956="","",COUNTA($B$4:$B956))</f>
        <v/>
      </c>
      <c r="B956" s="40" t="n"/>
      <c r="C956" s="41" t="n"/>
      <c r="D956" s="41" t="n"/>
      <c r="E956" s="41" t="n"/>
      <c r="F956" s="50" t="n"/>
      <c r="G956" s="42" t="n"/>
      <c r="H956" s="42" t="n"/>
      <c r="I956" s="43">
        <f>IF($B956="","",N($G956)-N($H956))</f>
        <v/>
      </c>
    </row>
    <row r="957">
      <c r="A957" s="39">
        <f>IF($B957="","",COUNTA($B$4:$B957))</f>
        <v/>
      </c>
      <c r="B957" s="45" t="n"/>
      <c r="C957" s="46" t="n"/>
      <c r="D957" s="46" t="n"/>
      <c r="E957" s="46" t="n"/>
      <c r="F957" s="51" t="n"/>
      <c r="G957" s="47" t="n"/>
      <c r="H957" s="47" t="n"/>
      <c r="I957" s="43">
        <f>IF($B957="","",N($G957)-N($H957))</f>
        <v/>
      </c>
    </row>
    <row r="958">
      <c r="A958" s="39">
        <f>IF($B958="","",COUNTA($B$4:$B958))</f>
        <v/>
      </c>
      <c r="B958" s="40" t="n"/>
      <c r="C958" s="41" t="n"/>
      <c r="D958" s="41" t="n"/>
      <c r="E958" s="41" t="n"/>
      <c r="F958" s="50" t="n"/>
      <c r="G958" s="42" t="n"/>
      <c r="H958" s="42" t="n"/>
      <c r="I958" s="43">
        <f>IF($B958="","",N($G958)-N($H958))</f>
        <v/>
      </c>
    </row>
    <row r="959">
      <c r="A959" s="39">
        <f>IF($B959="","",COUNTA($B$4:$B959))</f>
        <v/>
      </c>
      <c r="B959" s="45" t="n"/>
      <c r="C959" s="46" t="n"/>
      <c r="D959" s="46" t="n"/>
      <c r="E959" s="46" t="n"/>
      <c r="F959" s="51" t="n"/>
      <c r="G959" s="47" t="n"/>
      <c r="H959" s="47" t="n"/>
      <c r="I959" s="43">
        <f>IF($B959="","",N($G959)-N($H959))</f>
        <v/>
      </c>
    </row>
    <row r="960">
      <c r="A960" s="39">
        <f>IF($B960="","",COUNTA($B$4:$B960))</f>
        <v/>
      </c>
      <c r="B960" s="40" t="n"/>
      <c r="C960" s="41" t="n"/>
      <c r="D960" s="41" t="n"/>
      <c r="E960" s="41" t="n"/>
      <c r="F960" s="50" t="n"/>
      <c r="G960" s="42" t="n"/>
      <c r="H960" s="42" t="n"/>
      <c r="I960" s="43">
        <f>IF($B960="","",N($G960)-N($H960))</f>
        <v/>
      </c>
    </row>
    <row r="961">
      <c r="A961" s="39">
        <f>IF($B961="","",COUNTA($B$4:$B961))</f>
        <v/>
      </c>
      <c r="B961" s="45" t="n"/>
      <c r="C961" s="46" t="n"/>
      <c r="D961" s="46" t="n"/>
      <c r="E961" s="46" t="n"/>
      <c r="F961" s="51" t="n"/>
      <c r="G961" s="47" t="n"/>
      <c r="H961" s="47" t="n"/>
      <c r="I961" s="43">
        <f>IF($B961="","",N($G961)-N($H961))</f>
        <v/>
      </c>
    </row>
    <row r="962">
      <c r="A962" s="39">
        <f>IF($B962="","",COUNTA($B$4:$B962))</f>
        <v/>
      </c>
      <c r="B962" s="40" t="n"/>
      <c r="C962" s="41" t="n"/>
      <c r="D962" s="41" t="n"/>
      <c r="E962" s="41" t="n"/>
      <c r="F962" s="50" t="n"/>
      <c r="G962" s="42" t="n"/>
      <c r="H962" s="42" t="n"/>
      <c r="I962" s="43">
        <f>IF($B962="","",N($G962)-N($H962))</f>
        <v/>
      </c>
    </row>
    <row r="963">
      <c r="A963" s="39">
        <f>IF($B963="","",COUNTA($B$4:$B963))</f>
        <v/>
      </c>
      <c r="B963" s="45" t="n"/>
      <c r="C963" s="46" t="n"/>
      <c r="D963" s="46" t="n"/>
      <c r="E963" s="46" t="n"/>
      <c r="F963" s="51" t="n"/>
      <c r="G963" s="47" t="n"/>
      <c r="H963" s="47" t="n"/>
      <c r="I963" s="43">
        <f>IF($B963="","",N($G963)-N($H963))</f>
        <v/>
      </c>
    </row>
    <row r="964">
      <c r="A964" s="39">
        <f>IF($B964="","",COUNTA($B$4:$B964))</f>
        <v/>
      </c>
      <c r="B964" s="40" t="n"/>
      <c r="C964" s="41" t="n"/>
      <c r="D964" s="41" t="n"/>
      <c r="E964" s="41" t="n"/>
      <c r="F964" s="50" t="n"/>
      <c r="G964" s="42" t="n"/>
      <c r="H964" s="42" t="n"/>
      <c r="I964" s="43">
        <f>IF($B964="","",N($G964)-N($H964))</f>
        <v/>
      </c>
    </row>
    <row r="965">
      <c r="A965" s="39">
        <f>IF($B965="","",COUNTA($B$4:$B965))</f>
        <v/>
      </c>
      <c r="B965" s="45" t="n"/>
      <c r="C965" s="46" t="n"/>
      <c r="D965" s="46" t="n"/>
      <c r="E965" s="46" t="n"/>
      <c r="F965" s="51" t="n"/>
      <c r="G965" s="47" t="n"/>
      <c r="H965" s="47" t="n"/>
      <c r="I965" s="43">
        <f>IF($B965="","",N($G965)-N($H965))</f>
        <v/>
      </c>
    </row>
    <row r="966">
      <c r="A966" s="39">
        <f>IF($B966="","",COUNTA($B$4:$B966))</f>
        <v/>
      </c>
      <c r="B966" s="40" t="n"/>
      <c r="C966" s="41" t="n"/>
      <c r="D966" s="41" t="n"/>
      <c r="E966" s="41" t="n"/>
      <c r="F966" s="50" t="n"/>
      <c r="G966" s="42" t="n"/>
      <c r="H966" s="42" t="n"/>
      <c r="I966" s="43">
        <f>IF($B966="","",N($G966)-N($H966))</f>
        <v/>
      </c>
    </row>
    <row r="967">
      <c r="A967" s="39">
        <f>IF($B967="","",COUNTA($B$4:$B967))</f>
        <v/>
      </c>
      <c r="B967" s="45" t="n"/>
      <c r="C967" s="46" t="n"/>
      <c r="D967" s="46" t="n"/>
      <c r="E967" s="46" t="n"/>
      <c r="F967" s="51" t="n"/>
      <c r="G967" s="47" t="n"/>
      <c r="H967" s="47" t="n"/>
      <c r="I967" s="43">
        <f>IF($B967="","",N($G967)-N($H967))</f>
        <v/>
      </c>
    </row>
    <row r="968">
      <c r="A968" s="39">
        <f>IF($B968="","",COUNTA($B$4:$B968))</f>
        <v/>
      </c>
      <c r="B968" s="40" t="n"/>
      <c r="C968" s="41" t="n"/>
      <c r="D968" s="41" t="n"/>
      <c r="E968" s="41" t="n"/>
      <c r="F968" s="50" t="n"/>
      <c r="G968" s="42" t="n"/>
      <c r="H968" s="42" t="n"/>
      <c r="I968" s="43">
        <f>IF($B968="","",N($G968)-N($H968))</f>
        <v/>
      </c>
    </row>
    <row r="969">
      <c r="A969" s="39">
        <f>IF($B969="","",COUNTA($B$4:$B969))</f>
        <v/>
      </c>
      <c r="B969" s="45" t="n"/>
      <c r="C969" s="46" t="n"/>
      <c r="D969" s="46" t="n"/>
      <c r="E969" s="46" t="n"/>
      <c r="F969" s="51" t="n"/>
      <c r="G969" s="47" t="n"/>
      <c r="H969" s="47" t="n"/>
      <c r="I969" s="43">
        <f>IF($B969="","",N($G969)-N($H969))</f>
        <v/>
      </c>
    </row>
    <row r="970">
      <c r="A970" s="39">
        <f>IF($B970="","",COUNTA($B$4:$B970))</f>
        <v/>
      </c>
      <c r="B970" s="40" t="n"/>
      <c r="C970" s="41" t="n"/>
      <c r="D970" s="41" t="n"/>
      <c r="E970" s="41" t="n"/>
      <c r="F970" s="50" t="n"/>
      <c r="G970" s="42" t="n"/>
      <c r="H970" s="42" t="n"/>
      <c r="I970" s="43">
        <f>IF($B970="","",N($G970)-N($H970))</f>
        <v/>
      </c>
    </row>
    <row r="971">
      <c r="A971" s="39">
        <f>IF($B971="","",COUNTA($B$4:$B971))</f>
        <v/>
      </c>
      <c r="B971" s="45" t="n"/>
      <c r="C971" s="46" t="n"/>
      <c r="D971" s="46" t="n"/>
      <c r="E971" s="46" t="n"/>
      <c r="F971" s="51" t="n"/>
      <c r="G971" s="47" t="n"/>
      <c r="H971" s="47" t="n"/>
      <c r="I971" s="43">
        <f>IF($B971="","",N($G971)-N($H971))</f>
        <v/>
      </c>
    </row>
    <row r="972">
      <c r="A972" s="39">
        <f>IF($B972="","",COUNTA($B$4:$B972))</f>
        <v/>
      </c>
      <c r="B972" s="40" t="n"/>
      <c r="C972" s="41" t="n"/>
      <c r="D972" s="41" t="n"/>
      <c r="E972" s="41" t="n"/>
      <c r="F972" s="50" t="n"/>
      <c r="G972" s="42" t="n"/>
      <c r="H972" s="42" t="n"/>
      <c r="I972" s="43">
        <f>IF($B972="","",N($G972)-N($H972))</f>
        <v/>
      </c>
    </row>
    <row r="973">
      <c r="A973" s="39">
        <f>IF($B973="","",COUNTA($B$4:$B973))</f>
        <v/>
      </c>
      <c r="B973" s="45" t="n"/>
      <c r="C973" s="46" t="n"/>
      <c r="D973" s="46" t="n"/>
      <c r="E973" s="46" t="n"/>
      <c r="F973" s="51" t="n"/>
      <c r="G973" s="47" t="n"/>
      <c r="H973" s="47" t="n"/>
      <c r="I973" s="43">
        <f>IF($B973="","",N($G973)-N($H973))</f>
        <v/>
      </c>
    </row>
    <row r="974">
      <c r="A974" s="39">
        <f>IF($B974="","",COUNTA($B$4:$B974))</f>
        <v/>
      </c>
      <c r="B974" s="40" t="n"/>
      <c r="C974" s="41" t="n"/>
      <c r="D974" s="41" t="n"/>
      <c r="E974" s="41" t="n"/>
      <c r="F974" s="50" t="n"/>
      <c r="G974" s="42" t="n"/>
      <c r="H974" s="42" t="n"/>
      <c r="I974" s="43">
        <f>IF($B974="","",N($G974)-N($H974))</f>
        <v/>
      </c>
    </row>
    <row r="975">
      <c r="A975" s="39">
        <f>IF($B975="","",COUNTA($B$4:$B975))</f>
        <v/>
      </c>
      <c r="B975" s="45" t="n"/>
      <c r="C975" s="46" t="n"/>
      <c r="D975" s="46" t="n"/>
      <c r="E975" s="46" t="n"/>
      <c r="F975" s="51" t="n"/>
      <c r="G975" s="47" t="n"/>
      <c r="H975" s="47" t="n"/>
      <c r="I975" s="43">
        <f>IF($B975="","",N($G975)-N($H975))</f>
        <v/>
      </c>
    </row>
    <row r="976">
      <c r="A976" s="39">
        <f>IF($B976="","",COUNTA($B$4:$B976))</f>
        <v/>
      </c>
      <c r="B976" s="40" t="n"/>
      <c r="C976" s="41" t="n"/>
      <c r="D976" s="41" t="n"/>
      <c r="E976" s="41" t="n"/>
      <c r="F976" s="50" t="n"/>
      <c r="G976" s="42" t="n"/>
      <c r="H976" s="42" t="n"/>
      <c r="I976" s="43">
        <f>IF($B976="","",N($G976)-N($H976))</f>
        <v/>
      </c>
    </row>
    <row r="977">
      <c r="A977" s="39">
        <f>IF($B977="","",COUNTA($B$4:$B977))</f>
        <v/>
      </c>
      <c r="B977" s="45" t="n"/>
      <c r="C977" s="46" t="n"/>
      <c r="D977" s="46" t="n"/>
      <c r="E977" s="46" t="n"/>
      <c r="F977" s="51" t="n"/>
      <c r="G977" s="47" t="n"/>
      <c r="H977" s="47" t="n"/>
      <c r="I977" s="43">
        <f>IF($B977="","",N($G977)-N($H977))</f>
        <v/>
      </c>
    </row>
    <row r="978">
      <c r="A978" s="39">
        <f>IF($B978="","",COUNTA($B$4:$B978))</f>
        <v/>
      </c>
      <c r="B978" s="40" t="n"/>
      <c r="C978" s="41" t="n"/>
      <c r="D978" s="41" t="n"/>
      <c r="E978" s="41" t="n"/>
      <c r="F978" s="50" t="n"/>
      <c r="G978" s="42" t="n"/>
      <c r="H978" s="42" t="n"/>
      <c r="I978" s="43">
        <f>IF($B978="","",N($G978)-N($H978))</f>
        <v/>
      </c>
    </row>
    <row r="979">
      <c r="A979" s="39">
        <f>IF($B979="","",COUNTA($B$4:$B979))</f>
        <v/>
      </c>
      <c r="B979" s="45" t="n"/>
      <c r="C979" s="46" t="n"/>
      <c r="D979" s="46" t="n"/>
      <c r="E979" s="46" t="n"/>
      <c r="F979" s="51" t="n"/>
      <c r="G979" s="47" t="n"/>
      <c r="H979" s="47" t="n"/>
      <c r="I979" s="43">
        <f>IF($B979="","",N($G979)-N($H979))</f>
        <v/>
      </c>
    </row>
    <row r="980">
      <c r="A980" s="39">
        <f>IF($B980="","",COUNTA($B$4:$B980))</f>
        <v/>
      </c>
      <c r="B980" s="40" t="n"/>
      <c r="C980" s="41" t="n"/>
      <c r="D980" s="41" t="n"/>
      <c r="E980" s="41" t="n"/>
      <c r="F980" s="50" t="n"/>
      <c r="G980" s="42" t="n"/>
      <c r="H980" s="42" t="n"/>
      <c r="I980" s="43">
        <f>IF($B980="","",N($G980)-N($H980))</f>
        <v/>
      </c>
    </row>
    <row r="981">
      <c r="A981" s="39">
        <f>IF($B981="","",COUNTA($B$4:$B981))</f>
        <v/>
      </c>
      <c r="B981" s="45" t="n"/>
      <c r="C981" s="46" t="n"/>
      <c r="D981" s="46" t="n"/>
      <c r="E981" s="46" t="n"/>
      <c r="F981" s="51" t="n"/>
      <c r="G981" s="47" t="n"/>
      <c r="H981" s="47" t="n"/>
      <c r="I981" s="43">
        <f>IF($B981="","",N($G981)-N($H981))</f>
        <v/>
      </c>
    </row>
    <row r="982">
      <c r="A982" s="39">
        <f>IF($B982="","",COUNTA($B$4:$B982))</f>
        <v/>
      </c>
      <c r="B982" s="40" t="n"/>
      <c r="C982" s="41" t="n"/>
      <c r="D982" s="41" t="n"/>
      <c r="E982" s="41" t="n"/>
      <c r="F982" s="50" t="n"/>
      <c r="G982" s="42" t="n"/>
      <c r="H982" s="42" t="n"/>
      <c r="I982" s="43">
        <f>IF($B982="","",N($G982)-N($H982))</f>
        <v/>
      </c>
    </row>
    <row r="983">
      <c r="A983" s="39">
        <f>IF($B983="","",COUNTA($B$4:$B983))</f>
        <v/>
      </c>
      <c r="B983" s="45" t="n"/>
      <c r="C983" s="46" t="n"/>
      <c r="D983" s="46" t="n"/>
      <c r="E983" s="46" t="n"/>
      <c r="F983" s="51" t="n"/>
      <c r="G983" s="47" t="n"/>
      <c r="H983" s="47" t="n"/>
      <c r="I983" s="43">
        <f>IF($B983="","",N($G983)-N($H983))</f>
        <v/>
      </c>
    </row>
    <row r="984">
      <c r="A984" s="39">
        <f>IF($B984="","",COUNTA($B$4:$B984))</f>
        <v/>
      </c>
      <c r="B984" s="40" t="n"/>
      <c r="C984" s="41" t="n"/>
      <c r="D984" s="41" t="n"/>
      <c r="E984" s="41" t="n"/>
      <c r="F984" s="50" t="n"/>
      <c r="G984" s="42" t="n"/>
      <c r="H984" s="42" t="n"/>
      <c r="I984" s="43">
        <f>IF($B984="","",N($G984)-N($H984))</f>
        <v/>
      </c>
    </row>
    <row r="985">
      <c r="A985" s="39">
        <f>IF($B985="","",COUNTA($B$4:$B985))</f>
        <v/>
      </c>
      <c r="B985" s="45" t="n"/>
      <c r="C985" s="46" t="n"/>
      <c r="D985" s="46" t="n"/>
      <c r="E985" s="46" t="n"/>
      <c r="F985" s="51" t="n"/>
      <c r="G985" s="47" t="n"/>
      <c r="H985" s="47" t="n"/>
      <c r="I985" s="43">
        <f>IF($B985="","",N($G985)-N($H985))</f>
        <v/>
      </c>
    </row>
    <row r="986">
      <c r="A986" s="39">
        <f>IF($B986="","",COUNTA($B$4:$B986))</f>
        <v/>
      </c>
      <c r="B986" s="40" t="n"/>
      <c r="C986" s="41" t="n"/>
      <c r="D986" s="41" t="n"/>
      <c r="E986" s="41" t="n"/>
      <c r="F986" s="50" t="n"/>
      <c r="G986" s="42" t="n"/>
      <c r="H986" s="42" t="n"/>
      <c r="I986" s="43">
        <f>IF($B986="","",N($G986)-N($H986))</f>
        <v/>
      </c>
    </row>
    <row r="987">
      <c r="A987" s="39">
        <f>IF($B987="","",COUNTA($B$4:$B987))</f>
        <v/>
      </c>
      <c r="B987" s="45" t="n"/>
      <c r="C987" s="46" t="n"/>
      <c r="D987" s="46" t="n"/>
      <c r="E987" s="46" t="n"/>
      <c r="F987" s="51" t="n"/>
      <c r="G987" s="47" t="n"/>
      <c r="H987" s="47" t="n"/>
      <c r="I987" s="43">
        <f>IF($B987="","",N($G987)-N($H987))</f>
        <v/>
      </c>
    </row>
    <row r="988">
      <c r="A988" s="39">
        <f>IF($B988="","",COUNTA($B$4:$B988))</f>
        <v/>
      </c>
      <c r="B988" s="40" t="n"/>
      <c r="C988" s="41" t="n"/>
      <c r="D988" s="41" t="n"/>
      <c r="E988" s="41" t="n"/>
      <c r="F988" s="50" t="n"/>
      <c r="G988" s="42" t="n"/>
      <c r="H988" s="42" t="n"/>
      <c r="I988" s="43">
        <f>IF($B988="","",N($G988)-N($H988))</f>
        <v/>
      </c>
    </row>
    <row r="989">
      <c r="A989" s="39">
        <f>IF($B989="","",COUNTA($B$4:$B989))</f>
        <v/>
      </c>
      <c r="B989" s="45" t="n"/>
      <c r="C989" s="46" t="n"/>
      <c r="D989" s="46" t="n"/>
      <c r="E989" s="46" t="n"/>
      <c r="F989" s="51" t="n"/>
      <c r="G989" s="47" t="n"/>
      <c r="H989" s="47" t="n"/>
      <c r="I989" s="43">
        <f>IF($B989="","",N($G989)-N($H989))</f>
        <v/>
      </c>
    </row>
    <row r="990">
      <c r="A990" s="39">
        <f>IF($B990="","",COUNTA($B$4:$B990))</f>
        <v/>
      </c>
      <c r="B990" s="40" t="n"/>
      <c r="C990" s="41" t="n"/>
      <c r="D990" s="41" t="n"/>
      <c r="E990" s="41" t="n"/>
      <c r="F990" s="50" t="n"/>
      <c r="G990" s="42" t="n"/>
      <c r="H990" s="42" t="n"/>
      <c r="I990" s="43">
        <f>IF($B990="","",N($G990)-N($H990))</f>
        <v/>
      </c>
    </row>
    <row r="991">
      <c r="A991" s="39">
        <f>IF($B991="","",COUNTA($B$4:$B991))</f>
        <v/>
      </c>
      <c r="B991" s="45" t="n"/>
      <c r="C991" s="46" t="n"/>
      <c r="D991" s="46" t="n"/>
      <c r="E991" s="46" t="n"/>
      <c r="F991" s="51" t="n"/>
      <c r="G991" s="47" t="n"/>
      <c r="H991" s="47" t="n"/>
      <c r="I991" s="43">
        <f>IF($B991="","",N($G991)-N($H991))</f>
        <v/>
      </c>
    </row>
    <row r="992">
      <c r="A992" s="39">
        <f>IF($B992="","",COUNTA($B$4:$B992))</f>
        <v/>
      </c>
      <c r="B992" s="40" t="n"/>
      <c r="C992" s="41" t="n"/>
      <c r="D992" s="41" t="n"/>
      <c r="E992" s="41" t="n"/>
      <c r="F992" s="50" t="n"/>
      <c r="G992" s="42" t="n"/>
      <c r="H992" s="42" t="n"/>
      <c r="I992" s="43">
        <f>IF($B992="","",N($G992)-N($H992))</f>
        <v/>
      </c>
    </row>
    <row r="993">
      <c r="A993" s="39">
        <f>IF($B993="","",COUNTA($B$4:$B993))</f>
        <v/>
      </c>
      <c r="B993" s="45" t="n"/>
      <c r="C993" s="46" t="n"/>
      <c r="D993" s="46" t="n"/>
      <c r="E993" s="46" t="n"/>
      <c r="F993" s="51" t="n"/>
      <c r="G993" s="47" t="n"/>
      <c r="H993" s="47" t="n"/>
      <c r="I993" s="43">
        <f>IF($B993="","",N($G993)-N($H993))</f>
        <v/>
      </c>
    </row>
    <row r="994">
      <c r="A994" s="39">
        <f>IF($B994="","",COUNTA($B$4:$B994))</f>
        <v/>
      </c>
      <c r="B994" s="40" t="n"/>
      <c r="C994" s="41" t="n"/>
      <c r="D994" s="41" t="n"/>
      <c r="E994" s="41" t="n"/>
      <c r="F994" s="50" t="n"/>
      <c r="G994" s="42" t="n"/>
      <c r="H994" s="42" t="n"/>
      <c r="I994" s="43">
        <f>IF($B994="","",N($G994)-N($H994))</f>
        <v/>
      </c>
    </row>
    <row r="995">
      <c r="A995" s="39">
        <f>IF($B995="","",COUNTA($B$4:$B995))</f>
        <v/>
      </c>
      <c r="B995" s="45" t="n"/>
      <c r="C995" s="46" t="n"/>
      <c r="D995" s="46" t="n"/>
      <c r="E995" s="46" t="n"/>
      <c r="F995" s="51" t="n"/>
      <c r="G995" s="47" t="n"/>
      <c r="H995" s="47" t="n"/>
      <c r="I995" s="43">
        <f>IF($B995="","",N($G995)-N($H995))</f>
        <v/>
      </c>
    </row>
    <row r="996">
      <c r="A996" s="39">
        <f>IF($B996="","",COUNTA($B$4:$B996))</f>
        <v/>
      </c>
      <c r="B996" s="40" t="n"/>
      <c r="C996" s="41" t="n"/>
      <c r="D996" s="41" t="n"/>
      <c r="E996" s="41" t="n"/>
      <c r="F996" s="50" t="n"/>
      <c r="G996" s="42" t="n"/>
      <c r="H996" s="42" t="n"/>
      <c r="I996" s="43">
        <f>IF($B996="","",N($G996)-N($H996))</f>
        <v/>
      </c>
    </row>
    <row r="997">
      <c r="A997" s="39">
        <f>IF($B997="","",COUNTA($B$4:$B997))</f>
        <v/>
      </c>
      <c r="B997" s="45" t="n"/>
      <c r="C997" s="46" t="n"/>
      <c r="D997" s="46" t="n"/>
      <c r="E997" s="46" t="n"/>
      <c r="F997" s="51" t="n"/>
      <c r="G997" s="47" t="n"/>
      <c r="H997" s="47" t="n"/>
      <c r="I997" s="43">
        <f>IF($B997="","",N($G997)-N($H997))</f>
        <v/>
      </c>
    </row>
    <row r="998">
      <c r="A998" s="39">
        <f>IF($B998="","",COUNTA($B$4:$B998))</f>
        <v/>
      </c>
      <c r="B998" s="40" t="n"/>
      <c r="C998" s="41" t="n"/>
      <c r="D998" s="41" t="n"/>
      <c r="E998" s="41" t="n"/>
      <c r="F998" s="50" t="n"/>
      <c r="G998" s="42" t="n"/>
      <c r="H998" s="42" t="n"/>
      <c r="I998" s="43">
        <f>IF($B998="","",N($G998)-N($H998))</f>
        <v/>
      </c>
    </row>
    <row r="999">
      <c r="A999" s="39">
        <f>IF($B999="","",COUNTA($B$4:$B999))</f>
        <v/>
      </c>
      <c r="B999" s="45" t="n"/>
      <c r="C999" s="46" t="n"/>
      <c r="D999" s="46" t="n"/>
      <c r="E999" s="46" t="n"/>
      <c r="F999" s="51" t="n"/>
      <c r="G999" s="47" t="n"/>
      <c r="H999" s="47" t="n"/>
      <c r="I999" s="43">
        <f>IF($B999="","",N($G999)-N($H999))</f>
        <v/>
      </c>
    </row>
    <row r="1000">
      <c r="A1000" s="39">
        <f>IF($B1000="","",COUNTA($B$4:$B1000))</f>
        <v/>
      </c>
      <c r="B1000" s="40" t="n"/>
      <c r="C1000" s="41" t="n"/>
      <c r="D1000" s="41" t="n"/>
      <c r="E1000" s="41" t="n"/>
      <c r="F1000" s="50" t="n"/>
      <c r="G1000" s="42" t="n"/>
      <c r="H1000" s="42" t="n"/>
      <c r="I1000" s="43">
        <f>IF($B1000="","",N($G1000)-N($H1000))</f>
        <v/>
      </c>
    </row>
    <row r="1001">
      <c r="A1001" s="39">
        <f>IF($B1001="","",COUNTA($B$4:$B1001))</f>
        <v/>
      </c>
      <c r="B1001" s="45" t="n"/>
      <c r="C1001" s="46" t="n"/>
      <c r="D1001" s="46" t="n"/>
      <c r="E1001" s="46" t="n"/>
      <c r="F1001" s="51" t="n"/>
      <c r="G1001" s="47" t="n"/>
      <c r="H1001" s="47" t="n"/>
      <c r="I1001" s="43">
        <f>IF($B1001="","",N($G1001)-N($H1001))</f>
        <v/>
      </c>
    </row>
    <row r="1002">
      <c r="A1002" s="39">
        <f>IF($B1002="","",COUNTA($B$4:$B1002))</f>
        <v/>
      </c>
      <c r="B1002" s="40" t="n"/>
      <c r="C1002" s="41" t="n"/>
      <c r="D1002" s="41" t="n"/>
      <c r="E1002" s="41" t="n"/>
      <c r="F1002" s="50" t="n"/>
      <c r="G1002" s="42" t="n"/>
      <c r="H1002" s="42" t="n"/>
      <c r="I1002" s="43">
        <f>IF($B1002="","",N($G1002)-N($H1002))</f>
        <v/>
      </c>
    </row>
    <row r="1003">
      <c r="A1003" s="39">
        <f>IF($B1003="","",COUNTA($B$4:$B1003))</f>
        <v/>
      </c>
      <c r="B1003" s="45" t="n"/>
      <c r="C1003" s="46" t="n"/>
      <c r="D1003" s="46" t="n"/>
      <c r="E1003" s="46" t="n"/>
      <c r="F1003" s="51" t="n"/>
      <c r="G1003" s="47" t="n"/>
      <c r="H1003" s="47" t="n"/>
      <c r="I1003" s="43">
        <f>IF($B1003="","",N($G1003)-N($H1003))</f>
        <v/>
      </c>
    </row>
    <row r="1004">
      <c r="A1004" s="39">
        <f>IF($B1004="","",COUNTA($B$4:$B1004))</f>
        <v/>
      </c>
      <c r="B1004" s="40" t="n"/>
      <c r="C1004" s="41" t="n"/>
      <c r="D1004" s="41" t="n"/>
      <c r="E1004" s="41" t="n"/>
      <c r="F1004" s="50" t="n"/>
      <c r="G1004" s="42" t="n"/>
      <c r="H1004" s="42" t="n"/>
      <c r="I1004" s="43">
        <f>IF($B1004="","",N($G1004)-N($H1004))</f>
        <v/>
      </c>
    </row>
    <row r="1005">
      <c r="A1005" s="39">
        <f>IF($B1005="","",COUNTA($B$4:$B1005))</f>
        <v/>
      </c>
      <c r="B1005" s="45" t="n"/>
      <c r="C1005" s="46" t="n"/>
      <c r="D1005" s="46" t="n"/>
      <c r="E1005" s="46" t="n"/>
      <c r="F1005" s="51" t="n"/>
      <c r="G1005" s="47" t="n"/>
      <c r="H1005" s="47" t="n"/>
      <c r="I1005" s="43">
        <f>IF($B1005="","",N($G1005)-N($H1005))</f>
        <v/>
      </c>
    </row>
    <row r="1006">
      <c r="A1006" s="39">
        <f>IF($B1006="","",COUNTA($B$4:$B1006))</f>
        <v/>
      </c>
      <c r="B1006" s="40" t="n"/>
      <c r="C1006" s="41" t="n"/>
      <c r="D1006" s="41" t="n"/>
      <c r="E1006" s="41" t="n"/>
      <c r="F1006" s="50" t="n"/>
      <c r="G1006" s="42" t="n"/>
      <c r="H1006" s="42" t="n"/>
      <c r="I1006" s="43">
        <f>IF($B1006="","",N($G1006)-N($H1006))</f>
        <v/>
      </c>
    </row>
    <row r="1007">
      <c r="A1007" s="39">
        <f>IF($B1007="","",COUNTA($B$4:$B1007))</f>
        <v/>
      </c>
      <c r="B1007" s="45" t="n"/>
      <c r="C1007" s="46" t="n"/>
      <c r="D1007" s="46" t="n"/>
      <c r="E1007" s="46" t="n"/>
      <c r="F1007" s="51" t="n"/>
      <c r="G1007" s="47" t="n"/>
      <c r="H1007" s="47" t="n"/>
      <c r="I1007" s="43">
        <f>IF($B1007="","",N($G1007)-N($H1007))</f>
        <v/>
      </c>
    </row>
    <row r="1008">
      <c r="A1008" s="39">
        <f>IF($B1008="","",COUNTA($B$4:$B1008))</f>
        <v/>
      </c>
      <c r="B1008" s="40" t="n"/>
      <c r="C1008" s="41" t="n"/>
      <c r="D1008" s="41" t="n"/>
      <c r="E1008" s="41" t="n"/>
      <c r="F1008" s="50" t="n"/>
      <c r="G1008" s="42" t="n"/>
      <c r="H1008" s="42" t="n"/>
      <c r="I1008" s="43">
        <f>IF($B1008="","",N($G1008)-N($H1008))</f>
        <v/>
      </c>
    </row>
    <row r="1009">
      <c r="A1009" s="39">
        <f>IF($B1009="","",COUNTA($B$4:$B1009))</f>
        <v/>
      </c>
      <c r="B1009" s="45" t="n"/>
      <c r="C1009" s="46" t="n"/>
      <c r="D1009" s="46" t="n"/>
      <c r="E1009" s="46" t="n"/>
      <c r="F1009" s="51" t="n"/>
      <c r="G1009" s="47" t="n"/>
      <c r="H1009" s="47" t="n"/>
      <c r="I1009" s="43">
        <f>IF($B1009="","",N($G1009)-N($H1009))</f>
        <v/>
      </c>
    </row>
    <row r="1010">
      <c r="A1010" s="39">
        <f>IF($B1010="","",COUNTA($B$4:$B1010))</f>
        <v/>
      </c>
      <c r="B1010" s="40" t="n"/>
      <c r="C1010" s="41" t="n"/>
      <c r="D1010" s="41" t="n"/>
      <c r="E1010" s="41" t="n"/>
      <c r="F1010" s="50" t="n"/>
      <c r="G1010" s="42" t="n"/>
      <c r="H1010" s="42" t="n"/>
      <c r="I1010" s="43">
        <f>IF($B1010="","",N($G1010)-N($H1010))</f>
        <v/>
      </c>
    </row>
    <row r="1011">
      <c r="A1011" s="39">
        <f>IF($B1011="","",COUNTA($B$4:$B1011))</f>
        <v/>
      </c>
      <c r="B1011" s="45" t="n"/>
      <c r="C1011" s="46" t="n"/>
      <c r="D1011" s="46" t="n"/>
      <c r="E1011" s="46" t="n"/>
      <c r="F1011" s="51" t="n"/>
      <c r="G1011" s="47" t="n"/>
      <c r="H1011" s="47" t="n"/>
      <c r="I1011" s="43">
        <f>IF($B1011="","",N($G1011)-N($H1011))</f>
        <v/>
      </c>
    </row>
    <row r="1012">
      <c r="A1012" s="39">
        <f>IF($B1012="","",COUNTA($B$4:$B1012))</f>
        <v/>
      </c>
      <c r="B1012" s="40" t="n"/>
      <c r="C1012" s="41" t="n"/>
      <c r="D1012" s="41" t="n"/>
      <c r="E1012" s="41" t="n"/>
      <c r="F1012" s="50" t="n"/>
      <c r="G1012" s="42" t="n"/>
      <c r="H1012" s="42" t="n"/>
      <c r="I1012" s="43">
        <f>IF($B1012="","",N($G1012)-N($H1012))</f>
        <v/>
      </c>
    </row>
    <row r="1013">
      <c r="A1013" s="39">
        <f>IF($B1013="","",COUNTA($B$4:$B1013))</f>
        <v/>
      </c>
      <c r="B1013" s="45" t="n"/>
      <c r="C1013" s="46" t="n"/>
      <c r="D1013" s="46" t="n"/>
      <c r="E1013" s="46" t="n"/>
      <c r="F1013" s="51" t="n"/>
      <c r="G1013" s="47" t="n"/>
      <c r="H1013" s="47" t="n"/>
      <c r="I1013" s="43">
        <f>IF($B1013="","",N($G1013)-N($H1013))</f>
        <v/>
      </c>
    </row>
    <row r="1014">
      <c r="A1014" s="39">
        <f>IF($B1014="","",COUNTA($B$4:$B1014))</f>
        <v/>
      </c>
      <c r="B1014" s="40" t="n"/>
      <c r="C1014" s="41" t="n"/>
      <c r="D1014" s="41" t="n"/>
      <c r="E1014" s="41" t="n"/>
      <c r="F1014" s="50" t="n"/>
      <c r="G1014" s="42" t="n"/>
      <c r="H1014" s="42" t="n"/>
      <c r="I1014" s="43">
        <f>IF($B1014="","",N($G1014)-N($H1014))</f>
        <v/>
      </c>
    </row>
    <row r="1015">
      <c r="A1015" s="39">
        <f>IF($B1015="","",COUNTA($B$4:$B1015))</f>
        <v/>
      </c>
      <c r="B1015" s="45" t="n"/>
      <c r="C1015" s="46" t="n"/>
      <c r="D1015" s="46" t="n"/>
      <c r="E1015" s="46" t="n"/>
      <c r="F1015" s="51" t="n"/>
      <c r="G1015" s="47" t="n"/>
      <c r="H1015" s="47" t="n"/>
      <c r="I1015" s="43">
        <f>IF($B1015="","",N($G1015)-N($H1015))</f>
        <v/>
      </c>
    </row>
    <row r="1016">
      <c r="A1016" s="39">
        <f>IF($B1016="","",COUNTA($B$4:$B1016))</f>
        <v/>
      </c>
      <c r="B1016" s="40" t="n"/>
      <c r="C1016" s="41" t="n"/>
      <c r="D1016" s="41" t="n"/>
      <c r="E1016" s="41" t="n"/>
      <c r="F1016" s="50" t="n"/>
      <c r="G1016" s="42" t="n"/>
      <c r="H1016" s="42" t="n"/>
      <c r="I1016" s="43">
        <f>IF($B1016="","",N($G1016)-N($H1016))</f>
        <v/>
      </c>
    </row>
    <row r="1017">
      <c r="A1017" s="39">
        <f>IF($B1017="","",COUNTA($B$4:$B1017))</f>
        <v/>
      </c>
      <c r="B1017" s="45" t="n"/>
      <c r="C1017" s="46" t="n"/>
      <c r="D1017" s="46" t="n"/>
      <c r="E1017" s="46" t="n"/>
      <c r="F1017" s="51" t="n"/>
      <c r="G1017" s="47" t="n"/>
      <c r="H1017" s="47" t="n"/>
      <c r="I1017" s="43">
        <f>IF($B1017="","",N($G1017)-N($H1017))</f>
        <v/>
      </c>
    </row>
    <row r="1018">
      <c r="A1018" s="39">
        <f>IF($B1018="","",COUNTA($B$4:$B1018))</f>
        <v/>
      </c>
      <c r="B1018" s="40" t="n"/>
      <c r="C1018" s="41" t="n"/>
      <c r="D1018" s="41" t="n"/>
      <c r="E1018" s="41" t="n"/>
      <c r="F1018" s="50" t="n"/>
      <c r="G1018" s="42" t="n"/>
      <c r="H1018" s="42" t="n"/>
      <c r="I1018" s="43">
        <f>IF($B1018="","",N($G1018)-N($H1018))</f>
        <v/>
      </c>
    </row>
    <row r="1019">
      <c r="A1019" s="39">
        <f>IF($B1019="","",COUNTA($B$4:$B1019))</f>
        <v/>
      </c>
      <c r="B1019" s="45" t="n"/>
      <c r="C1019" s="46" t="n"/>
      <c r="D1019" s="46" t="n"/>
      <c r="E1019" s="46" t="n"/>
      <c r="F1019" s="51" t="n"/>
      <c r="G1019" s="47" t="n"/>
      <c r="H1019" s="47" t="n"/>
      <c r="I1019" s="43">
        <f>IF($B1019="","",N($G1019)-N($H1019))</f>
        <v/>
      </c>
    </row>
    <row r="1020">
      <c r="A1020" s="39">
        <f>IF($B1020="","",COUNTA($B$4:$B1020))</f>
        <v/>
      </c>
      <c r="B1020" s="40" t="n"/>
      <c r="C1020" s="41" t="n"/>
      <c r="D1020" s="41" t="n"/>
      <c r="E1020" s="41" t="n"/>
      <c r="F1020" s="50" t="n"/>
      <c r="G1020" s="42" t="n"/>
      <c r="H1020" s="42" t="n"/>
      <c r="I1020" s="43">
        <f>IF($B1020="","",N($G1020)-N($H1020))</f>
        <v/>
      </c>
    </row>
    <row r="1021">
      <c r="A1021" s="39">
        <f>IF($B1021="","",COUNTA($B$4:$B1021))</f>
        <v/>
      </c>
      <c r="B1021" s="45" t="n"/>
      <c r="C1021" s="46" t="n"/>
      <c r="D1021" s="46" t="n"/>
      <c r="E1021" s="46" t="n"/>
      <c r="F1021" s="51" t="n"/>
      <c r="G1021" s="47" t="n"/>
      <c r="H1021" s="47" t="n"/>
      <c r="I1021" s="43">
        <f>IF($B1021="","",N($G1021)-N($H1021))</f>
        <v/>
      </c>
    </row>
    <row r="1022">
      <c r="A1022" s="39">
        <f>IF($B1022="","",COUNTA($B$4:$B1022))</f>
        <v/>
      </c>
      <c r="B1022" s="40" t="n"/>
      <c r="C1022" s="41" t="n"/>
      <c r="D1022" s="41" t="n"/>
      <c r="E1022" s="41" t="n"/>
      <c r="F1022" s="50" t="n"/>
      <c r="G1022" s="42" t="n"/>
      <c r="H1022" s="42" t="n"/>
      <c r="I1022" s="43">
        <f>IF($B1022="","",N($G1022)-N($H1022))</f>
        <v/>
      </c>
    </row>
    <row r="1023">
      <c r="A1023" s="39">
        <f>IF($B1023="","",COUNTA($B$4:$B1023))</f>
        <v/>
      </c>
      <c r="B1023" s="45" t="n"/>
      <c r="C1023" s="46" t="n"/>
      <c r="D1023" s="46" t="n"/>
      <c r="E1023" s="46" t="n"/>
      <c r="F1023" s="51" t="n"/>
      <c r="G1023" s="47" t="n"/>
      <c r="H1023" s="47" t="n"/>
      <c r="I1023" s="43">
        <f>IF($B1023="","",N($G1023)-N($H1023))</f>
        <v/>
      </c>
    </row>
    <row r="1024">
      <c r="A1024" s="39">
        <f>IF($B1024="","",COUNTA($B$4:$B1024))</f>
        <v/>
      </c>
      <c r="B1024" s="40" t="n"/>
      <c r="C1024" s="41" t="n"/>
      <c r="D1024" s="41" t="n"/>
      <c r="E1024" s="41" t="n"/>
      <c r="F1024" s="50" t="n"/>
      <c r="G1024" s="42" t="n"/>
      <c r="H1024" s="42" t="n"/>
      <c r="I1024" s="43">
        <f>IF($B1024="","",N($G1024)-N($H1024))</f>
        <v/>
      </c>
    </row>
    <row r="1025">
      <c r="A1025" s="39">
        <f>IF($B1025="","",COUNTA($B$4:$B1025))</f>
        <v/>
      </c>
      <c r="B1025" s="45" t="n"/>
      <c r="C1025" s="46" t="n"/>
      <c r="D1025" s="46" t="n"/>
      <c r="E1025" s="46" t="n"/>
      <c r="F1025" s="51" t="n"/>
      <c r="G1025" s="47" t="n"/>
      <c r="H1025" s="47" t="n"/>
      <c r="I1025" s="43">
        <f>IF($B1025="","",N($G1025)-N($H1025))</f>
        <v/>
      </c>
    </row>
    <row r="1026">
      <c r="A1026" s="39">
        <f>IF($B1026="","",COUNTA($B$4:$B1026))</f>
        <v/>
      </c>
      <c r="B1026" s="40" t="n"/>
      <c r="C1026" s="41" t="n"/>
      <c r="D1026" s="41" t="n"/>
      <c r="E1026" s="41" t="n"/>
      <c r="F1026" s="50" t="n"/>
      <c r="G1026" s="42" t="n"/>
      <c r="H1026" s="42" t="n"/>
      <c r="I1026" s="43">
        <f>IF($B1026="","",N($G1026)-N($H1026))</f>
        <v/>
      </c>
    </row>
    <row r="1027">
      <c r="A1027" s="39">
        <f>IF($B1027="","",COUNTA($B$4:$B1027))</f>
        <v/>
      </c>
      <c r="B1027" s="45" t="n"/>
      <c r="C1027" s="46" t="n"/>
      <c r="D1027" s="46" t="n"/>
      <c r="E1027" s="46" t="n"/>
      <c r="F1027" s="51" t="n"/>
      <c r="G1027" s="47" t="n"/>
      <c r="H1027" s="47" t="n"/>
      <c r="I1027" s="43">
        <f>IF($B1027="","",N($G1027)-N($H1027))</f>
        <v/>
      </c>
    </row>
    <row r="1028">
      <c r="A1028" s="39">
        <f>IF($B1028="","",COUNTA($B$4:$B1028))</f>
        <v/>
      </c>
      <c r="B1028" s="40" t="n"/>
      <c r="C1028" s="41" t="n"/>
      <c r="D1028" s="41" t="n"/>
      <c r="E1028" s="41" t="n"/>
      <c r="F1028" s="50" t="n"/>
      <c r="G1028" s="42" t="n"/>
      <c r="H1028" s="42" t="n"/>
      <c r="I1028" s="43">
        <f>IF($B1028="","",N($G1028)-N($H1028))</f>
        <v/>
      </c>
    </row>
    <row r="1029">
      <c r="A1029" s="39">
        <f>IF($B1029="","",COUNTA($B$4:$B1029))</f>
        <v/>
      </c>
      <c r="B1029" s="45" t="n"/>
      <c r="C1029" s="46" t="n"/>
      <c r="D1029" s="46" t="n"/>
      <c r="E1029" s="46" t="n"/>
      <c r="F1029" s="51" t="n"/>
      <c r="G1029" s="47" t="n"/>
      <c r="H1029" s="47" t="n"/>
      <c r="I1029" s="43">
        <f>IF($B1029="","",N($G1029)-N($H1029))</f>
        <v/>
      </c>
    </row>
    <row r="1030">
      <c r="A1030" s="39">
        <f>IF($B1030="","",COUNTA($B$4:$B1030))</f>
        <v/>
      </c>
      <c r="B1030" s="40" t="n"/>
      <c r="C1030" s="41" t="n"/>
      <c r="D1030" s="41" t="n"/>
      <c r="E1030" s="41" t="n"/>
      <c r="F1030" s="50" t="n"/>
      <c r="G1030" s="42" t="n"/>
      <c r="H1030" s="42" t="n"/>
      <c r="I1030" s="43">
        <f>IF($B1030="","",N($G1030)-N($H1030))</f>
        <v/>
      </c>
    </row>
    <row r="1031">
      <c r="A1031" s="39">
        <f>IF($B1031="","",COUNTA($B$4:$B1031))</f>
        <v/>
      </c>
      <c r="B1031" s="45" t="n"/>
      <c r="C1031" s="46" t="n"/>
      <c r="D1031" s="46" t="n"/>
      <c r="E1031" s="46" t="n"/>
      <c r="F1031" s="51" t="n"/>
      <c r="G1031" s="47" t="n"/>
      <c r="H1031" s="47" t="n"/>
      <c r="I1031" s="43">
        <f>IF($B1031="","",N($G1031)-N($H1031))</f>
        <v/>
      </c>
    </row>
    <row r="1032">
      <c r="A1032" s="39">
        <f>IF($B1032="","",COUNTA($B$4:$B1032))</f>
        <v/>
      </c>
      <c r="B1032" s="40" t="n"/>
      <c r="C1032" s="41" t="n"/>
      <c r="D1032" s="41" t="n"/>
      <c r="E1032" s="41" t="n"/>
      <c r="F1032" s="50" t="n"/>
      <c r="G1032" s="42" t="n"/>
      <c r="H1032" s="42" t="n"/>
      <c r="I1032" s="43">
        <f>IF($B1032="","",N($G1032)-N($H1032))</f>
        <v/>
      </c>
    </row>
    <row r="1033">
      <c r="A1033" s="39">
        <f>IF($B1033="","",COUNTA($B$4:$B1033))</f>
        <v/>
      </c>
      <c r="B1033" s="45" t="n"/>
      <c r="C1033" s="46" t="n"/>
      <c r="D1033" s="46" t="n"/>
      <c r="E1033" s="46" t="n"/>
      <c r="F1033" s="51" t="n"/>
      <c r="G1033" s="47" t="n"/>
      <c r="H1033" s="47" t="n"/>
      <c r="I1033" s="43">
        <f>IF($B1033="","",N($G1033)-N($H1033))</f>
        <v/>
      </c>
    </row>
    <row r="1034">
      <c r="A1034" s="39">
        <f>IF($B1034="","",COUNTA($B$4:$B1034))</f>
        <v/>
      </c>
      <c r="B1034" s="40" t="n"/>
      <c r="C1034" s="41" t="n"/>
      <c r="D1034" s="41" t="n"/>
      <c r="E1034" s="41" t="n"/>
      <c r="F1034" s="50" t="n"/>
      <c r="G1034" s="42" t="n"/>
      <c r="H1034" s="42" t="n"/>
      <c r="I1034" s="43">
        <f>IF($B1034="","",N($G1034)-N($H1034))</f>
        <v/>
      </c>
    </row>
    <row r="1035">
      <c r="A1035" s="39">
        <f>IF($B1035="","",COUNTA($B$4:$B1035))</f>
        <v/>
      </c>
      <c r="B1035" s="45" t="n"/>
      <c r="C1035" s="46" t="n"/>
      <c r="D1035" s="46" t="n"/>
      <c r="E1035" s="46" t="n"/>
      <c r="F1035" s="51" t="n"/>
      <c r="G1035" s="47" t="n"/>
      <c r="H1035" s="47" t="n"/>
      <c r="I1035" s="43">
        <f>IF($B1035="","",N($G1035)-N($H1035))</f>
        <v/>
      </c>
    </row>
    <row r="1036">
      <c r="A1036" s="39">
        <f>IF($B1036="","",COUNTA($B$4:$B1036))</f>
        <v/>
      </c>
      <c r="B1036" s="40" t="n"/>
      <c r="C1036" s="41" t="n"/>
      <c r="D1036" s="41" t="n"/>
      <c r="E1036" s="41" t="n"/>
      <c r="F1036" s="50" t="n"/>
      <c r="G1036" s="42" t="n"/>
      <c r="H1036" s="42" t="n"/>
      <c r="I1036" s="43">
        <f>IF($B1036="","",N($G1036)-N($H1036))</f>
        <v/>
      </c>
    </row>
    <row r="1037">
      <c r="A1037" s="39">
        <f>IF($B1037="","",COUNTA($B$4:$B1037))</f>
        <v/>
      </c>
      <c r="B1037" s="45" t="n"/>
      <c r="C1037" s="46" t="n"/>
      <c r="D1037" s="46" t="n"/>
      <c r="E1037" s="46" t="n"/>
      <c r="F1037" s="51" t="n"/>
      <c r="G1037" s="47" t="n"/>
      <c r="H1037" s="47" t="n"/>
      <c r="I1037" s="43">
        <f>IF($B1037="","",N($G1037)-N($H1037))</f>
        <v/>
      </c>
    </row>
    <row r="1038">
      <c r="A1038" s="39">
        <f>IF($B1038="","",COUNTA($B$4:$B1038))</f>
        <v/>
      </c>
      <c r="B1038" s="40" t="n"/>
      <c r="C1038" s="41" t="n"/>
      <c r="D1038" s="41" t="n"/>
      <c r="E1038" s="41" t="n"/>
      <c r="F1038" s="50" t="n"/>
      <c r="G1038" s="42" t="n"/>
      <c r="H1038" s="42" t="n"/>
      <c r="I1038" s="43">
        <f>IF($B1038="","",N($G1038)-N($H1038))</f>
        <v/>
      </c>
    </row>
    <row r="1039">
      <c r="A1039" s="39">
        <f>IF($B1039="","",COUNTA($B$4:$B1039))</f>
        <v/>
      </c>
      <c r="B1039" s="45" t="n"/>
      <c r="C1039" s="46" t="n"/>
      <c r="D1039" s="46" t="n"/>
      <c r="E1039" s="46" t="n"/>
      <c r="F1039" s="51" t="n"/>
      <c r="G1039" s="47" t="n"/>
      <c r="H1039" s="47" t="n"/>
      <c r="I1039" s="43">
        <f>IF($B1039="","",N($G1039)-N($H1039))</f>
        <v/>
      </c>
    </row>
    <row r="1040">
      <c r="A1040" s="39">
        <f>IF($B1040="","",COUNTA($B$4:$B1040))</f>
        <v/>
      </c>
      <c r="B1040" s="40" t="n"/>
      <c r="C1040" s="41" t="n"/>
      <c r="D1040" s="41" t="n"/>
      <c r="E1040" s="41" t="n"/>
      <c r="F1040" s="50" t="n"/>
      <c r="G1040" s="42" t="n"/>
      <c r="H1040" s="42" t="n"/>
      <c r="I1040" s="43">
        <f>IF($B1040="","",N($G1040)-N($H1040))</f>
        <v/>
      </c>
    </row>
    <row r="1041">
      <c r="A1041" s="39">
        <f>IF($B1041="","",COUNTA($B$4:$B1041))</f>
        <v/>
      </c>
      <c r="B1041" s="45" t="n"/>
      <c r="C1041" s="46" t="n"/>
      <c r="D1041" s="46" t="n"/>
      <c r="E1041" s="46" t="n"/>
      <c r="F1041" s="51" t="n"/>
      <c r="G1041" s="47" t="n"/>
      <c r="H1041" s="47" t="n"/>
      <c r="I1041" s="43">
        <f>IF($B1041="","",N($G1041)-N($H1041))</f>
        <v/>
      </c>
    </row>
    <row r="1042">
      <c r="A1042" s="39">
        <f>IF($B1042="","",COUNTA($B$4:$B1042))</f>
        <v/>
      </c>
      <c r="B1042" s="40" t="n"/>
      <c r="C1042" s="41" t="n"/>
      <c r="D1042" s="41" t="n"/>
      <c r="E1042" s="41" t="n"/>
      <c r="F1042" s="50" t="n"/>
      <c r="G1042" s="42" t="n"/>
      <c r="H1042" s="42" t="n"/>
      <c r="I1042" s="43">
        <f>IF($B1042="","",N($G1042)-N($H1042))</f>
        <v/>
      </c>
    </row>
    <row r="1043">
      <c r="A1043" s="39">
        <f>IF($B1043="","",COUNTA($B$4:$B1043))</f>
        <v/>
      </c>
      <c r="B1043" s="45" t="n"/>
      <c r="C1043" s="46" t="n"/>
      <c r="D1043" s="46" t="n"/>
      <c r="E1043" s="46" t="n"/>
      <c r="F1043" s="51" t="n"/>
      <c r="G1043" s="47" t="n"/>
      <c r="H1043" s="47" t="n"/>
      <c r="I1043" s="43">
        <f>IF($B1043="","",N($G1043)-N($H1043))</f>
        <v/>
      </c>
    </row>
    <row r="1044">
      <c r="A1044" s="39">
        <f>IF($B1044="","",COUNTA($B$4:$B1044))</f>
        <v/>
      </c>
      <c r="B1044" s="40" t="n"/>
      <c r="C1044" s="41" t="n"/>
      <c r="D1044" s="41" t="n"/>
      <c r="E1044" s="41" t="n"/>
      <c r="F1044" s="50" t="n"/>
      <c r="G1044" s="42" t="n"/>
      <c r="H1044" s="42" t="n"/>
      <c r="I1044" s="43">
        <f>IF($B1044="","",N($G1044)-N($H1044))</f>
        <v/>
      </c>
    </row>
    <row r="1045">
      <c r="A1045" s="39">
        <f>IF($B1045="","",COUNTA($B$4:$B1045))</f>
        <v/>
      </c>
      <c r="B1045" s="45" t="n"/>
      <c r="C1045" s="46" t="n"/>
      <c r="D1045" s="46" t="n"/>
      <c r="E1045" s="46" t="n"/>
      <c r="F1045" s="51" t="n"/>
      <c r="G1045" s="47" t="n"/>
      <c r="H1045" s="47" t="n"/>
      <c r="I1045" s="43">
        <f>IF($B1045="","",N($G1045)-N($H1045))</f>
        <v/>
      </c>
    </row>
    <row r="1046">
      <c r="A1046" s="39">
        <f>IF($B1046="","",COUNTA($B$4:$B1046))</f>
        <v/>
      </c>
      <c r="B1046" s="40" t="n"/>
      <c r="C1046" s="41" t="n"/>
      <c r="D1046" s="41" t="n"/>
      <c r="E1046" s="41" t="n"/>
      <c r="F1046" s="50" t="n"/>
      <c r="G1046" s="42" t="n"/>
      <c r="H1046" s="42" t="n"/>
      <c r="I1046" s="43">
        <f>IF($B1046="","",N($G1046)-N($H1046))</f>
        <v/>
      </c>
    </row>
    <row r="1047">
      <c r="A1047" s="39">
        <f>IF($B1047="","",COUNTA($B$4:$B1047))</f>
        <v/>
      </c>
      <c r="B1047" s="45" t="n"/>
      <c r="C1047" s="46" t="n"/>
      <c r="D1047" s="46" t="n"/>
      <c r="E1047" s="46" t="n"/>
      <c r="F1047" s="51" t="n"/>
      <c r="G1047" s="47" t="n"/>
      <c r="H1047" s="47" t="n"/>
      <c r="I1047" s="43">
        <f>IF($B1047="","",N($G1047)-N($H1047))</f>
        <v/>
      </c>
    </row>
    <row r="1048">
      <c r="A1048" s="39">
        <f>IF($B1048="","",COUNTA($B$4:$B1048))</f>
        <v/>
      </c>
      <c r="B1048" s="40" t="n"/>
      <c r="C1048" s="41" t="n"/>
      <c r="D1048" s="41" t="n"/>
      <c r="E1048" s="41" t="n"/>
      <c r="F1048" s="50" t="n"/>
      <c r="G1048" s="42" t="n"/>
      <c r="H1048" s="42" t="n"/>
      <c r="I1048" s="43">
        <f>IF($B1048="","",N($G1048)-N($H1048))</f>
        <v/>
      </c>
    </row>
    <row r="1049">
      <c r="A1049" s="39">
        <f>IF($B1049="","",COUNTA($B$4:$B1049))</f>
        <v/>
      </c>
      <c r="B1049" s="45" t="n"/>
      <c r="C1049" s="46" t="n"/>
      <c r="D1049" s="46" t="n"/>
      <c r="E1049" s="46" t="n"/>
      <c r="F1049" s="51" t="n"/>
      <c r="G1049" s="47" t="n"/>
      <c r="H1049" s="47" t="n"/>
      <c r="I1049" s="43">
        <f>IF($B1049="","",N($G1049)-N($H1049))</f>
        <v/>
      </c>
    </row>
    <row r="1050">
      <c r="A1050" s="39">
        <f>IF($B1050="","",COUNTA($B$4:$B1050))</f>
        <v/>
      </c>
      <c r="B1050" s="40" t="n"/>
      <c r="C1050" s="41" t="n"/>
      <c r="D1050" s="41" t="n"/>
      <c r="E1050" s="41" t="n"/>
      <c r="F1050" s="50" t="n"/>
      <c r="G1050" s="42" t="n"/>
      <c r="H1050" s="42" t="n"/>
      <c r="I1050" s="43">
        <f>IF($B1050="","",N($G1050)-N($H1050))</f>
        <v/>
      </c>
    </row>
    <row r="1051">
      <c r="A1051" s="39">
        <f>IF($B1051="","",COUNTA($B$4:$B1051))</f>
        <v/>
      </c>
      <c r="B1051" s="45" t="n"/>
      <c r="C1051" s="46" t="n"/>
      <c r="D1051" s="46" t="n"/>
      <c r="E1051" s="46" t="n"/>
      <c r="F1051" s="51" t="n"/>
      <c r="G1051" s="47" t="n"/>
      <c r="H1051" s="47" t="n"/>
      <c r="I1051" s="43">
        <f>IF($B1051="","",N($G1051)-N($H1051))</f>
        <v/>
      </c>
    </row>
    <row r="1052">
      <c r="A1052" s="39">
        <f>IF($B1052="","",COUNTA($B$4:$B1052))</f>
        <v/>
      </c>
      <c r="B1052" s="40" t="n"/>
      <c r="C1052" s="41" t="n"/>
      <c r="D1052" s="41" t="n"/>
      <c r="E1052" s="41" t="n"/>
      <c r="F1052" s="50" t="n"/>
      <c r="G1052" s="42" t="n"/>
      <c r="H1052" s="42" t="n"/>
      <c r="I1052" s="43">
        <f>IF($B1052="","",N($G1052)-N($H1052))</f>
        <v/>
      </c>
    </row>
    <row r="1053">
      <c r="A1053" s="39">
        <f>IF($B1053="","",COUNTA($B$4:$B1053))</f>
        <v/>
      </c>
      <c r="B1053" s="45" t="n"/>
      <c r="C1053" s="46" t="n"/>
      <c r="D1053" s="46" t="n"/>
      <c r="E1053" s="46" t="n"/>
      <c r="F1053" s="51" t="n"/>
      <c r="G1053" s="47" t="n"/>
      <c r="H1053" s="47" t="n"/>
      <c r="I1053" s="43">
        <f>IF($B1053="","",N($G1053)-N($H1053))</f>
        <v/>
      </c>
    </row>
    <row r="1054">
      <c r="A1054" s="39">
        <f>IF($B1054="","",COUNTA($B$4:$B1054))</f>
        <v/>
      </c>
      <c r="B1054" s="40" t="n"/>
      <c r="C1054" s="41" t="n"/>
      <c r="D1054" s="41" t="n"/>
      <c r="E1054" s="41" t="n"/>
      <c r="F1054" s="50" t="n"/>
      <c r="G1054" s="42" t="n"/>
      <c r="H1054" s="42" t="n"/>
      <c r="I1054" s="43">
        <f>IF($B1054="","",N($G1054)-N($H1054))</f>
        <v/>
      </c>
    </row>
    <row r="1055">
      <c r="A1055" s="39">
        <f>IF($B1055="","",COUNTA($B$4:$B1055))</f>
        <v/>
      </c>
      <c r="B1055" s="45" t="n"/>
      <c r="C1055" s="46" t="n"/>
      <c r="D1055" s="46" t="n"/>
      <c r="E1055" s="46" t="n"/>
      <c r="F1055" s="51" t="n"/>
      <c r="G1055" s="47" t="n"/>
      <c r="H1055" s="47" t="n"/>
      <c r="I1055" s="43">
        <f>IF($B1055="","",N($G1055)-N($H1055))</f>
        <v/>
      </c>
    </row>
    <row r="1056">
      <c r="A1056" s="39">
        <f>IF($B1056="","",COUNTA($B$4:$B1056))</f>
        <v/>
      </c>
      <c r="B1056" s="40" t="n"/>
      <c r="C1056" s="41" t="n"/>
      <c r="D1056" s="41" t="n"/>
      <c r="E1056" s="41" t="n"/>
      <c r="F1056" s="50" t="n"/>
      <c r="G1056" s="42" t="n"/>
      <c r="H1056" s="42" t="n"/>
      <c r="I1056" s="43">
        <f>IF($B1056="","",N($G1056)-N($H1056))</f>
        <v/>
      </c>
    </row>
    <row r="1057">
      <c r="A1057" s="39">
        <f>IF($B1057="","",COUNTA($B$4:$B1057))</f>
        <v/>
      </c>
      <c r="B1057" s="45" t="n"/>
      <c r="C1057" s="46" t="n"/>
      <c r="D1057" s="46" t="n"/>
      <c r="E1057" s="46" t="n"/>
      <c r="F1057" s="51" t="n"/>
      <c r="G1057" s="47" t="n"/>
      <c r="H1057" s="47" t="n"/>
      <c r="I1057" s="43">
        <f>IF($B1057="","",N($G1057)-N($H1057))</f>
        <v/>
      </c>
    </row>
    <row r="1058">
      <c r="A1058" s="39">
        <f>IF($B1058="","",COUNTA($B$4:$B1058))</f>
        <v/>
      </c>
      <c r="B1058" s="40" t="n"/>
      <c r="C1058" s="41" t="n"/>
      <c r="D1058" s="41" t="n"/>
      <c r="E1058" s="41" t="n"/>
      <c r="F1058" s="50" t="n"/>
      <c r="G1058" s="42" t="n"/>
      <c r="H1058" s="42" t="n"/>
      <c r="I1058" s="43">
        <f>IF($B1058="","",N($G1058)-N($H1058))</f>
        <v/>
      </c>
    </row>
    <row r="1059">
      <c r="A1059" s="39">
        <f>IF($B1059="","",COUNTA($B$4:$B1059))</f>
        <v/>
      </c>
      <c r="B1059" s="45" t="n"/>
      <c r="C1059" s="46" t="n"/>
      <c r="D1059" s="46" t="n"/>
      <c r="E1059" s="46" t="n"/>
      <c r="F1059" s="51" t="n"/>
      <c r="G1059" s="47" t="n"/>
      <c r="H1059" s="47" t="n"/>
      <c r="I1059" s="43">
        <f>IF($B1059="","",N($G1059)-N($H1059))</f>
        <v/>
      </c>
    </row>
    <row r="1060">
      <c r="A1060" s="39">
        <f>IF($B1060="","",COUNTA($B$4:$B1060))</f>
        <v/>
      </c>
      <c r="B1060" s="40" t="n"/>
      <c r="C1060" s="41" t="n"/>
      <c r="D1060" s="41" t="n"/>
      <c r="E1060" s="41" t="n"/>
      <c r="F1060" s="50" t="n"/>
      <c r="G1060" s="42" t="n"/>
      <c r="H1060" s="42" t="n"/>
      <c r="I1060" s="43">
        <f>IF($B1060="","",N($G1060)-N($H1060))</f>
        <v/>
      </c>
    </row>
    <row r="1061">
      <c r="A1061" s="39">
        <f>IF($B1061="","",COUNTA($B$4:$B1061))</f>
        <v/>
      </c>
      <c r="B1061" s="45" t="n"/>
      <c r="C1061" s="46" t="n"/>
      <c r="D1061" s="46" t="n"/>
      <c r="E1061" s="46" t="n"/>
      <c r="F1061" s="51" t="n"/>
      <c r="G1061" s="47" t="n"/>
      <c r="H1061" s="47" t="n"/>
      <c r="I1061" s="43">
        <f>IF($B1061="","",N($G1061)-N($H1061))</f>
        <v/>
      </c>
    </row>
    <row r="1062">
      <c r="A1062" s="39">
        <f>IF($B1062="","",COUNTA($B$4:$B1062))</f>
        <v/>
      </c>
      <c r="B1062" s="40" t="n"/>
      <c r="C1062" s="41" t="n"/>
      <c r="D1062" s="41" t="n"/>
      <c r="E1062" s="41" t="n"/>
      <c r="F1062" s="50" t="n"/>
      <c r="G1062" s="42" t="n"/>
      <c r="H1062" s="42" t="n"/>
      <c r="I1062" s="43">
        <f>IF($B1062="","",N($G1062)-N($H1062))</f>
        <v/>
      </c>
    </row>
    <row r="1063">
      <c r="A1063" s="39">
        <f>IF($B1063="","",COUNTA($B$4:$B1063))</f>
        <v/>
      </c>
      <c r="B1063" s="45" t="n"/>
      <c r="C1063" s="46" t="n"/>
      <c r="D1063" s="46" t="n"/>
      <c r="E1063" s="46" t="n"/>
      <c r="F1063" s="51" t="n"/>
      <c r="G1063" s="47" t="n"/>
      <c r="H1063" s="47" t="n"/>
      <c r="I1063" s="43">
        <f>IF($B1063="","",N($G1063)-N($H1063))</f>
        <v/>
      </c>
    </row>
    <row r="1064">
      <c r="A1064" s="39">
        <f>IF($B1064="","",COUNTA($B$4:$B1064))</f>
        <v/>
      </c>
      <c r="B1064" s="40" t="n"/>
      <c r="C1064" s="41" t="n"/>
      <c r="D1064" s="41" t="n"/>
      <c r="E1064" s="41" t="n"/>
      <c r="F1064" s="50" t="n"/>
      <c r="G1064" s="42" t="n"/>
      <c r="H1064" s="42" t="n"/>
      <c r="I1064" s="43">
        <f>IF($B1064="","",N($G1064)-N($H1064))</f>
        <v/>
      </c>
    </row>
    <row r="1065">
      <c r="A1065" s="39">
        <f>IF($B1065="","",COUNTA($B$4:$B1065))</f>
        <v/>
      </c>
      <c r="B1065" s="45" t="n"/>
      <c r="C1065" s="46" t="n"/>
      <c r="D1065" s="46" t="n"/>
      <c r="E1065" s="46" t="n"/>
      <c r="F1065" s="51" t="n"/>
      <c r="G1065" s="47" t="n"/>
      <c r="H1065" s="47" t="n"/>
      <c r="I1065" s="43">
        <f>IF($B1065="","",N($G1065)-N($H1065))</f>
        <v/>
      </c>
    </row>
    <row r="1066">
      <c r="A1066" s="39">
        <f>IF($B1066="","",COUNTA($B$4:$B1066))</f>
        <v/>
      </c>
      <c r="B1066" s="40" t="n"/>
      <c r="C1066" s="41" t="n"/>
      <c r="D1066" s="41" t="n"/>
      <c r="E1066" s="41" t="n"/>
      <c r="F1066" s="50" t="n"/>
      <c r="G1066" s="42" t="n"/>
      <c r="H1066" s="42" t="n"/>
      <c r="I1066" s="43">
        <f>IF($B1066="","",N($G1066)-N($H1066))</f>
        <v/>
      </c>
    </row>
    <row r="1067">
      <c r="A1067" s="39">
        <f>IF($B1067="","",COUNTA($B$4:$B1067))</f>
        <v/>
      </c>
      <c r="B1067" s="45" t="n"/>
      <c r="C1067" s="46" t="n"/>
      <c r="D1067" s="46" t="n"/>
      <c r="E1067" s="46" t="n"/>
      <c r="F1067" s="51" t="n"/>
      <c r="G1067" s="47" t="n"/>
      <c r="H1067" s="47" t="n"/>
      <c r="I1067" s="43">
        <f>IF($B1067="","",N($G1067)-N($H1067))</f>
        <v/>
      </c>
    </row>
    <row r="1068">
      <c r="A1068" s="39">
        <f>IF($B1068="","",COUNTA($B$4:$B1068))</f>
        <v/>
      </c>
      <c r="B1068" s="40" t="n"/>
      <c r="C1068" s="41" t="n"/>
      <c r="D1068" s="41" t="n"/>
      <c r="E1068" s="41" t="n"/>
      <c r="F1068" s="50" t="n"/>
      <c r="G1068" s="42" t="n"/>
      <c r="H1068" s="42" t="n"/>
      <c r="I1068" s="43">
        <f>IF($B1068="","",N($G1068)-N($H1068))</f>
        <v/>
      </c>
    </row>
    <row r="1069">
      <c r="A1069" s="39">
        <f>IF($B1069="","",COUNTA($B$4:$B1069))</f>
        <v/>
      </c>
      <c r="B1069" s="45" t="n"/>
      <c r="C1069" s="46" t="n"/>
      <c r="D1069" s="46" t="n"/>
      <c r="E1069" s="46" t="n"/>
      <c r="F1069" s="51" t="n"/>
      <c r="G1069" s="47" t="n"/>
      <c r="H1069" s="47" t="n"/>
      <c r="I1069" s="43">
        <f>IF($B1069="","",N($G1069)-N($H1069))</f>
        <v/>
      </c>
    </row>
    <row r="1070">
      <c r="A1070" s="39">
        <f>IF($B1070="","",COUNTA($B$4:$B1070))</f>
        <v/>
      </c>
      <c r="B1070" s="40" t="n"/>
      <c r="C1070" s="41" t="n"/>
      <c r="D1070" s="41" t="n"/>
      <c r="E1070" s="41" t="n"/>
      <c r="F1070" s="50" t="n"/>
      <c r="G1070" s="42" t="n"/>
      <c r="H1070" s="42" t="n"/>
      <c r="I1070" s="43">
        <f>IF($B1070="","",N($G1070)-N($H1070))</f>
        <v/>
      </c>
    </row>
    <row r="1071">
      <c r="A1071" s="39">
        <f>IF($B1071="","",COUNTA($B$4:$B1071))</f>
        <v/>
      </c>
      <c r="B1071" s="45" t="n"/>
      <c r="C1071" s="46" t="n"/>
      <c r="D1071" s="46" t="n"/>
      <c r="E1071" s="46" t="n"/>
      <c r="F1071" s="51" t="n"/>
      <c r="G1071" s="47" t="n"/>
      <c r="H1071" s="47" t="n"/>
      <c r="I1071" s="43">
        <f>IF($B1071="","",N($G1071)-N($H1071))</f>
        <v/>
      </c>
    </row>
    <row r="1072">
      <c r="A1072" s="39">
        <f>IF($B1072="","",COUNTA($B$4:$B1072))</f>
        <v/>
      </c>
      <c r="B1072" s="40" t="n"/>
      <c r="C1072" s="41" t="n"/>
      <c r="D1072" s="41" t="n"/>
      <c r="E1072" s="41" t="n"/>
      <c r="F1072" s="50" t="n"/>
      <c r="G1072" s="42" t="n"/>
      <c r="H1072" s="42" t="n"/>
      <c r="I1072" s="43">
        <f>IF($B1072="","",N($G1072)-N($H1072))</f>
        <v/>
      </c>
    </row>
    <row r="1073">
      <c r="A1073" s="39">
        <f>IF($B1073="","",COUNTA($B$4:$B1073))</f>
        <v/>
      </c>
      <c r="B1073" s="45" t="n"/>
      <c r="C1073" s="46" t="n"/>
      <c r="D1073" s="46" t="n"/>
      <c r="E1073" s="46" t="n"/>
      <c r="F1073" s="51" t="n"/>
      <c r="G1073" s="47" t="n"/>
      <c r="H1073" s="47" t="n"/>
      <c r="I1073" s="43">
        <f>IF($B1073="","",N($G1073)-N($H1073))</f>
        <v/>
      </c>
    </row>
    <row r="1074">
      <c r="A1074" s="39">
        <f>IF($B1074="","",COUNTA($B$4:$B1074))</f>
        <v/>
      </c>
      <c r="B1074" s="40" t="n"/>
      <c r="C1074" s="41" t="n"/>
      <c r="D1074" s="41" t="n"/>
      <c r="E1074" s="41" t="n"/>
      <c r="F1074" s="50" t="n"/>
      <c r="G1074" s="42" t="n"/>
      <c r="H1074" s="42" t="n"/>
      <c r="I1074" s="43">
        <f>IF($B1074="","",N($G1074)-N($H1074))</f>
        <v/>
      </c>
    </row>
    <row r="1075">
      <c r="A1075" s="39">
        <f>IF($B1075="","",COUNTA($B$4:$B1075))</f>
        <v/>
      </c>
      <c r="B1075" s="45" t="n"/>
      <c r="C1075" s="46" t="n"/>
      <c r="D1075" s="46" t="n"/>
      <c r="E1075" s="46" t="n"/>
      <c r="F1075" s="51" t="n"/>
      <c r="G1075" s="47" t="n"/>
      <c r="H1075" s="47" t="n"/>
      <c r="I1075" s="43">
        <f>IF($B1075="","",N($G1075)-N($H1075))</f>
        <v/>
      </c>
    </row>
    <row r="1076">
      <c r="A1076" s="39">
        <f>IF($B1076="","",COUNTA($B$4:$B1076))</f>
        <v/>
      </c>
      <c r="B1076" s="40" t="n"/>
      <c r="C1076" s="41" t="n"/>
      <c r="D1076" s="41" t="n"/>
      <c r="E1076" s="41" t="n"/>
      <c r="F1076" s="50" t="n"/>
      <c r="G1076" s="42" t="n"/>
      <c r="H1076" s="42" t="n"/>
      <c r="I1076" s="43">
        <f>IF($B1076="","",N($G1076)-N($H1076))</f>
        <v/>
      </c>
    </row>
    <row r="1077">
      <c r="A1077" s="39">
        <f>IF($B1077="","",COUNTA($B$4:$B1077))</f>
        <v/>
      </c>
      <c r="B1077" s="45" t="n"/>
      <c r="C1077" s="46" t="n"/>
      <c r="D1077" s="46" t="n"/>
      <c r="E1077" s="46" t="n"/>
      <c r="F1077" s="51" t="n"/>
      <c r="G1077" s="47" t="n"/>
      <c r="H1077" s="47" t="n"/>
      <c r="I1077" s="43">
        <f>IF($B1077="","",N($G1077)-N($H1077))</f>
        <v/>
      </c>
    </row>
    <row r="1078">
      <c r="A1078" s="39">
        <f>IF($B1078="","",COUNTA($B$4:$B1078))</f>
        <v/>
      </c>
      <c r="B1078" s="40" t="n"/>
      <c r="C1078" s="41" t="n"/>
      <c r="D1078" s="41" t="n"/>
      <c r="E1078" s="41" t="n"/>
      <c r="F1078" s="50" t="n"/>
      <c r="G1078" s="42" t="n"/>
      <c r="H1078" s="42" t="n"/>
      <c r="I1078" s="43">
        <f>IF($B1078="","",N($G1078)-N($H1078))</f>
        <v/>
      </c>
    </row>
    <row r="1079">
      <c r="A1079" s="39">
        <f>IF($B1079="","",COUNTA($B$4:$B1079))</f>
        <v/>
      </c>
      <c r="B1079" s="45" t="n"/>
      <c r="C1079" s="46" t="n"/>
      <c r="D1079" s="46" t="n"/>
      <c r="E1079" s="46" t="n"/>
      <c r="F1079" s="51" t="n"/>
      <c r="G1079" s="47" t="n"/>
      <c r="H1079" s="47" t="n"/>
      <c r="I1079" s="43">
        <f>IF($B1079="","",N($G1079)-N($H1079))</f>
        <v/>
      </c>
    </row>
    <row r="1080">
      <c r="A1080" s="39">
        <f>IF($B1080="","",COUNTA($B$4:$B1080))</f>
        <v/>
      </c>
      <c r="B1080" s="40" t="n"/>
      <c r="C1080" s="41" t="n"/>
      <c r="D1080" s="41" t="n"/>
      <c r="E1080" s="41" t="n"/>
      <c r="F1080" s="50" t="n"/>
      <c r="G1080" s="42" t="n"/>
      <c r="H1080" s="42" t="n"/>
      <c r="I1080" s="43">
        <f>IF($B1080="","",N($G1080)-N($H1080))</f>
        <v/>
      </c>
    </row>
    <row r="1081">
      <c r="A1081" s="39">
        <f>IF($B1081="","",COUNTA($B$4:$B1081))</f>
        <v/>
      </c>
      <c r="B1081" s="45" t="n"/>
      <c r="C1081" s="46" t="n"/>
      <c r="D1081" s="46" t="n"/>
      <c r="E1081" s="46" t="n"/>
      <c r="F1081" s="51" t="n"/>
      <c r="G1081" s="47" t="n"/>
      <c r="H1081" s="47" t="n"/>
      <c r="I1081" s="43">
        <f>IF($B1081="","",N($G1081)-N($H1081))</f>
        <v/>
      </c>
    </row>
    <row r="1082">
      <c r="A1082" s="39">
        <f>IF($B1082="","",COUNTA($B$4:$B1082))</f>
        <v/>
      </c>
      <c r="B1082" s="40" t="n"/>
      <c r="C1082" s="41" t="n"/>
      <c r="D1082" s="41" t="n"/>
      <c r="E1082" s="41" t="n"/>
      <c r="F1082" s="50" t="n"/>
      <c r="G1082" s="42" t="n"/>
      <c r="H1082" s="42" t="n"/>
      <c r="I1082" s="43">
        <f>IF($B1082="","",N($G1082)-N($H1082))</f>
        <v/>
      </c>
    </row>
    <row r="1083">
      <c r="A1083" s="39">
        <f>IF($B1083="","",COUNTA($B$4:$B1083))</f>
        <v/>
      </c>
      <c r="B1083" s="45" t="n"/>
      <c r="C1083" s="46" t="n"/>
      <c r="D1083" s="46" t="n"/>
      <c r="E1083" s="46" t="n"/>
      <c r="F1083" s="51" t="n"/>
      <c r="G1083" s="47" t="n"/>
      <c r="H1083" s="47" t="n"/>
      <c r="I1083" s="43">
        <f>IF($B1083="","",N($G1083)-N($H1083))</f>
        <v/>
      </c>
    </row>
    <row r="1084">
      <c r="A1084" s="39">
        <f>IF($B1084="","",COUNTA($B$4:$B1084))</f>
        <v/>
      </c>
      <c r="B1084" s="40" t="n"/>
      <c r="C1084" s="41" t="n"/>
      <c r="D1084" s="41" t="n"/>
      <c r="E1084" s="41" t="n"/>
      <c r="F1084" s="50" t="n"/>
      <c r="G1084" s="42" t="n"/>
      <c r="H1084" s="42" t="n"/>
      <c r="I1084" s="43">
        <f>IF($B1084="","",N($G1084)-N($H1084))</f>
        <v/>
      </c>
    </row>
    <row r="1085">
      <c r="A1085" s="39">
        <f>IF($B1085="","",COUNTA($B$4:$B1085))</f>
        <v/>
      </c>
      <c r="B1085" s="45" t="n"/>
      <c r="C1085" s="46" t="n"/>
      <c r="D1085" s="46" t="n"/>
      <c r="E1085" s="46" t="n"/>
      <c r="F1085" s="51" t="n"/>
      <c r="G1085" s="47" t="n"/>
      <c r="H1085" s="47" t="n"/>
      <c r="I1085" s="43">
        <f>IF($B1085="","",N($G1085)-N($H1085))</f>
        <v/>
      </c>
    </row>
    <row r="1086">
      <c r="A1086" s="39">
        <f>IF($B1086="","",COUNTA($B$4:$B1086))</f>
        <v/>
      </c>
      <c r="B1086" s="40" t="n"/>
      <c r="C1086" s="41" t="n"/>
      <c r="D1086" s="41" t="n"/>
      <c r="E1086" s="41" t="n"/>
      <c r="F1086" s="50" t="n"/>
      <c r="G1086" s="42" t="n"/>
      <c r="H1086" s="42" t="n"/>
      <c r="I1086" s="43">
        <f>IF($B1086="","",N($G1086)-N($H1086))</f>
        <v/>
      </c>
    </row>
    <row r="1087">
      <c r="A1087" s="39">
        <f>IF($B1087="","",COUNTA($B$4:$B1087))</f>
        <v/>
      </c>
      <c r="B1087" s="45" t="n"/>
      <c r="C1087" s="46" t="n"/>
      <c r="D1087" s="46" t="n"/>
      <c r="E1087" s="46" t="n"/>
      <c r="F1087" s="51" t="n"/>
      <c r="G1087" s="47" t="n"/>
      <c r="H1087" s="47" t="n"/>
      <c r="I1087" s="43">
        <f>IF($B1087="","",N($G1087)-N($H1087))</f>
        <v/>
      </c>
    </row>
    <row r="1088">
      <c r="A1088" s="39">
        <f>IF($B1088="","",COUNTA($B$4:$B1088))</f>
        <v/>
      </c>
      <c r="B1088" s="40" t="n"/>
      <c r="C1088" s="41" t="n"/>
      <c r="D1088" s="41" t="n"/>
      <c r="E1088" s="41" t="n"/>
      <c r="F1088" s="50" t="n"/>
      <c r="G1088" s="42" t="n"/>
      <c r="H1088" s="42" t="n"/>
      <c r="I1088" s="43">
        <f>IF($B1088="","",N($G1088)-N($H1088))</f>
        <v/>
      </c>
    </row>
    <row r="1089">
      <c r="A1089" s="39">
        <f>IF($B1089="","",COUNTA($B$4:$B1089))</f>
        <v/>
      </c>
      <c r="B1089" s="45" t="n"/>
      <c r="C1089" s="46" t="n"/>
      <c r="D1089" s="46" t="n"/>
      <c r="E1089" s="46" t="n"/>
      <c r="F1089" s="51" t="n"/>
      <c r="G1089" s="47" t="n"/>
      <c r="H1089" s="47" t="n"/>
      <c r="I1089" s="43">
        <f>IF($B1089="","",N($G1089)-N($H1089))</f>
        <v/>
      </c>
    </row>
    <row r="1090">
      <c r="A1090" s="39">
        <f>IF($B1090="","",COUNTA($B$4:$B1090))</f>
        <v/>
      </c>
      <c r="B1090" s="40" t="n"/>
      <c r="C1090" s="41" t="n"/>
      <c r="D1090" s="41" t="n"/>
      <c r="E1090" s="41" t="n"/>
      <c r="F1090" s="50" t="n"/>
      <c r="G1090" s="42" t="n"/>
      <c r="H1090" s="42" t="n"/>
      <c r="I1090" s="43">
        <f>IF($B1090="","",N($G1090)-N($H1090))</f>
        <v/>
      </c>
    </row>
    <row r="1091">
      <c r="A1091" s="39">
        <f>IF($B1091="","",COUNTA($B$4:$B1091))</f>
        <v/>
      </c>
      <c r="B1091" s="45" t="n"/>
      <c r="C1091" s="46" t="n"/>
      <c r="D1091" s="46" t="n"/>
      <c r="E1091" s="46" t="n"/>
      <c r="F1091" s="51" t="n"/>
      <c r="G1091" s="47" t="n"/>
      <c r="H1091" s="47" t="n"/>
      <c r="I1091" s="43">
        <f>IF($B1091="","",N($G1091)-N($H1091))</f>
        <v/>
      </c>
    </row>
    <row r="1092">
      <c r="A1092" s="39">
        <f>IF($B1092="","",COUNTA($B$4:$B1092))</f>
        <v/>
      </c>
      <c r="B1092" s="40" t="n"/>
      <c r="C1092" s="41" t="n"/>
      <c r="D1092" s="41" t="n"/>
      <c r="E1092" s="41" t="n"/>
      <c r="F1092" s="50" t="n"/>
      <c r="G1092" s="42" t="n"/>
      <c r="H1092" s="42" t="n"/>
      <c r="I1092" s="43">
        <f>IF($B1092="","",N($G1092)-N($H1092))</f>
        <v/>
      </c>
    </row>
    <row r="1093">
      <c r="A1093" s="39">
        <f>IF($B1093="","",COUNTA($B$4:$B1093))</f>
        <v/>
      </c>
      <c r="B1093" s="45" t="n"/>
      <c r="C1093" s="46" t="n"/>
      <c r="D1093" s="46" t="n"/>
      <c r="E1093" s="46" t="n"/>
      <c r="F1093" s="51" t="n"/>
      <c r="G1093" s="47" t="n"/>
      <c r="H1093" s="47" t="n"/>
      <c r="I1093" s="43">
        <f>IF($B1093="","",N($G1093)-N($H1093))</f>
        <v/>
      </c>
    </row>
    <row r="1094">
      <c r="A1094" s="39">
        <f>IF($B1094="","",COUNTA($B$4:$B1094))</f>
        <v/>
      </c>
      <c r="B1094" s="40" t="n"/>
      <c r="C1094" s="41" t="n"/>
      <c r="D1094" s="41" t="n"/>
      <c r="E1094" s="41" t="n"/>
      <c r="F1094" s="50" t="n"/>
      <c r="G1094" s="42" t="n"/>
      <c r="H1094" s="42" t="n"/>
      <c r="I1094" s="43">
        <f>IF($B1094="","",N($G1094)-N($H1094))</f>
        <v/>
      </c>
    </row>
    <row r="1095">
      <c r="A1095" s="39">
        <f>IF($B1095="","",COUNTA($B$4:$B1095))</f>
        <v/>
      </c>
      <c r="B1095" s="45" t="n"/>
      <c r="C1095" s="46" t="n"/>
      <c r="D1095" s="46" t="n"/>
      <c r="E1095" s="46" t="n"/>
      <c r="F1095" s="51" t="n"/>
      <c r="G1095" s="47" t="n"/>
      <c r="H1095" s="47" t="n"/>
      <c r="I1095" s="43">
        <f>IF($B1095="","",N($G1095)-N($H1095))</f>
        <v/>
      </c>
    </row>
    <row r="1096">
      <c r="A1096" s="39">
        <f>IF($B1096="","",COUNTA($B$4:$B1096))</f>
        <v/>
      </c>
      <c r="B1096" s="40" t="n"/>
      <c r="C1096" s="41" t="n"/>
      <c r="D1096" s="41" t="n"/>
      <c r="E1096" s="41" t="n"/>
      <c r="F1096" s="50" t="n"/>
      <c r="G1096" s="42" t="n"/>
      <c r="H1096" s="42" t="n"/>
      <c r="I1096" s="43">
        <f>IF($B1096="","",N($G1096)-N($H1096))</f>
        <v/>
      </c>
    </row>
    <row r="1097">
      <c r="A1097" s="39">
        <f>IF($B1097="","",COUNTA($B$4:$B1097))</f>
        <v/>
      </c>
      <c r="B1097" s="45" t="n"/>
      <c r="C1097" s="46" t="n"/>
      <c r="D1097" s="46" t="n"/>
      <c r="E1097" s="46" t="n"/>
      <c r="F1097" s="51" t="n"/>
      <c r="G1097" s="47" t="n"/>
      <c r="H1097" s="47" t="n"/>
      <c r="I1097" s="43">
        <f>IF($B1097="","",N($G1097)-N($H1097))</f>
        <v/>
      </c>
    </row>
    <row r="1098">
      <c r="A1098" s="39">
        <f>IF($B1098="","",COUNTA($B$4:$B1098))</f>
        <v/>
      </c>
      <c r="B1098" s="40" t="n"/>
      <c r="C1098" s="41" t="n"/>
      <c r="D1098" s="41" t="n"/>
      <c r="E1098" s="41" t="n"/>
      <c r="F1098" s="50" t="n"/>
      <c r="G1098" s="42" t="n"/>
      <c r="H1098" s="42" t="n"/>
      <c r="I1098" s="43">
        <f>IF($B1098="","",N($G1098)-N($H1098))</f>
        <v/>
      </c>
    </row>
    <row r="1099">
      <c r="A1099" s="39">
        <f>IF($B1099="","",COUNTA($B$4:$B1099))</f>
        <v/>
      </c>
      <c r="B1099" s="45" t="n"/>
      <c r="C1099" s="46" t="n"/>
      <c r="D1099" s="46" t="n"/>
      <c r="E1099" s="46" t="n"/>
      <c r="F1099" s="51" t="n"/>
      <c r="G1099" s="47" t="n"/>
      <c r="H1099" s="47" t="n"/>
      <c r="I1099" s="43">
        <f>IF($B1099="","",N($G1099)-N($H1099))</f>
        <v/>
      </c>
    </row>
    <row r="1100">
      <c r="A1100" s="39">
        <f>IF($B1100="","",COUNTA($B$4:$B1100))</f>
        <v/>
      </c>
      <c r="B1100" s="40" t="n"/>
      <c r="C1100" s="41" t="n"/>
      <c r="D1100" s="41" t="n"/>
      <c r="E1100" s="41" t="n"/>
      <c r="F1100" s="50" t="n"/>
      <c r="G1100" s="42" t="n"/>
      <c r="H1100" s="42" t="n"/>
      <c r="I1100" s="43">
        <f>IF($B1100="","",N($G1100)-N($H1100))</f>
        <v/>
      </c>
    </row>
    <row r="1101">
      <c r="A1101" s="39">
        <f>IF($B1101="","",COUNTA($B$4:$B1101))</f>
        <v/>
      </c>
      <c r="B1101" s="45" t="n"/>
      <c r="C1101" s="46" t="n"/>
      <c r="D1101" s="46" t="n"/>
      <c r="E1101" s="46" t="n"/>
      <c r="F1101" s="51" t="n"/>
      <c r="G1101" s="47" t="n"/>
      <c r="H1101" s="47" t="n"/>
      <c r="I1101" s="43">
        <f>IF($B1101="","",N($G1101)-N($H1101))</f>
        <v/>
      </c>
    </row>
    <row r="1102">
      <c r="A1102" s="39">
        <f>IF($B1102="","",COUNTA($B$4:$B1102))</f>
        <v/>
      </c>
      <c r="B1102" s="40" t="n"/>
      <c r="C1102" s="41" t="n"/>
      <c r="D1102" s="41" t="n"/>
      <c r="E1102" s="41" t="n"/>
      <c r="F1102" s="50" t="n"/>
      <c r="G1102" s="42" t="n"/>
      <c r="H1102" s="42" t="n"/>
      <c r="I1102" s="43">
        <f>IF($B1102="","",N($G1102)-N($H1102))</f>
        <v/>
      </c>
    </row>
    <row r="1103">
      <c r="A1103" s="39">
        <f>IF($B1103="","",COUNTA($B$4:$B1103))</f>
        <v/>
      </c>
      <c r="B1103" s="45" t="n"/>
      <c r="C1103" s="46" t="n"/>
      <c r="D1103" s="46" t="n"/>
      <c r="E1103" s="46" t="n"/>
      <c r="F1103" s="51" t="n"/>
      <c r="G1103" s="47" t="n"/>
      <c r="H1103" s="47" t="n"/>
      <c r="I1103" s="43">
        <f>IF($B1103="","",N($G1103)-N($H1103))</f>
        <v/>
      </c>
    </row>
    <row r="1104">
      <c r="A1104" s="39">
        <f>IF($B1104="","",COUNTA($B$4:$B1104))</f>
        <v/>
      </c>
      <c r="B1104" s="40" t="n"/>
      <c r="C1104" s="41" t="n"/>
      <c r="D1104" s="41" t="n"/>
      <c r="E1104" s="41" t="n"/>
      <c r="F1104" s="50" t="n"/>
      <c r="G1104" s="42" t="n"/>
      <c r="H1104" s="42" t="n"/>
      <c r="I1104" s="43">
        <f>IF($B1104="","",N($G1104)-N($H1104))</f>
        <v/>
      </c>
    </row>
    <row r="1105">
      <c r="A1105" s="39">
        <f>IF($B1105="","",COUNTA($B$4:$B1105))</f>
        <v/>
      </c>
      <c r="B1105" s="45" t="n"/>
      <c r="C1105" s="46" t="n"/>
      <c r="D1105" s="46" t="n"/>
      <c r="E1105" s="46" t="n"/>
      <c r="F1105" s="51" t="n"/>
      <c r="G1105" s="47" t="n"/>
      <c r="H1105" s="47" t="n"/>
      <c r="I1105" s="43">
        <f>IF($B1105="","",N($G1105)-N($H1105))</f>
        <v/>
      </c>
    </row>
    <row r="1106">
      <c r="A1106" s="39">
        <f>IF($B1106="","",COUNTA($B$4:$B1106))</f>
        <v/>
      </c>
      <c r="B1106" s="40" t="n"/>
      <c r="C1106" s="41" t="n"/>
      <c r="D1106" s="41" t="n"/>
      <c r="E1106" s="41" t="n"/>
      <c r="F1106" s="50" t="n"/>
      <c r="G1106" s="42" t="n"/>
      <c r="H1106" s="42" t="n"/>
      <c r="I1106" s="43">
        <f>IF($B1106="","",N($G1106)-N($H1106))</f>
        <v/>
      </c>
    </row>
    <row r="1107">
      <c r="A1107" s="39">
        <f>IF($B1107="","",COUNTA($B$4:$B1107))</f>
        <v/>
      </c>
      <c r="B1107" s="45" t="n"/>
      <c r="C1107" s="46" t="n"/>
      <c r="D1107" s="46" t="n"/>
      <c r="E1107" s="46" t="n"/>
      <c r="F1107" s="51" t="n"/>
      <c r="G1107" s="47" t="n"/>
      <c r="H1107" s="47" t="n"/>
      <c r="I1107" s="43">
        <f>IF($B1107="","",N($G1107)-N($H1107))</f>
        <v/>
      </c>
    </row>
    <row r="1108">
      <c r="A1108" s="39">
        <f>IF($B1108="","",COUNTA($B$4:$B1108))</f>
        <v/>
      </c>
      <c r="B1108" s="40" t="n"/>
      <c r="C1108" s="41" t="n"/>
      <c r="D1108" s="41" t="n"/>
      <c r="E1108" s="41" t="n"/>
      <c r="F1108" s="50" t="n"/>
      <c r="G1108" s="42" t="n"/>
      <c r="H1108" s="42" t="n"/>
      <c r="I1108" s="43">
        <f>IF($B1108="","",N($G1108)-N($H1108))</f>
        <v/>
      </c>
    </row>
    <row r="1109">
      <c r="A1109" s="39">
        <f>IF($B1109="","",COUNTA($B$4:$B1109))</f>
        <v/>
      </c>
      <c r="B1109" s="45" t="n"/>
      <c r="C1109" s="46" t="n"/>
      <c r="D1109" s="46" t="n"/>
      <c r="E1109" s="46" t="n"/>
      <c r="F1109" s="51" t="n"/>
      <c r="G1109" s="47" t="n"/>
      <c r="H1109" s="47" t="n"/>
      <c r="I1109" s="43">
        <f>IF($B1109="","",N($G1109)-N($H1109))</f>
        <v/>
      </c>
    </row>
    <row r="1110">
      <c r="A1110" s="39">
        <f>IF($B1110="","",COUNTA($B$4:$B1110))</f>
        <v/>
      </c>
      <c r="B1110" s="40" t="n"/>
      <c r="C1110" s="41" t="n"/>
      <c r="D1110" s="41" t="n"/>
      <c r="E1110" s="41" t="n"/>
      <c r="F1110" s="50" t="n"/>
      <c r="G1110" s="42" t="n"/>
      <c r="H1110" s="42" t="n"/>
      <c r="I1110" s="43">
        <f>IF($B1110="","",N($G1110)-N($H1110))</f>
        <v/>
      </c>
    </row>
    <row r="1111">
      <c r="A1111" s="39">
        <f>IF($B1111="","",COUNTA($B$4:$B1111))</f>
        <v/>
      </c>
      <c r="B1111" s="45" t="n"/>
      <c r="C1111" s="46" t="n"/>
      <c r="D1111" s="46" t="n"/>
      <c r="E1111" s="46" t="n"/>
      <c r="F1111" s="51" t="n"/>
      <c r="G1111" s="47" t="n"/>
      <c r="H1111" s="47" t="n"/>
      <c r="I1111" s="43">
        <f>IF($B1111="","",N($G1111)-N($H1111))</f>
        <v/>
      </c>
    </row>
    <row r="1112">
      <c r="A1112" s="39">
        <f>IF($B1112="","",COUNTA($B$4:$B1112))</f>
        <v/>
      </c>
      <c r="B1112" s="40" t="n"/>
      <c r="C1112" s="41" t="n"/>
      <c r="D1112" s="41" t="n"/>
      <c r="E1112" s="41" t="n"/>
      <c r="F1112" s="50" t="n"/>
      <c r="G1112" s="42" t="n"/>
      <c r="H1112" s="42" t="n"/>
      <c r="I1112" s="43">
        <f>IF($B1112="","",N($G1112)-N($H1112))</f>
        <v/>
      </c>
    </row>
    <row r="1113">
      <c r="A1113" s="39">
        <f>IF($B1113="","",COUNTA($B$4:$B1113))</f>
        <v/>
      </c>
      <c r="B1113" s="45" t="n"/>
      <c r="C1113" s="46" t="n"/>
      <c r="D1113" s="46" t="n"/>
      <c r="E1113" s="46" t="n"/>
      <c r="F1113" s="51" t="n"/>
      <c r="G1113" s="47" t="n"/>
      <c r="H1113" s="47" t="n"/>
      <c r="I1113" s="43">
        <f>IF($B1113="","",N($G1113)-N($H1113))</f>
        <v/>
      </c>
    </row>
    <row r="1114">
      <c r="A1114" s="39">
        <f>IF($B1114="","",COUNTA($B$4:$B1114))</f>
        <v/>
      </c>
      <c r="B1114" s="40" t="n"/>
      <c r="C1114" s="41" t="n"/>
      <c r="D1114" s="41" t="n"/>
      <c r="E1114" s="41" t="n"/>
      <c r="F1114" s="50" t="n"/>
      <c r="G1114" s="42" t="n"/>
      <c r="H1114" s="42" t="n"/>
      <c r="I1114" s="43">
        <f>IF($B1114="","",N($G1114)-N($H1114))</f>
        <v/>
      </c>
    </row>
    <row r="1115">
      <c r="A1115" s="39">
        <f>IF($B1115="","",COUNTA($B$4:$B1115))</f>
        <v/>
      </c>
      <c r="B1115" s="45" t="n"/>
      <c r="C1115" s="46" t="n"/>
      <c r="D1115" s="46" t="n"/>
      <c r="E1115" s="46" t="n"/>
      <c r="F1115" s="51" t="n"/>
      <c r="G1115" s="47" t="n"/>
      <c r="H1115" s="47" t="n"/>
      <c r="I1115" s="43">
        <f>IF($B1115="","",N($G1115)-N($H1115))</f>
        <v/>
      </c>
    </row>
    <row r="1116">
      <c r="A1116" s="39">
        <f>IF($B1116="","",COUNTA($B$4:$B1116))</f>
        <v/>
      </c>
      <c r="B1116" s="40" t="n"/>
      <c r="C1116" s="41" t="n"/>
      <c r="D1116" s="41" t="n"/>
      <c r="E1116" s="41" t="n"/>
      <c r="F1116" s="50" t="n"/>
      <c r="G1116" s="42" t="n"/>
      <c r="H1116" s="42" t="n"/>
      <c r="I1116" s="43">
        <f>IF($B1116="","",N($G1116)-N($H1116))</f>
        <v/>
      </c>
    </row>
    <row r="1117">
      <c r="A1117" s="39">
        <f>IF($B1117="","",COUNTA($B$4:$B1117))</f>
        <v/>
      </c>
      <c r="B1117" s="45" t="n"/>
      <c r="C1117" s="46" t="n"/>
      <c r="D1117" s="46" t="n"/>
      <c r="E1117" s="46" t="n"/>
      <c r="F1117" s="51" t="n"/>
      <c r="G1117" s="47" t="n"/>
      <c r="H1117" s="47" t="n"/>
      <c r="I1117" s="43">
        <f>IF($B1117="","",N($G1117)-N($H1117))</f>
        <v/>
      </c>
    </row>
    <row r="1118">
      <c r="A1118" s="39">
        <f>IF($B1118="","",COUNTA($B$4:$B1118))</f>
        <v/>
      </c>
      <c r="B1118" s="40" t="n"/>
      <c r="C1118" s="41" t="n"/>
      <c r="D1118" s="41" t="n"/>
      <c r="E1118" s="41" t="n"/>
      <c r="F1118" s="50" t="n"/>
      <c r="G1118" s="42" t="n"/>
      <c r="H1118" s="42" t="n"/>
      <c r="I1118" s="43">
        <f>IF($B1118="","",N($G1118)-N($H1118))</f>
        <v/>
      </c>
    </row>
    <row r="1119">
      <c r="A1119" s="39">
        <f>IF($B1119="","",COUNTA($B$4:$B1119))</f>
        <v/>
      </c>
      <c r="B1119" s="45" t="n"/>
      <c r="C1119" s="46" t="n"/>
      <c r="D1119" s="46" t="n"/>
      <c r="E1119" s="46" t="n"/>
      <c r="F1119" s="51" t="n"/>
      <c r="G1119" s="47" t="n"/>
      <c r="H1119" s="47" t="n"/>
      <c r="I1119" s="43">
        <f>IF($B1119="","",N($G1119)-N($H1119))</f>
        <v/>
      </c>
    </row>
    <row r="1120">
      <c r="A1120" s="39">
        <f>IF($B1120="","",COUNTA($B$4:$B1120))</f>
        <v/>
      </c>
      <c r="B1120" s="40" t="n"/>
      <c r="C1120" s="41" t="n"/>
      <c r="D1120" s="41" t="n"/>
      <c r="E1120" s="41" t="n"/>
      <c r="F1120" s="50" t="n"/>
      <c r="G1120" s="42" t="n"/>
      <c r="H1120" s="42" t="n"/>
      <c r="I1120" s="43">
        <f>IF($B1120="","",N($G1120)-N($H1120))</f>
        <v/>
      </c>
    </row>
    <row r="1121">
      <c r="A1121" s="39">
        <f>IF($B1121="","",COUNTA($B$4:$B1121))</f>
        <v/>
      </c>
      <c r="B1121" s="45" t="n"/>
      <c r="C1121" s="46" t="n"/>
      <c r="D1121" s="46" t="n"/>
      <c r="E1121" s="46" t="n"/>
      <c r="F1121" s="51" t="n"/>
      <c r="G1121" s="47" t="n"/>
      <c r="H1121" s="47" t="n"/>
      <c r="I1121" s="43">
        <f>IF($B1121="","",N($G1121)-N($H1121))</f>
        <v/>
      </c>
    </row>
    <row r="1122">
      <c r="A1122" s="39">
        <f>IF($B1122="","",COUNTA($B$4:$B1122))</f>
        <v/>
      </c>
      <c r="B1122" s="40" t="n"/>
      <c r="C1122" s="41" t="n"/>
      <c r="D1122" s="41" t="n"/>
      <c r="E1122" s="41" t="n"/>
      <c r="F1122" s="50" t="n"/>
      <c r="G1122" s="42" t="n"/>
      <c r="H1122" s="42" t="n"/>
      <c r="I1122" s="43">
        <f>IF($B1122="","",N($G1122)-N($H1122))</f>
        <v/>
      </c>
    </row>
    <row r="1123">
      <c r="A1123" s="39">
        <f>IF($B1123="","",COUNTA($B$4:$B1123))</f>
        <v/>
      </c>
      <c r="B1123" s="45" t="n"/>
      <c r="C1123" s="46" t="n"/>
      <c r="D1123" s="46" t="n"/>
      <c r="E1123" s="46" t="n"/>
      <c r="F1123" s="51" t="n"/>
      <c r="G1123" s="47" t="n"/>
      <c r="H1123" s="47" t="n"/>
      <c r="I1123" s="43">
        <f>IF($B1123="","",N($G1123)-N($H1123))</f>
        <v/>
      </c>
    </row>
    <row r="1124">
      <c r="A1124" s="39">
        <f>IF($B1124="","",COUNTA($B$4:$B1124))</f>
        <v/>
      </c>
      <c r="B1124" s="40" t="n"/>
      <c r="C1124" s="41" t="n"/>
      <c r="D1124" s="41" t="n"/>
      <c r="E1124" s="41" t="n"/>
      <c r="F1124" s="50" t="n"/>
      <c r="G1124" s="42" t="n"/>
      <c r="H1124" s="42" t="n"/>
      <c r="I1124" s="43">
        <f>IF($B1124="","",N($G1124)-N($H1124))</f>
        <v/>
      </c>
    </row>
    <row r="1125">
      <c r="A1125" s="39">
        <f>IF($B1125="","",COUNTA($B$4:$B1125))</f>
        <v/>
      </c>
      <c r="B1125" s="45" t="n"/>
      <c r="C1125" s="46" t="n"/>
      <c r="D1125" s="46" t="n"/>
      <c r="E1125" s="46" t="n"/>
      <c r="F1125" s="51" t="n"/>
      <c r="G1125" s="47" t="n"/>
      <c r="H1125" s="47" t="n"/>
      <c r="I1125" s="43">
        <f>IF($B1125="","",N($G1125)-N($H1125))</f>
        <v/>
      </c>
    </row>
    <row r="1126">
      <c r="A1126" s="39">
        <f>IF($B1126="","",COUNTA($B$4:$B1126))</f>
        <v/>
      </c>
      <c r="B1126" s="40" t="n"/>
      <c r="C1126" s="41" t="n"/>
      <c r="D1126" s="41" t="n"/>
      <c r="E1126" s="41" t="n"/>
      <c r="F1126" s="50" t="n"/>
      <c r="G1126" s="42" t="n"/>
      <c r="H1126" s="42" t="n"/>
      <c r="I1126" s="43">
        <f>IF($B1126="","",N($G1126)-N($H1126))</f>
        <v/>
      </c>
    </row>
    <row r="1127">
      <c r="A1127" s="39">
        <f>IF($B1127="","",COUNTA($B$4:$B1127))</f>
        <v/>
      </c>
      <c r="B1127" s="45" t="n"/>
      <c r="C1127" s="46" t="n"/>
      <c r="D1127" s="46" t="n"/>
      <c r="E1127" s="46" t="n"/>
      <c r="F1127" s="51" t="n"/>
      <c r="G1127" s="47" t="n"/>
      <c r="H1127" s="47" t="n"/>
      <c r="I1127" s="43">
        <f>IF($B1127="","",N($G1127)-N($H1127))</f>
        <v/>
      </c>
    </row>
    <row r="1128">
      <c r="A1128" s="39">
        <f>IF($B1128="","",COUNTA($B$4:$B1128))</f>
        <v/>
      </c>
      <c r="B1128" s="40" t="n"/>
      <c r="C1128" s="41" t="n"/>
      <c r="D1128" s="41" t="n"/>
      <c r="E1128" s="41" t="n"/>
      <c r="F1128" s="50" t="n"/>
      <c r="G1128" s="42" t="n"/>
      <c r="H1128" s="42" t="n"/>
      <c r="I1128" s="43">
        <f>IF($B1128="","",N($G1128)-N($H1128))</f>
        <v/>
      </c>
    </row>
    <row r="1129">
      <c r="A1129" s="39">
        <f>IF($B1129="","",COUNTA($B$4:$B1129))</f>
        <v/>
      </c>
      <c r="B1129" s="45" t="n"/>
      <c r="C1129" s="46" t="n"/>
      <c r="D1129" s="46" t="n"/>
      <c r="E1129" s="46" t="n"/>
      <c r="F1129" s="51" t="n"/>
      <c r="G1129" s="47" t="n"/>
      <c r="H1129" s="47" t="n"/>
      <c r="I1129" s="43">
        <f>IF($B1129="","",N($G1129)-N($H1129))</f>
        <v/>
      </c>
    </row>
    <row r="1130">
      <c r="A1130" s="39">
        <f>IF($B1130="","",COUNTA($B$4:$B1130))</f>
        <v/>
      </c>
      <c r="B1130" s="40" t="n"/>
      <c r="C1130" s="41" t="n"/>
      <c r="D1130" s="41" t="n"/>
      <c r="E1130" s="41" t="n"/>
      <c r="F1130" s="50" t="n"/>
      <c r="G1130" s="42" t="n"/>
      <c r="H1130" s="42" t="n"/>
      <c r="I1130" s="43">
        <f>IF($B1130="","",N($G1130)-N($H1130))</f>
        <v/>
      </c>
    </row>
    <row r="1131">
      <c r="A1131" s="39">
        <f>IF($B1131="","",COUNTA($B$4:$B1131))</f>
        <v/>
      </c>
      <c r="B1131" s="45" t="n"/>
      <c r="C1131" s="46" t="n"/>
      <c r="D1131" s="46" t="n"/>
      <c r="E1131" s="46" t="n"/>
      <c r="F1131" s="51" t="n"/>
      <c r="G1131" s="47" t="n"/>
      <c r="H1131" s="47" t="n"/>
      <c r="I1131" s="43">
        <f>IF($B1131="","",N($G1131)-N($H1131))</f>
        <v/>
      </c>
    </row>
    <row r="1132">
      <c r="A1132" s="39">
        <f>IF($B1132="","",COUNTA($B$4:$B1132))</f>
        <v/>
      </c>
      <c r="B1132" s="40" t="n"/>
      <c r="C1132" s="41" t="n"/>
      <c r="D1132" s="41" t="n"/>
      <c r="E1132" s="41" t="n"/>
      <c r="F1132" s="50" t="n"/>
      <c r="G1132" s="42" t="n"/>
      <c r="H1132" s="42" t="n"/>
      <c r="I1132" s="43">
        <f>IF($B1132="","",N($G1132)-N($H1132))</f>
        <v/>
      </c>
    </row>
    <row r="1133">
      <c r="A1133" s="39">
        <f>IF($B1133="","",COUNTA($B$4:$B1133))</f>
        <v/>
      </c>
      <c r="B1133" s="45" t="n"/>
      <c r="C1133" s="46" t="n"/>
      <c r="D1133" s="46" t="n"/>
      <c r="E1133" s="46" t="n"/>
      <c r="F1133" s="51" t="n"/>
      <c r="G1133" s="47" t="n"/>
      <c r="H1133" s="47" t="n"/>
      <c r="I1133" s="43">
        <f>IF($B1133="","",N($G1133)-N($H1133))</f>
        <v/>
      </c>
    </row>
    <row r="1134">
      <c r="A1134" s="39">
        <f>IF($B1134="","",COUNTA($B$4:$B1134))</f>
        <v/>
      </c>
      <c r="B1134" s="40" t="n"/>
      <c r="C1134" s="41" t="n"/>
      <c r="D1134" s="41" t="n"/>
      <c r="E1134" s="41" t="n"/>
      <c r="F1134" s="50" t="n"/>
      <c r="G1134" s="42" t="n"/>
      <c r="H1134" s="42" t="n"/>
      <c r="I1134" s="43">
        <f>IF($B1134="","",N($G1134)-N($H1134))</f>
        <v/>
      </c>
    </row>
    <row r="1135">
      <c r="A1135" s="39">
        <f>IF($B1135="","",COUNTA($B$4:$B1135))</f>
        <v/>
      </c>
      <c r="B1135" s="45" t="n"/>
      <c r="C1135" s="46" t="n"/>
      <c r="D1135" s="46" t="n"/>
      <c r="E1135" s="46" t="n"/>
      <c r="F1135" s="51" t="n"/>
      <c r="G1135" s="47" t="n"/>
      <c r="H1135" s="47" t="n"/>
      <c r="I1135" s="43">
        <f>IF($B1135="","",N($G1135)-N($H1135))</f>
        <v/>
      </c>
    </row>
    <row r="1136">
      <c r="A1136" s="39">
        <f>IF($B1136="","",COUNTA($B$4:$B1136))</f>
        <v/>
      </c>
      <c r="B1136" s="40" t="n"/>
      <c r="C1136" s="41" t="n"/>
      <c r="D1136" s="41" t="n"/>
      <c r="E1136" s="41" t="n"/>
      <c r="F1136" s="50" t="n"/>
      <c r="G1136" s="42" t="n"/>
      <c r="H1136" s="42" t="n"/>
      <c r="I1136" s="43">
        <f>IF($B1136="","",N($G1136)-N($H1136))</f>
        <v/>
      </c>
    </row>
    <row r="1137">
      <c r="A1137" s="39">
        <f>IF($B1137="","",COUNTA($B$4:$B1137))</f>
        <v/>
      </c>
      <c r="B1137" s="45" t="n"/>
      <c r="C1137" s="46" t="n"/>
      <c r="D1137" s="46" t="n"/>
      <c r="E1137" s="46" t="n"/>
      <c r="F1137" s="51" t="n"/>
      <c r="G1137" s="47" t="n"/>
      <c r="H1137" s="47" t="n"/>
      <c r="I1137" s="43">
        <f>IF($B1137="","",N($G1137)-N($H1137))</f>
        <v/>
      </c>
    </row>
    <row r="1138">
      <c r="A1138" s="39">
        <f>IF($B1138="","",COUNTA($B$4:$B1138))</f>
        <v/>
      </c>
      <c r="B1138" s="40" t="n"/>
      <c r="C1138" s="41" t="n"/>
      <c r="D1138" s="41" t="n"/>
      <c r="E1138" s="41" t="n"/>
      <c r="F1138" s="50" t="n"/>
      <c r="G1138" s="42" t="n"/>
      <c r="H1138" s="42" t="n"/>
      <c r="I1138" s="43">
        <f>IF($B1138="","",N($G1138)-N($H1138))</f>
        <v/>
      </c>
    </row>
    <row r="1139">
      <c r="A1139" s="39">
        <f>IF($B1139="","",COUNTA($B$4:$B1139))</f>
        <v/>
      </c>
      <c r="B1139" s="45" t="n"/>
      <c r="C1139" s="46" t="n"/>
      <c r="D1139" s="46" t="n"/>
      <c r="E1139" s="46" t="n"/>
      <c r="F1139" s="51" t="n"/>
      <c r="G1139" s="47" t="n"/>
      <c r="H1139" s="47" t="n"/>
      <c r="I1139" s="43">
        <f>IF($B1139="","",N($G1139)-N($H1139))</f>
        <v/>
      </c>
    </row>
    <row r="1140">
      <c r="A1140" s="39">
        <f>IF($B1140="","",COUNTA($B$4:$B1140))</f>
        <v/>
      </c>
      <c r="B1140" s="40" t="n"/>
      <c r="C1140" s="41" t="n"/>
      <c r="D1140" s="41" t="n"/>
      <c r="E1140" s="41" t="n"/>
      <c r="F1140" s="50" t="n"/>
      <c r="G1140" s="42" t="n"/>
      <c r="H1140" s="42" t="n"/>
      <c r="I1140" s="43">
        <f>IF($B1140="","",N($G1140)-N($H1140))</f>
        <v/>
      </c>
    </row>
    <row r="1141">
      <c r="A1141" s="39">
        <f>IF($B1141="","",COUNTA($B$4:$B1141))</f>
        <v/>
      </c>
      <c r="B1141" s="45" t="n"/>
      <c r="C1141" s="46" t="n"/>
      <c r="D1141" s="46" t="n"/>
      <c r="E1141" s="46" t="n"/>
      <c r="F1141" s="51" t="n"/>
      <c r="G1141" s="47" t="n"/>
      <c r="H1141" s="47" t="n"/>
      <c r="I1141" s="43">
        <f>IF($B1141="","",N($G1141)-N($H1141))</f>
        <v/>
      </c>
    </row>
    <row r="1142">
      <c r="A1142" s="39">
        <f>IF($B1142="","",COUNTA($B$4:$B1142))</f>
        <v/>
      </c>
      <c r="B1142" s="40" t="n"/>
      <c r="C1142" s="41" t="n"/>
      <c r="D1142" s="41" t="n"/>
      <c r="E1142" s="41" t="n"/>
      <c r="F1142" s="50" t="n"/>
      <c r="G1142" s="42" t="n"/>
      <c r="H1142" s="42" t="n"/>
      <c r="I1142" s="43">
        <f>IF($B1142="","",N($G1142)-N($H1142))</f>
        <v/>
      </c>
    </row>
    <row r="1143">
      <c r="A1143" s="39">
        <f>IF($B1143="","",COUNTA($B$4:$B1143))</f>
        <v/>
      </c>
      <c r="B1143" s="45" t="n"/>
      <c r="C1143" s="46" t="n"/>
      <c r="D1143" s="46" t="n"/>
      <c r="E1143" s="46" t="n"/>
      <c r="F1143" s="51" t="n"/>
      <c r="G1143" s="47" t="n"/>
      <c r="H1143" s="47" t="n"/>
      <c r="I1143" s="43">
        <f>IF($B1143="","",N($G1143)-N($H1143))</f>
        <v/>
      </c>
    </row>
    <row r="1144">
      <c r="A1144" s="39">
        <f>IF($B1144="","",COUNTA($B$4:$B1144))</f>
        <v/>
      </c>
      <c r="B1144" s="40" t="n"/>
      <c r="C1144" s="41" t="n"/>
      <c r="D1144" s="41" t="n"/>
      <c r="E1144" s="41" t="n"/>
      <c r="F1144" s="50" t="n"/>
      <c r="G1144" s="42" t="n"/>
      <c r="H1144" s="42" t="n"/>
      <c r="I1144" s="43">
        <f>IF($B1144="","",N($G1144)-N($H1144))</f>
        <v/>
      </c>
    </row>
    <row r="1145">
      <c r="A1145" s="39">
        <f>IF($B1145="","",COUNTA($B$4:$B1145))</f>
        <v/>
      </c>
      <c r="B1145" s="45" t="n"/>
      <c r="C1145" s="46" t="n"/>
      <c r="D1145" s="46" t="n"/>
      <c r="E1145" s="46" t="n"/>
      <c r="F1145" s="51" t="n"/>
      <c r="G1145" s="47" t="n"/>
      <c r="H1145" s="47" t="n"/>
      <c r="I1145" s="43">
        <f>IF($B1145="","",N($G1145)-N($H1145))</f>
        <v/>
      </c>
    </row>
    <row r="1146">
      <c r="A1146" s="39">
        <f>IF($B1146="","",COUNTA($B$4:$B1146))</f>
        <v/>
      </c>
      <c r="B1146" s="40" t="n"/>
      <c r="C1146" s="41" t="n"/>
      <c r="D1146" s="41" t="n"/>
      <c r="E1146" s="41" t="n"/>
      <c r="F1146" s="50" t="n"/>
      <c r="G1146" s="42" t="n"/>
      <c r="H1146" s="42" t="n"/>
      <c r="I1146" s="43">
        <f>IF($B1146="","",N($G1146)-N($H1146))</f>
        <v/>
      </c>
    </row>
    <row r="1147">
      <c r="A1147" s="39">
        <f>IF($B1147="","",COUNTA($B$4:$B1147))</f>
        <v/>
      </c>
      <c r="B1147" s="45" t="n"/>
      <c r="C1147" s="46" t="n"/>
      <c r="D1147" s="46" t="n"/>
      <c r="E1147" s="46" t="n"/>
      <c r="F1147" s="51" t="n"/>
      <c r="G1147" s="47" t="n"/>
      <c r="H1147" s="47" t="n"/>
      <c r="I1147" s="43">
        <f>IF($B1147="","",N($G1147)-N($H1147))</f>
        <v/>
      </c>
    </row>
    <row r="1148">
      <c r="A1148" s="39">
        <f>IF($B1148="","",COUNTA($B$4:$B1148))</f>
        <v/>
      </c>
      <c r="B1148" s="40" t="n"/>
      <c r="C1148" s="41" t="n"/>
      <c r="D1148" s="41" t="n"/>
      <c r="E1148" s="41" t="n"/>
      <c r="F1148" s="50" t="n"/>
      <c r="G1148" s="42" t="n"/>
      <c r="H1148" s="42" t="n"/>
      <c r="I1148" s="43">
        <f>IF($B1148="","",N($G1148)-N($H1148))</f>
        <v/>
      </c>
    </row>
    <row r="1149">
      <c r="A1149" s="39">
        <f>IF($B1149="","",COUNTA($B$4:$B1149))</f>
        <v/>
      </c>
      <c r="B1149" s="45" t="n"/>
      <c r="C1149" s="46" t="n"/>
      <c r="D1149" s="46" t="n"/>
      <c r="E1149" s="46" t="n"/>
      <c r="F1149" s="51" t="n"/>
      <c r="G1149" s="47" t="n"/>
      <c r="H1149" s="47" t="n"/>
      <c r="I1149" s="43">
        <f>IF($B1149="","",N($G1149)-N($H1149))</f>
        <v/>
      </c>
    </row>
    <row r="1150">
      <c r="A1150" s="39">
        <f>IF($B1150="","",COUNTA($B$4:$B1150))</f>
        <v/>
      </c>
      <c r="B1150" s="40" t="n"/>
      <c r="C1150" s="41" t="n"/>
      <c r="D1150" s="41" t="n"/>
      <c r="E1150" s="41" t="n"/>
      <c r="F1150" s="50" t="n"/>
      <c r="G1150" s="42" t="n"/>
      <c r="H1150" s="42" t="n"/>
      <c r="I1150" s="43">
        <f>IF($B1150="","",N($G1150)-N($H1150))</f>
        <v/>
      </c>
    </row>
    <row r="1151">
      <c r="A1151" s="39">
        <f>IF($B1151="","",COUNTA($B$4:$B1151))</f>
        <v/>
      </c>
      <c r="B1151" s="45" t="n"/>
      <c r="C1151" s="46" t="n"/>
      <c r="D1151" s="46" t="n"/>
      <c r="E1151" s="46" t="n"/>
      <c r="F1151" s="51" t="n"/>
      <c r="G1151" s="47" t="n"/>
      <c r="H1151" s="47" t="n"/>
      <c r="I1151" s="43">
        <f>IF($B1151="","",N($G1151)-N($H1151))</f>
        <v/>
      </c>
    </row>
    <row r="1152">
      <c r="A1152" s="39">
        <f>IF($B1152="","",COUNTA($B$4:$B1152))</f>
        <v/>
      </c>
      <c r="B1152" s="40" t="n"/>
      <c r="C1152" s="41" t="n"/>
      <c r="D1152" s="41" t="n"/>
      <c r="E1152" s="41" t="n"/>
      <c r="F1152" s="50" t="n"/>
      <c r="G1152" s="42" t="n"/>
      <c r="H1152" s="42" t="n"/>
      <c r="I1152" s="43">
        <f>IF($B1152="","",N($G1152)-N($H1152))</f>
        <v/>
      </c>
    </row>
    <row r="1153">
      <c r="A1153" s="39">
        <f>IF($B1153="","",COUNTA($B$4:$B1153))</f>
        <v/>
      </c>
      <c r="B1153" s="45" t="n"/>
      <c r="C1153" s="46" t="n"/>
      <c r="D1153" s="46" t="n"/>
      <c r="E1153" s="46" t="n"/>
      <c r="F1153" s="51" t="n"/>
      <c r="G1153" s="47" t="n"/>
      <c r="H1153" s="47" t="n"/>
      <c r="I1153" s="43">
        <f>IF($B1153="","",N($G1153)-N($H1153))</f>
        <v/>
      </c>
    </row>
    <row r="1154">
      <c r="A1154" s="39">
        <f>IF($B1154="","",COUNTA($B$4:$B1154))</f>
        <v/>
      </c>
      <c r="B1154" s="40" t="n"/>
      <c r="C1154" s="41" t="n"/>
      <c r="D1154" s="41" t="n"/>
      <c r="E1154" s="41" t="n"/>
      <c r="F1154" s="50" t="n"/>
      <c r="G1154" s="42" t="n"/>
      <c r="H1154" s="42" t="n"/>
      <c r="I1154" s="43">
        <f>IF($B1154="","",N($G1154)-N($H1154))</f>
        <v/>
      </c>
    </row>
    <row r="1155">
      <c r="A1155" s="39">
        <f>IF($B1155="","",COUNTA($B$4:$B1155))</f>
        <v/>
      </c>
      <c r="B1155" s="45" t="n"/>
      <c r="C1155" s="46" t="n"/>
      <c r="D1155" s="46" t="n"/>
      <c r="E1155" s="46" t="n"/>
      <c r="F1155" s="51" t="n"/>
      <c r="G1155" s="47" t="n"/>
      <c r="H1155" s="47" t="n"/>
      <c r="I1155" s="43">
        <f>IF($B1155="","",N($G1155)-N($H1155))</f>
        <v/>
      </c>
    </row>
    <row r="1156">
      <c r="A1156" s="39">
        <f>IF($B1156="","",COUNTA($B$4:$B1156))</f>
        <v/>
      </c>
      <c r="B1156" s="40" t="n"/>
      <c r="C1156" s="41" t="n"/>
      <c r="D1156" s="41" t="n"/>
      <c r="E1156" s="41" t="n"/>
      <c r="F1156" s="50" t="n"/>
      <c r="G1156" s="42" t="n"/>
      <c r="H1156" s="42" t="n"/>
      <c r="I1156" s="43">
        <f>IF($B1156="","",N($G1156)-N($H1156))</f>
        <v/>
      </c>
    </row>
    <row r="1157">
      <c r="A1157" s="39">
        <f>IF($B1157="","",COUNTA($B$4:$B1157))</f>
        <v/>
      </c>
      <c r="B1157" s="45" t="n"/>
      <c r="C1157" s="46" t="n"/>
      <c r="D1157" s="46" t="n"/>
      <c r="E1157" s="46" t="n"/>
      <c r="F1157" s="51" t="n"/>
      <c r="G1157" s="47" t="n"/>
      <c r="H1157" s="47" t="n"/>
      <c r="I1157" s="43">
        <f>IF($B1157="","",N($G1157)-N($H1157))</f>
        <v/>
      </c>
    </row>
    <row r="1158">
      <c r="A1158" s="39">
        <f>IF($B1158="","",COUNTA($B$4:$B1158))</f>
        <v/>
      </c>
      <c r="B1158" s="40" t="n"/>
      <c r="C1158" s="41" t="n"/>
      <c r="D1158" s="41" t="n"/>
      <c r="E1158" s="41" t="n"/>
      <c r="F1158" s="50" t="n"/>
      <c r="G1158" s="42" t="n"/>
      <c r="H1158" s="42" t="n"/>
      <c r="I1158" s="43">
        <f>IF($B1158="","",N($G1158)-N($H1158))</f>
        <v/>
      </c>
    </row>
    <row r="1159">
      <c r="A1159" s="39">
        <f>IF($B1159="","",COUNTA($B$4:$B1159))</f>
        <v/>
      </c>
      <c r="B1159" s="45" t="n"/>
      <c r="C1159" s="46" t="n"/>
      <c r="D1159" s="46" t="n"/>
      <c r="E1159" s="46" t="n"/>
      <c r="F1159" s="51" t="n"/>
      <c r="G1159" s="47" t="n"/>
      <c r="H1159" s="47" t="n"/>
      <c r="I1159" s="43">
        <f>IF($B1159="","",N($G1159)-N($H1159))</f>
        <v/>
      </c>
    </row>
    <row r="1160">
      <c r="A1160" s="39">
        <f>IF($B1160="","",COUNTA($B$4:$B1160))</f>
        <v/>
      </c>
      <c r="B1160" s="40" t="n"/>
      <c r="C1160" s="41" t="n"/>
      <c r="D1160" s="41" t="n"/>
      <c r="E1160" s="41" t="n"/>
      <c r="F1160" s="50" t="n"/>
      <c r="G1160" s="42" t="n"/>
      <c r="H1160" s="42" t="n"/>
      <c r="I1160" s="43">
        <f>IF($B1160="","",N($G1160)-N($H1160))</f>
        <v/>
      </c>
    </row>
    <row r="1161">
      <c r="A1161" s="39">
        <f>IF($B1161="","",COUNTA($B$4:$B1161))</f>
        <v/>
      </c>
      <c r="B1161" s="45" t="n"/>
      <c r="C1161" s="46" t="n"/>
      <c r="D1161" s="46" t="n"/>
      <c r="E1161" s="46" t="n"/>
      <c r="F1161" s="51" t="n"/>
      <c r="G1161" s="47" t="n"/>
      <c r="H1161" s="47" t="n"/>
      <c r="I1161" s="43">
        <f>IF($B1161="","",N($G1161)-N($H1161))</f>
        <v/>
      </c>
    </row>
    <row r="1162">
      <c r="A1162" s="39">
        <f>IF($B1162="","",COUNTA($B$4:$B1162))</f>
        <v/>
      </c>
      <c r="B1162" s="40" t="n"/>
      <c r="C1162" s="41" t="n"/>
      <c r="D1162" s="41" t="n"/>
      <c r="E1162" s="41" t="n"/>
      <c r="F1162" s="50" t="n"/>
      <c r="G1162" s="42" t="n"/>
      <c r="H1162" s="42" t="n"/>
      <c r="I1162" s="43">
        <f>IF($B1162="","",N($G1162)-N($H1162))</f>
        <v/>
      </c>
    </row>
    <row r="1163">
      <c r="A1163" s="39">
        <f>IF($B1163="","",COUNTA($B$4:$B1163))</f>
        <v/>
      </c>
      <c r="B1163" s="45" t="n"/>
      <c r="C1163" s="46" t="n"/>
      <c r="D1163" s="46" t="n"/>
      <c r="E1163" s="46" t="n"/>
      <c r="F1163" s="51" t="n"/>
      <c r="G1163" s="47" t="n"/>
      <c r="H1163" s="47" t="n"/>
      <c r="I1163" s="43">
        <f>IF($B1163="","",N($G1163)-N($H1163))</f>
        <v/>
      </c>
    </row>
    <row r="1164">
      <c r="A1164" s="39">
        <f>IF($B1164="","",COUNTA($B$4:$B1164))</f>
        <v/>
      </c>
      <c r="B1164" s="40" t="n"/>
      <c r="C1164" s="41" t="n"/>
      <c r="D1164" s="41" t="n"/>
      <c r="E1164" s="41" t="n"/>
      <c r="F1164" s="50" t="n"/>
      <c r="G1164" s="42" t="n"/>
      <c r="H1164" s="42" t="n"/>
      <c r="I1164" s="43">
        <f>IF($B1164="","",N($G1164)-N($H1164))</f>
        <v/>
      </c>
    </row>
    <row r="1165">
      <c r="A1165" s="39">
        <f>IF($B1165="","",COUNTA($B$4:$B1165))</f>
        <v/>
      </c>
      <c r="B1165" s="45" t="n"/>
      <c r="C1165" s="46" t="n"/>
      <c r="D1165" s="46" t="n"/>
      <c r="E1165" s="46" t="n"/>
      <c r="F1165" s="51" t="n"/>
      <c r="G1165" s="47" t="n"/>
      <c r="H1165" s="47" t="n"/>
      <c r="I1165" s="43">
        <f>IF($B1165="","",N($G1165)-N($H1165))</f>
        <v/>
      </c>
    </row>
    <row r="1166">
      <c r="A1166" s="39">
        <f>IF($B1166="","",COUNTA($B$4:$B1166))</f>
        <v/>
      </c>
      <c r="B1166" s="40" t="n"/>
      <c r="C1166" s="41" t="n"/>
      <c r="D1166" s="41" t="n"/>
      <c r="E1166" s="41" t="n"/>
      <c r="F1166" s="50" t="n"/>
      <c r="G1166" s="42" t="n"/>
      <c r="H1166" s="42" t="n"/>
      <c r="I1166" s="43">
        <f>IF($B1166="","",N($G1166)-N($H1166))</f>
        <v/>
      </c>
    </row>
    <row r="1167">
      <c r="A1167" s="39">
        <f>IF($B1167="","",COUNTA($B$4:$B1167))</f>
        <v/>
      </c>
      <c r="B1167" s="45" t="n"/>
      <c r="C1167" s="46" t="n"/>
      <c r="D1167" s="46" t="n"/>
      <c r="E1167" s="46" t="n"/>
      <c r="F1167" s="51" t="n"/>
      <c r="G1167" s="47" t="n"/>
      <c r="H1167" s="47" t="n"/>
      <c r="I1167" s="43">
        <f>IF($B1167="","",N($G1167)-N($H1167))</f>
        <v/>
      </c>
    </row>
    <row r="1168">
      <c r="A1168" s="39">
        <f>IF($B1168="","",COUNTA($B$4:$B1168))</f>
        <v/>
      </c>
      <c r="B1168" s="40" t="n"/>
      <c r="C1168" s="41" t="n"/>
      <c r="D1168" s="41" t="n"/>
      <c r="E1168" s="41" t="n"/>
      <c r="F1168" s="50" t="n"/>
      <c r="G1168" s="42" t="n"/>
      <c r="H1168" s="42" t="n"/>
      <c r="I1168" s="43">
        <f>IF($B1168="","",N($G1168)-N($H1168))</f>
        <v/>
      </c>
    </row>
    <row r="1169">
      <c r="A1169" s="39">
        <f>IF($B1169="","",COUNTA($B$4:$B1169))</f>
        <v/>
      </c>
      <c r="B1169" s="45" t="n"/>
      <c r="C1169" s="46" t="n"/>
      <c r="D1169" s="46" t="n"/>
      <c r="E1169" s="46" t="n"/>
      <c r="F1169" s="51" t="n"/>
      <c r="G1169" s="47" t="n"/>
      <c r="H1169" s="47" t="n"/>
      <c r="I1169" s="43">
        <f>IF($B1169="","",N($G1169)-N($H1169))</f>
        <v/>
      </c>
    </row>
    <row r="1170">
      <c r="A1170" s="39">
        <f>IF($B1170="","",COUNTA($B$4:$B1170))</f>
        <v/>
      </c>
      <c r="B1170" s="40" t="n"/>
      <c r="C1170" s="41" t="n"/>
      <c r="D1170" s="41" t="n"/>
      <c r="E1170" s="41" t="n"/>
      <c r="F1170" s="50" t="n"/>
      <c r="G1170" s="42" t="n"/>
      <c r="H1170" s="42" t="n"/>
      <c r="I1170" s="43">
        <f>IF($B1170="","",N($G1170)-N($H1170))</f>
        <v/>
      </c>
    </row>
    <row r="1171">
      <c r="A1171" s="39">
        <f>IF($B1171="","",COUNTA($B$4:$B1171))</f>
        <v/>
      </c>
      <c r="B1171" s="45" t="n"/>
      <c r="C1171" s="46" t="n"/>
      <c r="D1171" s="46" t="n"/>
      <c r="E1171" s="46" t="n"/>
      <c r="F1171" s="51" t="n"/>
      <c r="G1171" s="47" t="n"/>
      <c r="H1171" s="47" t="n"/>
      <c r="I1171" s="43">
        <f>IF($B1171="","",N($G1171)-N($H1171))</f>
        <v/>
      </c>
    </row>
    <row r="1172">
      <c r="A1172" s="39">
        <f>IF($B1172="","",COUNTA($B$4:$B1172))</f>
        <v/>
      </c>
      <c r="B1172" s="40" t="n"/>
      <c r="C1172" s="41" t="n"/>
      <c r="D1172" s="41" t="n"/>
      <c r="E1172" s="41" t="n"/>
      <c r="F1172" s="50" t="n"/>
      <c r="G1172" s="42" t="n"/>
      <c r="H1172" s="42" t="n"/>
      <c r="I1172" s="43">
        <f>IF($B1172="","",N($G1172)-N($H1172))</f>
        <v/>
      </c>
    </row>
    <row r="1173">
      <c r="A1173" s="39">
        <f>IF($B1173="","",COUNTA($B$4:$B1173))</f>
        <v/>
      </c>
      <c r="B1173" s="45" t="n"/>
      <c r="C1173" s="46" t="n"/>
      <c r="D1173" s="46" t="n"/>
      <c r="E1173" s="46" t="n"/>
      <c r="F1173" s="51" t="n"/>
      <c r="G1173" s="47" t="n"/>
      <c r="H1173" s="47" t="n"/>
      <c r="I1173" s="43">
        <f>IF($B1173="","",N($G1173)-N($H1173))</f>
        <v/>
      </c>
    </row>
    <row r="1174">
      <c r="A1174" s="39">
        <f>IF($B1174="","",COUNTA($B$4:$B1174))</f>
        <v/>
      </c>
      <c r="B1174" s="40" t="n"/>
      <c r="C1174" s="41" t="n"/>
      <c r="D1174" s="41" t="n"/>
      <c r="E1174" s="41" t="n"/>
      <c r="F1174" s="50" t="n"/>
      <c r="G1174" s="42" t="n"/>
      <c r="H1174" s="42" t="n"/>
      <c r="I1174" s="43">
        <f>IF($B1174="","",N($G1174)-N($H1174))</f>
        <v/>
      </c>
    </row>
    <row r="1175">
      <c r="A1175" s="39">
        <f>IF($B1175="","",COUNTA($B$4:$B1175))</f>
        <v/>
      </c>
      <c r="B1175" s="45" t="n"/>
      <c r="C1175" s="46" t="n"/>
      <c r="D1175" s="46" t="n"/>
      <c r="E1175" s="46" t="n"/>
      <c r="F1175" s="51" t="n"/>
      <c r="G1175" s="47" t="n"/>
      <c r="H1175" s="47" t="n"/>
      <c r="I1175" s="43">
        <f>IF($B1175="","",N($G1175)-N($H1175))</f>
        <v/>
      </c>
    </row>
    <row r="1176">
      <c r="A1176" s="39">
        <f>IF($B1176="","",COUNTA($B$4:$B1176))</f>
        <v/>
      </c>
      <c r="B1176" s="40" t="n"/>
      <c r="C1176" s="41" t="n"/>
      <c r="D1176" s="41" t="n"/>
      <c r="E1176" s="41" t="n"/>
      <c r="F1176" s="50" t="n"/>
      <c r="G1176" s="42" t="n"/>
      <c r="H1176" s="42" t="n"/>
      <c r="I1176" s="43">
        <f>IF($B1176="","",N($G1176)-N($H1176))</f>
        <v/>
      </c>
    </row>
    <row r="1177">
      <c r="A1177" s="39">
        <f>IF($B1177="","",COUNTA($B$4:$B1177))</f>
        <v/>
      </c>
      <c r="B1177" s="45" t="n"/>
      <c r="C1177" s="46" t="n"/>
      <c r="D1177" s="46" t="n"/>
      <c r="E1177" s="46" t="n"/>
      <c r="F1177" s="51" t="n"/>
      <c r="G1177" s="47" t="n"/>
      <c r="H1177" s="47" t="n"/>
      <c r="I1177" s="43">
        <f>IF($B1177="","",N($G1177)-N($H1177))</f>
        <v/>
      </c>
    </row>
    <row r="1178">
      <c r="A1178" s="39">
        <f>IF($B1178="","",COUNTA($B$4:$B1178))</f>
        <v/>
      </c>
      <c r="B1178" s="40" t="n"/>
      <c r="C1178" s="41" t="n"/>
      <c r="D1178" s="41" t="n"/>
      <c r="E1178" s="41" t="n"/>
      <c r="F1178" s="50" t="n"/>
      <c r="G1178" s="42" t="n"/>
      <c r="H1178" s="42" t="n"/>
      <c r="I1178" s="43">
        <f>IF($B1178="","",N($G1178)-N($H1178))</f>
        <v/>
      </c>
    </row>
    <row r="1179">
      <c r="A1179" s="39">
        <f>IF($B1179="","",COUNTA($B$4:$B1179))</f>
        <v/>
      </c>
      <c r="B1179" s="45" t="n"/>
      <c r="C1179" s="46" t="n"/>
      <c r="D1179" s="46" t="n"/>
      <c r="E1179" s="46" t="n"/>
      <c r="F1179" s="51" t="n"/>
      <c r="G1179" s="47" t="n"/>
      <c r="H1179" s="47" t="n"/>
      <c r="I1179" s="43">
        <f>IF($B1179="","",N($G1179)-N($H1179))</f>
        <v/>
      </c>
    </row>
    <row r="1180">
      <c r="A1180" s="39">
        <f>IF($B1180="","",COUNTA($B$4:$B1180))</f>
        <v/>
      </c>
      <c r="B1180" s="40" t="n"/>
      <c r="C1180" s="41" t="n"/>
      <c r="D1180" s="41" t="n"/>
      <c r="E1180" s="41" t="n"/>
      <c r="F1180" s="50" t="n"/>
      <c r="G1180" s="42" t="n"/>
      <c r="H1180" s="42" t="n"/>
      <c r="I1180" s="43">
        <f>IF($B1180="","",N($G1180)-N($H1180))</f>
        <v/>
      </c>
    </row>
    <row r="1181">
      <c r="A1181" s="39">
        <f>IF($B1181="","",COUNTA($B$4:$B1181))</f>
        <v/>
      </c>
      <c r="B1181" s="45" t="n"/>
      <c r="C1181" s="46" t="n"/>
      <c r="D1181" s="46" t="n"/>
      <c r="E1181" s="46" t="n"/>
      <c r="F1181" s="51" t="n"/>
      <c r="G1181" s="47" t="n"/>
      <c r="H1181" s="47" t="n"/>
      <c r="I1181" s="43">
        <f>IF($B1181="","",N($G1181)-N($H1181))</f>
        <v/>
      </c>
    </row>
    <row r="1182">
      <c r="A1182" s="39">
        <f>IF($B1182="","",COUNTA($B$4:$B1182))</f>
        <v/>
      </c>
      <c r="B1182" s="40" t="n"/>
      <c r="C1182" s="41" t="n"/>
      <c r="D1182" s="41" t="n"/>
      <c r="E1182" s="41" t="n"/>
      <c r="F1182" s="50" t="n"/>
      <c r="G1182" s="42" t="n"/>
      <c r="H1182" s="42" t="n"/>
      <c r="I1182" s="43">
        <f>IF($B1182="","",N($G1182)-N($H1182))</f>
        <v/>
      </c>
    </row>
    <row r="1183">
      <c r="A1183" s="39">
        <f>IF($B1183="","",COUNTA($B$4:$B1183))</f>
        <v/>
      </c>
      <c r="B1183" s="45" t="n"/>
      <c r="C1183" s="46" t="n"/>
      <c r="D1183" s="46" t="n"/>
      <c r="E1183" s="46" t="n"/>
      <c r="F1183" s="51" t="n"/>
      <c r="G1183" s="47" t="n"/>
      <c r="H1183" s="47" t="n"/>
      <c r="I1183" s="43">
        <f>IF($B1183="","",N($G1183)-N($H1183))</f>
        <v/>
      </c>
    </row>
    <row r="1184">
      <c r="A1184" s="39">
        <f>IF($B1184="","",COUNTA($B$4:$B1184))</f>
        <v/>
      </c>
      <c r="B1184" s="40" t="n"/>
      <c r="C1184" s="41" t="n"/>
      <c r="D1184" s="41" t="n"/>
      <c r="E1184" s="41" t="n"/>
      <c r="F1184" s="50" t="n"/>
      <c r="G1184" s="42" t="n"/>
      <c r="H1184" s="42" t="n"/>
      <c r="I1184" s="43">
        <f>IF($B1184="","",N($G1184)-N($H1184))</f>
        <v/>
      </c>
    </row>
    <row r="1185">
      <c r="A1185" s="39">
        <f>IF($B1185="","",COUNTA($B$4:$B1185))</f>
        <v/>
      </c>
      <c r="B1185" s="45" t="n"/>
      <c r="C1185" s="46" t="n"/>
      <c r="D1185" s="46" t="n"/>
      <c r="E1185" s="46" t="n"/>
      <c r="F1185" s="51" t="n"/>
      <c r="G1185" s="47" t="n"/>
      <c r="H1185" s="47" t="n"/>
      <c r="I1185" s="43">
        <f>IF($B1185="","",N($G1185)-N($H1185))</f>
        <v/>
      </c>
    </row>
    <row r="1186">
      <c r="A1186" s="39">
        <f>IF($B1186="","",COUNTA($B$4:$B1186))</f>
        <v/>
      </c>
      <c r="B1186" s="40" t="n"/>
      <c r="C1186" s="41" t="n"/>
      <c r="D1186" s="41" t="n"/>
      <c r="E1186" s="41" t="n"/>
      <c r="F1186" s="50" t="n"/>
      <c r="G1186" s="42" t="n"/>
      <c r="H1186" s="42" t="n"/>
      <c r="I1186" s="43">
        <f>IF($B1186="","",N($G1186)-N($H1186))</f>
        <v/>
      </c>
    </row>
    <row r="1187">
      <c r="A1187" s="39">
        <f>IF($B1187="","",COUNTA($B$4:$B1187))</f>
        <v/>
      </c>
      <c r="B1187" s="45" t="n"/>
      <c r="C1187" s="46" t="n"/>
      <c r="D1187" s="46" t="n"/>
      <c r="E1187" s="46" t="n"/>
      <c r="F1187" s="51" t="n"/>
      <c r="G1187" s="47" t="n"/>
      <c r="H1187" s="47" t="n"/>
      <c r="I1187" s="43">
        <f>IF($B1187="","",N($G1187)-N($H1187))</f>
        <v/>
      </c>
    </row>
    <row r="1188">
      <c r="A1188" s="39">
        <f>IF($B1188="","",COUNTA($B$4:$B1188))</f>
        <v/>
      </c>
      <c r="B1188" s="40" t="n"/>
      <c r="C1188" s="41" t="n"/>
      <c r="D1188" s="41" t="n"/>
      <c r="E1188" s="41" t="n"/>
      <c r="F1188" s="50" t="n"/>
      <c r="G1188" s="42" t="n"/>
      <c r="H1188" s="42" t="n"/>
      <c r="I1188" s="43">
        <f>IF($B1188="","",N($G1188)-N($H1188))</f>
        <v/>
      </c>
    </row>
    <row r="1189">
      <c r="A1189" s="39">
        <f>IF($B1189="","",COUNTA($B$4:$B1189))</f>
        <v/>
      </c>
      <c r="B1189" s="45" t="n"/>
      <c r="C1189" s="46" t="n"/>
      <c r="D1189" s="46" t="n"/>
      <c r="E1189" s="46" t="n"/>
      <c r="F1189" s="51" t="n"/>
      <c r="G1189" s="47" t="n"/>
      <c r="H1189" s="47" t="n"/>
      <c r="I1189" s="43">
        <f>IF($B1189="","",N($G1189)-N($H1189))</f>
        <v/>
      </c>
    </row>
    <row r="1190">
      <c r="A1190" s="39">
        <f>IF($B1190="","",COUNTA($B$4:$B1190))</f>
        <v/>
      </c>
      <c r="B1190" s="40" t="n"/>
      <c r="C1190" s="41" t="n"/>
      <c r="D1190" s="41" t="n"/>
      <c r="E1190" s="41" t="n"/>
      <c r="F1190" s="50" t="n"/>
      <c r="G1190" s="42" t="n"/>
      <c r="H1190" s="42" t="n"/>
      <c r="I1190" s="43">
        <f>IF($B1190="","",N($G1190)-N($H1190))</f>
        <v/>
      </c>
    </row>
    <row r="1191">
      <c r="A1191" s="39">
        <f>IF($B1191="","",COUNTA($B$4:$B1191))</f>
        <v/>
      </c>
      <c r="B1191" s="45" t="n"/>
      <c r="C1191" s="46" t="n"/>
      <c r="D1191" s="46" t="n"/>
      <c r="E1191" s="46" t="n"/>
      <c r="F1191" s="51" t="n"/>
      <c r="G1191" s="47" t="n"/>
      <c r="H1191" s="47" t="n"/>
      <c r="I1191" s="43">
        <f>IF($B1191="","",N($G1191)-N($H1191))</f>
        <v/>
      </c>
    </row>
    <row r="1192">
      <c r="A1192" s="39">
        <f>IF($B1192="","",COUNTA($B$4:$B1192))</f>
        <v/>
      </c>
      <c r="B1192" s="40" t="n"/>
      <c r="C1192" s="41" t="n"/>
      <c r="D1192" s="41" t="n"/>
      <c r="E1192" s="41" t="n"/>
      <c r="F1192" s="50" t="n"/>
      <c r="G1192" s="42" t="n"/>
      <c r="H1192" s="42" t="n"/>
      <c r="I1192" s="43">
        <f>IF($B1192="","",N($G1192)-N($H1192))</f>
        <v/>
      </c>
    </row>
    <row r="1193">
      <c r="A1193" s="39">
        <f>IF($B1193="","",COUNTA($B$4:$B1193))</f>
        <v/>
      </c>
      <c r="B1193" s="45" t="n"/>
      <c r="C1193" s="46" t="n"/>
      <c r="D1193" s="46" t="n"/>
      <c r="E1193" s="46" t="n"/>
      <c r="F1193" s="51" t="n"/>
      <c r="G1193" s="47" t="n"/>
      <c r="H1193" s="47" t="n"/>
      <c r="I1193" s="43">
        <f>IF($B1193="","",N($G1193)-N($H1193))</f>
        <v/>
      </c>
    </row>
    <row r="1194">
      <c r="A1194" s="39">
        <f>IF($B1194="","",COUNTA($B$4:$B1194))</f>
        <v/>
      </c>
      <c r="B1194" s="40" t="n"/>
      <c r="C1194" s="41" t="n"/>
      <c r="D1194" s="41" t="n"/>
      <c r="E1194" s="41" t="n"/>
      <c r="F1194" s="50" t="n"/>
      <c r="G1194" s="42" t="n"/>
      <c r="H1194" s="42" t="n"/>
      <c r="I1194" s="43">
        <f>IF($B1194="","",N($G1194)-N($H1194))</f>
        <v/>
      </c>
    </row>
    <row r="1195">
      <c r="A1195" s="39">
        <f>IF($B1195="","",COUNTA($B$4:$B1195))</f>
        <v/>
      </c>
      <c r="B1195" s="45" t="n"/>
      <c r="C1195" s="46" t="n"/>
      <c r="D1195" s="46" t="n"/>
      <c r="E1195" s="46" t="n"/>
      <c r="F1195" s="51" t="n"/>
      <c r="G1195" s="47" t="n"/>
      <c r="H1195" s="47" t="n"/>
      <c r="I1195" s="43">
        <f>IF($B1195="","",N($G1195)-N($H1195))</f>
        <v/>
      </c>
    </row>
    <row r="1196">
      <c r="A1196" s="39">
        <f>IF($B1196="","",COUNTA($B$4:$B1196))</f>
        <v/>
      </c>
      <c r="B1196" s="40" t="n"/>
      <c r="C1196" s="41" t="n"/>
      <c r="D1196" s="41" t="n"/>
      <c r="E1196" s="41" t="n"/>
      <c r="F1196" s="50" t="n"/>
      <c r="G1196" s="42" t="n"/>
      <c r="H1196" s="42" t="n"/>
      <c r="I1196" s="43">
        <f>IF($B1196="","",N($G1196)-N($H1196))</f>
        <v/>
      </c>
    </row>
    <row r="1197">
      <c r="A1197" s="39">
        <f>IF($B1197="","",COUNTA($B$4:$B1197))</f>
        <v/>
      </c>
      <c r="B1197" s="45" t="n"/>
      <c r="C1197" s="46" t="n"/>
      <c r="D1197" s="46" t="n"/>
      <c r="E1197" s="46" t="n"/>
      <c r="F1197" s="51" t="n"/>
      <c r="G1197" s="47" t="n"/>
      <c r="H1197" s="47" t="n"/>
      <c r="I1197" s="43">
        <f>IF($B1197="","",N($G1197)-N($H1197))</f>
        <v/>
      </c>
    </row>
    <row r="1198">
      <c r="A1198" s="39">
        <f>IF($B1198="","",COUNTA($B$4:$B1198))</f>
        <v/>
      </c>
      <c r="B1198" s="40" t="n"/>
      <c r="C1198" s="41" t="n"/>
      <c r="D1198" s="41" t="n"/>
      <c r="E1198" s="41" t="n"/>
      <c r="F1198" s="50" t="n"/>
      <c r="G1198" s="42" t="n"/>
      <c r="H1198" s="42" t="n"/>
      <c r="I1198" s="43">
        <f>IF($B1198="","",N($G1198)-N($H1198))</f>
        <v/>
      </c>
    </row>
    <row r="1199">
      <c r="A1199" s="39">
        <f>IF($B1199="","",COUNTA($B$4:$B1199))</f>
        <v/>
      </c>
      <c r="B1199" s="45" t="n"/>
      <c r="C1199" s="46" t="n"/>
      <c r="D1199" s="46" t="n"/>
      <c r="E1199" s="46" t="n"/>
      <c r="F1199" s="51" t="n"/>
      <c r="G1199" s="47" t="n"/>
      <c r="H1199" s="47" t="n"/>
      <c r="I1199" s="43">
        <f>IF($B1199="","",N($G1199)-N($H1199))</f>
        <v/>
      </c>
    </row>
    <row r="1200">
      <c r="A1200" s="39">
        <f>IF($B1200="","",COUNTA($B$4:$B1200))</f>
        <v/>
      </c>
      <c r="B1200" s="40" t="n"/>
      <c r="C1200" s="41" t="n"/>
      <c r="D1200" s="41" t="n"/>
      <c r="E1200" s="41" t="n"/>
      <c r="F1200" s="50" t="n"/>
      <c r="G1200" s="42" t="n"/>
      <c r="H1200" s="42" t="n"/>
      <c r="I1200" s="43">
        <f>IF($B1200="","",N($G1200)-N($H1200))</f>
        <v/>
      </c>
    </row>
    <row r="1201">
      <c r="A1201" s="39">
        <f>IF($B1201="","",COUNTA($B$4:$B1201))</f>
        <v/>
      </c>
      <c r="B1201" s="45" t="n"/>
      <c r="C1201" s="46" t="n"/>
      <c r="D1201" s="46" t="n"/>
      <c r="E1201" s="46" t="n"/>
      <c r="F1201" s="51" t="n"/>
      <c r="G1201" s="47" t="n"/>
      <c r="H1201" s="47" t="n"/>
      <c r="I1201" s="43">
        <f>IF($B1201="","",N($G1201)-N($H1201))</f>
        <v/>
      </c>
    </row>
    <row r="1202">
      <c r="A1202" s="39">
        <f>IF($B1202="","",COUNTA($B$4:$B1202))</f>
        <v/>
      </c>
      <c r="B1202" s="40" t="n"/>
      <c r="C1202" s="41" t="n"/>
      <c r="D1202" s="41" t="n"/>
      <c r="E1202" s="41" t="n"/>
      <c r="F1202" s="50" t="n"/>
      <c r="G1202" s="42" t="n"/>
      <c r="H1202" s="42" t="n"/>
      <c r="I1202" s="43">
        <f>IF($B1202="","",N($G1202)-N($H1202))</f>
        <v/>
      </c>
    </row>
    <row r="1203">
      <c r="A1203" s="39">
        <f>IF($B1203="","",COUNTA($B$4:$B1203))</f>
        <v/>
      </c>
      <c r="B1203" s="45" t="n"/>
      <c r="C1203" s="46" t="n"/>
      <c r="D1203" s="46" t="n"/>
      <c r="E1203" s="46" t="n"/>
      <c r="F1203" s="51" t="n"/>
      <c r="G1203" s="47" t="n"/>
      <c r="H1203" s="47" t="n"/>
      <c r="I1203" s="43">
        <f>IF($B1203="","",N($G1203)-N($H1203))</f>
        <v/>
      </c>
    </row>
    <row r="1204">
      <c r="A1204" s="39">
        <f>IF($B1204="","",COUNTA($B$4:$B1204))</f>
        <v/>
      </c>
      <c r="B1204" s="40" t="n"/>
      <c r="C1204" s="41" t="n"/>
      <c r="D1204" s="41" t="n"/>
      <c r="E1204" s="41" t="n"/>
      <c r="F1204" s="50" t="n"/>
      <c r="G1204" s="42" t="n"/>
      <c r="H1204" s="42" t="n"/>
      <c r="I1204" s="43">
        <f>IF($B1204="","",N($G1204)-N($H1204))</f>
        <v/>
      </c>
    </row>
    <row r="1205">
      <c r="A1205" s="39">
        <f>IF($B1205="","",COUNTA($B$4:$B1205))</f>
        <v/>
      </c>
      <c r="B1205" s="45" t="n"/>
      <c r="C1205" s="46" t="n"/>
      <c r="D1205" s="46" t="n"/>
      <c r="E1205" s="46" t="n"/>
      <c r="F1205" s="51" t="n"/>
      <c r="G1205" s="47" t="n"/>
      <c r="H1205" s="47" t="n"/>
      <c r="I1205" s="43">
        <f>IF($B1205="","",N($G1205)-N($H1205))</f>
        <v/>
      </c>
    </row>
    <row r="1206">
      <c r="A1206" s="39">
        <f>IF($B1206="","",COUNTA($B$4:$B1206))</f>
        <v/>
      </c>
      <c r="B1206" s="40" t="n"/>
      <c r="C1206" s="41" t="n"/>
      <c r="D1206" s="41" t="n"/>
      <c r="E1206" s="41" t="n"/>
      <c r="F1206" s="50" t="n"/>
      <c r="G1206" s="42" t="n"/>
      <c r="H1206" s="42" t="n"/>
      <c r="I1206" s="43">
        <f>IF($B1206="","",N($G1206)-N($H1206))</f>
        <v/>
      </c>
    </row>
    <row r="1207">
      <c r="A1207" s="39">
        <f>IF($B1207="","",COUNTA($B$4:$B1207))</f>
        <v/>
      </c>
      <c r="B1207" s="45" t="n"/>
      <c r="C1207" s="46" t="n"/>
      <c r="D1207" s="46" t="n"/>
      <c r="E1207" s="46" t="n"/>
      <c r="F1207" s="51" t="n"/>
      <c r="G1207" s="47" t="n"/>
      <c r="H1207" s="47" t="n"/>
      <c r="I1207" s="43">
        <f>IF($B1207="","",N($G1207)-N($H1207))</f>
        <v/>
      </c>
    </row>
    <row r="1208">
      <c r="A1208" s="39">
        <f>IF($B1208="","",COUNTA($B$4:$B1208))</f>
        <v/>
      </c>
      <c r="B1208" s="40" t="n"/>
      <c r="C1208" s="41" t="n"/>
      <c r="D1208" s="41" t="n"/>
      <c r="E1208" s="41" t="n"/>
      <c r="F1208" s="50" t="n"/>
      <c r="G1208" s="42" t="n"/>
      <c r="H1208" s="42" t="n"/>
      <c r="I1208" s="43">
        <f>IF($B1208="","",N($G1208)-N($H1208))</f>
        <v/>
      </c>
    </row>
    <row r="1209">
      <c r="A1209" s="39">
        <f>IF($B1209="","",COUNTA($B$4:$B1209))</f>
        <v/>
      </c>
      <c r="B1209" s="45" t="n"/>
      <c r="C1209" s="46" t="n"/>
      <c r="D1209" s="46" t="n"/>
      <c r="E1209" s="46" t="n"/>
      <c r="F1209" s="51" t="n"/>
      <c r="G1209" s="47" t="n"/>
      <c r="H1209" s="47" t="n"/>
      <c r="I1209" s="43">
        <f>IF($B1209="","",N($G1209)-N($H1209))</f>
        <v/>
      </c>
    </row>
    <row r="1210">
      <c r="A1210" s="39">
        <f>IF($B1210="","",COUNTA($B$4:$B1210))</f>
        <v/>
      </c>
      <c r="B1210" s="40" t="n"/>
      <c r="C1210" s="41" t="n"/>
      <c r="D1210" s="41" t="n"/>
      <c r="E1210" s="41" t="n"/>
      <c r="F1210" s="50" t="n"/>
      <c r="G1210" s="42" t="n"/>
      <c r="H1210" s="42" t="n"/>
      <c r="I1210" s="43">
        <f>IF($B1210="","",N($G1210)-N($H1210))</f>
        <v/>
      </c>
    </row>
    <row r="1211">
      <c r="A1211" s="39">
        <f>IF($B1211="","",COUNTA($B$4:$B1211))</f>
        <v/>
      </c>
      <c r="B1211" s="45" t="n"/>
      <c r="C1211" s="46" t="n"/>
      <c r="D1211" s="46" t="n"/>
      <c r="E1211" s="46" t="n"/>
      <c r="F1211" s="51" t="n"/>
      <c r="G1211" s="47" t="n"/>
      <c r="H1211" s="47" t="n"/>
      <c r="I1211" s="43">
        <f>IF($B1211="","",N($G1211)-N($H1211))</f>
        <v/>
      </c>
    </row>
    <row r="1212">
      <c r="A1212" s="39">
        <f>IF($B1212="","",COUNTA($B$4:$B1212))</f>
        <v/>
      </c>
      <c r="B1212" s="40" t="n"/>
      <c r="C1212" s="41" t="n"/>
      <c r="D1212" s="41" t="n"/>
      <c r="E1212" s="41" t="n"/>
      <c r="F1212" s="50" t="n"/>
      <c r="G1212" s="42" t="n"/>
      <c r="H1212" s="42" t="n"/>
      <c r="I1212" s="43">
        <f>IF($B1212="","",N($G1212)-N($H1212))</f>
        <v/>
      </c>
    </row>
    <row r="1213">
      <c r="A1213" s="39">
        <f>IF($B1213="","",COUNTA($B$4:$B1213))</f>
        <v/>
      </c>
      <c r="B1213" s="45" t="n"/>
      <c r="C1213" s="46" t="n"/>
      <c r="D1213" s="46" t="n"/>
      <c r="E1213" s="46" t="n"/>
      <c r="F1213" s="51" t="n"/>
      <c r="G1213" s="47" t="n"/>
      <c r="H1213" s="47" t="n"/>
      <c r="I1213" s="43">
        <f>IF($B1213="","",N($G1213)-N($H1213))</f>
        <v/>
      </c>
    </row>
    <row r="1214">
      <c r="A1214" s="39">
        <f>IF($B1214="","",COUNTA($B$4:$B1214))</f>
        <v/>
      </c>
      <c r="B1214" s="40" t="n"/>
      <c r="C1214" s="41" t="n"/>
      <c r="D1214" s="41" t="n"/>
      <c r="E1214" s="41" t="n"/>
      <c r="F1214" s="50" t="n"/>
      <c r="G1214" s="42" t="n"/>
      <c r="H1214" s="42" t="n"/>
      <c r="I1214" s="43">
        <f>IF($B1214="","",N($G1214)-N($H1214))</f>
        <v/>
      </c>
    </row>
    <row r="1215">
      <c r="A1215" s="39">
        <f>IF($B1215="","",COUNTA($B$4:$B1215))</f>
        <v/>
      </c>
      <c r="B1215" s="45" t="n"/>
      <c r="C1215" s="46" t="n"/>
      <c r="D1215" s="46" t="n"/>
      <c r="E1215" s="46" t="n"/>
      <c r="F1215" s="51" t="n"/>
      <c r="G1215" s="47" t="n"/>
      <c r="H1215" s="47" t="n"/>
      <c r="I1215" s="43">
        <f>IF($B1215="","",N($G1215)-N($H1215))</f>
        <v/>
      </c>
    </row>
    <row r="1216">
      <c r="A1216" s="39">
        <f>IF($B1216="","",COUNTA($B$4:$B1216))</f>
        <v/>
      </c>
      <c r="B1216" s="40" t="n"/>
      <c r="C1216" s="41" t="n"/>
      <c r="D1216" s="41" t="n"/>
      <c r="E1216" s="41" t="n"/>
      <c r="F1216" s="50" t="n"/>
      <c r="G1216" s="42" t="n"/>
      <c r="H1216" s="42" t="n"/>
      <c r="I1216" s="43">
        <f>IF($B1216="","",N($G1216)-N($H1216))</f>
        <v/>
      </c>
    </row>
    <row r="1217">
      <c r="A1217" s="39">
        <f>IF($B1217="","",COUNTA($B$4:$B1217))</f>
        <v/>
      </c>
      <c r="B1217" s="45" t="n"/>
      <c r="C1217" s="46" t="n"/>
      <c r="D1217" s="46" t="n"/>
      <c r="E1217" s="46" t="n"/>
      <c r="F1217" s="51" t="n"/>
      <c r="G1217" s="47" t="n"/>
      <c r="H1217" s="47" t="n"/>
      <c r="I1217" s="43">
        <f>IF($B1217="","",N($G1217)-N($H1217))</f>
        <v/>
      </c>
    </row>
    <row r="1218">
      <c r="A1218" s="39">
        <f>IF($B1218="","",COUNTA($B$4:$B1218))</f>
        <v/>
      </c>
      <c r="B1218" s="40" t="n"/>
      <c r="C1218" s="41" t="n"/>
      <c r="D1218" s="41" t="n"/>
      <c r="E1218" s="41" t="n"/>
      <c r="F1218" s="50" t="n"/>
      <c r="G1218" s="42" t="n"/>
      <c r="H1218" s="42" t="n"/>
      <c r="I1218" s="43">
        <f>IF($B1218="","",N($G1218)-N($H1218))</f>
        <v/>
      </c>
    </row>
    <row r="1219">
      <c r="A1219" s="39">
        <f>IF($B1219="","",COUNTA($B$4:$B1219))</f>
        <v/>
      </c>
      <c r="B1219" s="45" t="n"/>
      <c r="C1219" s="46" t="n"/>
      <c r="D1219" s="46" t="n"/>
      <c r="E1219" s="46" t="n"/>
      <c r="F1219" s="51" t="n"/>
      <c r="G1219" s="47" t="n"/>
      <c r="H1219" s="47" t="n"/>
      <c r="I1219" s="43">
        <f>IF($B1219="","",N($G1219)-N($H1219))</f>
        <v/>
      </c>
    </row>
    <row r="1220">
      <c r="A1220" s="39">
        <f>IF($B1220="","",COUNTA($B$4:$B1220))</f>
        <v/>
      </c>
      <c r="B1220" s="40" t="n"/>
      <c r="C1220" s="41" t="n"/>
      <c r="D1220" s="41" t="n"/>
      <c r="E1220" s="41" t="n"/>
      <c r="F1220" s="50" t="n"/>
      <c r="G1220" s="42" t="n"/>
      <c r="H1220" s="42" t="n"/>
      <c r="I1220" s="43">
        <f>IF($B1220="","",N($G1220)-N($H1220))</f>
        <v/>
      </c>
    </row>
    <row r="1221">
      <c r="A1221" s="39">
        <f>IF($B1221="","",COUNTA($B$4:$B1221))</f>
        <v/>
      </c>
      <c r="B1221" s="45" t="n"/>
      <c r="C1221" s="46" t="n"/>
      <c r="D1221" s="46" t="n"/>
      <c r="E1221" s="46" t="n"/>
      <c r="F1221" s="51" t="n"/>
      <c r="G1221" s="47" t="n"/>
      <c r="H1221" s="47" t="n"/>
      <c r="I1221" s="43">
        <f>IF($B1221="","",N($G1221)-N($H1221))</f>
        <v/>
      </c>
    </row>
    <row r="1222">
      <c r="A1222" s="39">
        <f>IF($B1222="","",COUNTA($B$4:$B1222))</f>
        <v/>
      </c>
      <c r="B1222" s="40" t="n"/>
      <c r="C1222" s="41" t="n"/>
      <c r="D1222" s="41" t="n"/>
      <c r="E1222" s="41" t="n"/>
      <c r="F1222" s="50" t="n"/>
      <c r="G1222" s="42" t="n"/>
      <c r="H1222" s="42" t="n"/>
      <c r="I1222" s="43">
        <f>IF($B1222="","",N($G1222)-N($H1222))</f>
        <v/>
      </c>
    </row>
    <row r="1223">
      <c r="A1223" s="39">
        <f>IF($B1223="","",COUNTA($B$4:$B1223))</f>
        <v/>
      </c>
      <c r="B1223" s="45" t="n"/>
      <c r="C1223" s="46" t="n"/>
      <c r="D1223" s="46" t="n"/>
      <c r="E1223" s="46" t="n"/>
      <c r="F1223" s="51" t="n"/>
      <c r="G1223" s="47" t="n"/>
      <c r="H1223" s="47" t="n"/>
      <c r="I1223" s="43">
        <f>IF($B1223="","",N($G1223)-N($H1223))</f>
        <v/>
      </c>
    </row>
    <row r="1224">
      <c r="A1224" s="39">
        <f>IF($B1224="","",COUNTA($B$4:$B1224))</f>
        <v/>
      </c>
      <c r="B1224" s="40" t="n"/>
      <c r="C1224" s="41" t="n"/>
      <c r="D1224" s="41" t="n"/>
      <c r="E1224" s="41" t="n"/>
      <c r="F1224" s="50" t="n"/>
      <c r="G1224" s="42" t="n"/>
      <c r="H1224" s="42" t="n"/>
      <c r="I1224" s="43">
        <f>IF($B1224="","",N($G1224)-N($H1224))</f>
        <v/>
      </c>
    </row>
    <row r="1225">
      <c r="A1225" s="39">
        <f>IF($B1225="","",COUNTA($B$4:$B1225))</f>
        <v/>
      </c>
      <c r="B1225" s="45" t="n"/>
      <c r="C1225" s="46" t="n"/>
      <c r="D1225" s="46" t="n"/>
      <c r="E1225" s="46" t="n"/>
      <c r="F1225" s="51" t="n"/>
      <c r="G1225" s="47" t="n"/>
      <c r="H1225" s="47" t="n"/>
      <c r="I1225" s="43">
        <f>IF($B1225="","",N($G1225)-N($H1225))</f>
        <v/>
      </c>
    </row>
    <row r="1226">
      <c r="A1226" s="39">
        <f>IF($B1226="","",COUNTA($B$4:$B1226))</f>
        <v/>
      </c>
      <c r="B1226" s="40" t="n"/>
      <c r="C1226" s="41" t="n"/>
      <c r="D1226" s="41" t="n"/>
      <c r="E1226" s="41" t="n"/>
      <c r="F1226" s="50" t="n"/>
      <c r="G1226" s="42" t="n"/>
      <c r="H1226" s="42" t="n"/>
      <c r="I1226" s="43">
        <f>IF($B1226="","",N($G1226)-N($H1226))</f>
        <v/>
      </c>
    </row>
    <row r="1227">
      <c r="A1227" s="39">
        <f>IF($B1227="","",COUNTA($B$4:$B1227))</f>
        <v/>
      </c>
      <c r="B1227" s="45" t="n"/>
      <c r="C1227" s="46" t="n"/>
      <c r="D1227" s="46" t="n"/>
      <c r="E1227" s="46" t="n"/>
      <c r="F1227" s="51" t="n"/>
      <c r="G1227" s="47" t="n"/>
      <c r="H1227" s="47" t="n"/>
      <c r="I1227" s="43">
        <f>IF($B1227="","",N($G1227)-N($H1227))</f>
        <v/>
      </c>
    </row>
    <row r="1228">
      <c r="A1228" s="39">
        <f>IF($B1228="","",COUNTA($B$4:$B1228))</f>
        <v/>
      </c>
      <c r="B1228" s="40" t="n"/>
      <c r="C1228" s="41" t="n"/>
      <c r="D1228" s="41" t="n"/>
      <c r="E1228" s="41" t="n"/>
      <c r="F1228" s="50" t="n"/>
      <c r="G1228" s="42" t="n"/>
      <c r="H1228" s="42" t="n"/>
      <c r="I1228" s="43">
        <f>IF($B1228="","",N($G1228)-N($H1228))</f>
        <v/>
      </c>
    </row>
    <row r="1229">
      <c r="A1229" s="39">
        <f>IF($B1229="","",COUNTA($B$4:$B1229))</f>
        <v/>
      </c>
      <c r="B1229" s="45" t="n"/>
      <c r="C1229" s="46" t="n"/>
      <c r="D1229" s="46" t="n"/>
      <c r="E1229" s="46" t="n"/>
      <c r="F1229" s="51" t="n"/>
      <c r="G1229" s="47" t="n"/>
      <c r="H1229" s="47" t="n"/>
      <c r="I1229" s="43">
        <f>IF($B1229="","",N($G1229)-N($H1229))</f>
        <v/>
      </c>
    </row>
    <row r="1230">
      <c r="A1230" s="39">
        <f>IF($B1230="","",COUNTA($B$4:$B1230))</f>
        <v/>
      </c>
      <c r="B1230" s="40" t="n"/>
      <c r="C1230" s="41" t="n"/>
      <c r="D1230" s="41" t="n"/>
      <c r="E1230" s="41" t="n"/>
      <c r="F1230" s="50" t="n"/>
      <c r="G1230" s="42" t="n"/>
      <c r="H1230" s="42" t="n"/>
      <c r="I1230" s="43">
        <f>IF($B1230="","",N($G1230)-N($H1230))</f>
        <v/>
      </c>
    </row>
    <row r="1231">
      <c r="A1231" s="39">
        <f>IF($B1231="","",COUNTA($B$4:$B1231))</f>
        <v/>
      </c>
      <c r="B1231" s="45" t="n"/>
      <c r="C1231" s="46" t="n"/>
      <c r="D1231" s="46" t="n"/>
      <c r="E1231" s="46" t="n"/>
      <c r="F1231" s="51" t="n"/>
      <c r="G1231" s="47" t="n"/>
      <c r="H1231" s="47" t="n"/>
      <c r="I1231" s="43">
        <f>IF($B1231="","",N($G1231)-N($H1231))</f>
        <v/>
      </c>
    </row>
    <row r="1232">
      <c r="A1232" s="39">
        <f>IF($B1232="","",COUNTA($B$4:$B1232))</f>
        <v/>
      </c>
      <c r="B1232" s="40" t="n"/>
      <c r="C1232" s="41" t="n"/>
      <c r="D1232" s="41" t="n"/>
      <c r="E1232" s="41" t="n"/>
      <c r="F1232" s="50" t="n"/>
      <c r="G1232" s="42" t="n"/>
      <c r="H1232" s="42" t="n"/>
      <c r="I1232" s="43">
        <f>IF($B1232="","",N($G1232)-N($H1232))</f>
        <v/>
      </c>
    </row>
    <row r="1233">
      <c r="A1233" s="39">
        <f>IF($B1233="","",COUNTA($B$4:$B1233))</f>
        <v/>
      </c>
      <c r="B1233" s="45" t="n"/>
      <c r="C1233" s="46" t="n"/>
      <c r="D1233" s="46" t="n"/>
      <c r="E1233" s="46" t="n"/>
      <c r="F1233" s="51" t="n"/>
      <c r="G1233" s="47" t="n"/>
      <c r="H1233" s="47" t="n"/>
      <c r="I1233" s="43">
        <f>IF($B1233="","",N($G1233)-N($H1233))</f>
        <v/>
      </c>
    </row>
    <row r="1234">
      <c r="A1234" s="39">
        <f>IF($B1234="","",COUNTA($B$4:$B1234))</f>
        <v/>
      </c>
      <c r="B1234" s="40" t="n"/>
      <c r="C1234" s="41" t="n"/>
      <c r="D1234" s="41" t="n"/>
      <c r="E1234" s="41" t="n"/>
      <c r="F1234" s="50" t="n"/>
      <c r="G1234" s="42" t="n"/>
      <c r="H1234" s="42" t="n"/>
      <c r="I1234" s="43">
        <f>IF($B1234="","",N($G1234)-N($H1234))</f>
        <v/>
      </c>
    </row>
    <row r="1235">
      <c r="A1235" s="39">
        <f>IF($B1235="","",COUNTA($B$4:$B1235))</f>
        <v/>
      </c>
      <c r="B1235" s="45" t="n"/>
      <c r="C1235" s="46" t="n"/>
      <c r="D1235" s="46" t="n"/>
      <c r="E1235" s="46" t="n"/>
      <c r="F1235" s="51" t="n"/>
      <c r="G1235" s="47" t="n"/>
      <c r="H1235" s="47" t="n"/>
      <c r="I1235" s="43">
        <f>IF($B1235="","",N($G1235)-N($H1235))</f>
        <v/>
      </c>
    </row>
    <row r="1236">
      <c r="A1236" s="39">
        <f>IF($B1236="","",COUNTA($B$4:$B1236))</f>
        <v/>
      </c>
      <c r="B1236" s="40" t="n"/>
      <c r="C1236" s="41" t="n"/>
      <c r="D1236" s="41" t="n"/>
      <c r="E1236" s="41" t="n"/>
      <c r="F1236" s="50" t="n"/>
      <c r="G1236" s="42" t="n"/>
      <c r="H1236" s="42" t="n"/>
      <c r="I1236" s="43">
        <f>IF($B1236="","",N($G1236)-N($H1236))</f>
        <v/>
      </c>
    </row>
    <row r="1237">
      <c r="A1237" s="39">
        <f>IF($B1237="","",COUNTA($B$4:$B1237))</f>
        <v/>
      </c>
      <c r="B1237" s="45" t="n"/>
      <c r="C1237" s="46" t="n"/>
      <c r="D1237" s="46" t="n"/>
      <c r="E1237" s="46" t="n"/>
      <c r="F1237" s="51" t="n"/>
      <c r="G1237" s="47" t="n"/>
      <c r="H1237" s="47" t="n"/>
      <c r="I1237" s="43">
        <f>IF($B1237="","",N($G1237)-N($H1237))</f>
        <v/>
      </c>
    </row>
    <row r="1238">
      <c r="A1238" s="39">
        <f>IF($B1238="","",COUNTA($B$4:$B1238))</f>
        <v/>
      </c>
      <c r="B1238" s="40" t="n"/>
      <c r="C1238" s="41" t="n"/>
      <c r="D1238" s="41" t="n"/>
      <c r="E1238" s="41" t="n"/>
      <c r="F1238" s="50" t="n"/>
      <c r="G1238" s="42" t="n"/>
      <c r="H1238" s="42" t="n"/>
      <c r="I1238" s="43">
        <f>IF($B1238="","",N($G1238)-N($H1238))</f>
        <v/>
      </c>
    </row>
    <row r="1239">
      <c r="A1239" s="39">
        <f>IF($B1239="","",COUNTA($B$4:$B1239))</f>
        <v/>
      </c>
      <c r="B1239" s="45" t="n"/>
      <c r="C1239" s="46" t="n"/>
      <c r="D1239" s="46" t="n"/>
      <c r="E1239" s="46" t="n"/>
      <c r="F1239" s="51" t="n"/>
      <c r="G1239" s="47" t="n"/>
      <c r="H1239" s="47" t="n"/>
      <c r="I1239" s="43">
        <f>IF($B1239="","",N($G1239)-N($H1239))</f>
        <v/>
      </c>
    </row>
    <row r="1240">
      <c r="A1240" s="39">
        <f>IF($B1240="","",COUNTA($B$4:$B1240))</f>
        <v/>
      </c>
      <c r="B1240" s="40" t="n"/>
      <c r="C1240" s="41" t="n"/>
      <c r="D1240" s="41" t="n"/>
      <c r="E1240" s="41" t="n"/>
      <c r="F1240" s="50" t="n"/>
      <c r="G1240" s="42" t="n"/>
      <c r="H1240" s="42" t="n"/>
      <c r="I1240" s="43">
        <f>IF($B1240="","",N($G1240)-N($H1240))</f>
        <v/>
      </c>
    </row>
    <row r="1241">
      <c r="A1241" s="39">
        <f>IF($B1241="","",COUNTA($B$4:$B1241))</f>
        <v/>
      </c>
      <c r="B1241" s="45" t="n"/>
      <c r="C1241" s="46" t="n"/>
      <c r="D1241" s="46" t="n"/>
      <c r="E1241" s="46" t="n"/>
      <c r="F1241" s="51" t="n"/>
      <c r="G1241" s="47" t="n"/>
      <c r="H1241" s="47" t="n"/>
      <c r="I1241" s="43">
        <f>IF($B1241="","",N($G1241)-N($H1241))</f>
        <v/>
      </c>
    </row>
    <row r="1242">
      <c r="A1242" s="39">
        <f>IF($B1242="","",COUNTA($B$4:$B1242))</f>
        <v/>
      </c>
      <c r="B1242" s="40" t="n"/>
      <c r="C1242" s="41" t="n"/>
      <c r="D1242" s="41" t="n"/>
      <c r="E1242" s="41" t="n"/>
      <c r="F1242" s="50" t="n"/>
      <c r="G1242" s="42" t="n"/>
      <c r="H1242" s="42" t="n"/>
      <c r="I1242" s="43">
        <f>IF($B1242="","",N($G1242)-N($H1242))</f>
        <v/>
      </c>
    </row>
    <row r="1243">
      <c r="A1243" s="39">
        <f>IF($B1243="","",COUNTA($B$4:$B1243))</f>
        <v/>
      </c>
      <c r="B1243" s="45" t="n"/>
      <c r="C1243" s="46" t="n"/>
      <c r="D1243" s="46" t="n"/>
      <c r="E1243" s="46" t="n"/>
      <c r="F1243" s="51" t="n"/>
      <c r="G1243" s="47" t="n"/>
      <c r="H1243" s="47" t="n"/>
      <c r="I1243" s="43">
        <f>IF($B1243="","",N($G1243)-N($H1243))</f>
        <v/>
      </c>
    </row>
    <row r="1244">
      <c r="A1244" s="39">
        <f>IF($B1244="","",COUNTA($B$4:$B1244))</f>
        <v/>
      </c>
      <c r="B1244" s="40" t="n"/>
      <c r="C1244" s="41" t="n"/>
      <c r="D1244" s="41" t="n"/>
      <c r="E1244" s="41" t="n"/>
      <c r="F1244" s="50" t="n"/>
      <c r="G1244" s="42" t="n"/>
      <c r="H1244" s="42" t="n"/>
      <c r="I1244" s="43">
        <f>IF($B1244="","",N($G1244)-N($H1244))</f>
        <v/>
      </c>
    </row>
    <row r="1245">
      <c r="A1245" s="39">
        <f>IF($B1245="","",COUNTA($B$4:$B1245))</f>
        <v/>
      </c>
      <c r="B1245" s="45" t="n"/>
      <c r="C1245" s="46" t="n"/>
      <c r="D1245" s="46" t="n"/>
      <c r="E1245" s="46" t="n"/>
      <c r="F1245" s="51" t="n"/>
      <c r="G1245" s="47" t="n"/>
      <c r="H1245" s="47" t="n"/>
      <c r="I1245" s="43">
        <f>IF($B1245="","",N($G1245)-N($H1245))</f>
        <v/>
      </c>
    </row>
    <row r="1246">
      <c r="A1246" s="39">
        <f>IF($B1246="","",COUNTA($B$4:$B1246))</f>
        <v/>
      </c>
      <c r="B1246" s="40" t="n"/>
      <c r="C1246" s="41" t="n"/>
      <c r="D1246" s="41" t="n"/>
      <c r="E1246" s="41" t="n"/>
      <c r="F1246" s="50" t="n"/>
      <c r="G1246" s="42" t="n"/>
      <c r="H1246" s="42" t="n"/>
      <c r="I1246" s="43">
        <f>IF($B1246="","",N($G1246)-N($H1246))</f>
        <v/>
      </c>
    </row>
    <row r="1247">
      <c r="A1247" s="39">
        <f>IF($B1247="","",COUNTA($B$4:$B1247))</f>
        <v/>
      </c>
      <c r="B1247" s="45" t="n"/>
      <c r="C1247" s="46" t="n"/>
      <c r="D1247" s="46" t="n"/>
      <c r="E1247" s="46" t="n"/>
      <c r="F1247" s="51" t="n"/>
      <c r="G1247" s="47" t="n"/>
      <c r="H1247" s="47" t="n"/>
      <c r="I1247" s="43">
        <f>IF($B1247="","",N($G1247)-N($H1247))</f>
        <v/>
      </c>
    </row>
    <row r="1248">
      <c r="A1248" s="39">
        <f>IF($B1248="","",COUNTA($B$4:$B1248))</f>
        <v/>
      </c>
      <c r="B1248" s="40" t="n"/>
      <c r="C1248" s="41" t="n"/>
      <c r="D1248" s="41" t="n"/>
      <c r="E1248" s="41" t="n"/>
      <c r="F1248" s="50" t="n"/>
      <c r="G1248" s="42" t="n"/>
      <c r="H1248" s="42" t="n"/>
      <c r="I1248" s="43">
        <f>IF($B1248="","",N($G1248)-N($H1248))</f>
        <v/>
      </c>
    </row>
    <row r="1249">
      <c r="A1249" s="39">
        <f>IF($B1249="","",COUNTA($B$4:$B1249))</f>
        <v/>
      </c>
      <c r="B1249" s="45" t="n"/>
      <c r="C1249" s="46" t="n"/>
      <c r="D1249" s="46" t="n"/>
      <c r="E1249" s="46" t="n"/>
      <c r="F1249" s="51" t="n"/>
      <c r="G1249" s="47" t="n"/>
      <c r="H1249" s="47" t="n"/>
      <c r="I1249" s="43">
        <f>IF($B1249="","",N($G1249)-N($H1249))</f>
        <v/>
      </c>
    </row>
    <row r="1250">
      <c r="A1250" s="39">
        <f>IF($B1250="","",COUNTA($B$4:$B1250))</f>
        <v/>
      </c>
      <c r="B1250" s="40" t="n"/>
      <c r="C1250" s="41" t="n"/>
      <c r="D1250" s="41" t="n"/>
      <c r="E1250" s="41" t="n"/>
      <c r="F1250" s="50" t="n"/>
      <c r="G1250" s="42" t="n"/>
      <c r="H1250" s="42" t="n"/>
      <c r="I1250" s="43">
        <f>IF($B1250="","",N($G1250)-N($H1250))</f>
        <v/>
      </c>
    </row>
    <row r="1251">
      <c r="A1251" s="39">
        <f>IF($B1251="","",COUNTA($B$4:$B1251))</f>
        <v/>
      </c>
      <c r="B1251" s="45" t="n"/>
      <c r="C1251" s="46" t="n"/>
      <c r="D1251" s="46" t="n"/>
      <c r="E1251" s="46" t="n"/>
      <c r="F1251" s="51" t="n"/>
      <c r="G1251" s="47" t="n"/>
      <c r="H1251" s="47" t="n"/>
      <c r="I1251" s="43">
        <f>IF($B1251="","",N($G1251)-N($H1251))</f>
        <v/>
      </c>
    </row>
    <row r="1252">
      <c r="A1252" s="39">
        <f>IF($B1252="","",COUNTA($B$4:$B1252))</f>
        <v/>
      </c>
      <c r="B1252" s="40" t="n"/>
      <c r="C1252" s="41" t="n"/>
      <c r="D1252" s="41" t="n"/>
      <c r="E1252" s="41" t="n"/>
      <c r="F1252" s="50" t="n"/>
      <c r="G1252" s="42" t="n"/>
      <c r="H1252" s="42" t="n"/>
      <c r="I1252" s="43">
        <f>IF($B1252="","",N($G1252)-N($H1252))</f>
        <v/>
      </c>
    </row>
    <row r="1253">
      <c r="A1253" s="39">
        <f>IF($B1253="","",COUNTA($B$4:$B1253))</f>
        <v/>
      </c>
      <c r="B1253" s="45" t="n"/>
      <c r="C1253" s="46" t="n"/>
      <c r="D1253" s="46" t="n"/>
      <c r="E1253" s="46" t="n"/>
      <c r="F1253" s="51" t="n"/>
      <c r="G1253" s="47" t="n"/>
      <c r="H1253" s="47" t="n"/>
      <c r="I1253" s="43">
        <f>IF($B1253="","",N($G1253)-N($H1253))</f>
        <v/>
      </c>
    </row>
    <row r="1254">
      <c r="A1254" s="39">
        <f>IF($B1254="","",COUNTA($B$4:$B1254))</f>
        <v/>
      </c>
      <c r="B1254" s="40" t="n"/>
      <c r="C1254" s="41" t="n"/>
      <c r="D1254" s="41" t="n"/>
      <c r="E1254" s="41" t="n"/>
      <c r="F1254" s="50" t="n"/>
      <c r="G1254" s="42" t="n"/>
      <c r="H1254" s="42" t="n"/>
      <c r="I1254" s="43">
        <f>IF($B1254="","",N($G1254)-N($H1254))</f>
        <v/>
      </c>
    </row>
    <row r="1255">
      <c r="A1255" s="39">
        <f>IF($B1255="","",COUNTA($B$4:$B1255))</f>
        <v/>
      </c>
      <c r="B1255" s="45" t="n"/>
      <c r="C1255" s="46" t="n"/>
      <c r="D1255" s="46" t="n"/>
      <c r="E1255" s="46" t="n"/>
      <c r="F1255" s="51" t="n"/>
      <c r="G1255" s="47" t="n"/>
      <c r="H1255" s="47" t="n"/>
      <c r="I1255" s="43">
        <f>IF($B1255="","",N($G1255)-N($H1255))</f>
        <v/>
      </c>
    </row>
    <row r="1256">
      <c r="A1256" s="39">
        <f>IF($B1256="","",COUNTA($B$4:$B1256))</f>
        <v/>
      </c>
      <c r="B1256" s="40" t="n"/>
      <c r="C1256" s="41" t="n"/>
      <c r="D1256" s="41" t="n"/>
      <c r="E1256" s="41" t="n"/>
      <c r="F1256" s="50" t="n"/>
      <c r="G1256" s="42" t="n"/>
      <c r="H1256" s="42" t="n"/>
      <c r="I1256" s="43">
        <f>IF($B1256="","",N($G1256)-N($H1256))</f>
        <v/>
      </c>
    </row>
    <row r="1257">
      <c r="A1257" s="39">
        <f>IF($B1257="","",COUNTA($B$4:$B1257))</f>
        <v/>
      </c>
      <c r="B1257" s="45" t="n"/>
      <c r="C1257" s="46" t="n"/>
      <c r="D1257" s="46" t="n"/>
      <c r="E1257" s="46" t="n"/>
      <c r="F1257" s="51" t="n"/>
      <c r="G1257" s="47" t="n"/>
      <c r="H1257" s="47" t="n"/>
      <c r="I1257" s="43">
        <f>IF($B1257="","",N($G1257)-N($H1257))</f>
        <v/>
      </c>
    </row>
    <row r="1258">
      <c r="A1258" s="39">
        <f>IF($B1258="","",COUNTA($B$4:$B1258))</f>
        <v/>
      </c>
      <c r="B1258" s="40" t="n"/>
      <c r="C1258" s="41" t="n"/>
      <c r="D1258" s="41" t="n"/>
      <c r="E1258" s="41" t="n"/>
      <c r="F1258" s="50" t="n"/>
      <c r="G1258" s="42" t="n"/>
      <c r="H1258" s="42" t="n"/>
      <c r="I1258" s="43">
        <f>IF($B1258="","",N($G1258)-N($H1258))</f>
        <v/>
      </c>
    </row>
    <row r="1259">
      <c r="A1259" s="39">
        <f>IF($B1259="","",COUNTA($B$4:$B1259))</f>
        <v/>
      </c>
      <c r="B1259" s="45" t="n"/>
      <c r="C1259" s="46" t="n"/>
      <c r="D1259" s="46" t="n"/>
      <c r="E1259" s="46" t="n"/>
      <c r="F1259" s="51" t="n"/>
      <c r="G1259" s="47" t="n"/>
      <c r="H1259" s="47" t="n"/>
      <c r="I1259" s="43">
        <f>IF($B1259="","",N($G1259)-N($H1259))</f>
        <v/>
      </c>
    </row>
    <row r="1260">
      <c r="A1260" s="39">
        <f>IF($B1260="","",COUNTA($B$4:$B1260))</f>
        <v/>
      </c>
      <c r="B1260" s="40" t="n"/>
      <c r="C1260" s="41" t="n"/>
      <c r="D1260" s="41" t="n"/>
      <c r="E1260" s="41" t="n"/>
      <c r="F1260" s="50" t="n"/>
      <c r="G1260" s="42" t="n"/>
      <c r="H1260" s="42" t="n"/>
      <c r="I1260" s="43">
        <f>IF($B1260="","",N($G1260)-N($H1260))</f>
        <v/>
      </c>
    </row>
    <row r="1261">
      <c r="A1261" s="39">
        <f>IF($B1261="","",COUNTA($B$4:$B1261))</f>
        <v/>
      </c>
      <c r="B1261" s="45" t="n"/>
      <c r="C1261" s="46" t="n"/>
      <c r="D1261" s="46" t="n"/>
      <c r="E1261" s="46" t="n"/>
      <c r="F1261" s="51" t="n"/>
      <c r="G1261" s="47" t="n"/>
      <c r="H1261" s="47" t="n"/>
      <c r="I1261" s="43">
        <f>IF($B1261="","",N($G1261)-N($H1261))</f>
        <v/>
      </c>
    </row>
    <row r="1262">
      <c r="A1262" s="39">
        <f>IF($B1262="","",COUNTA($B$4:$B1262))</f>
        <v/>
      </c>
      <c r="B1262" s="40" t="n"/>
      <c r="C1262" s="41" t="n"/>
      <c r="D1262" s="41" t="n"/>
      <c r="E1262" s="41" t="n"/>
      <c r="F1262" s="50" t="n"/>
      <c r="G1262" s="42" t="n"/>
      <c r="H1262" s="42" t="n"/>
      <c r="I1262" s="43">
        <f>IF($B1262="","",N($G1262)-N($H1262))</f>
        <v/>
      </c>
    </row>
    <row r="1263">
      <c r="A1263" s="39">
        <f>IF($B1263="","",COUNTA($B$4:$B1263))</f>
        <v/>
      </c>
      <c r="B1263" s="45" t="n"/>
      <c r="C1263" s="46" t="n"/>
      <c r="D1263" s="46" t="n"/>
      <c r="E1263" s="46" t="n"/>
      <c r="F1263" s="51" t="n"/>
      <c r="G1263" s="47" t="n"/>
      <c r="H1263" s="47" t="n"/>
      <c r="I1263" s="43">
        <f>IF($B1263="","",N($G1263)-N($H1263))</f>
        <v/>
      </c>
    </row>
    <row r="1264">
      <c r="A1264" s="39">
        <f>IF($B1264="","",COUNTA($B$4:$B1264))</f>
        <v/>
      </c>
      <c r="B1264" s="40" t="n"/>
      <c r="C1264" s="41" t="n"/>
      <c r="D1264" s="41" t="n"/>
      <c r="E1264" s="41" t="n"/>
      <c r="F1264" s="50" t="n"/>
      <c r="G1264" s="42" t="n"/>
      <c r="H1264" s="42" t="n"/>
      <c r="I1264" s="43">
        <f>IF($B1264="","",N($G1264)-N($H1264))</f>
        <v/>
      </c>
    </row>
    <row r="1265">
      <c r="A1265" s="39">
        <f>IF($B1265="","",COUNTA($B$4:$B1265))</f>
        <v/>
      </c>
      <c r="B1265" s="45" t="n"/>
      <c r="C1265" s="46" t="n"/>
      <c r="D1265" s="46" t="n"/>
      <c r="E1265" s="46" t="n"/>
      <c r="F1265" s="51" t="n"/>
      <c r="G1265" s="47" t="n"/>
      <c r="H1265" s="47" t="n"/>
      <c r="I1265" s="43">
        <f>IF($B1265="","",N($G1265)-N($H1265))</f>
        <v/>
      </c>
    </row>
    <row r="1266">
      <c r="A1266" s="39">
        <f>IF($B1266="","",COUNTA($B$4:$B1266))</f>
        <v/>
      </c>
      <c r="B1266" s="40" t="n"/>
      <c r="C1266" s="41" t="n"/>
      <c r="D1266" s="41" t="n"/>
      <c r="E1266" s="41" t="n"/>
      <c r="F1266" s="50" t="n"/>
      <c r="G1266" s="42" t="n"/>
      <c r="H1266" s="42" t="n"/>
      <c r="I1266" s="43">
        <f>IF($B1266="","",N($G1266)-N($H1266))</f>
        <v/>
      </c>
    </row>
    <row r="1267">
      <c r="A1267" s="39">
        <f>IF($B1267="","",COUNTA($B$4:$B1267))</f>
        <v/>
      </c>
      <c r="B1267" s="45" t="n"/>
      <c r="C1267" s="46" t="n"/>
      <c r="D1267" s="46" t="n"/>
      <c r="E1267" s="46" t="n"/>
      <c r="F1267" s="51" t="n"/>
      <c r="G1267" s="47" t="n"/>
      <c r="H1267" s="47" t="n"/>
      <c r="I1267" s="43">
        <f>IF($B1267="","",N($G1267)-N($H1267))</f>
        <v/>
      </c>
    </row>
    <row r="1268">
      <c r="A1268" s="39">
        <f>IF($B1268="","",COUNTA($B$4:$B1268))</f>
        <v/>
      </c>
      <c r="B1268" s="40" t="n"/>
      <c r="C1268" s="41" t="n"/>
      <c r="D1268" s="41" t="n"/>
      <c r="E1268" s="41" t="n"/>
      <c r="F1268" s="50" t="n"/>
      <c r="G1268" s="42" t="n"/>
      <c r="H1268" s="42" t="n"/>
      <c r="I1268" s="43">
        <f>IF($B1268="","",N($G1268)-N($H1268))</f>
        <v/>
      </c>
    </row>
    <row r="1269">
      <c r="A1269" s="39">
        <f>IF($B1269="","",COUNTA($B$4:$B1269))</f>
        <v/>
      </c>
      <c r="B1269" s="45" t="n"/>
      <c r="C1269" s="46" t="n"/>
      <c r="D1269" s="46" t="n"/>
      <c r="E1269" s="46" t="n"/>
      <c r="F1269" s="51" t="n"/>
      <c r="G1269" s="47" t="n"/>
      <c r="H1269" s="47" t="n"/>
      <c r="I1269" s="43">
        <f>IF($B1269="","",N($G1269)-N($H1269))</f>
        <v/>
      </c>
    </row>
    <row r="1270">
      <c r="A1270" s="39">
        <f>IF($B1270="","",COUNTA($B$4:$B1270))</f>
        <v/>
      </c>
      <c r="B1270" s="40" t="n"/>
      <c r="C1270" s="41" t="n"/>
      <c r="D1270" s="41" t="n"/>
      <c r="E1270" s="41" t="n"/>
      <c r="F1270" s="50" t="n"/>
      <c r="G1270" s="42" t="n"/>
      <c r="H1270" s="42" t="n"/>
      <c r="I1270" s="43">
        <f>IF($B1270="","",N($G1270)-N($H1270))</f>
        <v/>
      </c>
    </row>
    <row r="1271">
      <c r="A1271" s="39">
        <f>IF($B1271="","",COUNTA($B$4:$B1271))</f>
        <v/>
      </c>
      <c r="B1271" s="45" t="n"/>
      <c r="C1271" s="46" t="n"/>
      <c r="D1271" s="46" t="n"/>
      <c r="E1271" s="46" t="n"/>
      <c r="F1271" s="51" t="n"/>
      <c r="G1271" s="47" t="n"/>
      <c r="H1271" s="47" t="n"/>
      <c r="I1271" s="43">
        <f>IF($B1271="","",N($G1271)-N($H1271))</f>
        <v/>
      </c>
    </row>
    <row r="1272">
      <c r="A1272" s="39">
        <f>IF($B1272="","",COUNTA($B$4:$B1272))</f>
        <v/>
      </c>
      <c r="B1272" s="40" t="n"/>
      <c r="C1272" s="41" t="n"/>
      <c r="D1272" s="41" t="n"/>
      <c r="E1272" s="41" t="n"/>
      <c r="F1272" s="50" t="n"/>
      <c r="G1272" s="42" t="n"/>
      <c r="H1272" s="42" t="n"/>
      <c r="I1272" s="43">
        <f>IF($B1272="","",N($G1272)-N($H1272))</f>
        <v/>
      </c>
    </row>
    <row r="1273">
      <c r="A1273" s="39">
        <f>IF($B1273="","",COUNTA($B$4:$B1273))</f>
        <v/>
      </c>
      <c r="B1273" s="45" t="n"/>
      <c r="C1273" s="46" t="n"/>
      <c r="D1273" s="46" t="n"/>
      <c r="E1273" s="46" t="n"/>
      <c r="F1273" s="51" t="n"/>
      <c r="G1273" s="47" t="n"/>
      <c r="H1273" s="47" t="n"/>
      <c r="I1273" s="43">
        <f>IF($B1273="","",N($G1273)-N($H1273))</f>
        <v/>
      </c>
    </row>
    <row r="1274">
      <c r="A1274" s="39">
        <f>IF($B1274="","",COUNTA($B$4:$B1274))</f>
        <v/>
      </c>
      <c r="B1274" s="40" t="n"/>
      <c r="C1274" s="41" t="n"/>
      <c r="D1274" s="41" t="n"/>
      <c r="E1274" s="41" t="n"/>
      <c r="F1274" s="50" t="n"/>
      <c r="G1274" s="42" t="n"/>
      <c r="H1274" s="42" t="n"/>
      <c r="I1274" s="43">
        <f>IF($B1274="","",N($G1274)-N($H1274))</f>
        <v/>
      </c>
    </row>
    <row r="1275">
      <c r="A1275" s="39">
        <f>IF($B1275="","",COUNTA($B$4:$B1275))</f>
        <v/>
      </c>
      <c r="B1275" s="45" t="n"/>
      <c r="C1275" s="46" t="n"/>
      <c r="D1275" s="46" t="n"/>
      <c r="E1275" s="46" t="n"/>
      <c r="F1275" s="51" t="n"/>
      <c r="G1275" s="47" t="n"/>
      <c r="H1275" s="47" t="n"/>
      <c r="I1275" s="43">
        <f>IF($B1275="","",N($G1275)-N($H1275))</f>
        <v/>
      </c>
    </row>
    <row r="1276">
      <c r="A1276" s="39">
        <f>IF($B1276="","",COUNTA($B$4:$B1276))</f>
        <v/>
      </c>
      <c r="B1276" s="40" t="n"/>
      <c r="C1276" s="41" t="n"/>
      <c r="D1276" s="41" t="n"/>
      <c r="E1276" s="41" t="n"/>
      <c r="F1276" s="50" t="n"/>
      <c r="G1276" s="42" t="n"/>
      <c r="H1276" s="42" t="n"/>
      <c r="I1276" s="43">
        <f>IF($B1276="","",N($G1276)-N($H1276))</f>
        <v/>
      </c>
    </row>
    <row r="1277">
      <c r="A1277" s="39">
        <f>IF($B1277="","",COUNTA($B$4:$B1277))</f>
        <v/>
      </c>
      <c r="B1277" s="45" t="n"/>
      <c r="C1277" s="46" t="n"/>
      <c r="D1277" s="46" t="n"/>
      <c r="E1277" s="46" t="n"/>
      <c r="F1277" s="51" t="n"/>
      <c r="G1277" s="47" t="n"/>
      <c r="H1277" s="47" t="n"/>
      <c r="I1277" s="43">
        <f>IF($B1277="","",N($G1277)-N($H1277))</f>
        <v/>
      </c>
    </row>
    <row r="1278">
      <c r="A1278" s="39">
        <f>IF($B1278="","",COUNTA($B$4:$B1278))</f>
        <v/>
      </c>
      <c r="B1278" s="40" t="n"/>
      <c r="C1278" s="41" t="n"/>
      <c r="D1278" s="41" t="n"/>
      <c r="E1278" s="41" t="n"/>
      <c r="F1278" s="50" t="n"/>
      <c r="G1278" s="42" t="n"/>
      <c r="H1278" s="42" t="n"/>
      <c r="I1278" s="43">
        <f>IF($B1278="","",N($G1278)-N($H1278))</f>
        <v/>
      </c>
    </row>
    <row r="1279">
      <c r="A1279" s="39">
        <f>IF($B1279="","",COUNTA($B$4:$B1279))</f>
        <v/>
      </c>
      <c r="B1279" s="45" t="n"/>
      <c r="C1279" s="46" t="n"/>
      <c r="D1279" s="46" t="n"/>
      <c r="E1279" s="46" t="n"/>
      <c r="F1279" s="51" t="n"/>
      <c r="G1279" s="47" t="n"/>
      <c r="H1279" s="47" t="n"/>
      <c r="I1279" s="43">
        <f>IF($B1279="","",N($G1279)-N($H1279))</f>
        <v/>
      </c>
    </row>
    <row r="1280">
      <c r="A1280" s="39">
        <f>IF($B1280="","",COUNTA($B$4:$B1280))</f>
        <v/>
      </c>
      <c r="B1280" s="40" t="n"/>
      <c r="C1280" s="41" t="n"/>
      <c r="D1280" s="41" t="n"/>
      <c r="E1280" s="41" t="n"/>
      <c r="F1280" s="50" t="n"/>
      <c r="G1280" s="42" t="n"/>
      <c r="H1280" s="42" t="n"/>
      <c r="I1280" s="43">
        <f>IF($B1280="","",N($G1280)-N($H1280))</f>
        <v/>
      </c>
    </row>
    <row r="1281">
      <c r="A1281" s="39">
        <f>IF($B1281="","",COUNTA($B$4:$B1281))</f>
        <v/>
      </c>
      <c r="B1281" s="45" t="n"/>
      <c r="C1281" s="46" t="n"/>
      <c r="D1281" s="46" t="n"/>
      <c r="E1281" s="46" t="n"/>
      <c r="F1281" s="51" t="n"/>
      <c r="G1281" s="47" t="n"/>
      <c r="H1281" s="47" t="n"/>
      <c r="I1281" s="43">
        <f>IF($B1281="","",N($G1281)-N($H1281))</f>
        <v/>
      </c>
    </row>
    <row r="1282">
      <c r="A1282" s="39">
        <f>IF($B1282="","",COUNTA($B$4:$B1282))</f>
        <v/>
      </c>
      <c r="B1282" s="40" t="n"/>
      <c r="C1282" s="41" t="n"/>
      <c r="D1282" s="41" t="n"/>
      <c r="E1282" s="41" t="n"/>
      <c r="F1282" s="50" t="n"/>
      <c r="G1282" s="42" t="n"/>
      <c r="H1282" s="42" t="n"/>
      <c r="I1282" s="43">
        <f>IF($B1282="","",N($G1282)-N($H1282))</f>
        <v/>
      </c>
    </row>
    <row r="1283">
      <c r="A1283" s="39">
        <f>IF($B1283="","",COUNTA($B$4:$B1283))</f>
        <v/>
      </c>
      <c r="B1283" s="45" t="n"/>
      <c r="C1283" s="46" t="n"/>
      <c r="D1283" s="46" t="n"/>
      <c r="E1283" s="46" t="n"/>
      <c r="F1283" s="51" t="n"/>
      <c r="G1283" s="47" t="n"/>
      <c r="H1283" s="47" t="n"/>
      <c r="I1283" s="43">
        <f>IF($B1283="","",N($G1283)-N($H1283))</f>
        <v/>
      </c>
    </row>
    <row r="1284">
      <c r="A1284" s="39">
        <f>IF($B1284="","",COUNTA($B$4:$B1284))</f>
        <v/>
      </c>
      <c r="B1284" s="40" t="n"/>
      <c r="C1284" s="41" t="n"/>
      <c r="D1284" s="41" t="n"/>
      <c r="E1284" s="41" t="n"/>
      <c r="F1284" s="50" t="n"/>
      <c r="G1284" s="42" t="n"/>
      <c r="H1284" s="42" t="n"/>
      <c r="I1284" s="43">
        <f>IF($B1284="","",N($G1284)-N($H1284))</f>
        <v/>
      </c>
    </row>
    <row r="1285">
      <c r="A1285" s="39">
        <f>IF($B1285="","",COUNTA($B$4:$B1285))</f>
        <v/>
      </c>
      <c r="B1285" s="45" t="n"/>
      <c r="C1285" s="46" t="n"/>
      <c r="D1285" s="46" t="n"/>
      <c r="E1285" s="46" t="n"/>
      <c r="F1285" s="51" t="n"/>
      <c r="G1285" s="47" t="n"/>
      <c r="H1285" s="47" t="n"/>
      <c r="I1285" s="43">
        <f>IF($B1285="","",N($G1285)-N($H1285))</f>
        <v/>
      </c>
    </row>
    <row r="1286">
      <c r="A1286" s="39">
        <f>IF($B1286="","",COUNTA($B$4:$B1286))</f>
        <v/>
      </c>
      <c r="B1286" s="40" t="n"/>
      <c r="C1286" s="41" t="n"/>
      <c r="D1286" s="41" t="n"/>
      <c r="E1286" s="41" t="n"/>
      <c r="F1286" s="50" t="n"/>
      <c r="G1286" s="42" t="n"/>
      <c r="H1286" s="42" t="n"/>
      <c r="I1286" s="43">
        <f>IF($B1286="","",N($G1286)-N($H1286))</f>
        <v/>
      </c>
    </row>
    <row r="1287">
      <c r="A1287" s="39">
        <f>IF($B1287="","",COUNTA($B$4:$B1287))</f>
        <v/>
      </c>
      <c r="B1287" s="45" t="n"/>
      <c r="C1287" s="46" t="n"/>
      <c r="D1287" s="46" t="n"/>
      <c r="E1287" s="46" t="n"/>
      <c r="F1287" s="51" t="n"/>
      <c r="G1287" s="47" t="n"/>
      <c r="H1287" s="47" t="n"/>
      <c r="I1287" s="43">
        <f>IF($B1287="","",N($G1287)-N($H1287))</f>
        <v/>
      </c>
    </row>
    <row r="1288">
      <c r="A1288" s="39">
        <f>IF($B1288="","",COUNTA($B$4:$B1288))</f>
        <v/>
      </c>
      <c r="B1288" s="40" t="n"/>
      <c r="C1288" s="41" t="n"/>
      <c r="D1288" s="41" t="n"/>
      <c r="E1288" s="41" t="n"/>
      <c r="F1288" s="50" t="n"/>
      <c r="G1288" s="42" t="n"/>
      <c r="H1288" s="42" t="n"/>
      <c r="I1288" s="43">
        <f>IF($B1288="","",N($G1288)-N($H1288))</f>
        <v/>
      </c>
    </row>
    <row r="1289">
      <c r="A1289" s="39">
        <f>IF($B1289="","",COUNTA($B$4:$B1289))</f>
        <v/>
      </c>
      <c r="B1289" s="45" t="n"/>
      <c r="C1289" s="46" t="n"/>
      <c r="D1289" s="46" t="n"/>
      <c r="E1289" s="46" t="n"/>
      <c r="F1289" s="51" t="n"/>
      <c r="G1289" s="47" t="n"/>
      <c r="H1289" s="47" t="n"/>
      <c r="I1289" s="43">
        <f>IF($B1289="","",N($G1289)-N($H1289))</f>
        <v/>
      </c>
    </row>
    <row r="1290">
      <c r="A1290" s="39">
        <f>IF($B1290="","",COUNTA($B$4:$B1290))</f>
        <v/>
      </c>
      <c r="B1290" s="40" t="n"/>
      <c r="C1290" s="41" t="n"/>
      <c r="D1290" s="41" t="n"/>
      <c r="E1290" s="41" t="n"/>
      <c r="F1290" s="50" t="n"/>
      <c r="G1290" s="42" t="n"/>
      <c r="H1290" s="42" t="n"/>
      <c r="I1290" s="43">
        <f>IF($B1290="","",N($G1290)-N($H1290))</f>
        <v/>
      </c>
    </row>
    <row r="1291">
      <c r="A1291" s="39">
        <f>IF($B1291="","",COUNTA($B$4:$B1291))</f>
        <v/>
      </c>
      <c r="B1291" s="45" t="n"/>
      <c r="C1291" s="46" t="n"/>
      <c r="D1291" s="46" t="n"/>
      <c r="E1291" s="46" t="n"/>
      <c r="F1291" s="51" t="n"/>
      <c r="G1291" s="47" t="n"/>
      <c r="H1291" s="47" t="n"/>
      <c r="I1291" s="43">
        <f>IF($B1291="","",N($G1291)-N($H1291))</f>
        <v/>
      </c>
    </row>
    <row r="1292">
      <c r="A1292" s="39">
        <f>IF($B1292="","",COUNTA($B$4:$B1292))</f>
        <v/>
      </c>
      <c r="B1292" s="40" t="n"/>
      <c r="C1292" s="41" t="n"/>
      <c r="D1292" s="41" t="n"/>
      <c r="E1292" s="41" t="n"/>
      <c r="F1292" s="50" t="n"/>
      <c r="G1292" s="42" t="n"/>
      <c r="H1292" s="42" t="n"/>
      <c r="I1292" s="43">
        <f>IF($B1292="","",N($G1292)-N($H1292))</f>
        <v/>
      </c>
    </row>
    <row r="1293">
      <c r="A1293" s="39">
        <f>IF($B1293="","",COUNTA($B$4:$B1293))</f>
        <v/>
      </c>
      <c r="B1293" s="45" t="n"/>
      <c r="C1293" s="46" t="n"/>
      <c r="D1293" s="46" t="n"/>
      <c r="E1293" s="46" t="n"/>
      <c r="F1293" s="51" t="n"/>
      <c r="G1293" s="47" t="n"/>
      <c r="H1293" s="47" t="n"/>
      <c r="I1293" s="43">
        <f>IF($B1293="","",N($G1293)-N($H1293))</f>
        <v/>
      </c>
    </row>
    <row r="1294">
      <c r="A1294" s="39">
        <f>IF($B1294="","",COUNTA($B$4:$B1294))</f>
        <v/>
      </c>
      <c r="B1294" s="40" t="n"/>
      <c r="C1294" s="41" t="n"/>
      <c r="D1294" s="41" t="n"/>
      <c r="E1294" s="41" t="n"/>
      <c r="F1294" s="50" t="n"/>
      <c r="G1294" s="42" t="n"/>
      <c r="H1294" s="42" t="n"/>
      <c r="I1294" s="43">
        <f>IF($B1294="","",N($G1294)-N($H1294))</f>
        <v/>
      </c>
    </row>
    <row r="1295">
      <c r="A1295" s="39">
        <f>IF($B1295="","",COUNTA($B$4:$B1295))</f>
        <v/>
      </c>
      <c r="B1295" s="45" t="n"/>
      <c r="C1295" s="46" t="n"/>
      <c r="D1295" s="46" t="n"/>
      <c r="E1295" s="46" t="n"/>
      <c r="F1295" s="51" t="n"/>
      <c r="G1295" s="47" t="n"/>
      <c r="H1295" s="47" t="n"/>
      <c r="I1295" s="43">
        <f>IF($B1295="","",N($G1295)-N($H1295))</f>
        <v/>
      </c>
    </row>
    <row r="1296">
      <c r="A1296" s="39">
        <f>IF($B1296="","",COUNTA($B$4:$B1296))</f>
        <v/>
      </c>
      <c r="B1296" s="40" t="n"/>
      <c r="C1296" s="41" t="n"/>
      <c r="D1296" s="41" t="n"/>
      <c r="E1296" s="41" t="n"/>
      <c r="F1296" s="50" t="n"/>
      <c r="G1296" s="42" t="n"/>
      <c r="H1296" s="42" t="n"/>
      <c r="I1296" s="43">
        <f>IF($B1296="","",N($G1296)-N($H1296))</f>
        <v/>
      </c>
    </row>
    <row r="1297">
      <c r="A1297" s="39">
        <f>IF($B1297="","",COUNTA($B$4:$B1297))</f>
        <v/>
      </c>
      <c r="B1297" s="45" t="n"/>
      <c r="C1297" s="46" t="n"/>
      <c r="D1297" s="46" t="n"/>
      <c r="E1297" s="46" t="n"/>
      <c r="F1297" s="51" t="n"/>
      <c r="G1297" s="47" t="n"/>
      <c r="H1297" s="47" t="n"/>
      <c r="I1297" s="43">
        <f>IF($B1297="","",N($G1297)-N($H1297))</f>
        <v/>
      </c>
    </row>
    <row r="1298">
      <c r="A1298" s="39">
        <f>IF($B1298="","",COUNTA($B$4:$B1298))</f>
        <v/>
      </c>
      <c r="B1298" s="40" t="n"/>
      <c r="C1298" s="41" t="n"/>
      <c r="D1298" s="41" t="n"/>
      <c r="E1298" s="41" t="n"/>
      <c r="F1298" s="50" t="n"/>
      <c r="G1298" s="42" t="n"/>
      <c r="H1298" s="42" t="n"/>
      <c r="I1298" s="43">
        <f>IF($B1298="","",N($G1298)-N($H1298))</f>
        <v/>
      </c>
    </row>
    <row r="1299">
      <c r="A1299" s="39">
        <f>IF($B1299="","",COUNTA($B$4:$B1299))</f>
        <v/>
      </c>
      <c r="B1299" s="45" t="n"/>
      <c r="C1299" s="46" t="n"/>
      <c r="D1299" s="46" t="n"/>
      <c r="E1299" s="46" t="n"/>
      <c r="F1299" s="51" t="n"/>
      <c r="G1299" s="47" t="n"/>
      <c r="H1299" s="47" t="n"/>
      <c r="I1299" s="43">
        <f>IF($B1299="","",N($G1299)-N($H1299))</f>
        <v/>
      </c>
    </row>
    <row r="1300">
      <c r="A1300" s="39">
        <f>IF($B1300="","",COUNTA($B$4:$B1300))</f>
        <v/>
      </c>
      <c r="B1300" s="40" t="n"/>
      <c r="C1300" s="41" t="n"/>
      <c r="D1300" s="41" t="n"/>
      <c r="E1300" s="41" t="n"/>
      <c r="F1300" s="50" t="n"/>
      <c r="G1300" s="42" t="n"/>
      <c r="H1300" s="42" t="n"/>
      <c r="I1300" s="43">
        <f>IF($B1300="","",N($G1300)-N($H1300))</f>
        <v/>
      </c>
    </row>
    <row r="1301">
      <c r="A1301" s="39">
        <f>IF($B1301="","",COUNTA($B$4:$B1301))</f>
        <v/>
      </c>
      <c r="B1301" s="45" t="n"/>
      <c r="C1301" s="46" t="n"/>
      <c r="D1301" s="46" t="n"/>
      <c r="E1301" s="46" t="n"/>
      <c r="F1301" s="51" t="n"/>
      <c r="G1301" s="47" t="n"/>
      <c r="H1301" s="47" t="n"/>
      <c r="I1301" s="43">
        <f>IF($B1301="","",N($G1301)-N($H1301))</f>
        <v/>
      </c>
    </row>
    <row r="1302">
      <c r="A1302" s="39">
        <f>IF($B1302="","",COUNTA($B$4:$B1302))</f>
        <v/>
      </c>
      <c r="B1302" s="40" t="n"/>
      <c r="C1302" s="41" t="n"/>
      <c r="D1302" s="41" t="n"/>
      <c r="E1302" s="41" t="n"/>
      <c r="F1302" s="50" t="n"/>
      <c r="G1302" s="42" t="n"/>
      <c r="H1302" s="42" t="n"/>
      <c r="I1302" s="43">
        <f>IF($B1302="","",N($G1302)-N($H1302))</f>
        <v/>
      </c>
    </row>
    <row r="1303">
      <c r="A1303" s="39">
        <f>IF($B1303="","",COUNTA($B$4:$B1303))</f>
        <v/>
      </c>
      <c r="B1303" s="45" t="n"/>
      <c r="C1303" s="46" t="n"/>
      <c r="D1303" s="46" t="n"/>
      <c r="E1303" s="46" t="n"/>
      <c r="F1303" s="51" t="n"/>
      <c r="G1303" s="47" t="n"/>
      <c r="H1303" s="47" t="n"/>
      <c r="I1303" s="43">
        <f>IF($B1303="","",N($G1303)-N($H1303))</f>
        <v/>
      </c>
    </row>
    <row r="1304">
      <c r="A1304" s="39">
        <f>IF($B1304="","",COUNTA($B$4:$B1304))</f>
        <v/>
      </c>
      <c r="B1304" s="40" t="n"/>
      <c r="C1304" s="41" t="n"/>
      <c r="D1304" s="41" t="n"/>
      <c r="E1304" s="41" t="n"/>
      <c r="F1304" s="50" t="n"/>
      <c r="G1304" s="42" t="n"/>
      <c r="H1304" s="42" t="n"/>
      <c r="I1304" s="43">
        <f>IF($B1304="","",N($G1304)-N($H1304))</f>
        <v/>
      </c>
    </row>
    <row r="1305">
      <c r="A1305" s="39">
        <f>IF($B1305="","",COUNTA($B$4:$B1305))</f>
        <v/>
      </c>
      <c r="B1305" s="45" t="n"/>
      <c r="C1305" s="46" t="n"/>
      <c r="D1305" s="46" t="n"/>
      <c r="E1305" s="46" t="n"/>
      <c r="F1305" s="51" t="n"/>
      <c r="G1305" s="47" t="n"/>
      <c r="H1305" s="47" t="n"/>
      <c r="I1305" s="43">
        <f>IF($B1305="","",N($G1305)-N($H1305))</f>
        <v/>
      </c>
    </row>
    <row r="1306">
      <c r="A1306" s="39">
        <f>IF($B1306="","",COUNTA($B$4:$B1306))</f>
        <v/>
      </c>
      <c r="B1306" s="40" t="n"/>
      <c r="C1306" s="41" t="n"/>
      <c r="D1306" s="41" t="n"/>
      <c r="E1306" s="41" t="n"/>
      <c r="F1306" s="50" t="n"/>
      <c r="G1306" s="42" t="n"/>
      <c r="H1306" s="42" t="n"/>
      <c r="I1306" s="43">
        <f>IF($B1306="","",N($G1306)-N($H1306))</f>
        <v/>
      </c>
    </row>
    <row r="1307">
      <c r="A1307" s="39">
        <f>IF($B1307="","",COUNTA($B$4:$B1307))</f>
        <v/>
      </c>
      <c r="B1307" s="45" t="n"/>
      <c r="C1307" s="46" t="n"/>
      <c r="D1307" s="46" t="n"/>
      <c r="E1307" s="46" t="n"/>
      <c r="F1307" s="51" t="n"/>
      <c r="G1307" s="47" t="n"/>
      <c r="H1307" s="47" t="n"/>
      <c r="I1307" s="43">
        <f>IF($B1307="","",N($G1307)-N($H1307))</f>
        <v/>
      </c>
    </row>
    <row r="1308">
      <c r="A1308" s="39">
        <f>IF($B1308="","",COUNTA($B$4:$B1308))</f>
        <v/>
      </c>
      <c r="B1308" s="40" t="n"/>
      <c r="C1308" s="41" t="n"/>
      <c r="D1308" s="41" t="n"/>
      <c r="E1308" s="41" t="n"/>
      <c r="F1308" s="50" t="n"/>
      <c r="G1308" s="42" t="n"/>
      <c r="H1308" s="42" t="n"/>
      <c r="I1308" s="43">
        <f>IF($B1308="","",N($G1308)-N($H1308))</f>
        <v/>
      </c>
    </row>
    <row r="1309">
      <c r="A1309" s="39">
        <f>IF($B1309="","",COUNTA($B$4:$B1309))</f>
        <v/>
      </c>
      <c r="B1309" s="45" t="n"/>
      <c r="C1309" s="46" t="n"/>
      <c r="D1309" s="46" t="n"/>
      <c r="E1309" s="46" t="n"/>
      <c r="F1309" s="51" t="n"/>
      <c r="G1309" s="47" t="n"/>
      <c r="H1309" s="47" t="n"/>
      <c r="I1309" s="43">
        <f>IF($B1309="","",N($G1309)-N($H1309))</f>
        <v/>
      </c>
    </row>
    <row r="1310">
      <c r="A1310" s="39">
        <f>IF($B1310="","",COUNTA($B$4:$B1310))</f>
        <v/>
      </c>
      <c r="B1310" s="40" t="n"/>
      <c r="C1310" s="41" t="n"/>
      <c r="D1310" s="41" t="n"/>
      <c r="E1310" s="41" t="n"/>
      <c r="F1310" s="50" t="n"/>
      <c r="G1310" s="42" t="n"/>
      <c r="H1310" s="42" t="n"/>
      <c r="I1310" s="43">
        <f>IF($B1310="","",N($G1310)-N($H1310))</f>
        <v/>
      </c>
    </row>
    <row r="1311">
      <c r="A1311" s="39">
        <f>IF($B1311="","",COUNTA($B$4:$B1311))</f>
        <v/>
      </c>
      <c r="B1311" s="45" t="n"/>
      <c r="C1311" s="46" t="n"/>
      <c r="D1311" s="46" t="n"/>
      <c r="E1311" s="46" t="n"/>
      <c r="F1311" s="51" t="n"/>
      <c r="G1311" s="47" t="n"/>
      <c r="H1311" s="47" t="n"/>
      <c r="I1311" s="43">
        <f>IF($B1311="","",N($G1311)-N($H1311))</f>
        <v/>
      </c>
    </row>
    <row r="1312">
      <c r="A1312" s="39">
        <f>IF($B1312="","",COUNTA($B$4:$B1312))</f>
        <v/>
      </c>
      <c r="B1312" s="40" t="n"/>
      <c r="C1312" s="41" t="n"/>
      <c r="D1312" s="41" t="n"/>
      <c r="E1312" s="41" t="n"/>
      <c r="F1312" s="50" t="n"/>
      <c r="G1312" s="42" t="n"/>
      <c r="H1312" s="42" t="n"/>
      <c r="I1312" s="43">
        <f>IF($B1312="","",N($G1312)-N($H1312))</f>
        <v/>
      </c>
    </row>
    <row r="1313">
      <c r="A1313" s="39">
        <f>IF($B1313="","",COUNTA($B$4:$B1313))</f>
        <v/>
      </c>
      <c r="B1313" s="45" t="n"/>
      <c r="C1313" s="46" t="n"/>
      <c r="D1313" s="46" t="n"/>
      <c r="E1313" s="46" t="n"/>
      <c r="F1313" s="51" t="n"/>
      <c r="G1313" s="47" t="n"/>
      <c r="H1313" s="47" t="n"/>
      <c r="I1313" s="43">
        <f>IF($B1313="","",N($G1313)-N($H1313))</f>
        <v/>
      </c>
    </row>
    <row r="1314">
      <c r="A1314" s="39">
        <f>IF($B1314="","",COUNTA($B$4:$B1314))</f>
        <v/>
      </c>
      <c r="B1314" s="40" t="n"/>
      <c r="C1314" s="41" t="n"/>
      <c r="D1314" s="41" t="n"/>
      <c r="E1314" s="41" t="n"/>
      <c r="F1314" s="50" t="n"/>
      <c r="G1314" s="42" t="n"/>
      <c r="H1314" s="42" t="n"/>
      <c r="I1314" s="43">
        <f>IF($B1314="","",N($G1314)-N($H1314))</f>
        <v/>
      </c>
    </row>
    <row r="1315">
      <c r="A1315" s="39">
        <f>IF($B1315="","",COUNTA($B$4:$B1315))</f>
        <v/>
      </c>
      <c r="B1315" s="45" t="n"/>
      <c r="C1315" s="46" t="n"/>
      <c r="D1315" s="46" t="n"/>
      <c r="E1315" s="46" t="n"/>
      <c r="F1315" s="51" t="n"/>
      <c r="G1315" s="47" t="n"/>
      <c r="H1315" s="47" t="n"/>
      <c r="I1315" s="43">
        <f>IF($B1315="","",N($G1315)-N($H1315))</f>
        <v/>
      </c>
    </row>
    <row r="1316">
      <c r="A1316" s="39">
        <f>IF($B1316="","",COUNTA($B$4:$B1316))</f>
        <v/>
      </c>
      <c r="B1316" s="40" t="n"/>
      <c r="C1316" s="41" t="n"/>
      <c r="D1316" s="41" t="n"/>
      <c r="E1316" s="41" t="n"/>
      <c r="F1316" s="50" t="n"/>
      <c r="G1316" s="42" t="n"/>
      <c r="H1316" s="42" t="n"/>
      <c r="I1316" s="43">
        <f>IF($B1316="","",N($G1316)-N($H1316))</f>
        <v/>
      </c>
    </row>
    <row r="1317">
      <c r="A1317" s="39">
        <f>IF($B1317="","",COUNTA($B$4:$B1317))</f>
        <v/>
      </c>
      <c r="B1317" s="45" t="n"/>
      <c r="C1317" s="46" t="n"/>
      <c r="D1317" s="46" t="n"/>
      <c r="E1317" s="46" t="n"/>
      <c r="F1317" s="51" t="n"/>
      <c r="G1317" s="47" t="n"/>
      <c r="H1317" s="47" t="n"/>
      <c r="I1317" s="43">
        <f>IF($B1317="","",N($G1317)-N($H1317))</f>
        <v/>
      </c>
    </row>
    <row r="1318">
      <c r="A1318" s="39">
        <f>IF($B1318="","",COUNTA($B$4:$B1318))</f>
        <v/>
      </c>
      <c r="B1318" s="40" t="n"/>
      <c r="C1318" s="41" t="n"/>
      <c r="D1318" s="41" t="n"/>
      <c r="E1318" s="41" t="n"/>
      <c r="F1318" s="50" t="n"/>
      <c r="G1318" s="42" t="n"/>
      <c r="H1318" s="42" t="n"/>
      <c r="I1318" s="43">
        <f>IF($B1318="","",N($G1318)-N($H1318))</f>
        <v/>
      </c>
    </row>
    <row r="1319">
      <c r="A1319" s="39">
        <f>IF($B1319="","",COUNTA($B$4:$B1319))</f>
        <v/>
      </c>
      <c r="B1319" s="45" t="n"/>
      <c r="C1319" s="46" t="n"/>
      <c r="D1319" s="46" t="n"/>
      <c r="E1319" s="46" t="n"/>
      <c r="F1319" s="51" t="n"/>
      <c r="G1319" s="47" t="n"/>
      <c r="H1319" s="47" t="n"/>
      <c r="I1319" s="43">
        <f>IF($B1319="","",N($G1319)-N($H1319))</f>
        <v/>
      </c>
    </row>
    <row r="1320">
      <c r="A1320" s="39">
        <f>IF($B1320="","",COUNTA($B$4:$B1320))</f>
        <v/>
      </c>
      <c r="B1320" s="40" t="n"/>
      <c r="C1320" s="41" t="n"/>
      <c r="D1320" s="41" t="n"/>
      <c r="E1320" s="41" t="n"/>
      <c r="F1320" s="50" t="n"/>
      <c r="G1320" s="42" t="n"/>
      <c r="H1320" s="42" t="n"/>
      <c r="I1320" s="43">
        <f>IF($B1320="","",N($G1320)-N($H1320))</f>
        <v/>
      </c>
    </row>
    <row r="1321">
      <c r="A1321" s="39">
        <f>IF($B1321="","",COUNTA($B$4:$B1321))</f>
        <v/>
      </c>
      <c r="B1321" s="45" t="n"/>
      <c r="C1321" s="46" t="n"/>
      <c r="D1321" s="46" t="n"/>
      <c r="E1321" s="46" t="n"/>
      <c r="F1321" s="51" t="n"/>
      <c r="G1321" s="47" t="n"/>
      <c r="H1321" s="47" t="n"/>
      <c r="I1321" s="43">
        <f>IF($B1321="","",N($G1321)-N($H1321))</f>
        <v/>
      </c>
    </row>
    <row r="1322">
      <c r="A1322" s="39">
        <f>IF($B1322="","",COUNTA($B$4:$B1322))</f>
        <v/>
      </c>
      <c r="B1322" s="40" t="n"/>
      <c r="C1322" s="41" t="n"/>
      <c r="D1322" s="41" t="n"/>
      <c r="E1322" s="41" t="n"/>
      <c r="F1322" s="50" t="n"/>
      <c r="G1322" s="42" t="n"/>
      <c r="H1322" s="42" t="n"/>
      <c r="I1322" s="43">
        <f>IF($B1322="","",N($G1322)-N($H1322))</f>
        <v/>
      </c>
    </row>
    <row r="1323">
      <c r="A1323" s="39">
        <f>IF($B1323="","",COUNTA($B$4:$B1323))</f>
        <v/>
      </c>
      <c r="B1323" s="45" t="n"/>
      <c r="C1323" s="46" t="n"/>
      <c r="D1323" s="46" t="n"/>
      <c r="E1323" s="46" t="n"/>
      <c r="F1323" s="51" t="n"/>
      <c r="G1323" s="47" t="n"/>
      <c r="H1323" s="47" t="n"/>
      <c r="I1323" s="43">
        <f>IF($B1323="","",N($G1323)-N($H1323))</f>
        <v/>
      </c>
    </row>
    <row r="1324">
      <c r="A1324" s="39">
        <f>IF($B1324="","",COUNTA($B$4:$B1324))</f>
        <v/>
      </c>
      <c r="B1324" s="40" t="n"/>
      <c r="C1324" s="41" t="n"/>
      <c r="D1324" s="41" t="n"/>
      <c r="E1324" s="41" t="n"/>
      <c r="F1324" s="50" t="n"/>
      <c r="G1324" s="42" t="n"/>
      <c r="H1324" s="42" t="n"/>
      <c r="I1324" s="43">
        <f>IF($B1324="","",N($G1324)-N($H1324))</f>
        <v/>
      </c>
    </row>
    <row r="1325">
      <c r="A1325" s="39">
        <f>IF($B1325="","",COUNTA($B$4:$B1325))</f>
        <v/>
      </c>
      <c r="B1325" s="45" t="n"/>
      <c r="C1325" s="46" t="n"/>
      <c r="D1325" s="46" t="n"/>
      <c r="E1325" s="46" t="n"/>
      <c r="F1325" s="51" t="n"/>
      <c r="G1325" s="47" t="n"/>
      <c r="H1325" s="47" t="n"/>
      <c r="I1325" s="43">
        <f>IF($B1325="","",N($G1325)-N($H1325))</f>
        <v/>
      </c>
    </row>
    <row r="1326">
      <c r="A1326" s="39">
        <f>IF($B1326="","",COUNTA($B$4:$B1326))</f>
        <v/>
      </c>
      <c r="B1326" s="40" t="n"/>
      <c r="C1326" s="41" t="n"/>
      <c r="D1326" s="41" t="n"/>
      <c r="E1326" s="41" t="n"/>
      <c r="F1326" s="50" t="n"/>
      <c r="G1326" s="42" t="n"/>
      <c r="H1326" s="42" t="n"/>
      <c r="I1326" s="43">
        <f>IF($B1326="","",N($G1326)-N($H1326))</f>
        <v/>
      </c>
    </row>
    <row r="1327">
      <c r="A1327" s="39">
        <f>IF($B1327="","",COUNTA($B$4:$B1327))</f>
        <v/>
      </c>
      <c r="B1327" s="45" t="n"/>
      <c r="C1327" s="46" t="n"/>
      <c r="D1327" s="46" t="n"/>
      <c r="E1327" s="46" t="n"/>
      <c r="F1327" s="51" t="n"/>
      <c r="G1327" s="47" t="n"/>
      <c r="H1327" s="47" t="n"/>
      <c r="I1327" s="43">
        <f>IF($B1327="","",N($G1327)-N($H1327))</f>
        <v/>
      </c>
    </row>
    <row r="1328">
      <c r="A1328" s="39">
        <f>IF($B1328="","",COUNTA($B$4:$B1328))</f>
        <v/>
      </c>
      <c r="B1328" s="40" t="n"/>
      <c r="C1328" s="41" t="n"/>
      <c r="D1328" s="41" t="n"/>
      <c r="E1328" s="41" t="n"/>
      <c r="F1328" s="50" t="n"/>
      <c r="G1328" s="42" t="n"/>
      <c r="H1328" s="42" t="n"/>
      <c r="I1328" s="43">
        <f>IF($B1328="","",N($G1328)-N($H1328))</f>
        <v/>
      </c>
    </row>
    <row r="1329">
      <c r="A1329" s="39">
        <f>IF($B1329="","",COUNTA($B$4:$B1329))</f>
        <v/>
      </c>
      <c r="B1329" s="45" t="n"/>
      <c r="C1329" s="46" t="n"/>
      <c r="D1329" s="46" t="n"/>
      <c r="E1329" s="46" t="n"/>
      <c r="F1329" s="51" t="n"/>
      <c r="G1329" s="47" t="n"/>
      <c r="H1329" s="47" t="n"/>
      <c r="I1329" s="43">
        <f>IF($B1329="","",N($G1329)-N($H1329))</f>
        <v/>
      </c>
    </row>
    <row r="1330">
      <c r="A1330" s="39">
        <f>IF($B1330="","",COUNTA($B$4:$B1330))</f>
        <v/>
      </c>
      <c r="B1330" s="40" t="n"/>
      <c r="C1330" s="41" t="n"/>
      <c r="D1330" s="41" t="n"/>
      <c r="E1330" s="41" t="n"/>
      <c r="F1330" s="50" t="n"/>
      <c r="G1330" s="42" t="n"/>
      <c r="H1330" s="42" t="n"/>
      <c r="I1330" s="43">
        <f>IF($B1330="","",N($G1330)-N($H1330))</f>
        <v/>
      </c>
    </row>
    <row r="1331">
      <c r="A1331" s="39">
        <f>IF($B1331="","",COUNTA($B$4:$B1331))</f>
        <v/>
      </c>
      <c r="B1331" s="45" t="n"/>
      <c r="C1331" s="46" t="n"/>
      <c r="D1331" s="46" t="n"/>
      <c r="E1331" s="46" t="n"/>
      <c r="F1331" s="51" t="n"/>
      <c r="G1331" s="47" t="n"/>
      <c r="H1331" s="47" t="n"/>
      <c r="I1331" s="43">
        <f>IF($B1331="","",N($G1331)-N($H1331))</f>
        <v/>
      </c>
    </row>
    <row r="1332">
      <c r="A1332" s="39">
        <f>IF($B1332="","",COUNTA($B$4:$B1332))</f>
        <v/>
      </c>
      <c r="B1332" s="40" t="n"/>
      <c r="C1332" s="41" t="n"/>
      <c r="D1332" s="41" t="n"/>
      <c r="E1332" s="41" t="n"/>
      <c r="F1332" s="50" t="n"/>
      <c r="G1332" s="42" t="n"/>
      <c r="H1332" s="42" t="n"/>
      <c r="I1332" s="43">
        <f>IF($B1332="","",N($G1332)-N($H1332))</f>
        <v/>
      </c>
    </row>
    <row r="1333">
      <c r="A1333" s="39">
        <f>IF($B1333="","",COUNTA($B$4:$B1333))</f>
        <v/>
      </c>
      <c r="B1333" s="45" t="n"/>
      <c r="C1333" s="46" t="n"/>
      <c r="D1333" s="46" t="n"/>
      <c r="E1333" s="46" t="n"/>
      <c r="F1333" s="51" t="n"/>
      <c r="G1333" s="47" t="n"/>
      <c r="H1333" s="47" t="n"/>
      <c r="I1333" s="43">
        <f>IF($B1333="","",N($G1333)-N($H1333))</f>
        <v/>
      </c>
    </row>
    <row r="1334">
      <c r="A1334" s="39">
        <f>IF($B1334="","",COUNTA($B$4:$B1334))</f>
        <v/>
      </c>
      <c r="B1334" s="40" t="n"/>
      <c r="C1334" s="41" t="n"/>
      <c r="D1334" s="41" t="n"/>
      <c r="E1334" s="41" t="n"/>
      <c r="F1334" s="50" t="n"/>
      <c r="G1334" s="42" t="n"/>
      <c r="H1334" s="42" t="n"/>
      <c r="I1334" s="43">
        <f>IF($B1334="","",N($G1334)-N($H1334))</f>
        <v/>
      </c>
    </row>
    <row r="1335">
      <c r="A1335" s="39">
        <f>IF($B1335="","",COUNTA($B$4:$B1335))</f>
        <v/>
      </c>
      <c r="B1335" s="45" t="n"/>
      <c r="C1335" s="46" t="n"/>
      <c r="D1335" s="46" t="n"/>
      <c r="E1335" s="46" t="n"/>
      <c r="F1335" s="51" t="n"/>
      <c r="G1335" s="47" t="n"/>
      <c r="H1335" s="47" t="n"/>
      <c r="I1335" s="43">
        <f>IF($B1335="","",N($G1335)-N($H1335))</f>
        <v/>
      </c>
    </row>
    <row r="1336">
      <c r="A1336" s="39">
        <f>IF($B1336="","",COUNTA($B$4:$B1336))</f>
        <v/>
      </c>
      <c r="B1336" s="40" t="n"/>
      <c r="C1336" s="41" t="n"/>
      <c r="D1336" s="41" t="n"/>
      <c r="E1336" s="41" t="n"/>
      <c r="F1336" s="50" t="n"/>
      <c r="G1336" s="42" t="n"/>
      <c r="H1336" s="42" t="n"/>
      <c r="I1336" s="43">
        <f>IF($B1336="","",N($G1336)-N($H1336))</f>
        <v/>
      </c>
    </row>
    <row r="1337">
      <c r="A1337" s="39">
        <f>IF($B1337="","",COUNTA($B$4:$B1337))</f>
        <v/>
      </c>
      <c r="B1337" s="45" t="n"/>
      <c r="C1337" s="46" t="n"/>
      <c r="D1337" s="46" t="n"/>
      <c r="E1337" s="46" t="n"/>
      <c r="F1337" s="51" t="n"/>
      <c r="G1337" s="47" t="n"/>
      <c r="H1337" s="47" t="n"/>
      <c r="I1337" s="43">
        <f>IF($B1337="","",N($G1337)-N($H1337))</f>
        <v/>
      </c>
    </row>
    <row r="1338">
      <c r="A1338" s="39">
        <f>IF($B1338="","",COUNTA($B$4:$B1338))</f>
        <v/>
      </c>
      <c r="B1338" s="40" t="n"/>
      <c r="C1338" s="41" t="n"/>
      <c r="D1338" s="41" t="n"/>
      <c r="E1338" s="41" t="n"/>
      <c r="F1338" s="50" t="n"/>
      <c r="G1338" s="42" t="n"/>
      <c r="H1338" s="42" t="n"/>
      <c r="I1338" s="43">
        <f>IF($B1338="","",N($G1338)-N($H1338))</f>
        <v/>
      </c>
    </row>
    <row r="1339">
      <c r="A1339" s="39">
        <f>IF($B1339="","",COUNTA($B$4:$B1339))</f>
        <v/>
      </c>
      <c r="B1339" s="45" t="n"/>
      <c r="C1339" s="46" t="n"/>
      <c r="D1339" s="46" t="n"/>
      <c r="E1339" s="46" t="n"/>
      <c r="F1339" s="51" t="n"/>
      <c r="G1339" s="47" t="n"/>
      <c r="H1339" s="47" t="n"/>
      <c r="I1339" s="43">
        <f>IF($B1339="","",N($G1339)-N($H1339))</f>
        <v/>
      </c>
    </row>
    <row r="1340">
      <c r="A1340" s="39">
        <f>IF($B1340="","",COUNTA($B$4:$B1340))</f>
        <v/>
      </c>
      <c r="B1340" s="40" t="n"/>
      <c r="C1340" s="41" t="n"/>
      <c r="D1340" s="41" t="n"/>
      <c r="E1340" s="41" t="n"/>
      <c r="F1340" s="50" t="n"/>
      <c r="G1340" s="42" t="n"/>
      <c r="H1340" s="42" t="n"/>
      <c r="I1340" s="43">
        <f>IF($B1340="","",N($G1340)-N($H1340))</f>
        <v/>
      </c>
    </row>
    <row r="1341">
      <c r="A1341" s="39">
        <f>IF($B1341="","",COUNTA($B$4:$B1341))</f>
        <v/>
      </c>
      <c r="B1341" s="45" t="n"/>
      <c r="C1341" s="46" t="n"/>
      <c r="D1341" s="46" t="n"/>
      <c r="E1341" s="46" t="n"/>
      <c r="F1341" s="51" t="n"/>
      <c r="G1341" s="47" t="n"/>
      <c r="H1341" s="47" t="n"/>
      <c r="I1341" s="43">
        <f>IF($B1341="","",N($G1341)-N($H1341))</f>
        <v/>
      </c>
    </row>
    <row r="1342">
      <c r="A1342" s="39">
        <f>IF($B1342="","",COUNTA($B$4:$B1342))</f>
        <v/>
      </c>
      <c r="B1342" s="40" t="n"/>
      <c r="C1342" s="41" t="n"/>
      <c r="D1342" s="41" t="n"/>
      <c r="E1342" s="41" t="n"/>
      <c r="F1342" s="50" t="n"/>
      <c r="G1342" s="42" t="n"/>
      <c r="H1342" s="42" t="n"/>
      <c r="I1342" s="43">
        <f>IF($B1342="","",N($G1342)-N($H1342))</f>
        <v/>
      </c>
    </row>
    <row r="1343">
      <c r="A1343" s="39">
        <f>IF($B1343="","",COUNTA($B$4:$B1343))</f>
        <v/>
      </c>
      <c r="B1343" s="45" t="n"/>
      <c r="C1343" s="46" t="n"/>
      <c r="D1343" s="46" t="n"/>
      <c r="E1343" s="46" t="n"/>
      <c r="F1343" s="51" t="n"/>
      <c r="G1343" s="47" t="n"/>
      <c r="H1343" s="47" t="n"/>
      <c r="I1343" s="43">
        <f>IF($B1343="","",N($G1343)-N($H1343))</f>
        <v/>
      </c>
    </row>
    <row r="1344">
      <c r="A1344" s="39">
        <f>IF($B1344="","",COUNTA($B$4:$B1344))</f>
        <v/>
      </c>
      <c r="B1344" s="40" t="n"/>
      <c r="C1344" s="41" t="n"/>
      <c r="D1344" s="41" t="n"/>
      <c r="E1344" s="41" t="n"/>
      <c r="F1344" s="50" t="n"/>
      <c r="G1344" s="42" t="n"/>
      <c r="H1344" s="42" t="n"/>
      <c r="I1344" s="43">
        <f>IF($B1344="","",N($G1344)-N($H1344))</f>
        <v/>
      </c>
    </row>
    <row r="1345">
      <c r="A1345" s="39">
        <f>IF($B1345="","",COUNTA($B$4:$B1345))</f>
        <v/>
      </c>
      <c r="B1345" s="45" t="n"/>
      <c r="C1345" s="46" t="n"/>
      <c r="D1345" s="46" t="n"/>
      <c r="E1345" s="46" t="n"/>
      <c r="F1345" s="51" t="n"/>
      <c r="G1345" s="47" t="n"/>
      <c r="H1345" s="47" t="n"/>
      <c r="I1345" s="43">
        <f>IF($B1345="","",N($G1345)-N($H1345))</f>
        <v/>
      </c>
    </row>
    <row r="1346">
      <c r="A1346" s="39">
        <f>IF($B1346="","",COUNTA($B$4:$B1346))</f>
        <v/>
      </c>
      <c r="B1346" s="40" t="n"/>
      <c r="C1346" s="41" t="n"/>
      <c r="D1346" s="41" t="n"/>
      <c r="E1346" s="41" t="n"/>
      <c r="F1346" s="50" t="n"/>
      <c r="G1346" s="42" t="n"/>
      <c r="H1346" s="42" t="n"/>
      <c r="I1346" s="43">
        <f>IF($B1346="","",N($G1346)-N($H1346))</f>
        <v/>
      </c>
    </row>
    <row r="1347">
      <c r="A1347" s="39">
        <f>IF($B1347="","",COUNTA($B$4:$B1347))</f>
        <v/>
      </c>
      <c r="B1347" s="45" t="n"/>
      <c r="C1347" s="46" t="n"/>
      <c r="D1347" s="46" t="n"/>
      <c r="E1347" s="46" t="n"/>
      <c r="F1347" s="51" t="n"/>
      <c r="G1347" s="47" t="n"/>
      <c r="H1347" s="47" t="n"/>
      <c r="I1347" s="43">
        <f>IF($B1347="","",N($G1347)-N($H1347))</f>
        <v/>
      </c>
    </row>
    <row r="1348">
      <c r="A1348" s="39">
        <f>IF($B1348="","",COUNTA($B$4:$B1348))</f>
        <v/>
      </c>
      <c r="B1348" s="40" t="n"/>
      <c r="C1348" s="41" t="n"/>
      <c r="D1348" s="41" t="n"/>
      <c r="E1348" s="41" t="n"/>
      <c r="F1348" s="50" t="n"/>
      <c r="G1348" s="42" t="n"/>
      <c r="H1348" s="42" t="n"/>
      <c r="I1348" s="43">
        <f>IF($B1348="","",N($G1348)-N($H1348))</f>
        <v/>
      </c>
    </row>
    <row r="1349">
      <c r="A1349" s="39">
        <f>IF($B1349="","",COUNTA($B$4:$B1349))</f>
        <v/>
      </c>
      <c r="B1349" s="45" t="n"/>
      <c r="C1349" s="46" t="n"/>
      <c r="D1349" s="46" t="n"/>
      <c r="E1349" s="46" t="n"/>
      <c r="F1349" s="51" t="n"/>
      <c r="G1349" s="47" t="n"/>
      <c r="H1349" s="47" t="n"/>
      <c r="I1349" s="43">
        <f>IF($B1349="","",N($G1349)-N($H1349))</f>
        <v/>
      </c>
    </row>
    <row r="1350">
      <c r="A1350" s="39">
        <f>IF($B1350="","",COUNTA($B$4:$B1350))</f>
        <v/>
      </c>
      <c r="B1350" s="40" t="n"/>
      <c r="C1350" s="41" t="n"/>
      <c r="D1350" s="41" t="n"/>
      <c r="E1350" s="41" t="n"/>
      <c r="F1350" s="50" t="n"/>
      <c r="G1350" s="42" t="n"/>
      <c r="H1350" s="42" t="n"/>
      <c r="I1350" s="43">
        <f>IF($B1350="","",N($G1350)-N($H1350))</f>
        <v/>
      </c>
    </row>
    <row r="1351">
      <c r="A1351" s="39">
        <f>IF($B1351="","",COUNTA($B$4:$B1351))</f>
        <v/>
      </c>
      <c r="B1351" s="45" t="n"/>
      <c r="C1351" s="46" t="n"/>
      <c r="D1351" s="46" t="n"/>
      <c r="E1351" s="46" t="n"/>
      <c r="F1351" s="51" t="n"/>
      <c r="G1351" s="47" t="n"/>
      <c r="H1351" s="47" t="n"/>
      <c r="I1351" s="43">
        <f>IF($B1351="","",N($G1351)-N($H1351))</f>
        <v/>
      </c>
    </row>
    <row r="1352">
      <c r="A1352" s="39">
        <f>IF($B1352="","",COUNTA($B$4:$B1352))</f>
        <v/>
      </c>
      <c r="B1352" s="40" t="n"/>
      <c r="C1352" s="41" t="n"/>
      <c r="D1352" s="41" t="n"/>
      <c r="E1352" s="41" t="n"/>
      <c r="F1352" s="50" t="n"/>
      <c r="G1352" s="42" t="n"/>
      <c r="H1352" s="42" t="n"/>
      <c r="I1352" s="43">
        <f>IF($B1352="","",N($G1352)-N($H1352))</f>
        <v/>
      </c>
    </row>
    <row r="1353">
      <c r="A1353" s="39">
        <f>IF($B1353="","",COUNTA($B$4:$B1353))</f>
        <v/>
      </c>
      <c r="B1353" s="45" t="n"/>
      <c r="C1353" s="46" t="n"/>
      <c r="D1353" s="46" t="n"/>
      <c r="E1353" s="46" t="n"/>
      <c r="F1353" s="51" t="n"/>
      <c r="G1353" s="47" t="n"/>
      <c r="H1353" s="47" t="n"/>
      <c r="I1353" s="43">
        <f>IF($B1353="","",N($G1353)-N($H1353))</f>
        <v/>
      </c>
    </row>
    <row r="1354">
      <c r="A1354" s="39">
        <f>IF($B1354="","",COUNTA($B$4:$B1354))</f>
        <v/>
      </c>
      <c r="B1354" s="40" t="n"/>
      <c r="C1354" s="41" t="n"/>
      <c r="D1354" s="41" t="n"/>
      <c r="E1354" s="41" t="n"/>
      <c r="F1354" s="50" t="n"/>
      <c r="G1354" s="42" t="n"/>
      <c r="H1354" s="42" t="n"/>
      <c r="I1354" s="43">
        <f>IF($B1354="","",N($G1354)-N($H1354))</f>
        <v/>
      </c>
    </row>
    <row r="1355">
      <c r="A1355" s="39">
        <f>IF($B1355="","",COUNTA($B$4:$B1355))</f>
        <v/>
      </c>
      <c r="B1355" s="45" t="n"/>
      <c r="C1355" s="46" t="n"/>
      <c r="D1355" s="46" t="n"/>
      <c r="E1355" s="46" t="n"/>
      <c r="F1355" s="51" t="n"/>
      <c r="G1355" s="47" t="n"/>
      <c r="H1355" s="47" t="n"/>
      <c r="I1355" s="43">
        <f>IF($B1355="","",N($G1355)-N($H1355))</f>
        <v/>
      </c>
    </row>
    <row r="1356">
      <c r="A1356" s="39">
        <f>IF($B1356="","",COUNTA($B$4:$B1356))</f>
        <v/>
      </c>
      <c r="B1356" s="40" t="n"/>
      <c r="C1356" s="41" t="n"/>
      <c r="D1356" s="41" t="n"/>
      <c r="E1356" s="41" t="n"/>
      <c r="F1356" s="50" t="n"/>
      <c r="G1356" s="42" t="n"/>
      <c r="H1356" s="42" t="n"/>
      <c r="I1356" s="43">
        <f>IF($B1356="","",N($G1356)-N($H1356))</f>
        <v/>
      </c>
    </row>
    <row r="1357">
      <c r="A1357" s="39">
        <f>IF($B1357="","",COUNTA($B$4:$B1357))</f>
        <v/>
      </c>
      <c r="B1357" s="45" t="n"/>
      <c r="C1357" s="46" t="n"/>
      <c r="D1357" s="46" t="n"/>
      <c r="E1357" s="46" t="n"/>
      <c r="F1357" s="51" t="n"/>
      <c r="G1357" s="47" t="n"/>
      <c r="H1357" s="47" t="n"/>
      <c r="I1357" s="43">
        <f>IF($B1357="","",N($G1357)-N($H1357))</f>
        <v/>
      </c>
    </row>
    <row r="1358">
      <c r="A1358" s="39">
        <f>IF($B1358="","",COUNTA($B$4:$B1358))</f>
        <v/>
      </c>
      <c r="B1358" s="40" t="n"/>
      <c r="C1358" s="41" t="n"/>
      <c r="D1358" s="41" t="n"/>
      <c r="E1358" s="41" t="n"/>
      <c r="F1358" s="50" t="n"/>
      <c r="G1358" s="42" t="n"/>
      <c r="H1358" s="42" t="n"/>
      <c r="I1358" s="43">
        <f>IF($B1358="","",N($G1358)-N($H1358))</f>
        <v/>
      </c>
    </row>
    <row r="1359">
      <c r="A1359" s="39">
        <f>IF($B1359="","",COUNTA($B$4:$B1359))</f>
        <v/>
      </c>
      <c r="B1359" s="45" t="n"/>
      <c r="C1359" s="46" t="n"/>
      <c r="D1359" s="46" t="n"/>
      <c r="E1359" s="46" t="n"/>
      <c r="F1359" s="51" t="n"/>
      <c r="G1359" s="47" t="n"/>
      <c r="H1359" s="47" t="n"/>
      <c r="I1359" s="43">
        <f>IF($B1359="","",N($G1359)-N($H1359))</f>
        <v/>
      </c>
    </row>
    <row r="1360">
      <c r="A1360" s="39">
        <f>IF($B1360="","",COUNTA($B$4:$B1360))</f>
        <v/>
      </c>
      <c r="B1360" s="40" t="n"/>
      <c r="C1360" s="41" t="n"/>
      <c r="D1360" s="41" t="n"/>
      <c r="E1360" s="41" t="n"/>
      <c r="F1360" s="50" t="n"/>
      <c r="G1360" s="42" t="n"/>
      <c r="H1360" s="42" t="n"/>
      <c r="I1360" s="43">
        <f>IF($B1360="","",N($G1360)-N($H1360))</f>
        <v/>
      </c>
    </row>
    <row r="1361">
      <c r="A1361" s="39">
        <f>IF($B1361="","",COUNTA($B$4:$B1361))</f>
        <v/>
      </c>
      <c r="B1361" s="45" t="n"/>
      <c r="C1361" s="46" t="n"/>
      <c r="D1361" s="46" t="n"/>
      <c r="E1361" s="46" t="n"/>
      <c r="F1361" s="51" t="n"/>
      <c r="G1361" s="47" t="n"/>
      <c r="H1361" s="47" t="n"/>
      <c r="I1361" s="43">
        <f>IF($B1361="","",N($G1361)-N($H1361))</f>
        <v/>
      </c>
    </row>
    <row r="1362">
      <c r="A1362" s="39">
        <f>IF($B1362="","",COUNTA($B$4:$B1362))</f>
        <v/>
      </c>
      <c r="B1362" s="40" t="n"/>
      <c r="C1362" s="41" t="n"/>
      <c r="D1362" s="41" t="n"/>
      <c r="E1362" s="41" t="n"/>
      <c r="F1362" s="50" t="n"/>
      <c r="G1362" s="42" t="n"/>
      <c r="H1362" s="42" t="n"/>
      <c r="I1362" s="43">
        <f>IF($B1362="","",N($G1362)-N($H1362))</f>
        <v/>
      </c>
    </row>
    <row r="1363">
      <c r="A1363" s="39">
        <f>IF($B1363="","",COUNTA($B$4:$B1363))</f>
        <v/>
      </c>
      <c r="B1363" s="45" t="n"/>
      <c r="C1363" s="46" t="n"/>
      <c r="D1363" s="46" t="n"/>
      <c r="E1363" s="46" t="n"/>
      <c r="F1363" s="51" t="n"/>
      <c r="G1363" s="47" t="n"/>
      <c r="H1363" s="47" t="n"/>
      <c r="I1363" s="43">
        <f>IF($B1363="","",N($G1363)-N($H1363))</f>
        <v/>
      </c>
    </row>
    <row r="1364">
      <c r="A1364" s="39">
        <f>IF($B1364="","",COUNTA($B$4:$B1364))</f>
        <v/>
      </c>
      <c r="B1364" s="40" t="n"/>
      <c r="C1364" s="41" t="n"/>
      <c r="D1364" s="41" t="n"/>
      <c r="E1364" s="41" t="n"/>
      <c r="F1364" s="50" t="n"/>
      <c r="G1364" s="42" t="n"/>
      <c r="H1364" s="42" t="n"/>
      <c r="I1364" s="43">
        <f>IF($B1364="","",N($G1364)-N($H1364))</f>
        <v/>
      </c>
    </row>
    <row r="1365">
      <c r="A1365" s="39">
        <f>IF($B1365="","",COUNTA($B$4:$B1365))</f>
        <v/>
      </c>
      <c r="B1365" s="45" t="n"/>
      <c r="C1365" s="46" t="n"/>
      <c r="D1365" s="46" t="n"/>
      <c r="E1365" s="46" t="n"/>
      <c r="F1365" s="51" t="n"/>
      <c r="G1365" s="47" t="n"/>
      <c r="H1365" s="47" t="n"/>
      <c r="I1365" s="43">
        <f>IF($B1365="","",N($G1365)-N($H1365))</f>
        <v/>
      </c>
    </row>
    <row r="1366">
      <c r="A1366" s="39">
        <f>IF($B1366="","",COUNTA($B$4:$B1366))</f>
        <v/>
      </c>
      <c r="B1366" s="40" t="n"/>
      <c r="C1366" s="41" t="n"/>
      <c r="D1366" s="41" t="n"/>
      <c r="E1366" s="41" t="n"/>
      <c r="F1366" s="50" t="n"/>
      <c r="G1366" s="42" t="n"/>
      <c r="H1366" s="42" t="n"/>
      <c r="I1366" s="43">
        <f>IF($B1366="","",N($G1366)-N($H1366))</f>
        <v/>
      </c>
    </row>
    <row r="1367">
      <c r="A1367" s="39">
        <f>IF($B1367="","",COUNTA($B$4:$B1367))</f>
        <v/>
      </c>
      <c r="B1367" s="45" t="n"/>
      <c r="C1367" s="46" t="n"/>
      <c r="D1367" s="46" t="n"/>
      <c r="E1367" s="46" t="n"/>
      <c r="F1367" s="51" t="n"/>
      <c r="G1367" s="47" t="n"/>
      <c r="H1367" s="47" t="n"/>
      <c r="I1367" s="43">
        <f>IF($B1367="","",N($G1367)-N($H1367))</f>
        <v/>
      </c>
    </row>
    <row r="1368">
      <c r="A1368" s="39">
        <f>IF($B1368="","",COUNTA($B$4:$B1368))</f>
        <v/>
      </c>
      <c r="B1368" s="40" t="n"/>
      <c r="C1368" s="41" t="n"/>
      <c r="D1368" s="41" t="n"/>
      <c r="E1368" s="41" t="n"/>
      <c r="F1368" s="50" t="n"/>
      <c r="G1368" s="42" t="n"/>
      <c r="H1368" s="42" t="n"/>
      <c r="I1368" s="43">
        <f>IF($B1368="","",N($G1368)-N($H1368))</f>
        <v/>
      </c>
    </row>
    <row r="1369">
      <c r="A1369" s="39">
        <f>IF($B1369="","",COUNTA($B$4:$B1369))</f>
        <v/>
      </c>
      <c r="B1369" s="45" t="n"/>
      <c r="C1369" s="46" t="n"/>
      <c r="D1369" s="46" t="n"/>
      <c r="E1369" s="46" t="n"/>
      <c r="F1369" s="51" t="n"/>
      <c r="G1369" s="47" t="n"/>
      <c r="H1369" s="47" t="n"/>
      <c r="I1369" s="43">
        <f>IF($B1369="","",N($G1369)-N($H1369))</f>
        <v/>
      </c>
    </row>
    <row r="1370">
      <c r="A1370" s="39">
        <f>IF($B1370="","",COUNTA($B$4:$B1370))</f>
        <v/>
      </c>
      <c r="B1370" s="40" t="n"/>
      <c r="C1370" s="41" t="n"/>
      <c r="D1370" s="41" t="n"/>
      <c r="E1370" s="41" t="n"/>
      <c r="F1370" s="50" t="n"/>
      <c r="G1370" s="42" t="n"/>
      <c r="H1370" s="42" t="n"/>
      <c r="I1370" s="43">
        <f>IF($B1370="","",N($G1370)-N($H1370))</f>
        <v/>
      </c>
    </row>
    <row r="1371">
      <c r="A1371" s="39">
        <f>IF($B1371="","",COUNTA($B$4:$B1371))</f>
        <v/>
      </c>
      <c r="B1371" s="45" t="n"/>
      <c r="C1371" s="46" t="n"/>
      <c r="D1371" s="46" t="n"/>
      <c r="E1371" s="46" t="n"/>
      <c r="F1371" s="51" t="n"/>
      <c r="G1371" s="47" t="n"/>
      <c r="H1371" s="47" t="n"/>
      <c r="I1371" s="43">
        <f>IF($B1371="","",N($G1371)-N($H1371))</f>
        <v/>
      </c>
    </row>
    <row r="1372">
      <c r="A1372" s="39">
        <f>IF($B1372="","",COUNTA($B$4:$B1372))</f>
        <v/>
      </c>
      <c r="B1372" s="40" t="n"/>
      <c r="C1372" s="41" t="n"/>
      <c r="D1372" s="41" t="n"/>
      <c r="E1372" s="41" t="n"/>
      <c r="F1372" s="50" t="n"/>
      <c r="G1372" s="42" t="n"/>
      <c r="H1372" s="42" t="n"/>
      <c r="I1372" s="43">
        <f>IF($B1372="","",N($G1372)-N($H1372))</f>
        <v/>
      </c>
    </row>
    <row r="1373">
      <c r="A1373" s="39">
        <f>IF($B1373="","",COUNTA($B$4:$B1373))</f>
        <v/>
      </c>
      <c r="B1373" s="45" t="n"/>
      <c r="C1373" s="46" t="n"/>
      <c r="D1373" s="46" t="n"/>
      <c r="E1373" s="46" t="n"/>
      <c r="F1373" s="51" t="n"/>
      <c r="G1373" s="47" t="n"/>
      <c r="H1373" s="47" t="n"/>
      <c r="I1373" s="43">
        <f>IF($B1373="","",N($G1373)-N($H1373))</f>
        <v/>
      </c>
    </row>
    <row r="1374">
      <c r="A1374" s="39">
        <f>IF($B1374="","",COUNTA($B$4:$B1374))</f>
        <v/>
      </c>
      <c r="B1374" s="40" t="n"/>
      <c r="C1374" s="41" t="n"/>
      <c r="D1374" s="41" t="n"/>
      <c r="E1374" s="41" t="n"/>
      <c r="F1374" s="50" t="n"/>
      <c r="G1374" s="42" t="n"/>
      <c r="H1374" s="42" t="n"/>
      <c r="I1374" s="43">
        <f>IF($B1374="","",N($G1374)-N($H1374))</f>
        <v/>
      </c>
    </row>
    <row r="1375">
      <c r="A1375" s="39">
        <f>IF($B1375="","",COUNTA($B$4:$B1375))</f>
        <v/>
      </c>
      <c r="B1375" s="45" t="n"/>
      <c r="C1375" s="46" t="n"/>
      <c r="D1375" s="46" t="n"/>
      <c r="E1375" s="46" t="n"/>
      <c r="F1375" s="51" t="n"/>
      <c r="G1375" s="47" t="n"/>
      <c r="H1375" s="47" t="n"/>
      <c r="I1375" s="43">
        <f>IF($B1375="","",N($G1375)-N($H1375))</f>
        <v/>
      </c>
    </row>
    <row r="1376">
      <c r="A1376" s="39">
        <f>IF($B1376="","",COUNTA($B$4:$B1376))</f>
        <v/>
      </c>
      <c r="B1376" s="40" t="n"/>
      <c r="C1376" s="41" t="n"/>
      <c r="D1376" s="41" t="n"/>
      <c r="E1376" s="41" t="n"/>
      <c r="F1376" s="50" t="n"/>
      <c r="G1376" s="42" t="n"/>
      <c r="H1376" s="42" t="n"/>
      <c r="I1376" s="43">
        <f>IF($B1376="","",N($G1376)-N($H1376))</f>
        <v/>
      </c>
    </row>
    <row r="1377">
      <c r="A1377" s="39">
        <f>IF($B1377="","",COUNTA($B$4:$B1377))</f>
        <v/>
      </c>
      <c r="B1377" s="45" t="n"/>
      <c r="C1377" s="46" t="n"/>
      <c r="D1377" s="46" t="n"/>
      <c r="E1377" s="46" t="n"/>
      <c r="F1377" s="51" t="n"/>
      <c r="G1377" s="47" t="n"/>
      <c r="H1377" s="47" t="n"/>
      <c r="I1377" s="43">
        <f>IF($B1377="","",N($G1377)-N($H1377))</f>
        <v/>
      </c>
    </row>
    <row r="1378">
      <c r="A1378" s="39">
        <f>IF($B1378="","",COUNTA($B$4:$B1378))</f>
        <v/>
      </c>
      <c r="B1378" s="40" t="n"/>
      <c r="C1378" s="41" t="n"/>
      <c r="D1378" s="41" t="n"/>
      <c r="E1378" s="41" t="n"/>
      <c r="F1378" s="50" t="n"/>
      <c r="G1378" s="42" t="n"/>
      <c r="H1378" s="42" t="n"/>
      <c r="I1378" s="43">
        <f>IF($B1378="","",N($G1378)-N($H1378))</f>
        <v/>
      </c>
    </row>
    <row r="1379">
      <c r="A1379" s="39">
        <f>IF($B1379="","",COUNTA($B$4:$B1379))</f>
        <v/>
      </c>
      <c r="B1379" s="45" t="n"/>
      <c r="C1379" s="46" t="n"/>
      <c r="D1379" s="46" t="n"/>
      <c r="E1379" s="46" t="n"/>
      <c r="F1379" s="51" t="n"/>
      <c r="G1379" s="47" t="n"/>
      <c r="H1379" s="47" t="n"/>
      <c r="I1379" s="43">
        <f>IF($B1379="","",N($G1379)-N($H1379))</f>
        <v/>
      </c>
    </row>
    <row r="1380">
      <c r="A1380" s="39">
        <f>IF($B1380="","",COUNTA($B$4:$B1380))</f>
        <v/>
      </c>
      <c r="B1380" s="40" t="n"/>
      <c r="C1380" s="41" t="n"/>
      <c r="D1380" s="41" t="n"/>
      <c r="E1380" s="41" t="n"/>
      <c r="F1380" s="50" t="n"/>
      <c r="G1380" s="42" t="n"/>
      <c r="H1380" s="42" t="n"/>
      <c r="I1380" s="43">
        <f>IF($B1380="","",N($G1380)-N($H1380))</f>
        <v/>
      </c>
    </row>
    <row r="1381">
      <c r="A1381" s="39">
        <f>IF($B1381="","",COUNTA($B$4:$B1381))</f>
        <v/>
      </c>
      <c r="B1381" s="45" t="n"/>
      <c r="C1381" s="46" t="n"/>
      <c r="D1381" s="46" t="n"/>
      <c r="E1381" s="46" t="n"/>
      <c r="F1381" s="51" t="n"/>
      <c r="G1381" s="47" t="n"/>
      <c r="H1381" s="47" t="n"/>
      <c r="I1381" s="43">
        <f>IF($B1381="","",N($G1381)-N($H1381))</f>
        <v/>
      </c>
    </row>
    <row r="1382">
      <c r="A1382" s="39">
        <f>IF($B1382="","",COUNTA($B$4:$B1382))</f>
        <v/>
      </c>
      <c r="B1382" s="40" t="n"/>
      <c r="C1382" s="41" t="n"/>
      <c r="D1382" s="41" t="n"/>
      <c r="E1382" s="41" t="n"/>
      <c r="F1382" s="50" t="n"/>
      <c r="G1382" s="42" t="n"/>
      <c r="H1382" s="42" t="n"/>
      <c r="I1382" s="43">
        <f>IF($B1382="","",N($G1382)-N($H1382))</f>
        <v/>
      </c>
    </row>
    <row r="1383">
      <c r="A1383" s="39">
        <f>IF($B1383="","",COUNTA($B$4:$B1383))</f>
        <v/>
      </c>
      <c r="B1383" s="45" t="n"/>
      <c r="C1383" s="46" t="n"/>
      <c r="D1383" s="46" t="n"/>
      <c r="E1383" s="46" t="n"/>
      <c r="F1383" s="51" t="n"/>
      <c r="G1383" s="47" t="n"/>
      <c r="H1383" s="47" t="n"/>
      <c r="I1383" s="43">
        <f>IF($B1383="","",N($G1383)-N($H1383))</f>
        <v/>
      </c>
    </row>
    <row r="1384">
      <c r="A1384" s="39">
        <f>IF($B1384="","",COUNTA($B$4:$B1384))</f>
        <v/>
      </c>
      <c r="B1384" s="40" t="n"/>
      <c r="C1384" s="41" t="n"/>
      <c r="D1384" s="41" t="n"/>
      <c r="E1384" s="41" t="n"/>
      <c r="F1384" s="50" t="n"/>
      <c r="G1384" s="42" t="n"/>
      <c r="H1384" s="42" t="n"/>
      <c r="I1384" s="43">
        <f>IF($B1384="","",N($G1384)-N($H1384))</f>
        <v/>
      </c>
    </row>
    <row r="1385">
      <c r="A1385" s="39">
        <f>IF($B1385="","",COUNTA($B$4:$B1385))</f>
        <v/>
      </c>
      <c r="B1385" s="45" t="n"/>
      <c r="C1385" s="46" t="n"/>
      <c r="D1385" s="46" t="n"/>
      <c r="E1385" s="46" t="n"/>
      <c r="F1385" s="51" t="n"/>
      <c r="G1385" s="47" t="n"/>
      <c r="H1385" s="47" t="n"/>
      <c r="I1385" s="43">
        <f>IF($B1385="","",N($G1385)-N($H1385))</f>
        <v/>
      </c>
    </row>
    <row r="1386">
      <c r="A1386" s="39">
        <f>IF($B1386="","",COUNTA($B$4:$B1386))</f>
        <v/>
      </c>
      <c r="B1386" s="40" t="n"/>
      <c r="C1386" s="41" t="n"/>
      <c r="D1386" s="41" t="n"/>
      <c r="E1386" s="41" t="n"/>
      <c r="F1386" s="50" t="n"/>
      <c r="G1386" s="42" t="n"/>
      <c r="H1386" s="42" t="n"/>
      <c r="I1386" s="43">
        <f>IF($B1386="","",N($G1386)-N($H1386))</f>
        <v/>
      </c>
    </row>
    <row r="1387">
      <c r="A1387" s="39">
        <f>IF($B1387="","",COUNTA($B$4:$B1387))</f>
        <v/>
      </c>
      <c r="B1387" s="45" t="n"/>
      <c r="C1387" s="46" t="n"/>
      <c r="D1387" s="46" t="n"/>
      <c r="E1387" s="46" t="n"/>
      <c r="F1387" s="51" t="n"/>
      <c r="G1387" s="47" t="n"/>
      <c r="H1387" s="47" t="n"/>
      <c r="I1387" s="43">
        <f>IF($B1387="","",N($G1387)-N($H1387))</f>
        <v/>
      </c>
    </row>
    <row r="1388">
      <c r="A1388" s="39">
        <f>IF($B1388="","",COUNTA($B$4:$B1388))</f>
        <v/>
      </c>
      <c r="B1388" s="40" t="n"/>
      <c r="C1388" s="41" t="n"/>
      <c r="D1388" s="41" t="n"/>
      <c r="E1388" s="41" t="n"/>
      <c r="F1388" s="50" t="n"/>
      <c r="G1388" s="42" t="n"/>
      <c r="H1388" s="42" t="n"/>
      <c r="I1388" s="43">
        <f>IF($B1388="","",N($G1388)-N($H1388))</f>
        <v/>
      </c>
    </row>
    <row r="1389">
      <c r="A1389" s="39">
        <f>IF($B1389="","",COUNTA($B$4:$B1389))</f>
        <v/>
      </c>
      <c r="B1389" s="45" t="n"/>
      <c r="C1389" s="46" t="n"/>
      <c r="D1389" s="46" t="n"/>
      <c r="E1389" s="46" t="n"/>
      <c r="F1389" s="51" t="n"/>
      <c r="G1389" s="47" t="n"/>
      <c r="H1389" s="47" t="n"/>
      <c r="I1389" s="43">
        <f>IF($B1389="","",N($G1389)-N($H1389))</f>
        <v/>
      </c>
    </row>
    <row r="1390">
      <c r="A1390" s="39">
        <f>IF($B1390="","",COUNTA($B$4:$B1390))</f>
        <v/>
      </c>
      <c r="B1390" s="40" t="n"/>
      <c r="C1390" s="41" t="n"/>
      <c r="D1390" s="41" t="n"/>
      <c r="E1390" s="41" t="n"/>
      <c r="F1390" s="50" t="n"/>
      <c r="G1390" s="42" t="n"/>
      <c r="H1390" s="42" t="n"/>
      <c r="I1390" s="43">
        <f>IF($B1390="","",N($G1390)-N($H1390))</f>
        <v/>
      </c>
    </row>
    <row r="1391">
      <c r="A1391" s="39">
        <f>IF($B1391="","",COUNTA($B$4:$B1391))</f>
        <v/>
      </c>
      <c r="B1391" s="45" t="n"/>
      <c r="C1391" s="46" t="n"/>
      <c r="D1391" s="46" t="n"/>
      <c r="E1391" s="46" t="n"/>
      <c r="F1391" s="51" t="n"/>
      <c r="G1391" s="47" t="n"/>
      <c r="H1391" s="47" t="n"/>
      <c r="I1391" s="43">
        <f>IF($B1391="","",N($G1391)-N($H1391))</f>
        <v/>
      </c>
    </row>
    <row r="1392">
      <c r="A1392" s="39">
        <f>IF($B1392="","",COUNTA($B$4:$B1392))</f>
        <v/>
      </c>
      <c r="B1392" s="40" t="n"/>
      <c r="C1392" s="41" t="n"/>
      <c r="D1392" s="41" t="n"/>
      <c r="E1392" s="41" t="n"/>
      <c r="F1392" s="50" t="n"/>
      <c r="G1392" s="42" t="n"/>
      <c r="H1392" s="42" t="n"/>
      <c r="I1392" s="43">
        <f>IF($B1392="","",N($G1392)-N($H1392))</f>
        <v/>
      </c>
    </row>
    <row r="1393">
      <c r="A1393" s="39">
        <f>IF($B1393="","",COUNTA($B$4:$B1393))</f>
        <v/>
      </c>
      <c r="B1393" s="45" t="n"/>
      <c r="C1393" s="46" t="n"/>
      <c r="D1393" s="46" t="n"/>
      <c r="E1393" s="46" t="n"/>
      <c r="F1393" s="51" t="n"/>
      <c r="G1393" s="47" t="n"/>
      <c r="H1393" s="47" t="n"/>
      <c r="I1393" s="43">
        <f>IF($B1393="","",N($G1393)-N($H1393))</f>
        <v/>
      </c>
    </row>
    <row r="1394">
      <c r="A1394" s="39">
        <f>IF($B1394="","",COUNTA($B$4:$B1394))</f>
        <v/>
      </c>
      <c r="B1394" s="40" t="n"/>
      <c r="C1394" s="41" t="n"/>
      <c r="D1394" s="41" t="n"/>
      <c r="E1394" s="41" t="n"/>
      <c r="F1394" s="50" t="n"/>
      <c r="G1394" s="42" t="n"/>
      <c r="H1394" s="42" t="n"/>
      <c r="I1394" s="43">
        <f>IF($B1394="","",N($G1394)-N($H1394))</f>
        <v/>
      </c>
    </row>
    <row r="1395">
      <c r="A1395" s="39">
        <f>IF($B1395="","",COUNTA($B$4:$B1395))</f>
        <v/>
      </c>
      <c r="B1395" s="45" t="n"/>
      <c r="C1395" s="46" t="n"/>
      <c r="D1395" s="46" t="n"/>
      <c r="E1395" s="46" t="n"/>
      <c r="F1395" s="51" t="n"/>
      <c r="G1395" s="47" t="n"/>
      <c r="H1395" s="47" t="n"/>
      <c r="I1395" s="43">
        <f>IF($B1395="","",N($G1395)-N($H1395))</f>
        <v/>
      </c>
    </row>
    <row r="1396">
      <c r="A1396" s="39">
        <f>IF($B1396="","",COUNTA($B$4:$B1396))</f>
        <v/>
      </c>
      <c r="B1396" s="40" t="n"/>
      <c r="C1396" s="41" t="n"/>
      <c r="D1396" s="41" t="n"/>
      <c r="E1396" s="41" t="n"/>
      <c r="F1396" s="50" t="n"/>
      <c r="G1396" s="42" t="n"/>
      <c r="H1396" s="42" t="n"/>
      <c r="I1396" s="43">
        <f>IF($B1396="","",N($G1396)-N($H1396))</f>
        <v/>
      </c>
    </row>
    <row r="1397">
      <c r="A1397" s="39">
        <f>IF($B1397="","",COUNTA($B$4:$B1397))</f>
        <v/>
      </c>
      <c r="B1397" s="45" t="n"/>
      <c r="C1397" s="46" t="n"/>
      <c r="D1397" s="46" t="n"/>
      <c r="E1397" s="46" t="n"/>
      <c r="F1397" s="51" t="n"/>
      <c r="G1397" s="47" t="n"/>
      <c r="H1397" s="47" t="n"/>
      <c r="I1397" s="43">
        <f>IF($B1397="","",N($G1397)-N($H1397))</f>
        <v/>
      </c>
    </row>
    <row r="1398">
      <c r="A1398" s="39">
        <f>IF($B1398="","",COUNTA($B$4:$B1398))</f>
        <v/>
      </c>
      <c r="B1398" s="40" t="n"/>
      <c r="C1398" s="41" t="n"/>
      <c r="D1398" s="41" t="n"/>
      <c r="E1398" s="41" t="n"/>
      <c r="F1398" s="50" t="n"/>
      <c r="G1398" s="42" t="n"/>
      <c r="H1398" s="42" t="n"/>
      <c r="I1398" s="43">
        <f>IF($B1398="","",N($G1398)-N($H1398))</f>
        <v/>
      </c>
    </row>
    <row r="1399">
      <c r="A1399" s="39">
        <f>IF($B1399="","",COUNTA($B$4:$B1399))</f>
        <v/>
      </c>
      <c r="B1399" s="45" t="n"/>
      <c r="C1399" s="46" t="n"/>
      <c r="D1399" s="46" t="n"/>
      <c r="E1399" s="46" t="n"/>
      <c r="F1399" s="51" t="n"/>
      <c r="G1399" s="47" t="n"/>
      <c r="H1399" s="47" t="n"/>
      <c r="I1399" s="43">
        <f>IF($B1399="","",N($G1399)-N($H1399))</f>
        <v/>
      </c>
    </row>
    <row r="1400">
      <c r="A1400" s="39">
        <f>IF($B1400="","",COUNTA($B$4:$B1400))</f>
        <v/>
      </c>
      <c r="B1400" s="40" t="n"/>
      <c r="C1400" s="41" t="n"/>
      <c r="D1400" s="41" t="n"/>
      <c r="E1400" s="41" t="n"/>
      <c r="F1400" s="50" t="n"/>
      <c r="G1400" s="42" t="n"/>
      <c r="H1400" s="42" t="n"/>
      <c r="I1400" s="43">
        <f>IF($B1400="","",N($G1400)-N($H1400))</f>
        <v/>
      </c>
    </row>
    <row r="1401">
      <c r="A1401" s="39">
        <f>IF($B1401="","",COUNTA($B$4:$B1401))</f>
        <v/>
      </c>
      <c r="B1401" s="45" t="n"/>
      <c r="C1401" s="46" t="n"/>
      <c r="D1401" s="46" t="n"/>
      <c r="E1401" s="46" t="n"/>
      <c r="F1401" s="51" t="n"/>
      <c r="G1401" s="47" t="n"/>
      <c r="H1401" s="47" t="n"/>
      <c r="I1401" s="43">
        <f>IF($B1401="","",N($G1401)-N($H1401))</f>
        <v/>
      </c>
    </row>
    <row r="1402">
      <c r="A1402" s="39">
        <f>IF($B1402="","",COUNTA($B$4:$B1402))</f>
        <v/>
      </c>
      <c r="B1402" s="40" t="n"/>
      <c r="C1402" s="41" t="n"/>
      <c r="D1402" s="41" t="n"/>
      <c r="E1402" s="41" t="n"/>
      <c r="F1402" s="50" t="n"/>
      <c r="G1402" s="42" t="n"/>
      <c r="H1402" s="42" t="n"/>
      <c r="I1402" s="43">
        <f>IF($B1402="","",N($G1402)-N($H1402))</f>
        <v/>
      </c>
    </row>
    <row r="1403">
      <c r="A1403" s="39">
        <f>IF($B1403="","",COUNTA($B$4:$B1403))</f>
        <v/>
      </c>
      <c r="B1403" s="45" t="n"/>
      <c r="C1403" s="46" t="n"/>
      <c r="D1403" s="46" t="n"/>
      <c r="E1403" s="46" t="n"/>
      <c r="F1403" s="51" t="n"/>
      <c r="G1403" s="47" t="n"/>
      <c r="H1403" s="47" t="n"/>
      <c r="I1403" s="43">
        <f>IF($B1403="","",N($G1403)-N($H1403))</f>
        <v/>
      </c>
    </row>
    <row r="1404">
      <c r="A1404" s="39">
        <f>IF($B1404="","",COUNTA($B$4:$B1404))</f>
        <v/>
      </c>
      <c r="B1404" s="40" t="n"/>
      <c r="C1404" s="41" t="n"/>
      <c r="D1404" s="41" t="n"/>
      <c r="E1404" s="41" t="n"/>
      <c r="F1404" s="50" t="n"/>
      <c r="G1404" s="42" t="n"/>
      <c r="H1404" s="42" t="n"/>
      <c r="I1404" s="43">
        <f>IF($B1404="","",N($G1404)-N($H1404))</f>
        <v/>
      </c>
    </row>
    <row r="1405">
      <c r="A1405" s="39">
        <f>IF($B1405="","",COUNTA($B$4:$B1405))</f>
        <v/>
      </c>
      <c r="B1405" s="45" t="n"/>
      <c r="C1405" s="46" t="n"/>
      <c r="D1405" s="46" t="n"/>
      <c r="E1405" s="46" t="n"/>
      <c r="F1405" s="51" t="n"/>
      <c r="G1405" s="47" t="n"/>
      <c r="H1405" s="47" t="n"/>
      <c r="I1405" s="43">
        <f>IF($B1405="","",N($G1405)-N($H1405))</f>
        <v/>
      </c>
    </row>
    <row r="1406">
      <c r="A1406" s="39">
        <f>IF($B1406="","",COUNTA($B$4:$B1406))</f>
        <v/>
      </c>
      <c r="B1406" s="40" t="n"/>
      <c r="C1406" s="41" t="n"/>
      <c r="D1406" s="41" t="n"/>
      <c r="E1406" s="41" t="n"/>
      <c r="F1406" s="50" t="n"/>
      <c r="G1406" s="42" t="n"/>
      <c r="H1406" s="42" t="n"/>
      <c r="I1406" s="43">
        <f>IF($B1406="","",N($G1406)-N($H1406))</f>
        <v/>
      </c>
    </row>
    <row r="1407">
      <c r="A1407" s="39">
        <f>IF($B1407="","",COUNTA($B$4:$B1407))</f>
        <v/>
      </c>
      <c r="B1407" s="45" t="n"/>
      <c r="C1407" s="46" t="n"/>
      <c r="D1407" s="46" t="n"/>
      <c r="E1407" s="46" t="n"/>
      <c r="F1407" s="51" t="n"/>
      <c r="G1407" s="47" t="n"/>
      <c r="H1407" s="47" t="n"/>
      <c r="I1407" s="43">
        <f>IF($B1407="","",N($G1407)-N($H1407))</f>
        <v/>
      </c>
    </row>
    <row r="1408">
      <c r="A1408" s="39">
        <f>IF($B1408="","",COUNTA($B$4:$B1408))</f>
        <v/>
      </c>
      <c r="B1408" s="40" t="n"/>
      <c r="C1408" s="41" t="n"/>
      <c r="D1408" s="41" t="n"/>
      <c r="E1408" s="41" t="n"/>
      <c r="F1408" s="50" t="n"/>
      <c r="G1408" s="42" t="n"/>
      <c r="H1408" s="42" t="n"/>
      <c r="I1408" s="43">
        <f>IF($B1408="","",N($G1408)-N($H1408))</f>
        <v/>
      </c>
    </row>
    <row r="1409">
      <c r="A1409" s="39">
        <f>IF($B1409="","",COUNTA($B$4:$B1409))</f>
        <v/>
      </c>
      <c r="B1409" s="45" t="n"/>
      <c r="C1409" s="46" t="n"/>
      <c r="D1409" s="46" t="n"/>
      <c r="E1409" s="46" t="n"/>
      <c r="F1409" s="51" t="n"/>
      <c r="G1409" s="47" t="n"/>
      <c r="H1409" s="47" t="n"/>
      <c r="I1409" s="43">
        <f>IF($B1409="","",N($G1409)-N($H1409))</f>
        <v/>
      </c>
    </row>
    <row r="1410">
      <c r="A1410" s="39">
        <f>IF($B1410="","",COUNTA($B$4:$B1410))</f>
        <v/>
      </c>
      <c r="B1410" s="40" t="n"/>
      <c r="C1410" s="41" t="n"/>
      <c r="D1410" s="41" t="n"/>
      <c r="E1410" s="41" t="n"/>
      <c r="F1410" s="50" t="n"/>
      <c r="G1410" s="42" t="n"/>
      <c r="H1410" s="42" t="n"/>
      <c r="I1410" s="43">
        <f>IF($B1410="","",N($G1410)-N($H1410))</f>
        <v/>
      </c>
    </row>
    <row r="1411">
      <c r="A1411" s="39">
        <f>IF($B1411="","",COUNTA($B$4:$B1411))</f>
        <v/>
      </c>
      <c r="B1411" s="45" t="n"/>
      <c r="C1411" s="46" t="n"/>
      <c r="D1411" s="46" t="n"/>
      <c r="E1411" s="46" t="n"/>
      <c r="F1411" s="51" t="n"/>
      <c r="G1411" s="47" t="n"/>
      <c r="H1411" s="47" t="n"/>
      <c r="I1411" s="43">
        <f>IF($B1411="","",N($G1411)-N($H1411))</f>
        <v/>
      </c>
    </row>
    <row r="1412">
      <c r="A1412" s="39">
        <f>IF($B1412="","",COUNTA($B$4:$B1412))</f>
        <v/>
      </c>
      <c r="B1412" s="40" t="n"/>
      <c r="C1412" s="41" t="n"/>
      <c r="D1412" s="41" t="n"/>
      <c r="E1412" s="41" t="n"/>
      <c r="F1412" s="50" t="n"/>
      <c r="G1412" s="42" t="n"/>
      <c r="H1412" s="42" t="n"/>
      <c r="I1412" s="43">
        <f>IF($B1412="","",N($G1412)-N($H1412))</f>
        <v/>
      </c>
    </row>
    <row r="1413">
      <c r="A1413" s="39">
        <f>IF($B1413="","",COUNTA($B$4:$B1413))</f>
        <v/>
      </c>
      <c r="B1413" s="45" t="n"/>
      <c r="C1413" s="46" t="n"/>
      <c r="D1413" s="46" t="n"/>
      <c r="E1413" s="46" t="n"/>
      <c r="F1413" s="51" t="n"/>
      <c r="G1413" s="47" t="n"/>
      <c r="H1413" s="47" t="n"/>
      <c r="I1413" s="43">
        <f>IF($B1413="","",N($G1413)-N($H1413))</f>
        <v/>
      </c>
    </row>
    <row r="1414">
      <c r="A1414" s="39">
        <f>IF($B1414="","",COUNTA($B$4:$B1414))</f>
        <v/>
      </c>
      <c r="B1414" s="40" t="n"/>
      <c r="C1414" s="41" t="n"/>
      <c r="D1414" s="41" t="n"/>
      <c r="E1414" s="41" t="n"/>
      <c r="F1414" s="50" t="n"/>
      <c r="G1414" s="42" t="n"/>
      <c r="H1414" s="42" t="n"/>
      <c r="I1414" s="43">
        <f>IF($B1414="","",N($G1414)-N($H1414))</f>
        <v/>
      </c>
    </row>
    <row r="1415">
      <c r="A1415" s="39">
        <f>IF($B1415="","",COUNTA($B$4:$B1415))</f>
        <v/>
      </c>
      <c r="B1415" s="45" t="n"/>
      <c r="C1415" s="46" t="n"/>
      <c r="D1415" s="46" t="n"/>
      <c r="E1415" s="46" t="n"/>
      <c r="F1415" s="51" t="n"/>
      <c r="G1415" s="47" t="n"/>
      <c r="H1415" s="47" t="n"/>
      <c r="I1415" s="43">
        <f>IF($B1415="","",N($G1415)-N($H1415))</f>
        <v/>
      </c>
    </row>
    <row r="1416">
      <c r="A1416" s="39">
        <f>IF($B1416="","",COUNTA($B$4:$B1416))</f>
        <v/>
      </c>
      <c r="B1416" s="40" t="n"/>
      <c r="C1416" s="41" t="n"/>
      <c r="D1416" s="41" t="n"/>
      <c r="E1416" s="41" t="n"/>
      <c r="F1416" s="50" t="n"/>
      <c r="G1416" s="42" t="n"/>
      <c r="H1416" s="42" t="n"/>
      <c r="I1416" s="43">
        <f>IF($B1416="","",N($G1416)-N($H1416))</f>
        <v/>
      </c>
    </row>
    <row r="1417">
      <c r="A1417" s="39">
        <f>IF($B1417="","",COUNTA($B$4:$B1417))</f>
        <v/>
      </c>
      <c r="B1417" s="45" t="n"/>
      <c r="C1417" s="46" t="n"/>
      <c r="D1417" s="46" t="n"/>
      <c r="E1417" s="46" t="n"/>
      <c r="F1417" s="51" t="n"/>
      <c r="G1417" s="47" t="n"/>
      <c r="H1417" s="47" t="n"/>
      <c r="I1417" s="43">
        <f>IF($B1417="","",N($G1417)-N($H1417))</f>
        <v/>
      </c>
    </row>
    <row r="1418">
      <c r="A1418" s="39">
        <f>IF($B1418="","",COUNTA($B$4:$B1418))</f>
        <v/>
      </c>
      <c r="B1418" s="40" t="n"/>
      <c r="C1418" s="41" t="n"/>
      <c r="D1418" s="41" t="n"/>
      <c r="E1418" s="41" t="n"/>
      <c r="F1418" s="50" t="n"/>
      <c r="G1418" s="42" t="n"/>
      <c r="H1418" s="42" t="n"/>
      <c r="I1418" s="43">
        <f>IF($B1418="","",N($G1418)-N($H1418))</f>
        <v/>
      </c>
    </row>
    <row r="1419">
      <c r="A1419" s="39">
        <f>IF($B1419="","",COUNTA($B$4:$B1419))</f>
        <v/>
      </c>
      <c r="B1419" s="45" t="n"/>
      <c r="C1419" s="46" t="n"/>
      <c r="D1419" s="46" t="n"/>
      <c r="E1419" s="46" t="n"/>
      <c r="F1419" s="51" t="n"/>
      <c r="G1419" s="47" t="n"/>
      <c r="H1419" s="47" t="n"/>
      <c r="I1419" s="43">
        <f>IF($B1419="","",N($G1419)-N($H1419))</f>
        <v/>
      </c>
    </row>
    <row r="1420">
      <c r="A1420" s="39">
        <f>IF($B1420="","",COUNTA($B$4:$B1420))</f>
        <v/>
      </c>
      <c r="B1420" s="40" t="n"/>
      <c r="C1420" s="41" t="n"/>
      <c r="D1420" s="41" t="n"/>
      <c r="E1420" s="41" t="n"/>
      <c r="F1420" s="50" t="n"/>
      <c r="G1420" s="42" t="n"/>
      <c r="H1420" s="42" t="n"/>
      <c r="I1420" s="43">
        <f>IF($B1420="","",N($G1420)-N($H1420))</f>
        <v/>
      </c>
    </row>
    <row r="1421">
      <c r="A1421" s="39">
        <f>IF($B1421="","",COUNTA($B$4:$B1421))</f>
        <v/>
      </c>
      <c r="B1421" s="45" t="n"/>
      <c r="C1421" s="46" t="n"/>
      <c r="D1421" s="46" t="n"/>
      <c r="E1421" s="46" t="n"/>
      <c r="F1421" s="51" t="n"/>
      <c r="G1421" s="47" t="n"/>
      <c r="H1421" s="47" t="n"/>
      <c r="I1421" s="43">
        <f>IF($B1421="","",N($G1421)-N($H1421))</f>
        <v/>
      </c>
    </row>
    <row r="1422">
      <c r="A1422" s="39">
        <f>IF($B1422="","",COUNTA($B$4:$B1422))</f>
        <v/>
      </c>
      <c r="B1422" s="40" t="n"/>
      <c r="C1422" s="41" t="n"/>
      <c r="D1422" s="41" t="n"/>
      <c r="E1422" s="41" t="n"/>
      <c r="F1422" s="50" t="n"/>
      <c r="G1422" s="42" t="n"/>
      <c r="H1422" s="42" t="n"/>
      <c r="I1422" s="43">
        <f>IF($B1422="","",N($G1422)-N($H1422))</f>
        <v/>
      </c>
    </row>
    <row r="1423">
      <c r="A1423" s="39">
        <f>IF($B1423="","",COUNTA($B$4:$B1423))</f>
        <v/>
      </c>
      <c r="B1423" s="45" t="n"/>
      <c r="C1423" s="46" t="n"/>
      <c r="D1423" s="46" t="n"/>
      <c r="E1423" s="46" t="n"/>
      <c r="F1423" s="51" t="n"/>
      <c r="G1423" s="47" t="n"/>
      <c r="H1423" s="47" t="n"/>
      <c r="I1423" s="43">
        <f>IF($B1423="","",N($G1423)-N($H1423))</f>
        <v/>
      </c>
    </row>
    <row r="1424">
      <c r="A1424" s="39">
        <f>IF($B1424="","",COUNTA($B$4:$B1424))</f>
        <v/>
      </c>
      <c r="B1424" s="40" t="n"/>
      <c r="C1424" s="41" t="n"/>
      <c r="D1424" s="41" t="n"/>
      <c r="E1424" s="41" t="n"/>
      <c r="F1424" s="50" t="n"/>
      <c r="G1424" s="42" t="n"/>
      <c r="H1424" s="42" t="n"/>
      <c r="I1424" s="43">
        <f>IF($B1424="","",N($G1424)-N($H1424))</f>
        <v/>
      </c>
    </row>
    <row r="1425">
      <c r="A1425" s="39">
        <f>IF($B1425="","",COUNTA($B$4:$B1425))</f>
        <v/>
      </c>
      <c r="B1425" s="45" t="n"/>
      <c r="C1425" s="46" t="n"/>
      <c r="D1425" s="46" t="n"/>
      <c r="E1425" s="46" t="n"/>
      <c r="F1425" s="51" t="n"/>
      <c r="G1425" s="47" t="n"/>
      <c r="H1425" s="47" t="n"/>
      <c r="I1425" s="43">
        <f>IF($B1425="","",N($G1425)-N($H1425))</f>
        <v/>
      </c>
    </row>
    <row r="1426">
      <c r="A1426" s="39">
        <f>IF($B1426="","",COUNTA($B$4:$B1426))</f>
        <v/>
      </c>
      <c r="B1426" s="40" t="n"/>
      <c r="C1426" s="41" t="n"/>
      <c r="D1426" s="41" t="n"/>
      <c r="E1426" s="41" t="n"/>
      <c r="F1426" s="50" t="n"/>
      <c r="G1426" s="42" t="n"/>
      <c r="H1426" s="42" t="n"/>
      <c r="I1426" s="43">
        <f>IF($B1426="","",N($G1426)-N($H1426))</f>
        <v/>
      </c>
    </row>
    <row r="1427">
      <c r="A1427" s="39">
        <f>IF($B1427="","",COUNTA($B$4:$B1427))</f>
        <v/>
      </c>
      <c r="B1427" s="45" t="n"/>
      <c r="C1427" s="46" t="n"/>
      <c r="D1427" s="46" t="n"/>
      <c r="E1427" s="46" t="n"/>
      <c r="F1427" s="51" t="n"/>
      <c r="G1427" s="47" t="n"/>
      <c r="H1427" s="47" t="n"/>
      <c r="I1427" s="43">
        <f>IF($B1427="","",N($G1427)-N($H1427))</f>
        <v/>
      </c>
    </row>
    <row r="1428">
      <c r="A1428" s="39">
        <f>IF($B1428="","",COUNTA($B$4:$B1428))</f>
        <v/>
      </c>
      <c r="B1428" s="40" t="n"/>
      <c r="C1428" s="41" t="n"/>
      <c r="D1428" s="41" t="n"/>
      <c r="E1428" s="41" t="n"/>
      <c r="F1428" s="50" t="n"/>
      <c r="G1428" s="42" t="n"/>
      <c r="H1428" s="42" t="n"/>
      <c r="I1428" s="43">
        <f>IF($B1428="","",N($G1428)-N($H1428))</f>
        <v/>
      </c>
    </row>
    <row r="1429">
      <c r="A1429" s="39">
        <f>IF($B1429="","",COUNTA($B$4:$B1429))</f>
        <v/>
      </c>
      <c r="B1429" s="45" t="n"/>
      <c r="C1429" s="46" t="n"/>
      <c r="D1429" s="46" t="n"/>
      <c r="E1429" s="46" t="n"/>
      <c r="F1429" s="51" t="n"/>
      <c r="G1429" s="47" t="n"/>
      <c r="H1429" s="47" t="n"/>
      <c r="I1429" s="43">
        <f>IF($B1429="","",N($G1429)-N($H1429))</f>
        <v/>
      </c>
    </row>
    <row r="1430">
      <c r="A1430" s="39">
        <f>IF($B1430="","",COUNTA($B$4:$B1430))</f>
        <v/>
      </c>
      <c r="B1430" s="40" t="n"/>
      <c r="C1430" s="41" t="n"/>
      <c r="D1430" s="41" t="n"/>
      <c r="E1430" s="41" t="n"/>
      <c r="F1430" s="50" t="n"/>
      <c r="G1430" s="42" t="n"/>
      <c r="H1430" s="42" t="n"/>
      <c r="I1430" s="43">
        <f>IF($B1430="","",N($G1430)-N($H1430))</f>
        <v/>
      </c>
    </row>
    <row r="1431">
      <c r="A1431" s="39">
        <f>IF($B1431="","",COUNTA($B$4:$B1431))</f>
        <v/>
      </c>
      <c r="B1431" s="45" t="n"/>
      <c r="C1431" s="46" t="n"/>
      <c r="D1431" s="46" t="n"/>
      <c r="E1431" s="46" t="n"/>
      <c r="F1431" s="51" t="n"/>
      <c r="G1431" s="47" t="n"/>
      <c r="H1431" s="47" t="n"/>
      <c r="I1431" s="43">
        <f>IF($B1431="","",N($G1431)-N($H1431))</f>
        <v/>
      </c>
    </row>
    <row r="1432">
      <c r="A1432" s="39">
        <f>IF($B1432="","",COUNTA($B$4:$B1432))</f>
        <v/>
      </c>
      <c r="B1432" s="40" t="n"/>
      <c r="C1432" s="41" t="n"/>
      <c r="D1432" s="41" t="n"/>
      <c r="E1432" s="41" t="n"/>
      <c r="F1432" s="50" t="n"/>
      <c r="G1432" s="42" t="n"/>
      <c r="H1432" s="42" t="n"/>
      <c r="I1432" s="43">
        <f>IF($B1432="","",N($G1432)-N($H1432))</f>
        <v/>
      </c>
    </row>
    <row r="1433">
      <c r="A1433" s="39">
        <f>IF($B1433="","",COUNTA($B$4:$B1433))</f>
        <v/>
      </c>
      <c r="B1433" s="45" t="n"/>
      <c r="C1433" s="46" t="n"/>
      <c r="D1433" s="46" t="n"/>
      <c r="E1433" s="46" t="n"/>
      <c r="F1433" s="51" t="n"/>
      <c r="G1433" s="47" t="n"/>
      <c r="H1433" s="47" t="n"/>
      <c r="I1433" s="43">
        <f>IF($B1433="","",N($G1433)-N($H1433))</f>
        <v/>
      </c>
    </row>
    <row r="1434">
      <c r="A1434" s="39">
        <f>IF($B1434="","",COUNTA($B$4:$B1434))</f>
        <v/>
      </c>
      <c r="B1434" s="40" t="n"/>
      <c r="C1434" s="41" t="n"/>
      <c r="D1434" s="41" t="n"/>
      <c r="E1434" s="41" t="n"/>
      <c r="F1434" s="50" t="n"/>
      <c r="G1434" s="42" t="n"/>
      <c r="H1434" s="42" t="n"/>
      <c r="I1434" s="43">
        <f>IF($B1434="","",N($G1434)-N($H1434))</f>
        <v/>
      </c>
    </row>
    <row r="1435">
      <c r="A1435" s="39">
        <f>IF($B1435="","",COUNTA($B$4:$B1435))</f>
        <v/>
      </c>
      <c r="B1435" s="45" t="n"/>
      <c r="C1435" s="46" t="n"/>
      <c r="D1435" s="46" t="n"/>
      <c r="E1435" s="46" t="n"/>
      <c r="F1435" s="51" t="n"/>
      <c r="G1435" s="47" t="n"/>
      <c r="H1435" s="47" t="n"/>
      <c r="I1435" s="43">
        <f>IF($B1435="","",N($G1435)-N($H1435))</f>
        <v/>
      </c>
    </row>
    <row r="1436">
      <c r="A1436" s="39">
        <f>IF($B1436="","",COUNTA($B$4:$B1436))</f>
        <v/>
      </c>
      <c r="B1436" s="40" t="n"/>
      <c r="C1436" s="41" t="n"/>
      <c r="D1436" s="41" t="n"/>
      <c r="E1436" s="41" t="n"/>
      <c r="F1436" s="50" t="n"/>
      <c r="G1436" s="42" t="n"/>
      <c r="H1436" s="42" t="n"/>
      <c r="I1436" s="43">
        <f>IF($B1436="","",N($G1436)-N($H1436))</f>
        <v/>
      </c>
    </row>
    <row r="1437">
      <c r="A1437" s="39">
        <f>IF($B1437="","",COUNTA($B$4:$B1437))</f>
        <v/>
      </c>
      <c r="B1437" s="45" t="n"/>
      <c r="C1437" s="46" t="n"/>
      <c r="D1437" s="46" t="n"/>
      <c r="E1437" s="46" t="n"/>
      <c r="F1437" s="51" t="n"/>
      <c r="G1437" s="47" t="n"/>
      <c r="H1437" s="47" t="n"/>
      <c r="I1437" s="43">
        <f>IF($B1437="","",N($G1437)-N($H1437))</f>
        <v/>
      </c>
    </row>
    <row r="1438">
      <c r="A1438" s="39">
        <f>IF($B1438="","",COUNTA($B$4:$B1438))</f>
        <v/>
      </c>
      <c r="B1438" s="40" t="n"/>
      <c r="C1438" s="41" t="n"/>
      <c r="D1438" s="41" t="n"/>
      <c r="E1438" s="41" t="n"/>
      <c r="F1438" s="50" t="n"/>
      <c r="G1438" s="42" t="n"/>
      <c r="H1438" s="42" t="n"/>
      <c r="I1438" s="43">
        <f>IF($B1438="","",N($G1438)-N($H1438))</f>
        <v/>
      </c>
    </row>
    <row r="1439">
      <c r="A1439" s="39">
        <f>IF($B1439="","",COUNTA($B$4:$B1439))</f>
        <v/>
      </c>
      <c r="B1439" s="45" t="n"/>
      <c r="C1439" s="46" t="n"/>
      <c r="D1439" s="46" t="n"/>
      <c r="E1439" s="46" t="n"/>
      <c r="F1439" s="51" t="n"/>
      <c r="G1439" s="47" t="n"/>
      <c r="H1439" s="47" t="n"/>
      <c r="I1439" s="43">
        <f>IF($B1439="","",N($G1439)-N($H1439))</f>
        <v/>
      </c>
    </row>
    <row r="1440">
      <c r="A1440" s="39">
        <f>IF($B1440="","",COUNTA($B$4:$B1440))</f>
        <v/>
      </c>
      <c r="B1440" s="40" t="n"/>
      <c r="C1440" s="41" t="n"/>
      <c r="D1440" s="41" t="n"/>
      <c r="E1440" s="41" t="n"/>
      <c r="F1440" s="50" t="n"/>
      <c r="G1440" s="42" t="n"/>
      <c r="H1440" s="42" t="n"/>
      <c r="I1440" s="43">
        <f>IF($B1440="","",N($G1440)-N($H1440))</f>
        <v/>
      </c>
    </row>
    <row r="1441">
      <c r="A1441" s="39">
        <f>IF($B1441="","",COUNTA($B$4:$B1441))</f>
        <v/>
      </c>
      <c r="B1441" s="45" t="n"/>
      <c r="C1441" s="46" t="n"/>
      <c r="D1441" s="46" t="n"/>
      <c r="E1441" s="46" t="n"/>
      <c r="F1441" s="51" t="n"/>
      <c r="G1441" s="47" t="n"/>
      <c r="H1441" s="47" t="n"/>
      <c r="I1441" s="43">
        <f>IF($B1441="","",N($G1441)-N($H1441))</f>
        <v/>
      </c>
    </row>
    <row r="1442">
      <c r="A1442" s="39">
        <f>IF($B1442="","",COUNTA($B$4:$B1442))</f>
        <v/>
      </c>
      <c r="B1442" s="40" t="n"/>
      <c r="C1442" s="41" t="n"/>
      <c r="D1442" s="41" t="n"/>
      <c r="E1442" s="41" t="n"/>
      <c r="F1442" s="50" t="n"/>
      <c r="G1442" s="42" t="n"/>
      <c r="H1442" s="42" t="n"/>
      <c r="I1442" s="43">
        <f>IF($B1442="","",N($G1442)-N($H1442))</f>
        <v/>
      </c>
    </row>
    <row r="1443">
      <c r="A1443" s="39">
        <f>IF($B1443="","",COUNTA($B$4:$B1443))</f>
        <v/>
      </c>
      <c r="B1443" s="45" t="n"/>
      <c r="C1443" s="46" t="n"/>
      <c r="D1443" s="46" t="n"/>
      <c r="E1443" s="46" t="n"/>
      <c r="F1443" s="51" t="n"/>
      <c r="G1443" s="47" t="n"/>
      <c r="H1443" s="47" t="n"/>
      <c r="I1443" s="43">
        <f>IF($B1443="","",N($G1443)-N($H1443))</f>
        <v/>
      </c>
    </row>
    <row r="1444">
      <c r="A1444" s="39">
        <f>IF($B1444="","",COUNTA($B$4:$B1444))</f>
        <v/>
      </c>
      <c r="B1444" s="40" t="n"/>
      <c r="C1444" s="41" t="n"/>
      <c r="D1444" s="41" t="n"/>
      <c r="E1444" s="41" t="n"/>
      <c r="F1444" s="50" t="n"/>
      <c r="G1444" s="42" t="n"/>
      <c r="H1444" s="42" t="n"/>
      <c r="I1444" s="43">
        <f>IF($B1444="","",N($G1444)-N($H1444))</f>
        <v/>
      </c>
    </row>
    <row r="1445">
      <c r="A1445" s="39">
        <f>IF($B1445="","",COUNTA($B$4:$B1445))</f>
        <v/>
      </c>
      <c r="B1445" s="45" t="n"/>
      <c r="C1445" s="46" t="n"/>
      <c r="D1445" s="46" t="n"/>
      <c r="E1445" s="46" t="n"/>
      <c r="F1445" s="51" t="n"/>
      <c r="G1445" s="47" t="n"/>
      <c r="H1445" s="47" t="n"/>
      <c r="I1445" s="43">
        <f>IF($B1445="","",N($G1445)-N($H1445))</f>
        <v/>
      </c>
    </row>
    <row r="1446">
      <c r="A1446" s="39">
        <f>IF($B1446="","",COUNTA($B$4:$B1446))</f>
        <v/>
      </c>
      <c r="B1446" s="40" t="n"/>
      <c r="C1446" s="41" t="n"/>
      <c r="D1446" s="41" t="n"/>
      <c r="E1446" s="41" t="n"/>
      <c r="F1446" s="50" t="n"/>
      <c r="G1446" s="42" t="n"/>
      <c r="H1446" s="42" t="n"/>
      <c r="I1446" s="43">
        <f>IF($B1446="","",N($G1446)-N($H1446))</f>
        <v/>
      </c>
    </row>
    <row r="1447">
      <c r="A1447" s="39">
        <f>IF($B1447="","",COUNTA($B$4:$B1447))</f>
        <v/>
      </c>
      <c r="B1447" s="45" t="n"/>
      <c r="C1447" s="46" t="n"/>
      <c r="D1447" s="46" t="n"/>
      <c r="E1447" s="46" t="n"/>
      <c r="F1447" s="51" t="n"/>
      <c r="G1447" s="47" t="n"/>
      <c r="H1447" s="47" t="n"/>
      <c r="I1447" s="43">
        <f>IF($B1447="","",N($G1447)-N($H1447))</f>
        <v/>
      </c>
    </row>
    <row r="1448">
      <c r="A1448" s="39">
        <f>IF($B1448="","",COUNTA($B$4:$B1448))</f>
        <v/>
      </c>
      <c r="B1448" s="40" t="n"/>
      <c r="C1448" s="41" t="n"/>
      <c r="D1448" s="41" t="n"/>
      <c r="E1448" s="41" t="n"/>
      <c r="F1448" s="50" t="n"/>
      <c r="G1448" s="42" t="n"/>
      <c r="H1448" s="42" t="n"/>
      <c r="I1448" s="43">
        <f>IF($B1448="","",N($G1448)-N($H1448))</f>
        <v/>
      </c>
    </row>
    <row r="1449">
      <c r="A1449" s="39">
        <f>IF($B1449="","",COUNTA($B$4:$B1449))</f>
        <v/>
      </c>
      <c r="B1449" s="45" t="n"/>
      <c r="C1449" s="46" t="n"/>
      <c r="D1449" s="46" t="n"/>
      <c r="E1449" s="46" t="n"/>
      <c r="F1449" s="51" t="n"/>
      <c r="G1449" s="47" t="n"/>
      <c r="H1449" s="47" t="n"/>
      <c r="I1449" s="43">
        <f>IF($B1449="","",N($G1449)-N($H1449))</f>
        <v/>
      </c>
    </row>
    <row r="1450">
      <c r="A1450" s="39">
        <f>IF($B1450="","",COUNTA($B$4:$B1450))</f>
        <v/>
      </c>
      <c r="B1450" s="40" t="n"/>
      <c r="C1450" s="41" t="n"/>
      <c r="D1450" s="41" t="n"/>
      <c r="E1450" s="41" t="n"/>
      <c r="F1450" s="50" t="n"/>
      <c r="G1450" s="42" t="n"/>
      <c r="H1450" s="42" t="n"/>
      <c r="I1450" s="43">
        <f>IF($B1450="","",N($G1450)-N($H1450))</f>
        <v/>
      </c>
    </row>
    <row r="1451">
      <c r="A1451" s="39">
        <f>IF($B1451="","",COUNTA($B$4:$B1451))</f>
        <v/>
      </c>
      <c r="B1451" s="45" t="n"/>
      <c r="C1451" s="46" t="n"/>
      <c r="D1451" s="46" t="n"/>
      <c r="E1451" s="46" t="n"/>
      <c r="F1451" s="51" t="n"/>
      <c r="G1451" s="47" t="n"/>
      <c r="H1451" s="47" t="n"/>
      <c r="I1451" s="43">
        <f>IF($B1451="","",N($G1451)-N($H1451))</f>
        <v/>
      </c>
    </row>
    <row r="1452">
      <c r="A1452" s="39">
        <f>IF($B1452="","",COUNTA($B$4:$B1452))</f>
        <v/>
      </c>
      <c r="B1452" s="40" t="n"/>
      <c r="C1452" s="41" t="n"/>
      <c r="D1452" s="41" t="n"/>
      <c r="E1452" s="41" t="n"/>
      <c r="F1452" s="50" t="n"/>
      <c r="G1452" s="42" t="n"/>
      <c r="H1452" s="42" t="n"/>
      <c r="I1452" s="43">
        <f>IF($B1452="","",N($G1452)-N($H1452))</f>
        <v/>
      </c>
    </row>
    <row r="1453">
      <c r="A1453" s="39">
        <f>IF($B1453="","",COUNTA($B$4:$B1453))</f>
        <v/>
      </c>
      <c r="B1453" s="45" t="n"/>
      <c r="C1453" s="46" t="n"/>
      <c r="D1453" s="46" t="n"/>
      <c r="E1453" s="46" t="n"/>
      <c r="F1453" s="51" t="n"/>
      <c r="G1453" s="47" t="n"/>
      <c r="H1453" s="47" t="n"/>
      <c r="I1453" s="43">
        <f>IF($B1453="","",N($G1453)-N($H1453))</f>
        <v/>
      </c>
    </row>
    <row r="1454">
      <c r="A1454" s="39">
        <f>IF($B1454="","",COUNTA($B$4:$B1454))</f>
        <v/>
      </c>
      <c r="B1454" s="40" t="n"/>
      <c r="C1454" s="41" t="n"/>
      <c r="D1454" s="41" t="n"/>
      <c r="E1454" s="41" t="n"/>
      <c r="F1454" s="50" t="n"/>
      <c r="G1454" s="42" t="n"/>
      <c r="H1454" s="42" t="n"/>
      <c r="I1454" s="43">
        <f>IF($B1454="","",N($G1454)-N($H1454))</f>
        <v/>
      </c>
    </row>
    <row r="1455">
      <c r="A1455" s="39">
        <f>IF($B1455="","",COUNTA($B$4:$B1455))</f>
        <v/>
      </c>
      <c r="B1455" s="45" t="n"/>
      <c r="C1455" s="46" t="n"/>
      <c r="D1455" s="46" t="n"/>
      <c r="E1455" s="46" t="n"/>
      <c r="F1455" s="51" t="n"/>
      <c r="G1455" s="47" t="n"/>
      <c r="H1455" s="47" t="n"/>
      <c r="I1455" s="43">
        <f>IF($B1455="","",N($G1455)-N($H1455))</f>
        <v/>
      </c>
    </row>
    <row r="1456">
      <c r="A1456" s="39">
        <f>IF($B1456="","",COUNTA($B$4:$B1456))</f>
        <v/>
      </c>
      <c r="B1456" s="40" t="n"/>
      <c r="C1456" s="41" t="n"/>
      <c r="D1456" s="41" t="n"/>
      <c r="E1456" s="41" t="n"/>
      <c r="F1456" s="50" t="n"/>
      <c r="G1456" s="42" t="n"/>
      <c r="H1456" s="42" t="n"/>
      <c r="I1456" s="43">
        <f>IF($B1456="","",N($G1456)-N($H1456))</f>
        <v/>
      </c>
    </row>
    <row r="1457">
      <c r="A1457" s="39">
        <f>IF($B1457="","",COUNTA($B$4:$B1457))</f>
        <v/>
      </c>
      <c r="B1457" s="45" t="n"/>
      <c r="C1457" s="46" t="n"/>
      <c r="D1457" s="46" t="n"/>
      <c r="E1457" s="46" t="n"/>
      <c r="F1457" s="51" t="n"/>
      <c r="G1457" s="47" t="n"/>
      <c r="H1457" s="47" t="n"/>
      <c r="I1457" s="43">
        <f>IF($B1457="","",N($G1457)-N($H1457))</f>
        <v/>
      </c>
    </row>
    <row r="1458">
      <c r="A1458" s="39">
        <f>IF($B1458="","",COUNTA($B$4:$B1458))</f>
        <v/>
      </c>
      <c r="B1458" s="40" t="n"/>
      <c r="C1458" s="41" t="n"/>
      <c r="D1458" s="41" t="n"/>
      <c r="E1458" s="41" t="n"/>
      <c r="F1458" s="50" t="n"/>
      <c r="G1458" s="42" t="n"/>
      <c r="H1458" s="42" t="n"/>
      <c r="I1458" s="43">
        <f>IF($B1458="","",N($G1458)-N($H1458))</f>
        <v/>
      </c>
    </row>
    <row r="1459">
      <c r="A1459" s="39">
        <f>IF($B1459="","",COUNTA($B$4:$B1459))</f>
        <v/>
      </c>
      <c r="B1459" s="45" t="n"/>
      <c r="C1459" s="46" t="n"/>
      <c r="D1459" s="46" t="n"/>
      <c r="E1459" s="46" t="n"/>
      <c r="F1459" s="51" t="n"/>
      <c r="G1459" s="47" t="n"/>
      <c r="H1459" s="47" t="n"/>
      <c r="I1459" s="43">
        <f>IF($B1459="","",N($G1459)-N($H1459))</f>
        <v/>
      </c>
    </row>
    <row r="1460">
      <c r="A1460" s="39">
        <f>IF($B1460="","",COUNTA($B$4:$B1460))</f>
        <v/>
      </c>
      <c r="B1460" s="40" t="n"/>
      <c r="C1460" s="41" t="n"/>
      <c r="D1460" s="41" t="n"/>
      <c r="E1460" s="41" t="n"/>
      <c r="F1460" s="50" t="n"/>
      <c r="G1460" s="42" t="n"/>
      <c r="H1460" s="42" t="n"/>
      <c r="I1460" s="43">
        <f>IF($B1460="","",N($G1460)-N($H1460))</f>
        <v/>
      </c>
    </row>
    <row r="1461">
      <c r="A1461" s="39">
        <f>IF($B1461="","",COUNTA($B$4:$B1461))</f>
        <v/>
      </c>
      <c r="B1461" s="45" t="n"/>
      <c r="C1461" s="46" t="n"/>
      <c r="D1461" s="46" t="n"/>
      <c r="E1461" s="46" t="n"/>
      <c r="F1461" s="51" t="n"/>
      <c r="G1461" s="47" t="n"/>
      <c r="H1461" s="47" t="n"/>
      <c r="I1461" s="43">
        <f>IF($B1461="","",N($G1461)-N($H1461))</f>
        <v/>
      </c>
    </row>
    <row r="1462">
      <c r="A1462" s="39">
        <f>IF($B1462="","",COUNTA($B$4:$B1462))</f>
        <v/>
      </c>
      <c r="B1462" s="40" t="n"/>
      <c r="C1462" s="41" t="n"/>
      <c r="D1462" s="41" t="n"/>
      <c r="E1462" s="41" t="n"/>
      <c r="F1462" s="50" t="n"/>
      <c r="G1462" s="42" t="n"/>
      <c r="H1462" s="42" t="n"/>
      <c r="I1462" s="43">
        <f>IF($B1462="","",N($G1462)-N($H1462))</f>
        <v/>
      </c>
    </row>
    <row r="1463">
      <c r="A1463" s="39">
        <f>IF($B1463="","",COUNTA($B$4:$B1463))</f>
        <v/>
      </c>
      <c r="B1463" s="45" t="n"/>
      <c r="C1463" s="46" t="n"/>
      <c r="D1463" s="46" t="n"/>
      <c r="E1463" s="46" t="n"/>
      <c r="F1463" s="51" t="n"/>
      <c r="G1463" s="47" t="n"/>
      <c r="H1463" s="47" t="n"/>
      <c r="I1463" s="43">
        <f>IF($B1463="","",N($G1463)-N($H1463))</f>
        <v/>
      </c>
    </row>
    <row r="1464">
      <c r="A1464" s="39">
        <f>IF($B1464="","",COUNTA($B$4:$B1464))</f>
        <v/>
      </c>
      <c r="B1464" s="40" t="n"/>
      <c r="C1464" s="41" t="n"/>
      <c r="D1464" s="41" t="n"/>
      <c r="E1464" s="41" t="n"/>
      <c r="F1464" s="50" t="n"/>
      <c r="G1464" s="42" t="n"/>
      <c r="H1464" s="42" t="n"/>
      <c r="I1464" s="43">
        <f>IF($B1464="","",N($G1464)-N($H1464))</f>
        <v/>
      </c>
    </row>
    <row r="1465">
      <c r="A1465" s="39">
        <f>IF($B1465="","",COUNTA($B$4:$B1465))</f>
        <v/>
      </c>
      <c r="B1465" s="45" t="n"/>
      <c r="C1465" s="46" t="n"/>
      <c r="D1465" s="46" t="n"/>
      <c r="E1465" s="46" t="n"/>
      <c r="F1465" s="51" t="n"/>
      <c r="G1465" s="47" t="n"/>
      <c r="H1465" s="47" t="n"/>
      <c r="I1465" s="43">
        <f>IF($B1465="","",N($G1465)-N($H1465))</f>
        <v/>
      </c>
    </row>
    <row r="1466">
      <c r="A1466" s="39">
        <f>IF($B1466="","",COUNTA($B$4:$B1466))</f>
        <v/>
      </c>
      <c r="B1466" s="40" t="n"/>
      <c r="C1466" s="41" t="n"/>
      <c r="D1466" s="41" t="n"/>
      <c r="E1466" s="41" t="n"/>
      <c r="F1466" s="50" t="n"/>
      <c r="G1466" s="42" t="n"/>
      <c r="H1466" s="42" t="n"/>
      <c r="I1466" s="43">
        <f>IF($B1466="","",N($G1466)-N($H1466))</f>
        <v/>
      </c>
    </row>
    <row r="1467">
      <c r="A1467" s="39">
        <f>IF($B1467="","",COUNTA($B$4:$B1467))</f>
        <v/>
      </c>
      <c r="B1467" s="45" t="n"/>
      <c r="C1467" s="46" t="n"/>
      <c r="D1467" s="46" t="n"/>
      <c r="E1467" s="46" t="n"/>
      <c r="F1467" s="51" t="n"/>
      <c r="G1467" s="47" t="n"/>
      <c r="H1467" s="47" t="n"/>
      <c r="I1467" s="43">
        <f>IF($B1467="","",N($G1467)-N($H1467))</f>
        <v/>
      </c>
    </row>
    <row r="1468">
      <c r="A1468" s="39">
        <f>IF($B1468="","",COUNTA($B$4:$B1468))</f>
        <v/>
      </c>
      <c r="B1468" s="40" t="n"/>
      <c r="C1468" s="41" t="n"/>
      <c r="D1468" s="41" t="n"/>
      <c r="E1468" s="41" t="n"/>
      <c r="F1468" s="50" t="n"/>
      <c r="G1468" s="42" t="n"/>
      <c r="H1468" s="42" t="n"/>
      <c r="I1468" s="43">
        <f>IF($B1468="","",N($G1468)-N($H1468))</f>
        <v/>
      </c>
    </row>
    <row r="1469">
      <c r="A1469" s="39">
        <f>IF($B1469="","",COUNTA($B$4:$B1469))</f>
        <v/>
      </c>
      <c r="B1469" s="45" t="n"/>
      <c r="C1469" s="46" t="n"/>
      <c r="D1469" s="46" t="n"/>
      <c r="E1469" s="46" t="n"/>
      <c r="F1469" s="51" t="n"/>
      <c r="G1469" s="47" t="n"/>
      <c r="H1469" s="47" t="n"/>
      <c r="I1469" s="43">
        <f>IF($B1469="","",N($G1469)-N($H1469))</f>
        <v/>
      </c>
    </row>
    <row r="1470">
      <c r="A1470" s="39">
        <f>IF($B1470="","",COUNTA($B$4:$B1470))</f>
        <v/>
      </c>
      <c r="B1470" s="40" t="n"/>
      <c r="C1470" s="41" t="n"/>
      <c r="D1470" s="41" t="n"/>
      <c r="E1470" s="41" t="n"/>
      <c r="F1470" s="50" t="n"/>
      <c r="G1470" s="42" t="n"/>
      <c r="H1470" s="42" t="n"/>
      <c r="I1470" s="43">
        <f>IF($B1470="","",N($G1470)-N($H1470))</f>
        <v/>
      </c>
    </row>
    <row r="1471">
      <c r="A1471" s="39">
        <f>IF($B1471="","",COUNTA($B$4:$B1471))</f>
        <v/>
      </c>
      <c r="B1471" s="45" t="n"/>
      <c r="C1471" s="46" t="n"/>
      <c r="D1471" s="46" t="n"/>
      <c r="E1471" s="46" t="n"/>
      <c r="F1471" s="51" t="n"/>
      <c r="G1471" s="47" t="n"/>
      <c r="H1471" s="47" t="n"/>
      <c r="I1471" s="43">
        <f>IF($B1471="","",N($G1471)-N($H1471))</f>
        <v/>
      </c>
    </row>
    <row r="1472">
      <c r="A1472" s="39">
        <f>IF($B1472="","",COUNTA($B$4:$B1472))</f>
        <v/>
      </c>
      <c r="B1472" s="40" t="n"/>
      <c r="C1472" s="41" t="n"/>
      <c r="D1472" s="41" t="n"/>
      <c r="E1472" s="41" t="n"/>
      <c r="F1472" s="50" t="n"/>
      <c r="G1472" s="42" t="n"/>
      <c r="H1472" s="42" t="n"/>
      <c r="I1472" s="43">
        <f>IF($B1472="","",N($G1472)-N($H1472))</f>
        <v/>
      </c>
    </row>
    <row r="1473">
      <c r="A1473" s="39">
        <f>IF($B1473="","",COUNTA($B$4:$B1473))</f>
        <v/>
      </c>
      <c r="B1473" s="45" t="n"/>
      <c r="C1473" s="46" t="n"/>
      <c r="D1473" s="46" t="n"/>
      <c r="E1473" s="46" t="n"/>
      <c r="F1473" s="51" t="n"/>
      <c r="G1473" s="47" t="n"/>
      <c r="H1473" s="47" t="n"/>
      <c r="I1473" s="43">
        <f>IF($B1473="","",N($G1473)-N($H1473))</f>
        <v/>
      </c>
    </row>
    <row r="1474">
      <c r="A1474" s="39">
        <f>IF($B1474="","",COUNTA($B$4:$B1474))</f>
        <v/>
      </c>
      <c r="B1474" s="40" t="n"/>
      <c r="C1474" s="41" t="n"/>
      <c r="D1474" s="41" t="n"/>
      <c r="E1474" s="41" t="n"/>
      <c r="F1474" s="50" t="n"/>
      <c r="G1474" s="42" t="n"/>
      <c r="H1474" s="42" t="n"/>
      <c r="I1474" s="43">
        <f>IF($B1474="","",N($G1474)-N($H1474))</f>
        <v/>
      </c>
    </row>
    <row r="1475">
      <c r="A1475" s="39">
        <f>IF($B1475="","",COUNTA($B$4:$B1475))</f>
        <v/>
      </c>
      <c r="B1475" s="45" t="n"/>
      <c r="C1475" s="46" t="n"/>
      <c r="D1475" s="46" t="n"/>
      <c r="E1475" s="46" t="n"/>
      <c r="F1475" s="51" t="n"/>
      <c r="G1475" s="47" t="n"/>
      <c r="H1475" s="47" t="n"/>
      <c r="I1475" s="43">
        <f>IF($B1475="","",N($G1475)-N($H1475))</f>
        <v/>
      </c>
    </row>
    <row r="1476">
      <c r="A1476" s="39">
        <f>IF($B1476="","",COUNTA($B$4:$B1476))</f>
        <v/>
      </c>
      <c r="B1476" s="40" t="n"/>
      <c r="C1476" s="41" t="n"/>
      <c r="D1476" s="41" t="n"/>
      <c r="E1476" s="41" t="n"/>
      <c r="F1476" s="50" t="n"/>
      <c r="G1476" s="42" t="n"/>
      <c r="H1476" s="42" t="n"/>
      <c r="I1476" s="43">
        <f>IF($B1476="","",N($G1476)-N($H1476))</f>
        <v/>
      </c>
    </row>
    <row r="1477">
      <c r="A1477" s="39">
        <f>IF($B1477="","",COUNTA($B$4:$B1477))</f>
        <v/>
      </c>
      <c r="B1477" s="45" t="n"/>
      <c r="C1477" s="46" t="n"/>
      <c r="D1477" s="46" t="n"/>
      <c r="E1477" s="46" t="n"/>
      <c r="F1477" s="51" t="n"/>
      <c r="G1477" s="47" t="n"/>
      <c r="H1477" s="47" t="n"/>
      <c r="I1477" s="43">
        <f>IF($B1477="","",N($G1477)-N($H1477))</f>
        <v/>
      </c>
    </row>
    <row r="1478">
      <c r="A1478" s="39">
        <f>IF($B1478="","",COUNTA($B$4:$B1478))</f>
        <v/>
      </c>
      <c r="B1478" s="40" t="n"/>
      <c r="C1478" s="41" t="n"/>
      <c r="D1478" s="41" t="n"/>
      <c r="E1478" s="41" t="n"/>
      <c r="F1478" s="50" t="n"/>
      <c r="G1478" s="42" t="n"/>
      <c r="H1478" s="42" t="n"/>
      <c r="I1478" s="43">
        <f>IF($B1478="","",N($G1478)-N($H1478))</f>
        <v/>
      </c>
    </row>
    <row r="1479">
      <c r="A1479" s="39">
        <f>IF($B1479="","",COUNTA($B$4:$B1479))</f>
        <v/>
      </c>
      <c r="B1479" s="45" t="n"/>
      <c r="C1479" s="46" t="n"/>
      <c r="D1479" s="46" t="n"/>
      <c r="E1479" s="46" t="n"/>
      <c r="F1479" s="51" t="n"/>
      <c r="G1479" s="47" t="n"/>
      <c r="H1479" s="47" t="n"/>
      <c r="I1479" s="43">
        <f>IF($B1479="","",N($G1479)-N($H1479))</f>
        <v/>
      </c>
    </row>
    <row r="1480">
      <c r="A1480" s="39">
        <f>IF($B1480="","",COUNTA($B$4:$B1480))</f>
        <v/>
      </c>
      <c r="B1480" s="40" t="n"/>
      <c r="C1480" s="41" t="n"/>
      <c r="D1480" s="41" t="n"/>
      <c r="E1480" s="41" t="n"/>
      <c r="F1480" s="50" t="n"/>
      <c r="G1480" s="42" t="n"/>
      <c r="H1480" s="42" t="n"/>
      <c r="I1480" s="43">
        <f>IF($B1480="","",N($G1480)-N($H1480))</f>
        <v/>
      </c>
    </row>
    <row r="1481">
      <c r="A1481" s="39">
        <f>IF($B1481="","",COUNTA($B$4:$B1481))</f>
        <v/>
      </c>
      <c r="B1481" s="45" t="n"/>
      <c r="C1481" s="46" t="n"/>
      <c r="D1481" s="46" t="n"/>
      <c r="E1481" s="46" t="n"/>
      <c r="F1481" s="51" t="n"/>
      <c r="G1481" s="47" t="n"/>
      <c r="H1481" s="47" t="n"/>
      <c r="I1481" s="43">
        <f>IF($B1481="","",N($G1481)-N($H1481))</f>
        <v/>
      </c>
    </row>
    <row r="1482">
      <c r="A1482" s="39">
        <f>IF($B1482="","",COUNTA($B$4:$B1482))</f>
        <v/>
      </c>
      <c r="B1482" s="40" t="n"/>
      <c r="C1482" s="41" t="n"/>
      <c r="D1482" s="41" t="n"/>
      <c r="E1482" s="41" t="n"/>
      <c r="F1482" s="50" t="n"/>
      <c r="G1482" s="42" t="n"/>
      <c r="H1482" s="42" t="n"/>
      <c r="I1482" s="43">
        <f>IF($B1482="","",N($G1482)-N($H1482))</f>
        <v/>
      </c>
    </row>
    <row r="1483">
      <c r="A1483" s="39">
        <f>IF($B1483="","",COUNTA($B$4:$B1483))</f>
        <v/>
      </c>
      <c r="B1483" s="45" t="n"/>
      <c r="C1483" s="46" t="n"/>
      <c r="D1483" s="46" t="n"/>
      <c r="E1483" s="46" t="n"/>
      <c r="F1483" s="51" t="n"/>
      <c r="G1483" s="47" t="n"/>
      <c r="H1483" s="47" t="n"/>
      <c r="I1483" s="43">
        <f>IF($B1483="","",N($G1483)-N($H1483))</f>
        <v/>
      </c>
    </row>
    <row r="1484">
      <c r="A1484" s="39">
        <f>IF($B1484="","",COUNTA($B$4:$B1484))</f>
        <v/>
      </c>
      <c r="B1484" s="40" t="n"/>
      <c r="C1484" s="41" t="n"/>
      <c r="D1484" s="41" t="n"/>
      <c r="E1484" s="41" t="n"/>
      <c r="F1484" s="50" t="n"/>
      <c r="G1484" s="42" t="n"/>
      <c r="H1484" s="42" t="n"/>
      <c r="I1484" s="43">
        <f>IF($B1484="","",N($G1484)-N($H1484))</f>
        <v/>
      </c>
    </row>
    <row r="1485">
      <c r="A1485" s="39">
        <f>IF($B1485="","",COUNTA($B$4:$B1485))</f>
        <v/>
      </c>
      <c r="B1485" s="45" t="n"/>
      <c r="C1485" s="46" t="n"/>
      <c r="D1485" s="46" t="n"/>
      <c r="E1485" s="46" t="n"/>
      <c r="F1485" s="51" t="n"/>
      <c r="G1485" s="47" t="n"/>
      <c r="H1485" s="47" t="n"/>
      <c r="I1485" s="43">
        <f>IF($B1485="","",N($G1485)-N($H1485))</f>
        <v/>
      </c>
    </row>
    <row r="1486">
      <c r="A1486" s="39">
        <f>IF($B1486="","",COUNTA($B$4:$B1486))</f>
        <v/>
      </c>
      <c r="B1486" s="40" t="n"/>
      <c r="C1486" s="41" t="n"/>
      <c r="D1486" s="41" t="n"/>
      <c r="E1486" s="41" t="n"/>
      <c r="F1486" s="50" t="n"/>
      <c r="G1486" s="42" t="n"/>
      <c r="H1486" s="42" t="n"/>
      <c r="I1486" s="43">
        <f>IF($B1486="","",N($G1486)-N($H1486))</f>
        <v/>
      </c>
    </row>
    <row r="1487">
      <c r="A1487" s="39">
        <f>IF($B1487="","",COUNTA($B$4:$B1487))</f>
        <v/>
      </c>
      <c r="B1487" s="45" t="n"/>
      <c r="C1487" s="46" t="n"/>
      <c r="D1487" s="46" t="n"/>
      <c r="E1487" s="46" t="n"/>
      <c r="F1487" s="51" t="n"/>
      <c r="G1487" s="47" t="n"/>
      <c r="H1487" s="47" t="n"/>
      <c r="I1487" s="43">
        <f>IF($B1487="","",N($G1487)-N($H1487))</f>
        <v/>
      </c>
    </row>
    <row r="1488">
      <c r="A1488" s="39">
        <f>IF($B1488="","",COUNTA($B$4:$B1488))</f>
        <v/>
      </c>
      <c r="B1488" s="40" t="n"/>
      <c r="C1488" s="41" t="n"/>
      <c r="D1488" s="41" t="n"/>
      <c r="E1488" s="41" t="n"/>
      <c r="F1488" s="50" t="n"/>
      <c r="G1488" s="42" t="n"/>
      <c r="H1488" s="42" t="n"/>
      <c r="I1488" s="43">
        <f>IF($B1488="","",N($G1488)-N($H1488))</f>
        <v/>
      </c>
    </row>
    <row r="1489">
      <c r="A1489" s="39">
        <f>IF($B1489="","",COUNTA($B$4:$B1489))</f>
        <v/>
      </c>
      <c r="B1489" s="45" t="n"/>
      <c r="C1489" s="46" t="n"/>
      <c r="D1489" s="46" t="n"/>
      <c r="E1489" s="46" t="n"/>
      <c r="F1489" s="51" t="n"/>
      <c r="G1489" s="47" t="n"/>
      <c r="H1489" s="47" t="n"/>
      <c r="I1489" s="43">
        <f>IF($B1489="","",N($G1489)-N($H1489))</f>
        <v/>
      </c>
    </row>
    <row r="1490">
      <c r="A1490" s="39">
        <f>IF($B1490="","",COUNTA($B$4:$B1490))</f>
        <v/>
      </c>
      <c r="B1490" s="40" t="n"/>
      <c r="C1490" s="41" t="n"/>
      <c r="D1490" s="41" t="n"/>
      <c r="E1490" s="41" t="n"/>
      <c r="F1490" s="50" t="n"/>
      <c r="G1490" s="42" t="n"/>
      <c r="H1490" s="42" t="n"/>
      <c r="I1490" s="43">
        <f>IF($B1490="","",N($G1490)-N($H1490))</f>
        <v/>
      </c>
    </row>
    <row r="1491">
      <c r="A1491" s="39">
        <f>IF($B1491="","",COUNTA($B$4:$B1491))</f>
        <v/>
      </c>
      <c r="B1491" s="45" t="n"/>
      <c r="C1491" s="46" t="n"/>
      <c r="D1491" s="46" t="n"/>
      <c r="E1491" s="46" t="n"/>
      <c r="F1491" s="51" t="n"/>
      <c r="G1491" s="47" t="n"/>
      <c r="H1491" s="47" t="n"/>
      <c r="I1491" s="43">
        <f>IF($B1491="","",N($G1491)-N($H1491))</f>
        <v/>
      </c>
    </row>
    <row r="1492">
      <c r="A1492" s="39">
        <f>IF($B1492="","",COUNTA($B$4:$B1492))</f>
        <v/>
      </c>
      <c r="B1492" s="40" t="n"/>
      <c r="C1492" s="41" t="n"/>
      <c r="D1492" s="41" t="n"/>
      <c r="E1492" s="41" t="n"/>
      <c r="F1492" s="50" t="n"/>
      <c r="G1492" s="42" t="n"/>
      <c r="H1492" s="42" t="n"/>
      <c r="I1492" s="43">
        <f>IF($B1492="","",N($G1492)-N($H1492))</f>
        <v/>
      </c>
    </row>
    <row r="1493">
      <c r="A1493" s="39">
        <f>IF($B1493="","",COUNTA($B$4:$B1493))</f>
        <v/>
      </c>
      <c r="B1493" s="45" t="n"/>
      <c r="C1493" s="46" t="n"/>
      <c r="D1493" s="46" t="n"/>
      <c r="E1493" s="46" t="n"/>
      <c r="F1493" s="51" t="n"/>
      <c r="G1493" s="47" t="n"/>
      <c r="H1493" s="47" t="n"/>
      <c r="I1493" s="43">
        <f>IF($B1493="","",N($G1493)-N($H1493))</f>
        <v/>
      </c>
    </row>
    <row r="1494">
      <c r="A1494" s="39">
        <f>IF($B1494="","",COUNTA($B$4:$B1494))</f>
        <v/>
      </c>
      <c r="B1494" s="40" t="n"/>
      <c r="C1494" s="41" t="n"/>
      <c r="D1494" s="41" t="n"/>
      <c r="E1494" s="41" t="n"/>
      <c r="F1494" s="50" t="n"/>
      <c r="G1494" s="42" t="n"/>
      <c r="H1494" s="42" t="n"/>
      <c r="I1494" s="43">
        <f>IF($B1494="","",N($G1494)-N($H1494))</f>
        <v/>
      </c>
    </row>
    <row r="1495">
      <c r="A1495" s="39">
        <f>IF($B1495="","",COUNTA($B$4:$B1495))</f>
        <v/>
      </c>
      <c r="B1495" s="45" t="n"/>
      <c r="C1495" s="46" t="n"/>
      <c r="D1495" s="46" t="n"/>
      <c r="E1495" s="46" t="n"/>
      <c r="F1495" s="51" t="n"/>
      <c r="G1495" s="47" t="n"/>
      <c r="H1495" s="47" t="n"/>
      <c r="I1495" s="43">
        <f>IF($B1495="","",N($G1495)-N($H1495))</f>
        <v/>
      </c>
    </row>
    <row r="1496">
      <c r="A1496" s="39">
        <f>IF($B1496="","",COUNTA($B$4:$B1496))</f>
        <v/>
      </c>
      <c r="B1496" s="40" t="n"/>
      <c r="C1496" s="41" t="n"/>
      <c r="D1496" s="41" t="n"/>
      <c r="E1496" s="41" t="n"/>
      <c r="F1496" s="50" t="n"/>
      <c r="G1496" s="42" t="n"/>
      <c r="H1496" s="42" t="n"/>
      <c r="I1496" s="43">
        <f>IF($B1496="","",N($G1496)-N($H1496))</f>
        <v/>
      </c>
    </row>
    <row r="1497">
      <c r="A1497" s="39">
        <f>IF($B1497="","",COUNTA($B$4:$B1497))</f>
        <v/>
      </c>
      <c r="B1497" s="45" t="n"/>
      <c r="C1497" s="46" t="n"/>
      <c r="D1497" s="46" t="n"/>
      <c r="E1497" s="46" t="n"/>
      <c r="F1497" s="51" t="n"/>
      <c r="G1497" s="47" t="n"/>
      <c r="H1497" s="47" t="n"/>
      <c r="I1497" s="43">
        <f>IF($B1497="","",N($G1497)-N($H1497))</f>
        <v/>
      </c>
    </row>
    <row r="1498">
      <c r="A1498" s="39">
        <f>IF($B1498="","",COUNTA($B$4:$B1498))</f>
        <v/>
      </c>
      <c r="B1498" s="40" t="n"/>
      <c r="C1498" s="41" t="n"/>
      <c r="D1498" s="41" t="n"/>
      <c r="E1498" s="41" t="n"/>
      <c r="F1498" s="50" t="n"/>
      <c r="G1498" s="42" t="n"/>
      <c r="H1498" s="42" t="n"/>
      <c r="I1498" s="43">
        <f>IF($B1498="","",N($G1498)-N($H1498))</f>
        <v/>
      </c>
    </row>
    <row r="1499">
      <c r="A1499" s="39">
        <f>IF($B1499="","",COUNTA($B$4:$B1499))</f>
        <v/>
      </c>
      <c r="B1499" s="45" t="n"/>
      <c r="C1499" s="46" t="n"/>
      <c r="D1499" s="46" t="n"/>
      <c r="E1499" s="46" t="n"/>
      <c r="F1499" s="51" t="n"/>
      <c r="G1499" s="47" t="n"/>
      <c r="H1499" s="47" t="n"/>
      <c r="I1499" s="43">
        <f>IF($B1499="","",N($G1499)-N($H1499))</f>
        <v/>
      </c>
    </row>
    <row r="1500">
      <c r="A1500" s="39">
        <f>IF($B1500="","",COUNTA($B$4:$B1500))</f>
        <v/>
      </c>
      <c r="B1500" s="40" t="n"/>
      <c r="C1500" s="41" t="n"/>
      <c r="D1500" s="41" t="n"/>
      <c r="E1500" s="41" t="n"/>
      <c r="F1500" s="50" t="n"/>
      <c r="G1500" s="42" t="n"/>
      <c r="H1500" s="42" t="n"/>
      <c r="I1500" s="43">
        <f>IF($B1500="","",N($G1500)-N($H1500))</f>
        <v/>
      </c>
    </row>
    <row r="1501">
      <c r="A1501" s="39">
        <f>IF($B1501="","",COUNTA($B$4:$B1501))</f>
        <v/>
      </c>
      <c r="B1501" s="45" t="n"/>
      <c r="C1501" s="46" t="n"/>
      <c r="D1501" s="46" t="n"/>
      <c r="E1501" s="46" t="n"/>
      <c r="F1501" s="51" t="n"/>
      <c r="G1501" s="47" t="n"/>
      <c r="H1501" s="47" t="n"/>
      <c r="I1501" s="43">
        <f>IF($B1501="","",N($G1501)-N($H1501))</f>
        <v/>
      </c>
    </row>
    <row r="1502">
      <c r="A1502" s="39">
        <f>IF($B1502="","",COUNTA($B$4:$B1502))</f>
        <v/>
      </c>
      <c r="B1502" s="40" t="n"/>
      <c r="C1502" s="41" t="n"/>
      <c r="D1502" s="41" t="n"/>
      <c r="E1502" s="41" t="n"/>
      <c r="F1502" s="50" t="n"/>
      <c r="G1502" s="42" t="n"/>
      <c r="H1502" s="42" t="n"/>
      <c r="I1502" s="43">
        <f>IF($B1502="","",N($G1502)-N($H1502))</f>
        <v/>
      </c>
    </row>
    <row r="1503">
      <c r="A1503" s="39">
        <f>IF($B1503="","",COUNTA($B$4:$B1503))</f>
        <v/>
      </c>
      <c r="B1503" s="45" t="n"/>
      <c r="C1503" s="46" t="n"/>
      <c r="D1503" s="46" t="n"/>
      <c r="E1503" s="46" t="n"/>
      <c r="F1503" s="51" t="n"/>
      <c r="G1503" s="47" t="n"/>
      <c r="H1503" s="47" t="n"/>
      <c r="I1503" s="43">
        <f>IF($B1503="","",N($G1503)-N($H1503))</f>
        <v/>
      </c>
    </row>
    <row r="1504">
      <c r="A1504" s="39">
        <f>IF($B1504="","",COUNTA($B$4:$B1504))</f>
        <v/>
      </c>
      <c r="B1504" s="40" t="n"/>
      <c r="C1504" s="41" t="n"/>
      <c r="D1504" s="41" t="n"/>
      <c r="E1504" s="41" t="n"/>
      <c r="F1504" s="50" t="n"/>
      <c r="G1504" s="42" t="n"/>
      <c r="H1504" s="42" t="n"/>
      <c r="I1504" s="43">
        <f>IF($B1504="","",N($G1504)-N($H1504))</f>
        <v/>
      </c>
    </row>
    <row r="1505">
      <c r="A1505" s="39">
        <f>IF($B1505="","",COUNTA($B$4:$B1505))</f>
        <v/>
      </c>
      <c r="B1505" s="45" t="n"/>
      <c r="C1505" s="46" t="n"/>
      <c r="D1505" s="46" t="n"/>
      <c r="E1505" s="46" t="n"/>
      <c r="F1505" s="51" t="n"/>
      <c r="G1505" s="47" t="n"/>
      <c r="H1505" s="47" t="n"/>
      <c r="I1505" s="43">
        <f>IF($B1505="","",N($G1505)-N($H1505))</f>
        <v/>
      </c>
    </row>
    <row r="1506">
      <c r="A1506" s="39">
        <f>IF($B1506="","",COUNTA($B$4:$B1506))</f>
        <v/>
      </c>
      <c r="B1506" s="40" t="n"/>
      <c r="C1506" s="41" t="n"/>
      <c r="D1506" s="41" t="n"/>
      <c r="E1506" s="41" t="n"/>
      <c r="F1506" s="50" t="n"/>
      <c r="G1506" s="42" t="n"/>
      <c r="H1506" s="42" t="n"/>
      <c r="I1506" s="43">
        <f>IF($B1506="","",N($G1506)-N($H1506))</f>
        <v/>
      </c>
    </row>
    <row r="1507">
      <c r="A1507" s="39">
        <f>IF($B1507="","",COUNTA($B$4:$B1507))</f>
        <v/>
      </c>
      <c r="B1507" s="45" t="n"/>
      <c r="C1507" s="46" t="n"/>
      <c r="D1507" s="46" t="n"/>
      <c r="E1507" s="46" t="n"/>
      <c r="F1507" s="51" t="n"/>
      <c r="G1507" s="47" t="n"/>
      <c r="H1507" s="47" t="n"/>
      <c r="I1507" s="43">
        <f>IF($B1507="","",N($G1507)-N($H1507))</f>
        <v/>
      </c>
    </row>
    <row r="1508">
      <c r="A1508" s="39">
        <f>IF($B1508="","",COUNTA($B$4:$B1508))</f>
        <v/>
      </c>
      <c r="B1508" s="40" t="n"/>
      <c r="C1508" s="41" t="n"/>
      <c r="D1508" s="41" t="n"/>
      <c r="E1508" s="41" t="n"/>
      <c r="F1508" s="50" t="n"/>
      <c r="G1508" s="42" t="n"/>
      <c r="H1508" s="42" t="n"/>
      <c r="I1508" s="43">
        <f>IF($B1508="","",N($G1508)-N($H1508))</f>
        <v/>
      </c>
    </row>
    <row r="1509">
      <c r="A1509" s="39">
        <f>IF($B1509="","",COUNTA($B$4:$B1509))</f>
        <v/>
      </c>
      <c r="B1509" s="45" t="n"/>
      <c r="C1509" s="46" t="n"/>
      <c r="D1509" s="46" t="n"/>
      <c r="E1509" s="46" t="n"/>
      <c r="F1509" s="51" t="n"/>
      <c r="G1509" s="47" t="n"/>
      <c r="H1509" s="47" t="n"/>
      <c r="I1509" s="43">
        <f>IF($B1509="","",N($G1509)-N($H1509))</f>
        <v/>
      </c>
    </row>
    <row r="1510">
      <c r="A1510" s="39">
        <f>IF($B1510="","",COUNTA($B$4:$B1510))</f>
        <v/>
      </c>
      <c r="B1510" s="40" t="n"/>
      <c r="C1510" s="41" t="n"/>
      <c r="D1510" s="41" t="n"/>
      <c r="E1510" s="41" t="n"/>
      <c r="F1510" s="50" t="n"/>
      <c r="G1510" s="42" t="n"/>
      <c r="H1510" s="42" t="n"/>
      <c r="I1510" s="43">
        <f>IF($B1510="","",N($G1510)-N($H1510))</f>
        <v/>
      </c>
    </row>
    <row r="1511">
      <c r="A1511" s="39">
        <f>IF($B1511="","",COUNTA($B$4:$B1511))</f>
        <v/>
      </c>
      <c r="B1511" s="45" t="n"/>
      <c r="C1511" s="46" t="n"/>
      <c r="D1511" s="46" t="n"/>
      <c r="E1511" s="46" t="n"/>
      <c r="F1511" s="51" t="n"/>
      <c r="G1511" s="47" t="n"/>
      <c r="H1511" s="47" t="n"/>
      <c r="I1511" s="43">
        <f>IF($B1511="","",N($G1511)-N($H1511))</f>
        <v/>
      </c>
    </row>
    <row r="1512">
      <c r="A1512" s="39">
        <f>IF($B1512="","",COUNTA($B$4:$B1512))</f>
        <v/>
      </c>
      <c r="B1512" s="40" t="n"/>
      <c r="C1512" s="41" t="n"/>
      <c r="D1512" s="41" t="n"/>
      <c r="E1512" s="41" t="n"/>
      <c r="F1512" s="50" t="n"/>
      <c r="G1512" s="42" t="n"/>
      <c r="H1512" s="42" t="n"/>
      <c r="I1512" s="43">
        <f>IF($B1512="","",N($G1512)-N($H1512))</f>
        <v/>
      </c>
    </row>
    <row r="1513">
      <c r="A1513" s="39">
        <f>IF($B1513="","",COUNTA($B$4:$B1513))</f>
        <v/>
      </c>
      <c r="B1513" s="45" t="n"/>
      <c r="C1513" s="46" t="n"/>
      <c r="D1513" s="46" t="n"/>
      <c r="E1513" s="46" t="n"/>
      <c r="F1513" s="51" t="n"/>
      <c r="G1513" s="47" t="n"/>
      <c r="H1513" s="47" t="n"/>
      <c r="I1513" s="43">
        <f>IF($B1513="","",N($G1513)-N($H1513))</f>
        <v/>
      </c>
    </row>
    <row r="1514">
      <c r="A1514" s="39">
        <f>IF($B1514="","",COUNTA($B$4:$B1514))</f>
        <v/>
      </c>
      <c r="B1514" s="40" t="n"/>
      <c r="C1514" s="41" t="n"/>
      <c r="D1514" s="41" t="n"/>
      <c r="E1514" s="41" t="n"/>
      <c r="F1514" s="50" t="n"/>
      <c r="G1514" s="42" t="n"/>
      <c r="H1514" s="42" t="n"/>
      <c r="I1514" s="43">
        <f>IF($B1514="","",N($G1514)-N($H1514))</f>
        <v/>
      </c>
    </row>
    <row r="1515">
      <c r="A1515" s="39">
        <f>IF($B1515="","",COUNTA($B$4:$B1515))</f>
        <v/>
      </c>
      <c r="B1515" s="45" t="n"/>
      <c r="C1515" s="46" t="n"/>
      <c r="D1515" s="46" t="n"/>
      <c r="E1515" s="46" t="n"/>
      <c r="F1515" s="51" t="n"/>
      <c r="G1515" s="47" t="n"/>
      <c r="H1515" s="47" t="n"/>
      <c r="I1515" s="43">
        <f>IF($B1515="","",N($G1515)-N($H1515))</f>
        <v/>
      </c>
    </row>
    <row r="1516">
      <c r="A1516" s="39">
        <f>IF($B1516="","",COUNTA($B$4:$B1516))</f>
        <v/>
      </c>
      <c r="B1516" s="40" t="n"/>
      <c r="C1516" s="41" t="n"/>
      <c r="D1516" s="41" t="n"/>
      <c r="E1516" s="41" t="n"/>
      <c r="F1516" s="50" t="n"/>
      <c r="G1516" s="42" t="n"/>
      <c r="H1516" s="42" t="n"/>
      <c r="I1516" s="43">
        <f>IF($B1516="","",N($G1516)-N($H1516))</f>
        <v/>
      </c>
    </row>
    <row r="1517">
      <c r="A1517" s="39">
        <f>IF($B1517="","",COUNTA($B$4:$B1517))</f>
        <v/>
      </c>
      <c r="B1517" s="45" t="n"/>
      <c r="C1517" s="46" t="n"/>
      <c r="D1517" s="46" t="n"/>
      <c r="E1517" s="46" t="n"/>
      <c r="F1517" s="51" t="n"/>
      <c r="G1517" s="47" t="n"/>
      <c r="H1517" s="47" t="n"/>
      <c r="I1517" s="43">
        <f>IF($B1517="","",N($G1517)-N($H1517))</f>
        <v/>
      </c>
    </row>
    <row r="1518">
      <c r="A1518" s="39">
        <f>IF($B1518="","",COUNTA($B$4:$B1518))</f>
        <v/>
      </c>
      <c r="B1518" s="40" t="n"/>
      <c r="C1518" s="41" t="n"/>
      <c r="D1518" s="41" t="n"/>
      <c r="E1518" s="41" t="n"/>
      <c r="F1518" s="50" t="n"/>
      <c r="G1518" s="42" t="n"/>
      <c r="H1518" s="42" t="n"/>
      <c r="I1518" s="43">
        <f>IF($B1518="","",N($G1518)-N($H1518))</f>
        <v/>
      </c>
    </row>
    <row r="1519">
      <c r="A1519" s="39">
        <f>IF($B1519="","",COUNTA($B$4:$B1519))</f>
        <v/>
      </c>
      <c r="B1519" s="45" t="n"/>
      <c r="C1519" s="46" t="n"/>
      <c r="D1519" s="46" t="n"/>
      <c r="E1519" s="46" t="n"/>
      <c r="F1519" s="51" t="n"/>
      <c r="G1519" s="47" t="n"/>
      <c r="H1519" s="47" t="n"/>
      <c r="I1519" s="43">
        <f>IF($B1519="","",N($G1519)-N($H1519))</f>
        <v/>
      </c>
    </row>
    <row r="1520">
      <c r="A1520" s="39">
        <f>IF($B1520="","",COUNTA($B$4:$B1520))</f>
        <v/>
      </c>
      <c r="B1520" s="40" t="n"/>
      <c r="C1520" s="41" t="n"/>
      <c r="D1520" s="41" t="n"/>
      <c r="E1520" s="41" t="n"/>
      <c r="F1520" s="50" t="n"/>
      <c r="G1520" s="42" t="n"/>
      <c r="H1520" s="42" t="n"/>
      <c r="I1520" s="43">
        <f>IF($B1520="","",N($G1520)-N($H1520))</f>
        <v/>
      </c>
    </row>
    <row r="1521">
      <c r="A1521" s="39">
        <f>IF($B1521="","",COUNTA($B$4:$B1521))</f>
        <v/>
      </c>
      <c r="B1521" s="45" t="n"/>
      <c r="C1521" s="46" t="n"/>
      <c r="D1521" s="46" t="n"/>
      <c r="E1521" s="46" t="n"/>
      <c r="F1521" s="51" t="n"/>
      <c r="G1521" s="47" t="n"/>
      <c r="H1521" s="47" t="n"/>
      <c r="I1521" s="43">
        <f>IF($B1521="","",N($G1521)-N($H1521))</f>
        <v/>
      </c>
    </row>
    <row r="1522">
      <c r="A1522" s="39">
        <f>IF($B1522="","",COUNTA($B$4:$B1522))</f>
        <v/>
      </c>
      <c r="B1522" s="40" t="n"/>
      <c r="C1522" s="41" t="n"/>
      <c r="D1522" s="41" t="n"/>
      <c r="E1522" s="41" t="n"/>
      <c r="F1522" s="50" t="n"/>
      <c r="G1522" s="42" t="n"/>
      <c r="H1522" s="42" t="n"/>
      <c r="I1522" s="43">
        <f>IF($B1522="","",N($G1522)-N($H1522))</f>
        <v/>
      </c>
    </row>
    <row r="1523">
      <c r="A1523" s="39">
        <f>IF($B1523="","",COUNTA($B$4:$B1523))</f>
        <v/>
      </c>
      <c r="B1523" s="45" t="n"/>
      <c r="C1523" s="46" t="n"/>
      <c r="D1523" s="46" t="n"/>
      <c r="E1523" s="46" t="n"/>
      <c r="F1523" s="51" t="n"/>
      <c r="G1523" s="47" t="n"/>
      <c r="H1523" s="47" t="n"/>
      <c r="I1523" s="43">
        <f>IF($B1523="","",N($G1523)-N($H1523))</f>
        <v/>
      </c>
    </row>
    <row r="1524">
      <c r="A1524" s="39">
        <f>IF($B1524="","",COUNTA($B$4:$B1524))</f>
        <v/>
      </c>
      <c r="B1524" s="40" t="n"/>
      <c r="C1524" s="41" t="n"/>
      <c r="D1524" s="41" t="n"/>
      <c r="E1524" s="41" t="n"/>
      <c r="F1524" s="50" t="n"/>
      <c r="G1524" s="42" t="n"/>
      <c r="H1524" s="42" t="n"/>
      <c r="I1524" s="43">
        <f>IF($B1524="","",N($G1524)-N($H1524))</f>
        <v/>
      </c>
    </row>
    <row r="1525">
      <c r="A1525" s="39">
        <f>IF($B1525="","",COUNTA($B$4:$B1525))</f>
        <v/>
      </c>
      <c r="B1525" s="45" t="n"/>
      <c r="C1525" s="46" t="n"/>
      <c r="D1525" s="46" t="n"/>
      <c r="E1525" s="46" t="n"/>
      <c r="F1525" s="51" t="n"/>
      <c r="G1525" s="47" t="n"/>
      <c r="H1525" s="47" t="n"/>
      <c r="I1525" s="43">
        <f>IF($B1525="","",N($G1525)-N($H1525))</f>
        <v/>
      </c>
    </row>
    <row r="1526">
      <c r="A1526" s="39">
        <f>IF($B1526="","",COUNTA($B$4:$B1526))</f>
        <v/>
      </c>
      <c r="B1526" s="40" t="n"/>
      <c r="C1526" s="41" t="n"/>
      <c r="D1526" s="41" t="n"/>
      <c r="E1526" s="41" t="n"/>
      <c r="F1526" s="50" t="n"/>
      <c r="G1526" s="42" t="n"/>
      <c r="H1526" s="42" t="n"/>
      <c r="I1526" s="43">
        <f>IF($B1526="","",N($G1526)-N($H1526))</f>
        <v/>
      </c>
    </row>
    <row r="1527">
      <c r="A1527" s="39">
        <f>IF($B1527="","",COUNTA($B$4:$B1527))</f>
        <v/>
      </c>
      <c r="B1527" s="45" t="n"/>
      <c r="C1527" s="46" t="n"/>
      <c r="D1527" s="46" t="n"/>
      <c r="E1527" s="46" t="n"/>
      <c r="F1527" s="51" t="n"/>
      <c r="G1527" s="47" t="n"/>
      <c r="H1527" s="47" t="n"/>
      <c r="I1527" s="43">
        <f>IF($B1527="","",N($G1527)-N($H1527))</f>
        <v/>
      </c>
    </row>
    <row r="1528">
      <c r="A1528" s="39">
        <f>IF($B1528="","",COUNTA($B$4:$B1528))</f>
        <v/>
      </c>
      <c r="B1528" s="40" t="n"/>
      <c r="C1528" s="41" t="n"/>
      <c r="D1528" s="41" t="n"/>
      <c r="E1528" s="41" t="n"/>
      <c r="F1528" s="50" t="n"/>
      <c r="G1528" s="42" t="n"/>
      <c r="H1528" s="42" t="n"/>
      <c r="I1528" s="43">
        <f>IF($B1528="","",N($G1528)-N($H1528))</f>
        <v/>
      </c>
    </row>
    <row r="1529">
      <c r="A1529" s="39">
        <f>IF($B1529="","",COUNTA($B$4:$B1529))</f>
        <v/>
      </c>
      <c r="B1529" s="45" t="n"/>
      <c r="C1529" s="46" t="n"/>
      <c r="D1529" s="46" t="n"/>
      <c r="E1529" s="46" t="n"/>
      <c r="F1529" s="51" t="n"/>
      <c r="G1529" s="47" t="n"/>
      <c r="H1529" s="47" t="n"/>
      <c r="I1529" s="43">
        <f>IF($B1529="","",N($G1529)-N($H1529))</f>
        <v/>
      </c>
    </row>
    <row r="1530">
      <c r="A1530" s="39">
        <f>IF($B1530="","",COUNTA($B$4:$B1530))</f>
        <v/>
      </c>
      <c r="B1530" s="40" t="n"/>
      <c r="C1530" s="41" t="n"/>
      <c r="D1530" s="41" t="n"/>
      <c r="E1530" s="41" t="n"/>
      <c r="F1530" s="50" t="n"/>
      <c r="G1530" s="42" t="n"/>
      <c r="H1530" s="42" t="n"/>
      <c r="I1530" s="43">
        <f>IF($B1530="","",N($G1530)-N($H1530))</f>
        <v/>
      </c>
    </row>
    <row r="1531">
      <c r="A1531" s="39">
        <f>IF($B1531="","",COUNTA($B$4:$B1531))</f>
        <v/>
      </c>
      <c r="B1531" s="45" t="n"/>
      <c r="C1531" s="46" t="n"/>
      <c r="D1531" s="46" t="n"/>
      <c r="E1531" s="46" t="n"/>
      <c r="F1531" s="51" t="n"/>
      <c r="G1531" s="47" t="n"/>
      <c r="H1531" s="47" t="n"/>
      <c r="I1531" s="43">
        <f>IF($B1531="","",N($G1531)-N($H1531))</f>
        <v/>
      </c>
    </row>
    <row r="1532">
      <c r="A1532" s="39">
        <f>IF($B1532="","",COUNTA($B$4:$B1532))</f>
        <v/>
      </c>
      <c r="B1532" s="40" t="n"/>
      <c r="C1532" s="41" t="n"/>
      <c r="D1532" s="41" t="n"/>
      <c r="E1532" s="41" t="n"/>
      <c r="F1532" s="50" t="n"/>
      <c r="G1532" s="42" t="n"/>
      <c r="H1532" s="42" t="n"/>
      <c r="I1532" s="43">
        <f>IF($B1532="","",N($G1532)-N($H1532))</f>
        <v/>
      </c>
    </row>
    <row r="1533">
      <c r="A1533" s="39">
        <f>IF($B1533="","",COUNTA($B$4:$B1533))</f>
        <v/>
      </c>
      <c r="B1533" s="45" t="n"/>
      <c r="C1533" s="46" t="n"/>
      <c r="D1533" s="46" t="n"/>
      <c r="E1533" s="46" t="n"/>
      <c r="F1533" s="51" t="n"/>
      <c r="G1533" s="47" t="n"/>
      <c r="H1533" s="47" t="n"/>
      <c r="I1533" s="43">
        <f>IF($B1533="","",N($G1533)-N($H1533))</f>
        <v/>
      </c>
    </row>
    <row r="1534">
      <c r="A1534" s="39">
        <f>IF($B1534="","",COUNTA($B$4:$B1534))</f>
        <v/>
      </c>
      <c r="B1534" s="40" t="n"/>
      <c r="C1534" s="41" t="n"/>
      <c r="D1534" s="41" t="n"/>
      <c r="E1534" s="41" t="n"/>
      <c r="F1534" s="50" t="n"/>
      <c r="G1534" s="42" t="n"/>
      <c r="H1534" s="42" t="n"/>
      <c r="I1534" s="43">
        <f>IF($B1534="","",N($G1534)-N($H1534))</f>
        <v/>
      </c>
    </row>
    <row r="1535">
      <c r="A1535" s="39">
        <f>IF($B1535="","",COUNTA($B$4:$B1535))</f>
        <v/>
      </c>
      <c r="B1535" s="45" t="n"/>
      <c r="C1535" s="46" t="n"/>
      <c r="D1535" s="46" t="n"/>
      <c r="E1535" s="46" t="n"/>
      <c r="F1535" s="51" t="n"/>
      <c r="G1535" s="47" t="n"/>
      <c r="H1535" s="47" t="n"/>
      <c r="I1535" s="43">
        <f>IF($B1535="","",N($G1535)-N($H1535))</f>
        <v/>
      </c>
    </row>
    <row r="1536">
      <c r="A1536" s="39">
        <f>IF($B1536="","",COUNTA($B$4:$B1536))</f>
        <v/>
      </c>
      <c r="B1536" s="40" t="n"/>
      <c r="C1536" s="41" t="n"/>
      <c r="D1536" s="41" t="n"/>
      <c r="E1536" s="41" t="n"/>
      <c r="F1536" s="50" t="n"/>
      <c r="G1536" s="42" t="n"/>
      <c r="H1536" s="42" t="n"/>
      <c r="I1536" s="43">
        <f>IF($B1536="","",N($G1536)-N($H1536))</f>
        <v/>
      </c>
    </row>
    <row r="1537">
      <c r="A1537" s="39">
        <f>IF($B1537="","",COUNTA($B$4:$B1537))</f>
        <v/>
      </c>
      <c r="B1537" s="45" t="n"/>
      <c r="C1537" s="46" t="n"/>
      <c r="D1537" s="46" t="n"/>
      <c r="E1537" s="46" t="n"/>
      <c r="F1537" s="51" t="n"/>
      <c r="G1537" s="47" t="n"/>
      <c r="H1537" s="47" t="n"/>
      <c r="I1537" s="43">
        <f>IF($B1537="","",N($G1537)-N($H1537))</f>
        <v/>
      </c>
    </row>
    <row r="1538">
      <c r="A1538" s="39">
        <f>IF($B1538="","",COUNTA($B$4:$B1538))</f>
        <v/>
      </c>
      <c r="B1538" s="40" t="n"/>
      <c r="C1538" s="41" t="n"/>
      <c r="D1538" s="41" t="n"/>
      <c r="E1538" s="41" t="n"/>
      <c r="F1538" s="50" t="n"/>
      <c r="G1538" s="42" t="n"/>
      <c r="H1538" s="42" t="n"/>
      <c r="I1538" s="43">
        <f>IF($B1538="","",N($G1538)-N($H1538))</f>
        <v/>
      </c>
    </row>
    <row r="1539">
      <c r="A1539" s="39">
        <f>IF($B1539="","",COUNTA($B$4:$B1539))</f>
        <v/>
      </c>
      <c r="B1539" s="45" t="n"/>
      <c r="C1539" s="46" t="n"/>
      <c r="D1539" s="46" t="n"/>
      <c r="E1539" s="46" t="n"/>
      <c r="F1539" s="51" t="n"/>
      <c r="G1539" s="47" t="n"/>
      <c r="H1539" s="47" t="n"/>
      <c r="I1539" s="43">
        <f>IF($B1539="","",N($G1539)-N($H1539))</f>
        <v/>
      </c>
    </row>
    <row r="1540">
      <c r="A1540" s="39">
        <f>IF($B1540="","",COUNTA($B$4:$B1540))</f>
        <v/>
      </c>
      <c r="B1540" s="40" t="n"/>
      <c r="C1540" s="41" t="n"/>
      <c r="D1540" s="41" t="n"/>
      <c r="E1540" s="41" t="n"/>
      <c r="F1540" s="50" t="n"/>
      <c r="G1540" s="42" t="n"/>
      <c r="H1540" s="42" t="n"/>
      <c r="I1540" s="43">
        <f>IF($B1540="","",N($G1540)-N($H1540))</f>
        <v/>
      </c>
    </row>
    <row r="1541">
      <c r="A1541" s="39">
        <f>IF($B1541="","",COUNTA($B$4:$B1541))</f>
        <v/>
      </c>
      <c r="B1541" s="45" t="n"/>
      <c r="C1541" s="46" t="n"/>
      <c r="D1541" s="46" t="n"/>
      <c r="E1541" s="46" t="n"/>
      <c r="F1541" s="51" t="n"/>
      <c r="G1541" s="47" t="n"/>
      <c r="H1541" s="47" t="n"/>
      <c r="I1541" s="43">
        <f>IF($B1541="","",N($G1541)-N($H1541))</f>
        <v/>
      </c>
    </row>
    <row r="1542">
      <c r="A1542" s="39">
        <f>IF($B1542="","",COUNTA($B$4:$B1542))</f>
        <v/>
      </c>
      <c r="B1542" s="40" t="n"/>
      <c r="C1542" s="41" t="n"/>
      <c r="D1542" s="41" t="n"/>
      <c r="E1542" s="41" t="n"/>
      <c r="F1542" s="50" t="n"/>
      <c r="G1542" s="42" t="n"/>
      <c r="H1542" s="42" t="n"/>
      <c r="I1542" s="43">
        <f>IF($B1542="","",N($G1542)-N($H1542))</f>
        <v/>
      </c>
    </row>
    <row r="1543">
      <c r="A1543" s="39">
        <f>IF($B1543="","",COUNTA($B$4:$B1543))</f>
        <v/>
      </c>
      <c r="B1543" s="45" t="n"/>
      <c r="C1543" s="46" t="n"/>
      <c r="D1543" s="46" t="n"/>
      <c r="E1543" s="46" t="n"/>
      <c r="F1543" s="51" t="n"/>
      <c r="G1543" s="47" t="n"/>
      <c r="H1543" s="47" t="n"/>
      <c r="I1543" s="43">
        <f>IF($B1543="","",N($G1543)-N($H1543))</f>
        <v/>
      </c>
    </row>
    <row r="1544">
      <c r="A1544" s="39">
        <f>IF($B1544="","",COUNTA($B$4:$B1544))</f>
        <v/>
      </c>
      <c r="B1544" s="40" t="n"/>
      <c r="C1544" s="41" t="n"/>
      <c r="D1544" s="41" t="n"/>
      <c r="E1544" s="41" t="n"/>
      <c r="F1544" s="50" t="n"/>
      <c r="G1544" s="42" t="n"/>
      <c r="H1544" s="42" t="n"/>
      <c r="I1544" s="43">
        <f>IF($B1544="","",N($G1544)-N($H1544))</f>
        <v/>
      </c>
    </row>
    <row r="1545">
      <c r="A1545" s="39">
        <f>IF($B1545="","",COUNTA($B$4:$B1545))</f>
        <v/>
      </c>
      <c r="B1545" s="45" t="n"/>
      <c r="C1545" s="46" t="n"/>
      <c r="D1545" s="46" t="n"/>
      <c r="E1545" s="46" t="n"/>
      <c r="F1545" s="51" t="n"/>
      <c r="G1545" s="47" t="n"/>
      <c r="H1545" s="47" t="n"/>
      <c r="I1545" s="43">
        <f>IF($B1545="","",N($G1545)-N($H1545))</f>
        <v/>
      </c>
    </row>
    <row r="1546">
      <c r="A1546" s="39">
        <f>IF($B1546="","",COUNTA($B$4:$B1546))</f>
        <v/>
      </c>
      <c r="B1546" s="40" t="n"/>
      <c r="C1546" s="41" t="n"/>
      <c r="D1546" s="41" t="n"/>
      <c r="E1546" s="41" t="n"/>
      <c r="F1546" s="50" t="n"/>
      <c r="G1546" s="42" t="n"/>
      <c r="H1546" s="42" t="n"/>
      <c r="I1546" s="43">
        <f>IF($B1546="","",N($G1546)-N($H1546))</f>
        <v/>
      </c>
    </row>
    <row r="1547">
      <c r="A1547" s="39">
        <f>IF($B1547="","",COUNTA($B$4:$B1547))</f>
        <v/>
      </c>
      <c r="B1547" s="45" t="n"/>
      <c r="C1547" s="46" t="n"/>
      <c r="D1547" s="46" t="n"/>
      <c r="E1547" s="46" t="n"/>
      <c r="F1547" s="51" t="n"/>
      <c r="G1547" s="47" t="n"/>
      <c r="H1547" s="47" t="n"/>
      <c r="I1547" s="43">
        <f>IF($B1547="","",N($G1547)-N($H1547))</f>
        <v/>
      </c>
    </row>
    <row r="1548">
      <c r="A1548" s="39">
        <f>IF($B1548="","",COUNTA($B$4:$B1548))</f>
        <v/>
      </c>
      <c r="B1548" s="40" t="n"/>
      <c r="C1548" s="41" t="n"/>
      <c r="D1548" s="41" t="n"/>
      <c r="E1548" s="41" t="n"/>
      <c r="F1548" s="50" t="n"/>
      <c r="G1548" s="42" t="n"/>
      <c r="H1548" s="42" t="n"/>
      <c r="I1548" s="43">
        <f>IF($B1548="","",N($G1548)-N($H1548))</f>
        <v/>
      </c>
    </row>
    <row r="1549">
      <c r="A1549" s="39">
        <f>IF($B1549="","",COUNTA($B$4:$B1549))</f>
        <v/>
      </c>
      <c r="B1549" s="45" t="n"/>
      <c r="C1549" s="46" t="n"/>
      <c r="D1549" s="46" t="n"/>
      <c r="E1549" s="46" t="n"/>
      <c r="F1549" s="51" t="n"/>
      <c r="G1549" s="47" t="n"/>
      <c r="H1549" s="47" t="n"/>
      <c r="I1549" s="43">
        <f>IF($B1549="","",N($G1549)-N($H1549))</f>
        <v/>
      </c>
    </row>
    <row r="1550">
      <c r="A1550" s="39">
        <f>IF($B1550="","",COUNTA($B$4:$B1550))</f>
        <v/>
      </c>
      <c r="B1550" s="40" t="n"/>
      <c r="C1550" s="41" t="n"/>
      <c r="D1550" s="41" t="n"/>
      <c r="E1550" s="41" t="n"/>
      <c r="F1550" s="50" t="n"/>
      <c r="G1550" s="42" t="n"/>
      <c r="H1550" s="42" t="n"/>
      <c r="I1550" s="43">
        <f>IF($B1550="","",N($G1550)-N($H1550))</f>
        <v/>
      </c>
    </row>
    <row r="1551">
      <c r="A1551" s="39">
        <f>IF($B1551="","",COUNTA($B$4:$B1551))</f>
        <v/>
      </c>
      <c r="B1551" s="45" t="n"/>
      <c r="C1551" s="46" t="n"/>
      <c r="D1551" s="46" t="n"/>
      <c r="E1551" s="46" t="n"/>
      <c r="F1551" s="51" t="n"/>
      <c r="G1551" s="47" t="n"/>
      <c r="H1551" s="47" t="n"/>
      <c r="I1551" s="43">
        <f>IF($B1551="","",N($G1551)-N($H1551))</f>
        <v/>
      </c>
    </row>
    <row r="1552">
      <c r="A1552" s="39">
        <f>IF($B1552="","",COUNTA($B$4:$B1552))</f>
        <v/>
      </c>
      <c r="B1552" s="40" t="n"/>
      <c r="C1552" s="41" t="n"/>
      <c r="D1552" s="41" t="n"/>
      <c r="E1552" s="41" t="n"/>
      <c r="F1552" s="50" t="n"/>
      <c r="G1552" s="42" t="n"/>
      <c r="H1552" s="42" t="n"/>
      <c r="I1552" s="43">
        <f>IF($B1552="","",N($G1552)-N($H1552))</f>
        <v/>
      </c>
    </row>
    <row r="1553">
      <c r="A1553" s="39">
        <f>IF($B1553="","",COUNTA($B$4:$B1553))</f>
        <v/>
      </c>
      <c r="B1553" s="45" t="n"/>
      <c r="C1553" s="46" t="n"/>
      <c r="D1553" s="46" t="n"/>
      <c r="E1553" s="46" t="n"/>
      <c r="F1553" s="51" t="n"/>
      <c r="G1553" s="47" t="n"/>
      <c r="H1553" s="47" t="n"/>
      <c r="I1553" s="43">
        <f>IF($B1553="","",N($G1553)-N($H1553))</f>
        <v/>
      </c>
    </row>
    <row r="1554">
      <c r="A1554" s="39">
        <f>IF($B1554="","",COUNTA($B$4:$B1554))</f>
        <v/>
      </c>
      <c r="B1554" s="40" t="n"/>
      <c r="C1554" s="41" t="n"/>
      <c r="D1554" s="41" t="n"/>
      <c r="E1554" s="41" t="n"/>
      <c r="F1554" s="50" t="n"/>
      <c r="G1554" s="42" t="n"/>
      <c r="H1554" s="42" t="n"/>
      <c r="I1554" s="43">
        <f>IF($B1554="","",N($G1554)-N($H1554))</f>
        <v/>
      </c>
    </row>
    <row r="1555">
      <c r="A1555" s="39">
        <f>IF($B1555="","",COUNTA($B$4:$B1555))</f>
        <v/>
      </c>
      <c r="B1555" s="45" t="n"/>
      <c r="C1555" s="46" t="n"/>
      <c r="D1555" s="46" t="n"/>
      <c r="E1555" s="46" t="n"/>
      <c r="F1555" s="51" t="n"/>
      <c r="G1555" s="47" t="n"/>
      <c r="H1555" s="47" t="n"/>
      <c r="I1555" s="43">
        <f>IF($B1555="","",N($G1555)-N($H1555))</f>
        <v/>
      </c>
    </row>
    <row r="1556">
      <c r="A1556" s="39">
        <f>IF($B1556="","",COUNTA($B$4:$B1556))</f>
        <v/>
      </c>
      <c r="B1556" s="40" t="n"/>
      <c r="C1556" s="41" t="n"/>
      <c r="D1556" s="41" t="n"/>
      <c r="E1556" s="41" t="n"/>
      <c r="F1556" s="50" t="n"/>
      <c r="G1556" s="42" t="n"/>
      <c r="H1556" s="42" t="n"/>
      <c r="I1556" s="43">
        <f>IF($B1556="","",N($G1556)-N($H1556))</f>
        <v/>
      </c>
    </row>
    <row r="1557">
      <c r="A1557" s="39">
        <f>IF($B1557="","",COUNTA($B$4:$B1557))</f>
        <v/>
      </c>
      <c r="B1557" s="45" t="n"/>
      <c r="C1557" s="46" t="n"/>
      <c r="D1557" s="46" t="n"/>
      <c r="E1557" s="46" t="n"/>
      <c r="F1557" s="51" t="n"/>
      <c r="G1557" s="47" t="n"/>
      <c r="H1557" s="47" t="n"/>
      <c r="I1557" s="43">
        <f>IF($B1557="","",N($G1557)-N($H1557))</f>
        <v/>
      </c>
    </row>
    <row r="1558">
      <c r="A1558" s="39">
        <f>IF($B1558="","",COUNTA($B$4:$B1558))</f>
        <v/>
      </c>
      <c r="B1558" s="40" t="n"/>
      <c r="C1558" s="41" t="n"/>
      <c r="D1558" s="41" t="n"/>
      <c r="E1558" s="41" t="n"/>
      <c r="F1558" s="50" t="n"/>
      <c r="G1558" s="42" t="n"/>
      <c r="H1558" s="42" t="n"/>
      <c r="I1558" s="43">
        <f>IF($B1558="","",N($G1558)-N($H1558))</f>
        <v/>
      </c>
    </row>
    <row r="1559">
      <c r="A1559" s="39">
        <f>IF($B1559="","",COUNTA($B$4:$B1559))</f>
        <v/>
      </c>
      <c r="B1559" s="45" t="n"/>
      <c r="C1559" s="46" t="n"/>
      <c r="D1559" s="46" t="n"/>
      <c r="E1559" s="46" t="n"/>
      <c r="F1559" s="51" t="n"/>
      <c r="G1559" s="47" t="n"/>
      <c r="H1559" s="47" t="n"/>
      <c r="I1559" s="43">
        <f>IF($B1559="","",N($G1559)-N($H1559))</f>
        <v/>
      </c>
    </row>
    <row r="1560">
      <c r="A1560" s="39">
        <f>IF($B1560="","",COUNTA($B$4:$B1560))</f>
        <v/>
      </c>
      <c r="B1560" s="40" t="n"/>
      <c r="C1560" s="41" t="n"/>
      <c r="D1560" s="41" t="n"/>
      <c r="E1560" s="41" t="n"/>
      <c r="F1560" s="50" t="n"/>
      <c r="G1560" s="42" t="n"/>
      <c r="H1560" s="42" t="n"/>
      <c r="I1560" s="43">
        <f>IF($B1560="","",N($G1560)-N($H1560))</f>
        <v/>
      </c>
    </row>
    <row r="1561">
      <c r="A1561" s="39">
        <f>IF($B1561="","",COUNTA($B$4:$B1561))</f>
        <v/>
      </c>
      <c r="B1561" s="45" t="n"/>
      <c r="C1561" s="46" t="n"/>
      <c r="D1561" s="46" t="n"/>
      <c r="E1561" s="46" t="n"/>
      <c r="F1561" s="51" t="n"/>
      <c r="G1561" s="47" t="n"/>
      <c r="H1561" s="47" t="n"/>
      <c r="I1561" s="43">
        <f>IF($B1561="","",N($G1561)-N($H1561))</f>
        <v/>
      </c>
    </row>
    <row r="1562">
      <c r="A1562" s="39">
        <f>IF($B1562="","",COUNTA($B$4:$B1562))</f>
        <v/>
      </c>
      <c r="B1562" s="40" t="n"/>
      <c r="C1562" s="41" t="n"/>
      <c r="D1562" s="41" t="n"/>
      <c r="E1562" s="41" t="n"/>
      <c r="F1562" s="50" t="n"/>
      <c r="G1562" s="42" t="n"/>
      <c r="H1562" s="42" t="n"/>
      <c r="I1562" s="43">
        <f>IF($B1562="","",N($G1562)-N($H1562))</f>
        <v/>
      </c>
    </row>
    <row r="1563">
      <c r="A1563" s="39">
        <f>IF($B1563="","",COUNTA($B$4:$B1563))</f>
        <v/>
      </c>
      <c r="B1563" s="45" t="n"/>
      <c r="C1563" s="46" t="n"/>
      <c r="D1563" s="46" t="n"/>
      <c r="E1563" s="46" t="n"/>
      <c r="F1563" s="51" t="n"/>
      <c r="G1563" s="47" t="n"/>
      <c r="H1563" s="47" t="n"/>
      <c r="I1563" s="43">
        <f>IF($B1563="","",N($G1563)-N($H1563))</f>
        <v/>
      </c>
    </row>
    <row r="1564">
      <c r="A1564" s="39">
        <f>IF($B1564="","",COUNTA($B$4:$B1564))</f>
        <v/>
      </c>
      <c r="B1564" s="40" t="n"/>
      <c r="C1564" s="41" t="n"/>
      <c r="D1564" s="41" t="n"/>
      <c r="E1564" s="41" t="n"/>
      <c r="F1564" s="50" t="n"/>
      <c r="G1564" s="42" t="n"/>
      <c r="H1564" s="42" t="n"/>
      <c r="I1564" s="43">
        <f>IF($B1564="","",N($G1564)-N($H1564))</f>
        <v/>
      </c>
    </row>
    <row r="1565">
      <c r="A1565" s="39">
        <f>IF($B1565="","",COUNTA($B$4:$B1565))</f>
        <v/>
      </c>
      <c r="B1565" s="45" t="n"/>
      <c r="C1565" s="46" t="n"/>
      <c r="D1565" s="46" t="n"/>
      <c r="E1565" s="46" t="n"/>
      <c r="F1565" s="51" t="n"/>
      <c r="G1565" s="47" t="n"/>
      <c r="H1565" s="47" t="n"/>
      <c r="I1565" s="43">
        <f>IF($B1565="","",N($G1565)-N($H1565))</f>
        <v/>
      </c>
    </row>
    <row r="1566">
      <c r="A1566" s="39">
        <f>IF($B1566="","",COUNTA($B$4:$B1566))</f>
        <v/>
      </c>
      <c r="B1566" s="40" t="n"/>
      <c r="C1566" s="41" t="n"/>
      <c r="D1566" s="41" t="n"/>
      <c r="E1566" s="41" t="n"/>
      <c r="F1566" s="50" t="n"/>
      <c r="G1566" s="42" t="n"/>
      <c r="H1566" s="42" t="n"/>
      <c r="I1566" s="43">
        <f>IF($B1566="","",N($G1566)-N($H1566))</f>
        <v/>
      </c>
    </row>
    <row r="1567">
      <c r="A1567" s="39">
        <f>IF($B1567="","",COUNTA($B$4:$B1567))</f>
        <v/>
      </c>
      <c r="B1567" s="45" t="n"/>
      <c r="C1567" s="46" t="n"/>
      <c r="D1567" s="46" t="n"/>
      <c r="E1567" s="46" t="n"/>
      <c r="F1567" s="51" t="n"/>
      <c r="G1567" s="47" t="n"/>
      <c r="H1567" s="47" t="n"/>
      <c r="I1567" s="43">
        <f>IF($B1567="","",N($G1567)-N($H1567))</f>
        <v/>
      </c>
    </row>
    <row r="1568">
      <c r="A1568" s="39">
        <f>IF($B1568="","",COUNTA($B$4:$B1568))</f>
        <v/>
      </c>
      <c r="B1568" s="40" t="n"/>
      <c r="C1568" s="41" t="n"/>
      <c r="D1568" s="41" t="n"/>
      <c r="E1568" s="41" t="n"/>
      <c r="F1568" s="50" t="n"/>
      <c r="G1568" s="42" t="n"/>
      <c r="H1568" s="42" t="n"/>
      <c r="I1568" s="43">
        <f>IF($B1568="","",N($G1568)-N($H1568))</f>
        <v/>
      </c>
    </row>
    <row r="1569">
      <c r="A1569" s="39">
        <f>IF($B1569="","",COUNTA($B$4:$B1569))</f>
        <v/>
      </c>
      <c r="B1569" s="45" t="n"/>
      <c r="C1569" s="46" t="n"/>
      <c r="D1569" s="46" t="n"/>
      <c r="E1569" s="46" t="n"/>
      <c r="F1569" s="51" t="n"/>
      <c r="G1569" s="47" t="n"/>
      <c r="H1569" s="47" t="n"/>
      <c r="I1569" s="43">
        <f>IF($B1569="","",N($G1569)-N($H1569))</f>
        <v/>
      </c>
    </row>
    <row r="1570">
      <c r="A1570" s="39">
        <f>IF($B1570="","",COUNTA($B$4:$B1570))</f>
        <v/>
      </c>
      <c r="B1570" s="40" t="n"/>
      <c r="C1570" s="41" t="n"/>
      <c r="D1570" s="41" t="n"/>
      <c r="E1570" s="41" t="n"/>
      <c r="F1570" s="50" t="n"/>
      <c r="G1570" s="42" t="n"/>
      <c r="H1570" s="42" t="n"/>
      <c r="I1570" s="43">
        <f>IF($B1570="","",N($G1570)-N($H1570))</f>
        <v/>
      </c>
    </row>
    <row r="1571">
      <c r="A1571" s="39">
        <f>IF($B1571="","",COUNTA($B$4:$B1571))</f>
        <v/>
      </c>
      <c r="B1571" s="45" t="n"/>
      <c r="C1571" s="46" t="n"/>
      <c r="D1571" s="46" t="n"/>
      <c r="E1571" s="46" t="n"/>
      <c r="F1571" s="51" t="n"/>
      <c r="G1571" s="47" t="n"/>
      <c r="H1571" s="47" t="n"/>
      <c r="I1571" s="43">
        <f>IF($B1571="","",N($G1571)-N($H1571))</f>
        <v/>
      </c>
    </row>
    <row r="1572">
      <c r="A1572" s="39">
        <f>IF($B1572="","",COUNTA($B$4:$B1572))</f>
        <v/>
      </c>
      <c r="B1572" s="40" t="n"/>
      <c r="C1572" s="41" t="n"/>
      <c r="D1572" s="41" t="n"/>
      <c r="E1572" s="41" t="n"/>
      <c r="F1572" s="50" t="n"/>
      <c r="G1572" s="42" t="n"/>
      <c r="H1572" s="42" t="n"/>
      <c r="I1572" s="43">
        <f>IF($B1572="","",N($G1572)-N($H1572))</f>
        <v/>
      </c>
    </row>
    <row r="1573">
      <c r="A1573" s="39">
        <f>IF($B1573="","",COUNTA($B$4:$B1573))</f>
        <v/>
      </c>
      <c r="B1573" s="45" t="n"/>
      <c r="C1573" s="46" t="n"/>
      <c r="D1573" s="46" t="n"/>
      <c r="E1573" s="46" t="n"/>
      <c r="F1573" s="51" t="n"/>
      <c r="G1573" s="47" t="n"/>
      <c r="H1573" s="47" t="n"/>
      <c r="I1573" s="43">
        <f>IF($B1573="","",N($G1573)-N($H1573))</f>
        <v/>
      </c>
    </row>
    <row r="1574">
      <c r="A1574" s="39">
        <f>IF($B1574="","",COUNTA($B$4:$B1574))</f>
        <v/>
      </c>
      <c r="B1574" s="40" t="n"/>
      <c r="C1574" s="41" t="n"/>
      <c r="D1574" s="41" t="n"/>
      <c r="E1574" s="41" t="n"/>
      <c r="F1574" s="50" t="n"/>
      <c r="G1574" s="42" t="n"/>
      <c r="H1574" s="42" t="n"/>
      <c r="I1574" s="43">
        <f>IF($B1574="","",N($G1574)-N($H1574))</f>
        <v/>
      </c>
    </row>
    <row r="1575">
      <c r="A1575" s="39">
        <f>IF($B1575="","",COUNTA($B$4:$B1575))</f>
        <v/>
      </c>
      <c r="B1575" s="45" t="n"/>
      <c r="C1575" s="46" t="n"/>
      <c r="D1575" s="46" t="n"/>
      <c r="E1575" s="46" t="n"/>
      <c r="F1575" s="51" t="n"/>
      <c r="G1575" s="47" t="n"/>
      <c r="H1575" s="47" t="n"/>
      <c r="I1575" s="43">
        <f>IF($B1575="","",N($G1575)-N($H1575))</f>
        <v/>
      </c>
    </row>
    <row r="1576">
      <c r="A1576" s="39">
        <f>IF($B1576="","",COUNTA($B$4:$B1576))</f>
        <v/>
      </c>
      <c r="B1576" s="40" t="n"/>
      <c r="C1576" s="41" t="n"/>
      <c r="D1576" s="41" t="n"/>
      <c r="E1576" s="41" t="n"/>
      <c r="F1576" s="50" t="n"/>
      <c r="G1576" s="42" t="n"/>
      <c r="H1576" s="42" t="n"/>
      <c r="I1576" s="43">
        <f>IF($B1576="","",N($G1576)-N($H1576))</f>
        <v/>
      </c>
    </row>
    <row r="1577">
      <c r="A1577" s="39">
        <f>IF($B1577="","",COUNTA($B$4:$B1577))</f>
        <v/>
      </c>
      <c r="B1577" s="45" t="n"/>
      <c r="C1577" s="46" t="n"/>
      <c r="D1577" s="46" t="n"/>
      <c r="E1577" s="46" t="n"/>
      <c r="F1577" s="51" t="n"/>
      <c r="G1577" s="47" t="n"/>
      <c r="H1577" s="47" t="n"/>
      <c r="I1577" s="43">
        <f>IF($B1577="","",N($G1577)-N($H1577))</f>
        <v/>
      </c>
    </row>
    <row r="1578">
      <c r="A1578" s="39">
        <f>IF($B1578="","",COUNTA($B$4:$B1578))</f>
        <v/>
      </c>
      <c r="B1578" s="40" t="n"/>
      <c r="C1578" s="41" t="n"/>
      <c r="D1578" s="41" t="n"/>
      <c r="E1578" s="41" t="n"/>
      <c r="F1578" s="50" t="n"/>
      <c r="G1578" s="42" t="n"/>
      <c r="H1578" s="42" t="n"/>
      <c r="I1578" s="43">
        <f>IF($B1578="","",N($G1578)-N($H1578))</f>
        <v/>
      </c>
    </row>
    <row r="1579">
      <c r="A1579" s="39">
        <f>IF($B1579="","",COUNTA($B$4:$B1579))</f>
        <v/>
      </c>
      <c r="B1579" s="45" t="n"/>
      <c r="C1579" s="46" t="n"/>
      <c r="D1579" s="46" t="n"/>
      <c r="E1579" s="46" t="n"/>
      <c r="F1579" s="51" t="n"/>
      <c r="G1579" s="47" t="n"/>
      <c r="H1579" s="47" t="n"/>
      <c r="I1579" s="43">
        <f>IF($B1579="","",N($G1579)-N($H1579))</f>
        <v/>
      </c>
    </row>
    <row r="1580">
      <c r="A1580" s="39">
        <f>IF($B1580="","",COUNTA($B$4:$B1580))</f>
        <v/>
      </c>
      <c r="B1580" s="40" t="n"/>
      <c r="C1580" s="41" t="n"/>
      <c r="D1580" s="41" t="n"/>
      <c r="E1580" s="41" t="n"/>
      <c r="F1580" s="50" t="n"/>
      <c r="G1580" s="42" t="n"/>
      <c r="H1580" s="42" t="n"/>
      <c r="I1580" s="43">
        <f>IF($B1580="","",N($G1580)-N($H1580))</f>
        <v/>
      </c>
    </row>
    <row r="1581">
      <c r="A1581" s="39">
        <f>IF($B1581="","",COUNTA($B$4:$B1581))</f>
        <v/>
      </c>
      <c r="B1581" s="45" t="n"/>
      <c r="C1581" s="46" t="n"/>
      <c r="D1581" s="46" t="n"/>
      <c r="E1581" s="46" t="n"/>
      <c r="F1581" s="51" t="n"/>
      <c r="G1581" s="47" t="n"/>
      <c r="H1581" s="47" t="n"/>
      <c r="I1581" s="43">
        <f>IF($B1581="","",N($G1581)-N($H1581))</f>
        <v/>
      </c>
    </row>
    <row r="1582">
      <c r="A1582" s="39">
        <f>IF($B1582="","",COUNTA($B$4:$B1582))</f>
        <v/>
      </c>
      <c r="B1582" s="40" t="n"/>
      <c r="C1582" s="41" t="n"/>
      <c r="D1582" s="41" t="n"/>
      <c r="E1582" s="41" t="n"/>
      <c r="F1582" s="50" t="n"/>
      <c r="G1582" s="42" t="n"/>
      <c r="H1582" s="42" t="n"/>
      <c r="I1582" s="43">
        <f>IF($B1582="","",N($G1582)-N($H1582))</f>
        <v/>
      </c>
    </row>
    <row r="1583">
      <c r="A1583" s="39">
        <f>IF($B1583="","",COUNTA($B$4:$B1583))</f>
        <v/>
      </c>
      <c r="B1583" s="45" t="n"/>
      <c r="C1583" s="46" t="n"/>
      <c r="D1583" s="46" t="n"/>
      <c r="E1583" s="46" t="n"/>
      <c r="F1583" s="51" t="n"/>
      <c r="G1583" s="47" t="n"/>
      <c r="H1583" s="47" t="n"/>
      <c r="I1583" s="43">
        <f>IF($B1583="","",N($G1583)-N($H1583))</f>
        <v/>
      </c>
    </row>
    <row r="1584">
      <c r="A1584" s="39">
        <f>IF($B1584="","",COUNTA($B$4:$B1584))</f>
        <v/>
      </c>
      <c r="B1584" s="40" t="n"/>
      <c r="C1584" s="41" t="n"/>
      <c r="D1584" s="41" t="n"/>
      <c r="E1584" s="41" t="n"/>
      <c r="F1584" s="50" t="n"/>
      <c r="G1584" s="42" t="n"/>
      <c r="H1584" s="42" t="n"/>
      <c r="I1584" s="43">
        <f>IF($B1584="","",N($G1584)-N($H1584))</f>
        <v/>
      </c>
    </row>
    <row r="1585">
      <c r="A1585" s="39">
        <f>IF($B1585="","",COUNTA($B$4:$B1585))</f>
        <v/>
      </c>
      <c r="B1585" s="45" t="n"/>
      <c r="C1585" s="46" t="n"/>
      <c r="D1585" s="46" t="n"/>
      <c r="E1585" s="46" t="n"/>
      <c r="F1585" s="51" t="n"/>
      <c r="G1585" s="47" t="n"/>
      <c r="H1585" s="47" t="n"/>
      <c r="I1585" s="43">
        <f>IF($B1585="","",N($G1585)-N($H1585))</f>
        <v/>
      </c>
    </row>
    <row r="1586">
      <c r="A1586" s="39">
        <f>IF($B1586="","",COUNTA($B$4:$B1586))</f>
        <v/>
      </c>
      <c r="B1586" s="40" t="n"/>
      <c r="C1586" s="41" t="n"/>
      <c r="D1586" s="41" t="n"/>
      <c r="E1586" s="41" t="n"/>
      <c r="F1586" s="50" t="n"/>
      <c r="G1586" s="42" t="n"/>
      <c r="H1586" s="42" t="n"/>
      <c r="I1586" s="43">
        <f>IF($B1586="","",N($G1586)-N($H1586))</f>
        <v/>
      </c>
    </row>
    <row r="1587">
      <c r="A1587" s="39">
        <f>IF($B1587="","",COUNTA($B$4:$B1587))</f>
        <v/>
      </c>
      <c r="B1587" s="45" t="n"/>
      <c r="C1587" s="46" t="n"/>
      <c r="D1587" s="46" t="n"/>
      <c r="E1587" s="46" t="n"/>
      <c r="F1587" s="51" t="n"/>
      <c r="G1587" s="47" t="n"/>
      <c r="H1587" s="47" t="n"/>
      <c r="I1587" s="43">
        <f>IF($B1587="","",N($G1587)-N($H1587))</f>
        <v/>
      </c>
    </row>
    <row r="1588">
      <c r="A1588" s="39">
        <f>IF($B1588="","",COUNTA($B$4:$B1588))</f>
        <v/>
      </c>
      <c r="B1588" s="40" t="n"/>
      <c r="C1588" s="41" t="n"/>
      <c r="D1588" s="41" t="n"/>
      <c r="E1588" s="41" t="n"/>
      <c r="F1588" s="50" t="n"/>
      <c r="G1588" s="42" t="n"/>
      <c r="H1588" s="42" t="n"/>
      <c r="I1588" s="43">
        <f>IF($B1588="","",N($G1588)-N($H1588))</f>
        <v/>
      </c>
    </row>
    <row r="1589">
      <c r="A1589" s="39">
        <f>IF($B1589="","",COUNTA($B$4:$B1589))</f>
        <v/>
      </c>
      <c r="B1589" s="45" t="n"/>
      <c r="C1589" s="46" t="n"/>
      <c r="D1589" s="46" t="n"/>
      <c r="E1589" s="46" t="n"/>
      <c r="F1589" s="51" t="n"/>
      <c r="G1589" s="47" t="n"/>
      <c r="H1589" s="47" t="n"/>
      <c r="I1589" s="43">
        <f>IF($B1589="","",N($G1589)-N($H1589))</f>
        <v/>
      </c>
    </row>
    <row r="1590">
      <c r="A1590" s="39">
        <f>IF($B1590="","",COUNTA($B$4:$B1590))</f>
        <v/>
      </c>
      <c r="B1590" s="40" t="n"/>
      <c r="C1590" s="41" t="n"/>
      <c r="D1590" s="41" t="n"/>
      <c r="E1590" s="41" t="n"/>
      <c r="F1590" s="50" t="n"/>
      <c r="G1590" s="42" t="n"/>
      <c r="H1590" s="42" t="n"/>
      <c r="I1590" s="43">
        <f>IF($B1590="","",N($G1590)-N($H1590))</f>
        <v/>
      </c>
    </row>
    <row r="1591">
      <c r="A1591" s="39">
        <f>IF($B1591="","",COUNTA($B$4:$B1591))</f>
        <v/>
      </c>
      <c r="B1591" s="45" t="n"/>
      <c r="C1591" s="46" t="n"/>
      <c r="D1591" s="46" t="n"/>
      <c r="E1591" s="46" t="n"/>
      <c r="F1591" s="51" t="n"/>
      <c r="G1591" s="47" t="n"/>
      <c r="H1591" s="47" t="n"/>
      <c r="I1591" s="43">
        <f>IF($B1591="","",N($G1591)-N($H1591))</f>
        <v/>
      </c>
    </row>
    <row r="1592">
      <c r="A1592" s="39">
        <f>IF($B1592="","",COUNTA($B$4:$B1592))</f>
        <v/>
      </c>
      <c r="B1592" s="40" t="n"/>
      <c r="C1592" s="41" t="n"/>
      <c r="D1592" s="41" t="n"/>
      <c r="E1592" s="41" t="n"/>
      <c r="F1592" s="50" t="n"/>
      <c r="G1592" s="42" t="n"/>
      <c r="H1592" s="42" t="n"/>
      <c r="I1592" s="43">
        <f>IF($B1592="","",N($G1592)-N($H1592))</f>
        <v/>
      </c>
    </row>
    <row r="1593">
      <c r="A1593" s="39">
        <f>IF($B1593="","",COUNTA($B$4:$B1593))</f>
        <v/>
      </c>
      <c r="B1593" s="45" t="n"/>
      <c r="C1593" s="46" t="n"/>
      <c r="D1593" s="46" t="n"/>
      <c r="E1593" s="46" t="n"/>
      <c r="F1593" s="51" t="n"/>
      <c r="G1593" s="47" t="n"/>
      <c r="H1593" s="47" t="n"/>
      <c r="I1593" s="43">
        <f>IF($B1593="","",N($G1593)-N($H1593))</f>
        <v/>
      </c>
    </row>
    <row r="1594">
      <c r="A1594" s="39">
        <f>IF($B1594="","",COUNTA($B$4:$B1594))</f>
        <v/>
      </c>
      <c r="B1594" s="40" t="n"/>
      <c r="C1594" s="41" t="n"/>
      <c r="D1594" s="41" t="n"/>
      <c r="E1594" s="41" t="n"/>
      <c r="F1594" s="50" t="n"/>
      <c r="G1594" s="42" t="n"/>
      <c r="H1594" s="42" t="n"/>
      <c r="I1594" s="43">
        <f>IF($B1594="","",N($G1594)-N($H1594))</f>
        <v/>
      </c>
    </row>
    <row r="1595">
      <c r="A1595" s="39">
        <f>IF($B1595="","",COUNTA($B$4:$B1595))</f>
        <v/>
      </c>
      <c r="B1595" s="45" t="n"/>
      <c r="C1595" s="46" t="n"/>
      <c r="D1595" s="46" t="n"/>
      <c r="E1595" s="46" t="n"/>
      <c r="F1595" s="51" t="n"/>
      <c r="G1595" s="47" t="n"/>
      <c r="H1595" s="47" t="n"/>
      <c r="I1595" s="43">
        <f>IF($B1595="","",N($G1595)-N($H1595))</f>
        <v/>
      </c>
    </row>
    <row r="1596">
      <c r="A1596" s="39">
        <f>IF($B1596="","",COUNTA($B$4:$B1596))</f>
        <v/>
      </c>
      <c r="B1596" s="40" t="n"/>
      <c r="C1596" s="41" t="n"/>
      <c r="D1596" s="41" t="n"/>
      <c r="E1596" s="41" t="n"/>
      <c r="F1596" s="50" t="n"/>
      <c r="G1596" s="42" t="n"/>
      <c r="H1596" s="42" t="n"/>
      <c r="I1596" s="43">
        <f>IF($B1596="","",N($G1596)-N($H1596))</f>
        <v/>
      </c>
    </row>
    <row r="1597">
      <c r="A1597" s="39">
        <f>IF($B1597="","",COUNTA($B$4:$B1597))</f>
        <v/>
      </c>
      <c r="B1597" s="45" t="n"/>
      <c r="C1597" s="46" t="n"/>
      <c r="D1597" s="46" t="n"/>
      <c r="E1597" s="46" t="n"/>
      <c r="F1597" s="51" t="n"/>
      <c r="G1597" s="47" t="n"/>
      <c r="H1597" s="47" t="n"/>
      <c r="I1597" s="43">
        <f>IF($B1597="","",N($G1597)-N($H1597))</f>
        <v/>
      </c>
    </row>
    <row r="1598">
      <c r="A1598" s="39">
        <f>IF($B1598="","",COUNTA($B$4:$B1598))</f>
        <v/>
      </c>
      <c r="B1598" s="40" t="n"/>
      <c r="C1598" s="41" t="n"/>
      <c r="D1598" s="41" t="n"/>
      <c r="E1598" s="41" t="n"/>
      <c r="F1598" s="50" t="n"/>
      <c r="G1598" s="42" t="n"/>
      <c r="H1598" s="42" t="n"/>
      <c r="I1598" s="43">
        <f>IF($B1598="","",N($G1598)-N($H1598))</f>
        <v/>
      </c>
    </row>
    <row r="1599">
      <c r="A1599" s="39">
        <f>IF($B1599="","",COUNTA($B$4:$B1599))</f>
        <v/>
      </c>
      <c r="B1599" s="45" t="n"/>
      <c r="C1599" s="46" t="n"/>
      <c r="D1599" s="46" t="n"/>
      <c r="E1599" s="46" t="n"/>
      <c r="F1599" s="51" t="n"/>
      <c r="G1599" s="47" t="n"/>
      <c r="H1599" s="47" t="n"/>
      <c r="I1599" s="43">
        <f>IF($B1599="","",N($G1599)-N($H1599))</f>
        <v/>
      </c>
    </row>
    <row r="1600">
      <c r="A1600" s="39">
        <f>IF($B1600="","",COUNTA($B$4:$B1600))</f>
        <v/>
      </c>
      <c r="B1600" s="40" t="n"/>
      <c r="C1600" s="41" t="n"/>
      <c r="D1600" s="41" t="n"/>
      <c r="E1600" s="41" t="n"/>
      <c r="F1600" s="50" t="n"/>
      <c r="G1600" s="42" t="n"/>
      <c r="H1600" s="42" t="n"/>
      <c r="I1600" s="43">
        <f>IF($B1600="","",N($G1600)-N($H1600))</f>
        <v/>
      </c>
    </row>
    <row r="1601">
      <c r="A1601" s="39">
        <f>IF($B1601="","",COUNTA($B$4:$B1601))</f>
        <v/>
      </c>
      <c r="B1601" s="45" t="n"/>
      <c r="C1601" s="46" t="n"/>
      <c r="D1601" s="46" t="n"/>
      <c r="E1601" s="46" t="n"/>
      <c r="F1601" s="51" t="n"/>
      <c r="G1601" s="47" t="n"/>
      <c r="H1601" s="47" t="n"/>
      <c r="I1601" s="43">
        <f>IF($B1601="","",N($G1601)-N($H1601))</f>
        <v/>
      </c>
    </row>
    <row r="1602">
      <c r="A1602" s="39">
        <f>IF($B1602="","",COUNTA($B$4:$B1602))</f>
        <v/>
      </c>
      <c r="B1602" s="40" t="n"/>
      <c r="C1602" s="41" t="n"/>
      <c r="D1602" s="41" t="n"/>
      <c r="E1602" s="41" t="n"/>
      <c r="F1602" s="50" t="n"/>
      <c r="G1602" s="42" t="n"/>
      <c r="H1602" s="42" t="n"/>
      <c r="I1602" s="43">
        <f>IF($B1602="","",N($G1602)-N($H1602))</f>
        <v/>
      </c>
    </row>
    <row r="1603">
      <c r="A1603" s="39">
        <f>IF($B1603="","",COUNTA($B$4:$B1603))</f>
        <v/>
      </c>
      <c r="B1603" s="45" t="n"/>
      <c r="C1603" s="46" t="n"/>
      <c r="D1603" s="46" t="n"/>
      <c r="E1603" s="46" t="n"/>
      <c r="F1603" s="51" t="n"/>
      <c r="G1603" s="47" t="n"/>
      <c r="H1603" s="47" t="n"/>
      <c r="I1603" s="43">
        <f>IF($B1603="","",N($G1603)-N($H1603))</f>
        <v/>
      </c>
    </row>
    <row r="1604">
      <c r="A1604" s="39">
        <f>IF($B1604="","",COUNTA($B$4:$B1604))</f>
        <v/>
      </c>
      <c r="B1604" s="40" t="n"/>
      <c r="C1604" s="41" t="n"/>
      <c r="D1604" s="41" t="n"/>
      <c r="E1604" s="41" t="n"/>
      <c r="F1604" s="50" t="n"/>
      <c r="G1604" s="42" t="n"/>
      <c r="H1604" s="42" t="n"/>
      <c r="I1604" s="43">
        <f>IF($B1604="","",N($G1604)-N($H1604))</f>
        <v/>
      </c>
    </row>
    <row r="1605">
      <c r="A1605" s="39">
        <f>IF($B1605="","",COUNTA($B$4:$B1605))</f>
        <v/>
      </c>
      <c r="B1605" s="45" t="n"/>
      <c r="C1605" s="46" t="n"/>
      <c r="D1605" s="46" t="n"/>
      <c r="E1605" s="46" t="n"/>
      <c r="F1605" s="51" t="n"/>
      <c r="G1605" s="47" t="n"/>
      <c r="H1605" s="47" t="n"/>
      <c r="I1605" s="43">
        <f>IF($B1605="","",N($G1605)-N($H1605))</f>
        <v/>
      </c>
    </row>
    <row r="1606">
      <c r="A1606" s="39">
        <f>IF($B1606="","",COUNTA($B$4:$B1606))</f>
        <v/>
      </c>
      <c r="B1606" s="40" t="n"/>
      <c r="C1606" s="41" t="n"/>
      <c r="D1606" s="41" t="n"/>
      <c r="E1606" s="41" t="n"/>
      <c r="F1606" s="50" t="n"/>
      <c r="G1606" s="42" t="n"/>
      <c r="H1606" s="42" t="n"/>
      <c r="I1606" s="43">
        <f>IF($B1606="","",N($G1606)-N($H1606))</f>
        <v/>
      </c>
    </row>
    <row r="1607">
      <c r="A1607" s="39">
        <f>IF($B1607="","",COUNTA($B$4:$B1607))</f>
        <v/>
      </c>
      <c r="B1607" s="45" t="n"/>
      <c r="C1607" s="46" t="n"/>
      <c r="D1607" s="46" t="n"/>
      <c r="E1607" s="46" t="n"/>
      <c r="F1607" s="51" t="n"/>
      <c r="G1607" s="47" t="n"/>
      <c r="H1607" s="47" t="n"/>
      <c r="I1607" s="43">
        <f>IF($B1607="","",N($G1607)-N($H1607))</f>
        <v/>
      </c>
    </row>
    <row r="1608">
      <c r="A1608" s="39">
        <f>IF($B1608="","",COUNTA($B$4:$B1608))</f>
        <v/>
      </c>
      <c r="B1608" s="40" t="n"/>
      <c r="C1608" s="41" t="n"/>
      <c r="D1608" s="41" t="n"/>
      <c r="E1608" s="41" t="n"/>
      <c r="F1608" s="50" t="n"/>
      <c r="G1608" s="42" t="n"/>
      <c r="H1608" s="42" t="n"/>
      <c r="I1608" s="43">
        <f>IF($B1608="","",N($G1608)-N($H1608))</f>
        <v/>
      </c>
    </row>
    <row r="1609">
      <c r="A1609" s="39">
        <f>IF($B1609="","",COUNTA($B$4:$B1609))</f>
        <v/>
      </c>
      <c r="B1609" s="45" t="n"/>
      <c r="C1609" s="46" t="n"/>
      <c r="D1609" s="46" t="n"/>
      <c r="E1609" s="46" t="n"/>
      <c r="F1609" s="51" t="n"/>
      <c r="G1609" s="47" t="n"/>
      <c r="H1609" s="47" t="n"/>
      <c r="I1609" s="43">
        <f>IF($B1609="","",N($G1609)-N($H1609))</f>
        <v/>
      </c>
    </row>
    <row r="1610">
      <c r="A1610" s="39">
        <f>IF($B1610="","",COUNTA($B$4:$B1610))</f>
        <v/>
      </c>
      <c r="B1610" s="40" t="n"/>
      <c r="C1610" s="41" t="n"/>
      <c r="D1610" s="41" t="n"/>
      <c r="E1610" s="41" t="n"/>
      <c r="F1610" s="50" t="n"/>
      <c r="G1610" s="42" t="n"/>
      <c r="H1610" s="42" t="n"/>
      <c r="I1610" s="43">
        <f>IF($B1610="","",N($G1610)-N($H1610))</f>
        <v/>
      </c>
    </row>
    <row r="1611">
      <c r="A1611" s="39">
        <f>IF($B1611="","",COUNTA($B$4:$B1611))</f>
        <v/>
      </c>
      <c r="B1611" s="45" t="n"/>
      <c r="C1611" s="46" t="n"/>
      <c r="D1611" s="46" t="n"/>
      <c r="E1611" s="46" t="n"/>
      <c r="F1611" s="51" t="n"/>
      <c r="G1611" s="47" t="n"/>
      <c r="H1611" s="47" t="n"/>
      <c r="I1611" s="43">
        <f>IF($B1611="","",N($G1611)-N($H1611))</f>
        <v/>
      </c>
    </row>
    <row r="1612">
      <c r="A1612" s="39">
        <f>IF($B1612="","",COUNTA($B$4:$B1612))</f>
        <v/>
      </c>
      <c r="B1612" s="40" t="n"/>
      <c r="C1612" s="41" t="n"/>
      <c r="D1612" s="41" t="n"/>
      <c r="E1612" s="41" t="n"/>
      <c r="F1612" s="50" t="n"/>
      <c r="G1612" s="42" t="n"/>
      <c r="H1612" s="42" t="n"/>
      <c r="I1612" s="43">
        <f>IF($B1612="","",N($G1612)-N($H1612))</f>
        <v/>
      </c>
    </row>
    <row r="1613">
      <c r="A1613" s="39">
        <f>IF($B1613="","",COUNTA($B$4:$B1613))</f>
        <v/>
      </c>
      <c r="B1613" s="45" t="n"/>
      <c r="C1613" s="46" t="n"/>
      <c r="D1613" s="46" t="n"/>
      <c r="E1613" s="46" t="n"/>
      <c r="F1613" s="51" t="n"/>
      <c r="G1613" s="47" t="n"/>
      <c r="H1613" s="47" t="n"/>
      <c r="I1613" s="43">
        <f>IF($B1613="","",N($G1613)-N($H1613))</f>
        <v/>
      </c>
    </row>
    <row r="1614">
      <c r="A1614" s="39">
        <f>IF($B1614="","",COUNTA($B$4:$B1614))</f>
        <v/>
      </c>
      <c r="B1614" s="40" t="n"/>
      <c r="C1614" s="41" t="n"/>
      <c r="D1614" s="41" t="n"/>
      <c r="E1614" s="41" t="n"/>
      <c r="F1614" s="50" t="n"/>
      <c r="G1614" s="42" t="n"/>
      <c r="H1614" s="42" t="n"/>
      <c r="I1614" s="43">
        <f>IF($B1614="","",N($G1614)-N($H1614))</f>
        <v/>
      </c>
    </row>
    <row r="1615">
      <c r="A1615" s="39">
        <f>IF($B1615="","",COUNTA($B$4:$B1615))</f>
        <v/>
      </c>
      <c r="B1615" s="45" t="n"/>
      <c r="C1615" s="46" t="n"/>
      <c r="D1615" s="46" t="n"/>
      <c r="E1615" s="46" t="n"/>
      <c r="F1615" s="51" t="n"/>
      <c r="G1615" s="47" t="n"/>
      <c r="H1615" s="47" t="n"/>
      <c r="I1615" s="43">
        <f>IF($B1615="","",N($G1615)-N($H1615))</f>
        <v/>
      </c>
    </row>
    <row r="1616">
      <c r="A1616" s="39">
        <f>IF($B1616="","",COUNTA($B$4:$B1616))</f>
        <v/>
      </c>
      <c r="B1616" s="40" t="n"/>
      <c r="C1616" s="41" t="n"/>
      <c r="D1616" s="41" t="n"/>
      <c r="E1616" s="41" t="n"/>
      <c r="F1616" s="50" t="n"/>
      <c r="G1616" s="42" t="n"/>
      <c r="H1616" s="42" t="n"/>
      <c r="I1616" s="43">
        <f>IF($B1616="","",N($G1616)-N($H1616))</f>
        <v/>
      </c>
    </row>
    <row r="1617">
      <c r="A1617" s="39">
        <f>IF($B1617="","",COUNTA($B$4:$B1617))</f>
        <v/>
      </c>
      <c r="B1617" s="45" t="n"/>
      <c r="C1617" s="46" t="n"/>
      <c r="D1617" s="46" t="n"/>
      <c r="E1617" s="46" t="n"/>
      <c r="F1617" s="51" t="n"/>
      <c r="G1617" s="47" t="n"/>
      <c r="H1617" s="47" t="n"/>
      <c r="I1617" s="43">
        <f>IF($B1617="","",N($G1617)-N($H1617))</f>
        <v/>
      </c>
    </row>
    <row r="1618">
      <c r="A1618" s="39">
        <f>IF($B1618="","",COUNTA($B$4:$B1618))</f>
        <v/>
      </c>
      <c r="B1618" s="40" t="n"/>
      <c r="C1618" s="41" t="n"/>
      <c r="D1618" s="41" t="n"/>
      <c r="E1618" s="41" t="n"/>
      <c r="F1618" s="50" t="n"/>
      <c r="G1618" s="42" t="n"/>
      <c r="H1618" s="42" t="n"/>
      <c r="I1618" s="43">
        <f>IF($B1618="","",N($G1618)-N($H1618))</f>
        <v/>
      </c>
    </row>
    <row r="1619">
      <c r="A1619" s="39">
        <f>IF($B1619="","",COUNTA($B$4:$B1619))</f>
        <v/>
      </c>
      <c r="B1619" s="45" t="n"/>
      <c r="C1619" s="46" t="n"/>
      <c r="D1619" s="46" t="n"/>
      <c r="E1619" s="46" t="n"/>
      <c r="F1619" s="51" t="n"/>
      <c r="G1619" s="47" t="n"/>
      <c r="H1619" s="47" t="n"/>
      <c r="I1619" s="43">
        <f>IF($B1619="","",N($G1619)-N($H1619))</f>
        <v/>
      </c>
    </row>
    <row r="1620">
      <c r="A1620" s="39">
        <f>IF($B1620="","",COUNTA($B$4:$B1620))</f>
        <v/>
      </c>
      <c r="B1620" s="40" t="n"/>
      <c r="C1620" s="41" t="n"/>
      <c r="D1620" s="41" t="n"/>
      <c r="E1620" s="41" t="n"/>
      <c r="F1620" s="50" t="n"/>
      <c r="G1620" s="42" t="n"/>
      <c r="H1620" s="42" t="n"/>
      <c r="I1620" s="43">
        <f>IF($B1620="","",N($G1620)-N($H1620))</f>
        <v/>
      </c>
    </row>
    <row r="1621">
      <c r="A1621" s="39">
        <f>IF($B1621="","",COUNTA($B$4:$B1621))</f>
        <v/>
      </c>
      <c r="B1621" s="45" t="n"/>
      <c r="C1621" s="46" t="n"/>
      <c r="D1621" s="46" t="n"/>
      <c r="E1621" s="46" t="n"/>
      <c r="F1621" s="51" t="n"/>
      <c r="G1621" s="47" t="n"/>
      <c r="H1621" s="47" t="n"/>
      <c r="I1621" s="43">
        <f>IF($B1621="","",N($G1621)-N($H1621))</f>
        <v/>
      </c>
    </row>
    <row r="1622">
      <c r="A1622" s="39">
        <f>IF($B1622="","",COUNTA($B$4:$B1622))</f>
        <v/>
      </c>
      <c r="B1622" s="40" t="n"/>
      <c r="C1622" s="41" t="n"/>
      <c r="D1622" s="41" t="n"/>
      <c r="E1622" s="41" t="n"/>
      <c r="F1622" s="50" t="n"/>
      <c r="G1622" s="42" t="n"/>
      <c r="H1622" s="42" t="n"/>
      <c r="I1622" s="43">
        <f>IF($B1622="","",N($G1622)-N($H1622))</f>
        <v/>
      </c>
    </row>
    <row r="1623">
      <c r="A1623" s="39">
        <f>IF($B1623="","",COUNTA($B$4:$B1623))</f>
        <v/>
      </c>
      <c r="B1623" s="45" t="n"/>
      <c r="C1623" s="46" t="n"/>
      <c r="D1623" s="46" t="n"/>
      <c r="E1623" s="46" t="n"/>
      <c r="F1623" s="51" t="n"/>
      <c r="G1623" s="47" t="n"/>
      <c r="H1623" s="47" t="n"/>
      <c r="I1623" s="43">
        <f>IF($B1623="","",N($G1623)-N($H1623))</f>
        <v/>
      </c>
    </row>
    <row r="1624">
      <c r="A1624" s="39">
        <f>IF($B1624="","",COUNTA($B$4:$B1624))</f>
        <v/>
      </c>
      <c r="B1624" s="40" t="n"/>
      <c r="C1624" s="41" t="n"/>
      <c r="D1624" s="41" t="n"/>
      <c r="E1624" s="41" t="n"/>
      <c r="F1624" s="50" t="n"/>
      <c r="G1624" s="42" t="n"/>
      <c r="H1624" s="42" t="n"/>
      <c r="I1624" s="43">
        <f>IF($B1624="","",N($G1624)-N($H1624))</f>
        <v/>
      </c>
    </row>
    <row r="1625">
      <c r="A1625" s="39">
        <f>IF($B1625="","",COUNTA($B$4:$B1625))</f>
        <v/>
      </c>
      <c r="B1625" s="45" t="n"/>
      <c r="C1625" s="46" t="n"/>
      <c r="D1625" s="46" t="n"/>
      <c r="E1625" s="46" t="n"/>
      <c r="F1625" s="51" t="n"/>
      <c r="G1625" s="47" t="n"/>
      <c r="H1625" s="47" t="n"/>
      <c r="I1625" s="43">
        <f>IF($B1625="","",N($G1625)-N($H1625))</f>
        <v/>
      </c>
    </row>
    <row r="1626">
      <c r="A1626" s="39">
        <f>IF($B1626="","",COUNTA($B$4:$B1626))</f>
        <v/>
      </c>
      <c r="B1626" s="40" t="n"/>
      <c r="C1626" s="41" t="n"/>
      <c r="D1626" s="41" t="n"/>
      <c r="E1626" s="41" t="n"/>
      <c r="F1626" s="50" t="n"/>
      <c r="G1626" s="42" t="n"/>
      <c r="H1626" s="42" t="n"/>
      <c r="I1626" s="43">
        <f>IF($B1626="","",N($G1626)-N($H1626))</f>
        <v/>
      </c>
    </row>
    <row r="1627">
      <c r="A1627" s="39">
        <f>IF($B1627="","",COUNTA($B$4:$B1627))</f>
        <v/>
      </c>
      <c r="B1627" s="45" t="n"/>
      <c r="C1627" s="46" t="n"/>
      <c r="D1627" s="46" t="n"/>
      <c r="E1627" s="46" t="n"/>
      <c r="F1627" s="51" t="n"/>
      <c r="G1627" s="47" t="n"/>
      <c r="H1627" s="47" t="n"/>
      <c r="I1627" s="43">
        <f>IF($B1627="","",N($G1627)-N($H1627))</f>
        <v/>
      </c>
    </row>
    <row r="1628">
      <c r="A1628" s="39">
        <f>IF($B1628="","",COUNTA($B$4:$B1628))</f>
        <v/>
      </c>
      <c r="B1628" s="40" t="n"/>
      <c r="C1628" s="41" t="n"/>
      <c r="D1628" s="41" t="n"/>
      <c r="E1628" s="41" t="n"/>
      <c r="F1628" s="50" t="n"/>
      <c r="G1628" s="42" t="n"/>
      <c r="H1628" s="42" t="n"/>
      <c r="I1628" s="43">
        <f>IF($B1628="","",N($G1628)-N($H1628))</f>
        <v/>
      </c>
    </row>
    <row r="1629">
      <c r="A1629" s="39">
        <f>IF($B1629="","",COUNTA($B$4:$B1629))</f>
        <v/>
      </c>
      <c r="B1629" s="45" t="n"/>
      <c r="C1629" s="46" t="n"/>
      <c r="D1629" s="46" t="n"/>
      <c r="E1629" s="46" t="n"/>
      <c r="F1629" s="51" t="n"/>
      <c r="G1629" s="47" t="n"/>
      <c r="H1629" s="47" t="n"/>
      <c r="I1629" s="43">
        <f>IF($B1629="","",N($G1629)-N($H1629))</f>
        <v/>
      </c>
    </row>
    <row r="1630">
      <c r="A1630" s="39">
        <f>IF($B1630="","",COUNTA($B$4:$B1630))</f>
        <v/>
      </c>
      <c r="B1630" s="40" t="n"/>
      <c r="C1630" s="41" t="n"/>
      <c r="D1630" s="41" t="n"/>
      <c r="E1630" s="41" t="n"/>
      <c r="F1630" s="50" t="n"/>
      <c r="G1630" s="42" t="n"/>
      <c r="H1630" s="42" t="n"/>
      <c r="I1630" s="43">
        <f>IF($B1630="","",N($G1630)-N($H1630))</f>
        <v/>
      </c>
    </row>
    <row r="1631">
      <c r="A1631" s="39">
        <f>IF($B1631="","",COUNTA($B$4:$B1631))</f>
        <v/>
      </c>
      <c r="B1631" s="45" t="n"/>
      <c r="C1631" s="46" t="n"/>
      <c r="D1631" s="46" t="n"/>
      <c r="E1631" s="46" t="n"/>
      <c r="F1631" s="51" t="n"/>
      <c r="G1631" s="47" t="n"/>
      <c r="H1631" s="47" t="n"/>
      <c r="I1631" s="43">
        <f>IF($B1631="","",N($G1631)-N($H1631))</f>
        <v/>
      </c>
    </row>
    <row r="1632">
      <c r="A1632" s="39">
        <f>IF($B1632="","",COUNTA($B$4:$B1632))</f>
        <v/>
      </c>
      <c r="B1632" s="40" t="n"/>
      <c r="C1632" s="41" t="n"/>
      <c r="D1632" s="41" t="n"/>
      <c r="E1632" s="41" t="n"/>
      <c r="F1632" s="50" t="n"/>
      <c r="G1632" s="42" t="n"/>
      <c r="H1632" s="42" t="n"/>
      <c r="I1632" s="43">
        <f>IF($B1632="","",N($G1632)-N($H1632))</f>
        <v/>
      </c>
    </row>
    <row r="1633">
      <c r="A1633" s="39">
        <f>IF($B1633="","",COUNTA($B$4:$B1633))</f>
        <v/>
      </c>
      <c r="B1633" s="45" t="n"/>
      <c r="C1633" s="46" t="n"/>
      <c r="D1633" s="46" t="n"/>
      <c r="E1633" s="46" t="n"/>
      <c r="F1633" s="51" t="n"/>
      <c r="G1633" s="47" t="n"/>
      <c r="H1633" s="47" t="n"/>
      <c r="I1633" s="43">
        <f>IF($B1633="","",N($G1633)-N($H1633))</f>
        <v/>
      </c>
    </row>
    <row r="1634">
      <c r="A1634" s="39">
        <f>IF($B1634="","",COUNTA($B$4:$B1634))</f>
        <v/>
      </c>
      <c r="B1634" s="40" t="n"/>
      <c r="C1634" s="41" t="n"/>
      <c r="D1634" s="41" t="n"/>
      <c r="E1634" s="41" t="n"/>
      <c r="F1634" s="50" t="n"/>
      <c r="G1634" s="42" t="n"/>
      <c r="H1634" s="42" t="n"/>
      <c r="I1634" s="43">
        <f>IF($B1634="","",N($G1634)-N($H1634))</f>
        <v/>
      </c>
    </row>
    <row r="1635">
      <c r="A1635" s="39">
        <f>IF($B1635="","",COUNTA($B$4:$B1635))</f>
        <v/>
      </c>
      <c r="B1635" s="45" t="n"/>
      <c r="C1635" s="46" t="n"/>
      <c r="D1635" s="46" t="n"/>
      <c r="E1635" s="46" t="n"/>
      <c r="F1635" s="51" t="n"/>
      <c r="G1635" s="47" t="n"/>
      <c r="H1635" s="47" t="n"/>
      <c r="I1635" s="43">
        <f>IF($B1635="","",N($G1635)-N($H1635))</f>
        <v/>
      </c>
    </row>
    <row r="1636">
      <c r="A1636" s="39">
        <f>IF($B1636="","",COUNTA($B$4:$B1636))</f>
        <v/>
      </c>
      <c r="B1636" s="40" t="n"/>
      <c r="C1636" s="41" t="n"/>
      <c r="D1636" s="41" t="n"/>
      <c r="E1636" s="41" t="n"/>
      <c r="F1636" s="50" t="n"/>
      <c r="G1636" s="42" t="n"/>
      <c r="H1636" s="42" t="n"/>
      <c r="I1636" s="43">
        <f>IF($B1636="","",N($G1636)-N($H1636))</f>
        <v/>
      </c>
    </row>
    <row r="1637">
      <c r="A1637" s="39">
        <f>IF($B1637="","",COUNTA($B$4:$B1637))</f>
        <v/>
      </c>
      <c r="B1637" s="45" t="n"/>
      <c r="C1637" s="46" t="n"/>
      <c r="D1637" s="46" t="n"/>
      <c r="E1637" s="46" t="n"/>
      <c r="F1637" s="51" t="n"/>
      <c r="G1637" s="47" t="n"/>
      <c r="H1637" s="47" t="n"/>
      <c r="I1637" s="43">
        <f>IF($B1637="","",N($G1637)-N($H1637))</f>
        <v/>
      </c>
    </row>
    <row r="1638">
      <c r="A1638" s="39">
        <f>IF($B1638="","",COUNTA($B$4:$B1638))</f>
        <v/>
      </c>
      <c r="B1638" s="40" t="n"/>
      <c r="C1638" s="41" t="n"/>
      <c r="D1638" s="41" t="n"/>
      <c r="E1638" s="41" t="n"/>
      <c r="F1638" s="50" t="n"/>
      <c r="G1638" s="42" t="n"/>
      <c r="H1638" s="42" t="n"/>
      <c r="I1638" s="43">
        <f>IF($B1638="","",N($G1638)-N($H1638))</f>
        <v/>
      </c>
    </row>
    <row r="1639">
      <c r="A1639" s="39">
        <f>IF($B1639="","",COUNTA($B$4:$B1639))</f>
        <v/>
      </c>
      <c r="B1639" s="45" t="n"/>
      <c r="C1639" s="46" t="n"/>
      <c r="D1639" s="46" t="n"/>
      <c r="E1639" s="46" t="n"/>
      <c r="F1639" s="51" t="n"/>
      <c r="G1639" s="47" t="n"/>
      <c r="H1639" s="47" t="n"/>
      <c r="I1639" s="43">
        <f>IF($B1639="","",N($G1639)-N($H1639))</f>
        <v/>
      </c>
    </row>
    <row r="1640">
      <c r="A1640" s="39">
        <f>IF($B1640="","",COUNTA($B$4:$B1640))</f>
        <v/>
      </c>
      <c r="B1640" s="40" t="n"/>
      <c r="C1640" s="41" t="n"/>
      <c r="D1640" s="41" t="n"/>
      <c r="E1640" s="41" t="n"/>
      <c r="F1640" s="50" t="n"/>
      <c r="G1640" s="42" t="n"/>
      <c r="H1640" s="42" t="n"/>
      <c r="I1640" s="43">
        <f>IF($B1640="","",N($G1640)-N($H1640))</f>
        <v/>
      </c>
    </row>
    <row r="1641">
      <c r="A1641" s="39">
        <f>IF($B1641="","",COUNTA($B$4:$B1641))</f>
        <v/>
      </c>
      <c r="B1641" s="45" t="n"/>
      <c r="C1641" s="46" t="n"/>
      <c r="D1641" s="46" t="n"/>
      <c r="E1641" s="46" t="n"/>
      <c r="F1641" s="51" t="n"/>
      <c r="G1641" s="47" t="n"/>
      <c r="H1641" s="47" t="n"/>
      <c r="I1641" s="43">
        <f>IF($B1641="","",N($G1641)-N($H1641))</f>
        <v/>
      </c>
    </row>
    <row r="1642">
      <c r="A1642" s="39">
        <f>IF($B1642="","",COUNTA($B$4:$B1642))</f>
        <v/>
      </c>
      <c r="B1642" s="40" t="n"/>
      <c r="C1642" s="41" t="n"/>
      <c r="D1642" s="41" t="n"/>
      <c r="E1642" s="41" t="n"/>
      <c r="F1642" s="50" t="n"/>
      <c r="G1642" s="42" t="n"/>
      <c r="H1642" s="42" t="n"/>
      <c r="I1642" s="43">
        <f>IF($B1642="","",N($G1642)-N($H1642))</f>
        <v/>
      </c>
    </row>
    <row r="1643">
      <c r="A1643" s="39">
        <f>IF($B1643="","",COUNTA($B$4:$B1643))</f>
        <v/>
      </c>
      <c r="B1643" s="45" t="n"/>
      <c r="C1643" s="46" t="n"/>
      <c r="D1643" s="46" t="n"/>
      <c r="E1643" s="46" t="n"/>
      <c r="F1643" s="51" t="n"/>
      <c r="G1643" s="47" t="n"/>
      <c r="H1643" s="47" t="n"/>
      <c r="I1643" s="43">
        <f>IF($B1643="","",N($G1643)-N($H1643))</f>
        <v/>
      </c>
    </row>
    <row r="1644">
      <c r="A1644" s="39">
        <f>IF($B1644="","",COUNTA($B$4:$B1644))</f>
        <v/>
      </c>
      <c r="B1644" s="40" t="n"/>
      <c r="C1644" s="41" t="n"/>
      <c r="D1644" s="41" t="n"/>
      <c r="E1644" s="41" t="n"/>
      <c r="F1644" s="50" t="n"/>
      <c r="G1644" s="42" t="n"/>
      <c r="H1644" s="42" t="n"/>
      <c r="I1644" s="43">
        <f>IF($B1644="","",N($G1644)-N($H1644))</f>
        <v/>
      </c>
    </row>
    <row r="1645">
      <c r="A1645" s="39">
        <f>IF($B1645="","",COUNTA($B$4:$B1645))</f>
        <v/>
      </c>
      <c r="B1645" s="45" t="n"/>
      <c r="C1645" s="46" t="n"/>
      <c r="D1645" s="46" t="n"/>
      <c r="E1645" s="46" t="n"/>
      <c r="F1645" s="51" t="n"/>
      <c r="G1645" s="47" t="n"/>
      <c r="H1645" s="47" t="n"/>
      <c r="I1645" s="43">
        <f>IF($B1645="","",N($G1645)-N($H1645))</f>
        <v/>
      </c>
    </row>
    <row r="1646">
      <c r="A1646" s="39">
        <f>IF($B1646="","",COUNTA($B$4:$B1646))</f>
        <v/>
      </c>
      <c r="B1646" s="40" t="n"/>
      <c r="C1646" s="41" t="n"/>
      <c r="D1646" s="41" t="n"/>
      <c r="E1646" s="41" t="n"/>
      <c r="F1646" s="50" t="n"/>
      <c r="G1646" s="42" t="n"/>
      <c r="H1646" s="42" t="n"/>
      <c r="I1646" s="43">
        <f>IF($B1646="","",N($G1646)-N($H1646))</f>
        <v/>
      </c>
    </row>
    <row r="1647">
      <c r="A1647" s="39">
        <f>IF($B1647="","",COUNTA($B$4:$B1647))</f>
        <v/>
      </c>
      <c r="B1647" s="45" t="n"/>
      <c r="C1647" s="46" t="n"/>
      <c r="D1647" s="46" t="n"/>
      <c r="E1647" s="46" t="n"/>
      <c r="F1647" s="51" t="n"/>
      <c r="G1647" s="47" t="n"/>
      <c r="H1647" s="47" t="n"/>
      <c r="I1647" s="43">
        <f>IF($B1647="","",N($G1647)-N($H1647))</f>
        <v/>
      </c>
    </row>
    <row r="1648">
      <c r="A1648" s="39">
        <f>IF($B1648="","",COUNTA($B$4:$B1648))</f>
        <v/>
      </c>
      <c r="B1648" s="40" t="n"/>
      <c r="C1648" s="41" t="n"/>
      <c r="D1648" s="41" t="n"/>
      <c r="E1648" s="41" t="n"/>
      <c r="F1648" s="50" t="n"/>
      <c r="G1648" s="42" t="n"/>
      <c r="H1648" s="42" t="n"/>
      <c r="I1648" s="43">
        <f>IF($B1648="","",N($G1648)-N($H1648))</f>
        <v/>
      </c>
    </row>
    <row r="1649">
      <c r="A1649" s="39">
        <f>IF($B1649="","",COUNTA($B$4:$B1649))</f>
        <v/>
      </c>
      <c r="B1649" s="45" t="n"/>
      <c r="C1649" s="46" t="n"/>
      <c r="D1649" s="46" t="n"/>
      <c r="E1649" s="46" t="n"/>
      <c r="F1649" s="51" t="n"/>
      <c r="G1649" s="47" t="n"/>
      <c r="H1649" s="47" t="n"/>
      <c r="I1649" s="43">
        <f>IF($B1649="","",N($G1649)-N($H1649))</f>
        <v/>
      </c>
    </row>
    <row r="1650">
      <c r="A1650" s="39">
        <f>IF($B1650="","",COUNTA($B$4:$B1650))</f>
        <v/>
      </c>
      <c r="B1650" s="40" t="n"/>
      <c r="C1650" s="41" t="n"/>
      <c r="D1650" s="41" t="n"/>
      <c r="E1650" s="41" t="n"/>
      <c r="F1650" s="50" t="n"/>
      <c r="G1650" s="42" t="n"/>
      <c r="H1650" s="42" t="n"/>
      <c r="I1650" s="43">
        <f>IF($B1650="","",N($G1650)-N($H1650))</f>
        <v/>
      </c>
    </row>
    <row r="1651">
      <c r="A1651" s="39">
        <f>IF($B1651="","",COUNTA($B$4:$B1651))</f>
        <v/>
      </c>
      <c r="B1651" s="45" t="n"/>
      <c r="C1651" s="46" t="n"/>
      <c r="D1651" s="46" t="n"/>
      <c r="E1651" s="46" t="n"/>
      <c r="F1651" s="51" t="n"/>
      <c r="G1651" s="47" t="n"/>
      <c r="H1651" s="47" t="n"/>
      <c r="I1651" s="43">
        <f>IF($B1651="","",N($G1651)-N($H1651))</f>
        <v/>
      </c>
    </row>
    <row r="1652">
      <c r="A1652" s="39">
        <f>IF($B1652="","",COUNTA($B$4:$B1652))</f>
        <v/>
      </c>
      <c r="B1652" s="40" t="n"/>
      <c r="C1652" s="41" t="n"/>
      <c r="D1652" s="41" t="n"/>
      <c r="E1652" s="41" t="n"/>
      <c r="F1652" s="50" t="n"/>
      <c r="G1652" s="42" t="n"/>
      <c r="H1652" s="42" t="n"/>
      <c r="I1652" s="43">
        <f>IF($B1652="","",N($G1652)-N($H1652))</f>
        <v/>
      </c>
    </row>
    <row r="1653">
      <c r="A1653" s="39">
        <f>IF($B1653="","",COUNTA($B$4:$B1653))</f>
        <v/>
      </c>
      <c r="B1653" s="45" t="n"/>
      <c r="C1653" s="46" t="n"/>
      <c r="D1653" s="46" t="n"/>
      <c r="E1653" s="46" t="n"/>
      <c r="F1653" s="51" t="n"/>
      <c r="G1653" s="47" t="n"/>
      <c r="H1653" s="47" t="n"/>
      <c r="I1653" s="43">
        <f>IF($B1653="","",N($G1653)-N($H1653))</f>
        <v/>
      </c>
    </row>
    <row r="1654">
      <c r="A1654" s="39">
        <f>IF($B1654="","",COUNTA($B$4:$B1654))</f>
        <v/>
      </c>
      <c r="B1654" s="40" t="n"/>
      <c r="C1654" s="41" t="n"/>
      <c r="D1654" s="41" t="n"/>
      <c r="E1654" s="41" t="n"/>
      <c r="F1654" s="50" t="n"/>
      <c r="G1654" s="42" t="n"/>
      <c r="H1654" s="42" t="n"/>
      <c r="I1654" s="43">
        <f>IF($B1654="","",N($G1654)-N($H1654))</f>
        <v/>
      </c>
    </row>
    <row r="1655">
      <c r="A1655" s="39">
        <f>IF($B1655="","",COUNTA($B$4:$B1655))</f>
        <v/>
      </c>
      <c r="B1655" s="45" t="n"/>
      <c r="C1655" s="46" t="n"/>
      <c r="D1655" s="46" t="n"/>
      <c r="E1655" s="46" t="n"/>
      <c r="F1655" s="51" t="n"/>
      <c r="G1655" s="47" t="n"/>
      <c r="H1655" s="47" t="n"/>
      <c r="I1655" s="43">
        <f>IF($B1655="","",N($G1655)-N($H1655))</f>
        <v/>
      </c>
    </row>
    <row r="1656">
      <c r="A1656" s="39">
        <f>IF($B1656="","",COUNTA($B$4:$B1656))</f>
        <v/>
      </c>
      <c r="B1656" s="40" t="n"/>
      <c r="C1656" s="41" t="n"/>
      <c r="D1656" s="41" t="n"/>
      <c r="E1656" s="41" t="n"/>
      <c r="F1656" s="50" t="n"/>
      <c r="G1656" s="42" t="n"/>
      <c r="H1656" s="42" t="n"/>
      <c r="I1656" s="43">
        <f>IF($B1656="","",N($G1656)-N($H1656))</f>
        <v/>
      </c>
    </row>
    <row r="1657">
      <c r="A1657" s="39">
        <f>IF($B1657="","",COUNTA($B$4:$B1657))</f>
        <v/>
      </c>
      <c r="B1657" s="45" t="n"/>
      <c r="C1657" s="46" t="n"/>
      <c r="D1657" s="46" t="n"/>
      <c r="E1657" s="46" t="n"/>
      <c r="F1657" s="51" t="n"/>
      <c r="G1657" s="47" t="n"/>
      <c r="H1657" s="47" t="n"/>
      <c r="I1657" s="43">
        <f>IF($B1657="","",N($G1657)-N($H1657))</f>
        <v/>
      </c>
    </row>
    <row r="1658">
      <c r="A1658" s="39">
        <f>IF($B1658="","",COUNTA($B$4:$B1658))</f>
        <v/>
      </c>
      <c r="B1658" s="40" t="n"/>
      <c r="C1658" s="41" t="n"/>
      <c r="D1658" s="41" t="n"/>
      <c r="E1658" s="41" t="n"/>
      <c r="F1658" s="50" t="n"/>
      <c r="G1658" s="42" t="n"/>
      <c r="H1658" s="42" t="n"/>
      <c r="I1658" s="43">
        <f>IF($B1658="","",N($G1658)-N($H1658))</f>
        <v/>
      </c>
    </row>
    <row r="1659">
      <c r="A1659" s="39">
        <f>IF($B1659="","",COUNTA($B$4:$B1659))</f>
        <v/>
      </c>
      <c r="B1659" s="45" t="n"/>
      <c r="C1659" s="46" t="n"/>
      <c r="D1659" s="46" t="n"/>
      <c r="E1659" s="46" t="n"/>
      <c r="F1659" s="51" t="n"/>
      <c r="G1659" s="47" t="n"/>
      <c r="H1659" s="47" t="n"/>
      <c r="I1659" s="43">
        <f>IF($B1659="","",N($G1659)-N($H1659))</f>
        <v/>
      </c>
    </row>
    <row r="1660">
      <c r="A1660" s="39">
        <f>IF($B1660="","",COUNTA($B$4:$B1660))</f>
        <v/>
      </c>
      <c r="B1660" s="40" t="n"/>
      <c r="C1660" s="41" t="n"/>
      <c r="D1660" s="41" t="n"/>
      <c r="E1660" s="41" t="n"/>
      <c r="F1660" s="50" t="n"/>
      <c r="G1660" s="42" t="n"/>
      <c r="H1660" s="42" t="n"/>
      <c r="I1660" s="43">
        <f>IF($B1660="","",N($G1660)-N($H1660))</f>
        <v/>
      </c>
    </row>
    <row r="1661">
      <c r="A1661" s="39">
        <f>IF($B1661="","",COUNTA($B$4:$B1661))</f>
        <v/>
      </c>
      <c r="B1661" s="45" t="n"/>
      <c r="C1661" s="46" t="n"/>
      <c r="D1661" s="46" t="n"/>
      <c r="E1661" s="46" t="n"/>
      <c r="F1661" s="51" t="n"/>
      <c r="G1661" s="47" t="n"/>
      <c r="H1661" s="47" t="n"/>
      <c r="I1661" s="43">
        <f>IF($B1661="","",N($G1661)-N($H1661))</f>
        <v/>
      </c>
    </row>
    <row r="1662">
      <c r="A1662" s="39">
        <f>IF($B1662="","",COUNTA($B$4:$B1662))</f>
        <v/>
      </c>
      <c r="B1662" s="40" t="n"/>
      <c r="C1662" s="41" t="n"/>
      <c r="D1662" s="41" t="n"/>
      <c r="E1662" s="41" t="n"/>
      <c r="F1662" s="50" t="n"/>
      <c r="G1662" s="42" t="n"/>
      <c r="H1662" s="42" t="n"/>
      <c r="I1662" s="43">
        <f>IF($B1662="","",N($G1662)-N($H1662))</f>
        <v/>
      </c>
    </row>
    <row r="1663">
      <c r="A1663" s="39">
        <f>IF($B1663="","",COUNTA($B$4:$B1663))</f>
        <v/>
      </c>
      <c r="B1663" s="45" t="n"/>
      <c r="C1663" s="46" t="n"/>
      <c r="D1663" s="46" t="n"/>
      <c r="E1663" s="46" t="n"/>
      <c r="F1663" s="51" t="n"/>
      <c r="G1663" s="47" t="n"/>
      <c r="H1663" s="47" t="n"/>
      <c r="I1663" s="43">
        <f>IF($B1663="","",N($G1663)-N($H1663))</f>
        <v/>
      </c>
    </row>
    <row r="1664">
      <c r="A1664" s="39">
        <f>IF($B1664="","",COUNTA($B$4:$B1664))</f>
        <v/>
      </c>
      <c r="B1664" s="40" t="n"/>
      <c r="C1664" s="41" t="n"/>
      <c r="D1664" s="41" t="n"/>
      <c r="E1664" s="41" t="n"/>
      <c r="F1664" s="50" t="n"/>
      <c r="G1664" s="42" t="n"/>
      <c r="H1664" s="42" t="n"/>
      <c r="I1664" s="43">
        <f>IF($B1664="","",N($G1664)-N($H1664))</f>
        <v/>
      </c>
    </row>
    <row r="1665">
      <c r="A1665" s="39">
        <f>IF($B1665="","",COUNTA($B$4:$B1665))</f>
        <v/>
      </c>
      <c r="B1665" s="45" t="n"/>
      <c r="C1665" s="46" t="n"/>
      <c r="D1665" s="46" t="n"/>
      <c r="E1665" s="46" t="n"/>
      <c r="F1665" s="51" t="n"/>
      <c r="G1665" s="47" t="n"/>
      <c r="H1665" s="47" t="n"/>
      <c r="I1665" s="43">
        <f>IF($B1665="","",N($G1665)-N($H1665))</f>
        <v/>
      </c>
    </row>
    <row r="1666">
      <c r="A1666" s="39">
        <f>IF($B1666="","",COUNTA($B$4:$B1666))</f>
        <v/>
      </c>
      <c r="B1666" s="40" t="n"/>
      <c r="C1666" s="41" t="n"/>
      <c r="D1666" s="41" t="n"/>
      <c r="E1666" s="41" t="n"/>
      <c r="F1666" s="50" t="n"/>
      <c r="G1666" s="42" t="n"/>
      <c r="H1666" s="42" t="n"/>
      <c r="I1666" s="43">
        <f>IF($B1666="","",N($G1666)-N($H1666))</f>
        <v/>
      </c>
    </row>
    <row r="1667">
      <c r="A1667" s="39">
        <f>IF($B1667="","",COUNTA($B$4:$B1667))</f>
        <v/>
      </c>
      <c r="B1667" s="45" t="n"/>
      <c r="C1667" s="46" t="n"/>
      <c r="D1667" s="46" t="n"/>
      <c r="E1667" s="46" t="n"/>
      <c r="F1667" s="51" t="n"/>
      <c r="G1667" s="47" t="n"/>
      <c r="H1667" s="47" t="n"/>
      <c r="I1667" s="43">
        <f>IF($B1667="","",N($G1667)-N($H1667))</f>
        <v/>
      </c>
    </row>
    <row r="1668">
      <c r="A1668" s="39">
        <f>IF($B1668="","",COUNTA($B$4:$B1668))</f>
        <v/>
      </c>
      <c r="B1668" s="40" t="n"/>
      <c r="C1668" s="41" t="n"/>
      <c r="D1668" s="41" t="n"/>
      <c r="E1668" s="41" t="n"/>
      <c r="F1668" s="50" t="n"/>
      <c r="G1668" s="42" t="n"/>
      <c r="H1668" s="42" t="n"/>
      <c r="I1668" s="43">
        <f>IF($B1668="","",N($G1668)-N($H1668))</f>
        <v/>
      </c>
    </row>
    <row r="1669">
      <c r="A1669" s="39">
        <f>IF($B1669="","",COUNTA($B$4:$B1669))</f>
        <v/>
      </c>
      <c r="B1669" s="45" t="n"/>
      <c r="C1669" s="46" t="n"/>
      <c r="D1669" s="46" t="n"/>
      <c r="E1669" s="46" t="n"/>
      <c r="F1669" s="51" t="n"/>
      <c r="G1669" s="47" t="n"/>
      <c r="H1669" s="47" t="n"/>
      <c r="I1669" s="43">
        <f>IF($B1669="","",N($G1669)-N($H1669))</f>
        <v/>
      </c>
    </row>
    <row r="1670">
      <c r="A1670" s="39">
        <f>IF($B1670="","",COUNTA($B$4:$B1670))</f>
        <v/>
      </c>
      <c r="B1670" s="40" t="n"/>
      <c r="C1670" s="41" t="n"/>
      <c r="D1670" s="41" t="n"/>
      <c r="E1670" s="41" t="n"/>
      <c r="F1670" s="50" t="n"/>
      <c r="G1670" s="42" t="n"/>
      <c r="H1670" s="42" t="n"/>
      <c r="I1670" s="43">
        <f>IF($B1670="","",N($G1670)-N($H1670))</f>
        <v/>
      </c>
    </row>
    <row r="1671">
      <c r="A1671" s="39">
        <f>IF($B1671="","",COUNTA($B$4:$B1671))</f>
        <v/>
      </c>
      <c r="B1671" s="45" t="n"/>
      <c r="C1671" s="46" t="n"/>
      <c r="D1671" s="46" t="n"/>
      <c r="E1671" s="46" t="n"/>
      <c r="F1671" s="51" t="n"/>
      <c r="G1671" s="47" t="n"/>
      <c r="H1671" s="47" t="n"/>
      <c r="I1671" s="43">
        <f>IF($B1671="","",N($G1671)-N($H1671))</f>
        <v/>
      </c>
    </row>
    <row r="1672">
      <c r="A1672" s="39">
        <f>IF($B1672="","",COUNTA($B$4:$B1672))</f>
        <v/>
      </c>
      <c r="B1672" s="40" t="n"/>
      <c r="C1672" s="41" t="n"/>
      <c r="D1672" s="41" t="n"/>
      <c r="E1672" s="41" t="n"/>
      <c r="F1672" s="50" t="n"/>
      <c r="G1672" s="42" t="n"/>
      <c r="H1672" s="42" t="n"/>
      <c r="I1672" s="43">
        <f>IF($B1672="","",N($G1672)-N($H1672))</f>
        <v/>
      </c>
    </row>
    <row r="1673">
      <c r="A1673" s="39">
        <f>IF($B1673="","",COUNTA($B$4:$B1673))</f>
        <v/>
      </c>
      <c r="B1673" s="45" t="n"/>
      <c r="C1673" s="46" t="n"/>
      <c r="D1673" s="46" t="n"/>
      <c r="E1673" s="46" t="n"/>
      <c r="F1673" s="51" t="n"/>
      <c r="G1673" s="47" t="n"/>
      <c r="H1673" s="47" t="n"/>
      <c r="I1673" s="43">
        <f>IF($B1673="","",N($G1673)-N($H1673))</f>
        <v/>
      </c>
    </row>
    <row r="1674">
      <c r="A1674" s="39">
        <f>IF($B1674="","",COUNTA($B$4:$B1674))</f>
        <v/>
      </c>
      <c r="B1674" s="40" t="n"/>
      <c r="C1674" s="41" t="n"/>
      <c r="D1674" s="41" t="n"/>
      <c r="E1674" s="41" t="n"/>
      <c r="F1674" s="50" t="n"/>
      <c r="G1674" s="42" t="n"/>
      <c r="H1674" s="42" t="n"/>
      <c r="I1674" s="43">
        <f>IF($B1674="","",N($G1674)-N($H1674))</f>
        <v/>
      </c>
    </row>
    <row r="1675">
      <c r="A1675" s="39">
        <f>IF($B1675="","",COUNTA($B$4:$B1675))</f>
        <v/>
      </c>
      <c r="B1675" s="45" t="n"/>
      <c r="C1675" s="46" t="n"/>
      <c r="D1675" s="46" t="n"/>
      <c r="E1675" s="46" t="n"/>
      <c r="F1675" s="51" t="n"/>
      <c r="G1675" s="47" t="n"/>
      <c r="H1675" s="47" t="n"/>
      <c r="I1675" s="43">
        <f>IF($B1675="","",N($G1675)-N($H1675))</f>
        <v/>
      </c>
    </row>
    <row r="1676">
      <c r="A1676" s="39">
        <f>IF($B1676="","",COUNTA($B$4:$B1676))</f>
        <v/>
      </c>
      <c r="B1676" s="40" t="n"/>
      <c r="C1676" s="41" t="n"/>
      <c r="D1676" s="41" t="n"/>
      <c r="E1676" s="41" t="n"/>
      <c r="F1676" s="50" t="n"/>
      <c r="G1676" s="42" t="n"/>
      <c r="H1676" s="42" t="n"/>
      <c r="I1676" s="43">
        <f>IF($B1676="","",N($G1676)-N($H1676))</f>
        <v/>
      </c>
    </row>
    <row r="1677">
      <c r="A1677" s="39">
        <f>IF($B1677="","",COUNTA($B$4:$B1677))</f>
        <v/>
      </c>
      <c r="B1677" s="45" t="n"/>
      <c r="C1677" s="46" t="n"/>
      <c r="D1677" s="46" t="n"/>
      <c r="E1677" s="46" t="n"/>
      <c r="F1677" s="51" t="n"/>
      <c r="G1677" s="47" t="n"/>
      <c r="H1677" s="47" t="n"/>
      <c r="I1677" s="43">
        <f>IF($B1677="","",N($G1677)-N($H1677))</f>
        <v/>
      </c>
    </row>
    <row r="1678">
      <c r="A1678" s="39">
        <f>IF($B1678="","",COUNTA($B$4:$B1678))</f>
        <v/>
      </c>
      <c r="B1678" s="40" t="n"/>
      <c r="C1678" s="41" t="n"/>
      <c r="D1678" s="41" t="n"/>
      <c r="E1678" s="41" t="n"/>
      <c r="F1678" s="50" t="n"/>
      <c r="G1678" s="42" t="n"/>
      <c r="H1678" s="42" t="n"/>
      <c r="I1678" s="43">
        <f>IF($B1678="","",N($G1678)-N($H1678))</f>
        <v/>
      </c>
    </row>
    <row r="1679">
      <c r="A1679" s="39">
        <f>IF($B1679="","",COUNTA($B$4:$B1679))</f>
        <v/>
      </c>
      <c r="B1679" s="45" t="n"/>
      <c r="C1679" s="46" t="n"/>
      <c r="D1679" s="46" t="n"/>
      <c r="E1679" s="46" t="n"/>
      <c r="F1679" s="51" t="n"/>
      <c r="G1679" s="47" t="n"/>
      <c r="H1679" s="47" t="n"/>
      <c r="I1679" s="43">
        <f>IF($B1679="","",N($G1679)-N($H1679))</f>
        <v/>
      </c>
    </row>
    <row r="1680">
      <c r="A1680" s="39">
        <f>IF($B1680="","",COUNTA($B$4:$B1680))</f>
        <v/>
      </c>
      <c r="B1680" s="40" t="n"/>
      <c r="C1680" s="41" t="n"/>
      <c r="D1680" s="41" t="n"/>
      <c r="E1680" s="41" t="n"/>
      <c r="F1680" s="50" t="n"/>
      <c r="G1680" s="42" t="n"/>
      <c r="H1680" s="42" t="n"/>
      <c r="I1680" s="43">
        <f>IF($B1680="","",N($G1680)-N($H1680))</f>
        <v/>
      </c>
    </row>
    <row r="1681">
      <c r="A1681" s="39">
        <f>IF($B1681="","",COUNTA($B$4:$B1681))</f>
        <v/>
      </c>
      <c r="B1681" s="45" t="n"/>
      <c r="C1681" s="46" t="n"/>
      <c r="D1681" s="46" t="n"/>
      <c r="E1681" s="46" t="n"/>
      <c r="F1681" s="51" t="n"/>
      <c r="G1681" s="47" t="n"/>
      <c r="H1681" s="47" t="n"/>
      <c r="I1681" s="43">
        <f>IF($B1681="","",N($G1681)-N($H1681))</f>
        <v/>
      </c>
    </row>
    <row r="1682">
      <c r="A1682" s="39">
        <f>IF($B1682="","",COUNTA($B$4:$B1682))</f>
        <v/>
      </c>
      <c r="B1682" s="40" t="n"/>
      <c r="C1682" s="41" t="n"/>
      <c r="D1682" s="41" t="n"/>
      <c r="E1682" s="41" t="n"/>
      <c r="F1682" s="50" t="n"/>
      <c r="G1682" s="42" t="n"/>
      <c r="H1682" s="42" t="n"/>
      <c r="I1682" s="43">
        <f>IF($B1682="","",N($G1682)-N($H1682))</f>
        <v/>
      </c>
    </row>
    <row r="1683">
      <c r="A1683" s="39">
        <f>IF($B1683="","",COUNTA($B$4:$B1683))</f>
        <v/>
      </c>
      <c r="B1683" s="45" t="n"/>
      <c r="C1683" s="46" t="n"/>
      <c r="D1683" s="46" t="n"/>
      <c r="E1683" s="46" t="n"/>
      <c r="F1683" s="51" t="n"/>
      <c r="G1683" s="47" t="n"/>
      <c r="H1683" s="47" t="n"/>
      <c r="I1683" s="43">
        <f>IF($B1683="","",N($G1683)-N($H1683))</f>
        <v/>
      </c>
    </row>
    <row r="1684">
      <c r="A1684" s="39">
        <f>IF($B1684="","",COUNTA($B$4:$B1684))</f>
        <v/>
      </c>
      <c r="B1684" s="40" t="n"/>
      <c r="C1684" s="41" t="n"/>
      <c r="D1684" s="41" t="n"/>
      <c r="E1684" s="41" t="n"/>
      <c r="F1684" s="50" t="n"/>
      <c r="G1684" s="42" t="n"/>
      <c r="H1684" s="42" t="n"/>
      <c r="I1684" s="43">
        <f>IF($B1684="","",N($G1684)-N($H1684))</f>
        <v/>
      </c>
    </row>
    <row r="1685">
      <c r="A1685" s="39">
        <f>IF($B1685="","",COUNTA($B$4:$B1685))</f>
        <v/>
      </c>
      <c r="B1685" s="45" t="n"/>
      <c r="C1685" s="46" t="n"/>
      <c r="D1685" s="46" t="n"/>
      <c r="E1685" s="46" t="n"/>
      <c r="F1685" s="51" t="n"/>
      <c r="G1685" s="47" t="n"/>
      <c r="H1685" s="47" t="n"/>
      <c r="I1685" s="43">
        <f>IF($B1685="","",N($G1685)-N($H1685))</f>
        <v/>
      </c>
    </row>
    <row r="1686">
      <c r="A1686" s="39">
        <f>IF($B1686="","",COUNTA($B$4:$B1686))</f>
        <v/>
      </c>
      <c r="B1686" s="40" t="n"/>
      <c r="C1686" s="41" t="n"/>
      <c r="D1686" s="41" t="n"/>
      <c r="E1686" s="41" t="n"/>
      <c r="F1686" s="50" t="n"/>
      <c r="G1686" s="42" t="n"/>
      <c r="H1686" s="42" t="n"/>
      <c r="I1686" s="43">
        <f>IF($B1686="","",N($G1686)-N($H1686))</f>
        <v/>
      </c>
    </row>
    <row r="1687">
      <c r="A1687" s="39">
        <f>IF($B1687="","",COUNTA($B$4:$B1687))</f>
        <v/>
      </c>
      <c r="B1687" s="45" t="n"/>
      <c r="C1687" s="46" t="n"/>
      <c r="D1687" s="46" t="n"/>
      <c r="E1687" s="46" t="n"/>
      <c r="F1687" s="51" t="n"/>
      <c r="G1687" s="47" t="n"/>
      <c r="H1687" s="47" t="n"/>
      <c r="I1687" s="43">
        <f>IF($B1687="","",N($G1687)-N($H1687))</f>
        <v/>
      </c>
    </row>
    <row r="1688">
      <c r="A1688" s="39">
        <f>IF($B1688="","",COUNTA($B$4:$B1688))</f>
        <v/>
      </c>
      <c r="B1688" s="40" t="n"/>
      <c r="C1688" s="41" t="n"/>
      <c r="D1688" s="41" t="n"/>
      <c r="E1688" s="41" t="n"/>
      <c r="F1688" s="50" t="n"/>
      <c r="G1688" s="42" t="n"/>
      <c r="H1688" s="42" t="n"/>
      <c r="I1688" s="43">
        <f>IF($B1688="","",N($G1688)-N($H1688))</f>
        <v/>
      </c>
    </row>
    <row r="1689">
      <c r="A1689" s="39">
        <f>IF($B1689="","",COUNTA($B$4:$B1689))</f>
        <v/>
      </c>
      <c r="B1689" s="45" t="n"/>
      <c r="C1689" s="46" t="n"/>
      <c r="D1689" s="46" t="n"/>
      <c r="E1689" s="46" t="n"/>
      <c r="F1689" s="51" t="n"/>
      <c r="G1689" s="47" t="n"/>
      <c r="H1689" s="47" t="n"/>
      <c r="I1689" s="43">
        <f>IF($B1689="","",N($G1689)-N($H1689))</f>
        <v/>
      </c>
    </row>
    <row r="1690">
      <c r="A1690" s="39">
        <f>IF($B1690="","",COUNTA($B$4:$B1690))</f>
        <v/>
      </c>
      <c r="B1690" s="40" t="n"/>
      <c r="C1690" s="41" t="n"/>
      <c r="D1690" s="41" t="n"/>
      <c r="E1690" s="41" t="n"/>
      <c r="F1690" s="50" t="n"/>
      <c r="G1690" s="42" t="n"/>
      <c r="H1690" s="42" t="n"/>
      <c r="I1690" s="43">
        <f>IF($B1690="","",N($G1690)-N($H1690))</f>
        <v/>
      </c>
    </row>
    <row r="1691">
      <c r="A1691" s="39">
        <f>IF($B1691="","",COUNTA($B$4:$B1691))</f>
        <v/>
      </c>
      <c r="B1691" s="45" t="n"/>
      <c r="C1691" s="46" t="n"/>
      <c r="D1691" s="46" t="n"/>
      <c r="E1691" s="46" t="n"/>
      <c r="F1691" s="51" t="n"/>
      <c r="G1691" s="47" t="n"/>
      <c r="H1691" s="47" t="n"/>
      <c r="I1691" s="43">
        <f>IF($B1691="","",N($G1691)-N($H1691))</f>
        <v/>
      </c>
    </row>
    <row r="1692">
      <c r="A1692" s="39">
        <f>IF($B1692="","",COUNTA($B$4:$B1692))</f>
        <v/>
      </c>
      <c r="B1692" s="40" t="n"/>
      <c r="C1692" s="41" t="n"/>
      <c r="D1692" s="41" t="n"/>
      <c r="E1692" s="41" t="n"/>
      <c r="F1692" s="50" t="n"/>
      <c r="G1692" s="42" t="n"/>
      <c r="H1692" s="42" t="n"/>
      <c r="I1692" s="43">
        <f>IF($B1692="","",N($G1692)-N($H1692))</f>
        <v/>
      </c>
    </row>
    <row r="1693">
      <c r="A1693" s="39">
        <f>IF($B1693="","",COUNTA($B$4:$B1693))</f>
        <v/>
      </c>
      <c r="B1693" s="45" t="n"/>
      <c r="C1693" s="46" t="n"/>
      <c r="D1693" s="46" t="n"/>
      <c r="E1693" s="46" t="n"/>
      <c r="F1693" s="51" t="n"/>
      <c r="G1693" s="47" t="n"/>
      <c r="H1693" s="47" t="n"/>
      <c r="I1693" s="43">
        <f>IF($B1693="","",N($G1693)-N($H1693))</f>
        <v/>
      </c>
    </row>
    <row r="1694">
      <c r="A1694" s="39">
        <f>IF($B1694="","",COUNTA($B$4:$B1694))</f>
        <v/>
      </c>
      <c r="B1694" s="40" t="n"/>
      <c r="C1694" s="41" t="n"/>
      <c r="D1694" s="41" t="n"/>
      <c r="E1694" s="41" t="n"/>
      <c r="F1694" s="50" t="n"/>
      <c r="G1694" s="42" t="n"/>
      <c r="H1694" s="42" t="n"/>
      <c r="I1694" s="43">
        <f>IF($B1694="","",N($G1694)-N($H1694))</f>
        <v/>
      </c>
    </row>
    <row r="1695">
      <c r="A1695" s="39">
        <f>IF($B1695="","",COUNTA($B$4:$B1695))</f>
        <v/>
      </c>
      <c r="B1695" s="45" t="n"/>
      <c r="C1695" s="46" t="n"/>
      <c r="D1695" s="46" t="n"/>
      <c r="E1695" s="46" t="n"/>
      <c r="F1695" s="51" t="n"/>
      <c r="G1695" s="47" t="n"/>
      <c r="H1695" s="47" t="n"/>
      <c r="I1695" s="43">
        <f>IF($B1695="","",N($G1695)-N($H1695))</f>
        <v/>
      </c>
    </row>
    <row r="1696">
      <c r="A1696" s="39">
        <f>IF($B1696="","",COUNTA($B$4:$B1696))</f>
        <v/>
      </c>
      <c r="B1696" s="40" t="n"/>
      <c r="C1696" s="41" t="n"/>
      <c r="D1696" s="41" t="n"/>
      <c r="E1696" s="41" t="n"/>
      <c r="F1696" s="50" t="n"/>
      <c r="G1696" s="42" t="n"/>
      <c r="H1696" s="42" t="n"/>
      <c r="I1696" s="43">
        <f>IF($B1696="","",N($G1696)-N($H1696))</f>
        <v/>
      </c>
    </row>
    <row r="1697">
      <c r="A1697" s="39">
        <f>IF($B1697="","",COUNTA($B$4:$B1697))</f>
        <v/>
      </c>
      <c r="B1697" s="45" t="n"/>
      <c r="C1697" s="46" t="n"/>
      <c r="D1697" s="46" t="n"/>
      <c r="E1697" s="46" t="n"/>
      <c r="F1697" s="51" t="n"/>
      <c r="G1697" s="47" t="n"/>
      <c r="H1697" s="47" t="n"/>
      <c r="I1697" s="43">
        <f>IF($B1697="","",N($G1697)-N($H1697))</f>
        <v/>
      </c>
    </row>
    <row r="1698">
      <c r="A1698" s="39">
        <f>IF($B1698="","",COUNTA($B$4:$B1698))</f>
        <v/>
      </c>
      <c r="B1698" s="40" t="n"/>
      <c r="C1698" s="41" t="n"/>
      <c r="D1698" s="41" t="n"/>
      <c r="E1698" s="41" t="n"/>
      <c r="F1698" s="50" t="n"/>
      <c r="G1698" s="42" t="n"/>
      <c r="H1698" s="42" t="n"/>
      <c r="I1698" s="43">
        <f>IF($B1698="","",N($G1698)-N($H1698))</f>
        <v/>
      </c>
    </row>
    <row r="1699">
      <c r="A1699" s="39">
        <f>IF($B1699="","",COUNTA($B$4:$B1699))</f>
        <v/>
      </c>
      <c r="B1699" s="45" t="n"/>
      <c r="C1699" s="46" t="n"/>
      <c r="D1699" s="46" t="n"/>
      <c r="E1699" s="46" t="n"/>
      <c r="F1699" s="51" t="n"/>
      <c r="G1699" s="47" t="n"/>
      <c r="H1699" s="47" t="n"/>
      <c r="I1699" s="43">
        <f>IF($B1699="","",N($G1699)-N($H1699))</f>
        <v/>
      </c>
    </row>
    <row r="1700">
      <c r="A1700" s="39">
        <f>IF($B1700="","",COUNTA($B$4:$B1700))</f>
        <v/>
      </c>
      <c r="B1700" s="40" t="n"/>
      <c r="C1700" s="41" t="n"/>
      <c r="D1700" s="41" t="n"/>
      <c r="E1700" s="41" t="n"/>
      <c r="F1700" s="50" t="n"/>
      <c r="G1700" s="42" t="n"/>
      <c r="H1700" s="42" t="n"/>
      <c r="I1700" s="43">
        <f>IF($B1700="","",N($G1700)-N($H1700))</f>
        <v/>
      </c>
    </row>
    <row r="1701">
      <c r="A1701" s="39">
        <f>IF($B1701="","",COUNTA($B$4:$B1701))</f>
        <v/>
      </c>
      <c r="B1701" s="45" t="n"/>
      <c r="C1701" s="46" t="n"/>
      <c r="D1701" s="46" t="n"/>
      <c r="E1701" s="46" t="n"/>
      <c r="F1701" s="51" t="n"/>
      <c r="G1701" s="47" t="n"/>
      <c r="H1701" s="47" t="n"/>
      <c r="I1701" s="43">
        <f>IF($B1701="","",N($G1701)-N($H1701))</f>
        <v/>
      </c>
    </row>
    <row r="1702">
      <c r="A1702" s="39">
        <f>IF($B1702="","",COUNTA($B$4:$B1702))</f>
        <v/>
      </c>
      <c r="B1702" s="40" t="n"/>
      <c r="C1702" s="41" t="n"/>
      <c r="D1702" s="41" t="n"/>
      <c r="E1702" s="41" t="n"/>
      <c r="F1702" s="50" t="n"/>
      <c r="G1702" s="42" t="n"/>
      <c r="H1702" s="42" t="n"/>
      <c r="I1702" s="43">
        <f>IF($B1702="","",N($G1702)-N($H1702))</f>
        <v/>
      </c>
    </row>
    <row r="1703">
      <c r="A1703" s="39">
        <f>IF($B1703="","",COUNTA($B$4:$B1703))</f>
        <v/>
      </c>
      <c r="B1703" s="45" t="n"/>
      <c r="C1703" s="46" t="n"/>
      <c r="D1703" s="46" t="n"/>
      <c r="E1703" s="46" t="n"/>
      <c r="F1703" s="51" t="n"/>
      <c r="G1703" s="47" t="n"/>
      <c r="H1703" s="47" t="n"/>
      <c r="I1703" s="43">
        <f>IF($B1703="","",N($G1703)-N($H1703))</f>
        <v/>
      </c>
    </row>
    <row r="1704">
      <c r="A1704" s="39">
        <f>IF($B1704="","",COUNTA($B$4:$B1704))</f>
        <v/>
      </c>
      <c r="B1704" s="40" t="n"/>
      <c r="C1704" s="41" t="n"/>
      <c r="D1704" s="41" t="n"/>
      <c r="E1704" s="41" t="n"/>
      <c r="F1704" s="50" t="n"/>
      <c r="G1704" s="42" t="n"/>
      <c r="H1704" s="42" t="n"/>
      <c r="I1704" s="43">
        <f>IF($B1704="","",N($G1704)-N($H1704))</f>
        <v/>
      </c>
    </row>
    <row r="1705">
      <c r="A1705" s="39">
        <f>IF($B1705="","",COUNTA($B$4:$B1705))</f>
        <v/>
      </c>
      <c r="B1705" s="45" t="n"/>
      <c r="C1705" s="46" t="n"/>
      <c r="D1705" s="46" t="n"/>
      <c r="E1705" s="46" t="n"/>
      <c r="F1705" s="51" t="n"/>
      <c r="G1705" s="47" t="n"/>
      <c r="H1705" s="47" t="n"/>
      <c r="I1705" s="43">
        <f>IF($B1705="","",N($G1705)-N($H1705))</f>
        <v/>
      </c>
    </row>
    <row r="1706">
      <c r="A1706" s="39">
        <f>IF($B1706="","",COUNTA($B$4:$B1706))</f>
        <v/>
      </c>
      <c r="B1706" s="40" t="n"/>
      <c r="C1706" s="41" t="n"/>
      <c r="D1706" s="41" t="n"/>
      <c r="E1706" s="41" t="n"/>
      <c r="F1706" s="50" t="n"/>
      <c r="G1706" s="42" t="n"/>
      <c r="H1706" s="42" t="n"/>
      <c r="I1706" s="43">
        <f>IF($B1706="","",N($G1706)-N($H1706))</f>
        <v/>
      </c>
    </row>
    <row r="1707">
      <c r="A1707" s="39">
        <f>IF($B1707="","",COUNTA($B$4:$B1707))</f>
        <v/>
      </c>
      <c r="B1707" s="45" t="n"/>
      <c r="C1707" s="46" t="n"/>
      <c r="D1707" s="46" t="n"/>
      <c r="E1707" s="46" t="n"/>
      <c r="F1707" s="51" t="n"/>
      <c r="G1707" s="47" t="n"/>
      <c r="H1707" s="47" t="n"/>
      <c r="I1707" s="43">
        <f>IF($B1707="","",N($G1707)-N($H1707))</f>
        <v/>
      </c>
    </row>
    <row r="1708">
      <c r="A1708" s="39">
        <f>IF($B1708="","",COUNTA($B$4:$B1708))</f>
        <v/>
      </c>
      <c r="B1708" s="40" t="n"/>
      <c r="C1708" s="41" t="n"/>
      <c r="D1708" s="41" t="n"/>
      <c r="E1708" s="41" t="n"/>
      <c r="F1708" s="50" t="n"/>
      <c r="G1708" s="42" t="n"/>
      <c r="H1708" s="42" t="n"/>
      <c r="I1708" s="43">
        <f>IF($B1708="","",N($G1708)-N($H1708))</f>
        <v/>
      </c>
    </row>
    <row r="1709">
      <c r="A1709" s="39">
        <f>IF($B1709="","",COUNTA($B$4:$B1709))</f>
        <v/>
      </c>
      <c r="B1709" s="45" t="n"/>
      <c r="C1709" s="46" t="n"/>
      <c r="D1709" s="46" t="n"/>
      <c r="E1709" s="46" t="n"/>
      <c r="F1709" s="51" t="n"/>
      <c r="G1709" s="47" t="n"/>
      <c r="H1709" s="47" t="n"/>
      <c r="I1709" s="43">
        <f>IF($B1709="","",N($G1709)-N($H1709))</f>
        <v/>
      </c>
    </row>
    <row r="1710">
      <c r="A1710" s="39">
        <f>IF($B1710="","",COUNTA($B$4:$B1710))</f>
        <v/>
      </c>
      <c r="B1710" s="40" t="n"/>
      <c r="C1710" s="41" t="n"/>
      <c r="D1710" s="41" t="n"/>
      <c r="E1710" s="41" t="n"/>
      <c r="F1710" s="50" t="n"/>
      <c r="G1710" s="42" t="n"/>
      <c r="H1710" s="42" t="n"/>
      <c r="I1710" s="43">
        <f>IF($B1710="","",N($G1710)-N($H1710))</f>
        <v/>
      </c>
    </row>
    <row r="1711">
      <c r="A1711" s="39">
        <f>IF($B1711="","",COUNTA($B$4:$B1711))</f>
        <v/>
      </c>
      <c r="B1711" s="45" t="n"/>
      <c r="C1711" s="46" t="n"/>
      <c r="D1711" s="46" t="n"/>
      <c r="E1711" s="46" t="n"/>
      <c r="F1711" s="51" t="n"/>
      <c r="G1711" s="47" t="n"/>
      <c r="H1711" s="47" t="n"/>
      <c r="I1711" s="43">
        <f>IF($B1711="","",N($G1711)-N($H1711))</f>
        <v/>
      </c>
    </row>
    <row r="1712">
      <c r="A1712" s="39">
        <f>IF($B1712="","",COUNTA($B$4:$B1712))</f>
        <v/>
      </c>
      <c r="B1712" s="40" t="n"/>
      <c r="C1712" s="41" t="n"/>
      <c r="D1712" s="41" t="n"/>
      <c r="E1712" s="41" t="n"/>
      <c r="F1712" s="50" t="n"/>
      <c r="G1712" s="42" t="n"/>
      <c r="H1712" s="42" t="n"/>
      <c r="I1712" s="43">
        <f>IF($B1712="","",N($G1712)-N($H1712))</f>
        <v/>
      </c>
    </row>
    <row r="1713">
      <c r="A1713" s="39">
        <f>IF($B1713="","",COUNTA($B$4:$B1713))</f>
        <v/>
      </c>
      <c r="B1713" s="45" t="n"/>
      <c r="C1713" s="46" t="n"/>
      <c r="D1713" s="46" t="n"/>
      <c r="E1713" s="46" t="n"/>
      <c r="F1713" s="51" t="n"/>
      <c r="G1713" s="47" t="n"/>
      <c r="H1713" s="47" t="n"/>
      <c r="I1713" s="43">
        <f>IF($B1713="","",N($G1713)-N($H1713))</f>
        <v/>
      </c>
    </row>
    <row r="1714">
      <c r="A1714" s="39">
        <f>IF($B1714="","",COUNTA($B$4:$B1714))</f>
        <v/>
      </c>
      <c r="B1714" s="40" t="n"/>
      <c r="C1714" s="41" t="n"/>
      <c r="D1714" s="41" t="n"/>
      <c r="E1714" s="41" t="n"/>
      <c r="F1714" s="50" t="n"/>
      <c r="G1714" s="42" t="n"/>
      <c r="H1714" s="42" t="n"/>
      <c r="I1714" s="43">
        <f>IF($B1714="","",N($G1714)-N($H1714))</f>
        <v/>
      </c>
    </row>
    <row r="1715">
      <c r="A1715" s="39">
        <f>IF($B1715="","",COUNTA($B$4:$B1715))</f>
        <v/>
      </c>
      <c r="B1715" s="45" t="n"/>
      <c r="C1715" s="46" t="n"/>
      <c r="D1715" s="46" t="n"/>
      <c r="E1715" s="46" t="n"/>
      <c r="F1715" s="51" t="n"/>
      <c r="G1715" s="47" t="n"/>
      <c r="H1715" s="47" t="n"/>
      <c r="I1715" s="43">
        <f>IF($B1715="","",N($G1715)-N($H1715))</f>
        <v/>
      </c>
    </row>
    <row r="1716">
      <c r="A1716" s="39">
        <f>IF($B1716="","",COUNTA($B$4:$B1716))</f>
        <v/>
      </c>
      <c r="B1716" s="40" t="n"/>
      <c r="C1716" s="41" t="n"/>
      <c r="D1716" s="41" t="n"/>
      <c r="E1716" s="41" t="n"/>
      <c r="F1716" s="50" t="n"/>
      <c r="G1716" s="42" t="n"/>
      <c r="H1716" s="42" t="n"/>
      <c r="I1716" s="43">
        <f>IF($B1716="","",N($G1716)-N($H1716))</f>
        <v/>
      </c>
    </row>
    <row r="1717">
      <c r="A1717" s="39">
        <f>IF($B1717="","",COUNTA($B$4:$B1717))</f>
        <v/>
      </c>
      <c r="B1717" s="45" t="n"/>
      <c r="C1717" s="46" t="n"/>
      <c r="D1717" s="46" t="n"/>
      <c r="E1717" s="46" t="n"/>
      <c r="F1717" s="51" t="n"/>
      <c r="G1717" s="47" t="n"/>
      <c r="H1717" s="47" t="n"/>
      <c r="I1717" s="43">
        <f>IF($B1717="","",N($G1717)-N($H1717))</f>
        <v/>
      </c>
    </row>
    <row r="1718">
      <c r="A1718" s="39">
        <f>IF($B1718="","",COUNTA($B$4:$B1718))</f>
        <v/>
      </c>
      <c r="B1718" s="40" t="n"/>
      <c r="C1718" s="41" t="n"/>
      <c r="D1718" s="41" t="n"/>
      <c r="E1718" s="41" t="n"/>
      <c r="F1718" s="50" t="n"/>
      <c r="G1718" s="42" t="n"/>
      <c r="H1718" s="42" t="n"/>
      <c r="I1718" s="43">
        <f>IF($B1718="","",N($G1718)-N($H1718))</f>
        <v/>
      </c>
    </row>
    <row r="1719">
      <c r="A1719" s="39">
        <f>IF($B1719="","",COUNTA($B$4:$B1719))</f>
        <v/>
      </c>
      <c r="B1719" s="45" t="n"/>
      <c r="C1719" s="46" t="n"/>
      <c r="D1719" s="46" t="n"/>
      <c r="E1719" s="46" t="n"/>
      <c r="F1719" s="51" t="n"/>
      <c r="G1719" s="47" t="n"/>
      <c r="H1719" s="47" t="n"/>
      <c r="I1719" s="43">
        <f>IF($B1719="","",N($G1719)-N($H1719))</f>
        <v/>
      </c>
    </row>
    <row r="1720">
      <c r="A1720" s="39">
        <f>IF($B1720="","",COUNTA($B$4:$B1720))</f>
        <v/>
      </c>
      <c r="B1720" s="40" t="n"/>
      <c r="C1720" s="41" t="n"/>
      <c r="D1720" s="41" t="n"/>
      <c r="E1720" s="41" t="n"/>
      <c r="F1720" s="50" t="n"/>
      <c r="G1720" s="42" t="n"/>
      <c r="H1720" s="42" t="n"/>
      <c r="I1720" s="43">
        <f>IF($B1720="","",N($G1720)-N($H1720))</f>
        <v/>
      </c>
    </row>
    <row r="1721">
      <c r="A1721" s="39">
        <f>IF($B1721="","",COUNTA($B$4:$B1721))</f>
        <v/>
      </c>
      <c r="B1721" s="45" t="n"/>
      <c r="C1721" s="46" t="n"/>
      <c r="D1721" s="46" t="n"/>
      <c r="E1721" s="46" t="n"/>
      <c r="F1721" s="51" t="n"/>
      <c r="G1721" s="47" t="n"/>
      <c r="H1721" s="47" t="n"/>
      <c r="I1721" s="43">
        <f>IF($B1721="","",N($G1721)-N($H1721))</f>
        <v/>
      </c>
    </row>
    <row r="1722">
      <c r="A1722" s="39">
        <f>IF($B1722="","",COUNTA($B$4:$B1722))</f>
        <v/>
      </c>
      <c r="B1722" s="40" t="n"/>
      <c r="C1722" s="41" t="n"/>
      <c r="D1722" s="41" t="n"/>
      <c r="E1722" s="41" t="n"/>
      <c r="F1722" s="50" t="n"/>
      <c r="G1722" s="42" t="n"/>
      <c r="H1722" s="42" t="n"/>
      <c r="I1722" s="43">
        <f>IF($B1722="","",N($G1722)-N($H1722))</f>
        <v/>
      </c>
    </row>
    <row r="1723">
      <c r="A1723" s="39">
        <f>IF($B1723="","",COUNTA($B$4:$B1723))</f>
        <v/>
      </c>
      <c r="B1723" s="45" t="n"/>
      <c r="C1723" s="46" t="n"/>
      <c r="D1723" s="46" t="n"/>
      <c r="E1723" s="46" t="n"/>
      <c r="F1723" s="51" t="n"/>
      <c r="G1723" s="47" t="n"/>
      <c r="H1723" s="47" t="n"/>
      <c r="I1723" s="43">
        <f>IF($B1723="","",N($G1723)-N($H1723))</f>
        <v/>
      </c>
    </row>
    <row r="1724">
      <c r="A1724" s="39">
        <f>IF($B1724="","",COUNTA($B$4:$B1724))</f>
        <v/>
      </c>
      <c r="B1724" s="40" t="n"/>
      <c r="C1724" s="41" t="n"/>
      <c r="D1724" s="41" t="n"/>
      <c r="E1724" s="41" t="n"/>
      <c r="F1724" s="50" t="n"/>
      <c r="G1724" s="42" t="n"/>
      <c r="H1724" s="42" t="n"/>
      <c r="I1724" s="43">
        <f>IF($B1724="","",N($G1724)-N($H1724))</f>
        <v/>
      </c>
    </row>
    <row r="1725">
      <c r="A1725" s="39">
        <f>IF($B1725="","",COUNTA($B$4:$B1725))</f>
        <v/>
      </c>
      <c r="B1725" s="45" t="n"/>
      <c r="C1725" s="46" t="n"/>
      <c r="D1725" s="46" t="n"/>
      <c r="E1725" s="46" t="n"/>
      <c r="F1725" s="51" t="n"/>
      <c r="G1725" s="47" t="n"/>
      <c r="H1725" s="47" t="n"/>
      <c r="I1725" s="43">
        <f>IF($B1725="","",N($G1725)-N($H1725))</f>
        <v/>
      </c>
    </row>
    <row r="1726">
      <c r="A1726" s="39">
        <f>IF($B1726="","",COUNTA($B$4:$B1726))</f>
        <v/>
      </c>
      <c r="B1726" s="40" t="n"/>
      <c r="C1726" s="41" t="n"/>
      <c r="D1726" s="41" t="n"/>
      <c r="E1726" s="41" t="n"/>
      <c r="F1726" s="50" t="n"/>
      <c r="G1726" s="42" t="n"/>
      <c r="H1726" s="42" t="n"/>
      <c r="I1726" s="43">
        <f>IF($B1726="","",N($G1726)-N($H1726))</f>
        <v/>
      </c>
    </row>
    <row r="1727">
      <c r="A1727" s="39">
        <f>IF($B1727="","",COUNTA($B$4:$B1727))</f>
        <v/>
      </c>
      <c r="B1727" s="45" t="n"/>
      <c r="C1727" s="46" t="n"/>
      <c r="D1727" s="46" t="n"/>
      <c r="E1727" s="46" t="n"/>
      <c r="F1727" s="51" t="n"/>
      <c r="G1727" s="47" t="n"/>
      <c r="H1727" s="47" t="n"/>
      <c r="I1727" s="43">
        <f>IF($B1727="","",N($G1727)-N($H1727))</f>
        <v/>
      </c>
    </row>
    <row r="1728">
      <c r="A1728" s="39">
        <f>IF($B1728="","",COUNTA($B$4:$B1728))</f>
        <v/>
      </c>
      <c r="B1728" s="40" t="n"/>
      <c r="C1728" s="41" t="n"/>
      <c r="D1728" s="41" t="n"/>
      <c r="E1728" s="41" t="n"/>
      <c r="F1728" s="50" t="n"/>
      <c r="G1728" s="42" t="n"/>
      <c r="H1728" s="42" t="n"/>
      <c r="I1728" s="43">
        <f>IF($B1728="","",N($G1728)-N($H1728))</f>
        <v/>
      </c>
    </row>
    <row r="1729">
      <c r="A1729" s="39">
        <f>IF($B1729="","",COUNTA($B$4:$B1729))</f>
        <v/>
      </c>
      <c r="B1729" s="45" t="n"/>
      <c r="C1729" s="46" t="n"/>
      <c r="D1729" s="46" t="n"/>
      <c r="E1729" s="46" t="n"/>
      <c r="F1729" s="51" t="n"/>
      <c r="G1729" s="47" t="n"/>
      <c r="H1729" s="47" t="n"/>
      <c r="I1729" s="43">
        <f>IF($B1729="","",N($G1729)-N($H1729))</f>
        <v/>
      </c>
    </row>
    <row r="1730">
      <c r="A1730" s="39">
        <f>IF($B1730="","",COUNTA($B$4:$B1730))</f>
        <v/>
      </c>
      <c r="B1730" s="40" t="n"/>
      <c r="C1730" s="41" t="n"/>
      <c r="D1730" s="41" t="n"/>
      <c r="E1730" s="41" t="n"/>
      <c r="F1730" s="50" t="n"/>
      <c r="G1730" s="42" t="n"/>
      <c r="H1730" s="42" t="n"/>
      <c r="I1730" s="43">
        <f>IF($B1730="","",N($G1730)-N($H1730))</f>
        <v/>
      </c>
    </row>
    <row r="1731">
      <c r="A1731" s="39">
        <f>IF($B1731="","",COUNTA($B$4:$B1731))</f>
        <v/>
      </c>
      <c r="B1731" s="45" t="n"/>
      <c r="C1731" s="46" t="n"/>
      <c r="D1731" s="46" t="n"/>
      <c r="E1731" s="46" t="n"/>
      <c r="F1731" s="51" t="n"/>
      <c r="G1731" s="47" t="n"/>
      <c r="H1731" s="47" t="n"/>
      <c r="I1731" s="43">
        <f>IF($B1731="","",N($G1731)-N($H1731))</f>
        <v/>
      </c>
    </row>
    <row r="1732">
      <c r="A1732" s="39">
        <f>IF($B1732="","",COUNTA($B$4:$B1732))</f>
        <v/>
      </c>
      <c r="B1732" s="40" t="n"/>
      <c r="C1732" s="41" t="n"/>
      <c r="D1732" s="41" t="n"/>
      <c r="E1732" s="41" t="n"/>
      <c r="F1732" s="50" t="n"/>
      <c r="G1732" s="42" t="n"/>
      <c r="H1732" s="42" t="n"/>
      <c r="I1732" s="43">
        <f>IF($B1732="","",N($G1732)-N($H1732))</f>
        <v/>
      </c>
    </row>
    <row r="1733">
      <c r="A1733" s="39">
        <f>IF($B1733="","",COUNTA($B$4:$B1733))</f>
        <v/>
      </c>
      <c r="B1733" s="45" t="n"/>
      <c r="C1733" s="46" t="n"/>
      <c r="D1733" s="46" t="n"/>
      <c r="E1733" s="46" t="n"/>
      <c r="F1733" s="51" t="n"/>
      <c r="G1733" s="47" t="n"/>
      <c r="H1733" s="47" t="n"/>
      <c r="I1733" s="43">
        <f>IF($B1733="","",N($G1733)-N($H1733))</f>
        <v/>
      </c>
    </row>
    <row r="1734">
      <c r="A1734" s="39">
        <f>IF($B1734="","",COUNTA($B$4:$B1734))</f>
        <v/>
      </c>
      <c r="B1734" s="40" t="n"/>
      <c r="C1734" s="41" t="n"/>
      <c r="D1734" s="41" t="n"/>
      <c r="E1734" s="41" t="n"/>
      <c r="F1734" s="50" t="n"/>
      <c r="G1734" s="42" t="n"/>
      <c r="H1734" s="42" t="n"/>
      <c r="I1734" s="43">
        <f>IF($B1734="","",N($G1734)-N($H1734))</f>
        <v/>
      </c>
    </row>
    <row r="1735">
      <c r="A1735" s="39">
        <f>IF($B1735="","",COUNTA($B$4:$B1735))</f>
        <v/>
      </c>
      <c r="B1735" s="45" t="n"/>
      <c r="C1735" s="46" t="n"/>
      <c r="D1735" s="46" t="n"/>
      <c r="E1735" s="46" t="n"/>
      <c r="F1735" s="51" t="n"/>
      <c r="G1735" s="47" t="n"/>
      <c r="H1735" s="47" t="n"/>
      <c r="I1735" s="43">
        <f>IF($B1735="","",N($G1735)-N($H1735))</f>
        <v/>
      </c>
    </row>
    <row r="1736">
      <c r="A1736" s="39">
        <f>IF($B1736="","",COUNTA($B$4:$B1736))</f>
        <v/>
      </c>
      <c r="B1736" s="40" t="n"/>
      <c r="C1736" s="41" t="n"/>
      <c r="D1736" s="41" t="n"/>
      <c r="E1736" s="41" t="n"/>
      <c r="F1736" s="50" t="n"/>
      <c r="G1736" s="42" t="n"/>
      <c r="H1736" s="42" t="n"/>
      <c r="I1736" s="43">
        <f>IF($B1736="","",N($G1736)-N($H1736))</f>
        <v/>
      </c>
    </row>
    <row r="1737">
      <c r="A1737" s="39">
        <f>IF($B1737="","",COUNTA($B$4:$B1737))</f>
        <v/>
      </c>
      <c r="B1737" s="45" t="n"/>
      <c r="C1737" s="46" t="n"/>
      <c r="D1737" s="46" t="n"/>
      <c r="E1737" s="46" t="n"/>
      <c r="F1737" s="51" t="n"/>
      <c r="G1737" s="47" t="n"/>
      <c r="H1737" s="47" t="n"/>
      <c r="I1737" s="43">
        <f>IF($B1737="","",N($G1737)-N($H1737))</f>
        <v/>
      </c>
    </row>
    <row r="1738">
      <c r="A1738" s="39">
        <f>IF($B1738="","",COUNTA($B$4:$B1738))</f>
        <v/>
      </c>
      <c r="B1738" s="40" t="n"/>
      <c r="C1738" s="41" t="n"/>
      <c r="D1738" s="41" t="n"/>
      <c r="E1738" s="41" t="n"/>
      <c r="F1738" s="50" t="n"/>
      <c r="G1738" s="42" t="n"/>
      <c r="H1738" s="42" t="n"/>
      <c r="I1738" s="43">
        <f>IF($B1738="","",N($G1738)-N($H1738))</f>
        <v/>
      </c>
    </row>
    <row r="1739">
      <c r="A1739" s="39">
        <f>IF($B1739="","",COUNTA($B$4:$B1739))</f>
        <v/>
      </c>
      <c r="B1739" s="45" t="n"/>
      <c r="C1739" s="46" t="n"/>
      <c r="D1739" s="46" t="n"/>
      <c r="E1739" s="46" t="n"/>
      <c r="F1739" s="51" t="n"/>
      <c r="G1739" s="47" t="n"/>
      <c r="H1739" s="47" t="n"/>
      <c r="I1739" s="43">
        <f>IF($B1739="","",N($G1739)-N($H1739))</f>
        <v/>
      </c>
    </row>
    <row r="1740">
      <c r="A1740" s="39">
        <f>IF($B1740="","",COUNTA($B$4:$B1740))</f>
        <v/>
      </c>
      <c r="B1740" s="40" t="n"/>
      <c r="C1740" s="41" t="n"/>
      <c r="D1740" s="41" t="n"/>
      <c r="E1740" s="41" t="n"/>
      <c r="F1740" s="50" t="n"/>
      <c r="G1740" s="42" t="n"/>
      <c r="H1740" s="42" t="n"/>
      <c r="I1740" s="43">
        <f>IF($B1740="","",N($G1740)-N($H1740))</f>
        <v/>
      </c>
    </row>
    <row r="1741">
      <c r="A1741" s="39">
        <f>IF($B1741="","",COUNTA($B$4:$B1741))</f>
        <v/>
      </c>
      <c r="B1741" s="45" t="n"/>
      <c r="C1741" s="46" t="n"/>
      <c r="D1741" s="46" t="n"/>
      <c r="E1741" s="46" t="n"/>
      <c r="F1741" s="51" t="n"/>
      <c r="G1741" s="47" t="n"/>
      <c r="H1741" s="47" t="n"/>
      <c r="I1741" s="43">
        <f>IF($B1741="","",N($G1741)-N($H1741))</f>
        <v/>
      </c>
    </row>
    <row r="1742">
      <c r="A1742" s="39">
        <f>IF($B1742="","",COUNTA($B$4:$B1742))</f>
        <v/>
      </c>
      <c r="B1742" s="40" t="n"/>
      <c r="C1742" s="41" t="n"/>
      <c r="D1742" s="41" t="n"/>
      <c r="E1742" s="41" t="n"/>
      <c r="F1742" s="50" t="n"/>
      <c r="G1742" s="42" t="n"/>
      <c r="H1742" s="42" t="n"/>
      <c r="I1742" s="43">
        <f>IF($B1742="","",N($G1742)-N($H1742))</f>
        <v/>
      </c>
    </row>
    <row r="1743">
      <c r="A1743" s="39">
        <f>IF($B1743="","",COUNTA($B$4:$B1743))</f>
        <v/>
      </c>
      <c r="B1743" s="45" t="n"/>
      <c r="C1743" s="46" t="n"/>
      <c r="D1743" s="46" t="n"/>
      <c r="E1743" s="46" t="n"/>
      <c r="F1743" s="51" t="n"/>
      <c r="G1743" s="47" t="n"/>
      <c r="H1743" s="47" t="n"/>
      <c r="I1743" s="43">
        <f>IF($B1743="","",N($G1743)-N($H1743))</f>
        <v/>
      </c>
    </row>
    <row r="1744">
      <c r="A1744" s="39">
        <f>IF($B1744="","",COUNTA($B$4:$B1744))</f>
        <v/>
      </c>
      <c r="B1744" s="40" t="n"/>
      <c r="C1744" s="41" t="n"/>
      <c r="D1744" s="41" t="n"/>
      <c r="E1744" s="41" t="n"/>
      <c r="F1744" s="50" t="n"/>
      <c r="G1744" s="42" t="n"/>
      <c r="H1744" s="42" t="n"/>
      <c r="I1744" s="43">
        <f>IF($B1744="","",N($G1744)-N($H1744))</f>
        <v/>
      </c>
    </row>
    <row r="1745">
      <c r="A1745" s="39">
        <f>IF($B1745="","",COUNTA($B$4:$B1745))</f>
        <v/>
      </c>
      <c r="B1745" s="45" t="n"/>
      <c r="C1745" s="46" t="n"/>
      <c r="D1745" s="46" t="n"/>
      <c r="E1745" s="46" t="n"/>
      <c r="F1745" s="51" t="n"/>
      <c r="G1745" s="47" t="n"/>
      <c r="H1745" s="47" t="n"/>
      <c r="I1745" s="43">
        <f>IF($B1745="","",N($G1745)-N($H1745))</f>
        <v/>
      </c>
    </row>
    <row r="1746">
      <c r="A1746" s="39">
        <f>IF($B1746="","",COUNTA($B$4:$B1746))</f>
        <v/>
      </c>
      <c r="B1746" s="40" t="n"/>
      <c r="C1746" s="41" t="n"/>
      <c r="D1746" s="41" t="n"/>
      <c r="E1746" s="41" t="n"/>
      <c r="F1746" s="50" t="n"/>
      <c r="G1746" s="42" t="n"/>
      <c r="H1746" s="42" t="n"/>
      <c r="I1746" s="43">
        <f>IF($B1746="","",N($G1746)-N($H1746))</f>
        <v/>
      </c>
    </row>
    <row r="1747">
      <c r="A1747" s="39">
        <f>IF($B1747="","",COUNTA($B$4:$B1747))</f>
        <v/>
      </c>
      <c r="B1747" s="45" t="n"/>
      <c r="C1747" s="46" t="n"/>
      <c r="D1747" s="46" t="n"/>
      <c r="E1747" s="46" t="n"/>
      <c r="F1747" s="51" t="n"/>
      <c r="G1747" s="47" t="n"/>
      <c r="H1747" s="47" t="n"/>
      <c r="I1747" s="43">
        <f>IF($B1747="","",N($G1747)-N($H1747))</f>
        <v/>
      </c>
    </row>
    <row r="1748">
      <c r="A1748" s="39">
        <f>IF($B1748="","",COUNTA($B$4:$B1748))</f>
        <v/>
      </c>
      <c r="B1748" s="40" t="n"/>
      <c r="C1748" s="41" t="n"/>
      <c r="D1748" s="41" t="n"/>
      <c r="E1748" s="41" t="n"/>
      <c r="F1748" s="50" t="n"/>
      <c r="G1748" s="42" t="n"/>
      <c r="H1748" s="42" t="n"/>
      <c r="I1748" s="43">
        <f>IF($B1748="","",N($G1748)-N($H1748))</f>
        <v/>
      </c>
    </row>
    <row r="1749">
      <c r="A1749" s="39">
        <f>IF($B1749="","",COUNTA($B$4:$B1749))</f>
        <v/>
      </c>
      <c r="B1749" s="45" t="n"/>
      <c r="C1749" s="46" t="n"/>
      <c r="D1749" s="46" t="n"/>
      <c r="E1749" s="46" t="n"/>
      <c r="F1749" s="51" t="n"/>
      <c r="G1749" s="47" t="n"/>
      <c r="H1749" s="47" t="n"/>
      <c r="I1749" s="43">
        <f>IF($B1749="","",N($G1749)-N($H1749))</f>
        <v/>
      </c>
    </row>
    <row r="1750">
      <c r="A1750" s="39">
        <f>IF($B1750="","",COUNTA($B$4:$B1750))</f>
        <v/>
      </c>
      <c r="B1750" s="40" t="n"/>
      <c r="C1750" s="41" t="n"/>
      <c r="D1750" s="41" t="n"/>
      <c r="E1750" s="41" t="n"/>
      <c r="F1750" s="50" t="n"/>
      <c r="G1750" s="42" t="n"/>
      <c r="H1750" s="42" t="n"/>
      <c r="I1750" s="43">
        <f>IF($B1750="","",N($G1750)-N($H1750))</f>
        <v/>
      </c>
    </row>
    <row r="1751">
      <c r="A1751" s="39">
        <f>IF($B1751="","",COUNTA($B$4:$B1751))</f>
        <v/>
      </c>
      <c r="B1751" s="45" t="n"/>
      <c r="C1751" s="46" t="n"/>
      <c r="D1751" s="46" t="n"/>
      <c r="E1751" s="46" t="n"/>
      <c r="F1751" s="51" t="n"/>
      <c r="G1751" s="47" t="n"/>
      <c r="H1751" s="47" t="n"/>
      <c r="I1751" s="43">
        <f>IF($B1751="","",N($G1751)-N($H1751))</f>
        <v/>
      </c>
    </row>
    <row r="1752">
      <c r="A1752" s="39">
        <f>IF($B1752="","",COUNTA($B$4:$B1752))</f>
        <v/>
      </c>
      <c r="B1752" s="40" t="n"/>
      <c r="C1752" s="41" t="n"/>
      <c r="D1752" s="41" t="n"/>
      <c r="E1752" s="41" t="n"/>
      <c r="F1752" s="50" t="n"/>
      <c r="G1752" s="42" t="n"/>
      <c r="H1752" s="42" t="n"/>
      <c r="I1752" s="43">
        <f>IF($B1752="","",N($G1752)-N($H1752))</f>
        <v/>
      </c>
    </row>
    <row r="1753">
      <c r="A1753" s="39">
        <f>IF($B1753="","",COUNTA($B$4:$B1753))</f>
        <v/>
      </c>
      <c r="B1753" s="45" t="n"/>
      <c r="C1753" s="46" t="n"/>
      <c r="D1753" s="46" t="n"/>
      <c r="E1753" s="46" t="n"/>
      <c r="F1753" s="51" t="n"/>
      <c r="G1753" s="47" t="n"/>
      <c r="H1753" s="47" t="n"/>
      <c r="I1753" s="43">
        <f>IF($B1753="","",N($G1753)-N($H1753))</f>
        <v/>
      </c>
    </row>
    <row r="1754">
      <c r="A1754" s="39">
        <f>IF($B1754="","",COUNTA($B$4:$B1754))</f>
        <v/>
      </c>
      <c r="B1754" s="40" t="n"/>
      <c r="C1754" s="41" t="n"/>
      <c r="D1754" s="41" t="n"/>
      <c r="E1754" s="41" t="n"/>
      <c r="F1754" s="50" t="n"/>
      <c r="G1754" s="42" t="n"/>
      <c r="H1754" s="42" t="n"/>
      <c r="I1754" s="43">
        <f>IF($B1754="","",N($G1754)-N($H1754))</f>
        <v/>
      </c>
    </row>
    <row r="1755">
      <c r="A1755" s="39">
        <f>IF($B1755="","",COUNTA($B$4:$B1755))</f>
        <v/>
      </c>
      <c r="B1755" s="45" t="n"/>
      <c r="C1755" s="46" t="n"/>
      <c r="D1755" s="46" t="n"/>
      <c r="E1755" s="46" t="n"/>
      <c r="F1755" s="51" t="n"/>
      <c r="G1755" s="47" t="n"/>
      <c r="H1755" s="47" t="n"/>
      <c r="I1755" s="43">
        <f>IF($B1755="","",N($G1755)-N($H1755))</f>
        <v/>
      </c>
    </row>
    <row r="1756">
      <c r="A1756" s="39">
        <f>IF($B1756="","",COUNTA($B$4:$B1756))</f>
        <v/>
      </c>
      <c r="B1756" s="40" t="n"/>
      <c r="C1756" s="41" t="n"/>
      <c r="D1756" s="41" t="n"/>
      <c r="E1756" s="41" t="n"/>
      <c r="F1756" s="50" t="n"/>
      <c r="G1756" s="42" t="n"/>
      <c r="H1756" s="42" t="n"/>
      <c r="I1756" s="43">
        <f>IF($B1756="","",N($G1756)-N($H1756))</f>
        <v/>
      </c>
    </row>
    <row r="1757">
      <c r="A1757" s="39">
        <f>IF($B1757="","",COUNTA($B$4:$B1757))</f>
        <v/>
      </c>
      <c r="B1757" s="45" t="n"/>
      <c r="C1757" s="46" t="n"/>
      <c r="D1757" s="46" t="n"/>
      <c r="E1757" s="46" t="n"/>
      <c r="F1757" s="51" t="n"/>
      <c r="G1757" s="47" t="n"/>
      <c r="H1757" s="47" t="n"/>
      <c r="I1757" s="43">
        <f>IF($B1757="","",N($G1757)-N($H1757))</f>
        <v/>
      </c>
    </row>
    <row r="1758">
      <c r="A1758" s="39">
        <f>IF($B1758="","",COUNTA($B$4:$B1758))</f>
        <v/>
      </c>
      <c r="B1758" s="40" t="n"/>
      <c r="C1758" s="41" t="n"/>
      <c r="D1758" s="41" t="n"/>
      <c r="E1758" s="41" t="n"/>
      <c r="F1758" s="50" t="n"/>
      <c r="G1758" s="42" t="n"/>
      <c r="H1758" s="42" t="n"/>
      <c r="I1758" s="43">
        <f>IF($B1758="","",N($G1758)-N($H1758))</f>
        <v/>
      </c>
    </row>
    <row r="1759">
      <c r="A1759" s="39">
        <f>IF($B1759="","",COUNTA($B$4:$B1759))</f>
        <v/>
      </c>
      <c r="B1759" s="45" t="n"/>
      <c r="C1759" s="46" t="n"/>
      <c r="D1759" s="46" t="n"/>
      <c r="E1759" s="46" t="n"/>
      <c r="F1759" s="51" t="n"/>
      <c r="G1759" s="47" t="n"/>
      <c r="H1759" s="47" t="n"/>
      <c r="I1759" s="43">
        <f>IF($B1759="","",N($G1759)-N($H1759))</f>
        <v/>
      </c>
    </row>
    <row r="1760">
      <c r="A1760" s="39">
        <f>IF($B1760="","",COUNTA($B$4:$B1760))</f>
        <v/>
      </c>
      <c r="B1760" s="40" t="n"/>
      <c r="C1760" s="41" t="n"/>
      <c r="D1760" s="41" t="n"/>
      <c r="E1760" s="41" t="n"/>
      <c r="F1760" s="50" t="n"/>
      <c r="G1760" s="42" t="n"/>
      <c r="H1760" s="42" t="n"/>
      <c r="I1760" s="43">
        <f>IF($B1760="","",N($G1760)-N($H1760))</f>
        <v/>
      </c>
    </row>
    <row r="1761">
      <c r="A1761" s="39">
        <f>IF($B1761="","",COUNTA($B$4:$B1761))</f>
        <v/>
      </c>
      <c r="B1761" s="45" t="n"/>
      <c r="C1761" s="46" t="n"/>
      <c r="D1761" s="46" t="n"/>
      <c r="E1761" s="46" t="n"/>
      <c r="F1761" s="51" t="n"/>
      <c r="G1761" s="47" t="n"/>
      <c r="H1761" s="47" t="n"/>
      <c r="I1761" s="43">
        <f>IF($B1761="","",N($G1761)-N($H1761))</f>
        <v/>
      </c>
    </row>
    <row r="1762">
      <c r="A1762" s="39">
        <f>IF($B1762="","",COUNTA($B$4:$B1762))</f>
        <v/>
      </c>
      <c r="B1762" s="40" t="n"/>
      <c r="C1762" s="41" t="n"/>
      <c r="D1762" s="41" t="n"/>
      <c r="E1762" s="41" t="n"/>
      <c r="F1762" s="50" t="n"/>
      <c r="G1762" s="42" t="n"/>
      <c r="H1762" s="42" t="n"/>
      <c r="I1762" s="43">
        <f>IF($B1762="","",N($G1762)-N($H1762))</f>
        <v/>
      </c>
    </row>
    <row r="1763">
      <c r="A1763" s="39">
        <f>IF($B1763="","",COUNTA($B$4:$B1763))</f>
        <v/>
      </c>
      <c r="B1763" s="45" t="n"/>
      <c r="C1763" s="46" t="n"/>
      <c r="D1763" s="46" t="n"/>
      <c r="E1763" s="46" t="n"/>
      <c r="F1763" s="51" t="n"/>
      <c r="G1763" s="47" t="n"/>
      <c r="H1763" s="47" t="n"/>
      <c r="I1763" s="43">
        <f>IF($B1763="","",N($G1763)-N($H1763))</f>
        <v/>
      </c>
    </row>
    <row r="1764">
      <c r="A1764" s="39">
        <f>IF($B1764="","",COUNTA($B$4:$B1764))</f>
        <v/>
      </c>
      <c r="B1764" s="40" t="n"/>
      <c r="C1764" s="41" t="n"/>
      <c r="D1764" s="41" t="n"/>
      <c r="E1764" s="41" t="n"/>
      <c r="F1764" s="50" t="n"/>
      <c r="G1764" s="42" t="n"/>
      <c r="H1764" s="42" t="n"/>
      <c r="I1764" s="43">
        <f>IF($B1764="","",N($G1764)-N($H1764))</f>
        <v/>
      </c>
    </row>
    <row r="1765">
      <c r="A1765" s="39">
        <f>IF($B1765="","",COUNTA($B$4:$B1765))</f>
        <v/>
      </c>
      <c r="B1765" s="45" t="n"/>
      <c r="C1765" s="46" t="n"/>
      <c r="D1765" s="46" t="n"/>
      <c r="E1765" s="46" t="n"/>
      <c r="F1765" s="51" t="n"/>
      <c r="G1765" s="47" t="n"/>
      <c r="H1765" s="47" t="n"/>
      <c r="I1765" s="43">
        <f>IF($B1765="","",N($G1765)-N($H1765))</f>
        <v/>
      </c>
    </row>
    <row r="1766">
      <c r="A1766" s="39">
        <f>IF($B1766="","",COUNTA($B$4:$B1766))</f>
        <v/>
      </c>
      <c r="B1766" s="40" t="n"/>
      <c r="C1766" s="41" t="n"/>
      <c r="D1766" s="41" t="n"/>
      <c r="E1766" s="41" t="n"/>
      <c r="F1766" s="50" t="n"/>
      <c r="G1766" s="42" t="n"/>
      <c r="H1766" s="42" t="n"/>
      <c r="I1766" s="43">
        <f>IF($B1766="","",N($G1766)-N($H1766))</f>
        <v/>
      </c>
    </row>
    <row r="1767">
      <c r="A1767" s="39">
        <f>IF($B1767="","",COUNTA($B$4:$B1767))</f>
        <v/>
      </c>
      <c r="B1767" s="45" t="n"/>
      <c r="C1767" s="46" t="n"/>
      <c r="D1767" s="46" t="n"/>
      <c r="E1767" s="46" t="n"/>
      <c r="F1767" s="51" t="n"/>
      <c r="G1767" s="47" t="n"/>
      <c r="H1767" s="47" t="n"/>
      <c r="I1767" s="43">
        <f>IF($B1767="","",N($G1767)-N($H1767))</f>
        <v/>
      </c>
    </row>
    <row r="1768">
      <c r="A1768" s="39">
        <f>IF($B1768="","",COUNTA($B$4:$B1768))</f>
        <v/>
      </c>
      <c r="B1768" s="40" t="n"/>
      <c r="C1768" s="41" t="n"/>
      <c r="D1768" s="41" t="n"/>
      <c r="E1768" s="41" t="n"/>
      <c r="F1768" s="50" t="n"/>
      <c r="G1768" s="42" t="n"/>
      <c r="H1768" s="42" t="n"/>
      <c r="I1768" s="43">
        <f>IF($B1768="","",N($G1768)-N($H1768))</f>
        <v/>
      </c>
    </row>
    <row r="1769">
      <c r="A1769" s="39">
        <f>IF($B1769="","",COUNTA($B$4:$B1769))</f>
        <v/>
      </c>
      <c r="B1769" s="45" t="n"/>
      <c r="C1769" s="46" t="n"/>
      <c r="D1769" s="46" t="n"/>
      <c r="E1769" s="46" t="n"/>
      <c r="F1769" s="51" t="n"/>
      <c r="G1769" s="47" t="n"/>
      <c r="H1769" s="47" t="n"/>
      <c r="I1769" s="43">
        <f>IF($B1769="","",N($G1769)-N($H1769))</f>
        <v/>
      </c>
    </row>
    <row r="1770">
      <c r="A1770" s="39">
        <f>IF($B1770="","",COUNTA($B$4:$B1770))</f>
        <v/>
      </c>
      <c r="B1770" s="40" t="n"/>
      <c r="C1770" s="41" t="n"/>
      <c r="D1770" s="41" t="n"/>
      <c r="E1770" s="41" t="n"/>
      <c r="F1770" s="50" t="n"/>
      <c r="G1770" s="42" t="n"/>
      <c r="H1770" s="42" t="n"/>
      <c r="I1770" s="43">
        <f>IF($B1770="","",N($G1770)-N($H1770))</f>
        <v/>
      </c>
    </row>
    <row r="1771">
      <c r="A1771" s="39">
        <f>IF($B1771="","",COUNTA($B$4:$B1771))</f>
        <v/>
      </c>
      <c r="B1771" s="45" t="n"/>
      <c r="C1771" s="46" t="n"/>
      <c r="D1771" s="46" t="n"/>
      <c r="E1771" s="46" t="n"/>
      <c r="F1771" s="51" t="n"/>
      <c r="G1771" s="47" t="n"/>
      <c r="H1771" s="47" t="n"/>
      <c r="I1771" s="43">
        <f>IF($B1771="","",N($G1771)-N($H1771))</f>
        <v/>
      </c>
    </row>
    <row r="1772">
      <c r="A1772" s="39">
        <f>IF($B1772="","",COUNTA($B$4:$B1772))</f>
        <v/>
      </c>
      <c r="B1772" s="40" t="n"/>
      <c r="C1772" s="41" t="n"/>
      <c r="D1772" s="41" t="n"/>
      <c r="E1772" s="41" t="n"/>
      <c r="F1772" s="50" t="n"/>
      <c r="G1772" s="42" t="n"/>
      <c r="H1772" s="42" t="n"/>
      <c r="I1772" s="43">
        <f>IF($B1772="","",N($G1772)-N($H1772))</f>
        <v/>
      </c>
    </row>
    <row r="1773">
      <c r="A1773" s="39">
        <f>IF($B1773="","",COUNTA($B$4:$B1773))</f>
        <v/>
      </c>
      <c r="B1773" s="45" t="n"/>
      <c r="C1773" s="46" t="n"/>
      <c r="D1773" s="46" t="n"/>
      <c r="E1773" s="46" t="n"/>
      <c r="F1773" s="51" t="n"/>
      <c r="G1773" s="47" t="n"/>
      <c r="H1773" s="47" t="n"/>
      <c r="I1773" s="43">
        <f>IF($B1773="","",N($G1773)-N($H1773))</f>
        <v/>
      </c>
    </row>
    <row r="1774">
      <c r="A1774" s="39">
        <f>IF($B1774="","",COUNTA($B$4:$B1774))</f>
        <v/>
      </c>
      <c r="B1774" s="40" t="n"/>
      <c r="C1774" s="41" t="n"/>
      <c r="D1774" s="41" t="n"/>
      <c r="E1774" s="41" t="n"/>
      <c r="F1774" s="50" t="n"/>
      <c r="G1774" s="42" t="n"/>
      <c r="H1774" s="42" t="n"/>
      <c r="I1774" s="43">
        <f>IF($B1774="","",N($G1774)-N($H1774))</f>
        <v/>
      </c>
    </row>
    <row r="1775">
      <c r="A1775" s="39">
        <f>IF($B1775="","",COUNTA($B$4:$B1775))</f>
        <v/>
      </c>
      <c r="B1775" s="45" t="n"/>
      <c r="C1775" s="46" t="n"/>
      <c r="D1775" s="46" t="n"/>
      <c r="E1775" s="46" t="n"/>
      <c r="F1775" s="51" t="n"/>
      <c r="G1775" s="47" t="n"/>
      <c r="H1775" s="47" t="n"/>
      <c r="I1775" s="43">
        <f>IF($B1775="","",N($G1775)-N($H1775))</f>
        <v/>
      </c>
    </row>
    <row r="1776">
      <c r="A1776" s="39">
        <f>IF($B1776="","",COUNTA($B$4:$B1776))</f>
        <v/>
      </c>
      <c r="B1776" s="40" t="n"/>
      <c r="C1776" s="41" t="n"/>
      <c r="D1776" s="41" t="n"/>
      <c r="E1776" s="41" t="n"/>
      <c r="F1776" s="50" t="n"/>
      <c r="G1776" s="42" t="n"/>
      <c r="H1776" s="42" t="n"/>
      <c r="I1776" s="43">
        <f>IF($B1776="","",N($G1776)-N($H1776))</f>
        <v/>
      </c>
    </row>
    <row r="1777">
      <c r="A1777" s="39">
        <f>IF($B1777="","",COUNTA($B$4:$B1777))</f>
        <v/>
      </c>
      <c r="B1777" s="45" t="n"/>
      <c r="C1777" s="46" t="n"/>
      <c r="D1777" s="46" t="n"/>
      <c r="E1777" s="46" t="n"/>
      <c r="F1777" s="51" t="n"/>
      <c r="G1777" s="47" t="n"/>
      <c r="H1777" s="47" t="n"/>
      <c r="I1777" s="43">
        <f>IF($B1777="","",N($G1777)-N($H1777))</f>
        <v/>
      </c>
    </row>
    <row r="1778">
      <c r="A1778" s="39">
        <f>IF($B1778="","",COUNTA($B$4:$B1778))</f>
        <v/>
      </c>
      <c r="B1778" s="40" t="n"/>
      <c r="C1778" s="41" t="n"/>
      <c r="D1778" s="41" t="n"/>
      <c r="E1778" s="41" t="n"/>
      <c r="F1778" s="50" t="n"/>
      <c r="G1778" s="42" t="n"/>
      <c r="H1778" s="42" t="n"/>
      <c r="I1778" s="43">
        <f>IF($B1778="","",N($G1778)-N($H1778))</f>
        <v/>
      </c>
    </row>
    <row r="1779">
      <c r="A1779" s="39">
        <f>IF($B1779="","",COUNTA($B$4:$B1779))</f>
        <v/>
      </c>
      <c r="B1779" s="45" t="n"/>
      <c r="C1779" s="46" t="n"/>
      <c r="D1779" s="46" t="n"/>
      <c r="E1779" s="46" t="n"/>
      <c r="F1779" s="51" t="n"/>
      <c r="G1779" s="47" t="n"/>
      <c r="H1779" s="47" t="n"/>
      <c r="I1779" s="43">
        <f>IF($B1779="","",N($G1779)-N($H1779))</f>
        <v/>
      </c>
    </row>
    <row r="1780">
      <c r="A1780" s="39">
        <f>IF($B1780="","",COUNTA($B$4:$B1780))</f>
        <v/>
      </c>
      <c r="B1780" s="40" t="n"/>
      <c r="C1780" s="41" t="n"/>
      <c r="D1780" s="41" t="n"/>
      <c r="E1780" s="41" t="n"/>
      <c r="F1780" s="50" t="n"/>
      <c r="G1780" s="42" t="n"/>
      <c r="H1780" s="42" t="n"/>
      <c r="I1780" s="43">
        <f>IF($B1780="","",N($G1780)-N($H1780))</f>
        <v/>
      </c>
    </row>
    <row r="1781">
      <c r="A1781" s="39">
        <f>IF($B1781="","",COUNTA($B$4:$B1781))</f>
        <v/>
      </c>
      <c r="B1781" s="45" t="n"/>
      <c r="C1781" s="46" t="n"/>
      <c r="D1781" s="46" t="n"/>
      <c r="E1781" s="46" t="n"/>
      <c r="F1781" s="51" t="n"/>
      <c r="G1781" s="47" t="n"/>
      <c r="H1781" s="47" t="n"/>
      <c r="I1781" s="43">
        <f>IF($B1781="","",N($G1781)-N($H1781))</f>
        <v/>
      </c>
    </row>
    <row r="1782">
      <c r="A1782" s="39">
        <f>IF($B1782="","",COUNTA($B$4:$B1782))</f>
        <v/>
      </c>
      <c r="B1782" s="40" t="n"/>
      <c r="C1782" s="41" t="n"/>
      <c r="D1782" s="41" t="n"/>
      <c r="E1782" s="41" t="n"/>
      <c r="F1782" s="50" t="n"/>
      <c r="G1782" s="42" t="n"/>
      <c r="H1782" s="42" t="n"/>
      <c r="I1782" s="43">
        <f>IF($B1782="","",N($G1782)-N($H1782))</f>
        <v/>
      </c>
    </row>
    <row r="1783">
      <c r="A1783" s="39">
        <f>IF($B1783="","",COUNTA($B$4:$B1783))</f>
        <v/>
      </c>
      <c r="B1783" s="45" t="n"/>
      <c r="C1783" s="46" t="n"/>
      <c r="D1783" s="46" t="n"/>
      <c r="E1783" s="46" t="n"/>
      <c r="F1783" s="51" t="n"/>
      <c r="G1783" s="47" t="n"/>
      <c r="H1783" s="47" t="n"/>
      <c r="I1783" s="43">
        <f>IF($B1783="","",N($G1783)-N($H1783))</f>
        <v/>
      </c>
    </row>
    <row r="1784">
      <c r="A1784" s="39">
        <f>IF($B1784="","",COUNTA($B$4:$B1784))</f>
        <v/>
      </c>
      <c r="B1784" s="40" t="n"/>
      <c r="C1784" s="41" t="n"/>
      <c r="D1784" s="41" t="n"/>
      <c r="E1784" s="41" t="n"/>
      <c r="F1784" s="50" t="n"/>
      <c r="G1784" s="42" t="n"/>
      <c r="H1784" s="42" t="n"/>
      <c r="I1784" s="43">
        <f>IF($B1784="","",N($G1784)-N($H1784))</f>
        <v/>
      </c>
    </row>
    <row r="1785">
      <c r="A1785" s="39">
        <f>IF($B1785="","",COUNTA($B$4:$B1785))</f>
        <v/>
      </c>
      <c r="B1785" s="45" t="n"/>
      <c r="C1785" s="46" t="n"/>
      <c r="D1785" s="46" t="n"/>
      <c r="E1785" s="46" t="n"/>
      <c r="F1785" s="51" t="n"/>
      <c r="G1785" s="47" t="n"/>
      <c r="H1785" s="47" t="n"/>
      <c r="I1785" s="43">
        <f>IF($B1785="","",N($G1785)-N($H1785))</f>
        <v/>
      </c>
    </row>
    <row r="1786">
      <c r="A1786" s="39">
        <f>IF($B1786="","",COUNTA($B$4:$B1786))</f>
        <v/>
      </c>
      <c r="B1786" s="40" t="n"/>
      <c r="C1786" s="41" t="n"/>
      <c r="D1786" s="41" t="n"/>
      <c r="E1786" s="41" t="n"/>
      <c r="F1786" s="50" t="n"/>
      <c r="G1786" s="42" t="n"/>
      <c r="H1786" s="42" t="n"/>
      <c r="I1786" s="43">
        <f>IF($B1786="","",N($G1786)-N($H1786))</f>
        <v/>
      </c>
    </row>
    <row r="1787">
      <c r="A1787" s="39">
        <f>IF($B1787="","",COUNTA($B$4:$B1787))</f>
        <v/>
      </c>
      <c r="B1787" s="45" t="n"/>
      <c r="C1787" s="46" t="n"/>
      <c r="D1787" s="46" t="n"/>
      <c r="E1787" s="46" t="n"/>
      <c r="F1787" s="51" t="n"/>
      <c r="G1787" s="47" t="n"/>
      <c r="H1787" s="47" t="n"/>
      <c r="I1787" s="43">
        <f>IF($B1787="","",N($G1787)-N($H1787))</f>
        <v/>
      </c>
    </row>
    <row r="1788">
      <c r="A1788" s="39">
        <f>IF($B1788="","",COUNTA($B$4:$B1788))</f>
        <v/>
      </c>
      <c r="B1788" s="40" t="n"/>
      <c r="C1788" s="41" t="n"/>
      <c r="D1788" s="41" t="n"/>
      <c r="E1788" s="41" t="n"/>
      <c r="F1788" s="50" t="n"/>
      <c r="G1788" s="42" t="n"/>
      <c r="H1788" s="42" t="n"/>
      <c r="I1788" s="43">
        <f>IF($B1788="","",N($G1788)-N($H1788))</f>
        <v/>
      </c>
    </row>
    <row r="1789">
      <c r="A1789" s="39">
        <f>IF($B1789="","",COUNTA($B$4:$B1789))</f>
        <v/>
      </c>
      <c r="B1789" s="45" t="n"/>
      <c r="C1789" s="46" t="n"/>
      <c r="D1789" s="46" t="n"/>
      <c r="E1789" s="46" t="n"/>
      <c r="F1789" s="51" t="n"/>
      <c r="G1789" s="47" t="n"/>
      <c r="H1789" s="47" t="n"/>
      <c r="I1789" s="43">
        <f>IF($B1789="","",N($G1789)-N($H1789))</f>
        <v/>
      </c>
    </row>
    <row r="1790">
      <c r="A1790" s="39">
        <f>IF($B1790="","",COUNTA($B$4:$B1790))</f>
        <v/>
      </c>
      <c r="B1790" s="40" t="n"/>
      <c r="C1790" s="41" t="n"/>
      <c r="D1790" s="41" t="n"/>
      <c r="E1790" s="41" t="n"/>
      <c r="F1790" s="50" t="n"/>
      <c r="G1790" s="42" t="n"/>
      <c r="H1790" s="42" t="n"/>
      <c r="I1790" s="43">
        <f>IF($B1790="","",N($G1790)-N($H1790))</f>
        <v/>
      </c>
    </row>
    <row r="1791">
      <c r="A1791" s="39">
        <f>IF($B1791="","",COUNTA($B$4:$B1791))</f>
        <v/>
      </c>
      <c r="B1791" s="45" t="n"/>
      <c r="C1791" s="46" t="n"/>
      <c r="D1791" s="46" t="n"/>
      <c r="E1791" s="46" t="n"/>
      <c r="F1791" s="51" t="n"/>
      <c r="G1791" s="47" t="n"/>
      <c r="H1791" s="47" t="n"/>
      <c r="I1791" s="43">
        <f>IF($B1791="","",N($G1791)-N($H1791))</f>
        <v/>
      </c>
    </row>
    <row r="1792">
      <c r="A1792" s="39">
        <f>IF($B1792="","",COUNTA($B$4:$B1792))</f>
        <v/>
      </c>
      <c r="B1792" s="40" t="n"/>
      <c r="C1792" s="41" t="n"/>
      <c r="D1792" s="41" t="n"/>
      <c r="E1792" s="41" t="n"/>
      <c r="F1792" s="50" t="n"/>
      <c r="G1792" s="42" t="n"/>
      <c r="H1792" s="42" t="n"/>
      <c r="I1792" s="43">
        <f>IF($B1792="","",N($G1792)-N($H1792))</f>
        <v/>
      </c>
    </row>
    <row r="1793">
      <c r="A1793" s="39">
        <f>IF($B1793="","",COUNTA($B$4:$B1793))</f>
        <v/>
      </c>
      <c r="B1793" s="45" t="n"/>
      <c r="C1793" s="46" t="n"/>
      <c r="D1793" s="46" t="n"/>
      <c r="E1793" s="46" t="n"/>
      <c r="F1793" s="51" t="n"/>
      <c r="G1793" s="47" t="n"/>
      <c r="H1793" s="47" t="n"/>
      <c r="I1793" s="43">
        <f>IF($B1793="","",N($G1793)-N($H1793))</f>
        <v/>
      </c>
    </row>
    <row r="1794">
      <c r="A1794" s="39">
        <f>IF($B1794="","",COUNTA($B$4:$B1794))</f>
        <v/>
      </c>
      <c r="B1794" s="40" t="n"/>
      <c r="C1794" s="41" t="n"/>
      <c r="D1794" s="41" t="n"/>
      <c r="E1794" s="41" t="n"/>
      <c r="F1794" s="50" t="n"/>
      <c r="G1794" s="42" t="n"/>
      <c r="H1794" s="42" t="n"/>
      <c r="I1794" s="43">
        <f>IF($B1794="","",N($G1794)-N($H1794))</f>
        <v/>
      </c>
    </row>
    <row r="1795">
      <c r="A1795" s="39">
        <f>IF($B1795="","",COUNTA($B$4:$B1795))</f>
        <v/>
      </c>
      <c r="B1795" s="45" t="n"/>
      <c r="C1795" s="46" t="n"/>
      <c r="D1795" s="46" t="n"/>
      <c r="E1795" s="46" t="n"/>
      <c r="F1795" s="51" t="n"/>
      <c r="G1795" s="47" t="n"/>
      <c r="H1795" s="47" t="n"/>
      <c r="I1795" s="43">
        <f>IF($B1795="","",N($G1795)-N($H1795))</f>
        <v/>
      </c>
    </row>
    <row r="1796">
      <c r="A1796" s="39">
        <f>IF($B1796="","",COUNTA($B$4:$B1796))</f>
        <v/>
      </c>
      <c r="B1796" s="40" t="n"/>
      <c r="C1796" s="41" t="n"/>
      <c r="D1796" s="41" t="n"/>
      <c r="E1796" s="41" t="n"/>
      <c r="F1796" s="50" t="n"/>
      <c r="G1796" s="42" t="n"/>
      <c r="H1796" s="42" t="n"/>
      <c r="I1796" s="43">
        <f>IF($B1796="","",N($G1796)-N($H1796))</f>
        <v/>
      </c>
    </row>
    <row r="1797">
      <c r="A1797" s="39">
        <f>IF($B1797="","",COUNTA($B$4:$B1797))</f>
        <v/>
      </c>
      <c r="B1797" s="45" t="n"/>
      <c r="C1797" s="46" t="n"/>
      <c r="D1797" s="46" t="n"/>
      <c r="E1797" s="46" t="n"/>
      <c r="F1797" s="51" t="n"/>
      <c r="G1797" s="47" t="n"/>
      <c r="H1797" s="47" t="n"/>
      <c r="I1797" s="43">
        <f>IF($B1797="","",N($G1797)-N($H1797))</f>
        <v/>
      </c>
    </row>
    <row r="1798">
      <c r="A1798" s="39">
        <f>IF($B1798="","",COUNTA($B$4:$B1798))</f>
        <v/>
      </c>
      <c r="B1798" s="40" t="n"/>
      <c r="C1798" s="41" t="n"/>
      <c r="D1798" s="41" t="n"/>
      <c r="E1798" s="41" t="n"/>
      <c r="F1798" s="50" t="n"/>
      <c r="G1798" s="42" t="n"/>
      <c r="H1798" s="42" t="n"/>
      <c r="I1798" s="43">
        <f>IF($B1798="","",N($G1798)-N($H1798))</f>
        <v/>
      </c>
    </row>
    <row r="1799">
      <c r="A1799" s="39">
        <f>IF($B1799="","",COUNTA($B$4:$B1799))</f>
        <v/>
      </c>
      <c r="B1799" s="45" t="n"/>
      <c r="C1799" s="46" t="n"/>
      <c r="D1799" s="46" t="n"/>
      <c r="E1799" s="46" t="n"/>
      <c r="F1799" s="51" t="n"/>
      <c r="G1799" s="47" t="n"/>
      <c r="H1799" s="47" t="n"/>
      <c r="I1799" s="43">
        <f>IF($B1799="","",N($G1799)-N($H1799))</f>
        <v/>
      </c>
    </row>
    <row r="1800">
      <c r="A1800" s="39">
        <f>IF($B1800="","",COUNTA($B$4:$B1800))</f>
        <v/>
      </c>
      <c r="B1800" s="40" t="n"/>
      <c r="C1800" s="41" t="n"/>
      <c r="D1800" s="41" t="n"/>
      <c r="E1800" s="41" t="n"/>
      <c r="F1800" s="50" t="n"/>
      <c r="G1800" s="42" t="n"/>
      <c r="H1800" s="42" t="n"/>
      <c r="I1800" s="43">
        <f>IF($B1800="","",N($G1800)-N($H1800))</f>
        <v/>
      </c>
    </row>
    <row r="1801">
      <c r="A1801" s="39">
        <f>IF($B1801="","",COUNTA($B$4:$B1801))</f>
        <v/>
      </c>
      <c r="B1801" s="45" t="n"/>
      <c r="C1801" s="46" t="n"/>
      <c r="D1801" s="46" t="n"/>
      <c r="E1801" s="46" t="n"/>
      <c r="F1801" s="51" t="n"/>
      <c r="G1801" s="47" t="n"/>
      <c r="H1801" s="47" t="n"/>
      <c r="I1801" s="43">
        <f>IF($B1801="","",N($G1801)-N($H1801))</f>
        <v/>
      </c>
    </row>
    <row r="1802">
      <c r="A1802" s="39">
        <f>IF($B1802="","",COUNTA($B$4:$B1802))</f>
        <v/>
      </c>
      <c r="B1802" s="40" t="n"/>
      <c r="C1802" s="41" t="n"/>
      <c r="D1802" s="41" t="n"/>
      <c r="E1802" s="41" t="n"/>
      <c r="F1802" s="50" t="n"/>
      <c r="G1802" s="42" t="n"/>
      <c r="H1802" s="42" t="n"/>
      <c r="I1802" s="43">
        <f>IF($B1802="","",N($G1802)-N($H1802))</f>
        <v/>
      </c>
    </row>
    <row r="1803">
      <c r="A1803" s="39">
        <f>IF($B1803="","",COUNTA($B$4:$B1803))</f>
        <v/>
      </c>
      <c r="B1803" s="45" t="n"/>
      <c r="C1803" s="46" t="n"/>
      <c r="D1803" s="46" t="n"/>
      <c r="E1803" s="46" t="n"/>
      <c r="F1803" s="51" t="n"/>
      <c r="G1803" s="47" t="n"/>
      <c r="H1803" s="47" t="n"/>
      <c r="I1803" s="43">
        <f>IF($B1803="","",N($G1803)-N($H1803))</f>
        <v/>
      </c>
    </row>
    <row r="1804">
      <c r="A1804" s="39">
        <f>IF($B1804="","",COUNTA($B$4:$B1804))</f>
        <v/>
      </c>
      <c r="B1804" s="40" t="n"/>
      <c r="C1804" s="41" t="n"/>
      <c r="D1804" s="41" t="n"/>
      <c r="E1804" s="41" t="n"/>
      <c r="F1804" s="50" t="n"/>
      <c r="G1804" s="42" t="n"/>
      <c r="H1804" s="42" t="n"/>
      <c r="I1804" s="43">
        <f>IF($B1804="","",N($G1804)-N($H1804))</f>
        <v/>
      </c>
    </row>
    <row r="1805">
      <c r="A1805" s="39">
        <f>IF($B1805="","",COUNTA($B$4:$B1805))</f>
        <v/>
      </c>
      <c r="B1805" s="45" t="n"/>
      <c r="C1805" s="46" t="n"/>
      <c r="D1805" s="46" t="n"/>
      <c r="E1805" s="46" t="n"/>
      <c r="F1805" s="51" t="n"/>
      <c r="G1805" s="47" t="n"/>
      <c r="H1805" s="47" t="n"/>
      <c r="I1805" s="43">
        <f>IF($B1805="","",N($G1805)-N($H1805))</f>
        <v/>
      </c>
    </row>
    <row r="1806">
      <c r="A1806" s="39">
        <f>IF($B1806="","",COUNTA($B$4:$B1806))</f>
        <v/>
      </c>
      <c r="B1806" s="40" t="n"/>
      <c r="C1806" s="41" t="n"/>
      <c r="D1806" s="41" t="n"/>
      <c r="E1806" s="41" t="n"/>
      <c r="F1806" s="50" t="n"/>
      <c r="G1806" s="42" t="n"/>
      <c r="H1806" s="42" t="n"/>
      <c r="I1806" s="43">
        <f>IF($B1806="","",N($G1806)-N($H1806))</f>
        <v/>
      </c>
    </row>
    <row r="1807">
      <c r="A1807" s="39">
        <f>IF($B1807="","",COUNTA($B$4:$B1807))</f>
        <v/>
      </c>
      <c r="B1807" s="45" t="n"/>
      <c r="C1807" s="46" t="n"/>
      <c r="D1807" s="46" t="n"/>
      <c r="E1807" s="46" t="n"/>
      <c r="F1807" s="51" t="n"/>
      <c r="G1807" s="47" t="n"/>
      <c r="H1807" s="47" t="n"/>
      <c r="I1807" s="43">
        <f>IF($B1807="","",N($G1807)-N($H1807))</f>
        <v/>
      </c>
    </row>
    <row r="1808">
      <c r="A1808" s="39">
        <f>IF($B1808="","",COUNTA($B$4:$B1808))</f>
        <v/>
      </c>
      <c r="B1808" s="40" t="n"/>
      <c r="C1808" s="41" t="n"/>
      <c r="D1808" s="41" t="n"/>
      <c r="E1808" s="41" t="n"/>
      <c r="F1808" s="50" t="n"/>
      <c r="G1808" s="42" t="n"/>
      <c r="H1808" s="42" t="n"/>
      <c r="I1808" s="43">
        <f>IF($B1808="","",N($G1808)-N($H1808))</f>
        <v/>
      </c>
    </row>
    <row r="1809">
      <c r="A1809" s="39">
        <f>IF($B1809="","",COUNTA($B$4:$B1809))</f>
        <v/>
      </c>
      <c r="B1809" s="45" t="n"/>
      <c r="C1809" s="46" t="n"/>
      <c r="D1809" s="46" t="n"/>
      <c r="E1809" s="46" t="n"/>
      <c r="F1809" s="51" t="n"/>
      <c r="G1809" s="47" t="n"/>
      <c r="H1809" s="47" t="n"/>
      <c r="I1809" s="43">
        <f>IF($B1809="","",N($G1809)-N($H1809))</f>
        <v/>
      </c>
    </row>
    <row r="1810">
      <c r="A1810" s="39">
        <f>IF($B1810="","",COUNTA($B$4:$B1810))</f>
        <v/>
      </c>
      <c r="B1810" s="40" t="n"/>
      <c r="C1810" s="41" t="n"/>
      <c r="D1810" s="41" t="n"/>
      <c r="E1810" s="41" t="n"/>
      <c r="F1810" s="50" t="n"/>
      <c r="G1810" s="42" t="n"/>
      <c r="H1810" s="42" t="n"/>
      <c r="I1810" s="43">
        <f>IF($B1810="","",N($G1810)-N($H1810))</f>
        <v/>
      </c>
    </row>
    <row r="1811">
      <c r="A1811" s="39">
        <f>IF($B1811="","",COUNTA($B$4:$B1811))</f>
        <v/>
      </c>
      <c r="B1811" s="45" t="n"/>
      <c r="C1811" s="46" t="n"/>
      <c r="D1811" s="46" t="n"/>
      <c r="E1811" s="46" t="n"/>
      <c r="F1811" s="51" t="n"/>
      <c r="G1811" s="47" t="n"/>
      <c r="H1811" s="47" t="n"/>
      <c r="I1811" s="43">
        <f>IF($B1811="","",N($G1811)-N($H1811))</f>
        <v/>
      </c>
    </row>
    <row r="1812">
      <c r="A1812" s="39">
        <f>IF($B1812="","",COUNTA($B$4:$B1812))</f>
        <v/>
      </c>
      <c r="B1812" s="40" t="n"/>
      <c r="C1812" s="41" t="n"/>
      <c r="D1812" s="41" t="n"/>
      <c r="E1812" s="41" t="n"/>
      <c r="F1812" s="50" t="n"/>
      <c r="G1812" s="42" t="n"/>
      <c r="H1812" s="42" t="n"/>
      <c r="I1812" s="43">
        <f>IF($B1812="","",N($G1812)-N($H1812))</f>
        <v/>
      </c>
    </row>
    <row r="1813">
      <c r="A1813" s="39">
        <f>IF($B1813="","",COUNTA($B$4:$B1813))</f>
        <v/>
      </c>
      <c r="B1813" s="45" t="n"/>
      <c r="C1813" s="46" t="n"/>
      <c r="D1813" s="46" t="n"/>
      <c r="E1813" s="46" t="n"/>
      <c r="F1813" s="51" t="n"/>
      <c r="G1813" s="47" t="n"/>
      <c r="H1813" s="47" t="n"/>
      <c r="I1813" s="43">
        <f>IF($B1813="","",N($G1813)-N($H1813))</f>
        <v/>
      </c>
    </row>
    <row r="1814">
      <c r="A1814" s="39">
        <f>IF($B1814="","",COUNTA($B$4:$B1814))</f>
        <v/>
      </c>
      <c r="B1814" s="40" t="n"/>
      <c r="C1814" s="41" t="n"/>
      <c r="D1814" s="41" t="n"/>
      <c r="E1814" s="41" t="n"/>
      <c r="F1814" s="50" t="n"/>
      <c r="G1814" s="42" t="n"/>
      <c r="H1814" s="42" t="n"/>
      <c r="I1814" s="43">
        <f>IF($B1814="","",N($G1814)-N($H1814))</f>
        <v/>
      </c>
    </row>
    <row r="1815">
      <c r="A1815" s="39">
        <f>IF($B1815="","",COUNTA($B$4:$B1815))</f>
        <v/>
      </c>
      <c r="B1815" s="45" t="n"/>
      <c r="C1815" s="46" t="n"/>
      <c r="D1815" s="46" t="n"/>
      <c r="E1815" s="46" t="n"/>
      <c r="F1815" s="51" t="n"/>
      <c r="G1815" s="47" t="n"/>
      <c r="H1815" s="47" t="n"/>
      <c r="I1815" s="43">
        <f>IF($B1815="","",N($G1815)-N($H1815))</f>
        <v/>
      </c>
    </row>
    <row r="1816">
      <c r="A1816" s="39">
        <f>IF($B1816="","",COUNTA($B$4:$B1816))</f>
        <v/>
      </c>
      <c r="B1816" s="40" t="n"/>
      <c r="C1816" s="41" t="n"/>
      <c r="D1816" s="41" t="n"/>
      <c r="E1816" s="41" t="n"/>
      <c r="F1816" s="50" t="n"/>
      <c r="G1816" s="42" t="n"/>
      <c r="H1816" s="42" t="n"/>
      <c r="I1816" s="43">
        <f>IF($B1816="","",N($G1816)-N($H1816))</f>
        <v/>
      </c>
    </row>
    <row r="1817">
      <c r="A1817" s="39">
        <f>IF($B1817="","",COUNTA($B$4:$B1817))</f>
        <v/>
      </c>
      <c r="B1817" s="45" t="n"/>
      <c r="C1817" s="46" t="n"/>
      <c r="D1817" s="46" t="n"/>
      <c r="E1817" s="46" t="n"/>
      <c r="F1817" s="51" t="n"/>
      <c r="G1817" s="47" t="n"/>
      <c r="H1817" s="47" t="n"/>
      <c r="I1817" s="43">
        <f>IF($B1817="","",N($G1817)-N($H1817))</f>
        <v/>
      </c>
    </row>
    <row r="1818">
      <c r="A1818" s="39">
        <f>IF($B1818="","",COUNTA($B$4:$B1818))</f>
        <v/>
      </c>
      <c r="B1818" s="40" t="n"/>
      <c r="C1818" s="41" t="n"/>
      <c r="D1818" s="41" t="n"/>
      <c r="E1818" s="41" t="n"/>
      <c r="F1818" s="50" t="n"/>
      <c r="G1818" s="42" t="n"/>
      <c r="H1818" s="42" t="n"/>
      <c r="I1818" s="43">
        <f>IF($B1818="","",N($G1818)-N($H1818))</f>
        <v/>
      </c>
    </row>
    <row r="1819">
      <c r="A1819" s="39">
        <f>IF($B1819="","",COUNTA($B$4:$B1819))</f>
        <v/>
      </c>
      <c r="B1819" s="45" t="n"/>
      <c r="C1819" s="46" t="n"/>
      <c r="D1819" s="46" t="n"/>
      <c r="E1819" s="46" t="n"/>
      <c r="F1819" s="51" t="n"/>
      <c r="G1819" s="47" t="n"/>
      <c r="H1819" s="47" t="n"/>
      <c r="I1819" s="43">
        <f>IF($B1819="","",N($G1819)-N($H1819))</f>
        <v/>
      </c>
    </row>
    <row r="1820">
      <c r="A1820" s="39">
        <f>IF($B1820="","",COUNTA($B$4:$B1820))</f>
        <v/>
      </c>
      <c r="B1820" s="40" t="n"/>
      <c r="C1820" s="41" t="n"/>
      <c r="D1820" s="41" t="n"/>
      <c r="E1820" s="41" t="n"/>
      <c r="F1820" s="50" t="n"/>
      <c r="G1820" s="42" t="n"/>
      <c r="H1820" s="42" t="n"/>
      <c r="I1820" s="43">
        <f>IF($B1820="","",N($G1820)-N($H1820))</f>
        <v/>
      </c>
    </row>
    <row r="1821">
      <c r="A1821" s="39">
        <f>IF($B1821="","",COUNTA($B$4:$B1821))</f>
        <v/>
      </c>
      <c r="B1821" s="45" t="n"/>
      <c r="C1821" s="46" t="n"/>
      <c r="D1821" s="46" t="n"/>
      <c r="E1821" s="46" t="n"/>
      <c r="F1821" s="51" t="n"/>
      <c r="G1821" s="47" t="n"/>
      <c r="H1821" s="47" t="n"/>
      <c r="I1821" s="43">
        <f>IF($B1821="","",N($G1821)-N($H1821))</f>
        <v/>
      </c>
    </row>
    <row r="1822">
      <c r="A1822" s="39">
        <f>IF($B1822="","",COUNTA($B$4:$B1822))</f>
        <v/>
      </c>
      <c r="B1822" s="40" t="n"/>
      <c r="C1822" s="41" t="n"/>
      <c r="D1822" s="41" t="n"/>
      <c r="E1822" s="41" t="n"/>
      <c r="F1822" s="50" t="n"/>
      <c r="G1822" s="42" t="n"/>
      <c r="H1822" s="42" t="n"/>
      <c r="I1822" s="43">
        <f>IF($B1822="","",N($G1822)-N($H1822))</f>
        <v/>
      </c>
    </row>
    <row r="1823">
      <c r="A1823" s="39">
        <f>IF($B1823="","",COUNTA($B$4:$B1823))</f>
        <v/>
      </c>
      <c r="B1823" s="45" t="n"/>
      <c r="C1823" s="46" t="n"/>
      <c r="D1823" s="46" t="n"/>
      <c r="E1823" s="46" t="n"/>
      <c r="F1823" s="51" t="n"/>
      <c r="G1823" s="47" t="n"/>
      <c r="H1823" s="47" t="n"/>
      <c r="I1823" s="43">
        <f>IF($B1823="","",N($G1823)-N($H1823))</f>
        <v/>
      </c>
    </row>
    <row r="1824">
      <c r="A1824" s="39">
        <f>IF($B1824="","",COUNTA($B$4:$B1824))</f>
        <v/>
      </c>
      <c r="B1824" s="40" t="n"/>
      <c r="C1824" s="41" t="n"/>
      <c r="D1824" s="41" t="n"/>
      <c r="E1824" s="41" t="n"/>
      <c r="F1824" s="50" t="n"/>
      <c r="G1824" s="42" t="n"/>
      <c r="H1824" s="42" t="n"/>
      <c r="I1824" s="43">
        <f>IF($B1824="","",N($G1824)-N($H1824))</f>
        <v/>
      </c>
    </row>
    <row r="1825">
      <c r="A1825" s="39">
        <f>IF($B1825="","",COUNTA($B$4:$B1825))</f>
        <v/>
      </c>
      <c r="B1825" s="45" t="n"/>
      <c r="C1825" s="46" t="n"/>
      <c r="D1825" s="46" t="n"/>
      <c r="E1825" s="46" t="n"/>
      <c r="F1825" s="51" t="n"/>
      <c r="G1825" s="47" t="n"/>
      <c r="H1825" s="47" t="n"/>
      <c r="I1825" s="43">
        <f>IF($B1825="","",N($G1825)-N($H1825))</f>
        <v/>
      </c>
    </row>
    <row r="1826">
      <c r="A1826" s="39">
        <f>IF($B1826="","",COUNTA($B$4:$B1826))</f>
        <v/>
      </c>
      <c r="B1826" s="40" t="n"/>
      <c r="C1826" s="41" t="n"/>
      <c r="D1826" s="41" t="n"/>
      <c r="E1826" s="41" t="n"/>
      <c r="F1826" s="50" t="n"/>
      <c r="G1826" s="42" t="n"/>
      <c r="H1826" s="42" t="n"/>
      <c r="I1826" s="43">
        <f>IF($B1826="","",N($G1826)-N($H1826))</f>
        <v/>
      </c>
    </row>
    <row r="1827">
      <c r="A1827" s="39">
        <f>IF($B1827="","",COUNTA($B$4:$B1827))</f>
        <v/>
      </c>
      <c r="B1827" s="45" t="n"/>
      <c r="C1827" s="46" t="n"/>
      <c r="D1827" s="46" t="n"/>
      <c r="E1827" s="46" t="n"/>
      <c r="F1827" s="51" t="n"/>
      <c r="G1827" s="47" t="n"/>
      <c r="H1827" s="47" t="n"/>
      <c r="I1827" s="43">
        <f>IF($B1827="","",N($G1827)-N($H1827))</f>
        <v/>
      </c>
    </row>
    <row r="1828">
      <c r="A1828" s="39">
        <f>IF($B1828="","",COUNTA($B$4:$B1828))</f>
        <v/>
      </c>
      <c r="B1828" s="40" t="n"/>
      <c r="C1828" s="41" t="n"/>
      <c r="D1828" s="41" t="n"/>
      <c r="E1828" s="41" t="n"/>
      <c r="F1828" s="50" t="n"/>
      <c r="G1828" s="42" t="n"/>
      <c r="H1828" s="42" t="n"/>
      <c r="I1828" s="43">
        <f>IF($B1828="","",N($G1828)-N($H1828))</f>
        <v/>
      </c>
    </row>
    <row r="1829">
      <c r="A1829" s="39">
        <f>IF($B1829="","",COUNTA($B$4:$B1829))</f>
        <v/>
      </c>
      <c r="B1829" s="45" t="n"/>
      <c r="C1829" s="46" t="n"/>
      <c r="D1829" s="46" t="n"/>
      <c r="E1829" s="46" t="n"/>
      <c r="F1829" s="51" t="n"/>
      <c r="G1829" s="47" t="n"/>
      <c r="H1829" s="47" t="n"/>
      <c r="I1829" s="43">
        <f>IF($B1829="","",N($G1829)-N($H1829))</f>
        <v/>
      </c>
    </row>
    <row r="1830">
      <c r="A1830" s="39">
        <f>IF($B1830="","",COUNTA($B$4:$B1830))</f>
        <v/>
      </c>
      <c r="B1830" s="40" t="n"/>
      <c r="C1830" s="41" t="n"/>
      <c r="D1830" s="41" t="n"/>
      <c r="E1830" s="41" t="n"/>
      <c r="F1830" s="50" t="n"/>
      <c r="G1830" s="42" t="n"/>
      <c r="H1830" s="42" t="n"/>
      <c r="I1830" s="43">
        <f>IF($B1830="","",N($G1830)-N($H1830))</f>
        <v/>
      </c>
    </row>
    <row r="1831">
      <c r="A1831" s="39">
        <f>IF($B1831="","",COUNTA($B$4:$B1831))</f>
        <v/>
      </c>
      <c r="B1831" s="45" t="n"/>
      <c r="C1831" s="46" t="n"/>
      <c r="D1831" s="46" t="n"/>
      <c r="E1831" s="46" t="n"/>
      <c r="F1831" s="51" t="n"/>
      <c r="G1831" s="47" t="n"/>
      <c r="H1831" s="47" t="n"/>
      <c r="I1831" s="43">
        <f>IF($B1831="","",N($G1831)-N($H1831))</f>
        <v/>
      </c>
    </row>
    <row r="1832">
      <c r="A1832" s="39">
        <f>IF($B1832="","",COUNTA($B$4:$B1832))</f>
        <v/>
      </c>
      <c r="B1832" s="40" t="n"/>
      <c r="C1832" s="41" t="n"/>
      <c r="D1832" s="41" t="n"/>
      <c r="E1832" s="41" t="n"/>
      <c r="F1832" s="50" t="n"/>
      <c r="G1832" s="42" t="n"/>
      <c r="H1832" s="42" t="n"/>
      <c r="I1832" s="43">
        <f>IF($B1832="","",N($G1832)-N($H1832))</f>
        <v/>
      </c>
    </row>
    <row r="1833">
      <c r="A1833" s="39">
        <f>IF($B1833="","",COUNTA($B$4:$B1833))</f>
        <v/>
      </c>
      <c r="B1833" s="45" t="n"/>
      <c r="C1833" s="46" t="n"/>
      <c r="D1833" s="46" t="n"/>
      <c r="E1833" s="46" t="n"/>
      <c r="F1833" s="51" t="n"/>
      <c r="G1833" s="47" t="n"/>
      <c r="H1833" s="47" t="n"/>
      <c r="I1833" s="43">
        <f>IF($B1833="","",N($G1833)-N($H1833))</f>
        <v/>
      </c>
    </row>
    <row r="1834">
      <c r="A1834" s="39">
        <f>IF($B1834="","",COUNTA($B$4:$B1834))</f>
        <v/>
      </c>
      <c r="B1834" s="40" t="n"/>
      <c r="C1834" s="41" t="n"/>
      <c r="D1834" s="41" t="n"/>
      <c r="E1834" s="41" t="n"/>
      <c r="F1834" s="50" t="n"/>
      <c r="G1834" s="42" t="n"/>
      <c r="H1834" s="42" t="n"/>
      <c r="I1834" s="43">
        <f>IF($B1834="","",N($G1834)-N($H1834))</f>
        <v/>
      </c>
    </row>
    <row r="1835">
      <c r="A1835" s="39">
        <f>IF($B1835="","",COUNTA($B$4:$B1835))</f>
        <v/>
      </c>
      <c r="B1835" s="45" t="n"/>
      <c r="C1835" s="46" t="n"/>
      <c r="D1835" s="46" t="n"/>
      <c r="E1835" s="46" t="n"/>
      <c r="F1835" s="51" t="n"/>
      <c r="G1835" s="47" t="n"/>
      <c r="H1835" s="47" t="n"/>
      <c r="I1835" s="43">
        <f>IF($B1835="","",N($G1835)-N($H1835))</f>
        <v/>
      </c>
    </row>
    <row r="1836">
      <c r="A1836" s="39">
        <f>IF($B1836="","",COUNTA($B$4:$B1836))</f>
        <v/>
      </c>
      <c r="B1836" s="40" t="n"/>
      <c r="C1836" s="41" t="n"/>
      <c r="D1836" s="41" t="n"/>
      <c r="E1836" s="41" t="n"/>
      <c r="F1836" s="50" t="n"/>
      <c r="G1836" s="42" t="n"/>
      <c r="H1836" s="42" t="n"/>
      <c r="I1836" s="43">
        <f>IF($B1836="","",N($G1836)-N($H1836))</f>
        <v/>
      </c>
    </row>
    <row r="1837">
      <c r="A1837" s="39">
        <f>IF($B1837="","",COUNTA($B$4:$B1837))</f>
        <v/>
      </c>
      <c r="B1837" s="45" t="n"/>
      <c r="C1837" s="46" t="n"/>
      <c r="D1837" s="46" t="n"/>
      <c r="E1837" s="46" t="n"/>
      <c r="F1837" s="51" t="n"/>
      <c r="G1837" s="47" t="n"/>
      <c r="H1837" s="47" t="n"/>
      <c r="I1837" s="43">
        <f>IF($B1837="","",N($G1837)-N($H1837))</f>
        <v/>
      </c>
    </row>
    <row r="1838">
      <c r="A1838" s="39">
        <f>IF($B1838="","",COUNTA($B$4:$B1838))</f>
        <v/>
      </c>
      <c r="B1838" s="40" t="n"/>
      <c r="C1838" s="41" t="n"/>
      <c r="D1838" s="41" t="n"/>
      <c r="E1838" s="41" t="n"/>
      <c r="F1838" s="50" t="n"/>
      <c r="G1838" s="42" t="n"/>
      <c r="H1838" s="42" t="n"/>
      <c r="I1838" s="43">
        <f>IF($B1838="","",N($G1838)-N($H1838))</f>
        <v/>
      </c>
    </row>
    <row r="1839">
      <c r="A1839" s="39">
        <f>IF($B1839="","",COUNTA($B$4:$B1839))</f>
        <v/>
      </c>
      <c r="B1839" s="45" t="n"/>
      <c r="C1839" s="46" t="n"/>
      <c r="D1839" s="46" t="n"/>
      <c r="E1839" s="46" t="n"/>
      <c r="F1839" s="51" t="n"/>
      <c r="G1839" s="47" t="n"/>
      <c r="H1839" s="47" t="n"/>
      <c r="I1839" s="43">
        <f>IF($B1839="","",N($G1839)-N($H1839))</f>
        <v/>
      </c>
    </row>
    <row r="1840">
      <c r="A1840" s="39">
        <f>IF($B1840="","",COUNTA($B$4:$B1840))</f>
        <v/>
      </c>
      <c r="B1840" s="40" t="n"/>
      <c r="C1840" s="41" t="n"/>
      <c r="D1840" s="41" t="n"/>
      <c r="E1840" s="41" t="n"/>
      <c r="F1840" s="50" t="n"/>
      <c r="G1840" s="42" t="n"/>
      <c r="H1840" s="42" t="n"/>
      <c r="I1840" s="43">
        <f>IF($B1840="","",N($G1840)-N($H1840))</f>
        <v/>
      </c>
    </row>
    <row r="1841">
      <c r="A1841" s="39">
        <f>IF($B1841="","",COUNTA($B$4:$B1841))</f>
        <v/>
      </c>
      <c r="B1841" s="45" t="n"/>
      <c r="C1841" s="46" t="n"/>
      <c r="D1841" s="46" t="n"/>
      <c r="E1841" s="46" t="n"/>
      <c r="F1841" s="51" t="n"/>
      <c r="G1841" s="47" t="n"/>
      <c r="H1841" s="47" t="n"/>
      <c r="I1841" s="43">
        <f>IF($B1841="","",N($G1841)-N($H1841))</f>
        <v/>
      </c>
    </row>
    <row r="1842">
      <c r="A1842" s="39">
        <f>IF($B1842="","",COUNTA($B$4:$B1842))</f>
        <v/>
      </c>
      <c r="B1842" s="40" t="n"/>
      <c r="C1842" s="41" t="n"/>
      <c r="D1842" s="41" t="n"/>
      <c r="E1842" s="41" t="n"/>
      <c r="F1842" s="50" t="n"/>
      <c r="G1842" s="42" t="n"/>
      <c r="H1842" s="42" t="n"/>
      <c r="I1842" s="43">
        <f>IF($B1842="","",N($G1842)-N($H1842))</f>
        <v/>
      </c>
    </row>
    <row r="1843">
      <c r="A1843" s="39">
        <f>IF($B1843="","",COUNTA($B$4:$B1843))</f>
        <v/>
      </c>
      <c r="B1843" s="45" t="n"/>
      <c r="C1843" s="46" t="n"/>
      <c r="D1843" s="46" t="n"/>
      <c r="E1843" s="46" t="n"/>
      <c r="F1843" s="51" t="n"/>
      <c r="G1843" s="47" t="n"/>
      <c r="H1843" s="47" t="n"/>
      <c r="I1843" s="43">
        <f>IF($B1843="","",N($G1843)-N($H1843))</f>
        <v/>
      </c>
    </row>
    <row r="1844">
      <c r="A1844" s="39">
        <f>IF($B1844="","",COUNTA($B$4:$B1844))</f>
        <v/>
      </c>
      <c r="B1844" s="40" t="n"/>
      <c r="C1844" s="41" t="n"/>
      <c r="D1844" s="41" t="n"/>
      <c r="E1844" s="41" t="n"/>
      <c r="F1844" s="50" t="n"/>
      <c r="G1844" s="42" t="n"/>
      <c r="H1844" s="42" t="n"/>
      <c r="I1844" s="43">
        <f>IF($B1844="","",N($G1844)-N($H1844))</f>
        <v/>
      </c>
    </row>
    <row r="1845">
      <c r="A1845" s="39">
        <f>IF($B1845="","",COUNTA($B$4:$B1845))</f>
        <v/>
      </c>
      <c r="B1845" s="45" t="n"/>
      <c r="C1845" s="46" t="n"/>
      <c r="D1845" s="46" t="n"/>
      <c r="E1845" s="46" t="n"/>
      <c r="F1845" s="51" t="n"/>
      <c r="G1845" s="47" t="n"/>
      <c r="H1845" s="47" t="n"/>
      <c r="I1845" s="43">
        <f>IF($B1845="","",N($G1845)-N($H1845))</f>
        <v/>
      </c>
    </row>
    <row r="1846">
      <c r="A1846" s="39">
        <f>IF($B1846="","",COUNTA($B$4:$B1846))</f>
        <v/>
      </c>
      <c r="B1846" s="40" t="n"/>
      <c r="C1846" s="41" t="n"/>
      <c r="D1846" s="41" t="n"/>
      <c r="E1846" s="41" t="n"/>
      <c r="F1846" s="50" t="n"/>
      <c r="G1846" s="42" t="n"/>
      <c r="H1846" s="42" t="n"/>
      <c r="I1846" s="43">
        <f>IF($B1846="","",N($G1846)-N($H1846))</f>
        <v/>
      </c>
    </row>
    <row r="1847">
      <c r="A1847" s="39">
        <f>IF($B1847="","",COUNTA($B$4:$B1847))</f>
        <v/>
      </c>
      <c r="B1847" s="45" t="n"/>
      <c r="C1847" s="46" t="n"/>
      <c r="D1847" s="46" t="n"/>
      <c r="E1847" s="46" t="n"/>
      <c r="F1847" s="51" t="n"/>
      <c r="G1847" s="47" t="n"/>
      <c r="H1847" s="47" t="n"/>
      <c r="I1847" s="43">
        <f>IF($B1847="","",N($G1847)-N($H1847))</f>
        <v/>
      </c>
    </row>
    <row r="1848">
      <c r="A1848" s="39">
        <f>IF($B1848="","",COUNTA($B$4:$B1848))</f>
        <v/>
      </c>
      <c r="B1848" s="40" t="n"/>
      <c r="C1848" s="41" t="n"/>
      <c r="D1848" s="41" t="n"/>
      <c r="E1848" s="41" t="n"/>
      <c r="F1848" s="50" t="n"/>
      <c r="G1848" s="42" t="n"/>
      <c r="H1848" s="42" t="n"/>
      <c r="I1848" s="43">
        <f>IF($B1848="","",N($G1848)-N($H1848))</f>
        <v/>
      </c>
    </row>
    <row r="1849">
      <c r="A1849" s="39">
        <f>IF($B1849="","",COUNTA($B$4:$B1849))</f>
        <v/>
      </c>
      <c r="B1849" s="45" t="n"/>
      <c r="C1849" s="46" t="n"/>
      <c r="D1849" s="46" t="n"/>
      <c r="E1849" s="46" t="n"/>
      <c r="F1849" s="51" t="n"/>
      <c r="G1849" s="47" t="n"/>
      <c r="H1849" s="47" t="n"/>
      <c r="I1849" s="43">
        <f>IF($B1849="","",N($G1849)-N($H1849))</f>
        <v/>
      </c>
    </row>
    <row r="1850">
      <c r="A1850" s="39">
        <f>IF($B1850="","",COUNTA($B$4:$B1850))</f>
        <v/>
      </c>
      <c r="B1850" s="40" t="n"/>
      <c r="C1850" s="41" t="n"/>
      <c r="D1850" s="41" t="n"/>
      <c r="E1850" s="41" t="n"/>
      <c r="F1850" s="50" t="n"/>
      <c r="G1850" s="42" t="n"/>
      <c r="H1850" s="42" t="n"/>
      <c r="I1850" s="43">
        <f>IF($B1850="","",N($G1850)-N($H1850))</f>
        <v/>
      </c>
    </row>
    <row r="1851">
      <c r="A1851" s="39">
        <f>IF($B1851="","",COUNTA($B$4:$B1851))</f>
        <v/>
      </c>
      <c r="B1851" s="45" t="n"/>
      <c r="C1851" s="46" t="n"/>
      <c r="D1851" s="46" t="n"/>
      <c r="E1851" s="46" t="n"/>
      <c r="F1851" s="51" t="n"/>
      <c r="G1851" s="47" t="n"/>
      <c r="H1851" s="47" t="n"/>
      <c r="I1851" s="43">
        <f>IF($B1851="","",N($G1851)-N($H1851))</f>
        <v/>
      </c>
    </row>
    <row r="1852">
      <c r="A1852" s="39">
        <f>IF($B1852="","",COUNTA($B$4:$B1852))</f>
        <v/>
      </c>
      <c r="B1852" s="40" t="n"/>
      <c r="C1852" s="41" t="n"/>
      <c r="D1852" s="41" t="n"/>
      <c r="E1852" s="41" t="n"/>
      <c r="F1852" s="50" t="n"/>
      <c r="G1852" s="42" t="n"/>
      <c r="H1852" s="42" t="n"/>
      <c r="I1852" s="43">
        <f>IF($B1852="","",N($G1852)-N($H1852))</f>
        <v/>
      </c>
    </row>
    <row r="1853">
      <c r="A1853" s="39">
        <f>IF($B1853="","",COUNTA($B$4:$B1853))</f>
        <v/>
      </c>
      <c r="B1853" s="45" t="n"/>
      <c r="C1853" s="46" t="n"/>
      <c r="D1853" s="46" t="n"/>
      <c r="E1853" s="46" t="n"/>
      <c r="F1853" s="51" t="n"/>
      <c r="G1853" s="47" t="n"/>
      <c r="H1853" s="47" t="n"/>
      <c r="I1853" s="43">
        <f>IF($B1853="","",N($G1853)-N($H1853))</f>
        <v/>
      </c>
    </row>
    <row r="1854">
      <c r="A1854" s="39">
        <f>IF($B1854="","",COUNTA($B$4:$B1854))</f>
        <v/>
      </c>
      <c r="B1854" s="40" t="n"/>
      <c r="C1854" s="41" t="n"/>
      <c r="D1854" s="41" t="n"/>
      <c r="E1854" s="41" t="n"/>
      <c r="F1854" s="50" t="n"/>
      <c r="G1854" s="42" t="n"/>
      <c r="H1854" s="42" t="n"/>
      <c r="I1854" s="43">
        <f>IF($B1854="","",N($G1854)-N($H1854))</f>
        <v/>
      </c>
    </row>
    <row r="1855">
      <c r="A1855" s="39">
        <f>IF($B1855="","",COUNTA($B$4:$B1855))</f>
        <v/>
      </c>
      <c r="B1855" s="45" t="n"/>
      <c r="C1855" s="46" t="n"/>
      <c r="D1855" s="46" t="n"/>
      <c r="E1855" s="46" t="n"/>
      <c r="F1855" s="51" t="n"/>
      <c r="G1855" s="47" t="n"/>
      <c r="H1855" s="47" t="n"/>
      <c r="I1855" s="43">
        <f>IF($B1855="","",N($G1855)-N($H1855))</f>
        <v/>
      </c>
    </row>
    <row r="1856">
      <c r="A1856" s="39">
        <f>IF($B1856="","",COUNTA($B$4:$B1856))</f>
        <v/>
      </c>
      <c r="B1856" s="40" t="n"/>
      <c r="C1856" s="41" t="n"/>
      <c r="D1856" s="41" t="n"/>
      <c r="E1856" s="41" t="n"/>
      <c r="F1856" s="50" t="n"/>
      <c r="G1856" s="42" t="n"/>
      <c r="H1856" s="42" t="n"/>
      <c r="I1856" s="43">
        <f>IF($B1856="","",N($G1856)-N($H1856))</f>
        <v/>
      </c>
    </row>
    <row r="1857">
      <c r="A1857" s="39">
        <f>IF($B1857="","",COUNTA($B$4:$B1857))</f>
        <v/>
      </c>
      <c r="B1857" s="45" t="n"/>
      <c r="C1857" s="46" t="n"/>
      <c r="D1857" s="46" t="n"/>
      <c r="E1857" s="46" t="n"/>
      <c r="F1857" s="51" t="n"/>
      <c r="G1857" s="47" t="n"/>
      <c r="H1857" s="47" t="n"/>
      <c r="I1857" s="43">
        <f>IF($B1857="","",N($G1857)-N($H1857))</f>
        <v/>
      </c>
    </row>
    <row r="1858">
      <c r="A1858" s="39">
        <f>IF($B1858="","",COUNTA($B$4:$B1858))</f>
        <v/>
      </c>
      <c r="B1858" s="40" t="n"/>
      <c r="C1858" s="41" t="n"/>
      <c r="D1858" s="41" t="n"/>
      <c r="E1858" s="41" t="n"/>
      <c r="F1858" s="50" t="n"/>
      <c r="G1858" s="42" t="n"/>
      <c r="H1858" s="42" t="n"/>
      <c r="I1858" s="43">
        <f>IF($B1858="","",N($G1858)-N($H1858))</f>
        <v/>
      </c>
    </row>
    <row r="1859">
      <c r="A1859" s="39">
        <f>IF($B1859="","",COUNTA($B$4:$B1859))</f>
        <v/>
      </c>
      <c r="B1859" s="45" t="n"/>
      <c r="C1859" s="46" t="n"/>
      <c r="D1859" s="46" t="n"/>
      <c r="E1859" s="46" t="n"/>
      <c r="F1859" s="51" t="n"/>
      <c r="G1859" s="47" t="n"/>
      <c r="H1859" s="47" t="n"/>
      <c r="I1859" s="43">
        <f>IF($B1859="","",N($G1859)-N($H1859))</f>
        <v/>
      </c>
    </row>
    <row r="1860">
      <c r="A1860" s="39">
        <f>IF($B1860="","",COUNTA($B$4:$B1860))</f>
        <v/>
      </c>
      <c r="B1860" s="40" t="n"/>
      <c r="C1860" s="41" t="n"/>
      <c r="D1860" s="41" t="n"/>
      <c r="E1860" s="41" t="n"/>
      <c r="F1860" s="50" t="n"/>
      <c r="G1860" s="42" t="n"/>
      <c r="H1860" s="42" t="n"/>
      <c r="I1860" s="43">
        <f>IF($B1860="","",N($G1860)-N($H1860))</f>
        <v/>
      </c>
    </row>
    <row r="1861">
      <c r="A1861" s="39">
        <f>IF($B1861="","",COUNTA($B$4:$B1861))</f>
        <v/>
      </c>
      <c r="B1861" s="45" t="n"/>
      <c r="C1861" s="46" t="n"/>
      <c r="D1861" s="46" t="n"/>
      <c r="E1861" s="46" t="n"/>
      <c r="F1861" s="51" t="n"/>
      <c r="G1861" s="47" t="n"/>
      <c r="H1861" s="47" t="n"/>
      <c r="I1861" s="43">
        <f>IF($B1861="","",N($G1861)-N($H1861))</f>
        <v/>
      </c>
    </row>
    <row r="1862">
      <c r="A1862" s="39">
        <f>IF($B1862="","",COUNTA($B$4:$B1862))</f>
        <v/>
      </c>
      <c r="B1862" s="40" t="n"/>
      <c r="C1862" s="41" t="n"/>
      <c r="D1862" s="41" t="n"/>
      <c r="E1862" s="41" t="n"/>
      <c r="F1862" s="50" t="n"/>
      <c r="G1862" s="42" t="n"/>
      <c r="H1862" s="42" t="n"/>
      <c r="I1862" s="43">
        <f>IF($B1862="","",N($G1862)-N($H1862))</f>
        <v/>
      </c>
    </row>
    <row r="1863">
      <c r="A1863" s="39">
        <f>IF($B1863="","",COUNTA($B$4:$B1863))</f>
        <v/>
      </c>
      <c r="B1863" s="45" t="n"/>
      <c r="C1863" s="46" t="n"/>
      <c r="D1863" s="46" t="n"/>
      <c r="E1863" s="46" t="n"/>
      <c r="F1863" s="51" t="n"/>
      <c r="G1863" s="47" t="n"/>
      <c r="H1863" s="47" t="n"/>
      <c r="I1863" s="43">
        <f>IF($B1863="","",N($G1863)-N($H1863))</f>
        <v/>
      </c>
    </row>
    <row r="1864">
      <c r="A1864" s="39">
        <f>IF($B1864="","",COUNTA($B$4:$B1864))</f>
        <v/>
      </c>
      <c r="B1864" s="40" t="n"/>
      <c r="C1864" s="41" t="n"/>
      <c r="D1864" s="41" t="n"/>
      <c r="E1864" s="41" t="n"/>
      <c r="F1864" s="50" t="n"/>
      <c r="G1864" s="42" t="n"/>
      <c r="H1864" s="42" t="n"/>
      <c r="I1864" s="43">
        <f>IF($B1864="","",N($G1864)-N($H1864))</f>
        <v/>
      </c>
    </row>
    <row r="1865">
      <c r="A1865" s="39">
        <f>IF($B1865="","",COUNTA($B$4:$B1865))</f>
        <v/>
      </c>
      <c r="B1865" s="45" t="n"/>
      <c r="C1865" s="46" t="n"/>
      <c r="D1865" s="46" t="n"/>
      <c r="E1865" s="46" t="n"/>
      <c r="F1865" s="51" t="n"/>
      <c r="G1865" s="47" t="n"/>
      <c r="H1865" s="47" t="n"/>
      <c r="I1865" s="43">
        <f>IF($B1865="","",N($G1865)-N($H1865))</f>
        <v/>
      </c>
    </row>
    <row r="1866">
      <c r="A1866" s="39">
        <f>IF($B1866="","",COUNTA($B$4:$B1866))</f>
        <v/>
      </c>
      <c r="B1866" s="40" t="n"/>
      <c r="C1866" s="41" t="n"/>
      <c r="D1866" s="41" t="n"/>
      <c r="E1866" s="41" t="n"/>
      <c r="F1866" s="50" t="n"/>
      <c r="G1866" s="42" t="n"/>
      <c r="H1866" s="42" t="n"/>
      <c r="I1866" s="43">
        <f>IF($B1866="","",N($G1866)-N($H1866))</f>
        <v/>
      </c>
    </row>
    <row r="1867">
      <c r="A1867" s="39">
        <f>IF($B1867="","",COUNTA($B$4:$B1867))</f>
        <v/>
      </c>
      <c r="B1867" s="45" t="n"/>
      <c r="C1867" s="46" t="n"/>
      <c r="D1867" s="46" t="n"/>
      <c r="E1867" s="46" t="n"/>
      <c r="F1867" s="51" t="n"/>
      <c r="G1867" s="47" t="n"/>
      <c r="H1867" s="47" t="n"/>
      <c r="I1867" s="43">
        <f>IF($B1867="","",N($G1867)-N($H1867))</f>
        <v/>
      </c>
    </row>
    <row r="1868">
      <c r="A1868" s="39">
        <f>IF($B1868="","",COUNTA($B$4:$B1868))</f>
        <v/>
      </c>
      <c r="B1868" s="40" t="n"/>
      <c r="C1868" s="41" t="n"/>
      <c r="D1868" s="41" t="n"/>
      <c r="E1868" s="41" t="n"/>
      <c r="F1868" s="50" t="n"/>
      <c r="G1868" s="42" t="n"/>
      <c r="H1868" s="42" t="n"/>
      <c r="I1868" s="43">
        <f>IF($B1868="","",N($G1868)-N($H1868))</f>
        <v/>
      </c>
    </row>
    <row r="1869">
      <c r="A1869" s="39">
        <f>IF($B1869="","",COUNTA($B$4:$B1869))</f>
        <v/>
      </c>
      <c r="B1869" s="45" t="n"/>
      <c r="C1869" s="46" t="n"/>
      <c r="D1869" s="46" t="n"/>
      <c r="E1869" s="46" t="n"/>
      <c r="F1869" s="51" t="n"/>
      <c r="G1869" s="47" t="n"/>
      <c r="H1869" s="47" t="n"/>
      <c r="I1869" s="43">
        <f>IF($B1869="","",N($G1869)-N($H1869))</f>
        <v/>
      </c>
    </row>
    <row r="1870">
      <c r="A1870" s="39">
        <f>IF($B1870="","",COUNTA($B$4:$B1870))</f>
        <v/>
      </c>
      <c r="B1870" s="40" t="n"/>
      <c r="C1870" s="41" t="n"/>
      <c r="D1870" s="41" t="n"/>
      <c r="E1870" s="41" t="n"/>
      <c r="F1870" s="50" t="n"/>
      <c r="G1870" s="42" t="n"/>
      <c r="H1870" s="42" t="n"/>
      <c r="I1870" s="43">
        <f>IF($B1870="","",N($G1870)-N($H1870))</f>
        <v/>
      </c>
    </row>
    <row r="1871">
      <c r="A1871" s="39">
        <f>IF($B1871="","",COUNTA($B$4:$B1871))</f>
        <v/>
      </c>
      <c r="B1871" s="45" t="n"/>
      <c r="C1871" s="46" t="n"/>
      <c r="D1871" s="46" t="n"/>
      <c r="E1871" s="46" t="n"/>
      <c r="F1871" s="51" t="n"/>
      <c r="G1871" s="47" t="n"/>
      <c r="H1871" s="47" t="n"/>
      <c r="I1871" s="43">
        <f>IF($B1871="","",N($G1871)-N($H1871))</f>
        <v/>
      </c>
    </row>
    <row r="1872">
      <c r="A1872" s="39">
        <f>IF($B1872="","",COUNTA($B$4:$B1872))</f>
        <v/>
      </c>
      <c r="B1872" s="40" t="n"/>
      <c r="C1872" s="41" t="n"/>
      <c r="D1872" s="41" t="n"/>
      <c r="E1872" s="41" t="n"/>
      <c r="F1872" s="50" t="n"/>
      <c r="G1872" s="42" t="n"/>
      <c r="H1872" s="42" t="n"/>
      <c r="I1872" s="43">
        <f>IF($B1872="","",N($G1872)-N($H1872))</f>
        <v/>
      </c>
    </row>
    <row r="1873">
      <c r="A1873" s="39">
        <f>IF($B1873="","",COUNTA($B$4:$B1873))</f>
        <v/>
      </c>
      <c r="B1873" s="45" t="n"/>
      <c r="C1873" s="46" t="n"/>
      <c r="D1873" s="46" t="n"/>
      <c r="E1873" s="46" t="n"/>
      <c r="F1873" s="51" t="n"/>
      <c r="G1873" s="47" t="n"/>
      <c r="H1873" s="47" t="n"/>
      <c r="I1873" s="43">
        <f>IF($B1873="","",N($G1873)-N($H1873))</f>
        <v/>
      </c>
    </row>
    <row r="1874">
      <c r="A1874" s="39">
        <f>IF($B1874="","",COUNTA($B$4:$B1874))</f>
        <v/>
      </c>
      <c r="B1874" s="40" t="n"/>
      <c r="C1874" s="41" t="n"/>
      <c r="D1874" s="41" t="n"/>
      <c r="E1874" s="41" t="n"/>
      <c r="F1874" s="50" t="n"/>
      <c r="G1874" s="42" t="n"/>
      <c r="H1874" s="42" t="n"/>
      <c r="I1874" s="43">
        <f>IF($B1874="","",N($G1874)-N($H1874))</f>
        <v/>
      </c>
    </row>
    <row r="1875">
      <c r="A1875" s="39">
        <f>IF($B1875="","",COUNTA($B$4:$B1875))</f>
        <v/>
      </c>
      <c r="B1875" s="45" t="n"/>
      <c r="C1875" s="46" t="n"/>
      <c r="D1875" s="46" t="n"/>
      <c r="E1875" s="46" t="n"/>
      <c r="F1875" s="51" t="n"/>
      <c r="G1875" s="47" t="n"/>
      <c r="H1875" s="47" t="n"/>
      <c r="I1875" s="43">
        <f>IF($B1875="","",N($G1875)-N($H1875))</f>
        <v/>
      </c>
    </row>
    <row r="1876">
      <c r="A1876" s="39">
        <f>IF($B1876="","",COUNTA($B$4:$B1876))</f>
        <v/>
      </c>
      <c r="B1876" s="40" t="n"/>
      <c r="C1876" s="41" t="n"/>
      <c r="D1876" s="41" t="n"/>
      <c r="E1876" s="41" t="n"/>
      <c r="F1876" s="50" t="n"/>
      <c r="G1876" s="42" t="n"/>
      <c r="H1876" s="42" t="n"/>
      <c r="I1876" s="43">
        <f>IF($B1876="","",N($G1876)-N($H1876))</f>
        <v/>
      </c>
    </row>
    <row r="1877">
      <c r="A1877" s="39">
        <f>IF($B1877="","",COUNTA($B$4:$B1877))</f>
        <v/>
      </c>
      <c r="B1877" s="45" t="n"/>
      <c r="C1877" s="46" t="n"/>
      <c r="D1877" s="46" t="n"/>
      <c r="E1877" s="46" t="n"/>
      <c r="F1877" s="51" t="n"/>
      <c r="G1877" s="47" t="n"/>
      <c r="H1877" s="47" t="n"/>
      <c r="I1877" s="43">
        <f>IF($B1877="","",N($G1877)-N($H1877))</f>
        <v/>
      </c>
    </row>
    <row r="1878">
      <c r="A1878" s="39">
        <f>IF($B1878="","",COUNTA($B$4:$B1878))</f>
        <v/>
      </c>
      <c r="B1878" s="40" t="n"/>
      <c r="C1878" s="41" t="n"/>
      <c r="D1878" s="41" t="n"/>
      <c r="E1878" s="41" t="n"/>
      <c r="F1878" s="50" t="n"/>
      <c r="G1878" s="42" t="n"/>
      <c r="H1878" s="42" t="n"/>
      <c r="I1878" s="43">
        <f>IF($B1878="","",N($G1878)-N($H1878))</f>
        <v/>
      </c>
    </row>
    <row r="1879">
      <c r="A1879" s="39">
        <f>IF($B1879="","",COUNTA($B$4:$B1879))</f>
        <v/>
      </c>
      <c r="B1879" s="45" t="n"/>
      <c r="C1879" s="46" t="n"/>
      <c r="D1879" s="46" t="n"/>
      <c r="E1879" s="46" t="n"/>
      <c r="F1879" s="51" t="n"/>
      <c r="G1879" s="47" t="n"/>
      <c r="H1879" s="47" t="n"/>
      <c r="I1879" s="43">
        <f>IF($B1879="","",N($G1879)-N($H1879))</f>
        <v/>
      </c>
    </row>
    <row r="1880">
      <c r="A1880" s="39">
        <f>IF($B1880="","",COUNTA($B$4:$B1880))</f>
        <v/>
      </c>
      <c r="B1880" s="40" t="n"/>
      <c r="C1880" s="41" t="n"/>
      <c r="D1880" s="41" t="n"/>
      <c r="E1880" s="41" t="n"/>
      <c r="F1880" s="50" t="n"/>
      <c r="G1880" s="42" t="n"/>
      <c r="H1880" s="42" t="n"/>
      <c r="I1880" s="43">
        <f>IF($B1880="","",N($G1880)-N($H1880))</f>
        <v/>
      </c>
    </row>
    <row r="1881">
      <c r="A1881" s="39">
        <f>IF($B1881="","",COUNTA($B$4:$B1881))</f>
        <v/>
      </c>
      <c r="B1881" s="45" t="n"/>
      <c r="C1881" s="46" t="n"/>
      <c r="D1881" s="46" t="n"/>
      <c r="E1881" s="46" t="n"/>
      <c r="F1881" s="51" t="n"/>
      <c r="G1881" s="47" t="n"/>
      <c r="H1881" s="47" t="n"/>
      <c r="I1881" s="43">
        <f>IF($B1881="","",N($G1881)-N($H1881))</f>
        <v/>
      </c>
    </row>
    <row r="1882">
      <c r="A1882" s="39">
        <f>IF($B1882="","",COUNTA($B$4:$B1882))</f>
        <v/>
      </c>
      <c r="B1882" s="40" t="n"/>
      <c r="C1882" s="41" t="n"/>
      <c r="D1882" s="41" t="n"/>
      <c r="E1882" s="41" t="n"/>
      <c r="F1882" s="50" t="n"/>
      <c r="G1882" s="42" t="n"/>
      <c r="H1882" s="42" t="n"/>
      <c r="I1882" s="43">
        <f>IF($B1882="","",N($G1882)-N($H1882))</f>
        <v/>
      </c>
    </row>
    <row r="1883">
      <c r="A1883" s="39">
        <f>IF($B1883="","",COUNTA($B$4:$B1883))</f>
        <v/>
      </c>
      <c r="B1883" s="45" t="n"/>
      <c r="C1883" s="46" t="n"/>
      <c r="D1883" s="46" t="n"/>
      <c r="E1883" s="46" t="n"/>
      <c r="F1883" s="51" t="n"/>
      <c r="G1883" s="47" t="n"/>
      <c r="H1883" s="47" t="n"/>
      <c r="I1883" s="43">
        <f>IF($B1883="","",N($G1883)-N($H1883))</f>
        <v/>
      </c>
    </row>
    <row r="1884">
      <c r="A1884" s="39">
        <f>IF($B1884="","",COUNTA($B$4:$B1884))</f>
        <v/>
      </c>
      <c r="B1884" s="40" t="n"/>
      <c r="C1884" s="41" t="n"/>
      <c r="D1884" s="41" t="n"/>
      <c r="E1884" s="41" t="n"/>
      <c r="F1884" s="50" t="n"/>
      <c r="G1884" s="42" t="n"/>
      <c r="H1884" s="42" t="n"/>
      <c r="I1884" s="43">
        <f>IF($B1884="","",N($G1884)-N($H1884))</f>
        <v/>
      </c>
    </row>
    <row r="1885">
      <c r="A1885" s="39">
        <f>IF($B1885="","",COUNTA($B$4:$B1885))</f>
        <v/>
      </c>
      <c r="B1885" s="45" t="n"/>
      <c r="C1885" s="46" t="n"/>
      <c r="D1885" s="46" t="n"/>
      <c r="E1885" s="46" t="n"/>
      <c r="F1885" s="51" t="n"/>
      <c r="G1885" s="47" t="n"/>
      <c r="H1885" s="47" t="n"/>
      <c r="I1885" s="43">
        <f>IF($B1885="","",N($G1885)-N($H1885))</f>
        <v/>
      </c>
    </row>
    <row r="1886">
      <c r="A1886" s="39">
        <f>IF($B1886="","",COUNTA($B$4:$B1886))</f>
        <v/>
      </c>
      <c r="B1886" s="40" t="n"/>
      <c r="C1886" s="41" t="n"/>
      <c r="D1886" s="41" t="n"/>
      <c r="E1886" s="41" t="n"/>
      <c r="F1886" s="50" t="n"/>
      <c r="G1886" s="42" t="n"/>
      <c r="H1886" s="42" t="n"/>
      <c r="I1886" s="43">
        <f>IF($B1886="","",N($G1886)-N($H1886))</f>
        <v/>
      </c>
    </row>
    <row r="1887">
      <c r="A1887" s="39">
        <f>IF($B1887="","",COUNTA($B$4:$B1887))</f>
        <v/>
      </c>
      <c r="B1887" s="45" t="n"/>
      <c r="C1887" s="46" t="n"/>
      <c r="D1887" s="46" t="n"/>
      <c r="E1887" s="46" t="n"/>
      <c r="F1887" s="51" t="n"/>
      <c r="G1887" s="47" t="n"/>
      <c r="H1887" s="47" t="n"/>
      <c r="I1887" s="43">
        <f>IF($B1887="","",N($G1887)-N($H1887))</f>
        <v/>
      </c>
    </row>
    <row r="1888">
      <c r="A1888" s="39">
        <f>IF($B1888="","",COUNTA($B$4:$B1888))</f>
        <v/>
      </c>
      <c r="B1888" s="40" t="n"/>
      <c r="C1888" s="41" t="n"/>
      <c r="D1888" s="41" t="n"/>
      <c r="E1888" s="41" t="n"/>
      <c r="F1888" s="50" t="n"/>
      <c r="G1888" s="42" t="n"/>
      <c r="H1888" s="42" t="n"/>
      <c r="I1888" s="43">
        <f>IF($B1888="","",N($G1888)-N($H1888))</f>
        <v/>
      </c>
    </row>
    <row r="1889">
      <c r="A1889" s="39">
        <f>IF($B1889="","",COUNTA($B$4:$B1889))</f>
        <v/>
      </c>
      <c r="B1889" s="45" t="n"/>
      <c r="C1889" s="46" t="n"/>
      <c r="D1889" s="46" t="n"/>
      <c r="E1889" s="46" t="n"/>
      <c r="F1889" s="51" t="n"/>
      <c r="G1889" s="47" t="n"/>
      <c r="H1889" s="47" t="n"/>
      <c r="I1889" s="43">
        <f>IF($B1889="","",N($G1889)-N($H1889))</f>
        <v/>
      </c>
    </row>
    <row r="1890">
      <c r="A1890" s="39">
        <f>IF($B1890="","",COUNTA($B$4:$B1890))</f>
        <v/>
      </c>
      <c r="B1890" s="40" t="n"/>
      <c r="C1890" s="41" t="n"/>
      <c r="D1890" s="41" t="n"/>
      <c r="E1890" s="41" t="n"/>
      <c r="F1890" s="50" t="n"/>
      <c r="G1890" s="42" t="n"/>
      <c r="H1890" s="42" t="n"/>
      <c r="I1890" s="43">
        <f>IF($B1890="","",N($G1890)-N($H1890))</f>
        <v/>
      </c>
    </row>
    <row r="1891">
      <c r="A1891" s="39">
        <f>IF($B1891="","",COUNTA($B$4:$B1891))</f>
        <v/>
      </c>
      <c r="B1891" s="45" t="n"/>
      <c r="C1891" s="46" t="n"/>
      <c r="D1891" s="46" t="n"/>
      <c r="E1891" s="46" t="n"/>
      <c r="F1891" s="51" t="n"/>
      <c r="G1891" s="47" t="n"/>
      <c r="H1891" s="47" t="n"/>
      <c r="I1891" s="43">
        <f>IF($B1891="","",N($G1891)-N($H1891))</f>
        <v/>
      </c>
    </row>
    <row r="1892">
      <c r="A1892" s="39">
        <f>IF($B1892="","",COUNTA($B$4:$B1892))</f>
        <v/>
      </c>
      <c r="B1892" s="40" t="n"/>
      <c r="C1892" s="41" t="n"/>
      <c r="D1892" s="41" t="n"/>
      <c r="E1892" s="41" t="n"/>
      <c r="F1892" s="50" t="n"/>
      <c r="G1892" s="42" t="n"/>
      <c r="H1892" s="42" t="n"/>
      <c r="I1892" s="43">
        <f>IF($B1892="","",N($G1892)-N($H1892))</f>
        <v/>
      </c>
    </row>
    <row r="1893">
      <c r="A1893" s="39">
        <f>IF($B1893="","",COUNTA($B$4:$B1893))</f>
        <v/>
      </c>
      <c r="B1893" s="45" t="n"/>
      <c r="C1893" s="46" t="n"/>
      <c r="D1893" s="46" t="n"/>
      <c r="E1893" s="46" t="n"/>
      <c r="F1893" s="51" t="n"/>
      <c r="G1893" s="47" t="n"/>
      <c r="H1893" s="47" t="n"/>
      <c r="I1893" s="43">
        <f>IF($B1893="","",N($G1893)-N($H1893))</f>
        <v/>
      </c>
    </row>
    <row r="1894">
      <c r="A1894" s="39">
        <f>IF($B1894="","",COUNTA($B$4:$B1894))</f>
        <v/>
      </c>
      <c r="B1894" s="40" t="n"/>
      <c r="C1894" s="41" t="n"/>
      <c r="D1894" s="41" t="n"/>
      <c r="E1894" s="41" t="n"/>
      <c r="F1894" s="50" t="n"/>
      <c r="G1894" s="42" t="n"/>
      <c r="H1894" s="42" t="n"/>
      <c r="I1894" s="43">
        <f>IF($B1894="","",N($G1894)-N($H1894))</f>
        <v/>
      </c>
    </row>
    <row r="1895">
      <c r="A1895" s="39">
        <f>IF($B1895="","",COUNTA($B$4:$B1895))</f>
        <v/>
      </c>
      <c r="B1895" s="45" t="n"/>
      <c r="C1895" s="46" t="n"/>
      <c r="D1895" s="46" t="n"/>
      <c r="E1895" s="46" t="n"/>
      <c r="F1895" s="51" t="n"/>
      <c r="G1895" s="47" t="n"/>
      <c r="H1895" s="47" t="n"/>
      <c r="I1895" s="43">
        <f>IF($B1895="","",N($G1895)-N($H1895))</f>
        <v/>
      </c>
    </row>
    <row r="1896">
      <c r="A1896" s="39">
        <f>IF($B1896="","",COUNTA($B$4:$B1896))</f>
        <v/>
      </c>
      <c r="B1896" s="40" t="n"/>
      <c r="C1896" s="41" t="n"/>
      <c r="D1896" s="41" t="n"/>
      <c r="E1896" s="41" t="n"/>
      <c r="F1896" s="50" t="n"/>
      <c r="G1896" s="42" t="n"/>
      <c r="H1896" s="42" t="n"/>
      <c r="I1896" s="43">
        <f>IF($B1896="","",N($G1896)-N($H1896))</f>
        <v/>
      </c>
    </row>
    <row r="1897">
      <c r="A1897" s="39">
        <f>IF($B1897="","",COUNTA($B$4:$B1897))</f>
        <v/>
      </c>
      <c r="B1897" s="45" t="n"/>
      <c r="C1897" s="46" t="n"/>
      <c r="D1897" s="46" t="n"/>
      <c r="E1897" s="46" t="n"/>
      <c r="F1897" s="51" t="n"/>
      <c r="G1897" s="47" t="n"/>
      <c r="H1897" s="47" t="n"/>
      <c r="I1897" s="43">
        <f>IF($B1897="","",N($G1897)-N($H1897))</f>
        <v/>
      </c>
    </row>
    <row r="1898">
      <c r="A1898" s="39">
        <f>IF($B1898="","",COUNTA($B$4:$B1898))</f>
        <v/>
      </c>
      <c r="B1898" s="40" t="n"/>
      <c r="C1898" s="41" t="n"/>
      <c r="D1898" s="41" t="n"/>
      <c r="E1898" s="41" t="n"/>
      <c r="F1898" s="50" t="n"/>
      <c r="G1898" s="42" t="n"/>
      <c r="H1898" s="42" t="n"/>
      <c r="I1898" s="43">
        <f>IF($B1898="","",N($G1898)-N($H1898))</f>
        <v/>
      </c>
    </row>
    <row r="1899">
      <c r="A1899" s="39">
        <f>IF($B1899="","",COUNTA($B$4:$B1899))</f>
        <v/>
      </c>
      <c r="B1899" s="45" t="n"/>
      <c r="C1899" s="46" t="n"/>
      <c r="D1899" s="46" t="n"/>
      <c r="E1899" s="46" t="n"/>
      <c r="F1899" s="51" t="n"/>
      <c r="G1899" s="47" t="n"/>
      <c r="H1899" s="47" t="n"/>
      <c r="I1899" s="43">
        <f>IF($B1899="","",N($G1899)-N($H1899))</f>
        <v/>
      </c>
    </row>
    <row r="1900">
      <c r="A1900" s="39">
        <f>IF($B1900="","",COUNTA($B$4:$B1900))</f>
        <v/>
      </c>
      <c r="B1900" s="40" t="n"/>
      <c r="C1900" s="41" t="n"/>
      <c r="D1900" s="41" t="n"/>
      <c r="E1900" s="41" t="n"/>
      <c r="F1900" s="50" t="n"/>
      <c r="G1900" s="42" t="n"/>
      <c r="H1900" s="42" t="n"/>
      <c r="I1900" s="43">
        <f>IF($B1900="","",N($G1900)-N($H1900))</f>
        <v/>
      </c>
    </row>
    <row r="1901">
      <c r="A1901" s="39">
        <f>IF($B1901="","",COUNTA($B$4:$B1901))</f>
        <v/>
      </c>
      <c r="B1901" s="45" t="n"/>
      <c r="C1901" s="46" t="n"/>
      <c r="D1901" s="46" t="n"/>
      <c r="E1901" s="46" t="n"/>
      <c r="F1901" s="51" t="n"/>
      <c r="G1901" s="47" t="n"/>
      <c r="H1901" s="47" t="n"/>
      <c r="I1901" s="43">
        <f>IF($B1901="","",N($G1901)-N($H1901))</f>
        <v/>
      </c>
    </row>
    <row r="1902">
      <c r="A1902" s="39">
        <f>IF($B1902="","",COUNTA($B$4:$B1902))</f>
        <v/>
      </c>
      <c r="B1902" s="40" t="n"/>
      <c r="C1902" s="41" t="n"/>
      <c r="D1902" s="41" t="n"/>
      <c r="E1902" s="41" t="n"/>
      <c r="F1902" s="50" t="n"/>
      <c r="G1902" s="42" t="n"/>
      <c r="H1902" s="42" t="n"/>
      <c r="I1902" s="43">
        <f>IF($B1902="","",N($G1902)-N($H1902))</f>
        <v/>
      </c>
    </row>
    <row r="1903">
      <c r="A1903" s="39">
        <f>IF($B1903="","",COUNTA($B$4:$B1903))</f>
        <v/>
      </c>
      <c r="B1903" s="45" t="n"/>
      <c r="C1903" s="46" t="n"/>
      <c r="D1903" s="46" t="n"/>
      <c r="E1903" s="46" t="n"/>
      <c r="F1903" s="51" t="n"/>
      <c r="G1903" s="47" t="n"/>
      <c r="H1903" s="47" t="n"/>
      <c r="I1903" s="43">
        <f>IF($B1903="","",N($G1903)-N($H1903))</f>
        <v/>
      </c>
    </row>
    <row r="1904">
      <c r="A1904" s="39">
        <f>IF($B1904="","",COUNTA($B$4:$B1904))</f>
        <v/>
      </c>
      <c r="B1904" s="40" t="n"/>
      <c r="C1904" s="41" t="n"/>
      <c r="D1904" s="41" t="n"/>
      <c r="E1904" s="41" t="n"/>
      <c r="F1904" s="50" t="n"/>
      <c r="G1904" s="42" t="n"/>
      <c r="H1904" s="42" t="n"/>
      <c r="I1904" s="43">
        <f>IF($B1904="","",N($G1904)-N($H1904))</f>
        <v/>
      </c>
    </row>
    <row r="1905">
      <c r="A1905" s="39">
        <f>IF($B1905="","",COUNTA($B$4:$B1905))</f>
        <v/>
      </c>
      <c r="B1905" s="45" t="n"/>
      <c r="C1905" s="46" t="n"/>
      <c r="D1905" s="46" t="n"/>
      <c r="E1905" s="46" t="n"/>
      <c r="F1905" s="51" t="n"/>
      <c r="G1905" s="47" t="n"/>
      <c r="H1905" s="47" t="n"/>
      <c r="I1905" s="43">
        <f>IF($B1905="","",N($G1905)-N($H1905))</f>
        <v/>
      </c>
    </row>
    <row r="1906">
      <c r="A1906" s="39">
        <f>IF($B1906="","",COUNTA($B$4:$B1906))</f>
        <v/>
      </c>
      <c r="B1906" s="40" t="n"/>
      <c r="C1906" s="41" t="n"/>
      <c r="D1906" s="41" t="n"/>
      <c r="E1906" s="41" t="n"/>
      <c r="F1906" s="50" t="n"/>
      <c r="G1906" s="42" t="n"/>
      <c r="H1906" s="42" t="n"/>
      <c r="I1906" s="43">
        <f>IF($B1906="","",N($G1906)-N($H1906))</f>
        <v/>
      </c>
    </row>
    <row r="1907">
      <c r="A1907" s="39">
        <f>IF($B1907="","",COUNTA($B$4:$B1907))</f>
        <v/>
      </c>
      <c r="B1907" s="45" t="n"/>
      <c r="C1907" s="46" t="n"/>
      <c r="D1907" s="46" t="n"/>
      <c r="E1907" s="46" t="n"/>
      <c r="F1907" s="51" t="n"/>
      <c r="G1907" s="47" t="n"/>
      <c r="H1907" s="47" t="n"/>
      <c r="I1907" s="43">
        <f>IF($B1907="","",N($G1907)-N($H1907))</f>
        <v/>
      </c>
    </row>
    <row r="1908">
      <c r="A1908" s="39">
        <f>IF($B1908="","",COUNTA($B$4:$B1908))</f>
        <v/>
      </c>
      <c r="B1908" s="40" t="n"/>
      <c r="C1908" s="41" t="n"/>
      <c r="D1908" s="41" t="n"/>
      <c r="E1908" s="41" t="n"/>
      <c r="F1908" s="50" t="n"/>
      <c r="G1908" s="42" t="n"/>
      <c r="H1908" s="42" t="n"/>
      <c r="I1908" s="43">
        <f>IF($B1908="","",N($G1908)-N($H1908))</f>
        <v/>
      </c>
    </row>
    <row r="1909">
      <c r="A1909" s="39">
        <f>IF($B1909="","",COUNTA($B$4:$B1909))</f>
        <v/>
      </c>
      <c r="B1909" s="45" t="n"/>
      <c r="C1909" s="46" t="n"/>
      <c r="D1909" s="46" t="n"/>
      <c r="E1909" s="46" t="n"/>
      <c r="F1909" s="51" t="n"/>
      <c r="G1909" s="47" t="n"/>
      <c r="H1909" s="47" t="n"/>
      <c r="I1909" s="43">
        <f>IF($B1909="","",N($G1909)-N($H1909))</f>
        <v/>
      </c>
    </row>
    <row r="1910">
      <c r="A1910" s="39">
        <f>IF($B1910="","",COUNTA($B$4:$B1910))</f>
        <v/>
      </c>
      <c r="B1910" s="40" t="n"/>
      <c r="C1910" s="41" t="n"/>
      <c r="D1910" s="41" t="n"/>
      <c r="E1910" s="41" t="n"/>
      <c r="F1910" s="50" t="n"/>
      <c r="G1910" s="42" t="n"/>
      <c r="H1910" s="42" t="n"/>
      <c r="I1910" s="43">
        <f>IF($B1910="","",N($G1910)-N($H1910))</f>
        <v/>
      </c>
    </row>
    <row r="1911">
      <c r="A1911" s="39">
        <f>IF($B1911="","",COUNTA($B$4:$B1911))</f>
        <v/>
      </c>
      <c r="B1911" s="45" t="n"/>
      <c r="C1911" s="46" t="n"/>
      <c r="D1911" s="46" t="n"/>
      <c r="E1911" s="46" t="n"/>
      <c r="F1911" s="51" t="n"/>
      <c r="G1911" s="47" t="n"/>
      <c r="H1911" s="47" t="n"/>
      <c r="I1911" s="43">
        <f>IF($B1911="","",N($G1911)-N($H1911))</f>
        <v/>
      </c>
    </row>
    <row r="1912">
      <c r="A1912" s="39">
        <f>IF($B1912="","",COUNTA($B$4:$B1912))</f>
        <v/>
      </c>
      <c r="B1912" s="40" t="n"/>
      <c r="C1912" s="41" t="n"/>
      <c r="D1912" s="41" t="n"/>
      <c r="E1912" s="41" t="n"/>
      <c r="F1912" s="50" t="n"/>
      <c r="G1912" s="42" t="n"/>
      <c r="H1912" s="42" t="n"/>
      <c r="I1912" s="43">
        <f>IF($B1912="","",N($G1912)-N($H1912))</f>
        <v/>
      </c>
    </row>
    <row r="1913">
      <c r="A1913" s="39">
        <f>IF($B1913="","",COUNTA($B$4:$B1913))</f>
        <v/>
      </c>
      <c r="B1913" s="45" t="n"/>
      <c r="C1913" s="46" t="n"/>
      <c r="D1913" s="46" t="n"/>
      <c r="E1913" s="46" t="n"/>
      <c r="F1913" s="51" t="n"/>
      <c r="G1913" s="47" t="n"/>
      <c r="H1913" s="47" t="n"/>
      <c r="I1913" s="43">
        <f>IF($B1913="","",N($G1913)-N($H1913))</f>
        <v/>
      </c>
    </row>
    <row r="1914">
      <c r="A1914" s="39">
        <f>IF($B1914="","",COUNTA($B$4:$B1914))</f>
        <v/>
      </c>
      <c r="B1914" s="40" t="n"/>
      <c r="C1914" s="41" t="n"/>
      <c r="D1914" s="41" t="n"/>
      <c r="E1914" s="41" t="n"/>
      <c r="F1914" s="50" t="n"/>
      <c r="G1914" s="42" t="n"/>
      <c r="H1914" s="42" t="n"/>
      <c r="I1914" s="43">
        <f>IF($B1914="","",N($G1914)-N($H1914))</f>
        <v/>
      </c>
    </row>
    <row r="1915">
      <c r="A1915" s="39">
        <f>IF($B1915="","",COUNTA($B$4:$B1915))</f>
        <v/>
      </c>
      <c r="B1915" s="45" t="n"/>
      <c r="C1915" s="46" t="n"/>
      <c r="D1915" s="46" t="n"/>
      <c r="E1915" s="46" t="n"/>
      <c r="F1915" s="51" t="n"/>
      <c r="G1915" s="47" t="n"/>
      <c r="H1915" s="47" t="n"/>
      <c r="I1915" s="43">
        <f>IF($B1915="","",N($G1915)-N($H1915))</f>
        <v/>
      </c>
    </row>
    <row r="1916">
      <c r="A1916" s="39">
        <f>IF($B1916="","",COUNTA($B$4:$B1916))</f>
        <v/>
      </c>
      <c r="B1916" s="40" t="n"/>
      <c r="C1916" s="41" t="n"/>
      <c r="D1916" s="41" t="n"/>
      <c r="E1916" s="41" t="n"/>
      <c r="F1916" s="50" t="n"/>
      <c r="G1916" s="42" t="n"/>
      <c r="H1916" s="42" t="n"/>
      <c r="I1916" s="43">
        <f>IF($B1916="","",N($G1916)-N($H1916))</f>
        <v/>
      </c>
    </row>
    <row r="1917">
      <c r="A1917" s="39">
        <f>IF($B1917="","",COUNTA($B$4:$B1917))</f>
        <v/>
      </c>
      <c r="B1917" s="45" t="n"/>
      <c r="C1917" s="46" t="n"/>
      <c r="D1917" s="46" t="n"/>
      <c r="E1917" s="46" t="n"/>
      <c r="F1917" s="51" t="n"/>
      <c r="G1917" s="47" t="n"/>
      <c r="H1917" s="47" t="n"/>
      <c r="I1917" s="43">
        <f>IF($B1917="","",N($G1917)-N($H1917))</f>
        <v/>
      </c>
    </row>
    <row r="1918">
      <c r="A1918" s="39">
        <f>IF($B1918="","",COUNTA($B$4:$B1918))</f>
        <v/>
      </c>
      <c r="B1918" s="40" t="n"/>
      <c r="C1918" s="41" t="n"/>
      <c r="D1918" s="41" t="n"/>
      <c r="E1918" s="41" t="n"/>
      <c r="F1918" s="50" t="n"/>
      <c r="G1918" s="42" t="n"/>
      <c r="H1918" s="42" t="n"/>
      <c r="I1918" s="43">
        <f>IF($B1918="","",N($G1918)-N($H1918))</f>
        <v/>
      </c>
    </row>
    <row r="1919">
      <c r="A1919" s="39">
        <f>IF($B1919="","",COUNTA($B$4:$B1919))</f>
        <v/>
      </c>
      <c r="B1919" s="45" t="n"/>
      <c r="C1919" s="46" t="n"/>
      <c r="D1919" s="46" t="n"/>
      <c r="E1919" s="46" t="n"/>
      <c r="F1919" s="51" t="n"/>
      <c r="G1919" s="47" t="n"/>
      <c r="H1919" s="47" t="n"/>
      <c r="I1919" s="43">
        <f>IF($B1919="","",N($G1919)-N($H1919))</f>
        <v/>
      </c>
    </row>
    <row r="1920">
      <c r="A1920" s="39">
        <f>IF($B1920="","",COUNTA($B$4:$B1920))</f>
        <v/>
      </c>
      <c r="B1920" s="40" t="n"/>
      <c r="C1920" s="41" t="n"/>
      <c r="D1920" s="41" t="n"/>
      <c r="E1920" s="41" t="n"/>
      <c r="F1920" s="50" t="n"/>
      <c r="G1920" s="42" t="n"/>
      <c r="H1920" s="42" t="n"/>
      <c r="I1920" s="43">
        <f>IF($B1920="","",N($G1920)-N($H1920))</f>
        <v/>
      </c>
    </row>
    <row r="1921">
      <c r="A1921" s="39">
        <f>IF($B1921="","",COUNTA($B$4:$B1921))</f>
        <v/>
      </c>
      <c r="B1921" s="45" t="n"/>
      <c r="C1921" s="46" t="n"/>
      <c r="D1921" s="46" t="n"/>
      <c r="E1921" s="46" t="n"/>
      <c r="F1921" s="51" t="n"/>
      <c r="G1921" s="47" t="n"/>
      <c r="H1921" s="47" t="n"/>
      <c r="I1921" s="43">
        <f>IF($B1921="","",N($G1921)-N($H1921))</f>
        <v/>
      </c>
    </row>
    <row r="1922">
      <c r="A1922" s="39">
        <f>IF($B1922="","",COUNTA($B$4:$B1922))</f>
        <v/>
      </c>
      <c r="B1922" s="40" t="n"/>
      <c r="C1922" s="41" t="n"/>
      <c r="D1922" s="41" t="n"/>
      <c r="E1922" s="41" t="n"/>
      <c r="F1922" s="50" t="n"/>
      <c r="G1922" s="42" t="n"/>
      <c r="H1922" s="42" t="n"/>
      <c r="I1922" s="43">
        <f>IF($B1922="","",N($G1922)-N($H1922))</f>
        <v/>
      </c>
    </row>
    <row r="1923">
      <c r="A1923" s="39">
        <f>IF($B1923="","",COUNTA($B$4:$B1923))</f>
        <v/>
      </c>
      <c r="B1923" s="45" t="n"/>
      <c r="C1923" s="46" t="n"/>
      <c r="D1923" s="46" t="n"/>
      <c r="E1923" s="46" t="n"/>
      <c r="F1923" s="51" t="n"/>
      <c r="G1923" s="47" t="n"/>
      <c r="H1923" s="47" t="n"/>
      <c r="I1923" s="43">
        <f>IF($B1923="","",N($G1923)-N($H1923))</f>
        <v/>
      </c>
    </row>
    <row r="1924">
      <c r="A1924" s="39">
        <f>IF($B1924="","",COUNTA($B$4:$B1924))</f>
        <v/>
      </c>
      <c r="B1924" s="40" t="n"/>
      <c r="C1924" s="41" t="n"/>
      <c r="D1924" s="41" t="n"/>
      <c r="E1924" s="41" t="n"/>
      <c r="F1924" s="50" t="n"/>
      <c r="G1924" s="42" t="n"/>
      <c r="H1924" s="42" t="n"/>
      <c r="I1924" s="43">
        <f>IF($B1924="","",N($G1924)-N($H1924))</f>
        <v/>
      </c>
    </row>
    <row r="1925">
      <c r="A1925" s="39">
        <f>IF($B1925="","",COUNTA($B$4:$B1925))</f>
        <v/>
      </c>
      <c r="B1925" s="45" t="n"/>
      <c r="C1925" s="46" t="n"/>
      <c r="D1925" s="46" t="n"/>
      <c r="E1925" s="46" t="n"/>
      <c r="F1925" s="51" t="n"/>
      <c r="G1925" s="47" t="n"/>
      <c r="H1925" s="47" t="n"/>
      <c r="I1925" s="43">
        <f>IF($B1925="","",N($G1925)-N($H1925))</f>
        <v/>
      </c>
    </row>
    <row r="1926">
      <c r="A1926" s="39">
        <f>IF($B1926="","",COUNTA($B$4:$B1926))</f>
        <v/>
      </c>
      <c r="B1926" s="40" t="n"/>
      <c r="C1926" s="41" t="n"/>
      <c r="D1926" s="41" t="n"/>
      <c r="E1926" s="41" t="n"/>
      <c r="F1926" s="50" t="n"/>
      <c r="G1926" s="42" t="n"/>
      <c r="H1926" s="42" t="n"/>
      <c r="I1926" s="43">
        <f>IF($B1926="","",N($G1926)-N($H1926))</f>
        <v/>
      </c>
    </row>
    <row r="1927">
      <c r="A1927" s="39">
        <f>IF($B1927="","",COUNTA($B$4:$B1927))</f>
        <v/>
      </c>
      <c r="B1927" s="45" t="n"/>
      <c r="C1927" s="46" t="n"/>
      <c r="D1927" s="46" t="n"/>
      <c r="E1927" s="46" t="n"/>
      <c r="F1927" s="51" t="n"/>
      <c r="G1927" s="47" t="n"/>
      <c r="H1927" s="47" t="n"/>
      <c r="I1927" s="43">
        <f>IF($B1927="","",N($G1927)-N($H1927))</f>
        <v/>
      </c>
    </row>
    <row r="1928">
      <c r="A1928" s="39">
        <f>IF($B1928="","",COUNTA($B$4:$B1928))</f>
        <v/>
      </c>
      <c r="B1928" s="40" t="n"/>
      <c r="C1928" s="41" t="n"/>
      <c r="D1928" s="41" t="n"/>
      <c r="E1928" s="41" t="n"/>
      <c r="F1928" s="50" t="n"/>
      <c r="G1928" s="42" t="n"/>
      <c r="H1928" s="42" t="n"/>
      <c r="I1928" s="43">
        <f>IF($B1928="","",N($G1928)-N($H1928))</f>
        <v/>
      </c>
    </row>
    <row r="1929">
      <c r="A1929" s="39">
        <f>IF($B1929="","",COUNTA($B$4:$B1929))</f>
        <v/>
      </c>
      <c r="B1929" s="45" t="n"/>
      <c r="C1929" s="46" t="n"/>
      <c r="D1929" s="46" t="n"/>
      <c r="E1929" s="46" t="n"/>
      <c r="F1929" s="51" t="n"/>
      <c r="G1929" s="47" t="n"/>
      <c r="H1929" s="47" t="n"/>
      <c r="I1929" s="43">
        <f>IF($B1929="","",N($G1929)-N($H1929))</f>
        <v/>
      </c>
    </row>
    <row r="1930">
      <c r="A1930" s="39">
        <f>IF($B1930="","",COUNTA($B$4:$B1930))</f>
        <v/>
      </c>
      <c r="B1930" s="40" t="n"/>
      <c r="C1930" s="41" t="n"/>
      <c r="D1930" s="41" t="n"/>
      <c r="E1930" s="41" t="n"/>
      <c r="F1930" s="50" t="n"/>
      <c r="G1930" s="42" t="n"/>
      <c r="H1930" s="42" t="n"/>
      <c r="I1930" s="43">
        <f>IF($B1930="","",N($G1930)-N($H1930))</f>
        <v/>
      </c>
    </row>
    <row r="1931">
      <c r="A1931" s="39">
        <f>IF($B1931="","",COUNTA($B$4:$B1931))</f>
        <v/>
      </c>
      <c r="B1931" s="45" t="n"/>
      <c r="C1931" s="46" t="n"/>
      <c r="D1931" s="46" t="n"/>
      <c r="E1931" s="46" t="n"/>
      <c r="F1931" s="51" t="n"/>
      <c r="G1931" s="47" t="n"/>
      <c r="H1931" s="47" t="n"/>
      <c r="I1931" s="43">
        <f>IF($B1931="","",N($G1931)-N($H1931))</f>
        <v/>
      </c>
    </row>
    <row r="1932">
      <c r="A1932" s="39">
        <f>IF($B1932="","",COUNTA($B$4:$B1932))</f>
        <v/>
      </c>
      <c r="B1932" s="40" t="n"/>
      <c r="C1932" s="41" t="n"/>
      <c r="D1932" s="41" t="n"/>
      <c r="E1932" s="41" t="n"/>
      <c r="F1932" s="50" t="n"/>
      <c r="G1932" s="42" t="n"/>
      <c r="H1932" s="42" t="n"/>
      <c r="I1932" s="43">
        <f>IF($B1932="","",N($G1932)-N($H1932))</f>
        <v/>
      </c>
    </row>
    <row r="1933">
      <c r="A1933" s="39">
        <f>IF($B1933="","",COUNTA($B$4:$B1933))</f>
        <v/>
      </c>
      <c r="B1933" s="45" t="n"/>
      <c r="C1933" s="46" t="n"/>
      <c r="D1933" s="46" t="n"/>
      <c r="E1933" s="46" t="n"/>
      <c r="F1933" s="51" t="n"/>
      <c r="G1933" s="47" t="n"/>
      <c r="H1933" s="47" t="n"/>
      <c r="I1933" s="43">
        <f>IF($B1933="","",N($G1933)-N($H1933))</f>
        <v/>
      </c>
    </row>
    <row r="1934">
      <c r="A1934" s="39">
        <f>IF($B1934="","",COUNTA($B$4:$B1934))</f>
        <v/>
      </c>
      <c r="B1934" s="40" t="n"/>
      <c r="C1934" s="41" t="n"/>
      <c r="D1934" s="41" t="n"/>
      <c r="E1934" s="41" t="n"/>
      <c r="F1934" s="50" t="n"/>
      <c r="G1934" s="42" t="n"/>
      <c r="H1934" s="42" t="n"/>
      <c r="I1934" s="43">
        <f>IF($B1934="","",N($G1934)-N($H1934))</f>
        <v/>
      </c>
    </row>
    <row r="1935">
      <c r="A1935" s="39">
        <f>IF($B1935="","",COUNTA($B$4:$B1935))</f>
        <v/>
      </c>
      <c r="B1935" s="45" t="n"/>
      <c r="C1935" s="46" t="n"/>
      <c r="D1935" s="46" t="n"/>
      <c r="E1935" s="46" t="n"/>
      <c r="F1935" s="51" t="n"/>
      <c r="G1935" s="47" t="n"/>
      <c r="H1935" s="47" t="n"/>
      <c r="I1935" s="43">
        <f>IF($B1935="","",N($G1935)-N($H1935))</f>
        <v/>
      </c>
    </row>
    <row r="1936">
      <c r="A1936" s="39">
        <f>IF($B1936="","",COUNTA($B$4:$B1936))</f>
        <v/>
      </c>
      <c r="B1936" s="40" t="n"/>
      <c r="C1936" s="41" t="n"/>
      <c r="D1936" s="41" t="n"/>
      <c r="E1936" s="41" t="n"/>
      <c r="F1936" s="50" t="n"/>
      <c r="G1936" s="42" t="n"/>
      <c r="H1936" s="42" t="n"/>
      <c r="I1936" s="43">
        <f>IF($B1936="","",N($G1936)-N($H1936))</f>
        <v/>
      </c>
    </row>
    <row r="1937">
      <c r="A1937" s="39">
        <f>IF($B1937="","",COUNTA($B$4:$B1937))</f>
        <v/>
      </c>
      <c r="B1937" s="45" t="n"/>
      <c r="C1937" s="46" t="n"/>
      <c r="D1937" s="46" t="n"/>
      <c r="E1937" s="46" t="n"/>
      <c r="F1937" s="51" t="n"/>
      <c r="G1937" s="47" t="n"/>
      <c r="H1937" s="47" t="n"/>
      <c r="I1937" s="43">
        <f>IF($B1937="","",N($G1937)-N($H1937))</f>
        <v/>
      </c>
    </row>
    <row r="1938">
      <c r="A1938" s="39">
        <f>IF($B1938="","",COUNTA($B$4:$B1938))</f>
        <v/>
      </c>
      <c r="B1938" s="40" t="n"/>
      <c r="C1938" s="41" t="n"/>
      <c r="D1938" s="41" t="n"/>
      <c r="E1938" s="41" t="n"/>
      <c r="F1938" s="50" t="n"/>
      <c r="G1938" s="42" t="n"/>
      <c r="H1938" s="42" t="n"/>
      <c r="I1938" s="43">
        <f>IF($B1938="","",N($G1938)-N($H1938))</f>
        <v/>
      </c>
    </row>
    <row r="1939">
      <c r="A1939" s="39">
        <f>IF($B1939="","",COUNTA($B$4:$B1939))</f>
        <v/>
      </c>
      <c r="B1939" s="45" t="n"/>
      <c r="C1939" s="46" t="n"/>
      <c r="D1939" s="46" t="n"/>
      <c r="E1939" s="46" t="n"/>
      <c r="F1939" s="51" t="n"/>
      <c r="G1939" s="47" t="n"/>
      <c r="H1939" s="47" t="n"/>
      <c r="I1939" s="43">
        <f>IF($B1939="","",N($G1939)-N($H1939))</f>
        <v/>
      </c>
    </row>
    <row r="1940">
      <c r="A1940" s="39">
        <f>IF($B1940="","",COUNTA($B$4:$B1940))</f>
        <v/>
      </c>
      <c r="B1940" s="40" t="n"/>
      <c r="C1940" s="41" t="n"/>
      <c r="D1940" s="41" t="n"/>
      <c r="E1940" s="41" t="n"/>
      <c r="F1940" s="50" t="n"/>
      <c r="G1940" s="42" t="n"/>
      <c r="H1940" s="42" t="n"/>
      <c r="I1940" s="43">
        <f>IF($B1940="","",N($G1940)-N($H1940))</f>
        <v/>
      </c>
    </row>
    <row r="1941">
      <c r="A1941" s="39">
        <f>IF($B1941="","",COUNTA($B$4:$B1941))</f>
        <v/>
      </c>
      <c r="B1941" s="45" t="n"/>
      <c r="C1941" s="46" t="n"/>
      <c r="D1941" s="46" t="n"/>
      <c r="E1941" s="46" t="n"/>
      <c r="F1941" s="51" t="n"/>
      <c r="G1941" s="47" t="n"/>
      <c r="H1941" s="47" t="n"/>
      <c r="I1941" s="43">
        <f>IF($B1941="","",N($G1941)-N($H1941))</f>
        <v/>
      </c>
    </row>
    <row r="1942">
      <c r="A1942" s="39">
        <f>IF($B1942="","",COUNTA($B$4:$B1942))</f>
        <v/>
      </c>
      <c r="B1942" s="40" t="n"/>
      <c r="C1942" s="41" t="n"/>
      <c r="D1942" s="41" t="n"/>
      <c r="E1942" s="41" t="n"/>
      <c r="F1942" s="50" t="n"/>
      <c r="G1942" s="42" t="n"/>
      <c r="H1942" s="42" t="n"/>
      <c r="I1942" s="43">
        <f>IF($B1942="","",N($G1942)-N($H1942))</f>
        <v/>
      </c>
    </row>
    <row r="1943">
      <c r="A1943" s="39">
        <f>IF($B1943="","",COUNTA($B$4:$B1943))</f>
        <v/>
      </c>
      <c r="B1943" s="45" t="n"/>
      <c r="C1943" s="46" t="n"/>
      <c r="D1943" s="46" t="n"/>
      <c r="E1943" s="46" t="n"/>
      <c r="F1943" s="51" t="n"/>
      <c r="G1943" s="47" t="n"/>
      <c r="H1943" s="47" t="n"/>
      <c r="I1943" s="43">
        <f>IF($B1943="","",N($G1943)-N($H1943))</f>
        <v/>
      </c>
    </row>
    <row r="1944">
      <c r="A1944" s="39">
        <f>IF($B1944="","",COUNTA($B$4:$B1944))</f>
        <v/>
      </c>
      <c r="B1944" s="40" t="n"/>
      <c r="C1944" s="41" t="n"/>
      <c r="D1944" s="41" t="n"/>
      <c r="E1944" s="41" t="n"/>
      <c r="F1944" s="50" t="n"/>
      <c r="G1944" s="42" t="n"/>
      <c r="H1944" s="42" t="n"/>
      <c r="I1944" s="43">
        <f>IF($B1944="","",N($G1944)-N($H1944))</f>
        <v/>
      </c>
    </row>
    <row r="1945">
      <c r="A1945" s="39">
        <f>IF($B1945="","",COUNTA($B$4:$B1945))</f>
        <v/>
      </c>
      <c r="B1945" s="45" t="n"/>
      <c r="C1945" s="46" t="n"/>
      <c r="D1945" s="46" t="n"/>
      <c r="E1945" s="46" t="n"/>
      <c r="F1945" s="51" t="n"/>
      <c r="G1945" s="47" t="n"/>
      <c r="H1945" s="47" t="n"/>
      <c r="I1945" s="43">
        <f>IF($B1945="","",N($G1945)-N($H1945))</f>
        <v/>
      </c>
    </row>
    <row r="1946">
      <c r="A1946" s="39">
        <f>IF($B1946="","",COUNTA($B$4:$B1946))</f>
        <v/>
      </c>
      <c r="B1946" s="40" t="n"/>
      <c r="C1946" s="41" t="n"/>
      <c r="D1946" s="41" t="n"/>
      <c r="E1946" s="41" t="n"/>
      <c r="F1946" s="50" t="n"/>
      <c r="G1946" s="42" t="n"/>
      <c r="H1946" s="42" t="n"/>
      <c r="I1946" s="43">
        <f>IF($B1946="","",N($G1946)-N($H1946))</f>
        <v/>
      </c>
    </row>
    <row r="1947">
      <c r="A1947" s="39">
        <f>IF($B1947="","",COUNTA($B$4:$B1947))</f>
        <v/>
      </c>
      <c r="B1947" s="45" t="n"/>
      <c r="C1947" s="46" t="n"/>
      <c r="D1947" s="46" t="n"/>
      <c r="E1947" s="46" t="n"/>
      <c r="F1947" s="51" t="n"/>
      <c r="G1947" s="47" t="n"/>
      <c r="H1947" s="47" t="n"/>
      <c r="I1947" s="43">
        <f>IF($B1947="","",N($G1947)-N($H1947))</f>
        <v/>
      </c>
    </row>
    <row r="1948">
      <c r="A1948" s="39">
        <f>IF($B1948="","",COUNTA($B$4:$B1948))</f>
        <v/>
      </c>
      <c r="B1948" s="40" t="n"/>
      <c r="C1948" s="41" t="n"/>
      <c r="D1948" s="41" t="n"/>
      <c r="E1948" s="41" t="n"/>
      <c r="F1948" s="50" t="n"/>
      <c r="G1948" s="42" t="n"/>
      <c r="H1948" s="42" t="n"/>
      <c r="I1948" s="43">
        <f>IF($B1948="","",N($G1948)-N($H1948))</f>
        <v/>
      </c>
    </row>
    <row r="1949">
      <c r="A1949" s="39">
        <f>IF($B1949="","",COUNTA($B$4:$B1949))</f>
        <v/>
      </c>
      <c r="B1949" s="45" t="n"/>
      <c r="C1949" s="46" t="n"/>
      <c r="D1949" s="46" t="n"/>
      <c r="E1949" s="46" t="n"/>
      <c r="F1949" s="51" t="n"/>
      <c r="G1949" s="47" t="n"/>
      <c r="H1949" s="47" t="n"/>
      <c r="I1949" s="43">
        <f>IF($B1949="","",N($G1949)-N($H1949))</f>
        <v/>
      </c>
    </row>
    <row r="1950">
      <c r="A1950" s="39">
        <f>IF($B1950="","",COUNTA($B$4:$B1950))</f>
        <v/>
      </c>
      <c r="B1950" s="40" t="n"/>
      <c r="C1950" s="41" t="n"/>
      <c r="D1950" s="41" t="n"/>
      <c r="E1950" s="41" t="n"/>
      <c r="F1950" s="50" t="n"/>
      <c r="G1950" s="42" t="n"/>
      <c r="H1950" s="42" t="n"/>
      <c r="I1950" s="43">
        <f>IF($B1950="","",N($G1950)-N($H1950))</f>
        <v/>
      </c>
    </row>
    <row r="1951">
      <c r="A1951" s="39">
        <f>IF($B1951="","",COUNTA($B$4:$B1951))</f>
        <v/>
      </c>
      <c r="B1951" s="45" t="n"/>
      <c r="C1951" s="46" t="n"/>
      <c r="D1951" s="46" t="n"/>
      <c r="E1951" s="46" t="n"/>
      <c r="F1951" s="51" t="n"/>
      <c r="G1951" s="47" t="n"/>
      <c r="H1951" s="47" t="n"/>
      <c r="I1951" s="43">
        <f>IF($B1951="","",N($G1951)-N($H1951))</f>
        <v/>
      </c>
    </row>
    <row r="1952">
      <c r="A1952" s="39">
        <f>IF($B1952="","",COUNTA($B$4:$B1952))</f>
        <v/>
      </c>
      <c r="B1952" s="40" t="n"/>
      <c r="C1952" s="41" t="n"/>
      <c r="D1952" s="41" t="n"/>
      <c r="E1952" s="41" t="n"/>
      <c r="F1952" s="50" t="n"/>
      <c r="G1952" s="42" t="n"/>
      <c r="H1952" s="42" t="n"/>
      <c r="I1952" s="43">
        <f>IF($B1952="","",N($G1952)-N($H1952))</f>
        <v/>
      </c>
    </row>
    <row r="1953">
      <c r="A1953" s="39">
        <f>IF($B1953="","",COUNTA($B$4:$B1953))</f>
        <v/>
      </c>
      <c r="B1953" s="45" t="n"/>
      <c r="C1953" s="46" t="n"/>
      <c r="D1953" s="46" t="n"/>
      <c r="E1953" s="46" t="n"/>
      <c r="F1953" s="51" t="n"/>
      <c r="G1953" s="47" t="n"/>
      <c r="H1953" s="47" t="n"/>
      <c r="I1953" s="43">
        <f>IF($B1953="","",N($G1953)-N($H1953))</f>
        <v/>
      </c>
    </row>
    <row r="1954">
      <c r="A1954" s="39">
        <f>IF($B1954="","",COUNTA($B$4:$B1954))</f>
        <v/>
      </c>
      <c r="B1954" s="40" t="n"/>
      <c r="C1954" s="41" t="n"/>
      <c r="D1954" s="41" t="n"/>
      <c r="E1954" s="41" t="n"/>
      <c r="F1954" s="50" t="n"/>
      <c r="G1954" s="42" t="n"/>
      <c r="H1954" s="42" t="n"/>
      <c r="I1954" s="43">
        <f>IF($B1954="","",N($G1954)-N($H1954))</f>
        <v/>
      </c>
    </row>
    <row r="1955">
      <c r="A1955" s="39">
        <f>IF($B1955="","",COUNTA($B$4:$B1955))</f>
        <v/>
      </c>
      <c r="B1955" s="45" t="n"/>
      <c r="C1955" s="46" t="n"/>
      <c r="D1955" s="46" t="n"/>
      <c r="E1955" s="46" t="n"/>
      <c r="F1955" s="51" t="n"/>
      <c r="G1955" s="47" t="n"/>
      <c r="H1955" s="47" t="n"/>
      <c r="I1955" s="43">
        <f>IF($B1955="","",N($G1955)-N($H1955))</f>
        <v/>
      </c>
    </row>
    <row r="1956">
      <c r="A1956" s="39">
        <f>IF($B1956="","",COUNTA($B$4:$B1956))</f>
        <v/>
      </c>
      <c r="B1956" s="40" t="n"/>
      <c r="C1956" s="41" t="n"/>
      <c r="D1956" s="41" t="n"/>
      <c r="E1956" s="41" t="n"/>
      <c r="F1956" s="50" t="n"/>
      <c r="G1956" s="42" t="n"/>
      <c r="H1956" s="42" t="n"/>
      <c r="I1956" s="43">
        <f>IF($B1956="","",N($G1956)-N($H1956))</f>
        <v/>
      </c>
    </row>
    <row r="1957">
      <c r="A1957" s="39">
        <f>IF($B1957="","",COUNTA($B$4:$B1957))</f>
        <v/>
      </c>
      <c r="B1957" s="45" t="n"/>
      <c r="C1957" s="46" t="n"/>
      <c r="D1957" s="46" t="n"/>
      <c r="E1957" s="46" t="n"/>
      <c r="F1957" s="51" t="n"/>
      <c r="G1957" s="47" t="n"/>
      <c r="H1957" s="47" t="n"/>
      <c r="I1957" s="43">
        <f>IF($B1957="","",N($G1957)-N($H1957))</f>
        <v/>
      </c>
    </row>
    <row r="1958">
      <c r="A1958" s="39">
        <f>IF($B1958="","",COUNTA($B$4:$B1958))</f>
        <v/>
      </c>
      <c r="B1958" s="40" t="n"/>
      <c r="C1958" s="41" t="n"/>
      <c r="D1958" s="41" t="n"/>
      <c r="E1958" s="41" t="n"/>
      <c r="F1958" s="50" t="n"/>
      <c r="G1958" s="42" t="n"/>
      <c r="H1958" s="42" t="n"/>
      <c r="I1958" s="43">
        <f>IF($B1958="","",N($G1958)-N($H1958))</f>
        <v/>
      </c>
    </row>
    <row r="1959">
      <c r="A1959" s="39">
        <f>IF($B1959="","",COUNTA($B$4:$B1959))</f>
        <v/>
      </c>
      <c r="B1959" s="45" t="n"/>
      <c r="C1959" s="46" t="n"/>
      <c r="D1959" s="46" t="n"/>
      <c r="E1959" s="46" t="n"/>
      <c r="F1959" s="51" t="n"/>
      <c r="G1959" s="47" t="n"/>
      <c r="H1959" s="47" t="n"/>
      <c r="I1959" s="43">
        <f>IF($B1959="","",N($G1959)-N($H1959))</f>
        <v/>
      </c>
    </row>
    <row r="1960">
      <c r="A1960" s="39">
        <f>IF($B1960="","",COUNTA($B$4:$B1960))</f>
        <v/>
      </c>
      <c r="B1960" s="40" t="n"/>
      <c r="C1960" s="41" t="n"/>
      <c r="D1960" s="41" t="n"/>
      <c r="E1960" s="41" t="n"/>
      <c r="F1960" s="50" t="n"/>
      <c r="G1960" s="42" t="n"/>
      <c r="H1960" s="42" t="n"/>
      <c r="I1960" s="43">
        <f>IF($B1960="","",N($G1960)-N($H1960))</f>
        <v/>
      </c>
    </row>
    <row r="1961">
      <c r="A1961" s="39">
        <f>IF($B1961="","",COUNTA($B$4:$B1961))</f>
        <v/>
      </c>
      <c r="B1961" s="45" t="n"/>
      <c r="C1961" s="46" t="n"/>
      <c r="D1961" s="46" t="n"/>
      <c r="E1961" s="46" t="n"/>
      <c r="F1961" s="51" t="n"/>
      <c r="G1961" s="47" t="n"/>
      <c r="H1961" s="47" t="n"/>
      <c r="I1961" s="43">
        <f>IF($B1961="","",N($G1961)-N($H1961))</f>
        <v/>
      </c>
    </row>
    <row r="1962">
      <c r="A1962" s="39">
        <f>IF($B1962="","",COUNTA($B$4:$B1962))</f>
        <v/>
      </c>
      <c r="B1962" s="40" t="n"/>
      <c r="C1962" s="41" t="n"/>
      <c r="D1962" s="41" t="n"/>
      <c r="E1962" s="41" t="n"/>
      <c r="F1962" s="50" t="n"/>
      <c r="G1962" s="42" t="n"/>
      <c r="H1962" s="42" t="n"/>
      <c r="I1962" s="43">
        <f>IF($B1962="","",N($G1962)-N($H1962))</f>
        <v/>
      </c>
    </row>
    <row r="1963">
      <c r="A1963" s="39">
        <f>IF($B1963="","",COUNTA($B$4:$B1963))</f>
        <v/>
      </c>
      <c r="B1963" s="45" t="n"/>
      <c r="C1963" s="46" t="n"/>
      <c r="D1963" s="46" t="n"/>
      <c r="E1963" s="46" t="n"/>
      <c r="F1963" s="51" t="n"/>
      <c r="G1963" s="47" t="n"/>
      <c r="H1963" s="47" t="n"/>
      <c r="I1963" s="43">
        <f>IF($B1963="","",N($G1963)-N($H1963))</f>
        <v/>
      </c>
    </row>
    <row r="1964">
      <c r="A1964" s="39">
        <f>IF($B1964="","",COUNTA($B$4:$B1964))</f>
        <v/>
      </c>
      <c r="B1964" s="40" t="n"/>
      <c r="C1964" s="41" t="n"/>
      <c r="D1964" s="41" t="n"/>
      <c r="E1964" s="41" t="n"/>
      <c r="F1964" s="50" t="n"/>
      <c r="G1964" s="42" t="n"/>
      <c r="H1964" s="42" t="n"/>
      <c r="I1964" s="43">
        <f>IF($B1964="","",N($G1964)-N($H1964))</f>
        <v/>
      </c>
    </row>
    <row r="1965">
      <c r="A1965" s="39">
        <f>IF($B1965="","",COUNTA($B$4:$B1965))</f>
        <v/>
      </c>
      <c r="B1965" s="45" t="n"/>
      <c r="C1965" s="46" t="n"/>
      <c r="D1965" s="46" t="n"/>
      <c r="E1965" s="46" t="n"/>
      <c r="F1965" s="51" t="n"/>
      <c r="G1965" s="47" t="n"/>
      <c r="H1965" s="47" t="n"/>
      <c r="I1965" s="43">
        <f>IF($B1965="","",N($G1965)-N($H1965))</f>
        <v/>
      </c>
    </row>
    <row r="1966">
      <c r="A1966" s="39">
        <f>IF($B1966="","",COUNTA($B$4:$B1966))</f>
        <v/>
      </c>
      <c r="B1966" s="40" t="n"/>
      <c r="C1966" s="41" t="n"/>
      <c r="D1966" s="41" t="n"/>
      <c r="E1966" s="41" t="n"/>
      <c r="F1966" s="50" t="n"/>
      <c r="G1966" s="42" t="n"/>
      <c r="H1966" s="42" t="n"/>
      <c r="I1966" s="43">
        <f>IF($B1966="","",N($G1966)-N($H1966))</f>
        <v/>
      </c>
    </row>
    <row r="1967">
      <c r="A1967" s="39">
        <f>IF($B1967="","",COUNTA($B$4:$B1967))</f>
        <v/>
      </c>
      <c r="B1967" s="45" t="n"/>
      <c r="C1967" s="46" t="n"/>
      <c r="D1967" s="46" t="n"/>
      <c r="E1967" s="46" t="n"/>
      <c r="F1967" s="51" t="n"/>
      <c r="G1967" s="47" t="n"/>
      <c r="H1967" s="47" t="n"/>
      <c r="I1967" s="43">
        <f>IF($B1967="","",N($G1967)-N($H1967))</f>
        <v/>
      </c>
    </row>
    <row r="1968">
      <c r="A1968" s="39">
        <f>IF($B1968="","",COUNTA($B$4:$B1968))</f>
        <v/>
      </c>
      <c r="B1968" s="40" t="n"/>
      <c r="C1968" s="41" t="n"/>
      <c r="D1968" s="41" t="n"/>
      <c r="E1968" s="41" t="n"/>
      <c r="F1968" s="50" t="n"/>
      <c r="G1968" s="42" t="n"/>
      <c r="H1968" s="42" t="n"/>
      <c r="I1968" s="43">
        <f>IF($B1968="","",N($G1968)-N($H1968))</f>
        <v/>
      </c>
    </row>
    <row r="1969">
      <c r="A1969" s="39">
        <f>IF($B1969="","",COUNTA($B$4:$B1969))</f>
        <v/>
      </c>
      <c r="B1969" s="45" t="n"/>
      <c r="C1969" s="46" t="n"/>
      <c r="D1969" s="46" t="n"/>
      <c r="E1969" s="46" t="n"/>
      <c r="F1969" s="51" t="n"/>
      <c r="G1969" s="47" t="n"/>
      <c r="H1969" s="47" t="n"/>
      <c r="I1969" s="43">
        <f>IF($B1969="","",N($G1969)-N($H1969))</f>
        <v/>
      </c>
    </row>
    <row r="1970">
      <c r="A1970" s="39">
        <f>IF($B1970="","",COUNTA($B$4:$B1970))</f>
        <v/>
      </c>
      <c r="B1970" s="40" t="n"/>
      <c r="C1970" s="41" t="n"/>
      <c r="D1970" s="41" t="n"/>
      <c r="E1970" s="41" t="n"/>
      <c r="F1970" s="50" t="n"/>
      <c r="G1970" s="42" t="n"/>
      <c r="H1970" s="42" t="n"/>
      <c r="I1970" s="43">
        <f>IF($B1970="","",N($G1970)-N($H1970))</f>
        <v/>
      </c>
    </row>
    <row r="1971">
      <c r="A1971" s="39">
        <f>IF($B1971="","",COUNTA($B$4:$B1971))</f>
        <v/>
      </c>
      <c r="B1971" s="45" t="n"/>
      <c r="C1971" s="46" t="n"/>
      <c r="D1971" s="46" t="n"/>
      <c r="E1971" s="46" t="n"/>
      <c r="F1971" s="51" t="n"/>
      <c r="G1971" s="47" t="n"/>
      <c r="H1971" s="47" t="n"/>
      <c r="I1971" s="43">
        <f>IF($B1971="","",N($G1971)-N($H1971))</f>
        <v/>
      </c>
    </row>
    <row r="1972">
      <c r="A1972" s="39">
        <f>IF($B1972="","",COUNTA($B$4:$B1972))</f>
        <v/>
      </c>
      <c r="B1972" s="40" t="n"/>
      <c r="C1972" s="41" t="n"/>
      <c r="D1972" s="41" t="n"/>
      <c r="E1972" s="41" t="n"/>
      <c r="F1972" s="50" t="n"/>
      <c r="G1972" s="42" t="n"/>
      <c r="H1972" s="42" t="n"/>
      <c r="I1972" s="43">
        <f>IF($B1972="","",N($G1972)-N($H1972))</f>
        <v/>
      </c>
    </row>
    <row r="1973">
      <c r="A1973" s="39">
        <f>IF($B1973="","",COUNTA($B$4:$B1973))</f>
        <v/>
      </c>
      <c r="B1973" s="45" t="n"/>
      <c r="C1973" s="46" t="n"/>
      <c r="D1973" s="46" t="n"/>
      <c r="E1973" s="46" t="n"/>
      <c r="F1973" s="51" t="n"/>
      <c r="G1973" s="47" t="n"/>
      <c r="H1973" s="47" t="n"/>
      <c r="I1973" s="43">
        <f>IF($B1973="","",N($G1973)-N($H1973))</f>
        <v/>
      </c>
    </row>
    <row r="1974">
      <c r="A1974" s="39">
        <f>IF($B1974="","",COUNTA($B$4:$B1974))</f>
        <v/>
      </c>
      <c r="B1974" s="40" t="n"/>
      <c r="C1974" s="41" t="n"/>
      <c r="D1974" s="41" t="n"/>
      <c r="E1974" s="41" t="n"/>
      <c r="F1974" s="50" t="n"/>
      <c r="G1974" s="42" t="n"/>
      <c r="H1974" s="42" t="n"/>
      <c r="I1974" s="43">
        <f>IF($B1974="","",N($G1974)-N($H1974))</f>
        <v/>
      </c>
    </row>
    <row r="1975">
      <c r="A1975" s="39">
        <f>IF($B1975="","",COUNTA($B$4:$B1975))</f>
        <v/>
      </c>
      <c r="B1975" s="45" t="n"/>
      <c r="C1975" s="46" t="n"/>
      <c r="D1975" s="46" t="n"/>
      <c r="E1975" s="46" t="n"/>
      <c r="F1975" s="51" t="n"/>
      <c r="G1975" s="47" t="n"/>
      <c r="H1975" s="47" t="n"/>
      <c r="I1975" s="43">
        <f>IF($B1975="","",N($G1975)-N($H1975))</f>
        <v/>
      </c>
    </row>
    <row r="1976">
      <c r="A1976" s="39">
        <f>IF($B1976="","",COUNTA($B$4:$B1976))</f>
        <v/>
      </c>
      <c r="B1976" s="40" t="n"/>
      <c r="C1976" s="41" t="n"/>
      <c r="D1976" s="41" t="n"/>
      <c r="E1976" s="41" t="n"/>
      <c r="F1976" s="50" t="n"/>
      <c r="G1976" s="42" t="n"/>
      <c r="H1976" s="42" t="n"/>
      <c r="I1976" s="43">
        <f>IF($B1976="","",N($G1976)-N($H1976))</f>
        <v/>
      </c>
    </row>
    <row r="1977">
      <c r="A1977" s="39">
        <f>IF($B1977="","",COUNTA($B$4:$B1977))</f>
        <v/>
      </c>
      <c r="B1977" s="45" t="n"/>
      <c r="C1977" s="46" t="n"/>
      <c r="D1977" s="46" t="n"/>
      <c r="E1977" s="46" t="n"/>
      <c r="F1977" s="51" t="n"/>
      <c r="G1977" s="47" t="n"/>
      <c r="H1977" s="47" t="n"/>
      <c r="I1977" s="43">
        <f>IF($B1977="","",N($G1977)-N($H1977))</f>
        <v/>
      </c>
    </row>
    <row r="1978">
      <c r="A1978" s="39">
        <f>IF($B1978="","",COUNTA($B$4:$B1978))</f>
        <v/>
      </c>
      <c r="B1978" s="40" t="n"/>
      <c r="C1978" s="41" t="n"/>
      <c r="D1978" s="41" t="n"/>
      <c r="E1978" s="41" t="n"/>
      <c r="F1978" s="50" t="n"/>
      <c r="G1978" s="42" t="n"/>
      <c r="H1978" s="42" t="n"/>
      <c r="I1978" s="43">
        <f>IF($B1978="","",N($G1978)-N($H1978))</f>
        <v/>
      </c>
    </row>
    <row r="1979">
      <c r="A1979" s="39">
        <f>IF($B1979="","",COUNTA($B$4:$B1979))</f>
        <v/>
      </c>
      <c r="B1979" s="45" t="n"/>
      <c r="C1979" s="46" t="n"/>
      <c r="D1979" s="46" t="n"/>
      <c r="E1979" s="46" t="n"/>
      <c r="F1979" s="51" t="n"/>
      <c r="G1979" s="47" t="n"/>
      <c r="H1979" s="47" t="n"/>
      <c r="I1979" s="43">
        <f>IF($B1979="","",N($G1979)-N($H1979))</f>
        <v/>
      </c>
    </row>
    <row r="1980">
      <c r="A1980" s="39">
        <f>IF($B1980="","",COUNTA($B$4:$B1980))</f>
        <v/>
      </c>
      <c r="B1980" s="40" t="n"/>
      <c r="C1980" s="41" t="n"/>
      <c r="D1980" s="41" t="n"/>
      <c r="E1980" s="41" t="n"/>
      <c r="F1980" s="50" t="n"/>
      <c r="G1980" s="42" t="n"/>
      <c r="H1980" s="42" t="n"/>
      <c r="I1980" s="43">
        <f>IF($B1980="","",N($G1980)-N($H1980))</f>
        <v/>
      </c>
    </row>
    <row r="1981">
      <c r="A1981" s="39">
        <f>IF($B1981="","",COUNTA($B$4:$B1981))</f>
        <v/>
      </c>
      <c r="B1981" s="45" t="n"/>
      <c r="C1981" s="46" t="n"/>
      <c r="D1981" s="46" t="n"/>
      <c r="E1981" s="46" t="n"/>
      <c r="F1981" s="51" t="n"/>
      <c r="G1981" s="47" t="n"/>
      <c r="H1981" s="47" t="n"/>
      <c r="I1981" s="43">
        <f>IF($B1981="","",N($G1981)-N($H1981))</f>
        <v/>
      </c>
    </row>
    <row r="1982">
      <c r="A1982" s="39">
        <f>IF($B1982="","",COUNTA($B$4:$B1982))</f>
        <v/>
      </c>
      <c r="B1982" s="40" t="n"/>
      <c r="C1982" s="41" t="n"/>
      <c r="D1982" s="41" t="n"/>
      <c r="E1982" s="41" t="n"/>
      <c r="F1982" s="50" t="n"/>
      <c r="G1982" s="42" t="n"/>
      <c r="H1982" s="42" t="n"/>
      <c r="I1982" s="43">
        <f>IF($B1982="","",N($G1982)-N($H1982))</f>
        <v/>
      </c>
    </row>
    <row r="1983">
      <c r="A1983" s="39">
        <f>IF($B1983="","",COUNTA($B$4:$B1983))</f>
        <v/>
      </c>
      <c r="B1983" s="45" t="n"/>
      <c r="C1983" s="46" t="n"/>
      <c r="D1983" s="46" t="n"/>
      <c r="E1983" s="46" t="n"/>
      <c r="F1983" s="51" t="n"/>
      <c r="G1983" s="47" t="n"/>
      <c r="H1983" s="47" t="n"/>
      <c r="I1983" s="43">
        <f>IF($B1983="","",N($G1983)-N($H1983))</f>
        <v/>
      </c>
    </row>
    <row r="1984">
      <c r="A1984" s="39">
        <f>IF($B1984="","",COUNTA($B$4:$B1984))</f>
        <v/>
      </c>
      <c r="B1984" s="40" t="n"/>
      <c r="C1984" s="41" t="n"/>
      <c r="D1984" s="41" t="n"/>
      <c r="E1984" s="41" t="n"/>
      <c r="F1984" s="50" t="n"/>
      <c r="G1984" s="42" t="n"/>
      <c r="H1984" s="42" t="n"/>
      <c r="I1984" s="43">
        <f>IF($B1984="","",N($G1984)-N($H1984))</f>
        <v/>
      </c>
    </row>
    <row r="1985">
      <c r="A1985" s="39">
        <f>IF($B1985="","",COUNTA($B$4:$B1985))</f>
        <v/>
      </c>
      <c r="B1985" s="45" t="n"/>
      <c r="C1985" s="46" t="n"/>
      <c r="D1985" s="46" t="n"/>
      <c r="E1985" s="46" t="n"/>
      <c r="F1985" s="51" t="n"/>
      <c r="G1985" s="47" t="n"/>
      <c r="H1985" s="47" t="n"/>
      <c r="I1985" s="43">
        <f>IF($B1985="","",N($G1985)-N($H1985))</f>
        <v/>
      </c>
    </row>
    <row r="1986">
      <c r="A1986" s="39">
        <f>IF($B1986="","",COUNTA($B$4:$B1986))</f>
        <v/>
      </c>
      <c r="B1986" s="40" t="n"/>
      <c r="C1986" s="41" t="n"/>
      <c r="D1986" s="41" t="n"/>
      <c r="E1986" s="41" t="n"/>
      <c r="F1986" s="50" t="n"/>
      <c r="G1986" s="42" t="n"/>
      <c r="H1986" s="42" t="n"/>
      <c r="I1986" s="43">
        <f>IF($B1986="","",N($G1986)-N($H1986))</f>
        <v/>
      </c>
    </row>
    <row r="1987">
      <c r="A1987" s="39">
        <f>IF($B1987="","",COUNTA($B$4:$B1987))</f>
        <v/>
      </c>
      <c r="B1987" s="45" t="n"/>
      <c r="C1987" s="46" t="n"/>
      <c r="D1987" s="46" t="n"/>
      <c r="E1987" s="46" t="n"/>
      <c r="F1987" s="51" t="n"/>
      <c r="G1987" s="47" t="n"/>
      <c r="H1987" s="47" t="n"/>
      <c r="I1987" s="43">
        <f>IF($B1987="","",N($G1987)-N($H1987))</f>
        <v/>
      </c>
    </row>
    <row r="1988">
      <c r="A1988" s="39">
        <f>IF($B1988="","",COUNTA($B$4:$B1988))</f>
        <v/>
      </c>
      <c r="B1988" s="40" t="n"/>
      <c r="C1988" s="41" t="n"/>
      <c r="D1988" s="41" t="n"/>
      <c r="E1988" s="41" t="n"/>
      <c r="F1988" s="50" t="n"/>
      <c r="G1988" s="42" t="n"/>
      <c r="H1988" s="42" t="n"/>
      <c r="I1988" s="43">
        <f>IF($B1988="","",N($G1988)-N($H1988))</f>
        <v/>
      </c>
    </row>
    <row r="1989">
      <c r="A1989" s="39">
        <f>IF($B1989="","",COUNTA($B$4:$B1989))</f>
        <v/>
      </c>
      <c r="B1989" s="45" t="n"/>
      <c r="C1989" s="46" t="n"/>
      <c r="D1989" s="46" t="n"/>
      <c r="E1989" s="46" t="n"/>
      <c r="F1989" s="51" t="n"/>
      <c r="G1989" s="47" t="n"/>
      <c r="H1989" s="47" t="n"/>
      <c r="I1989" s="43">
        <f>IF($B1989="","",N($G1989)-N($H1989))</f>
        <v/>
      </c>
    </row>
    <row r="1990">
      <c r="A1990" s="39">
        <f>IF($B1990="","",COUNTA($B$4:$B1990))</f>
        <v/>
      </c>
      <c r="B1990" s="40" t="n"/>
      <c r="C1990" s="41" t="n"/>
      <c r="D1990" s="41" t="n"/>
      <c r="E1990" s="41" t="n"/>
      <c r="F1990" s="50" t="n"/>
      <c r="G1990" s="42" t="n"/>
      <c r="H1990" s="42" t="n"/>
      <c r="I1990" s="43">
        <f>IF($B1990="","",N($G1990)-N($H1990))</f>
        <v/>
      </c>
    </row>
    <row r="1991">
      <c r="A1991" s="39">
        <f>IF($B1991="","",COUNTA($B$4:$B1991))</f>
        <v/>
      </c>
      <c r="B1991" s="45" t="n"/>
      <c r="C1991" s="46" t="n"/>
      <c r="D1991" s="46" t="n"/>
      <c r="E1991" s="46" t="n"/>
      <c r="F1991" s="51" t="n"/>
      <c r="G1991" s="47" t="n"/>
      <c r="H1991" s="47" t="n"/>
      <c r="I1991" s="43">
        <f>IF($B1991="","",N($G1991)-N($H1991))</f>
        <v/>
      </c>
    </row>
    <row r="1992">
      <c r="A1992" s="39">
        <f>IF($B1992="","",COUNTA($B$4:$B1992))</f>
        <v/>
      </c>
      <c r="B1992" s="40" t="n"/>
      <c r="C1992" s="41" t="n"/>
      <c r="D1992" s="41" t="n"/>
      <c r="E1992" s="41" t="n"/>
      <c r="F1992" s="50" t="n"/>
      <c r="G1992" s="42" t="n"/>
      <c r="H1992" s="42" t="n"/>
      <c r="I1992" s="43">
        <f>IF($B1992="","",N($G1992)-N($H1992))</f>
        <v/>
      </c>
    </row>
    <row r="1993">
      <c r="A1993" s="39">
        <f>IF($B1993="","",COUNTA($B$4:$B1993))</f>
        <v/>
      </c>
      <c r="B1993" s="45" t="n"/>
      <c r="C1993" s="46" t="n"/>
      <c r="D1993" s="46" t="n"/>
      <c r="E1993" s="46" t="n"/>
      <c r="F1993" s="51" t="n"/>
      <c r="G1993" s="47" t="n"/>
      <c r="H1993" s="47" t="n"/>
      <c r="I1993" s="43">
        <f>IF($B1993="","",N($G1993)-N($H1993))</f>
        <v/>
      </c>
    </row>
    <row r="1994">
      <c r="A1994" s="39">
        <f>IF($B1994="","",COUNTA($B$4:$B1994))</f>
        <v/>
      </c>
      <c r="B1994" s="40" t="n"/>
      <c r="C1994" s="41" t="n"/>
      <c r="D1994" s="41" t="n"/>
      <c r="E1994" s="41" t="n"/>
      <c r="F1994" s="50" t="n"/>
      <c r="G1994" s="42" t="n"/>
      <c r="H1994" s="42" t="n"/>
      <c r="I1994" s="43">
        <f>IF($B1994="","",N($G1994)-N($H1994))</f>
        <v/>
      </c>
    </row>
    <row r="1995">
      <c r="A1995" s="39">
        <f>IF($B1995="","",COUNTA($B$4:$B1995))</f>
        <v/>
      </c>
      <c r="B1995" s="45" t="n"/>
      <c r="C1995" s="46" t="n"/>
      <c r="D1995" s="46" t="n"/>
      <c r="E1995" s="46" t="n"/>
      <c r="F1995" s="51" t="n"/>
      <c r="G1995" s="47" t="n"/>
      <c r="H1995" s="47" t="n"/>
      <c r="I1995" s="43">
        <f>IF($B1995="","",N($G1995)-N($H1995))</f>
        <v/>
      </c>
    </row>
    <row r="1996">
      <c r="A1996" s="39">
        <f>IF($B1996="","",COUNTA($B$4:$B1996))</f>
        <v/>
      </c>
      <c r="B1996" s="40" t="n"/>
      <c r="C1996" s="41" t="n"/>
      <c r="D1996" s="41" t="n"/>
      <c r="E1996" s="41" t="n"/>
      <c r="F1996" s="50" t="n"/>
      <c r="G1996" s="42" t="n"/>
      <c r="H1996" s="42" t="n"/>
      <c r="I1996" s="43">
        <f>IF($B1996="","",N($G1996)-N($H1996))</f>
        <v/>
      </c>
    </row>
    <row r="1997">
      <c r="A1997" s="39">
        <f>IF($B1997="","",COUNTA($B$4:$B1997))</f>
        <v/>
      </c>
      <c r="B1997" s="45" t="n"/>
      <c r="C1997" s="46" t="n"/>
      <c r="D1997" s="46" t="n"/>
      <c r="E1997" s="46" t="n"/>
      <c r="F1997" s="51" t="n"/>
      <c r="G1997" s="47" t="n"/>
      <c r="H1997" s="47" t="n"/>
      <c r="I1997" s="43">
        <f>IF($B1997="","",N($G1997)-N($H1997))</f>
        <v/>
      </c>
    </row>
    <row r="1998">
      <c r="A1998" s="39">
        <f>IF($B1998="","",COUNTA($B$4:$B1998))</f>
        <v/>
      </c>
      <c r="B1998" s="40" t="n"/>
      <c r="C1998" s="41" t="n"/>
      <c r="D1998" s="41" t="n"/>
      <c r="E1998" s="41" t="n"/>
      <c r="F1998" s="50" t="n"/>
      <c r="G1998" s="42" t="n"/>
      <c r="H1998" s="42" t="n"/>
      <c r="I1998" s="43">
        <f>IF($B1998="","",N($G1998)-N($H1998))</f>
        <v/>
      </c>
    </row>
    <row r="1999">
      <c r="A1999" s="39">
        <f>IF($B1999="","",COUNTA($B$4:$B1999))</f>
        <v/>
      </c>
      <c r="B1999" s="45" t="n"/>
      <c r="C1999" s="46" t="n"/>
      <c r="D1999" s="46" t="n"/>
      <c r="E1999" s="46" t="n"/>
      <c r="F1999" s="51" t="n"/>
      <c r="G1999" s="47" t="n"/>
      <c r="H1999" s="47" t="n"/>
      <c r="I1999" s="43">
        <f>IF($B1999="","",N($G1999)-N($H1999))</f>
        <v/>
      </c>
    </row>
    <row r="2000">
      <c r="A2000" s="39">
        <f>IF($B2000="","",COUNTA($B$4:$B2000))</f>
        <v/>
      </c>
      <c r="B2000" s="40" t="n"/>
      <c r="C2000" s="41" t="n"/>
      <c r="D2000" s="41" t="n"/>
      <c r="E2000" s="41" t="n"/>
      <c r="F2000" s="50" t="n"/>
      <c r="G2000" s="42" t="n"/>
      <c r="H2000" s="42" t="n"/>
      <c r="I2000" s="43">
        <f>IF($B2000="","",N($G2000)-N($H2000))</f>
        <v/>
      </c>
    </row>
    <row r="2001">
      <c r="A2001" s="39">
        <f>IF($B2001="","",COUNTA($B$4:$B2001))</f>
        <v/>
      </c>
      <c r="B2001" s="45" t="n"/>
      <c r="C2001" s="46" t="n"/>
      <c r="D2001" s="46" t="n"/>
      <c r="E2001" s="46" t="n"/>
      <c r="F2001" s="51" t="n"/>
      <c r="G2001" s="47" t="n"/>
      <c r="H2001" s="47" t="n"/>
      <c r="I2001" s="43">
        <f>IF($B2001="","",N($G2001)-N($H2001))</f>
        <v/>
      </c>
    </row>
    <row r="2002">
      <c r="A2002" s="39">
        <f>IF($B2002="","",COUNTA($B$4:$B2002))</f>
        <v/>
      </c>
      <c r="B2002" s="40" t="n"/>
      <c r="C2002" s="41" t="n"/>
      <c r="D2002" s="41" t="n"/>
      <c r="E2002" s="41" t="n"/>
      <c r="F2002" s="50" t="n"/>
      <c r="G2002" s="42" t="n"/>
      <c r="H2002" s="42" t="n"/>
      <c r="I2002" s="43">
        <f>IF($B2002="","",N($G2002)-N($H2002))</f>
        <v/>
      </c>
    </row>
    <row r="2003">
      <c r="A2003" s="39">
        <f>IF($B2003="","",COUNTA($B$4:$B2003))</f>
        <v/>
      </c>
      <c r="B2003" s="45" t="n"/>
      <c r="C2003" s="46" t="n"/>
      <c r="D2003" s="46" t="n"/>
      <c r="E2003" s="46" t="n"/>
      <c r="F2003" s="51" t="n"/>
      <c r="G2003" s="47" t="n"/>
      <c r="H2003" s="47" t="n"/>
      <c r="I2003" s="43">
        <f>IF($B2003="","",N($G2003)-N($H2003))</f>
        <v/>
      </c>
    </row>
    <row r="2004">
      <c r="A2004" s="39">
        <f>IF($B2004="","",COUNTA($B$4:$B2004))</f>
        <v/>
      </c>
      <c r="B2004" s="40" t="n"/>
      <c r="C2004" s="41" t="n"/>
      <c r="D2004" s="41" t="n"/>
      <c r="E2004" s="41" t="n"/>
      <c r="F2004" s="50" t="n"/>
      <c r="G2004" s="42" t="n"/>
      <c r="H2004" s="42" t="n"/>
      <c r="I2004" s="43">
        <f>IF($B2004="","",N($G2004)-N($H2004))</f>
        <v/>
      </c>
    </row>
    <row r="2005">
      <c r="A2005" s="39">
        <f>IF($B2005="","",COUNTA($B$4:$B2005))</f>
        <v/>
      </c>
      <c r="B2005" s="45" t="n"/>
      <c r="C2005" s="46" t="n"/>
      <c r="D2005" s="46" t="n"/>
      <c r="E2005" s="46" t="n"/>
      <c r="F2005" s="51" t="n"/>
      <c r="G2005" s="47" t="n"/>
      <c r="H2005" s="47" t="n"/>
      <c r="I2005" s="43">
        <f>IF($B2005="","",N($G2005)-N($H2005))</f>
        <v/>
      </c>
    </row>
    <row r="2006">
      <c r="A2006" s="39">
        <f>IF($B2006="","",COUNTA($B$4:$B2006))</f>
        <v/>
      </c>
      <c r="B2006" s="40" t="n"/>
      <c r="C2006" s="41" t="n"/>
      <c r="D2006" s="41" t="n"/>
      <c r="E2006" s="41" t="n"/>
      <c r="F2006" s="50" t="n"/>
      <c r="G2006" s="42" t="n"/>
      <c r="H2006" s="42" t="n"/>
      <c r="I2006" s="43">
        <f>IF($B2006="","",N($G2006)-N($H2006))</f>
        <v/>
      </c>
    </row>
    <row r="2007">
      <c r="A2007" s="39">
        <f>IF($B2007="","",COUNTA($B$4:$B2007))</f>
        <v/>
      </c>
      <c r="B2007" s="45" t="n"/>
      <c r="C2007" s="46" t="n"/>
      <c r="D2007" s="46" t="n"/>
      <c r="E2007" s="46" t="n"/>
      <c r="F2007" s="51" t="n"/>
      <c r="G2007" s="47" t="n"/>
      <c r="H2007" s="47" t="n"/>
      <c r="I2007" s="43">
        <f>IF($B2007="","",N($G2007)-N($H2007))</f>
        <v/>
      </c>
    </row>
    <row r="2008">
      <c r="A2008" s="39">
        <f>IF($B2008="","",COUNTA($B$4:$B2008))</f>
        <v/>
      </c>
      <c r="B2008" s="40" t="n"/>
      <c r="C2008" s="41" t="n"/>
      <c r="D2008" s="41" t="n"/>
      <c r="E2008" s="41" t="n"/>
      <c r="F2008" s="50" t="n"/>
      <c r="G2008" s="42" t="n"/>
      <c r="H2008" s="42" t="n"/>
      <c r="I2008" s="43">
        <f>IF($B2008="","",N($G2008)-N($H2008))</f>
        <v/>
      </c>
    </row>
    <row r="2009">
      <c r="A2009" s="39">
        <f>IF($B2009="","",COUNTA($B$4:$B2009))</f>
        <v/>
      </c>
      <c r="B2009" s="45" t="n"/>
      <c r="C2009" s="46" t="n"/>
      <c r="D2009" s="46" t="n"/>
      <c r="E2009" s="46" t="n"/>
      <c r="F2009" s="51" t="n"/>
      <c r="G2009" s="47" t="n"/>
      <c r="H2009" s="47" t="n"/>
      <c r="I2009" s="43">
        <f>IF($B2009="","",N($G2009)-N($H2009))</f>
        <v/>
      </c>
    </row>
    <row r="2010">
      <c r="A2010" s="39">
        <f>IF($B2010="","",COUNTA($B$4:$B2010))</f>
        <v/>
      </c>
      <c r="B2010" s="40" t="n"/>
      <c r="C2010" s="41" t="n"/>
      <c r="D2010" s="41" t="n"/>
      <c r="E2010" s="41" t="n"/>
      <c r="F2010" s="50" t="n"/>
      <c r="G2010" s="42" t="n"/>
      <c r="H2010" s="42" t="n"/>
      <c r="I2010" s="43">
        <f>IF($B2010="","",N($G2010)-N($H2010))</f>
        <v/>
      </c>
    </row>
    <row r="2011">
      <c r="A2011" s="39">
        <f>IF($B2011="","",COUNTA($B$4:$B2011))</f>
        <v/>
      </c>
      <c r="B2011" s="45" t="n"/>
      <c r="C2011" s="46" t="n"/>
      <c r="D2011" s="46" t="n"/>
      <c r="E2011" s="46" t="n"/>
      <c r="F2011" s="51" t="n"/>
      <c r="G2011" s="47" t="n"/>
      <c r="H2011" s="47" t="n"/>
      <c r="I2011" s="43">
        <f>IF($B2011="","",N($G2011)-N($H2011))</f>
        <v/>
      </c>
    </row>
    <row r="2012">
      <c r="A2012" s="39">
        <f>IF($B2012="","",COUNTA($B$4:$B2012))</f>
        <v/>
      </c>
      <c r="B2012" s="40" t="n"/>
      <c r="C2012" s="41" t="n"/>
      <c r="D2012" s="41" t="n"/>
      <c r="E2012" s="41" t="n"/>
      <c r="F2012" s="50" t="n"/>
      <c r="G2012" s="42" t="n"/>
      <c r="H2012" s="42" t="n"/>
      <c r="I2012" s="43">
        <f>IF($B2012="","",N($G2012)-N($H2012))</f>
        <v/>
      </c>
    </row>
    <row r="2013">
      <c r="A2013" s="39">
        <f>IF($B2013="","",COUNTA($B$4:$B2013))</f>
        <v/>
      </c>
      <c r="B2013" s="45" t="n"/>
      <c r="C2013" s="46" t="n"/>
      <c r="D2013" s="46" t="n"/>
      <c r="E2013" s="46" t="n"/>
      <c r="F2013" s="51" t="n"/>
      <c r="G2013" s="47" t="n"/>
      <c r="H2013" s="47" t="n"/>
      <c r="I2013" s="43">
        <f>IF($B2013="","",N($G2013)-N($H2013))</f>
        <v/>
      </c>
    </row>
    <row r="2014">
      <c r="A2014" s="39">
        <f>IF($B2014="","",COUNTA($B$4:$B2014))</f>
        <v/>
      </c>
      <c r="B2014" s="40" t="n"/>
      <c r="C2014" s="41" t="n"/>
      <c r="D2014" s="41" t="n"/>
      <c r="E2014" s="41" t="n"/>
      <c r="F2014" s="50" t="n"/>
      <c r="G2014" s="42" t="n"/>
      <c r="H2014" s="42" t="n"/>
      <c r="I2014" s="43">
        <f>IF($B2014="","",N($G2014)-N($H2014))</f>
        <v/>
      </c>
    </row>
    <row r="2015">
      <c r="A2015" s="39">
        <f>IF($B2015="","",COUNTA($B$4:$B2015))</f>
        <v/>
      </c>
      <c r="B2015" s="45" t="n"/>
      <c r="C2015" s="46" t="n"/>
      <c r="D2015" s="46" t="n"/>
      <c r="E2015" s="46" t="n"/>
      <c r="F2015" s="51" t="n"/>
      <c r="G2015" s="47" t="n"/>
      <c r="H2015" s="47" t="n"/>
      <c r="I2015" s="43">
        <f>IF($B2015="","",N($G2015)-N($H2015))</f>
        <v/>
      </c>
    </row>
    <row r="2016">
      <c r="A2016" s="39">
        <f>IF($B2016="","",COUNTA($B$4:$B2016))</f>
        <v/>
      </c>
      <c r="B2016" s="40" t="n"/>
      <c r="C2016" s="41" t="n"/>
      <c r="D2016" s="41" t="n"/>
      <c r="E2016" s="41" t="n"/>
      <c r="F2016" s="50" t="n"/>
      <c r="G2016" s="42" t="n"/>
      <c r="H2016" s="42" t="n"/>
      <c r="I2016" s="43">
        <f>IF($B2016="","",N($G2016)-N($H2016))</f>
        <v/>
      </c>
    </row>
    <row r="2017">
      <c r="A2017" s="39">
        <f>IF($B2017="","",COUNTA($B$4:$B2017))</f>
        <v/>
      </c>
      <c r="B2017" s="45" t="n"/>
      <c r="C2017" s="46" t="n"/>
      <c r="D2017" s="46" t="n"/>
      <c r="E2017" s="46" t="n"/>
      <c r="F2017" s="51" t="n"/>
      <c r="G2017" s="47" t="n"/>
      <c r="H2017" s="47" t="n"/>
      <c r="I2017" s="43">
        <f>IF($B2017="","",N($G2017)-N($H2017))</f>
        <v/>
      </c>
    </row>
    <row r="2018">
      <c r="A2018" s="39">
        <f>IF($B2018="","",COUNTA($B$4:$B2018))</f>
        <v/>
      </c>
      <c r="B2018" s="40" t="n"/>
      <c r="C2018" s="41" t="n"/>
      <c r="D2018" s="41" t="n"/>
      <c r="E2018" s="41" t="n"/>
      <c r="F2018" s="50" t="n"/>
      <c r="G2018" s="42" t="n"/>
      <c r="H2018" s="42" t="n"/>
      <c r="I2018" s="43">
        <f>IF($B2018="","",N($G2018)-N($H2018))</f>
        <v/>
      </c>
    </row>
    <row r="2019">
      <c r="A2019" s="39">
        <f>IF($B2019="","",COUNTA($B$4:$B2019))</f>
        <v/>
      </c>
      <c r="B2019" s="45" t="n"/>
      <c r="C2019" s="46" t="n"/>
      <c r="D2019" s="46" t="n"/>
      <c r="E2019" s="46" t="n"/>
      <c r="F2019" s="51" t="n"/>
      <c r="G2019" s="47" t="n"/>
      <c r="H2019" s="47" t="n"/>
      <c r="I2019" s="43">
        <f>IF($B2019="","",N($G2019)-N($H2019))</f>
        <v/>
      </c>
    </row>
    <row r="2020">
      <c r="A2020" s="39">
        <f>IF($B2020="","",COUNTA($B$4:$B2020))</f>
        <v/>
      </c>
      <c r="B2020" s="40" t="n"/>
      <c r="C2020" s="41" t="n"/>
      <c r="D2020" s="41" t="n"/>
      <c r="E2020" s="41" t="n"/>
      <c r="F2020" s="50" t="n"/>
      <c r="G2020" s="42" t="n"/>
      <c r="H2020" s="42" t="n"/>
      <c r="I2020" s="43">
        <f>IF($B2020="","",N($G2020)-N($H2020))</f>
        <v/>
      </c>
    </row>
    <row r="2021">
      <c r="A2021" s="39">
        <f>IF($B2021="","",COUNTA($B$4:$B2021))</f>
        <v/>
      </c>
      <c r="B2021" s="45" t="n"/>
      <c r="C2021" s="46" t="n"/>
      <c r="D2021" s="46" t="n"/>
      <c r="E2021" s="46" t="n"/>
      <c r="F2021" s="51" t="n"/>
      <c r="G2021" s="47" t="n"/>
      <c r="H2021" s="47" t="n"/>
      <c r="I2021" s="43">
        <f>IF($B2021="","",N($G2021)-N($H2021))</f>
        <v/>
      </c>
    </row>
    <row r="2022">
      <c r="A2022" s="39">
        <f>IF($B2022="","",COUNTA($B$4:$B2022))</f>
        <v/>
      </c>
      <c r="B2022" s="40" t="n"/>
      <c r="C2022" s="41" t="n"/>
      <c r="D2022" s="41" t="n"/>
      <c r="E2022" s="41" t="n"/>
      <c r="F2022" s="50" t="n"/>
      <c r="G2022" s="42" t="n"/>
      <c r="H2022" s="42" t="n"/>
      <c r="I2022" s="43">
        <f>IF($B2022="","",N($G2022)-N($H2022))</f>
        <v/>
      </c>
    </row>
    <row r="2023">
      <c r="A2023" s="39">
        <f>IF($B2023="","",COUNTA($B$4:$B2023))</f>
        <v/>
      </c>
      <c r="B2023" s="45" t="n"/>
      <c r="C2023" s="46" t="n"/>
      <c r="D2023" s="46" t="n"/>
      <c r="E2023" s="46" t="n"/>
      <c r="F2023" s="51" t="n"/>
      <c r="G2023" s="47" t="n"/>
      <c r="H2023" s="47" t="n"/>
      <c r="I2023" s="43">
        <f>IF($B2023="","",N($G2023)-N($H2023))</f>
        <v/>
      </c>
    </row>
    <row r="2024">
      <c r="A2024" s="39">
        <f>IF($B2024="","",COUNTA($B$4:$B2024))</f>
        <v/>
      </c>
      <c r="B2024" s="40" t="n"/>
      <c r="C2024" s="41" t="n"/>
      <c r="D2024" s="41" t="n"/>
      <c r="E2024" s="41" t="n"/>
      <c r="F2024" s="50" t="n"/>
      <c r="G2024" s="42" t="n"/>
      <c r="H2024" s="42" t="n"/>
      <c r="I2024" s="43">
        <f>IF($B2024="","",N($G2024)-N($H2024))</f>
        <v/>
      </c>
    </row>
    <row r="2025">
      <c r="A2025" s="39">
        <f>IF($B2025="","",COUNTA($B$4:$B2025))</f>
        <v/>
      </c>
      <c r="B2025" s="45" t="n"/>
      <c r="C2025" s="46" t="n"/>
      <c r="D2025" s="46" t="n"/>
      <c r="E2025" s="46" t="n"/>
      <c r="F2025" s="51" t="n"/>
      <c r="G2025" s="47" t="n"/>
      <c r="H2025" s="47" t="n"/>
      <c r="I2025" s="43">
        <f>IF($B2025="","",N($G2025)-N($H2025))</f>
        <v/>
      </c>
    </row>
    <row r="2026">
      <c r="A2026" s="39">
        <f>IF($B2026="","",COUNTA($B$4:$B2026))</f>
        <v/>
      </c>
      <c r="B2026" s="40" t="n"/>
      <c r="C2026" s="41" t="n"/>
      <c r="D2026" s="41" t="n"/>
      <c r="E2026" s="41" t="n"/>
      <c r="F2026" s="50" t="n"/>
      <c r="G2026" s="42" t="n"/>
      <c r="H2026" s="42" t="n"/>
      <c r="I2026" s="43">
        <f>IF($B2026="","",N($G2026)-N($H2026))</f>
        <v/>
      </c>
    </row>
    <row r="2027">
      <c r="A2027" s="39">
        <f>IF($B2027="","",COUNTA($B$4:$B2027))</f>
        <v/>
      </c>
      <c r="B2027" s="45" t="n"/>
      <c r="C2027" s="46" t="n"/>
      <c r="D2027" s="46" t="n"/>
      <c r="E2027" s="46" t="n"/>
      <c r="F2027" s="51" t="n"/>
      <c r="G2027" s="47" t="n"/>
      <c r="H2027" s="47" t="n"/>
      <c r="I2027" s="43">
        <f>IF($B2027="","",N($G2027)-N($H2027))</f>
        <v/>
      </c>
    </row>
    <row r="2028">
      <c r="A2028" s="39">
        <f>IF($B2028="","",COUNTA($B$4:$B2028))</f>
        <v/>
      </c>
      <c r="B2028" s="40" t="n"/>
      <c r="C2028" s="41" t="n"/>
      <c r="D2028" s="41" t="n"/>
      <c r="E2028" s="41" t="n"/>
      <c r="F2028" s="50" t="n"/>
      <c r="G2028" s="42" t="n"/>
      <c r="H2028" s="42" t="n"/>
      <c r="I2028" s="43">
        <f>IF($B2028="","",N($G2028)-N($H2028))</f>
        <v/>
      </c>
    </row>
    <row r="2029">
      <c r="A2029" s="39">
        <f>IF($B2029="","",COUNTA($B$4:$B2029))</f>
        <v/>
      </c>
      <c r="B2029" s="45" t="n"/>
      <c r="C2029" s="46" t="n"/>
      <c r="D2029" s="46" t="n"/>
      <c r="E2029" s="46" t="n"/>
      <c r="F2029" s="51" t="n"/>
      <c r="G2029" s="47" t="n"/>
      <c r="H2029" s="47" t="n"/>
      <c r="I2029" s="43">
        <f>IF($B2029="","",N($G2029)-N($H2029))</f>
        <v/>
      </c>
    </row>
    <row r="2030">
      <c r="A2030" s="39">
        <f>IF($B2030="","",COUNTA($B$4:$B2030))</f>
        <v/>
      </c>
      <c r="B2030" s="40" t="n"/>
      <c r="C2030" s="41" t="n"/>
      <c r="D2030" s="41" t="n"/>
      <c r="E2030" s="41" t="n"/>
      <c r="F2030" s="50" t="n"/>
      <c r="G2030" s="42" t="n"/>
      <c r="H2030" s="42" t="n"/>
      <c r="I2030" s="43">
        <f>IF($B2030="","",N($G2030)-N($H2030))</f>
        <v/>
      </c>
    </row>
    <row r="2031">
      <c r="A2031" s="39">
        <f>IF($B2031="","",COUNTA($B$4:$B2031))</f>
        <v/>
      </c>
      <c r="B2031" s="45" t="n"/>
      <c r="C2031" s="46" t="n"/>
      <c r="D2031" s="46" t="n"/>
      <c r="E2031" s="46" t="n"/>
      <c r="F2031" s="51" t="n"/>
      <c r="G2031" s="47" t="n"/>
      <c r="H2031" s="47" t="n"/>
      <c r="I2031" s="43">
        <f>IF($B2031="","",N($G2031)-N($H2031))</f>
        <v/>
      </c>
    </row>
    <row r="2032">
      <c r="A2032" s="39">
        <f>IF($B2032="","",COUNTA($B$4:$B2032))</f>
        <v/>
      </c>
      <c r="B2032" s="40" t="n"/>
      <c r="C2032" s="41" t="n"/>
      <c r="D2032" s="41" t="n"/>
      <c r="E2032" s="41" t="n"/>
      <c r="F2032" s="50" t="n"/>
      <c r="G2032" s="42" t="n"/>
      <c r="H2032" s="42" t="n"/>
      <c r="I2032" s="43">
        <f>IF($B2032="","",N($G2032)-N($H2032))</f>
        <v/>
      </c>
    </row>
    <row r="2033">
      <c r="A2033" s="39">
        <f>IF($B2033="","",COUNTA($B$4:$B2033))</f>
        <v/>
      </c>
      <c r="B2033" s="45" t="n"/>
      <c r="C2033" s="46" t="n"/>
      <c r="D2033" s="46" t="n"/>
      <c r="E2033" s="46" t="n"/>
      <c r="F2033" s="51" t="n"/>
      <c r="G2033" s="47" t="n"/>
      <c r="H2033" s="47" t="n"/>
      <c r="I2033" s="43">
        <f>IF($B2033="","",N($G2033)-N($H2033))</f>
        <v/>
      </c>
    </row>
    <row r="2034">
      <c r="A2034" s="39">
        <f>IF($B2034="","",COUNTA($B$4:$B2034))</f>
        <v/>
      </c>
      <c r="B2034" s="40" t="n"/>
      <c r="C2034" s="41" t="n"/>
      <c r="D2034" s="41" t="n"/>
      <c r="E2034" s="41" t="n"/>
      <c r="F2034" s="50" t="n"/>
      <c r="G2034" s="42" t="n"/>
      <c r="H2034" s="42" t="n"/>
      <c r="I2034" s="43">
        <f>IF($B2034="","",N($G2034)-N($H2034))</f>
        <v/>
      </c>
    </row>
    <row r="2035">
      <c r="A2035" s="39">
        <f>IF($B2035="","",COUNTA($B$4:$B2035))</f>
        <v/>
      </c>
      <c r="B2035" s="45" t="n"/>
      <c r="C2035" s="46" t="n"/>
      <c r="D2035" s="46" t="n"/>
      <c r="E2035" s="46" t="n"/>
      <c r="F2035" s="51" t="n"/>
      <c r="G2035" s="47" t="n"/>
      <c r="H2035" s="47" t="n"/>
      <c r="I2035" s="43">
        <f>IF($B2035="","",N($G2035)-N($H2035))</f>
        <v/>
      </c>
    </row>
    <row r="2036">
      <c r="A2036" s="39">
        <f>IF($B2036="","",COUNTA($B$4:$B2036))</f>
        <v/>
      </c>
      <c r="B2036" s="40" t="n"/>
      <c r="C2036" s="41" t="n"/>
      <c r="D2036" s="41" t="n"/>
      <c r="E2036" s="41" t="n"/>
      <c r="F2036" s="50" t="n"/>
      <c r="G2036" s="42" t="n"/>
      <c r="H2036" s="42" t="n"/>
      <c r="I2036" s="43">
        <f>IF($B2036="","",N($G2036)-N($H2036))</f>
        <v/>
      </c>
    </row>
    <row r="2037">
      <c r="A2037" s="39">
        <f>IF($B2037="","",COUNTA($B$4:$B2037))</f>
        <v/>
      </c>
      <c r="B2037" s="45" t="n"/>
      <c r="C2037" s="46" t="n"/>
      <c r="D2037" s="46" t="n"/>
      <c r="E2037" s="46" t="n"/>
      <c r="F2037" s="51" t="n"/>
      <c r="G2037" s="47" t="n"/>
      <c r="H2037" s="47" t="n"/>
      <c r="I2037" s="43">
        <f>IF($B2037="","",N($G2037)-N($H2037))</f>
        <v/>
      </c>
    </row>
    <row r="2038">
      <c r="A2038" s="39">
        <f>IF($B2038="","",COUNTA($B$4:$B2038))</f>
        <v/>
      </c>
      <c r="B2038" s="40" t="n"/>
      <c r="C2038" s="41" t="n"/>
      <c r="D2038" s="41" t="n"/>
      <c r="E2038" s="41" t="n"/>
      <c r="F2038" s="50" t="n"/>
      <c r="G2038" s="42" t="n"/>
      <c r="H2038" s="42" t="n"/>
      <c r="I2038" s="43">
        <f>IF($B2038="","",N($G2038)-N($H2038))</f>
        <v/>
      </c>
    </row>
    <row r="2039">
      <c r="A2039" s="39">
        <f>IF($B2039="","",COUNTA($B$4:$B2039))</f>
        <v/>
      </c>
      <c r="B2039" s="45" t="n"/>
      <c r="C2039" s="46" t="n"/>
      <c r="D2039" s="46" t="n"/>
      <c r="E2039" s="46" t="n"/>
      <c r="F2039" s="51" t="n"/>
      <c r="G2039" s="47" t="n"/>
      <c r="H2039" s="47" t="n"/>
      <c r="I2039" s="43">
        <f>IF($B2039="","",N($G2039)-N($H2039))</f>
        <v/>
      </c>
    </row>
    <row r="2040">
      <c r="A2040" s="39">
        <f>IF($B2040="","",COUNTA($B$4:$B2040))</f>
        <v/>
      </c>
      <c r="B2040" s="40" t="n"/>
      <c r="C2040" s="41" t="n"/>
      <c r="D2040" s="41" t="n"/>
      <c r="E2040" s="41" t="n"/>
      <c r="F2040" s="50" t="n"/>
      <c r="G2040" s="42" t="n"/>
      <c r="H2040" s="42" t="n"/>
      <c r="I2040" s="43">
        <f>IF($B2040="","",N($G2040)-N($H2040))</f>
        <v/>
      </c>
    </row>
    <row r="2041">
      <c r="A2041" s="39">
        <f>IF($B2041="","",COUNTA($B$4:$B2041))</f>
        <v/>
      </c>
      <c r="B2041" s="45" t="n"/>
      <c r="C2041" s="46" t="n"/>
      <c r="D2041" s="46" t="n"/>
      <c r="E2041" s="46" t="n"/>
      <c r="F2041" s="51" t="n"/>
      <c r="G2041" s="47" t="n"/>
      <c r="H2041" s="47" t="n"/>
      <c r="I2041" s="43">
        <f>IF($B2041="","",N($G2041)-N($H2041))</f>
        <v/>
      </c>
    </row>
    <row r="2042">
      <c r="A2042" s="39">
        <f>IF($B2042="","",COUNTA($B$4:$B2042))</f>
        <v/>
      </c>
      <c r="B2042" s="40" t="n"/>
      <c r="C2042" s="41" t="n"/>
      <c r="D2042" s="41" t="n"/>
      <c r="E2042" s="41" t="n"/>
      <c r="F2042" s="50" t="n"/>
      <c r="G2042" s="42" t="n"/>
      <c r="H2042" s="42" t="n"/>
      <c r="I2042" s="43">
        <f>IF($B2042="","",N($G2042)-N($H2042))</f>
        <v/>
      </c>
    </row>
    <row r="2043">
      <c r="A2043" s="39">
        <f>IF($B2043="","",COUNTA($B$4:$B2043))</f>
        <v/>
      </c>
      <c r="B2043" s="45" t="n"/>
      <c r="C2043" s="46" t="n"/>
      <c r="D2043" s="46" t="n"/>
      <c r="E2043" s="46" t="n"/>
      <c r="F2043" s="51" t="n"/>
      <c r="G2043" s="47" t="n"/>
      <c r="H2043" s="47" t="n"/>
      <c r="I2043" s="43">
        <f>IF($B2043="","",N($G2043)-N($H2043))</f>
        <v/>
      </c>
    </row>
    <row r="2044">
      <c r="A2044" s="39">
        <f>IF($B2044="","",COUNTA($B$4:$B2044))</f>
        <v/>
      </c>
      <c r="B2044" s="40" t="n"/>
      <c r="C2044" s="41" t="n"/>
      <c r="D2044" s="41" t="n"/>
      <c r="E2044" s="41" t="n"/>
      <c r="F2044" s="50" t="n"/>
      <c r="G2044" s="42" t="n"/>
      <c r="H2044" s="42" t="n"/>
      <c r="I2044" s="43">
        <f>IF($B2044="","",N($G2044)-N($H2044))</f>
        <v/>
      </c>
    </row>
    <row r="2045">
      <c r="A2045" s="39">
        <f>IF($B2045="","",COUNTA($B$4:$B2045))</f>
        <v/>
      </c>
      <c r="B2045" s="45" t="n"/>
      <c r="C2045" s="46" t="n"/>
      <c r="D2045" s="46" t="n"/>
      <c r="E2045" s="46" t="n"/>
      <c r="F2045" s="51" t="n"/>
      <c r="G2045" s="47" t="n"/>
      <c r="H2045" s="47" t="n"/>
      <c r="I2045" s="43">
        <f>IF($B2045="","",N($G2045)-N($H2045))</f>
        <v/>
      </c>
    </row>
    <row r="2046">
      <c r="A2046" s="39">
        <f>IF($B2046="","",COUNTA($B$4:$B2046))</f>
        <v/>
      </c>
      <c r="B2046" s="40" t="n"/>
      <c r="C2046" s="41" t="n"/>
      <c r="D2046" s="41" t="n"/>
      <c r="E2046" s="41" t="n"/>
      <c r="F2046" s="50" t="n"/>
      <c r="G2046" s="42" t="n"/>
      <c r="H2046" s="42" t="n"/>
      <c r="I2046" s="43">
        <f>IF($B2046="","",N($G2046)-N($H2046))</f>
        <v/>
      </c>
    </row>
    <row r="2047">
      <c r="A2047" s="39">
        <f>IF($B2047="","",COUNTA($B$4:$B2047))</f>
        <v/>
      </c>
      <c r="B2047" s="45" t="n"/>
      <c r="C2047" s="46" t="n"/>
      <c r="D2047" s="46" t="n"/>
      <c r="E2047" s="46" t="n"/>
      <c r="F2047" s="51" t="n"/>
      <c r="G2047" s="47" t="n"/>
      <c r="H2047" s="47" t="n"/>
      <c r="I2047" s="43">
        <f>IF($B2047="","",N($G2047)-N($H2047))</f>
        <v/>
      </c>
    </row>
    <row r="2048">
      <c r="A2048" s="39">
        <f>IF($B2048="","",COUNTA($B$4:$B2048))</f>
        <v/>
      </c>
      <c r="B2048" s="40" t="n"/>
      <c r="C2048" s="41" t="n"/>
      <c r="D2048" s="41" t="n"/>
      <c r="E2048" s="41" t="n"/>
      <c r="F2048" s="50" t="n"/>
      <c r="G2048" s="42" t="n"/>
      <c r="H2048" s="42" t="n"/>
      <c r="I2048" s="43">
        <f>IF($B2048="","",N($G2048)-N($H2048))</f>
        <v/>
      </c>
    </row>
    <row r="2049">
      <c r="A2049" s="39">
        <f>IF($B2049="","",COUNTA($B$4:$B2049))</f>
        <v/>
      </c>
      <c r="B2049" s="45" t="n"/>
      <c r="C2049" s="46" t="n"/>
      <c r="D2049" s="46" t="n"/>
      <c r="E2049" s="46" t="n"/>
      <c r="F2049" s="51" t="n"/>
      <c r="G2049" s="47" t="n"/>
      <c r="H2049" s="47" t="n"/>
      <c r="I2049" s="43">
        <f>IF($B2049="","",N($G2049)-N($H2049))</f>
        <v/>
      </c>
    </row>
    <row r="2050">
      <c r="A2050" s="39">
        <f>IF($B2050="","",COUNTA($B$4:$B2050))</f>
        <v/>
      </c>
      <c r="B2050" s="40" t="n"/>
      <c r="C2050" s="41" t="n"/>
      <c r="D2050" s="41" t="n"/>
      <c r="E2050" s="41" t="n"/>
      <c r="F2050" s="50" t="n"/>
      <c r="G2050" s="42" t="n"/>
      <c r="H2050" s="42" t="n"/>
      <c r="I2050" s="43">
        <f>IF($B2050="","",N($G2050)-N($H2050))</f>
        <v/>
      </c>
    </row>
    <row r="2051">
      <c r="A2051" s="39">
        <f>IF($B2051="","",COUNTA($B$4:$B2051))</f>
        <v/>
      </c>
      <c r="B2051" s="45" t="n"/>
      <c r="C2051" s="46" t="n"/>
      <c r="D2051" s="46" t="n"/>
      <c r="E2051" s="46" t="n"/>
      <c r="F2051" s="51" t="n"/>
      <c r="G2051" s="47" t="n"/>
      <c r="H2051" s="47" t="n"/>
      <c r="I2051" s="43">
        <f>IF($B2051="","",N($G2051)-N($H2051))</f>
        <v/>
      </c>
    </row>
    <row r="2052">
      <c r="A2052" s="39">
        <f>IF($B2052="","",COUNTA($B$4:$B2052))</f>
        <v/>
      </c>
      <c r="B2052" s="40" t="n"/>
      <c r="C2052" s="41" t="n"/>
      <c r="D2052" s="41" t="n"/>
      <c r="E2052" s="41" t="n"/>
      <c r="F2052" s="50" t="n"/>
      <c r="G2052" s="42" t="n"/>
      <c r="H2052" s="42" t="n"/>
      <c r="I2052" s="43">
        <f>IF($B2052="","",N($G2052)-N($H2052))</f>
        <v/>
      </c>
    </row>
    <row r="2053">
      <c r="A2053" s="39">
        <f>IF($B2053="","",COUNTA($B$4:$B2053))</f>
        <v/>
      </c>
      <c r="B2053" s="45" t="n"/>
      <c r="C2053" s="46" t="n"/>
      <c r="D2053" s="46" t="n"/>
      <c r="E2053" s="46" t="n"/>
      <c r="F2053" s="51" t="n"/>
      <c r="G2053" s="47" t="n"/>
      <c r="H2053" s="47" t="n"/>
      <c r="I2053" s="43">
        <f>IF($B2053="","",N($G2053)-N($H2053))</f>
        <v/>
      </c>
    </row>
    <row r="2054">
      <c r="A2054" s="39">
        <f>IF($B2054="","",COUNTA($B$4:$B2054))</f>
        <v/>
      </c>
      <c r="B2054" s="40" t="n"/>
      <c r="C2054" s="41" t="n"/>
      <c r="D2054" s="41" t="n"/>
      <c r="E2054" s="41" t="n"/>
      <c r="F2054" s="50" t="n"/>
      <c r="G2054" s="42" t="n"/>
      <c r="H2054" s="42" t="n"/>
      <c r="I2054" s="43">
        <f>IF($B2054="","",N($G2054)-N($H2054))</f>
        <v/>
      </c>
    </row>
    <row r="2055">
      <c r="A2055" s="39">
        <f>IF($B2055="","",COUNTA($B$4:$B2055))</f>
        <v/>
      </c>
      <c r="B2055" s="45" t="n"/>
      <c r="C2055" s="46" t="n"/>
      <c r="D2055" s="46" t="n"/>
      <c r="E2055" s="46" t="n"/>
      <c r="F2055" s="51" t="n"/>
      <c r="G2055" s="47" t="n"/>
      <c r="H2055" s="47" t="n"/>
      <c r="I2055" s="43">
        <f>IF($B2055="","",N($G2055)-N($H2055))</f>
        <v/>
      </c>
    </row>
    <row r="2056">
      <c r="A2056" s="39">
        <f>IF($B2056="","",COUNTA($B$4:$B2056))</f>
        <v/>
      </c>
      <c r="B2056" s="40" t="n"/>
      <c r="C2056" s="41" t="n"/>
      <c r="D2056" s="41" t="n"/>
      <c r="E2056" s="41" t="n"/>
      <c r="F2056" s="50" t="n"/>
      <c r="G2056" s="42" t="n"/>
      <c r="H2056" s="42" t="n"/>
      <c r="I2056" s="43">
        <f>IF($B2056="","",N($G2056)-N($H2056))</f>
        <v/>
      </c>
    </row>
    <row r="2057">
      <c r="A2057" s="39">
        <f>IF($B2057="","",COUNTA($B$4:$B2057))</f>
        <v/>
      </c>
      <c r="B2057" s="45" t="n"/>
      <c r="C2057" s="46" t="n"/>
      <c r="D2057" s="46" t="n"/>
      <c r="E2057" s="46" t="n"/>
      <c r="F2057" s="51" t="n"/>
      <c r="G2057" s="47" t="n"/>
      <c r="H2057" s="47" t="n"/>
      <c r="I2057" s="43">
        <f>IF($B2057="","",N($G2057)-N($H2057))</f>
        <v/>
      </c>
    </row>
    <row r="2058">
      <c r="A2058" s="39">
        <f>IF($B2058="","",COUNTA($B$4:$B2058))</f>
        <v/>
      </c>
      <c r="B2058" s="40" t="n"/>
      <c r="C2058" s="41" t="n"/>
      <c r="D2058" s="41" t="n"/>
      <c r="E2058" s="41" t="n"/>
      <c r="F2058" s="50" t="n"/>
      <c r="G2058" s="42" t="n"/>
      <c r="H2058" s="42" t="n"/>
      <c r="I2058" s="43">
        <f>IF($B2058="","",N($G2058)-N($H2058))</f>
        <v/>
      </c>
    </row>
    <row r="2059">
      <c r="A2059" s="39">
        <f>IF($B2059="","",COUNTA($B$4:$B2059))</f>
        <v/>
      </c>
      <c r="B2059" s="45" t="n"/>
      <c r="C2059" s="46" t="n"/>
      <c r="D2059" s="46" t="n"/>
      <c r="E2059" s="46" t="n"/>
      <c r="F2059" s="51" t="n"/>
      <c r="G2059" s="47" t="n"/>
      <c r="H2059" s="47" t="n"/>
      <c r="I2059" s="43">
        <f>IF($B2059="","",N($G2059)-N($H2059))</f>
        <v/>
      </c>
    </row>
    <row r="2060">
      <c r="A2060" s="39">
        <f>IF($B2060="","",COUNTA($B$4:$B2060))</f>
        <v/>
      </c>
      <c r="B2060" s="40" t="n"/>
      <c r="C2060" s="41" t="n"/>
      <c r="D2060" s="41" t="n"/>
      <c r="E2060" s="41" t="n"/>
      <c r="F2060" s="50" t="n"/>
      <c r="G2060" s="42" t="n"/>
      <c r="H2060" s="42" t="n"/>
      <c r="I2060" s="43">
        <f>IF($B2060="","",N($G2060)-N($H2060))</f>
        <v/>
      </c>
    </row>
    <row r="2061">
      <c r="A2061" s="39">
        <f>IF($B2061="","",COUNTA($B$4:$B2061))</f>
        <v/>
      </c>
      <c r="B2061" s="45" t="n"/>
      <c r="C2061" s="46" t="n"/>
      <c r="D2061" s="46" t="n"/>
      <c r="E2061" s="46" t="n"/>
      <c r="F2061" s="51" t="n"/>
      <c r="G2061" s="47" t="n"/>
      <c r="H2061" s="47" t="n"/>
      <c r="I2061" s="43">
        <f>IF($B2061="","",N($G2061)-N($H2061))</f>
        <v/>
      </c>
    </row>
    <row r="2062">
      <c r="A2062" s="39">
        <f>IF($B2062="","",COUNTA($B$4:$B2062))</f>
        <v/>
      </c>
      <c r="B2062" s="40" t="n"/>
      <c r="C2062" s="41" t="n"/>
      <c r="D2062" s="41" t="n"/>
      <c r="E2062" s="41" t="n"/>
      <c r="F2062" s="50" t="n"/>
      <c r="G2062" s="42" t="n"/>
      <c r="H2062" s="42" t="n"/>
      <c r="I2062" s="43">
        <f>IF($B2062="","",N($G2062)-N($H2062))</f>
        <v/>
      </c>
    </row>
    <row r="2063">
      <c r="A2063" s="39">
        <f>IF($B2063="","",COUNTA($B$4:$B2063))</f>
        <v/>
      </c>
      <c r="B2063" s="45" t="n"/>
      <c r="C2063" s="46" t="n"/>
      <c r="D2063" s="46" t="n"/>
      <c r="E2063" s="46" t="n"/>
      <c r="F2063" s="51" t="n"/>
      <c r="G2063" s="47" t="n"/>
      <c r="H2063" s="47" t="n"/>
      <c r="I2063" s="43">
        <f>IF($B2063="","",N($G2063)-N($H2063))</f>
        <v/>
      </c>
    </row>
    <row r="2064">
      <c r="A2064" s="39">
        <f>IF($B2064="","",COUNTA($B$4:$B2064))</f>
        <v/>
      </c>
      <c r="B2064" s="40" t="n"/>
      <c r="C2064" s="41" t="n"/>
      <c r="D2064" s="41" t="n"/>
      <c r="E2064" s="41" t="n"/>
      <c r="F2064" s="50" t="n"/>
      <c r="G2064" s="42" t="n"/>
      <c r="H2064" s="42" t="n"/>
      <c r="I2064" s="43">
        <f>IF($B2064="","",N($G2064)-N($H2064))</f>
        <v/>
      </c>
    </row>
    <row r="2065">
      <c r="A2065" s="39">
        <f>IF($B2065="","",COUNTA($B$4:$B2065))</f>
        <v/>
      </c>
      <c r="B2065" s="45" t="n"/>
      <c r="C2065" s="46" t="n"/>
      <c r="D2065" s="46" t="n"/>
      <c r="E2065" s="46" t="n"/>
      <c r="F2065" s="51" t="n"/>
      <c r="G2065" s="47" t="n"/>
      <c r="H2065" s="47" t="n"/>
      <c r="I2065" s="43">
        <f>IF($B2065="","",N($G2065)-N($H2065))</f>
        <v/>
      </c>
    </row>
    <row r="2066">
      <c r="A2066" s="39">
        <f>IF($B2066="","",COUNTA($B$4:$B2066))</f>
        <v/>
      </c>
      <c r="B2066" s="40" t="n"/>
      <c r="C2066" s="41" t="n"/>
      <c r="D2066" s="41" t="n"/>
      <c r="E2066" s="41" t="n"/>
      <c r="F2066" s="50" t="n"/>
      <c r="G2066" s="42" t="n"/>
      <c r="H2066" s="42" t="n"/>
      <c r="I2066" s="43">
        <f>IF($B2066="","",N($G2066)-N($H2066))</f>
        <v/>
      </c>
    </row>
    <row r="2067">
      <c r="A2067" s="39">
        <f>IF($B2067="","",COUNTA($B$4:$B2067))</f>
        <v/>
      </c>
      <c r="B2067" s="45" t="n"/>
      <c r="C2067" s="46" t="n"/>
      <c r="D2067" s="46" t="n"/>
      <c r="E2067" s="46" t="n"/>
      <c r="F2067" s="51" t="n"/>
      <c r="G2067" s="47" t="n"/>
      <c r="H2067" s="47" t="n"/>
      <c r="I2067" s="43">
        <f>IF($B2067="","",N($G2067)-N($H2067))</f>
        <v/>
      </c>
    </row>
    <row r="2068">
      <c r="A2068" s="39">
        <f>IF($B2068="","",COUNTA($B$4:$B2068))</f>
        <v/>
      </c>
      <c r="B2068" s="40" t="n"/>
      <c r="C2068" s="41" t="n"/>
      <c r="D2068" s="41" t="n"/>
      <c r="E2068" s="41" t="n"/>
      <c r="F2068" s="50" t="n"/>
      <c r="G2068" s="42" t="n"/>
      <c r="H2068" s="42" t="n"/>
      <c r="I2068" s="43">
        <f>IF($B2068="","",N($G2068)-N($H2068))</f>
        <v/>
      </c>
    </row>
    <row r="2069">
      <c r="A2069" s="39">
        <f>IF($B2069="","",COUNTA($B$4:$B2069))</f>
        <v/>
      </c>
      <c r="B2069" s="45" t="n"/>
      <c r="C2069" s="46" t="n"/>
      <c r="D2069" s="46" t="n"/>
      <c r="E2069" s="46" t="n"/>
      <c r="F2069" s="51" t="n"/>
      <c r="G2069" s="47" t="n"/>
      <c r="H2069" s="47" t="n"/>
      <c r="I2069" s="43">
        <f>IF($B2069="","",N($G2069)-N($H2069))</f>
        <v/>
      </c>
    </row>
    <row r="2070">
      <c r="A2070" s="39">
        <f>IF($B2070="","",COUNTA($B$4:$B2070))</f>
        <v/>
      </c>
      <c r="B2070" s="40" t="n"/>
      <c r="C2070" s="41" t="n"/>
      <c r="D2070" s="41" t="n"/>
      <c r="E2070" s="41" t="n"/>
      <c r="F2070" s="50" t="n"/>
      <c r="G2070" s="42" t="n"/>
      <c r="H2070" s="42" t="n"/>
      <c r="I2070" s="43">
        <f>IF($B2070="","",N($G2070)-N($H2070))</f>
        <v/>
      </c>
    </row>
    <row r="2071">
      <c r="A2071" s="39">
        <f>IF($B2071="","",COUNTA($B$4:$B2071))</f>
        <v/>
      </c>
      <c r="B2071" s="45" t="n"/>
      <c r="C2071" s="46" t="n"/>
      <c r="D2071" s="46" t="n"/>
      <c r="E2071" s="46" t="n"/>
      <c r="F2071" s="51" t="n"/>
      <c r="G2071" s="47" t="n"/>
      <c r="H2071" s="47" t="n"/>
      <c r="I2071" s="43">
        <f>IF($B2071="","",N($G2071)-N($H2071))</f>
        <v/>
      </c>
    </row>
    <row r="2072">
      <c r="A2072" s="39">
        <f>IF($B2072="","",COUNTA($B$4:$B2072))</f>
        <v/>
      </c>
      <c r="B2072" s="40" t="n"/>
      <c r="C2072" s="41" t="n"/>
      <c r="D2072" s="41" t="n"/>
      <c r="E2072" s="41" t="n"/>
      <c r="F2072" s="50" t="n"/>
      <c r="G2072" s="42" t="n"/>
      <c r="H2072" s="42" t="n"/>
      <c r="I2072" s="43">
        <f>IF($B2072="","",N($G2072)-N($H2072))</f>
        <v/>
      </c>
    </row>
    <row r="2073">
      <c r="A2073" s="39">
        <f>IF($B2073="","",COUNTA($B$4:$B2073))</f>
        <v/>
      </c>
      <c r="B2073" s="45" t="n"/>
      <c r="C2073" s="46" t="n"/>
      <c r="D2073" s="46" t="n"/>
      <c r="E2073" s="46" t="n"/>
      <c r="F2073" s="51" t="n"/>
      <c r="G2073" s="47" t="n"/>
      <c r="H2073" s="47" t="n"/>
      <c r="I2073" s="43">
        <f>IF($B2073="","",N($G2073)-N($H2073))</f>
        <v/>
      </c>
    </row>
    <row r="2074">
      <c r="A2074" s="39">
        <f>IF($B2074="","",COUNTA($B$4:$B2074))</f>
        <v/>
      </c>
      <c r="B2074" s="40" t="n"/>
      <c r="C2074" s="41" t="n"/>
      <c r="D2074" s="41" t="n"/>
      <c r="E2074" s="41" t="n"/>
      <c r="F2074" s="50" t="n"/>
      <c r="G2074" s="42" t="n"/>
      <c r="H2074" s="42" t="n"/>
      <c r="I2074" s="43">
        <f>IF($B2074="","",N($G2074)-N($H2074))</f>
        <v/>
      </c>
    </row>
    <row r="2075">
      <c r="A2075" s="39">
        <f>IF($B2075="","",COUNTA($B$4:$B2075))</f>
        <v/>
      </c>
      <c r="B2075" s="45" t="n"/>
      <c r="C2075" s="46" t="n"/>
      <c r="D2075" s="46" t="n"/>
      <c r="E2075" s="46" t="n"/>
      <c r="F2075" s="51" t="n"/>
      <c r="G2075" s="47" t="n"/>
      <c r="H2075" s="47" t="n"/>
      <c r="I2075" s="43">
        <f>IF($B2075="","",N($G2075)-N($H2075))</f>
        <v/>
      </c>
    </row>
    <row r="2076">
      <c r="A2076" s="39">
        <f>IF($B2076="","",COUNTA($B$4:$B2076))</f>
        <v/>
      </c>
      <c r="B2076" s="40" t="n"/>
      <c r="C2076" s="41" t="n"/>
      <c r="D2076" s="41" t="n"/>
      <c r="E2076" s="41" t="n"/>
      <c r="F2076" s="50" t="n"/>
      <c r="G2076" s="42" t="n"/>
      <c r="H2076" s="42" t="n"/>
      <c r="I2076" s="43">
        <f>IF($B2076="","",N($G2076)-N($H2076))</f>
        <v/>
      </c>
    </row>
    <row r="2077">
      <c r="A2077" s="39">
        <f>IF($B2077="","",COUNTA($B$4:$B2077))</f>
        <v/>
      </c>
      <c r="B2077" s="45" t="n"/>
      <c r="C2077" s="46" t="n"/>
      <c r="D2077" s="46" t="n"/>
      <c r="E2077" s="46" t="n"/>
      <c r="F2077" s="51" t="n"/>
      <c r="G2077" s="47" t="n"/>
      <c r="H2077" s="47" t="n"/>
      <c r="I2077" s="43">
        <f>IF($B2077="","",N($G2077)-N($H2077))</f>
        <v/>
      </c>
    </row>
    <row r="2078">
      <c r="A2078" s="39">
        <f>IF($B2078="","",COUNTA($B$4:$B2078))</f>
        <v/>
      </c>
      <c r="B2078" s="40" t="n"/>
      <c r="C2078" s="41" t="n"/>
      <c r="D2078" s="41" t="n"/>
      <c r="E2078" s="41" t="n"/>
      <c r="F2078" s="50" t="n"/>
      <c r="G2078" s="42" t="n"/>
      <c r="H2078" s="42" t="n"/>
      <c r="I2078" s="43">
        <f>IF($B2078="","",N($G2078)-N($H2078))</f>
        <v/>
      </c>
    </row>
    <row r="2079">
      <c r="A2079" s="39">
        <f>IF($B2079="","",COUNTA($B$4:$B2079))</f>
        <v/>
      </c>
      <c r="B2079" s="45" t="n"/>
      <c r="C2079" s="46" t="n"/>
      <c r="D2079" s="46" t="n"/>
      <c r="E2079" s="46" t="n"/>
      <c r="F2079" s="51" t="n"/>
      <c r="G2079" s="47" t="n"/>
      <c r="H2079" s="47" t="n"/>
      <c r="I2079" s="43">
        <f>IF($B2079="","",N($G2079)-N($H2079))</f>
        <v/>
      </c>
    </row>
    <row r="2080">
      <c r="A2080" s="39">
        <f>IF($B2080="","",COUNTA($B$4:$B2080))</f>
        <v/>
      </c>
      <c r="B2080" s="40" t="n"/>
      <c r="C2080" s="41" t="n"/>
      <c r="D2080" s="41" t="n"/>
      <c r="E2080" s="41" t="n"/>
      <c r="F2080" s="50" t="n"/>
      <c r="G2080" s="42" t="n"/>
      <c r="H2080" s="42" t="n"/>
      <c r="I2080" s="43">
        <f>IF($B2080="","",N($G2080)-N($H2080))</f>
        <v/>
      </c>
    </row>
    <row r="2081">
      <c r="A2081" s="39">
        <f>IF($B2081="","",COUNTA($B$4:$B2081))</f>
        <v/>
      </c>
      <c r="B2081" s="45" t="n"/>
      <c r="C2081" s="46" t="n"/>
      <c r="D2081" s="46" t="n"/>
      <c r="E2081" s="46" t="n"/>
      <c r="F2081" s="51" t="n"/>
      <c r="G2081" s="47" t="n"/>
      <c r="H2081" s="47" t="n"/>
      <c r="I2081" s="43">
        <f>IF($B2081="","",N($G2081)-N($H2081))</f>
        <v/>
      </c>
    </row>
    <row r="2082">
      <c r="A2082" s="39">
        <f>IF($B2082="","",COUNTA($B$4:$B2082))</f>
        <v/>
      </c>
      <c r="B2082" s="40" t="n"/>
      <c r="C2082" s="41" t="n"/>
      <c r="D2082" s="41" t="n"/>
      <c r="E2082" s="41" t="n"/>
      <c r="F2082" s="50" t="n"/>
      <c r="G2082" s="42" t="n"/>
      <c r="H2082" s="42" t="n"/>
      <c r="I2082" s="43">
        <f>IF($B2082="","",N($G2082)-N($H2082))</f>
        <v/>
      </c>
    </row>
    <row r="2083">
      <c r="A2083" s="39">
        <f>IF($B2083="","",COUNTA($B$4:$B2083))</f>
        <v/>
      </c>
      <c r="B2083" s="45" t="n"/>
      <c r="C2083" s="46" t="n"/>
      <c r="D2083" s="46" t="n"/>
      <c r="E2083" s="46" t="n"/>
      <c r="F2083" s="51" t="n"/>
      <c r="G2083" s="47" t="n"/>
      <c r="H2083" s="47" t="n"/>
      <c r="I2083" s="43">
        <f>IF($B2083="","",N($G2083)-N($H2083))</f>
        <v/>
      </c>
    </row>
    <row r="2084">
      <c r="A2084" s="39">
        <f>IF($B2084="","",COUNTA($B$4:$B2084))</f>
        <v/>
      </c>
      <c r="B2084" s="40" t="n"/>
      <c r="C2084" s="41" t="n"/>
      <c r="D2084" s="41" t="n"/>
      <c r="E2084" s="41" t="n"/>
      <c r="F2084" s="50" t="n"/>
      <c r="G2084" s="42" t="n"/>
      <c r="H2084" s="42" t="n"/>
      <c r="I2084" s="43">
        <f>IF($B2084="","",N($G2084)-N($H2084))</f>
        <v/>
      </c>
    </row>
    <row r="2085">
      <c r="A2085" s="39">
        <f>IF($B2085="","",COUNTA($B$4:$B2085))</f>
        <v/>
      </c>
      <c r="B2085" s="45" t="n"/>
      <c r="C2085" s="46" t="n"/>
      <c r="D2085" s="46" t="n"/>
      <c r="E2085" s="46" t="n"/>
      <c r="F2085" s="51" t="n"/>
      <c r="G2085" s="47" t="n"/>
      <c r="H2085" s="47" t="n"/>
      <c r="I2085" s="43">
        <f>IF($B2085="","",N($G2085)-N($H2085))</f>
        <v/>
      </c>
    </row>
    <row r="2086">
      <c r="A2086" s="39">
        <f>IF($B2086="","",COUNTA($B$4:$B2086))</f>
        <v/>
      </c>
      <c r="B2086" s="40" t="n"/>
      <c r="C2086" s="41" t="n"/>
      <c r="D2086" s="41" t="n"/>
      <c r="E2086" s="41" t="n"/>
      <c r="F2086" s="50" t="n"/>
      <c r="G2086" s="42" t="n"/>
      <c r="H2086" s="42" t="n"/>
      <c r="I2086" s="43">
        <f>IF($B2086="","",N($G2086)-N($H2086))</f>
        <v/>
      </c>
    </row>
    <row r="2087">
      <c r="A2087" s="39">
        <f>IF($B2087="","",COUNTA($B$4:$B2087))</f>
        <v/>
      </c>
      <c r="B2087" s="45" t="n"/>
      <c r="C2087" s="46" t="n"/>
      <c r="D2087" s="46" t="n"/>
      <c r="E2087" s="46" t="n"/>
      <c r="F2087" s="51" t="n"/>
      <c r="G2087" s="47" t="n"/>
      <c r="H2087" s="47" t="n"/>
      <c r="I2087" s="43">
        <f>IF($B2087="","",N($G2087)-N($H2087))</f>
        <v/>
      </c>
    </row>
    <row r="2088">
      <c r="A2088" s="39">
        <f>IF($B2088="","",COUNTA($B$4:$B2088))</f>
        <v/>
      </c>
      <c r="B2088" s="40" t="n"/>
      <c r="C2088" s="41" t="n"/>
      <c r="D2088" s="41" t="n"/>
      <c r="E2088" s="41" t="n"/>
      <c r="F2088" s="50" t="n"/>
      <c r="G2088" s="42" t="n"/>
      <c r="H2088" s="42" t="n"/>
      <c r="I2088" s="43">
        <f>IF($B2088="","",N($G2088)-N($H2088))</f>
        <v/>
      </c>
    </row>
    <row r="2089">
      <c r="A2089" s="39">
        <f>IF($B2089="","",COUNTA($B$4:$B2089))</f>
        <v/>
      </c>
      <c r="B2089" s="45" t="n"/>
      <c r="C2089" s="46" t="n"/>
      <c r="D2089" s="46" t="n"/>
      <c r="E2089" s="46" t="n"/>
      <c r="F2089" s="51" t="n"/>
      <c r="G2089" s="47" t="n"/>
      <c r="H2089" s="47" t="n"/>
      <c r="I2089" s="43">
        <f>IF($B2089="","",N($G2089)-N($H2089))</f>
        <v/>
      </c>
    </row>
    <row r="2090">
      <c r="A2090" s="39">
        <f>IF($B2090="","",COUNTA($B$4:$B2090))</f>
        <v/>
      </c>
      <c r="B2090" s="40" t="n"/>
      <c r="C2090" s="41" t="n"/>
      <c r="D2090" s="41" t="n"/>
      <c r="E2090" s="41" t="n"/>
      <c r="F2090" s="50" t="n"/>
      <c r="G2090" s="42" t="n"/>
      <c r="H2090" s="42" t="n"/>
      <c r="I2090" s="43">
        <f>IF($B2090="","",N($G2090)-N($H2090))</f>
        <v/>
      </c>
    </row>
    <row r="2091">
      <c r="A2091" s="39">
        <f>IF($B2091="","",COUNTA($B$4:$B2091))</f>
        <v/>
      </c>
      <c r="B2091" s="45" t="n"/>
      <c r="C2091" s="46" t="n"/>
      <c r="D2091" s="46" t="n"/>
      <c r="E2091" s="46" t="n"/>
      <c r="F2091" s="51" t="n"/>
      <c r="G2091" s="47" t="n"/>
      <c r="H2091" s="47" t="n"/>
      <c r="I2091" s="43">
        <f>IF($B2091="","",N($G2091)-N($H2091))</f>
        <v/>
      </c>
    </row>
    <row r="2092">
      <c r="A2092" s="39">
        <f>IF($B2092="","",COUNTA($B$4:$B2092))</f>
        <v/>
      </c>
      <c r="B2092" s="40" t="n"/>
      <c r="C2092" s="41" t="n"/>
      <c r="D2092" s="41" t="n"/>
      <c r="E2092" s="41" t="n"/>
      <c r="F2092" s="50" t="n"/>
      <c r="G2092" s="42" t="n"/>
      <c r="H2092" s="42" t="n"/>
      <c r="I2092" s="43">
        <f>IF($B2092="","",N($G2092)-N($H2092))</f>
        <v/>
      </c>
    </row>
    <row r="2093">
      <c r="A2093" s="39">
        <f>IF($B2093="","",COUNTA($B$4:$B2093))</f>
        <v/>
      </c>
      <c r="B2093" s="45" t="n"/>
      <c r="C2093" s="46" t="n"/>
      <c r="D2093" s="46" t="n"/>
      <c r="E2093" s="46" t="n"/>
      <c r="F2093" s="51" t="n"/>
      <c r="G2093" s="47" t="n"/>
      <c r="H2093" s="47" t="n"/>
      <c r="I2093" s="43">
        <f>IF($B2093="","",N($G2093)-N($H2093))</f>
        <v/>
      </c>
    </row>
    <row r="2094">
      <c r="A2094" s="39">
        <f>IF($B2094="","",COUNTA($B$4:$B2094))</f>
        <v/>
      </c>
      <c r="B2094" s="40" t="n"/>
      <c r="C2094" s="41" t="n"/>
      <c r="D2094" s="41" t="n"/>
      <c r="E2094" s="41" t="n"/>
      <c r="F2094" s="50" t="n"/>
      <c r="G2094" s="42" t="n"/>
      <c r="H2094" s="42" t="n"/>
      <c r="I2094" s="43">
        <f>IF($B2094="","",N($G2094)-N($H2094))</f>
        <v/>
      </c>
    </row>
    <row r="2095">
      <c r="A2095" s="39">
        <f>IF($B2095="","",COUNTA($B$4:$B2095))</f>
        <v/>
      </c>
      <c r="B2095" s="45" t="n"/>
      <c r="C2095" s="46" t="n"/>
      <c r="D2095" s="46" t="n"/>
      <c r="E2095" s="46" t="n"/>
      <c r="F2095" s="51" t="n"/>
      <c r="G2095" s="47" t="n"/>
      <c r="H2095" s="47" t="n"/>
      <c r="I2095" s="43">
        <f>IF($B2095="","",N($G2095)-N($H2095))</f>
        <v/>
      </c>
    </row>
    <row r="2096">
      <c r="A2096" s="39">
        <f>IF($B2096="","",COUNTA($B$4:$B2096))</f>
        <v/>
      </c>
      <c r="B2096" s="40" t="n"/>
      <c r="C2096" s="41" t="n"/>
      <c r="D2096" s="41" t="n"/>
      <c r="E2096" s="41" t="n"/>
      <c r="F2096" s="50" t="n"/>
      <c r="G2096" s="42" t="n"/>
      <c r="H2096" s="42" t="n"/>
      <c r="I2096" s="43">
        <f>IF($B2096="","",N($G2096)-N($H2096))</f>
        <v/>
      </c>
    </row>
    <row r="2097">
      <c r="A2097" s="39">
        <f>IF($B2097="","",COUNTA($B$4:$B2097))</f>
        <v/>
      </c>
      <c r="B2097" s="45" t="n"/>
      <c r="C2097" s="46" t="n"/>
      <c r="D2097" s="46" t="n"/>
      <c r="E2097" s="46" t="n"/>
      <c r="F2097" s="51" t="n"/>
      <c r="G2097" s="47" t="n"/>
      <c r="H2097" s="47" t="n"/>
      <c r="I2097" s="43">
        <f>IF($B2097="","",N($G2097)-N($H2097))</f>
        <v/>
      </c>
    </row>
    <row r="2098">
      <c r="A2098" s="39">
        <f>IF($B2098="","",COUNTA($B$4:$B2098))</f>
        <v/>
      </c>
      <c r="B2098" s="40" t="n"/>
      <c r="C2098" s="41" t="n"/>
      <c r="D2098" s="41" t="n"/>
      <c r="E2098" s="41" t="n"/>
      <c r="F2098" s="50" t="n"/>
      <c r="G2098" s="42" t="n"/>
      <c r="H2098" s="42" t="n"/>
      <c r="I2098" s="43">
        <f>IF($B2098="","",N($G2098)-N($H2098))</f>
        <v/>
      </c>
    </row>
    <row r="2099">
      <c r="A2099" s="39">
        <f>IF($B2099="","",COUNTA($B$4:$B2099))</f>
        <v/>
      </c>
      <c r="B2099" s="45" t="n"/>
      <c r="C2099" s="46" t="n"/>
      <c r="D2099" s="46" t="n"/>
      <c r="E2099" s="46" t="n"/>
      <c r="F2099" s="51" t="n"/>
      <c r="G2099" s="47" t="n"/>
      <c r="H2099" s="47" t="n"/>
      <c r="I2099" s="43">
        <f>IF($B2099="","",N($G2099)-N($H2099))</f>
        <v/>
      </c>
    </row>
    <row r="2100">
      <c r="A2100" s="39">
        <f>IF($B2100="","",COUNTA($B$4:$B2100))</f>
        <v/>
      </c>
      <c r="B2100" s="40" t="n"/>
      <c r="C2100" s="41" t="n"/>
      <c r="D2100" s="41" t="n"/>
      <c r="E2100" s="41" t="n"/>
      <c r="F2100" s="50" t="n"/>
      <c r="G2100" s="42" t="n"/>
      <c r="H2100" s="42" t="n"/>
      <c r="I2100" s="43">
        <f>IF($B2100="","",N($G2100)-N($H2100))</f>
        <v/>
      </c>
    </row>
    <row r="2101">
      <c r="A2101" s="39">
        <f>IF($B2101="","",COUNTA($B$4:$B2101))</f>
        <v/>
      </c>
      <c r="B2101" s="45" t="n"/>
      <c r="C2101" s="46" t="n"/>
      <c r="D2101" s="46" t="n"/>
      <c r="E2101" s="46" t="n"/>
      <c r="F2101" s="51" t="n"/>
      <c r="G2101" s="47" t="n"/>
      <c r="H2101" s="47" t="n"/>
      <c r="I2101" s="43">
        <f>IF($B2101="","",N($G2101)-N($H2101))</f>
        <v/>
      </c>
    </row>
    <row r="2102">
      <c r="A2102" s="39">
        <f>IF($B2102="","",COUNTA($B$4:$B2102))</f>
        <v/>
      </c>
      <c r="B2102" s="40" t="n"/>
      <c r="C2102" s="41" t="n"/>
      <c r="D2102" s="41" t="n"/>
      <c r="E2102" s="41" t="n"/>
      <c r="F2102" s="50" t="n"/>
      <c r="G2102" s="42" t="n"/>
      <c r="H2102" s="42" t="n"/>
      <c r="I2102" s="43">
        <f>IF($B2102="","",N($G2102)-N($H2102))</f>
        <v/>
      </c>
    </row>
    <row r="2103">
      <c r="A2103" s="39">
        <f>IF($B2103="","",COUNTA($B$4:$B2103))</f>
        <v/>
      </c>
      <c r="B2103" s="45" t="n"/>
      <c r="C2103" s="46" t="n"/>
      <c r="D2103" s="46" t="n"/>
      <c r="E2103" s="46" t="n"/>
      <c r="F2103" s="51" t="n"/>
      <c r="G2103" s="47" t="n"/>
      <c r="H2103" s="47" t="n"/>
      <c r="I2103" s="43">
        <f>IF($B2103="","",N($G2103)-N($H2103))</f>
        <v/>
      </c>
    </row>
    <row r="2104">
      <c r="A2104" s="39">
        <f>IF($B2104="","",COUNTA($B$4:$B2104))</f>
        <v/>
      </c>
      <c r="B2104" s="40" t="n"/>
      <c r="C2104" s="41" t="n"/>
      <c r="D2104" s="41" t="n"/>
      <c r="E2104" s="41" t="n"/>
      <c r="F2104" s="50" t="n"/>
      <c r="G2104" s="42" t="n"/>
      <c r="H2104" s="42" t="n"/>
      <c r="I2104" s="43">
        <f>IF($B2104="","",N($G2104)-N($H2104))</f>
        <v/>
      </c>
    </row>
    <row r="2105">
      <c r="A2105" s="39">
        <f>IF($B2105="","",COUNTA($B$4:$B2105))</f>
        <v/>
      </c>
      <c r="B2105" s="45" t="n"/>
      <c r="C2105" s="46" t="n"/>
      <c r="D2105" s="46" t="n"/>
      <c r="E2105" s="46" t="n"/>
      <c r="F2105" s="51" t="n"/>
      <c r="G2105" s="47" t="n"/>
      <c r="H2105" s="47" t="n"/>
      <c r="I2105" s="43">
        <f>IF($B2105="","",N($G2105)-N($H2105))</f>
        <v/>
      </c>
    </row>
    <row r="2106">
      <c r="A2106" s="39">
        <f>IF($B2106="","",COUNTA($B$4:$B2106))</f>
        <v/>
      </c>
      <c r="B2106" s="40" t="n"/>
      <c r="C2106" s="41" t="n"/>
      <c r="D2106" s="41" t="n"/>
      <c r="E2106" s="41" t="n"/>
      <c r="F2106" s="50" t="n"/>
      <c r="G2106" s="42" t="n"/>
      <c r="H2106" s="42" t="n"/>
      <c r="I2106" s="43">
        <f>IF($B2106="","",N($G2106)-N($H2106))</f>
        <v/>
      </c>
    </row>
    <row r="2107">
      <c r="A2107" s="39">
        <f>IF($B2107="","",COUNTA($B$4:$B2107))</f>
        <v/>
      </c>
      <c r="B2107" s="45" t="n"/>
      <c r="C2107" s="46" t="n"/>
      <c r="D2107" s="46" t="n"/>
      <c r="E2107" s="46" t="n"/>
      <c r="F2107" s="51" t="n"/>
      <c r="G2107" s="47" t="n"/>
      <c r="H2107" s="47" t="n"/>
      <c r="I2107" s="43">
        <f>IF($B2107="","",N($G2107)-N($H2107))</f>
        <v/>
      </c>
    </row>
    <row r="2108">
      <c r="A2108" s="39">
        <f>IF($B2108="","",COUNTA($B$4:$B2108))</f>
        <v/>
      </c>
      <c r="B2108" s="40" t="n"/>
      <c r="C2108" s="41" t="n"/>
      <c r="D2108" s="41" t="n"/>
      <c r="E2108" s="41" t="n"/>
      <c r="F2108" s="50" t="n"/>
      <c r="G2108" s="42" t="n"/>
      <c r="H2108" s="42" t="n"/>
      <c r="I2108" s="43">
        <f>IF($B2108="","",N($G2108)-N($H2108))</f>
        <v/>
      </c>
    </row>
    <row r="2109">
      <c r="A2109" s="39">
        <f>IF($B2109="","",COUNTA($B$4:$B2109))</f>
        <v/>
      </c>
      <c r="B2109" s="45" t="n"/>
      <c r="C2109" s="46" t="n"/>
      <c r="D2109" s="46" t="n"/>
      <c r="E2109" s="46" t="n"/>
      <c r="F2109" s="51" t="n"/>
      <c r="G2109" s="47" t="n"/>
      <c r="H2109" s="47" t="n"/>
      <c r="I2109" s="43">
        <f>IF($B2109="","",N($G2109)-N($H2109))</f>
        <v/>
      </c>
    </row>
    <row r="2110">
      <c r="A2110" s="39">
        <f>IF($B2110="","",COUNTA($B$4:$B2110))</f>
        <v/>
      </c>
      <c r="B2110" s="40" t="n"/>
      <c r="C2110" s="41" t="n"/>
      <c r="D2110" s="41" t="n"/>
      <c r="E2110" s="41" t="n"/>
      <c r="F2110" s="50" t="n"/>
      <c r="G2110" s="42" t="n"/>
      <c r="H2110" s="42" t="n"/>
      <c r="I2110" s="43">
        <f>IF($B2110="","",N($G2110)-N($H2110))</f>
        <v/>
      </c>
    </row>
    <row r="2111">
      <c r="A2111" s="39">
        <f>IF($B2111="","",COUNTA($B$4:$B2111))</f>
        <v/>
      </c>
      <c r="B2111" s="45" t="n"/>
      <c r="C2111" s="46" t="n"/>
      <c r="D2111" s="46" t="n"/>
      <c r="E2111" s="46" t="n"/>
      <c r="F2111" s="51" t="n"/>
      <c r="G2111" s="47" t="n"/>
      <c r="H2111" s="47" t="n"/>
      <c r="I2111" s="43">
        <f>IF($B2111="","",N($G2111)-N($H2111))</f>
        <v/>
      </c>
    </row>
    <row r="2112">
      <c r="A2112" s="39">
        <f>IF($B2112="","",COUNTA($B$4:$B2112))</f>
        <v/>
      </c>
      <c r="B2112" s="40" t="n"/>
      <c r="C2112" s="41" t="n"/>
      <c r="D2112" s="41" t="n"/>
      <c r="E2112" s="41" t="n"/>
      <c r="F2112" s="50" t="n"/>
      <c r="G2112" s="42" t="n"/>
      <c r="H2112" s="42" t="n"/>
      <c r="I2112" s="43">
        <f>IF($B2112="","",N($G2112)-N($H2112))</f>
        <v/>
      </c>
    </row>
    <row r="2113">
      <c r="A2113" s="39">
        <f>IF($B2113="","",COUNTA($B$4:$B2113))</f>
        <v/>
      </c>
      <c r="B2113" s="45" t="n"/>
      <c r="C2113" s="46" t="n"/>
      <c r="D2113" s="46" t="n"/>
      <c r="E2113" s="46" t="n"/>
      <c r="F2113" s="51" t="n"/>
      <c r="G2113" s="47" t="n"/>
      <c r="H2113" s="47" t="n"/>
      <c r="I2113" s="43">
        <f>IF($B2113="","",N($G2113)-N($H2113))</f>
        <v/>
      </c>
    </row>
    <row r="2114">
      <c r="A2114" s="39">
        <f>IF($B2114="","",COUNTA($B$4:$B2114))</f>
        <v/>
      </c>
      <c r="B2114" s="40" t="n"/>
      <c r="C2114" s="41" t="n"/>
      <c r="D2114" s="41" t="n"/>
      <c r="E2114" s="41" t="n"/>
      <c r="F2114" s="50" t="n"/>
      <c r="G2114" s="42" t="n"/>
      <c r="H2114" s="42" t="n"/>
      <c r="I2114" s="43">
        <f>IF($B2114="","",N($G2114)-N($H2114))</f>
        <v/>
      </c>
    </row>
    <row r="2115">
      <c r="A2115" s="39">
        <f>IF($B2115="","",COUNTA($B$4:$B2115))</f>
        <v/>
      </c>
      <c r="B2115" s="45" t="n"/>
      <c r="C2115" s="46" t="n"/>
      <c r="D2115" s="46" t="n"/>
      <c r="E2115" s="46" t="n"/>
      <c r="F2115" s="51" t="n"/>
      <c r="G2115" s="47" t="n"/>
      <c r="H2115" s="47" t="n"/>
      <c r="I2115" s="43">
        <f>IF($B2115="","",N($G2115)-N($H2115))</f>
        <v/>
      </c>
    </row>
    <row r="2116">
      <c r="A2116" s="39">
        <f>IF($B2116="","",COUNTA($B$4:$B2116))</f>
        <v/>
      </c>
      <c r="B2116" s="40" t="n"/>
      <c r="C2116" s="41" t="n"/>
      <c r="D2116" s="41" t="n"/>
      <c r="E2116" s="41" t="n"/>
      <c r="F2116" s="50" t="n"/>
      <c r="G2116" s="42" t="n"/>
      <c r="H2116" s="42" t="n"/>
      <c r="I2116" s="43">
        <f>IF($B2116="","",N($G2116)-N($H2116))</f>
        <v/>
      </c>
    </row>
    <row r="2117">
      <c r="A2117" s="39">
        <f>IF($B2117="","",COUNTA($B$4:$B2117))</f>
        <v/>
      </c>
      <c r="B2117" s="45" t="n"/>
      <c r="C2117" s="46" t="n"/>
      <c r="D2117" s="46" t="n"/>
      <c r="E2117" s="46" t="n"/>
      <c r="F2117" s="51" t="n"/>
      <c r="G2117" s="47" t="n"/>
      <c r="H2117" s="47" t="n"/>
      <c r="I2117" s="43">
        <f>IF($B2117="","",N($G2117)-N($H2117))</f>
        <v/>
      </c>
    </row>
    <row r="2118">
      <c r="A2118" s="39">
        <f>IF($B2118="","",COUNTA($B$4:$B2118))</f>
        <v/>
      </c>
      <c r="B2118" s="40" t="n"/>
      <c r="C2118" s="41" t="n"/>
      <c r="D2118" s="41" t="n"/>
      <c r="E2118" s="41" t="n"/>
      <c r="F2118" s="50" t="n"/>
      <c r="G2118" s="42" t="n"/>
      <c r="H2118" s="42" t="n"/>
      <c r="I2118" s="43">
        <f>IF($B2118="","",N($G2118)-N($H2118))</f>
        <v/>
      </c>
    </row>
    <row r="2119">
      <c r="A2119" s="39">
        <f>IF($B2119="","",COUNTA($B$4:$B2119))</f>
        <v/>
      </c>
      <c r="B2119" s="45" t="n"/>
      <c r="C2119" s="46" t="n"/>
      <c r="D2119" s="46" t="n"/>
      <c r="E2119" s="46" t="n"/>
      <c r="F2119" s="51" t="n"/>
      <c r="G2119" s="47" t="n"/>
      <c r="H2119" s="47" t="n"/>
      <c r="I2119" s="43">
        <f>IF($B2119="","",N($G2119)-N($H2119))</f>
        <v/>
      </c>
    </row>
    <row r="2120">
      <c r="A2120" s="39">
        <f>IF($B2120="","",COUNTA($B$4:$B2120))</f>
        <v/>
      </c>
      <c r="B2120" s="40" t="n"/>
      <c r="C2120" s="41" t="n"/>
      <c r="D2120" s="41" t="n"/>
      <c r="E2120" s="41" t="n"/>
      <c r="F2120" s="50" t="n"/>
      <c r="G2120" s="42" t="n"/>
      <c r="H2120" s="42" t="n"/>
      <c r="I2120" s="43">
        <f>IF($B2120="","",N($G2120)-N($H2120))</f>
        <v/>
      </c>
    </row>
    <row r="2121">
      <c r="A2121" s="39">
        <f>IF($B2121="","",COUNTA($B$4:$B2121))</f>
        <v/>
      </c>
      <c r="B2121" s="45" t="n"/>
      <c r="C2121" s="46" t="n"/>
      <c r="D2121" s="46" t="n"/>
      <c r="E2121" s="46" t="n"/>
      <c r="F2121" s="51" t="n"/>
      <c r="G2121" s="47" t="n"/>
      <c r="H2121" s="47" t="n"/>
      <c r="I2121" s="43">
        <f>IF($B2121="","",N($G2121)-N($H2121))</f>
        <v/>
      </c>
    </row>
    <row r="2122">
      <c r="A2122" s="39">
        <f>IF($B2122="","",COUNTA($B$4:$B2122))</f>
        <v/>
      </c>
      <c r="B2122" s="40" t="n"/>
      <c r="C2122" s="41" t="n"/>
      <c r="D2122" s="41" t="n"/>
      <c r="E2122" s="41" t="n"/>
      <c r="F2122" s="50" t="n"/>
      <c r="G2122" s="42" t="n"/>
      <c r="H2122" s="42" t="n"/>
      <c r="I2122" s="43">
        <f>IF($B2122="","",N($G2122)-N($H2122))</f>
        <v/>
      </c>
    </row>
    <row r="2123">
      <c r="A2123" s="39">
        <f>IF($B2123="","",COUNTA($B$4:$B2123))</f>
        <v/>
      </c>
      <c r="B2123" s="45" t="n"/>
      <c r="C2123" s="46" t="n"/>
      <c r="D2123" s="46" t="n"/>
      <c r="E2123" s="46" t="n"/>
      <c r="F2123" s="51" t="n"/>
      <c r="G2123" s="47" t="n"/>
      <c r="H2123" s="47" t="n"/>
      <c r="I2123" s="43">
        <f>IF($B2123="","",N($G2123)-N($H2123))</f>
        <v/>
      </c>
    </row>
    <row r="2124">
      <c r="A2124" s="39">
        <f>IF($B2124="","",COUNTA($B$4:$B2124))</f>
        <v/>
      </c>
      <c r="B2124" s="40" t="n"/>
      <c r="C2124" s="41" t="n"/>
      <c r="D2124" s="41" t="n"/>
      <c r="E2124" s="41" t="n"/>
      <c r="F2124" s="50" t="n"/>
      <c r="G2124" s="42" t="n"/>
      <c r="H2124" s="42" t="n"/>
      <c r="I2124" s="43">
        <f>IF($B2124="","",N($G2124)-N($H2124))</f>
        <v/>
      </c>
    </row>
    <row r="2125">
      <c r="A2125" s="39">
        <f>IF($B2125="","",COUNTA($B$4:$B2125))</f>
        <v/>
      </c>
      <c r="B2125" s="45" t="n"/>
      <c r="C2125" s="46" t="n"/>
      <c r="D2125" s="46" t="n"/>
      <c r="E2125" s="46" t="n"/>
      <c r="F2125" s="51" t="n"/>
      <c r="G2125" s="47" t="n"/>
      <c r="H2125" s="47" t="n"/>
      <c r="I2125" s="43">
        <f>IF($B2125="","",N($G2125)-N($H2125))</f>
        <v/>
      </c>
    </row>
    <row r="2126">
      <c r="A2126" s="39">
        <f>IF($B2126="","",COUNTA($B$4:$B2126))</f>
        <v/>
      </c>
      <c r="B2126" s="40" t="n"/>
      <c r="C2126" s="41" t="n"/>
      <c r="D2126" s="41" t="n"/>
      <c r="E2126" s="41" t="n"/>
      <c r="F2126" s="50" t="n"/>
      <c r="G2126" s="42" t="n"/>
      <c r="H2126" s="42" t="n"/>
      <c r="I2126" s="43">
        <f>IF($B2126="","",N($G2126)-N($H2126))</f>
        <v/>
      </c>
    </row>
    <row r="2127">
      <c r="A2127" s="39">
        <f>IF($B2127="","",COUNTA($B$4:$B2127))</f>
        <v/>
      </c>
      <c r="B2127" s="45" t="n"/>
      <c r="C2127" s="46" t="n"/>
      <c r="D2127" s="46" t="n"/>
      <c r="E2127" s="46" t="n"/>
      <c r="F2127" s="51" t="n"/>
      <c r="G2127" s="47" t="n"/>
      <c r="H2127" s="47" t="n"/>
      <c r="I2127" s="43">
        <f>IF($B2127="","",N($G2127)-N($H2127))</f>
        <v/>
      </c>
    </row>
    <row r="2128">
      <c r="A2128" s="39">
        <f>IF($B2128="","",COUNTA($B$4:$B2128))</f>
        <v/>
      </c>
      <c r="B2128" s="40" t="n"/>
      <c r="C2128" s="41" t="n"/>
      <c r="D2128" s="41" t="n"/>
      <c r="E2128" s="41" t="n"/>
      <c r="F2128" s="50" t="n"/>
      <c r="G2128" s="42" t="n"/>
      <c r="H2128" s="42" t="n"/>
      <c r="I2128" s="43">
        <f>IF($B2128="","",N($G2128)-N($H2128))</f>
        <v/>
      </c>
    </row>
    <row r="2129">
      <c r="A2129" s="39">
        <f>IF($B2129="","",COUNTA($B$4:$B2129))</f>
        <v/>
      </c>
      <c r="B2129" s="45" t="n"/>
      <c r="C2129" s="46" t="n"/>
      <c r="D2129" s="46" t="n"/>
      <c r="E2129" s="46" t="n"/>
      <c r="F2129" s="51" t="n"/>
      <c r="G2129" s="47" t="n"/>
      <c r="H2129" s="47" t="n"/>
      <c r="I2129" s="43">
        <f>IF($B2129="","",N($G2129)-N($H2129))</f>
        <v/>
      </c>
    </row>
    <row r="2130">
      <c r="A2130" s="39">
        <f>IF($B2130="","",COUNTA($B$4:$B2130))</f>
        <v/>
      </c>
      <c r="B2130" s="40" t="n"/>
      <c r="C2130" s="41" t="n"/>
      <c r="D2130" s="41" t="n"/>
      <c r="E2130" s="41" t="n"/>
      <c r="F2130" s="50" t="n"/>
      <c r="G2130" s="42" t="n"/>
      <c r="H2130" s="42" t="n"/>
      <c r="I2130" s="43">
        <f>IF($B2130="","",N($G2130)-N($H2130))</f>
        <v/>
      </c>
    </row>
    <row r="2131">
      <c r="A2131" s="39">
        <f>IF($B2131="","",COUNTA($B$4:$B2131))</f>
        <v/>
      </c>
      <c r="B2131" s="45" t="n"/>
      <c r="C2131" s="46" t="n"/>
      <c r="D2131" s="46" t="n"/>
      <c r="E2131" s="46" t="n"/>
      <c r="F2131" s="51" t="n"/>
      <c r="G2131" s="47" t="n"/>
      <c r="H2131" s="47" t="n"/>
      <c r="I2131" s="43">
        <f>IF($B2131="","",N($G2131)-N($H2131))</f>
        <v/>
      </c>
    </row>
    <row r="2132">
      <c r="A2132" s="39">
        <f>IF($B2132="","",COUNTA($B$4:$B2132))</f>
        <v/>
      </c>
      <c r="B2132" s="40" t="n"/>
      <c r="C2132" s="41" t="n"/>
      <c r="D2132" s="41" t="n"/>
      <c r="E2132" s="41" t="n"/>
      <c r="F2132" s="50" t="n"/>
      <c r="G2132" s="42" t="n"/>
      <c r="H2132" s="42" t="n"/>
      <c r="I2132" s="43">
        <f>IF($B2132="","",N($G2132)-N($H2132))</f>
        <v/>
      </c>
    </row>
    <row r="2133">
      <c r="A2133" s="39">
        <f>IF($B2133="","",COUNTA($B$4:$B2133))</f>
        <v/>
      </c>
      <c r="B2133" s="45" t="n"/>
      <c r="C2133" s="46" t="n"/>
      <c r="D2133" s="46" t="n"/>
      <c r="E2133" s="46" t="n"/>
      <c r="F2133" s="51" t="n"/>
      <c r="G2133" s="47" t="n"/>
      <c r="H2133" s="47" t="n"/>
      <c r="I2133" s="43">
        <f>IF($B2133="","",N($G2133)-N($H2133))</f>
        <v/>
      </c>
    </row>
    <row r="2134">
      <c r="A2134" s="39">
        <f>IF($B2134="","",COUNTA($B$4:$B2134))</f>
        <v/>
      </c>
      <c r="B2134" s="40" t="n"/>
      <c r="C2134" s="41" t="n"/>
      <c r="D2134" s="41" t="n"/>
      <c r="E2134" s="41" t="n"/>
      <c r="F2134" s="50" t="n"/>
      <c r="G2134" s="42" t="n"/>
      <c r="H2134" s="42" t="n"/>
      <c r="I2134" s="43">
        <f>IF($B2134="","",N($G2134)-N($H2134))</f>
        <v/>
      </c>
    </row>
    <row r="2135">
      <c r="A2135" s="39">
        <f>IF($B2135="","",COUNTA($B$4:$B2135))</f>
        <v/>
      </c>
      <c r="B2135" s="45" t="n"/>
      <c r="C2135" s="46" t="n"/>
      <c r="D2135" s="46" t="n"/>
      <c r="E2135" s="46" t="n"/>
      <c r="F2135" s="51" t="n"/>
      <c r="G2135" s="47" t="n"/>
      <c r="H2135" s="47" t="n"/>
      <c r="I2135" s="43">
        <f>IF($B2135="","",N($G2135)-N($H2135))</f>
        <v/>
      </c>
    </row>
    <row r="2136">
      <c r="A2136" s="39">
        <f>IF($B2136="","",COUNTA($B$4:$B2136))</f>
        <v/>
      </c>
      <c r="B2136" s="40" t="n"/>
      <c r="C2136" s="41" t="n"/>
      <c r="D2136" s="41" t="n"/>
      <c r="E2136" s="41" t="n"/>
      <c r="F2136" s="50" t="n"/>
      <c r="G2136" s="42" t="n"/>
      <c r="H2136" s="42" t="n"/>
      <c r="I2136" s="43">
        <f>IF($B2136="","",N($G2136)-N($H2136))</f>
        <v/>
      </c>
    </row>
    <row r="2137">
      <c r="A2137" s="39">
        <f>IF($B2137="","",COUNTA($B$4:$B2137))</f>
        <v/>
      </c>
      <c r="B2137" s="45" t="n"/>
      <c r="C2137" s="46" t="n"/>
      <c r="D2137" s="46" t="n"/>
      <c r="E2137" s="46" t="n"/>
      <c r="F2137" s="51" t="n"/>
      <c r="G2137" s="47" t="n"/>
      <c r="H2137" s="47" t="n"/>
      <c r="I2137" s="43">
        <f>IF($B2137="","",N($G2137)-N($H2137))</f>
        <v/>
      </c>
    </row>
    <row r="2138">
      <c r="A2138" s="39">
        <f>IF($B2138="","",COUNTA($B$4:$B2138))</f>
        <v/>
      </c>
      <c r="B2138" s="40" t="n"/>
      <c r="C2138" s="41" t="n"/>
      <c r="D2138" s="41" t="n"/>
      <c r="E2138" s="41" t="n"/>
      <c r="F2138" s="50" t="n"/>
      <c r="G2138" s="42" t="n"/>
      <c r="H2138" s="42" t="n"/>
      <c r="I2138" s="43">
        <f>IF($B2138="","",N($G2138)-N($H2138))</f>
        <v/>
      </c>
    </row>
    <row r="2139">
      <c r="A2139" s="39">
        <f>IF($B2139="","",COUNTA($B$4:$B2139))</f>
        <v/>
      </c>
      <c r="B2139" s="45" t="n"/>
      <c r="C2139" s="46" t="n"/>
      <c r="D2139" s="46" t="n"/>
      <c r="E2139" s="46" t="n"/>
      <c r="F2139" s="51" t="n"/>
      <c r="G2139" s="47" t="n"/>
      <c r="H2139" s="47" t="n"/>
      <c r="I2139" s="43">
        <f>IF($B2139="","",N($G2139)-N($H2139))</f>
        <v/>
      </c>
    </row>
    <row r="2140">
      <c r="A2140" s="39">
        <f>IF($B2140="","",COUNTA($B$4:$B2140))</f>
        <v/>
      </c>
      <c r="B2140" s="40" t="n"/>
      <c r="C2140" s="41" t="n"/>
      <c r="D2140" s="41" t="n"/>
      <c r="E2140" s="41" t="n"/>
      <c r="F2140" s="50" t="n"/>
      <c r="G2140" s="42" t="n"/>
      <c r="H2140" s="42" t="n"/>
      <c r="I2140" s="43">
        <f>IF($B2140="","",N($G2140)-N($H2140))</f>
        <v/>
      </c>
    </row>
    <row r="2141">
      <c r="A2141" s="39">
        <f>IF($B2141="","",COUNTA($B$4:$B2141))</f>
        <v/>
      </c>
      <c r="B2141" s="45" t="n"/>
      <c r="C2141" s="46" t="n"/>
      <c r="D2141" s="46" t="n"/>
      <c r="E2141" s="46" t="n"/>
      <c r="F2141" s="51" t="n"/>
      <c r="G2141" s="47" t="n"/>
      <c r="H2141" s="47" t="n"/>
      <c r="I2141" s="43">
        <f>IF($B2141="","",N($G2141)-N($H2141))</f>
        <v/>
      </c>
    </row>
    <row r="2142">
      <c r="A2142" s="39">
        <f>IF($B2142="","",COUNTA($B$4:$B2142))</f>
        <v/>
      </c>
      <c r="B2142" s="40" t="n"/>
      <c r="C2142" s="41" t="n"/>
      <c r="D2142" s="41" t="n"/>
      <c r="E2142" s="41" t="n"/>
      <c r="F2142" s="50" t="n"/>
      <c r="G2142" s="42" t="n"/>
      <c r="H2142" s="42" t="n"/>
      <c r="I2142" s="43">
        <f>IF($B2142="","",N($G2142)-N($H2142))</f>
        <v/>
      </c>
    </row>
    <row r="2143">
      <c r="A2143" s="39">
        <f>IF($B2143="","",COUNTA($B$4:$B2143))</f>
        <v/>
      </c>
      <c r="B2143" s="45" t="n"/>
      <c r="C2143" s="46" t="n"/>
      <c r="D2143" s="46" t="n"/>
      <c r="E2143" s="46" t="n"/>
      <c r="F2143" s="51" t="n"/>
      <c r="G2143" s="47" t="n"/>
      <c r="H2143" s="47" t="n"/>
      <c r="I2143" s="43">
        <f>IF($B2143="","",N($G2143)-N($H2143))</f>
        <v/>
      </c>
    </row>
    <row r="2144">
      <c r="A2144" s="39">
        <f>IF($B2144="","",COUNTA($B$4:$B2144))</f>
        <v/>
      </c>
      <c r="B2144" s="40" t="n"/>
      <c r="C2144" s="41" t="n"/>
      <c r="D2144" s="41" t="n"/>
      <c r="E2144" s="41" t="n"/>
      <c r="F2144" s="50" t="n"/>
      <c r="G2144" s="42" t="n"/>
      <c r="H2144" s="42" t="n"/>
      <c r="I2144" s="43">
        <f>IF($B2144="","",N($G2144)-N($H2144))</f>
        <v/>
      </c>
    </row>
    <row r="2145">
      <c r="A2145" s="39">
        <f>IF($B2145="","",COUNTA($B$4:$B2145))</f>
        <v/>
      </c>
      <c r="B2145" s="45" t="n"/>
      <c r="C2145" s="46" t="n"/>
      <c r="D2145" s="46" t="n"/>
      <c r="E2145" s="46" t="n"/>
      <c r="F2145" s="51" t="n"/>
      <c r="G2145" s="47" t="n"/>
      <c r="H2145" s="47" t="n"/>
      <c r="I2145" s="43">
        <f>IF($B2145="","",N($G2145)-N($H2145))</f>
        <v/>
      </c>
    </row>
    <row r="2146">
      <c r="A2146" s="39">
        <f>IF($B2146="","",COUNTA($B$4:$B2146))</f>
        <v/>
      </c>
      <c r="B2146" s="40" t="n"/>
      <c r="C2146" s="41" t="n"/>
      <c r="D2146" s="41" t="n"/>
      <c r="E2146" s="41" t="n"/>
      <c r="F2146" s="50" t="n"/>
      <c r="G2146" s="42" t="n"/>
      <c r="H2146" s="42" t="n"/>
      <c r="I2146" s="43">
        <f>IF($B2146="","",N($G2146)-N($H2146))</f>
        <v/>
      </c>
    </row>
    <row r="2147">
      <c r="A2147" s="39">
        <f>IF($B2147="","",COUNTA($B$4:$B2147))</f>
        <v/>
      </c>
      <c r="B2147" s="45" t="n"/>
      <c r="C2147" s="46" t="n"/>
      <c r="D2147" s="46" t="n"/>
      <c r="E2147" s="46" t="n"/>
      <c r="F2147" s="51" t="n"/>
      <c r="G2147" s="47" t="n"/>
      <c r="H2147" s="47" t="n"/>
      <c r="I2147" s="43">
        <f>IF($B2147="","",N($G2147)-N($H2147))</f>
        <v/>
      </c>
    </row>
    <row r="2148">
      <c r="A2148" s="39">
        <f>IF($B2148="","",COUNTA($B$4:$B2148))</f>
        <v/>
      </c>
      <c r="B2148" s="40" t="n"/>
      <c r="C2148" s="41" t="n"/>
      <c r="D2148" s="41" t="n"/>
      <c r="E2148" s="41" t="n"/>
      <c r="F2148" s="50" t="n"/>
      <c r="G2148" s="42" t="n"/>
      <c r="H2148" s="42" t="n"/>
      <c r="I2148" s="43">
        <f>IF($B2148="","",N($G2148)-N($H2148))</f>
        <v/>
      </c>
    </row>
    <row r="2149">
      <c r="A2149" s="39">
        <f>IF($B2149="","",COUNTA($B$4:$B2149))</f>
        <v/>
      </c>
      <c r="B2149" s="45" t="n"/>
      <c r="C2149" s="46" t="n"/>
      <c r="D2149" s="46" t="n"/>
      <c r="E2149" s="46" t="n"/>
      <c r="F2149" s="51" t="n"/>
      <c r="G2149" s="47" t="n"/>
      <c r="H2149" s="47" t="n"/>
      <c r="I2149" s="43">
        <f>IF($B2149="","",N($G2149)-N($H2149))</f>
        <v/>
      </c>
    </row>
    <row r="2150">
      <c r="A2150" s="39">
        <f>IF($B2150="","",COUNTA($B$4:$B2150))</f>
        <v/>
      </c>
      <c r="B2150" s="40" t="n"/>
      <c r="C2150" s="41" t="n"/>
      <c r="D2150" s="41" t="n"/>
      <c r="E2150" s="41" t="n"/>
      <c r="F2150" s="50" t="n"/>
      <c r="G2150" s="42" t="n"/>
      <c r="H2150" s="42" t="n"/>
      <c r="I2150" s="43">
        <f>IF($B2150="","",N($G2150)-N($H2150))</f>
        <v/>
      </c>
    </row>
    <row r="2151">
      <c r="A2151" s="39">
        <f>IF($B2151="","",COUNTA($B$4:$B2151))</f>
        <v/>
      </c>
      <c r="B2151" s="45" t="n"/>
      <c r="C2151" s="46" t="n"/>
      <c r="D2151" s="46" t="n"/>
      <c r="E2151" s="46" t="n"/>
      <c r="F2151" s="51" t="n"/>
      <c r="G2151" s="47" t="n"/>
      <c r="H2151" s="47" t="n"/>
      <c r="I2151" s="43">
        <f>IF($B2151="","",N($G2151)-N($H2151))</f>
        <v/>
      </c>
    </row>
    <row r="2152">
      <c r="A2152" s="39">
        <f>IF($B2152="","",COUNTA($B$4:$B2152))</f>
        <v/>
      </c>
      <c r="B2152" s="40" t="n"/>
      <c r="C2152" s="41" t="n"/>
      <c r="D2152" s="41" t="n"/>
      <c r="E2152" s="41" t="n"/>
      <c r="F2152" s="50" t="n"/>
      <c r="G2152" s="42" t="n"/>
      <c r="H2152" s="42" t="n"/>
      <c r="I2152" s="43">
        <f>IF($B2152="","",N($G2152)-N($H2152))</f>
        <v/>
      </c>
    </row>
    <row r="2153">
      <c r="A2153" s="39">
        <f>IF($B2153="","",COUNTA($B$4:$B2153))</f>
        <v/>
      </c>
      <c r="B2153" s="45" t="n"/>
      <c r="C2153" s="46" t="n"/>
      <c r="D2153" s="46" t="n"/>
      <c r="E2153" s="46" t="n"/>
      <c r="F2153" s="51" t="n"/>
      <c r="G2153" s="47" t="n"/>
      <c r="H2153" s="47" t="n"/>
      <c r="I2153" s="43">
        <f>IF($B2153="","",N($G2153)-N($H2153))</f>
        <v/>
      </c>
    </row>
    <row r="2154">
      <c r="A2154" s="39">
        <f>IF($B2154="","",COUNTA($B$4:$B2154))</f>
        <v/>
      </c>
      <c r="B2154" s="40" t="n"/>
      <c r="C2154" s="41" t="n"/>
      <c r="D2154" s="41" t="n"/>
      <c r="E2154" s="41" t="n"/>
      <c r="F2154" s="50" t="n"/>
      <c r="G2154" s="42" t="n"/>
      <c r="H2154" s="42" t="n"/>
      <c r="I2154" s="43">
        <f>IF($B2154="","",N($G2154)-N($H2154))</f>
        <v/>
      </c>
    </row>
    <row r="2155">
      <c r="A2155" s="39">
        <f>IF($B2155="","",COUNTA($B$4:$B2155))</f>
        <v/>
      </c>
      <c r="B2155" s="45" t="n"/>
      <c r="C2155" s="46" t="n"/>
      <c r="D2155" s="46" t="n"/>
      <c r="E2155" s="46" t="n"/>
      <c r="F2155" s="51" t="n"/>
      <c r="G2155" s="47" t="n"/>
      <c r="H2155" s="47" t="n"/>
      <c r="I2155" s="43">
        <f>IF($B2155="","",N($G2155)-N($H2155))</f>
        <v/>
      </c>
    </row>
    <row r="2156">
      <c r="A2156" s="39">
        <f>IF($B2156="","",COUNTA($B$4:$B2156))</f>
        <v/>
      </c>
      <c r="B2156" s="40" t="n"/>
      <c r="C2156" s="41" t="n"/>
      <c r="D2156" s="41" t="n"/>
      <c r="E2156" s="41" t="n"/>
      <c r="F2156" s="50" t="n"/>
      <c r="G2156" s="42" t="n"/>
      <c r="H2156" s="42" t="n"/>
      <c r="I2156" s="43">
        <f>IF($B2156="","",N($G2156)-N($H2156))</f>
        <v/>
      </c>
    </row>
    <row r="2157">
      <c r="A2157" s="39">
        <f>IF($B2157="","",COUNTA($B$4:$B2157))</f>
        <v/>
      </c>
      <c r="B2157" s="45" t="n"/>
      <c r="C2157" s="46" t="n"/>
      <c r="D2157" s="46" t="n"/>
      <c r="E2157" s="46" t="n"/>
      <c r="F2157" s="51" t="n"/>
      <c r="G2157" s="47" t="n"/>
      <c r="H2157" s="47" t="n"/>
      <c r="I2157" s="43">
        <f>IF($B2157="","",N($G2157)-N($H2157))</f>
        <v/>
      </c>
    </row>
    <row r="2158">
      <c r="A2158" s="39">
        <f>IF($B2158="","",COUNTA($B$4:$B2158))</f>
        <v/>
      </c>
      <c r="B2158" s="40" t="n"/>
      <c r="C2158" s="41" t="n"/>
      <c r="D2158" s="41" t="n"/>
      <c r="E2158" s="41" t="n"/>
      <c r="F2158" s="50" t="n"/>
      <c r="G2158" s="42" t="n"/>
      <c r="H2158" s="42" t="n"/>
      <c r="I2158" s="43">
        <f>IF($B2158="","",N($G2158)-N($H2158))</f>
        <v/>
      </c>
    </row>
    <row r="2159">
      <c r="A2159" s="39">
        <f>IF($B2159="","",COUNTA($B$4:$B2159))</f>
        <v/>
      </c>
      <c r="B2159" s="45" t="n"/>
      <c r="C2159" s="46" t="n"/>
      <c r="D2159" s="46" t="n"/>
      <c r="E2159" s="46" t="n"/>
      <c r="F2159" s="51" t="n"/>
      <c r="G2159" s="47" t="n"/>
      <c r="H2159" s="47" t="n"/>
      <c r="I2159" s="43">
        <f>IF($B2159="","",N($G2159)-N($H2159))</f>
        <v/>
      </c>
    </row>
    <row r="2160">
      <c r="A2160" s="39">
        <f>IF($B2160="","",COUNTA($B$4:$B2160))</f>
        <v/>
      </c>
      <c r="B2160" s="40" t="n"/>
      <c r="C2160" s="41" t="n"/>
      <c r="D2160" s="41" t="n"/>
      <c r="E2160" s="41" t="n"/>
      <c r="F2160" s="50" t="n"/>
      <c r="G2160" s="42" t="n"/>
      <c r="H2160" s="42" t="n"/>
      <c r="I2160" s="43">
        <f>IF($B2160="","",N($G2160)-N($H2160))</f>
        <v/>
      </c>
    </row>
    <row r="2161">
      <c r="A2161" s="39">
        <f>IF($B2161="","",COUNTA($B$4:$B2161))</f>
        <v/>
      </c>
      <c r="B2161" s="45" t="n"/>
      <c r="C2161" s="46" t="n"/>
      <c r="D2161" s="46" t="n"/>
      <c r="E2161" s="46" t="n"/>
      <c r="F2161" s="51" t="n"/>
      <c r="G2161" s="47" t="n"/>
      <c r="H2161" s="47" t="n"/>
      <c r="I2161" s="43">
        <f>IF($B2161="","",N($G2161)-N($H2161))</f>
        <v/>
      </c>
    </row>
    <row r="2162">
      <c r="A2162" s="39">
        <f>IF($B2162="","",COUNTA($B$4:$B2162))</f>
        <v/>
      </c>
      <c r="B2162" s="40" t="n"/>
      <c r="C2162" s="41" t="n"/>
      <c r="D2162" s="41" t="n"/>
      <c r="E2162" s="41" t="n"/>
      <c r="F2162" s="50" t="n"/>
      <c r="G2162" s="42" t="n"/>
      <c r="H2162" s="42" t="n"/>
      <c r="I2162" s="43">
        <f>IF($B2162="","",N($G2162)-N($H2162))</f>
        <v/>
      </c>
    </row>
    <row r="2163">
      <c r="A2163" s="39">
        <f>IF($B2163="","",COUNTA($B$4:$B2163))</f>
        <v/>
      </c>
      <c r="B2163" s="45" t="n"/>
      <c r="C2163" s="46" t="n"/>
      <c r="D2163" s="46" t="n"/>
      <c r="E2163" s="46" t="n"/>
      <c r="F2163" s="51" t="n"/>
      <c r="G2163" s="47" t="n"/>
      <c r="H2163" s="47" t="n"/>
      <c r="I2163" s="43">
        <f>IF($B2163="","",N($G2163)-N($H2163))</f>
        <v/>
      </c>
    </row>
    <row r="2164">
      <c r="A2164" s="39">
        <f>IF($B2164="","",COUNTA($B$4:$B2164))</f>
        <v/>
      </c>
      <c r="B2164" s="40" t="n"/>
      <c r="C2164" s="41" t="n"/>
      <c r="D2164" s="41" t="n"/>
      <c r="E2164" s="41" t="n"/>
      <c r="F2164" s="50" t="n"/>
      <c r="G2164" s="42" t="n"/>
      <c r="H2164" s="42" t="n"/>
      <c r="I2164" s="43">
        <f>IF($B2164="","",N($G2164)-N($H2164))</f>
        <v/>
      </c>
    </row>
    <row r="2165">
      <c r="A2165" s="39">
        <f>IF($B2165="","",COUNTA($B$4:$B2165))</f>
        <v/>
      </c>
      <c r="B2165" s="45" t="n"/>
      <c r="C2165" s="46" t="n"/>
      <c r="D2165" s="46" t="n"/>
      <c r="E2165" s="46" t="n"/>
      <c r="F2165" s="51" t="n"/>
      <c r="G2165" s="47" t="n"/>
      <c r="H2165" s="47" t="n"/>
      <c r="I2165" s="43">
        <f>IF($B2165="","",N($G2165)-N($H2165))</f>
        <v/>
      </c>
    </row>
    <row r="2166">
      <c r="A2166" s="39">
        <f>IF($B2166="","",COUNTA($B$4:$B2166))</f>
        <v/>
      </c>
      <c r="B2166" s="40" t="n"/>
      <c r="C2166" s="41" t="n"/>
      <c r="D2166" s="41" t="n"/>
      <c r="E2166" s="41" t="n"/>
      <c r="F2166" s="50" t="n"/>
      <c r="G2166" s="42" t="n"/>
      <c r="H2166" s="42" t="n"/>
      <c r="I2166" s="43">
        <f>IF($B2166="","",N($G2166)-N($H2166))</f>
        <v/>
      </c>
    </row>
    <row r="2167">
      <c r="A2167" s="39">
        <f>IF($B2167="","",COUNTA($B$4:$B2167))</f>
        <v/>
      </c>
      <c r="B2167" s="45" t="n"/>
      <c r="C2167" s="46" t="n"/>
      <c r="D2167" s="46" t="n"/>
      <c r="E2167" s="46" t="n"/>
      <c r="F2167" s="51" t="n"/>
      <c r="G2167" s="47" t="n"/>
      <c r="H2167" s="47" t="n"/>
      <c r="I2167" s="43">
        <f>IF($B2167="","",N($G2167)-N($H2167))</f>
        <v/>
      </c>
    </row>
    <row r="2168">
      <c r="A2168" s="39">
        <f>IF($B2168="","",COUNTA($B$4:$B2168))</f>
        <v/>
      </c>
      <c r="B2168" s="40" t="n"/>
      <c r="C2168" s="41" t="n"/>
      <c r="D2168" s="41" t="n"/>
      <c r="E2168" s="41" t="n"/>
      <c r="F2168" s="50" t="n"/>
      <c r="G2168" s="42" t="n"/>
      <c r="H2168" s="42" t="n"/>
      <c r="I2168" s="43">
        <f>IF($B2168="","",N($G2168)-N($H2168))</f>
        <v/>
      </c>
    </row>
    <row r="2169">
      <c r="A2169" s="39">
        <f>IF($B2169="","",COUNTA($B$4:$B2169))</f>
        <v/>
      </c>
      <c r="B2169" s="45" t="n"/>
      <c r="C2169" s="46" t="n"/>
      <c r="D2169" s="46" t="n"/>
      <c r="E2169" s="46" t="n"/>
      <c r="F2169" s="51" t="n"/>
      <c r="G2169" s="47" t="n"/>
      <c r="H2169" s="47" t="n"/>
      <c r="I2169" s="43">
        <f>IF($B2169="","",N($G2169)-N($H2169))</f>
        <v/>
      </c>
    </row>
    <row r="2170">
      <c r="A2170" s="39">
        <f>IF($B2170="","",COUNTA($B$4:$B2170))</f>
        <v/>
      </c>
      <c r="B2170" s="40" t="n"/>
      <c r="C2170" s="41" t="n"/>
      <c r="D2170" s="41" t="n"/>
      <c r="E2170" s="41" t="n"/>
      <c r="F2170" s="50" t="n"/>
      <c r="G2170" s="42" t="n"/>
      <c r="H2170" s="42" t="n"/>
      <c r="I2170" s="43">
        <f>IF($B2170="","",N($G2170)-N($H2170))</f>
        <v/>
      </c>
    </row>
    <row r="2171">
      <c r="A2171" s="39">
        <f>IF($B2171="","",COUNTA($B$4:$B2171))</f>
        <v/>
      </c>
      <c r="B2171" s="45" t="n"/>
      <c r="C2171" s="46" t="n"/>
      <c r="D2171" s="46" t="n"/>
      <c r="E2171" s="46" t="n"/>
      <c r="F2171" s="51" t="n"/>
      <c r="G2171" s="47" t="n"/>
      <c r="H2171" s="47" t="n"/>
      <c r="I2171" s="43">
        <f>IF($B2171="","",N($G2171)-N($H2171))</f>
        <v/>
      </c>
    </row>
    <row r="2172">
      <c r="A2172" s="39">
        <f>IF($B2172="","",COUNTA($B$4:$B2172))</f>
        <v/>
      </c>
      <c r="B2172" s="40" t="n"/>
      <c r="C2172" s="41" t="n"/>
      <c r="D2172" s="41" t="n"/>
      <c r="E2172" s="41" t="n"/>
      <c r="F2172" s="50" t="n"/>
      <c r="G2172" s="42" t="n"/>
      <c r="H2172" s="42" t="n"/>
      <c r="I2172" s="43">
        <f>IF($B2172="","",N($G2172)-N($H2172))</f>
        <v/>
      </c>
    </row>
    <row r="2173">
      <c r="A2173" s="39">
        <f>IF($B2173="","",COUNTA($B$4:$B2173))</f>
        <v/>
      </c>
      <c r="B2173" s="45" t="n"/>
      <c r="C2173" s="46" t="n"/>
      <c r="D2173" s="46" t="n"/>
      <c r="E2173" s="46" t="n"/>
      <c r="F2173" s="51" t="n"/>
      <c r="G2173" s="47" t="n"/>
      <c r="H2173" s="47" t="n"/>
      <c r="I2173" s="43">
        <f>IF($B2173="","",N($G2173)-N($H2173))</f>
        <v/>
      </c>
    </row>
    <row r="2174">
      <c r="A2174" s="39">
        <f>IF($B2174="","",COUNTA($B$4:$B2174))</f>
        <v/>
      </c>
      <c r="B2174" s="40" t="n"/>
      <c r="C2174" s="41" t="n"/>
      <c r="D2174" s="41" t="n"/>
      <c r="E2174" s="41" t="n"/>
      <c r="F2174" s="50" t="n"/>
      <c r="G2174" s="42" t="n"/>
      <c r="H2174" s="42" t="n"/>
      <c r="I2174" s="43">
        <f>IF($B2174="","",N($G2174)-N($H2174))</f>
        <v/>
      </c>
    </row>
    <row r="2175">
      <c r="A2175" s="39">
        <f>IF($B2175="","",COUNTA($B$4:$B2175))</f>
        <v/>
      </c>
      <c r="B2175" s="45" t="n"/>
      <c r="C2175" s="46" t="n"/>
      <c r="D2175" s="46" t="n"/>
      <c r="E2175" s="46" t="n"/>
      <c r="F2175" s="51" t="n"/>
      <c r="G2175" s="47" t="n"/>
      <c r="H2175" s="47" t="n"/>
      <c r="I2175" s="43">
        <f>IF($B2175="","",N($G2175)-N($H2175))</f>
        <v/>
      </c>
    </row>
    <row r="2176">
      <c r="A2176" s="39">
        <f>IF($B2176="","",COUNTA($B$4:$B2176))</f>
        <v/>
      </c>
      <c r="B2176" s="40" t="n"/>
      <c r="C2176" s="41" t="n"/>
      <c r="D2176" s="41" t="n"/>
      <c r="E2176" s="41" t="n"/>
      <c r="F2176" s="50" t="n"/>
      <c r="G2176" s="42" t="n"/>
      <c r="H2176" s="42" t="n"/>
      <c r="I2176" s="43">
        <f>IF($B2176="","",N($G2176)-N($H2176))</f>
        <v/>
      </c>
    </row>
    <row r="2177">
      <c r="A2177" s="39">
        <f>IF($B2177="","",COUNTA($B$4:$B2177))</f>
        <v/>
      </c>
      <c r="B2177" s="45" t="n"/>
      <c r="C2177" s="46" t="n"/>
      <c r="D2177" s="46" t="n"/>
      <c r="E2177" s="46" t="n"/>
      <c r="F2177" s="51" t="n"/>
      <c r="G2177" s="47" t="n"/>
      <c r="H2177" s="47" t="n"/>
      <c r="I2177" s="43">
        <f>IF($B2177="","",N($G2177)-N($H2177))</f>
        <v/>
      </c>
    </row>
    <row r="2178">
      <c r="A2178" s="39">
        <f>IF($B2178="","",COUNTA($B$4:$B2178))</f>
        <v/>
      </c>
      <c r="B2178" s="40" t="n"/>
      <c r="C2178" s="41" t="n"/>
      <c r="D2178" s="41" t="n"/>
      <c r="E2178" s="41" t="n"/>
      <c r="F2178" s="50" t="n"/>
      <c r="G2178" s="42" t="n"/>
      <c r="H2178" s="42" t="n"/>
      <c r="I2178" s="43">
        <f>IF($B2178="","",N($G2178)-N($H2178))</f>
        <v/>
      </c>
    </row>
    <row r="2179">
      <c r="A2179" s="39">
        <f>IF($B2179="","",COUNTA($B$4:$B2179))</f>
        <v/>
      </c>
      <c r="B2179" s="45" t="n"/>
      <c r="C2179" s="46" t="n"/>
      <c r="D2179" s="46" t="n"/>
      <c r="E2179" s="46" t="n"/>
      <c r="F2179" s="51" t="n"/>
      <c r="G2179" s="47" t="n"/>
      <c r="H2179" s="47" t="n"/>
      <c r="I2179" s="43">
        <f>IF($B2179="","",N($G2179)-N($H2179))</f>
        <v/>
      </c>
    </row>
    <row r="2180">
      <c r="A2180" s="39">
        <f>IF($B2180="","",COUNTA($B$4:$B2180))</f>
        <v/>
      </c>
      <c r="B2180" s="40" t="n"/>
      <c r="C2180" s="41" t="n"/>
      <c r="D2180" s="41" t="n"/>
      <c r="E2180" s="41" t="n"/>
      <c r="F2180" s="50" t="n"/>
      <c r="G2180" s="42" t="n"/>
      <c r="H2180" s="42" t="n"/>
      <c r="I2180" s="43">
        <f>IF($B2180="","",N($G2180)-N($H2180))</f>
        <v/>
      </c>
    </row>
    <row r="2181">
      <c r="A2181" s="39">
        <f>IF($B2181="","",COUNTA($B$4:$B2181))</f>
        <v/>
      </c>
      <c r="B2181" s="45" t="n"/>
      <c r="C2181" s="46" t="n"/>
      <c r="D2181" s="46" t="n"/>
      <c r="E2181" s="46" t="n"/>
      <c r="F2181" s="51" t="n"/>
      <c r="G2181" s="47" t="n"/>
      <c r="H2181" s="47" t="n"/>
      <c r="I2181" s="43">
        <f>IF($B2181="","",N($G2181)-N($H2181))</f>
        <v/>
      </c>
    </row>
    <row r="2182">
      <c r="A2182" s="39">
        <f>IF($B2182="","",COUNTA($B$4:$B2182))</f>
        <v/>
      </c>
      <c r="B2182" s="40" t="n"/>
      <c r="C2182" s="41" t="n"/>
      <c r="D2182" s="41" t="n"/>
      <c r="E2182" s="41" t="n"/>
      <c r="F2182" s="50" t="n"/>
      <c r="G2182" s="42" t="n"/>
      <c r="H2182" s="42" t="n"/>
      <c r="I2182" s="43">
        <f>IF($B2182="","",N($G2182)-N($H2182))</f>
        <v/>
      </c>
    </row>
    <row r="2183">
      <c r="A2183" s="39">
        <f>IF($B2183="","",COUNTA($B$4:$B2183))</f>
        <v/>
      </c>
      <c r="B2183" s="45" t="n"/>
      <c r="C2183" s="46" t="n"/>
      <c r="D2183" s="46" t="n"/>
      <c r="E2183" s="46" t="n"/>
      <c r="F2183" s="51" t="n"/>
      <c r="G2183" s="47" t="n"/>
      <c r="H2183" s="47" t="n"/>
      <c r="I2183" s="43">
        <f>IF($B2183="","",N($G2183)-N($H2183))</f>
        <v/>
      </c>
    </row>
    <row r="2184">
      <c r="A2184" s="39">
        <f>IF($B2184="","",COUNTA($B$4:$B2184))</f>
        <v/>
      </c>
      <c r="B2184" s="40" t="n"/>
      <c r="C2184" s="41" t="n"/>
      <c r="D2184" s="41" t="n"/>
      <c r="E2184" s="41" t="n"/>
      <c r="F2184" s="50" t="n"/>
      <c r="G2184" s="42" t="n"/>
      <c r="H2184" s="42" t="n"/>
      <c r="I2184" s="43">
        <f>IF($B2184="","",N($G2184)-N($H2184))</f>
        <v/>
      </c>
    </row>
    <row r="2185">
      <c r="A2185" s="39">
        <f>IF($B2185="","",COUNTA($B$4:$B2185))</f>
        <v/>
      </c>
      <c r="B2185" s="45" t="n"/>
      <c r="C2185" s="46" t="n"/>
      <c r="D2185" s="46" t="n"/>
      <c r="E2185" s="46" t="n"/>
      <c r="F2185" s="51" t="n"/>
      <c r="G2185" s="47" t="n"/>
      <c r="H2185" s="47" t="n"/>
      <c r="I2185" s="43">
        <f>IF($B2185="","",N($G2185)-N($H2185))</f>
        <v/>
      </c>
    </row>
    <row r="2186">
      <c r="A2186" s="39">
        <f>IF($B2186="","",COUNTA($B$4:$B2186))</f>
        <v/>
      </c>
      <c r="B2186" s="40" t="n"/>
      <c r="C2186" s="41" t="n"/>
      <c r="D2186" s="41" t="n"/>
      <c r="E2186" s="41" t="n"/>
      <c r="F2186" s="50" t="n"/>
      <c r="G2186" s="42" t="n"/>
      <c r="H2186" s="42" t="n"/>
      <c r="I2186" s="43">
        <f>IF($B2186="","",N($G2186)-N($H2186))</f>
        <v/>
      </c>
    </row>
    <row r="2187">
      <c r="A2187" s="39">
        <f>IF($B2187="","",COUNTA($B$4:$B2187))</f>
        <v/>
      </c>
      <c r="B2187" s="45" t="n"/>
      <c r="C2187" s="46" t="n"/>
      <c r="D2187" s="46" t="n"/>
      <c r="E2187" s="46" t="n"/>
      <c r="F2187" s="51" t="n"/>
      <c r="G2187" s="47" t="n"/>
      <c r="H2187" s="47" t="n"/>
      <c r="I2187" s="43">
        <f>IF($B2187="","",N($G2187)-N($H2187))</f>
        <v/>
      </c>
    </row>
    <row r="2188">
      <c r="A2188" s="39">
        <f>IF($B2188="","",COUNTA($B$4:$B2188))</f>
        <v/>
      </c>
      <c r="B2188" s="40" t="n"/>
      <c r="C2188" s="41" t="n"/>
      <c r="D2188" s="41" t="n"/>
      <c r="E2188" s="41" t="n"/>
      <c r="F2188" s="50" t="n"/>
      <c r="G2188" s="42" t="n"/>
      <c r="H2188" s="42" t="n"/>
      <c r="I2188" s="43">
        <f>IF($B2188="","",N($G2188)-N($H2188))</f>
        <v/>
      </c>
    </row>
    <row r="2189">
      <c r="A2189" s="39">
        <f>IF($B2189="","",COUNTA($B$4:$B2189))</f>
        <v/>
      </c>
      <c r="B2189" s="45" t="n"/>
      <c r="C2189" s="46" t="n"/>
      <c r="D2189" s="46" t="n"/>
      <c r="E2189" s="46" t="n"/>
      <c r="F2189" s="51" t="n"/>
      <c r="G2189" s="47" t="n"/>
      <c r="H2189" s="47" t="n"/>
      <c r="I2189" s="43">
        <f>IF($B2189="","",N($G2189)-N($H2189))</f>
        <v/>
      </c>
    </row>
    <row r="2190">
      <c r="A2190" s="39">
        <f>IF($B2190="","",COUNTA($B$4:$B2190))</f>
        <v/>
      </c>
      <c r="B2190" s="40" t="n"/>
      <c r="C2190" s="41" t="n"/>
      <c r="D2190" s="41" t="n"/>
      <c r="E2190" s="41" t="n"/>
      <c r="F2190" s="50" t="n"/>
      <c r="G2190" s="42" t="n"/>
      <c r="H2190" s="42" t="n"/>
      <c r="I2190" s="43">
        <f>IF($B2190="","",N($G2190)-N($H2190))</f>
        <v/>
      </c>
    </row>
    <row r="2191">
      <c r="A2191" s="39">
        <f>IF($B2191="","",COUNTA($B$4:$B2191))</f>
        <v/>
      </c>
      <c r="B2191" s="45" t="n"/>
      <c r="C2191" s="46" t="n"/>
      <c r="D2191" s="46" t="n"/>
      <c r="E2191" s="46" t="n"/>
      <c r="F2191" s="51" t="n"/>
      <c r="G2191" s="47" t="n"/>
      <c r="H2191" s="47" t="n"/>
      <c r="I2191" s="43">
        <f>IF($B2191="","",N($G2191)-N($H2191))</f>
        <v/>
      </c>
    </row>
    <row r="2192">
      <c r="A2192" s="39">
        <f>IF($B2192="","",COUNTA($B$4:$B2192))</f>
        <v/>
      </c>
      <c r="B2192" s="40" t="n"/>
      <c r="C2192" s="41" t="n"/>
      <c r="D2192" s="41" t="n"/>
      <c r="E2192" s="41" t="n"/>
      <c r="F2192" s="50" t="n"/>
      <c r="G2192" s="42" t="n"/>
      <c r="H2192" s="42" t="n"/>
      <c r="I2192" s="43">
        <f>IF($B2192="","",N($G2192)-N($H2192))</f>
        <v/>
      </c>
    </row>
    <row r="2193">
      <c r="A2193" s="39">
        <f>IF($B2193="","",COUNTA($B$4:$B2193))</f>
        <v/>
      </c>
      <c r="B2193" s="45" t="n"/>
      <c r="C2193" s="46" t="n"/>
      <c r="D2193" s="46" t="n"/>
      <c r="E2193" s="46" t="n"/>
      <c r="F2193" s="51" t="n"/>
      <c r="G2193" s="47" t="n"/>
      <c r="H2193" s="47" t="n"/>
      <c r="I2193" s="43">
        <f>IF($B2193="","",N($G2193)-N($H2193))</f>
        <v/>
      </c>
    </row>
    <row r="2194">
      <c r="A2194" s="39">
        <f>IF($B2194="","",COUNTA($B$4:$B2194))</f>
        <v/>
      </c>
      <c r="B2194" s="40" t="n"/>
      <c r="C2194" s="41" t="n"/>
      <c r="D2194" s="41" t="n"/>
      <c r="E2194" s="41" t="n"/>
      <c r="F2194" s="50" t="n"/>
      <c r="G2194" s="42" t="n"/>
      <c r="H2194" s="42" t="n"/>
      <c r="I2194" s="43">
        <f>IF($B2194="","",N($G2194)-N($H2194))</f>
        <v/>
      </c>
    </row>
    <row r="2195">
      <c r="A2195" s="39">
        <f>IF($B2195="","",COUNTA($B$4:$B2195))</f>
        <v/>
      </c>
      <c r="B2195" s="45" t="n"/>
      <c r="C2195" s="46" t="n"/>
      <c r="D2195" s="46" t="n"/>
      <c r="E2195" s="46" t="n"/>
      <c r="F2195" s="51" t="n"/>
      <c r="G2195" s="47" t="n"/>
      <c r="H2195" s="47" t="n"/>
      <c r="I2195" s="43">
        <f>IF($B2195="","",N($G2195)-N($H2195))</f>
        <v/>
      </c>
    </row>
    <row r="2196">
      <c r="A2196" s="39">
        <f>IF($B2196="","",COUNTA($B$4:$B2196))</f>
        <v/>
      </c>
      <c r="B2196" s="40" t="n"/>
      <c r="C2196" s="41" t="n"/>
      <c r="D2196" s="41" t="n"/>
      <c r="E2196" s="41" t="n"/>
      <c r="F2196" s="50" t="n"/>
      <c r="G2196" s="42" t="n"/>
      <c r="H2196" s="42" t="n"/>
      <c r="I2196" s="43">
        <f>IF($B2196="","",N($G2196)-N($H2196))</f>
        <v/>
      </c>
    </row>
    <row r="2197">
      <c r="A2197" s="39">
        <f>IF($B2197="","",COUNTA($B$4:$B2197))</f>
        <v/>
      </c>
      <c r="B2197" s="45" t="n"/>
      <c r="C2197" s="46" t="n"/>
      <c r="D2197" s="46" t="n"/>
      <c r="E2197" s="46" t="n"/>
      <c r="F2197" s="51" t="n"/>
      <c r="G2197" s="47" t="n"/>
      <c r="H2197" s="47" t="n"/>
      <c r="I2197" s="43">
        <f>IF($B2197="","",N($G2197)-N($H2197))</f>
        <v/>
      </c>
    </row>
    <row r="2198">
      <c r="A2198" s="39">
        <f>IF($B2198="","",COUNTA($B$4:$B2198))</f>
        <v/>
      </c>
      <c r="B2198" s="40" t="n"/>
      <c r="C2198" s="41" t="n"/>
      <c r="D2198" s="41" t="n"/>
      <c r="E2198" s="41" t="n"/>
      <c r="F2198" s="50" t="n"/>
      <c r="G2198" s="42" t="n"/>
      <c r="H2198" s="42" t="n"/>
      <c r="I2198" s="43">
        <f>IF($B2198="","",N($G2198)-N($H2198))</f>
        <v/>
      </c>
    </row>
    <row r="2199">
      <c r="A2199" s="39">
        <f>IF($B2199="","",COUNTA($B$4:$B2199))</f>
        <v/>
      </c>
      <c r="B2199" s="45" t="n"/>
      <c r="C2199" s="46" t="n"/>
      <c r="D2199" s="46" t="n"/>
      <c r="E2199" s="46" t="n"/>
      <c r="F2199" s="51" t="n"/>
      <c r="G2199" s="47" t="n"/>
      <c r="H2199" s="47" t="n"/>
      <c r="I2199" s="43">
        <f>IF($B2199="","",N($G2199)-N($H2199))</f>
        <v/>
      </c>
    </row>
    <row r="2200">
      <c r="A2200" s="39">
        <f>IF($B2200="","",COUNTA($B$4:$B2200))</f>
        <v/>
      </c>
      <c r="B2200" s="40" t="n"/>
      <c r="C2200" s="41" t="n"/>
      <c r="D2200" s="41" t="n"/>
      <c r="E2200" s="41" t="n"/>
      <c r="F2200" s="50" t="n"/>
      <c r="G2200" s="42" t="n"/>
      <c r="H2200" s="42" t="n"/>
      <c r="I2200" s="43">
        <f>IF($B2200="","",N($G2200)-N($H2200))</f>
        <v/>
      </c>
    </row>
    <row r="2201">
      <c r="A2201" s="39">
        <f>IF($B2201="","",COUNTA($B$4:$B2201))</f>
        <v/>
      </c>
      <c r="B2201" s="45" t="n"/>
      <c r="C2201" s="46" t="n"/>
      <c r="D2201" s="46" t="n"/>
      <c r="E2201" s="46" t="n"/>
      <c r="F2201" s="51" t="n"/>
      <c r="G2201" s="47" t="n"/>
      <c r="H2201" s="47" t="n"/>
      <c r="I2201" s="43">
        <f>IF($B2201="","",N($G2201)-N($H2201))</f>
        <v/>
      </c>
    </row>
    <row r="2202">
      <c r="A2202" s="39">
        <f>IF($B2202="","",COUNTA($B$4:$B2202))</f>
        <v/>
      </c>
      <c r="B2202" s="40" t="n"/>
      <c r="C2202" s="41" t="n"/>
      <c r="D2202" s="41" t="n"/>
      <c r="E2202" s="41" t="n"/>
      <c r="F2202" s="50" t="n"/>
      <c r="G2202" s="42" t="n"/>
      <c r="H2202" s="42" t="n"/>
      <c r="I2202" s="43">
        <f>IF($B2202="","",N($G2202)-N($H2202))</f>
        <v/>
      </c>
    </row>
    <row r="2203">
      <c r="A2203" s="39">
        <f>IF($B2203="","",COUNTA($B$4:$B2203))</f>
        <v/>
      </c>
      <c r="B2203" s="45" t="n"/>
      <c r="C2203" s="46" t="n"/>
      <c r="D2203" s="46" t="n"/>
      <c r="E2203" s="46" t="n"/>
      <c r="F2203" s="51" t="n"/>
      <c r="G2203" s="47" t="n"/>
      <c r="H2203" s="47" t="n"/>
      <c r="I2203" s="43">
        <f>IF($B2203="","",N($G2203)-N($H2203))</f>
        <v/>
      </c>
    </row>
    <row r="2204" ht="22" customHeight="1">
      <c r="A2204" s="48" t="n"/>
      <c r="B2204" s="48" t="inlineStr">
        <is>
          <t>الإجماليات</t>
        </is>
      </c>
      <c r="C2204" s="48" t="n"/>
      <c r="D2204" s="48" t="n"/>
      <c r="E2204" s="48" t="n"/>
      <c r="F2204" s="52">
        <f>SUM($F$4:$F$2203)</f>
        <v/>
      </c>
      <c r="G2204" s="49">
        <f>SUM($G$4:$G$2203)</f>
        <v/>
      </c>
      <c r="H2204" s="49">
        <f>SUM($H$4:$H$2203)</f>
        <v/>
      </c>
      <c r="I2204" s="49">
        <f>SUM($I$4:$I$2203)</f>
        <v/>
      </c>
    </row>
  </sheetData>
  <autoFilter ref="A3:I2203"/>
  <mergeCells count="2">
    <mergeCell ref="A1:I1"/>
    <mergeCell ref="A2:I2"/>
  </mergeCells>
  <conditionalFormatting sqref="I4:I2203">
    <cfRule type="cellIs" priority="1" operator="greaterThan" dxfId="2">
      <formula>0</formula>
    </cfRule>
  </conditionalFormatting>
  <dataValidations count="1">
    <dataValidation sqref="C4:C2203" showDropDown="0" showInputMessage="0" showErrorMessage="0" allowBlank="1" errorTitle="قيمة غير موجودة" error="اختر من القائمة أو أضف العنصر في صفحة الإعدادات" prompt="اختر من القائمة" type="list">
      <formula1>='الإعدادات'!$E$4:$E$203</formula1>
    </dataValidation>
  </dataValidations>
  <printOptions horizontalCentered="1"/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C9A227"/>
    <outlinePr summaryBelow="1" summaryRight="1"/>
    <pageSetUpPr fitToPage="1"/>
  </sheetPr>
  <dimension ref="A1:V2204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11" customWidth="1" min="3" max="3"/>
    <col width="11" customWidth="1" min="4" max="4"/>
    <col width="11" customWidth="1" min="5" max="5"/>
    <col width="18" customWidth="1" min="6" max="6"/>
    <col width="16" customWidth="1" min="7" max="7"/>
    <col width="12" customWidth="1" min="8" max="8"/>
    <col width="11" customWidth="1" min="9" max="9"/>
    <col width="12" customWidth="1" min="10" max="10"/>
    <col width="13" customWidth="1" min="11" max="11"/>
    <col width="12" customWidth="1" min="12" max="12"/>
    <col width="11" customWidth="1" min="13" max="13"/>
    <col width="11" customWidth="1" min="14" max="14"/>
    <col width="14" customWidth="1" min="15" max="15"/>
    <col width="12" customWidth="1" min="16" max="16"/>
    <col width="14" customWidth="1" min="17" max="17"/>
    <col width="12" customWidth="1" min="18" max="18"/>
    <col width="12" customWidth="1" min="19" max="19"/>
    <col width="11" customWidth="1" min="20" max="20"/>
    <col width="12" customWidth="1" min="21" max="21"/>
    <col width="11" customWidth="1" min="22" max="22"/>
  </cols>
  <sheetData>
    <row r="1" ht="34" customHeight="1">
      <c r="A1" s="1" t="inlineStr">
        <is>
          <t>شركة المتوكل  —  شامل</t>
        </is>
      </c>
    </row>
    <row r="2" ht="20" customHeight="1">
      <c r="A2" s="3" t="inlineStr">
        <is>
          <t>السجل الشامل للفواتير وحسابات العملاء</t>
        </is>
      </c>
    </row>
    <row r="3" ht="40" customHeight="1">
      <c r="A3" s="34" t="inlineStr">
        <is>
          <t>مسلسل</t>
        </is>
      </c>
      <c r="B3" s="34" t="inlineStr">
        <is>
          <t>تاريخ الفاتورة</t>
        </is>
      </c>
      <c r="C3" s="34" t="inlineStr">
        <is>
          <t>رقم الكشف</t>
        </is>
      </c>
      <c r="D3" s="34" t="inlineStr">
        <is>
          <t>رقم الفاتورة</t>
        </is>
      </c>
      <c r="E3" s="34" t="inlineStr">
        <is>
          <t>رقم الإذن</t>
        </is>
      </c>
      <c r="F3" s="34" t="inlineStr">
        <is>
          <t>اسم العميل</t>
        </is>
      </c>
      <c r="G3" s="34" t="inlineStr">
        <is>
          <t>اسم الشركة</t>
        </is>
      </c>
      <c r="H3" s="34" t="inlineStr">
        <is>
          <t>الجهة</t>
        </is>
      </c>
      <c r="I3" s="35" t="inlineStr">
        <is>
          <t>عدد الحاويات</t>
        </is>
      </c>
      <c r="J3" s="36" t="inlineStr">
        <is>
          <t>النولون</t>
        </is>
      </c>
      <c r="K3" s="36" t="inlineStr">
        <is>
          <t>بيانات أو عطالات</t>
        </is>
      </c>
      <c r="L3" s="36" t="inlineStr">
        <is>
          <t>قيمة مضافة</t>
        </is>
      </c>
      <c r="M3" s="37" t="inlineStr">
        <is>
          <t>خصم أ ت ص</t>
        </is>
      </c>
      <c r="N3" s="36" t="inlineStr">
        <is>
          <t>الإيصالات</t>
        </is>
      </c>
      <c r="O3" s="38" t="inlineStr">
        <is>
          <t>إجمالي الفاتورة</t>
        </is>
      </c>
      <c r="P3" s="36" t="inlineStr">
        <is>
          <t>الدفعات</t>
        </is>
      </c>
      <c r="Q3" s="38" t="inlineStr">
        <is>
          <t>إجمالي الحساب</t>
        </is>
      </c>
      <c r="R3" s="37" t="inlineStr">
        <is>
          <t>نولون فعلي</t>
        </is>
      </c>
      <c r="S3" s="37" t="inlineStr">
        <is>
          <t>كشف وضمان</t>
        </is>
      </c>
      <c r="T3" s="37" t="inlineStr">
        <is>
          <t>مصروف</t>
        </is>
      </c>
      <c r="U3" s="38" t="inlineStr">
        <is>
          <t>إجمالي ربح</t>
        </is>
      </c>
      <c r="V3" s="38" t="inlineStr">
        <is>
          <t>ربح آخر</t>
        </is>
      </c>
    </row>
    <row r="4">
      <c r="A4" s="39">
        <f>IF($B4="","",COUNTA($B$4:$B4))</f>
        <v/>
      </c>
      <c r="B4" s="40" t="n"/>
      <c r="C4" s="41" t="n"/>
      <c r="D4" s="41" t="n"/>
      <c r="E4" s="41" t="n"/>
      <c r="F4" s="41" t="n"/>
      <c r="G4" s="41" t="n"/>
      <c r="H4" s="41" t="n"/>
      <c r="I4" s="50" t="n"/>
      <c r="J4" s="42" t="n"/>
      <c r="K4" s="42" t="n"/>
      <c r="L4" s="43">
        <f>IF($B4="","",ROUND((N($J4)+N($K4))*نسبة_القيمة_المضافة,2))</f>
        <v/>
      </c>
      <c r="M4" s="42" t="n"/>
      <c r="N4" s="42" t="n"/>
      <c r="O4" s="43">
        <f>IF($B4="","",N($J4)+N($K4)+N($L4)-N($M4)+N($N4))</f>
        <v/>
      </c>
      <c r="P4" s="42" t="n"/>
      <c r="Q4" s="43">
        <f>IF($B4="","",N($O4)-N($P4))</f>
        <v/>
      </c>
      <c r="R4" s="42" t="n"/>
      <c r="S4" s="42" t="n"/>
      <c r="T4" s="42" t="n"/>
      <c r="U4" s="43">
        <f>IF($B4="","",N($J4)-N($R4)-N($T4))</f>
        <v/>
      </c>
      <c r="V4" s="42" t="n"/>
    </row>
    <row r="5">
      <c r="A5" s="39">
        <f>IF($B5="","",COUNTA($B$4:$B5))</f>
        <v/>
      </c>
      <c r="B5" s="45" t="n"/>
      <c r="C5" s="46" t="n"/>
      <c r="D5" s="46" t="n"/>
      <c r="E5" s="46" t="n"/>
      <c r="F5" s="46" t="n"/>
      <c r="G5" s="46" t="n"/>
      <c r="H5" s="46" t="n"/>
      <c r="I5" s="51" t="n"/>
      <c r="J5" s="47" t="n"/>
      <c r="K5" s="47" t="n"/>
      <c r="L5" s="43">
        <f>IF($B5="","",ROUND((N($J5)+N($K5))*نسبة_القيمة_المضافة,2))</f>
        <v/>
      </c>
      <c r="M5" s="47" t="n"/>
      <c r="N5" s="47" t="n"/>
      <c r="O5" s="43">
        <f>IF($B5="","",N($J5)+N($K5)+N($L5)-N($M5)+N($N5))</f>
        <v/>
      </c>
      <c r="P5" s="47" t="n"/>
      <c r="Q5" s="43">
        <f>IF($B5="","",N($O5)-N($P5))</f>
        <v/>
      </c>
      <c r="R5" s="47" t="n"/>
      <c r="S5" s="47" t="n"/>
      <c r="T5" s="47" t="n"/>
      <c r="U5" s="43">
        <f>IF($B5="","",N($J5)-N($R5)-N($T5))</f>
        <v/>
      </c>
      <c r="V5" s="47" t="n"/>
    </row>
    <row r="6">
      <c r="A6" s="39">
        <f>IF($B6="","",COUNTA($B$4:$B6))</f>
        <v/>
      </c>
      <c r="B6" s="40" t="n"/>
      <c r="C6" s="41" t="n"/>
      <c r="D6" s="41" t="n"/>
      <c r="E6" s="41" t="n"/>
      <c r="F6" s="41" t="n"/>
      <c r="G6" s="41" t="n"/>
      <c r="H6" s="41" t="n"/>
      <c r="I6" s="50" t="n"/>
      <c r="J6" s="42" t="n"/>
      <c r="K6" s="42" t="n"/>
      <c r="L6" s="43">
        <f>IF($B6="","",ROUND((N($J6)+N($K6))*نسبة_القيمة_المضافة,2))</f>
        <v/>
      </c>
      <c r="M6" s="42" t="n"/>
      <c r="N6" s="42" t="n"/>
      <c r="O6" s="43">
        <f>IF($B6="","",N($J6)+N($K6)+N($L6)-N($M6)+N($N6))</f>
        <v/>
      </c>
      <c r="P6" s="42" t="n"/>
      <c r="Q6" s="43">
        <f>IF($B6="","",N($O6)-N($P6))</f>
        <v/>
      </c>
      <c r="R6" s="42" t="n"/>
      <c r="S6" s="42" t="n"/>
      <c r="T6" s="42" t="n"/>
      <c r="U6" s="43">
        <f>IF($B6="","",N($J6)-N($R6)-N($T6))</f>
        <v/>
      </c>
      <c r="V6" s="42" t="n"/>
    </row>
    <row r="7">
      <c r="A7" s="39">
        <f>IF($B7="","",COUNTA($B$4:$B7))</f>
        <v/>
      </c>
      <c r="B7" s="45" t="n"/>
      <c r="C7" s="46" t="n"/>
      <c r="D7" s="46" t="n"/>
      <c r="E7" s="46" t="n"/>
      <c r="F7" s="46" t="n"/>
      <c r="G7" s="46" t="n"/>
      <c r="H7" s="46" t="n"/>
      <c r="I7" s="51" t="n"/>
      <c r="J7" s="47" t="n"/>
      <c r="K7" s="47" t="n"/>
      <c r="L7" s="43">
        <f>IF($B7="","",ROUND((N($J7)+N($K7))*نسبة_القيمة_المضافة,2))</f>
        <v/>
      </c>
      <c r="M7" s="47" t="n"/>
      <c r="N7" s="47" t="n"/>
      <c r="O7" s="43">
        <f>IF($B7="","",N($J7)+N($K7)+N($L7)-N($M7)+N($N7))</f>
        <v/>
      </c>
      <c r="P7" s="47" t="n"/>
      <c r="Q7" s="43">
        <f>IF($B7="","",N($O7)-N($P7))</f>
        <v/>
      </c>
      <c r="R7" s="47" t="n"/>
      <c r="S7" s="47" t="n"/>
      <c r="T7" s="47" t="n"/>
      <c r="U7" s="43">
        <f>IF($B7="","",N($J7)-N($R7)-N($T7))</f>
        <v/>
      </c>
      <c r="V7" s="47" t="n"/>
    </row>
    <row r="8">
      <c r="A8" s="39">
        <f>IF($B8="","",COUNTA($B$4:$B8))</f>
        <v/>
      </c>
      <c r="B8" s="40" t="n"/>
      <c r="C8" s="41" t="n"/>
      <c r="D8" s="41" t="n"/>
      <c r="E8" s="41" t="n"/>
      <c r="F8" s="41" t="n"/>
      <c r="G8" s="41" t="n"/>
      <c r="H8" s="41" t="n"/>
      <c r="I8" s="50" t="n"/>
      <c r="J8" s="42" t="n"/>
      <c r="K8" s="42" t="n"/>
      <c r="L8" s="43">
        <f>IF($B8="","",ROUND((N($J8)+N($K8))*نسبة_القيمة_المضافة,2))</f>
        <v/>
      </c>
      <c r="M8" s="42" t="n"/>
      <c r="N8" s="42" t="n"/>
      <c r="O8" s="43">
        <f>IF($B8="","",N($J8)+N($K8)+N($L8)-N($M8)+N($N8))</f>
        <v/>
      </c>
      <c r="P8" s="42" t="n"/>
      <c r="Q8" s="43">
        <f>IF($B8="","",N($O8)-N($P8))</f>
        <v/>
      </c>
      <c r="R8" s="42" t="n"/>
      <c r="S8" s="42" t="n"/>
      <c r="T8" s="42" t="n"/>
      <c r="U8" s="43">
        <f>IF($B8="","",N($J8)-N($R8)-N($T8))</f>
        <v/>
      </c>
      <c r="V8" s="42" t="n"/>
    </row>
    <row r="9">
      <c r="A9" s="39">
        <f>IF($B9="","",COUNTA($B$4:$B9))</f>
        <v/>
      </c>
      <c r="B9" s="45" t="n"/>
      <c r="C9" s="46" t="n"/>
      <c r="D9" s="46" t="n"/>
      <c r="E9" s="46" t="n"/>
      <c r="F9" s="46" t="n"/>
      <c r="G9" s="46" t="n"/>
      <c r="H9" s="46" t="n"/>
      <c r="I9" s="51" t="n"/>
      <c r="J9" s="47" t="n"/>
      <c r="K9" s="47" t="n"/>
      <c r="L9" s="43">
        <f>IF($B9="","",ROUND((N($J9)+N($K9))*نسبة_القيمة_المضافة,2))</f>
        <v/>
      </c>
      <c r="M9" s="47" t="n"/>
      <c r="N9" s="47" t="n"/>
      <c r="O9" s="43">
        <f>IF($B9="","",N($J9)+N($K9)+N($L9)-N($M9)+N($N9))</f>
        <v/>
      </c>
      <c r="P9" s="47" t="n"/>
      <c r="Q9" s="43">
        <f>IF($B9="","",N($O9)-N($P9))</f>
        <v/>
      </c>
      <c r="R9" s="47" t="n"/>
      <c r="S9" s="47" t="n"/>
      <c r="T9" s="47" t="n"/>
      <c r="U9" s="43">
        <f>IF($B9="","",N($J9)-N($R9)-N($T9))</f>
        <v/>
      </c>
      <c r="V9" s="47" t="n"/>
    </row>
    <row r="10">
      <c r="A10" s="39">
        <f>IF($B10="","",COUNTA($B$4:$B10))</f>
        <v/>
      </c>
      <c r="B10" s="40" t="n"/>
      <c r="C10" s="41" t="n"/>
      <c r="D10" s="41" t="n"/>
      <c r="E10" s="41" t="n"/>
      <c r="F10" s="41" t="n"/>
      <c r="G10" s="41" t="n"/>
      <c r="H10" s="41" t="n"/>
      <c r="I10" s="50" t="n"/>
      <c r="J10" s="42" t="n"/>
      <c r="K10" s="42" t="n"/>
      <c r="L10" s="43">
        <f>IF($B10="","",ROUND((N($J10)+N($K10))*نسبة_القيمة_المضافة,2))</f>
        <v/>
      </c>
      <c r="M10" s="42" t="n"/>
      <c r="N10" s="42" t="n"/>
      <c r="O10" s="43">
        <f>IF($B10="","",N($J10)+N($K10)+N($L10)-N($M10)+N($N10))</f>
        <v/>
      </c>
      <c r="P10" s="42" t="n"/>
      <c r="Q10" s="43">
        <f>IF($B10="","",N($O10)-N($P10))</f>
        <v/>
      </c>
      <c r="R10" s="42" t="n"/>
      <c r="S10" s="42" t="n"/>
      <c r="T10" s="42" t="n"/>
      <c r="U10" s="43">
        <f>IF($B10="","",N($J10)-N($R10)-N($T10))</f>
        <v/>
      </c>
      <c r="V10" s="42" t="n"/>
    </row>
    <row r="11">
      <c r="A11" s="39">
        <f>IF($B11="","",COUNTA($B$4:$B11))</f>
        <v/>
      </c>
      <c r="B11" s="45" t="n"/>
      <c r="C11" s="46" t="n"/>
      <c r="D11" s="46" t="n"/>
      <c r="E11" s="46" t="n"/>
      <c r="F11" s="46" t="n"/>
      <c r="G11" s="46" t="n"/>
      <c r="H11" s="46" t="n"/>
      <c r="I11" s="51" t="n"/>
      <c r="J11" s="47" t="n"/>
      <c r="K11" s="47" t="n"/>
      <c r="L11" s="43">
        <f>IF($B11="","",ROUND((N($J11)+N($K11))*نسبة_القيمة_المضافة,2))</f>
        <v/>
      </c>
      <c r="M11" s="47" t="n"/>
      <c r="N11" s="47" t="n"/>
      <c r="O11" s="43">
        <f>IF($B11="","",N($J11)+N($K11)+N($L11)-N($M11)+N($N11))</f>
        <v/>
      </c>
      <c r="P11" s="47" t="n"/>
      <c r="Q11" s="43">
        <f>IF($B11="","",N($O11)-N($P11))</f>
        <v/>
      </c>
      <c r="R11" s="47" t="n"/>
      <c r="S11" s="47" t="n"/>
      <c r="T11" s="47" t="n"/>
      <c r="U11" s="43">
        <f>IF($B11="","",N($J11)-N($R11)-N($T11))</f>
        <v/>
      </c>
      <c r="V11" s="47" t="n"/>
    </row>
    <row r="12">
      <c r="A12" s="39">
        <f>IF($B12="","",COUNTA($B$4:$B12))</f>
        <v/>
      </c>
      <c r="B12" s="40" t="n"/>
      <c r="C12" s="41" t="n"/>
      <c r="D12" s="41" t="n"/>
      <c r="E12" s="41" t="n"/>
      <c r="F12" s="41" t="n"/>
      <c r="G12" s="41" t="n"/>
      <c r="H12" s="41" t="n"/>
      <c r="I12" s="50" t="n"/>
      <c r="J12" s="42" t="n"/>
      <c r="K12" s="42" t="n"/>
      <c r="L12" s="43">
        <f>IF($B12="","",ROUND((N($J12)+N($K12))*نسبة_القيمة_المضافة,2))</f>
        <v/>
      </c>
      <c r="M12" s="42" t="n"/>
      <c r="N12" s="42" t="n"/>
      <c r="O12" s="43">
        <f>IF($B12="","",N($J12)+N($K12)+N($L12)-N($M12)+N($N12))</f>
        <v/>
      </c>
      <c r="P12" s="42" t="n"/>
      <c r="Q12" s="43">
        <f>IF($B12="","",N($O12)-N($P12))</f>
        <v/>
      </c>
      <c r="R12" s="42" t="n"/>
      <c r="S12" s="42" t="n"/>
      <c r="T12" s="42" t="n"/>
      <c r="U12" s="43">
        <f>IF($B12="","",N($J12)-N($R12)-N($T12))</f>
        <v/>
      </c>
      <c r="V12" s="42" t="n"/>
    </row>
    <row r="13">
      <c r="A13" s="39">
        <f>IF($B13="","",COUNTA($B$4:$B13))</f>
        <v/>
      </c>
      <c r="B13" s="45" t="n"/>
      <c r="C13" s="46" t="n"/>
      <c r="D13" s="46" t="n"/>
      <c r="E13" s="46" t="n"/>
      <c r="F13" s="46" t="n"/>
      <c r="G13" s="46" t="n"/>
      <c r="H13" s="46" t="n"/>
      <c r="I13" s="51" t="n"/>
      <c r="J13" s="47" t="n"/>
      <c r="K13" s="47" t="n"/>
      <c r="L13" s="43">
        <f>IF($B13="","",ROUND((N($J13)+N($K13))*نسبة_القيمة_المضافة,2))</f>
        <v/>
      </c>
      <c r="M13" s="47" t="n"/>
      <c r="N13" s="47" t="n"/>
      <c r="O13" s="43">
        <f>IF($B13="","",N($J13)+N($K13)+N($L13)-N($M13)+N($N13))</f>
        <v/>
      </c>
      <c r="P13" s="47" t="n"/>
      <c r="Q13" s="43">
        <f>IF($B13="","",N($O13)-N($P13))</f>
        <v/>
      </c>
      <c r="R13" s="47" t="n"/>
      <c r="S13" s="47" t="n"/>
      <c r="T13" s="47" t="n"/>
      <c r="U13" s="43">
        <f>IF($B13="","",N($J13)-N($R13)-N($T13))</f>
        <v/>
      </c>
      <c r="V13" s="47" t="n"/>
    </row>
    <row r="14">
      <c r="A14" s="39">
        <f>IF($B14="","",COUNTA($B$4:$B14))</f>
        <v/>
      </c>
      <c r="B14" s="40" t="n"/>
      <c r="C14" s="41" t="n"/>
      <c r="D14" s="41" t="n"/>
      <c r="E14" s="41" t="n"/>
      <c r="F14" s="41" t="n"/>
      <c r="G14" s="41" t="n"/>
      <c r="H14" s="41" t="n"/>
      <c r="I14" s="50" t="n"/>
      <c r="J14" s="42" t="n"/>
      <c r="K14" s="42" t="n"/>
      <c r="L14" s="43">
        <f>IF($B14="","",ROUND((N($J14)+N($K14))*نسبة_القيمة_المضافة,2))</f>
        <v/>
      </c>
      <c r="M14" s="42" t="n"/>
      <c r="N14" s="42" t="n"/>
      <c r="O14" s="43">
        <f>IF($B14="","",N($J14)+N($K14)+N($L14)-N($M14)+N($N14))</f>
        <v/>
      </c>
      <c r="P14" s="42" t="n"/>
      <c r="Q14" s="43">
        <f>IF($B14="","",N($O14)-N($P14))</f>
        <v/>
      </c>
      <c r="R14" s="42" t="n"/>
      <c r="S14" s="42" t="n"/>
      <c r="T14" s="42" t="n"/>
      <c r="U14" s="43">
        <f>IF($B14="","",N($J14)-N($R14)-N($T14))</f>
        <v/>
      </c>
      <c r="V14" s="42" t="n"/>
    </row>
    <row r="15">
      <c r="A15" s="39">
        <f>IF($B15="","",COUNTA($B$4:$B15))</f>
        <v/>
      </c>
      <c r="B15" s="45" t="n"/>
      <c r="C15" s="46" t="n"/>
      <c r="D15" s="46" t="n"/>
      <c r="E15" s="46" t="n"/>
      <c r="F15" s="46" t="n"/>
      <c r="G15" s="46" t="n"/>
      <c r="H15" s="46" t="n"/>
      <c r="I15" s="51" t="n"/>
      <c r="J15" s="47" t="n"/>
      <c r="K15" s="47" t="n"/>
      <c r="L15" s="43">
        <f>IF($B15="","",ROUND((N($J15)+N($K15))*نسبة_القيمة_المضافة,2))</f>
        <v/>
      </c>
      <c r="M15" s="47" t="n"/>
      <c r="N15" s="47" t="n"/>
      <c r="O15" s="43">
        <f>IF($B15="","",N($J15)+N($K15)+N($L15)-N($M15)+N($N15))</f>
        <v/>
      </c>
      <c r="P15" s="47" t="n"/>
      <c r="Q15" s="43">
        <f>IF($B15="","",N($O15)-N($P15))</f>
        <v/>
      </c>
      <c r="R15" s="47" t="n"/>
      <c r="S15" s="47" t="n"/>
      <c r="T15" s="47" t="n"/>
      <c r="U15" s="43">
        <f>IF($B15="","",N($J15)-N($R15)-N($T15))</f>
        <v/>
      </c>
      <c r="V15" s="47" t="n"/>
    </row>
    <row r="16">
      <c r="A16" s="39">
        <f>IF($B16="","",COUNTA($B$4:$B16))</f>
        <v/>
      </c>
      <c r="B16" s="40" t="n"/>
      <c r="C16" s="41" t="n"/>
      <c r="D16" s="41" t="n"/>
      <c r="E16" s="41" t="n"/>
      <c r="F16" s="41" t="n"/>
      <c r="G16" s="41" t="n"/>
      <c r="H16" s="41" t="n"/>
      <c r="I16" s="50" t="n"/>
      <c r="J16" s="42" t="n"/>
      <c r="K16" s="42" t="n"/>
      <c r="L16" s="43">
        <f>IF($B16="","",ROUND((N($J16)+N($K16))*نسبة_القيمة_المضافة,2))</f>
        <v/>
      </c>
      <c r="M16" s="42" t="n"/>
      <c r="N16" s="42" t="n"/>
      <c r="O16" s="43">
        <f>IF($B16="","",N($J16)+N($K16)+N($L16)-N($M16)+N($N16))</f>
        <v/>
      </c>
      <c r="P16" s="42" t="n"/>
      <c r="Q16" s="43">
        <f>IF($B16="","",N($O16)-N($P16))</f>
        <v/>
      </c>
      <c r="R16" s="42" t="n"/>
      <c r="S16" s="42" t="n"/>
      <c r="T16" s="42" t="n"/>
      <c r="U16" s="43">
        <f>IF($B16="","",N($J16)-N($R16)-N($T16))</f>
        <v/>
      </c>
      <c r="V16" s="42" t="n"/>
    </row>
    <row r="17">
      <c r="A17" s="39">
        <f>IF($B17="","",COUNTA($B$4:$B17))</f>
        <v/>
      </c>
      <c r="B17" s="45" t="n"/>
      <c r="C17" s="46" t="n"/>
      <c r="D17" s="46" t="n"/>
      <c r="E17" s="46" t="n"/>
      <c r="F17" s="46" t="n"/>
      <c r="G17" s="46" t="n"/>
      <c r="H17" s="46" t="n"/>
      <c r="I17" s="51" t="n"/>
      <c r="J17" s="47" t="n"/>
      <c r="K17" s="47" t="n"/>
      <c r="L17" s="43">
        <f>IF($B17="","",ROUND((N($J17)+N($K17))*نسبة_القيمة_المضافة,2))</f>
        <v/>
      </c>
      <c r="M17" s="47" t="n"/>
      <c r="N17" s="47" t="n"/>
      <c r="O17" s="43">
        <f>IF($B17="","",N($J17)+N($K17)+N($L17)-N($M17)+N($N17))</f>
        <v/>
      </c>
      <c r="P17" s="47" t="n"/>
      <c r="Q17" s="43">
        <f>IF($B17="","",N($O17)-N($P17))</f>
        <v/>
      </c>
      <c r="R17" s="47" t="n"/>
      <c r="S17" s="47" t="n"/>
      <c r="T17" s="47" t="n"/>
      <c r="U17" s="43">
        <f>IF($B17="","",N($J17)-N($R17)-N($T17))</f>
        <v/>
      </c>
      <c r="V17" s="47" t="n"/>
    </row>
    <row r="18">
      <c r="A18" s="39">
        <f>IF($B18="","",COUNTA($B$4:$B18))</f>
        <v/>
      </c>
      <c r="B18" s="40" t="n"/>
      <c r="C18" s="41" t="n"/>
      <c r="D18" s="41" t="n"/>
      <c r="E18" s="41" t="n"/>
      <c r="F18" s="41" t="n"/>
      <c r="G18" s="41" t="n"/>
      <c r="H18" s="41" t="n"/>
      <c r="I18" s="50" t="n"/>
      <c r="J18" s="42" t="n"/>
      <c r="K18" s="42" t="n"/>
      <c r="L18" s="43">
        <f>IF($B18="","",ROUND((N($J18)+N($K18))*نسبة_القيمة_المضافة,2))</f>
        <v/>
      </c>
      <c r="M18" s="42" t="n"/>
      <c r="N18" s="42" t="n"/>
      <c r="O18" s="43">
        <f>IF($B18="","",N($J18)+N($K18)+N($L18)-N($M18)+N($N18))</f>
        <v/>
      </c>
      <c r="P18" s="42" t="n"/>
      <c r="Q18" s="43">
        <f>IF($B18="","",N($O18)-N($P18))</f>
        <v/>
      </c>
      <c r="R18" s="42" t="n"/>
      <c r="S18" s="42" t="n"/>
      <c r="T18" s="42" t="n"/>
      <c r="U18" s="43">
        <f>IF($B18="","",N($J18)-N($R18)-N($T18))</f>
        <v/>
      </c>
      <c r="V18" s="42" t="n"/>
    </row>
    <row r="19">
      <c r="A19" s="39">
        <f>IF($B19="","",COUNTA($B$4:$B19))</f>
        <v/>
      </c>
      <c r="B19" s="45" t="n"/>
      <c r="C19" s="46" t="n"/>
      <c r="D19" s="46" t="n"/>
      <c r="E19" s="46" t="n"/>
      <c r="F19" s="46" t="n"/>
      <c r="G19" s="46" t="n"/>
      <c r="H19" s="46" t="n"/>
      <c r="I19" s="51" t="n"/>
      <c r="J19" s="47" t="n"/>
      <c r="K19" s="47" t="n"/>
      <c r="L19" s="43">
        <f>IF($B19="","",ROUND((N($J19)+N($K19))*نسبة_القيمة_المضافة,2))</f>
        <v/>
      </c>
      <c r="M19" s="47" t="n"/>
      <c r="N19" s="47" t="n"/>
      <c r="O19" s="43">
        <f>IF($B19="","",N($J19)+N($K19)+N($L19)-N($M19)+N($N19))</f>
        <v/>
      </c>
      <c r="P19" s="47" t="n"/>
      <c r="Q19" s="43">
        <f>IF($B19="","",N($O19)-N($P19))</f>
        <v/>
      </c>
      <c r="R19" s="47" t="n"/>
      <c r="S19" s="47" t="n"/>
      <c r="T19" s="47" t="n"/>
      <c r="U19" s="43">
        <f>IF($B19="","",N($J19)-N($R19)-N($T19))</f>
        <v/>
      </c>
      <c r="V19" s="47" t="n"/>
    </row>
    <row r="20">
      <c r="A20" s="39">
        <f>IF($B20="","",COUNTA($B$4:$B20))</f>
        <v/>
      </c>
      <c r="B20" s="40" t="n"/>
      <c r="C20" s="41" t="n"/>
      <c r="D20" s="41" t="n"/>
      <c r="E20" s="41" t="n"/>
      <c r="F20" s="41" t="n"/>
      <c r="G20" s="41" t="n"/>
      <c r="H20" s="41" t="n"/>
      <c r="I20" s="50" t="n"/>
      <c r="J20" s="42" t="n"/>
      <c r="K20" s="42" t="n"/>
      <c r="L20" s="43">
        <f>IF($B20="","",ROUND((N($J20)+N($K20))*نسبة_القيمة_المضافة,2))</f>
        <v/>
      </c>
      <c r="M20" s="42" t="n"/>
      <c r="N20" s="42" t="n"/>
      <c r="O20" s="43">
        <f>IF($B20="","",N($J20)+N($K20)+N($L20)-N($M20)+N($N20))</f>
        <v/>
      </c>
      <c r="P20" s="42" t="n"/>
      <c r="Q20" s="43">
        <f>IF($B20="","",N($O20)-N($P20))</f>
        <v/>
      </c>
      <c r="R20" s="42" t="n"/>
      <c r="S20" s="42" t="n"/>
      <c r="T20" s="42" t="n"/>
      <c r="U20" s="43">
        <f>IF($B20="","",N($J20)-N($R20)-N($T20))</f>
        <v/>
      </c>
      <c r="V20" s="42" t="n"/>
    </row>
    <row r="21">
      <c r="A21" s="39">
        <f>IF($B21="","",COUNTA($B$4:$B21))</f>
        <v/>
      </c>
      <c r="B21" s="45" t="n"/>
      <c r="C21" s="46" t="n"/>
      <c r="D21" s="46" t="n"/>
      <c r="E21" s="46" t="n"/>
      <c r="F21" s="46" t="n"/>
      <c r="G21" s="46" t="n"/>
      <c r="H21" s="46" t="n"/>
      <c r="I21" s="51" t="n"/>
      <c r="J21" s="47" t="n"/>
      <c r="K21" s="47" t="n"/>
      <c r="L21" s="43">
        <f>IF($B21="","",ROUND((N($J21)+N($K21))*نسبة_القيمة_المضافة,2))</f>
        <v/>
      </c>
      <c r="M21" s="47" t="n"/>
      <c r="N21" s="47" t="n"/>
      <c r="O21" s="43">
        <f>IF($B21="","",N($J21)+N($K21)+N($L21)-N($M21)+N($N21))</f>
        <v/>
      </c>
      <c r="P21" s="47" t="n"/>
      <c r="Q21" s="43">
        <f>IF($B21="","",N($O21)-N($P21))</f>
        <v/>
      </c>
      <c r="R21" s="47" t="n"/>
      <c r="S21" s="47" t="n"/>
      <c r="T21" s="47" t="n"/>
      <c r="U21" s="43">
        <f>IF($B21="","",N($J21)-N($R21)-N($T21))</f>
        <v/>
      </c>
      <c r="V21" s="47" t="n"/>
    </row>
    <row r="22">
      <c r="A22" s="39">
        <f>IF($B22="","",COUNTA($B$4:$B22))</f>
        <v/>
      </c>
      <c r="B22" s="40" t="n"/>
      <c r="C22" s="41" t="n"/>
      <c r="D22" s="41" t="n"/>
      <c r="E22" s="41" t="n"/>
      <c r="F22" s="41" t="n"/>
      <c r="G22" s="41" t="n"/>
      <c r="H22" s="41" t="n"/>
      <c r="I22" s="50" t="n"/>
      <c r="J22" s="42" t="n"/>
      <c r="K22" s="42" t="n"/>
      <c r="L22" s="43">
        <f>IF($B22="","",ROUND((N($J22)+N($K22))*نسبة_القيمة_المضافة,2))</f>
        <v/>
      </c>
      <c r="M22" s="42" t="n"/>
      <c r="N22" s="42" t="n"/>
      <c r="O22" s="43">
        <f>IF($B22="","",N($J22)+N($K22)+N($L22)-N($M22)+N($N22))</f>
        <v/>
      </c>
      <c r="P22" s="42" t="n"/>
      <c r="Q22" s="43">
        <f>IF($B22="","",N($O22)-N($P22))</f>
        <v/>
      </c>
      <c r="R22" s="42" t="n"/>
      <c r="S22" s="42" t="n"/>
      <c r="T22" s="42" t="n"/>
      <c r="U22" s="43">
        <f>IF($B22="","",N($J22)-N($R22)-N($T22))</f>
        <v/>
      </c>
      <c r="V22" s="42" t="n"/>
    </row>
    <row r="23">
      <c r="A23" s="39">
        <f>IF($B23="","",COUNTA($B$4:$B23))</f>
        <v/>
      </c>
      <c r="B23" s="45" t="n"/>
      <c r="C23" s="46" t="n"/>
      <c r="D23" s="46" t="n"/>
      <c r="E23" s="46" t="n"/>
      <c r="F23" s="46" t="n"/>
      <c r="G23" s="46" t="n"/>
      <c r="H23" s="46" t="n"/>
      <c r="I23" s="51" t="n"/>
      <c r="J23" s="47" t="n"/>
      <c r="K23" s="47" t="n"/>
      <c r="L23" s="43">
        <f>IF($B23="","",ROUND((N($J23)+N($K23))*نسبة_القيمة_المضافة,2))</f>
        <v/>
      </c>
      <c r="M23" s="47" t="n"/>
      <c r="N23" s="47" t="n"/>
      <c r="O23" s="43">
        <f>IF($B23="","",N($J23)+N($K23)+N($L23)-N($M23)+N($N23))</f>
        <v/>
      </c>
      <c r="P23" s="47" t="n"/>
      <c r="Q23" s="43">
        <f>IF($B23="","",N($O23)-N($P23))</f>
        <v/>
      </c>
      <c r="R23" s="47" t="n"/>
      <c r="S23" s="47" t="n"/>
      <c r="T23" s="47" t="n"/>
      <c r="U23" s="43">
        <f>IF($B23="","",N($J23)-N($R23)-N($T23))</f>
        <v/>
      </c>
      <c r="V23" s="47" t="n"/>
    </row>
    <row r="24">
      <c r="A24" s="39">
        <f>IF($B24="","",COUNTA($B$4:$B24))</f>
        <v/>
      </c>
      <c r="B24" s="40" t="n"/>
      <c r="C24" s="41" t="n"/>
      <c r="D24" s="41" t="n"/>
      <c r="E24" s="41" t="n"/>
      <c r="F24" s="41" t="n"/>
      <c r="G24" s="41" t="n"/>
      <c r="H24" s="41" t="n"/>
      <c r="I24" s="50" t="n"/>
      <c r="J24" s="42" t="n"/>
      <c r="K24" s="42" t="n"/>
      <c r="L24" s="43">
        <f>IF($B24="","",ROUND((N($J24)+N($K24))*نسبة_القيمة_المضافة,2))</f>
        <v/>
      </c>
      <c r="M24" s="42" t="n"/>
      <c r="N24" s="42" t="n"/>
      <c r="O24" s="43">
        <f>IF($B24="","",N($J24)+N($K24)+N($L24)-N($M24)+N($N24))</f>
        <v/>
      </c>
      <c r="P24" s="42" t="n"/>
      <c r="Q24" s="43">
        <f>IF($B24="","",N($O24)-N($P24))</f>
        <v/>
      </c>
      <c r="R24" s="42" t="n"/>
      <c r="S24" s="42" t="n"/>
      <c r="T24" s="42" t="n"/>
      <c r="U24" s="43">
        <f>IF($B24="","",N($J24)-N($R24)-N($T24))</f>
        <v/>
      </c>
      <c r="V24" s="42" t="n"/>
    </row>
    <row r="25">
      <c r="A25" s="39">
        <f>IF($B25="","",COUNTA($B$4:$B25))</f>
        <v/>
      </c>
      <c r="B25" s="45" t="n"/>
      <c r="C25" s="46" t="n"/>
      <c r="D25" s="46" t="n"/>
      <c r="E25" s="46" t="n"/>
      <c r="F25" s="46" t="n"/>
      <c r="G25" s="46" t="n"/>
      <c r="H25" s="46" t="n"/>
      <c r="I25" s="51" t="n"/>
      <c r="J25" s="47" t="n"/>
      <c r="K25" s="47" t="n"/>
      <c r="L25" s="43">
        <f>IF($B25="","",ROUND((N($J25)+N($K25))*نسبة_القيمة_المضافة,2))</f>
        <v/>
      </c>
      <c r="M25" s="47" t="n"/>
      <c r="N25" s="47" t="n"/>
      <c r="O25" s="43">
        <f>IF($B25="","",N($J25)+N($K25)+N($L25)-N($M25)+N($N25))</f>
        <v/>
      </c>
      <c r="P25" s="47" t="n"/>
      <c r="Q25" s="43">
        <f>IF($B25="","",N($O25)-N($P25))</f>
        <v/>
      </c>
      <c r="R25" s="47" t="n"/>
      <c r="S25" s="47" t="n"/>
      <c r="T25" s="47" t="n"/>
      <c r="U25" s="43">
        <f>IF($B25="","",N($J25)-N($R25)-N($T25))</f>
        <v/>
      </c>
      <c r="V25" s="47" t="n"/>
    </row>
    <row r="26">
      <c r="A26" s="39">
        <f>IF($B26="","",COUNTA($B$4:$B26))</f>
        <v/>
      </c>
      <c r="B26" s="40" t="n"/>
      <c r="C26" s="41" t="n"/>
      <c r="D26" s="41" t="n"/>
      <c r="E26" s="41" t="n"/>
      <c r="F26" s="41" t="n"/>
      <c r="G26" s="41" t="n"/>
      <c r="H26" s="41" t="n"/>
      <c r="I26" s="50" t="n"/>
      <c r="J26" s="42" t="n"/>
      <c r="K26" s="42" t="n"/>
      <c r="L26" s="43">
        <f>IF($B26="","",ROUND((N($J26)+N($K26))*نسبة_القيمة_المضافة,2))</f>
        <v/>
      </c>
      <c r="M26" s="42" t="n"/>
      <c r="N26" s="42" t="n"/>
      <c r="O26" s="43">
        <f>IF($B26="","",N($J26)+N($K26)+N($L26)-N($M26)+N($N26))</f>
        <v/>
      </c>
      <c r="P26" s="42" t="n"/>
      <c r="Q26" s="43">
        <f>IF($B26="","",N($O26)-N($P26))</f>
        <v/>
      </c>
      <c r="R26" s="42" t="n"/>
      <c r="S26" s="42" t="n"/>
      <c r="T26" s="42" t="n"/>
      <c r="U26" s="43">
        <f>IF($B26="","",N($J26)-N($R26)-N($T26))</f>
        <v/>
      </c>
      <c r="V26" s="42" t="n"/>
    </row>
    <row r="27">
      <c r="A27" s="39">
        <f>IF($B27="","",COUNTA($B$4:$B27))</f>
        <v/>
      </c>
      <c r="B27" s="45" t="n"/>
      <c r="C27" s="46" t="n"/>
      <c r="D27" s="46" t="n"/>
      <c r="E27" s="46" t="n"/>
      <c r="F27" s="46" t="n"/>
      <c r="G27" s="46" t="n"/>
      <c r="H27" s="46" t="n"/>
      <c r="I27" s="51" t="n"/>
      <c r="J27" s="47" t="n"/>
      <c r="K27" s="47" t="n"/>
      <c r="L27" s="43">
        <f>IF($B27="","",ROUND((N($J27)+N($K27))*نسبة_القيمة_المضافة,2))</f>
        <v/>
      </c>
      <c r="M27" s="47" t="n"/>
      <c r="N27" s="47" t="n"/>
      <c r="O27" s="43">
        <f>IF($B27="","",N($J27)+N($K27)+N($L27)-N($M27)+N($N27))</f>
        <v/>
      </c>
      <c r="P27" s="47" t="n"/>
      <c r="Q27" s="43">
        <f>IF($B27="","",N($O27)-N($P27))</f>
        <v/>
      </c>
      <c r="R27" s="47" t="n"/>
      <c r="S27" s="47" t="n"/>
      <c r="T27" s="47" t="n"/>
      <c r="U27" s="43">
        <f>IF($B27="","",N($J27)-N($R27)-N($T27))</f>
        <v/>
      </c>
      <c r="V27" s="47" t="n"/>
    </row>
    <row r="28">
      <c r="A28" s="39">
        <f>IF($B28="","",COUNTA($B$4:$B28))</f>
        <v/>
      </c>
      <c r="B28" s="40" t="n"/>
      <c r="C28" s="41" t="n"/>
      <c r="D28" s="41" t="n"/>
      <c r="E28" s="41" t="n"/>
      <c r="F28" s="41" t="n"/>
      <c r="G28" s="41" t="n"/>
      <c r="H28" s="41" t="n"/>
      <c r="I28" s="50" t="n"/>
      <c r="J28" s="42" t="n"/>
      <c r="K28" s="42" t="n"/>
      <c r="L28" s="43">
        <f>IF($B28="","",ROUND((N($J28)+N($K28))*نسبة_القيمة_المضافة,2))</f>
        <v/>
      </c>
      <c r="M28" s="42" t="n"/>
      <c r="N28" s="42" t="n"/>
      <c r="O28" s="43">
        <f>IF($B28="","",N($J28)+N($K28)+N($L28)-N($M28)+N($N28))</f>
        <v/>
      </c>
      <c r="P28" s="42" t="n"/>
      <c r="Q28" s="43">
        <f>IF($B28="","",N($O28)-N($P28))</f>
        <v/>
      </c>
      <c r="R28" s="42" t="n"/>
      <c r="S28" s="42" t="n"/>
      <c r="T28" s="42" t="n"/>
      <c r="U28" s="43">
        <f>IF($B28="","",N($J28)-N($R28)-N($T28))</f>
        <v/>
      </c>
      <c r="V28" s="42" t="n"/>
    </row>
    <row r="29">
      <c r="A29" s="39">
        <f>IF($B29="","",COUNTA($B$4:$B29))</f>
        <v/>
      </c>
      <c r="B29" s="45" t="n"/>
      <c r="C29" s="46" t="n"/>
      <c r="D29" s="46" t="n"/>
      <c r="E29" s="46" t="n"/>
      <c r="F29" s="46" t="n"/>
      <c r="G29" s="46" t="n"/>
      <c r="H29" s="46" t="n"/>
      <c r="I29" s="51" t="n"/>
      <c r="J29" s="47" t="n"/>
      <c r="K29" s="47" t="n"/>
      <c r="L29" s="43">
        <f>IF($B29="","",ROUND((N($J29)+N($K29))*نسبة_القيمة_المضافة,2))</f>
        <v/>
      </c>
      <c r="M29" s="47" t="n"/>
      <c r="N29" s="47" t="n"/>
      <c r="O29" s="43">
        <f>IF($B29="","",N($J29)+N($K29)+N($L29)-N($M29)+N($N29))</f>
        <v/>
      </c>
      <c r="P29" s="47" t="n"/>
      <c r="Q29" s="43">
        <f>IF($B29="","",N($O29)-N($P29))</f>
        <v/>
      </c>
      <c r="R29" s="47" t="n"/>
      <c r="S29" s="47" t="n"/>
      <c r="T29" s="47" t="n"/>
      <c r="U29" s="43">
        <f>IF($B29="","",N($J29)-N($R29)-N($T29))</f>
        <v/>
      </c>
      <c r="V29" s="47" t="n"/>
    </row>
    <row r="30">
      <c r="A30" s="39">
        <f>IF($B30="","",COUNTA($B$4:$B30))</f>
        <v/>
      </c>
      <c r="B30" s="40" t="n"/>
      <c r="C30" s="41" t="n"/>
      <c r="D30" s="41" t="n"/>
      <c r="E30" s="41" t="n"/>
      <c r="F30" s="41" t="n"/>
      <c r="G30" s="41" t="n"/>
      <c r="H30" s="41" t="n"/>
      <c r="I30" s="50" t="n"/>
      <c r="J30" s="42" t="n"/>
      <c r="K30" s="42" t="n"/>
      <c r="L30" s="43">
        <f>IF($B30="","",ROUND((N($J30)+N($K30))*نسبة_القيمة_المضافة,2))</f>
        <v/>
      </c>
      <c r="M30" s="42" t="n"/>
      <c r="N30" s="42" t="n"/>
      <c r="O30" s="43">
        <f>IF($B30="","",N($J30)+N($K30)+N($L30)-N($M30)+N($N30))</f>
        <v/>
      </c>
      <c r="P30" s="42" t="n"/>
      <c r="Q30" s="43">
        <f>IF($B30="","",N($O30)-N($P30))</f>
        <v/>
      </c>
      <c r="R30" s="42" t="n"/>
      <c r="S30" s="42" t="n"/>
      <c r="T30" s="42" t="n"/>
      <c r="U30" s="43">
        <f>IF($B30="","",N($J30)-N($R30)-N($T30))</f>
        <v/>
      </c>
      <c r="V30" s="42" t="n"/>
    </row>
    <row r="31">
      <c r="A31" s="39">
        <f>IF($B31="","",COUNTA($B$4:$B31))</f>
        <v/>
      </c>
      <c r="B31" s="45" t="n"/>
      <c r="C31" s="46" t="n"/>
      <c r="D31" s="46" t="n"/>
      <c r="E31" s="46" t="n"/>
      <c r="F31" s="46" t="n"/>
      <c r="G31" s="46" t="n"/>
      <c r="H31" s="46" t="n"/>
      <c r="I31" s="51" t="n"/>
      <c r="J31" s="47" t="n"/>
      <c r="K31" s="47" t="n"/>
      <c r="L31" s="43">
        <f>IF($B31="","",ROUND((N($J31)+N($K31))*نسبة_القيمة_المضافة,2))</f>
        <v/>
      </c>
      <c r="M31" s="47" t="n"/>
      <c r="N31" s="47" t="n"/>
      <c r="O31" s="43">
        <f>IF($B31="","",N($J31)+N($K31)+N($L31)-N($M31)+N($N31))</f>
        <v/>
      </c>
      <c r="P31" s="47" t="n"/>
      <c r="Q31" s="43">
        <f>IF($B31="","",N($O31)-N($P31))</f>
        <v/>
      </c>
      <c r="R31" s="47" t="n"/>
      <c r="S31" s="47" t="n"/>
      <c r="T31" s="47" t="n"/>
      <c r="U31" s="43">
        <f>IF($B31="","",N($J31)-N($R31)-N($T31))</f>
        <v/>
      </c>
      <c r="V31" s="47" t="n"/>
    </row>
    <row r="32">
      <c r="A32" s="39">
        <f>IF($B32="","",COUNTA($B$4:$B32))</f>
        <v/>
      </c>
      <c r="B32" s="40" t="n"/>
      <c r="C32" s="41" t="n"/>
      <c r="D32" s="41" t="n"/>
      <c r="E32" s="41" t="n"/>
      <c r="F32" s="41" t="n"/>
      <c r="G32" s="41" t="n"/>
      <c r="H32" s="41" t="n"/>
      <c r="I32" s="50" t="n"/>
      <c r="J32" s="42" t="n"/>
      <c r="K32" s="42" t="n"/>
      <c r="L32" s="43">
        <f>IF($B32="","",ROUND((N($J32)+N($K32))*نسبة_القيمة_المضافة,2))</f>
        <v/>
      </c>
      <c r="M32" s="42" t="n"/>
      <c r="N32" s="42" t="n"/>
      <c r="O32" s="43">
        <f>IF($B32="","",N($J32)+N($K32)+N($L32)-N($M32)+N($N32))</f>
        <v/>
      </c>
      <c r="P32" s="42" t="n"/>
      <c r="Q32" s="43">
        <f>IF($B32="","",N($O32)-N($P32))</f>
        <v/>
      </c>
      <c r="R32" s="42" t="n"/>
      <c r="S32" s="42" t="n"/>
      <c r="T32" s="42" t="n"/>
      <c r="U32" s="43">
        <f>IF($B32="","",N($J32)-N($R32)-N($T32))</f>
        <v/>
      </c>
      <c r="V32" s="42" t="n"/>
    </row>
    <row r="33">
      <c r="A33" s="39">
        <f>IF($B33="","",COUNTA($B$4:$B33))</f>
        <v/>
      </c>
      <c r="B33" s="45" t="n"/>
      <c r="C33" s="46" t="n"/>
      <c r="D33" s="46" t="n"/>
      <c r="E33" s="46" t="n"/>
      <c r="F33" s="46" t="n"/>
      <c r="G33" s="46" t="n"/>
      <c r="H33" s="46" t="n"/>
      <c r="I33" s="51" t="n"/>
      <c r="J33" s="47" t="n"/>
      <c r="K33" s="47" t="n"/>
      <c r="L33" s="43">
        <f>IF($B33="","",ROUND((N($J33)+N($K33))*نسبة_القيمة_المضافة,2))</f>
        <v/>
      </c>
      <c r="M33" s="47" t="n"/>
      <c r="N33" s="47" t="n"/>
      <c r="O33" s="43">
        <f>IF($B33="","",N($J33)+N($K33)+N($L33)-N($M33)+N($N33))</f>
        <v/>
      </c>
      <c r="P33" s="47" t="n"/>
      <c r="Q33" s="43">
        <f>IF($B33="","",N($O33)-N($P33))</f>
        <v/>
      </c>
      <c r="R33" s="47" t="n"/>
      <c r="S33" s="47" t="n"/>
      <c r="T33" s="47" t="n"/>
      <c r="U33" s="43">
        <f>IF($B33="","",N($J33)-N($R33)-N($T33))</f>
        <v/>
      </c>
      <c r="V33" s="47" t="n"/>
    </row>
    <row r="34">
      <c r="A34" s="39">
        <f>IF($B34="","",COUNTA($B$4:$B34))</f>
        <v/>
      </c>
      <c r="B34" s="40" t="n"/>
      <c r="C34" s="41" t="n"/>
      <c r="D34" s="41" t="n"/>
      <c r="E34" s="41" t="n"/>
      <c r="F34" s="41" t="n"/>
      <c r="G34" s="41" t="n"/>
      <c r="H34" s="41" t="n"/>
      <c r="I34" s="50" t="n"/>
      <c r="J34" s="42" t="n"/>
      <c r="K34" s="42" t="n"/>
      <c r="L34" s="43">
        <f>IF($B34="","",ROUND((N($J34)+N($K34))*نسبة_القيمة_المضافة,2))</f>
        <v/>
      </c>
      <c r="M34" s="42" t="n"/>
      <c r="N34" s="42" t="n"/>
      <c r="O34" s="43">
        <f>IF($B34="","",N($J34)+N($K34)+N($L34)-N($M34)+N($N34))</f>
        <v/>
      </c>
      <c r="P34" s="42" t="n"/>
      <c r="Q34" s="43">
        <f>IF($B34="","",N($O34)-N($P34))</f>
        <v/>
      </c>
      <c r="R34" s="42" t="n"/>
      <c r="S34" s="42" t="n"/>
      <c r="T34" s="42" t="n"/>
      <c r="U34" s="43">
        <f>IF($B34="","",N($J34)-N($R34)-N($T34))</f>
        <v/>
      </c>
      <c r="V34" s="42" t="n"/>
    </row>
    <row r="35">
      <c r="A35" s="39">
        <f>IF($B35="","",COUNTA($B$4:$B35))</f>
        <v/>
      </c>
      <c r="B35" s="45" t="n"/>
      <c r="C35" s="46" t="n"/>
      <c r="D35" s="46" t="n"/>
      <c r="E35" s="46" t="n"/>
      <c r="F35" s="46" t="n"/>
      <c r="G35" s="46" t="n"/>
      <c r="H35" s="46" t="n"/>
      <c r="I35" s="51" t="n"/>
      <c r="J35" s="47" t="n"/>
      <c r="K35" s="47" t="n"/>
      <c r="L35" s="43">
        <f>IF($B35="","",ROUND((N($J35)+N($K35))*نسبة_القيمة_المضافة,2))</f>
        <v/>
      </c>
      <c r="M35" s="47" t="n"/>
      <c r="N35" s="47" t="n"/>
      <c r="O35" s="43">
        <f>IF($B35="","",N($J35)+N($K35)+N($L35)-N($M35)+N($N35))</f>
        <v/>
      </c>
      <c r="P35" s="47" t="n"/>
      <c r="Q35" s="43">
        <f>IF($B35="","",N($O35)-N($P35))</f>
        <v/>
      </c>
      <c r="R35" s="47" t="n"/>
      <c r="S35" s="47" t="n"/>
      <c r="T35" s="47" t="n"/>
      <c r="U35" s="43">
        <f>IF($B35="","",N($J35)-N($R35)-N($T35))</f>
        <v/>
      </c>
      <c r="V35" s="47" t="n"/>
    </row>
    <row r="36">
      <c r="A36" s="39">
        <f>IF($B36="","",COUNTA($B$4:$B36))</f>
        <v/>
      </c>
      <c r="B36" s="40" t="n"/>
      <c r="C36" s="41" t="n"/>
      <c r="D36" s="41" t="n"/>
      <c r="E36" s="41" t="n"/>
      <c r="F36" s="41" t="n"/>
      <c r="G36" s="41" t="n"/>
      <c r="H36" s="41" t="n"/>
      <c r="I36" s="50" t="n"/>
      <c r="J36" s="42" t="n"/>
      <c r="K36" s="42" t="n"/>
      <c r="L36" s="43">
        <f>IF($B36="","",ROUND((N($J36)+N($K36))*نسبة_القيمة_المضافة,2))</f>
        <v/>
      </c>
      <c r="M36" s="42" t="n"/>
      <c r="N36" s="42" t="n"/>
      <c r="O36" s="43">
        <f>IF($B36="","",N($J36)+N($K36)+N($L36)-N($M36)+N($N36))</f>
        <v/>
      </c>
      <c r="P36" s="42" t="n"/>
      <c r="Q36" s="43">
        <f>IF($B36="","",N($O36)-N($P36))</f>
        <v/>
      </c>
      <c r="R36" s="42" t="n"/>
      <c r="S36" s="42" t="n"/>
      <c r="T36" s="42" t="n"/>
      <c r="U36" s="43">
        <f>IF($B36="","",N($J36)-N($R36)-N($T36))</f>
        <v/>
      </c>
      <c r="V36" s="42" t="n"/>
    </row>
    <row r="37">
      <c r="A37" s="39">
        <f>IF($B37="","",COUNTA($B$4:$B37))</f>
        <v/>
      </c>
      <c r="B37" s="45" t="n"/>
      <c r="C37" s="46" t="n"/>
      <c r="D37" s="46" t="n"/>
      <c r="E37" s="46" t="n"/>
      <c r="F37" s="46" t="n"/>
      <c r="G37" s="46" t="n"/>
      <c r="H37" s="46" t="n"/>
      <c r="I37" s="51" t="n"/>
      <c r="J37" s="47" t="n"/>
      <c r="K37" s="47" t="n"/>
      <c r="L37" s="43">
        <f>IF($B37="","",ROUND((N($J37)+N($K37))*نسبة_القيمة_المضافة,2))</f>
        <v/>
      </c>
      <c r="M37" s="47" t="n"/>
      <c r="N37" s="47" t="n"/>
      <c r="O37" s="43">
        <f>IF($B37="","",N($J37)+N($K37)+N($L37)-N($M37)+N($N37))</f>
        <v/>
      </c>
      <c r="P37" s="47" t="n"/>
      <c r="Q37" s="43">
        <f>IF($B37="","",N($O37)-N($P37))</f>
        <v/>
      </c>
      <c r="R37" s="47" t="n"/>
      <c r="S37" s="47" t="n"/>
      <c r="T37" s="47" t="n"/>
      <c r="U37" s="43">
        <f>IF($B37="","",N($J37)-N($R37)-N($T37))</f>
        <v/>
      </c>
      <c r="V37" s="47" t="n"/>
    </row>
    <row r="38">
      <c r="A38" s="39">
        <f>IF($B38="","",COUNTA($B$4:$B38))</f>
        <v/>
      </c>
      <c r="B38" s="40" t="n"/>
      <c r="C38" s="41" t="n"/>
      <c r="D38" s="41" t="n"/>
      <c r="E38" s="41" t="n"/>
      <c r="F38" s="41" t="n"/>
      <c r="G38" s="41" t="n"/>
      <c r="H38" s="41" t="n"/>
      <c r="I38" s="50" t="n"/>
      <c r="J38" s="42" t="n"/>
      <c r="K38" s="42" t="n"/>
      <c r="L38" s="43">
        <f>IF($B38="","",ROUND((N($J38)+N($K38))*نسبة_القيمة_المضافة,2))</f>
        <v/>
      </c>
      <c r="M38" s="42" t="n"/>
      <c r="N38" s="42" t="n"/>
      <c r="O38" s="43">
        <f>IF($B38="","",N($J38)+N($K38)+N($L38)-N($M38)+N($N38))</f>
        <v/>
      </c>
      <c r="P38" s="42" t="n"/>
      <c r="Q38" s="43">
        <f>IF($B38="","",N($O38)-N($P38))</f>
        <v/>
      </c>
      <c r="R38" s="42" t="n"/>
      <c r="S38" s="42" t="n"/>
      <c r="T38" s="42" t="n"/>
      <c r="U38" s="43">
        <f>IF($B38="","",N($J38)-N($R38)-N($T38))</f>
        <v/>
      </c>
      <c r="V38" s="42" t="n"/>
    </row>
    <row r="39">
      <c r="A39" s="39">
        <f>IF($B39="","",COUNTA($B$4:$B39))</f>
        <v/>
      </c>
      <c r="B39" s="45" t="n"/>
      <c r="C39" s="46" t="n"/>
      <c r="D39" s="46" t="n"/>
      <c r="E39" s="46" t="n"/>
      <c r="F39" s="46" t="n"/>
      <c r="G39" s="46" t="n"/>
      <c r="H39" s="46" t="n"/>
      <c r="I39" s="51" t="n"/>
      <c r="J39" s="47" t="n"/>
      <c r="K39" s="47" t="n"/>
      <c r="L39" s="43">
        <f>IF($B39="","",ROUND((N($J39)+N($K39))*نسبة_القيمة_المضافة,2))</f>
        <v/>
      </c>
      <c r="M39" s="47" t="n"/>
      <c r="N39" s="47" t="n"/>
      <c r="O39" s="43">
        <f>IF($B39="","",N($J39)+N($K39)+N($L39)-N($M39)+N($N39))</f>
        <v/>
      </c>
      <c r="P39" s="47" t="n"/>
      <c r="Q39" s="43">
        <f>IF($B39="","",N($O39)-N($P39))</f>
        <v/>
      </c>
      <c r="R39" s="47" t="n"/>
      <c r="S39" s="47" t="n"/>
      <c r="T39" s="47" t="n"/>
      <c r="U39" s="43">
        <f>IF($B39="","",N($J39)-N($R39)-N($T39))</f>
        <v/>
      </c>
      <c r="V39" s="47" t="n"/>
    </row>
    <row r="40">
      <c r="A40" s="39">
        <f>IF($B40="","",COUNTA($B$4:$B40))</f>
        <v/>
      </c>
      <c r="B40" s="40" t="n"/>
      <c r="C40" s="41" t="n"/>
      <c r="D40" s="41" t="n"/>
      <c r="E40" s="41" t="n"/>
      <c r="F40" s="41" t="n"/>
      <c r="G40" s="41" t="n"/>
      <c r="H40" s="41" t="n"/>
      <c r="I40" s="50" t="n"/>
      <c r="J40" s="42" t="n"/>
      <c r="K40" s="42" t="n"/>
      <c r="L40" s="43">
        <f>IF($B40="","",ROUND((N($J40)+N($K40))*نسبة_القيمة_المضافة,2))</f>
        <v/>
      </c>
      <c r="M40" s="42" t="n"/>
      <c r="N40" s="42" t="n"/>
      <c r="O40" s="43">
        <f>IF($B40="","",N($J40)+N($K40)+N($L40)-N($M40)+N($N40))</f>
        <v/>
      </c>
      <c r="P40" s="42" t="n"/>
      <c r="Q40" s="43">
        <f>IF($B40="","",N($O40)-N($P40))</f>
        <v/>
      </c>
      <c r="R40" s="42" t="n"/>
      <c r="S40" s="42" t="n"/>
      <c r="T40" s="42" t="n"/>
      <c r="U40" s="43">
        <f>IF($B40="","",N($J40)-N($R40)-N($T40))</f>
        <v/>
      </c>
      <c r="V40" s="42" t="n"/>
    </row>
    <row r="41">
      <c r="A41" s="39">
        <f>IF($B41="","",COUNTA($B$4:$B41))</f>
        <v/>
      </c>
      <c r="B41" s="45" t="n"/>
      <c r="C41" s="46" t="n"/>
      <c r="D41" s="46" t="n"/>
      <c r="E41" s="46" t="n"/>
      <c r="F41" s="46" t="n"/>
      <c r="G41" s="46" t="n"/>
      <c r="H41" s="46" t="n"/>
      <c r="I41" s="51" t="n"/>
      <c r="J41" s="47" t="n"/>
      <c r="K41" s="47" t="n"/>
      <c r="L41" s="43">
        <f>IF($B41="","",ROUND((N($J41)+N($K41))*نسبة_القيمة_المضافة,2))</f>
        <v/>
      </c>
      <c r="M41" s="47" t="n"/>
      <c r="N41" s="47" t="n"/>
      <c r="O41" s="43">
        <f>IF($B41="","",N($J41)+N($K41)+N($L41)-N($M41)+N($N41))</f>
        <v/>
      </c>
      <c r="P41" s="47" t="n"/>
      <c r="Q41" s="43">
        <f>IF($B41="","",N($O41)-N($P41))</f>
        <v/>
      </c>
      <c r="R41" s="47" t="n"/>
      <c r="S41" s="47" t="n"/>
      <c r="T41" s="47" t="n"/>
      <c r="U41" s="43">
        <f>IF($B41="","",N($J41)-N($R41)-N($T41))</f>
        <v/>
      </c>
      <c r="V41" s="47" t="n"/>
    </row>
    <row r="42">
      <c r="A42" s="39">
        <f>IF($B42="","",COUNTA($B$4:$B42))</f>
        <v/>
      </c>
      <c r="B42" s="40" t="n"/>
      <c r="C42" s="41" t="n"/>
      <c r="D42" s="41" t="n"/>
      <c r="E42" s="41" t="n"/>
      <c r="F42" s="41" t="n"/>
      <c r="G42" s="41" t="n"/>
      <c r="H42" s="41" t="n"/>
      <c r="I42" s="50" t="n"/>
      <c r="J42" s="42" t="n"/>
      <c r="K42" s="42" t="n"/>
      <c r="L42" s="43">
        <f>IF($B42="","",ROUND((N($J42)+N($K42))*نسبة_القيمة_المضافة,2))</f>
        <v/>
      </c>
      <c r="M42" s="42" t="n"/>
      <c r="N42" s="42" t="n"/>
      <c r="O42" s="43">
        <f>IF($B42="","",N($J42)+N($K42)+N($L42)-N($M42)+N($N42))</f>
        <v/>
      </c>
      <c r="P42" s="42" t="n"/>
      <c r="Q42" s="43">
        <f>IF($B42="","",N($O42)-N($P42))</f>
        <v/>
      </c>
      <c r="R42" s="42" t="n"/>
      <c r="S42" s="42" t="n"/>
      <c r="T42" s="42" t="n"/>
      <c r="U42" s="43">
        <f>IF($B42="","",N($J42)-N($R42)-N($T42))</f>
        <v/>
      </c>
      <c r="V42" s="42" t="n"/>
    </row>
    <row r="43">
      <c r="A43" s="39">
        <f>IF($B43="","",COUNTA($B$4:$B43))</f>
        <v/>
      </c>
      <c r="B43" s="45" t="n"/>
      <c r="C43" s="46" t="n"/>
      <c r="D43" s="46" t="n"/>
      <c r="E43" s="46" t="n"/>
      <c r="F43" s="46" t="n"/>
      <c r="G43" s="46" t="n"/>
      <c r="H43" s="46" t="n"/>
      <c r="I43" s="51" t="n"/>
      <c r="J43" s="47" t="n"/>
      <c r="K43" s="47" t="n"/>
      <c r="L43" s="43">
        <f>IF($B43="","",ROUND((N($J43)+N($K43))*نسبة_القيمة_المضافة,2))</f>
        <v/>
      </c>
      <c r="M43" s="47" t="n"/>
      <c r="N43" s="47" t="n"/>
      <c r="O43" s="43">
        <f>IF($B43="","",N($J43)+N($K43)+N($L43)-N($M43)+N($N43))</f>
        <v/>
      </c>
      <c r="P43" s="47" t="n"/>
      <c r="Q43" s="43">
        <f>IF($B43="","",N($O43)-N($P43))</f>
        <v/>
      </c>
      <c r="R43" s="47" t="n"/>
      <c r="S43" s="47" t="n"/>
      <c r="T43" s="47" t="n"/>
      <c r="U43" s="43">
        <f>IF($B43="","",N($J43)-N($R43)-N($T43))</f>
        <v/>
      </c>
      <c r="V43" s="47" t="n"/>
    </row>
    <row r="44">
      <c r="A44" s="39">
        <f>IF($B44="","",COUNTA($B$4:$B44))</f>
        <v/>
      </c>
      <c r="B44" s="40" t="n"/>
      <c r="C44" s="41" t="n"/>
      <c r="D44" s="41" t="n"/>
      <c r="E44" s="41" t="n"/>
      <c r="F44" s="41" t="n"/>
      <c r="G44" s="41" t="n"/>
      <c r="H44" s="41" t="n"/>
      <c r="I44" s="50" t="n"/>
      <c r="J44" s="42" t="n"/>
      <c r="K44" s="42" t="n"/>
      <c r="L44" s="43">
        <f>IF($B44="","",ROUND((N($J44)+N($K44))*نسبة_القيمة_المضافة,2))</f>
        <v/>
      </c>
      <c r="M44" s="42" t="n"/>
      <c r="N44" s="42" t="n"/>
      <c r="O44" s="43">
        <f>IF($B44="","",N($J44)+N($K44)+N($L44)-N($M44)+N($N44))</f>
        <v/>
      </c>
      <c r="P44" s="42" t="n"/>
      <c r="Q44" s="43">
        <f>IF($B44="","",N($O44)-N($P44))</f>
        <v/>
      </c>
      <c r="R44" s="42" t="n"/>
      <c r="S44" s="42" t="n"/>
      <c r="T44" s="42" t="n"/>
      <c r="U44" s="43">
        <f>IF($B44="","",N($J44)-N($R44)-N($T44))</f>
        <v/>
      </c>
      <c r="V44" s="42" t="n"/>
    </row>
    <row r="45">
      <c r="A45" s="39">
        <f>IF($B45="","",COUNTA($B$4:$B45))</f>
        <v/>
      </c>
      <c r="B45" s="45" t="n"/>
      <c r="C45" s="46" t="n"/>
      <c r="D45" s="46" t="n"/>
      <c r="E45" s="46" t="n"/>
      <c r="F45" s="46" t="n"/>
      <c r="G45" s="46" t="n"/>
      <c r="H45" s="46" t="n"/>
      <c r="I45" s="51" t="n"/>
      <c r="J45" s="47" t="n"/>
      <c r="K45" s="47" t="n"/>
      <c r="L45" s="43">
        <f>IF($B45="","",ROUND((N($J45)+N($K45))*نسبة_القيمة_المضافة,2))</f>
        <v/>
      </c>
      <c r="M45" s="47" t="n"/>
      <c r="N45" s="47" t="n"/>
      <c r="O45" s="43">
        <f>IF($B45="","",N($J45)+N($K45)+N($L45)-N($M45)+N($N45))</f>
        <v/>
      </c>
      <c r="P45" s="47" t="n"/>
      <c r="Q45" s="43">
        <f>IF($B45="","",N($O45)-N($P45))</f>
        <v/>
      </c>
      <c r="R45" s="47" t="n"/>
      <c r="S45" s="47" t="n"/>
      <c r="T45" s="47" t="n"/>
      <c r="U45" s="43">
        <f>IF($B45="","",N($J45)-N($R45)-N($T45))</f>
        <v/>
      </c>
      <c r="V45" s="47" t="n"/>
    </row>
    <row r="46">
      <c r="A46" s="39">
        <f>IF($B46="","",COUNTA($B$4:$B46))</f>
        <v/>
      </c>
      <c r="B46" s="40" t="n"/>
      <c r="C46" s="41" t="n"/>
      <c r="D46" s="41" t="n"/>
      <c r="E46" s="41" t="n"/>
      <c r="F46" s="41" t="n"/>
      <c r="G46" s="41" t="n"/>
      <c r="H46" s="41" t="n"/>
      <c r="I46" s="50" t="n"/>
      <c r="J46" s="42" t="n"/>
      <c r="K46" s="42" t="n"/>
      <c r="L46" s="43">
        <f>IF($B46="","",ROUND((N($J46)+N($K46))*نسبة_القيمة_المضافة,2))</f>
        <v/>
      </c>
      <c r="M46" s="42" t="n"/>
      <c r="N46" s="42" t="n"/>
      <c r="O46" s="43">
        <f>IF($B46="","",N($J46)+N($K46)+N($L46)-N($M46)+N($N46))</f>
        <v/>
      </c>
      <c r="P46" s="42" t="n"/>
      <c r="Q46" s="43">
        <f>IF($B46="","",N($O46)-N($P46))</f>
        <v/>
      </c>
      <c r="R46" s="42" t="n"/>
      <c r="S46" s="42" t="n"/>
      <c r="T46" s="42" t="n"/>
      <c r="U46" s="43">
        <f>IF($B46="","",N($J46)-N($R46)-N($T46))</f>
        <v/>
      </c>
      <c r="V46" s="42" t="n"/>
    </row>
    <row r="47">
      <c r="A47" s="39">
        <f>IF($B47="","",COUNTA($B$4:$B47))</f>
        <v/>
      </c>
      <c r="B47" s="45" t="n"/>
      <c r="C47" s="46" t="n"/>
      <c r="D47" s="46" t="n"/>
      <c r="E47" s="46" t="n"/>
      <c r="F47" s="46" t="n"/>
      <c r="G47" s="46" t="n"/>
      <c r="H47" s="46" t="n"/>
      <c r="I47" s="51" t="n"/>
      <c r="J47" s="47" t="n"/>
      <c r="K47" s="47" t="n"/>
      <c r="L47" s="43">
        <f>IF($B47="","",ROUND((N($J47)+N($K47))*نسبة_القيمة_المضافة,2))</f>
        <v/>
      </c>
      <c r="M47" s="47" t="n"/>
      <c r="N47" s="47" t="n"/>
      <c r="O47" s="43">
        <f>IF($B47="","",N($J47)+N($K47)+N($L47)-N($M47)+N($N47))</f>
        <v/>
      </c>
      <c r="P47" s="47" t="n"/>
      <c r="Q47" s="43">
        <f>IF($B47="","",N($O47)-N($P47))</f>
        <v/>
      </c>
      <c r="R47" s="47" t="n"/>
      <c r="S47" s="47" t="n"/>
      <c r="T47" s="47" t="n"/>
      <c r="U47" s="43">
        <f>IF($B47="","",N($J47)-N($R47)-N($T47))</f>
        <v/>
      </c>
      <c r="V47" s="47" t="n"/>
    </row>
    <row r="48">
      <c r="A48" s="39">
        <f>IF($B48="","",COUNTA($B$4:$B48))</f>
        <v/>
      </c>
      <c r="B48" s="40" t="n"/>
      <c r="C48" s="41" t="n"/>
      <c r="D48" s="41" t="n"/>
      <c r="E48" s="41" t="n"/>
      <c r="F48" s="41" t="n"/>
      <c r="G48" s="41" t="n"/>
      <c r="H48" s="41" t="n"/>
      <c r="I48" s="50" t="n"/>
      <c r="J48" s="42" t="n"/>
      <c r="K48" s="42" t="n"/>
      <c r="L48" s="43">
        <f>IF($B48="","",ROUND((N($J48)+N($K48))*نسبة_القيمة_المضافة,2))</f>
        <v/>
      </c>
      <c r="M48" s="42" t="n"/>
      <c r="N48" s="42" t="n"/>
      <c r="O48" s="43">
        <f>IF($B48="","",N($J48)+N($K48)+N($L48)-N($M48)+N($N48))</f>
        <v/>
      </c>
      <c r="P48" s="42" t="n"/>
      <c r="Q48" s="43">
        <f>IF($B48="","",N($O48)-N($P48))</f>
        <v/>
      </c>
      <c r="R48" s="42" t="n"/>
      <c r="S48" s="42" t="n"/>
      <c r="T48" s="42" t="n"/>
      <c r="U48" s="43">
        <f>IF($B48="","",N($J48)-N($R48)-N($T48))</f>
        <v/>
      </c>
      <c r="V48" s="42" t="n"/>
    </row>
    <row r="49">
      <c r="A49" s="39">
        <f>IF($B49="","",COUNTA($B$4:$B49))</f>
        <v/>
      </c>
      <c r="B49" s="45" t="n"/>
      <c r="C49" s="46" t="n"/>
      <c r="D49" s="46" t="n"/>
      <c r="E49" s="46" t="n"/>
      <c r="F49" s="46" t="n"/>
      <c r="G49" s="46" t="n"/>
      <c r="H49" s="46" t="n"/>
      <c r="I49" s="51" t="n"/>
      <c r="J49" s="47" t="n"/>
      <c r="K49" s="47" t="n"/>
      <c r="L49" s="43">
        <f>IF($B49="","",ROUND((N($J49)+N($K49))*نسبة_القيمة_المضافة,2))</f>
        <v/>
      </c>
      <c r="M49" s="47" t="n"/>
      <c r="N49" s="47" t="n"/>
      <c r="O49" s="43">
        <f>IF($B49="","",N($J49)+N($K49)+N($L49)-N($M49)+N($N49))</f>
        <v/>
      </c>
      <c r="P49" s="47" t="n"/>
      <c r="Q49" s="43">
        <f>IF($B49="","",N($O49)-N($P49))</f>
        <v/>
      </c>
      <c r="R49" s="47" t="n"/>
      <c r="S49" s="47" t="n"/>
      <c r="T49" s="47" t="n"/>
      <c r="U49" s="43">
        <f>IF($B49="","",N($J49)-N($R49)-N($T49))</f>
        <v/>
      </c>
      <c r="V49" s="47" t="n"/>
    </row>
    <row r="50">
      <c r="A50" s="39">
        <f>IF($B50="","",COUNTA($B$4:$B50))</f>
        <v/>
      </c>
      <c r="B50" s="40" t="n"/>
      <c r="C50" s="41" t="n"/>
      <c r="D50" s="41" t="n"/>
      <c r="E50" s="41" t="n"/>
      <c r="F50" s="41" t="n"/>
      <c r="G50" s="41" t="n"/>
      <c r="H50" s="41" t="n"/>
      <c r="I50" s="50" t="n"/>
      <c r="J50" s="42" t="n"/>
      <c r="K50" s="42" t="n"/>
      <c r="L50" s="43">
        <f>IF($B50="","",ROUND((N($J50)+N($K50))*نسبة_القيمة_المضافة,2))</f>
        <v/>
      </c>
      <c r="M50" s="42" t="n"/>
      <c r="N50" s="42" t="n"/>
      <c r="O50" s="43">
        <f>IF($B50="","",N($J50)+N($K50)+N($L50)-N($M50)+N($N50))</f>
        <v/>
      </c>
      <c r="P50" s="42" t="n"/>
      <c r="Q50" s="43">
        <f>IF($B50="","",N($O50)-N($P50))</f>
        <v/>
      </c>
      <c r="R50" s="42" t="n"/>
      <c r="S50" s="42" t="n"/>
      <c r="T50" s="42" t="n"/>
      <c r="U50" s="43">
        <f>IF($B50="","",N($J50)-N($R50)-N($T50))</f>
        <v/>
      </c>
      <c r="V50" s="42" t="n"/>
    </row>
    <row r="51">
      <c r="A51" s="39">
        <f>IF($B51="","",COUNTA($B$4:$B51))</f>
        <v/>
      </c>
      <c r="B51" s="45" t="n"/>
      <c r="C51" s="46" t="n"/>
      <c r="D51" s="46" t="n"/>
      <c r="E51" s="46" t="n"/>
      <c r="F51" s="46" t="n"/>
      <c r="G51" s="46" t="n"/>
      <c r="H51" s="46" t="n"/>
      <c r="I51" s="51" t="n"/>
      <c r="J51" s="47" t="n"/>
      <c r="K51" s="47" t="n"/>
      <c r="L51" s="43">
        <f>IF($B51="","",ROUND((N($J51)+N($K51))*نسبة_القيمة_المضافة,2))</f>
        <v/>
      </c>
      <c r="M51" s="47" t="n"/>
      <c r="N51" s="47" t="n"/>
      <c r="O51" s="43">
        <f>IF($B51="","",N($J51)+N($K51)+N($L51)-N($M51)+N($N51))</f>
        <v/>
      </c>
      <c r="P51" s="47" t="n"/>
      <c r="Q51" s="43">
        <f>IF($B51="","",N($O51)-N($P51))</f>
        <v/>
      </c>
      <c r="R51" s="47" t="n"/>
      <c r="S51" s="47" t="n"/>
      <c r="T51" s="47" t="n"/>
      <c r="U51" s="43">
        <f>IF($B51="","",N($J51)-N($R51)-N($T51))</f>
        <v/>
      </c>
      <c r="V51" s="47" t="n"/>
    </row>
    <row r="52">
      <c r="A52" s="39">
        <f>IF($B52="","",COUNTA($B$4:$B52))</f>
        <v/>
      </c>
      <c r="B52" s="40" t="n"/>
      <c r="C52" s="41" t="n"/>
      <c r="D52" s="41" t="n"/>
      <c r="E52" s="41" t="n"/>
      <c r="F52" s="41" t="n"/>
      <c r="G52" s="41" t="n"/>
      <c r="H52" s="41" t="n"/>
      <c r="I52" s="50" t="n"/>
      <c r="J52" s="42" t="n"/>
      <c r="K52" s="42" t="n"/>
      <c r="L52" s="43">
        <f>IF($B52="","",ROUND((N($J52)+N($K52))*نسبة_القيمة_المضافة,2))</f>
        <v/>
      </c>
      <c r="M52" s="42" t="n"/>
      <c r="N52" s="42" t="n"/>
      <c r="O52" s="43">
        <f>IF($B52="","",N($J52)+N($K52)+N($L52)-N($M52)+N($N52))</f>
        <v/>
      </c>
      <c r="P52" s="42" t="n"/>
      <c r="Q52" s="43">
        <f>IF($B52="","",N($O52)-N($P52))</f>
        <v/>
      </c>
      <c r="R52" s="42" t="n"/>
      <c r="S52" s="42" t="n"/>
      <c r="T52" s="42" t="n"/>
      <c r="U52" s="43">
        <f>IF($B52="","",N($J52)-N($R52)-N($T52))</f>
        <v/>
      </c>
      <c r="V52" s="42" t="n"/>
    </row>
    <row r="53">
      <c r="A53" s="39">
        <f>IF($B53="","",COUNTA($B$4:$B53))</f>
        <v/>
      </c>
      <c r="B53" s="45" t="n"/>
      <c r="C53" s="46" t="n"/>
      <c r="D53" s="46" t="n"/>
      <c r="E53" s="46" t="n"/>
      <c r="F53" s="46" t="n"/>
      <c r="G53" s="46" t="n"/>
      <c r="H53" s="46" t="n"/>
      <c r="I53" s="51" t="n"/>
      <c r="J53" s="47" t="n"/>
      <c r="K53" s="47" t="n"/>
      <c r="L53" s="43">
        <f>IF($B53="","",ROUND((N($J53)+N($K53))*نسبة_القيمة_المضافة,2))</f>
        <v/>
      </c>
      <c r="M53" s="47" t="n"/>
      <c r="N53" s="47" t="n"/>
      <c r="O53" s="43">
        <f>IF($B53="","",N($J53)+N($K53)+N($L53)-N($M53)+N($N53))</f>
        <v/>
      </c>
      <c r="P53" s="47" t="n"/>
      <c r="Q53" s="43">
        <f>IF($B53="","",N($O53)-N($P53))</f>
        <v/>
      </c>
      <c r="R53" s="47" t="n"/>
      <c r="S53" s="47" t="n"/>
      <c r="T53" s="47" t="n"/>
      <c r="U53" s="43">
        <f>IF($B53="","",N($J53)-N($R53)-N($T53))</f>
        <v/>
      </c>
      <c r="V53" s="47" t="n"/>
    </row>
    <row r="54">
      <c r="A54" s="39">
        <f>IF($B54="","",COUNTA($B$4:$B54))</f>
        <v/>
      </c>
      <c r="B54" s="40" t="n"/>
      <c r="C54" s="41" t="n"/>
      <c r="D54" s="41" t="n"/>
      <c r="E54" s="41" t="n"/>
      <c r="F54" s="41" t="n"/>
      <c r="G54" s="41" t="n"/>
      <c r="H54" s="41" t="n"/>
      <c r="I54" s="50" t="n"/>
      <c r="J54" s="42" t="n"/>
      <c r="K54" s="42" t="n"/>
      <c r="L54" s="43">
        <f>IF($B54="","",ROUND((N($J54)+N($K54))*نسبة_القيمة_المضافة,2))</f>
        <v/>
      </c>
      <c r="M54" s="42" t="n"/>
      <c r="N54" s="42" t="n"/>
      <c r="O54" s="43">
        <f>IF($B54="","",N($J54)+N($K54)+N($L54)-N($M54)+N($N54))</f>
        <v/>
      </c>
      <c r="P54" s="42" t="n"/>
      <c r="Q54" s="43">
        <f>IF($B54="","",N($O54)-N($P54))</f>
        <v/>
      </c>
      <c r="R54" s="42" t="n"/>
      <c r="S54" s="42" t="n"/>
      <c r="T54" s="42" t="n"/>
      <c r="U54" s="43">
        <f>IF($B54="","",N($J54)-N($R54)-N($T54))</f>
        <v/>
      </c>
      <c r="V54" s="42" t="n"/>
    </row>
    <row r="55">
      <c r="A55" s="39">
        <f>IF($B55="","",COUNTA($B$4:$B55))</f>
        <v/>
      </c>
      <c r="B55" s="45" t="n"/>
      <c r="C55" s="46" t="n"/>
      <c r="D55" s="46" t="n"/>
      <c r="E55" s="46" t="n"/>
      <c r="F55" s="46" t="n"/>
      <c r="G55" s="46" t="n"/>
      <c r="H55" s="46" t="n"/>
      <c r="I55" s="51" t="n"/>
      <c r="J55" s="47" t="n"/>
      <c r="K55" s="47" t="n"/>
      <c r="L55" s="43">
        <f>IF($B55="","",ROUND((N($J55)+N($K55))*نسبة_القيمة_المضافة,2))</f>
        <v/>
      </c>
      <c r="M55" s="47" t="n"/>
      <c r="N55" s="47" t="n"/>
      <c r="O55" s="43">
        <f>IF($B55="","",N($J55)+N($K55)+N($L55)-N($M55)+N($N55))</f>
        <v/>
      </c>
      <c r="P55" s="47" t="n"/>
      <c r="Q55" s="43">
        <f>IF($B55="","",N($O55)-N($P55))</f>
        <v/>
      </c>
      <c r="R55" s="47" t="n"/>
      <c r="S55" s="47" t="n"/>
      <c r="T55" s="47" t="n"/>
      <c r="U55" s="43">
        <f>IF($B55="","",N($J55)-N($R55)-N($T55))</f>
        <v/>
      </c>
      <c r="V55" s="47" t="n"/>
    </row>
    <row r="56">
      <c r="A56" s="39">
        <f>IF($B56="","",COUNTA($B$4:$B56))</f>
        <v/>
      </c>
      <c r="B56" s="40" t="n"/>
      <c r="C56" s="41" t="n"/>
      <c r="D56" s="41" t="n"/>
      <c r="E56" s="41" t="n"/>
      <c r="F56" s="41" t="n"/>
      <c r="G56" s="41" t="n"/>
      <c r="H56" s="41" t="n"/>
      <c r="I56" s="50" t="n"/>
      <c r="J56" s="42" t="n"/>
      <c r="K56" s="42" t="n"/>
      <c r="L56" s="43">
        <f>IF($B56="","",ROUND((N($J56)+N($K56))*نسبة_القيمة_المضافة,2))</f>
        <v/>
      </c>
      <c r="M56" s="42" t="n"/>
      <c r="N56" s="42" t="n"/>
      <c r="O56" s="43">
        <f>IF($B56="","",N($J56)+N($K56)+N($L56)-N($M56)+N($N56))</f>
        <v/>
      </c>
      <c r="P56" s="42" t="n"/>
      <c r="Q56" s="43">
        <f>IF($B56="","",N($O56)-N($P56))</f>
        <v/>
      </c>
      <c r="R56" s="42" t="n"/>
      <c r="S56" s="42" t="n"/>
      <c r="T56" s="42" t="n"/>
      <c r="U56" s="43">
        <f>IF($B56="","",N($J56)-N($R56)-N($T56))</f>
        <v/>
      </c>
      <c r="V56" s="42" t="n"/>
    </row>
    <row r="57">
      <c r="A57" s="39">
        <f>IF($B57="","",COUNTA($B$4:$B57))</f>
        <v/>
      </c>
      <c r="B57" s="45" t="n"/>
      <c r="C57" s="46" t="n"/>
      <c r="D57" s="46" t="n"/>
      <c r="E57" s="46" t="n"/>
      <c r="F57" s="46" t="n"/>
      <c r="G57" s="46" t="n"/>
      <c r="H57" s="46" t="n"/>
      <c r="I57" s="51" t="n"/>
      <c r="J57" s="47" t="n"/>
      <c r="K57" s="47" t="n"/>
      <c r="L57" s="43">
        <f>IF($B57="","",ROUND((N($J57)+N($K57))*نسبة_القيمة_المضافة,2))</f>
        <v/>
      </c>
      <c r="M57" s="47" t="n"/>
      <c r="N57" s="47" t="n"/>
      <c r="O57" s="43">
        <f>IF($B57="","",N($J57)+N($K57)+N($L57)-N($M57)+N($N57))</f>
        <v/>
      </c>
      <c r="P57" s="47" t="n"/>
      <c r="Q57" s="43">
        <f>IF($B57="","",N($O57)-N($P57))</f>
        <v/>
      </c>
      <c r="R57" s="47" t="n"/>
      <c r="S57" s="47" t="n"/>
      <c r="T57" s="47" t="n"/>
      <c r="U57" s="43">
        <f>IF($B57="","",N($J57)-N($R57)-N($T57))</f>
        <v/>
      </c>
      <c r="V57" s="47" t="n"/>
    </row>
    <row r="58">
      <c r="A58" s="39">
        <f>IF($B58="","",COUNTA($B$4:$B58))</f>
        <v/>
      </c>
      <c r="B58" s="40" t="n"/>
      <c r="C58" s="41" t="n"/>
      <c r="D58" s="41" t="n"/>
      <c r="E58" s="41" t="n"/>
      <c r="F58" s="41" t="n"/>
      <c r="G58" s="41" t="n"/>
      <c r="H58" s="41" t="n"/>
      <c r="I58" s="50" t="n"/>
      <c r="J58" s="42" t="n"/>
      <c r="K58" s="42" t="n"/>
      <c r="L58" s="43">
        <f>IF($B58="","",ROUND((N($J58)+N($K58))*نسبة_القيمة_المضافة,2))</f>
        <v/>
      </c>
      <c r="M58" s="42" t="n"/>
      <c r="N58" s="42" t="n"/>
      <c r="O58" s="43">
        <f>IF($B58="","",N($J58)+N($K58)+N($L58)-N($M58)+N($N58))</f>
        <v/>
      </c>
      <c r="P58" s="42" t="n"/>
      <c r="Q58" s="43">
        <f>IF($B58="","",N($O58)-N($P58))</f>
        <v/>
      </c>
      <c r="R58" s="42" t="n"/>
      <c r="S58" s="42" t="n"/>
      <c r="T58" s="42" t="n"/>
      <c r="U58" s="43">
        <f>IF($B58="","",N($J58)-N($R58)-N($T58))</f>
        <v/>
      </c>
      <c r="V58" s="42" t="n"/>
    </row>
    <row r="59">
      <c r="A59" s="39">
        <f>IF($B59="","",COUNTA($B$4:$B59))</f>
        <v/>
      </c>
      <c r="B59" s="45" t="n"/>
      <c r="C59" s="46" t="n"/>
      <c r="D59" s="46" t="n"/>
      <c r="E59" s="46" t="n"/>
      <c r="F59" s="46" t="n"/>
      <c r="G59" s="46" t="n"/>
      <c r="H59" s="46" t="n"/>
      <c r="I59" s="51" t="n"/>
      <c r="J59" s="47" t="n"/>
      <c r="K59" s="47" t="n"/>
      <c r="L59" s="43">
        <f>IF($B59="","",ROUND((N($J59)+N($K59))*نسبة_القيمة_المضافة,2))</f>
        <v/>
      </c>
      <c r="M59" s="47" t="n"/>
      <c r="N59" s="47" t="n"/>
      <c r="O59" s="43">
        <f>IF($B59="","",N($J59)+N($K59)+N($L59)-N($M59)+N($N59))</f>
        <v/>
      </c>
      <c r="P59" s="47" t="n"/>
      <c r="Q59" s="43">
        <f>IF($B59="","",N($O59)-N($P59))</f>
        <v/>
      </c>
      <c r="R59" s="47" t="n"/>
      <c r="S59" s="47" t="n"/>
      <c r="T59" s="47" t="n"/>
      <c r="U59" s="43">
        <f>IF($B59="","",N($J59)-N($R59)-N($T59))</f>
        <v/>
      </c>
      <c r="V59" s="47" t="n"/>
    </row>
    <row r="60">
      <c r="A60" s="39">
        <f>IF($B60="","",COUNTA($B$4:$B60))</f>
        <v/>
      </c>
      <c r="B60" s="40" t="n"/>
      <c r="C60" s="41" t="n"/>
      <c r="D60" s="41" t="n"/>
      <c r="E60" s="41" t="n"/>
      <c r="F60" s="41" t="n"/>
      <c r="G60" s="41" t="n"/>
      <c r="H60" s="41" t="n"/>
      <c r="I60" s="50" t="n"/>
      <c r="J60" s="42" t="n"/>
      <c r="K60" s="42" t="n"/>
      <c r="L60" s="43">
        <f>IF($B60="","",ROUND((N($J60)+N($K60))*نسبة_القيمة_المضافة,2))</f>
        <v/>
      </c>
      <c r="M60" s="42" t="n"/>
      <c r="N60" s="42" t="n"/>
      <c r="O60" s="43">
        <f>IF($B60="","",N($J60)+N($K60)+N($L60)-N($M60)+N($N60))</f>
        <v/>
      </c>
      <c r="P60" s="42" t="n"/>
      <c r="Q60" s="43">
        <f>IF($B60="","",N($O60)-N($P60))</f>
        <v/>
      </c>
      <c r="R60" s="42" t="n"/>
      <c r="S60" s="42" t="n"/>
      <c r="T60" s="42" t="n"/>
      <c r="U60" s="43">
        <f>IF($B60="","",N($J60)-N($R60)-N($T60))</f>
        <v/>
      </c>
      <c r="V60" s="42" t="n"/>
    </row>
    <row r="61">
      <c r="A61" s="39">
        <f>IF($B61="","",COUNTA($B$4:$B61))</f>
        <v/>
      </c>
      <c r="B61" s="45" t="n"/>
      <c r="C61" s="46" t="n"/>
      <c r="D61" s="46" t="n"/>
      <c r="E61" s="46" t="n"/>
      <c r="F61" s="46" t="n"/>
      <c r="G61" s="46" t="n"/>
      <c r="H61" s="46" t="n"/>
      <c r="I61" s="51" t="n"/>
      <c r="J61" s="47" t="n"/>
      <c r="K61" s="47" t="n"/>
      <c r="L61" s="43">
        <f>IF($B61="","",ROUND((N($J61)+N($K61))*نسبة_القيمة_المضافة,2))</f>
        <v/>
      </c>
      <c r="M61" s="47" t="n"/>
      <c r="N61" s="47" t="n"/>
      <c r="O61" s="43">
        <f>IF($B61="","",N($J61)+N($K61)+N($L61)-N($M61)+N($N61))</f>
        <v/>
      </c>
      <c r="P61" s="47" t="n"/>
      <c r="Q61" s="43">
        <f>IF($B61="","",N($O61)-N($P61))</f>
        <v/>
      </c>
      <c r="R61" s="47" t="n"/>
      <c r="S61" s="47" t="n"/>
      <c r="T61" s="47" t="n"/>
      <c r="U61" s="43">
        <f>IF($B61="","",N($J61)-N($R61)-N($T61))</f>
        <v/>
      </c>
      <c r="V61" s="47" t="n"/>
    </row>
    <row r="62">
      <c r="A62" s="39">
        <f>IF($B62="","",COUNTA($B$4:$B62))</f>
        <v/>
      </c>
      <c r="B62" s="40" t="n"/>
      <c r="C62" s="41" t="n"/>
      <c r="D62" s="41" t="n"/>
      <c r="E62" s="41" t="n"/>
      <c r="F62" s="41" t="n"/>
      <c r="G62" s="41" t="n"/>
      <c r="H62" s="41" t="n"/>
      <c r="I62" s="50" t="n"/>
      <c r="J62" s="42" t="n"/>
      <c r="K62" s="42" t="n"/>
      <c r="L62" s="43">
        <f>IF($B62="","",ROUND((N($J62)+N($K62))*نسبة_القيمة_المضافة,2))</f>
        <v/>
      </c>
      <c r="M62" s="42" t="n"/>
      <c r="N62" s="42" t="n"/>
      <c r="O62" s="43">
        <f>IF($B62="","",N($J62)+N($K62)+N($L62)-N($M62)+N($N62))</f>
        <v/>
      </c>
      <c r="P62" s="42" t="n"/>
      <c r="Q62" s="43">
        <f>IF($B62="","",N($O62)-N($P62))</f>
        <v/>
      </c>
      <c r="R62" s="42" t="n"/>
      <c r="S62" s="42" t="n"/>
      <c r="T62" s="42" t="n"/>
      <c r="U62" s="43">
        <f>IF($B62="","",N($J62)-N($R62)-N($T62))</f>
        <v/>
      </c>
      <c r="V62" s="42" t="n"/>
    </row>
    <row r="63">
      <c r="A63" s="39">
        <f>IF($B63="","",COUNTA($B$4:$B63))</f>
        <v/>
      </c>
      <c r="B63" s="45" t="n"/>
      <c r="C63" s="46" t="n"/>
      <c r="D63" s="46" t="n"/>
      <c r="E63" s="46" t="n"/>
      <c r="F63" s="46" t="n"/>
      <c r="G63" s="46" t="n"/>
      <c r="H63" s="46" t="n"/>
      <c r="I63" s="51" t="n"/>
      <c r="J63" s="47" t="n"/>
      <c r="K63" s="47" t="n"/>
      <c r="L63" s="43">
        <f>IF($B63="","",ROUND((N($J63)+N($K63))*نسبة_القيمة_المضافة,2))</f>
        <v/>
      </c>
      <c r="M63" s="47" t="n"/>
      <c r="N63" s="47" t="n"/>
      <c r="O63" s="43">
        <f>IF($B63="","",N($J63)+N($K63)+N($L63)-N($M63)+N($N63))</f>
        <v/>
      </c>
      <c r="P63" s="47" t="n"/>
      <c r="Q63" s="43">
        <f>IF($B63="","",N($O63)-N($P63))</f>
        <v/>
      </c>
      <c r="R63" s="47" t="n"/>
      <c r="S63" s="47" t="n"/>
      <c r="T63" s="47" t="n"/>
      <c r="U63" s="43">
        <f>IF($B63="","",N($J63)-N($R63)-N($T63))</f>
        <v/>
      </c>
      <c r="V63" s="47" t="n"/>
    </row>
    <row r="64">
      <c r="A64" s="39">
        <f>IF($B64="","",COUNTA($B$4:$B64))</f>
        <v/>
      </c>
      <c r="B64" s="40" t="n"/>
      <c r="C64" s="41" t="n"/>
      <c r="D64" s="41" t="n"/>
      <c r="E64" s="41" t="n"/>
      <c r="F64" s="41" t="n"/>
      <c r="G64" s="41" t="n"/>
      <c r="H64" s="41" t="n"/>
      <c r="I64" s="50" t="n"/>
      <c r="J64" s="42" t="n"/>
      <c r="K64" s="42" t="n"/>
      <c r="L64" s="43">
        <f>IF($B64="","",ROUND((N($J64)+N($K64))*نسبة_القيمة_المضافة,2))</f>
        <v/>
      </c>
      <c r="M64" s="42" t="n"/>
      <c r="N64" s="42" t="n"/>
      <c r="O64" s="43">
        <f>IF($B64="","",N($J64)+N($K64)+N($L64)-N($M64)+N($N64))</f>
        <v/>
      </c>
      <c r="P64" s="42" t="n"/>
      <c r="Q64" s="43">
        <f>IF($B64="","",N($O64)-N($P64))</f>
        <v/>
      </c>
      <c r="R64" s="42" t="n"/>
      <c r="S64" s="42" t="n"/>
      <c r="T64" s="42" t="n"/>
      <c r="U64" s="43">
        <f>IF($B64="","",N($J64)-N($R64)-N($T64))</f>
        <v/>
      </c>
      <c r="V64" s="42" t="n"/>
    </row>
    <row r="65">
      <c r="A65" s="39">
        <f>IF($B65="","",COUNTA($B$4:$B65))</f>
        <v/>
      </c>
      <c r="B65" s="45" t="n"/>
      <c r="C65" s="46" t="n"/>
      <c r="D65" s="46" t="n"/>
      <c r="E65" s="46" t="n"/>
      <c r="F65" s="46" t="n"/>
      <c r="G65" s="46" t="n"/>
      <c r="H65" s="46" t="n"/>
      <c r="I65" s="51" t="n"/>
      <c r="J65" s="47" t="n"/>
      <c r="K65" s="47" t="n"/>
      <c r="L65" s="43">
        <f>IF($B65="","",ROUND((N($J65)+N($K65))*نسبة_القيمة_المضافة,2))</f>
        <v/>
      </c>
      <c r="M65" s="47" t="n"/>
      <c r="N65" s="47" t="n"/>
      <c r="O65" s="43">
        <f>IF($B65="","",N($J65)+N($K65)+N($L65)-N($M65)+N($N65))</f>
        <v/>
      </c>
      <c r="P65" s="47" t="n"/>
      <c r="Q65" s="43">
        <f>IF($B65="","",N($O65)-N($P65))</f>
        <v/>
      </c>
      <c r="R65" s="47" t="n"/>
      <c r="S65" s="47" t="n"/>
      <c r="T65" s="47" t="n"/>
      <c r="U65" s="43">
        <f>IF($B65="","",N($J65)-N($R65)-N($T65))</f>
        <v/>
      </c>
      <c r="V65" s="47" t="n"/>
    </row>
    <row r="66">
      <c r="A66" s="39">
        <f>IF($B66="","",COUNTA($B$4:$B66))</f>
        <v/>
      </c>
      <c r="B66" s="40" t="n"/>
      <c r="C66" s="41" t="n"/>
      <c r="D66" s="41" t="n"/>
      <c r="E66" s="41" t="n"/>
      <c r="F66" s="41" t="n"/>
      <c r="G66" s="41" t="n"/>
      <c r="H66" s="41" t="n"/>
      <c r="I66" s="50" t="n"/>
      <c r="J66" s="42" t="n"/>
      <c r="K66" s="42" t="n"/>
      <c r="L66" s="43">
        <f>IF($B66="","",ROUND((N($J66)+N($K66))*نسبة_القيمة_المضافة,2))</f>
        <v/>
      </c>
      <c r="M66" s="42" t="n"/>
      <c r="N66" s="42" t="n"/>
      <c r="O66" s="43">
        <f>IF($B66="","",N($J66)+N($K66)+N($L66)-N($M66)+N($N66))</f>
        <v/>
      </c>
      <c r="P66" s="42" t="n"/>
      <c r="Q66" s="43">
        <f>IF($B66="","",N($O66)-N($P66))</f>
        <v/>
      </c>
      <c r="R66" s="42" t="n"/>
      <c r="S66" s="42" t="n"/>
      <c r="T66" s="42" t="n"/>
      <c r="U66" s="43">
        <f>IF($B66="","",N($J66)-N($R66)-N($T66))</f>
        <v/>
      </c>
      <c r="V66" s="42" t="n"/>
    </row>
    <row r="67">
      <c r="A67" s="39">
        <f>IF($B67="","",COUNTA($B$4:$B67))</f>
        <v/>
      </c>
      <c r="B67" s="45" t="n"/>
      <c r="C67" s="46" t="n"/>
      <c r="D67" s="46" t="n"/>
      <c r="E67" s="46" t="n"/>
      <c r="F67" s="46" t="n"/>
      <c r="G67" s="46" t="n"/>
      <c r="H67" s="46" t="n"/>
      <c r="I67" s="51" t="n"/>
      <c r="J67" s="47" t="n"/>
      <c r="K67" s="47" t="n"/>
      <c r="L67" s="43">
        <f>IF($B67="","",ROUND((N($J67)+N($K67))*نسبة_القيمة_المضافة,2))</f>
        <v/>
      </c>
      <c r="M67" s="47" t="n"/>
      <c r="N67" s="47" t="n"/>
      <c r="O67" s="43">
        <f>IF($B67="","",N($J67)+N($K67)+N($L67)-N($M67)+N($N67))</f>
        <v/>
      </c>
      <c r="P67" s="47" t="n"/>
      <c r="Q67" s="43">
        <f>IF($B67="","",N($O67)-N($P67))</f>
        <v/>
      </c>
      <c r="R67" s="47" t="n"/>
      <c r="S67" s="47" t="n"/>
      <c r="T67" s="47" t="n"/>
      <c r="U67" s="43">
        <f>IF($B67="","",N($J67)-N($R67)-N($T67))</f>
        <v/>
      </c>
      <c r="V67" s="47" t="n"/>
    </row>
    <row r="68">
      <c r="A68" s="39">
        <f>IF($B68="","",COUNTA($B$4:$B68))</f>
        <v/>
      </c>
      <c r="B68" s="40" t="n"/>
      <c r="C68" s="41" t="n"/>
      <c r="D68" s="41" t="n"/>
      <c r="E68" s="41" t="n"/>
      <c r="F68" s="41" t="n"/>
      <c r="G68" s="41" t="n"/>
      <c r="H68" s="41" t="n"/>
      <c r="I68" s="50" t="n"/>
      <c r="J68" s="42" t="n"/>
      <c r="K68" s="42" t="n"/>
      <c r="L68" s="43">
        <f>IF($B68="","",ROUND((N($J68)+N($K68))*نسبة_القيمة_المضافة,2))</f>
        <v/>
      </c>
      <c r="M68" s="42" t="n"/>
      <c r="N68" s="42" t="n"/>
      <c r="O68" s="43">
        <f>IF($B68="","",N($J68)+N($K68)+N($L68)-N($M68)+N($N68))</f>
        <v/>
      </c>
      <c r="P68" s="42" t="n"/>
      <c r="Q68" s="43">
        <f>IF($B68="","",N($O68)-N($P68))</f>
        <v/>
      </c>
      <c r="R68" s="42" t="n"/>
      <c r="S68" s="42" t="n"/>
      <c r="T68" s="42" t="n"/>
      <c r="U68" s="43">
        <f>IF($B68="","",N($J68)-N($R68)-N($T68))</f>
        <v/>
      </c>
      <c r="V68" s="42" t="n"/>
    </row>
    <row r="69">
      <c r="A69" s="39">
        <f>IF($B69="","",COUNTA($B$4:$B69))</f>
        <v/>
      </c>
      <c r="B69" s="45" t="n"/>
      <c r="C69" s="46" t="n"/>
      <c r="D69" s="46" t="n"/>
      <c r="E69" s="46" t="n"/>
      <c r="F69" s="46" t="n"/>
      <c r="G69" s="46" t="n"/>
      <c r="H69" s="46" t="n"/>
      <c r="I69" s="51" t="n"/>
      <c r="J69" s="47" t="n"/>
      <c r="K69" s="47" t="n"/>
      <c r="L69" s="43">
        <f>IF($B69="","",ROUND((N($J69)+N($K69))*نسبة_القيمة_المضافة,2))</f>
        <v/>
      </c>
      <c r="M69" s="47" t="n"/>
      <c r="N69" s="47" t="n"/>
      <c r="O69" s="43">
        <f>IF($B69="","",N($J69)+N($K69)+N($L69)-N($M69)+N($N69))</f>
        <v/>
      </c>
      <c r="P69" s="47" t="n"/>
      <c r="Q69" s="43">
        <f>IF($B69="","",N($O69)-N($P69))</f>
        <v/>
      </c>
      <c r="R69" s="47" t="n"/>
      <c r="S69" s="47" t="n"/>
      <c r="T69" s="47" t="n"/>
      <c r="U69" s="43">
        <f>IF($B69="","",N($J69)-N($R69)-N($T69))</f>
        <v/>
      </c>
      <c r="V69" s="47" t="n"/>
    </row>
    <row r="70">
      <c r="A70" s="39">
        <f>IF($B70="","",COUNTA($B$4:$B70))</f>
        <v/>
      </c>
      <c r="B70" s="40" t="n"/>
      <c r="C70" s="41" t="n"/>
      <c r="D70" s="41" t="n"/>
      <c r="E70" s="41" t="n"/>
      <c r="F70" s="41" t="n"/>
      <c r="G70" s="41" t="n"/>
      <c r="H70" s="41" t="n"/>
      <c r="I70" s="50" t="n"/>
      <c r="J70" s="42" t="n"/>
      <c r="K70" s="42" t="n"/>
      <c r="L70" s="43">
        <f>IF($B70="","",ROUND((N($J70)+N($K70))*نسبة_القيمة_المضافة,2))</f>
        <v/>
      </c>
      <c r="M70" s="42" t="n"/>
      <c r="N70" s="42" t="n"/>
      <c r="O70" s="43">
        <f>IF($B70="","",N($J70)+N($K70)+N($L70)-N($M70)+N($N70))</f>
        <v/>
      </c>
      <c r="P70" s="42" t="n"/>
      <c r="Q70" s="43">
        <f>IF($B70="","",N($O70)-N($P70))</f>
        <v/>
      </c>
      <c r="R70" s="42" t="n"/>
      <c r="S70" s="42" t="n"/>
      <c r="T70" s="42" t="n"/>
      <c r="U70" s="43">
        <f>IF($B70="","",N($J70)-N($R70)-N($T70))</f>
        <v/>
      </c>
      <c r="V70" s="42" t="n"/>
    </row>
    <row r="71">
      <c r="A71" s="39">
        <f>IF($B71="","",COUNTA($B$4:$B71))</f>
        <v/>
      </c>
      <c r="B71" s="45" t="n"/>
      <c r="C71" s="46" t="n"/>
      <c r="D71" s="46" t="n"/>
      <c r="E71" s="46" t="n"/>
      <c r="F71" s="46" t="n"/>
      <c r="G71" s="46" t="n"/>
      <c r="H71" s="46" t="n"/>
      <c r="I71" s="51" t="n"/>
      <c r="J71" s="47" t="n"/>
      <c r="K71" s="47" t="n"/>
      <c r="L71" s="43">
        <f>IF($B71="","",ROUND((N($J71)+N($K71))*نسبة_القيمة_المضافة,2))</f>
        <v/>
      </c>
      <c r="M71" s="47" t="n"/>
      <c r="N71" s="47" t="n"/>
      <c r="O71" s="43">
        <f>IF($B71="","",N($J71)+N($K71)+N($L71)-N($M71)+N($N71))</f>
        <v/>
      </c>
      <c r="P71" s="47" t="n"/>
      <c r="Q71" s="43">
        <f>IF($B71="","",N($O71)-N($P71))</f>
        <v/>
      </c>
      <c r="R71" s="47" t="n"/>
      <c r="S71" s="47" t="n"/>
      <c r="T71" s="47" t="n"/>
      <c r="U71" s="43">
        <f>IF($B71="","",N($J71)-N($R71)-N($T71))</f>
        <v/>
      </c>
      <c r="V71" s="47" t="n"/>
    </row>
    <row r="72">
      <c r="A72" s="39">
        <f>IF($B72="","",COUNTA($B$4:$B72))</f>
        <v/>
      </c>
      <c r="B72" s="40" t="n"/>
      <c r="C72" s="41" t="n"/>
      <c r="D72" s="41" t="n"/>
      <c r="E72" s="41" t="n"/>
      <c r="F72" s="41" t="n"/>
      <c r="G72" s="41" t="n"/>
      <c r="H72" s="41" t="n"/>
      <c r="I72" s="50" t="n"/>
      <c r="J72" s="42" t="n"/>
      <c r="K72" s="42" t="n"/>
      <c r="L72" s="43">
        <f>IF($B72="","",ROUND((N($J72)+N($K72))*نسبة_القيمة_المضافة,2))</f>
        <v/>
      </c>
      <c r="M72" s="42" t="n"/>
      <c r="N72" s="42" t="n"/>
      <c r="O72" s="43">
        <f>IF($B72="","",N($J72)+N($K72)+N($L72)-N($M72)+N($N72))</f>
        <v/>
      </c>
      <c r="P72" s="42" t="n"/>
      <c r="Q72" s="43">
        <f>IF($B72="","",N($O72)-N($P72))</f>
        <v/>
      </c>
      <c r="R72" s="42" t="n"/>
      <c r="S72" s="42" t="n"/>
      <c r="T72" s="42" t="n"/>
      <c r="U72" s="43">
        <f>IF($B72="","",N($J72)-N($R72)-N($T72))</f>
        <v/>
      </c>
      <c r="V72" s="42" t="n"/>
    </row>
    <row r="73">
      <c r="A73" s="39">
        <f>IF($B73="","",COUNTA($B$4:$B73))</f>
        <v/>
      </c>
      <c r="B73" s="45" t="n"/>
      <c r="C73" s="46" t="n"/>
      <c r="D73" s="46" t="n"/>
      <c r="E73" s="46" t="n"/>
      <c r="F73" s="46" t="n"/>
      <c r="G73" s="46" t="n"/>
      <c r="H73" s="46" t="n"/>
      <c r="I73" s="51" t="n"/>
      <c r="J73" s="47" t="n"/>
      <c r="K73" s="47" t="n"/>
      <c r="L73" s="43">
        <f>IF($B73="","",ROUND((N($J73)+N($K73))*نسبة_القيمة_المضافة,2))</f>
        <v/>
      </c>
      <c r="M73" s="47" t="n"/>
      <c r="N73" s="47" t="n"/>
      <c r="O73" s="43">
        <f>IF($B73="","",N($J73)+N($K73)+N($L73)-N($M73)+N($N73))</f>
        <v/>
      </c>
      <c r="P73" s="47" t="n"/>
      <c r="Q73" s="43">
        <f>IF($B73="","",N($O73)-N($P73))</f>
        <v/>
      </c>
      <c r="R73" s="47" t="n"/>
      <c r="S73" s="47" t="n"/>
      <c r="T73" s="47" t="n"/>
      <c r="U73" s="43">
        <f>IF($B73="","",N($J73)-N($R73)-N($T73))</f>
        <v/>
      </c>
      <c r="V73" s="47" t="n"/>
    </row>
    <row r="74">
      <c r="A74" s="39">
        <f>IF($B74="","",COUNTA($B$4:$B74))</f>
        <v/>
      </c>
      <c r="B74" s="40" t="n"/>
      <c r="C74" s="41" t="n"/>
      <c r="D74" s="41" t="n"/>
      <c r="E74" s="41" t="n"/>
      <c r="F74" s="41" t="n"/>
      <c r="G74" s="41" t="n"/>
      <c r="H74" s="41" t="n"/>
      <c r="I74" s="50" t="n"/>
      <c r="J74" s="42" t="n"/>
      <c r="K74" s="42" t="n"/>
      <c r="L74" s="43">
        <f>IF($B74="","",ROUND((N($J74)+N($K74))*نسبة_القيمة_المضافة,2))</f>
        <v/>
      </c>
      <c r="M74" s="42" t="n"/>
      <c r="N74" s="42" t="n"/>
      <c r="O74" s="43">
        <f>IF($B74="","",N($J74)+N($K74)+N($L74)-N($M74)+N($N74))</f>
        <v/>
      </c>
      <c r="P74" s="42" t="n"/>
      <c r="Q74" s="43">
        <f>IF($B74="","",N($O74)-N($P74))</f>
        <v/>
      </c>
      <c r="R74" s="42" t="n"/>
      <c r="S74" s="42" t="n"/>
      <c r="T74" s="42" t="n"/>
      <c r="U74" s="43">
        <f>IF($B74="","",N($J74)-N($R74)-N($T74))</f>
        <v/>
      </c>
      <c r="V74" s="42" t="n"/>
    </row>
    <row r="75">
      <c r="A75" s="39">
        <f>IF($B75="","",COUNTA($B$4:$B75))</f>
        <v/>
      </c>
      <c r="B75" s="45" t="n"/>
      <c r="C75" s="46" t="n"/>
      <c r="D75" s="46" t="n"/>
      <c r="E75" s="46" t="n"/>
      <c r="F75" s="46" t="n"/>
      <c r="G75" s="46" t="n"/>
      <c r="H75" s="46" t="n"/>
      <c r="I75" s="51" t="n"/>
      <c r="J75" s="47" t="n"/>
      <c r="K75" s="47" t="n"/>
      <c r="L75" s="43">
        <f>IF($B75="","",ROUND((N($J75)+N($K75))*نسبة_القيمة_المضافة,2))</f>
        <v/>
      </c>
      <c r="M75" s="47" t="n"/>
      <c r="N75" s="47" t="n"/>
      <c r="O75" s="43">
        <f>IF($B75="","",N($J75)+N($K75)+N($L75)-N($M75)+N($N75))</f>
        <v/>
      </c>
      <c r="P75" s="47" t="n"/>
      <c r="Q75" s="43">
        <f>IF($B75="","",N($O75)-N($P75))</f>
        <v/>
      </c>
      <c r="R75" s="47" t="n"/>
      <c r="S75" s="47" t="n"/>
      <c r="T75" s="47" t="n"/>
      <c r="U75" s="43">
        <f>IF($B75="","",N($J75)-N($R75)-N($T75))</f>
        <v/>
      </c>
      <c r="V75" s="47" t="n"/>
    </row>
    <row r="76">
      <c r="A76" s="39">
        <f>IF($B76="","",COUNTA($B$4:$B76))</f>
        <v/>
      </c>
      <c r="B76" s="40" t="n"/>
      <c r="C76" s="41" t="n"/>
      <c r="D76" s="41" t="n"/>
      <c r="E76" s="41" t="n"/>
      <c r="F76" s="41" t="n"/>
      <c r="G76" s="41" t="n"/>
      <c r="H76" s="41" t="n"/>
      <c r="I76" s="50" t="n"/>
      <c r="J76" s="42" t="n"/>
      <c r="K76" s="42" t="n"/>
      <c r="L76" s="43">
        <f>IF($B76="","",ROUND((N($J76)+N($K76))*نسبة_القيمة_المضافة,2))</f>
        <v/>
      </c>
      <c r="M76" s="42" t="n"/>
      <c r="N76" s="42" t="n"/>
      <c r="O76" s="43">
        <f>IF($B76="","",N($J76)+N($K76)+N($L76)-N($M76)+N($N76))</f>
        <v/>
      </c>
      <c r="P76" s="42" t="n"/>
      <c r="Q76" s="43">
        <f>IF($B76="","",N($O76)-N($P76))</f>
        <v/>
      </c>
      <c r="R76" s="42" t="n"/>
      <c r="S76" s="42" t="n"/>
      <c r="T76" s="42" t="n"/>
      <c r="U76" s="43">
        <f>IF($B76="","",N($J76)-N($R76)-N($T76))</f>
        <v/>
      </c>
      <c r="V76" s="42" t="n"/>
    </row>
    <row r="77">
      <c r="A77" s="39">
        <f>IF($B77="","",COUNTA($B$4:$B77))</f>
        <v/>
      </c>
      <c r="B77" s="45" t="n"/>
      <c r="C77" s="46" t="n"/>
      <c r="D77" s="46" t="n"/>
      <c r="E77" s="46" t="n"/>
      <c r="F77" s="46" t="n"/>
      <c r="G77" s="46" t="n"/>
      <c r="H77" s="46" t="n"/>
      <c r="I77" s="51" t="n"/>
      <c r="J77" s="47" t="n"/>
      <c r="K77" s="47" t="n"/>
      <c r="L77" s="43">
        <f>IF($B77="","",ROUND((N($J77)+N($K77))*نسبة_القيمة_المضافة,2))</f>
        <v/>
      </c>
      <c r="M77" s="47" t="n"/>
      <c r="N77" s="47" t="n"/>
      <c r="O77" s="43">
        <f>IF($B77="","",N($J77)+N($K77)+N($L77)-N($M77)+N($N77))</f>
        <v/>
      </c>
      <c r="P77" s="47" t="n"/>
      <c r="Q77" s="43">
        <f>IF($B77="","",N($O77)-N($P77))</f>
        <v/>
      </c>
      <c r="R77" s="47" t="n"/>
      <c r="S77" s="47" t="n"/>
      <c r="T77" s="47" t="n"/>
      <c r="U77" s="43">
        <f>IF($B77="","",N($J77)-N($R77)-N($T77))</f>
        <v/>
      </c>
      <c r="V77" s="47" t="n"/>
    </row>
    <row r="78">
      <c r="A78" s="39">
        <f>IF($B78="","",COUNTA($B$4:$B78))</f>
        <v/>
      </c>
      <c r="B78" s="40" t="n"/>
      <c r="C78" s="41" t="n"/>
      <c r="D78" s="41" t="n"/>
      <c r="E78" s="41" t="n"/>
      <c r="F78" s="41" t="n"/>
      <c r="G78" s="41" t="n"/>
      <c r="H78" s="41" t="n"/>
      <c r="I78" s="50" t="n"/>
      <c r="J78" s="42" t="n"/>
      <c r="K78" s="42" t="n"/>
      <c r="L78" s="43">
        <f>IF($B78="","",ROUND((N($J78)+N($K78))*نسبة_القيمة_المضافة,2))</f>
        <v/>
      </c>
      <c r="M78" s="42" t="n"/>
      <c r="N78" s="42" t="n"/>
      <c r="O78" s="43">
        <f>IF($B78="","",N($J78)+N($K78)+N($L78)-N($M78)+N($N78))</f>
        <v/>
      </c>
      <c r="P78" s="42" t="n"/>
      <c r="Q78" s="43">
        <f>IF($B78="","",N($O78)-N($P78))</f>
        <v/>
      </c>
      <c r="R78" s="42" t="n"/>
      <c r="S78" s="42" t="n"/>
      <c r="T78" s="42" t="n"/>
      <c r="U78" s="43">
        <f>IF($B78="","",N($J78)-N($R78)-N($T78))</f>
        <v/>
      </c>
      <c r="V78" s="42" t="n"/>
    </row>
    <row r="79">
      <c r="A79" s="39">
        <f>IF($B79="","",COUNTA($B$4:$B79))</f>
        <v/>
      </c>
      <c r="B79" s="45" t="n"/>
      <c r="C79" s="46" t="n"/>
      <c r="D79" s="46" t="n"/>
      <c r="E79" s="46" t="n"/>
      <c r="F79" s="46" t="n"/>
      <c r="G79" s="46" t="n"/>
      <c r="H79" s="46" t="n"/>
      <c r="I79" s="51" t="n"/>
      <c r="J79" s="47" t="n"/>
      <c r="K79" s="47" t="n"/>
      <c r="L79" s="43">
        <f>IF($B79="","",ROUND((N($J79)+N($K79))*نسبة_القيمة_المضافة,2))</f>
        <v/>
      </c>
      <c r="M79" s="47" t="n"/>
      <c r="N79" s="47" t="n"/>
      <c r="O79" s="43">
        <f>IF($B79="","",N($J79)+N($K79)+N($L79)-N($M79)+N($N79))</f>
        <v/>
      </c>
      <c r="P79" s="47" t="n"/>
      <c r="Q79" s="43">
        <f>IF($B79="","",N($O79)-N($P79))</f>
        <v/>
      </c>
      <c r="R79" s="47" t="n"/>
      <c r="S79" s="47" t="n"/>
      <c r="T79" s="47" t="n"/>
      <c r="U79" s="43">
        <f>IF($B79="","",N($J79)-N($R79)-N($T79))</f>
        <v/>
      </c>
      <c r="V79" s="47" t="n"/>
    </row>
    <row r="80">
      <c r="A80" s="39">
        <f>IF($B80="","",COUNTA($B$4:$B80))</f>
        <v/>
      </c>
      <c r="B80" s="40" t="n"/>
      <c r="C80" s="41" t="n"/>
      <c r="D80" s="41" t="n"/>
      <c r="E80" s="41" t="n"/>
      <c r="F80" s="41" t="n"/>
      <c r="G80" s="41" t="n"/>
      <c r="H80" s="41" t="n"/>
      <c r="I80" s="50" t="n"/>
      <c r="J80" s="42" t="n"/>
      <c r="K80" s="42" t="n"/>
      <c r="L80" s="43">
        <f>IF($B80="","",ROUND((N($J80)+N($K80))*نسبة_القيمة_المضافة,2))</f>
        <v/>
      </c>
      <c r="M80" s="42" t="n"/>
      <c r="N80" s="42" t="n"/>
      <c r="O80" s="43">
        <f>IF($B80="","",N($J80)+N($K80)+N($L80)-N($M80)+N($N80))</f>
        <v/>
      </c>
      <c r="P80" s="42" t="n"/>
      <c r="Q80" s="43">
        <f>IF($B80="","",N($O80)-N($P80))</f>
        <v/>
      </c>
      <c r="R80" s="42" t="n"/>
      <c r="S80" s="42" t="n"/>
      <c r="T80" s="42" t="n"/>
      <c r="U80" s="43">
        <f>IF($B80="","",N($J80)-N($R80)-N($T80))</f>
        <v/>
      </c>
      <c r="V80" s="42" t="n"/>
    </row>
    <row r="81">
      <c r="A81" s="39">
        <f>IF($B81="","",COUNTA($B$4:$B81))</f>
        <v/>
      </c>
      <c r="B81" s="45" t="n"/>
      <c r="C81" s="46" t="n"/>
      <c r="D81" s="46" t="n"/>
      <c r="E81" s="46" t="n"/>
      <c r="F81" s="46" t="n"/>
      <c r="G81" s="46" t="n"/>
      <c r="H81" s="46" t="n"/>
      <c r="I81" s="51" t="n"/>
      <c r="J81" s="47" t="n"/>
      <c r="K81" s="47" t="n"/>
      <c r="L81" s="43">
        <f>IF($B81="","",ROUND((N($J81)+N($K81))*نسبة_القيمة_المضافة,2))</f>
        <v/>
      </c>
      <c r="M81" s="47" t="n"/>
      <c r="N81" s="47" t="n"/>
      <c r="O81" s="43">
        <f>IF($B81="","",N($J81)+N($K81)+N($L81)-N($M81)+N($N81))</f>
        <v/>
      </c>
      <c r="P81" s="47" t="n"/>
      <c r="Q81" s="43">
        <f>IF($B81="","",N($O81)-N($P81))</f>
        <v/>
      </c>
      <c r="R81" s="47" t="n"/>
      <c r="S81" s="47" t="n"/>
      <c r="T81" s="47" t="n"/>
      <c r="U81" s="43">
        <f>IF($B81="","",N($J81)-N($R81)-N($T81))</f>
        <v/>
      </c>
      <c r="V81" s="47" t="n"/>
    </row>
    <row r="82">
      <c r="A82" s="39">
        <f>IF($B82="","",COUNTA($B$4:$B82))</f>
        <v/>
      </c>
      <c r="B82" s="40" t="n"/>
      <c r="C82" s="41" t="n"/>
      <c r="D82" s="41" t="n"/>
      <c r="E82" s="41" t="n"/>
      <c r="F82" s="41" t="n"/>
      <c r="G82" s="41" t="n"/>
      <c r="H82" s="41" t="n"/>
      <c r="I82" s="50" t="n"/>
      <c r="J82" s="42" t="n"/>
      <c r="K82" s="42" t="n"/>
      <c r="L82" s="43">
        <f>IF($B82="","",ROUND((N($J82)+N($K82))*نسبة_القيمة_المضافة,2))</f>
        <v/>
      </c>
      <c r="M82" s="42" t="n"/>
      <c r="N82" s="42" t="n"/>
      <c r="O82" s="43">
        <f>IF($B82="","",N($J82)+N($K82)+N($L82)-N($M82)+N($N82))</f>
        <v/>
      </c>
      <c r="P82" s="42" t="n"/>
      <c r="Q82" s="43">
        <f>IF($B82="","",N($O82)-N($P82))</f>
        <v/>
      </c>
      <c r="R82" s="42" t="n"/>
      <c r="S82" s="42" t="n"/>
      <c r="T82" s="42" t="n"/>
      <c r="U82" s="43">
        <f>IF($B82="","",N($J82)-N($R82)-N($T82))</f>
        <v/>
      </c>
      <c r="V82" s="42" t="n"/>
    </row>
    <row r="83">
      <c r="A83" s="39">
        <f>IF($B83="","",COUNTA($B$4:$B83))</f>
        <v/>
      </c>
      <c r="B83" s="45" t="n"/>
      <c r="C83" s="46" t="n"/>
      <c r="D83" s="46" t="n"/>
      <c r="E83" s="46" t="n"/>
      <c r="F83" s="46" t="n"/>
      <c r="G83" s="46" t="n"/>
      <c r="H83" s="46" t="n"/>
      <c r="I83" s="51" t="n"/>
      <c r="J83" s="47" t="n"/>
      <c r="K83" s="47" t="n"/>
      <c r="L83" s="43">
        <f>IF($B83="","",ROUND((N($J83)+N($K83))*نسبة_القيمة_المضافة,2))</f>
        <v/>
      </c>
      <c r="M83" s="47" t="n"/>
      <c r="N83" s="47" t="n"/>
      <c r="O83" s="43">
        <f>IF($B83="","",N($J83)+N($K83)+N($L83)-N($M83)+N($N83))</f>
        <v/>
      </c>
      <c r="P83" s="47" t="n"/>
      <c r="Q83" s="43">
        <f>IF($B83="","",N($O83)-N($P83))</f>
        <v/>
      </c>
      <c r="R83" s="47" t="n"/>
      <c r="S83" s="47" t="n"/>
      <c r="T83" s="47" t="n"/>
      <c r="U83" s="43">
        <f>IF($B83="","",N($J83)-N($R83)-N($T83))</f>
        <v/>
      </c>
      <c r="V83" s="47" t="n"/>
    </row>
    <row r="84">
      <c r="A84" s="39">
        <f>IF($B84="","",COUNTA($B$4:$B84))</f>
        <v/>
      </c>
      <c r="B84" s="40" t="n"/>
      <c r="C84" s="41" t="n"/>
      <c r="D84" s="41" t="n"/>
      <c r="E84" s="41" t="n"/>
      <c r="F84" s="41" t="n"/>
      <c r="G84" s="41" t="n"/>
      <c r="H84" s="41" t="n"/>
      <c r="I84" s="50" t="n"/>
      <c r="J84" s="42" t="n"/>
      <c r="K84" s="42" t="n"/>
      <c r="L84" s="43">
        <f>IF($B84="","",ROUND((N($J84)+N($K84))*نسبة_القيمة_المضافة,2))</f>
        <v/>
      </c>
      <c r="M84" s="42" t="n"/>
      <c r="N84" s="42" t="n"/>
      <c r="O84" s="43">
        <f>IF($B84="","",N($J84)+N($K84)+N($L84)-N($M84)+N($N84))</f>
        <v/>
      </c>
      <c r="P84" s="42" t="n"/>
      <c r="Q84" s="43">
        <f>IF($B84="","",N($O84)-N($P84))</f>
        <v/>
      </c>
      <c r="R84" s="42" t="n"/>
      <c r="S84" s="42" t="n"/>
      <c r="T84" s="42" t="n"/>
      <c r="U84" s="43">
        <f>IF($B84="","",N($J84)-N($R84)-N($T84))</f>
        <v/>
      </c>
      <c r="V84" s="42" t="n"/>
    </row>
    <row r="85">
      <c r="A85" s="39">
        <f>IF($B85="","",COUNTA($B$4:$B85))</f>
        <v/>
      </c>
      <c r="B85" s="45" t="n"/>
      <c r="C85" s="46" t="n"/>
      <c r="D85" s="46" t="n"/>
      <c r="E85" s="46" t="n"/>
      <c r="F85" s="46" t="n"/>
      <c r="G85" s="46" t="n"/>
      <c r="H85" s="46" t="n"/>
      <c r="I85" s="51" t="n"/>
      <c r="J85" s="47" t="n"/>
      <c r="K85" s="47" t="n"/>
      <c r="L85" s="43">
        <f>IF($B85="","",ROUND((N($J85)+N($K85))*نسبة_القيمة_المضافة,2))</f>
        <v/>
      </c>
      <c r="M85" s="47" t="n"/>
      <c r="N85" s="47" t="n"/>
      <c r="O85" s="43">
        <f>IF($B85="","",N($J85)+N($K85)+N($L85)-N($M85)+N($N85))</f>
        <v/>
      </c>
      <c r="P85" s="47" t="n"/>
      <c r="Q85" s="43">
        <f>IF($B85="","",N($O85)-N($P85))</f>
        <v/>
      </c>
      <c r="R85" s="47" t="n"/>
      <c r="S85" s="47" t="n"/>
      <c r="T85" s="47" t="n"/>
      <c r="U85" s="43">
        <f>IF($B85="","",N($J85)-N($R85)-N($T85))</f>
        <v/>
      </c>
      <c r="V85" s="47" t="n"/>
    </row>
    <row r="86">
      <c r="A86" s="39">
        <f>IF($B86="","",COUNTA($B$4:$B86))</f>
        <v/>
      </c>
      <c r="B86" s="40" t="n"/>
      <c r="C86" s="41" t="n"/>
      <c r="D86" s="41" t="n"/>
      <c r="E86" s="41" t="n"/>
      <c r="F86" s="41" t="n"/>
      <c r="G86" s="41" t="n"/>
      <c r="H86" s="41" t="n"/>
      <c r="I86" s="50" t="n"/>
      <c r="J86" s="42" t="n"/>
      <c r="K86" s="42" t="n"/>
      <c r="L86" s="43">
        <f>IF($B86="","",ROUND((N($J86)+N($K86))*نسبة_القيمة_المضافة,2))</f>
        <v/>
      </c>
      <c r="M86" s="42" t="n"/>
      <c r="N86" s="42" t="n"/>
      <c r="O86" s="43">
        <f>IF($B86="","",N($J86)+N($K86)+N($L86)-N($M86)+N($N86))</f>
        <v/>
      </c>
      <c r="P86" s="42" t="n"/>
      <c r="Q86" s="43">
        <f>IF($B86="","",N($O86)-N($P86))</f>
        <v/>
      </c>
      <c r="R86" s="42" t="n"/>
      <c r="S86" s="42" t="n"/>
      <c r="T86" s="42" t="n"/>
      <c r="U86" s="43">
        <f>IF($B86="","",N($J86)-N($R86)-N($T86))</f>
        <v/>
      </c>
      <c r="V86" s="42" t="n"/>
    </row>
    <row r="87">
      <c r="A87" s="39">
        <f>IF($B87="","",COUNTA($B$4:$B87))</f>
        <v/>
      </c>
      <c r="B87" s="45" t="n"/>
      <c r="C87" s="46" t="n"/>
      <c r="D87" s="46" t="n"/>
      <c r="E87" s="46" t="n"/>
      <c r="F87" s="46" t="n"/>
      <c r="G87" s="46" t="n"/>
      <c r="H87" s="46" t="n"/>
      <c r="I87" s="51" t="n"/>
      <c r="J87" s="47" t="n"/>
      <c r="K87" s="47" t="n"/>
      <c r="L87" s="43">
        <f>IF($B87="","",ROUND((N($J87)+N($K87))*نسبة_القيمة_المضافة,2))</f>
        <v/>
      </c>
      <c r="M87" s="47" t="n"/>
      <c r="N87" s="47" t="n"/>
      <c r="O87" s="43">
        <f>IF($B87="","",N($J87)+N($K87)+N($L87)-N($M87)+N($N87))</f>
        <v/>
      </c>
      <c r="P87" s="47" t="n"/>
      <c r="Q87" s="43">
        <f>IF($B87="","",N($O87)-N($P87))</f>
        <v/>
      </c>
      <c r="R87" s="47" t="n"/>
      <c r="S87" s="47" t="n"/>
      <c r="T87" s="47" t="n"/>
      <c r="U87" s="43">
        <f>IF($B87="","",N($J87)-N($R87)-N($T87))</f>
        <v/>
      </c>
      <c r="V87" s="47" t="n"/>
    </row>
    <row r="88">
      <c r="A88" s="39">
        <f>IF($B88="","",COUNTA($B$4:$B88))</f>
        <v/>
      </c>
      <c r="B88" s="40" t="n"/>
      <c r="C88" s="41" t="n"/>
      <c r="D88" s="41" t="n"/>
      <c r="E88" s="41" t="n"/>
      <c r="F88" s="41" t="n"/>
      <c r="G88" s="41" t="n"/>
      <c r="H88" s="41" t="n"/>
      <c r="I88" s="50" t="n"/>
      <c r="J88" s="42" t="n"/>
      <c r="K88" s="42" t="n"/>
      <c r="L88" s="43">
        <f>IF($B88="","",ROUND((N($J88)+N($K88))*نسبة_القيمة_المضافة,2))</f>
        <v/>
      </c>
      <c r="M88" s="42" t="n"/>
      <c r="N88" s="42" t="n"/>
      <c r="O88" s="43">
        <f>IF($B88="","",N($J88)+N($K88)+N($L88)-N($M88)+N($N88))</f>
        <v/>
      </c>
      <c r="P88" s="42" t="n"/>
      <c r="Q88" s="43">
        <f>IF($B88="","",N($O88)-N($P88))</f>
        <v/>
      </c>
      <c r="R88" s="42" t="n"/>
      <c r="S88" s="42" t="n"/>
      <c r="T88" s="42" t="n"/>
      <c r="U88" s="43">
        <f>IF($B88="","",N($J88)-N($R88)-N($T88))</f>
        <v/>
      </c>
      <c r="V88" s="42" t="n"/>
    </row>
    <row r="89">
      <c r="A89" s="39">
        <f>IF($B89="","",COUNTA($B$4:$B89))</f>
        <v/>
      </c>
      <c r="B89" s="45" t="n"/>
      <c r="C89" s="46" t="n"/>
      <c r="D89" s="46" t="n"/>
      <c r="E89" s="46" t="n"/>
      <c r="F89" s="46" t="n"/>
      <c r="G89" s="46" t="n"/>
      <c r="H89" s="46" t="n"/>
      <c r="I89" s="51" t="n"/>
      <c r="J89" s="47" t="n"/>
      <c r="K89" s="47" t="n"/>
      <c r="L89" s="43">
        <f>IF($B89="","",ROUND((N($J89)+N($K89))*نسبة_القيمة_المضافة,2))</f>
        <v/>
      </c>
      <c r="M89" s="47" t="n"/>
      <c r="N89" s="47" t="n"/>
      <c r="O89" s="43">
        <f>IF($B89="","",N($J89)+N($K89)+N($L89)-N($M89)+N($N89))</f>
        <v/>
      </c>
      <c r="P89" s="47" t="n"/>
      <c r="Q89" s="43">
        <f>IF($B89="","",N($O89)-N($P89))</f>
        <v/>
      </c>
      <c r="R89" s="47" t="n"/>
      <c r="S89" s="47" t="n"/>
      <c r="T89" s="47" t="n"/>
      <c r="U89" s="43">
        <f>IF($B89="","",N($J89)-N($R89)-N($T89))</f>
        <v/>
      </c>
      <c r="V89" s="47" t="n"/>
    </row>
    <row r="90">
      <c r="A90" s="39">
        <f>IF($B90="","",COUNTA($B$4:$B90))</f>
        <v/>
      </c>
      <c r="B90" s="40" t="n"/>
      <c r="C90" s="41" t="n"/>
      <c r="D90" s="41" t="n"/>
      <c r="E90" s="41" t="n"/>
      <c r="F90" s="41" t="n"/>
      <c r="G90" s="41" t="n"/>
      <c r="H90" s="41" t="n"/>
      <c r="I90" s="50" t="n"/>
      <c r="J90" s="42" t="n"/>
      <c r="K90" s="42" t="n"/>
      <c r="L90" s="43">
        <f>IF($B90="","",ROUND((N($J90)+N($K90))*نسبة_القيمة_المضافة,2))</f>
        <v/>
      </c>
      <c r="M90" s="42" t="n"/>
      <c r="N90" s="42" t="n"/>
      <c r="O90" s="43">
        <f>IF($B90="","",N($J90)+N($K90)+N($L90)-N($M90)+N($N90))</f>
        <v/>
      </c>
      <c r="P90" s="42" t="n"/>
      <c r="Q90" s="43">
        <f>IF($B90="","",N($O90)-N($P90))</f>
        <v/>
      </c>
      <c r="R90" s="42" t="n"/>
      <c r="S90" s="42" t="n"/>
      <c r="T90" s="42" t="n"/>
      <c r="U90" s="43">
        <f>IF($B90="","",N($J90)-N($R90)-N($T90))</f>
        <v/>
      </c>
      <c r="V90" s="42" t="n"/>
    </row>
    <row r="91">
      <c r="A91" s="39">
        <f>IF($B91="","",COUNTA($B$4:$B91))</f>
        <v/>
      </c>
      <c r="B91" s="45" t="n"/>
      <c r="C91" s="46" t="n"/>
      <c r="D91" s="46" t="n"/>
      <c r="E91" s="46" t="n"/>
      <c r="F91" s="46" t="n"/>
      <c r="G91" s="46" t="n"/>
      <c r="H91" s="46" t="n"/>
      <c r="I91" s="51" t="n"/>
      <c r="J91" s="47" t="n"/>
      <c r="K91" s="47" t="n"/>
      <c r="L91" s="43">
        <f>IF($B91="","",ROUND((N($J91)+N($K91))*نسبة_القيمة_المضافة,2))</f>
        <v/>
      </c>
      <c r="M91" s="47" t="n"/>
      <c r="N91" s="47" t="n"/>
      <c r="O91" s="43">
        <f>IF($B91="","",N($J91)+N($K91)+N($L91)-N($M91)+N($N91))</f>
        <v/>
      </c>
      <c r="P91" s="47" t="n"/>
      <c r="Q91" s="43">
        <f>IF($B91="","",N($O91)-N($P91))</f>
        <v/>
      </c>
      <c r="R91" s="47" t="n"/>
      <c r="S91" s="47" t="n"/>
      <c r="T91" s="47" t="n"/>
      <c r="U91" s="43">
        <f>IF($B91="","",N($J91)-N($R91)-N($T91))</f>
        <v/>
      </c>
      <c r="V91" s="47" t="n"/>
    </row>
    <row r="92">
      <c r="A92" s="39">
        <f>IF($B92="","",COUNTA($B$4:$B92))</f>
        <v/>
      </c>
      <c r="B92" s="40" t="n"/>
      <c r="C92" s="41" t="n"/>
      <c r="D92" s="41" t="n"/>
      <c r="E92" s="41" t="n"/>
      <c r="F92" s="41" t="n"/>
      <c r="G92" s="41" t="n"/>
      <c r="H92" s="41" t="n"/>
      <c r="I92" s="50" t="n"/>
      <c r="J92" s="42" t="n"/>
      <c r="K92" s="42" t="n"/>
      <c r="L92" s="43">
        <f>IF($B92="","",ROUND((N($J92)+N($K92))*نسبة_القيمة_المضافة,2))</f>
        <v/>
      </c>
      <c r="M92" s="42" t="n"/>
      <c r="N92" s="42" t="n"/>
      <c r="O92" s="43">
        <f>IF($B92="","",N($J92)+N($K92)+N($L92)-N($M92)+N($N92))</f>
        <v/>
      </c>
      <c r="P92" s="42" t="n"/>
      <c r="Q92" s="43">
        <f>IF($B92="","",N($O92)-N($P92))</f>
        <v/>
      </c>
      <c r="R92" s="42" t="n"/>
      <c r="S92" s="42" t="n"/>
      <c r="T92" s="42" t="n"/>
      <c r="U92" s="43">
        <f>IF($B92="","",N($J92)-N($R92)-N($T92))</f>
        <v/>
      </c>
      <c r="V92" s="42" t="n"/>
    </row>
    <row r="93">
      <c r="A93" s="39">
        <f>IF($B93="","",COUNTA($B$4:$B93))</f>
        <v/>
      </c>
      <c r="B93" s="45" t="n"/>
      <c r="C93" s="46" t="n"/>
      <c r="D93" s="46" t="n"/>
      <c r="E93" s="46" t="n"/>
      <c r="F93" s="46" t="n"/>
      <c r="G93" s="46" t="n"/>
      <c r="H93" s="46" t="n"/>
      <c r="I93" s="51" t="n"/>
      <c r="J93" s="47" t="n"/>
      <c r="K93" s="47" t="n"/>
      <c r="L93" s="43">
        <f>IF($B93="","",ROUND((N($J93)+N($K93))*نسبة_القيمة_المضافة,2))</f>
        <v/>
      </c>
      <c r="M93" s="47" t="n"/>
      <c r="N93" s="47" t="n"/>
      <c r="O93" s="43">
        <f>IF($B93="","",N($J93)+N($K93)+N($L93)-N($M93)+N($N93))</f>
        <v/>
      </c>
      <c r="P93" s="47" t="n"/>
      <c r="Q93" s="43">
        <f>IF($B93="","",N($O93)-N($P93))</f>
        <v/>
      </c>
      <c r="R93" s="47" t="n"/>
      <c r="S93" s="47" t="n"/>
      <c r="T93" s="47" t="n"/>
      <c r="U93" s="43">
        <f>IF($B93="","",N($J93)-N($R93)-N($T93))</f>
        <v/>
      </c>
      <c r="V93" s="47" t="n"/>
    </row>
    <row r="94">
      <c r="A94" s="39">
        <f>IF($B94="","",COUNTA($B$4:$B94))</f>
        <v/>
      </c>
      <c r="B94" s="40" t="n"/>
      <c r="C94" s="41" t="n"/>
      <c r="D94" s="41" t="n"/>
      <c r="E94" s="41" t="n"/>
      <c r="F94" s="41" t="n"/>
      <c r="G94" s="41" t="n"/>
      <c r="H94" s="41" t="n"/>
      <c r="I94" s="50" t="n"/>
      <c r="J94" s="42" t="n"/>
      <c r="K94" s="42" t="n"/>
      <c r="L94" s="43">
        <f>IF($B94="","",ROUND((N($J94)+N($K94))*نسبة_القيمة_المضافة,2))</f>
        <v/>
      </c>
      <c r="M94" s="42" t="n"/>
      <c r="N94" s="42" t="n"/>
      <c r="O94" s="43">
        <f>IF($B94="","",N($J94)+N($K94)+N($L94)-N($M94)+N($N94))</f>
        <v/>
      </c>
      <c r="P94" s="42" t="n"/>
      <c r="Q94" s="43">
        <f>IF($B94="","",N($O94)-N($P94))</f>
        <v/>
      </c>
      <c r="R94" s="42" t="n"/>
      <c r="S94" s="42" t="n"/>
      <c r="T94" s="42" t="n"/>
      <c r="U94" s="43">
        <f>IF($B94="","",N($J94)-N($R94)-N($T94))</f>
        <v/>
      </c>
      <c r="V94" s="42" t="n"/>
    </row>
    <row r="95">
      <c r="A95" s="39">
        <f>IF($B95="","",COUNTA($B$4:$B95))</f>
        <v/>
      </c>
      <c r="B95" s="45" t="n"/>
      <c r="C95" s="46" t="n"/>
      <c r="D95" s="46" t="n"/>
      <c r="E95" s="46" t="n"/>
      <c r="F95" s="46" t="n"/>
      <c r="G95" s="46" t="n"/>
      <c r="H95" s="46" t="n"/>
      <c r="I95" s="51" t="n"/>
      <c r="J95" s="47" t="n"/>
      <c r="K95" s="47" t="n"/>
      <c r="L95" s="43">
        <f>IF($B95="","",ROUND((N($J95)+N($K95))*نسبة_القيمة_المضافة,2))</f>
        <v/>
      </c>
      <c r="M95" s="47" t="n"/>
      <c r="N95" s="47" t="n"/>
      <c r="O95" s="43">
        <f>IF($B95="","",N($J95)+N($K95)+N($L95)-N($M95)+N($N95))</f>
        <v/>
      </c>
      <c r="P95" s="47" t="n"/>
      <c r="Q95" s="43">
        <f>IF($B95="","",N($O95)-N($P95))</f>
        <v/>
      </c>
      <c r="R95" s="47" t="n"/>
      <c r="S95" s="47" t="n"/>
      <c r="T95" s="47" t="n"/>
      <c r="U95" s="43">
        <f>IF($B95="","",N($J95)-N($R95)-N($T95))</f>
        <v/>
      </c>
      <c r="V95" s="47" t="n"/>
    </row>
    <row r="96">
      <c r="A96" s="39">
        <f>IF($B96="","",COUNTA($B$4:$B96))</f>
        <v/>
      </c>
      <c r="B96" s="40" t="n"/>
      <c r="C96" s="41" t="n"/>
      <c r="D96" s="41" t="n"/>
      <c r="E96" s="41" t="n"/>
      <c r="F96" s="41" t="n"/>
      <c r="G96" s="41" t="n"/>
      <c r="H96" s="41" t="n"/>
      <c r="I96" s="50" t="n"/>
      <c r="J96" s="42" t="n"/>
      <c r="K96" s="42" t="n"/>
      <c r="L96" s="43">
        <f>IF($B96="","",ROUND((N($J96)+N($K96))*نسبة_القيمة_المضافة,2))</f>
        <v/>
      </c>
      <c r="M96" s="42" t="n"/>
      <c r="N96" s="42" t="n"/>
      <c r="O96" s="43">
        <f>IF($B96="","",N($J96)+N($K96)+N($L96)-N($M96)+N($N96))</f>
        <v/>
      </c>
      <c r="P96" s="42" t="n"/>
      <c r="Q96" s="43">
        <f>IF($B96="","",N($O96)-N($P96))</f>
        <v/>
      </c>
      <c r="R96" s="42" t="n"/>
      <c r="S96" s="42" t="n"/>
      <c r="T96" s="42" t="n"/>
      <c r="U96" s="43">
        <f>IF($B96="","",N($J96)-N($R96)-N($T96))</f>
        <v/>
      </c>
      <c r="V96" s="42" t="n"/>
    </row>
    <row r="97">
      <c r="A97" s="39">
        <f>IF($B97="","",COUNTA($B$4:$B97))</f>
        <v/>
      </c>
      <c r="B97" s="45" t="n"/>
      <c r="C97" s="46" t="n"/>
      <c r="D97" s="46" t="n"/>
      <c r="E97" s="46" t="n"/>
      <c r="F97" s="46" t="n"/>
      <c r="G97" s="46" t="n"/>
      <c r="H97" s="46" t="n"/>
      <c r="I97" s="51" t="n"/>
      <c r="J97" s="47" t="n"/>
      <c r="K97" s="47" t="n"/>
      <c r="L97" s="43">
        <f>IF($B97="","",ROUND((N($J97)+N($K97))*نسبة_القيمة_المضافة,2))</f>
        <v/>
      </c>
      <c r="M97" s="47" t="n"/>
      <c r="N97" s="47" t="n"/>
      <c r="O97" s="43">
        <f>IF($B97="","",N($J97)+N($K97)+N($L97)-N($M97)+N($N97))</f>
        <v/>
      </c>
      <c r="P97" s="47" t="n"/>
      <c r="Q97" s="43">
        <f>IF($B97="","",N($O97)-N($P97))</f>
        <v/>
      </c>
      <c r="R97" s="47" t="n"/>
      <c r="S97" s="47" t="n"/>
      <c r="T97" s="47" t="n"/>
      <c r="U97" s="43">
        <f>IF($B97="","",N($J97)-N($R97)-N($T97))</f>
        <v/>
      </c>
      <c r="V97" s="47" t="n"/>
    </row>
    <row r="98">
      <c r="A98" s="39">
        <f>IF($B98="","",COUNTA($B$4:$B98))</f>
        <v/>
      </c>
      <c r="B98" s="40" t="n"/>
      <c r="C98" s="41" t="n"/>
      <c r="D98" s="41" t="n"/>
      <c r="E98" s="41" t="n"/>
      <c r="F98" s="41" t="n"/>
      <c r="G98" s="41" t="n"/>
      <c r="H98" s="41" t="n"/>
      <c r="I98" s="50" t="n"/>
      <c r="J98" s="42" t="n"/>
      <c r="K98" s="42" t="n"/>
      <c r="L98" s="43">
        <f>IF($B98="","",ROUND((N($J98)+N($K98))*نسبة_القيمة_المضافة,2))</f>
        <v/>
      </c>
      <c r="M98" s="42" t="n"/>
      <c r="N98" s="42" t="n"/>
      <c r="O98" s="43">
        <f>IF($B98="","",N($J98)+N($K98)+N($L98)-N($M98)+N($N98))</f>
        <v/>
      </c>
      <c r="P98" s="42" t="n"/>
      <c r="Q98" s="43">
        <f>IF($B98="","",N($O98)-N($P98))</f>
        <v/>
      </c>
      <c r="R98" s="42" t="n"/>
      <c r="S98" s="42" t="n"/>
      <c r="T98" s="42" t="n"/>
      <c r="U98" s="43">
        <f>IF($B98="","",N($J98)-N($R98)-N($T98))</f>
        <v/>
      </c>
      <c r="V98" s="42" t="n"/>
    </row>
    <row r="99">
      <c r="A99" s="39">
        <f>IF($B99="","",COUNTA($B$4:$B99))</f>
        <v/>
      </c>
      <c r="B99" s="45" t="n"/>
      <c r="C99" s="46" t="n"/>
      <c r="D99" s="46" t="n"/>
      <c r="E99" s="46" t="n"/>
      <c r="F99" s="46" t="n"/>
      <c r="G99" s="46" t="n"/>
      <c r="H99" s="46" t="n"/>
      <c r="I99" s="51" t="n"/>
      <c r="J99" s="47" t="n"/>
      <c r="K99" s="47" t="n"/>
      <c r="L99" s="43">
        <f>IF($B99="","",ROUND((N($J99)+N($K99))*نسبة_القيمة_المضافة,2))</f>
        <v/>
      </c>
      <c r="M99" s="47" t="n"/>
      <c r="N99" s="47" t="n"/>
      <c r="O99" s="43">
        <f>IF($B99="","",N($J99)+N($K99)+N($L99)-N($M99)+N($N99))</f>
        <v/>
      </c>
      <c r="P99" s="47" t="n"/>
      <c r="Q99" s="43">
        <f>IF($B99="","",N($O99)-N($P99))</f>
        <v/>
      </c>
      <c r="R99" s="47" t="n"/>
      <c r="S99" s="47" t="n"/>
      <c r="T99" s="47" t="n"/>
      <c r="U99" s="43">
        <f>IF($B99="","",N($J99)-N($R99)-N($T99))</f>
        <v/>
      </c>
      <c r="V99" s="47" t="n"/>
    </row>
    <row r="100">
      <c r="A100" s="39">
        <f>IF($B100="","",COUNTA($B$4:$B100))</f>
        <v/>
      </c>
      <c r="B100" s="40" t="n"/>
      <c r="C100" s="41" t="n"/>
      <c r="D100" s="41" t="n"/>
      <c r="E100" s="41" t="n"/>
      <c r="F100" s="41" t="n"/>
      <c r="G100" s="41" t="n"/>
      <c r="H100" s="41" t="n"/>
      <c r="I100" s="50" t="n"/>
      <c r="J100" s="42" t="n"/>
      <c r="K100" s="42" t="n"/>
      <c r="L100" s="43">
        <f>IF($B100="","",ROUND((N($J100)+N($K100))*نسبة_القيمة_المضافة,2))</f>
        <v/>
      </c>
      <c r="M100" s="42" t="n"/>
      <c r="N100" s="42" t="n"/>
      <c r="O100" s="43">
        <f>IF($B100="","",N($J100)+N($K100)+N($L100)-N($M100)+N($N100))</f>
        <v/>
      </c>
      <c r="P100" s="42" t="n"/>
      <c r="Q100" s="43">
        <f>IF($B100="","",N($O100)-N($P100))</f>
        <v/>
      </c>
      <c r="R100" s="42" t="n"/>
      <c r="S100" s="42" t="n"/>
      <c r="T100" s="42" t="n"/>
      <c r="U100" s="43">
        <f>IF($B100="","",N($J100)-N($R100)-N($T100))</f>
        <v/>
      </c>
      <c r="V100" s="42" t="n"/>
    </row>
    <row r="101">
      <c r="A101" s="39">
        <f>IF($B101="","",COUNTA($B$4:$B101))</f>
        <v/>
      </c>
      <c r="B101" s="45" t="n"/>
      <c r="C101" s="46" t="n"/>
      <c r="D101" s="46" t="n"/>
      <c r="E101" s="46" t="n"/>
      <c r="F101" s="46" t="n"/>
      <c r="G101" s="46" t="n"/>
      <c r="H101" s="46" t="n"/>
      <c r="I101" s="51" t="n"/>
      <c r="J101" s="47" t="n"/>
      <c r="K101" s="47" t="n"/>
      <c r="L101" s="43">
        <f>IF($B101="","",ROUND((N($J101)+N($K101))*نسبة_القيمة_المضافة,2))</f>
        <v/>
      </c>
      <c r="M101" s="47" t="n"/>
      <c r="N101" s="47" t="n"/>
      <c r="O101" s="43">
        <f>IF($B101="","",N($J101)+N($K101)+N($L101)-N($M101)+N($N101))</f>
        <v/>
      </c>
      <c r="P101" s="47" t="n"/>
      <c r="Q101" s="43">
        <f>IF($B101="","",N($O101)-N($P101))</f>
        <v/>
      </c>
      <c r="R101" s="47" t="n"/>
      <c r="S101" s="47" t="n"/>
      <c r="T101" s="47" t="n"/>
      <c r="U101" s="43">
        <f>IF($B101="","",N($J101)-N($R101)-N($T101))</f>
        <v/>
      </c>
      <c r="V101" s="47" t="n"/>
    </row>
    <row r="102">
      <c r="A102" s="39">
        <f>IF($B102="","",COUNTA($B$4:$B102))</f>
        <v/>
      </c>
      <c r="B102" s="40" t="n"/>
      <c r="C102" s="41" t="n"/>
      <c r="D102" s="41" t="n"/>
      <c r="E102" s="41" t="n"/>
      <c r="F102" s="41" t="n"/>
      <c r="G102" s="41" t="n"/>
      <c r="H102" s="41" t="n"/>
      <c r="I102" s="50" t="n"/>
      <c r="J102" s="42" t="n"/>
      <c r="K102" s="42" t="n"/>
      <c r="L102" s="43">
        <f>IF($B102="","",ROUND((N($J102)+N($K102))*نسبة_القيمة_المضافة,2))</f>
        <v/>
      </c>
      <c r="M102" s="42" t="n"/>
      <c r="N102" s="42" t="n"/>
      <c r="O102" s="43">
        <f>IF($B102="","",N($J102)+N($K102)+N($L102)-N($M102)+N($N102))</f>
        <v/>
      </c>
      <c r="P102" s="42" t="n"/>
      <c r="Q102" s="43">
        <f>IF($B102="","",N($O102)-N($P102))</f>
        <v/>
      </c>
      <c r="R102" s="42" t="n"/>
      <c r="S102" s="42" t="n"/>
      <c r="T102" s="42" t="n"/>
      <c r="U102" s="43">
        <f>IF($B102="","",N($J102)-N($R102)-N($T102))</f>
        <v/>
      </c>
      <c r="V102" s="42" t="n"/>
    </row>
    <row r="103">
      <c r="A103" s="39">
        <f>IF($B103="","",COUNTA($B$4:$B103))</f>
        <v/>
      </c>
      <c r="B103" s="45" t="n"/>
      <c r="C103" s="46" t="n"/>
      <c r="D103" s="46" t="n"/>
      <c r="E103" s="46" t="n"/>
      <c r="F103" s="46" t="n"/>
      <c r="G103" s="46" t="n"/>
      <c r="H103" s="46" t="n"/>
      <c r="I103" s="51" t="n"/>
      <c r="J103" s="47" t="n"/>
      <c r="K103" s="47" t="n"/>
      <c r="L103" s="43">
        <f>IF($B103="","",ROUND((N($J103)+N($K103))*نسبة_القيمة_المضافة,2))</f>
        <v/>
      </c>
      <c r="M103" s="47" t="n"/>
      <c r="N103" s="47" t="n"/>
      <c r="O103" s="43">
        <f>IF($B103="","",N($J103)+N($K103)+N($L103)-N($M103)+N($N103))</f>
        <v/>
      </c>
      <c r="P103" s="47" t="n"/>
      <c r="Q103" s="43">
        <f>IF($B103="","",N($O103)-N($P103))</f>
        <v/>
      </c>
      <c r="R103" s="47" t="n"/>
      <c r="S103" s="47" t="n"/>
      <c r="T103" s="47" t="n"/>
      <c r="U103" s="43">
        <f>IF($B103="","",N($J103)-N($R103)-N($T103))</f>
        <v/>
      </c>
      <c r="V103" s="47" t="n"/>
    </row>
    <row r="104">
      <c r="A104" s="39">
        <f>IF($B104="","",COUNTA($B$4:$B104))</f>
        <v/>
      </c>
      <c r="B104" s="40" t="n"/>
      <c r="C104" s="41" t="n"/>
      <c r="D104" s="41" t="n"/>
      <c r="E104" s="41" t="n"/>
      <c r="F104" s="41" t="n"/>
      <c r="G104" s="41" t="n"/>
      <c r="H104" s="41" t="n"/>
      <c r="I104" s="50" t="n"/>
      <c r="J104" s="42" t="n"/>
      <c r="K104" s="42" t="n"/>
      <c r="L104" s="43">
        <f>IF($B104="","",ROUND((N($J104)+N($K104))*نسبة_القيمة_المضافة,2))</f>
        <v/>
      </c>
      <c r="M104" s="42" t="n"/>
      <c r="N104" s="42" t="n"/>
      <c r="O104" s="43">
        <f>IF($B104="","",N($J104)+N($K104)+N($L104)-N($M104)+N($N104))</f>
        <v/>
      </c>
      <c r="P104" s="42" t="n"/>
      <c r="Q104" s="43">
        <f>IF($B104="","",N($O104)-N($P104))</f>
        <v/>
      </c>
      <c r="R104" s="42" t="n"/>
      <c r="S104" s="42" t="n"/>
      <c r="T104" s="42" t="n"/>
      <c r="U104" s="43">
        <f>IF($B104="","",N($J104)-N($R104)-N($T104))</f>
        <v/>
      </c>
      <c r="V104" s="42" t="n"/>
    </row>
    <row r="105">
      <c r="A105" s="39">
        <f>IF($B105="","",COUNTA($B$4:$B105))</f>
        <v/>
      </c>
      <c r="B105" s="45" t="n"/>
      <c r="C105" s="46" t="n"/>
      <c r="D105" s="46" t="n"/>
      <c r="E105" s="46" t="n"/>
      <c r="F105" s="46" t="n"/>
      <c r="G105" s="46" t="n"/>
      <c r="H105" s="46" t="n"/>
      <c r="I105" s="51" t="n"/>
      <c r="J105" s="47" t="n"/>
      <c r="K105" s="47" t="n"/>
      <c r="L105" s="43">
        <f>IF($B105="","",ROUND((N($J105)+N($K105))*نسبة_القيمة_المضافة,2))</f>
        <v/>
      </c>
      <c r="M105" s="47" t="n"/>
      <c r="N105" s="47" t="n"/>
      <c r="O105" s="43">
        <f>IF($B105="","",N($J105)+N($K105)+N($L105)-N($M105)+N($N105))</f>
        <v/>
      </c>
      <c r="P105" s="47" t="n"/>
      <c r="Q105" s="43">
        <f>IF($B105="","",N($O105)-N($P105))</f>
        <v/>
      </c>
      <c r="R105" s="47" t="n"/>
      <c r="S105" s="47" t="n"/>
      <c r="T105" s="47" t="n"/>
      <c r="U105" s="43">
        <f>IF($B105="","",N($J105)-N($R105)-N($T105))</f>
        <v/>
      </c>
      <c r="V105" s="47" t="n"/>
    </row>
    <row r="106">
      <c r="A106" s="39">
        <f>IF($B106="","",COUNTA($B$4:$B106))</f>
        <v/>
      </c>
      <c r="B106" s="40" t="n"/>
      <c r="C106" s="41" t="n"/>
      <c r="D106" s="41" t="n"/>
      <c r="E106" s="41" t="n"/>
      <c r="F106" s="41" t="n"/>
      <c r="G106" s="41" t="n"/>
      <c r="H106" s="41" t="n"/>
      <c r="I106" s="50" t="n"/>
      <c r="J106" s="42" t="n"/>
      <c r="K106" s="42" t="n"/>
      <c r="L106" s="43">
        <f>IF($B106="","",ROUND((N($J106)+N($K106))*نسبة_القيمة_المضافة,2))</f>
        <v/>
      </c>
      <c r="M106" s="42" t="n"/>
      <c r="N106" s="42" t="n"/>
      <c r="O106" s="43">
        <f>IF($B106="","",N($J106)+N($K106)+N($L106)-N($M106)+N($N106))</f>
        <v/>
      </c>
      <c r="P106" s="42" t="n"/>
      <c r="Q106" s="43">
        <f>IF($B106="","",N($O106)-N($P106))</f>
        <v/>
      </c>
      <c r="R106" s="42" t="n"/>
      <c r="S106" s="42" t="n"/>
      <c r="T106" s="42" t="n"/>
      <c r="U106" s="43">
        <f>IF($B106="","",N($J106)-N($R106)-N($T106))</f>
        <v/>
      </c>
      <c r="V106" s="42" t="n"/>
    </row>
    <row r="107">
      <c r="A107" s="39">
        <f>IF($B107="","",COUNTA($B$4:$B107))</f>
        <v/>
      </c>
      <c r="B107" s="45" t="n"/>
      <c r="C107" s="46" t="n"/>
      <c r="D107" s="46" t="n"/>
      <c r="E107" s="46" t="n"/>
      <c r="F107" s="46" t="n"/>
      <c r="G107" s="46" t="n"/>
      <c r="H107" s="46" t="n"/>
      <c r="I107" s="51" t="n"/>
      <c r="J107" s="47" t="n"/>
      <c r="K107" s="47" t="n"/>
      <c r="L107" s="43">
        <f>IF($B107="","",ROUND((N($J107)+N($K107))*نسبة_القيمة_المضافة,2))</f>
        <v/>
      </c>
      <c r="M107" s="47" t="n"/>
      <c r="N107" s="47" t="n"/>
      <c r="O107" s="43">
        <f>IF($B107="","",N($J107)+N($K107)+N($L107)-N($M107)+N($N107))</f>
        <v/>
      </c>
      <c r="P107" s="47" t="n"/>
      <c r="Q107" s="43">
        <f>IF($B107="","",N($O107)-N($P107))</f>
        <v/>
      </c>
      <c r="R107" s="47" t="n"/>
      <c r="S107" s="47" t="n"/>
      <c r="T107" s="47" t="n"/>
      <c r="U107" s="43">
        <f>IF($B107="","",N($J107)-N($R107)-N($T107))</f>
        <v/>
      </c>
      <c r="V107" s="47" t="n"/>
    </row>
    <row r="108">
      <c r="A108" s="39">
        <f>IF($B108="","",COUNTA($B$4:$B108))</f>
        <v/>
      </c>
      <c r="B108" s="40" t="n"/>
      <c r="C108" s="41" t="n"/>
      <c r="D108" s="41" t="n"/>
      <c r="E108" s="41" t="n"/>
      <c r="F108" s="41" t="n"/>
      <c r="G108" s="41" t="n"/>
      <c r="H108" s="41" t="n"/>
      <c r="I108" s="50" t="n"/>
      <c r="J108" s="42" t="n"/>
      <c r="K108" s="42" t="n"/>
      <c r="L108" s="43">
        <f>IF($B108="","",ROUND((N($J108)+N($K108))*نسبة_القيمة_المضافة,2))</f>
        <v/>
      </c>
      <c r="M108" s="42" t="n"/>
      <c r="N108" s="42" t="n"/>
      <c r="O108" s="43">
        <f>IF($B108="","",N($J108)+N($K108)+N($L108)-N($M108)+N($N108))</f>
        <v/>
      </c>
      <c r="P108" s="42" t="n"/>
      <c r="Q108" s="43">
        <f>IF($B108="","",N($O108)-N($P108))</f>
        <v/>
      </c>
      <c r="R108" s="42" t="n"/>
      <c r="S108" s="42" t="n"/>
      <c r="T108" s="42" t="n"/>
      <c r="U108" s="43">
        <f>IF($B108="","",N($J108)-N($R108)-N($T108))</f>
        <v/>
      </c>
      <c r="V108" s="42" t="n"/>
    </row>
    <row r="109">
      <c r="A109" s="39">
        <f>IF($B109="","",COUNTA($B$4:$B109))</f>
        <v/>
      </c>
      <c r="B109" s="45" t="n"/>
      <c r="C109" s="46" t="n"/>
      <c r="D109" s="46" t="n"/>
      <c r="E109" s="46" t="n"/>
      <c r="F109" s="46" t="n"/>
      <c r="G109" s="46" t="n"/>
      <c r="H109" s="46" t="n"/>
      <c r="I109" s="51" t="n"/>
      <c r="J109" s="47" t="n"/>
      <c r="K109" s="47" t="n"/>
      <c r="L109" s="43">
        <f>IF($B109="","",ROUND((N($J109)+N($K109))*نسبة_القيمة_المضافة,2))</f>
        <v/>
      </c>
      <c r="M109" s="47" t="n"/>
      <c r="N109" s="47" t="n"/>
      <c r="O109" s="43">
        <f>IF($B109="","",N($J109)+N($K109)+N($L109)-N($M109)+N($N109))</f>
        <v/>
      </c>
      <c r="P109" s="47" t="n"/>
      <c r="Q109" s="43">
        <f>IF($B109="","",N($O109)-N($P109))</f>
        <v/>
      </c>
      <c r="R109" s="47" t="n"/>
      <c r="S109" s="47" t="n"/>
      <c r="T109" s="47" t="n"/>
      <c r="U109" s="43">
        <f>IF($B109="","",N($J109)-N($R109)-N($T109))</f>
        <v/>
      </c>
      <c r="V109" s="47" t="n"/>
    </row>
    <row r="110">
      <c r="A110" s="39">
        <f>IF($B110="","",COUNTA($B$4:$B110))</f>
        <v/>
      </c>
      <c r="B110" s="40" t="n"/>
      <c r="C110" s="41" t="n"/>
      <c r="D110" s="41" t="n"/>
      <c r="E110" s="41" t="n"/>
      <c r="F110" s="41" t="n"/>
      <c r="G110" s="41" t="n"/>
      <c r="H110" s="41" t="n"/>
      <c r="I110" s="50" t="n"/>
      <c r="J110" s="42" t="n"/>
      <c r="K110" s="42" t="n"/>
      <c r="L110" s="43">
        <f>IF($B110="","",ROUND((N($J110)+N($K110))*نسبة_القيمة_المضافة,2))</f>
        <v/>
      </c>
      <c r="M110" s="42" t="n"/>
      <c r="N110" s="42" t="n"/>
      <c r="O110" s="43">
        <f>IF($B110="","",N($J110)+N($K110)+N($L110)-N($M110)+N($N110))</f>
        <v/>
      </c>
      <c r="P110" s="42" t="n"/>
      <c r="Q110" s="43">
        <f>IF($B110="","",N($O110)-N($P110))</f>
        <v/>
      </c>
      <c r="R110" s="42" t="n"/>
      <c r="S110" s="42" t="n"/>
      <c r="T110" s="42" t="n"/>
      <c r="U110" s="43">
        <f>IF($B110="","",N($J110)-N($R110)-N($T110))</f>
        <v/>
      </c>
      <c r="V110" s="42" t="n"/>
    </row>
    <row r="111">
      <c r="A111" s="39">
        <f>IF($B111="","",COUNTA($B$4:$B111))</f>
        <v/>
      </c>
      <c r="B111" s="45" t="n"/>
      <c r="C111" s="46" t="n"/>
      <c r="D111" s="46" t="n"/>
      <c r="E111" s="46" t="n"/>
      <c r="F111" s="46" t="n"/>
      <c r="G111" s="46" t="n"/>
      <c r="H111" s="46" t="n"/>
      <c r="I111" s="51" t="n"/>
      <c r="J111" s="47" t="n"/>
      <c r="K111" s="47" t="n"/>
      <c r="L111" s="43">
        <f>IF($B111="","",ROUND((N($J111)+N($K111))*نسبة_القيمة_المضافة,2))</f>
        <v/>
      </c>
      <c r="M111" s="47" t="n"/>
      <c r="N111" s="47" t="n"/>
      <c r="O111" s="43">
        <f>IF($B111="","",N($J111)+N($K111)+N($L111)-N($M111)+N($N111))</f>
        <v/>
      </c>
      <c r="P111" s="47" t="n"/>
      <c r="Q111" s="43">
        <f>IF($B111="","",N($O111)-N($P111))</f>
        <v/>
      </c>
      <c r="R111" s="47" t="n"/>
      <c r="S111" s="47" t="n"/>
      <c r="T111" s="47" t="n"/>
      <c r="U111" s="43">
        <f>IF($B111="","",N($J111)-N($R111)-N($T111))</f>
        <v/>
      </c>
      <c r="V111" s="47" t="n"/>
    </row>
    <row r="112">
      <c r="A112" s="39">
        <f>IF($B112="","",COUNTA($B$4:$B112))</f>
        <v/>
      </c>
      <c r="B112" s="40" t="n"/>
      <c r="C112" s="41" t="n"/>
      <c r="D112" s="41" t="n"/>
      <c r="E112" s="41" t="n"/>
      <c r="F112" s="41" t="n"/>
      <c r="G112" s="41" t="n"/>
      <c r="H112" s="41" t="n"/>
      <c r="I112" s="50" t="n"/>
      <c r="J112" s="42" t="n"/>
      <c r="K112" s="42" t="n"/>
      <c r="L112" s="43">
        <f>IF($B112="","",ROUND((N($J112)+N($K112))*نسبة_القيمة_المضافة,2))</f>
        <v/>
      </c>
      <c r="M112" s="42" t="n"/>
      <c r="N112" s="42" t="n"/>
      <c r="O112" s="43">
        <f>IF($B112="","",N($J112)+N($K112)+N($L112)-N($M112)+N($N112))</f>
        <v/>
      </c>
      <c r="P112" s="42" t="n"/>
      <c r="Q112" s="43">
        <f>IF($B112="","",N($O112)-N($P112))</f>
        <v/>
      </c>
      <c r="R112" s="42" t="n"/>
      <c r="S112" s="42" t="n"/>
      <c r="T112" s="42" t="n"/>
      <c r="U112" s="43">
        <f>IF($B112="","",N($J112)-N($R112)-N($T112))</f>
        <v/>
      </c>
      <c r="V112" s="42" t="n"/>
    </row>
    <row r="113">
      <c r="A113" s="39">
        <f>IF($B113="","",COUNTA($B$4:$B113))</f>
        <v/>
      </c>
      <c r="B113" s="45" t="n"/>
      <c r="C113" s="46" t="n"/>
      <c r="D113" s="46" t="n"/>
      <c r="E113" s="46" t="n"/>
      <c r="F113" s="46" t="n"/>
      <c r="G113" s="46" t="n"/>
      <c r="H113" s="46" t="n"/>
      <c r="I113" s="51" t="n"/>
      <c r="J113" s="47" t="n"/>
      <c r="K113" s="47" t="n"/>
      <c r="L113" s="43">
        <f>IF($B113="","",ROUND((N($J113)+N($K113))*نسبة_القيمة_المضافة,2))</f>
        <v/>
      </c>
      <c r="M113" s="47" t="n"/>
      <c r="N113" s="47" t="n"/>
      <c r="O113" s="43">
        <f>IF($B113="","",N($J113)+N($K113)+N($L113)-N($M113)+N($N113))</f>
        <v/>
      </c>
      <c r="P113" s="47" t="n"/>
      <c r="Q113" s="43">
        <f>IF($B113="","",N($O113)-N($P113))</f>
        <v/>
      </c>
      <c r="R113" s="47" t="n"/>
      <c r="S113" s="47" t="n"/>
      <c r="T113" s="47" t="n"/>
      <c r="U113" s="43">
        <f>IF($B113="","",N($J113)-N($R113)-N($T113))</f>
        <v/>
      </c>
      <c r="V113" s="47" t="n"/>
    </row>
    <row r="114">
      <c r="A114" s="39">
        <f>IF($B114="","",COUNTA($B$4:$B114))</f>
        <v/>
      </c>
      <c r="B114" s="40" t="n"/>
      <c r="C114" s="41" t="n"/>
      <c r="D114" s="41" t="n"/>
      <c r="E114" s="41" t="n"/>
      <c r="F114" s="41" t="n"/>
      <c r="G114" s="41" t="n"/>
      <c r="H114" s="41" t="n"/>
      <c r="I114" s="50" t="n"/>
      <c r="J114" s="42" t="n"/>
      <c r="K114" s="42" t="n"/>
      <c r="L114" s="43">
        <f>IF($B114="","",ROUND((N($J114)+N($K114))*نسبة_القيمة_المضافة,2))</f>
        <v/>
      </c>
      <c r="M114" s="42" t="n"/>
      <c r="N114" s="42" t="n"/>
      <c r="O114" s="43">
        <f>IF($B114="","",N($J114)+N($K114)+N($L114)-N($M114)+N($N114))</f>
        <v/>
      </c>
      <c r="P114" s="42" t="n"/>
      <c r="Q114" s="43">
        <f>IF($B114="","",N($O114)-N($P114))</f>
        <v/>
      </c>
      <c r="R114" s="42" t="n"/>
      <c r="S114" s="42" t="n"/>
      <c r="T114" s="42" t="n"/>
      <c r="U114" s="43">
        <f>IF($B114="","",N($J114)-N($R114)-N($T114))</f>
        <v/>
      </c>
      <c r="V114" s="42" t="n"/>
    </row>
    <row r="115">
      <c r="A115" s="39">
        <f>IF($B115="","",COUNTA($B$4:$B115))</f>
        <v/>
      </c>
      <c r="B115" s="45" t="n"/>
      <c r="C115" s="46" t="n"/>
      <c r="D115" s="46" t="n"/>
      <c r="E115" s="46" t="n"/>
      <c r="F115" s="46" t="n"/>
      <c r="G115" s="46" t="n"/>
      <c r="H115" s="46" t="n"/>
      <c r="I115" s="51" t="n"/>
      <c r="J115" s="47" t="n"/>
      <c r="K115" s="47" t="n"/>
      <c r="L115" s="43">
        <f>IF($B115="","",ROUND((N($J115)+N($K115))*نسبة_القيمة_المضافة,2))</f>
        <v/>
      </c>
      <c r="M115" s="47" t="n"/>
      <c r="N115" s="47" t="n"/>
      <c r="O115" s="43">
        <f>IF($B115="","",N($J115)+N($K115)+N($L115)-N($M115)+N($N115))</f>
        <v/>
      </c>
      <c r="P115" s="47" t="n"/>
      <c r="Q115" s="43">
        <f>IF($B115="","",N($O115)-N($P115))</f>
        <v/>
      </c>
      <c r="R115" s="47" t="n"/>
      <c r="S115" s="47" t="n"/>
      <c r="T115" s="47" t="n"/>
      <c r="U115" s="43">
        <f>IF($B115="","",N($J115)-N($R115)-N($T115))</f>
        <v/>
      </c>
      <c r="V115" s="47" t="n"/>
    </row>
    <row r="116">
      <c r="A116" s="39">
        <f>IF($B116="","",COUNTA($B$4:$B116))</f>
        <v/>
      </c>
      <c r="B116" s="40" t="n"/>
      <c r="C116" s="41" t="n"/>
      <c r="D116" s="41" t="n"/>
      <c r="E116" s="41" t="n"/>
      <c r="F116" s="41" t="n"/>
      <c r="G116" s="41" t="n"/>
      <c r="H116" s="41" t="n"/>
      <c r="I116" s="50" t="n"/>
      <c r="J116" s="42" t="n"/>
      <c r="K116" s="42" t="n"/>
      <c r="L116" s="43">
        <f>IF($B116="","",ROUND((N($J116)+N($K116))*نسبة_القيمة_المضافة,2))</f>
        <v/>
      </c>
      <c r="M116" s="42" t="n"/>
      <c r="N116" s="42" t="n"/>
      <c r="O116" s="43">
        <f>IF($B116="","",N($J116)+N($K116)+N($L116)-N($M116)+N($N116))</f>
        <v/>
      </c>
      <c r="P116" s="42" t="n"/>
      <c r="Q116" s="43">
        <f>IF($B116="","",N($O116)-N($P116))</f>
        <v/>
      </c>
      <c r="R116" s="42" t="n"/>
      <c r="S116" s="42" t="n"/>
      <c r="T116" s="42" t="n"/>
      <c r="U116" s="43">
        <f>IF($B116="","",N($J116)-N($R116)-N($T116))</f>
        <v/>
      </c>
      <c r="V116" s="42" t="n"/>
    </row>
    <row r="117">
      <c r="A117" s="39">
        <f>IF($B117="","",COUNTA($B$4:$B117))</f>
        <v/>
      </c>
      <c r="B117" s="45" t="n"/>
      <c r="C117" s="46" t="n"/>
      <c r="D117" s="46" t="n"/>
      <c r="E117" s="46" t="n"/>
      <c r="F117" s="46" t="n"/>
      <c r="G117" s="46" t="n"/>
      <c r="H117" s="46" t="n"/>
      <c r="I117" s="51" t="n"/>
      <c r="J117" s="47" t="n"/>
      <c r="K117" s="47" t="n"/>
      <c r="L117" s="43">
        <f>IF($B117="","",ROUND((N($J117)+N($K117))*نسبة_القيمة_المضافة,2))</f>
        <v/>
      </c>
      <c r="M117" s="47" t="n"/>
      <c r="N117" s="47" t="n"/>
      <c r="O117" s="43">
        <f>IF($B117="","",N($J117)+N($K117)+N($L117)-N($M117)+N($N117))</f>
        <v/>
      </c>
      <c r="P117" s="47" t="n"/>
      <c r="Q117" s="43">
        <f>IF($B117="","",N($O117)-N($P117))</f>
        <v/>
      </c>
      <c r="R117" s="47" t="n"/>
      <c r="S117" s="47" t="n"/>
      <c r="T117" s="47" t="n"/>
      <c r="U117" s="43">
        <f>IF($B117="","",N($J117)-N($R117)-N($T117))</f>
        <v/>
      </c>
      <c r="V117" s="47" t="n"/>
    </row>
    <row r="118">
      <c r="A118" s="39">
        <f>IF($B118="","",COUNTA($B$4:$B118))</f>
        <v/>
      </c>
      <c r="B118" s="40" t="n"/>
      <c r="C118" s="41" t="n"/>
      <c r="D118" s="41" t="n"/>
      <c r="E118" s="41" t="n"/>
      <c r="F118" s="41" t="n"/>
      <c r="G118" s="41" t="n"/>
      <c r="H118" s="41" t="n"/>
      <c r="I118" s="50" t="n"/>
      <c r="J118" s="42" t="n"/>
      <c r="K118" s="42" t="n"/>
      <c r="L118" s="43">
        <f>IF($B118="","",ROUND((N($J118)+N($K118))*نسبة_القيمة_المضافة,2))</f>
        <v/>
      </c>
      <c r="M118" s="42" t="n"/>
      <c r="N118" s="42" t="n"/>
      <c r="O118" s="43">
        <f>IF($B118="","",N($J118)+N($K118)+N($L118)-N($M118)+N($N118))</f>
        <v/>
      </c>
      <c r="P118" s="42" t="n"/>
      <c r="Q118" s="43">
        <f>IF($B118="","",N($O118)-N($P118))</f>
        <v/>
      </c>
      <c r="R118" s="42" t="n"/>
      <c r="S118" s="42" t="n"/>
      <c r="T118" s="42" t="n"/>
      <c r="U118" s="43">
        <f>IF($B118="","",N($J118)-N($R118)-N($T118))</f>
        <v/>
      </c>
      <c r="V118" s="42" t="n"/>
    </row>
    <row r="119">
      <c r="A119" s="39">
        <f>IF($B119="","",COUNTA($B$4:$B119))</f>
        <v/>
      </c>
      <c r="B119" s="45" t="n"/>
      <c r="C119" s="46" t="n"/>
      <c r="D119" s="46" t="n"/>
      <c r="E119" s="46" t="n"/>
      <c r="F119" s="46" t="n"/>
      <c r="G119" s="46" t="n"/>
      <c r="H119" s="46" t="n"/>
      <c r="I119" s="51" t="n"/>
      <c r="J119" s="47" t="n"/>
      <c r="K119" s="47" t="n"/>
      <c r="L119" s="43">
        <f>IF($B119="","",ROUND((N($J119)+N($K119))*نسبة_القيمة_المضافة,2))</f>
        <v/>
      </c>
      <c r="M119" s="47" t="n"/>
      <c r="N119" s="47" t="n"/>
      <c r="O119" s="43">
        <f>IF($B119="","",N($J119)+N($K119)+N($L119)-N($M119)+N($N119))</f>
        <v/>
      </c>
      <c r="P119" s="47" t="n"/>
      <c r="Q119" s="43">
        <f>IF($B119="","",N($O119)-N($P119))</f>
        <v/>
      </c>
      <c r="R119" s="47" t="n"/>
      <c r="S119" s="47" t="n"/>
      <c r="T119" s="47" t="n"/>
      <c r="U119" s="43">
        <f>IF($B119="","",N($J119)-N($R119)-N($T119))</f>
        <v/>
      </c>
      <c r="V119" s="47" t="n"/>
    </row>
    <row r="120">
      <c r="A120" s="39">
        <f>IF($B120="","",COUNTA($B$4:$B120))</f>
        <v/>
      </c>
      <c r="B120" s="40" t="n"/>
      <c r="C120" s="41" t="n"/>
      <c r="D120" s="41" t="n"/>
      <c r="E120" s="41" t="n"/>
      <c r="F120" s="41" t="n"/>
      <c r="G120" s="41" t="n"/>
      <c r="H120" s="41" t="n"/>
      <c r="I120" s="50" t="n"/>
      <c r="J120" s="42" t="n"/>
      <c r="K120" s="42" t="n"/>
      <c r="L120" s="43">
        <f>IF($B120="","",ROUND((N($J120)+N($K120))*نسبة_القيمة_المضافة,2))</f>
        <v/>
      </c>
      <c r="M120" s="42" t="n"/>
      <c r="N120" s="42" t="n"/>
      <c r="O120" s="43">
        <f>IF($B120="","",N($J120)+N($K120)+N($L120)-N($M120)+N($N120))</f>
        <v/>
      </c>
      <c r="P120" s="42" t="n"/>
      <c r="Q120" s="43">
        <f>IF($B120="","",N($O120)-N($P120))</f>
        <v/>
      </c>
      <c r="R120" s="42" t="n"/>
      <c r="S120" s="42" t="n"/>
      <c r="T120" s="42" t="n"/>
      <c r="U120" s="43">
        <f>IF($B120="","",N($J120)-N($R120)-N($T120))</f>
        <v/>
      </c>
      <c r="V120" s="42" t="n"/>
    </row>
    <row r="121">
      <c r="A121" s="39">
        <f>IF($B121="","",COUNTA($B$4:$B121))</f>
        <v/>
      </c>
      <c r="B121" s="45" t="n"/>
      <c r="C121" s="46" t="n"/>
      <c r="D121" s="46" t="n"/>
      <c r="E121" s="46" t="n"/>
      <c r="F121" s="46" t="n"/>
      <c r="G121" s="46" t="n"/>
      <c r="H121" s="46" t="n"/>
      <c r="I121" s="51" t="n"/>
      <c r="J121" s="47" t="n"/>
      <c r="K121" s="47" t="n"/>
      <c r="L121" s="43">
        <f>IF($B121="","",ROUND((N($J121)+N($K121))*نسبة_القيمة_المضافة,2))</f>
        <v/>
      </c>
      <c r="M121" s="47" t="n"/>
      <c r="N121" s="47" t="n"/>
      <c r="O121" s="43">
        <f>IF($B121="","",N($J121)+N($K121)+N($L121)-N($M121)+N($N121))</f>
        <v/>
      </c>
      <c r="P121" s="47" t="n"/>
      <c r="Q121" s="43">
        <f>IF($B121="","",N($O121)-N($P121))</f>
        <v/>
      </c>
      <c r="R121" s="47" t="n"/>
      <c r="S121" s="47" t="n"/>
      <c r="T121" s="47" t="n"/>
      <c r="U121" s="43">
        <f>IF($B121="","",N($J121)-N($R121)-N($T121))</f>
        <v/>
      </c>
      <c r="V121" s="47" t="n"/>
    </row>
    <row r="122">
      <c r="A122" s="39">
        <f>IF($B122="","",COUNTA($B$4:$B122))</f>
        <v/>
      </c>
      <c r="B122" s="40" t="n"/>
      <c r="C122" s="41" t="n"/>
      <c r="D122" s="41" t="n"/>
      <c r="E122" s="41" t="n"/>
      <c r="F122" s="41" t="n"/>
      <c r="G122" s="41" t="n"/>
      <c r="H122" s="41" t="n"/>
      <c r="I122" s="50" t="n"/>
      <c r="J122" s="42" t="n"/>
      <c r="K122" s="42" t="n"/>
      <c r="L122" s="43">
        <f>IF($B122="","",ROUND((N($J122)+N($K122))*نسبة_القيمة_المضافة,2))</f>
        <v/>
      </c>
      <c r="M122" s="42" t="n"/>
      <c r="N122" s="42" t="n"/>
      <c r="O122" s="43">
        <f>IF($B122="","",N($J122)+N($K122)+N($L122)-N($M122)+N($N122))</f>
        <v/>
      </c>
      <c r="P122" s="42" t="n"/>
      <c r="Q122" s="43">
        <f>IF($B122="","",N($O122)-N($P122))</f>
        <v/>
      </c>
      <c r="R122" s="42" t="n"/>
      <c r="S122" s="42" t="n"/>
      <c r="T122" s="42" t="n"/>
      <c r="U122" s="43">
        <f>IF($B122="","",N($J122)-N($R122)-N($T122))</f>
        <v/>
      </c>
      <c r="V122" s="42" t="n"/>
    </row>
    <row r="123">
      <c r="A123" s="39">
        <f>IF($B123="","",COUNTA($B$4:$B123))</f>
        <v/>
      </c>
      <c r="B123" s="45" t="n"/>
      <c r="C123" s="46" t="n"/>
      <c r="D123" s="46" t="n"/>
      <c r="E123" s="46" t="n"/>
      <c r="F123" s="46" t="n"/>
      <c r="G123" s="46" t="n"/>
      <c r="H123" s="46" t="n"/>
      <c r="I123" s="51" t="n"/>
      <c r="J123" s="47" t="n"/>
      <c r="K123" s="47" t="n"/>
      <c r="L123" s="43">
        <f>IF($B123="","",ROUND((N($J123)+N($K123))*نسبة_القيمة_المضافة,2))</f>
        <v/>
      </c>
      <c r="M123" s="47" t="n"/>
      <c r="N123" s="47" t="n"/>
      <c r="O123" s="43">
        <f>IF($B123="","",N($J123)+N($K123)+N($L123)-N($M123)+N($N123))</f>
        <v/>
      </c>
      <c r="P123" s="47" t="n"/>
      <c r="Q123" s="43">
        <f>IF($B123="","",N($O123)-N($P123))</f>
        <v/>
      </c>
      <c r="R123" s="47" t="n"/>
      <c r="S123" s="47" t="n"/>
      <c r="T123" s="47" t="n"/>
      <c r="U123" s="43">
        <f>IF($B123="","",N($J123)-N($R123)-N($T123))</f>
        <v/>
      </c>
      <c r="V123" s="47" t="n"/>
    </row>
    <row r="124">
      <c r="A124" s="39">
        <f>IF($B124="","",COUNTA($B$4:$B124))</f>
        <v/>
      </c>
      <c r="B124" s="40" t="n"/>
      <c r="C124" s="41" t="n"/>
      <c r="D124" s="41" t="n"/>
      <c r="E124" s="41" t="n"/>
      <c r="F124" s="41" t="n"/>
      <c r="G124" s="41" t="n"/>
      <c r="H124" s="41" t="n"/>
      <c r="I124" s="50" t="n"/>
      <c r="J124" s="42" t="n"/>
      <c r="K124" s="42" t="n"/>
      <c r="L124" s="43">
        <f>IF($B124="","",ROUND((N($J124)+N($K124))*نسبة_القيمة_المضافة,2))</f>
        <v/>
      </c>
      <c r="M124" s="42" t="n"/>
      <c r="N124" s="42" t="n"/>
      <c r="O124" s="43">
        <f>IF($B124="","",N($J124)+N($K124)+N($L124)-N($M124)+N($N124))</f>
        <v/>
      </c>
      <c r="P124" s="42" t="n"/>
      <c r="Q124" s="43">
        <f>IF($B124="","",N($O124)-N($P124))</f>
        <v/>
      </c>
      <c r="R124" s="42" t="n"/>
      <c r="S124" s="42" t="n"/>
      <c r="T124" s="42" t="n"/>
      <c r="U124" s="43">
        <f>IF($B124="","",N($J124)-N($R124)-N($T124))</f>
        <v/>
      </c>
      <c r="V124" s="42" t="n"/>
    </row>
    <row r="125">
      <c r="A125" s="39">
        <f>IF($B125="","",COUNTA($B$4:$B125))</f>
        <v/>
      </c>
      <c r="B125" s="45" t="n"/>
      <c r="C125" s="46" t="n"/>
      <c r="D125" s="46" t="n"/>
      <c r="E125" s="46" t="n"/>
      <c r="F125" s="46" t="n"/>
      <c r="G125" s="46" t="n"/>
      <c r="H125" s="46" t="n"/>
      <c r="I125" s="51" t="n"/>
      <c r="J125" s="47" t="n"/>
      <c r="K125" s="47" t="n"/>
      <c r="L125" s="43">
        <f>IF($B125="","",ROUND((N($J125)+N($K125))*نسبة_القيمة_المضافة,2))</f>
        <v/>
      </c>
      <c r="M125" s="47" t="n"/>
      <c r="N125" s="47" t="n"/>
      <c r="O125" s="43">
        <f>IF($B125="","",N($J125)+N($K125)+N($L125)-N($M125)+N($N125))</f>
        <v/>
      </c>
      <c r="P125" s="47" t="n"/>
      <c r="Q125" s="43">
        <f>IF($B125="","",N($O125)-N($P125))</f>
        <v/>
      </c>
      <c r="R125" s="47" t="n"/>
      <c r="S125" s="47" t="n"/>
      <c r="T125" s="47" t="n"/>
      <c r="U125" s="43">
        <f>IF($B125="","",N($J125)-N($R125)-N($T125))</f>
        <v/>
      </c>
      <c r="V125" s="47" t="n"/>
    </row>
    <row r="126">
      <c r="A126" s="39">
        <f>IF($B126="","",COUNTA($B$4:$B126))</f>
        <v/>
      </c>
      <c r="B126" s="40" t="n"/>
      <c r="C126" s="41" t="n"/>
      <c r="D126" s="41" t="n"/>
      <c r="E126" s="41" t="n"/>
      <c r="F126" s="41" t="n"/>
      <c r="G126" s="41" t="n"/>
      <c r="H126" s="41" t="n"/>
      <c r="I126" s="50" t="n"/>
      <c r="J126" s="42" t="n"/>
      <c r="K126" s="42" t="n"/>
      <c r="L126" s="43">
        <f>IF($B126="","",ROUND((N($J126)+N($K126))*نسبة_القيمة_المضافة,2))</f>
        <v/>
      </c>
      <c r="M126" s="42" t="n"/>
      <c r="N126" s="42" t="n"/>
      <c r="O126" s="43">
        <f>IF($B126="","",N($J126)+N($K126)+N($L126)-N($M126)+N($N126))</f>
        <v/>
      </c>
      <c r="P126" s="42" t="n"/>
      <c r="Q126" s="43">
        <f>IF($B126="","",N($O126)-N($P126))</f>
        <v/>
      </c>
      <c r="R126" s="42" t="n"/>
      <c r="S126" s="42" t="n"/>
      <c r="T126" s="42" t="n"/>
      <c r="U126" s="43">
        <f>IF($B126="","",N($J126)-N($R126)-N($T126))</f>
        <v/>
      </c>
      <c r="V126" s="42" t="n"/>
    </row>
    <row r="127">
      <c r="A127" s="39">
        <f>IF($B127="","",COUNTA($B$4:$B127))</f>
        <v/>
      </c>
      <c r="B127" s="45" t="n"/>
      <c r="C127" s="46" t="n"/>
      <c r="D127" s="46" t="n"/>
      <c r="E127" s="46" t="n"/>
      <c r="F127" s="46" t="n"/>
      <c r="G127" s="46" t="n"/>
      <c r="H127" s="46" t="n"/>
      <c r="I127" s="51" t="n"/>
      <c r="J127" s="47" t="n"/>
      <c r="K127" s="47" t="n"/>
      <c r="L127" s="43">
        <f>IF($B127="","",ROUND((N($J127)+N($K127))*نسبة_القيمة_المضافة,2))</f>
        <v/>
      </c>
      <c r="M127" s="47" t="n"/>
      <c r="N127" s="47" t="n"/>
      <c r="O127" s="43">
        <f>IF($B127="","",N($J127)+N($K127)+N($L127)-N($M127)+N($N127))</f>
        <v/>
      </c>
      <c r="P127" s="47" t="n"/>
      <c r="Q127" s="43">
        <f>IF($B127="","",N($O127)-N($P127))</f>
        <v/>
      </c>
      <c r="R127" s="47" t="n"/>
      <c r="S127" s="47" t="n"/>
      <c r="T127" s="47" t="n"/>
      <c r="U127" s="43">
        <f>IF($B127="","",N($J127)-N($R127)-N($T127))</f>
        <v/>
      </c>
      <c r="V127" s="47" t="n"/>
    </row>
    <row r="128">
      <c r="A128" s="39">
        <f>IF($B128="","",COUNTA($B$4:$B128))</f>
        <v/>
      </c>
      <c r="B128" s="40" t="n"/>
      <c r="C128" s="41" t="n"/>
      <c r="D128" s="41" t="n"/>
      <c r="E128" s="41" t="n"/>
      <c r="F128" s="41" t="n"/>
      <c r="G128" s="41" t="n"/>
      <c r="H128" s="41" t="n"/>
      <c r="I128" s="50" t="n"/>
      <c r="J128" s="42" t="n"/>
      <c r="K128" s="42" t="n"/>
      <c r="L128" s="43">
        <f>IF($B128="","",ROUND((N($J128)+N($K128))*نسبة_القيمة_المضافة,2))</f>
        <v/>
      </c>
      <c r="M128" s="42" t="n"/>
      <c r="N128" s="42" t="n"/>
      <c r="O128" s="43">
        <f>IF($B128="","",N($J128)+N($K128)+N($L128)-N($M128)+N($N128))</f>
        <v/>
      </c>
      <c r="P128" s="42" t="n"/>
      <c r="Q128" s="43">
        <f>IF($B128="","",N($O128)-N($P128))</f>
        <v/>
      </c>
      <c r="R128" s="42" t="n"/>
      <c r="S128" s="42" t="n"/>
      <c r="T128" s="42" t="n"/>
      <c r="U128" s="43">
        <f>IF($B128="","",N($J128)-N($R128)-N($T128))</f>
        <v/>
      </c>
      <c r="V128" s="42" t="n"/>
    </row>
    <row r="129">
      <c r="A129" s="39">
        <f>IF($B129="","",COUNTA($B$4:$B129))</f>
        <v/>
      </c>
      <c r="B129" s="45" t="n"/>
      <c r="C129" s="46" t="n"/>
      <c r="D129" s="46" t="n"/>
      <c r="E129" s="46" t="n"/>
      <c r="F129" s="46" t="n"/>
      <c r="G129" s="46" t="n"/>
      <c r="H129" s="46" t="n"/>
      <c r="I129" s="51" t="n"/>
      <c r="J129" s="47" t="n"/>
      <c r="K129" s="47" t="n"/>
      <c r="L129" s="43">
        <f>IF($B129="","",ROUND((N($J129)+N($K129))*نسبة_القيمة_المضافة,2))</f>
        <v/>
      </c>
      <c r="M129" s="47" t="n"/>
      <c r="N129" s="47" t="n"/>
      <c r="O129" s="43">
        <f>IF($B129="","",N($J129)+N($K129)+N($L129)-N($M129)+N($N129))</f>
        <v/>
      </c>
      <c r="P129" s="47" t="n"/>
      <c r="Q129" s="43">
        <f>IF($B129="","",N($O129)-N($P129))</f>
        <v/>
      </c>
      <c r="R129" s="47" t="n"/>
      <c r="S129" s="47" t="n"/>
      <c r="T129" s="47" t="n"/>
      <c r="U129" s="43">
        <f>IF($B129="","",N($J129)-N($R129)-N($T129))</f>
        <v/>
      </c>
      <c r="V129" s="47" t="n"/>
    </row>
    <row r="130">
      <c r="A130" s="39">
        <f>IF($B130="","",COUNTA($B$4:$B130))</f>
        <v/>
      </c>
      <c r="B130" s="40" t="n"/>
      <c r="C130" s="41" t="n"/>
      <c r="D130" s="41" t="n"/>
      <c r="E130" s="41" t="n"/>
      <c r="F130" s="41" t="n"/>
      <c r="G130" s="41" t="n"/>
      <c r="H130" s="41" t="n"/>
      <c r="I130" s="50" t="n"/>
      <c r="J130" s="42" t="n"/>
      <c r="K130" s="42" t="n"/>
      <c r="L130" s="43">
        <f>IF($B130="","",ROUND((N($J130)+N($K130))*نسبة_القيمة_المضافة,2))</f>
        <v/>
      </c>
      <c r="M130" s="42" t="n"/>
      <c r="N130" s="42" t="n"/>
      <c r="O130" s="43">
        <f>IF($B130="","",N($J130)+N($K130)+N($L130)-N($M130)+N($N130))</f>
        <v/>
      </c>
      <c r="P130" s="42" t="n"/>
      <c r="Q130" s="43">
        <f>IF($B130="","",N($O130)-N($P130))</f>
        <v/>
      </c>
      <c r="R130" s="42" t="n"/>
      <c r="S130" s="42" t="n"/>
      <c r="T130" s="42" t="n"/>
      <c r="U130" s="43">
        <f>IF($B130="","",N($J130)-N($R130)-N($T130))</f>
        <v/>
      </c>
      <c r="V130" s="42" t="n"/>
    </row>
    <row r="131">
      <c r="A131" s="39">
        <f>IF($B131="","",COUNTA($B$4:$B131))</f>
        <v/>
      </c>
      <c r="B131" s="45" t="n"/>
      <c r="C131" s="46" t="n"/>
      <c r="D131" s="46" t="n"/>
      <c r="E131" s="46" t="n"/>
      <c r="F131" s="46" t="n"/>
      <c r="G131" s="46" t="n"/>
      <c r="H131" s="46" t="n"/>
      <c r="I131" s="51" t="n"/>
      <c r="J131" s="47" t="n"/>
      <c r="K131" s="47" t="n"/>
      <c r="L131" s="43">
        <f>IF($B131="","",ROUND((N($J131)+N($K131))*نسبة_القيمة_المضافة,2))</f>
        <v/>
      </c>
      <c r="M131" s="47" t="n"/>
      <c r="N131" s="47" t="n"/>
      <c r="O131" s="43">
        <f>IF($B131="","",N($J131)+N($K131)+N($L131)-N($M131)+N($N131))</f>
        <v/>
      </c>
      <c r="P131" s="47" t="n"/>
      <c r="Q131" s="43">
        <f>IF($B131="","",N($O131)-N($P131))</f>
        <v/>
      </c>
      <c r="R131" s="47" t="n"/>
      <c r="S131" s="47" t="n"/>
      <c r="T131" s="47" t="n"/>
      <c r="U131" s="43">
        <f>IF($B131="","",N($J131)-N($R131)-N($T131))</f>
        <v/>
      </c>
      <c r="V131" s="47" t="n"/>
    </row>
    <row r="132">
      <c r="A132" s="39">
        <f>IF($B132="","",COUNTA($B$4:$B132))</f>
        <v/>
      </c>
      <c r="B132" s="40" t="n"/>
      <c r="C132" s="41" t="n"/>
      <c r="D132" s="41" t="n"/>
      <c r="E132" s="41" t="n"/>
      <c r="F132" s="41" t="n"/>
      <c r="G132" s="41" t="n"/>
      <c r="H132" s="41" t="n"/>
      <c r="I132" s="50" t="n"/>
      <c r="J132" s="42" t="n"/>
      <c r="K132" s="42" t="n"/>
      <c r="L132" s="43">
        <f>IF($B132="","",ROUND((N($J132)+N($K132))*نسبة_القيمة_المضافة,2))</f>
        <v/>
      </c>
      <c r="M132" s="42" t="n"/>
      <c r="N132" s="42" t="n"/>
      <c r="O132" s="43">
        <f>IF($B132="","",N($J132)+N($K132)+N($L132)-N($M132)+N($N132))</f>
        <v/>
      </c>
      <c r="P132" s="42" t="n"/>
      <c r="Q132" s="43">
        <f>IF($B132="","",N($O132)-N($P132))</f>
        <v/>
      </c>
      <c r="R132" s="42" t="n"/>
      <c r="S132" s="42" t="n"/>
      <c r="T132" s="42" t="n"/>
      <c r="U132" s="43">
        <f>IF($B132="","",N($J132)-N($R132)-N($T132))</f>
        <v/>
      </c>
      <c r="V132" s="42" t="n"/>
    </row>
    <row r="133">
      <c r="A133" s="39">
        <f>IF($B133="","",COUNTA($B$4:$B133))</f>
        <v/>
      </c>
      <c r="B133" s="45" t="n"/>
      <c r="C133" s="46" t="n"/>
      <c r="D133" s="46" t="n"/>
      <c r="E133" s="46" t="n"/>
      <c r="F133" s="46" t="n"/>
      <c r="G133" s="46" t="n"/>
      <c r="H133" s="46" t="n"/>
      <c r="I133" s="51" t="n"/>
      <c r="J133" s="47" t="n"/>
      <c r="K133" s="47" t="n"/>
      <c r="L133" s="43">
        <f>IF($B133="","",ROUND((N($J133)+N($K133))*نسبة_القيمة_المضافة,2))</f>
        <v/>
      </c>
      <c r="M133" s="47" t="n"/>
      <c r="N133" s="47" t="n"/>
      <c r="O133" s="43">
        <f>IF($B133="","",N($J133)+N($K133)+N($L133)-N($M133)+N($N133))</f>
        <v/>
      </c>
      <c r="P133" s="47" t="n"/>
      <c r="Q133" s="43">
        <f>IF($B133="","",N($O133)-N($P133))</f>
        <v/>
      </c>
      <c r="R133" s="47" t="n"/>
      <c r="S133" s="47" t="n"/>
      <c r="T133" s="47" t="n"/>
      <c r="U133" s="43">
        <f>IF($B133="","",N($J133)-N($R133)-N($T133))</f>
        <v/>
      </c>
      <c r="V133" s="47" t="n"/>
    </row>
    <row r="134">
      <c r="A134" s="39">
        <f>IF($B134="","",COUNTA($B$4:$B134))</f>
        <v/>
      </c>
      <c r="B134" s="40" t="n"/>
      <c r="C134" s="41" t="n"/>
      <c r="D134" s="41" t="n"/>
      <c r="E134" s="41" t="n"/>
      <c r="F134" s="41" t="n"/>
      <c r="G134" s="41" t="n"/>
      <c r="H134" s="41" t="n"/>
      <c r="I134" s="50" t="n"/>
      <c r="J134" s="42" t="n"/>
      <c r="K134" s="42" t="n"/>
      <c r="L134" s="43">
        <f>IF($B134="","",ROUND((N($J134)+N($K134))*نسبة_القيمة_المضافة,2))</f>
        <v/>
      </c>
      <c r="M134" s="42" t="n"/>
      <c r="N134" s="42" t="n"/>
      <c r="O134" s="43">
        <f>IF($B134="","",N($J134)+N($K134)+N($L134)-N($M134)+N($N134))</f>
        <v/>
      </c>
      <c r="P134" s="42" t="n"/>
      <c r="Q134" s="43">
        <f>IF($B134="","",N($O134)-N($P134))</f>
        <v/>
      </c>
      <c r="R134" s="42" t="n"/>
      <c r="S134" s="42" t="n"/>
      <c r="T134" s="42" t="n"/>
      <c r="U134" s="43">
        <f>IF($B134="","",N($J134)-N($R134)-N($T134))</f>
        <v/>
      </c>
      <c r="V134" s="42" t="n"/>
    </row>
    <row r="135">
      <c r="A135" s="39">
        <f>IF($B135="","",COUNTA($B$4:$B135))</f>
        <v/>
      </c>
      <c r="B135" s="45" t="n"/>
      <c r="C135" s="46" t="n"/>
      <c r="D135" s="46" t="n"/>
      <c r="E135" s="46" t="n"/>
      <c r="F135" s="46" t="n"/>
      <c r="G135" s="46" t="n"/>
      <c r="H135" s="46" t="n"/>
      <c r="I135" s="51" t="n"/>
      <c r="J135" s="47" t="n"/>
      <c r="K135" s="47" t="n"/>
      <c r="L135" s="43">
        <f>IF($B135="","",ROUND((N($J135)+N($K135))*نسبة_القيمة_المضافة,2))</f>
        <v/>
      </c>
      <c r="M135" s="47" t="n"/>
      <c r="N135" s="47" t="n"/>
      <c r="O135" s="43">
        <f>IF($B135="","",N($J135)+N($K135)+N($L135)-N($M135)+N($N135))</f>
        <v/>
      </c>
      <c r="P135" s="47" t="n"/>
      <c r="Q135" s="43">
        <f>IF($B135="","",N($O135)-N($P135))</f>
        <v/>
      </c>
      <c r="R135" s="47" t="n"/>
      <c r="S135" s="47" t="n"/>
      <c r="T135" s="47" t="n"/>
      <c r="U135" s="43">
        <f>IF($B135="","",N($J135)-N($R135)-N($T135))</f>
        <v/>
      </c>
      <c r="V135" s="47" t="n"/>
    </row>
    <row r="136">
      <c r="A136" s="39">
        <f>IF($B136="","",COUNTA($B$4:$B136))</f>
        <v/>
      </c>
      <c r="B136" s="40" t="n"/>
      <c r="C136" s="41" t="n"/>
      <c r="D136" s="41" t="n"/>
      <c r="E136" s="41" t="n"/>
      <c r="F136" s="41" t="n"/>
      <c r="G136" s="41" t="n"/>
      <c r="H136" s="41" t="n"/>
      <c r="I136" s="50" t="n"/>
      <c r="J136" s="42" t="n"/>
      <c r="K136" s="42" t="n"/>
      <c r="L136" s="43">
        <f>IF($B136="","",ROUND((N($J136)+N($K136))*نسبة_القيمة_المضافة,2))</f>
        <v/>
      </c>
      <c r="M136" s="42" t="n"/>
      <c r="N136" s="42" t="n"/>
      <c r="O136" s="43">
        <f>IF($B136="","",N($J136)+N($K136)+N($L136)-N($M136)+N($N136))</f>
        <v/>
      </c>
      <c r="P136" s="42" t="n"/>
      <c r="Q136" s="43">
        <f>IF($B136="","",N($O136)-N($P136))</f>
        <v/>
      </c>
      <c r="R136" s="42" t="n"/>
      <c r="S136" s="42" t="n"/>
      <c r="T136" s="42" t="n"/>
      <c r="U136" s="43">
        <f>IF($B136="","",N($J136)-N($R136)-N($T136))</f>
        <v/>
      </c>
      <c r="V136" s="42" t="n"/>
    </row>
    <row r="137">
      <c r="A137" s="39">
        <f>IF($B137="","",COUNTA($B$4:$B137))</f>
        <v/>
      </c>
      <c r="B137" s="45" t="n"/>
      <c r="C137" s="46" t="n"/>
      <c r="D137" s="46" t="n"/>
      <c r="E137" s="46" t="n"/>
      <c r="F137" s="46" t="n"/>
      <c r="G137" s="46" t="n"/>
      <c r="H137" s="46" t="n"/>
      <c r="I137" s="51" t="n"/>
      <c r="J137" s="47" t="n"/>
      <c r="K137" s="47" t="n"/>
      <c r="L137" s="43">
        <f>IF($B137="","",ROUND((N($J137)+N($K137))*نسبة_القيمة_المضافة,2))</f>
        <v/>
      </c>
      <c r="M137" s="47" t="n"/>
      <c r="N137" s="47" t="n"/>
      <c r="O137" s="43">
        <f>IF($B137="","",N($J137)+N($K137)+N($L137)-N($M137)+N($N137))</f>
        <v/>
      </c>
      <c r="P137" s="47" t="n"/>
      <c r="Q137" s="43">
        <f>IF($B137="","",N($O137)-N($P137))</f>
        <v/>
      </c>
      <c r="R137" s="47" t="n"/>
      <c r="S137" s="47" t="n"/>
      <c r="T137" s="47" t="n"/>
      <c r="U137" s="43">
        <f>IF($B137="","",N($J137)-N($R137)-N($T137))</f>
        <v/>
      </c>
      <c r="V137" s="47" t="n"/>
    </row>
    <row r="138">
      <c r="A138" s="39">
        <f>IF($B138="","",COUNTA($B$4:$B138))</f>
        <v/>
      </c>
      <c r="B138" s="40" t="n"/>
      <c r="C138" s="41" t="n"/>
      <c r="D138" s="41" t="n"/>
      <c r="E138" s="41" t="n"/>
      <c r="F138" s="41" t="n"/>
      <c r="G138" s="41" t="n"/>
      <c r="H138" s="41" t="n"/>
      <c r="I138" s="50" t="n"/>
      <c r="J138" s="42" t="n"/>
      <c r="K138" s="42" t="n"/>
      <c r="L138" s="43">
        <f>IF($B138="","",ROUND((N($J138)+N($K138))*نسبة_القيمة_المضافة,2))</f>
        <v/>
      </c>
      <c r="M138" s="42" t="n"/>
      <c r="N138" s="42" t="n"/>
      <c r="O138" s="43">
        <f>IF($B138="","",N($J138)+N($K138)+N($L138)-N($M138)+N($N138))</f>
        <v/>
      </c>
      <c r="P138" s="42" t="n"/>
      <c r="Q138" s="43">
        <f>IF($B138="","",N($O138)-N($P138))</f>
        <v/>
      </c>
      <c r="R138" s="42" t="n"/>
      <c r="S138" s="42" t="n"/>
      <c r="T138" s="42" t="n"/>
      <c r="U138" s="43">
        <f>IF($B138="","",N($J138)-N($R138)-N($T138))</f>
        <v/>
      </c>
      <c r="V138" s="42" t="n"/>
    </row>
    <row r="139">
      <c r="A139" s="39">
        <f>IF($B139="","",COUNTA($B$4:$B139))</f>
        <v/>
      </c>
      <c r="B139" s="45" t="n"/>
      <c r="C139" s="46" t="n"/>
      <c r="D139" s="46" t="n"/>
      <c r="E139" s="46" t="n"/>
      <c r="F139" s="46" t="n"/>
      <c r="G139" s="46" t="n"/>
      <c r="H139" s="46" t="n"/>
      <c r="I139" s="51" t="n"/>
      <c r="J139" s="47" t="n"/>
      <c r="K139" s="47" t="n"/>
      <c r="L139" s="43">
        <f>IF($B139="","",ROUND((N($J139)+N($K139))*نسبة_القيمة_المضافة,2))</f>
        <v/>
      </c>
      <c r="M139" s="47" t="n"/>
      <c r="N139" s="47" t="n"/>
      <c r="O139" s="43">
        <f>IF($B139="","",N($J139)+N($K139)+N($L139)-N($M139)+N($N139))</f>
        <v/>
      </c>
      <c r="P139" s="47" t="n"/>
      <c r="Q139" s="43">
        <f>IF($B139="","",N($O139)-N($P139))</f>
        <v/>
      </c>
      <c r="R139" s="47" t="n"/>
      <c r="S139" s="47" t="n"/>
      <c r="T139" s="47" t="n"/>
      <c r="U139" s="43">
        <f>IF($B139="","",N($J139)-N($R139)-N($T139))</f>
        <v/>
      </c>
      <c r="V139" s="47" t="n"/>
    </row>
    <row r="140">
      <c r="A140" s="39">
        <f>IF($B140="","",COUNTA($B$4:$B140))</f>
        <v/>
      </c>
      <c r="B140" s="40" t="n"/>
      <c r="C140" s="41" t="n"/>
      <c r="D140" s="41" t="n"/>
      <c r="E140" s="41" t="n"/>
      <c r="F140" s="41" t="n"/>
      <c r="G140" s="41" t="n"/>
      <c r="H140" s="41" t="n"/>
      <c r="I140" s="50" t="n"/>
      <c r="J140" s="42" t="n"/>
      <c r="K140" s="42" t="n"/>
      <c r="L140" s="43">
        <f>IF($B140="","",ROUND((N($J140)+N($K140))*نسبة_القيمة_المضافة,2))</f>
        <v/>
      </c>
      <c r="M140" s="42" t="n"/>
      <c r="N140" s="42" t="n"/>
      <c r="O140" s="43">
        <f>IF($B140="","",N($J140)+N($K140)+N($L140)-N($M140)+N($N140))</f>
        <v/>
      </c>
      <c r="P140" s="42" t="n"/>
      <c r="Q140" s="43">
        <f>IF($B140="","",N($O140)-N($P140))</f>
        <v/>
      </c>
      <c r="R140" s="42" t="n"/>
      <c r="S140" s="42" t="n"/>
      <c r="T140" s="42" t="n"/>
      <c r="U140" s="43">
        <f>IF($B140="","",N($J140)-N($R140)-N($T140))</f>
        <v/>
      </c>
      <c r="V140" s="42" t="n"/>
    </row>
    <row r="141">
      <c r="A141" s="39">
        <f>IF($B141="","",COUNTA($B$4:$B141))</f>
        <v/>
      </c>
      <c r="B141" s="45" t="n"/>
      <c r="C141" s="46" t="n"/>
      <c r="D141" s="46" t="n"/>
      <c r="E141" s="46" t="n"/>
      <c r="F141" s="46" t="n"/>
      <c r="G141" s="46" t="n"/>
      <c r="H141" s="46" t="n"/>
      <c r="I141" s="51" t="n"/>
      <c r="J141" s="47" t="n"/>
      <c r="K141" s="47" t="n"/>
      <c r="L141" s="43">
        <f>IF($B141="","",ROUND((N($J141)+N($K141))*نسبة_القيمة_المضافة,2))</f>
        <v/>
      </c>
      <c r="M141" s="47" t="n"/>
      <c r="N141" s="47" t="n"/>
      <c r="O141" s="43">
        <f>IF($B141="","",N($J141)+N($K141)+N($L141)-N($M141)+N($N141))</f>
        <v/>
      </c>
      <c r="P141" s="47" t="n"/>
      <c r="Q141" s="43">
        <f>IF($B141="","",N($O141)-N($P141))</f>
        <v/>
      </c>
      <c r="R141" s="47" t="n"/>
      <c r="S141" s="47" t="n"/>
      <c r="T141" s="47" t="n"/>
      <c r="U141" s="43">
        <f>IF($B141="","",N($J141)-N($R141)-N($T141))</f>
        <v/>
      </c>
      <c r="V141" s="47" t="n"/>
    </row>
    <row r="142">
      <c r="A142" s="39">
        <f>IF($B142="","",COUNTA($B$4:$B142))</f>
        <v/>
      </c>
      <c r="B142" s="40" t="n"/>
      <c r="C142" s="41" t="n"/>
      <c r="D142" s="41" t="n"/>
      <c r="E142" s="41" t="n"/>
      <c r="F142" s="41" t="n"/>
      <c r="G142" s="41" t="n"/>
      <c r="H142" s="41" t="n"/>
      <c r="I142" s="50" t="n"/>
      <c r="J142" s="42" t="n"/>
      <c r="K142" s="42" t="n"/>
      <c r="L142" s="43">
        <f>IF($B142="","",ROUND((N($J142)+N($K142))*نسبة_القيمة_المضافة,2))</f>
        <v/>
      </c>
      <c r="M142" s="42" t="n"/>
      <c r="N142" s="42" t="n"/>
      <c r="O142" s="43">
        <f>IF($B142="","",N($J142)+N($K142)+N($L142)-N($M142)+N($N142))</f>
        <v/>
      </c>
      <c r="P142" s="42" t="n"/>
      <c r="Q142" s="43">
        <f>IF($B142="","",N($O142)-N($P142))</f>
        <v/>
      </c>
      <c r="R142" s="42" t="n"/>
      <c r="S142" s="42" t="n"/>
      <c r="T142" s="42" t="n"/>
      <c r="U142" s="43">
        <f>IF($B142="","",N($J142)-N($R142)-N($T142))</f>
        <v/>
      </c>
      <c r="V142" s="42" t="n"/>
    </row>
    <row r="143">
      <c r="A143" s="39">
        <f>IF($B143="","",COUNTA($B$4:$B143))</f>
        <v/>
      </c>
      <c r="B143" s="45" t="n"/>
      <c r="C143" s="46" t="n"/>
      <c r="D143" s="46" t="n"/>
      <c r="E143" s="46" t="n"/>
      <c r="F143" s="46" t="n"/>
      <c r="G143" s="46" t="n"/>
      <c r="H143" s="46" t="n"/>
      <c r="I143" s="51" t="n"/>
      <c r="J143" s="47" t="n"/>
      <c r="K143" s="47" t="n"/>
      <c r="L143" s="43">
        <f>IF($B143="","",ROUND((N($J143)+N($K143))*نسبة_القيمة_المضافة,2))</f>
        <v/>
      </c>
      <c r="M143" s="47" t="n"/>
      <c r="N143" s="47" t="n"/>
      <c r="O143" s="43">
        <f>IF($B143="","",N($J143)+N($K143)+N($L143)-N($M143)+N($N143))</f>
        <v/>
      </c>
      <c r="P143" s="47" t="n"/>
      <c r="Q143" s="43">
        <f>IF($B143="","",N($O143)-N($P143))</f>
        <v/>
      </c>
      <c r="R143" s="47" t="n"/>
      <c r="S143" s="47" t="n"/>
      <c r="T143" s="47" t="n"/>
      <c r="U143" s="43">
        <f>IF($B143="","",N($J143)-N($R143)-N($T143))</f>
        <v/>
      </c>
      <c r="V143" s="47" t="n"/>
    </row>
    <row r="144">
      <c r="A144" s="39">
        <f>IF($B144="","",COUNTA($B$4:$B144))</f>
        <v/>
      </c>
      <c r="B144" s="40" t="n"/>
      <c r="C144" s="41" t="n"/>
      <c r="D144" s="41" t="n"/>
      <c r="E144" s="41" t="n"/>
      <c r="F144" s="41" t="n"/>
      <c r="G144" s="41" t="n"/>
      <c r="H144" s="41" t="n"/>
      <c r="I144" s="50" t="n"/>
      <c r="J144" s="42" t="n"/>
      <c r="K144" s="42" t="n"/>
      <c r="L144" s="43">
        <f>IF($B144="","",ROUND((N($J144)+N($K144))*نسبة_القيمة_المضافة,2))</f>
        <v/>
      </c>
      <c r="M144" s="42" t="n"/>
      <c r="N144" s="42" t="n"/>
      <c r="O144" s="43">
        <f>IF($B144="","",N($J144)+N($K144)+N($L144)-N($M144)+N($N144))</f>
        <v/>
      </c>
      <c r="P144" s="42" t="n"/>
      <c r="Q144" s="43">
        <f>IF($B144="","",N($O144)-N($P144))</f>
        <v/>
      </c>
      <c r="R144" s="42" t="n"/>
      <c r="S144" s="42" t="n"/>
      <c r="T144" s="42" t="n"/>
      <c r="U144" s="43">
        <f>IF($B144="","",N($J144)-N($R144)-N($T144))</f>
        <v/>
      </c>
      <c r="V144" s="42" t="n"/>
    </row>
    <row r="145">
      <c r="A145" s="39">
        <f>IF($B145="","",COUNTA($B$4:$B145))</f>
        <v/>
      </c>
      <c r="B145" s="45" t="n"/>
      <c r="C145" s="46" t="n"/>
      <c r="D145" s="46" t="n"/>
      <c r="E145" s="46" t="n"/>
      <c r="F145" s="46" t="n"/>
      <c r="G145" s="46" t="n"/>
      <c r="H145" s="46" t="n"/>
      <c r="I145" s="51" t="n"/>
      <c r="J145" s="47" t="n"/>
      <c r="K145" s="47" t="n"/>
      <c r="L145" s="43">
        <f>IF($B145="","",ROUND((N($J145)+N($K145))*نسبة_القيمة_المضافة,2))</f>
        <v/>
      </c>
      <c r="M145" s="47" t="n"/>
      <c r="N145" s="47" t="n"/>
      <c r="O145" s="43">
        <f>IF($B145="","",N($J145)+N($K145)+N($L145)-N($M145)+N($N145))</f>
        <v/>
      </c>
      <c r="P145" s="47" t="n"/>
      <c r="Q145" s="43">
        <f>IF($B145="","",N($O145)-N($P145))</f>
        <v/>
      </c>
      <c r="R145" s="47" t="n"/>
      <c r="S145" s="47" t="n"/>
      <c r="T145" s="47" t="n"/>
      <c r="U145" s="43">
        <f>IF($B145="","",N($J145)-N($R145)-N($T145))</f>
        <v/>
      </c>
      <c r="V145" s="47" t="n"/>
    </row>
    <row r="146">
      <c r="A146" s="39">
        <f>IF($B146="","",COUNTA($B$4:$B146))</f>
        <v/>
      </c>
      <c r="B146" s="40" t="n"/>
      <c r="C146" s="41" t="n"/>
      <c r="D146" s="41" t="n"/>
      <c r="E146" s="41" t="n"/>
      <c r="F146" s="41" t="n"/>
      <c r="G146" s="41" t="n"/>
      <c r="H146" s="41" t="n"/>
      <c r="I146" s="50" t="n"/>
      <c r="J146" s="42" t="n"/>
      <c r="K146" s="42" t="n"/>
      <c r="L146" s="43">
        <f>IF($B146="","",ROUND((N($J146)+N($K146))*نسبة_القيمة_المضافة,2))</f>
        <v/>
      </c>
      <c r="M146" s="42" t="n"/>
      <c r="N146" s="42" t="n"/>
      <c r="O146" s="43">
        <f>IF($B146="","",N($J146)+N($K146)+N($L146)-N($M146)+N($N146))</f>
        <v/>
      </c>
      <c r="P146" s="42" t="n"/>
      <c r="Q146" s="43">
        <f>IF($B146="","",N($O146)-N($P146))</f>
        <v/>
      </c>
      <c r="R146" s="42" t="n"/>
      <c r="S146" s="42" t="n"/>
      <c r="T146" s="42" t="n"/>
      <c r="U146" s="43">
        <f>IF($B146="","",N($J146)-N($R146)-N($T146))</f>
        <v/>
      </c>
      <c r="V146" s="42" t="n"/>
    </row>
    <row r="147">
      <c r="A147" s="39">
        <f>IF($B147="","",COUNTA($B$4:$B147))</f>
        <v/>
      </c>
      <c r="B147" s="45" t="n"/>
      <c r="C147" s="46" t="n"/>
      <c r="D147" s="46" t="n"/>
      <c r="E147" s="46" t="n"/>
      <c r="F147" s="46" t="n"/>
      <c r="G147" s="46" t="n"/>
      <c r="H147" s="46" t="n"/>
      <c r="I147" s="51" t="n"/>
      <c r="J147" s="47" t="n"/>
      <c r="K147" s="47" t="n"/>
      <c r="L147" s="43">
        <f>IF($B147="","",ROUND((N($J147)+N($K147))*نسبة_القيمة_المضافة,2))</f>
        <v/>
      </c>
      <c r="M147" s="47" t="n"/>
      <c r="N147" s="47" t="n"/>
      <c r="O147" s="43">
        <f>IF($B147="","",N($J147)+N($K147)+N($L147)-N($M147)+N($N147))</f>
        <v/>
      </c>
      <c r="P147" s="47" t="n"/>
      <c r="Q147" s="43">
        <f>IF($B147="","",N($O147)-N($P147))</f>
        <v/>
      </c>
      <c r="R147" s="47" t="n"/>
      <c r="S147" s="47" t="n"/>
      <c r="T147" s="47" t="n"/>
      <c r="U147" s="43">
        <f>IF($B147="","",N($J147)-N($R147)-N($T147))</f>
        <v/>
      </c>
      <c r="V147" s="47" t="n"/>
    </row>
    <row r="148">
      <c r="A148" s="39">
        <f>IF($B148="","",COUNTA($B$4:$B148))</f>
        <v/>
      </c>
      <c r="B148" s="40" t="n"/>
      <c r="C148" s="41" t="n"/>
      <c r="D148" s="41" t="n"/>
      <c r="E148" s="41" t="n"/>
      <c r="F148" s="41" t="n"/>
      <c r="G148" s="41" t="n"/>
      <c r="H148" s="41" t="n"/>
      <c r="I148" s="50" t="n"/>
      <c r="J148" s="42" t="n"/>
      <c r="K148" s="42" t="n"/>
      <c r="L148" s="43">
        <f>IF($B148="","",ROUND((N($J148)+N($K148))*نسبة_القيمة_المضافة,2))</f>
        <v/>
      </c>
      <c r="M148" s="42" t="n"/>
      <c r="N148" s="42" t="n"/>
      <c r="O148" s="43">
        <f>IF($B148="","",N($J148)+N($K148)+N($L148)-N($M148)+N($N148))</f>
        <v/>
      </c>
      <c r="P148" s="42" t="n"/>
      <c r="Q148" s="43">
        <f>IF($B148="","",N($O148)-N($P148))</f>
        <v/>
      </c>
      <c r="R148" s="42" t="n"/>
      <c r="S148" s="42" t="n"/>
      <c r="T148" s="42" t="n"/>
      <c r="U148" s="43">
        <f>IF($B148="","",N($J148)-N($R148)-N($T148))</f>
        <v/>
      </c>
      <c r="V148" s="42" t="n"/>
    </row>
    <row r="149">
      <c r="A149" s="39">
        <f>IF($B149="","",COUNTA($B$4:$B149))</f>
        <v/>
      </c>
      <c r="B149" s="45" t="n"/>
      <c r="C149" s="46" t="n"/>
      <c r="D149" s="46" t="n"/>
      <c r="E149" s="46" t="n"/>
      <c r="F149" s="46" t="n"/>
      <c r="G149" s="46" t="n"/>
      <c r="H149" s="46" t="n"/>
      <c r="I149" s="51" t="n"/>
      <c r="J149" s="47" t="n"/>
      <c r="K149" s="47" t="n"/>
      <c r="L149" s="43">
        <f>IF($B149="","",ROUND((N($J149)+N($K149))*نسبة_القيمة_المضافة,2))</f>
        <v/>
      </c>
      <c r="M149" s="47" t="n"/>
      <c r="N149" s="47" t="n"/>
      <c r="O149" s="43">
        <f>IF($B149="","",N($J149)+N($K149)+N($L149)-N($M149)+N($N149))</f>
        <v/>
      </c>
      <c r="P149" s="47" t="n"/>
      <c r="Q149" s="43">
        <f>IF($B149="","",N($O149)-N($P149))</f>
        <v/>
      </c>
      <c r="R149" s="47" t="n"/>
      <c r="S149" s="47" t="n"/>
      <c r="T149" s="47" t="n"/>
      <c r="U149" s="43">
        <f>IF($B149="","",N($J149)-N($R149)-N($T149))</f>
        <v/>
      </c>
      <c r="V149" s="47" t="n"/>
    </row>
    <row r="150">
      <c r="A150" s="39">
        <f>IF($B150="","",COUNTA($B$4:$B150))</f>
        <v/>
      </c>
      <c r="B150" s="40" t="n"/>
      <c r="C150" s="41" t="n"/>
      <c r="D150" s="41" t="n"/>
      <c r="E150" s="41" t="n"/>
      <c r="F150" s="41" t="n"/>
      <c r="G150" s="41" t="n"/>
      <c r="H150" s="41" t="n"/>
      <c r="I150" s="50" t="n"/>
      <c r="J150" s="42" t="n"/>
      <c r="K150" s="42" t="n"/>
      <c r="L150" s="43">
        <f>IF($B150="","",ROUND((N($J150)+N($K150))*نسبة_القيمة_المضافة,2))</f>
        <v/>
      </c>
      <c r="M150" s="42" t="n"/>
      <c r="N150" s="42" t="n"/>
      <c r="O150" s="43">
        <f>IF($B150="","",N($J150)+N($K150)+N($L150)-N($M150)+N($N150))</f>
        <v/>
      </c>
      <c r="P150" s="42" t="n"/>
      <c r="Q150" s="43">
        <f>IF($B150="","",N($O150)-N($P150))</f>
        <v/>
      </c>
      <c r="R150" s="42" t="n"/>
      <c r="S150" s="42" t="n"/>
      <c r="T150" s="42" t="n"/>
      <c r="U150" s="43">
        <f>IF($B150="","",N($J150)-N($R150)-N($T150))</f>
        <v/>
      </c>
      <c r="V150" s="42" t="n"/>
    </row>
    <row r="151">
      <c r="A151" s="39">
        <f>IF($B151="","",COUNTA($B$4:$B151))</f>
        <v/>
      </c>
      <c r="B151" s="45" t="n"/>
      <c r="C151" s="46" t="n"/>
      <c r="D151" s="46" t="n"/>
      <c r="E151" s="46" t="n"/>
      <c r="F151" s="46" t="n"/>
      <c r="G151" s="46" t="n"/>
      <c r="H151" s="46" t="n"/>
      <c r="I151" s="51" t="n"/>
      <c r="J151" s="47" t="n"/>
      <c r="K151" s="47" t="n"/>
      <c r="L151" s="43">
        <f>IF($B151="","",ROUND((N($J151)+N($K151))*نسبة_القيمة_المضافة,2))</f>
        <v/>
      </c>
      <c r="M151" s="47" t="n"/>
      <c r="N151" s="47" t="n"/>
      <c r="O151" s="43">
        <f>IF($B151="","",N($J151)+N($K151)+N($L151)-N($M151)+N($N151))</f>
        <v/>
      </c>
      <c r="P151" s="47" t="n"/>
      <c r="Q151" s="43">
        <f>IF($B151="","",N($O151)-N($P151))</f>
        <v/>
      </c>
      <c r="R151" s="47" t="n"/>
      <c r="S151" s="47" t="n"/>
      <c r="T151" s="47" t="n"/>
      <c r="U151" s="43">
        <f>IF($B151="","",N($J151)-N($R151)-N($T151))</f>
        <v/>
      </c>
      <c r="V151" s="47" t="n"/>
    </row>
    <row r="152">
      <c r="A152" s="39">
        <f>IF($B152="","",COUNTA($B$4:$B152))</f>
        <v/>
      </c>
      <c r="B152" s="40" t="n"/>
      <c r="C152" s="41" t="n"/>
      <c r="D152" s="41" t="n"/>
      <c r="E152" s="41" t="n"/>
      <c r="F152" s="41" t="n"/>
      <c r="G152" s="41" t="n"/>
      <c r="H152" s="41" t="n"/>
      <c r="I152" s="50" t="n"/>
      <c r="J152" s="42" t="n"/>
      <c r="K152" s="42" t="n"/>
      <c r="L152" s="43">
        <f>IF($B152="","",ROUND((N($J152)+N($K152))*نسبة_القيمة_المضافة,2))</f>
        <v/>
      </c>
      <c r="M152" s="42" t="n"/>
      <c r="N152" s="42" t="n"/>
      <c r="O152" s="43">
        <f>IF($B152="","",N($J152)+N($K152)+N($L152)-N($M152)+N($N152))</f>
        <v/>
      </c>
      <c r="P152" s="42" t="n"/>
      <c r="Q152" s="43">
        <f>IF($B152="","",N($O152)-N($P152))</f>
        <v/>
      </c>
      <c r="R152" s="42" t="n"/>
      <c r="S152" s="42" t="n"/>
      <c r="T152" s="42" t="n"/>
      <c r="U152" s="43">
        <f>IF($B152="","",N($J152)-N($R152)-N($T152))</f>
        <v/>
      </c>
      <c r="V152" s="42" t="n"/>
    </row>
    <row r="153">
      <c r="A153" s="39">
        <f>IF($B153="","",COUNTA($B$4:$B153))</f>
        <v/>
      </c>
      <c r="B153" s="45" t="n"/>
      <c r="C153" s="46" t="n"/>
      <c r="D153" s="46" t="n"/>
      <c r="E153" s="46" t="n"/>
      <c r="F153" s="46" t="n"/>
      <c r="G153" s="46" t="n"/>
      <c r="H153" s="46" t="n"/>
      <c r="I153" s="51" t="n"/>
      <c r="J153" s="47" t="n"/>
      <c r="K153" s="47" t="n"/>
      <c r="L153" s="43">
        <f>IF($B153="","",ROUND((N($J153)+N($K153))*نسبة_القيمة_المضافة,2))</f>
        <v/>
      </c>
      <c r="M153" s="47" t="n"/>
      <c r="N153" s="47" t="n"/>
      <c r="O153" s="43">
        <f>IF($B153="","",N($J153)+N($K153)+N($L153)-N($M153)+N($N153))</f>
        <v/>
      </c>
      <c r="P153" s="47" t="n"/>
      <c r="Q153" s="43">
        <f>IF($B153="","",N($O153)-N($P153))</f>
        <v/>
      </c>
      <c r="R153" s="47" t="n"/>
      <c r="S153" s="47" t="n"/>
      <c r="T153" s="47" t="n"/>
      <c r="U153" s="43">
        <f>IF($B153="","",N($J153)-N($R153)-N($T153))</f>
        <v/>
      </c>
      <c r="V153" s="47" t="n"/>
    </row>
    <row r="154">
      <c r="A154" s="39">
        <f>IF($B154="","",COUNTA($B$4:$B154))</f>
        <v/>
      </c>
      <c r="B154" s="40" t="n"/>
      <c r="C154" s="41" t="n"/>
      <c r="D154" s="41" t="n"/>
      <c r="E154" s="41" t="n"/>
      <c r="F154" s="41" t="n"/>
      <c r="G154" s="41" t="n"/>
      <c r="H154" s="41" t="n"/>
      <c r="I154" s="50" t="n"/>
      <c r="J154" s="42" t="n"/>
      <c r="K154" s="42" t="n"/>
      <c r="L154" s="43">
        <f>IF($B154="","",ROUND((N($J154)+N($K154))*نسبة_القيمة_المضافة,2))</f>
        <v/>
      </c>
      <c r="M154" s="42" t="n"/>
      <c r="N154" s="42" t="n"/>
      <c r="O154" s="43">
        <f>IF($B154="","",N($J154)+N($K154)+N($L154)-N($M154)+N($N154))</f>
        <v/>
      </c>
      <c r="P154" s="42" t="n"/>
      <c r="Q154" s="43">
        <f>IF($B154="","",N($O154)-N($P154))</f>
        <v/>
      </c>
      <c r="R154" s="42" t="n"/>
      <c r="S154" s="42" t="n"/>
      <c r="T154" s="42" t="n"/>
      <c r="U154" s="43">
        <f>IF($B154="","",N($J154)-N($R154)-N($T154))</f>
        <v/>
      </c>
      <c r="V154" s="42" t="n"/>
    </row>
    <row r="155">
      <c r="A155" s="39">
        <f>IF($B155="","",COUNTA($B$4:$B155))</f>
        <v/>
      </c>
      <c r="B155" s="45" t="n"/>
      <c r="C155" s="46" t="n"/>
      <c r="D155" s="46" t="n"/>
      <c r="E155" s="46" t="n"/>
      <c r="F155" s="46" t="n"/>
      <c r="G155" s="46" t="n"/>
      <c r="H155" s="46" t="n"/>
      <c r="I155" s="51" t="n"/>
      <c r="J155" s="47" t="n"/>
      <c r="K155" s="47" t="n"/>
      <c r="L155" s="43">
        <f>IF($B155="","",ROUND((N($J155)+N($K155))*نسبة_القيمة_المضافة,2))</f>
        <v/>
      </c>
      <c r="M155" s="47" t="n"/>
      <c r="N155" s="47" t="n"/>
      <c r="O155" s="43">
        <f>IF($B155="","",N($J155)+N($K155)+N($L155)-N($M155)+N($N155))</f>
        <v/>
      </c>
      <c r="P155" s="47" t="n"/>
      <c r="Q155" s="43">
        <f>IF($B155="","",N($O155)-N($P155))</f>
        <v/>
      </c>
      <c r="R155" s="47" t="n"/>
      <c r="S155" s="47" t="n"/>
      <c r="T155" s="47" t="n"/>
      <c r="U155" s="43">
        <f>IF($B155="","",N($J155)-N($R155)-N($T155))</f>
        <v/>
      </c>
      <c r="V155" s="47" t="n"/>
    </row>
    <row r="156">
      <c r="A156" s="39">
        <f>IF($B156="","",COUNTA($B$4:$B156))</f>
        <v/>
      </c>
      <c r="B156" s="40" t="n"/>
      <c r="C156" s="41" t="n"/>
      <c r="D156" s="41" t="n"/>
      <c r="E156" s="41" t="n"/>
      <c r="F156" s="41" t="n"/>
      <c r="G156" s="41" t="n"/>
      <c r="H156" s="41" t="n"/>
      <c r="I156" s="50" t="n"/>
      <c r="J156" s="42" t="n"/>
      <c r="K156" s="42" t="n"/>
      <c r="L156" s="43">
        <f>IF($B156="","",ROUND((N($J156)+N($K156))*نسبة_القيمة_المضافة,2))</f>
        <v/>
      </c>
      <c r="M156" s="42" t="n"/>
      <c r="N156" s="42" t="n"/>
      <c r="O156" s="43">
        <f>IF($B156="","",N($J156)+N($K156)+N($L156)-N($M156)+N($N156))</f>
        <v/>
      </c>
      <c r="P156" s="42" t="n"/>
      <c r="Q156" s="43">
        <f>IF($B156="","",N($O156)-N($P156))</f>
        <v/>
      </c>
      <c r="R156" s="42" t="n"/>
      <c r="S156" s="42" t="n"/>
      <c r="T156" s="42" t="n"/>
      <c r="U156" s="43">
        <f>IF($B156="","",N($J156)-N($R156)-N($T156))</f>
        <v/>
      </c>
      <c r="V156" s="42" t="n"/>
    </row>
    <row r="157">
      <c r="A157" s="39">
        <f>IF($B157="","",COUNTA($B$4:$B157))</f>
        <v/>
      </c>
      <c r="B157" s="45" t="n"/>
      <c r="C157" s="46" t="n"/>
      <c r="D157" s="46" t="n"/>
      <c r="E157" s="46" t="n"/>
      <c r="F157" s="46" t="n"/>
      <c r="G157" s="46" t="n"/>
      <c r="H157" s="46" t="n"/>
      <c r="I157" s="51" t="n"/>
      <c r="J157" s="47" t="n"/>
      <c r="K157" s="47" t="n"/>
      <c r="L157" s="43">
        <f>IF($B157="","",ROUND((N($J157)+N($K157))*نسبة_القيمة_المضافة,2))</f>
        <v/>
      </c>
      <c r="M157" s="47" t="n"/>
      <c r="N157" s="47" t="n"/>
      <c r="O157" s="43">
        <f>IF($B157="","",N($J157)+N($K157)+N($L157)-N($M157)+N($N157))</f>
        <v/>
      </c>
      <c r="P157" s="47" t="n"/>
      <c r="Q157" s="43">
        <f>IF($B157="","",N($O157)-N($P157))</f>
        <v/>
      </c>
      <c r="R157" s="47" t="n"/>
      <c r="S157" s="47" t="n"/>
      <c r="T157" s="47" t="n"/>
      <c r="U157" s="43">
        <f>IF($B157="","",N($J157)-N($R157)-N($T157))</f>
        <v/>
      </c>
      <c r="V157" s="47" t="n"/>
    </row>
    <row r="158">
      <c r="A158" s="39">
        <f>IF($B158="","",COUNTA($B$4:$B158))</f>
        <v/>
      </c>
      <c r="B158" s="40" t="n"/>
      <c r="C158" s="41" t="n"/>
      <c r="D158" s="41" t="n"/>
      <c r="E158" s="41" t="n"/>
      <c r="F158" s="41" t="n"/>
      <c r="G158" s="41" t="n"/>
      <c r="H158" s="41" t="n"/>
      <c r="I158" s="50" t="n"/>
      <c r="J158" s="42" t="n"/>
      <c r="K158" s="42" t="n"/>
      <c r="L158" s="43">
        <f>IF($B158="","",ROUND((N($J158)+N($K158))*نسبة_القيمة_المضافة,2))</f>
        <v/>
      </c>
      <c r="M158" s="42" t="n"/>
      <c r="N158" s="42" t="n"/>
      <c r="O158" s="43">
        <f>IF($B158="","",N($J158)+N($K158)+N($L158)-N($M158)+N($N158))</f>
        <v/>
      </c>
      <c r="P158" s="42" t="n"/>
      <c r="Q158" s="43">
        <f>IF($B158="","",N($O158)-N($P158))</f>
        <v/>
      </c>
      <c r="R158" s="42" t="n"/>
      <c r="S158" s="42" t="n"/>
      <c r="T158" s="42" t="n"/>
      <c r="U158" s="43">
        <f>IF($B158="","",N($J158)-N($R158)-N($T158))</f>
        <v/>
      </c>
      <c r="V158" s="42" t="n"/>
    </row>
    <row r="159">
      <c r="A159" s="39">
        <f>IF($B159="","",COUNTA($B$4:$B159))</f>
        <v/>
      </c>
      <c r="B159" s="45" t="n"/>
      <c r="C159" s="46" t="n"/>
      <c r="D159" s="46" t="n"/>
      <c r="E159" s="46" t="n"/>
      <c r="F159" s="46" t="n"/>
      <c r="G159" s="46" t="n"/>
      <c r="H159" s="46" t="n"/>
      <c r="I159" s="51" t="n"/>
      <c r="J159" s="47" t="n"/>
      <c r="K159" s="47" t="n"/>
      <c r="L159" s="43">
        <f>IF($B159="","",ROUND((N($J159)+N($K159))*نسبة_القيمة_المضافة,2))</f>
        <v/>
      </c>
      <c r="M159" s="47" t="n"/>
      <c r="N159" s="47" t="n"/>
      <c r="O159" s="43">
        <f>IF($B159="","",N($J159)+N($K159)+N($L159)-N($M159)+N($N159))</f>
        <v/>
      </c>
      <c r="P159" s="47" t="n"/>
      <c r="Q159" s="43">
        <f>IF($B159="","",N($O159)-N($P159))</f>
        <v/>
      </c>
      <c r="R159" s="47" t="n"/>
      <c r="S159" s="47" t="n"/>
      <c r="T159" s="47" t="n"/>
      <c r="U159" s="43">
        <f>IF($B159="","",N($J159)-N($R159)-N($T159))</f>
        <v/>
      </c>
      <c r="V159" s="47" t="n"/>
    </row>
    <row r="160">
      <c r="A160" s="39">
        <f>IF($B160="","",COUNTA($B$4:$B160))</f>
        <v/>
      </c>
      <c r="B160" s="40" t="n"/>
      <c r="C160" s="41" t="n"/>
      <c r="D160" s="41" t="n"/>
      <c r="E160" s="41" t="n"/>
      <c r="F160" s="41" t="n"/>
      <c r="G160" s="41" t="n"/>
      <c r="H160" s="41" t="n"/>
      <c r="I160" s="50" t="n"/>
      <c r="J160" s="42" t="n"/>
      <c r="K160" s="42" t="n"/>
      <c r="L160" s="43">
        <f>IF($B160="","",ROUND((N($J160)+N($K160))*نسبة_القيمة_المضافة,2))</f>
        <v/>
      </c>
      <c r="M160" s="42" t="n"/>
      <c r="N160" s="42" t="n"/>
      <c r="O160" s="43">
        <f>IF($B160="","",N($J160)+N($K160)+N($L160)-N($M160)+N($N160))</f>
        <v/>
      </c>
      <c r="P160" s="42" t="n"/>
      <c r="Q160" s="43">
        <f>IF($B160="","",N($O160)-N($P160))</f>
        <v/>
      </c>
      <c r="R160" s="42" t="n"/>
      <c r="S160" s="42" t="n"/>
      <c r="T160" s="42" t="n"/>
      <c r="U160" s="43">
        <f>IF($B160="","",N($J160)-N($R160)-N($T160))</f>
        <v/>
      </c>
      <c r="V160" s="42" t="n"/>
    </row>
    <row r="161">
      <c r="A161" s="39">
        <f>IF($B161="","",COUNTA($B$4:$B161))</f>
        <v/>
      </c>
      <c r="B161" s="45" t="n"/>
      <c r="C161" s="46" t="n"/>
      <c r="D161" s="46" t="n"/>
      <c r="E161" s="46" t="n"/>
      <c r="F161" s="46" t="n"/>
      <c r="G161" s="46" t="n"/>
      <c r="H161" s="46" t="n"/>
      <c r="I161" s="51" t="n"/>
      <c r="J161" s="47" t="n"/>
      <c r="K161" s="47" t="n"/>
      <c r="L161" s="43">
        <f>IF($B161="","",ROUND((N($J161)+N($K161))*نسبة_القيمة_المضافة,2))</f>
        <v/>
      </c>
      <c r="M161" s="47" t="n"/>
      <c r="N161" s="47" t="n"/>
      <c r="O161" s="43">
        <f>IF($B161="","",N($J161)+N($K161)+N($L161)-N($M161)+N($N161))</f>
        <v/>
      </c>
      <c r="P161" s="47" t="n"/>
      <c r="Q161" s="43">
        <f>IF($B161="","",N($O161)-N($P161))</f>
        <v/>
      </c>
      <c r="R161" s="47" t="n"/>
      <c r="S161" s="47" t="n"/>
      <c r="T161" s="47" t="n"/>
      <c r="U161" s="43">
        <f>IF($B161="","",N($J161)-N($R161)-N($T161))</f>
        <v/>
      </c>
      <c r="V161" s="47" t="n"/>
    </row>
    <row r="162">
      <c r="A162" s="39">
        <f>IF($B162="","",COUNTA($B$4:$B162))</f>
        <v/>
      </c>
      <c r="B162" s="40" t="n"/>
      <c r="C162" s="41" t="n"/>
      <c r="D162" s="41" t="n"/>
      <c r="E162" s="41" t="n"/>
      <c r="F162" s="41" t="n"/>
      <c r="G162" s="41" t="n"/>
      <c r="H162" s="41" t="n"/>
      <c r="I162" s="50" t="n"/>
      <c r="J162" s="42" t="n"/>
      <c r="K162" s="42" t="n"/>
      <c r="L162" s="43">
        <f>IF($B162="","",ROUND((N($J162)+N($K162))*نسبة_القيمة_المضافة,2))</f>
        <v/>
      </c>
      <c r="M162" s="42" t="n"/>
      <c r="N162" s="42" t="n"/>
      <c r="O162" s="43">
        <f>IF($B162="","",N($J162)+N($K162)+N($L162)-N($M162)+N($N162))</f>
        <v/>
      </c>
      <c r="P162" s="42" t="n"/>
      <c r="Q162" s="43">
        <f>IF($B162="","",N($O162)-N($P162))</f>
        <v/>
      </c>
      <c r="R162" s="42" t="n"/>
      <c r="S162" s="42" t="n"/>
      <c r="T162" s="42" t="n"/>
      <c r="U162" s="43">
        <f>IF($B162="","",N($J162)-N($R162)-N($T162))</f>
        <v/>
      </c>
      <c r="V162" s="42" t="n"/>
    </row>
    <row r="163">
      <c r="A163" s="39">
        <f>IF($B163="","",COUNTA($B$4:$B163))</f>
        <v/>
      </c>
      <c r="B163" s="45" t="n"/>
      <c r="C163" s="46" t="n"/>
      <c r="D163" s="46" t="n"/>
      <c r="E163" s="46" t="n"/>
      <c r="F163" s="46" t="n"/>
      <c r="G163" s="46" t="n"/>
      <c r="H163" s="46" t="n"/>
      <c r="I163" s="51" t="n"/>
      <c r="J163" s="47" t="n"/>
      <c r="K163" s="47" t="n"/>
      <c r="L163" s="43">
        <f>IF($B163="","",ROUND((N($J163)+N($K163))*نسبة_القيمة_المضافة,2))</f>
        <v/>
      </c>
      <c r="M163" s="47" t="n"/>
      <c r="N163" s="47" t="n"/>
      <c r="O163" s="43">
        <f>IF($B163="","",N($J163)+N($K163)+N($L163)-N($M163)+N($N163))</f>
        <v/>
      </c>
      <c r="P163" s="47" t="n"/>
      <c r="Q163" s="43">
        <f>IF($B163="","",N($O163)-N($P163))</f>
        <v/>
      </c>
      <c r="R163" s="47" t="n"/>
      <c r="S163" s="47" t="n"/>
      <c r="T163" s="47" t="n"/>
      <c r="U163" s="43">
        <f>IF($B163="","",N($J163)-N($R163)-N($T163))</f>
        <v/>
      </c>
      <c r="V163" s="47" t="n"/>
    </row>
    <row r="164">
      <c r="A164" s="39">
        <f>IF($B164="","",COUNTA($B$4:$B164))</f>
        <v/>
      </c>
      <c r="B164" s="40" t="n"/>
      <c r="C164" s="41" t="n"/>
      <c r="D164" s="41" t="n"/>
      <c r="E164" s="41" t="n"/>
      <c r="F164" s="41" t="n"/>
      <c r="G164" s="41" t="n"/>
      <c r="H164" s="41" t="n"/>
      <c r="I164" s="50" t="n"/>
      <c r="J164" s="42" t="n"/>
      <c r="K164" s="42" t="n"/>
      <c r="L164" s="43">
        <f>IF($B164="","",ROUND((N($J164)+N($K164))*نسبة_القيمة_المضافة,2))</f>
        <v/>
      </c>
      <c r="M164" s="42" t="n"/>
      <c r="N164" s="42" t="n"/>
      <c r="O164" s="43">
        <f>IF($B164="","",N($J164)+N($K164)+N($L164)-N($M164)+N($N164))</f>
        <v/>
      </c>
      <c r="P164" s="42" t="n"/>
      <c r="Q164" s="43">
        <f>IF($B164="","",N($O164)-N($P164))</f>
        <v/>
      </c>
      <c r="R164" s="42" t="n"/>
      <c r="S164" s="42" t="n"/>
      <c r="T164" s="42" t="n"/>
      <c r="U164" s="43">
        <f>IF($B164="","",N($J164)-N($R164)-N($T164))</f>
        <v/>
      </c>
      <c r="V164" s="42" t="n"/>
    </row>
    <row r="165">
      <c r="A165" s="39">
        <f>IF($B165="","",COUNTA($B$4:$B165))</f>
        <v/>
      </c>
      <c r="B165" s="45" t="n"/>
      <c r="C165" s="46" t="n"/>
      <c r="D165" s="46" t="n"/>
      <c r="E165" s="46" t="n"/>
      <c r="F165" s="46" t="n"/>
      <c r="G165" s="46" t="n"/>
      <c r="H165" s="46" t="n"/>
      <c r="I165" s="51" t="n"/>
      <c r="J165" s="47" t="n"/>
      <c r="K165" s="47" t="n"/>
      <c r="L165" s="43">
        <f>IF($B165="","",ROUND((N($J165)+N($K165))*نسبة_القيمة_المضافة,2))</f>
        <v/>
      </c>
      <c r="M165" s="47" t="n"/>
      <c r="N165" s="47" t="n"/>
      <c r="O165" s="43">
        <f>IF($B165="","",N($J165)+N($K165)+N($L165)-N($M165)+N($N165))</f>
        <v/>
      </c>
      <c r="P165" s="47" t="n"/>
      <c r="Q165" s="43">
        <f>IF($B165="","",N($O165)-N($P165))</f>
        <v/>
      </c>
      <c r="R165" s="47" t="n"/>
      <c r="S165" s="47" t="n"/>
      <c r="T165" s="47" t="n"/>
      <c r="U165" s="43">
        <f>IF($B165="","",N($J165)-N($R165)-N($T165))</f>
        <v/>
      </c>
      <c r="V165" s="47" t="n"/>
    </row>
    <row r="166">
      <c r="A166" s="39">
        <f>IF($B166="","",COUNTA($B$4:$B166))</f>
        <v/>
      </c>
      <c r="B166" s="40" t="n"/>
      <c r="C166" s="41" t="n"/>
      <c r="D166" s="41" t="n"/>
      <c r="E166" s="41" t="n"/>
      <c r="F166" s="41" t="n"/>
      <c r="G166" s="41" t="n"/>
      <c r="H166" s="41" t="n"/>
      <c r="I166" s="50" t="n"/>
      <c r="J166" s="42" t="n"/>
      <c r="K166" s="42" t="n"/>
      <c r="L166" s="43">
        <f>IF($B166="","",ROUND((N($J166)+N($K166))*نسبة_القيمة_المضافة,2))</f>
        <v/>
      </c>
      <c r="M166" s="42" t="n"/>
      <c r="N166" s="42" t="n"/>
      <c r="O166" s="43">
        <f>IF($B166="","",N($J166)+N($K166)+N($L166)-N($M166)+N($N166))</f>
        <v/>
      </c>
      <c r="P166" s="42" t="n"/>
      <c r="Q166" s="43">
        <f>IF($B166="","",N($O166)-N($P166))</f>
        <v/>
      </c>
      <c r="R166" s="42" t="n"/>
      <c r="S166" s="42" t="n"/>
      <c r="T166" s="42" t="n"/>
      <c r="U166" s="43">
        <f>IF($B166="","",N($J166)-N($R166)-N($T166))</f>
        <v/>
      </c>
      <c r="V166" s="42" t="n"/>
    </row>
    <row r="167">
      <c r="A167" s="39">
        <f>IF($B167="","",COUNTA($B$4:$B167))</f>
        <v/>
      </c>
      <c r="B167" s="45" t="n"/>
      <c r="C167" s="46" t="n"/>
      <c r="D167" s="46" t="n"/>
      <c r="E167" s="46" t="n"/>
      <c r="F167" s="46" t="n"/>
      <c r="G167" s="46" t="n"/>
      <c r="H167" s="46" t="n"/>
      <c r="I167" s="51" t="n"/>
      <c r="J167" s="47" t="n"/>
      <c r="K167" s="47" t="n"/>
      <c r="L167" s="43">
        <f>IF($B167="","",ROUND((N($J167)+N($K167))*نسبة_القيمة_المضافة,2))</f>
        <v/>
      </c>
      <c r="M167" s="47" t="n"/>
      <c r="N167" s="47" t="n"/>
      <c r="O167" s="43">
        <f>IF($B167="","",N($J167)+N($K167)+N($L167)-N($M167)+N($N167))</f>
        <v/>
      </c>
      <c r="P167" s="47" t="n"/>
      <c r="Q167" s="43">
        <f>IF($B167="","",N($O167)-N($P167))</f>
        <v/>
      </c>
      <c r="R167" s="47" t="n"/>
      <c r="S167" s="47" t="n"/>
      <c r="T167" s="47" t="n"/>
      <c r="U167" s="43">
        <f>IF($B167="","",N($J167)-N($R167)-N($T167))</f>
        <v/>
      </c>
      <c r="V167" s="47" t="n"/>
    </row>
    <row r="168">
      <c r="A168" s="39">
        <f>IF($B168="","",COUNTA($B$4:$B168))</f>
        <v/>
      </c>
      <c r="B168" s="40" t="n"/>
      <c r="C168" s="41" t="n"/>
      <c r="D168" s="41" t="n"/>
      <c r="E168" s="41" t="n"/>
      <c r="F168" s="41" t="n"/>
      <c r="G168" s="41" t="n"/>
      <c r="H168" s="41" t="n"/>
      <c r="I168" s="50" t="n"/>
      <c r="J168" s="42" t="n"/>
      <c r="K168" s="42" t="n"/>
      <c r="L168" s="43">
        <f>IF($B168="","",ROUND((N($J168)+N($K168))*نسبة_القيمة_المضافة,2))</f>
        <v/>
      </c>
      <c r="M168" s="42" t="n"/>
      <c r="N168" s="42" t="n"/>
      <c r="O168" s="43">
        <f>IF($B168="","",N($J168)+N($K168)+N($L168)-N($M168)+N($N168))</f>
        <v/>
      </c>
      <c r="P168" s="42" t="n"/>
      <c r="Q168" s="43">
        <f>IF($B168="","",N($O168)-N($P168))</f>
        <v/>
      </c>
      <c r="R168" s="42" t="n"/>
      <c r="S168" s="42" t="n"/>
      <c r="T168" s="42" t="n"/>
      <c r="U168" s="43">
        <f>IF($B168="","",N($J168)-N($R168)-N($T168))</f>
        <v/>
      </c>
      <c r="V168" s="42" t="n"/>
    </row>
    <row r="169">
      <c r="A169" s="39">
        <f>IF($B169="","",COUNTA($B$4:$B169))</f>
        <v/>
      </c>
      <c r="B169" s="45" t="n"/>
      <c r="C169" s="46" t="n"/>
      <c r="D169" s="46" t="n"/>
      <c r="E169" s="46" t="n"/>
      <c r="F169" s="46" t="n"/>
      <c r="G169" s="46" t="n"/>
      <c r="H169" s="46" t="n"/>
      <c r="I169" s="51" t="n"/>
      <c r="J169" s="47" t="n"/>
      <c r="K169" s="47" t="n"/>
      <c r="L169" s="43">
        <f>IF($B169="","",ROUND((N($J169)+N($K169))*نسبة_القيمة_المضافة,2))</f>
        <v/>
      </c>
      <c r="M169" s="47" t="n"/>
      <c r="N169" s="47" t="n"/>
      <c r="O169" s="43">
        <f>IF($B169="","",N($J169)+N($K169)+N($L169)-N($M169)+N($N169))</f>
        <v/>
      </c>
      <c r="P169" s="47" t="n"/>
      <c r="Q169" s="43">
        <f>IF($B169="","",N($O169)-N($P169))</f>
        <v/>
      </c>
      <c r="R169" s="47" t="n"/>
      <c r="S169" s="47" t="n"/>
      <c r="T169" s="47" t="n"/>
      <c r="U169" s="43">
        <f>IF($B169="","",N($J169)-N($R169)-N($T169))</f>
        <v/>
      </c>
      <c r="V169" s="47" t="n"/>
    </row>
    <row r="170">
      <c r="A170" s="39">
        <f>IF($B170="","",COUNTA($B$4:$B170))</f>
        <v/>
      </c>
      <c r="B170" s="40" t="n"/>
      <c r="C170" s="41" t="n"/>
      <c r="D170" s="41" t="n"/>
      <c r="E170" s="41" t="n"/>
      <c r="F170" s="41" t="n"/>
      <c r="G170" s="41" t="n"/>
      <c r="H170" s="41" t="n"/>
      <c r="I170" s="50" t="n"/>
      <c r="J170" s="42" t="n"/>
      <c r="K170" s="42" t="n"/>
      <c r="L170" s="43">
        <f>IF($B170="","",ROUND((N($J170)+N($K170))*نسبة_القيمة_المضافة,2))</f>
        <v/>
      </c>
      <c r="M170" s="42" t="n"/>
      <c r="N170" s="42" t="n"/>
      <c r="O170" s="43">
        <f>IF($B170="","",N($J170)+N($K170)+N($L170)-N($M170)+N($N170))</f>
        <v/>
      </c>
      <c r="P170" s="42" t="n"/>
      <c r="Q170" s="43">
        <f>IF($B170="","",N($O170)-N($P170))</f>
        <v/>
      </c>
      <c r="R170" s="42" t="n"/>
      <c r="S170" s="42" t="n"/>
      <c r="T170" s="42" t="n"/>
      <c r="U170" s="43">
        <f>IF($B170="","",N($J170)-N($R170)-N($T170))</f>
        <v/>
      </c>
      <c r="V170" s="42" t="n"/>
    </row>
    <row r="171">
      <c r="A171" s="39">
        <f>IF($B171="","",COUNTA($B$4:$B171))</f>
        <v/>
      </c>
      <c r="B171" s="45" t="n"/>
      <c r="C171" s="46" t="n"/>
      <c r="D171" s="46" t="n"/>
      <c r="E171" s="46" t="n"/>
      <c r="F171" s="46" t="n"/>
      <c r="G171" s="46" t="n"/>
      <c r="H171" s="46" t="n"/>
      <c r="I171" s="51" t="n"/>
      <c r="J171" s="47" t="n"/>
      <c r="K171" s="47" t="n"/>
      <c r="L171" s="43">
        <f>IF($B171="","",ROUND((N($J171)+N($K171))*نسبة_القيمة_المضافة,2))</f>
        <v/>
      </c>
      <c r="M171" s="47" t="n"/>
      <c r="N171" s="47" t="n"/>
      <c r="O171" s="43">
        <f>IF($B171="","",N($J171)+N($K171)+N($L171)-N($M171)+N($N171))</f>
        <v/>
      </c>
      <c r="P171" s="47" t="n"/>
      <c r="Q171" s="43">
        <f>IF($B171="","",N($O171)-N($P171))</f>
        <v/>
      </c>
      <c r="R171" s="47" t="n"/>
      <c r="S171" s="47" t="n"/>
      <c r="T171" s="47" t="n"/>
      <c r="U171" s="43">
        <f>IF($B171="","",N($J171)-N($R171)-N($T171))</f>
        <v/>
      </c>
      <c r="V171" s="47" t="n"/>
    </row>
    <row r="172">
      <c r="A172" s="39">
        <f>IF($B172="","",COUNTA($B$4:$B172))</f>
        <v/>
      </c>
      <c r="B172" s="40" t="n"/>
      <c r="C172" s="41" t="n"/>
      <c r="D172" s="41" t="n"/>
      <c r="E172" s="41" t="n"/>
      <c r="F172" s="41" t="n"/>
      <c r="G172" s="41" t="n"/>
      <c r="H172" s="41" t="n"/>
      <c r="I172" s="50" t="n"/>
      <c r="J172" s="42" t="n"/>
      <c r="K172" s="42" t="n"/>
      <c r="L172" s="43">
        <f>IF($B172="","",ROUND((N($J172)+N($K172))*نسبة_القيمة_المضافة,2))</f>
        <v/>
      </c>
      <c r="M172" s="42" t="n"/>
      <c r="N172" s="42" t="n"/>
      <c r="O172" s="43">
        <f>IF($B172="","",N($J172)+N($K172)+N($L172)-N($M172)+N($N172))</f>
        <v/>
      </c>
      <c r="P172" s="42" t="n"/>
      <c r="Q172" s="43">
        <f>IF($B172="","",N($O172)-N($P172))</f>
        <v/>
      </c>
      <c r="R172" s="42" t="n"/>
      <c r="S172" s="42" t="n"/>
      <c r="T172" s="42" t="n"/>
      <c r="U172" s="43">
        <f>IF($B172="","",N($J172)-N($R172)-N($T172))</f>
        <v/>
      </c>
      <c r="V172" s="42" t="n"/>
    </row>
    <row r="173">
      <c r="A173" s="39">
        <f>IF($B173="","",COUNTA($B$4:$B173))</f>
        <v/>
      </c>
      <c r="B173" s="45" t="n"/>
      <c r="C173" s="46" t="n"/>
      <c r="D173" s="46" t="n"/>
      <c r="E173" s="46" t="n"/>
      <c r="F173" s="46" t="n"/>
      <c r="G173" s="46" t="n"/>
      <c r="H173" s="46" t="n"/>
      <c r="I173" s="51" t="n"/>
      <c r="J173" s="47" t="n"/>
      <c r="K173" s="47" t="n"/>
      <c r="L173" s="43">
        <f>IF($B173="","",ROUND((N($J173)+N($K173))*نسبة_القيمة_المضافة,2))</f>
        <v/>
      </c>
      <c r="M173" s="47" t="n"/>
      <c r="N173" s="47" t="n"/>
      <c r="O173" s="43">
        <f>IF($B173="","",N($J173)+N($K173)+N($L173)-N($M173)+N($N173))</f>
        <v/>
      </c>
      <c r="P173" s="47" t="n"/>
      <c r="Q173" s="43">
        <f>IF($B173="","",N($O173)-N($P173))</f>
        <v/>
      </c>
      <c r="R173" s="47" t="n"/>
      <c r="S173" s="47" t="n"/>
      <c r="T173" s="47" t="n"/>
      <c r="U173" s="43">
        <f>IF($B173="","",N($J173)-N($R173)-N($T173))</f>
        <v/>
      </c>
      <c r="V173" s="47" t="n"/>
    </row>
    <row r="174">
      <c r="A174" s="39">
        <f>IF($B174="","",COUNTA($B$4:$B174))</f>
        <v/>
      </c>
      <c r="B174" s="40" t="n"/>
      <c r="C174" s="41" t="n"/>
      <c r="D174" s="41" t="n"/>
      <c r="E174" s="41" t="n"/>
      <c r="F174" s="41" t="n"/>
      <c r="G174" s="41" t="n"/>
      <c r="H174" s="41" t="n"/>
      <c r="I174" s="50" t="n"/>
      <c r="J174" s="42" t="n"/>
      <c r="K174" s="42" t="n"/>
      <c r="L174" s="43">
        <f>IF($B174="","",ROUND((N($J174)+N($K174))*نسبة_القيمة_المضافة,2))</f>
        <v/>
      </c>
      <c r="M174" s="42" t="n"/>
      <c r="N174" s="42" t="n"/>
      <c r="O174" s="43">
        <f>IF($B174="","",N($J174)+N($K174)+N($L174)-N($M174)+N($N174))</f>
        <v/>
      </c>
      <c r="P174" s="42" t="n"/>
      <c r="Q174" s="43">
        <f>IF($B174="","",N($O174)-N($P174))</f>
        <v/>
      </c>
      <c r="R174" s="42" t="n"/>
      <c r="S174" s="42" t="n"/>
      <c r="T174" s="42" t="n"/>
      <c r="U174" s="43">
        <f>IF($B174="","",N($J174)-N($R174)-N($T174))</f>
        <v/>
      </c>
      <c r="V174" s="42" t="n"/>
    </row>
    <row r="175">
      <c r="A175" s="39">
        <f>IF($B175="","",COUNTA($B$4:$B175))</f>
        <v/>
      </c>
      <c r="B175" s="45" t="n"/>
      <c r="C175" s="46" t="n"/>
      <c r="D175" s="46" t="n"/>
      <c r="E175" s="46" t="n"/>
      <c r="F175" s="46" t="n"/>
      <c r="G175" s="46" t="n"/>
      <c r="H175" s="46" t="n"/>
      <c r="I175" s="51" t="n"/>
      <c r="J175" s="47" t="n"/>
      <c r="K175" s="47" t="n"/>
      <c r="L175" s="43">
        <f>IF($B175="","",ROUND((N($J175)+N($K175))*نسبة_القيمة_المضافة,2))</f>
        <v/>
      </c>
      <c r="M175" s="47" t="n"/>
      <c r="N175" s="47" t="n"/>
      <c r="O175" s="43">
        <f>IF($B175="","",N($J175)+N($K175)+N($L175)-N($M175)+N($N175))</f>
        <v/>
      </c>
      <c r="P175" s="47" t="n"/>
      <c r="Q175" s="43">
        <f>IF($B175="","",N($O175)-N($P175))</f>
        <v/>
      </c>
      <c r="R175" s="47" t="n"/>
      <c r="S175" s="47" t="n"/>
      <c r="T175" s="47" t="n"/>
      <c r="U175" s="43">
        <f>IF($B175="","",N($J175)-N($R175)-N($T175))</f>
        <v/>
      </c>
      <c r="V175" s="47" t="n"/>
    </row>
    <row r="176">
      <c r="A176" s="39">
        <f>IF($B176="","",COUNTA($B$4:$B176))</f>
        <v/>
      </c>
      <c r="B176" s="40" t="n"/>
      <c r="C176" s="41" t="n"/>
      <c r="D176" s="41" t="n"/>
      <c r="E176" s="41" t="n"/>
      <c r="F176" s="41" t="n"/>
      <c r="G176" s="41" t="n"/>
      <c r="H176" s="41" t="n"/>
      <c r="I176" s="50" t="n"/>
      <c r="J176" s="42" t="n"/>
      <c r="K176" s="42" t="n"/>
      <c r="L176" s="43">
        <f>IF($B176="","",ROUND((N($J176)+N($K176))*نسبة_القيمة_المضافة,2))</f>
        <v/>
      </c>
      <c r="M176" s="42" t="n"/>
      <c r="N176" s="42" t="n"/>
      <c r="O176" s="43">
        <f>IF($B176="","",N($J176)+N($K176)+N($L176)-N($M176)+N($N176))</f>
        <v/>
      </c>
      <c r="P176" s="42" t="n"/>
      <c r="Q176" s="43">
        <f>IF($B176="","",N($O176)-N($P176))</f>
        <v/>
      </c>
      <c r="R176" s="42" t="n"/>
      <c r="S176" s="42" t="n"/>
      <c r="T176" s="42" t="n"/>
      <c r="U176" s="43">
        <f>IF($B176="","",N($J176)-N($R176)-N($T176))</f>
        <v/>
      </c>
      <c r="V176" s="42" t="n"/>
    </row>
    <row r="177">
      <c r="A177" s="39">
        <f>IF($B177="","",COUNTA($B$4:$B177))</f>
        <v/>
      </c>
      <c r="B177" s="45" t="n"/>
      <c r="C177" s="46" t="n"/>
      <c r="D177" s="46" t="n"/>
      <c r="E177" s="46" t="n"/>
      <c r="F177" s="46" t="n"/>
      <c r="G177" s="46" t="n"/>
      <c r="H177" s="46" t="n"/>
      <c r="I177" s="51" t="n"/>
      <c r="J177" s="47" t="n"/>
      <c r="K177" s="47" t="n"/>
      <c r="L177" s="43">
        <f>IF($B177="","",ROUND((N($J177)+N($K177))*نسبة_القيمة_المضافة,2))</f>
        <v/>
      </c>
      <c r="M177" s="47" t="n"/>
      <c r="N177" s="47" t="n"/>
      <c r="O177" s="43">
        <f>IF($B177="","",N($J177)+N($K177)+N($L177)-N($M177)+N($N177))</f>
        <v/>
      </c>
      <c r="P177" s="47" t="n"/>
      <c r="Q177" s="43">
        <f>IF($B177="","",N($O177)-N($P177))</f>
        <v/>
      </c>
      <c r="R177" s="47" t="n"/>
      <c r="S177" s="47" t="n"/>
      <c r="T177" s="47" t="n"/>
      <c r="U177" s="43">
        <f>IF($B177="","",N($J177)-N($R177)-N($T177))</f>
        <v/>
      </c>
      <c r="V177" s="47" t="n"/>
    </row>
    <row r="178">
      <c r="A178" s="39">
        <f>IF($B178="","",COUNTA($B$4:$B178))</f>
        <v/>
      </c>
      <c r="B178" s="40" t="n"/>
      <c r="C178" s="41" t="n"/>
      <c r="D178" s="41" t="n"/>
      <c r="E178" s="41" t="n"/>
      <c r="F178" s="41" t="n"/>
      <c r="G178" s="41" t="n"/>
      <c r="H178" s="41" t="n"/>
      <c r="I178" s="50" t="n"/>
      <c r="J178" s="42" t="n"/>
      <c r="K178" s="42" t="n"/>
      <c r="L178" s="43">
        <f>IF($B178="","",ROUND((N($J178)+N($K178))*نسبة_القيمة_المضافة,2))</f>
        <v/>
      </c>
      <c r="M178" s="42" t="n"/>
      <c r="N178" s="42" t="n"/>
      <c r="O178" s="43">
        <f>IF($B178="","",N($J178)+N($K178)+N($L178)-N($M178)+N($N178))</f>
        <v/>
      </c>
      <c r="P178" s="42" t="n"/>
      <c r="Q178" s="43">
        <f>IF($B178="","",N($O178)-N($P178))</f>
        <v/>
      </c>
      <c r="R178" s="42" t="n"/>
      <c r="S178" s="42" t="n"/>
      <c r="T178" s="42" t="n"/>
      <c r="U178" s="43">
        <f>IF($B178="","",N($J178)-N($R178)-N($T178))</f>
        <v/>
      </c>
      <c r="V178" s="42" t="n"/>
    </row>
    <row r="179">
      <c r="A179" s="39">
        <f>IF($B179="","",COUNTA($B$4:$B179))</f>
        <v/>
      </c>
      <c r="B179" s="45" t="n"/>
      <c r="C179" s="46" t="n"/>
      <c r="D179" s="46" t="n"/>
      <c r="E179" s="46" t="n"/>
      <c r="F179" s="46" t="n"/>
      <c r="G179" s="46" t="n"/>
      <c r="H179" s="46" t="n"/>
      <c r="I179" s="51" t="n"/>
      <c r="J179" s="47" t="n"/>
      <c r="K179" s="47" t="n"/>
      <c r="L179" s="43">
        <f>IF($B179="","",ROUND((N($J179)+N($K179))*نسبة_القيمة_المضافة,2))</f>
        <v/>
      </c>
      <c r="M179" s="47" t="n"/>
      <c r="N179" s="47" t="n"/>
      <c r="O179" s="43">
        <f>IF($B179="","",N($J179)+N($K179)+N($L179)-N($M179)+N($N179))</f>
        <v/>
      </c>
      <c r="P179" s="47" t="n"/>
      <c r="Q179" s="43">
        <f>IF($B179="","",N($O179)-N($P179))</f>
        <v/>
      </c>
      <c r="R179" s="47" t="n"/>
      <c r="S179" s="47" t="n"/>
      <c r="T179" s="47" t="n"/>
      <c r="U179" s="43">
        <f>IF($B179="","",N($J179)-N($R179)-N($T179))</f>
        <v/>
      </c>
      <c r="V179" s="47" t="n"/>
    </row>
    <row r="180">
      <c r="A180" s="39">
        <f>IF($B180="","",COUNTA($B$4:$B180))</f>
        <v/>
      </c>
      <c r="B180" s="40" t="n"/>
      <c r="C180" s="41" t="n"/>
      <c r="D180" s="41" t="n"/>
      <c r="E180" s="41" t="n"/>
      <c r="F180" s="41" t="n"/>
      <c r="G180" s="41" t="n"/>
      <c r="H180" s="41" t="n"/>
      <c r="I180" s="50" t="n"/>
      <c r="J180" s="42" t="n"/>
      <c r="K180" s="42" t="n"/>
      <c r="L180" s="43">
        <f>IF($B180="","",ROUND((N($J180)+N($K180))*نسبة_القيمة_المضافة,2))</f>
        <v/>
      </c>
      <c r="M180" s="42" t="n"/>
      <c r="N180" s="42" t="n"/>
      <c r="O180" s="43">
        <f>IF($B180="","",N($J180)+N($K180)+N($L180)-N($M180)+N($N180))</f>
        <v/>
      </c>
      <c r="P180" s="42" t="n"/>
      <c r="Q180" s="43">
        <f>IF($B180="","",N($O180)-N($P180))</f>
        <v/>
      </c>
      <c r="R180" s="42" t="n"/>
      <c r="S180" s="42" t="n"/>
      <c r="T180" s="42" t="n"/>
      <c r="U180" s="43">
        <f>IF($B180="","",N($J180)-N($R180)-N($T180))</f>
        <v/>
      </c>
      <c r="V180" s="42" t="n"/>
    </row>
    <row r="181">
      <c r="A181" s="39">
        <f>IF($B181="","",COUNTA($B$4:$B181))</f>
        <v/>
      </c>
      <c r="B181" s="45" t="n"/>
      <c r="C181" s="46" t="n"/>
      <c r="D181" s="46" t="n"/>
      <c r="E181" s="46" t="n"/>
      <c r="F181" s="46" t="n"/>
      <c r="G181" s="46" t="n"/>
      <c r="H181" s="46" t="n"/>
      <c r="I181" s="51" t="n"/>
      <c r="J181" s="47" t="n"/>
      <c r="K181" s="47" t="n"/>
      <c r="L181" s="43">
        <f>IF($B181="","",ROUND((N($J181)+N($K181))*نسبة_القيمة_المضافة,2))</f>
        <v/>
      </c>
      <c r="M181" s="47" t="n"/>
      <c r="N181" s="47" t="n"/>
      <c r="O181" s="43">
        <f>IF($B181="","",N($J181)+N($K181)+N($L181)-N($M181)+N($N181))</f>
        <v/>
      </c>
      <c r="P181" s="47" t="n"/>
      <c r="Q181" s="43">
        <f>IF($B181="","",N($O181)-N($P181))</f>
        <v/>
      </c>
      <c r="R181" s="47" t="n"/>
      <c r="S181" s="47" t="n"/>
      <c r="T181" s="47" t="n"/>
      <c r="U181" s="43">
        <f>IF($B181="","",N($J181)-N($R181)-N($T181))</f>
        <v/>
      </c>
      <c r="V181" s="47" t="n"/>
    </row>
    <row r="182">
      <c r="A182" s="39">
        <f>IF($B182="","",COUNTA($B$4:$B182))</f>
        <v/>
      </c>
      <c r="B182" s="40" t="n"/>
      <c r="C182" s="41" t="n"/>
      <c r="D182" s="41" t="n"/>
      <c r="E182" s="41" t="n"/>
      <c r="F182" s="41" t="n"/>
      <c r="G182" s="41" t="n"/>
      <c r="H182" s="41" t="n"/>
      <c r="I182" s="50" t="n"/>
      <c r="J182" s="42" t="n"/>
      <c r="K182" s="42" t="n"/>
      <c r="L182" s="43">
        <f>IF($B182="","",ROUND((N($J182)+N($K182))*نسبة_القيمة_المضافة,2))</f>
        <v/>
      </c>
      <c r="M182" s="42" t="n"/>
      <c r="N182" s="42" t="n"/>
      <c r="O182" s="43">
        <f>IF($B182="","",N($J182)+N($K182)+N($L182)-N($M182)+N($N182))</f>
        <v/>
      </c>
      <c r="P182" s="42" t="n"/>
      <c r="Q182" s="43">
        <f>IF($B182="","",N($O182)-N($P182))</f>
        <v/>
      </c>
      <c r="R182" s="42" t="n"/>
      <c r="S182" s="42" t="n"/>
      <c r="T182" s="42" t="n"/>
      <c r="U182" s="43">
        <f>IF($B182="","",N($J182)-N($R182)-N($T182))</f>
        <v/>
      </c>
      <c r="V182" s="42" t="n"/>
    </row>
    <row r="183">
      <c r="A183" s="39">
        <f>IF($B183="","",COUNTA($B$4:$B183))</f>
        <v/>
      </c>
      <c r="B183" s="45" t="n"/>
      <c r="C183" s="46" t="n"/>
      <c r="D183" s="46" t="n"/>
      <c r="E183" s="46" t="n"/>
      <c r="F183" s="46" t="n"/>
      <c r="G183" s="46" t="n"/>
      <c r="H183" s="46" t="n"/>
      <c r="I183" s="51" t="n"/>
      <c r="J183" s="47" t="n"/>
      <c r="K183" s="47" t="n"/>
      <c r="L183" s="43">
        <f>IF($B183="","",ROUND((N($J183)+N($K183))*نسبة_القيمة_المضافة,2))</f>
        <v/>
      </c>
      <c r="M183" s="47" t="n"/>
      <c r="N183" s="47" t="n"/>
      <c r="O183" s="43">
        <f>IF($B183="","",N($J183)+N($K183)+N($L183)-N($M183)+N($N183))</f>
        <v/>
      </c>
      <c r="P183" s="47" t="n"/>
      <c r="Q183" s="43">
        <f>IF($B183="","",N($O183)-N($P183))</f>
        <v/>
      </c>
      <c r="R183" s="47" t="n"/>
      <c r="S183" s="47" t="n"/>
      <c r="T183" s="47" t="n"/>
      <c r="U183" s="43">
        <f>IF($B183="","",N($J183)-N($R183)-N($T183))</f>
        <v/>
      </c>
      <c r="V183" s="47" t="n"/>
    </row>
    <row r="184">
      <c r="A184" s="39">
        <f>IF($B184="","",COUNTA($B$4:$B184))</f>
        <v/>
      </c>
      <c r="B184" s="40" t="n"/>
      <c r="C184" s="41" t="n"/>
      <c r="D184" s="41" t="n"/>
      <c r="E184" s="41" t="n"/>
      <c r="F184" s="41" t="n"/>
      <c r="G184" s="41" t="n"/>
      <c r="H184" s="41" t="n"/>
      <c r="I184" s="50" t="n"/>
      <c r="J184" s="42" t="n"/>
      <c r="K184" s="42" t="n"/>
      <c r="L184" s="43">
        <f>IF($B184="","",ROUND((N($J184)+N($K184))*نسبة_القيمة_المضافة,2))</f>
        <v/>
      </c>
      <c r="M184" s="42" t="n"/>
      <c r="N184" s="42" t="n"/>
      <c r="O184" s="43">
        <f>IF($B184="","",N($J184)+N($K184)+N($L184)-N($M184)+N($N184))</f>
        <v/>
      </c>
      <c r="P184" s="42" t="n"/>
      <c r="Q184" s="43">
        <f>IF($B184="","",N($O184)-N($P184))</f>
        <v/>
      </c>
      <c r="R184" s="42" t="n"/>
      <c r="S184" s="42" t="n"/>
      <c r="T184" s="42" t="n"/>
      <c r="U184" s="43">
        <f>IF($B184="","",N($J184)-N($R184)-N($T184))</f>
        <v/>
      </c>
      <c r="V184" s="42" t="n"/>
    </row>
    <row r="185">
      <c r="A185" s="39">
        <f>IF($B185="","",COUNTA($B$4:$B185))</f>
        <v/>
      </c>
      <c r="B185" s="45" t="n"/>
      <c r="C185" s="46" t="n"/>
      <c r="D185" s="46" t="n"/>
      <c r="E185" s="46" t="n"/>
      <c r="F185" s="46" t="n"/>
      <c r="G185" s="46" t="n"/>
      <c r="H185" s="46" t="n"/>
      <c r="I185" s="51" t="n"/>
      <c r="J185" s="47" t="n"/>
      <c r="K185" s="47" t="n"/>
      <c r="L185" s="43">
        <f>IF($B185="","",ROUND((N($J185)+N($K185))*نسبة_القيمة_المضافة,2))</f>
        <v/>
      </c>
      <c r="M185" s="47" t="n"/>
      <c r="N185" s="47" t="n"/>
      <c r="O185" s="43">
        <f>IF($B185="","",N($J185)+N($K185)+N($L185)-N($M185)+N($N185))</f>
        <v/>
      </c>
      <c r="P185" s="47" t="n"/>
      <c r="Q185" s="43">
        <f>IF($B185="","",N($O185)-N($P185))</f>
        <v/>
      </c>
      <c r="R185" s="47" t="n"/>
      <c r="S185" s="47" t="n"/>
      <c r="T185" s="47" t="n"/>
      <c r="U185" s="43">
        <f>IF($B185="","",N($J185)-N($R185)-N($T185))</f>
        <v/>
      </c>
      <c r="V185" s="47" t="n"/>
    </row>
    <row r="186">
      <c r="A186" s="39">
        <f>IF($B186="","",COUNTA($B$4:$B186))</f>
        <v/>
      </c>
      <c r="B186" s="40" t="n"/>
      <c r="C186" s="41" t="n"/>
      <c r="D186" s="41" t="n"/>
      <c r="E186" s="41" t="n"/>
      <c r="F186" s="41" t="n"/>
      <c r="G186" s="41" t="n"/>
      <c r="H186" s="41" t="n"/>
      <c r="I186" s="50" t="n"/>
      <c r="J186" s="42" t="n"/>
      <c r="K186" s="42" t="n"/>
      <c r="L186" s="43">
        <f>IF($B186="","",ROUND((N($J186)+N($K186))*نسبة_القيمة_المضافة,2))</f>
        <v/>
      </c>
      <c r="M186" s="42" t="n"/>
      <c r="N186" s="42" t="n"/>
      <c r="O186" s="43">
        <f>IF($B186="","",N($J186)+N($K186)+N($L186)-N($M186)+N($N186))</f>
        <v/>
      </c>
      <c r="P186" s="42" t="n"/>
      <c r="Q186" s="43">
        <f>IF($B186="","",N($O186)-N($P186))</f>
        <v/>
      </c>
      <c r="R186" s="42" t="n"/>
      <c r="S186" s="42" t="n"/>
      <c r="T186" s="42" t="n"/>
      <c r="U186" s="43">
        <f>IF($B186="","",N($J186)-N($R186)-N($T186))</f>
        <v/>
      </c>
      <c r="V186" s="42" t="n"/>
    </row>
    <row r="187">
      <c r="A187" s="39">
        <f>IF($B187="","",COUNTA($B$4:$B187))</f>
        <v/>
      </c>
      <c r="B187" s="45" t="n"/>
      <c r="C187" s="46" t="n"/>
      <c r="D187" s="46" t="n"/>
      <c r="E187" s="46" t="n"/>
      <c r="F187" s="46" t="n"/>
      <c r="G187" s="46" t="n"/>
      <c r="H187" s="46" t="n"/>
      <c r="I187" s="51" t="n"/>
      <c r="J187" s="47" t="n"/>
      <c r="K187" s="47" t="n"/>
      <c r="L187" s="43">
        <f>IF($B187="","",ROUND((N($J187)+N($K187))*نسبة_القيمة_المضافة,2))</f>
        <v/>
      </c>
      <c r="M187" s="47" t="n"/>
      <c r="N187" s="47" t="n"/>
      <c r="O187" s="43">
        <f>IF($B187="","",N($J187)+N($K187)+N($L187)-N($M187)+N($N187))</f>
        <v/>
      </c>
      <c r="P187" s="47" t="n"/>
      <c r="Q187" s="43">
        <f>IF($B187="","",N($O187)-N($P187))</f>
        <v/>
      </c>
      <c r="R187" s="47" t="n"/>
      <c r="S187" s="47" t="n"/>
      <c r="T187" s="47" t="n"/>
      <c r="U187" s="43">
        <f>IF($B187="","",N($J187)-N($R187)-N($T187))</f>
        <v/>
      </c>
      <c r="V187" s="47" t="n"/>
    </row>
    <row r="188">
      <c r="A188" s="39">
        <f>IF($B188="","",COUNTA($B$4:$B188))</f>
        <v/>
      </c>
      <c r="B188" s="40" t="n"/>
      <c r="C188" s="41" t="n"/>
      <c r="D188" s="41" t="n"/>
      <c r="E188" s="41" t="n"/>
      <c r="F188" s="41" t="n"/>
      <c r="G188" s="41" t="n"/>
      <c r="H188" s="41" t="n"/>
      <c r="I188" s="50" t="n"/>
      <c r="J188" s="42" t="n"/>
      <c r="K188" s="42" t="n"/>
      <c r="L188" s="43">
        <f>IF($B188="","",ROUND((N($J188)+N($K188))*نسبة_القيمة_المضافة,2))</f>
        <v/>
      </c>
      <c r="M188" s="42" t="n"/>
      <c r="N188" s="42" t="n"/>
      <c r="O188" s="43">
        <f>IF($B188="","",N($J188)+N($K188)+N($L188)-N($M188)+N($N188))</f>
        <v/>
      </c>
      <c r="P188" s="42" t="n"/>
      <c r="Q188" s="43">
        <f>IF($B188="","",N($O188)-N($P188))</f>
        <v/>
      </c>
      <c r="R188" s="42" t="n"/>
      <c r="S188" s="42" t="n"/>
      <c r="T188" s="42" t="n"/>
      <c r="U188" s="43">
        <f>IF($B188="","",N($J188)-N($R188)-N($T188))</f>
        <v/>
      </c>
      <c r="V188" s="42" t="n"/>
    </row>
    <row r="189">
      <c r="A189" s="39">
        <f>IF($B189="","",COUNTA($B$4:$B189))</f>
        <v/>
      </c>
      <c r="B189" s="45" t="n"/>
      <c r="C189" s="46" t="n"/>
      <c r="D189" s="46" t="n"/>
      <c r="E189" s="46" t="n"/>
      <c r="F189" s="46" t="n"/>
      <c r="G189" s="46" t="n"/>
      <c r="H189" s="46" t="n"/>
      <c r="I189" s="51" t="n"/>
      <c r="J189" s="47" t="n"/>
      <c r="K189" s="47" t="n"/>
      <c r="L189" s="43">
        <f>IF($B189="","",ROUND((N($J189)+N($K189))*نسبة_القيمة_المضافة,2))</f>
        <v/>
      </c>
      <c r="M189" s="47" t="n"/>
      <c r="N189" s="47" t="n"/>
      <c r="O189" s="43">
        <f>IF($B189="","",N($J189)+N($K189)+N($L189)-N($M189)+N($N189))</f>
        <v/>
      </c>
      <c r="P189" s="47" t="n"/>
      <c r="Q189" s="43">
        <f>IF($B189="","",N($O189)-N($P189))</f>
        <v/>
      </c>
      <c r="R189" s="47" t="n"/>
      <c r="S189" s="47" t="n"/>
      <c r="T189" s="47" t="n"/>
      <c r="U189" s="43">
        <f>IF($B189="","",N($J189)-N($R189)-N($T189))</f>
        <v/>
      </c>
      <c r="V189" s="47" t="n"/>
    </row>
    <row r="190">
      <c r="A190" s="39">
        <f>IF($B190="","",COUNTA($B$4:$B190))</f>
        <v/>
      </c>
      <c r="B190" s="40" t="n"/>
      <c r="C190" s="41" t="n"/>
      <c r="D190" s="41" t="n"/>
      <c r="E190" s="41" t="n"/>
      <c r="F190" s="41" t="n"/>
      <c r="G190" s="41" t="n"/>
      <c r="H190" s="41" t="n"/>
      <c r="I190" s="50" t="n"/>
      <c r="J190" s="42" t="n"/>
      <c r="K190" s="42" t="n"/>
      <c r="L190" s="43">
        <f>IF($B190="","",ROUND((N($J190)+N($K190))*نسبة_القيمة_المضافة,2))</f>
        <v/>
      </c>
      <c r="M190" s="42" t="n"/>
      <c r="N190" s="42" t="n"/>
      <c r="O190" s="43">
        <f>IF($B190="","",N($J190)+N($K190)+N($L190)-N($M190)+N($N190))</f>
        <v/>
      </c>
      <c r="P190" s="42" t="n"/>
      <c r="Q190" s="43">
        <f>IF($B190="","",N($O190)-N($P190))</f>
        <v/>
      </c>
      <c r="R190" s="42" t="n"/>
      <c r="S190" s="42" t="n"/>
      <c r="T190" s="42" t="n"/>
      <c r="U190" s="43">
        <f>IF($B190="","",N($J190)-N($R190)-N($T190))</f>
        <v/>
      </c>
      <c r="V190" s="42" t="n"/>
    </row>
    <row r="191">
      <c r="A191" s="39">
        <f>IF($B191="","",COUNTA($B$4:$B191))</f>
        <v/>
      </c>
      <c r="B191" s="45" t="n"/>
      <c r="C191" s="46" t="n"/>
      <c r="D191" s="46" t="n"/>
      <c r="E191" s="46" t="n"/>
      <c r="F191" s="46" t="n"/>
      <c r="G191" s="46" t="n"/>
      <c r="H191" s="46" t="n"/>
      <c r="I191" s="51" t="n"/>
      <c r="J191" s="47" t="n"/>
      <c r="K191" s="47" t="n"/>
      <c r="L191" s="43">
        <f>IF($B191="","",ROUND((N($J191)+N($K191))*نسبة_القيمة_المضافة,2))</f>
        <v/>
      </c>
      <c r="M191" s="47" t="n"/>
      <c r="N191" s="47" t="n"/>
      <c r="O191" s="43">
        <f>IF($B191="","",N($J191)+N($K191)+N($L191)-N($M191)+N($N191))</f>
        <v/>
      </c>
      <c r="P191" s="47" t="n"/>
      <c r="Q191" s="43">
        <f>IF($B191="","",N($O191)-N($P191))</f>
        <v/>
      </c>
      <c r="R191" s="47" t="n"/>
      <c r="S191" s="47" t="n"/>
      <c r="T191" s="47" t="n"/>
      <c r="U191" s="43">
        <f>IF($B191="","",N($J191)-N($R191)-N($T191))</f>
        <v/>
      </c>
      <c r="V191" s="47" t="n"/>
    </row>
    <row r="192">
      <c r="A192" s="39">
        <f>IF($B192="","",COUNTA($B$4:$B192))</f>
        <v/>
      </c>
      <c r="B192" s="40" t="n"/>
      <c r="C192" s="41" t="n"/>
      <c r="D192" s="41" t="n"/>
      <c r="E192" s="41" t="n"/>
      <c r="F192" s="41" t="n"/>
      <c r="G192" s="41" t="n"/>
      <c r="H192" s="41" t="n"/>
      <c r="I192" s="50" t="n"/>
      <c r="J192" s="42" t="n"/>
      <c r="K192" s="42" t="n"/>
      <c r="L192" s="43">
        <f>IF($B192="","",ROUND((N($J192)+N($K192))*نسبة_القيمة_المضافة,2))</f>
        <v/>
      </c>
      <c r="M192" s="42" t="n"/>
      <c r="N192" s="42" t="n"/>
      <c r="O192" s="43">
        <f>IF($B192="","",N($J192)+N($K192)+N($L192)-N($M192)+N($N192))</f>
        <v/>
      </c>
      <c r="P192" s="42" t="n"/>
      <c r="Q192" s="43">
        <f>IF($B192="","",N($O192)-N($P192))</f>
        <v/>
      </c>
      <c r="R192" s="42" t="n"/>
      <c r="S192" s="42" t="n"/>
      <c r="T192" s="42" t="n"/>
      <c r="U192" s="43">
        <f>IF($B192="","",N($J192)-N($R192)-N($T192))</f>
        <v/>
      </c>
      <c r="V192" s="42" t="n"/>
    </row>
    <row r="193">
      <c r="A193" s="39">
        <f>IF($B193="","",COUNTA($B$4:$B193))</f>
        <v/>
      </c>
      <c r="B193" s="45" t="n"/>
      <c r="C193" s="46" t="n"/>
      <c r="D193" s="46" t="n"/>
      <c r="E193" s="46" t="n"/>
      <c r="F193" s="46" t="n"/>
      <c r="G193" s="46" t="n"/>
      <c r="H193" s="46" t="n"/>
      <c r="I193" s="51" t="n"/>
      <c r="J193" s="47" t="n"/>
      <c r="K193" s="47" t="n"/>
      <c r="L193" s="43">
        <f>IF($B193="","",ROUND((N($J193)+N($K193))*نسبة_القيمة_المضافة,2))</f>
        <v/>
      </c>
      <c r="M193" s="47" t="n"/>
      <c r="N193" s="47" t="n"/>
      <c r="O193" s="43">
        <f>IF($B193="","",N($J193)+N($K193)+N($L193)-N($M193)+N($N193))</f>
        <v/>
      </c>
      <c r="P193" s="47" t="n"/>
      <c r="Q193" s="43">
        <f>IF($B193="","",N($O193)-N($P193))</f>
        <v/>
      </c>
      <c r="R193" s="47" t="n"/>
      <c r="S193" s="47" t="n"/>
      <c r="T193" s="47" t="n"/>
      <c r="U193" s="43">
        <f>IF($B193="","",N($J193)-N($R193)-N($T193))</f>
        <v/>
      </c>
      <c r="V193" s="47" t="n"/>
    </row>
    <row r="194">
      <c r="A194" s="39">
        <f>IF($B194="","",COUNTA($B$4:$B194))</f>
        <v/>
      </c>
      <c r="B194" s="40" t="n"/>
      <c r="C194" s="41" t="n"/>
      <c r="D194" s="41" t="n"/>
      <c r="E194" s="41" t="n"/>
      <c r="F194" s="41" t="n"/>
      <c r="G194" s="41" t="n"/>
      <c r="H194" s="41" t="n"/>
      <c r="I194" s="50" t="n"/>
      <c r="J194" s="42" t="n"/>
      <c r="K194" s="42" t="n"/>
      <c r="L194" s="43">
        <f>IF($B194="","",ROUND((N($J194)+N($K194))*نسبة_القيمة_المضافة,2))</f>
        <v/>
      </c>
      <c r="M194" s="42" t="n"/>
      <c r="N194" s="42" t="n"/>
      <c r="O194" s="43">
        <f>IF($B194="","",N($J194)+N($K194)+N($L194)-N($M194)+N($N194))</f>
        <v/>
      </c>
      <c r="P194" s="42" t="n"/>
      <c r="Q194" s="43">
        <f>IF($B194="","",N($O194)-N($P194))</f>
        <v/>
      </c>
      <c r="R194" s="42" t="n"/>
      <c r="S194" s="42" t="n"/>
      <c r="T194" s="42" t="n"/>
      <c r="U194" s="43">
        <f>IF($B194="","",N($J194)-N($R194)-N($T194))</f>
        <v/>
      </c>
      <c r="V194" s="42" t="n"/>
    </row>
    <row r="195">
      <c r="A195" s="39">
        <f>IF($B195="","",COUNTA($B$4:$B195))</f>
        <v/>
      </c>
      <c r="B195" s="45" t="n"/>
      <c r="C195" s="46" t="n"/>
      <c r="D195" s="46" t="n"/>
      <c r="E195" s="46" t="n"/>
      <c r="F195" s="46" t="n"/>
      <c r="G195" s="46" t="n"/>
      <c r="H195" s="46" t="n"/>
      <c r="I195" s="51" t="n"/>
      <c r="J195" s="47" t="n"/>
      <c r="K195" s="47" t="n"/>
      <c r="L195" s="43">
        <f>IF($B195="","",ROUND((N($J195)+N($K195))*نسبة_القيمة_المضافة,2))</f>
        <v/>
      </c>
      <c r="M195" s="47" t="n"/>
      <c r="N195" s="47" t="n"/>
      <c r="O195" s="43">
        <f>IF($B195="","",N($J195)+N($K195)+N($L195)-N($M195)+N($N195))</f>
        <v/>
      </c>
      <c r="P195" s="47" t="n"/>
      <c r="Q195" s="43">
        <f>IF($B195="","",N($O195)-N($P195))</f>
        <v/>
      </c>
      <c r="R195" s="47" t="n"/>
      <c r="S195" s="47" t="n"/>
      <c r="T195" s="47" t="n"/>
      <c r="U195" s="43">
        <f>IF($B195="","",N($J195)-N($R195)-N($T195))</f>
        <v/>
      </c>
      <c r="V195" s="47" t="n"/>
    </row>
    <row r="196">
      <c r="A196" s="39">
        <f>IF($B196="","",COUNTA($B$4:$B196))</f>
        <v/>
      </c>
      <c r="B196" s="40" t="n"/>
      <c r="C196" s="41" t="n"/>
      <c r="D196" s="41" t="n"/>
      <c r="E196" s="41" t="n"/>
      <c r="F196" s="41" t="n"/>
      <c r="G196" s="41" t="n"/>
      <c r="H196" s="41" t="n"/>
      <c r="I196" s="50" t="n"/>
      <c r="J196" s="42" t="n"/>
      <c r="K196" s="42" t="n"/>
      <c r="L196" s="43">
        <f>IF($B196="","",ROUND((N($J196)+N($K196))*نسبة_القيمة_المضافة,2))</f>
        <v/>
      </c>
      <c r="M196" s="42" t="n"/>
      <c r="N196" s="42" t="n"/>
      <c r="O196" s="43">
        <f>IF($B196="","",N($J196)+N($K196)+N($L196)-N($M196)+N($N196))</f>
        <v/>
      </c>
      <c r="P196" s="42" t="n"/>
      <c r="Q196" s="43">
        <f>IF($B196="","",N($O196)-N($P196))</f>
        <v/>
      </c>
      <c r="R196" s="42" t="n"/>
      <c r="S196" s="42" t="n"/>
      <c r="T196" s="42" t="n"/>
      <c r="U196" s="43">
        <f>IF($B196="","",N($J196)-N($R196)-N($T196))</f>
        <v/>
      </c>
      <c r="V196" s="42" t="n"/>
    </row>
    <row r="197">
      <c r="A197" s="39">
        <f>IF($B197="","",COUNTA($B$4:$B197))</f>
        <v/>
      </c>
      <c r="B197" s="45" t="n"/>
      <c r="C197" s="46" t="n"/>
      <c r="D197" s="46" t="n"/>
      <c r="E197" s="46" t="n"/>
      <c r="F197" s="46" t="n"/>
      <c r="G197" s="46" t="n"/>
      <c r="H197" s="46" t="n"/>
      <c r="I197" s="51" t="n"/>
      <c r="J197" s="47" t="n"/>
      <c r="K197" s="47" t="n"/>
      <c r="L197" s="43">
        <f>IF($B197="","",ROUND((N($J197)+N($K197))*نسبة_القيمة_المضافة,2))</f>
        <v/>
      </c>
      <c r="M197" s="47" t="n"/>
      <c r="N197" s="47" t="n"/>
      <c r="O197" s="43">
        <f>IF($B197="","",N($J197)+N($K197)+N($L197)-N($M197)+N($N197))</f>
        <v/>
      </c>
      <c r="P197" s="47" t="n"/>
      <c r="Q197" s="43">
        <f>IF($B197="","",N($O197)-N($P197))</f>
        <v/>
      </c>
      <c r="R197" s="47" t="n"/>
      <c r="S197" s="47" t="n"/>
      <c r="T197" s="47" t="n"/>
      <c r="U197" s="43">
        <f>IF($B197="","",N($J197)-N($R197)-N($T197))</f>
        <v/>
      </c>
      <c r="V197" s="47" t="n"/>
    </row>
    <row r="198">
      <c r="A198" s="39">
        <f>IF($B198="","",COUNTA($B$4:$B198))</f>
        <v/>
      </c>
      <c r="B198" s="40" t="n"/>
      <c r="C198" s="41" t="n"/>
      <c r="D198" s="41" t="n"/>
      <c r="E198" s="41" t="n"/>
      <c r="F198" s="41" t="n"/>
      <c r="G198" s="41" t="n"/>
      <c r="H198" s="41" t="n"/>
      <c r="I198" s="50" t="n"/>
      <c r="J198" s="42" t="n"/>
      <c r="K198" s="42" t="n"/>
      <c r="L198" s="43">
        <f>IF($B198="","",ROUND((N($J198)+N($K198))*نسبة_القيمة_المضافة,2))</f>
        <v/>
      </c>
      <c r="M198" s="42" t="n"/>
      <c r="N198" s="42" t="n"/>
      <c r="O198" s="43">
        <f>IF($B198="","",N($J198)+N($K198)+N($L198)-N($M198)+N($N198))</f>
        <v/>
      </c>
      <c r="P198" s="42" t="n"/>
      <c r="Q198" s="43">
        <f>IF($B198="","",N($O198)-N($P198))</f>
        <v/>
      </c>
      <c r="R198" s="42" t="n"/>
      <c r="S198" s="42" t="n"/>
      <c r="T198" s="42" t="n"/>
      <c r="U198" s="43">
        <f>IF($B198="","",N($J198)-N($R198)-N($T198))</f>
        <v/>
      </c>
      <c r="V198" s="42" t="n"/>
    </row>
    <row r="199">
      <c r="A199" s="39">
        <f>IF($B199="","",COUNTA($B$4:$B199))</f>
        <v/>
      </c>
      <c r="B199" s="45" t="n"/>
      <c r="C199" s="46" t="n"/>
      <c r="D199" s="46" t="n"/>
      <c r="E199" s="46" t="n"/>
      <c r="F199" s="46" t="n"/>
      <c r="G199" s="46" t="n"/>
      <c r="H199" s="46" t="n"/>
      <c r="I199" s="51" t="n"/>
      <c r="J199" s="47" t="n"/>
      <c r="K199" s="47" t="n"/>
      <c r="L199" s="43">
        <f>IF($B199="","",ROUND((N($J199)+N($K199))*نسبة_القيمة_المضافة,2))</f>
        <v/>
      </c>
      <c r="M199" s="47" t="n"/>
      <c r="N199" s="47" t="n"/>
      <c r="O199" s="43">
        <f>IF($B199="","",N($J199)+N($K199)+N($L199)-N($M199)+N($N199))</f>
        <v/>
      </c>
      <c r="P199" s="47" t="n"/>
      <c r="Q199" s="43">
        <f>IF($B199="","",N($O199)-N($P199))</f>
        <v/>
      </c>
      <c r="R199" s="47" t="n"/>
      <c r="S199" s="47" t="n"/>
      <c r="T199" s="47" t="n"/>
      <c r="U199" s="43">
        <f>IF($B199="","",N($J199)-N($R199)-N($T199))</f>
        <v/>
      </c>
      <c r="V199" s="47" t="n"/>
    </row>
    <row r="200">
      <c r="A200" s="39">
        <f>IF($B200="","",COUNTA($B$4:$B200))</f>
        <v/>
      </c>
      <c r="B200" s="40" t="n"/>
      <c r="C200" s="41" t="n"/>
      <c r="D200" s="41" t="n"/>
      <c r="E200" s="41" t="n"/>
      <c r="F200" s="41" t="n"/>
      <c r="G200" s="41" t="n"/>
      <c r="H200" s="41" t="n"/>
      <c r="I200" s="50" t="n"/>
      <c r="J200" s="42" t="n"/>
      <c r="K200" s="42" t="n"/>
      <c r="L200" s="43">
        <f>IF($B200="","",ROUND((N($J200)+N($K200))*نسبة_القيمة_المضافة,2))</f>
        <v/>
      </c>
      <c r="M200" s="42" t="n"/>
      <c r="N200" s="42" t="n"/>
      <c r="O200" s="43">
        <f>IF($B200="","",N($J200)+N($K200)+N($L200)-N($M200)+N($N200))</f>
        <v/>
      </c>
      <c r="P200" s="42" t="n"/>
      <c r="Q200" s="43">
        <f>IF($B200="","",N($O200)-N($P200))</f>
        <v/>
      </c>
      <c r="R200" s="42" t="n"/>
      <c r="S200" s="42" t="n"/>
      <c r="T200" s="42" t="n"/>
      <c r="U200" s="43">
        <f>IF($B200="","",N($J200)-N($R200)-N($T200))</f>
        <v/>
      </c>
      <c r="V200" s="42" t="n"/>
    </row>
    <row r="201">
      <c r="A201" s="39">
        <f>IF($B201="","",COUNTA($B$4:$B201))</f>
        <v/>
      </c>
      <c r="B201" s="45" t="n"/>
      <c r="C201" s="46" t="n"/>
      <c r="D201" s="46" t="n"/>
      <c r="E201" s="46" t="n"/>
      <c r="F201" s="46" t="n"/>
      <c r="G201" s="46" t="n"/>
      <c r="H201" s="46" t="n"/>
      <c r="I201" s="51" t="n"/>
      <c r="J201" s="47" t="n"/>
      <c r="K201" s="47" t="n"/>
      <c r="L201" s="43">
        <f>IF($B201="","",ROUND((N($J201)+N($K201))*نسبة_القيمة_المضافة,2))</f>
        <v/>
      </c>
      <c r="M201" s="47" t="n"/>
      <c r="N201" s="47" t="n"/>
      <c r="O201" s="43">
        <f>IF($B201="","",N($J201)+N($K201)+N($L201)-N($M201)+N($N201))</f>
        <v/>
      </c>
      <c r="P201" s="47" t="n"/>
      <c r="Q201" s="43">
        <f>IF($B201="","",N($O201)-N($P201))</f>
        <v/>
      </c>
      <c r="R201" s="47" t="n"/>
      <c r="S201" s="47" t="n"/>
      <c r="T201" s="47" t="n"/>
      <c r="U201" s="43">
        <f>IF($B201="","",N($J201)-N($R201)-N($T201))</f>
        <v/>
      </c>
      <c r="V201" s="47" t="n"/>
    </row>
    <row r="202">
      <c r="A202" s="39">
        <f>IF($B202="","",COUNTA($B$4:$B202))</f>
        <v/>
      </c>
      <c r="B202" s="40" t="n"/>
      <c r="C202" s="41" t="n"/>
      <c r="D202" s="41" t="n"/>
      <c r="E202" s="41" t="n"/>
      <c r="F202" s="41" t="n"/>
      <c r="G202" s="41" t="n"/>
      <c r="H202" s="41" t="n"/>
      <c r="I202" s="50" t="n"/>
      <c r="J202" s="42" t="n"/>
      <c r="K202" s="42" t="n"/>
      <c r="L202" s="43">
        <f>IF($B202="","",ROUND((N($J202)+N($K202))*نسبة_القيمة_المضافة,2))</f>
        <v/>
      </c>
      <c r="M202" s="42" t="n"/>
      <c r="N202" s="42" t="n"/>
      <c r="O202" s="43">
        <f>IF($B202="","",N($J202)+N($K202)+N($L202)-N($M202)+N($N202))</f>
        <v/>
      </c>
      <c r="P202" s="42" t="n"/>
      <c r="Q202" s="43">
        <f>IF($B202="","",N($O202)-N($P202))</f>
        <v/>
      </c>
      <c r="R202" s="42" t="n"/>
      <c r="S202" s="42" t="n"/>
      <c r="T202" s="42" t="n"/>
      <c r="U202" s="43">
        <f>IF($B202="","",N($J202)-N($R202)-N($T202))</f>
        <v/>
      </c>
      <c r="V202" s="42" t="n"/>
    </row>
    <row r="203">
      <c r="A203" s="39">
        <f>IF($B203="","",COUNTA($B$4:$B203))</f>
        <v/>
      </c>
      <c r="B203" s="45" t="n"/>
      <c r="C203" s="46" t="n"/>
      <c r="D203" s="46" t="n"/>
      <c r="E203" s="46" t="n"/>
      <c r="F203" s="46" t="n"/>
      <c r="G203" s="46" t="n"/>
      <c r="H203" s="46" t="n"/>
      <c r="I203" s="51" t="n"/>
      <c r="J203" s="47" t="n"/>
      <c r="K203" s="47" t="n"/>
      <c r="L203" s="43">
        <f>IF($B203="","",ROUND((N($J203)+N($K203))*نسبة_القيمة_المضافة,2))</f>
        <v/>
      </c>
      <c r="M203" s="47" t="n"/>
      <c r="N203" s="47" t="n"/>
      <c r="O203" s="43">
        <f>IF($B203="","",N($J203)+N($K203)+N($L203)-N($M203)+N($N203))</f>
        <v/>
      </c>
      <c r="P203" s="47" t="n"/>
      <c r="Q203" s="43">
        <f>IF($B203="","",N($O203)-N($P203))</f>
        <v/>
      </c>
      <c r="R203" s="47" t="n"/>
      <c r="S203" s="47" t="n"/>
      <c r="T203" s="47" t="n"/>
      <c r="U203" s="43">
        <f>IF($B203="","",N($J203)-N($R203)-N($T203))</f>
        <v/>
      </c>
      <c r="V203" s="47" t="n"/>
    </row>
    <row r="204">
      <c r="A204" s="39">
        <f>IF($B204="","",COUNTA($B$4:$B204))</f>
        <v/>
      </c>
      <c r="B204" s="40" t="n"/>
      <c r="C204" s="41" t="n"/>
      <c r="D204" s="41" t="n"/>
      <c r="E204" s="41" t="n"/>
      <c r="F204" s="41" t="n"/>
      <c r="G204" s="41" t="n"/>
      <c r="H204" s="41" t="n"/>
      <c r="I204" s="50" t="n"/>
      <c r="J204" s="42" t="n"/>
      <c r="K204" s="42" t="n"/>
      <c r="L204" s="43">
        <f>IF($B204="","",ROUND((N($J204)+N($K204))*نسبة_القيمة_المضافة,2))</f>
        <v/>
      </c>
      <c r="M204" s="42" t="n"/>
      <c r="N204" s="42" t="n"/>
      <c r="O204" s="43">
        <f>IF($B204="","",N($J204)+N($K204)+N($L204)-N($M204)+N($N204))</f>
        <v/>
      </c>
      <c r="P204" s="42" t="n"/>
      <c r="Q204" s="43">
        <f>IF($B204="","",N($O204)-N($P204))</f>
        <v/>
      </c>
      <c r="R204" s="42" t="n"/>
      <c r="S204" s="42" t="n"/>
      <c r="T204" s="42" t="n"/>
      <c r="U204" s="43">
        <f>IF($B204="","",N($J204)-N($R204)-N($T204))</f>
        <v/>
      </c>
      <c r="V204" s="42" t="n"/>
    </row>
    <row r="205">
      <c r="A205" s="39">
        <f>IF($B205="","",COUNTA($B$4:$B205))</f>
        <v/>
      </c>
      <c r="B205" s="45" t="n"/>
      <c r="C205" s="46" t="n"/>
      <c r="D205" s="46" t="n"/>
      <c r="E205" s="46" t="n"/>
      <c r="F205" s="46" t="n"/>
      <c r="G205" s="46" t="n"/>
      <c r="H205" s="46" t="n"/>
      <c r="I205" s="51" t="n"/>
      <c r="J205" s="47" t="n"/>
      <c r="K205" s="47" t="n"/>
      <c r="L205" s="43">
        <f>IF($B205="","",ROUND((N($J205)+N($K205))*نسبة_القيمة_المضافة,2))</f>
        <v/>
      </c>
      <c r="M205" s="47" t="n"/>
      <c r="N205" s="47" t="n"/>
      <c r="O205" s="43">
        <f>IF($B205="","",N($J205)+N($K205)+N($L205)-N($M205)+N($N205))</f>
        <v/>
      </c>
      <c r="P205" s="47" t="n"/>
      <c r="Q205" s="43">
        <f>IF($B205="","",N($O205)-N($P205))</f>
        <v/>
      </c>
      <c r="R205" s="47" t="n"/>
      <c r="S205" s="47" t="n"/>
      <c r="T205" s="47" t="n"/>
      <c r="U205" s="43">
        <f>IF($B205="","",N($J205)-N($R205)-N($T205))</f>
        <v/>
      </c>
      <c r="V205" s="47" t="n"/>
    </row>
    <row r="206">
      <c r="A206" s="39">
        <f>IF($B206="","",COUNTA($B$4:$B206))</f>
        <v/>
      </c>
      <c r="B206" s="40" t="n"/>
      <c r="C206" s="41" t="n"/>
      <c r="D206" s="41" t="n"/>
      <c r="E206" s="41" t="n"/>
      <c r="F206" s="41" t="n"/>
      <c r="G206" s="41" t="n"/>
      <c r="H206" s="41" t="n"/>
      <c r="I206" s="50" t="n"/>
      <c r="J206" s="42" t="n"/>
      <c r="K206" s="42" t="n"/>
      <c r="L206" s="43">
        <f>IF($B206="","",ROUND((N($J206)+N($K206))*نسبة_القيمة_المضافة,2))</f>
        <v/>
      </c>
      <c r="M206" s="42" t="n"/>
      <c r="N206" s="42" t="n"/>
      <c r="O206" s="43">
        <f>IF($B206="","",N($J206)+N($K206)+N($L206)-N($M206)+N($N206))</f>
        <v/>
      </c>
      <c r="P206" s="42" t="n"/>
      <c r="Q206" s="43">
        <f>IF($B206="","",N($O206)-N($P206))</f>
        <v/>
      </c>
      <c r="R206" s="42" t="n"/>
      <c r="S206" s="42" t="n"/>
      <c r="T206" s="42" t="n"/>
      <c r="U206" s="43">
        <f>IF($B206="","",N($J206)-N($R206)-N($T206))</f>
        <v/>
      </c>
      <c r="V206" s="42" t="n"/>
    </row>
    <row r="207">
      <c r="A207" s="39">
        <f>IF($B207="","",COUNTA($B$4:$B207))</f>
        <v/>
      </c>
      <c r="B207" s="45" t="n"/>
      <c r="C207" s="46" t="n"/>
      <c r="D207" s="46" t="n"/>
      <c r="E207" s="46" t="n"/>
      <c r="F207" s="46" t="n"/>
      <c r="G207" s="46" t="n"/>
      <c r="H207" s="46" t="n"/>
      <c r="I207" s="51" t="n"/>
      <c r="J207" s="47" t="n"/>
      <c r="K207" s="47" t="n"/>
      <c r="L207" s="43">
        <f>IF($B207="","",ROUND((N($J207)+N($K207))*نسبة_القيمة_المضافة,2))</f>
        <v/>
      </c>
      <c r="M207" s="47" t="n"/>
      <c r="N207" s="47" t="n"/>
      <c r="O207" s="43">
        <f>IF($B207="","",N($J207)+N($K207)+N($L207)-N($M207)+N($N207))</f>
        <v/>
      </c>
      <c r="P207" s="47" t="n"/>
      <c r="Q207" s="43">
        <f>IF($B207="","",N($O207)-N($P207))</f>
        <v/>
      </c>
      <c r="R207" s="47" t="n"/>
      <c r="S207" s="47" t="n"/>
      <c r="T207" s="47" t="n"/>
      <c r="U207" s="43">
        <f>IF($B207="","",N($J207)-N($R207)-N($T207))</f>
        <v/>
      </c>
      <c r="V207" s="47" t="n"/>
    </row>
    <row r="208">
      <c r="A208" s="39">
        <f>IF($B208="","",COUNTA($B$4:$B208))</f>
        <v/>
      </c>
      <c r="B208" s="40" t="n"/>
      <c r="C208" s="41" t="n"/>
      <c r="D208" s="41" t="n"/>
      <c r="E208" s="41" t="n"/>
      <c r="F208" s="41" t="n"/>
      <c r="G208" s="41" t="n"/>
      <c r="H208" s="41" t="n"/>
      <c r="I208" s="50" t="n"/>
      <c r="J208" s="42" t="n"/>
      <c r="K208" s="42" t="n"/>
      <c r="L208" s="43">
        <f>IF($B208="","",ROUND((N($J208)+N($K208))*نسبة_القيمة_المضافة,2))</f>
        <v/>
      </c>
      <c r="M208" s="42" t="n"/>
      <c r="N208" s="42" t="n"/>
      <c r="O208" s="43">
        <f>IF($B208="","",N($J208)+N($K208)+N($L208)-N($M208)+N($N208))</f>
        <v/>
      </c>
      <c r="P208" s="42" t="n"/>
      <c r="Q208" s="43">
        <f>IF($B208="","",N($O208)-N($P208))</f>
        <v/>
      </c>
      <c r="R208" s="42" t="n"/>
      <c r="S208" s="42" t="n"/>
      <c r="T208" s="42" t="n"/>
      <c r="U208" s="43">
        <f>IF($B208="","",N($J208)-N($R208)-N($T208))</f>
        <v/>
      </c>
      <c r="V208" s="42" t="n"/>
    </row>
    <row r="209">
      <c r="A209" s="39">
        <f>IF($B209="","",COUNTA($B$4:$B209))</f>
        <v/>
      </c>
      <c r="B209" s="45" t="n"/>
      <c r="C209" s="46" t="n"/>
      <c r="D209" s="46" t="n"/>
      <c r="E209" s="46" t="n"/>
      <c r="F209" s="46" t="n"/>
      <c r="G209" s="46" t="n"/>
      <c r="H209" s="46" t="n"/>
      <c r="I209" s="51" t="n"/>
      <c r="J209" s="47" t="n"/>
      <c r="K209" s="47" t="n"/>
      <c r="L209" s="43">
        <f>IF($B209="","",ROUND((N($J209)+N($K209))*نسبة_القيمة_المضافة,2))</f>
        <v/>
      </c>
      <c r="M209" s="47" t="n"/>
      <c r="N209" s="47" t="n"/>
      <c r="O209" s="43">
        <f>IF($B209="","",N($J209)+N($K209)+N($L209)-N($M209)+N($N209))</f>
        <v/>
      </c>
      <c r="P209" s="47" t="n"/>
      <c r="Q209" s="43">
        <f>IF($B209="","",N($O209)-N($P209))</f>
        <v/>
      </c>
      <c r="R209" s="47" t="n"/>
      <c r="S209" s="47" t="n"/>
      <c r="T209" s="47" t="n"/>
      <c r="U209" s="43">
        <f>IF($B209="","",N($J209)-N($R209)-N($T209))</f>
        <v/>
      </c>
      <c r="V209" s="47" t="n"/>
    </row>
    <row r="210">
      <c r="A210" s="39">
        <f>IF($B210="","",COUNTA($B$4:$B210))</f>
        <v/>
      </c>
      <c r="B210" s="40" t="n"/>
      <c r="C210" s="41" t="n"/>
      <c r="D210" s="41" t="n"/>
      <c r="E210" s="41" t="n"/>
      <c r="F210" s="41" t="n"/>
      <c r="G210" s="41" t="n"/>
      <c r="H210" s="41" t="n"/>
      <c r="I210" s="50" t="n"/>
      <c r="J210" s="42" t="n"/>
      <c r="K210" s="42" t="n"/>
      <c r="L210" s="43">
        <f>IF($B210="","",ROUND((N($J210)+N($K210))*نسبة_القيمة_المضافة,2))</f>
        <v/>
      </c>
      <c r="M210" s="42" t="n"/>
      <c r="N210" s="42" t="n"/>
      <c r="O210" s="43">
        <f>IF($B210="","",N($J210)+N($K210)+N($L210)-N($M210)+N($N210))</f>
        <v/>
      </c>
      <c r="P210" s="42" t="n"/>
      <c r="Q210" s="43">
        <f>IF($B210="","",N($O210)-N($P210))</f>
        <v/>
      </c>
      <c r="R210" s="42" t="n"/>
      <c r="S210" s="42" t="n"/>
      <c r="T210" s="42" t="n"/>
      <c r="U210" s="43">
        <f>IF($B210="","",N($J210)-N($R210)-N($T210))</f>
        <v/>
      </c>
      <c r="V210" s="42" t="n"/>
    </row>
    <row r="211">
      <c r="A211" s="39">
        <f>IF($B211="","",COUNTA($B$4:$B211))</f>
        <v/>
      </c>
      <c r="B211" s="45" t="n"/>
      <c r="C211" s="46" t="n"/>
      <c r="D211" s="46" t="n"/>
      <c r="E211" s="46" t="n"/>
      <c r="F211" s="46" t="n"/>
      <c r="G211" s="46" t="n"/>
      <c r="H211" s="46" t="n"/>
      <c r="I211" s="51" t="n"/>
      <c r="J211" s="47" t="n"/>
      <c r="K211" s="47" t="n"/>
      <c r="L211" s="43">
        <f>IF($B211="","",ROUND((N($J211)+N($K211))*نسبة_القيمة_المضافة,2))</f>
        <v/>
      </c>
      <c r="M211" s="47" t="n"/>
      <c r="N211" s="47" t="n"/>
      <c r="O211" s="43">
        <f>IF($B211="","",N($J211)+N($K211)+N($L211)-N($M211)+N($N211))</f>
        <v/>
      </c>
      <c r="P211" s="47" t="n"/>
      <c r="Q211" s="43">
        <f>IF($B211="","",N($O211)-N($P211))</f>
        <v/>
      </c>
      <c r="R211" s="47" t="n"/>
      <c r="S211" s="47" t="n"/>
      <c r="T211" s="47" t="n"/>
      <c r="U211" s="43">
        <f>IF($B211="","",N($J211)-N($R211)-N($T211))</f>
        <v/>
      </c>
      <c r="V211" s="47" t="n"/>
    </row>
    <row r="212">
      <c r="A212" s="39">
        <f>IF($B212="","",COUNTA($B$4:$B212))</f>
        <v/>
      </c>
      <c r="B212" s="40" t="n"/>
      <c r="C212" s="41" t="n"/>
      <c r="D212" s="41" t="n"/>
      <c r="E212" s="41" t="n"/>
      <c r="F212" s="41" t="n"/>
      <c r="G212" s="41" t="n"/>
      <c r="H212" s="41" t="n"/>
      <c r="I212" s="50" t="n"/>
      <c r="J212" s="42" t="n"/>
      <c r="K212" s="42" t="n"/>
      <c r="L212" s="43">
        <f>IF($B212="","",ROUND((N($J212)+N($K212))*نسبة_القيمة_المضافة,2))</f>
        <v/>
      </c>
      <c r="M212" s="42" t="n"/>
      <c r="N212" s="42" t="n"/>
      <c r="O212" s="43">
        <f>IF($B212="","",N($J212)+N($K212)+N($L212)-N($M212)+N($N212))</f>
        <v/>
      </c>
      <c r="P212" s="42" t="n"/>
      <c r="Q212" s="43">
        <f>IF($B212="","",N($O212)-N($P212))</f>
        <v/>
      </c>
      <c r="R212" s="42" t="n"/>
      <c r="S212" s="42" t="n"/>
      <c r="T212" s="42" t="n"/>
      <c r="U212" s="43">
        <f>IF($B212="","",N($J212)-N($R212)-N($T212))</f>
        <v/>
      </c>
      <c r="V212" s="42" t="n"/>
    </row>
    <row r="213">
      <c r="A213" s="39">
        <f>IF($B213="","",COUNTA($B$4:$B213))</f>
        <v/>
      </c>
      <c r="B213" s="45" t="n"/>
      <c r="C213" s="46" t="n"/>
      <c r="D213" s="46" t="n"/>
      <c r="E213" s="46" t="n"/>
      <c r="F213" s="46" t="n"/>
      <c r="G213" s="46" t="n"/>
      <c r="H213" s="46" t="n"/>
      <c r="I213" s="51" t="n"/>
      <c r="J213" s="47" t="n"/>
      <c r="K213" s="47" t="n"/>
      <c r="L213" s="43">
        <f>IF($B213="","",ROUND((N($J213)+N($K213))*نسبة_القيمة_المضافة,2))</f>
        <v/>
      </c>
      <c r="M213" s="47" t="n"/>
      <c r="N213" s="47" t="n"/>
      <c r="O213" s="43">
        <f>IF($B213="","",N($J213)+N($K213)+N($L213)-N($M213)+N($N213))</f>
        <v/>
      </c>
      <c r="P213" s="47" t="n"/>
      <c r="Q213" s="43">
        <f>IF($B213="","",N($O213)-N($P213))</f>
        <v/>
      </c>
      <c r="R213" s="47" t="n"/>
      <c r="S213" s="47" t="n"/>
      <c r="T213" s="47" t="n"/>
      <c r="U213" s="43">
        <f>IF($B213="","",N($J213)-N($R213)-N($T213))</f>
        <v/>
      </c>
      <c r="V213" s="47" t="n"/>
    </row>
    <row r="214">
      <c r="A214" s="39">
        <f>IF($B214="","",COUNTA($B$4:$B214))</f>
        <v/>
      </c>
      <c r="B214" s="40" t="n"/>
      <c r="C214" s="41" t="n"/>
      <c r="D214" s="41" t="n"/>
      <c r="E214" s="41" t="n"/>
      <c r="F214" s="41" t="n"/>
      <c r="G214" s="41" t="n"/>
      <c r="H214" s="41" t="n"/>
      <c r="I214" s="50" t="n"/>
      <c r="J214" s="42" t="n"/>
      <c r="K214" s="42" t="n"/>
      <c r="L214" s="43">
        <f>IF($B214="","",ROUND((N($J214)+N($K214))*نسبة_القيمة_المضافة,2))</f>
        <v/>
      </c>
      <c r="M214" s="42" t="n"/>
      <c r="N214" s="42" t="n"/>
      <c r="O214" s="43">
        <f>IF($B214="","",N($J214)+N($K214)+N($L214)-N($M214)+N($N214))</f>
        <v/>
      </c>
      <c r="P214" s="42" t="n"/>
      <c r="Q214" s="43">
        <f>IF($B214="","",N($O214)-N($P214))</f>
        <v/>
      </c>
      <c r="R214" s="42" t="n"/>
      <c r="S214" s="42" t="n"/>
      <c r="T214" s="42" t="n"/>
      <c r="U214" s="43">
        <f>IF($B214="","",N($J214)-N($R214)-N($T214))</f>
        <v/>
      </c>
      <c r="V214" s="42" t="n"/>
    </row>
    <row r="215">
      <c r="A215" s="39">
        <f>IF($B215="","",COUNTA($B$4:$B215))</f>
        <v/>
      </c>
      <c r="B215" s="45" t="n"/>
      <c r="C215" s="46" t="n"/>
      <c r="D215" s="46" t="n"/>
      <c r="E215" s="46" t="n"/>
      <c r="F215" s="46" t="n"/>
      <c r="G215" s="46" t="n"/>
      <c r="H215" s="46" t="n"/>
      <c r="I215" s="51" t="n"/>
      <c r="J215" s="47" t="n"/>
      <c r="K215" s="47" t="n"/>
      <c r="L215" s="43">
        <f>IF($B215="","",ROUND((N($J215)+N($K215))*نسبة_القيمة_المضافة,2))</f>
        <v/>
      </c>
      <c r="M215" s="47" t="n"/>
      <c r="N215" s="47" t="n"/>
      <c r="O215" s="43">
        <f>IF($B215="","",N($J215)+N($K215)+N($L215)-N($M215)+N($N215))</f>
        <v/>
      </c>
      <c r="P215" s="47" t="n"/>
      <c r="Q215" s="43">
        <f>IF($B215="","",N($O215)-N($P215))</f>
        <v/>
      </c>
      <c r="R215" s="47" t="n"/>
      <c r="S215" s="47" t="n"/>
      <c r="T215" s="47" t="n"/>
      <c r="U215" s="43">
        <f>IF($B215="","",N($J215)-N($R215)-N($T215))</f>
        <v/>
      </c>
      <c r="V215" s="47" t="n"/>
    </row>
    <row r="216">
      <c r="A216" s="39">
        <f>IF($B216="","",COUNTA($B$4:$B216))</f>
        <v/>
      </c>
      <c r="B216" s="40" t="n"/>
      <c r="C216" s="41" t="n"/>
      <c r="D216" s="41" t="n"/>
      <c r="E216" s="41" t="n"/>
      <c r="F216" s="41" t="n"/>
      <c r="G216" s="41" t="n"/>
      <c r="H216" s="41" t="n"/>
      <c r="I216" s="50" t="n"/>
      <c r="J216" s="42" t="n"/>
      <c r="K216" s="42" t="n"/>
      <c r="L216" s="43">
        <f>IF($B216="","",ROUND((N($J216)+N($K216))*نسبة_القيمة_المضافة,2))</f>
        <v/>
      </c>
      <c r="M216" s="42" t="n"/>
      <c r="N216" s="42" t="n"/>
      <c r="O216" s="43">
        <f>IF($B216="","",N($J216)+N($K216)+N($L216)-N($M216)+N($N216))</f>
        <v/>
      </c>
      <c r="P216" s="42" t="n"/>
      <c r="Q216" s="43">
        <f>IF($B216="","",N($O216)-N($P216))</f>
        <v/>
      </c>
      <c r="R216" s="42" t="n"/>
      <c r="S216" s="42" t="n"/>
      <c r="T216" s="42" t="n"/>
      <c r="U216" s="43">
        <f>IF($B216="","",N($J216)-N($R216)-N($T216))</f>
        <v/>
      </c>
      <c r="V216" s="42" t="n"/>
    </row>
    <row r="217">
      <c r="A217" s="39">
        <f>IF($B217="","",COUNTA($B$4:$B217))</f>
        <v/>
      </c>
      <c r="B217" s="45" t="n"/>
      <c r="C217" s="46" t="n"/>
      <c r="D217" s="46" t="n"/>
      <c r="E217" s="46" t="n"/>
      <c r="F217" s="46" t="n"/>
      <c r="G217" s="46" t="n"/>
      <c r="H217" s="46" t="n"/>
      <c r="I217" s="51" t="n"/>
      <c r="J217" s="47" t="n"/>
      <c r="K217" s="47" t="n"/>
      <c r="L217" s="43">
        <f>IF($B217="","",ROUND((N($J217)+N($K217))*نسبة_القيمة_المضافة,2))</f>
        <v/>
      </c>
      <c r="M217" s="47" t="n"/>
      <c r="N217" s="47" t="n"/>
      <c r="O217" s="43">
        <f>IF($B217="","",N($J217)+N($K217)+N($L217)-N($M217)+N($N217))</f>
        <v/>
      </c>
      <c r="P217" s="47" t="n"/>
      <c r="Q217" s="43">
        <f>IF($B217="","",N($O217)-N($P217))</f>
        <v/>
      </c>
      <c r="R217" s="47" t="n"/>
      <c r="S217" s="47" t="n"/>
      <c r="T217" s="47" t="n"/>
      <c r="U217" s="43">
        <f>IF($B217="","",N($J217)-N($R217)-N($T217))</f>
        <v/>
      </c>
      <c r="V217" s="47" t="n"/>
    </row>
    <row r="218">
      <c r="A218" s="39">
        <f>IF($B218="","",COUNTA($B$4:$B218))</f>
        <v/>
      </c>
      <c r="B218" s="40" t="n"/>
      <c r="C218" s="41" t="n"/>
      <c r="D218" s="41" t="n"/>
      <c r="E218" s="41" t="n"/>
      <c r="F218" s="41" t="n"/>
      <c r="G218" s="41" t="n"/>
      <c r="H218" s="41" t="n"/>
      <c r="I218" s="50" t="n"/>
      <c r="J218" s="42" t="n"/>
      <c r="K218" s="42" t="n"/>
      <c r="L218" s="43">
        <f>IF($B218="","",ROUND((N($J218)+N($K218))*نسبة_القيمة_المضافة,2))</f>
        <v/>
      </c>
      <c r="M218" s="42" t="n"/>
      <c r="N218" s="42" t="n"/>
      <c r="O218" s="43">
        <f>IF($B218="","",N($J218)+N($K218)+N($L218)-N($M218)+N($N218))</f>
        <v/>
      </c>
      <c r="P218" s="42" t="n"/>
      <c r="Q218" s="43">
        <f>IF($B218="","",N($O218)-N($P218))</f>
        <v/>
      </c>
      <c r="R218" s="42" t="n"/>
      <c r="S218" s="42" t="n"/>
      <c r="T218" s="42" t="n"/>
      <c r="U218" s="43">
        <f>IF($B218="","",N($J218)-N($R218)-N($T218))</f>
        <v/>
      </c>
      <c r="V218" s="42" t="n"/>
    </row>
    <row r="219">
      <c r="A219" s="39">
        <f>IF($B219="","",COUNTA($B$4:$B219))</f>
        <v/>
      </c>
      <c r="B219" s="45" t="n"/>
      <c r="C219" s="46" t="n"/>
      <c r="D219" s="46" t="n"/>
      <c r="E219" s="46" t="n"/>
      <c r="F219" s="46" t="n"/>
      <c r="G219" s="46" t="n"/>
      <c r="H219" s="46" t="n"/>
      <c r="I219" s="51" t="n"/>
      <c r="J219" s="47" t="n"/>
      <c r="K219" s="47" t="n"/>
      <c r="L219" s="43">
        <f>IF($B219="","",ROUND((N($J219)+N($K219))*نسبة_القيمة_المضافة,2))</f>
        <v/>
      </c>
      <c r="M219" s="47" t="n"/>
      <c r="N219" s="47" t="n"/>
      <c r="O219" s="43">
        <f>IF($B219="","",N($J219)+N($K219)+N($L219)-N($M219)+N($N219))</f>
        <v/>
      </c>
      <c r="P219" s="47" t="n"/>
      <c r="Q219" s="43">
        <f>IF($B219="","",N($O219)-N($P219))</f>
        <v/>
      </c>
      <c r="R219" s="47" t="n"/>
      <c r="S219" s="47" t="n"/>
      <c r="T219" s="47" t="n"/>
      <c r="U219" s="43">
        <f>IF($B219="","",N($J219)-N($R219)-N($T219))</f>
        <v/>
      </c>
      <c r="V219" s="47" t="n"/>
    </row>
    <row r="220">
      <c r="A220" s="39">
        <f>IF($B220="","",COUNTA($B$4:$B220))</f>
        <v/>
      </c>
      <c r="B220" s="40" t="n"/>
      <c r="C220" s="41" t="n"/>
      <c r="D220" s="41" t="n"/>
      <c r="E220" s="41" t="n"/>
      <c r="F220" s="41" t="n"/>
      <c r="G220" s="41" t="n"/>
      <c r="H220" s="41" t="n"/>
      <c r="I220" s="50" t="n"/>
      <c r="J220" s="42" t="n"/>
      <c r="K220" s="42" t="n"/>
      <c r="L220" s="43">
        <f>IF($B220="","",ROUND((N($J220)+N($K220))*نسبة_القيمة_المضافة,2))</f>
        <v/>
      </c>
      <c r="M220" s="42" t="n"/>
      <c r="N220" s="42" t="n"/>
      <c r="O220" s="43">
        <f>IF($B220="","",N($J220)+N($K220)+N($L220)-N($M220)+N($N220))</f>
        <v/>
      </c>
      <c r="P220" s="42" t="n"/>
      <c r="Q220" s="43">
        <f>IF($B220="","",N($O220)-N($P220))</f>
        <v/>
      </c>
      <c r="R220" s="42" t="n"/>
      <c r="S220" s="42" t="n"/>
      <c r="T220" s="42" t="n"/>
      <c r="U220" s="43">
        <f>IF($B220="","",N($J220)-N($R220)-N($T220))</f>
        <v/>
      </c>
      <c r="V220" s="42" t="n"/>
    </row>
    <row r="221">
      <c r="A221" s="39">
        <f>IF($B221="","",COUNTA($B$4:$B221))</f>
        <v/>
      </c>
      <c r="B221" s="45" t="n"/>
      <c r="C221" s="46" t="n"/>
      <c r="D221" s="46" t="n"/>
      <c r="E221" s="46" t="n"/>
      <c r="F221" s="46" t="n"/>
      <c r="G221" s="46" t="n"/>
      <c r="H221" s="46" t="n"/>
      <c r="I221" s="51" t="n"/>
      <c r="J221" s="47" t="n"/>
      <c r="K221" s="47" t="n"/>
      <c r="L221" s="43">
        <f>IF($B221="","",ROUND((N($J221)+N($K221))*نسبة_القيمة_المضافة,2))</f>
        <v/>
      </c>
      <c r="M221" s="47" t="n"/>
      <c r="N221" s="47" t="n"/>
      <c r="O221" s="43">
        <f>IF($B221="","",N($J221)+N($K221)+N($L221)-N($M221)+N($N221))</f>
        <v/>
      </c>
      <c r="P221" s="47" t="n"/>
      <c r="Q221" s="43">
        <f>IF($B221="","",N($O221)-N($P221))</f>
        <v/>
      </c>
      <c r="R221" s="47" t="n"/>
      <c r="S221" s="47" t="n"/>
      <c r="T221" s="47" t="n"/>
      <c r="U221" s="43">
        <f>IF($B221="","",N($J221)-N($R221)-N($T221))</f>
        <v/>
      </c>
      <c r="V221" s="47" t="n"/>
    </row>
    <row r="222">
      <c r="A222" s="39">
        <f>IF($B222="","",COUNTA($B$4:$B222))</f>
        <v/>
      </c>
      <c r="B222" s="40" t="n"/>
      <c r="C222" s="41" t="n"/>
      <c r="D222" s="41" t="n"/>
      <c r="E222" s="41" t="n"/>
      <c r="F222" s="41" t="n"/>
      <c r="G222" s="41" t="n"/>
      <c r="H222" s="41" t="n"/>
      <c r="I222" s="50" t="n"/>
      <c r="J222" s="42" t="n"/>
      <c r="K222" s="42" t="n"/>
      <c r="L222" s="43">
        <f>IF($B222="","",ROUND((N($J222)+N($K222))*نسبة_القيمة_المضافة,2))</f>
        <v/>
      </c>
      <c r="M222" s="42" t="n"/>
      <c r="N222" s="42" t="n"/>
      <c r="O222" s="43">
        <f>IF($B222="","",N($J222)+N($K222)+N($L222)-N($M222)+N($N222))</f>
        <v/>
      </c>
      <c r="P222" s="42" t="n"/>
      <c r="Q222" s="43">
        <f>IF($B222="","",N($O222)-N($P222))</f>
        <v/>
      </c>
      <c r="R222" s="42" t="n"/>
      <c r="S222" s="42" t="n"/>
      <c r="T222" s="42" t="n"/>
      <c r="U222" s="43">
        <f>IF($B222="","",N($J222)-N($R222)-N($T222))</f>
        <v/>
      </c>
      <c r="V222" s="42" t="n"/>
    </row>
    <row r="223">
      <c r="A223" s="39">
        <f>IF($B223="","",COUNTA($B$4:$B223))</f>
        <v/>
      </c>
      <c r="B223" s="45" t="n"/>
      <c r="C223" s="46" t="n"/>
      <c r="D223" s="46" t="n"/>
      <c r="E223" s="46" t="n"/>
      <c r="F223" s="46" t="n"/>
      <c r="G223" s="46" t="n"/>
      <c r="H223" s="46" t="n"/>
      <c r="I223" s="51" t="n"/>
      <c r="J223" s="47" t="n"/>
      <c r="K223" s="47" t="n"/>
      <c r="L223" s="43">
        <f>IF($B223="","",ROUND((N($J223)+N($K223))*نسبة_القيمة_المضافة,2))</f>
        <v/>
      </c>
      <c r="M223" s="47" t="n"/>
      <c r="N223" s="47" t="n"/>
      <c r="O223" s="43">
        <f>IF($B223="","",N($J223)+N($K223)+N($L223)-N($M223)+N($N223))</f>
        <v/>
      </c>
      <c r="P223" s="47" t="n"/>
      <c r="Q223" s="43">
        <f>IF($B223="","",N($O223)-N($P223))</f>
        <v/>
      </c>
      <c r="R223" s="47" t="n"/>
      <c r="S223" s="47" t="n"/>
      <c r="T223" s="47" t="n"/>
      <c r="U223" s="43">
        <f>IF($B223="","",N($J223)-N($R223)-N($T223))</f>
        <v/>
      </c>
      <c r="V223" s="47" t="n"/>
    </row>
    <row r="224">
      <c r="A224" s="39">
        <f>IF($B224="","",COUNTA($B$4:$B224))</f>
        <v/>
      </c>
      <c r="B224" s="40" t="n"/>
      <c r="C224" s="41" t="n"/>
      <c r="D224" s="41" t="n"/>
      <c r="E224" s="41" t="n"/>
      <c r="F224" s="41" t="n"/>
      <c r="G224" s="41" t="n"/>
      <c r="H224" s="41" t="n"/>
      <c r="I224" s="50" t="n"/>
      <c r="J224" s="42" t="n"/>
      <c r="K224" s="42" t="n"/>
      <c r="L224" s="43">
        <f>IF($B224="","",ROUND((N($J224)+N($K224))*نسبة_القيمة_المضافة,2))</f>
        <v/>
      </c>
      <c r="M224" s="42" t="n"/>
      <c r="N224" s="42" t="n"/>
      <c r="O224" s="43">
        <f>IF($B224="","",N($J224)+N($K224)+N($L224)-N($M224)+N($N224))</f>
        <v/>
      </c>
      <c r="P224" s="42" t="n"/>
      <c r="Q224" s="43">
        <f>IF($B224="","",N($O224)-N($P224))</f>
        <v/>
      </c>
      <c r="R224" s="42" t="n"/>
      <c r="S224" s="42" t="n"/>
      <c r="T224" s="42" t="n"/>
      <c r="U224" s="43">
        <f>IF($B224="","",N($J224)-N($R224)-N($T224))</f>
        <v/>
      </c>
      <c r="V224" s="42" t="n"/>
    </row>
    <row r="225">
      <c r="A225" s="39">
        <f>IF($B225="","",COUNTA($B$4:$B225))</f>
        <v/>
      </c>
      <c r="B225" s="45" t="n"/>
      <c r="C225" s="46" t="n"/>
      <c r="D225" s="46" t="n"/>
      <c r="E225" s="46" t="n"/>
      <c r="F225" s="46" t="n"/>
      <c r="G225" s="46" t="n"/>
      <c r="H225" s="46" t="n"/>
      <c r="I225" s="51" t="n"/>
      <c r="J225" s="47" t="n"/>
      <c r="K225" s="47" t="n"/>
      <c r="L225" s="43">
        <f>IF($B225="","",ROUND((N($J225)+N($K225))*نسبة_القيمة_المضافة,2))</f>
        <v/>
      </c>
      <c r="M225" s="47" t="n"/>
      <c r="N225" s="47" t="n"/>
      <c r="O225" s="43">
        <f>IF($B225="","",N($J225)+N($K225)+N($L225)-N($M225)+N($N225))</f>
        <v/>
      </c>
      <c r="P225" s="47" t="n"/>
      <c r="Q225" s="43">
        <f>IF($B225="","",N($O225)-N($P225))</f>
        <v/>
      </c>
      <c r="R225" s="47" t="n"/>
      <c r="S225" s="47" t="n"/>
      <c r="T225" s="47" t="n"/>
      <c r="U225" s="43">
        <f>IF($B225="","",N($J225)-N($R225)-N($T225))</f>
        <v/>
      </c>
      <c r="V225" s="47" t="n"/>
    </row>
    <row r="226">
      <c r="A226" s="39">
        <f>IF($B226="","",COUNTA($B$4:$B226))</f>
        <v/>
      </c>
      <c r="B226" s="40" t="n"/>
      <c r="C226" s="41" t="n"/>
      <c r="D226" s="41" t="n"/>
      <c r="E226" s="41" t="n"/>
      <c r="F226" s="41" t="n"/>
      <c r="G226" s="41" t="n"/>
      <c r="H226" s="41" t="n"/>
      <c r="I226" s="50" t="n"/>
      <c r="J226" s="42" t="n"/>
      <c r="K226" s="42" t="n"/>
      <c r="L226" s="43">
        <f>IF($B226="","",ROUND((N($J226)+N($K226))*نسبة_القيمة_المضافة,2))</f>
        <v/>
      </c>
      <c r="M226" s="42" t="n"/>
      <c r="N226" s="42" t="n"/>
      <c r="O226" s="43">
        <f>IF($B226="","",N($J226)+N($K226)+N($L226)-N($M226)+N($N226))</f>
        <v/>
      </c>
      <c r="P226" s="42" t="n"/>
      <c r="Q226" s="43">
        <f>IF($B226="","",N($O226)-N($P226))</f>
        <v/>
      </c>
      <c r="R226" s="42" t="n"/>
      <c r="S226" s="42" t="n"/>
      <c r="T226" s="42" t="n"/>
      <c r="U226" s="43">
        <f>IF($B226="","",N($J226)-N($R226)-N($T226))</f>
        <v/>
      </c>
      <c r="V226" s="42" t="n"/>
    </row>
    <row r="227">
      <c r="A227" s="39">
        <f>IF($B227="","",COUNTA($B$4:$B227))</f>
        <v/>
      </c>
      <c r="B227" s="45" t="n"/>
      <c r="C227" s="46" t="n"/>
      <c r="D227" s="46" t="n"/>
      <c r="E227" s="46" t="n"/>
      <c r="F227" s="46" t="n"/>
      <c r="G227" s="46" t="n"/>
      <c r="H227" s="46" t="n"/>
      <c r="I227" s="51" t="n"/>
      <c r="J227" s="47" t="n"/>
      <c r="K227" s="47" t="n"/>
      <c r="L227" s="43">
        <f>IF($B227="","",ROUND((N($J227)+N($K227))*نسبة_القيمة_المضافة,2))</f>
        <v/>
      </c>
      <c r="M227" s="47" t="n"/>
      <c r="N227" s="47" t="n"/>
      <c r="O227" s="43">
        <f>IF($B227="","",N($J227)+N($K227)+N($L227)-N($M227)+N($N227))</f>
        <v/>
      </c>
      <c r="P227" s="47" t="n"/>
      <c r="Q227" s="43">
        <f>IF($B227="","",N($O227)-N($P227))</f>
        <v/>
      </c>
      <c r="R227" s="47" t="n"/>
      <c r="S227" s="47" t="n"/>
      <c r="T227" s="47" t="n"/>
      <c r="U227" s="43">
        <f>IF($B227="","",N($J227)-N($R227)-N($T227))</f>
        <v/>
      </c>
      <c r="V227" s="47" t="n"/>
    </row>
    <row r="228">
      <c r="A228" s="39">
        <f>IF($B228="","",COUNTA($B$4:$B228))</f>
        <v/>
      </c>
      <c r="B228" s="40" t="n"/>
      <c r="C228" s="41" t="n"/>
      <c r="D228" s="41" t="n"/>
      <c r="E228" s="41" t="n"/>
      <c r="F228" s="41" t="n"/>
      <c r="G228" s="41" t="n"/>
      <c r="H228" s="41" t="n"/>
      <c r="I228" s="50" t="n"/>
      <c r="J228" s="42" t="n"/>
      <c r="K228" s="42" t="n"/>
      <c r="L228" s="43">
        <f>IF($B228="","",ROUND((N($J228)+N($K228))*نسبة_القيمة_المضافة,2))</f>
        <v/>
      </c>
      <c r="M228" s="42" t="n"/>
      <c r="N228" s="42" t="n"/>
      <c r="O228" s="43">
        <f>IF($B228="","",N($J228)+N($K228)+N($L228)-N($M228)+N($N228))</f>
        <v/>
      </c>
      <c r="P228" s="42" t="n"/>
      <c r="Q228" s="43">
        <f>IF($B228="","",N($O228)-N($P228))</f>
        <v/>
      </c>
      <c r="R228" s="42" t="n"/>
      <c r="S228" s="42" t="n"/>
      <c r="T228" s="42" t="n"/>
      <c r="U228" s="43">
        <f>IF($B228="","",N($J228)-N($R228)-N($T228))</f>
        <v/>
      </c>
      <c r="V228" s="42" t="n"/>
    </row>
    <row r="229">
      <c r="A229" s="39">
        <f>IF($B229="","",COUNTA($B$4:$B229))</f>
        <v/>
      </c>
      <c r="B229" s="45" t="n"/>
      <c r="C229" s="46" t="n"/>
      <c r="D229" s="46" t="n"/>
      <c r="E229" s="46" t="n"/>
      <c r="F229" s="46" t="n"/>
      <c r="G229" s="46" t="n"/>
      <c r="H229" s="46" t="n"/>
      <c r="I229" s="51" t="n"/>
      <c r="J229" s="47" t="n"/>
      <c r="K229" s="47" t="n"/>
      <c r="L229" s="43">
        <f>IF($B229="","",ROUND((N($J229)+N($K229))*نسبة_القيمة_المضافة,2))</f>
        <v/>
      </c>
      <c r="M229" s="47" t="n"/>
      <c r="N229" s="47" t="n"/>
      <c r="O229" s="43">
        <f>IF($B229="","",N($J229)+N($K229)+N($L229)-N($M229)+N($N229))</f>
        <v/>
      </c>
      <c r="P229" s="47" t="n"/>
      <c r="Q229" s="43">
        <f>IF($B229="","",N($O229)-N($P229))</f>
        <v/>
      </c>
      <c r="R229" s="47" t="n"/>
      <c r="S229" s="47" t="n"/>
      <c r="T229" s="47" t="n"/>
      <c r="U229" s="43">
        <f>IF($B229="","",N($J229)-N($R229)-N($T229))</f>
        <v/>
      </c>
      <c r="V229" s="47" t="n"/>
    </row>
    <row r="230">
      <c r="A230" s="39">
        <f>IF($B230="","",COUNTA($B$4:$B230))</f>
        <v/>
      </c>
      <c r="B230" s="40" t="n"/>
      <c r="C230" s="41" t="n"/>
      <c r="D230" s="41" t="n"/>
      <c r="E230" s="41" t="n"/>
      <c r="F230" s="41" t="n"/>
      <c r="G230" s="41" t="n"/>
      <c r="H230" s="41" t="n"/>
      <c r="I230" s="50" t="n"/>
      <c r="J230" s="42" t="n"/>
      <c r="K230" s="42" t="n"/>
      <c r="L230" s="43">
        <f>IF($B230="","",ROUND((N($J230)+N($K230))*نسبة_القيمة_المضافة,2))</f>
        <v/>
      </c>
      <c r="M230" s="42" t="n"/>
      <c r="N230" s="42" t="n"/>
      <c r="O230" s="43">
        <f>IF($B230="","",N($J230)+N($K230)+N($L230)-N($M230)+N($N230))</f>
        <v/>
      </c>
      <c r="P230" s="42" t="n"/>
      <c r="Q230" s="43">
        <f>IF($B230="","",N($O230)-N($P230))</f>
        <v/>
      </c>
      <c r="R230" s="42" t="n"/>
      <c r="S230" s="42" t="n"/>
      <c r="T230" s="42" t="n"/>
      <c r="U230" s="43">
        <f>IF($B230="","",N($J230)-N($R230)-N($T230))</f>
        <v/>
      </c>
      <c r="V230" s="42" t="n"/>
    </row>
    <row r="231">
      <c r="A231" s="39">
        <f>IF($B231="","",COUNTA($B$4:$B231))</f>
        <v/>
      </c>
      <c r="B231" s="45" t="n"/>
      <c r="C231" s="46" t="n"/>
      <c r="D231" s="46" t="n"/>
      <c r="E231" s="46" t="n"/>
      <c r="F231" s="46" t="n"/>
      <c r="G231" s="46" t="n"/>
      <c r="H231" s="46" t="n"/>
      <c r="I231" s="51" t="n"/>
      <c r="J231" s="47" t="n"/>
      <c r="K231" s="47" t="n"/>
      <c r="L231" s="43">
        <f>IF($B231="","",ROUND((N($J231)+N($K231))*نسبة_القيمة_المضافة,2))</f>
        <v/>
      </c>
      <c r="M231" s="47" t="n"/>
      <c r="N231" s="47" t="n"/>
      <c r="O231" s="43">
        <f>IF($B231="","",N($J231)+N($K231)+N($L231)-N($M231)+N($N231))</f>
        <v/>
      </c>
      <c r="P231" s="47" t="n"/>
      <c r="Q231" s="43">
        <f>IF($B231="","",N($O231)-N($P231))</f>
        <v/>
      </c>
      <c r="R231" s="47" t="n"/>
      <c r="S231" s="47" t="n"/>
      <c r="T231" s="47" t="n"/>
      <c r="U231" s="43">
        <f>IF($B231="","",N($J231)-N($R231)-N($T231))</f>
        <v/>
      </c>
      <c r="V231" s="47" t="n"/>
    </row>
    <row r="232">
      <c r="A232" s="39">
        <f>IF($B232="","",COUNTA($B$4:$B232))</f>
        <v/>
      </c>
      <c r="B232" s="40" t="n"/>
      <c r="C232" s="41" t="n"/>
      <c r="D232" s="41" t="n"/>
      <c r="E232" s="41" t="n"/>
      <c r="F232" s="41" t="n"/>
      <c r="G232" s="41" t="n"/>
      <c r="H232" s="41" t="n"/>
      <c r="I232" s="50" t="n"/>
      <c r="J232" s="42" t="n"/>
      <c r="K232" s="42" t="n"/>
      <c r="L232" s="43">
        <f>IF($B232="","",ROUND((N($J232)+N($K232))*نسبة_القيمة_المضافة,2))</f>
        <v/>
      </c>
      <c r="M232" s="42" t="n"/>
      <c r="N232" s="42" t="n"/>
      <c r="O232" s="43">
        <f>IF($B232="","",N($J232)+N($K232)+N($L232)-N($M232)+N($N232))</f>
        <v/>
      </c>
      <c r="P232" s="42" t="n"/>
      <c r="Q232" s="43">
        <f>IF($B232="","",N($O232)-N($P232))</f>
        <v/>
      </c>
      <c r="R232" s="42" t="n"/>
      <c r="S232" s="42" t="n"/>
      <c r="T232" s="42" t="n"/>
      <c r="U232" s="43">
        <f>IF($B232="","",N($J232)-N($R232)-N($T232))</f>
        <v/>
      </c>
      <c r="V232" s="42" t="n"/>
    </row>
    <row r="233">
      <c r="A233" s="39">
        <f>IF($B233="","",COUNTA($B$4:$B233))</f>
        <v/>
      </c>
      <c r="B233" s="45" t="n"/>
      <c r="C233" s="46" t="n"/>
      <c r="D233" s="46" t="n"/>
      <c r="E233" s="46" t="n"/>
      <c r="F233" s="46" t="n"/>
      <c r="G233" s="46" t="n"/>
      <c r="H233" s="46" t="n"/>
      <c r="I233" s="51" t="n"/>
      <c r="J233" s="47" t="n"/>
      <c r="K233" s="47" t="n"/>
      <c r="L233" s="43">
        <f>IF($B233="","",ROUND((N($J233)+N($K233))*نسبة_القيمة_المضافة,2))</f>
        <v/>
      </c>
      <c r="M233" s="47" t="n"/>
      <c r="N233" s="47" t="n"/>
      <c r="O233" s="43">
        <f>IF($B233="","",N($J233)+N($K233)+N($L233)-N($M233)+N($N233))</f>
        <v/>
      </c>
      <c r="P233" s="47" t="n"/>
      <c r="Q233" s="43">
        <f>IF($B233="","",N($O233)-N($P233))</f>
        <v/>
      </c>
      <c r="R233" s="47" t="n"/>
      <c r="S233" s="47" t="n"/>
      <c r="T233" s="47" t="n"/>
      <c r="U233" s="43">
        <f>IF($B233="","",N($J233)-N($R233)-N($T233))</f>
        <v/>
      </c>
      <c r="V233" s="47" t="n"/>
    </row>
    <row r="234">
      <c r="A234" s="39">
        <f>IF($B234="","",COUNTA($B$4:$B234))</f>
        <v/>
      </c>
      <c r="B234" s="40" t="n"/>
      <c r="C234" s="41" t="n"/>
      <c r="D234" s="41" t="n"/>
      <c r="E234" s="41" t="n"/>
      <c r="F234" s="41" t="n"/>
      <c r="G234" s="41" t="n"/>
      <c r="H234" s="41" t="n"/>
      <c r="I234" s="50" t="n"/>
      <c r="J234" s="42" t="n"/>
      <c r="K234" s="42" t="n"/>
      <c r="L234" s="43">
        <f>IF($B234="","",ROUND((N($J234)+N($K234))*نسبة_القيمة_المضافة,2))</f>
        <v/>
      </c>
      <c r="M234" s="42" t="n"/>
      <c r="N234" s="42" t="n"/>
      <c r="O234" s="43">
        <f>IF($B234="","",N($J234)+N($K234)+N($L234)-N($M234)+N($N234))</f>
        <v/>
      </c>
      <c r="P234" s="42" t="n"/>
      <c r="Q234" s="43">
        <f>IF($B234="","",N($O234)-N($P234))</f>
        <v/>
      </c>
      <c r="R234" s="42" t="n"/>
      <c r="S234" s="42" t="n"/>
      <c r="T234" s="42" t="n"/>
      <c r="U234" s="43">
        <f>IF($B234="","",N($J234)-N($R234)-N($T234))</f>
        <v/>
      </c>
      <c r="V234" s="42" t="n"/>
    </row>
    <row r="235">
      <c r="A235" s="39">
        <f>IF($B235="","",COUNTA($B$4:$B235))</f>
        <v/>
      </c>
      <c r="B235" s="45" t="n"/>
      <c r="C235" s="46" t="n"/>
      <c r="D235" s="46" t="n"/>
      <c r="E235" s="46" t="n"/>
      <c r="F235" s="46" t="n"/>
      <c r="G235" s="46" t="n"/>
      <c r="H235" s="46" t="n"/>
      <c r="I235" s="51" t="n"/>
      <c r="J235" s="47" t="n"/>
      <c r="K235" s="47" t="n"/>
      <c r="L235" s="43">
        <f>IF($B235="","",ROUND((N($J235)+N($K235))*نسبة_القيمة_المضافة,2))</f>
        <v/>
      </c>
      <c r="M235" s="47" t="n"/>
      <c r="N235" s="47" t="n"/>
      <c r="O235" s="43">
        <f>IF($B235="","",N($J235)+N($K235)+N($L235)-N($M235)+N($N235))</f>
        <v/>
      </c>
      <c r="P235" s="47" t="n"/>
      <c r="Q235" s="43">
        <f>IF($B235="","",N($O235)-N($P235))</f>
        <v/>
      </c>
      <c r="R235" s="47" t="n"/>
      <c r="S235" s="47" t="n"/>
      <c r="T235" s="47" t="n"/>
      <c r="U235" s="43">
        <f>IF($B235="","",N($J235)-N($R235)-N($T235))</f>
        <v/>
      </c>
      <c r="V235" s="47" t="n"/>
    </row>
    <row r="236">
      <c r="A236" s="39">
        <f>IF($B236="","",COUNTA($B$4:$B236))</f>
        <v/>
      </c>
      <c r="B236" s="40" t="n"/>
      <c r="C236" s="41" t="n"/>
      <c r="D236" s="41" t="n"/>
      <c r="E236" s="41" t="n"/>
      <c r="F236" s="41" t="n"/>
      <c r="G236" s="41" t="n"/>
      <c r="H236" s="41" t="n"/>
      <c r="I236" s="50" t="n"/>
      <c r="J236" s="42" t="n"/>
      <c r="K236" s="42" t="n"/>
      <c r="L236" s="43">
        <f>IF($B236="","",ROUND((N($J236)+N($K236))*نسبة_القيمة_المضافة,2))</f>
        <v/>
      </c>
      <c r="M236" s="42" t="n"/>
      <c r="N236" s="42" t="n"/>
      <c r="O236" s="43">
        <f>IF($B236="","",N($J236)+N($K236)+N($L236)-N($M236)+N($N236))</f>
        <v/>
      </c>
      <c r="P236" s="42" t="n"/>
      <c r="Q236" s="43">
        <f>IF($B236="","",N($O236)-N($P236))</f>
        <v/>
      </c>
      <c r="R236" s="42" t="n"/>
      <c r="S236" s="42" t="n"/>
      <c r="T236" s="42" t="n"/>
      <c r="U236" s="43">
        <f>IF($B236="","",N($J236)-N($R236)-N($T236))</f>
        <v/>
      </c>
      <c r="V236" s="42" t="n"/>
    </row>
    <row r="237">
      <c r="A237" s="39">
        <f>IF($B237="","",COUNTA($B$4:$B237))</f>
        <v/>
      </c>
      <c r="B237" s="45" t="n"/>
      <c r="C237" s="46" t="n"/>
      <c r="D237" s="46" t="n"/>
      <c r="E237" s="46" t="n"/>
      <c r="F237" s="46" t="n"/>
      <c r="G237" s="46" t="n"/>
      <c r="H237" s="46" t="n"/>
      <c r="I237" s="51" t="n"/>
      <c r="J237" s="47" t="n"/>
      <c r="K237" s="47" t="n"/>
      <c r="L237" s="43">
        <f>IF($B237="","",ROUND((N($J237)+N($K237))*نسبة_القيمة_المضافة,2))</f>
        <v/>
      </c>
      <c r="M237" s="47" t="n"/>
      <c r="N237" s="47" t="n"/>
      <c r="O237" s="43">
        <f>IF($B237="","",N($J237)+N($K237)+N($L237)-N($M237)+N($N237))</f>
        <v/>
      </c>
      <c r="P237" s="47" t="n"/>
      <c r="Q237" s="43">
        <f>IF($B237="","",N($O237)-N($P237))</f>
        <v/>
      </c>
      <c r="R237" s="47" t="n"/>
      <c r="S237" s="47" t="n"/>
      <c r="T237" s="47" t="n"/>
      <c r="U237" s="43">
        <f>IF($B237="","",N($J237)-N($R237)-N($T237))</f>
        <v/>
      </c>
      <c r="V237" s="47" t="n"/>
    </row>
    <row r="238">
      <c r="A238" s="39">
        <f>IF($B238="","",COUNTA($B$4:$B238))</f>
        <v/>
      </c>
      <c r="B238" s="40" t="n"/>
      <c r="C238" s="41" t="n"/>
      <c r="D238" s="41" t="n"/>
      <c r="E238" s="41" t="n"/>
      <c r="F238" s="41" t="n"/>
      <c r="G238" s="41" t="n"/>
      <c r="H238" s="41" t="n"/>
      <c r="I238" s="50" t="n"/>
      <c r="J238" s="42" t="n"/>
      <c r="K238" s="42" t="n"/>
      <c r="L238" s="43">
        <f>IF($B238="","",ROUND((N($J238)+N($K238))*نسبة_القيمة_المضافة,2))</f>
        <v/>
      </c>
      <c r="M238" s="42" t="n"/>
      <c r="N238" s="42" t="n"/>
      <c r="O238" s="43">
        <f>IF($B238="","",N($J238)+N($K238)+N($L238)-N($M238)+N($N238))</f>
        <v/>
      </c>
      <c r="P238" s="42" t="n"/>
      <c r="Q238" s="43">
        <f>IF($B238="","",N($O238)-N($P238))</f>
        <v/>
      </c>
      <c r="R238" s="42" t="n"/>
      <c r="S238" s="42" t="n"/>
      <c r="T238" s="42" t="n"/>
      <c r="U238" s="43">
        <f>IF($B238="","",N($J238)-N($R238)-N($T238))</f>
        <v/>
      </c>
      <c r="V238" s="42" t="n"/>
    </row>
    <row r="239">
      <c r="A239" s="39">
        <f>IF($B239="","",COUNTA($B$4:$B239))</f>
        <v/>
      </c>
      <c r="B239" s="45" t="n"/>
      <c r="C239" s="46" t="n"/>
      <c r="D239" s="46" t="n"/>
      <c r="E239" s="46" t="n"/>
      <c r="F239" s="46" t="n"/>
      <c r="G239" s="46" t="n"/>
      <c r="H239" s="46" t="n"/>
      <c r="I239" s="51" t="n"/>
      <c r="J239" s="47" t="n"/>
      <c r="K239" s="47" t="n"/>
      <c r="L239" s="43">
        <f>IF($B239="","",ROUND((N($J239)+N($K239))*نسبة_القيمة_المضافة,2))</f>
        <v/>
      </c>
      <c r="M239" s="47" t="n"/>
      <c r="N239" s="47" t="n"/>
      <c r="O239" s="43">
        <f>IF($B239="","",N($J239)+N($K239)+N($L239)-N($M239)+N($N239))</f>
        <v/>
      </c>
      <c r="P239" s="47" t="n"/>
      <c r="Q239" s="43">
        <f>IF($B239="","",N($O239)-N($P239))</f>
        <v/>
      </c>
      <c r="R239" s="47" t="n"/>
      <c r="S239" s="47" t="n"/>
      <c r="T239" s="47" t="n"/>
      <c r="U239" s="43">
        <f>IF($B239="","",N($J239)-N($R239)-N($T239))</f>
        <v/>
      </c>
      <c r="V239" s="47" t="n"/>
    </row>
    <row r="240">
      <c r="A240" s="39">
        <f>IF($B240="","",COUNTA($B$4:$B240))</f>
        <v/>
      </c>
      <c r="B240" s="40" t="n"/>
      <c r="C240" s="41" t="n"/>
      <c r="D240" s="41" t="n"/>
      <c r="E240" s="41" t="n"/>
      <c r="F240" s="41" t="n"/>
      <c r="G240" s="41" t="n"/>
      <c r="H240" s="41" t="n"/>
      <c r="I240" s="50" t="n"/>
      <c r="J240" s="42" t="n"/>
      <c r="K240" s="42" t="n"/>
      <c r="L240" s="43">
        <f>IF($B240="","",ROUND((N($J240)+N($K240))*نسبة_القيمة_المضافة,2))</f>
        <v/>
      </c>
      <c r="M240" s="42" t="n"/>
      <c r="N240" s="42" t="n"/>
      <c r="O240" s="43">
        <f>IF($B240="","",N($J240)+N($K240)+N($L240)-N($M240)+N($N240))</f>
        <v/>
      </c>
      <c r="P240" s="42" t="n"/>
      <c r="Q240" s="43">
        <f>IF($B240="","",N($O240)-N($P240))</f>
        <v/>
      </c>
      <c r="R240" s="42" t="n"/>
      <c r="S240" s="42" t="n"/>
      <c r="T240" s="42" t="n"/>
      <c r="U240" s="43">
        <f>IF($B240="","",N($J240)-N($R240)-N($T240))</f>
        <v/>
      </c>
      <c r="V240" s="42" t="n"/>
    </row>
    <row r="241">
      <c r="A241" s="39">
        <f>IF($B241="","",COUNTA($B$4:$B241))</f>
        <v/>
      </c>
      <c r="B241" s="45" t="n"/>
      <c r="C241" s="46" t="n"/>
      <c r="D241" s="46" t="n"/>
      <c r="E241" s="46" t="n"/>
      <c r="F241" s="46" t="n"/>
      <c r="G241" s="46" t="n"/>
      <c r="H241" s="46" t="n"/>
      <c r="I241" s="51" t="n"/>
      <c r="J241" s="47" t="n"/>
      <c r="K241" s="47" t="n"/>
      <c r="L241" s="43">
        <f>IF($B241="","",ROUND((N($J241)+N($K241))*نسبة_القيمة_المضافة,2))</f>
        <v/>
      </c>
      <c r="M241" s="47" t="n"/>
      <c r="N241" s="47" t="n"/>
      <c r="O241" s="43">
        <f>IF($B241="","",N($J241)+N($K241)+N($L241)-N($M241)+N($N241))</f>
        <v/>
      </c>
      <c r="P241" s="47" t="n"/>
      <c r="Q241" s="43">
        <f>IF($B241="","",N($O241)-N($P241))</f>
        <v/>
      </c>
      <c r="R241" s="47" t="n"/>
      <c r="S241" s="47" t="n"/>
      <c r="T241" s="47" t="n"/>
      <c r="U241" s="43">
        <f>IF($B241="","",N($J241)-N($R241)-N($T241))</f>
        <v/>
      </c>
      <c r="V241" s="47" t="n"/>
    </row>
    <row r="242">
      <c r="A242" s="39">
        <f>IF($B242="","",COUNTA($B$4:$B242))</f>
        <v/>
      </c>
      <c r="B242" s="40" t="n"/>
      <c r="C242" s="41" t="n"/>
      <c r="D242" s="41" t="n"/>
      <c r="E242" s="41" t="n"/>
      <c r="F242" s="41" t="n"/>
      <c r="G242" s="41" t="n"/>
      <c r="H242" s="41" t="n"/>
      <c r="I242" s="50" t="n"/>
      <c r="J242" s="42" t="n"/>
      <c r="K242" s="42" t="n"/>
      <c r="L242" s="43">
        <f>IF($B242="","",ROUND((N($J242)+N($K242))*نسبة_القيمة_المضافة,2))</f>
        <v/>
      </c>
      <c r="M242" s="42" t="n"/>
      <c r="N242" s="42" t="n"/>
      <c r="O242" s="43">
        <f>IF($B242="","",N($J242)+N($K242)+N($L242)-N($M242)+N($N242))</f>
        <v/>
      </c>
      <c r="P242" s="42" t="n"/>
      <c r="Q242" s="43">
        <f>IF($B242="","",N($O242)-N($P242))</f>
        <v/>
      </c>
      <c r="R242" s="42" t="n"/>
      <c r="S242" s="42" t="n"/>
      <c r="T242" s="42" t="n"/>
      <c r="U242" s="43">
        <f>IF($B242="","",N($J242)-N($R242)-N($T242))</f>
        <v/>
      </c>
      <c r="V242" s="42" t="n"/>
    </row>
    <row r="243">
      <c r="A243" s="39">
        <f>IF($B243="","",COUNTA($B$4:$B243))</f>
        <v/>
      </c>
      <c r="B243" s="45" t="n"/>
      <c r="C243" s="46" t="n"/>
      <c r="D243" s="46" t="n"/>
      <c r="E243" s="46" t="n"/>
      <c r="F243" s="46" t="n"/>
      <c r="G243" s="46" t="n"/>
      <c r="H243" s="46" t="n"/>
      <c r="I243" s="51" t="n"/>
      <c r="J243" s="47" t="n"/>
      <c r="K243" s="47" t="n"/>
      <c r="L243" s="43">
        <f>IF($B243="","",ROUND((N($J243)+N($K243))*نسبة_القيمة_المضافة,2))</f>
        <v/>
      </c>
      <c r="M243" s="47" t="n"/>
      <c r="N243" s="47" t="n"/>
      <c r="O243" s="43">
        <f>IF($B243="","",N($J243)+N($K243)+N($L243)-N($M243)+N($N243))</f>
        <v/>
      </c>
      <c r="P243" s="47" t="n"/>
      <c r="Q243" s="43">
        <f>IF($B243="","",N($O243)-N($P243))</f>
        <v/>
      </c>
      <c r="R243" s="47" t="n"/>
      <c r="S243" s="47" t="n"/>
      <c r="T243" s="47" t="n"/>
      <c r="U243" s="43">
        <f>IF($B243="","",N($J243)-N($R243)-N($T243))</f>
        <v/>
      </c>
      <c r="V243" s="47" t="n"/>
    </row>
    <row r="244">
      <c r="A244" s="39">
        <f>IF($B244="","",COUNTA($B$4:$B244))</f>
        <v/>
      </c>
      <c r="B244" s="40" t="n"/>
      <c r="C244" s="41" t="n"/>
      <c r="D244" s="41" t="n"/>
      <c r="E244" s="41" t="n"/>
      <c r="F244" s="41" t="n"/>
      <c r="G244" s="41" t="n"/>
      <c r="H244" s="41" t="n"/>
      <c r="I244" s="50" t="n"/>
      <c r="J244" s="42" t="n"/>
      <c r="K244" s="42" t="n"/>
      <c r="L244" s="43">
        <f>IF($B244="","",ROUND((N($J244)+N($K244))*نسبة_القيمة_المضافة,2))</f>
        <v/>
      </c>
      <c r="M244" s="42" t="n"/>
      <c r="N244" s="42" t="n"/>
      <c r="O244" s="43">
        <f>IF($B244="","",N($J244)+N($K244)+N($L244)-N($M244)+N($N244))</f>
        <v/>
      </c>
      <c r="P244" s="42" t="n"/>
      <c r="Q244" s="43">
        <f>IF($B244="","",N($O244)-N($P244))</f>
        <v/>
      </c>
      <c r="R244" s="42" t="n"/>
      <c r="S244" s="42" t="n"/>
      <c r="T244" s="42" t="n"/>
      <c r="U244" s="43">
        <f>IF($B244="","",N($J244)-N($R244)-N($T244))</f>
        <v/>
      </c>
      <c r="V244" s="42" t="n"/>
    </row>
    <row r="245">
      <c r="A245" s="39">
        <f>IF($B245="","",COUNTA($B$4:$B245))</f>
        <v/>
      </c>
      <c r="B245" s="45" t="n"/>
      <c r="C245" s="46" t="n"/>
      <c r="D245" s="46" t="n"/>
      <c r="E245" s="46" t="n"/>
      <c r="F245" s="46" t="n"/>
      <c r="G245" s="46" t="n"/>
      <c r="H245" s="46" t="n"/>
      <c r="I245" s="51" t="n"/>
      <c r="J245" s="47" t="n"/>
      <c r="K245" s="47" t="n"/>
      <c r="L245" s="43">
        <f>IF($B245="","",ROUND((N($J245)+N($K245))*نسبة_القيمة_المضافة,2))</f>
        <v/>
      </c>
      <c r="M245" s="47" t="n"/>
      <c r="N245" s="47" t="n"/>
      <c r="O245" s="43">
        <f>IF($B245="","",N($J245)+N($K245)+N($L245)-N($M245)+N($N245))</f>
        <v/>
      </c>
      <c r="P245" s="47" t="n"/>
      <c r="Q245" s="43">
        <f>IF($B245="","",N($O245)-N($P245))</f>
        <v/>
      </c>
      <c r="R245" s="47" t="n"/>
      <c r="S245" s="47" t="n"/>
      <c r="T245" s="47" t="n"/>
      <c r="U245" s="43">
        <f>IF($B245="","",N($J245)-N($R245)-N($T245))</f>
        <v/>
      </c>
      <c r="V245" s="47" t="n"/>
    </row>
    <row r="246">
      <c r="A246" s="39">
        <f>IF($B246="","",COUNTA($B$4:$B246))</f>
        <v/>
      </c>
      <c r="B246" s="40" t="n"/>
      <c r="C246" s="41" t="n"/>
      <c r="D246" s="41" t="n"/>
      <c r="E246" s="41" t="n"/>
      <c r="F246" s="41" t="n"/>
      <c r="G246" s="41" t="n"/>
      <c r="H246" s="41" t="n"/>
      <c r="I246" s="50" t="n"/>
      <c r="J246" s="42" t="n"/>
      <c r="K246" s="42" t="n"/>
      <c r="L246" s="43">
        <f>IF($B246="","",ROUND((N($J246)+N($K246))*نسبة_القيمة_المضافة,2))</f>
        <v/>
      </c>
      <c r="M246" s="42" t="n"/>
      <c r="N246" s="42" t="n"/>
      <c r="O246" s="43">
        <f>IF($B246="","",N($J246)+N($K246)+N($L246)-N($M246)+N($N246))</f>
        <v/>
      </c>
      <c r="P246" s="42" t="n"/>
      <c r="Q246" s="43">
        <f>IF($B246="","",N($O246)-N($P246))</f>
        <v/>
      </c>
      <c r="R246" s="42" t="n"/>
      <c r="S246" s="42" t="n"/>
      <c r="T246" s="42" t="n"/>
      <c r="U246" s="43">
        <f>IF($B246="","",N($J246)-N($R246)-N($T246))</f>
        <v/>
      </c>
      <c r="V246" s="42" t="n"/>
    </row>
    <row r="247">
      <c r="A247" s="39">
        <f>IF($B247="","",COUNTA($B$4:$B247))</f>
        <v/>
      </c>
      <c r="B247" s="45" t="n"/>
      <c r="C247" s="46" t="n"/>
      <c r="D247" s="46" t="n"/>
      <c r="E247" s="46" t="n"/>
      <c r="F247" s="46" t="n"/>
      <c r="G247" s="46" t="n"/>
      <c r="H247" s="46" t="n"/>
      <c r="I247" s="51" t="n"/>
      <c r="J247" s="47" t="n"/>
      <c r="K247" s="47" t="n"/>
      <c r="L247" s="43">
        <f>IF($B247="","",ROUND((N($J247)+N($K247))*نسبة_القيمة_المضافة,2))</f>
        <v/>
      </c>
      <c r="M247" s="47" t="n"/>
      <c r="N247" s="47" t="n"/>
      <c r="O247" s="43">
        <f>IF($B247="","",N($J247)+N($K247)+N($L247)-N($M247)+N($N247))</f>
        <v/>
      </c>
      <c r="P247" s="47" t="n"/>
      <c r="Q247" s="43">
        <f>IF($B247="","",N($O247)-N($P247))</f>
        <v/>
      </c>
      <c r="R247" s="47" t="n"/>
      <c r="S247" s="47" t="n"/>
      <c r="T247" s="47" t="n"/>
      <c r="U247" s="43">
        <f>IF($B247="","",N($J247)-N($R247)-N($T247))</f>
        <v/>
      </c>
      <c r="V247" s="47" t="n"/>
    </row>
    <row r="248">
      <c r="A248" s="39">
        <f>IF($B248="","",COUNTA($B$4:$B248))</f>
        <v/>
      </c>
      <c r="B248" s="40" t="n"/>
      <c r="C248" s="41" t="n"/>
      <c r="D248" s="41" t="n"/>
      <c r="E248" s="41" t="n"/>
      <c r="F248" s="41" t="n"/>
      <c r="G248" s="41" t="n"/>
      <c r="H248" s="41" t="n"/>
      <c r="I248" s="50" t="n"/>
      <c r="J248" s="42" t="n"/>
      <c r="K248" s="42" t="n"/>
      <c r="L248" s="43">
        <f>IF($B248="","",ROUND((N($J248)+N($K248))*نسبة_القيمة_المضافة,2))</f>
        <v/>
      </c>
      <c r="M248" s="42" t="n"/>
      <c r="N248" s="42" t="n"/>
      <c r="O248" s="43">
        <f>IF($B248="","",N($J248)+N($K248)+N($L248)-N($M248)+N($N248))</f>
        <v/>
      </c>
      <c r="P248" s="42" t="n"/>
      <c r="Q248" s="43">
        <f>IF($B248="","",N($O248)-N($P248))</f>
        <v/>
      </c>
      <c r="R248" s="42" t="n"/>
      <c r="S248" s="42" t="n"/>
      <c r="T248" s="42" t="n"/>
      <c r="U248" s="43">
        <f>IF($B248="","",N($J248)-N($R248)-N($T248))</f>
        <v/>
      </c>
      <c r="V248" s="42" t="n"/>
    </row>
    <row r="249">
      <c r="A249" s="39">
        <f>IF($B249="","",COUNTA($B$4:$B249))</f>
        <v/>
      </c>
      <c r="B249" s="45" t="n"/>
      <c r="C249" s="46" t="n"/>
      <c r="D249" s="46" t="n"/>
      <c r="E249" s="46" t="n"/>
      <c r="F249" s="46" t="n"/>
      <c r="G249" s="46" t="n"/>
      <c r="H249" s="46" t="n"/>
      <c r="I249" s="51" t="n"/>
      <c r="J249" s="47" t="n"/>
      <c r="K249" s="47" t="n"/>
      <c r="L249" s="43">
        <f>IF($B249="","",ROUND((N($J249)+N($K249))*نسبة_القيمة_المضافة,2))</f>
        <v/>
      </c>
      <c r="M249" s="47" t="n"/>
      <c r="N249" s="47" t="n"/>
      <c r="O249" s="43">
        <f>IF($B249="","",N($J249)+N($K249)+N($L249)-N($M249)+N($N249))</f>
        <v/>
      </c>
      <c r="P249" s="47" t="n"/>
      <c r="Q249" s="43">
        <f>IF($B249="","",N($O249)-N($P249))</f>
        <v/>
      </c>
      <c r="R249" s="47" t="n"/>
      <c r="S249" s="47" t="n"/>
      <c r="T249" s="47" t="n"/>
      <c r="U249" s="43">
        <f>IF($B249="","",N($J249)-N($R249)-N($T249))</f>
        <v/>
      </c>
      <c r="V249" s="47" t="n"/>
    </row>
    <row r="250">
      <c r="A250" s="39">
        <f>IF($B250="","",COUNTA($B$4:$B250))</f>
        <v/>
      </c>
      <c r="B250" s="40" t="n"/>
      <c r="C250" s="41" t="n"/>
      <c r="D250" s="41" t="n"/>
      <c r="E250" s="41" t="n"/>
      <c r="F250" s="41" t="n"/>
      <c r="G250" s="41" t="n"/>
      <c r="H250" s="41" t="n"/>
      <c r="I250" s="50" t="n"/>
      <c r="J250" s="42" t="n"/>
      <c r="K250" s="42" t="n"/>
      <c r="L250" s="43">
        <f>IF($B250="","",ROUND((N($J250)+N($K250))*نسبة_القيمة_المضافة,2))</f>
        <v/>
      </c>
      <c r="M250" s="42" t="n"/>
      <c r="N250" s="42" t="n"/>
      <c r="O250" s="43">
        <f>IF($B250="","",N($J250)+N($K250)+N($L250)-N($M250)+N($N250))</f>
        <v/>
      </c>
      <c r="P250" s="42" t="n"/>
      <c r="Q250" s="43">
        <f>IF($B250="","",N($O250)-N($P250))</f>
        <v/>
      </c>
      <c r="R250" s="42" t="n"/>
      <c r="S250" s="42" t="n"/>
      <c r="T250" s="42" t="n"/>
      <c r="U250" s="43">
        <f>IF($B250="","",N($J250)-N($R250)-N($T250))</f>
        <v/>
      </c>
      <c r="V250" s="42" t="n"/>
    </row>
    <row r="251">
      <c r="A251" s="39">
        <f>IF($B251="","",COUNTA($B$4:$B251))</f>
        <v/>
      </c>
      <c r="B251" s="45" t="n"/>
      <c r="C251" s="46" t="n"/>
      <c r="D251" s="46" t="n"/>
      <c r="E251" s="46" t="n"/>
      <c r="F251" s="46" t="n"/>
      <c r="G251" s="46" t="n"/>
      <c r="H251" s="46" t="n"/>
      <c r="I251" s="51" t="n"/>
      <c r="J251" s="47" t="n"/>
      <c r="K251" s="47" t="n"/>
      <c r="L251" s="43">
        <f>IF($B251="","",ROUND((N($J251)+N($K251))*نسبة_القيمة_المضافة,2))</f>
        <v/>
      </c>
      <c r="M251" s="47" t="n"/>
      <c r="N251" s="47" t="n"/>
      <c r="O251" s="43">
        <f>IF($B251="","",N($J251)+N($K251)+N($L251)-N($M251)+N($N251))</f>
        <v/>
      </c>
      <c r="P251" s="47" t="n"/>
      <c r="Q251" s="43">
        <f>IF($B251="","",N($O251)-N($P251))</f>
        <v/>
      </c>
      <c r="R251" s="47" t="n"/>
      <c r="S251" s="47" t="n"/>
      <c r="T251" s="47" t="n"/>
      <c r="U251" s="43">
        <f>IF($B251="","",N($J251)-N($R251)-N($T251))</f>
        <v/>
      </c>
      <c r="V251" s="47" t="n"/>
    </row>
    <row r="252">
      <c r="A252" s="39">
        <f>IF($B252="","",COUNTA($B$4:$B252))</f>
        <v/>
      </c>
      <c r="B252" s="40" t="n"/>
      <c r="C252" s="41" t="n"/>
      <c r="D252" s="41" t="n"/>
      <c r="E252" s="41" t="n"/>
      <c r="F252" s="41" t="n"/>
      <c r="G252" s="41" t="n"/>
      <c r="H252" s="41" t="n"/>
      <c r="I252" s="50" t="n"/>
      <c r="J252" s="42" t="n"/>
      <c r="K252" s="42" t="n"/>
      <c r="L252" s="43">
        <f>IF($B252="","",ROUND((N($J252)+N($K252))*نسبة_القيمة_المضافة,2))</f>
        <v/>
      </c>
      <c r="M252" s="42" t="n"/>
      <c r="N252" s="42" t="n"/>
      <c r="O252" s="43">
        <f>IF($B252="","",N($J252)+N($K252)+N($L252)-N($M252)+N($N252))</f>
        <v/>
      </c>
      <c r="P252" s="42" t="n"/>
      <c r="Q252" s="43">
        <f>IF($B252="","",N($O252)-N($P252))</f>
        <v/>
      </c>
      <c r="R252" s="42" t="n"/>
      <c r="S252" s="42" t="n"/>
      <c r="T252" s="42" t="n"/>
      <c r="U252" s="43">
        <f>IF($B252="","",N($J252)-N($R252)-N($T252))</f>
        <v/>
      </c>
      <c r="V252" s="42" t="n"/>
    </row>
    <row r="253">
      <c r="A253" s="39">
        <f>IF($B253="","",COUNTA($B$4:$B253))</f>
        <v/>
      </c>
      <c r="B253" s="45" t="n"/>
      <c r="C253" s="46" t="n"/>
      <c r="D253" s="46" t="n"/>
      <c r="E253" s="46" t="n"/>
      <c r="F253" s="46" t="n"/>
      <c r="G253" s="46" t="n"/>
      <c r="H253" s="46" t="n"/>
      <c r="I253" s="51" t="n"/>
      <c r="J253" s="47" t="n"/>
      <c r="K253" s="47" t="n"/>
      <c r="L253" s="43">
        <f>IF($B253="","",ROUND((N($J253)+N($K253))*نسبة_القيمة_المضافة,2))</f>
        <v/>
      </c>
      <c r="M253" s="47" t="n"/>
      <c r="N253" s="47" t="n"/>
      <c r="O253" s="43">
        <f>IF($B253="","",N($J253)+N($K253)+N($L253)-N($M253)+N($N253))</f>
        <v/>
      </c>
      <c r="P253" s="47" t="n"/>
      <c r="Q253" s="43">
        <f>IF($B253="","",N($O253)-N($P253))</f>
        <v/>
      </c>
      <c r="R253" s="47" t="n"/>
      <c r="S253" s="47" t="n"/>
      <c r="T253" s="47" t="n"/>
      <c r="U253" s="43">
        <f>IF($B253="","",N($J253)-N($R253)-N($T253))</f>
        <v/>
      </c>
      <c r="V253" s="47" t="n"/>
    </row>
    <row r="254">
      <c r="A254" s="39">
        <f>IF($B254="","",COUNTA($B$4:$B254))</f>
        <v/>
      </c>
      <c r="B254" s="40" t="n"/>
      <c r="C254" s="41" t="n"/>
      <c r="D254" s="41" t="n"/>
      <c r="E254" s="41" t="n"/>
      <c r="F254" s="41" t="n"/>
      <c r="G254" s="41" t="n"/>
      <c r="H254" s="41" t="n"/>
      <c r="I254" s="50" t="n"/>
      <c r="J254" s="42" t="n"/>
      <c r="K254" s="42" t="n"/>
      <c r="L254" s="43">
        <f>IF($B254="","",ROUND((N($J254)+N($K254))*نسبة_القيمة_المضافة,2))</f>
        <v/>
      </c>
      <c r="M254" s="42" t="n"/>
      <c r="N254" s="42" t="n"/>
      <c r="O254" s="43">
        <f>IF($B254="","",N($J254)+N($K254)+N($L254)-N($M254)+N($N254))</f>
        <v/>
      </c>
      <c r="P254" s="42" t="n"/>
      <c r="Q254" s="43">
        <f>IF($B254="","",N($O254)-N($P254))</f>
        <v/>
      </c>
      <c r="R254" s="42" t="n"/>
      <c r="S254" s="42" t="n"/>
      <c r="T254" s="42" t="n"/>
      <c r="U254" s="43">
        <f>IF($B254="","",N($J254)-N($R254)-N($T254))</f>
        <v/>
      </c>
      <c r="V254" s="42" t="n"/>
    </row>
    <row r="255">
      <c r="A255" s="39">
        <f>IF($B255="","",COUNTA($B$4:$B255))</f>
        <v/>
      </c>
      <c r="B255" s="45" t="n"/>
      <c r="C255" s="46" t="n"/>
      <c r="D255" s="46" t="n"/>
      <c r="E255" s="46" t="n"/>
      <c r="F255" s="46" t="n"/>
      <c r="G255" s="46" t="n"/>
      <c r="H255" s="46" t="n"/>
      <c r="I255" s="51" t="n"/>
      <c r="J255" s="47" t="n"/>
      <c r="K255" s="47" t="n"/>
      <c r="L255" s="43">
        <f>IF($B255="","",ROUND((N($J255)+N($K255))*نسبة_القيمة_المضافة,2))</f>
        <v/>
      </c>
      <c r="M255" s="47" t="n"/>
      <c r="N255" s="47" t="n"/>
      <c r="O255" s="43">
        <f>IF($B255="","",N($J255)+N($K255)+N($L255)-N($M255)+N($N255))</f>
        <v/>
      </c>
      <c r="P255" s="47" t="n"/>
      <c r="Q255" s="43">
        <f>IF($B255="","",N($O255)-N($P255))</f>
        <v/>
      </c>
      <c r="R255" s="47" t="n"/>
      <c r="S255" s="47" t="n"/>
      <c r="T255" s="47" t="n"/>
      <c r="U255" s="43">
        <f>IF($B255="","",N($J255)-N($R255)-N($T255))</f>
        <v/>
      </c>
      <c r="V255" s="47" t="n"/>
    </row>
    <row r="256">
      <c r="A256" s="39">
        <f>IF($B256="","",COUNTA($B$4:$B256))</f>
        <v/>
      </c>
      <c r="B256" s="40" t="n"/>
      <c r="C256" s="41" t="n"/>
      <c r="D256" s="41" t="n"/>
      <c r="E256" s="41" t="n"/>
      <c r="F256" s="41" t="n"/>
      <c r="G256" s="41" t="n"/>
      <c r="H256" s="41" t="n"/>
      <c r="I256" s="50" t="n"/>
      <c r="J256" s="42" t="n"/>
      <c r="K256" s="42" t="n"/>
      <c r="L256" s="43">
        <f>IF($B256="","",ROUND((N($J256)+N($K256))*نسبة_القيمة_المضافة,2))</f>
        <v/>
      </c>
      <c r="M256" s="42" t="n"/>
      <c r="N256" s="42" t="n"/>
      <c r="O256" s="43">
        <f>IF($B256="","",N($J256)+N($K256)+N($L256)-N($M256)+N($N256))</f>
        <v/>
      </c>
      <c r="P256" s="42" t="n"/>
      <c r="Q256" s="43">
        <f>IF($B256="","",N($O256)-N($P256))</f>
        <v/>
      </c>
      <c r="R256" s="42" t="n"/>
      <c r="S256" s="42" t="n"/>
      <c r="T256" s="42" t="n"/>
      <c r="U256" s="43">
        <f>IF($B256="","",N($J256)-N($R256)-N($T256))</f>
        <v/>
      </c>
      <c r="V256" s="42" t="n"/>
    </row>
    <row r="257">
      <c r="A257" s="39">
        <f>IF($B257="","",COUNTA($B$4:$B257))</f>
        <v/>
      </c>
      <c r="B257" s="45" t="n"/>
      <c r="C257" s="46" t="n"/>
      <c r="D257" s="46" t="n"/>
      <c r="E257" s="46" t="n"/>
      <c r="F257" s="46" t="n"/>
      <c r="G257" s="46" t="n"/>
      <c r="H257" s="46" t="n"/>
      <c r="I257" s="51" t="n"/>
      <c r="J257" s="47" t="n"/>
      <c r="K257" s="47" t="n"/>
      <c r="L257" s="43">
        <f>IF($B257="","",ROUND((N($J257)+N($K257))*نسبة_القيمة_المضافة,2))</f>
        <v/>
      </c>
      <c r="M257" s="47" t="n"/>
      <c r="N257" s="47" t="n"/>
      <c r="O257" s="43">
        <f>IF($B257="","",N($J257)+N($K257)+N($L257)-N($M257)+N($N257))</f>
        <v/>
      </c>
      <c r="P257" s="47" t="n"/>
      <c r="Q257" s="43">
        <f>IF($B257="","",N($O257)-N($P257))</f>
        <v/>
      </c>
      <c r="R257" s="47" t="n"/>
      <c r="S257" s="47" t="n"/>
      <c r="T257" s="47" t="n"/>
      <c r="U257" s="43">
        <f>IF($B257="","",N($J257)-N($R257)-N($T257))</f>
        <v/>
      </c>
      <c r="V257" s="47" t="n"/>
    </row>
    <row r="258">
      <c r="A258" s="39">
        <f>IF($B258="","",COUNTA($B$4:$B258))</f>
        <v/>
      </c>
      <c r="B258" s="40" t="n"/>
      <c r="C258" s="41" t="n"/>
      <c r="D258" s="41" t="n"/>
      <c r="E258" s="41" t="n"/>
      <c r="F258" s="41" t="n"/>
      <c r="G258" s="41" t="n"/>
      <c r="H258" s="41" t="n"/>
      <c r="I258" s="50" t="n"/>
      <c r="J258" s="42" t="n"/>
      <c r="K258" s="42" t="n"/>
      <c r="L258" s="43">
        <f>IF($B258="","",ROUND((N($J258)+N($K258))*نسبة_القيمة_المضافة,2))</f>
        <v/>
      </c>
      <c r="M258" s="42" t="n"/>
      <c r="N258" s="42" t="n"/>
      <c r="O258" s="43">
        <f>IF($B258="","",N($J258)+N($K258)+N($L258)-N($M258)+N($N258))</f>
        <v/>
      </c>
      <c r="P258" s="42" t="n"/>
      <c r="Q258" s="43">
        <f>IF($B258="","",N($O258)-N($P258))</f>
        <v/>
      </c>
      <c r="R258" s="42" t="n"/>
      <c r="S258" s="42" t="n"/>
      <c r="T258" s="42" t="n"/>
      <c r="U258" s="43">
        <f>IF($B258="","",N($J258)-N($R258)-N($T258))</f>
        <v/>
      </c>
      <c r="V258" s="42" t="n"/>
    </row>
    <row r="259">
      <c r="A259" s="39">
        <f>IF($B259="","",COUNTA($B$4:$B259))</f>
        <v/>
      </c>
      <c r="B259" s="45" t="n"/>
      <c r="C259" s="46" t="n"/>
      <c r="D259" s="46" t="n"/>
      <c r="E259" s="46" t="n"/>
      <c r="F259" s="46" t="n"/>
      <c r="G259" s="46" t="n"/>
      <c r="H259" s="46" t="n"/>
      <c r="I259" s="51" t="n"/>
      <c r="J259" s="47" t="n"/>
      <c r="K259" s="47" t="n"/>
      <c r="L259" s="43">
        <f>IF($B259="","",ROUND((N($J259)+N($K259))*نسبة_القيمة_المضافة,2))</f>
        <v/>
      </c>
      <c r="M259" s="47" t="n"/>
      <c r="N259" s="47" t="n"/>
      <c r="O259" s="43">
        <f>IF($B259="","",N($J259)+N($K259)+N($L259)-N($M259)+N($N259))</f>
        <v/>
      </c>
      <c r="P259" s="47" t="n"/>
      <c r="Q259" s="43">
        <f>IF($B259="","",N($O259)-N($P259))</f>
        <v/>
      </c>
      <c r="R259" s="47" t="n"/>
      <c r="S259" s="47" t="n"/>
      <c r="T259" s="47" t="n"/>
      <c r="U259" s="43">
        <f>IF($B259="","",N($J259)-N($R259)-N($T259))</f>
        <v/>
      </c>
      <c r="V259" s="47" t="n"/>
    </row>
    <row r="260">
      <c r="A260" s="39">
        <f>IF($B260="","",COUNTA($B$4:$B260))</f>
        <v/>
      </c>
      <c r="B260" s="40" t="n"/>
      <c r="C260" s="41" t="n"/>
      <c r="D260" s="41" t="n"/>
      <c r="E260" s="41" t="n"/>
      <c r="F260" s="41" t="n"/>
      <c r="G260" s="41" t="n"/>
      <c r="H260" s="41" t="n"/>
      <c r="I260" s="50" t="n"/>
      <c r="J260" s="42" t="n"/>
      <c r="K260" s="42" t="n"/>
      <c r="L260" s="43">
        <f>IF($B260="","",ROUND((N($J260)+N($K260))*نسبة_القيمة_المضافة,2))</f>
        <v/>
      </c>
      <c r="M260" s="42" t="n"/>
      <c r="N260" s="42" t="n"/>
      <c r="O260" s="43">
        <f>IF($B260="","",N($J260)+N($K260)+N($L260)-N($M260)+N($N260))</f>
        <v/>
      </c>
      <c r="P260" s="42" t="n"/>
      <c r="Q260" s="43">
        <f>IF($B260="","",N($O260)-N($P260))</f>
        <v/>
      </c>
      <c r="R260" s="42" t="n"/>
      <c r="S260" s="42" t="n"/>
      <c r="T260" s="42" t="n"/>
      <c r="U260" s="43">
        <f>IF($B260="","",N($J260)-N($R260)-N($T260))</f>
        <v/>
      </c>
      <c r="V260" s="42" t="n"/>
    </row>
    <row r="261">
      <c r="A261" s="39">
        <f>IF($B261="","",COUNTA($B$4:$B261))</f>
        <v/>
      </c>
      <c r="B261" s="45" t="n"/>
      <c r="C261" s="46" t="n"/>
      <c r="D261" s="46" t="n"/>
      <c r="E261" s="46" t="n"/>
      <c r="F261" s="46" t="n"/>
      <c r="G261" s="46" t="n"/>
      <c r="H261" s="46" t="n"/>
      <c r="I261" s="51" t="n"/>
      <c r="J261" s="47" t="n"/>
      <c r="K261" s="47" t="n"/>
      <c r="L261" s="43">
        <f>IF($B261="","",ROUND((N($J261)+N($K261))*نسبة_القيمة_المضافة,2))</f>
        <v/>
      </c>
      <c r="M261" s="47" t="n"/>
      <c r="N261" s="47" t="n"/>
      <c r="O261" s="43">
        <f>IF($B261="","",N($J261)+N($K261)+N($L261)-N($M261)+N($N261))</f>
        <v/>
      </c>
      <c r="P261" s="47" t="n"/>
      <c r="Q261" s="43">
        <f>IF($B261="","",N($O261)-N($P261))</f>
        <v/>
      </c>
      <c r="R261" s="47" t="n"/>
      <c r="S261" s="47" t="n"/>
      <c r="T261" s="47" t="n"/>
      <c r="U261" s="43">
        <f>IF($B261="","",N($J261)-N($R261)-N($T261))</f>
        <v/>
      </c>
      <c r="V261" s="47" t="n"/>
    </row>
    <row r="262">
      <c r="A262" s="39">
        <f>IF($B262="","",COUNTA($B$4:$B262))</f>
        <v/>
      </c>
      <c r="B262" s="40" t="n"/>
      <c r="C262" s="41" t="n"/>
      <c r="D262" s="41" t="n"/>
      <c r="E262" s="41" t="n"/>
      <c r="F262" s="41" t="n"/>
      <c r="G262" s="41" t="n"/>
      <c r="H262" s="41" t="n"/>
      <c r="I262" s="50" t="n"/>
      <c r="J262" s="42" t="n"/>
      <c r="K262" s="42" t="n"/>
      <c r="L262" s="43">
        <f>IF($B262="","",ROUND((N($J262)+N($K262))*نسبة_القيمة_المضافة,2))</f>
        <v/>
      </c>
      <c r="M262" s="42" t="n"/>
      <c r="N262" s="42" t="n"/>
      <c r="O262" s="43">
        <f>IF($B262="","",N($J262)+N($K262)+N($L262)-N($M262)+N($N262))</f>
        <v/>
      </c>
      <c r="P262" s="42" t="n"/>
      <c r="Q262" s="43">
        <f>IF($B262="","",N($O262)-N($P262))</f>
        <v/>
      </c>
      <c r="R262" s="42" t="n"/>
      <c r="S262" s="42" t="n"/>
      <c r="T262" s="42" t="n"/>
      <c r="U262" s="43">
        <f>IF($B262="","",N($J262)-N($R262)-N($T262))</f>
        <v/>
      </c>
      <c r="V262" s="42" t="n"/>
    </row>
    <row r="263">
      <c r="A263" s="39">
        <f>IF($B263="","",COUNTA($B$4:$B263))</f>
        <v/>
      </c>
      <c r="B263" s="45" t="n"/>
      <c r="C263" s="46" t="n"/>
      <c r="D263" s="46" t="n"/>
      <c r="E263" s="46" t="n"/>
      <c r="F263" s="46" t="n"/>
      <c r="G263" s="46" t="n"/>
      <c r="H263" s="46" t="n"/>
      <c r="I263" s="51" t="n"/>
      <c r="J263" s="47" t="n"/>
      <c r="K263" s="47" t="n"/>
      <c r="L263" s="43">
        <f>IF($B263="","",ROUND((N($J263)+N($K263))*نسبة_القيمة_المضافة,2))</f>
        <v/>
      </c>
      <c r="M263" s="47" t="n"/>
      <c r="N263" s="47" t="n"/>
      <c r="O263" s="43">
        <f>IF($B263="","",N($J263)+N($K263)+N($L263)-N($M263)+N($N263))</f>
        <v/>
      </c>
      <c r="P263" s="47" t="n"/>
      <c r="Q263" s="43">
        <f>IF($B263="","",N($O263)-N($P263))</f>
        <v/>
      </c>
      <c r="R263" s="47" t="n"/>
      <c r="S263" s="47" t="n"/>
      <c r="T263" s="47" t="n"/>
      <c r="U263" s="43">
        <f>IF($B263="","",N($J263)-N($R263)-N($T263))</f>
        <v/>
      </c>
      <c r="V263" s="47" t="n"/>
    </row>
    <row r="264">
      <c r="A264" s="39">
        <f>IF($B264="","",COUNTA($B$4:$B264))</f>
        <v/>
      </c>
      <c r="B264" s="40" t="n"/>
      <c r="C264" s="41" t="n"/>
      <c r="D264" s="41" t="n"/>
      <c r="E264" s="41" t="n"/>
      <c r="F264" s="41" t="n"/>
      <c r="G264" s="41" t="n"/>
      <c r="H264" s="41" t="n"/>
      <c r="I264" s="50" t="n"/>
      <c r="J264" s="42" t="n"/>
      <c r="K264" s="42" t="n"/>
      <c r="L264" s="43">
        <f>IF($B264="","",ROUND((N($J264)+N($K264))*نسبة_القيمة_المضافة,2))</f>
        <v/>
      </c>
      <c r="M264" s="42" t="n"/>
      <c r="N264" s="42" t="n"/>
      <c r="O264" s="43">
        <f>IF($B264="","",N($J264)+N($K264)+N($L264)-N($M264)+N($N264))</f>
        <v/>
      </c>
      <c r="P264" s="42" t="n"/>
      <c r="Q264" s="43">
        <f>IF($B264="","",N($O264)-N($P264))</f>
        <v/>
      </c>
      <c r="R264" s="42" t="n"/>
      <c r="S264" s="42" t="n"/>
      <c r="T264" s="42" t="n"/>
      <c r="U264" s="43">
        <f>IF($B264="","",N($J264)-N($R264)-N($T264))</f>
        <v/>
      </c>
      <c r="V264" s="42" t="n"/>
    </row>
    <row r="265">
      <c r="A265" s="39">
        <f>IF($B265="","",COUNTA($B$4:$B265))</f>
        <v/>
      </c>
      <c r="B265" s="45" t="n"/>
      <c r="C265" s="46" t="n"/>
      <c r="D265" s="46" t="n"/>
      <c r="E265" s="46" t="n"/>
      <c r="F265" s="46" t="n"/>
      <c r="G265" s="46" t="n"/>
      <c r="H265" s="46" t="n"/>
      <c r="I265" s="51" t="n"/>
      <c r="J265" s="47" t="n"/>
      <c r="K265" s="47" t="n"/>
      <c r="L265" s="43">
        <f>IF($B265="","",ROUND((N($J265)+N($K265))*نسبة_القيمة_المضافة,2))</f>
        <v/>
      </c>
      <c r="M265" s="47" t="n"/>
      <c r="N265" s="47" t="n"/>
      <c r="O265" s="43">
        <f>IF($B265="","",N($J265)+N($K265)+N($L265)-N($M265)+N($N265))</f>
        <v/>
      </c>
      <c r="P265" s="47" t="n"/>
      <c r="Q265" s="43">
        <f>IF($B265="","",N($O265)-N($P265))</f>
        <v/>
      </c>
      <c r="R265" s="47" t="n"/>
      <c r="S265" s="47" t="n"/>
      <c r="T265" s="47" t="n"/>
      <c r="U265" s="43">
        <f>IF($B265="","",N($J265)-N($R265)-N($T265))</f>
        <v/>
      </c>
      <c r="V265" s="47" t="n"/>
    </row>
    <row r="266">
      <c r="A266" s="39">
        <f>IF($B266="","",COUNTA($B$4:$B266))</f>
        <v/>
      </c>
      <c r="B266" s="40" t="n"/>
      <c r="C266" s="41" t="n"/>
      <c r="D266" s="41" t="n"/>
      <c r="E266" s="41" t="n"/>
      <c r="F266" s="41" t="n"/>
      <c r="G266" s="41" t="n"/>
      <c r="H266" s="41" t="n"/>
      <c r="I266" s="50" t="n"/>
      <c r="J266" s="42" t="n"/>
      <c r="K266" s="42" t="n"/>
      <c r="L266" s="43">
        <f>IF($B266="","",ROUND((N($J266)+N($K266))*نسبة_القيمة_المضافة,2))</f>
        <v/>
      </c>
      <c r="M266" s="42" t="n"/>
      <c r="N266" s="42" t="n"/>
      <c r="O266" s="43">
        <f>IF($B266="","",N($J266)+N($K266)+N($L266)-N($M266)+N($N266))</f>
        <v/>
      </c>
      <c r="P266" s="42" t="n"/>
      <c r="Q266" s="43">
        <f>IF($B266="","",N($O266)-N($P266))</f>
        <v/>
      </c>
      <c r="R266" s="42" t="n"/>
      <c r="S266" s="42" t="n"/>
      <c r="T266" s="42" t="n"/>
      <c r="U266" s="43">
        <f>IF($B266="","",N($J266)-N($R266)-N($T266))</f>
        <v/>
      </c>
      <c r="V266" s="42" t="n"/>
    </row>
    <row r="267">
      <c r="A267" s="39">
        <f>IF($B267="","",COUNTA($B$4:$B267))</f>
        <v/>
      </c>
      <c r="B267" s="45" t="n"/>
      <c r="C267" s="46" t="n"/>
      <c r="D267" s="46" t="n"/>
      <c r="E267" s="46" t="n"/>
      <c r="F267" s="46" t="n"/>
      <c r="G267" s="46" t="n"/>
      <c r="H267" s="46" t="n"/>
      <c r="I267" s="51" t="n"/>
      <c r="J267" s="47" t="n"/>
      <c r="K267" s="47" t="n"/>
      <c r="L267" s="43">
        <f>IF($B267="","",ROUND((N($J267)+N($K267))*نسبة_القيمة_المضافة,2))</f>
        <v/>
      </c>
      <c r="M267" s="47" t="n"/>
      <c r="N267" s="47" t="n"/>
      <c r="O267" s="43">
        <f>IF($B267="","",N($J267)+N($K267)+N($L267)-N($M267)+N($N267))</f>
        <v/>
      </c>
      <c r="P267" s="47" t="n"/>
      <c r="Q267" s="43">
        <f>IF($B267="","",N($O267)-N($P267))</f>
        <v/>
      </c>
      <c r="R267" s="47" t="n"/>
      <c r="S267" s="47" t="n"/>
      <c r="T267" s="47" t="n"/>
      <c r="U267" s="43">
        <f>IF($B267="","",N($J267)-N($R267)-N($T267))</f>
        <v/>
      </c>
      <c r="V267" s="47" t="n"/>
    </row>
    <row r="268">
      <c r="A268" s="39">
        <f>IF($B268="","",COUNTA($B$4:$B268))</f>
        <v/>
      </c>
      <c r="B268" s="40" t="n"/>
      <c r="C268" s="41" t="n"/>
      <c r="D268" s="41" t="n"/>
      <c r="E268" s="41" t="n"/>
      <c r="F268" s="41" t="n"/>
      <c r="G268" s="41" t="n"/>
      <c r="H268" s="41" t="n"/>
      <c r="I268" s="50" t="n"/>
      <c r="J268" s="42" t="n"/>
      <c r="K268" s="42" t="n"/>
      <c r="L268" s="43">
        <f>IF($B268="","",ROUND((N($J268)+N($K268))*نسبة_القيمة_المضافة,2))</f>
        <v/>
      </c>
      <c r="M268" s="42" t="n"/>
      <c r="N268" s="42" t="n"/>
      <c r="O268" s="43">
        <f>IF($B268="","",N($J268)+N($K268)+N($L268)-N($M268)+N($N268))</f>
        <v/>
      </c>
      <c r="P268" s="42" t="n"/>
      <c r="Q268" s="43">
        <f>IF($B268="","",N($O268)-N($P268))</f>
        <v/>
      </c>
      <c r="R268" s="42" t="n"/>
      <c r="S268" s="42" t="n"/>
      <c r="T268" s="42" t="n"/>
      <c r="U268" s="43">
        <f>IF($B268="","",N($J268)-N($R268)-N($T268))</f>
        <v/>
      </c>
      <c r="V268" s="42" t="n"/>
    </row>
    <row r="269">
      <c r="A269" s="39">
        <f>IF($B269="","",COUNTA($B$4:$B269))</f>
        <v/>
      </c>
      <c r="B269" s="45" t="n"/>
      <c r="C269" s="46" t="n"/>
      <c r="D269" s="46" t="n"/>
      <c r="E269" s="46" t="n"/>
      <c r="F269" s="46" t="n"/>
      <c r="G269" s="46" t="n"/>
      <c r="H269" s="46" t="n"/>
      <c r="I269" s="51" t="n"/>
      <c r="J269" s="47" t="n"/>
      <c r="K269" s="47" t="n"/>
      <c r="L269" s="43">
        <f>IF($B269="","",ROUND((N($J269)+N($K269))*نسبة_القيمة_المضافة,2))</f>
        <v/>
      </c>
      <c r="M269" s="47" t="n"/>
      <c r="N269" s="47" t="n"/>
      <c r="O269" s="43">
        <f>IF($B269="","",N($J269)+N($K269)+N($L269)-N($M269)+N($N269))</f>
        <v/>
      </c>
      <c r="P269" s="47" t="n"/>
      <c r="Q269" s="43">
        <f>IF($B269="","",N($O269)-N($P269))</f>
        <v/>
      </c>
      <c r="R269" s="47" t="n"/>
      <c r="S269" s="47" t="n"/>
      <c r="T269" s="47" t="n"/>
      <c r="U269" s="43">
        <f>IF($B269="","",N($J269)-N($R269)-N($T269))</f>
        <v/>
      </c>
      <c r="V269" s="47" t="n"/>
    </row>
    <row r="270">
      <c r="A270" s="39">
        <f>IF($B270="","",COUNTA($B$4:$B270))</f>
        <v/>
      </c>
      <c r="B270" s="40" t="n"/>
      <c r="C270" s="41" t="n"/>
      <c r="D270" s="41" t="n"/>
      <c r="E270" s="41" t="n"/>
      <c r="F270" s="41" t="n"/>
      <c r="G270" s="41" t="n"/>
      <c r="H270" s="41" t="n"/>
      <c r="I270" s="50" t="n"/>
      <c r="J270" s="42" t="n"/>
      <c r="K270" s="42" t="n"/>
      <c r="L270" s="43">
        <f>IF($B270="","",ROUND((N($J270)+N($K270))*نسبة_القيمة_المضافة,2))</f>
        <v/>
      </c>
      <c r="M270" s="42" t="n"/>
      <c r="N270" s="42" t="n"/>
      <c r="O270" s="43">
        <f>IF($B270="","",N($J270)+N($K270)+N($L270)-N($M270)+N($N270))</f>
        <v/>
      </c>
      <c r="P270" s="42" t="n"/>
      <c r="Q270" s="43">
        <f>IF($B270="","",N($O270)-N($P270))</f>
        <v/>
      </c>
      <c r="R270" s="42" t="n"/>
      <c r="S270" s="42" t="n"/>
      <c r="T270" s="42" t="n"/>
      <c r="U270" s="43">
        <f>IF($B270="","",N($J270)-N($R270)-N($T270))</f>
        <v/>
      </c>
      <c r="V270" s="42" t="n"/>
    </row>
    <row r="271">
      <c r="A271" s="39">
        <f>IF($B271="","",COUNTA($B$4:$B271))</f>
        <v/>
      </c>
      <c r="B271" s="45" t="n"/>
      <c r="C271" s="46" t="n"/>
      <c r="D271" s="46" t="n"/>
      <c r="E271" s="46" t="n"/>
      <c r="F271" s="46" t="n"/>
      <c r="G271" s="46" t="n"/>
      <c r="H271" s="46" t="n"/>
      <c r="I271" s="51" t="n"/>
      <c r="J271" s="47" t="n"/>
      <c r="K271" s="47" t="n"/>
      <c r="L271" s="43">
        <f>IF($B271="","",ROUND((N($J271)+N($K271))*نسبة_القيمة_المضافة,2))</f>
        <v/>
      </c>
      <c r="M271" s="47" t="n"/>
      <c r="N271" s="47" t="n"/>
      <c r="O271" s="43">
        <f>IF($B271="","",N($J271)+N($K271)+N($L271)-N($M271)+N($N271))</f>
        <v/>
      </c>
      <c r="P271" s="47" t="n"/>
      <c r="Q271" s="43">
        <f>IF($B271="","",N($O271)-N($P271))</f>
        <v/>
      </c>
      <c r="R271" s="47" t="n"/>
      <c r="S271" s="47" t="n"/>
      <c r="T271" s="47" t="n"/>
      <c r="U271" s="43">
        <f>IF($B271="","",N($J271)-N($R271)-N($T271))</f>
        <v/>
      </c>
      <c r="V271" s="47" t="n"/>
    </row>
    <row r="272">
      <c r="A272" s="39">
        <f>IF($B272="","",COUNTA($B$4:$B272))</f>
        <v/>
      </c>
      <c r="B272" s="40" t="n"/>
      <c r="C272" s="41" t="n"/>
      <c r="D272" s="41" t="n"/>
      <c r="E272" s="41" t="n"/>
      <c r="F272" s="41" t="n"/>
      <c r="G272" s="41" t="n"/>
      <c r="H272" s="41" t="n"/>
      <c r="I272" s="50" t="n"/>
      <c r="J272" s="42" t="n"/>
      <c r="K272" s="42" t="n"/>
      <c r="L272" s="43">
        <f>IF($B272="","",ROUND((N($J272)+N($K272))*نسبة_القيمة_المضافة,2))</f>
        <v/>
      </c>
      <c r="M272" s="42" t="n"/>
      <c r="N272" s="42" t="n"/>
      <c r="O272" s="43">
        <f>IF($B272="","",N($J272)+N($K272)+N($L272)-N($M272)+N($N272))</f>
        <v/>
      </c>
      <c r="P272" s="42" t="n"/>
      <c r="Q272" s="43">
        <f>IF($B272="","",N($O272)-N($P272))</f>
        <v/>
      </c>
      <c r="R272" s="42" t="n"/>
      <c r="S272" s="42" t="n"/>
      <c r="T272" s="42" t="n"/>
      <c r="U272" s="43">
        <f>IF($B272="","",N($J272)-N($R272)-N($T272))</f>
        <v/>
      </c>
      <c r="V272" s="42" t="n"/>
    </row>
    <row r="273">
      <c r="A273" s="39">
        <f>IF($B273="","",COUNTA($B$4:$B273))</f>
        <v/>
      </c>
      <c r="B273" s="45" t="n"/>
      <c r="C273" s="46" t="n"/>
      <c r="D273" s="46" t="n"/>
      <c r="E273" s="46" t="n"/>
      <c r="F273" s="46" t="n"/>
      <c r="G273" s="46" t="n"/>
      <c r="H273" s="46" t="n"/>
      <c r="I273" s="51" t="n"/>
      <c r="J273" s="47" t="n"/>
      <c r="K273" s="47" t="n"/>
      <c r="L273" s="43">
        <f>IF($B273="","",ROUND((N($J273)+N($K273))*نسبة_القيمة_المضافة,2))</f>
        <v/>
      </c>
      <c r="M273" s="47" t="n"/>
      <c r="N273" s="47" t="n"/>
      <c r="O273" s="43">
        <f>IF($B273="","",N($J273)+N($K273)+N($L273)-N($M273)+N($N273))</f>
        <v/>
      </c>
      <c r="P273" s="47" t="n"/>
      <c r="Q273" s="43">
        <f>IF($B273="","",N($O273)-N($P273))</f>
        <v/>
      </c>
      <c r="R273" s="47" t="n"/>
      <c r="S273" s="47" t="n"/>
      <c r="T273" s="47" t="n"/>
      <c r="U273" s="43">
        <f>IF($B273="","",N($J273)-N($R273)-N($T273))</f>
        <v/>
      </c>
      <c r="V273" s="47" t="n"/>
    </row>
    <row r="274">
      <c r="A274" s="39">
        <f>IF($B274="","",COUNTA($B$4:$B274))</f>
        <v/>
      </c>
      <c r="B274" s="40" t="n"/>
      <c r="C274" s="41" t="n"/>
      <c r="D274" s="41" t="n"/>
      <c r="E274" s="41" t="n"/>
      <c r="F274" s="41" t="n"/>
      <c r="G274" s="41" t="n"/>
      <c r="H274" s="41" t="n"/>
      <c r="I274" s="50" t="n"/>
      <c r="J274" s="42" t="n"/>
      <c r="K274" s="42" t="n"/>
      <c r="L274" s="43">
        <f>IF($B274="","",ROUND((N($J274)+N($K274))*نسبة_القيمة_المضافة,2))</f>
        <v/>
      </c>
      <c r="M274" s="42" t="n"/>
      <c r="N274" s="42" t="n"/>
      <c r="O274" s="43">
        <f>IF($B274="","",N($J274)+N($K274)+N($L274)-N($M274)+N($N274))</f>
        <v/>
      </c>
      <c r="P274" s="42" t="n"/>
      <c r="Q274" s="43">
        <f>IF($B274="","",N($O274)-N($P274))</f>
        <v/>
      </c>
      <c r="R274" s="42" t="n"/>
      <c r="S274" s="42" t="n"/>
      <c r="T274" s="42" t="n"/>
      <c r="U274" s="43">
        <f>IF($B274="","",N($J274)-N($R274)-N($T274))</f>
        <v/>
      </c>
      <c r="V274" s="42" t="n"/>
    </row>
    <row r="275">
      <c r="A275" s="39">
        <f>IF($B275="","",COUNTA($B$4:$B275))</f>
        <v/>
      </c>
      <c r="B275" s="45" t="n"/>
      <c r="C275" s="46" t="n"/>
      <c r="D275" s="46" t="n"/>
      <c r="E275" s="46" t="n"/>
      <c r="F275" s="46" t="n"/>
      <c r="G275" s="46" t="n"/>
      <c r="H275" s="46" t="n"/>
      <c r="I275" s="51" t="n"/>
      <c r="J275" s="47" t="n"/>
      <c r="K275" s="47" t="n"/>
      <c r="L275" s="43">
        <f>IF($B275="","",ROUND((N($J275)+N($K275))*نسبة_القيمة_المضافة,2))</f>
        <v/>
      </c>
      <c r="M275" s="47" t="n"/>
      <c r="N275" s="47" t="n"/>
      <c r="O275" s="43">
        <f>IF($B275="","",N($J275)+N($K275)+N($L275)-N($M275)+N($N275))</f>
        <v/>
      </c>
      <c r="P275" s="47" t="n"/>
      <c r="Q275" s="43">
        <f>IF($B275="","",N($O275)-N($P275))</f>
        <v/>
      </c>
      <c r="R275" s="47" t="n"/>
      <c r="S275" s="47" t="n"/>
      <c r="T275" s="47" t="n"/>
      <c r="U275" s="43">
        <f>IF($B275="","",N($J275)-N($R275)-N($T275))</f>
        <v/>
      </c>
      <c r="V275" s="47" t="n"/>
    </row>
    <row r="276">
      <c r="A276" s="39">
        <f>IF($B276="","",COUNTA($B$4:$B276))</f>
        <v/>
      </c>
      <c r="B276" s="40" t="n"/>
      <c r="C276" s="41" t="n"/>
      <c r="D276" s="41" t="n"/>
      <c r="E276" s="41" t="n"/>
      <c r="F276" s="41" t="n"/>
      <c r="G276" s="41" t="n"/>
      <c r="H276" s="41" t="n"/>
      <c r="I276" s="50" t="n"/>
      <c r="J276" s="42" t="n"/>
      <c r="K276" s="42" t="n"/>
      <c r="L276" s="43">
        <f>IF($B276="","",ROUND((N($J276)+N($K276))*نسبة_القيمة_المضافة,2))</f>
        <v/>
      </c>
      <c r="M276" s="42" t="n"/>
      <c r="N276" s="42" t="n"/>
      <c r="O276" s="43">
        <f>IF($B276="","",N($J276)+N($K276)+N($L276)-N($M276)+N($N276))</f>
        <v/>
      </c>
      <c r="P276" s="42" t="n"/>
      <c r="Q276" s="43">
        <f>IF($B276="","",N($O276)-N($P276))</f>
        <v/>
      </c>
      <c r="R276" s="42" t="n"/>
      <c r="S276" s="42" t="n"/>
      <c r="T276" s="42" t="n"/>
      <c r="U276" s="43">
        <f>IF($B276="","",N($J276)-N($R276)-N($T276))</f>
        <v/>
      </c>
      <c r="V276" s="42" t="n"/>
    </row>
    <row r="277">
      <c r="A277" s="39">
        <f>IF($B277="","",COUNTA($B$4:$B277))</f>
        <v/>
      </c>
      <c r="B277" s="45" t="n"/>
      <c r="C277" s="46" t="n"/>
      <c r="D277" s="46" t="n"/>
      <c r="E277" s="46" t="n"/>
      <c r="F277" s="46" t="n"/>
      <c r="G277" s="46" t="n"/>
      <c r="H277" s="46" t="n"/>
      <c r="I277" s="51" t="n"/>
      <c r="J277" s="47" t="n"/>
      <c r="K277" s="47" t="n"/>
      <c r="L277" s="43">
        <f>IF($B277="","",ROUND((N($J277)+N($K277))*نسبة_القيمة_المضافة,2))</f>
        <v/>
      </c>
      <c r="M277" s="47" t="n"/>
      <c r="N277" s="47" t="n"/>
      <c r="O277" s="43">
        <f>IF($B277="","",N($J277)+N($K277)+N($L277)-N($M277)+N($N277))</f>
        <v/>
      </c>
      <c r="P277" s="47" t="n"/>
      <c r="Q277" s="43">
        <f>IF($B277="","",N($O277)-N($P277))</f>
        <v/>
      </c>
      <c r="R277" s="47" t="n"/>
      <c r="S277" s="47" t="n"/>
      <c r="T277" s="47" t="n"/>
      <c r="U277" s="43">
        <f>IF($B277="","",N($J277)-N($R277)-N($T277))</f>
        <v/>
      </c>
      <c r="V277" s="47" t="n"/>
    </row>
    <row r="278">
      <c r="A278" s="39">
        <f>IF($B278="","",COUNTA($B$4:$B278))</f>
        <v/>
      </c>
      <c r="B278" s="40" t="n"/>
      <c r="C278" s="41" t="n"/>
      <c r="D278" s="41" t="n"/>
      <c r="E278" s="41" t="n"/>
      <c r="F278" s="41" t="n"/>
      <c r="G278" s="41" t="n"/>
      <c r="H278" s="41" t="n"/>
      <c r="I278" s="50" t="n"/>
      <c r="J278" s="42" t="n"/>
      <c r="K278" s="42" t="n"/>
      <c r="L278" s="43">
        <f>IF($B278="","",ROUND((N($J278)+N($K278))*نسبة_القيمة_المضافة,2))</f>
        <v/>
      </c>
      <c r="M278" s="42" t="n"/>
      <c r="N278" s="42" t="n"/>
      <c r="O278" s="43">
        <f>IF($B278="","",N($J278)+N($K278)+N($L278)-N($M278)+N($N278))</f>
        <v/>
      </c>
      <c r="P278" s="42" t="n"/>
      <c r="Q278" s="43">
        <f>IF($B278="","",N($O278)-N($P278))</f>
        <v/>
      </c>
      <c r="R278" s="42" t="n"/>
      <c r="S278" s="42" t="n"/>
      <c r="T278" s="42" t="n"/>
      <c r="U278" s="43">
        <f>IF($B278="","",N($J278)-N($R278)-N($T278))</f>
        <v/>
      </c>
      <c r="V278" s="42" t="n"/>
    </row>
    <row r="279">
      <c r="A279" s="39">
        <f>IF($B279="","",COUNTA($B$4:$B279))</f>
        <v/>
      </c>
      <c r="B279" s="45" t="n"/>
      <c r="C279" s="46" t="n"/>
      <c r="D279" s="46" t="n"/>
      <c r="E279" s="46" t="n"/>
      <c r="F279" s="46" t="n"/>
      <c r="G279" s="46" t="n"/>
      <c r="H279" s="46" t="n"/>
      <c r="I279" s="51" t="n"/>
      <c r="J279" s="47" t="n"/>
      <c r="K279" s="47" t="n"/>
      <c r="L279" s="43">
        <f>IF($B279="","",ROUND((N($J279)+N($K279))*نسبة_القيمة_المضافة,2))</f>
        <v/>
      </c>
      <c r="M279" s="47" t="n"/>
      <c r="N279" s="47" t="n"/>
      <c r="O279" s="43">
        <f>IF($B279="","",N($J279)+N($K279)+N($L279)-N($M279)+N($N279))</f>
        <v/>
      </c>
      <c r="P279" s="47" t="n"/>
      <c r="Q279" s="43">
        <f>IF($B279="","",N($O279)-N($P279))</f>
        <v/>
      </c>
      <c r="R279" s="47" t="n"/>
      <c r="S279" s="47" t="n"/>
      <c r="T279" s="47" t="n"/>
      <c r="U279" s="43">
        <f>IF($B279="","",N($J279)-N($R279)-N($T279))</f>
        <v/>
      </c>
      <c r="V279" s="47" t="n"/>
    </row>
    <row r="280">
      <c r="A280" s="39">
        <f>IF($B280="","",COUNTA($B$4:$B280))</f>
        <v/>
      </c>
      <c r="B280" s="40" t="n"/>
      <c r="C280" s="41" t="n"/>
      <c r="D280" s="41" t="n"/>
      <c r="E280" s="41" t="n"/>
      <c r="F280" s="41" t="n"/>
      <c r="G280" s="41" t="n"/>
      <c r="H280" s="41" t="n"/>
      <c r="I280" s="50" t="n"/>
      <c r="J280" s="42" t="n"/>
      <c r="K280" s="42" t="n"/>
      <c r="L280" s="43">
        <f>IF($B280="","",ROUND((N($J280)+N($K280))*نسبة_القيمة_المضافة,2))</f>
        <v/>
      </c>
      <c r="M280" s="42" t="n"/>
      <c r="N280" s="42" t="n"/>
      <c r="O280" s="43">
        <f>IF($B280="","",N($J280)+N($K280)+N($L280)-N($M280)+N($N280))</f>
        <v/>
      </c>
      <c r="P280" s="42" t="n"/>
      <c r="Q280" s="43">
        <f>IF($B280="","",N($O280)-N($P280))</f>
        <v/>
      </c>
      <c r="R280" s="42" t="n"/>
      <c r="S280" s="42" t="n"/>
      <c r="T280" s="42" t="n"/>
      <c r="U280" s="43">
        <f>IF($B280="","",N($J280)-N($R280)-N($T280))</f>
        <v/>
      </c>
      <c r="V280" s="42" t="n"/>
    </row>
    <row r="281">
      <c r="A281" s="39">
        <f>IF($B281="","",COUNTA($B$4:$B281))</f>
        <v/>
      </c>
      <c r="B281" s="45" t="n"/>
      <c r="C281" s="46" t="n"/>
      <c r="D281" s="46" t="n"/>
      <c r="E281" s="46" t="n"/>
      <c r="F281" s="46" t="n"/>
      <c r="G281" s="46" t="n"/>
      <c r="H281" s="46" t="n"/>
      <c r="I281" s="51" t="n"/>
      <c r="J281" s="47" t="n"/>
      <c r="K281" s="47" t="n"/>
      <c r="L281" s="43">
        <f>IF($B281="","",ROUND((N($J281)+N($K281))*نسبة_القيمة_المضافة,2))</f>
        <v/>
      </c>
      <c r="M281" s="47" t="n"/>
      <c r="N281" s="47" t="n"/>
      <c r="O281" s="43">
        <f>IF($B281="","",N($J281)+N($K281)+N($L281)-N($M281)+N($N281))</f>
        <v/>
      </c>
      <c r="P281" s="47" t="n"/>
      <c r="Q281" s="43">
        <f>IF($B281="","",N($O281)-N($P281))</f>
        <v/>
      </c>
      <c r="R281" s="47" t="n"/>
      <c r="S281" s="47" t="n"/>
      <c r="T281" s="47" t="n"/>
      <c r="U281" s="43">
        <f>IF($B281="","",N($J281)-N($R281)-N($T281))</f>
        <v/>
      </c>
      <c r="V281" s="47" t="n"/>
    </row>
    <row r="282">
      <c r="A282" s="39">
        <f>IF($B282="","",COUNTA($B$4:$B282))</f>
        <v/>
      </c>
      <c r="B282" s="40" t="n"/>
      <c r="C282" s="41" t="n"/>
      <c r="D282" s="41" t="n"/>
      <c r="E282" s="41" t="n"/>
      <c r="F282" s="41" t="n"/>
      <c r="G282" s="41" t="n"/>
      <c r="H282" s="41" t="n"/>
      <c r="I282" s="50" t="n"/>
      <c r="J282" s="42" t="n"/>
      <c r="K282" s="42" t="n"/>
      <c r="L282" s="43">
        <f>IF($B282="","",ROUND((N($J282)+N($K282))*نسبة_القيمة_المضافة,2))</f>
        <v/>
      </c>
      <c r="M282" s="42" t="n"/>
      <c r="N282" s="42" t="n"/>
      <c r="O282" s="43">
        <f>IF($B282="","",N($J282)+N($K282)+N($L282)-N($M282)+N($N282))</f>
        <v/>
      </c>
      <c r="P282" s="42" t="n"/>
      <c r="Q282" s="43">
        <f>IF($B282="","",N($O282)-N($P282))</f>
        <v/>
      </c>
      <c r="R282" s="42" t="n"/>
      <c r="S282" s="42" t="n"/>
      <c r="T282" s="42" t="n"/>
      <c r="U282" s="43">
        <f>IF($B282="","",N($J282)-N($R282)-N($T282))</f>
        <v/>
      </c>
      <c r="V282" s="42" t="n"/>
    </row>
    <row r="283">
      <c r="A283" s="39">
        <f>IF($B283="","",COUNTA($B$4:$B283))</f>
        <v/>
      </c>
      <c r="B283" s="45" t="n"/>
      <c r="C283" s="46" t="n"/>
      <c r="D283" s="46" t="n"/>
      <c r="E283" s="46" t="n"/>
      <c r="F283" s="46" t="n"/>
      <c r="G283" s="46" t="n"/>
      <c r="H283" s="46" t="n"/>
      <c r="I283" s="51" t="n"/>
      <c r="J283" s="47" t="n"/>
      <c r="K283" s="47" t="n"/>
      <c r="L283" s="43">
        <f>IF($B283="","",ROUND((N($J283)+N($K283))*نسبة_القيمة_المضافة,2))</f>
        <v/>
      </c>
      <c r="M283" s="47" t="n"/>
      <c r="N283" s="47" t="n"/>
      <c r="O283" s="43">
        <f>IF($B283="","",N($J283)+N($K283)+N($L283)-N($M283)+N($N283))</f>
        <v/>
      </c>
      <c r="P283" s="47" t="n"/>
      <c r="Q283" s="43">
        <f>IF($B283="","",N($O283)-N($P283))</f>
        <v/>
      </c>
      <c r="R283" s="47" t="n"/>
      <c r="S283" s="47" t="n"/>
      <c r="T283" s="47" t="n"/>
      <c r="U283" s="43">
        <f>IF($B283="","",N($J283)-N($R283)-N($T283))</f>
        <v/>
      </c>
      <c r="V283" s="47" t="n"/>
    </row>
    <row r="284">
      <c r="A284" s="39">
        <f>IF($B284="","",COUNTA($B$4:$B284))</f>
        <v/>
      </c>
      <c r="B284" s="40" t="n"/>
      <c r="C284" s="41" t="n"/>
      <c r="D284" s="41" t="n"/>
      <c r="E284" s="41" t="n"/>
      <c r="F284" s="41" t="n"/>
      <c r="G284" s="41" t="n"/>
      <c r="H284" s="41" t="n"/>
      <c r="I284" s="50" t="n"/>
      <c r="J284" s="42" t="n"/>
      <c r="K284" s="42" t="n"/>
      <c r="L284" s="43">
        <f>IF($B284="","",ROUND((N($J284)+N($K284))*نسبة_القيمة_المضافة,2))</f>
        <v/>
      </c>
      <c r="M284" s="42" t="n"/>
      <c r="N284" s="42" t="n"/>
      <c r="O284" s="43">
        <f>IF($B284="","",N($J284)+N($K284)+N($L284)-N($M284)+N($N284))</f>
        <v/>
      </c>
      <c r="P284" s="42" t="n"/>
      <c r="Q284" s="43">
        <f>IF($B284="","",N($O284)-N($P284))</f>
        <v/>
      </c>
      <c r="R284" s="42" t="n"/>
      <c r="S284" s="42" t="n"/>
      <c r="T284" s="42" t="n"/>
      <c r="U284" s="43">
        <f>IF($B284="","",N($J284)-N($R284)-N($T284))</f>
        <v/>
      </c>
      <c r="V284" s="42" t="n"/>
    </row>
    <row r="285">
      <c r="A285" s="39">
        <f>IF($B285="","",COUNTA($B$4:$B285))</f>
        <v/>
      </c>
      <c r="B285" s="45" t="n"/>
      <c r="C285" s="46" t="n"/>
      <c r="D285" s="46" t="n"/>
      <c r="E285" s="46" t="n"/>
      <c r="F285" s="46" t="n"/>
      <c r="G285" s="46" t="n"/>
      <c r="H285" s="46" t="n"/>
      <c r="I285" s="51" t="n"/>
      <c r="J285" s="47" t="n"/>
      <c r="K285" s="47" t="n"/>
      <c r="L285" s="43">
        <f>IF($B285="","",ROUND((N($J285)+N($K285))*نسبة_القيمة_المضافة,2))</f>
        <v/>
      </c>
      <c r="M285" s="47" t="n"/>
      <c r="N285" s="47" t="n"/>
      <c r="O285" s="43">
        <f>IF($B285="","",N($J285)+N($K285)+N($L285)-N($M285)+N($N285))</f>
        <v/>
      </c>
      <c r="P285" s="47" t="n"/>
      <c r="Q285" s="43">
        <f>IF($B285="","",N($O285)-N($P285))</f>
        <v/>
      </c>
      <c r="R285" s="47" t="n"/>
      <c r="S285" s="47" t="n"/>
      <c r="T285" s="47" t="n"/>
      <c r="U285" s="43">
        <f>IF($B285="","",N($J285)-N($R285)-N($T285))</f>
        <v/>
      </c>
      <c r="V285" s="47" t="n"/>
    </row>
    <row r="286">
      <c r="A286" s="39">
        <f>IF($B286="","",COUNTA($B$4:$B286))</f>
        <v/>
      </c>
      <c r="B286" s="40" t="n"/>
      <c r="C286" s="41" t="n"/>
      <c r="D286" s="41" t="n"/>
      <c r="E286" s="41" t="n"/>
      <c r="F286" s="41" t="n"/>
      <c r="G286" s="41" t="n"/>
      <c r="H286" s="41" t="n"/>
      <c r="I286" s="50" t="n"/>
      <c r="J286" s="42" t="n"/>
      <c r="K286" s="42" t="n"/>
      <c r="L286" s="43">
        <f>IF($B286="","",ROUND((N($J286)+N($K286))*نسبة_القيمة_المضافة,2))</f>
        <v/>
      </c>
      <c r="M286" s="42" t="n"/>
      <c r="N286" s="42" t="n"/>
      <c r="O286" s="43">
        <f>IF($B286="","",N($J286)+N($K286)+N($L286)-N($M286)+N($N286))</f>
        <v/>
      </c>
      <c r="P286" s="42" t="n"/>
      <c r="Q286" s="43">
        <f>IF($B286="","",N($O286)-N($P286))</f>
        <v/>
      </c>
      <c r="R286" s="42" t="n"/>
      <c r="S286" s="42" t="n"/>
      <c r="T286" s="42" t="n"/>
      <c r="U286" s="43">
        <f>IF($B286="","",N($J286)-N($R286)-N($T286))</f>
        <v/>
      </c>
      <c r="V286" s="42" t="n"/>
    </row>
    <row r="287">
      <c r="A287" s="39">
        <f>IF($B287="","",COUNTA($B$4:$B287))</f>
        <v/>
      </c>
      <c r="B287" s="45" t="n"/>
      <c r="C287" s="46" t="n"/>
      <c r="D287" s="46" t="n"/>
      <c r="E287" s="46" t="n"/>
      <c r="F287" s="46" t="n"/>
      <c r="G287" s="46" t="n"/>
      <c r="H287" s="46" t="n"/>
      <c r="I287" s="51" t="n"/>
      <c r="J287" s="47" t="n"/>
      <c r="K287" s="47" t="n"/>
      <c r="L287" s="43">
        <f>IF($B287="","",ROUND((N($J287)+N($K287))*نسبة_القيمة_المضافة,2))</f>
        <v/>
      </c>
      <c r="M287" s="47" t="n"/>
      <c r="N287" s="47" t="n"/>
      <c r="O287" s="43">
        <f>IF($B287="","",N($J287)+N($K287)+N($L287)-N($M287)+N($N287))</f>
        <v/>
      </c>
      <c r="P287" s="47" t="n"/>
      <c r="Q287" s="43">
        <f>IF($B287="","",N($O287)-N($P287))</f>
        <v/>
      </c>
      <c r="R287" s="47" t="n"/>
      <c r="S287" s="47" t="n"/>
      <c r="T287" s="47" t="n"/>
      <c r="U287" s="43">
        <f>IF($B287="","",N($J287)-N($R287)-N($T287))</f>
        <v/>
      </c>
      <c r="V287" s="47" t="n"/>
    </row>
    <row r="288">
      <c r="A288" s="39">
        <f>IF($B288="","",COUNTA($B$4:$B288))</f>
        <v/>
      </c>
      <c r="B288" s="40" t="n"/>
      <c r="C288" s="41" t="n"/>
      <c r="D288" s="41" t="n"/>
      <c r="E288" s="41" t="n"/>
      <c r="F288" s="41" t="n"/>
      <c r="G288" s="41" t="n"/>
      <c r="H288" s="41" t="n"/>
      <c r="I288" s="50" t="n"/>
      <c r="J288" s="42" t="n"/>
      <c r="K288" s="42" t="n"/>
      <c r="L288" s="43">
        <f>IF($B288="","",ROUND((N($J288)+N($K288))*نسبة_القيمة_المضافة,2))</f>
        <v/>
      </c>
      <c r="M288" s="42" t="n"/>
      <c r="N288" s="42" t="n"/>
      <c r="O288" s="43">
        <f>IF($B288="","",N($J288)+N($K288)+N($L288)-N($M288)+N($N288))</f>
        <v/>
      </c>
      <c r="P288" s="42" t="n"/>
      <c r="Q288" s="43">
        <f>IF($B288="","",N($O288)-N($P288))</f>
        <v/>
      </c>
      <c r="R288" s="42" t="n"/>
      <c r="S288" s="42" t="n"/>
      <c r="T288" s="42" t="n"/>
      <c r="U288" s="43">
        <f>IF($B288="","",N($J288)-N($R288)-N($T288))</f>
        <v/>
      </c>
      <c r="V288" s="42" t="n"/>
    </row>
    <row r="289">
      <c r="A289" s="39">
        <f>IF($B289="","",COUNTA($B$4:$B289))</f>
        <v/>
      </c>
      <c r="B289" s="45" t="n"/>
      <c r="C289" s="46" t="n"/>
      <c r="D289" s="46" t="n"/>
      <c r="E289" s="46" t="n"/>
      <c r="F289" s="46" t="n"/>
      <c r="G289" s="46" t="n"/>
      <c r="H289" s="46" t="n"/>
      <c r="I289" s="51" t="n"/>
      <c r="J289" s="47" t="n"/>
      <c r="K289" s="47" t="n"/>
      <c r="L289" s="43">
        <f>IF($B289="","",ROUND((N($J289)+N($K289))*نسبة_القيمة_المضافة,2))</f>
        <v/>
      </c>
      <c r="M289" s="47" t="n"/>
      <c r="N289" s="47" t="n"/>
      <c r="O289" s="43">
        <f>IF($B289="","",N($J289)+N($K289)+N($L289)-N($M289)+N($N289))</f>
        <v/>
      </c>
      <c r="P289" s="47" t="n"/>
      <c r="Q289" s="43">
        <f>IF($B289="","",N($O289)-N($P289))</f>
        <v/>
      </c>
      <c r="R289" s="47" t="n"/>
      <c r="S289" s="47" t="n"/>
      <c r="T289" s="47" t="n"/>
      <c r="U289" s="43">
        <f>IF($B289="","",N($J289)-N($R289)-N($T289))</f>
        <v/>
      </c>
      <c r="V289" s="47" t="n"/>
    </row>
    <row r="290">
      <c r="A290" s="39">
        <f>IF($B290="","",COUNTA($B$4:$B290))</f>
        <v/>
      </c>
      <c r="B290" s="40" t="n"/>
      <c r="C290" s="41" t="n"/>
      <c r="D290" s="41" t="n"/>
      <c r="E290" s="41" t="n"/>
      <c r="F290" s="41" t="n"/>
      <c r="G290" s="41" t="n"/>
      <c r="H290" s="41" t="n"/>
      <c r="I290" s="50" t="n"/>
      <c r="J290" s="42" t="n"/>
      <c r="K290" s="42" t="n"/>
      <c r="L290" s="43">
        <f>IF($B290="","",ROUND((N($J290)+N($K290))*نسبة_القيمة_المضافة,2))</f>
        <v/>
      </c>
      <c r="M290" s="42" t="n"/>
      <c r="N290" s="42" t="n"/>
      <c r="O290" s="43">
        <f>IF($B290="","",N($J290)+N($K290)+N($L290)-N($M290)+N($N290))</f>
        <v/>
      </c>
      <c r="P290" s="42" t="n"/>
      <c r="Q290" s="43">
        <f>IF($B290="","",N($O290)-N($P290))</f>
        <v/>
      </c>
      <c r="R290" s="42" t="n"/>
      <c r="S290" s="42" t="n"/>
      <c r="T290" s="42" t="n"/>
      <c r="U290" s="43">
        <f>IF($B290="","",N($J290)-N($R290)-N($T290))</f>
        <v/>
      </c>
      <c r="V290" s="42" t="n"/>
    </row>
    <row r="291">
      <c r="A291" s="39">
        <f>IF($B291="","",COUNTA($B$4:$B291))</f>
        <v/>
      </c>
      <c r="B291" s="45" t="n"/>
      <c r="C291" s="46" t="n"/>
      <c r="D291" s="46" t="n"/>
      <c r="E291" s="46" t="n"/>
      <c r="F291" s="46" t="n"/>
      <c r="G291" s="46" t="n"/>
      <c r="H291" s="46" t="n"/>
      <c r="I291" s="51" t="n"/>
      <c r="J291" s="47" t="n"/>
      <c r="K291" s="47" t="n"/>
      <c r="L291" s="43">
        <f>IF($B291="","",ROUND((N($J291)+N($K291))*نسبة_القيمة_المضافة,2))</f>
        <v/>
      </c>
      <c r="M291" s="47" t="n"/>
      <c r="N291" s="47" t="n"/>
      <c r="O291" s="43">
        <f>IF($B291="","",N($J291)+N($K291)+N($L291)-N($M291)+N($N291))</f>
        <v/>
      </c>
      <c r="P291" s="47" t="n"/>
      <c r="Q291" s="43">
        <f>IF($B291="","",N($O291)-N($P291))</f>
        <v/>
      </c>
      <c r="R291" s="47" t="n"/>
      <c r="S291" s="47" t="n"/>
      <c r="T291" s="47" t="n"/>
      <c r="U291" s="43">
        <f>IF($B291="","",N($J291)-N($R291)-N($T291))</f>
        <v/>
      </c>
      <c r="V291" s="47" t="n"/>
    </row>
    <row r="292">
      <c r="A292" s="39">
        <f>IF($B292="","",COUNTA($B$4:$B292))</f>
        <v/>
      </c>
      <c r="B292" s="40" t="n"/>
      <c r="C292" s="41" t="n"/>
      <c r="D292" s="41" t="n"/>
      <c r="E292" s="41" t="n"/>
      <c r="F292" s="41" t="n"/>
      <c r="G292" s="41" t="n"/>
      <c r="H292" s="41" t="n"/>
      <c r="I292" s="50" t="n"/>
      <c r="J292" s="42" t="n"/>
      <c r="K292" s="42" t="n"/>
      <c r="L292" s="43">
        <f>IF($B292="","",ROUND((N($J292)+N($K292))*نسبة_القيمة_المضافة,2))</f>
        <v/>
      </c>
      <c r="M292" s="42" t="n"/>
      <c r="N292" s="42" t="n"/>
      <c r="O292" s="43">
        <f>IF($B292="","",N($J292)+N($K292)+N($L292)-N($M292)+N($N292))</f>
        <v/>
      </c>
      <c r="P292" s="42" t="n"/>
      <c r="Q292" s="43">
        <f>IF($B292="","",N($O292)-N($P292))</f>
        <v/>
      </c>
      <c r="R292" s="42" t="n"/>
      <c r="S292" s="42" t="n"/>
      <c r="T292" s="42" t="n"/>
      <c r="U292" s="43">
        <f>IF($B292="","",N($J292)-N($R292)-N($T292))</f>
        <v/>
      </c>
      <c r="V292" s="42" t="n"/>
    </row>
    <row r="293">
      <c r="A293" s="39">
        <f>IF($B293="","",COUNTA($B$4:$B293))</f>
        <v/>
      </c>
      <c r="B293" s="45" t="n"/>
      <c r="C293" s="46" t="n"/>
      <c r="D293" s="46" t="n"/>
      <c r="E293" s="46" t="n"/>
      <c r="F293" s="46" t="n"/>
      <c r="G293" s="46" t="n"/>
      <c r="H293" s="46" t="n"/>
      <c r="I293" s="51" t="n"/>
      <c r="J293" s="47" t="n"/>
      <c r="K293" s="47" t="n"/>
      <c r="L293" s="43">
        <f>IF($B293="","",ROUND((N($J293)+N($K293))*نسبة_القيمة_المضافة,2))</f>
        <v/>
      </c>
      <c r="M293" s="47" t="n"/>
      <c r="N293" s="47" t="n"/>
      <c r="O293" s="43">
        <f>IF($B293="","",N($J293)+N($K293)+N($L293)-N($M293)+N($N293))</f>
        <v/>
      </c>
      <c r="P293" s="47" t="n"/>
      <c r="Q293" s="43">
        <f>IF($B293="","",N($O293)-N($P293))</f>
        <v/>
      </c>
      <c r="R293" s="47" t="n"/>
      <c r="S293" s="47" t="n"/>
      <c r="T293" s="47" t="n"/>
      <c r="U293" s="43">
        <f>IF($B293="","",N($J293)-N($R293)-N($T293))</f>
        <v/>
      </c>
      <c r="V293" s="47" t="n"/>
    </row>
    <row r="294">
      <c r="A294" s="39">
        <f>IF($B294="","",COUNTA($B$4:$B294))</f>
        <v/>
      </c>
      <c r="B294" s="40" t="n"/>
      <c r="C294" s="41" t="n"/>
      <c r="D294" s="41" t="n"/>
      <c r="E294" s="41" t="n"/>
      <c r="F294" s="41" t="n"/>
      <c r="G294" s="41" t="n"/>
      <c r="H294" s="41" t="n"/>
      <c r="I294" s="50" t="n"/>
      <c r="J294" s="42" t="n"/>
      <c r="K294" s="42" t="n"/>
      <c r="L294" s="43">
        <f>IF($B294="","",ROUND((N($J294)+N($K294))*نسبة_القيمة_المضافة,2))</f>
        <v/>
      </c>
      <c r="M294" s="42" t="n"/>
      <c r="N294" s="42" t="n"/>
      <c r="O294" s="43">
        <f>IF($B294="","",N($J294)+N($K294)+N($L294)-N($M294)+N($N294))</f>
        <v/>
      </c>
      <c r="P294" s="42" t="n"/>
      <c r="Q294" s="43">
        <f>IF($B294="","",N($O294)-N($P294))</f>
        <v/>
      </c>
      <c r="R294" s="42" t="n"/>
      <c r="S294" s="42" t="n"/>
      <c r="T294" s="42" t="n"/>
      <c r="U294" s="43">
        <f>IF($B294="","",N($J294)-N($R294)-N($T294))</f>
        <v/>
      </c>
      <c r="V294" s="42" t="n"/>
    </row>
    <row r="295">
      <c r="A295" s="39">
        <f>IF($B295="","",COUNTA($B$4:$B295))</f>
        <v/>
      </c>
      <c r="B295" s="45" t="n"/>
      <c r="C295" s="46" t="n"/>
      <c r="D295" s="46" t="n"/>
      <c r="E295" s="46" t="n"/>
      <c r="F295" s="46" t="n"/>
      <c r="G295" s="46" t="n"/>
      <c r="H295" s="46" t="n"/>
      <c r="I295" s="51" t="n"/>
      <c r="J295" s="47" t="n"/>
      <c r="K295" s="47" t="n"/>
      <c r="L295" s="43">
        <f>IF($B295="","",ROUND((N($J295)+N($K295))*نسبة_القيمة_المضافة,2))</f>
        <v/>
      </c>
      <c r="M295" s="47" t="n"/>
      <c r="N295" s="47" t="n"/>
      <c r="O295" s="43">
        <f>IF($B295="","",N($J295)+N($K295)+N($L295)-N($M295)+N($N295))</f>
        <v/>
      </c>
      <c r="P295" s="47" t="n"/>
      <c r="Q295" s="43">
        <f>IF($B295="","",N($O295)-N($P295))</f>
        <v/>
      </c>
      <c r="R295" s="47" t="n"/>
      <c r="S295" s="47" t="n"/>
      <c r="T295" s="47" t="n"/>
      <c r="U295" s="43">
        <f>IF($B295="","",N($J295)-N($R295)-N($T295))</f>
        <v/>
      </c>
      <c r="V295" s="47" t="n"/>
    </row>
    <row r="296">
      <c r="A296" s="39">
        <f>IF($B296="","",COUNTA($B$4:$B296))</f>
        <v/>
      </c>
      <c r="B296" s="40" t="n"/>
      <c r="C296" s="41" t="n"/>
      <c r="D296" s="41" t="n"/>
      <c r="E296" s="41" t="n"/>
      <c r="F296" s="41" t="n"/>
      <c r="G296" s="41" t="n"/>
      <c r="H296" s="41" t="n"/>
      <c r="I296" s="50" t="n"/>
      <c r="J296" s="42" t="n"/>
      <c r="K296" s="42" t="n"/>
      <c r="L296" s="43">
        <f>IF($B296="","",ROUND((N($J296)+N($K296))*نسبة_القيمة_المضافة,2))</f>
        <v/>
      </c>
      <c r="M296" s="42" t="n"/>
      <c r="N296" s="42" t="n"/>
      <c r="O296" s="43">
        <f>IF($B296="","",N($J296)+N($K296)+N($L296)-N($M296)+N($N296))</f>
        <v/>
      </c>
      <c r="P296" s="42" t="n"/>
      <c r="Q296" s="43">
        <f>IF($B296="","",N($O296)-N($P296))</f>
        <v/>
      </c>
      <c r="R296" s="42" t="n"/>
      <c r="S296" s="42" t="n"/>
      <c r="T296" s="42" t="n"/>
      <c r="U296" s="43">
        <f>IF($B296="","",N($J296)-N($R296)-N($T296))</f>
        <v/>
      </c>
      <c r="V296" s="42" t="n"/>
    </row>
    <row r="297">
      <c r="A297" s="39">
        <f>IF($B297="","",COUNTA($B$4:$B297))</f>
        <v/>
      </c>
      <c r="B297" s="45" t="n"/>
      <c r="C297" s="46" t="n"/>
      <c r="D297" s="46" t="n"/>
      <c r="E297" s="46" t="n"/>
      <c r="F297" s="46" t="n"/>
      <c r="G297" s="46" t="n"/>
      <c r="H297" s="46" t="n"/>
      <c r="I297" s="51" t="n"/>
      <c r="J297" s="47" t="n"/>
      <c r="K297" s="47" t="n"/>
      <c r="L297" s="43">
        <f>IF($B297="","",ROUND((N($J297)+N($K297))*نسبة_القيمة_المضافة,2))</f>
        <v/>
      </c>
      <c r="M297" s="47" t="n"/>
      <c r="N297" s="47" t="n"/>
      <c r="O297" s="43">
        <f>IF($B297="","",N($J297)+N($K297)+N($L297)-N($M297)+N($N297))</f>
        <v/>
      </c>
      <c r="P297" s="47" t="n"/>
      <c r="Q297" s="43">
        <f>IF($B297="","",N($O297)-N($P297))</f>
        <v/>
      </c>
      <c r="R297" s="47" t="n"/>
      <c r="S297" s="47" t="n"/>
      <c r="T297" s="47" t="n"/>
      <c r="U297" s="43">
        <f>IF($B297="","",N($J297)-N($R297)-N($T297))</f>
        <v/>
      </c>
      <c r="V297" s="47" t="n"/>
    </row>
    <row r="298">
      <c r="A298" s="39">
        <f>IF($B298="","",COUNTA($B$4:$B298))</f>
        <v/>
      </c>
      <c r="B298" s="40" t="n"/>
      <c r="C298" s="41" t="n"/>
      <c r="D298" s="41" t="n"/>
      <c r="E298" s="41" t="n"/>
      <c r="F298" s="41" t="n"/>
      <c r="G298" s="41" t="n"/>
      <c r="H298" s="41" t="n"/>
      <c r="I298" s="50" t="n"/>
      <c r="J298" s="42" t="n"/>
      <c r="K298" s="42" t="n"/>
      <c r="L298" s="43">
        <f>IF($B298="","",ROUND((N($J298)+N($K298))*نسبة_القيمة_المضافة,2))</f>
        <v/>
      </c>
      <c r="M298" s="42" t="n"/>
      <c r="N298" s="42" t="n"/>
      <c r="O298" s="43">
        <f>IF($B298="","",N($J298)+N($K298)+N($L298)-N($M298)+N($N298))</f>
        <v/>
      </c>
      <c r="P298" s="42" t="n"/>
      <c r="Q298" s="43">
        <f>IF($B298="","",N($O298)-N($P298))</f>
        <v/>
      </c>
      <c r="R298" s="42" t="n"/>
      <c r="S298" s="42" t="n"/>
      <c r="T298" s="42" t="n"/>
      <c r="U298" s="43">
        <f>IF($B298="","",N($J298)-N($R298)-N($T298))</f>
        <v/>
      </c>
      <c r="V298" s="42" t="n"/>
    </row>
    <row r="299">
      <c r="A299" s="39">
        <f>IF($B299="","",COUNTA($B$4:$B299))</f>
        <v/>
      </c>
      <c r="B299" s="45" t="n"/>
      <c r="C299" s="46" t="n"/>
      <c r="D299" s="46" t="n"/>
      <c r="E299" s="46" t="n"/>
      <c r="F299" s="46" t="n"/>
      <c r="G299" s="46" t="n"/>
      <c r="H299" s="46" t="n"/>
      <c r="I299" s="51" t="n"/>
      <c r="J299" s="47" t="n"/>
      <c r="K299" s="47" t="n"/>
      <c r="L299" s="43">
        <f>IF($B299="","",ROUND((N($J299)+N($K299))*نسبة_القيمة_المضافة,2))</f>
        <v/>
      </c>
      <c r="M299" s="47" t="n"/>
      <c r="N299" s="47" t="n"/>
      <c r="O299" s="43">
        <f>IF($B299="","",N($J299)+N($K299)+N($L299)-N($M299)+N($N299))</f>
        <v/>
      </c>
      <c r="P299" s="47" t="n"/>
      <c r="Q299" s="43">
        <f>IF($B299="","",N($O299)-N($P299))</f>
        <v/>
      </c>
      <c r="R299" s="47" t="n"/>
      <c r="S299" s="47" t="n"/>
      <c r="T299" s="47" t="n"/>
      <c r="U299" s="43">
        <f>IF($B299="","",N($J299)-N($R299)-N($T299))</f>
        <v/>
      </c>
      <c r="V299" s="47" t="n"/>
    </row>
    <row r="300">
      <c r="A300" s="39">
        <f>IF($B300="","",COUNTA($B$4:$B300))</f>
        <v/>
      </c>
      <c r="B300" s="40" t="n"/>
      <c r="C300" s="41" t="n"/>
      <c r="D300" s="41" t="n"/>
      <c r="E300" s="41" t="n"/>
      <c r="F300" s="41" t="n"/>
      <c r="G300" s="41" t="n"/>
      <c r="H300" s="41" t="n"/>
      <c r="I300" s="50" t="n"/>
      <c r="J300" s="42" t="n"/>
      <c r="K300" s="42" t="n"/>
      <c r="L300" s="43">
        <f>IF($B300="","",ROUND((N($J300)+N($K300))*نسبة_القيمة_المضافة,2))</f>
        <v/>
      </c>
      <c r="M300" s="42" t="n"/>
      <c r="N300" s="42" t="n"/>
      <c r="O300" s="43">
        <f>IF($B300="","",N($J300)+N($K300)+N($L300)-N($M300)+N($N300))</f>
        <v/>
      </c>
      <c r="P300" s="42" t="n"/>
      <c r="Q300" s="43">
        <f>IF($B300="","",N($O300)-N($P300))</f>
        <v/>
      </c>
      <c r="R300" s="42" t="n"/>
      <c r="S300" s="42" t="n"/>
      <c r="T300" s="42" t="n"/>
      <c r="U300" s="43">
        <f>IF($B300="","",N($J300)-N($R300)-N($T300))</f>
        <v/>
      </c>
      <c r="V300" s="42" t="n"/>
    </row>
    <row r="301">
      <c r="A301" s="39">
        <f>IF($B301="","",COUNTA($B$4:$B301))</f>
        <v/>
      </c>
      <c r="B301" s="45" t="n"/>
      <c r="C301" s="46" t="n"/>
      <c r="D301" s="46" t="n"/>
      <c r="E301" s="46" t="n"/>
      <c r="F301" s="46" t="n"/>
      <c r="G301" s="46" t="n"/>
      <c r="H301" s="46" t="n"/>
      <c r="I301" s="51" t="n"/>
      <c r="J301" s="47" t="n"/>
      <c r="K301" s="47" t="n"/>
      <c r="L301" s="43">
        <f>IF($B301="","",ROUND((N($J301)+N($K301))*نسبة_القيمة_المضافة,2))</f>
        <v/>
      </c>
      <c r="M301" s="47" t="n"/>
      <c r="N301" s="47" t="n"/>
      <c r="O301" s="43">
        <f>IF($B301="","",N($J301)+N($K301)+N($L301)-N($M301)+N($N301))</f>
        <v/>
      </c>
      <c r="P301" s="47" t="n"/>
      <c r="Q301" s="43">
        <f>IF($B301="","",N($O301)-N($P301))</f>
        <v/>
      </c>
      <c r="R301" s="47" t="n"/>
      <c r="S301" s="47" t="n"/>
      <c r="T301" s="47" t="n"/>
      <c r="U301" s="43">
        <f>IF($B301="","",N($J301)-N($R301)-N($T301))</f>
        <v/>
      </c>
      <c r="V301" s="47" t="n"/>
    </row>
    <row r="302">
      <c r="A302" s="39">
        <f>IF($B302="","",COUNTA($B$4:$B302))</f>
        <v/>
      </c>
      <c r="B302" s="40" t="n"/>
      <c r="C302" s="41" t="n"/>
      <c r="D302" s="41" t="n"/>
      <c r="E302" s="41" t="n"/>
      <c r="F302" s="41" t="n"/>
      <c r="G302" s="41" t="n"/>
      <c r="H302" s="41" t="n"/>
      <c r="I302" s="50" t="n"/>
      <c r="J302" s="42" t="n"/>
      <c r="K302" s="42" t="n"/>
      <c r="L302" s="43">
        <f>IF($B302="","",ROUND((N($J302)+N($K302))*نسبة_القيمة_المضافة,2))</f>
        <v/>
      </c>
      <c r="M302" s="42" t="n"/>
      <c r="N302" s="42" t="n"/>
      <c r="O302" s="43">
        <f>IF($B302="","",N($J302)+N($K302)+N($L302)-N($M302)+N($N302))</f>
        <v/>
      </c>
      <c r="P302" s="42" t="n"/>
      <c r="Q302" s="43">
        <f>IF($B302="","",N($O302)-N($P302))</f>
        <v/>
      </c>
      <c r="R302" s="42" t="n"/>
      <c r="S302" s="42" t="n"/>
      <c r="T302" s="42" t="n"/>
      <c r="U302" s="43">
        <f>IF($B302="","",N($J302)-N($R302)-N($T302))</f>
        <v/>
      </c>
      <c r="V302" s="42" t="n"/>
    </row>
    <row r="303">
      <c r="A303" s="39">
        <f>IF($B303="","",COUNTA($B$4:$B303))</f>
        <v/>
      </c>
      <c r="B303" s="45" t="n"/>
      <c r="C303" s="46" t="n"/>
      <c r="D303" s="46" t="n"/>
      <c r="E303" s="46" t="n"/>
      <c r="F303" s="46" t="n"/>
      <c r="G303" s="46" t="n"/>
      <c r="H303" s="46" t="n"/>
      <c r="I303" s="51" t="n"/>
      <c r="J303" s="47" t="n"/>
      <c r="K303" s="47" t="n"/>
      <c r="L303" s="43">
        <f>IF($B303="","",ROUND((N($J303)+N($K303))*نسبة_القيمة_المضافة,2))</f>
        <v/>
      </c>
      <c r="M303" s="47" t="n"/>
      <c r="N303" s="47" t="n"/>
      <c r="O303" s="43">
        <f>IF($B303="","",N($J303)+N($K303)+N($L303)-N($M303)+N($N303))</f>
        <v/>
      </c>
      <c r="P303" s="47" t="n"/>
      <c r="Q303" s="43">
        <f>IF($B303="","",N($O303)-N($P303))</f>
        <v/>
      </c>
      <c r="R303" s="47" t="n"/>
      <c r="S303" s="47" t="n"/>
      <c r="T303" s="47" t="n"/>
      <c r="U303" s="43">
        <f>IF($B303="","",N($J303)-N($R303)-N($T303))</f>
        <v/>
      </c>
      <c r="V303" s="47" t="n"/>
    </row>
    <row r="304">
      <c r="A304" s="39">
        <f>IF($B304="","",COUNTA($B$4:$B304))</f>
        <v/>
      </c>
      <c r="B304" s="40" t="n"/>
      <c r="C304" s="41" t="n"/>
      <c r="D304" s="41" t="n"/>
      <c r="E304" s="41" t="n"/>
      <c r="F304" s="41" t="n"/>
      <c r="G304" s="41" t="n"/>
      <c r="H304" s="41" t="n"/>
      <c r="I304" s="50" t="n"/>
      <c r="J304" s="42" t="n"/>
      <c r="K304" s="42" t="n"/>
      <c r="L304" s="43">
        <f>IF($B304="","",ROUND((N($J304)+N($K304))*نسبة_القيمة_المضافة,2))</f>
        <v/>
      </c>
      <c r="M304" s="42" t="n"/>
      <c r="N304" s="42" t="n"/>
      <c r="O304" s="43">
        <f>IF($B304="","",N($J304)+N($K304)+N($L304)-N($M304)+N($N304))</f>
        <v/>
      </c>
      <c r="P304" s="42" t="n"/>
      <c r="Q304" s="43">
        <f>IF($B304="","",N($O304)-N($P304))</f>
        <v/>
      </c>
      <c r="R304" s="42" t="n"/>
      <c r="S304" s="42" t="n"/>
      <c r="T304" s="42" t="n"/>
      <c r="U304" s="43">
        <f>IF($B304="","",N($J304)-N($R304)-N($T304))</f>
        <v/>
      </c>
      <c r="V304" s="42" t="n"/>
    </row>
    <row r="305">
      <c r="A305" s="39">
        <f>IF($B305="","",COUNTA($B$4:$B305))</f>
        <v/>
      </c>
      <c r="B305" s="45" t="n"/>
      <c r="C305" s="46" t="n"/>
      <c r="D305" s="46" t="n"/>
      <c r="E305" s="46" t="n"/>
      <c r="F305" s="46" t="n"/>
      <c r="G305" s="46" t="n"/>
      <c r="H305" s="46" t="n"/>
      <c r="I305" s="51" t="n"/>
      <c r="J305" s="47" t="n"/>
      <c r="K305" s="47" t="n"/>
      <c r="L305" s="43">
        <f>IF($B305="","",ROUND((N($J305)+N($K305))*نسبة_القيمة_المضافة,2))</f>
        <v/>
      </c>
      <c r="M305" s="47" t="n"/>
      <c r="N305" s="47" t="n"/>
      <c r="O305" s="43">
        <f>IF($B305="","",N($J305)+N($K305)+N($L305)-N($M305)+N($N305))</f>
        <v/>
      </c>
      <c r="P305" s="47" t="n"/>
      <c r="Q305" s="43">
        <f>IF($B305="","",N($O305)-N($P305))</f>
        <v/>
      </c>
      <c r="R305" s="47" t="n"/>
      <c r="S305" s="47" t="n"/>
      <c r="T305" s="47" t="n"/>
      <c r="U305" s="43">
        <f>IF($B305="","",N($J305)-N($R305)-N($T305))</f>
        <v/>
      </c>
      <c r="V305" s="47" t="n"/>
    </row>
    <row r="306">
      <c r="A306" s="39">
        <f>IF($B306="","",COUNTA($B$4:$B306))</f>
        <v/>
      </c>
      <c r="B306" s="40" t="n"/>
      <c r="C306" s="41" t="n"/>
      <c r="D306" s="41" t="n"/>
      <c r="E306" s="41" t="n"/>
      <c r="F306" s="41" t="n"/>
      <c r="G306" s="41" t="n"/>
      <c r="H306" s="41" t="n"/>
      <c r="I306" s="50" t="n"/>
      <c r="J306" s="42" t="n"/>
      <c r="K306" s="42" t="n"/>
      <c r="L306" s="43">
        <f>IF($B306="","",ROUND((N($J306)+N($K306))*نسبة_القيمة_المضافة,2))</f>
        <v/>
      </c>
      <c r="M306" s="42" t="n"/>
      <c r="N306" s="42" t="n"/>
      <c r="O306" s="43">
        <f>IF($B306="","",N($J306)+N($K306)+N($L306)-N($M306)+N($N306))</f>
        <v/>
      </c>
      <c r="P306" s="42" t="n"/>
      <c r="Q306" s="43">
        <f>IF($B306="","",N($O306)-N($P306))</f>
        <v/>
      </c>
      <c r="R306" s="42" t="n"/>
      <c r="S306" s="42" t="n"/>
      <c r="T306" s="42" t="n"/>
      <c r="U306" s="43">
        <f>IF($B306="","",N($J306)-N($R306)-N($T306))</f>
        <v/>
      </c>
      <c r="V306" s="42" t="n"/>
    </row>
    <row r="307">
      <c r="A307" s="39">
        <f>IF($B307="","",COUNTA($B$4:$B307))</f>
        <v/>
      </c>
      <c r="B307" s="45" t="n"/>
      <c r="C307" s="46" t="n"/>
      <c r="D307" s="46" t="n"/>
      <c r="E307" s="46" t="n"/>
      <c r="F307" s="46" t="n"/>
      <c r="G307" s="46" t="n"/>
      <c r="H307" s="46" t="n"/>
      <c r="I307" s="51" t="n"/>
      <c r="J307" s="47" t="n"/>
      <c r="K307" s="47" t="n"/>
      <c r="L307" s="43">
        <f>IF($B307="","",ROUND((N($J307)+N($K307))*نسبة_القيمة_المضافة,2))</f>
        <v/>
      </c>
      <c r="M307" s="47" t="n"/>
      <c r="N307" s="47" t="n"/>
      <c r="O307" s="43">
        <f>IF($B307="","",N($J307)+N($K307)+N($L307)-N($M307)+N($N307))</f>
        <v/>
      </c>
      <c r="P307" s="47" t="n"/>
      <c r="Q307" s="43">
        <f>IF($B307="","",N($O307)-N($P307))</f>
        <v/>
      </c>
      <c r="R307" s="47" t="n"/>
      <c r="S307" s="47" t="n"/>
      <c r="T307" s="47" t="n"/>
      <c r="U307" s="43">
        <f>IF($B307="","",N($J307)-N($R307)-N($T307))</f>
        <v/>
      </c>
      <c r="V307" s="47" t="n"/>
    </row>
    <row r="308">
      <c r="A308" s="39">
        <f>IF($B308="","",COUNTA($B$4:$B308))</f>
        <v/>
      </c>
      <c r="B308" s="40" t="n"/>
      <c r="C308" s="41" t="n"/>
      <c r="D308" s="41" t="n"/>
      <c r="E308" s="41" t="n"/>
      <c r="F308" s="41" t="n"/>
      <c r="G308" s="41" t="n"/>
      <c r="H308" s="41" t="n"/>
      <c r="I308" s="50" t="n"/>
      <c r="J308" s="42" t="n"/>
      <c r="K308" s="42" t="n"/>
      <c r="L308" s="43">
        <f>IF($B308="","",ROUND((N($J308)+N($K308))*نسبة_القيمة_المضافة,2))</f>
        <v/>
      </c>
      <c r="M308" s="42" t="n"/>
      <c r="N308" s="42" t="n"/>
      <c r="O308" s="43">
        <f>IF($B308="","",N($J308)+N($K308)+N($L308)-N($M308)+N($N308))</f>
        <v/>
      </c>
      <c r="P308" s="42" t="n"/>
      <c r="Q308" s="43">
        <f>IF($B308="","",N($O308)-N($P308))</f>
        <v/>
      </c>
      <c r="R308" s="42" t="n"/>
      <c r="S308" s="42" t="n"/>
      <c r="T308" s="42" t="n"/>
      <c r="U308" s="43">
        <f>IF($B308="","",N($J308)-N($R308)-N($T308))</f>
        <v/>
      </c>
      <c r="V308" s="42" t="n"/>
    </row>
    <row r="309">
      <c r="A309" s="39">
        <f>IF($B309="","",COUNTA($B$4:$B309))</f>
        <v/>
      </c>
      <c r="B309" s="45" t="n"/>
      <c r="C309" s="46" t="n"/>
      <c r="D309" s="46" t="n"/>
      <c r="E309" s="46" t="n"/>
      <c r="F309" s="46" t="n"/>
      <c r="G309" s="46" t="n"/>
      <c r="H309" s="46" t="n"/>
      <c r="I309" s="51" t="n"/>
      <c r="J309" s="47" t="n"/>
      <c r="K309" s="47" t="n"/>
      <c r="L309" s="43">
        <f>IF($B309="","",ROUND((N($J309)+N($K309))*نسبة_القيمة_المضافة,2))</f>
        <v/>
      </c>
      <c r="M309" s="47" t="n"/>
      <c r="N309" s="47" t="n"/>
      <c r="O309" s="43">
        <f>IF($B309="","",N($J309)+N($K309)+N($L309)-N($M309)+N($N309))</f>
        <v/>
      </c>
      <c r="P309" s="47" t="n"/>
      <c r="Q309" s="43">
        <f>IF($B309="","",N($O309)-N($P309))</f>
        <v/>
      </c>
      <c r="R309" s="47" t="n"/>
      <c r="S309" s="47" t="n"/>
      <c r="T309" s="47" t="n"/>
      <c r="U309" s="43">
        <f>IF($B309="","",N($J309)-N($R309)-N($T309))</f>
        <v/>
      </c>
      <c r="V309" s="47" t="n"/>
    </row>
    <row r="310">
      <c r="A310" s="39">
        <f>IF($B310="","",COUNTA($B$4:$B310))</f>
        <v/>
      </c>
      <c r="B310" s="40" t="n"/>
      <c r="C310" s="41" t="n"/>
      <c r="D310" s="41" t="n"/>
      <c r="E310" s="41" t="n"/>
      <c r="F310" s="41" t="n"/>
      <c r="G310" s="41" t="n"/>
      <c r="H310" s="41" t="n"/>
      <c r="I310" s="50" t="n"/>
      <c r="J310" s="42" t="n"/>
      <c r="K310" s="42" t="n"/>
      <c r="L310" s="43">
        <f>IF($B310="","",ROUND((N($J310)+N($K310))*نسبة_القيمة_المضافة,2))</f>
        <v/>
      </c>
      <c r="M310" s="42" t="n"/>
      <c r="N310" s="42" t="n"/>
      <c r="O310" s="43">
        <f>IF($B310="","",N($J310)+N($K310)+N($L310)-N($M310)+N($N310))</f>
        <v/>
      </c>
      <c r="P310" s="42" t="n"/>
      <c r="Q310" s="43">
        <f>IF($B310="","",N($O310)-N($P310))</f>
        <v/>
      </c>
      <c r="R310" s="42" t="n"/>
      <c r="S310" s="42" t="n"/>
      <c r="T310" s="42" t="n"/>
      <c r="U310" s="43">
        <f>IF($B310="","",N($J310)-N($R310)-N($T310))</f>
        <v/>
      </c>
      <c r="V310" s="42" t="n"/>
    </row>
    <row r="311">
      <c r="A311" s="39">
        <f>IF($B311="","",COUNTA($B$4:$B311))</f>
        <v/>
      </c>
      <c r="B311" s="45" t="n"/>
      <c r="C311" s="46" t="n"/>
      <c r="D311" s="46" t="n"/>
      <c r="E311" s="46" t="n"/>
      <c r="F311" s="46" t="n"/>
      <c r="G311" s="46" t="n"/>
      <c r="H311" s="46" t="n"/>
      <c r="I311" s="51" t="n"/>
      <c r="J311" s="47" t="n"/>
      <c r="K311" s="47" t="n"/>
      <c r="L311" s="43">
        <f>IF($B311="","",ROUND((N($J311)+N($K311))*نسبة_القيمة_المضافة,2))</f>
        <v/>
      </c>
      <c r="M311" s="47" t="n"/>
      <c r="N311" s="47" t="n"/>
      <c r="O311" s="43">
        <f>IF($B311="","",N($J311)+N($K311)+N($L311)-N($M311)+N($N311))</f>
        <v/>
      </c>
      <c r="P311" s="47" t="n"/>
      <c r="Q311" s="43">
        <f>IF($B311="","",N($O311)-N($P311))</f>
        <v/>
      </c>
      <c r="R311" s="47" t="n"/>
      <c r="S311" s="47" t="n"/>
      <c r="T311" s="47" t="n"/>
      <c r="U311" s="43">
        <f>IF($B311="","",N($J311)-N($R311)-N($T311))</f>
        <v/>
      </c>
      <c r="V311" s="47" t="n"/>
    </row>
    <row r="312">
      <c r="A312" s="39">
        <f>IF($B312="","",COUNTA($B$4:$B312))</f>
        <v/>
      </c>
      <c r="B312" s="40" t="n"/>
      <c r="C312" s="41" t="n"/>
      <c r="D312" s="41" t="n"/>
      <c r="E312" s="41" t="n"/>
      <c r="F312" s="41" t="n"/>
      <c r="G312" s="41" t="n"/>
      <c r="H312" s="41" t="n"/>
      <c r="I312" s="50" t="n"/>
      <c r="J312" s="42" t="n"/>
      <c r="K312" s="42" t="n"/>
      <c r="L312" s="43">
        <f>IF($B312="","",ROUND((N($J312)+N($K312))*نسبة_القيمة_المضافة,2))</f>
        <v/>
      </c>
      <c r="M312" s="42" t="n"/>
      <c r="N312" s="42" t="n"/>
      <c r="O312" s="43">
        <f>IF($B312="","",N($J312)+N($K312)+N($L312)-N($M312)+N($N312))</f>
        <v/>
      </c>
      <c r="P312" s="42" t="n"/>
      <c r="Q312" s="43">
        <f>IF($B312="","",N($O312)-N($P312))</f>
        <v/>
      </c>
      <c r="R312" s="42" t="n"/>
      <c r="S312" s="42" t="n"/>
      <c r="T312" s="42" t="n"/>
      <c r="U312" s="43">
        <f>IF($B312="","",N($J312)-N($R312)-N($T312))</f>
        <v/>
      </c>
      <c r="V312" s="42" t="n"/>
    </row>
    <row r="313">
      <c r="A313" s="39">
        <f>IF($B313="","",COUNTA($B$4:$B313))</f>
        <v/>
      </c>
      <c r="B313" s="45" t="n"/>
      <c r="C313" s="46" t="n"/>
      <c r="D313" s="46" t="n"/>
      <c r="E313" s="46" t="n"/>
      <c r="F313" s="46" t="n"/>
      <c r="G313" s="46" t="n"/>
      <c r="H313" s="46" t="n"/>
      <c r="I313" s="51" t="n"/>
      <c r="J313" s="47" t="n"/>
      <c r="K313" s="47" t="n"/>
      <c r="L313" s="43">
        <f>IF($B313="","",ROUND((N($J313)+N($K313))*نسبة_القيمة_المضافة,2))</f>
        <v/>
      </c>
      <c r="M313" s="47" t="n"/>
      <c r="N313" s="47" t="n"/>
      <c r="O313" s="43">
        <f>IF($B313="","",N($J313)+N($K313)+N($L313)-N($M313)+N($N313))</f>
        <v/>
      </c>
      <c r="P313" s="47" t="n"/>
      <c r="Q313" s="43">
        <f>IF($B313="","",N($O313)-N($P313))</f>
        <v/>
      </c>
      <c r="R313" s="47" t="n"/>
      <c r="S313" s="47" t="n"/>
      <c r="T313" s="47" t="n"/>
      <c r="U313" s="43">
        <f>IF($B313="","",N($J313)-N($R313)-N($T313))</f>
        <v/>
      </c>
      <c r="V313" s="47" t="n"/>
    </row>
    <row r="314">
      <c r="A314" s="39">
        <f>IF($B314="","",COUNTA($B$4:$B314))</f>
        <v/>
      </c>
      <c r="B314" s="40" t="n"/>
      <c r="C314" s="41" t="n"/>
      <c r="D314" s="41" t="n"/>
      <c r="E314" s="41" t="n"/>
      <c r="F314" s="41" t="n"/>
      <c r="G314" s="41" t="n"/>
      <c r="H314" s="41" t="n"/>
      <c r="I314" s="50" t="n"/>
      <c r="J314" s="42" t="n"/>
      <c r="K314" s="42" t="n"/>
      <c r="L314" s="43">
        <f>IF($B314="","",ROUND((N($J314)+N($K314))*نسبة_القيمة_المضافة,2))</f>
        <v/>
      </c>
      <c r="M314" s="42" t="n"/>
      <c r="N314" s="42" t="n"/>
      <c r="O314" s="43">
        <f>IF($B314="","",N($J314)+N($K314)+N($L314)-N($M314)+N($N314))</f>
        <v/>
      </c>
      <c r="P314" s="42" t="n"/>
      <c r="Q314" s="43">
        <f>IF($B314="","",N($O314)-N($P314))</f>
        <v/>
      </c>
      <c r="R314" s="42" t="n"/>
      <c r="S314" s="42" t="n"/>
      <c r="T314" s="42" t="n"/>
      <c r="U314" s="43">
        <f>IF($B314="","",N($J314)-N($R314)-N($T314))</f>
        <v/>
      </c>
      <c r="V314" s="42" t="n"/>
    </row>
    <row r="315">
      <c r="A315" s="39">
        <f>IF($B315="","",COUNTA($B$4:$B315))</f>
        <v/>
      </c>
      <c r="B315" s="45" t="n"/>
      <c r="C315" s="46" t="n"/>
      <c r="D315" s="46" t="n"/>
      <c r="E315" s="46" t="n"/>
      <c r="F315" s="46" t="n"/>
      <c r="G315" s="46" t="n"/>
      <c r="H315" s="46" t="n"/>
      <c r="I315" s="51" t="n"/>
      <c r="J315" s="47" t="n"/>
      <c r="K315" s="47" t="n"/>
      <c r="L315" s="43">
        <f>IF($B315="","",ROUND((N($J315)+N($K315))*نسبة_القيمة_المضافة,2))</f>
        <v/>
      </c>
      <c r="M315" s="47" t="n"/>
      <c r="N315" s="47" t="n"/>
      <c r="O315" s="43">
        <f>IF($B315="","",N($J315)+N($K315)+N($L315)-N($M315)+N($N315))</f>
        <v/>
      </c>
      <c r="P315" s="47" t="n"/>
      <c r="Q315" s="43">
        <f>IF($B315="","",N($O315)-N($P315))</f>
        <v/>
      </c>
      <c r="R315" s="47" t="n"/>
      <c r="S315" s="47" t="n"/>
      <c r="T315" s="47" t="n"/>
      <c r="U315" s="43">
        <f>IF($B315="","",N($J315)-N($R315)-N($T315))</f>
        <v/>
      </c>
      <c r="V315" s="47" t="n"/>
    </row>
    <row r="316">
      <c r="A316" s="39">
        <f>IF($B316="","",COUNTA($B$4:$B316))</f>
        <v/>
      </c>
      <c r="B316" s="40" t="n"/>
      <c r="C316" s="41" t="n"/>
      <c r="D316" s="41" t="n"/>
      <c r="E316" s="41" t="n"/>
      <c r="F316" s="41" t="n"/>
      <c r="G316" s="41" t="n"/>
      <c r="H316" s="41" t="n"/>
      <c r="I316" s="50" t="n"/>
      <c r="J316" s="42" t="n"/>
      <c r="K316" s="42" t="n"/>
      <c r="L316" s="43">
        <f>IF($B316="","",ROUND((N($J316)+N($K316))*نسبة_القيمة_المضافة,2))</f>
        <v/>
      </c>
      <c r="M316" s="42" t="n"/>
      <c r="N316" s="42" t="n"/>
      <c r="O316" s="43">
        <f>IF($B316="","",N($J316)+N($K316)+N($L316)-N($M316)+N($N316))</f>
        <v/>
      </c>
      <c r="P316" s="42" t="n"/>
      <c r="Q316" s="43">
        <f>IF($B316="","",N($O316)-N($P316))</f>
        <v/>
      </c>
      <c r="R316" s="42" t="n"/>
      <c r="S316" s="42" t="n"/>
      <c r="T316" s="42" t="n"/>
      <c r="U316" s="43">
        <f>IF($B316="","",N($J316)-N($R316)-N($T316))</f>
        <v/>
      </c>
      <c r="V316" s="42" t="n"/>
    </row>
    <row r="317">
      <c r="A317" s="39">
        <f>IF($B317="","",COUNTA($B$4:$B317))</f>
        <v/>
      </c>
      <c r="B317" s="45" t="n"/>
      <c r="C317" s="46" t="n"/>
      <c r="D317" s="46" t="n"/>
      <c r="E317" s="46" t="n"/>
      <c r="F317" s="46" t="n"/>
      <c r="G317" s="46" t="n"/>
      <c r="H317" s="46" t="n"/>
      <c r="I317" s="51" t="n"/>
      <c r="J317" s="47" t="n"/>
      <c r="K317" s="47" t="n"/>
      <c r="L317" s="43">
        <f>IF($B317="","",ROUND((N($J317)+N($K317))*نسبة_القيمة_المضافة,2))</f>
        <v/>
      </c>
      <c r="M317" s="47" t="n"/>
      <c r="N317" s="47" t="n"/>
      <c r="O317" s="43">
        <f>IF($B317="","",N($J317)+N($K317)+N($L317)-N($M317)+N($N317))</f>
        <v/>
      </c>
      <c r="P317" s="47" t="n"/>
      <c r="Q317" s="43">
        <f>IF($B317="","",N($O317)-N($P317))</f>
        <v/>
      </c>
      <c r="R317" s="47" t="n"/>
      <c r="S317" s="47" t="n"/>
      <c r="T317" s="47" t="n"/>
      <c r="U317" s="43">
        <f>IF($B317="","",N($J317)-N($R317)-N($T317))</f>
        <v/>
      </c>
      <c r="V317" s="47" t="n"/>
    </row>
    <row r="318">
      <c r="A318" s="39">
        <f>IF($B318="","",COUNTA($B$4:$B318))</f>
        <v/>
      </c>
      <c r="B318" s="40" t="n"/>
      <c r="C318" s="41" t="n"/>
      <c r="D318" s="41" t="n"/>
      <c r="E318" s="41" t="n"/>
      <c r="F318" s="41" t="n"/>
      <c r="G318" s="41" t="n"/>
      <c r="H318" s="41" t="n"/>
      <c r="I318" s="50" t="n"/>
      <c r="J318" s="42" t="n"/>
      <c r="K318" s="42" t="n"/>
      <c r="L318" s="43">
        <f>IF($B318="","",ROUND((N($J318)+N($K318))*نسبة_القيمة_المضافة,2))</f>
        <v/>
      </c>
      <c r="M318" s="42" t="n"/>
      <c r="N318" s="42" t="n"/>
      <c r="O318" s="43">
        <f>IF($B318="","",N($J318)+N($K318)+N($L318)-N($M318)+N($N318))</f>
        <v/>
      </c>
      <c r="P318" s="42" t="n"/>
      <c r="Q318" s="43">
        <f>IF($B318="","",N($O318)-N($P318))</f>
        <v/>
      </c>
      <c r="R318" s="42" t="n"/>
      <c r="S318" s="42" t="n"/>
      <c r="T318" s="42" t="n"/>
      <c r="U318" s="43">
        <f>IF($B318="","",N($J318)-N($R318)-N($T318))</f>
        <v/>
      </c>
      <c r="V318" s="42" t="n"/>
    </row>
    <row r="319">
      <c r="A319" s="39">
        <f>IF($B319="","",COUNTA($B$4:$B319))</f>
        <v/>
      </c>
      <c r="B319" s="45" t="n"/>
      <c r="C319" s="46" t="n"/>
      <c r="D319" s="46" t="n"/>
      <c r="E319" s="46" t="n"/>
      <c r="F319" s="46" t="n"/>
      <c r="G319" s="46" t="n"/>
      <c r="H319" s="46" t="n"/>
      <c r="I319" s="51" t="n"/>
      <c r="J319" s="47" t="n"/>
      <c r="K319" s="47" t="n"/>
      <c r="L319" s="43">
        <f>IF($B319="","",ROUND((N($J319)+N($K319))*نسبة_القيمة_المضافة,2))</f>
        <v/>
      </c>
      <c r="M319" s="47" t="n"/>
      <c r="N319" s="47" t="n"/>
      <c r="O319" s="43">
        <f>IF($B319="","",N($J319)+N($K319)+N($L319)-N($M319)+N($N319))</f>
        <v/>
      </c>
      <c r="P319" s="47" t="n"/>
      <c r="Q319" s="43">
        <f>IF($B319="","",N($O319)-N($P319))</f>
        <v/>
      </c>
      <c r="R319" s="47" t="n"/>
      <c r="S319" s="47" t="n"/>
      <c r="T319" s="47" t="n"/>
      <c r="U319" s="43">
        <f>IF($B319="","",N($J319)-N($R319)-N($T319))</f>
        <v/>
      </c>
      <c r="V319" s="47" t="n"/>
    </row>
    <row r="320">
      <c r="A320" s="39">
        <f>IF($B320="","",COUNTA($B$4:$B320))</f>
        <v/>
      </c>
      <c r="B320" s="40" t="n"/>
      <c r="C320" s="41" t="n"/>
      <c r="D320" s="41" t="n"/>
      <c r="E320" s="41" t="n"/>
      <c r="F320" s="41" t="n"/>
      <c r="G320" s="41" t="n"/>
      <c r="H320" s="41" t="n"/>
      <c r="I320" s="50" t="n"/>
      <c r="J320" s="42" t="n"/>
      <c r="K320" s="42" t="n"/>
      <c r="L320" s="43">
        <f>IF($B320="","",ROUND((N($J320)+N($K320))*نسبة_القيمة_المضافة,2))</f>
        <v/>
      </c>
      <c r="M320" s="42" t="n"/>
      <c r="N320" s="42" t="n"/>
      <c r="O320" s="43">
        <f>IF($B320="","",N($J320)+N($K320)+N($L320)-N($M320)+N($N320))</f>
        <v/>
      </c>
      <c r="P320" s="42" t="n"/>
      <c r="Q320" s="43">
        <f>IF($B320="","",N($O320)-N($P320))</f>
        <v/>
      </c>
      <c r="R320" s="42" t="n"/>
      <c r="S320" s="42" t="n"/>
      <c r="T320" s="42" t="n"/>
      <c r="U320" s="43">
        <f>IF($B320="","",N($J320)-N($R320)-N($T320))</f>
        <v/>
      </c>
      <c r="V320" s="42" t="n"/>
    </row>
    <row r="321">
      <c r="A321" s="39">
        <f>IF($B321="","",COUNTA($B$4:$B321))</f>
        <v/>
      </c>
      <c r="B321" s="45" t="n"/>
      <c r="C321" s="46" t="n"/>
      <c r="D321" s="46" t="n"/>
      <c r="E321" s="46" t="n"/>
      <c r="F321" s="46" t="n"/>
      <c r="G321" s="46" t="n"/>
      <c r="H321" s="46" t="n"/>
      <c r="I321" s="51" t="n"/>
      <c r="J321" s="47" t="n"/>
      <c r="K321" s="47" t="n"/>
      <c r="L321" s="43">
        <f>IF($B321="","",ROUND((N($J321)+N($K321))*نسبة_القيمة_المضافة,2))</f>
        <v/>
      </c>
      <c r="M321" s="47" t="n"/>
      <c r="N321" s="47" t="n"/>
      <c r="O321" s="43">
        <f>IF($B321="","",N($J321)+N($K321)+N($L321)-N($M321)+N($N321))</f>
        <v/>
      </c>
      <c r="P321" s="47" t="n"/>
      <c r="Q321" s="43">
        <f>IF($B321="","",N($O321)-N($P321))</f>
        <v/>
      </c>
      <c r="R321" s="47" t="n"/>
      <c r="S321" s="47" t="n"/>
      <c r="T321" s="47" t="n"/>
      <c r="U321" s="43">
        <f>IF($B321="","",N($J321)-N($R321)-N($T321))</f>
        <v/>
      </c>
      <c r="V321" s="47" t="n"/>
    </row>
    <row r="322">
      <c r="A322" s="39">
        <f>IF($B322="","",COUNTA($B$4:$B322))</f>
        <v/>
      </c>
      <c r="B322" s="40" t="n"/>
      <c r="C322" s="41" t="n"/>
      <c r="D322" s="41" t="n"/>
      <c r="E322" s="41" t="n"/>
      <c r="F322" s="41" t="n"/>
      <c r="G322" s="41" t="n"/>
      <c r="H322" s="41" t="n"/>
      <c r="I322" s="50" t="n"/>
      <c r="J322" s="42" t="n"/>
      <c r="K322" s="42" t="n"/>
      <c r="L322" s="43">
        <f>IF($B322="","",ROUND((N($J322)+N($K322))*نسبة_القيمة_المضافة,2))</f>
        <v/>
      </c>
      <c r="M322" s="42" t="n"/>
      <c r="N322" s="42" t="n"/>
      <c r="O322" s="43">
        <f>IF($B322="","",N($J322)+N($K322)+N($L322)-N($M322)+N($N322))</f>
        <v/>
      </c>
      <c r="P322" s="42" t="n"/>
      <c r="Q322" s="43">
        <f>IF($B322="","",N($O322)-N($P322))</f>
        <v/>
      </c>
      <c r="R322" s="42" t="n"/>
      <c r="S322" s="42" t="n"/>
      <c r="T322" s="42" t="n"/>
      <c r="U322" s="43">
        <f>IF($B322="","",N($J322)-N($R322)-N($T322))</f>
        <v/>
      </c>
      <c r="V322" s="42" t="n"/>
    </row>
    <row r="323">
      <c r="A323" s="39">
        <f>IF($B323="","",COUNTA($B$4:$B323))</f>
        <v/>
      </c>
      <c r="B323" s="45" t="n"/>
      <c r="C323" s="46" t="n"/>
      <c r="D323" s="46" t="n"/>
      <c r="E323" s="46" t="n"/>
      <c r="F323" s="46" t="n"/>
      <c r="G323" s="46" t="n"/>
      <c r="H323" s="46" t="n"/>
      <c r="I323" s="51" t="n"/>
      <c r="J323" s="47" t="n"/>
      <c r="K323" s="47" t="n"/>
      <c r="L323" s="43">
        <f>IF($B323="","",ROUND((N($J323)+N($K323))*نسبة_القيمة_المضافة,2))</f>
        <v/>
      </c>
      <c r="M323" s="47" t="n"/>
      <c r="N323" s="47" t="n"/>
      <c r="O323" s="43">
        <f>IF($B323="","",N($J323)+N($K323)+N($L323)-N($M323)+N($N323))</f>
        <v/>
      </c>
      <c r="P323" s="47" t="n"/>
      <c r="Q323" s="43">
        <f>IF($B323="","",N($O323)-N($P323))</f>
        <v/>
      </c>
      <c r="R323" s="47" t="n"/>
      <c r="S323" s="47" t="n"/>
      <c r="T323" s="47" t="n"/>
      <c r="U323" s="43">
        <f>IF($B323="","",N($J323)-N($R323)-N($T323))</f>
        <v/>
      </c>
      <c r="V323" s="47" t="n"/>
    </row>
    <row r="324">
      <c r="A324" s="39">
        <f>IF($B324="","",COUNTA($B$4:$B324))</f>
        <v/>
      </c>
      <c r="B324" s="40" t="n"/>
      <c r="C324" s="41" t="n"/>
      <c r="D324" s="41" t="n"/>
      <c r="E324" s="41" t="n"/>
      <c r="F324" s="41" t="n"/>
      <c r="G324" s="41" t="n"/>
      <c r="H324" s="41" t="n"/>
      <c r="I324" s="50" t="n"/>
      <c r="J324" s="42" t="n"/>
      <c r="K324" s="42" t="n"/>
      <c r="L324" s="43">
        <f>IF($B324="","",ROUND((N($J324)+N($K324))*نسبة_القيمة_المضافة,2))</f>
        <v/>
      </c>
      <c r="M324" s="42" t="n"/>
      <c r="N324" s="42" t="n"/>
      <c r="O324" s="43">
        <f>IF($B324="","",N($J324)+N($K324)+N($L324)-N($M324)+N($N324))</f>
        <v/>
      </c>
      <c r="P324" s="42" t="n"/>
      <c r="Q324" s="43">
        <f>IF($B324="","",N($O324)-N($P324))</f>
        <v/>
      </c>
      <c r="R324" s="42" t="n"/>
      <c r="S324" s="42" t="n"/>
      <c r="T324" s="42" t="n"/>
      <c r="U324" s="43">
        <f>IF($B324="","",N($J324)-N($R324)-N($T324))</f>
        <v/>
      </c>
      <c r="V324" s="42" t="n"/>
    </row>
    <row r="325">
      <c r="A325" s="39">
        <f>IF($B325="","",COUNTA($B$4:$B325))</f>
        <v/>
      </c>
      <c r="B325" s="45" t="n"/>
      <c r="C325" s="46" t="n"/>
      <c r="D325" s="46" t="n"/>
      <c r="E325" s="46" t="n"/>
      <c r="F325" s="46" t="n"/>
      <c r="G325" s="46" t="n"/>
      <c r="H325" s="46" t="n"/>
      <c r="I325" s="51" t="n"/>
      <c r="J325" s="47" t="n"/>
      <c r="K325" s="47" t="n"/>
      <c r="L325" s="43">
        <f>IF($B325="","",ROUND((N($J325)+N($K325))*نسبة_القيمة_المضافة,2))</f>
        <v/>
      </c>
      <c r="M325" s="47" t="n"/>
      <c r="N325" s="47" t="n"/>
      <c r="O325" s="43">
        <f>IF($B325="","",N($J325)+N($K325)+N($L325)-N($M325)+N($N325))</f>
        <v/>
      </c>
      <c r="P325" s="47" t="n"/>
      <c r="Q325" s="43">
        <f>IF($B325="","",N($O325)-N($P325))</f>
        <v/>
      </c>
      <c r="R325" s="47" t="n"/>
      <c r="S325" s="47" t="n"/>
      <c r="T325" s="47" t="n"/>
      <c r="U325" s="43">
        <f>IF($B325="","",N($J325)-N($R325)-N($T325))</f>
        <v/>
      </c>
      <c r="V325" s="47" t="n"/>
    </row>
    <row r="326">
      <c r="A326" s="39">
        <f>IF($B326="","",COUNTA($B$4:$B326))</f>
        <v/>
      </c>
      <c r="B326" s="40" t="n"/>
      <c r="C326" s="41" t="n"/>
      <c r="D326" s="41" t="n"/>
      <c r="E326" s="41" t="n"/>
      <c r="F326" s="41" t="n"/>
      <c r="G326" s="41" t="n"/>
      <c r="H326" s="41" t="n"/>
      <c r="I326" s="50" t="n"/>
      <c r="J326" s="42" t="n"/>
      <c r="K326" s="42" t="n"/>
      <c r="L326" s="43">
        <f>IF($B326="","",ROUND((N($J326)+N($K326))*نسبة_القيمة_المضافة,2))</f>
        <v/>
      </c>
      <c r="M326" s="42" t="n"/>
      <c r="N326" s="42" t="n"/>
      <c r="O326" s="43">
        <f>IF($B326="","",N($J326)+N($K326)+N($L326)-N($M326)+N($N326))</f>
        <v/>
      </c>
      <c r="P326" s="42" t="n"/>
      <c r="Q326" s="43">
        <f>IF($B326="","",N($O326)-N($P326))</f>
        <v/>
      </c>
      <c r="R326" s="42" t="n"/>
      <c r="S326" s="42" t="n"/>
      <c r="T326" s="42" t="n"/>
      <c r="U326" s="43">
        <f>IF($B326="","",N($J326)-N($R326)-N($T326))</f>
        <v/>
      </c>
      <c r="V326" s="42" t="n"/>
    </row>
    <row r="327">
      <c r="A327" s="39">
        <f>IF($B327="","",COUNTA($B$4:$B327))</f>
        <v/>
      </c>
      <c r="B327" s="45" t="n"/>
      <c r="C327" s="46" t="n"/>
      <c r="D327" s="46" t="n"/>
      <c r="E327" s="46" t="n"/>
      <c r="F327" s="46" t="n"/>
      <c r="G327" s="46" t="n"/>
      <c r="H327" s="46" t="n"/>
      <c r="I327" s="51" t="n"/>
      <c r="J327" s="47" t="n"/>
      <c r="K327" s="47" t="n"/>
      <c r="L327" s="43">
        <f>IF($B327="","",ROUND((N($J327)+N($K327))*نسبة_القيمة_المضافة,2))</f>
        <v/>
      </c>
      <c r="M327" s="47" t="n"/>
      <c r="N327" s="47" t="n"/>
      <c r="O327" s="43">
        <f>IF($B327="","",N($J327)+N($K327)+N($L327)-N($M327)+N($N327))</f>
        <v/>
      </c>
      <c r="P327" s="47" t="n"/>
      <c r="Q327" s="43">
        <f>IF($B327="","",N($O327)-N($P327))</f>
        <v/>
      </c>
      <c r="R327" s="47" t="n"/>
      <c r="S327" s="47" t="n"/>
      <c r="T327" s="47" t="n"/>
      <c r="U327" s="43">
        <f>IF($B327="","",N($J327)-N($R327)-N($T327))</f>
        <v/>
      </c>
      <c r="V327" s="47" t="n"/>
    </row>
    <row r="328">
      <c r="A328" s="39">
        <f>IF($B328="","",COUNTA($B$4:$B328))</f>
        <v/>
      </c>
      <c r="B328" s="40" t="n"/>
      <c r="C328" s="41" t="n"/>
      <c r="D328" s="41" t="n"/>
      <c r="E328" s="41" t="n"/>
      <c r="F328" s="41" t="n"/>
      <c r="G328" s="41" t="n"/>
      <c r="H328" s="41" t="n"/>
      <c r="I328" s="50" t="n"/>
      <c r="J328" s="42" t="n"/>
      <c r="K328" s="42" t="n"/>
      <c r="L328" s="43">
        <f>IF($B328="","",ROUND((N($J328)+N($K328))*نسبة_القيمة_المضافة,2))</f>
        <v/>
      </c>
      <c r="M328" s="42" t="n"/>
      <c r="N328" s="42" t="n"/>
      <c r="O328" s="43">
        <f>IF($B328="","",N($J328)+N($K328)+N($L328)-N($M328)+N($N328))</f>
        <v/>
      </c>
      <c r="P328" s="42" t="n"/>
      <c r="Q328" s="43">
        <f>IF($B328="","",N($O328)-N($P328))</f>
        <v/>
      </c>
      <c r="R328" s="42" t="n"/>
      <c r="S328" s="42" t="n"/>
      <c r="T328" s="42" t="n"/>
      <c r="U328" s="43">
        <f>IF($B328="","",N($J328)-N($R328)-N($T328))</f>
        <v/>
      </c>
      <c r="V328" s="42" t="n"/>
    </row>
    <row r="329">
      <c r="A329" s="39">
        <f>IF($B329="","",COUNTA($B$4:$B329))</f>
        <v/>
      </c>
      <c r="B329" s="45" t="n"/>
      <c r="C329" s="46" t="n"/>
      <c r="D329" s="46" t="n"/>
      <c r="E329" s="46" t="n"/>
      <c r="F329" s="46" t="n"/>
      <c r="G329" s="46" t="n"/>
      <c r="H329" s="46" t="n"/>
      <c r="I329" s="51" t="n"/>
      <c r="J329" s="47" t="n"/>
      <c r="K329" s="47" t="n"/>
      <c r="L329" s="43">
        <f>IF($B329="","",ROUND((N($J329)+N($K329))*نسبة_القيمة_المضافة,2))</f>
        <v/>
      </c>
      <c r="M329" s="47" t="n"/>
      <c r="N329" s="47" t="n"/>
      <c r="O329" s="43">
        <f>IF($B329="","",N($J329)+N($K329)+N($L329)-N($M329)+N($N329))</f>
        <v/>
      </c>
      <c r="P329" s="47" t="n"/>
      <c r="Q329" s="43">
        <f>IF($B329="","",N($O329)-N($P329))</f>
        <v/>
      </c>
      <c r="R329" s="47" t="n"/>
      <c r="S329" s="47" t="n"/>
      <c r="T329" s="47" t="n"/>
      <c r="U329" s="43">
        <f>IF($B329="","",N($J329)-N($R329)-N($T329))</f>
        <v/>
      </c>
      <c r="V329" s="47" t="n"/>
    </row>
    <row r="330">
      <c r="A330" s="39">
        <f>IF($B330="","",COUNTA($B$4:$B330))</f>
        <v/>
      </c>
      <c r="B330" s="40" t="n"/>
      <c r="C330" s="41" t="n"/>
      <c r="D330" s="41" t="n"/>
      <c r="E330" s="41" t="n"/>
      <c r="F330" s="41" t="n"/>
      <c r="G330" s="41" t="n"/>
      <c r="H330" s="41" t="n"/>
      <c r="I330" s="50" t="n"/>
      <c r="J330" s="42" t="n"/>
      <c r="K330" s="42" t="n"/>
      <c r="L330" s="43">
        <f>IF($B330="","",ROUND((N($J330)+N($K330))*نسبة_القيمة_المضافة,2))</f>
        <v/>
      </c>
      <c r="M330" s="42" t="n"/>
      <c r="N330" s="42" t="n"/>
      <c r="O330" s="43">
        <f>IF($B330="","",N($J330)+N($K330)+N($L330)-N($M330)+N($N330))</f>
        <v/>
      </c>
      <c r="P330" s="42" t="n"/>
      <c r="Q330" s="43">
        <f>IF($B330="","",N($O330)-N($P330))</f>
        <v/>
      </c>
      <c r="R330" s="42" t="n"/>
      <c r="S330" s="42" t="n"/>
      <c r="T330" s="42" t="n"/>
      <c r="U330" s="43">
        <f>IF($B330="","",N($J330)-N($R330)-N($T330))</f>
        <v/>
      </c>
      <c r="V330" s="42" t="n"/>
    </row>
    <row r="331">
      <c r="A331" s="39">
        <f>IF($B331="","",COUNTA($B$4:$B331))</f>
        <v/>
      </c>
      <c r="B331" s="45" t="n"/>
      <c r="C331" s="46" t="n"/>
      <c r="D331" s="46" t="n"/>
      <c r="E331" s="46" t="n"/>
      <c r="F331" s="46" t="n"/>
      <c r="G331" s="46" t="n"/>
      <c r="H331" s="46" t="n"/>
      <c r="I331" s="51" t="n"/>
      <c r="J331" s="47" t="n"/>
      <c r="K331" s="47" t="n"/>
      <c r="L331" s="43">
        <f>IF($B331="","",ROUND((N($J331)+N($K331))*نسبة_القيمة_المضافة,2))</f>
        <v/>
      </c>
      <c r="M331" s="47" t="n"/>
      <c r="N331" s="47" t="n"/>
      <c r="O331" s="43">
        <f>IF($B331="","",N($J331)+N($K331)+N($L331)-N($M331)+N($N331))</f>
        <v/>
      </c>
      <c r="P331" s="47" t="n"/>
      <c r="Q331" s="43">
        <f>IF($B331="","",N($O331)-N($P331))</f>
        <v/>
      </c>
      <c r="R331" s="47" t="n"/>
      <c r="S331" s="47" t="n"/>
      <c r="T331" s="47" t="n"/>
      <c r="U331" s="43">
        <f>IF($B331="","",N($J331)-N($R331)-N($T331))</f>
        <v/>
      </c>
      <c r="V331" s="47" t="n"/>
    </row>
    <row r="332">
      <c r="A332" s="39">
        <f>IF($B332="","",COUNTA($B$4:$B332))</f>
        <v/>
      </c>
      <c r="B332" s="40" t="n"/>
      <c r="C332" s="41" t="n"/>
      <c r="D332" s="41" t="n"/>
      <c r="E332" s="41" t="n"/>
      <c r="F332" s="41" t="n"/>
      <c r="G332" s="41" t="n"/>
      <c r="H332" s="41" t="n"/>
      <c r="I332" s="50" t="n"/>
      <c r="J332" s="42" t="n"/>
      <c r="K332" s="42" t="n"/>
      <c r="L332" s="43">
        <f>IF($B332="","",ROUND((N($J332)+N($K332))*نسبة_القيمة_المضافة,2))</f>
        <v/>
      </c>
      <c r="M332" s="42" t="n"/>
      <c r="N332" s="42" t="n"/>
      <c r="O332" s="43">
        <f>IF($B332="","",N($J332)+N($K332)+N($L332)-N($M332)+N($N332))</f>
        <v/>
      </c>
      <c r="P332" s="42" t="n"/>
      <c r="Q332" s="43">
        <f>IF($B332="","",N($O332)-N($P332))</f>
        <v/>
      </c>
      <c r="R332" s="42" t="n"/>
      <c r="S332" s="42" t="n"/>
      <c r="T332" s="42" t="n"/>
      <c r="U332" s="43">
        <f>IF($B332="","",N($J332)-N($R332)-N($T332))</f>
        <v/>
      </c>
      <c r="V332" s="42" t="n"/>
    </row>
    <row r="333">
      <c r="A333" s="39">
        <f>IF($B333="","",COUNTA($B$4:$B333))</f>
        <v/>
      </c>
      <c r="B333" s="45" t="n"/>
      <c r="C333" s="46" t="n"/>
      <c r="D333" s="46" t="n"/>
      <c r="E333" s="46" t="n"/>
      <c r="F333" s="46" t="n"/>
      <c r="G333" s="46" t="n"/>
      <c r="H333" s="46" t="n"/>
      <c r="I333" s="51" t="n"/>
      <c r="J333" s="47" t="n"/>
      <c r="K333" s="47" t="n"/>
      <c r="L333" s="43">
        <f>IF($B333="","",ROUND((N($J333)+N($K333))*نسبة_القيمة_المضافة,2))</f>
        <v/>
      </c>
      <c r="M333" s="47" t="n"/>
      <c r="N333" s="47" t="n"/>
      <c r="O333" s="43">
        <f>IF($B333="","",N($J333)+N($K333)+N($L333)-N($M333)+N($N333))</f>
        <v/>
      </c>
      <c r="P333" s="47" t="n"/>
      <c r="Q333" s="43">
        <f>IF($B333="","",N($O333)-N($P333))</f>
        <v/>
      </c>
      <c r="R333" s="47" t="n"/>
      <c r="S333" s="47" t="n"/>
      <c r="T333" s="47" t="n"/>
      <c r="U333" s="43">
        <f>IF($B333="","",N($J333)-N($R333)-N($T333))</f>
        <v/>
      </c>
      <c r="V333" s="47" t="n"/>
    </row>
    <row r="334">
      <c r="A334" s="39">
        <f>IF($B334="","",COUNTA($B$4:$B334))</f>
        <v/>
      </c>
      <c r="B334" s="40" t="n"/>
      <c r="C334" s="41" t="n"/>
      <c r="D334" s="41" t="n"/>
      <c r="E334" s="41" t="n"/>
      <c r="F334" s="41" t="n"/>
      <c r="G334" s="41" t="n"/>
      <c r="H334" s="41" t="n"/>
      <c r="I334" s="50" t="n"/>
      <c r="J334" s="42" t="n"/>
      <c r="K334" s="42" t="n"/>
      <c r="L334" s="43">
        <f>IF($B334="","",ROUND((N($J334)+N($K334))*نسبة_القيمة_المضافة,2))</f>
        <v/>
      </c>
      <c r="M334" s="42" t="n"/>
      <c r="N334" s="42" t="n"/>
      <c r="O334" s="43">
        <f>IF($B334="","",N($J334)+N($K334)+N($L334)-N($M334)+N($N334))</f>
        <v/>
      </c>
      <c r="P334" s="42" t="n"/>
      <c r="Q334" s="43">
        <f>IF($B334="","",N($O334)-N($P334))</f>
        <v/>
      </c>
      <c r="R334" s="42" t="n"/>
      <c r="S334" s="42" t="n"/>
      <c r="T334" s="42" t="n"/>
      <c r="U334" s="43">
        <f>IF($B334="","",N($J334)-N($R334)-N($T334))</f>
        <v/>
      </c>
      <c r="V334" s="42" t="n"/>
    </row>
    <row r="335">
      <c r="A335" s="39">
        <f>IF($B335="","",COUNTA($B$4:$B335))</f>
        <v/>
      </c>
      <c r="B335" s="45" t="n"/>
      <c r="C335" s="46" t="n"/>
      <c r="D335" s="46" t="n"/>
      <c r="E335" s="46" t="n"/>
      <c r="F335" s="46" t="n"/>
      <c r="G335" s="46" t="n"/>
      <c r="H335" s="46" t="n"/>
      <c r="I335" s="51" t="n"/>
      <c r="J335" s="47" t="n"/>
      <c r="K335" s="47" t="n"/>
      <c r="L335" s="43">
        <f>IF($B335="","",ROUND((N($J335)+N($K335))*نسبة_القيمة_المضافة,2))</f>
        <v/>
      </c>
      <c r="M335" s="47" t="n"/>
      <c r="N335" s="47" t="n"/>
      <c r="O335" s="43">
        <f>IF($B335="","",N($J335)+N($K335)+N($L335)-N($M335)+N($N335))</f>
        <v/>
      </c>
      <c r="P335" s="47" t="n"/>
      <c r="Q335" s="43">
        <f>IF($B335="","",N($O335)-N($P335))</f>
        <v/>
      </c>
      <c r="R335" s="47" t="n"/>
      <c r="S335" s="47" t="n"/>
      <c r="T335" s="47" t="n"/>
      <c r="U335" s="43">
        <f>IF($B335="","",N($J335)-N($R335)-N($T335))</f>
        <v/>
      </c>
      <c r="V335" s="47" t="n"/>
    </row>
    <row r="336">
      <c r="A336" s="39">
        <f>IF($B336="","",COUNTA($B$4:$B336))</f>
        <v/>
      </c>
      <c r="B336" s="40" t="n"/>
      <c r="C336" s="41" t="n"/>
      <c r="D336" s="41" t="n"/>
      <c r="E336" s="41" t="n"/>
      <c r="F336" s="41" t="n"/>
      <c r="G336" s="41" t="n"/>
      <c r="H336" s="41" t="n"/>
      <c r="I336" s="50" t="n"/>
      <c r="J336" s="42" t="n"/>
      <c r="K336" s="42" t="n"/>
      <c r="L336" s="43">
        <f>IF($B336="","",ROUND((N($J336)+N($K336))*نسبة_القيمة_المضافة,2))</f>
        <v/>
      </c>
      <c r="M336" s="42" t="n"/>
      <c r="N336" s="42" t="n"/>
      <c r="O336" s="43">
        <f>IF($B336="","",N($J336)+N($K336)+N($L336)-N($M336)+N($N336))</f>
        <v/>
      </c>
      <c r="P336" s="42" t="n"/>
      <c r="Q336" s="43">
        <f>IF($B336="","",N($O336)-N($P336))</f>
        <v/>
      </c>
      <c r="R336" s="42" t="n"/>
      <c r="S336" s="42" t="n"/>
      <c r="T336" s="42" t="n"/>
      <c r="U336" s="43">
        <f>IF($B336="","",N($J336)-N($R336)-N($T336))</f>
        <v/>
      </c>
      <c r="V336" s="42" t="n"/>
    </row>
    <row r="337">
      <c r="A337" s="39">
        <f>IF($B337="","",COUNTA($B$4:$B337))</f>
        <v/>
      </c>
      <c r="B337" s="45" t="n"/>
      <c r="C337" s="46" t="n"/>
      <c r="D337" s="46" t="n"/>
      <c r="E337" s="46" t="n"/>
      <c r="F337" s="46" t="n"/>
      <c r="G337" s="46" t="n"/>
      <c r="H337" s="46" t="n"/>
      <c r="I337" s="51" t="n"/>
      <c r="J337" s="47" t="n"/>
      <c r="K337" s="47" t="n"/>
      <c r="L337" s="43">
        <f>IF($B337="","",ROUND((N($J337)+N($K337))*نسبة_القيمة_المضافة,2))</f>
        <v/>
      </c>
      <c r="M337" s="47" t="n"/>
      <c r="N337" s="47" t="n"/>
      <c r="O337" s="43">
        <f>IF($B337="","",N($J337)+N($K337)+N($L337)-N($M337)+N($N337))</f>
        <v/>
      </c>
      <c r="P337" s="47" t="n"/>
      <c r="Q337" s="43">
        <f>IF($B337="","",N($O337)-N($P337))</f>
        <v/>
      </c>
      <c r="R337" s="47" t="n"/>
      <c r="S337" s="47" t="n"/>
      <c r="T337" s="47" t="n"/>
      <c r="U337" s="43">
        <f>IF($B337="","",N($J337)-N($R337)-N($T337))</f>
        <v/>
      </c>
      <c r="V337" s="47" t="n"/>
    </row>
    <row r="338">
      <c r="A338" s="39">
        <f>IF($B338="","",COUNTA($B$4:$B338))</f>
        <v/>
      </c>
      <c r="B338" s="40" t="n"/>
      <c r="C338" s="41" t="n"/>
      <c r="D338" s="41" t="n"/>
      <c r="E338" s="41" t="n"/>
      <c r="F338" s="41" t="n"/>
      <c r="G338" s="41" t="n"/>
      <c r="H338" s="41" t="n"/>
      <c r="I338" s="50" t="n"/>
      <c r="J338" s="42" t="n"/>
      <c r="K338" s="42" t="n"/>
      <c r="L338" s="43">
        <f>IF($B338="","",ROUND((N($J338)+N($K338))*نسبة_القيمة_المضافة,2))</f>
        <v/>
      </c>
      <c r="M338" s="42" t="n"/>
      <c r="N338" s="42" t="n"/>
      <c r="O338" s="43">
        <f>IF($B338="","",N($J338)+N($K338)+N($L338)-N($M338)+N($N338))</f>
        <v/>
      </c>
      <c r="P338" s="42" t="n"/>
      <c r="Q338" s="43">
        <f>IF($B338="","",N($O338)-N($P338))</f>
        <v/>
      </c>
      <c r="R338" s="42" t="n"/>
      <c r="S338" s="42" t="n"/>
      <c r="T338" s="42" t="n"/>
      <c r="U338" s="43">
        <f>IF($B338="","",N($J338)-N($R338)-N($T338))</f>
        <v/>
      </c>
      <c r="V338" s="42" t="n"/>
    </row>
    <row r="339">
      <c r="A339" s="39">
        <f>IF($B339="","",COUNTA($B$4:$B339))</f>
        <v/>
      </c>
      <c r="B339" s="45" t="n"/>
      <c r="C339" s="46" t="n"/>
      <c r="D339" s="46" t="n"/>
      <c r="E339" s="46" t="n"/>
      <c r="F339" s="46" t="n"/>
      <c r="G339" s="46" t="n"/>
      <c r="H339" s="46" t="n"/>
      <c r="I339" s="51" t="n"/>
      <c r="J339" s="47" t="n"/>
      <c r="K339" s="47" t="n"/>
      <c r="L339" s="43">
        <f>IF($B339="","",ROUND((N($J339)+N($K339))*نسبة_القيمة_المضافة,2))</f>
        <v/>
      </c>
      <c r="M339" s="47" t="n"/>
      <c r="N339" s="47" t="n"/>
      <c r="O339" s="43">
        <f>IF($B339="","",N($J339)+N($K339)+N($L339)-N($M339)+N($N339))</f>
        <v/>
      </c>
      <c r="P339" s="47" t="n"/>
      <c r="Q339" s="43">
        <f>IF($B339="","",N($O339)-N($P339))</f>
        <v/>
      </c>
      <c r="R339" s="47" t="n"/>
      <c r="S339" s="47" t="n"/>
      <c r="T339" s="47" t="n"/>
      <c r="U339" s="43">
        <f>IF($B339="","",N($J339)-N($R339)-N($T339))</f>
        <v/>
      </c>
      <c r="V339" s="47" t="n"/>
    </row>
    <row r="340">
      <c r="A340" s="39">
        <f>IF($B340="","",COUNTA($B$4:$B340))</f>
        <v/>
      </c>
      <c r="B340" s="40" t="n"/>
      <c r="C340" s="41" t="n"/>
      <c r="D340" s="41" t="n"/>
      <c r="E340" s="41" t="n"/>
      <c r="F340" s="41" t="n"/>
      <c r="G340" s="41" t="n"/>
      <c r="H340" s="41" t="n"/>
      <c r="I340" s="50" t="n"/>
      <c r="J340" s="42" t="n"/>
      <c r="K340" s="42" t="n"/>
      <c r="L340" s="43">
        <f>IF($B340="","",ROUND((N($J340)+N($K340))*نسبة_القيمة_المضافة,2))</f>
        <v/>
      </c>
      <c r="M340" s="42" t="n"/>
      <c r="N340" s="42" t="n"/>
      <c r="O340" s="43">
        <f>IF($B340="","",N($J340)+N($K340)+N($L340)-N($M340)+N($N340))</f>
        <v/>
      </c>
      <c r="P340" s="42" t="n"/>
      <c r="Q340" s="43">
        <f>IF($B340="","",N($O340)-N($P340))</f>
        <v/>
      </c>
      <c r="R340" s="42" t="n"/>
      <c r="S340" s="42" t="n"/>
      <c r="T340" s="42" t="n"/>
      <c r="U340" s="43">
        <f>IF($B340="","",N($J340)-N($R340)-N($T340))</f>
        <v/>
      </c>
      <c r="V340" s="42" t="n"/>
    </row>
    <row r="341">
      <c r="A341" s="39">
        <f>IF($B341="","",COUNTA($B$4:$B341))</f>
        <v/>
      </c>
      <c r="B341" s="45" t="n"/>
      <c r="C341" s="46" t="n"/>
      <c r="D341" s="46" t="n"/>
      <c r="E341" s="46" t="n"/>
      <c r="F341" s="46" t="n"/>
      <c r="G341" s="46" t="n"/>
      <c r="H341" s="46" t="n"/>
      <c r="I341" s="51" t="n"/>
      <c r="J341" s="47" t="n"/>
      <c r="K341" s="47" t="n"/>
      <c r="L341" s="43">
        <f>IF($B341="","",ROUND((N($J341)+N($K341))*نسبة_القيمة_المضافة,2))</f>
        <v/>
      </c>
      <c r="M341" s="47" t="n"/>
      <c r="N341" s="47" t="n"/>
      <c r="O341" s="43">
        <f>IF($B341="","",N($J341)+N($K341)+N($L341)-N($M341)+N($N341))</f>
        <v/>
      </c>
      <c r="P341" s="47" t="n"/>
      <c r="Q341" s="43">
        <f>IF($B341="","",N($O341)-N($P341))</f>
        <v/>
      </c>
      <c r="R341" s="47" t="n"/>
      <c r="S341" s="47" t="n"/>
      <c r="T341" s="47" t="n"/>
      <c r="U341" s="43">
        <f>IF($B341="","",N($J341)-N($R341)-N($T341))</f>
        <v/>
      </c>
      <c r="V341" s="47" t="n"/>
    </row>
    <row r="342">
      <c r="A342" s="39">
        <f>IF($B342="","",COUNTA($B$4:$B342))</f>
        <v/>
      </c>
      <c r="B342" s="40" t="n"/>
      <c r="C342" s="41" t="n"/>
      <c r="D342" s="41" t="n"/>
      <c r="E342" s="41" t="n"/>
      <c r="F342" s="41" t="n"/>
      <c r="G342" s="41" t="n"/>
      <c r="H342" s="41" t="n"/>
      <c r="I342" s="50" t="n"/>
      <c r="J342" s="42" t="n"/>
      <c r="K342" s="42" t="n"/>
      <c r="L342" s="43">
        <f>IF($B342="","",ROUND((N($J342)+N($K342))*نسبة_القيمة_المضافة,2))</f>
        <v/>
      </c>
      <c r="M342" s="42" t="n"/>
      <c r="N342" s="42" t="n"/>
      <c r="O342" s="43">
        <f>IF($B342="","",N($J342)+N($K342)+N($L342)-N($M342)+N($N342))</f>
        <v/>
      </c>
      <c r="P342" s="42" t="n"/>
      <c r="Q342" s="43">
        <f>IF($B342="","",N($O342)-N($P342))</f>
        <v/>
      </c>
      <c r="R342" s="42" t="n"/>
      <c r="S342" s="42" t="n"/>
      <c r="T342" s="42" t="n"/>
      <c r="U342" s="43">
        <f>IF($B342="","",N($J342)-N($R342)-N($T342))</f>
        <v/>
      </c>
      <c r="V342" s="42" t="n"/>
    </row>
    <row r="343">
      <c r="A343" s="39">
        <f>IF($B343="","",COUNTA($B$4:$B343))</f>
        <v/>
      </c>
      <c r="B343" s="45" t="n"/>
      <c r="C343" s="46" t="n"/>
      <c r="D343" s="46" t="n"/>
      <c r="E343" s="46" t="n"/>
      <c r="F343" s="46" t="n"/>
      <c r="G343" s="46" t="n"/>
      <c r="H343" s="46" t="n"/>
      <c r="I343" s="51" t="n"/>
      <c r="J343" s="47" t="n"/>
      <c r="K343" s="47" t="n"/>
      <c r="L343" s="43">
        <f>IF($B343="","",ROUND((N($J343)+N($K343))*نسبة_القيمة_المضافة,2))</f>
        <v/>
      </c>
      <c r="M343" s="47" t="n"/>
      <c r="N343" s="47" t="n"/>
      <c r="O343" s="43">
        <f>IF($B343="","",N($J343)+N($K343)+N($L343)-N($M343)+N($N343))</f>
        <v/>
      </c>
      <c r="P343" s="47" t="n"/>
      <c r="Q343" s="43">
        <f>IF($B343="","",N($O343)-N($P343))</f>
        <v/>
      </c>
      <c r="R343" s="47" t="n"/>
      <c r="S343" s="47" t="n"/>
      <c r="T343" s="47" t="n"/>
      <c r="U343" s="43">
        <f>IF($B343="","",N($J343)-N($R343)-N($T343))</f>
        <v/>
      </c>
      <c r="V343" s="47" t="n"/>
    </row>
    <row r="344">
      <c r="A344" s="39">
        <f>IF($B344="","",COUNTA($B$4:$B344))</f>
        <v/>
      </c>
      <c r="B344" s="40" t="n"/>
      <c r="C344" s="41" t="n"/>
      <c r="D344" s="41" t="n"/>
      <c r="E344" s="41" t="n"/>
      <c r="F344" s="41" t="n"/>
      <c r="G344" s="41" t="n"/>
      <c r="H344" s="41" t="n"/>
      <c r="I344" s="50" t="n"/>
      <c r="J344" s="42" t="n"/>
      <c r="K344" s="42" t="n"/>
      <c r="L344" s="43">
        <f>IF($B344="","",ROUND((N($J344)+N($K344))*نسبة_القيمة_المضافة,2))</f>
        <v/>
      </c>
      <c r="M344" s="42" t="n"/>
      <c r="N344" s="42" t="n"/>
      <c r="O344" s="43">
        <f>IF($B344="","",N($J344)+N($K344)+N($L344)-N($M344)+N($N344))</f>
        <v/>
      </c>
      <c r="P344" s="42" t="n"/>
      <c r="Q344" s="43">
        <f>IF($B344="","",N($O344)-N($P344))</f>
        <v/>
      </c>
      <c r="R344" s="42" t="n"/>
      <c r="S344" s="42" t="n"/>
      <c r="T344" s="42" t="n"/>
      <c r="U344" s="43">
        <f>IF($B344="","",N($J344)-N($R344)-N($T344))</f>
        <v/>
      </c>
      <c r="V344" s="42" t="n"/>
    </row>
    <row r="345">
      <c r="A345" s="39">
        <f>IF($B345="","",COUNTA($B$4:$B345))</f>
        <v/>
      </c>
      <c r="B345" s="45" t="n"/>
      <c r="C345" s="46" t="n"/>
      <c r="D345" s="46" t="n"/>
      <c r="E345" s="46" t="n"/>
      <c r="F345" s="46" t="n"/>
      <c r="G345" s="46" t="n"/>
      <c r="H345" s="46" t="n"/>
      <c r="I345" s="51" t="n"/>
      <c r="J345" s="47" t="n"/>
      <c r="K345" s="47" t="n"/>
      <c r="L345" s="43">
        <f>IF($B345="","",ROUND((N($J345)+N($K345))*نسبة_القيمة_المضافة,2))</f>
        <v/>
      </c>
      <c r="M345" s="47" t="n"/>
      <c r="N345" s="47" t="n"/>
      <c r="O345" s="43">
        <f>IF($B345="","",N($J345)+N($K345)+N($L345)-N($M345)+N($N345))</f>
        <v/>
      </c>
      <c r="P345" s="47" t="n"/>
      <c r="Q345" s="43">
        <f>IF($B345="","",N($O345)-N($P345))</f>
        <v/>
      </c>
      <c r="R345" s="47" t="n"/>
      <c r="S345" s="47" t="n"/>
      <c r="T345" s="47" t="n"/>
      <c r="U345" s="43">
        <f>IF($B345="","",N($J345)-N($R345)-N($T345))</f>
        <v/>
      </c>
      <c r="V345" s="47" t="n"/>
    </row>
    <row r="346">
      <c r="A346" s="39">
        <f>IF($B346="","",COUNTA($B$4:$B346))</f>
        <v/>
      </c>
      <c r="B346" s="40" t="n"/>
      <c r="C346" s="41" t="n"/>
      <c r="D346" s="41" t="n"/>
      <c r="E346" s="41" t="n"/>
      <c r="F346" s="41" t="n"/>
      <c r="G346" s="41" t="n"/>
      <c r="H346" s="41" t="n"/>
      <c r="I346" s="50" t="n"/>
      <c r="J346" s="42" t="n"/>
      <c r="K346" s="42" t="n"/>
      <c r="L346" s="43">
        <f>IF($B346="","",ROUND((N($J346)+N($K346))*نسبة_القيمة_المضافة,2))</f>
        <v/>
      </c>
      <c r="M346" s="42" t="n"/>
      <c r="N346" s="42" t="n"/>
      <c r="O346" s="43">
        <f>IF($B346="","",N($J346)+N($K346)+N($L346)-N($M346)+N($N346))</f>
        <v/>
      </c>
      <c r="P346" s="42" t="n"/>
      <c r="Q346" s="43">
        <f>IF($B346="","",N($O346)-N($P346))</f>
        <v/>
      </c>
      <c r="R346" s="42" t="n"/>
      <c r="S346" s="42" t="n"/>
      <c r="T346" s="42" t="n"/>
      <c r="U346" s="43">
        <f>IF($B346="","",N($J346)-N($R346)-N($T346))</f>
        <v/>
      </c>
      <c r="V346" s="42" t="n"/>
    </row>
    <row r="347">
      <c r="A347" s="39">
        <f>IF($B347="","",COUNTA($B$4:$B347))</f>
        <v/>
      </c>
      <c r="B347" s="45" t="n"/>
      <c r="C347" s="46" t="n"/>
      <c r="D347" s="46" t="n"/>
      <c r="E347" s="46" t="n"/>
      <c r="F347" s="46" t="n"/>
      <c r="G347" s="46" t="n"/>
      <c r="H347" s="46" t="n"/>
      <c r="I347" s="51" t="n"/>
      <c r="J347" s="47" t="n"/>
      <c r="K347" s="47" t="n"/>
      <c r="L347" s="43">
        <f>IF($B347="","",ROUND((N($J347)+N($K347))*نسبة_القيمة_المضافة,2))</f>
        <v/>
      </c>
      <c r="M347" s="47" t="n"/>
      <c r="N347" s="47" t="n"/>
      <c r="O347" s="43">
        <f>IF($B347="","",N($J347)+N($K347)+N($L347)-N($M347)+N($N347))</f>
        <v/>
      </c>
      <c r="P347" s="47" t="n"/>
      <c r="Q347" s="43">
        <f>IF($B347="","",N($O347)-N($P347))</f>
        <v/>
      </c>
      <c r="R347" s="47" t="n"/>
      <c r="S347" s="47" t="n"/>
      <c r="T347" s="47" t="n"/>
      <c r="U347" s="43">
        <f>IF($B347="","",N($J347)-N($R347)-N($T347))</f>
        <v/>
      </c>
      <c r="V347" s="47" t="n"/>
    </row>
    <row r="348">
      <c r="A348" s="39">
        <f>IF($B348="","",COUNTA($B$4:$B348))</f>
        <v/>
      </c>
      <c r="B348" s="40" t="n"/>
      <c r="C348" s="41" t="n"/>
      <c r="D348" s="41" t="n"/>
      <c r="E348" s="41" t="n"/>
      <c r="F348" s="41" t="n"/>
      <c r="G348" s="41" t="n"/>
      <c r="H348" s="41" t="n"/>
      <c r="I348" s="50" t="n"/>
      <c r="J348" s="42" t="n"/>
      <c r="K348" s="42" t="n"/>
      <c r="L348" s="43">
        <f>IF($B348="","",ROUND((N($J348)+N($K348))*نسبة_القيمة_المضافة,2))</f>
        <v/>
      </c>
      <c r="M348" s="42" t="n"/>
      <c r="N348" s="42" t="n"/>
      <c r="O348" s="43">
        <f>IF($B348="","",N($J348)+N($K348)+N($L348)-N($M348)+N($N348))</f>
        <v/>
      </c>
      <c r="P348" s="42" t="n"/>
      <c r="Q348" s="43">
        <f>IF($B348="","",N($O348)-N($P348))</f>
        <v/>
      </c>
      <c r="R348" s="42" t="n"/>
      <c r="S348" s="42" t="n"/>
      <c r="T348" s="42" t="n"/>
      <c r="U348" s="43">
        <f>IF($B348="","",N($J348)-N($R348)-N($T348))</f>
        <v/>
      </c>
      <c r="V348" s="42" t="n"/>
    </row>
    <row r="349">
      <c r="A349" s="39">
        <f>IF($B349="","",COUNTA($B$4:$B349))</f>
        <v/>
      </c>
      <c r="B349" s="45" t="n"/>
      <c r="C349" s="46" t="n"/>
      <c r="D349" s="46" t="n"/>
      <c r="E349" s="46" t="n"/>
      <c r="F349" s="46" t="n"/>
      <c r="G349" s="46" t="n"/>
      <c r="H349" s="46" t="n"/>
      <c r="I349" s="51" t="n"/>
      <c r="J349" s="47" t="n"/>
      <c r="K349" s="47" t="n"/>
      <c r="L349" s="43">
        <f>IF($B349="","",ROUND((N($J349)+N($K349))*نسبة_القيمة_المضافة,2))</f>
        <v/>
      </c>
      <c r="M349" s="47" t="n"/>
      <c r="N349" s="47" t="n"/>
      <c r="O349" s="43">
        <f>IF($B349="","",N($J349)+N($K349)+N($L349)-N($M349)+N($N349))</f>
        <v/>
      </c>
      <c r="P349" s="47" t="n"/>
      <c r="Q349" s="43">
        <f>IF($B349="","",N($O349)-N($P349))</f>
        <v/>
      </c>
      <c r="R349" s="47" t="n"/>
      <c r="S349" s="47" t="n"/>
      <c r="T349" s="47" t="n"/>
      <c r="U349" s="43">
        <f>IF($B349="","",N($J349)-N($R349)-N($T349))</f>
        <v/>
      </c>
      <c r="V349" s="47" t="n"/>
    </row>
    <row r="350">
      <c r="A350" s="39">
        <f>IF($B350="","",COUNTA($B$4:$B350))</f>
        <v/>
      </c>
      <c r="B350" s="40" t="n"/>
      <c r="C350" s="41" t="n"/>
      <c r="D350" s="41" t="n"/>
      <c r="E350" s="41" t="n"/>
      <c r="F350" s="41" t="n"/>
      <c r="G350" s="41" t="n"/>
      <c r="H350" s="41" t="n"/>
      <c r="I350" s="50" t="n"/>
      <c r="J350" s="42" t="n"/>
      <c r="K350" s="42" t="n"/>
      <c r="L350" s="43">
        <f>IF($B350="","",ROUND((N($J350)+N($K350))*نسبة_القيمة_المضافة,2))</f>
        <v/>
      </c>
      <c r="M350" s="42" t="n"/>
      <c r="N350" s="42" t="n"/>
      <c r="O350" s="43">
        <f>IF($B350="","",N($J350)+N($K350)+N($L350)-N($M350)+N($N350))</f>
        <v/>
      </c>
      <c r="P350" s="42" t="n"/>
      <c r="Q350" s="43">
        <f>IF($B350="","",N($O350)-N($P350))</f>
        <v/>
      </c>
      <c r="R350" s="42" t="n"/>
      <c r="S350" s="42" t="n"/>
      <c r="T350" s="42" t="n"/>
      <c r="U350" s="43">
        <f>IF($B350="","",N($J350)-N($R350)-N($T350))</f>
        <v/>
      </c>
      <c r="V350" s="42" t="n"/>
    </row>
    <row r="351">
      <c r="A351" s="39">
        <f>IF($B351="","",COUNTA($B$4:$B351))</f>
        <v/>
      </c>
      <c r="B351" s="45" t="n"/>
      <c r="C351" s="46" t="n"/>
      <c r="D351" s="46" t="n"/>
      <c r="E351" s="46" t="n"/>
      <c r="F351" s="46" t="n"/>
      <c r="G351" s="46" t="n"/>
      <c r="H351" s="46" t="n"/>
      <c r="I351" s="51" t="n"/>
      <c r="J351" s="47" t="n"/>
      <c r="K351" s="47" t="n"/>
      <c r="L351" s="43">
        <f>IF($B351="","",ROUND((N($J351)+N($K351))*نسبة_القيمة_المضافة,2))</f>
        <v/>
      </c>
      <c r="M351" s="47" t="n"/>
      <c r="N351" s="47" t="n"/>
      <c r="O351" s="43">
        <f>IF($B351="","",N($J351)+N($K351)+N($L351)-N($M351)+N($N351))</f>
        <v/>
      </c>
      <c r="P351" s="47" t="n"/>
      <c r="Q351" s="43">
        <f>IF($B351="","",N($O351)-N($P351))</f>
        <v/>
      </c>
      <c r="R351" s="47" t="n"/>
      <c r="S351" s="47" t="n"/>
      <c r="T351" s="47" t="n"/>
      <c r="U351" s="43">
        <f>IF($B351="","",N($J351)-N($R351)-N($T351))</f>
        <v/>
      </c>
      <c r="V351" s="47" t="n"/>
    </row>
    <row r="352">
      <c r="A352" s="39">
        <f>IF($B352="","",COUNTA($B$4:$B352))</f>
        <v/>
      </c>
      <c r="B352" s="40" t="n"/>
      <c r="C352" s="41" t="n"/>
      <c r="D352" s="41" t="n"/>
      <c r="E352" s="41" t="n"/>
      <c r="F352" s="41" t="n"/>
      <c r="G352" s="41" t="n"/>
      <c r="H352" s="41" t="n"/>
      <c r="I352" s="50" t="n"/>
      <c r="J352" s="42" t="n"/>
      <c r="K352" s="42" t="n"/>
      <c r="L352" s="43">
        <f>IF($B352="","",ROUND((N($J352)+N($K352))*نسبة_القيمة_المضافة,2))</f>
        <v/>
      </c>
      <c r="M352" s="42" t="n"/>
      <c r="N352" s="42" t="n"/>
      <c r="O352" s="43">
        <f>IF($B352="","",N($J352)+N($K352)+N($L352)-N($M352)+N($N352))</f>
        <v/>
      </c>
      <c r="P352" s="42" t="n"/>
      <c r="Q352" s="43">
        <f>IF($B352="","",N($O352)-N($P352))</f>
        <v/>
      </c>
      <c r="R352" s="42" t="n"/>
      <c r="S352" s="42" t="n"/>
      <c r="T352" s="42" t="n"/>
      <c r="U352" s="43">
        <f>IF($B352="","",N($J352)-N($R352)-N($T352))</f>
        <v/>
      </c>
      <c r="V352" s="42" t="n"/>
    </row>
    <row r="353">
      <c r="A353" s="39">
        <f>IF($B353="","",COUNTA($B$4:$B353))</f>
        <v/>
      </c>
      <c r="B353" s="45" t="n"/>
      <c r="C353" s="46" t="n"/>
      <c r="D353" s="46" t="n"/>
      <c r="E353" s="46" t="n"/>
      <c r="F353" s="46" t="n"/>
      <c r="G353" s="46" t="n"/>
      <c r="H353" s="46" t="n"/>
      <c r="I353" s="51" t="n"/>
      <c r="J353" s="47" t="n"/>
      <c r="K353" s="47" t="n"/>
      <c r="L353" s="43">
        <f>IF($B353="","",ROUND((N($J353)+N($K353))*نسبة_القيمة_المضافة,2))</f>
        <v/>
      </c>
      <c r="M353" s="47" t="n"/>
      <c r="N353" s="47" t="n"/>
      <c r="O353" s="43">
        <f>IF($B353="","",N($J353)+N($K353)+N($L353)-N($M353)+N($N353))</f>
        <v/>
      </c>
      <c r="P353" s="47" t="n"/>
      <c r="Q353" s="43">
        <f>IF($B353="","",N($O353)-N($P353))</f>
        <v/>
      </c>
      <c r="R353" s="47" t="n"/>
      <c r="S353" s="47" t="n"/>
      <c r="T353" s="47" t="n"/>
      <c r="U353" s="43">
        <f>IF($B353="","",N($J353)-N($R353)-N($T353))</f>
        <v/>
      </c>
      <c r="V353" s="47" t="n"/>
    </row>
    <row r="354">
      <c r="A354" s="39">
        <f>IF($B354="","",COUNTA($B$4:$B354))</f>
        <v/>
      </c>
      <c r="B354" s="40" t="n"/>
      <c r="C354" s="41" t="n"/>
      <c r="D354" s="41" t="n"/>
      <c r="E354" s="41" t="n"/>
      <c r="F354" s="41" t="n"/>
      <c r="G354" s="41" t="n"/>
      <c r="H354" s="41" t="n"/>
      <c r="I354" s="50" t="n"/>
      <c r="J354" s="42" t="n"/>
      <c r="K354" s="42" t="n"/>
      <c r="L354" s="43">
        <f>IF($B354="","",ROUND((N($J354)+N($K354))*نسبة_القيمة_المضافة,2))</f>
        <v/>
      </c>
      <c r="M354" s="42" t="n"/>
      <c r="N354" s="42" t="n"/>
      <c r="O354" s="43">
        <f>IF($B354="","",N($J354)+N($K354)+N($L354)-N($M354)+N($N354))</f>
        <v/>
      </c>
      <c r="P354" s="42" t="n"/>
      <c r="Q354" s="43">
        <f>IF($B354="","",N($O354)-N($P354))</f>
        <v/>
      </c>
      <c r="R354" s="42" t="n"/>
      <c r="S354" s="42" t="n"/>
      <c r="T354" s="42" t="n"/>
      <c r="U354" s="43">
        <f>IF($B354="","",N($J354)-N($R354)-N($T354))</f>
        <v/>
      </c>
      <c r="V354" s="42" t="n"/>
    </row>
    <row r="355">
      <c r="A355" s="39">
        <f>IF($B355="","",COUNTA($B$4:$B355))</f>
        <v/>
      </c>
      <c r="B355" s="45" t="n"/>
      <c r="C355" s="46" t="n"/>
      <c r="D355" s="46" t="n"/>
      <c r="E355" s="46" t="n"/>
      <c r="F355" s="46" t="n"/>
      <c r="G355" s="46" t="n"/>
      <c r="H355" s="46" t="n"/>
      <c r="I355" s="51" t="n"/>
      <c r="J355" s="47" t="n"/>
      <c r="K355" s="47" t="n"/>
      <c r="L355" s="43">
        <f>IF($B355="","",ROUND((N($J355)+N($K355))*نسبة_القيمة_المضافة,2))</f>
        <v/>
      </c>
      <c r="M355" s="47" t="n"/>
      <c r="N355" s="47" t="n"/>
      <c r="O355" s="43">
        <f>IF($B355="","",N($J355)+N($K355)+N($L355)-N($M355)+N($N355))</f>
        <v/>
      </c>
      <c r="P355" s="47" t="n"/>
      <c r="Q355" s="43">
        <f>IF($B355="","",N($O355)-N($P355))</f>
        <v/>
      </c>
      <c r="R355" s="47" t="n"/>
      <c r="S355" s="47" t="n"/>
      <c r="T355" s="47" t="n"/>
      <c r="U355" s="43">
        <f>IF($B355="","",N($J355)-N($R355)-N($T355))</f>
        <v/>
      </c>
      <c r="V355" s="47" t="n"/>
    </row>
    <row r="356">
      <c r="A356" s="39">
        <f>IF($B356="","",COUNTA($B$4:$B356))</f>
        <v/>
      </c>
      <c r="B356" s="40" t="n"/>
      <c r="C356" s="41" t="n"/>
      <c r="D356" s="41" t="n"/>
      <c r="E356" s="41" t="n"/>
      <c r="F356" s="41" t="n"/>
      <c r="G356" s="41" t="n"/>
      <c r="H356" s="41" t="n"/>
      <c r="I356" s="50" t="n"/>
      <c r="J356" s="42" t="n"/>
      <c r="K356" s="42" t="n"/>
      <c r="L356" s="43">
        <f>IF($B356="","",ROUND((N($J356)+N($K356))*نسبة_القيمة_المضافة,2))</f>
        <v/>
      </c>
      <c r="M356" s="42" t="n"/>
      <c r="N356" s="42" t="n"/>
      <c r="O356" s="43">
        <f>IF($B356="","",N($J356)+N($K356)+N($L356)-N($M356)+N($N356))</f>
        <v/>
      </c>
      <c r="P356" s="42" t="n"/>
      <c r="Q356" s="43">
        <f>IF($B356="","",N($O356)-N($P356))</f>
        <v/>
      </c>
      <c r="R356" s="42" t="n"/>
      <c r="S356" s="42" t="n"/>
      <c r="T356" s="42" t="n"/>
      <c r="U356" s="43">
        <f>IF($B356="","",N($J356)-N($R356)-N($T356))</f>
        <v/>
      </c>
      <c r="V356" s="42" t="n"/>
    </row>
    <row r="357">
      <c r="A357" s="39">
        <f>IF($B357="","",COUNTA($B$4:$B357))</f>
        <v/>
      </c>
      <c r="B357" s="45" t="n"/>
      <c r="C357" s="46" t="n"/>
      <c r="D357" s="46" t="n"/>
      <c r="E357" s="46" t="n"/>
      <c r="F357" s="46" t="n"/>
      <c r="G357" s="46" t="n"/>
      <c r="H357" s="46" t="n"/>
      <c r="I357" s="51" t="n"/>
      <c r="J357" s="47" t="n"/>
      <c r="K357" s="47" t="n"/>
      <c r="L357" s="43">
        <f>IF($B357="","",ROUND((N($J357)+N($K357))*نسبة_القيمة_المضافة,2))</f>
        <v/>
      </c>
      <c r="M357" s="47" t="n"/>
      <c r="N357" s="47" t="n"/>
      <c r="O357" s="43">
        <f>IF($B357="","",N($J357)+N($K357)+N($L357)-N($M357)+N($N357))</f>
        <v/>
      </c>
      <c r="P357" s="47" t="n"/>
      <c r="Q357" s="43">
        <f>IF($B357="","",N($O357)-N($P357))</f>
        <v/>
      </c>
      <c r="R357" s="47" t="n"/>
      <c r="S357" s="47" t="n"/>
      <c r="T357" s="47" t="n"/>
      <c r="U357" s="43">
        <f>IF($B357="","",N($J357)-N($R357)-N($T357))</f>
        <v/>
      </c>
      <c r="V357" s="47" t="n"/>
    </row>
    <row r="358">
      <c r="A358" s="39">
        <f>IF($B358="","",COUNTA($B$4:$B358))</f>
        <v/>
      </c>
      <c r="B358" s="40" t="n"/>
      <c r="C358" s="41" t="n"/>
      <c r="D358" s="41" t="n"/>
      <c r="E358" s="41" t="n"/>
      <c r="F358" s="41" t="n"/>
      <c r="G358" s="41" t="n"/>
      <c r="H358" s="41" t="n"/>
      <c r="I358" s="50" t="n"/>
      <c r="J358" s="42" t="n"/>
      <c r="K358" s="42" t="n"/>
      <c r="L358" s="43">
        <f>IF($B358="","",ROUND((N($J358)+N($K358))*نسبة_القيمة_المضافة,2))</f>
        <v/>
      </c>
      <c r="M358" s="42" t="n"/>
      <c r="N358" s="42" t="n"/>
      <c r="O358" s="43">
        <f>IF($B358="","",N($J358)+N($K358)+N($L358)-N($M358)+N($N358))</f>
        <v/>
      </c>
      <c r="P358" s="42" t="n"/>
      <c r="Q358" s="43">
        <f>IF($B358="","",N($O358)-N($P358))</f>
        <v/>
      </c>
      <c r="R358" s="42" t="n"/>
      <c r="S358" s="42" t="n"/>
      <c r="T358" s="42" t="n"/>
      <c r="U358" s="43">
        <f>IF($B358="","",N($J358)-N($R358)-N($T358))</f>
        <v/>
      </c>
      <c r="V358" s="42" t="n"/>
    </row>
    <row r="359">
      <c r="A359" s="39">
        <f>IF($B359="","",COUNTA($B$4:$B359))</f>
        <v/>
      </c>
      <c r="B359" s="45" t="n"/>
      <c r="C359" s="46" t="n"/>
      <c r="D359" s="46" t="n"/>
      <c r="E359" s="46" t="n"/>
      <c r="F359" s="46" t="n"/>
      <c r="G359" s="46" t="n"/>
      <c r="H359" s="46" t="n"/>
      <c r="I359" s="51" t="n"/>
      <c r="J359" s="47" t="n"/>
      <c r="K359" s="47" t="n"/>
      <c r="L359" s="43">
        <f>IF($B359="","",ROUND((N($J359)+N($K359))*نسبة_القيمة_المضافة,2))</f>
        <v/>
      </c>
      <c r="M359" s="47" t="n"/>
      <c r="N359" s="47" t="n"/>
      <c r="O359" s="43">
        <f>IF($B359="","",N($J359)+N($K359)+N($L359)-N($M359)+N($N359))</f>
        <v/>
      </c>
      <c r="P359" s="47" t="n"/>
      <c r="Q359" s="43">
        <f>IF($B359="","",N($O359)-N($P359))</f>
        <v/>
      </c>
      <c r="R359" s="47" t="n"/>
      <c r="S359" s="47" t="n"/>
      <c r="T359" s="47" t="n"/>
      <c r="U359" s="43">
        <f>IF($B359="","",N($J359)-N($R359)-N($T359))</f>
        <v/>
      </c>
      <c r="V359" s="47" t="n"/>
    </row>
    <row r="360">
      <c r="A360" s="39">
        <f>IF($B360="","",COUNTA($B$4:$B360))</f>
        <v/>
      </c>
      <c r="B360" s="40" t="n"/>
      <c r="C360" s="41" t="n"/>
      <c r="D360" s="41" t="n"/>
      <c r="E360" s="41" t="n"/>
      <c r="F360" s="41" t="n"/>
      <c r="G360" s="41" t="n"/>
      <c r="H360" s="41" t="n"/>
      <c r="I360" s="50" t="n"/>
      <c r="J360" s="42" t="n"/>
      <c r="K360" s="42" t="n"/>
      <c r="L360" s="43">
        <f>IF($B360="","",ROUND((N($J360)+N($K360))*نسبة_القيمة_المضافة,2))</f>
        <v/>
      </c>
      <c r="M360" s="42" t="n"/>
      <c r="N360" s="42" t="n"/>
      <c r="O360" s="43">
        <f>IF($B360="","",N($J360)+N($K360)+N($L360)-N($M360)+N($N360))</f>
        <v/>
      </c>
      <c r="P360" s="42" t="n"/>
      <c r="Q360" s="43">
        <f>IF($B360="","",N($O360)-N($P360))</f>
        <v/>
      </c>
      <c r="R360" s="42" t="n"/>
      <c r="S360" s="42" t="n"/>
      <c r="T360" s="42" t="n"/>
      <c r="U360" s="43">
        <f>IF($B360="","",N($J360)-N($R360)-N($T360))</f>
        <v/>
      </c>
      <c r="V360" s="42" t="n"/>
    </row>
    <row r="361">
      <c r="A361" s="39">
        <f>IF($B361="","",COUNTA($B$4:$B361))</f>
        <v/>
      </c>
      <c r="B361" s="45" t="n"/>
      <c r="C361" s="46" t="n"/>
      <c r="D361" s="46" t="n"/>
      <c r="E361" s="46" t="n"/>
      <c r="F361" s="46" t="n"/>
      <c r="G361" s="46" t="n"/>
      <c r="H361" s="46" t="n"/>
      <c r="I361" s="51" t="n"/>
      <c r="J361" s="47" t="n"/>
      <c r="K361" s="47" t="n"/>
      <c r="L361" s="43">
        <f>IF($B361="","",ROUND((N($J361)+N($K361))*نسبة_القيمة_المضافة,2))</f>
        <v/>
      </c>
      <c r="M361" s="47" t="n"/>
      <c r="N361" s="47" t="n"/>
      <c r="O361" s="43">
        <f>IF($B361="","",N($J361)+N($K361)+N($L361)-N($M361)+N($N361))</f>
        <v/>
      </c>
      <c r="P361" s="47" t="n"/>
      <c r="Q361" s="43">
        <f>IF($B361="","",N($O361)-N($P361))</f>
        <v/>
      </c>
      <c r="R361" s="47" t="n"/>
      <c r="S361" s="47" t="n"/>
      <c r="T361" s="47" t="n"/>
      <c r="U361" s="43">
        <f>IF($B361="","",N($J361)-N($R361)-N($T361))</f>
        <v/>
      </c>
      <c r="V361" s="47" t="n"/>
    </row>
    <row r="362">
      <c r="A362" s="39">
        <f>IF($B362="","",COUNTA($B$4:$B362))</f>
        <v/>
      </c>
      <c r="B362" s="40" t="n"/>
      <c r="C362" s="41" t="n"/>
      <c r="D362" s="41" t="n"/>
      <c r="E362" s="41" t="n"/>
      <c r="F362" s="41" t="n"/>
      <c r="G362" s="41" t="n"/>
      <c r="H362" s="41" t="n"/>
      <c r="I362" s="50" t="n"/>
      <c r="J362" s="42" t="n"/>
      <c r="K362" s="42" t="n"/>
      <c r="L362" s="43">
        <f>IF($B362="","",ROUND((N($J362)+N($K362))*نسبة_القيمة_المضافة,2))</f>
        <v/>
      </c>
      <c r="M362" s="42" t="n"/>
      <c r="N362" s="42" t="n"/>
      <c r="O362" s="43">
        <f>IF($B362="","",N($J362)+N($K362)+N($L362)-N($M362)+N($N362))</f>
        <v/>
      </c>
      <c r="P362" s="42" t="n"/>
      <c r="Q362" s="43">
        <f>IF($B362="","",N($O362)-N($P362))</f>
        <v/>
      </c>
      <c r="R362" s="42" t="n"/>
      <c r="S362" s="42" t="n"/>
      <c r="T362" s="42" t="n"/>
      <c r="U362" s="43">
        <f>IF($B362="","",N($J362)-N($R362)-N($T362))</f>
        <v/>
      </c>
      <c r="V362" s="42" t="n"/>
    </row>
    <row r="363">
      <c r="A363" s="39">
        <f>IF($B363="","",COUNTA($B$4:$B363))</f>
        <v/>
      </c>
      <c r="B363" s="45" t="n"/>
      <c r="C363" s="46" t="n"/>
      <c r="D363" s="46" t="n"/>
      <c r="E363" s="46" t="n"/>
      <c r="F363" s="46" t="n"/>
      <c r="G363" s="46" t="n"/>
      <c r="H363" s="46" t="n"/>
      <c r="I363" s="51" t="n"/>
      <c r="J363" s="47" t="n"/>
      <c r="K363" s="47" t="n"/>
      <c r="L363" s="43">
        <f>IF($B363="","",ROUND((N($J363)+N($K363))*نسبة_القيمة_المضافة,2))</f>
        <v/>
      </c>
      <c r="M363" s="47" t="n"/>
      <c r="N363" s="47" t="n"/>
      <c r="O363" s="43">
        <f>IF($B363="","",N($J363)+N($K363)+N($L363)-N($M363)+N($N363))</f>
        <v/>
      </c>
      <c r="P363" s="47" t="n"/>
      <c r="Q363" s="43">
        <f>IF($B363="","",N($O363)-N($P363))</f>
        <v/>
      </c>
      <c r="R363" s="47" t="n"/>
      <c r="S363" s="47" t="n"/>
      <c r="T363" s="47" t="n"/>
      <c r="U363" s="43">
        <f>IF($B363="","",N($J363)-N($R363)-N($T363))</f>
        <v/>
      </c>
      <c r="V363" s="47" t="n"/>
    </row>
    <row r="364">
      <c r="A364" s="39">
        <f>IF($B364="","",COUNTA($B$4:$B364))</f>
        <v/>
      </c>
      <c r="B364" s="40" t="n"/>
      <c r="C364" s="41" t="n"/>
      <c r="D364" s="41" t="n"/>
      <c r="E364" s="41" t="n"/>
      <c r="F364" s="41" t="n"/>
      <c r="G364" s="41" t="n"/>
      <c r="H364" s="41" t="n"/>
      <c r="I364" s="50" t="n"/>
      <c r="J364" s="42" t="n"/>
      <c r="K364" s="42" t="n"/>
      <c r="L364" s="43">
        <f>IF($B364="","",ROUND((N($J364)+N($K364))*نسبة_القيمة_المضافة,2))</f>
        <v/>
      </c>
      <c r="M364" s="42" t="n"/>
      <c r="N364" s="42" t="n"/>
      <c r="O364" s="43">
        <f>IF($B364="","",N($J364)+N($K364)+N($L364)-N($M364)+N($N364))</f>
        <v/>
      </c>
      <c r="P364" s="42" t="n"/>
      <c r="Q364" s="43">
        <f>IF($B364="","",N($O364)-N($P364))</f>
        <v/>
      </c>
      <c r="R364" s="42" t="n"/>
      <c r="S364" s="42" t="n"/>
      <c r="T364" s="42" t="n"/>
      <c r="U364" s="43">
        <f>IF($B364="","",N($J364)-N($R364)-N($T364))</f>
        <v/>
      </c>
      <c r="V364" s="42" t="n"/>
    </row>
    <row r="365">
      <c r="A365" s="39">
        <f>IF($B365="","",COUNTA($B$4:$B365))</f>
        <v/>
      </c>
      <c r="B365" s="45" t="n"/>
      <c r="C365" s="46" t="n"/>
      <c r="D365" s="46" t="n"/>
      <c r="E365" s="46" t="n"/>
      <c r="F365" s="46" t="n"/>
      <c r="G365" s="46" t="n"/>
      <c r="H365" s="46" t="n"/>
      <c r="I365" s="51" t="n"/>
      <c r="J365" s="47" t="n"/>
      <c r="K365" s="47" t="n"/>
      <c r="L365" s="43">
        <f>IF($B365="","",ROUND((N($J365)+N($K365))*نسبة_القيمة_المضافة,2))</f>
        <v/>
      </c>
      <c r="M365" s="47" t="n"/>
      <c r="N365" s="47" t="n"/>
      <c r="O365" s="43">
        <f>IF($B365="","",N($J365)+N($K365)+N($L365)-N($M365)+N($N365))</f>
        <v/>
      </c>
      <c r="P365" s="47" t="n"/>
      <c r="Q365" s="43">
        <f>IF($B365="","",N($O365)-N($P365))</f>
        <v/>
      </c>
      <c r="R365" s="47" t="n"/>
      <c r="S365" s="47" t="n"/>
      <c r="T365" s="47" t="n"/>
      <c r="U365" s="43">
        <f>IF($B365="","",N($J365)-N($R365)-N($T365))</f>
        <v/>
      </c>
      <c r="V365" s="47" t="n"/>
    </row>
    <row r="366">
      <c r="A366" s="39">
        <f>IF($B366="","",COUNTA($B$4:$B366))</f>
        <v/>
      </c>
      <c r="B366" s="40" t="n"/>
      <c r="C366" s="41" t="n"/>
      <c r="D366" s="41" t="n"/>
      <c r="E366" s="41" t="n"/>
      <c r="F366" s="41" t="n"/>
      <c r="G366" s="41" t="n"/>
      <c r="H366" s="41" t="n"/>
      <c r="I366" s="50" t="n"/>
      <c r="J366" s="42" t="n"/>
      <c r="K366" s="42" t="n"/>
      <c r="L366" s="43">
        <f>IF($B366="","",ROUND((N($J366)+N($K366))*نسبة_القيمة_المضافة,2))</f>
        <v/>
      </c>
      <c r="M366" s="42" t="n"/>
      <c r="N366" s="42" t="n"/>
      <c r="O366" s="43">
        <f>IF($B366="","",N($J366)+N($K366)+N($L366)-N($M366)+N($N366))</f>
        <v/>
      </c>
      <c r="P366" s="42" t="n"/>
      <c r="Q366" s="43">
        <f>IF($B366="","",N($O366)-N($P366))</f>
        <v/>
      </c>
      <c r="R366" s="42" t="n"/>
      <c r="S366" s="42" t="n"/>
      <c r="T366" s="42" t="n"/>
      <c r="U366" s="43">
        <f>IF($B366="","",N($J366)-N($R366)-N($T366))</f>
        <v/>
      </c>
      <c r="V366" s="42" t="n"/>
    </row>
    <row r="367">
      <c r="A367" s="39">
        <f>IF($B367="","",COUNTA($B$4:$B367))</f>
        <v/>
      </c>
      <c r="B367" s="45" t="n"/>
      <c r="C367" s="46" t="n"/>
      <c r="D367" s="46" t="n"/>
      <c r="E367" s="46" t="n"/>
      <c r="F367" s="46" t="n"/>
      <c r="G367" s="46" t="n"/>
      <c r="H367" s="46" t="n"/>
      <c r="I367" s="51" t="n"/>
      <c r="J367" s="47" t="n"/>
      <c r="K367" s="47" t="n"/>
      <c r="L367" s="43">
        <f>IF($B367="","",ROUND((N($J367)+N($K367))*نسبة_القيمة_المضافة,2))</f>
        <v/>
      </c>
      <c r="M367" s="47" t="n"/>
      <c r="N367" s="47" t="n"/>
      <c r="O367" s="43">
        <f>IF($B367="","",N($J367)+N($K367)+N($L367)-N($M367)+N($N367))</f>
        <v/>
      </c>
      <c r="P367" s="47" t="n"/>
      <c r="Q367" s="43">
        <f>IF($B367="","",N($O367)-N($P367))</f>
        <v/>
      </c>
      <c r="R367" s="47" t="n"/>
      <c r="S367" s="47" t="n"/>
      <c r="T367" s="47" t="n"/>
      <c r="U367" s="43">
        <f>IF($B367="","",N($J367)-N($R367)-N($T367))</f>
        <v/>
      </c>
      <c r="V367" s="47" t="n"/>
    </row>
    <row r="368">
      <c r="A368" s="39">
        <f>IF($B368="","",COUNTA($B$4:$B368))</f>
        <v/>
      </c>
      <c r="B368" s="40" t="n"/>
      <c r="C368" s="41" t="n"/>
      <c r="D368" s="41" t="n"/>
      <c r="E368" s="41" t="n"/>
      <c r="F368" s="41" t="n"/>
      <c r="G368" s="41" t="n"/>
      <c r="H368" s="41" t="n"/>
      <c r="I368" s="50" t="n"/>
      <c r="J368" s="42" t="n"/>
      <c r="K368" s="42" t="n"/>
      <c r="L368" s="43">
        <f>IF($B368="","",ROUND((N($J368)+N($K368))*نسبة_القيمة_المضافة,2))</f>
        <v/>
      </c>
      <c r="M368" s="42" t="n"/>
      <c r="N368" s="42" t="n"/>
      <c r="O368" s="43">
        <f>IF($B368="","",N($J368)+N($K368)+N($L368)-N($M368)+N($N368))</f>
        <v/>
      </c>
      <c r="P368" s="42" t="n"/>
      <c r="Q368" s="43">
        <f>IF($B368="","",N($O368)-N($P368))</f>
        <v/>
      </c>
      <c r="R368" s="42" t="n"/>
      <c r="S368" s="42" t="n"/>
      <c r="T368" s="42" t="n"/>
      <c r="U368" s="43">
        <f>IF($B368="","",N($J368)-N($R368)-N($T368))</f>
        <v/>
      </c>
      <c r="V368" s="42" t="n"/>
    </row>
    <row r="369">
      <c r="A369" s="39">
        <f>IF($B369="","",COUNTA($B$4:$B369))</f>
        <v/>
      </c>
      <c r="B369" s="45" t="n"/>
      <c r="C369" s="46" t="n"/>
      <c r="D369" s="46" t="n"/>
      <c r="E369" s="46" t="n"/>
      <c r="F369" s="46" t="n"/>
      <c r="G369" s="46" t="n"/>
      <c r="H369" s="46" t="n"/>
      <c r="I369" s="51" t="n"/>
      <c r="J369" s="47" t="n"/>
      <c r="K369" s="47" t="n"/>
      <c r="L369" s="43">
        <f>IF($B369="","",ROUND((N($J369)+N($K369))*نسبة_القيمة_المضافة,2))</f>
        <v/>
      </c>
      <c r="M369" s="47" t="n"/>
      <c r="N369" s="47" t="n"/>
      <c r="O369" s="43">
        <f>IF($B369="","",N($J369)+N($K369)+N($L369)-N($M369)+N($N369))</f>
        <v/>
      </c>
      <c r="P369" s="47" t="n"/>
      <c r="Q369" s="43">
        <f>IF($B369="","",N($O369)-N($P369))</f>
        <v/>
      </c>
      <c r="R369" s="47" t="n"/>
      <c r="S369" s="47" t="n"/>
      <c r="T369" s="47" t="n"/>
      <c r="U369" s="43">
        <f>IF($B369="","",N($J369)-N($R369)-N($T369))</f>
        <v/>
      </c>
      <c r="V369" s="47" t="n"/>
    </row>
    <row r="370">
      <c r="A370" s="39">
        <f>IF($B370="","",COUNTA($B$4:$B370))</f>
        <v/>
      </c>
      <c r="B370" s="40" t="n"/>
      <c r="C370" s="41" t="n"/>
      <c r="D370" s="41" t="n"/>
      <c r="E370" s="41" t="n"/>
      <c r="F370" s="41" t="n"/>
      <c r="G370" s="41" t="n"/>
      <c r="H370" s="41" t="n"/>
      <c r="I370" s="50" t="n"/>
      <c r="J370" s="42" t="n"/>
      <c r="K370" s="42" t="n"/>
      <c r="L370" s="43">
        <f>IF($B370="","",ROUND((N($J370)+N($K370))*نسبة_القيمة_المضافة,2))</f>
        <v/>
      </c>
      <c r="M370" s="42" t="n"/>
      <c r="N370" s="42" t="n"/>
      <c r="O370" s="43">
        <f>IF($B370="","",N($J370)+N($K370)+N($L370)-N($M370)+N($N370))</f>
        <v/>
      </c>
      <c r="P370" s="42" t="n"/>
      <c r="Q370" s="43">
        <f>IF($B370="","",N($O370)-N($P370))</f>
        <v/>
      </c>
      <c r="R370" s="42" t="n"/>
      <c r="S370" s="42" t="n"/>
      <c r="T370" s="42" t="n"/>
      <c r="U370" s="43">
        <f>IF($B370="","",N($J370)-N($R370)-N($T370))</f>
        <v/>
      </c>
      <c r="V370" s="42" t="n"/>
    </row>
    <row r="371">
      <c r="A371" s="39">
        <f>IF($B371="","",COUNTA($B$4:$B371))</f>
        <v/>
      </c>
      <c r="B371" s="45" t="n"/>
      <c r="C371" s="46" t="n"/>
      <c r="D371" s="46" t="n"/>
      <c r="E371" s="46" t="n"/>
      <c r="F371" s="46" t="n"/>
      <c r="G371" s="46" t="n"/>
      <c r="H371" s="46" t="n"/>
      <c r="I371" s="51" t="n"/>
      <c r="J371" s="47" t="n"/>
      <c r="K371" s="47" t="n"/>
      <c r="L371" s="43">
        <f>IF($B371="","",ROUND((N($J371)+N($K371))*نسبة_القيمة_المضافة,2))</f>
        <v/>
      </c>
      <c r="M371" s="47" t="n"/>
      <c r="N371" s="47" t="n"/>
      <c r="O371" s="43">
        <f>IF($B371="","",N($J371)+N($K371)+N($L371)-N($M371)+N($N371))</f>
        <v/>
      </c>
      <c r="P371" s="47" t="n"/>
      <c r="Q371" s="43">
        <f>IF($B371="","",N($O371)-N($P371))</f>
        <v/>
      </c>
      <c r="R371" s="47" t="n"/>
      <c r="S371" s="47" t="n"/>
      <c r="T371" s="47" t="n"/>
      <c r="U371" s="43">
        <f>IF($B371="","",N($J371)-N($R371)-N($T371))</f>
        <v/>
      </c>
      <c r="V371" s="47" t="n"/>
    </row>
    <row r="372">
      <c r="A372" s="39">
        <f>IF($B372="","",COUNTA($B$4:$B372))</f>
        <v/>
      </c>
      <c r="B372" s="40" t="n"/>
      <c r="C372" s="41" t="n"/>
      <c r="D372" s="41" t="n"/>
      <c r="E372" s="41" t="n"/>
      <c r="F372" s="41" t="n"/>
      <c r="G372" s="41" t="n"/>
      <c r="H372" s="41" t="n"/>
      <c r="I372" s="50" t="n"/>
      <c r="J372" s="42" t="n"/>
      <c r="K372" s="42" t="n"/>
      <c r="L372" s="43">
        <f>IF($B372="","",ROUND((N($J372)+N($K372))*نسبة_القيمة_المضافة,2))</f>
        <v/>
      </c>
      <c r="M372" s="42" t="n"/>
      <c r="N372" s="42" t="n"/>
      <c r="O372" s="43">
        <f>IF($B372="","",N($J372)+N($K372)+N($L372)-N($M372)+N($N372))</f>
        <v/>
      </c>
      <c r="P372" s="42" t="n"/>
      <c r="Q372" s="43">
        <f>IF($B372="","",N($O372)-N($P372))</f>
        <v/>
      </c>
      <c r="R372" s="42" t="n"/>
      <c r="S372" s="42" t="n"/>
      <c r="T372" s="42" t="n"/>
      <c r="U372" s="43">
        <f>IF($B372="","",N($J372)-N($R372)-N($T372))</f>
        <v/>
      </c>
      <c r="V372" s="42" t="n"/>
    </row>
    <row r="373">
      <c r="A373" s="39">
        <f>IF($B373="","",COUNTA($B$4:$B373))</f>
        <v/>
      </c>
      <c r="B373" s="45" t="n"/>
      <c r="C373" s="46" t="n"/>
      <c r="D373" s="46" t="n"/>
      <c r="E373" s="46" t="n"/>
      <c r="F373" s="46" t="n"/>
      <c r="G373" s="46" t="n"/>
      <c r="H373" s="46" t="n"/>
      <c r="I373" s="51" t="n"/>
      <c r="J373" s="47" t="n"/>
      <c r="K373" s="47" t="n"/>
      <c r="L373" s="43">
        <f>IF($B373="","",ROUND((N($J373)+N($K373))*نسبة_القيمة_المضافة,2))</f>
        <v/>
      </c>
      <c r="M373" s="47" t="n"/>
      <c r="N373" s="47" t="n"/>
      <c r="O373" s="43">
        <f>IF($B373="","",N($J373)+N($K373)+N($L373)-N($M373)+N($N373))</f>
        <v/>
      </c>
      <c r="P373" s="47" t="n"/>
      <c r="Q373" s="43">
        <f>IF($B373="","",N($O373)-N($P373))</f>
        <v/>
      </c>
      <c r="R373" s="47" t="n"/>
      <c r="S373" s="47" t="n"/>
      <c r="T373" s="47" t="n"/>
      <c r="U373" s="43">
        <f>IF($B373="","",N($J373)-N($R373)-N($T373))</f>
        <v/>
      </c>
      <c r="V373" s="47" t="n"/>
    </row>
    <row r="374">
      <c r="A374" s="39">
        <f>IF($B374="","",COUNTA($B$4:$B374))</f>
        <v/>
      </c>
      <c r="B374" s="40" t="n"/>
      <c r="C374" s="41" t="n"/>
      <c r="D374" s="41" t="n"/>
      <c r="E374" s="41" t="n"/>
      <c r="F374" s="41" t="n"/>
      <c r="G374" s="41" t="n"/>
      <c r="H374" s="41" t="n"/>
      <c r="I374" s="50" t="n"/>
      <c r="J374" s="42" t="n"/>
      <c r="K374" s="42" t="n"/>
      <c r="L374" s="43">
        <f>IF($B374="","",ROUND((N($J374)+N($K374))*نسبة_القيمة_المضافة,2))</f>
        <v/>
      </c>
      <c r="M374" s="42" t="n"/>
      <c r="N374" s="42" t="n"/>
      <c r="O374" s="43">
        <f>IF($B374="","",N($J374)+N($K374)+N($L374)-N($M374)+N($N374))</f>
        <v/>
      </c>
      <c r="P374" s="42" t="n"/>
      <c r="Q374" s="43">
        <f>IF($B374="","",N($O374)-N($P374))</f>
        <v/>
      </c>
      <c r="R374" s="42" t="n"/>
      <c r="S374" s="42" t="n"/>
      <c r="T374" s="42" t="n"/>
      <c r="U374" s="43">
        <f>IF($B374="","",N($J374)-N($R374)-N($T374))</f>
        <v/>
      </c>
      <c r="V374" s="42" t="n"/>
    </row>
    <row r="375">
      <c r="A375" s="39">
        <f>IF($B375="","",COUNTA($B$4:$B375))</f>
        <v/>
      </c>
      <c r="B375" s="45" t="n"/>
      <c r="C375" s="46" t="n"/>
      <c r="D375" s="46" t="n"/>
      <c r="E375" s="46" t="n"/>
      <c r="F375" s="46" t="n"/>
      <c r="G375" s="46" t="n"/>
      <c r="H375" s="46" t="n"/>
      <c r="I375" s="51" t="n"/>
      <c r="J375" s="47" t="n"/>
      <c r="K375" s="47" t="n"/>
      <c r="L375" s="43">
        <f>IF($B375="","",ROUND((N($J375)+N($K375))*نسبة_القيمة_المضافة,2))</f>
        <v/>
      </c>
      <c r="M375" s="47" t="n"/>
      <c r="N375" s="47" t="n"/>
      <c r="O375" s="43">
        <f>IF($B375="","",N($J375)+N($K375)+N($L375)-N($M375)+N($N375))</f>
        <v/>
      </c>
      <c r="P375" s="47" t="n"/>
      <c r="Q375" s="43">
        <f>IF($B375="","",N($O375)-N($P375))</f>
        <v/>
      </c>
      <c r="R375" s="47" t="n"/>
      <c r="S375" s="47" t="n"/>
      <c r="T375" s="47" t="n"/>
      <c r="U375" s="43">
        <f>IF($B375="","",N($J375)-N($R375)-N($T375))</f>
        <v/>
      </c>
      <c r="V375" s="47" t="n"/>
    </row>
    <row r="376">
      <c r="A376" s="39">
        <f>IF($B376="","",COUNTA($B$4:$B376))</f>
        <v/>
      </c>
      <c r="B376" s="40" t="n"/>
      <c r="C376" s="41" t="n"/>
      <c r="D376" s="41" t="n"/>
      <c r="E376" s="41" t="n"/>
      <c r="F376" s="41" t="n"/>
      <c r="G376" s="41" t="n"/>
      <c r="H376" s="41" t="n"/>
      <c r="I376" s="50" t="n"/>
      <c r="J376" s="42" t="n"/>
      <c r="K376" s="42" t="n"/>
      <c r="L376" s="43">
        <f>IF($B376="","",ROUND((N($J376)+N($K376))*نسبة_القيمة_المضافة,2))</f>
        <v/>
      </c>
      <c r="M376" s="42" t="n"/>
      <c r="N376" s="42" t="n"/>
      <c r="O376" s="43">
        <f>IF($B376="","",N($J376)+N($K376)+N($L376)-N($M376)+N($N376))</f>
        <v/>
      </c>
      <c r="P376" s="42" t="n"/>
      <c r="Q376" s="43">
        <f>IF($B376="","",N($O376)-N($P376))</f>
        <v/>
      </c>
      <c r="R376" s="42" t="n"/>
      <c r="S376" s="42" t="n"/>
      <c r="T376" s="42" t="n"/>
      <c r="U376" s="43">
        <f>IF($B376="","",N($J376)-N($R376)-N($T376))</f>
        <v/>
      </c>
      <c r="V376" s="42" t="n"/>
    </row>
    <row r="377">
      <c r="A377" s="39">
        <f>IF($B377="","",COUNTA($B$4:$B377))</f>
        <v/>
      </c>
      <c r="B377" s="45" t="n"/>
      <c r="C377" s="46" t="n"/>
      <c r="D377" s="46" t="n"/>
      <c r="E377" s="46" t="n"/>
      <c r="F377" s="46" t="n"/>
      <c r="G377" s="46" t="n"/>
      <c r="H377" s="46" t="n"/>
      <c r="I377" s="51" t="n"/>
      <c r="J377" s="47" t="n"/>
      <c r="K377" s="47" t="n"/>
      <c r="L377" s="43">
        <f>IF($B377="","",ROUND((N($J377)+N($K377))*نسبة_القيمة_المضافة,2))</f>
        <v/>
      </c>
      <c r="M377" s="47" t="n"/>
      <c r="N377" s="47" t="n"/>
      <c r="O377" s="43">
        <f>IF($B377="","",N($J377)+N($K377)+N($L377)-N($M377)+N($N377))</f>
        <v/>
      </c>
      <c r="P377" s="47" t="n"/>
      <c r="Q377" s="43">
        <f>IF($B377="","",N($O377)-N($P377))</f>
        <v/>
      </c>
      <c r="R377" s="47" t="n"/>
      <c r="S377" s="47" t="n"/>
      <c r="T377" s="47" t="n"/>
      <c r="U377" s="43">
        <f>IF($B377="","",N($J377)-N($R377)-N($T377))</f>
        <v/>
      </c>
      <c r="V377" s="47" t="n"/>
    </row>
    <row r="378">
      <c r="A378" s="39">
        <f>IF($B378="","",COUNTA($B$4:$B378))</f>
        <v/>
      </c>
      <c r="B378" s="40" t="n"/>
      <c r="C378" s="41" t="n"/>
      <c r="D378" s="41" t="n"/>
      <c r="E378" s="41" t="n"/>
      <c r="F378" s="41" t="n"/>
      <c r="G378" s="41" t="n"/>
      <c r="H378" s="41" t="n"/>
      <c r="I378" s="50" t="n"/>
      <c r="J378" s="42" t="n"/>
      <c r="K378" s="42" t="n"/>
      <c r="L378" s="43">
        <f>IF($B378="","",ROUND((N($J378)+N($K378))*نسبة_القيمة_المضافة,2))</f>
        <v/>
      </c>
      <c r="M378" s="42" t="n"/>
      <c r="N378" s="42" t="n"/>
      <c r="O378" s="43">
        <f>IF($B378="","",N($J378)+N($K378)+N($L378)-N($M378)+N($N378))</f>
        <v/>
      </c>
      <c r="P378" s="42" t="n"/>
      <c r="Q378" s="43">
        <f>IF($B378="","",N($O378)-N($P378))</f>
        <v/>
      </c>
      <c r="R378" s="42" t="n"/>
      <c r="S378" s="42" t="n"/>
      <c r="T378" s="42" t="n"/>
      <c r="U378" s="43">
        <f>IF($B378="","",N($J378)-N($R378)-N($T378))</f>
        <v/>
      </c>
      <c r="V378" s="42" t="n"/>
    </row>
    <row r="379">
      <c r="A379" s="39">
        <f>IF($B379="","",COUNTA($B$4:$B379))</f>
        <v/>
      </c>
      <c r="B379" s="45" t="n"/>
      <c r="C379" s="46" t="n"/>
      <c r="D379" s="46" t="n"/>
      <c r="E379" s="46" t="n"/>
      <c r="F379" s="46" t="n"/>
      <c r="G379" s="46" t="n"/>
      <c r="H379" s="46" t="n"/>
      <c r="I379" s="51" t="n"/>
      <c r="J379" s="47" t="n"/>
      <c r="K379" s="47" t="n"/>
      <c r="L379" s="43">
        <f>IF($B379="","",ROUND((N($J379)+N($K379))*نسبة_القيمة_المضافة,2))</f>
        <v/>
      </c>
      <c r="M379" s="47" t="n"/>
      <c r="N379" s="47" t="n"/>
      <c r="O379" s="43">
        <f>IF($B379="","",N($J379)+N($K379)+N($L379)-N($M379)+N($N379))</f>
        <v/>
      </c>
      <c r="P379" s="47" t="n"/>
      <c r="Q379" s="43">
        <f>IF($B379="","",N($O379)-N($P379))</f>
        <v/>
      </c>
      <c r="R379" s="47" t="n"/>
      <c r="S379" s="47" t="n"/>
      <c r="T379" s="47" t="n"/>
      <c r="U379" s="43">
        <f>IF($B379="","",N($J379)-N($R379)-N($T379))</f>
        <v/>
      </c>
      <c r="V379" s="47" t="n"/>
    </row>
    <row r="380">
      <c r="A380" s="39">
        <f>IF($B380="","",COUNTA($B$4:$B380))</f>
        <v/>
      </c>
      <c r="B380" s="40" t="n"/>
      <c r="C380" s="41" t="n"/>
      <c r="D380" s="41" t="n"/>
      <c r="E380" s="41" t="n"/>
      <c r="F380" s="41" t="n"/>
      <c r="G380" s="41" t="n"/>
      <c r="H380" s="41" t="n"/>
      <c r="I380" s="50" t="n"/>
      <c r="J380" s="42" t="n"/>
      <c r="K380" s="42" t="n"/>
      <c r="L380" s="43">
        <f>IF($B380="","",ROUND((N($J380)+N($K380))*نسبة_القيمة_المضافة,2))</f>
        <v/>
      </c>
      <c r="M380" s="42" t="n"/>
      <c r="N380" s="42" t="n"/>
      <c r="O380" s="43">
        <f>IF($B380="","",N($J380)+N($K380)+N($L380)-N($M380)+N($N380))</f>
        <v/>
      </c>
      <c r="P380" s="42" t="n"/>
      <c r="Q380" s="43">
        <f>IF($B380="","",N($O380)-N($P380))</f>
        <v/>
      </c>
      <c r="R380" s="42" t="n"/>
      <c r="S380" s="42" t="n"/>
      <c r="T380" s="42" t="n"/>
      <c r="U380" s="43">
        <f>IF($B380="","",N($J380)-N($R380)-N($T380))</f>
        <v/>
      </c>
      <c r="V380" s="42" t="n"/>
    </row>
    <row r="381">
      <c r="A381" s="39">
        <f>IF($B381="","",COUNTA($B$4:$B381))</f>
        <v/>
      </c>
      <c r="B381" s="45" t="n"/>
      <c r="C381" s="46" t="n"/>
      <c r="D381" s="46" t="n"/>
      <c r="E381" s="46" t="n"/>
      <c r="F381" s="46" t="n"/>
      <c r="G381" s="46" t="n"/>
      <c r="H381" s="46" t="n"/>
      <c r="I381" s="51" t="n"/>
      <c r="J381" s="47" t="n"/>
      <c r="K381" s="47" t="n"/>
      <c r="L381" s="43">
        <f>IF($B381="","",ROUND((N($J381)+N($K381))*نسبة_القيمة_المضافة,2))</f>
        <v/>
      </c>
      <c r="M381" s="47" t="n"/>
      <c r="N381" s="47" t="n"/>
      <c r="O381" s="43">
        <f>IF($B381="","",N($J381)+N($K381)+N($L381)-N($M381)+N($N381))</f>
        <v/>
      </c>
      <c r="P381" s="47" t="n"/>
      <c r="Q381" s="43">
        <f>IF($B381="","",N($O381)-N($P381))</f>
        <v/>
      </c>
      <c r="R381" s="47" t="n"/>
      <c r="S381" s="47" t="n"/>
      <c r="T381" s="47" t="n"/>
      <c r="U381" s="43">
        <f>IF($B381="","",N($J381)-N($R381)-N($T381))</f>
        <v/>
      </c>
      <c r="V381" s="47" t="n"/>
    </row>
    <row r="382">
      <c r="A382" s="39">
        <f>IF($B382="","",COUNTA($B$4:$B382))</f>
        <v/>
      </c>
      <c r="B382" s="40" t="n"/>
      <c r="C382" s="41" t="n"/>
      <c r="D382" s="41" t="n"/>
      <c r="E382" s="41" t="n"/>
      <c r="F382" s="41" t="n"/>
      <c r="G382" s="41" t="n"/>
      <c r="H382" s="41" t="n"/>
      <c r="I382" s="50" t="n"/>
      <c r="J382" s="42" t="n"/>
      <c r="K382" s="42" t="n"/>
      <c r="L382" s="43">
        <f>IF($B382="","",ROUND((N($J382)+N($K382))*نسبة_القيمة_المضافة,2))</f>
        <v/>
      </c>
      <c r="M382" s="42" t="n"/>
      <c r="N382" s="42" t="n"/>
      <c r="O382" s="43">
        <f>IF($B382="","",N($J382)+N($K382)+N($L382)-N($M382)+N($N382))</f>
        <v/>
      </c>
      <c r="P382" s="42" t="n"/>
      <c r="Q382" s="43">
        <f>IF($B382="","",N($O382)-N($P382))</f>
        <v/>
      </c>
      <c r="R382" s="42" t="n"/>
      <c r="S382" s="42" t="n"/>
      <c r="T382" s="42" t="n"/>
      <c r="U382" s="43">
        <f>IF($B382="","",N($J382)-N($R382)-N($T382))</f>
        <v/>
      </c>
      <c r="V382" s="42" t="n"/>
    </row>
    <row r="383">
      <c r="A383" s="39">
        <f>IF($B383="","",COUNTA($B$4:$B383))</f>
        <v/>
      </c>
      <c r="B383" s="45" t="n"/>
      <c r="C383" s="46" t="n"/>
      <c r="D383" s="46" t="n"/>
      <c r="E383" s="46" t="n"/>
      <c r="F383" s="46" t="n"/>
      <c r="G383" s="46" t="n"/>
      <c r="H383" s="46" t="n"/>
      <c r="I383" s="51" t="n"/>
      <c r="J383" s="47" t="n"/>
      <c r="K383" s="47" t="n"/>
      <c r="L383" s="43">
        <f>IF($B383="","",ROUND((N($J383)+N($K383))*نسبة_القيمة_المضافة,2))</f>
        <v/>
      </c>
      <c r="M383" s="47" t="n"/>
      <c r="N383" s="47" t="n"/>
      <c r="O383" s="43">
        <f>IF($B383="","",N($J383)+N($K383)+N($L383)-N($M383)+N($N383))</f>
        <v/>
      </c>
      <c r="P383" s="47" t="n"/>
      <c r="Q383" s="43">
        <f>IF($B383="","",N($O383)-N($P383))</f>
        <v/>
      </c>
      <c r="R383" s="47" t="n"/>
      <c r="S383" s="47" t="n"/>
      <c r="T383" s="47" t="n"/>
      <c r="U383" s="43">
        <f>IF($B383="","",N($J383)-N($R383)-N($T383))</f>
        <v/>
      </c>
      <c r="V383" s="47" t="n"/>
    </row>
    <row r="384">
      <c r="A384" s="39">
        <f>IF($B384="","",COUNTA($B$4:$B384))</f>
        <v/>
      </c>
      <c r="B384" s="40" t="n"/>
      <c r="C384" s="41" t="n"/>
      <c r="D384" s="41" t="n"/>
      <c r="E384" s="41" t="n"/>
      <c r="F384" s="41" t="n"/>
      <c r="G384" s="41" t="n"/>
      <c r="H384" s="41" t="n"/>
      <c r="I384" s="50" t="n"/>
      <c r="J384" s="42" t="n"/>
      <c r="K384" s="42" t="n"/>
      <c r="L384" s="43">
        <f>IF($B384="","",ROUND((N($J384)+N($K384))*نسبة_القيمة_المضافة,2))</f>
        <v/>
      </c>
      <c r="M384" s="42" t="n"/>
      <c r="N384" s="42" t="n"/>
      <c r="O384" s="43">
        <f>IF($B384="","",N($J384)+N($K384)+N($L384)-N($M384)+N($N384))</f>
        <v/>
      </c>
      <c r="P384" s="42" t="n"/>
      <c r="Q384" s="43">
        <f>IF($B384="","",N($O384)-N($P384))</f>
        <v/>
      </c>
      <c r="R384" s="42" t="n"/>
      <c r="S384" s="42" t="n"/>
      <c r="T384" s="42" t="n"/>
      <c r="U384" s="43">
        <f>IF($B384="","",N($J384)-N($R384)-N($T384))</f>
        <v/>
      </c>
      <c r="V384" s="42" t="n"/>
    </row>
    <row r="385">
      <c r="A385" s="39">
        <f>IF($B385="","",COUNTA($B$4:$B385))</f>
        <v/>
      </c>
      <c r="B385" s="45" t="n"/>
      <c r="C385" s="46" t="n"/>
      <c r="D385" s="46" t="n"/>
      <c r="E385" s="46" t="n"/>
      <c r="F385" s="46" t="n"/>
      <c r="G385" s="46" t="n"/>
      <c r="H385" s="46" t="n"/>
      <c r="I385" s="51" t="n"/>
      <c r="J385" s="47" t="n"/>
      <c r="K385" s="47" t="n"/>
      <c r="L385" s="43">
        <f>IF($B385="","",ROUND((N($J385)+N($K385))*نسبة_القيمة_المضافة,2))</f>
        <v/>
      </c>
      <c r="M385" s="47" t="n"/>
      <c r="N385" s="47" t="n"/>
      <c r="O385" s="43">
        <f>IF($B385="","",N($J385)+N($K385)+N($L385)-N($M385)+N($N385))</f>
        <v/>
      </c>
      <c r="P385" s="47" t="n"/>
      <c r="Q385" s="43">
        <f>IF($B385="","",N($O385)-N($P385))</f>
        <v/>
      </c>
      <c r="R385" s="47" t="n"/>
      <c r="S385" s="47" t="n"/>
      <c r="T385" s="47" t="n"/>
      <c r="U385" s="43">
        <f>IF($B385="","",N($J385)-N($R385)-N($T385))</f>
        <v/>
      </c>
      <c r="V385" s="47" t="n"/>
    </row>
    <row r="386">
      <c r="A386" s="39">
        <f>IF($B386="","",COUNTA($B$4:$B386))</f>
        <v/>
      </c>
      <c r="B386" s="40" t="n"/>
      <c r="C386" s="41" t="n"/>
      <c r="D386" s="41" t="n"/>
      <c r="E386" s="41" t="n"/>
      <c r="F386" s="41" t="n"/>
      <c r="G386" s="41" t="n"/>
      <c r="H386" s="41" t="n"/>
      <c r="I386" s="50" t="n"/>
      <c r="J386" s="42" t="n"/>
      <c r="K386" s="42" t="n"/>
      <c r="L386" s="43">
        <f>IF($B386="","",ROUND((N($J386)+N($K386))*نسبة_القيمة_المضافة,2))</f>
        <v/>
      </c>
      <c r="M386" s="42" t="n"/>
      <c r="N386" s="42" t="n"/>
      <c r="O386" s="43">
        <f>IF($B386="","",N($J386)+N($K386)+N($L386)-N($M386)+N($N386))</f>
        <v/>
      </c>
      <c r="P386" s="42" t="n"/>
      <c r="Q386" s="43">
        <f>IF($B386="","",N($O386)-N($P386))</f>
        <v/>
      </c>
      <c r="R386" s="42" t="n"/>
      <c r="S386" s="42" t="n"/>
      <c r="T386" s="42" t="n"/>
      <c r="U386" s="43">
        <f>IF($B386="","",N($J386)-N($R386)-N($T386))</f>
        <v/>
      </c>
      <c r="V386" s="42" t="n"/>
    </row>
    <row r="387">
      <c r="A387" s="39">
        <f>IF($B387="","",COUNTA($B$4:$B387))</f>
        <v/>
      </c>
      <c r="B387" s="45" t="n"/>
      <c r="C387" s="46" t="n"/>
      <c r="D387" s="46" t="n"/>
      <c r="E387" s="46" t="n"/>
      <c r="F387" s="46" t="n"/>
      <c r="G387" s="46" t="n"/>
      <c r="H387" s="46" t="n"/>
      <c r="I387" s="51" t="n"/>
      <c r="J387" s="47" t="n"/>
      <c r="K387" s="47" t="n"/>
      <c r="L387" s="43">
        <f>IF($B387="","",ROUND((N($J387)+N($K387))*نسبة_القيمة_المضافة,2))</f>
        <v/>
      </c>
      <c r="M387" s="47" t="n"/>
      <c r="N387" s="47" t="n"/>
      <c r="O387" s="43">
        <f>IF($B387="","",N($J387)+N($K387)+N($L387)-N($M387)+N($N387))</f>
        <v/>
      </c>
      <c r="P387" s="47" t="n"/>
      <c r="Q387" s="43">
        <f>IF($B387="","",N($O387)-N($P387))</f>
        <v/>
      </c>
      <c r="R387" s="47" t="n"/>
      <c r="S387" s="47" t="n"/>
      <c r="T387" s="47" t="n"/>
      <c r="U387" s="43">
        <f>IF($B387="","",N($J387)-N($R387)-N($T387))</f>
        <v/>
      </c>
      <c r="V387" s="47" t="n"/>
    </row>
    <row r="388">
      <c r="A388" s="39">
        <f>IF($B388="","",COUNTA($B$4:$B388))</f>
        <v/>
      </c>
      <c r="B388" s="40" t="n"/>
      <c r="C388" s="41" t="n"/>
      <c r="D388" s="41" t="n"/>
      <c r="E388" s="41" t="n"/>
      <c r="F388" s="41" t="n"/>
      <c r="G388" s="41" t="n"/>
      <c r="H388" s="41" t="n"/>
      <c r="I388" s="50" t="n"/>
      <c r="J388" s="42" t="n"/>
      <c r="K388" s="42" t="n"/>
      <c r="L388" s="43">
        <f>IF($B388="","",ROUND((N($J388)+N($K388))*نسبة_القيمة_المضافة,2))</f>
        <v/>
      </c>
      <c r="M388" s="42" t="n"/>
      <c r="N388" s="42" t="n"/>
      <c r="O388" s="43">
        <f>IF($B388="","",N($J388)+N($K388)+N($L388)-N($M388)+N($N388))</f>
        <v/>
      </c>
      <c r="P388" s="42" t="n"/>
      <c r="Q388" s="43">
        <f>IF($B388="","",N($O388)-N($P388))</f>
        <v/>
      </c>
      <c r="R388" s="42" t="n"/>
      <c r="S388" s="42" t="n"/>
      <c r="T388" s="42" t="n"/>
      <c r="U388" s="43">
        <f>IF($B388="","",N($J388)-N($R388)-N($T388))</f>
        <v/>
      </c>
      <c r="V388" s="42" t="n"/>
    </row>
    <row r="389">
      <c r="A389" s="39">
        <f>IF($B389="","",COUNTA($B$4:$B389))</f>
        <v/>
      </c>
      <c r="B389" s="45" t="n"/>
      <c r="C389" s="46" t="n"/>
      <c r="D389" s="46" t="n"/>
      <c r="E389" s="46" t="n"/>
      <c r="F389" s="46" t="n"/>
      <c r="G389" s="46" t="n"/>
      <c r="H389" s="46" t="n"/>
      <c r="I389" s="51" t="n"/>
      <c r="J389" s="47" t="n"/>
      <c r="K389" s="47" t="n"/>
      <c r="L389" s="43">
        <f>IF($B389="","",ROUND((N($J389)+N($K389))*نسبة_القيمة_المضافة,2))</f>
        <v/>
      </c>
      <c r="M389" s="47" t="n"/>
      <c r="N389" s="47" t="n"/>
      <c r="O389" s="43">
        <f>IF($B389="","",N($J389)+N($K389)+N($L389)-N($M389)+N($N389))</f>
        <v/>
      </c>
      <c r="P389" s="47" t="n"/>
      <c r="Q389" s="43">
        <f>IF($B389="","",N($O389)-N($P389))</f>
        <v/>
      </c>
      <c r="R389" s="47" t="n"/>
      <c r="S389" s="47" t="n"/>
      <c r="T389" s="47" t="n"/>
      <c r="U389" s="43">
        <f>IF($B389="","",N($J389)-N($R389)-N($T389))</f>
        <v/>
      </c>
      <c r="V389" s="47" t="n"/>
    </row>
    <row r="390">
      <c r="A390" s="39">
        <f>IF($B390="","",COUNTA($B$4:$B390))</f>
        <v/>
      </c>
      <c r="B390" s="40" t="n"/>
      <c r="C390" s="41" t="n"/>
      <c r="D390" s="41" t="n"/>
      <c r="E390" s="41" t="n"/>
      <c r="F390" s="41" t="n"/>
      <c r="G390" s="41" t="n"/>
      <c r="H390" s="41" t="n"/>
      <c r="I390" s="50" t="n"/>
      <c r="J390" s="42" t="n"/>
      <c r="K390" s="42" t="n"/>
      <c r="L390" s="43">
        <f>IF($B390="","",ROUND((N($J390)+N($K390))*نسبة_القيمة_المضافة,2))</f>
        <v/>
      </c>
      <c r="M390" s="42" t="n"/>
      <c r="N390" s="42" t="n"/>
      <c r="O390" s="43">
        <f>IF($B390="","",N($J390)+N($K390)+N($L390)-N($M390)+N($N390))</f>
        <v/>
      </c>
      <c r="P390" s="42" t="n"/>
      <c r="Q390" s="43">
        <f>IF($B390="","",N($O390)-N($P390))</f>
        <v/>
      </c>
      <c r="R390" s="42" t="n"/>
      <c r="S390" s="42" t="n"/>
      <c r="T390" s="42" t="n"/>
      <c r="U390" s="43">
        <f>IF($B390="","",N($J390)-N($R390)-N($T390))</f>
        <v/>
      </c>
      <c r="V390" s="42" t="n"/>
    </row>
    <row r="391">
      <c r="A391" s="39">
        <f>IF($B391="","",COUNTA($B$4:$B391))</f>
        <v/>
      </c>
      <c r="B391" s="45" t="n"/>
      <c r="C391" s="46" t="n"/>
      <c r="D391" s="46" t="n"/>
      <c r="E391" s="46" t="n"/>
      <c r="F391" s="46" t="n"/>
      <c r="G391" s="46" t="n"/>
      <c r="H391" s="46" t="n"/>
      <c r="I391" s="51" t="n"/>
      <c r="J391" s="47" t="n"/>
      <c r="K391" s="47" t="n"/>
      <c r="L391" s="43">
        <f>IF($B391="","",ROUND((N($J391)+N($K391))*نسبة_القيمة_المضافة,2))</f>
        <v/>
      </c>
      <c r="M391" s="47" t="n"/>
      <c r="N391" s="47" t="n"/>
      <c r="O391" s="43">
        <f>IF($B391="","",N($J391)+N($K391)+N($L391)-N($M391)+N($N391))</f>
        <v/>
      </c>
      <c r="P391" s="47" t="n"/>
      <c r="Q391" s="43">
        <f>IF($B391="","",N($O391)-N($P391))</f>
        <v/>
      </c>
      <c r="R391" s="47" t="n"/>
      <c r="S391" s="47" t="n"/>
      <c r="T391" s="47" t="n"/>
      <c r="U391" s="43">
        <f>IF($B391="","",N($J391)-N($R391)-N($T391))</f>
        <v/>
      </c>
      <c r="V391" s="47" t="n"/>
    </row>
    <row r="392">
      <c r="A392" s="39">
        <f>IF($B392="","",COUNTA($B$4:$B392))</f>
        <v/>
      </c>
      <c r="B392" s="40" t="n"/>
      <c r="C392" s="41" t="n"/>
      <c r="D392" s="41" t="n"/>
      <c r="E392" s="41" t="n"/>
      <c r="F392" s="41" t="n"/>
      <c r="G392" s="41" t="n"/>
      <c r="H392" s="41" t="n"/>
      <c r="I392" s="50" t="n"/>
      <c r="J392" s="42" t="n"/>
      <c r="K392" s="42" t="n"/>
      <c r="L392" s="43">
        <f>IF($B392="","",ROUND((N($J392)+N($K392))*نسبة_القيمة_المضافة,2))</f>
        <v/>
      </c>
      <c r="M392" s="42" t="n"/>
      <c r="N392" s="42" t="n"/>
      <c r="O392" s="43">
        <f>IF($B392="","",N($J392)+N($K392)+N($L392)-N($M392)+N($N392))</f>
        <v/>
      </c>
      <c r="P392" s="42" t="n"/>
      <c r="Q392" s="43">
        <f>IF($B392="","",N($O392)-N($P392))</f>
        <v/>
      </c>
      <c r="R392" s="42" t="n"/>
      <c r="S392" s="42" t="n"/>
      <c r="T392" s="42" t="n"/>
      <c r="U392" s="43">
        <f>IF($B392="","",N($J392)-N($R392)-N($T392))</f>
        <v/>
      </c>
      <c r="V392" s="42" t="n"/>
    </row>
    <row r="393">
      <c r="A393" s="39">
        <f>IF($B393="","",COUNTA($B$4:$B393))</f>
        <v/>
      </c>
      <c r="B393" s="45" t="n"/>
      <c r="C393" s="46" t="n"/>
      <c r="D393" s="46" t="n"/>
      <c r="E393" s="46" t="n"/>
      <c r="F393" s="46" t="n"/>
      <c r="G393" s="46" t="n"/>
      <c r="H393" s="46" t="n"/>
      <c r="I393" s="51" t="n"/>
      <c r="J393" s="47" t="n"/>
      <c r="K393" s="47" t="n"/>
      <c r="L393" s="43">
        <f>IF($B393="","",ROUND((N($J393)+N($K393))*نسبة_القيمة_المضافة,2))</f>
        <v/>
      </c>
      <c r="M393" s="47" t="n"/>
      <c r="N393" s="47" t="n"/>
      <c r="O393" s="43">
        <f>IF($B393="","",N($J393)+N($K393)+N($L393)-N($M393)+N($N393))</f>
        <v/>
      </c>
      <c r="P393" s="47" t="n"/>
      <c r="Q393" s="43">
        <f>IF($B393="","",N($O393)-N($P393))</f>
        <v/>
      </c>
      <c r="R393" s="47" t="n"/>
      <c r="S393" s="47" t="n"/>
      <c r="T393" s="47" t="n"/>
      <c r="U393" s="43">
        <f>IF($B393="","",N($J393)-N($R393)-N($T393))</f>
        <v/>
      </c>
      <c r="V393" s="47" t="n"/>
    </row>
    <row r="394">
      <c r="A394" s="39">
        <f>IF($B394="","",COUNTA($B$4:$B394))</f>
        <v/>
      </c>
      <c r="B394" s="40" t="n"/>
      <c r="C394" s="41" t="n"/>
      <c r="D394" s="41" t="n"/>
      <c r="E394" s="41" t="n"/>
      <c r="F394" s="41" t="n"/>
      <c r="G394" s="41" t="n"/>
      <c r="H394" s="41" t="n"/>
      <c r="I394" s="50" t="n"/>
      <c r="J394" s="42" t="n"/>
      <c r="K394" s="42" t="n"/>
      <c r="L394" s="43">
        <f>IF($B394="","",ROUND((N($J394)+N($K394))*نسبة_القيمة_المضافة,2))</f>
        <v/>
      </c>
      <c r="M394" s="42" t="n"/>
      <c r="N394" s="42" t="n"/>
      <c r="O394" s="43">
        <f>IF($B394="","",N($J394)+N($K394)+N($L394)-N($M394)+N($N394))</f>
        <v/>
      </c>
      <c r="P394" s="42" t="n"/>
      <c r="Q394" s="43">
        <f>IF($B394="","",N($O394)-N($P394))</f>
        <v/>
      </c>
      <c r="R394" s="42" t="n"/>
      <c r="S394" s="42" t="n"/>
      <c r="T394" s="42" t="n"/>
      <c r="U394" s="43">
        <f>IF($B394="","",N($J394)-N($R394)-N($T394))</f>
        <v/>
      </c>
      <c r="V394" s="42" t="n"/>
    </row>
    <row r="395">
      <c r="A395" s="39">
        <f>IF($B395="","",COUNTA($B$4:$B395))</f>
        <v/>
      </c>
      <c r="B395" s="45" t="n"/>
      <c r="C395" s="46" t="n"/>
      <c r="D395" s="46" t="n"/>
      <c r="E395" s="46" t="n"/>
      <c r="F395" s="46" t="n"/>
      <c r="G395" s="46" t="n"/>
      <c r="H395" s="46" t="n"/>
      <c r="I395" s="51" t="n"/>
      <c r="J395" s="47" t="n"/>
      <c r="K395" s="47" t="n"/>
      <c r="L395" s="43">
        <f>IF($B395="","",ROUND((N($J395)+N($K395))*نسبة_القيمة_المضافة,2))</f>
        <v/>
      </c>
      <c r="M395" s="47" t="n"/>
      <c r="N395" s="47" t="n"/>
      <c r="O395" s="43">
        <f>IF($B395="","",N($J395)+N($K395)+N($L395)-N($M395)+N($N395))</f>
        <v/>
      </c>
      <c r="P395" s="47" t="n"/>
      <c r="Q395" s="43">
        <f>IF($B395="","",N($O395)-N($P395))</f>
        <v/>
      </c>
      <c r="R395" s="47" t="n"/>
      <c r="S395" s="47" t="n"/>
      <c r="T395" s="47" t="n"/>
      <c r="U395" s="43">
        <f>IF($B395="","",N($J395)-N($R395)-N($T395))</f>
        <v/>
      </c>
      <c r="V395" s="47" t="n"/>
    </row>
    <row r="396">
      <c r="A396" s="39">
        <f>IF($B396="","",COUNTA($B$4:$B396))</f>
        <v/>
      </c>
      <c r="B396" s="40" t="n"/>
      <c r="C396" s="41" t="n"/>
      <c r="D396" s="41" t="n"/>
      <c r="E396" s="41" t="n"/>
      <c r="F396" s="41" t="n"/>
      <c r="G396" s="41" t="n"/>
      <c r="H396" s="41" t="n"/>
      <c r="I396" s="50" t="n"/>
      <c r="J396" s="42" t="n"/>
      <c r="K396" s="42" t="n"/>
      <c r="L396" s="43">
        <f>IF($B396="","",ROUND((N($J396)+N($K396))*نسبة_القيمة_المضافة,2))</f>
        <v/>
      </c>
      <c r="M396" s="42" t="n"/>
      <c r="N396" s="42" t="n"/>
      <c r="O396" s="43">
        <f>IF($B396="","",N($J396)+N($K396)+N($L396)-N($M396)+N($N396))</f>
        <v/>
      </c>
      <c r="P396" s="42" t="n"/>
      <c r="Q396" s="43">
        <f>IF($B396="","",N($O396)-N($P396))</f>
        <v/>
      </c>
      <c r="R396" s="42" t="n"/>
      <c r="S396" s="42" t="n"/>
      <c r="T396" s="42" t="n"/>
      <c r="U396" s="43">
        <f>IF($B396="","",N($J396)-N($R396)-N($T396))</f>
        <v/>
      </c>
      <c r="V396" s="42" t="n"/>
    </row>
    <row r="397">
      <c r="A397" s="39">
        <f>IF($B397="","",COUNTA($B$4:$B397))</f>
        <v/>
      </c>
      <c r="B397" s="45" t="n"/>
      <c r="C397" s="46" t="n"/>
      <c r="D397" s="46" t="n"/>
      <c r="E397" s="46" t="n"/>
      <c r="F397" s="46" t="n"/>
      <c r="G397" s="46" t="n"/>
      <c r="H397" s="46" t="n"/>
      <c r="I397" s="51" t="n"/>
      <c r="J397" s="47" t="n"/>
      <c r="K397" s="47" t="n"/>
      <c r="L397" s="43">
        <f>IF($B397="","",ROUND((N($J397)+N($K397))*نسبة_القيمة_المضافة,2))</f>
        <v/>
      </c>
      <c r="M397" s="47" t="n"/>
      <c r="N397" s="47" t="n"/>
      <c r="O397" s="43">
        <f>IF($B397="","",N($J397)+N($K397)+N($L397)-N($M397)+N($N397))</f>
        <v/>
      </c>
      <c r="P397" s="47" t="n"/>
      <c r="Q397" s="43">
        <f>IF($B397="","",N($O397)-N($P397))</f>
        <v/>
      </c>
      <c r="R397" s="47" t="n"/>
      <c r="S397" s="47" t="n"/>
      <c r="T397" s="47" t="n"/>
      <c r="U397" s="43">
        <f>IF($B397="","",N($J397)-N($R397)-N($T397))</f>
        <v/>
      </c>
      <c r="V397" s="47" t="n"/>
    </row>
    <row r="398">
      <c r="A398" s="39">
        <f>IF($B398="","",COUNTA($B$4:$B398))</f>
        <v/>
      </c>
      <c r="B398" s="40" t="n"/>
      <c r="C398" s="41" t="n"/>
      <c r="D398" s="41" t="n"/>
      <c r="E398" s="41" t="n"/>
      <c r="F398" s="41" t="n"/>
      <c r="G398" s="41" t="n"/>
      <c r="H398" s="41" t="n"/>
      <c r="I398" s="50" t="n"/>
      <c r="J398" s="42" t="n"/>
      <c r="K398" s="42" t="n"/>
      <c r="L398" s="43">
        <f>IF($B398="","",ROUND((N($J398)+N($K398))*نسبة_القيمة_المضافة,2))</f>
        <v/>
      </c>
      <c r="M398" s="42" t="n"/>
      <c r="N398" s="42" t="n"/>
      <c r="O398" s="43">
        <f>IF($B398="","",N($J398)+N($K398)+N($L398)-N($M398)+N($N398))</f>
        <v/>
      </c>
      <c r="P398" s="42" t="n"/>
      <c r="Q398" s="43">
        <f>IF($B398="","",N($O398)-N($P398))</f>
        <v/>
      </c>
      <c r="R398" s="42" t="n"/>
      <c r="S398" s="42" t="n"/>
      <c r="T398" s="42" t="n"/>
      <c r="U398" s="43">
        <f>IF($B398="","",N($J398)-N($R398)-N($T398))</f>
        <v/>
      </c>
      <c r="V398" s="42" t="n"/>
    </row>
    <row r="399">
      <c r="A399" s="39">
        <f>IF($B399="","",COUNTA($B$4:$B399))</f>
        <v/>
      </c>
      <c r="B399" s="45" t="n"/>
      <c r="C399" s="46" t="n"/>
      <c r="D399" s="46" t="n"/>
      <c r="E399" s="46" t="n"/>
      <c r="F399" s="46" t="n"/>
      <c r="G399" s="46" t="n"/>
      <c r="H399" s="46" t="n"/>
      <c r="I399" s="51" t="n"/>
      <c r="J399" s="47" t="n"/>
      <c r="K399" s="47" t="n"/>
      <c r="L399" s="43">
        <f>IF($B399="","",ROUND((N($J399)+N($K399))*نسبة_القيمة_المضافة,2))</f>
        <v/>
      </c>
      <c r="M399" s="47" t="n"/>
      <c r="N399" s="47" t="n"/>
      <c r="O399" s="43">
        <f>IF($B399="","",N($J399)+N($K399)+N($L399)-N($M399)+N($N399))</f>
        <v/>
      </c>
      <c r="P399" s="47" t="n"/>
      <c r="Q399" s="43">
        <f>IF($B399="","",N($O399)-N($P399))</f>
        <v/>
      </c>
      <c r="R399" s="47" t="n"/>
      <c r="S399" s="47" t="n"/>
      <c r="T399" s="47" t="n"/>
      <c r="U399" s="43">
        <f>IF($B399="","",N($J399)-N($R399)-N($T399))</f>
        <v/>
      </c>
      <c r="V399" s="47" t="n"/>
    </row>
    <row r="400">
      <c r="A400" s="39">
        <f>IF($B400="","",COUNTA($B$4:$B400))</f>
        <v/>
      </c>
      <c r="B400" s="40" t="n"/>
      <c r="C400" s="41" t="n"/>
      <c r="D400" s="41" t="n"/>
      <c r="E400" s="41" t="n"/>
      <c r="F400" s="41" t="n"/>
      <c r="G400" s="41" t="n"/>
      <c r="H400" s="41" t="n"/>
      <c r="I400" s="50" t="n"/>
      <c r="J400" s="42" t="n"/>
      <c r="K400" s="42" t="n"/>
      <c r="L400" s="43">
        <f>IF($B400="","",ROUND((N($J400)+N($K400))*نسبة_القيمة_المضافة,2))</f>
        <v/>
      </c>
      <c r="M400" s="42" t="n"/>
      <c r="N400" s="42" t="n"/>
      <c r="O400" s="43">
        <f>IF($B400="","",N($J400)+N($K400)+N($L400)-N($M400)+N($N400))</f>
        <v/>
      </c>
      <c r="P400" s="42" t="n"/>
      <c r="Q400" s="43">
        <f>IF($B400="","",N($O400)-N($P400))</f>
        <v/>
      </c>
      <c r="R400" s="42" t="n"/>
      <c r="S400" s="42" t="n"/>
      <c r="T400" s="42" t="n"/>
      <c r="U400" s="43">
        <f>IF($B400="","",N($J400)-N($R400)-N($T400))</f>
        <v/>
      </c>
      <c r="V400" s="42" t="n"/>
    </row>
    <row r="401">
      <c r="A401" s="39">
        <f>IF($B401="","",COUNTA($B$4:$B401))</f>
        <v/>
      </c>
      <c r="B401" s="45" t="n"/>
      <c r="C401" s="46" t="n"/>
      <c r="D401" s="46" t="n"/>
      <c r="E401" s="46" t="n"/>
      <c r="F401" s="46" t="n"/>
      <c r="G401" s="46" t="n"/>
      <c r="H401" s="46" t="n"/>
      <c r="I401" s="51" t="n"/>
      <c r="J401" s="47" t="n"/>
      <c r="K401" s="47" t="n"/>
      <c r="L401" s="43">
        <f>IF($B401="","",ROUND((N($J401)+N($K401))*نسبة_القيمة_المضافة,2))</f>
        <v/>
      </c>
      <c r="M401" s="47" t="n"/>
      <c r="N401" s="47" t="n"/>
      <c r="O401" s="43">
        <f>IF($B401="","",N($J401)+N($K401)+N($L401)-N($M401)+N($N401))</f>
        <v/>
      </c>
      <c r="P401" s="47" t="n"/>
      <c r="Q401" s="43">
        <f>IF($B401="","",N($O401)-N($P401))</f>
        <v/>
      </c>
      <c r="R401" s="47" t="n"/>
      <c r="S401" s="47" t="n"/>
      <c r="T401" s="47" t="n"/>
      <c r="U401" s="43">
        <f>IF($B401="","",N($J401)-N($R401)-N($T401))</f>
        <v/>
      </c>
      <c r="V401" s="47" t="n"/>
    </row>
    <row r="402">
      <c r="A402" s="39">
        <f>IF($B402="","",COUNTA($B$4:$B402))</f>
        <v/>
      </c>
      <c r="B402" s="40" t="n"/>
      <c r="C402" s="41" t="n"/>
      <c r="D402" s="41" t="n"/>
      <c r="E402" s="41" t="n"/>
      <c r="F402" s="41" t="n"/>
      <c r="G402" s="41" t="n"/>
      <c r="H402" s="41" t="n"/>
      <c r="I402" s="50" t="n"/>
      <c r="J402" s="42" t="n"/>
      <c r="K402" s="42" t="n"/>
      <c r="L402" s="43">
        <f>IF($B402="","",ROUND((N($J402)+N($K402))*نسبة_القيمة_المضافة,2))</f>
        <v/>
      </c>
      <c r="M402" s="42" t="n"/>
      <c r="N402" s="42" t="n"/>
      <c r="O402" s="43">
        <f>IF($B402="","",N($J402)+N($K402)+N($L402)-N($M402)+N($N402))</f>
        <v/>
      </c>
      <c r="P402" s="42" t="n"/>
      <c r="Q402" s="43">
        <f>IF($B402="","",N($O402)-N($P402))</f>
        <v/>
      </c>
      <c r="R402" s="42" t="n"/>
      <c r="S402" s="42" t="n"/>
      <c r="T402" s="42" t="n"/>
      <c r="U402" s="43">
        <f>IF($B402="","",N($J402)-N($R402)-N($T402))</f>
        <v/>
      </c>
      <c r="V402" s="42" t="n"/>
    </row>
    <row r="403">
      <c r="A403" s="39">
        <f>IF($B403="","",COUNTA($B$4:$B403))</f>
        <v/>
      </c>
      <c r="B403" s="45" t="n"/>
      <c r="C403" s="46" t="n"/>
      <c r="D403" s="46" t="n"/>
      <c r="E403" s="46" t="n"/>
      <c r="F403" s="46" t="n"/>
      <c r="G403" s="46" t="n"/>
      <c r="H403" s="46" t="n"/>
      <c r="I403" s="51" t="n"/>
      <c r="J403" s="47" t="n"/>
      <c r="K403" s="47" t="n"/>
      <c r="L403" s="43">
        <f>IF($B403="","",ROUND((N($J403)+N($K403))*نسبة_القيمة_المضافة,2))</f>
        <v/>
      </c>
      <c r="M403" s="47" t="n"/>
      <c r="N403" s="47" t="n"/>
      <c r="O403" s="43">
        <f>IF($B403="","",N($J403)+N($K403)+N($L403)-N($M403)+N($N403))</f>
        <v/>
      </c>
      <c r="P403" s="47" t="n"/>
      <c r="Q403" s="43">
        <f>IF($B403="","",N($O403)-N($P403))</f>
        <v/>
      </c>
      <c r="R403" s="47" t="n"/>
      <c r="S403" s="47" t="n"/>
      <c r="T403" s="47" t="n"/>
      <c r="U403" s="43">
        <f>IF($B403="","",N($J403)-N($R403)-N($T403))</f>
        <v/>
      </c>
      <c r="V403" s="47" t="n"/>
    </row>
    <row r="404">
      <c r="A404" s="39">
        <f>IF($B404="","",COUNTA($B$4:$B404))</f>
        <v/>
      </c>
      <c r="B404" s="40" t="n"/>
      <c r="C404" s="41" t="n"/>
      <c r="D404" s="41" t="n"/>
      <c r="E404" s="41" t="n"/>
      <c r="F404" s="41" t="n"/>
      <c r="G404" s="41" t="n"/>
      <c r="H404" s="41" t="n"/>
      <c r="I404" s="50" t="n"/>
      <c r="J404" s="42" t="n"/>
      <c r="K404" s="42" t="n"/>
      <c r="L404" s="43">
        <f>IF($B404="","",ROUND((N($J404)+N($K404))*نسبة_القيمة_المضافة,2))</f>
        <v/>
      </c>
      <c r="M404" s="42" t="n"/>
      <c r="N404" s="42" t="n"/>
      <c r="O404" s="43">
        <f>IF($B404="","",N($J404)+N($K404)+N($L404)-N($M404)+N($N404))</f>
        <v/>
      </c>
      <c r="P404" s="42" t="n"/>
      <c r="Q404" s="43">
        <f>IF($B404="","",N($O404)-N($P404))</f>
        <v/>
      </c>
      <c r="R404" s="42" t="n"/>
      <c r="S404" s="42" t="n"/>
      <c r="T404" s="42" t="n"/>
      <c r="U404" s="43">
        <f>IF($B404="","",N($J404)-N($R404)-N($T404))</f>
        <v/>
      </c>
      <c r="V404" s="42" t="n"/>
    </row>
    <row r="405">
      <c r="A405" s="39">
        <f>IF($B405="","",COUNTA($B$4:$B405))</f>
        <v/>
      </c>
      <c r="B405" s="45" t="n"/>
      <c r="C405" s="46" t="n"/>
      <c r="D405" s="46" t="n"/>
      <c r="E405" s="46" t="n"/>
      <c r="F405" s="46" t="n"/>
      <c r="G405" s="46" t="n"/>
      <c r="H405" s="46" t="n"/>
      <c r="I405" s="51" t="n"/>
      <c r="J405" s="47" t="n"/>
      <c r="K405" s="47" t="n"/>
      <c r="L405" s="43">
        <f>IF($B405="","",ROUND((N($J405)+N($K405))*نسبة_القيمة_المضافة,2))</f>
        <v/>
      </c>
      <c r="M405" s="47" t="n"/>
      <c r="N405" s="47" t="n"/>
      <c r="O405" s="43">
        <f>IF($B405="","",N($J405)+N($K405)+N($L405)-N($M405)+N($N405))</f>
        <v/>
      </c>
      <c r="P405" s="47" t="n"/>
      <c r="Q405" s="43">
        <f>IF($B405="","",N($O405)-N($P405))</f>
        <v/>
      </c>
      <c r="R405" s="47" t="n"/>
      <c r="S405" s="47" t="n"/>
      <c r="T405" s="47" t="n"/>
      <c r="U405" s="43">
        <f>IF($B405="","",N($J405)-N($R405)-N($T405))</f>
        <v/>
      </c>
      <c r="V405" s="47" t="n"/>
    </row>
    <row r="406">
      <c r="A406" s="39">
        <f>IF($B406="","",COUNTA($B$4:$B406))</f>
        <v/>
      </c>
      <c r="B406" s="40" t="n"/>
      <c r="C406" s="41" t="n"/>
      <c r="D406" s="41" t="n"/>
      <c r="E406" s="41" t="n"/>
      <c r="F406" s="41" t="n"/>
      <c r="G406" s="41" t="n"/>
      <c r="H406" s="41" t="n"/>
      <c r="I406" s="50" t="n"/>
      <c r="J406" s="42" t="n"/>
      <c r="K406" s="42" t="n"/>
      <c r="L406" s="43">
        <f>IF($B406="","",ROUND((N($J406)+N($K406))*نسبة_القيمة_المضافة,2))</f>
        <v/>
      </c>
      <c r="M406" s="42" t="n"/>
      <c r="N406" s="42" t="n"/>
      <c r="O406" s="43">
        <f>IF($B406="","",N($J406)+N($K406)+N($L406)-N($M406)+N($N406))</f>
        <v/>
      </c>
      <c r="P406" s="42" t="n"/>
      <c r="Q406" s="43">
        <f>IF($B406="","",N($O406)-N($P406))</f>
        <v/>
      </c>
      <c r="R406" s="42" t="n"/>
      <c r="S406" s="42" t="n"/>
      <c r="T406" s="42" t="n"/>
      <c r="U406" s="43">
        <f>IF($B406="","",N($J406)-N($R406)-N($T406))</f>
        <v/>
      </c>
      <c r="V406" s="42" t="n"/>
    </row>
    <row r="407">
      <c r="A407" s="39">
        <f>IF($B407="","",COUNTA($B$4:$B407))</f>
        <v/>
      </c>
      <c r="B407" s="45" t="n"/>
      <c r="C407" s="46" t="n"/>
      <c r="D407" s="46" t="n"/>
      <c r="E407" s="46" t="n"/>
      <c r="F407" s="46" t="n"/>
      <c r="G407" s="46" t="n"/>
      <c r="H407" s="46" t="n"/>
      <c r="I407" s="51" t="n"/>
      <c r="J407" s="47" t="n"/>
      <c r="K407" s="47" t="n"/>
      <c r="L407" s="43">
        <f>IF($B407="","",ROUND((N($J407)+N($K407))*نسبة_القيمة_المضافة,2))</f>
        <v/>
      </c>
      <c r="M407" s="47" t="n"/>
      <c r="N407" s="47" t="n"/>
      <c r="O407" s="43">
        <f>IF($B407="","",N($J407)+N($K407)+N($L407)-N($M407)+N($N407))</f>
        <v/>
      </c>
      <c r="P407" s="47" t="n"/>
      <c r="Q407" s="43">
        <f>IF($B407="","",N($O407)-N($P407))</f>
        <v/>
      </c>
      <c r="R407" s="47" t="n"/>
      <c r="S407" s="47" t="n"/>
      <c r="T407" s="47" t="n"/>
      <c r="U407" s="43">
        <f>IF($B407="","",N($J407)-N($R407)-N($T407))</f>
        <v/>
      </c>
      <c r="V407" s="47" t="n"/>
    </row>
    <row r="408">
      <c r="A408" s="39">
        <f>IF($B408="","",COUNTA($B$4:$B408))</f>
        <v/>
      </c>
      <c r="B408" s="40" t="n"/>
      <c r="C408" s="41" t="n"/>
      <c r="D408" s="41" t="n"/>
      <c r="E408" s="41" t="n"/>
      <c r="F408" s="41" t="n"/>
      <c r="G408" s="41" t="n"/>
      <c r="H408" s="41" t="n"/>
      <c r="I408" s="50" t="n"/>
      <c r="J408" s="42" t="n"/>
      <c r="K408" s="42" t="n"/>
      <c r="L408" s="43">
        <f>IF($B408="","",ROUND((N($J408)+N($K408))*نسبة_القيمة_المضافة,2))</f>
        <v/>
      </c>
      <c r="M408" s="42" t="n"/>
      <c r="N408" s="42" t="n"/>
      <c r="O408" s="43">
        <f>IF($B408="","",N($J408)+N($K408)+N($L408)-N($M408)+N($N408))</f>
        <v/>
      </c>
      <c r="P408" s="42" t="n"/>
      <c r="Q408" s="43">
        <f>IF($B408="","",N($O408)-N($P408))</f>
        <v/>
      </c>
      <c r="R408" s="42" t="n"/>
      <c r="S408" s="42" t="n"/>
      <c r="T408" s="42" t="n"/>
      <c r="U408" s="43">
        <f>IF($B408="","",N($J408)-N($R408)-N($T408))</f>
        <v/>
      </c>
      <c r="V408" s="42" t="n"/>
    </row>
    <row r="409">
      <c r="A409" s="39">
        <f>IF($B409="","",COUNTA($B$4:$B409))</f>
        <v/>
      </c>
      <c r="B409" s="45" t="n"/>
      <c r="C409" s="46" t="n"/>
      <c r="D409" s="46" t="n"/>
      <c r="E409" s="46" t="n"/>
      <c r="F409" s="46" t="n"/>
      <c r="G409" s="46" t="n"/>
      <c r="H409" s="46" t="n"/>
      <c r="I409" s="51" t="n"/>
      <c r="J409" s="47" t="n"/>
      <c r="K409" s="47" t="n"/>
      <c r="L409" s="43">
        <f>IF($B409="","",ROUND((N($J409)+N($K409))*نسبة_القيمة_المضافة,2))</f>
        <v/>
      </c>
      <c r="M409" s="47" t="n"/>
      <c r="N409" s="47" t="n"/>
      <c r="O409" s="43">
        <f>IF($B409="","",N($J409)+N($K409)+N($L409)-N($M409)+N($N409))</f>
        <v/>
      </c>
      <c r="P409" s="47" t="n"/>
      <c r="Q409" s="43">
        <f>IF($B409="","",N($O409)-N($P409))</f>
        <v/>
      </c>
      <c r="R409" s="47" t="n"/>
      <c r="S409" s="47" t="n"/>
      <c r="T409" s="47" t="n"/>
      <c r="U409" s="43">
        <f>IF($B409="","",N($J409)-N($R409)-N($T409))</f>
        <v/>
      </c>
      <c r="V409" s="47" t="n"/>
    </row>
    <row r="410">
      <c r="A410" s="39">
        <f>IF($B410="","",COUNTA($B$4:$B410))</f>
        <v/>
      </c>
      <c r="B410" s="40" t="n"/>
      <c r="C410" s="41" t="n"/>
      <c r="D410" s="41" t="n"/>
      <c r="E410" s="41" t="n"/>
      <c r="F410" s="41" t="n"/>
      <c r="G410" s="41" t="n"/>
      <c r="H410" s="41" t="n"/>
      <c r="I410" s="50" t="n"/>
      <c r="J410" s="42" t="n"/>
      <c r="K410" s="42" t="n"/>
      <c r="L410" s="43">
        <f>IF($B410="","",ROUND((N($J410)+N($K410))*نسبة_القيمة_المضافة,2))</f>
        <v/>
      </c>
      <c r="M410" s="42" t="n"/>
      <c r="N410" s="42" t="n"/>
      <c r="O410" s="43">
        <f>IF($B410="","",N($J410)+N($K410)+N($L410)-N($M410)+N($N410))</f>
        <v/>
      </c>
      <c r="P410" s="42" t="n"/>
      <c r="Q410" s="43">
        <f>IF($B410="","",N($O410)-N($P410))</f>
        <v/>
      </c>
      <c r="R410" s="42" t="n"/>
      <c r="S410" s="42" t="n"/>
      <c r="T410" s="42" t="n"/>
      <c r="U410" s="43">
        <f>IF($B410="","",N($J410)-N($R410)-N($T410))</f>
        <v/>
      </c>
      <c r="V410" s="42" t="n"/>
    </row>
    <row r="411">
      <c r="A411" s="39">
        <f>IF($B411="","",COUNTA($B$4:$B411))</f>
        <v/>
      </c>
      <c r="B411" s="45" t="n"/>
      <c r="C411" s="46" t="n"/>
      <c r="D411" s="46" t="n"/>
      <c r="E411" s="46" t="n"/>
      <c r="F411" s="46" t="n"/>
      <c r="G411" s="46" t="n"/>
      <c r="H411" s="46" t="n"/>
      <c r="I411" s="51" t="n"/>
      <c r="J411" s="47" t="n"/>
      <c r="K411" s="47" t="n"/>
      <c r="L411" s="43">
        <f>IF($B411="","",ROUND((N($J411)+N($K411))*نسبة_القيمة_المضافة,2))</f>
        <v/>
      </c>
      <c r="M411" s="47" t="n"/>
      <c r="N411" s="47" t="n"/>
      <c r="O411" s="43">
        <f>IF($B411="","",N($J411)+N($K411)+N($L411)-N($M411)+N($N411))</f>
        <v/>
      </c>
      <c r="P411" s="47" t="n"/>
      <c r="Q411" s="43">
        <f>IF($B411="","",N($O411)-N($P411))</f>
        <v/>
      </c>
      <c r="R411" s="47" t="n"/>
      <c r="S411" s="47" t="n"/>
      <c r="T411" s="47" t="n"/>
      <c r="U411" s="43">
        <f>IF($B411="","",N($J411)-N($R411)-N($T411))</f>
        <v/>
      </c>
      <c r="V411" s="47" t="n"/>
    </row>
    <row r="412">
      <c r="A412" s="39">
        <f>IF($B412="","",COUNTA($B$4:$B412))</f>
        <v/>
      </c>
      <c r="B412" s="40" t="n"/>
      <c r="C412" s="41" t="n"/>
      <c r="D412" s="41" t="n"/>
      <c r="E412" s="41" t="n"/>
      <c r="F412" s="41" t="n"/>
      <c r="G412" s="41" t="n"/>
      <c r="H412" s="41" t="n"/>
      <c r="I412" s="50" t="n"/>
      <c r="J412" s="42" t="n"/>
      <c r="K412" s="42" t="n"/>
      <c r="L412" s="43">
        <f>IF($B412="","",ROUND((N($J412)+N($K412))*نسبة_القيمة_المضافة,2))</f>
        <v/>
      </c>
      <c r="M412" s="42" t="n"/>
      <c r="N412" s="42" t="n"/>
      <c r="O412" s="43">
        <f>IF($B412="","",N($J412)+N($K412)+N($L412)-N($M412)+N($N412))</f>
        <v/>
      </c>
      <c r="P412" s="42" t="n"/>
      <c r="Q412" s="43">
        <f>IF($B412="","",N($O412)-N($P412))</f>
        <v/>
      </c>
      <c r="R412" s="42" t="n"/>
      <c r="S412" s="42" t="n"/>
      <c r="T412" s="42" t="n"/>
      <c r="U412" s="43">
        <f>IF($B412="","",N($J412)-N($R412)-N($T412))</f>
        <v/>
      </c>
      <c r="V412" s="42" t="n"/>
    </row>
    <row r="413">
      <c r="A413" s="39">
        <f>IF($B413="","",COUNTA($B$4:$B413))</f>
        <v/>
      </c>
      <c r="B413" s="45" t="n"/>
      <c r="C413" s="46" t="n"/>
      <c r="D413" s="46" t="n"/>
      <c r="E413" s="46" t="n"/>
      <c r="F413" s="46" t="n"/>
      <c r="G413" s="46" t="n"/>
      <c r="H413" s="46" t="n"/>
      <c r="I413" s="51" t="n"/>
      <c r="J413" s="47" t="n"/>
      <c r="K413" s="47" t="n"/>
      <c r="L413" s="43">
        <f>IF($B413="","",ROUND((N($J413)+N($K413))*نسبة_القيمة_المضافة,2))</f>
        <v/>
      </c>
      <c r="M413" s="47" t="n"/>
      <c r="N413" s="47" t="n"/>
      <c r="O413" s="43">
        <f>IF($B413="","",N($J413)+N($K413)+N($L413)-N($M413)+N($N413))</f>
        <v/>
      </c>
      <c r="P413" s="47" t="n"/>
      <c r="Q413" s="43">
        <f>IF($B413="","",N($O413)-N($P413))</f>
        <v/>
      </c>
      <c r="R413" s="47" t="n"/>
      <c r="S413" s="47" t="n"/>
      <c r="T413" s="47" t="n"/>
      <c r="U413" s="43">
        <f>IF($B413="","",N($J413)-N($R413)-N($T413))</f>
        <v/>
      </c>
      <c r="V413" s="47" t="n"/>
    </row>
    <row r="414">
      <c r="A414" s="39">
        <f>IF($B414="","",COUNTA($B$4:$B414))</f>
        <v/>
      </c>
      <c r="B414" s="40" t="n"/>
      <c r="C414" s="41" t="n"/>
      <c r="D414" s="41" t="n"/>
      <c r="E414" s="41" t="n"/>
      <c r="F414" s="41" t="n"/>
      <c r="G414" s="41" t="n"/>
      <c r="H414" s="41" t="n"/>
      <c r="I414" s="50" t="n"/>
      <c r="J414" s="42" t="n"/>
      <c r="K414" s="42" t="n"/>
      <c r="L414" s="43">
        <f>IF($B414="","",ROUND((N($J414)+N($K414))*نسبة_القيمة_المضافة,2))</f>
        <v/>
      </c>
      <c r="M414" s="42" t="n"/>
      <c r="N414" s="42" t="n"/>
      <c r="O414" s="43">
        <f>IF($B414="","",N($J414)+N($K414)+N($L414)-N($M414)+N($N414))</f>
        <v/>
      </c>
      <c r="P414" s="42" t="n"/>
      <c r="Q414" s="43">
        <f>IF($B414="","",N($O414)-N($P414))</f>
        <v/>
      </c>
      <c r="R414" s="42" t="n"/>
      <c r="S414" s="42" t="n"/>
      <c r="T414" s="42" t="n"/>
      <c r="U414" s="43">
        <f>IF($B414="","",N($J414)-N($R414)-N($T414))</f>
        <v/>
      </c>
      <c r="V414" s="42" t="n"/>
    </row>
    <row r="415">
      <c r="A415" s="39">
        <f>IF($B415="","",COUNTA($B$4:$B415))</f>
        <v/>
      </c>
      <c r="B415" s="45" t="n"/>
      <c r="C415" s="46" t="n"/>
      <c r="D415" s="46" t="n"/>
      <c r="E415" s="46" t="n"/>
      <c r="F415" s="46" t="n"/>
      <c r="G415" s="46" t="n"/>
      <c r="H415" s="46" t="n"/>
      <c r="I415" s="51" t="n"/>
      <c r="J415" s="47" t="n"/>
      <c r="K415" s="47" t="n"/>
      <c r="L415" s="43">
        <f>IF($B415="","",ROUND((N($J415)+N($K415))*نسبة_القيمة_المضافة,2))</f>
        <v/>
      </c>
      <c r="M415" s="47" t="n"/>
      <c r="N415" s="47" t="n"/>
      <c r="O415" s="43">
        <f>IF($B415="","",N($J415)+N($K415)+N($L415)-N($M415)+N($N415))</f>
        <v/>
      </c>
      <c r="P415" s="47" t="n"/>
      <c r="Q415" s="43">
        <f>IF($B415="","",N($O415)-N($P415))</f>
        <v/>
      </c>
      <c r="R415" s="47" t="n"/>
      <c r="S415" s="47" t="n"/>
      <c r="T415" s="47" t="n"/>
      <c r="U415" s="43">
        <f>IF($B415="","",N($J415)-N($R415)-N($T415))</f>
        <v/>
      </c>
      <c r="V415" s="47" t="n"/>
    </row>
    <row r="416">
      <c r="A416" s="39">
        <f>IF($B416="","",COUNTA($B$4:$B416))</f>
        <v/>
      </c>
      <c r="B416" s="40" t="n"/>
      <c r="C416" s="41" t="n"/>
      <c r="D416" s="41" t="n"/>
      <c r="E416" s="41" t="n"/>
      <c r="F416" s="41" t="n"/>
      <c r="G416" s="41" t="n"/>
      <c r="H416" s="41" t="n"/>
      <c r="I416" s="50" t="n"/>
      <c r="J416" s="42" t="n"/>
      <c r="K416" s="42" t="n"/>
      <c r="L416" s="43">
        <f>IF($B416="","",ROUND((N($J416)+N($K416))*نسبة_القيمة_المضافة,2))</f>
        <v/>
      </c>
      <c r="M416" s="42" t="n"/>
      <c r="N416" s="42" t="n"/>
      <c r="O416" s="43">
        <f>IF($B416="","",N($J416)+N($K416)+N($L416)-N($M416)+N($N416))</f>
        <v/>
      </c>
      <c r="P416" s="42" t="n"/>
      <c r="Q416" s="43">
        <f>IF($B416="","",N($O416)-N($P416))</f>
        <v/>
      </c>
      <c r="R416" s="42" t="n"/>
      <c r="S416" s="42" t="n"/>
      <c r="T416" s="42" t="n"/>
      <c r="U416" s="43">
        <f>IF($B416="","",N($J416)-N($R416)-N($T416))</f>
        <v/>
      </c>
      <c r="V416" s="42" t="n"/>
    </row>
    <row r="417">
      <c r="A417" s="39">
        <f>IF($B417="","",COUNTA($B$4:$B417))</f>
        <v/>
      </c>
      <c r="B417" s="45" t="n"/>
      <c r="C417" s="46" t="n"/>
      <c r="D417" s="46" t="n"/>
      <c r="E417" s="46" t="n"/>
      <c r="F417" s="46" t="n"/>
      <c r="G417" s="46" t="n"/>
      <c r="H417" s="46" t="n"/>
      <c r="I417" s="51" t="n"/>
      <c r="J417" s="47" t="n"/>
      <c r="K417" s="47" t="n"/>
      <c r="L417" s="43">
        <f>IF($B417="","",ROUND((N($J417)+N($K417))*نسبة_القيمة_المضافة,2))</f>
        <v/>
      </c>
      <c r="M417" s="47" t="n"/>
      <c r="N417" s="47" t="n"/>
      <c r="O417" s="43">
        <f>IF($B417="","",N($J417)+N($K417)+N($L417)-N($M417)+N($N417))</f>
        <v/>
      </c>
      <c r="P417" s="47" t="n"/>
      <c r="Q417" s="43">
        <f>IF($B417="","",N($O417)-N($P417))</f>
        <v/>
      </c>
      <c r="R417" s="47" t="n"/>
      <c r="S417" s="47" t="n"/>
      <c r="T417" s="47" t="n"/>
      <c r="U417" s="43">
        <f>IF($B417="","",N($J417)-N($R417)-N($T417))</f>
        <v/>
      </c>
      <c r="V417" s="47" t="n"/>
    </row>
    <row r="418">
      <c r="A418" s="39">
        <f>IF($B418="","",COUNTA($B$4:$B418))</f>
        <v/>
      </c>
      <c r="B418" s="40" t="n"/>
      <c r="C418" s="41" t="n"/>
      <c r="D418" s="41" t="n"/>
      <c r="E418" s="41" t="n"/>
      <c r="F418" s="41" t="n"/>
      <c r="G418" s="41" t="n"/>
      <c r="H418" s="41" t="n"/>
      <c r="I418" s="50" t="n"/>
      <c r="J418" s="42" t="n"/>
      <c r="K418" s="42" t="n"/>
      <c r="L418" s="43">
        <f>IF($B418="","",ROUND((N($J418)+N($K418))*نسبة_القيمة_المضافة,2))</f>
        <v/>
      </c>
      <c r="M418" s="42" t="n"/>
      <c r="N418" s="42" t="n"/>
      <c r="O418" s="43">
        <f>IF($B418="","",N($J418)+N($K418)+N($L418)-N($M418)+N($N418))</f>
        <v/>
      </c>
      <c r="P418" s="42" t="n"/>
      <c r="Q418" s="43">
        <f>IF($B418="","",N($O418)-N($P418))</f>
        <v/>
      </c>
      <c r="R418" s="42" t="n"/>
      <c r="S418" s="42" t="n"/>
      <c r="T418" s="42" t="n"/>
      <c r="U418" s="43">
        <f>IF($B418="","",N($J418)-N($R418)-N($T418))</f>
        <v/>
      </c>
      <c r="V418" s="42" t="n"/>
    </row>
    <row r="419">
      <c r="A419" s="39">
        <f>IF($B419="","",COUNTA($B$4:$B419))</f>
        <v/>
      </c>
      <c r="B419" s="45" t="n"/>
      <c r="C419" s="46" t="n"/>
      <c r="D419" s="46" t="n"/>
      <c r="E419" s="46" t="n"/>
      <c r="F419" s="46" t="n"/>
      <c r="G419" s="46" t="n"/>
      <c r="H419" s="46" t="n"/>
      <c r="I419" s="51" t="n"/>
      <c r="J419" s="47" t="n"/>
      <c r="K419" s="47" t="n"/>
      <c r="L419" s="43">
        <f>IF($B419="","",ROUND((N($J419)+N($K419))*نسبة_القيمة_المضافة,2))</f>
        <v/>
      </c>
      <c r="M419" s="47" t="n"/>
      <c r="N419" s="47" t="n"/>
      <c r="O419" s="43">
        <f>IF($B419="","",N($J419)+N($K419)+N($L419)-N($M419)+N($N419))</f>
        <v/>
      </c>
      <c r="P419" s="47" t="n"/>
      <c r="Q419" s="43">
        <f>IF($B419="","",N($O419)-N($P419))</f>
        <v/>
      </c>
      <c r="R419" s="47" t="n"/>
      <c r="S419" s="47" t="n"/>
      <c r="T419" s="47" t="n"/>
      <c r="U419" s="43">
        <f>IF($B419="","",N($J419)-N($R419)-N($T419))</f>
        <v/>
      </c>
      <c r="V419" s="47" t="n"/>
    </row>
    <row r="420">
      <c r="A420" s="39">
        <f>IF($B420="","",COUNTA($B$4:$B420))</f>
        <v/>
      </c>
      <c r="B420" s="40" t="n"/>
      <c r="C420" s="41" t="n"/>
      <c r="D420" s="41" t="n"/>
      <c r="E420" s="41" t="n"/>
      <c r="F420" s="41" t="n"/>
      <c r="G420" s="41" t="n"/>
      <c r="H420" s="41" t="n"/>
      <c r="I420" s="50" t="n"/>
      <c r="J420" s="42" t="n"/>
      <c r="K420" s="42" t="n"/>
      <c r="L420" s="43">
        <f>IF($B420="","",ROUND((N($J420)+N($K420))*نسبة_القيمة_المضافة,2))</f>
        <v/>
      </c>
      <c r="M420" s="42" t="n"/>
      <c r="N420" s="42" t="n"/>
      <c r="O420" s="43">
        <f>IF($B420="","",N($J420)+N($K420)+N($L420)-N($M420)+N($N420))</f>
        <v/>
      </c>
      <c r="P420" s="42" t="n"/>
      <c r="Q420" s="43">
        <f>IF($B420="","",N($O420)-N($P420))</f>
        <v/>
      </c>
      <c r="R420" s="42" t="n"/>
      <c r="S420" s="42" t="n"/>
      <c r="T420" s="42" t="n"/>
      <c r="U420" s="43">
        <f>IF($B420="","",N($J420)-N($R420)-N($T420))</f>
        <v/>
      </c>
      <c r="V420" s="42" t="n"/>
    </row>
    <row r="421">
      <c r="A421" s="39">
        <f>IF($B421="","",COUNTA($B$4:$B421))</f>
        <v/>
      </c>
      <c r="B421" s="45" t="n"/>
      <c r="C421" s="46" t="n"/>
      <c r="D421" s="46" t="n"/>
      <c r="E421" s="46" t="n"/>
      <c r="F421" s="46" t="n"/>
      <c r="G421" s="46" t="n"/>
      <c r="H421" s="46" t="n"/>
      <c r="I421" s="51" t="n"/>
      <c r="J421" s="47" t="n"/>
      <c r="K421" s="47" t="n"/>
      <c r="L421" s="43">
        <f>IF($B421="","",ROUND((N($J421)+N($K421))*نسبة_القيمة_المضافة,2))</f>
        <v/>
      </c>
      <c r="M421" s="47" t="n"/>
      <c r="N421" s="47" t="n"/>
      <c r="O421" s="43">
        <f>IF($B421="","",N($J421)+N($K421)+N($L421)-N($M421)+N($N421))</f>
        <v/>
      </c>
      <c r="P421" s="47" t="n"/>
      <c r="Q421" s="43">
        <f>IF($B421="","",N($O421)-N($P421))</f>
        <v/>
      </c>
      <c r="R421" s="47" t="n"/>
      <c r="S421" s="47" t="n"/>
      <c r="T421" s="47" t="n"/>
      <c r="U421" s="43">
        <f>IF($B421="","",N($J421)-N($R421)-N($T421))</f>
        <v/>
      </c>
      <c r="V421" s="47" t="n"/>
    </row>
    <row r="422">
      <c r="A422" s="39">
        <f>IF($B422="","",COUNTA($B$4:$B422))</f>
        <v/>
      </c>
      <c r="B422" s="40" t="n"/>
      <c r="C422" s="41" t="n"/>
      <c r="D422" s="41" t="n"/>
      <c r="E422" s="41" t="n"/>
      <c r="F422" s="41" t="n"/>
      <c r="G422" s="41" t="n"/>
      <c r="H422" s="41" t="n"/>
      <c r="I422" s="50" t="n"/>
      <c r="J422" s="42" t="n"/>
      <c r="K422" s="42" t="n"/>
      <c r="L422" s="43">
        <f>IF($B422="","",ROUND((N($J422)+N($K422))*نسبة_القيمة_المضافة,2))</f>
        <v/>
      </c>
      <c r="M422" s="42" t="n"/>
      <c r="N422" s="42" t="n"/>
      <c r="O422" s="43">
        <f>IF($B422="","",N($J422)+N($K422)+N($L422)-N($M422)+N($N422))</f>
        <v/>
      </c>
      <c r="P422" s="42" t="n"/>
      <c r="Q422" s="43">
        <f>IF($B422="","",N($O422)-N($P422))</f>
        <v/>
      </c>
      <c r="R422" s="42" t="n"/>
      <c r="S422" s="42" t="n"/>
      <c r="T422" s="42" t="n"/>
      <c r="U422" s="43">
        <f>IF($B422="","",N($J422)-N($R422)-N($T422))</f>
        <v/>
      </c>
      <c r="V422" s="42" t="n"/>
    </row>
    <row r="423">
      <c r="A423" s="39">
        <f>IF($B423="","",COUNTA($B$4:$B423))</f>
        <v/>
      </c>
      <c r="B423" s="45" t="n"/>
      <c r="C423" s="46" t="n"/>
      <c r="D423" s="46" t="n"/>
      <c r="E423" s="46" t="n"/>
      <c r="F423" s="46" t="n"/>
      <c r="G423" s="46" t="n"/>
      <c r="H423" s="46" t="n"/>
      <c r="I423" s="51" t="n"/>
      <c r="J423" s="47" t="n"/>
      <c r="K423" s="47" t="n"/>
      <c r="L423" s="43">
        <f>IF($B423="","",ROUND((N($J423)+N($K423))*نسبة_القيمة_المضافة,2))</f>
        <v/>
      </c>
      <c r="M423" s="47" t="n"/>
      <c r="N423" s="47" t="n"/>
      <c r="O423" s="43">
        <f>IF($B423="","",N($J423)+N($K423)+N($L423)-N($M423)+N($N423))</f>
        <v/>
      </c>
      <c r="P423" s="47" t="n"/>
      <c r="Q423" s="43">
        <f>IF($B423="","",N($O423)-N($P423))</f>
        <v/>
      </c>
      <c r="R423" s="47" t="n"/>
      <c r="S423" s="47" t="n"/>
      <c r="T423" s="47" t="n"/>
      <c r="U423" s="43">
        <f>IF($B423="","",N($J423)-N($R423)-N($T423))</f>
        <v/>
      </c>
      <c r="V423" s="47" t="n"/>
    </row>
    <row r="424">
      <c r="A424" s="39">
        <f>IF($B424="","",COUNTA($B$4:$B424))</f>
        <v/>
      </c>
      <c r="B424" s="40" t="n"/>
      <c r="C424" s="41" t="n"/>
      <c r="D424" s="41" t="n"/>
      <c r="E424" s="41" t="n"/>
      <c r="F424" s="41" t="n"/>
      <c r="G424" s="41" t="n"/>
      <c r="H424" s="41" t="n"/>
      <c r="I424" s="50" t="n"/>
      <c r="J424" s="42" t="n"/>
      <c r="K424" s="42" t="n"/>
      <c r="L424" s="43">
        <f>IF($B424="","",ROUND((N($J424)+N($K424))*نسبة_القيمة_المضافة,2))</f>
        <v/>
      </c>
      <c r="M424" s="42" t="n"/>
      <c r="N424" s="42" t="n"/>
      <c r="O424" s="43">
        <f>IF($B424="","",N($J424)+N($K424)+N($L424)-N($M424)+N($N424))</f>
        <v/>
      </c>
      <c r="P424" s="42" t="n"/>
      <c r="Q424" s="43">
        <f>IF($B424="","",N($O424)-N($P424))</f>
        <v/>
      </c>
      <c r="R424" s="42" t="n"/>
      <c r="S424" s="42" t="n"/>
      <c r="T424" s="42" t="n"/>
      <c r="U424" s="43">
        <f>IF($B424="","",N($J424)-N($R424)-N($T424))</f>
        <v/>
      </c>
      <c r="V424" s="42" t="n"/>
    </row>
    <row r="425">
      <c r="A425" s="39">
        <f>IF($B425="","",COUNTA($B$4:$B425))</f>
        <v/>
      </c>
      <c r="B425" s="45" t="n"/>
      <c r="C425" s="46" t="n"/>
      <c r="D425" s="46" t="n"/>
      <c r="E425" s="46" t="n"/>
      <c r="F425" s="46" t="n"/>
      <c r="G425" s="46" t="n"/>
      <c r="H425" s="46" t="n"/>
      <c r="I425" s="51" t="n"/>
      <c r="J425" s="47" t="n"/>
      <c r="K425" s="47" t="n"/>
      <c r="L425" s="43">
        <f>IF($B425="","",ROUND((N($J425)+N($K425))*نسبة_القيمة_المضافة,2))</f>
        <v/>
      </c>
      <c r="M425" s="47" t="n"/>
      <c r="N425" s="47" t="n"/>
      <c r="O425" s="43">
        <f>IF($B425="","",N($J425)+N($K425)+N($L425)-N($M425)+N($N425))</f>
        <v/>
      </c>
      <c r="P425" s="47" t="n"/>
      <c r="Q425" s="43">
        <f>IF($B425="","",N($O425)-N($P425))</f>
        <v/>
      </c>
      <c r="R425" s="47" t="n"/>
      <c r="S425" s="47" t="n"/>
      <c r="T425" s="47" t="n"/>
      <c r="U425" s="43">
        <f>IF($B425="","",N($J425)-N($R425)-N($T425))</f>
        <v/>
      </c>
      <c r="V425" s="47" t="n"/>
    </row>
    <row r="426">
      <c r="A426" s="39">
        <f>IF($B426="","",COUNTA($B$4:$B426))</f>
        <v/>
      </c>
      <c r="B426" s="40" t="n"/>
      <c r="C426" s="41" t="n"/>
      <c r="D426" s="41" t="n"/>
      <c r="E426" s="41" t="n"/>
      <c r="F426" s="41" t="n"/>
      <c r="G426" s="41" t="n"/>
      <c r="H426" s="41" t="n"/>
      <c r="I426" s="50" t="n"/>
      <c r="J426" s="42" t="n"/>
      <c r="K426" s="42" t="n"/>
      <c r="L426" s="43">
        <f>IF($B426="","",ROUND((N($J426)+N($K426))*نسبة_القيمة_المضافة,2))</f>
        <v/>
      </c>
      <c r="M426" s="42" t="n"/>
      <c r="N426" s="42" t="n"/>
      <c r="O426" s="43">
        <f>IF($B426="","",N($J426)+N($K426)+N($L426)-N($M426)+N($N426))</f>
        <v/>
      </c>
      <c r="P426" s="42" t="n"/>
      <c r="Q426" s="43">
        <f>IF($B426="","",N($O426)-N($P426))</f>
        <v/>
      </c>
      <c r="R426" s="42" t="n"/>
      <c r="S426" s="42" t="n"/>
      <c r="T426" s="42" t="n"/>
      <c r="U426" s="43">
        <f>IF($B426="","",N($J426)-N($R426)-N($T426))</f>
        <v/>
      </c>
      <c r="V426" s="42" t="n"/>
    </row>
    <row r="427">
      <c r="A427" s="39">
        <f>IF($B427="","",COUNTA($B$4:$B427))</f>
        <v/>
      </c>
      <c r="B427" s="45" t="n"/>
      <c r="C427" s="46" t="n"/>
      <c r="D427" s="46" t="n"/>
      <c r="E427" s="46" t="n"/>
      <c r="F427" s="46" t="n"/>
      <c r="G427" s="46" t="n"/>
      <c r="H427" s="46" t="n"/>
      <c r="I427" s="51" t="n"/>
      <c r="J427" s="47" t="n"/>
      <c r="K427" s="47" t="n"/>
      <c r="L427" s="43">
        <f>IF($B427="","",ROUND((N($J427)+N($K427))*نسبة_القيمة_المضافة,2))</f>
        <v/>
      </c>
      <c r="M427" s="47" t="n"/>
      <c r="N427" s="47" t="n"/>
      <c r="O427" s="43">
        <f>IF($B427="","",N($J427)+N($K427)+N($L427)-N($M427)+N($N427))</f>
        <v/>
      </c>
      <c r="P427" s="47" t="n"/>
      <c r="Q427" s="43">
        <f>IF($B427="","",N($O427)-N($P427))</f>
        <v/>
      </c>
      <c r="R427" s="47" t="n"/>
      <c r="S427" s="47" t="n"/>
      <c r="T427" s="47" t="n"/>
      <c r="U427" s="43">
        <f>IF($B427="","",N($J427)-N($R427)-N($T427))</f>
        <v/>
      </c>
      <c r="V427" s="47" t="n"/>
    </row>
    <row r="428">
      <c r="A428" s="39">
        <f>IF($B428="","",COUNTA($B$4:$B428))</f>
        <v/>
      </c>
      <c r="B428" s="40" t="n"/>
      <c r="C428" s="41" t="n"/>
      <c r="D428" s="41" t="n"/>
      <c r="E428" s="41" t="n"/>
      <c r="F428" s="41" t="n"/>
      <c r="G428" s="41" t="n"/>
      <c r="H428" s="41" t="n"/>
      <c r="I428" s="50" t="n"/>
      <c r="J428" s="42" t="n"/>
      <c r="K428" s="42" t="n"/>
      <c r="L428" s="43">
        <f>IF($B428="","",ROUND((N($J428)+N($K428))*نسبة_القيمة_المضافة,2))</f>
        <v/>
      </c>
      <c r="M428" s="42" t="n"/>
      <c r="N428" s="42" t="n"/>
      <c r="O428" s="43">
        <f>IF($B428="","",N($J428)+N($K428)+N($L428)-N($M428)+N($N428))</f>
        <v/>
      </c>
      <c r="P428" s="42" t="n"/>
      <c r="Q428" s="43">
        <f>IF($B428="","",N($O428)-N($P428))</f>
        <v/>
      </c>
      <c r="R428" s="42" t="n"/>
      <c r="S428" s="42" t="n"/>
      <c r="T428" s="42" t="n"/>
      <c r="U428" s="43">
        <f>IF($B428="","",N($J428)-N($R428)-N($T428))</f>
        <v/>
      </c>
      <c r="V428" s="42" t="n"/>
    </row>
    <row r="429">
      <c r="A429" s="39">
        <f>IF($B429="","",COUNTA($B$4:$B429))</f>
        <v/>
      </c>
      <c r="B429" s="45" t="n"/>
      <c r="C429" s="46" t="n"/>
      <c r="D429" s="46" t="n"/>
      <c r="E429" s="46" t="n"/>
      <c r="F429" s="46" t="n"/>
      <c r="G429" s="46" t="n"/>
      <c r="H429" s="46" t="n"/>
      <c r="I429" s="51" t="n"/>
      <c r="J429" s="47" t="n"/>
      <c r="K429" s="47" t="n"/>
      <c r="L429" s="43">
        <f>IF($B429="","",ROUND((N($J429)+N($K429))*نسبة_القيمة_المضافة,2))</f>
        <v/>
      </c>
      <c r="M429" s="47" t="n"/>
      <c r="N429" s="47" t="n"/>
      <c r="O429" s="43">
        <f>IF($B429="","",N($J429)+N($K429)+N($L429)-N($M429)+N($N429))</f>
        <v/>
      </c>
      <c r="P429" s="47" t="n"/>
      <c r="Q429" s="43">
        <f>IF($B429="","",N($O429)-N($P429))</f>
        <v/>
      </c>
      <c r="R429" s="47" t="n"/>
      <c r="S429" s="47" t="n"/>
      <c r="T429" s="47" t="n"/>
      <c r="U429" s="43">
        <f>IF($B429="","",N($J429)-N($R429)-N($T429))</f>
        <v/>
      </c>
      <c r="V429" s="47" t="n"/>
    </row>
    <row r="430">
      <c r="A430" s="39">
        <f>IF($B430="","",COUNTA($B$4:$B430))</f>
        <v/>
      </c>
      <c r="B430" s="40" t="n"/>
      <c r="C430" s="41" t="n"/>
      <c r="D430" s="41" t="n"/>
      <c r="E430" s="41" t="n"/>
      <c r="F430" s="41" t="n"/>
      <c r="G430" s="41" t="n"/>
      <c r="H430" s="41" t="n"/>
      <c r="I430" s="50" t="n"/>
      <c r="J430" s="42" t="n"/>
      <c r="K430" s="42" t="n"/>
      <c r="L430" s="43">
        <f>IF($B430="","",ROUND((N($J430)+N($K430))*نسبة_القيمة_المضافة,2))</f>
        <v/>
      </c>
      <c r="M430" s="42" t="n"/>
      <c r="N430" s="42" t="n"/>
      <c r="O430" s="43">
        <f>IF($B430="","",N($J430)+N($K430)+N($L430)-N($M430)+N($N430))</f>
        <v/>
      </c>
      <c r="P430" s="42" t="n"/>
      <c r="Q430" s="43">
        <f>IF($B430="","",N($O430)-N($P430))</f>
        <v/>
      </c>
      <c r="R430" s="42" t="n"/>
      <c r="S430" s="42" t="n"/>
      <c r="T430" s="42" t="n"/>
      <c r="U430" s="43">
        <f>IF($B430="","",N($J430)-N($R430)-N($T430))</f>
        <v/>
      </c>
      <c r="V430" s="42" t="n"/>
    </row>
    <row r="431">
      <c r="A431" s="39">
        <f>IF($B431="","",COUNTA($B$4:$B431))</f>
        <v/>
      </c>
      <c r="B431" s="45" t="n"/>
      <c r="C431" s="46" t="n"/>
      <c r="D431" s="46" t="n"/>
      <c r="E431" s="46" t="n"/>
      <c r="F431" s="46" t="n"/>
      <c r="G431" s="46" t="n"/>
      <c r="H431" s="46" t="n"/>
      <c r="I431" s="51" t="n"/>
      <c r="J431" s="47" t="n"/>
      <c r="K431" s="47" t="n"/>
      <c r="L431" s="43">
        <f>IF($B431="","",ROUND((N($J431)+N($K431))*نسبة_القيمة_المضافة,2))</f>
        <v/>
      </c>
      <c r="M431" s="47" t="n"/>
      <c r="N431" s="47" t="n"/>
      <c r="O431" s="43">
        <f>IF($B431="","",N($J431)+N($K431)+N($L431)-N($M431)+N($N431))</f>
        <v/>
      </c>
      <c r="P431" s="47" t="n"/>
      <c r="Q431" s="43">
        <f>IF($B431="","",N($O431)-N($P431))</f>
        <v/>
      </c>
      <c r="R431" s="47" t="n"/>
      <c r="S431" s="47" t="n"/>
      <c r="T431" s="47" t="n"/>
      <c r="U431" s="43">
        <f>IF($B431="","",N($J431)-N($R431)-N($T431))</f>
        <v/>
      </c>
      <c r="V431" s="47" t="n"/>
    </row>
    <row r="432">
      <c r="A432" s="39">
        <f>IF($B432="","",COUNTA($B$4:$B432))</f>
        <v/>
      </c>
      <c r="B432" s="40" t="n"/>
      <c r="C432" s="41" t="n"/>
      <c r="D432" s="41" t="n"/>
      <c r="E432" s="41" t="n"/>
      <c r="F432" s="41" t="n"/>
      <c r="G432" s="41" t="n"/>
      <c r="H432" s="41" t="n"/>
      <c r="I432" s="50" t="n"/>
      <c r="J432" s="42" t="n"/>
      <c r="K432" s="42" t="n"/>
      <c r="L432" s="43">
        <f>IF($B432="","",ROUND((N($J432)+N($K432))*نسبة_القيمة_المضافة,2))</f>
        <v/>
      </c>
      <c r="M432" s="42" t="n"/>
      <c r="N432" s="42" t="n"/>
      <c r="O432" s="43">
        <f>IF($B432="","",N($J432)+N($K432)+N($L432)-N($M432)+N($N432))</f>
        <v/>
      </c>
      <c r="P432" s="42" t="n"/>
      <c r="Q432" s="43">
        <f>IF($B432="","",N($O432)-N($P432))</f>
        <v/>
      </c>
      <c r="R432" s="42" t="n"/>
      <c r="S432" s="42" t="n"/>
      <c r="T432" s="42" t="n"/>
      <c r="U432" s="43">
        <f>IF($B432="","",N($J432)-N($R432)-N($T432))</f>
        <v/>
      </c>
      <c r="V432" s="42" t="n"/>
    </row>
    <row r="433">
      <c r="A433" s="39">
        <f>IF($B433="","",COUNTA($B$4:$B433))</f>
        <v/>
      </c>
      <c r="B433" s="45" t="n"/>
      <c r="C433" s="46" t="n"/>
      <c r="D433" s="46" t="n"/>
      <c r="E433" s="46" t="n"/>
      <c r="F433" s="46" t="n"/>
      <c r="G433" s="46" t="n"/>
      <c r="H433" s="46" t="n"/>
      <c r="I433" s="51" t="n"/>
      <c r="J433" s="47" t="n"/>
      <c r="K433" s="47" t="n"/>
      <c r="L433" s="43">
        <f>IF($B433="","",ROUND((N($J433)+N($K433))*نسبة_القيمة_المضافة,2))</f>
        <v/>
      </c>
      <c r="M433" s="47" t="n"/>
      <c r="N433" s="47" t="n"/>
      <c r="O433" s="43">
        <f>IF($B433="","",N($J433)+N($K433)+N($L433)-N($M433)+N($N433))</f>
        <v/>
      </c>
      <c r="P433" s="47" t="n"/>
      <c r="Q433" s="43">
        <f>IF($B433="","",N($O433)-N($P433))</f>
        <v/>
      </c>
      <c r="R433" s="47" t="n"/>
      <c r="S433" s="47" t="n"/>
      <c r="T433" s="47" t="n"/>
      <c r="U433" s="43">
        <f>IF($B433="","",N($J433)-N($R433)-N($T433))</f>
        <v/>
      </c>
      <c r="V433" s="47" t="n"/>
    </row>
    <row r="434">
      <c r="A434" s="39">
        <f>IF($B434="","",COUNTA($B$4:$B434))</f>
        <v/>
      </c>
      <c r="B434" s="40" t="n"/>
      <c r="C434" s="41" t="n"/>
      <c r="D434" s="41" t="n"/>
      <c r="E434" s="41" t="n"/>
      <c r="F434" s="41" t="n"/>
      <c r="G434" s="41" t="n"/>
      <c r="H434" s="41" t="n"/>
      <c r="I434" s="50" t="n"/>
      <c r="J434" s="42" t="n"/>
      <c r="K434" s="42" t="n"/>
      <c r="L434" s="43">
        <f>IF($B434="","",ROUND((N($J434)+N($K434))*نسبة_القيمة_المضافة,2))</f>
        <v/>
      </c>
      <c r="M434" s="42" t="n"/>
      <c r="N434" s="42" t="n"/>
      <c r="O434" s="43">
        <f>IF($B434="","",N($J434)+N($K434)+N($L434)-N($M434)+N($N434))</f>
        <v/>
      </c>
      <c r="P434" s="42" t="n"/>
      <c r="Q434" s="43">
        <f>IF($B434="","",N($O434)-N($P434))</f>
        <v/>
      </c>
      <c r="R434" s="42" t="n"/>
      <c r="S434" s="42" t="n"/>
      <c r="T434" s="42" t="n"/>
      <c r="U434" s="43">
        <f>IF($B434="","",N($J434)-N($R434)-N($T434))</f>
        <v/>
      </c>
      <c r="V434" s="42" t="n"/>
    </row>
    <row r="435">
      <c r="A435" s="39">
        <f>IF($B435="","",COUNTA($B$4:$B435))</f>
        <v/>
      </c>
      <c r="B435" s="45" t="n"/>
      <c r="C435" s="46" t="n"/>
      <c r="D435" s="46" t="n"/>
      <c r="E435" s="46" t="n"/>
      <c r="F435" s="46" t="n"/>
      <c r="G435" s="46" t="n"/>
      <c r="H435" s="46" t="n"/>
      <c r="I435" s="51" t="n"/>
      <c r="J435" s="47" t="n"/>
      <c r="K435" s="47" t="n"/>
      <c r="L435" s="43">
        <f>IF($B435="","",ROUND((N($J435)+N($K435))*نسبة_القيمة_المضافة,2))</f>
        <v/>
      </c>
      <c r="M435" s="47" t="n"/>
      <c r="N435" s="47" t="n"/>
      <c r="O435" s="43">
        <f>IF($B435="","",N($J435)+N($K435)+N($L435)-N($M435)+N($N435))</f>
        <v/>
      </c>
      <c r="P435" s="47" t="n"/>
      <c r="Q435" s="43">
        <f>IF($B435="","",N($O435)-N($P435))</f>
        <v/>
      </c>
      <c r="R435" s="47" t="n"/>
      <c r="S435" s="47" t="n"/>
      <c r="T435" s="47" t="n"/>
      <c r="U435" s="43">
        <f>IF($B435="","",N($J435)-N($R435)-N($T435))</f>
        <v/>
      </c>
      <c r="V435" s="47" t="n"/>
    </row>
    <row r="436">
      <c r="A436" s="39">
        <f>IF($B436="","",COUNTA($B$4:$B436))</f>
        <v/>
      </c>
      <c r="B436" s="40" t="n"/>
      <c r="C436" s="41" t="n"/>
      <c r="D436" s="41" t="n"/>
      <c r="E436" s="41" t="n"/>
      <c r="F436" s="41" t="n"/>
      <c r="G436" s="41" t="n"/>
      <c r="H436" s="41" t="n"/>
      <c r="I436" s="50" t="n"/>
      <c r="J436" s="42" t="n"/>
      <c r="K436" s="42" t="n"/>
      <c r="L436" s="43">
        <f>IF($B436="","",ROUND((N($J436)+N($K436))*نسبة_القيمة_المضافة,2))</f>
        <v/>
      </c>
      <c r="M436" s="42" t="n"/>
      <c r="N436" s="42" t="n"/>
      <c r="O436" s="43">
        <f>IF($B436="","",N($J436)+N($K436)+N($L436)-N($M436)+N($N436))</f>
        <v/>
      </c>
      <c r="P436" s="42" t="n"/>
      <c r="Q436" s="43">
        <f>IF($B436="","",N($O436)-N($P436))</f>
        <v/>
      </c>
      <c r="R436" s="42" t="n"/>
      <c r="S436" s="42" t="n"/>
      <c r="T436" s="42" t="n"/>
      <c r="U436" s="43">
        <f>IF($B436="","",N($J436)-N($R436)-N($T436))</f>
        <v/>
      </c>
      <c r="V436" s="42" t="n"/>
    </row>
    <row r="437">
      <c r="A437" s="39">
        <f>IF($B437="","",COUNTA($B$4:$B437))</f>
        <v/>
      </c>
      <c r="B437" s="45" t="n"/>
      <c r="C437" s="46" t="n"/>
      <c r="D437" s="46" t="n"/>
      <c r="E437" s="46" t="n"/>
      <c r="F437" s="46" t="n"/>
      <c r="G437" s="46" t="n"/>
      <c r="H437" s="46" t="n"/>
      <c r="I437" s="51" t="n"/>
      <c r="J437" s="47" t="n"/>
      <c r="K437" s="47" t="n"/>
      <c r="L437" s="43">
        <f>IF($B437="","",ROUND((N($J437)+N($K437))*نسبة_القيمة_المضافة,2))</f>
        <v/>
      </c>
      <c r="M437" s="47" t="n"/>
      <c r="N437" s="47" t="n"/>
      <c r="O437" s="43">
        <f>IF($B437="","",N($J437)+N($K437)+N($L437)-N($M437)+N($N437))</f>
        <v/>
      </c>
      <c r="P437" s="47" t="n"/>
      <c r="Q437" s="43">
        <f>IF($B437="","",N($O437)-N($P437))</f>
        <v/>
      </c>
      <c r="R437" s="47" t="n"/>
      <c r="S437" s="47" t="n"/>
      <c r="T437" s="47" t="n"/>
      <c r="U437" s="43">
        <f>IF($B437="","",N($J437)-N($R437)-N($T437))</f>
        <v/>
      </c>
      <c r="V437" s="47" t="n"/>
    </row>
    <row r="438">
      <c r="A438" s="39">
        <f>IF($B438="","",COUNTA($B$4:$B438))</f>
        <v/>
      </c>
      <c r="B438" s="40" t="n"/>
      <c r="C438" s="41" t="n"/>
      <c r="D438" s="41" t="n"/>
      <c r="E438" s="41" t="n"/>
      <c r="F438" s="41" t="n"/>
      <c r="G438" s="41" t="n"/>
      <c r="H438" s="41" t="n"/>
      <c r="I438" s="50" t="n"/>
      <c r="J438" s="42" t="n"/>
      <c r="K438" s="42" t="n"/>
      <c r="L438" s="43">
        <f>IF($B438="","",ROUND((N($J438)+N($K438))*نسبة_القيمة_المضافة,2))</f>
        <v/>
      </c>
      <c r="M438" s="42" t="n"/>
      <c r="N438" s="42" t="n"/>
      <c r="O438" s="43">
        <f>IF($B438="","",N($J438)+N($K438)+N($L438)-N($M438)+N($N438))</f>
        <v/>
      </c>
      <c r="P438" s="42" t="n"/>
      <c r="Q438" s="43">
        <f>IF($B438="","",N($O438)-N($P438))</f>
        <v/>
      </c>
      <c r="R438" s="42" t="n"/>
      <c r="S438" s="42" t="n"/>
      <c r="T438" s="42" t="n"/>
      <c r="U438" s="43">
        <f>IF($B438="","",N($J438)-N($R438)-N($T438))</f>
        <v/>
      </c>
      <c r="V438" s="42" t="n"/>
    </row>
    <row r="439">
      <c r="A439" s="39">
        <f>IF($B439="","",COUNTA($B$4:$B439))</f>
        <v/>
      </c>
      <c r="B439" s="45" t="n"/>
      <c r="C439" s="46" t="n"/>
      <c r="D439" s="46" t="n"/>
      <c r="E439" s="46" t="n"/>
      <c r="F439" s="46" t="n"/>
      <c r="G439" s="46" t="n"/>
      <c r="H439" s="46" t="n"/>
      <c r="I439" s="51" t="n"/>
      <c r="J439" s="47" t="n"/>
      <c r="K439" s="47" t="n"/>
      <c r="L439" s="43">
        <f>IF($B439="","",ROUND((N($J439)+N($K439))*نسبة_القيمة_المضافة,2))</f>
        <v/>
      </c>
      <c r="M439" s="47" t="n"/>
      <c r="N439" s="47" t="n"/>
      <c r="O439" s="43">
        <f>IF($B439="","",N($J439)+N($K439)+N($L439)-N($M439)+N($N439))</f>
        <v/>
      </c>
      <c r="P439" s="47" t="n"/>
      <c r="Q439" s="43">
        <f>IF($B439="","",N($O439)-N($P439))</f>
        <v/>
      </c>
      <c r="R439" s="47" t="n"/>
      <c r="S439" s="47" t="n"/>
      <c r="T439" s="47" t="n"/>
      <c r="U439" s="43">
        <f>IF($B439="","",N($J439)-N($R439)-N($T439))</f>
        <v/>
      </c>
      <c r="V439" s="47" t="n"/>
    </row>
    <row r="440">
      <c r="A440" s="39">
        <f>IF($B440="","",COUNTA($B$4:$B440))</f>
        <v/>
      </c>
      <c r="B440" s="40" t="n"/>
      <c r="C440" s="41" t="n"/>
      <c r="D440" s="41" t="n"/>
      <c r="E440" s="41" t="n"/>
      <c r="F440" s="41" t="n"/>
      <c r="G440" s="41" t="n"/>
      <c r="H440" s="41" t="n"/>
      <c r="I440" s="50" t="n"/>
      <c r="J440" s="42" t="n"/>
      <c r="K440" s="42" t="n"/>
      <c r="L440" s="43">
        <f>IF($B440="","",ROUND((N($J440)+N($K440))*نسبة_القيمة_المضافة,2))</f>
        <v/>
      </c>
      <c r="M440" s="42" t="n"/>
      <c r="N440" s="42" t="n"/>
      <c r="O440" s="43">
        <f>IF($B440="","",N($J440)+N($K440)+N($L440)-N($M440)+N($N440))</f>
        <v/>
      </c>
      <c r="P440" s="42" t="n"/>
      <c r="Q440" s="43">
        <f>IF($B440="","",N($O440)-N($P440))</f>
        <v/>
      </c>
      <c r="R440" s="42" t="n"/>
      <c r="S440" s="42" t="n"/>
      <c r="T440" s="42" t="n"/>
      <c r="U440" s="43">
        <f>IF($B440="","",N($J440)-N($R440)-N($T440))</f>
        <v/>
      </c>
      <c r="V440" s="42" t="n"/>
    </row>
    <row r="441">
      <c r="A441" s="39">
        <f>IF($B441="","",COUNTA($B$4:$B441))</f>
        <v/>
      </c>
      <c r="B441" s="45" t="n"/>
      <c r="C441" s="46" t="n"/>
      <c r="D441" s="46" t="n"/>
      <c r="E441" s="46" t="n"/>
      <c r="F441" s="46" t="n"/>
      <c r="G441" s="46" t="n"/>
      <c r="H441" s="46" t="n"/>
      <c r="I441" s="51" t="n"/>
      <c r="J441" s="47" t="n"/>
      <c r="K441" s="47" t="n"/>
      <c r="L441" s="43">
        <f>IF($B441="","",ROUND((N($J441)+N($K441))*نسبة_القيمة_المضافة,2))</f>
        <v/>
      </c>
      <c r="M441" s="47" t="n"/>
      <c r="N441" s="47" t="n"/>
      <c r="O441" s="43">
        <f>IF($B441="","",N($J441)+N($K441)+N($L441)-N($M441)+N($N441))</f>
        <v/>
      </c>
      <c r="P441" s="47" t="n"/>
      <c r="Q441" s="43">
        <f>IF($B441="","",N($O441)-N($P441))</f>
        <v/>
      </c>
      <c r="R441" s="47" t="n"/>
      <c r="S441" s="47" t="n"/>
      <c r="T441" s="47" t="n"/>
      <c r="U441" s="43">
        <f>IF($B441="","",N($J441)-N($R441)-N($T441))</f>
        <v/>
      </c>
      <c r="V441" s="47" t="n"/>
    </row>
    <row r="442">
      <c r="A442" s="39">
        <f>IF($B442="","",COUNTA($B$4:$B442))</f>
        <v/>
      </c>
      <c r="B442" s="40" t="n"/>
      <c r="C442" s="41" t="n"/>
      <c r="D442" s="41" t="n"/>
      <c r="E442" s="41" t="n"/>
      <c r="F442" s="41" t="n"/>
      <c r="G442" s="41" t="n"/>
      <c r="H442" s="41" t="n"/>
      <c r="I442" s="50" t="n"/>
      <c r="J442" s="42" t="n"/>
      <c r="K442" s="42" t="n"/>
      <c r="L442" s="43">
        <f>IF($B442="","",ROUND((N($J442)+N($K442))*نسبة_القيمة_المضافة,2))</f>
        <v/>
      </c>
      <c r="M442" s="42" t="n"/>
      <c r="N442" s="42" t="n"/>
      <c r="O442" s="43">
        <f>IF($B442="","",N($J442)+N($K442)+N($L442)-N($M442)+N($N442))</f>
        <v/>
      </c>
      <c r="P442" s="42" t="n"/>
      <c r="Q442" s="43">
        <f>IF($B442="","",N($O442)-N($P442))</f>
        <v/>
      </c>
      <c r="R442" s="42" t="n"/>
      <c r="S442" s="42" t="n"/>
      <c r="T442" s="42" t="n"/>
      <c r="U442" s="43">
        <f>IF($B442="","",N($J442)-N($R442)-N($T442))</f>
        <v/>
      </c>
      <c r="V442" s="42" t="n"/>
    </row>
    <row r="443">
      <c r="A443" s="39">
        <f>IF($B443="","",COUNTA($B$4:$B443))</f>
        <v/>
      </c>
      <c r="B443" s="45" t="n"/>
      <c r="C443" s="46" t="n"/>
      <c r="D443" s="46" t="n"/>
      <c r="E443" s="46" t="n"/>
      <c r="F443" s="46" t="n"/>
      <c r="G443" s="46" t="n"/>
      <c r="H443" s="46" t="n"/>
      <c r="I443" s="51" t="n"/>
      <c r="J443" s="47" t="n"/>
      <c r="K443" s="47" t="n"/>
      <c r="L443" s="43">
        <f>IF($B443="","",ROUND((N($J443)+N($K443))*نسبة_القيمة_المضافة,2))</f>
        <v/>
      </c>
      <c r="M443" s="47" t="n"/>
      <c r="N443" s="47" t="n"/>
      <c r="O443" s="43">
        <f>IF($B443="","",N($J443)+N($K443)+N($L443)-N($M443)+N($N443))</f>
        <v/>
      </c>
      <c r="P443" s="47" t="n"/>
      <c r="Q443" s="43">
        <f>IF($B443="","",N($O443)-N($P443))</f>
        <v/>
      </c>
      <c r="R443" s="47" t="n"/>
      <c r="S443" s="47" t="n"/>
      <c r="T443" s="47" t="n"/>
      <c r="U443" s="43">
        <f>IF($B443="","",N($J443)-N($R443)-N($T443))</f>
        <v/>
      </c>
      <c r="V443" s="47" t="n"/>
    </row>
    <row r="444">
      <c r="A444" s="39">
        <f>IF($B444="","",COUNTA($B$4:$B444))</f>
        <v/>
      </c>
      <c r="B444" s="40" t="n"/>
      <c r="C444" s="41" t="n"/>
      <c r="D444" s="41" t="n"/>
      <c r="E444" s="41" t="n"/>
      <c r="F444" s="41" t="n"/>
      <c r="G444" s="41" t="n"/>
      <c r="H444" s="41" t="n"/>
      <c r="I444" s="50" t="n"/>
      <c r="J444" s="42" t="n"/>
      <c r="K444" s="42" t="n"/>
      <c r="L444" s="43">
        <f>IF($B444="","",ROUND((N($J444)+N($K444))*نسبة_القيمة_المضافة,2))</f>
        <v/>
      </c>
      <c r="M444" s="42" t="n"/>
      <c r="N444" s="42" t="n"/>
      <c r="O444" s="43">
        <f>IF($B444="","",N($J444)+N($K444)+N($L444)-N($M444)+N($N444))</f>
        <v/>
      </c>
      <c r="P444" s="42" t="n"/>
      <c r="Q444" s="43">
        <f>IF($B444="","",N($O444)-N($P444))</f>
        <v/>
      </c>
      <c r="R444" s="42" t="n"/>
      <c r="S444" s="42" t="n"/>
      <c r="T444" s="42" t="n"/>
      <c r="U444" s="43">
        <f>IF($B444="","",N($J444)-N($R444)-N($T444))</f>
        <v/>
      </c>
      <c r="V444" s="42" t="n"/>
    </row>
    <row r="445">
      <c r="A445" s="39">
        <f>IF($B445="","",COUNTA($B$4:$B445))</f>
        <v/>
      </c>
      <c r="B445" s="45" t="n"/>
      <c r="C445" s="46" t="n"/>
      <c r="D445" s="46" t="n"/>
      <c r="E445" s="46" t="n"/>
      <c r="F445" s="46" t="n"/>
      <c r="G445" s="46" t="n"/>
      <c r="H445" s="46" t="n"/>
      <c r="I445" s="51" t="n"/>
      <c r="J445" s="47" t="n"/>
      <c r="K445" s="47" t="n"/>
      <c r="L445" s="43">
        <f>IF($B445="","",ROUND((N($J445)+N($K445))*نسبة_القيمة_المضافة,2))</f>
        <v/>
      </c>
      <c r="M445" s="47" t="n"/>
      <c r="N445" s="47" t="n"/>
      <c r="O445" s="43">
        <f>IF($B445="","",N($J445)+N($K445)+N($L445)-N($M445)+N($N445))</f>
        <v/>
      </c>
      <c r="P445" s="47" t="n"/>
      <c r="Q445" s="43">
        <f>IF($B445="","",N($O445)-N($P445))</f>
        <v/>
      </c>
      <c r="R445" s="47" t="n"/>
      <c r="S445" s="47" t="n"/>
      <c r="T445" s="47" t="n"/>
      <c r="U445" s="43">
        <f>IF($B445="","",N($J445)-N($R445)-N($T445))</f>
        <v/>
      </c>
      <c r="V445" s="47" t="n"/>
    </row>
    <row r="446">
      <c r="A446" s="39">
        <f>IF($B446="","",COUNTA($B$4:$B446))</f>
        <v/>
      </c>
      <c r="B446" s="40" t="n"/>
      <c r="C446" s="41" t="n"/>
      <c r="D446" s="41" t="n"/>
      <c r="E446" s="41" t="n"/>
      <c r="F446" s="41" t="n"/>
      <c r="G446" s="41" t="n"/>
      <c r="H446" s="41" t="n"/>
      <c r="I446" s="50" t="n"/>
      <c r="J446" s="42" t="n"/>
      <c r="K446" s="42" t="n"/>
      <c r="L446" s="43">
        <f>IF($B446="","",ROUND((N($J446)+N($K446))*نسبة_القيمة_المضافة,2))</f>
        <v/>
      </c>
      <c r="M446" s="42" t="n"/>
      <c r="N446" s="42" t="n"/>
      <c r="O446" s="43">
        <f>IF($B446="","",N($J446)+N($K446)+N($L446)-N($M446)+N($N446))</f>
        <v/>
      </c>
      <c r="P446" s="42" t="n"/>
      <c r="Q446" s="43">
        <f>IF($B446="","",N($O446)-N($P446))</f>
        <v/>
      </c>
      <c r="R446" s="42" t="n"/>
      <c r="S446" s="42" t="n"/>
      <c r="T446" s="42" t="n"/>
      <c r="U446" s="43">
        <f>IF($B446="","",N($J446)-N($R446)-N($T446))</f>
        <v/>
      </c>
      <c r="V446" s="42" t="n"/>
    </row>
    <row r="447">
      <c r="A447" s="39">
        <f>IF($B447="","",COUNTA($B$4:$B447))</f>
        <v/>
      </c>
      <c r="B447" s="45" t="n"/>
      <c r="C447" s="46" t="n"/>
      <c r="D447" s="46" t="n"/>
      <c r="E447" s="46" t="n"/>
      <c r="F447" s="46" t="n"/>
      <c r="G447" s="46" t="n"/>
      <c r="H447" s="46" t="n"/>
      <c r="I447" s="51" t="n"/>
      <c r="J447" s="47" t="n"/>
      <c r="K447" s="47" t="n"/>
      <c r="L447" s="43">
        <f>IF($B447="","",ROUND((N($J447)+N($K447))*نسبة_القيمة_المضافة,2))</f>
        <v/>
      </c>
      <c r="M447" s="47" t="n"/>
      <c r="N447" s="47" t="n"/>
      <c r="O447" s="43">
        <f>IF($B447="","",N($J447)+N($K447)+N($L447)-N($M447)+N($N447))</f>
        <v/>
      </c>
      <c r="P447" s="47" t="n"/>
      <c r="Q447" s="43">
        <f>IF($B447="","",N($O447)-N($P447))</f>
        <v/>
      </c>
      <c r="R447" s="47" t="n"/>
      <c r="S447" s="47" t="n"/>
      <c r="T447" s="47" t="n"/>
      <c r="U447" s="43">
        <f>IF($B447="","",N($J447)-N($R447)-N($T447))</f>
        <v/>
      </c>
      <c r="V447" s="47" t="n"/>
    </row>
    <row r="448">
      <c r="A448" s="39">
        <f>IF($B448="","",COUNTA($B$4:$B448))</f>
        <v/>
      </c>
      <c r="B448" s="40" t="n"/>
      <c r="C448" s="41" t="n"/>
      <c r="D448" s="41" t="n"/>
      <c r="E448" s="41" t="n"/>
      <c r="F448" s="41" t="n"/>
      <c r="G448" s="41" t="n"/>
      <c r="H448" s="41" t="n"/>
      <c r="I448" s="50" t="n"/>
      <c r="J448" s="42" t="n"/>
      <c r="K448" s="42" t="n"/>
      <c r="L448" s="43">
        <f>IF($B448="","",ROUND((N($J448)+N($K448))*نسبة_القيمة_المضافة,2))</f>
        <v/>
      </c>
      <c r="M448" s="42" t="n"/>
      <c r="N448" s="42" t="n"/>
      <c r="O448" s="43">
        <f>IF($B448="","",N($J448)+N($K448)+N($L448)-N($M448)+N($N448))</f>
        <v/>
      </c>
      <c r="P448" s="42" t="n"/>
      <c r="Q448" s="43">
        <f>IF($B448="","",N($O448)-N($P448))</f>
        <v/>
      </c>
      <c r="R448" s="42" t="n"/>
      <c r="S448" s="42" t="n"/>
      <c r="T448" s="42" t="n"/>
      <c r="U448" s="43">
        <f>IF($B448="","",N($J448)-N($R448)-N($T448))</f>
        <v/>
      </c>
      <c r="V448" s="42" t="n"/>
    </row>
    <row r="449">
      <c r="A449" s="39">
        <f>IF($B449="","",COUNTA($B$4:$B449))</f>
        <v/>
      </c>
      <c r="B449" s="45" t="n"/>
      <c r="C449" s="46" t="n"/>
      <c r="D449" s="46" t="n"/>
      <c r="E449" s="46" t="n"/>
      <c r="F449" s="46" t="n"/>
      <c r="G449" s="46" t="n"/>
      <c r="H449" s="46" t="n"/>
      <c r="I449" s="51" t="n"/>
      <c r="J449" s="47" t="n"/>
      <c r="K449" s="47" t="n"/>
      <c r="L449" s="43">
        <f>IF($B449="","",ROUND((N($J449)+N($K449))*نسبة_القيمة_المضافة,2))</f>
        <v/>
      </c>
      <c r="M449" s="47" t="n"/>
      <c r="N449" s="47" t="n"/>
      <c r="O449" s="43">
        <f>IF($B449="","",N($J449)+N($K449)+N($L449)-N($M449)+N($N449))</f>
        <v/>
      </c>
      <c r="P449" s="47" t="n"/>
      <c r="Q449" s="43">
        <f>IF($B449="","",N($O449)-N($P449))</f>
        <v/>
      </c>
      <c r="R449" s="47" t="n"/>
      <c r="S449" s="47" t="n"/>
      <c r="T449" s="47" t="n"/>
      <c r="U449" s="43">
        <f>IF($B449="","",N($J449)-N($R449)-N($T449))</f>
        <v/>
      </c>
      <c r="V449" s="47" t="n"/>
    </row>
    <row r="450">
      <c r="A450" s="39">
        <f>IF($B450="","",COUNTA($B$4:$B450))</f>
        <v/>
      </c>
      <c r="B450" s="40" t="n"/>
      <c r="C450" s="41" t="n"/>
      <c r="D450" s="41" t="n"/>
      <c r="E450" s="41" t="n"/>
      <c r="F450" s="41" t="n"/>
      <c r="G450" s="41" t="n"/>
      <c r="H450" s="41" t="n"/>
      <c r="I450" s="50" t="n"/>
      <c r="J450" s="42" t="n"/>
      <c r="K450" s="42" t="n"/>
      <c r="L450" s="43">
        <f>IF($B450="","",ROUND((N($J450)+N($K450))*نسبة_القيمة_المضافة,2))</f>
        <v/>
      </c>
      <c r="M450" s="42" t="n"/>
      <c r="N450" s="42" t="n"/>
      <c r="O450" s="43">
        <f>IF($B450="","",N($J450)+N($K450)+N($L450)-N($M450)+N($N450))</f>
        <v/>
      </c>
      <c r="P450" s="42" t="n"/>
      <c r="Q450" s="43">
        <f>IF($B450="","",N($O450)-N($P450))</f>
        <v/>
      </c>
      <c r="R450" s="42" t="n"/>
      <c r="S450" s="42" t="n"/>
      <c r="T450" s="42" t="n"/>
      <c r="U450" s="43">
        <f>IF($B450="","",N($J450)-N($R450)-N($T450))</f>
        <v/>
      </c>
      <c r="V450" s="42" t="n"/>
    </row>
    <row r="451">
      <c r="A451" s="39">
        <f>IF($B451="","",COUNTA($B$4:$B451))</f>
        <v/>
      </c>
      <c r="B451" s="45" t="n"/>
      <c r="C451" s="46" t="n"/>
      <c r="D451" s="46" t="n"/>
      <c r="E451" s="46" t="n"/>
      <c r="F451" s="46" t="n"/>
      <c r="G451" s="46" t="n"/>
      <c r="H451" s="46" t="n"/>
      <c r="I451" s="51" t="n"/>
      <c r="J451" s="47" t="n"/>
      <c r="K451" s="47" t="n"/>
      <c r="L451" s="43">
        <f>IF($B451="","",ROUND((N($J451)+N($K451))*نسبة_القيمة_المضافة,2))</f>
        <v/>
      </c>
      <c r="M451" s="47" t="n"/>
      <c r="N451" s="47" t="n"/>
      <c r="O451" s="43">
        <f>IF($B451="","",N($J451)+N($K451)+N($L451)-N($M451)+N($N451))</f>
        <v/>
      </c>
      <c r="P451" s="47" t="n"/>
      <c r="Q451" s="43">
        <f>IF($B451="","",N($O451)-N($P451))</f>
        <v/>
      </c>
      <c r="R451" s="47" t="n"/>
      <c r="S451" s="47" t="n"/>
      <c r="T451" s="47" t="n"/>
      <c r="U451" s="43">
        <f>IF($B451="","",N($J451)-N($R451)-N($T451))</f>
        <v/>
      </c>
      <c r="V451" s="47" t="n"/>
    </row>
    <row r="452">
      <c r="A452" s="39">
        <f>IF($B452="","",COUNTA($B$4:$B452))</f>
        <v/>
      </c>
      <c r="B452" s="40" t="n"/>
      <c r="C452" s="41" t="n"/>
      <c r="D452" s="41" t="n"/>
      <c r="E452" s="41" t="n"/>
      <c r="F452" s="41" t="n"/>
      <c r="G452" s="41" t="n"/>
      <c r="H452" s="41" t="n"/>
      <c r="I452" s="50" t="n"/>
      <c r="J452" s="42" t="n"/>
      <c r="K452" s="42" t="n"/>
      <c r="L452" s="43">
        <f>IF($B452="","",ROUND((N($J452)+N($K452))*نسبة_القيمة_المضافة,2))</f>
        <v/>
      </c>
      <c r="M452" s="42" t="n"/>
      <c r="N452" s="42" t="n"/>
      <c r="O452" s="43">
        <f>IF($B452="","",N($J452)+N($K452)+N($L452)-N($M452)+N($N452))</f>
        <v/>
      </c>
      <c r="P452" s="42" t="n"/>
      <c r="Q452" s="43">
        <f>IF($B452="","",N($O452)-N($P452))</f>
        <v/>
      </c>
      <c r="R452" s="42" t="n"/>
      <c r="S452" s="42" t="n"/>
      <c r="T452" s="42" t="n"/>
      <c r="U452" s="43">
        <f>IF($B452="","",N($J452)-N($R452)-N($T452))</f>
        <v/>
      </c>
      <c r="V452" s="42" t="n"/>
    </row>
    <row r="453">
      <c r="A453" s="39">
        <f>IF($B453="","",COUNTA($B$4:$B453))</f>
        <v/>
      </c>
      <c r="B453" s="45" t="n"/>
      <c r="C453" s="46" t="n"/>
      <c r="D453" s="46" t="n"/>
      <c r="E453" s="46" t="n"/>
      <c r="F453" s="46" t="n"/>
      <c r="G453" s="46" t="n"/>
      <c r="H453" s="46" t="n"/>
      <c r="I453" s="51" t="n"/>
      <c r="J453" s="47" t="n"/>
      <c r="K453" s="47" t="n"/>
      <c r="L453" s="43">
        <f>IF($B453="","",ROUND((N($J453)+N($K453))*نسبة_القيمة_المضافة,2))</f>
        <v/>
      </c>
      <c r="M453" s="47" t="n"/>
      <c r="N453" s="47" t="n"/>
      <c r="O453" s="43">
        <f>IF($B453="","",N($J453)+N($K453)+N($L453)-N($M453)+N($N453))</f>
        <v/>
      </c>
      <c r="P453" s="47" t="n"/>
      <c r="Q453" s="43">
        <f>IF($B453="","",N($O453)-N($P453))</f>
        <v/>
      </c>
      <c r="R453" s="47" t="n"/>
      <c r="S453" s="47" t="n"/>
      <c r="T453" s="47" t="n"/>
      <c r="U453" s="43">
        <f>IF($B453="","",N($J453)-N($R453)-N($T453))</f>
        <v/>
      </c>
      <c r="V453" s="47" t="n"/>
    </row>
    <row r="454">
      <c r="A454" s="39">
        <f>IF($B454="","",COUNTA($B$4:$B454))</f>
        <v/>
      </c>
      <c r="B454" s="40" t="n"/>
      <c r="C454" s="41" t="n"/>
      <c r="D454" s="41" t="n"/>
      <c r="E454" s="41" t="n"/>
      <c r="F454" s="41" t="n"/>
      <c r="G454" s="41" t="n"/>
      <c r="H454" s="41" t="n"/>
      <c r="I454" s="50" t="n"/>
      <c r="J454" s="42" t="n"/>
      <c r="K454" s="42" t="n"/>
      <c r="L454" s="43">
        <f>IF($B454="","",ROUND((N($J454)+N($K454))*نسبة_القيمة_المضافة,2))</f>
        <v/>
      </c>
      <c r="M454" s="42" t="n"/>
      <c r="N454" s="42" t="n"/>
      <c r="O454" s="43">
        <f>IF($B454="","",N($J454)+N($K454)+N($L454)-N($M454)+N($N454))</f>
        <v/>
      </c>
      <c r="P454" s="42" t="n"/>
      <c r="Q454" s="43">
        <f>IF($B454="","",N($O454)-N($P454))</f>
        <v/>
      </c>
      <c r="R454" s="42" t="n"/>
      <c r="S454" s="42" t="n"/>
      <c r="T454" s="42" t="n"/>
      <c r="U454" s="43">
        <f>IF($B454="","",N($J454)-N($R454)-N($T454))</f>
        <v/>
      </c>
      <c r="V454" s="42" t="n"/>
    </row>
    <row r="455">
      <c r="A455" s="39">
        <f>IF($B455="","",COUNTA($B$4:$B455))</f>
        <v/>
      </c>
      <c r="B455" s="45" t="n"/>
      <c r="C455" s="46" t="n"/>
      <c r="D455" s="46" t="n"/>
      <c r="E455" s="46" t="n"/>
      <c r="F455" s="46" t="n"/>
      <c r="G455" s="46" t="n"/>
      <c r="H455" s="46" t="n"/>
      <c r="I455" s="51" t="n"/>
      <c r="J455" s="47" t="n"/>
      <c r="K455" s="47" t="n"/>
      <c r="L455" s="43">
        <f>IF($B455="","",ROUND((N($J455)+N($K455))*نسبة_القيمة_المضافة,2))</f>
        <v/>
      </c>
      <c r="M455" s="47" t="n"/>
      <c r="N455" s="47" t="n"/>
      <c r="O455" s="43">
        <f>IF($B455="","",N($J455)+N($K455)+N($L455)-N($M455)+N($N455))</f>
        <v/>
      </c>
      <c r="P455" s="47" t="n"/>
      <c r="Q455" s="43">
        <f>IF($B455="","",N($O455)-N($P455))</f>
        <v/>
      </c>
      <c r="R455" s="47" t="n"/>
      <c r="S455" s="47" t="n"/>
      <c r="T455" s="47" t="n"/>
      <c r="U455" s="43">
        <f>IF($B455="","",N($J455)-N($R455)-N($T455))</f>
        <v/>
      </c>
      <c r="V455" s="47" t="n"/>
    </row>
    <row r="456">
      <c r="A456" s="39">
        <f>IF($B456="","",COUNTA($B$4:$B456))</f>
        <v/>
      </c>
      <c r="B456" s="40" t="n"/>
      <c r="C456" s="41" t="n"/>
      <c r="D456" s="41" t="n"/>
      <c r="E456" s="41" t="n"/>
      <c r="F456" s="41" t="n"/>
      <c r="G456" s="41" t="n"/>
      <c r="H456" s="41" t="n"/>
      <c r="I456" s="50" t="n"/>
      <c r="J456" s="42" t="n"/>
      <c r="K456" s="42" t="n"/>
      <c r="L456" s="43">
        <f>IF($B456="","",ROUND((N($J456)+N($K456))*نسبة_القيمة_المضافة,2))</f>
        <v/>
      </c>
      <c r="M456" s="42" t="n"/>
      <c r="N456" s="42" t="n"/>
      <c r="O456" s="43">
        <f>IF($B456="","",N($J456)+N($K456)+N($L456)-N($M456)+N($N456))</f>
        <v/>
      </c>
      <c r="P456" s="42" t="n"/>
      <c r="Q456" s="43">
        <f>IF($B456="","",N($O456)-N($P456))</f>
        <v/>
      </c>
      <c r="R456" s="42" t="n"/>
      <c r="S456" s="42" t="n"/>
      <c r="T456" s="42" t="n"/>
      <c r="U456" s="43">
        <f>IF($B456="","",N($J456)-N($R456)-N($T456))</f>
        <v/>
      </c>
      <c r="V456" s="42" t="n"/>
    </row>
    <row r="457">
      <c r="A457" s="39">
        <f>IF($B457="","",COUNTA($B$4:$B457))</f>
        <v/>
      </c>
      <c r="B457" s="45" t="n"/>
      <c r="C457" s="46" t="n"/>
      <c r="D457" s="46" t="n"/>
      <c r="E457" s="46" t="n"/>
      <c r="F457" s="46" t="n"/>
      <c r="G457" s="46" t="n"/>
      <c r="H457" s="46" t="n"/>
      <c r="I457" s="51" t="n"/>
      <c r="J457" s="47" t="n"/>
      <c r="K457" s="47" t="n"/>
      <c r="L457" s="43">
        <f>IF($B457="","",ROUND((N($J457)+N($K457))*نسبة_القيمة_المضافة,2))</f>
        <v/>
      </c>
      <c r="M457" s="47" t="n"/>
      <c r="N457" s="47" t="n"/>
      <c r="O457" s="43">
        <f>IF($B457="","",N($J457)+N($K457)+N($L457)-N($M457)+N($N457))</f>
        <v/>
      </c>
      <c r="P457" s="47" t="n"/>
      <c r="Q457" s="43">
        <f>IF($B457="","",N($O457)-N($P457))</f>
        <v/>
      </c>
      <c r="R457" s="47" t="n"/>
      <c r="S457" s="47" t="n"/>
      <c r="T457" s="47" t="n"/>
      <c r="U457" s="43">
        <f>IF($B457="","",N($J457)-N($R457)-N($T457))</f>
        <v/>
      </c>
      <c r="V457" s="47" t="n"/>
    </row>
    <row r="458">
      <c r="A458" s="39">
        <f>IF($B458="","",COUNTA($B$4:$B458))</f>
        <v/>
      </c>
      <c r="B458" s="40" t="n"/>
      <c r="C458" s="41" t="n"/>
      <c r="D458" s="41" t="n"/>
      <c r="E458" s="41" t="n"/>
      <c r="F458" s="41" t="n"/>
      <c r="G458" s="41" t="n"/>
      <c r="H458" s="41" t="n"/>
      <c r="I458" s="50" t="n"/>
      <c r="J458" s="42" t="n"/>
      <c r="K458" s="42" t="n"/>
      <c r="L458" s="43">
        <f>IF($B458="","",ROUND((N($J458)+N($K458))*نسبة_القيمة_المضافة,2))</f>
        <v/>
      </c>
      <c r="M458" s="42" t="n"/>
      <c r="N458" s="42" t="n"/>
      <c r="O458" s="43">
        <f>IF($B458="","",N($J458)+N($K458)+N($L458)-N($M458)+N($N458))</f>
        <v/>
      </c>
      <c r="P458" s="42" t="n"/>
      <c r="Q458" s="43">
        <f>IF($B458="","",N($O458)-N($P458))</f>
        <v/>
      </c>
      <c r="R458" s="42" t="n"/>
      <c r="S458" s="42" t="n"/>
      <c r="T458" s="42" t="n"/>
      <c r="U458" s="43">
        <f>IF($B458="","",N($J458)-N($R458)-N($T458))</f>
        <v/>
      </c>
      <c r="V458" s="42" t="n"/>
    </row>
    <row r="459">
      <c r="A459" s="39">
        <f>IF($B459="","",COUNTA($B$4:$B459))</f>
        <v/>
      </c>
      <c r="B459" s="45" t="n"/>
      <c r="C459" s="46" t="n"/>
      <c r="D459" s="46" t="n"/>
      <c r="E459" s="46" t="n"/>
      <c r="F459" s="46" t="n"/>
      <c r="G459" s="46" t="n"/>
      <c r="H459" s="46" t="n"/>
      <c r="I459" s="51" t="n"/>
      <c r="J459" s="47" t="n"/>
      <c r="K459" s="47" t="n"/>
      <c r="L459" s="43">
        <f>IF($B459="","",ROUND((N($J459)+N($K459))*نسبة_القيمة_المضافة,2))</f>
        <v/>
      </c>
      <c r="M459" s="47" t="n"/>
      <c r="N459" s="47" t="n"/>
      <c r="O459" s="43">
        <f>IF($B459="","",N($J459)+N($K459)+N($L459)-N($M459)+N($N459))</f>
        <v/>
      </c>
      <c r="P459" s="47" t="n"/>
      <c r="Q459" s="43">
        <f>IF($B459="","",N($O459)-N($P459))</f>
        <v/>
      </c>
      <c r="R459" s="47" t="n"/>
      <c r="S459" s="47" t="n"/>
      <c r="T459" s="47" t="n"/>
      <c r="U459" s="43">
        <f>IF($B459="","",N($J459)-N($R459)-N($T459))</f>
        <v/>
      </c>
      <c r="V459" s="47" t="n"/>
    </row>
    <row r="460">
      <c r="A460" s="39">
        <f>IF($B460="","",COUNTA($B$4:$B460))</f>
        <v/>
      </c>
      <c r="B460" s="40" t="n"/>
      <c r="C460" s="41" t="n"/>
      <c r="D460" s="41" t="n"/>
      <c r="E460" s="41" t="n"/>
      <c r="F460" s="41" t="n"/>
      <c r="G460" s="41" t="n"/>
      <c r="H460" s="41" t="n"/>
      <c r="I460" s="50" t="n"/>
      <c r="J460" s="42" t="n"/>
      <c r="K460" s="42" t="n"/>
      <c r="L460" s="43">
        <f>IF($B460="","",ROUND((N($J460)+N($K460))*نسبة_القيمة_المضافة,2))</f>
        <v/>
      </c>
      <c r="M460" s="42" t="n"/>
      <c r="N460" s="42" t="n"/>
      <c r="O460" s="43">
        <f>IF($B460="","",N($J460)+N($K460)+N($L460)-N($M460)+N($N460))</f>
        <v/>
      </c>
      <c r="P460" s="42" t="n"/>
      <c r="Q460" s="43">
        <f>IF($B460="","",N($O460)-N($P460))</f>
        <v/>
      </c>
      <c r="R460" s="42" t="n"/>
      <c r="S460" s="42" t="n"/>
      <c r="T460" s="42" t="n"/>
      <c r="U460" s="43">
        <f>IF($B460="","",N($J460)-N($R460)-N($T460))</f>
        <v/>
      </c>
      <c r="V460" s="42" t="n"/>
    </row>
    <row r="461">
      <c r="A461" s="39">
        <f>IF($B461="","",COUNTA($B$4:$B461))</f>
        <v/>
      </c>
      <c r="B461" s="45" t="n"/>
      <c r="C461" s="46" t="n"/>
      <c r="D461" s="46" t="n"/>
      <c r="E461" s="46" t="n"/>
      <c r="F461" s="46" t="n"/>
      <c r="G461" s="46" t="n"/>
      <c r="H461" s="46" t="n"/>
      <c r="I461" s="51" t="n"/>
      <c r="J461" s="47" t="n"/>
      <c r="K461" s="47" t="n"/>
      <c r="L461" s="43">
        <f>IF($B461="","",ROUND((N($J461)+N($K461))*نسبة_القيمة_المضافة,2))</f>
        <v/>
      </c>
      <c r="M461" s="47" t="n"/>
      <c r="N461" s="47" t="n"/>
      <c r="O461" s="43">
        <f>IF($B461="","",N($J461)+N($K461)+N($L461)-N($M461)+N($N461))</f>
        <v/>
      </c>
      <c r="P461" s="47" t="n"/>
      <c r="Q461" s="43">
        <f>IF($B461="","",N($O461)-N($P461))</f>
        <v/>
      </c>
      <c r="R461" s="47" t="n"/>
      <c r="S461" s="47" t="n"/>
      <c r="T461" s="47" t="n"/>
      <c r="U461" s="43">
        <f>IF($B461="","",N($J461)-N($R461)-N($T461))</f>
        <v/>
      </c>
      <c r="V461" s="47" t="n"/>
    </row>
    <row r="462">
      <c r="A462" s="39">
        <f>IF($B462="","",COUNTA($B$4:$B462))</f>
        <v/>
      </c>
      <c r="B462" s="40" t="n"/>
      <c r="C462" s="41" t="n"/>
      <c r="D462" s="41" t="n"/>
      <c r="E462" s="41" t="n"/>
      <c r="F462" s="41" t="n"/>
      <c r="G462" s="41" t="n"/>
      <c r="H462" s="41" t="n"/>
      <c r="I462" s="50" t="n"/>
      <c r="J462" s="42" t="n"/>
      <c r="K462" s="42" t="n"/>
      <c r="L462" s="43">
        <f>IF($B462="","",ROUND((N($J462)+N($K462))*نسبة_القيمة_المضافة,2))</f>
        <v/>
      </c>
      <c r="M462" s="42" t="n"/>
      <c r="N462" s="42" t="n"/>
      <c r="O462" s="43">
        <f>IF($B462="","",N($J462)+N($K462)+N($L462)-N($M462)+N($N462))</f>
        <v/>
      </c>
      <c r="P462" s="42" t="n"/>
      <c r="Q462" s="43">
        <f>IF($B462="","",N($O462)-N($P462))</f>
        <v/>
      </c>
      <c r="R462" s="42" t="n"/>
      <c r="S462" s="42" t="n"/>
      <c r="T462" s="42" t="n"/>
      <c r="U462" s="43">
        <f>IF($B462="","",N($J462)-N($R462)-N($T462))</f>
        <v/>
      </c>
      <c r="V462" s="42" t="n"/>
    </row>
    <row r="463">
      <c r="A463" s="39">
        <f>IF($B463="","",COUNTA($B$4:$B463))</f>
        <v/>
      </c>
      <c r="B463" s="45" t="n"/>
      <c r="C463" s="46" t="n"/>
      <c r="D463" s="46" t="n"/>
      <c r="E463" s="46" t="n"/>
      <c r="F463" s="46" t="n"/>
      <c r="G463" s="46" t="n"/>
      <c r="H463" s="46" t="n"/>
      <c r="I463" s="51" t="n"/>
      <c r="J463" s="47" t="n"/>
      <c r="K463" s="47" t="n"/>
      <c r="L463" s="43">
        <f>IF($B463="","",ROUND((N($J463)+N($K463))*نسبة_القيمة_المضافة,2))</f>
        <v/>
      </c>
      <c r="M463" s="47" t="n"/>
      <c r="N463" s="47" t="n"/>
      <c r="O463" s="43">
        <f>IF($B463="","",N($J463)+N($K463)+N($L463)-N($M463)+N($N463))</f>
        <v/>
      </c>
      <c r="P463" s="47" t="n"/>
      <c r="Q463" s="43">
        <f>IF($B463="","",N($O463)-N($P463))</f>
        <v/>
      </c>
      <c r="R463" s="47" t="n"/>
      <c r="S463" s="47" t="n"/>
      <c r="T463" s="47" t="n"/>
      <c r="U463" s="43">
        <f>IF($B463="","",N($J463)-N($R463)-N($T463))</f>
        <v/>
      </c>
      <c r="V463" s="47" t="n"/>
    </row>
    <row r="464">
      <c r="A464" s="39">
        <f>IF($B464="","",COUNTA($B$4:$B464))</f>
        <v/>
      </c>
      <c r="B464" s="40" t="n"/>
      <c r="C464" s="41" t="n"/>
      <c r="D464" s="41" t="n"/>
      <c r="E464" s="41" t="n"/>
      <c r="F464" s="41" t="n"/>
      <c r="G464" s="41" t="n"/>
      <c r="H464" s="41" t="n"/>
      <c r="I464" s="50" t="n"/>
      <c r="J464" s="42" t="n"/>
      <c r="K464" s="42" t="n"/>
      <c r="L464" s="43">
        <f>IF($B464="","",ROUND((N($J464)+N($K464))*نسبة_القيمة_المضافة,2))</f>
        <v/>
      </c>
      <c r="M464" s="42" t="n"/>
      <c r="N464" s="42" t="n"/>
      <c r="O464" s="43">
        <f>IF($B464="","",N($J464)+N($K464)+N($L464)-N($M464)+N($N464))</f>
        <v/>
      </c>
      <c r="P464" s="42" t="n"/>
      <c r="Q464" s="43">
        <f>IF($B464="","",N($O464)-N($P464))</f>
        <v/>
      </c>
      <c r="R464" s="42" t="n"/>
      <c r="S464" s="42" t="n"/>
      <c r="T464" s="42" t="n"/>
      <c r="U464" s="43">
        <f>IF($B464="","",N($J464)-N($R464)-N($T464))</f>
        <v/>
      </c>
      <c r="V464" s="42" t="n"/>
    </row>
    <row r="465">
      <c r="A465" s="39">
        <f>IF($B465="","",COUNTA($B$4:$B465))</f>
        <v/>
      </c>
      <c r="B465" s="45" t="n"/>
      <c r="C465" s="46" t="n"/>
      <c r="D465" s="46" t="n"/>
      <c r="E465" s="46" t="n"/>
      <c r="F465" s="46" t="n"/>
      <c r="G465" s="46" t="n"/>
      <c r="H465" s="46" t="n"/>
      <c r="I465" s="51" t="n"/>
      <c r="J465" s="47" t="n"/>
      <c r="K465" s="47" t="n"/>
      <c r="L465" s="43">
        <f>IF($B465="","",ROUND((N($J465)+N($K465))*نسبة_القيمة_المضافة,2))</f>
        <v/>
      </c>
      <c r="M465" s="47" t="n"/>
      <c r="N465" s="47" t="n"/>
      <c r="O465" s="43">
        <f>IF($B465="","",N($J465)+N($K465)+N($L465)-N($M465)+N($N465))</f>
        <v/>
      </c>
      <c r="P465" s="47" t="n"/>
      <c r="Q465" s="43">
        <f>IF($B465="","",N($O465)-N($P465))</f>
        <v/>
      </c>
      <c r="R465" s="47" t="n"/>
      <c r="S465" s="47" t="n"/>
      <c r="T465" s="47" t="n"/>
      <c r="U465" s="43">
        <f>IF($B465="","",N($J465)-N($R465)-N($T465))</f>
        <v/>
      </c>
      <c r="V465" s="47" t="n"/>
    </row>
    <row r="466">
      <c r="A466" s="39">
        <f>IF($B466="","",COUNTA($B$4:$B466))</f>
        <v/>
      </c>
      <c r="B466" s="40" t="n"/>
      <c r="C466" s="41" t="n"/>
      <c r="D466" s="41" t="n"/>
      <c r="E466" s="41" t="n"/>
      <c r="F466" s="41" t="n"/>
      <c r="G466" s="41" t="n"/>
      <c r="H466" s="41" t="n"/>
      <c r="I466" s="50" t="n"/>
      <c r="J466" s="42" t="n"/>
      <c r="K466" s="42" t="n"/>
      <c r="L466" s="43">
        <f>IF($B466="","",ROUND((N($J466)+N($K466))*نسبة_القيمة_المضافة,2))</f>
        <v/>
      </c>
      <c r="M466" s="42" t="n"/>
      <c r="N466" s="42" t="n"/>
      <c r="O466" s="43">
        <f>IF($B466="","",N($J466)+N($K466)+N($L466)-N($M466)+N($N466))</f>
        <v/>
      </c>
      <c r="P466" s="42" t="n"/>
      <c r="Q466" s="43">
        <f>IF($B466="","",N($O466)-N($P466))</f>
        <v/>
      </c>
      <c r="R466" s="42" t="n"/>
      <c r="S466" s="42" t="n"/>
      <c r="T466" s="42" t="n"/>
      <c r="U466" s="43">
        <f>IF($B466="","",N($J466)-N($R466)-N($T466))</f>
        <v/>
      </c>
      <c r="V466" s="42" t="n"/>
    </row>
    <row r="467">
      <c r="A467" s="39">
        <f>IF($B467="","",COUNTA($B$4:$B467))</f>
        <v/>
      </c>
      <c r="B467" s="45" t="n"/>
      <c r="C467" s="46" t="n"/>
      <c r="D467" s="46" t="n"/>
      <c r="E467" s="46" t="n"/>
      <c r="F467" s="46" t="n"/>
      <c r="G467" s="46" t="n"/>
      <c r="H467" s="46" t="n"/>
      <c r="I467" s="51" t="n"/>
      <c r="J467" s="47" t="n"/>
      <c r="K467" s="47" t="n"/>
      <c r="L467" s="43">
        <f>IF($B467="","",ROUND((N($J467)+N($K467))*نسبة_القيمة_المضافة,2))</f>
        <v/>
      </c>
      <c r="M467" s="47" t="n"/>
      <c r="N467" s="47" t="n"/>
      <c r="O467" s="43">
        <f>IF($B467="","",N($J467)+N($K467)+N($L467)-N($M467)+N($N467))</f>
        <v/>
      </c>
      <c r="P467" s="47" t="n"/>
      <c r="Q467" s="43">
        <f>IF($B467="","",N($O467)-N($P467))</f>
        <v/>
      </c>
      <c r="R467" s="47" t="n"/>
      <c r="S467" s="47" t="n"/>
      <c r="T467" s="47" t="n"/>
      <c r="U467" s="43">
        <f>IF($B467="","",N($J467)-N($R467)-N($T467))</f>
        <v/>
      </c>
      <c r="V467" s="47" t="n"/>
    </row>
    <row r="468">
      <c r="A468" s="39">
        <f>IF($B468="","",COUNTA($B$4:$B468))</f>
        <v/>
      </c>
      <c r="B468" s="40" t="n"/>
      <c r="C468" s="41" t="n"/>
      <c r="D468" s="41" t="n"/>
      <c r="E468" s="41" t="n"/>
      <c r="F468" s="41" t="n"/>
      <c r="G468" s="41" t="n"/>
      <c r="H468" s="41" t="n"/>
      <c r="I468" s="50" t="n"/>
      <c r="J468" s="42" t="n"/>
      <c r="K468" s="42" t="n"/>
      <c r="L468" s="43">
        <f>IF($B468="","",ROUND((N($J468)+N($K468))*نسبة_القيمة_المضافة,2))</f>
        <v/>
      </c>
      <c r="M468" s="42" t="n"/>
      <c r="N468" s="42" t="n"/>
      <c r="O468" s="43">
        <f>IF($B468="","",N($J468)+N($K468)+N($L468)-N($M468)+N($N468))</f>
        <v/>
      </c>
      <c r="P468" s="42" t="n"/>
      <c r="Q468" s="43">
        <f>IF($B468="","",N($O468)-N($P468))</f>
        <v/>
      </c>
      <c r="R468" s="42" t="n"/>
      <c r="S468" s="42" t="n"/>
      <c r="T468" s="42" t="n"/>
      <c r="U468" s="43">
        <f>IF($B468="","",N($J468)-N($R468)-N($T468))</f>
        <v/>
      </c>
      <c r="V468" s="42" t="n"/>
    </row>
    <row r="469">
      <c r="A469" s="39">
        <f>IF($B469="","",COUNTA($B$4:$B469))</f>
        <v/>
      </c>
      <c r="B469" s="45" t="n"/>
      <c r="C469" s="46" t="n"/>
      <c r="D469" s="46" t="n"/>
      <c r="E469" s="46" t="n"/>
      <c r="F469" s="46" t="n"/>
      <c r="G469" s="46" t="n"/>
      <c r="H469" s="46" t="n"/>
      <c r="I469" s="51" t="n"/>
      <c r="J469" s="47" t="n"/>
      <c r="K469" s="47" t="n"/>
      <c r="L469" s="43">
        <f>IF($B469="","",ROUND((N($J469)+N($K469))*نسبة_القيمة_المضافة,2))</f>
        <v/>
      </c>
      <c r="M469" s="47" t="n"/>
      <c r="N469" s="47" t="n"/>
      <c r="O469" s="43">
        <f>IF($B469="","",N($J469)+N($K469)+N($L469)-N($M469)+N($N469))</f>
        <v/>
      </c>
      <c r="P469" s="47" t="n"/>
      <c r="Q469" s="43">
        <f>IF($B469="","",N($O469)-N($P469))</f>
        <v/>
      </c>
      <c r="R469" s="47" t="n"/>
      <c r="S469" s="47" t="n"/>
      <c r="T469" s="47" t="n"/>
      <c r="U469" s="43">
        <f>IF($B469="","",N($J469)-N($R469)-N($T469))</f>
        <v/>
      </c>
      <c r="V469" s="47" t="n"/>
    </row>
    <row r="470">
      <c r="A470" s="39">
        <f>IF($B470="","",COUNTA($B$4:$B470))</f>
        <v/>
      </c>
      <c r="B470" s="40" t="n"/>
      <c r="C470" s="41" t="n"/>
      <c r="D470" s="41" t="n"/>
      <c r="E470" s="41" t="n"/>
      <c r="F470" s="41" t="n"/>
      <c r="G470" s="41" t="n"/>
      <c r="H470" s="41" t="n"/>
      <c r="I470" s="50" t="n"/>
      <c r="J470" s="42" t="n"/>
      <c r="K470" s="42" t="n"/>
      <c r="L470" s="43">
        <f>IF($B470="","",ROUND((N($J470)+N($K470))*نسبة_القيمة_المضافة,2))</f>
        <v/>
      </c>
      <c r="M470" s="42" t="n"/>
      <c r="N470" s="42" t="n"/>
      <c r="O470" s="43">
        <f>IF($B470="","",N($J470)+N($K470)+N($L470)-N($M470)+N($N470))</f>
        <v/>
      </c>
      <c r="P470" s="42" t="n"/>
      <c r="Q470" s="43">
        <f>IF($B470="","",N($O470)-N($P470))</f>
        <v/>
      </c>
      <c r="R470" s="42" t="n"/>
      <c r="S470" s="42" t="n"/>
      <c r="T470" s="42" t="n"/>
      <c r="U470" s="43">
        <f>IF($B470="","",N($J470)-N($R470)-N($T470))</f>
        <v/>
      </c>
      <c r="V470" s="42" t="n"/>
    </row>
    <row r="471">
      <c r="A471" s="39">
        <f>IF($B471="","",COUNTA($B$4:$B471))</f>
        <v/>
      </c>
      <c r="B471" s="45" t="n"/>
      <c r="C471" s="46" t="n"/>
      <c r="D471" s="46" t="n"/>
      <c r="E471" s="46" t="n"/>
      <c r="F471" s="46" t="n"/>
      <c r="G471" s="46" t="n"/>
      <c r="H471" s="46" t="n"/>
      <c r="I471" s="51" t="n"/>
      <c r="J471" s="47" t="n"/>
      <c r="K471" s="47" t="n"/>
      <c r="L471" s="43">
        <f>IF($B471="","",ROUND((N($J471)+N($K471))*نسبة_القيمة_المضافة,2))</f>
        <v/>
      </c>
      <c r="M471" s="47" t="n"/>
      <c r="N471" s="47" t="n"/>
      <c r="O471" s="43">
        <f>IF($B471="","",N($J471)+N($K471)+N($L471)-N($M471)+N($N471))</f>
        <v/>
      </c>
      <c r="P471" s="47" t="n"/>
      <c r="Q471" s="43">
        <f>IF($B471="","",N($O471)-N($P471))</f>
        <v/>
      </c>
      <c r="R471" s="47" t="n"/>
      <c r="S471" s="47" t="n"/>
      <c r="T471" s="47" t="n"/>
      <c r="U471" s="43">
        <f>IF($B471="","",N($J471)-N($R471)-N($T471))</f>
        <v/>
      </c>
      <c r="V471" s="47" t="n"/>
    </row>
    <row r="472">
      <c r="A472" s="39">
        <f>IF($B472="","",COUNTA($B$4:$B472))</f>
        <v/>
      </c>
      <c r="B472" s="40" t="n"/>
      <c r="C472" s="41" t="n"/>
      <c r="D472" s="41" t="n"/>
      <c r="E472" s="41" t="n"/>
      <c r="F472" s="41" t="n"/>
      <c r="G472" s="41" t="n"/>
      <c r="H472" s="41" t="n"/>
      <c r="I472" s="50" t="n"/>
      <c r="J472" s="42" t="n"/>
      <c r="K472" s="42" t="n"/>
      <c r="L472" s="43">
        <f>IF($B472="","",ROUND((N($J472)+N($K472))*نسبة_القيمة_المضافة,2))</f>
        <v/>
      </c>
      <c r="M472" s="42" t="n"/>
      <c r="N472" s="42" t="n"/>
      <c r="O472" s="43">
        <f>IF($B472="","",N($J472)+N($K472)+N($L472)-N($M472)+N($N472))</f>
        <v/>
      </c>
      <c r="P472" s="42" t="n"/>
      <c r="Q472" s="43">
        <f>IF($B472="","",N($O472)-N($P472))</f>
        <v/>
      </c>
      <c r="R472" s="42" t="n"/>
      <c r="S472" s="42" t="n"/>
      <c r="T472" s="42" t="n"/>
      <c r="U472" s="43">
        <f>IF($B472="","",N($J472)-N($R472)-N($T472))</f>
        <v/>
      </c>
      <c r="V472" s="42" t="n"/>
    </row>
    <row r="473">
      <c r="A473" s="39">
        <f>IF($B473="","",COUNTA($B$4:$B473))</f>
        <v/>
      </c>
      <c r="B473" s="45" t="n"/>
      <c r="C473" s="46" t="n"/>
      <c r="D473" s="46" t="n"/>
      <c r="E473" s="46" t="n"/>
      <c r="F473" s="46" t="n"/>
      <c r="G473" s="46" t="n"/>
      <c r="H473" s="46" t="n"/>
      <c r="I473" s="51" t="n"/>
      <c r="J473" s="47" t="n"/>
      <c r="K473" s="47" t="n"/>
      <c r="L473" s="43">
        <f>IF($B473="","",ROUND((N($J473)+N($K473))*نسبة_القيمة_المضافة,2))</f>
        <v/>
      </c>
      <c r="M473" s="47" t="n"/>
      <c r="N473" s="47" t="n"/>
      <c r="O473" s="43">
        <f>IF($B473="","",N($J473)+N($K473)+N($L473)-N($M473)+N($N473))</f>
        <v/>
      </c>
      <c r="P473" s="47" t="n"/>
      <c r="Q473" s="43">
        <f>IF($B473="","",N($O473)-N($P473))</f>
        <v/>
      </c>
      <c r="R473" s="47" t="n"/>
      <c r="S473" s="47" t="n"/>
      <c r="T473" s="47" t="n"/>
      <c r="U473" s="43">
        <f>IF($B473="","",N($J473)-N($R473)-N($T473))</f>
        <v/>
      </c>
      <c r="V473" s="47" t="n"/>
    </row>
    <row r="474">
      <c r="A474" s="39">
        <f>IF($B474="","",COUNTA($B$4:$B474))</f>
        <v/>
      </c>
      <c r="B474" s="40" t="n"/>
      <c r="C474" s="41" t="n"/>
      <c r="D474" s="41" t="n"/>
      <c r="E474" s="41" t="n"/>
      <c r="F474" s="41" t="n"/>
      <c r="G474" s="41" t="n"/>
      <c r="H474" s="41" t="n"/>
      <c r="I474" s="50" t="n"/>
      <c r="J474" s="42" t="n"/>
      <c r="K474" s="42" t="n"/>
      <c r="L474" s="43">
        <f>IF($B474="","",ROUND((N($J474)+N($K474))*نسبة_القيمة_المضافة,2))</f>
        <v/>
      </c>
      <c r="M474" s="42" t="n"/>
      <c r="N474" s="42" t="n"/>
      <c r="O474" s="43">
        <f>IF($B474="","",N($J474)+N($K474)+N($L474)-N($M474)+N($N474))</f>
        <v/>
      </c>
      <c r="P474" s="42" t="n"/>
      <c r="Q474" s="43">
        <f>IF($B474="","",N($O474)-N($P474))</f>
        <v/>
      </c>
      <c r="R474" s="42" t="n"/>
      <c r="S474" s="42" t="n"/>
      <c r="T474" s="42" t="n"/>
      <c r="U474" s="43">
        <f>IF($B474="","",N($J474)-N($R474)-N($T474))</f>
        <v/>
      </c>
      <c r="V474" s="42" t="n"/>
    </row>
    <row r="475">
      <c r="A475" s="39">
        <f>IF($B475="","",COUNTA($B$4:$B475))</f>
        <v/>
      </c>
      <c r="B475" s="45" t="n"/>
      <c r="C475" s="46" t="n"/>
      <c r="D475" s="46" t="n"/>
      <c r="E475" s="46" t="n"/>
      <c r="F475" s="46" t="n"/>
      <c r="G475" s="46" t="n"/>
      <c r="H475" s="46" t="n"/>
      <c r="I475" s="51" t="n"/>
      <c r="J475" s="47" t="n"/>
      <c r="K475" s="47" t="n"/>
      <c r="L475" s="43">
        <f>IF($B475="","",ROUND((N($J475)+N($K475))*نسبة_القيمة_المضافة,2))</f>
        <v/>
      </c>
      <c r="M475" s="47" t="n"/>
      <c r="N475" s="47" t="n"/>
      <c r="O475" s="43">
        <f>IF($B475="","",N($J475)+N($K475)+N($L475)-N($M475)+N($N475))</f>
        <v/>
      </c>
      <c r="P475" s="47" t="n"/>
      <c r="Q475" s="43">
        <f>IF($B475="","",N($O475)-N($P475))</f>
        <v/>
      </c>
      <c r="R475" s="47" t="n"/>
      <c r="S475" s="47" t="n"/>
      <c r="T475" s="47" t="n"/>
      <c r="U475" s="43">
        <f>IF($B475="","",N($J475)-N($R475)-N($T475))</f>
        <v/>
      </c>
      <c r="V475" s="47" t="n"/>
    </row>
    <row r="476">
      <c r="A476" s="39">
        <f>IF($B476="","",COUNTA($B$4:$B476))</f>
        <v/>
      </c>
      <c r="B476" s="40" t="n"/>
      <c r="C476" s="41" t="n"/>
      <c r="D476" s="41" t="n"/>
      <c r="E476" s="41" t="n"/>
      <c r="F476" s="41" t="n"/>
      <c r="G476" s="41" t="n"/>
      <c r="H476" s="41" t="n"/>
      <c r="I476" s="50" t="n"/>
      <c r="J476" s="42" t="n"/>
      <c r="K476" s="42" t="n"/>
      <c r="L476" s="43">
        <f>IF($B476="","",ROUND((N($J476)+N($K476))*نسبة_القيمة_المضافة,2))</f>
        <v/>
      </c>
      <c r="M476" s="42" t="n"/>
      <c r="N476" s="42" t="n"/>
      <c r="O476" s="43">
        <f>IF($B476="","",N($J476)+N($K476)+N($L476)-N($M476)+N($N476))</f>
        <v/>
      </c>
      <c r="P476" s="42" t="n"/>
      <c r="Q476" s="43">
        <f>IF($B476="","",N($O476)-N($P476))</f>
        <v/>
      </c>
      <c r="R476" s="42" t="n"/>
      <c r="S476" s="42" t="n"/>
      <c r="T476" s="42" t="n"/>
      <c r="U476" s="43">
        <f>IF($B476="","",N($J476)-N($R476)-N($T476))</f>
        <v/>
      </c>
      <c r="V476" s="42" t="n"/>
    </row>
    <row r="477">
      <c r="A477" s="39">
        <f>IF($B477="","",COUNTA($B$4:$B477))</f>
        <v/>
      </c>
      <c r="B477" s="45" t="n"/>
      <c r="C477" s="46" t="n"/>
      <c r="D477" s="46" t="n"/>
      <c r="E477" s="46" t="n"/>
      <c r="F477" s="46" t="n"/>
      <c r="G477" s="46" t="n"/>
      <c r="H477" s="46" t="n"/>
      <c r="I477" s="51" t="n"/>
      <c r="J477" s="47" t="n"/>
      <c r="K477" s="47" t="n"/>
      <c r="L477" s="43">
        <f>IF($B477="","",ROUND((N($J477)+N($K477))*نسبة_القيمة_المضافة,2))</f>
        <v/>
      </c>
      <c r="M477" s="47" t="n"/>
      <c r="N477" s="47" t="n"/>
      <c r="O477" s="43">
        <f>IF($B477="","",N($J477)+N($K477)+N($L477)-N($M477)+N($N477))</f>
        <v/>
      </c>
      <c r="P477" s="47" t="n"/>
      <c r="Q477" s="43">
        <f>IF($B477="","",N($O477)-N($P477))</f>
        <v/>
      </c>
      <c r="R477" s="47" t="n"/>
      <c r="S477" s="47" t="n"/>
      <c r="T477" s="47" t="n"/>
      <c r="U477" s="43">
        <f>IF($B477="","",N($J477)-N($R477)-N($T477))</f>
        <v/>
      </c>
      <c r="V477" s="47" t="n"/>
    </row>
    <row r="478">
      <c r="A478" s="39">
        <f>IF($B478="","",COUNTA($B$4:$B478))</f>
        <v/>
      </c>
      <c r="B478" s="40" t="n"/>
      <c r="C478" s="41" t="n"/>
      <c r="D478" s="41" t="n"/>
      <c r="E478" s="41" t="n"/>
      <c r="F478" s="41" t="n"/>
      <c r="G478" s="41" t="n"/>
      <c r="H478" s="41" t="n"/>
      <c r="I478" s="50" t="n"/>
      <c r="J478" s="42" t="n"/>
      <c r="K478" s="42" t="n"/>
      <c r="L478" s="43">
        <f>IF($B478="","",ROUND((N($J478)+N($K478))*نسبة_القيمة_المضافة,2))</f>
        <v/>
      </c>
      <c r="M478" s="42" t="n"/>
      <c r="N478" s="42" t="n"/>
      <c r="O478" s="43">
        <f>IF($B478="","",N($J478)+N($K478)+N($L478)-N($M478)+N($N478))</f>
        <v/>
      </c>
      <c r="P478" s="42" t="n"/>
      <c r="Q478" s="43">
        <f>IF($B478="","",N($O478)-N($P478))</f>
        <v/>
      </c>
      <c r="R478" s="42" t="n"/>
      <c r="S478" s="42" t="n"/>
      <c r="T478" s="42" t="n"/>
      <c r="U478" s="43">
        <f>IF($B478="","",N($J478)-N($R478)-N($T478))</f>
        <v/>
      </c>
      <c r="V478" s="42" t="n"/>
    </row>
    <row r="479">
      <c r="A479" s="39">
        <f>IF($B479="","",COUNTA($B$4:$B479))</f>
        <v/>
      </c>
      <c r="B479" s="45" t="n"/>
      <c r="C479" s="46" t="n"/>
      <c r="D479" s="46" t="n"/>
      <c r="E479" s="46" t="n"/>
      <c r="F479" s="46" t="n"/>
      <c r="G479" s="46" t="n"/>
      <c r="H479" s="46" t="n"/>
      <c r="I479" s="51" t="n"/>
      <c r="J479" s="47" t="n"/>
      <c r="K479" s="47" t="n"/>
      <c r="L479" s="43">
        <f>IF($B479="","",ROUND((N($J479)+N($K479))*نسبة_القيمة_المضافة,2))</f>
        <v/>
      </c>
      <c r="M479" s="47" t="n"/>
      <c r="N479" s="47" t="n"/>
      <c r="O479" s="43">
        <f>IF($B479="","",N($J479)+N($K479)+N($L479)-N($M479)+N($N479))</f>
        <v/>
      </c>
      <c r="P479" s="47" t="n"/>
      <c r="Q479" s="43">
        <f>IF($B479="","",N($O479)-N($P479))</f>
        <v/>
      </c>
      <c r="R479" s="47" t="n"/>
      <c r="S479" s="47" t="n"/>
      <c r="T479" s="47" t="n"/>
      <c r="U479" s="43">
        <f>IF($B479="","",N($J479)-N($R479)-N($T479))</f>
        <v/>
      </c>
      <c r="V479" s="47" t="n"/>
    </row>
    <row r="480">
      <c r="A480" s="39">
        <f>IF($B480="","",COUNTA($B$4:$B480))</f>
        <v/>
      </c>
      <c r="B480" s="40" t="n"/>
      <c r="C480" s="41" t="n"/>
      <c r="D480" s="41" t="n"/>
      <c r="E480" s="41" t="n"/>
      <c r="F480" s="41" t="n"/>
      <c r="G480" s="41" t="n"/>
      <c r="H480" s="41" t="n"/>
      <c r="I480" s="50" t="n"/>
      <c r="J480" s="42" t="n"/>
      <c r="K480" s="42" t="n"/>
      <c r="L480" s="43">
        <f>IF($B480="","",ROUND((N($J480)+N($K480))*نسبة_القيمة_المضافة,2))</f>
        <v/>
      </c>
      <c r="M480" s="42" t="n"/>
      <c r="N480" s="42" t="n"/>
      <c r="O480" s="43">
        <f>IF($B480="","",N($J480)+N($K480)+N($L480)-N($M480)+N($N480))</f>
        <v/>
      </c>
      <c r="P480" s="42" t="n"/>
      <c r="Q480" s="43">
        <f>IF($B480="","",N($O480)-N($P480))</f>
        <v/>
      </c>
      <c r="R480" s="42" t="n"/>
      <c r="S480" s="42" t="n"/>
      <c r="T480" s="42" t="n"/>
      <c r="U480" s="43">
        <f>IF($B480="","",N($J480)-N($R480)-N($T480))</f>
        <v/>
      </c>
      <c r="V480" s="42" t="n"/>
    </row>
    <row r="481">
      <c r="A481" s="39">
        <f>IF($B481="","",COUNTA($B$4:$B481))</f>
        <v/>
      </c>
      <c r="B481" s="45" t="n"/>
      <c r="C481" s="46" t="n"/>
      <c r="D481" s="46" t="n"/>
      <c r="E481" s="46" t="n"/>
      <c r="F481" s="46" t="n"/>
      <c r="G481" s="46" t="n"/>
      <c r="H481" s="46" t="n"/>
      <c r="I481" s="51" t="n"/>
      <c r="J481" s="47" t="n"/>
      <c r="K481" s="47" t="n"/>
      <c r="L481" s="43">
        <f>IF($B481="","",ROUND((N($J481)+N($K481))*نسبة_القيمة_المضافة,2))</f>
        <v/>
      </c>
      <c r="M481" s="47" t="n"/>
      <c r="N481" s="47" t="n"/>
      <c r="O481" s="43">
        <f>IF($B481="","",N($J481)+N($K481)+N($L481)-N($M481)+N($N481))</f>
        <v/>
      </c>
      <c r="P481" s="47" t="n"/>
      <c r="Q481" s="43">
        <f>IF($B481="","",N($O481)-N($P481))</f>
        <v/>
      </c>
      <c r="R481" s="47" t="n"/>
      <c r="S481" s="47" t="n"/>
      <c r="T481" s="47" t="n"/>
      <c r="U481" s="43">
        <f>IF($B481="","",N($J481)-N($R481)-N($T481))</f>
        <v/>
      </c>
      <c r="V481" s="47" t="n"/>
    </row>
    <row r="482">
      <c r="A482" s="39">
        <f>IF($B482="","",COUNTA($B$4:$B482))</f>
        <v/>
      </c>
      <c r="B482" s="40" t="n"/>
      <c r="C482" s="41" t="n"/>
      <c r="D482" s="41" t="n"/>
      <c r="E482" s="41" t="n"/>
      <c r="F482" s="41" t="n"/>
      <c r="G482" s="41" t="n"/>
      <c r="H482" s="41" t="n"/>
      <c r="I482" s="50" t="n"/>
      <c r="J482" s="42" t="n"/>
      <c r="K482" s="42" t="n"/>
      <c r="L482" s="43">
        <f>IF($B482="","",ROUND((N($J482)+N($K482))*نسبة_القيمة_المضافة,2))</f>
        <v/>
      </c>
      <c r="M482" s="42" t="n"/>
      <c r="N482" s="42" t="n"/>
      <c r="O482" s="43">
        <f>IF($B482="","",N($J482)+N($K482)+N($L482)-N($M482)+N($N482))</f>
        <v/>
      </c>
      <c r="P482" s="42" t="n"/>
      <c r="Q482" s="43">
        <f>IF($B482="","",N($O482)-N($P482))</f>
        <v/>
      </c>
      <c r="R482" s="42" t="n"/>
      <c r="S482" s="42" t="n"/>
      <c r="T482" s="42" t="n"/>
      <c r="U482" s="43">
        <f>IF($B482="","",N($J482)-N($R482)-N($T482))</f>
        <v/>
      </c>
      <c r="V482" s="42" t="n"/>
    </row>
    <row r="483">
      <c r="A483" s="39">
        <f>IF($B483="","",COUNTA($B$4:$B483))</f>
        <v/>
      </c>
      <c r="B483" s="45" t="n"/>
      <c r="C483" s="46" t="n"/>
      <c r="D483" s="46" t="n"/>
      <c r="E483" s="46" t="n"/>
      <c r="F483" s="46" t="n"/>
      <c r="G483" s="46" t="n"/>
      <c r="H483" s="46" t="n"/>
      <c r="I483" s="51" t="n"/>
      <c r="J483" s="47" t="n"/>
      <c r="K483" s="47" t="n"/>
      <c r="L483" s="43">
        <f>IF($B483="","",ROUND((N($J483)+N($K483))*نسبة_القيمة_المضافة,2))</f>
        <v/>
      </c>
      <c r="M483" s="47" t="n"/>
      <c r="N483" s="47" t="n"/>
      <c r="O483" s="43">
        <f>IF($B483="","",N($J483)+N($K483)+N($L483)-N($M483)+N($N483))</f>
        <v/>
      </c>
      <c r="P483" s="47" t="n"/>
      <c r="Q483" s="43">
        <f>IF($B483="","",N($O483)-N($P483))</f>
        <v/>
      </c>
      <c r="R483" s="47" t="n"/>
      <c r="S483" s="47" t="n"/>
      <c r="T483" s="47" t="n"/>
      <c r="U483" s="43">
        <f>IF($B483="","",N($J483)-N($R483)-N($T483))</f>
        <v/>
      </c>
      <c r="V483" s="47" t="n"/>
    </row>
    <row r="484">
      <c r="A484" s="39">
        <f>IF($B484="","",COUNTA($B$4:$B484))</f>
        <v/>
      </c>
      <c r="B484" s="40" t="n"/>
      <c r="C484" s="41" t="n"/>
      <c r="D484" s="41" t="n"/>
      <c r="E484" s="41" t="n"/>
      <c r="F484" s="41" t="n"/>
      <c r="G484" s="41" t="n"/>
      <c r="H484" s="41" t="n"/>
      <c r="I484" s="50" t="n"/>
      <c r="J484" s="42" t="n"/>
      <c r="K484" s="42" t="n"/>
      <c r="L484" s="43">
        <f>IF($B484="","",ROUND((N($J484)+N($K484))*نسبة_القيمة_المضافة,2))</f>
        <v/>
      </c>
      <c r="M484" s="42" t="n"/>
      <c r="N484" s="42" t="n"/>
      <c r="O484" s="43">
        <f>IF($B484="","",N($J484)+N($K484)+N($L484)-N($M484)+N($N484))</f>
        <v/>
      </c>
      <c r="P484" s="42" t="n"/>
      <c r="Q484" s="43">
        <f>IF($B484="","",N($O484)-N($P484))</f>
        <v/>
      </c>
      <c r="R484" s="42" t="n"/>
      <c r="S484" s="42" t="n"/>
      <c r="T484" s="42" t="n"/>
      <c r="U484" s="43">
        <f>IF($B484="","",N($J484)-N($R484)-N($T484))</f>
        <v/>
      </c>
      <c r="V484" s="42" t="n"/>
    </row>
    <row r="485">
      <c r="A485" s="39">
        <f>IF($B485="","",COUNTA($B$4:$B485))</f>
        <v/>
      </c>
      <c r="B485" s="45" t="n"/>
      <c r="C485" s="46" t="n"/>
      <c r="D485" s="46" t="n"/>
      <c r="E485" s="46" t="n"/>
      <c r="F485" s="46" t="n"/>
      <c r="G485" s="46" t="n"/>
      <c r="H485" s="46" t="n"/>
      <c r="I485" s="51" t="n"/>
      <c r="J485" s="47" t="n"/>
      <c r="K485" s="47" t="n"/>
      <c r="L485" s="43">
        <f>IF($B485="","",ROUND((N($J485)+N($K485))*نسبة_القيمة_المضافة,2))</f>
        <v/>
      </c>
      <c r="M485" s="47" t="n"/>
      <c r="N485" s="47" t="n"/>
      <c r="O485" s="43">
        <f>IF($B485="","",N($J485)+N($K485)+N($L485)-N($M485)+N($N485))</f>
        <v/>
      </c>
      <c r="P485" s="47" t="n"/>
      <c r="Q485" s="43">
        <f>IF($B485="","",N($O485)-N($P485))</f>
        <v/>
      </c>
      <c r="R485" s="47" t="n"/>
      <c r="S485" s="47" t="n"/>
      <c r="T485" s="47" t="n"/>
      <c r="U485" s="43">
        <f>IF($B485="","",N($J485)-N($R485)-N($T485))</f>
        <v/>
      </c>
      <c r="V485" s="47" t="n"/>
    </row>
    <row r="486">
      <c r="A486" s="39">
        <f>IF($B486="","",COUNTA($B$4:$B486))</f>
        <v/>
      </c>
      <c r="B486" s="40" t="n"/>
      <c r="C486" s="41" t="n"/>
      <c r="D486" s="41" t="n"/>
      <c r="E486" s="41" t="n"/>
      <c r="F486" s="41" t="n"/>
      <c r="G486" s="41" t="n"/>
      <c r="H486" s="41" t="n"/>
      <c r="I486" s="50" t="n"/>
      <c r="J486" s="42" t="n"/>
      <c r="K486" s="42" t="n"/>
      <c r="L486" s="43">
        <f>IF($B486="","",ROUND((N($J486)+N($K486))*نسبة_القيمة_المضافة,2))</f>
        <v/>
      </c>
      <c r="M486" s="42" t="n"/>
      <c r="N486" s="42" t="n"/>
      <c r="O486" s="43">
        <f>IF($B486="","",N($J486)+N($K486)+N($L486)-N($M486)+N($N486))</f>
        <v/>
      </c>
      <c r="P486" s="42" t="n"/>
      <c r="Q486" s="43">
        <f>IF($B486="","",N($O486)-N($P486))</f>
        <v/>
      </c>
      <c r="R486" s="42" t="n"/>
      <c r="S486" s="42" t="n"/>
      <c r="T486" s="42" t="n"/>
      <c r="U486" s="43">
        <f>IF($B486="","",N($J486)-N($R486)-N($T486))</f>
        <v/>
      </c>
      <c r="V486" s="42" t="n"/>
    </row>
    <row r="487">
      <c r="A487" s="39">
        <f>IF($B487="","",COUNTA($B$4:$B487))</f>
        <v/>
      </c>
      <c r="B487" s="45" t="n"/>
      <c r="C487" s="46" t="n"/>
      <c r="D487" s="46" t="n"/>
      <c r="E487" s="46" t="n"/>
      <c r="F487" s="46" t="n"/>
      <c r="G487" s="46" t="n"/>
      <c r="H487" s="46" t="n"/>
      <c r="I487" s="51" t="n"/>
      <c r="J487" s="47" t="n"/>
      <c r="K487" s="47" t="n"/>
      <c r="L487" s="43">
        <f>IF($B487="","",ROUND((N($J487)+N($K487))*نسبة_القيمة_المضافة,2))</f>
        <v/>
      </c>
      <c r="M487" s="47" t="n"/>
      <c r="N487" s="47" t="n"/>
      <c r="O487" s="43">
        <f>IF($B487="","",N($J487)+N($K487)+N($L487)-N($M487)+N($N487))</f>
        <v/>
      </c>
      <c r="P487" s="47" t="n"/>
      <c r="Q487" s="43">
        <f>IF($B487="","",N($O487)-N($P487))</f>
        <v/>
      </c>
      <c r="R487" s="47" t="n"/>
      <c r="S487" s="47" t="n"/>
      <c r="T487" s="47" t="n"/>
      <c r="U487" s="43">
        <f>IF($B487="","",N($J487)-N($R487)-N($T487))</f>
        <v/>
      </c>
      <c r="V487" s="47" t="n"/>
    </row>
    <row r="488">
      <c r="A488" s="39">
        <f>IF($B488="","",COUNTA($B$4:$B488))</f>
        <v/>
      </c>
      <c r="B488" s="40" t="n"/>
      <c r="C488" s="41" t="n"/>
      <c r="D488" s="41" t="n"/>
      <c r="E488" s="41" t="n"/>
      <c r="F488" s="41" t="n"/>
      <c r="G488" s="41" t="n"/>
      <c r="H488" s="41" t="n"/>
      <c r="I488" s="50" t="n"/>
      <c r="J488" s="42" t="n"/>
      <c r="K488" s="42" t="n"/>
      <c r="L488" s="43">
        <f>IF($B488="","",ROUND((N($J488)+N($K488))*نسبة_القيمة_المضافة,2))</f>
        <v/>
      </c>
      <c r="M488" s="42" t="n"/>
      <c r="N488" s="42" t="n"/>
      <c r="O488" s="43">
        <f>IF($B488="","",N($J488)+N($K488)+N($L488)-N($M488)+N($N488))</f>
        <v/>
      </c>
      <c r="P488" s="42" t="n"/>
      <c r="Q488" s="43">
        <f>IF($B488="","",N($O488)-N($P488))</f>
        <v/>
      </c>
      <c r="R488" s="42" t="n"/>
      <c r="S488" s="42" t="n"/>
      <c r="T488" s="42" t="n"/>
      <c r="U488" s="43">
        <f>IF($B488="","",N($J488)-N($R488)-N($T488))</f>
        <v/>
      </c>
      <c r="V488" s="42" t="n"/>
    </row>
    <row r="489">
      <c r="A489" s="39">
        <f>IF($B489="","",COUNTA($B$4:$B489))</f>
        <v/>
      </c>
      <c r="B489" s="45" t="n"/>
      <c r="C489" s="46" t="n"/>
      <c r="D489" s="46" t="n"/>
      <c r="E489" s="46" t="n"/>
      <c r="F489" s="46" t="n"/>
      <c r="G489" s="46" t="n"/>
      <c r="H489" s="46" t="n"/>
      <c r="I489" s="51" t="n"/>
      <c r="J489" s="47" t="n"/>
      <c r="K489" s="47" t="n"/>
      <c r="L489" s="43">
        <f>IF($B489="","",ROUND((N($J489)+N($K489))*نسبة_القيمة_المضافة,2))</f>
        <v/>
      </c>
      <c r="M489" s="47" t="n"/>
      <c r="N489" s="47" t="n"/>
      <c r="O489" s="43">
        <f>IF($B489="","",N($J489)+N($K489)+N($L489)-N($M489)+N($N489))</f>
        <v/>
      </c>
      <c r="P489" s="47" t="n"/>
      <c r="Q489" s="43">
        <f>IF($B489="","",N($O489)-N($P489))</f>
        <v/>
      </c>
      <c r="R489" s="47" t="n"/>
      <c r="S489" s="47" t="n"/>
      <c r="T489" s="47" t="n"/>
      <c r="U489" s="43">
        <f>IF($B489="","",N($J489)-N($R489)-N($T489))</f>
        <v/>
      </c>
      <c r="V489" s="47" t="n"/>
    </row>
    <row r="490">
      <c r="A490" s="39">
        <f>IF($B490="","",COUNTA($B$4:$B490))</f>
        <v/>
      </c>
      <c r="B490" s="40" t="n"/>
      <c r="C490" s="41" t="n"/>
      <c r="D490" s="41" t="n"/>
      <c r="E490" s="41" t="n"/>
      <c r="F490" s="41" t="n"/>
      <c r="G490" s="41" t="n"/>
      <c r="H490" s="41" t="n"/>
      <c r="I490" s="50" t="n"/>
      <c r="J490" s="42" t="n"/>
      <c r="K490" s="42" t="n"/>
      <c r="L490" s="43">
        <f>IF($B490="","",ROUND((N($J490)+N($K490))*نسبة_القيمة_المضافة,2))</f>
        <v/>
      </c>
      <c r="M490" s="42" t="n"/>
      <c r="N490" s="42" t="n"/>
      <c r="O490" s="43">
        <f>IF($B490="","",N($J490)+N($K490)+N($L490)-N($M490)+N($N490))</f>
        <v/>
      </c>
      <c r="P490" s="42" t="n"/>
      <c r="Q490" s="43">
        <f>IF($B490="","",N($O490)-N($P490))</f>
        <v/>
      </c>
      <c r="R490" s="42" t="n"/>
      <c r="S490" s="42" t="n"/>
      <c r="T490" s="42" t="n"/>
      <c r="U490" s="43">
        <f>IF($B490="","",N($J490)-N($R490)-N($T490))</f>
        <v/>
      </c>
      <c r="V490" s="42" t="n"/>
    </row>
    <row r="491">
      <c r="A491" s="39">
        <f>IF($B491="","",COUNTA($B$4:$B491))</f>
        <v/>
      </c>
      <c r="B491" s="45" t="n"/>
      <c r="C491" s="46" t="n"/>
      <c r="D491" s="46" t="n"/>
      <c r="E491" s="46" t="n"/>
      <c r="F491" s="46" t="n"/>
      <c r="G491" s="46" t="n"/>
      <c r="H491" s="46" t="n"/>
      <c r="I491" s="51" t="n"/>
      <c r="J491" s="47" t="n"/>
      <c r="K491" s="47" t="n"/>
      <c r="L491" s="43">
        <f>IF($B491="","",ROUND((N($J491)+N($K491))*نسبة_القيمة_المضافة,2))</f>
        <v/>
      </c>
      <c r="M491" s="47" t="n"/>
      <c r="N491" s="47" t="n"/>
      <c r="O491" s="43">
        <f>IF($B491="","",N($J491)+N($K491)+N($L491)-N($M491)+N($N491))</f>
        <v/>
      </c>
      <c r="P491" s="47" t="n"/>
      <c r="Q491" s="43">
        <f>IF($B491="","",N($O491)-N($P491))</f>
        <v/>
      </c>
      <c r="R491" s="47" t="n"/>
      <c r="S491" s="47" t="n"/>
      <c r="T491" s="47" t="n"/>
      <c r="U491" s="43">
        <f>IF($B491="","",N($J491)-N($R491)-N($T491))</f>
        <v/>
      </c>
      <c r="V491" s="47" t="n"/>
    </row>
    <row r="492">
      <c r="A492" s="39">
        <f>IF($B492="","",COUNTA($B$4:$B492))</f>
        <v/>
      </c>
      <c r="B492" s="40" t="n"/>
      <c r="C492" s="41" t="n"/>
      <c r="D492" s="41" t="n"/>
      <c r="E492" s="41" t="n"/>
      <c r="F492" s="41" t="n"/>
      <c r="G492" s="41" t="n"/>
      <c r="H492" s="41" t="n"/>
      <c r="I492" s="50" t="n"/>
      <c r="J492" s="42" t="n"/>
      <c r="K492" s="42" t="n"/>
      <c r="L492" s="43">
        <f>IF($B492="","",ROUND((N($J492)+N($K492))*نسبة_القيمة_المضافة,2))</f>
        <v/>
      </c>
      <c r="M492" s="42" t="n"/>
      <c r="N492" s="42" t="n"/>
      <c r="O492" s="43">
        <f>IF($B492="","",N($J492)+N($K492)+N($L492)-N($M492)+N($N492))</f>
        <v/>
      </c>
      <c r="P492" s="42" t="n"/>
      <c r="Q492" s="43">
        <f>IF($B492="","",N($O492)-N($P492))</f>
        <v/>
      </c>
      <c r="R492" s="42" t="n"/>
      <c r="S492" s="42" t="n"/>
      <c r="T492" s="42" t="n"/>
      <c r="U492" s="43">
        <f>IF($B492="","",N($J492)-N($R492)-N($T492))</f>
        <v/>
      </c>
      <c r="V492" s="42" t="n"/>
    </row>
    <row r="493">
      <c r="A493" s="39">
        <f>IF($B493="","",COUNTA($B$4:$B493))</f>
        <v/>
      </c>
      <c r="B493" s="45" t="n"/>
      <c r="C493" s="46" t="n"/>
      <c r="D493" s="46" t="n"/>
      <c r="E493" s="46" t="n"/>
      <c r="F493" s="46" t="n"/>
      <c r="G493" s="46" t="n"/>
      <c r="H493" s="46" t="n"/>
      <c r="I493" s="51" t="n"/>
      <c r="J493" s="47" t="n"/>
      <c r="K493" s="47" t="n"/>
      <c r="L493" s="43">
        <f>IF($B493="","",ROUND((N($J493)+N($K493))*نسبة_القيمة_المضافة,2))</f>
        <v/>
      </c>
      <c r="M493" s="47" t="n"/>
      <c r="N493" s="47" t="n"/>
      <c r="O493" s="43">
        <f>IF($B493="","",N($J493)+N($K493)+N($L493)-N($M493)+N($N493))</f>
        <v/>
      </c>
      <c r="P493" s="47" t="n"/>
      <c r="Q493" s="43">
        <f>IF($B493="","",N($O493)-N($P493))</f>
        <v/>
      </c>
      <c r="R493" s="47" t="n"/>
      <c r="S493" s="47" t="n"/>
      <c r="T493" s="47" t="n"/>
      <c r="U493" s="43">
        <f>IF($B493="","",N($J493)-N($R493)-N($T493))</f>
        <v/>
      </c>
      <c r="V493" s="47" t="n"/>
    </row>
    <row r="494">
      <c r="A494" s="39">
        <f>IF($B494="","",COUNTA($B$4:$B494))</f>
        <v/>
      </c>
      <c r="B494" s="40" t="n"/>
      <c r="C494" s="41" t="n"/>
      <c r="D494" s="41" t="n"/>
      <c r="E494" s="41" t="n"/>
      <c r="F494" s="41" t="n"/>
      <c r="G494" s="41" t="n"/>
      <c r="H494" s="41" t="n"/>
      <c r="I494" s="50" t="n"/>
      <c r="J494" s="42" t="n"/>
      <c r="K494" s="42" t="n"/>
      <c r="L494" s="43">
        <f>IF($B494="","",ROUND((N($J494)+N($K494))*نسبة_القيمة_المضافة,2))</f>
        <v/>
      </c>
      <c r="M494" s="42" t="n"/>
      <c r="N494" s="42" t="n"/>
      <c r="O494" s="43">
        <f>IF($B494="","",N($J494)+N($K494)+N($L494)-N($M494)+N($N494))</f>
        <v/>
      </c>
      <c r="P494" s="42" t="n"/>
      <c r="Q494" s="43">
        <f>IF($B494="","",N($O494)-N($P494))</f>
        <v/>
      </c>
      <c r="R494" s="42" t="n"/>
      <c r="S494" s="42" t="n"/>
      <c r="T494" s="42" t="n"/>
      <c r="U494" s="43">
        <f>IF($B494="","",N($J494)-N($R494)-N($T494))</f>
        <v/>
      </c>
      <c r="V494" s="42" t="n"/>
    </row>
    <row r="495">
      <c r="A495" s="39">
        <f>IF($B495="","",COUNTA($B$4:$B495))</f>
        <v/>
      </c>
      <c r="B495" s="45" t="n"/>
      <c r="C495" s="46" t="n"/>
      <c r="D495" s="46" t="n"/>
      <c r="E495" s="46" t="n"/>
      <c r="F495" s="46" t="n"/>
      <c r="G495" s="46" t="n"/>
      <c r="H495" s="46" t="n"/>
      <c r="I495" s="51" t="n"/>
      <c r="J495" s="47" t="n"/>
      <c r="K495" s="47" t="n"/>
      <c r="L495" s="43">
        <f>IF($B495="","",ROUND((N($J495)+N($K495))*نسبة_القيمة_المضافة,2))</f>
        <v/>
      </c>
      <c r="M495" s="47" t="n"/>
      <c r="N495" s="47" t="n"/>
      <c r="O495" s="43">
        <f>IF($B495="","",N($J495)+N($K495)+N($L495)-N($M495)+N($N495))</f>
        <v/>
      </c>
      <c r="P495" s="47" t="n"/>
      <c r="Q495" s="43">
        <f>IF($B495="","",N($O495)-N($P495))</f>
        <v/>
      </c>
      <c r="R495" s="47" t="n"/>
      <c r="S495" s="47" t="n"/>
      <c r="T495" s="47" t="n"/>
      <c r="U495" s="43">
        <f>IF($B495="","",N($J495)-N($R495)-N($T495))</f>
        <v/>
      </c>
      <c r="V495" s="47" t="n"/>
    </row>
    <row r="496">
      <c r="A496" s="39">
        <f>IF($B496="","",COUNTA($B$4:$B496))</f>
        <v/>
      </c>
      <c r="B496" s="40" t="n"/>
      <c r="C496" s="41" t="n"/>
      <c r="D496" s="41" t="n"/>
      <c r="E496" s="41" t="n"/>
      <c r="F496" s="41" t="n"/>
      <c r="G496" s="41" t="n"/>
      <c r="H496" s="41" t="n"/>
      <c r="I496" s="50" t="n"/>
      <c r="J496" s="42" t="n"/>
      <c r="K496" s="42" t="n"/>
      <c r="L496" s="43">
        <f>IF($B496="","",ROUND((N($J496)+N($K496))*نسبة_القيمة_المضافة,2))</f>
        <v/>
      </c>
      <c r="M496" s="42" t="n"/>
      <c r="N496" s="42" t="n"/>
      <c r="O496" s="43">
        <f>IF($B496="","",N($J496)+N($K496)+N($L496)-N($M496)+N($N496))</f>
        <v/>
      </c>
      <c r="P496" s="42" t="n"/>
      <c r="Q496" s="43">
        <f>IF($B496="","",N($O496)-N($P496))</f>
        <v/>
      </c>
      <c r="R496" s="42" t="n"/>
      <c r="S496" s="42" t="n"/>
      <c r="T496" s="42" t="n"/>
      <c r="U496" s="43">
        <f>IF($B496="","",N($J496)-N($R496)-N($T496))</f>
        <v/>
      </c>
      <c r="V496" s="42" t="n"/>
    </row>
    <row r="497">
      <c r="A497" s="39">
        <f>IF($B497="","",COUNTA($B$4:$B497))</f>
        <v/>
      </c>
      <c r="B497" s="45" t="n"/>
      <c r="C497" s="46" t="n"/>
      <c r="D497" s="46" t="n"/>
      <c r="E497" s="46" t="n"/>
      <c r="F497" s="46" t="n"/>
      <c r="G497" s="46" t="n"/>
      <c r="H497" s="46" t="n"/>
      <c r="I497" s="51" t="n"/>
      <c r="J497" s="47" t="n"/>
      <c r="K497" s="47" t="n"/>
      <c r="L497" s="43">
        <f>IF($B497="","",ROUND((N($J497)+N($K497))*نسبة_القيمة_المضافة,2))</f>
        <v/>
      </c>
      <c r="M497" s="47" t="n"/>
      <c r="N497" s="47" t="n"/>
      <c r="O497" s="43">
        <f>IF($B497="","",N($J497)+N($K497)+N($L497)-N($M497)+N($N497))</f>
        <v/>
      </c>
      <c r="P497" s="47" t="n"/>
      <c r="Q497" s="43">
        <f>IF($B497="","",N($O497)-N($P497))</f>
        <v/>
      </c>
      <c r="R497" s="47" t="n"/>
      <c r="S497" s="47" t="n"/>
      <c r="T497" s="47" t="n"/>
      <c r="U497" s="43">
        <f>IF($B497="","",N($J497)-N($R497)-N($T497))</f>
        <v/>
      </c>
      <c r="V497" s="47" t="n"/>
    </row>
    <row r="498">
      <c r="A498" s="39">
        <f>IF($B498="","",COUNTA($B$4:$B498))</f>
        <v/>
      </c>
      <c r="B498" s="40" t="n"/>
      <c r="C498" s="41" t="n"/>
      <c r="D498" s="41" t="n"/>
      <c r="E498" s="41" t="n"/>
      <c r="F498" s="41" t="n"/>
      <c r="G498" s="41" t="n"/>
      <c r="H498" s="41" t="n"/>
      <c r="I498" s="50" t="n"/>
      <c r="J498" s="42" t="n"/>
      <c r="K498" s="42" t="n"/>
      <c r="L498" s="43">
        <f>IF($B498="","",ROUND((N($J498)+N($K498))*نسبة_القيمة_المضافة,2))</f>
        <v/>
      </c>
      <c r="M498" s="42" t="n"/>
      <c r="N498" s="42" t="n"/>
      <c r="O498" s="43">
        <f>IF($B498="","",N($J498)+N($K498)+N($L498)-N($M498)+N($N498))</f>
        <v/>
      </c>
      <c r="P498" s="42" t="n"/>
      <c r="Q498" s="43">
        <f>IF($B498="","",N($O498)-N($P498))</f>
        <v/>
      </c>
      <c r="R498" s="42" t="n"/>
      <c r="S498" s="42" t="n"/>
      <c r="T498" s="42" t="n"/>
      <c r="U498" s="43">
        <f>IF($B498="","",N($J498)-N($R498)-N($T498))</f>
        <v/>
      </c>
      <c r="V498" s="42" t="n"/>
    </row>
    <row r="499">
      <c r="A499" s="39">
        <f>IF($B499="","",COUNTA($B$4:$B499))</f>
        <v/>
      </c>
      <c r="B499" s="45" t="n"/>
      <c r="C499" s="46" t="n"/>
      <c r="D499" s="46" t="n"/>
      <c r="E499" s="46" t="n"/>
      <c r="F499" s="46" t="n"/>
      <c r="G499" s="46" t="n"/>
      <c r="H499" s="46" t="n"/>
      <c r="I499" s="51" t="n"/>
      <c r="J499" s="47" t="n"/>
      <c r="K499" s="47" t="n"/>
      <c r="L499" s="43">
        <f>IF($B499="","",ROUND((N($J499)+N($K499))*نسبة_القيمة_المضافة,2))</f>
        <v/>
      </c>
      <c r="M499" s="47" t="n"/>
      <c r="N499" s="47" t="n"/>
      <c r="O499" s="43">
        <f>IF($B499="","",N($J499)+N($K499)+N($L499)-N($M499)+N($N499))</f>
        <v/>
      </c>
      <c r="P499" s="47" t="n"/>
      <c r="Q499" s="43">
        <f>IF($B499="","",N($O499)-N($P499))</f>
        <v/>
      </c>
      <c r="R499" s="47" t="n"/>
      <c r="S499" s="47" t="n"/>
      <c r="T499" s="47" t="n"/>
      <c r="U499" s="43">
        <f>IF($B499="","",N($J499)-N($R499)-N($T499))</f>
        <v/>
      </c>
      <c r="V499" s="47" t="n"/>
    </row>
    <row r="500">
      <c r="A500" s="39">
        <f>IF($B500="","",COUNTA($B$4:$B500))</f>
        <v/>
      </c>
      <c r="B500" s="40" t="n"/>
      <c r="C500" s="41" t="n"/>
      <c r="D500" s="41" t="n"/>
      <c r="E500" s="41" t="n"/>
      <c r="F500" s="41" t="n"/>
      <c r="G500" s="41" t="n"/>
      <c r="H500" s="41" t="n"/>
      <c r="I500" s="50" t="n"/>
      <c r="J500" s="42" t="n"/>
      <c r="K500" s="42" t="n"/>
      <c r="L500" s="43">
        <f>IF($B500="","",ROUND((N($J500)+N($K500))*نسبة_القيمة_المضافة,2))</f>
        <v/>
      </c>
      <c r="M500" s="42" t="n"/>
      <c r="N500" s="42" t="n"/>
      <c r="O500" s="43">
        <f>IF($B500="","",N($J500)+N($K500)+N($L500)-N($M500)+N($N500))</f>
        <v/>
      </c>
      <c r="P500" s="42" t="n"/>
      <c r="Q500" s="43">
        <f>IF($B500="","",N($O500)-N($P500))</f>
        <v/>
      </c>
      <c r="R500" s="42" t="n"/>
      <c r="S500" s="42" t="n"/>
      <c r="T500" s="42" t="n"/>
      <c r="U500" s="43">
        <f>IF($B500="","",N($J500)-N($R500)-N($T500))</f>
        <v/>
      </c>
      <c r="V500" s="42" t="n"/>
    </row>
    <row r="501">
      <c r="A501" s="39">
        <f>IF($B501="","",COUNTA($B$4:$B501))</f>
        <v/>
      </c>
      <c r="B501" s="45" t="n"/>
      <c r="C501" s="46" t="n"/>
      <c r="D501" s="46" t="n"/>
      <c r="E501" s="46" t="n"/>
      <c r="F501" s="46" t="n"/>
      <c r="G501" s="46" t="n"/>
      <c r="H501" s="46" t="n"/>
      <c r="I501" s="51" t="n"/>
      <c r="J501" s="47" t="n"/>
      <c r="K501" s="47" t="n"/>
      <c r="L501" s="43">
        <f>IF($B501="","",ROUND((N($J501)+N($K501))*نسبة_القيمة_المضافة,2))</f>
        <v/>
      </c>
      <c r="M501" s="47" t="n"/>
      <c r="N501" s="47" t="n"/>
      <c r="O501" s="43">
        <f>IF($B501="","",N($J501)+N($K501)+N($L501)-N($M501)+N($N501))</f>
        <v/>
      </c>
      <c r="P501" s="47" t="n"/>
      <c r="Q501" s="43">
        <f>IF($B501="","",N($O501)-N($P501))</f>
        <v/>
      </c>
      <c r="R501" s="47" t="n"/>
      <c r="S501" s="47" t="n"/>
      <c r="T501" s="47" t="n"/>
      <c r="U501" s="43">
        <f>IF($B501="","",N($J501)-N($R501)-N($T501))</f>
        <v/>
      </c>
      <c r="V501" s="47" t="n"/>
    </row>
    <row r="502">
      <c r="A502" s="39">
        <f>IF($B502="","",COUNTA($B$4:$B502))</f>
        <v/>
      </c>
      <c r="B502" s="40" t="n"/>
      <c r="C502" s="41" t="n"/>
      <c r="D502" s="41" t="n"/>
      <c r="E502" s="41" t="n"/>
      <c r="F502" s="41" t="n"/>
      <c r="G502" s="41" t="n"/>
      <c r="H502" s="41" t="n"/>
      <c r="I502" s="50" t="n"/>
      <c r="J502" s="42" t="n"/>
      <c r="K502" s="42" t="n"/>
      <c r="L502" s="43">
        <f>IF($B502="","",ROUND((N($J502)+N($K502))*نسبة_القيمة_المضافة,2))</f>
        <v/>
      </c>
      <c r="M502" s="42" t="n"/>
      <c r="N502" s="42" t="n"/>
      <c r="O502" s="43">
        <f>IF($B502="","",N($J502)+N($K502)+N($L502)-N($M502)+N($N502))</f>
        <v/>
      </c>
      <c r="P502" s="42" t="n"/>
      <c r="Q502" s="43">
        <f>IF($B502="","",N($O502)-N($P502))</f>
        <v/>
      </c>
      <c r="R502" s="42" t="n"/>
      <c r="S502" s="42" t="n"/>
      <c r="T502" s="42" t="n"/>
      <c r="U502" s="43">
        <f>IF($B502="","",N($J502)-N($R502)-N($T502))</f>
        <v/>
      </c>
      <c r="V502" s="42" t="n"/>
    </row>
    <row r="503">
      <c r="A503" s="39">
        <f>IF($B503="","",COUNTA($B$4:$B503))</f>
        <v/>
      </c>
      <c r="B503" s="45" t="n"/>
      <c r="C503" s="46" t="n"/>
      <c r="D503" s="46" t="n"/>
      <c r="E503" s="46" t="n"/>
      <c r="F503" s="46" t="n"/>
      <c r="G503" s="46" t="n"/>
      <c r="H503" s="46" t="n"/>
      <c r="I503" s="51" t="n"/>
      <c r="J503" s="47" t="n"/>
      <c r="K503" s="47" t="n"/>
      <c r="L503" s="43">
        <f>IF($B503="","",ROUND((N($J503)+N($K503))*نسبة_القيمة_المضافة,2))</f>
        <v/>
      </c>
      <c r="M503" s="47" t="n"/>
      <c r="N503" s="47" t="n"/>
      <c r="O503" s="43">
        <f>IF($B503="","",N($J503)+N($K503)+N($L503)-N($M503)+N($N503))</f>
        <v/>
      </c>
      <c r="P503" s="47" t="n"/>
      <c r="Q503" s="43">
        <f>IF($B503="","",N($O503)-N($P503))</f>
        <v/>
      </c>
      <c r="R503" s="47" t="n"/>
      <c r="S503" s="47" t="n"/>
      <c r="T503" s="47" t="n"/>
      <c r="U503" s="43">
        <f>IF($B503="","",N($J503)-N($R503)-N($T503))</f>
        <v/>
      </c>
      <c r="V503" s="47" t="n"/>
    </row>
    <row r="504">
      <c r="A504" s="39">
        <f>IF($B504="","",COUNTA($B$4:$B504))</f>
        <v/>
      </c>
      <c r="B504" s="40" t="n"/>
      <c r="C504" s="41" t="n"/>
      <c r="D504" s="41" t="n"/>
      <c r="E504" s="41" t="n"/>
      <c r="F504" s="41" t="n"/>
      <c r="G504" s="41" t="n"/>
      <c r="H504" s="41" t="n"/>
      <c r="I504" s="50" t="n"/>
      <c r="J504" s="42" t="n"/>
      <c r="K504" s="42" t="n"/>
      <c r="L504" s="43">
        <f>IF($B504="","",ROUND((N($J504)+N($K504))*نسبة_القيمة_المضافة,2))</f>
        <v/>
      </c>
      <c r="M504" s="42" t="n"/>
      <c r="N504" s="42" t="n"/>
      <c r="O504" s="43">
        <f>IF($B504="","",N($J504)+N($K504)+N($L504)-N($M504)+N($N504))</f>
        <v/>
      </c>
      <c r="P504" s="42" t="n"/>
      <c r="Q504" s="43">
        <f>IF($B504="","",N($O504)-N($P504))</f>
        <v/>
      </c>
      <c r="R504" s="42" t="n"/>
      <c r="S504" s="42" t="n"/>
      <c r="T504" s="42" t="n"/>
      <c r="U504" s="43">
        <f>IF($B504="","",N($J504)-N($R504)-N($T504))</f>
        <v/>
      </c>
      <c r="V504" s="42" t="n"/>
    </row>
    <row r="505">
      <c r="A505" s="39">
        <f>IF($B505="","",COUNTA($B$4:$B505))</f>
        <v/>
      </c>
      <c r="B505" s="45" t="n"/>
      <c r="C505" s="46" t="n"/>
      <c r="D505" s="46" t="n"/>
      <c r="E505" s="46" t="n"/>
      <c r="F505" s="46" t="n"/>
      <c r="G505" s="46" t="n"/>
      <c r="H505" s="46" t="n"/>
      <c r="I505" s="51" t="n"/>
      <c r="J505" s="47" t="n"/>
      <c r="K505" s="47" t="n"/>
      <c r="L505" s="43">
        <f>IF($B505="","",ROUND((N($J505)+N($K505))*نسبة_القيمة_المضافة,2))</f>
        <v/>
      </c>
      <c r="M505" s="47" t="n"/>
      <c r="N505" s="47" t="n"/>
      <c r="O505" s="43">
        <f>IF($B505="","",N($J505)+N($K505)+N($L505)-N($M505)+N($N505))</f>
        <v/>
      </c>
      <c r="P505" s="47" t="n"/>
      <c r="Q505" s="43">
        <f>IF($B505="","",N($O505)-N($P505))</f>
        <v/>
      </c>
      <c r="R505" s="47" t="n"/>
      <c r="S505" s="47" t="n"/>
      <c r="T505" s="47" t="n"/>
      <c r="U505" s="43">
        <f>IF($B505="","",N($J505)-N($R505)-N($T505))</f>
        <v/>
      </c>
      <c r="V505" s="47" t="n"/>
    </row>
    <row r="506">
      <c r="A506" s="39">
        <f>IF($B506="","",COUNTA($B$4:$B506))</f>
        <v/>
      </c>
      <c r="B506" s="40" t="n"/>
      <c r="C506" s="41" t="n"/>
      <c r="D506" s="41" t="n"/>
      <c r="E506" s="41" t="n"/>
      <c r="F506" s="41" t="n"/>
      <c r="G506" s="41" t="n"/>
      <c r="H506" s="41" t="n"/>
      <c r="I506" s="50" t="n"/>
      <c r="J506" s="42" t="n"/>
      <c r="K506" s="42" t="n"/>
      <c r="L506" s="43">
        <f>IF($B506="","",ROUND((N($J506)+N($K506))*نسبة_القيمة_المضافة,2))</f>
        <v/>
      </c>
      <c r="M506" s="42" t="n"/>
      <c r="N506" s="42" t="n"/>
      <c r="O506" s="43">
        <f>IF($B506="","",N($J506)+N($K506)+N($L506)-N($M506)+N($N506))</f>
        <v/>
      </c>
      <c r="P506" s="42" t="n"/>
      <c r="Q506" s="43">
        <f>IF($B506="","",N($O506)-N($P506))</f>
        <v/>
      </c>
      <c r="R506" s="42" t="n"/>
      <c r="S506" s="42" t="n"/>
      <c r="T506" s="42" t="n"/>
      <c r="U506" s="43">
        <f>IF($B506="","",N($J506)-N($R506)-N($T506))</f>
        <v/>
      </c>
      <c r="V506" s="42" t="n"/>
    </row>
    <row r="507">
      <c r="A507" s="39">
        <f>IF($B507="","",COUNTA($B$4:$B507))</f>
        <v/>
      </c>
      <c r="B507" s="45" t="n"/>
      <c r="C507" s="46" t="n"/>
      <c r="D507" s="46" t="n"/>
      <c r="E507" s="46" t="n"/>
      <c r="F507" s="46" t="n"/>
      <c r="G507" s="46" t="n"/>
      <c r="H507" s="46" t="n"/>
      <c r="I507" s="51" t="n"/>
      <c r="J507" s="47" t="n"/>
      <c r="K507" s="47" t="n"/>
      <c r="L507" s="43">
        <f>IF($B507="","",ROUND((N($J507)+N($K507))*نسبة_القيمة_المضافة,2))</f>
        <v/>
      </c>
      <c r="M507" s="47" t="n"/>
      <c r="N507" s="47" t="n"/>
      <c r="O507" s="43">
        <f>IF($B507="","",N($J507)+N($K507)+N($L507)-N($M507)+N($N507))</f>
        <v/>
      </c>
      <c r="P507" s="47" t="n"/>
      <c r="Q507" s="43">
        <f>IF($B507="","",N($O507)-N($P507))</f>
        <v/>
      </c>
      <c r="R507" s="47" t="n"/>
      <c r="S507" s="47" t="n"/>
      <c r="T507" s="47" t="n"/>
      <c r="U507" s="43">
        <f>IF($B507="","",N($J507)-N($R507)-N($T507))</f>
        <v/>
      </c>
      <c r="V507" s="47" t="n"/>
    </row>
    <row r="508">
      <c r="A508" s="39">
        <f>IF($B508="","",COUNTA($B$4:$B508))</f>
        <v/>
      </c>
      <c r="B508" s="40" t="n"/>
      <c r="C508" s="41" t="n"/>
      <c r="D508" s="41" t="n"/>
      <c r="E508" s="41" t="n"/>
      <c r="F508" s="41" t="n"/>
      <c r="G508" s="41" t="n"/>
      <c r="H508" s="41" t="n"/>
      <c r="I508" s="50" t="n"/>
      <c r="J508" s="42" t="n"/>
      <c r="K508" s="42" t="n"/>
      <c r="L508" s="43">
        <f>IF($B508="","",ROUND((N($J508)+N($K508))*نسبة_القيمة_المضافة,2))</f>
        <v/>
      </c>
      <c r="M508" s="42" t="n"/>
      <c r="N508" s="42" t="n"/>
      <c r="O508" s="43">
        <f>IF($B508="","",N($J508)+N($K508)+N($L508)-N($M508)+N($N508))</f>
        <v/>
      </c>
      <c r="P508" s="42" t="n"/>
      <c r="Q508" s="43">
        <f>IF($B508="","",N($O508)-N($P508))</f>
        <v/>
      </c>
      <c r="R508" s="42" t="n"/>
      <c r="S508" s="42" t="n"/>
      <c r="T508" s="42" t="n"/>
      <c r="U508" s="43">
        <f>IF($B508="","",N($J508)-N($R508)-N($T508))</f>
        <v/>
      </c>
      <c r="V508" s="42" t="n"/>
    </row>
    <row r="509">
      <c r="A509" s="39">
        <f>IF($B509="","",COUNTA($B$4:$B509))</f>
        <v/>
      </c>
      <c r="B509" s="45" t="n"/>
      <c r="C509" s="46" t="n"/>
      <c r="D509" s="46" t="n"/>
      <c r="E509" s="46" t="n"/>
      <c r="F509" s="46" t="n"/>
      <c r="G509" s="46" t="n"/>
      <c r="H509" s="46" t="n"/>
      <c r="I509" s="51" t="n"/>
      <c r="J509" s="47" t="n"/>
      <c r="K509" s="47" t="n"/>
      <c r="L509" s="43">
        <f>IF($B509="","",ROUND((N($J509)+N($K509))*نسبة_القيمة_المضافة,2))</f>
        <v/>
      </c>
      <c r="M509" s="47" t="n"/>
      <c r="N509" s="47" t="n"/>
      <c r="O509" s="43">
        <f>IF($B509="","",N($J509)+N($K509)+N($L509)-N($M509)+N($N509))</f>
        <v/>
      </c>
      <c r="P509" s="47" t="n"/>
      <c r="Q509" s="43">
        <f>IF($B509="","",N($O509)-N($P509))</f>
        <v/>
      </c>
      <c r="R509" s="47" t="n"/>
      <c r="S509" s="47" t="n"/>
      <c r="T509" s="47" t="n"/>
      <c r="U509" s="43">
        <f>IF($B509="","",N($J509)-N($R509)-N($T509))</f>
        <v/>
      </c>
      <c r="V509" s="47" t="n"/>
    </row>
    <row r="510">
      <c r="A510" s="39">
        <f>IF($B510="","",COUNTA($B$4:$B510))</f>
        <v/>
      </c>
      <c r="B510" s="40" t="n"/>
      <c r="C510" s="41" t="n"/>
      <c r="D510" s="41" t="n"/>
      <c r="E510" s="41" t="n"/>
      <c r="F510" s="41" t="n"/>
      <c r="G510" s="41" t="n"/>
      <c r="H510" s="41" t="n"/>
      <c r="I510" s="50" t="n"/>
      <c r="J510" s="42" t="n"/>
      <c r="K510" s="42" t="n"/>
      <c r="L510" s="43">
        <f>IF($B510="","",ROUND((N($J510)+N($K510))*نسبة_القيمة_المضافة,2))</f>
        <v/>
      </c>
      <c r="M510" s="42" t="n"/>
      <c r="N510" s="42" t="n"/>
      <c r="O510" s="43">
        <f>IF($B510="","",N($J510)+N($K510)+N($L510)-N($M510)+N($N510))</f>
        <v/>
      </c>
      <c r="P510" s="42" t="n"/>
      <c r="Q510" s="43">
        <f>IF($B510="","",N($O510)-N($P510))</f>
        <v/>
      </c>
      <c r="R510" s="42" t="n"/>
      <c r="S510" s="42" t="n"/>
      <c r="T510" s="42" t="n"/>
      <c r="U510" s="43">
        <f>IF($B510="","",N($J510)-N($R510)-N($T510))</f>
        <v/>
      </c>
      <c r="V510" s="42" t="n"/>
    </row>
    <row r="511">
      <c r="A511" s="39">
        <f>IF($B511="","",COUNTA($B$4:$B511))</f>
        <v/>
      </c>
      <c r="B511" s="45" t="n"/>
      <c r="C511" s="46" t="n"/>
      <c r="D511" s="46" t="n"/>
      <c r="E511" s="46" t="n"/>
      <c r="F511" s="46" t="n"/>
      <c r="G511" s="46" t="n"/>
      <c r="H511" s="46" t="n"/>
      <c r="I511" s="51" t="n"/>
      <c r="J511" s="47" t="n"/>
      <c r="K511" s="47" t="n"/>
      <c r="L511" s="43">
        <f>IF($B511="","",ROUND((N($J511)+N($K511))*نسبة_القيمة_المضافة,2))</f>
        <v/>
      </c>
      <c r="M511" s="47" t="n"/>
      <c r="N511" s="47" t="n"/>
      <c r="O511" s="43">
        <f>IF($B511="","",N($J511)+N($K511)+N($L511)-N($M511)+N($N511))</f>
        <v/>
      </c>
      <c r="P511" s="47" t="n"/>
      <c r="Q511" s="43">
        <f>IF($B511="","",N($O511)-N($P511))</f>
        <v/>
      </c>
      <c r="R511" s="47" t="n"/>
      <c r="S511" s="47" t="n"/>
      <c r="T511" s="47" t="n"/>
      <c r="U511" s="43">
        <f>IF($B511="","",N($J511)-N($R511)-N($T511))</f>
        <v/>
      </c>
      <c r="V511" s="47" t="n"/>
    </row>
    <row r="512">
      <c r="A512" s="39">
        <f>IF($B512="","",COUNTA($B$4:$B512))</f>
        <v/>
      </c>
      <c r="B512" s="40" t="n"/>
      <c r="C512" s="41" t="n"/>
      <c r="D512" s="41" t="n"/>
      <c r="E512" s="41" t="n"/>
      <c r="F512" s="41" t="n"/>
      <c r="G512" s="41" t="n"/>
      <c r="H512" s="41" t="n"/>
      <c r="I512" s="50" t="n"/>
      <c r="J512" s="42" t="n"/>
      <c r="K512" s="42" t="n"/>
      <c r="L512" s="43">
        <f>IF($B512="","",ROUND((N($J512)+N($K512))*نسبة_القيمة_المضافة,2))</f>
        <v/>
      </c>
      <c r="M512" s="42" t="n"/>
      <c r="N512" s="42" t="n"/>
      <c r="O512" s="43">
        <f>IF($B512="","",N($J512)+N($K512)+N($L512)-N($M512)+N($N512))</f>
        <v/>
      </c>
      <c r="P512" s="42" t="n"/>
      <c r="Q512" s="43">
        <f>IF($B512="","",N($O512)-N($P512))</f>
        <v/>
      </c>
      <c r="R512" s="42" t="n"/>
      <c r="S512" s="42" t="n"/>
      <c r="T512" s="42" t="n"/>
      <c r="U512" s="43">
        <f>IF($B512="","",N($J512)-N($R512)-N($T512))</f>
        <v/>
      </c>
      <c r="V512" s="42" t="n"/>
    </row>
    <row r="513">
      <c r="A513" s="39">
        <f>IF($B513="","",COUNTA($B$4:$B513))</f>
        <v/>
      </c>
      <c r="B513" s="45" t="n"/>
      <c r="C513" s="46" t="n"/>
      <c r="D513" s="46" t="n"/>
      <c r="E513" s="46" t="n"/>
      <c r="F513" s="46" t="n"/>
      <c r="G513" s="46" t="n"/>
      <c r="H513" s="46" t="n"/>
      <c r="I513" s="51" t="n"/>
      <c r="J513" s="47" t="n"/>
      <c r="K513" s="47" t="n"/>
      <c r="L513" s="43">
        <f>IF($B513="","",ROUND((N($J513)+N($K513))*نسبة_القيمة_المضافة,2))</f>
        <v/>
      </c>
      <c r="M513" s="47" t="n"/>
      <c r="N513" s="47" t="n"/>
      <c r="O513" s="43">
        <f>IF($B513="","",N($J513)+N($K513)+N($L513)-N($M513)+N($N513))</f>
        <v/>
      </c>
      <c r="P513" s="47" t="n"/>
      <c r="Q513" s="43">
        <f>IF($B513="","",N($O513)-N($P513))</f>
        <v/>
      </c>
      <c r="R513" s="47" t="n"/>
      <c r="S513" s="47" t="n"/>
      <c r="T513" s="47" t="n"/>
      <c r="U513" s="43">
        <f>IF($B513="","",N($J513)-N($R513)-N($T513))</f>
        <v/>
      </c>
      <c r="V513" s="47" t="n"/>
    </row>
    <row r="514">
      <c r="A514" s="39">
        <f>IF($B514="","",COUNTA($B$4:$B514))</f>
        <v/>
      </c>
      <c r="B514" s="40" t="n"/>
      <c r="C514" s="41" t="n"/>
      <c r="D514" s="41" t="n"/>
      <c r="E514" s="41" t="n"/>
      <c r="F514" s="41" t="n"/>
      <c r="G514" s="41" t="n"/>
      <c r="H514" s="41" t="n"/>
      <c r="I514" s="50" t="n"/>
      <c r="J514" s="42" t="n"/>
      <c r="K514" s="42" t="n"/>
      <c r="L514" s="43">
        <f>IF($B514="","",ROUND((N($J514)+N($K514))*نسبة_القيمة_المضافة,2))</f>
        <v/>
      </c>
      <c r="M514" s="42" t="n"/>
      <c r="N514" s="42" t="n"/>
      <c r="O514" s="43">
        <f>IF($B514="","",N($J514)+N($K514)+N($L514)-N($M514)+N($N514))</f>
        <v/>
      </c>
      <c r="P514" s="42" t="n"/>
      <c r="Q514" s="43">
        <f>IF($B514="","",N($O514)-N($P514))</f>
        <v/>
      </c>
      <c r="R514" s="42" t="n"/>
      <c r="S514" s="42" t="n"/>
      <c r="T514" s="42" t="n"/>
      <c r="U514" s="43">
        <f>IF($B514="","",N($J514)-N($R514)-N($T514))</f>
        <v/>
      </c>
      <c r="V514" s="42" t="n"/>
    </row>
    <row r="515">
      <c r="A515" s="39">
        <f>IF($B515="","",COUNTA($B$4:$B515))</f>
        <v/>
      </c>
      <c r="B515" s="45" t="n"/>
      <c r="C515" s="46" t="n"/>
      <c r="D515" s="46" t="n"/>
      <c r="E515" s="46" t="n"/>
      <c r="F515" s="46" t="n"/>
      <c r="G515" s="46" t="n"/>
      <c r="H515" s="46" t="n"/>
      <c r="I515" s="51" t="n"/>
      <c r="J515" s="47" t="n"/>
      <c r="K515" s="47" t="n"/>
      <c r="L515" s="43">
        <f>IF($B515="","",ROUND((N($J515)+N($K515))*نسبة_القيمة_المضافة,2))</f>
        <v/>
      </c>
      <c r="M515" s="47" t="n"/>
      <c r="N515" s="47" t="n"/>
      <c r="O515" s="43">
        <f>IF($B515="","",N($J515)+N($K515)+N($L515)-N($M515)+N($N515))</f>
        <v/>
      </c>
      <c r="P515" s="47" t="n"/>
      <c r="Q515" s="43">
        <f>IF($B515="","",N($O515)-N($P515))</f>
        <v/>
      </c>
      <c r="R515" s="47" t="n"/>
      <c r="S515" s="47" t="n"/>
      <c r="T515" s="47" t="n"/>
      <c r="U515" s="43">
        <f>IF($B515="","",N($J515)-N($R515)-N($T515))</f>
        <v/>
      </c>
      <c r="V515" s="47" t="n"/>
    </row>
    <row r="516">
      <c r="A516" s="39">
        <f>IF($B516="","",COUNTA($B$4:$B516))</f>
        <v/>
      </c>
      <c r="B516" s="40" t="n"/>
      <c r="C516" s="41" t="n"/>
      <c r="D516" s="41" t="n"/>
      <c r="E516" s="41" t="n"/>
      <c r="F516" s="41" t="n"/>
      <c r="G516" s="41" t="n"/>
      <c r="H516" s="41" t="n"/>
      <c r="I516" s="50" t="n"/>
      <c r="J516" s="42" t="n"/>
      <c r="K516" s="42" t="n"/>
      <c r="L516" s="43">
        <f>IF($B516="","",ROUND((N($J516)+N($K516))*نسبة_القيمة_المضافة,2))</f>
        <v/>
      </c>
      <c r="M516" s="42" t="n"/>
      <c r="N516" s="42" t="n"/>
      <c r="O516" s="43">
        <f>IF($B516="","",N($J516)+N($K516)+N($L516)-N($M516)+N($N516))</f>
        <v/>
      </c>
      <c r="P516" s="42" t="n"/>
      <c r="Q516" s="43">
        <f>IF($B516="","",N($O516)-N($P516))</f>
        <v/>
      </c>
      <c r="R516" s="42" t="n"/>
      <c r="S516" s="42" t="n"/>
      <c r="T516" s="42" t="n"/>
      <c r="U516" s="43">
        <f>IF($B516="","",N($J516)-N($R516)-N($T516))</f>
        <v/>
      </c>
      <c r="V516" s="42" t="n"/>
    </row>
    <row r="517">
      <c r="A517" s="39">
        <f>IF($B517="","",COUNTA($B$4:$B517))</f>
        <v/>
      </c>
      <c r="B517" s="45" t="n"/>
      <c r="C517" s="46" t="n"/>
      <c r="D517" s="46" t="n"/>
      <c r="E517" s="46" t="n"/>
      <c r="F517" s="46" t="n"/>
      <c r="G517" s="46" t="n"/>
      <c r="H517" s="46" t="n"/>
      <c r="I517" s="51" t="n"/>
      <c r="J517" s="47" t="n"/>
      <c r="K517" s="47" t="n"/>
      <c r="L517" s="43">
        <f>IF($B517="","",ROUND((N($J517)+N($K517))*نسبة_القيمة_المضافة,2))</f>
        <v/>
      </c>
      <c r="M517" s="47" t="n"/>
      <c r="N517" s="47" t="n"/>
      <c r="O517" s="43">
        <f>IF($B517="","",N($J517)+N($K517)+N($L517)-N($M517)+N($N517))</f>
        <v/>
      </c>
      <c r="P517" s="47" t="n"/>
      <c r="Q517" s="43">
        <f>IF($B517="","",N($O517)-N($P517))</f>
        <v/>
      </c>
      <c r="R517" s="47" t="n"/>
      <c r="S517" s="47" t="n"/>
      <c r="T517" s="47" t="n"/>
      <c r="U517" s="43">
        <f>IF($B517="","",N($J517)-N($R517)-N($T517))</f>
        <v/>
      </c>
      <c r="V517" s="47" t="n"/>
    </row>
    <row r="518">
      <c r="A518" s="39">
        <f>IF($B518="","",COUNTA($B$4:$B518))</f>
        <v/>
      </c>
      <c r="B518" s="40" t="n"/>
      <c r="C518" s="41" t="n"/>
      <c r="D518" s="41" t="n"/>
      <c r="E518" s="41" t="n"/>
      <c r="F518" s="41" t="n"/>
      <c r="G518" s="41" t="n"/>
      <c r="H518" s="41" t="n"/>
      <c r="I518" s="50" t="n"/>
      <c r="J518" s="42" t="n"/>
      <c r="K518" s="42" t="n"/>
      <c r="L518" s="43">
        <f>IF($B518="","",ROUND((N($J518)+N($K518))*نسبة_القيمة_المضافة,2))</f>
        <v/>
      </c>
      <c r="M518" s="42" t="n"/>
      <c r="N518" s="42" t="n"/>
      <c r="O518" s="43">
        <f>IF($B518="","",N($J518)+N($K518)+N($L518)-N($M518)+N($N518))</f>
        <v/>
      </c>
      <c r="P518" s="42" t="n"/>
      <c r="Q518" s="43">
        <f>IF($B518="","",N($O518)-N($P518))</f>
        <v/>
      </c>
      <c r="R518" s="42" t="n"/>
      <c r="S518" s="42" t="n"/>
      <c r="T518" s="42" t="n"/>
      <c r="U518" s="43">
        <f>IF($B518="","",N($J518)-N($R518)-N($T518))</f>
        <v/>
      </c>
      <c r="V518" s="42" t="n"/>
    </row>
    <row r="519">
      <c r="A519" s="39">
        <f>IF($B519="","",COUNTA($B$4:$B519))</f>
        <v/>
      </c>
      <c r="B519" s="45" t="n"/>
      <c r="C519" s="46" t="n"/>
      <c r="D519" s="46" t="n"/>
      <c r="E519" s="46" t="n"/>
      <c r="F519" s="46" t="n"/>
      <c r="G519" s="46" t="n"/>
      <c r="H519" s="46" t="n"/>
      <c r="I519" s="51" t="n"/>
      <c r="J519" s="47" t="n"/>
      <c r="K519" s="47" t="n"/>
      <c r="L519" s="43">
        <f>IF($B519="","",ROUND((N($J519)+N($K519))*نسبة_القيمة_المضافة,2))</f>
        <v/>
      </c>
      <c r="M519" s="47" t="n"/>
      <c r="N519" s="47" t="n"/>
      <c r="O519" s="43">
        <f>IF($B519="","",N($J519)+N($K519)+N($L519)-N($M519)+N($N519))</f>
        <v/>
      </c>
      <c r="P519" s="47" t="n"/>
      <c r="Q519" s="43">
        <f>IF($B519="","",N($O519)-N($P519))</f>
        <v/>
      </c>
      <c r="R519" s="47" t="n"/>
      <c r="S519" s="47" t="n"/>
      <c r="T519" s="47" t="n"/>
      <c r="U519" s="43">
        <f>IF($B519="","",N($J519)-N($R519)-N($T519))</f>
        <v/>
      </c>
      <c r="V519" s="47" t="n"/>
    </row>
    <row r="520">
      <c r="A520" s="39">
        <f>IF($B520="","",COUNTA($B$4:$B520))</f>
        <v/>
      </c>
      <c r="B520" s="40" t="n"/>
      <c r="C520" s="41" t="n"/>
      <c r="D520" s="41" t="n"/>
      <c r="E520" s="41" t="n"/>
      <c r="F520" s="41" t="n"/>
      <c r="G520" s="41" t="n"/>
      <c r="H520" s="41" t="n"/>
      <c r="I520" s="50" t="n"/>
      <c r="J520" s="42" t="n"/>
      <c r="K520" s="42" t="n"/>
      <c r="L520" s="43">
        <f>IF($B520="","",ROUND((N($J520)+N($K520))*نسبة_القيمة_المضافة,2))</f>
        <v/>
      </c>
      <c r="M520" s="42" t="n"/>
      <c r="N520" s="42" t="n"/>
      <c r="O520" s="43">
        <f>IF($B520="","",N($J520)+N($K520)+N($L520)-N($M520)+N($N520))</f>
        <v/>
      </c>
      <c r="P520" s="42" t="n"/>
      <c r="Q520" s="43">
        <f>IF($B520="","",N($O520)-N($P520))</f>
        <v/>
      </c>
      <c r="R520" s="42" t="n"/>
      <c r="S520" s="42" t="n"/>
      <c r="T520" s="42" t="n"/>
      <c r="U520" s="43">
        <f>IF($B520="","",N($J520)-N($R520)-N($T520))</f>
        <v/>
      </c>
      <c r="V520" s="42" t="n"/>
    </row>
    <row r="521">
      <c r="A521" s="39">
        <f>IF($B521="","",COUNTA($B$4:$B521))</f>
        <v/>
      </c>
      <c r="B521" s="45" t="n"/>
      <c r="C521" s="46" t="n"/>
      <c r="D521" s="46" t="n"/>
      <c r="E521" s="46" t="n"/>
      <c r="F521" s="46" t="n"/>
      <c r="G521" s="46" t="n"/>
      <c r="H521" s="46" t="n"/>
      <c r="I521" s="51" t="n"/>
      <c r="J521" s="47" t="n"/>
      <c r="K521" s="47" t="n"/>
      <c r="L521" s="43">
        <f>IF($B521="","",ROUND((N($J521)+N($K521))*نسبة_القيمة_المضافة,2))</f>
        <v/>
      </c>
      <c r="M521" s="47" t="n"/>
      <c r="N521" s="47" t="n"/>
      <c r="O521" s="43">
        <f>IF($B521="","",N($J521)+N($K521)+N($L521)-N($M521)+N($N521))</f>
        <v/>
      </c>
      <c r="P521" s="47" t="n"/>
      <c r="Q521" s="43">
        <f>IF($B521="","",N($O521)-N($P521))</f>
        <v/>
      </c>
      <c r="R521" s="47" t="n"/>
      <c r="S521" s="47" t="n"/>
      <c r="T521" s="47" t="n"/>
      <c r="U521" s="43">
        <f>IF($B521="","",N($J521)-N($R521)-N($T521))</f>
        <v/>
      </c>
      <c r="V521" s="47" t="n"/>
    </row>
    <row r="522">
      <c r="A522" s="39">
        <f>IF($B522="","",COUNTA($B$4:$B522))</f>
        <v/>
      </c>
      <c r="B522" s="40" t="n"/>
      <c r="C522" s="41" t="n"/>
      <c r="D522" s="41" t="n"/>
      <c r="E522" s="41" t="n"/>
      <c r="F522" s="41" t="n"/>
      <c r="G522" s="41" t="n"/>
      <c r="H522" s="41" t="n"/>
      <c r="I522" s="50" t="n"/>
      <c r="J522" s="42" t="n"/>
      <c r="K522" s="42" t="n"/>
      <c r="L522" s="43">
        <f>IF($B522="","",ROUND((N($J522)+N($K522))*نسبة_القيمة_المضافة,2))</f>
        <v/>
      </c>
      <c r="M522" s="42" t="n"/>
      <c r="N522" s="42" t="n"/>
      <c r="O522" s="43">
        <f>IF($B522="","",N($J522)+N($K522)+N($L522)-N($M522)+N($N522))</f>
        <v/>
      </c>
      <c r="P522" s="42" t="n"/>
      <c r="Q522" s="43">
        <f>IF($B522="","",N($O522)-N($P522))</f>
        <v/>
      </c>
      <c r="R522" s="42" t="n"/>
      <c r="S522" s="42" t="n"/>
      <c r="T522" s="42" t="n"/>
      <c r="U522" s="43">
        <f>IF($B522="","",N($J522)-N($R522)-N($T522))</f>
        <v/>
      </c>
      <c r="V522" s="42" t="n"/>
    </row>
    <row r="523">
      <c r="A523" s="39">
        <f>IF($B523="","",COUNTA($B$4:$B523))</f>
        <v/>
      </c>
      <c r="B523" s="45" t="n"/>
      <c r="C523" s="46" t="n"/>
      <c r="D523" s="46" t="n"/>
      <c r="E523" s="46" t="n"/>
      <c r="F523" s="46" t="n"/>
      <c r="G523" s="46" t="n"/>
      <c r="H523" s="46" t="n"/>
      <c r="I523" s="51" t="n"/>
      <c r="J523" s="47" t="n"/>
      <c r="K523" s="47" t="n"/>
      <c r="L523" s="43">
        <f>IF($B523="","",ROUND((N($J523)+N($K523))*نسبة_القيمة_المضافة,2))</f>
        <v/>
      </c>
      <c r="M523" s="47" t="n"/>
      <c r="N523" s="47" t="n"/>
      <c r="O523" s="43">
        <f>IF($B523="","",N($J523)+N($K523)+N($L523)-N($M523)+N($N523))</f>
        <v/>
      </c>
      <c r="P523" s="47" t="n"/>
      <c r="Q523" s="43">
        <f>IF($B523="","",N($O523)-N($P523))</f>
        <v/>
      </c>
      <c r="R523" s="47" t="n"/>
      <c r="S523" s="47" t="n"/>
      <c r="T523" s="47" t="n"/>
      <c r="U523" s="43">
        <f>IF($B523="","",N($J523)-N($R523)-N($T523))</f>
        <v/>
      </c>
      <c r="V523" s="47" t="n"/>
    </row>
    <row r="524">
      <c r="A524" s="39">
        <f>IF($B524="","",COUNTA($B$4:$B524))</f>
        <v/>
      </c>
      <c r="B524" s="40" t="n"/>
      <c r="C524" s="41" t="n"/>
      <c r="D524" s="41" t="n"/>
      <c r="E524" s="41" t="n"/>
      <c r="F524" s="41" t="n"/>
      <c r="G524" s="41" t="n"/>
      <c r="H524" s="41" t="n"/>
      <c r="I524" s="50" t="n"/>
      <c r="J524" s="42" t="n"/>
      <c r="K524" s="42" t="n"/>
      <c r="L524" s="43">
        <f>IF($B524="","",ROUND((N($J524)+N($K524))*نسبة_القيمة_المضافة,2))</f>
        <v/>
      </c>
      <c r="M524" s="42" t="n"/>
      <c r="N524" s="42" t="n"/>
      <c r="O524" s="43">
        <f>IF($B524="","",N($J524)+N($K524)+N($L524)-N($M524)+N($N524))</f>
        <v/>
      </c>
      <c r="P524" s="42" t="n"/>
      <c r="Q524" s="43">
        <f>IF($B524="","",N($O524)-N($P524))</f>
        <v/>
      </c>
      <c r="R524" s="42" t="n"/>
      <c r="S524" s="42" t="n"/>
      <c r="T524" s="42" t="n"/>
      <c r="U524" s="43">
        <f>IF($B524="","",N($J524)-N($R524)-N($T524))</f>
        <v/>
      </c>
      <c r="V524" s="42" t="n"/>
    </row>
    <row r="525">
      <c r="A525" s="39">
        <f>IF($B525="","",COUNTA($B$4:$B525))</f>
        <v/>
      </c>
      <c r="B525" s="45" t="n"/>
      <c r="C525" s="46" t="n"/>
      <c r="D525" s="46" t="n"/>
      <c r="E525" s="46" t="n"/>
      <c r="F525" s="46" t="n"/>
      <c r="G525" s="46" t="n"/>
      <c r="H525" s="46" t="n"/>
      <c r="I525" s="51" t="n"/>
      <c r="J525" s="47" t="n"/>
      <c r="K525" s="47" t="n"/>
      <c r="L525" s="43">
        <f>IF($B525="","",ROUND((N($J525)+N($K525))*نسبة_القيمة_المضافة,2))</f>
        <v/>
      </c>
      <c r="M525" s="47" t="n"/>
      <c r="N525" s="47" t="n"/>
      <c r="O525" s="43">
        <f>IF($B525="","",N($J525)+N($K525)+N($L525)-N($M525)+N($N525))</f>
        <v/>
      </c>
      <c r="P525" s="47" t="n"/>
      <c r="Q525" s="43">
        <f>IF($B525="","",N($O525)-N($P525))</f>
        <v/>
      </c>
      <c r="R525" s="47" t="n"/>
      <c r="S525" s="47" t="n"/>
      <c r="T525" s="47" t="n"/>
      <c r="U525" s="43">
        <f>IF($B525="","",N($J525)-N($R525)-N($T525))</f>
        <v/>
      </c>
      <c r="V525" s="47" t="n"/>
    </row>
    <row r="526">
      <c r="A526" s="39">
        <f>IF($B526="","",COUNTA($B$4:$B526))</f>
        <v/>
      </c>
      <c r="B526" s="40" t="n"/>
      <c r="C526" s="41" t="n"/>
      <c r="D526" s="41" t="n"/>
      <c r="E526" s="41" t="n"/>
      <c r="F526" s="41" t="n"/>
      <c r="G526" s="41" t="n"/>
      <c r="H526" s="41" t="n"/>
      <c r="I526" s="50" t="n"/>
      <c r="J526" s="42" t="n"/>
      <c r="K526" s="42" t="n"/>
      <c r="L526" s="43">
        <f>IF($B526="","",ROUND((N($J526)+N($K526))*نسبة_القيمة_المضافة,2))</f>
        <v/>
      </c>
      <c r="M526" s="42" t="n"/>
      <c r="N526" s="42" t="n"/>
      <c r="O526" s="43">
        <f>IF($B526="","",N($J526)+N($K526)+N($L526)-N($M526)+N($N526))</f>
        <v/>
      </c>
      <c r="P526" s="42" t="n"/>
      <c r="Q526" s="43">
        <f>IF($B526="","",N($O526)-N($P526))</f>
        <v/>
      </c>
      <c r="R526" s="42" t="n"/>
      <c r="S526" s="42" t="n"/>
      <c r="T526" s="42" t="n"/>
      <c r="U526" s="43">
        <f>IF($B526="","",N($J526)-N($R526)-N($T526))</f>
        <v/>
      </c>
      <c r="V526" s="42" t="n"/>
    </row>
    <row r="527">
      <c r="A527" s="39">
        <f>IF($B527="","",COUNTA($B$4:$B527))</f>
        <v/>
      </c>
      <c r="B527" s="45" t="n"/>
      <c r="C527" s="46" t="n"/>
      <c r="D527" s="46" t="n"/>
      <c r="E527" s="46" t="n"/>
      <c r="F527" s="46" t="n"/>
      <c r="G527" s="46" t="n"/>
      <c r="H527" s="46" t="n"/>
      <c r="I527" s="51" t="n"/>
      <c r="J527" s="47" t="n"/>
      <c r="K527" s="47" t="n"/>
      <c r="L527" s="43">
        <f>IF($B527="","",ROUND((N($J527)+N($K527))*نسبة_القيمة_المضافة,2))</f>
        <v/>
      </c>
      <c r="M527" s="47" t="n"/>
      <c r="N527" s="47" t="n"/>
      <c r="O527" s="43">
        <f>IF($B527="","",N($J527)+N($K527)+N($L527)-N($M527)+N($N527))</f>
        <v/>
      </c>
      <c r="P527" s="47" t="n"/>
      <c r="Q527" s="43">
        <f>IF($B527="","",N($O527)-N($P527))</f>
        <v/>
      </c>
      <c r="R527" s="47" t="n"/>
      <c r="S527" s="47" t="n"/>
      <c r="T527" s="47" t="n"/>
      <c r="U527" s="43">
        <f>IF($B527="","",N($J527)-N($R527)-N($T527))</f>
        <v/>
      </c>
      <c r="V527" s="47" t="n"/>
    </row>
    <row r="528">
      <c r="A528" s="39">
        <f>IF($B528="","",COUNTA($B$4:$B528))</f>
        <v/>
      </c>
      <c r="B528" s="40" t="n"/>
      <c r="C528" s="41" t="n"/>
      <c r="D528" s="41" t="n"/>
      <c r="E528" s="41" t="n"/>
      <c r="F528" s="41" t="n"/>
      <c r="G528" s="41" t="n"/>
      <c r="H528" s="41" t="n"/>
      <c r="I528" s="50" t="n"/>
      <c r="J528" s="42" t="n"/>
      <c r="K528" s="42" t="n"/>
      <c r="L528" s="43">
        <f>IF($B528="","",ROUND((N($J528)+N($K528))*نسبة_القيمة_المضافة,2))</f>
        <v/>
      </c>
      <c r="M528" s="42" t="n"/>
      <c r="N528" s="42" t="n"/>
      <c r="O528" s="43">
        <f>IF($B528="","",N($J528)+N($K528)+N($L528)-N($M528)+N($N528))</f>
        <v/>
      </c>
      <c r="P528" s="42" t="n"/>
      <c r="Q528" s="43">
        <f>IF($B528="","",N($O528)-N($P528))</f>
        <v/>
      </c>
      <c r="R528" s="42" t="n"/>
      <c r="S528" s="42" t="n"/>
      <c r="T528" s="42" t="n"/>
      <c r="U528" s="43">
        <f>IF($B528="","",N($J528)-N($R528)-N($T528))</f>
        <v/>
      </c>
      <c r="V528" s="42" t="n"/>
    </row>
    <row r="529">
      <c r="A529" s="39">
        <f>IF($B529="","",COUNTA($B$4:$B529))</f>
        <v/>
      </c>
      <c r="B529" s="45" t="n"/>
      <c r="C529" s="46" t="n"/>
      <c r="D529" s="46" t="n"/>
      <c r="E529" s="46" t="n"/>
      <c r="F529" s="46" t="n"/>
      <c r="G529" s="46" t="n"/>
      <c r="H529" s="46" t="n"/>
      <c r="I529" s="51" t="n"/>
      <c r="J529" s="47" t="n"/>
      <c r="K529" s="47" t="n"/>
      <c r="L529" s="43">
        <f>IF($B529="","",ROUND((N($J529)+N($K529))*نسبة_القيمة_المضافة,2))</f>
        <v/>
      </c>
      <c r="M529" s="47" t="n"/>
      <c r="N529" s="47" t="n"/>
      <c r="O529" s="43">
        <f>IF($B529="","",N($J529)+N($K529)+N($L529)-N($M529)+N($N529))</f>
        <v/>
      </c>
      <c r="P529" s="47" t="n"/>
      <c r="Q529" s="43">
        <f>IF($B529="","",N($O529)-N($P529))</f>
        <v/>
      </c>
      <c r="R529" s="47" t="n"/>
      <c r="S529" s="47" t="n"/>
      <c r="T529" s="47" t="n"/>
      <c r="U529" s="43">
        <f>IF($B529="","",N($J529)-N($R529)-N($T529))</f>
        <v/>
      </c>
      <c r="V529" s="47" t="n"/>
    </row>
    <row r="530">
      <c r="A530" s="39">
        <f>IF($B530="","",COUNTA($B$4:$B530))</f>
        <v/>
      </c>
      <c r="B530" s="40" t="n"/>
      <c r="C530" s="41" t="n"/>
      <c r="D530" s="41" t="n"/>
      <c r="E530" s="41" t="n"/>
      <c r="F530" s="41" t="n"/>
      <c r="G530" s="41" t="n"/>
      <c r="H530" s="41" t="n"/>
      <c r="I530" s="50" t="n"/>
      <c r="J530" s="42" t="n"/>
      <c r="K530" s="42" t="n"/>
      <c r="L530" s="43">
        <f>IF($B530="","",ROUND((N($J530)+N($K530))*نسبة_القيمة_المضافة,2))</f>
        <v/>
      </c>
      <c r="M530" s="42" t="n"/>
      <c r="N530" s="42" t="n"/>
      <c r="O530" s="43">
        <f>IF($B530="","",N($J530)+N($K530)+N($L530)-N($M530)+N($N530))</f>
        <v/>
      </c>
      <c r="P530" s="42" t="n"/>
      <c r="Q530" s="43">
        <f>IF($B530="","",N($O530)-N($P530))</f>
        <v/>
      </c>
      <c r="R530" s="42" t="n"/>
      <c r="S530" s="42" t="n"/>
      <c r="T530" s="42" t="n"/>
      <c r="U530" s="43">
        <f>IF($B530="","",N($J530)-N($R530)-N($T530))</f>
        <v/>
      </c>
      <c r="V530" s="42" t="n"/>
    </row>
    <row r="531">
      <c r="A531" s="39">
        <f>IF($B531="","",COUNTA($B$4:$B531))</f>
        <v/>
      </c>
      <c r="B531" s="45" t="n"/>
      <c r="C531" s="46" t="n"/>
      <c r="D531" s="46" t="n"/>
      <c r="E531" s="46" t="n"/>
      <c r="F531" s="46" t="n"/>
      <c r="G531" s="46" t="n"/>
      <c r="H531" s="46" t="n"/>
      <c r="I531" s="51" t="n"/>
      <c r="J531" s="47" t="n"/>
      <c r="K531" s="47" t="n"/>
      <c r="L531" s="43">
        <f>IF($B531="","",ROUND((N($J531)+N($K531))*نسبة_القيمة_المضافة,2))</f>
        <v/>
      </c>
      <c r="M531" s="47" t="n"/>
      <c r="N531" s="47" t="n"/>
      <c r="O531" s="43">
        <f>IF($B531="","",N($J531)+N($K531)+N($L531)-N($M531)+N($N531))</f>
        <v/>
      </c>
      <c r="P531" s="47" t="n"/>
      <c r="Q531" s="43">
        <f>IF($B531="","",N($O531)-N($P531))</f>
        <v/>
      </c>
      <c r="R531" s="47" t="n"/>
      <c r="S531" s="47" t="n"/>
      <c r="T531" s="47" t="n"/>
      <c r="U531" s="43">
        <f>IF($B531="","",N($J531)-N($R531)-N($T531))</f>
        <v/>
      </c>
      <c r="V531" s="47" t="n"/>
    </row>
    <row r="532">
      <c r="A532" s="39">
        <f>IF($B532="","",COUNTA($B$4:$B532))</f>
        <v/>
      </c>
      <c r="B532" s="40" t="n"/>
      <c r="C532" s="41" t="n"/>
      <c r="D532" s="41" t="n"/>
      <c r="E532" s="41" t="n"/>
      <c r="F532" s="41" t="n"/>
      <c r="G532" s="41" t="n"/>
      <c r="H532" s="41" t="n"/>
      <c r="I532" s="50" t="n"/>
      <c r="J532" s="42" t="n"/>
      <c r="K532" s="42" t="n"/>
      <c r="L532" s="43">
        <f>IF($B532="","",ROUND((N($J532)+N($K532))*نسبة_القيمة_المضافة,2))</f>
        <v/>
      </c>
      <c r="M532" s="42" t="n"/>
      <c r="N532" s="42" t="n"/>
      <c r="O532" s="43">
        <f>IF($B532="","",N($J532)+N($K532)+N($L532)-N($M532)+N($N532))</f>
        <v/>
      </c>
      <c r="P532" s="42" t="n"/>
      <c r="Q532" s="43">
        <f>IF($B532="","",N($O532)-N($P532))</f>
        <v/>
      </c>
      <c r="R532" s="42" t="n"/>
      <c r="S532" s="42" t="n"/>
      <c r="T532" s="42" t="n"/>
      <c r="U532" s="43">
        <f>IF($B532="","",N($J532)-N($R532)-N($T532))</f>
        <v/>
      </c>
      <c r="V532" s="42" t="n"/>
    </row>
    <row r="533">
      <c r="A533" s="39">
        <f>IF($B533="","",COUNTA($B$4:$B533))</f>
        <v/>
      </c>
      <c r="B533" s="45" t="n"/>
      <c r="C533" s="46" t="n"/>
      <c r="D533" s="46" t="n"/>
      <c r="E533" s="46" t="n"/>
      <c r="F533" s="46" t="n"/>
      <c r="G533" s="46" t="n"/>
      <c r="H533" s="46" t="n"/>
      <c r="I533" s="51" t="n"/>
      <c r="J533" s="47" t="n"/>
      <c r="K533" s="47" t="n"/>
      <c r="L533" s="43">
        <f>IF($B533="","",ROUND((N($J533)+N($K533))*نسبة_القيمة_المضافة,2))</f>
        <v/>
      </c>
      <c r="M533" s="47" t="n"/>
      <c r="N533" s="47" t="n"/>
      <c r="O533" s="43">
        <f>IF($B533="","",N($J533)+N($K533)+N($L533)-N($M533)+N($N533))</f>
        <v/>
      </c>
      <c r="P533" s="47" t="n"/>
      <c r="Q533" s="43">
        <f>IF($B533="","",N($O533)-N($P533))</f>
        <v/>
      </c>
      <c r="R533" s="47" t="n"/>
      <c r="S533" s="47" t="n"/>
      <c r="T533" s="47" t="n"/>
      <c r="U533" s="43">
        <f>IF($B533="","",N($J533)-N($R533)-N($T533))</f>
        <v/>
      </c>
      <c r="V533" s="47" t="n"/>
    </row>
    <row r="534">
      <c r="A534" s="39">
        <f>IF($B534="","",COUNTA($B$4:$B534))</f>
        <v/>
      </c>
      <c r="B534" s="40" t="n"/>
      <c r="C534" s="41" t="n"/>
      <c r="D534" s="41" t="n"/>
      <c r="E534" s="41" t="n"/>
      <c r="F534" s="41" t="n"/>
      <c r="G534" s="41" t="n"/>
      <c r="H534" s="41" t="n"/>
      <c r="I534" s="50" t="n"/>
      <c r="J534" s="42" t="n"/>
      <c r="K534" s="42" t="n"/>
      <c r="L534" s="43">
        <f>IF($B534="","",ROUND((N($J534)+N($K534))*نسبة_القيمة_المضافة,2))</f>
        <v/>
      </c>
      <c r="M534" s="42" t="n"/>
      <c r="N534" s="42" t="n"/>
      <c r="O534" s="43">
        <f>IF($B534="","",N($J534)+N($K534)+N($L534)-N($M534)+N($N534))</f>
        <v/>
      </c>
      <c r="P534" s="42" t="n"/>
      <c r="Q534" s="43">
        <f>IF($B534="","",N($O534)-N($P534))</f>
        <v/>
      </c>
      <c r="R534" s="42" t="n"/>
      <c r="S534" s="42" t="n"/>
      <c r="T534" s="42" t="n"/>
      <c r="U534" s="43">
        <f>IF($B534="","",N($J534)-N($R534)-N($T534))</f>
        <v/>
      </c>
      <c r="V534" s="42" t="n"/>
    </row>
    <row r="535">
      <c r="A535" s="39">
        <f>IF($B535="","",COUNTA($B$4:$B535))</f>
        <v/>
      </c>
      <c r="B535" s="45" t="n"/>
      <c r="C535" s="46" t="n"/>
      <c r="D535" s="46" t="n"/>
      <c r="E535" s="46" t="n"/>
      <c r="F535" s="46" t="n"/>
      <c r="G535" s="46" t="n"/>
      <c r="H535" s="46" t="n"/>
      <c r="I535" s="51" t="n"/>
      <c r="J535" s="47" t="n"/>
      <c r="K535" s="47" t="n"/>
      <c r="L535" s="43">
        <f>IF($B535="","",ROUND((N($J535)+N($K535))*نسبة_القيمة_المضافة,2))</f>
        <v/>
      </c>
      <c r="M535" s="47" t="n"/>
      <c r="N535" s="47" t="n"/>
      <c r="O535" s="43">
        <f>IF($B535="","",N($J535)+N($K535)+N($L535)-N($M535)+N($N535))</f>
        <v/>
      </c>
      <c r="P535" s="47" t="n"/>
      <c r="Q535" s="43">
        <f>IF($B535="","",N($O535)-N($P535))</f>
        <v/>
      </c>
      <c r="R535" s="47" t="n"/>
      <c r="S535" s="47" t="n"/>
      <c r="T535" s="47" t="n"/>
      <c r="U535" s="43">
        <f>IF($B535="","",N($J535)-N($R535)-N($T535))</f>
        <v/>
      </c>
      <c r="V535" s="47" t="n"/>
    </row>
    <row r="536">
      <c r="A536" s="39">
        <f>IF($B536="","",COUNTA($B$4:$B536))</f>
        <v/>
      </c>
      <c r="B536" s="40" t="n"/>
      <c r="C536" s="41" t="n"/>
      <c r="D536" s="41" t="n"/>
      <c r="E536" s="41" t="n"/>
      <c r="F536" s="41" t="n"/>
      <c r="G536" s="41" t="n"/>
      <c r="H536" s="41" t="n"/>
      <c r="I536" s="50" t="n"/>
      <c r="J536" s="42" t="n"/>
      <c r="K536" s="42" t="n"/>
      <c r="L536" s="43">
        <f>IF($B536="","",ROUND((N($J536)+N($K536))*نسبة_القيمة_المضافة,2))</f>
        <v/>
      </c>
      <c r="M536" s="42" t="n"/>
      <c r="N536" s="42" t="n"/>
      <c r="O536" s="43">
        <f>IF($B536="","",N($J536)+N($K536)+N($L536)-N($M536)+N($N536))</f>
        <v/>
      </c>
      <c r="P536" s="42" t="n"/>
      <c r="Q536" s="43">
        <f>IF($B536="","",N($O536)-N($P536))</f>
        <v/>
      </c>
      <c r="R536" s="42" t="n"/>
      <c r="S536" s="42" t="n"/>
      <c r="T536" s="42" t="n"/>
      <c r="U536" s="43">
        <f>IF($B536="","",N($J536)-N($R536)-N($T536))</f>
        <v/>
      </c>
      <c r="V536" s="42" t="n"/>
    </row>
    <row r="537">
      <c r="A537" s="39">
        <f>IF($B537="","",COUNTA($B$4:$B537))</f>
        <v/>
      </c>
      <c r="B537" s="45" t="n"/>
      <c r="C537" s="46" t="n"/>
      <c r="D537" s="46" t="n"/>
      <c r="E537" s="46" t="n"/>
      <c r="F537" s="46" t="n"/>
      <c r="G537" s="46" t="n"/>
      <c r="H537" s="46" t="n"/>
      <c r="I537" s="51" t="n"/>
      <c r="J537" s="47" t="n"/>
      <c r="K537" s="47" t="n"/>
      <c r="L537" s="43">
        <f>IF($B537="","",ROUND((N($J537)+N($K537))*نسبة_القيمة_المضافة,2))</f>
        <v/>
      </c>
      <c r="M537" s="47" t="n"/>
      <c r="N537" s="47" t="n"/>
      <c r="O537" s="43">
        <f>IF($B537="","",N($J537)+N($K537)+N($L537)-N($M537)+N($N537))</f>
        <v/>
      </c>
      <c r="P537" s="47" t="n"/>
      <c r="Q537" s="43">
        <f>IF($B537="","",N($O537)-N($P537))</f>
        <v/>
      </c>
      <c r="R537" s="47" t="n"/>
      <c r="S537" s="47" t="n"/>
      <c r="T537" s="47" t="n"/>
      <c r="U537" s="43">
        <f>IF($B537="","",N($J537)-N($R537)-N($T537))</f>
        <v/>
      </c>
      <c r="V537" s="47" t="n"/>
    </row>
    <row r="538">
      <c r="A538" s="39">
        <f>IF($B538="","",COUNTA($B$4:$B538))</f>
        <v/>
      </c>
      <c r="B538" s="40" t="n"/>
      <c r="C538" s="41" t="n"/>
      <c r="D538" s="41" t="n"/>
      <c r="E538" s="41" t="n"/>
      <c r="F538" s="41" t="n"/>
      <c r="G538" s="41" t="n"/>
      <c r="H538" s="41" t="n"/>
      <c r="I538" s="50" t="n"/>
      <c r="J538" s="42" t="n"/>
      <c r="K538" s="42" t="n"/>
      <c r="L538" s="43">
        <f>IF($B538="","",ROUND((N($J538)+N($K538))*نسبة_القيمة_المضافة,2))</f>
        <v/>
      </c>
      <c r="M538" s="42" t="n"/>
      <c r="N538" s="42" t="n"/>
      <c r="O538" s="43">
        <f>IF($B538="","",N($J538)+N($K538)+N($L538)-N($M538)+N($N538))</f>
        <v/>
      </c>
      <c r="P538" s="42" t="n"/>
      <c r="Q538" s="43">
        <f>IF($B538="","",N($O538)-N($P538))</f>
        <v/>
      </c>
      <c r="R538" s="42" t="n"/>
      <c r="S538" s="42" t="n"/>
      <c r="T538" s="42" t="n"/>
      <c r="U538" s="43">
        <f>IF($B538="","",N($J538)-N($R538)-N($T538))</f>
        <v/>
      </c>
      <c r="V538" s="42" t="n"/>
    </row>
    <row r="539">
      <c r="A539" s="39">
        <f>IF($B539="","",COUNTA($B$4:$B539))</f>
        <v/>
      </c>
      <c r="B539" s="45" t="n"/>
      <c r="C539" s="46" t="n"/>
      <c r="D539" s="46" t="n"/>
      <c r="E539" s="46" t="n"/>
      <c r="F539" s="46" t="n"/>
      <c r="G539" s="46" t="n"/>
      <c r="H539" s="46" t="n"/>
      <c r="I539" s="51" t="n"/>
      <c r="J539" s="47" t="n"/>
      <c r="K539" s="47" t="n"/>
      <c r="L539" s="43">
        <f>IF($B539="","",ROUND((N($J539)+N($K539))*نسبة_القيمة_المضافة,2))</f>
        <v/>
      </c>
      <c r="M539" s="47" t="n"/>
      <c r="N539" s="47" t="n"/>
      <c r="O539" s="43">
        <f>IF($B539="","",N($J539)+N($K539)+N($L539)-N($M539)+N($N539))</f>
        <v/>
      </c>
      <c r="P539" s="47" t="n"/>
      <c r="Q539" s="43">
        <f>IF($B539="","",N($O539)-N($P539))</f>
        <v/>
      </c>
      <c r="R539" s="47" t="n"/>
      <c r="S539" s="47" t="n"/>
      <c r="T539" s="47" t="n"/>
      <c r="U539" s="43">
        <f>IF($B539="","",N($J539)-N($R539)-N($T539))</f>
        <v/>
      </c>
      <c r="V539" s="47" t="n"/>
    </row>
    <row r="540">
      <c r="A540" s="39">
        <f>IF($B540="","",COUNTA($B$4:$B540))</f>
        <v/>
      </c>
      <c r="B540" s="40" t="n"/>
      <c r="C540" s="41" t="n"/>
      <c r="D540" s="41" t="n"/>
      <c r="E540" s="41" t="n"/>
      <c r="F540" s="41" t="n"/>
      <c r="G540" s="41" t="n"/>
      <c r="H540" s="41" t="n"/>
      <c r="I540" s="50" t="n"/>
      <c r="J540" s="42" t="n"/>
      <c r="K540" s="42" t="n"/>
      <c r="L540" s="43">
        <f>IF($B540="","",ROUND((N($J540)+N($K540))*نسبة_القيمة_المضافة,2))</f>
        <v/>
      </c>
      <c r="M540" s="42" t="n"/>
      <c r="N540" s="42" t="n"/>
      <c r="O540" s="43">
        <f>IF($B540="","",N($J540)+N($K540)+N($L540)-N($M540)+N($N540))</f>
        <v/>
      </c>
      <c r="P540" s="42" t="n"/>
      <c r="Q540" s="43">
        <f>IF($B540="","",N($O540)-N($P540))</f>
        <v/>
      </c>
      <c r="R540" s="42" t="n"/>
      <c r="S540" s="42" t="n"/>
      <c r="T540" s="42" t="n"/>
      <c r="U540" s="43">
        <f>IF($B540="","",N($J540)-N($R540)-N($T540))</f>
        <v/>
      </c>
      <c r="V540" s="42" t="n"/>
    </row>
    <row r="541">
      <c r="A541" s="39">
        <f>IF($B541="","",COUNTA($B$4:$B541))</f>
        <v/>
      </c>
      <c r="B541" s="45" t="n"/>
      <c r="C541" s="46" t="n"/>
      <c r="D541" s="46" t="n"/>
      <c r="E541" s="46" t="n"/>
      <c r="F541" s="46" t="n"/>
      <c r="G541" s="46" t="n"/>
      <c r="H541" s="46" t="n"/>
      <c r="I541" s="51" t="n"/>
      <c r="J541" s="47" t="n"/>
      <c r="K541" s="47" t="n"/>
      <c r="L541" s="43">
        <f>IF($B541="","",ROUND((N($J541)+N($K541))*نسبة_القيمة_المضافة,2))</f>
        <v/>
      </c>
      <c r="M541" s="47" t="n"/>
      <c r="N541" s="47" t="n"/>
      <c r="O541" s="43">
        <f>IF($B541="","",N($J541)+N($K541)+N($L541)-N($M541)+N($N541))</f>
        <v/>
      </c>
      <c r="P541" s="47" t="n"/>
      <c r="Q541" s="43">
        <f>IF($B541="","",N($O541)-N($P541))</f>
        <v/>
      </c>
      <c r="R541" s="47" t="n"/>
      <c r="S541" s="47" t="n"/>
      <c r="T541" s="47" t="n"/>
      <c r="U541" s="43">
        <f>IF($B541="","",N($J541)-N($R541)-N($T541))</f>
        <v/>
      </c>
      <c r="V541" s="47" t="n"/>
    </row>
    <row r="542">
      <c r="A542" s="39">
        <f>IF($B542="","",COUNTA($B$4:$B542))</f>
        <v/>
      </c>
      <c r="B542" s="40" t="n"/>
      <c r="C542" s="41" t="n"/>
      <c r="D542" s="41" t="n"/>
      <c r="E542" s="41" t="n"/>
      <c r="F542" s="41" t="n"/>
      <c r="G542" s="41" t="n"/>
      <c r="H542" s="41" t="n"/>
      <c r="I542" s="50" t="n"/>
      <c r="J542" s="42" t="n"/>
      <c r="K542" s="42" t="n"/>
      <c r="L542" s="43">
        <f>IF($B542="","",ROUND((N($J542)+N($K542))*نسبة_القيمة_المضافة,2))</f>
        <v/>
      </c>
      <c r="M542" s="42" t="n"/>
      <c r="N542" s="42" t="n"/>
      <c r="O542" s="43">
        <f>IF($B542="","",N($J542)+N($K542)+N($L542)-N($M542)+N($N542))</f>
        <v/>
      </c>
      <c r="P542" s="42" t="n"/>
      <c r="Q542" s="43">
        <f>IF($B542="","",N($O542)-N($P542))</f>
        <v/>
      </c>
      <c r="R542" s="42" t="n"/>
      <c r="S542" s="42" t="n"/>
      <c r="T542" s="42" t="n"/>
      <c r="U542" s="43">
        <f>IF($B542="","",N($J542)-N($R542)-N($T542))</f>
        <v/>
      </c>
      <c r="V542" s="42" t="n"/>
    </row>
    <row r="543">
      <c r="A543" s="39">
        <f>IF($B543="","",COUNTA($B$4:$B543))</f>
        <v/>
      </c>
      <c r="B543" s="45" t="n"/>
      <c r="C543" s="46" t="n"/>
      <c r="D543" s="46" t="n"/>
      <c r="E543" s="46" t="n"/>
      <c r="F543" s="46" t="n"/>
      <c r="G543" s="46" t="n"/>
      <c r="H543" s="46" t="n"/>
      <c r="I543" s="51" t="n"/>
      <c r="J543" s="47" t="n"/>
      <c r="K543" s="47" t="n"/>
      <c r="L543" s="43">
        <f>IF($B543="","",ROUND((N($J543)+N($K543))*نسبة_القيمة_المضافة,2))</f>
        <v/>
      </c>
      <c r="M543" s="47" t="n"/>
      <c r="N543" s="47" t="n"/>
      <c r="O543" s="43">
        <f>IF($B543="","",N($J543)+N($K543)+N($L543)-N($M543)+N($N543))</f>
        <v/>
      </c>
      <c r="P543" s="47" t="n"/>
      <c r="Q543" s="43">
        <f>IF($B543="","",N($O543)-N($P543))</f>
        <v/>
      </c>
      <c r="R543" s="47" t="n"/>
      <c r="S543" s="47" t="n"/>
      <c r="T543" s="47" t="n"/>
      <c r="U543" s="43">
        <f>IF($B543="","",N($J543)-N($R543)-N($T543))</f>
        <v/>
      </c>
      <c r="V543" s="47" t="n"/>
    </row>
    <row r="544">
      <c r="A544" s="39">
        <f>IF($B544="","",COUNTA($B$4:$B544))</f>
        <v/>
      </c>
      <c r="B544" s="40" t="n"/>
      <c r="C544" s="41" t="n"/>
      <c r="D544" s="41" t="n"/>
      <c r="E544" s="41" t="n"/>
      <c r="F544" s="41" t="n"/>
      <c r="G544" s="41" t="n"/>
      <c r="H544" s="41" t="n"/>
      <c r="I544" s="50" t="n"/>
      <c r="J544" s="42" t="n"/>
      <c r="K544" s="42" t="n"/>
      <c r="L544" s="43">
        <f>IF($B544="","",ROUND((N($J544)+N($K544))*نسبة_القيمة_المضافة,2))</f>
        <v/>
      </c>
      <c r="M544" s="42" t="n"/>
      <c r="N544" s="42" t="n"/>
      <c r="O544" s="43">
        <f>IF($B544="","",N($J544)+N($K544)+N($L544)-N($M544)+N($N544))</f>
        <v/>
      </c>
      <c r="P544" s="42" t="n"/>
      <c r="Q544" s="43">
        <f>IF($B544="","",N($O544)-N($P544))</f>
        <v/>
      </c>
      <c r="R544" s="42" t="n"/>
      <c r="S544" s="42" t="n"/>
      <c r="T544" s="42" t="n"/>
      <c r="U544" s="43">
        <f>IF($B544="","",N($J544)-N($R544)-N($T544))</f>
        <v/>
      </c>
      <c r="V544" s="42" t="n"/>
    </row>
    <row r="545">
      <c r="A545" s="39">
        <f>IF($B545="","",COUNTA($B$4:$B545))</f>
        <v/>
      </c>
      <c r="B545" s="45" t="n"/>
      <c r="C545" s="46" t="n"/>
      <c r="D545" s="46" t="n"/>
      <c r="E545" s="46" t="n"/>
      <c r="F545" s="46" t="n"/>
      <c r="G545" s="46" t="n"/>
      <c r="H545" s="46" t="n"/>
      <c r="I545" s="51" t="n"/>
      <c r="J545" s="47" t="n"/>
      <c r="K545" s="47" t="n"/>
      <c r="L545" s="43">
        <f>IF($B545="","",ROUND((N($J545)+N($K545))*نسبة_القيمة_المضافة,2))</f>
        <v/>
      </c>
      <c r="M545" s="47" t="n"/>
      <c r="N545" s="47" t="n"/>
      <c r="O545" s="43">
        <f>IF($B545="","",N($J545)+N($K545)+N($L545)-N($M545)+N($N545))</f>
        <v/>
      </c>
      <c r="P545" s="47" t="n"/>
      <c r="Q545" s="43">
        <f>IF($B545="","",N($O545)-N($P545))</f>
        <v/>
      </c>
      <c r="R545" s="47" t="n"/>
      <c r="S545" s="47" t="n"/>
      <c r="T545" s="47" t="n"/>
      <c r="U545" s="43">
        <f>IF($B545="","",N($J545)-N($R545)-N($T545))</f>
        <v/>
      </c>
      <c r="V545" s="47" t="n"/>
    </row>
    <row r="546">
      <c r="A546" s="39">
        <f>IF($B546="","",COUNTA($B$4:$B546))</f>
        <v/>
      </c>
      <c r="B546" s="40" t="n"/>
      <c r="C546" s="41" t="n"/>
      <c r="D546" s="41" t="n"/>
      <c r="E546" s="41" t="n"/>
      <c r="F546" s="41" t="n"/>
      <c r="G546" s="41" t="n"/>
      <c r="H546" s="41" t="n"/>
      <c r="I546" s="50" t="n"/>
      <c r="J546" s="42" t="n"/>
      <c r="K546" s="42" t="n"/>
      <c r="L546" s="43">
        <f>IF($B546="","",ROUND((N($J546)+N($K546))*نسبة_القيمة_المضافة,2))</f>
        <v/>
      </c>
      <c r="M546" s="42" t="n"/>
      <c r="N546" s="42" t="n"/>
      <c r="O546" s="43">
        <f>IF($B546="","",N($J546)+N($K546)+N($L546)-N($M546)+N($N546))</f>
        <v/>
      </c>
      <c r="P546" s="42" t="n"/>
      <c r="Q546" s="43">
        <f>IF($B546="","",N($O546)-N($P546))</f>
        <v/>
      </c>
      <c r="R546" s="42" t="n"/>
      <c r="S546" s="42" t="n"/>
      <c r="T546" s="42" t="n"/>
      <c r="U546" s="43">
        <f>IF($B546="","",N($J546)-N($R546)-N($T546))</f>
        <v/>
      </c>
      <c r="V546" s="42" t="n"/>
    </row>
    <row r="547">
      <c r="A547" s="39">
        <f>IF($B547="","",COUNTA($B$4:$B547))</f>
        <v/>
      </c>
      <c r="B547" s="45" t="n"/>
      <c r="C547" s="46" t="n"/>
      <c r="D547" s="46" t="n"/>
      <c r="E547" s="46" t="n"/>
      <c r="F547" s="46" t="n"/>
      <c r="G547" s="46" t="n"/>
      <c r="H547" s="46" t="n"/>
      <c r="I547" s="51" t="n"/>
      <c r="J547" s="47" t="n"/>
      <c r="K547" s="47" t="n"/>
      <c r="L547" s="43">
        <f>IF($B547="","",ROUND((N($J547)+N($K547))*نسبة_القيمة_المضافة,2))</f>
        <v/>
      </c>
      <c r="M547" s="47" t="n"/>
      <c r="N547" s="47" t="n"/>
      <c r="O547" s="43">
        <f>IF($B547="","",N($J547)+N($K547)+N($L547)-N($M547)+N($N547))</f>
        <v/>
      </c>
      <c r="P547" s="47" t="n"/>
      <c r="Q547" s="43">
        <f>IF($B547="","",N($O547)-N($P547))</f>
        <v/>
      </c>
      <c r="R547" s="47" t="n"/>
      <c r="S547" s="47" t="n"/>
      <c r="T547" s="47" t="n"/>
      <c r="U547" s="43">
        <f>IF($B547="","",N($J547)-N($R547)-N($T547))</f>
        <v/>
      </c>
      <c r="V547" s="47" t="n"/>
    </row>
    <row r="548">
      <c r="A548" s="39">
        <f>IF($B548="","",COUNTA($B$4:$B548))</f>
        <v/>
      </c>
      <c r="B548" s="40" t="n"/>
      <c r="C548" s="41" t="n"/>
      <c r="D548" s="41" t="n"/>
      <c r="E548" s="41" t="n"/>
      <c r="F548" s="41" t="n"/>
      <c r="G548" s="41" t="n"/>
      <c r="H548" s="41" t="n"/>
      <c r="I548" s="50" t="n"/>
      <c r="J548" s="42" t="n"/>
      <c r="K548" s="42" t="n"/>
      <c r="L548" s="43">
        <f>IF($B548="","",ROUND((N($J548)+N($K548))*نسبة_القيمة_المضافة,2))</f>
        <v/>
      </c>
      <c r="M548" s="42" t="n"/>
      <c r="N548" s="42" t="n"/>
      <c r="O548" s="43">
        <f>IF($B548="","",N($J548)+N($K548)+N($L548)-N($M548)+N($N548))</f>
        <v/>
      </c>
      <c r="P548" s="42" t="n"/>
      <c r="Q548" s="43">
        <f>IF($B548="","",N($O548)-N($P548))</f>
        <v/>
      </c>
      <c r="R548" s="42" t="n"/>
      <c r="S548" s="42" t="n"/>
      <c r="T548" s="42" t="n"/>
      <c r="U548" s="43">
        <f>IF($B548="","",N($J548)-N($R548)-N($T548))</f>
        <v/>
      </c>
      <c r="V548" s="42" t="n"/>
    </row>
    <row r="549">
      <c r="A549" s="39">
        <f>IF($B549="","",COUNTA($B$4:$B549))</f>
        <v/>
      </c>
      <c r="B549" s="45" t="n"/>
      <c r="C549" s="46" t="n"/>
      <c r="D549" s="46" t="n"/>
      <c r="E549" s="46" t="n"/>
      <c r="F549" s="46" t="n"/>
      <c r="G549" s="46" t="n"/>
      <c r="H549" s="46" t="n"/>
      <c r="I549" s="51" t="n"/>
      <c r="J549" s="47" t="n"/>
      <c r="K549" s="47" t="n"/>
      <c r="L549" s="43">
        <f>IF($B549="","",ROUND((N($J549)+N($K549))*نسبة_القيمة_المضافة,2))</f>
        <v/>
      </c>
      <c r="M549" s="47" t="n"/>
      <c r="N549" s="47" t="n"/>
      <c r="O549" s="43">
        <f>IF($B549="","",N($J549)+N($K549)+N($L549)-N($M549)+N($N549))</f>
        <v/>
      </c>
      <c r="P549" s="47" t="n"/>
      <c r="Q549" s="43">
        <f>IF($B549="","",N($O549)-N($P549))</f>
        <v/>
      </c>
      <c r="R549" s="47" t="n"/>
      <c r="S549" s="47" t="n"/>
      <c r="T549" s="47" t="n"/>
      <c r="U549" s="43">
        <f>IF($B549="","",N($J549)-N($R549)-N($T549))</f>
        <v/>
      </c>
      <c r="V549" s="47" t="n"/>
    </row>
    <row r="550">
      <c r="A550" s="39">
        <f>IF($B550="","",COUNTA($B$4:$B550))</f>
        <v/>
      </c>
      <c r="B550" s="40" t="n"/>
      <c r="C550" s="41" t="n"/>
      <c r="D550" s="41" t="n"/>
      <c r="E550" s="41" t="n"/>
      <c r="F550" s="41" t="n"/>
      <c r="G550" s="41" t="n"/>
      <c r="H550" s="41" t="n"/>
      <c r="I550" s="50" t="n"/>
      <c r="J550" s="42" t="n"/>
      <c r="K550" s="42" t="n"/>
      <c r="L550" s="43">
        <f>IF($B550="","",ROUND((N($J550)+N($K550))*نسبة_القيمة_المضافة,2))</f>
        <v/>
      </c>
      <c r="M550" s="42" t="n"/>
      <c r="N550" s="42" t="n"/>
      <c r="O550" s="43">
        <f>IF($B550="","",N($J550)+N($K550)+N($L550)-N($M550)+N($N550))</f>
        <v/>
      </c>
      <c r="P550" s="42" t="n"/>
      <c r="Q550" s="43">
        <f>IF($B550="","",N($O550)-N($P550))</f>
        <v/>
      </c>
      <c r="R550" s="42" t="n"/>
      <c r="S550" s="42" t="n"/>
      <c r="T550" s="42" t="n"/>
      <c r="U550" s="43">
        <f>IF($B550="","",N($J550)-N($R550)-N($T550))</f>
        <v/>
      </c>
      <c r="V550" s="42" t="n"/>
    </row>
    <row r="551">
      <c r="A551" s="39">
        <f>IF($B551="","",COUNTA($B$4:$B551))</f>
        <v/>
      </c>
      <c r="B551" s="45" t="n"/>
      <c r="C551" s="46" t="n"/>
      <c r="D551" s="46" t="n"/>
      <c r="E551" s="46" t="n"/>
      <c r="F551" s="46" t="n"/>
      <c r="G551" s="46" t="n"/>
      <c r="H551" s="46" t="n"/>
      <c r="I551" s="51" t="n"/>
      <c r="J551" s="47" t="n"/>
      <c r="K551" s="47" t="n"/>
      <c r="L551" s="43">
        <f>IF($B551="","",ROUND((N($J551)+N($K551))*نسبة_القيمة_المضافة,2))</f>
        <v/>
      </c>
      <c r="M551" s="47" t="n"/>
      <c r="N551" s="47" t="n"/>
      <c r="O551" s="43">
        <f>IF($B551="","",N($J551)+N($K551)+N($L551)-N($M551)+N($N551))</f>
        <v/>
      </c>
      <c r="P551" s="47" t="n"/>
      <c r="Q551" s="43">
        <f>IF($B551="","",N($O551)-N($P551))</f>
        <v/>
      </c>
      <c r="R551" s="47" t="n"/>
      <c r="S551" s="47" t="n"/>
      <c r="T551" s="47" t="n"/>
      <c r="U551" s="43">
        <f>IF($B551="","",N($J551)-N($R551)-N($T551))</f>
        <v/>
      </c>
      <c r="V551" s="47" t="n"/>
    </row>
    <row r="552">
      <c r="A552" s="39">
        <f>IF($B552="","",COUNTA($B$4:$B552))</f>
        <v/>
      </c>
      <c r="B552" s="40" t="n"/>
      <c r="C552" s="41" t="n"/>
      <c r="D552" s="41" t="n"/>
      <c r="E552" s="41" t="n"/>
      <c r="F552" s="41" t="n"/>
      <c r="G552" s="41" t="n"/>
      <c r="H552" s="41" t="n"/>
      <c r="I552" s="50" t="n"/>
      <c r="J552" s="42" t="n"/>
      <c r="K552" s="42" t="n"/>
      <c r="L552" s="43">
        <f>IF($B552="","",ROUND((N($J552)+N($K552))*نسبة_القيمة_المضافة,2))</f>
        <v/>
      </c>
      <c r="M552" s="42" t="n"/>
      <c r="N552" s="42" t="n"/>
      <c r="O552" s="43">
        <f>IF($B552="","",N($J552)+N($K552)+N($L552)-N($M552)+N($N552))</f>
        <v/>
      </c>
      <c r="P552" s="42" t="n"/>
      <c r="Q552" s="43">
        <f>IF($B552="","",N($O552)-N($P552))</f>
        <v/>
      </c>
      <c r="R552" s="42" t="n"/>
      <c r="S552" s="42" t="n"/>
      <c r="T552" s="42" t="n"/>
      <c r="U552" s="43">
        <f>IF($B552="","",N($J552)-N($R552)-N($T552))</f>
        <v/>
      </c>
      <c r="V552" s="42" t="n"/>
    </row>
    <row r="553">
      <c r="A553" s="39">
        <f>IF($B553="","",COUNTA($B$4:$B553))</f>
        <v/>
      </c>
      <c r="B553" s="45" t="n"/>
      <c r="C553" s="46" t="n"/>
      <c r="D553" s="46" t="n"/>
      <c r="E553" s="46" t="n"/>
      <c r="F553" s="46" t="n"/>
      <c r="G553" s="46" t="n"/>
      <c r="H553" s="46" t="n"/>
      <c r="I553" s="51" t="n"/>
      <c r="J553" s="47" t="n"/>
      <c r="K553" s="47" t="n"/>
      <c r="L553" s="43">
        <f>IF($B553="","",ROUND((N($J553)+N($K553))*نسبة_القيمة_المضافة,2))</f>
        <v/>
      </c>
      <c r="M553" s="47" t="n"/>
      <c r="N553" s="47" t="n"/>
      <c r="O553" s="43">
        <f>IF($B553="","",N($J553)+N($K553)+N($L553)-N($M553)+N($N553))</f>
        <v/>
      </c>
      <c r="P553" s="47" t="n"/>
      <c r="Q553" s="43">
        <f>IF($B553="","",N($O553)-N($P553))</f>
        <v/>
      </c>
      <c r="R553" s="47" t="n"/>
      <c r="S553" s="47" t="n"/>
      <c r="T553" s="47" t="n"/>
      <c r="U553" s="43">
        <f>IF($B553="","",N($J553)-N($R553)-N($T553))</f>
        <v/>
      </c>
      <c r="V553" s="47" t="n"/>
    </row>
    <row r="554">
      <c r="A554" s="39">
        <f>IF($B554="","",COUNTA($B$4:$B554))</f>
        <v/>
      </c>
      <c r="B554" s="40" t="n"/>
      <c r="C554" s="41" t="n"/>
      <c r="D554" s="41" t="n"/>
      <c r="E554" s="41" t="n"/>
      <c r="F554" s="41" t="n"/>
      <c r="G554" s="41" t="n"/>
      <c r="H554" s="41" t="n"/>
      <c r="I554" s="50" t="n"/>
      <c r="J554" s="42" t="n"/>
      <c r="K554" s="42" t="n"/>
      <c r="L554" s="43">
        <f>IF($B554="","",ROUND((N($J554)+N($K554))*نسبة_القيمة_المضافة,2))</f>
        <v/>
      </c>
      <c r="M554" s="42" t="n"/>
      <c r="N554" s="42" t="n"/>
      <c r="O554" s="43">
        <f>IF($B554="","",N($J554)+N($K554)+N($L554)-N($M554)+N($N554))</f>
        <v/>
      </c>
      <c r="P554" s="42" t="n"/>
      <c r="Q554" s="43">
        <f>IF($B554="","",N($O554)-N($P554))</f>
        <v/>
      </c>
      <c r="R554" s="42" t="n"/>
      <c r="S554" s="42" t="n"/>
      <c r="T554" s="42" t="n"/>
      <c r="U554" s="43">
        <f>IF($B554="","",N($J554)-N($R554)-N($T554))</f>
        <v/>
      </c>
      <c r="V554" s="42" t="n"/>
    </row>
    <row r="555">
      <c r="A555" s="39">
        <f>IF($B555="","",COUNTA($B$4:$B555))</f>
        <v/>
      </c>
      <c r="B555" s="45" t="n"/>
      <c r="C555" s="46" t="n"/>
      <c r="D555" s="46" t="n"/>
      <c r="E555" s="46" t="n"/>
      <c r="F555" s="46" t="n"/>
      <c r="G555" s="46" t="n"/>
      <c r="H555" s="46" t="n"/>
      <c r="I555" s="51" t="n"/>
      <c r="J555" s="47" t="n"/>
      <c r="K555" s="47" t="n"/>
      <c r="L555" s="43">
        <f>IF($B555="","",ROUND((N($J555)+N($K555))*نسبة_القيمة_المضافة,2))</f>
        <v/>
      </c>
      <c r="M555" s="47" t="n"/>
      <c r="N555" s="47" t="n"/>
      <c r="O555" s="43">
        <f>IF($B555="","",N($J555)+N($K555)+N($L555)-N($M555)+N($N555))</f>
        <v/>
      </c>
      <c r="P555" s="47" t="n"/>
      <c r="Q555" s="43">
        <f>IF($B555="","",N($O555)-N($P555))</f>
        <v/>
      </c>
      <c r="R555" s="47" t="n"/>
      <c r="S555" s="47" t="n"/>
      <c r="T555" s="47" t="n"/>
      <c r="U555" s="43">
        <f>IF($B555="","",N($J555)-N($R555)-N($T555))</f>
        <v/>
      </c>
      <c r="V555" s="47" t="n"/>
    </row>
    <row r="556">
      <c r="A556" s="39">
        <f>IF($B556="","",COUNTA($B$4:$B556))</f>
        <v/>
      </c>
      <c r="B556" s="40" t="n"/>
      <c r="C556" s="41" t="n"/>
      <c r="D556" s="41" t="n"/>
      <c r="E556" s="41" t="n"/>
      <c r="F556" s="41" t="n"/>
      <c r="G556" s="41" t="n"/>
      <c r="H556" s="41" t="n"/>
      <c r="I556" s="50" t="n"/>
      <c r="J556" s="42" t="n"/>
      <c r="K556" s="42" t="n"/>
      <c r="L556" s="43">
        <f>IF($B556="","",ROUND((N($J556)+N($K556))*نسبة_القيمة_المضافة,2))</f>
        <v/>
      </c>
      <c r="M556" s="42" t="n"/>
      <c r="N556" s="42" t="n"/>
      <c r="O556" s="43">
        <f>IF($B556="","",N($J556)+N($K556)+N($L556)-N($M556)+N($N556))</f>
        <v/>
      </c>
      <c r="P556" s="42" t="n"/>
      <c r="Q556" s="43">
        <f>IF($B556="","",N($O556)-N($P556))</f>
        <v/>
      </c>
      <c r="R556" s="42" t="n"/>
      <c r="S556" s="42" t="n"/>
      <c r="T556" s="42" t="n"/>
      <c r="U556" s="43">
        <f>IF($B556="","",N($J556)-N($R556)-N($T556))</f>
        <v/>
      </c>
      <c r="V556" s="42" t="n"/>
    </row>
    <row r="557">
      <c r="A557" s="39">
        <f>IF($B557="","",COUNTA($B$4:$B557))</f>
        <v/>
      </c>
      <c r="B557" s="45" t="n"/>
      <c r="C557" s="46" t="n"/>
      <c r="D557" s="46" t="n"/>
      <c r="E557" s="46" t="n"/>
      <c r="F557" s="46" t="n"/>
      <c r="G557" s="46" t="n"/>
      <c r="H557" s="46" t="n"/>
      <c r="I557" s="51" t="n"/>
      <c r="J557" s="47" t="n"/>
      <c r="K557" s="47" t="n"/>
      <c r="L557" s="43">
        <f>IF($B557="","",ROUND((N($J557)+N($K557))*نسبة_القيمة_المضافة,2))</f>
        <v/>
      </c>
      <c r="M557" s="47" t="n"/>
      <c r="N557" s="47" t="n"/>
      <c r="O557" s="43">
        <f>IF($B557="","",N($J557)+N($K557)+N($L557)-N($M557)+N($N557))</f>
        <v/>
      </c>
      <c r="P557" s="47" t="n"/>
      <c r="Q557" s="43">
        <f>IF($B557="","",N($O557)-N($P557))</f>
        <v/>
      </c>
      <c r="R557" s="47" t="n"/>
      <c r="S557" s="47" t="n"/>
      <c r="T557" s="47" t="n"/>
      <c r="U557" s="43">
        <f>IF($B557="","",N($J557)-N($R557)-N($T557))</f>
        <v/>
      </c>
      <c r="V557" s="47" t="n"/>
    </row>
    <row r="558">
      <c r="A558" s="39">
        <f>IF($B558="","",COUNTA($B$4:$B558))</f>
        <v/>
      </c>
      <c r="B558" s="40" t="n"/>
      <c r="C558" s="41" t="n"/>
      <c r="D558" s="41" t="n"/>
      <c r="E558" s="41" t="n"/>
      <c r="F558" s="41" t="n"/>
      <c r="G558" s="41" t="n"/>
      <c r="H558" s="41" t="n"/>
      <c r="I558" s="50" t="n"/>
      <c r="J558" s="42" t="n"/>
      <c r="K558" s="42" t="n"/>
      <c r="L558" s="43">
        <f>IF($B558="","",ROUND((N($J558)+N($K558))*نسبة_القيمة_المضافة,2))</f>
        <v/>
      </c>
      <c r="M558" s="42" t="n"/>
      <c r="N558" s="42" t="n"/>
      <c r="O558" s="43">
        <f>IF($B558="","",N($J558)+N($K558)+N($L558)-N($M558)+N($N558))</f>
        <v/>
      </c>
      <c r="P558" s="42" t="n"/>
      <c r="Q558" s="43">
        <f>IF($B558="","",N($O558)-N($P558))</f>
        <v/>
      </c>
      <c r="R558" s="42" t="n"/>
      <c r="S558" s="42" t="n"/>
      <c r="T558" s="42" t="n"/>
      <c r="U558" s="43">
        <f>IF($B558="","",N($J558)-N($R558)-N($T558))</f>
        <v/>
      </c>
      <c r="V558" s="42" t="n"/>
    </row>
    <row r="559">
      <c r="A559" s="39">
        <f>IF($B559="","",COUNTA($B$4:$B559))</f>
        <v/>
      </c>
      <c r="B559" s="45" t="n"/>
      <c r="C559" s="46" t="n"/>
      <c r="D559" s="46" t="n"/>
      <c r="E559" s="46" t="n"/>
      <c r="F559" s="46" t="n"/>
      <c r="G559" s="46" t="n"/>
      <c r="H559" s="46" t="n"/>
      <c r="I559" s="51" t="n"/>
      <c r="J559" s="47" t="n"/>
      <c r="K559" s="47" t="n"/>
      <c r="L559" s="43">
        <f>IF($B559="","",ROUND((N($J559)+N($K559))*نسبة_القيمة_المضافة,2))</f>
        <v/>
      </c>
      <c r="M559" s="47" t="n"/>
      <c r="N559" s="47" t="n"/>
      <c r="O559" s="43">
        <f>IF($B559="","",N($J559)+N($K559)+N($L559)-N($M559)+N($N559))</f>
        <v/>
      </c>
      <c r="P559" s="47" t="n"/>
      <c r="Q559" s="43">
        <f>IF($B559="","",N($O559)-N($P559))</f>
        <v/>
      </c>
      <c r="R559" s="47" t="n"/>
      <c r="S559" s="47" t="n"/>
      <c r="T559" s="47" t="n"/>
      <c r="U559" s="43">
        <f>IF($B559="","",N($J559)-N($R559)-N($T559))</f>
        <v/>
      </c>
      <c r="V559" s="47" t="n"/>
    </row>
    <row r="560">
      <c r="A560" s="39">
        <f>IF($B560="","",COUNTA($B$4:$B560))</f>
        <v/>
      </c>
      <c r="B560" s="40" t="n"/>
      <c r="C560" s="41" t="n"/>
      <c r="D560" s="41" t="n"/>
      <c r="E560" s="41" t="n"/>
      <c r="F560" s="41" t="n"/>
      <c r="G560" s="41" t="n"/>
      <c r="H560" s="41" t="n"/>
      <c r="I560" s="50" t="n"/>
      <c r="J560" s="42" t="n"/>
      <c r="K560" s="42" t="n"/>
      <c r="L560" s="43">
        <f>IF($B560="","",ROUND((N($J560)+N($K560))*نسبة_القيمة_المضافة,2))</f>
        <v/>
      </c>
      <c r="M560" s="42" t="n"/>
      <c r="N560" s="42" t="n"/>
      <c r="O560" s="43">
        <f>IF($B560="","",N($J560)+N($K560)+N($L560)-N($M560)+N($N560))</f>
        <v/>
      </c>
      <c r="P560" s="42" t="n"/>
      <c r="Q560" s="43">
        <f>IF($B560="","",N($O560)-N($P560))</f>
        <v/>
      </c>
      <c r="R560" s="42" t="n"/>
      <c r="S560" s="42" t="n"/>
      <c r="T560" s="42" t="n"/>
      <c r="U560" s="43">
        <f>IF($B560="","",N($J560)-N($R560)-N($T560))</f>
        <v/>
      </c>
      <c r="V560" s="42" t="n"/>
    </row>
    <row r="561">
      <c r="A561" s="39">
        <f>IF($B561="","",COUNTA($B$4:$B561))</f>
        <v/>
      </c>
      <c r="B561" s="45" t="n"/>
      <c r="C561" s="46" t="n"/>
      <c r="D561" s="46" t="n"/>
      <c r="E561" s="46" t="n"/>
      <c r="F561" s="46" t="n"/>
      <c r="G561" s="46" t="n"/>
      <c r="H561" s="46" t="n"/>
      <c r="I561" s="51" t="n"/>
      <c r="J561" s="47" t="n"/>
      <c r="K561" s="47" t="n"/>
      <c r="L561" s="43">
        <f>IF($B561="","",ROUND((N($J561)+N($K561))*نسبة_القيمة_المضافة,2))</f>
        <v/>
      </c>
      <c r="M561" s="47" t="n"/>
      <c r="N561" s="47" t="n"/>
      <c r="O561" s="43">
        <f>IF($B561="","",N($J561)+N($K561)+N($L561)-N($M561)+N($N561))</f>
        <v/>
      </c>
      <c r="P561" s="47" t="n"/>
      <c r="Q561" s="43">
        <f>IF($B561="","",N($O561)-N($P561))</f>
        <v/>
      </c>
      <c r="R561" s="47" t="n"/>
      <c r="S561" s="47" t="n"/>
      <c r="T561" s="47" t="n"/>
      <c r="U561" s="43">
        <f>IF($B561="","",N($J561)-N($R561)-N($T561))</f>
        <v/>
      </c>
      <c r="V561" s="47" t="n"/>
    </row>
    <row r="562">
      <c r="A562" s="39">
        <f>IF($B562="","",COUNTA($B$4:$B562))</f>
        <v/>
      </c>
      <c r="B562" s="40" t="n"/>
      <c r="C562" s="41" t="n"/>
      <c r="D562" s="41" t="n"/>
      <c r="E562" s="41" t="n"/>
      <c r="F562" s="41" t="n"/>
      <c r="G562" s="41" t="n"/>
      <c r="H562" s="41" t="n"/>
      <c r="I562" s="50" t="n"/>
      <c r="J562" s="42" t="n"/>
      <c r="K562" s="42" t="n"/>
      <c r="L562" s="43">
        <f>IF($B562="","",ROUND((N($J562)+N($K562))*نسبة_القيمة_المضافة,2))</f>
        <v/>
      </c>
      <c r="M562" s="42" t="n"/>
      <c r="N562" s="42" t="n"/>
      <c r="O562" s="43">
        <f>IF($B562="","",N($J562)+N($K562)+N($L562)-N($M562)+N($N562))</f>
        <v/>
      </c>
      <c r="P562" s="42" t="n"/>
      <c r="Q562" s="43">
        <f>IF($B562="","",N($O562)-N($P562))</f>
        <v/>
      </c>
      <c r="R562" s="42" t="n"/>
      <c r="S562" s="42" t="n"/>
      <c r="T562" s="42" t="n"/>
      <c r="U562" s="43">
        <f>IF($B562="","",N($J562)-N($R562)-N($T562))</f>
        <v/>
      </c>
      <c r="V562" s="42" t="n"/>
    </row>
    <row r="563">
      <c r="A563" s="39">
        <f>IF($B563="","",COUNTA($B$4:$B563))</f>
        <v/>
      </c>
      <c r="B563" s="45" t="n"/>
      <c r="C563" s="46" t="n"/>
      <c r="D563" s="46" t="n"/>
      <c r="E563" s="46" t="n"/>
      <c r="F563" s="46" t="n"/>
      <c r="G563" s="46" t="n"/>
      <c r="H563" s="46" t="n"/>
      <c r="I563" s="51" t="n"/>
      <c r="J563" s="47" t="n"/>
      <c r="K563" s="47" t="n"/>
      <c r="L563" s="43">
        <f>IF($B563="","",ROUND((N($J563)+N($K563))*نسبة_القيمة_المضافة,2))</f>
        <v/>
      </c>
      <c r="M563" s="47" t="n"/>
      <c r="N563" s="47" t="n"/>
      <c r="O563" s="43">
        <f>IF($B563="","",N($J563)+N($K563)+N($L563)-N($M563)+N($N563))</f>
        <v/>
      </c>
      <c r="P563" s="47" t="n"/>
      <c r="Q563" s="43">
        <f>IF($B563="","",N($O563)-N($P563))</f>
        <v/>
      </c>
      <c r="R563" s="47" t="n"/>
      <c r="S563" s="47" t="n"/>
      <c r="T563" s="47" t="n"/>
      <c r="U563" s="43">
        <f>IF($B563="","",N($J563)-N($R563)-N($T563))</f>
        <v/>
      </c>
      <c r="V563" s="47" t="n"/>
    </row>
    <row r="564">
      <c r="A564" s="39">
        <f>IF($B564="","",COUNTA($B$4:$B564))</f>
        <v/>
      </c>
      <c r="B564" s="40" t="n"/>
      <c r="C564" s="41" t="n"/>
      <c r="D564" s="41" t="n"/>
      <c r="E564" s="41" t="n"/>
      <c r="F564" s="41" t="n"/>
      <c r="G564" s="41" t="n"/>
      <c r="H564" s="41" t="n"/>
      <c r="I564" s="50" t="n"/>
      <c r="J564" s="42" t="n"/>
      <c r="K564" s="42" t="n"/>
      <c r="L564" s="43">
        <f>IF($B564="","",ROUND((N($J564)+N($K564))*نسبة_القيمة_المضافة,2))</f>
        <v/>
      </c>
      <c r="M564" s="42" t="n"/>
      <c r="N564" s="42" t="n"/>
      <c r="O564" s="43">
        <f>IF($B564="","",N($J564)+N($K564)+N($L564)-N($M564)+N($N564))</f>
        <v/>
      </c>
      <c r="P564" s="42" t="n"/>
      <c r="Q564" s="43">
        <f>IF($B564="","",N($O564)-N($P564))</f>
        <v/>
      </c>
      <c r="R564" s="42" t="n"/>
      <c r="S564" s="42" t="n"/>
      <c r="T564" s="42" t="n"/>
      <c r="U564" s="43">
        <f>IF($B564="","",N($J564)-N($R564)-N($T564))</f>
        <v/>
      </c>
      <c r="V564" s="42" t="n"/>
    </row>
    <row r="565">
      <c r="A565" s="39">
        <f>IF($B565="","",COUNTA($B$4:$B565))</f>
        <v/>
      </c>
      <c r="B565" s="45" t="n"/>
      <c r="C565" s="46" t="n"/>
      <c r="D565" s="46" t="n"/>
      <c r="E565" s="46" t="n"/>
      <c r="F565" s="46" t="n"/>
      <c r="G565" s="46" t="n"/>
      <c r="H565" s="46" t="n"/>
      <c r="I565" s="51" t="n"/>
      <c r="J565" s="47" t="n"/>
      <c r="K565" s="47" t="n"/>
      <c r="L565" s="43">
        <f>IF($B565="","",ROUND((N($J565)+N($K565))*نسبة_القيمة_المضافة,2))</f>
        <v/>
      </c>
      <c r="M565" s="47" t="n"/>
      <c r="N565" s="47" t="n"/>
      <c r="O565" s="43">
        <f>IF($B565="","",N($J565)+N($K565)+N($L565)-N($M565)+N($N565))</f>
        <v/>
      </c>
      <c r="P565" s="47" t="n"/>
      <c r="Q565" s="43">
        <f>IF($B565="","",N($O565)-N($P565))</f>
        <v/>
      </c>
      <c r="R565" s="47" t="n"/>
      <c r="S565" s="47" t="n"/>
      <c r="T565" s="47" t="n"/>
      <c r="U565" s="43">
        <f>IF($B565="","",N($J565)-N($R565)-N($T565))</f>
        <v/>
      </c>
      <c r="V565" s="47" t="n"/>
    </row>
    <row r="566">
      <c r="A566" s="39">
        <f>IF($B566="","",COUNTA($B$4:$B566))</f>
        <v/>
      </c>
      <c r="B566" s="40" t="n"/>
      <c r="C566" s="41" t="n"/>
      <c r="D566" s="41" t="n"/>
      <c r="E566" s="41" t="n"/>
      <c r="F566" s="41" t="n"/>
      <c r="G566" s="41" t="n"/>
      <c r="H566" s="41" t="n"/>
      <c r="I566" s="50" t="n"/>
      <c r="J566" s="42" t="n"/>
      <c r="K566" s="42" t="n"/>
      <c r="L566" s="43">
        <f>IF($B566="","",ROUND((N($J566)+N($K566))*نسبة_القيمة_المضافة,2))</f>
        <v/>
      </c>
      <c r="M566" s="42" t="n"/>
      <c r="N566" s="42" t="n"/>
      <c r="O566" s="43">
        <f>IF($B566="","",N($J566)+N($K566)+N($L566)-N($M566)+N($N566))</f>
        <v/>
      </c>
      <c r="P566" s="42" t="n"/>
      <c r="Q566" s="43">
        <f>IF($B566="","",N($O566)-N($P566))</f>
        <v/>
      </c>
      <c r="R566" s="42" t="n"/>
      <c r="S566" s="42" t="n"/>
      <c r="T566" s="42" t="n"/>
      <c r="U566" s="43">
        <f>IF($B566="","",N($J566)-N($R566)-N($T566))</f>
        <v/>
      </c>
      <c r="V566" s="42" t="n"/>
    </row>
    <row r="567">
      <c r="A567" s="39">
        <f>IF($B567="","",COUNTA($B$4:$B567))</f>
        <v/>
      </c>
      <c r="B567" s="45" t="n"/>
      <c r="C567" s="46" t="n"/>
      <c r="D567" s="46" t="n"/>
      <c r="E567" s="46" t="n"/>
      <c r="F567" s="46" t="n"/>
      <c r="G567" s="46" t="n"/>
      <c r="H567" s="46" t="n"/>
      <c r="I567" s="51" t="n"/>
      <c r="J567" s="47" t="n"/>
      <c r="K567" s="47" t="n"/>
      <c r="L567" s="43">
        <f>IF($B567="","",ROUND((N($J567)+N($K567))*نسبة_القيمة_المضافة,2))</f>
        <v/>
      </c>
      <c r="M567" s="47" t="n"/>
      <c r="N567" s="47" t="n"/>
      <c r="O567" s="43">
        <f>IF($B567="","",N($J567)+N($K567)+N($L567)-N($M567)+N($N567))</f>
        <v/>
      </c>
      <c r="P567" s="47" t="n"/>
      <c r="Q567" s="43">
        <f>IF($B567="","",N($O567)-N($P567))</f>
        <v/>
      </c>
      <c r="R567" s="47" t="n"/>
      <c r="S567" s="47" t="n"/>
      <c r="T567" s="47" t="n"/>
      <c r="U567" s="43">
        <f>IF($B567="","",N($J567)-N($R567)-N($T567))</f>
        <v/>
      </c>
      <c r="V567" s="47" t="n"/>
    </row>
    <row r="568">
      <c r="A568" s="39">
        <f>IF($B568="","",COUNTA($B$4:$B568))</f>
        <v/>
      </c>
      <c r="B568" s="40" t="n"/>
      <c r="C568" s="41" t="n"/>
      <c r="D568" s="41" t="n"/>
      <c r="E568" s="41" t="n"/>
      <c r="F568" s="41" t="n"/>
      <c r="G568" s="41" t="n"/>
      <c r="H568" s="41" t="n"/>
      <c r="I568" s="50" t="n"/>
      <c r="J568" s="42" t="n"/>
      <c r="K568" s="42" t="n"/>
      <c r="L568" s="43">
        <f>IF($B568="","",ROUND((N($J568)+N($K568))*نسبة_القيمة_المضافة,2))</f>
        <v/>
      </c>
      <c r="M568" s="42" t="n"/>
      <c r="N568" s="42" t="n"/>
      <c r="O568" s="43">
        <f>IF($B568="","",N($J568)+N($K568)+N($L568)-N($M568)+N($N568))</f>
        <v/>
      </c>
      <c r="P568" s="42" t="n"/>
      <c r="Q568" s="43">
        <f>IF($B568="","",N($O568)-N($P568))</f>
        <v/>
      </c>
      <c r="R568" s="42" t="n"/>
      <c r="S568" s="42" t="n"/>
      <c r="T568" s="42" t="n"/>
      <c r="U568" s="43">
        <f>IF($B568="","",N($J568)-N($R568)-N($T568))</f>
        <v/>
      </c>
      <c r="V568" s="42" t="n"/>
    </row>
    <row r="569">
      <c r="A569" s="39">
        <f>IF($B569="","",COUNTA($B$4:$B569))</f>
        <v/>
      </c>
      <c r="B569" s="45" t="n"/>
      <c r="C569" s="46" t="n"/>
      <c r="D569" s="46" t="n"/>
      <c r="E569" s="46" t="n"/>
      <c r="F569" s="46" t="n"/>
      <c r="G569" s="46" t="n"/>
      <c r="H569" s="46" t="n"/>
      <c r="I569" s="51" t="n"/>
      <c r="J569" s="47" t="n"/>
      <c r="K569" s="47" t="n"/>
      <c r="L569" s="43">
        <f>IF($B569="","",ROUND((N($J569)+N($K569))*نسبة_القيمة_المضافة,2))</f>
        <v/>
      </c>
      <c r="M569" s="47" t="n"/>
      <c r="N569" s="47" t="n"/>
      <c r="O569" s="43">
        <f>IF($B569="","",N($J569)+N($K569)+N($L569)-N($M569)+N($N569))</f>
        <v/>
      </c>
      <c r="P569" s="47" t="n"/>
      <c r="Q569" s="43">
        <f>IF($B569="","",N($O569)-N($P569))</f>
        <v/>
      </c>
      <c r="R569" s="47" t="n"/>
      <c r="S569" s="47" t="n"/>
      <c r="T569" s="47" t="n"/>
      <c r="U569" s="43">
        <f>IF($B569="","",N($J569)-N($R569)-N($T569))</f>
        <v/>
      </c>
      <c r="V569" s="47" t="n"/>
    </row>
    <row r="570">
      <c r="A570" s="39">
        <f>IF($B570="","",COUNTA($B$4:$B570))</f>
        <v/>
      </c>
      <c r="B570" s="40" t="n"/>
      <c r="C570" s="41" t="n"/>
      <c r="D570" s="41" t="n"/>
      <c r="E570" s="41" t="n"/>
      <c r="F570" s="41" t="n"/>
      <c r="G570" s="41" t="n"/>
      <c r="H570" s="41" t="n"/>
      <c r="I570" s="50" t="n"/>
      <c r="J570" s="42" t="n"/>
      <c r="K570" s="42" t="n"/>
      <c r="L570" s="43">
        <f>IF($B570="","",ROUND((N($J570)+N($K570))*نسبة_القيمة_المضافة,2))</f>
        <v/>
      </c>
      <c r="M570" s="42" t="n"/>
      <c r="N570" s="42" t="n"/>
      <c r="O570" s="43">
        <f>IF($B570="","",N($J570)+N($K570)+N($L570)-N($M570)+N($N570))</f>
        <v/>
      </c>
      <c r="P570" s="42" t="n"/>
      <c r="Q570" s="43">
        <f>IF($B570="","",N($O570)-N($P570))</f>
        <v/>
      </c>
      <c r="R570" s="42" t="n"/>
      <c r="S570" s="42" t="n"/>
      <c r="T570" s="42" t="n"/>
      <c r="U570" s="43">
        <f>IF($B570="","",N($J570)-N($R570)-N($T570))</f>
        <v/>
      </c>
      <c r="V570" s="42" t="n"/>
    </row>
    <row r="571">
      <c r="A571" s="39">
        <f>IF($B571="","",COUNTA($B$4:$B571))</f>
        <v/>
      </c>
      <c r="B571" s="45" t="n"/>
      <c r="C571" s="46" t="n"/>
      <c r="D571" s="46" t="n"/>
      <c r="E571" s="46" t="n"/>
      <c r="F571" s="46" t="n"/>
      <c r="G571" s="46" t="n"/>
      <c r="H571" s="46" t="n"/>
      <c r="I571" s="51" t="n"/>
      <c r="J571" s="47" t="n"/>
      <c r="K571" s="47" t="n"/>
      <c r="L571" s="43">
        <f>IF($B571="","",ROUND((N($J571)+N($K571))*نسبة_القيمة_المضافة,2))</f>
        <v/>
      </c>
      <c r="M571" s="47" t="n"/>
      <c r="N571" s="47" t="n"/>
      <c r="O571" s="43">
        <f>IF($B571="","",N($J571)+N($K571)+N($L571)-N($M571)+N($N571))</f>
        <v/>
      </c>
      <c r="P571" s="47" t="n"/>
      <c r="Q571" s="43">
        <f>IF($B571="","",N($O571)-N($P571))</f>
        <v/>
      </c>
      <c r="R571" s="47" t="n"/>
      <c r="S571" s="47" t="n"/>
      <c r="T571" s="47" t="n"/>
      <c r="U571" s="43">
        <f>IF($B571="","",N($J571)-N($R571)-N($T571))</f>
        <v/>
      </c>
      <c r="V571" s="47" t="n"/>
    </row>
    <row r="572">
      <c r="A572" s="39">
        <f>IF($B572="","",COUNTA($B$4:$B572))</f>
        <v/>
      </c>
      <c r="B572" s="40" t="n"/>
      <c r="C572" s="41" t="n"/>
      <c r="D572" s="41" t="n"/>
      <c r="E572" s="41" t="n"/>
      <c r="F572" s="41" t="n"/>
      <c r="G572" s="41" t="n"/>
      <c r="H572" s="41" t="n"/>
      <c r="I572" s="50" t="n"/>
      <c r="J572" s="42" t="n"/>
      <c r="K572" s="42" t="n"/>
      <c r="L572" s="43">
        <f>IF($B572="","",ROUND((N($J572)+N($K572))*نسبة_القيمة_المضافة,2))</f>
        <v/>
      </c>
      <c r="M572" s="42" t="n"/>
      <c r="N572" s="42" t="n"/>
      <c r="O572" s="43">
        <f>IF($B572="","",N($J572)+N($K572)+N($L572)-N($M572)+N($N572))</f>
        <v/>
      </c>
      <c r="P572" s="42" t="n"/>
      <c r="Q572" s="43">
        <f>IF($B572="","",N($O572)-N($P572))</f>
        <v/>
      </c>
      <c r="R572" s="42" t="n"/>
      <c r="S572" s="42" t="n"/>
      <c r="T572" s="42" t="n"/>
      <c r="U572" s="43">
        <f>IF($B572="","",N($J572)-N($R572)-N($T572))</f>
        <v/>
      </c>
      <c r="V572" s="42" t="n"/>
    </row>
    <row r="573">
      <c r="A573" s="39">
        <f>IF($B573="","",COUNTA($B$4:$B573))</f>
        <v/>
      </c>
      <c r="B573" s="45" t="n"/>
      <c r="C573" s="46" t="n"/>
      <c r="D573" s="46" t="n"/>
      <c r="E573" s="46" t="n"/>
      <c r="F573" s="46" t="n"/>
      <c r="G573" s="46" t="n"/>
      <c r="H573" s="46" t="n"/>
      <c r="I573" s="51" t="n"/>
      <c r="J573" s="47" t="n"/>
      <c r="K573" s="47" t="n"/>
      <c r="L573" s="43">
        <f>IF($B573="","",ROUND((N($J573)+N($K573))*نسبة_القيمة_المضافة,2))</f>
        <v/>
      </c>
      <c r="M573" s="47" t="n"/>
      <c r="N573" s="47" t="n"/>
      <c r="O573" s="43">
        <f>IF($B573="","",N($J573)+N($K573)+N($L573)-N($M573)+N($N573))</f>
        <v/>
      </c>
      <c r="P573" s="47" t="n"/>
      <c r="Q573" s="43">
        <f>IF($B573="","",N($O573)-N($P573))</f>
        <v/>
      </c>
      <c r="R573" s="47" t="n"/>
      <c r="S573" s="47" t="n"/>
      <c r="T573" s="47" t="n"/>
      <c r="U573" s="43">
        <f>IF($B573="","",N($J573)-N($R573)-N($T573))</f>
        <v/>
      </c>
      <c r="V573" s="47" t="n"/>
    </row>
    <row r="574">
      <c r="A574" s="39">
        <f>IF($B574="","",COUNTA($B$4:$B574))</f>
        <v/>
      </c>
      <c r="B574" s="40" t="n"/>
      <c r="C574" s="41" t="n"/>
      <c r="D574" s="41" t="n"/>
      <c r="E574" s="41" t="n"/>
      <c r="F574" s="41" t="n"/>
      <c r="G574" s="41" t="n"/>
      <c r="H574" s="41" t="n"/>
      <c r="I574" s="50" t="n"/>
      <c r="J574" s="42" t="n"/>
      <c r="K574" s="42" t="n"/>
      <c r="L574" s="43">
        <f>IF($B574="","",ROUND((N($J574)+N($K574))*نسبة_القيمة_المضافة,2))</f>
        <v/>
      </c>
      <c r="M574" s="42" t="n"/>
      <c r="N574" s="42" t="n"/>
      <c r="O574" s="43">
        <f>IF($B574="","",N($J574)+N($K574)+N($L574)-N($M574)+N($N574))</f>
        <v/>
      </c>
      <c r="P574" s="42" t="n"/>
      <c r="Q574" s="43">
        <f>IF($B574="","",N($O574)-N($P574))</f>
        <v/>
      </c>
      <c r="R574" s="42" t="n"/>
      <c r="S574" s="42" t="n"/>
      <c r="T574" s="42" t="n"/>
      <c r="U574" s="43">
        <f>IF($B574="","",N($J574)-N($R574)-N($T574))</f>
        <v/>
      </c>
      <c r="V574" s="42" t="n"/>
    </row>
    <row r="575">
      <c r="A575" s="39">
        <f>IF($B575="","",COUNTA($B$4:$B575))</f>
        <v/>
      </c>
      <c r="B575" s="45" t="n"/>
      <c r="C575" s="46" t="n"/>
      <c r="D575" s="46" t="n"/>
      <c r="E575" s="46" t="n"/>
      <c r="F575" s="46" t="n"/>
      <c r="G575" s="46" t="n"/>
      <c r="H575" s="46" t="n"/>
      <c r="I575" s="51" t="n"/>
      <c r="J575" s="47" t="n"/>
      <c r="K575" s="47" t="n"/>
      <c r="L575" s="43">
        <f>IF($B575="","",ROUND((N($J575)+N($K575))*نسبة_القيمة_المضافة,2))</f>
        <v/>
      </c>
      <c r="M575" s="47" t="n"/>
      <c r="N575" s="47" t="n"/>
      <c r="O575" s="43">
        <f>IF($B575="","",N($J575)+N($K575)+N($L575)-N($M575)+N($N575))</f>
        <v/>
      </c>
      <c r="P575" s="47" t="n"/>
      <c r="Q575" s="43">
        <f>IF($B575="","",N($O575)-N($P575))</f>
        <v/>
      </c>
      <c r="R575" s="47" t="n"/>
      <c r="S575" s="47" t="n"/>
      <c r="T575" s="47" t="n"/>
      <c r="U575" s="43">
        <f>IF($B575="","",N($J575)-N($R575)-N($T575))</f>
        <v/>
      </c>
      <c r="V575" s="47" t="n"/>
    </row>
    <row r="576">
      <c r="A576" s="39">
        <f>IF($B576="","",COUNTA($B$4:$B576))</f>
        <v/>
      </c>
      <c r="B576" s="40" t="n"/>
      <c r="C576" s="41" t="n"/>
      <c r="D576" s="41" t="n"/>
      <c r="E576" s="41" t="n"/>
      <c r="F576" s="41" t="n"/>
      <c r="G576" s="41" t="n"/>
      <c r="H576" s="41" t="n"/>
      <c r="I576" s="50" t="n"/>
      <c r="J576" s="42" t="n"/>
      <c r="K576" s="42" t="n"/>
      <c r="L576" s="43">
        <f>IF($B576="","",ROUND((N($J576)+N($K576))*نسبة_القيمة_المضافة,2))</f>
        <v/>
      </c>
      <c r="M576" s="42" t="n"/>
      <c r="N576" s="42" t="n"/>
      <c r="O576" s="43">
        <f>IF($B576="","",N($J576)+N($K576)+N($L576)-N($M576)+N($N576))</f>
        <v/>
      </c>
      <c r="P576" s="42" t="n"/>
      <c r="Q576" s="43">
        <f>IF($B576="","",N($O576)-N($P576))</f>
        <v/>
      </c>
      <c r="R576" s="42" t="n"/>
      <c r="S576" s="42" t="n"/>
      <c r="T576" s="42" t="n"/>
      <c r="U576" s="43">
        <f>IF($B576="","",N($J576)-N($R576)-N($T576))</f>
        <v/>
      </c>
      <c r="V576" s="42" t="n"/>
    </row>
    <row r="577">
      <c r="A577" s="39">
        <f>IF($B577="","",COUNTA($B$4:$B577))</f>
        <v/>
      </c>
      <c r="B577" s="45" t="n"/>
      <c r="C577" s="46" t="n"/>
      <c r="D577" s="46" t="n"/>
      <c r="E577" s="46" t="n"/>
      <c r="F577" s="46" t="n"/>
      <c r="G577" s="46" t="n"/>
      <c r="H577" s="46" t="n"/>
      <c r="I577" s="51" t="n"/>
      <c r="J577" s="47" t="n"/>
      <c r="K577" s="47" t="n"/>
      <c r="L577" s="43">
        <f>IF($B577="","",ROUND((N($J577)+N($K577))*نسبة_القيمة_المضافة,2))</f>
        <v/>
      </c>
      <c r="M577" s="47" t="n"/>
      <c r="N577" s="47" t="n"/>
      <c r="O577" s="43">
        <f>IF($B577="","",N($J577)+N($K577)+N($L577)-N($M577)+N($N577))</f>
        <v/>
      </c>
      <c r="P577" s="47" t="n"/>
      <c r="Q577" s="43">
        <f>IF($B577="","",N($O577)-N($P577))</f>
        <v/>
      </c>
      <c r="R577" s="47" t="n"/>
      <c r="S577" s="47" t="n"/>
      <c r="T577" s="47" t="n"/>
      <c r="U577" s="43">
        <f>IF($B577="","",N($J577)-N($R577)-N($T577))</f>
        <v/>
      </c>
      <c r="V577" s="47" t="n"/>
    </row>
    <row r="578">
      <c r="A578" s="39">
        <f>IF($B578="","",COUNTA($B$4:$B578))</f>
        <v/>
      </c>
      <c r="B578" s="40" t="n"/>
      <c r="C578" s="41" t="n"/>
      <c r="D578" s="41" t="n"/>
      <c r="E578" s="41" t="n"/>
      <c r="F578" s="41" t="n"/>
      <c r="G578" s="41" t="n"/>
      <c r="H578" s="41" t="n"/>
      <c r="I578" s="50" t="n"/>
      <c r="J578" s="42" t="n"/>
      <c r="K578" s="42" t="n"/>
      <c r="L578" s="43">
        <f>IF($B578="","",ROUND((N($J578)+N($K578))*نسبة_القيمة_المضافة,2))</f>
        <v/>
      </c>
      <c r="M578" s="42" t="n"/>
      <c r="N578" s="42" t="n"/>
      <c r="O578" s="43">
        <f>IF($B578="","",N($J578)+N($K578)+N($L578)-N($M578)+N($N578))</f>
        <v/>
      </c>
      <c r="P578" s="42" t="n"/>
      <c r="Q578" s="43">
        <f>IF($B578="","",N($O578)-N($P578))</f>
        <v/>
      </c>
      <c r="R578" s="42" t="n"/>
      <c r="S578" s="42" t="n"/>
      <c r="T578" s="42" t="n"/>
      <c r="U578" s="43">
        <f>IF($B578="","",N($J578)-N($R578)-N($T578))</f>
        <v/>
      </c>
      <c r="V578" s="42" t="n"/>
    </row>
    <row r="579">
      <c r="A579" s="39">
        <f>IF($B579="","",COUNTA($B$4:$B579))</f>
        <v/>
      </c>
      <c r="B579" s="45" t="n"/>
      <c r="C579" s="46" t="n"/>
      <c r="D579" s="46" t="n"/>
      <c r="E579" s="46" t="n"/>
      <c r="F579" s="46" t="n"/>
      <c r="G579" s="46" t="n"/>
      <c r="H579" s="46" t="n"/>
      <c r="I579" s="51" t="n"/>
      <c r="J579" s="47" t="n"/>
      <c r="K579" s="47" t="n"/>
      <c r="L579" s="43">
        <f>IF($B579="","",ROUND((N($J579)+N($K579))*نسبة_القيمة_المضافة,2))</f>
        <v/>
      </c>
      <c r="M579" s="47" t="n"/>
      <c r="N579" s="47" t="n"/>
      <c r="O579" s="43">
        <f>IF($B579="","",N($J579)+N($K579)+N($L579)-N($M579)+N($N579))</f>
        <v/>
      </c>
      <c r="P579" s="47" t="n"/>
      <c r="Q579" s="43">
        <f>IF($B579="","",N($O579)-N($P579))</f>
        <v/>
      </c>
      <c r="R579" s="47" t="n"/>
      <c r="S579" s="47" t="n"/>
      <c r="T579" s="47" t="n"/>
      <c r="U579" s="43">
        <f>IF($B579="","",N($J579)-N($R579)-N($T579))</f>
        <v/>
      </c>
      <c r="V579" s="47" t="n"/>
    </row>
    <row r="580">
      <c r="A580" s="39">
        <f>IF($B580="","",COUNTA($B$4:$B580))</f>
        <v/>
      </c>
      <c r="B580" s="40" t="n"/>
      <c r="C580" s="41" t="n"/>
      <c r="D580" s="41" t="n"/>
      <c r="E580" s="41" t="n"/>
      <c r="F580" s="41" t="n"/>
      <c r="G580" s="41" t="n"/>
      <c r="H580" s="41" t="n"/>
      <c r="I580" s="50" t="n"/>
      <c r="J580" s="42" t="n"/>
      <c r="K580" s="42" t="n"/>
      <c r="L580" s="43">
        <f>IF($B580="","",ROUND((N($J580)+N($K580))*نسبة_القيمة_المضافة,2))</f>
        <v/>
      </c>
      <c r="M580" s="42" t="n"/>
      <c r="N580" s="42" t="n"/>
      <c r="O580" s="43">
        <f>IF($B580="","",N($J580)+N($K580)+N($L580)-N($M580)+N($N580))</f>
        <v/>
      </c>
      <c r="P580" s="42" t="n"/>
      <c r="Q580" s="43">
        <f>IF($B580="","",N($O580)-N($P580))</f>
        <v/>
      </c>
      <c r="R580" s="42" t="n"/>
      <c r="S580" s="42" t="n"/>
      <c r="T580" s="42" t="n"/>
      <c r="U580" s="43">
        <f>IF($B580="","",N($J580)-N($R580)-N($T580))</f>
        <v/>
      </c>
      <c r="V580" s="42" t="n"/>
    </row>
    <row r="581">
      <c r="A581" s="39">
        <f>IF($B581="","",COUNTA($B$4:$B581))</f>
        <v/>
      </c>
      <c r="B581" s="45" t="n"/>
      <c r="C581" s="46" t="n"/>
      <c r="D581" s="46" t="n"/>
      <c r="E581" s="46" t="n"/>
      <c r="F581" s="46" t="n"/>
      <c r="G581" s="46" t="n"/>
      <c r="H581" s="46" t="n"/>
      <c r="I581" s="51" t="n"/>
      <c r="J581" s="47" t="n"/>
      <c r="K581" s="47" t="n"/>
      <c r="L581" s="43">
        <f>IF($B581="","",ROUND((N($J581)+N($K581))*نسبة_القيمة_المضافة,2))</f>
        <v/>
      </c>
      <c r="M581" s="47" t="n"/>
      <c r="N581" s="47" t="n"/>
      <c r="O581" s="43">
        <f>IF($B581="","",N($J581)+N($K581)+N($L581)-N($M581)+N($N581))</f>
        <v/>
      </c>
      <c r="P581" s="47" t="n"/>
      <c r="Q581" s="43">
        <f>IF($B581="","",N($O581)-N($P581))</f>
        <v/>
      </c>
      <c r="R581" s="47" t="n"/>
      <c r="S581" s="47" t="n"/>
      <c r="T581" s="47" t="n"/>
      <c r="U581" s="43">
        <f>IF($B581="","",N($J581)-N($R581)-N($T581))</f>
        <v/>
      </c>
      <c r="V581" s="47" t="n"/>
    </row>
    <row r="582">
      <c r="A582" s="39">
        <f>IF($B582="","",COUNTA($B$4:$B582))</f>
        <v/>
      </c>
      <c r="B582" s="40" t="n"/>
      <c r="C582" s="41" t="n"/>
      <c r="D582" s="41" t="n"/>
      <c r="E582" s="41" t="n"/>
      <c r="F582" s="41" t="n"/>
      <c r="G582" s="41" t="n"/>
      <c r="H582" s="41" t="n"/>
      <c r="I582" s="50" t="n"/>
      <c r="J582" s="42" t="n"/>
      <c r="K582" s="42" t="n"/>
      <c r="L582" s="43">
        <f>IF($B582="","",ROUND((N($J582)+N($K582))*نسبة_القيمة_المضافة,2))</f>
        <v/>
      </c>
      <c r="M582" s="42" t="n"/>
      <c r="N582" s="42" t="n"/>
      <c r="O582" s="43">
        <f>IF($B582="","",N($J582)+N($K582)+N($L582)-N($M582)+N($N582))</f>
        <v/>
      </c>
      <c r="P582" s="42" t="n"/>
      <c r="Q582" s="43">
        <f>IF($B582="","",N($O582)-N($P582))</f>
        <v/>
      </c>
      <c r="R582" s="42" t="n"/>
      <c r="S582" s="42" t="n"/>
      <c r="T582" s="42" t="n"/>
      <c r="U582" s="43">
        <f>IF($B582="","",N($J582)-N($R582)-N($T582))</f>
        <v/>
      </c>
      <c r="V582" s="42" t="n"/>
    </row>
    <row r="583">
      <c r="A583" s="39">
        <f>IF($B583="","",COUNTA($B$4:$B583))</f>
        <v/>
      </c>
      <c r="B583" s="45" t="n"/>
      <c r="C583" s="46" t="n"/>
      <c r="D583" s="46" t="n"/>
      <c r="E583" s="46" t="n"/>
      <c r="F583" s="46" t="n"/>
      <c r="G583" s="46" t="n"/>
      <c r="H583" s="46" t="n"/>
      <c r="I583" s="51" t="n"/>
      <c r="J583" s="47" t="n"/>
      <c r="K583" s="47" t="n"/>
      <c r="L583" s="43">
        <f>IF($B583="","",ROUND((N($J583)+N($K583))*نسبة_القيمة_المضافة,2))</f>
        <v/>
      </c>
      <c r="M583" s="47" t="n"/>
      <c r="N583" s="47" t="n"/>
      <c r="O583" s="43">
        <f>IF($B583="","",N($J583)+N($K583)+N($L583)-N($M583)+N($N583))</f>
        <v/>
      </c>
      <c r="P583" s="47" t="n"/>
      <c r="Q583" s="43">
        <f>IF($B583="","",N($O583)-N($P583))</f>
        <v/>
      </c>
      <c r="R583" s="47" t="n"/>
      <c r="S583" s="47" t="n"/>
      <c r="T583" s="47" t="n"/>
      <c r="U583" s="43">
        <f>IF($B583="","",N($J583)-N($R583)-N($T583))</f>
        <v/>
      </c>
      <c r="V583" s="47" t="n"/>
    </row>
    <row r="584">
      <c r="A584" s="39">
        <f>IF($B584="","",COUNTA($B$4:$B584))</f>
        <v/>
      </c>
      <c r="B584" s="40" t="n"/>
      <c r="C584" s="41" t="n"/>
      <c r="D584" s="41" t="n"/>
      <c r="E584" s="41" t="n"/>
      <c r="F584" s="41" t="n"/>
      <c r="G584" s="41" t="n"/>
      <c r="H584" s="41" t="n"/>
      <c r="I584" s="50" t="n"/>
      <c r="J584" s="42" t="n"/>
      <c r="K584" s="42" t="n"/>
      <c r="L584" s="43">
        <f>IF($B584="","",ROUND((N($J584)+N($K584))*نسبة_القيمة_المضافة,2))</f>
        <v/>
      </c>
      <c r="M584" s="42" t="n"/>
      <c r="N584" s="42" t="n"/>
      <c r="O584" s="43">
        <f>IF($B584="","",N($J584)+N($K584)+N($L584)-N($M584)+N($N584))</f>
        <v/>
      </c>
      <c r="P584" s="42" t="n"/>
      <c r="Q584" s="43">
        <f>IF($B584="","",N($O584)-N($P584))</f>
        <v/>
      </c>
      <c r="R584" s="42" t="n"/>
      <c r="S584" s="42" t="n"/>
      <c r="T584" s="42" t="n"/>
      <c r="U584" s="43">
        <f>IF($B584="","",N($J584)-N($R584)-N($T584))</f>
        <v/>
      </c>
      <c r="V584" s="42" t="n"/>
    </row>
    <row r="585">
      <c r="A585" s="39">
        <f>IF($B585="","",COUNTA($B$4:$B585))</f>
        <v/>
      </c>
      <c r="B585" s="45" t="n"/>
      <c r="C585" s="46" t="n"/>
      <c r="D585" s="46" t="n"/>
      <c r="E585" s="46" t="n"/>
      <c r="F585" s="46" t="n"/>
      <c r="G585" s="46" t="n"/>
      <c r="H585" s="46" t="n"/>
      <c r="I585" s="51" t="n"/>
      <c r="J585" s="47" t="n"/>
      <c r="K585" s="47" t="n"/>
      <c r="L585" s="43">
        <f>IF($B585="","",ROUND((N($J585)+N($K585))*نسبة_القيمة_المضافة,2))</f>
        <v/>
      </c>
      <c r="M585" s="47" t="n"/>
      <c r="N585" s="47" t="n"/>
      <c r="O585" s="43">
        <f>IF($B585="","",N($J585)+N($K585)+N($L585)-N($M585)+N($N585))</f>
        <v/>
      </c>
      <c r="P585" s="47" t="n"/>
      <c r="Q585" s="43">
        <f>IF($B585="","",N($O585)-N($P585))</f>
        <v/>
      </c>
      <c r="R585" s="47" t="n"/>
      <c r="S585" s="47" t="n"/>
      <c r="T585" s="47" t="n"/>
      <c r="U585" s="43">
        <f>IF($B585="","",N($J585)-N($R585)-N($T585))</f>
        <v/>
      </c>
      <c r="V585" s="47" t="n"/>
    </row>
    <row r="586">
      <c r="A586" s="39">
        <f>IF($B586="","",COUNTA($B$4:$B586))</f>
        <v/>
      </c>
      <c r="B586" s="40" t="n"/>
      <c r="C586" s="41" t="n"/>
      <c r="D586" s="41" t="n"/>
      <c r="E586" s="41" t="n"/>
      <c r="F586" s="41" t="n"/>
      <c r="G586" s="41" t="n"/>
      <c r="H586" s="41" t="n"/>
      <c r="I586" s="50" t="n"/>
      <c r="J586" s="42" t="n"/>
      <c r="K586" s="42" t="n"/>
      <c r="L586" s="43">
        <f>IF($B586="","",ROUND((N($J586)+N($K586))*نسبة_القيمة_المضافة,2))</f>
        <v/>
      </c>
      <c r="M586" s="42" t="n"/>
      <c r="N586" s="42" t="n"/>
      <c r="O586" s="43">
        <f>IF($B586="","",N($J586)+N($K586)+N($L586)-N($M586)+N($N586))</f>
        <v/>
      </c>
      <c r="P586" s="42" t="n"/>
      <c r="Q586" s="43">
        <f>IF($B586="","",N($O586)-N($P586))</f>
        <v/>
      </c>
      <c r="R586" s="42" t="n"/>
      <c r="S586" s="42" t="n"/>
      <c r="T586" s="42" t="n"/>
      <c r="U586" s="43">
        <f>IF($B586="","",N($J586)-N($R586)-N($T586))</f>
        <v/>
      </c>
      <c r="V586" s="42" t="n"/>
    </row>
    <row r="587">
      <c r="A587" s="39">
        <f>IF($B587="","",COUNTA($B$4:$B587))</f>
        <v/>
      </c>
      <c r="B587" s="45" t="n"/>
      <c r="C587" s="46" t="n"/>
      <c r="D587" s="46" t="n"/>
      <c r="E587" s="46" t="n"/>
      <c r="F587" s="46" t="n"/>
      <c r="G587" s="46" t="n"/>
      <c r="H587" s="46" t="n"/>
      <c r="I587" s="51" t="n"/>
      <c r="J587" s="47" t="n"/>
      <c r="K587" s="47" t="n"/>
      <c r="L587" s="43">
        <f>IF($B587="","",ROUND((N($J587)+N($K587))*نسبة_القيمة_المضافة,2))</f>
        <v/>
      </c>
      <c r="M587" s="47" t="n"/>
      <c r="N587" s="47" t="n"/>
      <c r="O587" s="43">
        <f>IF($B587="","",N($J587)+N($K587)+N($L587)-N($M587)+N($N587))</f>
        <v/>
      </c>
      <c r="P587" s="47" t="n"/>
      <c r="Q587" s="43">
        <f>IF($B587="","",N($O587)-N($P587))</f>
        <v/>
      </c>
      <c r="R587" s="47" t="n"/>
      <c r="S587" s="47" t="n"/>
      <c r="T587" s="47" t="n"/>
      <c r="U587" s="43">
        <f>IF($B587="","",N($J587)-N($R587)-N($T587))</f>
        <v/>
      </c>
      <c r="V587" s="47" t="n"/>
    </row>
    <row r="588">
      <c r="A588" s="39">
        <f>IF($B588="","",COUNTA($B$4:$B588))</f>
        <v/>
      </c>
      <c r="B588" s="40" t="n"/>
      <c r="C588" s="41" t="n"/>
      <c r="D588" s="41" t="n"/>
      <c r="E588" s="41" t="n"/>
      <c r="F588" s="41" t="n"/>
      <c r="G588" s="41" t="n"/>
      <c r="H588" s="41" t="n"/>
      <c r="I588" s="50" t="n"/>
      <c r="J588" s="42" t="n"/>
      <c r="K588" s="42" t="n"/>
      <c r="L588" s="43">
        <f>IF($B588="","",ROUND((N($J588)+N($K588))*نسبة_القيمة_المضافة,2))</f>
        <v/>
      </c>
      <c r="M588" s="42" t="n"/>
      <c r="N588" s="42" t="n"/>
      <c r="O588" s="43">
        <f>IF($B588="","",N($J588)+N($K588)+N($L588)-N($M588)+N($N588))</f>
        <v/>
      </c>
      <c r="P588" s="42" t="n"/>
      <c r="Q588" s="43">
        <f>IF($B588="","",N($O588)-N($P588))</f>
        <v/>
      </c>
      <c r="R588" s="42" t="n"/>
      <c r="S588" s="42" t="n"/>
      <c r="T588" s="42" t="n"/>
      <c r="U588" s="43">
        <f>IF($B588="","",N($J588)-N($R588)-N($T588))</f>
        <v/>
      </c>
      <c r="V588" s="42" t="n"/>
    </row>
    <row r="589">
      <c r="A589" s="39">
        <f>IF($B589="","",COUNTA($B$4:$B589))</f>
        <v/>
      </c>
      <c r="B589" s="45" t="n"/>
      <c r="C589" s="46" t="n"/>
      <c r="D589" s="46" t="n"/>
      <c r="E589" s="46" t="n"/>
      <c r="F589" s="46" t="n"/>
      <c r="G589" s="46" t="n"/>
      <c r="H589" s="46" t="n"/>
      <c r="I589" s="51" t="n"/>
      <c r="J589" s="47" t="n"/>
      <c r="K589" s="47" t="n"/>
      <c r="L589" s="43">
        <f>IF($B589="","",ROUND((N($J589)+N($K589))*نسبة_القيمة_المضافة,2))</f>
        <v/>
      </c>
      <c r="M589" s="47" t="n"/>
      <c r="N589" s="47" t="n"/>
      <c r="O589" s="43">
        <f>IF($B589="","",N($J589)+N($K589)+N($L589)-N($M589)+N($N589))</f>
        <v/>
      </c>
      <c r="P589" s="47" t="n"/>
      <c r="Q589" s="43">
        <f>IF($B589="","",N($O589)-N($P589))</f>
        <v/>
      </c>
      <c r="R589" s="47" t="n"/>
      <c r="S589" s="47" t="n"/>
      <c r="T589" s="47" t="n"/>
      <c r="U589" s="43">
        <f>IF($B589="","",N($J589)-N($R589)-N($T589))</f>
        <v/>
      </c>
      <c r="V589" s="47" t="n"/>
    </row>
    <row r="590">
      <c r="A590" s="39">
        <f>IF($B590="","",COUNTA($B$4:$B590))</f>
        <v/>
      </c>
      <c r="B590" s="40" t="n"/>
      <c r="C590" s="41" t="n"/>
      <c r="D590" s="41" t="n"/>
      <c r="E590" s="41" t="n"/>
      <c r="F590" s="41" t="n"/>
      <c r="G590" s="41" t="n"/>
      <c r="H590" s="41" t="n"/>
      <c r="I590" s="50" t="n"/>
      <c r="J590" s="42" t="n"/>
      <c r="K590" s="42" t="n"/>
      <c r="L590" s="43">
        <f>IF($B590="","",ROUND((N($J590)+N($K590))*نسبة_القيمة_المضافة,2))</f>
        <v/>
      </c>
      <c r="M590" s="42" t="n"/>
      <c r="N590" s="42" t="n"/>
      <c r="O590" s="43">
        <f>IF($B590="","",N($J590)+N($K590)+N($L590)-N($M590)+N($N590))</f>
        <v/>
      </c>
      <c r="P590" s="42" t="n"/>
      <c r="Q590" s="43">
        <f>IF($B590="","",N($O590)-N($P590))</f>
        <v/>
      </c>
      <c r="R590" s="42" t="n"/>
      <c r="S590" s="42" t="n"/>
      <c r="T590" s="42" t="n"/>
      <c r="U590" s="43">
        <f>IF($B590="","",N($J590)-N($R590)-N($T590))</f>
        <v/>
      </c>
      <c r="V590" s="42" t="n"/>
    </row>
    <row r="591">
      <c r="A591" s="39">
        <f>IF($B591="","",COUNTA($B$4:$B591))</f>
        <v/>
      </c>
      <c r="B591" s="45" t="n"/>
      <c r="C591" s="46" t="n"/>
      <c r="D591" s="46" t="n"/>
      <c r="E591" s="46" t="n"/>
      <c r="F591" s="46" t="n"/>
      <c r="G591" s="46" t="n"/>
      <c r="H591" s="46" t="n"/>
      <c r="I591" s="51" t="n"/>
      <c r="J591" s="47" t="n"/>
      <c r="K591" s="47" t="n"/>
      <c r="L591" s="43">
        <f>IF($B591="","",ROUND((N($J591)+N($K591))*نسبة_القيمة_المضافة,2))</f>
        <v/>
      </c>
      <c r="M591" s="47" t="n"/>
      <c r="N591" s="47" t="n"/>
      <c r="O591" s="43">
        <f>IF($B591="","",N($J591)+N($K591)+N($L591)-N($M591)+N($N591))</f>
        <v/>
      </c>
      <c r="P591" s="47" t="n"/>
      <c r="Q591" s="43">
        <f>IF($B591="","",N($O591)-N($P591))</f>
        <v/>
      </c>
      <c r="R591" s="47" t="n"/>
      <c r="S591" s="47" t="n"/>
      <c r="T591" s="47" t="n"/>
      <c r="U591" s="43">
        <f>IF($B591="","",N($J591)-N($R591)-N($T591))</f>
        <v/>
      </c>
      <c r="V591" s="47" t="n"/>
    </row>
    <row r="592">
      <c r="A592" s="39">
        <f>IF($B592="","",COUNTA($B$4:$B592))</f>
        <v/>
      </c>
      <c r="B592" s="40" t="n"/>
      <c r="C592" s="41" t="n"/>
      <c r="D592" s="41" t="n"/>
      <c r="E592" s="41" t="n"/>
      <c r="F592" s="41" t="n"/>
      <c r="G592" s="41" t="n"/>
      <c r="H592" s="41" t="n"/>
      <c r="I592" s="50" t="n"/>
      <c r="J592" s="42" t="n"/>
      <c r="K592" s="42" t="n"/>
      <c r="L592" s="43">
        <f>IF($B592="","",ROUND((N($J592)+N($K592))*نسبة_القيمة_المضافة,2))</f>
        <v/>
      </c>
      <c r="M592" s="42" t="n"/>
      <c r="N592" s="42" t="n"/>
      <c r="O592" s="43">
        <f>IF($B592="","",N($J592)+N($K592)+N($L592)-N($M592)+N($N592))</f>
        <v/>
      </c>
      <c r="P592" s="42" t="n"/>
      <c r="Q592" s="43">
        <f>IF($B592="","",N($O592)-N($P592))</f>
        <v/>
      </c>
      <c r="R592" s="42" t="n"/>
      <c r="S592" s="42" t="n"/>
      <c r="T592" s="42" t="n"/>
      <c r="U592" s="43">
        <f>IF($B592="","",N($J592)-N($R592)-N($T592))</f>
        <v/>
      </c>
      <c r="V592" s="42" t="n"/>
    </row>
    <row r="593">
      <c r="A593" s="39">
        <f>IF($B593="","",COUNTA($B$4:$B593))</f>
        <v/>
      </c>
      <c r="B593" s="45" t="n"/>
      <c r="C593" s="46" t="n"/>
      <c r="D593" s="46" t="n"/>
      <c r="E593" s="46" t="n"/>
      <c r="F593" s="46" t="n"/>
      <c r="G593" s="46" t="n"/>
      <c r="H593" s="46" t="n"/>
      <c r="I593" s="51" t="n"/>
      <c r="J593" s="47" t="n"/>
      <c r="K593" s="47" t="n"/>
      <c r="L593" s="43">
        <f>IF($B593="","",ROUND((N($J593)+N($K593))*نسبة_القيمة_المضافة,2))</f>
        <v/>
      </c>
      <c r="M593" s="47" t="n"/>
      <c r="N593" s="47" t="n"/>
      <c r="O593" s="43">
        <f>IF($B593="","",N($J593)+N($K593)+N($L593)-N($M593)+N($N593))</f>
        <v/>
      </c>
      <c r="P593" s="47" t="n"/>
      <c r="Q593" s="43">
        <f>IF($B593="","",N($O593)-N($P593))</f>
        <v/>
      </c>
      <c r="R593" s="47" t="n"/>
      <c r="S593" s="47" t="n"/>
      <c r="T593" s="47" t="n"/>
      <c r="U593" s="43">
        <f>IF($B593="","",N($J593)-N($R593)-N($T593))</f>
        <v/>
      </c>
      <c r="V593" s="47" t="n"/>
    </row>
    <row r="594">
      <c r="A594" s="39">
        <f>IF($B594="","",COUNTA($B$4:$B594))</f>
        <v/>
      </c>
      <c r="B594" s="40" t="n"/>
      <c r="C594" s="41" t="n"/>
      <c r="D594" s="41" t="n"/>
      <c r="E594" s="41" t="n"/>
      <c r="F594" s="41" t="n"/>
      <c r="G594" s="41" t="n"/>
      <c r="H594" s="41" t="n"/>
      <c r="I594" s="50" t="n"/>
      <c r="J594" s="42" t="n"/>
      <c r="K594" s="42" t="n"/>
      <c r="L594" s="43">
        <f>IF($B594="","",ROUND((N($J594)+N($K594))*نسبة_القيمة_المضافة,2))</f>
        <v/>
      </c>
      <c r="M594" s="42" t="n"/>
      <c r="N594" s="42" t="n"/>
      <c r="O594" s="43">
        <f>IF($B594="","",N($J594)+N($K594)+N($L594)-N($M594)+N($N594))</f>
        <v/>
      </c>
      <c r="P594" s="42" t="n"/>
      <c r="Q594" s="43">
        <f>IF($B594="","",N($O594)-N($P594))</f>
        <v/>
      </c>
      <c r="R594" s="42" t="n"/>
      <c r="S594" s="42" t="n"/>
      <c r="T594" s="42" t="n"/>
      <c r="U594" s="43">
        <f>IF($B594="","",N($J594)-N($R594)-N($T594))</f>
        <v/>
      </c>
      <c r="V594" s="42" t="n"/>
    </row>
    <row r="595">
      <c r="A595" s="39">
        <f>IF($B595="","",COUNTA($B$4:$B595))</f>
        <v/>
      </c>
      <c r="B595" s="45" t="n"/>
      <c r="C595" s="46" t="n"/>
      <c r="D595" s="46" t="n"/>
      <c r="E595" s="46" t="n"/>
      <c r="F595" s="46" t="n"/>
      <c r="G595" s="46" t="n"/>
      <c r="H595" s="46" t="n"/>
      <c r="I595" s="51" t="n"/>
      <c r="J595" s="47" t="n"/>
      <c r="K595" s="47" t="n"/>
      <c r="L595" s="43">
        <f>IF($B595="","",ROUND((N($J595)+N($K595))*نسبة_القيمة_المضافة,2))</f>
        <v/>
      </c>
      <c r="M595" s="47" t="n"/>
      <c r="N595" s="47" t="n"/>
      <c r="O595" s="43">
        <f>IF($B595="","",N($J595)+N($K595)+N($L595)-N($M595)+N($N595))</f>
        <v/>
      </c>
      <c r="P595" s="47" t="n"/>
      <c r="Q595" s="43">
        <f>IF($B595="","",N($O595)-N($P595))</f>
        <v/>
      </c>
      <c r="R595" s="47" t="n"/>
      <c r="S595" s="47" t="n"/>
      <c r="T595" s="47" t="n"/>
      <c r="U595" s="43">
        <f>IF($B595="","",N($J595)-N($R595)-N($T595))</f>
        <v/>
      </c>
      <c r="V595" s="47" t="n"/>
    </row>
    <row r="596">
      <c r="A596" s="39">
        <f>IF($B596="","",COUNTA($B$4:$B596))</f>
        <v/>
      </c>
      <c r="B596" s="40" t="n"/>
      <c r="C596" s="41" t="n"/>
      <c r="D596" s="41" t="n"/>
      <c r="E596" s="41" t="n"/>
      <c r="F596" s="41" t="n"/>
      <c r="G596" s="41" t="n"/>
      <c r="H596" s="41" t="n"/>
      <c r="I596" s="50" t="n"/>
      <c r="J596" s="42" t="n"/>
      <c r="K596" s="42" t="n"/>
      <c r="L596" s="43">
        <f>IF($B596="","",ROUND((N($J596)+N($K596))*نسبة_القيمة_المضافة,2))</f>
        <v/>
      </c>
      <c r="M596" s="42" t="n"/>
      <c r="N596" s="42" t="n"/>
      <c r="O596" s="43">
        <f>IF($B596="","",N($J596)+N($K596)+N($L596)-N($M596)+N($N596))</f>
        <v/>
      </c>
      <c r="P596" s="42" t="n"/>
      <c r="Q596" s="43">
        <f>IF($B596="","",N($O596)-N($P596))</f>
        <v/>
      </c>
      <c r="R596" s="42" t="n"/>
      <c r="S596" s="42" t="n"/>
      <c r="T596" s="42" t="n"/>
      <c r="U596" s="43">
        <f>IF($B596="","",N($J596)-N($R596)-N($T596))</f>
        <v/>
      </c>
      <c r="V596" s="42" t="n"/>
    </row>
    <row r="597">
      <c r="A597" s="39">
        <f>IF($B597="","",COUNTA($B$4:$B597))</f>
        <v/>
      </c>
      <c r="B597" s="45" t="n"/>
      <c r="C597" s="46" t="n"/>
      <c r="D597" s="46" t="n"/>
      <c r="E597" s="46" t="n"/>
      <c r="F597" s="46" t="n"/>
      <c r="G597" s="46" t="n"/>
      <c r="H597" s="46" t="n"/>
      <c r="I597" s="51" t="n"/>
      <c r="J597" s="47" t="n"/>
      <c r="K597" s="47" t="n"/>
      <c r="L597" s="43">
        <f>IF($B597="","",ROUND((N($J597)+N($K597))*نسبة_القيمة_المضافة,2))</f>
        <v/>
      </c>
      <c r="M597" s="47" t="n"/>
      <c r="N597" s="47" t="n"/>
      <c r="O597" s="43">
        <f>IF($B597="","",N($J597)+N($K597)+N($L597)-N($M597)+N($N597))</f>
        <v/>
      </c>
      <c r="P597" s="47" t="n"/>
      <c r="Q597" s="43">
        <f>IF($B597="","",N($O597)-N($P597))</f>
        <v/>
      </c>
      <c r="R597" s="47" t="n"/>
      <c r="S597" s="47" t="n"/>
      <c r="T597" s="47" t="n"/>
      <c r="U597" s="43">
        <f>IF($B597="","",N($J597)-N($R597)-N($T597))</f>
        <v/>
      </c>
      <c r="V597" s="47" t="n"/>
    </row>
    <row r="598">
      <c r="A598" s="39">
        <f>IF($B598="","",COUNTA($B$4:$B598))</f>
        <v/>
      </c>
      <c r="B598" s="40" t="n"/>
      <c r="C598" s="41" t="n"/>
      <c r="D598" s="41" t="n"/>
      <c r="E598" s="41" t="n"/>
      <c r="F598" s="41" t="n"/>
      <c r="G598" s="41" t="n"/>
      <c r="H598" s="41" t="n"/>
      <c r="I598" s="50" t="n"/>
      <c r="J598" s="42" t="n"/>
      <c r="K598" s="42" t="n"/>
      <c r="L598" s="43">
        <f>IF($B598="","",ROUND((N($J598)+N($K598))*نسبة_القيمة_المضافة,2))</f>
        <v/>
      </c>
      <c r="M598" s="42" t="n"/>
      <c r="N598" s="42" t="n"/>
      <c r="O598" s="43">
        <f>IF($B598="","",N($J598)+N($K598)+N($L598)-N($M598)+N($N598))</f>
        <v/>
      </c>
      <c r="P598" s="42" t="n"/>
      <c r="Q598" s="43">
        <f>IF($B598="","",N($O598)-N($P598))</f>
        <v/>
      </c>
      <c r="R598" s="42" t="n"/>
      <c r="S598" s="42" t="n"/>
      <c r="T598" s="42" t="n"/>
      <c r="U598" s="43">
        <f>IF($B598="","",N($J598)-N($R598)-N($T598))</f>
        <v/>
      </c>
      <c r="V598" s="42" t="n"/>
    </row>
    <row r="599">
      <c r="A599" s="39">
        <f>IF($B599="","",COUNTA($B$4:$B599))</f>
        <v/>
      </c>
      <c r="B599" s="45" t="n"/>
      <c r="C599" s="46" t="n"/>
      <c r="D599" s="46" t="n"/>
      <c r="E599" s="46" t="n"/>
      <c r="F599" s="46" t="n"/>
      <c r="G599" s="46" t="n"/>
      <c r="H599" s="46" t="n"/>
      <c r="I599" s="51" t="n"/>
      <c r="J599" s="47" t="n"/>
      <c r="K599" s="47" t="n"/>
      <c r="L599" s="43">
        <f>IF($B599="","",ROUND((N($J599)+N($K599))*نسبة_القيمة_المضافة,2))</f>
        <v/>
      </c>
      <c r="M599" s="47" t="n"/>
      <c r="N599" s="47" t="n"/>
      <c r="O599" s="43">
        <f>IF($B599="","",N($J599)+N($K599)+N($L599)-N($M599)+N($N599))</f>
        <v/>
      </c>
      <c r="P599" s="47" t="n"/>
      <c r="Q599" s="43">
        <f>IF($B599="","",N($O599)-N($P599))</f>
        <v/>
      </c>
      <c r="R599" s="47" t="n"/>
      <c r="S599" s="47" t="n"/>
      <c r="T599" s="47" t="n"/>
      <c r="U599" s="43">
        <f>IF($B599="","",N($J599)-N($R599)-N($T599))</f>
        <v/>
      </c>
      <c r="V599" s="47" t="n"/>
    </row>
    <row r="600">
      <c r="A600" s="39">
        <f>IF($B600="","",COUNTA($B$4:$B600))</f>
        <v/>
      </c>
      <c r="B600" s="40" t="n"/>
      <c r="C600" s="41" t="n"/>
      <c r="D600" s="41" t="n"/>
      <c r="E600" s="41" t="n"/>
      <c r="F600" s="41" t="n"/>
      <c r="G600" s="41" t="n"/>
      <c r="H600" s="41" t="n"/>
      <c r="I600" s="50" t="n"/>
      <c r="J600" s="42" t="n"/>
      <c r="K600" s="42" t="n"/>
      <c r="L600" s="43">
        <f>IF($B600="","",ROUND((N($J600)+N($K600))*نسبة_القيمة_المضافة,2))</f>
        <v/>
      </c>
      <c r="M600" s="42" t="n"/>
      <c r="N600" s="42" t="n"/>
      <c r="O600" s="43">
        <f>IF($B600="","",N($J600)+N($K600)+N($L600)-N($M600)+N($N600))</f>
        <v/>
      </c>
      <c r="P600" s="42" t="n"/>
      <c r="Q600" s="43">
        <f>IF($B600="","",N($O600)-N($P600))</f>
        <v/>
      </c>
      <c r="R600" s="42" t="n"/>
      <c r="S600" s="42" t="n"/>
      <c r="T600" s="42" t="n"/>
      <c r="U600" s="43">
        <f>IF($B600="","",N($J600)-N($R600)-N($T600))</f>
        <v/>
      </c>
      <c r="V600" s="42" t="n"/>
    </row>
    <row r="601">
      <c r="A601" s="39">
        <f>IF($B601="","",COUNTA($B$4:$B601))</f>
        <v/>
      </c>
      <c r="B601" s="45" t="n"/>
      <c r="C601" s="46" t="n"/>
      <c r="D601" s="46" t="n"/>
      <c r="E601" s="46" t="n"/>
      <c r="F601" s="46" t="n"/>
      <c r="G601" s="46" t="n"/>
      <c r="H601" s="46" t="n"/>
      <c r="I601" s="51" t="n"/>
      <c r="J601" s="47" t="n"/>
      <c r="K601" s="47" t="n"/>
      <c r="L601" s="43">
        <f>IF($B601="","",ROUND((N($J601)+N($K601))*نسبة_القيمة_المضافة,2))</f>
        <v/>
      </c>
      <c r="M601" s="47" t="n"/>
      <c r="N601" s="47" t="n"/>
      <c r="O601" s="43">
        <f>IF($B601="","",N($J601)+N($K601)+N($L601)-N($M601)+N($N601))</f>
        <v/>
      </c>
      <c r="P601" s="47" t="n"/>
      <c r="Q601" s="43">
        <f>IF($B601="","",N($O601)-N($P601))</f>
        <v/>
      </c>
      <c r="R601" s="47" t="n"/>
      <c r="S601" s="47" t="n"/>
      <c r="T601" s="47" t="n"/>
      <c r="U601" s="43">
        <f>IF($B601="","",N($J601)-N($R601)-N($T601))</f>
        <v/>
      </c>
      <c r="V601" s="47" t="n"/>
    </row>
    <row r="602">
      <c r="A602" s="39">
        <f>IF($B602="","",COUNTA($B$4:$B602))</f>
        <v/>
      </c>
      <c r="B602" s="40" t="n"/>
      <c r="C602" s="41" t="n"/>
      <c r="D602" s="41" t="n"/>
      <c r="E602" s="41" t="n"/>
      <c r="F602" s="41" t="n"/>
      <c r="G602" s="41" t="n"/>
      <c r="H602" s="41" t="n"/>
      <c r="I602" s="50" t="n"/>
      <c r="J602" s="42" t="n"/>
      <c r="K602" s="42" t="n"/>
      <c r="L602" s="43">
        <f>IF($B602="","",ROUND((N($J602)+N($K602))*نسبة_القيمة_المضافة,2))</f>
        <v/>
      </c>
      <c r="M602" s="42" t="n"/>
      <c r="N602" s="42" t="n"/>
      <c r="O602" s="43">
        <f>IF($B602="","",N($J602)+N($K602)+N($L602)-N($M602)+N($N602))</f>
        <v/>
      </c>
      <c r="P602" s="42" t="n"/>
      <c r="Q602" s="43">
        <f>IF($B602="","",N($O602)-N($P602))</f>
        <v/>
      </c>
      <c r="R602" s="42" t="n"/>
      <c r="S602" s="42" t="n"/>
      <c r="T602" s="42" t="n"/>
      <c r="U602" s="43">
        <f>IF($B602="","",N($J602)-N($R602)-N($T602))</f>
        <v/>
      </c>
      <c r="V602" s="42" t="n"/>
    </row>
    <row r="603">
      <c r="A603" s="39">
        <f>IF($B603="","",COUNTA($B$4:$B603))</f>
        <v/>
      </c>
      <c r="B603" s="45" t="n"/>
      <c r="C603" s="46" t="n"/>
      <c r="D603" s="46" t="n"/>
      <c r="E603" s="46" t="n"/>
      <c r="F603" s="46" t="n"/>
      <c r="G603" s="46" t="n"/>
      <c r="H603" s="46" t="n"/>
      <c r="I603" s="51" t="n"/>
      <c r="J603" s="47" t="n"/>
      <c r="K603" s="47" t="n"/>
      <c r="L603" s="43">
        <f>IF($B603="","",ROUND((N($J603)+N($K603))*نسبة_القيمة_المضافة,2))</f>
        <v/>
      </c>
      <c r="M603" s="47" t="n"/>
      <c r="N603" s="47" t="n"/>
      <c r="O603" s="43">
        <f>IF($B603="","",N($J603)+N($K603)+N($L603)-N($M603)+N($N603))</f>
        <v/>
      </c>
      <c r="P603" s="47" t="n"/>
      <c r="Q603" s="43">
        <f>IF($B603="","",N($O603)-N($P603))</f>
        <v/>
      </c>
      <c r="R603" s="47" t="n"/>
      <c r="S603" s="47" t="n"/>
      <c r="T603" s="47" t="n"/>
      <c r="U603" s="43">
        <f>IF($B603="","",N($J603)-N($R603)-N($T603))</f>
        <v/>
      </c>
      <c r="V603" s="47" t="n"/>
    </row>
    <row r="604">
      <c r="A604" s="39">
        <f>IF($B604="","",COUNTA($B$4:$B604))</f>
        <v/>
      </c>
      <c r="B604" s="40" t="n"/>
      <c r="C604" s="41" t="n"/>
      <c r="D604" s="41" t="n"/>
      <c r="E604" s="41" t="n"/>
      <c r="F604" s="41" t="n"/>
      <c r="G604" s="41" t="n"/>
      <c r="H604" s="41" t="n"/>
      <c r="I604" s="50" t="n"/>
      <c r="J604" s="42" t="n"/>
      <c r="K604" s="42" t="n"/>
      <c r="L604" s="43">
        <f>IF($B604="","",ROUND((N($J604)+N($K604))*نسبة_القيمة_المضافة,2))</f>
        <v/>
      </c>
      <c r="M604" s="42" t="n"/>
      <c r="N604" s="42" t="n"/>
      <c r="O604" s="43">
        <f>IF($B604="","",N($J604)+N($K604)+N($L604)-N($M604)+N($N604))</f>
        <v/>
      </c>
      <c r="P604" s="42" t="n"/>
      <c r="Q604" s="43">
        <f>IF($B604="","",N($O604)-N($P604))</f>
        <v/>
      </c>
      <c r="R604" s="42" t="n"/>
      <c r="S604" s="42" t="n"/>
      <c r="T604" s="42" t="n"/>
      <c r="U604" s="43">
        <f>IF($B604="","",N($J604)-N($R604)-N($T604))</f>
        <v/>
      </c>
      <c r="V604" s="42" t="n"/>
    </row>
    <row r="605">
      <c r="A605" s="39">
        <f>IF($B605="","",COUNTA($B$4:$B605))</f>
        <v/>
      </c>
      <c r="B605" s="45" t="n"/>
      <c r="C605" s="46" t="n"/>
      <c r="D605" s="46" t="n"/>
      <c r="E605" s="46" t="n"/>
      <c r="F605" s="46" t="n"/>
      <c r="G605" s="46" t="n"/>
      <c r="H605" s="46" t="n"/>
      <c r="I605" s="51" t="n"/>
      <c r="J605" s="47" t="n"/>
      <c r="K605" s="47" t="n"/>
      <c r="L605" s="43">
        <f>IF($B605="","",ROUND((N($J605)+N($K605))*نسبة_القيمة_المضافة,2))</f>
        <v/>
      </c>
      <c r="M605" s="47" t="n"/>
      <c r="N605" s="47" t="n"/>
      <c r="O605" s="43">
        <f>IF($B605="","",N($J605)+N($K605)+N($L605)-N($M605)+N($N605))</f>
        <v/>
      </c>
      <c r="P605" s="47" t="n"/>
      <c r="Q605" s="43">
        <f>IF($B605="","",N($O605)-N($P605))</f>
        <v/>
      </c>
      <c r="R605" s="47" t="n"/>
      <c r="S605" s="47" t="n"/>
      <c r="T605" s="47" t="n"/>
      <c r="U605" s="43">
        <f>IF($B605="","",N($J605)-N($R605)-N($T605))</f>
        <v/>
      </c>
      <c r="V605" s="47" t="n"/>
    </row>
    <row r="606">
      <c r="A606" s="39">
        <f>IF($B606="","",COUNTA($B$4:$B606))</f>
        <v/>
      </c>
      <c r="B606" s="40" t="n"/>
      <c r="C606" s="41" t="n"/>
      <c r="D606" s="41" t="n"/>
      <c r="E606" s="41" t="n"/>
      <c r="F606" s="41" t="n"/>
      <c r="G606" s="41" t="n"/>
      <c r="H606" s="41" t="n"/>
      <c r="I606" s="50" t="n"/>
      <c r="J606" s="42" t="n"/>
      <c r="K606" s="42" t="n"/>
      <c r="L606" s="43">
        <f>IF($B606="","",ROUND((N($J606)+N($K606))*نسبة_القيمة_المضافة,2))</f>
        <v/>
      </c>
      <c r="M606" s="42" t="n"/>
      <c r="N606" s="42" t="n"/>
      <c r="O606" s="43">
        <f>IF($B606="","",N($J606)+N($K606)+N($L606)-N($M606)+N($N606))</f>
        <v/>
      </c>
      <c r="P606" s="42" t="n"/>
      <c r="Q606" s="43">
        <f>IF($B606="","",N($O606)-N($P606))</f>
        <v/>
      </c>
      <c r="R606" s="42" t="n"/>
      <c r="S606" s="42" t="n"/>
      <c r="T606" s="42" t="n"/>
      <c r="U606" s="43">
        <f>IF($B606="","",N($J606)-N($R606)-N($T606))</f>
        <v/>
      </c>
      <c r="V606" s="42" t="n"/>
    </row>
    <row r="607">
      <c r="A607" s="39">
        <f>IF($B607="","",COUNTA($B$4:$B607))</f>
        <v/>
      </c>
      <c r="B607" s="45" t="n"/>
      <c r="C607" s="46" t="n"/>
      <c r="D607" s="46" t="n"/>
      <c r="E607" s="46" t="n"/>
      <c r="F607" s="46" t="n"/>
      <c r="G607" s="46" t="n"/>
      <c r="H607" s="46" t="n"/>
      <c r="I607" s="51" t="n"/>
      <c r="J607" s="47" t="n"/>
      <c r="K607" s="47" t="n"/>
      <c r="L607" s="43">
        <f>IF($B607="","",ROUND((N($J607)+N($K607))*نسبة_القيمة_المضافة,2))</f>
        <v/>
      </c>
      <c r="M607" s="47" t="n"/>
      <c r="N607" s="47" t="n"/>
      <c r="O607" s="43">
        <f>IF($B607="","",N($J607)+N($K607)+N($L607)-N($M607)+N($N607))</f>
        <v/>
      </c>
      <c r="P607" s="47" t="n"/>
      <c r="Q607" s="43">
        <f>IF($B607="","",N($O607)-N($P607))</f>
        <v/>
      </c>
      <c r="R607" s="47" t="n"/>
      <c r="S607" s="47" t="n"/>
      <c r="T607" s="47" t="n"/>
      <c r="U607" s="43">
        <f>IF($B607="","",N($J607)-N($R607)-N($T607))</f>
        <v/>
      </c>
      <c r="V607" s="47" t="n"/>
    </row>
    <row r="608">
      <c r="A608" s="39">
        <f>IF($B608="","",COUNTA($B$4:$B608))</f>
        <v/>
      </c>
      <c r="B608" s="40" t="n"/>
      <c r="C608" s="41" t="n"/>
      <c r="D608" s="41" t="n"/>
      <c r="E608" s="41" t="n"/>
      <c r="F608" s="41" t="n"/>
      <c r="G608" s="41" t="n"/>
      <c r="H608" s="41" t="n"/>
      <c r="I608" s="50" t="n"/>
      <c r="J608" s="42" t="n"/>
      <c r="K608" s="42" t="n"/>
      <c r="L608" s="43">
        <f>IF($B608="","",ROUND((N($J608)+N($K608))*نسبة_القيمة_المضافة,2))</f>
        <v/>
      </c>
      <c r="M608" s="42" t="n"/>
      <c r="N608" s="42" t="n"/>
      <c r="O608" s="43">
        <f>IF($B608="","",N($J608)+N($K608)+N($L608)-N($M608)+N($N608))</f>
        <v/>
      </c>
      <c r="P608" s="42" t="n"/>
      <c r="Q608" s="43">
        <f>IF($B608="","",N($O608)-N($P608))</f>
        <v/>
      </c>
      <c r="R608" s="42" t="n"/>
      <c r="S608" s="42" t="n"/>
      <c r="T608" s="42" t="n"/>
      <c r="U608" s="43">
        <f>IF($B608="","",N($J608)-N($R608)-N($T608))</f>
        <v/>
      </c>
      <c r="V608" s="42" t="n"/>
    </row>
    <row r="609">
      <c r="A609" s="39">
        <f>IF($B609="","",COUNTA($B$4:$B609))</f>
        <v/>
      </c>
      <c r="B609" s="45" t="n"/>
      <c r="C609" s="46" t="n"/>
      <c r="D609" s="46" t="n"/>
      <c r="E609" s="46" t="n"/>
      <c r="F609" s="46" t="n"/>
      <c r="G609" s="46" t="n"/>
      <c r="H609" s="46" t="n"/>
      <c r="I609" s="51" t="n"/>
      <c r="J609" s="47" t="n"/>
      <c r="K609" s="47" t="n"/>
      <c r="L609" s="43">
        <f>IF($B609="","",ROUND((N($J609)+N($K609))*نسبة_القيمة_المضافة,2))</f>
        <v/>
      </c>
      <c r="M609" s="47" t="n"/>
      <c r="N609" s="47" t="n"/>
      <c r="O609" s="43">
        <f>IF($B609="","",N($J609)+N($K609)+N($L609)-N($M609)+N($N609))</f>
        <v/>
      </c>
      <c r="P609" s="47" t="n"/>
      <c r="Q609" s="43">
        <f>IF($B609="","",N($O609)-N($P609))</f>
        <v/>
      </c>
      <c r="R609" s="47" t="n"/>
      <c r="S609" s="47" t="n"/>
      <c r="T609" s="47" t="n"/>
      <c r="U609" s="43">
        <f>IF($B609="","",N($J609)-N($R609)-N($T609))</f>
        <v/>
      </c>
      <c r="V609" s="47" t="n"/>
    </row>
    <row r="610">
      <c r="A610" s="39">
        <f>IF($B610="","",COUNTA($B$4:$B610))</f>
        <v/>
      </c>
      <c r="B610" s="40" t="n"/>
      <c r="C610" s="41" t="n"/>
      <c r="D610" s="41" t="n"/>
      <c r="E610" s="41" t="n"/>
      <c r="F610" s="41" t="n"/>
      <c r="G610" s="41" t="n"/>
      <c r="H610" s="41" t="n"/>
      <c r="I610" s="50" t="n"/>
      <c r="J610" s="42" t="n"/>
      <c r="K610" s="42" t="n"/>
      <c r="L610" s="43">
        <f>IF($B610="","",ROUND((N($J610)+N($K610))*نسبة_القيمة_المضافة,2))</f>
        <v/>
      </c>
      <c r="M610" s="42" t="n"/>
      <c r="N610" s="42" t="n"/>
      <c r="O610" s="43">
        <f>IF($B610="","",N($J610)+N($K610)+N($L610)-N($M610)+N($N610))</f>
        <v/>
      </c>
      <c r="P610" s="42" t="n"/>
      <c r="Q610" s="43">
        <f>IF($B610="","",N($O610)-N($P610))</f>
        <v/>
      </c>
      <c r="R610" s="42" t="n"/>
      <c r="S610" s="42" t="n"/>
      <c r="T610" s="42" t="n"/>
      <c r="U610" s="43">
        <f>IF($B610="","",N($J610)-N($R610)-N($T610))</f>
        <v/>
      </c>
      <c r="V610" s="42" t="n"/>
    </row>
    <row r="611">
      <c r="A611" s="39">
        <f>IF($B611="","",COUNTA($B$4:$B611))</f>
        <v/>
      </c>
      <c r="B611" s="45" t="n"/>
      <c r="C611" s="46" t="n"/>
      <c r="D611" s="46" t="n"/>
      <c r="E611" s="46" t="n"/>
      <c r="F611" s="46" t="n"/>
      <c r="G611" s="46" t="n"/>
      <c r="H611" s="46" t="n"/>
      <c r="I611" s="51" t="n"/>
      <c r="J611" s="47" t="n"/>
      <c r="K611" s="47" t="n"/>
      <c r="L611" s="43">
        <f>IF($B611="","",ROUND((N($J611)+N($K611))*نسبة_القيمة_المضافة,2))</f>
        <v/>
      </c>
      <c r="M611" s="47" t="n"/>
      <c r="N611" s="47" t="n"/>
      <c r="O611" s="43">
        <f>IF($B611="","",N($J611)+N($K611)+N($L611)-N($M611)+N($N611))</f>
        <v/>
      </c>
      <c r="P611" s="47" t="n"/>
      <c r="Q611" s="43">
        <f>IF($B611="","",N($O611)-N($P611))</f>
        <v/>
      </c>
      <c r="R611" s="47" t="n"/>
      <c r="S611" s="47" t="n"/>
      <c r="T611" s="47" t="n"/>
      <c r="U611" s="43">
        <f>IF($B611="","",N($J611)-N($R611)-N($T611))</f>
        <v/>
      </c>
      <c r="V611" s="47" t="n"/>
    </row>
    <row r="612">
      <c r="A612" s="39">
        <f>IF($B612="","",COUNTA($B$4:$B612))</f>
        <v/>
      </c>
      <c r="B612" s="40" t="n"/>
      <c r="C612" s="41" t="n"/>
      <c r="D612" s="41" t="n"/>
      <c r="E612" s="41" t="n"/>
      <c r="F612" s="41" t="n"/>
      <c r="G612" s="41" t="n"/>
      <c r="H612" s="41" t="n"/>
      <c r="I612" s="50" t="n"/>
      <c r="J612" s="42" t="n"/>
      <c r="K612" s="42" t="n"/>
      <c r="L612" s="43">
        <f>IF($B612="","",ROUND((N($J612)+N($K612))*نسبة_القيمة_المضافة,2))</f>
        <v/>
      </c>
      <c r="M612" s="42" t="n"/>
      <c r="N612" s="42" t="n"/>
      <c r="O612" s="43">
        <f>IF($B612="","",N($J612)+N($K612)+N($L612)-N($M612)+N($N612))</f>
        <v/>
      </c>
      <c r="P612" s="42" t="n"/>
      <c r="Q612" s="43">
        <f>IF($B612="","",N($O612)-N($P612))</f>
        <v/>
      </c>
      <c r="R612" s="42" t="n"/>
      <c r="S612" s="42" t="n"/>
      <c r="T612" s="42" t="n"/>
      <c r="U612" s="43">
        <f>IF($B612="","",N($J612)-N($R612)-N($T612))</f>
        <v/>
      </c>
      <c r="V612" s="42" t="n"/>
    </row>
    <row r="613">
      <c r="A613" s="39">
        <f>IF($B613="","",COUNTA($B$4:$B613))</f>
        <v/>
      </c>
      <c r="B613" s="45" t="n"/>
      <c r="C613" s="46" t="n"/>
      <c r="D613" s="46" t="n"/>
      <c r="E613" s="46" t="n"/>
      <c r="F613" s="46" t="n"/>
      <c r="G613" s="46" t="n"/>
      <c r="H613" s="46" t="n"/>
      <c r="I613" s="51" t="n"/>
      <c r="J613" s="47" t="n"/>
      <c r="K613" s="47" t="n"/>
      <c r="L613" s="43">
        <f>IF($B613="","",ROUND((N($J613)+N($K613))*نسبة_القيمة_المضافة,2))</f>
        <v/>
      </c>
      <c r="M613" s="47" t="n"/>
      <c r="N613" s="47" t="n"/>
      <c r="O613" s="43">
        <f>IF($B613="","",N($J613)+N($K613)+N($L613)-N($M613)+N($N613))</f>
        <v/>
      </c>
      <c r="P613" s="47" t="n"/>
      <c r="Q613" s="43">
        <f>IF($B613="","",N($O613)-N($P613))</f>
        <v/>
      </c>
      <c r="R613" s="47" t="n"/>
      <c r="S613" s="47" t="n"/>
      <c r="T613" s="47" t="n"/>
      <c r="U613" s="43">
        <f>IF($B613="","",N($J613)-N($R613)-N($T613))</f>
        <v/>
      </c>
      <c r="V613" s="47" t="n"/>
    </row>
    <row r="614">
      <c r="A614" s="39">
        <f>IF($B614="","",COUNTA($B$4:$B614))</f>
        <v/>
      </c>
      <c r="B614" s="40" t="n"/>
      <c r="C614" s="41" t="n"/>
      <c r="D614" s="41" t="n"/>
      <c r="E614" s="41" t="n"/>
      <c r="F614" s="41" t="n"/>
      <c r="G614" s="41" t="n"/>
      <c r="H614" s="41" t="n"/>
      <c r="I614" s="50" t="n"/>
      <c r="J614" s="42" t="n"/>
      <c r="K614" s="42" t="n"/>
      <c r="L614" s="43">
        <f>IF($B614="","",ROUND((N($J614)+N($K614))*نسبة_القيمة_المضافة,2))</f>
        <v/>
      </c>
      <c r="M614" s="42" t="n"/>
      <c r="N614" s="42" t="n"/>
      <c r="O614" s="43">
        <f>IF($B614="","",N($J614)+N($K614)+N($L614)-N($M614)+N($N614))</f>
        <v/>
      </c>
      <c r="P614" s="42" t="n"/>
      <c r="Q614" s="43">
        <f>IF($B614="","",N($O614)-N($P614))</f>
        <v/>
      </c>
      <c r="R614" s="42" t="n"/>
      <c r="S614" s="42" t="n"/>
      <c r="T614" s="42" t="n"/>
      <c r="U614" s="43">
        <f>IF($B614="","",N($J614)-N($R614)-N($T614))</f>
        <v/>
      </c>
      <c r="V614" s="42" t="n"/>
    </row>
    <row r="615">
      <c r="A615" s="39">
        <f>IF($B615="","",COUNTA($B$4:$B615))</f>
        <v/>
      </c>
      <c r="B615" s="45" t="n"/>
      <c r="C615" s="46" t="n"/>
      <c r="D615" s="46" t="n"/>
      <c r="E615" s="46" t="n"/>
      <c r="F615" s="46" t="n"/>
      <c r="G615" s="46" t="n"/>
      <c r="H615" s="46" t="n"/>
      <c r="I615" s="51" t="n"/>
      <c r="J615" s="47" t="n"/>
      <c r="K615" s="47" t="n"/>
      <c r="L615" s="43">
        <f>IF($B615="","",ROUND((N($J615)+N($K615))*نسبة_القيمة_المضافة,2))</f>
        <v/>
      </c>
      <c r="M615" s="47" t="n"/>
      <c r="N615" s="47" t="n"/>
      <c r="O615" s="43">
        <f>IF($B615="","",N($J615)+N($K615)+N($L615)-N($M615)+N($N615))</f>
        <v/>
      </c>
      <c r="P615" s="47" t="n"/>
      <c r="Q615" s="43">
        <f>IF($B615="","",N($O615)-N($P615))</f>
        <v/>
      </c>
      <c r="R615" s="47" t="n"/>
      <c r="S615" s="47" t="n"/>
      <c r="T615" s="47" t="n"/>
      <c r="U615" s="43">
        <f>IF($B615="","",N($J615)-N($R615)-N($T615))</f>
        <v/>
      </c>
      <c r="V615" s="47" t="n"/>
    </row>
    <row r="616">
      <c r="A616" s="39">
        <f>IF($B616="","",COUNTA($B$4:$B616))</f>
        <v/>
      </c>
      <c r="B616" s="40" t="n"/>
      <c r="C616" s="41" t="n"/>
      <c r="D616" s="41" t="n"/>
      <c r="E616" s="41" t="n"/>
      <c r="F616" s="41" t="n"/>
      <c r="G616" s="41" t="n"/>
      <c r="H616" s="41" t="n"/>
      <c r="I616" s="50" t="n"/>
      <c r="J616" s="42" t="n"/>
      <c r="K616" s="42" t="n"/>
      <c r="L616" s="43">
        <f>IF($B616="","",ROUND((N($J616)+N($K616))*نسبة_القيمة_المضافة,2))</f>
        <v/>
      </c>
      <c r="M616" s="42" t="n"/>
      <c r="N616" s="42" t="n"/>
      <c r="O616" s="43">
        <f>IF($B616="","",N($J616)+N($K616)+N($L616)-N($M616)+N($N616))</f>
        <v/>
      </c>
      <c r="P616" s="42" t="n"/>
      <c r="Q616" s="43">
        <f>IF($B616="","",N($O616)-N($P616))</f>
        <v/>
      </c>
      <c r="R616" s="42" t="n"/>
      <c r="S616" s="42" t="n"/>
      <c r="T616" s="42" t="n"/>
      <c r="U616" s="43">
        <f>IF($B616="","",N($J616)-N($R616)-N($T616))</f>
        <v/>
      </c>
      <c r="V616" s="42" t="n"/>
    </row>
    <row r="617">
      <c r="A617" s="39">
        <f>IF($B617="","",COUNTA($B$4:$B617))</f>
        <v/>
      </c>
      <c r="B617" s="45" t="n"/>
      <c r="C617" s="46" t="n"/>
      <c r="D617" s="46" t="n"/>
      <c r="E617" s="46" t="n"/>
      <c r="F617" s="46" t="n"/>
      <c r="G617" s="46" t="n"/>
      <c r="H617" s="46" t="n"/>
      <c r="I617" s="51" t="n"/>
      <c r="J617" s="47" t="n"/>
      <c r="K617" s="47" t="n"/>
      <c r="L617" s="43">
        <f>IF($B617="","",ROUND((N($J617)+N($K617))*نسبة_القيمة_المضافة,2))</f>
        <v/>
      </c>
      <c r="M617" s="47" t="n"/>
      <c r="N617" s="47" t="n"/>
      <c r="O617" s="43">
        <f>IF($B617="","",N($J617)+N($K617)+N($L617)-N($M617)+N($N617))</f>
        <v/>
      </c>
      <c r="P617" s="47" t="n"/>
      <c r="Q617" s="43">
        <f>IF($B617="","",N($O617)-N($P617))</f>
        <v/>
      </c>
      <c r="R617" s="47" t="n"/>
      <c r="S617" s="47" t="n"/>
      <c r="T617" s="47" t="n"/>
      <c r="U617" s="43">
        <f>IF($B617="","",N($J617)-N($R617)-N($T617))</f>
        <v/>
      </c>
      <c r="V617" s="47" t="n"/>
    </row>
    <row r="618">
      <c r="A618" s="39">
        <f>IF($B618="","",COUNTA($B$4:$B618))</f>
        <v/>
      </c>
      <c r="B618" s="40" t="n"/>
      <c r="C618" s="41" t="n"/>
      <c r="D618" s="41" t="n"/>
      <c r="E618" s="41" t="n"/>
      <c r="F618" s="41" t="n"/>
      <c r="G618" s="41" t="n"/>
      <c r="H618" s="41" t="n"/>
      <c r="I618" s="50" t="n"/>
      <c r="J618" s="42" t="n"/>
      <c r="K618" s="42" t="n"/>
      <c r="L618" s="43">
        <f>IF($B618="","",ROUND((N($J618)+N($K618))*نسبة_القيمة_المضافة,2))</f>
        <v/>
      </c>
      <c r="M618" s="42" t="n"/>
      <c r="N618" s="42" t="n"/>
      <c r="O618" s="43">
        <f>IF($B618="","",N($J618)+N($K618)+N($L618)-N($M618)+N($N618))</f>
        <v/>
      </c>
      <c r="P618" s="42" t="n"/>
      <c r="Q618" s="43">
        <f>IF($B618="","",N($O618)-N($P618))</f>
        <v/>
      </c>
      <c r="R618" s="42" t="n"/>
      <c r="S618" s="42" t="n"/>
      <c r="T618" s="42" t="n"/>
      <c r="U618" s="43">
        <f>IF($B618="","",N($J618)-N($R618)-N($T618))</f>
        <v/>
      </c>
      <c r="V618" s="42" t="n"/>
    </row>
    <row r="619">
      <c r="A619" s="39">
        <f>IF($B619="","",COUNTA($B$4:$B619))</f>
        <v/>
      </c>
      <c r="B619" s="45" t="n"/>
      <c r="C619" s="46" t="n"/>
      <c r="D619" s="46" t="n"/>
      <c r="E619" s="46" t="n"/>
      <c r="F619" s="46" t="n"/>
      <c r="G619" s="46" t="n"/>
      <c r="H619" s="46" t="n"/>
      <c r="I619" s="51" t="n"/>
      <c r="J619" s="47" t="n"/>
      <c r="K619" s="47" t="n"/>
      <c r="L619" s="43">
        <f>IF($B619="","",ROUND((N($J619)+N($K619))*نسبة_القيمة_المضافة,2))</f>
        <v/>
      </c>
      <c r="M619" s="47" t="n"/>
      <c r="N619" s="47" t="n"/>
      <c r="O619" s="43">
        <f>IF($B619="","",N($J619)+N($K619)+N($L619)-N($M619)+N($N619))</f>
        <v/>
      </c>
      <c r="P619" s="47" t="n"/>
      <c r="Q619" s="43">
        <f>IF($B619="","",N($O619)-N($P619))</f>
        <v/>
      </c>
      <c r="R619" s="47" t="n"/>
      <c r="S619" s="47" t="n"/>
      <c r="T619" s="47" t="n"/>
      <c r="U619" s="43">
        <f>IF($B619="","",N($J619)-N($R619)-N($T619))</f>
        <v/>
      </c>
      <c r="V619" s="47" t="n"/>
    </row>
    <row r="620">
      <c r="A620" s="39">
        <f>IF($B620="","",COUNTA($B$4:$B620))</f>
        <v/>
      </c>
      <c r="B620" s="40" t="n"/>
      <c r="C620" s="41" t="n"/>
      <c r="D620" s="41" t="n"/>
      <c r="E620" s="41" t="n"/>
      <c r="F620" s="41" t="n"/>
      <c r="G620" s="41" t="n"/>
      <c r="H620" s="41" t="n"/>
      <c r="I620" s="50" t="n"/>
      <c r="J620" s="42" t="n"/>
      <c r="K620" s="42" t="n"/>
      <c r="L620" s="43">
        <f>IF($B620="","",ROUND((N($J620)+N($K620))*نسبة_القيمة_المضافة,2))</f>
        <v/>
      </c>
      <c r="M620" s="42" t="n"/>
      <c r="N620" s="42" t="n"/>
      <c r="O620" s="43">
        <f>IF($B620="","",N($J620)+N($K620)+N($L620)-N($M620)+N($N620))</f>
        <v/>
      </c>
      <c r="P620" s="42" t="n"/>
      <c r="Q620" s="43">
        <f>IF($B620="","",N($O620)-N($P620))</f>
        <v/>
      </c>
      <c r="R620" s="42" t="n"/>
      <c r="S620" s="42" t="n"/>
      <c r="T620" s="42" t="n"/>
      <c r="U620" s="43">
        <f>IF($B620="","",N($J620)-N($R620)-N($T620))</f>
        <v/>
      </c>
      <c r="V620" s="42" t="n"/>
    </row>
    <row r="621">
      <c r="A621" s="39">
        <f>IF($B621="","",COUNTA($B$4:$B621))</f>
        <v/>
      </c>
      <c r="B621" s="45" t="n"/>
      <c r="C621" s="46" t="n"/>
      <c r="D621" s="46" t="n"/>
      <c r="E621" s="46" t="n"/>
      <c r="F621" s="46" t="n"/>
      <c r="G621" s="46" t="n"/>
      <c r="H621" s="46" t="n"/>
      <c r="I621" s="51" t="n"/>
      <c r="J621" s="47" t="n"/>
      <c r="K621" s="47" t="n"/>
      <c r="L621" s="43">
        <f>IF($B621="","",ROUND((N($J621)+N($K621))*نسبة_القيمة_المضافة,2))</f>
        <v/>
      </c>
      <c r="M621" s="47" t="n"/>
      <c r="N621" s="47" t="n"/>
      <c r="O621" s="43">
        <f>IF($B621="","",N($J621)+N($K621)+N($L621)-N($M621)+N($N621))</f>
        <v/>
      </c>
      <c r="P621" s="47" t="n"/>
      <c r="Q621" s="43">
        <f>IF($B621="","",N($O621)-N($P621))</f>
        <v/>
      </c>
      <c r="R621" s="47" t="n"/>
      <c r="S621" s="47" t="n"/>
      <c r="T621" s="47" t="n"/>
      <c r="U621" s="43">
        <f>IF($B621="","",N($J621)-N($R621)-N($T621))</f>
        <v/>
      </c>
      <c r="V621" s="47" t="n"/>
    </row>
    <row r="622">
      <c r="A622" s="39">
        <f>IF($B622="","",COUNTA($B$4:$B622))</f>
        <v/>
      </c>
      <c r="B622" s="40" t="n"/>
      <c r="C622" s="41" t="n"/>
      <c r="D622" s="41" t="n"/>
      <c r="E622" s="41" t="n"/>
      <c r="F622" s="41" t="n"/>
      <c r="G622" s="41" t="n"/>
      <c r="H622" s="41" t="n"/>
      <c r="I622" s="50" t="n"/>
      <c r="J622" s="42" t="n"/>
      <c r="K622" s="42" t="n"/>
      <c r="L622" s="43">
        <f>IF($B622="","",ROUND((N($J622)+N($K622))*نسبة_القيمة_المضافة,2))</f>
        <v/>
      </c>
      <c r="M622" s="42" t="n"/>
      <c r="N622" s="42" t="n"/>
      <c r="O622" s="43">
        <f>IF($B622="","",N($J622)+N($K622)+N($L622)-N($M622)+N($N622))</f>
        <v/>
      </c>
      <c r="P622" s="42" t="n"/>
      <c r="Q622" s="43">
        <f>IF($B622="","",N($O622)-N($P622))</f>
        <v/>
      </c>
      <c r="R622" s="42" t="n"/>
      <c r="S622" s="42" t="n"/>
      <c r="T622" s="42" t="n"/>
      <c r="U622" s="43">
        <f>IF($B622="","",N($J622)-N($R622)-N($T622))</f>
        <v/>
      </c>
      <c r="V622" s="42" t="n"/>
    </row>
    <row r="623">
      <c r="A623" s="39">
        <f>IF($B623="","",COUNTA($B$4:$B623))</f>
        <v/>
      </c>
      <c r="B623" s="45" t="n"/>
      <c r="C623" s="46" t="n"/>
      <c r="D623" s="46" t="n"/>
      <c r="E623" s="46" t="n"/>
      <c r="F623" s="46" t="n"/>
      <c r="G623" s="46" t="n"/>
      <c r="H623" s="46" t="n"/>
      <c r="I623" s="51" t="n"/>
      <c r="J623" s="47" t="n"/>
      <c r="K623" s="47" t="n"/>
      <c r="L623" s="43">
        <f>IF($B623="","",ROUND((N($J623)+N($K623))*نسبة_القيمة_المضافة,2))</f>
        <v/>
      </c>
      <c r="M623" s="47" t="n"/>
      <c r="N623" s="47" t="n"/>
      <c r="O623" s="43">
        <f>IF($B623="","",N($J623)+N($K623)+N($L623)-N($M623)+N($N623))</f>
        <v/>
      </c>
      <c r="P623" s="47" t="n"/>
      <c r="Q623" s="43">
        <f>IF($B623="","",N($O623)-N($P623))</f>
        <v/>
      </c>
      <c r="R623" s="47" t="n"/>
      <c r="S623" s="47" t="n"/>
      <c r="T623" s="47" t="n"/>
      <c r="U623" s="43">
        <f>IF($B623="","",N($J623)-N($R623)-N($T623))</f>
        <v/>
      </c>
      <c r="V623" s="47" t="n"/>
    </row>
    <row r="624">
      <c r="A624" s="39">
        <f>IF($B624="","",COUNTA($B$4:$B624))</f>
        <v/>
      </c>
      <c r="B624" s="40" t="n"/>
      <c r="C624" s="41" t="n"/>
      <c r="D624" s="41" t="n"/>
      <c r="E624" s="41" t="n"/>
      <c r="F624" s="41" t="n"/>
      <c r="G624" s="41" t="n"/>
      <c r="H624" s="41" t="n"/>
      <c r="I624" s="50" t="n"/>
      <c r="J624" s="42" t="n"/>
      <c r="K624" s="42" t="n"/>
      <c r="L624" s="43">
        <f>IF($B624="","",ROUND((N($J624)+N($K624))*نسبة_القيمة_المضافة,2))</f>
        <v/>
      </c>
      <c r="M624" s="42" t="n"/>
      <c r="N624" s="42" t="n"/>
      <c r="O624" s="43">
        <f>IF($B624="","",N($J624)+N($K624)+N($L624)-N($M624)+N($N624))</f>
        <v/>
      </c>
      <c r="P624" s="42" t="n"/>
      <c r="Q624" s="43">
        <f>IF($B624="","",N($O624)-N($P624))</f>
        <v/>
      </c>
      <c r="R624" s="42" t="n"/>
      <c r="S624" s="42" t="n"/>
      <c r="T624" s="42" t="n"/>
      <c r="U624" s="43">
        <f>IF($B624="","",N($J624)-N($R624)-N($T624))</f>
        <v/>
      </c>
      <c r="V624" s="42" t="n"/>
    </row>
    <row r="625">
      <c r="A625" s="39">
        <f>IF($B625="","",COUNTA($B$4:$B625))</f>
        <v/>
      </c>
      <c r="B625" s="45" t="n"/>
      <c r="C625" s="46" t="n"/>
      <c r="D625" s="46" t="n"/>
      <c r="E625" s="46" t="n"/>
      <c r="F625" s="46" t="n"/>
      <c r="G625" s="46" t="n"/>
      <c r="H625" s="46" t="n"/>
      <c r="I625" s="51" t="n"/>
      <c r="J625" s="47" t="n"/>
      <c r="K625" s="47" t="n"/>
      <c r="L625" s="43">
        <f>IF($B625="","",ROUND((N($J625)+N($K625))*نسبة_القيمة_المضافة,2))</f>
        <v/>
      </c>
      <c r="M625" s="47" t="n"/>
      <c r="N625" s="47" t="n"/>
      <c r="O625" s="43">
        <f>IF($B625="","",N($J625)+N($K625)+N($L625)-N($M625)+N($N625))</f>
        <v/>
      </c>
      <c r="P625" s="47" t="n"/>
      <c r="Q625" s="43">
        <f>IF($B625="","",N($O625)-N($P625))</f>
        <v/>
      </c>
      <c r="R625" s="47" t="n"/>
      <c r="S625" s="47" t="n"/>
      <c r="T625" s="47" t="n"/>
      <c r="U625" s="43">
        <f>IF($B625="","",N($J625)-N($R625)-N($T625))</f>
        <v/>
      </c>
      <c r="V625" s="47" t="n"/>
    </row>
    <row r="626">
      <c r="A626" s="39">
        <f>IF($B626="","",COUNTA($B$4:$B626))</f>
        <v/>
      </c>
      <c r="B626" s="40" t="n"/>
      <c r="C626" s="41" t="n"/>
      <c r="D626" s="41" t="n"/>
      <c r="E626" s="41" t="n"/>
      <c r="F626" s="41" t="n"/>
      <c r="G626" s="41" t="n"/>
      <c r="H626" s="41" t="n"/>
      <c r="I626" s="50" t="n"/>
      <c r="J626" s="42" t="n"/>
      <c r="K626" s="42" t="n"/>
      <c r="L626" s="43">
        <f>IF($B626="","",ROUND((N($J626)+N($K626))*نسبة_القيمة_المضافة,2))</f>
        <v/>
      </c>
      <c r="M626" s="42" t="n"/>
      <c r="N626" s="42" t="n"/>
      <c r="O626" s="43">
        <f>IF($B626="","",N($J626)+N($K626)+N($L626)-N($M626)+N($N626))</f>
        <v/>
      </c>
      <c r="P626" s="42" t="n"/>
      <c r="Q626" s="43">
        <f>IF($B626="","",N($O626)-N($P626))</f>
        <v/>
      </c>
      <c r="R626" s="42" t="n"/>
      <c r="S626" s="42" t="n"/>
      <c r="T626" s="42" t="n"/>
      <c r="U626" s="43">
        <f>IF($B626="","",N($J626)-N($R626)-N($T626))</f>
        <v/>
      </c>
      <c r="V626" s="42" t="n"/>
    </row>
    <row r="627">
      <c r="A627" s="39">
        <f>IF($B627="","",COUNTA($B$4:$B627))</f>
        <v/>
      </c>
      <c r="B627" s="45" t="n"/>
      <c r="C627" s="46" t="n"/>
      <c r="D627" s="46" t="n"/>
      <c r="E627" s="46" t="n"/>
      <c r="F627" s="46" t="n"/>
      <c r="G627" s="46" t="n"/>
      <c r="H627" s="46" t="n"/>
      <c r="I627" s="51" t="n"/>
      <c r="J627" s="47" t="n"/>
      <c r="K627" s="47" t="n"/>
      <c r="L627" s="43">
        <f>IF($B627="","",ROUND((N($J627)+N($K627))*نسبة_القيمة_المضافة,2))</f>
        <v/>
      </c>
      <c r="M627" s="47" t="n"/>
      <c r="N627" s="47" t="n"/>
      <c r="O627" s="43">
        <f>IF($B627="","",N($J627)+N($K627)+N($L627)-N($M627)+N($N627))</f>
        <v/>
      </c>
      <c r="P627" s="47" t="n"/>
      <c r="Q627" s="43">
        <f>IF($B627="","",N($O627)-N($P627))</f>
        <v/>
      </c>
      <c r="R627" s="47" t="n"/>
      <c r="S627" s="47" t="n"/>
      <c r="T627" s="47" t="n"/>
      <c r="U627" s="43">
        <f>IF($B627="","",N($J627)-N($R627)-N($T627))</f>
        <v/>
      </c>
      <c r="V627" s="47" t="n"/>
    </row>
    <row r="628">
      <c r="A628" s="39">
        <f>IF($B628="","",COUNTA($B$4:$B628))</f>
        <v/>
      </c>
      <c r="B628" s="40" t="n"/>
      <c r="C628" s="41" t="n"/>
      <c r="D628" s="41" t="n"/>
      <c r="E628" s="41" t="n"/>
      <c r="F628" s="41" t="n"/>
      <c r="G628" s="41" t="n"/>
      <c r="H628" s="41" t="n"/>
      <c r="I628" s="50" t="n"/>
      <c r="J628" s="42" t="n"/>
      <c r="K628" s="42" t="n"/>
      <c r="L628" s="43">
        <f>IF($B628="","",ROUND((N($J628)+N($K628))*نسبة_القيمة_المضافة,2))</f>
        <v/>
      </c>
      <c r="M628" s="42" t="n"/>
      <c r="N628" s="42" t="n"/>
      <c r="O628" s="43">
        <f>IF($B628="","",N($J628)+N($K628)+N($L628)-N($M628)+N($N628))</f>
        <v/>
      </c>
      <c r="P628" s="42" t="n"/>
      <c r="Q628" s="43">
        <f>IF($B628="","",N($O628)-N($P628))</f>
        <v/>
      </c>
      <c r="R628" s="42" t="n"/>
      <c r="S628" s="42" t="n"/>
      <c r="T628" s="42" t="n"/>
      <c r="U628" s="43">
        <f>IF($B628="","",N($J628)-N($R628)-N($T628))</f>
        <v/>
      </c>
      <c r="V628" s="42" t="n"/>
    </row>
    <row r="629">
      <c r="A629" s="39">
        <f>IF($B629="","",COUNTA($B$4:$B629))</f>
        <v/>
      </c>
      <c r="B629" s="45" t="n"/>
      <c r="C629" s="46" t="n"/>
      <c r="D629" s="46" t="n"/>
      <c r="E629" s="46" t="n"/>
      <c r="F629" s="46" t="n"/>
      <c r="G629" s="46" t="n"/>
      <c r="H629" s="46" t="n"/>
      <c r="I629" s="51" t="n"/>
      <c r="J629" s="47" t="n"/>
      <c r="K629" s="47" t="n"/>
      <c r="L629" s="43">
        <f>IF($B629="","",ROUND((N($J629)+N($K629))*نسبة_القيمة_المضافة,2))</f>
        <v/>
      </c>
      <c r="M629" s="47" t="n"/>
      <c r="N629" s="47" t="n"/>
      <c r="O629" s="43">
        <f>IF($B629="","",N($J629)+N($K629)+N($L629)-N($M629)+N($N629))</f>
        <v/>
      </c>
      <c r="P629" s="47" t="n"/>
      <c r="Q629" s="43">
        <f>IF($B629="","",N($O629)-N($P629))</f>
        <v/>
      </c>
      <c r="R629" s="47" t="n"/>
      <c r="S629" s="47" t="n"/>
      <c r="T629" s="47" t="n"/>
      <c r="U629" s="43">
        <f>IF($B629="","",N($J629)-N($R629)-N($T629))</f>
        <v/>
      </c>
      <c r="V629" s="47" t="n"/>
    </row>
    <row r="630">
      <c r="A630" s="39">
        <f>IF($B630="","",COUNTA($B$4:$B630))</f>
        <v/>
      </c>
      <c r="B630" s="40" t="n"/>
      <c r="C630" s="41" t="n"/>
      <c r="D630" s="41" t="n"/>
      <c r="E630" s="41" t="n"/>
      <c r="F630" s="41" t="n"/>
      <c r="G630" s="41" t="n"/>
      <c r="H630" s="41" t="n"/>
      <c r="I630" s="50" t="n"/>
      <c r="J630" s="42" t="n"/>
      <c r="K630" s="42" t="n"/>
      <c r="L630" s="43">
        <f>IF($B630="","",ROUND((N($J630)+N($K630))*نسبة_القيمة_المضافة,2))</f>
        <v/>
      </c>
      <c r="M630" s="42" t="n"/>
      <c r="N630" s="42" t="n"/>
      <c r="O630" s="43">
        <f>IF($B630="","",N($J630)+N($K630)+N($L630)-N($M630)+N($N630))</f>
        <v/>
      </c>
      <c r="P630" s="42" t="n"/>
      <c r="Q630" s="43">
        <f>IF($B630="","",N($O630)-N($P630))</f>
        <v/>
      </c>
      <c r="R630" s="42" t="n"/>
      <c r="S630" s="42" t="n"/>
      <c r="T630" s="42" t="n"/>
      <c r="U630" s="43">
        <f>IF($B630="","",N($J630)-N($R630)-N($T630))</f>
        <v/>
      </c>
      <c r="V630" s="42" t="n"/>
    </row>
    <row r="631">
      <c r="A631" s="39">
        <f>IF($B631="","",COUNTA($B$4:$B631))</f>
        <v/>
      </c>
      <c r="B631" s="45" t="n"/>
      <c r="C631" s="46" t="n"/>
      <c r="D631" s="46" t="n"/>
      <c r="E631" s="46" t="n"/>
      <c r="F631" s="46" t="n"/>
      <c r="G631" s="46" t="n"/>
      <c r="H631" s="46" t="n"/>
      <c r="I631" s="51" t="n"/>
      <c r="J631" s="47" t="n"/>
      <c r="K631" s="47" t="n"/>
      <c r="L631" s="43">
        <f>IF($B631="","",ROUND((N($J631)+N($K631))*نسبة_القيمة_المضافة,2))</f>
        <v/>
      </c>
      <c r="M631" s="47" t="n"/>
      <c r="N631" s="47" t="n"/>
      <c r="O631" s="43">
        <f>IF($B631="","",N($J631)+N($K631)+N($L631)-N($M631)+N($N631))</f>
        <v/>
      </c>
      <c r="P631" s="47" t="n"/>
      <c r="Q631" s="43">
        <f>IF($B631="","",N($O631)-N($P631))</f>
        <v/>
      </c>
      <c r="R631" s="47" t="n"/>
      <c r="S631" s="47" t="n"/>
      <c r="T631" s="47" t="n"/>
      <c r="U631" s="43">
        <f>IF($B631="","",N($J631)-N($R631)-N($T631))</f>
        <v/>
      </c>
      <c r="V631" s="47" t="n"/>
    </row>
    <row r="632">
      <c r="A632" s="39">
        <f>IF($B632="","",COUNTA($B$4:$B632))</f>
        <v/>
      </c>
      <c r="B632" s="40" t="n"/>
      <c r="C632" s="41" t="n"/>
      <c r="D632" s="41" t="n"/>
      <c r="E632" s="41" t="n"/>
      <c r="F632" s="41" t="n"/>
      <c r="G632" s="41" t="n"/>
      <c r="H632" s="41" t="n"/>
      <c r="I632" s="50" t="n"/>
      <c r="J632" s="42" t="n"/>
      <c r="K632" s="42" t="n"/>
      <c r="L632" s="43">
        <f>IF($B632="","",ROUND((N($J632)+N($K632))*نسبة_القيمة_المضافة,2))</f>
        <v/>
      </c>
      <c r="M632" s="42" t="n"/>
      <c r="N632" s="42" t="n"/>
      <c r="O632" s="43">
        <f>IF($B632="","",N($J632)+N($K632)+N($L632)-N($M632)+N($N632))</f>
        <v/>
      </c>
      <c r="P632" s="42" t="n"/>
      <c r="Q632" s="43">
        <f>IF($B632="","",N($O632)-N($P632))</f>
        <v/>
      </c>
      <c r="R632" s="42" t="n"/>
      <c r="S632" s="42" t="n"/>
      <c r="T632" s="42" t="n"/>
      <c r="U632" s="43">
        <f>IF($B632="","",N($J632)-N($R632)-N($T632))</f>
        <v/>
      </c>
      <c r="V632" s="42" t="n"/>
    </row>
    <row r="633">
      <c r="A633" s="39">
        <f>IF($B633="","",COUNTA($B$4:$B633))</f>
        <v/>
      </c>
      <c r="B633" s="45" t="n"/>
      <c r="C633" s="46" t="n"/>
      <c r="D633" s="46" t="n"/>
      <c r="E633" s="46" t="n"/>
      <c r="F633" s="46" t="n"/>
      <c r="G633" s="46" t="n"/>
      <c r="H633" s="46" t="n"/>
      <c r="I633" s="51" t="n"/>
      <c r="J633" s="47" t="n"/>
      <c r="K633" s="47" t="n"/>
      <c r="L633" s="43">
        <f>IF($B633="","",ROUND((N($J633)+N($K633))*نسبة_القيمة_المضافة,2))</f>
        <v/>
      </c>
      <c r="M633" s="47" t="n"/>
      <c r="N633" s="47" t="n"/>
      <c r="O633" s="43">
        <f>IF($B633="","",N($J633)+N($K633)+N($L633)-N($M633)+N($N633))</f>
        <v/>
      </c>
      <c r="P633" s="47" t="n"/>
      <c r="Q633" s="43">
        <f>IF($B633="","",N($O633)-N($P633))</f>
        <v/>
      </c>
      <c r="R633" s="47" t="n"/>
      <c r="S633" s="47" t="n"/>
      <c r="T633" s="47" t="n"/>
      <c r="U633" s="43">
        <f>IF($B633="","",N($J633)-N($R633)-N($T633))</f>
        <v/>
      </c>
      <c r="V633" s="47" t="n"/>
    </row>
    <row r="634">
      <c r="A634" s="39">
        <f>IF($B634="","",COUNTA($B$4:$B634))</f>
        <v/>
      </c>
      <c r="B634" s="40" t="n"/>
      <c r="C634" s="41" t="n"/>
      <c r="D634" s="41" t="n"/>
      <c r="E634" s="41" t="n"/>
      <c r="F634" s="41" t="n"/>
      <c r="G634" s="41" t="n"/>
      <c r="H634" s="41" t="n"/>
      <c r="I634" s="50" t="n"/>
      <c r="J634" s="42" t="n"/>
      <c r="K634" s="42" t="n"/>
      <c r="L634" s="43">
        <f>IF($B634="","",ROUND((N($J634)+N($K634))*نسبة_القيمة_المضافة,2))</f>
        <v/>
      </c>
      <c r="M634" s="42" t="n"/>
      <c r="N634" s="42" t="n"/>
      <c r="O634" s="43">
        <f>IF($B634="","",N($J634)+N($K634)+N($L634)-N($M634)+N($N634))</f>
        <v/>
      </c>
      <c r="P634" s="42" t="n"/>
      <c r="Q634" s="43">
        <f>IF($B634="","",N($O634)-N($P634))</f>
        <v/>
      </c>
      <c r="R634" s="42" t="n"/>
      <c r="S634" s="42" t="n"/>
      <c r="T634" s="42" t="n"/>
      <c r="U634" s="43">
        <f>IF($B634="","",N($J634)-N($R634)-N($T634))</f>
        <v/>
      </c>
      <c r="V634" s="42" t="n"/>
    </row>
    <row r="635">
      <c r="A635" s="39">
        <f>IF($B635="","",COUNTA($B$4:$B635))</f>
        <v/>
      </c>
      <c r="B635" s="45" t="n"/>
      <c r="C635" s="46" t="n"/>
      <c r="D635" s="46" t="n"/>
      <c r="E635" s="46" t="n"/>
      <c r="F635" s="46" t="n"/>
      <c r="G635" s="46" t="n"/>
      <c r="H635" s="46" t="n"/>
      <c r="I635" s="51" t="n"/>
      <c r="J635" s="47" t="n"/>
      <c r="K635" s="47" t="n"/>
      <c r="L635" s="43">
        <f>IF($B635="","",ROUND((N($J635)+N($K635))*نسبة_القيمة_المضافة,2))</f>
        <v/>
      </c>
      <c r="M635" s="47" t="n"/>
      <c r="N635" s="47" t="n"/>
      <c r="O635" s="43">
        <f>IF($B635="","",N($J635)+N($K635)+N($L635)-N($M635)+N($N635))</f>
        <v/>
      </c>
      <c r="P635" s="47" t="n"/>
      <c r="Q635" s="43">
        <f>IF($B635="","",N($O635)-N($P635))</f>
        <v/>
      </c>
      <c r="R635" s="47" t="n"/>
      <c r="S635" s="47" t="n"/>
      <c r="T635" s="47" t="n"/>
      <c r="U635" s="43">
        <f>IF($B635="","",N($J635)-N($R635)-N($T635))</f>
        <v/>
      </c>
      <c r="V635" s="47" t="n"/>
    </row>
    <row r="636">
      <c r="A636" s="39">
        <f>IF($B636="","",COUNTA($B$4:$B636))</f>
        <v/>
      </c>
      <c r="B636" s="40" t="n"/>
      <c r="C636" s="41" t="n"/>
      <c r="D636" s="41" t="n"/>
      <c r="E636" s="41" t="n"/>
      <c r="F636" s="41" t="n"/>
      <c r="G636" s="41" t="n"/>
      <c r="H636" s="41" t="n"/>
      <c r="I636" s="50" t="n"/>
      <c r="J636" s="42" t="n"/>
      <c r="K636" s="42" t="n"/>
      <c r="L636" s="43">
        <f>IF($B636="","",ROUND((N($J636)+N($K636))*نسبة_القيمة_المضافة,2))</f>
        <v/>
      </c>
      <c r="M636" s="42" t="n"/>
      <c r="N636" s="42" t="n"/>
      <c r="O636" s="43">
        <f>IF($B636="","",N($J636)+N($K636)+N($L636)-N($M636)+N($N636))</f>
        <v/>
      </c>
      <c r="P636" s="42" t="n"/>
      <c r="Q636" s="43">
        <f>IF($B636="","",N($O636)-N($P636))</f>
        <v/>
      </c>
      <c r="R636" s="42" t="n"/>
      <c r="S636" s="42" t="n"/>
      <c r="T636" s="42" t="n"/>
      <c r="U636" s="43">
        <f>IF($B636="","",N($J636)-N($R636)-N($T636))</f>
        <v/>
      </c>
      <c r="V636" s="42" t="n"/>
    </row>
    <row r="637">
      <c r="A637" s="39">
        <f>IF($B637="","",COUNTA($B$4:$B637))</f>
        <v/>
      </c>
      <c r="B637" s="45" t="n"/>
      <c r="C637" s="46" t="n"/>
      <c r="D637" s="46" t="n"/>
      <c r="E637" s="46" t="n"/>
      <c r="F637" s="46" t="n"/>
      <c r="G637" s="46" t="n"/>
      <c r="H637" s="46" t="n"/>
      <c r="I637" s="51" t="n"/>
      <c r="J637" s="47" t="n"/>
      <c r="K637" s="47" t="n"/>
      <c r="L637" s="43">
        <f>IF($B637="","",ROUND((N($J637)+N($K637))*نسبة_القيمة_المضافة,2))</f>
        <v/>
      </c>
      <c r="M637" s="47" t="n"/>
      <c r="N637" s="47" t="n"/>
      <c r="O637" s="43">
        <f>IF($B637="","",N($J637)+N($K637)+N($L637)-N($M637)+N($N637))</f>
        <v/>
      </c>
      <c r="P637" s="47" t="n"/>
      <c r="Q637" s="43">
        <f>IF($B637="","",N($O637)-N($P637))</f>
        <v/>
      </c>
      <c r="R637" s="47" t="n"/>
      <c r="S637" s="47" t="n"/>
      <c r="T637" s="47" t="n"/>
      <c r="U637" s="43">
        <f>IF($B637="","",N($J637)-N($R637)-N($T637))</f>
        <v/>
      </c>
      <c r="V637" s="47" t="n"/>
    </row>
    <row r="638">
      <c r="A638" s="39">
        <f>IF($B638="","",COUNTA($B$4:$B638))</f>
        <v/>
      </c>
      <c r="B638" s="40" t="n"/>
      <c r="C638" s="41" t="n"/>
      <c r="D638" s="41" t="n"/>
      <c r="E638" s="41" t="n"/>
      <c r="F638" s="41" t="n"/>
      <c r="G638" s="41" t="n"/>
      <c r="H638" s="41" t="n"/>
      <c r="I638" s="50" t="n"/>
      <c r="J638" s="42" t="n"/>
      <c r="K638" s="42" t="n"/>
      <c r="L638" s="43">
        <f>IF($B638="","",ROUND((N($J638)+N($K638))*نسبة_القيمة_المضافة,2))</f>
        <v/>
      </c>
      <c r="M638" s="42" t="n"/>
      <c r="N638" s="42" t="n"/>
      <c r="O638" s="43">
        <f>IF($B638="","",N($J638)+N($K638)+N($L638)-N($M638)+N($N638))</f>
        <v/>
      </c>
      <c r="P638" s="42" t="n"/>
      <c r="Q638" s="43">
        <f>IF($B638="","",N($O638)-N($P638))</f>
        <v/>
      </c>
      <c r="R638" s="42" t="n"/>
      <c r="S638" s="42" t="n"/>
      <c r="T638" s="42" t="n"/>
      <c r="U638" s="43">
        <f>IF($B638="","",N($J638)-N($R638)-N($T638))</f>
        <v/>
      </c>
      <c r="V638" s="42" t="n"/>
    </row>
    <row r="639">
      <c r="A639" s="39">
        <f>IF($B639="","",COUNTA($B$4:$B639))</f>
        <v/>
      </c>
      <c r="B639" s="45" t="n"/>
      <c r="C639" s="46" t="n"/>
      <c r="D639" s="46" t="n"/>
      <c r="E639" s="46" t="n"/>
      <c r="F639" s="46" t="n"/>
      <c r="G639" s="46" t="n"/>
      <c r="H639" s="46" t="n"/>
      <c r="I639" s="51" t="n"/>
      <c r="J639" s="47" t="n"/>
      <c r="K639" s="47" t="n"/>
      <c r="L639" s="43">
        <f>IF($B639="","",ROUND((N($J639)+N($K639))*نسبة_القيمة_المضافة,2))</f>
        <v/>
      </c>
      <c r="M639" s="47" t="n"/>
      <c r="N639" s="47" t="n"/>
      <c r="O639" s="43">
        <f>IF($B639="","",N($J639)+N($K639)+N($L639)-N($M639)+N($N639))</f>
        <v/>
      </c>
      <c r="P639" s="47" t="n"/>
      <c r="Q639" s="43">
        <f>IF($B639="","",N($O639)-N($P639))</f>
        <v/>
      </c>
      <c r="R639" s="47" t="n"/>
      <c r="S639" s="47" t="n"/>
      <c r="T639" s="47" t="n"/>
      <c r="U639" s="43">
        <f>IF($B639="","",N($J639)-N($R639)-N($T639))</f>
        <v/>
      </c>
      <c r="V639" s="47" t="n"/>
    </row>
    <row r="640">
      <c r="A640" s="39">
        <f>IF($B640="","",COUNTA($B$4:$B640))</f>
        <v/>
      </c>
      <c r="B640" s="40" t="n"/>
      <c r="C640" s="41" t="n"/>
      <c r="D640" s="41" t="n"/>
      <c r="E640" s="41" t="n"/>
      <c r="F640" s="41" t="n"/>
      <c r="G640" s="41" t="n"/>
      <c r="H640" s="41" t="n"/>
      <c r="I640" s="50" t="n"/>
      <c r="J640" s="42" t="n"/>
      <c r="K640" s="42" t="n"/>
      <c r="L640" s="43">
        <f>IF($B640="","",ROUND((N($J640)+N($K640))*نسبة_القيمة_المضافة,2))</f>
        <v/>
      </c>
      <c r="M640" s="42" t="n"/>
      <c r="N640" s="42" t="n"/>
      <c r="O640" s="43">
        <f>IF($B640="","",N($J640)+N($K640)+N($L640)-N($M640)+N($N640))</f>
        <v/>
      </c>
      <c r="P640" s="42" t="n"/>
      <c r="Q640" s="43">
        <f>IF($B640="","",N($O640)-N($P640))</f>
        <v/>
      </c>
      <c r="R640" s="42" t="n"/>
      <c r="S640" s="42" t="n"/>
      <c r="T640" s="42" t="n"/>
      <c r="U640" s="43">
        <f>IF($B640="","",N($J640)-N($R640)-N($T640))</f>
        <v/>
      </c>
      <c r="V640" s="42" t="n"/>
    </row>
    <row r="641">
      <c r="A641" s="39">
        <f>IF($B641="","",COUNTA($B$4:$B641))</f>
        <v/>
      </c>
      <c r="B641" s="45" t="n"/>
      <c r="C641" s="46" t="n"/>
      <c r="D641" s="46" t="n"/>
      <c r="E641" s="46" t="n"/>
      <c r="F641" s="46" t="n"/>
      <c r="G641" s="46" t="n"/>
      <c r="H641" s="46" t="n"/>
      <c r="I641" s="51" t="n"/>
      <c r="J641" s="47" t="n"/>
      <c r="K641" s="47" t="n"/>
      <c r="L641" s="43">
        <f>IF($B641="","",ROUND((N($J641)+N($K641))*نسبة_القيمة_المضافة,2))</f>
        <v/>
      </c>
      <c r="M641" s="47" t="n"/>
      <c r="N641" s="47" t="n"/>
      <c r="O641" s="43">
        <f>IF($B641="","",N($J641)+N($K641)+N($L641)-N($M641)+N($N641))</f>
        <v/>
      </c>
      <c r="P641" s="47" t="n"/>
      <c r="Q641" s="43">
        <f>IF($B641="","",N($O641)-N($P641))</f>
        <v/>
      </c>
      <c r="R641" s="47" t="n"/>
      <c r="S641" s="47" t="n"/>
      <c r="T641" s="47" t="n"/>
      <c r="U641" s="43">
        <f>IF($B641="","",N($J641)-N($R641)-N($T641))</f>
        <v/>
      </c>
      <c r="V641" s="47" t="n"/>
    </row>
    <row r="642">
      <c r="A642" s="39">
        <f>IF($B642="","",COUNTA($B$4:$B642))</f>
        <v/>
      </c>
      <c r="B642" s="40" t="n"/>
      <c r="C642" s="41" t="n"/>
      <c r="D642" s="41" t="n"/>
      <c r="E642" s="41" t="n"/>
      <c r="F642" s="41" t="n"/>
      <c r="G642" s="41" t="n"/>
      <c r="H642" s="41" t="n"/>
      <c r="I642" s="50" t="n"/>
      <c r="J642" s="42" t="n"/>
      <c r="K642" s="42" t="n"/>
      <c r="L642" s="43">
        <f>IF($B642="","",ROUND((N($J642)+N($K642))*نسبة_القيمة_المضافة,2))</f>
        <v/>
      </c>
      <c r="M642" s="42" t="n"/>
      <c r="N642" s="42" t="n"/>
      <c r="O642" s="43">
        <f>IF($B642="","",N($J642)+N($K642)+N($L642)-N($M642)+N($N642))</f>
        <v/>
      </c>
      <c r="P642" s="42" t="n"/>
      <c r="Q642" s="43">
        <f>IF($B642="","",N($O642)-N($P642))</f>
        <v/>
      </c>
      <c r="R642" s="42" t="n"/>
      <c r="S642" s="42" t="n"/>
      <c r="T642" s="42" t="n"/>
      <c r="U642" s="43">
        <f>IF($B642="","",N($J642)-N($R642)-N($T642))</f>
        <v/>
      </c>
      <c r="V642" s="42" t="n"/>
    </row>
    <row r="643">
      <c r="A643" s="39">
        <f>IF($B643="","",COUNTA($B$4:$B643))</f>
        <v/>
      </c>
      <c r="B643" s="45" t="n"/>
      <c r="C643" s="46" t="n"/>
      <c r="D643" s="46" t="n"/>
      <c r="E643" s="46" t="n"/>
      <c r="F643" s="46" t="n"/>
      <c r="G643" s="46" t="n"/>
      <c r="H643" s="46" t="n"/>
      <c r="I643" s="51" t="n"/>
      <c r="J643" s="47" t="n"/>
      <c r="K643" s="47" t="n"/>
      <c r="L643" s="43">
        <f>IF($B643="","",ROUND((N($J643)+N($K643))*نسبة_القيمة_المضافة,2))</f>
        <v/>
      </c>
      <c r="M643" s="47" t="n"/>
      <c r="N643" s="47" t="n"/>
      <c r="O643" s="43">
        <f>IF($B643="","",N($J643)+N($K643)+N($L643)-N($M643)+N($N643))</f>
        <v/>
      </c>
      <c r="P643" s="47" t="n"/>
      <c r="Q643" s="43">
        <f>IF($B643="","",N($O643)-N($P643))</f>
        <v/>
      </c>
      <c r="R643" s="47" t="n"/>
      <c r="S643" s="47" t="n"/>
      <c r="T643" s="47" t="n"/>
      <c r="U643" s="43">
        <f>IF($B643="","",N($J643)-N($R643)-N($T643))</f>
        <v/>
      </c>
      <c r="V643" s="47" t="n"/>
    </row>
    <row r="644">
      <c r="A644" s="39">
        <f>IF($B644="","",COUNTA($B$4:$B644))</f>
        <v/>
      </c>
      <c r="B644" s="40" t="n"/>
      <c r="C644" s="41" t="n"/>
      <c r="D644" s="41" t="n"/>
      <c r="E644" s="41" t="n"/>
      <c r="F644" s="41" t="n"/>
      <c r="G644" s="41" t="n"/>
      <c r="H644" s="41" t="n"/>
      <c r="I644" s="50" t="n"/>
      <c r="J644" s="42" t="n"/>
      <c r="K644" s="42" t="n"/>
      <c r="L644" s="43">
        <f>IF($B644="","",ROUND((N($J644)+N($K644))*نسبة_القيمة_المضافة,2))</f>
        <v/>
      </c>
      <c r="M644" s="42" t="n"/>
      <c r="N644" s="42" t="n"/>
      <c r="O644" s="43">
        <f>IF($B644="","",N($J644)+N($K644)+N($L644)-N($M644)+N($N644))</f>
        <v/>
      </c>
      <c r="P644" s="42" t="n"/>
      <c r="Q644" s="43">
        <f>IF($B644="","",N($O644)-N($P644))</f>
        <v/>
      </c>
      <c r="R644" s="42" t="n"/>
      <c r="S644" s="42" t="n"/>
      <c r="T644" s="42" t="n"/>
      <c r="U644" s="43">
        <f>IF($B644="","",N($J644)-N($R644)-N($T644))</f>
        <v/>
      </c>
      <c r="V644" s="42" t="n"/>
    </row>
    <row r="645">
      <c r="A645" s="39">
        <f>IF($B645="","",COUNTA($B$4:$B645))</f>
        <v/>
      </c>
      <c r="B645" s="45" t="n"/>
      <c r="C645" s="46" t="n"/>
      <c r="D645" s="46" t="n"/>
      <c r="E645" s="46" t="n"/>
      <c r="F645" s="46" t="n"/>
      <c r="G645" s="46" t="n"/>
      <c r="H645" s="46" t="n"/>
      <c r="I645" s="51" t="n"/>
      <c r="J645" s="47" t="n"/>
      <c r="K645" s="47" t="n"/>
      <c r="L645" s="43">
        <f>IF($B645="","",ROUND((N($J645)+N($K645))*نسبة_القيمة_المضافة,2))</f>
        <v/>
      </c>
      <c r="M645" s="47" t="n"/>
      <c r="N645" s="47" t="n"/>
      <c r="O645" s="43">
        <f>IF($B645="","",N($J645)+N($K645)+N($L645)-N($M645)+N($N645))</f>
        <v/>
      </c>
      <c r="P645" s="47" t="n"/>
      <c r="Q645" s="43">
        <f>IF($B645="","",N($O645)-N($P645))</f>
        <v/>
      </c>
      <c r="R645" s="47" t="n"/>
      <c r="S645" s="47" t="n"/>
      <c r="T645" s="47" t="n"/>
      <c r="U645" s="43">
        <f>IF($B645="","",N($J645)-N($R645)-N($T645))</f>
        <v/>
      </c>
      <c r="V645" s="47" t="n"/>
    </row>
    <row r="646">
      <c r="A646" s="39">
        <f>IF($B646="","",COUNTA($B$4:$B646))</f>
        <v/>
      </c>
      <c r="B646" s="40" t="n"/>
      <c r="C646" s="41" t="n"/>
      <c r="D646" s="41" t="n"/>
      <c r="E646" s="41" t="n"/>
      <c r="F646" s="41" t="n"/>
      <c r="G646" s="41" t="n"/>
      <c r="H646" s="41" t="n"/>
      <c r="I646" s="50" t="n"/>
      <c r="J646" s="42" t="n"/>
      <c r="K646" s="42" t="n"/>
      <c r="L646" s="43">
        <f>IF($B646="","",ROUND((N($J646)+N($K646))*نسبة_القيمة_المضافة,2))</f>
        <v/>
      </c>
      <c r="M646" s="42" t="n"/>
      <c r="N646" s="42" t="n"/>
      <c r="O646" s="43">
        <f>IF($B646="","",N($J646)+N($K646)+N($L646)-N($M646)+N($N646))</f>
        <v/>
      </c>
      <c r="P646" s="42" t="n"/>
      <c r="Q646" s="43">
        <f>IF($B646="","",N($O646)-N($P646))</f>
        <v/>
      </c>
      <c r="R646" s="42" t="n"/>
      <c r="S646" s="42" t="n"/>
      <c r="T646" s="42" t="n"/>
      <c r="U646" s="43">
        <f>IF($B646="","",N($J646)-N($R646)-N($T646))</f>
        <v/>
      </c>
      <c r="V646" s="42" t="n"/>
    </row>
    <row r="647">
      <c r="A647" s="39">
        <f>IF($B647="","",COUNTA($B$4:$B647))</f>
        <v/>
      </c>
      <c r="B647" s="45" t="n"/>
      <c r="C647" s="46" t="n"/>
      <c r="D647" s="46" t="n"/>
      <c r="E647" s="46" t="n"/>
      <c r="F647" s="46" t="n"/>
      <c r="G647" s="46" t="n"/>
      <c r="H647" s="46" t="n"/>
      <c r="I647" s="51" t="n"/>
      <c r="J647" s="47" t="n"/>
      <c r="K647" s="47" t="n"/>
      <c r="L647" s="43">
        <f>IF($B647="","",ROUND((N($J647)+N($K647))*نسبة_القيمة_المضافة,2))</f>
        <v/>
      </c>
      <c r="M647" s="47" t="n"/>
      <c r="N647" s="47" t="n"/>
      <c r="O647" s="43">
        <f>IF($B647="","",N($J647)+N($K647)+N($L647)-N($M647)+N($N647))</f>
        <v/>
      </c>
      <c r="P647" s="47" t="n"/>
      <c r="Q647" s="43">
        <f>IF($B647="","",N($O647)-N($P647))</f>
        <v/>
      </c>
      <c r="R647" s="47" t="n"/>
      <c r="S647" s="47" t="n"/>
      <c r="T647" s="47" t="n"/>
      <c r="U647" s="43">
        <f>IF($B647="","",N($J647)-N($R647)-N($T647))</f>
        <v/>
      </c>
      <c r="V647" s="47" t="n"/>
    </row>
    <row r="648">
      <c r="A648" s="39">
        <f>IF($B648="","",COUNTA($B$4:$B648))</f>
        <v/>
      </c>
      <c r="B648" s="40" t="n"/>
      <c r="C648" s="41" t="n"/>
      <c r="D648" s="41" t="n"/>
      <c r="E648" s="41" t="n"/>
      <c r="F648" s="41" t="n"/>
      <c r="G648" s="41" t="n"/>
      <c r="H648" s="41" t="n"/>
      <c r="I648" s="50" t="n"/>
      <c r="J648" s="42" t="n"/>
      <c r="K648" s="42" t="n"/>
      <c r="L648" s="43">
        <f>IF($B648="","",ROUND((N($J648)+N($K648))*نسبة_القيمة_المضافة,2))</f>
        <v/>
      </c>
      <c r="M648" s="42" t="n"/>
      <c r="N648" s="42" t="n"/>
      <c r="O648" s="43">
        <f>IF($B648="","",N($J648)+N($K648)+N($L648)-N($M648)+N($N648))</f>
        <v/>
      </c>
      <c r="P648" s="42" t="n"/>
      <c r="Q648" s="43">
        <f>IF($B648="","",N($O648)-N($P648))</f>
        <v/>
      </c>
      <c r="R648" s="42" t="n"/>
      <c r="S648" s="42" t="n"/>
      <c r="T648" s="42" t="n"/>
      <c r="U648" s="43">
        <f>IF($B648="","",N($J648)-N($R648)-N($T648))</f>
        <v/>
      </c>
      <c r="V648" s="42" t="n"/>
    </row>
    <row r="649">
      <c r="A649" s="39">
        <f>IF($B649="","",COUNTA($B$4:$B649))</f>
        <v/>
      </c>
      <c r="B649" s="45" t="n"/>
      <c r="C649" s="46" t="n"/>
      <c r="D649" s="46" t="n"/>
      <c r="E649" s="46" t="n"/>
      <c r="F649" s="46" t="n"/>
      <c r="G649" s="46" t="n"/>
      <c r="H649" s="46" t="n"/>
      <c r="I649" s="51" t="n"/>
      <c r="J649" s="47" t="n"/>
      <c r="K649" s="47" t="n"/>
      <c r="L649" s="43">
        <f>IF($B649="","",ROUND((N($J649)+N($K649))*نسبة_القيمة_المضافة,2))</f>
        <v/>
      </c>
      <c r="M649" s="47" t="n"/>
      <c r="N649" s="47" t="n"/>
      <c r="O649" s="43">
        <f>IF($B649="","",N($J649)+N($K649)+N($L649)-N($M649)+N($N649))</f>
        <v/>
      </c>
      <c r="P649" s="47" t="n"/>
      <c r="Q649" s="43">
        <f>IF($B649="","",N($O649)-N($P649))</f>
        <v/>
      </c>
      <c r="R649" s="47" t="n"/>
      <c r="S649" s="47" t="n"/>
      <c r="T649" s="47" t="n"/>
      <c r="U649" s="43">
        <f>IF($B649="","",N($J649)-N($R649)-N($T649))</f>
        <v/>
      </c>
      <c r="V649" s="47" t="n"/>
    </row>
    <row r="650">
      <c r="A650" s="39">
        <f>IF($B650="","",COUNTA($B$4:$B650))</f>
        <v/>
      </c>
      <c r="B650" s="40" t="n"/>
      <c r="C650" s="41" t="n"/>
      <c r="D650" s="41" t="n"/>
      <c r="E650" s="41" t="n"/>
      <c r="F650" s="41" t="n"/>
      <c r="G650" s="41" t="n"/>
      <c r="H650" s="41" t="n"/>
      <c r="I650" s="50" t="n"/>
      <c r="J650" s="42" t="n"/>
      <c r="K650" s="42" t="n"/>
      <c r="L650" s="43">
        <f>IF($B650="","",ROUND((N($J650)+N($K650))*نسبة_القيمة_المضافة,2))</f>
        <v/>
      </c>
      <c r="M650" s="42" t="n"/>
      <c r="N650" s="42" t="n"/>
      <c r="O650" s="43">
        <f>IF($B650="","",N($J650)+N($K650)+N($L650)-N($M650)+N($N650))</f>
        <v/>
      </c>
      <c r="P650" s="42" t="n"/>
      <c r="Q650" s="43">
        <f>IF($B650="","",N($O650)-N($P650))</f>
        <v/>
      </c>
      <c r="R650" s="42" t="n"/>
      <c r="S650" s="42" t="n"/>
      <c r="T650" s="42" t="n"/>
      <c r="U650" s="43">
        <f>IF($B650="","",N($J650)-N($R650)-N($T650))</f>
        <v/>
      </c>
      <c r="V650" s="42" t="n"/>
    </row>
    <row r="651">
      <c r="A651" s="39">
        <f>IF($B651="","",COUNTA($B$4:$B651))</f>
        <v/>
      </c>
      <c r="B651" s="45" t="n"/>
      <c r="C651" s="46" t="n"/>
      <c r="D651" s="46" t="n"/>
      <c r="E651" s="46" t="n"/>
      <c r="F651" s="46" t="n"/>
      <c r="G651" s="46" t="n"/>
      <c r="H651" s="46" t="n"/>
      <c r="I651" s="51" t="n"/>
      <c r="J651" s="47" t="n"/>
      <c r="K651" s="47" t="n"/>
      <c r="L651" s="43">
        <f>IF($B651="","",ROUND((N($J651)+N($K651))*نسبة_القيمة_المضافة,2))</f>
        <v/>
      </c>
      <c r="M651" s="47" t="n"/>
      <c r="N651" s="47" t="n"/>
      <c r="O651" s="43">
        <f>IF($B651="","",N($J651)+N($K651)+N($L651)-N($M651)+N($N651))</f>
        <v/>
      </c>
      <c r="P651" s="47" t="n"/>
      <c r="Q651" s="43">
        <f>IF($B651="","",N($O651)-N($P651))</f>
        <v/>
      </c>
      <c r="R651" s="47" t="n"/>
      <c r="S651" s="47" t="n"/>
      <c r="T651" s="47" t="n"/>
      <c r="U651" s="43">
        <f>IF($B651="","",N($J651)-N($R651)-N($T651))</f>
        <v/>
      </c>
      <c r="V651" s="47" t="n"/>
    </row>
    <row r="652">
      <c r="A652" s="39">
        <f>IF($B652="","",COUNTA($B$4:$B652))</f>
        <v/>
      </c>
      <c r="B652" s="40" t="n"/>
      <c r="C652" s="41" t="n"/>
      <c r="D652" s="41" t="n"/>
      <c r="E652" s="41" t="n"/>
      <c r="F652" s="41" t="n"/>
      <c r="G652" s="41" t="n"/>
      <c r="H652" s="41" t="n"/>
      <c r="I652" s="50" t="n"/>
      <c r="J652" s="42" t="n"/>
      <c r="K652" s="42" t="n"/>
      <c r="L652" s="43">
        <f>IF($B652="","",ROUND((N($J652)+N($K652))*نسبة_القيمة_المضافة,2))</f>
        <v/>
      </c>
      <c r="M652" s="42" t="n"/>
      <c r="N652" s="42" t="n"/>
      <c r="O652" s="43">
        <f>IF($B652="","",N($J652)+N($K652)+N($L652)-N($M652)+N($N652))</f>
        <v/>
      </c>
      <c r="P652" s="42" t="n"/>
      <c r="Q652" s="43">
        <f>IF($B652="","",N($O652)-N($P652))</f>
        <v/>
      </c>
      <c r="R652" s="42" t="n"/>
      <c r="S652" s="42" t="n"/>
      <c r="T652" s="42" t="n"/>
      <c r="U652" s="43">
        <f>IF($B652="","",N($J652)-N($R652)-N($T652))</f>
        <v/>
      </c>
      <c r="V652" s="42" t="n"/>
    </row>
    <row r="653">
      <c r="A653" s="39">
        <f>IF($B653="","",COUNTA($B$4:$B653))</f>
        <v/>
      </c>
      <c r="B653" s="45" t="n"/>
      <c r="C653" s="46" t="n"/>
      <c r="D653" s="46" t="n"/>
      <c r="E653" s="46" t="n"/>
      <c r="F653" s="46" t="n"/>
      <c r="G653" s="46" t="n"/>
      <c r="H653" s="46" t="n"/>
      <c r="I653" s="51" t="n"/>
      <c r="J653" s="47" t="n"/>
      <c r="K653" s="47" t="n"/>
      <c r="L653" s="43">
        <f>IF($B653="","",ROUND((N($J653)+N($K653))*نسبة_القيمة_المضافة,2))</f>
        <v/>
      </c>
      <c r="M653" s="47" t="n"/>
      <c r="N653" s="47" t="n"/>
      <c r="O653" s="43">
        <f>IF($B653="","",N($J653)+N($K653)+N($L653)-N($M653)+N($N653))</f>
        <v/>
      </c>
      <c r="P653" s="47" t="n"/>
      <c r="Q653" s="43">
        <f>IF($B653="","",N($O653)-N($P653))</f>
        <v/>
      </c>
      <c r="R653" s="47" t="n"/>
      <c r="S653" s="47" t="n"/>
      <c r="T653" s="47" t="n"/>
      <c r="U653" s="43">
        <f>IF($B653="","",N($J653)-N($R653)-N($T653))</f>
        <v/>
      </c>
      <c r="V653" s="47" t="n"/>
    </row>
    <row r="654">
      <c r="A654" s="39">
        <f>IF($B654="","",COUNTA($B$4:$B654))</f>
        <v/>
      </c>
      <c r="B654" s="40" t="n"/>
      <c r="C654" s="41" t="n"/>
      <c r="D654" s="41" t="n"/>
      <c r="E654" s="41" t="n"/>
      <c r="F654" s="41" t="n"/>
      <c r="G654" s="41" t="n"/>
      <c r="H654" s="41" t="n"/>
      <c r="I654" s="50" t="n"/>
      <c r="J654" s="42" t="n"/>
      <c r="K654" s="42" t="n"/>
      <c r="L654" s="43">
        <f>IF($B654="","",ROUND((N($J654)+N($K654))*نسبة_القيمة_المضافة,2))</f>
        <v/>
      </c>
      <c r="M654" s="42" t="n"/>
      <c r="N654" s="42" t="n"/>
      <c r="O654" s="43">
        <f>IF($B654="","",N($J654)+N($K654)+N($L654)-N($M654)+N($N654))</f>
        <v/>
      </c>
      <c r="P654" s="42" t="n"/>
      <c r="Q654" s="43">
        <f>IF($B654="","",N($O654)-N($P654))</f>
        <v/>
      </c>
      <c r="R654" s="42" t="n"/>
      <c r="S654" s="42" t="n"/>
      <c r="T654" s="42" t="n"/>
      <c r="U654" s="43">
        <f>IF($B654="","",N($J654)-N($R654)-N($T654))</f>
        <v/>
      </c>
      <c r="V654" s="42" t="n"/>
    </row>
    <row r="655">
      <c r="A655" s="39">
        <f>IF($B655="","",COUNTA($B$4:$B655))</f>
        <v/>
      </c>
      <c r="B655" s="45" t="n"/>
      <c r="C655" s="46" t="n"/>
      <c r="D655" s="46" t="n"/>
      <c r="E655" s="46" t="n"/>
      <c r="F655" s="46" t="n"/>
      <c r="G655" s="46" t="n"/>
      <c r="H655" s="46" t="n"/>
      <c r="I655" s="51" t="n"/>
      <c r="J655" s="47" t="n"/>
      <c r="K655" s="47" t="n"/>
      <c r="L655" s="43">
        <f>IF($B655="","",ROUND((N($J655)+N($K655))*نسبة_القيمة_المضافة,2))</f>
        <v/>
      </c>
      <c r="M655" s="47" t="n"/>
      <c r="N655" s="47" t="n"/>
      <c r="O655" s="43">
        <f>IF($B655="","",N($J655)+N($K655)+N($L655)-N($M655)+N($N655))</f>
        <v/>
      </c>
      <c r="P655" s="47" t="n"/>
      <c r="Q655" s="43">
        <f>IF($B655="","",N($O655)-N($P655))</f>
        <v/>
      </c>
      <c r="R655" s="47" t="n"/>
      <c r="S655" s="47" t="n"/>
      <c r="T655" s="47" t="n"/>
      <c r="U655" s="43">
        <f>IF($B655="","",N($J655)-N($R655)-N($T655))</f>
        <v/>
      </c>
      <c r="V655" s="47" t="n"/>
    </row>
    <row r="656">
      <c r="A656" s="39">
        <f>IF($B656="","",COUNTA($B$4:$B656))</f>
        <v/>
      </c>
      <c r="B656" s="40" t="n"/>
      <c r="C656" s="41" t="n"/>
      <c r="D656" s="41" t="n"/>
      <c r="E656" s="41" t="n"/>
      <c r="F656" s="41" t="n"/>
      <c r="G656" s="41" t="n"/>
      <c r="H656" s="41" t="n"/>
      <c r="I656" s="50" t="n"/>
      <c r="J656" s="42" t="n"/>
      <c r="K656" s="42" t="n"/>
      <c r="L656" s="43">
        <f>IF($B656="","",ROUND((N($J656)+N($K656))*نسبة_القيمة_المضافة,2))</f>
        <v/>
      </c>
      <c r="M656" s="42" t="n"/>
      <c r="N656" s="42" t="n"/>
      <c r="O656" s="43">
        <f>IF($B656="","",N($J656)+N($K656)+N($L656)-N($M656)+N($N656))</f>
        <v/>
      </c>
      <c r="P656" s="42" t="n"/>
      <c r="Q656" s="43">
        <f>IF($B656="","",N($O656)-N($P656))</f>
        <v/>
      </c>
      <c r="R656" s="42" t="n"/>
      <c r="S656" s="42" t="n"/>
      <c r="T656" s="42" t="n"/>
      <c r="U656" s="43">
        <f>IF($B656="","",N($J656)-N($R656)-N($T656))</f>
        <v/>
      </c>
      <c r="V656" s="42" t="n"/>
    </row>
    <row r="657">
      <c r="A657" s="39">
        <f>IF($B657="","",COUNTA($B$4:$B657))</f>
        <v/>
      </c>
      <c r="B657" s="45" t="n"/>
      <c r="C657" s="46" t="n"/>
      <c r="D657" s="46" t="n"/>
      <c r="E657" s="46" t="n"/>
      <c r="F657" s="46" t="n"/>
      <c r="G657" s="46" t="n"/>
      <c r="H657" s="46" t="n"/>
      <c r="I657" s="51" t="n"/>
      <c r="J657" s="47" t="n"/>
      <c r="K657" s="47" t="n"/>
      <c r="L657" s="43">
        <f>IF($B657="","",ROUND((N($J657)+N($K657))*نسبة_القيمة_المضافة,2))</f>
        <v/>
      </c>
      <c r="M657" s="47" t="n"/>
      <c r="N657" s="47" t="n"/>
      <c r="O657" s="43">
        <f>IF($B657="","",N($J657)+N($K657)+N($L657)-N($M657)+N($N657))</f>
        <v/>
      </c>
      <c r="P657" s="47" t="n"/>
      <c r="Q657" s="43">
        <f>IF($B657="","",N($O657)-N($P657))</f>
        <v/>
      </c>
      <c r="R657" s="47" t="n"/>
      <c r="S657" s="47" t="n"/>
      <c r="T657" s="47" t="n"/>
      <c r="U657" s="43">
        <f>IF($B657="","",N($J657)-N($R657)-N($T657))</f>
        <v/>
      </c>
      <c r="V657" s="47" t="n"/>
    </row>
    <row r="658">
      <c r="A658" s="39">
        <f>IF($B658="","",COUNTA($B$4:$B658))</f>
        <v/>
      </c>
      <c r="B658" s="40" t="n"/>
      <c r="C658" s="41" t="n"/>
      <c r="D658" s="41" t="n"/>
      <c r="E658" s="41" t="n"/>
      <c r="F658" s="41" t="n"/>
      <c r="G658" s="41" t="n"/>
      <c r="H658" s="41" t="n"/>
      <c r="I658" s="50" t="n"/>
      <c r="J658" s="42" t="n"/>
      <c r="K658" s="42" t="n"/>
      <c r="L658" s="43">
        <f>IF($B658="","",ROUND((N($J658)+N($K658))*نسبة_القيمة_المضافة,2))</f>
        <v/>
      </c>
      <c r="M658" s="42" t="n"/>
      <c r="N658" s="42" t="n"/>
      <c r="O658" s="43">
        <f>IF($B658="","",N($J658)+N($K658)+N($L658)-N($M658)+N($N658))</f>
        <v/>
      </c>
      <c r="P658" s="42" t="n"/>
      <c r="Q658" s="43">
        <f>IF($B658="","",N($O658)-N($P658))</f>
        <v/>
      </c>
      <c r="R658" s="42" t="n"/>
      <c r="S658" s="42" t="n"/>
      <c r="T658" s="42" t="n"/>
      <c r="U658" s="43">
        <f>IF($B658="","",N($J658)-N($R658)-N($T658))</f>
        <v/>
      </c>
      <c r="V658" s="42" t="n"/>
    </row>
    <row r="659">
      <c r="A659" s="39">
        <f>IF($B659="","",COUNTA($B$4:$B659))</f>
        <v/>
      </c>
      <c r="B659" s="45" t="n"/>
      <c r="C659" s="46" t="n"/>
      <c r="D659" s="46" t="n"/>
      <c r="E659" s="46" t="n"/>
      <c r="F659" s="46" t="n"/>
      <c r="G659" s="46" t="n"/>
      <c r="H659" s="46" t="n"/>
      <c r="I659" s="51" t="n"/>
      <c r="J659" s="47" t="n"/>
      <c r="K659" s="47" t="n"/>
      <c r="L659" s="43">
        <f>IF($B659="","",ROUND((N($J659)+N($K659))*نسبة_القيمة_المضافة,2))</f>
        <v/>
      </c>
      <c r="M659" s="47" t="n"/>
      <c r="N659" s="47" t="n"/>
      <c r="O659" s="43">
        <f>IF($B659="","",N($J659)+N($K659)+N($L659)-N($M659)+N($N659))</f>
        <v/>
      </c>
      <c r="P659" s="47" t="n"/>
      <c r="Q659" s="43">
        <f>IF($B659="","",N($O659)-N($P659))</f>
        <v/>
      </c>
      <c r="R659" s="47" t="n"/>
      <c r="S659" s="47" t="n"/>
      <c r="T659" s="47" t="n"/>
      <c r="U659" s="43">
        <f>IF($B659="","",N($J659)-N($R659)-N($T659))</f>
        <v/>
      </c>
      <c r="V659" s="47" t="n"/>
    </row>
    <row r="660">
      <c r="A660" s="39">
        <f>IF($B660="","",COUNTA($B$4:$B660))</f>
        <v/>
      </c>
      <c r="B660" s="40" t="n"/>
      <c r="C660" s="41" t="n"/>
      <c r="D660" s="41" t="n"/>
      <c r="E660" s="41" t="n"/>
      <c r="F660" s="41" t="n"/>
      <c r="G660" s="41" t="n"/>
      <c r="H660" s="41" t="n"/>
      <c r="I660" s="50" t="n"/>
      <c r="J660" s="42" t="n"/>
      <c r="K660" s="42" t="n"/>
      <c r="L660" s="43">
        <f>IF($B660="","",ROUND((N($J660)+N($K660))*نسبة_القيمة_المضافة,2))</f>
        <v/>
      </c>
      <c r="M660" s="42" t="n"/>
      <c r="N660" s="42" t="n"/>
      <c r="O660" s="43">
        <f>IF($B660="","",N($J660)+N($K660)+N($L660)-N($M660)+N($N660))</f>
        <v/>
      </c>
      <c r="P660" s="42" t="n"/>
      <c r="Q660" s="43">
        <f>IF($B660="","",N($O660)-N($P660))</f>
        <v/>
      </c>
      <c r="R660" s="42" t="n"/>
      <c r="S660" s="42" t="n"/>
      <c r="T660" s="42" t="n"/>
      <c r="U660" s="43">
        <f>IF($B660="","",N($J660)-N($R660)-N($T660))</f>
        <v/>
      </c>
      <c r="V660" s="42" t="n"/>
    </row>
    <row r="661">
      <c r="A661" s="39">
        <f>IF($B661="","",COUNTA($B$4:$B661))</f>
        <v/>
      </c>
      <c r="B661" s="45" t="n"/>
      <c r="C661" s="46" t="n"/>
      <c r="D661" s="46" t="n"/>
      <c r="E661" s="46" t="n"/>
      <c r="F661" s="46" t="n"/>
      <c r="G661" s="46" t="n"/>
      <c r="H661" s="46" t="n"/>
      <c r="I661" s="51" t="n"/>
      <c r="J661" s="47" t="n"/>
      <c r="K661" s="47" t="n"/>
      <c r="L661" s="43">
        <f>IF($B661="","",ROUND((N($J661)+N($K661))*نسبة_القيمة_المضافة,2))</f>
        <v/>
      </c>
      <c r="M661" s="47" t="n"/>
      <c r="N661" s="47" t="n"/>
      <c r="O661" s="43">
        <f>IF($B661="","",N($J661)+N($K661)+N($L661)-N($M661)+N($N661))</f>
        <v/>
      </c>
      <c r="P661" s="47" t="n"/>
      <c r="Q661" s="43">
        <f>IF($B661="","",N($O661)-N($P661))</f>
        <v/>
      </c>
      <c r="R661" s="47" t="n"/>
      <c r="S661" s="47" t="n"/>
      <c r="T661" s="47" t="n"/>
      <c r="U661" s="43">
        <f>IF($B661="","",N($J661)-N($R661)-N($T661))</f>
        <v/>
      </c>
      <c r="V661" s="47" t="n"/>
    </row>
    <row r="662">
      <c r="A662" s="39">
        <f>IF($B662="","",COUNTA($B$4:$B662))</f>
        <v/>
      </c>
      <c r="B662" s="40" t="n"/>
      <c r="C662" s="41" t="n"/>
      <c r="D662" s="41" t="n"/>
      <c r="E662" s="41" t="n"/>
      <c r="F662" s="41" t="n"/>
      <c r="G662" s="41" t="n"/>
      <c r="H662" s="41" t="n"/>
      <c r="I662" s="50" t="n"/>
      <c r="J662" s="42" t="n"/>
      <c r="K662" s="42" t="n"/>
      <c r="L662" s="43">
        <f>IF($B662="","",ROUND((N($J662)+N($K662))*نسبة_القيمة_المضافة,2))</f>
        <v/>
      </c>
      <c r="M662" s="42" t="n"/>
      <c r="N662" s="42" t="n"/>
      <c r="O662" s="43">
        <f>IF($B662="","",N($J662)+N($K662)+N($L662)-N($M662)+N($N662))</f>
        <v/>
      </c>
      <c r="P662" s="42" t="n"/>
      <c r="Q662" s="43">
        <f>IF($B662="","",N($O662)-N($P662))</f>
        <v/>
      </c>
      <c r="R662" s="42" t="n"/>
      <c r="S662" s="42" t="n"/>
      <c r="T662" s="42" t="n"/>
      <c r="U662" s="43">
        <f>IF($B662="","",N($J662)-N($R662)-N($T662))</f>
        <v/>
      </c>
      <c r="V662" s="42" t="n"/>
    </row>
    <row r="663">
      <c r="A663" s="39">
        <f>IF($B663="","",COUNTA($B$4:$B663))</f>
        <v/>
      </c>
      <c r="B663" s="45" t="n"/>
      <c r="C663" s="46" t="n"/>
      <c r="D663" s="46" t="n"/>
      <c r="E663" s="46" t="n"/>
      <c r="F663" s="46" t="n"/>
      <c r="G663" s="46" t="n"/>
      <c r="H663" s="46" t="n"/>
      <c r="I663" s="51" t="n"/>
      <c r="J663" s="47" t="n"/>
      <c r="K663" s="47" t="n"/>
      <c r="L663" s="43">
        <f>IF($B663="","",ROUND((N($J663)+N($K663))*نسبة_القيمة_المضافة,2))</f>
        <v/>
      </c>
      <c r="M663" s="47" t="n"/>
      <c r="N663" s="47" t="n"/>
      <c r="O663" s="43">
        <f>IF($B663="","",N($J663)+N($K663)+N($L663)-N($M663)+N($N663))</f>
        <v/>
      </c>
      <c r="P663" s="47" t="n"/>
      <c r="Q663" s="43">
        <f>IF($B663="","",N($O663)-N($P663))</f>
        <v/>
      </c>
      <c r="R663" s="47" t="n"/>
      <c r="S663" s="47" t="n"/>
      <c r="T663" s="47" t="n"/>
      <c r="U663" s="43">
        <f>IF($B663="","",N($J663)-N($R663)-N($T663))</f>
        <v/>
      </c>
      <c r="V663" s="47" t="n"/>
    </row>
    <row r="664">
      <c r="A664" s="39">
        <f>IF($B664="","",COUNTA($B$4:$B664))</f>
        <v/>
      </c>
      <c r="B664" s="40" t="n"/>
      <c r="C664" s="41" t="n"/>
      <c r="D664" s="41" t="n"/>
      <c r="E664" s="41" t="n"/>
      <c r="F664" s="41" t="n"/>
      <c r="G664" s="41" t="n"/>
      <c r="H664" s="41" t="n"/>
      <c r="I664" s="50" t="n"/>
      <c r="J664" s="42" t="n"/>
      <c r="K664" s="42" t="n"/>
      <c r="L664" s="43">
        <f>IF($B664="","",ROUND((N($J664)+N($K664))*نسبة_القيمة_المضافة,2))</f>
        <v/>
      </c>
      <c r="M664" s="42" t="n"/>
      <c r="N664" s="42" t="n"/>
      <c r="O664" s="43">
        <f>IF($B664="","",N($J664)+N($K664)+N($L664)-N($M664)+N($N664))</f>
        <v/>
      </c>
      <c r="P664" s="42" t="n"/>
      <c r="Q664" s="43">
        <f>IF($B664="","",N($O664)-N($P664))</f>
        <v/>
      </c>
      <c r="R664" s="42" t="n"/>
      <c r="S664" s="42" t="n"/>
      <c r="T664" s="42" t="n"/>
      <c r="U664" s="43">
        <f>IF($B664="","",N($J664)-N($R664)-N($T664))</f>
        <v/>
      </c>
      <c r="V664" s="42" t="n"/>
    </row>
    <row r="665">
      <c r="A665" s="39">
        <f>IF($B665="","",COUNTA($B$4:$B665))</f>
        <v/>
      </c>
      <c r="B665" s="45" t="n"/>
      <c r="C665" s="46" t="n"/>
      <c r="D665" s="46" t="n"/>
      <c r="E665" s="46" t="n"/>
      <c r="F665" s="46" t="n"/>
      <c r="G665" s="46" t="n"/>
      <c r="H665" s="46" t="n"/>
      <c r="I665" s="51" t="n"/>
      <c r="J665" s="47" t="n"/>
      <c r="K665" s="47" t="n"/>
      <c r="L665" s="43">
        <f>IF($B665="","",ROUND((N($J665)+N($K665))*نسبة_القيمة_المضافة,2))</f>
        <v/>
      </c>
      <c r="M665" s="47" t="n"/>
      <c r="N665" s="47" t="n"/>
      <c r="O665" s="43">
        <f>IF($B665="","",N($J665)+N($K665)+N($L665)-N($M665)+N($N665))</f>
        <v/>
      </c>
      <c r="P665" s="47" t="n"/>
      <c r="Q665" s="43">
        <f>IF($B665="","",N($O665)-N($P665))</f>
        <v/>
      </c>
      <c r="R665" s="47" t="n"/>
      <c r="S665" s="47" t="n"/>
      <c r="T665" s="47" t="n"/>
      <c r="U665" s="43">
        <f>IF($B665="","",N($J665)-N($R665)-N($T665))</f>
        <v/>
      </c>
      <c r="V665" s="47" t="n"/>
    </row>
    <row r="666">
      <c r="A666" s="39">
        <f>IF($B666="","",COUNTA($B$4:$B666))</f>
        <v/>
      </c>
      <c r="B666" s="40" t="n"/>
      <c r="C666" s="41" t="n"/>
      <c r="D666" s="41" t="n"/>
      <c r="E666" s="41" t="n"/>
      <c r="F666" s="41" t="n"/>
      <c r="G666" s="41" t="n"/>
      <c r="H666" s="41" t="n"/>
      <c r="I666" s="50" t="n"/>
      <c r="J666" s="42" t="n"/>
      <c r="K666" s="42" t="n"/>
      <c r="L666" s="43">
        <f>IF($B666="","",ROUND((N($J666)+N($K666))*نسبة_القيمة_المضافة,2))</f>
        <v/>
      </c>
      <c r="M666" s="42" t="n"/>
      <c r="N666" s="42" t="n"/>
      <c r="O666" s="43">
        <f>IF($B666="","",N($J666)+N($K666)+N($L666)-N($M666)+N($N666))</f>
        <v/>
      </c>
      <c r="P666" s="42" t="n"/>
      <c r="Q666" s="43">
        <f>IF($B666="","",N($O666)-N($P666))</f>
        <v/>
      </c>
      <c r="R666" s="42" t="n"/>
      <c r="S666" s="42" t="n"/>
      <c r="T666" s="42" t="n"/>
      <c r="U666" s="43">
        <f>IF($B666="","",N($J666)-N($R666)-N($T666))</f>
        <v/>
      </c>
      <c r="V666" s="42" t="n"/>
    </row>
    <row r="667">
      <c r="A667" s="39">
        <f>IF($B667="","",COUNTA($B$4:$B667))</f>
        <v/>
      </c>
      <c r="B667" s="45" t="n"/>
      <c r="C667" s="46" t="n"/>
      <c r="D667" s="46" t="n"/>
      <c r="E667" s="46" t="n"/>
      <c r="F667" s="46" t="n"/>
      <c r="G667" s="46" t="n"/>
      <c r="H667" s="46" t="n"/>
      <c r="I667" s="51" t="n"/>
      <c r="J667" s="47" t="n"/>
      <c r="K667" s="47" t="n"/>
      <c r="L667" s="43">
        <f>IF($B667="","",ROUND((N($J667)+N($K667))*نسبة_القيمة_المضافة,2))</f>
        <v/>
      </c>
      <c r="M667" s="47" t="n"/>
      <c r="N667" s="47" t="n"/>
      <c r="O667" s="43">
        <f>IF($B667="","",N($J667)+N($K667)+N($L667)-N($M667)+N($N667))</f>
        <v/>
      </c>
      <c r="P667" s="47" t="n"/>
      <c r="Q667" s="43">
        <f>IF($B667="","",N($O667)-N($P667))</f>
        <v/>
      </c>
      <c r="R667" s="47" t="n"/>
      <c r="S667" s="47" t="n"/>
      <c r="T667" s="47" t="n"/>
      <c r="U667" s="43">
        <f>IF($B667="","",N($J667)-N($R667)-N($T667))</f>
        <v/>
      </c>
      <c r="V667" s="47" t="n"/>
    </row>
    <row r="668">
      <c r="A668" s="39">
        <f>IF($B668="","",COUNTA($B$4:$B668))</f>
        <v/>
      </c>
      <c r="B668" s="40" t="n"/>
      <c r="C668" s="41" t="n"/>
      <c r="D668" s="41" t="n"/>
      <c r="E668" s="41" t="n"/>
      <c r="F668" s="41" t="n"/>
      <c r="G668" s="41" t="n"/>
      <c r="H668" s="41" t="n"/>
      <c r="I668" s="50" t="n"/>
      <c r="J668" s="42" t="n"/>
      <c r="K668" s="42" t="n"/>
      <c r="L668" s="43">
        <f>IF($B668="","",ROUND((N($J668)+N($K668))*نسبة_القيمة_المضافة,2))</f>
        <v/>
      </c>
      <c r="M668" s="42" t="n"/>
      <c r="N668" s="42" t="n"/>
      <c r="O668" s="43">
        <f>IF($B668="","",N($J668)+N($K668)+N($L668)-N($M668)+N($N668))</f>
        <v/>
      </c>
      <c r="P668" s="42" t="n"/>
      <c r="Q668" s="43">
        <f>IF($B668="","",N($O668)-N($P668))</f>
        <v/>
      </c>
      <c r="R668" s="42" t="n"/>
      <c r="S668" s="42" t="n"/>
      <c r="T668" s="42" t="n"/>
      <c r="U668" s="43">
        <f>IF($B668="","",N($J668)-N($R668)-N($T668))</f>
        <v/>
      </c>
      <c r="V668" s="42" t="n"/>
    </row>
    <row r="669">
      <c r="A669" s="39">
        <f>IF($B669="","",COUNTA($B$4:$B669))</f>
        <v/>
      </c>
      <c r="B669" s="45" t="n"/>
      <c r="C669" s="46" t="n"/>
      <c r="D669" s="46" t="n"/>
      <c r="E669" s="46" t="n"/>
      <c r="F669" s="46" t="n"/>
      <c r="G669" s="46" t="n"/>
      <c r="H669" s="46" t="n"/>
      <c r="I669" s="51" t="n"/>
      <c r="J669" s="47" t="n"/>
      <c r="K669" s="47" t="n"/>
      <c r="L669" s="43">
        <f>IF($B669="","",ROUND((N($J669)+N($K669))*نسبة_القيمة_المضافة,2))</f>
        <v/>
      </c>
      <c r="M669" s="47" t="n"/>
      <c r="N669" s="47" t="n"/>
      <c r="O669" s="43">
        <f>IF($B669="","",N($J669)+N($K669)+N($L669)-N($M669)+N($N669))</f>
        <v/>
      </c>
      <c r="P669" s="47" t="n"/>
      <c r="Q669" s="43">
        <f>IF($B669="","",N($O669)-N($P669))</f>
        <v/>
      </c>
      <c r="R669" s="47" t="n"/>
      <c r="S669" s="47" t="n"/>
      <c r="T669" s="47" t="n"/>
      <c r="U669" s="43">
        <f>IF($B669="","",N($J669)-N($R669)-N($T669))</f>
        <v/>
      </c>
      <c r="V669" s="47" t="n"/>
    </row>
    <row r="670">
      <c r="A670" s="39">
        <f>IF($B670="","",COUNTA($B$4:$B670))</f>
        <v/>
      </c>
      <c r="B670" s="40" t="n"/>
      <c r="C670" s="41" t="n"/>
      <c r="D670" s="41" t="n"/>
      <c r="E670" s="41" t="n"/>
      <c r="F670" s="41" t="n"/>
      <c r="G670" s="41" t="n"/>
      <c r="H670" s="41" t="n"/>
      <c r="I670" s="50" t="n"/>
      <c r="J670" s="42" t="n"/>
      <c r="K670" s="42" t="n"/>
      <c r="L670" s="43">
        <f>IF($B670="","",ROUND((N($J670)+N($K670))*نسبة_القيمة_المضافة,2))</f>
        <v/>
      </c>
      <c r="M670" s="42" t="n"/>
      <c r="N670" s="42" t="n"/>
      <c r="O670" s="43">
        <f>IF($B670="","",N($J670)+N($K670)+N($L670)-N($M670)+N($N670))</f>
        <v/>
      </c>
      <c r="P670" s="42" t="n"/>
      <c r="Q670" s="43">
        <f>IF($B670="","",N($O670)-N($P670))</f>
        <v/>
      </c>
      <c r="R670" s="42" t="n"/>
      <c r="S670" s="42" t="n"/>
      <c r="T670" s="42" t="n"/>
      <c r="U670" s="43">
        <f>IF($B670="","",N($J670)-N($R670)-N($T670))</f>
        <v/>
      </c>
      <c r="V670" s="42" t="n"/>
    </row>
    <row r="671">
      <c r="A671" s="39">
        <f>IF($B671="","",COUNTA($B$4:$B671))</f>
        <v/>
      </c>
      <c r="B671" s="45" t="n"/>
      <c r="C671" s="46" t="n"/>
      <c r="D671" s="46" t="n"/>
      <c r="E671" s="46" t="n"/>
      <c r="F671" s="46" t="n"/>
      <c r="G671" s="46" t="n"/>
      <c r="H671" s="46" t="n"/>
      <c r="I671" s="51" t="n"/>
      <c r="J671" s="47" t="n"/>
      <c r="K671" s="47" t="n"/>
      <c r="L671" s="43">
        <f>IF($B671="","",ROUND((N($J671)+N($K671))*نسبة_القيمة_المضافة,2))</f>
        <v/>
      </c>
      <c r="M671" s="47" t="n"/>
      <c r="N671" s="47" t="n"/>
      <c r="O671" s="43">
        <f>IF($B671="","",N($J671)+N($K671)+N($L671)-N($M671)+N($N671))</f>
        <v/>
      </c>
      <c r="P671" s="47" t="n"/>
      <c r="Q671" s="43">
        <f>IF($B671="","",N($O671)-N($P671))</f>
        <v/>
      </c>
      <c r="R671" s="47" t="n"/>
      <c r="S671" s="47" t="n"/>
      <c r="T671" s="47" t="n"/>
      <c r="U671" s="43">
        <f>IF($B671="","",N($J671)-N($R671)-N($T671))</f>
        <v/>
      </c>
      <c r="V671" s="47" t="n"/>
    </row>
    <row r="672">
      <c r="A672" s="39">
        <f>IF($B672="","",COUNTA($B$4:$B672))</f>
        <v/>
      </c>
      <c r="B672" s="40" t="n"/>
      <c r="C672" s="41" t="n"/>
      <c r="D672" s="41" t="n"/>
      <c r="E672" s="41" t="n"/>
      <c r="F672" s="41" t="n"/>
      <c r="G672" s="41" t="n"/>
      <c r="H672" s="41" t="n"/>
      <c r="I672" s="50" t="n"/>
      <c r="J672" s="42" t="n"/>
      <c r="K672" s="42" t="n"/>
      <c r="L672" s="43">
        <f>IF($B672="","",ROUND((N($J672)+N($K672))*نسبة_القيمة_المضافة,2))</f>
        <v/>
      </c>
      <c r="M672" s="42" t="n"/>
      <c r="N672" s="42" t="n"/>
      <c r="O672" s="43">
        <f>IF($B672="","",N($J672)+N($K672)+N($L672)-N($M672)+N($N672))</f>
        <v/>
      </c>
      <c r="P672" s="42" t="n"/>
      <c r="Q672" s="43">
        <f>IF($B672="","",N($O672)-N($P672))</f>
        <v/>
      </c>
      <c r="R672" s="42" t="n"/>
      <c r="S672" s="42" t="n"/>
      <c r="T672" s="42" t="n"/>
      <c r="U672" s="43">
        <f>IF($B672="","",N($J672)-N($R672)-N($T672))</f>
        <v/>
      </c>
      <c r="V672" s="42" t="n"/>
    </row>
    <row r="673">
      <c r="A673" s="39">
        <f>IF($B673="","",COUNTA($B$4:$B673))</f>
        <v/>
      </c>
      <c r="B673" s="45" t="n"/>
      <c r="C673" s="46" t="n"/>
      <c r="D673" s="46" t="n"/>
      <c r="E673" s="46" t="n"/>
      <c r="F673" s="46" t="n"/>
      <c r="G673" s="46" t="n"/>
      <c r="H673" s="46" t="n"/>
      <c r="I673" s="51" t="n"/>
      <c r="J673" s="47" t="n"/>
      <c r="K673" s="47" t="n"/>
      <c r="L673" s="43">
        <f>IF($B673="","",ROUND((N($J673)+N($K673))*نسبة_القيمة_المضافة,2))</f>
        <v/>
      </c>
      <c r="M673" s="47" t="n"/>
      <c r="N673" s="47" t="n"/>
      <c r="O673" s="43">
        <f>IF($B673="","",N($J673)+N($K673)+N($L673)-N($M673)+N($N673))</f>
        <v/>
      </c>
      <c r="P673" s="47" t="n"/>
      <c r="Q673" s="43">
        <f>IF($B673="","",N($O673)-N($P673))</f>
        <v/>
      </c>
      <c r="R673" s="47" t="n"/>
      <c r="S673" s="47" t="n"/>
      <c r="T673" s="47" t="n"/>
      <c r="U673" s="43">
        <f>IF($B673="","",N($J673)-N($R673)-N($T673))</f>
        <v/>
      </c>
      <c r="V673" s="47" t="n"/>
    </row>
    <row r="674">
      <c r="A674" s="39">
        <f>IF($B674="","",COUNTA($B$4:$B674))</f>
        <v/>
      </c>
      <c r="B674" s="40" t="n"/>
      <c r="C674" s="41" t="n"/>
      <c r="D674" s="41" t="n"/>
      <c r="E674" s="41" t="n"/>
      <c r="F674" s="41" t="n"/>
      <c r="G674" s="41" t="n"/>
      <c r="H674" s="41" t="n"/>
      <c r="I674" s="50" t="n"/>
      <c r="J674" s="42" t="n"/>
      <c r="K674" s="42" t="n"/>
      <c r="L674" s="43">
        <f>IF($B674="","",ROUND((N($J674)+N($K674))*نسبة_القيمة_المضافة,2))</f>
        <v/>
      </c>
      <c r="M674" s="42" t="n"/>
      <c r="N674" s="42" t="n"/>
      <c r="O674" s="43">
        <f>IF($B674="","",N($J674)+N($K674)+N($L674)-N($M674)+N($N674))</f>
        <v/>
      </c>
      <c r="P674" s="42" t="n"/>
      <c r="Q674" s="43">
        <f>IF($B674="","",N($O674)-N($P674))</f>
        <v/>
      </c>
      <c r="R674" s="42" t="n"/>
      <c r="S674" s="42" t="n"/>
      <c r="T674" s="42" t="n"/>
      <c r="U674" s="43">
        <f>IF($B674="","",N($J674)-N($R674)-N($T674))</f>
        <v/>
      </c>
      <c r="V674" s="42" t="n"/>
    </row>
    <row r="675">
      <c r="A675" s="39">
        <f>IF($B675="","",COUNTA($B$4:$B675))</f>
        <v/>
      </c>
      <c r="B675" s="45" t="n"/>
      <c r="C675" s="46" t="n"/>
      <c r="D675" s="46" t="n"/>
      <c r="E675" s="46" t="n"/>
      <c r="F675" s="46" t="n"/>
      <c r="G675" s="46" t="n"/>
      <c r="H675" s="46" t="n"/>
      <c r="I675" s="51" t="n"/>
      <c r="J675" s="47" t="n"/>
      <c r="K675" s="47" t="n"/>
      <c r="L675" s="43">
        <f>IF($B675="","",ROUND((N($J675)+N($K675))*نسبة_القيمة_المضافة,2))</f>
        <v/>
      </c>
      <c r="M675" s="47" t="n"/>
      <c r="N675" s="47" t="n"/>
      <c r="O675" s="43">
        <f>IF($B675="","",N($J675)+N($K675)+N($L675)-N($M675)+N($N675))</f>
        <v/>
      </c>
      <c r="P675" s="47" t="n"/>
      <c r="Q675" s="43">
        <f>IF($B675="","",N($O675)-N($P675))</f>
        <v/>
      </c>
      <c r="R675" s="47" t="n"/>
      <c r="S675" s="47" t="n"/>
      <c r="T675" s="47" t="n"/>
      <c r="U675" s="43">
        <f>IF($B675="","",N($J675)-N($R675)-N($T675))</f>
        <v/>
      </c>
      <c r="V675" s="47" t="n"/>
    </row>
    <row r="676">
      <c r="A676" s="39">
        <f>IF($B676="","",COUNTA($B$4:$B676))</f>
        <v/>
      </c>
      <c r="B676" s="40" t="n"/>
      <c r="C676" s="41" t="n"/>
      <c r="D676" s="41" t="n"/>
      <c r="E676" s="41" t="n"/>
      <c r="F676" s="41" t="n"/>
      <c r="G676" s="41" t="n"/>
      <c r="H676" s="41" t="n"/>
      <c r="I676" s="50" t="n"/>
      <c r="J676" s="42" t="n"/>
      <c r="K676" s="42" t="n"/>
      <c r="L676" s="43">
        <f>IF($B676="","",ROUND((N($J676)+N($K676))*نسبة_القيمة_المضافة,2))</f>
        <v/>
      </c>
      <c r="M676" s="42" t="n"/>
      <c r="N676" s="42" t="n"/>
      <c r="O676" s="43">
        <f>IF($B676="","",N($J676)+N($K676)+N($L676)-N($M676)+N($N676))</f>
        <v/>
      </c>
      <c r="P676" s="42" t="n"/>
      <c r="Q676" s="43">
        <f>IF($B676="","",N($O676)-N($P676))</f>
        <v/>
      </c>
      <c r="R676" s="42" t="n"/>
      <c r="S676" s="42" t="n"/>
      <c r="T676" s="42" t="n"/>
      <c r="U676" s="43">
        <f>IF($B676="","",N($J676)-N($R676)-N($T676))</f>
        <v/>
      </c>
      <c r="V676" s="42" t="n"/>
    </row>
    <row r="677">
      <c r="A677" s="39">
        <f>IF($B677="","",COUNTA($B$4:$B677))</f>
        <v/>
      </c>
      <c r="B677" s="45" t="n"/>
      <c r="C677" s="46" t="n"/>
      <c r="D677" s="46" t="n"/>
      <c r="E677" s="46" t="n"/>
      <c r="F677" s="46" t="n"/>
      <c r="G677" s="46" t="n"/>
      <c r="H677" s="46" t="n"/>
      <c r="I677" s="51" t="n"/>
      <c r="J677" s="47" t="n"/>
      <c r="K677" s="47" t="n"/>
      <c r="L677" s="43">
        <f>IF($B677="","",ROUND((N($J677)+N($K677))*نسبة_القيمة_المضافة,2))</f>
        <v/>
      </c>
      <c r="M677" s="47" t="n"/>
      <c r="N677" s="47" t="n"/>
      <c r="O677" s="43">
        <f>IF($B677="","",N($J677)+N($K677)+N($L677)-N($M677)+N($N677))</f>
        <v/>
      </c>
      <c r="P677" s="47" t="n"/>
      <c r="Q677" s="43">
        <f>IF($B677="","",N($O677)-N($P677))</f>
        <v/>
      </c>
      <c r="R677" s="47" t="n"/>
      <c r="S677" s="47" t="n"/>
      <c r="T677" s="47" t="n"/>
      <c r="U677" s="43">
        <f>IF($B677="","",N($J677)-N($R677)-N($T677))</f>
        <v/>
      </c>
      <c r="V677" s="47" t="n"/>
    </row>
    <row r="678">
      <c r="A678" s="39">
        <f>IF($B678="","",COUNTA($B$4:$B678))</f>
        <v/>
      </c>
      <c r="B678" s="40" t="n"/>
      <c r="C678" s="41" t="n"/>
      <c r="D678" s="41" t="n"/>
      <c r="E678" s="41" t="n"/>
      <c r="F678" s="41" t="n"/>
      <c r="G678" s="41" t="n"/>
      <c r="H678" s="41" t="n"/>
      <c r="I678" s="50" t="n"/>
      <c r="J678" s="42" t="n"/>
      <c r="K678" s="42" t="n"/>
      <c r="L678" s="43">
        <f>IF($B678="","",ROUND((N($J678)+N($K678))*نسبة_القيمة_المضافة,2))</f>
        <v/>
      </c>
      <c r="M678" s="42" t="n"/>
      <c r="N678" s="42" t="n"/>
      <c r="O678" s="43">
        <f>IF($B678="","",N($J678)+N($K678)+N($L678)-N($M678)+N($N678))</f>
        <v/>
      </c>
      <c r="P678" s="42" t="n"/>
      <c r="Q678" s="43">
        <f>IF($B678="","",N($O678)-N($P678))</f>
        <v/>
      </c>
      <c r="R678" s="42" t="n"/>
      <c r="S678" s="42" t="n"/>
      <c r="T678" s="42" t="n"/>
      <c r="U678" s="43">
        <f>IF($B678="","",N($J678)-N($R678)-N($T678))</f>
        <v/>
      </c>
      <c r="V678" s="42" t="n"/>
    </row>
    <row r="679">
      <c r="A679" s="39">
        <f>IF($B679="","",COUNTA($B$4:$B679))</f>
        <v/>
      </c>
      <c r="B679" s="45" t="n"/>
      <c r="C679" s="46" t="n"/>
      <c r="D679" s="46" t="n"/>
      <c r="E679" s="46" t="n"/>
      <c r="F679" s="46" t="n"/>
      <c r="G679" s="46" t="n"/>
      <c r="H679" s="46" t="n"/>
      <c r="I679" s="51" t="n"/>
      <c r="J679" s="47" t="n"/>
      <c r="K679" s="47" t="n"/>
      <c r="L679" s="43">
        <f>IF($B679="","",ROUND((N($J679)+N($K679))*نسبة_القيمة_المضافة,2))</f>
        <v/>
      </c>
      <c r="M679" s="47" t="n"/>
      <c r="N679" s="47" t="n"/>
      <c r="O679" s="43">
        <f>IF($B679="","",N($J679)+N($K679)+N($L679)-N($M679)+N($N679))</f>
        <v/>
      </c>
      <c r="P679" s="47" t="n"/>
      <c r="Q679" s="43">
        <f>IF($B679="","",N($O679)-N($P679))</f>
        <v/>
      </c>
      <c r="R679" s="47" t="n"/>
      <c r="S679" s="47" t="n"/>
      <c r="T679" s="47" t="n"/>
      <c r="U679" s="43">
        <f>IF($B679="","",N($J679)-N($R679)-N($T679))</f>
        <v/>
      </c>
      <c r="V679" s="47" t="n"/>
    </row>
    <row r="680">
      <c r="A680" s="39">
        <f>IF($B680="","",COUNTA($B$4:$B680))</f>
        <v/>
      </c>
      <c r="B680" s="40" t="n"/>
      <c r="C680" s="41" t="n"/>
      <c r="D680" s="41" t="n"/>
      <c r="E680" s="41" t="n"/>
      <c r="F680" s="41" t="n"/>
      <c r="G680" s="41" t="n"/>
      <c r="H680" s="41" t="n"/>
      <c r="I680" s="50" t="n"/>
      <c r="J680" s="42" t="n"/>
      <c r="K680" s="42" t="n"/>
      <c r="L680" s="43">
        <f>IF($B680="","",ROUND((N($J680)+N($K680))*نسبة_القيمة_المضافة,2))</f>
        <v/>
      </c>
      <c r="M680" s="42" t="n"/>
      <c r="N680" s="42" t="n"/>
      <c r="O680" s="43">
        <f>IF($B680="","",N($J680)+N($K680)+N($L680)-N($M680)+N($N680))</f>
        <v/>
      </c>
      <c r="P680" s="42" t="n"/>
      <c r="Q680" s="43">
        <f>IF($B680="","",N($O680)-N($P680))</f>
        <v/>
      </c>
      <c r="R680" s="42" t="n"/>
      <c r="S680" s="42" t="n"/>
      <c r="T680" s="42" t="n"/>
      <c r="U680" s="43">
        <f>IF($B680="","",N($J680)-N($R680)-N($T680))</f>
        <v/>
      </c>
      <c r="V680" s="42" t="n"/>
    </row>
    <row r="681">
      <c r="A681" s="39">
        <f>IF($B681="","",COUNTA($B$4:$B681))</f>
        <v/>
      </c>
      <c r="B681" s="45" t="n"/>
      <c r="C681" s="46" t="n"/>
      <c r="D681" s="46" t="n"/>
      <c r="E681" s="46" t="n"/>
      <c r="F681" s="46" t="n"/>
      <c r="G681" s="46" t="n"/>
      <c r="H681" s="46" t="n"/>
      <c r="I681" s="51" t="n"/>
      <c r="J681" s="47" t="n"/>
      <c r="K681" s="47" t="n"/>
      <c r="L681" s="43">
        <f>IF($B681="","",ROUND((N($J681)+N($K681))*نسبة_القيمة_المضافة,2))</f>
        <v/>
      </c>
      <c r="M681" s="47" t="n"/>
      <c r="N681" s="47" t="n"/>
      <c r="O681" s="43">
        <f>IF($B681="","",N($J681)+N($K681)+N($L681)-N($M681)+N($N681))</f>
        <v/>
      </c>
      <c r="P681" s="47" t="n"/>
      <c r="Q681" s="43">
        <f>IF($B681="","",N($O681)-N($P681))</f>
        <v/>
      </c>
      <c r="R681" s="47" t="n"/>
      <c r="S681" s="47" t="n"/>
      <c r="T681" s="47" t="n"/>
      <c r="U681" s="43">
        <f>IF($B681="","",N($J681)-N($R681)-N($T681))</f>
        <v/>
      </c>
      <c r="V681" s="47" t="n"/>
    </row>
    <row r="682">
      <c r="A682" s="39">
        <f>IF($B682="","",COUNTA($B$4:$B682))</f>
        <v/>
      </c>
      <c r="B682" s="40" t="n"/>
      <c r="C682" s="41" t="n"/>
      <c r="D682" s="41" t="n"/>
      <c r="E682" s="41" t="n"/>
      <c r="F682" s="41" t="n"/>
      <c r="G682" s="41" t="n"/>
      <c r="H682" s="41" t="n"/>
      <c r="I682" s="50" t="n"/>
      <c r="J682" s="42" t="n"/>
      <c r="K682" s="42" t="n"/>
      <c r="L682" s="43">
        <f>IF($B682="","",ROUND((N($J682)+N($K682))*نسبة_القيمة_المضافة,2))</f>
        <v/>
      </c>
      <c r="M682" s="42" t="n"/>
      <c r="N682" s="42" t="n"/>
      <c r="O682" s="43">
        <f>IF($B682="","",N($J682)+N($K682)+N($L682)-N($M682)+N($N682))</f>
        <v/>
      </c>
      <c r="P682" s="42" t="n"/>
      <c r="Q682" s="43">
        <f>IF($B682="","",N($O682)-N($P682))</f>
        <v/>
      </c>
      <c r="R682" s="42" t="n"/>
      <c r="S682" s="42" t="n"/>
      <c r="T682" s="42" t="n"/>
      <c r="U682" s="43">
        <f>IF($B682="","",N($J682)-N($R682)-N($T682))</f>
        <v/>
      </c>
      <c r="V682" s="42" t="n"/>
    </row>
    <row r="683">
      <c r="A683" s="39">
        <f>IF($B683="","",COUNTA($B$4:$B683))</f>
        <v/>
      </c>
      <c r="B683" s="45" t="n"/>
      <c r="C683" s="46" t="n"/>
      <c r="D683" s="46" t="n"/>
      <c r="E683" s="46" t="n"/>
      <c r="F683" s="46" t="n"/>
      <c r="G683" s="46" t="n"/>
      <c r="H683" s="46" t="n"/>
      <c r="I683" s="51" t="n"/>
      <c r="J683" s="47" t="n"/>
      <c r="K683" s="47" t="n"/>
      <c r="L683" s="43">
        <f>IF($B683="","",ROUND((N($J683)+N($K683))*نسبة_القيمة_المضافة,2))</f>
        <v/>
      </c>
      <c r="M683" s="47" t="n"/>
      <c r="N683" s="47" t="n"/>
      <c r="O683" s="43">
        <f>IF($B683="","",N($J683)+N($K683)+N($L683)-N($M683)+N($N683))</f>
        <v/>
      </c>
      <c r="P683" s="47" t="n"/>
      <c r="Q683" s="43">
        <f>IF($B683="","",N($O683)-N($P683))</f>
        <v/>
      </c>
      <c r="R683" s="47" t="n"/>
      <c r="S683" s="47" t="n"/>
      <c r="T683" s="47" t="n"/>
      <c r="U683" s="43">
        <f>IF($B683="","",N($J683)-N($R683)-N($T683))</f>
        <v/>
      </c>
      <c r="V683" s="47" t="n"/>
    </row>
    <row r="684">
      <c r="A684" s="39">
        <f>IF($B684="","",COUNTA($B$4:$B684))</f>
        <v/>
      </c>
      <c r="B684" s="40" t="n"/>
      <c r="C684" s="41" t="n"/>
      <c r="D684" s="41" t="n"/>
      <c r="E684" s="41" t="n"/>
      <c r="F684" s="41" t="n"/>
      <c r="G684" s="41" t="n"/>
      <c r="H684" s="41" t="n"/>
      <c r="I684" s="50" t="n"/>
      <c r="J684" s="42" t="n"/>
      <c r="K684" s="42" t="n"/>
      <c r="L684" s="43">
        <f>IF($B684="","",ROUND((N($J684)+N($K684))*نسبة_القيمة_المضافة,2))</f>
        <v/>
      </c>
      <c r="M684" s="42" t="n"/>
      <c r="N684" s="42" t="n"/>
      <c r="O684" s="43">
        <f>IF($B684="","",N($J684)+N($K684)+N($L684)-N($M684)+N($N684))</f>
        <v/>
      </c>
      <c r="P684" s="42" t="n"/>
      <c r="Q684" s="43">
        <f>IF($B684="","",N($O684)-N($P684))</f>
        <v/>
      </c>
      <c r="R684" s="42" t="n"/>
      <c r="S684" s="42" t="n"/>
      <c r="T684" s="42" t="n"/>
      <c r="U684" s="43">
        <f>IF($B684="","",N($J684)-N($R684)-N($T684))</f>
        <v/>
      </c>
      <c r="V684" s="42" t="n"/>
    </row>
    <row r="685">
      <c r="A685" s="39">
        <f>IF($B685="","",COUNTA($B$4:$B685))</f>
        <v/>
      </c>
      <c r="B685" s="45" t="n"/>
      <c r="C685" s="46" t="n"/>
      <c r="D685" s="46" t="n"/>
      <c r="E685" s="46" t="n"/>
      <c r="F685" s="46" t="n"/>
      <c r="G685" s="46" t="n"/>
      <c r="H685" s="46" t="n"/>
      <c r="I685" s="51" t="n"/>
      <c r="J685" s="47" t="n"/>
      <c r="K685" s="47" t="n"/>
      <c r="L685" s="43">
        <f>IF($B685="","",ROUND((N($J685)+N($K685))*نسبة_القيمة_المضافة,2))</f>
        <v/>
      </c>
      <c r="M685" s="47" t="n"/>
      <c r="N685" s="47" t="n"/>
      <c r="O685" s="43">
        <f>IF($B685="","",N($J685)+N($K685)+N($L685)-N($M685)+N($N685))</f>
        <v/>
      </c>
      <c r="P685" s="47" t="n"/>
      <c r="Q685" s="43">
        <f>IF($B685="","",N($O685)-N($P685))</f>
        <v/>
      </c>
      <c r="R685" s="47" t="n"/>
      <c r="S685" s="47" t="n"/>
      <c r="T685" s="47" t="n"/>
      <c r="U685" s="43">
        <f>IF($B685="","",N($J685)-N($R685)-N($T685))</f>
        <v/>
      </c>
      <c r="V685" s="47" t="n"/>
    </row>
    <row r="686">
      <c r="A686" s="39">
        <f>IF($B686="","",COUNTA($B$4:$B686))</f>
        <v/>
      </c>
      <c r="B686" s="40" t="n"/>
      <c r="C686" s="41" t="n"/>
      <c r="D686" s="41" t="n"/>
      <c r="E686" s="41" t="n"/>
      <c r="F686" s="41" t="n"/>
      <c r="G686" s="41" t="n"/>
      <c r="H686" s="41" t="n"/>
      <c r="I686" s="50" t="n"/>
      <c r="J686" s="42" t="n"/>
      <c r="K686" s="42" t="n"/>
      <c r="L686" s="43">
        <f>IF($B686="","",ROUND((N($J686)+N($K686))*نسبة_القيمة_المضافة,2))</f>
        <v/>
      </c>
      <c r="M686" s="42" t="n"/>
      <c r="N686" s="42" t="n"/>
      <c r="O686" s="43">
        <f>IF($B686="","",N($J686)+N($K686)+N($L686)-N($M686)+N($N686))</f>
        <v/>
      </c>
      <c r="P686" s="42" t="n"/>
      <c r="Q686" s="43">
        <f>IF($B686="","",N($O686)-N($P686))</f>
        <v/>
      </c>
      <c r="R686" s="42" t="n"/>
      <c r="S686" s="42" t="n"/>
      <c r="T686" s="42" t="n"/>
      <c r="U686" s="43">
        <f>IF($B686="","",N($J686)-N($R686)-N($T686))</f>
        <v/>
      </c>
      <c r="V686" s="42" t="n"/>
    </row>
    <row r="687">
      <c r="A687" s="39">
        <f>IF($B687="","",COUNTA($B$4:$B687))</f>
        <v/>
      </c>
      <c r="B687" s="45" t="n"/>
      <c r="C687" s="46" t="n"/>
      <c r="D687" s="46" t="n"/>
      <c r="E687" s="46" t="n"/>
      <c r="F687" s="46" t="n"/>
      <c r="G687" s="46" t="n"/>
      <c r="H687" s="46" t="n"/>
      <c r="I687" s="51" t="n"/>
      <c r="J687" s="47" t="n"/>
      <c r="K687" s="47" t="n"/>
      <c r="L687" s="43">
        <f>IF($B687="","",ROUND((N($J687)+N($K687))*نسبة_القيمة_المضافة,2))</f>
        <v/>
      </c>
      <c r="M687" s="47" t="n"/>
      <c r="N687" s="47" t="n"/>
      <c r="O687" s="43">
        <f>IF($B687="","",N($J687)+N($K687)+N($L687)-N($M687)+N($N687))</f>
        <v/>
      </c>
      <c r="P687" s="47" t="n"/>
      <c r="Q687" s="43">
        <f>IF($B687="","",N($O687)-N($P687))</f>
        <v/>
      </c>
      <c r="R687" s="47" t="n"/>
      <c r="S687" s="47" t="n"/>
      <c r="T687" s="47" t="n"/>
      <c r="U687" s="43">
        <f>IF($B687="","",N($J687)-N($R687)-N($T687))</f>
        <v/>
      </c>
      <c r="V687" s="47" t="n"/>
    </row>
    <row r="688">
      <c r="A688" s="39">
        <f>IF($B688="","",COUNTA($B$4:$B688))</f>
        <v/>
      </c>
      <c r="B688" s="40" t="n"/>
      <c r="C688" s="41" t="n"/>
      <c r="D688" s="41" t="n"/>
      <c r="E688" s="41" t="n"/>
      <c r="F688" s="41" t="n"/>
      <c r="G688" s="41" t="n"/>
      <c r="H688" s="41" t="n"/>
      <c r="I688" s="50" t="n"/>
      <c r="J688" s="42" t="n"/>
      <c r="K688" s="42" t="n"/>
      <c r="L688" s="43">
        <f>IF($B688="","",ROUND((N($J688)+N($K688))*نسبة_القيمة_المضافة,2))</f>
        <v/>
      </c>
      <c r="M688" s="42" t="n"/>
      <c r="N688" s="42" t="n"/>
      <c r="O688" s="43">
        <f>IF($B688="","",N($J688)+N($K688)+N($L688)-N($M688)+N($N688))</f>
        <v/>
      </c>
      <c r="P688" s="42" t="n"/>
      <c r="Q688" s="43">
        <f>IF($B688="","",N($O688)-N($P688))</f>
        <v/>
      </c>
      <c r="R688" s="42" t="n"/>
      <c r="S688" s="42" t="n"/>
      <c r="T688" s="42" t="n"/>
      <c r="U688" s="43">
        <f>IF($B688="","",N($J688)-N($R688)-N($T688))</f>
        <v/>
      </c>
      <c r="V688" s="42" t="n"/>
    </row>
    <row r="689">
      <c r="A689" s="39">
        <f>IF($B689="","",COUNTA($B$4:$B689))</f>
        <v/>
      </c>
      <c r="B689" s="45" t="n"/>
      <c r="C689" s="46" t="n"/>
      <c r="D689" s="46" t="n"/>
      <c r="E689" s="46" t="n"/>
      <c r="F689" s="46" t="n"/>
      <c r="G689" s="46" t="n"/>
      <c r="H689" s="46" t="n"/>
      <c r="I689" s="51" t="n"/>
      <c r="J689" s="47" t="n"/>
      <c r="K689" s="47" t="n"/>
      <c r="L689" s="43">
        <f>IF($B689="","",ROUND((N($J689)+N($K689))*نسبة_القيمة_المضافة,2))</f>
        <v/>
      </c>
      <c r="M689" s="47" t="n"/>
      <c r="N689" s="47" t="n"/>
      <c r="O689" s="43">
        <f>IF($B689="","",N($J689)+N($K689)+N($L689)-N($M689)+N($N689))</f>
        <v/>
      </c>
      <c r="P689" s="47" t="n"/>
      <c r="Q689" s="43">
        <f>IF($B689="","",N($O689)-N($P689))</f>
        <v/>
      </c>
      <c r="R689" s="47" t="n"/>
      <c r="S689" s="47" t="n"/>
      <c r="T689" s="47" t="n"/>
      <c r="U689" s="43">
        <f>IF($B689="","",N($J689)-N($R689)-N($T689))</f>
        <v/>
      </c>
      <c r="V689" s="47" t="n"/>
    </row>
    <row r="690">
      <c r="A690" s="39">
        <f>IF($B690="","",COUNTA($B$4:$B690))</f>
        <v/>
      </c>
      <c r="B690" s="40" t="n"/>
      <c r="C690" s="41" t="n"/>
      <c r="D690" s="41" t="n"/>
      <c r="E690" s="41" t="n"/>
      <c r="F690" s="41" t="n"/>
      <c r="G690" s="41" t="n"/>
      <c r="H690" s="41" t="n"/>
      <c r="I690" s="50" t="n"/>
      <c r="J690" s="42" t="n"/>
      <c r="K690" s="42" t="n"/>
      <c r="L690" s="43">
        <f>IF($B690="","",ROUND((N($J690)+N($K690))*نسبة_القيمة_المضافة,2))</f>
        <v/>
      </c>
      <c r="M690" s="42" t="n"/>
      <c r="N690" s="42" t="n"/>
      <c r="O690" s="43">
        <f>IF($B690="","",N($J690)+N($K690)+N($L690)-N($M690)+N($N690))</f>
        <v/>
      </c>
      <c r="P690" s="42" t="n"/>
      <c r="Q690" s="43">
        <f>IF($B690="","",N($O690)-N($P690))</f>
        <v/>
      </c>
      <c r="R690" s="42" t="n"/>
      <c r="S690" s="42" t="n"/>
      <c r="T690" s="42" t="n"/>
      <c r="U690" s="43">
        <f>IF($B690="","",N($J690)-N($R690)-N($T690))</f>
        <v/>
      </c>
      <c r="V690" s="42" t="n"/>
    </row>
    <row r="691">
      <c r="A691" s="39">
        <f>IF($B691="","",COUNTA($B$4:$B691))</f>
        <v/>
      </c>
      <c r="B691" s="45" t="n"/>
      <c r="C691" s="46" t="n"/>
      <c r="D691" s="46" t="n"/>
      <c r="E691" s="46" t="n"/>
      <c r="F691" s="46" t="n"/>
      <c r="G691" s="46" t="n"/>
      <c r="H691" s="46" t="n"/>
      <c r="I691" s="51" t="n"/>
      <c r="J691" s="47" t="n"/>
      <c r="K691" s="47" t="n"/>
      <c r="L691" s="43">
        <f>IF($B691="","",ROUND((N($J691)+N($K691))*نسبة_القيمة_المضافة,2))</f>
        <v/>
      </c>
      <c r="M691" s="47" t="n"/>
      <c r="N691" s="47" t="n"/>
      <c r="O691" s="43">
        <f>IF($B691="","",N($J691)+N($K691)+N($L691)-N($M691)+N($N691))</f>
        <v/>
      </c>
      <c r="P691" s="47" t="n"/>
      <c r="Q691" s="43">
        <f>IF($B691="","",N($O691)-N($P691))</f>
        <v/>
      </c>
      <c r="R691" s="47" t="n"/>
      <c r="S691" s="47" t="n"/>
      <c r="T691" s="47" t="n"/>
      <c r="U691" s="43">
        <f>IF($B691="","",N($J691)-N($R691)-N($T691))</f>
        <v/>
      </c>
      <c r="V691" s="47" t="n"/>
    </row>
    <row r="692">
      <c r="A692" s="39">
        <f>IF($B692="","",COUNTA($B$4:$B692))</f>
        <v/>
      </c>
      <c r="B692" s="40" t="n"/>
      <c r="C692" s="41" t="n"/>
      <c r="D692" s="41" t="n"/>
      <c r="E692" s="41" t="n"/>
      <c r="F692" s="41" t="n"/>
      <c r="G692" s="41" t="n"/>
      <c r="H692" s="41" t="n"/>
      <c r="I692" s="50" t="n"/>
      <c r="J692" s="42" t="n"/>
      <c r="K692" s="42" t="n"/>
      <c r="L692" s="43">
        <f>IF($B692="","",ROUND((N($J692)+N($K692))*نسبة_القيمة_المضافة,2))</f>
        <v/>
      </c>
      <c r="M692" s="42" t="n"/>
      <c r="N692" s="42" t="n"/>
      <c r="O692" s="43">
        <f>IF($B692="","",N($J692)+N($K692)+N($L692)-N($M692)+N($N692))</f>
        <v/>
      </c>
      <c r="P692" s="42" t="n"/>
      <c r="Q692" s="43">
        <f>IF($B692="","",N($O692)-N($P692))</f>
        <v/>
      </c>
      <c r="R692" s="42" t="n"/>
      <c r="S692" s="42" t="n"/>
      <c r="T692" s="42" t="n"/>
      <c r="U692" s="43">
        <f>IF($B692="","",N($J692)-N($R692)-N($T692))</f>
        <v/>
      </c>
      <c r="V692" s="42" t="n"/>
    </row>
    <row r="693">
      <c r="A693" s="39">
        <f>IF($B693="","",COUNTA($B$4:$B693))</f>
        <v/>
      </c>
      <c r="B693" s="45" t="n"/>
      <c r="C693" s="46" t="n"/>
      <c r="D693" s="46" t="n"/>
      <c r="E693" s="46" t="n"/>
      <c r="F693" s="46" t="n"/>
      <c r="G693" s="46" t="n"/>
      <c r="H693" s="46" t="n"/>
      <c r="I693" s="51" t="n"/>
      <c r="J693" s="47" t="n"/>
      <c r="K693" s="47" t="n"/>
      <c r="L693" s="43">
        <f>IF($B693="","",ROUND((N($J693)+N($K693))*نسبة_القيمة_المضافة,2))</f>
        <v/>
      </c>
      <c r="M693" s="47" t="n"/>
      <c r="N693" s="47" t="n"/>
      <c r="O693" s="43">
        <f>IF($B693="","",N($J693)+N($K693)+N($L693)-N($M693)+N($N693))</f>
        <v/>
      </c>
      <c r="P693" s="47" t="n"/>
      <c r="Q693" s="43">
        <f>IF($B693="","",N($O693)-N($P693))</f>
        <v/>
      </c>
      <c r="R693" s="47" t="n"/>
      <c r="S693" s="47" t="n"/>
      <c r="T693" s="47" t="n"/>
      <c r="U693" s="43">
        <f>IF($B693="","",N($J693)-N($R693)-N($T693))</f>
        <v/>
      </c>
      <c r="V693" s="47" t="n"/>
    </row>
    <row r="694">
      <c r="A694" s="39">
        <f>IF($B694="","",COUNTA($B$4:$B694))</f>
        <v/>
      </c>
      <c r="B694" s="40" t="n"/>
      <c r="C694" s="41" t="n"/>
      <c r="D694" s="41" t="n"/>
      <c r="E694" s="41" t="n"/>
      <c r="F694" s="41" t="n"/>
      <c r="G694" s="41" t="n"/>
      <c r="H694" s="41" t="n"/>
      <c r="I694" s="50" t="n"/>
      <c r="J694" s="42" t="n"/>
      <c r="K694" s="42" t="n"/>
      <c r="L694" s="43">
        <f>IF($B694="","",ROUND((N($J694)+N($K694))*نسبة_القيمة_المضافة,2))</f>
        <v/>
      </c>
      <c r="M694" s="42" t="n"/>
      <c r="N694" s="42" t="n"/>
      <c r="O694" s="43">
        <f>IF($B694="","",N($J694)+N($K694)+N($L694)-N($M694)+N($N694))</f>
        <v/>
      </c>
      <c r="P694" s="42" t="n"/>
      <c r="Q694" s="43">
        <f>IF($B694="","",N($O694)-N($P694))</f>
        <v/>
      </c>
      <c r="R694" s="42" t="n"/>
      <c r="S694" s="42" t="n"/>
      <c r="T694" s="42" t="n"/>
      <c r="U694" s="43">
        <f>IF($B694="","",N($J694)-N($R694)-N($T694))</f>
        <v/>
      </c>
      <c r="V694" s="42" t="n"/>
    </row>
    <row r="695">
      <c r="A695" s="39">
        <f>IF($B695="","",COUNTA($B$4:$B695))</f>
        <v/>
      </c>
      <c r="B695" s="45" t="n"/>
      <c r="C695" s="46" t="n"/>
      <c r="D695" s="46" t="n"/>
      <c r="E695" s="46" t="n"/>
      <c r="F695" s="46" t="n"/>
      <c r="G695" s="46" t="n"/>
      <c r="H695" s="46" t="n"/>
      <c r="I695" s="51" t="n"/>
      <c r="J695" s="47" t="n"/>
      <c r="K695" s="47" t="n"/>
      <c r="L695" s="43">
        <f>IF($B695="","",ROUND((N($J695)+N($K695))*نسبة_القيمة_المضافة,2))</f>
        <v/>
      </c>
      <c r="M695" s="47" t="n"/>
      <c r="N695" s="47" t="n"/>
      <c r="O695" s="43">
        <f>IF($B695="","",N($J695)+N($K695)+N($L695)-N($M695)+N($N695))</f>
        <v/>
      </c>
      <c r="P695" s="47" t="n"/>
      <c r="Q695" s="43">
        <f>IF($B695="","",N($O695)-N($P695))</f>
        <v/>
      </c>
      <c r="R695" s="47" t="n"/>
      <c r="S695" s="47" t="n"/>
      <c r="T695" s="47" t="n"/>
      <c r="U695" s="43">
        <f>IF($B695="","",N($J695)-N($R695)-N($T695))</f>
        <v/>
      </c>
      <c r="V695" s="47" t="n"/>
    </row>
    <row r="696">
      <c r="A696" s="39">
        <f>IF($B696="","",COUNTA($B$4:$B696))</f>
        <v/>
      </c>
      <c r="B696" s="40" t="n"/>
      <c r="C696" s="41" t="n"/>
      <c r="D696" s="41" t="n"/>
      <c r="E696" s="41" t="n"/>
      <c r="F696" s="41" t="n"/>
      <c r="G696" s="41" t="n"/>
      <c r="H696" s="41" t="n"/>
      <c r="I696" s="50" t="n"/>
      <c r="J696" s="42" t="n"/>
      <c r="K696" s="42" t="n"/>
      <c r="L696" s="43">
        <f>IF($B696="","",ROUND((N($J696)+N($K696))*نسبة_القيمة_المضافة,2))</f>
        <v/>
      </c>
      <c r="M696" s="42" t="n"/>
      <c r="N696" s="42" t="n"/>
      <c r="O696" s="43">
        <f>IF($B696="","",N($J696)+N($K696)+N($L696)-N($M696)+N($N696))</f>
        <v/>
      </c>
      <c r="P696" s="42" t="n"/>
      <c r="Q696" s="43">
        <f>IF($B696="","",N($O696)-N($P696))</f>
        <v/>
      </c>
      <c r="R696" s="42" t="n"/>
      <c r="S696" s="42" t="n"/>
      <c r="T696" s="42" t="n"/>
      <c r="U696" s="43">
        <f>IF($B696="","",N($J696)-N($R696)-N($T696))</f>
        <v/>
      </c>
      <c r="V696" s="42" t="n"/>
    </row>
    <row r="697">
      <c r="A697" s="39">
        <f>IF($B697="","",COUNTA($B$4:$B697))</f>
        <v/>
      </c>
      <c r="B697" s="45" t="n"/>
      <c r="C697" s="46" t="n"/>
      <c r="D697" s="46" t="n"/>
      <c r="E697" s="46" t="n"/>
      <c r="F697" s="46" t="n"/>
      <c r="G697" s="46" t="n"/>
      <c r="H697" s="46" t="n"/>
      <c r="I697" s="51" t="n"/>
      <c r="J697" s="47" t="n"/>
      <c r="K697" s="47" t="n"/>
      <c r="L697" s="43">
        <f>IF($B697="","",ROUND((N($J697)+N($K697))*نسبة_القيمة_المضافة,2))</f>
        <v/>
      </c>
      <c r="M697" s="47" t="n"/>
      <c r="N697" s="47" t="n"/>
      <c r="O697" s="43">
        <f>IF($B697="","",N($J697)+N($K697)+N($L697)-N($M697)+N($N697))</f>
        <v/>
      </c>
      <c r="P697" s="47" t="n"/>
      <c r="Q697" s="43">
        <f>IF($B697="","",N($O697)-N($P697))</f>
        <v/>
      </c>
      <c r="R697" s="47" t="n"/>
      <c r="S697" s="47" t="n"/>
      <c r="T697" s="47" t="n"/>
      <c r="U697" s="43">
        <f>IF($B697="","",N($J697)-N($R697)-N($T697))</f>
        <v/>
      </c>
      <c r="V697" s="47" t="n"/>
    </row>
    <row r="698">
      <c r="A698" s="39">
        <f>IF($B698="","",COUNTA($B$4:$B698))</f>
        <v/>
      </c>
      <c r="B698" s="40" t="n"/>
      <c r="C698" s="41" t="n"/>
      <c r="D698" s="41" t="n"/>
      <c r="E698" s="41" t="n"/>
      <c r="F698" s="41" t="n"/>
      <c r="G698" s="41" t="n"/>
      <c r="H698" s="41" t="n"/>
      <c r="I698" s="50" t="n"/>
      <c r="J698" s="42" t="n"/>
      <c r="K698" s="42" t="n"/>
      <c r="L698" s="43">
        <f>IF($B698="","",ROUND((N($J698)+N($K698))*نسبة_القيمة_المضافة,2))</f>
        <v/>
      </c>
      <c r="M698" s="42" t="n"/>
      <c r="N698" s="42" t="n"/>
      <c r="O698" s="43">
        <f>IF($B698="","",N($J698)+N($K698)+N($L698)-N($M698)+N($N698))</f>
        <v/>
      </c>
      <c r="P698" s="42" t="n"/>
      <c r="Q698" s="43">
        <f>IF($B698="","",N($O698)-N($P698))</f>
        <v/>
      </c>
      <c r="R698" s="42" t="n"/>
      <c r="S698" s="42" t="n"/>
      <c r="T698" s="42" t="n"/>
      <c r="U698" s="43">
        <f>IF($B698="","",N($J698)-N($R698)-N($T698))</f>
        <v/>
      </c>
      <c r="V698" s="42" t="n"/>
    </row>
    <row r="699">
      <c r="A699" s="39">
        <f>IF($B699="","",COUNTA($B$4:$B699))</f>
        <v/>
      </c>
      <c r="B699" s="45" t="n"/>
      <c r="C699" s="46" t="n"/>
      <c r="D699" s="46" t="n"/>
      <c r="E699" s="46" t="n"/>
      <c r="F699" s="46" t="n"/>
      <c r="G699" s="46" t="n"/>
      <c r="H699" s="46" t="n"/>
      <c r="I699" s="51" t="n"/>
      <c r="J699" s="47" t="n"/>
      <c r="K699" s="47" t="n"/>
      <c r="L699" s="43">
        <f>IF($B699="","",ROUND((N($J699)+N($K699))*نسبة_القيمة_المضافة,2))</f>
        <v/>
      </c>
      <c r="M699" s="47" t="n"/>
      <c r="N699" s="47" t="n"/>
      <c r="O699" s="43">
        <f>IF($B699="","",N($J699)+N($K699)+N($L699)-N($M699)+N($N699))</f>
        <v/>
      </c>
      <c r="P699" s="47" t="n"/>
      <c r="Q699" s="43">
        <f>IF($B699="","",N($O699)-N($P699))</f>
        <v/>
      </c>
      <c r="R699" s="47" t="n"/>
      <c r="S699" s="47" t="n"/>
      <c r="T699" s="47" t="n"/>
      <c r="U699" s="43">
        <f>IF($B699="","",N($J699)-N($R699)-N($T699))</f>
        <v/>
      </c>
      <c r="V699" s="47" t="n"/>
    </row>
    <row r="700">
      <c r="A700" s="39">
        <f>IF($B700="","",COUNTA($B$4:$B700))</f>
        <v/>
      </c>
      <c r="B700" s="40" t="n"/>
      <c r="C700" s="41" t="n"/>
      <c r="D700" s="41" t="n"/>
      <c r="E700" s="41" t="n"/>
      <c r="F700" s="41" t="n"/>
      <c r="G700" s="41" t="n"/>
      <c r="H700" s="41" t="n"/>
      <c r="I700" s="50" t="n"/>
      <c r="J700" s="42" t="n"/>
      <c r="K700" s="42" t="n"/>
      <c r="L700" s="43">
        <f>IF($B700="","",ROUND((N($J700)+N($K700))*نسبة_القيمة_المضافة,2))</f>
        <v/>
      </c>
      <c r="M700" s="42" t="n"/>
      <c r="N700" s="42" t="n"/>
      <c r="O700" s="43">
        <f>IF($B700="","",N($J700)+N($K700)+N($L700)-N($M700)+N($N700))</f>
        <v/>
      </c>
      <c r="P700" s="42" t="n"/>
      <c r="Q700" s="43">
        <f>IF($B700="","",N($O700)-N($P700))</f>
        <v/>
      </c>
      <c r="R700" s="42" t="n"/>
      <c r="S700" s="42" t="n"/>
      <c r="T700" s="42" t="n"/>
      <c r="U700" s="43">
        <f>IF($B700="","",N($J700)-N($R700)-N($T700))</f>
        <v/>
      </c>
      <c r="V700" s="42" t="n"/>
    </row>
    <row r="701">
      <c r="A701" s="39">
        <f>IF($B701="","",COUNTA($B$4:$B701))</f>
        <v/>
      </c>
      <c r="B701" s="45" t="n"/>
      <c r="C701" s="46" t="n"/>
      <c r="D701" s="46" t="n"/>
      <c r="E701" s="46" t="n"/>
      <c r="F701" s="46" t="n"/>
      <c r="G701" s="46" t="n"/>
      <c r="H701" s="46" t="n"/>
      <c r="I701" s="51" t="n"/>
      <c r="J701" s="47" t="n"/>
      <c r="K701" s="47" t="n"/>
      <c r="L701" s="43">
        <f>IF($B701="","",ROUND((N($J701)+N($K701))*نسبة_القيمة_المضافة,2))</f>
        <v/>
      </c>
      <c r="M701" s="47" t="n"/>
      <c r="N701" s="47" t="n"/>
      <c r="O701" s="43">
        <f>IF($B701="","",N($J701)+N($K701)+N($L701)-N($M701)+N($N701))</f>
        <v/>
      </c>
      <c r="P701" s="47" t="n"/>
      <c r="Q701" s="43">
        <f>IF($B701="","",N($O701)-N($P701))</f>
        <v/>
      </c>
      <c r="R701" s="47" t="n"/>
      <c r="S701" s="47" t="n"/>
      <c r="T701" s="47" t="n"/>
      <c r="U701" s="43">
        <f>IF($B701="","",N($J701)-N($R701)-N($T701))</f>
        <v/>
      </c>
      <c r="V701" s="47" t="n"/>
    </row>
    <row r="702">
      <c r="A702" s="39">
        <f>IF($B702="","",COUNTA($B$4:$B702))</f>
        <v/>
      </c>
      <c r="B702" s="40" t="n"/>
      <c r="C702" s="41" t="n"/>
      <c r="D702" s="41" t="n"/>
      <c r="E702" s="41" t="n"/>
      <c r="F702" s="41" t="n"/>
      <c r="G702" s="41" t="n"/>
      <c r="H702" s="41" t="n"/>
      <c r="I702" s="50" t="n"/>
      <c r="J702" s="42" t="n"/>
      <c r="K702" s="42" t="n"/>
      <c r="L702" s="43">
        <f>IF($B702="","",ROUND((N($J702)+N($K702))*نسبة_القيمة_المضافة,2))</f>
        <v/>
      </c>
      <c r="M702" s="42" t="n"/>
      <c r="N702" s="42" t="n"/>
      <c r="O702" s="43">
        <f>IF($B702="","",N($J702)+N($K702)+N($L702)-N($M702)+N($N702))</f>
        <v/>
      </c>
      <c r="P702" s="42" t="n"/>
      <c r="Q702" s="43">
        <f>IF($B702="","",N($O702)-N($P702))</f>
        <v/>
      </c>
      <c r="R702" s="42" t="n"/>
      <c r="S702" s="42" t="n"/>
      <c r="T702" s="42" t="n"/>
      <c r="U702" s="43">
        <f>IF($B702="","",N($J702)-N($R702)-N($T702))</f>
        <v/>
      </c>
      <c r="V702" s="42" t="n"/>
    </row>
    <row r="703">
      <c r="A703" s="39">
        <f>IF($B703="","",COUNTA($B$4:$B703))</f>
        <v/>
      </c>
      <c r="B703" s="45" t="n"/>
      <c r="C703" s="46" t="n"/>
      <c r="D703" s="46" t="n"/>
      <c r="E703" s="46" t="n"/>
      <c r="F703" s="46" t="n"/>
      <c r="G703" s="46" t="n"/>
      <c r="H703" s="46" t="n"/>
      <c r="I703" s="51" t="n"/>
      <c r="J703" s="47" t="n"/>
      <c r="K703" s="47" t="n"/>
      <c r="L703" s="43">
        <f>IF($B703="","",ROUND((N($J703)+N($K703))*نسبة_القيمة_المضافة,2))</f>
        <v/>
      </c>
      <c r="M703" s="47" t="n"/>
      <c r="N703" s="47" t="n"/>
      <c r="O703" s="43">
        <f>IF($B703="","",N($J703)+N($K703)+N($L703)-N($M703)+N($N703))</f>
        <v/>
      </c>
      <c r="P703" s="47" t="n"/>
      <c r="Q703" s="43">
        <f>IF($B703="","",N($O703)-N($P703))</f>
        <v/>
      </c>
      <c r="R703" s="47" t="n"/>
      <c r="S703" s="47" t="n"/>
      <c r="T703" s="47" t="n"/>
      <c r="U703" s="43">
        <f>IF($B703="","",N($J703)-N($R703)-N($T703))</f>
        <v/>
      </c>
      <c r="V703" s="47" t="n"/>
    </row>
    <row r="704">
      <c r="A704" s="39">
        <f>IF($B704="","",COUNTA($B$4:$B704))</f>
        <v/>
      </c>
      <c r="B704" s="40" t="n"/>
      <c r="C704" s="41" t="n"/>
      <c r="D704" s="41" t="n"/>
      <c r="E704" s="41" t="n"/>
      <c r="F704" s="41" t="n"/>
      <c r="G704" s="41" t="n"/>
      <c r="H704" s="41" t="n"/>
      <c r="I704" s="50" t="n"/>
      <c r="J704" s="42" t="n"/>
      <c r="K704" s="42" t="n"/>
      <c r="L704" s="43">
        <f>IF($B704="","",ROUND((N($J704)+N($K704))*نسبة_القيمة_المضافة,2))</f>
        <v/>
      </c>
      <c r="M704" s="42" t="n"/>
      <c r="N704" s="42" t="n"/>
      <c r="O704" s="43">
        <f>IF($B704="","",N($J704)+N($K704)+N($L704)-N($M704)+N($N704))</f>
        <v/>
      </c>
      <c r="P704" s="42" t="n"/>
      <c r="Q704" s="43">
        <f>IF($B704="","",N($O704)-N($P704))</f>
        <v/>
      </c>
      <c r="R704" s="42" t="n"/>
      <c r="S704" s="42" t="n"/>
      <c r="T704" s="42" t="n"/>
      <c r="U704" s="43">
        <f>IF($B704="","",N($J704)-N($R704)-N($T704))</f>
        <v/>
      </c>
      <c r="V704" s="42" t="n"/>
    </row>
    <row r="705">
      <c r="A705" s="39">
        <f>IF($B705="","",COUNTA($B$4:$B705))</f>
        <v/>
      </c>
      <c r="B705" s="45" t="n"/>
      <c r="C705" s="46" t="n"/>
      <c r="D705" s="46" t="n"/>
      <c r="E705" s="46" t="n"/>
      <c r="F705" s="46" t="n"/>
      <c r="G705" s="46" t="n"/>
      <c r="H705" s="46" t="n"/>
      <c r="I705" s="51" t="n"/>
      <c r="J705" s="47" t="n"/>
      <c r="K705" s="47" t="n"/>
      <c r="L705" s="43">
        <f>IF($B705="","",ROUND((N($J705)+N($K705))*نسبة_القيمة_المضافة,2))</f>
        <v/>
      </c>
      <c r="M705" s="47" t="n"/>
      <c r="N705" s="47" t="n"/>
      <c r="O705" s="43">
        <f>IF($B705="","",N($J705)+N($K705)+N($L705)-N($M705)+N($N705))</f>
        <v/>
      </c>
      <c r="P705" s="47" t="n"/>
      <c r="Q705" s="43">
        <f>IF($B705="","",N($O705)-N($P705))</f>
        <v/>
      </c>
      <c r="R705" s="47" t="n"/>
      <c r="S705" s="47" t="n"/>
      <c r="T705" s="47" t="n"/>
      <c r="U705" s="43">
        <f>IF($B705="","",N($J705)-N($R705)-N($T705))</f>
        <v/>
      </c>
      <c r="V705" s="47" t="n"/>
    </row>
    <row r="706">
      <c r="A706" s="39">
        <f>IF($B706="","",COUNTA($B$4:$B706))</f>
        <v/>
      </c>
      <c r="B706" s="40" t="n"/>
      <c r="C706" s="41" t="n"/>
      <c r="D706" s="41" t="n"/>
      <c r="E706" s="41" t="n"/>
      <c r="F706" s="41" t="n"/>
      <c r="G706" s="41" t="n"/>
      <c r="H706" s="41" t="n"/>
      <c r="I706" s="50" t="n"/>
      <c r="J706" s="42" t="n"/>
      <c r="K706" s="42" t="n"/>
      <c r="L706" s="43">
        <f>IF($B706="","",ROUND((N($J706)+N($K706))*نسبة_القيمة_المضافة,2))</f>
        <v/>
      </c>
      <c r="M706" s="42" t="n"/>
      <c r="N706" s="42" t="n"/>
      <c r="O706" s="43">
        <f>IF($B706="","",N($J706)+N($K706)+N($L706)-N($M706)+N($N706))</f>
        <v/>
      </c>
      <c r="P706" s="42" t="n"/>
      <c r="Q706" s="43">
        <f>IF($B706="","",N($O706)-N($P706))</f>
        <v/>
      </c>
      <c r="R706" s="42" t="n"/>
      <c r="S706" s="42" t="n"/>
      <c r="T706" s="42" t="n"/>
      <c r="U706" s="43">
        <f>IF($B706="","",N($J706)-N($R706)-N($T706))</f>
        <v/>
      </c>
      <c r="V706" s="42" t="n"/>
    </row>
    <row r="707">
      <c r="A707" s="39">
        <f>IF($B707="","",COUNTA($B$4:$B707))</f>
        <v/>
      </c>
      <c r="B707" s="45" t="n"/>
      <c r="C707" s="46" t="n"/>
      <c r="D707" s="46" t="n"/>
      <c r="E707" s="46" t="n"/>
      <c r="F707" s="46" t="n"/>
      <c r="G707" s="46" t="n"/>
      <c r="H707" s="46" t="n"/>
      <c r="I707" s="51" t="n"/>
      <c r="J707" s="47" t="n"/>
      <c r="K707" s="47" t="n"/>
      <c r="L707" s="43">
        <f>IF($B707="","",ROUND((N($J707)+N($K707))*نسبة_القيمة_المضافة,2))</f>
        <v/>
      </c>
      <c r="M707" s="47" t="n"/>
      <c r="N707" s="47" t="n"/>
      <c r="O707" s="43">
        <f>IF($B707="","",N($J707)+N($K707)+N($L707)-N($M707)+N($N707))</f>
        <v/>
      </c>
      <c r="P707" s="47" t="n"/>
      <c r="Q707" s="43">
        <f>IF($B707="","",N($O707)-N($P707))</f>
        <v/>
      </c>
      <c r="R707" s="47" t="n"/>
      <c r="S707" s="47" t="n"/>
      <c r="T707" s="47" t="n"/>
      <c r="U707" s="43">
        <f>IF($B707="","",N($J707)-N($R707)-N($T707))</f>
        <v/>
      </c>
      <c r="V707" s="47" t="n"/>
    </row>
    <row r="708">
      <c r="A708" s="39">
        <f>IF($B708="","",COUNTA($B$4:$B708))</f>
        <v/>
      </c>
      <c r="B708" s="40" t="n"/>
      <c r="C708" s="41" t="n"/>
      <c r="D708" s="41" t="n"/>
      <c r="E708" s="41" t="n"/>
      <c r="F708" s="41" t="n"/>
      <c r="G708" s="41" t="n"/>
      <c r="H708" s="41" t="n"/>
      <c r="I708" s="50" t="n"/>
      <c r="J708" s="42" t="n"/>
      <c r="K708" s="42" t="n"/>
      <c r="L708" s="43">
        <f>IF($B708="","",ROUND((N($J708)+N($K708))*نسبة_القيمة_المضافة,2))</f>
        <v/>
      </c>
      <c r="M708" s="42" t="n"/>
      <c r="N708" s="42" t="n"/>
      <c r="O708" s="43">
        <f>IF($B708="","",N($J708)+N($K708)+N($L708)-N($M708)+N($N708))</f>
        <v/>
      </c>
      <c r="P708" s="42" t="n"/>
      <c r="Q708" s="43">
        <f>IF($B708="","",N($O708)-N($P708))</f>
        <v/>
      </c>
      <c r="R708" s="42" t="n"/>
      <c r="S708" s="42" t="n"/>
      <c r="T708" s="42" t="n"/>
      <c r="U708" s="43">
        <f>IF($B708="","",N($J708)-N($R708)-N($T708))</f>
        <v/>
      </c>
      <c r="V708" s="42" t="n"/>
    </row>
    <row r="709">
      <c r="A709" s="39">
        <f>IF($B709="","",COUNTA($B$4:$B709))</f>
        <v/>
      </c>
      <c r="B709" s="45" t="n"/>
      <c r="C709" s="46" t="n"/>
      <c r="D709" s="46" t="n"/>
      <c r="E709" s="46" t="n"/>
      <c r="F709" s="46" t="n"/>
      <c r="G709" s="46" t="n"/>
      <c r="H709" s="46" t="n"/>
      <c r="I709" s="51" t="n"/>
      <c r="J709" s="47" t="n"/>
      <c r="K709" s="47" t="n"/>
      <c r="L709" s="43">
        <f>IF($B709="","",ROUND((N($J709)+N($K709))*نسبة_القيمة_المضافة,2))</f>
        <v/>
      </c>
      <c r="M709" s="47" t="n"/>
      <c r="N709" s="47" t="n"/>
      <c r="O709" s="43">
        <f>IF($B709="","",N($J709)+N($K709)+N($L709)-N($M709)+N($N709))</f>
        <v/>
      </c>
      <c r="P709" s="47" t="n"/>
      <c r="Q709" s="43">
        <f>IF($B709="","",N($O709)-N($P709))</f>
        <v/>
      </c>
      <c r="R709" s="47" t="n"/>
      <c r="S709" s="47" t="n"/>
      <c r="T709" s="47" t="n"/>
      <c r="U709" s="43">
        <f>IF($B709="","",N($J709)-N($R709)-N($T709))</f>
        <v/>
      </c>
      <c r="V709" s="47" t="n"/>
    </row>
    <row r="710">
      <c r="A710" s="39">
        <f>IF($B710="","",COUNTA($B$4:$B710))</f>
        <v/>
      </c>
      <c r="B710" s="40" t="n"/>
      <c r="C710" s="41" t="n"/>
      <c r="D710" s="41" t="n"/>
      <c r="E710" s="41" t="n"/>
      <c r="F710" s="41" t="n"/>
      <c r="G710" s="41" t="n"/>
      <c r="H710" s="41" t="n"/>
      <c r="I710" s="50" t="n"/>
      <c r="J710" s="42" t="n"/>
      <c r="K710" s="42" t="n"/>
      <c r="L710" s="43">
        <f>IF($B710="","",ROUND((N($J710)+N($K710))*نسبة_القيمة_المضافة,2))</f>
        <v/>
      </c>
      <c r="M710" s="42" t="n"/>
      <c r="N710" s="42" t="n"/>
      <c r="O710" s="43">
        <f>IF($B710="","",N($J710)+N($K710)+N($L710)-N($M710)+N($N710))</f>
        <v/>
      </c>
      <c r="P710" s="42" t="n"/>
      <c r="Q710" s="43">
        <f>IF($B710="","",N($O710)-N($P710))</f>
        <v/>
      </c>
      <c r="R710" s="42" t="n"/>
      <c r="S710" s="42" t="n"/>
      <c r="T710" s="42" t="n"/>
      <c r="U710" s="43">
        <f>IF($B710="","",N($J710)-N($R710)-N($T710))</f>
        <v/>
      </c>
      <c r="V710" s="42" t="n"/>
    </row>
    <row r="711">
      <c r="A711" s="39">
        <f>IF($B711="","",COUNTA($B$4:$B711))</f>
        <v/>
      </c>
      <c r="B711" s="45" t="n"/>
      <c r="C711" s="46" t="n"/>
      <c r="D711" s="46" t="n"/>
      <c r="E711" s="46" t="n"/>
      <c r="F711" s="46" t="n"/>
      <c r="G711" s="46" t="n"/>
      <c r="H711" s="46" t="n"/>
      <c r="I711" s="51" t="n"/>
      <c r="J711" s="47" t="n"/>
      <c r="K711" s="47" t="n"/>
      <c r="L711" s="43">
        <f>IF($B711="","",ROUND((N($J711)+N($K711))*نسبة_القيمة_المضافة,2))</f>
        <v/>
      </c>
      <c r="M711" s="47" t="n"/>
      <c r="N711" s="47" t="n"/>
      <c r="O711" s="43">
        <f>IF($B711="","",N($J711)+N($K711)+N($L711)-N($M711)+N($N711))</f>
        <v/>
      </c>
      <c r="P711" s="47" t="n"/>
      <c r="Q711" s="43">
        <f>IF($B711="","",N($O711)-N($P711))</f>
        <v/>
      </c>
      <c r="R711" s="47" t="n"/>
      <c r="S711" s="47" t="n"/>
      <c r="T711" s="47" t="n"/>
      <c r="U711" s="43">
        <f>IF($B711="","",N($J711)-N($R711)-N($T711))</f>
        <v/>
      </c>
      <c r="V711" s="47" t="n"/>
    </row>
    <row r="712">
      <c r="A712" s="39">
        <f>IF($B712="","",COUNTA($B$4:$B712))</f>
        <v/>
      </c>
      <c r="B712" s="40" t="n"/>
      <c r="C712" s="41" t="n"/>
      <c r="D712" s="41" t="n"/>
      <c r="E712" s="41" t="n"/>
      <c r="F712" s="41" t="n"/>
      <c r="G712" s="41" t="n"/>
      <c r="H712" s="41" t="n"/>
      <c r="I712" s="50" t="n"/>
      <c r="J712" s="42" t="n"/>
      <c r="K712" s="42" t="n"/>
      <c r="L712" s="43">
        <f>IF($B712="","",ROUND((N($J712)+N($K712))*نسبة_القيمة_المضافة,2))</f>
        <v/>
      </c>
      <c r="M712" s="42" t="n"/>
      <c r="N712" s="42" t="n"/>
      <c r="O712" s="43">
        <f>IF($B712="","",N($J712)+N($K712)+N($L712)-N($M712)+N($N712))</f>
        <v/>
      </c>
      <c r="P712" s="42" t="n"/>
      <c r="Q712" s="43">
        <f>IF($B712="","",N($O712)-N($P712))</f>
        <v/>
      </c>
      <c r="R712" s="42" t="n"/>
      <c r="S712" s="42" t="n"/>
      <c r="T712" s="42" t="n"/>
      <c r="U712" s="43">
        <f>IF($B712="","",N($J712)-N($R712)-N($T712))</f>
        <v/>
      </c>
      <c r="V712" s="42" t="n"/>
    </row>
    <row r="713">
      <c r="A713" s="39">
        <f>IF($B713="","",COUNTA($B$4:$B713))</f>
        <v/>
      </c>
      <c r="B713" s="45" t="n"/>
      <c r="C713" s="46" t="n"/>
      <c r="D713" s="46" t="n"/>
      <c r="E713" s="46" t="n"/>
      <c r="F713" s="46" t="n"/>
      <c r="G713" s="46" t="n"/>
      <c r="H713" s="46" t="n"/>
      <c r="I713" s="51" t="n"/>
      <c r="J713" s="47" t="n"/>
      <c r="K713" s="47" t="n"/>
      <c r="L713" s="43">
        <f>IF($B713="","",ROUND((N($J713)+N($K713))*نسبة_القيمة_المضافة,2))</f>
        <v/>
      </c>
      <c r="M713" s="47" t="n"/>
      <c r="N713" s="47" t="n"/>
      <c r="O713" s="43">
        <f>IF($B713="","",N($J713)+N($K713)+N($L713)-N($M713)+N($N713))</f>
        <v/>
      </c>
      <c r="P713" s="47" t="n"/>
      <c r="Q713" s="43">
        <f>IF($B713="","",N($O713)-N($P713))</f>
        <v/>
      </c>
      <c r="R713" s="47" t="n"/>
      <c r="S713" s="47" t="n"/>
      <c r="T713" s="47" t="n"/>
      <c r="U713" s="43">
        <f>IF($B713="","",N($J713)-N($R713)-N($T713))</f>
        <v/>
      </c>
      <c r="V713" s="47" t="n"/>
    </row>
    <row r="714">
      <c r="A714" s="39">
        <f>IF($B714="","",COUNTA($B$4:$B714))</f>
        <v/>
      </c>
      <c r="B714" s="40" t="n"/>
      <c r="C714" s="41" t="n"/>
      <c r="D714" s="41" t="n"/>
      <c r="E714" s="41" t="n"/>
      <c r="F714" s="41" t="n"/>
      <c r="G714" s="41" t="n"/>
      <c r="H714" s="41" t="n"/>
      <c r="I714" s="50" t="n"/>
      <c r="J714" s="42" t="n"/>
      <c r="K714" s="42" t="n"/>
      <c r="L714" s="43">
        <f>IF($B714="","",ROUND((N($J714)+N($K714))*نسبة_القيمة_المضافة,2))</f>
        <v/>
      </c>
      <c r="M714" s="42" t="n"/>
      <c r="N714" s="42" t="n"/>
      <c r="O714" s="43">
        <f>IF($B714="","",N($J714)+N($K714)+N($L714)-N($M714)+N($N714))</f>
        <v/>
      </c>
      <c r="P714" s="42" t="n"/>
      <c r="Q714" s="43">
        <f>IF($B714="","",N($O714)-N($P714))</f>
        <v/>
      </c>
      <c r="R714" s="42" t="n"/>
      <c r="S714" s="42" t="n"/>
      <c r="T714" s="42" t="n"/>
      <c r="U714" s="43">
        <f>IF($B714="","",N($J714)-N($R714)-N($T714))</f>
        <v/>
      </c>
      <c r="V714" s="42" t="n"/>
    </row>
    <row r="715">
      <c r="A715" s="39">
        <f>IF($B715="","",COUNTA($B$4:$B715))</f>
        <v/>
      </c>
      <c r="B715" s="45" t="n"/>
      <c r="C715" s="46" t="n"/>
      <c r="D715" s="46" t="n"/>
      <c r="E715" s="46" t="n"/>
      <c r="F715" s="46" t="n"/>
      <c r="G715" s="46" t="n"/>
      <c r="H715" s="46" t="n"/>
      <c r="I715" s="51" t="n"/>
      <c r="J715" s="47" t="n"/>
      <c r="K715" s="47" t="n"/>
      <c r="L715" s="43">
        <f>IF($B715="","",ROUND((N($J715)+N($K715))*نسبة_القيمة_المضافة,2))</f>
        <v/>
      </c>
      <c r="M715" s="47" t="n"/>
      <c r="N715" s="47" t="n"/>
      <c r="O715" s="43">
        <f>IF($B715="","",N($J715)+N($K715)+N($L715)-N($M715)+N($N715))</f>
        <v/>
      </c>
      <c r="P715" s="47" t="n"/>
      <c r="Q715" s="43">
        <f>IF($B715="","",N($O715)-N($P715))</f>
        <v/>
      </c>
      <c r="R715" s="47" t="n"/>
      <c r="S715" s="47" t="n"/>
      <c r="T715" s="47" t="n"/>
      <c r="U715" s="43">
        <f>IF($B715="","",N($J715)-N($R715)-N($T715))</f>
        <v/>
      </c>
      <c r="V715" s="47" t="n"/>
    </row>
    <row r="716">
      <c r="A716" s="39">
        <f>IF($B716="","",COUNTA($B$4:$B716))</f>
        <v/>
      </c>
      <c r="B716" s="40" t="n"/>
      <c r="C716" s="41" t="n"/>
      <c r="D716" s="41" t="n"/>
      <c r="E716" s="41" t="n"/>
      <c r="F716" s="41" t="n"/>
      <c r="G716" s="41" t="n"/>
      <c r="H716" s="41" t="n"/>
      <c r="I716" s="50" t="n"/>
      <c r="J716" s="42" t="n"/>
      <c r="K716" s="42" t="n"/>
      <c r="L716" s="43">
        <f>IF($B716="","",ROUND((N($J716)+N($K716))*نسبة_القيمة_المضافة,2))</f>
        <v/>
      </c>
      <c r="M716" s="42" t="n"/>
      <c r="N716" s="42" t="n"/>
      <c r="O716" s="43">
        <f>IF($B716="","",N($J716)+N($K716)+N($L716)-N($M716)+N($N716))</f>
        <v/>
      </c>
      <c r="P716" s="42" t="n"/>
      <c r="Q716" s="43">
        <f>IF($B716="","",N($O716)-N($P716))</f>
        <v/>
      </c>
      <c r="R716" s="42" t="n"/>
      <c r="S716" s="42" t="n"/>
      <c r="T716" s="42" t="n"/>
      <c r="U716" s="43">
        <f>IF($B716="","",N($J716)-N($R716)-N($T716))</f>
        <v/>
      </c>
      <c r="V716" s="42" t="n"/>
    </row>
    <row r="717">
      <c r="A717" s="39">
        <f>IF($B717="","",COUNTA($B$4:$B717))</f>
        <v/>
      </c>
      <c r="B717" s="45" t="n"/>
      <c r="C717" s="46" t="n"/>
      <c r="D717" s="46" t="n"/>
      <c r="E717" s="46" t="n"/>
      <c r="F717" s="46" t="n"/>
      <c r="G717" s="46" t="n"/>
      <c r="H717" s="46" t="n"/>
      <c r="I717" s="51" t="n"/>
      <c r="J717" s="47" t="n"/>
      <c r="K717" s="47" t="n"/>
      <c r="L717" s="43">
        <f>IF($B717="","",ROUND((N($J717)+N($K717))*نسبة_القيمة_المضافة,2))</f>
        <v/>
      </c>
      <c r="M717" s="47" t="n"/>
      <c r="N717" s="47" t="n"/>
      <c r="O717" s="43">
        <f>IF($B717="","",N($J717)+N($K717)+N($L717)-N($M717)+N($N717))</f>
        <v/>
      </c>
      <c r="P717" s="47" t="n"/>
      <c r="Q717" s="43">
        <f>IF($B717="","",N($O717)-N($P717))</f>
        <v/>
      </c>
      <c r="R717" s="47" t="n"/>
      <c r="S717" s="47" t="n"/>
      <c r="T717" s="47" t="n"/>
      <c r="U717" s="43">
        <f>IF($B717="","",N($J717)-N($R717)-N($T717))</f>
        <v/>
      </c>
      <c r="V717" s="47" t="n"/>
    </row>
    <row r="718">
      <c r="A718" s="39">
        <f>IF($B718="","",COUNTA($B$4:$B718))</f>
        <v/>
      </c>
      <c r="B718" s="40" t="n"/>
      <c r="C718" s="41" t="n"/>
      <c r="D718" s="41" t="n"/>
      <c r="E718" s="41" t="n"/>
      <c r="F718" s="41" t="n"/>
      <c r="G718" s="41" t="n"/>
      <c r="H718" s="41" t="n"/>
      <c r="I718" s="50" t="n"/>
      <c r="J718" s="42" t="n"/>
      <c r="K718" s="42" t="n"/>
      <c r="L718" s="43">
        <f>IF($B718="","",ROUND((N($J718)+N($K718))*نسبة_القيمة_المضافة,2))</f>
        <v/>
      </c>
      <c r="M718" s="42" t="n"/>
      <c r="N718" s="42" t="n"/>
      <c r="O718" s="43">
        <f>IF($B718="","",N($J718)+N($K718)+N($L718)-N($M718)+N($N718))</f>
        <v/>
      </c>
      <c r="P718" s="42" t="n"/>
      <c r="Q718" s="43">
        <f>IF($B718="","",N($O718)-N($P718))</f>
        <v/>
      </c>
      <c r="R718" s="42" t="n"/>
      <c r="S718" s="42" t="n"/>
      <c r="T718" s="42" t="n"/>
      <c r="U718" s="43">
        <f>IF($B718="","",N($J718)-N($R718)-N($T718))</f>
        <v/>
      </c>
      <c r="V718" s="42" t="n"/>
    </row>
    <row r="719">
      <c r="A719" s="39">
        <f>IF($B719="","",COUNTA($B$4:$B719))</f>
        <v/>
      </c>
      <c r="B719" s="45" t="n"/>
      <c r="C719" s="46" t="n"/>
      <c r="D719" s="46" t="n"/>
      <c r="E719" s="46" t="n"/>
      <c r="F719" s="46" t="n"/>
      <c r="G719" s="46" t="n"/>
      <c r="H719" s="46" t="n"/>
      <c r="I719" s="51" t="n"/>
      <c r="J719" s="47" t="n"/>
      <c r="K719" s="47" t="n"/>
      <c r="L719" s="43">
        <f>IF($B719="","",ROUND((N($J719)+N($K719))*نسبة_القيمة_المضافة,2))</f>
        <v/>
      </c>
      <c r="M719" s="47" t="n"/>
      <c r="N719" s="47" t="n"/>
      <c r="O719" s="43">
        <f>IF($B719="","",N($J719)+N($K719)+N($L719)-N($M719)+N($N719))</f>
        <v/>
      </c>
      <c r="P719" s="47" t="n"/>
      <c r="Q719" s="43">
        <f>IF($B719="","",N($O719)-N($P719))</f>
        <v/>
      </c>
      <c r="R719" s="47" t="n"/>
      <c r="S719" s="47" t="n"/>
      <c r="T719" s="47" t="n"/>
      <c r="U719" s="43">
        <f>IF($B719="","",N($J719)-N($R719)-N($T719))</f>
        <v/>
      </c>
      <c r="V719" s="47" t="n"/>
    </row>
    <row r="720">
      <c r="A720" s="39">
        <f>IF($B720="","",COUNTA($B$4:$B720))</f>
        <v/>
      </c>
      <c r="B720" s="40" t="n"/>
      <c r="C720" s="41" t="n"/>
      <c r="D720" s="41" t="n"/>
      <c r="E720" s="41" t="n"/>
      <c r="F720" s="41" t="n"/>
      <c r="G720" s="41" t="n"/>
      <c r="H720" s="41" t="n"/>
      <c r="I720" s="50" t="n"/>
      <c r="J720" s="42" t="n"/>
      <c r="K720" s="42" t="n"/>
      <c r="L720" s="43">
        <f>IF($B720="","",ROUND((N($J720)+N($K720))*نسبة_القيمة_المضافة,2))</f>
        <v/>
      </c>
      <c r="M720" s="42" t="n"/>
      <c r="N720" s="42" t="n"/>
      <c r="O720" s="43">
        <f>IF($B720="","",N($J720)+N($K720)+N($L720)-N($M720)+N($N720))</f>
        <v/>
      </c>
      <c r="P720" s="42" t="n"/>
      <c r="Q720" s="43">
        <f>IF($B720="","",N($O720)-N($P720))</f>
        <v/>
      </c>
      <c r="R720" s="42" t="n"/>
      <c r="S720" s="42" t="n"/>
      <c r="T720" s="42" t="n"/>
      <c r="U720" s="43">
        <f>IF($B720="","",N($J720)-N($R720)-N($T720))</f>
        <v/>
      </c>
      <c r="V720" s="42" t="n"/>
    </row>
    <row r="721">
      <c r="A721" s="39">
        <f>IF($B721="","",COUNTA($B$4:$B721))</f>
        <v/>
      </c>
      <c r="B721" s="45" t="n"/>
      <c r="C721" s="46" t="n"/>
      <c r="D721" s="46" t="n"/>
      <c r="E721" s="46" t="n"/>
      <c r="F721" s="46" t="n"/>
      <c r="G721" s="46" t="n"/>
      <c r="H721" s="46" t="n"/>
      <c r="I721" s="51" t="n"/>
      <c r="J721" s="47" t="n"/>
      <c r="K721" s="47" t="n"/>
      <c r="L721" s="43">
        <f>IF($B721="","",ROUND((N($J721)+N($K721))*نسبة_القيمة_المضافة,2))</f>
        <v/>
      </c>
      <c r="M721" s="47" t="n"/>
      <c r="N721" s="47" t="n"/>
      <c r="O721" s="43">
        <f>IF($B721="","",N($J721)+N($K721)+N($L721)-N($M721)+N($N721))</f>
        <v/>
      </c>
      <c r="P721" s="47" t="n"/>
      <c r="Q721" s="43">
        <f>IF($B721="","",N($O721)-N($P721))</f>
        <v/>
      </c>
      <c r="R721" s="47" t="n"/>
      <c r="S721" s="47" t="n"/>
      <c r="T721" s="47" t="n"/>
      <c r="U721" s="43">
        <f>IF($B721="","",N($J721)-N($R721)-N($T721))</f>
        <v/>
      </c>
      <c r="V721" s="47" t="n"/>
    </row>
    <row r="722">
      <c r="A722" s="39">
        <f>IF($B722="","",COUNTA($B$4:$B722))</f>
        <v/>
      </c>
      <c r="B722" s="40" t="n"/>
      <c r="C722" s="41" t="n"/>
      <c r="D722" s="41" t="n"/>
      <c r="E722" s="41" t="n"/>
      <c r="F722" s="41" t="n"/>
      <c r="G722" s="41" t="n"/>
      <c r="H722" s="41" t="n"/>
      <c r="I722" s="50" t="n"/>
      <c r="J722" s="42" t="n"/>
      <c r="K722" s="42" t="n"/>
      <c r="L722" s="43">
        <f>IF($B722="","",ROUND((N($J722)+N($K722))*نسبة_القيمة_المضافة,2))</f>
        <v/>
      </c>
      <c r="M722" s="42" t="n"/>
      <c r="N722" s="42" t="n"/>
      <c r="O722" s="43">
        <f>IF($B722="","",N($J722)+N($K722)+N($L722)-N($M722)+N($N722))</f>
        <v/>
      </c>
      <c r="P722" s="42" t="n"/>
      <c r="Q722" s="43">
        <f>IF($B722="","",N($O722)-N($P722))</f>
        <v/>
      </c>
      <c r="R722" s="42" t="n"/>
      <c r="S722" s="42" t="n"/>
      <c r="T722" s="42" t="n"/>
      <c r="U722" s="43">
        <f>IF($B722="","",N($J722)-N($R722)-N($T722))</f>
        <v/>
      </c>
      <c r="V722" s="42" t="n"/>
    </row>
    <row r="723">
      <c r="A723" s="39">
        <f>IF($B723="","",COUNTA($B$4:$B723))</f>
        <v/>
      </c>
      <c r="B723" s="45" t="n"/>
      <c r="C723" s="46" t="n"/>
      <c r="D723" s="46" t="n"/>
      <c r="E723" s="46" t="n"/>
      <c r="F723" s="46" t="n"/>
      <c r="G723" s="46" t="n"/>
      <c r="H723" s="46" t="n"/>
      <c r="I723" s="51" t="n"/>
      <c r="J723" s="47" t="n"/>
      <c r="K723" s="47" t="n"/>
      <c r="L723" s="43">
        <f>IF($B723="","",ROUND((N($J723)+N($K723))*نسبة_القيمة_المضافة,2))</f>
        <v/>
      </c>
      <c r="M723" s="47" t="n"/>
      <c r="N723" s="47" t="n"/>
      <c r="O723" s="43">
        <f>IF($B723="","",N($J723)+N($K723)+N($L723)-N($M723)+N($N723))</f>
        <v/>
      </c>
      <c r="P723" s="47" t="n"/>
      <c r="Q723" s="43">
        <f>IF($B723="","",N($O723)-N($P723))</f>
        <v/>
      </c>
      <c r="R723" s="47" t="n"/>
      <c r="S723" s="47" t="n"/>
      <c r="T723" s="47" t="n"/>
      <c r="U723" s="43">
        <f>IF($B723="","",N($J723)-N($R723)-N($T723))</f>
        <v/>
      </c>
      <c r="V723" s="47" t="n"/>
    </row>
    <row r="724">
      <c r="A724" s="39">
        <f>IF($B724="","",COUNTA($B$4:$B724))</f>
        <v/>
      </c>
      <c r="B724" s="40" t="n"/>
      <c r="C724" s="41" t="n"/>
      <c r="D724" s="41" t="n"/>
      <c r="E724" s="41" t="n"/>
      <c r="F724" s="41" t="n"/>
      <c r="G724" s="41" t="n"/>
      <c r="H724" s="41" t="n"/>
      <c r="I724" s="50" t="n"/>
      <c r="J724" s="42" t="n"/>
      <c r="K724" s="42" t="n"/>
      <c r="L724" s="43">
        <f>IF($B724="","",ROUND((N($J724)+N($K724))*نسبة_القيمة_المضافة,2))</f>
        <v/>
      </c>
      <c r="M724" s="42" t="n"/>
      <c r="N724" s="42" t="n"/>
      <c r="O724" s="43">
        <f>IF($B724="","",N($J724)+N($K724)+N($L724)-N($M724)+N($N724))</f>
        <v/>
      </c>
      <c r="P724" s="42" t="n"/>
      <c r="Q724" s="43">
        <f>IF($B724="","",N($O724)-N($P724))</f>
        <v/>
      </c>
      <c r="R724" s="42" t="n"/>
      <c r="S724" s="42" t="n"/>
      <c r="T724" s="42" t="n"/>
      <c r="U724" s="43">
        <f>IF($B724="","",N($J724)-N($R724)-N($T724))</f>
        <v/>
      </c>
      <c r="V724" s="42" t="n"/>
    </row>
    <row r="725">
      <c r="A725" s="39">
        <f>IF($B725="","",COUNTA($B$4:$B725))</f>
        <v/>
      </c>
      <c r="B725" s="45" t="n"/>
      <c r="C725" s="46" t="n"/>
      <c r="D725" s="46" t="n"/>
      <c r="E725" s="46" t="n"/>
      <c r="F725" s="46" t="n"/>
      <c r="G725" s="46" t="n"/>
      <c r="H725" s="46" t="n"/>
      <c r="I725" s="51" t="n"/>
      <c r="J725" s="47" t="n"/>
      <c r="K725" s="47" t="n"/>
      <c r="L725" s="43">
        <f>IF($B725="","",ROUND((N($J725)+N($K725))*نسبة_القيمة_المضافة,2))</f>
        <v/>
      </c>
      <c r="M725" s="47" t="n"/>
      <c r="N725" s="47" t="n"/>
      <c r="O725" s="43">
        <f>IF($B725="","",N($J725)+N($K725)+N($L725)-N($M725)+N($N725))</f>
        <v/>
      </c>
      <c r="P725" s="47" t="n"/>
      <c r="Q725" s="43">
        <f>IF($B725="","",N($O725)-N($P725))</f>
        <v/>
      </c>
      <c r="R725" s="47" t="n"/>
      <c r="S725" s="47" t="n"/>
      <c r="T725" s="47" t="n"/>
      <c r="U725" s="43">
        <f>IF($B725="","",N($J725)-N($R725)-N($T725))</f>
        <v/>
      </c>
      <c r="V725" s="47" t="n"/>
    </row>
    <row r="726">
      <c r="A726" s="39">
        <f>IF($B726="","",COUNTA($B$4:$B726))</f>
        <v/>
      </c>
      <c r="B726" s="40" t="n"/>
      <c r="C726" s="41" t="n"/>
      <c r="D726" s="41" t="n"/>
      <c r="E726" s="41" t="n"/>
      <c r="F726" s="41" t="n"/>
      <c r="G726" s="41" t="n"/>
      <c r="H726" s="41" t="n"/>
      <c r="I726" s="50" t="n"/>
      <c r="J726" s="42" t="n"/>
      <c r="K726" s="42" t="n"/>
      <c r="L726" s="43">
        <f>IF($B726="","",ROUND((N($J726)+N($K726))*نسبة_القيمة_المضافة,2))</f>
        <v/>
      </c>
      <c r="M726" s="42" t="n"/>
      <c r="N726" s="42" t="n"/>
      <c r="O726" s="43">
        <f>IF($B726="","",N($J726)+N($K726)+N($L726)-N($M726)+N($N726))</f>
        <v/>
      </c>
      <c r="P726" s="42" t="n"/>
      <c r="Q726" s="43">
        <f>IF($B726="","",N($O726)-N($P726))</f>
        <v/>
      </c>
      <c r="R726" s="42" t="n"/>
      <c r="S726" s="42" t="n"/>
      <c r="T726" s="42" t="n"/>
      <c r="U726" s="43">
        <f>IF($B726="","",N($J726)-N($R726)-N($T726))</f>
        <v/>
      </c>
      <c r="V726" s="42" t="n"/>
    </row>
    <row r="727">
      <c r="A727" s="39">
        <f>IF($B727="","",COUNTA($B$4:$B727))</f>
        <v/>
      </c>
      <c r="B727" s="45" t="n"/>
      <c r="C727" s="46" t="n"/>
      <c r="D727" s="46" t="n"/>
      <c r="E727" s="46" t="n"/>
      <c r="F727" s="46" t="n"/>
      <c r="G727" s="46" t="n"/>
      <c r="H727" s="46" t="n"/>
      <c r="I727" s="51" t="n"/>
      <c r="J727" s="47" t="n"/>
      <c r="K727" s="47" t="n"/>
      <c r="L727" s="43">
        <f>IF($B727="","",ROUND((N($J727)+N($K727))*نسبة_القيمة_المضافة,2))</f>
        <v/>
      </c>
      <c r="M727" s="47" t="n"/>
      <c r="N727" s="47" t="n"/>
      <c r="O727" s="43">
        <f>IF($B727="","",N($J727)+N($K727)+N($L727)-N($M727)+N($N727))</f>
        <v/>
      </c>
      <c r="P727" s="47" t="n"/>
      <c r="Q727" s="43">
        <f>IF($B727="","",N($O727)-N($P727))</f>
        <v/>
      </c>
      <c r="R727" s="47" t="n"/>
      <c r="S727" s="47" t="n"/>
      <c r="T727" s="47" t="n"/>
      <c r="U727" s="43">
        <f>IF($B727="","",N($J727)-N($R727)-N($T727))</f>
        <v/>
      </c>
      <c r="V727" s="47" t="n"/>
    </row>
    <row r="728">
      <c r="A728" s="39">
        <f>IF($B728="","",COUNTA($B$4:$B728))</f>
        <v/>
      </c>
      <c r="B728" s="40" t="n"/>
      <c r="C728" s="41" t="n"/>
      <c r="D728" s="41" t="n"/>
      <c r="E728" s="41" t="n"/>
      <c r="F728" s="41" t="n"/>
      <c r="G728" s="41" t="n"/>
      <c r="H728" s="41" t="n"/>
      <c r="I728" s="50" t="n"/>
      <c r="J728" s="42" t="n"/>
      <c r="K728" s="42" t="n"/>
      <c r="L728" s="43">
        <f>IF($B728="","",ROUND((N($J728)+N($K728))*نسبة_القيمة_المضافة,2))</f>
        <v/>
      </c>
      <c r="M728" s="42" t="n"/>
      <c r="N728" s="42" t="n"/>
      <c r="O728" s="43">
        <f>IF($B728="","",N($J728)+N($K728)+N($L728)-N($M728)+N($N728))</f>
        <v/>
      </c>
      <c r="P728" s="42" t="n"/>
      <c r="Q728" s="43">
        <f>IF($B728="","",N($O728)-N($P728))</f>
        <v/>
      </c>
      <c r="R728" s="42" t="n"/>
      <c r="S728" s="42" t="n"/>
      <c r="T728" s="42" t="n"/>
      <c r="U728" s="43">
        <f>IF($B728="","",N($J728)-N($R728)-N($T728))</f>
        <v/>
      </c>
      <c r="V728" s="42" t="n"/>
    </row>
    <row r="729">
      <c r="A729" s="39">
        <f>IF($B729="","",COUNTA($B$4:$B729))</f>
        <v/>
      </c>
      <c r="B729" s="45" t="n"/>
      <c r="C729" s="46" t="n"/>
      <c r="D729" s="46" t="n"/>
      <c r="E729" s="46" t="n"/>
      <c r="F729" s="46" t="n"/>
      <c r="G729" s="46" t="n"/>
      <c r="H729" s="46" t="n"/>
      <c r="I729" s="51" t="n"/>
      <c r="J729" s="47" t="n"/>
      <c r="K729" s="47" t="n"/>
      <c r="L729" s="43">
        <f>IF($B729="","",ROUND((N($J729)+N($K729))*نسبة_القيمة_المضافة,2))</f>
        <v/>
      </c>
      <c r="M729" s="47" t="n"/>
      <c r="N729" s="47" t="n"/>
      <c r="O729" s="43">
        <f>IF($B729="","",N($J729)+N($K729)+N($L729)-N($M729)+N($N729))</f>
        <v/>
      </c>
      <c r="P729" s="47" t="n"/>
      <c r="Q729" s="43">
        <f>IF($B729="","",N($O729)-N($P729))</f>
        <v/>
      </c>
      <c r="R729" s="47" t="n"/>
      <c r="S729" s="47" t="n"/>
      <c r="T729" s="47" t="n"/>
      <c r="U729" s="43">
        <f>IF($B729="","",N($J729)-N($R729)-N($T729))</f>
        <v/>
      </c>
      <c r="V729" s="47" t="n"/>
    </row>
    <row r="730">
      <c r="A730" s="39">
        <f>IF($B730="","",COUNTA($B$4:$B730))</f>
        <v/>
      </c>
      <c r="B730" s="40" t="n"/>
      <c r="C730" s="41" t="n"/>
      <c r="D730" s="41" t="n"/>
      <c r="E730" s="41" t="n"/>
      <c r="F730" s="41" t="n"/>
      <c r="G730" s="41" t="n"/>
      <c r="H730" s="41" t="n"/>
      <c r="I730" s="50" t="n"/>
      <c r="J730" s="42" t="n"/>
      <c r="K730" s="42" t="n"/>
      <c r="L730" s="43">
        <f>IF($B730="","",ROUND((N($J730)+N($K730))*نسبة_القيمة_المضافة,2))</f>
        <v/>
      </c>
      <c r="M730" s="42" t="n"/>
      <c r="N730" s="42" t="n"/>
      <c r="O730" s="43">
        <f>IF($B730="","",N($J730)+N($K730)+N($L730)-N($M730)+N($N730))</f>
        <v/>
      </c>
      <c r="P730" s="42" t="n"/>
      <c r="Q730" s="43">
        <f>IF($B730="","",N($O730)-N($P730))</f>
        <v/>
      </c>
      <c r="R730" s="42" t="n"/>
      <c r="S730" s="42" t="n"/>
      <c r="T730" s="42" t="n"/>
      <c r="U730" s="43">
        <f>IF($B730="","",N($J730)-N($R730)-N($T730))</f>
        <v/>
      </c>
      <c r="V730" s="42" t="n"/>
    </row>
    <row r="731">
      <c r="A731" s="39">
        <f>IF($B731="","",COUNTA($B$4:$B731))</f>
        <v/>
      </c>
      <c r="B731" s="45" t="n"/>
      <c r="C731" s="46" t="n"/>
      <c r="D731" s="46" t="n"/>
      <c r="E731" s="46" t="n"/>
      <c r="F731" s="46" t="n"/>
      <c r="G731" s="46" t="n"/>
      <c r="H731" s="46" t="n"/>
      <c r="I731" s="51" t="n"/>
      <c r="J731" s="47" t="n"/>
      <c r="K731" s="47" t="n"/>
      <c r="L731" s="43">
        <f>IF($B731="","",ROUND((N($J731)+N($K731))*نسبة_القيمة_المضافة,2))</f>
        <v/>
      </c>
      <c r="M731" s="47" t="n"/>
      <c r="N731" s="47" t="n"/>
      <c r="O731" s="43">
        <f>IF($B731="","",N($J731)+N($K731)+N($L731)-N($M731)+N($N731))</f>
        <v/>
      </c>
      <c r="P731" s="47" t="n"/>
      <c r="Q731" s="43">
        <f>IF($B731="","",N($O731)-N($P731))</f>
        <v/>
      </c>
      <c r="R731" s="47" t="n"/>
      <c r="S731" s="47" t="n"/>
      <c r="T731" s="47" t="n"/>
      <c r="U731" s="43">
        <f>IF($B731="","",N($J731)-N($R731)-N($T731))</f>
        <v/>
      </c>
      <c r="V731" s="47" t="n"/>
    </row>
    <row r="732">
      <c r="A732" s="39">
        <f>IF($B732="","",COUNTA($B$4:$B732))</f>
        <v/>
      </c>
      <c r="B732" s="40" t="n"/>
      <c r="C732" s="41" t="n"/>
      <c r="D732" s="41" t="n"/>
      <c r="E732" s="41" t="n"/>
      <c r="F732" s="41" t="n"/>
      <c r="G732" s="41" t="n"/>
      <c r="H732" s="41" t="n"/>
      <c r="I732" s="50" t="n"/>
      <c r="J732" s="42" t="n"/>
      <c r="K732" s="42" t="n"/>
      <c r="L732" s="43">
        <f>IF($B732="","",ROUND((N($J732)+N($K732))*نسبة_القيمة_المضافة,2))</f>
        <v/>
      </c>
      <c r="M732" s="42" t="n"/>
      <c r="N732" s="42" t="n"/>
      <c r="O732" s="43">
        <f>IF($B732="","",N($J732)+N($K732)+N($L732)-N($M732)+N($N732))</f>
        <v/>
      </c>
      <c r="P732" s="42" t="n"/>
      <c r="Q732" s="43">
        <f>IF($B732="","",N($O732)-N($P732))</f>
        <v/>
      </c>
      <c r="R732" s="42" t="n"/>
      <c r="S732" s="42" t="n"/>
      <c r="T732" s="42" t="n"/>
      <c r="U732" s="43">
        <f>IF($B732="","",N($J732)-N($R732)-N($T732))</f>
        <v/>
      </c>
      <c r="V732" s="42" t="n"/>
    </row>
    <row r="733">
      <c r="A733" s="39">
        <f>IF($B733="","",COUNTA($B$4:$B733))</f>
        <v/>
      </c>
      <c r="B733" s="45" t="n"/>
      <c r="C733" s="46" t="n"/>
      <c r="D733" s="46" t="n"/>
      <c r="E733" s="46" t="n"/>
      <c r="F733" s="46" t="n"/>
      <c r="G733" s="46" t="n"/>
      <c r="H733" s="46" t="n"/>
      <c r="I733" s="51" t="n"/>
      <c r="J733" s="47" t="n"/>
      <c r="K733" s="47" t="n"/>
      <c r="L733" s="43">
        <f>IF($B733="","",ROUND((N($J733)+N($K733))*نسبة_القيمة_المضافة,2))</f>
        <v/>
      </c>
      <c r="M733" s="47" t="n"/>
      <c r="N733" s="47" t="n"/>
      <c r="O733" s="43">
        <f>IF($B733="","",N($J733)+N($K733)+N($L733)-N($M733)+N($N733))</f>
        <v/>
      </c>
      <c r="P733" s="47" t="n"/>
      <c r="Q733" s="43">
        <f>IF($B733="","",N($O733)-N($P733))</f>
        <v/>
      </c>
      <c r="R733" s="47" t="n"/>
      <c r="S733" s="47" t="n"/>
      <c r="T733" s="47" t="n"/>
      <c r="U733" s="43">
        <f>IF($B733="","",N($J733)-N($R733)-N($T733))</f>
        <v/>
      </c>
      <c r="V733" s="47" t="n"/>
    </row>
    <row r="734">
      <c r="A734" s="39">
        <f>IF($B734="","",COUNTA($B$4:$B734))</f>
        <v/>
      </c>
      <c r="B734" s="40" t="n"/>
      <c r="C734" s="41" t="n"/>
      <c r="D734" s="41" t="n"/>
      <c r="E734" s="41" t="n"/>
      <c r="F734" s="41" t="n"/>
      <c r="G734" s="41" t="n"/>
      <c r="H734" s="41" t="n"/>
      <c r="I734" s="50" t="n"/>
      <c r="J734" s="42" t="n"/>
      <c r="K734" s="42" t="n"/>
      <c r="L734" s="43">
        <f>IF($B734="","",ROUND((N($J734)+N($K734))*نسبة_القيمة_المضافة,2))</f>
        <v/>
      </c>
      <c r="M734" s="42" t="n"/>
      <c r="N734" s="42" t="n"/>
      <c r="O734" s="43">
        <f>IF($B734="","",N($J734)+N($K734)+N($L734)-N($M734)+N($N734))</f>
        <v/>
      </c>
      <c r="P734" s="42" t="n"/>
      <c r="Q734" s="43">
        <f>IF($B734="","",N($O734)-N($P734))</f>
        <v/>
      </c>
      <c r="R734" s="42" t="n"/>
      <c r="S734" s="42" t="n"/>
      <c r="T734" s="42" t="n"/>
      <c r="U734" s="43">
        <f>IF($B734="","",N($J734)-N($R734)-N($T734))</f>
        <v/>
      </c>
      <c r="V734" s="42" t="n"/>
    </row>
    <row r="735">
      <c r="A735" s="39">
        <f>IF($B735="","",COUNTA($B$4:$B735))</f>
        <v/>
      </c>
      <c r="B735" s="45" t="n"/>
      <c r="C735" s="46" t="n"/>
      <c r="D735" s="46" t="n"/>
      <c r="E735" s="46" t="n"/>
      <c r="F735" s="46" t="n"/>
      <c r="G735" s="46" t="n"/>
      <c r="H735" s="46" t="n"/>
      <c r="I735" s="51" t="n"/>
      <c r="J735" s="47" t="n"/>
      <c r="K735" s="47" t="n"/>
      <c r="L735" s="43">
        <f>IF($B735="","",ROUND((N($J735)+N($K735))*نسبة_القيمة_المضافة,2))</f>
        <v/>
      </c>
      <c r="M735" s="47" t="n"/>
      <c r="N735" s="47" t="n"/>
      <c r="O735" s="43">
        <f>IF($B735="","",N($J735)+N($K735)+N($L735)-N($M735)+N($N735))</f>
        <v/>
      </c>
      <c r="P735" s="47" t="n"/>
      <c r="Q735" s="43">
        <f>IF($B735="","",N($O735)-N($P735))</f>
        <v/>
      </c>
      <c r="R735" s="47" t="n"/>
      <c r="S735" s="47" t="n"/>
      <c r="T735" s="47" t="n"/>
      <c r="U735" s="43">
        <f>IF($B735="","",N($J735)-N($R735)-N($T735))</f>
        <v/>
      </c>
      <c r="V735" s="47" t="n"/>
    </row>
    <row r="736">
      <c r="A736" s="39">
        <f>IF($B736="","",COUNTA($B$4:$B736))</f>
        <v/>
      </c>
      <c r="B736" s="40" t="n"/>
      <c r="C736" s="41" t="n"/>
      <c r="D736" s="41" t="n"/>
      <c r="E736" s="41" t="n"/>
      <c r="F736" s="41" t="n"/>
      <c r="G736" s="41" t="n"/>
      <c r="H736" s="41" t="n"/>
      <c r="I736" s="50" t="n"/>
      <c r="J736" s="42" t="n"/>
      <c r="K736" s="42" t="n"/>
      <c r="L736" s="43">
        <f>IF($B736="","",ROUND((N($J736)+N($K736))*نسبة_القيمة_المضافة,2))</f>
        <v/>
      </c>
      <c r="M736" s="42" t="n"/>
      <c r="N736" s="42" t="n"/>
      <c r="O736" s="43">
        <f>IF($B736="","",N($J736)+N($K736)+N($L736)-N($M736)+N($N736))</f>
        <v/>
      </c>
      <c r="P736" s="42" t="n"/>
      <c r="Q736" s="43">
        <f>IF($B736="","",N($O736)-N($P736))</f>
        <v/>
      </c>
      <c r="R736" s="42" t="n"/>
      <c r="S736" s="42" t="n"/>
      <c r="T736" s="42" t="n"/>
      <c r="U736" s="43">
        <f>IF($B736="","",N($J736)-N($R736)-N($T736))</f>
        <v/>
      </c>
      <c r="V736" s="42" t="n"/>
    </row>
    <row r="737">
      <c r="A737" s="39">
        <f>IF($B737="","",COUNTA($B$4:$B737))</f>
        <v/>
      </c>
      <c r="B737" s="45" t="n"/>
      <c r="C737" s="46" t="n"/>
      <c r="D737" s="46" t="n"/>
      <c r="E737" s="46" t="n"/>
      <c r="F737" s="46" t="n"/>
      <c r="G737" s="46" t="n"/>
      <c r="H737" s="46" t="n"/>
      <c r="I737" s="51" t="n"/>
      <c r="J737" s="47" t="n"/>
      <c r="K737" s="47" t="n"/>
      <c r="L737" s="43">
        <f>IF($B737="","",ROUND((N($J737)+N($K737))*نسبة_القيمة_المضافة,2))</f>
        <v/>
      </c>
      <c r="M737" s="47" t="n"/>
      <c r="N737" s="47" t="n"/>
      <c r="O737" s="43">
        <f>IF($B737="","",N($J737)+N($K737)+N($L737)-N($M737)+N($N737))</f>
        <v/>
      </c>
      <c r="P737" s="47" t="n"/>
      <c r="Q737" s="43">
        <f>IF($B737="","",N($O737)-N($P737))</f>
        <v/>
      </c>
      <c r="R737" s="47" t="n"/>
      <c r="S737" s="47" t="n"/>
      <c r="T737" s="47" t="n"/>
      <c r="U737" s="43">
        <f>IF($B737="","",N($J737)-N($R737)-N($T737))</f>
        <v/>
      </c>
      <c r="V737" s="47" t="n"/>
    </row>
    <row r="738">
      <c r="A738" s="39">
        <f>IF($B738="","",COUNTA($B$4:$B738))</f>
        <v/>
      </c>
      <c r="B738" s="40" t="n"/>
      <c r="C738" s="41" t="n"/>
      <c r="D738" s="41" t="n"/>
      <c r="E738" s="41" t="n"/>
      <c r="F738" s="41" t="n"/>
      <c r="G738" s="41" t="n"/>
      <c r="H738" s="41" t="n"/>
      <c r="I738" s="50" t="n"/>
      <c r="J738" s="42" t="n"/>
      <c r="K738" s="42" t="n"/>
      <c r="L738" s="43">
        <f>IF($B738="","",ROUND((N($J738)+N($K738))*نسبة_القيمة_المضافة,2))</f>
        <v/>
      </c>
      <c r="M738" s="42" t="n"/>
      <c r="N738" s="42" t="n"/>
      <c r="O738" s="43">
        <f>IF($B738="","",N($J738)+N($K738)+N($L738)-N($M738)+N($N738))</f>
        <v/>
      </c>
      <c r="P738" s="42" t="n"/>
      <c r="Q738" s="43">
        <f>IF($B738="","",N($O738)-N($P738))</f>
        <v/>
      </c>
      <c r="R738" s="42" t="n"/>
      <c r="S738" s="42" t="n"/>
      <c r="T738" s="42" t="n"/>
      <c r="U738" s="43">
        <f>IF($B738="","",N($J738)-N($R738)-N($T738))</f>
        <v/>
      </c>
      <c r="V738" s="42" t="n"/>
    </row>
    <row r="739">
      <c r="A739" s="39">
        <f>IF($B739="","",COUNTA($B$4:$B739))</f>
        <v/>
      </c>
      <c r="B739" s="45" t="n"/>
      <c r="C739" s="46" t="n"/>
      <c r="D739" s="46" t="n"/>
      <c r="E739" s="46" t="n"/>
      <c r="F739" s="46" t="n"/>
      <c r="G739" s="46" t="n"/>
      <c r="H739" s="46" t="n"/>
      <c r="I739" s="51" t="n"/>
      <c r="J739" s="47" t="n"/>
      <c r="K739" s="47" t="n"/>
      <c r="L739" s="43">
        <f>IF($B739="","",ROUND((N($J739)+N($K739))*نسبة_القيمة_المضافة,2))</f>
        <v/>
      </c>
      <c r="M739" s="47" t="n"/>
      <c r="N739" s="47" t="n"/>
      <c r="O739" s="43">
        <f>IF($B739="","",N($J739)+N($K739)+N($L739)-N($M739)+N($N739))</f>
        <v/>
      </c>
      <c r="P739" s="47" t="n"/>
      <c r="Q739" s="43">
        <f>IF($B739="","",N($O739)-N($P739))</f>
        <v/>
      </c>
      <c r="R739" s="47" t="n"/>
      <c r="S739" s="47" t="n"/>
      <c r="T739" s="47" t="n"/>
      <c r="U739" s="43">
        <f>IF($B739="","",N($J739)-N($R739)-N($T739))</f>
        <v/>
      </c>
      <c r="V739" s="47" t="n"/>
    </row>
    <row r="740">
      <c r="A740" s="39">
        <f>IF($B740="","",COUNTA($B$4:$B740))</f>
        <v/>
      </c>
      <c r="B740" s="40" t="n"/>
      <c r="C740" s="41" t="n"/>
      <c r="D740" s="41" t="n"/>
      <c r="E740" s="41" t="n"/>
      <c r="F740" s="41" t="n"/>
      <c r="G740" s="41" t="n"/>
      <c r="H740" s="41" t="n"/>
      <c r="I740" s="50" t="n"/>
      <c r="J740" s="42" t="n"/>
      <c r="K740" s="42" t="n"/>
      <c r="L740" s="43">
        <f>IF($B740="","",ROUND((N($J740)+N($K740))*نسبة_القيمة_المضافة,2))</f>
        <v/>
      </c>
      <c r="M740" s="42" t="n"/>
      <c r="N740" s="42" t="n"/>
      <c r="O740" s="43">
        <f>IF($B740="","",N($J740)+N($K740)+N($L740)-N($M740)+N($N740))</f>
        <v/>
      </c>
      <c r="P740" s="42" t="n"/>
      <c r="Q740" s="43">
        <f>IF($B740="","",N($O740)-N($P740))</f>
        <v/>
      </c>
      <c r="R740" s="42" t="n"/>
      <c r="S740" s="42" t="n"/>
      <c r="T740" s="42" t="n"/>
      <c r="U740" s="43">
        <f>IF($B740="","",N($J740)-N($R740)-N($T740))</f>
        <v/>
      </c>
      <c r="V740" s="42" t="n"/>
    </row>
    <row r="741">
      <c r="A741" s="39">
        <f>IF($B741="","",COUNTA($B$4:$B741))</f>
        <v/>
      </c>
      <c r="B741" s="45" t="n"/>
      <c r="C741" s="46" t="n"/>
      <c r="D741" s="46" t="n"/>
      <c r="E741" s="46" t="n"/>
      <c r="F741" s="46" t="n"/>
      <c r="G741" s="46" t="n"/>
      <c r="H741" s="46" t="n"/>
      <c r="I741" s="51" t="n"/>
      <c r="J741" s="47" t="n"/>
      <c r="K741" s="47" t="n"/>
      <c r="L741" s="43">
        <f>IF($B741="","",ROUND((N($J741)+N($K741))*نسبة_القيمة_المضافة,2))</f>
        <v/>
      </c>
      <c r="M741" s="47" t="n"/>
      <c r="N741" s="47" t="n"/>
      <c r="O741" s="43">
        <f>IF($B741="","",N($J741)+N($K741)+N($L741)-N($M741)+N($N741))</f>
        <v/>
      </c>
      <c r="P741" s="47" t="n"/>
      <c r="Q741" s="43">
        <f>IF($B741="","",N($O741)-N($P741))</f>
        <v/>
      </c>
      <c r="R741" s="47" t="n"/>
      <c r="S741" s="47" t="n"/>
      <c r="T741" s="47" t="n"/>
      <c r="U741" s="43">
        <f>IF($B741="","",N($J741)-N($R741)-N($T741))</f>
        <v/>
      </c>
      <c r="V741" s="47" t="n"/>
    </row>
    <row r="742">
      <c r="A742" s="39">
        <f>IF($B742="","",COUNTA($B$4:$B742))</f>
        <v/>
      </c>
      <c r="B742" s="40" t="n"/>
      <c r="C742" s="41" t="n"/>
      <c r="D742" s="41" t="n"/>
      <c r="E742" s="41" t="n"/>
      <c r="F742" s="41" t="n"/>
      <c r="G742" s="41" t="n"/>
      <c r="H742" s="41" t="n"/>
      <c r="I742" s="50" t="n"/>
      <c r="J742" s="42" t="n"/>
      <c r="K742" s="42" t="n"/>
      <c r="L742" s="43">
        <f>IF($B742="","",ROUND((N($J742)+N($K742))*نسبة_القيمة_المضافة,2))</f>
        <v/>
      </c>
      <c r="M742" s="42" t="n"/>
      <c r="N742" s="42" t="n"/>
      <c r="O742" s="43">
        <f>IF($B742="","",N($J742)+N($K742)+N($L742)-N($M742)+N($N742))</f>
        <v/>
      </c>
      <c r="P742" s="42" t="n"/>
      <c r="Q742" s="43">
        <f>IF($B742="","",N($O742)-N($P742))</f>
        <v/>
      </c>
      <c r="R742" s="42" t="n"/>
      <c r="S742" s="42" t="n"/>
      <c r="T742" s="42" t="n"/>
      <c r="U742" s="43">
        <f>IF($B742="","",N($J742)-N($R742)-N($T742))</f>
        <v/>
      </c>
      <c r="V742" s="42" t="n"/>
    </row>
    <row r="743">
      <c r="A743" s="39">
        <f>IF($B743="","",COUNTA($B$4:$B743))</f>
        <v/>
      </c>
      <c r="B743" s="45" t="n"/>
      <c r="C743" s="46" t="n"/>
      <c r="D743" s="46" t="n"/>
      <c r="E743" s="46" t="n"/>
      <c r="F743" s="46" t="n"/>
      <c r="G743" s="46" t="n"/>
      <c r="H743" s="46" t="n"/>
      <c r="I743" s="51" t="n"/>
      <c r="J743" s="47" t="n"/>
      <c r="K743" s="47" t="n"/>
      <c r="L743" s="43">
        <f>IF($B743="","",ROUND((N($J743)+N($K743))*نسبة_القيمة_المضافة,2))</f>
        <v/>
      </c>
      <c r="M743" s="47" t="n"/>
      <c r="N743" s="47" t="n"/>
      <c r="O743" s="43">
        <f>IF($B743="","",N($J743)+N($K743)+N($L743)-N($M743)+N($N743))</f>
        <v/>
      </c>
      <c r="P743" s="47" t="n"/>
      <c r="Q743" s="43">
        <f>IF($B743="","",N($O743)-N($P743))</f>
        <v/>
      </c>
      <c r="R743" s="47" t="n"/>
      <c r="S743" s="47" t="n"/>
      <c r="T743" s="47" t="n"/>
      <c r="U743" s="43">
        <f>IF($B743="","",N($J743)-N($R743)-N($T743))</f>
        <v/>
      </c>
      <c r="V743" s="47" t="n"/>
    </row>
    <row r="744">
      <c r="A744" s="39">
        <f>IF($B744="","",COUNTA($B$4:$B744))</f>
        <v/>
      </c>
      <c r="B744" s="40" t="n"/>
      <c r="C744" s="41" t="n"/>
      <c r="D744" s="41" t="n"/>
      <c r="E744" s="41" t="n"/>
      <c r="F744" s="41" t="n"/>
      <c r="G744" s="41" t="n"/>
      <c r="H744" s="41" t="n"/>
      <c r="I744" s="50" t="n"/>
      <c r="J744" s="42" t="n"/>
      <c r="K744" s="42" t="n"/>
      <c r="L744" s="43">
        <f>IF($B744="","",ROUND((N($J744)+N($K744))*نسبة_القيمة_المضافة,2))</f>
        <v/>
      </c>
      <c r="M744" s="42" t="n"/>
      <c r="N744" s="42" t="n"/>
      <c r="O744" s="43">
        <f>IF($B744="","",N($J744)+N($K744)+N($L744)-N($M744)+N($N744))</f>
        <v/>
      </c>
      <c r="P744" s="42" t="n"/>
      <c r="Q744" s="43">
        <f>IF($B744="","",N($O744)-N($P744))</f>
        <v/>
      </c>
      <c r="R744" s="42" t="n"/>
      <c r="S744" s="42" t="n"/>
      <c r="T744" s="42" t="n"/>
      <c r="U744" s="43">
        <f>IF($B744="","",N($J744)-N($R744)-N($T744))</f>
        <v/>
      </c>
      <c r="V744" s="42" t="n"/>
    </row>
    <row r="745">
      <c r="A745" s="39">
        <f>IF($B745="","",COUNTA($B$4:$B745))</f>
        <v/>
      </c>
      <c r="B745" s="45" t="n"/>
      <c r="C745" s="46" t="n"/>
      <c r="D745" s="46" t="n"/>
      <c r="E745" s="46" t="n"/>
      <c r="F745" s="46" t="n"/>
      <c r="G745" s="46" t="n"/>
      <c r="H745" s="46" t="n"/>
      <c r="I745" s="51" t="n"/>
      <c r="J745" s="47" t="n"/>
      <c r="K745" s="47" t="n"/>
      <c r="L745" s="43">
        <f>IF($B745="","",ROUND((N($J745)+N($K745))*نسبة_القيمة_المضافة,2))</f>
        <v/>
      </c>
      <c r="M745" s="47" t="n"/>
      <c r="N745" s="47" t="n"/>
      <c r="O745" s="43">
        <f>IF($B745="","",N($J745)+N($K745)+N($L745)-N($M745)+N($N745))</f>
        <v/>
      </c>
      <c r="P745" s="47" t="n"/>
      <c r="Q745" s="43">
        <f>IF($B745="","",N($O745)-N($P745))</f>
        <v/>
      </c>
      <c r="R745" s="47" t="n"/>
      <c r="S745" s="47" t="n"/>
      <c r="T745" s="47" t="n"/>
      <c r="U745" s="43">
        <f>IF($B745="","",N($J745)-N($R745)-N($T745))</f>
        <v/>
      </c>
      <c r="V745" s="47" t="n"/>
    </row>
    <row r="746">
      <c r="A746" s="39">
        <f>IF($B746="","",COUNTA($B$4:$B746))</f>
        <v/>
      </c>
      <c r="B746" s="40" t="n"/>
      <c r="C746" s="41" t="n"/>
      <c r="D746" s="41" t="n"/>
      <c r="E746" s="41" t="n"/>
      <c r="F746" s="41" t="n"/>
      <c r="G746" s="41" t="n"/>
      <c r="H746" s="41" t="n"/>
      <c r="I746" s="50" t="n"/>
      <c r="J746" s="42" t="n"/>
      <c r="K746" s="42" t="n"/>
      <c r="L746" s="43">
        <f>IF($B746="","",ROUND((N($J746)+N($K746))*نسبة_القيمة_المضافة,2))</f>
        <v/>
      </c>
      <c r="M746" s="42" t="n"/>
      <c r="N746" s="42" t="n"/>
      <c r="O746" s="43">
        <f>IF($B746="","",N($J746)+N($K746)+N($L746)-N($M746)+N($N746))</f>
        <v/>
      </c>
      <c r="P746" s="42" t="n"/>
      <c r="Q746" s="43">
        <f>IF($B746="","",N($O746)-N($P746))</f>
        <v/>
      </c>
      <c r="R746" s="42" t="n"/>
      <c r="S746" s="42" t="n"/>
      <c r="T746" s="42" t="n"/>
      <c r="U746" s="43">
        <f>IF($B746="","",N($J746)-N($R746)-N($T746))</f>
        <v/>
      </c>
      <c r="V746" s="42" t="n"/>
    </row>
    <row r="747">
      <c r="A747" s="39">
        <f>IF($B747="","",COUNTA($B$4:$B747))</f>
        <v/>
      </c>
      <c r="B747" s="45" t="n"/>
      <c r="C747" s="46" t="n"/>
      <c r="D747" s="46" t="n"/>
      <c r="E747" s="46" t="n"/>
      <c r="F747" s="46" t="n"/>
      <c r="G747" s="46" t="n"/>
      <c r="H747" s="46" t="n"/>
      <c r="I747" s="51" t="n"/>
      <c r="J747" s="47" t="n"/>
      <c r="K747" s="47" t="n"/>
      <c r="L747" s="43">
        <f>IF($B747="","",ROUND((N($J747)+N($K747))*نسبة_القيمة_المضافة,2))</f>
        <v/>
      </c>
      <c r="M747" s="47" t="n"/>
      <c r="N747" s="47" t="n"/>
      <c r="O747" s="43">
        <f>IF($B747="","",N($J747)+N($K747)+N($L747)-N($M747)+N($N747))</f>
        <v/>
      </c>
      <c r="P747" s="47" t="n"/>
      <c r="Q747" s="43">
        <f>IF($B747="","",N($O747)-N($P747))</f>
        <v/>
      </c>
      <c r="R747" s="47" t="n"/>
      <c r="S747" s="47" t="n"/>
      <c r="T747" s="47" t="n"/>
      <c r="U747" s="43">
        <f>IF($B747="","",N($J747)-N($R747)-N($T747))</f>
        <v/>
      </c>
      <c r="V747" s="47" t="n"/>
    </row>
    <row r="748">
      <c r="A748" s="39">
        <f>IF($B748="","",COUNTA($B$4:$B748))</f>
        <v/>
      </c>
      <c r="B748" s="40" t="n"/>
      <c r="C748" s="41" t="n"/>
      <c r="D748" s="41" t="n"/>
      <c r="E748" s="41" t="n"/>
      <c r="F748" s="41" t="n"/>
      <c r="G748" s="41" t="n"/>
      <c r="H748" s="41" t="n"/>
      <c r="I748" s="50" t="n"/>
      <c r="J748" s="42" t="n"/>
      <c r="K748" s="42" t="n"/>
      <c r="L748" s="43">
        <f>IF($B748="","",ROUND((N($J748)+N($K748))*نسبة_القيمة_المضافة,2))</f>
        <v/>
      </c>
      <c r="M748" s="42" t="n"/>
      <c r="N748" s="42" t="n"/>
      <c r="O748" s="43">
        <f>IF($B748="","",N($J748)+N($K748)+N($L748)-N($M748)+N($N748))</f>
        <v/>
      </c>
      <c r="P748" s="42" t="n"/>
      <c r="Q748" s="43">
        <f>IF($B748="","",N($O748)-N($P748))</f>
        <v/>
      </c>
      <c r="R748" s="42" t="n"/>
      <c r="S748" s="42" t="n"/>
      <c r="T748" s="42" t="n"/>
      <c r="U748" s="43">
        <f>IF($B748="","",N($J748)-N($R748)-N($T748))</f>
        <v/>
      </c>
      <c r="V748" s="42" t="n"/>
    </row>
    <row r="749">
      <c r="A749" s="39">
        <f>IF($B749="","",COUNTA($B$4:$B749))</f>
        <v/>
      </c>
      <c r="B749" s="45" t="n"/>
      <c r="C749" s="46" t="n"/>
      <c r="D749" s="46" t="n"/>
      <c r="E749" s="46" t="n"/>
      <c r="F749" s="46" t="n"/>
      <c r="G749" s="46" t="n"/>
      <c r="H749" s="46" t="n"/>
      <c r="I749" s="51" t="n"/>
      <c r="J749" s="47" t="n"/>
      <c r="K749" s="47" t="n"/>
      <c r="L749" s="43">
        <f>IF($B749="","",ROUND((N($J749)+N($K749))*نسبة_القيمة_المضافة,2))</f>
        <v/>
      </c>
      <c r="M749" s="47" t="n"/>
      <c r="N749" s="47" t="n"/>
      <c r="O749" s="43">
        <f>IF($B749="","",N($J749)+N($K749)+N($L749)-N($M749)+N($N749))</f>
        <v/>
      </c>
      <c r="P749" s="47" t="n"/>
      <c r="Q749" s="43">
        <f>IF($B749="","",N($O749)-N($P749))</f>
        <v/>
      </c>
      <c r="R749" s="47" t="n"/>
      <c r="S749" s="47" t="n"/>
      <c r="T749" s="47" t="n"/>
      <c r="U749" s="43">
        <f>IF($B749="","",N($J749)-N($R749)-N($T749))</f>
        <v/>
      </c>
      <c r="V749" s="47" t="n"/>
    </row>
    <row r="750">
      <c r="A750" s="39">
        <f>IF($B750="","",COUNTA($B$4:$B750))</f>
        <v/>
      </c>
      <c r="B750" s="40" t="n"/>
      <c r="C750" s="41" t="n"/>
      <c r="D750" s="41" t="n"/>
      <c r="E750" s="41" t="n"/>
      <c r="F750" s="41" t="n"/>
      <c r="G750" s="41" t="n"/>
      <c r="H750" s="41" t="n"/>
      <c r="I750" s="50" t="n"/>
      <c r="J750" s="42" t="n"/>
      <c r="K750" s="42" t="n"/>
      <c r="L750" s="43">
        <f>IF($B750="","",ROUND((N($J750)+N($K750))*نسبة_القيمة_المضافة,2))</f>
        <v/>
      </c>
      <c r="M750" s="42" t="n"/>
      <c r="N750" s="42" t="n"/>
      <c r="O750" s="43">
        <f>IF($B750="","",N($J750)+N($K750)+N($L750)-N($M750)+N($N750))</f>
        <v/>
      </c>
      <c r="P750" s="42" t="n"/>
      <c r="Q750" s="43">
        <f>IF($B750="","",N($O750)-N($P750))</f>
        <v/>
      </c>
      <c r="R750" s="42" t="n"/>
      <c r="S750" s="42" t="n"/>
      <c r="T750" s="42" t="n"/>
      <c r="U750" s="43">
        <f>IF($B750="","",N($J750)-N($R750)-N($T750))</f>
        <v/>
      </c>
      <c r="V750" s="42" t="n"/>
    </row>
    <row r="751">
      <c r="A751" s="39">
        <f>IF($B751="","",COUNTA($B$4:$B751))</f>
        <v/>
      </c>
      <c r="B751" s="45" t="n"/>
      <c r="C751" s="46" t="n"/>
      <c r="D751" s="46" t="n"/>
      <c r="E751" s="46" t="n"/>
      <c r="F751" s="46" t="n"/>
      <c r="G751" s="46" t="n"/>
      <c r="H751" s="46" t="n"/>
      <c r="I751" s="51" t="n"/>
      <c r="J751" s="47" t="n"/>
      <c r="K751" s="47" t="n"/>
      <c r="L751" s="43">
        <f>IF($B751="","",ROUND((N($J751)+N($K751))*نسبة_القيمة_المضافة,2))</f>
        <v/>
      </c>
      <c r="M751" s="47" t="n"/>
      <c r="N751" s="47" t="n"/>
      <c r="O751" s="43">
        <f>IF($B751="","",N($J751)+N($K751)+N($L751)-N($M751)+N($N751))</f>
        <v/>
      </c>
      <c r="P751" s="47" t="n"/>
      <c r="Q751" s="43">
        <f>IF($B751="","",N($O751)-N($P751))</f>
        <v/>
      </c>
      <c r="R751" s="47" t="n"/>
      <c r="S751" s="47" t="n"/>
      <c r="T751" s="47" t="n"/>
      <c r="U751" s="43">
        <f>IF($B751="","",N($J751)-N($R751)-N($T751))</f>
        <v/>
      </c>
      <c r="V751" s="47" t="n"/>
    </row>
    <row r="752">
      <c r="A752" s="39">
        <f>IF($B752="","",COUNTA($B$4:$B752))</f>
        <v/>
      </c>
      <c r="B752" s="40" t="n"/>
      <c r="C752" s="41" t="n"/>
      <c r="D752" s="41" t="n"/>
      <c r="E752" s="41" t="n"/>
      <c r="F752" s="41" t="n"/>
      <c r="G752" s="41" t="n"/>
      <c r="H752" s="41" t="n"/>
      <c r="I752" s="50" t="n"/>
      <c r="J752" s="42" t="n"/>
      <c r="K752" s="42" t="n"/>
      <c r="L752" s="43">
        <f>IF($B752="","",ROUND((N($J752)+N($K752))*نسبة_القيمة_المضافة,2))</f>
        <v/>
      </c>
      <c r="M752" s="42" t="n"/>
      <c r="N752" s="42" t="n"/>
      <c r="O752" s="43">
        <f>IF($B752="","",N($J752)+N($K752)+N($L752)-N($M752)+N($N752))</f>
        <v/>
      </c>
      <c r="P752" s="42" t="n"/>
      <c r="Q752" s="43">
        <f>IF($B752="","",N($O752)-N($P752))</f>
        <v/>
      </c>
      <c r="R752" s="42" t="n"/>
      <c r="S752" s="42" t="n"/>
      <c r="T752" s="42" t="n"/>
      <c r="U752" s="43">
        <f>IF($B752="","",N($J752)-N($R752)-N($T752))</f>
        <v/>
      </c>
      <c r="V752" s="42" t="n"/>
    </row>
    <row r="753">
      <c r="A753" s="39">
        <f>IF($B753="","",COUNTA($B$4:$B753))</f>
        <v/>
      </c>
      <c r="B753" s="45" t="n"/>
      <c r="C753" s="46" t="n"/>
      <c r="D753" s="46" t="n"/>
      <c r="E753" s="46" t="n"/>
      <c r="F753" s="46" t="n"/>
      <c r="G753" s="46" t="n"/>
      <c r="H753" s="46" t="n"/>
      <c r="I753" s="51" t="n"/>
      <c r="J753" s="47" t="n"/>
      <c r="K753" s="47" t="n"/>
      <c r="L753" s="43">
        <f>IF($B753="","",ROUND((N($J753)+N($K753))*نسبة_القيمة_المضافة,2))</f>
        <v/>
      </c>
      <c r="M753" s="47" t="n"/>
      <c r="N753" s="47" t="n"/>
      <c r="O753" s="43">
        <f>IF($B753="","",N($J753)+N($K753)+N($L753)-N($M753)+N($N753))</f>
        <v/>
      </c>
      <c r="P753" s="47" t="n"/>
      <c r="Q753" s="43">
        <f>IF($B753="","",N($O753)-N($P753))</f>
        <v/>
      </c>
      <c r="R753" s="47" t="n"/>
      <c r="S753" s="47" t="n"/>
      <c r="T753" s="47" t="n"/>
      <c r="U753" s="43">
        <f>IF($B753="","",N($J753)-N($R753)-N($T753))</f>
        <v/>
      </c>
      <c r="V753" s="47" t="n"/>
    </row>
    <row r="754">
      <c r="A754" s="39">
        <f>IF($B754="","",COUNTA($B$4:$B754))</f>
        <v/>
      </c>
      <c r="B754" s="40" t="n"/>
      <c r="C754" s="41" t="n"/>
      <c r="D754" s="41" t="n"/>
      <c r="E754" s="41" t="n"/>
      <c r="F754" s="41" t="n"/>
      <c r="G754" s="41" t="n"/>
      <c r="H754" s="41" t="n"/>
      <c r="I754" s="50" t="n"/>
      <c r="J754" s="42" t="n"/>
      <c r="K754" s="42" t="n"/>
      <c r="L754" s="43">
        <f>IF($B754="","",ROUND((N($J754)+N($K754))*نسبة_القيمة_المضافة,2))</f>
        <v/>
      </c>
      <c r="M754" s="42" t="n"/>
      <c r="N754" s="42" t="n"/>
      <c r="O754" s="43">
        <f>IF($B754="","",N($J754)+N($K754)+N($L754)-N($M754)+N($N754))</f>
        <v/>
      </c>
      <c r="P754" s="42" t="n"/>
      <c r="Q754" s="43">
        <f>IF($B754="","",N($O754)-N($P754))</f>
        <v/>
      </c>
      <c r="R754" s="42" t="n"/>
      <c r="S754" s="42" t="n"/>
      <c r="T754" s="42" t="n"/>
      <c r="U754" s="43">
        <f>IF($B754="","",N($J754)-N($R754)-N($T754))</f>
        <v/>
      </c>
      <c r="V754" s="42" t="n"/>
    </row>
    <row r="755">
      <c r="A755" s="39">
        <f>IF($B755="","",COUNTA($B$4:$B755))</f>
        <v/>
      </c>
      <c r="B755" s="45" t="n"/>
      <c r="C755" s="46" t="n"/>
      <c r="D755" s="46" t="n"/>
      <c r="E755" s="46" t="n"/>
      <c r="F755" s="46" t="n"/>
      <c r="G755" s="46" t="n"/>
      <c r="H755" s="46" t="n"/>
      <c r="I755" s="51" t="n"/>
      <c r="J755" s="47" t="n"/>
      <c r="K755" s="47" t="n"/>
      <c r="L755" s="43">
        <f>IF($B755="","",ROUND((N($J755)+N($K755))*نسبة_القيمة_المضافة,2))</f>
        <v/>
      </c>
      <c r="M755" s="47" t="n"/>
      <c r="N755" s="47" t="n"/>
      <c r="O755" s="43">
        <f>IF($B755="","",N($J755)+N($K755)+N($L755)-N($M755)+N($N755))</f>
        <v/>
      </c>
      <c r="P755" s="47" t="n"/>
      <c r="Q755" s="43">
        <f>IF($B755="","",N($O755)-N($P755))</f>
        <v/>
      </c>
      <c r="R755" s="47" t="n"/>
      <c r="S755" s="47" t="n"/>
      <c r="T755" s="47" t="n"/>
      <c r="U755" s="43">
        <f>IF($B755="","",N($J755)-N($R755)-N($T755))</f>
        <v/>
      </c>
      <c r="V755" s="47" t="n"/>
    </row>
    <row r="756">
      <c r="A756" s="39">
        <f>IF($B756="","",COUNTA($B$4:$B756))</f>
        <v/>
      </c>
      <c r="B756" s="40" t="n"/>
      <c r="C756" s="41" t="n"/>
      <c r="D756" s="41" t="n"/>
      <c r="E756" s="41" t="n"/>
      <c r="F756" s="41" t="n"/>
      <c r="G756" s="41" t="n"/>
      <c r="H756" s="41" t="n"/>
      <c r="I756" s="50" t="n"/>
      <c r="J756" s="42" t="n"/>
      <c r="K756" s="42" t="n"/>
      <c r="L756" s="43">
        <f>IF($B756="","",ROUND((N($J756)+N($K756))*نسبة_القيمة_المضافة,2))</f>
        <v/>
      </c>
      <c r="M756" s="42" t="n"/>
      <c r="N756" s="42" t="n"/>
      <c r="O756" s="43">
        <f>IF($B756="","",N($J756)+N($K756)+N($L756)-N($M756)+N($N756))</f>
        <v/>
      </c>
      <c r="P756" s="42" t="n"/>
      <c r="Q756" s="43">
        <f>IF($B756="","",N($O756)-N($P756))</f>
        <v/>
      </c>
      <c r="R756" s="42" t="n"/>
      <c r="S756" s="42" t="n"/>
      <c r="T756" s="42" t="n"/>
      <c r="U756" s="43">
        <f>IF($B756="","",N($J756)-N($R756)-N($T756))</f>
        <v/>
      </c>
      <c r="V756" s="42" t="n"/>
    </row>
    <row r="757">
      <c r="A757" s="39">
        <f>IF($B757="","",COUNTA($B$4:$B757))</f>
        <v/>
      </c>
      <c r="B757" s="45" t="n"/>
      <c r="C757" s="46" t="n"/>
      <c r="D757" s="46" t="n"/>
      <c r="E757" s="46" t="n"/>
      <c r="F757" s="46" t="n"/>
      <c r="G757" s="46" t="n"/>
      <c r="H757" s="46" t="n"/>
      <c r="I757" s="51" t="n"/>
      <c r="J757" s="47" t="n"/>
      <c r="K757" s="47" t="n"/>
      <c r="L757" s="43">
        <f>IF($B757="","",ROUND((N($J757)+N($K757))*نسبة_القيمة_المضافة,2))</f>
        <v/>
      </c>
      <c r="M757" s="47" t="n"/>
      <c r="N757" s="47" t="n"/>
      <c r="O757" s="43">
        <f>IF($B757="","",N($J757)+N($K757)+N($L757)-N($M757)+N($N757))</f>
        <v/>
      </c>
      <c r="P757" s="47" t="n"/>
      <c r="Q757" s="43">
        <f>IF($B757="","",N($O757)-N($P757))</f>
        <v/>
      </c>
      <c r="R757" s="47" t="n"/>
      <c r="S757" s="47" t="n"/>
      <c r="T757" s="47" t="n"/>
      <c r="U757" s="43">
        <f>IF($B757="","",N($J757)-N($R757)-N($T757))</f>
        <v/>
      </c>
      <c r="V757" s="47" t="n"/>
    </row>
    <row r="758">
      <c r="A758" s="39">
        <f>IF($B758="","",COUNTA($B$4:$B758))</f>
        <v/>
      </c>
      <c r="B758" s="40" t="n"/>
      <c r="C758" s="41" t="n"/>
      <c r="D758" s="41" t="n"/>
      <c r="E758" s="41" t="n"/>
      <c r="F758" s="41" t="n"/>
      <c r="G758" s="41" t="n"/>
      <c r="H758" s="41" t="n"/>
      <c r="I758" s="50" t="n"/>
      <c r="J758" s="42" t="n"/>
      <c r="K758" s="42" t="n"/>
      <c r="L758" s="43">
        <f>IF($B758="","",ROUND((N($J758)+N($K758))*نسبة_القيمة_المضافة,2))</f>
        <v/>
      </c>
      <c r="M758" s="42" t="n"/>
      <c r="N758" s="42" t="n"/>
      <c r="O758" s="43">
        <f>IF($B758="","",N($J758)+N($K758)+N($L758)-N($M758)+N($N758))</f>
        <v/>
      </c>
      <c r="P758" s="42" t="n"/>
      <c r="Q758" s="43">
        <f>IF($B758="","",N($O758)-N($P758))</f>
        <v/>
      </c>
      <c r="R758" s="42" t="n"/>
      <c r="S758" s="42" t="n"/>
      <c r="T758" s="42" t="n"/>
      <c r="U758" s="43">
        <f>IF($B758="","",N($J758)-N($R758)-N($T758))</f>
        <v/>
      </c>
      <c r="V758" s="42" t="n"/>
    </row>
    <row r="759">
      <c r="A759" s="39">
        <f>IF($B759="","",COUNTA($B$4:$B759))</f>
        <v/>
      </c>
      <c r="B759" s="45" t="n"/>
      <c r="C759" s="46" t="n"/>
      <c r="D759" s="46" t="n"/>
      <c r="E759" s="46" t="n"/>
      <c r="F759" s="46" t="n"/>
      <c r="G759" s="46" t="n"/>
      <c r="H759" s="46" t="n"/>
      <c r="I759" s="51" t="n"/>
      <c r="J759" s="47" t="n"/>
      <c r="K759" s="47" t="n"/>
      <c r="L759" s="43">
        <f>IF($B759="","",ROUND((N($J759)+N($K759))*نسبة_القيمة_المضافة,2))</f>
        <v/>
      </c>
      <c r="M759" s="47" t="n"/>
      <c r="N759" s="47" t="n"/>
      <c r="O759" s="43">
        <f>IF($B759="","",N($J759)+N($K759)+N($L759)-N($M759)+N($N759))</f>
        <v/>
      </c>
      <c r="P759" s="47" t="n"/>
      <c r="Q759" s="43">
        <f>IF($B759="","",N($O759)-N($P759))</f>
        <v/>
      </c>
      <c r="R759" s="47" t="n"/>
      <c r="S759" s="47" t="n"/>
      <c r="T759" s="47" t="n"/>
      <c r="U759" s="43">
        <f>IF($B759="","",N($J759)-N($R759)-N($T759))</f>
        <v/>
      </c>
      <c r="V759" s="47" t="n"/>
    </row>
    <row r="760">
      <c r="A760" s="39">
        <f>IF($B760="","",COUNTA($B$4:$B760))</f>
        <v/>
      </c>
      <c r="B760" s="40" t="n"/>
      <c r="C760" s="41" t="n"/>
      <c r="D760" s="41" t="n"/>
      <c r="E760" s="41" t="n"/>
      <c r="F760" s="41" t="n"/>
      <c r="G760" s="41" t="n"/>
      <c r="H760" s="41" t="n"/>
      <c r="I760" s="50" t="n"/>
      <c r="J760" s="42" t="n"/>
      <c r="K760" s="42" t="n"/>
      <c r="L760" s="43">
        <f>IF($B760="","",ROUND((N($J760)+N($K760))*نسبة_القيمة_المضافة,2))</f>
        <v/>
      </c>
      <c r="M760" s="42" t="n"/>
      <c r="N760" s="42" t="n"/>
      <c r="O760" s="43">
        <f>IF($B760="","",N($J760)+N($K760)+N($L760)-N($M760)+N($N760))</f>
        <v/>
      </c>
      <c r="P760" s="42" t="n"/>
      <c r="Q760" s="43">
        <f>IF($B760="","",N($O760)-N($P760))</f>
        <v/>
      </c>
      <c r="R760" s="42" t="n"/>
      <c r="S760" s="42" t="n"/>
      <c r="T760" s="42" t="n"/>
      <c r="U760" s="43">
        <f>IF($B760="","",N($J760)-N($R760)-N($T760))</f>
        <v/>
      </c>
      <c r="V760" s="42" t="n"/>
    </row>
    <row r="761">
      <c r="A761" s="39">
        <f>IF($B761="","",COUNTA($B$4:$B761))</f>
        <v/>
      </c>
      <c r="B761" s="45" t="n"/>
      <c r="C761" s="46" t="n"/>
      <c r="D761" s="46" t="n"/>
      <c r="E761" s="46" t="n"/>
      <c r="F761" s="46" t="n"/>
      <c r="G761" s="46" t="n"/>
      <c r="H761" s="46" t="n"/>
      <c r="I761" s="51" t="n"/>
      <c r="J761" s="47" t="n"/>
      <c r="K761" s="47" t="n"/>
      <c r="L761" s="43">
        <f>IF($B761="","",ROUND((N($J761)+N($K761))*نسبة_القيمة_المضافة,2))</f>
        <v/>
      </c>
      <c r="M761" s="47" t="n"/>
      <c r="N761" s="47" t="n"/>
      <c r="O761" s="43">
        <f>IF($B761="","",N($J761)+N($K761)+N($L761)-N($M761)+N($N761))</f>
        <v/>
      </c>
      <c r="P761" s="47" t="n"/>
      <c r="Q761" s="43">
        <f>IF($B761="","",N($O761)-N($P761))</f>
        <v/>
      </c>
      <c r="R761" s="47" t="n"/>
      <c r="S761" s="47" t="n"/>
      <c r="T761" s="47" t="n"/>
      <c r="U761" s="43">
        <f>IF($B761="","",N($J761)-N($R761)-N($T761))</f>
        <v/>
      </c>
      <c r="V761" s="47" t="n"/>
    </row>
    <row r="762">
      <c r="A762" s="39">
        <f>IF($B762="","",COUNTA($B$4:$B762))</f>
        <v/>
      </c>
      <c r="B762" s="40" t="n"/>
      <c r="C762" s="41" t="n"/>
      <c r="D762" s="41" t="n"/>
      <c r="E762" s="41" t="n"/>
      <c r="F762" s="41" t="n"/>
      <c r="G762" s="41" t="n"/>
      <c r="H762" s="41" t="n"/>
      <c r="I762" s="50" t="n"/>
      <c r="J762" s="42" t="n"/>
      <c r="K762" s="42" t="n"/>
      <c r="L762" s="43">
        <f>IF($B762="","",ROUND((N($J762)+N($K762))*نسبة_القيمة_المضافة,2))</f>
        <v/>
      </c>
      <c r="M762" s="42" t="n"/>
      <c r="N762" s="42" t="n"/>
      <c r="O762" s="43">
        <f>IF($B762="","",N($J762)+N($K762)+N($L762)-N($M762)+N($N762))</f>
        <v/>
      </c>
      <c r="P762" s="42" t="n"/>
      <c r="Q762" s="43">
        <f>IF($B762="","",N($O762)-N($P762))</f>
        <v/>
      </c>
      <c r="R762" s="42" t="n"/>
      <c r="S762" s="42" t="n"/>
      <c r="T762" s="42" t="n"/>
      <c r="U762" s="43">
        <f>IF($B762="","",N($J762)-N($R762)-N($T762))</f>
        <v/>
      </c>
      <c r="V762" s="42" t="n"/>
    </row>
    <row r="763">
      <c r="A763" s="39">
        <f>IF($B763="","",COUNTA($B$4:$B763))</f>
        <v/>
      </c>
      <c r="B763" s="45" t="n"/>
      <c r="C763" s="46" t="n"/>
      <c r="D763" s="46" t="n"/>
      <c r="E763" s="46" t="n"/>
      <c r="F763" s="46" t="n"/>
      <c r="G763" s="46" t="n"/>
      <c r="H763" s="46" t="n"/>
      <c r="I763" s="51" t="n"/>
      <c r="J763" s="47" t="n"/>
      <c r="K763" s="47" t="n"/>
      <c r="L763" s="43">
        <f>IF($B763="","",ROUND((N($J763)+N($K763))*نسبة_القيمة_المضافة,2))</f>
        <v/>
      </c>
      <c r="M763" s="47" t="n"/>
      <c r="N763" s="47" t="n"/>
      <c r="O763" s="43">
        <f>IF($B763="","",N($J763)+N($K763)+N($L763)-N($M763)+N($N763))</f>
        <v/>
      </c>
      <c r="P763" s="47" t="n"/>
      <c r="Q763" s="43">
        <f>IF($B763="","",N($O763)-N($P763))</f>
        <v/>
      </c>
      <c r="R763" s="47" t="n"/>
      <c r="S763" s="47" t="n"/>
      <c r="T763" s="47" t="n"/>
      <c r="U763" s="43">
        <f>IF($B763="","",N($J763)-N($R763)-N($T763))</f>
        <v/>
      </c>
      <c r="V763" s="47" t="n"/>
    </row>
    <row r="764">
      <c r="A764" s="39">
        <f>IF($B764="","",COUNTA($B$4:$B764))</f>
        <v/>
      </c>
      <c r="B764" s="40" t="n"/>
      <c r="C764" s="41" t="n"/>
      <c r="D764" s="41" t="n"/>
      <c r="E764" s="41" t="n"/>
      <c r="F764" s="41" t="n"/>
      <c r="G764" s="41" t="n"/>
      <c r="H764" s="41" t="n"/>
      <c r="I764" s="50" t="n"/>
      <c r="J764" s="42" t="n"/>
      <c r="K764" s="42" t="n"/>
      <c r="L764" s="43">
        <f>IF($B764="","",ROUND((N($J764)+N($K764))*نسبة_القيمة_المضافة,2))</f>
        <v/>
      </c>
      <c r="M764" s="42" t="n"/>
      <c r="N764" s="42" t="n"/>
      <c r="O764" s="43">
        <f>IF($B764="","",N($J764)+N($K764)+N($L764)-N($M764)+N($N764))</f>
        <v/>
      </c>
      <c r="P764" s="42" t="n"/>
      <c r="Q764" s="43">
        <f>IF($B764="","",N($O764)-N($P764))</f>
        <v/>
      </c>
      <c r="R764" s="42" t="n"/>
      <c r="S764" s="42" t="n"/>
      <c r="T764" s="42" t="n"/>
      <c r="U764" s="43">
        <f>IF($B764="","",N($J764)-N($R764)-N($T764))</f>
        <v/>
      </c>
      <c r="V764" s="42" t="n"/>
    </row>
    <row r="765">
      <c r="A765" s="39">
        <f>IF($B765="","",COUNTA($B$4:$B765))</f>
        <v/>
      </c>
      <c r="B765" s="45" t="n"/>
      <c r="C765" s="46" t="n"/>
      <c r="D765" s="46" t="n"/>
      <c r="E765" s="46" t="n"/>
      <c r="F765" s="46" t="n"/>
      <c r="G765" s="46" t="n"/>
      <c r="H765" s="46" t="n"/>
      <c r="I765" s="51" t="n"/>
      <c r="J765" s="47" t="n"/>
      <c r="K765" s="47" t="n"/>
      <c r="L765" s="43">
        <f>IF($B765="","",ROUND((N($J765)+N($K765))*نسبة_القيمة_المضافة,2))</f>
        <v/>
      </c>
      <c r="M765" s="47" t="n"/>
      <c r="N765" s="47" t="n"/>
      <c r="O765" s="43">
        <f>IF($B765="","",N($J765)+N($K765)+N($L765)-N($M765)+N($N765))</f>
        <v/>
      </c>
      <c r="P765" s="47" t="n"/>
      <c r="Q765" s="43">
        <f>IF($B765="","",N($O765)-N($P765))</f>
        <v/>
      </c>
      <c r="R765" s="47" t="n"/>
      <c r="S765" s="47" t="n"/>
      <c r="T765" s="47" t="n"/>
      <c r="U765" s="43">
        <f>IF($B765="","",N($J765)-N($R765)-N($T765))</f>
        <v/>
      </c>
      <c r="V765" s="47" t="n"/>
    </row>
    <row r="766">
      <c r="A766" s="39">
        <f>IF($B766="","",COUNTA($B$4:$B766))</f>
        <v/>
      </c>
      <c r="B766" s="40" t="n"/>
      <c r="C766" s="41" t="n"/>
      <c r="D766" s="41" t="n"/>
      <c r="E766" s="41" t="n"/>
      <c r="F766" s="41" t="n"/>
      <c r="G766" s="41" t="n"/>
      <c r="H766" s="41" t="n"/>
      <c r="I766" s="50" t="n"/>
      <c r="J766" s="42" t="n"/>
      <c r="K766" s="42" t="n"/>
      <c r="L766" s="43">
        <f>IF($B766="","",ROUND((N($J766)+N($K766))*نسبة_القيمة_المضافة,2))</f>
        <v/>
      </c>
      <c r="M766" s="42" t="n"/>
      <c r="N766" s="42" t="n"/>
      <c r="O766" s="43">
        <f>IF($B766="","",N($J766)+N($K766)+N($L766)-N($M766)+N($N766))</f>
        <v/>
      </c>
      <c r="P766" s="42" t="n"/>
      <c r="Q766" s="43">
        <f>IF($B766="","",N($O766)-N($P766))</f>
        <v/>
      </c>
      <c r="R766" s="42" t="n"/>
      <c r="S766" s="42" t="n"/>
      <c r="T766" s="42" t="n"/>
      <c r="U766" s="43">
        <f>IF($B766="","",N($J766)-N($R766)-N($T766))</f>
        <v/>
      </c>
      <c r="V766" s="42" t="n"/>
    </row>
    <row r="767">
      <c r="A767" s="39">
        <f>IF($B767="","",COUNTA($B$4:$B767))</f>
        <v/>
      </c>
      <c r="B767" s="45" t="n"/>
      <c r="C767" s="46" t="n"/>
      <c r="D767" s="46" t="n"/>
      <c r="E767" s="46" t="n"/>
      <c r="F767" s="46" t="n"/>
      <c r="G767" s="46" t="n"/>
      <c r="H767" s="46" t="n"/>
      <c r="I767" s="51" t="n"/>
      <c r="J767" s="47" t="n"/>
      <c r="K767" s="47" t="n"/>
      <c r="L767" s="43">
        <f>IF($B767="","",ROUND((N($J767)+N($K767))*نسبة_القيمة_المضافة,2))</f>
        <v/>
      </c>
      <c r="M767" s="47" t="n"/>
      <c r="N767" s="47" t="n"/>
      <c r="O767" s="43">
        <f>IF($B767="","",N($J767)+N($K767)+N($L767)-N($M767)+N($N767))</f>
        <v/>
      </c>
      <c r="P767" s="47" t="n"/>
      <c r="Q767" s="43">
        <f>IF($B767="","",N($O767)-N($P767))</f>
        <v/>
      </c>
      <c r="R767" s="47" t="n"/>
      <c r="S767" s="47" t="n"/>
      <c r="T767" s="47" t="n"/>
      <c r="U767" s="43">
        <f>IF($B767="","",N($J767)-N($R767)-N($T767))</f>
        <v/>
      </c>
      <c r="V767" s="47" t="n"/>
    </row>
    <row r="768">
      <c r="A768" s="39">
        <f>IF($B768="","",COUNTA($B$4:$B768))</f>
        <v/>
      </c>
      <c r="B768" s="40" t="n"/>
      <c r="C768" s="41" t="n"/>
      <c r="D768" s="41" t="n"/>
      <c r="E768" s="41" t="n"/>
      <c r="F768" s="41" t="n"/>
      <c r="G768" s="41" t="n"/>
      <c r="H768" s="41" t="n"/>
      <c r="I768" s="50" t="n"/>
      <c r="J768" s="42" t="n"/>
      <c r="K768" s="42" t="n"/>
      <c r="L768" s="43">
        <f>IF($B768="","",ROUND((N($J768)+N($K768))*نسبة_القيمة_المضافة,2))</f>
        <v/>
      </c>
      <c r="M768" s="42" t="n"/>
      <c r="N768" s="42" t="n"/>
      <c r="O768" s="43">
        <f>IF($B768="","",N($J768)+N($K768)+N($L768)-N($M768)+N($N768))</f>
        <v/>
      </c>
      <c r="P768" s="42" t="n"/>
      <c r="Q768" s="43">
        <f>IF($B768="","",N($O768)-N($P768))</f>
        <v/>
      </c>
      <c r="R768" s="42" t="n"/>
      <c r="S768" s="42" t="n"/>
      <c r="T768" s="42" t="n"/>
      <c r="U768" s="43">
        <f>IF($B768="","",N($J768)-N($R768)-N($T768))</f>
        <v/>
      </c>
      <c r="V768" s="42" t="n"/>
    </row>
    <row r="769">
      <c r="A769" s="39">
        <f>IF($B769="","",COUNTA($B$4:$B769))</f>
        <v/>
      </c>
      <c r="B769" s="45" t="n"/>
      <c r="C769" s="46" t="n"/>
      <c r="D769" s="46" t="n"/>
      <c r="E769" s="46" t="n"/>
      <c r="F769" s="46" t="n"/>
      <c r="G769" s="46" t="n"/>
      <c r="H769" s="46" t="n"/>
      <c r="I769" s="51" t="n"/>
      <c r="J769" s="47" t="n"/>
      <c r="K769" s="47" t="n"/>
      <c r="L769" s="43">
        <f>IF($B769="","",ROUND((N($J769)+N($K769))*نسبة_القيمة_المضافة,2))</f>
        <v/>
      </c>
      <c r="M769" s="47" t="n"/>
      <c r="N769" s="47" t="n"/>
      <c r="O769" s="43">
        <f>IF($B769="","",N($J769)+N($K769)+N($L769)-N($M769)+N($N769))</f>
        <v/>
      </c>
      <c r="P769" s="47" t="n"/>
      <c r="Q769" s="43">
        <f>IF($B769="","",N($O769)-N($P769))</f>
        <v/>
      </c>
      <c r="R769" s="47" t="n"/>
      <c r="S769" s="47" t="n"/>
      <c r="T769" s="47" t="n"/>
      <c r="U769" s="43">
        <f>IF($B769="","",N($J769)-N($R769)-N($T769))</f>
        <v/>
      </c>
      <c r="V769" s="47" t="n"/>
    </row>
    <row r="770">
      <c r="A770" s="39">
        <f>IF($B770="","",COUNTA($B$4:$B770))</f>
        <v/>
      </c>
      <c r="B770" s="40" t="n"/>
      <c r="C770" s="41" t="n"/>
      <c r="D770" s="41" t="n"/>
      <c r="E770" s="41" t="n"/>
      <c r="F770" s="41" t="n"/>
      <c r="G770" s="41" t="n"/>
      <c r="H770" s="41" t="n"/>
      <c r="I770" s="50" t="n"/>
      <c r="J770" s="42" t="n"/>
      <c r="K770" s="42" t="n"/>
      <c r="L770" s="43">
        <f>IF($B770="","",ROUND((N($J770)+N($K770))*نسبة_القيمة_المضافة,2))</f>
        <v/>
      </c>
      <c r="M770" s="42" t="n"/>
      <c r="N770" s="42" t="n"/>
      <c r="O770" s="43">
        <f>IF($B770="","",N($J770)+N($K770)+N($L770)-N($M770)+N($N770))</f>
        <v/>
      </c>
      <c r="P770" s="42" t="n"/>
      <c r="Q770" s="43">
        <f>IF($B770="","",N($O770)-N($P770))</f>
        <v/>
      </c>
      <c r="R770" s="42" t="n"/>
      <c r="S770" s="42" t="n"/>
      <c r="T770" s="42" t="n"/>
      <c r="U770" s="43">
        <f>IF($B770="","",N($J770)-N($R770)-N($T770))</f>
        <v/>
      </c>
      <c r="V770" s="42" t="n"/>
    </row>
    <row r="771">
      <c r="A771" s="39">
        <f>IF($B771="","",COUNTA($B$4:$B771))</f>
        <v/>
      </c>
      <c r="B771" s="45" t="n"/>
      <c r="C771" s="46" t="n"/>
      <c r="D771" s="46" t="n"/>
      <c r="E771" s="46" t="n"/>
      <c r="F771" s="46" t="n"/>
      <c r="G771" s="46" t="n"/>
      <c r="H771" s="46" t="n"/>
      <c r="I771" s="51" t="n"/>
      <c r="J771" s="47" t="n"/>
      <c r="K771" s="47" t="n"/>
      <c r="L771" s="43">
        <f>IF($B771="","",ROUND((N($J771)+N($K771))*نسبة_القيمة_المضافة,2))</f>
        <v/>
      </c>
      <c r="M771" s="47" t="n"/>
      <c r="N771" s="47" t="n"/>
      <c r="O771" s="43">
        <f>IF($B771="","",N($J771)+N($K771)+N($L771)-N($M771)+N($N771))</f>
        <v/>
      </c>
      <c r="P771" s="47" t="n"/>
      <c r="Q771" s="43">
        <f>IF($B771="","",N($O771)-N($P771))</f>
        <v/>
      </c>
      <c r="R771" s="47" t="n"/>
      <c r="S771" s="47" t="n"/>
      <c r="T771" s="47" t="n"/>
      <c r="U771" s="43">
        <f>IF($B771="","",N($J771)-N($R771)-N($T771))</f>
        <v/>
      </c>
      <c r="V771" s="47" t="n"/>
    </row>
    <row r="772">
      <c r="A772" s="39">
        <f>IF($B772="","",COUNTA($B$4:$B772))</f>
        <v/>
      </c>
      <c r="B772" s="40" t="n"/>
      <c r="C772" s="41" t="n"/>
      <c r="D772" s="41" t="n"/>
      <c r="E772" s="41" t="n"/>
      <c r="F772" s="41" t="n"/>
      <c r="G772" s="41" t="n"/>
      <c r="H772" s="41" t="n"/>
      <c r="I772" s="50" t="n"/>
      <c r="J772" s="42" t="n"/>
      <c r="K772" s="42" t="n"/>
      <c r="L772" s="43">
        <f>IF($B772="","",ROUND((N($J772)+N($K772))*نسبة_القيمة_المضافة,2))</f>
        <v/>
      </c>
      <c r="M772" s="42" t="n"/>
      <c r="N772" s="42" t="n"/>
      <c r="O772" s="43">
        <f>IF($B772="","",N($J772)+N($K772)+N($L772)-N($M772)+N($N772))</f>
        <v/>
      </c>
      <c r="P772" s="42" t="n"/>
      <c r="Q772" s="43">
        <f>IF($B772="","",N($O772)-N($P772))</f>
        <v/>
      </c>
      <c r="R772" s="42" t="n"/>
      <c r="S772" s="42" t="n"/>
      <c r="T772" s="42" t="n"/>
      <c r="U772" s="43">
        <f>IF($B772="","",N($J772)-N($R772)-N($T772))</f>
        <v/>
      </c>
      <c r="V772" s="42" t="n"/>
    </row>
    <row r="773">
      <c r="A773" s="39">
        <f>IF($B773="","",COUNTA($B$4:$B773))</f>
        <v/>
      </c>
      <c r="B773" s="45" t="n"/>
      <c r="C773" s="46" t="n"/>
      <c r="D773" s="46" t="n"/>
      <c r="E773" s="46" t="n"/>
      <c r="F773" s="46" t="n"/>
      <c r="G773" s="46" t="n"/>
      <c r="H773" s="46" t="n"/>
      <c r="I773" s="51" t="n"/>
      <c r="J773" s="47" t="n"/>
      <c r="K773" s="47" t="n"/>
      <c r="L773" s="43">
        <f>IF($B773="","",ROUND((N($J773)+N($K773))*نسبة_القيمة_المضافة,2))</f>
        <v/>
      </c>
      <c r="M773" s="47" t="n"/>
      <c r="N773" s="47" t="n"/>
      <c r="O773" s="43">
        <f>IF($B773="","",N($J773)+N($K773)+N($L773)-N($M773)+N($N773))</f>
        <v/>
      </c>
      <c r="P773" s="47" t="n"/>
      <c r="Q773" s="43">
        <f>IF($B773="","",N($O773)-N($P773))</f>
        <v/>
      </c>
      <c r="R773" s="47" t="n"/>
      <c r="S773" s="47" t="n"/>
      <c r="T773" s="47" t="n"/>
      <c r="U773" s="43">
        <f>IF($B773="","",N($J773)-N($R773)-N($T773))</f>
        <v/>
      </c>
      <c r="V773" s="47" t="n"/>
    </row>
    <row r="774">
      <c r="A774" s="39">
        <f>IF($B774="","",COUNTA($B$4:$B774))</f>
        <v/>
      </c>
      <c r="B774" s="40" t="n"/>
      <c r="C774" s="41" t="n"/>
      <c r="D774" s="41" t="n"/>
      <c r="E774" s="41" t="n"/>
      <c r="F774" s="41" t="n"/>
      <c r="G774" s="41" t="n"/>
      <c r="H774" s="41" t="n"/>
      <c r="I774" s="50" t="n"/>
      <c r="J774" s="42" t="n"/>
      <c r="K774" s="42" t="n"/>
      <c r="L774" s="43">
        <f>IF($B774="","",ROUND((N($J774)+N($K774))*نسبة_القيمة_المضافة,2))</f>
        <v/>
      </c>
      <c r="M774" s="42" t="n"/>
      <c r="N774" s="42" t="n"/>
      <c r="O774" s="43">
        <f>IF($B774="","",N($J774)+N($K774)+N($L774)-N($M774)+N($N774))</f>
        <v/>
      </c>
      <c r="P774" s="42" t="n"/>
      <c r="Q774" s="43">
        <f>IF($B774="","",N($O774)-N($P774))</f>
        <v/>
      </c>
      <c r="R774" s="42" t="n"/>
      <c r="S774" s="42" t="n"/>
      <c r="T774" s="42" t="n"/>
      <c r="U774" s="43">
        <f>IF($B774="","",N($J774)-N($R774)-N($T774))</f>
        <v/>
      </c>
      <c r="V774" s="42" t="n"/>
    </row>
    <row r="775">
      <c r="A775" s="39">
        <f>IF($B775="","",COUNTA($B$4:$B775))</f>
        <v/>
      </c>
      <c r="B775" s="45" t="n"/>
      <c r="C775" s="46" t="n"/>
      <c r="D775" s="46" t="n"/>
      <c r="E775" s="46" t="n"/>
      <c r="F775" s="46" t="n"/>
      <c r="G775" s="46" t="n"/>
      <c r="H775" s="46" t="n"/>
      <c r="I775" s="51" t="n"/>
      <c r="J775" s="47" t="n"/>
      <c r="K775" s="47" t="n"/>
      <c r="L775" s="43">
        <f>IF($B775="","",ROUND((N($J775)+N($K775))*نسبة_القيمة_المضافة,2))</f>
        <v/>
      </c>
      <c r="M775" s="47" t="n"/>
      <c r="N775" s="47" t="n"/>
      <c r="O775" s="43">
        <f>IF($B775="","",N($J775)+N($K775)+N($L775)-N($M775)+N($N775))</f>
        <v/>
      </c>
      <c r="P775" s="47" t="n"/>
      <c r="Q775" s="43">
        <f>IF($B775="","",N($O775)-N($P775))</f>
        <v/>
      </c>
      <c r="R775" s="47" t="n"/>
      <c r="S775" s="47" t="n"/>
      <c r="T775" s="47" t="n"/>
      <c r="U775" s="43">
        <f>IF($B775="","",N($J775)-N($R775)-N($T775))</f>
        <v/>
      </c>
      <c r="V775" s="47" t="n"/>
    </row>
    <row r="776">
      <c r="A776" s="39">
        <f>IF($B776="","",COUNTA($B$4:$B776))</f>
        <v/>
      </c>
      <c r="B776" s="40" t="n"/>
      <c r="C776" s="41" t="n"/>
      <c r="D776" s="41" t="n"/>
      <c r="E776" s="41" t="n"/>
      <c r="F776" s="41" t="n"/>
      <c r="G776" s="41" t="n"/>
      <c r="H776" s="41" t="n"/>
      <c r="I776" s="50" t="n"/>
      <c r="J776" s="42" t="n"/>
      <c r="K776" s="42" t="n"/>
      <c r="L776" s="43">
        <f>IF($B776="","",ROUND((N($J776)+N($K776))*نسبة_القيمة_المضافة,2))</f>
        <v/>
      </c>
      <c r="M776" s="42" t="n"/>
      <c r="N776" s="42" t="n"/>
      <c r="O776" s="43">
        <f>IF($B776="","",N($J776)+N($K776)+N($L776)-N($M776)+N($N776))</f>
        <v/>
      </c>
      <c r="P776" s="42" t="n"/>
      <c r="Q776" s="43">
        <f>IF($B776="","",N($O776)-N($P776))</f>
        <v/>
      </c>
      <c r="R776" s="42" t="n"/>
      <c r="S776" s="42" t="n"/>
      <c r="T776" s="42" t="n"/>
      <c r="U776" s="43">
        <f>IF($B776="","",N($J776)-N($R776)-N($T776))</f>
        <v/>
      </c>
      <c r="V776" s="42" t="n"/>
    </row>
    <row r="777">
      <c r="A777" s="39">
        <f>IF($B777="","",COUNTA($B$4:$B777))</f>
        <v/>
      </c>
      <c r="B777" s="45" t="n"/>
      <c r="C777" s="46" t="n"/>
      <c r="D777" s="46" t="n"/>
      <c r="E777" s="46" t="n"/>
      <c r="F777" s="46" t="n"/>
      <c r="G777" s="46" t="n"/>
      <c r="H777" s="46" t="n"/>
      <c r="I777" s="51" t="n"/>
      <c r="J777" s="47" t="n"/>
      <c r="K777" s="47" t="n"/>
      <c r="L777" s="43">
        <f>IF($B777="","",ROUND((N($J777)+N($K777))*نسبة_القيمة_المضافة,2))</f>
        <v/>
      </c>
      <c r="M777" s="47" t="n"/>
      <c r="N777" s="47" t="n"/>
      <c r="O777" s="43">
        <f>IF($B777="","",N($J777)+N($K777)+N($L777)-N($M777)+N($N777))</f>
        <v/>
      </c>
      <c r="P777" s="47" t="n"/>
      <c r="Q777" s="43">
        <f>IF($B777="","",N($O777)-N($P777))</f>
        <v/>
      </c>
      <c r="R777" s="47" t="n"/>
      <c r="S777" s="47" t="n"/>
      <c r="T777" s="47" t="n"/>
      <c r="U777" s="43">
        <f>IF($B777="","",N($J777)-N($R777)-N($T777))</f>
        <v/>
      </c>
      <c r="V777" s="47" t="n"/>
    </row>
    <row r="778">
      <c r="A778" s="39">
        <f>IF($B778="","",COUNTA($B$4:$B778))</f>
        <v/>
      </c>
      <c r="B778" s="40" t="n"/>
      <c r="C778" s="41" t="n"/>
      <c r="D778" s="41" t="n"/>
      <c r="E778" s="41" t="n"/>
      <c r="F778" s="41" t="n"/>
      <c r="G778" s="41" t="n"/>
      <c r="H778" s="41" t="n"/>
      <c r="I778" s="50" t="n"/>
      <c r="J778" s="42" t="n"/>
      <c r="K778" s="42" t="n"/>
      <c r="L778" s="43">
        <f>IF($B778="","",ROUND((N($J778)+N($K778))*نسبة_القيمة_المضافة,2))</f>
        <v/>
      </c>
      <c r="M778" s="42" t="n"/>
      <c r="N778" s="42" t="n"/>
      <c r="O778" s="43">
        <f>IF($B778="","",N($J778)+N($K778)+N($L778)-N($M778)+N($N778))</f>
        <v/>
      </c>
      <c r="P778" s="42" t="n"/>
      <c r="Q778" s="43">
        <f>IF($B778="","",N($O778)-N($P778))</f>
        <v/>
      </c>
      <c r="R778" s="42" t="n"/>
      <c r="S778" s="42" t="n"/>
      <c r="T778" s="42" t="n"/>
      <c r="U778" s="43">
        <f>IF($B778="","",N($J778)-N($R778)-N($T778))</f>
        <v/>
      </c>
      <c r="V778" s="42" t="n"/>
    </row>
    <row r="779">
      <c r="A779" s="39">
        <f>IF($B779="","",COUNTA($B$4:$B779))</f>
        <v/>
      </c>
      <c r="B779" s="45" t="n"/>
      <c r="C779" s="46" t="n"/>
      <c r="D779" s="46" t="n"/>
      <c r="E779" s="46" t="n"/>
      <c r="F779" s="46" t="n"/>
      <c r="G779" s="46" t="n"/>
      <c r="H779" s="46" t="n"/>
      <c r="I779" s="51" t="n"/>
      <c r="J779" s="47" t="n"/>
      <c r="K779" s="47" t="n"/>
      <c r="L779" s="43">
        <f>IF($B779="","",ROUND((N($J779)+N($K779))*نسبة_القيمة_المضافة,2))</f>
        <v/>
      </c>
      <c r="M779" s="47" t="n"/>
      <c r="N779" s="47" t="n"/>
      <c r="O779" s="43">
        <f>IF($B779="","",N($J779)+N($K779)+N($L779)-N($M779)+N($N779))</f>
        <v/>
      </c>
      <c r="P779" s="47" t="n"/>
      <c r="Q779" s="43">
        <f>IF($B779="","",N($O779)-N($P779))</f>
        <v/>
      </c>
      <c r="R779" s="47" t="n"/>
      <c r="S779" s="47" t="n"/>
      <c r="T779" s="47" t="n"/>
      <c r="U779" s="43">
        <f>IF($B779="","",N($J779)-N($R779)-N($T779))</f>
        <v/>
      </c>
      <c r="V779" s="47" t="n"/>
    </row>
    <row r="780">
      <c r="A780" s="39">
        <f>IF($B780="","",COUNTA($B$4:$B780))</f>
        <v/>
      </c>
      <c r="B780" s="40" t="n"/>
      <c r="C780" s="41" t="n"/>
      <c r="D780" s="41" t="n"/>
      <c r="E780" s="41" t="n"/>
      <c r="F780" s="41" t="n"/>
      <c r="G780" s="41" t="n"/>
      <c r="H780" s="41" t="n"/>
      <c r="I780" s="50" t="n"/>
      <c r="J780" s="42" t="n"/>
      <c r="K780" s="42" t="n"/>
      <c r="L780" s="43">
        <f>IF($B780="","",ROUND((N($J780)+N($K780))*نسبة_القيمة_المضافة,2))</f>
        <v/>
      </c>
      <c r="M780" s="42" t="n"/>
      <c r="N780" s="42" t="n"/>
      <c r="O780" s="43">
        <f>IF($B780="","",N($J780)+N($K780)+N($L780)-N($M780)+N($N780))</f>
        <v/>
      </c>
      <c r="P780" s="42" t="n"/>
      <c r="Q780" s="43">
        <f>IF($B780="","",N($O780)-N($P780))</f>
        <v/>
      </c>
      <c r="R780" s="42" t="n"/>
      <c r="S780" s="42" t="n"/>
      <c r="T780" s="42" t="n"/>
      <c r="U780" s="43">
        <f>IF($B780="","",N($J780)-N($R780)-N($T780))</f>
        <v/>
      </c>
      <c r="V780" s="42" t="n"/>
    </row>
    <row r="781">
      <c r="A781" s="39">
        <f>IF($B781="","",COUNTA($B$4:$B781))</f>
        <v/>
      </c>
      <c r="B781" s="45" t="n"/>
      <c r="C781" s="46" t="n"/>
      <c r="D781" s="46" t="n"/>
      <c r="E781" s="46" t="n"/>
      <c r="F781" s="46" t="n"/>
      <c r="G781" s="46" t="n"/>
      <c r="H781" s="46" t="n"/>
      <c r="I781" s="51" t="n"/>
      <c r="J781" s="47" t="n"/>
      <c r="K781" s="47" t="n"/>
      <c r="L781" s="43">
        <f>IF($B781="","",ROUND((N($J781)+N($K781))*نسبة_القيمة_المضافة,2))</f>
        <v/>
      </c>
      <c r="M781" s="47" t="n"/>
      <c r="N781" s="47" t="n"/>
      <c r="O781" s="43">
        <f>IF($B781="","",N($J781)+N($K781)+N($L781)-N($M781)+N($N781))</f>
        <v/>
      </c>
      <c r="P781" s="47" t="n"/>
      <c r="Q781" s="43">
        <f>IF($B781="","",N($O781)-N($P781))</f>
        <v/>
      </c>
      <c r="R781" s="47" t="n"/>
      <c r="S781" s="47" t="n"/>
      <c r="T781" s="47" t="n"/>
      <c r="U781" s="43">
        <f>IF($B781="","",N($J781)-N($R781)-N($T781))</f>
        <v/>
      </c>
      <c r="V781" s="47" t="n"/>
    </row>
    <row r="782">
      <c r="A782" s="39">
        <f>IF($B782="","",COUNTA($B$4:$B782))</f>
        <v/>
      </c>
      <c r="B782" s="40" t="n"/>
      <c r="C782" s="41" t="n"/>
      <c r="D782" s="41" t="n"/>
      <c r="E782" s="41" t="n"/>
      <c r="F782" s="41" t="n"/>
      <c r="G782" s="41" t="n"/>
      <c r="H782" s="41" t="n"/>
      <c r="I782" s="50" t="n"/>
      <c r="J782" s="42" t="n"/>
      <c r="K782" s="42" t="n"/>
      <c r="L782" s="43">
        <f>IF($B782="","",ROUND((N($J782)+N($K782))*نسبة_القيمة_المضافة,2))</f>
        <v/>
      </c>
      <c r="M782" s="42" t="n"/>
      <c r="N782" s="42" t="n"/>
      <c r="O782" s="43">
        <f>IF($B782="","",N($J782)+N($K782)+N($L782)-N($M782)+N($N782))</f>
        <v/>
      </c>
      <c r="P782" s="42" t="n"/>
      <c r="Q782" s="43">
        <f>IF($B782="","",N($O782)-N($P782))</f>
        <v/>
      </c>
      <c r="R782" s="42" t="n"/>
      <c r="S782" s="42" t="n"/>
      <c r="T782" s="42" t="n"/>
      <c r="U782" s="43">
        <f>IF($B782="","",N($J782)-N($R782)-N($T782))</f>
        <v/>
      </c>
      <c r="V782" s="42" t="n"/>
    </row>
    <row r="783">
      <c r="A783" s="39">
        <f>IF($B783="","",COUNTA($B$4:$B783))</f>
        <v/>
      </c>
      <c r="B783" s="45" t="n"/>
      <c r="C783" s="46" t="n"/>
      <c r="D783" s="46" t="n"/>
      <c r="E783" s="46" t="n"/>
      <c r="F783" s="46" t="n"/>
      <c r="G783" s="46" t="n"/>
      <c r="H783" s="46" t="n"/>
      <c r="I783" s="51" t="n"/>
      <c r="J783" s="47" t="n"/>
      <c r="K783" s="47" t="n"/>
      <c r="L783" s="43">
        <f>IF($B783="","",ROUND((N($J783)+N($K783))*نسبة_القيمة_المضافة,2))</f>
        <v/>
      </c>
      <c r="M783" s="47" t="n"/>
      <c r="N783" s="47" t="n"/>
      <c r="O783" s="43">
        <f>IF($B783="","",N($J783)+N($K783)+N($L783)-N($M783)+N($N783))</f>
        <v/>
      </c>
      <c r="P783" s="47" t="n"/>
      <c r="Q783" s="43">
        <f>IF($B783="","",N($O783)-N($P783))</f>
        <v/>
      </c>
      <c r="R783" s="47" t="n"/>
      <c r="S783" s="47" t="n"/>
      <c r="T783" s="47" t="n"/>
      <c r="U783" s="43">
        <f>IF($B783="","",N($J783)-N($R783)-N($T783))</f>
        <v/>
      </c>
      <c r="V783" s="47" t="n"/>
    </row>
    <row r="784">
      <c r="A784" s="39">
        <f>IF($B784="","",COUNTA($B$4:$B784))</f>
        <v/>
      </c>
      <c r="B784" s="40" t="n"/>
      <c r="C784" s="41" t="n"/>
      <c r="D784" s="41" t="n"/>
      <c r="E784" s="41" t="n"/>
      <c r="F784" s="41" t="n"/>
      <c r="G784" s="41" t="n"/>
      <c r="H784" s="41" t="n"/>
      <c r="I784" s="50" t="n"/>
      <c r="J784" s="42" t="n"/>
      <c r="K784" s="42" t="n"/>
      <c r="L784" s="43">
        <f>IF($B784="","",ROUND((N($J784)+N($K784))*نسبة_القيمة_المضافة,2))</f>
        <v/>
      </c>
      <c r="M784" s="42" t="n"/>
      <c r="N784" s="42" t="n"/>
      <c r="O784" s="43">
        <f>IF($B784="","",N($J784)+N($K784)+N($L784)-N($M784)+N($N784))</f>
        <v/>
      </c>
      <c r="P784" s="42" t="n"/>
      <c r="Q784" s="43">
        <f>IF($B784="","",N($O784)-N($P784))</f>
        <v/>
      </c>
      <c r="R784" s="42" t="n"/>
      <c r="S784" s="42" t="n"/>
      <c r="T784" s="42" t="n"/>
      <c r="U784" s="43">
        <f>IF($B784="","",N($J784)-N($R784)-N($T784))</f>
        <v/>
      </c>
      <c r="V784" s="42" t="n"/>
    </row>
    <row r="785">
      <c r="A785" s="39">
        <f>IF($B785="","",COUNTA($B$4:$B785))</f>
        <v/>
      </c>
      <c r="B785" s="45" t="n"/>
      <c r="C785" s="46" t="n"/>
      <c r="D785" s="46" t="n"/>
      <c r="E785" s="46" t="n"/>
      <c r="F785" s="46" t="n"/>
      <c r="G785" s="46" t="n"/>
      <c r="H785" s="46" t="n"/>
      <c r="I785" s="51" t="n"/>
      <c r="J785" s="47" t="n"/>
      <c r="K785" s="47" t="n"/>
      <c r="L785" s="43">
        <f>IF($B785="","",ROUND((N($J785)+N($K785))*نسبة_القيمة_المضافة,2))</f>
        <v/>
      </c>
      <c r="M785" s="47" t="n"/>
      <c r="N785" s="47" t="n"/>
      <c r="O785" s="43">
        <f>IF($B785="","",N($J785)+N($K785)+N($L785)-N($M785)+N($N785))</f>
        <v/>
      </c>
      <c r="P785" s="47" t="n"/>
      <c r="Q785" s="43">
        <f>IF($B785="","",N($O785)-N($P785))</f>
        <v/>
      </c>
      <c r="R785" s="47" t="n"/>
      <c r="S785" s="47" t="n"/>
      <c r="T785" s="47" t="n"/>
      <c r="U785" s="43">
        <f>IF($B785="","",N($J785)-N($R785)-N($T785))</f>
        <v/>
      </c>
      <c r="V785" s="47" t="n"/>
    </row>
    <row r="786">
      <c r="A786" s="39">
        <f>IF($B786="","",COUNTA($B$4:$B786))</f>
        <v/>
      </c>
      <c r="B786" s="40" t="n"/>
      <c r="C786" s="41" t="n"/>
      <c r="D786" s="41" t="n"/>
      <c r="E786" s="41" t="n"/>
      <c r="F786" s="41" t="n"/>
      <c r="G786" s="41" t="n"/>
      <c r="H786" s="41" t="n"/>
      <c r="I786" s="50" t="n"/>
      <c r="J786" s="42" t="n"/>
      <c r="K786" s="42" t="n"/>
      <c r="L786" s="43">
        <f>IF($B786="","",ROUND((N($J786)+N($K786))*نسبة_القيمة_المضافة,2))</f>
        <v/>
      </c>
      <c r="M786" s="42" t="n"/>
      <c r="N786" s="42" t="n"/>
      <c r="O786" s="43">
        <f>IF($B786="","",N($J786)+N($K786)+N($L786)-N($M786)+N($N786))</f>
        <v/>
      </c>
      <c r="P786" s="42" t="n"/>
      <c r="Q786" s="43">
        <f>IF($B786="","",N($O786)-N($P786))</f>
        <v/>
      </c>
      <c r="R786" s="42" t="n"/>
      <c r="S786" s="42" t="n"/>
      <c r="T786" s="42" t="n"/>
      <c r="U786" s="43">
        <f>IF($B786="","",N($J786)-N($R786)-N($T786))</f>
        <v/>
      </c>
      <c r="V786" s="42" t="n"/>
    </row>
    <row r="787">
      <c r="A787" s="39">
        <f>IF($B787="","",COUNTA($B$4:$B787))</f>
        <v/>
      </c>
      <c r="B787" s="45" t="n"/>
      <c r="C787" s="46" t="n"/>
      <c r="D787" s="46" t="n"/>
      <c r="E787" s="46" t="n"/>
      <c r="F787" s="46" t="n"/>
      <c r="G787" s="46" t="n"/>
      <c r="H787" s="46" t="n"/>
      <c r="I787" s="51" t="n"/>
      <c r="J787" s="47" t="n"/>
      <c r="K787" s="47" t="n"/>
      <c r="L787" s="43">
        <f>IF($B787="","",ROUND((N($J787)+N($K787))*نسبة_القيمة_المضافة,2))</f>
        <v/>
      </c>
      <c r="M787" s="47" t="n"/>
      <c r="N787" s="47" t="n"/>
      <c r="O787" s="43">
        <f>IF($B787="","",N($J787)+N($K787)+N($L787)-N($M787)+N($N787))</f>
        <v/>
      </c>
      <c r="P787" s="47" t="n"/>
      <c r="Q787" s="43">
        <f>IF($B787="","",N($O787)-N($P787))</f>
        <v/>
      </c>
      <c r="R787" s="47" t="n"/>
      <c r="S787" s="47" t="n"/>
      <c r="T787" s="47" t="n"/>
      <c r="U787" s="43">
        <f>IF($B787="","",N($J787)-N($R787)-N($T787))</f>
        <v/>
      </c>
      <c r="V787" s="47" t="n"/>
    </row>
    <row r="788">
      <c r="A788" s="39">
        <f>IF($B788="","",COUNTA($B$4:$B788))</f>
        <v/>
      </c>
      <c r="B788" s="40" t="n"/>
      <c r="C788" s="41" t="n"/>
      <c r="D788" s="41" t="n"/>
      <c r="E788" s="41" t="n"/>
      <c r="F788" s="41" t="n"/>
      <c r="G788" s="41" t="n"/>
      <c r="H788" s="41" t="n"/>
      <c r="I788" s="50" t="n"/>
      <c r="J788" s="42" t="n"/>
      <c r="K788" s="42" t="n"/>
      <c r="L788" s="43">
        <f>IF($B788="","",ROUND((N($J788)+N($K788))*نسبة_القيمة_المضافة,2))</f>
        <v/>
      </c>
      <c r="M788" s="42" t="n"/>
      <c r="N788" s="42" t="n"/>
      <c r="O788" s="43">
        <f>IF($B788="","",N($J788)+N($K788)+N($L788)-N($M788)+N($N788))</f>
        <v/>
      </c>
      <c r="P788" s="42" t="n"/>
      <c r="Q788" s="43">
        <f>IF($B788="","",N($O788)-N($P788))</f>
        <v/>
      </c>
      <c r="R788" s="42" t="n"/>
      <c r="S788" s="42" t="n"/>
      <c r="T788" s="42" t="n"/>
      <c r="U788" s="43">
        <f>IF($B788="","",N($J788)-N($R788)-N($T788))</f>
        <v/>
      </c>
      <c r="V788" s="42" t="n"/>
    </row>
    <row r="789">
      <c r="A789" s="39">
        <f>IF($B789="","",COUNTA($B$4:$B789))</f>
        <v/>
      </c>
      <c r="B789" s="45" t="n"/>
      <c r="C789" s="46" t="n"/>
      <c r="D789" s="46" t="n"/>
      <c r="E789" s="46" t="n"/>
      <c r="F789" s="46" t="n"/>
      <c r="G789" s="46" t="n"/>
      <c r="H789" s="46" t="n"/>
      <c r="I789" s="51" t="n"/>
      <c r="J789" s="47" t="n"/>
      <c r="K789" s="47" t="n"/>
      <c r="L789" s="43">
        <f>IF($B789="","",ROUND((N($J789)+N($K789))*نسبة_القيمة_المضافة,2))</f>
        <v/>
      </c>
      <c r="M789" s="47" t="n"/>
      <c r="N789" s="47" t="n"/>
      <c r="O789" s="43">
        <f>IF($B789="","",N($J789)+N($K789)+N($L789)-N($M789)+N($N789))</f>
        <v/>
      </c>
      <c r="P789" s="47" t="n"/>
      <c r="Q789" s="43">
        <f>IF($B789="","",N($O789)-N($P789))</f>
        <v/>
      </c>
      <c r="R789" s="47" t="n"/>
      <c r="S789" s="47" t="n"/>
      <c r="T789" s="47" t="n"/>
      <c r="U789" s="43">
        <f>IF($B789="","",N($J789)-N($R789)-N($T789))</f>
        <v/>
      </c>
      <c r="V789" s="47" t="n"/>
    </row>
    <row r="790">
      <c r="A790" s="39">
        <f>IF($B790="","",COUNTA($B$4:$B790))</f>
        <v/>
      </c>
      <c r="B790" s="40" t="n"/>
      <c r="C790" s="41" t="n"/>
      <c r="D790" s="41" t="n"/>
      <c r="E790" s="41" t="n"/>
      <c r="F790" s="41" t="n"/>
      <c r="G790" s="41" t="n"/>
      <c r="H790" s="41" t="n"/>
      <c r="I790" s="50" t="n"/>
      <c r="J790" s="42" t="n"/>
      <c r="K790" s="42" t="n"/>
      <c r="L790" s="43">
        <f>IF($B790="","",ROUND((N($J790)+N($K790))*نسبة_القيمة_المضافة,2))</f>
        <v/>
      </c>
      <c r="M790" s="42" t="n"/>
      <c r="N790" s="42" t="n"/>
      <c r="O790" s="43">
        <f>IF($B790="","",N($J790)+N($K790)+N($L790)-N($M790)+N($N790))</f>
        <v/>
      </c>
      <c r="P790" s="42" t="n"/>
      <c r="Q790" s="43">
        <f>IF($B790="","",N($O790)-N($P790))</f>
        <v/>
      </c>
      <c r="R790" s="42" t="n"/>
      <c r="S790" s="42" t="n"/>
      <c r="T790" s="42" t="n"/>
      <c r="U790" s="43">
        <f>IF($B790="","",N($J790)-N($R790)-N($T790))</f>
        <v/>
      </c>
      <c r="V790" s="42" t="n"/>
    </row>
    <row r="791">
      <c r="A791" s="39">
        <f>IF($B791="","",COUNTA($B$4:$B791))</f>
        <v/>
      </c>
      <c r="B791" s="45" t="n"/>
      <c r="C791" s="46" t="n"/>
      <c r="D791" s="46" t="n"/>
      <c r="E791" s="46" t="n"/>
      <c r="F791" s="46" t="n"/>
      <c r="G791" s="46" t="n"/>
      <c r="H791" s="46" t="n"/>
      <c r="I791" s="51" t="n"/>
      <c r="J791" s="47" t="n"/>
      <c r="K791" s="47" t="n"/>
      <c r="L791" s="43">
        <f>IF($B791="","",ROUND((N($J791)+N($K791))*نسبة_القيمة_المضافة,2))</f>
        <v/>
      </c>
      <c r="M791" s="47" t="n"/>
      <c r="N791" s="47" t="n"/>
      <c r="O791" s="43">
        <f>IF($B791="","",N($J791)+N($K791)+N($L791)-N($M791)+N($N791))</f>
        <v/>
      </c>
      <c r="P791" s="47" t="n"/>
      <c r="Q791" s="43">
        <f>IF($B791="","",N($O791)-N($P791))</f>
        <v/>
      </c>
      <c r="R791" s="47" t="n"/>
      <c r="S791" s="47" t="n"/>
      <c r="T791" s="47" t="n"/>
      <c r="U791" s="43">
        <f>IF($B791="","",N($J791)-N($R791)-N($T791))</f>
        <v/>
      </c>
      <c r="V791" s="47" t="n"/>
    </row>
    <row r="792">
      <c r="A792" s="39">
        <f>IF($B792="","",COUNTA($B$4:$B792))</f>
        <v/>
      </c>
      <c r="B792" s="40" t="n"/>
      <c r="C792" s="41" t="n"/>
      <c r="D792" s="41" t="n"/>
      <c r="E792" s="41" t="n"/>
      <c r="F792" s="41" t="n"/>
      <c r="G792" s="41" t="n"/>
      <c r="H792" s="41" t="n"/>
      <c r="I792" s="50" t="n"/>
      <c r="J792" s="42" t="n"/>
      <c r="K792" s="42" t="n"/>
      <c r="L792" s="43">
        <f>IF($B792="","",ROUND((N($J792)+N($K792))*نسبة_القيمة_المضافة,2))</f>
        <v/>
      </c>
      <c r="M792" s="42" t="n"/>
      <c r="N792" s="42" t="n"/>
      <c r="O792" s="43">
        <f>IF($B792="","",N($J792)+N($K792)+N($L792)-N($M792)+N($N792))</f>
        <v/>
      </c>
      <c r="P792" s="42" t="n"/>
      <c r="Q792" s="43">
        <f>IF($B792="","",N($O792)-N($P792))</f>
        <v/>
      </c>
      <c r="R792" s="42" t="n"/>
      <c r="S792" s="42" t="n"/>
      <c r="T792" s="42" t="n"/>
      <c r="U792" s="43">
        <f>IF($B792="","",N($J792)-N($R792)-N($T792))</f>
        <v/>
      </c>
      <c r="V792" s="42" t="n"/>
    </row>
    <row r="793">
      <c r="A793" s="39">
        <f>IF($B793="","",COUNTA($B$4:$B793))</f>
        <v/>
      </c>
      <c r="B793" s="45" t="n"/>
      <c r="C793" s="46" t="n"/>
      <c r="D793" s="46" t="n"/>
      <c r="E793" s="46" t="n"/>
      <c r="F793" s="46" t="n"/>
      <c r="G793" s="46" t="n"/>
      <c r="H793" s="46" t="n"/>
      <c r="I793" s="51" t="n"/>
      <c r="J793" s="47" t="n"/>
      <c r="K793" s="47" t="n"/>
      <c r="L793" s="43">
        <f>IF($B793="","",ROUND((N($J793)+N($K793))*نسبة_القيمة_المضافة,2))</f>
        <v/>
      </c>
      <c r="M793" s="47" t="n"/>
      <c r="N793" s="47" t="n"/>
      <c r="O793" s="43">
        <f>IF($B793="","",N($J793)+N($K793)+N($L793)-N($M793)+N($N793))</f>
        <v/>
      </c>
      <c r="P793" s="47" t="n"/>
      <c r="Q793" s="43">
        <f>IF($B793="","",N($O793)-N($P793))</f>
        <v/>
      </c>
      <c r="R793" s="47" t="n"/>
      <c r="S793" s="47" t="n"/>
      <c r="T793" s="47" t="n"/>
      <c r="U793" s="43">
        <f>IF($B793="","",N($J793)-N($R793)-N($T793))</f>
        <v/>
      </c>
      <c r="V793" s="47" t="n"/>
    </row>
    <row r="794">
      <c r="A794" s="39">
        <f>IF($B794="","",COUNTA($B$4:$B794))</f>
        <v/>
      </c>
      <c r="B794" s="40" t="n"/>
      <c r="C794" s="41" t="n"/>
      <c r="D794" s="41" t="n"/>
      <c r="E794" s="41" t="n"/>
      <c r="F794" s="41" t="n"/>
      <c r="G794" s="41" t="n"/>
      <c r="H794" s="41" t="n"/>
      <c r="I794" s="50" t="n"/>
      <c r="J794" s="42" t="n"/>
      <c r="K794" s="42" t="n"/>
      <c r="L794" s="43">
        <f>IF($B794="","",ROUND((N($J794)+N($K794))*نسبة_القيمة_المضافة,2))</f>
        <v/>
      </c>
      <c r="M794" s="42" t="n"/>
      <c r="N794" s="42" t="n"/>
      <c r="O794" s="43">
        <f>IF($B794="","",N($J794)+N($K794)+N($L794)-N($M794)+N($N794))</f>
        <v/>
      </c>
      <c r="P794" s="42" t="n"/>
      <c r="Q794" s="43">
        <f>IF($B794="","",N($O794)-N($P794))</f>
        <v/>
      </c>
      <c r="R794" s="42" t="n"/>
      <c r="S794" s="42" t="n"/>
      <c r="T794" s="42" t="n"/>
      <c r="U794" s="43">
        <f>IF($B794="","",N($J794)-N($R794)-N($T794))</f>
        <v/>
      </c>
      <c r="V794" s="42" t="n"/>
    </row>
    <row r="795">
      <c r="A795" s="39">
        <f>IF($B795="","",COUNTA($B$4:$B795))</f>
        <v/>
      </c>
      <c r="B795" s="45" t="n"/>
      <c r="C795" s="46" t="n"/>
      <c r="D795" s="46" t="n"/>
      <c r="E795" s="46" t="n"/>
      <c r="F795" s="46" t="n"/>
      <c r="G795" s="46" t="n"/>
      <c r="H795" s="46" t="n"/>
      <c r="I795" s="51" t="n"/>
      <c r="J795" s="47" t="n"/>
      <c r="K795" s="47" t="n"/>
      <c r="L795" s="43">
        <f>IF($B795="","",ROUND((N($J795)+N($K795))*نسبة_القيمة_المضافة,2))</f>
        <v/>
      </c>
      <c r="M795" s="47" t="n"/>
      <c r="N795" s="47" t="n"/>
      <c r="O795" s="43">
        <f>IF($B795="","",N($J795)+N($K795)+N($L795)-N($M795)+N($N795))</f>
        <v/>
      </c>
      <c r="P795" s="47" t="n"/>
      <c r="Q795" s="43">
        <f>IF($B795="","",N($O795)-N($P795))</f>
        <v/>
      </c>
      <c r="R795" s="47" t="n"/>
      <c r="S795" s="47" t="n"/>
      <c r="T795" s="47" t="n"/>
      <c r="U795" s="43">
        <f>IF($B795="","",N($J795)-N($R795)-N($T795))</f>
        <v/>
      </c>
      <c r="V795" s="47" t="n"/>
    </row>
    <row r="796">
      <c r="A796" s="39">
        <f>IF($B796="","",COUNTA($B$4:$B796))</f>
        <v/>
      </c>
      <c r="B796" s="40" t="n"/>
      <c r="C796" s="41" t="n"/>
      <c r="D796" s="41" t="n"/>
      <c r="E796" s="41" t="n"/>
      <c r="F796" s="41" t="n"/>
      <c r="G796" s="41" t="n"/>
      <c r="H796" s="41" t="n"/>
      <c r="I796" s="50" t="n"/>
      <c r="J796" s="42" t="n"/>
      <c r="K796" s="42" t="n"/>
      <c r="L796" s="43">
        <f>IF($B796="","",ROUND((N($J796)+N($K796))*نسبة_القيمة_المضافة,2))</f>
        <v/>
      </c>
      <c r="M796" s="42" t="n"/>
      <c r="N796" s="42" t="n"/>
      <c r="O796" s="43">
        <f>IF($B796="","",N($J796)+N($K796)+N($L796)-N($M796)+N($N796))</f>
        <v/>
      </c>
      <c r="P796" s="42" t="n"/>
      <c r="Q796" s="43">
        <f>IF($B796="","",N($O796)-N($P796))</f>
        <v/>
      </c>
      <c r="R796" s="42" t="n"/>
      <c r="S796" s="42" t="n"/>
      <c r="T796" s="42" t="n"/>
      <c r="U796" s="43">
        <f>IF($B796="","",N($J796)-N($R796)-N($T796))</f>
        <v/>
      </c>
      <c r="V796" s="42" t="n"/>
    </row>
    <row r="797">
      <c r="A797" s="39">
        <f>IF($B797="","",COUNTA($B$4:$B797))</f>
        <v/>
      </c>
      <c r="B797" s="45" t="n"/>
      <c r="C797" s="46" t="n"/>
      <c r="D797" s="46" t="n"/>
      <c r="E797" s="46" t="n"/>
      <c r="F797" s="46" t="n"/>
      <c r="G797" s="46" t="n"/>
      <c r="H797" s="46" t="n"/>
      <c r="I797" s="51" t="n"/>
      <c r="J797" s="47" t="n"/>
      <c r="K797" s="47" t="n"/>
      <c r="L797" s="43">
        <f>IF($B797="","",ROUND((N($J797)+N($K797))*نسبة_القيمة_المضافة,2))</f>
        <v/>
      </c>
      <c r="M797" s="47" t="n"/>
      <c r="N797" s="47" t="n"/>
      <c r="O797" s="43">
        <f>IF($B797="","",N($J797)+N($K797)+N($L797)-N($M797)+N($N797))</f>
        <v/>
      </c>
      <c r="P797" s="47" t="n"/>
      <c r="Q797" s="43">
        <f>IF($B797="","",N($O797)-N($P797))</f>
        <v/>
      </c>
      <c r="R797" s="47" t="n"/>
      <c r="S797" s="47" t="n"/>
      <c r="T797" s="47" t="n"/>
      <c r="U797" s="43">
        <f>IF($B797="","",N($J797)-N($R797)-N($T797))</f>
        <v/>
      </c>
      <c r="V797" s="47" t="n"/>
    </row>
    <row r="798">
      <c r="A798" s="39">
        <f>IF($B798="","",COUNTA($B$4:$B798))</f>
        <v/>
      </c>
      <c r="B798" s="40" t="n"/>
      <c r="C798" s="41" t="n"/>
      <c r="D798" s="41" t="n"/>
      <c r="E798" s="41" t="n"/>
      <c r="F798" s="41" t="n"/>
      <c r="G798" s="41" t="n"/>
      <c r="H798" s="41" t="n"/>
      <c r="I798" s="50" t="n"/>
      <c r="J798" s="42" t="n"/>
      <c r="K798" s="42" t="n"/>
      <c r="L798" s="43">
        <f>IF($B798="","",ROUND((N($J798)+N($K798))*نسبة_القيمة_المضافة,2))</f>
        <v/>
      </c>
      <c r="M798" s="42" t="n"/>
      <c r="N798" s="42" t="n"/>
      <c r="O798" s="43">
        <f>IF($B798="","",N($J798)+N($K798)+N($L798)-N($M798)+N($N798))</f>
        <v/>
      </c>
      <c r="P798" s="42" t="n"/>
      <c r="Q798" s="43">
        <f>IF($B798="","",N($O798)-N($P798))</f>
        <v/>
      </c>
      <c r="R798" s="42" t="n"/>
      <c r="S798" s="42" t="n"/>
      <c r="T798" s="42" t="n"/>
      <c r="U798" s="43">
        <f>IF($B798="","",N($J798)-N($R798)-N($T798))</f>
        <v/>
      </c>
      <c r="V798" s="42" t="n"/>
    </row>
    <row r="799">
      <c r="A799" s="39">
        <f>IF($B799="","",COUNTA($B$4:$B799))</f>
        <v/>
      </c>
      <c r="B799" s="45" t="n"/>
      <c r="C799" s="46" t="n"/>
      <c r="D799" s="46" t="n"/>
      <c r="E799" s="46" t="n"/>
      <c r="F799" s="46" t="n"/>
      <c r="G799" s="46" t="n"/>
      <c r="H799" s="46" t="n"/>
      <c r="I799" s="51" t="n"/>
      <c r="J799" s="47" t="n"/>
      <c r="K799" s="47" t="n"/>
      <c r="L799" s="43">
        <f>IF($B799="","",ROUND((N($J799)+N($K799))*نسبة_القيمة_المضافة,2))</f>
        <v/>
      </c>
      <c r="M799" s="47" t="n"/>
      <c r="N799" s="47" t="n"/>
      <c r="O799" s="43">
        <f>IF($B799="","",N($J799)+N($K799)+N($L799)-N($M799)+N($N799))</f>
        <v/>
      </c>
      <c r="P799" s="47" t="n"/>
      <c r="Q799" s="43">
        <f>IF($B799="","",N($O799)-N($P799))</f>
        <v/>
      </c>
      <c r="R799" s="47" t="n"/>
      <c r="S799" s="47" t="n"/>
      <c r="T799" s="47" t="n"/>
      <c r="U799" s="43">
        <f>IF($B799="","",N($J799)-N($R799)-N($T799))</f>
        <v/>
      </c>
      <c r="V799" s="47" t="n"/>
    </row>
    <row r="800">
      <c r="A800" s="39">
        <f>IF($B800="","",COUNTA($B$4:$B800))</f>
        <v/>
      </c>
      <c r="B800" s="40" t="n"/>
      <c r="C800" s="41" t="n"/>
      <c r="D800" s="41" t="n"/>
      <c r="E800" s="41" t="n"/>
      <c r="F800" s="41" t="n"/>
      <c r="G800" s="41" t="n"/>
      <c r="H800" s="41" t="n"/>
      <c r="I800" s="50" t="n"/>
      <c r="J800" s="42" t="n"/>
      <c r="K800" s="42" t="n"/>
      <c r="L800" s="43">
        <f>IF($B800="","",ROUND((N($J800)+N($K800))*نسبة_القيمة_المضافة,2))</f>
        <v/>
      </c>
      <c r="M800" s="42" t="n"/>
      <c r="N800" s="42" t="n"/>
      <c r="O800" s="43">
        <f>IF($B800="","",N($J800)+N($K800)+N($L800)-N($M800)+N($N800))</f>
        <v/>
      </c>
      <c r="P800" s="42" t="n"/>
      <c r="Q800" s="43">
        <f>IF($B800="","",N($O800)-N($P800))</f>
        <v/>
      </c>
      <c r="R800" s="42" t="n"/>
      <c r="S800" s="42" t="n"/>
      <c r="T800" s="42" t="n"/>
      <c r="U800" s="43">
        <f>IF($B800="","",N($J800)-N($R800)-N($T800))</f>
        <v/>
      </c>
      <c r="V800" s="42" t="n"/>
    </row>
    <row r="801">
      <c r="A801" s="39">
        <f>IF($B801="","",COUNTA($B$4:$B801))</f>
        <v/>
      </c>
      <c r="B801" s="45" t="n"/>
      <c r="C801" s="46" t="n"/>
      <c r="D801" s="46" t="n"/>
      <c r="E801" s="46" t="n"/>
      <c r="F801" s="46" t="n"/>
      <c r="G801" s="46" t="n"/>
      <c r="H801" s="46" t="n"/>
      <c r="I801" s="51" t="n"/>
      <c r="J801" s="47" t="n"/>
      <c r="K801" s="47" t="n"/>
      <c r="L801" s="43">
        <f>IF($B801="","",ROUND((N($J801)+N($K801))*نسبة_القيمة_المضافة,2))</f>
        <v/>
      </c>
      <c r="M801" s="47" t="n"/>
      <c r="N801" s="47" t="n"/>
      <c r="O801" s="43">
        <f>IF($B801="","",N($J801)+N($K801)+N($L801)-N($M801)+N($N801))</f>
        <v/>
      </c>
      <c r="P801" s="47" t="n"/>
      <c r="Q801" s="43">
        <f>IF($B801="","",N($O801)-N($P801))</f>
        <v/>
      </c>
      <c r="R801" s="47" t="n"/>
      <c r="S801" s="47" t="n"/>
      <c r="T801" s="47" t="n"/>
      <c r="U801" s="43">
        <f>IF($B801="","",N($J801)-N($R801)-N($T801))</f>
        <v/>
      </c>
      <c r="V801" s="47" t="n"/>
    </row>
    <row r="802">
      <c r="A802" s="39">
        <f>IF($B802="","",COUNTA($B$4:$B802))</f>
        <v/>
      </c>
      <c r="B802" s="40" t="n"/>
      <c r="C802" s="41" t="n"/>
      <c r="D802" s="41" t="n"/>
      <c r="E802" s="41" t="n"/>
      <c r="F802" s="41" t="n"/>
      <c r="G802" s="41" t="n"/>
      <c r="H802" s="41" t="n"/>
      <c r="I802" s="50" t="n"/>
      <c r="J802" s="42" t="n"/>
      <c r="K802" s="42" t="n"/>
      <c r="L802" s="43">
        <f>IF($B802="","",ROUND((N($J802)+N($K802))*نسبة_القيمة_المضافة,2))</f>
        <v/>
      </c>
      <c r="M802" s="42" t="n"/>
      <c r="N802" s="42" t="n"/>
      <c r="O802" s="43">
        <f>IF($B802="","",N($J802)+N($K802)+N($L802)-N($M802)+N($N802))</f>
        <v/>
      </c>
      <c r="P802" s="42" t="n"/>
      <c r="Q802" s="43">
        <f>IF($B802="","",N($O802)-N($P802))</f>
        <v/>
      </c>
      <c r="R802" s="42" t="n"/>
      <c r="S802" s="42" t="n"/>
      <c r="T802" s="42" t="n"/>
      <c r="U802" s="43">
        <f>IF($B802="","",N($J802)-N($R802)-N($T802))</f>
        <v/>
      </c>
      <c r="V802" s="42" t="n"/>
    </row>
    <row r="803">
      <c r="A803" s="39">
        <f>IF($B803="","",COUNTA($B$4:$B803))</f>
        <v/>
      </c>
      <c r="B803" s="45" t="n"/>
      <c r="C803" s="46" t="n"/>
      <c r="D803" s="46" t="n"/>
      <c r="E803" s="46" t="n"/>
      <c r="F803" s="46" t="n"/>
      <c r="G803" s="46" t="n"/>
      <c r="H803" s="46" t="n"/>
      <c r="I803" s="51" t="n"/>
      <c r="J803" s="47" t="n"/>
      <c r="K803" s="47" t="n"/>
      <c r="L803" s="43">
        <f>IF($B803="","",ROUND((N($J803)+N($K803))*نسبة_القيمة_المضافة,2))</f>
        <v/>
      </c>
      <c r="M803" s="47" t="n"/>
      <c r="N803" s="47" t="n"/>
      <c r="O803" s="43">
        <f>IF($B803="","",N($J803)+N($K803)+N($L803)-N($M803)+N($N803))</f>
        <v/>
      </c>
      <c r="P803" s="47" t="n"/>
      <c r="Q803" s="43">
        <f>IF($B803="","",N($O803)-N($P803))</f>
        <v/>
      </c>
      <c r="R803" s="47" t="n"/>
      <c r="S803" s="47" t="n"/>
      <c r="T803" s="47" t="n"/>
      <c r="U803" s="43">
        <f>IF($B803="","",N($J803)-N($R803)-N($T803))</f>
        <v/>
      </c>
      <c r="V803" s="47" t="n"/>
    </row>
    <row r="804">
      <c r="A804" s="39">
        <f>IF($B804="","",COUNTA($B$4:$B804))</f>
        <v/>
      </c>
      <c r="B804" s="40" t="n"/>
      <c r="C804" s="41" t="n"/>
      <c r="D804" s="41" t="n"/>
      <c r="E804" s="41" t="n"/>
      <c r="F804" s="41" t="n"/>
      <c r="G804" s="41" t="n"/>
      <c r="H804" s="41" t="n"/>
      <c r="I804" s="50" t="n"/>
      <c r="J804" s="42" t="n"/>
      <c r="K804" s="42" t="n"/>
      <c r="L804" s="43">
        <f>IF($B804="","",ROUND((N($J804)+N($K804))*نسبة_القيمة_المضافة,2))</f>
        <v/>
      </c>
      <c r="M804" s="42" t="n"/>
      <c r="N804" s="42" t="n"/>
      <c r="O804" s="43">
        <f>IF($B804="","",N($J804)+N($K804)+N($L804)-N($M804)+N($N804))</f>
        <v/>
      </c>
      <c r="P804" s="42" t="n"/>
      <c r="Q804" s="43">
        <f>IF($B804="","",N($O804)-N($P804))</f>
        <v/>
      </c>
      <c r="R804" s="42" t="n"/>
      <c r="S804" s="42" t="n"/>
      <c r="T804" s="42" t="n"/>
      <c r="U804" s="43">
        <f>IF($B804="","",N($J804)-N($R804)-N($T804))</f>
        <v/>
      </c>
      <c r="V804" s="42" t="n"/>
    </row>
    <row r="805">
      <c r="A805" s="39">
        <f>IF($B805="","",COUNTA($B$4:$B805))</f>
        <v/>
      </c>
      <c r="B805" s="45" t="n"/>
      <c r="C805" s="46" t="n"/>
      <c r="D805" s="46" t="n"/>
      <c r="E805" s="46" t="n"/>
      <c r="F805" s="46" t="n"/>
      <c r="G805" s="46" t="n"/>
      <c r="H805" s="46" t="n"/>
      <c r="I805" s="51" t="n"/>
      <c r="J805" s="47" t="n"/>
      <c r="K805" s="47" t="n"/>
      <c r="L805" s="43">
        <f>IF($B805="","",ROUND((N($J805)+N($K805))*نسبة_القيمة_المضافة,2))</f>
        <v/>
      </c>
      <c r="M805" s="47" t="n"/>
      <c r="N805" s="47" t="n"/>
      <c r="O805" s="43">
        <f>IF($B805="","",N($J805)+N($K805)+N($L805)-N($M805)+N($N805))</f>
        <v/>
      </c>
      <c r="P805" s="47" t="n"/>
      <c r="Q805" s="43">
        <f>IF($B805="","",N($O805)-N($P805))</f>
        <v/>
      </c>
      <c r="R805" s="47" t="n"/>
      <c r="S805" s="47" t="n"/>
      <c r="T805" s="47" t="n"/>
      <c r="U805" s="43">
        <f>IF($B805="","",N($J805)-N($R805)-N($T805))</f>
        <v/>
      </c>
      <c r="V805" s="47" t="n"/>
    </row>
    <row r="806">
      <c r="A806" s="39">
        <f>IF($B806="","",COUNTA($B$4:$B806))</f>
        <v/>
      </c>
      <c r="B806" s="40" t="n"/>
      <c r="C806" s="41" t="n"/>
      <c r="D806" s="41" t="n"/>
      <c r="E806" s="41" t="n"/>
      <c r="F806" s="41" t="n"/>
      <c r="G806" s="41" t="n"/>
      <c r="H806" s="41" t="n"/>
      <c r="I806" s="50" t="n"/>
      <c r="J806" s="42" t="n"/>
      <c r="K806" s="42" t="n"/>
      <c r="L806" s="43">
        <f>IF($B806="","",ROUND((N($J806)+N($K806))*نسبة_القيمة_المضافة,2))</f>
        <v/>
      </c>
      <c r="M806" s="42" t="n"/>
      <c r="N806" s="42" t="n"/>
      <c r="O806" s="43">
        <f>IF($B806="","",N($J806)+N($K806)+N($L806)-N($M806)+N($N806))</f>
        <v/>
      </c>
      <c r="P806" s="42" t="n"/>
      <c r="Q806" s="43">
        <f>IF($B806="","",N($O806)-N($P806))</f>
        <v/>
      </c>
      <c r="R806" s="42" t="n"/>
      <c r="S806" s="42" t="n"/>
      <c r="T806" s="42" t="n"/>
      <c r="U806" s="43">
        <f>IF($B806="","",N($J806)-N($R806)-N($T806))</f>
        <v/>
      </c>
      <c r="V806" s="42" t="n"/>
    </row>
    <row r="807">
      <c r="A807" s="39">
        <f>IF($B807="","",COUNTA($B$4:$B807))</f>
        <v/>
      </c>
      <c r="B807" s="45" t="n"/>
      <c r="C807" s="46" t="n"/>
      <c r="D807" s="46" t="n"/>
      <c r="E807" s="46" t="n"/>
      <c r="F807" s="46" t="n"/>
      <c r="G807" s="46" t="n"/>
      <c r="H807" s="46" t="n"/>
      <c r="I807" s="51" t="n"/>
      <c r="J807" s="47" t="n"/>
      <c r="K807" s="47" t="n"/>
      <c r="L807" s="43">
        <f>IF($B807="","",ROUND((N($J807)+N($K807))*نسبة_القيمة_المضافة,2))</f>
        <v/>
      </c>
      <c r="M807" s="47" t="n"/>
      <c r="N807" s="47" t="n"/>
      <c r="O807" s="43">
        <f>IF($B807="","",N($J807)+N($K807)+N($L807)-N($M807)+N($N807))</f>
        <v/>
      </c>
      <c r="P807" s="47" t="n"/>
      <c r="Q807" s="43">
        <f>IF($B807="","",N($O807)-N($P807))</f>
        <v/>
      </c>
      <c r="R807" s="47" t="n"/>
      <c r="S807" s="47" t="n"/>
      <c r="T807" s="47" t="n"/>
      <c r="U807" s="43">
        <f>IF($B807="","",N($J807)-N($R807)-N($T807))</f>
        <v/>
      </c>
      <c r="V807" s="47" t="n"/>
    </row>
    <row r="808">
      <c r="A808" s="39">
        <f>IF($B808="","",COUNTA($B$4:$B808))</f>
        <v/>
      </c>
      <c r="B808" s="40" t="n"/>
      <c r="C808" s="41" t="n"/>
      <c r="D808" s="41" t="n"/>
      <c r="E808" s="41" t="n"/>
      <c r="F808" s="41" t="n"/>
      <c r="G808" s="41" t="n"/>
      <c r="H808" s="41" t="n"/>
      <c r="I808" s="50" t="n"/>
      <c r="J808" s="42" t="n"/>
      <c r="K808" s="42" t="n"/>
      <c r="L808" s="43">
        <f>IF($B808="","",ROUND((N($J808)+N($K808))*نسبة_القيمة_المضافة,2))</f>
        <v/>
      </c>
      <c r="M808" s="42" t="n"/>
      <c r="N808" s="42" t="n"/>
      <c r="O808" s="43">
        <f>IF($B808="","",N($J808)+N($K808)+N($L808)-N($M808)+N($N808))</f>
        <v/>
      </c>
      <c r="P808" s="42" t="n"/>
      <c r="Q808" s="43">
        <f>IF($B808="","",N($O808)-N($P808))</f>
        <v/>
      </c>
      <c r="R808" s="42" t="n"/>
      <c r="S808" s="42" t="n"/>
      <c r="T808" s="42" t="n"/>
      <c r="U808" s="43">
        <f>IF($B808="","",N($J808)-N($R808)-N($T808))</f>
        <v/>
      </c>
      <c r="V808" s="42" t="n"/>
    </row>
    <row r="809">
      <c r="A809" s="39">
        <f>IF($B809="","",COUNTA($B$4:$B809))</f>
        <v/>
      </c>
      <c r="B809" s="45" t="n"/>
      <c r="C809" s="46" t="n"/>
      <c r="D809" s="46" t="n"/>
      <c r="E809" s="46" t="n"/>
      <c r="F809" s="46" t="n"/>
      <c r="G809" s="46" t="n"/>
      <c r="H809" s="46" t="n"/>
      <c r="I809" s="51" t="n"/>
      <c r="J809" s="47" t="n"/>
      <c r="K809" s="47" t="n"/>
      <c r="L809" s="43">
        <f>IF($B809="","",ROUND((N($J809)+N($K809))*نسبة_القيمة_المضافة,2))</f>
        <v/>
      </c>
      <c r="M809" s="47" t="n"/>
      <c r="N809" s="47" t="n"/>
      <c r="O809" s="43">
        <f>IF($B809="","",N($J809)+N($K809)+N($L809)-N($M809)+N($N809))</f>
        <v/>
      </c>
      <c r="P809" s="47" t="n"/>
      <c r="Q809" s="43">
        <f>IF($B809="","",N($O809)-N($P809))</f>
        <v/>
      </c>
      <c r="R809" s="47" t="n"/>
      <c r="S809" s="47" t="n"/>
      <c r="T809" s="47" t="n"/>
      <c r="U809" s="43">
        <f>IF($B809="","",N($J809)-N($R809)-N($T809))</f>
        <v/>
      </c>
      <c r="V809" s="47" t="n"/>
    </row>
    <row r="810">
      <c r="A810" s="39">
        <f>IF($B810="","",COUNTA($B$4:$B810))</f>
        <v/>
      </c>
      <c r="B810" s="40" t="n"/>
      <c r="C810" s="41" t="n"/>
      <c r="D810" s="41" t="n"/>
      <c r="E810" s="41" t="n"/>
      <c r="F810" s="41" t="n"/>
      <c r="G810" s="41" t="n"/>
      <c r="H810" s="41" t="n"/>
      <c r="I810" s="50" t="n"/>
      <c r="J810" s="42" t="n"/>
      <c r="K810" s="42" t="n"/>
      <c r="L810" s="43">
        <f>IF($B810="","",ROUND((N($J810)+N($K810))*نسبة_القيمة_المضافة,2))</f>
        <v/>
      </c>
      <c r="M810" s="42" t="n"/>
      <c r="N810" s="42" t="n"/>
      <c r="O810" s="43">
        <f>IF($B810="","",N($J810)+N($K810)+N($L810)-N($M810)+N($N810))</f>
        <v/>
      </c>
      <c r="P810" s="42" t="n"/>
      <c r="Q810" s="43">
        <f>IF($B810="","",N($O810)-N($P810))</f>
        <v/>
      </c>
      <c r="R810" s="42" t="n"/>
      <c r="S810" s="42" t="n"/>
      <c r="T810" s="42" t="n"/>
      <c r="U810" s="43">
        <f>IF($B810="","",N($J810)-N($R810)-N($T810))</f>
        <v/>
      </c>
      <c r="V810" s="42" t="n"/>
    </row>
    <row r="811">
      <c r="A811" s="39">
        <f>IF($B811="","",COUNTA($B$4:$B811))</f>
        <v/>
      </c>
      <c r="B811" s="45" t="n"/>
      <c r="C811" s="46" t="n"/>
      <c r="D811" s="46" t="n"/>
      <c r="E811" s="46" t="n"/>
      <c r="F811" s="46" t="n"/>
      <c r="G811" s="46" t="n"/>
      <c r="H811" s="46" t="n"/>
      <c r="I811" s="51" t="n"/>
      <c r="J811" s="47" t="n"/>
      <c r="K811" s="47" t="n"/>
      <c r="L811" s="43">
        <f>IF($B811="","",ROUND((N($J811)+N($K811))*نسبة_القيمة_المضافة,2))</f>
        <v/>
      </c>
      <c r="M811" s="47" t="n"/>
      <c r="N811" s="47" t="n"/>
      <c r="O811" s="43">
        <f>IF($B811="","",N($J811)+N($K811)+N($L811)-N($M811)+N($N811))</f>
        <v/>
      </c>
      <c r="P811" s="47" t="n"/>
      <c r="Q811" s="43">
        <f>IF($B811="","",N($O811)-N($P811))</f>
        <v/>
      </c>
      <c r="R811" s="47" t="n"/>
      <c r="S811" s="47" t="n"/>
      <c r="T811" s="47" t="n"/>
      <c r="U811" s="43">
        <f>IF($B811="","",N($J811)-N($R811)-N($T811))</f>
        <v/>
      </c>
      <c r="V811" s="47" t="n"/>
    </row>
    <row r="812">
      <c r="A812" s="39">
        <f>IF($B812="","",COUNTA($B$4:$B812))</f>
        <v/>
      </c>
      <c r="B812" s="40" t="n"/>
      <c r="C812" s="41" t="n"/>
      <c r="D812" s="41" t="n"/>
      <c r="E812" s="41" t="n"/>
      <c r="F812" s="41" t="n"/>
      <c r="G812" s="41" t="n"/>
      <c r="H812" s="41" t="n"/>
      <c r="I812" s="50" t="n"/>
      <c r="J812" s="42" t="n"/>
      <c r="K812" s="42" t="n"/>
      <c r="L812" s="43">
        <f>IF($B812="","",ROUND((N($J812)+N($K812))*نسبة_القيمة_المضافة,2))</f>
        <v/>
      </c>
      <c r="M812" s="42" t="n"/>
      <c r="N812" s="42" t="n"/>
      <c r="O812" s="43">
        <f>IF($B812="","",N($J812)+N($K812)+N($L812)-N($M812)+N($N812))</f>
        <v/>
      </c>
      <c r="P812" s="42" t="n"/>
      <c r="Q812" s="43">
        <f>IF($B812="","",N($O812)-N($P812))</f>
        <v/>
      </c>
      <c r="R812" s="42" t="n"/>
      <c r="S812" s="42" t="n"/>
      <c r="T812" s="42" t="n"/>
      <c r="U812" s="43">
        <f>IF($B812="","",N($J812)-N($R812)-N($T812))</f>
        <v/>
      </c>
      <c r="V812" s="42" t="n"/>
    </row>
    <row r="813">
      <c r="A813" s="39">
        <f>IF($B813="","",COUNTA($B$4:$B813))</f>
        <v/>
      </c>
      <c r="B813" s="45" t="n"/>
      <c r="C813" s="46" t="n"/>
      <c r="D813" s="46" t="n"/>
      <c r="E813" s="46" t="n"/>
      <c r="F813" s="46" t="n"/>
      <c r="G813" s="46" t="n"/>
      <c r="H813" s="46" t="n"/>
      <c r="I813" s="51" t="n"/>
      <c r="J813" s="47" t="n"/>
      <c r="K813" s="47" t="n"/>
      <c r="L813" s="43">
        <f>IF($B813="","",ROUND((N($J813)+N($K813))*نسبة_القيمة_المضافة,2))</f>
        <v/>
      </c>
      <c r="M813" s="47" t="n"/>
      <c r="N813" s="47" t="n"/>
      <c r="O813" s="43">
        <f>IF($B813="","",N($J813)+N($K813)+N($L813)-N($M813)+N($N813))</f>
        <v/>
      </c>
      <c r="P813" s="47" t="n"/>
      <c r="Q813" s="43">
        <f>IF($B813="","",N($O813)-N($P813))</f>
        <v/>
      </c>
      <c r="R813" s="47" t="n"/>
      <c r="S813" s="47" t="n"/>
      <c r="T813" s="47" t="n"/>
      <c r="U813" s="43">
        <f>IF($B813="","",N($J813)-N($R813)-N($T813))</f>
        <v/>
      </c>
      <c r="V813" s="47" t="n"/>
    </row>
    <row r="814">
      <c r="A814" s="39">
        <f>IF($B814="","",COUNTA($B$4:$B814))</f>
        <v/>
      </c>
      <c r="B814" s="40" t="n"/>
      <c r="C814" s="41" t="n"/>
      <c r="D814" s="41" t="n"/>
      <c r="E814" s="41" t="n"/>
      <c r="F814" s="41" t="n"/>
      <c r="G814" s="41" t="n"/>
      <c r="H814" s="41" t="n"/>
      <c r="I814" s="50" t="n"/>
      <c r="J814" s="42" t="n"/>
      <c r="K814" s="42" t="n"/>
      <c r="L814" s="43">
        <f>IF($B814="","",ROUND((N($J814)+N($K814))*نسبة_القيمة_المضافة,2))</f>
        <v/>
      </c>
      <c r="M814" s="42" t="n"/>
      <c r="N814" s="42" t="n"/>
      <c r="O814" s="43">
        <f>IF($B814="","",N($J814)+N($K814)+N($L814)-N($M814)+N($N814))</f>
        <v/>
      </c>
      <c r="P814" s="42" t="n"/>
      <c r="Q814" s="43">
        <f>IF($B814="","",N($O814)-N($P814))</f>
        <v/>
      </c>
      <c r="R814" s="42" t="n"/>
      <c r="S814" s="42" t="n"/>
      <c r="T814" s="42" t="n"/>
      <c r="U814" s="43">
        <f>IF($B814="","",N($J814)-N($R814)-N($T814))</f>
        <v/>
      </c>
      <c r="V814" s="42" t="n"/>
    </row>
    <row r="815">
      <c r="A815" s="39">
        <f>IF($B815="","",COUNTA($B$4:$B815))</f>
        <v/>
      </c>
      <c r="B815" s="45" t="n"/>
      <c r="C815" s="46" t="n"/>
      <c r="D815" s="46" t="n"/>
      <c r="E815" s="46" t="n"/>
      <c r="F815" s="46" t="n"/>
      <c r="G815" s="46" t="n"/>
      <c r="H815" s="46" t="n"/>
      <c r="I815" s="51" t="n"/>
      <c r="J815" s="47" t="n"/>
      <c r="K815" s="47" t="n"/>
      <c r="L815" s="43">
        <f>IF($B815="","",ROUND((N($J815)+N($K815))*نسبة_القيمة_المضافة,2))</f>
        <v/>
      </c>
      <c r="M815" s="47" t="n"/>
      <c r="N815" s="47" t="n"/>
      <c r="O815" s="43">
        <f>IF($B815="","",N($J815)+N($K815)+N($L815)-N($M815)+N($N815))</f>
        <v/>
      </c>
      <c r="P815" s="47" t="n"/>
      <c r="Q815" s="43">
        <f>IF($B815="","",N($O815)-N($P815))</f>
        <v/>
      </c>
      <c r="R815" s="47" t="n"/>
      <c r="S815" s="47" t="n"/>
      <c r="T815" s="47" t="n"/>
      <c r="U815" s="43">
        <f>IF($B815="","",N($J815)-N($R815)-N($T815))</f>
        <v/>
      </c>
      <c r="V815" s="47" t="n"/>
    </row>
    <row r="816">
      <c r="A816" s="39">
        <f>IF($B816="","",COUNTA($B$4:$B816))</f>
        <v/>
      </c>
      <c r="B816" s="40" t="n"/>
      <c r="C816" s="41" t="n"/>
      <c r="D816" s="41" t="n"/>
      <c r="E816" s="41" t="n"/>
      <c r="F816" s="41" t="n"/>
      <c r="G816" s="41" t="n"/>
      <c r="H816" s="41" t="n"/>
      <c r="I816" s="50" t="n"/>
      <c r="J816" s="42" t="n"/>
      <c r="K816" s="42" t="n"/>
      <c r="L816" s="43">
        <f>IF($B816="","",ROUND((N($J816)+N($K816))*نسبة_القيمة_المضافة,2))</f>
        <v/>
      </c>
      <c r="M816" s="42" t="n"/>
      <c r="N816" s="42" t="n"/>
      <c r="O816" s="43">
        <f>IF($B816="","",N($J816)+N($K816)+N($L816)-N($M816)+N($N816))</f>
        <v/>
      </c>
      <c r="P816" s="42" t="n"/>
      <c r="Q816" s="43">
        <f>IF($B816="","",N($O816)-N($P816))</f>
        <v/>
      </c>
      <c r="R816" s="42" t="n"/>
      <c r="S816" s="42" t="n"/>
      <c r="T816" s="42" t="n"/>
      <c r="U816" s="43">
        <f>IF($B816="","",N($J816)-N($R816)-N($T816))</f>
        <v/>
      </c>
      <c r="V816" s="42" t="n"/>
    </row>
    <row r="817">
      <c r="A817" s="39">
        <f>IF($B817="","",COUNTA($B$4:$B817))</f>
        <v/>
      </c>
      <c r="B817" s="45" t="n"/>
      <c r="C817" s="46" t="n"/>
      <c r="D817" s="46" t="n"/>
      <c r="E817" s="46" t="n"/>
      <c r="F817" s="46" t="n"/>
      <c r="G817" s="46" t="n"/>
      <c r="H817" s="46" t="n"/>
      <c r="I817" s="51" t="n"/>
      <c r="J817" s="47" t="n"/>
      <c r="K817" s="47" t="n"/>
      <c r="L817" s="43">
        <f>IF($B817="","",ROUND((N($J817)+N($K817))*نسبة_القيمة_المضافة,2))</f>
        <v/>
      </c>
      <c r="M817" s="47" t="n"/>
      <c r="N817" s="47" t="n"/>
      <c r="O817" s="43">
        <f>IF($B817="","",N($J817)+N($K817)+N($L817)-N($M817)+N($N817))</f>
        <v/>
      </c>
      <c r="P817" s="47" t="n"/>
      <c r="Q817" s="43">
        <f>IF($B817="","",N($O817)-N($P817))</f>
        <v/>
      </c>
      <c r="R817" s="47" t="n"/>
      <c r="S817" s="47" t="n"/>
      <c r="T817" s="47" t="n"/>
      <c r="U817" s="43">
        <f>IF($B817="","",N($J817)-N($R817)-N($T817))</f>
        <v/>
      </c>
      <c r="V817" s="47" t="n"/>
    </row>
    <row r="818">
      <c r="A818" s="39">
        <f>IF($B818="","",COUNTA($B$4:$B818))</f>
        <v/>
      </c>
      <c r="B818" s="40" t="n"/>
      <c r="C818" s="41" t="n"/>
      <c r="D818" s="41" t="n"/>
      <c r="E818" s="41" t="n"/>
      <c r="F818" s="41" t="n"/>
      <c r="G818" s="41" t="n"/>
      <c r="H818" s="41" t="n"/>
      <c r="I818" s="50" t="n"/>
      <c r="J818" s="42" t="n"/>
      <c r="K818" s="42" t="n"/>
      <c r="L818" s="43">
        <f>IF($B818="","",ROUND((N($J818)+N($K818))*نسبة_القيمة_المضافة,2))</f>
        <v/>
      </c>
      <c r="M818" s="42" t="n"/>
      <c r="N818" s="42" t="n"/>
      <c r="O818" s="43">
        <f>IF($B818="","",N($J818)+N($K818)+N($L818)-N($M818)+N($N818))</f>
        <v/>
      </c>
      <c r="P818" s="42" t="n"/>
      <c r="Q818" s="43">
        <f>IF($B818="","",N($O818)-N($P818))</f>
        <v/>
      </c>
      <c r="R818" s="42" t="n"/>
      <c r="S818" s="42" t="n"/>
      <c r="T818" s="42" t="n"/>
      <c r="U818" s="43">
        <f>IF($B818="","",N($J818)-N($R818)-N($T818))</f>
        <v/>
      </c>
      <c r="V818" s="42" t="n"/>
    </row>
    <row r="819">
      <c r="A819" s="39">
        <f>IF($B819="","",COUNTA($B$4:$B819))</f>
        <v/>
      </c>
      <c r="B819" s="45" t="n"/>
      <c r="C819" s="46" t="n"/>
      <c r="D819" s="46" t="n"/>
      <c r="E819" s="46" t="n"/>
      <c r="F819" s="46" t="n"/>
      <c r="G819" s="46" t="n"/>
      <c r="H819" s="46" t="n"/>
      <c r="I819" s="51" t="n"/>
      <c r="J819" s="47" t="n"/>
      <c r="K819" s="47" t="n"/>
      <c r="L819" s="43">
        <f>IF($B819="","",ROUND((N($J819)+N($K819))*نسبة_القيمة_المضافة,2))</f>
        <v/>
      </c>
      <c r="M819" s="47" t="n"/>
      <c r="N819" s="47" t="n"/>
      <c r="O819" s="43">
        <f>IF($B819="","",N($J819)+N($K819)+N($L819)-N($M819)+N($N819))</f>
        <v/>
      </c>
      <c r="P819" s="47" t="n"/>
      <c r="Q819" s="43">
        <f>IF($B819="","",N($O819)-N($P819))</f>
        <v/>
      </c>
      <c r="R819" s="47" t="n"/>
      <c r="S819" s="47" t="n"/>
      <c r="T819" s="47" t="n"/>
      <c r="U819" s="43">
        <f>IF($B819="","",N($J819)-N($R819)-N($T819))</f>
        <v/>
      </c>
      <c r="V819" s="47" t="n"/>
    </row>
    <row r="820">
      <c r="A820" s="39">
        <f>IF($B820="","",COUNTA($B$4:$B820))</f>
        <v/>
      </c>
      <c r="B820" s="40" t="n"/>
      <c r="C820" s="41" t="n"/>
      <c r="D820" s="41" t="n"/>
      <c r="E820" s="41" t="n"/>
      <c r="F820" s="41" t="n"/>
      <c r="G820" s="41" t="n"/>
      <c r="H820" s="41" t="n"/>
      <c r="I820" s="50" t="n"/>
      <c r="J820" s="42" t="n"/>
      <c r="K820" s="42" t="n"/>
      <c r="L820" s="43">
        <f>IF($B820="","",ROUND((N($J820)+N($K820))*نسبة_القيمة_المضافة,2))</f>
        <v/>
      </c>
      <c r="M820" s="42" t="n"/>
      <c r="N820" s="42" t="n"/>
      <c r="O820" s="43">
        <f>IF($B820="","",N($J820)+N($K820)+N($L820)-N($M820)+N($N820))</f>
        <v/>
      </c>
      <c r="P820" s="42" t="n"/>
      <c r="Q820" s="43">
        <f>IF($B820="","",N($O820)-N($P820))</f>
        <v/>
      </c>
      <c r="R820" s="42" t="n"/>
      <c r="S820" s="42" t="n"/>
      <c r="T820" s="42" t="n"/>
      <c r="U820" s="43">
        <f>IF($B820="","",N($J820)-N($R820)-N($T820))</f>
        <v/>
      </c>
      <c r="V820" s="42" t="n"/>
    </row>
    <row r="821">
      <c r="A821" s="39">
        <f>IF($B821="","",COUNTA($B$4:$B821))</f>
        <v/>
      </c>
      <c r="B821" s="45" t="n"/>
      <c r="C821" s="46" t="n"/>
      <c r="D821" s="46" t="n"/>
      <c r="E821" s="46" t="n"/>
      <c r="F821" s="46" t="n"/>
      <c r="G821" s="46" t="n"/>
      <c r="H821" s="46" t="n"/>
      <c r="I821" s="51" t="n"/>
      <c r="J821" s="47" t="n"/>
      <c r="K821" s="47" t="n"/>
      <c r="L821" s="43">
        <f>IF($B821="","",ROUND((N($J821)+N($K821))*نسبة_القيمة_المضافة,2))</f>
        <v/>
      </c>
      <c r="M821" s="47" t="n"/>
      <c r="N821" s="47" t="n"/>
      <c r="O821" s="43">
        <f>IF($B821="","",N($J821)+N($K821)+N($L821)-N($M821)+N($N821))</f>
        <v/>
      </c>
      <c r="P821" s="47" t="n"/>
      <c r="Q821" s="43">
        <f>IF($B821="","",N($O821)-N($P821))</f>
        <v/>
      </c>
      <c r="R821" s="47" t="n"/>
      <c r="S821" s="47" t="n"/>
      <c r="T821" s="47" t="n"/>
      <c r="U821" s="43">
        <f>IF($B821="","",N($J821)-N($R821)-N($T821))</f>
        <v/>
      </c>
      <c r="V821" s="47" t="n"/>
    </row>
    <row r="822">
      <c r="A822" s="39">
        <f>IF($B822="","",COUNTA($B$4:$B822))</f>
        <v/>
      </c>
      <c r="B822" s="40" t="n"/>
      <c r="C822" s="41" t="n"/>
      <c r="D822" s="41" t="n"/>
      <c r="E822" s="41" t="n"/>
      <c r="F822" s="41" t="n"/>
      <c r="G822" s="41" t="n"/>
      <c r="H822" s="41" t="n"/>
      <c r="I822" s="50" t="n"/>
      <c r="J822" s="42" t="n"/>
      <c r="K822" s="42" t="n"/>
      <c r="L822" s="43">
        <f>IF($B822="","",ROUND((N($J822)+N($K822))*نسبة_القيمة_المضافة,2))</f>
        <v/>
      </c>
      <c r="M822" s="42" t="n"/>
      <c r="N822" s="42" t="n"/>
      <c r="O822" s="43">
        <f>IF($B822="","",N($J822)+N($K822)+N($L822)-N($M822)+N($N822))</f>
        <v/>
      </c>
      <c r="P822" s="42" t="n"/>
      <c r="Q822" s="43">
        <f>IF($B822="","",N($O822)-N($P822))</f>
        <v/>
      </c>
      <c r="R822" s="42" t="n"/>
      <c r="S822" s="42" t="n"/>
      <c r="T822" s="42" t="n"/>
      <c r="U822" s="43">
        <f>IF($B822="","",N($J822)-N($R822)-N($T822))</f>
        <v/>
      </c>
      <c r="V822" s="42" t="n"/>
    </row>
    <row r="823">
      <c r="A823" s="39">
        <f>IF($B823="","",COUNTA($B$4:$B823))</f>
        <v/>
      </c>
      <c r="B823" s="45" t="n"/>
      <c r="C823" s="46" t="n"/>
      <c r="D823" s="46" t="n"/>
      <c r="E823" s="46" t="n"/>
      <c r="F823" s="46" t="n"/>
      <c r="G823" s="46" t="n"/>
      <c r="H823" s="46" t="n"/>
      <c r="I823" s="51" t="n"/>
      <c r="J823" s="47" t="n"/>
      <c r="K823" s="47" t="n"/>
      <c r="L823" s="43">
        <f>IF($B823="","",ROUND((N($J823)+N($K823))*نسبة_القيمة_المضافة,2))</f>
        <v/>
      </c>
      <c r="M823" s="47" t="n"/>
      <c r="N823" s="47" t="n"/>
      <c r="O823" s="43">
        <f>IF($B823="","",N($J823)+N($K823)+N($L823)-N($M823)+N($N823))</f>
        <v/>
      </c>
      <c r="P823" s="47" t="n"/>
      <c r="Q823" s="43">
        <f>IF($B823="","",N($O823)-N($P823))</f>
        <v/>
      </c>
      <c r="R823" s="47" t="n"/>
      <c r="S823" s="47" t="n"/>
      <c r="T823" s="47" t="n"/>
      <c r="U823" s="43">
        <f>IF($B823="","",N($J823)-N($R823)-N($T823))</f>
        <v/>
      </c>
      <c r="V823" s="47" t="n"/>
    </row>
    <row r="824">
      <c r="A824" s="39">
        <f>IF($B824="","",COUNTA($B$4:$B824))</f>
        <v/>
      </c>
      <c r="B824" s="40" t="n"/>
      <c r="C824" s="41" t="n"/>
      <c r="D824" s="41" t="n"/>
      <c r="E824" s="41" t="n"/>
      <c r="F824" s="41" t="n"/>
      <c r="G824" s="41" t="n"/>
      <c r="H824" s="41" t="n"/>
      <c r="I824" s="50" t="n"/>
      <c r="J824" s="42" t="n"/>
      <c r="K824" s="42" t="n"/>
      <c r="L824" s="43">
        <f>IF($B824="","",ROUND((N($J824)+N($K824))*نسبة_القيمة_المضافة,2))</f>
        <v/>
      </c>
      <c r="M824" s="42" t="n"/>
      <c r="N824" s="42" t="n"/>
      <c r="O824" s="43">
        <f>IF($B824="","",N($J824)+N($K824)+N($L824)-N($M824)+N($N824))</f>
        <v/>
      </c>
      <c r="P824" s="42" t="n"/>
      <c r="Q824" s="43">
        <f>IF($B824="","",N($O824)-N($P824))</f>
        <v/>
      </c>
      <c r="R824" s="42" t="n"/>
      <c r="S824" s="42" t="n"/>
      <c r="T824" s="42" t="n"/>
      <c r="U824" s="43">
        <f>IF($B824="","",N($J824)-N($R824)-N($T824))</f>
        <v/>
      </c>
      <c r="V824" s="42" t="n"/>
    </row>
    <row r="825">
      <c r="A825" s="39">
        <f>IF($B825="","",COUNTA($B$4:$B825))</f>
        <v/>
      </c>
      <c r="B825" s="45" t="n"/>
      <c r="C825" s="46" t="n"/>
      <c r="D825" s="46" t="n"/>
      <c r="E825" s="46" t="n"/>
      <c r="F825" s="46" t="n"/>
      <c r="G825" s="46" t="n"/>
      <c r="H825" s="46" t="n"/>
      <c r="I825" s="51" t="n"/>
      <c r="J825" s="47" t="n"/>
      <c r="K825" s="47" t="n"/>
      <c r="L825" s="43">
        <f>IF($B825="","",ROUND((N($J825)+N($K825))*نسبة_القيمة_المضافة,2))</f>
        <v/>
      </c>
      <c r="M825" s="47" t="n"/>
      <c r="N825" s="47" t="n"/>
      <c r="O825" s="43">
        <f>IF($B825="","",N($J825)+N($K825)+N($L825)-N($M825)+N($N825))</f>
        <v/>
      </c>
      <c r="P825" s="47" t="n"/>
      <c r="Q825" s="43">
        <f>IF($B825="","",N($O825)-N($P825))</f>
        <v/>
      </c>
      <c r="R825" s="47" t="n"/>
      <c r="S825" s="47" t="n"/>
      <c r="T825" s="47" t="n"/>
      <c r="U825" s="43">
        <f>IF($B825="","",N($J825)-N($R825)-N($T825))</f>
        <v/>
      </c>
      <c r="V825" s="47" t="n"/>
    </row>
    <row r="826">
      <c r="A826" s="39">
        <f>IF($B826="","",COUNTA($B$4:$B826))</f>
        <v/>
      </c>
      <c r="B826" s="40" t="n"/>
      <c r="C826" s="41" t="n"/>
      <c r="D826" s="41" t="n"/>
      <c r="E826" s="41" t="n"/>
      <c r="F826" s="41" t="n"/>
      <c r="G826" s="41" t="n"/>
      <c r="H826" s="41" t="n"/>
      <c r="I826" s="50" t="n"/>
      <c r="J826" s="42" t="n"/>
      <c r="K826" s="42" t="n"/>
      <c r="L826" s="43">
        <f>IF($B826="","",ROUND((N($J826)+N($K826))*نسبة_القيمة_المضافة,2))</f>
        <v/>
      </c>
      <c r="M826" s="42" t="n"/>
      <c r="N826" s="42" t="n"/>
      <c r="O826" s="43">
        <f>IF($B826="","",N($J826)+N($K826)+N($L826)-N($M826)+N($N826))</f>
        <v/>
      </c>
      <c r="P826" s="42" t="n"/>
      <c r="Q826" s="43">
        <f>IF($B826="","",N($O826)-N($P826))</f>
        <v/>
      </c>
      <c r="R826" s="42" t="n"/>
      <c r="S826" s="42" t="n"/>
      <c r="T826" s="42" t="n"/>
      <c r="U826" s="43">
        <f>IF($B826="","",N($J826)-N($R826)-N($T826))</f>
        <v/>
      </c>
      <c r="V826" s="42" t="n"/>
    </row>
    <row r="827">
      <c r="A827" s="39">
        <f>IF($B827="","",COUNTA($B$4:$B827))</f>
        <v/>
      </c>
      <c r="B827" s="45" t="n"/>
      <c r="C827" s="46" t="n"/>
      <c r="D827" s="46" t="n"/>
      <c r="E827" s="46" t="n"/>
      <c r="F827" s="46" t="n"/>
      <c r="G827" s="46" t="n"/>
      <c r="H827" s="46" t="n"/>
      <c r="I827" s="51" t="n"/>
      <c r="J827" s="47" t="n"/>
      <c r="K827" s="47" t="n"/>
      <c r="L827" s="43">
        <f>IF($B827="","",ROUND((N($J827)+N($K827))*نسبة_القيمة_المضافة,2))</f>
        <v/>
      </c>
      <c r="M827" s="47" t="n"/>
      <c r="N827" s="47" t="n"/>
      <c r="O827" s="43">
        <f>IF($B827="","",N($J827)+N($K827)+N($L827)-N($M827)+N($N827))</f>
        <v/>
      </c>
      <c r="P827" s="47" t="n"/>
      <c r="Q827" s="43">
        <f>IF($B827="","",N($O827)-N($P827))</f>
        <v/>
      </c>
      <c r="R827" s="47" t="n"/>
      <c r="S827" s="47" t="n"/>
      <c r="T827" s="47" t="n"/>
      <c r="U827" s="43">
        <f>IF($B827="","",N($J827)-N($R827)-N($T827))</f>
        <v/>
      </c>
      <c r="V827" s="47" t="n"/>
    </row>
    <row r="828">
      <c r="A828" s="39">
        <f>IF($B828="","",COUNTA($B$4:$B828))</f>
        <v/>
      </c>
      <c r="B828" s="40" t="n"/>
      <c r="C828" s="41" t="n"/>
      <c r="D828" s="41" t="n"/>
      <c r="E828" s="41" t="n"/>
      <c r="F828" s="41" t="n"/>
      <c r="G828" s="41" t="n"/>
      <c r="H828" s="41" t="n"/>
      <c r="I828" s="50" t="n"/>
      <c r="J828" s="42" t="n"/>
      <c r="K828" s="42" t="n"/>
      <c r="L828" s="43">
        <f>IF($B828="","",ROUND((N($J828)+N($K828))*نسبة_القيمة_المضافة,2))</f>
        <v/>
      </c>
      <c r="M828" s="42" t="n"/>
      <c r="N828" s="42" t="n"/>
      <c r="O828" s="43">
        <f>IF($B828="","",N($J828)+N($K828)+N($L828)-N($M828)+N($N828))</f>
        <v/>
      </c>
      <c r="P828" s="42" t="n"/>
      <c r="Q828" s="43">
        <f>IF($B828="","",N($O828)-N($P828))</f>
        <v/>
      </c>
      <c r="R828" s="42" t="n"/>
      <c r="S828" s="42" t="n"/>
      <c r="T828" s="42" t="n"/>
      <c r="U828" s="43">
        <f>IF($B828="","",N($J828)-N($R828)-N($T828))</f>
        <v/>
      </c>
      <c r="V828" s="42" t="n"/>
    </row>
    <row r="829">
      <c r="A829" s="39">
        <f>IF($B829="","",COUNTA($B$4:$B829))</f>
        <v/>
      </c>
      <c r="B829" s="45" t="n"/>
      <c r="C829" s="46" t="n"/>
      <c r="D829" s="46" t="n"/>
      <c r="E829" s="46" t="n"/>
      <c r="F829" s="46" t="n"/>
      <c r="G829" s="46" t="n"/>
      <c r="H829" s="46" t="n"/>
      <c r="I829" s="51" t="n"/>
      <c r="J829" s="47" t="n"/>
      <c r="K829" s="47" t="n"/>
      <c r="L829" s="43">
        <f>IF($B829="","",ROUND((N($J829)+N($K829))*نسبة_القيمة_المضافة,2))</f>
        <v/>
      </c>
      <c r="M829" s="47" t="n"/>
      <c r="N829" s="47" t="n"/>
      <c r="O829" s="43">
        <f>IF($B829="","",N($J829)+N($K829)+N($L829)-N($M829)+N($N829))</f>
        <v/>
      </c>
      <c r="P829" s="47" t="n"/>
      <c r="Q829" s="43">
        <f>IF($B829="","",N($O829)-N($P829))</f>
        <v/>
      </c>
      <c r="R829" s="47" t="n"/>
      <c r="S829" s="47" t="n"/>
      <c r="T829" s="47" t="n"/>
      <c r="U829" s="43">
        <f>IF($B829="","",N($J829)-N($R829)-N($T829))</f>
        <v/>
      </c>
      <c r="V829" s="47" t="n"/>
    </row>
    <row r="830">
      <c r="A830" s="39">
        <f>IF($B830="","",COUNTA($B$4:$B830))</f>
        <v/>
      </c>
      <c r="B830" s="40" t="n"/>
      <c r="C830" s="41" t="n"/>
      <c r="D830" s="41" t="n"/>
      <c r="E830" s="41" t="n"/>
      <c r="F830" s="41" t="n"/>
      <c r="G830" s="41" t="n"/>
      <c r="H830" s="41" t="n"/>
      <c r="I830" s="50" t="n"/>
      <c r="J830" s="42" t="n"/>
      <c r="K830" s="42" t="n"/>
      <c r="L830" s="43">
        <f>IF($B830="","",ROUND((N($J830)+N($K830))*نسبة_القيمة_المضافة,2))</f>
        <v/>
      </c>
      <c r="M830" s="42" t="n"/>
      <c r="N830" s="42" t="n"/>
      <c r="O830" s="43">
        <f>IF($B830="","",N($J830)+N($K830)+N($L830)-N($M830)+N($N830))</f>
        <v/>
      </c>
      <c r="P830" s="42" t="n"/>
      <c r="Q830" s="43">
        <f>IF($B830="","",N($O830)-N($P830))</f>
        <v/>
      </c>
      <c r="R830" s="42" t="n"/>
      <c r="S830" s="42" t="n"/>
      <c r="T830" s="42" t="n"/>
      <c r="U830" s="43">
        <f>IF($B830="","",N($J830)-N($R830)-N($T830))</f>
        <v/>
      </c>
      <c r="V830" s="42" t="n"/>
    </row>
    <row r="831">
      <c r="A831" s="39">
        <f>IF($B831="","",COUNTA($B$4:$B831))</f>
        <v/>
      </c>
      <c r="B831" s="45" t="n"/>
      <c r="C831" s="46" t="n"/>
      <c r="D831" s="46" t="n"/>
      <c r="E831" s="46" t="n"/>
      <c r="F831" s="46" t="n"/>
      <c r="G831" s="46" t="n"/>
      <c r="H831" s="46" t="n"/>
      <c r="I831" s="51" t="n"/>
      <c r="J831" s="47" t="n"/>
      <c r="K831" s="47" t="n"/>
      <c r="L831" s="43">
        <f>IF($B831="","",ROUND((N($J831)+N($K831))*نسبة_القيمة_المضافة,2))</f>
        <v/>
      </c>
      <c r="M831" s="47" t="n"/>
      <c r="N831" s="47" t="n"/>
      <c r="O831" s="43">
        <f>IF($B831="","",N($J831)+N($K831)+N($L831)-N($M831)+N($N831))</f>
        <v/>
      </c>
      <c r="P831" s="47" t="n"/>
      <c r="Q831" s="43">
        <f>IF($B831="","",N($O831)-N($P831))</f>
        <v/>
      </c>
      <c r="R831" s="47" t="n"/>
      <c r="S831" s="47" t="n"/>
      <c r="T831" s="47" t="n"/>
      <c r="U831" s="43">
        <f>IF($B831="","",N($J831)-N($R831)-N($T831))</f>
        <v/>
      </c>
      <c r="V831" s="47" t="n"/>
    </row>
    <row r="832">
      <c r="A832" s="39">
        <f>IF($B832="","",COUNTA($B$4:$B832))</f>
        <v/>
      </c>
      <c r="B832" s="40" t="n"/>
      <c r="C832" s="41" t="n"/>
      <c r="D832" s="41" t="n"/>
      <c r="E832" s="41" t="n"/>
      <c r="F832" s="41" t="n"/>
      <c r="G832" s="41" t="n"/>
      <c r="H832" s="41" t="n"/>
      <c r="I832" s="50" t="n"/>
      <c r="J832" s="42" t="n"/>
      <c r="K832" s="42" t="n"/>
      <c r="L832" s="43">
        <f>IF($B832="","",ROUND((N($J832)+N($K832))*نسبة_القيمة_المضافة,2))</f>
        <v/>
      </c>
      <c r="M832" s="42" t="n"/>
      <c r="N832" s="42" t="n"/>
      <c r="O832" s="43">
        <f>IF($B832="","",N($J832)+N($K832)+N($L832)-N($M832)+N($N832))</f>
        <v/>
      </c>
      <c r="P832" s="42" t="n"/>
      <c r="Q832" s="43">
        <f>IF($B832="","",N($O832)-N($P832))</f>
        <v/>
      </c>
      <c r="R832" s="42" t="n"/>
      <c r="S832" s="42" t="n"/>
      <c r="T832" s="42" t="n"/>
      <c r="U832" s="43">
        <f>IF($B832="","",N($J832)-N($R832)-N($T832))</f>
        <v/>
      </c>
      <c r="V832" s="42" t="n"/>
    </row>
    <row r="833">
      <c r="A833" s="39">
        <f>IF($B833="","",COUNTA($B$4:$B833))</f>
        <v/>
      </c>
      <c r="B833" s="45" t="n"/>
      <c r="C833" s="46" t="n"/>
      <c r="D833" s="46" t="n"/>
      <c r="E833" s="46" t="n"/>
      <c r="F833" s="46" t="n"/>
      <c r="G833" s="46" t="n"/>
      <c r="H833" s="46" t="n"/>
      <c r="I833" s="51" t="n"/>
      <c r="J833" s="47" t="n"/>
      <c r="K833" s="47" t="n"/>
      <c r="L833" s="43">
        <f>IF($B833="","",ROUND((N($J833)+N($K833))*نسبة_القيمة_المضافة,2))</f>
        <v/>
      </c>
      <c r="M833" s="47" t="n"/>
      <c r="N833" s="47" t="n"/>
      <c r="O833" s="43">
        <f>IF($B833="","",N($J833)+N($K833)+N($L833)-N($M833)+N($N833))</f>
        <v/>
      </c>
      <c r="P833" s="47" t="n"/>
      <c r="Q833" s="43">
        <f>IF($B833="","",N($O833)-N($P833))</f>
        <v/>
      </c>
      <c r="R833" s="47" t="n"/>
      <c r="S833" s="47" t="n"/>
      <c r="T833" s="47" t="n"/>
      <c r="U833" s="43">
        <f>IF($B833="","",N($J833)-N($R833)-N($T833))</f>
        <v/>
      </c>
      <c r="V833" s="47" t="n"/>
    </row>
    <row r="834">
      <c r="A834" s="39">
        <f>IF($B834="","",COUNTA($B$4:$B834))</f>
        <v/>
      </c>
      <c r="B834" s="40" t="n"/>
      <c r="C834" s="41" t="n"/>
      <c r="D834" s="41" t="n"/>
      <c r="E834" s="41" t="n"/>
      <c r="F834" s="41" t="n"/>
      <c r="G834" s="41" t="n"/>
      <c r="H834" s="41" t="n"/>
      <c r="I834" s="50" t="n"/>
      <c r="J834" s="42" t="n"/>
      <c r="K834" s="42" t="n"/>
      <c r="L834" s="43">
        <f>IF($B834="","",ROUND((N($J834)+N($K834))*نسبة_القيمة_المضافة,2))</f>
        <v/>
      </c>
      <c r="M834" s="42" t="n"/>
      <c r="N834" s="42" t="n"/>
      <c r="O834" s="43">
        <f>IF($B834="","",N($J834)+N($K834)+N($L834)-N($M834)+N($N834))</f>
        <v/>
      </c>
      <c r="P834" s="42" t="n"/>
      <c r="Q834" s="43">
        <f>IF($B834="","",N($O834)-N($P834))</f>
        <v/>
      </c>
      <c r="R834" s="42" t="n"/>
      <c r="S834" s="42" t="n"/>
      <c r="T834" s="42" t="n"/>
      <c r="U834" s="43">
        <f>IF($B834="","",N($J834)-N($R834)-N($T834))</f>
        <v/>
      </c>
      <c r="V834" s="42" t="n"/>
    </row>
    <row r="835">
      <c r="A835" s="39">
        <f>IF($B835="","",COUNTA($B$4:$B835))</f>
        <v/>
      </c>
      <c r="B835" s="45" t="n"/>
      <c r="C835" s="46" t="n"/>
      <c r="D835" s="46" t="n"/>
      <c r="E835" s="46" t="n"/>
      <c r="F835" s="46" t="n"/>
      <c r="G835" s="46" t="n"/>
      <c r="H835" s="46" t="n"/>
      <c r="I835" s="51" t="n"/>
      <c r="J835" s="47" t="n"/>
      <c r="K835" s="47" t="n"/>
      <c r="L835" s="43">
        <f>IF($B835="","",ROUND((N($J835)+N($K835))*نسبة_القيمة_المضافة,2))</f>
        <v/>
      </c>
      <c r="M835" s="47" t="n"/>
      <c r="N835" s="47" t="n"/>
      <c r="O835" s="43">
        <f>IF($B835="","",N($J835)+N($K835)+N($L835)-N($M835)+N($N835))</f>
        <v/>
      </c>
      <c r="P835" s="47" t="n"/>
      <c r="Q835" s="43">
        <f>IF($B835="","",N($O835)-N($P835))</f>
        <v/>
      </c>
      <c r="R835" s="47" t="n"/>
      <c r="S835" s="47" t="n"/>
      <c r="T835" s="47" t="n"/>
      <c r="U835" s="43">
        <f>IF($B835="","",N($J835)-N($R835)-N($T835))</f>
        <v/>
      </c>
      <c r="V835" s="47" t="n"/>
    </row>
    <row r="836">
      <c r="A836" s="39">
        <f>IF($B836="","",COUNTA($B$4:$B836))</f>
        <v/>
      </c>
      <c r="B836" s="40" t="n"/>
      <c r="C836" s="41" t="n"/>
      <c r="D836" s="41" t="n"/>
      <c r="E836" s="41" t="n"/>
      <c r="F836" s="41" t="n"/>
      <c r="G836" s="41" t="n"/>
      <c r="H836" s="41" t="n"/>
      <c r="I836" s="50" t="n"/>
      <c r="J836" s="42" t="n"/>
      <c r="K836" s="42" t="n"/>
      <c r="L836" s="43">
        <f>IF($B836="","",ROUND((N($J836)+N($K836))*نسبة_القيمة_المضافة,2))</f>
        <v/>
      </c>
      <c r="M836" s="42" t="n"/>
      <c r="N836" s="42" t="n"/>
      <c r="O836" s="43">
        <f>IF($B836="","",N($J836)+N($K836)+N($L836)-N($M836)+N($N836))</f>
        <v/>
      </c>
      <c r="P836" s="42" t="n"/>
      <c r="Q836" s="43">
        <f>IF($B836="","",N($O836)-N($P836))</f>
        <v/>
      </c>
      <c r="R836" s="42" t="n"/>
      <c r="S836" s="42" t="n"/>
      <c r="T836" s="42" t="n"/>
      <c r="U836" s="43">
        <f>IF($B836="","",N($J836)-N($R836)-N($T836))</f>
        <v/>
      </c>
      <c r="V836" s="42" t="n"/>
    </row>
    <row r="837">
      <c r="A837" s="39">
        <f>IF($B837="","",COUNTA($B$4:$B837))</f>
        <v/>
      </c>
      <c r="B837" s="45" t="n"/>
      <c r="C837" s="46" t="n"/>
      <c r="D837" s="46" t="n"/>
      <c r="E837" s="46" t="n"/>
      <c r="F837" s="46" t="n"/>
      <c r="G837" s="46" t="n"/>
      <c r="H837" s="46" t="n"/>
      <c r="I837" s="51" t="n"/>
      <c r="J837" s="47" t="n"/>
      <c r="K837" s="47" t="n"/>
      <c r="L837" s="43">
        <f>IF($B837="","",ROUND((N($J837)+N($K837))*نسبة_القيمة_المضافة,2))</f>
        <v/>
      </c>
      <c r="M837" s="47" t="n"/>
      <c r="N837" s="47" t="n"/>
      <c r="O837" s="43">
        <f>IF($B837="","",N($J837)+N($K837)+N($L837)-N($M837)+N($N837))</f>
        <v/>
      </c>
      <c r="P837" s="47" t="n"/>
      <c r="Q837" s="43">
        <f>IF($B837="","",N($O837)-N($P837))</f>
        <v/>
      </c>
      <c r="R837" s="47" t="n"/>
      <c r="S837" s="47" t="n"/>
      <c r="T837" s="47" t="n"/>
      <c r="U837" s="43">
        <f>IF($B837="","",N($J837)-N($R837)-N($T837))</f>
        <v/>
      </c>
      <c r="V837" s="47" t="n"/>
    </row>
    <row r="838">
      <c r="A838" s="39">
        <f>IF($B838="","",COUNTA($B$4:$B838))</f>
        <v/>
      </c>
      <c r="B838" s="40" t="n"/>
      <c r="C838" s="41" t="n"/>
      <c r="D838" s="41" t="n"/>
      <c r="E838" s="41" t="n"/>
      <c r="F838" s="41" t="n"/>
      <c r="G838" s="41" t="n"/>
      <c r="H838" s="41" t="n"/>
      <c r="I838" s="50" t="n"/>
      <c r="J838" s="42" t="n"/>
      <c r="K838" s="42" t="n"/>
      <c r="L838" s="43">
        <f>IF($B838="","",ROUND((N($J838)+N($K838))*نسبة_القيمة_المضافة,2))</f>
        <v/>
      </c>
      <c r="M838" s="42" t="n"/>
      <c r="N838" s="42" t="n"/>
      <c r="O838" s="43">
        <f>IF($B838="","",N($J838)+N($K838)+N($L838)-N($M838)+N($N838))</f>
        <v/>
      </c>
      <c r="P838" s="42" t="n"/>
      <c r="Q838" s="43">
        <f>IF($B838="","",N($O838)-N($P838))</f>
        <v/>
      </c>
      <c r="R838" s="42" t="n"/>
      <c r="S838" s="42" t="n"/>
      <c r="T838" s="42" t="n"/>
      <c r="U838" s="43">
        <f>IF($B838="","",N($J838)-N($R838)-N($T838))</f>
        <v/>
      </c>
      <c r="V838" s="42" t="n"/>
    </row>
    <row r="839">
      <c r="A839" s="39">
        <f>IF($B839="","",COUNTA($B$4:$B839))</f>
        <v/>
      </c>
      <c r="B839" s="45" t="n"/>
      <c r="C839" s="46" t="n"/>
      <c r="D839" s="46" t="n"/>
      <c r="E839" s="46" t="n"/>
      <c r="F839" s="46" t="n"/>
      <c r="G839" s="46" t="n"/>
      <c r="H839" s="46" t="n"/>
      <c r="I839" s="51" t="n"/>
      <c r="J839" s="47" t="n"/>
      <c r="K839" s="47" t="n"/>
      <c r="L839" s="43">
        <f>IF($B839="","",ROUND((N($J839)+N($K839))*نسبة_القيمة_المضافة,2))</f>
        <v/>
      </c>
      <c r="M839" s="47" t="n"/>
      <c r="N839" s="47" t="n"/>
      <c r="O839" s="43">
        <f>IF($B839="","",N($J839)+N($K839)+N($L839)-N($M839)+N($N839))</f>
        <v/>
      </c>
      <c r="P839" s="47" t="n"/>
      <c r="Q839" s="43">
        <f>IF($B839="","",N($O839)-N($P839))</f>
        <v/>
      </c>
      <c r="R839" s="47" t="n"/>
      <c r="S839" s="47" t="n"/>
      <c r="T839" s="47" t="n"/>
      <c r="U839" s="43">
        <f>IF($B839="","",N($J839)-N($R839)-N($T839))</f>
        <v/>
      </c>
      <c r="V839" s="47" t="n"/>
    </row>
    <row r="840">
      <c r="A840" s="39">
        <f>IF($B840="","",COUNTA($B$4:$B840))</f>
        <v/>
      </c>
      <c r="B840" s="40" t="n"/>
      <c r="C840" s="41" t="n"/>
      <c r="D840" s="41" t="n"/>
      <c r="E840" s="41" t="n"/>
      <c r="F840" s="41" t="n"/>
      <c r="G840" s="41" t="n"/>
      <c r="H840" s="41" t="n"/>
      <c r="I840" s="50" t="n"/>
      <c r="J840" s="42" t="n"/>
      <c r="K840" s="42" t="n"/>
      <c r="L840" s="43">
        <f>IF($B840="","",ROUND((N($J840)+N($K840))*نسبة_القيمة_المضافة,2))</f>
        <v/>
      </c>
      <c r="M840" s="42" t="n"/>
      <c r="N840" s="42" t="n"/>
      <c r="O840" s="43">
        <f>IF($B840="","",N($J840)+N($K840)+N($L840)-N($M840)+N($N840))</f>
        <v/>
      </c>
      <c r="P840" s="42" t="n"/>
      <c r="Q840" s="43">
        <f>IF($B840="","",N($O840)-N($P840))</f>
        <v/>
      </c>
      <c r="R840" s="42" t="n"/>
      <c r="S840" s="42" t="n"/>
      <c r="T840" s="42" t="n"/>
      <c r="U840" s="43">
        <f>IF($B840="","",N($J840)-N($R840)-N($T840))</f>
        <v/>
      </c>
      <c r="V840" s="42" t="n"/>
    </row>
    <row r="841">
      <c r="A841" s="39">
        <f>IF($B841="","",COUNTA($B$4:$B841))</f>
        <v/>
      </c>
      <c r="B841" s="45" t="n"/>
      <c r="C841" s="46" t="n"/>
      <c r="D841" s="46" t="n"/>
      <c r="E841" s="46" t="n"/>
      <c r="F841" s="46" t="n"/>
      <c r="G841" s="46" t="n"/>
      <c r="H841" s="46" t="n"/>
      <c r="I841" s="51" t="n"/>
      <c r="J841" s="47" t="n"/>
      <c r="K841" s="47" t="n"/>
      <c r="L841" s="43">
        <f>IF($B841="","",ROUND((N($J841)+N($K841))*نسبة_القيمة_المضافة,2))</f>
        <v/>
      </c>
      <c r="M841" s="47" t="n"/>
      <c r="N841" s="47" t="n"/>
      <c r="O841" s="43">
        <f>IF($B841="","",N($J841)+N($K841)+N($L841)-N($M841)+N($N841))</f>
        <v/>
      </c>
      <c r="P841" s="47" t="n"/>
      <c r="Q841" s="43">
        <f>IF($B841="","",N($O841)-N($P841))</f>
        <v/>
      </c>
      <c r="R841" s="47" t="n"/>
      <c r="S841" s="47" t="n"/>
      <c r="T841" s="47" t="n"/>
      <c r="U841" s="43">
        <f>IF($B841="","",N($J841)-N($R841)-N($T841))</f>
        <v/>
      </c>
      <c r="V841" s="47" t="n"/>
    </row>
    <row r="842">
      <c r="A842" s="39">
        <f>IF($B842="","",COUNTA($B$4:$B842))</f>
        <v/>
      </c>
      <c r="B842" s="40" t="n"/>
      <c r="C842" s="41" t="n"/>
      <c r="D842" s="41" t="n"/>
      <c r="E842" s="41" t="n"/>
      <c r="F842" s="41" t="n"/>
      <c r="G842" s="41" t="n"/>
      <c r="H842" s="41" t="n"/>
      <c r="I842" s="50" t="n"/>
      <c r="J842" s="42" t="n"/>
      <c r="K842" s="42" t="n"/>
      <c r="L842" s="43">
        <f>IF($B842="","",ROUND((N($J842)+N($K842))*نسبة_القيمة_المضافة,2))</f>
        <v/>
      </c>
      <c r="M842" s="42" t="n"/>
      <c r="N842" s="42" t="n"/>
      <c r="O842" s="43">
        <f>IF($B842="","",N($J842)+N($K842)+N($L842)-N($M842)+N($N842))</f>
        <v/>
      </c>
      <c r="P842" s="42" t="n"/>
      <c r="Q842" s="43">
        <f>IF($B842="","",N($O842)-N($P842))</f>
        <v/>
      </c>
      <c r="R842" s="42" t="n"/>
      <c r="S842" s="42" t="n"/>
      <c r="T842" s="42" t="n"/>
      <c r="U842" s="43">
        <f>IF($B842="","",N($J842)-N($R842)-N($T842))</f>
        <v/>
      </c>
      <c r="V842" s="42" t="n"/>
    </row>
    <row r="843">
      <c r="A843" s="39">
        <f>IF($B843="","",COUNTA($B$4:$B843))</f>
        <v/>
      </c>
      <c r="B843" s="45" t="n"/>
      <c r="C843" s="46" t="n"/>
      <c r="D843" s="46" t="n"/>
      <c r="E843" s="46" t="n"/>
      <c r="F843" s="46" t="n"/>
      <c r="G843" s="46" t="n"/>
      <c r="H843" s="46" t="n"/>
      <c r="I843" s="51" t="n"/>
      <c r="J843" s="47" t="n"/>
      <c r="K843" s="47" t="n"/>
      <c r="L843" s="43">
        <f>IF($B843="","",ROUND((N($J843)+N($K843))*نسبة_القيمة_المضافة,2))</f>
        <v/>
      </c>
      <c r="M843" s="47" t="n"/>
      <c r="N843" s="47" t="n"/>
      <c r="O843" s="43">
        <f>IF($B843="","",N($J843)+N($K843)+N($L843)-N($M843)+N($N843))</f>
        <v/>
      </c>
      <c r="P843" s="47" t="n"/>
      <c r="Q843" s="43">
        <f>IF($B843="","",N($O843)-N($P843))</f>
        <v/>
      </c>
      <c r="R843" s="47" t="n"/>
      <c r="S843" s="47" t="n"/>
      <c r="T843" s="47" t="n"/>
      <c r="U843" s="43">
        <f>IF($B843="","",N($J843)-N($R843)-N($T843))</f>
        <v/>
      </c>
      <c r="V843" s="47" t="n"/>
    </row>
    <row r="844">
      <c r="A844" s="39">
        <f>IF($B844="","",COUNTA($B$4:$B844))</f>
        <v/>
      </c>
      <c r="B844" s="40" t="n"/>
      <c r="C844" s="41" t="n"/>
      <c r="D844" s="41" t="n"/>
      <c r="E844" s="41" t="n"/>
      <c r="F844" s="41" t="n"/>
      <c r="G844" s="41" t="n"/>
      <c r="H844" s="41" t="n"/>
      <c r="I844" s="50" t="n"/>
      <c r="J844" s="42" t="n"/>
      <c r="K844" s="42" t="n"/>
      <c r="L844" s="43">
        <f>IF($B844="","",ROUND((N($J844)+N($K844))*نسبة_القيمة_المضافة,2))</f>
        <v/>
      </c>
      <c r="M844" s="42" t="n"/>
      <c r="N844" s="42" t="n"/>
      <c r="O844" s="43">
        <f>IF($B844="","",N($J844)+N($K844)+N($L844)-N($M844)+N($N844))</f>
        <v/>
      </c>
      <c r="P844" s="42" t="n"/>
      <c r="Q844" s="43">
        <f>IF($B844="","",N($O844)-N($P844))</f>
        <v/>
      </c>
      <c r="R844" s="42" t="n"/>
      <c r="S844" s="42" t="n"/>
      <c r="T844" s="42" t="n"/>
      <c r="U844" s="43">
        <f>IF($B844="","",N($J844)-N($R844)-N($T844))</f>
        <v/>
      </c>
      <c r="V844" s="42" t="n"/>
    </row>
    <row r="845">
      <c r="A845" s="39">
        <f>IF($B845="","",COUNTA($B$4:$B845))</f>
        <v/>
      </c>
      <c r="B845" s="45" t="n"/>
      <c r="C845" s="46" t="n"/>
      <c r="D845" s="46" t="n"/>
      <c r="E845" s="46" t="n"/>
      <c r="F845" s="46" t="n"/>
      <c r="G845" s="46" t="n"/>
      <c r="H845" s="46" t="n"/>
      <c r="I845" s="51" t="n"/>
      <c r="J845" s="47" t="n"/>
      <c r="K845" s="47" t="n"/>
      <c r="L845" s="43">
        <f>IF($B845="","",ROUND((N($J845)+N($K845))*نسبة_القيمة_المضافة,2))</f>
        <v/>
      </c>
      <c r="M845" s="47" t="n"/>
      <c r="N845" s="47" t="n"/>
      <c r="O845" s="43">
        <f>IF($B845="","",N($J845)+N($K845)+N($L845)-N($M845)+N($N845))</f>
        <v/>
      </c>
      <c r="P845" s="47" t="n"/>
      <c r="Q845" s="43">
        <f>IF($B845="","",N($O845)-N($P845))</f>
        <v/>
      </c>
      <c r="R845" s="47" t="n"/>
      <c r="S845" s="47" t="n"/>
      <c r="T845" s="47" t="n"/>
      <c r="U845" s="43">
        <f>IF($B845="","",N($J845)-N($R845)-N($T845))</f>
        <v/>
      </c>
      <c r="V845" s="47" t="n"/>
    </row>
    <row r="846">
      <c r="A846" s="39">
        <f>IF($B846="","",COUNTA($B$4:$B846))</f>
        <v/>
      </c>
      <c r="B846" s="40" t="n"/>
      <c r="C846" s="41" t="n"/>
      <c r="D846" s="41" t="n"/>
      <c r="E846" s="41" t="n"/>
      <c r="F846" s="41" t="n"/>
      <c r="G846" s="41" t="n"/>
      <c r="H846" s="41" t="n"/>
      <c r="I846" s="50" t="n"/>
      <c r="J846" s="42" t="n"/>
      <c r="K846" s="42" t="n"/>
      <c r="L846" s="43">
        <f>IF($B846="","",ROUND((N($J846)+N($K846))*نسبة_القيمة_المضافة,2))</f>
        <v/>
      </c>
      <c r="M846" s="42" t="n"/>
      <c r="N846" s="42" t="n"/>
      <c r="O846" s="43">
        <f>IF($B846="","",N($J846)+N($K846)+N($L846)-N($M846)+N($N846))</f>
        <v/>
      </c>
      <c r="P846" s="42" t="n"/>
      <c r="Q846" s="43">
        <f>IF($B846="","",N($O846)-N($P846))</f>
        <v/>
      </c>
      <c r="R846" s="42" t="n"/>
      <c r="S846" s="42" t="n"/>
      <c r="T846" s="42" t="n"/>
      <c r="U846" s="43">
        <f>IF($B846="","",N($J846)-N($R846)-N($T846))</f>
        <v/>
      </c>
      <c r="V846" s="42" t="n"/>
    </row>
    <row r="847">
      <c r="A847" s="39">
        <f>IF($B847="","",COUNTA($B$4:$B847))</f>
        <v/>
      </c>
      <c r="B847" s="45" t="n"/>
      <c r="C847" s="46" t="n"/>
      <c r="D847" s="46" t="n"/>
      <c r="E847" s="46" t="n"/>
      <c r="F847" s="46" t="n"/>
      <c r="G847" s="46" t="n"/>
      <c r="H847" s="46" t="n"/>
      <c r="I847" s="51" t="n"/>
      <c r="J847" s="47" t="n"/>
      <c r="K847" s="47" t="n"/>
      <c r="L847" s="43">
        <f>IF($B847="","",ROUND((N($J847)+N($K847))*نسبة_القيمة_المضافة,2))</f>
        <v/>
      </c>
      <c r="M847" s="47" t="n"/>
      <c r="N847" s="47" t="n"/>
      <c r="O847" s="43">
        <f>IF($B847="","",N($J847)+N($K847)+N($L847)-N($M847)+N($N847))</f>
        <v/>
      </c>
      <c r="P847" s="47" t="n"/>
      <c r="Q847" s="43">
        <f>IF($B847="","",N($O847)-N($P847))</f>
        <v/>
      </c>
      <c r="R847" s="47" t="n"/>
      <c r="S847" s="47" t="n"/>
      <c r="T847" s="47" t="n"/>
      <c r="U847" s="43">
        <f>IF($B847="","",N($J847)-N($R847)-N($T847))</f>
        <v/>
      </c>
      <c r="V847" s="47" t="n"/>
    </row>
    <row r="848">
      <c r="A848" s="39">
        <f>IF($B848="","",COUNTA($B$4:$B848))</f>
        <v/>
      </c>
      <c r="B848" s="40" t="n"/>
      <c r="C848" s="41" t="n"/>
      <c r="D848" s="41" t="n"/>
      <c r="E848" s="41" t="n"/>
      <c r="F848" s="41" t="n"/>
      <c r="G848" s="41" t="n"/>
      <c r="H848" s="41" t="n"/>
      <c r="I848" s="50" t="n"/>
      <c r="J848" s="42" t="n"/>
      <c r="K848" s="42" t="n"/>
      <c r="L848" s="43">
        <f>IF($B848="","",ROUND((N($J848)+N($K848))*نسبة_القيمة_المضافة,2))</f>
        <v/>
      </c>
      <c r="M848" s="42" t="n"/>
      <c r="N848" s="42" t="n"/>
      <c r="O848" s="43">
        <f>IF($B848="","",N($J848)+N($K848)+N($L848)-N($M848)+N($N848))</f>
        <v/>
      </c>
      <c r="P848" s="42" t="n"/>
      <c r="Q848" s="43">
        <f>IF($B848="","",N($O848)-N($P848))</f>
        <v/>
      </c>
      <c r="R848" s="42" t="n"/>
      <c r="S848" s="42" t="n"/>
      <c r="T848" s="42" t="n"/>
      <c r="U848" s="43">
        <f>IF($B848="","",N($J848)-N($R848)-N($T848))</f>
        <v/>
      </c>
      <c r="V848" s="42" t="n"/>
    </row>
    <row r="849">
      <c r="A849" s="39">
        <f>IF($B849="","",COUNTA($B$4:$B849))</f>
        <v/>
      </c>
      <c r="B849" s="45" t="n"/>
      <c r="C849" s="46" t="n"/>
      <c r="D849" s="46" t="n"/>
      <c r="E849" s="46" t="n"/>
      <c r="F849" s="46" t="n"/>
      <c r="G849" s="46" t="n"/>
      <c r="H849" s="46" t="n"/>
      <c r="I849" s="51" t="n"/>
      <c r="J849" s="47" t="n"/>
      <c r="K849" s="47" t="n"/>
      <c r="L849" s="43">
        <f>IF($B849="","",ROUND((N($J849)+N($K849))*نسبة_القيمة_المضافة,2))</f>
        <v/>
      </c>
      <c r="M849" s="47" t="n"/>
      <c r="N849" s="47" t="n"/>
      <c r="O849" s="43">
        <f>IF($B849="","",N($J849)+N($K849)+N($L849)-N($M849)+N($N849))</f>
        <v/>
      </c>
      <c r="P849" s="47" t="n"/>
      <c r="Q849" s="43">
        <f>IF($B849="","",N($O849)-N($P849))</f>
        <v/>
      </c>
      <c r="R849" s="47" t="n"/>
      <c r="S849" s="47" t="n"/>
      <c r="T849" s="47" t="n"/>
      <c r="U849" s="43">
        <f>IF($B849="","",N($J849)-N($R849)-N($T849))</f>
        <v/>
      </c>
      <c r="V849" s="47" t="n"/>
    </row>
    <row r="850">
      <c r="A850" s="39">
        <f>IF($B850="","",COUNTA($B$4:$B850))</f>
        <v/>
      </c>
      <c r="B850" s="40" t="n"/>
      <c r="C850" s="41" t="n"/>
      <c r="D850" s="41" t="n"/>
      <c r="E850" s="41" t="n"/>
      <c r="F850" s="41" t="n"/>
      <c r="G850" s="41" t="n"/>
      <c r="H850" s="41" t="n"/>
      <c r="I850" s="50" t="n"/>
      <c r="J850" s="42" t="n"/>
      <c r="K850" s="42" t="n"/>
      <c r="L850" s="43">
        <f>IF($B850="","",ROUND((N($J850)+N($K850))*نسبة_القيمة_المضافة,2))</f>
        <v/>
      </c>
      <c r="M850" s="42" t="n"/>
      <c r="N850" s="42" t="n"/>
      <c r="O850" s="43">
        <f>IF($B850="","",N($J850)+N($K850)+N($L850)-N($M850)+N($N850))</f>
        <v/>
      </c>
      <c r="P850" s="42" t="n"/>
      <c r="Q850" s="43">
        <f>IF($B850="","",N($O850)-N($P850))</f>
        <v/>
      </c>
      <c r="R850" s="42" t="n"/>
      <c r="S850" s="42" t="n"/>
      <c r="T850" s="42" t="n"/>
      <c r="U850" s="43">
        <f>IF($B850="","",N($J850)-N($R850)-N($T850))</f>
        <v/>
      </c>
      <c r="V850" s="42" t="n"/>
    </row>
    <row r="851">
      <c r="A851" s="39">
        <f>IF($B851="","",COUNTA($B$4:$B851))</f>
        <v/>
      </c>
      <c r="B851" s="45" t="n"/>
      <c r="C851" s="46" t="n"/>
      <c r="D851" s="46" t="n"/>
      <c r="E851" s="46" t="n"/>
      <c r="F851" s="46" t="n"/>
      <c r="G851" s="46" t="n"/>
      <c r="H851" s="46" t="n"/>
      <c r="I851" s="51" t="n"/>
      <c r="J851" s="47" t="n"/>
      <c r="K851" s="47" t="n"/>
      <c r="L851" s="43">
        <f>IF($B851="","",ROUND((N($J851)+N($K851))*نسبة_القيمة_المضافة,2))</f>
        <v/>
      </c>
      <c r="M851" s="47" t="n"/>
      <c r="N851" s="47" t="n"/>
      <c r="O851" s="43">
        <f>IF($B851="","",N($J851)+N($K851)+N($L851)-N($M851)+N($N851))</f>
        <v/>
      </c>
      <c r="P851" s="47" t="n"/>
      <c r="Q851" s="43">
        <f>IF($B851="","",N($O851)-N($P851))</f>
        <v/>
      </c>
      <c r="R851" s="47" t="n"/>
      <c r="S851" s="47" t="n"/>
      <c r="T851" s="47" t="n"/>
      <c r="U851" s="43">
        <f>IF($B851="","",N($J851)-N($R851)-N($T851))</f>
        <v/>
      </c>
      <c r="V851" s="47" t="n"/>
    </row>
    <row r="852">
      <c r="A852" s="39">
        <f>IF($B852="","",COUNTA($B$4:$B852))</f>
        <v/>
      </c>
      <c r="B852" s="40" t="n"/>
      <c r="C852" s="41" t="n"/>
      <c r="D852" s="41" t="n"/>
      <c r="E852" s="41" t="n"/>
      <c r="F852" s="41" t="n"/>
      <c r="G852" s="41" t="n"/>
      <c r="H852" s="41" t="n"/>
      <c r="I852" s="50" t="n"/>
      <c r="J852" s="42" t="n"/>
      <c r="K852" s="42" t="n"/>
      <c r="L852" s="43">
        <f>IF($B852="","",ROUND((N($J852)+N($K852))*نسبة_القيمة_المضافة,2))</f>
        <v/>
      </c>
      <c r="M852" s="42" t="n"/>
      <c r="N852" s="42" t="n"/>
      <c r="O852" s="43">
        <f>IF($B852="","",N($J852)+N($K852)+N($L852)-N($M852)+N($N852))</f>
        <v/>
      </c>
      <c r="P852" s="42" t="n"/>
      <c r="Q852" s="43">
        <f>IF($B852="","",N($O852)-N($P852))</f>
        <v/>
      </c>
      <c r="R852" s="42" t="n"/>
      <c r="S852" s="42" t="n"/>
      <c r="T852" s="42" t="n"/>
      <c r="U852" s="43">
        <f>IF($B852="","",N($J852)-N($R852)-N($T852))</f>
        <v/>
      </c>
      <c r="V852" s="42" t="n"/>
    </row>
    <row r="853">
      <c r="A853" s="39">
        <f>IF($B853="","",COUNTA($B$4:$B853))</f>
        <v/>
      </c>
      <c r="B853" s="45" t="n"/>
      <c r="C853" s="46" t="n"/>
      <c r="D853" s="46" t="n"/>
      <c r="E853" s="46" t="n"/>
      <c r="F853" s="46" t="n"/>
      <c r="G853" s="46" t="n"/>
      <c r="H853" s="46" t="n"/>
      <c r="I853" s="51" t="n"/>
      <c r="J853" s="47" t="n"/>
      <c r="K853" s="47" t="n"/>
      <c r="L853" s="43">
        <f>IF($B853="","",ROUND((N($J853)+N($K853))*نسبة_القيمة_المضافة,2))</f>
        <v/>
      </c>
      <c r="M853" s="47" t="n"/>
      <c r="N853" s="47" t="n"/>
      <c r="O853" s="43">
        <f>IF($B853="","",N($J853)+N($K853)+N($L853)-N($M853)+N($N853))</f>
        <v/>
      </c>
      <c r="P853" s="47" t="n"/>
      <c r="Q853" s="43">
        <f>IF($B853="","",N($O853)-N($P853))</f>
        <v/>
      </c>
      <c r="R853" s="47" t="n"/>
      <c r="S853" s="47" t="n"/>
      <c r="T853" s="47" t="n"/>
      <c r="U853" s="43">
        <f>IF($B853="","",N($J853)-N($R853)-N($T853))</f>
        <v/>
      </c>
      <c r="V853" s="47" t="n"/>
    </row>
    <row r="854">
      <c r="A854" s="39">
        <f>IF($B854="","",COUNTA($B$4:$B854))</f>
        <v/>
      </c>
      <c r="B854" s="40" t="n"/>
      <c r="C854" s="41" t="n"/>
      <c r="D854" s="41" t="n"/>
      <c r="E854" s="41" t="n"/>
      <c r="F854" s="41" t="n"/>
      <c r="G854" s="41" t="n"/>
      <c r="H854" s="41" t="n"/>
      <c r="I854" s="50" t="n"/>
      <c r="J854" s="42" t="n"/>
      <c r="K854" s="42" t="n"/>
      <c r="L854" s="43">
        <f>IF($B854="","",ROUND((N($J854)+N($K854))*نسبة_القيمة_المضافة,2))</f>
        <v/>
      </c>
      <c r="M854" s="42" t="n"/>
      <c r="N854" s="42" t="n"/>
      <c r="O854" s="43">
        <f>IF($B854="","",N($J854)+N($K854)+N($L854)-N($M854)+N($N854))</f>
        <v/>
      </c>
      <c r="P854" s="42" t="n"/>
      <c r="Q854" s="43">
        <f>IF($B854="","",N($O854)-N($P854))</f>
        <v/>
      </c>
      <c r="R854" s="42" t="n"/>
      <c r="S854" s="42" t="n"/>
      <c r="T854" s="42" t="n"/>
      <c r="U854" s="43">
        <f>IF($B854="","",N($J854)-N($R854)-N($T854))</f>
        <v/>
      </c>
      <c r="V854" s="42" t="n"/>
    </row>
    <row r="855">
      <c r="A855" s="39">
        <f>IF($B855="","",COUNTA($B$4:$B855))</f>
        <v/>
      </c>
      <c r="B855" s="45" t="n"/>
      <c r="C855" s="46" t="n"/>
      <c r="D855" s="46" t="n"/>
      <c r="E855" s="46" t="n"/>
      <c r="F855" s="46" t="n"/>
      <c r="G855" s="46" t="n"/>
      <c r="H855" s="46" t="n"/>
      <c r="I855" s="51" t="n"/>
      <c r="J855" s="47" t="n"/>
      <c r="K855" s="47" t="n"/>
      <c r="L855" s="43">
        <f>IF($B855="","",ROUND((N($J855)+N($K855))*نسبة_القيمة_المضافة,2))</f>
        <v/>
      </c>
      <c r="M855" s="47" t="n"/>
      <c r="N855" s="47" t="n"/>
      <c r="O855" s="43">
        <f>IF($B855="","",N($J855)+N($K855)+N($L855)-N($M855)+N($N855))</f>
        <v/>
      </c>
      <c r="P855" s="47" t="n"/>
      <c r="Q855" s="43">
        <f>IF($B855="","",N($O855)-N($P855))</f>
        <v/>
      </c>
      <c r="R855" s="47" t="n"/>
      <c r="S855" s="47" t="n"/>
      <c r="T855" s="47" t="n"/>
      <c r="U855" s="43">
        <f>IF($B855="","",N($J855)-N($R855)-N($T855))</f>
        <v/>
      </c>
      <c r="V855" s="47" t="n"/>
    </row>
    <row r="856">
      <c r="A856" s="39">
        <f>IF($B856="","",COUNTA($B$4:$B856))</f>
        <v/>
      </c>
      <c r="B856" s="40" t="n"/>
      <c r="C856" s="41" t="n"/>
      <c r="D856" s="41" t="n"/>
      <c r="E856" s="41" t="n"/>
      <c r="F856" s="41" t="n"/>
      <c r="G856" s="41" t="n"/>
      <c r="H856" s="41" t="n"/>
      <c r="I856" s="50" t="n"/>
      <c r="J856" s="42" t="n"/>
      <c r="K856" s="42" t="n"/>
      <c r="L856" s="43">
        <f>IF($B856="","",ROUND((N($J856)+N($K856))*نسبة_القيمة_المضافة,2))</f>
        <v/>
      </c>
      <c r="M856" s="42" t="n"/>
      <c r="N856" s="42" t="n"/>
      <c r="O856" s="43">
        <f>IF($B856="","",N($J856)+N($K856)+N($L856)-N($M856)+N($N856))</f>
        <v/>
      </c>
      <c r="P856" s="42" t="n"/>
      <c r="Q856" s="43">
        <f>IF($B856="","",N($O856)-N($P856))</f>
        <v/>
      </c>
      <c r="R856" s="42" t="n"/>
      <c r="S856" s="42" t="n"/>
      <c r="T856" s="42" t="n"/>
      <c r="U856" s="43">
        <f>IF($B856="","",N($J856)-N($R856)-N($T856))</f>
        <v/>
      </c>
      <c r="V856" s="42" t="n"/>
    </row>
    <row r="857">
      <c r="A857" s="39">
        <f>IF($B857="","",COUNTA($B$4:$B857))</f>
        <v/>
      </c>
      <c r="B857" s="45" t="n"/>
      <c r="C857" s="46" t="n"/>
      <c r="D857" s="46" t="n"/>
      <c r="E857" s="46" t="n"/>
      <c r="F857" s="46" t="n"/>
      <c r="G857" s="46" t="n"/>
      <c r="H857" s="46" t="n"/>
      <c r="I857" s="51" t="n"/>
      <c r="J857" s="47" t="n"/>
      <c r="K857" s="47" t="n"/>
      <c r="L857" s="43">
        <f>IF($B857="","",ROUND((N($J857)+N($K857))*نسبة_القيمة_المضافة,2))</f>
        <v/>
      </c>
      <c r="M857" s="47" t="n"/>
      <c r="N857" s="47" t="n"/>
      <c r="O857" s="43">
        <f>IF($B857="","",N($J857)+N($K857)+N($L857)-N($M857)+N($N857))</f>
        <v/>
      </c>
      <c r="P857" s="47" t="n"/>
      <c r="Q857" s="43">
        <f>IF($B857="","",N($O857)-N($P857))</f>
        <v/>
      </c>
      <c r="R857" s="47" t="n"/>
      <c r="S857" s="47" t="n"/>
      <c r="T857" s="47" t="n"/>
      <c r="U857" s="43">
        <f>IF($B857="","",N($J857)-N($R857)-N($T857))</f>
        <v/>
      </c>
      <c r="V857" s="47" t="n"/>
    </row>
    <row r="858">
      <c r="A858" s="39">
        <f>IF($B858="","",COUNTA($B$4:$B858))</f>
        <v/>
      </c>
      <c r="B858" s="40" t="n"/>
      <c r="C858" s="41" t="n"/>
      <c r="D858" s="41" t="n"/>
      <c r="E858" s="41" t="n"/>
      <c r="F858" s="41" t="n"/>
      <c r="G858" s="41" t="n"/>
      <c r="H858" s="41" t="n"/>
      <c r="I858" s="50" t="n"/>
      <c r="J858" s="42" t="n"/>
      <c r="K858" s="42" t="n"/>
      <c r="L858" s="43">
        <f>IF($B858="","",ROUND((N($J858)+N($K858))*نسبة_القيمة_المضافة,2))</f>
        <v/>
      </c>
      <c r="M858" s="42" t="n"/>
      <c r="N858" s="42" t="n"/>
      <c r="O858" s="43">
        <f>IF($B858="","",N($J858)+N($K858)+N($L858)-N($M858)+N($N858))</f>
        <v/>
      </c>
      <c r="P858" s="42" t="n"/>
      <c r="Q858" s="43">
        <f>IF($B858="","",N($O858)-N($P858))</f>
        <v/>
      </c>
      <c r="R858" s="42" t="n"/>
      <c r="S858" s="42" t="n"/>
      <c r="T858" s="42" t="n"/>
      <c r="U858" s="43">
        <f>IF($B858="","",N($J858)-N($R858)-N($T858))</f>
        <v/>
      </c>
      <c r="V858" s="42" t="n"/>
    </row>
    <row r="859">
      <c r="A859" s="39">
        <f>IF($B859="","",COUNTA($B$4:$B859))</f>
        <v/>
      </c>
      <c r="B859" s="45" t="n"/>
      <c r="C859" s="46" t="n"/>
      <c r="D859" s="46" t="n"/>
      <c r="E859" s="46" t="n"/>
      <c r="F859" s="46" t="n"/>
      <c r="G859" s="46" t="n"/>
      <c r="H859" s="46" t="n"/>
      <c r="I859" s="51" t="n"/>
      <c r="J859" s="47" t="n"/>
      <c r="K859" s="47" t="n"/>
      <c r="L859" s="43">
        <f>IF($B859="","",ROUND((N($J859)+N($K859))*نسبة_القيمة_المضافة,2))</f>
        <v/>
      </c>
      <c r="M859" s="47" t="n"/>
      <c r="N859" s="47" t="n"/>
      <c r="O859" s="43">
        <f>IF($B859="","",N($J859)+N($K859)+N($L859)-N($M859)+N($N859))</f>
        <v/>
      </c>
      <c r="P859" s="47" t="n"/>
      <c r="Q859" s="43">
        <f>IF($B859="","",N($O859)-N($P859))</f>
        <v/>
      </c>
      <c r="R859" s="47" t="n"/>
      <c r="S859" s="47" t="n"/>
      <c r="T859" s="47" t="n"/>
      <c r="U859" s="43">
        <f>IF($B859="","",N($J859)-N($R859)-N($T859))</f>
        <v/>
      </c>
      <c r="V859" s="47" t="n"/>
    </row>
    <row r="860">
      <c r="A860" s="39">
        <f>IF($B860="","",COUNTA($B$4:$B860))</f>
        <v/>
      </c>
      <c r="B860" s="40" t="n"/>
      <c r="C860" s="41" t="n"/>
      <c r="D860" s="41" t="n"/>
      <c r="E860" s="41" t="n"/>
      <c r="F860" s="41" t="n"/>
      <c r="G860" s="41" t="n"/>
      <c r="H860" s="41" t="n"/>
      <c r="I860" s="50" t="n"/>
      <c r="J860" s="42" t="n"/>
      <c r="K860" s="42" t="n"/>
      <c r="L860" s="43">
        <f>IF($B860="","",ROUND((N($J860)+N($K860))*نسبة_القيمة_المضافة,2))</f>
        <v/>
      </c>
      <c r="M860" s="42" t="n"/>
      <c r="N860" s="42" t="n"/>
      <c r="O860" s="43">
        <f>IF($B860="","",N($J860)+N($K860)+N($L860)-N($M860)+N($N860))</f>
        <v/>
      </c>
      <c r="P860" s="42" t="n"/>
      <c r="Q860" s="43">
        <f>IF($B860="","",N($O860)-N($P860))</f>
        <v/>
      </c>
      <c r="R860" s="42" t="n"/>
      <c r="S860" s="42" t="n"/>
      <c r="T860" s="42" t="n"/>
      <c r="U860" s="43">
        <f>IF($B860="","",N($J860)-N($R860)-N($T860))</f>
        <v/>
      </c>
      <c r="V860" s="42" t="n"/>
    </row>
    <row r="861">
      <c r="A861" s="39">
        <f>IF($B861="","",COUNTA($B$4:$B861))</f>
        <v/>
      </c>
      <c r="B861" s="45" t="n"/>
      <c r="C861" s="46" t="n"/>
      <c r="D861" s="46" t="n"/>
      <c r="E861" s="46" t="n"/>
      <c r="F861" s="46" t="n"/>
      <c r="G861" s="46" t="n"/>
      <c r="H861" s="46" t="n"/>
      <c r="I861" s="51" t="n"/>
      <c r="J861" s="47" t="n"/>
      <c r="K861" s="47" t="n"/>
      <c r="L861" s="43">
        <f>IF($B861="","",ROUND((N($J861)+N($K861))*نسبة_القيمة_المضافة,2))</f>
        <v/>
      </c>
      <c r="M861" s="47" t="n"/>
      <c r="N861" s="47" t="n"/>
      <c r="O861" s="43">
        <f>IF($B861="","",N($J861)+N($K861)+N($L861)-N($M861)+N($N861))</f>
        <v/>
      </c>
      <c r="P861" s="47" t="n"/>
      <c r="Q861" s="43">
        <f>IF($B861="","",N($O861)-N($P861))</f>
        <v/>
      </c>
      <c r="R861" s="47" t="n"/>
      <c r="S861" s="47" t="n"/>
      <c r="T861" s="47" t="n"/>
      <c r="U861" s="43">
        <f>IF($B861="","",N($J861)-N($R861)-N($T861))</f>
        <v/>
      </c>
      <c r="V861" s="47" t="n"/>
    </row>
    <row r="862">
      <c r="A862" s="39">
        <f>IF($B862="","",COUNTA($B$4:$B862))</f>
        <v/>
      </c>
      <c r="B862" s="40" t="n"/>
      <c r="C862" s="41" t="n"/>
      <c r="D862" s="41" t="n"/>
      <c r="E862" s="41" t="n"/>
      <c r="F862" s="41" t="n"/>
      <c r="G862" s="41" t="n"/>
      <c r="H862" s="41" t="n"/>
      <c r="I862" s="50" t="n"/>
      <c r="J862" s="42" t="n"/>
      <c r="K862" s="42" t="n"/>
      <c r="L862" s="43">
        <f>IF($B862="","",ROUND((N($J862)+N($K862))*نسبة_القيمة_المضافة,2))</f>
        <v/>
      </c>
      <c r="M862" s="42" t="n"/>
      <c r="N862" s="42" t="n"/>
      <c r="O862" s="43">
        <f>IF($B862="","",N($J862)+N($K862)+N($L862)-N($M862)+N($N862))</f>
        <v/>
      </c>
      <c r="P862" s="42" t="n"/>
      <c r="Q862" s="43">
        <f>IF($B862="","",N($O862)-N($P862))</f>
        <v/>
      </c>
      <c r="R862" s="42" t="n"/>
      <c r="S862" s="42" t="n"/>
      <c r="T862" s="42" t="n"/>
      <c r="U862" s="43">
        <f>IF($B862="","",N($J862)-N($R862)-N($T862))</f>
        <v/>
      </c>
      <c r="V862" s="42" t="n"/>
    </row>
    <row r="863">
      <c r="A863" s="39">
        <f>IF($B863="","",COUNTA($B$4:$B863))</f>
        <v/>
      </c>
      <c r="B863" s="45" t="n"/>
      <c r="C863" s="46" t="n"/>
      <c r="D863" s="46" t="n"/>
      <c r="E863" s="46" t="n"/>
      <c r="F863" s="46" t="n"/>
      <c r="G863" s="46" t="n"/>
      <c r="H863" s="46" t="n"/>
      <c r="I863" s="51" t="n"/>
      <c r="J863" s="47" t="n"/>
      <c r="K863" s="47" t="n"/>
      <c r="L863" s="43">
        <f>IF($B863="","",ROUND((N($J863)+N($K863))*نسبة_القيمة_المضافة,2))</f>
        <v/>
      </c>
      <c r="M863" s="47" t="n"/>
      <c r="N863" s="47" t="n"/>
      <c r="O863" s="43">
        <f>IF($B863="","",N($J863)+N($K863)+N($L863)-N($M863)+N($N863))</f>
        <v/>
      </c>
      <c r="P863" s="47" t="n"/>
      <c r="Q863" s="43">
        <f>IF($B863="","",N($O863)-N($P863))</f>
        <v/>
      </c>
      <c r="R863" s="47" t="n"/>
      <c r="S863" s="47" t="n"/>
      <c r="T863" s="47" t="n"/>
      <c r="U863" s="43">
        <f>IF($B863="","",N($J863)-N($R863)-N($T863))</f>
        <v/>
      </c>
      <c r="V863" s="47" t="n"/>
    </row>
    <row r="864">
      <c r="A864" s="39">
        <f>IF($B864="","",COUNTA($B$4:$B864))</f>
        <v/>
      </c>
      <c r="B864" s="40" t="n"/>
      <c r="C864" s="41" t="n"/>
      <c r="D864" s="41" t="n"/>
      <c r="E864" s="41" t="n"/>
      <c r="F864" s="41" t="n"/>
      <c r="G864" s="41" t="n"/>
      <c r="H864" s="41" t="n"/>
      <c r="I864" s="50" t="n"/>
      <c r="J864" s="42" t="n"/>
      <c r="K864" s="42" t="n"/>
      <c r="L864" s="43">
        <f>IF($B864="","",ROUND((N($J864)+N($K864))*نسبة_القيمة_المضافة,2))</f>
        <v/>
      </c>
      <c r="M864" s="42" t="n"/>
      <c r="N864" s="42" t="n"/>
      <c r="O864" s="43">
        <f>IF($B864="","",N($J864)+N($K864)+N($L864)-N($M864)+N($N864))</f>
        <v/>
      </c>
      <c r="P864" s="42" t="n"/>
      <c r="Q864" s="43">
        <f>IF($B864="","",N($O864)-N($P864))</f>
        <v/>
      </c>
      <c r="R864" s="42" t="n"/>
      <c r="S864" s="42" t="n"/>
      <c r="T864" s="42" t="n"/>
      <c r="U864" s="43">
        <f>IF($B864="","",N($J864)-N($R864)-N($T864))</f>
        <v/>
      </c>
      <c r="V864" s="42" t="n"/>
    </row>
    <row r="865">
      <c r="A865" s="39">
        <f>IF($B865="","",COUNTA($B$4:$B865))</f>
        <v/>
      </c>
      <c r="B865" s="45" t="n"/>
      <c r="C865" s="46" t="n"/>
      <c r="D865" s="46" t="n"/>
      <c r="E865" s="46" t="n"/>
      <c r="F865" s="46" t="n"/>
      <c r="G865" s="46" t="n"/>
      <c r="H865" s="46" t="n"/>
      <c r="I865" s="51" t="n"/>
      <c r="J865" s="47" t="n"/>
      <c r="K865" s="47" t="n"/>
      <c r="L865" s="43">
        <f>IF($B865="","",ROUND((N($J865)+N($K865))*نسبة_القيمة_المضافة,2))</f>
        <v/>
      </c>
      <c r="M865" s="47" t="n"/>
      <c r="N865" s="47" t="n"/>
      <c r="O865" s="43">
        <f>IF($B865="","",N($J865)+N($K865)+N($L865)-N($M865)+N($N865))</f>
        <v/>
      </c>
      <c r="P865" s="47" t="n"/>
      <c r="Q865" s="43">
        <f>IF($B865="","",N($O865)-N($P865))</f>
        <v/>
      </c>
      <c r="R865" s="47" t="n"/>
      <c r="S865" s="47" t="n"/>
      <c r="T865" s="47" t="n"/>
      <c r="U865" s="43">
        <f>IF($B865="","",N($J865)-N($R865)-N($T865))</f>
        <v/>
      </c>
      <c r="V865" s="47" t="n"/>
    </row>
    <row r="866">
      <c r="A866" s="39">
        <f>IF($B866="","",COUNTA($B$4:$B866))</f>
        <v/>
      </c>
      <c r="B866" s="40" t="n"/>
      <c r="C866" s="41" t="n"/>
      <c r="D866" s="41" t="n"/>
      <c r="E866" s="41" t="n"/>
      <c r="F866" s="41" t="n"/>
      <c r="G866" s="41" t="n"/>
      <c r="H866" s="41" t="n"/>
      <c r="I866" s="50" t="n"/>
      <c r="J866" s="42" t="n"/>
      <c r="K866" s="42" t="n"/>
      <c r="L866" s="43">
        <f>IF($B866="","",ROUND((N($J866)+N($K866))*نسبة_القيمة_المضافة,2))</f>
        <v/>
      </c>
      <c r="M866" s="42" t="n"/>
      <c r="N866" s="42" t="n"/>
      <c r="O866" s="43">
        <f>IF($B866="","",N($J866)+N($K866)+N($L866)-N($M866)+N($N866))</f>
        <v/>
      </c>
      <c r="P866" s="42" t="n"/>
      <c r="Q866" s="43">
        <f>IF($B866="","",N($O866)-N($P866))</f>
        <v/>
      </c>
      <c r="R866" s="42" t="n"/>
      <c r="S866" s="42" t="n"/>
      <c r="T866" s="42" t="n"/>
      <c r="U866" s="43">
        <f>IF($B866="","",N($J866)-N($R866)-N($T866))</f>
        <v/>
      </c>
      <c r="V866" s="42" t="n"/>
    </row>
    <row r="867">
      <c r="A867" s="39">
        <f>IF($B867="","",COUNTA($B$4:$B867))</f>
        <v/>
      </c>
      <c r="B867" s="45" t="n"/>
      <c r="C867" s="46" t="n"/>
      <c r="D867" s="46" t="n"/>
      <c r="E867" s="46" t="n"/>
      <c r="F867" s="46" t="n"/>
      <c r="G867" s="46" t="n"/>
      <c r="H867" s="46" t="n"/>
      <c r="I867" s="51" t="n"/>
      <c r="J867" s="47" t="n"/>
      <c r="K867" s="47" t="n"/>
      <c r="L867" s="43">
        <f>IF($B867="","",ROUND((N($J867)+N($K867))*نسبة_القيمة_المضافة,2))</f>
        <v/>
      </c>
      <c r="M867" s="47" t="n"/>
      <c r="N867" s="47" t="n"/>
      <c r="O867" s="43">
        <f>IF($B867="","",N($J867)+N($K867)+N($L867)-N($M867)+N($N867))</f>
        <v/>
      </c>
      <c r="P867" s="47" t="n"/>
      <c r="Q867" s="43">
        <f>IF($B867="","",N($O867)-N($P867))</f>
        <v/>
      </c>
      <c r="R867" s="47" t="n"/>
      <c r="S867" s="47" t="n"/>
      <c r="T867" s="47" t="n"/>
      <c r="U867" s="43">
        <f>IF($B867="","",N($J867)-N($R867)-N($T867))</f>
        <v/>
      </c>
      <c r="V867" s="47" t="n"/>
    </row>
    <row r="868">
      <c r="A868" s="39">
        <f>IF($B868="","",COUNTA($B$4:$B868))</f>
        <v/>
      </c>
      <c r="B868" s="40" t="n"/>
      <c r="C868" s="41" t="n"/>
      <c r="D868" s="41" t="n"/>
      <c r="E868" s="41" t="n"/>
      <c r="F868" s="41" t="n"/>
      <c r="G868" s="41" t="n"/>
      <c r="H868" s="41" t="n"/>
      <c r="I868" s="50" t="n"/>
      <c r="J868" s="42" t="n"/>
      <c r="K868" s="42" t="n"/>
      <c r="L868" s="43">
        <f>IF($B868="","",ROUND((N($J868)+N($K868))*نسبة_القيمة_المضافة,2))</f>
        <v/>
      </c>
      <c r="M868" s="42" t="n"/>
      <c r="N868" s="42" t="n"/>
      <c r="O868" s="43">
        <f>IF($B868="","",N($J868)+N($K868)+N($L868)-N($M868)+N($N868))</f>
        <v/>
      </c>
      <c r="P868" s="42" t="n"/>
      <c r="Q868" s="43">
        <f>IF($B868="","",N($O868)-N($P868))</f>
        <v/>
      </c>
      <c r="R868" s="42" t="n"/>
      <c r="S868" s="42" t="n"/>
      <c r="T868" s="42" t="n"/>
      <c r="U868" s="43">
        <f>IF($B868="","",N($J868)-N($R868)-N($T868))</f>
        <v/>
      </c>
      <c r="V868" s="42" t="n"/>
    </row>
    <row r="869">
      <c r="A869" s="39">
        <f>IF($B869="","",COUNTA($B$4:$B869))</f>
        <v/>
      </c>
      <c r="B869" s="45" t="n"/>
      <c r="C869" s="46" t="n"/>
      <c r="D869" s="46" t="n"/>
      <c r="E869" s="46" t="n"/>
      <c r="F869" s="46" t="n"/>
      <c r="G869" s="46" t="n"/>
      <c r="H869" s="46" t="n"/>
      <c r="I869" s="51" t="n"/>
      <c r="J869" s="47" t="n"/>
      <c r="K869" s="47" t="n"/>
      <c r="L869" s="43">
        <f>IF($B869="","",ROUND((N($J869)+N($K869))*نسبة_القيمة_المضافة,2))</f>
        <v/>
      </c>
      <c r="M869" s="47" t="n"/>
      <c r="N869" s="47" t="n"/>
      <c r="O869" s="43">
        <f>IF($B869="","",N($J869)+N($K869)+N($L869)-N($M869)+N($N869))</f>
        <v/>
      </c>
      <c r="P869" s="47" t="n"/>
      <c r="Q869" s="43">
        <f>IF($B869="","",N($O869)-N($P869))</f>
        <v/>
      </c>
      <c r="R869" s="47" t="n"/>
      <c r="S869" s="47" t="n"/>
      <c r="T869" s="47" t="n"/>
      <c r="U869" s="43">
        <f>IF($B869="","",N($J869)-N($R869)-N($T869))</f>
        <v/>
      </c>
      <c r="V869" s="47" t="n"/>
    </row>
    <row r="870">
      <c r="A870" s="39">
        <f>IF($B870="","",COUNTA($B$4:$B870))</f>
        <v/>
      </c>
      <c r="B870" s="40" t="n"/>
      <c r="C870" s="41" t="n"/>
      <c r="D870" s="41" t="n"/>
      <c r="E870" s="41" t="n"/>
      <c r="F870" s="41" t="n"/>
      <c r="G870" s="41" t="n"/>
      <c r="H870" s="41" t="n"/>
      <c r="I870" s="50" t="n"/>
      <c r="J870" s="42" t="n"/>
      <c r="K870" s="42" t="n"/>
      <c r="L870" s="43">
        <f>IF($B870="","",ROUND((N($J870)+N($K870))*نسبة_القيمة_المضافة,2))</f>
        <v/>
      </c>
      <c r="M870" s="42" t="n"/>
      <c r="N870" s="42" t="n"/>
      <c r="O870" s="43">
        <f>IF($B870="","",N($J870)+N($K870)+N($L870)-N($M870)+N($N870))</f>
        <v/>
      </c>
      <c r="P870" s="42" t="n"/>
      <c r="Q870" s="43">
        <f>IF($B870="","",N($O870)-N($P870))</f>
        <v/>
      </c>
      <c r="R870" s="42" t="n"/>
      <c r="S870" s="42" t="n"/>
      <c r="T870" s="42" t="n"/>
      <c r="U870" s="43">
        <f>IF($B870="","",N($J870)-N($R870)-N($T870))</f>
        <v/>
      </c>
      <c r="V870" s="42" t="n"/>
    </row>
    <row r="871">
      <c r="A871" s="39">
        <f>IF($B871="","",COUNTA($B$4:$B871))</f>
        <v/>
      </c>
      <c r="B871" s="45" t="n"/>
      <c r="C871" s="46" t="n"/>
      <c r="D871" s="46" t="n"/>
      <c r="E871" s="46" t="n"/>
      <c r="F871" s="46" t="n"/>
      <c r="G871" s="46" t="n"/>
      <c r="H871" s="46" t="n"/>
      <c r="I871" s="51" t="n"/>
      <c r="J871" s="47" t="n"/>
      <c r="K871" s="47" t="n"/>
      <c r="L871" s="43">
        <f>IF($B871="","",ROUND((N($J871)+N($K871))*نسبة_القيمة_المضافة,2))</f>
        <v/>
      </c>
      <c r="M871" s="47" t="n"/>
      <c r="N871" s="47" t="n"/>
      <c r="O871" s="43">
        <f>IF($B871="","",N($J871)+N($K871)+N($L871)-N($M871)+N($N871))</f>
        <v/>
      </c>
      <c r="P871" s="47" t="n"/>
      <c r="Q871" s="43">
        <f>IF($B871="","",N($O871)-N($P871))</f>
        <v/>
      </c>
      <c r="R871" s="47" t="n"/>
      <c r="S871" s="47" t="n"/>
      <c r="T871" s="47" t="n"/>
      <c r="U871" s="43">
        <f>IF($B871="","",N($J871)-N($R871)-N($T871))</f>
        <v/>
      </c>
      <c r="V871" s="47" t="n"/>
    </row>
    <row r="872">
      <c r="A872" s="39">
        <f>IF($B872="","",COUNTA($B$4:$B872))</f>
        <v/>
      </c>
      <c r="B872" s="40" t="n"/>
      <c r="C872" s="41" t="n"/>
      <c r="D872" s="41" t="n"/>
      <c r="E872" s="41" t="n"/>
      <c r="F872" s="41" t="n"/>
      <c r="G872" s="41" t="n"/>
      <c r="H872" s="41" t="n"/>
      <c r="I872" s="50" t="n"/>
      <c r="J872" s="42" t="n"/>
      <c r="K872" s="42" t="n"/>
      <c r="L872" s="43">
        <f>IF($B872="","",ROUND((N($J872)+N($K872))*نسبة_القيمة_المضافة,2))</f>
        <v/>
      </c>
      <c r="M872" s="42" t="n"/>
      <c r="N872" s="42" t="n"/>
      <c r="O872" s="43">
        <f>IF($B872="","",N($J872)+N($K872)+N($L872)-N($M872)+N($N872))</f>
        <v/>
      </c>
      <c r="P872" s="42" t="n"/>
      <c r="Q872" s="43">
        <f>IF($B872="","",N($O872)-N($P872))</f>
        <v/>
      </c>
      <c r="R872" s="42" t="n"/>
      <c r="S872" s="42" t="n"/>
      <c r="T872" s="42" t="n"/>
      <c r="U872" s="43">
        <f>IF($B872="","",N($J872)-N($R872)-N($T872))</f>
        <v/>
      </c>
      <c r="V872" s="42" t="n"/>
    </row>
    <row r="873">
      <c r="A873" s="39">
        <f>IF($B873="","",COUNTA($B$4:$B873))</f>
        <v/>
      </c>
      <c r="B873" s="45" t="n"/>
      <c r="C873" s="46" t="n"/>
      <c r="D873" s="46" t="n"/>
      <c r="E873" s="46" t="n"/>
      <c r="F873" s="46" t="n"/>
      <c r="G873" s="46" t="n"/>
      <c r="H873" s="46" t="n"/>
      <c r="I873" s="51" t="n"/>
      <c r="J873" s="47" t="n"/>
      <c r="K873" s="47" t="n"/>
      <c r="L873" s="43">
        <f>IF($B873="","",ROUND((N($J873)+N($K873))*نسبة_القيمة_المضافة,2))</f>
        <v/>
      </c>
      <c r="M873" s="47" t="n"/>
      <c r="N873" s="47" t="n"/>
      <c r="O873" s="43">
        <f>IF($B873="","",N($J873)+N($K873)+N($L873)-N($M873)+N($N873))</f>
        <v/>
      </c>
      <c r="P873" s="47" t="n"/>
      <c r="Q873" s="43">
        <f>IF($B873="","",N($O873)-N($P873))</f>
        <v/>
      </c>
      <c r="R873" s="47" t="n"/>
      <c r="S873" s="47" t="n"/>
      <c r="T873" s="47" t="n"/>
      <c r="U873" s="43">
        <f>IF($B873="","",N($J873)-N($R873)-N($T873))</f>
        <v/>
      </c>
      <c r="V873" s="47" t="n"/>
    </row>
    <row r="874">
      <c r="A874" s="39">
        <f>IF($B874="","",COUNTA($B$4:$B874))</f>
        <v/>
      </c>
      <c r="B874" s="40" t="n"/>
      <c r="C874" s="41" t="n"/>
      <c r="D874" s="41" t="n"/>
      <c r="E874" s="41" t="n"/>
      <c r="F874" s="41" t="n"/>
      <c r="G874" s="41" t="n"/>
      <c r="H874" s="41" t="n"/>
      <c r="I874" s="50" t="n"/>
      <c r="J874" s="42" t="n"/>
      <c r="K874" s="42" t="n"/>
      <c r="L874" s="43">
        <f>IF($B874="","",ROUND((N($J874)+N($K874))*نسبة_القيمة_المضافة,2))</f>
        <v/>
      </c>
      <c r="M874" s="42" t="n"/>
      <c r="N874" s="42" t="n"/>
      <c r="O874" s="43">
        <f>IF($B874="","",N($J874)+N($K874)+N($L874)-N($M874)+N($N874))</f>
        <v/>
      </c>
      <c r="P874" s="42" t="n"/>
      <c r="Q874" s="43">
        <f>IF($B874="","",N($O874)-N($P874))</f>
        <v/>
      </c>
      <c r="R874" s="42" t="n"/>
      <c r="S874" s="42" t="n"/>
      <c r="T874" s="42" t="n"/>
      <c r="U874" s="43">
        <f>IF($B874="","",N($J874)-N($R874)-N($T874))</f>
        <v/>
      </c>
      <c r="V874" s="42" t="n"/>
    </row>
    <row r="875">
      <c r="A875" s="39">
        <f>IF($B875="","",COUNTA($B$4:$B875))</f>
        <v/>
      </c>
      <c r="B875" s="45" t="n"/>
      <c r="C875" s="46" t="n"/>
      <c r="D875" s="46" t="n"/>
      <c r="E875" s="46" t="n"/>
      <c r="F875" s="46" t="n"/>
      <c r="G875" s="46" t="n"/>
      <c r="H875" s="46" t="n"/>
      <c r="I875" s="51" t="n"/>
      <c r="J875" s="47" t="n"/>
      <c r="K875" s="47" t="n"/>
      <c r="L875" s="43">
        <f>IF($B875="","",ROUND((N($J875)+N($K875))*نسبة_القيمة_المضافة,2))</f>
        <v/>
      </c>
      <c r="M875" s="47" t="n"/>
      <c r="N875" s="47" t="n"/>
      <c r="O875" s="43">
        <f>IF($B875="","",N($J875)+N($K875)+N($L875)-N($M875)+N($N875))</f>
        <v/>
      </c>
      <c r="P875" s="47" t="n"/>
      <c r="Q875" s="43">
        <f>IF($B875="","",N($O875)-N($P875))</f>
        <v/>
      </c>
      <c r="R875" s="47" t="n"/>
      <c r="S875" s="47" t="n"/>
      <c r="T875" s="47" t="n"/>
      <c r="U875" s="43">
        <f>IF($B875="","",N($J875)-N($R875)-N($T875))</f>
        <v/>
      </c>
      <c r="V875" s="47" t="n"/>
    </row>
    <row r="876">
      <c r="A876" s="39">
        <f>IF($B876="","",COUNTA($B$4:$B876))</f>
        <v/>
      </c>
      <c r="B876" s="40" t="n"/>
      <c r="C876" s="41" t="n"/>
      <c r="D876" s="41" t="n"/>
      <c r="E876" s="41" t="n"/>
      <c r="F876" s="41" t="n"/>
      <c r="G876" s="41" t="n"/>
      <c r="H876" s="41" t="n"/>
      <c r="I876" s="50" t="n"/>
      <c r="J876" s="42" t="n"/>
      <c r="K876" s="42" t="n"/>
      <c r="L876" s="43">
        <f>IF($B876="","",ROUND((N($J876)+N($K876))*نسبة_القيمة_المضافة,2))</f>
        <v/>
      </c>
      <c r="M876" s="42" t="n"/>
      <c r="N876" s="42" t="n"/>
      <c r="O876" s="43">
        <f>IF($B876="","",N($J876)+N($K876)+N($L876)-N($M876)+N($N876))</f>
        <v/>
      </c>
      <c r="P876" s="42" t="n"/>
      <c r="Q876" s="43">
        <f>IF($B876="","",N($O876)-N($P876))</f>
        <v/>
      </c>
      <c r="R876" s="42" t="n"/>
      <c r="S876" s="42" t="n"/>
      <c r="T876" s="42" t="n"/>
      <c r="U876" s="43">
        <f>IF($B876="","",N($J876)-N($R876)-N($T876))</f>
        <v/>
      </c>
      <c r="V876" s="42" t="n"/>
    </row>
    <row r="877">
      <c r="A877" s="39">
        <f>IF($B877="","",COUNTA($B$4:$B877))</f>
        <v/>
      </c>
      <c r="B877" s="45" t="n"/>
      <c r="C877" s="46" t="n"/>
      <c r="D877" s="46" t="n"/>
      <c r="E877" s="46" t="n"/>
      <c r="F877" s="46" t="n"/>
      <c r="G877" s="46" t="n"/>
      <c r="H877" s="46" t="n"/>
      <c r="I877" s="51" t="n"/>
      <c r="J877" s="47" t="n"/>
      <c r="K877" s="47" t="n"/>
      <c r="L877" s="43">
        <f>IF($B877="","",ROUND((N($J877)+N($K877))*نسبة_القيمة_المضافة,2))</f>
        <v/>
      </c>
      <c r="M877" s="47" t="n"/>
      <c r="N877" s="47" t="n"/>
      <c r="O877" s="43">
        <f>IF($B877="","",N($J877)+N($K877)+N($L877)-N($M877)+N($N877))</f>
        <v/>
      </c>
      <c r="P877" s="47" t="n"/>
      <c r="Q877" s="43">
        <f>IF($B877="","",N($O877)-N($P877))</f>
        <v/>
      </c>
      <c r="R877" s="47" t="n"/>
      <c r="S877" s="47" t="n"/>
      <c r="T877" s="47" t="n"/>
      <c r="U877" s="43">
        <f>IF($B877="","",N($J877)-N($R877)-N($T877))</f>
        <v/>
      </c>
      <c r="V877" s="47" t="n"/>
    </row>
    <row r="878">
      <c r="A878" s="39">
        <f>IF($B878="","",COUNTA($B$4:$B878))</f>
        <v/>
      </c>
      <c r="B878" s="40" t="n"/>
      <c r="C878" s="41" t="n"/>
      <c r="D878" s="41" t="n"/>
      <c r="E878" s="41" t="n"/>
      <c r="F878" s="41" t="n"/>
      <c r="G878" s="41" t="n"/>
      <c r="H878" s="41" t="n"/>
      <c r="I878" s="50" t="n"/>
      <c r="J878" s="42" t="n"/>
      <c r="K878" s="42" t="n"/>
      <c r="L878" s="43">
        <f>IF($B878="","",ROUND((N($J878)+N($K878))*نسبة_القيمة_المضافة,2))</f>
        <v/>
      </c>
      <c r="M878" s="42" t="n"/>
      <c r="N878" s="42" t="n"/>
      <c r="O878" s="43">
        <f>IF($B878="","",N($J878)+N($K878)+N($L878)-N($M878)+N($N878))</f>
        <v/>
      </c>
      <c r="P878" s="42" t="n"/>
      <c r="Q878" s="43">
        <f>IF($B878="","",N($O878)-N($P878))</f>
        <v/>
      </c>
      <c r="R878" s="42" t="n"/>
      <c r="S878" s="42" t="n"/>
      <c r="T878" s="42" t="n"/>
      <c r="U878" s="43">
        <f>IF($B878="","",N($J878)-N($R878)-N($T878))</f>
        <v/>
      </c>
      <c r="V878" s="42" t="n"/>
    </row>
    <row r="879">
      <c r="A879" s="39">
        <f>IF($B879="","",COUNTA($B$4:$B879))</f>
        <v/>
      </c>
      <c r="B879" s="45" t="n"/>
      <c r="C879" s="46" t="n"/>
      <c r="D879" s="46" t="n"/>
      <c r="E879" s="46" t="n"/>
      <c r="F879" s="46" t="n"/>
      <c r="G879" s="46" t="n"/>
      <c r="H879" s="46" t="n"/>
      <c r="I879" s="51" t="n"/>
      <c r="J879" s="47" t="n"/>
      <c r="K879" s="47" t="n"/>
      <c r="L879" s="43">
        <f>IF($B879="","",ROUND((N($J879)+N($K879))*نسبة_القيمة_المضافة,2))</f>
        <v/>
      </c>
      <c r="M879" s="47" t="n"/>
      <c r="N879" s="47" t="n"/>
      <c r="O879" s="43">
        <f>IF($B879="","",N($J879)+N($K879)+N($L879)-N($M879)+N($N879))</f>
        <v/>
      </c>
      <c r="P879" s="47" t="n"/>
      <c r="Q879" s="43">
        <f>IF($B879="","",N($O879)-N($P879))</f>
        <v/>
      </c>
      <c r="R879" s="47" t="n"/>
      <c r="S879" s="47" t="n"/>
      <c r="T879" s="47" t="n"/>
      <c r="U879" s="43">
        <f>IF($B879="","",N($J879)-N($R879)-N($T879))</f>
        <v/>
      </c>
      <c r="V879" s="47" t="n"/>
    </row>
    <row r="880">
      <c r="A880" s="39">
        <f>IF($B880="","",COUNTA($B$4:$B880))</f>
        <v/>
      </c>
      <c r="B880" s="40" t="n"/>
      <c r="C880" s="41" t="n"/>
      <c r="D880" s="41" t="n"/>
      <c r="E880" s="41" t="n"/>
      <c r="F880" s="41" t="n"/>
      <c r="G880" s="41" t="n"/>
      <c r="H880" s="41" t="n"/>
      <c r="I880" s="50" t="n"/>
      <c r="J880" s="42" t="n"/>
      <c r="K880" s="42" t="n"/>
      <c r="L880" s="43">
        <f>IF($B880="","",ROUND((N($J880)+N($K880))*نسبة_القيمة_المضافة,2))</f>
        <v/>
      </c>
      <c r="M880" s="42" t="n"/>
      <c r="N880" s="42" t="n"/>
      <c r="O880" s="43">
        <f>IF($B880="","",N($J880)+N($K880)+N($L880)-N($M880)+N($N880))</f>
        <v/>
      </c>
      <c r="P880" s="42" t="n"/>
      <c r="Q880" s="43">
        <f>IF($B880="","",N($O880)-N($P880))</f>
        <v/>
      </c>
      <c r="R880" s="42" t="n"/>
      <c r="S880" s="42" t="n"/>
      <c r="T880" s="42" t="n"/>
      <c r="U880" s="43">
        <f>IF($B880="","",N($J880)-N($R880)-N($T880))</f>
        <v/>
      </c>
      <c r="V880" s="42" t="n"/>
    </row>
    <row r="881">
      <c r="A881" s="39">
        <f>IF($B881="","",COUNTA($B$4:$B881))</f>
        <v/>
      </c>
      <c r="B881" s="45" t="n"/>
      <c r="C881" s="46" t="n"/>
      <c r="D881" s="46" t="n"/>
      <c r="E881" s="46" t="n"/>
      <c r="F881" s="46" t="n"/>
      <c r="G881" s="46" t="n"/>
      <c r="H881" s="46" t="n"/>
      <c r="I881" s="51" t="n"/>
      <c r="J881" s="47" t="n"/>
      <c r="K881" s="47" t="n"/>
      <c r="L881" s="43">
        <f>IF($B881="","",ROUND((N($J881)+N($K881))*نسبة_القيمة_المضافة,2))</f>
        <v/>
      </c>
      <c r="M881" s="47" t="n"/>
      <c r="N881" s="47" t="n"/>
      <c r="O881" s="43">
        <f>IF($B881="","",N($J881)+N($K881)+N($L881)-N($M881)+N($N881))</f>
        <v/>
      </c>
      <c r="P881" s="47" t="n"/>
      <c r="Q881" s="43">
        <f>IF($B881="","",N($O881)-N($P881))</f>
        <v/>
      </c>
      <c r="R881" s="47" t="n"/>
      <c r="S881" s="47" t="n"/>
      <c r="T881" s="47" t="n"/>
      <c r="U881" s="43">
        <f>IF($B881="","",N($J881)-N($R881)-N($T881))</f>
        <v/>
      </c>
      <c r="V881" s="47" t="n"/>
    </row>
    <row r="882">
      <c r="A882" s="39">
        <f>IF($B882="","",COUNTA($B$4:$B882))</f>
        <v/>
      </c>
      <c r="B882" s="40" t="n"/>
      <c r="C882" s="41" t="n"/>
      <c r="D882" s="41" t="n"/>
      <c r="E882" s="41" t="n"/>
      <c r="F882" s="41" t="n"/>
      <c r="G882" s="41" t="n"/>
      <c r="H882" s="41" t="n"/>
      <c r="I882" s="50" t="n"/>
      <c r="J882" s="42" t="n"/>
      <c r="K882" s="42" t="n"/>
      <c r="L882" s="43">
        <f>IF($B882="","",ROUND((N($J882)+N($K882))*نسبة_القيمة_المضافة,2))</f>
        <v/>
      </c>
      <c r="M882" s="42" t="n"/>
      <c r="N882" s="42" t="n"/>
      <c r="O882" s="43">
        <f>IF($B882="","",N($J882)+N($K882)+N($L882)-N($M882)+N($N882))</f>
        <v/>
      </c>
      <c r="P882" s="42" t="n"/>
      <c r="Q882" s="43">
        <f>IF($B882="","",N($O882)-N($P882))</f>
        <v/>
      </c>
      <c r="R882" s="42" t="n"/>
      <c r="S882" s="42" t="n"/>
      <c r="T882" s="42" t="n"/>
      <c r="U882" s="43">
        <f>IF($B882="","",N($J882)-N($R882)-N($T882))</f>
        <v/>
      </c>
      <c r="V882" s="42" t="n"/>
    </row>
    <row r="883">
      <c r="A883" s="39">
        <f>IF($B883="","",COUNTA($B$4:$B883))</f>
        <v/>
      </c>
      <c r="B883" s="45" t="n"/>
      <c r="C883" s="46" t="n"/>
      <c r="D883" s="46" t="n"/>
      <c r="E883" s="46" t="n"/>
      <c r="F883" s="46" t="n"/>
      <c r="G883" s="46" t="n"/>
      <c r="H883" s="46" t="n"/>
      <c r="I883" s="51" t="n"/>
      <c r="J883" s="47" t="n"/>
      <c r="K883" s="47" t="n"/>
      <c r="L883" s="43">
        <f>IF($B883="","",ROUND((N($J883)+N($K883))*نسبة_القيمة_المضافة,2))</f>
        <v/>
      </c>
      <c r="M883" s="47" t="n"/>
      <c r="N883" s="47" t="n"/>
      <c r="O883" s="43">
        <f>IF($B883="","",N($J883)+N($K883)+N($L883)-N($M883)+N($N883))</f>
        <v/>
      </c>
      <c r="P883" s="47" t="n"/>
      <c r="Q883" s="43">
        <f>IF($B883="","",N($O883)-N($P883))</f>
        <v/>
      </c>
      <c r="R883" s="47" t="n"/>
      <c r="S883" s="47" t="n"/>
      <c r="T883" s="47" t="n"/>
      <c r="U883" s="43">
        <f>IF($B883="","",N($J883)-N($R883)-N($T883))</f>
        <v/>
      </c>
      <c r="V883" s="47" t="n"/>
    </row>
    <row r="884">
      <c r="A884" s="39">
        <f>IF($B884="","",COUNTA($B$4:$B884))</f>
        <v/>
      </c>
      <c r="B884" s="40" t="n"/>
      <c r="C884" s="41" t="n"/>
      <c r="D884" s="41" t="n"/>
      <c r="E884" s="41" t="n"/>
      <c r="F884" s="41" t="n"/>
      <c r="G884" s="41" t="n"/>
      <c r="H884" s="41" t="n"/>
      <c r="I884" s="50" t="n"/>
      <c r="J884" s="42" t="n"/>
      <c r="K884" s="42" t="n"/>
      <c r="L884" s="43">
        <f>IF($B884="","",ROUND((N($J884)+N($K884))*نسبة_القيمة_المضافة,2))</f>
        <v/>
      </c>
      <c r="M884" s="42" t="n"/>
      <c r="N884" s="42" t="n"/>
      <c r="O884" s="43">
        <f>IF($B884="","",N($J884)+N($K884)+N($L884)-N($M884)+N($N884))</f>
        <v/>
      </c>
      <c r="P884" s="42" t="n"/>
      <c r="Q884" s="43">
        <f>IF($B884="","",N($O884)-N($P884))</f>
        <v/>
      </c>
      <c r="R884" s="42" t="n"/>
      <c r="S884" s="42" t="n"/>
      <c r="T884" s="42" t="n"/>
      <c r="U884" s="43">
        <f>IF($B884="","",N($J884)-N($R884)-N($T884))</f>
        <v/>
      </c>
      <c r="V884" s="42" t="n"/>
    </row>
    <row r="885">
      <c r="A885" s="39">
        <f>IF($B885="","",COUNTA($B$4:$B885))</f>
        <v/>
      </c>
      <c r="B885" s="45" t="n"/>
      <c r="C885" s="46" t="n"/>
      <c r="D885" s="46" t="n"/>
      <c r="E885" s="46" t="n"/>
      <c r="F885" s="46" t="n"/>
      <c r="G885" s="46" t="n"/>
      <c r="H885" s="46" t="n"/>
      <c r="I885" s="51" t="n"/>
      <c r="J885" s="47" t="n"/>
      <c r="K885" s="47" t="n"/>
      <c r="L885" s="43">
        <f>IF($B885="","",ROUND((N($J885)+N($K885))*نسبة_القيمة_المضافة,2))</f>
        <v/>
      </c>
      <c r="M885" s="47" t="n"/>
      <c r="N885" s="47" t="n"/>
      <c r="O885" s="43">
        <f>IF($B885="","",N($J885)+N($K885)+N($L885)-N($M885)+N($N885))</f>
        <v/>
      </c>
      <c r="P885" s="47" t="n"/>
      <c r="Q885" s="43">
        <f>IF($B885="","",N($O885)-N($P885))</f>
        <v/>
      </c>
      <c r="R885" s="47" t="n"/>
      <c r="S885" s="47" t="n"/>
      <c r="T885" s="47" t="n"/>
      <c r="U885" s="43">
        <f>IF($B885="","",N($J885)-N($R885)-N($T885))</f>
        <v/>
      </c>
      <c r="V885" s="47" t="n"/>
    </row>
    <row r="886">
      <c r="A886" s="39">
        <f>IF($B886="","",COUNTA($B$4:$B886))</f>
        <v/>
      </c>
      <c r="B886" s="40" t="n"/>
      <c r="C886" s="41" t="n"/>
      <c r="D886" s="41" t="n"/>
      <c r="E886" s="41" t="n"/>
      <c r="F886" s="41" t="n"/>
      <c r="G886" s="41" t="n"/>
      <c r="H886" s="41" t="n"/>
      <c r="I886" s="50" t="n"/>
      <c r="J886" s="42" t="n"/>
      <c r="K886" s="42" t="n"/>
      <c r="L886" s="43">
        <f>IF($B886="","",ROUND((N($J886)+N($K886))*نسبة_القيمة_المضافة,2))</f>
        <v/>
      </c>
      <c r="M886" s="42" t="n"/>
      <c r="N886" s="42" t="n"/>
      <c r="O886" s="43">
        <f>IF($B886="","",N($J886)+N($K886)+N($L886)-N($M886)+N($N886))</f>
        <v/>
      </c>
      <c r="P886" s="42" t="n"/>
      <c r="Q886" s="43">
        <f>IF($B886="","",N($O886)-N($P886))</f>
        <v/>
      </c>
      <c r="R886" s="42" t="n"/>
      <c r="S886" s="42" t="n"/>
      <c r="T886" s="42" t="n"/>
      <c r="U886" s="43">
        <f>IF($B886="","",N($J886)-N($R886)-N($T886))</f>
        <v/>
      </c>
      <c r="V886" s="42" t="n"/>
    </row>
    <row r="887">
      <c r="A887" s="39">
        <f>IF($B887="","",COUNTA($B$4:$B887))</f>
        <v/>
      </c>
      <c r="B887" s="45" t="n"/>
      <c r="C887" s="46" t="n"/>
      <c r="D887" s="46" t="n"/>
      <c r="E887" s="46" t="n"/>
      <c r="F887" s="46" t="n"/>
      <c r="G887" s="46" t="n"/>
      <c r="H887" s="46" t="n"/>
      <c r="I887" s="51" t="n"/>
      <c r="J887" s="47" t="n"/>
      <c r="K887" s="47" t="n"/>
      <c r="L887" s="43">
        <f>IF($B887="","",ROUND((N($J887)+N($K887))*نسبة_القيمة_المضافة,2))</f>
        <v/>
      </c>
      <c r="M887" s="47" t="n"/>
      <c r="N887" s="47" t="n"/>
      <c r="O887" s="43">
        <f>IF($B887="","",N($J887)+N($K887)+N($L887)-N($M887)+N($N887))</f>
        <v/>
      </c>
      <c r="P887" s="47" t="n"/>
      <c r="Q887" s="43">
        <f>IF($B887="","",N($O887)-N($P887))</f>
        <v/>
      </c>
      <c r="R887" s="47" t="n"/>
      <c r="S887" s="47" t="n"/>
      <c r="T887" s="47" t="n"/>
      <c r="U887" s="43">
        <f>IF($B887="","",N($J887)-N($R887)-N($T887))</f>
        <v/>
      </c>
      <c r="V887" s="47" t="n"/>
    </row>
    <row r="888">
      <c r="A888" s="39">
        <f>IF($B888="","",COUNTA($B$4:$B888))</f>
        <v/>
      </c>
      <c r="B888" s="40" t="n"/>
      <c r="C888" s="41" t="n"/>
      <c r="D888" s="41" t="n"/>
      <c r="E888" s="41" t="n"/>
      <c r="F888" s="41" t="n"/>
      <c r="G888" s="41" t="n"/>
      <c r="H888" s="41" t="n"/>
      <c r="I888" s="50" t="n"/>
      <c r="J888" s="42" t="n"/>
      <c r="K888" s="42" t="n"/>
      <c r="L888" s="43">
        <f>IF($B888="","",ROUND((N($J888)+N($K888))*نسبة_القيمة_المضافة,2))</f>
        <v/>
      </c>
      <c r="M888" s="42" t="n"/>
      <c r="N888" s="42" t="n"/>
      <c r="O888" s="43">
        <f>IF($B888="","",N($J888)+N($K888)+N($L888)-N($M888)+N($N888))</f>
        <v/>
      </c>
      <c r="P888" s="42" t="n"/>
      <c r="Q888" s="43">
        <f>IF($B888="","",N($O888)-N($P888))</f>
        <v/>
      </c>
      <c r="R888" s="42" t="n"/>
      <c r="S888" s="42" t="n"/>
      <c r="T888" s="42" t="n"/>
      <c r="U888" s="43">
        <f>IF($B888="","",N($J888)-N($R888)-N($T888))</f>
        <v/>
      </c>
      <c r="V888" s="42" t="n"/>
    </row>
    <row r="889">
      <c r="A889" s="39">
        <f>IF($B889="","",COUNTA($B$4:$B889))</f>
        <v/>
      </c>
      <c r="B889" s="45" t="n"/>
      <c r="C889" s="46" t="n"/>
      <c r="D889" s="46" t="n"/>
      <c r="E889" s="46" t="n"/>
      <c r="F889" s="46" t="n"/>
      <c r="G889" s="46" t="n"/>
      <c r="H889" s="46" t="n"/>
      <c r="I889" s="51" t="n"/>
      <c r="J889" s="47" t="n"/>
      <c r="K889" s="47" t="n"/>
      <c r="L889" s="43">
        <f>IF($B889="","",ROUND((N($J889)+N($K889))*نسبة_القيمة_المضافة,2))</f>
        <v/>
      </c>
      <c r="M889" s="47" t="n"/>
      <c r="N889" s="47" t="n"/>
      <c r="O889" s="43">
        <f>IF($B889="","",N($J889)+N($K889)+N($L889)-N($M889)+N($N889))</f>
        <v/>
      </c>
      <c r="P889" s="47" t="n"/>
      <c r="Q889" s="43">
        <f>IF($B889="","",N($O889)-N($P889))</f>
        <v/>
      </c>
      <c r="R889" s="47" t="n"/>
      <c r="S889" s="47" t="n"/>
      <c r="T889" s="47" t="n"/>
      <c r="U889" s="43">
        <f>IF($B889="","",N($J889)-N($R889)-N($T889))</f>
        <v/>
      </c>
      <c r="V889" s="47" t="n"/>
    </row>
    <row r="890">
      <c r="A890" s="39">
        <f>IF($B890="","",COUNTA($B$4:$B890))</f>
        <v/>
      </c>
      <c r="B890" s="40" t="n"/>
      <c r="C890" s="41" t="n"/>
      <c r="D890" s="41" t="n"/>
      <c r="E890" s="41" t="n"/>
      <c r="F890" s="41" t="n"/>
      <c r="G890" s="41" t="n"/>
      <c r="H890" s="41" t="n"/>
      <c r="I890" s="50" t="n"/>
      <c r="J890" s="42" t="n"/>
      <c r="K890" s="42" t="n"/>
      <c r="L890" s="43">
        <f>IF($B890="","",ROUND((N($J890)+N($K890))*نسبة_القيمة_المضافة,2))</f>
        <v/>
      </c>
      <c r="M890" s="42" t="n"/>
      <c r="N890" s="42" t="n"/>
      <c r="O890" s="43">
        <f>IF($B890="","",N($J890)+N($K890)+N($L890)-N($M890)+N($N890))</f>
        <v/>
      </c>
      <c r="P890" s="42" t="n"/>
      <c r="Q890" s="43">
        <f>IF($B890="","",N($O890)-N($P890))</f>
        <v/>
      </c>
      <c r="R890" s="42" t="n"/>
      <c r="S890" s="42" t="n"/>
      <c r="T890" s="42" t="n"/>
      <c r="U890" s="43">
        <f>IF($B890="","",N($J890)-N($R890)-N($T890))</f>
        <v/>
      </c>
      <c r="V890" s="42" t="n"/>
    </row>
    <row r="891">
      <c r="A891" s="39">
        <f>IF($B891="","",COUNTA($B$4:$B891))</f>
        <v/>
      </c>
      <c r="B891" s="45" t="n"/>
      <c r="C891" s="46" t="n"/>
      <c r="D891" s="46" t="n"/>
      <c r="E891" s="46" t="n"/>
      <c r="F891" s="46" t="n"/>
      <c r="G891" s="46" t="n"/>
      <c r="H891" s="46" t="n"/>
      <c r="I891" s="51" t="n"/>
      <c r="J891" s="47" t="n"/>
      <c r="K891" s="47" t="n"/>
      <c r="L891" s="43">
        <f>IF($B891="","",ROUND((N($J891)+N($K891))*نسبة_القيمة_المضافة,2))</f>
        <v/>
      </c>
      <c r="M891" s="47" t="n"/>
      <c r="N891" s="47" t="n"/>
      <c r="O891" s="43">
        <f>IF($B891="","",N($J891)+N($K891)+N($L891)-N($M891)+N($N891))</f>
        <v/>
      </c>
      <c r="P891" s="47" t="n"/>
      <c r="Q891" s="43">
        <f>IF($B891="","",N($O891)-N($P891))</f>
        <v/>
      </c>
      <c r="R891" s="47" t="n"/>
      <c r="S891" s="47" t="n"/>
      <c r="T891" s="47" t="n"/>
      <c r="U891" s="43">
        <f>IF($B891="","",N($J891)-N($R891)-N($T891))</f>
        <v/>
      </c>
      <c r="V891" s="47" t="n"/>
    </row>
    <row r="892">
      <c r="A892" s="39">
        <f>IF($B892="","",COUNTA($B$4:$B892))</f>
        <v/>
      </c>
      <c r="B892" s="40" t="n"/>
      <c r="C892" s="41" t="n"/>
      <c r="D892" s="41" t="n"/>
      <c r="E892" s="41" t="n"/>
      <c r="F892" s="41" t="n"/>
      <c r="G892" s="41" t="n"/>
      <c r="H892" s="41" t="n"/>
      <c r="I892" s="50" t="n"/>
      <c r="J892" s="42" t="n"/>
      <c r="K892" s="42" t="n"/>
      <c r="L892" s="43">
        <f>IF($B892="","",ROUND((N($J892)+N($K892))*نسبة_القيمة_المضافة,2))</f>
        <v/>
      </c>
      <c r="M892" s="42" t="n"/>
      <c r="N892" s="42" t="n"/>
      <c r="O892" s="43">
        <f>IF($B892="","",N($J892)+N($K892)+N($L892)-N($M892)+N($N892))</f>
        <v/>
      </c>
      <c r="P892" s="42" t="n"/>
      <c r="Q892" s="43">
        <f>IF($B892="","",N($O892)-N($P892))</f>
        <v/>
      </c>
      <c r="R892" s="42" t="n"/>
      <c r="S892" s="42" t="n"/>
      <c r="T892" s="42" t="n"/>
      <c r="U892" s="43">
        <f>IF($B892="","",N($J892)-N($R892)-N($T892))</f>
        <v/>
      </c>
      <c r="V892" s="42" t="n"/>
    </row>
    <row r="893">
      <c r="A893" s="39">
        <f>IF($B893="","",COUNTA($B$4:$B893))</f>
        <v/>
      </c>
      <c r="B893" s="45" t="n"/>
      <c r="C893" s="46" t="n"/>
      <c r="D893" s="46" t="n"/>
      <c r="E893" s="46" t="n"/>
      <c r="F893" s="46" t="n"/>
      <c r="G893" s="46" t="n"/>
      <c r="H893" s="46" t="n"/>
      <c r="I893" s="51" t="n"/>
      <c r="J893" s="47" t="n"/>
      <c r="K893" s="47" t="n"/>
      <c r="L893" s="43">
        <f>IF($B893="","",ROUND((N($J893)+N($K893))*نسبة_القيمة_المضافة,2))</f>
        <v/>
      </c>
      <c r="M893" s="47" t="n"/>
      <c r="N893" s="47" t="n"/>
      <c r="O893" s="43">
        <f>IF($B893="","",N($J893)+N($K893)+N($L893)-N($M893)+N($N893))</f>
        <v/>
      </c>
      <c r="P893" s="47" t="n"/>
      <c r="Q893" s="43">
        <f>IF($B893="","",N($O893)-N($P893))</f>
        <v/>
      </c>
      <c r="R893" s="47" t="n"/>
      <c r="S893" s="47" t="n"/>
      <c r="T893" s="47" t="n"/>
      <c r="U893" s="43">
        <f>IF($B893="","",N($J893)-N($R893)-N($T893))</f>
        <v/>
      </c>
      <c r="V893" s="47" t="n"/>
    </row>
    <row r="894">
      <c r="A894" s="39">
        <f>IF($B894="","",COUNTA($B$4:$B894))</f>
        <v/>
      </c>
      <c r="B894" s="40" t="n"/>
      <c r="C894" s="41" t="n"/>
      <c r="D894" s="41" t="n"/>
      <c r="E894" s="41" t="n"/>
      <c r="F894" s="41" t="n"/>
      <c r="G894" s="41" t="n"/>
      <c r="H894" s="41" t="n"/>
      <c r="I894" s="50" t="n"/>
      <c r="J894" s="42" t="n"/>
      <c r="K894" s="42" t="n"/>
      <c r="L894" s="43">
        <f>IF($B894="","",ROUND((N($J894)+N($K894))*نسبة_القيمة_المضافة,2))</f>
        <v/>
      </c>
      <c r="M894" s="42" t="n"/>
      <c r="N894" s="42" t="n"/>
      <c r="O894" s="43">
        <f>IF($B894="","",N($J894)+N($K894)+N($L894)-N($M894)+N($N894))</f>
        <v/>
      </c>
      <c r="P894" s="42" t="n"/>
      <c r="Q894" s="43">
        <f>IF($B894="","",N($O894)-N($P894))</f>
        <v/>
      </c>
      <c r="R894" s="42" t="n"/>
      <c r="S894" s="42" t="n"/>
      <c r="T894" s="42" t="n"/>
      <c r="U894" s="43">
        <f>IF($B894="","",N($J894)-N($R894)-N($T894))</f>
        <v/>
      </c>
      <c r="V894" s="42" t="n"/>
    </row>
    <row r="895">
      <c r="A895" s="39">
        <f>IF($B895="","",COUNTA($B$4:$B895))</f>
        <v/>
      </c>
      <c r="B895" s="45" t="n"/>
      <c r="C895" s="46" t="n"/>
      <c r="D895" s="46" t="n"/>
      <c r="E895" s="46" t="n"/>
      <c r="F895" s="46" t="n"/>
      <c r="G895" s="46" t="n"/>
      <c r="H895" s="46" t="n"/>
      <c r="I895" s="51" t="n"/>
      <c r="J895" s="47" t="n"/>
      <c r="K895" s="47" t="n"/>
      <c r="L895" s="43">
        <f>IF($B895="","",ROUND((N($J895)+N($K895))*نسبة_القيمة_المضافة,2))</f>
        <v/>
      </c>
      <c r="M895" s="47" t="n"/>
      <c r="N895" s="47" t="n"/>
      <c r="O895" s="43">
        <f>IF($B895="","",N($J895)+N($K895)+N($L895)-N($M895)+N($N895))</f>
        <v/>
      </c>
      <c r="P895" s="47" t="n"/>
      <c r="Q895" s="43">
        <f>IF($B895="","",N($O895)-N($P895))</f>
        <v/>
      </c>
      <c r="R895" s="47" t="n"/>
      <c r="S895" s="47" t="n"/>
      <c r="T895" s="47" t="n"/>
      <c r="U895" s="43">
        <f>IF($B895="","",N($J895)-N($R895)-N($T895))</f>
        <v/>
      </c>
      <c r="V895" s="47" t="n"/>
    </row>
    <row r="896">
      <c r="A896" s="39">
        <f>IF($B896="","",COUNTA($B$4:$B896))</f>
        <v/>
      </c>
      <c r="B896" s="40" t="n"/>
      <c r="C896" s="41" t="n"/>
      <c r="D896" s="41" t="n"/>
      <c r="E896" s="41" t="n"/>
      <c r="F896" s="41" t="n"/>
      <c r="G896" s="41" t="n"/>
      <c r="H896" s="41" t="n"/>
      <c r="I896" s="50" t="n"/>
      <c r="J896" s="42" t="n"/>
      <c r="K896" s="42" t="n"/>
      <c r="L896" s="43">
        <f>IF($B896="","",ROUND((N($J896)+N($K896))*نسبة_القيمة_المضافة,2))</f>
        <v/>
      </c>
      <c r="M896" s="42" t="n"/>
      <c r="N896" s="42" t="n"/>
      <c r="O896" s="43">
        <f>IF($B896="","",N($J896)+N($K896)+N($L896)-N($M896)+N($N896))</f>
        <v/>
      </c>
      <c r="P896" s="42" t="n"/>
      <c r="Q896" s="43">
        <f>IF($B896="","",N($O896)-N($P896))</f>
        <v/>
      </c>
      <c r="R896" s="42" t="n"/>
      <c r="S896" s="42" t="n"/>
      <c r="T896" s="42" t="n"/>
      <c r="U896" s="43">
        <f>IF($B896="","",N($J896)-N($R896)-N($T896))</f>
        <v/>
      </c>
      <c r="V896" s="42" t="n"/>
    </row>
    <row r="897">
      <c r="A897" s="39">
        <f>IF($B897="","",COUNTA($B$4:$B897))</f>
        <v/>
      </c>
      <c r="B897" s="45" t="n"/>
      <c r="C897" s="46" t="n"/>
      <c r="D897" s="46" t="n"/>
      <c r="E897" s="46" t="n"/>
      <c r="F897" s="46" t="n"/>
      <c r="G897" s="46" t="n"/>
      <c r="H897" s="46" t="n"/>
      <c r="I897" s="51" t="n"/>
      <c r="J897" s="47" t="n"/>
      <c r="K897" s="47" t="n"/>
      <c r="L897" s="43">
        <f>IF($B897="","",ROUND((N($J897)+N($K897))*نسبة_القيمة_المضافة,2))</f>
        <v/>
      </c>
      <c r="M897" s="47" t="n"/>
      <c r="N897" s="47" t="n"/>
      <c r="O897" s="43">
        <f>IF($B897="","",N($J897)+N($K897)+N($L897)-N($M897)+N($N897))</f>
        <v/>
      </c>
      <c r="P897" s="47" t="n"/>
      <c r="Q897" s="43">
        <f>IF($B897="","",N($O897)-N($P897))</f>
        <v/>
      </c>
      <c r="R897" s="47" t="n"/>
      <c r="S897" s="47" t="n"/>
      <c r="T897" s="47" t="n"/>
      <c r="U897" s="43">
        <f>IF($B897="","",N($J897)-N($R897)-N($T897))</f>
        <v/>
      </c>
      <c r="V897" s="47" t="n"/>
    </row>
    <row r="898">
      <c r="A898" s="39">
        <f>IF($B898="","",COUNTA($B$4:$B898))</f>
        <v/>
      </c>
      <c r="B898" s="40" t="n"/>
      <c r="C898" s="41" t="n"/>
      <c r="D898" s="41" t="n"/>
      <c r="E898" s="41" t="n"/>
      <c r="F898" s="41" t="n"/>
      <c r="G898" s="41" t="n"/>
      <c r="H898" s="41" t="n"/>
      <c r="I898" s="50" t="n"/>
      <c r="J898" s="42" t="n"/>
      <c r="K898" s="42" t="n"/>
      <c r="L898" s="43">
        <f>IF($B898="","",ROUND((N($J898)+N($K898))*نسبة_القيمة_المضافة,2))</f>
        <v/>
      </c>
      <c r="M898" s="42" t="n"/>
      <c r="N898" s="42" t="n"/>
      <c r="O898" s="43">
        <f>IF($B898="","",N($J898)+N($K898)+N($L898)-N($M898)+N($N898))</f>
        <v/>
      </c>
      <c r="P898" s="42" t="n"/>
      <c r="Q898" s="43">
        <f>IF($B898="","",N($O898)-N($P898))</f>
        <v/>
      </c>
      <c r="R898" s="42" t="n"/>
      <c r="S898" s="42" t="n"/>
      <c r="T898" s="42" t="n"/>
      <c r="U898" s="43">
        <f>IF($B898="","",N($J898)-N($R898)-N($T898))</f>
        <v/>
      </c>
      <c r="V898" s="42" t="n"/>
    </row>
    <row r="899">
      <c r="A899" s="39">
        <f>IF($B899="","",COUNTA($B$4:$B899))</f>
        <v/>
      </c>
      <c r="B899" s="45" t="n"/>
      <c r="C899" s="46" t="n"/>
      <c r="D899" s="46" t="n"/>
      <c r="E899" s="46" t="n"/>
      <c r="F899" s="46" t="n"/>
      <c r="G899" s="46" t="n"/>
      <c r="H899" s="46" t="n"/>
      <c r="I899" s="51" t="n"/>
      <c r="J899" s="47" t="n"/>
      <c r="K899" s="47" t="n"/>
      <c r="L899" s="43">
        <f>IF($B899="","",ROUND((N($J899)+N($K899))*نسبة_القيمة_المضافة,2))</f>
        <v/>
      </c>
      <c r="M899" s="47" t="n"/>
      <c r="N899" s="47" t="n"/>
      <c r="O899" s="43">
        <f>IF($B899="","",N($J899)+N($K899)+N($L899)-N($M899)+N($N899))</f>
        <v/>
      </c>
      <c r="P899" s="47" t="n"/>
      <c r="Q899" s="43">
        <f>IF($B899="","",N($O899)-N($P899))</f>
        <v/>
      </c>
      <c r="R899" s="47" t="n"/>
      <c r="S899" s="47" t="n"/>
      <c r="T899" s="47" t="n"/>
      <c r="U899" s="43">
        <f>IF($B899="","",N($J899)-N($R899)-N($T899))</f>
        <v/>
      </c>
      <c r="V899" s="47" t="n"/>
    </row>
    <row r="900">
      <c r="A900" s="39">
        <f>IF($B900="","",COUNTA($B$4:$B900))</f>
        <v/>
      </c>
      <c r="B900" s="40" t="n"/>
      <c r="C900" s="41" t="n"/>
      <c r="D900" s="41" t="n"/>
      <c r="E900" s="41" t="n"/>
      <c r="F900" s="41" t="n"/>
      <c r="G900" s="41" t="n"/>
      <c r="H900" s="41" t="n"/>
      <c r="I900" s="50" t="n"/>
      <c r="J900" s="42" t="n"/>
      <c r="K900" s="42" t="n"/>
      <c r="L900" s="43">
        <f>IF($B900="","",ROUND((N($J900)+N($K900))*نسبة_القيمة_المضافة,2))</f>
        <v/>
      </c>
      <c r="M900" s="42" t="n"/>
      <c r="N900" s="42" t="n"/>
      <c r="O900" s="43">
        <f>IF($B900="","",N($J900)+N($K900)+N($L900)-N($M900)+N($N900))</f>
        <v/>
      </c>
      <c r="P900" s="42" t="n"/>
      <c r="Q900" s="43">
        <f>IF($B900="","",N($O900)-N($P900))</f>
        <v/>
      </c>
      <c r="R900" s="42" t="n"/>
      <c r="S900" s="42" t="n"/>
      <c r="T900" s="42" t="n"/>
      <c r="U900" s="43">
        <f>IF($B900="","",N($J900)-N($R900)-N($T900))</f>
        <v/>
      </c>
      <c r="V900" s="42" t="n"/>
    </row>
    <row r="901">
      <c r="A901" s="39">
        <f>IF($B901="","",COUNTA($B$4:$B901))</f>
        <v/>
      </c>
      <c r="B901" s="45" t="n"/>
      <c r="C901" s="46" t="n"/>
      <c r="D901" s="46" t="n"/>
      <c r="E901" s="46" t="n"/>
      <c r="F901" s="46" t="n"/>
      <c r="G901" s="46" t="n"/>
      <c r="H901" s="46" t="n"/>
      <c r="I901" s="51" t="n"/>
      <c r="J901" s="47" t="n"/>
      <c r="K901" s="47" t="n"/>
      <c r="L901" s="43">
        <f>IF($B901="","",ROUND((N($J901)+N($K901))*نسبة_القيمة_المضافة,2))</f>
        <v/>
      </c>
      <c r="M901" s="47" t="n"/>
      <c r="N901" s="47" t="n"/>
      <c r="O901" s="43">
        <f>IF($B901="","",N($J901)+N($K901)+N($L901)-N($M901)+N($N901))</f>
        <v/>
      </c>
      <c r="P901" s="47" t="n"/>
      <c r="Q901" s="43">
        <f>IF($B901="","",N($O901)-N($P901))</f>
        <v/>
      </c>
      <c r="R901" s="47" t="n"/>
      <c r="S901" s="47" t="n"/>
      <c r="T901" s="47" t="n"/>
      <c r="U901" s="43">
        <f>IF($B901="","",N($J901)-N($R901)-N($T901))</f>
        <v/>
      </c>
      <c r="V901" s="47" t="n"/>
    </row>
    <row r="902">
      <c r="A902" s="39">
        <f>IF($B902="","",COUNTA($B$4:$B902))</f>
        <v/>
      </c>
      <c r="B902" s="40" t="n"/>
      <c r="C902" s="41" t="n"/>
      <c r="D902" s="41" t="n"/>
      <c r="E902" s="41" t="n"/>
      <c r="F902" s="41" t="n"/>
      <c r="G902" s="41" t="n"/>
      <c r="H902" s="41" t="n"/>
      <c r="I902" s="50" t="n"/>
      <c r="J902" s="42" t="n"/>
      <c r="K902" s="42" t="n"/>
      <c r="L902" s="43">
        <f>IF($B902="","",ROUND((N($J902)+N($K902))*نسبة_القيمة_المضافة,2))</f>
        <v/>
      </c>
      <c r="M902" s="42" t="n"/>
      <c r="N902" s="42" t="n"/>
      <c r="O902" s="43">
        <f>IF($B902="","",N($J902)+N($K902)+N($L902)-N($M902)+N($N902))</f>
        <v/>
      </c>
      <c r="P902" s="42" t="n"/>
      <c r="Q902" s="43">
        <f>IF($B902="","",N($O902)-N($P902))</f>
        <v/>
      </c>
      <c r="R902" s="42" t="n"/>
      <c r="S902" s="42" t="n"/>
      <c r="T902" s="42" t="n"/>
      <c r="U902" s="43">
        <f>IF($B902="","",N($J902)-N($R902)-N($T902))</f>
        <v/>
      </c>
      <c r="V902" s="42" t="n"/>
    </row>
    <row r="903">
      <c r="A903" s="39">
        <f>IF($B903="","",COUNTA($B$4:$B903))</f>
        <v/>
      </c>
      <c r="B903" s="45" t="n"/>
      <c r="C903" s="46" t="n"/>
      <c r="D903" s="46" t="n"/>
      <c r="E903" s="46" t="n"/>
      <c r="F903" s="46" t="n"/>
      <c r="G903" s="46" t="n"/>
      <c r="H903" s="46" t="n"/>
      <c r="I903" s="51" t="n"/>
      <c r="J903" s="47" t="n"/>
      <c r="K903" s="47" t="n"/>
      <c r="L903" s="43">
        <f>IF($B903="","",ROUND((N($J903)+N($K903))*نسبة_القيمة_المضافة,2))</f>
        <v/>
      </c>
      <c r="M903" s="47" t="n"/>
      <c r="N903" s="47" t="n"/>
      <c r="O903" s="43">
        <f>IF($B903="","",N($J903)+N($K903)+N($L903)-N($M903)+N($N903))</f>
        <v/>
      </c>
      <c r="P903" s="47" t="n"/>
      <c r="Q903" s="43">
        <f>IF($B903="","",N($O903)-N($P903))</f>
        <v/>
      </c>
      <c r="R903" s="47" t="n"/>
      <c r="S903" s="47" t="n"/>
      <c r="T903" s="47" t="n"/>
      <c r="U903" s="43">
        <f>IF($B903="","",N($J903)-N($R903)-N($T903))</f>
        <v/>
      </c>
      <c r="V903" s="47" t="n"/>
    </row>
    <row r="904">
      <c r="A904" s="39">
        <f>IF($B904="","",COUNTA($B$4:$B904))</f>
        <v/>
      </c>
      <c r="B904" s="40" t="n"/>
      <c r="C904" s="41" t="n"/>
      <c r="D904" s="41" t="n"/>
      <c r="E904" s="41" t="n"/>
      <c r="F904" s="41" t="n"/>
      <c r="G904" s="41" t="n"/>
      <c r="H904" s="41" t="n"/>
      <c r="I904" s="50" t="n"/>
      <c r="J904" s="42" t="n"/>
      <c r="K904" s="42" t="n"/>
      <c r="L904" s="43">
        <f>IF($B904="","",ROUND((N($J904)+N($K904))*نسبة_القيمة_المضافة,2))</f>
        <v/>
      </c>
      <c r="M904" s="42" t="n"/>
      <c r="N904" s="42" t="n"/>
      <c r="O904" s="43">
        <f>IF($B904="","",N($J904)+N($K904)+N($L904)-N($M904)+N($N904))</f>
        <v/>
      </c>
      <c r="P904" s="42" t="n"/>
      <c r="Q904" s="43">
        <f>IF($B904="","",N($O904)-N($P904))</f>
        <v/>
      </c>
      <c r="R904" s="42" t="n"/>
      <c r="S904" s="42" t="n"/>
      <c r="T904" s="42" t="n"/>
      <c r="U904" s="43">
        <f>IF($B904="","",N($J904)-N($R904)-N($T904))</f>
        <v/>
      </c>
      <c r="V904" s="42" t="n"/>
    </row>
    <row r="905">
      <c r="A905" s="39">
        <f>IF($B905="","",COUNTA($B$4:$B905))</f>
        <v/>
      </c>
      <c r="B905" s="45" t="n"/>
      <c r="C905" s="46" t="n"/>
      <c r="D905" s="46" t="n"/>
      <c r="E905" s="46" t="n"/>
      <c r="F905" s="46" t="n"/>
      <c r="G905" s="46" t="n"/>
      <c r="H905" s="46" t="n"/>
      <c r="I905" s="51" t="n"/>
      <c r="J905" s="47" t="n"/>
      <c r="K905" s="47" t="n"/>
      <c r="L905" s="43">
        <f>IF($B905="","",ROUND((N($J905)+N($K905))*نسبة_القيمة_المضافة,2))</f>
        <v/>
      </c>
      <c r="M905" s="47" t="n"/>
      <c r="N905" s="47" t="n"/>
      <c r="O905" s="43">
        <f>IF($B905="","",N($J905)+N($K905)+N($L905)-N($M905)+N($N905))</f>
        <v/>
      </c>
      <c r="P905" s="47" t="n"/>
      <c r="Q905" s="43">
        <f>IF($B905="","",N($O905)-N($P905))</f>
        <v/>
      </c>
      <c r="R905" s="47" t="n"/>
      <c r="S905" s="47" t="n"/>
      <c r="T905" s="47" t="n"/>
      <c r="U905" s="43">
        <f>IF($B905="","",N($J905)-N($R905)-N($T905))</f>
        <v/>
      </c>
      <c r="V905" s="47" t="n"/>
    </row>
    <row r="906">
      <c r="A906" s="39">
        <f>IF($B906="","",COUNTA($B$4:$B906))</f>
        <v/>
      </c>
      <c r="B906" s="40" t="n"/>
      <c r="C906" s="41" t="n"/>
      <c r="D906" s="41" t="n"/>
      <c r="E906" s="41" t="n"/>
      <c r="F906" s="41" t="n"/>
      <c r="G906" s="41" t="n"/>
      <c r="H906" s="41" t="n"/>
      <c r="I906" s="50" t="n"/>
      <c r="J906" s="42" t="n"/>
      <c r="K906" s="42" t="n"/>
      <c r="L906" s="43">
        <f>IF($B906="","",ROUND((N($J906)+N($K906))*نسبة_القيمة_المضافة,2))</f>
        <v/>
      </c>
      <c r="M906" s="42" t="n"/>
      <c r="N906" s="42" t="n"/>
      <c r="O906" s="43">
        <f>IF($B906="","",N($J906)+N($K906)+N($L906)-N($M906)+N($N906))</f>
        <v/>
      </c>
      <c r="P906" s="42" t="n"/>
      <c r="Q906" s="43">
        <f>IF($B906="","",N($O906)-N($P906))</f>
        <v/>
      </c>
      <c r="R906" s="42" t="n"/>
      <c r="S906" s="42" t="n"/>
      <c r="T906" s="42" t="n"/>
      <c r="U906" s="43">
        <f>IF($B906="","",N($J906)-N($R906)-N($T906))</f>
        <v/>
      </c>
      <c r="V906" s="42" t="n"/>
    </row>
    <row r="907">
      <c r="A907" s="39">
        <f>IF($B907="","",COUNTA($B$4:$B907))</f>
        <v/>
      </c>
      <c r="B907" s="45" t="n"/>
      <c r="C907" s="46" t="n"/>
      <c r="D907" s="46" t="n"/>
      <c r="E907" s="46" t="n"/>
      <c r="F907" s="46" t="n"/>
      <c r="G907" s="46" t="n"/>
      <c r="H907" s="46" t="n"/>
      <c r="I907" s="51" t="n"/>
      <c r="J907" s="47" t="n"/>
      <c r="K907" s="47" t="n"/>
      <c r="L907" s="43">
        <f>IF($B907="","",ROUND((N($J907)+N($K907))*نسبة_القيمة_المضافة,2))</f>
        <v/>
      </c>
      <c r="M907" s="47" t="n"/>
      <c r="N907" s="47" t="n"/>
      <c r="O907" s="43">
        <f>IF($B907="","",N($J907)+N($K907)+N($L907)-N($M907)+N($N907))</f>
        <v/>
      </c>
      <c r="P907" s="47" t="n"/>
      <c r="Q907" s="43">
        <f>IF($B907="","",N($O907)-N($P907))</f>
        <v/>
      </c>
      <c r="R907" s="47" t="n"/>
      <c r="S907" s="47" t="n"/>
      <c r="T907" s="47" t="n"/>
      <c r="U907" s="43">
        <f>IF($B907="","",N($J907)-N($R907)-N($T907))</f>
        <v/>
      </c>
      <c r="V907" s="47" t="n"/>
    </row>
    <row r="908">
      <c r="A908" s="39">
        <f>IF($B908="","",COUNTA($B$4:$B908))</f>
        <v/>
      </c>
      <c r="B908" s="40" t="n"/>
      <c r="C908" s="41" t="n"/>
      <c r="D908" s="41" t="n"/>
      <c r="E908" s="41" t="n"/>
      <c r="F908" s="41" t="n"/>
      <c r="G908" s="41" t="n"/>
      <c r="H908" s="41" t="n"/>
      <c r="I908" s="50" t="n"/>
      <c r="J908" s="42" t="n"/>
      <c r="K908" s="42" t="n"/>
      <c r="L908" s="43">
        <f>IF($B908="","",ROUND((N($J908)+N($K908))*نسبة_القيمة_المضافة,2))</f>
        <v/>
      </c>
      <c r="M908" s="42" t="n"/>
      <c r="N908" s="42" t="n"/>
      <c r="O908" s="43">
        <f>IF($B908="","",N($J908)+N($K908)+N($L908)-N($M908)+N($N908))</f>
        <v/>
      </c>
      <c r="P908" s="42" t="n"/>
      <c r="Q908" s="43">
        <f>IF($B908="","",N($O908)-N($P908))</f>
        <v/>
      </c>
      <c r="R908" s="42" t="n"/>
      <c r="S908" s="42" t="n"/>
      <c r="T908" s="42" t="n"/>
      <c r="U908" s="43">
        <f>IF($B908="","",N($J908)-N($R908)-N($T908))</f>
        <v/>
      </c>
      <c r="V908" s="42" t="n"/>
    </row>
    <row r="909">
      <c r="A909" s="39">
        <f>IF($B909="","",COUNTA($B$4:$B909))</f>
        <v/>
      </c>
      <c r="B909" s="45" t="n"/>
      <c r="C909" s="46" t="n"/>
      <c r="D909" s="46" t="n"/>
      <c r="E909" s="46" t="n"/>
      <c r="F909" s="46" t="n"/>
      <c r="G909" s="46" t="n"/>
      <c r="H909" s="46" t="n"/>
      <c r="I909" s="51" t="n"/>
      <c r="J909" s="47" t="n"/>
      <c r="K909" s="47" t="n"/>
      <c r="L909" s="43">
        <f>IF($B909="","",ROUND((N($J909)+N($K909))*نسبة_القيمة_المضافة,2))</f>
        <v/>
      </c>
      <c r="M909" s="47" t="n"/>
      <c r="N909" s="47" t="n"/>
      <c r="O909" s="43">
        <f>IF($B909="","",N($J909)+N($K909)+N($L909)-N($M909)+N($N909))</f>
        <v/>
      </c>
      <c r="P909" s="47" t="n"/>
      <c r="Q909" s="43">
        <f>IF($B909="","",N($O909)-N($P909))</f>
        <v/>
      </c>
      <c r="R909" s="47" t="n"/>
      <c r="S909" s="47" t="n"/>
      <c r="T909" s="47" t="n"/>
      <c r="U909" s="43">
        <f>IF($B909="","",N($J909)-N($R909)-N($T909))</f>
        <v/>
      </c>
      <c r="V909" s="47" t="n"/>
    </row>
    <row r="910">
      <c r="A910" s="39">
        <f>IF($B910="","",COUNTA($B$4:$B910))</f>
        <v/>
      </c>
      <c r="B910" s="40" t="n"/>
      <c r="C910" s="41" t="n"/>
      <c r="D910" s="41" t="n"/>
      <c r="E910" s="41" t="n"/>
      <c r="F910" s="41" t="n"/>
      <c r="G910" s="41" t="n"/>
      <c r="H910" s="41" t="n"/>
      <c r="I910" s="50" t="n"/>
      <c r="J910" s="42" t="n"/>
      <c r="K910" s="42" t="n"/>
      <c r="L910" s="43">
        <f>IF($B910="","",ROUND((N($J910)+N($K910))*نسبة_القيمة_المضافة,2))</f>
        <v/>
      </c>
      <c r="M910" s="42" t="n"/>
      <c r="N910" s="42" t="n"/>
      <c r="O910" s="43">
        <f>IF($B910="","",N($J910)+N($K910)+N($L910)-N($M910)+N($N910))</f>
        <v/>
      </c>
      <c r="P910" s="42" t="n"/>
      <c r="Q910" s="43">
        <f>IF($B910="","",N($O910)-N($P910))</f>
        <v/>
      </c>
      <c r="R910" s="42" t="n"/>
      <c r="S910" s="42" t="n"/>
      <c r="T910" s="42" t="n"/>
      <c r="U910" s="43">
        <f>IF($B910="","",N($J910)-N($R910)-N($T910))</f>
        <v/>
      </c>
      <c r="V910" s="42" t="n"/>
    </row>
    <row r="911">
      <c r="A911" s="39">
        <f>IF($B911="","",COUNTA($B$4:$B911))</f>
        <v/>
      </c>
      <c r="B911" s="45" t="n"/>
      <c r="C911" s="46" t="n"/>
      <c r="D911" s="46" t="n"/>
      <c r="E911" s="46" t="n"/>
      <c r="F911" s="46" t="n"/>
      <c r="G911" s="46" t="n"/>
      <c r="H911" s="46" t="n"/>
      <c r="I911" s="51" t="n"/>
      <c r="J911" s="47" t="n"/>
      <c r="K911" s="47" t="n"/>
      <c r="L911" s="43">
        <f>IF($B911="","",ROUND((N($J911)+N($K911))*نسبة_القيمة_المضافة,2))</f>
        <v/>
      </c>
      <c r="M911" s="47" t="n"/>
      <c r="N911" s="47" t="n"/>
      <c r="O911" s="43">
        <f>IF($B911="","",N($J911)+N($K911)+N($L911)-N($M911)+N($N911))</f>
        <v/>
      </c>
      <c r="P911" s="47" t="n"/>
      <c r="Q911" s="43">
        <f>IF($B911="","",N($O911)-N($P911))</f>
        <v/>
      </c>
      <c r="R911" s="47" t="n"/>
      <c r="S911" s="47" t="n"/>
      <c r="T911" s="47" t="n"/>
      <c r="U911" s="43">
        <f>IF($B911="","",N($J911)-N($R911)-N($T911))</f>
        <v/>
      </c>
      <c r="V911" s="47" t="n"/>
    </row>
    <row r="912">
      <c r="A912" s="39">
        <f>IF($B912="","",COUNTA($B$4:$B912))</f>
        <v/>
      </c>
      <c r="B912" s="40" t="n"/>
      <c r="C912" s="41" t="n"/>
      <c r="D912" s="41" t="n"/>
      <c r="E912" s="41" t="n"/>
      <c r="F912" s="41" t="n"/>
      <c r="G912" s="41" t="n"/>
      <c r="H912" s="41" t="n"/>
      <c r="I912" s="50" t="n"/>
      <c r="J912" s="42" t="n"/>
      <c r="K912" s="42" t="n"/>
      <c r="L912" s="43">
        <f>IF($B912="","",ROUND((N($J912)+N($K912))*نسبة_القيمة_المضافة,2))</f>
        <v/>
      </c>
      <c r="M912" s="42" t="n"/>
      <c r="N912" s="42" t="n"/>
      <c r="O912" s="43">
        <f>IF($B912="","",N($J912)+N($K912)+N($L912)-N($M912)+N($N912))</f>
        <v/>
      </c>
      <c r="P912" s="42" t="n"/>
      <c r="Q912" s="43">
        <f>IF($B912="","",N($O912)-N($P912))</f>
        <v/>
      </c>
      <c r="R912" s="42" t="n"/>
      <c r="S912" s="42" t="n"/>
      <c r="T912" s="42" t="n"/>
      <c r="U912" s="43">
        <f>IF($B912="","",N($J912)-N($R912)-N($T912))</f>
        <v/>
      </c>
      <c r="V912" s="42" t="n"/>
    </row>
    <row r="913">
      <c r="A913" s="39">
        <f>IF($B913="","",COUNTA($B$4:$B913))</f>
        <v/>
      </c>
      <c r="B913" s="45" t="n"/>
      <c r="C913" s="46" t="n"/>
      <c r="D913" s="46" t="n"/>
      <c r="E913" s="46" t="n"/>
      <c r="F913" s="46" t="n"/>
      <c r="G913" s="46" t="n"/>
      <c r="H913" s="46" t="n"/>
      <c r="I913" s="51" t="n"/>
      <c r="J913" s="47" t="n"/>
      <c r="K913" s="47" t="n"/>
      <c r="L913" s="43">
        <f>IF($B913="","",ROUND((N($J913)+N($K913))*نسبة_القيمة_المضافة,2))</f>
        <v/>
      </c>
      <c r="M913" s="47" t="n"/>
      <c r="N913" s="47" t="n"/>
      <c r="O913" s="43">
        <f>IF($B913="","",N($J913)+N($K913)+N($L913)-N($M913)+N($N913))</f>
        <v/>
      </c>
      <c r="P913" s="47" t="n"/>
      <c r="Q913" s="43">
        <f>IF($B913="","",N($O913)-N($P913))</f>
        <v/>
      </c>
      <c r="R913" s="47" t="n"/>
      <c r="S913" s="47" t="n"/>
      <c r="T913" s="47" t="n"/>
      <c r="U913" s="43">
        <f>IF($B913="","",N($J913)-N($R913)-N($T913))</f>
        <v/>
      </c>
      <c r="V913" s="47" t="n"/>
    </row>
    <row r="914">
      <c r="A914" s="39">
        <f>IF($B914="","",COUNTA($B$4:$B914))</f>
        <v/>
      </c>
      <c r="B914" s="40" t="n"/>
      <c r="C914" s="41" t="n"/>
      <c r="D914" s="41" t="n"/>
      <c r="E914" s="41" t="n"/>
      <c r="F914" s="41" t="n"/>
      <c r="G914" s="41" t="n"/>
      <c r="H914" s="41" t="n"/>
      <c r="I914" s="50" t="n"/>
      <c r="J914" s="42" t="n"/>
      <c r="K914" s="42" t="n"/>
      <c r="L914" s="43">
        <f>IF($B914="","",ROUND((N($J914)+N($K914))*نسبة_القيمة_المضافة,2))</f>
        <v/>
      </c>
      <c r="M914" s="42" t="n"/>
      <c r="N914" s="42" t="n"/>
      <c r="O914" s="43">
        <f>IF($B914="","",N($J914)+N($K914)+N($L914)-N($M914)+N($N914))</f>
        <v/>
      </c>
      <c r="P914" s="42" t="n"/>
      <c r="Q914" s="43">
        <f>IF($B914="","",N($O914)-N($P914))</f>
        <v/>
      </c>
      <c r="R914" s="42" t="n"/>
      <c r="S914" s="42" t="n"/>
      <c r="T914" s="42" t="n"/>
      <c r="U914" s="43">
        <f>IF($B914="","",N($J914)-N($R914)-N($T914))</f>
        <v/>
      </c>
      <c r="V914" s="42" t="n"/>
    </row>
    <row r="915">
      <c r="A915" s="39">
        <f>IF($B915="","",COUNTA($B$4:$B915))</f>
        <v/>
      </c>
      <c r="B915" s="45" t="n"/>
      <c r="C915" s="46" t="n"/>
      <c r="D915" s="46" t="n"/>
      <c r="E915" s="46" t="n"/>
      <c r="F915" s="46" t="n"/>
      <c r="G915" s="46" t="n"/>
      <c r="H915" s="46" t="n"/>
      <c r="I915" s="51" t="n"/>
      <c r="J915" s="47" t="n"/>
      <c r="K915" s="47" t="n"/>
      <c r="L915" s="43">
        <f>IF($B915="","",ROUND((N($J915)+N($K915))*نسبة_القيمة_المضافة,2))</f>
        <v/>
      </c>
      <c r="M915" s="47" t="n"/>
      <c r="N915" s="47" t="n"/>
      <c r="O915" s="43">
        <f>IF($B915="","",N($J915)+N($K915)+N($L915)-N($M915)+N($N915))</f>
        <v/>
      </c>
      <c r="P915" s="47" t="n"/>
      <c r="Q915" s="43">
        <f>IF($B915="","",N($O915)-N($P915))</f>
        <v/>
      </c>
      <c r="R915" s="47" t="n"/>
      <c r="S915" s="47" t="n"/>
      <c r="T915" s="47" t="n"/>
      <c r="U915" s="43">
        <f>IF($B915="","",N($J915)-N($R915)-N($T915))</f>
        <v/>
      </c>
      <c r="V915" s="47" t="n"/>
    </row>
    <row r="916">
      <c r="A916" s="39">
        <f>IF($B916="","",COUNTA($B$4:$B916))</f>
        <v/>
      </c>
      <c r="B916" s="40" t="n"/>
      <c r="C916" s="41" t="n"/>
      <c r="D916" s="41" t="n"/>
      <c r="E916" s="41" t="n"/>
      <c r="F916" s="41" t="n"/>
      <c r="G916" s="41" t="n"/>
      <c r="H916" s="41" t="n"/>
      <c r="I916" s="50" t="n"/>
      <c r="J916" s="42" t="n"/>
      <c r="K916" s="42" t="n"/>
      <c r="L916" s="43">
        <f>IF($B916="","",ROUND((N($J916)+N($K916))*نسبة_القيمة_المضافة,2))</f>
        <v/>
      </c>
      <c r="M916" s="42" t="n"/>
      <c r="N916" s="42" t="n"/>
      <c r="O916" s="43">
        <f>IF($B916="","",N($J916)+N($K916)+N($L916)-N($M916)+N($N916))</f>
        <v/>
      </c>
      <c r="P916" s="42" t="n"/>
      <c r="Q916" s="43">
        <f>IF($B916="","",N($O916)-N($P916))</f>
        <v/>
      </c>
      <c r="R916" s="42" t="n"/>
      <c r="S916" s="42" t="n"/>
      <c r="T916" s="42" t="n"/>
      <c r="U916" s="43">
        <f>IF($B916="","",N($J916)-N($R916)-N($T916))</f>
        <v/>
      </c>
      <c r="V916" s="42" t="n"/>
    </row>
    <row r="917">
      <c r="A917" s="39">
        <f>IF($B917="","",COUNTA($B$4:$B917))</f>
        <v/>
      </c>
      <c r="B917" s="45" t="n"/>
      <c r="C917" s="46" t="n"/>
      <c r="D917" s="46" t="n"/>
      <c r="E917" s="46" t="n"/>
      <c r="F917" s="46" t="n"/>
      <c r="G917" s="46" t="n"/>
      <c r="H917" s="46" t="n"/>
      <c r="I917" s="51" t="n"/>
      <c r="J917" s="47" t="n"/>
      <c r="K917" s="47" t="n"/>
      <c r="L917" s="43">
        <f>IF($B917="","",ROUND((N($J917)+N($K917))*نسبة_القيمة_المضافة,2))</f>
        <v/>
      </c>
      <c r="M917" s="47" t="n"/>
      <c r="N917" s="47" t="n"/>
      <c r="O917" s="43">
        <f>IF($B917="","",N($J917)+N($K917)+N($L917)-N($M917)+N($N917))</f>
        <v/>
      </c>
      <c r="P917" s="47" t="n"/>
      <c r="Q917" s="43">
        <f>IF($B917="","",N($O917)-N($P917))</f>
        <v/>
      </c>
      <c r="R917" s="47" t="n"/>
      <c r="S917" s="47" t="n"/>
      <c r="T917" s="47" t="n"/>
      <c r="U917" s="43">
        <f>IF($B917="","",N($J917)-N($R917)-N($T917))</f>
        <v/>
      </c>
      <c r="V917" s="47" t="n"/>
    </row>
    <row r="918">
      <c r="A918" s="39">
        <f>IF($B918="","",COUNTA($B$4:$B918))</f>
        <v/>
      </c>
      <c r="B918" s="40" t="n"/>
      <c r="C918" s="41" t="n"/>
      <c r="D918" s="41" t="n"/>
      <c r="E918" s="41" t="n"/>
      <c r="F918" s="41" t="n"/>
      <c r="G918" s="41" t="n"/>
      <c r="H918" s="41" t="n"/>
      <c r="I918" s="50" t="n"/>
      <c r="J918" s="42" t="n"/>
      <c r="K918" s="42" t="n"/>
      <c r="L918" s="43">
        <f>IF($B918="","",ROUND((N($J918)+N($K918))*نسبة_القيمة_المضافة,2))</f>
        <v/>
      </c>
      <c r="M918" s="42" t="n"/>
      <c r="N918" s="42" t="n"/>
      <c r="O918" s="43">
        <f>IF($B918="","",N($J918)+N($K918)+N($L918)-N($M918)+N($N918))</f>
        <v/>
      </c>
      <c r="P918" s="42" t="n"/>
      <c r="Q918" s="43">
        <f>IF($B918="","",N($O918)-N($P918))</f>
        <v/>
      </c>
      <c r="R918" s="42" t="n"/>
      <c r="S918" s="42" t="n"/>
      <c r="T918" s="42" t="n"/>
      <c r="U918" s="43">
        <f>IF($B918="","",N($J918)-N($R918)-N($T918))</f>
        <v/>
      </c>
      <c r="V918" s="42" t="n"/>
    </row>
    <row r="919">
      <c r="A919" s="39">
        <f>IF($B919="","",COUNTA($B$4:$B919))</f>
        <v/>
      </c>
      <c r="B919" s="45" t="n"/>
      <c r="C919" s="46" t="n"/>
      <c r="D919" s="46" t="n"/>
      <c r="E919" s="46" t="n"/>
      <c r="F919" s="46" t="n"/>
      <c r="G919" s="46" t="n"/>
      <c r="H919" s="46" t="n"/>
      <c r="I919" s="51" t="n"/>
      <c r="J919" s="47" t="n"/>
      <c r="K919" s="47" t="n"/>
      <c r="L919" s="43">
        <f>IF($B919="","",ROUND((N($J919)+N($K919))*نسبة_القيمة_المضافة,2))</f>
        <v/>
      </c>
      <c r="M919" s="47" t="n"/>
      <c r="N919" s="47" t="n"/>
      <c r="O919" s="43">
        <f>IF($B919="","",N($J919)+N($K919)+N($L919)-N($M919)+N($N919))</f>
        <v/>
      </c>
      <c r="P919" s="47" t="n"/>
      <c r="Q919" s="43">
        <f>IF($B919="","",N($O919)-N($P919))</f>
        <v/>
      </c>
      <c r="R919" s="47" t="n"/>
      <c r="S919" s="47" t="n"/>
      <c r="T919" s="47" t="n"/>
      <c r="U919" s="43">
        <f>IF($B919="","",N($J919)-N($R919)-N($T919))</f>
        <v/>
      </c>
      <c r="V919" s="47" t="n"/>
    </row>
    <row r="920">
      <c r="A920" s="39">
        <f>IF($B920="","",COUNTA($B$4:$B920))</f>
        <v/>
      </c>
      <c r="B920" s="40" t="n"/>
      <c r="C920" s="41" t="n"/>
      <c r="D920" s="41" t="n"/>
      <c r="E920" s="41" t="n"/>
      <c r="F920" s="41" t="n"/>
      <c r="G920" s="41" t="n"/>
      <c r="H920" s="41" t="n"/>
      <c r="I920" s="50" t="n"/>
      <c r="J920" s="42" t="n"/>
      <c r="K920" s="42" t="n"/>
      <c r="L920" s="43">
        <f>IF($B920="","",ROUND((N($J920)+N($K920))*نسبة_القيمة_المضافة,2))</f>
        <v/>
      </c>
      <c r="M920" s="42" t="n"/>
      <c r="N920" s="42" t="n"/>
      <c r="O920" s="43">
        <f>IF($B920="","",N($J920)+N($K920)+N($L920)-N($M920)+N($N920))</f>
        <v/>
      </c>
      <c r="P920" s="42" t="n"/>
      <c r="Q920" s="43">
        <f>IF($B920="","",N($O920)-N($P920))</f>
        <v/>
      </c>
      <c r="R920" s="42" t="n"/>
      <c r="S920" s="42" t="n"/>
      <c r="T920" s="42" t="n"/>
      <c r="U920" s="43">
        <f>IF($B920="","",N($J920)-N($R920)-N($T920))</f>
        <v/>
      </c>
      <c r="V920" s="42" t="n"/>
    </row>
    <row r="921">
      <c r="A921" s="39">
        <f>IF($B921="","",COUNTA($B$4:$B921))</f>
        <v/>
      </c>
      <c r="B921" s="45" t="n"/>
      <c r="C921" s="46" t="n"/>
      <c r="D921" s="46" t="n"/>
      <c r="E921" s="46" t="n"/>
      <c r="F921" s="46" t="n"/>
      <c r="G921" s="46" t="n"/>
      <c r="H921" s="46" t="n"/>
      <c r="I921" s="51" t="n"/>
      <c r="J921" s="47" t="n"/>
      <c r="K921" s="47" t="n"/>
      <c r="L921" s="43">
        <f>IF($B921="","",ROUND((N($J921)+N($K921))*نسبة_القيمة_المضافة,2))</f>
        <v/>
      </c>
      <c r="M921" s="47" t="n"/>
      <c r="N921" s="47" t="n"/>
      <c r="O921" s="43">
        <f>IF($B921="","",N($J921)+N($K921)+N($L921)-N($M921)+N($N921))</f>
        <v/>
      </c>
      <c r="P921" s="47" t="n"/>
      <c r="Q921" s="43">
        <f>IF($B921="","",N($O921)-N($P921))</f>
        <v/>
      </c>
      <c r="R921" s="47" t="n"/>
      <c r="S921" s="47" t="n"/>
      <c r="T921" s="47" t="n"/>
      <c r="U921" s="43">
        <f>IF($B921="","",N($J921)-N($R921)-N($T921))</f>
        <v/>
      </c>
      <c r="V921" s="47" t="n"/>
    </row>
    <row r="922">
      <c r="A922" s="39">
        <f>IF($B922="","",COUNTA($B$4:$B922))</f>
        <v/>
      </c>
      <c r="B922" s="40" t="n"/>
      <c r="C922" s="41" t="n"/>
      <c r="D922" s="41" t="n"/>
      <c r="E922" s="41" t="n"/>
      <c r="F922" s="41" t="n"/>
      <c r="G922" s="41" t="n"/>
      <c r="H922" s="41" t="n"/>
      <c r="I922" s="50" t="n"/>
      <c r="J922" s="42" t="n"/>
      <c r="K922" s="42" t="n"/>
      <c r="L922" s="43">
        <f>IF($B922="","",ROUND((N($J922)+N($K922))*نسبة_القيمة_المضافة,2))</f>
        <v/>
      </c>
      <c r="M922" s="42" t="n"/>
      <c r="N922" s="42" t="n"/>
      <c r="O922" s="43">
        <f>IF($B922="","",N($J922)+N($K922)+N($L922)-N($M922)+N($N922))</f>
        <v/>
      </c>
      <c r="P922" s="42" t="n"/>
      <c r="Q922" s="43">
        <f>IF($B922="","",N($O922)-N($P922))</f>
        <v/>
      </c>
      <c r="R922" s="42" t="n"/>
      <c r="S922" s="42" t="n"/>
      <c r="T922" s="42" t="n"/>
      <c r="U922" s="43">
        <f>IF($B922="","",N($J922)-N($R922)-N($T922))</f>
        <v/>
      </c>
      <c r="V922" s="42" t="n"/>
    </row>
    <row r="923">
      <c r="A923" s="39">
        <f>IF($B923="","",COUNTA($B$4:$B923))</f>
        <v/>
      </c>
      <c r="B923" s="45" t="n"/>
      <c r="C923" s="46" t="n"/>
      <c r="D923" s="46" t="n"/>
      <c r="E923" s="46" t="n"/>
      <c r="F923" s="46" t="n"/>
      <c r="G923" s="46" t="n"/>
      <c r="H923" s="46" t="n"/>
      <c r="I923" s="51" t="n"/>
      <c r="J923" s="47" t="n"/>
      <c r="K923" s="47" t="n"/>
      <c r="L923" s="43">
        <f>IF($B923="","",ROUND((N($J923)+N($K923))*نسبة_القيمة_المضافة,2))</f>
        <v/>
      </c>
      <c r="M923" s="47" t="n"/>
      <c r="N923" s="47" t="n"/>
      <c r="O923" s="43">
        <f>IF($B923="","",N($J923)+N($K923)+N($L923)-N($M923)+N($N923))</f>
        <v/>
      </c>
      <c r="P923" s="47" t="n"/>
      <c r="Q923" s="43">
        <f>IF($B923="","",N($O923)-N($P923))</f>
        <v/>
      </c>
      <c r="R923" s="47" t="n"/>
      <c r="S923" s="47" t="n"/>
      <c r="T923" s="47" t="n"/>
      <c r="U923" s="43">
        <f>IF($B923="","",N($J923)-N($R923)-N($T923))</f>
        <v/>
      </c>
      <c r="V923" s="47" t="n"/>
    </row>
    <row r="924">
      <c r="A924" s="39">
        <f>IF($B924="","",COUNTA($B$4:$B924))</f>
        <v/>
      </c>
      <c r="B924" s="40" t="n"/>
      <c r="C924" s="41" t="n"/>
      <c r="D924" s="41" t="n"/>
      <c r="E924" s="41" t="n"/>
      <c r="F924" s="41" t="n"/>
      <c r="G924" s="41" t="n"/>
      <c r="H924" s="41" t="n"/>
      <c r="I924" s="50" t="n"/>
      <c r="J924" s="42" t="n"/>
      <c r="K924" s="42" t="n"/>
      <c r="L924" s="43">
        <f>IF($B924="","",ROUND((N($J924)+N($K924))*نسبة_القيمة_المضافة,2))</f>
        <v/>
      </c>
      <c r="M924" s="42" t="n"/>
      <c r="N924" s="42" t="n"/>
      <c r="O924" s="43">
        <f>IF($B924="","",N($J924)+N($K924)+N($L924)-N($M924)+N($N924))</f>
        <v/>
      </c>
      <c r="P924" s="42" t="n"/>
      <c r="Q924" s="43">
        <f>IF($B924="","",N($O924)-N($P924))</f>
        <v/>
      </c>
      <c r="R924" s="42" t="n"/>
      <c r="S924" s="42" t="n"/>
      <c r="T924" s="42" t="n"/>
      <c r="U924" s="43">
        <f>IF($B924="","",N($J924)-N($R924)-N($T924))</f>
        <v/>
      </c>
      <c r="V924" s="42" t="n"/>
    </row>
    <row r="925">
      <c r="A925" s="39">
        <f>IF($B925="","",COUNTA($B$4:$B925))</f>
        <v/>
      </c>
      <c r="B925" s="45" t="n"/>
      <c r="C925" s="46" t="n"/>
      <c r="D925" s="46" t="n"/>
      <c r="E925" s="46" t="n"/>
      <c r="F925" s="46" t="n"/>
      <c r="G925" s="46" t="n"/>
      <c r="H925" s="46" t="n"/>
      <c r="I925" s="51" t="n"/>
      <c r="J925" s="47" t="n"/>
      <c r="K925" s="47" t="n"/>
      <c r="L925" s="43">
        <f>IF($B925="","",ROUND((N($J925)+N($K925))*نسبة_القيمة_المضافة,2))</f>
        <v/>
      </c>
      <c r="M925" s="47" t="n"/>
      <c r="N925" s="47" t="n"/>
      <c r="O925" s="43">
        <f>IF($B925="","",N($J925)+N($K925)+N($L925)-N($M925)+N($N925))</f>
        <v/>
      </c>
      <c r="P925" s="47" t="n"/>
      <c r="Q925" s="43">
        <f>IF($B925="","",N($O925)-N($P925))</f>
        <v/>
      </c>
      <c r="R925" s="47" t="n"/>
      <c r="S925" s="47" t="n"/>
      <c r="T925" s="47" t="n"/>
      <c r="U925" s="43">
        <f>IF($B925="","",N($J925)-N($R925)-N($T925))</f>
        <v/>
      </c>
      <c r="V925" s="47" t="n"/>
    </row>
    <row r="926">
      <c r="A926" s="39">
        <f>IF($B926="","",COUNTA($B$4:$B926))</f>
        <v/>
      </c>
      <c r="B926" s="40" t="n"/>
      <c r="C926" s="41" t="n"/>
      <c r="D926" s="41" t="n"/>
      <c r="E926" s="41" t="n"/>
      <c r="F926" s="41" t="n"/>
      <c r="G926" s="41" t="n"/>
      <c r="H926" s="41" t="n"/>
      <c r="I926" s="50" t="n"/>
      <c r="J926" s="42" t="n"/>
      <c r="K926" s="42" t="n"/>
      <c r="L926" s="43">
        <f>IF($B926="","",ROUND((N($J926)+N($K926))*نسبة_القيمة_المضافة,2))</f>
        <v/>
      </c>
      <c r="M926" s="42" t="n"/>
      <c r="N926" s="42" t="n"/>
      <c r="O926" s="43">
        <f>IF($B926="","",N($J926)+N($K926)+N($L926)-N($M926)+N($N926))</f>
        <v/>
      </c>
      <c r="P926" s="42" t="n"/>
      <c r="Q926" s="43">
        <f>IF($B926="","",N($O926)-N($P926))</f>
        <v/>
      </c>
      <c r="R926" s="42" t="n"/>
      <c r="S926" s="42" t="n"/>
      <c r="T926" s="42" t="n"/>
      <c r="U926" s="43">
        <f>IF($B926="","",N($J926)-N($R926)-N($T926))</f>
        <v/>
      </c>
      <c r="V926" s="42" t="n"/>
    </row>
    <row r="927">
      <c r="A927" s="39">
        <f>IF($B927="","",COUNTA($B$4:$B927))</f>
        <v/>
      </c>
      <c r="B927" s="45" t="n"/>
      <c r="C927" s="46" t="n"/>
      <c r="D927" s="46" t="n"/>
      <c r="E927" s="46" t="n"/>
      <c r="F927" s="46" t="n"/>
      <c r="G927" s="46" t="n"/>
      <c r="H927" s="46" t="n"/>
      <c r="I927" s="51" t="n"/>
      <c r="J927" s="47" t="n"/>
      <c r="K927" s="47" t="n"/>
      <c r="L927" s="43">
        <f>IF($B927="","",ROUND((N($J927)+N($K927))*نسبة_القيمة_المضافة,2))</f>
        <v/>
      </c>
      <c r="M927" s="47" t="n"/>
      <c r="N927" s="47" t="n"/>
      <c r="O927" s="43">
        <f>IF($B927="","",N($J927)+N($K927)+N($L927)-N($M927)+N($N927))</f>
        <v/>
      </c>
      <c r="P927" s="47" t="n"/>
      <c r="Q927" s="43">
        <f>IF($B927="","",N($O927)-N($P927))</f>
        <v/>
      </c>
      <c r="R927" s="47" t="n"/>
      <c r="S927" s="47" t="n"/>
      <c r="T927" s="47" t="n"/>
      <c r="U927" s="43">
        <f>IF($B927="","",N($J927)-N($R927)-N($T927))</f>
        <v/>
      </c>
      <c r="V927" s="47" t="n"/>
    </row>
    <row r="928">
      <c r="A928" s="39">
        <f>IF($B928="","",COUNTA($B$4:$B928))</f>
        <v/>
      </c>
      <c r="B928" s="40" t="n"/>
      <c r="C928" s="41" t="n"/>
      <c r="D928" s="41" t="n"/>
      <c r="E928" s="41" t="n"/>
      <c r="F928" s="41" t="n"/>
      <c r="G928" s="41" t="n"/>
      <c r="H928" s="41" t="n"/>
      <c r="I928" s="50" t="n"/>
      <c r="J928" s="42" t="n"/>
      <c r="K928" s="42" t="n"/>
      <c r="L928" s="43">
        <f>IF($B928="","",ROUND((N($J928)+N($K928))*نسبة_القيمة_المضافة,2))</f>
        <v/>
      </c>
      <c r="M928" s="42" t="n"/>
      <c r="N928" s="42" t="n"/>
      <c r="O928" s="43">
        <f>IF($B928="","",N($J928)+N($K928)+N($L928)-N($M928)+N($N928))</f>
        <v/>
      </c>
      <c r="P928" s="42" t="n"/>
      <c r="Q928" s="43">
        <f>IF($B928="","",N($O928)-N($P928))</f>
        <v/>
      </c>
      <c r="R928" s="42" t="n"/>
      <c r="S928" s="42" t="n"/>
      <c r="T928" s="42" t="n"/>
      <c r="U928" s="43">
        <f>IF($B928="","",N($J928)-N($R928)-N($T928))</f>
        <v/>
      </c>
      <c r="V928" s="42" t="n"/>
    </row>
    <row r="929">
      <c r="A929" s="39">
        <f>IF($B929="","",COUNTA($B$4:$B929))</f>
        <v/>
      </c>
      <c r="B929" s="45" t="n"/>
      <c r="C929" s="46" t="n"/>
      <c r="D929" s="46" t="n"/>
      <c r="E929" s="46" t="n"/>
      <c r="F929" s="46" t="n"/>
      <c r="G929" s="46" t="n"/>
      <c r="H929" s="46" t="n"/>
      <c r="I929" s="51" t="n"/>
      <c r="J929" s="47" t="n"/>
      <c r="K929" s="47" t="n"/>
      <c r="L929" s="43">
        <f>IF($B929="","",ROUND((N($J929)+N($K929))*نسبة_القيمة_المضافة,2))</f>
        <v/>
      </c>
      <c r="M929" s="47" t="n"/>
      <c r="N929" s="47" t="n"/>
      <c r="O929" s="43">
        <f>IF($B929="","",N($J929)+N($K929)+N($L929)-N($M929)+N($N929))</f>
        <v/>
      </c>
      <c r="P929" s="47" t="n"/>
      <c r="Q929" s="43">
        <f>IF($B929="","",N($O929)-N($P929))</f>
        <v/>
      </c>
      <c r="R929" s="47" t="n"/>
      <c r="S929" s="47" t="n"/>
      <c r="T929" s="47" t="n"/>
      <c r="U929" s="43">
        <f>IF($B929="","",N($J929)-N($R929)-N($T929))</f>
        <v/>
      </c>
      <c r="V929" s="47" t="n"/>
    </row>
    <row r="930">
      <c r="A930" s="39">
        <f>IF($B930="","",COUNTA($B$4:$B930))</f>
        <v/>
      </c>
      <c r="B930" s="40" t="n"/>
      <c r="C930" s="41" t="n"/>
      <c r="D930" s="41" t="n"/>
      <c r="E930" s="41" t="n"/>
      <c r="F930" s="41" t="n"/>
      <c r="G930" s="41" t="n"/>
      <c r="H930" s="41" t="n"/>
      <c r="I930" s="50" t="n"/>
      <c r="J930" s="42" t="n"/>
      <c r="K930" s="42" t="n"/>
      <c r="L930" s="43">
        <f>IF($B930="","",ROUND((N($J930)+N($K930))*نسبة_القيمة_المضافة,2))</f>
        <v/>
      </c>
      <c r="M930" s="42" t="n"/>
      <c r="N930" s="42" t="n"/>
      <c r="O930" s="43">
        <f>IF($B930="","",N($J930)+N($K930)+N($L930)-N($M930)+N($N930))</f>
        <v/>
      </c>
      <c r="P930" s="42" t="n"/>
      <c r="Q930" s="43">
        <f>IF($B930="","",N($O930)-N($P930))</f>
        <v/>
      </c>
      <c r="R930" s="42" t="n"/>
      <c r="S930" s="42" t="n"/>
      <c r="T930" s="42" t="n"/>
      <c r="U930" s="43">
        <f>IF($B930="","",N($J930)-N($R930)-N($T930))</f>
        <v/>
      </c>
      <c r="V930" s="42" t="n"/>
    </row>
    <row r="931">
      <c r="A931" s="39">
        <f>IF($B931="","",COUNTA($B$4:$B931))</f>
        <v/>
      </c>
      <c r="B931" s="45" t="n"/>
      <c r="C931" s="46" t="n"/>
      <c r="D931" s="46" t="n"/>
      <c r="E931" s="46" t="n"/>
      <c r="F931" s="46" t="n"/>
      <c r="G931" s="46" t="n"/>
      <c r="H931" s="46" t="n"/>
      <c r="I931" s="51" t="n"/>
      <c r="J931" s="47" t="n"/>
      <c r="K931" s="47" t="n"/>
      <c r="L931" s="43">
        <f>IF($B931="","",ROUND((N($J931)+N($K931))*نسبة_القيمة_المضافة,2))</f>
        <v/>
      </c>
      <c r="M931" s="47" t="n"/>
      <c r="N931" s="47" t="n"/>
      <c r="O931" s="43">
        <f>IF($B931="","",N($J931)+N($K931)+N($L931)-N($M931)+N($N931))</f>
        <v/>
      </c>
      <c r="P931" s="47" t="n"/>
      <c r="Q931" s="43">
        <f>IF($B931="","",N($O931)-N($P931))</f>
        <v/>
      </c>
      <c r="R931" s="47" t="n"/>
      <c r="S931" s="47" t="n"/>
      <c r="T931" s="47" t="n"/>
      <c r="U931" s="43">
        <f>IF($B931="","",N($J931)-N($R931)-N($T931))</f>
        <v/>
      </c>
      <c r="V931" s="47" t="n"/>
    </row>
    <row r="932">
      <c r="A932" s="39">
        <f>IF($B932="","",COUNTA($B$4:$B932))</f>
        <v/>
      </c>
      <c r="B932" s="40" t="n"/>
      <c r="C932" s="41" t="n"/>
      <c r="D932" s="41" t="n"/>
      <c r="E932" s="41" t="n"/>
      <c r="F932" s="41" t="n"/>
      <c r="G932" s="41" t="n"/>
      <c r="H932" s="41" t="n"/>
      <c r="I932" s="50" t="n"/>
      <c r="J932" s="42" t="n"/>
      <c r="K932" s="42" t="n"/>
      <c r="L932" s="43">
        <f>IF($B932="","",ROUND((N($J932)+N($K932))*نسبة_القيمة_المضافة,2))</f>
        <v/>
      </c>
      <c r="M932" s="42" t="n"/>
      <c r="N932" s="42" t="n"/>
      <c r="O932" s="43">
        <f>IF($B932="","",N($J932)+N($K932)+N($L932)-N($M932)+N($N932))</f>
        <v/>
      </c>
      <c r="P932" s="42" t="n"/>
      <c r="Q932" s="43">
        <f>IF($B932="","",N($O932)-N($P932))</f>
        <v/>
      </c>
      <c r="R932" s="42" t="n"/>
      <c r="S932" s="42" t="n"/>
      <c r="T932" s="42" t="n"/>
      <c r="U932" s="43">
        <f>IF($B932="","",N($J932)-N($R932)-N($T932))</f>
        <v/>
      </c>
      <c r="V932" s="42" t="n"/>
    </row>
    <row r="933">
      <c r="A933" s="39">
        <f>IF($B933="","",COUNTA($B$4:$B933))</f>
        <v/>
      </c>
      <c r="B933" s="45" t="n"/>
      <c r="C933" s="46" t="n"/>
      <c r="D933" s="46" t="n"/>
      <c r="E933" s="46" t="n"/>
      <c r="F933" s="46" t="n"/>
      <c r="G933" s="46" t="n"/>
      <c r="H933" s="46" t="n"/>
      <c r="I933" s="51" t="n"/>
      <c r="J933" s="47" t="n"/>
      <c r="K933" s="47" t="n"/>
      <c r="L933" s="43">
        <f>IF($B933="","",ROUND((N($J933)+N($K933))*نسبة_القيمة_المضافة,2))</f>
        <v/>
      </c>
      <c r="M933" s="47" t="n"/>
      <c r="N933" s="47" t="n"/>
      <c r="O933" s="43">
        <f>IF($B933="","",N($J933)+N($K933)+N($L933)-N($M933)+N($N933))</f>
        <v/>
      </c>
      <c r="P933" s="47" t="n"/>
      <c r="Q933" s="43">
        <f>IF($B933="","",N($O933)-N($P933))</f>
        <v/>
      </c>
      <c r="R933" s="47" t="n"/>
      <c r="S933" s="47" t="n"/>
      <c r="T933" s="47" t="n"/>
      <c r="U933" s="43">
        <f>IF($B933="","",N($J933)-N($R933)-N($T933))</f>
        <v/>
      </c>
      <c r="V933" s="47" t="n"/>
    </row>
    <row r="934">
      <c r="A934" s="39">
        <f>IF($B934="","",COUNTA($B$4:$B934))</f>
        <v/>
      </c>
      <c r="B934" s="40" t="n"/>
      <c r="C934" s="41" t="n"/>
      <c r="D934" s="41" t="n"/>
      <c r="E934" s="41" t="n"/>
      <c r="F934" s="41" t="n"/>
      <c r="G934" s="41" t="n"/>
      <c r="H934" s="41" t="n"/>
      <c r="I934" s="50" t="n"/>
      <c r="J934" s="42" t="n"/>
      <c r="K934" s="42" t="n"/>
      <c r="L934" s="43">
        <f>IF($B934="","",ROUND((N($J934)+N($K934))*نسبة_القيمة_المضافة,2))</f>
        <v/>
      </c>
      <c r="M934" s="42" t="n"/>
      <c r="N934" s="42" t="n"/>
      <c r="O934" s="43">
        <f>IF($B934="","",N($J934)+N($K934)+N($L934)-N($M934)+N($N934))</f>
        <v/>
      </c>
      <c r="P934" s="42" t="n"/>
      <c r="Q934" s="43">
        <f>IF($B934="","",N($O934)-N($P934))</f>
        <v/>
      </c>
      <c r="R934" s="42" t="n"/>
      <c r="S934" s="42" t="n"/>
      <c r="T934" s="42" t="n"/>
      <c r="U934" s="43">
        <f>IF($B934="","",N($J934)-N($R934)-N($T934))</f>
        <v/>
      </c>
      <c r="V934" s="42" t="n"/>
    </row>
    <row r="935">
      <c r="A935" s="39">
        <f>IF($B935="","",COUNTA($B$4:$B935))</f>
        <v/>
      </c>
      <c r="B935" s="45" t="n"/>
      <c r="C935" s="46" t="n"/>
      <c r="D935" s="46" t="n"/>
      <c r="E935" s="46" t="n"/>
      <c r="F935" s="46" t="n"/>
      <c r="G935" s="46" t="n"/>
      <c r="H935" s="46" t="n"/>
      <c r="I935" s="51" t="n"/>
      <c r="J935" s="47" t="n"/>
      <c r="K935" s="47" t="n"/>
      <c r="L935" s="43">
        <f>IF($B935="","",ROUND((N($J935)+N($K935))*نسبة_القيمة_المضافة,2))</f>
        <v/>
      </c>
      <c r="M935" s="47" t="n"/>
      <c r="N935" s="47" t="n"/>
      <c r="O935" s="43">
        <f>IF($B935="","",N($J935)+N($K935)+N($L935)-N($M935)+N($N935))</f>
        <v/>
      </c>
      <c r="P935" s="47" t="n"/>
      <c r="Q935" s="43">
        <f>IF($B935="","",N($O935)-N($P935))</f>
        <v/>
      </c>
      <c r="R935" s="47" t="n"/>
      <c r="S935" s="47" t="n"/>
      <c r="T935" s="47" t="n"/>
      <c r="U935" s="43">
        <f>IF($B935="","",N($J935)-N($R935)-N($T935))</f>
        <v/>
      </c>
      <c r="V935" s="47" t="n"/>
    </row>
    <row r="936">
      <c r="A936" s="39">
        <f>IF($B936="","",COUNTA($B$4:$B936))</f>
        <v/>
      </c>
      <c r="B936" s="40" t="n"/>
      <c r="C936" s="41" t="n"/>
      <c r="D936" s="41" t="n"/>
      <c r="E936" s="41" t="n"/>
      <c r="F936" s="41" t="n"/>
      <c r="G936" s="41" t="n"/>
      <c r="H936" s="41" t="n"/>
      <c r="I936" s="50" t="n"/>
      <c r="J936" s="42" t="n"/>
      <c r="K936" s="42" t="n"/>
      <c r="L936" s="43">
        <f>IF($B936="","",ROUND((N($J936)+N($K936))*نسبة_القيمة_المضافة,2))</f>
        <v/>
      </c>
      <c r="M936" s="42" t="n"/>
      <c r="N936" s="42" t="n"/>
      <c r="O936" s="43">
        <f>IF($B936="","",N($J936)+N($K936)+N($L936)-N($M936)+N($N936))</f>
        <v/>
      </c>
      <c r="P936" s="42" t="n"/>
      <c r="Q936" s="43">
        <f>IF($B936="","",N($O936)-N($P936))</f>
        <v/>
      </c>
      <c r="R936" s="42" t="n"/>
      <c r="S936" s="42" t="n"/>
      <c r="T936" s="42" t="n"/>
      <c r="U936" s="43">
        <f>IF($B936="","",N($J936)-N($R936)-N($T936))</f>
        <v/>
      </c>
      <c r="V936" s="42" t="n"/>
    </row>
    <row r="937">
      <c r="A937" s="39">
        <f>IF($B937="","",COUNTA($B$4:$B937))</f>
        <v/>
      </c>
      <c r="B937" s="45" t="n"/>
      <c r="C937" s="46" t="n"/>
      <c r="D937" s="46" t="n"/>
      <c r="E937" s="46" t="n"/>
      <c r="F937" s="46" t="n"/>
      <c r="G937" s="46" t="n"/>
      <c r="H937" s="46" t="n"/>
      <c r="I937" s="51" t="n"/>
      <c r="J937" s="47" t="n"/>
      <c r="K937" s="47" t="n"/>
      <c r="L937" s="43">
        <f>IF($B937="","",ROUND((N($J937)+N($K937))*نسبة_القيمة_المضافة,2))</f>
        <v/>
      </c>
      <c r="M937" s="47" t="n"/>
      <c r="N937" s="47" t="n"/>
      <c r="O937" s="43">
        <f>IF($B937="","",N($J937)+N($K937)+N($L937)-N($M937)+N($N937))</f>
        <v/>
      </c>
      <c r="P937" s="47" t="n"/>
      <c r="Q937" s="43">
        <f>IF($B937="","",N($O937)-N($P937))</f>
        <v/>
      </c>
      <c r="R937" s="47" t="n"/>
      <c r="S937" s="47" t="n"/>
      <c r="T937" s="47" t="n"/>
      <c r="U937" s="43">
        <f>IF($B937="","",N($J937)-N($R937)-N($T937))</f>
        <v/>
      </c>
      <c r="V937" s="47" t="n"/>
    </row>
    <row r="938">
      <c r="A938" s="39">
        <f>IF($B938="","",COUNTA($B$4:$B938))</f>
        <v/>
      </c>
      <c r="B938" s="40" t="n"/>
      <c r="C938" s="41" t="n"/>
      <c r="D938" s="41" t="n"/>
      <c r="E938" s="41" t="n"/>
      <c r="F938" s="41" t="n"/>
      <c r="G938" s="41" t="n"/>
      <c r="H938" s="41" t="n"/>
      <c r="I938" s="50" t="n"/>
      <c r="J938" s="42" t="n"/>
      <c r="K938" s="42" t="n"/>
      <c r="L938" s="43">
        <f>IF($B938="","",ROUND((N($J938)+N($K938))*نسبة_القيمة_المضافة,2))</f>
        <v/>
      </c>
      <c r="M938" s="42" t="n"/>
      <c r="N938" s="42" t="n"/>
      <c r="O938" s="43">
        <f>IF($B938="","",N($J938)+N($K938)+N($L938)-N($M938)+N($N938))</f>
        <v/>
      </c>
      <c r="P938" s="42" t="n"/>
      <c r="Q938" s="43">
        <f>IF($B938="","",N($O938)-N($P938))</f>
        <v/>
      </c>
      <c r="R938" s="42" t="n"/>
      <c r="S938" s="42" t="n"/>
      <c r="T938" s="42" t="n"/>
      <c r="U938" s="43">
        <f>IF($B938="","",N($J938)-N($R938)-N($T938))</f>
        <v/>
      </c>
      <c r="V938" s="42" t="n"/>
    </row>
    <row r="939">
      <c r="A939" s="39">
        <f>IF($B939="","",COUNTA($B$4:$B939))</f>
        <v/>
      </c>
      <c r="B939" s="45" t="n"/>
      <c r="C939" s="46" t="n"/>
      <c r="D939" s="46" t="n"/>
      <c r="E939" s="46" t="n"/>
      <c r="F939" s="46" t="n"/>
      <c r="G939" s="46" t="n"/>
      <c r="H939" s="46" t="n"/>
      <c r="I939" s="51" t="n"/>
      <c r="J939" s="47" t="n"/>
      <c r="K939" s="47" t="n"/>
      <c r="L939" s="43">
        <f>IF($B939="","",ROUND((N($J939)+N($K939))*نسبة_القيمة_المضافة,2))</f>
        <v/>
      </c>
      <c r="M939" s="47" t="n"/>
      <c r="N939" s="47" t="n"/>
      <c r="O939" s="43">
        <f>IF($B939="","",N($J939)+N($K939)+N($L939)-N($M939)+N($N939))</f>
        <v/>
      </c>
      <c r="P939" s="47" t="n"/>
      <c r="Q939" s="43">
        <f>IF($B939="","",N($O939)-N($P939))</f>
        <v/>
      </c>
      <c r="R939" s="47" t="n"/>
      <c r="S939" s="47" t="n"/>
      <c r="T939" s="47" t="n"/>
      <c r="U939" s="43">
        <f>IF($B939="","",N($J939)-N($R939)-N($T939))</f>
        <v/>
      </c>
      <c r="V939" s="47" t="n"/>
    </row>
    <row r="940">
      <c r="A940" s="39">
        <f>IF($B940="","",COUNTA($B$4:$B940))</f>
        <v/>
      </c>
      <c r="B940" s="40" t="n"/>
      <c r="C940" s="41" t="n"/>
      <c r="D940" s="41" t="n"/>
      <c r="E940" s="41" t="n"/>
      <c r="F940" s="41" t="n"/>
      <c r="G940" s="41" t="n"/>
      <c r="H940" s="41" t="n"/>
      <c r="I940" s="50" t="n"/>
      <c r="J940" s="42" t="n"/>
      <c r="K940" s="42" t="n"/>
      <c r="L940" s="43">
        <f>IF($B940="","",ROUND((N($J940)+N($K940))*نسبة_القيمة_المضافة,2))</f>
        <v/>
      </c>
      <c r="M940" s="42" t="n"/>
      <c r="N940" s="42" t="n"/>
      <c r="O940" s="43">
        <f>IF($B940="","",N($J940)+N($K940)+N($L940)-N($M940)+N($N940))</f>
        <v/>
      </c>
      <c r="P940" s="42" t="n"/>
      <c r="Q940" s="43">
        <f>IF($B940="","",N($O940)-N($P940))</f>
        <v/>
      </c>
      <c r="R940" s="42" t="n"/>
      <c r="S940" s="42" t="n"/>
      <c r="T940" s="42" t="n"/>
      <c r="U940" s="43">
        <f>IF($B940="","",N($J940)-N($R940)-N($T940))</f>
        <v/>
      </c>
      <c r="V940" s="42" t="n"/>
    </row>
    <row r="941">
      <c r="A941" s="39">
        <f>IF($B941="","",COUNTA($B$4:$B941))</f>
        <v/>
      </c>
      <c r="B941" s="45" t="n"/>
      <c r="C941" s="46" t="n"/>
      <c r="D941" s="46" t="n"/>
      <c r="E941" s="46" t="n"/>
      <c r="F941" s="46" t="n"/>
      <c r="G941" s="46" t="n"/>
      <c r="H941" s="46" t="n"/>
      <c r="I941" s="51" t="n"/>
      <c r="J941" s="47" t="n"/>
      <c r="K941" s="47" t="n"/>
      <c r="L941" s="43">
        <f>IF($B941="","",ROUND((N($J941)+N($K941))*نسبة_القيمة_المضافة,2))</f>
        <v/>
      </c>
      <c r="M941" s="47" t="n"/>
      <c r="N941" s="47" t="n"/>
      <c r="O941" s="43">
        <f>IF($B941="","",N($J941)+N($K941)+N($L941)-N($M941)+N($N941))</f>
        <v/>
      </c>
      <c r="P941" s="47" t="n"/>
      <c r="Q941" s="43">
        <f>IF($B941="","",N($O941)-N($P941))</f>
        <v/>
      </c>
      <c r="R941" s="47" t="n"/>
      <c r="S941" s="47" t="n"/>
      <c r="T941" s="47" t="n"/>
      <c r="U941" s="43">
        <f>IF($B941="","",N($J941)-N($R941)-N($T941))</f>
        <v/>
      </c>
      <c r="V941" s="47" t="n"/>
    </row>
    <row r="942">
      <c r="A942" s="39">
        <f>IF($B942="","",COUNTA($B$4:$B942))</f>
        <v/>
      </c>
      <c r="B942" s="40" t="n"/>
      <c r="C942" s="41" t="n"/>
      <c r="D942" s="41" t="n"/>
      <c r="E942" s="41" t="n"/>
      <c r="F942" s="41" t="n"/>
      <c r="G942" s="41" t="n"/>
      <c r="H942" s="41" t="n"/>
      <c r="I942" s="50" t="n"/>
      <c r="J942" s="42" t="n"/>
      <c r="K942" s="42" t="n"/>
      <c r="L942" s="43">
        <f>IF($B942="","",ROUND((N($J942)+N($K942))*نسبة_القيمة_المضافة,2))</f>
        <v/>
      </c>
      <c r="M942" s="42" t="n"/>
      <c r="N942" s="42" t="n"/>
      <c r="O942" s="43">
        <f>IF($B942="","",N($J942)+N($K942)+N($L942)-N($M942)+N($N942))</f>
        <v/>
      </c>
      <c r="P942" s="42" t="n"/>
      <c r="Q942" s="43">
        <f>IF($B942="","",N($O942)-N($P942))</f>
        <v/>
      </c>
      <c r="R942" s="42" t="n"/>
      <c r="S942" s="42" t="n"/>
      <c r="T942" s="42" t="n"/>
      <c r="U942" s="43">
        <f>IF($B942="","",N($J942)-N($R942)-N($T942))</f>
        <v/>
      </c>
      <c r="V942" s="42" t="n"/>
    </row>
    <row r="943">
      <c r="A943" s="39">
        <f>IF($B943="","",COUNTA($B$4:$B943))</f>
        <v/>
      </c>
      <c r="B943" s="45" t="n"/>
      <c r="C943" s="46" t="n"/>
      <c r="D943" s="46" t="n"/>
      <c r="E943" s="46" t="n"/>
      <c r="F943" s="46" t="n"/>
      <c r="G943" s="46" t="n"/>
      <c r="H943" s="46" t="n"/>
      <c r="I943" s="51" t="n"/>
      <c r="J943" s="47" t="n"/>
      <c r="K943" s="47" t="n"/>
      <c r="L943" s="43">
        <f>IF($B943="","",ROUND((N($J943)+N($K943))*نسبة_القيمة_المضافة,2))</f>
        <v/>
      </c>
      <c r="M943" s="47" t="n"/>
      <c r="N943" s="47" t="n"/>
      <c r="O943" s="43">
        <f>IF($B943="","",N($J943)+N($K943)+N($L943)-N($M943)+N($N943))</f>
        <v/>
      </c>
      <c r="P943" s="47" t="n"/>
      <c r="Q943" s="43">
        <f>IF($B943="","",N($O943)-N($P943))</f>
        <v/>
      </c>
      <c r="R943" s="47" t="n"/>
      <c r="S943" s="47" t="n"/>
      <c r="T943" s="47" t="n"/>
      <c r="U943" s="43">
        <f>IF($B943="","",N($J943)-N($R943)-N($T943))</f>
        <v/>
      </c>
      <c r="V943" s="47" t="n"/>
    </row>
    <row r="944">
      <c r="A944" s="39">
        <f>IF($B944="","",COUNTA($B$4:$B944))</f>
        <v/>
      </c>
      <c r="B944" s="40" t="n"/>
      <c r="C944" s="41" t="n"/>
      <c r="D944" s="41" t="n"/>
      <c r="E944" s="41" t="n"/>
      <c r="F944" s="41" t="n"/>
      <c r="G944" s="41" t="n"/>
      <c r="H944" s="41" t="n"/>
      <c r="I944" s="50" t="n"/>
      <c r="J944" s="42" t="n"/>
      <c r="K944" s="42" t="n"/>
      <c r="L944" s="43">
        <f>IF($B944="","",ROUND((N($J944)+N($K944))*نسبة_القيمة_المضافة,2))</f>
        <v/>
      </c>
      <c r="M944" s="42" t="n"/>
      <c r="N944" s="42" t="n"/>
      <c r="O944" s="43">
        <f>IF($B944="","",N($J944)+N($K944)+N($L944)-N($M944)+N($N944))</f>
        <v/>
      </c>
      <c r="P944" s="42" t="n"/>
      <c r="Q944" s="43">
        <f>IF($B944="","",N($O944)-N($P944))</f>
        <v/>
      </c>
      <c r="R944" s="42" t="n"/>
      <c r="S944" s="42" t="n"/>
      <c r="T944" s="42" t="n"/>
      <c r="U944" s="43">
        <f>IF($B944="","",N($J944)-N($R944)-N($T944))</f>
        <v/>
      </c>
      <c r="V944" s="42" t="n"/>
    </row>
    <row r="945">
      <c r="A945" s="39">
        <f>IF($B945="","",COUNTA($B$4:$B945))</f>
        <v/>
      </c>
      <c r="B945" s="45" t="n"/>
      <c r="C945" s="46" t="n"/>
      <c r="D945" s="46" t="n"/>
      <c r="E945" s="46" t="n"/>
      <c r="F945" s="46" t="n"/>
      <c r="G945" s="46" t="n"/>
      <c r="H945" s="46" t="n"/>
      <c r="I945" s="51" t="n"/>
      <c r="J945" s="47" t="n"/>
      <c r="K945" s="47" t="n"/>
      <c r="L945" s="43">
        <f>IF($B945="","",ROUND((N($J945)+N($K945))*نسبة_القيمة_المضافة,2))</f>
        <v/>
      </c>
      <c r="M945" s="47" t="n"/>
      <c r="N945" s="47" t="n"/>
      <c r="O945" s="43">
        <f>IF($B945="","",N($J945)+N($K945)+N($L945)-N($M945)+N($N945))</f>
        <v/>
      </c>
      <c r="P945" s="47" t="n"/>
      <c r="Q945" s="43">
        <f>IF($B945="","",N($O945)-N($P945))</f>
        <v/>
      </c>
      <c r="R945" s="47" t="n"/>
      <c r="S945" s="47" t="n"/>
      <c r="T945" s="47" t="n"/>
      <c r="U945" s="43">
        <f>IF($B945="","",N($J945)-N($R945)-N($T945))</f>
        <v/>
      </c>
      <c r="V945" s="47" t="n"/>
    </row>
    <row r="946">
      <c r="A946" s="39">
        <f>IF($B946="","",COUNTA($B$4:$B946))</f>
        <v/>
      </c>
      <c r="B946" s="40" t="n"/>
      <c r="C946" s="41" t="n"/>
      <c r="D946" s="41" t="n"/>
      <c r="E946" s="41" t="n"/>
      <c r="F946" s="41" t="n"/>
      <c r="G946" s="41" t="n"/>
      <c r="H946" s="41" t="n"/>
      <c r="I946" s="50" t="n"/>
      <c r="J946" s="42" t="n"/>
      <c r="K946" s="42" t="n"/>
      <c r="L946" s="43">
        <f>IF($B946="","",ROUND((N($J946)+N($K946))*نسبة_القيمة_المضافة,2))</f>
        <v/>
      </c>
      <c r="M946" s="42" t="n"/>
      <c r="N946" s="42" t="n"/>
      <c r="O946" s="43">
        <f>IF($B946="","",N($J946)+N($K946)+N($L946)-N($M946)+N($N946))</f>
        <v/>
      </c>
      <c r="P946" s="42" t="n"/>
      <c r="Q946" s="43">
        <f>IF($B946="","",N($O946)-N($P946))</f>
        <v/>
      </c>
      <c r="R946" s="42" t="n"/>
      <c r="S946" s="42" t="n"/>
      <c r="T946" s="42" t="n"/>
      <c r="U946" s="43">
        <f>IF($B946="","",N($J946)-N($R946)-N($T946))</f>
        <v/>
      </c>
      <c r="V946" s="42" t="n"/>
    </row>
    <row r="947">
      <c r="A947" s="39">
        <f>IF($B947="","",COUNTA($B$4:$B947))</f>
        <v/>
      </c>
      <c r="B947" s="45" t="n"/>
      <c r="C947" s="46" t="n"/>
      <c r="D947" s="46" t="n"/>
      <c r="E947" s="46" t="n"/>
      <c r="F947" s="46" t="n"/>
      <c r="G947" s="46" t="n"/>
      <c r="H947" s="46" t="n"/>
      <c r="I947" s="51" t="n"/>
      <c r="J947" s="47" t="n"/>
      <c r="K947" s="47" t="n"/>
      <c r="L947" s="43">
        <f>IF($B947="","",ROUND((N($J947)+N($K947))*نسبة_القيمة_المضافة,2))</f>
        <v/>
      </c>
      <c r="M947" s="47" t="n"/>
      <c r="N947" s="47" t="n"/>
      <c r="O947" s="43">
        <f>IF($B947="","",N($J947)+N($K947)+N($L947)-N($M947)+N($N947))</f>
        <v/>
      </c>
      <c r="P947" s="47" t="n"/>
      <c r="Q947" s="43">
        <f>IF($B947="","",N($O947)-N($P947))</f>
        <v/>
      </c>
      <c r="R947" s="47" t="n"/>
      <c r="S947" s="47" t="n"/>
      <c r="T947" s="47" t="n"/>
      <c r="U947" s="43">
        <f>IF($B947="","",N($J947)-N($R947)-N($T947))</f>
        <v/>
      </c>
      <c r="V947" s="47" t="n"/>
    </row>
    <row r="948">
      <c r="A948" s="39">
        <f>IF($B948="","",COUNTA($B$4:$B948))</f>
        <v/>
      </c>
      <c r="B948" s="40" t="n"/>
      <c r="C948" s="41" t="n"/>
      <c r="D948" s="41" t="n"/>
      <c r="E948" s="41" t="n"/>
      <c r="F948" s="41" t="n"/>
      <c r="G948" s="41" t="n"/>
      <c r="H948" s="41" t="n"/>
      <c r="I948" s="50" t="n"/>
      <c r="J948" s="42" t="n"/>
      <c r="K948" s="42" t="n"/>
      <c r="L948" s="43">
        <f>IF($B948="","",ROUND((N($J948)+N($K948))*نسبة_القيمة_المضافة,2))</f>
        <v/>
      </c>
      <c r="M948" s="42" t="n"/>
      <c r="N948" s="42" t="n"/>
      <c r="O948" s="43">
        <f>IF($B948="","",N($J948)+N($K948)+N($L948)-N($M948)+N($N948))</f>
        <v/>
      </c>
      <c r="P948" s="42" t="n"/>
      <c r="Q948" s="43">
        <f>IF($B948="","",N($O948)-N($P948))</f>
        <v/>
      </c>
      <c r="R948" s="42" t="n"/>
      <c r="S948" s="42" t="n"/>
      <c r="T948" s="42" t="n"/>
      <c r="U948" s="43">
        <f>IF($B948="","",N($J948)-N($R948)-N($T948))</f>
        <v/>
      </c>
      <c r="V948" s="42" t="n"/>
    </row>
    <row r="949">
      <c r="A949" s="39">
        <f>IF($B949="","",COUNTA($B$4:$B949))</f>
        <v/>
      </c>
      <c r="B949" s="45" t="n"/>
      <c r="C949" s="46" t="n"/>
      <c r="D949" s="46" t="n"/>
      <c r="E949" s="46" t="n"/>
      <c r="F949" s="46" t="n"/>
      <c r="G949" s="46" t="n"/>
      <c r="H949" s="46" t="n"/>
      <c r="I949" s="51" t="n"/>
      <c r="J949" s="47" t="n"/>
      <c r="K949" s="47" t="n"/>
      <c r="L949" s="43">
        <f>IF($B949="","",ROUND((N($J949)+N($K949))*نسبة_القيمة_المضافة,2))</f>
        <v/>
      </c>
      <c r="M949" s="47" t="n"/>
      <c r="N949" s="47" t="n"/>
      <c r="O949" s="43">
        <f>IF($B949="","",N($J949)+N($K949)+N($L949)-N($M949)+N($N949))</f>
        <v/>
      </c>
      <c r="P949" s="47" t="n"/>
      <c r="Q949" s="43">
        <f>IF($B949="","",N($O949)-N($P949))</f>
        <v/>
      </c>
      <c r="R949" s="47" t="n"/>
      <c r="S949" s="47" t="n"/>
      <c r="T949" s="47" t="n"/>
      <c r="U949" s="43">
        <f>IF($B949="","",N($J949)-N($R949)-N($T949))</f>
        <v/>
      </c>
      <c r="V949" s="47" t="n"/>
    </row>
    <row r="950">
      <c r="A950" s="39">
        <f>IF($B950="","",COUNTA($B$4:$B950))</f>
        <v/>
      </c>
      <c r="B950" s="40" t="n"/>
      <c r="C950" s="41" t="n"/>
      <c r="D950" s="41" t="n"/>
      <c r="E950" s="41" t="n"/>
      <c r="F950" s="41" t="n"/>
      <c r="G950" s="41" t="n"/>
      <c r="H950" s="41" t="n"/>
      <c r="I950" s="50" t="n"/>
      <c r="J950" s="42" t="n"/>
      <c r="K950" s="42" t="n"/>
      <c r="L950" s="43">
        <f>IF($B950="","",ROUND((N($J950)+N($K950))*نسبة_القيمة_المضافة,2))</f>
        <v/>
      </c>
      <c r="M950" s="42" t="n"/>
      <c r="N950" s="42" t="n"/>
      <c r="O950" s="43">
        <f>IF($B950="","",N($J950)+N($K950)+N($L950)-N($M950)+N($N950))</f>
        <v/>
      </c>
      <c r="P950" s="42" t="n"/>
      <c r="Q950" s="43">
        <f>IF($B950="","",N($O950)-N($P950))</f>
        <v/>
      </c>
      <c r="R950" s="42" t="n"/>
      <c r="S950" s="42" t="n"/>
      <c r="T950" s="42" t="n"/>
      <c r="U950" s="43">
        <f>IF($B950="","",N($J950)-N($R950)-N($T950))</f>
        <v/>
      </c>
      <c r="V950" s="42" t="n"/>
    </row>
    <row r="951">
      <c r="A951" s="39">
        <f>IF($B951="","",COUNTA($B$4:$B951))</f>
        <v/>
      </c>
      <c r="B951" s="45" t="n"/>
      <c r="C951" s="46" t="n"/>
      <c r="D951" s="46" t="n"/>
      <c r="E951" s="46" t="n"/>
      <c r="F951" s="46" t="n"/>
      <c r="G951" s="46" t="n"/>
      <c r="H951" s="46" t="n"/>
      <c r="I951" s="51" t="n"/>
      <c r="J951" s="47" t="n"/>
      <c r="K951" s="47" t="n"/>
      <c r="L951" s="43">
        <f>IF($B951="","",ROUND((N($J951)+N($K951))*نسبة_القيمة_المضافة,2))</f>
        <v/>
      </c>
      <c r="M951" s="47" t="n"/>
      <c r="N951" s="47" t="n"/>
      <c r="O951" s="43">
        <f>IF($B951="","",N($J951)+N($K951)+N($L951)-N($M951)+N($N951))</f>
        <v/>
      </c>
      <c r="P951" s="47" t="n"/>
      <c r="Q951" s="43">
        <f>IF($B951="","",N($O951)-N($P951))</f>
        <v/>
      </c>
      <c r="R951" s="47" t="n"/>
      <c r="S951" s="47" t="n"/>
      <c r="T951" s="47" t="n"/>
      <c r="U951" s="43">
        <f>IF($B951="","",N($J951)-N($R951)-N($T951))</f>
        <v/>
      </c>
      <c r="V951" s="47" t="n"/>
    </row>
    <row r="952">
      <c r="A952" s="39">
        <f>IF($B952="","",COUNTA($B$4:$B952))</f>
        <v/>
      </c>
      <c r="B952" s="40" t="n"/>
      <c r="C952" s="41" t="n"/>
      <c r="D952" s="41" t="n"/>
      <c r="E952" s="41" t="n"/>
      <c r="F952" s="41" t="n"/>
      <c r="G952" s="41" t="n"/>
      <c r="H952" s="41" t="n"/>
      <c r="I952" s="50" t="n"/>
      <c r="J952" s="42" t="n"/>
      <c r="K952" s="42" t="n"/>
      <c r="L952" s="43">
        <f>IF($B952="","",ROUND((N($J952)+N($K952))*نسبة_القيمة_المضافة,2))</f>
        <v/>
      </c>
      <c r="M952" s="42" t="n"/>
      <c r="N952" s="42" t="n"/>
      <c r="O952" s="43">
        <f>IF($B952="","",N($J952)+N($K952)+N($L952)-N($M952)+N($N952))</f>
        <v/>
      </c>
      <c r="P952" s="42" t="n"/>
      <c r="Q952" s="43">
        <f>IF($B952="","",N($O952)-N($P952))</f>
        <v/>
      </c>
      <c r="R952" s="42" t="n"/>
      <c r="S952" s="42" t="n"/>
      <c r="T952" s="42" t="n"/>
      <c r="U952" s="43">
        <f>IF($B952="","",N($J952)-N($R952)-N($T952))</f>
        <v/>
      </c>
      <c r="V952" s="42" t="n"/>
    </row>
    <row r="953">
      <c r="A953" s="39">
        <f>IF($B953="","",COUNTA($B$4:$B953))</f>
        <v/>
      </c>
      <c r="B953" s="45" t="n"/>
      <c r="C953" s="46" t="n"/>
      <c r="D953" s="46" t="n"/>
      <c r="E953" s="46" t="n"/>
      <c r="F953" s="46" t="n"/>
      <c r="G953" s="46" t="n"/>
      <c r="H953" s="46" t="n"/>
      <c r="I953" s="51" t="n"/>
      <c r="J953" s="47" t="n"/>
      <c r="K953" s="47" t="n"/>
      <c r="L953" s="43">
        <f>IF($B953="","",ROUND((N($J953)+N($K953))*نسبة_القيمة_المضافة,2))</f>
        <v/>
      </c>
      <c r="M953" s="47" t="n"/>
      <c r="N953" s="47" t="n"/>
      <c r="O953" s="43">
        <f>IF($B953="","",N($J953)+N($K953)+N($L953)-N($M953)+N($N953))</f>
        <v/>
      </c>
      <c r="P953" s="47" t="n"/>
      <c r="Q953" s="43">
        <f>IF($B953="","",N($O953)-N($P953))</f>
        <v/>
      </c>
      <c r="R953" s="47" t="n"/>
      <c r="S953" s="47" t="n"/>
      <c r="T953" s="47" t="n"/>
      <c r="U953" s="43">
        <f>IF($B953="","",N($J953)-N($R953)-N($T953))</f>
        <v/>
      </c>
      <c r="V953" s="47" t="n"/>
    </row>
    <row r="954">
      <c r="A954" s="39">
        <f>IF($B954="","",COUNTA($B$4:$B954))</f>
        <v/>
      </c>
      <c r="B954" s="40" t="n"/>
      <c r="C954" s="41" t="n"/>
      <c r="D954" s="41" t="n"/>
      <c r="E954" s="41" t="n"/>
      <c r="F954" s="41" t="n"/>
      <c r="G954" s="41" t="n"/>
      <c r="H954" s="41" t="n"/>
      <c r="I954" s="50" t="n"/>
      <c r="J954" s="42" t="n"/>
      <c r="K954" s="42" t="n"/>
      <c r="L954" s="43">
        <f>IF($B954="","",ROUND((N($J954)+N($K954))*نسبة_القيمة_المضافة,2))</f>
        <v/>
      </c>
      <c r="M954" s="42" t="n"/>
      <c r="N954" s="42" t="n"/>
      <c r="O954" s="43">
        <f>IF($B954="","",N($J954)+N($K954)+N($L954)-N($M954)+N($N954))</f>
        <v/>
      </c>
      <c r="P954" s="42" t="n"/>
      <c r="Q954" s="43">
        <f>IF($B954="","",N($O954)-N($P954))</f>
        <v/>
      </c>
      <c r="R954" s="42" t="n"/>
      <c r="S954" s="42" t="n"/>
      <c r="T954" s="42" t="n"/>
      <c r="U954" s="43">
        <f>IF($B954="","",N($J954)-N($R954)-N($T954))</f>
        <v/>
      </c>
      <c r="V954" s="42" t="n"/>
    </row>
    <row r="955">
      <c r="A955" s="39">
        <f>IF($B955="","",COUNTA($B$4:$B955))</f>
        <v/>
      </c>
      <c r="B955" s="45" t="n"/>
      <c r="C955" s="46" t="n"/>
      <c r="D955" s="46" t="n"/>
      <c r="E955" s="46" t="n"/>
      <c r="F955" s="46" t="n"/>
      <c r="G955" s="46" t="n"/>
      <c r="H955" s="46" t="n"/>
      <c r="I955" s="51" t="n"/>
      <c r="J955" s="47" t="n"/>
      <c r="K955" s="47" t="n"/>
      <c r="L955" s="43">
        <f>IF($B955="","",ROUND((N($J955)+N($K955))*نسبة_القيمة_المضافة,2))</f>
        <v/>
      </c>
      <c r="M955" s="47" t="n"/>
      <c r="N955" s="47" t="n"/>
      <c r="O955" s="43">
        <f>IF($B955="","",N($J955)+N($K955)+N($L955)-N($M955)+N($N955))</f>
        <v/>
      </c>
      <c r="P955" s="47" t="n"/>
      <c r="Q955" s="43">
        <f>IF($B955="","",N($O955)-N($P955))</f>
        <v/>
      </c>
      <c r="R955" s="47" t="n"/>
      <c r="S955" s="47" t="n"/>
      <c r="T955" s="47" t="n"/>
      <c r="U955" s="43">
        <f>IF($B955="","",N($J955)-N($R955)-N($T955))</f>
        <v/>
      </c>
      <c r="V955" s="47" t="n"/>
    </row>
    <row r="956">
      <c r="A956" s="39">
        <f>IF($B956="","",COUNTA($B$4:$B956))</f>
        <v/>
      </c>
      <c r="B956" s="40" t="n"/>
      <c r="C956" s="41" t="n"/>
      <c r="D956" s="41" t="n"/>
      <c r="E956" s="41" t="n"/>
      <c r="F956" s="41" t="n"/>
      <c r="G956" s="41" t="n"/>
      <c r="H956" s="41" t="n"/>
      <c r="I956" s="50" t="n"/>
      <c r="J956" s="42" t="n"/>
      <c r="K956" s="42" t="n"/>
      <c r="L956" s="43">
        <f>IF($B956="","",ROUND((N($J956)+N($K956))*نسبة_القيمة_المضافة,2))</f>
        <v/>
      </c>
      <c r="M956" s="42" t="n"/>
      <c r="N956" s="42" t="n"/>
      <c r="O956" s="43">
        <f>IF($B956="","",N($J956)+N($K956)+N($L956)-N($M956)+N($N956))</f>
        <v/>
      </c>
      <c r="P956" s="42" t="n"/>
      <c r="Q956" s="43">
        <f>IF($B956="","",N($O956)-N($P956))</f>
        <v/>
      </c>
      <c r="R956" s="42" t="n"/>
      <c r="S956" s="42" t="n"/>
      <c r="T956" s="42" t="n"/>
      <c r="U956" s="43">
        <f>IF($B956="","",N($J956)-N($R956)-N($T956))</f>
        <v/>
      </c>
      <c r="V956" s="42" t="n"/>
    </row>
    <row r="957">
      <c r="A957" s="39">
        <f>IF($B957="","",COUNTA($B$4:$B957))</f>
        <v/>
      </c>
      <c r="B957" s="45" t="n"/>
      <c r="C957" s="46" t="n"/>
      <c r="D957" s="46" t="n"/>
      <c r="E957" s="46" t="n"/>
      <c r="F957" s="46" t="n"/>
      <c r="G957" s="46" t="n"/>
      <c r="H957" s="46" t="n"/>
      <c r="I957" s="51" t="n"/>
      <c r="J957" s="47" t="n"/>
      <c r="K957" s="47" t="n"/>
      <c r="L957" s="43">
        <f>IF($B957="","",ROUND((N($J957)+N($K957))*نسبة_القيمة_المضافة,2))</f>
        <v/>
      </c>
      <c r="M957" s="47" t="n"/>
      <c r="N957" s="47" t="n"/>
      <c r="O957" s="43">
        <f>IF($B957="","",N($J957)+N($K957)+N($L957)-N($M957)+N($N957))</f>
        <v/>
      </c>
      <c r="P957" s="47" t="n"/>
      <c r="Q957" s="43">
        <f>IF($B957="","",N($O957)-N($P957))</f>
        <v/>
      </c>
      <c r="R957" s="47" t="n"/>
      <c r="S957" s="47" t="n"/>
      <c r="T957" s="47" t="n"/>
      <c r="U957" s="43">
        <f>IF($B957="","",N($J957)-N($R957)-N($T957))</f>
        <v/>
      </c>
      <c r="V957" s="47" t="n"/>
    </row>
    <row r="958">
      <c r="A958" s="39">
        <f>IF($B958="","",COUNTA($B$4:$B958))</f>
        <v/>
      </c>
      <c r="B958" s="40" t="n"/>
      <c r="C958" s="41" t="n"/>
      <c r="D958" s="41" t="n"/>
      <c r="E958" s="41" t="n"/>
      <c r="F958" s="41" t="n"/>
      <c r="G958" s="41" t="n"/>
      <c r="H958" s="41" t="n"/>
      <c r="I958" s="50" t="n"/>
      <c r="J958" s="42" t="n"/>
      <c r="K958" s="42" t="n"/>
      <c r="L958" s="43">
        <f>IF($B958="","",ROUND((N($J958)+N($K958))*نسبة_القيمة_المضافة,2))</f>
        <v/>
      </c>
      <c r="M958" s="42" t="n"/>
      <c r="N958" s="42" t="n"/>
      <c r="O958" s="43">
        <f>IF($B958="","",N($J958)+N($K958)+N($L958)-N($M958)+N($N958))</f>
        <v/>
      </c>
      <c r="P958" s="42" t="n"/>
      <c r="Q958" s="43">
        <f>IF($B958="","",N($O958)-N($P958))</f>
        <v/>
      </c>
      <c r="R958" s="42" t="n"/>
      <c r="S958" s="42" t="n"/>
      <c r="T958" s="42" t="n"/>
      <c r="U958" s="43">
        <f>IF($B958="","",N($J958)-N($R958)-N($T958))</f>
        <v/>
      </c>
      <c r="V958" s="42" t="n"/>
    </row>
    <row r="959">
      <c r="A959" s="39">
        <f>IF($B959="","",COUNTA($B$4:$B959))</f>
        <v/>
      </c>
      <c r="B959" s="45" t="n"/>
      <c r="C959" s="46" t="n"/>
      <c r="D959" s="46" t="n"/>
      <c r="E959" s="46" t="n"/>
      <c r="F959" s="46" t="n"/>
      <c r="G959" s="46" t="n"/>
      <c r="H959" s="46" t="n"/>
      <c r="I959" s="51" t="n"/>
      <c r="J959" s="47" t="n"/>
      <c r="K959" s="47" t="n"/>
      <c r="L959" s="43">
        <f>IF($B959="","",ROUND((N($J959)+N($K959))*نسبة_القيمة_المضافة,2))</f>
        <v/>
      </c>
      <c r="M959" s="47" t="n"/>
      <c r="N959" s="47" t="n"/>
      <c r="O959" s="43">
        <f>IF($B959="","",N($J959)+N($K959)+N($L959)-N($M959)+N($N959))</f>
        <v/>
      </c>
      <c r="P959" s="47" t="n"/>
      <c r="Q959" s="43">
        <f>IF($B959="","",N($O959)-N($P959))</f>
        <v/>
      </c>
      <c r="R959" s="47" t="n"/>
      <c r="S959" s="47" t="n"/>
      <c r="T959" s="47" t="n"/>
      <c r="U959" s="43">
        <f>IF($B959="","",N($J959)-N($R959)-N($T959))</f>
        <v/>
      </c>
      <c r="V959" s="47" t="n"/>
    </row>
    <row r="960">
      <c r="A960" s="39">
        <f>IF($B960="","",COUNTA($B$4:$B960))</f>
        <v/>
      </c>
      <c r="B960" s="40" t="n"/>
      <c r="C960" s="41" t="n"/>
      <c r="D960" s="41" t="n"/>
      <c r="E960" s="41" t="n"/>
      <c r="F960" s="41" t="n"/>
      <c r="G960" s="41" t="n"/>
      <c r="H960" s="41" t="n"/>
      <c r="I960" s="50" t="n"/>
      <c r="J960" s="42" t="n"/>
      <c r="K960" s="42" t="n"/>
      <c r="L960" s="43">
        <f>IF($B960="","",ROUND((N($J960)+N($K960))*نسبة_القيمة_المضافة,2))</f>
        <v/>
      </c>
      <c r="M960" s="42" t="n"/>
      <c r="N960" s="42" t="n"/>
      <c r="O960" s="43">
        <f>IF($B960="","",N($J960)+N($K960)+N($L960)-N($M960)+N($N960))</f>
        <v/>
      </c>
      <c r="P960" s="42" t="n"/>
      <c r="Q960" s="43">
        <f>IF($B960="","",N($O960)-N($P960))</f>
        <v/>
      </c>
      <c r="R960" s="42" t="n"/>
      <c r="S960" s="42" t="n"/>
      <c r="T960" s="42" t="n"/>
      <c r="U960" s="43">
        <f>IF($B960="","",N($J960)-N($R960)-N($T960))</f>
        <v/>
      </c>
      <c r="V960" s="42" t="n"/>
    </row>
    <row r="961">
      <c r="A961" s="39">
        <f>IF($B961="","",COUNTA($B$4:$B961))</f>
        <v/>
      </c>
      <c r="B961" s="45" t="n"/>
      <c r="C961" s="46" t="n"/>
      <c r="D961" s="46" t="n"/>
      <c r="E961" s="46" t="n"/>
      <c r="F961" s="46" t="n"/>
      <c r="G961" s="46" t="n"/>
      <c r="H961" s="46" t="n"/>
      <c r="I961" s="51" t="n"/>
      <c r="J961" s="47" t="n"/>
      <c r="K961" s="47" t="n"/>
      <c r="L961" s="43">
        <f>IF($B961="","",ROUND((N($J961)+N($K961))*نسبة_القيمة_المضافة,2))</f>
        <v/>
      </c>
      <c r="M961" s="47" t="n"/>
      <c r="N961" s="47" t="n"/>
      <c r="O961" s="43">
        <f>IF($B961="","",N($J961)+N($K961)+N($L961)-N($M961)+N($N961))</f>
        <v/>
      </c>
      <c r="P961" s="47" t="n"/>
      <c r="Q961" s="43">
        <f>IF($B961="","",N($O961)-N($P961))</f>
        <v/>
      </c>
      <c r="R961" s="47" t="n"/>
      <c r="S961" s="47" t="n"/>
      <c r="T961" s="47" t="n"/>
      <c r="U961" s="43">
        <f>IF($B961="","",N($J961)-N($R961)-N($T961))</f>
        <v/>
      </c>
      <c r="V961" s="47" t="n"/>
    </row>
    <row r="962">
      <c r="A962" s="39">
        <f>IF($B962="","",COUNTA($B$4:$B962))</f>
        <v/>
      </c>
      <c r="B962" s="40" t="n"/>
      <c r="C962" s="41" t="n"/>
      <c r="D962" s="41" t="n"/>
      <c r="E962" s="41" t="n"/>
      <c r="F962" s="41" t="n"/>
      <c r="G962" s="41" t="n"/>
      <c r="H962" s="41" t="n"/>
      <c r="I962" s="50" t="n"/>
      <c r="J962" s="42" t="n"/>
      <c r="K962" s="42" t="n"/>
      <c r="L962" s="43">
        <f>IF($B962="","",ROUND((N($J962)+N($K962))*نسبة_القيمة_المضافة,2))</f>
        <v/>
      </c>
      <c r="M962" s="42" t="n"/>
      <c r="N962" s="42" t="n"/>
      <c r="O962" s="43">
        <f>IF($B962="","",N($J962)+N($K962)+N($L962)-N($M962)+N($N962))</f>
        <v/>
      </c>
      <c r="P962" s="42" t="n"/>
      <c r="Q962" s="43">
        <f>IF($B962="","",N($O962)-N($P962))</f>
        <v/>
      </c>
      <c r="R962" s="42" t="n"/>
      <c r="S962" s="42" t="n"/>
      <c r="T962" s="42" t="n"/>
      <c r="U962" s="43">
        <f>IF($B962="","",N($J962)-N($R962)-N($T962))</f>
        <v/>
      </c>
      <c r="V962" s="42" t="n"/>
    </row>
    <row r="963">
      <c r="A963" s="39">
        <f>IF($B963="","",COUNTA($B$4:$B963))</f>
        <v/>
      </c>
      <c r="B963" s="45" t="n"/>
      <c r="C963" s="46" t="n"/>
      <c r="D963" s="46" t="n"/>
      <c r="E963" s="46" t="n"/>
      <c r="F963" s="46" t="n"/>
      <c r="G963" s="46" t="n"/>
      <c r="H963" s="46" t="n"/>
      <c r="I963" s="51" t="n"/>
      <c r="J963" s="47" t="n"/>
      <c r="K963" s="47" t="n"/>
      <c r="L963" s="43">
        <f>IF($B963="","",ROUND((N($J963)+N($K963))*نسبة_القيمة_المضافة,2))</f>
        <v/>
      </c>
      <c r="M963" s="47" t="n"/>
      <c r="N963" s="47" t="n"/>
      <c r="O963" s="43">
        <f>IF($B963="","",N($J963)+N($K963)+N($L963)-N($M963)+N($N963))</f>
        <v/>
      </c>
      <c r="P963" s="47" t="n"/>
      <c r="Q963" s="43">
        <f>IF($B963="","",N($O963)-N($P963))</f>
        <v/>
      </c>
      <c r="R963" s="47" t="n"/>
      <c r="S963" s="47" t="n"/>
      <c r="T963" s="47" t="n"/>
      <c r="U963" s="43">
        <f>IF($B963="","",N($J963)-N($R963)-N($T963))</f>
        <v/>
      </c>
      <c r="V963" s="47" t="n"/>
    </row>
    <row r="964">
      <c r="A964" s="39">
        <f>IF($B964="","",COUNTA($B$4:$B964))</f>
        <v/>
      </c>
      <c r="B964" s="40" t="n"/>
      <c r="C964" s="41" t="n"/>
      <c r="D964" s="41" t="n"/>
      <c r="E964" s="41" t="n"/>
      <c r="F964" s="41" t="n"/>
      <c r="G964" s="41" t="n"/>
      <c r="H964" s="41" t="n"/>
      <c r="I964" s="50" t="n"/>
      <c r="J964" s="42" t="n"/>
      <c r="K964" s="42" t="n"/>
      <c r="L964" s="43">
        <f>IF($B964="","",ROUND((N($J964)+N($K964))*نسبة_القيمة_المضافة,2))</f>
        <v/>
      </c>
      <c r="M964" s="42" t="n"/>
      <c r="N964" s="42" t="n"/>
      <c r="O964" s="43">
        <f>IF($B964="","",N($J964)+N($K964)+N($L964)-N($M964)+N($N964))</f>
        <v/>
      </c>
      <c r="P964" s="42" t="n"/>
      <c r="Q964" s="43">
        <f>IF($B964="","",N($O964)-N($P964))</f>
        <v/>
      </c>
      <c r="R964" s="42" t="n"/>
      <c r="S964" s="42" t="n"/>
      <c r="T964" s="42" t="n"/>
      <c r="U964" s="43">
        <f>IF($B964="","",N($J964)-N($R964)-N($T964))</f>
        <v/>
      </c>
      <c r="V964" s="42" t="n"/>
    </row>
    <row r="965">
      <c r="A965" s="39">
        <f>IF($B965="","",COUNTA($B$4:$B965))</f>
        <v/>
      </c>
      <c r="B965" s="45" t="n"/>
      <c r="C965" s="46" t="n"/>
      <c r="D965" s="46" t="n"/>
      <c r="E965" s="46" t="n"/>
      <c r="F965" s="46" t="n"/>
      <c r="G965" s="46" t="n"/>
      <c r="H965" s="46" t="n"/>
      <c r="I965" s="51" t="n"/>
      <c r="J965" s="47" t="n"/>
      <c r="K965" s="47" t="n"/>
      <c r="L965" s="43">
        <f>IF($B965="","",ROUND((N($J965)+N($K965))*نسبة_القيمة_المضافة,2))</f>
        <v/>
      </c>
      <c r="M965" s="47" t="n"/>
      <c r="N965" s="47" t="n"/>
      <c r="O965" s="43">
        <f>IF($B965="","",N($J965)+N($K965)+N($L965)-N($M965)+N($N965))</f>
        <v/>
      </c>
      <c r="P965" s="47" t="n"/>
      <c r="Q965" s="43">
        <f>IF($B965="","",N($O965)-N($P965))</f>
        <v/>
      </c>
      <c r="R965" s="47" t="n"/>
      <c r="S965" s="47" t="n"/>
      <c r="T965" s="47" t="n"/>
      <c r="U965" s="43">
        <f>IF($B965="","",N($J965)-N($R965)-N($T965))</f>
        <v/>
      </c>
      <c r="V965" s="47" t="n"/>
    </row>
    <row r="966">
      <c r="A966" s="39">
        <f>IF($B966="","",COUNTA($B$4:$B966))</f>
        <v/>
      </c>
      <c r="B966" s="40" t="n"/>
      <c r="C966" s="41" t="n"/>
      <c r="D966" s="41" t="n"/>
      <c r="E966" s="41" t="n"/>
      <c r="F966" s="41" t="n"/>
      <c r="G966" s="41" t="n"/>
      <c r="H966" s="41" t="n"/>
      <c r="I966" s="50" t="n"/>
      <c r="J966" s="42" t="n"/>
      <c r="K966" s="42" t="n"/>
      <c r="L966" s="43">
        <f>IF($B966="","",ROUND((N($J966)+N($K966))*نسبة_القيمة_المضافة,2))</f>
        <v/>
      </c>
      <c r="M966" s="42" t="n"/>
      <c r="N966" s="42" t="n"/>
      <c r="O966" s="43">
        <f>IF($B966="","",N($J966)+N($K966)+N($L966)-N($M966)+N($N966))</f>
        <v/>
      </c>
      <c r="P966" s="42" t="n"/>
      <c r="Q966" s="43">
        <f>IF($B966="","",N($O966)-N($P966))</f>
        <v/>
      </c>
      <c r="R966" s="42" t="n"/>
      <c r="S966" s="42" t="n"/>
      <c r="T966" s="42" t="n"/>
      <c r="U966" s="43">
        <f>IF($B966="","",N($J966)-N($R966)-N($T966))</f>
        <v/>
      </c>
      <c r="V966" s="42" t="n"/>
    </row>
    <row r="967">
      <c r="A967" s="39">
        <f>IF($B967="","",COUNTA($B$4:$B967))</f>
        <v/>
      </c>
      <c r="B967" s="45" t="n"/>
      <c r="C967" s="46" t="n"/>
      <c r="D967" s="46" t="n"/>
      <c r="E967" s="46" t="n"/>
      <c r="F967" s="46" t="n"/>
      <c r="G967" s="46" t="n"/>
      <c r="H967" s="46" t="n"/>
      <c r="I967" s="51" t="n"/>
      <c r="J967" s="47" t="n"/>
      <c r="K967" s="47" t="n"/>
      <c r="L967" s="43">
        <f>IF($B967="","",ROUND((N($J967)+N($K967))*نسبة_القيمة_المضافة,2))</f>
        <v/>
      </c>
      <c r="M967" s="47" t="n"/>
      <c r="N967" s="47" t="n"/>
      <c r="O967" s="43">
        <f>IF($B967="","",N($J967)+N($K967)+N($L967)-N($M967)+N($N967))</f>
        <v/>
      </c>
      <c r="P967" s="47" t="n"/>
      <c r="Q967" s="43">
        <f>IF($B967="","",N($O967)-N($P967))</f>
        <v/>
      </c>
      <c r="R967" s="47" t="n"/>
      <c r="S967" s="47" t="n"/>
      <c r="T967" s="47" t="n"/>
      <c r="U967" s="43">
        <f>IF($B967="","",N($J967)-N($R967)-N($T967))</f>
        <v/>
      </c>
      <c r="V967" s="47" t="n"/>
    </row>
    <row r="968">
      <c r="A968" s="39">
        <f>IF($B968="","",COUNTA($B$4:$B968))</f>
        <v/>
      </c>
      <c r="B968" s="40" t="n"/>
      <c r="C968" s="41" t="n"/>
      <c r="D968" s="41" t="n"/>
      <c r="E968" s="41" t="n"/>
      <c r="F968" s="41" t="n"/>
      <c r="G968" s="41" t="n"/>
      <c r="H968" s="41" t="n"/>
      <c r="I968" s="50" t="n"/>
      <c r="J968" s="42" t="n"/>
      <c r="K968" s="42" t="n"/>
      <c r="L968" s="43">
        <f>IF($B968="","",ROUND((N($J968)+N($K968))*نسبة_القيمة_المضافة,2))</f>
        <v/>
      </c>
      <c r="M968" s="42" t="n"/>
      <c r="N968" s="42" t="n"/>
      <c r="O968" s="43">
        <f>IF($B968="","",N($J968)+N($K968)+N($L968)-N($M968)+N($N968))</f>
        <v/>
      </c>
      <c r="P968" s="42" t="n"/>
      <c r="Q968" s="43">
        <f>IF($B968="","",N($O968)-N($P968))</f>
        <v/>
      </c>
      <c r="R968" s="42" t="n"/>
      <c r="S968" s="42" t="n"/>
      <c r="T968" s="42" t="n"/>
      <c r="U968" s="43">
        <f>IF($B968="","",N($J968)-N($R968)-N($T968))</f>
        <v/>
      </c>
      <c r="V968" s="42" t="n"/>
    </row>
    <row r="969">
      <c r="A969" s="39">
        <f>IF($B969="","",COUNTA($B$4:$B969))</f>
        <v/>
      </c>
      <c r="B969" s="45" t="n"/>
      <c r="C969" s="46" t="n"/>
      <c r="D969" s="46" t="n"/>
      <c r="E969" s="46" t="n"/>
      <c r="F969" s="46" t="n"/>
      <c r="G969" s="46" t="n"/>
      <c r="H969" s="46" t="n"/>
      <c r="I969" s="51" t="n"/>
      <c r="J969" s="47" t="n"/>
      <c r="K969" s="47" t="n"/>
      <c r="L969" s="43">
        <f>IF($B969="","",ROUND((N($J969)+N($K969))*نسبة_القيمة_المضافة,2))</f>
        <v/>
      </c>
      <c r="M969" s="47" t="n"/>
      <c r="N969" s="47" t="n"/>
      <c r="O969" s="43">
        <f>IF($B969="","",N($J969)+N($K969)+N($L969)-N($M969)+N($N969))</f>
        <v/>
      </c>
      <c r="P969" s="47" t="n"/>
      <c r="Q969" s="43">
        <f>IF($B969="","",N($O969)-N($P969))</f>
        <v/>
      </c>
      <c r="R969" s="47" t="n"/>
      <c r="S969" s="47" t="n"/>
      <c r="T969" s="47" t="n"/>
      <c r="U969" s="43">
        <f>IF($B969="","",N($J969)-N($R969)-N($T969))</f>
        <v/>
      </c>
      <c r="V969" s="47" t="n"/>
    </row>
    <row r="970">
      <c r="A970" s="39">
        <f>IF($B970="","",COUNTA($B$4:$B970))</f>
        <v/>
      </c>
      <c r="B970" s="40" t="n"/>
      <c r="C970" s="41" t="n"/>
      <c r="D970" s="41" t="n"/>
      <c r="E970" s="41" t="n"/>
      <c r="F970" s="41" t="n"/>
      <c r="G970" s="41" t="n"/>
      <c r="H970" s="41" t="n"/>
      <c r="I970" s="50" t="n"/>
      <c r="J970" s="42" t="n"/>
      <c r="K970" s="42" t="n"/>
      <c r="L970" s="43">
        <f>IF($B970="","",ROUND((N($J970)+N($K970))*نسبة_القيمة_المضافة,2))</f>
        <v/>
      </c>
      <c r="M970" s="42" t="n"/>
      <c r="N970" s="42" t="n"/>
      <c r="O970" s="43">
        <f>IF($B970="","",N($J970)+N($K970)+N($L970)-N($M970)+N($N970))</f>
        <v/>
      </c>
      <c r="P970" s="42" t="n"/>
      <c r="Q970" s="43">
        <f>IF($B970="","",N($O970)-N($P970))</f>
        <v/>
      </c>
      <c r="R970" s="42" t="n"/>
      <c r="S970" s="42" t="n"/>
      <c r="T970" s="42" t="n"/>
      <c r="U970" s="43">
        <f>IF($B970="","",N($J970)-N($R970)-N($T970))</f>
        <v/>
      </c>
      <c r="V970" s="42" t="n"/>
    </row>
    <row r="971">
      <c r="A971" s="39">
        <f>IF($B971="","",COUNTA($B$4:$B971))</f>
        <v/>
      </c>
      <c r="B971" s="45" t="n"/>
      <c r="C971" s="46" t="n"/>
      <c r="D971" s="46" t="n"/>
      <c r="E971" s="46" t="n"/>
      <c r="F971" s="46" t="n"/>
      <c r="G971" s="46" t="n"/>
      <c r="H971" s="46" t="n"/>
      <c r="I971" s="51" t="n"/>
      <c r="J971" s="47" t="n"/>
      <c r="K971" s="47" t="n"/>
      <c r="L971" s="43">
        <f>IF($B971="","",ROUND((N($J971)+N($K971))*نسبة_القيمة_المضافة,2))</f>
        <v/>
      </c>
      <c r="M971" s="47" t="n"/>
      <c r="N971" s="47" t="n"/>
      <c r="O971" s="43">
        <f>IF($B971="","",N($J971)+N($K971)+N($L971)-N($M971)+N($N971))</f>
        <v/>
      </c>
      <c r="P971" s="47" t="n"/>
      <c r="Q971" s="43">
        <f>IF($B971="","",N($O971)-N($P971))</f>
        <v/>
      </c>
      <c r="R971" s="47" t="n"/>
      <c r="S971" s="47" t="n"/>
      <c r="T971" s="47" t="n"/>
      <c r="U971" s="43">
        <f>IF($B971="","",N($J971)-N($R971)-N($T971))</f>
        <v/>
      </c>
      <c r="V971" s="47" t="n"/>
    </row>
    <row r="972">
      <c r="A972" s="39">
        <f>IF($B972="","",COUNTA($B$4:$B972))</f>
        <v/>
      </c>
      <c r="B972" s="40" t="n"/>
      <c r="C972" s="41" t="n"/>
      <c r="D972" s="41" t="n"/>
      <c r="E972" s="41" t="n"/>
      <c r="F972" s="41" t="n"/>
      <c r="G972" s="41" t="n"/>
      <c r="H972" s="41" t="n"/>
      <c r="I972" s="50" t="n"/>
      <c r="J972" s="42" t="n"/>
      <c r="K972" s="42" t="n"/>
      <c r="L972" s="43">
        <f>IF($B972="","",ROUND((N($J972)+N($K972))*نسبة_القيمة_المضافة,2))</f>
        <v/>
      </c>
      <c r="M972" s="42" t="n"/>
      <c r="N972" s="42" t="n"/>
      <c r="O972" s="43">
        <f>IF($B972="","",N($J972)+N($K972)+N($L972)-N($M972)+N($N972))</f>
        <v/>
      </c>
      <c r="P972" s="42" t="n"/>
      <c r="Q972" s="43">
        <f>IF($B972="","",N($O972)-N($P972))</f>
        <v/>
      </c>
      <c r="R972" s="42" t="n"/>
      <c r="S972" s="42" t="n"/>
      <c r="T972" s="42" t="n"/>
      <c r="U972" s="43">
        <f>IF($B972="","",N($J972)-N($R972)-N($T972))</f>
        <v/>
      </c>
      <c r="V972" s="42" t="n"/>
    </row>
    <row r="973">
      <c r="A973" s="39">
        <f>IF($B973="","",COUNTA($B$4:$B973))</f>
        <v/>
      </c>
      <c r="B973" s="45" t="n"/>
      <c r="C973" s="46" t="n"/>
      <c r="D973" s="46" t="n"/>
      <c r="E973" s="46" t="n"/>
      <c r="F973" s="46" t="n"/>
      <c r="G973" s="46" t="n"/>
      <c r="H973" s="46" t="n"/>
      <c r="I973" s="51" t="n"/>
      <c r="J973" s="47" t="n"/>
      <c r="K973" s="47" t="n"/>
      <c r="L973" s="43">
        <f>IF($B973="","",ROUND((N($J973)+N($K973))*نسبة_القيمة_المضافة,2))</f>
        <v/>
      </c>
      <c r="M973" s="47" t="n"/>
      <c r="N973" s="47" t="n"/>
      <c r="O973" s="43">
        <f>IF($B973="","",N($J973)+N($K973)+N($L973)-N($M973)+N($N973))</f>
        <v/>
      </c>
      <c r="P973" s="47" t="n"/>
      <c r="Q973" s="43">
        <f>IF($B973="","",N($O973)-N($P973))</f>
        <v/>
      </c>
      <c r="R973" s="47" t="n"/>
      <c r="S973" s="47" t="n"/>
      <c r="T973" s="47" t="n"/>
      <c r="U973" s="43">
        <f>IF($B973="","",N($J973)-N($R973)-N($T973))</f>
        <v/>
      </c>
      <c r="V973" s="47" t="n"/>
    </row>
    <row r="974">
      <c r="A974" s="39">
        <f>IF($B974="","",COUNTA($B$4:$B974))</f>
        <v/>
      </c>
      <c r="B974" s="40" t="n"/>
      <c r="C974" s="41" t="n"/>
      <c r="D974" s="41" t="n"/>
      <c r="E974" s="41" t="n"/>
      <c r="F974" s="41" t="n"/>
      <c r="G974" s="41" t="n"/>
      <c r="H974" s="41" t="n"/>
      <c r="I974" s="50" t="n"/>
      <c r="J974" s="42" t="n"/>
      <c r="K974" s="42" t="n"/>
      <c r="L974" s="43">
        <f>IF($B974="","",ROUND((N($J974)+N($K974))*نسبة_القيمة_المضافة,2))</f>
        <v/>
      </c>
      <c r="M974" s="42" t="n"/>
      <c r="N974" s="42" t="n"/>
      <c r="O974" s="43">
        <f>IF($B974="","",N($J974)+N($K974)+N($L974)-N($M974)+N($N974))</f>
        <v/>
      </c>
      <c r="P974" s="42" t="n"/>
      <c r="Q974" s="43">
        <f>IF($B974="","",N($O974)-N($P974))</f>
        <v/>
      </c>
      <c r="R974" s="42" t="n"/>
      <c r="S974" s="42" t="n"/>
      <c r="T974" s="42" t="n"/>
      <c r="U974" s="43">
        <f>IF($B974="","",N($J974)-N($R974)-N($T974))</f>
        <v/>
      </c>
      <c r="V974" s="42" t="n"/>
    </row>
    <row r="975">
      <c r="A975" s="39">
        <f>IF($B975="","",COUNTA($B$4:$B975))</f>
        <v/>
      </c>
      <c r="B975" s="45" t="n"/>
      <c r="C975" s="46" t="n"/>
      <c r="D975" s="46" t="n"/>
      <c r="E975" s="46" t="n"/>
      <c r="F975" s="46" t="n"/>
      <c r="G975" s="46" t="n"/>
      <c r="H975" s="46" t="n"/>
      <c r="I975" s="51" t="n"/>
      <c r="J975" s="47" t="n"/>
      <c r="K975" s="47" t="n"/>
      <c r="L975" s="43">
        <f>IF($B975="","",ROUND((N($J975)+N($K975))*نسبة_القيمة_المضافة,2))</f>
        <v/>
      </c>
      <c r="M975" s="47" t="n"/>
      <c r="N975" s="47" t="n"/>
      <c r="O975" s="43">
        <f>IF($B975="","",N($J975)+N($K975)+N($L975)-N($M975)+N($N975))</f>
        <v/>
      </c>
      <c r="P975" s="47" t="n"/>
      <c r="Q975" s="43">
        <f>IF($B975="","",N($O975)-N($P975))</f>
        <v/>
      </c>
      <c r="R975" s="47" t="n"/>
      <c r="S975" s="47" t="n"/>
      <c r="T975" s="47" t="n"/>
      <c r="U975" s="43">
        <f>IF($B975="","",N($J975)-N($R975)-N($T975))</f>
        <v/>
      </c>
      <c r="V975" s="47" t="n"/>
    </row>
    <row r="976">
      <c r="A976" s="39">
        <f>IF($B976="","",COUNTA($B$4:$B976))</f>
        <v/>
      </c>
      <c r="B976" s="40" t="n"/>
      <c r="C976" s="41" t="n"/>
      <c r="D976" s="41" t="n"/>
      <c r="E976" s="41" t="n"/>
      <c r="F976" s="41" t="n"/>
      <c r="G976" s="41" t="n"/>
      <c r="H976" s="41" t="n"/>
      <c r="I976" s="50" t="n"/>
      <c r="J976" s="42" t="n"/>
      <c r="K976" s="42" t="n"/>
      <c r="L976" s="43">
        <f>IF($B976="","",ROUND((N($J976)+N($K976))*نسبة_القيمة_المضافة,2))</f>
        <v/>
      </c>
      <c r="M976" s="42" t="n"/>
      <c r="N976" s="42" t="n"/>
      <c r="O976" s="43">
        <f>IF($B976="","",N($J976)+N($K976)+N($L976)-N($M976)+N($N976))</f>
        <v/>
      </c>
      <c r="P976" s="42" t="n"/>
      <c r="Q976" s="43">
        <f>IF($B976="","",N($O976)-N($P976))</f>
        <v/>
      </c>
      <c r="R976" s="42" t="n"/>
      <c r="S976" s="42" t="n"/>
      <c r="T976" s="42" t="n"/>
      <c r="U976" s="43">
        <f>IF($B976="","",N($J976)-N($R976)-N($T976))</f>
        <v/>
      </c>
      <c r="V976" s="42" t="n"/>
    </row>
    <row r="977">
      <c r="A977" s="39">
        <f>IF($B977="","",COUNTA($B$4:$B977))</f>
        <v/>
      </c>
      <c r="B977" s="45" t="n"/>
      <c r="C977" s="46" t="n"/>
      <c r="D977" s="46" t="n"/>
      <c r="E977" s="46" t="n"/>
      <c r="F977" s="46" t="n"/>
      <c r="G977" s="46" t="n"/>
      <c r="H977" s="46" t="n"/>
      <c r="I977" s="51" t="n"/>
      <c r="J977" s="47" t="n"/>
      <c r="K977" s="47" t="n"/>
      <c r="L977" s="43">
        <f>IF($B977="","",ROUND((N($J977)+N($K977))*نسبة_القيمة_المضافة,2))</f>
        <v/>
      </c>
      <c r="M977" s="47" t="n"/>
      <c r="N977" s="47" t="n"/>
      <c r="O977" s="43">
        <f>IF($B977="","",N($J977)+N($K977)+N($L977)-N($M977)+N($N977))</f>
        <v/>
      </c>
      <c r="P977" s="47" t="n"/>
      <c r="Q977" s="43">
        <f>IF($B977="","",N($O977)-N($P977))</f>
        <v/>
      </c>
      <c r="R977" s="47" t="n"/>
      <c r="S977" s="47" t="n"/>
      <c r="T977" s="47" t="n"/>
      <c r="U977" s="43">
        <f>IF($B977="","",N($J977)-N($R977)-N($T977))</f>
        <v/>
      </c>
      <c r="V977" s="47" t="n"/>
    </row>
    <row r="978">
      <c r="A978" s="39">
        <f>IF($B978="","",COUNTA($B$4:$B978))</f>
        <v/>
      </c>
      <c r="B978" s="40" t="n"/>
      <c r="C978" s="41" t="n"/>
      <c r="D978" s="41" t="n"/>
      <c r="E978" s="41" t="n"/>
      <c r="F978" s="41" t="n"/>
      <c r="G978" s="41" t="n"/>
      <c r="H978" s="41" t="n"/>
      <c r="I978" s="50" t="n"/>
      <c r="J978" s="42" t="n"/>
      <c r="K978" s="42" t="n"/>
      <c r="L978" s="43">
        <f>IF($B978="","",ROUND((N($J978)+N($K978))*نسبة_القيمة_المضافة,2))</f>
        <v/>
      </c>
      <c r="M978" s="42" t="n"/>
      <c r="N978" s="42" t="n"/>
      <c r="O978" s="43">
        <f>IF($B978="","",N($J978)+N($K978)+N($L978)-N($M978)+N($N978))</f>
        <v/>
      </c>
      <c r="P978" s="42" t="n"/>
      <c r="Q978" s="43">
        <f>IF($B978="","",N($O978)-N($P978))</f>
        <v/>
      </c>
      <c r="R978" s="42" t="n"/>
      <c r="S978" s="42" t="n"/>
      <c r="T978" s="42" t="n"/>
      <c r="U978" s="43">
        <f>IF($B978="","",N($J978)-N($R978)-N($T978))</f>
        <v/>
      </c>
      <c r="V978" s="42" t="n"/>
    </row>
    <row r="979">
      <c r="A979" s="39">
        <f>IF($B979="","",COUNTA($B$4:$B979))</f>
        <v/>
      </c>
      <c r="B979" s="45" t="n"/>
      <c r="C979" s="46" t="n"/>
      <c r="D979" s="46" t="n"/>
      <c r="E979" s="46" t="n"/>
      <c r="F979" s="46" t="n"/>
      <c r="G979" s="46" t="n"/>
      <c r="H979" s="46" t="n"/>
      <c r="I979" s="51" t="n"/>
      <c r="J979" s="47" t="n"/>
      <c r="K979" s="47" t="n"/>
      <c r="L979" s="43">
        <f>IF($B979="","",ROUND((N($J979)+N($K979))*نسبة_القيمة_المضافة,2))</f>
        <v/>
      </c>
      <c r="M979" s="47" t="n"/>
      <c r="N979" s="47" t="n"/>
      <c r="O979" s="43">
        <f>IF($B979="","",N($J979)+N($K979)+N($L979)-N($M979)+N($N979))</f>
        <v/>
      </c>
      <c r="P979" s="47" t="n"/>
      <c r="Q979" s="43">
        <f>IF($B979="","",N($O979)-N($P979))</f>
        <v/>
      </c>
      <c r="R979" s="47" t="n"/>
      <c r="S979" s="47" t="n"/>
      <c r="T979" s="47" t="n"/>
      <c r="U979" s="43">
        <f>IF($B979="","",N($J979)-N($R979)-N($T979))</f>
        <v/>
      </c>
      <c r="V979" s="47" t="n"/>
    </row>
    <row r="980">
      <c r="A980" s="39">
        <f>IF($B980="","",COUNTA($B$4:$B980))</f>
        <v/>
      </c>
      <c r="B980" s="40" t="n"/>
      <c r="C980" s="41" t="n"/>
      <c r="D980" s="41" t="n"/>
      <c r="E980" s="41" t="n"/>
      <c r="F980" s="41" t="n"/>
      <c r="G980" s="41" t="n"/>
      <c r="H980" s="41" t="n"/>
      <c r="I980" s="50" t="n"/>
      <c r="J980" s="42" t="n"/>
      <c r="K980" s="42" t="n"/>
      <c r="L980" s="43">
        <f>IF($B980="","",ROUND((N($J980)+N($K980))*نسبة_القيمة_المضافة,2))</f>
        <v/>
      </c>
      <c r="M980" s="42" t="n"/>
      <c r="N980" s="42" t="n"/>
      <c r="O980" s="43">
        <f>IF($B980="","",N($J980)+N($K980)+N($L980)-N($M980)+N($N980))</f>
        <v/>
      </c>
      <c r="P980" s="42" t="n"/>
      <c r="Q980" s="43">
        <f>IF($B980="","",N($O980)-N($P980))</f>
        <v/>
      </c>
      <c r="R980" s="42" t="n"/>
      <c r="S980" s="42" t="n"/>
      <c r="T980" s="42" t="n"/>
      <c r="U980" s="43">
        <f>IF($B980="","",N($J980)-N($R980)-N($T980))</f>
        <v/>
      </c>
      <c r="V980" s="42" t="n"/>
    </row>
    <row r="981">
      <c r="A981" s="39">
        <f>IF($B981="","",COUNTA($B$4:$B981))</f>
        <v/>
      </c>
      <c r="B981" s="45" t="n"/>
      <c r="C981" s="46" t="n"/>
      <c r="D981" s="46" t="n"/>
      <c r="E981" s="46" t="n"/>
      <c r="F981" s="46" t="n"/>
      <c r="G981" s="46" t="n"/>
      <c r="H981" s="46" t="n"/>
      <c r="I981" s="51" t="n"/>
      <c r="J981" s="47" t="n"/>
      <c r="K981" s="47" t="n"/>
      <c r="L981" s="43">
        <f>IF($B981="","",ROUND((N($J981)+N($K981))*نسبة_القيمة_المضافة,2))</f>
        <v/>
      </c>
      <c r="M981" s="47" t="n"/>
      <c r="N981" s="47" t="n"/>
      <c r="O981" s="43">
        <f>IF($B981="","",N($J981)+N($K981)+N($L981)-N($M981)+N($N981))</f>
        <v/>
      </c>
      <c r="P981" s="47" t="n"/>
      <c r="Q981" s="43">
        <f>IF($B981="","",N($O981)-N($P981))</f>
        <v/>
      </c>
      <c r="R981" s="47" t="n"/>
      <c r="S981" s="47" t="n"/>
      <c r="T981" s="47" t="n"/>
      <c r="U981" s="43">
        <f>IF($B981="","",N($J981)-N($R981)-N($T981))</f>
        <v/>
      </c>
      <c r="V981" s="47" t="n"/>
    </row>
    <row r="982">
      <c r="A982" s="39">
        <f>IF($B982="","",COUNTA($B$4:$B982))</f>
        <v/>
      </c>
      <c r="B982" s="40" t="n"/>
      <c r="C982" s="41" t="n"/>
      <c r="D982" s="41" t="n"/>
      <c r="E982" s="41" t="n"/>
      <c r="F982" s="41" t="n"/>
      <c r="G982" s="41" t="n"/>
      <c r="H982" s="41" t="n"/>
      <c r="I982" s="50" t="n"/>
      <c r="J982" s="42" t="n"/>
      <c r="K982" s="42" t="n"/>
      <c r="L982" s="43">
        <f>IF($B982="","",ROUND((N($J982)+N($K982))*نسبة_القيمة_المضافة,2))</f>
        <v/>
      </c>
      <c r="M982" s="42" t="n"/>
      <c r="N982" s="42" t="n"/>
      <c r="O982" s="43">
        <f>IF($B982="","",N($J982)+N($K982)+N($L982)-N($M982)+N($N982))</f>
        <v/>
      </c>
      <c r="P982" s="42" t="n"/>
      <c r="Q982" s="43">
        <f>IF($B982="","",N($O982)-N($P982))</f>
        <v/>
      </c>
      <c r="R982" s="42" t="n"/>
      <c r="S982" s="42" t="n"/>
      <c r="T982" s="42" t="n"/>
      <c r="U982" s="43">
        <f>IF($B982="","",N($J982)-N($R982)-N($T982))</f>
        <v/>
      </c>
      <c r="V982" s="42" t="n"/>
    </row>
    <row r="983">
      <c r="A983" s="39">
        <f>IF($B983="","",COUNTA($B$4:$B983))</f>
        <v/>
      </c>
      <c r="B983" s="45" t="n"/>
      <c r="C983" s="46" t="n"/>
      <c r="D983" s="46" t="n"/>
      <c r="E983" s="46" t="n"/>
      <c r="F983" s="46" t="n"/>
      <c r="G983" s="46" t="n"/>
      <c r="H983" s="46" t="n"/>
      <c r="I983" s="51" t="n"/>
      <c r="J983" s="47" t="n"/>
      <c r="K983" s="47" t="n"/>
      <c r="L983" s="43">
        <f>IF($B983="","",ROUND((N($J983)+N($K983))*نسبة_القيمة_المضافة,2))</f>
        <v/>
      </c>
      <c r="M983" s="47" t="n"/>
      <c r="N983" s="47" t="n"/>
      <c r="O983" s="43">
        <f>IF($B983="","",N($J983)+N($K983)+N($L983)-N($M983)+N($N983))</f>
        <v/>
      </c>
      <c r="P983" s="47" t="n"/>
      <c r="Q983" s="43">
        <f>IF($B983="","",N($O983)-N($P983))</f>
        <v/>
      </c>
      <c r="R983" s="47" t="n"/>
      <c r="S983" s="47" t="n"/>
      <c r="T983" s="47" t="n"/>
      <c r="U983" s="43">
        <f>IF($B983="","",N($J983)-N($R983)-N($T983))</f>
        <v/>
      </c>
      <c r="V983" s="47" t="n"/>
    </row>
    <row r="984">
      <c r="A984" s="39">
        <f>IF($B984="","",COUNTA($B$4:$B984))</f>
        <v/>
      </c>
      <c r="B984" s="40" t="n"/>
      <c r="C984" s="41" t="n"/>
      <c r="D984" s="41" t="n"/>
      <c r="E984" s="41" t="n"/>
      <c r="F984" s="41" t="n"/>
      <c r="G984" s="41" t="n"/>
      <c r="H984" s="41" t="n"/>
      <c r="I984" s="50" t="n"/>
      <c r="J984" s="42" t="n"/>
      <c r="K984" s="42" t="n"/>
      <c r="L984" s="43">
        <f>IF($B984="","",ROUND((N($J984)+N($K984))*نسبة_القيمة_المضافة,2))</f>
        <v/>
      </c>
      <c r="M984" s="42" t="n"/>
      <c r="N984" s="42" t="n"/>
      <c r="O984" s="43">
        <f>IF($B984="","",N($J984)+N($K984)+N($L984)-N($M984)+N($N984))</f>
        <v/>
      </c>
      <c r="P984" s="42" t="n"/>
      <c r="Q984" s="43">
        <f>IF($B984="","",N($O984)-N($P984))</f>
        <v/>
      </c>
      <c r="R984" s="42" t="n"/>
      <c r="S984" s="42" t="n"/>
      <c r="T984" s="42" t="n"/>
      <c r="U984" s="43">
        <f>IF($B984="","",N($J984)-N($R984)-N($T984))</f>
        <v/>
      </c>
      <c r="V984" s="42" t="n"/>
    </row>
    <row r="985">
      <c r="A985" s="39">
        <f>IF($B985="","",COUNTA($B$4:$B985))</f>
        <v/>
      </c>
      <c r="B985" s="45" t="n"/>
      <c r="C985" s="46" t="n"/>
      <c r="D985" s="46" t="n"/>
      <c r="E985" s="46" t="n"/>
      <c r="F985" s="46" t="n"/>
      <c r="G985" s="46" t="n"/>
      <c r="H985" s="46" t="n"/>
      <c r="I985" s="51" t="n"/>
      <c r="J985" s="47" t="n"/>
      <c r="K985" s="47" t="n"/>
      <c r="L985" s="43">
        <f>IF($B985="","",ROUND((N($J985)+N($K985))*نسبة_القيمة_المضافة,2))</f>
        <v/>
      </c>
      <c r="M985" s="47" t="n"/>
      <c r="N985" s="47" t="n"/>
      <c r="O985" s="43">
        <f>IF($B985="","",N($J985)+N($K985)+N($L985)-N($M985)+N($N985))</f>
        <v/>
      </c>
      <c r="P985" s="47" t="n"/>
      <c r="Q985" s="43">
        <f>IF($B985="","",N($O985)-N($P985))</f>
        <v/>
      </c>
      <c r="R985" s="47" t="n"/>
      <c r="S985" s="47" t="n"/>
      <c r="T985" s="47" t="n"/>
      <c r="U985" s="43">
        <f>IF($B985="","",N($J985)-N($R985)-N($T985))</f>
        <v/>
      </c>
      <c r="V985" s="47" t="n"/>
    </row>
    <row r="986">
      <c r="A986" s="39">
        <f>IF($B986="","",COUNTA($B$4:$B986))</f>
        <v/>
      </c>
      <c r="B986" s="40" t="n"/>
      <c r="C986" s="41" t="n"/>
      <c r="D986" s="41" t="n"/>
      <c r="E986" s="41" t="n"/>
      <c r="F986" s="41" t="n"/>
      <c r="G986" s="41" t="n"/>
      <c r="H986" s="41" t="n"/>
      <c r="I986" s="50" t="n"/>
      <c r="J986" s="42" t="n"/>
      <c r="K986" s="42" t="n"/>
      <c r="L986" s="43">
        <f>IF($B986="","",ROUND((N($J986)+N($K986))*نسبة_القيمة_المضافة,2))</f>
        <v/>
      </c>
      <c r="M986" s="42" t="n"/>
      <c r="N986" s="42" t="n"/>
      <c r="O986" s="43">
        <f>IF($B986="","",N($J986)+N($K986)+N($L986)-N($M986)+N($N986))</f>
        <v/>
      </c>
      <c r="P986" s="42" t="n"/>
      <c r="Q986" s="43">
        <f>IF($B986="","",N($O986)-N($P986))</f>
        <v/>
      </c>
      <c r="R986" s="42" t="n"/>
      <c r="S986" s="42" t="n"/>
      <c r="T986" s="42" t="n"/>
      <c r="U986" s="43">
        <f>IF($B986="","",N($J986)-N($R986)-N($T986))</f>
        <v/>
      </c>
      <c r="V986" s="42" t="n"/>
    </row>
    <row r="987">
      <c r="A987" s="39">
        <f>IF($B987="","",COUNTA($B$4:$B987))</f>
        <v/>
      </c>
      <c r="B987" s="45" t="n"/>
      <c r="C987" s="46" t="n"/>
      <c r="D987" s="46" t="n"/>
      <c r="E987" s="46" t="n"/>
      <c r="F987" s="46" t="n"/>
      <c r="G987" s="46" t="n"/>
      <c r="H987" s="46" t="n"/>
      <c r="I987" s="51" t="n"/>
      <c r="J987" s="47" t="n"/>
      <c r="K987" s="47" t="n"/>
      <c r="L987" s="43">
        <f>IF($B987="","",ROUND((N($J987)+N($K987))*نسبة_القيمة_المضافة,2))</f>
        <v/>
      </c>
      <c r="M987" s="47" t="n"/>
      <c r="N987" s="47" t="n"/>
      <c r="O987" s="43">
        <f>IF($B987="","",N($J987)+N($K987)+N($L987)-N($M987)+N($N987))</f>
        <v/>
      </c>
      <c r="P987" s="47" t="n"/>
      <c r="Q987" s="43">
        <f>IF($B987="","",N($O987)-N($P987))</f>
        <v/>
      </c>
      <c r="R987" s="47" t="n"/>
      <c r="S987" s="47" t="n"/>
      <c r="T987" s="47" t="n"/>
      <c r="U987" s="43">
        <f>IF($B987="","",N($J987)-N($R987)-N($T987))</f>
        <v/>
      </c>
      <c r="V987" s="47" t="n"/>
    </row>
    <row r="988">
      <c r="A988" s="39">
        <f>IF($B988="","",COUNTA($B$4:$B988))</f>
        <v/>
      </c>
      <c r="B988" s="40" t="n"/>
      <c r="C988" s="41" t="n"/>
      <c r="D988" s="41" t="n"/>
      <c r="E988" s="41" t="n"/>
      <c r="F988" s="41" t="n"/>
      <c r="G988" s="41" t="n"/>
      <c r="H988" s="41" t="n"/>
      <c r="I988" s="50" t="n"/>
      <c r="J988" s="42" t="n"/>
      <c r="K988" s="42" t="n"/>
      <c r="L988" s="43">
        <f>IF($B988="","",ROUND((N($J988)+N($K988))*نسبة_القيمة_المضافة,2))</f>
        <v/>
      </c>
      <c r="M988" s="42" t="n"/>
      <c r="N988" s="42" t="n"/>
      <c r="O988" s="43">
        <f>IF($B988="","",N($J988)+N($K988)+N($L988)-N($M988)+N($N988))</f>
        <v/>
      </c>
      <c r="P988" s="42" t="n"/>
      <c r="Q988" s="43">
        <f>IF($B988="","",N($O988)-N($P988))</f>
        <v/>
      </c>
      <c r="R988" s="42" t="n"/>
      <c r="S988" s="42" t="n"/>
      <c r="T988" s="42" t="n"/>
      <c r="U988" s="43">
        <f>IF($B988="","",N($J988)-N($R988)-N($T988))</f>
        <v/>
      </c>
      <c r="V988" s="42" t="n"/>
    </row>
    <row r="989">
      <c r="A989" s="39">
        <f>IF($B989="","",COUNTA($B$4:$B989))</f>
        <v/>
      </c>
      <c r="B989" s="45" t="n"/>
      <c r="C989" s="46" t="n"/>
      <c r="D989" s="46" t="n"/>
      <c r="E989" s="46" t="n"/>
      <c r="F989" s="46" t="n"/>
      <c r="G989" s="46" t="n"/>
      <c r="H989" s="46" t="n"/>
      <c r="I989" s="51" t="n"/>
      <c r="J989" s="47" t="n"/>
      <c r="K989" s="47" t="n"/>
      <c r="L989" s="43">
        <f>IF($B989="","",ROUND((N($J989)+N($K989))*نسبة_القيمة_المضافة,2))</f>
        <v/>
      </c>
      <c r="M989" s="47" t="n"/>
      <c r="N989" s="47" t="n"/>
      <c r="O989" s="43">
        <f>IF($B989="","",N($J989)+N($K989)+N($L989)-N($M989)+N($N989))</f>
        <v/>
      </c>
      <c r="P989" s="47" t="n"/>
      <c r="Q989" s="43">
        <f>IF($B989="","",N($O989)-N($P989))</f>
        <v/>
      </c>
      <c r="R989" s="47" t="n"/>
      <c r="S989" s="47" t="n"/>
      <c r="T989" s="47" t="n"/>
      <c r="U989" s="43">
        <f>IF($B989="","",N($J989)-N($R989)-N($T989))</f>
        <v/>
      </c>
      <c r="V989" s="47" t="n"/>
    </row>
    <row r="990">
      <c r="A990" s="39">
        <f>IF($B990="","",COUNTA($B$4:$B990))</f>
        <v/>
      </c>
      <c r="B990" s="40" t="n"/>
      <c r="C990" s="41" t="n"/>
      <c r="D990" s="41" t="n"/>
      <c r="E990" s="41" t="n"/>
      <c r="F990" s="41" t="n"/>
      <c r="G990" s="41" t="n"/>
      <c r="H990" s="41" t="n"/>
      <c r="I990" s="50" t="n"/>
      <c r="J990" s="42" t="n"/>
      <c r="K990" s="42" t="n"/>
      <c r="L990" s="43">
        <f>IF($B990="","",ROUND((N($J990)+N($K990))*نسبة_القيمة_المضافة,2))</f>
        <v/>
      </c>
      <c r="M990" s="42" t="n"/>
      <c r="N990" s="42" t="n"/>
      <c r="O990" s="43">
        <f>IF($B990="","",N($J990)+N($K990)+N($L990)-N($M990)+N($N990))</f>
        <v/>
      </c>
      <c r="P990" s="42" t="n"/>
      <c r="Q990" s="43">
        <f>IF($B990="","",N($O990)-N($P990))</f>
        <v/>
      </c>
      <c r="R990" s="42" t="n"/>
      <c r="S990" s="42" t="n"/>
      <c r="T990" s="42" t="n"/>
      <c r="U990" s="43">
        <f>IF($B990="","",N($J990)-N($R990)-N($T990))</f>
        <v/>
      </c>
      <c r="V990" s="42" t="n"/>
    </row>
    <row r="991">
      <c r="A991" s="39">
        <f>IF($B991="","",COUNTA($B$4:$B991))</f>
        <v/>
      </c>
      <c r="B991" s="45" t="n"/>
      <c r="C991" s="46" t="n"/>
      <c r="D991" s="46" t="n"/>
      <c r="E991" s="46" t="n"/>
      <c r="F991" s="46" t="n"/>
      <c r="G991" s="46" t="n"/>
      <c r="H991" s="46" t="n"/>
      <c r="I991" s="51" t="n"/>
      <c r="J991" s="47" t="n"/>
      <c r="K991" s="47" t="n"/>
      <c r="L991" s="43">
        <f>IF($B991="","",ROUND((N($J991)+N($K991))*نسبة_القيمة_المضافة,2))</f>
        <v/>
      </c>
      <c r="M991" s="47" t="n"/>
      <c r="N991" s="47" t="n"/>
      <c r="O991" s="43">
        <f>IF($B991="","",N($J991)+N($K991)+N($L991)-N($M991)+N($N991))</f>
        <v/>
      </c>
      <c r="P991" s="47" t="n"/>
      <c r="Q991" s="43">
        <f>IF($B991="","",N($O991)-N($P991))</f>
        <v/>
      </c>
      <c r="R991" s="47" t="n"/>
      <c r="S991" s="47" t="n"/>
      <c r="T991" s="47" t="n"/>
      <c r="U991" s="43">
        <f>IF($B991="","",N($J991)-N($R991)-N($T991))</f>
        <v/>
      </c>
      <c r="V991" s="47" t="n"/>
    </row>
    <row r="992">
      <c r="A992" s="39">
        <f>IF($B992="","",COUNTA($B$4:$B992))</f>
        <v/>
      </c>
      <c r="B992" s="40" t="n"/>
      <c r="C992" s="41" t="n"/>
      <c r="D992" s="41" t="n"/>
      <c r="E992" s="41" t="n"/>
      <c r="F992" s="41" t="n"/>
      <c r="G992" s="41" t="n"/>
      <c r="H992" s="41" t="n"/>
      <c r="I992" s="50" t="n"/>
      <c r="J992" s="42" t="n"/>
      <c r="K992" s="42" t="n"/>
      <c r="L992" s="43">
        <f>IF($B992="","",ROUND((N($J992)+N($K992))*نسبة_القيمة_المضافة,2))</f>
        <v/>
      </c>
      <c r="M992" s="42" t="n"/>
      <c r="N992" s="42" t="n"/>
      <c r="O992" s="43">
        <f>IF($B992="","",N($J992)+N($K992)+N($L992)-N($M992)+N($N992))</f>
        <v/>
      </c>
      <c r="P992" s="42" t="n"/>
      <c r="Q992" s="43">
        <f>IF($B992="","",N($O992)-N($P992))</f>
        <v/>
      </c>
      <c r="R992" s="42" t="n"/>
      <c r="S992" s="42" t="n"/>
      <c r="T992" s="42" t="n"/>
      <c r="U992" s="43">
        <f>IF($B992="","",N($J992)-N($R992)-N($T992))</f>
        <v/>
      </c>
      <c r="V992" s="42" t="n"/>
    </row>
    <row r="993">
      <c r="A993" s="39">
        <f>IF($B993="","",COUNTA($B$4:$B993))</f>
        <v/>
      </c>
      <c r="B993" s="45" t="n"/>
      <c r="C993" s="46" t="n"/>
      <c r="D993" s="46" t="n"/>
      <c r="E993" s="46" t="n"/>
      <c r="F993" s="46" t="n"/>
      <c r="G993" s="46" t="n"/>
      <c r="H993" s="46" t="n"/>
      <c r="I993" s="51" t="n"/>
      <c r="J993" s="47" t="n"/>
      <c r="K993" s="47" t="n"/>
      <c r="L993" s="43">
        <f>IF($B993="","",ROUND((N($J993)+N($K993))*نسبة_القيمة_المضافة,2))</f>
        <v/>
      </c>
      <c r="M993" s="47" t="n"/>
      <c r="N993" s="47" t="n"/>
      <c r="O993" s="43">
        <f>IF($B993="","",N($J993)+N($K993)+N($L993)-N($M993)+N($N993))</f>
        <v/>
      </c>
      <c r="P993" s="47" t="n"/>
      <c r="Q993" s="43">
        <f>IF($B993="","",N($O993)-N($P993))</f>
        <v/>
      </c>
      <c r="R993" s="47" t="n"/>
      <c r="S993" s="47" t="n"/>
      <c r="T993" s="47" t="n"/>
      <c r="U993" s="43">
        <f>IF($B993="","",N($J993)-N($R993)-N($T993))</f>
        <v/>
      </c>
      <c r="V993" s="47" t="n"/>
    </row>
    <row r="994">
      <c r="A994" s="39">
        <f>IF($B994="","",COUNTA($B$4:$B994))</f>
        <v/>
      </c>
      <c r="B994" s="40" t="n"/>
      <c r="C994" s="41" t="n"/>
      <c r="D994" s="41" t="n"/>
      <c r="E994" s="41" t="n"/>
      <c r="F994" s="41" t="n"/>
      <c r="G994" s="41" t="n"/>
      <c r="H994" s="41" t="n"/>
      <c r="I994" s="50" t="n"/>
      <c r="J994" s="42" t="n"/>
      <c r="K994" s="42" t="n"/>
      <c r="L994" s="43">
        <f>IF($B994="","",ROUND((N($J994)+N($K994))*نسبة_القيمة_المضافة,2))</f>
        <v/>
      </c>
      <c r="M994" s="42" t="n"/>
      <c r="N994" s="42" t="n"/>
      <c r="O994" s="43">
        <f>IF($B994="","",N($J994)+N($K994)+N($L994)-N($M994)+N($N994))</f>
        <v/>
      </c>
      <c r="P994" s="42" t="n"/>
      <c r="Q994" s="43">
        <f>IF($B994="","",N($O994)-N($P994))</f>
        <v/>
      </c>
      <c r="R994" s="42" t="n"/>
      <c r="S994" s="42" t="n"/>
      <c r="T994" s="42" t="n"/>
      <c r="U994" s="43">
        <f>IF($B994="","",N($J994)-N($R994)-N($T994))</f>
        <v/>
      </c>
      <c r="V994" s="42" t="n"/>
    </row>
    <row r="995">
      <c r="A995" s="39">
        <f>IF($B995="","",COUNTA($B$4:$B995))</f>
        <v/>
      </c>
      <c r="B995" s="45" t="n"/>
      <c r="C995" s="46" t="n"/>
      <c r="D995" s="46" t="n"/>
      <c r="E995" s="46" t="n"/>
      <c r="F995" s="46" t="n"/>
      <c r="G995" s="46" t="n"/>
      <c r="H995" s="46" t="n"/>
      <c r="I995" s="51" t="n"/>
      <c r="J995" s="47" t="n"/>
      <c r="K995" s="47" t="n"/>
      <c r="L995" s="43">
        <f>IF($B995="","",ROUND((N($J995)+N($K995))*نسبة_القيمة_المضافة,2))</f>
        <v/>
      </c>
      <c r="M995" s="47" t="n"/>
      <c r="N995" s="47" t="n"/>
      <c r="O995" s="43">
        <f>IF($B995="","",N($J995)+N($K995)+N($L995)-N($M995)+N($N995))</f>
        <v/>
      </c>
      <c r="P995" s="47" t="n"/>
      <c r="Q995" s="43">
        <f>IF($B995="","",N($O995)-N($P995))</f>
        <v/>
      </c>
      <c r="R995" s="47" t="n"/>
      <c r="S995" s="47" t="n"/>
      <c r="T995" s="47" t="n"/>
      <c r="U995" s="43">
        <f>IF($B995="","",N($J995)-N($R995)-N($T995))</f>
        <v/>
      </c>
      <c r="V995" s="47" t="n"/>
    </row>
    <row r="996">
      <c r="A996" s="39">
        <f>IF($B996="","",COUNTA($B$4:$B996))</f>
        <v/>
      </c>
      <c r="B996" s="40" t="n"/>
      <c r="C996" s="41" t="n"/>
      <c r="D996" s="41" t="n"/>
      <c r="E996" s="41" t="n"/>
      <c r="F996" s="41" t="n"/>
      <c r="G996" s="41" t="n"/>
      <c r="H996" s="41" t="n"/>
      <c r="I996" s="50" t="n"/>
      <c r="J996" s="42" t="n"/>
      <c r="K996" s="42" t="n"/>
      <c r="L996" s="43">
        <f>IF($B996="","",ROUND((N($J996)+N($K996))*نسبة_القيمة_المضافة,2))</f>
        <v/>
      </c>
      <c r="M996" s="42" t="n"/>
      <c r="N996" s="42" t="n"/>
      <c r="O996" s="43">
        <f>IF($B996="","",N($J996)+N($K996)+N($L996)-N($M996)+N($N996))</f>
        <v/>
      </c>
      <c r="P996" s="42" t="n"/>
      <c r="Q996" s="43">
        <f>IF($B996="","",N($O996)-N($P996))</f>
        <v/>
      </c>
      <c r="R996" s="42" t="n"/>
      <c r="S996" s="42" t="n"/>
      <c r="T996" s="42" t="n"/>
      <c r="U996" s="43">
        <f>IF($B996="","",N($J996)-N($R996)-N($T996))</f>
        <v/>
      </c>
      <c r="V996" s="42" t="n"/>
    </row>
    <row r="997">
      <c r="A997" s="39">
        <f>IF($B997="","",COUNTA($B$4:$B997))</f>
        <v/>
      </c>
      <c r="B997" s="45" t="n"/>
      <c r="C997" s="46" t="n"/>
      <c r="D997" s="46" t="n"/>
      <c r="E997" s="46" t="n"/>
      <c r="F997" s="46" t="n"/>
      <c r="G997" s="46" t="n"/>
      <c r="H997" s="46" t="n"/>
      <c r="I997" s="51" t="n"/>
      <c r="J997" s="47" t="n"/>
      <c r="K997" s="47" t="n"/>
      <c r="L997" s="43">
        <f>IF($B997="","",ROUND((N($J997)+N($K997))*نسبة_القيمة_المضافة,2))</f>
        <v/>
      </c>
      <c r="M997" s="47" t="n"/>
      <c r="N997" s="47" t="n"/>
      <c r="O997" s="43">
        <f>IF($B997="","",N($J997)+N($K997)+N($L997)-N($M997)+N($N997))</f>
        <v/>
      </c>
      <c r="P997" s="47" t="n"/>
      <c r="Q997" s="43">
        <f>IF($B997="","",N($O997)-N($P997))</f>
        <v/>
      </c>
      <c r="R997" s="47" t="n"/>
      <c r="S997" s="47" t="n"/>
      <c r="T997" s="47" t="n"/>
      <c r="U997" s="43">
        <f>IF($B997="","",N($J997)-N($R997)-N($T997))</f>
        <v/>
      </c>
      <c r="V997" s="47" t="n"/>
    </row>
    <row r="998">
      <c r="A998" s="39">
        <f>IF($B998="","",COUNTA($B$4:$B998))</f>
        <v/>
      </c>
      <c r="B998" s="40" t="n"/>
      <c r="C998" s="41" t="n"/>
      <c r="D998" s="41" t="n"/>
      <c r="E998" s="41" t="n"/>
      <c r="F998" s="41" t="n"/>
      <c r="G998" s="41" t="n"/>
      <c r="H998" s="41" t="n"/>
      <c r="I998" s="50" t="n"/>
      <c r="J998" s="42" t="n"/>
      <c r="K998" s="42" t="n"/>
      <c r="L998" s="43">
        <f>IF($B998="","",ROUND((N($J998)+N($K998))*نسبة_القيمة_المضافة,2))</f>
        <v/>
      </c>
      <c r="M998" s="42" t="n"/>
      <c r="N998" s="42" t="n"/>
      <c r="O998" s="43">
        <f>IF($B998="","",N($J998)+N($K998)+N($L998)-N($M998)+N($N998))</f>
        <v/>
      </c>
      <c r="P998" s="42" t="n"/>
      <c r="Q998" s="43">
        <f>IF($B998="","",N($O998)-N($P998))</f>
        <v/>
      </c>
      <c r="R998" s="42" t="n"/>
      <c r="S998" s="42" t="n"/>
      <c r="T998" s="42" t="n"/>
      <c r="U998" s="43">
        <f>IF($B998="","",N($J998)-N($R998)-N($T998))</f>
        <v/>
      </c>
      <c r="V998" s="42" t="n"/>
    </row>
    <row r="999">
      <c r="A999" s="39">
        <f>IF($B999="","",COUNTA($B$4:$B999))</f>
        <v/>
      </c>
      <c r="B999" s="45" t="n"/>
      <c r="C999" s="46" t="n"/>
      <c r="D999" s="46" t="n"/>
      <c r="E999" s="46" t="n"/>
      <c r="F999" s="46" t="n"/>
      <c r="G999" s="46" t="n"/>
      <c r="H999" s="46" t="n"/>
      <c r="I999" s="51" t="n"/>
      <c r="J999" s="47" t="n"/>
      <c r="K999" s="47" t="n"/>
      <c r="L999" s="43">
        <f>IF($B999="","",ROUND((N($J999)+N($K999))*نسبة_القيمة_المضافة,2))</f>
        <v/>
      </c>
      <c r="M999" s="47" t="n"/>
      <c r="N999" s="47" t="n"/>
      <c r="O999" s="43">
        <f>IF($B999="","",N($J999)+N($K999)+N($L999)-N($M999)+N($N999))</f>
        <v/>
      </c>
      <c r="P999" s="47" t="n"/>
      <c r="Q999" s="43">
        <f>IF($B999="","",N($O999)-N($P999))</f>
        <v/>
      </c>
      <c r="R999" s="47" t="n"/>
      <c r="S999" s="47" t="n"/>
      <c r="T999" s="47" t="n"/>
      <c r="U999" s="43">
        <f>IF($B999="","",N($J999)-N($R999)-N($T999))</f>
        <v/>
      </c>
      <c r="V999" s="47" t="n"/>
    </row>
    <row r="1000">
      <c r="A1000" s="39">
        <f>IF($B1000="","",COUNTA($B$4:$B1000))</f>
        <v/>
      </c>
      <c r="B1000" s="40" t="n"/>
      <c r="C1000" s="41" t="n"/>
      <c r="D1000" s="41" t="n"/>
      <c r="E1000" s="41" t="n"/>
      <c r="F1000" s="41" t="n"/>
      <c r="G1000" s="41" t="n"/>
      <c r="H1000" s="41" t="n"/>
      <c r="I1000" s="50" t="n"/>
      <c r="J1000" s="42" t="n"/>
      <c r="K1000" s="42" t="n"/>
      <c r="L1000" s="43">
        <f>IF($B1000="","",ROUND((N($J1000)+N($K1000))*نسبة_القيمة_المضافة,2))</f>
        <v/>
      </c>
      <c r="M1000" s="42" t="n"/>
      <c r="N1000" s="42" t="n"/>
      <c r="O1000" s="43">
        <f>IF($B1000="","",N($J1000)+N($K1000)+N($L1000)-N($M1000)+N($N1000))</f>
        <v/>
      </c>
      <c r="P1000" s="42" t="n"/>
      <c r="Q1000" s="43">
        <f>IF($B1000="","",N($O1000)-N($P1000))</f>
        <v/>
      </c>
      <c r="R1000" s="42" t="n"/>
      <c r="S1000" s="42" t="n"/>
      <c r="T1000" s="42" t="n"/>
      <c r="U1000" s="43">
        <f>IF($B1000="","",N($J1000)-N($R1000)-N($T1000))</f>
        <v/>
      </c>
      <c r="V1000" s="42" t="n"/>
    </row>
    <row r="1001">
      <c r="A1001" s="39">
        <f>IF($B1001="","",COUNTA($B$4:$B1001))</f>
        <v/>
      </c>
      <c r="B1001" s="45" t="n"/>
      <c r="C1001" s="46" t="n"/>
      <c r="D1001" s="46" t="n"/>
      <c r="E1001" s="46" t="n"/>
      <c r="F1001" s="46" t="n"/>
      <c r="G1001" s="46" t="n"/>
      <c r="H1001" s="46" t="n"/>
      <c r="I1001" s="51" t="n"/>
      <c r="J1001" s="47" t="n"/>
      <c r="K1001" s="47" t="n"/>
      <c r="L1001" s="43">
        <f>IF($B1001="","",ROUND((N($J1001)+N($K1001))*نسبة_القيمة_المضافة,2))</f>
        <v/>
      </c>
      <c r="M1001" s="47" t="n"/>
      <c r="N1001" s="47" t="n"/>
      <c r="O1001" s="43">
        <f>IF($B1001="","",N($J1001)+N($K1001)+N($L1001)-N($M1001)+N($N1001))</f>
        <v/>
      </c>
      <c r="P1001" s="47" t="n"/>
      <c r="Q1001" s="43">
        <f>IF($B1001="","",N($O1001)-N($P1001))</f>
        <v/>
      </c>
      <c r="R1001" s="47" t="n"/>
      <c r="S1001" s="47" t="n"/>
      <c r="T1001" s="47" t="n"/>
      <c r="U1001" s="43">
        <f>IF($B1001="","",N($J1001)-N($R1001)-N($T1001))</f>
        <v/>
      </c>
      <c r="V1001" s="47" t="n"/>
    </row>
    <row r="1002">
      <c r="A1002" s="39">
        <f>IF($B1002="","",COUNTA($B$4:$B1002))</f>
        <v/>
      </c>
      <c r="B1002" s="40" t="n"/>
      <c r="C1002" s="41" t="n"/>
      <c r="D1002" s="41" t="n"/>
      <c r="E1002" s="41" t="n"/>
      <c r="F1002" s="41" t="n"/>
      <c r="G1002" s="41" t="n"/>
      <c r="H1002" s="41" t="n"/>
      <c r="I1002" s="50" t="n"/>
      <c r="J1002" s="42" t="n"/>
      <c r="K1002" s="42" t="n"/>
      <c r="L1002" s="43">
        <f>IF($B1002="","",ROUND((N($J1002)+N($K1002))*نسبة_القيمة_المضافة,2))</f>
        <v/>
      </c>
      <c r="M1002" s="42" t="n"/>
      <c r="N1002" s="42" t="n"/>
      <c r="O1002" s="43">
        <f>IF($B1002="","",N($J1002)+N($K1002)+N($L1002)-N($M1002)+N($N1002))</f>
        <v/>
      </c>
      <c r="P1002" s="42" t="n"/>
      <c r="Q1002" s="43">
        <f>IF($B1002="","",N($O1002)-N($P1002))</f>
        <v/>
      </c>
      <c r="R1002" s="42" t="n"/>
      <c r="S1002" s="42" t="n"/>
      <c r="T1002" s="42" t="n"/>
      <c r="U1002" s="43">
        <f>IF($B1002="","",N($J1002)-N($R1002)-N($T1002))</f>
        <v/>
      </c>
      <c r="V1002" s="42" t="n"/>
    </row>
    <row r="1003">
      <c r="A1003" s="39">
        <f>IF($B1003="","",COUNTA($B$4:$B1003))</f>
        <v/>
      </c>
      <c r="B1003" s="45" t="n"/>
      <c r="C1003" s="46" t="n"/>
      <c r="D1003" s="46" t="n"/>
      <c r="E1003" s="46" t="n"/>
      <c r="F1003" s="46" t="n"/>
      <c r="G1003" s="46" t="n"/>
      <c r="H1003" s="46" t="n"/>
      <c r="I1003" s="51" t="n"/>
      <c r="J1003" s="47" t="n"/>
      <c r="K1003" s="47" t="n"/>
      <c r="L1003" s="43">
        <f>IF($B1003="","",ROUND((N($J1003)+N($K1003))*نسبة_القيمة_المضافة,2))</f>
        <v/>
      </c>
      <c r="M1003" s="47" t="n"/>
      <c r="N1003" s="47" t="n"/>
      <c r="O1003" s="43">
        <f>IF($B1003="","",N($J1003)+N($K1003)+N($L1003)-N($M1003)+N($N1003))</f>
        <v/>
      </c>
      <c r="P1003" s="47" t="n"/>
      <c r="Q1003" s="43">
        <f>IF($B1003="","",N($O1003)-N($P1003))</f>
        <v/>
      </c>
      <c r="R1003" s="47" t="n"/>
      <c r="S1003" s="47" t="n"/>
      <c r="T1003" s="47" t="n"/>
      <c r="U1003" s="43">
        <f>IF($B1003="","",N($J1003)-N($R1003)-N($T1003))</f>
        <v/>
      </c>
      <c r="V1003" s="47" t="n"/>
    </row>
    <row r="1004">
      <c r="A1004" s="39">
        <f>IF($B1004="","",COUNTA($B$4:$B1004))</f>
        <v/>
      </c>
      <c r="B1004" s="40" t="n"/>
      <c r="C1004" s="41" t="n"/>
      <c r="D1004" s="41" t="n"/>
      <c r="E1004" s="41" t="n"/>
      <c r="F1004" s="41" t="n"/>
      <c r="G1004" s="41" t="n"/>
      <c r="H1004" s="41" t="n"/>
      <c r="I1004" s="50" t="n"/>
      <c r="J1004" s="42" t="n"/>
      <c r="K1004" s="42" t="n"/>
      <c r="L1004" s="43">
        <f>IF($B1004="","",ROUND((N($J1004)+N($K1004))*نسبة_القيمة_المضافة,2))</f>
        <v/>
      </c>
      <c r="M1004" s="42" t="n"/>
      <c r="N1004" s="42" t="n"/>
      <c r="O1004" s="43">
        <f>IF($B1004="","",N($J1004)+N($K1004)+N($L1004)-N($M1004)+N($N1004))</f>
        <v/>
      </c>
      <c r="P1004" s="42" t="n"/>
      <c r="Q1004" s="43">
        <f>IF($B1004="","",N($O1004)-N($P1004))</f>
        <v/>
      </c>
      <c r="R1004" s="42" t="n"/>
      <c r="S1004" s="42" t="n"/>
      <c r="T1004" s="42" t="n"/>
      <c r="U1004" s="43">
        <f>IF($B1004="","",N($J1004)-N($R1004)-N($T1004))</f>
        <v/>
      </c>
      <c r="V1004" s="42" t="n"/>
    </row>
    <row r="1005">
      <c r="A1005" s="39">
        <f>IF($B1005="","",COUNTA($B$4:$B1005))</f>
        <v/>
      </c>
      <c r="B1005" s="45" t="n"/>
      <c r="C1005" s="46" t="n"/>
      <c r="D1005" s="46" t="n"/>
      <c r="E1005" s="46" t="n"/>
      <c r="F1005" s="46" t="n"/>
      <c r="G1005" s="46" t="n"/>
      <c r="H1005" s="46" t="n"/>
      <c r="I1005" s="51" t="n"/>
      <c r="J1005" s="47" t="n"/>
      <c r="K1005" s="47" t="n"/>
      <c r="L1005" s="43">
        <f>IF($B1005="","",ROUND((N($J1005)+N($K1005))*نسبة_القيمة_المضافة,2))</f>
        <v/>
      </c>
      <c r="M1005" s="47" t="n"/>
      <c r="N1005" s="47" t="n"/>
      <c r="O1005" s="43">
        <f>IF($B1005="","",N($J1005)+N($K1005)+N($L1005)-N($M1005)+N($N1005))</f>
        <v/>
      </c>
      <c r="P1005" s="47" t="n"/>
      <c r="Q1005" s="43">
        <f>IF($B1005="","",N($O1005)-N($P1005))</f>
        <v/>
      </c>
      <c r="R1005" s="47" t="n"/>
      <c r="S1005" s="47" t="n"/>
      <c r="T1005" s="47" t="n"/>
      <c r="U1005" s="43">
        <f>IF($B1005="","",N($J1005)-N($R1005)-N($T1005))</f>
        <v/>
      </c>
      <c r="V1005" s="47" t="n"/>
    </row>
    <row r="1006">
      <c r="A1006" s="39">
        <f>IF($B1006="","",COUNTA($B$4:$B1006))</f>
        <v/>
      </c>
      <c r="B1006" s="40" t="n"/>
      <c r="C1006" s="41" t="n"/>
      <c r="D1006" s="41" t="n"/>
      <c r="E1006" s="41" t="n"/>
      <c r="F1006" s="41" t="n"/>
      <c r="G1006" s="41" t="n"/>
      <c r="H1006" s="41" t="n"/>
      <c r="I1006" s="50" t="n"/>
      <c r="J1006" s="42" t="n"/>
      <c r="K1006" s="42" t="n"/>
      <c r="L1006" s="43">
        <f>IF($B1006="","",ROUND((N($J1006)+N($K1006))*نسبة_القيمة_المضافة,2))</f>
        <v/>
      </c>
      <c r="M1006" s="42" t="n"/>
      <c r="N1006" s="42" t="n"/>
      <c r="O1006" s="43">
        <f>IF($B1006="","",N($J1006)+N($K1006)+N($L1006)-N($M1006)+N($N1006))</f>
        <v/>
      </c>
      <c r="P1006" s="42" t="n"/>
      <c r="Q1006" s="43">
        <f>IF($B1006="","",N($O1006)-N($P1006))</f>
        <v/>
      </c>
      <c r="R1006" s="42" t="n"/>
      <c r="S1006" s="42" t="n"/>
      <c r="T1006" s="42" t="n"/>
      <c r="U1006" s="43">
        <f>IF($B1006="","",N($J1006)-N($R1006)-N($T1006))</f>
        <v/>
      </c>
      <c r="V1006" s="42" t="n"/>
    </row>
    <row r="1007">
      <c r="A1007" s="39">
        <f>IF($B1007="","",COUNTA($B$4:$B1007))</f>
        <v/>
      </c>
      <c r="B1007" s="45" t="n"/>
      <c r="C1007" s="46" t="n"/>
      <c r="D1007" s="46" t="n"/>
      <c r="E1007" s="46" t="n"/>
      <c r="F1007" s="46" t="n"/>
      <c r="G1007" s="46" t="n"/>
      <c r="H1007" s="46" t="n"/>
      <c r="I1007" s="51" t="n"/>
      <c r="J1007" s="47" t="n"/>
      <c r="K1007" s="47" t="n"/>
      <c r="L1007" s="43">
        <f>IF($B1007="","",ROUND((N($J1007)+N($K1007))*نسبة_القيمة_المضافة,2))</f>
        <v/>
      </c>
      <c r="M1007" s="47" t="n"/>
      <c r="N1007" s="47" t="n"/>
      <c r="O1007" s="43">
        <f>IF($B1007="","",N($J1007)+N($K1007)+N($L1007)-N($M1007)+N($N1007))</f>
        <v/>
      </c>
      <c r="P1007" s="47" t="n"/>
      <c r="Q1007" s="43">
        <f>IF($B1007="","",N($O1007)-N($P1007))</f>
        <v/>
      </c>
      <c r="R1007" s="47" t="n"/>
      <c r="S1007" s="47" t="n"/>
      <c r="T1007" s="47" t="n"/>
      <c r="U1007" s="43">
        <f>IF($B1007="","",N($J1007)-N($R1007)-N($T1007))</f>
        <v/>
      </c>
      <c r="V1007" s="47" t="n"/>
    </row>
    <row r="1008">
      <c r="A1008" s="39">
        <f>IF($B1008="","",COUNTA($B$4:$B1008))</f>
        <v/>
      </c>
      <c r="B1008" s="40" t="n"/>
      <c r="C1008" s="41" t="n"/>
      <c r="D1008" s="41" t="n"/>
      <c r="E1008" s="41" t="n"/>
      <c r="F1008" s="41" t="n"/>
      <c r="G1008" s="41" t="n"/>
      <c r="H1008" s="41" t="n"/>
      <c r="I1008" s="50" t="n"/>
      <c r="J1008" s="42" t="n"/>
      <c r="K1008" s="42" t="n"/>
      <c r="L1008" s="43">
        <f>IF($B1008="","",ROUND((N($J1008)+N($K1008))*نسبة_القيمة_المضافة,2))</f>
        <v/>
      </c>
      <c r="M1008" s="42" t="n"/>
      <c r="N1008" s="42" t="n"/>
      <c r="O1008" s="43">
        <f>IF($B1008="","",N($J1008)+N($K1008)+N($L1008)-N($M1008)+N($N1008))</f>
        <v/>
      </c>
      <c r="P1008" s="42" t="n"/>
      <c r="Q1008" s="43">
        <f>IF($B1008="","",N($O1008)-N($P1008))</f>
        <v/>
      </c>
      <c r="R1008" s="42" t="n"/>
      <c r="S1008" s="42" t="n"/>
      <c r="T1008" s="42" t="n"/>
      <c r="U1008" s="43">
        <f>IF($B1008="","",N($J1008)-N($R1008)-N($T1008))</f>
        <v/>
      </c>
      <c r="V1008" s="42" t="n"/>
    </row>
    <row r="1009">
      <c r="A1009" s="39">
        <f>IF($B1009="","",COUNTA($B$4:$B1009))</f>
        <v/>
      </c>
      <c r="B1009" s="45" t="n"/>
      <c r="C1009" s="46" t="n"/>
      <c r="D1009" s="46" t="n"/>
      <c r="E1009" s="46" t="n"/>
      <c r="F1009" s="46" t="n"/>
      <c r="G1009" s="46" t="n"/>
      <c r="H1009" s="46" t="n"/>
      <c r="I1009" s="51" t="n"/>
      <c r="J1009" s="47" t="n"/>
      <c r="K1009" s="47" t="n"/>
      <c r="L1009" s="43">
        <f>IF($B1009="","",ROUND((N($J1009)+N($K1009))*نسبة_القيمة_المضافة,2))</f>
        <v/>
      </c>
      <c r="M1009" s="47" t="n"/>
      <c r="N1009" s="47" t="n"/>
      <c r="O1009" s="43">
        <f>IF($B1009="","",N($J1009)+N($K1009)+N($L1009)-N($M1009)+N($N1009))</f>
        <v/>
      </c>
      <c r="P1009" s="47" t="n"/>
      <c r="Q1009" s="43">
        <f>IF($B1009="","",N($O1009)-N($P1009))</f>
        <v/>
      </c>
      <c r="R1009" s="47" t="n"/>
      <c r="S1009" s="47" t="n"/>
      <c r="T1009" s="47" t="n"/>
      <c r="U1009" s="43">
        <f>IF($B1009="","",N($J1009)-N($R1009)-N($T1009))</f>
        <v/>
      </c>
      <c r="V1009" s="47" t="n"/>
    </row>
    <row r="1010">
      <c r="A1010" s="39">
        <f>IF($B1010="","",COUNTA($B$4:$B1010))</f>
        <v/>
      </c>
      <c r="B1010" s="40" t="n"/>
      <c r="C1010" s="41" t="n"/>
      <c r="D1010" s="41" t="n"/>
      <c r="E1010" s="41" t="n"/>
      <c r="F1010" s="41" t="n"/>
      <c r="G1010" s="41" t="n"/>
      <c r="H1010" s="41" t="n"/>
      <c r="I1010" s="50" t="n"/>
      <c r="J1010" s="42" t="n"/>
      <c r="K1010" s="42" t="n"/>
      <c r="L1010" s="43">
        <f>IF($B1010="","",ROUND((N($J1010)+N($K1010))*نسبة_القيمة_المضافة,2))</f>
        <v/>
      </c>
      <c r="M1010" s="42" t="n"/>
      <c r="N1010" s="42" t="n"/>
      <c r="O1010" s="43">
        <f>IF($B1010="","",N($J1010)+N($K1010)+N($L1010)-N($M1010)+N($N1010))</f>
        <v/>
      </c>
      <c r="P1010" s="42" t="n"/>
      <c r="Q1010" s="43">
        <f>IF($B1010="","",N($O1010)-N($P1010))</f>
        <v/>
      </c>
      <c r="R1010" s="42" t="n"/>
      <c r="S1010" s="42" t="n"/>
      <c r="T1010" s="42" t="n"/>
      <c r="U1010" s="43">
        <f>IF($B1010="","",N($J1010)-N($R1010)-N($T1010))</f>
        <v/>
      </c>
      <c r="V1010" s="42" t="n"/>
    </row>
    <row r="1011">
      <c r="A1011" s="39">
        <f>IF($B1011="","",COUNTA($B$4:$B1011))</f>
        <v/>
      </c>
      <c r="B1011" s="45" t="n"/>
      <c r="C1011" s="46" t="n"/>
      <c r="D1011" s="46" t="n"/>
      <c r="E1011" s="46" t="n"/>
      <c r="F1011" s="46" t="n"/>
      <c r="G1011" s="46" t="n"/>
      <c r="H1011" s="46" t="n"/>
      <c r="I1011" s="51" t="n"/>
      <c r="J1011" s="47" t="n"/>
      <c r="K1011" s="47" t="n"/>
      <c r="L1011" s="43">
        <f>IF($B1011="","",ROUND((N($J1011)+N($K1011))*نسبة_القيمة_المضافة,2))</f>
        <v/>
      </c>
      <c r="M1011" s="47" t="n"/>
      <c r="N1011" s="47" t="n"/>
      <c r="O1011" s="43">
        <f>IF($B1011="","",N($J1011)+N($K1011)+N($L1011)-N($M1011)+N($N1011))</f>
        <v/>
      </c>
      <c r="P1011" s="47" t="n"/>
      <c r="Q1011" s="43">
        <f>IF($B1011="","",N($O1011)-N($P1011))</f>
        <v/>
      </c>
      <c r="R1011" s="47" t="n"/>
      <c r="S1011" s="47" t="n"/>
      <c r="T1011" s="47" t="n"/>
      <c r="U1011" s="43">
        <f>IF($B1011="","",N($J1011)-N($R1011)-N($T1011))</f>
        <v/>
      </c>
      <c r="V1011" s="47" t="n"/>
    </row>
    <row r="1012">
      <c r="A1012" s="39">
        <f>IF($B1012="","",COUNTA($B$4:$B1012))</f>
        <v/>
      </c>
      <c r="B1012" s="40" t="n"/>
      <c r="C1012" s="41" t="n"/>
      <c r="D1012" s="41" t="n"/>
      <c r="E1012" s="41" t="n"/>
      <c r="F1012" s="41" t="n"/>
      <c r="G1012" s="41" t="n"/>
      <c r="H1012" s="41" t="n"/>
      <c r="I1012" s="50" t="n"/>
      <c r="J1012" s="42" t="n"/>
      <c r="K1012" s="42" t="n"/>
      <c r="L1012" s="43">
        <f>IF($B1012="","",ROUND((N($J1012)+N($K1012))*نسبة_القيمة_المضافة,2))</f>
        <v/>
      </c>
      <c r="M1012" s="42" t="n"/>
      <c r="N1012" s="42" t="n"/>
      <c r="O1012" s="43">
        <f>IF($B1012="","",N($J1012)+N($K1012)+N($L1012)-N($M1012)+N($N1012))</f>
        <v/>
      </c>
      <c r="P1012" s="42" t="n"/>
      <c r="Q1012" s="43">
        <f>IF($B1012="","",N($O1012)-N($P1012))</f>
        <v/>
      </c>
      <c r="R1012" s="42" t="n"/>
      <c r="S1012" s="42" t="n"/>
      <c r="T1012" s="42" t="n"/>
      <c r="U1012" s="43">
        <f>IF($B1012="","",N($J1012)-N($R1012)-N($T1012))</f>
        <v/>
      </c>
      <c r="V1012" s="42" t="n"/>
    </row>
    <row r="1013">
      <c r="A1013" s="39">
        <f>IF($B1013="","",COUNTA($B$4:$B1013))</f>
        <v/>
      </c>
      <c r="B1013" s="45" t="n"/>
      <c r="C1013" s="46" t="n"/>
      <c r="D1013" s="46" t="n"/>
      <c r="E1013" s="46" t="n"/>
      <c r="F1013" s="46" t="n"/>
      <c r="G1013" s="46" t="n"/>
      <c r="H1013" s="46" t="n"/>
      <c r="I1013" s="51" t="n"/>
      <c r="J1013" s="47" t="n"/>
      <c r="K1013" s="47" t="n"/>
      <c r="L1013" s="43">
        <f>IF($B1013="","",ROUND((N($J1013)+N($K1013))*نسبة_القيمة_المضافة,2))</f>
        <v/>
      </c>
      <c r="M1013" s="47" t="n"/>
      <c r="N1013" s="47" t="n"/>
      <c r="O1013" s="43">
        <f>IF($B1013="","",N($J1013)+N($K1013)+N($L1013)-N($M1013)+N($N1013))</f>
        <v/>
      </c>
      <c r="P1013" s="47" t="n"/>
      <c r="Q1013" s="43">
        <f>IF($B1013="","",N($O1013)-N($P1013))</f>
        <v/>
      </c>
      <c r="R1013" s="47" t="n"/>
      <c r="S1013" s="47" t="n"/>
      <c r="T1013" s="47" t="n"/>
      <c r="U1013" s="43">
        <f>IF($B1013="","",N($J1013)-N($R1013)-N($T1013))</f>
        <v/>
      </c>
      <c r="V1013" s="47" t="n"/>
    </row>
    <row r="1014">
      <c r="A1014" s="39">
        <f>IF($B1014="","",COUNTA($B$4:$B1014))</f>
        <v/>
      </c>
      <c r="B1014" s="40" t="n"/>
      <c r="C1014" s="41" t="n"/>
      <c r="D1014" s="41" t="n"/>
      <c r="E1014" s="41" t="n"/>
      <c r="F1014" s="41" t="n"/>
      <c r="G1014" s="41" t="n"/>
      <c r="H1014" s="41" t="n"/>
      <c r="I1014" s="50" t="n"/>
      <c r="J1014" s="42" t="n"/>
      <c r="K1014" s="42" t="n"/>
      <c r="L1014" s="43">
        <f>IF($B1014="","",ROUND((N($J1014)+N($K1014))*نسبة_القيمة_المضافة,2))</f>
        <v/>
      </c>
      <c r="M1014" s="42" t="n"/>
      <c r="N1014" s="42" t="n"/>
      <c r="O1014" s="43">
        <f>IF($B1014="","",N($J1014)+N($K1014)+N($L1014)-N($M1014)+N($N1014))</f>
        <v/>
      </c>
      <c r="P1014" s="42" t="n"/>
      <c r="Q1014" s="43">
        <f>IF($B1014="","",N($O1014)-N($P1014))</f>
        <v/>
      </c>
      <c r="R1014" s="42" t="n"/>
      <c r="S1014" s="42" t="n"/>
      <c r="T1014" s="42" t="n"/>
      <c r="U1014" s="43">
        <f>IF($B1014="","",N($J1014)-N($R1014)-N($T1014))</f>
        <v/>
      </c>
      <c r="V1014" s="42" t="n"/>
    </row>
    <row r="1015">
      <c r="A1015" s="39">
        <f>IF($B1015="","",COUNTA($B$4:$B1015))</f>
        <v/>
      </c>
      <c r="B1015" s="45" t="n"/>
      <c r="C1015" s="46" t="n"/>
      <c r="D1015" s="46" t="n"/>
      <c r="E1015" s="46" t="n"/>
      <c r="F1015" s="46" t="n"/>
      <c r="G1015" s="46" t="n"/>
      <c r="H1015" s="46" t="n"/>
      <c r="I1015" s="51" t="n"/>
      <c r="J1015" s="47" t="n"/>
      <c r="K1015" s="47" t="n"/>
      <c r="L1015" s="43">
        <f>IF($B1015="","",ROUND((N($J1015)+N($K1015))*نسبة_القيمة_المضافة,2))</f>
        <v/>
      </c>
      <c r="M1015" s="47" t="n"/>
      <c r="N1015" s="47" t="n"/>
      <c r="O1015" s="43">
        <f>IF($B1015="","",N($J1015)+N($K1015)+N($L1015)-N($M1015)+N($N1015))</f>
        <v/>
      </c>
      <c r="P1015" s="47" t="n"/>
      <c r="Q1015" s="43">
        <f>IF($B1015="","",N($O1015)-N($P1015))</f>
        <v/>
      </c>
      <c r="R1015" s="47" t="n"/>
      <c r="S1015" s="47" t="n"/>
      <c r="T1015" s="47" t="n"/>
      <c r="U1015" s="43">
        <f>IF($B1015="","",N($J1015)-N($R1015)-N($T1015))</f>
        <v/>
      </c>
      <c r="V1015" s="47" t="n"/>
    </row>
    <row r="1016">
      <c r="A1016" s="39">
        <f>IF($B1016="","",COUNTA($B$4:$B1016))</f>
        <v/>
      </c>
      <c r="B1016" s="40" t="n"/>
      <c r="C1016" s="41" t="n"/>
      <c r="D1016" s="41" t="n"/>
      <c r="E1016" s="41" t="n"/>
      <c r="F1016" s="41" t="n"/>
      <c r="G1016" s="41" t="n"/>
      <c r="H1016" s="41" t="n"/>
      <c r="I1016" s="50" t="n"/>
      <c r="J1016" s="42" t="n"/>
      <c r="K1016" s="42" t="n"/>
      <c r="L1016" s="43">
        <f>IF($B1016="","",ROUND((N($J1016)+N($K1016))*نسبة_القيمة_المضافة,2))</f>
        <v/>
      </c>
      <c r="M1016" s="42" t="n"/>
      <c r="N1016" s="42" t="n"/>
      <c r="O1016" s="43">
        <f>IF($B1016="","",N($J1016)+N($K1016)+N($L1016)-N($M1016)+N($N1016))</f>
        <v/>
      </c>
      <c r="P1016" s="42" t="n"/>
      <c r="Q1016" s="43">
        <f>IF($B1016="","",N($O1016)-N($P1016))</f>
        <v/>
      </c>
      <c r="R1016" s="42" t="n"/>
      <c r="S1016" s="42" t="n"/>
      <c r="T1016" s="42" t="n"/>
      <c r="U1016" s="43">
        <f>IF($B1016="","",N($J1016)-N($R1016)-N($T1016))</f>
        <v/>
      </c>
      <c r="V1016" s="42" t="n"/>
    </row>
    <row r="1017">
      <c r="A1017" s="39">
        <f>IF($B1017="","",COUNTA($B$4:$B1017))</f>
        <v/>
      </c>
      <c r="B1017" s="45" t="n"/>
      <c r="C1017" s="46" t="n"/>
      <c r="D1017" s="46" t="n"/>
      <c r="E1017" s="46" t="n"/>
      <c r="F1017" s="46" t="n"/>
      <c r="G1017" s="46" t="n"/>
      <c r="H1017" s="46" t="n"/>
      <c r="I1017" s="51" t="n"/>
      <c r="J1017" s="47" t="n"/>
      <c r="K1017" s="47" t="n"/>
      <c r="L1017" s="43">
        <f>IF($B1017="","",ROUND((N($J1017)+N($K1017))*نسبة_القيمة_المضافة,2))</f>
        <v/>
      </c>
      <c r="M1017" s="47" t="n"/>
      <c r="N1017" s="47" t="n"/>
      <c r="O1017" s="43">
        <f>IF($B1017="","",N($J1017)+N($K1017)+N($L1017)-N($M1017)+N($N1017))</f>
        <v/>
      </c>
      <c r="P1017" s="47" t="n"/>
      <c r="Q1017" s="43">
        <f>IF($B1017="","",N($O1017)-N($P1017))</f>
        <v/>
      </c>
      <c r="R1017" s="47" t="n"/>
      <c r="S1017" s="47" t="n"/>
      <c r="T1017" s="47" t="n"/>
      <c r="U1017" s="43">
        <f>IF($B1017="","",N($J1017)-N($R1017)-N($T1017))</f>
        <v/>
      </c>
      <c r="V1017" s="47" t="n"/>
    </row>
    <row r="1018">
      <c r="A1018" s="39">
        <f>IF($B1018="","",COUNTA($B$4:$B1018))</f>
        <v/>
      </c>
      <c r="B1018" s="40" t="n"/>
      <c r="C1018" s="41" t="n"/>
      <c r="D1018" s="41" t="n"/>
      <c r="E1018" s="41" t="n"/>
      <c r="F1018" s="41" t="n"/>
      <c r="G1018" s="41" t="n"/>
      <c r="H1018" s="41" t="n"/>
      <c r="I1018" s="50" t="n"/>
      <c r="J1018" s="42" t="n"/>
      <c r="K1018" s="42" t="n"/>
      <c r="L1018" s="43">
        <f>IF($B1018="","",ROUND((N($J1018)+N($K1018))*نسبة_القيمة_المضافة,2))</f>
        <v/>
      </c>
      <c r="M1018" s="42" t="n"/>
      <c r="N1018" s="42" t="n"/>
      <c r="O1018" s="43">
        <f>IF($B1018="","",N($J1018)+N($K1018)+N($L1018)-N($M1018)+N($N1018))</f>
        <v/>
      </c>
      <c r="P1018" s="42" t="n"/>
      <c r="Q1018" s="43">
        <f>IF($B1018="","",N($O1018)-N($P1018))</f>
        <v/>
      </c>
      <c r="R1018" s="42" t="n"/>
      <c r="S1018" s="42" t="n"/>
      <c r="T1018" s="42" t="n"/>
      <c r="U1018" s="43">
        <f>IF($B1018="","",N($J1018)-N($R1018)-N($T1018))</f>
        <v/>
      </c>
      <c r="V1018" s="42" t="n"/>
    </row>
    <row r="1019">
      <c r="A1019" s="39">
        <f>IF($B1019="","",COUNTA($B$4:$B1019))</f>
        <v/>
      </c>
      <c r="B1019" s="45" t="n"/>
      <c r="C1019" s="46" t="n"/>
      <c r="D1019" s="46" t="n"/>
      <c r="E1019" s="46" t="n"/>
      <c r="F1019" s="46" t="n"/>
      <c r="G1019" s="46" t="n"/>
      <c r="H1019" s="46" t="n"/>
      <c r="I1019" s="51" t="n"/>
      <c r="J1019" s="47" t="n"/>
      <c r="K1019" s="47" t="n"/>
      <c r="L1019" s="43">
        <f>IF($B1019="","",ROUND((N($J1019)+N($K1019))*نسبة_القيمة_المضافة,2))</f>
        <v/>
      </c>
      <c r="M1019" s="47" t="n"/>
      <c r="N1019" s="47" t="n"/>
      <c r="O1019" s="43">
        <f>IF($B1019="","",N($J1019)+N($K1019)+N($L1019)-N($M1019)+N($N1019))</f>
        <v/>
      </c>
      <c r="P1019" s="47" t="n"/>
      <c r="Q1019" s="43">
        <f>IF($B1019="","",N($O1019)-N($P1019))</f>
        <v/>
      </c>
      <c r="R1019" s="47" t="n"/>
      <c r="S1019" s="47" t="n"/>
      <c r="T1019" s="47" t="n"/>
      <c r="U1019" s="43">
        <f>IF($B1019="","",N($J1019)-N($R1019)-N($T1019))</f>
        <v/>
      </c>
      <c r="V1019" s="47" t="n"/>
    </row>
    <row r="1020">
      <c r="A1020" s="39">
        <f>IF($B1020="","",COUNTA($B$4:$B1020))</f>
        <v/>
      </c>
      <c r="B1020" s="40" t="n"/>
      <c r="C1020" s="41" t="n"/>
      <c r="D1020" s="41" t="n"/>
      <c r="E1020" s="41" t="n"/>
      <c r="F1020" s="41" t="n"/>
      <c r="G1020" s="41" t="n"/>
      <c r="H1020" s="41" t="n"/>
      <c r="I1020" s="50" t="n"/>
      <c r="J1020" s="42" t="n"/>
      <c r="K1020" s="42" t="n"/>
      <c r="L1020" s="43">
        <f>IF($B1020="","",ROUND((N($J1020)+N($K1020))*نسبة_القيمة_المضافة,2))</f>
        <v/>
      </c>
      <c r="M1020" s="42" t="n"/>
      <c r="N1020" s="42" t="n"/>
      <c r="O1020" s="43">
        <f>IF($B1020="","",N($J1020)+N($K1020)+N($L1020)-N($M1020)+N($N1020))</f>
        <v/>
      </c>
      <c r="P1020" s="42" t="n"/>
      <c r="Q1020" s="43">
        <f>IF($B1020="","",N($O1020)-N($P1020))</f>
        <v/>
      </c>
      <c r="R1020" s="42" t="n"/>
      <c r="S1020" s="42" t="n"/>
      <c r="T1020" s="42" t="n"/>
      <c r="U1020" s="43">
        <f>IF($B1020="","",N($J1020)-N($R1020)-N($T1020))</f>
        <v/>
      </c>
      <c r="V1020" s="42" t="n"/>
    </row>
    <row r="1021">
      <c r="A1021" s="39">
        <f>IF($B1021="","",COUNTA($B$4:$B1021))</f>
        <v/>
      </c>
      <c r="B1021" s="45" t="n"/>
      <c r="C1021" s="46" t="n"/>
      <c r="D1021" s="46" t="n"/>
      <c r="E1021" s="46" t="n"/>
      <c r="F1021" s="46" t="n"/>
      <c r="G1021" s="46" t="n"/>
      <c r="H1021" s="46" t="n"/>
      <c r="I1021" s="51" t="n"/>
      <c r="J1021" s="47" t="n"/>
      <c r="K1021" s="47" t="n"/>
      <c r="L1021" s="43">
        <f>IF($B1021="","",ROUND((N($J1021)+N($K1021))*نسبة_القيمة_المضافة,2))</f>
        <v/>
      </c>
      <c r="M1021" s="47" t="n"/>
      <c r="N1021" s="47" t="n"/>
      <c r="O1021" s="43">
        <f>IF($B1021="","",N($J1021)+N($K1021)+N($L1021)-N($M1021)+N($N1021))</f>
        <v/>
      </c>
      <c r="P1021" s="47" t="n"/>
      <c r="Q1021" s="43">
        <f>IF($B1021="","",N($O1021)-N($P1021))</f>
        <v/>
      </c>
      <c r="R1021" s="47" t="n"/>
      <c r="S1021" s="47" t="n"/>
      <c r="T1021" s="47" t="n"/>
      <c r="U1021" s="43">
        <f>IF($B1021="","",N($J1021)-N($R1021)-N($T1021))</f>
        <v/>
      </c>
      <c r="V1021" s="47" t="n"/>
    </row>
    <row r="1022">
      <c r="A1022" s="39">
        <f>IF($B1022="","",COUNTA($B$4:$B1022))</f>
        <v/>
      </c>
      <c r="B1022" s="40" t="n"/>
      <c r="C1022" s="41" t="n"/>
      <c r="D1022" s="41" t="n"/>
      <c r="E1022" s="41" t="n"/>
      <c r="F1022" s="41" t="n"/>
      <c r="G1022" s="41" t="n"/>
      <c r="H1022" s="41" t="n"/>
      <c r="I1022" s="50" t="n"/>
      <c r="J1022" s="42" t="n"/>
      <c r="K1022" s="42" t="n"/>
      <c r="L1022" s="43">
        <f>IF($B1022="","",ROUND((N($J1022)+N($K1022))*نسبة_القيمة_المضافة,2))</f>
        <v/>
      </c>
      <c r="M1022" s="42" t="n"/>
      <c r="N1022" s="42" t="n"/>
      <c r="O1022" s="43">
        <f>IF($B1022="","",N($J1022)+N($K1022)+N($L1022)-N($M1022)+N($N1022))</f>
        <v/>
      </c>
      <c r="P1022" s="42" t="n"/>
      <c r="Q1022" s="43">
        <f>IF($B1022="","",N($O1022)-N($P1022))</f>
        <v/>
      </c>
      <c r="R1022" s="42" t="n"/>
      <c r="S1022" s="42" t="n"/>
      <c r="T1022" s="42" t="n"/>
      <c r="U1022" s="43">
        <f>IF($B1022="","",N($J1022)-N($R1022)-N($T1022))</f>
        <v/>
      </c>
      <c r="V1022" s="42" t="n"/>
    </row>
    <row r="1023">
      <c r="A1023" s="39">
        <f>IF($B1023="","",COUNTA($B$4:$B1023))</f>
        <v/>
      </c>
      <c r="B1023" s="45" t="n"/>
      <c r="C1023" s="46" t="n"/>
      <c r="D1023" s="46" t="n"/>
      <c r="E1023" s="46" t="n"/>
      <c r="F1023" s="46" t="n"/>
      <c r="G1023" s="46" t="n"/>
      <c r="H1023" s="46" t="n"/>
      <c r="I1023" s="51" t="n"/>
      <c r="J1023" s="47" t="n"/>
      <c r="K1023" s="47" t="n"/>
      <c r="L1023" s="43">
        <f>IF($B1023="","",ROUND((N($J1023)+N($K1023))*نسبة_القيمة_المضافة,2))</f>
        <v/>
      </c>
      <c r="M1023" s="47" t="n"/>
      <c r="N1023" s="47" t="n"/>
      <c r="O1023" s="43">
        <f>IF($B1023="","",N($J1023)+N($K1023)+N($L1023)-N($M1023)+N($N1023))</f>
        <v/>
      </c>
      <c r="P1023" s="47" t="n"/>
      <c r="Q1023" s="43">
        <f>IF($B1023="","",N($O1023)-N($P1023))</f>
        <v/>
      </c>
      <c r="R1023" s="47" t="n"/>
      <c r="S1023" s="47" t="n"/>
      <c r="T1023" s="47" t="n"/>
      <c r="U1023" s="43">
        <f>IF($B1023="","",N($J1023)-N($R1023)-N($T1023))</f>
        <v/>
      </c>
      <c r="V1023" s="47" t="n"/>
    </row>
    <row r="1024">
      <c r="A1024" s="39">
        <f>IF($B1024="","",COUNTA($B$4:$B1024))</f>
        <v/>
      </c>
      <c r="B1024" s="40" t="n"/>
      <c r="C1024" s="41" t="n"/>
      <c r="D1024" s="41" t="n"/>
      <c r="E1024" s="41" t="n"/>
      <c r="F1024" s="41" t="n"/>
      <c r="G1024" s="41" t="n"/>
      <c r="H1024" s="41" t="n"/>
      <c r="I1024" s="50" t="n"/>
      <c r="J1024" s="42" t="n"/>
      <c r="K1024" s="42" t="n"/>
      <c r="L1024" s="43">
        <f>IF($B1024="","",ROUND((N($J1024)+N($K1024))*نسبة_القيمة_المضافة,2))</f>
        <v/>
      </c>
      <c r="M1024" s="42" t="n"/>
      <c r="N1024" s="42" t="n"/>
      <c r="O1024" s="43">
        <f>IF($B1024="","",N($J1024)+N($K1024)+N($L1024)-N($M1024)+N($N1024))</f>
        <v/>
      </c>
      <c r="P1024" s="42" t="n"/>
      <c r="Q1024" s="43">
        <f>IF($B1024="","",N($O1024)-N($P1024))</f>
        <v/>
      </c>
      <c r="R1024" s="42" t="n"/>
      <c r="S1024" s="42" t="n"/>
      <c r="T1024" s="42" t="n"/>
      <c r="U1024" s="43">
        <f>IF($B1024="","",N($J1024)-N($R1024)-N($T1024))</f>
        <v/>
      </c>
      <c r="V1024" s="42" t="n"/>
    </row>
    <row r="1025">
      <c r="A1025" s="39">
        <f>IF($B1025="","",COUNTA($B$4:$B1025))</f>
        <v/>
      </c>
      <c r="B1025" s="45" t="n"/>
      <c r="C1025" s="46" t="n"/>
      <c r="D1025" s="46" t="n"/>
      <c r="E1025" s="46" t="n"/>
      <c r="F1025" s="46" t="n"/>
      <c r="G1025" s="46" t="n"/>
      <c r="H1025" s="46" t="n"/>
      <c r="I1025" s="51" t="n"/>
      <c r="J1025" s="47" t="n"/>
      <c r="K1025" s="47" t="n"/>
      <c r="L1025" s="43">
        <f>IF($B1025="","",ROUND((N($J1025)+N($K1025))*نسبة_القيمة_المضافة,2))</f>
        <v/>
      </c>
      <c r="M1025" s="47" t="n"/>
      <c r="N1025" s="47" t="n"/>
      <c r="O1025" s="43">
        <f>IF($B1025="","",N($J1025)+N($K1025)+N($L1025)-N($M1025)+N($N1025))</f>
        <v/>
      </c>
      <c r="P1025" s="47" t="n"/>
      <c r="Q1025" s="43">
        <f>IF($B1025="","",N($O1025)-N($P1025))</f>
        <v/>
      </c>
      <c r="R1025" s="47" t="n"/>
      <c r="S1025" s="47" t="n"/>
      <c r="T1025" s="47" t="n"/>
      <c r="U1025" s="43">
        <f>IF($B1025="","",N($J1025)-N($R1025)-N($T1025))</f>
        <v/>
      </c>
      <c r="V1025" s="47" t="n"/>
    </row>
    <row r="1026">
      <c r="A1026" s="39">
        <f>IF($B1026="","",COUNTA($B$4:$B1026))</f>
        <v/>
      </c>
      <c r="B1026" s="40" t="n"/>
      <c r="C1026" s="41" t="n"/>
      <c r="D1026" s="41" t="n"/>
      <c r="E1026" s="41" t="n"/>
      <c r="F1026" s="41" t="n"/>
      <c r="G1026" s="41" t="n"/>
      <c r="H1026" s="41" t="n"/>
      <c r="I1026" s="50" t="n"/>
      <c r="J1026" s="42" t="n"/>
      <c r="K1026" s="42" t="n"/>
      <c r="L1026" s="43">
        <f>IF($B1026="","",ROUND((N($J1026)+N($K1026))*نسبة_القيمة_المضافة,2))</f>
        <v/>
      </c>
      <c r="M1026" s="42" t="n"/>
      <c r="N1026" s="42" t="n"/>
      <c r="O1026" s="43">
        <f>IF($B1026="","",N($J1026)+N($K1026)+N($L1026)-N($M1026)+N($N1026))</f>
        <v/>
      </c>
      <c r="P1026" s="42" t="n"/>
      <c r="Q1026" s="43">
        <f>IF($B1026="","",N($O1026)-N($P1026))</f>
        <v/>
      </c>
      <c r="R1026" s="42" t="n"/>
      <c r="S1026" s="42" t="n"/>
      <c r="T1026" s="42" t="n"/>
      <c r="U1026" s="43">
        <f>IF($B1026="","",N($J1026)-N($R1026)-N($T1026))</f>
        <v/>
      </c>
      <c r="V1026" s="42" t="n"/>
    </row>
    <row r="1027">
      <c r="A1027" s="39">
        <f>IF($B1027="","",COUNTA($B$4:$B1027))</f>
        <v/>
      </c>
      <c r="B1027" s="45" t="n"/>
      <c r="C1027" s="46" t="n"/>
      <c r="D1027" s="46" t="n"/>
      <c r="E1027" s="46" t="n"/>
      <c r="F1027" s="46" t="n"/>
      <c r="G1027" s="46" t="n"/>
      <c r="H1027" s="46" t="n"/>
      <c r="I1027" s="51" t="n"/>
      <c r="J1027" s="47" t="n"/>
      <c r="K1027" s="47" t="n"/>
      <c r="L1027" s="43">
        <f>IF($B1027="","",ROUND((N($J1027)+N($K1027))*نسبة_القيمة_المضافة,2))</f>
        <v/>
      </c>
      <c r="M1027" s="47" t="n"/>
      <c r="N1027" s="47" t="n"/>
      <c r="O1027" s="43">
        <f>IF($B1027="","",N($J1027)+N($K1027)+N($L1027)-N($M1027)+N($N1027))</f>
        <v/>
      </c>
      <c r="P1027" s="47" t="n"/>
      <c r="Q1027" s="43">
        <f>IF($B1027="","",N($O1027)-N($P1027))</f>
        <v/>
      </c>
      <c r="R1027" s="47" t="n"/>
      <c r="S1027" s="47" t="n"/>
      <c r="T1027" s="47" t="n"/>
      <c r="U1027" s="43">
        <f>IF($B1027="","",N($J1027)-N($R1027)-N($T1027))</f>
        <v/>
      </c>
      <c r="V1027" s="47" t="n"/>
    </row>
    <row r="1028">
      <c r="A1028" s="39">
        <f>IF($B1028="","",COUNTA($B$4:$B1028))</f>
        <v/>
      </c>
      <c r="B1028" s="40" t="n"/>
      <c r="C1028" s="41" t="n"/>
      <c r="D1028" s="41" t="n"/>
      <c r="E1028" s="41" t="n"/>
      <c r="F1028" s="41" t="n"/>
      <c r="G1028" s="41" t="n"/>
      <c r="H1028" s="41" t="n"/>
      <c r="I1028" s="50" t="n"/>
      <c r="J1028" s="42" t="n"/>
      <c r="K1028" s="42" t="n"/>
      <c r="L1028" s="43">
        <f>IF($B1028="","",ROUND((N($J1028)+N($K1028))*نسبة_القيمة_المضافة,2))</f>
        <v/>
      </c>
      <c r="M1028" s="42" t="n"/>
      <c r="N1028" s="42" t="n"/>
      <c r="O1028" s="43">
        <f>IF($B1028="","",N($J1028)+N($K1028)+N($L1028)-N($M1028)+N($N1028))</f>
        <v/>
      </c>
      <c r="P1028" s="42" t="n"/>
      <c r="Q1028" s="43">
        <f>IF($B1028="","",N($O1028)-N($P1028))</f>
        <v/>
      </c>
      <c r="R1028" s="42" t="n"/>
      <c r="S1028" s="42" t="n"/>
      <c r="T1028" s="42" t="n"/>
      <c r="U1028" s="43">
        <f>IF($B1028="","",N($J1028)-N($R1028)-N($T1028))</f>
        <v/>
      </c>
      <c r="V1028" s="42" t="n"/>
    </row>
    <row r="1029">
      <c r="A1029" s="39">
        <f>IF($B1029="","",COUNTA($B$4:$B1029))</f>
        <v/>
      </c>
      <c r="B1029" s="45" t="n"/>
      <c r="C1029" s="46" t="n"/>
      <c r="D1029" s="46" t="n"/>
      <c r="E1029" s="46" t="n"/>
      <c r="F1029" s="46" t="n"/>
      <c r="G1029" s="46" t="n"/>
      <c r="H1029" s="46" t="n"/>
      <c r="I1029" s="51" t="n"/>
      <c r="J1029" s="47" t="n"/>
      <c r="K1029" s="47" t="n"/>
      <c r="L1029" s="43">
        <f>IF($B1029="","",ROUND((N($J1029)+N($K1029))*نسبة_القيمة_المضافة,2))</f>
        <v/>
      </c>
      <c r="M1029" s="47" t="n"/>
      <c r="N1029" s="47" t="n"/>
      <c r="O1029" s="43">
        <f>IF($B1029="","",N($J1029)+N($K1029)+N($L1029)-N($M1029)+N($N1029))</f>
        <v/>
      </c>
      <c r="P1029" s="47" t="n"/>
      <c r="Q1029" s="43">
        <f>IF($B1029="","",N($O1029)-N($P1029))</f>
        <v/>
      </c>
      <c r="R1029" s="47" t="n"/>
      <c r="S1029" s="47" t="n"/>
      <c r="T1029" s="47" t="n"/>
      <c r="U1029" s="43">
        <f>IF($B1029="","",N($J1029)-N($R1029)-N($T1029))</f>
        <v/>
      </c>
      <c r="V1029" s="47" t="n"/>
    </row>
    <row r="1030">
      <c r="A1030" s="39">
        <f>IF($B1030="","",COUNTA($B$4:$B1030))</f>
        <v/>
      </c>
      <c r="B1030" s="40" t="n"/>
      <c r="C1030" s="41" t="n"/>
      <c r="D1030" s="41" t="n"/>
      <c r="E1030" s="41" t="n"/>
      <c r="F1030" s="41" t="n"/>
      <c r="G1030" s="41" t="n"/>
      <c r="H1030" s="41" t="n"/>
      <c r="I1030" s="50" t="n"/>
      <c r="J1030" s="42" t="n"/>
      <c r="K1030" s="42" t="n"/>
      <c r="L1030" s="43">
        <f>IF($B1030="","",ROUND((N($J1030)+N($K1030))*نسبة_القيمة_المضافة,2))</f>
        <v/>
      </c>
      <c r="M1030" s="42" t="n"/>
      <c r="N1030" s="42" t="n"/>
      <c r="O1030" s="43">
        <f>IF($B1030="","",N($J1030)+N($K1030)+N($L1030)-N($M1030)+N($N1030))</f>
        <v/>
      </c>
      <c r="P1030" s="42" t="n"/>
      <c r="Q1030" s="43">
        <f>IF($B1030="","",N($O1030)-N($P1030))</f>
        <v/>
      </c>
      <c r="R1030" s="42" t="n"/>
      <c r="S1030" s="42" t="n"/>
      <c r="T1030" s="42" t="n"/>
      <c r="U1030" s="43">
        <f>IF($B1030="","",N($J1030)-N($R1030)-N($T1030))</f>
        <v/>
      </c>
      <c r="V1030" s="42" t="n"/>
    </row>
    <row r="1031">
      <c r="A1031" s="39">
        <f>IF($B1031="","",COUNTA($B$4:$B1031))</f>
        <v/>
      </c>
      <c r="B1031" s="45" t="n"/>
      <c r="C1031" s="46" t="n"/>
      <c r="D1031" s="46" t="n"/>
      <c r="E1031" s="46" t="n"/>
      <c r="F1031" s="46" t="n"/>
      <c r="G1031" s="46" t="n"/>
      <c r="H1031" s="46" t="n"/>
      <c r="I1031" s="51" t="n"/>
      <c r="J1031" s="47" t="n"/>
      <c r="K1031" s="47" t="n"/>
      <c r="L1031" s="43">
        <f>IF($B1031="","",ROUND((N($J1031)+N($K1031))*نسبة_القيمة_المضافة,2))</f>
        <v/>
      </c>
      <c r="M1031" s="47" t="n"/>
      <c r="N1031" s="47" t="n"/>
      <c r="O1031" s="43">
        <f>IF($B1031="","",N($J1031)+N($K1031)+N($L1031)-N($M1031)+N($N1031))</f>
        <v/>
      </c>
      <c r="P1031" s="47" t="n"/>
      <c r="Q1031" s="43">
        <f>IF($B1031="","",N($O1031)-N($P1031))</f>
        <v/>
      </c>
      <c r="R1031" s="47" t="n"/>
      <c r="S1031" s="47" t="n"/>
      <c r="T1031" s="47" t="n"/>
      <c r="U1031" s="43">
        <f>IF($B1031="","",N($J1031)-N($R1031)-N($T1031))</f>
        <v/>
      </c>
      <c r="V1031" s="47" t="n"/>
    </row>
    <row r="1032">
      <c r="A1032" s="39">
        <f>IF($B1032="","",COUNTA($B$4:$B1032))</f>
        <v/>
      </c>
      <c r="B1032" s="40" t="n"/>
      <c r="C1032" s="41" t="n"/>
      <c r="D1032" s="41" t="n"/>
      <c r="E1032" s="41" t="n"/>
      <c r="F1032" s="41" t="n"/>
      <c r="G1032" s="41" t="n"/>
      <c r="H1032" s="41" t="n"/>
      <c r="I1032" s="50" t="n"/>
      <c r="J1032" s="42" t="n"/>
      <c r="K1032" s="42" t="n"/>
      <c r="L1032" s="43">
        <f>IF($B1032="","",ROUND((N($J1032)+N($K1032))*نسبة_القيمة_المضافة,2))</f>
        <v/>
      </c>
      <c r="M1032" s="42" t="n"/>
      <c r="N1032" s="42" t="n"/>
      <c r="O1032" s="43">
        <f>IF($B1032="","",N($J1032)+N($K1032)+N($L1032)-N($M1032)+N($N1032))</f>
        <v/>
      </c>
      <c r="P1032" s="42" t="n"/>
      <c r="Q1032" s="43">
        <f>IF($B1032="","",N($O1032)-N($P1032))</f>
        <v/>
      </c>
      <c r="R1032" s="42" t="n"/>
      <c r="S1032" s="42" t="n"/>
      <c r="T1032" s="42" t="n"/>
      <c r="U1032" s="43">
        <f>IF($B1032="","",N($J1032)-N($R1032)-N($T1032))</f>
        <v/>
      </c>
      <c r="V1032" s="42" t="n"/>
    </row>
    <row r="1033">
      <c r="A1033" s="39">
        <f>IF($B1033="","",COUNTA($B$4:$B1033))</f>
        <v/>
      </c>
      <c r="B1033" s="45" t="n"/>
      <c r="C1033" s="46" t="n"/>
      <c r="D1033" s="46" t="n"/>
      <c r="E1033" s="46" t="n"/>
      <c r="F1033" s="46" t="n"/>
      <c r="G1033" s="46" t="n"/>
      <c r="H1033" s="46" t="n"/>
      <c r="I1033" s="51" t="n"/>
      <c r="J1033" s="47" t="n"/>
      <c r="K1033" s="47" t="n"/>
      <c r="L1033" s="43">
        <f>IF($B1033="","",ROUND((N($J1033)+N($K1033))*نسبة_القيمة_المضافة,2))</f>
        <v/>
      </c>
      <c r="M1033" s="47" t="n"/>
      <c r="N1033" s="47" t="n"/>
      <c r="O1033" s="43">
        <f>IF($B1033="","",N($J1033)+N($K1033)+N($L1033)-N($M1033)+N($N1033))</f>
        <v/>
      </c>
      <c r="P1033" s="47" t="n"/>
      <c r="Q1033" s="43">
        <f>IF($B1033="","",N($O1033)-N($P1033))</f>
        <v/>
      </c>
      <c r="R1033" s="47" t="n"/>
      <c r="S1033" s="47" t="n"/>
      <c r="T1033" s="47" t="n"/>
      <c r="U1033" s="43">
        <f>IF($B1033="","",N($J1033)-N($R1033)-N($T1033))</f>
        <v/>
      </c>
      <c r="V1033" s="47" t="n"/>
    </row>
    <row r="1034">
      <c r="A1034" s="39">
        <f>IF($B1034="","",COUNTA($B$4:$B1034))</f>
        <v/>
      </c>
      <c r="B1034" s="40" t="n"/>
      <c r="C1034" s="41" t="n"/>
      <c r="D1034" s="41" t="n"/>
      <c r="E1034" s="41" t="n"/>
      <c r="F1034" s="41" t="n"/>
      <c r="G1034" s="41" t="n"/>
      <c r="H1034" s="41" t="n"/>
      <c r="I1034" s="50" t="n"/>
      <c r="J1034" s="42" t="n"/>
      <c r="K1034" s="42" t="n"/>
      <c r="L1034" s="43">
        <f>IF($B1034="","",ROUND((N($J1034)+N($K1034))*نسبة_القيمة_المضافة,2))</f>
        <v/>
      </c>
      <c r="M1034" s="42" t="n"/>
      <c r="N1034" s="42" t="n"/>
      <c r="O1034" s="43">
        <f>IF($B1034="","",N($J1034)+N($K1034)+N($L1034)-N($M1034)+N($N1034))</f>
        <v/>
      </c>
      <c r="P1034" s="42" t="n"/>
      <c r="Q1034" s="43">
        <f>IF($B1034="","",N($O1034)-N($P1034))</f>
        <v/>
      </c>
      <c r="R1034" s="42" t="n"/>
      <c r="S1034" s="42" t="n"/>
      <c r="T1034" s="42" t="n"/>
      <c r="U1034" s="43">
        <f>IF($B1034="","",N($J1034)-N($R1034)-N($T1034))</f>
        <v/>
      </c>
      <c r="V1034" s="42" t="n"/>
    </row>
    <row r="1035">
      <c r="A1035" s="39">
        <f>IF($B1035="","",COUNTA($B$4:$B1035))</f>
        <v/>
      </c>
      <c r="B1035" s="45" t="n"/>
      <c r="C1035" s="46" t="n"/>
      <c r="D1035" s="46" t="n"/>
      <c r="E1035" s="46" t="n"/>
      <c r="F1035" s="46" t="n"/>
      <c r="G1035" s="46" t="n"/>
      <c r="H1035" s="46" t="n"/>
      <c r="I1035" s="51" t="n"/>
      <c r="J1035" s="47" t="n"/>
      <c r="K1035" s="47" t="n"/>
      <c r="L1035" s="43">
        <f>IF($B1035="","",ROUND((N($J1035)+N($K1035))*نسبة_القيمة_المضافة,2))</f>
        <v/>
      </c>
      <c r="M1035" s="47" t="n"/>
      <c r="N1035" s="47" t="n"/>
      <c r="O1035" s="43">
        <f>IF($B1035="","",N($J1035)+N($K1035)+N($L1035)-N($M1035)+N($N1035))</f>
        <v/>
      </c>
      <c r="P1035" s="47" t="n"/>
      <c r="Q1035" s="43">
        <f>IF($B1035="","",N($O1035)-N($P1035))</f>
        <v/>
      </c>
      <c r="R1035" s="47" t="n"/>
      <c r="S1035" s="47" t="n"/>
      <c r="T1035" s="47" t="n"/>
      <c r="U1035" s="43">
        <f>IF($B1035="","",N($J1035)-N($R1035)-N($T1035))</f>
        <v/>
      </c>
      <c r="V1035" s="47" t="n"/>
    </row>
    <row r="1036">
      <c r="A1036" s="39">
        <f>IF($B1036="","",COUNTA($B$4:$B1036))</f>
        <v/>
      </c>
      <c r="B1036" s="40" t="n"/>
      <c r="C1036" s="41" t="n"/>
      <c r="D1036" s="41" t="n"/>
      <c r="E1036" s="41" t="n"/>
      <c r="F1036" s="41" t="n"/>
      <c r="G1036" s="41" t="n"/>
      <c r="H1036" s="41" t="n"/>
      <c r="I1036" s="50" t="n"/>
      <c r="J1036" s="42" t="n"/>
      <c r="K1036" s="42" t="n"/>
      <c r="L1036" s="43">
        <f>IF($B1036="","",ROUND((N($J1036)+N($K1036))*نسبة_القيمة_المضافة,2))</f>
        <v/>
      </c>
      <c r="M1036" s="42" t="n"/>
      <c r="N1036" s="42" t="n"/>
      <c r="O1036" s="43">
        <f>IF($B1036="","",N($J1036)+N($K1036)+N($L1036)-N($M1036)+N($N1036))</f>
        <v/>
      </c>
      <c r="P1036" s="42" t="n"/>
      <c r="Q1036" s="43">
        <f>IF($B1036="","",N($O1036)-N($P1036))</f>
        <v/>
      </c>
      <c r="R1036" s="42" t="n"/>
      <c r="S1036" s="42" t="n"/>
      <c r="T1036" s="42" t="n"/>
      <c r="U1036" s="43">
        <f>IF($B1036="","",N($J1036)-N($R1036)-N($T1036))</f>
        <v/>
      </c>
      <c r="V1036" s="42" t="n"/>
    </row>
    <row r="1037">
      <c r="A1037" s="39">
        <f>IF($B1037="","",COUNTA($B$4:$B1037))</f>
        <v/>
      </c>
      <c r="B1037" s="45" t="n"/>
      <c r="C1037" s="46" t="n"/>
      <c r="D1037" s="46" t="n"/>
      <c r="E1037" s="46" t="n"/>
      <c r="F1037" s="46" t="n"/>
      <c r="G1037" s="46" t="n"/>
      <c r="H1037" s="46" t="n"/>
      <c r="I1037" s="51" t="n"/>
      <c r="J1037" s="47" t="n"/>
      <c r="K1037" s="47" t="n"/>
      <c r="L1037" s="43">
        <f>IF($B1037="","",ROUND((N($J1037)+N($K1037))*نسبة_القيمة_المضافة,2))</f>
        <v/>
      </c>
      <c r="M1037" s="47" t="n"/>
      <c r="N1037" s="47" t="n"/>
      <c r="O1037" s="43">
        <f>IF($B1037="","",N($J1037)+N($K1037)+N($L1037)-N($M1037)+N($N1037))</f>
        <v/>
      </c>
      <c r="P1037" s="47" t="n"/>
      <c r="Q1037" s="43">
        <f>IF($B1037="","",N($O1037)-N($P1037))</f>
        <v/>
      </c>
      <c r="R1037" s="47" t="n"/>
      <c r="S1037" s="47" t="n"/>
      <c r="T1037" s="47" t="n"/>
      <c r="U1037" s="43">
        <f>IF($B1037="","",N($J1037)-N($R1037)-N($T1037))</f>
        <v/>
      </c>
      <c r="V1037" s="47" t="n"/>
    </row>
    <row r="1038">
      <c r="A1038" s="39">
        <f>IF($B1038="","",COUNTA($B$4:$B1038))</f>
        <v/>
      </c>
      <c r="B1038" s="40" t="n"/>
      <c r="C1038" s="41" t="n"/>
      <c r="D1038" s="41" t="n"/>
      <c r="E1038" s="41" t="n"/>
      <c r="F1038" s="41" t="n"/>
      <c r="G1038" s="41" t="n"/>
      <c r="H1038" s="41" t="n"/>
      <c r="I1038" s="50" t="n"/>
      <c r="J1038" s="42" t="n"/>
      <c r="K1038" s="42" t="n"/>
      <c r="L1038" s="43">
        <f>IF($B1038="","",ROUND((N($J1038)+N($K1038))*نسبة_القيمة_المضافة,2))</f>
        <v/>
      </c>
      <c r="M1038" s="42" t="n"/>
      <c r="N1038" s="42" t="n"/>
      <c r="O1038" s="43">
        <f>IF($B1038="","",N($J1038)+N($K1038)+N($L1038)-N($M1038)+N($N1038))</f>
        <v/>
      </c>
      <c r="P1038" s="42" t="n"/>
      <c r="Q1038" s="43">
        <f>IF($B1038="","",N($O1038)-N($P1038))</f>
        <v/>
      </c>
      <c r="R1038" s="42" t="n"/>
      <c r="S1038" s="42" t="n"/>
      <c r="T1038" s="42" t="n"/>
      <c r="U1038" s="43">
        <f>IF($B1038="","",N($J1038)-N($R1038)-N($T1038))</f>
        <v/>
      </c>
      <c r="V1038" s="42" t="n"/>
    </row>
    <row r="1039">
      <c r="A1039" s="39">
        <f>IF($B1039="","",COUNTA($B$4:$B1039))</f>
        <v/>
      </c>
      <c r="B1039" s="45" t="n"/>
      <c r="C1039" s="46" t="n"/>
      <c r="D1039" s="46" t="n"/>
      <c r="E1039" s="46" t="n"/>
      <c r="F1039" s="46" t="n"/>
      <c r="G1039" s="46" t="n"/>
      <c r="H1039" s="46" t="n"/>
      <c r="I1039" s="51" t="n"/>
      <c r="J1039" s="47" t="n"/>
      <c r="K1039" s="47" t="n"/>
      <c r="L1039" s="43">
        <f>IF($B1039="","",ROUND((N($J1039)+N($K1039))*نسبة_القيمة_المضافة,2))</f>
        <v/>
      </c>
      <c r="M1039" s="47" t="n"/>
      <c r="N1039" s="47" t="n"/>
      <c r="O1039" s="43">
        <f>IF($B1039="","",N($J1039)+N($K1039)+N($L1039)-N($M1039)+N($N1039))</f>
        <v/>
      </c>
      <c r="P1039" s="47" t="n"/>
      <c r="Q1039" s="43">
        <f>IF($B1039="","",N($O1039)-N($P1039))</f>
        <v/>
      </c>
      <c r="R1039" s="47" t="n"/>
      <c r="S1039" s="47" t="n"/>
      <c r="T1039" s="47" t="n"/>
      <c r="U1039" s="43">
        <f>IF($B1039="","",N($J1039)-N($R1039)-N($T1039))</f>
        <v/>
      </c>
      <c r="V1039" s="47" t="n"/>
    </row>
    <row r="1040">
      <c r="A1040" s="39">
        <f>IF($B1040="","",COUNTA($B$4:$B1040))</f>
        <v/>
      </c>
      <c r="B1040" s="40" t="n"/>
      <c r="C1040" s="41" t="n"/>
      <c r="D1040" s="41" t="n"/>
      <c r="E1040" s="41" t="n"/>
      <c r="F1040" s="41" t="n"/>
      <c r="G1040" s="41" t="n"/>
      <c r="H1040" s="41" t="n"/>
      <c r="I1040" s="50" t="n"/>
      <c r="J1040" s="42" t="n"/>
      <c r="K1040" s="42" t="n"/>
      <c r="L1040" s="43">
        <f>IF($B1040="","",ROUND((N($J1040)+N($K1040))*نسبة_القيمة_المضافة,2))</f>
        <v/>
      </c>
      <c r="M1040" s="42" t="n"/>
      <c r="N1040" s="42" t="n"/>
      <c r="O1040" s="43">
        <f>IF($B1040="","",N($J1040)+N($K1040)+N($L1040)-N($M1040)+N($N1040))</f>
        <v/>
      </c>
      <c r="P1040" s="42" t="n"/>
      <c r="Q1040" s="43">
        <f>IF($B1040="","",N($O1040)-N($P1040))</f>
        <v/>
      </c>
      <c r="R1040" s="42" t="n"/>
      <c r="S1040" s="42" t="n"/>
      <c r="T1040" s="42" t="n"/>
      <c r="U1040" s="43">
        <f>IF($B1040="","",N($J1040)-N($R1040)-N($T1040))</f>
        <v/>
      </c>
      <c r="V1040" s="42" t="n"/>
    </row>
    <row r="1041">
      <c r="A1041" s="39">
        <f>IF($B1041="","",COUNTA($B$4:$B1041))</f>
        <v/>
      </c>
      <c r="B1041" s="45" t="n"/>
      <c r="C1041" s="46" t="n"/>
      <c r="D1041" s="46" t="n"/>
      <c r="E1041" s="46" t="n"/>
      <c r="F1041" s="46" t="n"/>
      <c r="G1041" s="46" t="n"/>
      <c r="H1041" s="46" t="n"/>
      <c r="I1041" s="51" t="n"/>
      <c r="J1041" s="47" t="n"/>
      <c r="K1041" s="47" t="n"/>
      <c r="L1041" s="43">
        <f>IF($B1041="","",ROUND((N($J1041)+N($K1041))*نسبة_القيمة_المضافة,2))</f>
        <v/>
      </c>
      <c r="M1041" s="47" t="n"/>
      <c r="N1041" s="47" t="n"/>
      <c r="O1041" s="43">
        <f>IF($B1041="","",N($J1041)+N($K1041)+N($L1041)-N($M1041)+N($N1041))</f>
        <v/>
      </c>
      <c r="P1041" s="47" t="n"/>
      <c r="Q1041" s="43">
        <f>IF($B1041="","",N($O1041)-N($P1041))</f>
        <v/>
      </c>
      <c r="R1041" s="47" t="n"/>
      <c r="S1041" s="47" t="n"/>
      <c r="T1041" s="47" t="n"/>
      <c r="U1041" s="43">
        <f>IF($B1041="","",N($J1041)-N($R1041)-N($T1041))</f>
        <v/>
      </c>
      <c r="V1041" s="47" t="n"/>
    </row>
    <row r="1042">
      <c r="A1042" s="39">
        <f>IF($B1042="","",COUNTA($B$4:$B1042))</f>
        <v/>
      </c>
      <c r="B1042" s="40" t="n"/>
      <c r="C1042" s="41" t="n"/>
      <c r="D1042" s="41" t="n"/>
      <c r="E1042" s="41" t="n"/>
      <c r="F1042" s="41" t="n"/>
      <c r="G1042" s="41" t="n"/>
      <c r="H1042" s="41" t="n"/>
      <c r="I1042" s="50" t="n"/>
      <c r="J1042" s="42" t="n"/>
      <c r="K1042" s="42" t="n"/>
      <c r="L1042" s="43">
        <f>IF($B1042="","",ROUND((N($J1042)+N($K1042))*نسبة_القيمة_المضافة,2))</f>
        <v/>
      </c>
      <c r="M1042" s="42" t="n"/>
      <c r="N1042" s="42" t="n"/>
      <c r="O1042" s="43">
        <f>IF($B1042="","",N($J1042)+N($K1042)+N($L1042)-N($M1042)+N($N1042))</f>
        <v/>
      </c>
      <c r="P1042" s="42" t="n"/>
      <c r="Q1042" s="43">
        <f>IF($B1042="","",N($O1042)-N($P1042))</f>
        <v/>
      </c>
      <c r="R1042" s="42" t="n"/>
      <c r="S1042" s="42" t="n"/>
      <c r="T1042" s="42" t="n"/>
      <c r="U1042" s="43">
        <f>IF($B1042="","",N($J1042)-N($R1042)-N($T1042))</f>
        <v/>
      </c>
      <c r="V1042" s="42" t="n"/>
    </row>
    <row r="1043">
      <c r="A1043" s="39">
        <f>IF($B1043="","",COUNTA($B$4:$B1043))</f>
        <v/>
      </c>
      <c r="B1043" s="45" t="n"/>
      <c r="C1043" s="46" t="n"/>
      <c r="D1043" s="46" t="n"/>
      <c r="E1043" s="46" t="n"/>
      <c r="F1043" s="46" t="n"/>
      <c r="G1043" s="46" t="n"/>
      <c r="H1043" s="46" t="n"/>
      <c r="I1043" s="51" t="n"/>
      <c r="J1043" s="47" t="n"/>
      <c r="K1043" s="47" t="n"/>
      <c r="L1043" s="43">
        <f>IF($B1043="","",ROUND((N($J1043)+N($K1043))*نسبة_القيمة_المضافة,2))</f>
        <v/>
      </c>
      <c r="M1043" s="47" t="n"/>
      <c r="N1043" s="47" t="n"/>
      <c r="O1043" s="43">
        <f>IF($B1043="","",N($J1043)+N($K1043)+N($L1043)-N($M1043)+N($N1043))</f>
        <v/>
      </c>
      <c r="P1043" s="47" t="n"/>
      <c r="Q1043" s="43">
        <f>IF($B1043="","",N($O1043)-N($P1043))</f>
        <v/>
      </c>
      <c r="R1043" s="47" t="n"/>
      <c r="S1043" s="47" t="n"/>
      <c r="T1043" s="47" t="n"/>
      <c r="U1043" s="43">
        <f>IF($B1043="","",N($J1043)-N($R1043)-N($T1043))</f>
        <v/>
      </c>
      <c r="V1043" s="47" t="n"/>
    </row>
    <row r="1044">
      <c r="A1044" s="39">
        <f>IF($B1044="","",COUNTA($B$4:$B1044))</f>
        <v/>
      </c>
      <c r="B1044" s="40" t="n"/>
      <c r="C1044" s="41" t="n"/>
      <c r="D1044" s="41" t="n"/>
      <c r="E1044" s="41" t="n"/>
      <c r="F1044" s="41" t="n"/>
      <c r="G1044" s="41" t="n"/>
      <c r="H1044" s="41" t="n"/>
      <c r="I1044" s="50" t="n"/>
      <c r="J1044" s="42" t="n"/>
      <c r="K1044" s="42" t="n"/>
      <c r="L1044" s="43">
        <f>IF($B1044="","",ROUND((N($J1044)+N($K1044))*نسبة_القيمة_المضافة,2))</f>
        <v/>
      </c>
      <c r="M1044" s="42" t="n"/>
      <c r="N1044" s="42" t="n"/>
      <c r="O1044" s="43">
        <f>IF($B1044="","",N($J1044)+N($K1044)+N($L1044)-N($M1044)+N($N1044))</f>
        <v/>
      </c>
      <c r="P1044" s="42" t="n"/>
      <c r="Q1044" s="43">
        <f>IF($B1044="","",N($O1044)-N($P1044))</f>
        <v/>
      </c>
      <c r="R1044" s="42" t="n"/>
      <c r="S1044" s="42" t="n"/>
      <c r="T1044" s="42" t="n"/>
      <c r="U1044" s="43">
        <f>IF($B1044="","",N($J1044)-N($R1044)-N($T1044))</f>
        <v/>
      </c>
      <c r="V1044" s="42" t="n"/>
    </row>
    <row r="1045">
      <c r="A1045" s="39">
        <f>IF($B1045="","",COUNTA($B$4:$B1045))</f>
        <v/>
      </c>
      <c r="B1045" s="45" t="n"/>
      <c r="C1045" s="46" t="n"/>
      <c r="D1045" s="46" t="n"/>
      <c r="E1045" s="46" t="n"/>
      <c r="F1045" s="46" t="n"/>
      <c r="G1045" s="46" t="n"/>
      <c r="H1045" s="46" t="n"/>
      <c r="I1045" s="51" t="n"/>
      <c r="J1045" s="47" t="n"/>
      <c r="K1045" s="47" t="n"/>
      <c r="L1045" s="43">
        <f>IF($B1045="","",ROUND((N($J1045)+N($K1045))*نسبة_القيمة_المضافة,2))</f>
        <v/>
      </c>
      <c r="M1045" s="47" t="n"/>
      <c r="N1045" s="47" t="n"/>
      <c r="O1045" s="43">
        <f>IF($B1045="","",N($J1045)+N($K1045)+N($L1045)-N($M1045)+N($N1045))</f>
        <v/>
      </c>
      <c r="P1045" s="47" t="n"/>
      <c r="Q1045" s="43">
        <f>IF($B1045="","",N($O1045)-N($P1045))</f>
        <v/>
      </c>
      <c r="R1045" s="47" t="n"/>
      <c r="S1045" s="47" t="n"/>
      <c r="T1045" s="47" t="n"/>
      <c r="U1045" s="43">
        <f>IF($B1045="","",N($J1045)-N($R1045)-N($T1045))</f>
        <v/>
      </c>
      <c r="V1045" s="47" t="n"/>
    </row>
    <row r="1046">
      <c r="A1046" s="39">
        <f>IF($B1046="","",COUNTA($B$4:$B1046))</f>
        <v/>
      </c>
      <c r="B1046" s="40" t="n"/>
      <c r="C1046" s="41" t="n"/>
      <c r="D1046" s="41" t="n"/>
      <c r="E1046" s="41" t="n"/>
      <c r="F1046" s="41" t="n"/>
      <c r="G1046" s="41" t="n"/>
      <c r="H1046" s="41" t="n"/>
      <c r="I1046" s="50" t="n"/>
      <c r="J1046" s="42" t="n"/>
      <c r="K1046" s="42" t="n"/>
      <c r="L1046" s="43">
        <f>IF($B1046="","",ROUND((N($J1046)+N($K1046))*نسبة_القيمة_المضافة,2))</f>
        <v/>
      </c>
      <c r="M1046" s="42" t="n"/>
      <c r="N1046" s="42" t="n"/>
      <c r="O1046" s="43">
        <f>IF($B1046="","",N($J1046)+N($K1046)+N($L1046)-N($M1046)+N($N1046))</f>
        <v/>
      </c>
      <c r="P1046" s="42" t="n"/>
      <c r="Q1046" s="43">
        <f>IF($B1046="","",N($O1046)-N($P1046))</f>
        <v/>
      </c>
      <c r="R1046" s="42" t="n"/>
      <c r="S1046" s="42" t="n"/>
      <c r="T1046" s="42" t="n"/>
      <c r="U1046" s="43">
        <f>IF($B1046="","",N($J1046)-N($R1046)-N($T1046))</f>
        <v/>
      </c>
      <c r="V1046" s="42" t="n"/>
    </row>
    <row r="1047">
      <c r="A1047" s="39">
        <f>IF($B1047="","",COUNTA($B$4:$B1047))</f>
        <v/>
      </c>
      <c r="B1047" s="45" t="n"/>
      <c r="C1047" s="46" t="n"/>
      <c r="D1047" s="46" t="n"/>
      <c r="E1047" s="46" t="n"/>
      <c r="F1047" s="46" t="n"/>
      <c r="G1047" s="46" t="n"/>
      <c r="H1047" s="46" t="n"/>
      <c r="I1047" s="51" t="n"/>
      <c r="J1047" s="47" t="n"/>
      <c r="K1047" s="47" t="n"/>
      <c r="L1047" s="43">
        <f>IF($B1047="","",ROUND((N($J1047)+N($K1047))*نسبة_القيمة_المضافة,2))</f>
        <v/>
      </c>
      <c r="M1047" s="47" t="n"/>
      <c r="N1047" s="47" t="n"/>
      <c r="O1047" s="43">
        <f>IF($B1047="","",N($J1047)+N($K1047)+N($L1047)-N($M1047)+N($N1047))</f>
        <v/>
      </c>
      <c r="P1047" s="47" t="n"/>
      <c r="Q1047" s="43">
        <f>IF($B1047="","",N($O1047)-N($P1047))</f>
        <v/>
      </c>
      <c r="R1047" s="47" t="n"/>
      <c r="S1047" s="47" t="n"/>
      <c r="T1047" s="47" t="n"/>
      <c r="U1047" s="43">
        <f>IF($B1047="","",N($J1047)-N($R1047)-N($T1047))</f>
        <v/>
      </c>
      <c r="V1047" s="47" t="n"/>
    </row>
    <row r="1048">
      <c r="A1048" s="39">
        <f>IF($B1048="","",COUNTA($B$4:$B1048))</f>
        <v/>
      </c>
      <c r="B1048" s="40" t="n"/>
      <c r="C1048" s="41" t="n"/>
      <c r="D1048" s="41" t="n"/>
      <c r="E1048" s="41" t="n"/>
      <c r="F1048" s="41" t="n"/>
      <c r="G1048" s="41" t="n"/>
      <c r="H1048" s="41" t="n"/>
      <c r="I1048" s="50" t="n"/>
      <c r="J1048" s="42" t="n"/>
      <c r="K1048" s="42" t="n"/>
      <c r="L1048" s="43">
        <f>IF($B1048="","",ROUND((N($J1048)+N($K1048))*نسبة_القيمة_المضافة,2))</f>
        <v/>
      </c>
      <c r="M1048" s="42" t="n"/>
      <c r="N1048" s="42" t="n"/>
      <c r="O1048" s="43">
        <f>IF($B1048="","",N($J1048)+N($K1048)+N($L1048)-N($M1048)+N($N1048))</f>
        <v/>
      </c>
      <c r="P1048" s="42" t="n"/>
      <c r="Q1048" s="43">
        <f>IF($B1048="","",N($O1048)-N($P1048))</f>
        <v/>
      </c>
      <c r="R1048" s="42" t="n"/>
      <c r="S1048" s="42" t="n"/>
      <c r="T1048" s="42" t="n"/>
      <c r="U1048" s="43">
        <f>IF($B1048="","",N($J1048)-N($R1048)-N($T1048))</f>
        <v/>
      </c>
      <c r="V1048" s="42" t="n"/>
    </row>
    <row r="1049">
      <c r="A1049" s="39">
        <f>IF($B1049="","",COUNTA($B$4:$B1049))</f>
        <v/>
      </c>
      <c r="B1049" s="45" t="n"/>
      <c r="C1049" s="46" t="n"/>
      <c r="D1049" s="46" t="n"/>
      <c r="E1049" s="46" t="n"/>
      <c r="F1049" s="46" t="n"/>
      <c r="G1049" s="46" t="n"/>
      <c r="H1049" s="46" t="n"/>
      <c r="I1049" s="51" t="n"/>
      <c r="J1049" s="47" t="n"/>
      <c r="K1049" s="47" t="n"/>
      <c r="L1049" s="43">
        <f>IF($B1049="","",ROUND((N($J1049)+N($K1049))*نسبة_القيمة_المضافة,2))</f>
        <v/>
      </c>
      <c r="M1049" s="47" t="n"/>
      <c r="N1049" s="47" t="n"/>
      <c r="O1049" s="43">
        <f>IF($B1049="","",N($J1049)+N($K1049)+N($L1049)-N($M1049)+N($N1049))</f>
        <v/>
      </c>
      <c r="P1049" s="47" t="n"/>
      <c r="Q1049" s="43">
        <f>IF($B1049="","",N($O1049)-N($P1049))</f>
        <v/>
      </c>
      <c r="R1049" s="47" t="n"/>
      <c r="S1049" s="47" t="n"/>
      <c r="T1049" s="47" t="n"/>
      <c r="U1049" s="43">
        <f>IF($B1049="","",N($J1049)-N($R1049)-N($T1049))</f>
        <v/>
      </c>
      <c r="V1049" s="47" t="n"/>
    </row>
    <row r="1050">
      <c r="A1050" s="39">
        <f>IF($B1050="","",COUNTA($B$4:$B1050))</f>
        <v/>
      </c>
      <c r="B1050" s="40" t="n"/>
      <c r="C1050" s="41" t="n"/>
      <c r="D1050" s="41" t="n"/>
      <c r="E1050" s="41" t="n"/>
      <c r="F1050" s="41" t="n"/>
      <c r="G1050" s="41" t="n"/>
      <c r="H1050" s="41" t="n"/>
      <c r="I1050" s="50" t="n"/>
      <c r="J1050" s="42" t="n"/>
      <c r="K1050" s="42" t="n"/>
      <c r="L1050" s="43">
        <f>IF($B1050="","",ROUND((N($J1050)+N($K1050))*نسبة_القيمة_المضافة,2))</f>
        <v/>
      </c>
      <c r="M1050" s="42" t="n"/>
      <c r="N1050" s="42" t="n"/>
      <c r="O1050" s="43">
        <f>IF($B1050="","",N($J1050)+N($K1050)+N($L1050)-N($M1050)+N($N1050))</f>
        <v/>
      </c>
      <c r="P1050" s="42" t="n"/>
      <c r="Q1050" s="43">
        <f>IF($B1050="","",N($O1050)-N($P1050))</f>
        <v/>
      </c>
      <c r="R1050" s="42" t="n"/>
      <c r="S1050" s="42" t="n"/>
      <c r="T1050" s="42" t="n"/>
      <c r="U1050" s="43">
        <f>IF($B1050="","",N($J1050)-N($R1050)-N($T1050))</f>
        <v/>
      </c>
      <c r="V1050" s="42" t="n"/>
    </row>
    <row r="1051">
      <c r="A1051" s="39">
        <f>IF($B1051="","",COUNTA($B$4:$B1051))</f>
        <v/>
      </c>
      <c r="B1051" s="45" t="n"/>
      <c r="C1051" s="46" t="n"/>
      <c r="D1051" s="46" t="n"/>
      <c r="E1051" s="46" t="n"/>
      <c r="F1051" s="46" t="n"/>
      <c r="G1051" s="46" t="n"/>
      <c r="H1051" s="46" t="n"/>
      <c r="I1051" s="51" t="n"/>
      <c r="J1051" s="47" t="n"/>
      <c r="K1051" s="47" t="n"/>
      <c r="L1051" s="43">
        <f>IF($B1051="","",ROUND((N($J1051)+N($K1051))*نسبة_القيمة_المضافة,2))</f>
        <v/>
      </c>
      <c r="M1051" s="47" t="n"/>
      <c r="N1051" s="47" t="n"/>
      <c r="O1051" s="43">
        <f>IF($B1051="","",N($J1051)+N($K1051)+N($L1051)-N($M1051)+N($N1051))</f>
        <v/>
      </c>
      <c r="P1051" s="47" t="n"/>
      <c r="Q1051" s="43">
        <f>IF($B1051="","",N($O1051)-N($P1051))</f>
        <v/>
      </c>
      <c r="R1051" s="47" t="n"/>
      <c r="S1051" s="47" t="n"/>
      <c r="T1051" s="47" t="n"/>
      <c r="U1051" s="43">
        <f>IF($B1051="","",N($J1051)-N($R1051)-N($T1051))</f>
        <v/>
      </c>
      <c r="V1051" s="47" t="n"/>
    </row>
    <row r="1052">
      <c r="A1052" s="39">
        <f>IF($B1052="","",COUNTA($B$4:$B1052))</f>
        <v/>
      </c>
      <c r="B1052" s="40" t="n"/>
      <c r="C1052" s="41" t="n"/>
      <c r="D1052" s="41" t="n"/>
      <c r="E1052" s="41" t="n"/>
      <c r="F1052" s="41" t="n"/>
      <c r="G1052" s="41" t="n"/>
      <c r="H1052" s="41" t="n"/>
      <c r="I1052" s="50" t="n"/>
      <c r="J1052" s="42" t="n"/>
      <c r="K1052" s="42" t="n"/>
      <c r="L1052" s="43">
        <f>IF($B1052="","",ROUND((N($J1052)+N($K1052))*نسبة_القيمة_المضافة,2))</f>
        <v/>
      </c>
      <c r="M1052" s="42" t="n"/>
      <c r="N1052" s="42" t="n"/>
      <c r="O1052" s="43">
        <f>IF($B1052="","",N($J1052)+N($K1052)+N($L1052)-N($M1052)+N($N1052))</f>
        <v/>
      </c>
      <c r="P1052" s="42" t="n"/>
      <c r="Q1052" s="43">
        <f>IF($B1052="","",N($O1052)-N($P1052))</f>
        <v/>
      </c>
      <c r="R1052" s="42" t="n"/>
      <c r="S1052" s="42" t="n"/>
      <c r="T1052" s="42" t="n"/>
      <c r="U1052" s="43">
        <f>IF($B1052="","",N($J1052)-N($R1052)-N($T1052))</f>
        <v/>
      </c>
      <c r="V1052" s="42" t="n"/>
    </row>
    <row r="1053">
      <c r="A1053" s="39">
        <f>IF($B1053="","",COUNTA($B$4:$B1053))</f>
        <v/>
      </c>
      <c r="B1053" s="45" t="n"/>
      <c r="C1053" s="46" t="n"/>
      <c r="D1053" s="46" t="n"/>
      <c r="E1053" s="46" t="n"/>
      <c r="F1053" s="46" t="n"/>
      <c r="G1053" s="46" t="n"/>
      <c r="H1053" s="46" t="n"/>
      <c r="I1053" s="51" t="n"/>
      <c r="J1053" s="47" t="n"/>
      <c r="K1053" s="47" t="n"/>
      <c r="L1053" s="43">
        <f>IF($B1053="","",ROUND((N($J1053)+N($K1053))*نسبة_القيمة_المضافة,2))</f>
        <v/>
      </c>
      <c r="M1053" s="47" t="n"/>
      <c r="N1053" s="47" t="n"/>
      <c r="O1053" s="43">
        <f>IF($B1053="","",N($J1053)+N($K1053)+N($L1053)-N($M1053)+N($N1053))</f>
        <v/>
      </c>
      <c r="P1053" s="47" t="n"/>
      <c r="Q1053" s="43">
        <f>IF($B1053="","",N($O1053)-N($P1053))</f>
        <v/>
      </c>
      <c r="R1053" s="47" t="n"/>
      <c r="S1053" s="47" t="n"/>
      <c r="T1053" s="47" t="n"/>
      <c r="U1053" s="43">
        <f>IF($B1053="","",N($J1053)-N($R1053)-N($T1053))</f>
        <v/>
      </c>
      <c r="V1053" s="47" t="n"/>
    </row>
    <row r="1054">
      <c r="A1054" s="39">
        <f>IF($B1054="","",COUNTA($B$4:$B1054))</f>
        <v/>
      </c>
      <c r="B1054" s="40" t="n"/>
      <c r="C1054" s="41" t="n"/>
      <c r="D1054" s="41" t="n"/>
      <c r="E1054" s="41" t="n"/>
      <c r="F1054" s="41" t="n"/>
      <c r="G1054" s="41" t="n"/>
      <c r="H1054" s="41" t="n"/>
      <c r="I1054" s="50" t="n"/>
      <c r="J1054" s="42" t="n"/>
      <c r="K1054" s="42" t="n"/>
      <c r="L1054" s="43">
        <f>IF($B1054="","",ROUND((N($J1054)+N($K1054))*نسبة_القيمة_المضافة,2))</f>
        <v/>
      </c>
      <c r="M1054" s="42" t="n"/>
      <c r="N1054" s="42" t="n"/>
      <c r="O1054" s="43">
        <f>IF($B1054="","",N($J1054)+N($K1054)+N($L1054)-N($M1054)+N($N1054))</f>
        <v/>
      </c>
      <c r="P1054" s="42" t="n"/>
      <c r="Q1054" s="43">
        <f>IF($B1054="","",N($O1054)-N($P1054))</f>
        <v/>
      </c>
      <c r="R1054" s="42" t="n"/>
      <c r="S1054" s="42" t="n"/>
      <c r="T1054" s="42" t="n"/>
      <c r="U1054" s="43">
        <f>IF($B1054="","",N($J1054)-N($R1054)-N($T1054))</f>
        <v/>
      </c>
      <c r="V1054" s="42" t="n"/>
    </row>
    <row r="1055">
      <c r="A1055" s="39">
        <f>IF($B1055="","",COUNTA($B$4:$B1055))</f>
        <v/>
      </c>
      <c r="B1055" s="45" t="n"/>
      <c r="C1055" s="46" t="n"/>
      <c r="D1055" s="46" t="n"/>
      <c r="E1055" s="46" t="n"/>
      <c r="F1055" s="46" t="n"/>
      <c r="G1055" s="46" t="n"/>
      <c r="H1055" s="46" t="n"/>
      <c r="I1055" s="51" t="n"/>
      <c r="J1055" s="47" t="n"/>
      <c r="K1055" s="47" t="n"/>
      <c r="L1055" s="43">
        <f>IF($B1055="","",ROUND((N($J1055)+N($K1055))*نسبة_القيمة_المضافة,2))</f>
        <v/>
      </c>
      <c r="M1055" s="47" t="n"/>
      <c r="N1055" s="47" t="n"/>
      <c r="O1055" s="43">
        <f>IF($B1055="","",N($J1055)+N($K1055)+N($L1055)-N($M1055)+N($N1055))</f>
        <v/>
      </c>
      <c r="P1055" s="47" t="n"/>
      <c r="Q1055" s="43">
        <f>IF($B1055="","",N($O1055)-N($P1055))</f>
        <v/>
      </c>
      <c r="R1055" s="47" t="n"/>
      <c r="S1055" s="47" t="n"/>
      <c r="T1055" s="47" t="n"/>
      <c r="U1055" s="43">
        <f>IF($B1055="","",N($J1055)-N($R1055)-N($T1055))</f>
        <v/>
      </c>
      <c r="V1055" s="47" t="n"/>
    </row>
    <row r="1056">
      <c r="A1056" s="39">
        <f>IF($B1056="","",COUNTA($B$4:$B1056))</f>
        <v/>
      </c>
      <c r="B1056" s="40" t="n"/>
      <c r="C1056" s="41" t="n"/>
      <c r="D1056" s="41" t="n"/>
      <c r="E1056" s="41" t="n"/>
      <c r="F1056" s="41" t="n"/>
      <c r="G1056" s="41" t="n"/>
      <c r="H1056" s="41" t="n"/>
      <c r="I1056" s="50" t="n"/>
      <c r="J1056" s="42" t="n"/>
      <c r="K1056" s="42" t="n"/>
      <c r="L1056" s="43">
        <f>IF($B1056="","",ROUND((N($J1056)+N($K1056))*نسبة_القيمة_المضافة,2))</f>
        <v/>
      </c>
      <c r="M1056" s="42" t="n"/>
      <c r="N1056" s="42" t="n"/>
      <c r="O1056" s="43">
        <f>IF($B1056="","",N($J1056)+N($K1056)+N($L1056)-N($M1056)+N($N1056))</f>
        <v/>
      </c>
      <c r="P1056" s="42" t="n"/>
      <c r="Q1056" s="43">
        <f>IF($B1056="","",N($O1056)-N($P1056))</f>
        <v/>
      </c>
      <c r="R1056" s="42" t="n"/>
      <c r="S1056" s="42" t="n"/>
      <c r="T1056" s="42" t="n"/>
      <c r="U1056" s="43">
        <f>IF($B1056="","",N($J1056)-N($R1056)-N($T1056))</f>
        <v/>
      </c>
      <c r="V1056" s="42" t="n"/>
    </row>
    <row r="1057">
      <c r="A1057" s="39">
        <f>IF($B1057="","",COUNTA($B$4:$B1057))</f>
        <v/>
      </c>
      <c r="B1057" s="45" t="n"/>
      <c r="C1057" s="46" t="n"/>
      <c r="D1057" s="46" t="n"/>
      <c r="E1057" s="46" t="n"/>
      <c r="F1057" s="46" t="n"/>
      <c r="G1057" s="46" t="n"/>
      <c r="H1057" s="46" t="n"/>
      <c r="I1057" s="51" t="n"/>
      <c r="J1057" s="47" t="n"/>
      <c r="K1057" s="47" t="n"/>
      <c r="L1057" s="43">
        <f>IF($B1057="","",ROUND((N($J1057)+N($K1057))*نسبة_القيمة_المضافة,2))</f>
        <v/>
      </c>
      <c r="M1057" s="47" t="n"/>
      <c r="N1057" s="47" t="n"/>
      <c r="O1057" s="43">
        <f>IF($B1057="","",N($J1057)+N($K1057)+N($L1057)-N($M1057)+N($N1057))</f>
        <v/>
      </c>
      <c r="P1057" s="47" t="n"/>
      <c r="Q1057" s="43">
        <f>IF($B1057="","",N($O1057)-N($P1057))</f>
        <v/>
      </c>
      <c r="R1057" s="47" t="n"/>
      <c r="S1057" s="47" t="n"/>
      <c r="T1057" s="47" t="n"/>
      <c r="U1057" s="43">
        <f>IF($B1057="","",N($J1057)-N($R1057)-N($T1057))</f>
        <v/>
      </c>
      <c r="V1057" s="47" t="n"/>
    </row>
    <row r="1058">
      <c r="A1058" s="39">
        <f>IF($B1058="","",COUNTA($B$4:$B1058))</f>
        <v/>
      </c>
      <c r="B1058" s="40" t="n"/>
      <c r="C1058" s="41" t="n"/>
      <c r="D1058" s="41" t="n"/>
      <c r="E1058" s="41" t="n"/>
      <c r="F1058" s="41" t="n"/>
      <c r="G1058" s="41" t="n"/>
      <c r="H1058" s="41" t="n"/>
      <c r="I1058" s="50" t="n"/>
      <c r="J1058" s="42" t="n"/>
      <c r="K1058" s="42" t="n"/>
      <c r="L1058" s="43">
        <f>IF($B1058="","",ROUND((N($J1058)+N($K1058))*نسبة_القيمة_المضافة,2))</f>
        <v/>
      </c>
      <c r="M1058" s="42" t="n"/>
      <c r="N1058" s="42" t="n"/>
      <c r="O1058" s="43">
        <f>IF($B1058="","",N($J1058)+N($K1058)+N($L1058)-N($M1058)+N($N1058))</f>
        <v/>
      </c>
      <c r="P1058" s="42" t="n"/>
      <c r="Q1058" s="43">
        <f>IF($B1058="","",N($O1058)-N($P1058))</f>
        <v/>
      </c>
      <c r="R1058" s="42" t="n"/>
      <c r="S1058" s="42" t="n"/>
      <c r="T1058" s="42" t="n"/>
      <c r="U1058" s="43">
        <f>IF($B1058="","",N($J1058)-N($R1058)-N($T1058))</f>
        <v/>
      </c>
      <c r="V1058" s="42" t="n"/>
    </row>
    <row r="1059">
      <c r="A1059" s="39">
        <f>IF($B1059="","",COUNTA($B$4:$B1059))</f>
        <v/>
      </c>
      <c r="B1059" s="45" t="n"/>
      <c r="C1059" s="46" t="n"/>
      <c r="D1059" s="46" t="n"/>
      <c r="E1059" s="46" t="n"/>
      <c r="F1059" s="46" t="n"/>
      <c r="G1059" s="46" t="n"/>
      <c r="H1059" s="46" t="n"/>
      <c r="I1059" s="51" t="n"/>
      <c r="J1059" s="47" t="n"/>
      <c r="K1059" s="47" t="n"/>
      <c r="L1059" s="43">
        <f>IF($B1059="","",ROUND((N($J1059)+N($K1059))*نسبة_القيمة_المضافة,2))</f>
        <v/>
      </c>
      <c r="M1059" s="47" t="n"/>
      <c r="N1059" s="47" t="n"/>
      <c r="O1059" s="43">
        <f>IF($B1059="","",N($J1059)+N($K1059)+N($L1059)-N($M1059)+N($N1059))</f>
        <v/>
      </c>
      <c r="P1059" s="47" t="n"/>
      <c r="Q1059" s="43">
        <f>IF($B1059="","",N($O1059)-N($P1059))</f>
        <v/>
      </c>
      <c r="R1059" s="47" t="n"/>
      <c r="S1059" s="47" t="n"/>
      <c r="T1059" s="47" t="n"/>
      <c r="U1059" s="43">
        <f>IF($B1059="","",N($J1059)-N($R1059)-N($T1059))</f>
        <v/>
      </c>
      <c r="V1059" s="47" t="n"/>
    </row>
    <row r="1060">
      <c r="A1060" s="39">
        <f>IF($B1060="","",COUNTA($B$4:$B1060))</f>
        <v/>
      </c>
      <c r="B1060" s="40" t="n"/>
      <c r="C1060" s="41" t="n"/>
      <c r="D1060" s="41" t="n"/>
      <c r="E1060" s="41" t="n"/>
      <c r="F1060" s="41" t="n"/>
      <c r="G1060" s="41" t="n"/>
      <c r="H1060" s="41" t="n"/>
      <c r="I1060" s="50" t="n"/>
      <c r="J1060" s="42" t="n"/>
      <c r="K1060" s="42" t="n"/>
      <c r="L1060" s="43">
        <f>IF($B1060="","",ROUND((N($J1060)+N($K1060))*نسبة_القيمة_المضافة,2))</f>
        <v/>
      </c>
      <c r="M1060" s="42" t="n"/>
      <c r="N1060" s="42" t="n"/>
      <c r="O1060" s="43">
        <f>IF($B1060="","",N($J1060)+N($K1060)+N($L1060)-N($M1060)+N($N1060))</f>
        <v/>
      </c>
      <c r="P1060" s="42" t="n"/>
      <c r="Q1060" s="43">
        <f>IF($B1060="","",N($O1060)-N($P1060))</f>
        <v/>
      </c>
      <c r="R1060" s="42" t="n"/>
      <c r="S1060" s="42" t="n"/>
      <c r="T1060" s="42" t="n"/>
      <c r="U1060" s="43">
        <f>IF($B1060="","",N($J1060)-N($R1060)-N($T1060))</f>
        <v/>
      </c>
      <c r="V1060" s="42" t="n"/>
    </row>
    <row r="1061">
      <c r="A1061" s="39">
        <f>IF($B1061="","",COUNTA($B$4:$B1061))</f>
        <v/>
      </c>
      <c r="B1061" s="45" t="n"/>
      <c r="C1061" s="46" t="n"/>
      <c r="D1061" s="46" t="n"/>
      <c r="E1061" s="46" t="n"/>
      <c r="F1061" s="46" t="n"/>
      <c r="G1061" s="46" t="n"/>
      <c r="H1061" s="46" t="n"/>
      <c r="I1061" s="51" t="n"/>
      <c r="J1061" s="47" t="n"/>
      <c r="K1061" s="47" t="n"/>
      <c r="L1061" s="43">
        <f>IF($B1061="","",ROUND((N($J1061)+N($K1061))*نسبة_القيمة_المضافة,2))</f>
        <v/>
      </c>
      <c r="M1061" s="47" t="n"/>
      <c r="N1061" s="47" t="n"/>
      <c r="O1061" s="43">
        <f>IF($B1061="","",N($J1061)+N($K1061)+N($L1061)-N($M1061)+N($N1061))</f>
        <v/>
      </c>
      <c r="P1061" s="47" t="n"/>
      <c r="Q1061" s="43">
        <f>IF($B1061="","",N($O1061)-N($P1061))</f>
        <v/>
      </c>
      <c r="R1061" s="47" t="n"/>
      <c r="S1061" s="47" t="n"/>
      <c r="T1061" s="47" t="n"/>
      <c r="U1061" s="43">
        <f>IF($B1061="","",N($J1061)-N($R1061)-N($T1061))</f>
        <v/>
      </c>
      <c r="V1061" s="47" t="n"/>
    </row>
    <row r="1062">
      <c r="A1062" s="39">
        <f>IF($B1062="","",COUNTA($B$4:$B1062))</f>
        <v/>
      </c>
      <c r="B1062" s="40" t="n"/>
      <c r="C1062" s="41" t="n"/>
      <c r="D1062" s="41" t="n"/>
      <c r="E1062" s="41" t="n"/>
      <c r="F1062" s="41" t="n"/>
      <c r="G1062" s="41" t="n"/>
      <c r="H1062" s="41" t="n"/>
      <c r="I1062" s="50" t="n"/>
      <c r="J1062" s="42" t="n"/>
      <c r="K1062" s="42" t="n"/>
      <c r="L1062" s="43">
        <f>IF($B1062="","",ROUND((N($J1062)+N($K1062))*نسبة_القيمة_المضافة,2))</f>
        <v/>
      </c>
      <c r="M1062" s="42" t="n"/>
      <c r="N1062" s="42" t="n"/>
      <c r="O1062" s="43">
        <f>IF($B1062="","",N($J1062)+N($K1062)+N($L1062)-N($M1062)+N($N1062))</f>
        <v/>
      </c>
      <c r="P1062" s="42" t="n"/>
      <c r="Q1062" s="43">
        <f>IF($B1062="","",N($O1062)-N($P1062))</f>
        <v/>
      </c>
      <c r="R1062" s="42" t="n"/>
      <c r="S1062" s="42" t="n"/>
      <c r="T1062" s="42" t="n"/>
      <c r="U1062" s="43">
        <f>IF($B1062="","",N($J1062)-N($R1062)-N($T1062))</f>
        <v/>
      </c>
      <c r="V1062" s="42" t="n"/>
    </row>
    <row r="1063">
      <c r="A1063" s="39">
        <f>IF($B1063="","",COUNTA($B$4:$B1063))</f>
        <v/>
      </c>
      <c r="B1063" s="45" t="n"/>
      <c r="C1063" s="46" t="n"/>
      <c r="D1063" s="46" t="n"/>
      <c r="E1063" s="46" t="n"/>
      <c r="F1063" s="46" t="n"/>
      <c r="G1063" s="46" t="n"/>
      <c r="H1063" s="46" t="n"/>
      <c r="I1063" s="51" t="n"/>
      <c r="J1063" s="47" t="n"/>
      <c r="K1063" s="47" t="n"/>
      <c r="L1063" s="43">
        <f>IF($B1063="","",ROUND((N($J1063)+N($K1063))*نسبة_القيمة_المضافة,2))</f>
        <v/>
      </c>
      <c r="M1063" s="47" t="n"/>
      <c r="N1063" s="47" t="n"/>
      <c r="O1063" s="43">
        <f>IF($B1063="","",N($J1063)+N($K1063)+N($L1063)-N($M1063)+N($N1063))</f>
        <v/>
      </c>
      <c r="P1063" s="47" t="n"/>
      <c r="Q1063" s="43">
        <f>IF($B1063="","",N($O1063)-N($P1063))</f>
        <v/>
      </c>
      <c r="R1063" s="47" t="n"/>
      <c r="S1063" s="47" t="n"/>
      <c r="T1063" s="47" t="n"/>
      <c r="U1063" s="43">
        <f>IF($B1063="","",N($J1063)-N($R1063)-N($T1063))</f>
        <v/>
      </c>
      <c r="V1063" s="47" t="n"/>
    </row>
    <row r="1064">
      <c r="A1064" s="39">
        <f>IF($B1064="","",COUNTA($B$4:$B1064))</f>
        <v/>
      </c>
      <c r="B1064" s="40" t="n"/>
      <c r="C1064" s="41" t="n"/>
      <c r="D1064" s="41" t="n"/>
      <c r="E1064" s="41" t="n"/>
      <c r="F1064" s="41" t="n"/>
      <c r="G1064" s="41" t="n"/>
      <c r="H1064" s="41" t="n"/>
      <c r="I1064" s="50" t="n"/>
      <c r="J1064" s="42" t="n"/>
      <c r="K1064" s="42" t="n"/>
      <c r="L1064" s="43">
        <f>IF($B1064="","",ROUND((N($J1064)+N($K1064))*نسبة_القيمة_المضافة,2))</f>
        <v/>
      </c>
      <c r="M1064" s="42" t="n"/>
      <c r="N1064" s="42" t="n"/>
      <c r="O1064" s="43">
        <f>IF($B1064="","",N($J1064)+N($K1064)+N($L1064)-N($M1064)+N($N1064))</f>
        <v/>
      </c>
      <c r="P1064" s="42" t="n"/>
      <c r="Q1064" s="43">
        <f>IF($B1064="","",N($O1064)-N($P1064))</f>
        <v/>
      </c>
      <c r="R1064" s="42" t="n"/>
      <c r="S1064" s="42" t="n"/>
      <c r="T1064" s="42" t="n"/>
      <c r="U1064" s="43">
        <f>IF($B1064="","",N($J1064)-N($R1064)-N($T1064))</f>
        <v/>
      </c>
      <c r="V1064" s="42" t="n"/>
    </row>
    <row r="1065">
      <c r="A1065" s="39">
        <f>IF($B1065="","",COUNTA($B$4:$B1065))</f>
        <v/>
      </c>
      <c r="B1065" s="45" t="n"/>
      <c r="C1065" s="46" t="n"/>
      <c r="D1065" s="46" t="n"/>
      <c r="E1065" s="46" t="n"/>
      <c r="F1065" s="46" t="n"/>
      <c r="G1065" s="46" t="n"/>
      <c r="H1065" s="46" t="n"/>
      <c r="I1065" s="51" t="n"/>
      <c r="J1065" s="47" t="n"/>
      <c r="K1065" s="47" t="n"/>
      <c r="L1065" s="43">
        <f>IF($B1065="","",ROUND((N($J1065)+N($K1065))*نسبة_القيمة_المضافة,2))</f>
        <v/>
      </c>
      <c r="M1065" s="47" t="n"/>
      <c r="N1065" s="47" t="n"/>
      <c r="O1065" s="43">
        <f>IF($B1065="","",N($J1065)+N($K1065)+N($L1065)-N($M1065)+N($N1065))</f>
        <v/>
      </c>
      <c r="P1065" s="47" t="n"/>
      <c r="Q1065" s="43">
        <f>IF($B1065="","",N($O1065)-N($P1065))</f>
        <v/>
      </c>
      <c r="R1065" s="47" t="n"/>
      <c r="S1065" s="47" t="n"/>
      <c r="T1065" s="47" t="n"/>
      <c r="U1065" s="43">
        <f>IF($B1065="","",N($J1065)-N($R1065)-N($T1065))</f>
        <v/>
      </c>
      <c r="V1065" s="47" t="n"/>
    </row>
    <row r="1066">
      <c r="A1066" s="39">
        <f>IF($B1066="","",COUNTA($B$4:$B1066))</f>
        <v/>
      </c>
      <c r="B1066" s="40" t="n"/>
      <c r="C1066" s="41" t="n"/>
      <c r="D1066" s="41" t="n"/>
      <c r="E1066" s="41" t="n"/>
      <c r="F1066" s="41" t="n"/>
      <c r="G1066" s="41" t="n"/>
      <c r="H1066" s="41" t="n"/>
      <c r="I1066" s="50" t="n"/>
      <c r="J1066" s="42" t="n"/>
      <c r="K1066" s="42" t="n"/>
      <c r="L1066" s="43">
        <f>IF($B1066="","",ROUND((N($J1066)+N($K1066))*نسبة_القيمة_المضافة,2))</f>
        <v/>
      </c>
      <c r="M1066" s="42" t="n"/>
      <c r="N1066" s="42" t="n"/>
      <c r="O1066" s="43">
        <f>IF($B1066="","",N($J1066)+N($K1066)+N($L1066)-N($M1066)+N($N1066))</f>
        <v/>
      </c>
      <c r="P1066" s="42" t="n"/>
      <c r="Q1066" s="43">
        <f>IF($B1066="","",N($O1066)-N($P1066))</f>
        <v/>
      </c>
      <c r="R1066" s="42" t="n"/>
      <c r="S1066" s="42" t="n"/>
      <c r="T1066" s="42" t="n"/>
      <c r="U1066" s="43">
        <f>IF($B1066="","",N($J1066)-N($R1066)-N($T1066))</f>
        <v/>
      </c>
      <c r="V1066" s="42" t="n"/>
    </row>
    <row r="1067">
      <c r="A1067" s="39">
        <f>IF($B1067="","",COUNTA($B$4:$B1067))</f>
        <v/>
      </c>
      <c r="B1067" s="45" t="n"/>
      <c r="C1067" s="46" t="n"/>
      <c r="D1067" s="46" t="n"/>
      <c r="E1067" s="46" t="n"/>
      <c r="F1067" s="46" t="n"/>
      <c r="G1067" s="46" t="n"/>
      <c r="H1067" s="46" t="n"/>
      <c r="I1067" s="51" t="n"/>
      <c r="J1067" s="47" t="n"/>
      <c r="K1067" s="47" t="n"/>
      <c r="L1067" s="43">
        <f>IF($B1067="","",ROUND((N($J1067)+N($K1067))*نسبة_القيمة_المضافة,2))</f>
        <v/>
      </c>
      <c r="M1067" s="47" t="n"/>
      <c r="N1067" s="47" t="n"/>
      <c r="O1067" s="43">
        <f>IF($B1067="","",N($J1067)+N($K1067)+N($L1067)-N($M1067)+N($N1067))</f>
        <v/>
      </c>
      <c r="P1067" s="47" t="n"/>
      <c r="Q1067" s="43">
        <f>IF($B1067="","",N($O1067)-N($P1067))</f>
        <v/>
      </c>
      <c r="R1067" s="47" t="n"/>
      <c r="S1067" s="47" t="n"/>
      <c r="T1067" s="47" t="n"/>
      <c r="U1067" s="43">
        <f>IF($B1067="","",N($J1067)-N($R1067)-N($T1067))</f>
        <v/>
      </c>
      <c r="V1067" s="47" t="n"/>
    </row>
    <row r="1068">
      <c r="A1068" s="39">
        <f>IF($B1068="","",COUNTA($B$4:$B1068))</f>
        <v/>
      </c>
      <c r="B1068" s="40" t="n"/>
      <c r="C1068" s="41" t="n"/>
      <c r="D1068" s="41" t="n"/>
      <c r="E1068" s="41" t="n"/>
      <c r="F1068" s="41" t="n"/>
      <c r="G1068" s="41" t="n"/>
      <c r="H1068" s="41" t="n"/>
      <c r="I1068" s="50" t="n"/>
      <c r="J1068" s="42" t="n"/>
      <c r="K1068" s="42" t="n"/>
      <c r="L1068" s="43">
        <f>IF($B1068="","",ROUND((N($J1068)+N($K1068))*نسبة_القيمة_المضافة,2))</f>
        <v/>
      </c>
      <c r="M1068" s="42" t="n"/>
      <c r="N1068" s="42" t="n"/>
      <c r="O1068" s="43">
        <f>IF($B1068="","",N($J1068)+N($K1068)+N($L1068)-N($M1068)+N($N1068))</f>
        <v/>
      </c>
      <c r="P1068" s="42" t="n"/>
      <c r="Q1068" s="43">
        <f>IF($B1068="","",N($O1068)-N($P1068))</f>
        <v/>
      </c>
      <c r="R1068" s="42" t="n"/>
      <c r="S1068" s="42" t="n"/>
      <c r="T1068" s="42" t="n"/>
      <c r="U1068" s="43">
        <f>IF($B1068="","",N($J1068)-N($R1068)-N($T1068))</f>
        <v/>
      </c>
      <c r="V1068" s="42" t="n"/>
    </row>
    <row r="1069">
      <c r="A1069" s="39">
        <f>IF($B1069="","",COUNTA($B$4:$B1069))</f>
        <v/>
      </c>
      <c r="B1069" s="45" t="n"/>
      <c r="C1069" s="46" t="n"/>
      <c r="D1069" s="46" t="n"/>
      <c r="E1069" s="46" t="n"/>
      <c r="F1069" s="46" t="n"/>
      <c r="G1069" s="46" t="n"/>
      <c r="H1069" s="46" t="n"/>
      <c r="I1069" s="51" t="n"/>
      <c r="J1069" s="47" t="n"/>
      <c r="K1069" s="47" t="n"/>
      <c r="L1069" s="43">
        <f>IF($B1069="","",ROUND((N($J1069)+N($K1069))*نسبة_القيمة_المضافة,2))</f>
        <v/>
      </c>
      <c r="M1069" s="47" t="n"/>
      <c r="N1069" s="47" t="n"/>
      <c r="O1069" s="43">
        <f>IF($B1069="","",N($J1069)+N($K1069)+N($L1069)-N($M1069)+N($N1069))</f>
        <v/>
      </c>
      <c r="P1069" s="47" t="n"/>
      <c r="Q1069" s="43">
        <f>IF($B1069="","",N($O1069)-N($P1069))</f>
        <v/>
      </c>
      <c r="R1069" s="47" t="n"/>
      <c r="S1069" s="47" t="n"/>
      <c r="T1069" s="47" t="n"/>
      <c r="U1069" s="43">
        <f>IF($B1069="","",N($J1069)-N($R1069)-N($T1069))</f>
        <v/>
      </c>
      <c r="V1069" s="47" t="n"/>
    </row>
    <row r="1070">
      <c r="A1070" s="39">
        <f>IF($B1070="","",COUNTA($B$4:$B1070))</f>
        <v/>
      </c>
      <c r="B1070" s="40" t="n"/>
      <c r="C1070" s="41" t="n"/>
      <c r="D1070" s="41" t="n"/>
      <c r="E1070" s="41" t="n"/>
      <c r="F1070" s="41" t="n"/>
      <c r="G1070" s="41" t="n"/>
      <c r="H1070" s="41" t="n"/>
      <c r="I1070" s="50" t="n"/>
      <c r="J1070" s="42" t="n"/>
      <c r="K1070" s="42" t="n"/>
      <c r="L1070" s="43">
        <f>IF($B1070="","",ROUND((N($J1070)+N($K1070))*نسبة_القيمة_المضافة,2))</f>
        <v/>
      </c>
      <c r="M1070" s="42" t="n"/>
      <c r="N1070" s="42" t="n"/>
      <c r="O1070" s="43">
        <f>IF($B1070="","",N($J1070)+N($K1070)+N($L1070)-N($M1070)+N($N1070))</f>
        <v/>
      </c>
      <c r="P1070" s="42" t="n"/>
      <c r="Q1070" s="43">
        <f>IF($B1070="","",N($O1070)-N($P1070))</f>
        <v/>
      </c>
      <c r="R1070" s="42" t="n"/>
      <c r="S1070" s="42" t="n"/>
      <c r="T1070" s="42" t="n"/>
      <c r="U1070" s="43">
        <f>IF($B1070="","",N($J1070)-N($R1070)-N($T1070))</f>
        <v/>
      </c>
      <c r="V1070" s="42" t="n"/>
    </row>
    <row r="1071">
      <c r="A1071" s="39">
        <f>IF($B1071="","",COUNTA($B$4:$B1071))</f>
        <v/>
      </c>
      <c r="B1071" s="45" t="n"/>
      <c r="C1071" s="46" t="n"/>
      <c r="D1071" s="46" t="n"/>
      <c r="E1071" s="46" t="n"/>
      <c r="F1071" s="46" t="n"/>
      <c r="G1071" s="46" t="n"/>
      <c r="H1071" s="46" t="n"/>
      <c r="I1071" s="51" t="n"/>
      <c r="J1071" s="47" t="n"/>
      <c r="K1071" s="47" t="n"/>
      <c r="L1071" s="43">
        <f>IF($B1071="","",ROUND((N($J1071)+N($K1071))*نسبة_القيمة_المضافة,2))</f>
        <v/>
      </c>
      <c r="M1071" s="47" t="n"/>
      <c r="N1071" s="47" t="n"/>
      <c r="O1071" s="43">
        <f>IF($B1071="","",N($J1071)+N($K1071)+N($L1071)-N($M1071)+N($N1071))</f>
        <v/>
      </c>
      <c r="P1071" s="47" t="n"/>
      <c r="Q1071" s="43">
        <f>IF($B1071="","",N($O1071)-N($P1071))</f>
        <v/>
      </c>
      <c r="R1071" s="47" t="n"/>
      <c r="S1071" s="47" t="n"/>
      <c r="T1071" s="47" t="n"/>
      <c r="U1071" s="43">
        <f>IF($B1071="","",N($J1071)-N($R1071)-N($T1071))</f>
        <v/>
      </c>
      <c r="V1071" s="47" t="n"/>
    </row>
    <row r="1072">
      <c r="A1072" s="39">
        <f>IF($B1072="","",COUNTA($B$4:$B1072))</f>
        <v/>
      </c>
      <c r="B1072" s="40" t="n"/>
      <c r="C1072" s="41" t="n"/>
      <c r="D1072" s="41" t="n"/>
      <c r="E1072" s="41" t="n"/>
      <c r="F1072" s="41" t="n"/>
      <c r="G1072" s="41" t="n"/>
      <c r="H1072" s="41" t="n"/>
      <c r="I1072" s="50" t="n"/>
      <c r="J1072" s="42" t="n"/>
      <c r="K1072" s="42" t="n"/>
      <c r="L1072" s="43">
        <f>IF($B1072="","",ROUND((N($J1072)+N($K1072))*نسبة_القيمة_المضافة,2))</f>
        <v/>
      </c>
      <c r="M1072" s="42" t="n"/>
      <c r="N1072" s="42" t="n"/>
      <c r="O1072" s="43">
        <f>IF($B1072="","",N($J1072)+N($K1072)+N($L1072)-N($M1072)+N($N1072))</f>
        <v/>
      </c>
      <c r="P1072" s="42" t="n"/>
      <c r="Q1072" s="43">
        <f>IF($B1072="","",N($O1072)-N($P1072))</f>
        <v/>
      </c>
      <c r="R1072" s="42" t="n"/>
      <c r="S1072" s="42" t="n"/>
      <c r="T1072" s="42" t="n"/>
      <c r="U1072" s="43">
        <f>IF($B1072="","",N($J1072)-N($R1072)-N($T1072))</f>
        <v/>
      </c>
      <c r="V1072" s="42" t="n"/>
    </row>
    <row r="1073">
      <c r="A1073" s="39">
        <f>IF($B1073="","",COUNTA($B$4:$B1073))</f>
        <v/>
      </c>
      <c r="B1073" s="45" t="n"/>
      <c r="C1073" s="46" t="n"/>
      <c r="D1073" s="46" t="n"/>
      <c r="E1073" s="46" t="n"/>
      <c r="F1073" s="46" t="n"/>
      <c r="G1073" s="46" t="n"/>
      <c r="H1073" s="46" t="n"/>
      <c r="I1073" s="51" t="n"/>
      <c r="J1073" s="47" t="n"/>
      <c r="K1073" s="47" t="n"/>
      <c r="L1073" s="43">
        <f>IF($B1073="","",ROUND((N($J1073)+N($K1073))*نسبة_القيمة_المضافة,2))</f>
        <v/>
      </c>
      <c r="M1073" s="47" t="n"/>
      <c r="N1073" s="47" t="n"/>
      <c r="O1073" s="43">
        <f>IF($B1073="","",N($J1073)+N($K1073)+N($L1073)-N($M1073)+N($N1073))</f>
        <v/>
      </c>
      <c r="P1073" s="47" t="n"/>
      <c r="Q1073" s="43">
        <f>IF($B1073="","",N($O1073)-N($P1073))</f>
        <v/>
      </c>
      <c r="R1073" s="47" t="n"/>
      <c r="S1073" s="47" t="n"/>
      <c r="T1073" s="47" t="n"/>
      <c r="U1073" s="43">
        <f>IF($B1073="","",N($J1073)-N($R1073)-N($T1073))</f>
        <v/>
      </c>
      <c r="V1073" s="47" t="n"/>
    </row>
    <row r="1074">
      <c r="A1074" s="39">
        <f>IF($B1074="","",COUNTA($B$4:$B1074))</f>
        <v/>
      </c>
      <c r="B1074" s="40" t="n"/>
      <c r="C1074" s="41" t="n"/>
      <c r="D1074" s="41" t="n"/>
      <c r="E1074" s="41" t="n"/>
      <c r="F1074" s="41" t="n"/>
      <c r="G1074" s="41" t="n"/>
      <c r="H1074" s="41" t="n"/>
      <c r="I1074" s="50" t="n"/>
      <c r="J1074" s="42" t="n"/>
      <c r="K1074" s="42" t="n"/>
      <c r="L1074" s="43">
        <f>IF($B1074="","",ROUND((N($J1074)+N($K1074))*نسبة_القيمة_المضافة,2))</f>
        <v/>
      </c>
      <c r="M1074" s="42" t="n"/>
      <c r="N1074" s="42" t="n"/>
      <c r="O1074" s="43">
        <f>IF($B1074="","",N($J1074)+N($K1074)+N($L1074)-N($M1074)+N($N1074))</f>
        <v/>
      </c>
      <c r="P1074" s="42" t="n"/>
      <c r="Q1074" s="43">
        <f>IF($B1074="","",N($O1074)-N($P1074))</f>
        <v/>
      </c>
      <c r="R1074" s="42" t="n"/>
      <c r="S1074" s="42" t="n"/>
      <c r="T1074" s="42" t="n"/>
      <c r="U1074" s="43">
        <f>IF($B1074="","",N($J1074)-N($R1074)-N($T1074))</f>
        <v/>
      </c>
      <c r="V1074" s="42" t="n"/>
    </row>
    <row r="1075">
      <c r="A1075" s="39">
        <f>IF($B1075="","",COUNTA($B$4:$B1075))</f>
        <v/>
      </c>
      <c r="B1075" s="45" t="n"/>
      <c r="C1075" s="46" t="n"/>
      <c r="D1075" s="46" t="n"/>
      <c r="E1075" s="46" t="n"/>
      <c r="F1075" s="46" t="n"/>
      <c r="G1075" s="46" t="n"/>
      <c r="H1075" s="46" t="n"/>
      <c r="I1075" s="51" t="n"/>
      <c r="J1075" s="47" t="n"/>
      <c r="K1075" s="47" t="n"/>
      <c r="L1075" s="43">
        <f>IF($B1075="","",ROUND((N($J1075)+N($K1075))*نسبة_القيمة_المضافة,2))</f>
        <v/>
      </c>
      <c r="M1075" s="47" t="n"/>
      <c r="N1075" s="47" t="n"/>
      <c r="O1075" s="43">
        <f>IF($B1075="","",N($J1075)+N($K1075)+N($L1075)-N($M1075)+N($N1075))</f>
        <v/>
      </c>
      <c r="P1075" s="47" t="n"/>
      <c r="Q1075" s="43">
        <f>IF($B1075="","",N($O1075)-N($P1075))</f>
        <v/>
      </c>
      <c r="R1075" s="47" t="n"/>
      <c r="S1075" s="47" t="n"/>
      <c r="T1075" s="47" t="n"/>
      <c r="U1075" s="43">
        <f>IF($B1075="","",N($J1075)-N($R1075)-N($T1075))</f>
        <v/>
      </c>
      <c r="V1075" s="47" t="n"/>
    </row>
    <row r="1076">
      <c r="A1076" s="39">
        <f>IF($B1076="","",COUNTA($B$4:$B1076))</f>
        <v/>
      </c>
      <c r="B1076" s="40" t="n"/>
      <c r="C1076" s="41" t="n"/>
      <c r="D1076" s="41" t="n"/>
      <c r="E1076" s="41" t="n"/>
      <c r="F1076" s="41" t="n"/>
      <c r="G1076" s="41" t="n"/>
      <c r="H1076" s="41" t="n"/>
      <c r="I1076" s="50" t="n"/>
      <c r="J1076" s="42" t="n"/>
      <c r="K1076" s="42" t="n"/>
      <c r="L1076" s="43">
        <f>IF($B1076="","",ROUND((N($J1076)+N($K1076))*نسبة_القيمة_المضافة,2))</f>
        <v/>
      </c>
      <c r="M1076" s="42" t="n"/>
      <c r="N1076" s="42" t="n"/>
      <c r="O1076" s="43">
        <f>IF($B1076="","",N($J1076)+N($K1076)+N($L1076)-N($M1076)+N($N1076))</f>
        <v/>
      </c>
      <c r="P1076" s="42" t="n"/>
      <c r="Q1076" s="43">
        <f>IF($B1076="","",N($O1076)-N($P1076))</f>
        <v/>
      </c>
      <c r="R1076" s="42" t="n"/>
      <c r="S1076" s="42" t="n"/>
      <c r="T1076" s="42" t="n"/>
      <c r="U1076" s="43">
        <f>IF($B1076="","",N($J1076)-N($R1076)-N($T1076))</f>
        <v/>
      </c>
      <c r="V1076" s="42" t="n"/>
    </row>
    <row r="1077">
      <c r="A1077" s="39">
        <f>IF($B1077="","",COUNTA($B$4:$B1077))</f>
        <v/>
      </c>
      <c r="B1077" s="45" t="n"/>
      <c r="C1077" s="46" t="n"/>
      <c r="D1077" s="46" t="n"/>
      <c r="E1077" s="46" t="n"/>
      <c r="F1077" s="46" t="n"/>
      <c r="G1077" s="46" t="n"/>
      <c r="H1077" s="46" t="n"/>
      <c r="I1077" s="51" t="n"/>
      <c r="J1077" s="47" t="n"/>
      <c r="K1077" s="47" t="n"/>
      <c r="L1077" s="43">
        <f>IF($B1077="","",ROUND((N($J1077)+N($K1077))*نسبة_القيمة_المضافة,2))</f>
        <v/>
      </c>
      <c r="M1077" s="47" t="n"/>
      <c r="N1077" s="47" t="n"/>
      <c r="O1077" s="43">
        <f>IF($B1077="","",N($J1077)+N($K1077)+N($L1077)-N($M1077)+N($N1077))</f>
        <v/>
      </c>
      <c r="P1077" s="47" t="n"/>
      <c r="Q1077" s="43">
        <f>IF($B1077="","",N($O1077)-N($P1077))</f>
        <v/>
      </c>
      <c r="R1077" s="47" t="n"/>
      <c r="S1077" s="47" t="n"/>
      <c r="T1077" s="47" t="n"/>
      <c r="U1077" s="43">
        <f>IF($B1077="","",N($J1077)-N($R1077)-N($T1077))</f>
        <v/>
      </c>
      <c r="V1077" s="47" t="n"/>
    </row>
    <row r="1078">
      <c r="A1078" s="39">
        <f>IF($B1078="","",COUNTA($B$4:$B1078))</f>
        <v/>
      </c>
      <c r="B1078" s="40" t="n"/>
      <c r="C1078" s="41" t="n"/>
      <c r="D1078" s="41" t="n"/>
      <c r="E1078" s="41" t="n"/>
      <c r="F1078" s="41" t="n"/>
      <c r="G1078" s="41" t="n"/>
      <c r="H1078" s="41" t="n"/>
      <c r="I1078" s="50" t="n"/>
      <c r="J1078" s="42" t="n"/>
      <c r="K1078" s="42" t="n"/>
      <c r="L1078" s="43">
        <f>IF($B1078="","",ROUND((N($J1078)+N($K1078))*نسبة_القيمة_المضافة,2))</f>
        <v/>
      </c>
      <c r="M1078" s="42" t="n"/>
      <c r="N1078" s="42" t="n"/>
      <c r="O1078" s="43">
        <f>IF($B1078="","",N($J1078)+N($K1078)+N($L1078)-N($M1078)+N($N1078))</f>
        <v/>
      </c>
      <c r="P1078" s="42" t="n"/>
      <c r="Q1078" s="43">
        <f>IF($B1078="","",N($O1078)-N($P1078))</f>
        <v/>
      </c>
      <c r="R1078" s="42" t="n"/>
      <c r="S1078" s="42" t="n"/>
      <c r="T1078" s="42" t="n"/>
      <c r="U1078" s="43">
        <f>IF($B1078="","",N($J1078)-N($R1078)-N($T1078))</f>
        <v/>
      </c>
      <c r="V1078" s="42" t="n"/>
    </row>
    <row r="1079">
      <c r="A1079" s="39">
        <f>IF($B1079="","",COUNTA($B$4:$B1079))</f>
        <v/>
      </c>
      <c r="B1079" s="45" t="n"/>
      <c r="C1079" s="46" t="n"/>
      <c r="D1079" s="46" t="n"/>
      <c r="E1079" s="46" t="n"/>
      <c r="F1079" s="46" t="n"/>
      <c r="G1079" s="46" t="n"/>
      <c r="H1079" s="46" t="n"/>
      <c r="I1079" s="51" t="n"/>
      <c r="J1079" s="47" t="n"/>
      <c r="K1079" s="47" t="n"/>
      <c r="L1079" s="43">
        <f>IF($B1079="","",ROUND((N($J1079)+N($K1079))*نسبة_القيمة_المضافة,2))</f>
        <v/>
      </c>
      <c r="M1079" s="47" t="n"/>
      <c r="N1079" s="47" t="n"/>
      <c r="O1079" s="43">
        <f>IF($B1079="","",N($J1079)+N($K1079)+N($L1079)-N($M1079)+N($N1079))</f>
        <v/>
      </c>
      <c r="P1079" s="47" t="n"/>
      <c r="Q1079" s="43">
        <f>IF($B1079="","",N($O1079)-N($P1079))</f>
        <v/>
      </c>
      <c r="R1079" s="47" t="n"/>
      <c r="S1079" s="47" t="n"/>
      <c r="T1079" s="47" t="n"/>
      <c r="U1079" s="43">
        <f>IF($B1079="","",N($J1079)-N($R1079)-N($T1079))</f>
        <v/>
      </c>
      <c r="V1079" s="47" t="n"/>
    </row>
    <row r="1080">
      <c r="A1080" s="39">
        <f>IF($B1080="","",COUNTA($B$4:$B1080))</f>
        <v/>
      </c>
      <c r="B1080" s="40" t="n"/>
      <c r="C1080" s="41" t="n"/>
      <c r="D1080" s="41" t="n"/>
      <c r="E1080" s="41" t="n"/>
      <c r="F1080" s="41" t="n"/>
      <c r="G1080" s="41" t="n"/>
      <c r="H1080" s="41" t="n"/>
      <c r="I1080" s="50" t="n"/>
      <c r="J1080" s="42" t="n"/>
      <c r="K1080" s="42" t="n"/>
      <c r="L1080" s="43">
        <f>IF($B1080="","",ROUND((N($J1080)+N($K1080))*نسبة_القيمة_المضافة,2))</f>
        <v/>
      </c>
      <c r="M1080" s="42" t="n"/>
      <c r="N1080" s="42" t="n"/>
      <c r="O1080" s="43">
        <f>IF($B1080="","",N($J1080)+N($K1080)+N($L1080)-N($M1080)+N($N1080))</f>
        <v/>
      </c>
      <c r="P1080" s="42" t="n"/>
      <c r="Q1080" s="43">
        <f>IF($B1080="","",N($O1080)-N($P1080))</f>
        <v/>
      </c>
      <c r="R1080" s="42" t="n"/>
      <c r="S1080" s="42" t="n"/>
      <c r="T1080" s="42" t="n"/>
      <c r="U1080" s="43">
        <f>IF($B1080="","",N($J1080)-N($R1080)-N($T1080))</f>
        <v/>
      </c>
      <c r="V1080" s="42" t="n"/>
    </row>
    <row r="1081">
      <c r="A1081" s="39">
        <f>IF($B1081="","",COUNTA($B$4:$B1081))</f>
        <v/>
      </c>
      <c r="B1081" s="45" t="n"/>
      <c r="C1081" s="46" t="n"/>
      <c r="D1081" s="46" t="n"/>
      <c r="E1081" s="46" t="n"/>
      <c r="F1081" s="46" t="n"/>
      <c r="G1081" s="46" t="n"/>
      <c r="H1081" s="46" t="n"/>
      <c r="I1081" s="51" t="n"/>
      <c r="J1081" s="47" t="n"/>
      <c r="K1081" s="47" t="n"/>
      <c r="L1081" s="43">
        <f>IF($B1081="","",ROUND((N($J1081)+N($K1081))*نسبة_القيمة_المضافة,2))</f>
        <v/>
      </c>
      <c r="M1081" s="47" t="n"/>
      <c r="N1081" s="47" t="n"/>
      <c r="O1081" s="43">
        <f>IF($B1081="","",N($J1081)+N($K1081)+N($L1081)-N($M1081)+N($N1081))</f>
        <v/>
      </c>
      <c r="P1081" s="47" t="n"/>
      <c r="Q1081" s="43">
        <f>IF($B1081="","",N($O1081)-N($P1081))</f>
        <v/>
      </c>
      <c r="R1081" s="47" t="n"/>
      <c r="S1081" s="47" t="n"/>
      <c r="T1081" s="47" t="n"/>
      <c r="U1081" s="43">
        <f>IF($B1081="","",N($J1081)-N($R1081)-N($T1081))</f>
        <v/>
      </c>
      <c r="V1081" s="47" t="n"/>
    </row>
    <row r="1082">
      <c r="A1082" s="39">
        <f>IF($B1082="","",COUNTA($B$4:$B1082))</f>
        <v/>
      </c>
      <c r="B1082" s="40" t="n"/>
      <c r="C1082" s="41" t="n"/>
      <c r="D1082" s="41" t="n"/>
      <c r="E1082" s="41" t="n"/>
      <c r="F1082" s="41" t="n"/>
      <c r="G1082" s="41" t="n"/>
      <c r="H1082" s="41" t="n"/>
      <c r="I1082" s="50" t="n"/>
      <c r="J1082" s="42" t="n"/>
      <c r="K1082" s="42" t="n"/>
      <c r="L1082" s="43">
        <f>IF($B1082="","",ROUND((N($J1082)+N($K1082))*نسبة_القيمة_المضافة,2))</f>
        <v/>
      </c>
      <c r="M1082" s="42" t="n"/>
      <c r="N1082" s="42" t="n"/>
      <c r="O1082" s="43">
        <f>IF($B1082="","",N($J1082)+N($K1082)+N($L1082)-N($M1082)+N($N1082))</f>
        <v/>
      </c>
      <c r="P1082" s="42" t="n"/>
      <c r="Q1082" s="43">
        <f>IF($B1082="","",N($O1082)-N($P1082))</f>
        <v/>
      </c>
      <c r="R1082" s="42" t="n"/>
      <c r="S1082" s="42" t="n"/>
      <c r="T1082" s="42" t="n"/>
      <c r="U1082" s="43">
        <f>IF($B1082="","",N($J1082)-N($R1082)-N($T1082))</f>
        <v/>
      </c>
      <c r="V1082" s="42" t="n"/>
    </row>
    <row r="1083">
      <c r="A1083" s="39">
        <f>IF($B1083="","",COUNTA($B$4:$B1083))</f>
        <v/>
      </c>
      <c r="B1083" s="45" t="n"/>
      <c r="C1083" s="46" t="n"/>
      <c r="D1083" s="46" t="n"/>
      <c r="E1083" s="46" t="n"/>
      <c r="F1083" s="46" t="n"/>
      <c r="G1083" s="46" t="n"/>
      <c r="H1083" s="46" t="n"/>
      <c r="I1083" s="51" t="n"/>
      <c r="J1083" s="47" t="n"/>
      <c r="K1083" s="47" t="n"/>
      <c r="L1083" s="43">
        <f>IF($B1083="","",ROUND((N($J1083)+N($K1083))*نسبة_القيمة_المضافة,2))</f>
        <v/>
      </c>
      <c r="M1083" s="47" t="n"/>
      <c r="N1083" s="47" t="n"/>
      <c r="O1083" s="43">
        <f>IF($B1083="","",N($J1083)+N($K1083)+N($L1083)-N($M1083)+N($N1083))</f>
        <v/>
      </c>
      <c r="P1083" s="47" t="n"/>
      <c r="Q1083" s="43">
        <f>IF($B1083="","",N($O1083)-N($P1083))</f>
        <v/>
      </c>
      <c r="R1083" s="47" t="n"/>
      <c r="S1083" s="47" t="n"/>
      <c r="T1083" s="47" t="n"/>
      <c r="U1083" s="43">
        <f>IF($B1083="","",N($J1083)-N($R1083)-N($T1083))</f>
        <v/>
      </c>
      <c r="V1083" s="47" t="n"/>
    </row>
    <row r="1084">
      <c r="A1084" s="39">
        <f>IF($B1084="","",COUNTA($B$4:$B1084))</f>
        <v/>
      </c>
      <c r="B1084" s="40" t="n"/>
      <c r="C1084" s="41" t="n"/>
      <c r="D1084" s="41" t="n"/>
      <c r="E1084" s="41" t="n"/>
      <c r="F1084" s="41" t="n"/>
      <c r="G1084" s="41" t="n"/>
      <c r="H1084" s="41" t="n"/>
      <c r="I1084" s="50" t="n"/>
      <c r="J1084" s="42" t="n"/>
      <c r="K1084" s="42" t="n"/>
      <c r="L1084" s="43">
        <f>IF($B1084="","",ROUND((N($J1084)+N($K1084))*نسبة_القيمة_المضافة,2))</f>
        <v/>
      </c>
      <c r="M1084" s="42" t="n"/>
      <c r="N1084" s="42" t="n"/>
      <c r="O1084" s="43">
        <f>IF($B1084="","",N($J1084)+N($K1084)+N($L1084)-N($M1084)+N($N1084))</f>
        <v/>
      </c>
      <c r="P1084" s="42" t="n"/>
      <c r="Q1084" s="43">
        <f>IF($B1084="","",N($O1084)-N($P1084))</f>
        <v/>
      </c>
      <c r="R1084" s="42" t="n"/>
      <c r="S1084" s="42" t="n"/>
      <c r="T1084" s="42" t="n"/>
      <c r="U1084" s="43">
        <f>IF($B1084="","",N($J1084)-N($R1084)-N($T1084))</f>
        <v/>
      </c>
      <c r="V1084" s="42" t="n"/>
    </row>
    <row r="1085">
      <c r="A1085" s="39">
        <f>IF($B1085="","",COUNTA($B$4:$B1085))</f>
        <v/>
      </c>
      <c r="B1085" s="45" t="n"/>
      <c r="C1085" s="46" t="n"/>
      <c r="D1085" s="46" t="n"/>
      <c r="E1085" s="46" t="n"/>
      <c r="F1085" s="46" t="n"/>
      <c r="G1085" s="46" t="n"/>
      <c r="H1085" s="46" t="n"/>
      <c r="I1085" s="51" t="n"/>
      <c r="J1085" s="47" t="n"/>
      <c r="K1085" s="47" t="n"/>
      <c r="L1085" s="43">
        <f>IF($B1085="","",ROUND((N($J1085)+N($K1085))*نسبة_القيمة_المضافة,2))</f>
        <v/>
      </c>
      <c r="M1085" s="47" t="n"/>
      <c r="N1085" s="47" t="n"/>
      <c r="O1085" s="43">
        <f>IF($B1085="","",N($J1085)+N($K1085)+N($L1085)-N($M1085)+N($N1085))</f>
        <v/>
      </c>
      <c r="P1085" s="47" t="n"/>
      <c r="Q1085" s="43">
        <f>IF($B1085="","",N($O1085)-N($P1085))</f>
        <v/>
      </c>
      <c r="R1085" s="47" t="n"/>
      <c r="S1085" s="47" t="n"/>
      <c r="T1085" s="47" t="n"/>
      <c r="U1085" s="43">
        <f>IF($B1085="","",N($J1085)-N($R1085)-N($T1085))</f>
        <v/>
      </c>
      <c r="V1085" s="47" t="n"/>
    </row>
    <row r="1086">
      <c r="A1086" s="39">
        <f>IF($B1086="","",COUNTA($B$4:$B1086))</f>
        <v/>
      </c>
      <c r="B1086" s="40" t="n"/>
      <c r="C1086" s="41" t="n"/>
      <c r="D1086" s="41" t="n"/>
      <c r="E1086" s="41" t="n"/>
      <c r="F1086" s="41" t="n"/>
      <c r="G1086" s="41" t="n"/>
      <c r="H1086" s="41" t="n"/>
      <c r="I1086" s="50" t="n"/>
      <c r="J1086" s="42" t="n"/>
      <c r="K1086" s="42" t="n"/>
      <c r="L1086" s="43">
        <f>IF($B1086="","",ROUND((N($J1086)+N($K1086))*نسبة_القيمة_المضافة,2))</f>
        <v/>
      </c>
      <c r="M1086" s="42" t="n"/>
      <c r="N1086" s="42" t="n"/>
      <c r="O1086" s="43">
        <f>IF($B1086="","",N($J1086)+N($K1086)+N($L1086)-N($M1086)+N($N1086))</f>
        <v/>
      </c>
      <c r="P1086" s="42" t="n"/>
      <c r="Q1086" s="43">
        <f>IF($B1086="","",N($O1086)-N($P1086))</f>
        <v/>
      </c>
      <c r="R1086" s="42" t="n"/>
      <c r="S1086" s="42" t="n"/>
      <c r="T1086" s="42" t="n"/>
      <c r="U1086" s="43">
        <f>IF($B1086="","",N($J1086)-N($R1086)-N($T1086))</f>
        <v/>
      </c>
      <c r="V1086" s="42" t="n"/>
    </row>
    <row r="1087">
      <c r="A1087" s="39">
        <f>IF($B1087="","",COUNTA($B$4:$B1087))</f>
        <v/>
      </c>
      <c r="B1087" s="45" t="n"/>
      <c r="C1087" s="46" t="n"/>
      <c r="D1087" s="46" t="n"/>
      <c r="E1087" s="46" t="n"/>
      <c r="F1087" s="46" t="n"/>
      <c r="G1087" s="46" t="n"/>
      <c r="H1087" s="46" t="n"/>
      <c r="I1087" s="51" t="n"/>
      <c r="J1087" s="47" t="n"/>
      <c r="K1087" s="47" t="n"/>
      <c r="L1087" s="43">
        <f>IF($B1087="","",ROUND((N($J1087)+N($K1087))*نسبة_القيمة_المضافة,2))</f>
        <v/>
      </c>
      <c r="M1087" s="47" t="n"/>
      <c r="N1087" s="47" t="n"/>
      <c r="O1087" s="43">
        <f>IF($B1087="","",N($J1087)+N($K1087)+N($L1087)-N($M1087)+N($N1087))</f>
        <v/>
      </c>
      <c r="P1087" s="47" t="n"/>
      <c r="Q1087" s="43">
        <f>IF($B1087="","",N($O1087)-N($P1087))</f>
        <v/>
      </c>
      <c r="R1087" s="47" t="n"/>
      <c r="S1087" s="47" t="n"/>
      <c r="T1087" s="47" t="n"/>
      <c r="U1087" s="43">
        <f>IF($B1087="","",N($J1087)-N($R1087)-N($T1087))</f>
        <v/>
      </c>
      <c r="V1087" s="47" t="n"/>
    </row>
    <row r="1088">
      <c r="A1088" s="39">
        <f>IF($B1088="","",COUNTA($B$4:$B1088))</f>
        <v/>
      </c>
      <c r="B1088" s="40" t="n"/>
      <c r="C1088" s="41" t="n"/>
      <c r="D1088" s="41" t="n"/>
      <c r="E1088" s="41" t="n"/>
      <c r="F1088" s="41" t="n"/>
      <c r="G1088" s="41" t="n"/>
      <c r="H1088" s="41" t="n"/>
      <c r="I1088" s="50" t="n"/>
      <c r="J1088" s="42" t="n"/>
      <c r="K1088" s="42" t="n"/>
      <c r="L1088" s="43">
        <f>IF($B1088="","",ROUND((N($J1088)+N($K1088))*نسبة_القيمة_المضافة,2))</f>
        <v/>
      </c>
      <c r="M1088" s="42" t="n"/>
      <c r="N1088" s="42" t="n"/>
      <c r="O1088" s="43">
        <f>IF($B1088="","",N($J1088)+N($K1088)+N($L1088)-N($M1088)+N($N1088))</f>
        <v/>
      </c>
      <c r="P1088" s="42" t="n"/>
      <c r="Q1088" s="43">
        <f>IF($B1088="","",N($O1088)-N($P1088))</f>
        <v/>
      </c>
      <c r="R1088" s="42" t="n"/>
      <c r="S1088" s="42" t="n"/>
      <c r="T1088" s="42" t="n"/>
      <c r="U1088" s="43">
        <f>IF($B1088="","",N($J1088)-N($R1088)-N($T1088))</f>
        <v/>
      </c>
      <c r="V1088" s="42" t="n"/>
    </row>
    <row r="1089">
      <c r="A1089" s="39">
        <f>IF($B1089="","",COUNTA($B$4:$B1089))</f>
        <v/>
      </c>
      <c r="B1089" s="45" t="n"/>
      <c r="C1089" s="46" t="n"/>
      <c r="D1089" s="46" t="n"/>
      <c r="E1089" s="46" t="n"/>
      <c r="F1089" s="46" t="n"/>
      <c r="G1089" s="46" t="n"/>
      <c r="H1089" s="46" t="n"/>
      <c r="I1089" s="51" t="n"/>
      <c r="J1089" s="47" t="n"/>
      <c r="K1089" s="47" t="n"/>
      <c r="L1089" s="43">
        <f>IF($B1089="","",ROUND((N($J1089)+N($K1089))*نسبة_القيمة_المضافة,2))</f>
        <v/>
      </c>
      <c r="M1089" s="47" t="n"/>
      <c r="N1089" s="47" t="n"/>
      <c r="O1089" s="43">
        <f>IF($B1089="","",N($J1089)+N($K1089)+N($L1089)-N($M1089)+N($N1089))</f>
        <v/>
      </c>
      <c r="P1089" s="47" t="n"/>
      <c r="Q1089" s="43">
        <f>IF($B1089="","",N($O1089)-N($P1089))</f>
        <v/>
      </c>
      <c r="R1089" s="47" t="n"/>
      <c r="S1089" s="47" t="n"/>
      <c r="T1089" s="47" t="n"/>
      <c r="U1089" s="43">
        <f>IF($B1089="","",N($J1089)-N($R1089)-N($T1089))</f>
        <v/>
      </c>
      <c r="V1089" s="47" t="n"/>
    </row>
    <row r="1090">
      <c r="A1090" s="39">
        <f>IF($B1090="","",COUNTA($B$4:$B1090))</f>
        <v/>
      </c>
      <c r="B1090" s="40" t="n"/>
      <c r="C1090" s="41" t="n"/>
      <c r="D1090" s="41" t="n"/>
      <c r="E1090" s="41" t="n"/>
      <c r="F1090" s="41" t="n"/>
      <c r="G1090" s="41" t="n"/>
      <c r="H1090" s="41" t="n"/>
      <c r="I1090" s="50" t="n"/>
      <c r="J1090" s="42" t="n"/>
      <c r="K1090" s="42" t="n"/>
      <c r="L1090" s="43">
        <f>IF($B1090="","",ROUND((N($J1090)+N($K1090))*نسبة_القيمة_المضافة,2))</f>
        <v/>
      </c>
      <c r="M1090" s="42" t="n"/>
      <c r="N1090" s="42" t="n"/>
      <c r="O1090" s="43">
        <f>IF($B1090="","",N($J1090)+N($K1090)+N($L1090)-N($M1090)+N($N1090))</f>
        <v/>
      </c>
      <c r="P1090" s="42" t="n"/>
      <c r="Q1090" s="43">
        <f>IF($B1090="","",N($O1090)-N($P1090))</f>
        <v/>
      </c>
      <c r="R1090" s="42" t="n"/>
      <c r="S1090" s="42" t="n"/>
      <c r="T1090" s="42" t="n"/>
      <c r="U1090" s="43">
        <f>IF($B1090="","",N($J1090)-N($R1090)-N($T1090))</f>
        <v/>
      </c>
      <c r="V1090" s="42" t="n"/>
    </row>
    <row r="1091">
      <c r="A1091" s="39">
        <f>IF($B1091="","",COUNTA($B$4:$B1091))</f>
        <v/>
      </c>
      <c r="B1091" s="45" t="n"/>
      <c r="C1091" s="46" t="n"/>
      <c r="D1091" s="46" t="n"/>
      <c r="E1091" s="46" t="n"/>
      <c r="F1091" s="46" t="n"/>
      <c r="G1091" s="46" t="n"/>
      <c r="H1091" s="46" t="n"/>
      <c r="I1091" s="51" t="n"/>
      <c r="J1091" s="47" t="n"/>
      <c r="K1091" s="47" t="n"/>
      <c r="L1091" s="43">
        <f>IF($B1091="","",ROUND((N($J1091)+N($K1091))*نسبة_القيمة_المضافة,2))</f>
        <v/>
      </c>
      <c r="M1091" s="47" t="n"/>
      <c r="N1091" s="47" t="n"/>
      <c r="O1091" s="43">
        <f>IF($B1091="","",N($J1091)+N($K1091)+N($L1091)-N($M1091)+N($N1091))</f>
        <v/>
      </c>
      <c r="P1091" s="47" t="n"/>
      <c r="Q1091" s="43">
        <f>IF($B1091="","",N($O1091)-N($P1091))</f>
        <v/>
      </c>
      <c r="R1091" s="47" t="n"/>
      <c r="S1091" s="47" t="n"/>
      <c r="T1091" s="47" t="n"/>
      <c r="U1091" s="43">
        <f>IF($B1091="","",N($J1091)-N($R1091)-N($T1091))</f>
        <v/>
      </c>
      <c r="V1091" s="47" t="n"/>
    </row>
    <row r="1092">
      <c r="A1092" s="39">
        <f>IF($B1092="","",COUNTA($B$4:$B1092))</f>
        <v/>
      </c>
      <c r="B1092" s="40" t="n"/>
      <c r="C1092" s="41" t="n"/>
      <c r="D1092" s="41" t="n"/>
      <c r="E1092" s="41" t="n"/>
      <c r="F1092" s="41" t="n"/>
      <c r="G1092" s="41" t="n"/>
      <c r="H1092" s="41" t="n"/>
      <c r="I1092" s="50" t="n"/>
      <c r="J1092" s="42" t="n"/>
      <c r="K1092" s="42" t="n"/>
      <c r="L1092" s="43">
        <f>IF($B1092="","",ROUND((N($J1092)+N($K1092))*نسبة_القيمة_المضافة,2))</f>
        <v/>
      </c>
      <c r="M1092" s="42" t="n"/>
      <c r="N1092" s="42" t="n"/>
      <c r="O1092" s="43">
        <f>IF($B1092="","",N($J1092)+N($K1092)+N($L1092)-N($M1092)+N($N1092))</f>
        <v/>
      </c>
      <c r="P1092" s="42" t="n"/>
      <c r="Q1092" s="43">
        <f>IF($B1092="","",N($O1092)-N($P1092))</f>
        <v/>
      </c>
      <c r="R1092" s="42" t="n"/>
      <c r="S1092" s="42" t="n"/>
      <c r="T1092" s="42" t="n"/>
      <c r="U1092" s="43">
        <f>IF($B1092="","",N($J1092)-N($R1092)-N($T1092))</f>
        <v/>
      </c>
      <c r="V1092" s="42" t="n"/>
    </row>
    <row r="1093">
      <c r="A1093" s="39">
        <f>IF($B1093="","",COUNTA($B$4:$B1093))</f>
        <v/>
      </c>
      <c r="B1093" s="45" t="n"/>
      <c r="C1093" s="46" t="n"/>
      <c r="D1093" s="46" t="n"/>
      <c r="E1093" s="46" t="n"/>
      <c r="F1093" s="46" t="n"/>
      <c r="G1093" s="46" t="n"/>
      <c r="H1093" s="46" t="n"/>
      <c r="I1093" s="51" t="n"/>
      <c r="J1093" s="47" t="n"/>
      <c r="K1093" s="47" t="n"/>
      <c r="L1093" s="43">
        <f>IF($B1093="","",ROUND((N($J1093)+N($K1093))*نسبة_القيمة_المضافة,2))</f>
        <v/>
      </c>
      <c r="M1093" s="47" t="n"/>
      <c r="N1093" s="47" t="n"/>
      <c r="O1093" s="43">
        <f>IF($B1093="","",N($J1093)+N($K1093)+N($L1093)-N($M1093)+N($N1093))</f>
        <v/>
      </c>
      <c r="P1093" s="47" t="n"/>
      <c r="Q1093" s="43">
        <f>IF($B1093="","",N($O1093)-N($P1093))</f>
        <v/>
      </c>
      <c r="R1093" s="47" t="n"/>
      <c r="S1093" s="47" t="n"/>
      <c r="T1093" s="47" t="n"/>
      <c r="U1093" s="43">
        <f>IF($B1093="","",N($J1093)-N($R1093)-N($T1093))</f>
        <v/>
      </c>
      <c r="V1093" s="47" t="n"/>
    </row>
    <row r="1094">
      <c r="A1094" s="39">
        <f>IF($B1094="","",COUNTA($B$4:$B1094))</f>
        <v/>
      </c>
      <c r="B1094" s="40" t="n"/>
      <c r="C1094" s="41" t="n"/>
      <c r="D1094" s="41" t="n"/>
      <c r="E1094" s="41" t="n"/>
      <c r="F1094" s="41" t="n"/>
      <c r="G1094" s="41" t="n"/>
      <c r="H1094" s="41" t="n"/>
      <c r="I1094" s="50" t="n"/>
      <c r="J1094" s="42" t="n"/>
      <c r="K1094" s="42" t="n"/>
      <c r="L1094" s="43">
        <f>IF($B1094="","",ROUND((N($J1094)+N($K1094))*نسبة_القيمة_المضافة,2))</f>
        <v/>
      </c>
      <c r="M1094" s="42" t="n"/>
      <c r="N1094" s="42" t="n"/>
      <c r="O1094" s="43">
        <f>IF($B1094="","",N($J1094)+N($K1094)+N($L1094)-N($M1094)+N($N1094))</f>
        <v/>
      </c>
      <c r="P1094" s="42" t="n"/>
      <c r="Q1094" s="43">
        <f>IF($B1094="","",N($O1094)-N($P1094))</f>
        <v/>
      </c>
      <c r="R1094" s="42" t="n"/>
      <c r="S1094" s="42" t="n"/>
      <c r="T1094" s="42" t="n"/>
      <c r="U1094" s="43">
        <f>IF($B1094="","",N($J1094)-N($R1094)-N($T1094))</f>
        <v/>
      </c>
      <c r="V1094" s="42" t="n"/>
    </row>
    <row r="1095">
      <c r="A1095" s="39">
        <f>IF($B1095="","",COUNTA($B$4:$B1095))</f>
        <v/>
      </c>
      <c r="B1095" s="45" t="n"/>
      <c r="C1095" s="46" t="n"/>
      <c r="D1095" s="46" t="n"/>
      <c r="E1095" s="46" t="n"/>
      <c r="F1095" s="46" t="n"/>
      <c r="G1095" s="46" t="n"/>
      <c r="H1095" s="46" t="n"/>
      <c r="I1095" s="51" t="n"/>
      <c r="J1095" s="47" t="n"/>
      <c r="K1095" s="47" t="n"/>
      <c r="L1095" s="43">
        <f>IF($B1095="","",ROUND((N($J1095)+N($K1095))*نسبة_القيمة_المضافة,2))</f>
        <v/>
      </c>
      <c r="M1095" s="47" t="n"/>
      <c r="N1095" s="47" t="n"/>
      <c r="O1095" s="43">
        <f>IF($B1095="","",N($J1095)+N($K1095)+N($L1095)-N($M1095)+N($N1095))</f>
        <v/>
      </c>
      <c r="P1095" s="47" t="n"/>
      <c r="Q1095" s="43">
        <f>IF($B1095="","",N($O1095)-N($P1095))</f>
        <v/>
      </c>
      <c r="R1095" s="47" t="n"/>
      <c r="S1095" s="47" t="n"/>
      <c r="T1095" s="47" t="n"/>
      <c r="U1095" s="43">
        <f>IF($B1095="","",N($J1095)-N($R1095)-N($T1095))</f>
        <v/>
      </c>
      <c r="V1095" s="47" t="n"/>
    </row>
    <row r="1096">
      <c r="A1096" s="39">
        <f>IF($B1096="","",COUNTA($B$4:$B1096))</f>
        <v/>
      </c>
      <c r="B1096" s="40" t="n"/>
      <c r="C1096" s="41" t="n"/>
      <c r="D1096" s="41" t="n"/>
      <c r="E1096" s="41" t="n"/>
      <c r="F1096" s="41" t="n"/>
      <c r="G1096" s="41" t="n"/>
      <c r="H1096" s="41" t="n"/>
      <c r="I1096" s="50" t="n"/>
      <c r="J1096" s="42" t="n"/>
      <c r="K1096" s="42" t="n"/>
      <c r="L1096" s="43">
        <f>IF($B1096="","",ROUND((N($J1096)+N($K1096))*نسبة_القيمة_المضافة,2))</f>
        <v/>
      </c>
      <c r="M1096" s="42" t="n"/>
      <c r="N1096" s="42" t="n"/>
      <c r="O1096" s="43">
        <f>IF($B1096="","",N($J1096)+N($K1096)+N($L1096)-N($M1096)+N($N1096))</f>
        <v/>
      </c>
      <c r="P1096" s="42" t="n"/>
      <c r="Q1096" s="43">
        <f>IF($B1096="","",N($O1096)-N($P1096))</f>
        <v/>
      </c>
      <c r="R1096" s="42" t="n"/>
      <c r="S1096" s="42" t="n"/>
      <c r="T1096" s="42" t="n"/>
      <c r="U1096" s="43">
        <f>IF($B1096="","",N($J1096)-N($R1096)-N($T1096))</f>
        <v/>
      </c>
      <c r="V1096" s="42" t="n"/>
    </row>
    <row r="1097">
      <c r="A1097" s="39">
        <f>IF($B1097="","",COUNTA($B$4:$B1097))</f>
        <v/>
      </c>
      <c r="B1097" s="45" t="n"/>
      <c r="C1097" s="46" t="n"/>
      <c r="D1097" s="46" t="n"/>
      <c r="E1097" s="46" t="n"/>
      <c r="F1097" s="46" t="n"/>
      <c r="G1097" s="46" t="n"/>
      <c r="H1097" s="46" t="n"/>
      <c r="I1097" s="51" t="n"/>
      <c r="J1097" s="47" t="n"/>
      <c r="K1097" s="47" t="n"/>
      <c r="L1097" s="43">
        <f>IF($B1097="","",ROUND((N($J1097)+N($K1097))*نسبة_القيمة_المضافة,2))</f>
        <v/>
      </c>
      <c r="M1097" s="47" t="n"/>
      <c r="N1097" s="47" t="n"/>
      <c r="O1097" s="43">
        <f>IF($B1097="","",N($J1097)+N($K1097)+N($L1097)-N($M1097)+N($N1097))</f>
        <v/>
      </c>
      <c r="P1097" s="47" t="n"/>
      <c r="Q1097" s="43">
        <f>IF($B1097="","",N($O1097)-N($P1097))</f>
        <v/>
      </c>
      <c r="R1097" s="47" t="n"/>
      <c r="S1097" s="47" t="n"/>
      <c r="T1097" s="47" t="n"/>
      <c r="U1097" s="43">
        <f>IF($B1097="","",N($J1097)-N($R1097)-N($T1097))</f>
        <v/>
      </c>
      <c r="V1097" s="47" t="n"/>
    </row>
    <row r="1098">
      <c r="A1098" s="39">
        <f>IF($B1098="","",COUNTA($B$4:$B1098))</f>
        <v/>
      </c>
      <c r="B1098" s="40" t="n"/>
      <c r="C1098" s="41" t="n"/>
      <c r="D1098" s="41" t="n"/>
      <c r="E1098" s="41" t="n"/>
      <c r="F1098" s="41" t="n"/>
      <c r="G1098" s="41" t="n"/>
      <c r="H1098" s="41" t="n"/>
      <c r="I1098" s="50" t="n"/>
      <c r="J1098" s="42" t="n"/>
      <c r="K1098" s="42" t="n"/>
      <c r="L1098" s="43">
        <f>IF($B1098="","",ROUND((N($J1098)+N($K1098))*نسبة_القيمة_المضافة,2))</f>
        <v/>
      </c>
      <c r="M1098" s="42" t="n"/>
      <c r="N1098" s="42" t="n"/>
      <c r="O1098" s="43">
        <f>IF($B1098="","",N($J1098)+N($K1098)+N($L1098)-N($M1098)+N($N1098))</f>
        <v/>
      </c>
      <c r="P1098" s="42" t="n"/>
      <c r="Q1098" s="43">
        <f>IF($B1098="","",N($O1098)-N($P1098))</f>
        <v/>
      </c>
      <c r="R1098" s="42" t="n"/>
      <c r="S1098" s="42" t="n"/>
      <c r="T1098" s="42" t="n"/>
      <c r="U1098" s="43">
        <f>IF($B1098="","",N($J1098)-N($R1098)-N($T1098))</f>
        <v/>
      </c>
      <c r="V1098" s="42" t="n"/>
    </row>
    <row r="1099">
      <c r="A1099" s="39">
        <f>IF($B1099="","",COUNTA($B$4:$B1099))</f>
        <v/>
      </c>
      <c r="B1099" s="45" t="n"/>
      <c r="C1099" s="46" t="n"/>
      <c r="D1099" s="46" t="n"/>
      <c r="E1099" s="46" t="n"/>
      <c r="F1099" s="46" t="n"/>
      <c r="G1099" s="46" t="n"/>
      <c r="H1099" s="46" t="n"/>
      <c r="I1099" s="51" t="n"/>
      <c r="J1099" s="47" t="n"/>
      <c r="K1099" s="47" t="n"/>
      <c r="L1099" s="43">
        <f>IF($B1099="","",ROUND((N($J1099)+N($K1099))*نسبة_القيمة_المضافة,2))</f>
        <v/>
      </c>
      <c r="M1099" s="47" t="n"/>
      <c r="N1099" s="47" t="n"/>
      <c r="O1099" s="43">
        <f>IF($B1099="","",N($J1099)+N($K1099)+N($L1099)-N($M1099)+N($N1099))</f>
        <v/>
      </c>
      <c r="P1099" s="47" t="n"/>
      <c r="Q1099" s="43">
        <f>IF($B1099="","",N($O1099)-N($P1099))</f>
        <v/>
      </c>
      <c r="R1099" s="47" t="n"/>
      <c r="S1099" s="47" t="n"/>
      <c r="T1099" s="47" t="n"/>
      <c r="U1099" s="43">
        <f>IF($B1099="","",N($J1099)-N($R1099)-N($T1099))</f>
        <v/>
      </c>
      <c r="V1099" s="47" t="n"/>
    </row>
    <row r="1100">
      <c r="A1100" s="39">
        <f>IF($B1100="","",COUNTA($B$4:$B1100))</f>
        <v/>
      </c>
      <c r="B1100" s="40" t="n"/>
      <c r="C1100" s="41" t="n"/>
      <c r="D1100" s="41" t="n"/>
      <c r="E1100" s="41" t="n"/>
      <c r="F1100" s="41" t="n"/>
      <c r="G1100" s="41" t="n"/>
      <c r="H1100" s="41" t="n"/>
      <c r="I1100" s="50" t="n"/>
      <c r="J1100" s="42" t="n"/>
      <c r="K1100" s="42" t="n"/>
      <c r="L1100" s="43">
        <f>IF($B1100="","",ROUND((N($J1100)+N($K1100))*نسبة_القيمة_المضافة,2))</f>
        <v/>
      </c>
      <c r="M1100" s="42" t="n"/>
      <c r="N1100" s="42" t="n"/>
      <c r="O1100" s="43">
        <f>IF($B1100="","",N($J1100)+N($K1100)+N($L1100)-N($M1100)+N($N1100))</f>
        <v/>
      </c>
      <c r="P1100" s="42" t="n"/>
      <c r="Q1100" s="43">
        <f>IF($B1100="","",N($O1100)-N($P1100))</f>
        <v/>
      </c>
      <c r="R1100" s="42" t="n"/>
      <c r="S1100" s="42" t="n"/>
      <c r="T1100" s="42" t="n"/>
      <c r="U1100" s="43">
        <f>IF($B1100="","",N($J1100)-N($R1100)-N($T1100))</f>
        <v/>
      </c>
      <c r="V1100" s="42" t="n"/>
    </row>
    <row r="1101">
      <c r="A1101" s="39">
        <f>IF($B1101="","",COUNTA($B$4:$B1101))</f>
        <v/>
      </c>
      <c r="B1101" s="45" t="n"/>
      <c r="C1101" s="46" t="n"/>
      <c r="D1101" s="46" t="n"/>
      <c r="E1101" s="46" t="n"/>
      <c r="F1101" s="46" t="n"/>
      <c r="G1101" s="46" t="n"/>
      <c r="H1101" s="46" t="n"/>
      <c r="I1101" s="51" t="n"/>
      <c r="J1101" s="47" t="n"/>
      <c r="K1101" s="47" t="n"/>
      <c r="L1101" s="43">
        <f>IF($B1101="","",ROUND((N($J1101)+N($K1101))*نسبة_القيمة_المضافة,2))</f>
        <v/>
      </c>
      <c r="M1101" s="47" t="n"/>
      <c r="N1101" s="47" t="n"/>
      <c r="O1101" s="43">
        <f>IF($B1101="","",N($J1101)+N($K1101)+N($L1101)-N($M1101)+N($N1101))</f>
        <v/>
      </c>
      <c r="P1101" s="47" t="n"/>
      <c r="Q1101" s="43">
        <f>IF($B1101="","",N($O1101)-N($P1101))</f>
        <v/>
      </c>
      <c r="R1101" s="47" t="n"/>
      <c r="S1101" s="47" t="n"/>
      <c r="T1101" s="47" t="n"/>
      <c r="U1101" s="43">
        <f>IF($B1101="","",N($J1101)-N($R1101)-N($T1101))</f>
        <v/>
      </c>
      <c r="V1101" s="47" t="n"/>
    </row>
    <row r="1102">
      <c r="A1102" s="39">
        <f>IF($B1102="","",COUNTA($B$4:$B1102))</f>
        <v/>
      </c>
      <c r="B1102" s="40" t="n"/>
      <c r="C1102" s="41" t="n"/>
      <c r="D1102" s="41" t="n"/>
      <c r="E1102" s="41" t="n"/>
      <c r="F1102" s="41" t="n"/>
      <c r="G1102" s="41" t="n"/>
      <c r="H1102" s="41" t="n"/>
      <c r="I1102" s="50" t="n"/>
      <c r="J1102" s="42" t="n"/>
      <c r="K1102" s="42" t="n"/>
      <c r="L1102" s="43">
        <f>IF($B1102="","",ROUND((N($J1102)+N($K1102))*نسبة_القيمة_المضافة,2))</f>
        <v/>
      </c>
      <c r="M1102" s="42" t="n"/>
      <c r="N1102" s="42" t="n"/>
      <c r="O1102" s="43">
        <f>IF($B1102="","",N($J1102)+N($K1102)+N($L1102)-N($M1102)+N($N1102))</f>
        <v/>
      </c>
      <c r="P1102" s="42" t="n"/>
      <c r="Q1102" s="43">
        <f>IF($B1102="","",N($O1102)-N($P1102))</f>
        <v/>
      </c>
      <c r="R1102" s="42" t="n"/>
      <c r="S1102" s="42" t="n"/>
      <c r="T1102" s="42" t="n"/>
      <c r="U1102" s="43">
        <f>IF($B1102="","",N($J1102)-N($R1102)-N($T1102))</f>
        <v/>
      </c>
      <c r="V1102" s="42" t="n"/>
    </row>
    <row r="1103">
      <c r="A1103" s="39">
        <f>IF($B1103="","",COUNTA($B$4:$B1103))</f>
        <v/>
      </c>
      <c r="B1103" s="45" t="n"/>
      <c r="C1103" s="46" t="n"/>
      <c r="D1103" s="46" t="n"/>
      <c r="E1103" s="46" t="n"/>
      <c r="F1103" s="46" t="n"/>
      <c r="G1103" s="46" t="n"/>
      <c r="H1103" s="46" t="n"/>
      <c r="I1103" s="51" t="n"/>
      <c r="J1103" s="47" t="n"/>
      <c r="K1103" s="47" t="n"/>
      <c r="L1103" s="43">
        <f>IF($B1103="","",ROUND((N($J1103)+N($K1103))*نسبة_القيمة_المضافة,2))</f>
        <v/>
      </c>
      <c r="M1103" s="47" t="n"/>
      <c r="N1103" s="47" t="n"/>
      <c r="O1103" s="43">
        <f>IF($B1103="","",N($J1103)+N($K1103)+N($L1103)-N($M1103)+N($N1103))</f>
        <v/>
      </c>
      <c r="P1103" s="47" t="n"/>
      <c r="Q1103" s="43">
        <f>IF($B1103="","",N($O1103)-N($P1103))</f>
        <v/>
      </c>
      <c r="R1103" s="47" t="n"/>
      <c r="S1103" s="47" t="n"/>
      <c r="T1103" s="47" t="n"/>
      <c r="U1103" s="43">
        <f>IF($B1103="","",N($J1103)-N($R1103)-N($T1103))</f>
        <v/>
      </c>
      <c r="V1103" s="47" t="n"/>
    </row>
    <row r="1104">
      <c r="A1104" s="39">
        <f>IF($B1104="","",COUNTA($B$4:$B1104))</f>
        <v/>
      </c>
      <c r="B1104" s="40" t="n"/>
      <c r="C1104" s="41" t="n"/>
      <c r="D1104" s="41" t="n"/>
      <c r="E1104" s="41" t="n"/>
      <c r="F1104" s="41" t="n"/>
      <c r="G1104" s="41" t="n"/>
      <c r="H1104" s="41" t="n"/>
      <c r="I1104" s="50" t="n"/>
      <c r="J1104" s="42" t="n"/>
      <c r="K1104" s="42" t="n"/>
      <c r="L1104" s="43">
        <f>IF($B1104="","",ROUND((N($J1104)+N($K1104))*نسبة_القيمة_المضافة,2))</f>
        <v/>
      </c>
      <c r="M1104" s="42" t="n"/>
      <c r="N1104" s="42" t="n"/>
      <c r="O1104" s="43">
        <f>IF($B1104="","",N($J1104)+N($K1104)+N($L1104)-N($M1104)+N($N1104))</f>
        <v/>
      </c>
      <c r="P1104" s="42" t="n"/>
      <c r="Q1104" s="43">
        <f>IF($B1104="","",N($O1104)-N($P1104))</f>
        <v/>
      </c>
      <c r="R1104" s="42" t="n"/>
      <c r="S1104" s="42" t="n"/>
      <c r="T1104" s="42" t="n"/>
      <c r="U1104" s="43">
        <f>IF($B1104="","",N($J1104)-N($R1104)-N($T1104))</f>
        <v/>
      </c>
      <c r="V1104" s="42" t="n"/>
    </row>
    <row r="1105">
      <c r="A1105" s="39">
        <f>IF($B1105="","",COUNTA($B$4:$B1105))</f>
        <v/>
      </c>
      <c r="B1105" s="45" t="n"/>
      <c r="C1105" s="46" t="n"/>
      <c r="D1105" s="46" t="n"/>
      <c r="E1105" s="46" t="n"/>
      <c r="F1105" s="46" t="n"/>
      <c r="G1105" s="46" t="n"/>
      <c r="H1105" s="46" t="n"/>
      <c r="I1105" s="51" t="n"/>
      <c r="J1105" s="47" t="n"/>
      <c r="K1105" s="47" t="n"/>
      <c r="L1105" s="43">
        <f>IF($B1105="","",ROUND((N($J1105)+N($K1105))*نسبة_القيمة_المضافة,2))</f>
        <v/>
      </c>
      <c r="M1105" s="47" t="n"/>
      <c r="N1105" s="47" t="n"/>
      <c r="O1105" s="43">
        <f>IF($B1105="","",N($J1105)+N($K1105)+N($L1105)-N($M1105)+N($N1105))</f>
        <v/>
      </c>
      <c r="P1105" s="47" t="n"/>
      <c r="Q1105" s="43">
        <f>IF($B1105="","",N($O1105)-N($P1105))</f>
        <v/>
      </c>
      <c r="R1105" s="47" t="n"/>
      <c r="S1105" s="47" t="n"/>
      <c r="T1105" s="47" t="n"/>
      <c r="U1105" s="43">
        <f>IF($B1105="","",N($J1105)-N($R1105)-N($T1105))</f>
        <v/>
      </c>
      <c r="V1105" s="47" t="n"/>
    </row>
    <row r="1106">
      <c r="A1106" s="39">
        <f>IF($B1106="","",COUNTA($B$4:$B1106))</f>
        <v/>
      </c>
      <c r="B1106" s="40" t="n"/>
      <c r="C1106" s="41" t="n"/>
      <c r="D1106" s="41" t="n"/>
      <c r="E1106" s="41" t="n"/>
      <c r="F1106" s="41" t="n"/>
      <c r="G1106" s="41" t="n"/>
      <c r="H1106" s="41" t="n"/>
      <c r="I1106" s="50" t="n"/>
      <c r="J1106" s="42" t="n"/>
      <c r="K1106" s="42" t="n"/>
      <c r="L1106" s="43">
        <f>IF($B1106="","",ROUND((N($J1106)+N($K1106))*نسبة_القيمة_المضافة,2))</f>
        <v/>
      </c>
      <c r="M1106" s="42" t="n"/>
      <c r="N1106" s="42" t="n"/>
      <c r="O1106" s="43">
        <f>IF($B1106="","",N($J1106)+N($K1106)+N($L1106)-N($M1106)+N($N1106))</f>
        <v/>
      </c>
      <c r="P1106" s="42" t="n"/>
      <c r="Q1106" s="43">
        <f>IF($B1106="","",N($O1106)-N($P1106))</f>
        <v/>
      </c>
      <c r="R1106" s="42" t="n"/>
      <c r="S1106" s="42" t="n"/>
      <c r="T1106" s="42" t="n"/>
      <c r="U1106" s="43">
        <f>IF($B1106="","",N($J1106)-N($R1106)-N($T1106))</f>
        <v/>
      </c>
      <c r="V1106" s="42" t="n"/>
    </row>
    <row r="1107">
      <c r="A1107" s="39">
        <f>IF($B1107="","",COUNTA($B$4:$B1107))</f>
        <v/>
      </c>
      <c r="B1107" s="45" t="n"/>
      <c r="C1107" s="46" t="n"/>
      <c r="D1107" s="46" t="n"/>
      <c r="E1107" s="46" t="n"/>
      <c r="F1107" s="46" t="n"/>
      <c r="G1107" s="46" t="n"/>
      <c r="H1107" s="46" t="n"/>
      <c r="I1107" s="51" t="n"/>
      <c r="J1107" s="47" t="n"/>
      <c r="K1107" s="47" t="n"/>
      <c r="L1107" s="43">
        <f>IF($B1107="","",ROUND((N($J1107)+N($K1107))*نسبة_القيمة_المضافة,2))</f>
        <v/>
      </c>
      <c r="M1107" s="47" t="n"/>
      <c r="N1107" s="47" t="n"/>
      <c r="O1107" s="43">
        <f>IF($B1107="","",N($J1107)+N($K1107)+N($L1107)-N($M1107)+N($N1107))</f>
        <v/>
      </c>
      <c r="P1107" s="47" t="n"/>
      <c r="Q1107" s="43">
        <f>IF($B1107="","",N($O1107)-N($P1107))</f>
        <v/>
      </c>
      <c r="R1107" s="47" t="n"/>
      <c r="S1107" s="47" t="n"/>
      <c r="T1107" s="47" t="n"/>
      <c r="U1107" s="43">
        <f>IF($B1107="","",N($J1107)-N($R1107)-N($T1107))</f>
        <v/>
      </c>
      <c r="V1107" s="47" t="n"/>
    </row>
    <row r="1108">
      <c r="A1108" s="39">
        <f>IF($B1108="","",COUNTA($B$4:$B1108))</f>
        <v/>
      </c>
      <c r="B1108" s="40" t="n"/>
      <c r="C1108" s="41" t="n"/>
      <c r="D1108" s="41" t="n"/>
      <c r="E1108" s="41" t="n"/>
      <c r="F1108" s="41" t="n"/>
      <c r="G1108" s="41" t="n"/>
      <c r="H1108" s="41" t="n"/>
      <c r="I1108" s="50" t="n"/>
      <c r="J1108" s="42" t="n"/>
      <c r="K1108" s="42" t="n"/>
      <c r="L1108" s="43">
        <f>IF($B1108="","",ROUND((N($J1108)+N($K1108))*نسبة_القيمة_المضافة,2))</f>
        <v/>
      </c>
      <c r="M1108" s="42" t="n"/>
      <c r="N1108" s="42" t="n"/>
      <c r="O1108" s="43">
        <f>IF($B1108="","",N($J1108)+N($K1108)+N($L1108)-N($M1108)+N($N1108))</f>
        <v/>
      </c>
      <c r="P1108" s="42" t="n"/>
      <c r="Q1108" s="43">
        <f>IF($B1108="","",N($O1108)-N($P1108))</f>
        <v/>
      </c>
      <c r="R1108" s="42" t="n"/>
      <c r="S1108" s="42" t="n"/>
      <c r="T1108" s="42" t="n"/>
      <c r="U1108" s="43">
        <f>IF($B1108="","",N($J1108)-N($R1108)-N($T1108))</f>
        <v/>
      </c>
      <c r="V1108" s="42" t="n"/>
    </row>
    <row r="1109">
      <c r="A1109" s="39">
        <f>IF($B1109="","",COUNTA($B$4:$B1109))</f>
        <v/>
      </c>
      <c r="B1109" s="45" t="n"/>
      <c r="C1109" s="46" t="n"/>
      <c r="D1109" s="46" t="n"/>
      <c r="E1109" s="46" t="n"/>
      <c r="F1109" s="46" t="n"/>
      <c r="G1109" s="46" t="n"/>
      <c r="H1109" s="46" t="n"/>
      <c r="I1109" s="51" t="n"/>
      <c r="J1109" s="47" t="n"/>
      <c r="K1109" s="47" t="n"/>
      <c r="L1109" s="43">
        <f>IF($B1109="","",ROUND((N($J1109)+N($K1109))*نسبة_القيمة_المضافة,2))</f>
        <v/>
      </c>
      <c r="M1109" s="47" t="n"/>
      <c r="N1109" s="47" t="n"/>
      <c r="O1109" s="43">
        <f>IF($B1109="","",N($J1109)+N($K1109)+N($L1109)-N($M1109)+N($N1109))</f>
        <v/>
      </c>
      <c r="P1109" s="47" t="n"/>
      <c r="Q1109" s="43">
        <f>IF($B1109="","",N($O1109)-N($P1109))</f>
        <v/>
      </c>
      <c r="R1109" s="47" t="n"/>
      <c r="S1109" s="47" t="n"/>
      <c r="T1109" s="47" t="n"/>
      <c r="U1109" s="43">
        <f>IF($B1109="","",N($J1109)-N($R1109)-N($T1109))</f>
        <v/>
      </c>
      <c r="V1109" s="47" t="n"/>
    </row>
    <row r="1110">
      <c r="A1110" s="39">
        <f>IF($B1110="","",COUNTA($B$4:$B1110))</f>
        <v/>
      </c>
      <c r="B1110" s="40" t="n"/>
      <c r="C1110" s="41" t="n"/>
      <c r="D1110" s="41" t="n"/>
      <c r="E1110" s="41" t="n"/>
      <c r="F1110" s="41" t="n"/>
      <c r="G1110" s="41" t="n"/>
      <c r="H1110" s="41" t="n"/>
      <c r="I1110" s="50" t="n"/>
      <c r="J1110" s="42" t="n"/>
      <c r="K1110" s="42" t="n"/>
      <c r="L1110" s="43">
        <f>IF($B1110="","",ROUND((N($J1110)+N($K1110))*نسبة_القيمة_المضافة,2))</f>
        <v/>
      </c>
      <c r="M1110" s="42" t="n"/>
      <c r="N1110" s="42" t="n"/>
      <c r="O1110" s="43">
        <f>IF($B1110="","",N($J1110)+N($K1110)+N($L1110)-N($M1110)+N($N1110))</f>
        <v/>
      </c>
      <c r="P1110" s="42" t="n"/>
      <c r="Q1110" s="43">
        <f>IF($B1110="","",N($O1110)-N($P1110))</f>
        <v/>
      </c>
      <c r="R1110" s="42" t="n"/>
      <c r="S1110" s="42" t="n"/>
      <c r="T1110" s="42" t="n"/>
      <c r="U1110" s="43">
        <f>IF($B1110="","",N($J1110)-N($R1110)-N($T1110))</f>
        <v/>
      </c>
      <c r="V1110" s="42" t="n"/>
    </row>
    <row r="1111">
      <c r="A1111" s="39">
        <f>IF($B1111="","",COUNTA($B$4:$B1111))</f>
        <v/>
      </c>
      <c r="B1111" s="45" t="n"/>
      <c r="C1111" s="46" t="n"/>
      <c r="D1111" s="46" t="n"/>
      <c r="E1111" s="46" t="n"/>
      <c r="F1111" s="46" t="n"/>
      <c r="G1111" s="46" t="n"/>
      <c r="H1111" s="46" t="n"/>
      <c r="I1111" s="51" t="n"/>
      <c r="J1111" s="47" t="n"/>
      <c r="K1111" s="47" t="n"/>
      <c r="L1111" s="43">
        <f>IF($B1111="","",ROUND((N($J1111)+N($K1111))*نسبة_القيمة_المضافة,2))</f>
        <v/>
      </c>
      <c r="M1111" s="47" t="n"/>
      <c r="N1111" s="47" t="n"/>
      <c r="O1111" s="43">
        <f>IF($B1111="","",N($J1111)+N($K1111)+N($L1111)-N($M1111)+N($N1111))</f>
        <v/>
      </c>
      <c r="P1111" s="47" t="n"/>
      <c r="Q1111" s="43">
        <f>IF($B1111="","",N($O1111)-N($P1111))</f>
        <v/>
      </c>
      <c r="R1111" s="47" t="n"/>
      <c r="S1111" s="47" t="n"/>
      <c r="T1111" s="47" t="n"/>
      <c r="U1111" s="43">
        <f>IF($B1111="","",N($J1111)-N($R1111)-N($T1111))</f>
        <v/>
      </c>
      <c r="V1111" s="47" t="n"/>
    </row>
    <row r="1112">
      <c r="A1112" s="39">
        <f>IF($B1112="","",COUNTA($B$4:$B1112))</f>
        <v/>
      </c>
      <c r="B1112" s="40" t="n"/>
      <c r="C1112" s="41" t="n"/>
      <c r="D1112" s="41" t="n"/>
      <c r="E1112" s="41" t="n"/>
      <c r="F1112" s="41" t="n"/>
      <c r="G1112" s="41" t="n"/>
      <c r="H1112" s="41" t="n"/>
      <c r="I1112" s="50" t="n"/>
      <c r="J1112" s="42" t="n"/>
      <c r="K1112" s="42" t="n"/>
      <c r="L1112" s="43">
        <f>IF($B1112="","",ROUND((N($J1112)+N($K1112))*نسبة_القيمة_المضافة,2))</f>
        <v/>
      </c>
      <c r="M1112" s="42" t="n"/>
      <c r="N1112" s="42" t="n"/>
      <c r="O1112" s="43">
        <f>IF($B1112="","",N($J1112)+N($K1112)+N($L1112)-N($M1112)+N($N1112))</f>
        <v/>
      </c>
      <c r="P1112" s="42" t="n"/>
      <c r="Q1112" s="43">
        <f>IF($B1112="","",N($O1112)-N($P1112))</f>
        <v/>
      </c>
      <c r="R1112" s="42" t="n"/>
      <c r="S1112" s="42" t="n"/>
      <c r="T1112" s="42" t="n"/>
      <c r="U1112" s="43">
        <f>IF($B1112="","",N($J1112)-N($R1112)-N($T1112))</f>
        <v/>
      </c>
      <c r="V1112" s="42" t="n"/>
    </row>
    <row r="1113">
      <c r="A1113" s="39">
        <f>IF($B1113="","",COUNTA($B$4:$B1113))</f>
        <v/>
      </c>
      <c r="B1113" s="45" t="n"/>
      <c r="C1113" s="46" t="n"/>
      <c r="D1113" s="46" t="n"/>
      <c r="E1113" s="46" t="n"/>
      <c r="F1113" s="46" t="n"/>
      <c r="G1113" s="46" t="n"/>
      <c r="H1113" s="46" t="n"/>
      <c r="I1113" s="51" t="n"/>
      <c r="J1113" s="47" t="n"/>
      <c r="K1113" s="47" t="n"/>
      <c r="L1113" s="43">
        <f>IF($B1113="","",ROUND((N($J1113)+N($K1113))*نسبة_القيمة_المضافة,2))</f>
        <v/>
      </c>
      <c r="M1113" s="47" t="n"/>
      <c r="N1113" s="47" t="n"/>
      <c r="O1113" s="43">
        <f>IF($B1113="","",N($J1113)+N($K1113)+N($L1113)-N($M1113)+N($N1113))</f>
        <v/>
      </c>
      <c r="P1113" s="47" t="n"/>
      <c r="Q1113" s="43">
        <f>IF($B1113="","",N($O1113)-N($P1113))</f>
        <v/>
      </c>
      <c r="R1113" s="47" t="n"/>
      <c r="S1113" s="47" t="n"/>
      <c r="T1113" s="47" t="n"/>
      <c r="U1113" s="43">
        <f>IF($B1113="","",N($J1113)-N($R1113)-N($T1113))</f>
        <v/>
      </c>
      <c r="V1113" s="47" t="n"/>
    </row>
    <row r="1114">
      <c r="A1114" s="39">
        <f>IF($B1114="","",COUNTA($B$4:$B1114))</f>
        <v/>
      </c>
      <c r="B1114" s="40" t="n"/>
      <c r="C1114" s="41" t="n"/>
      <c r="D1114" s="41" t="n"/>
      <c r="E1114" s="41" t="n"/>
      <c r="F1114" s="41" t="n"/>
      <c r="G1114" s="41" t="n"/>
      <c r="H1114" s="41" t="n"/>
      <c r="I1114" s="50" t="n"/>
      <c r="J1114" s="42" t="n"/>
      <c r="K1114" s="42" t="n"/>
      <c r="L1114" s="43">
        <f>IF($B1114="","",ROUND((N($J1114)+N($K1114))*نسبة_القيمة_المضافة,2))</f>
        <v/>
      </c>
      <c r="M1114" s="42" t="n"/>
      <c r="N1114" s="42" t="n"/>
      <c r="O1114" s="43">
        <f>IF($B1114="","",N($J1114)+N($K1114)+N($L1114)-N($M1114)+N($N1114))</f>
        <v/>
      </c>
      <c r="P1114" s="42" t="n"/>
      <c r="Q1114" s="43">
        <f>IF($B1114="","",N($O1114)-N($P1114))</f>
        <v/>
      </c>
      <c r="R1114" s="42" t="n"/>
      <c r="S1114" s="42" t="n"/>
      <c r="T1114" s="42" t="n"/>
      <c r="U1114" s="43">
        <f>IF($B1114="","",N($J1114)-N($R1114)-N($T1114))</f>
        <v/>
      </c>
      <c r="V1114" s="42" t="n"/>
    </row>
    <row r="1115">
      <c r="A1115" s="39">
        <f>IF($B1115="","",COUNTA($B$4:$B1115))</f>
        <v/>
      </c>
      <c r="B1115" s="45" t="n"/>
      <c r="C1115" s="46" t="n"/>
      <c r="D1115" s="46" t="n"/>
      <c r="E1115" s="46" t="n"/>
      <c r="F1115" s="46" t="n"/>
      <c r="G1115" s="46" t="n"/>
      <c r="H1115" s="46" t="n"/>
      <c r="I1115" s="51" t="n"/>
      <c r="J1115" s="47" t="n"/>
      <c r="K1115" s="47" t="n"/>
      <c r="L1115" s="43">
        <f>IF($B1115="","",ROUND((N($J1115)+N($K1115))*نسبة_القيمة_المضافة,2))</f>
        <v/>
      </c>
      <c r="M1115" s="47" t="n"/>
      <c r="N1115" s="47" t="n"/>
      <c r="O1115" s="43">
        <f>IF($B1115="","",N($J1115)+N($K1115)+N($L1115)-N($M1115)+N($N1115))</f>
        <v/>
      </c>
      <c r="P1115" s="47" t="n"/>
      <c r="Q1115" s="43">
        <f>IF($B1115="","",N($O1115)-N($P1115))</f>
        <v/>
      </c>
      <c r="R1115" s="47" t="n"/>
      <c r="S1115" s="47" t="n"/>
      <c r="T1115" s="47" t="n"/>
      <c r="U1115" s="43">
        <f>IF($B1115="","",N($J1115)-N($R1115)-N($T1115))</f>
        <v/>
      </c>
      <c r="V1115" s="47" t="n"/>
    </row>
    <row r="1116">
      <c r="A1116" s="39">
        <f>IF($B1116="","",COUNTA($B$4:$B1116))</f>
        <v/>
      </c>
      <c r="B1116" s="40" t="n"/>
      <c r="C1116" s="41" t="n"/>
      <c r="D1116" s="41" t="n"/>
      <c r="E1116" s="41" t="n"/>
      <c r="F1116" s="41" t="n"/>
      <c r="G1116" s="41" t="n"/>
      <c r="H1116" s="41" t="n"/>
      <c r="I1116" s="50" t="n"/>
      <c r="J1116" s="42" t="n"/>
      <c r="K1116" s="42" t="n"/>
      <c r="L1116" s="43">
        <f>IF($B1116="","",ROUND((N($J1116)+N($K1116))*نسبة_القيمة_المضافة,2))</f>
        <v/>
      </c>
      <c r="M1116" s="42" t="n"/>
      <c r="N1116" s="42" t="n"/>
      <c r="O1116" s="43">
        <f>IF($B1116="","",N($J1116)+N($K1116)+N($L1116)-N($M1116)+N($N1116))</f>
        <v/>
      </c>
      <c r="P1116" s="42" t="n"/>
      <c r="Q1116" s="43">
        <f>IF($B1116="","",N($O1116)-N($P1116))</f>
        <v/>
      </c>
      <c r="R1116" s="42" t="n"/>
      <c r="S1116" s="42" t="n"/>
      <c r="T1116" s="42" t="n"/>
      <c r="U1116" s="43">
        <f>IF($B1116="","",N($J1116)-N($R1116)-N($T1116))</f>
        <v/>
      </c>
      <c r="V1116" s="42" t="n"/>
    </row>
    <row r="1117">
      <c r="A1117" s="39">
        <f>IF($B1117="","",COUNTA($B$4:$B1117))</f>
        <v/>
      </c>
      <c r="B1117" s="45" t="n"/>
      <c r="C1117" s="46" t="n"/>
      <c r="D1117" s="46" t="n"/>
      <c r="E1117" s="46" t="n"/>
      <c r="F1117" s="46" t="n"/>
      <c r="G1117" s="46" t="n"/>
      <c r="H1117" s="46" t="n"/>
      <c r="I1117" s="51" t="n"/>
      <c r="J1117" s="47" t="n"/>
      <c r="K1117" s="47" t="n"/>
      <c r="L1117" s="43">
        <f>IF($B1117="","",ROUND((N($J1117)+N($K1117))*نسبة_القيمة_المضافة,2))</f>
        <v/>
      </c>
      <c r="M1117" s="47" t="n"/>
      <c r="N1117" s="47" t="n"/>
      <c r="O1117" s="43">
        <f>IF($B1117="","",N($J1117)+N($K1117)+N($L1117)-N($M1117)+N($N1117))</f>
        <v/>
      </c>
      <c r="P1117" s="47" t="n"/>
      <c r="Q1117" s="43">
        <f>IF($B1117="","",N($O1117)-N($P1117))</f>
        <v/>
      </c>
      <c r="R1117" s="47" t="n"/>
      <c r="S1117" s="47" t="n"/>
      <c r="T1117" s="47" t="n"/>
      <c r="U1117" s="43">
        <f>IF($B1117="","",N($J1117)-N($R1117)-N($T1117))</f>
        <v/>
      </c>
      <c r="V1117" s="47" t="n"/>
    </row>
    <row r="1118">
      <c r="A1118" s="39">
        <f>IF($B1118="","",COUNTA($B$4:$B1118))</f>
        <v/>
      </c>
      <c r="B1118" s="40" t="n"/>
      <c r="C1118" s="41" t="n"/>
      <c r="D1118" s="41" t="n"/>
      <c r="E1118" s="41" t="n"/>
      <c r="F1118" s="41" t="n"/>
      <c r="G1118" s="41" t="n"/>
      <c r="H1118" s="41" t="n"/>
      <c r="I1118" s="50" t="n"/>
      <c r="J1118" s="42" t="n"/>
      <c r="K1118" s="42" t="n"/>
      <c r="L1118" s="43">
        <f>IF($B1118="","",ROUND((N($J1118)+N($K1118))*نسبة_القيمة_المضافة,2))</f>
        <v/>
      </c>
      <c r="M1118" s="42" t="n"/>
      <c r="N1118" s="42" t="n"/>
      <c r="O1118" s="43">
        <f>IF($B1118="","",N($J1118)+N($K1118)+N($L1118)-N($M1118)+N($N1118))</f>
        <v/>
      </c>
      <c r="P1118" s="42" t="n"/>
      <c r="Q1118" s="43">
        <f>IF($B1118="","",N($O1118)-N($P1118))</f>
        <v/>
      </c>
      <c r="R1118" s="42" t="n"/>
      <c r="S1118" s="42" t="n"/>
      <c r="T1118" s="42" t="n"/>
      <c r="U1118" s="43">
        <f>IF($B1118="","",N($J1118)-N($R1118)-N($T1118))</f>
        <v/>
      </c>
      <c r="V1118" s="42" t="n"/>
    </row>
    <row r="1119">
      <c r="A1119" s="39">
        <f>IF($B1119="","",COUNTA($B$4:$B1119))</f>
        <v/>
      </c>
      <c r="B1119" s="45" t="n"/>
      <c r="C1119" s="46" t="n"/>
      <c r="D1119" s="46" t="n"/>
      <c r="E1119" s="46" t="n"/>
      <c r="F1119" s="46" t="n"/>
      <c r="G1119" s="46" t="n"/>
      <c r="H1119" s="46" t="n"/>
      <c r="I1119" s="51" t="n"/>
      <c r="J1119" s="47" t="n"/>
      <c r="K1119" s="47" t="n"/>
      <c r="L1119" s="43">
        <f>IF($B1119="","",ROUND((N($J1119)+N($K1119))*نسبة_القيمة_المضافة,2))</f>
        <v/>
      </c>
      <c r="M1119" s="47" t="n"/>
      <c r="N1119" s="47" t="n"/>
      <c r="O1119" s="43">
        <f>IF($B1119="","",N($J1119)+N($K1119)+N($L1119)-N($M1119)+N($N1119))</f>
        <v/>
      </c>
      <c r="P1119" s="47" t="n"/>
      <c r="Q1119" s="43">
        <f>IF($B1119="","",N($O1119)-N($P1119))</f>
        <v/>
      </c>
      <c r="R1119" s="47" t="n"/>
      <c r="S1119" s="47" t="n"/>
      <c r="T1119" s="47" t="n"/>
      <c r="U1119" s="43">
        <f>IF($B1119="","",N($J1119)-N($R1119)-N($T1119))</f>
        <v/>
      </c>
      <c r="V1119" s="47" t="n"/>
    </row>
    <row r="1120">
      <c r="A1120" s="39">
        <f>IF($B1120="","",COUNTA($B$4:$B1120))</f>
        <v/>
      </c>
      <c r="B1120" s="40" t="n"/>
      <c r="C1120" s="41" t="n"/>
      <c r="D1120" s="41" t="n"/>
      <c r="E1120" s="41" t="n"/>
      <c r="F1120" s="41" t="n"/>
      <c r="G1120" s="41" t="n"/>
      <c r="H1120" s="41" t="n"/>
      <c r="I1120" s="50" t="n"/>
      <c r="J1120" s="42" t="n"/>
      <c r="K1120" s="42" t="n"/>
      <c r="L1120" s="43">
        <f>IF($B1120="","",ROUND((N($J1120)+N($K1120))*نسبة_القيمة_المضافة,2))</f>
        <v/>
      </c>
      <c r="M1120" s="42" t="n"/>
      <c r="N1120" s="42" t="n"/>
      <c r="O1120" s="43">
        <f>IF($B1120="","",N($J1120)+N($K1120)+N($L1120)-N($M1120)+N($N1120))</f>
        <v/>
      </c>
      <c r="P1120" s="42" t="n"/>
      <c r="Q1120" s="43">
        <f>IF($B1120="","",N($O1120)-N($P1120))</f>
        <v/>
      </c>
      <c r="R1120" s="42" t="n"/>
      <c r="S1120" s="42" t="n"/>
      <c r="T1120" s="42" t="n"/>
      <c r="U1120" s="43">
        <f>IF($B1120="","",N($J1120)-N($R1120)-N($T1120))</f>
        <v/>
      </c>
      <c r="V1120" s="42" t="n"/>
    </row>
    <row r="1121">
      <c r="A1121" s="39">
        <f>IF($B1121="","",COUNTA($B$4:$B1121))</f>
        <v/>
      </c>
      <c r="B1121" s="45" t="n"/>
      <c r="C1121" s="46" t="n"/>
      <c r="D1121" s="46" t="n"/>
      <c r="E1121" s="46" t="n"/>
      <c r="F1121" s="46" t="n"/>
      <c r="G1121" s="46" t="n"/>
      <c r="H1121" s="46" t="n"/>
      <c r="I1121" s="51" t="n"/>
      <c r="J1121" s="47" t="n"/>
      <c r="K1121" s="47" t="n"/>
      <c r="L1121" s="43">
        <f>IF($B1121="","",ROUND((N($J1121)+N($K1121))*نسبة_القيمة_المضافة,2))</f>
        <v/>
      </c>
      <c r="M1121" s="47" t="n"/>
      <c r="N1121" s="47" t="n"/>
      <c r="O1121" s="43">
        <f>IF($B1121="","",N($J1121)+N($K1121)+N($L1121)-N($M1121)+N($N1121))</f>
        <v/>
      </c>
      <c r="P1121" s="47" t="n"/>
      <c r="Q1121" s="43">
        <f>IF($B1121="","",N($O1121)-N($P1121))</f>
        <v/>
      </c>
      <c r="R1121" s="47" t="n"/>
      <c r="S1121" s="47" t="n"/>
      <c r="T1121" s="47" t="n"/>
      <c r="U1121" s="43">
        <f>IF($B1121="","",N($J1121)-N($R1121)-N($T1121))</f>
        <v/>
      </c>
      <c r="V1121" s="47" t="n"/>
    </row>
    <row r="1122">
      <c r="A1122" s="39">
        <f>IF($B1122="","",COUNTA($B$4:$B1122))</f>
        <v/>
      </c>
      <c r="B1122" s="40" t="n"/>
      <c r="C1122" s="41" t="n"/>
      <c r="D1122" s="41" t="n"/>
      <c r="E1122" s="41" t="n"/>
      <c r="F1122" s="41" t="n"/>
      <c r="G1122" s="41" t="n"/>
      <c r="H1122" s="41" t="n"/>
      <c r="I1122" s="50" t="n"/>
      <c r="J1122" s="42" t="n"/>
      <c r="K1122" s="42" t="n"/>
      <c r="L1122" s="43">
        <f>IF($B1122="","",ROUND((N($J1122)+N($K1122))*نسبة_القيمة_المضافة,2))</f>
        <v/>
      </c>
      <c r="M1122" s="42" t="n"/>
      <c r="N1122" s="42" t="n"/>
      <c r="O1122" s="43">
        <f>IF($B1122="","",N($J1122)+N($K1122)+N($L1122)-N($M1122)+N($N1122))</f>
        <v/>
      </c>
      <c r="P1122" s="42" t="n"/>
      <c r="Q1122" s="43">
        <f>IF($B1122="","",N($O1122)-N($P1122))</f>
        <v/>
      </c>
      <c r="R1122" s="42" t="n"/>
      <c r="S1122" s="42" t="n"/>
      <c r="T1122" s="42" t="n"/>
      <c r="U1122" s="43">
        <f>IF($B1122="","",N($J1122)-N($R1122)-N($T1122))</f>
        <v/>
      </c>
      <c r="V1122" s="42" t="n"/>
    </row>
    <row r="1123">
      <c r="A1123" s="39">
        <f>IF($B1123="","",COUNTA($B$4:$B1123))</f>
        <v/>
      </c>
      <c r="B1123" s="45" t="n"/>
      <c r="C1123" s="46" t="n"/>
      <c r="D1123" s="46" t="n"/>
      <c r="E1123" s="46" t="n"/>
      <c r="F1123" s="46" t="n"/>
      <c r="G1123" s="46" t="n"/>
      <c r="H1123" s="46" t="n"/>
      <c r="I1123" s="51" t="n"/>
      <c r="J1123" s="47" t="n"/>
      <c r="K1123" s="47" t="n"/>
      <c r="L1123" s="43">
        <f>IF($B1123="","",ROUND((N($J1123)+N($K1123))*نسبة_القيمة_المضافة,2))</f>
        <v/>
      </c>
      <c r="M1123" s="47" t="n"/>
      <c r="N1123" s="47" t="n"/>
      <c r="O1123" s="43">
        <f>IF($B1123="","",N($J1123)+N($K1123)+N($L1123)-N($M1123)+N($N1123))</f>
        <v/>
      </c>
      <c r="P1123" s="47" t="n"/>
      <c r="Q1123" s="43">
        <f>IF($B1123="","",N($O1123)-N($P1123))</f>
        <v/>
      </c>
      <c r="R1123" s="47" t="n"/>
      <c r="S1123" s="47" t="n"/>
      <c r="T1123" s="47" t="n"/>
      <c r="U1123" s="43">
        <f>IF($B1123="","",N($J1123)-N($R1123)-N($T1123))</f>
        <v/>
      </c>
      <c r="V1123" s="47" t="n"/>
    </row>
    <row r="1124">
      <c r="A1124" s="39">
        <f>IF($B1124="","",COUNTA($B$4:$B1124))</f>
        <v/>
      </c>
      <c r="B1124" s="40" t="n"/>
      <c r="C1124" s="41" t="n"/>
      <c r="D1124" s="41" t="n"/>
      <c r="E1124" s="41" t="n"/>
      <c r="F1124" s="41" t="n"/>
      <c r="G1124" s="41" t="n"/>
      <c r="H1124" s="41" t="n"/>
      <c r="I1124" s="50" t="n"/>
      <c r="J1124" s="42" t="n"/>
      <c r="K1124" s="42" t="n"/>
      <c r="L1124" s="43">
        <f>IF($B1124="","",ROUND((N($J1124)+N($K1124))*نسبة_القيمة_المضافة,2))</f>
        <v/>
      </c>
      <c r="M1124" s="42" t="n"/>
      <c r="N1124" s="42" t="n"/>
      <c r="O1124" s="43">
        <f>IF($B1124="","",N($J1124)+N($K1124)+N($L1124)-N($M1124)+N($N1124))</f>
        <v/>
      </c>
      <c r="P1124" s="42" t="n"/>
      <c r="Q1124" s="43">
        <f>IF($B1124="","",N($O1124)-N($P1124))</f>
        <v/>
      </c>
      <c r="R1124" s="42" t="n"/>
      <c r="S1124" s="42" t="n"/>
      <c r="T1124" s="42" t="n"/>
      <c r="U1124" s="43">
        <f>IF($B1124="","",N($J1124)-N($R1124)-N($T1124))</f>
        <v/>
      </c>
      <c r="V1124" s="42" t="n"/>
    </row>
    <row r="1125">
      <c r="A1125" s="39">
        <f>IF($B1125="","",COUNTA($B$4:$B1125))</f>
        <v/>
      </c>
      <c r="B1125" s="45" t="n"/>
      <c r="C1125" s="46" t="n"/>
      <c r="D1125" s="46" t="n"/>
      <c r="E1125" s="46" t="n"/>
      <c r="F1125" s="46" t="n"/>
      <c r="G1125" s="46" t="n"/>
      <c r="H1125" s="46" t="n"/>
      <c r="I1125" s="51" t="n"/>
      <c r="J1125" s="47" t="n"/>
      <c r="K1125" s="47" t="n"/>
      <c r="L1125" s="43">
        <f>IF($B1125="","",ROUND((N($J1125)+N($K1125))*نسبة_القيمة_المضافة,2))</f>
        <v/>
      </c>
      <c r="M1125" s="47" t="n"/>
      <c r="N1125" s="47" t="n"/>
      <c r="O1125" s="43">
        <f>IF($B1125="","",N($J1125)+N($K1125)+N($L1125)-N($M1125)+N($N1125))</f>
        <v/>
      </c>
      <c r="P1125" s="47" t="n"/>
      <c r="Q1125" s="43">
        <f>IF($B1125="","",N($O1125)-N($P1125))</f>
        <v/>
      </c>
      <c r="R1125" s="47" t="n"/>
      <c r="S1125" s="47" t="n"/>
      <c r="T1125" s="47" t="n"/>
      <c r="U1125" s="43">
        <f>IF($B1125="","",N($J1125)-N($R1125)-N($T1125))</f>
        <v/>
      </c>
      <c r="V1125" s="47" t="n"/>
    </row>
    <row r="1126">
      <c r="A1126" s="39">
        <f>IF($B1126="","",COUNTA($B$4:$B1126))</f>
        <v/>
      </c>
      <c r="B1126" s="40" t="n"/>
      <c r="C1126" s="41" t="n"/>
      <c r="D1126" s="41" t="n"/>
      <c r="E1126" s="41" t="n"/>
      <c r="F1126" s="41" t="n"/>
      <c r="G1126" s="41" t="n"/>
      <c r="H1126" s="41" t="n"/>
      <c r="I1126" s="50" t="n"/>
      <c r="J1126" s="42" t="n"/>
      <c r="K1126" s="42" t="n"/>
      <c r="L1126" s="43">
        <f>IF($B1126="","",ROUND((N($J1126)+N($K1126))*نسبة_القيمة_المضافة,2))</f>
        <v/>
      </c>
      <c r="M1126" s="42" t="n"/>
      <c r="N1126" s="42" t="n"/>
      <c r="O1126" s="43">
        <f>IF($B1126="","",N($J1126)+N($K1126)+N($L1126)-N($M1126)+N($N1126))</f>
        <v/>
      </c>
      <c r="P1126" s="42" t="n"/>
      <c r="Q1126" s="43">
        <f>IF($B1126="","",N($O1126)-N($P1126))</f>
        <v/>
      </c>
      <c r="R1126" s="42" t="n"/>
      <c r="S1126" s="42" t="n"/>
      <c r="T1126" s="42" t="n"/>
      <c r="U1126" s="43">
        <f>IF($B1126="","",N($J1126)-N($R1126)-N($T1126))</f>
        <v/>
      </c>
      <c r="V1126" s="42" t="n"/>
    </row>
    <row r="1127">
      <c r="A1127" s="39">
        <f>IF($B1127="","",COUNTA($B$4:$B1127))</f>
        <v/>
      </c>
      <c r="B1127" s="45" t="n"/>
      <c r="C1127" s="46" t="n"/>
      <c r="D1127" s="46" t="n"/>
      <c r="E1127" s="46" t="n"/>
      <c r="F1127" s="46" t="n"/>
      <c r="G1127" s="46" t="n"/>
      <c r="H1127" s="46" t="n"/>
      <c r="I1127" s="51" t="n"/>
      <c r="J1127" s="47" t="n"/>
      <c r="K1127" s="47" t="n"/>
      <c r="L1127" s="43">
        <f>IF($B1127="","",ROUND((N($J1127)+N($K1127))*نسبة_القيمة_المضافة,2))</f>
        <v/>
      </c>
      <c r="M1127" s="47" t="n"/>
      <c r="N1127" s="47" t="n"/>
      <c r="O1127" s="43">
        <f>IF($B1127="","",N($J1127)+N($K1127)+N($L1127)-N($M1127)+N($N1127))</f>
        <v/>
      </c>
      <c r="P1127" s="47" t="n"/>
      <c r="Q1127" s="43">
        <f>IF($B1127="","",N($O1127)-N($P1127))</f>
        <v/>
      </c>
      <c r="R1127" s="47" t="n"/>
      <c r="S1127" s="47" t="n"/>
      <c r="T1127" s="47" t="n"/>
      <c r="U1127" s="43">
        <f>IF($B1127="","",N($J1127)-N($R1127)-N($T1127))</f>
        <v/>
      </c>
      <c r="V1127" s="47" t="n"/>
    </row>
    <row r="1128">
      <c r="A1128" s="39">
        <f>IF($B1128="","",COUNTA($B$4:$B1128))</f>
        <v/>
      </c>
      <c r="B1128" s="40" t="n"/>
      <c r="C1128" s="41" t="n"/>
      <c r="D1128" s="41" t="n"/>
      <c r="E1128" s="41" t="n"/>
      <c r="F1128" s="41" t="n"/>
      <c r="G1128" s="41" t="n"/>
      <c r="H1128" s="41" t="n"/>
      <c r="I1128" s="50" t="n"/>
      <c r="J1128" s="42" t="n"/>
      <c r="K1128" s="42" t="n"/>
      <c r="L1128" s="43">
        <f>IF($B1128="","",ROUND((N($J1128)+N($K1128))*نسبة_القيمة_المضافة,2))</f>
        <v/>
      </c>
      <c r="M1128" s="42" t="n"/>
      <c r="N1128" s="42" t="n"/>
      <c r="O1128" s="43">
        <f>IF($B1128="","",N($J1128)+N($K1128)+N($L1128)-N($M1128)+N($N1128))</f>
        <v/>
      </c>
      <c r="P1128" s="42" t="n"/>
      <c r="Q1128" s="43">
        <f>IF($B1128="","",N($O1128)-N($P1128))</f>
        <v/>
      </c>
      <c r="R1128" s="42" t="n"/>
      <c r="S1128" s="42" t="n"/>
      <c r="T1128" s="42" t="n"/>
      <c r="U1128" s="43">
        <f>IF($B1128="","",N($J1128)-N($R1128)-N($T1128))</f>
        <v/>
      </c>
      <c r="V1128" s="42" t="n"/>
    </row>
    <row r="1129">
      <c r="A1129" s="39">
        <f>IF($B1129="","",COUNTA($B$4:$B1129))</f>
        <v/>
      </c>
      <c r="B1129" s="45" t="n"/>
      <c r="C1129" s="46" t="n"/>
      <c r="D1129" s="46" t="n"/>
      <c r="E1129" s="46" t="n"/>
      <c r="F1129" s="46" t="n"/>
      <c r="G1129" s="46" t="n"/>
      <c r="H1129" s="46" t="n"/>
      <c r="I1129" s="51" t="n"/>
      <c r="J1129" s="47" t="n"/>
      <c r="K1129" s="47" t="n"/>
      <c r="L1129" s="43">
        <f>IF($B1129="","",ROUND((N($J1129)+N($K1129))*نسبة_القيمة_المضافة,2))</f>
        <v/>
      </c>
      <c r="M1129" s="47" t="n"/>
      <c r="N1129" s="47" t="n"/>
      <c r="O1129" s="43">
        <f>IF($B1129="","",N($J1129)+N($K1129)+N($L1129)-N($M1129)+N($N1129))</f>
        <v/>
      </c>
      <c r="P1129" s="47" t="n"/>
      <c r="Q1129" s="43">
        <f>IF($B1129="","",N($O1129)-N($P1129))</f>
        <v/>
      </c>
      <c r="R1129" s="47" t="n"/>
      <c r="S1129" s="47" t="n"/>
      <c r="T1129" s="47" t="n"/>
      <c r="U1129" s="43">
        <f>IF($B1129="","",N($J1129)-N($R1129)-N($T1129))</f>
        <v/>
      </c>
      <c r="V1129" s="47" t="n"/>
    </row>
    <row r="1130">
      <c r="A1130" s="39">
        <f>IF($B1130="","",COUNTA($B$4:$B1130))</f>
        <v/>
      </c>
      <c r="B1130" s="40" t="n"/>
      <c r="C1130" s="41" t="n"/>
      <c r="D1130" s="41" t="n"/>
      <c r="E1130" s="41" t="n"/>
      <c r="F1130" s="41" t="n"/>
      <c r="G1130" s="41" t="n"/>
      <c r="H1130" s="41" t="n"/>
      <c r="I1130" s="50" t="n"/>
      <c r="J1130" s="42" t="n"/>
      <c r="K1130" s="42" t="n"/>
      <c r="L1130" s="43">
        <f>IF($B1130="","",ROUND((N($J1130)+N($K1130))*نسبة_القيمة_المضافة,2))</f>
        <v/>
      </c>
      <c r="M1130" s="42" t="n"/>
      <c r="N1130" s="42" t="n"/>
      <c r="O1130" s="43">
        <f>IF($B1130="","",N($J1130)+N($K1130)+N($L1130)-N($M1130)+N($N1130))</f>
        <v/>
      </c>
      <c r="P1130" s="42" t="n"/>
      <c r="Q1130" s="43">
        <f>IF($B1130="","",N($O1130)-N($P1130))</f>
        <v/>
      </c>
      <c r="R1130" s="42" t="n"/>
      <c r="S1130" s="42" t="n"/>
      <c r="T1130" s="42" t="n"/>
      <c r="U1130" s="43">
        <f>IF($B1130="","",N($J1130)-N($R1130)-N($T1130))</f>
        <v/>
      </c>
      <c r="V1130" s="42" t="n"/>
    </row>
    <row r="1131">
      <c r="A1131" s="39">
        <f>IF($B1131="","",COUNTA($B$4:$B1131))</f>
        <v/>
      </c>
      <c r="B1131" s="45" t="n"/>
      <c r="C1131" s="46" t="n"/>
      <c r="D1131" s="46" t="n"/>
      <c r="E1131" s="46" t="n"/>
      <c r="F1131" s="46" t="n"/>
      <c r="G1131" s="46" t="n"/>
      <c r="H1131" s="46" t="n"/>
      <c r="I1131" s="51" t="n"/>
      <c r="J1131" s="47" t="n"/>
      <c r="K1131" s="47" t="n"/>
      <c r="L1131" s="43">
        <f>IF($B1131="","",ROUND((N($J1131)+N($K1131))*نسبة_القيمة_المضافة,2))</f>
        <v/>
      </c>
      <c r="M1131" s="47" t="n"/>
      <c r="N1131" s="47" t="n"/>
      <c r="O1131" s="43">
        <f>IF($B1131="","",N($J1131)+N($K1131)+N($L1131)-N($M1131)+N($N1131))</f>
        <v/>
      </c>
      <c r="P1131" s="47" t="n"/>
      <c r="Q1131" s="43">
        <f>IF($B1131="","",N($O1131)-N($P1131))</f>
        <v/>
      </c>
      <c r="R1131" s="47" t="n"/>
      <c r="S1131" s="47" t="n"/>
      <c r="T1131" s="47" t="n"/>
      <c r="U1131" s="43">
        <f>IF($B1131="","",N($J1131)-N($R1131)-N($T1131))</f>
        <v/>
      </c>
      <c r="V1131" s="47" t="n"/>
    </row>
    <row r="1132">
      <c r="A1132" s="39">
        <f>IF($B1132="","",COUNTA($B$4:$B1132))</f>
        <v/>
      </c>
      <c r="B1132" s="40" t="n"/>
      <c r="C1132" s="41" t="n"/>
      <c r="D1132" s="41" t="n"/>
      <c r="E1132" s="41" t="n"/>
      <c r="F1132" s="41" t="n"/>
      <c r="G1132" s="41" t="n"/>
      <c r="H1132" s="41" t="n"/>
      <c r="I1132" s="50" t="n"/>
      <c r="J1132" s="42" t="n"/>
      <c r="K1132" s="42" t="n"/>
      <c r="L1132" s="43">
        <f>IF($B1132="","",ROUND((N($J1132)+N($K1132))*نسبة_القيمة_المضافة,2))</f>
        <v/>
      </c>
      <c r="M1132" s="42" t="n"/>
      <c r="N1132" s="42" t="n"/>
      <c r="O1132" s="43">
        <f>IF($B1132="","",N($J1132)+N($K1132)+N($L1132)-N($M1132)+N($N1132))</f>
        <v/>
      </c>
      <c r="P1132" s="42" t="n"/>
      <c r="Q1132" s="43">
        <f>IF($B1132="","",N($O1132)-N($P1132))</f>
        <v/>
      </c>
      <c r="R1132" s="42" t="n"/>
      <c r="S1132" s="42" t="n"/>
      <c r="T1132" s="42" t="n"/>
      <c r="U1132" s="43">
        <f>IF($B1132="","",N($J1132)-N($R1132)-N($T1132))</f>
        <v/>
      </c>
      <c r="V1132" s="42" t="n"/>
    </row>
    <row r="1133">
      <c r="A1133" s="39">
        <f>IF($B1133="","",COUNTA($B$4:$B1133))</f>
        <v/>
      </c>
      <c r="B1133" s="45" t="n"/>
      <c r="C1133" s="46" t="n"/>
      <c r="D1133" s="46" t="n"/>
      <c r="E1133" s="46" t="n"/>
      <c r="F1133" s="46" t="n"/>
      <c r="G1133" s="46" t="n"/>
      <c r="H1133" s="46" t="n"/>
      <c r="I1133" s="51" t="n"/>
      <c r="J1133" s="47" t="n"/>
      <c r="K1133" s="47" t="n"/>
      <c r="L1133" s="43">
        <f>IF($B1133="","",ROUND((N($J1133)+N($K1133))*نسبة_القيمة_المضافة,2))</f>
        <v/>
      </c>
      <c r="M1133" s="47" t="n"/>
      <c r="N1133" s="47" t="n"/>
      <c r="O1133" s="43">
        <f>IF($B1133="","",N($J1133)+N($K1133)+N($L1133)-N($M1133)+N($N1133))</f>
        <v/>
      </c>
      <c r="P1133" s="47" t="n"/>
      <c r="Q1133" s="43">
        <f>IF($B1133="","",N($O1133)-N($P1133))</f>
        <v/>
      </c>
      <c r="R1133" s="47" t="n"/>
      <c r="S1133" s="47" t="n"/>
      <c r="T1133" s="47" t="n"/>
      <c r="U1133" s="43">
        <f>IF($B1133="","",N($J1133)-N($R1133)-N($T1133))</f>
        <v/>
      </c>
      <c r="V1133" s="47" t="n"/>
    </row>
    <row r="1134">
      <c r="A1134" s="39">
        <f>IF($B1134="","",COUNTA($B$4:$B1134))</f>
        <v/>
      </c>
      <c r="B1134" s="40" t="n"/>
      <c r="C1134" s="41" t="n"/>
      <c r="D1134" s="41" t="n"/>
      <c r="E1134" s="41" t="n"/>
      <c r="F1134" s="41" t="n"/>
      <c r="G1134" s="41" t="n"/>
      <c r="H1134" s="41" t="n"/>
      <c r="I1134" s="50" t="n"/>
      <c r="J1134" s="42" t="n"/>
      <c r="K1134" s="42" t="n"/>
      <c r="L1134" s="43">
        <f>IF($B1134="","",ROUND((N($J1134)+N($K1134))*نسبة_القيمة_المضافة,2))</f>
        <v/>
      </c>
      <c r="M1134" s="42" t="n"/>
      <c r="N1134" s="42" t="n"/>
      <c r="O1134" s="43">
        <f>IF($B1134="","",N($J1134)+N($K1134)+N($L1134)-N($M1134)+N($N1134))</f>
        <v/>
      </c>
      <c r="P1134" s="42" t="n"/>
      <c r="Q1134" s="43">
        <f>IF($B1134="","",N($O1134)-N($P1134))</f>
        <v/>
      </c>
      <c r="R1134" s="42" t="n"/>
      <c r="S1134" s="42" t="n"/>
      <c r="T1134" s="42" t="n"/>
      <c r="U1134" s="43">
        <f>IF($B1134="","",N($J1134)-N($R1134)-N($T1134))</f>
        <v/>
      </c>
      <c r="V1134" s="42" t="n"/>
    </row>
    <row r="1135">
      <c r="A1135" s="39">
        <f>IF($B1135="","",COUNTA($B$4:$B1135))</f>
        <v/>
      </c>
      <c r="B1135" s="45" t="n"/>
      <c r="C1135" s="46" t="n"/>
      <c r="D1135" s="46" t="n"/>
      <c r="E1135" s="46" t="n"/>
      <c r="F1135" s="46" t="n"/>
      <c r="G1135" s="46" t="n"/>
      <c r="H1135" s="46" t="n"/>
      <c r="I1135" s="51" t="n"/>
      <c r="J1135" s="47" t="n"/>
      <c r="K1135" s="47" t="n"/>
      <c r="L1135" s="43">
        <f>IF($B1135="","",ROUND((N($J1135)+N($K1135))*نسبة_القيمة_المضافة,2))</f>
        <v/>
      </c>
      <c r="M1135" s="47" t="n"/>
      <c r="N1135" s="47" t="n"/>
      <c r="O1135" s="43">
        <f>IF($B1135="","",N($J1135)+N($K1135)+N($L1135)-N($M1135)+N($N1135))</f>
        <v/>
      </c>
      <c r="P1135" s="47" t="n"/>
      <c r="Q1135" s="43">
        <f>IF($B1135="","",N($O1135)-N($P1135))</f>
        <v/>
      </c>
      <c r="R1135" s="47" t="n"/>
      <c r="S1135" s="47" t="n"/>
      <c r="T1135" s="47" t="n"/>
      <c r="U1135" s="43">
        <f>IF($B1135="","",N($J1135)-N($R1135)-N($T1135))</f>
        <v/>
      </c>
      <c r="V1135" s="47" t="n"/>
    </row>
    <row r="1136">
      <c r="A1136" s="39">
        <f>IF($B1136="","",COUNTA($B$4:$B1136))</f>
        <v/>
      </c>
      <c r="B1136" s="40" t="n"/>
      <c r="C1136" s="41" t="n"/>
      <c r="D1136" s="41" t="n"/>
      <c r="E1136" s="41" t="n"/>
      <c r="F1136" s="41" t="n"/>
      <c r="G1136" s="41" t="n"/>
      <c r="H1136" s="41" t="n"/>
      <c r="I1136" s="50" t="n"/>
      <c r="J1136" s="42" t="n"/>
      <c r="K1136" s="42" t="n"/>
      <c r="L1136" s="43">
        <f>IF($B1136="","",ROUND((N($J1136)+N($K1136))*نسبة_القيمة_المضافة,2))</f>
        <v/>
      </c>
      <c r="M1136" s="42" t="n"/>
      <c r="N1136" s="42" t="n"/>
      <c r="O1136" s="43">
        <f>IF($B1136="","",N($J1136)+N($K1136)+N($L1136)-N($M1136)+N($N1136))</f>
        <v/>
      </c>
      <c r="P1136" s="42" t="n"/>
      <c r="Q1136" s="43">
        <f>IF($B1136="","",N($O1136)-N($P1136))</f>
        <v/>
      </c>
      <c r="R1136" s="42" t="n"/>
      <c r="S1136" s="42" t="n"/>
      <c r="T1136" s="42" t="n"/>
      <c r="U1136" s="43">
        <f>IF($B1136="","",N($J1136)-N($R1136)-N($T1136))</f>
        <v/>
      </c>
      <c r="V1136" s="42" t="n"/>
    </row>
    <row r="1137">
      <c r="A1137" s="39">
        <f>IF($B1137="","",COUNTA($B$4:$B1137))</f>
        <v/>
      </c>
      <c r="B1137" s="45" t="n"/>
      <c r="C1137" s="46" t="n"/>
      <c r="D1137" s="46" t="n"/>
      <c r="E1137" s="46" t="n"/>
      <c r="F1137" s="46" t="n"/>
      <c r="G1137" s="46" t="n"/>
      <c r="H1137" s="46" t="n"/>
      <c r="I1137" s="51" t="n"/>
      <c r="J1137" s="47" t="n"/>
      <c r="K1137" s="47" t="n"/>
      <c r="L1137" s="43">
        <f>IF($B1137="","",ROUND((N($J1137)+N($K1137))*نسبة_القيمة_المضافة,2))</f>
        <v/>
      </c>
      <c r="M1137" s="47" t="n"/>
      <c r="N1137" s="47" t="n"/>
      <c r="O1137" s="43">
        <f>IF($B1137="","",N($J1137)+N($K1137)+N($L1137)-N($M1137)+N($N1137))</f>
        <v/>
      </c>
      <c r="P1137" s="47" t="n"/>
      <c r="Q1137" s="43">
        <f>IF($B1137="","",N($O1137)-N($P1137))</f>
        <v/>
      </c>
      <c r="R1137" s="47" t="n"/>
      <c r="S1137" s="47" t="n"/>
      <c r="T1137" s="47" t="n"/>
      <c r="U1137" s="43">
        <f>IF($B1137="","",N($J1137)-N($R1137)-N($T1137))</f>
        <v/>
      </c>
      <c r="V1137" s="47" t="n"/>
    </row>
    <row r="1138">
      <c r="A1138" s="39">
        <f>IF($B1138="","",COUNTA($B$4:$B1138))</f>
        <v/>
      </c>
      <c r="B1138" s="40" t="n"/>
      <c r="C1138" s="41" t="n"/>
      <c r="D1138" s="41" t="n"/>
      <c r="E1138" s="41" t="n"/>
      <c r="F1138" s="41" t="n"/>
      <c r="G1138" s="41" t="n"/>
      <c r="H1138" s="41" t="n"/>
      <c r="I1138" s="50" t="n"/>
      <c r="J1138" s="42" t="n"/>
      <c r="K1138" s="42" t="n"/>
      <c r="L1138" s="43">
        <f>IF($B1138="","",ROUND((N($J1138)+N($K1138))*نسبة_القيمة_المضافة,2))</f>
        <v/>
      </c>
      <c r="M1138" s="42" t="n"/>
      <c r="N1138" s="42" t="n"/>
      <c r="O1138" s="43">
        <f>IF($B1138="","",N($J1138)+N($K1138)+N($L1138)-N($M1138)+N($N1138))</f>
        <v/>
      </c>
      <c r="P1138" s="42" t="n"/>
      <c r="Q1138" s="43">
        <f>IF($B1138="","",N($O1138)-N($P1138))</f>
        <v/>
      </c>
      <c r="R1138" s="42" t="n"/>
      <c r="S1138" s="42" t="n"/>
      <c r="T1138" s="42" t="n"/>
      <c r="U1138" s="43">
        <f>IF($B1138="","",N($J1138)-N($R1138)-N($T1138))</f>
        <v/>
      </c>
      <c r="V1138" s="42" t="n"/>
    </row>
    <row r="1139">
      <c r="A1139" s="39">
        <f>IF($B1139="","",COUNTA($B$4:$B1139))</f>
        <v/>
      </c>
      <c r="B1139" s="45" t="n"/>
      <c r="C1139" s="46" t="n"/>
      <c r="D1139" s="46" t="n"/>
      <c r="E1139" s="46" t="n"/>
      <c r="F1139" s="46" t="n"/>
      <c r="G1139" s="46" t="n"/>
      <c r="H1139" s="46" t="n"/>
      <c r="I1139" s="51" t="n"/>
      <c r="J1139" s="47" t="n"/>
      <c r="K1139" s="47" t="n"/>
      <c r="L1139" s="43">
        <f>IF($B1139="","",ROUND((N($J1139)+N($K1139))*نسبة_القيمة_المضافة,2))</f>
        <v/>
      </c>
      <c r="M1139" s="47" t="n"/>
      <c r="N1139" s="47" t="n"/>
      <c r="O1139" s="43">
        <f>IF($B1139="","",N($J1139)+N($K1139)+N($L1139)-N($M1139)+N($N1139))</f>
        <v/>
      </c>
      <c r="P1139" s="47" t="n"/>
      <c r="Q1139" s="43">
        <f>IF($B1139="","",N($O1139)-N($P1139))</f>
        <v/>
      </c>
      <c r="R1139" s="47" t="n"/>
      <c r="S1139" s="47" t="n"/>
      <c r="T1139" s="47" t="n"/>
      <c r="U1139" s="43">
        <f>IF($B1139="","",N($J1139)-N($R1139)-N($T1139))</f>
        <v/>
      </c>
      <c r="V1139" s="47" t="n"/>
    </row>
    <row r="1140">
      <c r="A1140" s="39">
        <f>IF($B1140="","",COUNTA($B$4:$B1140))</f>
        <v/>
      </c>
      <c r="B1140" s="40" t="n"/>
      <c r="C1140" s="41" t="n"/>
      <c r="D1140" s="41" t="n"/>
      <c r="E1140" s="41" t="n"/>
      <c r="F1140" s="41" t="n"/>
      <c r="G1140" s="41" t="n"/>
      <c r="H1140" s="41" t="n"/>
      <c r="I1140" s="50" t="n"/>
      <c r="J1140" s="42" t="n"/>
      <c r="K1140" s="42" t="n"/>
      <c r="L1140" s="43">
        <f>IF($B1140="","",ROUND((N($J1140)+N($K1140))*نسبة_القيمة_المضافة,2))</f>
        <v/>
      </c>
      <c r="M1140" s="42" t="n"/>
      <c r="N1140" s="42" t="n"/>
      <c r="O1140" s="43">
        <f>IF($B1140="","",N($J1140)+N($K1140)+N($L1140)-N($M1140)+N($N1140))</f>
        <v/>
      </c>
      <c r="P1140" s="42" t="n"/>
      <c r="Q1140" s="43">
        <f>IF($B1140="","",N($O1140)-N($P1140))</f>
        <v/>
      </c>
      <c r="R1140" s="42" t="n"/>
      <c r="S1140" s="42" t="n"/>
      <c r="T1140" s="42" t="n"/>
      <c r="U1140" s="43">
        <f>IF($B1140="","",N($J1140)-N($R1140)-N($T1140))</f>
        <v/>
      </c>
      <c r="V1140" s="42" t="n"/>
    </row>
    <row r="1141">
      <c r="A1141" s="39">
        <f>IF($B1141="","",COUNTA($B$4:$B1141))</f>
        <v/>
      </c>
      <c r="B1141" s="45" t="n"/>
      <c r="C1141" s="46" t="n"/>
      <c r="D1141" s="46" t="n"/>
      <c r="E1141" s="46" t="n"/>
      <c r="F1141" s="46" t="n"/>
      <c r="G1141" s="46" t="n"/>
      <c r="H1141" s="46" t="n"/>
      <c r="I1141" s="51" t="n"/>
      <c r="J1141" s="47" t="n"/>
      <c r="K1141" s="47" t="n"/>
      <c r="L1141" s="43">
        <f>IF($B1141="","",ROUND((N($J1141)+N($K1141))*نسبة_القيمة_المضافة,2))</f>
        <v/>
      </c>
      <c r="M1141" s="47" t="n"/>
      <c r="N1141" s="47" t="n"/>
      <c r="O1141" s="43">
        <f>IF($B1141="","",N($J1141)+N($K1141)+N($L1141)-N($M1141)+N($N1141))</f>
        <v/>
      </c>
      <c r="P1141" s="47" t="n"/>
      <c r="Q1141" s="43">
        <f>IF($B1141="","",N($O1141)-N($P1141))</f>
        <v/>
      </c>
      <c r="R1141" s="47" t="n"/>
      <c r="S1141" s="47" t="n"/>
      <c r="T1141" s="47" t="n"/>
      <c r="U1141" s="43">
        <f>IF($B1141="","",N($J1141)-N($R1141)-N($T1141))</f>
        <v/>
      </c>
      <c r="V1141" s="47" t="n"/>
    </row>
    <row r="1142">
      <c r="A1142" s="39">
        <f>IF($B1142="","",COUNTA($B$4:$B1142))</f>
        <v/>
      </c>
      <c r="B1142" s="40" t="n"/>
      <c r="C1142" s="41" t="n"/>
      <c r="D1142" s="41" t="n"/>
      <c r="E1142" s="41" t="n"/>
      <c r="F1142" s="41" t="n"/>
      <c r="G1142" s="41" t="n"/>
      <c r="H1142" s="41" t="n"/>
      <c r="I1142" s="50" t="n"/>
      <c r="J1142" s="42" t="n"/>
      <c r="K1142" s="42" t="n"/>
      <c r="L1142" s="43">
        <f>IF($B1142="","",ROUND((N($J1142)+N($K1142))*نسبة_القيمة_المضافة,2))</f>
        <v/>
      </c>
      <c r="M1142" s="42" t="n"/>
      <c r="N1142" s="42" t="n"/>
      <c r="O1142" s="43">
        <f>IF($B1142="","",N($J1142)+N($K1142)+N($L1142)-N($M1142)+N($N1142))</f>
        <v/>
      </c>
      <c r="P1142" s="42" t="n"/>
      <c r="Q1142" s="43">
        <f>IF($B1142="","",N($O1142)-N($P1142))</f>
        <v/>
      </c>
      <c r="R1142" s="42" t="n"/>
      <c r="S1142" s="42" t="n"/>
      <c r="T1142" s="42" t="n"/>
      <c r="U1142" s="43">
        <f>IF($B1142="","",N($J1142)-N($R1142)-N($T1142))</f>
        <v/>
      </c>
      <c r="V1142" s="42" t="n"/>
    </row>
    <row r="1143">
      <c r="A1143" s="39">
        <f>IF($B1143="","",COUNTA($B$4:$B1143))</f>
        <v/>
      </c>
      <c r="B1143" s="45" t="n"/>
      <c r="C1143" s="46" t="n"/>
      <c r="D1143" s="46" t="n"/>
      <c r="E1143" s="46" t="n"/>
      <c r="F1143" s="46" t="n"/>
      <c r="G1143" s="46" t="n"/>
      <c r="H1143" s="46" t="n"/>
      <c r="I1143" s="51" t="n"/>
      <c r="J1143" s="47" t="n"/>
      <c r="K1143" s="47" t="n"/>
      <c r="L1143" s="43">
        <f>IF($B1143="","",ROUND((N($J1143)+N($K1143))*نسبة_القيمة_المضافة,2))</f>
        <v/>
      </c>
      <c r="M1143" s="47" t="n"/>
      <c r="N1143" s="47" t="n"/>
      <c r="O1143" s="43">
        <f>IF($B1143="","",N($J1143)+N($K1143)+N($L1143)-N($M1143)+N($N1143))</f>
        <v/>
      </c>
      <c r="P1143" s="47" t="n"/>
      <c r="Q1143" s="43">
        <f>IF($B1143="","",N($O1143)-N($P1143))</f>
        <v/>
      </c>
      <c r="R1143" s="47" t="n"/>
      <c r="S1143" s="47" t="n"/>
      <c r="T1143" s="47" t="n"/>
      <c r="U1143" s="43">
        <f>IF($B1143="","",N($J1143)-N($R1143)-N($T1143))</f>
        <v/>
      </c>
      <c r="V1143" s="47" t="n"/>
    </row>
    <row r="1144">
      <c r="A1144" s="39">
        <f>IF($B1144="","",COUNTA($B$4:$B1144))</f>
        <v/>
      </c>
      <c r="B1144" s="40" t="n"/>
      <c r="C1144" s="41" t="n"/>
      <c r="D1144" s="41" t="n"/>
      <c r="E1144" s="41" t="n"/>
      <c r="F1144" s="41" t="n"/>
      <c r="G1144" s="41" t="n"/>
      <c r="H1144" s="41" t="n"/>
      <c r="I1144" s="50" t="n"/>
      <c r="J1144" s="42" t="n"/>
      <c r="K1144" s="42" t="n"/>
      <c r="L1144" s="43">
        <f>IF($B1144="","",ROUND((N($J1144)+N($K1144))*نسبة_القيمة_المضافة,2))</f>
        <v/>
      </c>
      <c r="M1144" s="42" t="n"/>
      <c r="N1144" s="42" t="n"/>
      <c r="O1144" s="43">
        <f>IF($B1144="","",N($J1144)+N($K1144)+N($L1144)-N($M1144)+N($N1144))</f>
        <v/>
      </c>
      <c r="P1144" s="42" t="n"/>
      <c r="Q1144" s="43">
        <f>IF($B1144="","",N($O1144)-N($P1144))</f>
        <v/>
      </c>
      <c r="R1144" s="42" t="n"/>
      <c r="S1144" s="42" t="n"/>
      <c r="T1144" s="42" t="n"/>
      <c r="U1144" s="43">
        <f>IF($B1144="","",N($J1144)-N($R1144)-N($T1144))</f>
        <v/>
      </c>
      <c r="V1144" s="42" t="n"/>
    </row>
    <row r="1145">
      <c r="A1145" s="39">
        <f>IF($B1145="","",COUNTA($B$4:$B1145))</f>
        <v/>
      </c>
      <c r="B1145" s="45" t="n"/>
      <c r="C1145" s="46" t="n"/>
      <c r="D1145" s="46" t="n"/>
      <c r="E1145" s="46" t="n"/>
      <c r="F1145" s="46" t="n"/>
      <c r="G1145" s="46" t="n"/>
      <c r="H1145" s="46" t="n"/>
      <c r="I1145" s="51" t="n"/>
      <c r="J1145" s="47" t="n"/>
      <c r="K1145" s="47" t="n"/>
      <c r="L1145" s="43">
        <f>IF($B1145="","",ROUND((N($J1145)+N($K1145))*نسبة_القيمة_المضافة,2))</f>
        <v/>
      </c>
      <c r="M1145" s="47" t="n"/>
      <c r="N1145" s="47" t="n"/>
      <c r="O1145" s="43">
        <f>IF($B1145="","",N($J1145)+N($K1145)+N($L1145)-N($M1145)+N($N1145))</f>
        <v/>
      </c>
      <c r="P1145" s="47" t="n"/>
      <c r="Q1145" s="43">
        <f>IF($B1145="","",N($O1145)-N($P1145))</f>
        <v/>
      </c>
      <c r="R1145" s="47" t="n"/>
      <c r="S1145" s="47" t="n"/>
      <c r="T1145" s="47" t="n"/>
      <c r="U1145" s="43">
        <f>IF($B1145="","",N($J1145)-N($R1145)-N($T1145))</f>
        <v/>
      </c>
      <c r="V1145" s="47" t="n"/>
    </row>
    <row r="1146">
      <c r="A1146" s="39">
        <f>IF($B1146="","",COUNTA($B$4:$B1146))</f>
        <v/>
      </c>
      <c r="B1146" s="40" t="n"/>
      <c r="C1146" s="41" t="n"/>
      <c r="D1146" s="41" t="n"/>
      <c r="E1146" s="41" t="n"/>
      <c r="F1146" s="41" t="n"/>
      <c r="G1146" s="41" t="n"/>
      <c r="H1146" s="41" t="n"/>
      <c r="I1146" s="50" t="n"/>
      <c r="J1146" s="42" t="n"/>
      <c r="K1146" s="42" t="n"/>
      <c r="L1146" s="43">
        <f>IF($B1146="","",ROUND((N($J1146)+N($K1146))*نسبة_القيمة_المضافة,2))</f>
        <v/>
      </c>
      <c r="M1146" s="42" t="n"/>
      <c r="N1146" s="42" t="n"/>
      <c r="O1146" s="43">
        <f>IF($B1146="","",N($J1146)+N($K1146)+N($L1146)-N($M1146)+N($N1146))</f>
        <v/>
      </c>
      <c r="P1146" s="42" t="n"/>
      <c r="Q1146" s="43">
        <f>IF($B1146="","",N($O1146)-N($P1146))</f>
        <v/>
      </c>
      <c r="R1146" s="42" t="n"/>
      <c r="S1146" s="42" t="n"/>
      <c r="T1146" s="42" t="n"/>
      <c r="U1146" s="43">
        <f>IF($B1146="","",N($J1146)-N($R1146)-N($T1146))</f>
        <v/>
      </c>
      <c r="V1146" s="42" t="n"/>
    </row>
    <row r="1147">
      <c r="A1147" s="39">
        <f>IF($B1147="","",COUNTA($B$4:$B1147))</f>
        <v/>
      </c>
      <c r="B1147" s="45" t="n"/>
      <c r="C1147" s="46" t="n"/>
      <c r="D1147" s="46" t="n"/>
      <c r="E1147" s="46" t="n"/>
      <c r="F1147" s="46" t="n"/>
      <c r="G1147" s="46" t="n"/>
      <c r="H1147" s="46" t="n"/>
      <c r="I1147" s="51" t="n"/>
      <c r="J1147" s="47" t="n"/>
      <c r="K1147" s="47" t="n"/>
      <c r="L1147" s="43">
        <f>IF($B1147="","",ROUND((N($J1147)+N($K1147))*نسبة_القيمة_المضافة,2))</f>
        <v/>
      </c>
      <c r="M1147" s="47" t="n"/>
      <c r="N1147" s="47" t="n"/>
      <c r="O1147" s="43">
        <f>IF($B1147="","",N($J1147)+N($K1147)+N($L1147)-N($M1147)+N($N1147))</f>
        <v/>
      </c>
      <c r="P1147" s="47" t="n"/>
      <c r="Q1147" s="43">
        <f>IF($B1147="","",N($O1147)-N($P1147))</f>
        <v/>
      </c>
      <c r="R1147" s="47" t="n"/>
      <c r="S1147" s="47" t="n"/>
      <c r="T1147" s="47" t="n"/>
      <c r="U1147" s="43">
        <f>IF($B1147="","",N($J1147)-N($R1147)-N($T1147))</f>
        <v/>
      </c>
      <c r="V1147" s="47" t="n"/>
    </row>
    <row r="1148">
      <c r="A1148" s="39">
        <f>IF($B1148="","",COUNTA($B$4:$B1148))</f>
        <v/>
      </c>
      <c r="B1148" s="40" t="n"/>
      <c r="C1148" s="41" t="n"/>
      <c r="D1148" s="41" t="n"/>
      <c r="E1148" s="41" t="n"/>
      <c r="F1148" s="41" t="n"/>
      <c r="G1148" s="41" t="n"/>
      <c r="H1148" s="41" t="n"/>
      <c r="I1148" s="50" t="n"/>
      <c r="J1148" s="42" t="n"/>
      <c r="K1148" s="42" t="n"/>
      <c r="L1148" s="43">
        <f>IF($B1148="","",ROUND((N($J1148)+N($K1148))*نسبة_القيمة_المضافة,2))</f>
        <v/>
      </c>
      <c r="M1148" s="42" t="n"/>
      <c r="N1148" s="42" t="n"/>
      <c r="O1148" s="43">
        <f>IF($B1148="","",N($J1148)+N($K1148)+N($L1148)-N($M1148)+N($N1148))</f>
        <v/>
      </c>
      <c r="P1148" s="42" t="n"/>
      <c r="Q1148" s="43">
        <f>IF($B1148="","",N($O1148)-N($P1148))</f>
        <v/>
      </c>
      <c r="R1148" s="42" t="n"/>
      <c r="S1148" s="42" t="n"/>
      <c r="T1148" s="42" t="n"/>
      <c r="U1148" s="43">
        <f>IF($B1148="","",N($J1148)-N($R1148)-N($T1148))</f>
        <v/>
      </c>
      <c r="V1148" s="42" t="n"/>
    </row>
    <row r="1149">
      <c r="A1149" s="39">
        <f>IF($B1149="","",COUNTA($B$4:$B1149))</f>
        <v/>
      </c>
      <c r="B1149" s="45" t="n"/>
      <c r="C1149" s="46" t="n"/>
      <c r="D1149" s="46" t="n"/>
      <c r="E1149" s="46" t="n"/>
      <c r="F1149" s="46" t="n"/>
      <c r="G1149" s="46" t="n"/>
      <c r="H1149" s="46" t="n"/>
      <c r="I1149" s="51" t="n"/>
      <c r="J1149" s="47" t="n"/>
      <c r="K1149" s="47" t="n"/>
      <c r="L1149" s="43">
        <f>IF($B1149="","",ROUND((N($J1149)+N($K1149))*نسبة_القيمة_المضافة,2))</f>
        <v/>
      </c>
      <c r="M1149" s="47" t="n"/>
      <c r="N1149" s="47" t="n"/>
      <c r="O1149" s="43">
        <f>IF($B1149="","",N($J1149)+N($K1149)+N($L1149)-N($M1149)+N($N1149))</f>
        <v/>
      </c>
      <c r="P1149" s="47" t="n"/>
      <c r="Q1149" s="43">
        <f>IF($B1149="","",N($O1149)-N($P1149))</f>
        <v/>
      </c>
      <c r="R1149" s="47" t="n"/>
      <c r="S1149" s="47" t="n"/>
      <c r="T1149" s="47" t="n"/>
      <c r="U1149" s="43">
        <f>IF($B1149="","",N($J1149)-N($R1149)-N($T1149))</f>
        <v/>
      </c>
      <c r="V1149" s="47" t="n"/>
    </row>
    <row r="1150">
      <c r="A1150" s="39">
        <f>IF($B1150="","",COUNTA($B$4:$B1150))</f>
        <v/>
      </c>
      <c r="B1150" s="40" t="n"/>
      <c r="C1150" s="41" t="n"/>
      <c r="D1150" s="41" t="n"/>
      <c r="E1150" s="41" t="n"/>
      <c r="F1150" s="41" t="n"/>
      <c r="G1150" s="41" t="n"/>
      <c r="H1150" s="41" t="n"/>
      <c r="I1150" s="50" t="n"/>
      <c r="J1150" s="42" t="n"/>
      <c r="K1150" s="42" t="n"/>
      <c r="L1150" s="43">
        <f>IF($B1150="","",ROUND((N($J1150)+N($K1150))*نسبة_القيمة_المضافة,2))</f>
        <v/>
      </c>
      <c r="M1150" s="42" t="n"/>
      <c r="N1150" s="42" t="n"/>
      <c r="O1150" s="43">
        <f>IF($B1150="","",N($J1150)+N($K1150)+N($L1150)-N($M1150)+N($N1150))</f>
        <v/>
      </c>
      <c r="P1150" s="42" t="n"/>
      <c r="Q1150" s="43">
        <f>IF($B1150="","",N($O1150)-N($P1150))</f>
        <v/>
      </c>
      <c r="R1150" s="42" t="n"/>
      <c r="S1150" s="42" t="n"/>
      <c r="T1150" s="42" t="n"/>
      <c r="U1150" s="43">
        <f>IF($B1150="","",N($J1150)-N($R1150)-N($T1150))</f>
        <v/>
      </c>
      <c r="V1150" s="42" t="n"/>
    </row>
    <row r="1151">
      <c r="A1151" s="39">
        <f>IF($B1151="","",COUNTA($B$4:$B1151))</f>
        <v/>
      </c>
      <c r="B1151" s="45" t="n"/>
      <c r="C1151" s="46" t="n"/>
      <c r="D1151" s="46" t="n"/>
      <c r="E1151" s="46" t="n"/>
      <c r="F1151" s="46" t="n"/>
      <c r="G1151" s="46" t="n"/>
      <c r="H1151" s="46" t="n"/>
      <c r="I1151" s="51" t="n"/>
      <c r="J1151" s="47" t="n"/>
      <c r="K1151" s="47" t="n"/>
      <c r="L1151" s="43">
        <f>IF($B1151="","",ROUND((N($J1151)+N($K1151))*نسبة_القيمة_المضافة,2))</f>
        <v/>
      </c>
      <c r="M1151" s="47" t="n"/>
      <c r="N1151" s="47" t="n"/>
      <c r="O1151" s="43">
        <f>IF($B1151="","",N($J1151)+N($K1151)+N($L1151)-N($M1151)+N($N1151))</f>
        <v/>
      </c>
      <c r="P1151" s="47" t="n"/>
      <c r="Q1151" s="43">
        <f>IF($B1151="","",N($O1151)-N($P1151))</f>
        <v/>
      </c>
      <c r="R1151" s="47" t="n"/>
      <c r="S1151" s="47" t="n"/>
      <c r="T1151" s="47" t="n"/>
      <c r="U1151" s="43">
        <f>IF($B1151="","",N($J1151)-N($R1151)-N($T1151))</f>
        <v/>
      </c>
      <c r="V1151" s="47" t="n"/>
    </row>
    <row r="1152">
      <c r="A1152" s="39">
        <f>IF($B1152="","",COUNTA($B$4:$B1152))</f>
        <v/>
      </c>
      <c r="B1152" s="40" t="n"/>
      <c r="C1152" s="41" t="n"/>
      <c r="D1152" s="41" t="n"/>
      <c r="E1152" s="41" t="n"/>
      <c r="F1152" s="41" t="n"/>
      <c r="G1152" s="41" t="n"/>
      <c r="H1152" s="41" t="n"/>
      <c r="I1152" s="50" t="n"/>
      <c r="J1152" s="42" t="n"/>
      <c r="K1152" s="42" t="n"/>
      <c r="L1152" s="43">
        <f>IF($B1152="","",ROUND((N($J1152)+N($K1152))*نسبة_القيمة_المضافة,2))</f>
        <v/>
      </c>
      <c r="M1152" s="42" t="n"/>
      <c r="N1152" s="42" t="n"/>
      <c r="O1152" s="43">
        <f>IF($B1152="","",N($J1152)+N($K1152)+N($L1152)-N($M1152)+N($N1152))</f>
        <v/>
      </c>
      <c r="P1152" s="42" t="n"/>
      <c r="Q1152" s="43">
        <f>IF($B1152="","",N($O1152)-N($P1152))</f>
        <v/>
      </c>
      <c r="R1152" s="42" t="n"/>
      <c r="S1152" s="42" t="n"/>
      <c r="T1152" s="42" t="n"/>
      <c r="U1152" s="43">
        <f>IF($B1152="","",N($J1152)-N($R1152)-N($T1152))</f>
        <v/>
      </c>
      <c r="V1152" s="42" t="n"/>
    </row>
    <row r="1153">
      <c r="A1153" s="39">
        <f>IF($B1153="","",COUNTA($B$4:$B1153))</f>
        <v/>
      </c>
      <c r="B1153" s="45" t="n"/>
      <c r="C1153" s="46" t="n"/>
      <c r="D1153" s="46" t="n"/>
      <c r="E1153" s="46" t="n"/>
      <c r="F1153" s="46" t="n"/>
      <c r="G1153" s="46" t="n"/>
      <c r="H1153" s="46" t="n"/>
      <c r="I1153" s="51" t="n"/>
      <c r="J1153" s="47" t="n"/>
      <c r="K1153" s="47" t="n"/>
      <c r="L1153" s="43">
        <f>IF($B1153="","",ROUND((N($J1153)+N($K1153))*نسبة_القيمة_المضافة,2))</f>
        <v/>
      </c>
      <c r="M1153" s="47" t="n"/>
      <c r="N1153" s="47" t="n"/>
      <c r="O1153" s="43">
        <f>IF($B1153="","",N($J1153)+N($K1153)+N($L1153)-N($M1153)+N($N1153))</f>
        <v/>
      </c>
      <c r="P1153" s="47" t="n"/>
      <c r="Q1153" s="43">
        <f>IF($B1153="","",N($O1153)-N($P1153))</f>
        <v/>
      </c>
      <c r="R1153" s="47" t="n"/>
      <c r="S1153" s="47" t="n"/>
      <c r="T1153" s="47" t="n"/>
      <c r="U1153" s="43">
        <f>IF($B1153="","",N($J1153)-N($R1153)-N($T1153))</f>
        <v/>
      </c>
      <c r="V1153" s="47" t="n"/>
    </row>
    <row r="1154">
      <c r="A1154" s="39">
        <f>IF($B1154="","",COUNTA($B$4:$B1154))</f>
        <v/>
      </c>
      <c r="B1154" s="40" t="n"/>
      <c r="C1154" s="41" t="n"/>
      <c r="D1154" s="41" t="n"/>
      <c r="E1154" s="41" t="n"/>
      <c r="F1154" s="41" t="n"/>
      <c r="G1154" s="41" t="n"/>
      <c r="H1154" s="41" t="n"/>
      <c r="I1154" s="50" t="n"/>
      <c r="J1154" s="42" t="n"/>
      <c r="K1154" s="42" t="n"/>
      <c r="L1154" s="43">
        <f>IF($B1154="","",ROUND((N($J1154)+N($K1154))*نسبة_القيمة_المضافة,2))</f>
        <v/>
      </c>
      <c r="M1154" s="42" t="n"/>
      <c r="N1154" s="42" t="n"/>
      <c r="O1154" s="43">
        <f>IF($B1154="","",N($J1154)+N($K1154)+N($L1154)-N($M1154)+N($N1154))</f>
        <v/>
      </c>
      <c r="P1154" s="42" t="n"/>
      <c r="Q1154" s="43">
        <f>IF($B1154="","",N($O1154)-N($P1154))</f>
        <v/>
      </c>
      <c r="R1154" s="42" t="n"/>
      <c r="S1154" s="42" t="n"/>
      <c r="T1154" s="42" t="n"/>
      <c r="U1154" s="43">
        <f>IF($B1154="","",N($J1154)-N($R1154)-N($T1154))</f>
        <v/>
      </c>
      <c r="V1154" s="42" t="n"/>
    </row>
    <row r="1155">
      <c r="A1155" s="39">
        <f>IF($B1155="","",COUNTA($B$4:$B1155))</f>
        <v/>
      </c>
      <c r="B1155" s="45" t="n"/>
      <c r="C1155" s="46" t="n"/>
      <c r="D1155" s="46" t="n"/>
      <c r="E1155" s="46" t="n"/>
      <c r="F1155" s="46" t="n"/>
      <c r="G1155" s="46" t="n"/>
      <c r="H1155" s="46" t="n"/>
      <c r="I1155" s="51" t="n"/>
      <c r="J1155" s="47" t="n"/>
      <c r="K1155" s="47" t="n"/>
      <c r="L1155" s="43">
        <f>IF($B1155="","",ROUND((N($J1155)+N($K1155))*نسبة_القيمة_المضافة,2))</f>
        <v/>
      </c>
      <c r="M1155" s="47" t="n"/>
      <c r="N1155" s="47" t="n"/>
      <c r="O1155" s="43">
        <f>IF($B1155="","",N($J1155)+N($K1155)+N($L1155)-N($M1155)+N($N1155))</f>
        <v/>
      </c>
      <c r="P1155" s="47" t="n"/>
      <c r="Q1155" s="43">
        <f>IF($B1155="","",N($O1155)-N($P1155))</f>
        <v/>
      </c>
      <c r="R1155" s="47" t="n"/>
      <c r="S1155" s="47" t="n"/>
      <c r="T1155" s="47" t="n"/>
      <c r="U1155" s="43">
        <f>IF($B1155="","",N($J1155)-N($R1155)-N($T1155))</f>
        <v/>
      </c>
      <c r="V1155" s="47" t="n"/>
    </row>
    <row r="1156">
      <c r="A1156" s="39">
        <f>IF($B1156="","",COUNTA($B$4:$B1156))</f>
        <v/>
      </c>
      <c r="B1156" s="40" t="n"/>
      <c r="C1156" s="41" t="n"/>
      <c r="D1156" s="41" t="n"/>
      <c r="E1156" s="41" t="n"/>
      <c r="F1156" s="41" t="n"/>
      <c r="G1156" s="41" t="n"/>
      <c r="H1156" s="41" t="n"/>
      <c r="I1156" s="50" t="n"/>
      <c r="J1156" s="42" t="n"/>
      <c r="K1156" s="42" t="n"/>
      <c r="L1156" s="43">
        <f>IF($B1156="","",ROUND((N($J1156)+N($K1156))*نسبة_القيمة_المضافة,2))</f>
        <v/>
      </c>
      <c r="M1156" s="42" t="n"/>
      <c r="N1156" s="42" t="n"/>
      <c r="O1156" s="43">
        <f>IF($B1156="","",N($J1156)+N($K1156)+N($L1156)-N($M1156)+N($N1156))</f>
        <v/>
      </c>
      <c r="P1156" s="42" t="n"/>
      <c r="Q1156" s="43">
        <f>IF($B1156="","",N($O1156)-N($P1156))</f>
        <v/>
      </c>
      <c r="R1156" s="42" t="n"/>
      <c r="S1156" s="42" t="n"/>
      <c r="T1156" s="42" t="n"/>
      <c r="U1156" s="43">
        <f>IF($B1156="","",N($J1156)-N($R1156)-N($T1156))</f>
        <v/>
      </c>
      <c r="V1156" s="42" t="n"/>
    </row>
    <row r="1157">
      <c r="A1157" s="39">
        <f>IF($B1157="","",COUNTA($B$4:$B1157))</f>
        <v/>
      </c>
      <c r="B1157" s="45" t="n"/>
      <c r="C1157" s="46" t="n"/>
      <c r="D1157" s="46" t="n"/>
      <c r="E1157" s="46" t="n"/>
      <c r="F1157" s="46" t="n"/>
      <c r="G1157" s="46" t="n"/>
      <c r="H1157" s="46" t="n"/>
      <c r="I1157" s="51" t="n"/>
      <c r="J1157" s="47" t="n"/>
      <c r="K1157" s="47" t="n"/>
      <c r="L1157" s="43">
        <f>IF($B1157="","",ROUND((N($J1157)+N($K1157))*نسبة_القيمة_المضافة,2))</f>
        <v/>
      </c>
      <c r="M1157" s="47" t="n"/>
      <c r="N1157" s="47" t="n"/>
      <c r="O1157" s="43">
        <f>IF($B1157="","",N($J1157)+N($K1157)+N($L1157)-N($M1157)+N($N1157))</f>
        <v/>
      </c>
      <c r="P1157" s="47" t="n"/>
      <c r="Q1157" s="43">
        <f>IF($B1157="","",N($O1157)-N($P1157))</f>
        <v/>
      </c>
      <c r="R1157" s="47" t="n"/>
      <c r="S1157" s="47" t="n"/>
      <c r="T1157" s="47" t="n"/>
      <c r="U1157" s="43">
        <f>IF($B1157="","",N($J1157)-N($R1157)-N($T1157))</f>
        <v/>
      </c>
      <c r="V1157" s="47" t="n"/>
    </row>
    <row r="1158">
      <c r="A1158" s="39">
        <f>IF($B1158="","",COUNTA($B$4:$B1158))</f>
        <v/>
      </c>
      <c r="B1158" s="40" t="n"/>
      <c r="C1158" s="41" t="n"/>
      <c r="D1158" s="41" t="n"/>
      <c r="E1158" s="41" t="n"/>
      <c r="F1158" s="41" t="n"/>
      <c r="G1158" s="41" t="n"/>
      <c r="H1158" s="41" t="n"/>
      <c r="I1158" s="50" t="n"/>
      <c r="J1158" s="42" t="n"/>
      <c r="K1158" s="42" t="n"/>
      <c r="L1158" s="43">
        <f>IF($B1158="","",ROUND((N($J1158)+N($K1158))*نسبة_القيمة_المضافة,2))</f>
        <v/>
      </c>
      <c r="M1158" s="42" t="n"/>
      <c r="N1158" s="42" t="n"/>
      <c r="O1158" s="43">
        <f>IF($B1158="","",N($J1158)+N($K1158)+N($L1158)-N($M1158)+N($N1158))</f>
        <v/>
      </c>
      <c r="P1158" s="42" t="n"/>
      <c r="Q1158" s="43">
        <f>IF($B1158="","",N($O1158)-N($P1158))</f>
        <v/>
      </c>
      <c r="R1158" s="42" t="n"/>
      <c r="S1158" s="42" t="n"/>
      <c r="T1158" s="42" t="n"/>
      <c r="U1158" s="43">
        <f>IF($B1158="","",N($J1158)-N($R1158)-N($T1158))</f>
        <v/>
      </c>
      <c r="V1158" s="42" t="n"/>
    </row>
    <row r="1159">
      <c r="A1159" s="39">
        <f>IF($B1159="","",COUNTA($B$4:$B1159))</f>
        <v/>
      </c>
      <c r="B1159" s="45" t="n"/>
      <c r="C1159" s="46" t="n"/>
      <c r="D1159" s="46" t="n"/>
      <c r="E1159" s="46" t="n"/>
      <c r="F1159" s="46" t="n"/>
      <c r="G1159" s="46" t="n"/>
      <c r="H1159" s="46" t="n"/>
      <c r="I1159" s="51" t="n"/>
      <c r="J1159" s="47" t="n"/>
      <c r="K1159" s="47" t="n"/>
      <c r="L1159" s="43">
        <f>IF($B1159="","",ROUND((N($J1159)+N($K1159))*نسبة_القيمة_المضافة,2))</f>
        <v/>
      </c>
      <c r="M1159" s="47" t="n"/>
      <c r="N1159" s="47" t="n"/>
      <c r="O1159" s="43">
        <f>IF($B1159="","",N($J1159)+N($K1159)+N($L1159)-N($M1159)+N($N1159))</f>
        <v/>
      </c>
      <c r="P1159" s="47" t="n"/>
      <c r="Q1159" s="43">
        <f>IF($B1159="","",N($O1159)-N($P1159))</f>
        <v/>
      </c>
      <c r="R1159" s="47" t="n"/>
      <c r="S1159" s="47" t="n"/>
      <c r="T1159" s="47" t="n"/>
      <c r="U1159" s="43">
        <f>IF($B1159="","",N($J1159)-N($R1159)-N($T1159))</f>
        <v/>
      </c>
      <c r="V1159" s="47" t="n"/>
    </row>
    <row r="1160">
      <c r="A1160" s="39">
        <f>IF($B1160="","",COUNTA($B$4:$B1160))</f>
        <v/>
      </c>
      <c r="B1160" s="40" t="n"/>
      <c r="C1160" s="41" t="n"/>
      <c r="D1160" s="41" t="n"/>
      <c r="E1160" s="41" t="n"/>
      <c r="F1160" s="41" t="n"/>
      <c r="G1160" s="41" t="n"/>
      <c r="H1160" s="41" t="n"/>
      <c r="I1160" s="50" t="n"/>
      <c r="J1160" s="42" t="n"/>
      <c r="K1160" s="42" t="n"/>
      <c r="L1160" s="43">
        <f>IF($B1160="","",ROUND((N($J1160)+N($K1160))*نسبة_القيمة_المضافة,2))</f>
        <v/>
      </c>
      <c r="M1160" s="42" t="n"/>
      <c r="N1160" s="42" t="n"/>
      <c r="O1160" s="43">
        <f>IF($B1160="","",N($J1160)+N($K1160)+N($L1160)-N($M1160)+N($N1160))</f>
        <v/>
      </c>
      <c r="P1160" s="42" t="n"/>
      <c r="Q1160" s="43">
        <f>IF($B1160="","",N($O1160)-N($P1160))</f>
        <v/>
      </c>
      <c r="R1160" s="42" t="n"/>
      <c r="S1160" s="42" t="n"/>
      <c r="T1160" s="42" t="n"/>
      <c r="U1160" s="43">
        <f>IF($B1160="","",N($J1160)-N($R1160)-N($T1160))</f>
        <v/>
      </c>
      <c r="V1160" s="42" t="n"/>
    </row>
    <row r="1161">
      <c r="A1161" s="39">
        <f>IF($B1161="","",COUNTA($B$4:$B1161))</f>
        <v/>
      </c>
      <c r="B1161" s="45" t="n"/>
      <c r="C1161" s="46" t="n"/>
      <c r="D1161" s="46" t="n"/>
      <c r="E1161" s="46" t="n"/>
      <c r="F1161" s="46" t="n"/>
      <c r="G1161" s="46" t="n"/>
      <c r="H1161" s="46" t="n"/>
      <c r="I1161" s="51" t="n"/>
      <c r="J1161" s="47" t="n"/>
      <c r="K1161" s="47" t="n"/>
      <c r="L1161" s="43">
        <f>IF($B1161="","",ROUND((N($J1161)+N($K1161))*نسبة_القيمة_المضافة,2))</f>
        <v/>
      </c>
      <c r="M1161" s="47" t="n"/>
      <c r="N1161" s="47" t="n"/>
      <c r="O1161" s="43">
        <f>IF($B1161="","",N($J1161)+N($K1161)+N($L1161)-N($M1161)+N($N1161))</f>
        <v/>
      </c>
      <c r="P1161" s="47" t="n"/>
      <c r="Q1161" s="43">
        <f>IF($B1161="","",N($O1161)-N($P1161))</f>
        <v/>
      </c>
      <c r="R1161" s="47" t="n"/>
      <c r="S1161" s="47" t="n"/>
      <c r="T1161" s="47" t="n"/>
      <c r="U1161" s="43">
        <f>IF($B1161="","",N($J1161)-N($R1161)-N($T1161))</f>
        <v/>
      </c>
      <c r="V1161" s="47" t="n"/>
    </row>
    <row r="1162">
      <c r="A1162" s="39">
        <f>IF($B1162="","",COUNTA($B$4:$B1162))</f>
        <v/>
      </c>
      <c r="B1162" s="40" t="n"/>
      <c r="C1162" s="41" t="n"/>
      <c r="D1162" s="41" t="n"/>
      <c r="E1162" s="41" t="n"/>
      <c r="F1162" s="41" t="n"/>
      <c r="G1162" s="41" t="n"/>
      <c r="H1162" s="41" t="n"/>
      <c r="I1162" s="50" t="n"/>
      <c r="J1162" s="42" t="n"/>
      <c r="K1162" s="42" t="n"/>
      <c r="L1162" s="43">
        <f>IF($B1162="","",ROUND((N($J1162)+N($K1162))*نسبة_القيمة_المضافة,2))</f>
        <v/>
      </c>
      <c r="M1162" s="42" t="n"/>
      <c r="N1162" s="42" t="n"/>
      <c r="O1162" s="43">
        <f>IF($B1162="","",N($J1162)+N($K1162)+N($L1162)-N($M1162)+N($N1162))</f>
        <v/>
      </c>
      <c r="P1162" s="42" t="n"/>
      <c r="Q1162" s="43">
        <f>IF($B1162="","",N($O1162)-N($P1162))</f>
        <v/>
      </c>
      <c r="R1162" s="42" t="n"/>
      <c r="S1162" s="42" t="n"/>
      <c r="T1162" s="42" t="n"/>
      <c r="U1162" s="43">
        <f>IF($B1162="","",N($J1162)-N($R1162)-N($T1162))</f>
        <v/>
      </c>
      <c r="V1162" s="42" t="n"/>
    </row>
    <row r="1163">
      <c r="A1163" s="39">
        <f>IF($B1163="","",COUNTA($B$4:$B1163))</f>
        <v/>
      </c>
      <c r="B1163" s="45" t="n"/>
      <c r="C1163" s="46" t="n"/>
      <c r="D1163" s="46" t="n"/>
      <c r="E1163" s="46" t="n"/>
      <c r="F1163" s="46" t="n"/>
      <c r="G1163" s="46" t="n"/>
      <c r="H1163" s="46" t="n"/>
      <c r="I1163" s="51" t="n"/>
      <c r="J1163" s="47" t="n"/>
      <c r="K1163" s="47" t="n"/>
      <c r="L1163" s="43">
        <f>IF($B1163="","",ROUND((N($J1163)+N($K1163))*نسبة_القيمة_المضافة,2))</f>
        <v/>
      </c>
      <c r="M1163" s="47" t="n"/>
      <c r="N1163" s="47" t="n"/>
      <c r="O1163" s="43">
        <f>IF($B1163="","",N($J1163)+N($K1163)+N($L1163)-N($M1163)+N($N1163))</f>
        <v/>
      </c>
      <c r="P1163" s="47" t="n"/>
      <c r="Q1163" s="43">
        <f>IF($B1163="","",N($O1163)-N($P1163))</f>
        <v/>
      </c>
      <c r="R1163" s="47" t="n"/>
      <c r="S1163" s="47" t="n"/>
      <c r="T1163" s="47" t="n"/>
      <c r="U1163" s="43">
        <f>IF($B1163="","",N($J1163)-N($R1163)-N($T1163))</f>
        <v/>
      </c>
      <c r="V1163" s="47" t="n"/>
    </row>
    <row r="1164">
      <c r="A1164" s="39">
        <f>IF($B1164="","",COUNTA($B$4:$B1164))</f>
        <v/>
      </c>
      <c r="B1164" s="40" t="n"/>
      <c r="C1164" s="41" t="n"/>
      <c r="D1164" s="41" t="n"/>
      <c r="E1164" s="41" t="n"/>
      <c r="F1164" s="41" t="n"/>
      <c r="G1164" s="41" t="n"/>
      <c r="H1164" s="41" t="n"/>
      <c r="I1164" s="50" t="n"/>
      <c r="J1164" s="42" t="n"/>
      <c r="K1164" s="42" t="n"/>
      <c r="L1164" s="43">
        <f>IF($B1164="","",ROUND((N($J1164)+N($K1164))*نسبة_القيمة_المضافة,2))</f>
        <v/>
      </c>
      <c r="M1164" s="42" t="n"/>
      <c r="N1164" s="42" t="n"/>
      <c r="O1164" s="43">
        <f>IF($B1164="","",N($J1164)+N($K1164)+N($L1164)-N($M1164)+N($N1164))</f>
        <v/>
      </c>
      <c r="P1164" s="42" t="n"/>
      <c r="Q1164" s="43">
        <f>IF($B1164="","",N($O1164)-N($P1164))</f>
        <v/>
      </c>
      <c r="R1164" s="42" t="n"/>
      <c r="S1164" s="42" t="n"/>
      <c r="T1164" s="42" t="n"/>
      <c r="U1164" s="43">
        <f>IF($B1164="","",N($J1164)-N($R1164)-N($T1164))</f>
        <v/>
      </c>
      <c r="V1164" s="42" t="n"/>
    </row>
    <row r="1165">
      <c r="A1165" s="39">
        <f>IF($B1165="","",COUNTA($B$4:$B1165))</f>
        <v/>
      </c>
      <c r="B1165" s="45" t="n"/>
      <c r="C1165" s="46" t="n"/>
      <c r="D1165" s="46" t="n"/>
      <c r="E1165" s="46" t="n"/>
      <c r="F1165" s="46" t="n"/>
      <c r="G1165" s="46" t="n"/>
      <c r="H1165" s="46" t="n"/>
      <c r="I1165" s="51" t="n"/>
      <c r="J1165" s="47" t="n"/>
      <c r="K1165" s="47" t="n"/>
      <c r="L1165" s="43">
        <f>IF($B1165="","",ROUND((N($J1165)+N($K1165))*نسبة_القيمة_المضافة,2))</f>
        <v/>
      </c>
      <c r="M1165" s="47" t="n"/>
      <c r="N1165" s="47" t="n"/>
      <c r="O1165" s="43">
        <f>IF($B1165="","",N($J1165)+N($K1165)+N($L1165)-N($M1165)+N($N1165))</f>
        <v/>
      </c>
      <c r="P1165" s="47" t="n"/>
      <c r="Q1165" s="43">
        <f>IF($B1165="","",N($O1165)-N($P1165))</f>
        <v/>
      </c>
      <c r="R1165" s="47" t="n"/>
      <c r="S1165" s="47" t="n"/>
      <c r="T1165" s="47" t="n"/>
      <c r="U1165" s="43">
        <f>IF($B1165="","",N($J1165)-N($R1165)-N($T1165))</f>
        <v/>
      </c>
      <c r="V1165" s="47" t="n"/>
    </row>
    <row r="1166">
      <c r="A1166" s="39">
        <f>IF($B1166="","",COUNTA($B$4:$B1166))</f>
        <v/>
      </c>
      <c r="B1166" s="40" t="n"/>
      <c r="C1166" s="41" t="n"/>
      <c r="D1166" s="41" t="n"/>
      <c r="E1166" s="41" t="n"/>
      <c r="F1166" s="41" t="n"/>
      <c r="G1166" s="41" t="n"/>
      <c r="H1166" s="41" t="n"/>
      <c r="I1166" s="50" t="n"/>
      <c r="J1166" s="42" t="n"/>
      <c r="K1166" s="42" t="n"/>
      <c r="L1166" s="43">
        <f>IF($B1166="","",ROUND((N($J1166)+N($K1166))*نسبة_القيمة_المضافة,2))</f>
        <v/>
      </c>
      <c r="M1166" s="42" t="n"/>
      <c r="N1166" s="42" t="n"/>
      <c r="O1166" s="43">
        <f>IF($B1166="","",N($J1166)+N($K1166)+N($L1166)-N($M1166)+N($N1166))</f>
        <v/>
      </c>
      <c r="P1166" s="42" t="n"/>
      <c r="Q1166" s="43">
        <f>IF($B1166="","",N($O1166)-N($P1166))</f>
        <v/>
      </c>
      <c r="R1166" s="42" t="n"/>
      <c r="S1166" s="42" t="n"/>
      <c r="T1166" s="42" t="n"/>
      <c r="U1166" s="43">
        <f>IF($B1166="","",N($J1166)-N($R1166)-N($T1166))</f>
        <v/>
      </c>
      <c r="V1166" s="42" t="n"/>
    </row>
    <row r="1167">
      <c r="A1167" s="39">
        <f>IF($B1167="","",COUNTA($B$4:$B1167))</f>
        <v/>
      </c>
      <c r="B1167" s="45" t="n"/>
      <c r="C1167" s="46" t="n"/>
      <c r="D1167" s="46" t="n"/>
      <c r="E1167" s="46" t="n"/>
      <c r="F1167" s="46" t="n"/>
      <c r="G1167" s="46" t="n"/>
      <c r="H1167" s="46" t="n"/>
      <c r="I1167" s="51" t="n"/>
      <c r="J1167" s="47" t="n"/>
      <c r="K1167" s="47" t="n"/>
      <c r="L1167" s="43">
        <f>IF($B1167="","",ROUND((N($J1167)+N($K1167))*نسبة_القيمة_المضافة,2))</f>
        <v/>
      </c>
      <c r="M1167" s="47" t="n"/>
      <c r="N1167" s="47" t="n"/>
      <c r="O1167" s="43">
        <f>IF($B1167="","",N($J1167)+N($K1167)+N($L1167)-N($M1167)+N($N1167))</f>
        <v/>
      </c>
      <c r="P1167" s="47" t="n"/>
      <c r="Q1167" s="43">
        <f>IF($B1167="","",N($O1167)-N($P1167))</f>
        <v/>
      </c>
      <c r="R1167" s="47" t="n"/>
      <c r="S1167" s="47" t="n"/>
      <c r="T1167" s="47" t="n"/>
      <c r="U1167" s="43">
        <f>IF($B1167="","",N($J1167)-N($R1167)-N($T1167))</f>
        <v/>
      </c>
      <c r="V1167" s="47" t="n"/>
    </row>
    <row r="1168">
      <c r="A1168" s="39">
        <f>IF($B1168="","",COUNTA($B$4:$B1168))</f>
        <v/>
      </c>
      <c r="B1168" s="40" t="n"/>
      <c r="C1168" s="41" t="n"/>
      <c r="D1168" s="41" t="n"/>
      <c r="E1168" s="41" t="n"/>
      <c r="F1168" s="41" t="n"/>
      <c r="G1168" s="41" t="n"/>
      <c r="H1168" s="41" t="n"/>
      <c r="I1168" s="50" t="n"/>
      <c r="J1168" s="42" t="n"/>
      <c r="K1168" s="42" t="n"/>
      <c r="L1168" s="43">
        <f>IF($B1168="","",ROUND((N($J1168)+N($K1168))*نسبة_القيمة_المضافة,2))</f>
        <v/>
      </c>
      <c r="M1168" s="42" t="n"/>
      <c r="N1168" s="42" t="n"/>
      <c r="O1168" s="43">
        <f>IF($B1168="","",N($J1168)+N($K1168)+N($L1168)-N($M1168)+N($N1168))</f>
        <v/>
      </c>
      <c r="P1168" s="42" t="n"/>
      <c r="Q1168" s="43">
        <f>IF($B1168="","",N($O1168)-N($P1168))</f>
        <v/>
      </c>
      <c r="R1168" s="42" t="n"/>
      <c r="S1168" s="42" t="n"/>
      <c r="T1168" s="42" t="n"/>
      <c r="U1168" s="43">
        <f>IF($B1168="","",N($J1168)-N($R1168)-N($T1168))</f>
        <v/>
      </c>
      <c r="V1168" s="42" t="n"/>
    </row>
    <row r="1169">
      <c r="A1169" s="39">
        <f>IF($B1169="","",COUNTA($B$4:$B1169))</f>
        <v/>
      </c>
      <c r="B1169" s="45" t="n"/>
      <c r="C1169" s="46" t="n"/>
      <c r="D1169" s="46" t="n"/>
      <c r="E1169" s="46" t="n"/>
      <c r="F1169" s="46" t="n"/>
      <c r="G1169" s="46" t="n"/>
      <c r="H1169" s="46" t="n"/>
      <c r="I1169" s="51" t="n"/>
      <c r="J1169" s="47" t="n"/>
      <c r="K1169" s="47" t="n"/>
      <c r="L1169" s="43">
        <f>IF($B1169="","",ROUND((N($J1169)+N($K1169))*نسبة_القيمة_المضافة,2))</f>
        <v/>
      </c>
      <c r="M1169" s="47" t="n"/>
      <c r="N1169" s="47" t="n"/>
      <c r="O1169" s="43">
        <f>IF($B1169="","",N($J1169)+N($K1169)+N($L1169)-N($M1169)+N($N1169))</f>
        <v/>
      </c>
      <c r="P1169" s="47" t="n"/>
      <c r="Q1169" s="43">
        <f>IF($B1169="","",N($O1169)-N($P1169))</f>
        <v/>
      </c>
      <c r="R1169" s="47" t="n"/>
      <c r="S1169" s="47" t="n"/>
      <c r="T1169" s="47" t="n"/>
      <c r="U1169" s="43">
        <f>IF($B1169="","",N($J1169)-N($R1169)-N($T1169))</f>
        <v/>
      </c>
      <c r="V1169" s="47" t="n"/>
    </row>
    <row r="1170">
      <c r="A1170" s="39">
        <f>IF($B1170="","",COUNTA($B$4:$B1170))</f>
        <v/>
      </c>
      <c r="B1170" s="40" t="n"/>
      <c r="C1170" s="41" t="n"/>
      <c r="D1170" s="41" t="n"/>
      <c r="E1170" s="41" t="n"/>
      <c r="F1170" s="41" t="n"/>
      <c r="G1170" s="41" t="n"/>
      <c r="H1170" s="41" t="n"/>
      <c r="I1170" s="50" t="n"/>
      <c r="J1170" s="42" t="n"/>
      <c r="K1170" s="42" t="n"/>
      <c r="L1170" s="43">
        <f>IF($B1170="","",ROUND((N($J1170)+N($K1170))*نسبة_القيمة_المضافة,2))</f>
        <v/>
      </c>
      <c r="M1170" s="42" t="n"/>
      <c r="N1170" s="42" t="n"/>
      <c r="O1170" s="43">
        <f>IF($B1170="","",N($J1170)+N($K1170)+N($L1170)-N($M1170)+N($N1170))</f>
        <v/>
      </c>
      <c r="P1170" s="42" t="n"/>
      <c r="Q1170" s="43">
        <f>IF($B1170="","",N($O1170)-N($P1170))</f>
        <v/>
      </c>
      <c r="R1170" s="42" t="n"/>
      <c r="S1170" s="42" t="n"/>
      <c r="T1170" s="42" t="n"/>
      <c r="U1170" s="43">
        <f>IF($B1170="","",N($J1170)-N($R1170)-N($T1170))</f>
        <v/>
      </c>
      <c r="V1170" s="42" t="n"/>
    </row>
    <row r="1171">
      <c r="A1171" s="39">
        <f>IF($B1171="","",COUNTA($B$4:$B1171))</f>
        <v/>
      </c>
      <c r="B1171" s="45" t="n"/>
      <c r="C1171" s="46" t="n"/>
      <c r="D1171" s="46" t="n"/>
      <c r="E1171" s="46" t="n"/>
      <c r="F1171" s="46" t="n"/>
      <c r="G1171" s="46" t="n"/>
      <c r="H1171" s="46" t="n"/>
      <c r="I1171" s="51" t="n"/>
      <c r="J1171" s="47" t="n"/>
      <c r="K1171" s="47" t="n"/>
      <c r="L1171" s="43">
        <f>IF($B1171="","",ROUND((N($J1171)+N($K1171))*نسبة_القيمة_المضافة,2))</f>
        <v/>
      </c>
      <c r="M1171" s="47" t="n"/>
      <c r="N1171" s="47" t="n"/>
      <c r="O1171" s="43">
        <f>IF($B1171="","",N($J1171)+N($K1171)+N($L1171)-N($M1171)+N($N1171))</f>
        <v/>
      </c>
      <c r="P1171" s="47" t="n"/>
      <c r="Q1171" s="43">
        <f>IF($B1171="","",N($O1171)-N($P1171))</f>
        <v/>
      </c>
      <c r="R1171" s="47" t="n"/>
      <c r="S1171" s="47" t="n"/>
      <c r="T1171" s="47" t="n"/>
      <c r="U1171" s="43">
        <f>IF($B1171="","",N($J1171)-N($R1171)-N($T1171))</f>
        <v/>
      </c>
      <c r="V1171" s="47" t="n"/>
    </row>
    <row r="1172">
      <c r="A1172" s="39">
        <f>IF($B1172="","",COUNTA($B$4:$B1172))</f>
        <v/>
      </c>
      <c r="B1172" s="40" t="n"/>
      <c r="C1172" s="41" t="n"/>
      <c r="D1172" s="41" t="n"/>
      <c r="E1172" s="41" t="n"/>
      <c r="F1172" s="41" t="n"/>
      <c r="G1172" s="41" t="n"/>
      <c r="H1172" s="41" t="n"/>
      <c r="I1172" s="50" t="n"/>
      <c r="J1172" s="42" t="n"/>
      <c r="K1172" s="42" t="n"/>
      <c r="L1172" s="43">
        <f>IF($B1172="","",ROUND((N($J1172)+N($K1172))*نسبة_القيمة_المضافة,2))</f>
        <v/>
      </c>
      <c r="M1172" s="42" t="n"/>
      <c r="N1172" s="42" t="n"/>
      <c r="O1172" s="43">
        <f>IF($B1172="","",N($J1172)+N($K1172)+N($L1172)-N($M1172)+N($N1172))</f>
        <v/>
      </c>
      <c r="P1172" s="42" t="n"/>
      <c r="Q1172" s="43">
        <f>IF($B1172="","",N($O1172)-N($P1172))</f>
        <v/>
      </c>
      <c r="R1172" s="42" t="n"/>
      <c r="S1172" s="42" t="n"/>
      <c r="T1172" s="42" t="n"/>
      <c r="U1172" s="43">
        <f>IF($B1172="","",N($J1172)-N($R1172)-N($T1172))</f>
        <v/>
      </c>
      <c r="V1172" s="42" t="n"/>
    </row>
    <row r="1173">
      <c r="A1173" s="39">
        <f>IF($B1173="","",COUNTA($B$4:$B1173))</f>
        <v/>
      </c>
      <c r="B1173" s="45" t="n"/>
      <c r="C1173" s="46" t="n"/>
      <c r="D1173" s="46" t="n"/>
      <c r="E1173" s="46" t="n"/>
      <c r="F1173" s="46" t="n"/>
      <c r="G1173" s="46" t="n"/>
      <c r="H1173" s="46" t="n"/>
      <c r="I1173" s="51" t="n"/>
      <c r="J1173" s="47" t="n"/>
      <c r="K1173" s="47" t="n"/>
      <c r="L1173" s="43">
        <f>IF($B1173="","",ROUND((N($J1173)+N($K1173))*نسبة_القيمة_المضافة,2))</f>
        <v/>
      </c>
      <c r="M1173" s="47" t="n"/>
      <c r="N1173" s="47" t="n"/>
      <c r="O1173" s="43">
        <f>IF($B1173="","",N($J1173)+N($K1173)+N($L1173)-N($M1173)+N($N1173))</f>
        <v/>
      </c>
      <c r="P1173" s="47" t="n"/>
      <c r="Q1173" s="43">
        <f>IF($B1173="","",N($O1173)-N($P1173))</f>
        <v/>
      </c>
      <c r="R1173" s="47" t="n"/>
      <c r="S1173" s="47" t="n"/>
      <c r="T1173" s="47" t="n"/>
      <c r="U1173" s="43">
        <f>IF($B1173="","",N($J1173)-N($R1173)-N($T1173))</f>
        <v/>
      </c>
      <c r="V1173" s="47" t="n"/>
    </row>
    <row r="1174">
      <c r="A1174" s="39">
        <f>IF($B1174="","",COUNTA($B$4:$B1174))</f>
        <v/>
      </c>
      <c r="B1174" s="40" t="n"/>
      <c r="C1174" s="41" t="n"/>
      <c r="D1174" s="41" t="n"/>
      <c r="E1174" s="41" t="n"/>
      <c r="F1174" s="41" t="n"/>
      <c r="G1174" s="41" t="n"/>
      <c r="H1174" s="41" t="n"/>
      <c r="I1174" s="50" t="n"/>
      <c r="J1174" s="42" t="n"/>
      <c r="K1174" s="42" t="n"/>
      <c r="L1174" s="43">
        <f>IF($B1174="","",ROUND((N($J1174)+N($K1174))*نسبة_القيمة_المضافة,2))</f>
        <v/>
      </c>
      <c r="M1174" s="42" t="n"/>
      <c r="N1174" s="42" t="n"/>
      <c r="O1174" s="43">
        <f>IF($B1174="","",N($J1174)+N($K1174)+N($L1174)-N($M1174)+N($N1174))</f>
        <v/>
      </c>
      <c r="P1174" s="42" t="n"/>
      <c r="Q1174" s="43">
        <f>IF($B1174="","",N($O1174)-N($P1174))</f>
        <v/>
      </c>
      <c r="R1174" s="42" t="n"/>
      <c r="S1174" s="42" t="n"/>
      <c r="T1174" s="42" t="n"/>
      <c r="U1174" s="43">
        <f>IF($B1174="","",N($J1174)-N($R1174)-N($T1174))</f>
        <v/>
      </c>
      <c r="V1174" s="42" t="n"/>
    </row>
    <row r="1175">
      <c r="A1175" s="39">
        <f>IF($B1175="","",COUNTA($B$4:$B1175))</f>
        <v/>
      </c>
      <c r="B1175" s="45" t="n"/>
      <c r="C1175" s="46" t="n"/>
      <c r="D1175" s="46" t="n"/>
      <c r="E1175" s="46" t="n"/>
      <c r="F1175" s="46" t="n"/>
      <c r="G1175" s="46" t="n"/>
      <c r="H1175" s="46" t="n"/>
      <c r="I1175" s="51" t="n"/>
      <c r="J1175" s="47" t="n"/>
      <c r="K1175" s="47" t="n"/>
      <c r="L1175" s="43">
        <f>IF($B1175="","",ROUND((N($J1175)+N($K1175))*نسبة_القيمة_المضافة,2))</f>
        <v/>
      </c>
      <c r="M1175" s="47" t="n"/>
      <c r="N1175" s="47" t="n"/>
      <c r="O1175" s="43">
        <f>IF($B1175="","",N($J1175)+N($K1175)+N($L1175)-N($M1175)+N($N1175))</f>
        <v/>
      </c>
      <c r="P1175" s="47" t="n"/>
      <c r="Q1175" s="43">
        <f>IF($B1175="","",N($O1175)-N($P1175))</f>
        <v/>
      </c>
      <c r="R1175" s="47" t="n"/>
      <c r="S1175" s="47" t="n"/>
      <c r="T1175" s="47" t="n"/>
      <c r="U1175" s="43">
        <f>IF($B1175="","",N($J1175)-N($R1175)-N($T1175))</f>
        <v/>
      </c>
      <c r="V1175" s="47" t="n"/>
    </row>
    <row r="1176">
      <c r="A1176" s="39">
        <f>IF($B1176="","",COUNTA($B$4:$B1176))</f>
        <v/>
      </c>
      <c r="B1176" s="40" t="n"/>
      <c r="C1176" s="41" t="n"/>
      <c r="D1176" s="41" t="n"/>
      <c r="E1176" s="41" t="n"/>
      <c r="F1176" s="41" t="n"/>
      <c r="G1176" s="41" t="n"/>
      <c r="H1176" s="41" t="n"/>
      <c r="I1176" s="50" t="n"/>
      <c r="J1176" s="42" t="n"/>
      <c r="K1176" s="42" t="n"/>
      <c r="L1176" s="43">
        <f>IF($B1176="","",ROUND((N($J1176)+N($K1176))*نسبة_القيمة_المضافة,2))</f>
        <v/>
      </c>
      <c r="M1176" s="42" t="n"/>
      <c r="N1176" s="42" t="n"/>
      <c r="O1176" s="43">
        <f>IF($B1176="","",N($J1176)+N($K1176)+N($L1176)-N($M1176)+N($N1176))</f>
        <v/>
      </c>
      <c r="P1176" s="42" t="n"/>
      <c r="Q1176" s="43">
        <f>IF($B1176="","",N($O1176)-N($P1176))</f>
        <v/>
      </c>
      <c r="R1176" s="42" t="n"/>
      <c r="S1176" s="42" t="n"/>
      <c r="T1176" s="42" t="n"/>
      <c r="U1176" s="43">
        <f>IF($B1176="","",N($J1176)-N($R1176)-N($T1176))</f>
        <v/>
      </c>
      <c r="V1176" s="42" t="n"/>
    </row>
    <row r="1177">
      <c r="A1177" s="39">
        <f>IF($B1177="","",COUNTA($B$4:$B1177))</f>
        <v/>
      </c>
      <c r="B1177" s="45" t="n"/>
      <c r="C1177" s="46" t="n"/>
      <c r="D1177" s="46" t="n"/>
      <c r="E1177" s="46" t="n"/>
      <c r="F1177" s="46" t="n"/>
      <c r="G1177" s="46" t="n"/>
      <c r="H1177" s="46" t="n"/>
      <c r="I1177" s="51" t="n"/>
      <c r="J1177" s="47" t="n"/>
      <c r="K1177" s="47" t="n"/>
      <c r="L1177" s="43">
        <f>IF($B1177="","",ROUND((N($J1177)+N($K1177))*نسبة_القيمة_المضافة,2))</f>
        <v/>
      </c>
      <c r="M1177" s="47" t="n"/>
      <c r="N1177" s="47" t="n"/>
      <c r="O1177" s="43">
        <f>IF($B1177="","",N($J1177)+N($K1177)+N($L1177)-N($M1177)+N($N1177))</f>
        <v/>
      </c>
      <c r="P1177" s="47" t="n"/>
      <c r="Q1177" s="43">
        <f>IF($B1177="","",N($O1177)-N($P1177))</f>
        <v/>
      </c>
      <c r="R1177" s="47" t="n"/>
      <c r="S1177" s="47" t="n"/>
      <c r="T1177" s="47" t="n"/>
      <c r="U1177" s="43">
        <f>IF($B1177="","",N($J1177)-N($R1177)-N($T1177))</f>
        <v/>
      </c>
      <c r="V1177" s="47" t="n"/>
    </row>
    <row r="1178">
      <c r="A1178" s="39">
        <f>IF($B1178="","",COUNTA($B$4:$B1178))</f>
        <v/>
      </c>
      <c r="B1178" s="40" t="n"/>
      <c r="C1178" s="41" t="n"/>
      <c r="D1178" s="41" t="n"/>
      <c r="E1178" s="41" t="n"/>
      <c r="F1178" s="41" t="n"/>
      <c r="G1178" s="41" t="n"/>
      <c r="H1178" s="41" t="n"/>
      <c r="I1178" s="50" t="n"/>
      <c r="J1178" s="42" t="n"/>
      <c r="K1178" s="42" t="n"/>
      <c r="L1178" s="43">
        <f>IF($B1178="","",ROUND((N($J1178)+N($K1178))*نسبة_القيمة_المضافة,2))</f>
        <v/>
      </c>
      <c r="M1178" s="42" t="n"/>
      <c r="N1178" s="42" t="n"/>
      <c r="O1178" s="43">
        <f>IF($B1178="","",N($J1178)+N($K1178)+N($L1178)-N($M1178)+N($N1178))</f>
        <v/>
      </c>
      <c r="P1178" s="42" t="n"/>
      <c r="Q1178" s="43">
        <f>IF($B1178="","",N($O1178)-N($P1178))</f>
        <v/>
      </c>
      <c r="R1178" s="42" t="n"/>
      <c r="S1178" s="42" t="n"/>
      <c r="T1178" s="42" t="n"/>
      <c r="U1178" s="43">
        <f>IF($B1178="","",N($J1178)-N($R1178)-N($T1178))</f>
        <v/>
      </c>
      <c r="V1178" s="42" t="n"/>
    </row>
    <row r="1179">
      <c r="A1179" s="39">
        <f>IF($B1179="","",COUNTA($B$4:$B1179))</f>
        <v/>
      </c>
      <c r="B1179" s="45" t="n"/>
      <c r="C1179" s="46" t="n"/>
      <c r="D1179" s="46" t="n"/>
      <c r="E1179" s="46" t="n"/>
      <c r="F1179" s="46" t="n"/>
      <c r="G1179" s="46" t="n"/>
      <c r="H1179" s="46" t="n"/>
      <c r="I1179" s="51" t="n"/>
      <c r="J1179" s="47" t="n"/>
      <c r="K1179" s="47" t="n"/>
      <c r="L1179" s="43">
        <f>IF($B1179="","",ROUND((N($J1179)+N($K1179))*نسبة_القيمة_المضافة,2))</f>
        <v/>
      </c>
      <c r="M1179" s="47" t="n"/>
      <c r="N1179" s="47" t="n"/>
      <c r="O1179" s="43">
        <f>IF($B1179="","",N($J1179)+N($K1179)+N($L1179)-N($M1179)+N($N1179))</f>
        <v/>
      </c>
      <c r="P1179" s="47" t="n"/>
      <c r="Q1179" s="43">
        <f>IF($B1179="","",N($O1179)-N($P1179))</f>
        <v/>
      </c>
      <c r="R1179" s="47" t="n"/>
      <c r="S1179" s="47" t="n"/>
      <c r="T1179" s="47" t="n"/>
      <c r="U1179" s="43">
        <f>IF($B1179="","",N($J1179)-N($R1179)-N($T1179))</f>
        <v/>
      </c>
      <c r="V1179" s="47" t="n"/>
    </row>
    <row r="1180">
      <c r="A1180" s="39">
        <f>IF($B1180="","",COUNTA($B$4:$B1180))</f>
        <v/>
      </c>
      <c r="B1180" s="40" t="n"/>
      <c r="C1180" s="41" t="n"/>
      <c r="D1180" s="41" t="n"/>
      <c r="E1180" s="41" t="n"/>
      <c r="F1180" s="41" t="n"/>
      <c r="G1180" s="41" t="n"/>
      <c r="H1180" s="41" t="n"/>
      <c r="I1180" s="50" t="n"/>
      <c r="J1180" s="42" t="n"/>
      <c r="K1180" s="42" t="n"/>
      <c r="L1180" s="43">
        <f>IF($B1180="","",ROUND((N($J1180)+N($K1180))*نسبة_القيمة_المضافة,2))</f>
        <v/>
      </c>
      <c r="M1180" s="42" t="n"/>
      <c r="N1180" s="42" t="n"/>
      <c r="O1180" s="43">
        <f>IF($B1180="","",N($J1180)+N($K1180)+N($L1180)-N($M1180)+N($N1180))</f>
        <v/>
      </c>
      <c r="P1180" s="42" t="n"/>
      <c r="Q1180" s="43">
        <f>IF($B1180="","",N($O1180)-N($P1180))</f>
        <v/>
      </c>
      <c r="R1180" s="42" t="n"/>
      <c r="S1180" s="42" t="n"/>
      <c r="T1180" s="42" t="n"/>
      <c r="U1180" s="43">
        <f>IF($B1180="","",N($J1180)-N($R1180)-N($T1180))</f>
        <v/>
      </c>
      <c r="V1180" s="42" t="n"/>
    </row>
    <row r="1181">
      <c r="A1181" s="39">
        <f>IF($B1181="","",COUNTA($B$4:$B1181))</f>
        <v/>
      </c>
      <c r="B1181" s="45" t="n"/>
      <c r="C1181" s="46" t="n"/>
      <c r="D1181" s="46" t="n"/>
      <c r="E1181" s="46" t="n"/>
      <c r="F1181" s="46" t="n"/>
      <c r="G1181" s="46" t="n"/>
      <c r="H1181" s="46" t="n"/>
      <c r="I1181" s="51" t="n"/>
      <c r="J1181" s="47" t="n"/>
      <c r="K1181" s="47" t="n"/>
      <c r="L1181" s="43">
        <f>IF($B1181="","",ROUND((N($J1181)+N($K1181))*نسبة_القيمة_المضافة,2))</f>
        <v/>
      </c>
      <c r="M1181" s="47" t="n"/>
      <c r="N1181" s="47" t="n"/>
      <c r="O1181" s="43">
        <f>IF($B1181="","",N($J1181)+N($K1181)+N($L1181)-N($M1181)+N($N1181))</f>
        <v/>
      </c>
      <c r="P1181" s="47" t="n"/>
      <c r="Q1181" s="43">
        <f>IF($B1181="","",N($O1181)-N($P1181))</f>
        <v/>
      </c>
      <c r="R1181" s="47" t="n"/>
      <c r="S1181" s="47" t="n"/>
      <c r="T1181" s="47" t="n"/>
      <c r="U1181" s="43">
        <f>IF($B1181="","",N($J1181)-N($R1181)-N($T1181))</f>
        <v/>
      </c>
      <c r="V1181" s="47" t="n"/>
    </row>
    <row r="1182">
      <c r="A1182" s="39">
        <f>IF($B1182="","",COUNTA($B$4:$B1182))</f>
        <v/>
      </c>
      <c r="B1182" s="40" t="n"/>
      <c r="C1182" s="41" t="n"/>
      <c r="D1182" s="41" t="n"/>
      <c r="E1182" s="41" t="n"/>
      <c r="F1182" s="41" t="n"/>
      <c r="G1182" s="41" t="n"/>
      <c r="H1182" s="41" t="n"/>
      <c r="I1182" s="50" t="n"/>
      <c r="J1182" s="42" t="n"/>
      <c r="K1182" s="42" t="n"/>
      <c r="L1182" s="43">
        <f>IF($B1182="","",ROUND((N($J1182)+N($K1182))*نسبة_القيمة_المضافة,2))</f>
        <v/>
      </c>
      <c r="M1182" s="42" t="n"/>
      <c r="N1182" s="42" t="n"/>
      <c r="O1182" s="43">
        <f>IF($B1182="","",N($J1182)+N($K1182)+N($L1182)-N($M1182)+N($N1182))</f>
        <v/>
      </c>
      <c r="P1182" s="42" t="n"/>
      <c r="Q1182" s="43">
        <f>IF($B1182="","",N($O1182)-N($P1182))</f>
        <v/>
      </c>
      <c r="R1182" s="42" t="n"/>
      <c r="S1182" s="42" t="n"/>
      <c r="T1182" s="42" t="n"/>
      <c r="U1182" s="43">
        <f>IF($B1182="","",N($J1182)-N($R1182)-N($T1182))</f>
        <v/>
      </c>
      <c r="V1182" s="42" t="n"/>
    </row>
    <row r="1183">
      <c r="A1183" s="39">
        <f>IF($B1183="","",COUNTA($B$4:$B1183))</f>
        <v/>
      </c>
      <c r="B1183" s="45" t="n"/>
      <c r="C1183" s="46" t="n"/>
      <c r="D1183" s="46" t="n"/>
      <c r="E1183" s="46" t="n"/>
      <c r="F1183" s="46" t="n"/>
      <c r="G1183" s="46" t="n"/>
      <c r="H1183" s="46" t="n"/>
      <c r="I1183" s="51" t="n"/>
      <c r="J1183" s="47" t="n"/>
      <c r="K1183" s="47" t="n"/>
      <c r="L1183" s="43">
        <f>IF($B1183="","",ROUND((N($J1183)+N($K1183))*نسبة_القيمة_المضافة,2))</f>
        <v/>
      </c>
      <c r="M1183" s="47" t="n"/>
      <c r="N1183" s="47" t="n"/>
      <c r="O1183" s="43">
        <f>IF($B1183="","",N($J1183)+N($K1183)+N($L1183)-N($M1183)+N($N1183))</f>
        <v/>
      </c>
      <c r="P1183" s="47" t="n"/>
      <c r="Q1183" s="43">
        <f>IF($B1183="","",N($O1183)-N($P1183))</f>
        <v/>
      </c>
      <c r="R1183" s="47" t="n"/>
      <c r="S1183" s="47" t="n"/>
      <c r="T1183" s="47" t="n"/>
      <c r="U1183" s="43">
        <f>IF($B1183="","",N($J1183)-N($R1183)-N($T1183))</f>
        <v/>
      </c>
      <c r="V1183" s="47" t="n"/>
    </row>
    <row r="1184">
      <c r="A1184" s="39">
        <f>IF($B1184="","",COUNTA($B$4:$B1184))</f>
        <v/>
      </c>
      <c r="B1184" s="40" t="n"/>
      <c r="C1184" s="41" t="n"/>
      <c r="D1184" s="41" t="n"/>
      <c r="E1184" s="41" t="n"/>
      <c r="F1184" s="41" t="n"/>
      <c r="G1184" s="41" t="n"/>
      <c r="H1184" s="41" t="n"/>
      <c r="I1184" s="50" t="n"/>
      <c r="J1184" s="42" t="n"/>
      <c r="K1184" s="42" t="n"/>
      <c r="L1184" s="43">
        <f>IF($B1184="","",ROUND((N($J1184)+N($K1184))*نسبة_القيمة_المضافة,2))</f>
        <v/>
      </c>
      <c r="M1184" s="42" t="n"/>
      <c r="N1184" s="42" t="n"/>
      <c r="O1184" s="43">
        <f>IF($B1184="","",N($J1184)+N($K1184)+N($L1184)-N($M1184)+N($N1184))</f>
        <v/>
      </c>
      <c r="P1184" s="42" t="n"/>
      <c r="Q1184" s="43">
        <f>IF($B1184="","",N($O1184)-N($P1184))</f>
        <v/>
      </c>
      <c r="R1184" s="42" t="n"/>
      <c r="S1184" s="42" t="n"/>
      <c r="T1184" s="42" t="n"/>
      <c r="U1184" s="43">
        <f>IF($B1184="","",N($J1184)-N($R1184)-N($T1184))</f>
        <v/>
      </c>
      <c r="V1184" s="42" t="n"/>
    </row>
    <row r="1185">
      <c r="A1185" s="39">
        <f>IF($B1185="","",COUNTA($B$4:$B1185))</f>
        <v/>
      </c>
      <c r="B1185" s="45" t="n"/>
      <c r="C1185" s="46" t="n"/>
      <c r="D1185" s="46" t="n"/>
      <c r="E1185" s="46" t="n"/>
      <c r="F1185" s="46" t="n"/>
      <c r="G1185" s="46" t="n"/>
      <c r="H1185" s="46" t="n"/>
      <c r="I1185" s="51" t="n"/>
      <c r="J1185" s="47" t="n"/>
      <c r="K1185" s="47" t="n"/>
      <c r="L1185" s="43">
        <f>IF($B1185="","",ROUND((N($J1185)+N($K1185))*نسبة_القيمة_المضافة,2))</f>
        <v/>
      </c>
      <c r="M1185" s="47" t="n"/>
      <c r="N1185" s="47" t="n"/>
      <c r="O1185" s="43">
        <f>IF($B1185="","",N($J1185)+N($K1185)+N($L1185)-N($M1185)+N($N1185))</f>
        <v/>
      </c>
      <c r="P1185" s="47" t="n"/>
      <c r="Q1185" s="43">
        <f>IF($B1185="","",N($O1185)-N($P1185))</f>
        <v/>
      </c>
      <c r="R1185" s="47" t="n"/>
      <c r="S1185" s="47" t="n"/>
      <c r="T1185" s="47" t="n"/>
      <c r="U1185" s="43">
        <f>IF($B1185="","",N($J1185)-N($R1185)-N($T1185))</f>
        <v/>
      </c>
      <c r="V1185" s="47" t="n"/>
    </row>
    <row r="1186">
      <c r="A1186" s="39">
        <f>IF($B1186="","",COUNTA($B$4:$B1186))</f>
        <v/>
      </c>
      <c r="B1186" s="40" t="n"/>
      <c r="C1186" s="41" t="n"/>
      <c r="D1186" s="41" t="n"/>
      <c r="E1186" s="41" t="n"/>
      <c r="F1186" s="41" t="n"/>
      <c r="G1186" s="41" t="n"/>
      <c r="H1186" s="41" t="n"/>
      <c r="I1186" s="50" t="n"/>
      <c r="J1186" s="42" t="n"/>
      <c r="K1186" s="42" t="n"/>
      <c r="L1186" s="43">
        <f>IF($B1186="","",ROUND((N($J1186)+N($K1186))*نسبة_القيمة_المضافة,2))</f>
        <v/>
      </c>
      <c r="M1186" s="42" t="n"/>
      <c r="N1186" s="42" t="n"/>
      <c r="O1186" s="43">
        <f>IF($B1186="","",N($J1186)+N($K1186)+N($L1186)-N($M1186)+N($N1186))</f>
        <v/>
      </c>
      <c r="P1186" s="42" t="n"/>
      <c r="Q1186" s="43">
        <f>IF($B1186="","",N($O1186)-N($P1186))</f>
        <v/>
      </c>
      <c r="R1186" s="42" t="n"/>
      <c r="S1186" s="42" t="n"/>
      <c r="T1186" s="42" t="n"/>
      <c r="U1186" s="43">
        <f>IF($B1186="","",N($J1186)-N($R1186)-N($T1186))</f>
        <v/>
      </c>
      <c r="V1186" s="42" t="n"/>
    </row>
    <row r="1187">
      <c r="A1187" s="39">
        <f>IF($B1187="","",COUNTA($B$4:$B1187))</f>
        <v/>
      </c>
      <c r="B1187" s="45" t="n"/>
      <c r="C1187" s="46" t="n"/>
      <c r="D1187" s="46" t="n"/>
      <c r="E1187" s="46" t="n"/>
      <c r="F1187" s="46" t="n"/>
      <c r="G1187" s="46" t="n"/>
      <c r="H1187" s="46" t="n"/>
      <c r="I1187" s="51" t="n"/>
      <c r="J1187" s="47" t="n"/>
      <c r="K1187" s="47" t="n"/>
      <c r="L1187" s="43">
        <f>IF($B1187="","",ROUND((N($J1187)+N($K1187))*نسبة_القيمة_المضافة,2))</f>
        <v/>
      </c>
      <c r="M1187" s="47" t="n"/>
      <c r="N1187" s="47" t="n"/>
      <c r="O1187" s="43">
        <f>IF($B1187="","",N($J1187)+N($K1187)+N($L1187)-N($M1187)+N($N1187))</f>
        <v/>
      </c>
      <c r="P1187" s="47" t="n"/>
      <c r="Q1187" s="43">
        <f>IF($B1187="","",N($O1187)-N($P1187))</f>
        <v/>
      </c>
      <c r="R1187" s="47" t="n"/>
      <c r="S1187" s="47" t="n"/>
      <c r="T1187" s="47" t="n"/>
      <c r="U1187" s="43">
        <f>IF($B1187="","",N($J1187)-N($R1187)-N($T1187))</f>
        <v/>
      </c>
      <c r="V1187" s="47" t="n"/>
    </row>
    <row r="1188">
      <c r="A1188" s="39">
        <f>IF($B1188="","",COUNTA($B$4:$B1188))</f>
        <v/>
      </c>
      <c r="B1188" s="40" t="n"/>
      <c r="C1188" s="41" t="n"/>
      <c r="D1188" s="41" t="n"/>
      <c r="E1188" s="41" t="n"/>
      <c r="F1188" s="41" t="n"/>
      <c r="G1188" s="41" t="n"/>
      <c r="H1188" s="41" t="n"/>
      <c r="I1188" s="50" t="n"/>
      <c r="J1188" s="42" t="n"/>
      <c r="K1188" s="42" t="n"/>
      <c r="L1188" s="43">
        <f>IF($B1188="","",ROUND((N($J1188)+N($K1188))*نسبة_القيمة_المضافة,2))</f>
        <v/>
      </c>
      <c r="M1188" s="42" t="n"/>
      <c r="N1188" s="42" t="n"/>
      <c r="O1188" s="43">
        <f>IF($B1188="","",N($J1188)+N($K1188)+N($L1188)-N($M1188)+N($N1188))</f>
        <v/>
      </c>
      <c r="P1188" s="42" t="n"/>
      <c r="Q1188" s="43">
        <f>IF($B1188="","",N($O1188)-N($P1188))</f>
        <v/>
      </c>
      <c r="R1188" s="42" t="n"/>
      <c r="S1188" s="42" t="n"/>
      <c r="T1188" s="42" t="n"/>
      <c r="U1188" s="43">
        <f>IF($B1188="","",N($J1188)-N($R1188)-N($T1188))</f>
        <v/>
      </c>
      <c r="V1188" s="42" t="n"/>
    </row>
    <row r="1189">
      <c r="A1189" s="39">
        <f>IF($B1189="","",COUNTA($B$4:$B1189))</f>
        <v/>
      </c>
      <c r="B1189" s="45" t="n"/>
      <c r="C1189" s="46" t="n"/>
      <c r="D1189" s="46" t="n"/>
      <c r="E1189" s="46" t="n"/>
      <c r="F1189" s="46" t="n"/>
      <c r="G1189" s="46" t="n"/>
      <c r="H1189" s="46" t="n"/>
      <c r="I1189" s="51" t="n"/>
      <c r="J1189" s="47" t="n"/>
      <c r="K1189" s="47" t="n"/>
      <c r="L1189" s="43">
        <f>IF($B1189="","",ROUND((N($J1189)+N($K1189))*نسبة_القيمة_المضافة,2))</f>
        <v/>
      </c>
      <c r="M1189" s="47" t="n"/>
      <c r="N1189" s="47" t="n"/>
      <c r="O1189" s="43">
        <f>IF($B1189="","",N($J1189)+N($K1189)+N($L1189)-N($M1189)+N($N1189))</f>
        <v/>
      </c>
      <c r="P1189" s="47" t="n"/>
      <c r="Q1189" s="43">
        <f>IF($B1189="","",N($O1189)-N($P1189))</f>
        <v/>
      </c>
      <c r="R1189" s="47" t="n"/>
      <c r="S1189" s="47" t="n"/>
      <c r="T1189" s="47" t="n"/>
      <c r="U1189" s="43">
        <f>IF($B1189="","",N($J1189)-N($R1189)-N($T1189))</f>
        <v/>
      </c>
      <c r="V1189" s="47" t="n"/>
    </row>
    <row r="1190">
      <c r="A1190" s="39">
        <f>IF($B1190="","",COUNTA($B$4:$B1190))</f>
        <v/>
      </c>
      <c r="B1190" s="40" t="n"/>
      <c r="C1190" s="41" t="n"/>
      <c r="D1190" s="41" t="n"/>
      <c r="E1190" s="41" t="n"/>
      <c r="F1190" s="41" t="n"/>
      <c r="G1190" s="41" t="n"/>
      <c r="H1190" s="41" t="n"/>
      <c r="I1190" s="50" t="n"/>
      <c r="J1190" s="42" t="n"/>
      <c r="K1190" s="42" t="n"/>
      <c r="L1190" s="43">
        <f>IF($B1190="","",ROUND((N($J1190)+N($K1190))*نسبة_القيمة_المضافة,2))</f>
        <v/>
      </c>
      <c r="M1190" s="42" t="n"/>
      <c r="N1190" s="42" t="n"/>
      <c r="O1190" s="43">
        <f>IF($B1190="","",N($J1190)+N($K1190)+N($L1190)-N($M1190)+N($N1190))</f>
        <v/>
      </c>
      <c r="P1190" s="42" t="n"/>
      <c r="Q1190" s="43">
        <f>IF($B1190="","",N($O1190)-N($P1190))</f>
        <v/>
      </c>
      <c r="R1190" s="42" t="n"/>
      <c r="S1190" s="42" t="n"/>
      <c r="T1190" s="42" t="n"/>
      <c r="U1190" s="43">
        <f>IF($B1190="","",N($J1190)-N($R1190)-N($T1190))</f>
        <v/>
      </c>
      <c r="V1190" s="42" t="n"/>
    </row>
    <row r="1191">
      <c r="A1191" s="39">
        <f>IF($B1191="","",COUNTA($B$4:$B1191))</f>
        <v/>
      </c>
      <c r="B1191" s="45" t="n"/>
      <c r="C1191" s="46" t="n"/>
      <c r="D1191" s="46" t="n"/>
      <c r="E1191" s="46" t="n"/>
      <c r="F1191" s="46" t="n"/>
      <c r="G1191" s="46" t="n"/>
      <c r="H1191" s="46" t="n"/>
      <c r="I1191" s="51" t="n"/>
      <c r="J1191" s="47" t="n"/>
      <c r="K1191" s="47" t="n"/>
      <c r="L1191" s="43">
        <f>IF($B1191="","",ROUND((N($J1191)+N($K1191))*نسبة_القيمة_المضافة,2))</f>
        <v/>
      </c>
      <c r="M1191" s="47" t="n"/>
      <c r="N1191" s="47" t="n"/>
      <c r="O1191" s="43">
        <f>IF($B1191="","",N($J1191)+N($K1191)+N($L1191)-N($M1191)+N($N1191))</f>
        <v/>
      </c>
      <c r="P1191" s="47" t="n"/>
      <c r="Q1191" s="43">
        <f>IF($B1191="","",N($O1191)-N($P1191))</f>
        <v/>
      </c>
      <c r="R1191" s="47" t="n"/>
      <c r="S1191" s="47" t="n"/>
      <c r="T1191" s="47" t="n"/>
      <c r="U1191" s="43">
        <f>IF($B1191="","",N($J1191)-N($R1191)-N($T1191))</f>
        <v/>
      </c>
      <c r="V1191" s="47" t="n"/>
    </row>
    <row r="1192">
      <c r="A1192" s="39">
        <f>IF($B1192="","",COUNTA($B$4:$B1192))</f>
        <v/>
      </c>
      <c r="B1192" s="40" t="n"/>
      <c r="C1192" s="41" t="n"/>
      <c r="D1192" s="41" t="n"/>
      <c r="E1192" s="41" t="n"/>
      <c r="F1192" s="41" t="n"/>
      <c r="G1192" s="41" t="n"/>
      <c r="H1192" s="41" t="n"/>
      <c r="I1192" s="50" t="n"/>
      <c r="J1192" s="42" t="n"/>
      <c r="K1192" s="42" t="n"/>
      <c r="L1192" s="43">
        <f>IF($B1192="","",ROUND((N($J1192)+N($K1192))*نسبة_القيمة_المضافة,2))</f>
        <v/>
      </c>
      <c r="M1192" s="42" t="n"/>
      <c r="N1192" s="42" t="n"/>
      <c r="O1192" s="43">
        <f>IF($B1192="","",N($J1192)+N($K1192)+N($L1192)-N($M1192)+N($N1192))</f>
        <v/>
      </c>
      <c r="P1192" s="42" t="n"/>
      <c r="Q1192" s="43">
        <f>IF($B1192="","",N($O1192)-N($P1192))</f>
        <v/>
      </c>
      <c r="R1192" s="42" t="n"/>
      <c r="S1192" s="42" t="n"/>
      <c r="T1192" s="42" t="n"/>
      <c r="U1192" s="43">
        <f>IF($B1192="","",N($J1192)-N($R1192)-N($T1192))</f>
        <v/>
      </c>
      <c r="V1192" s="42" t="n"/>
    </row>
    <row r="1193">
      <c r="A1193" s="39">
        <f>IF($B1193="","",COUNTA($B$4:$B1193))</f>
        <v/>
      </c>
      <c r="B1193" s="45" t="n"/>
      <c r="C1193" s="46" t="n"/>
      <c r="D1193" s="46" t="n"/>
      <c r="E1193" s="46" t="n"/>
      <c r="F1193" s="46" t="n"/>
      <c r="G1193" s="46" t="n"/>
      <c r="H1193" s="46" t="n"/>
      <c r="I1193" s="51" t="n"/>
      <c r="J1193" s="47" t="n"/>
      <c r="K1193" s="47" t="n"/>
      <c r="L1193" s="43">
        <f>IF($B1193="","",ROUND((N($J1193)+N($K1193))*نسبة_القيمة_المضافة,2))</f>
        <v/>
      </c>
      <c r="M1193" s="47" t="n"/>
      <c r="N1193" s="47" t="n"/>
      <c r="O1193" s="43">
        <f>IF($B1193="","",N($J1193)+N($K1193)+N($L1193)-N($M1193)+N($N1193))</f>
        <v/>
      </c>
      <c r="P1193" s="47" t="n"/>
      <c r="Q1193" s="43">
        <f>IF($B1193="","",N($O1193)-N($P1193))</f>
        <v/>
      </c>
      <c r="R1193" s="47" t="n"/>
      <c r="S1193" s="47" t="n"/>
      <c r="T1193" s="47" t="n"/>
      <c r="U1193" s="43">
        <f>IF($B1193="","",N($J1193)-N($R1193)-N($T1193))</f>
        <v/>
      </c>
      <c r="V1193" s="47" t="n"/>
    </row>
    <row r="1194">
      <c r="A1194" s="39">
        <f>IF($B1194="","",COUNTA($B$4:$B1194))</f>
        <v/>
      </c>
      <c r="B1194" s="40" t="n"/>
      <c r="C1194" s="41" t="n"/>
      <c r="D1194" s="41" t="n"/>
      <c r="E1194" s="41" t="n"/>
      <c r="F1194" s="41" t="n"/>
      <c r="G1194" s="41" t="n"/>
      <c r="H1194" s="41" t="n"/>
      <c r="I1194" s="50" t="n"/>
      <c r="J1194" s="42" t="n"/>
      <c r="K1194" s="42" t="n"/>
      <c r="L1194" s="43">
        <f>IF($B1194="","",ROUND((N($J1194)+N($K1194))*نسبة_القيمة_المضافة,2))</f>
        <v/>
      </c>
      <c r="M1194" s="42" t="n"/>
      <c r="N1194" s="42" t="n"/>
      <c r="O1194" s="43">
        <f>IF($B1194="","",N($J1194)+N($K1194)+N($L1194)-N($M1194)+N($N1194))</f>
        <v/>
      </c>
      <c r="P1194" s="42" t="n"/>
      <c r="Q1194" s="43">
        <f>IF($B1194="","",N($O1194)-N($P1194))</f>
        <v/>
      </c>
      <c r="R1194" s="42" t="n"/>
      <c r="S1194" s="42" t="n"/>
      <c r="T1194" s="42" t="n"/>
      <c r="U1194" s="43">
        <f>IF($B1194="","",N($J1194)-N($R1194)-N($T1194))</f>
        <v/>
      </c>
      <c r="V1194" s="42" t="n"/>
    </row>
    <row r="1195">
      <c r="A1195" s="39">
        <f>IF($B1195="","",COUNTA($B$4:$B1195))</f>
        <v/>
      </c>
      <c r="B1195" s="45" t="n"/>
      <c r="C1195" s="46" t="n"/>
      <c r="D1195" s="46" t="n"/>
      <c r="E1195" s="46" t="n"/>
      <c r="F1195" s="46" t="n"/>
      <c r="G1195" s="46" t="n"/>
      <c r="H1195" s="46" t="n"/>
      <c r="I1195" s="51" t="n"/>
      <c r="J1195" s="47" t="n"/>
      <c r="K1195" s="47" t="n"/>
      <c r="L1195" s="43">
        <f>IF($B1195="","",ROUND((N($J1195)+N($K1195))*نسبة_القيمة_المضافة,2))</f>
        <v/>
      </c>
      <c r="M1195" s="47" t="n"/>
      <c r="N1195" s="47" t="n"/>
      <c r="O1195" s="43">
        <f>IF($B1195="","",N($J1195)+N($K1195)+N($L1195)-N($M1195)+N($N1195))</f>
        <v/>
      </c>
      <c r="P1195" s="47" t="n"/>
      <c r="Q1195" s="43">
        <f>IF($B1195="","",N($O1195)-N($P1195))</f>
        <v/>
      </c>
      <c r="R1195" s="47" t="n"/>
      <c r="S1195" s="47" t="n"/>
      <c r="T1195" s="47" t="n"/>
      <c r="U1195" s="43">
        <f>IF($B1195="","",N($J1195)-N($R1195)-N($T1195))</f>
        <v/>
      </c>
      <c r="V1195" s="47" t="n"/>
    </row>
    <row r="1196">
      <c r="A1196" s="39">
        <f>IF($B1196="","",COUNTA($B$4:$B1196))</f>
        <v/>
      </c>
      <c r="B1196" s="40" t="n"/>
      <c r="C1196" s="41" t="n"/>
      <c r="D1196" s="41" t="n"/>
      <c r="E1196" s="41" t="n"/>
      <c r="F1196" s="41" t="n"/>
      <c r="G1196" s="41" t="n"/>
      <c r="H1196" s="41" t="n"/>
      <c r="I1196" s="50" t="n"/>
      <c r="J1196" s="42" t="n"/>
      <c r="K1196" s="42" t="n"/>
      <c r="L1196" s="43">
        <f>IF($B1196="","",ROUND((N($J1196)+N($K1196))*نسبة_القيمة_المضافة,2))</f>
        <v/>
      </c>
      <c r="M1196" s="42" t="n"/>
      <c r="N1196" s="42" t="n"/>
      <c r="O1196" s="43">
        <f>IF($B1196="","",N($J1196)+N($K1196)+N($L1196)-N($M1196)+N($N1196))</f>
        <v/>
      </c>
      <c r="P1196" s="42" t="n"/>
      <c r="Q1196" s="43">
        <f>IF($B1196="","",N($O1196)-N($P1196))</f>
        <v/>
      </c>
      <c r="R1196" s="42" t="n"/>
      <c r="S1196" s="42" t="n"/>
      <c r="T1196" s="42" t="n"/>
      <c r="U1196" s="43">
        <f>IF($B1196="","",N($J1196)-N($R1196)-N($T1196))</f>
        <v/>
      </c>
      <c r="V1196" s="42" t="n"/>
    </row>
    <row r="1197">
      <c r="A1197" s="39">
        <f>IF($B1197="","",COUNTA($B$4:$B1197))</f>
        <v/>
      </c>
      <c r="B1197" s="45" t="n"/>
      <c r="C1197" s="46" t="n"/>
      <c r="D1197" s="46" t="n"/>
      <c r="E1197" s="46" t="n"/>
      <c r="F1197" s="46" t="n"/>
      <c r="G1197" s="46" t="n"/>
      <c r="H1197" s="46" t="n"/>
      <c r="I1197" s="51" t="n"/>
      <c r="J1197" s="47" t="n"/>
      <c r="K1197" s="47" t="n"/>
      <c r="L1197" s="43">
        <f>IF($B1197="","",ROUND((N($J1197)+N($K1197))*نسبة_القيمة_المضافة,2))</f>
        <v/>
      </c>
      <c r="M1197" s="47" t="n"/>
      <c r="N1197" s="47" t="n"/>
      <c r="O1197" s="43">
        <f>IF($B1197="","",N($J1197)+N($K1197)+N($L1197)-N($M1197)+N($N1197))</f>
        <v/>
      </c>
      <c r="P1197" s="47" t="n"/>
      <c r="Q1197" s="43">
        <f>IF($B1197="","",N($O1197)-N($P1197))</f>
        <v/>
      </c>
      <c r="R1197" s="47" t="n"/>
      <c r="S1197" s="47" t="n"/>
      <c r="T1197" s="47" t="n"/>
      <c r="U1197" s="43">
        <f>IF($B1197="","",N($J1197)-N($R1197)-N($T1197))</f>
        <v/>
      </c>
      <c r="V1197" s="47" t="n"/>
    </row>
    <row r="1198">
      <c r="A1198" s="39">
        <f>IF($B1198="","",COUNTA($B$4:$B1198))</f>
        <v/>
      </c>
      <c r="B1198" s="40" t="n"/>
      <c r="C1198" s="41" t="n"/>
      <c r="D1198" s="41" t="n"/>
      <c r="E1198" s="41" t="n"/>
      <c r="F1198" s="41" t="n"/>
      <c r="G1198" s="41" t="n"/>
      <c r="H1198" s="41" t="n"/>
      <c r="I1198" s="50" t="n"/>
      <c r="J1198" s="42" t="n"/>
      <c r="K1198" s="42" t="n"/>
      <c r="L1198" s="43">
        <f>IF($B1198="","",ROUND((N($J1198)+N($K1198))*نسبة_القيمة_المضافة,2))</f>
        <v/>
      </c>
      <c r="M1198" s="42" t="n"/>
      <c r="N1198" s="42" t="n"/>
      <c r="O1198" s="43">
        <f>IF($B1198="","",N($J1198)+N($K1198)+N($L1198)-N($M1198)+N($N1198))</f>
        <v/>
      </c>
      <c r="P1198" s="42" t="n"/>
      <c r="Q1198" s="43">
        <f>IF($B1198="","",N($O1198)-N($P1198))</f>
        <v/>
      </c>
      <c r="R1198" s="42" t="n"/>
      <c r="S1198" s="42" t="n"/>
      <c r="T1198" s="42" t="n"/>
      <c r="U1198" s="43">
        <f>IF($B1198="","",N($J1198)-N($R1198)-N($T1198))</f>
        <v/>
      </c>
      <c r="V1198" s="42" t="n"/>
    </row>
    <row r="1199">
      <c r="A1199" s="39">
        <f>IF($B1199="","",COUNTA($B$4:$B1199))</f>
        <v/>
      </c>
      <c r="B1199" s="45" t="n"/>
      <c r="C1199" s="46" t="n"/>
      <c r="D1199" s="46" t="n"/>
      <c r="E1199" s="46" t="n"/>
      <c r="F1199" s="46" t="n"/>
      <c r="G1199" s="46" t="n"/>
      <c r="H1199" s="46" t="n"/>
      <c r="I1199" s="51" t="n"/>
      <c r="J1199" s="47" t="n"/>
      <c r="K1199" s="47" t="n"/>
      <c r="L1199" s="43">
        <f>IF($B1199="","",ROUND((N($J1199)+N($K1199))*نسبة_القيمة_المضافة,2))</f>
        <v/>
      </c>
      <c r="M1199" s="47" t="n"/>
      <c r="N1199" s="47" t="n"/>
      <c r="O1199" s="43">
        <f>IF($B1199="","",N($J1199)+N($K1199)+N($L1199)-N($M1199)+N($N1199))</f>
        <v/>
      </c>
      <c r="P1199" s="47" t="n"/>
      <c r="Q1199" s="43">
        <f>IF($B1199="","",N($O1199)-N($P1199))</f>
        <v/>
      </c>
      <c r="R1199" s="47" t="n"/>
      <c r="S1199" s="47" t="n"/>
      <c r="T1199" s="47" t="n"/>
      <c r="U1199" s="43">
        <f>IF($B1199="","",N($J1199)-N($R1199)-N($T1199))</f>
        <v/>
      </c>
      <c r="V1199" s="47" t="n"/>
    </row>
    <row r="1200">
      <c r="A1200" s="39">
        <f>IF($B1200="","",COUNTA($B$4:$B1200))</f>
        <v/>
      </c>
      <c r="B1200" s="40" t="n"/>
      <c r="C1200" s="41" t="n"/>
      <c r="D1200" s="41" t="n"/>
      <c r="E1200" s="41" t="n"/>
      <c r="F1200" s="41" t="n"/>
      <c r="G1200" s="41" t="n"/>
      <c r="H1200" s="41" t="n"/>
      <c r="I1200" s="50" t="n"/>
      <c r="J1200" s="42" t="n"/>
      <c r="K1200" s="42" t="n"/>
      <c r="L1200" s="43">
        <f>IF($B1200="","",ROUND((N($J1200)+N($K1200))*نسبة_القيمة_المضافة,2))</f>
        <v/>
      </c>
      <c r="M1200" s="42" t="n"/>
      <c r="N1200" s="42" t="n"/>
      <c r="O1200" s="43">
        <f>IF($B1200="","",N($J1200)+N($K1200)+N($L1200)-N($M1200)+N($N1200))</f>
        <v/>
      </c>
      <c r="P1200" s="42" t="n"/>
      <c r="Q1200" s="43">
        <f>IF($B1200="","",N($O1200)-N($P1200))</f>
        <v/>
      </c>
      <c r="R1200" s="42" t="n"/>
      <c r="S1200" s="42" t="n"/>
      <c r="T1200" s="42" t="n"/>
      <c r="U1200" s="43">
        <f>IF($B1200="","",N($J1200)-N($R1200)-N($T1200))</f>
        <v/>
      </c>
      <c r="V1200" s="42" t="n"/>
    </row>
    <row r="1201">
      <c r="A1201" s="39">
        <f>IF($B1201="","",COUNTA($B$4:$B1201))</f>
        <v/>
      </c>
      <c r="B1201" s="45" t="n"/>
      <c r="C1201" s="46" t="n"/>
      <c r="D1201" s="46" t="n"/>
      <c r="E1201" s="46" t="n"/>
      <c r="F1201" s="46" t="n"/>
      <c r="G1201" s="46" t="n"/>
      <c r="H1201" s="46" t="n"/>
      <c r="I1201" s="51" t="n"/>
      <c r="J1201" s="47" t="n"/>
      <c r="K1201" s="47" t="n"/>
      <c r="L1201" s="43">
        <f>IF($B1201="","",ROUND((N($J1201)+N($K1201))*نسبة_القيمة_المضافة,2))</f>
        <v/>
      </c>
      <c r="M1201" s="47" t="n"/>
      <c r="N1201" s="47" t="n"/>
      <c r="O1201" s="43">
        <f>IF($B1201="","",N($J1201)+N($K1201)+N($L1201)-N($M1201)+N($N1201))</f>
        <v/>
      </c>
      <c r="P1201" s="47" t="n"/>
      <c r="Q1201" s="43">
        <f>IF($B1201="","",N($O1201)-N($P1201))</f>
        <v/>
      </c>
      <c r="R1201" s="47" t="n"/>
      <c r="S1201" s="47" t="n"/>
      <c r="T1201" s="47" t="n"/>
      <c r="U1201" s="43">
        <f>IF($B1201="","",N($J1201)-N($R1201)-N($T1201))</f>
        <v/>
      </c>
      <c r="V1201" s="47" t="n"/>
    </row>
    <row r="1202">
      <c r="A1202" s="39">
        <f>IF($B1202="","",COUNTA($B$4:$B1202))</f>
        <v/>
      </c>
      <c r="B1202" s="40" t="n"/>
      <c r="C1202" s="41" t="n"/>
      <c r="D1202" s="41" t="n"/>
      <c r="E1202" s="41" t="n"/>
      <c r="F1202" s="41" t="n"/>
      <c r="G1202" s="41" t="n"/>
      <c r="H1202" s="41" t="n"/>
      <c r="I1202" s="50" t="n"/>
      <c r="J1202" s="42" t="n"/>
      <c r="K1202" s="42" t="n"/>
      <c r="L1202" s="43">
        <f>IF($B1202="","",ROUND((N($J1202)+N($K1202))*نسبة_القيمة_المضافة,2))</f>
        <v/>
      </c>
      <c r="M1202" s="42" t="n"/>
      <c r="N1202" s="42" t="n"/>
      <c r="O1202" s="43">
        <f>IF($B1202="","",N($J1202)+N($K1202)+N($L1202)-N($M1202)+N($N1202))</f>
        <v/>
      </c>
      <c r="P1202" s="42" t="n"/>
      <c r="Q1202" s="43">
        <f>IF($B1202="","",N($O1202)-N($P1202))</f>
        <v/>
      </c>
      <c r="R1202" s="42" t="n"/>
      <c r="S1202" s="42" t="n"/>
      <c r="T1202" s="42" t="n"/>
      <c r="U1202" s="43">
        <f>IF($B1202="","",N($J1202)-N($R1202)-N($T1202))</f>
        <v/>
      </c>
      <c r="V1202" s="42" t="n"/>
    </row>
    <row r="1203">
      <c r="A1203" s="39">
        <f>IF($B1203="","",COUNTA($B$4:$B1203))</f>
        <v/>
      </c>
      <c r="B1203" s="45" t="n"/>
      <c r="C1203" s="46" t="n"/>
      <c r="D1203" s="46" t="n"/>
      <c r="E1203" s="46" t="n"/>
      <c r="F1203" s="46" t="n"/>
      <c r="G1203" s="46" t="n"/>
      <c r="H1203" s="46" t="n"/>
      <c r="I1203" s="51" t="n"/>
      <c r="J1203" s="47" t="n"/>
      <c r="K1203" s="47" t="n"/>
      <c r="L1203" s="43">
        <f>IF($B1203="","",ROUND((N($J1203)+N($K1203))*نسبة_القيمة_المضافة,2))</f>
        <v/>
      </c>
      <c r="M1203" s="47" t="n"/>
      <c r="N1203" s="47" t="n"/>
      <c r="O1203" s="43">
        <f>IF($B1203="","",N($J1203)+N($K1203)+N($L1203)-N($M1203)+N($N1203))</f>
        <v/>
      </c>
      <c r="P1203" s="47" t="n"/>
      <c r="Q1203" s="43">
        <f>IF($B1203="","",N($O1203)-N($P1203))</f>
        <v/>
      </c>
      <c r="R1203" s="47" t="n"/>
      <c r="S1203" s="47" t="n"/>
      <c r="T1203" s="47" t="n"/>
      <c r="U1203" s="43">
        <f>IF($B1203="","",N($J1203)-N($R1203)-N($T1203))</f>
        <v/>
      </c>
      <c r="V1203" s="47" t="n"/>
    </row>
    <row r="1204">
      <c r="A1204" s="39">
        <f>IF($B1204="","",COUNTA($B$4:$B1204))</f>
        <v/>
      </c>
      <c r="B1204" s="40" t="n"/>
      <c r="C1204" s="41" t="n"/>
      <c r="D1204" s="41" t="n"/>
      <c r="E1204" s="41" t="n"/>
      <c r="F1204" s="41" t="n"/>
      <c r="G1204" s="41" t="n"/>
      <c r="H1204" s="41" t="n"/>
      <c r="I1204" s="50" t="n"/>
      <c r="J1204" s="42" t="n"/>
      <c r="K1204" s="42" t="n"/>
      <c r="L1204" s="43">
        <f>IF($B1204="","",ROUND((N($J1204)+N($K1204))*نسبة_القيمة_المضافة,2))</f>
        <v/>
      </c>
      <c r="M1204" s="42" t="n"/>
      <c r="N1204" s="42" t="n"/>
      <c r="O1204" s="43">
        <f>IF($B1204="","",N($J1204)+N($K1204)+N($L1204)-N($M1204)+N($N1204))</f>
        <v/>
      </c>
      <c r="P1204" s="42" t="n"/>
      <c r="Q1204" s="43">
        <f>IF($B1204="","",N($O1204)-N($P1204))</f>
        <v/>
      </c>
      <c r="R1204" s="42" t="n"/>
      <c r="S1204" s="42" t="n"/>
      <c r="T1204" s="42" t="n"/>
      <c r="U1204" s="43">
        <f>IF($B1204="","",N($J1204)-N($R1204)-N($T1204))</f>
        <v/>
      </c>
      <c r="V1204" s="42" t="n"/>
    </row>
    <row r="1205">
      <c r="A1205" s="39">
        <f>IF($B1205="","",COUNTA($B$4:$B1205))</f>
        <v/>
      </c>
      <c r="B1205" s="45" t="n"/>
      <c r="C1205" s="46" t="n"/>
      <c r="D1205" s="46" t="n"/>
      <c r="E1205" s="46" t="n"/>
      <c r="F1205" s="46" t="n"/>
      <c r="G1205" s="46" t="n"/>
      <c r="H1205" s="46" t="n"/>
      <c r="I1205" s="51" t="n"/>
      <c r="J1205" s="47" t="n"/>
      <c r="K1205" s="47" t="n"/>
      <c r="L1205" s="43">
        <f>IF($B1205="","",ROUND((N($J1205)+N($K1205))*نسبة_القيمة_المضافة,2))</f>
        <v/>
      </c>
      <c r="M1205" s="47" t="n"/>
      <c r="N1205" s="47" t="n"/>
      <c r="O1205" s="43">
        <f>IF($B1205="","",N($J1205)+N($K1205)+N($L1205)-N($M1205)+N($N1205))</f>
        <v/>
      </c>
      <c r="P1205" s="47" t="n"/>
      <c r="Q1205" s="43">
        <f>IF($B1205="","",N($O1205)-N($P1205))</f>
        <v/>
      </c>
      <c r="R1205" s="47" t="n"/>
      <c r="S1205" s="47" t="n"/>
      <c r="T1205" s="47" t="n"/>
      <c r="U1205" s="43">
        <f>IF($B1205="","",N($J1205)-N($R1205)-N($T1205))</f>
        <v/>
      </c>
      <c r="V1205" s="47" t="n"/>
    </row>
    <row r="1206">
      <c r="A1206" s="39">
        <f>IF($B1206="","",COUNTA($B$4:$B1206))</f>
        <v/>
      </c>
      <c r="B1206" s="40" t="n"/>
      <c r="C1206" s="41" t="n"/>
      <c r="D1206" s="41" t="n"/>
      <c r="E1206" s="41" t="n"/>
      <c r="F1206" s="41" t="n"/>
      <c r="G1206" s="41" t="n"/>
      <c r="H1206" s="41" t="n"/>
      <c r="I1206" s="50" t="n"/>
      <c r="J1206" s="42" t="n"/>
      <c r="K1206" s="42" t="n"/>
      <c r="L1206" s="43">
        <f>IF($B1206="","",ROUND((N($J1206)+N($K1206))*نسبة_القيمة_المضافة,2))</f>
        <v/>
      </c>
      <c r="M1206" s="42" t="n"/>
      <c r="N1206" s="42" t="n"/>
      <c r="O1206" s="43">
        <f>IF($B1206="","",N($J1206)+N($K1206)+N($L1206)-N($M1206)+N($N1206))</f>
        <v/>
      </c>
      <c r="P1206" s="42" t="n"/>
      <c r="Q1206" s="43">
        <f>IF($B1206="","",N($O1206)-N($P1206))</f>
        <v/>
      </c>
      <c r="R1206" s="42" t="n"/>
      <c r="S1206" s="42" t="n"/>
      <c r="T1206" s="42" t="n"/>
      <c r="U1206" s="43">
        <f>IF($B1206="","",N($J1206)-N($R1206)-N($T1206))</f>
        <v/>
      </c>
      <c r="V1206" s="42" t="n"/>
    </row>
    <row r="1207">
      <c r="A1207" s="39">
        <f>IF($B1207="","",COUNTA($B$4:$B1207))</f>
        <v/>
      </c>
      <c r="B1207" s="45" t="n"/>
      <c r="C1207" s="46" t="n"/>
      <c r="D1207" s="46" t="n"/>
      <c r="E1207" s="46" t="n"/>
      <c r="F1207" s="46" t="n"/>
      <c r="G1207" s="46" t="n"/>
      <c r="H1207" s="46" t="n"/>
      <c r="I1207" s="51" t="n"/>
      <c r="J1207" s="47" t="n"/>
      <c r="K1207" s="47" t="n"/>
      <c r="L1207" s="43">
        <f>IF($B1207="","",ROUND((N($J1207)+N($K1207))*نسبة_القيمة_المضافة,2))</f>
        <v/>
      </c>
      <c r="M1207" s="47" t="n"/>
      <c r="N1207" s="47" t="n"/>
      <c r="O1207" s="43">
        <f>IF($B1207="","",N($J1207)+N($K1207)+N($L1207)-N($M1207)+N($N1207))</f>
        <v/>
      </c>
      <c r="P1207" s="47" t="n"/>
      <c r="Q1207" s="43">
        <f>IF($B1207="","",N($O1207)-N($P1207))</f>
        <v/>
      </c>
      <c r="R1207" s="47" t="n"/>
      <c r="S1207" s="47" t="n"/>
      <c r="T1207" s="47" t="n"/>
      <c r="U1207" s="43">
        <f>IF($B1207="","",N($J1207)-N($R1207)-N($T1207))</f>
        <v/>
      </c>
      <c r="V1207" s="47" t="n"/>
    </row>
    <row r="1208">
      <c r="A1208" s="39">
        <f>IF($B1208="","",COUNTA($B$4:$B1208))</f>
        <v/>
      </c>
      <c r="B1208" s="40" t="n"/>
      <c r="C1208" s="41" t="n"/>
      <c r="D1208" s="41" t="n"/>
      <c r="E1208" s="41" t="n"/>
      <c r="F1208" s="41" t="n"/>
      <c r="G1208" s="41" t="n"/>
      <c r="H1208" s="41" t="n"/>
      <c r="I1208" s="50" t="n"/>
      <c r="J1208" s="42" t="n"/>
      <c r="K1208" s="42" t="n"/>
      <c r="L1208" s="43">
        <f>IF($B1208="","",ROUND((N($J1208)+N($K1208))*نسبة_القيمة_المضافة,2))</f>
        <v/>
      </c>
      <c r="M1208" s="42" t="n"/>
      <c r="N1208" s="42" t="n"/>
      <c r="O1208" s="43">
        <f>IF($B1208="","",N($J1208)+N($K1208)+N($L1208)-N($M1208)+N($N1208))</f>
        <v/>
      </c>
      <c r="P1208" s="42" t="n"/>
      <c r="Q1208" s="43">
        <f>IF($B1208="","",N($O1208)-N($P1208))</f>
        <v/>
      </c>
      <c r="R1208" s="42" t="n"/>
      <c r="S1208" s="42" t="n"/>
      <c r="T1208" s="42" t="n"/>
      <c r="U1208" s="43">
        <f>IF($B1208="","",N($J1208)-N($R1208)-N($T1208))</f>
        <v/>
      </c>
      <c r="V1208" s="42" t="n"/>
    </row>
    <row r="1209">
      <c r="A1209" s="39">
        <f>IF($B1209="","",COUNTA($B$4:$B1209))</f>
        <v/>
      </c>
      <c r="B1209" s="45" t="n"/>
      <c r="C1209" s="46" t="n"/>
      <c r="D1209" s="46" t="n"/>
      <c r="E1209" s="46" t="n"/>
      <c r="F1209" s="46" t="n"/>
      <c r="G1209" s="46" t="n"/>
      <c r="H1209" s="46" t="n"/>
      <c r="I1209" s="51" t="n"/>
      <c r="J1209" s="47" t="n"/>
      <c r="K1209" s="47" t="n"/>
      <c r="L1209" s="43">
        <f>IF($B1209="","",ROUND((N($J1209)+N($K1209))*نسبة_القيمة_المضافة,2))</f>
        <v/>
      </c>
      <c r="M1209" s="47" t="n"/>
      <c r="N1209" s="47" t="n"/>
      <c r="O1209" s="43">
        <f>IF($B1209="","",N($J1209)+N($K1209)+N($L1209)-N($M1209)+N($N1209))</f>
        <v/>
      </c>
      <c r="P1209" s="47" t="n"/>
      <c r="Q1209" s="43">
        <f>IF($B1209="","",N($O1209)-N($P1209))</f>
        <v/>
      </c>
      <c r="R1209" s="47" t="n"/>
      <c r="S1209" s="47" t="n"/>
      <c r="T1209" s="47" t="n"/>
      <c r="U1209" s="43">
        <f>IF($B1209="","",N($J1209)-N($R1209)-N($T1209))</f>
        <v/>
      </c>
      <c r="V1209" s="47" t="n"/>
    </row>
    <row r="1210">
      <c r="A1210" s="39">
        <f>IF($B1210="","",COUNTA($B$4:$B1210))</f>
        <v/>
      </c>
      <c r="B1210" s="40" t="n"/>
      <c r="C1210" s="41" t="n"/>
      <c r="D1210" s="41" t="n"/>
      <c r="E1210" s="41" t="n"/>
      <c r="F1210" s="41" t="n"/>
      <c r="G1210" s="41" t="n"/>
      <c r="H1210" s="41" t="n"/>
      <c r="I1210" s="50" t="n"/>
      <c r="J1210" s="42" t="n"/>
      <c r="K1210" s="42" t="n"/>
      <c r="L1210" s="43">
        <f>IF($B1210="","",ROUND((N($J1210)+N($K1210))*نسبة_القيمة_المضافة,2))</f>
        <v/>
      </c>
      <c r="M1210" s="42" t="n"/>
      <c r="N1210" s="42" t="n"/>
      <c r="O1210" s="43">
        <f>IF($B1210="","",N($J1210)+N($K1210)+N($L1210)-N($M1210)+N($N1210))</f>
        <v/>
      </c>
      <c r="P1210" s="42" t="n"/>
      <c r="Q1210" s="43">
        <f>IF($B1210="","",N($O1210)-N($P1210))</f>
        <v/>
      </c>
      <c r="R1210" s="42" t="n"/>
      <c r="S1210" s="42" t="n"/>
      <c r="T1210" s="42" t="n"/>
      <c r="U1210" s="43">
        <f>IF($B1210="","",N($J1210)-N($R1210)-N($T1210))</f>
        <v/>
      </c>
      <c r="V1210" s="42" t="n"/>
    </row>
    <row r="1211">
      <c r="A1211" s="39">
        <f>IF($B1211="","",COUNTA($B$4:$B1211))</f>
        <v/>
      </c>
      <c r="B1211" s="45" t="n"/>
      <c r="C1211" s="46" t="n"/>
      <c r="D1211" s="46" t="n"/>
      <c r="E1211" s="46" t="n"/>
      <c r="F1211" s="46" t="n"/>
      <c r="G1211" s="46" t="n"/>
      <c r="H1211" s="46" t="n"/>
      <c r="I1211" s="51" t="n"/>
      <c r="J1211" s="47" t="n"/>
      <c r="K1211" s="47" t="n"/>
      <c r="L1211" s="43">
        <f>IF($B1211="","",ROUND((N($J1211)+N($K1211))*نسبة_القيمة_المضافة,2))</f>
        <v/>
      </c>
      <c r="M1211" s="47" t="n"/>
      <c r="N1211" s="47" t="n"/>
      <c r="O1211" s="43">
        <f>IF($B1211="","",N($J1211)+N($K1211)+N($L1211)-N($M1211)+N($N1211))</f>
        <v/>
      </c>
      <c r="P1211" s="47" t="n"/>
      <c r="Q1211" s="43">
        <f>IF($B1211="","",N($O1211)-N($P1211))</f>
        <v/>
      </c>
      <c r="R1211" s="47" t="n"/>
      <c r="S1211" s="47" t="n"/>
      <c r="T1211" s="47" t="n"/>
      <c r="U1211" s="43">
        <f>IF($B1211="","",N($J1211)-N($R1211)-N($T1211))</f>
        <v/>
      </c>
      <c r="V1211" s="47" t="n"/>
    </row>
    <row r="1212">
      <c r="A1212" s="39">
        <f>IF($B1212="","",COUNTA($B$4:$B1212))</f>
        <v/>
      </c>
      <c r="B1212" s="40" t="n"/>
      <c r="C1212" s="41" t="n"/>
      <c r="D1212" s="41" t="n"/>
      <c r="E1212" s="41" t="n"/>
      <c r="F1212" s="41" t="n"/>
      <c r="G1212" s="41" t="n"/>
      <c r="H1212" s="41" t="n"/>
      <c r="I1212" s="50" t="n"/>
      <c r="J1212" s="42" t="n"/>
      <c r="K1212" s="42" t="n"/>
      <c r="L1212" s="43">
        <f>IF($B1212="","",ROUND((N($J1212)+N($K1212))*نسبة_القيمة_المضافة,2))</f>
        <v/>
      </c>
      <c r="M1212" s="42" t="n"/>
      <c r="N1212" s="42" t="n"/>
      <c r="O1212" s="43">
        <f>IF($B1212="","",N($J1212)+N($K1212)+N($L1212)-N($M1212)+N($N1212))</f>
        <v/>
      </c>
      <c r="P1212" s="42" t="n"/>
      <c r="Q1212" s="43">
        <f>IF($B1212="","",N($O1212)-N($P1212))</f>
        <v/>
      </c>
      <c r="R1212" s="42" t="n"/>
      <c r="S1212" s="42" t="n"/>
      <c r="T1212" s="42" t="n"/>
      <c r="U1212" s="43">
        <f>IF($B1212="","",N($J1212)-N($R1212)-N($T1212))</f>
        <v/>
      </c>
      <c r="V1212" s="42" t="n"/>
    </row>
    <row r="1213">
      <c r="A1213" s="39">
        <f>IF($B1213="","",COUNTA($B$4:$B1213))</f>
        <v/>
      </c>
      <c r="B1213" s="45" t="n"/>
      <c r="C1213" s="46" t="n"/>
      <c r="D1213" s="46" t="n"/>
      <c r="E1213" s="46" t="n"/>
      <c r="F1213" s="46" t="n"/>
      <c r="G1213" s="46" t="n"/>
      <c r="H1213" s="46" t="n"/>
      <c r="I1213" s="51" t="n"/>
      <c r="J1213" s="47" t="n"/>
      <c r="K1213" s="47" t="n"/>
      <c r="L1213" s="43">
        <f>IF($B1213="","",ROUND((N($J1213)+N($K1213))*نسبة_القيمة_المضافة,2))</f>
        <v/>
      </c>
      <c r="M1213" s="47" t="n"/>
      <c r="N1213" s="47" t="n"/>
      <c r="O1213" s="43">
        <f>IF($B1213="","",N($J1213)+N($K1213)+N($L1213)-N($M1213)+N($N1213))</f>
        <v/>
      </c>
      <c r="P1213" s="47" t="n"/>
      <c r="Q1213" s="43">
        <f>IF($B1213="","",N($O1213)-N($P1213))</f>
        <v/>
      </c>
      <c r="R1213" s="47" t="n"/>
      <c r="S1213" s="47" t="n"/>
      <c r="T1213" s="47" t="n"/>
      <c r="U1213" s="43">
        <f>IF($B1213="","",N($J1213)-N($R1213)-N($T1213))</f>
        <v/>
      </c>
      <c r="V1213" s="47" t="n"/>
    </row>
    <row r="1214">
      <c r="A1214" s="39">
        <f>IF($B1214="","",COUNTA($B$4:$B1214))</f>
        <v/>
      </c>
      <c r="B1214" s="40" t="n"/>
      <c r="C1214" s="41" t="n"/>
      <c r="D1214" s="41" t="n"/>
      <c r="E1214" s="41" t="n"/>
      <c r="F1214" s="41" t="n"/>
      <c r="G1214" s="41" t="n"/>
      <c r="H1214" s="41" t="n"/>
      <c r="I1214" s="50" t="n"/>
      <c r="J1214" s="42" t="n"/>
      <c r="K1214" s="42" t="n"/>
      <c r="L1214" s="43">
        <f>IF($B1214="","",ROUND((N($J1214)+N($K1214))*نسبة_القيمة_المضافة,2))</f>
        <v/>
      </c>
      <c r="M1214" s="42" t="n"/>
      <c r="N1214" s="42" t="n"/>
      <c r="O1214" s="43">
        <f>IF($B1214="","",N($J1214)+N($K1214)+N($L1214)-N($M1214)+N($N1214))</f>
        <v/>
      </c>
      <c r="P1214" s="42" t="n"/>
      <c r="Q1214" s="43">
        <f>IF($B1214="","",N($O1214)-N($P1214))</f>
        <v/>
      </c>
      <c r="R1214" s="42" t="n"/>
      <c r="S1214" s="42" t="n"/>
      <c r="T1214" s="42" t="n"/>
      <c r="U1214" s="43">
        <f>IF($B1214="","",N($J1214)-N($R1214)-N($T1214))</f>
        <v/>
      </c>
      <c r="V1214" s="42" t="n"/>
    </row>
    <row r="1215">
      <c r="A1215" s="39">
        <f>IF($B1215="","",COUNTA($B$4:$B1215))</f>
        <v/>
      </c>
      <c r="B1215" s="45" t="n"/>
      <c r="C1215" s="46" t="n"/>
      <c r="D1215" s="46" t="n"/>
      <c r="E1215" s="46" t="n"/>
      <c r="F1215" s="46" t="n"/>
      <c r="G1215" s="46" t="n"/>
      <c r="H1215" s="46" t="n"/>
      <c r="I1215" s="51" t="n"/>
      <c r="J1215" s="47" t="n"/>
      <c r="K1215" s="47" t="n"/>
      <c r="L1215" s="43">
        <f>IF($B1215="","",ROUND((N($J1215)+N($K1215))*نسبة_القيمة_المضافة,2))</f>
        <v/>
      </c>
      <c r="M1215" s="47" t="n"/>
      <c r="N1215" s="47" t="n"/>
      <c r="O1215" s="43">
        <f>IF($B1215="","",N($J1215)+N($K1215)+N($L1215)-N($M1215)+N($N1215))</f>
        <v/>
      </c>
      <c r="P1215" s="47" t="n"/>
      <c r="Q1215" s="43">
        <f>IF($B1215="","",N($O1215)-N($P1215))</f>
        <v/>
      </c>
      <c r="R1215" s="47" t="n"/>
      <c r="S1215" s="47" t="n"/>
      <c r="T1215" s="47" t="n"/>
      <c r="U1215" s="43">
        <f>IF($B1215="","",N($J1215)-N($R1215)-N($T1215))</f>
        <v/>
      </c>
      <c r="V1215" s="47" t="n"/>
    </row>
    <row r="1216">
      <c r="A1216" s="39">
        <f>IF($B1216="","",COUNTA($B$4:$B1216))</f>
        <v/>
      </c>
      <c r="B1216" s="40" t="n"/>
      <c r="C1216" s="41" t="n"/>
      <c r="D1216" s="41" t="n"/>
      <c r="E1216" s="41" t="n"/>
      <c r="F1216" s="41" t="n"/>
      <c r="G1216" s="41" t="n"/>
      <c r="H1216" s="41" t="n"/>
      <c r="I1216" s="50" t="n"/>
      <c r="J1216" s="42" t="n"/>
      <c r="K1216" s="42" t="n"/>
      <c r="L1216" s="43">
        <f>IF($B1216="","",ROUND((N($J1216)+N($K1216))*نسبة_القيمة_المضافة,2))</f>
        <v/>
      </c>
      <c r="M1216" s="42" t="n"/>
      <c r="N1216" s="42" t="n"/>
      <c r="O1216" s="43">
        <f>IF($B1216="","",N($J1216)+N($K1216)+N($L1216)-N($M1216)+N($N1216))</f>
        <v/>
      </c>
      <c r="P1216" s="42" t="n"/>
      <c r="Q1216" s="43">
        <f>IF($B1216="","",N($O1216)-N($P1216))</f>
        <v/>
      </c>
      <c r="R1216" s="42" t="n"/>
      <c r="S1216" s="42" t="n"/>
      <c r="T1216" s="42" t="n"/>
      <c r="U1216" s="43">
        <f>IF($B1216="","",N($J1216)-N($R1216)-N($T1216))</f>
        <v/>
      </c>
      <c r="V1216" s="42" t="n"/>
    </row>
    <row r="1217">
      <c r="A1217" s="39">
        <f>IF($B1217="","",COUNTA($B$4:$B1217))</f>
        <v/>
      </c>
      <c r="B1217" s="45" t="n"/>
      <c r="C1217" s="46" t="n"/>
      <c r="D1217" s="46" t="n"/>
      <c r="E1217" s="46" t="n"/>
      <c r="F1217" s="46" t="n"/>
      <c r="G1217" s="46" t="n"/>
      <c r="H1217" s="46" t="n"/>
      <c r="I1217" s="51" t="n"/>
      <c r="J1217" s="47" t="n"/>
      <c r="K1217" s="47" t="n"/>
      <c r="L1217" s="43">
        <f>IF($B1217="","",ROUND((N($J1217)+N($K1217))*نسبة_القيمة_المضافة,2))</f>
        <v/>
      </c>
      <c r="M1217" s="47" t="n"/>
      <c r="N1217" s="47" t="n"/>
      <c r="O1217" s="43">
        <f>IF($B1217="","",N($J1217)+N($K1217)+N($L1217)-N($M1217)+N($N1217))</f>
        <v/>
      </c>
      <c r="P1217" s="47" t="n"/>
      <c r="Q1217" s="43">
        <f>IF($B1217="","",N($O1217)-N($P1217))</f>
        <v/>
      </c>
      <c r="R1217" s="47" t="n"/>
      <c r="S1217" s="47" t="n"/>
      <c r="T1217" s="47" t="n"/>
      <c r="U1217" s="43">
        <f>IF($B1217="","",N($J1217)-N($R1217)-N($T1217))</f>
        <v/>
      </c>
      <c r="V1217" s="47" t="n"/>
    </row>
    <row r="1218">
      <c r="A1218" s="39">
        <f>IF($B1218="","",COUNTA($B$4:$B1218))</f>
        <v/>
      </c>
      <c r="B1218" s="40" t="n"/>
      <c r="C1218" s="41" t="n"/>
      <c r="D1218" s="41" t="n"/>
      <c r="E1218" s="41" t="n"/>
      <c r="F1218" s="41" t="n"/>
      <c r="G1218" s="41" t="n"/>
      <c r="H1218" s="41" t="n"/>
      <c r="I1218" s="50" t="n"/>
      <c r="J1218" s="42" t="n"/>
      <c r="K1218" s="42" t="n"/>
      <c r="L1218" s="43">
        <f>IF($B1218="","",ROUND((N($J1218)+N($K1218))*نسبة_القيمة_المضافة,2))</f>
        <v/>
      </c>
      <c r="M1218" s="42" t="n"/>
      <c r="N1218" s="42" t="n"/>
      <c r="O1218" s="43">
        <f>IF($B1218="","",N($J1218)+N($K1218)+N($L1218)-N($M1218)+N($N1218))</f>
        <v/>
      </c>
      <c r="P1218" s="42" t="n"/>
      <c r="Q1218" s="43">
        <f>IF($B1218="","",N($O1218)-N($P1218))</f>
        <v/>
      </c>
      <c r="R1218" s="42" t="n"/>
      <c r="S1218" s="42" t="n"/>
      <c r="T1218" s="42" t="n"/>
      <c r="U1218" s="43">
        <f>IF($B1218="","",N($J1218)-N($R1218)-N($T1218))</f>
        <v/>
      </c>
      <c r="V1218" s="42" t="n"/>
    </row>
    <row r="1219">
      <c r="A1219" s="39">
        <f>IF($B1219="","",COUNTA($B$4:$B1219))</f>
        <v/>
      </c>
      <c r="B1219" s="45" t="n"/>
      <c r="C1219" s="46" t="n"/>
      <c r="D1219" s="46" t="n"/>
      <c r="E1219" s="46" t="n"/>
      <c r="F1219" s="46" t="n"/>
      <c r="G1219" s="46" t="n"/>
      <c r="H1219" s="46" t="n"/>
      <c r="I1219" s="51" t="n"/>
      <c r="J1219" s="47" t="n"/>
      <c r="K1219" s="47" t="n"/>
      <c r="L1219" s="43">
        <f>IF($B1219="","",ROUND((N($J1219)+N($K1219))*نسبة_القيمة_المضافة,2))</f>
        <v/>
      </c>
      <c r="M1219" s="47" t="n"/>
      <c r="N1219" s="47" t="n"/>
      <c r="O1219" s="43">
        <f>IF($B1219="","",N($J1219)+N($K1219)+N($L1219)-N($M1219)+N($N1219))</f>
        <v/>
      </c>
      <c r="P1219" s="47" t="n"/>
      <c r="Q1219" s="43">
        <f>IF($B1219="","",N($O1219)-N($P1219))</f>
        <v/>
      </c>
      <c r="R1219" s="47" t="n"/>
      <c r="S1219" s="47" t="n"/>
      <c r="T1219" s="47" t="n"/>
      <c r="U1219" s="43">
        <f>IF($B1219="","",N($J1219)-N($R1219)-N($T1219))</f>
        <v/>
      </c>
      <c r="V1219" s="47" t="n"/>
    </row>
    <row r="1220">
      <c r="A1220" s="39">
        <f>IF($B1220="","",COUNTA($B$4:$B1220))</f>
        <v/>
      </c>
      <c r="B1220" s="40" t="n"/>
      <c r="C1220" s="41" t="n"/>
      <c r="D1220" s="41" t="n"/>
      <c r="E1220" s="41" t="n"/>
      <c r="F1220" s="41" t="n"/>
      <c r="G1220" s="41" t="n"/>
      <c r="H1220" s="41" t="n"/>
      <c r="I1220" s="50" t="n"/>
      <c r="J1220" s="42" t="n"/>
      <c r="K1220" s="42" t="n"/>
      <c r="L1220" s="43">
        <f>IF($B1220="","",ROUND((N($J1220)+N($K1220))*نسبة_القيمة_المضافة,2))</f>
        <v/>
      </c>
      <c r="M1220" s="42" t="n"/>
      <c r="N1220" s="42" t="n"/>
      <c r="O1220" s="43">
        <f>IF($B1220="","",N($J1220)+N($K1220)+N($L1220)-N($M1220)+N($N1220))</f>
        <v/>
      </c>
      <c r="P1220" s="42" t="n"/>
      <c r="Q1220" s="43">
        <f>IF($B1220="","",N($O1220)-N($P1220))</f>
        <v/>
      </c>
      <c r="R1220" s="42" t="n"/>
      <c r="S1220" s="42" t="n"/>
      <c r="T1220" s="42" t="n"/>
      <c r="U1220" s="43">
        <f>IF($B1220="","",N($J1220)-N($R1220)-N($T1220))</f>
        <v/>
      </c>
      <c r="V1220" s="42" t="n"/>
    </row>
    <row r="1221">
      <c r="A1221" s="39">
        <f>IF($B1221="","",COUNTA($B$4:$B1221))</f>
        <v/>
      </c>
      <c r="B1221" s="45" t="n"/>
      <c r="C1221" s="46" t="n"/>
      <c r="D1221" s="46" t="n"/>
      <c r="E1221" s="46" t="n"/>
      <c r="F1221" s="46" t="n"/>
      <c r="G1221" s="46" t="n"/>
      <c r="H1221" s="46" t="n"/>
      <c r="I1221" s="51" t="n"/>
      <c r="J1221" s="47" t="n"/>
      <c r="K1221" s="47" t="n"/>
      <c r="L1221" s="43">
        <f>IF($B1221="","",ROUND((N($J1221)+N($K1221))*نسبة_القيمة_المضافة,2))</f>
        <v/>
      </c>
      <c r="M1221" s="47" t="n"/>
      <c r="N1221" s="47" t="n"/>
      <c r="O1221" s="43">
        <f>IF($B1221="","",N($J1221)+N($K1221)+N($L1221)-N($M1221)+N($N1221))</f>
        <v/>
      </c>
      <c r="P1221" s="47" t="n"/>
      <c r="Q1221" s="43">
        <f>IF($B1221="","",N($O1221)-N($P1221))</f>
        <v/>
      </c>
      <c r="R1221" s="47" t="n"/>
      <c r="S1221" s="47" t="n"/>
      <c r="T1221" s="47" t="n"/>
      <c r="U1221" s="43">
        <f>IF($B1221="","",N($J1221)-N($R1221)-N($T1221))</f>
        <v/>
      </c>
      <c r="V1221" s="47" t="n"/>
    </row>
    <row r="1222">
      <c r="A1222" s="39">
        <f>IF($B1222="","",COUNTA($B$4:$B1222))</f>
        <v/>
      </c>
      <c r="B1222" s="40" t="n"/>
      <c r="C1222" s="41" t="n"/>
      <c r="D1222" s="41" t="n"/>
      <c r="E1222" s="41" t="n"/>
      <c r="F1222" s="41" t="n"/>
      <c r="G1222" s="41" t="n"/>
      <c r="H1222" s="41" t="n"/>
      <c r="I1222" s="50" t="n"/>
      <c r="J1222" s="42" t="n"/>
      <c r="K1222" s="42" t="n"/>
      <c r="L1222" s="43">
        <f>IF($B1222="","",ROUND((N($J1222)+N($K1222))*نسبة_القيمة_المضافة,2))</f>
        <v/>
      </c>
      <c r="M1222" s="42" t="n"/>
      <c r="N1222" s="42" t="n"/>
      <c r="O1222" s="43">
        <f>IF($B1222="","",N($J1222)+N($K1222)+N($L1222)-N($M1222)+N($N1222))</f>
        <v/>
      </c>
      <c r="P1222" s="42" t="n"/>
      <c r="Q1222" s="43">
        <f>IF($B1222="","",N($O1222)-N($P1222))</f>
        <v/>
      </c>
      <c r="R1222" s="42" t="n"/>
      <c r="S1222" s="42" t="n"/>
      <c r="T1222" s="42" t="n"/>
      <c r="U1222" s="43">
        <f>IF($B1222="","",N($J1222)-N($R1222)-N($T1222))</f>
        <v/>
      </c>
      <c r="V1222" s="42" t="n"/>
    </row>
    <row r="1223">
      <c r="A1223" s="39">
        <f>IF($B1223="","",COUNTA($B$4:$B1223))</f>
        <v/>
      </c>
      <c r="B1223" s="45" t="n"/>
      <c r="C1223" s="46" t="n"/>
      <c r="D1223" s="46" t="n"/>
      <c r="E1223" s="46" t="n"/>
      <c r="F1223" s="46" t="n"/>
      <c r="G1223" s="46" t="n"/>
      <c r="H1223" s="46" t="n"/>
      <c r="I1223" s="51" t="n"/>
      <c r="J1223" s="47" t="n"/>
      <c r="K1223" s="47" t="n"/>
      <c r="L1223" s="43">
        <f>IF($B1223="","",ROUND((N($J1223)+N($K1223))*نسبة_القيمة_المضافة,2))</f>
        <v/>
      </c>
      <c r="M1223" s="47" t="n"/>
      <c r="N1223" s="47" t="n"/>
      <c r="O1223" s="43">
        <f>IF($B1223="","",N($J1223)+N($K1223)+N($L1223)-N($M1223)+N($N1223))</f>
        <v/>
      </c>
      <c r="P1223" s="47" t="n"/>
      <c r="Q1223" s="43">
        <f>IF($B1223="","",N($O1223)-N($P1223))</f>
        <v/>
      </c>
      <c r="R1223" s="47" t="n"/>
      <c r="S1223" s="47" t="n"/>
      <c r="T1223" s="47" t="n"/>
      <c r="U1223" s="43">
        <f>IF($B1223="","",N($J1223)-N($R1223)-N($T1223))</f>
        <v/>
      </c>
      <c r="V1223" s="47" t="n"/>
    </row>
    <row r="1224">
      <c r="A1224" s="39">
        <f>IF($B1224="","",COUNTA($B$4:$B1224))</f>
        <v/>
      </c>
      <c r="B1224" s="40" t="n"/>
      <c r="C1224" s="41" t="n"/>
      <c r="D1224" s="41" t="n"/>
      <c r="E1224" s="41" t="n"/>
      <c r="F1224" s="41" t="n"/>
      <c r="G1224" s="41" t="n"/>
      <c r="H1224" s="41" t="n"/>
      <c r="I1224" s="50" t="n"/>
      <c r="J1224" s="42" t="n"/>
      <c r="K1224" s="42" t="n"/>
      <c r="L1224" s="43">
        <f>IF($B1224="","",ROUND((N($J1224)+N($K1224))*نسبة_القيمة_المضافة,2))</f>
        <v/>
      </c>
      <c r="M1224" s="42" t="n"/>
      <c r="N1224" s="42" t="n"/>
      <c r="O1224" s="43">
        <f>IF($B1224="","",N($J1224)+N($K1224)+N($L1224)-N($M1224)+N($N1224))</f>
        <v/>
      </c>
      <c r="P1224" s="42" t="n"/>
      <c r="Q1224" s="43">
        <f>IF($B1224="","",N($O1224)-N($P1224))</f>
        <v/>
      </c>
      <c r="R1224" s="42" t="n"/>
      <c r="S1224" s="42" t="n"/>
      <c r="T1224" s="42" t="n"/>
      <c r="U1224" s="43">
        <f>IF($B1224="","",N($J1224)-N($R1224)-N($T1224))</f>
        <v/>
      </c>
      <c r="V1224" s="42" t="n"/>
    </row>
    <row r="1225">
      <c r="A1225" s="39">
        <f>IF($B1225="","",COUNTA($B$4:$B1225))</f>
        <v/>
      </c>
      <c r="B1225" s="45" t="n"/>
      <c r="C1225" s="46" t="n"/>
      <c r="D1225" s="46" t="n"/>
      <c r="E1225" s="46" t="n"/>
      <c r="F1225" s="46" t="n"/>
      <c r="G1225" s="46" t="n"/>
      <c r="H1225" s="46" t="n"/>
      <c r="I1225" s="51" t="n"/>
      <c r="J1225" s="47" t="n"/>
      <c r="K1225" s="47" t="n"/>
      <c r="L1225" s="43">
        <f>IF($B1225="","",ROUND((N($J1225)+N($K1225))*نسبة_القيمة_المضافة,2))</f>
        <v/>
      </c>
      <c r="M1225" s="47" t="n"/>
      <c r="N1225" s="47" t="n"/>
      <c r="O1225" s="43">
        <f>IF($B1225="","",N($J1225)+N($K1225)+N($L1225)-N($M1225)+N($N1225))</f>
        <v/>
      </c>
      <c r="P1225" s="47" t="n"/>
      <c r="Q1225" s="43">
        <f>IF($B1225="","",N($O1225)-N($P1225))</f>
        <v/>
      </c>
      <c r="R1225" s="47" t="n"/>
      <c r="S1225" s="47" t="n"/>
      <c r="T1225" s="47" t="n"/>
      <c r="U1225" s="43">
        <f>IF($B1225="","",N($J1225)-N($R1225)-N($T1225))</f>
        <v/>
      </c>
      <c r="V1225" s="47" t="n"/>
    </row>
    <row r="1226">
      <c r="A1226" s="39">
        <f>IF($B1226="","",COUNTA($B$4:$B1226))</f>
        <v/>
      </c>
      <c r="B1226" s="40" t="n"/>
      <c r="C1226" s="41" t="n"/>
      <c r="D1226" s="41" t="n"/>
      <c r="E1226" s="41" t="n"/>
      <c r="F1226" s="41" t="n"/>
      <c r="G1226" s="41" t="n"/>
      <c r="H1226" s="41" t="n"/>
      <c r="I1226" s="50" t="n"/>
      <c r="J1226" s="42" t="n"/>
      <c r="K1226" s="42" t="n"/>
      <c r="L1226" s="43">
        <f>IF($B1226="","",ROUND((N($J1226)+N($K1226))*نسبة_القيمة_المضافة,2))</f>
        <v/>
      </c>
      <c r="M1226" s="42" t="n"/>
      <c r="N1226" s="42" t="n"/>
      <c r="O1226" s="43">
        <f>IF($B1226="","",N($J1226)+N($K1226)+N($L1226)-N($M1226)+N($N1226))</f>
        <v/>
      </c>
      <c r="P1226" s="42" t="n"/>
      <c r="Q1226" s="43">
        <f>IF($B1226="","",N($O1226)-N($P1226))</f>
        <v/>
      </c>
      <c r="R1226" s="42" t="n"/>
      <c r="S1226" s="42" t="n"/>
      <c r="T1226" s="42" t="n"/>
      <c r="U1226" s="43">
        <f>IF($B1226="","",N($J1226)-N($R1226)-N($T1226))</f>
        <v/>
      </c>
      <c r="V1226" s="42" t="n"/>
    </row>
    <row r="1227">
      <c r="A1227" s="39">
        <f>IF($B1227="","",COUNTA($B$4:$B1227))</f>
        <v/>
      </c>
      <c r="B1227" s="45" t="n"/>
      <c r="C1227" s="46" t="n"/>
      <c r="D1227" s="46" t="n"/>
      <c r="E1227" s="46" t="n"/>
      <c r="F1227" s="46" t="n"/>
      <c r="G1227" s="46" t="n"/>
      <c r="H1227" s="46" t="n"/>
      <c r="I1227" s="51" t="n"/>
      <c r="J1227" s="47" t="n"/>
      <c r="K1227" s="47" t="n"/>
      <c r="L1227" s="43">
        <f>IF($B1227="","",ROUND((N($J1227)+N($K1227))*نسبة_القيمة_المضافة,2))</f>
        <v/>
      </c>
      <c r="M1227" s="47" t="n"/>
      <c r="N1227" s="47" t="n"/>
      <c r="O1227" s="43">
        <f>IF($B1227="","",N($J1227)+N($K1227)+N($L1227)-N($M1227)+N($N1227))</f>
        <v/>
      </c>
      <c r="P1227" s="47" t="n"/>
      <c r="Q1227" s="43">
        <f>IF($B1227="","",N($O1227)-N($P1227))</f>
        <v/>
      </c>
      <c r="R1227" s="47" t="n"/>
      <c r="S1227" s="47" t="n"/>
      <c r="T1227" s="47" t="n"/>
      <c r="U1227" s="43">
        <f>IF($B1227="","",N($J1227)-N($R1227)-N($T1227))</f>
        <v/>
      </c>
      <c r="V1227" s="47" t="n"/>
    </row>
    <row r="1228">
      <c r="A1228" s="39">
        <f>IF($B1228="","",COUNTA($B$4:$B1228))</f>
        <v/>
      </c>
      <c r="B1228" s="40" t="n"/>
      <c r="C1228" s="41" t="n"/>
      <c r="D1228" s="41" t="n"/>
      <c r="E1228" s="41" t="n"/>
      <c r="F1228" s="41" t="n"/>
      <c r="G1228" s="41" t="n"/>
      <c r="H1228" s="41" t="n"/>
      <c r="I1228" s="50" t="n"/>
      <c r="J1228" s="42" t="n"/>
      <c r="K1228" s="42" t="n"/>
      <c r="L1228" s="43">
        <f>IF($B1228="","",ROUND((N($J1228)+N($K1228))*نسبة_القيمة_المضافة,2))</f>
        <v/>
      </c>
      <c r="M1228" s="42" t="n"/>
      <c r="N1228" s="42" t="n"/>
      <c r="O1228" s="43">
        <f>IF($B1228="","",N($J1228)+N($K1228)+N($L1228)-N($M1228)+N($N1228))</f>
        <v/>
      </c>
      <c r="P1228" s="42" t="n"/>
      <c r="Q1228" s="43">
        <f>IF($B1228="","",N($O1228)-N($P1228))</f>
        <v/>
      </c>
      <c r="R1228" s="42" t="n"/>
      <c r="S1228" s="42" t="n"/>
      <c r="T1228" s="42" t="n"/>
      <c r="U1228" s="43">
        <f>IF($B1228="","",N($J1228)-N($R1228)-N($T1228))</f>
        <v/>
      </c>
      <c r="V1228" s="42" t="n"/>
    </row>
    <row r="1229">
      <c r="A1229" s="39">
        <f>IF($B1229="","",COUNTA($B$4:$B1229))</f>
        <v/>
      </c>
      <c r="B1229" s="45" t="n"/>
      <c r="C1229" s="46" t="n"/>
      <c r="D1229" s="46" t="n"/>
      <c r="E1229" s="46" t="n"/>
      <c r="F1229" s="46" t="n"/>
      <c r="G1229" s="46" t="n"/>
      <c r="H1229" s="46" t="n"/>
      <c r="I1229" s="51" t="n"/>
      <c r="J1229" s="47" t="n"/>
      <c r="K1229" s="47" t="n"/>
      <c r="L1229" s="43">
        <f>IF($B1229="","",ROUND((N($J1229)+N($K1229))*نسبة_القيمة_المضافة,2))</f>
        <v/>
      </c>
      <c r="M1229" s="47" t="n"/>
      <c r="N1229" s="47" t="n"/>
      <c r="O1229" s="43">
        <f>IF($B1229="","",N($J1229)+N($K1229)+N($L1229)-N($M1229)+N($N1229))</f>
        <v/>
      </c>
      <c r="P1229" s="47" t="n"/>
      <c r="Q1229" s="43">
        <f>IF($B1229="","",N($O1229)-N($P1229))</f>
        <v/>
      </c>
      <c r="R1229" s="47" t="n"/>
      <c r="S1229" s="47" t="n"/>
      <c r="T1229" s="47" t="n"/>
      <c r="U1229" s="43">
        <f>IF($B1229="","",N($J1229)-N($R1229)-N($T1229))</f>
        <v/>
      </c>
      <c r="V1229" s="47" t="n"/>
    </row>
    <row r="1230">
      <c r="A1230" s="39">
        <f>IF($B1230="","",COUNTA($B$4:$B1230))</f>
        <v/>
      </c>
      <c r="B1230" s="40" t="n"/>
      <c r="C1230" s="41" t="n"/>
      <c r="D1230" s="41" t="n"/>
      <c r="E1230" s="41" t="n"/>
      <c r="F1230" s="41" t="n"/>
      <c r="G1230" s="41" t="n"/>
      <c r="H1230" s="41" t="n"/>
      <c r="I1230" s="50" t="n"/>
      <c r="J1230" s="42" t="n"/>
      <c r="K1230" s="42" t="n"/>
      <c r="L1230" s="43">
        <f>IF($B1230="","",ROUND((N($J1230)+N($K1230))*نسبة_القيمة_المضافة,2))</f>
        <v/>
      </c>
      <c r="M1230" s="42" t="n"/>
      <c r="N1230" s="42" t="n"/>
      <c r="O1230" s="43">
        <f>IF($B1230="","",N($J1230)+N($K1230)+N($L1230)-N($M1230)+N($N1230))</f>
        <v/>
      </c>
      <c r="P1230" s="42" t="n"/>
      <c r="Q1230" s="43">
        <f>IF($B1230="","",N($O1230)-N($P1230))</f>
        <v/>
      </c>
      <c r="R1230" s="42" t="n"/>
      <c r="S1230" s="42" t="n"/>
      <c r="T1230" s="42" t="n"/>
      <c r="U1230" s="43">
        <f>IF($B1230="","",N($J1230)-N($R1230)-N($T1230))</f>
        <v/>
      </c>
      <c r="V1230" s="42" t="n"/>
    </row>
    <row r="1231">
      <c r="A1231" s="39">
        <f>IF($B1231="","",COUNTA($B$4:$B1231))</f>
        <v/>
      </c>
      <c r="B1231" s="45" t="n"/>
      <c r="C1231" s="46" t="n"/>
      <c r="D1231" s="46" t="n"/>
      <c r="E1231" s="46" t="n"/>
      <c r="F1231" s="46" t="n"/>
      <c r="G1231" s="46" t="n"/>
      <c r="H1231" s="46" t="n"/>
      <c r="I1231" s="51" t="n"/>
      <c r="J1231" s="47" t="n"/>
      <c r="K1231" s="47" t="n"/>
      <c r="L1231" s="43">
        <f>IF($B1231="","",ROUND((N($J1231)+N($K1231))*نسبة_القيمة_المضافة,2))</f>
        <v/>
      </c>
      <c r="M1231" s="47" t="n"/>
      <c r="N1231" s="47" t="n"/>
      <c r="O1231" s="43">
        <f>IF($B1231="","",N($J1231)+N($K1231)+N($L1231)-N($M1231)+N($N1231))</f>
        <v/>
      </c>
      <c r="P1231" s="47" t="n"/>
      <c r="Q1231" s="43">
        <f>IF($B1231="","",N($O1231)-N($P1231))</f>
        <v/>
      </c>
      <c r="R1231" s="47" t="n"/>
      <c r="S1231" s="47" t="n"/>
      <c r="T1231" s="47" t="n"/>
      <c r="U1231" s="43">
        <f>IF($B1231="","",N($J1231)-N($R1231)-N($T1231))</f>
        <v/>
      </c>
      <c r="V1231" s="47" t="n"/>
    </row>
    <row r="1232">
      <c r="A1232" s="39">
        <f>IF($B1232="","",COUNTA($B$4:$B1232))</f>
        <v/>
      </c>
      <c r="B1232" s="40" t="n"/>
      <c r="C1232" s="41" t="n"/>
      <c r="D1232" s="41" t="n"/>
      <c r="E1232" s="41" t="n"/>
      <c r="F1232" s="41" t="n"/>
      <c r="G1232" s="41" t="n"/>
      <c r="H1232" s="41" t="n"/>
      <c r="I1232" s="50" t="n"/>
      <c r="J1232" s="42" t="n"/>
      <c r="K1232" s="42" t="n"/>
      <c r="L1232" s="43">
        <f>IF($B1232="","",ROUND((N($J1232)+N($K1232))*نسبة_القيمة_المضافة,2))</f>
        <v/>
      </c>
      <c r="M1232" s="42" t="n"/>
      <c r="N1232" s="42" t="n"/>
      <c r="O1232" s="43">
        <f>IF($B1232="","",N($J1232)+N($K1232)+N($L1232)-N($M1232)+N($N1232))</f>
        <v/>
      </c>
      <c r="P1232" s="42" t="n"/>
      <c r="Q1232" s="43">
        <f>IF($B1232="","",N($O1232)-N($P1232))</f>
        <v/>
      </c>
      <c r="R1232" s="42" t="n"/>
      <c r="S1232" s="42" t="n"/>
      <c r="T1232" s="42" t="n"/>
      <c r="U1232" s="43">
        <f>IF($B1232="","",N($J1232)-N($R1232)-N($T1232))</f>
        <v/>
      </c>
      <c r="V1232" s="42" t="n"/>
    </row>
    <row r="1233">
      <c r="A1233" s="39">
        <f>IF($B1233="","",COUNTA($B$4:$B1233))</f>
        <v/>
      </c>
      <c r="B1233" s="45" t="n"/>
      <c r="C1233" s="46" t="n"/>
      <c r="D1233" s="46" t="n"/>
      <c r="E1233" s="46" t="n"/>
      <c r="F1233" s="46" t="n"/>
      <c r="G1233" s="46" t="n"/>
      <c r="H1233" s="46" t="n"/>
      <c r="I1233" s="51" t="n"/>
      <c r="J1233" s="47" t="n"/>
      <c r="K1233" s="47" t="n"/>
      <c r="L1233" s="43">
        <f>IF($B1233="","",ROUND((N($J1233)+N($K1233))*نسبة_القيمة_المضافة,2))</f>
        <v/>
      </c>
      <c r="M1233" s="47" t="n"/>
      <c r="N1233" s="47" t="n"/>
      <c r="O1233" s="43">
        <f>IF($B1233="","",N($J1233)+N($K1233)+N($L1233)-N($M1233)+N($N1233))</f>
        <v/>
      </c>
      <c r="P1233" s="47" t="n"/>
      <c r="Q1233" s="43">
        <f>IF($B1233="","",N($O1233)-N($P1233))</f>
        <v/>
      </c>
      <c r="R1233" s="47" t="n"/>
      <c r="S1233" s="47" t="n"/>
      <c r="T1233" s="47" t="n"/>
      <c r="U1233" s="43">
        <f>IF($B1233="","",N($J1233)-N($R1233)-N($T1233))</f>
        <v/>
      </c>
      <c r="V1233" s="47" t="n"/>
    </row>
    <row r="1234">
      <c r="A1234" s="39">
        <f>IF($B1234="","",COUNTA($B$4:$B1234))</f>
        <v/>
      </c>
      <c r="B1234" s="40" t="n"/>
      <c r="C1234" s="41" t="n"/>
      <c r="D1234" s="41" t="n"/>
      <c r="E1234" s="41" t="n"/>
      <c r="F1234" s="41" t="n"/>
      <c r="G1234" s="41" t="n"/>
      <c r="H1234" s="41" t="n"/>
      <c r="I1234" s="50" t="n"/>
      <c r="J1234" s="42" t="n"/>
      <c r="K1234" s="42" t="n"/>
      <c r="L1234" s="43">
        <f>IF($B1234="","",ROUND((N($J1234)+N($K1234))*نسبة_القيمة_المضافة,2))</f>
        <v/>
      </c>
      <c r="M1234" s="42" t="n"/>
      <c r="N1234" s="42" t="n"/>
      <c r="O1234" s="43">
        <f>IF($B1234="","",N($J1234)+N($K1234)+N($L1234)-N($M1234)+N($N1234))</f>
        <v/>
      </c>
      <c r="P1234" s="42" t="n"/>
      <c r="Q1234" s="43">
        <f>IF($B1234="","",N($O1234)-N($P1234))</f>
        <v/>
      </c>
      <c r="R1234" s="42" t="n"/>
      <c r="S1234" s="42" t="n"/>
      <c r="T1234" s="42" t="n"/>
      <c r="U1234" s="43">
        <f>IF($B1234="","",N($J1234)-N($R1234)-N($T1234))</f>
        <v/>
      </c>
      <c r="V1234" s="42" t="n"/>
    </row>
    <row r="1235">
      <c r="A1235" s="39">
        <f>IF($B1235="","",COUNTA($B$4:$B1235))</f>
        <v/>
      </c>
      <c r="B1235" s="45" t="n"/>
      <c r="C1235" s="46" t="n"/>
      <c r="D1235" s="46" t="n"/>
      <c r="E1235" s="46" t="n"/>
      <c r="F1235" s="46" t="n"/>
      <c r="G1235" s="46" t="n"/>
      <c r="H1235" s="46" t="n"/>
      <c r="I1235" s="51" t="n"/>
      <c r="J1235" s="47" t="n"/>
      <c r="K1235" s="47" t="n"/>
      <c r="L1235" s="43">
        <f>IF($B1235="","",ROUND((N($J1235)+N($K1235))*نسبة_القيمة_المضافة,2))</f>
        <v/>
      </c>
      <c r="M1235" s="47" t="n"/>
      <c r="N1235" s="47" t="n"/>
      <c r="O1235" s="43">
        <f>IF($B1235="","",N($J1235)+N($K1235)+N($L1235)-N($M1235)+N($N1235))</f>
        <v/>
      </c>
      <c r="P1235" s="47" t="n"/>
      <c r="Q1235" s="43">
        <f>IF($B1235="","",N($O1235)-N($P1235))</f>
        <v/>
      </c>
      <c r="R1235" s="47" t="n"/>
      <c r="S1235" s="47" t="n"/>
      <c r="T1235" s="47" t="n"/>
      <c r="U1235" s="43">
        <f>IF($B1235="","",N($J1235)-N($R1235)-N($T1235))</f>
        <v/>
      </c>
      <c r="V1235" s="47" t="n"/>
    </row>
    <row r="1236">
      <c r="A1236" s="39">
        <f>IF($B1236="","",COUNTA($B$4:$B1236))</f>
        <v/>
      </c>
      <c r="B1236" s="40" t="n"/>
      <c r="C1236" s="41" t="n"/>
      <c r="D1236" s="41" t="n"/>
      <c r="E1236" s="41" t="n"/>
      <c r="F1236" s="41" t="n"/>
      <c r="G1236" s="41" t="n"/>
      <c r="H1236" s="41" t="n"/>
      <c r="I1236" s="50" t="n"/>
      <c r="J1236" s="42" t="n"/>
      <c r="K1236" s="42" t="n"/>
      <c r="L1236" s="43">
        <f>IF($B1236="","",ROUND((N($J1236)+N($K1236))*نسبة_القيمة_المضافة,2))</f>
        <v/>
      </c>
      <c r="M1236" s="42" t="n"/>
      <c r="N1236" s="42" t="n"/>
      <c r="O1236" s="43">
        <f>IF($B1236="","",N($J1236)+N($K1236)+N($L1236)-N($M1236)+N($N1236))</f>
        <v/>
      </c>
      <c r="P1236" s="42" t="n"/>
      <c r="Q1236" s="43">
        <f>IF($B1236="","",N($O1236)-N($P1236))</f>
        <v/>
      </c>
      <c r="R1236" s="42" t="n"/>
      <c r="S1236" s="42" t="n"/>
      <c r="T1236" s="42" t="n"/>
      <c r="U1236" s="43">
        <f>IF($B1236="","",N($J1236)-N($R1236)-N($T1236))</f>
        <v/>
      </c>
      <c r="V1236" s="42" t="n"/>
    </row>
    <row r="1237">
      <c r="A1237" s="39">
        <f>IF($B1237="","",COUNTA($B$4:$B1237))</f>
        <v/>
      </c>
      <c r="B1237" s="45" t="n"/>
      <c r="C1237" s="46" t="n"/>
      <c r="D1237" s="46" t="n"/>
      <c r="E1237" s="46" t="n"/>
      <c r="F1237" s="46" t="n"/>
      <c r="G1237" s="46" t="n"/>
      <c r="H1237" s="46" t="n"/>
      <c r="I1237" s="51" t="n"/>
      <c r="J1237" s="47" t="n"/>
      <c r="K1237" s="47" t="n"/>
      <c r="L1237" s="43">
        <f>IF($B1237="","",ROUND((N($J1237)+N($K1237))*نسبة_القيمة_المضافة,2))</f>
        <v/>
      </c>
      <c r="M1237" s="47" t="n"/>
      <c r="N1237" s="47" t="n"/>
      <c r="O1237" s="43">
        <f>IF($B1237="","",N($J1237)+N($K1237)+N($L1237)-N($M1237)+N($N1237))</f>
        <v/>
      </c>
      <c r="P1237" s="47" t="n"/>
      <c r="Q1237" s="43">
        <f>IF($B1237="","",N($O1237)-N($P1237))</f>
        <v/>
      </c>
      <c r="R1237" s="47" t="n"/>
      <c r="S1237" s="47" t="n"/>
      <c r="T1237" s="47" t="n"/>
      <c r="U1237" s="43">
        <f>IF($B1237="","",N($J1237)-N($R1237)-N($T1237))</f>
        <v/>
      </c>
      <c r="V1237" s="47" t="n"/>
    </row>
    <row r="1238">
      <c r="A1238" s="39">
        <f>IF($B1238="","",COUNTA($B$4:$B1238))</f>
        <v/>
      </c>
      <c r="B1238" s="40" t="n"/>
      <c r="C1238" s="41" t="n"/>
      <c r="D1238" s="41" t="n"/>
      <c r="E1238" s="41" t="n"/>
      <c r="F1238" s="41" t="n"/>
      <c r="G1238" s="41" t="n"/>
      <c r="H1238" s="41" t="n"/>
      <c r="I1238" s="50" t="n"/>
      <c r="J1238" s="42" t="n"/>
      <c r="K1238" s="42" t="n"/>
      <c r="L1238" s="43">
        <f>IF($B1238="","",ROUND((N($J1238)+N($K1238))*نسبة_القيمة_المضافة,2))</f>
        <v/>
      </c>
      <c r="M1238" s="42" t="n"/>
      <c r="N1238" s="42" t="n"/>
      <c r="O1238" s="43">
        <f>IF($B1238="","",N($J1238)+N($K1238)+N($L1238)-N($M1238)+N($N1238))</f>
        <v/>
      </c>
      <c r="P1238" s="42" t="n"/>
      <c r="Q1238" s="43">
        <f>IF($B1238="","",N($O1238)-N($P1238))</f>
        <v/>
      </c>
      <c r="R1238" s="42" t="n"/>
      <c r="S1238" s="42" t="n"/>
      <c r="T1238" s="42" t="n"/>
      <c r="U1238" s="43">
        <f>IF($B1238="","",N($J1238)-N($R1238)-N($T1238))</f>
        <v/>
      </c>
      <c r="V1238" s="42" t="n"/>
    </row>
    <row r="1239">
      <c r="A1239" s="39">
        <f>IF($B1239="","",COUNTA($B$4:$B1239))</f>
        <v/>
      </c>
      <c r="B1239" s="45" t="n"/>
      <c r="C1239" s="46" t="n"/>
      <c r="D1239" s="46" t="n"/>
      <c r="E1239" s="46" t="n"/>
      <c r="F1239" s="46" t="n"/>
      <c r="G1239" s="46" t="n"/>
      <c r="H1239" s="46" t="n"/>
      <c r="I1239" s="51" t="n"/>
      <c r="J1239" s="47" t="n"/>
      <c r="K1239" s="47" t="n"/>
      <c r="L1239" s="43">
        <f>IF($B1239="","",ROUND((N($J1239)+N($K1239))*نسبة_القيمة_المضافة,2))</f>
        <v/>
      </c>
      <c r="M1239" s="47" t="n"/>
      <c r="N1239" s="47" t="n"/>
      <c r="O1239" s="43">
        <f>IF($B1239="","",N($J1239)+N($K1239)+N($L1239)-N($M1239)+N($N1239))</f>
        <v/>
      </c>
      <c r="P1239" s="47" t="n"/>
      <c r="Q1239" s="43">
        <f>IF($B1239="","",N($O1239)-N($P1239))</f>
        <v/>
      </c>
      <c r="R1239" s="47" t="n"/>
      <c r="S1239" s="47" t="n"/>
      <c r="T1239" s="47" t="n"/>
      <c r="U1239" s="43">
        <f>IF($B1239="","",N($J1239)-N($R1239)-N($T1239))</f>
        <v/>
      </c>
      <c r="V1239" s="47" t="n"/>
    </row>
    <row r="1240">
      <c r="A1240" s="39">
        <f>IF($B1240="","",COUNTA($B$4:$B1240))</f>
        <v/>
      </c>
      <c r="B1240" s="40" t="n"/>
      <c r="C1240" s="41" t="n"/>
      <c r="D1240" s="41" t="n"/>
      <c r="E1240" s="41" t="n"/>
      <c r="F1240" s="41" t="n"/>
      <c r="G1240" s="41" t="n"/>
      <c r="H1240" s="41" t="n"/>
      <c r="I1240" s="50" t="n"/>
      <c r="J1240" s="42" t="n"/>
      <c r="K1240" s="42" t="n"/>
      <c r="L1240" s="43">
        <f>IF($B1240="","",ROUND((N($J1240)+N($K1240))*نسبة_القيمة_المضافة,2))</f>
        <v/>
      </c>
      <c r="M1240" s="42" t="n"/>
      <c r="N1240" s="42" t="n"/>
      <c r="O1240" s="43">
        <f>IF($B1240="","",N($J1240)+N($K1240)+N($L1240)-N($M1240)+N($N1240))</f>
        <v/>
      </c>
      <c r="P1240" s="42" t="n"/>
      <c r="Q1240" s="43">
        <f>IF($B1240="","",N($O1240)-N($P1240))</f>
        <v/>
      </c>
      <c r="R1240" s="42" t="n"/>
      <c r="S1240" s="42" t="n"/>
      <c r="T1240" s="42" t="n"/>
      <c r="U1240" s="43">
        <f>IF($B1240="","",N($J1240)-N($R1240)-N($T1240))</f>
        <v/>
      </c>
      <c r="V1240" s="42" t="n"/>
    </row>
    <row r="1241">
      <c r="A1241" s="39">
        <f>IF($B1241="","",COUNTA($B$4:$B1241))</f>
        <v/>
      </c>
      <c r="B1241" s="45" t="n"/>
      <c r="C1241" s="46" t="n"/>
      <c r="D1241" s="46" t="n"/>
      <c r="E1241" s="46" t="n"/>
      <c r="F1241" s="46" t="n"/>
      <c r="G1241" s="46" t="n"/>
      <c r="H1241" s="46" t="n"/>
      <c r="I1241" s="51" t="n"/>
      <c r="J1241" s="47" t="n"/>
      <c r="K1241" s="47" t="n"/>
      <c r="L1241" s="43">
        <f>IF($B1241="","",ROUND((N($J1241)+N($K1241))*نسبة_القيمة_المضافة,2))</f>
        <v/>
      </c>
      <c r="M1241" s="47" t="n"/>
      <c r="N1241" s="47" t="n"/>
      <c r="O1241" s="43">
        <f>IF($B1241="","",N($J1241)+N($K1241)+N($L1241)-N($M1241)+N($N1241))</f>
        <v/>
      </c>
      <c r="P1241" s="47" t="n"/>
      <c r="Q1241" s="43">
        <f>IF($B1241="","",N($O1241)-N($P1241))</f>
        <v/>
      </c>
      <c r="R1241" s="47" t="n"/>
      <c r="S1241" s="47" t="n"/>
      <c r="T1241" s="47" t="n"/>
      <c r="U1241" s="43">
        <f>IF($B1241="","",N($J1241)-N($R1241)-N($T1241))</f>
        <v/>
      </c>
      <c r="V1241" s="47" t="n"/>
    </row>
    <row r="1242">
      <c r="A1242" s="39">
        <f>IF($B1242="","",COUNTA($B$4:$B1242))</f>
        <v/>
      </c>
      <c r="B1242" s="40" t="n"/>
      <c r="C1242" s="41" t="n"/>
      <c r="D1242" s="41" t="n"/>
      <c r="E1242" s="41" t="n"/>
      <c r="F1242" s="41" t="n"/>
      <c r="G1242" s="41" t="n"/>
      <c r="H1242" s="41" t="n"/>
      <c r="I1242" s="50" t="n"/>
      <c r="J1242" s="42" t="n"/>
      <c r="K1242" s="42" t="n"/>
      <c r="L1242" s="43">
        <f>IF($B1242="","",ROUND((N($J1242)+N($K1242))*نسبة_القيمة_المضافة,2))</f>
        <v/>
      </c>
      <c r="M1242" s="42" t="n"/>
      <c r="N1242" s="42" t="n"/>
      <c r="O1242" s="43">
        <f>IF($B1242="","",N($J1242)+N($K1242)+N($L1242)-N($M1242)+N($N1242))</f>
        <v/>
      </c>
      <c r="P1242" s="42" t="n"/>
      <c r="Q1242" s="43">
        <f>IF($B1242="","",N($O1242)-N($P1242))</f>
        <v/>
      </c>
      <c r="R1242" s="42" t="n"/>
      <c r="S1242" s="42" t="n"/>
      <c r="T1242" s="42" t="n"/>
      <c r="U1242" s="43">
        <f>IF($B1242="","",N($J1242)-N($R1242)-N($T1242))</f>
        <v/>
      </c>
      <c r="V1242" s="42" t="n"/>
    </row>
    <row r="1243">
      <c r="A1243" s="39">
        <f>IF($B1243="","",COUNTA($B$4:$B1243))</f>
        <v/>
      </c>
      <c r="B1243" s="45" t="n"/>
      <c r="C1243" s="46" t="n"/>
      <c r="D1243" s="46" t="n"/>
      <c r="E1243" s="46" t="n"/>
      <c r="F1243" s="46" t="n"/>
      <c r="G1243" s="46" t="n"/>
      <c r="H1243" s="46" t="n"/>
      <c r="I1243" s="51" t="n"/>
      <c r="J1243" s="47" t="n"/>
      <c r="K1243" s="47" t="n"/>
      <c r="L1243" s="43">
        <f>IF($B1243="","",ROUND((N($J1243)+N($K1243))*نسبة_القيمة_المضافة,2))</f>
        <v/>
      </c>
      <c r="M1243" s="47" t="n"/>
      <c r="N1243" s="47" t="n"/>
      <c r="O1243" s="43">
        <f>IF($B1243="","",N($J1243)+N($K1243)+N($L1243)-N($M1243)+N($N1243))</f>
        <v/>
      </c>
      <c r="P1243" s="47" t="n"/>
      <c r="Q1243" s="43">
        <f>IF($B1243="","",N($O1243)-N($P1243))</f>
        <v/>
      </c>
      <c r="R1243" s="47" t="n"/>
      <c r="S1243" s="47" t="n"/>
      <c r="T1243" s="47" t="n"/>
      <c r="U1243" s="43">
        <f>IF($B1243="","",N($J1243)-N($R1243)-N($T1243))</f>
        <v/>
      </c>
      <c r="V1243" s="47" t="n"/>
    </row>
    <row r="1244">
      <c r="A1244" s="39">
        <f>IF($B1244="","",COUNTA($B$4:$B1244))</f>
        <v/>
      </c>
      <c r="B1244" s="40" t="n"/>
      <c r="C1244" s="41" t="n"/>
      <c r="D1244" s="41" t="n"/>
      <c r="E1244" s="41" t="n"/>
      <c r="F1244" s="41" t="n"/>
      <c r="G1244" s="41" t="n"/>
      <c r="H1244" s="41" t="n"/>
      <c r="I1244" s="50" t="n"/>
      <c r="J1244" s="42" t="n"/>
      <c r="K1244" s="42" t="n"/>
      <c r="L1244" s="43">
        <f>IF($B1244="","",ROUND((N($J1244)+N($K1244))*نسبة_القيمة_المضافة,2))</f>
        <v/>
      </c>
      <c r="M1244" s="42" t="n"/>
      <c r="N1244" s="42" t="n"/>
      <c r="O1244" s="43">
        <f>IF($B1244="","",N($J1244)+N($K1244)+N($L1244)-N($M1244)+N($N1244))</f>
        <v/>
      </c>
      <c r="P1244" s="42" t="n"/>
      <c r="Q1244" s="43">
        <f>IF($B1244="","",N($O1244)-N($P1244))</f>
        <v/>
      </c>
      <c r="R1244" s="42" t="n"/>
      <c r="S1244" s="42" t="n"/>
      <c r="T1244" s="42" t="n"/>
      <c r="U1244" s="43">
        <f>IF($B1244="","",N($J1244)-N($R1244)-N($T1244))</f>
        <v/>
      </c>
      <c r="V1244" s="42" t="n"/>
    </row>
    <row r="1245">
      <c r="A1245" s="39">
        <f>IF($B1245="","",COUNTA($B$4:$B1245))</f>
        <v/>
      </c>
      <c r="B1245" s="45" t="n"/>
      <c r="C1245" s="46" t="n"/>
      <c r="D1245" s="46" t="n"/>
      <c r="E1245" s="46" t="n"/>
      <c r="F1245" s="46" t="n"/>
      <c r="G1245" s="46" t="n"/>
      <c r="H1245" s="46" t="n"/>
      <c r="I1245" s="51" t="n"/>
      <c r="J1245" s="47" t="n"/>
      <c r="K1245" s="47" t="n"/>
      <c r="L1245" s="43">
        <f>IF($B1245="","",ROUND((N($J1245)+N($K1245))*نسبة_القيمة_المضافة,2))</f>
        <v/>
      </c>
      <c r="M1245" s="47" t="n"/>
      <c r="N1245" s="47" t="n"/>
      <c r="O1245" s="43">
        <f>IF($B1245="","",N($J1245)+N($K1245)+N($L1245)-N($M1245)+N($N1245))</f>
        <v/>
      </c>
      <c r="P1245" s="47" t="n"/>
      <c r="Q1245" s="43">
        <f>IF($B1245="","",N($O1245)-N($P1245))</f>
        <v/>
      </c>
      <c r="R1245" s="47" t="n"/>
      <c r="S1245" s="47" t="n"/>
      <c r="T1245" s="47" t="n"/>
      <c r="U1245" s="43">
        <f>IF($B1245="","",N($J1245)-N($R1245)-N($T1245))</f>
        <v/>
      </c>
      <c r="V1245" s="47" t="n"/>
    </row>
    <row r="1246">
      <c r="A1246" s="39">
        <f>IF($B1246="","",COUNTA($B$4:$B1246))</f>
        <v/>
      </c>
      <c r="B1246" s="40" t="n"/>
      <c r="C1246" s="41" t="n"/>
      <c r="D1246" s="41" t="n"/>
      <c r="E1246" s="41" t="n"/>
      <c r="F1246" s="41" t="n"/>
      <c r="G1246" s="41" t="n"/>
      <c r="H1246" s="41" t="n"/>
      <c r="I1246" s="50" t="n"/>
      <c r="J1246" s="42" t="n"/>
      <c r="K1246" s="42" t="n"/>
      <c r="L1246" s="43">
        <f>IF($B1246="","",ROUND((N($J1246)+N($K1246))*نسبة_القيمة_المضافة,2))</f>
        <v/>
      </c>
      <c r="M1246" s="42" t="n"/>
      <c r="N1246" s="42" t="n"/>
      <c r="O1246" s="43">
        <f>IF($B1246="","",N($J1246)+N($K1246)+N($L1246)-N($M1246)+N($N1246))</f>
        <v/>
      </c>
      <c r="P1246" s="42" t="n"/>
      <c r="Q1246" s="43">
        <f>IF($B1246="","",N($O1246)-N($P1246))</f>
        <v/>
      </c>
      <c r="R1246" s="42" t="n"/>
      <c r="S1246" s="42" t="n"/>
      <c r="T1246" s="42" t="n"/>
      <c r="U1246" s="43">
        <f>IF($B1246="","",N($J1246)-N($R1246)-N($T1246))</f>
        <v/>
      </c>
      <c r="V1246" s="42" t="n"/>
    </row>
    <row r="1247">
      <c r="A1247" s="39">
        <f>IF($B1247="","",COUNTA($B$4:$B1247))</f>
        <v/>
      </c>
      <c r="B1247" s="45" t="n"/>
      <c r="C1247" s="46" t="n"/>
      <c r="D1247" s="46" t="n"/>
      <c r="E1247" s="46" t="n"/>
      <c r="F1247" s="46" t="n"/>
      <c r="G1247" s="46" t="n"/>
      <c r="H1247" s="46" t="n"/>
      <c r="I1247" s="51" t="n"/>
      <c r="J1247" s="47" t="n"/>
      <c r="K1247" s="47" t="n"/>
      <c r="L1247" s="43">
        <f>IF($B1247="","",ROUND((N($J1247)+N($K1247))*نسبة_القيمة_المضافة,2))</f>
        <v/>
      </c>
      <c r="M1247" s="47" t="n"/>
      <c r="N1247" s="47" t="n"/>
      <c r="O1247" s="43">
        <f>IF($B1247="","",N($J1247)+N($K1247)+N($L1247)-N($M1247)+N($N1247))</f>
        <v/>
      </c>
      <c r="P1247" s="47" t="n"/>
      <c r="Q1247" s="43">
        <f>IF($B1247="","",N($O1247)-N($P1247))</f>
        <v/>
      </c>
      <c r="R1247" s="47" t="n"/>
      <c r="S1247" s="47" t="n"/>
      <c r="T1247" s="47" t="n"/>
      <c r="U1247" s="43">
        <f>IF($B1247="","",N($J1247)-N($R1247)-N($T1247))</f>
        <v/>
      </c>
      <c r="V1247" s="47" t="n"/>
    </row>
    <row r="1248">
      <c r="A1248" s="39">
        <f>IF($B1248="","",COUNTA($B$4:$B1248))</f>
        <v/>
      </c>
      <c r="B1248" s="40" t="n"/>
      <c r="C1248" s="41" t="n"/>
      <c r="D1248" s="41" t="n"/>
      <c r="E1248" s="41" t="n"/>
      <c r="F1248" s="41" t="n"/>
      <c r="G1248" s="41" t="n"/>
      <c r="H1248" s="41" t="n"/>
      <c r="I1248" s="50" t="n"/>
      <c r="J1248" s="42" t="n"/>
      <c r="K1248" s="42" t="n"/>
      <c r="L1248" s="43">
        <f>IF($B1248="","",ROUND((N($J1248)+N($K1248))*نسبة_القيمة_المضافة,2))</f>
        <v/>
      </c>
      <c r="M1248" s="42" t="n"/>
      <c r="N1248" s="42" t="n"/>
      <c r="O1248" s="43">
        <f>IF($B1248="","",N($J1248)+N($K1248)+N($L1248)-N($M1248)+N($N1248))</f>
        <v/>
      </c>
      <c r="P1248" s="42" t="n"/>
      <c r="Q1248" s="43">
        <f>IF($B1248="","",N($O1248)-N($P1248))</f>
        <v/>
      </c>
      <c r="R1248" s="42" t="n"/>
      <c r="S1248" s="42" t="n"/>
      <c r="T1248" s="42" t="n"/>
      <c r="U1248" s="43">
        <f>IF($B1248="","",N($J1248)-N($R1248)-N($T1248))</f>
        <v/>
      </c>
      <c r="V1248" s="42" t="n"/>
    </row>
    <row r="1249">
      <c r="A1249" s="39">
        <f>IF($B1249="","",COUNTA($B$4:$B1249))</f>
        <v/>
      </c>
      <c r="B1249" s="45" t="n"/>
      <c r="C1249" s="46" t="n"/>
      <c r="D1249" s="46" t="n"/>
      <c r="E1249" s="46" t="n"/>
      <c r="F1249" s="46" t="n"/>
      <c r="G1249" s="46" t="n"/>
      <c r="H1249" s="46" t="n"/>
      <c r="I1249" s="51" t="n"/>
      <c r="J1249" s="47" t="n"/>
      <c r="K1249" s="47" t="n"/>
      <c r="L1249" s="43">
        <f>IF($B1249="","",ROUND((N($J1249)+N($K1249))*نسبة_القيمة_المضافة,2))</f>
        <v/>
      </c>
      <c r="M1249" s="47" t="n"/>
      <c r="N1249" s="47" t="n"/>
      <c r="O1249" s="43">
        <f>IF($B1249="","",N($J1249)+N($K1249)+N($L1249)-N($M1249)+N($N1249))</f>
        <v/>
      </c>
      <c r="P1249" s="47" t="n"/>
      <c r="Q1249" s="43">
        <f>IF($B1249="","",N($O1249)-N($P1249))</f>
        <v/>
      </c>
      <c r="R1249" s="47" t="n"/>
      <c r="S1249" s="47" t="n"/>
      <c r="T1249" s="47" t="n"/>
      <c r="U1249" s="43">
        <f>IF($B1249="","",N($J1249)-N($R1249)-N($T1249))</f>
        <v/>
      </c>
      <c r="V1249" s="47" t="n"/>
    </row>
    <row r="1250">
      <c r="A1250" s="39">
        <f>IF($B1250="","",COUNTA($B$4:$B1250))</f>
        <v/>
      </c>
      <c r="B1250" s="40" t="n"/>
      <c r="C1250" s="41" t="n"/>
      <c r="D1250" s="41" t="n"/>
      <c r="E1250" s="41" t="n"/>
      <c r="F1250" s="41" t="n"/>
      <c r="G1250" s="41" t="n"/>
      <c r="H1250" s="41" t="n"/>
      <c r="I1250" s="50" t="n"/>
      <c r="J1250" s="42" t="n"/>
      <c r="K1250" s="42" t="n"/>
      <c r="L1250" s="43">
        <f>IF($B1250="","",ROUND((N($J1250)+N($K1250))*نسبة_القيمة_المضافة,2))</f>
        <v/>
      </c>
      <c r="M1250" s="42" t="n"/>
      <c r="N1250" s="42" t="n"/>
      <c r="O1250" s="43">
        <f>IF($B1250="","",N($J1250)+N($K1250)+N($L1250)-N($M1250)+N($N1250))</f>
        <v/>
      </c>
      <c r="P1250" s="42" t="n"/>
      <c r="Q1250" s="43">
        <f>IF($B1250="","",N($O1250)-N($P1250))</f>
        <v/>
      </c>
      <c r="R1250" s="42" t="n"/>
      <c r="S1250" s="42" t="n"/>
      <c r="T1250" s="42" t="n"/>
      <c r="U1250" s="43">
        <f>IF($B1250="","",N($J1250)-N($R1250)-N($T1250))</f>
        <v/>
      </c>
      <c r="V1250" s="42" t="n"/>
    </row>
    <row r="1251">
      <c r="A1251" s="39">
        <f>IF($B1251="","",COUNTA($B$4:$B1251))</f>
        <v/>
      </c>
      <c r="B1251" s="45" t="n"/>
      <c r="C1251" s="46" t="n"/>
      <c r="D1251" s="46" t="n"/>
      <c r="E1251" s="46" t="n"/>
      <c r="F1251" s="46" t="n"/>
      <c r="G1251" s="46" t="n"/>
      <c r="H1251" s="46" t="n"/>
      <c r="I1251" s="51" t="n"/>
      <c r="J1251" s="47" t="n"/>
      <c r="K1251" s="47" t="n"/>
      <c r="L1251" s="43">
        <f>IF($B1251="","",ROUND((N($J1251)+N($K1251))*نسبة_القيمة_المضافة,2))</f>
        <v/>
      </c>
      <c r="M1251" s="47" t="n"/>
      <c r="N1251" s="47" t="n"/>
      <c r="O1251" s="43">
        <f>IF($B1251="","",N($J1251)+N($K1251)+N($L1251)-N($M1251)+N($N1251))</f>
        <v/>
      </c>
      <c r="P1251" s="47" t="n"/>
      <c r="Q1251" s="43">
        <f>IF($B1251="","",N($O1251)-N($P1251))</f>
        <v/>
      </c>
      <c r="R1251" s="47" t="n"/>
      <c r="S1251" s="47" t="n"/>
      <c r="T1251" s="47" t="n"/>
      <c r="U1251" s="43">
        <f>IF($B1251="","",N($J1251)-N($R1251)-N($T1251))</f>
        <v/>
      </c>
      <c r="V1251" s="47" t="n"/>
    </row>
    <row r="1252">
      <c r="A1252" s="39">
        <f>IF($B1252="","",COUNTA($B$4:$B1252))</f>
        <v/>
      </c>
      <c r="B1252" s="40" t="n"/>
      <c r="C1252" s="41" t="n"/>
      <c r="D1252" s="41" t="n"/>
      <c r="E1252" s="41" t="n"/>
      <c r="F1252" s="41" t="n"/>
      <c r="G1252" s="41" t="n"/>
      <c r="H1252" s="41" t="n"/>
      <c r="I1252" s="50" t="n"/>
      <c r="J1252" s="42" t="n"/>
      <c r="K1252" s="42" t="n"/>
      <c r="L1252" s="43">
        <f>IF($B1252="","",ROUND((N($J1252)+N($K1252))*نسبة_القيمة_المضافة,2))</f>
        <v/>
      </c>
      <c r="M1252" s="42" t="n"/>
      <c r="N1252" s="42" t="n"/>
      <c r="O1252" s="43">
        <f>IF($B1252="","",N($J1252)+N($K1252)+N($L1252)-N($M1252)+N($N1252))</f>
        <v/>
      </c>
      <c r="P1252" s="42" t="n"/>
      <c r="Q1252" s="43">
        <f>IF($B1252="","",N($O1252)-N($P1252))</f>
        <v/>
      </c>
      <c r="R1252" s="42" t="n"/>
      <c r="S1252" s="42" t="n"/>
      <c r="T1252" s="42" t="n"/>
      <c r="U1252" s="43">
        <f>IF($B1252="","",N($J1252)-N($R1252)-N($T1252))</f>
        <v/>
      </c>
      <c r="V1252" s="42" t="n"/>
    </row>
    <row r="1253">
      <c r="A1253" s="39">
        <f>IF($B1253="","",COUNTA($B$4:$B1253))</f>
        <v/>
      </c>
      <c r="B1253" s="45" t="n"/>
      <c r="C1253" s="46" t="n"/>
      <c r="D1253" s="46" t="n"/>
      <c r="E1253" s="46" t="n"/>
      <c r="F1253" s="46" t="n"/>
      <c r="G1253" s="46" t="n"/>
      <c r="H1253" s="46" t="n"/>
      <c r="I1253" s="51" t="n"/>
      <c r="J1253" s="47" t="n"/>
      <c r="K1253" s="47" t="n"/>
      <c r="L1253" s="43">
        <f>IF($B1253="","",ROUND((N($J1253)+N($K1253))*نسبة_القيمة_المضافة,2))</f>
        <v/>
      </c>
      <c r="M1253" s="47" t="n"/>
      <c r="N1253" s="47" t="n"/>
      <c r="O1253" s="43">
        <f>IF($B1253="","",N($J1253)+N($K1253)+N($L1253)-N($M1253)+N($N1253))</f>
        <v/>
      </c>
      <c r="P1253" s="47" t="n"/>
      <c r="Q1253" s="43">
        <f>IF($B1253="","",N($O1253)-N($P1253))</f>
        <v/>
      </c>
      <c r="R1253" s="47" t="n"/>
      <c r="S1253" s="47" t="n"/>
      <c r="T1253" s="47" t="n"/>
      <c r="U1253" s="43">
        <f>IF($B1253="","",N($J1253)-N($R1253)-N($T1253))</f>
        <v/>
      </c>
      <c r="V1253" s="47" t="n"/>
    </row>
    <row r="1254">
      <c r="A1254" s="39">
        <f>IF($B1254="","",COUNTA($B$4:$B1254))</f>
        <v/>
      </c>
      <c r="B1254" s="40" t="n"/>
      <c r="C1254" s="41" t="n"/>
      <c r="D1254" s="41" t="n"/>
      <c r="E1254" s="41" t="n"/>
      <c r="F1254" s="41" t="n"/>
      <c r="G1254" s="41" t="n"/>
      <c r="H1254" s="41" t="n"/>
      <c r="I1254" s="50" t="n"/>
      <c r="J1254" s="42" t="n"/>
      <c r="K1254" s="42" t="n"/>
      <c r="L1254" s="43">
        <f>IF($B1254="","",ROUND((N($J1254)+N($K1254))*نسبة_القيمة_المضافة,2))</f>
        <v/>
      </c>
      <c r="M1254" s="42" t="n"/>
      <c r="N1254" s="42" t="n"/>
      <c r="O1254" s="43">
        <f>IF($B1254="","",N($J1254)+N($K1254)+N($L1254)-N($M1254)+N($N1254))</f>
        <v/>
      </c>
      <c r="P1254" s="42" t="n"/>
      <c r="Q1254" s="43">
        <f>IF($B1254="","",N($O1254)-N($P1254))</f>
        <v/>
      </c>
      <c r="R1254" s="42" t="n"/>
      <c r="S1254" s="42" t="n"/>
      <c r="T1254" s="42" t="n"/>
      <c r="U1254" s="43">
        <f>IF($B1254="","",N($J1254)-N($R1254)-N($T1254))</f>
        <v/>
      </c>
      <c r="V1254" s="42" t="n"/>
    </row>
    <row r="1255">
      <c r="A1255" s="39">
        <f>IF($B1255="","",COUNTA($B$4:$B1255))</f>
        <v/>
      </c>
      <c r="B1255" s="45" t="n"/>
      <c r="C1255" s="46" t="n"/>
      <c r="D1255" s="46" t="n"/>
      <c r="E1255" s="46" t="n"/>
      <c r="F1255" s="46" t="n"/>
      <c r="G1255" s="46" t="n"/>
      <c r="H1255" s="46" t="n"/>
      <c r="I1255" s="51" t="n"/>
      <c r="J1255" s="47" t="n"/>
      <c r="K1255" s="47" t="n"/>
      <c r="L1255" s="43">
        <f>IF($B1255="","",ROUND((N($J1255)+N($K1255))*نسبة_القيمة_المضافة,2))</f>
        <v/>
      </c>
      <c r="M1255" s="47" t="n"/>
      <c r="N1255" s="47" t="n"/>
      <c r="O1255" s="43">
        <f>IF($B1255="","",N($J1255)+N($K1255)+N($L1255)-N($M1255)+N($N1255))</f>
        <v/>
      </c>
      <c r="P1255" s="47" t="n"/>
      <c r="Q1255" s="43">
        <f>IF($B1255="","",N($O1255)-N($P1255))</f>
        <v/>
      </c>
      <c r="R1255" s="47" t="n"/>
      <c r="S1255" s="47" t="n"/>
      <c r="T1255" s="47" t="n"/>
      <c r="U1255" s="43">
        <f>IF($B1255="","",N($J1255)-N($R1255)-N($T1255))</f>
        <v/>
      </c>
      <c r="V1255" s="47" t="n"/>
    </row>
    <row r="1256">
      <c r="A1256" s="39">
        <f>IF($B1256="","",COUNTA($B$4:$B1256))</f>
        <v/>
      </c>
      <c r="B1256" s="40" t="n"/>
      <c r="C1256" s="41" t="n"/>
      <c r="D1256" s="41" t="n"/>
      <c r="E1256" s="41" t="n"/>
      <c r="F1256" s="41" t="n"/>
      <c r="G1256" s="41" t="n"/>
      <c r="H1256" s="41" t="n"/>
      <c r="I1256" s="50" t="n"/>
      <c r="J1256" s="42" t="n"/>
      <c r="K1256" s="42" t="n"/>
      <c r="L1256" s="43">
        <f>IF($B1256="","",ROUND((N($J1256)+N($K1256))*نسبة_القيمة_المضافة,2))</f>
        <v/>
      </c>
      <c r="M1256" s="42" t="n"/>
      <c r="N1256" s="42" t="n"/>
      <c r="O1256" s="43">
        <f>IF($B1256="","",N($J1256)+N($K1256)+N($L1256)-N($M1256)+N($N1256))</f>
        <v/>
      </c>
      <c r="P1256" s="42" t="n"/>
      <c r="Q1256" s="43">
        <f>IF($B1256="","",N($O1256)-N($P1256))</f>
        <v/>
      </c>
      <c r="R1256" s="42" t="n"/>
      <c r="S1256" s="42" t="n"/>
      <c r="T1256" s="42" t="n"/>
      <c r="U1256" s="43">
        <f>IF($B1256="","",N($J1256)-N($R1256)-N($T1256))</f>
        <v/>
      </c>
      <c r="V1256" s="42" t="n"/>
    </row>
    <row r="1257">
      <c r="A1257" s="39">
        <f>IF($B1257="","",COUNTA($B$4:$B1257))</f>
        <v/>
      </c>
      <c r="B1257" s="45" t="n"/>
      <c r="C1257" s="46" t="n"/>
      <c r="D1257" s="46" t="n"/>
      <c r="E1257" s="46" t="n"/>
      <c r="F1257" s="46" t="n"/>
      <c r="G1257" s="46" t="n"/>
      <c r="H1257" s="46" t="n"/>
      <c r="I1257" s="51" t="n"/>
      <c r="J1257" s="47" t="n"/>
      <c r="K1257" s="47" t="n"/>
      <c r="L1257" s="43">
        <f>IF($B1257="","",ROUND((N($J1257)+N($K1257))*نسبة_القيمة_المضافة,2))</f>
        <v/>
      </c>
      <c r="M1257" s="47" t="n"/>
      <c r="N1257" s="47" t="n"/>
      <c r="O1257" s="43">
        <f>IF($B1257="","",N($J1257)+N($K1257)+N($L1257)-N($M1257)+N($N1257))</f>
        <v/>
      </c>
      <c r="P1257" s="47" t="n"/>
      <c r="Q1257" s="43">
        <f>IF($B1257="","",N($O1257)-N($P1257))</f>
        <v/>
      </c>
      <c r="R1257" s="47" t="n"/>
      <c r="S1257" s="47" t="n"/>
      <c r="T1257" s="47" t="n"/>
      <c r="U1257" s="43">
        <f>IF($B1257="","",N($J1257)-N($R1257)-N($T1257))</f>
        <v/>
      </c>
      <c r="V1257" s="47" t="n"/>
    </row>
    <row r="1258">
      <c r="A1258" s="39">
        <f>IF($B1258="","",COUNTA($B$4:$B1258))</f>
        <v/>
      </c>
      <c r="B1258" s="40" t="n"/>
      <c r="C1258" s="41" t="n"/>
      <c r="D1258" s="41" t="n"/>
      <c r="E1258" s="41" t="n"/>
      <c r="F1258" s="41" t="n"/>
      <c r="G1258" s="41" t="n"/>
      <c r="H1258" s="41" t="n"/>
      <c r="I1258" s="50" t="n"/>
      <c r="J1258" s="42" t="n"/>
      <c r="K1258" s="42" t="n"/>
      <c r="L1258" s="43">
        <f>IF($B1258="","",ROUND((N($J1258)+N($K1258))*نسبة_القيمة_المضافة,2))</f>
        <v/>
      </c>
      <c r="M1258" s="42" t="n"/>
      <c r="N1258" s="42" t="n"/>
      <c r="O1258" s="43">
        <f>IF($B1258="","",N($J1258)+N($K1258)+N($L1258)-N($M1258)+N($N1258))</f>
        <v/>
      </c>
      <c r="P1258" s="42" t="n"/>
      <c r="Q1258" s="43">
        <f>IF($B1258="","",N($O1258)-N($P1258))</f>
        <v/>
      </c>
      <c r="R1258" s="42" t="n"/>
      <c r="S1258" s="42" t="n"/>
      <c r="T1258" s="42" t="n"/>
      <c r="U1258" s="43">
        <f>IF($B1258="","",N($J1258)-N($R1258)-N($T1258))</f>
        <v/>
      </c>
      <c r="V1258" s="42" t="n"/>
    </row>
    <row r="1259">
      <c r="A1259" s="39">
        <f>IF($B1259="","",COUNTA($B$4:$B1259))</f>
        <v/>
      </c>
      <c r="B1259" s="45" t="n"/>
      <c r="C1259" s="46" t="n"/>
      <c r="D1259" s="46" t="n"/>
      <c r="E1259" s="46" t="n"/>
      <c r="F1259" s="46" t="n"/>
      <c r="G1259" s="46" t="n"/>
      <c r="H1259" s="46" t="n"/>
      <c r="I1259" s="51" t="n"/>
      <c r="J1259" s="47" t="n"/>
      <c r="K1259" s="47" t="n"/>
      <c r="L1259" s="43">
        <f>IF($B1259="","",ROUND((N($J1259)+N($K1259))*نسبة_القيمة_المضافة,2))</f>
        <v/>
      </c>
      <c r="M1259" s="47" t="n"/>
      <c r="N1259" s="47" t="n"/>
      <c r="O1259" s="43">
        <f>IF($B1259="","",N($J1259)+N($K1259)+N($L1259)-N($M1259)+N($N1259))</f>
        <v/>
      </c>
      <c r="P1259" s="47" t="n"/>
      <c r="Q1259" s="43">
        <f>IF($B1259="","",N($O1259)-N($P1259))</f>
        <v/>
      </c>
      <c r="R1259" s="47" t="n"/>
      <c r="S1259" s="47" t="n"/>
      <c r="T1259" s="47" t="n"/>
      <c r="U1259" s="43">
        <f>IF($B1259="","",N($J1259)-N($R1259)-N($T1259))</f>
        <v/>
      </c>
      <c r="V1259" s="47" t="n"/>
    </row>
    <row r="1260">
      <c r="A1260" s="39">
        <f>IF($B1260="","",COUNTA($B$4:$B1260))</f>
        <v/>
      </c>
      <c r="B1260" s="40" t="n"/>
      <c r="C1260" s="41" t="n"/>
      <c r="D1260" s="41" t="n"/>
      <c r="E1260" s="41" t="n"/>
      <c r="F1260" s="41" t="n"/>
      <c r="G1260" s="41" t="n"/>
      <c r="H1260" s="41" t="n"/>
      <c r="I1260" s="50" t="n"/>
      <c r="J1260" s="42" t="n"/>
      <c r="K1260" s="42" t="n"/>
      <c r="L1260" s="43">
        <f>IF($B1260="","",ROUND((N($J1260)+N($K1260))*نسبة_القيمة_المضافة,2))</f>
        <v/>
      </c>
      <c r="M1260" s="42" t="n"/>
      <c r="N1260" s="42" t="n"/>
      <c r="O1260" s="43">
        <f>IF($B1260="","",N($J1260)+N($K1260)+N($L1260)-N($M1260)+N($N1260))</f>
        <v/>
      </c>
      <c r="P1260" s="42" t="n"/>
      <c r="Q1260" s="43">
        <f>IF($B1260="","",N($O1260)-N($P1260))</f>
        <v/>
      </c>
      <c r="R1260" s="42" t="n"/>
      <c r="S1260" s="42" t="n"/>
      <c r="T1260" s="42" t="n"/>
      <c r="U1260" s="43">
        <f>IF($B1260="","",N($J1260)-N($R1260)-N($T1260))</f>
        <v/>
      </c>
      <c r="V1260" s="42" t="n"/>
    </row>
    <row r="1261">
      <c r="A1261" s="39">
        <f>IF($B1261="","",COUNTA($B$4:$B1261))</f>
        <v/>
      </c>
      <c r="B1261" s="45" t="n"/>
      <c r="C1261" s="46" t="n"/>
      <c r="D1261" s="46" t="n"/>
      <c r="E1261" s="46" t="n"/>
      <c r="F1261" s="46" t="n"/>
      <c r="G1261" s="46" t="n"/>
      <c r="H1261" s="46" t="n"/>
      <c r="I1261" s="51" t="n"/>
      <c r="J1261" s="47" t="n"/>
      <c r="K1261" s="47" t="n"/>
      <c r="L1261" s="43">
        <f>IF($B1261="","",ROUND((N($J1261)+N($K1261))*نسبة_القيمة_المضافة,2))</f>
        <v/>
      </c>
      <c r="M1261" s="47" t="n"/>
      <c r="N1261" s="47" t="n"/>
      <c r="O1261" s="43">
        <f>IF($B1261="","",N($J1261)+N($K1261)+N($L1261)-N($M1261)+N($N1261))</f>
        <v/>
      </c>
      <c r="P1261" s="47" t="n"/>
      <c r="Q1261" s="43">
        <f>IF($B1261="","",N($O1261)-N($P1261))</f>
        <v/>
      </c>
      <c r="R1261" s="47" t="n"/>
      <c r="S1261" s="47" t="n"/>
      <c r="T1261" s="47" t="n"/>
      <c r="U1261" s="43">
        <f>IF($B1261="","",N($J1261)-N($R1261)-N($T1261))</f>
        <v/>
      </c>
      <c r="V1261" s="47" t="n"/>
    </row>
    <row r="1262">
      <c r="A1262" s="39">
        <f>IF($B1262="","",COUNTA($B$4:$B1262))</f>
        <v/>
      </c>
      <c r="B1262" s="40" t="n"/>
      <c r="C1262" s="41" t="n"/>
      <c r="D1262" s="41" t="n"/>
      <c r="E1262" s="41" t="n"/>
      <c r="F1262" s="41" t="n"/>
      <c r="G1262" s="41" t="n"/>
      <c r="H1262" s="41" t="n"/>
      <c r="I1262" s="50" t="n"/>
      <c r="J1262" s="42" t="n"/>
      <c r="K1262" s="42" t="n"/>
      <c r="L1262" s="43">
        <f>IF($B1262="","",ROUND((N($J1262)+N($K1262))*نسبة_القيمة_المضافة,2))</f>
        <v/>
      </c>
      <c r="M1262" s="42" t="n"/>
      <c r="N1262" s="42" t="n"/>
      <c r="O1262" s="43">
        <f>IF($B1262="","",N($J1262)+N($K1262)+N($L1262)-N($M1262)+N($N1262))</f>
        <v/>
      </c>
      <c r="P1262" s="42" t="n"/>
      <c r="Q1262" s="43">
        <f>IF($B1262="","",N($O1262)-N($P1262))</f>
        <v/>
      </c>
      <c r="R1262" s="42" t="n"/>
      <c r="S1262" s="42" t="n"/>
      <c r="T1262" s="42" t="n"/>
      <c r="U1262" s="43">
        <f>IF($B1262="","",N($J1262)-N($R1262)-N($T1262))</f>
        <v/>
      </c>
      <c r="V1262" s="42" t="n"/>
    </row>
    <row r="1263">
      <c r="A1263" s="39">
        <f>IF($B1263="","",COUNTA($B$4:$B1263))</f>
        <v/>
      </c>
      <c r="B1263" s="45" t="n"/>
      <c r="C1263" s="46" t="n"/>
      <c r="D1263" s="46" t="n"/>
      <c r="E1263" s="46" t="n"/>
      <c r="F1263" s="46" t="n"/>
      <c r="G1263" s="46" t="n"/>
      <c r="H1263" s="46" t="n"/>
      <c r="I1263" s="51" t="n"/>
      <c r="J1263" s="47" t="n"/>
      <c r="K1263" s="47" t="n"/>
      <c r="L1263" s="43">
        <f>IF($B1263="","",ROUND((N($J1263)+N($K1263))*نسبة_القيمة_المضافة,2))</f>
        <v/>
      </c>
      <c r="M1263" s="47" t="n"/>
      <c r="N1263" s="47" t="n"/>
      <c r="O1263" s="43">
        <f>IF($B1263="","",N($J1263)+N($K1263)+N($L1263)-N($M1263)+N($N1263))</f>
        <v/>
      </c>
      <c r="P1263" s="47" t="n"/>
      <c r="Q1263" s="43">
        <f>IF($B1263="","",N($O1263)-N($P1263))</f>
        <v/>
      </c>
      <c r="R1263" s="47" t="n"/>
      <c r="S1263" s="47" t="n"/>
      <c r="T1263" s="47" t="n"/>
      <c r="U1263" s="43">
        <f>IF($B1263="","",N($J1263)-N($R1263)-N($T1263))</f>
        <v/>
      </c>
      <c r="V1263" s="47" t="n"/>
    </row>
    <row r="1264">
      <c r="A1264" s="39">
        <f>IF($B1264="","",COUNTA($B$4:$B1264))</f>
        <v/>
      </c>
      <c r="B1264" s="40" t="n"/>
      <c r="C1264" s="41" t="n"/>
      <c r="D1264" s="41" t="n"/>
      <c r="E1264" s="41" t="n"/>
      <c r="F1264" s="41" t="n"/>
      <c r="G1264" s="41" t="n"/>
      <c r="H1264" s="41" t="n"/>
      <c r="I1264" s="50" t="n"/>
      <c r="J1264" s="42" t="n"/>
      <c r="K1264" s="42" t="n"/>
      <c r="L1264" s="43">
        <f>IF($B1264="","",ROUND((N($J1264)+N($K1264))*نسبة_القيمة_المضافة,2))</f>
        <v/>
      </c>
      <c r="M1264" s="42" t="n"/>
      <c r="N1264" s="42" t="n"/>
      <c r="O1264" s="43">
        <f>IF($B1264="","",N($J1264)+N($K1264)+N($L1264)-N($M1264)+N($N1264))</f>
        <v/>
      </c>
      <c r="P1264" s="42" t="n"/>
      <c r="Q1264" s="43">
        <f>IF($B1264="","",N($O1264)-N($P1264))</f>
        <v/>
      </c>
      <c r="R1264" s="42" t="n"/>
      <c r="S1264" s="42" t="n"/>
      <c r="T1264" s="42" t="n"/>
      <c r="U1264" s="43">
        <f>IF($B1264="","",N($J1264)-N($R1264)-N($T1264))</f>
        <v/>
      </c>
      <c r="V1264" s="42" t="n"/>
    </row>
    <row r="1265">
      <c r="A1265" s="39">
        <f>IF($B1265="","",COUNTA($B$4:$B1265))</f>
        <v/>
      </c>
      <c r="B1265" s="45" t="n"/>
      <c r="C1265" s="46" t="n"/>
      <c r="D1265" s="46" t="n"/>
      <c r="E1265" s="46" t="n"/>
      <c r="F1265" s="46" t="n"/>
      <c r="G1265" s="46" t="n"/>
      <c r="H1265" s="46" t="n"/>
      <c r="I1265" s="51" t="n"/>
      <c r="J1265" s="47" t="n"/>
      <c r="K1265" s="47" t="n"/>
      <c r="L1265" s="43">
        <f>IF($B1265="","",ROUND((N($J1265)+N($K1265))*نسبة_القيمة_المضافة,2))</f>
        <v/>
      </c>
      <c r="M1265" s="47" t="n"/>
      <c r="N1265" s="47" t="n"/>
      <c r="O1265" s="43">
        <f>IF($B1265="","",N($J1265)+N($K1265)+N($L1265)-N($M1265)+N($N1265))</f>
        <v/>
      </c>
      <c r="P1265" s="47" t="n"/>
      <c r="Q1265" s="43">
        <f>IF($B1265="","",N($O1265)-N($P1265))</f>
        <v/>
      </c>
      <c r="R1265" s="47" t="n"/>
      <c r="S1265" s="47" t="n"/>
      <c r="T1265" s="47" t="n"/>
      <c r="U1265" s="43">
        <f>IF($B1265="","",N($J1265)-N($R1265)-N($T1265))</f>
        <v/>
      </c>
      <c r="V1265" s="47" t="n"/>
    </row>
    <row r="1266">
      <c r="A1266" s="39">
        <f>IF($B1266="","",COUNTA($B$4:$B1266))</f>
        <v/>
      </c>
      <c r="B1266" s="40" t="n"/>
      <c r="C1266" s="41" t="n"/>
      <c r="D1266" s="41" t="n"/>
      <c r="E1266" s="41" t="n"/>
      <c r="F1266" s="41" t="n"/>
      <c r="G1266" s="41" t="n"/>
      <c r="H1266" s="41" t="n"/>
      <c r="I1266" s="50" t="n"/>
      <c r="J1266" s="42" t="n"/>
      <c r="K1266" s="42" t="n"/>
      <c r="L1266" s="43">
        <f>IF($B1266="","",ROUND((N($J1266)+N($K1266))*نسبة_القيمة_المضافة,2))</f>
        <v/>
      </c>
      <c r="M1266" s="42" t="n"/>
      <c r="N1266" s="42" t="n"/>
      <c r="O1266" s="43">
        <f>IF($B1266="","",N($J1266)+N($K1266)+N($L1266)-N($M1266)+N($N1266))</f>
        <v/>
      </c>
      <c r="P1266" s="42" t="n"/>
      <c r="Q1266" s="43">
        <f>IF($B1266="","",N($O1266)-N($P1266))</f>
        <v/>
      </c>
      <c r="R1266" s="42" t="n"/>
      <c r="S1266" s="42" t="n"/>
      <c r="T1266" s="42" t="n"/>
      <c r="U1266" s="43">
        <f>IF($B1266="","",N($J1266)-N($R1266)-N($T1266))</f>
        <v/>
      </c>
      <c r="V1266" s="42" t="n"/>
    </row>
    <row r="1267">
      <c r="A1267" s="39">
        <f>IF($B1267="","",COUNTA($B$4:$B1267))</f>
        <v/>
      </c>
      <c r="B1267" s="45" t="n"/>
      <c r="C1267" s="46" t="n"/>
      <c r="D1267" s="46" t="n"/>
      <c r="E1267" s="46" t="n"/>
      <c r="F1267" s="46" t="n"/>
      <c r="G1267" s="46" t="n"/>
      <c r="H1267" s="46" t="n"/>
      <c r="I1267" s="51" t="n"/>
      <c r="J1267" s="47" t="n"/>
      <c r="K1267" s="47" t="n"/>
      <c r="L1267" s="43">
        <f>IF($B1267="","",ROUND((N($J1267)+N($K1267))*نسبة_القيمة_المضافة,2))</f>
        <v/>
      </c>
      <c r="M1267" s="47" t="n"/>
      <c r="N1267" s="47" t="n"/>
      <c r="O1267" s="43">
        <f>IF($B1267="","",N($J1267)+N($K1267)+N($L1267)-N($M1267)+N($N1267))</f>
        <v/>
      </c>
      <c r="P1267" s="47" t="n"/>
      <c r="Q1267" s="43">
        <f>IF($B1267="","",N($O1267)-N($P1267))</f>
        <v/>
      </c>
      <c r="R1267" s="47" t="n"/>
      <c r="S1267" s="47" t="n"/>
      <c r="T1267" s="47" t="n"/>
      <c r="U1267" s="43">
        <f>IF($B1267="","",N($J1267)-N($R1267)-N($T1267))</f>
        <v/>
      </c>
      <c r="V1267" s="47" t="n"/>
    </row>
    <row r="1268">
      <c r="A1268" s="39">
        <f>IF($B1268="","",COUNTA($B$4:$B1268))</f>
        <v/>
      </c>
      <c r="B1268" s="40" t="n"/>
      <c r="C1268" s="41" t="n"/>
      <c r="D1268" s="41" t="n"/>
      <c r="E1268" s="41" t="n"/>
      <c r="F1268" s="41" t="n"/>
      <c r="G1268" s="41" t="n"/>
      <c r="H1268" s="41" t="n"/>
      <c r="I1268" s="50" t="n"/>
      <c r="J1268" s="42" t="n"/>
      <c r="K1268" s="42" t="n"/>
      <c r="L1268" s="43">
        <f>IF($B1268="","",ROUND((N($J1268)+N($K1268))*نسبة_القيمة_المضافة,2))</f>
        <v/>
      </c>
      <c r="M1268" s="42" t="n"/>
      <c r="N1268" s="42" t="n"/>
      <c r="O1268" s="43">
        <f>IF($B1268="","",N($J1268)+N($K1268)+N($L1268)-N($M1268)+N($N1268))</f>
        <v/>
      </c>
      <c r="P1268" s="42" t="n"/>
      <c r="Q1268" s="43">
        <f>IF($B1268="","",N($O1268)-N($P1268))</f>
        <v/>
      </c>
      <c r="R1268" s="42" t="n"/>
      <c r="S1268" s="42" t="n"/>
      <c r="T1268" s="42" t="n"/>
      <c r="U1268" s="43">
        <f>IF($B1268="","",N($J1268)-N($R1268)-N($T1268))</f>
        <v/>
      </c>
      <c r="V1268" s="42" t="n"/>
    </row>
    <row r="1269">
      <c r="A1269" s="39">
        <f>IF($B1269="","",COUNTA($B$4:$B1269))</f>
        <v/>
      </c>
      <c r="B1269" s="45" t="n"/>
      <c r="C1269" s="46" t="n"/>
      <c r="D1269" s="46" t="n"/>
      <c r="E1269" s="46" t="n"/>
      <c r="F1269" s="46" t="n"/>
      <c r="G1269" s="46" t="n"/>
      <c r="H1269" s="46" t="n"/>
      <c r="I1269" s="51" t="n"/>
      <c r="J1269" s="47" t="n"/>
      <c r="K1269" s="47" t="n"/>
      <c r="L1269" s="43">
        <f>IF($B1269="","",ROUND((N($J1269)+N($K1269))*نسبة_القيمة_المضافة,2))</f>
        <v/>
      </c>
      <c r="M1269" s="47" t="n"/>
      <c r="N1269" s="47" t="n"/>
      <c r="O1269" s="43">
        <f>IF($B1269="","",N($J1269)+N($K1269)+N($L1269)-N($M1269)+N($N1269))</f>
        <v/>
      </c>
      <c r="P1269" s="47" t="n"/>
      <c r="Q1269" s="43">
        <f>IF($B1269="","",N($O1269)-N($P1269))</f>
        <v/>
      </c>
      <c r="R1269" s="47" t="n"/>
      <c r="S1269" s="47" t="n"/>
      <c r="T1269" s="47" t="n"/>
      <c r="U1269" s="43">
        <f>IF($B1269="","",N($J1269)-N($R1269)-N($T1269))</f>
        <v/>
      </c>
      <c r="V1269" s="47" t="n"/>
    </row>
    <row r="1270">
      <c r="A1270" s="39">
        <f>IF($B1270="","",COUNTA($B$4:$B1270))</f>
        <v/>
      </c>
      <c r="B1270" s="40" t="n"/>
      <c r="C1270" s="41" t="n"/>
      <c r="D1270" s="41" t="n"/>
      <c r="E1270" s="41" t="n"/>
      <c r="F1270" s="41" t="n"/>
      <c r="G1270" s="41" t="n"/>
      <c r="H1270" s="41" t="n"/>
      <c r="I1270" s="50" t="n"/>
      <c r="J1270" s="42" t="n"/>
      <c r="K1270" s="42" t="n"/>
      <c r="L1270" s="43">
        <f>IF($B1270="","",ROUND((N($J1270)+N($K1270))*نسبة_القيمة_المضافة,2))</f>
        <v/>
      </c>
      <c r="M1270" s="42" t="n"/>
      <c r="N1270" s="42" t="n"/>
      <c r="O1270" s="43">
        <f>IF($B1270="","",N($J1270)+N($K1270)+N($L1270)-N($M1270)+N($N1270))</f>
        <v/>
      </c>
      <c r="P1270" s="42" t="n"/>
      <c r="Q1270" s="43">
        <f>IF($B1270="","",N($O1270)-N($P1270))</f>
        <v/>
      </c>
      <c r="R1270" s="42" t="n"/>
      <c r="S1270" s="42" t="n"/>
      <c r="T1270" s="42" t="n"/>
      <c r="U1270" s="43">
        <f>IF($B1270="","",N($J1270)-N($R1270)-N($T1270))</f>
        <v/>
      </c>
      <c r="V1270" s="42" t="n"/>
    </row>
    <row r="1271">
      <c r="A1271" s="39">
        <f>IF($B1271="","",COUNTA($B$4:$B1271))</f>
        <v/>
      </c>
      <c r="B1271" s="45" t="n"/>
      <c r="C1271" s="46" t="n"/>
      <c r="D1271" s="46" t="n"/>
      <c r="E1271" s="46" t="n"/>
      <c r="F1271" s="46" t="n"/>
      <c r="G1271" s="46" t="n"/>
      <c r="H1271" s="46" t="n"/>
      <c r="I1271" s="51" t="n"/>
      <c r="J1271" s="47" t="n"/>
      <c r="K1271" s="47" t="n"/>
      <c r="L1271" s="43">
        <f>IF($B1271="","",ROUND((N($J1271)+N($K1271))*نسبة_القيمة_المضافة,2))</f>
        <v/>
      </c>
      <c r="M1271" s="47" t="n"/>
      <c r="N1271" s="47" t="n"/>
      <c r="O1271" s="43">
        <f>IF($B1271="","",N($J1271)+N($K1271)+N($L1271)-N($M1271)+N($N1271))</f>
        <v/>
      </c>
      <c r="P1271" s="47" t="n"/>
      <c r="Q1271" s="43">
        <f>IF($B1271="","",N($O1271)-N($P1271))</f>
        <v/>
      </c>
      <c r="R1271" s="47" t="n"/>
      <c r="S1271" s="47" t="n"/>
      <c r="T1271" s="47" t="n"/>
      <c r="U1271" s="43">
        <f>IF($B1271="","",N($J1271)-N($R1271)-N($T1271))</f>
        <v/>
      </c>
      <c r="V1271" s="47" t="n"/>
    </row>
    <row r="1272">
      <c r="A1272" s="39">
        <f>IF($B1272="","",COUNTA($B$4:$B1272))</f>
        <v/>
      </c>
      <c r="B1272" s="40" t="n"/>
      <c r="C1272" s="41" t="n"/>
      <c r="D1272" s="41" t="n"/>
      <c r="E1272" s="41" t="n"/>
      <c r="F1272" s="41" t="n"/>
      <c r="G1272" s="41" t="n"/>
      <c r="H1272" s="41" t="n"/>
      <c r="I1272" s="50" t="n"/>
      <c r="J1272" s="42" t="n"/>
      <c r="K1272" s="42" t="n"/>
      <c r="L1272" s="43">
        <f>IF($B1272="","",ROUND((N($J1272)+N($K1272))*نسبة_القيمة_المضافة,2))</f>
        <v/>
      </c>
      <c r="M1272" s="42" t="n"/>
      <c r="N1272" s="42" t="n"/>
      <c r="O1272" s="43">
        <f>IF($B1272="","",N($J1272)+N($K1272)+N($L1272)-N($M1272)+N($N1272))</f>
        <v/>
      </c>
      <c r="P1272" s="42" t="n"/>
      <c r="Q1272" s="43">
        <f>IF($B1272="","",N($O1272)-N($P1272))</f>
        <v/>
      </c>
      <c r="R1272" s="42" t="n"/>
      <c r="S1272" s="42" t="n"/>
      <c r="T1272" s="42" t="n"/>
      <c r="U1272" s="43">
        <f>IF($B1272="","",N($J1272)-N($R1272)-N($T1272))</f>
        <v/>
      </c>
      <c r="V1272" s="42" t="n"/>
    </row>
    <row r="1273">
      <c r="A1273" s="39">
        <f>IF($B1273="","",COUNTA($B$4:$B1273))</f>
        <v/>
      </c>
      <c r="B1273" s="45" t="n"/>
      <c r="C1273" s="46" t="n"/>
      <c r="D1273" s="46" t="n"/>
      <c r="E1273" s="46" t="n"/>
      <c r="F1273" s="46" t="n"/>
      <c r="G1273" s="46" t="n"/>
      <c r="H1273" s="46" t="n"/>
      <c r="I1273" s="51" t="n"/>
      <c r="J1273" s="47" t="n"/>
      <c r="K1273" s="47" t="n"/>
      <c r="L1273" s="43">
        <f>IF($B1273="","",ROUND((N($J1273)+N($K1273))*نسبة_القيمة_المضافة,2))</f>
        <v/>
      </c>
      <c r="M1273" s="47" t="n"/>
      <c r="N1273" s="47" t="n"/>
      <c r="O1273" s="43">
        <f>IF($B1273="","",N($J1273)+N($K1273)+N($L1273)-N($M1273)+N($N1273))</f>
        <v/>
      </c>
      <c r="P1273" s="47" t="n"/>
      <c r="Q1273" s="43">
        <f>IF($B1273="","",N($O1273)-N($P1273))</f>
        <v/>
      </c>
      <c r="R1273" s="47" t="n"/>
      <c r="S1273" s="47" t="n"/>
      <c r="T1273" s="47" t="n"/>
      <c r="U1273" s="43">
        <f>IF($B1273="","",N($J1273)-N($R1273)-N($T1273))</f>
        <v/>
      </c>
      <c r="V1273" s="47" t="n"/>
    </row>
    <row r="1274">
      <c r="A1274" s="39">
        <f>IF($B1274="","",COUNTA($B$4:$B1274))</f>
        <v/>
      </c>
      <c r="B1274" s="40" t="n"/>
      <c r="C1274" s="41" t="n"/>
      <c r="D1274" s="41" t="n"/>
      <c r="E1274" s="41" t="n"/>
      <c r="F1274" s="41" t="n"/>
      <c r="G1274" s="41" t="n"/>
      <c r="H1274" s="41" t="n"/>
      <c r="I1274" s="50" t="n"/>
      <c r="J1274" s="42" t="n"/>
      <c r="K1274" s="42" t="n"/>
      <c r="L1274" s="43">
        <f>IF($B1274="","",ROUND((N($J1274)+N($K1274))*نسبة_القيمة_المضافة,2))</f>
        <v/>
      </c>
      <c r="M1274" s="42" t="n"/>
      <c r="N1274" s="42" t="n"/>
      <c r="O1274" s="43">
        <f>IF($B1274="","",N($J1274)+N($K1274)+N($L1274)-N($M1274)+N($N1274))</f>
        <v/>
      </c>
      <c r="P1274" s="42" t="n"/>
      <c r="Q1274" s="43">
        <f>IF($B1274="","",N($O1274)-N($P1274))</f>
        <v/>
      </c>
      <c r="R1274" s="42" t="n"/>
      <c r="S1274" s="42" t="n"/>
      <c r="T1274" s="42" t="n"/>
      <c r="U1274" s="43">
        <f>IF($B1274="","",N($J1274)-N($R1274)-N($T1274))</f>
        <v/>
      </c>
      <c r="V1274" s="42" t="n"/>
    </row>
    <row r="1275">
      <c r="A1275" s="39">
        <f>IF($B1275="","",COUNTA($B$4:$B1275))</f>
        <v/>
      </c>
      <c r="B1275" s="45" t="n"/>
      <c r="C1275" s="46" t="n"/>
      <c r="D1275" s="46" t="n"/>
      <c r="E1275" s="46" t="n"/>
      <c r="F1275" s="46" t="n"/>
      <c r="G1275" s="46" t="n"/>
      <c r="H1275" s="46" t="n"/>
      <c r="I1275" s="51" t="n"/>
      <c r="J1275" s="47" t="n"/>
      <c r="K1275" s="47" t="n"/>
      <c r="L1275" s="43">
        <f>IF($B1275="","",ROUND((N($J1275)+N($K1275))*نسبة_القيمة_المضافة,2))</f>
        <v/>
      </c>
      <c r="M1275" s="47" t="n"/>
      <c r="N1275" s="47" t="n"/>
      <c r="O1275" s="43">
        <f>IF($B1275="","",N($J1275)+N($K1275)+N($L1275)-N($M1275)+N($N1275))</f>
        <v/>
      </c>
      <c r="P1275" s="47" t="n"/>
      <c r="Q1275" s="43">
        <f>IF($B1275="","",N($O1275)-N($P1275))</f>
        <v/>
      </c>
      <c r="R1275" s="47" t="n"/>
      <c r="S1275" s="47" t="n"/>
      <c r="T1275" s="47" t="n"/>
      <c r="U1275" s="43">
        <f>IF($B1275="","",N($J1275)-N($R1275)-N($T1275))</f>
        <v/>
      </c>
      <c r="V1275" s="47" t="n"/>
    </row>
    <row r="1276">
      <c r="A1276" s="39">
        <f>IF($B1276="","",COUNTA($B$4:$B1276))</f>
        <v/>
      </c>
      <c r="B1276" s="40" t="n"/>
      <c r="C1276" s="41" t="n"/>
      <c r="D1276" s="41" t="n"/>
      <c r="E1276" s="41" t="n"/>
      <c r="F1276" s="41" t="n"/>
      <c r="G1276" s="41" t="n"/>
      <c r="H1276" s="41" t="n"/>
      <c r="I1276" s="50" t="n"/>
      <c r="J1276" s="42" t="n"/>
      <c r="K1276" s="42" t="n"/>
      <c r="L1276" s="43">
        <f>IF($B1276="","",ROUND((N($J1276)+N($K1276))*نسبة_القيمة_المضافة,2))</f>
        <v/>
      </c>
      <c r="M1276" s="42" t="n"/>
      <c r="N1276" s="42" t="n"/>
      <c r="O1276" s="43">
        <f>IF($B1276="","",N($J1276)+N($K1276)+N($L1276)-N($M1276)+N($N1276))</f>
        <v/>
      </c>
      <c r="P1276" s="42" t="n"/>
      <c r="Q1276" s="43">
        <f>IF($B1276="","",N($O1276)-N($P1276))</f>
        <v/>
      </c>
      <c r="R1276" s="42" t="n"/>
      <c r="S1276" s="42" t="n"/>
      <c r="T1276" s="42" t="n"/>
      <c r="U1276" s="43">
        <f>IF($B1276="","",N($J1276)-N($R1276)-N($T1276))</f>
        <v/>
      </c>
      <c r="V1276" s="42" t="n"/>
    </row>
    <row r="1277">
      <c r="A1277" s="39">
        <f>IF($B1277="","",COUNTA($B$4:$B1277))</f>
        <v/>
      </c>
      <c r="B1277" s="45" t="n"/>
      <c r="C1277" s="46" t="n"/>
      <c r="D1277" s="46" t="n"/>
      <c r="E1277" s="46" t="n"/>
      <c r="F1277" s="46" t="n"/>
      <c r="G1277" s="46" t="n"/>
      <c r="H1277" s="46" t="n"/>
      <c r="I1277" s="51" t="n"/>
      <c r="J1277" s="47" t="n"/>
      <c r="K1277" s="47" t="n"/>
      <c r="L1277" s="43">
        <f>IF($B1277="","",ROUND((N($J1277)+N($K1277))*نسبة_القيمة_المضافة,2))</f>
        <v/>
      </c>
      <c r="M1277" s="47" t="n"/>
      <c r="N1277" s="47" t="n"/>
      <c r="O1277" s="43">
        <f>IF($B1277="","",N($J1277)+N($K1277)+N($L1277)-N($M1277)+N($N1277))</f>
        <v/>
      </c>
      <c r="P1277" s="47" t="n"/>
      <c r="Q1277" s="43">
        <f>IF($B1277="","",N($O1277)-N($P1277))</f>
        <v/>
      </c>
      <c r="R1277" s="47" t="n"/>
      <c r="S1277" s="47" t="n"/>
      <c r="T1277" s="47" t="n"/>
      <c r="U1277" s="43">
        <f>IF($B1277="","",N($J1277)-N($R1277)-N($T1277))</f>
        <v/>
      </c>
      <c r="V1277" s="47" t="n"/>
    </row>
    <row r="1278">
      <c r="A1278" s="39">
        <f>IF($B1278="","",COUNTA($B$4:$B1278))</f>
        <v/>
      </c>
      <c r="B1278" s="40" t="n"/>
      <c r="C1278" s="41" t="n"/>
      <c r="D1278" s="41" t="n"/>
      <c r="E1278" s="41" t="n"/>
      <c r="F1278" s="41" t="n"/>
      <c r="G1278" s="41" t="n"/>
      <c r="H1278" s="41" t="n"/>
      <c r="I1278" s="50" t="n"/>
      <c r="J1278" s="42" t="n"/>
      <c r="K1278" s="42" t="n"/>
      <c r="L1278" s="43">
        <f>IF($B1278="","",ROUND((N($J1278)+N($K1278))*نسبة_القيمة_المضافة,2))</f>
        <v/>
      </c>
      <c r="M1278" s="42" t="n"/>
      <c r="N1278" s="42" t="n"/>
      <c r="O1278" s="43">
        <f>IF($B1278="","",N($J1278)+N($K1278)+N($L1278)-N($M1278)+N($N1278))</f>
        <v/>
      </c>
      <c r="P1278" s="42" t="n"/>
      <c r="Q1278" s="43">
        <f>IF($B1278="","",N($O1278)-N($P1278))</f>
        <v/>
      </c>
      <c r="R1278" s="42" t="n"/>
      <c r="S1278" s="42" t="n"/>
      <c r="T1278" s="42" t="n"/>
      <c r="U1278" s="43">
        <f>IF($B1278="","",N($J1278)-N($R1278)-N($T1278))</f>
        <v/>
      </c>
      <c r="V1278" s="42" t="n"/>
    </row>
    <row r="1279">
      <c r="A1279" s="39">
        <f>IF($B1279="","",COUNTA($B$4:$B1279))</f>
        <v/>
      </c>
      <c r="B1279" s="45" t="n"/>
      <c r="C1279" s="46" t="n"/>
      <c r="D1279" s="46" t="n"/>
      <c r="E1279" s="46" t="n"/>
      <c r="F1279" s="46" t="n"/>
      <c r="G1279" s="46" t="n"/>
      <c r="H1279" s="46" t="n"/>
      <c r="I1279" s="51" t="n"/>
      <c r="J1279" s="47" t="n"/>
      <c r="K1279" s="47" t="n"/>
      <c r="L1279" s="43">
        <f>IF($B1279="","",ROUND((N($J1279)+N($K1279))*نسبة_القيمة_المضافة,2))</f>
        <v/>
      </c>
      <c r="M1279" s="47" t="n"/>
      <c r="N1279" s="47" t="n"/>
      <c r="O1279" s="43">
        <f>IF($B1279="","",N($J1279)+N($K1279)+N($L1279)-N($M1279)+N($N1279))</f>
        <v/>
      </c>
      <c r="P1279" s="47" t="n"/>
      <c r="Q1279" s="43">
        <f>IF($B1279="","",N($O1279)-N($P1279))</f>
        <v/>
      </c>
      <c r="R1279" s="47" t="n"/>
      <c r="S1279" s="47" t="n"/>
      <c r="T1279" s="47" t="n"/>
      <c r="U1279" s="43">
        <f>IF($B1279="","",N($J1279)-N($R1279)-N($T1279))</f>
        <v/>
      </c>
      <c r="V1279" s="47" t="n"/>
    </row>
    <row r="1280">
      <c r="A1280" s="39">
        <f>IF($B1280="","",COUNTA($B$4:$B1280))</f>
        <v/>
      </c>
      <c r="B1280" s="40" t="n"/>
      <c r="C1280" s="41" t="n"/>
      <c r="D1280" s="41" t="n"/>
      <c r="E1280" s="41" t="n"/>
      <c r="F1280" s="41" t="n"/>
      <c r="G1280" s="41" t="n"/>
      <c r="H1280" s="41" t="n"/>
      <c r="I1280" s="50" t="n"/>
      <c r="J1280" s="42" t="n"/>
      <c r="K1280" s="42" t="n"/>
      <c r="L1280" s="43">
        <f>IF($B1280="","",ROUND((N($J1280)+N($K1280))*نسبة_القيمة_المضافة,2))</f>
        <v/>
      </c>
      <c r="M1280" s="42" t="n"/>
      <c r="N1280" s="42" t="n"/>
      <c r="O1280" s="43">
        <f>IF($B1280="","",N($J1280)+N($K1280)+N($L1280)-N($M1280)+N($N1280))</f>
        <v/>
      </c>
      <c r="P1280" s="42" t="n"/>
      <c r="Q1280" s="43">
        <f>IF($B1280="","",N($O1280)-N($P1280))</f>
        <v/>
      </c>
      <c r="R1280" s="42" t="n"/>
      <c r="S1280" s="42" t="n"/>
      <c r="T1280" s="42" t="n"/>
      <c r="U1280" s="43">
        <f>IF($B1280="","",N($J1280)-N($R1280)-N($T1280))</f>
        <v/>
      </c>
      <c r="V1280" s="42" t="n"/>
    </row>
    <row r="1281">
      <c r="A1281" s="39">
        <f>IF($B1281="","",COUNTA($B$4:$B1281))</f>
        <v/>
      </c>
      <c r="B1281" s="45" t="n"/>
      <c r="C1281" s="46" t="n"/>
      <c r="D1281" s="46" t="n"/>
      <c r="E1281" s="46" t="n"/>
      <c r="F1281" s="46" t="n"/>
      <c r="G1281" s="46" t="n"/>
      <c r="H1281" s="46" t="n"/>
      <c r="I1281" s="51" t="n"/>
      <c r="J1281" s="47" t="n"/>
      <c r="K1281" s="47" t="n"/>
      <c r="L1281" s="43">
        <f>IF($B1281="","",ROUND((N($J1281)+N($K1281))*نسبة_القيمة_المضافة,2))</f>
        <v/>
      </c>
      <c r="M1281" s="47" t="n"/>
      <c r="N1281" s="47" t="n"/>
      <c r="O1281" s="43">
        <f>IF($B1281="","",N($J1281)+N($K1281)+N($L1281)-N($M1281)+N($N1281))</f>
        <v/>
      </c>
      <c r="P1281" s="47" t="n"/>
      <c r="Q1281" s="43">
        <f>IF($B1281="","",N($O1281)-N($P1281))</f>
        <v/>
      </c>
      <c r="R1281" s="47" t="n"/>
      <c r="S1281" s="47" t="n"/>
      <c r="T1281" s="47" t="n"/>
      <c r="U1281" s="43">
        <f>IF($B1281="","",N($J1281)-N($R1281)-N($T1281))</f>
        <v/>
      </c>
      <c r="V1281" s="47" t="n"/>
    </row>
    <row r="1282">
      <c r="A1282" s="39">
        <f>IF($B1282="","",COUNTA($B$4:$B1282))</f>
        <v/>
      </c>
      <c r="B1282" s="40" t="n"/>
      <c r="C1282" s="41" t="n"/>
      <c r="D1282" s="41" t="n"/>
      <c r="E1282" s="41" t="n"/>
      <c r="F1282" s="41" t="n"/>
      <c r="G1282" s="41" t="n"/>
      <c r="H1282" s="41" t="n"/>
      <c r="I1282" s="50" t="n"/>
      <c r="J1282" s="42" t="n"/>
      <c r="K1282" s="42" t="n"/>
      <c r="L1282" s="43">
        <f>IF($B1282="","",ROUND((N($J1282)+N($K1282))*نسبة_القيمة_المضافة,2))</f>
        <v/>
      </c>
      <c r="M1282" s="42" t="n"/>
      <c r="N1282" s="42" t="n"/>
      <c r="O1282" s="43">
        <f>IF($B1282="","",N($J1282)+N($K1282)+N($L1282)-N($M1282)+N($N1282))</f>
        <v/>
      </c>
      <c r="P1282" s="42" t="n"/>
      <c r="Q1282" s="43">
        <f>IF($B1282="","",N($O1282)-N($P1282))</f>
        <v/>
      </c>
      <c r="R1282" s="42" t="n"/>
      <c r="S1282" s="42" t="n"/>
      <c r="T1282" s="42" t="n"/>
      <c r="U1282" s="43">
        <f>IF($B1282="","",N($J1282)-N($R1282)-N($T1282))</f>
        <v/>
      </c>
      <c r="V1282" s="42" t="n"/>
    </row>
    <row r="1283">
      <c r="A1283" s="39">
        <f>IF($B1283="","",COUNTA($B$4:$B1283))</f>
        <v/>
      </c>
      <c r="B1283" s="45" t="n"/>
      <c r="C1283" s="46" t="n"/>
      <c r="D1283" s="46" t="n"/>
      <c r="E1283" s="46" t="n"/>
      <c r="F1283" s="46" t="n"/>
      <c r="G1283" s="46" t="n"/>
      <c r="H1283" s="46" t="n"/>
      <c r="I1283" s="51" t="n"/>
      <c r="J1283" s="47" t="n"/>
      <c r="K1283" s="47" t="n"/>
      <c r="L1283" s="43">
        <f>IF($B1283="","",ROUND((N($J1283)+N($K1283))*نسبة_القيمة_المضافة,2))</f>
        <v/>
      </c>
      <c r="M1283" s="47" t="n"/>
      <c r="N1283" s="47" t="n"/>
      <c r="O1283" s="43">
        <f>IF($B1283="","",N($J1283)+N($K1283)+N($L1283)-N($M1283)+N($N1283))</f>
        <v/>
      </c>
      <c r="P1283" s="47" t="n"/>
      <c r="Q1283" s="43">
        <f>IF($B1283="","",N($O1283)-N($P1283))</f>
        <v/>
      </c>
      <c r="R1283" s="47" t="n"/>
      <c r="S1283" s="47" t="n"/>
      <c r="T1283" s="47" t="n"/>
      <c r="U1283" s="43">
        <f>IF($B1283="","",N($J1283)-N($R1283)-N($T1283))</f>
        <v/>
      </c>
      <c r="V1283" s="47" t="n"/>
    </row>
    <row r="1284">
      <c r="A1284" s="39">
        <f>IF($B1284="","",COUNTA($B$4:$B1284))</f>
        <v/>
      </c>
      <c r="B1284" s="40" t="n"/>
      <c r="C1284" s="41" t="n"/>
      <c r="D1284" s="41" t="n"/>
      <c r="E1284" s="41" t="n"/>
      <c r="F1284" s="41" t="n"/>
      <c r="G1284" s="41" t="n"/>
      <c r="H1284" s="41" t="n"/>
      <c r="I1284" s="50" t="n"/>
      <c r="J1284" s="42" t="n"/>
      <c r="K1284" s="42" t="n"/>
      <c r="L1284" s="43">
        <f>IF($B1284="","",ROUND((N($J1284)+N($K1284))*نسبة_القيمة_المضافة,2))</f>
        <v/>
      </c>
      <c r="M1284" s="42" t="n"/>
      <c r="N1284" s="42" t="n"/>
      <c r="O1284" s="43">
        <f>IF($B1284="","",N($J1284)+N($K1284)+N($L1284)-N($M1284)+N($N1284))</f>
        <v/>
      </c>
      <c r="P1284" s="42" t="n"/>
      <c r="Q1284" s="43">
        <f>IF($B1284="","",N($O1284)-N($P1284))</f>
        <v/>
      </c>
      <c r="R1284" s="42" t="n"/>
      <c r="S1284" s="42" t="n"/>
      <c r="T1284" s="42" t="n"/>
      <c r="U1284" s="43">
        <f>IF($B1284="","",N($J1284)-N($R1284)-N($T1284))</f>
        <v/>
      </c>
      <c r="V1284" s="42" t="n"/>
    </row>
    <row r="1285">
      <c r="A1285" s="39">
        <f>IF($B1285="","",COUNTA($B$4:$B1285))</f>
        <v/>
      </c>
      <c r="B1285" s="45" t="n"/>
      <c r="C1285" s="46" t="n"/>
      <c r="D1285" s="46" t="n"/>
      <c r="E1285" s="46" t="n"/>
      <c r="F1285" s="46" t="n"/>
      <c r="G1285" s="46" t="n"/>
      <c r="H1285" s="46" t="n"/>
      <c r="I1285" s="51" t="n"/>
      <c r="J1285" s="47" t="n"/>
      <c r="K1285" s="47" t="n"/>
      <c r="L1285" s="43">
        <f>IF($B1285="","",ROUND((N($J1285)+N($K1285))*نسبة_القيمة_المضافة,2))</f>
        <v/>
      </c>
      <c r="M1285" s="47" t="n"/>
      <c r="N1285" s="47" t="n"/>
      <c r="O1285" s="43">
        <f>IF($B1285="","",N($J1285)+N($K1285)+N($L1285)-N($M1285)+N($N1285))</f>
        <v/>
      </c>
      <c r="P1285" s="47" t="n"/>
      <c r="Q1285" s="43">
        <f>IF($B1285="","",N($O1285)-N($P1285))</f>
        <v/>
      </c>
      <c r="R1285" s="47" t="n"/>
      <c r="S1285" s="47" t="n"/>
      <c r="T1285" s="47" t="n"/>
      <c r="U1285" s="43">
        <f>IF($B1285="","",N($J1285)-N($R1285)-N($T1285))</f>
        <v/>
      </c>
      <c r="V1285" s="47" t="n"/>
    </row>
    <row r="1286">
      <c r="A1286" s="39">
        <f>IF($B1286="","",COUNTA($B$4:$B1286))</f>
        <v/>
      </c>
      <c r="B1286" s="40" t="n"/>
      <c r="C1286" s="41" t="n"/>
      <c r="D1286" s="41" t="n"/>
      <c r="E1286" s="41" t="n"/>
      <c r="F1286" s="41" t="n"/>
      <c r="G1286" s="41" t="n"/>
      <c r="H1286" s="41" t="n"/>
      <c r="I1286" s="50" t="n"/>
      <c r="J1286" s="42" t="n"/>
      <c r="K1286" s="42" t="n"/>
      <c r="L1286" s="43">
        <f>IF($B1286="","",ROUND((N($J1286)+N($K1286))*نسبة_القيمة_المضافة,2))</f>
        <v/>
      </c>
      <c r="M1286" s="42" t="n"/>
      <c r="N1286" s="42" t="n"/>
      <c r="O1286" s="43">
        <f>IF($B1286="","",N($J1286)+N($K1286)+N($L1286)-N($M1286)+N($N1286))</f>
        <v/>
      </c>
      <c r="P1286" s="42" t="n"/>
      <c r="Q1286" s="43">
        <f>IF($B1286="","",N($O1286)-N($P1286))</f>
        <v/>
      </c>
      <c r="R1286" s="42" t="n"/>
      <c r="S1286" s="42" t="n"/>
      <c r="T1286" s="42" t="n"/>
      <c r="U1286" s="43">
        <f>IF($B1286="","",N($J1286)-N($R1286)-N($T1286))</f>
        <v/>
      </c>
      <c r="V1286" s="42" t="n"/>
    </row>
    <row r="1287">
      <c r="A1287" s="39">
        <f>IF($B1287="","",COUNTA($B$4:$B1287))</f>
        <v/>
      </c>
      <c r="B1287" s="45" t="n"/>
      <c r="C1287" s="46" t="n"/>
      <c r="D1287" s="46" t="n"/>
      <c r="E1287" s="46" t="n"/>
      <c r="F1287" s="46" t="n"/>
      <c r="G1287" s="46" t="n"/>
      <c r="H1287" s="46" t="n"/>
      <c r="I1287" s="51" t="n"/>
      <c r="J1287" s="47" t="n"/>
      <c r="K1287" s="47" t="n"/>
      <c r="L1287" s="43">
        <f>IF($B1287="","",ROUND((N($J1287)+N($K1287))*نسبة_القيمة_المضافة,2))</f>
        <v/>
      </c>
      <c r="M1287" s="47" t="n"/>
      <c r="N1287" s="47" t="n"/>
      <c r="O1287" s="43">
        <f>IF($B1287="","",N($J1287)+N($K1287)+N($L1287)-N($M1287)+N($N1287))</f>
        <v/>
      </c>
      <c r="P1287" s="47" t="n"/>
      <c r="Q1287" s="43">
        <f>IF($B1287="","",N($O1287)-N($P1287))</f>
        <v/>
      </c>
      <c r="R1287" s="47" t="n"/>
      <c r="S1287" s="47" t="n"/>
      <c r="T1287" s="47" t="n"/>
      <c r="U1287" s="43">
        <f>IF($B1287="","",N($J1287)-N($R1287)-N($T1287))</f>
        <v/>
      </c>
      <c r="V1287" s="47" t="n"/>
    </row>
    <row r="1288">
      <c r="A1288" s="39">
        <f>IF($B1288="","",COUNTA($B$4:$B1288))</f>
        <v/>
      </c>
      <c r="B1288" s="40" t="n"/>
      <c r="C1288" s="41" t="n"/>
      <c r="D1288" s="41" t="n"/>
      <c r="E1288" s="41" t="n"/>
      <c r="F1288" s="41" t="n"/>
      <c r="G1288" s="41" t="n"/>
      <c r="H1288" s="41" t="n"/>
      <c r="I1288" s="50" t="n"/>
      <c r="J1288" s="42" t="n"/>
      <c r="K1288" s="42" t="n"/>
      <c r="L1288" s="43">
        <f>IF($B1288="","",ROUND((N($J1288)+N($K1288))*نسبة_القيمة_المضافة,2))</f>
        <v/>
      </c>
      <c r="M1288" s="42" t="n"/>
      <c r="N1288" s="42" t="n"/>
      <c r="O1288" s="43">
        <f>IF($B1288="","",N($J1288)+N($K1288)+N($L1288)-N($M1288)+N($N1288))</f>
        <v/>
      </c>
      <c r="P1288" s="42" t="n"/>
      <c r="Q1288" s="43">
        <f>IF($B1288="","",N($O1288)-N($P1288))</f>
        <v/>
      </c>
      <c r="R1288" s="42" t="n"/>
      <c r="S1288" s="42" t="n"/>
      <c r="T1288" s="42" t="n"/>
      <c r="U1288" s="43">
        <f>IF($B1288="","",N($J1288)-N($R1288)-N($T1288))</f>
        <v/>
      </c>
      <c r="V1288" s="42" t="n"/>
    </row>
    <row r="1289">
      <c r="A1289" s="39">
        <f>IF($B1289="","",COUNTA($B$4:$B1289))</f>
        <v/>
      </c>
      <c r="B1289" s="45" t="n"/>
      <c r="C1289" s="46" t="n"/>
      <c r="D1289" s="46" t="n"/>
      <c r="E1289" s="46" t="n"/>
      <c r="F1289" s="46" t="n"/>
      <c r="G1289" s="46" t="n"/>
      <c r="H1289" s="46" t="n"/>
      <c r="I1289" s="51" t="n"/>
      <c r="J1289" s="47" t="n"/>
      <c r="K1289" s="47" t="n"/>
      <c r="L1289" s="43">
        <f>IF($B1289="","",ROUND((N($J1289)+N($K1289))*نسبة_القيمة_المضافة,2))</f>
        <v/>
      </c>
      <c r="M1289" s="47" t="n"/>
      <c r="N1289" s="47" t="n"/>
      <c r="O1289" s="43">
        <f>IF($B1289="","",N($J1289)+N($K1289)+N($L1289)-N($M1289)+N($N1289))</f>
        <v/>
      </c>
      <c r="P1289" s="47" t="n"/>
      <c r="Q1289" s="43">
        <f>IF($B1289="","",N($O1289)-N($P1289))</f>
        <v/>
      </c>
      <c r="R1289" s="47" t="n"/>
      <c r="S1289" s="47" t="n"/>
      <c r="T1289" s="47" t="n"/>
      <c r="U1289" s="43">
        <f>IF($B1289="","",N($J1289)-N($R1289)-N($T1289))</f>
        <v/>
      </c>
      <c r="V1289" s="47" t="n"/>
    </row>
    <row r="1290">
      <c r="A1290" s="39">
        <f>IF($B1290="","",COUNTA($B$4:$B1290))</f>
        <v/>
      </c>
      <c r="B1290" s="40" t="n"/>
      <c r="C1290" s="41" t="n"/>
      <c r="D1290" s="41" t="n"/>
      <c r="E1290" s="41" t="n"/>
      <c r="F1290" s="41" t="n"/>
      <c r="G1290" s="41" t="n"/>
      <c r="H1290" s="41" t="n"/>
      <c r="I1290" s="50" t="n"/>
      <c r="J1290" s="42" t="n"/>
      <c r="K1290" s="42" t="n"/>
      <c r="L1290" s="43">
        <f>IF($B1290="","",ROUND((N($J1290)+N($K1290))*نسبة_القيمة_المضافة,2))</f>
        <v/>
      </c>
      <c r="M1290" s="42" t="n"/>
      <c r="N1290" s="42" t="n"/>
      <c r="O1290" s="43">
        <f>IF($B1290="","",N($J1290)+N($K1290)+N($L1290)-N($M1290)+N($N1290))</f>
        <v/>
      </c>
      <c r="P1290" s="42" t="n"/>
      <c r="Q1290" s="43">
        <f>IF($B1290="","",N($O1290)-N($P1290))</f>
        <v/>
      </c>
      <c r="R1290" s="42" t="n"/>
      <c r="S1290" s="42" t="n"/>
      <c r="T1290" s="42" t="n"/>
      <c r="U1290" s="43">
        <f>IF($B1290="","",N($J1290)-N($R1290)-N($T1290))</f>
        <v/>
      </c>
      <c r="V1290" s="42" t="n"/>
    </row>
    <row r="1291">
      <c r="A1291" s="39">
        <f>IF($B1291="","",COUNTA($B$4:$B1291))</f>
        <v/>
      </c>
      <c r="B1291" s="45" t="n"/>
      <c r="C1291" s="46" t="n"/>
      <c r="D1291" s="46" t="n"/>
      <c r="E1291" s="46" t="n"/>
      <c r="F1291" s="46" t="n"/>
      <c r="G1291" s="46" t="n"/>
      <c r="H1291" s="46" t="n"/>
      <c r="I1291" s="51" t="n"/>
      <c r="J1291" s="47" t="n"/>
      <c r="K1291" s="47" t="n"/>
      <c r="L1291" s="43">
        <f>IF($B1291="","",ROUND((N($J1291)+N($K1291))*نسبة_القيمة_المضافة,2))</f>
        <v/>
      </c>
      <c r="M1291" s="47" t="n"/>
      <c r="N1291" s="47" t="n"/>
      <c r="O1291" s="43">
        <f>IF($B1291="","",N($J1291)+N($K1291)+N($L1291)-N($M1291)+N($N1291))</f>
        <v/>
      </c>
      <c r="P1291" s="47" t="n"/>
      <c r="Q1291" s="43">
        <f>IF($B1291="","",N($O1291)-N($P1291))</f>
        <v/>
      </c>
      <c r="R1291" s="47" t="n"/>
      <c r="S1291" s="47" t="n"/>
      <c r="T1291" s="47" t="n"/>
      <c r="U1291" s="43">
        <f>IF($B1291="","",N($J1291)-N($R1291)-N($T1291))</f>
        <v/>
      </c>
      <c r="V1291" s="47" t="n"/>
    </row>
    <row r="1292">
      <c r="A1292" s="39">
        <f>IF($B1292="","",COUNTA($B$4:$B1292))</f>
        <v/>
      </c>
      <c r="B1292" s="40" t="n"/>
      <c r="C1292" s="41" t="n"/>
      <c r="D1292" s="41" t="n"/>
      <c r="E1292" s="41" t="n"/>
      <c r="F1292" s="41" t="n"/>
      <c r="G1292" s="41" t="n"/>
      <c r="H1292" s="41" t="n"/>
      <c r="I1292" s="50" t="n"/>
      <c r="J1292" s="42" t="n"/>
      <c r="K1292" s="42" t="n"/>
      <c r="L1292" s="43">
        <f>IF($B1292="","",ROUND((N($J1292)+N($K1292))*نسبة_القيمة_المضافة,2))</f>
        <v/>
      </c>
      <c r="M1292" s="42" t="n"/>
      <c r="N1292" s="42" t="n"/>
      <c r="O1292" s="43">
        <f>IF($B1292="","",N($J1292)+N($K1292)+N($L1292)-N($M1292)+N($N1292))</f>
        <v/>
      </c>
      <c r="P1292" s="42" t="n"/>
      <c r="Q1292" s="43">
        <f>IF($B1292="","",N($O1292)-N($P1292))</f>
        <v/>
      </c>
      <c r="R1292" s="42" t="n"/>
      <c r="S1292" s="42" t="n"/>
      <c r="T1292" s="42" t="n"/>
      <c r="U1292" s="43">
        <f>IF($B1292="","",N($J1292)-N($R1292)-N($T1292))</f>
        <v/>
      </c>
      <c r="V1292" s="42" t="n"/>
    </row>
    <row r="1293">
      <c r="A1293" s="39">
        <f>IF($B1293="","",COUNTA($B$4:$B1293))</f>
        <v/>
      </c>
      <c r="B1293" s="45" t="n"/>
      <c r="C1293" s="46" t="n"/>
      <c r="D1293" s="46" t="n"/>
      <c r="E1293" s="46" t="n"/>
      <c r="F1293" s="46" t="n"/>
      <c r="G1293" s="46" t="n"/>
      <c r="H1293" s="46" t="n"/>
      <c r="I1293" s="51" t="n"/>
      <c r="J1293" s="47" t="n"/>
      <c r="K1293" s="47" t="n"/>
      <c r="L1293" s="43">
        <f>IF($B1293="","",ROUND((N($J1293)+N($K1293))*نسبة_القيمة_المضافة,2))</f>
        <v/>
      </c>
      <c r="M1293" s="47" t="n"/>
      <c r="N1293" s="47" t="n"/>
      <c r="O1293" s="43">
        <f>IF($B1293="","",N($J1293)+N($K1293)+N($L1293)-N($M1293)+N($N1293))</f>
        <v/>
      </c>
      <c r="P1293" s="47" t="n"/>
      <c r="Q1293" s="43">
        <f>IF($B1293="","",N($O1293)-N($P1293))</f>
        <v/>
      </c>
      <c r="R1293" s="47" t="n"/>
      <c r="S1293" s="47" t="n"/>
      <c r="T1293" s="47" t="n"/>
      <c r="U1293" s="43">
        <f>IF($B1293="","",N($J1293)-N($R1293)-N($T1293))</f>
        <v/>
      </c>
      <c r="V1293" s="47" t="n"/>
    </row>
    <row r="1294">
      <c r="A1294" s="39">
        <f>IF($B1294="","",COUNTA($B$4:$B1294))</f>
        <v/>
      </c>
      <c r="B1294" s="40" t="n"/>
      <c r="C1294" s="41" t="n"/>
      <c r="D1294" s="41" t="n"/>
      <c r="E1294" s="41" t="n"/>
      <c r="F1294" s="41" t="n"/>
      <c r="G1294" s="41" t="n"/>
      <c r="H1294" s="41" t="n"/>
      <c r="I1294" s="50" t="n"/>
      <c r="J1294" s="42" t="n"/>
      <c r="K1294" s="42" t="n"/>
      <c r="L1294" s="43">
        <f>IF($B1294="","",ROUND((N($J1294)+N($K1294))*نسبة_القيمة_المضافة,2))</f>
        <v/>
      </c>
      <c r="M1294" s="42" t="n"/>
      <c r="N1294" s="42" t="n"/>
      <c r="O1294" s="43">
        <f>IF($B1294="","",N($J1294)+N($K1294)+N($L1294)-N($M1294)+N($N1294))</f>
        <v/>
      </c>
      <c r="P1294" s="42" t="n"/>
      <c r="Q1294" s="43">
        <f>IF($B1294="","",N($O1294)-N($P1294))</f>
        <v/>
      </c>
      <c r="R1294" s="42" t="n"/>
      <c r="S1294" s="42" t="n"/>
      <c r="T1294" s="42" t="n"/>
      <c r="U1294" s="43">
        <f>IF($B1294="","",N($J1294)-N($R1294)-N($T1294))</f>
        <v/>
      </c>
      <c r="V1294" s="42" t="n"/>
    </row>
    <row r="1295">
      <c r="A1295" s="39">
        <f>IF($B1295="","",COUNTA($B$4:$B1295))</f>
        <v/>
      </c>
      <c r="B1295" s="45" t="n"/>
      <c r="C1295" s="46" t="n"/>
      <c r="D1295" s="46" t="n"/>
      <c r="E1295" s="46" t="n"/>
      <c r="F1295" s="46" t="n"/>
      <c r="G1295" s="46" t="n"/>
      <c r="H1295" s="46" t="n"/>
      <c r="I1295" s="51" t="n"/>
      <c r="J1295" s="47" t="n"/>
      <c r="K1295" s="47" t="n"/>
      <c r="L1295" s="43">
        <f>IF($B1295="","",ROUND((N($J1295)+N($K1295))*نسبة_القيمة_المضافة,2))</f>
        <v/>
      </c>
      <c r="M1295" s="47" t="n"/>
      <c r="N1295" s="47" t="n"/>
      <c r="O1295" s="43">
        <f>IF($B1295="","",N($J1295)+N($K1295)+N($L1295)-N($M1295)+N($N1295))</f>
        <v/>
      </c>
      <c r="P1295" s="47" t="n"/>
      <c r="Q1295" s="43">
        <f>IF($B1295="","",N($O1295)-N($P1295))</f>
        <v/>
      </c>
      <c r="R1295" s="47" t="n"/>
      <c r="S1295" s="47" t="n"/>
      <c r="T1295" s="47" t="n"/>
      <c r="U1295" s="43">
        <f>IF($B1295="","",N($J1295)-N($R1295)-N($T1295))</f>
        <v/>
      </c>
      <c r="V1295" s="47" t="n"/>
    </row>
    <row r="1296">
      <c r="A1296" s="39">
        <f>IF($B1296="","",COUNTA($B$4:$B1296))</f>
        <v/>
      </c>
      <c r="B1296" s="40" t="n"/>
      <c r="C1296" s="41" t="n"/>
      <c r="D1296" s="41" t="n"/>
      <c r="E1296" s="41" t="n"/>
      <c r="F1296" s="41" t="n"/>
      <c r="G1296" s="41" t="n"/>
      <c r="H1296" s="41" t="n"/>
      <c r="I1296" s="50" t="n"/>
      <c r="J1296" s="42" t="n"/>
      <c r="K1296" s="42" t="n"/>
      <c r="L1296" s="43">
        <f>IF($B1296="","",ROUND((N($J1296)+N($K1296))*نسبة_القيمة_المضافة,2))</f>
        <v/>
      </c>
      <c r="M1296" s="42" t="n"/>
      <c r="N1296" s="42" t="n"/>
      <c r="O1296" s="43">
        <f>IF($B1296="","",N($J1296)+N($K1296)+N($L1296)-N($M1296)+N($N1296))</f>
        <v/>
      </c>
      <c r="P1296" s="42" t="n"/>
      <c r="Q1296" s="43">
        <f>IF($B1296="","",N($O1296)-N($P1296))</f>
        <v/>
      </c>
      <c r="R1296" s="42" t="n"/>
      <c r="S1296" s="42" t="n"/>
      <c r="T1296" s="42" t="n"/>
      <c r="U1296" s="43">
        <f>IF($B1296="","",N($J1296)-N($R1296)-N($T1296))</f>
        <v/>
      </c>
      <c r="V1296" s="42" t="n"/>
    </row>
    <row r="1297">
      <c r="A1297" s="39">
        <f>IF($B1297="","",COUNTA($B$4:$B1297))</f>
        <v/>
      </c>
      <c r="B1297" s="45" t="n"/>
      <c r="C1297" s="46" t="n"/>
      <c r="D1297" s="46" t="n"/>
      <c r="E1297" s="46" t="n"/>
      <c r="F1297" s="46" t="n"/>
      <c r="G1297" s="46" t="n"/>
      <c r="H1297" s="46" t="n"/>
      <c r="I1297" s="51" t="n"/>
      <c r="J1297" s="47" t="n"/>
      <c r="K1297" s="47" t="n"/>
      <c r="L1297" s="43">
        <f>IF($B1297="","",ROUND((N($J1297)+N($K1297))*نسبة_القيمة_المضافة,2))</f>
        <v/>
      </c>
      <c r="M1297" s="47" t="n"/>
      <c r="N1297" s="47" t="n"/>
      <c r="O1297" s="43">
        <f>IF($B1297="","",N($J1297)+N($K1297)+N($L1297)-N($M1297)+N($N1297))</f>
        <v/>
      </c>
      <c r="P1297" s="47" t="n"/>
      <c r="Q1297" s="43">
        <f>IF($B1297="","",N($O1297)-N($P1297))</f>
        <v/>
      </c>
      <c r="R1297" s="47" t="n"/>
      <c r="S1297" s="47" t="n"/>
      <c r="T1297" s="47" t="n"/>
      <c r="U1297" s="43">
        <f>IF($B1297="","",N($J1297)-N($R1297)-N($T1297))</f>
        <v/>
      </c>
      <c r="V1297" s="47" t="n"/>
    </row>
    <row r="1298">
      <c r="A1298" s="39">
        <f>IF($B1298="","",COUNTA($B$4:$B1298))</f>
        <v/>
      </c>
      <c r="B1298" s="40" t="n"/>
      <c r="C1298" s="41" t="n"/>
      <c r="D1298" s="41" t="n"/>
      <c r="E1298" s="41" t="n"/>
      <c r="F1298" s="41" t="n"/>
      <c r="G1298" s="41" t="n"/>
      <c r="H1298" s="41" t="n"/>
      <c r="I1298" s="50" t="n"/>
      <c r="J1298" s="42" t="n"/>
      <c r="K1298" s="42" t="n"/>
      <c r="L1298" s="43">
        <f>IF($B1298="","",ROUND((N($J1298)+N($K1298))*نسبة_القيمة_المضافة,2))</f>
        <v/>
      </c>
      <c r="M1298" s="42" t="n"/>
      <c r="N1298" s="42" t="n"/>
      <c r="O1298" s="43">
        <f>IF($B1298="","",N($J1298)+N($K1298)+N($L1298)-N($M1298)+N($N1298))</f>
        <v/>
      </c>
      <c r="P1298" s="42" t="n"/>
      <c r="Q1298" s="43">
        <f>IF($B1298="","",N($O1298)-N($P1298))</f>
        <v/>
      </c>
      <c r="R1298" s="42" t="n"/>
      <c r="S1298" s="42" t="n"/>
      <c r="T1298" s="42" t="n"/>
      <c r="U1298" s="43">
        <f>IF($B1298="","",N($J1298)-N($R1298)-N($T1298))</f>
        <v/>
      </c>
      <c r="V1298" s="42" t="n"/>
    </row>
    <row r="1299">
      <c r="A1299" s="39">
        <f>IF($B1299="","",COUNTA($B$4:$B1299))</f>
        <v/>
      </c>
      <c r="B1299" s="45" t="n"/>
      <c r="C1299" s="46" t="n"/>
      <c r="D1299" s="46" t="n"/>
      <c r="E1299" s="46" t="n"/>
      <c r="F1299" s="46" t="n"/>
      <c r="G1299" s="46" t="n"/>
      <c r="H1299" s="46" t="n"/>
      <c r="I1299" s="51" t="n"/>
      <c r="J1299" s="47" t="n"/>
      <c r="K1299" s="47" t="n"/>
      <c r="L1299" s="43">
        <f>IF($B1299="","",ROUND((N($J1299)+N($K1299))*نسبة_القيمة_المضافة,2))</f>
        <v/>
      </c>
      <c r="M1299" s="47" t="n"/>
      <c r="N1299" s="47" t="n"/>
      <c r="O1299" s="43">
        <f>IF($B1299="","",N($J1299)+N($K1299)+N($L1299)-N($M1299)+N($N1299))</f>
        <v/>
      </c>
      <c r="P1299" s="47" t="n"/>
      <c r="Q1299" s="43">
        <f>IF($B1299="","",N($O1299)-N($P1299))</f>
        <v/>
      </c>
      <c r="R1299" s="47" t="n"/>
      <c r="S1299" s="47" t="n"/>
      <c r="T1299" s="47" t="n"/>
      <c r="U1299" s="43">
        <f>IF($B1299="","",N($J1299)-N($R1299)-N($T1299))</f>
        <v/>
      </c>
      <c r="V1299" s="47" t="n"/>
    </row>
    <row r="1300">
      <c r="A1300" s="39">
        <f>IF($B1300="","",COUNTA($B$4:$B1300))</f>
        <v/>
      </c>
      <c r="B1300" s="40" t="n"/>
      <c r="C1300" s="41" t="n"/>
      <c r="D1300" s="41" t="n"/>
      <c r="E1300" s="41" t="n"/>
      <c r="F1300" s="41" t="n"/>
      <c r="G1300" s="41" t="n"/>
      <c r="H1300" s="41" t="n"/>
      <c r="I1300" s="50" t="n"/>
      <c r="J1300" s="42" t="n"/>
      <c r="K1300" s="42" t="n"/>
      <c r="L1300" s="43">
        <f>IF($B1300="","",ROUND((N($J1300)+N($K1300))*نسبة_القيمة_المضافة,2))</f>
        <v/>
      </c>
      <c r="M1300" s="42" t="n"/>
      <c r="N1300" s="42" t="n"/>
      <c r="O1300" s="43">
        <f>IF($B1300="","",N($J1300)+N($K1300)+N($L1300)-N($M1300)+N($N1300))</f>
        <v/>
      </c>
      <c r="P1300" s="42" t="n"/>
      <c r="Q1300" s="43">
        <f>IF($B1300="","",N($O1300)-N($P1300))</f>
        <v/>
      </c>
      <c r="R1300" s="42" t="n"/>
      <c r="S1300" s="42" t="n"/>
      <c r="T1300" s="42" t="n"/>
      <c r="U1300" s="43">
        <f>IF($B1300="","",N($J1300)-N($R1300)-N($T1300))</f>
        <v/>
      </c>
      <c r="V1300" s="42" t="n"/>
    </row>
    <row r="1301">
      <c r="A1301" s="39">
        <f>IF($B1301="","",COUNTA($B$4:$B1301))</f>
        <v/>
      </c>
      <c r="B1301" s="45" t="n"/>
      <c r="C1301" s="46" t="n"/>
      <c r="D1301" s="46" t="n"/>
      <c r="E1301" s="46" t="n"/>
      <c r="F1301" s="46" t="n"/>
      <c r="G1301" s="46" t="n"/>
      <c r="H1301" s="46" t="n"/>
      <c r="I1301" s="51" t="n"/>
      <c r="J1301" s="47" t="n"/>
      <c r="K1301" s="47" t="n"/>
      <c r="L1301" s="43">
        <f>IF($B1301="","",ROUND((N($J1301)+N($K1301))*نسبة_القيمة_المضافة,2))</f>
        <v/>
      </c>
      <c r="M1301" s="47" t="n"/>
      <c r="N1301" s="47" t="n"/>
      <c r="O1301" s="43">
        <f>IF($B1301="","",N($J1301)+N($K1301)+N($L1301)-N($M1301)+N($N1301))</f>
        <v/>
      </c>
      <c r="P1301" s="47" t="n"/>
      <c r="Q1301" s="43">
        <f>IF($B1301="","",N($O1301)-N($P1301))</f>
        <v/>
      </c>
      <c r="R1301" s="47" t="n"/>
      <c r="S1301" s="47" t="n"/>
      <c r="T1301" s="47" t="n"/>
      <c r="U1301" s="43">
        <f>IF($B1301="","",N($J1301)-N($R1301)-N($T1301))</f>
        <v/>
      </c>
      <c r="V1301" s="47" t="n"/>
    </row>
    <row r="1302">
      <c r="A1302" s="39">
        <f>IF($B1302="","",COUNTA($B$4:$B1302))</f>
        <v/>
      </c>
      <c r="B1302" s="40" t="n"/>
      <c r="C1302" s="41" t="n"/>
      <c r="D1302" s="41" t="n"/>
      <c r="E1302" s="41" t="n"/>
      <c r="F1302" s="41" t="n"/>
      <c r="G1302" s="41" t="n"/>
      <c r="H1302" s="41" t="n"/>
      <c r="I1302" s="50" t="n"/>
      <c r="J1302" s="42" t="n"/>
      <c r="K1302" s="42" t="n"/>
      <c r="L1302" s="43">
        <f>IF($B1302="","",ROUND((N($J1302)+N($K1302))*نسبة_القيمة_المضافة,2))</f>
        <v/>
      </c>
      <c r="M1302" s="42" t="n"/>
      <c r="N1302" s="42" t="n"/>
      <c r="O1302" s="43">
        <f>IF($B1302="","",N($J1302)+N($K1302)+N($L1302)-N($M1302)+N($N1302))</f>
        <v/>
      </c>
      <c r="P1302" s="42" t="n"/>
      <c r="Q1302" s="43">
        <f>IF($B1302="","",N($O1302)-N($P1302))</f>
        <v/>
      </c>
      <c r="R1302" s="42" t="n"/>
      <c r="S1302" s="42" t="n"/>
      <c r="T1302" s="42" t="n"/>
      <c r="U1302" s="43">
        <f>IF($B1302="","",N($J1302)-N($R1302)-N($T1302))</f>
        <v/>
      </c>
      <c r="V1302" s="42" t="n"/>
    </row>
    <row r="1303">
      <c r="A1303" s="39">
        <f>IF($B1303="","",COUNTA($B$4:$B1303))</f>
        <v/>
      </c>
      <c r="B1303" s="45" t="n"/>
      <c r="C1303" s="46" t="n"/>
      <c r="D1303" s="46" t="n"/>
      <c r="E1303" s="46" t="n"/>
      <c r="F1303" s="46" t="n"/>
      <c r="G1303" s="46" t="n"/>
      <c r="H1303" s="46" t="n"/>
      <c r="I1303" s="51" t="n"/>
      <c r="J1303" s="47" t="n"/>
      <c r="K1303" s="47" t="n"/>
      <c r="L1303" s="43">
        <f>IF($B1303="","",ROUND((N($J1303)+N($K1303))*نسبة_القيمة_المضافة,2))</f>
        <v/>
      </c>
      <c r="M1303" s="47" t="n"/>
      <c r="N1303" s="47" t="n"/>
      <c r="O1303" s="43">
        <f>IF($B1303="","",N($J1303)+N($K1303)+N($L1303)-N($M1303)+N($N1303))</f>
        <v/>
      </c>
      <c r="P1303" s="47" t="n"/>
      <c r="Q1303" s="43">
        <f>IF($B1303="","",N($O1303)-N($P1303))</f>
        <v/>
      </c>
      <c r="R1303" s="47" t="n"/>
      <c r="S1303" s="47" t="n"/>
      <c r="T1303" s="47" t="n"/>
      <c r="U1303" s="43">
        <f>IF($B1303="","",N($J1303)-N($R1303)-N($T1303))</f>
        <v/>
      </c>
      <c r="V1303" s="47" t="n"/>
    </row>
    <row r="1304">
      <c r="A1304" s="39">
        <f>IF($B1304="","",COUNTA($B$4:$B1304))</f>
        <v/>
      </c>
      <c r="B1304" s="40" t="n"/>
      <c r="C1304" s="41" t="n"/>
      <c r="D1304" s="41" t="n"/>
      <c r="E1304" s="41" t="n"/>
      <c r="F1304" s="41" t="n"/>
      <c r="G1304" s="41" t="n"/>
      <c r="H1304" s="41" t="n"/>
      <c r="I1304" s="50" t="n"/>
      <c r="J1304" s="42" t="n"/>
      <c r="K1304" s="42" t="n"/>
      <c r="L1304" s="43">
        <f>IF($B1304="","",ROUND((N($J1304)+N($K1304))*نسبة_القيمة_المضافة,2))</f>
        <v/>
      </c>
      <c r="M1304" s="42" t="n"/>
      <c r="N1304" s="42" t="n"/>
      <c r="O1304" s="43">
        <f>IF($B1304="","",N($J1304)+N($K1304)+N($L1304)-N($M1304)+N($N1304))</f>
        <v/>
      </c>
      <c r="P1304" s="42" t="n"/>
      <c r="Q1304" s="43">
        <f>IF($B1304="","",N($O1304)-N($P1304))</f>
        <v/>
      </c>
      <c r="R1304" s="42" t="n"/>
      <c r="S1304" s="42" t="n"/>
      <c r="T1304" s="42" t="n"/>
      <c r="U1304" s="43">
        <f>IF($B1304="","",N($J1304)-N($R1304)-N($T1304))</f>
        <v/>
      </c>
      <c r="V1304" s="42" t="n"/>
    </row>
    <row r="1305">
      <c r="A1305" s="39">
        <f>IF($B1305="","",COUNTA($B$4:$B1305))</f>
        <v/>
      </c>
      <c r="B1305" s="45" t="n"/>
      <c r="C1305" s="46" t="n"/>
      <c r="D1305" s="46" t="n"/>
      <c r="E1305" s="46" t="n"/>
      <c r="F1305" s="46" t="n"/>
      <c r="G1305" s="46" t="n"/>
      <c r="H1305" s="46" t="n"/>
      <c r="I1305" s="51" t="n"/>
      <c r="J1305" s="47" t="n"/>
      <c r="K1305" s="47" t="n"/>
      <c r="L1305" s="43">
        <f>IF($B1305="","",ROUND((N($J1305)+N($K1305))*نسبة_القيمة_المضافة,2))</f>
        <v/>
      </c>
      <c r="M1305" s="47" t="n"/>
      <c r="N1305" s="47" t="n"/>
      <c r="O1305" s="43">
        <f>IF($B1305="","",N($J1305)+N($K1305)+N($L1305)-N($M1305)+N($N1305))</f>
        <v/>
      </c>
      <c r="P1305" s="47" t="n"/>
      <c r="Q1305" s="43">
        <f>IF($B1305="","",N($O1305)-N($P1305))</f>
        <v/>
      </c>
      <c r="R1305" s="47" t="n"/>
      <c r="S1305" s="47" t="n"/>
      <c r="T1305" s="47" t="n"/>
      <c r="U1305" s="43">
        <f>IF($B1305="","",N($J1305)-N($R1305)-N($T1305))</f>
        <v/>
      </c>
      <c r="V1305" s="47" t="n"/>
    </row>
    <row r="1306">
      <c r="A1306" s="39">
        <f>IF($B1306="","",COUNTA($B$4:$B1306))</f>
        <v/>
      </c>
      <c r="B1306" s="40" t="n"/>
      <c r="C1306" s="41" t="n"/>
      <c r="D1306" s="41" t="n"/>
      <c r="E1306" s="41" t="n"/>
      <c r="F1306" s="41" t="n"/>
      <c r="G1306" s="41" t="n"/>
      <c r="H1306" s="41" t="n"/>
      <c r="I1306" s="50" t="n"/>
      <c r="J1306" s="42" t="n"/>
      <c r="K1306" s="42" t="n"/>
      <c r="L1306" s="43">
        <f>IF($B1306="","",ROUND((N($J1306)+N($K1306))*نسبة_القيمة_المضافة,2))</f>
        <v/>
      </c>
      <c r="M1306" s="42" t="n"/>
      <c r="N1306" s="42" t="n"/>
      <c r="O1306" s="43">
        <f>IF($B1306="","",N($J1306)+N($K1306)+N($L1306)-N($M1306)+N($N1306))</f>
        <v/>
      </c>
      <c r="P1306" s="42" t="n"/>
      <c r="Q1306" s="43">
        <f>IF($B1306="","",N($O1306)-N($P1306))</f>
        <v/>
      </c>
      <c r="R1306" s="42" t="n"/>
      <c r="S1306" s="42" t="n"/>
      <c r="T1306" s="42" t="n"/>
      <c r="U1306" s="43">
        <f>IF($B1306="","",N($J1306)-N($R1306)-N($T1306))</f>
        <v/>
      </c>
      <c r="V1306" s="42" t="n"/>
    </row>
    <row r="1307">
      <c r="A1307" s="39">
        <f>IF($B1307="","",COUNTA($B$4:$B1307))</f>
        <v/>
      </c>
      <c r="B1307" s="45" t="n"/>
      <c r="C1307" s="46" t="n"/>
      <c r="D1307" s="46" t="n"/>
      <c r="E1307" s="46" t="n"/>
      <c r="F1307" s="46" t="n"/>
      <c r="G1307" s="46" t="n"/>
      <c r="H1307" s="46" t="n"/>
      <c r="I1307" s="51" t="n"/>
      <c r="J1307" s="47" t="n"/>
      <c r="K1307" s="47" t="n"/>
      <c r="L1307" s="43">
        <f>IF($B1307="","",ROUND((N($J1307)+N($K1307))*نسبة_القيمة_المضافة,2))</f>
        <v/>
      </c>
      <c r="M1307" s="47" t="n"/>
      <c r="N1307" s="47" t="n"/>
      <c r="O1307" s="43">
        <f>IF($B1307="","",N($J1307)+N($K1307)+N($L1307)-N($M1307)+N($N1307))</f>
        <v/>
      </c>
      <c r="P1307" s="47" t="n"/>
      <c r="Q1307" s="43">
        <f>IF($B1307="","",N($O1307)-N($P1307))</f>
        <v/>
      </c>
      <c r="R1307" s="47" t="n"/>
      <c r="S1307" s="47" t="n"/>
      <c r="T1307" s="47" t="n"/>
      <c r="U1307" s="43">
        <f>IF($B1307="","",N($J1307)-N($R1307)-N($T1307))</f>
        <v/>
      </c>
      <c r="V1307" s="47" t="n"/>
    </row>
    <row r="1308">
      <c r="A1308" s="39">
        <f>IF($B1308="","",COUNTA($B$4:$B1308))</f>
        <v/>
      </c>
      <c r="B1308" s="40" t="n"/>
      <c r="C1308" s="41" t="n"/>
      <c r="D1308" s="41" t="n"/>
      <c r="E1308" s="41" t="n"/>
      <c r="F1308" s="41" t="n"/>
      <c r="G1308" s="41" t="n"/>
      <c r="H1308" s="41" t="n"/>
      <c r="I1308" s="50" t="n"/>
      <c r="J1308" s="42" t="n"/>
      <c r="K1308" s="42" t="n"/>
      <c r="L1308" s="43">
        <f>IF($B1308="","",ROUND((N($J1308)+N($K1308))*نسبة_القيمة_المضافة,2))</f>
        <v/>
      </c>
      <c r="M1308" s="42" t="n"/>
      <c r="N1308" s="42" t="n"/>
      <c r="O1308" s="43">
        <f>IF($B1308="","",N($J1308)+N($K1308)+N($L1308)-N($M1308)+N($N1308))</f>
        <v/>
      </c>
      <c r="P1308" s="42" t="n"/>
      <c r="Q1308" s="43">
        <f>IF($B1308="","",N($O1308)-N($P1308))</f>
        <v/>
      </c>
      <c r="R1308" s="42" t="n"/>
      <c r="S1308" s="42" t="n"/>
      <c r="T1308" s="42" t="n"/>
      <c r="U1308" s="43">
        <f>IF($B1308="","",N($J1308)-N($R1308)-N($T1308))</f>
        <v/>
      </c>
      <c r="V1308" s="42" t="n"/>
    </row>
    <row r="1309">
      <c r="A1309" s="39">
        <f>IF($B1309="","",COUNTA($B$4:$B1309))</f>
        <v/>
      </c>
      <c r="B1309" s="45" t="n"/>
      <c r="C1309" s="46" t="n"/>
      <c r="D1309" s="46" t="n"/>
      <c r="E1309" s="46" t="n"/>
      <c r="F1309" s="46" t="n"/>
      <c r="G1309" s="46" t="n"/>
      <c r="H1309" s="46" t="n"/>
      <c r="I1309" s="51" t="n"/>
      <c r="J1309" s="47" t="n"/>
      <c r="K1309" s="47" t="n"/>
      <c r="L1309" s="43">
        <f>IF($B1309="","",ROUND((N($J1309)+N($K1309))*نسبة_القيمة_المضافة,2))</f>
        <v/>
      </c>
      <c r="M1309" s="47" t="n"/>
      <c r="N1309" s="47" t="n"/>
      <c r="O1309" s="43">
        <f>IF($B1309="","",N($J1309)+N($K1309)+N($L1309)-N($M1309)+N($N1309))</f>
        <v/>
      </c>
      <c r="P1309" s="47" t="n"/>
      <c r="Q1309" s="43">
        <f>IF($B1309="","",N($O1309)-N($P1309))</f>
        <v/>
      </c>
      <c r="R1309" s="47" t="n"/>
      <c r="S1309" s="47" t="n"/>
      <c r="T1309" s="47" t="n"/>
      <c r="U1309" s="43">
        <f>IF($B1309="","",N($J1309)-N($R1309)-N($T1309))</f>
        <v/>
      </c>
      <c r="V1309" s="47" t="n"/>
    </row>
    <row r="1310">
      <c r="A1310" s="39">
        <f>IF($B1310="","",COUNTA($B$4:$B1310))</f>
        <v/>
      </c>
      <c r="B1310" s="40" t="n"/>
      <c r="C1310" s="41" t="n"/>
      <c r="D1310" s="41" t="n"/>
      <c r="E1310" s="41" t="n"/>
      <c r="F1310" s="41" t="n"/>
      <c r="G1310" s="41" t="n"/>
      <c r="H1310" s="41" t="n"/>
      <c r="I1310" s="50" t="n"/>
      <c r="J1310" s="42" t="n"/>
      <c r="K1310" s="42" t="n"/>
      <c r="L1310" s="43">
        <f>IF($B1310="","",ROUND((N($J1310)+N($K1310))*نسبة_القيمة_المضافة,2))</f>
        <v/>
      </c>
      <c r="M1310" s="42" t="n"/>
      <c r="N1310" s="42" t="n"/>
      <c r="O1310" s="43">
        <f>IF($B1310="","",N($J1310)+N($K1310)+N($L1310)-N($M1310)+N($N1310))</f>
        <v/>
      </c>
      <c r="P1310" s="42" t="n"/>
      <c r="Q1310" s="43">
        <f>IF($B1310="","",N($O1310)-N($P1310))</f>
        <v/>
      </c>
      <c r="R1310" s="42" t="n"/>
      <c r="S1310" s="42" t="n"/>
      <c r="T1310" s="42" t="n"/>
      <c r="U1310" s="43">
        <f>IF($B1310="","",N($J1310)-N($R1310)-N($T1310))</f>
        <v/>
      </c>
      <c r="V1310" s="42" t="n"/>
    </row>
    <row r="1311">
      <c r="A1311" s="39">
        <f>IF($B1311="","",COUNTA($B$4:$B1311))</f>
        <v/>
      </c>
      <c r="B1311" s="45" t="n"/>
      <c r="C1311" s="46" t="n"/>
      <c r="D1311" s="46" t="n"/>
      <c r="E1311" s="46" t="n"/>
      <c r="F1311" s="46" t="n"/>
      <c r="G1311" s="46" t="n"/>
      <c r="H1311" s="46" t="n"/>
      <c r="I1311" s="51" t="n"/>
      <c r="J1311" s="47" t="n"/>
      <c r="K1311" s="47" t="n"/>
      <c r="L1311" s="43">
        <f>IF($B1311="","",ROUND((N($J1311)+N($K1311))*نسبة_القيمة_المضافة,2))</f>
        <v/>
      </c>
      <c r="M1311" s="47" t="n"/>
      <c r="N1311" s="47" t="n"/>
      <c r="O1311" s="43">
        <f>IF($B1311="","",N($J1311)+N($K1311)+N($L1311)-N($M1311)+N($N1311))</f>
        <v/>
      </c>
      <c r="P1311" s="47" t="n"/>
      <c r="Q1311" s="43">
        <f>IF($B1311="","",N($O1311)-N($P1311))</f>
        <v/>
      </c>
      <c r="R1311" s="47" t="n"/>
      <c r="S1311" s="47" t="n"/>
      <c r="T1311" s="47" t="n"/>
      <c r="U1311" s="43">
        <f>IF($B1311="","",N($J1311)-N($R1311)-N($T1311))</f>
        <v/>
      </c>
      <c r="V1311" s="47" t="n"/>
    </row>
    <row r="1312">
      <c r="A1312" s="39">
        <f>IF($B1312="","",COUNTA($B$4:$B1312))</f>
        <v/>
      </c>
      <c r="B1312" s="40" t="n"/>
      <c r="C1312" s="41" t="n"/>
      <c r="D1312" s="41" t="n"/>
      <c r="E1312" s="41" t="n"/>
      <c r="F1312" s="41" t="n"/>
      <c r="G1312" s="41" t="n"/>
      <c r="H1312" s="41" t="n"/>
      <c r="I1312" s="50" t="n"/>
      <c r="J1312" s="42" t="n"/>
      <c r="K1312" s="42" t="n"/>
      <c r="L1312" s="43">
        <f>IF($B1312="","",ROUND((N($J1312)+N($K1312))*نسبة_القيمة_المضافة,2))</f>
        <v/>
      </c>
      <c r="M1312" s="42" t="n"/>
      <c r="N1312" s="42" t="n"/>
      <c r="O1312" s="43">
        <f>IF($B1312="","",N($J1312)+N($K1312)+N($L1312)-N($M1312)+N($N1312))</f>
        <v/>
      </c>
      <c r="P1312" s="42" t="n"/>
      <c r="Q1312" s="43">
        <f>IF($B1312="","",N($O1312)-N($P1312))</f>
        <v/>
      </c>
      <c r="R1312" s="42" t="n"/>
      <c r="S1312" s="42" t="n"/>
      <c r="T1312" s="42" t="n"/>
      <c r="U1312" s="43">
        <f>IF($B1312="","",N($J1312)-N($R1312)-N($T1312))</f>
        <v/>
      </c>
      <c r="V1312" s="42" t="n"/>
    </row>
    <row r="1313">
      <c r="A1313" s="39">
        <f>IF($B1313="","",COUNTA($B$4:$B1313))</f>
        <v/>
      </c>
      <c r="B1313" s="45" t="n"/>
      <c r="C1313" s="46" t="n"/>
      <c r="D1313" s="46" t="n"/>
      <c r="E1313" s="46" t="n"/>
      <c r="F1313" s="46" t="n"/>
      <c r="G1313" s="46" t="n"/>
      <c r="H1313" s="46" t="n"/>
      <c r="I1313" s="51" t="n"/>
      <c r="J1313" s="47" t="n"/>
      <c r="K1313" s="47" t="n"/>
      <c r="L1313" s="43">
        <f>IF($B1313="","",ROUND((N($J1313)+N($K1313))*نسبة_القيمة_المضافة,2))</f>
        <v/>
      </c>
      <c r="M1313" s="47" t="n"/>
      <c r="N1313" s="47" t="n"/>
      <c r="O1313" s="43">
        <f>IF($B1313="","",N($J1313)+N($K1313)+N($L1313)-N($M1313)+N($N1313))</f>
        <v/>
      </c>
      <c r="P1313" s="47" t="n"/>
      <c r="Q1313" s="43">
        <f>IF($B1313="","",N($O1313)-N($P1313))</f>
        <v/>
      </c>
      <c r="R1313" s="47" t="n"/>
      <c r="S1313" s="47" t="n"/>
      <c r="T1313" s="47" t="n"/>
      <c r="U1313" s="43">
        <f>IF($B1313="","",N($J1313)-N($R1313)-N($T1313))</f>
        <v/>
      </c>
      <c r="V1313" s="47" t="n"/>
    </row>
    <row r="1314">
      <c r="A1314" s="39">
        <f>IF($B1314="","",COUNTA($B$4:$B1314))</f>
        <v/>
      </c>
      <c r="B1314" s="40" t="n"/>
      <c r="C1314" s="41" t="n"/>
      <c r="D1314" s="41" t="n"/>
      <c r="E1314" s="41" t="n"/>
      <c r="F1314" s="41" t="n"/>
      <c r="G1314" s="41" t="n"/>
      <c r="H1314" s="41" t="n"/>
      <c r="I1314" s="50" t="n"/>
      <c r="J1314" s="42" t="n"/>
      <c r="K1314" s="42" t="n"/>
      <c r="L1314" s="43">
        <f>IF($B1314="","",ROUND((N($J1314)+N($K1314))*نسبة_القيمة_المضافة,2))</f>
        <v/>
      </c>
      <c r="M1314" s="42" t="n"/>
      <c r="N1314" s="42" t="n"/>
      <c r="O1314" s="43">
        <f>IF($B1314="","",N($J1314)+N($K1314)+N($L1314)-N($M1314)+N($N1314))</f>
        <v/>
      </c>
      <c r="P1314" s="42" t="n"/>
      <c r="Q1314" s="43">
        <f>IF($B1314="","",N($O1314)-N($P1314))</f>
        <v/>
      </c>
      <c r="R1314" s="42" t="n"/>
      <c r="S1314" s="42" t="n"/>
      <c r="T1314" s="42" t="n"/>
      <c r="U1314" s="43">
        <f>IF($B1314="","",N($J1314)-N($R1314)-N($T1314))</f>
        <v/>
      </c>
      <c r="V1314" s="42" t="n"/>
    </row>
    <row r="1315">
      <c r="A1315" s="39">
        <f>IF($B1315="","",COUNTA($B$4:$B1315))</f>
        <v/>
      </c>
      <c r="B1315" s="45" t="n"/>
      <c r="C1315" s="46" t="n"/>
      <c r="D1315" s="46" t="n"/>
      <c r="E1315" s="46" t="n"/>
      <c r="F1315" s="46" t="n"/>
      <c r="G1315" s="46" t="n"/>
      <c r="H1315" s="46" t="n"/>
      <c r="I1315" s="51" t="n"/>
      <c r="J1315" s="47" t="n"/>
      <c r="K1315" s="47" t="n"/>
      <c r="L1315" s="43">
        <f>IF($B1315="","",ROUND((N($J1315)+N($K1315))*نسبة_القيمة_المضافة,2))</f>
        <v/>
      </c>
      <c r="M1315" s="47" t="n"/>
      <c r="N1315" s="47" t="n"/>
      <c r="O1315" s="43">
        <f>IF($B1315="","",N($J1315)+N($K1315)+N($L1315)-N($M1315)+N($N1315))</f>
        <v/>
      </c>
      <c r="P1315" s="47" t="n"/>
      <c r="Q1315" s="43">
        <f>IF($B1315="","",N($O1315)-N($P1315))</f>
        <v/>
      </c>
      <c r="R1315" s="47" t="n"/>
      <c r="S1315" s="47" t="n"/>
      <c r="T1315" s="47" t="n"/>
      <c r="U1315" s="43">
        <f>IF($B1315="","",N($J1315)-N($R1315)-N($T1315))</f>
        <v/>
      </c>
      <c r="V1315" s="47" t="n"/>
    </row>
    <row r="1316">
      <c r="A1316" s="39">
        <f>IF($B1316="","",COUNTA($B$4:$B1316))</f>
        <v/>
      </c>
      <c r="B1316" s="40" t="n"/>
      <c r="C1316" s="41" t="n"/>
      <c r="D1316" s="41" t="n"/>
      <c r="E1316" s="41" t="n"/>
      <c r="F1316" s="41" t="n"/>
      <c r="G1316" s="41" t="n"/>
      <c r="H1316" s="41" t="n"/>
      <c r="I1316" s="50" t="n"/>
      <c r="J1316" s="42" t="n"/>
      <c r="K1316" s="42" t="n"/>
      <c r="L1316" s="43">
        <f>IF($B1316="","",ROUND((N($J1316)+N($K1316))*نسبة_القيمة_المضافة,2))</f>
        <v/>
      </c>
      <c r="M1316" s="42" t="n"/>
      <c r="N1316" s="42" t="n"/>
      <c r="O1316" s="43">
        <f>IF($B1316="","",N($J1316)+N($K1316)+N($L1316)-N($M1316)+N($N1316))</f>
        <v/>
      </c>
      <c r="P1316" s="42" t="n"/>
      <c r="Q1316" s="43">
        <f>IF($B1316="","",N($O1316)-N($P1316))</f>
        <v/>
      </c>
      <c r="R1316" s="42" t="n"/>
      <c r="S1316" s="42" t="n"/>
      <c r="T1316" s="42" t="n"/>
      <c r="U1316" s="43">
        <f>IF($B1316="","",N($J1316)-N($R1316)-N($T1316))</f>
        <v/>
      </c>
      <c r="V1316" s="42" t="n"/>
    </row>
    <row r="1317">
      <c r="A1317" s="39">
        <f>IF($B1317="","",COUNTA($B$4:$B1317))</f>
        <v/>
      </c>
      <c r="B1317" s="45" t="n"/>
      <c r="C1317" s="46" t="n"/>
      <c r="D1317" s="46" t="n"/>
      <c r="E1317" s="46" t="n"/>
      <c r="F1317" s="46" t="n"/>
      <c r="G1317" s="46" t="n"/>
      <c r="H1317" s="46" t="n"/>
      <c r="I1317" s="51" t="n"/>
      <c r="J1317" s="47" t="n"/>
      <c r="K1317" s="47" t="n"/>
      <c r="L1317" s="43">
        <f>IF($B1317="","",ROUND((N($J1317)+N($K1317))*نسبة_القيمة_المضافة,2))</f>
        <v/>
      </c>
      <c r="M1317" s="47" t="n"/>
      <c r="N1317" s="47" t="n"/>
      <c r="O1317" s="43">
        <f>IF($B1317="","",N($J1317)+N($K1317)+N($L1317)-N($M1317)+N($N1317))</f>
        <v/>
      </c>
      <c r="P1317" s="47" t="n"/>
      <c r="Q1317" s="43">
        <f>IF($B1317="","",N($O1317)-N($P1317))</f>
        <v/>
      </c>
      <c r="R1317" s="47" t="n"/>
      <c r="S1317" s="47" t="n"/>
      <c r="T1317" s="47" t="n"/>
      <c r="U1317" s="43">
        <f>IF($B1317="","",N($J1317)-N($R1317)-N($T1317))</f>
        <v/>
      </c>
      <c r="V1317" s="47" t="n"/>
    </row>
    <row r="1318">
      <c r="A1318" s="39">
        <f>IF($B1318="","",COUNTA($B$4:$B1318))</f>
        <v/>
      </c>
      <c r="B1318" s="40" t="n"/>
      <c r="C1318" s="41" t="n"/>
      <c r="D1318" s="41" t="n"/>
      <c r="E1318" s="41" t="n"/>
      <c r="F1318" s="41" t="n"/>
      <c r="G1318" s="41" t="n"/>
      <c r="H1318" s="41" t="n"/>
      <c r="I1318" s="50" t="n"/>
      <c r="J1318" s="42" t="n"/>
      <c r="K1318" s="42" t="n"/>
      <c r="L1318" s="43">
        <f>IF($B1318="","",ROUND((N($J1318)+N($K1318))*نسبة_القيمة_المضافة,2))</f>
        <v/>
      </c>
      <c r="M1318" s="42" t="n"/>
      <c r="N1318" s="42" t="n"/>
      <c r="O1318" s="43">
        <f>IF($B1318="","",N($J1318)+N($K1318)+N($L1318)-N($M1318)+N($N1318))</f>
        <v/>
      </c>
      <c r="P1318" s="42" t="n"/>
      <c r="Q1318" s="43">
        <f>IF($B1318="","",N($O1318)-N($P1318))</f>
        <v/>
      </c>
      <c r="R1318" s="42" t="n"/>
      <c r="S1318" s="42" t="n"/>
      <c r="T1318" s="42" t="n"/>
      <c r="U1318" s="43">
        <f>IF($B1318="","",N($J1318)-N($R1318)-N($T1318))</f>
        <v/>
      </c>
      <c r="V1318" s="42" t="n"/>
    </row>
    <row r="1319">
      <c r="A1319" s="39">
        <f>IF($B1319="","",COUNTA($B$4:$B1319))</f>
        <v/>
      </c>
      <c r="B1319" s="45" t="n"/>
      <c r="C1319" s="46" t="n"/>
      <c r="D1319" s="46" t="n"/>
      <c r="E1319" s="46" t="n"/>
      <c r="F1319" s="46" t="n"/>
      <c r="G1319" s="46" t="n"/>
      <c r="H1319" s="46" t="n"/>
      <c r="I1319" s="51" t="n"/>
      <c r="J1319" s="47" t="n"/>
      <c r="K1319" s="47" t="n"/>
      <c r="L1319" s="43">
        <f>IF($B1319="","",ROUND((N($J1319)+N($K1319))*نسبة_القيمة_المضافة,2))</f>
        <v/>
      </c>
      <c r="M1319" s="47" t="n"/>
      <c r="N1319" s="47" t="n"/>
      <c r="O1319" s="43">
        <f>IF($B1319="","",N($J1319)+N($K1319)+N($L1319)-N($M1319)+N($N1319))</f>
        <v/>
      </c>
      <c r="P1319" s="47" t="n"/>
      <c r="Q1319" s="43">
        <f>IF($B1319="","",N($O1319)-N($P1319))</f>
        <v/>
      </c>
      <c r="R1319" s="47" t="n"/>
      <c r="S1319" s="47" t="n"/>
      <c r="T1319" s="47" t="n"/>
      <c r="U1319" s="43">
        <f>IF($B1319="","",N($J1319)-N($R1319)-N($T1319))</f>
        <v/>
      </c>
      <c r="V1319" s="47" t="n"/>
    </row>
    <row r="1320">
      <c r="A1320" s="39">
        <f>IF($B1320="","",COUNTA($B$4:$B1320))</f>
        <v/>
      </c>
      <c r="B1320" s="40" t="n"/>
      <c r="C1320" s="41" t="n"/>
      <c r="D1320" s="41" t="n"/>
      <c r="E1320" s="41" t="n"/>
      <c r="F1320" s="41" t="n"/>
      <c r="G1320" s="41" t="n"/>
      <c r="H1320" s="41" t="n"/>
      <c r="I1320" s="50" t="n"/>
      <c r="J1320" s="42" t="n"/>
      <c r="K1320" s="42" t="n"/>
      <c r="L1320" s="43">
        <f>IF($B1320="","",ROUND((N($J1320)+N($K1320))*نسبة_القيمة_المضافة,2))</f>
        <v/>
      </c>
      <c r="M1320" s="42" t="n"/>
      <c r="N1320" s="42" t="n"/>
      <c r="O1320" s="43">
        <f>IF($B1320="","",N($J1320)+N($K1320)+N($L1320)-N($M1320)+N($N1320))</f>
        <v/>
      </c>
      <c r="P1320" s="42" t="n"/>
      <c r="Q1320" s="43">
        <f>IF($B1320="","",N($O1320)-N($P1320))</f>
        <v/>
      </c>
      <c r="R1320" s="42" t="n"/>
      <c r="S1320" s="42" t="n"/>
      <c r="T1320" s="42" t="n"/>
      <c r="U1320" s="43">
        <f>IF($B1320="","",N($J1320)-N($R1320)-N($T1320))</f>
        <v/>
      </c>
      <c r="V1320" s="42" t="n"/>
    </row>
    <row r="1321">
      <c r="A1321" s="39">
        <f>IF($B1321="","",COUNTA($B$4:$B1321))</f>
        <v/>
      </c>
      <c r="B1321" s="45" t="n"/>
      <c r="C1321" s="46" t="n"/>
      <c r="D1321" s="46" t="n"/>
      <c r="E1321" s="46" t="n"/>
      <c r="F1321" s="46" t="n"/>
      <c r="G1321" s="46" t="n"/>
      <c r="H1321" s="46" t="n"/>
      <c r="I1321" s="51" t="n"/>
      <c r="J1321" s="47" t="n"/>
      <c r="K1321" s="47" t="n"/>
      <c r="L1321" s="43">
        <f>IF($B1321="","",ROUND((N($J1321)+N($K1321))*نسبة_القيمة_المضافة,2))</f>
        <v/>
      </c>
      <c r="M1321" s="47" t="n"/>
      <c r="N1321" s="47" t="n"/>
      <c r="O1321" s="43">
        <f>IF($B1321="","",N($J1321)+N($K1321)+N($L1321)-N($M1321)+N($N1321))</f>
        <v/>
      </c>
      <c r="P1321" s="47" t="n"/>
      <c r="Q1321" s="43">
        <f>IF($B1321="","",N($O1321)-N($P1321))</f>
        <v/>
      </c>
      <c r="R1321" s="47" t="n"/>
      <c r="S1321" s="47" t="n"/>
      <c r="T1321" s="47" t="n"/>
      <c r="U1321" s="43">
        <f>IF($B1321="","",N($J1321)-N($R1321)-N($T1321))</f>
        <v/>
      </c>
      <c r="V1321" s="47" t="n"/>
    </row>
    <row r="1322">
      <c r="A1322" s="39">
        <f>IF($B1322="","",COUNTA($B$4:$B1322))</f>
        <v/>
      </c>
      <c r="B1322" s="40" t="n"/>
      <c r="C1322" s="41" t="n"/>
      <c r="D1322" s="41" t="n"/>
      <c r="E1322" s="41" t="n"/>
      <c r="F1322" s="41" t="n"/>
      <c r="G1322" s="41" t="n"/>
      <c r="H1322" s="41" t="n"/>
      <c r="I1322" s="50" t="n"/>
      <c r="J1322" s="42" t="n"/>
      <c r="K1322" s="42" t="n"/>
      <c r="L1322" s="43">
        <f>IF($B1322="","",ROUND((N($J1322)+N($K1322))*نسبة_القيمة_المضافة,2))</f>
        <v/>
      </c>
      <c r="M1322" s="42" t="n"/>
      <c r="N1322" s="42" t="n"/>
      <c r="O1322" s="43">
        <f>IF($B1322="","",N($J1322)+N($K1322)+N($L1322)-N($M1322)+N($N1322))</f>
        <v/>
      </c>
      <c r="P1322" s="42" t="n"/>
      <c r="Q1322" s="43">
        <f>IF($B1322="","",N($O1322)-N($P1322))</f>
        <v/>
      </c>
      <c r="R1322" s="42" t="n"/>
      <c r="S1322" s="42" t="n"/>
      <c r="T1322" s="42" t="n"/>
      <c r="U1322" s="43">
        <f>IF($B1322="","",N($J1322)-N($R1322)-N($T1322))</f>
        <v/>
      </c>
      <c r="V1322" s="42" t="n"/>
    </row>
    <row r="1323">
      <c r="A1323" s="39">
        <f>IF($B1323="","",COUNTA($B$4:$B1323))</f>
        <v/>
      </c>
      <c r="B1323" s="45" t="n"/>
      <c r="C1323" s="46" t="n"/>
      <c r="D1323" s="46" t="n"/>
      <c r="E1323" s="46" t="n"/>
      <c r="F1323" s="46" t="n"/>
      <c r="G1323" s="46" t="n"/>
      <c r="H1323" s="46" t="n"/>
      <c r="I1323" s="51" t="n"/>
      <c r="J1323" s="47" t="n"/>
      <c r="K1323" s="47" t="n"/>
      <c r="L1323" s="43">
        <f>IF($B1323="","",ROUND((N($J1323)+N($K1323))*نسبة_القيمة_المضافة,2))</f>
        <v/>
      </c>
      <c r="M1323" s="47" t="n"/>
      <c r="N1323" s="47" t="n"/>
      <c r="O1323" s="43">
        <f>IF($B1323="","",N($J1323)+N($K1323)+N($L1323)-N($M1323)+N($N1323))</f>
        <v/>
      </c>
      <c r="P1323" s="47" t="n"/>
      <c r="Q1323" s="43">
        <f>IF($B1323="","",N($O1323)-N($P1323))</f>
        <v/>
      </c>
      <c r="R1323" s="47" t="n"/>
      <c r="S1323" s="47" t="n"/>
      <c r="T1323" s="47" t="n"/>
      <c r="U1323" s="43">
        <f>IF($B1323="","",N($J1323)-N($R1323)-N($T1323))</f>
        <v/>
      </c>
      <c r="V1323" s="47" t="n"/>
    </row>
    <row r="1324">
      <c r="A1324" s="39">
        <f>IF($B1324="","",COUNTA($B$4:$B1324))</f>
        <v/>
      </c>
      <c r="B1324" s="40" t="n"/>
      <c r="C1324" s="41" t="n"/>
      <c r="D1324" s="41" t="n"/>
      <c r="E1324" s="41" t="n"/>
      <c r="F1324" s="41" t="n"/>
      <c r="G1324" s="41" t="n"/>
      <c r="H1324" s="41" t="n"/>
      <c r="I1324" s="50" t="n"/>
      <c r="J1324" s="42" t="n"/>
      <c r="K1324" s="42" t="n"/>
      <c r="L1324" s="43">
        <f>IF($B1324="","",ROUND((N($J1324)+N($K1324))*نسبة_القيمة_المضافة,2))</f>
        <v/>
      </c>
      <c r="M1324" s="42" t="n"/>
      <c r="N1324" s="42" t="n"/>
      <c r="O1324" s="43">
        <f>IF($B1324="","",N($J1324)+N($K1324)+N($L1324)-N($M1324)+N($N1324))</f>
        <v/>
      </c>
      <c r="P1324" s="42" t="n"/>
      <c r="Q1324" s="43">
        <f>IF($B1324="","",N($O1324)-N($P1324))</f>
        <v/>
      </c>
      <c r="R1324" s="42" t="n"/>
      <c r="S1324" s="42" t="n"/>
      <c r="T1324" s="42" t="n"/>
      <c r="U1324" s="43">
        <f>IF($B1324="","",N($J1324)-N($R1324)-N($T1324))</f>
        <v/>
      </c>
      <c r="V1324" s="42" t="n"/>
    </row>
    <row r="1325">
      <c r="A1325" s="39">
        <f>IF($B1325="","",COUNTA($B$4:$B1325))</f>
        <v/>
      </c>
      <c r="B1325" s="45" t="n"/>
      <c r="C1325" s="46" t="n"/>
      <c r="D1325" s="46" t="n"/>
      <c r="E1325" s="46" t="n"/>
      <c r="F1325" s="46" t="n"/>
      <c r="G1325" s="46" t="n"/>
      <c r="H1325" s="46" t="n"/>
      <c r="I1325" s="51" t="n"/>
      <c r="J1325" s="47" t="n"/>
      <c r="K1325" s="47" t="n"/>
      <c r="L1325" s="43">
        <f>IF($B1325="","",ROUND((N($J1325)+N($K1325))*نسبة_القيمة_المضافة,2))</f>
        <v/>
      </c>
      <c r="M1325" s="47" t="n"/>
      <c r="N1325" s="47" t="n"/>
      <c r="O1325" s="43">
        <f>IF($B1325="","",N($J1325)+N($K1325)+N($L1325)-N($M1325)+N($N1325))</f>
        <v/>
      </c>
      <c r="P1325" s="47" t="n"/>
      <c r="Q1325" s="43">
        <f>IF($B1325="","",N($O1325)-N($P1325))</f>
        <v/>
      </c>
      <c r="R1325" s="47" t="n"/>
      <c r="S1325" s="47" t="n"/>
      <c r="T1325" s="47" t="n"/>
      <c r="U1325" s="43">
        <f>IF($B1325="","",N($J1325)-N($R1325)-N($T1325))</f>
        <v/>
      </c>
      <c r="V1325" s="47" t="n"/>
    </row>
    <row r="1326">
      <c r="A1326" s="39">
        <f>IF($B1326="","",COUNTA($B$4:$B1326))</f>
        <v/>
      </c>
      <c r="B1326" s="40" t="n"/>
      <c r="C1326" s="41" t="n"/>
      <c r="D1326" s="41" t="n"/>
      <c r="E1326" s="41" t="n"/>
      <c r="F1326" s="41" t="n"/>
      <c r="G1326" s="41" t="n"/>
      <c r="H1326" s="41" t="n"/>
      <c r="I1326" s="50" t="n"/>
      <c r="J1326" s="42" t="n"/>
      <c r="K1326" s="42" t="n"/>
      <c r="L1326" s="43">
        <f>IF($B1326="","",ROUND((N($J1326)+N($K1326))*نسبة_القيمة_المضافة,2))</f>
        <v/>
      </c>
      <c r="M1326" s="42" t="n"/>
      <c r="N1326" s="42" t="n"/>
      <c r="O1326" s="43">
        <f>IF($B1326="","",N($J1326)+N($K1326)+N($L1326)-N($M1326)+N($N1326))</f>
        <v/>
      </c>
      <c r="P1326" s="42" t="n"/>
      <c r="Q1326" s="43">
        <f>IF($B1326="","",N($O1326)-N($P1326))</f>
        <v/>
      </c>
      <c r="R1326" s="42" t="n"/>
      <c r="S1326" s="42" t="n"/>
      <c r="T1326" s="42" t="n"/>
      <c r="U1326" s="43">
        <f>IF($B1326="","",N($J1326)-N($R1326)-N($T1326))</f>
        <v/>
      </c>
      <c r="V1326" s="42" t="n"/>
    </row>
    <row r="1327">
      <c r="A1327" s="39">
        <f>IF($B1327="","",COUNTA($B$4:$B1327))</f>
        <v/>
      </c>
      <c r="B1327" s="45" t="n"/>
      <c r="C1327" s="46" t="n"/>
      <c r="D1327" s="46" t="n"/>
      <c r="E1327" s="46" t="n"/>
      <c r="F1327" s="46" t="n"/>
      <c r="G1327" s="46" t="n"/>
      <c r="H1327" s="46" t="n"/>
      <c r="I1327" s="51" t="n"/>
      <c r="J1327" s="47" t="n"/>
      <c r="K1327" s="47" t="n"/>
      <c r="L1327" s="43">
        <f>IF($B1327="","",ROUND((N($J1327)+N($K1327))*نسبة_القيمة_المضافة,2))</f>
        <v/>
      </c>
      <c r="M1327" s="47" t="n"/>
      <c r="N1327" s="47" t="n"/>
      <c r="O1327" s="43">
        <f>IF($B1327="","",N($J1327)+N($K1327)+N($L1327)-N($M1327)+N($N1327))</f>
        <v/>
      </c>
      <c r="P1327" s="47" t="n"/>
      <c r="Q1327" s="43">
        <f>IF($B1327="","",N($O1327)-N($P1327))</f>
        <v/>
      </c>
      <c r="R1327" s="47" t="n"/>
      <c r="S1327" s="47" t="n"/>
      <c r="T1327" s="47" t="n"/>
      <c r="U1327" s="43">
        <f>IF($B1327="","",N($J1327)-N($R1327)-N($T1327))</f>
        <v/>
      </c>
      <c r="V1327" s="47" t="n"/>
    </row>
    <row r="1328">
      <c r="A1328" s="39">
        <f>IF($B1328="","",COUNTA($B$4:$B1328))</f>
        <v/>
      </c>
      <c r="B1328" s="40" t="n"/>
      <c r="C1328" s="41" t="n"/>
      <c r="D1328" s="41" t="n"/>
      <c r="E1328" s="41" t="n"/>
      <c r="F1328" s="41" t="n"/>
      <c r="G1328" s="41" t="n"/>
      <c r="H1328" s="41" t="n"/>
      <c r="I1328" s="50" t="n"/>
      <c r="J1328" s="42" t="n"/>
      <c r="K1328" s="42" t="n"/>
      <c r="L1328" s="43">
        <f>IF($B1328="","",ROUND((N($J1328)+N($K1328))*نسبة_القيمة_المضافة,2))</f>
        <v/>
      </c>
      <c r="M1328" s="42" t="n"/>
      <c r="N1328" s="42" t="n"/>
      <c r="O1328" s="43">
        <f>IF($B1328="","",N($J1328)+N($K1328)+N($L1328)-N($M1328)+N($N1328))</f>
        <v/>
      </c>
      <c r="P1328" s="42" t="n"/>
      <c r="Q1328" s="43">
        <f>IF($B1328="","",N($O1328)-N($P1328))</f>
        <v/>
      </c>
      <c r="R1328" s="42" t="n"/>
      <c r="S1328" s="42" t="n"/>
      <c r="T1328" s="42" t="n"/>
      <c r="U1328" s="43">
        <f>IF($B1328="","",N($J1328)-N($R1328)-N($T1328))</f>
        <v/>
      </c>
      <c r="V1328" s="42" t="n"/>
    </row>
    <row r="1329">
      <c r="A1329" s="39">
        <f>IF($B1329="","",COUNTA($B$4:$B1329))</f>
        <v/>
      </c>
      <c r="B1329" s="45" t="n"/>
      <c r="C1329" s="46" t="n"/>
      <c r="D1329" s="46" t="n"/>
      <c r="E1329" s="46" t="n"/>
      <c r="F1329" s="46" t="n"/>
      <c r="G1329" s="46" t="n"/>
      <c r="H1329" s="46" t="n"/>
      <c r="I1329" s="51" t="n"/>
      <c r="J1329" s="47" t="n"/>
      <c r="K1329" s="47" t="n"/>
      <c r="L1329" s="43">
        <f>IF($B1329="","",ROUND((N($J1329)+N($K1329))*نسبة_القيمة_المضافة,2))</f>
        <v/>
      </c>
      <c r="M1329" s="47" t="n"/>
      <c r="N1329" s="47" t="n"/>
      <c r="O1329" s="43">
        <f>IF($B1329="","",N($J1329)+N($K1329)+N($L1329)-N($M1329)+N($N1329))</f>
        <v/>
      </c>
      <c r="P1329" s="47" t="n"/>
      <c r="Q1329" s="43">
        <f>IF($B1329="","",N($O1329)-N($P1329))</f>
        <v/>
      </c>
      <c r="R1329" s="47" t="n"/>
      <c r="S1329" s="47" t="n"/>
      <c r="T1329" s="47" t="n"/>
      <c r="U1329" s="43">
        <f>IF($B1329="","",N($J1329)-N($R1329)-N($T1329))</f>
        <v/>
      </c>
      <c r="V1329" s="47" t="n"/>
    </row>
    <row r="1330">
      <c r="A1330" s="39">
        <f>IF($B1330="","",COUNTA($B$4:$B1330))</f>
        <v/>
      </c>
      <c r="B1330" s="40" t="n"/>
      <c r="C1330" s="41" t="n"/>
      <c r="D1330" s="41" t="n"/>
      <c r="E1330" s="41" t="n"/>
      <c r="F1330" s="41" t="n"/>
      <c r="G1330" s="41" t="n"/>
      <c r="H1330" s="41" t="n"/>
      <c r="I1330" s="50" t="n"/>
      <c r="J1330" s="42" t="n"/>
      <c r="K1330" s="42" t="n"/>
      <c r="L1330" s="43">
        <f>IF($B1330="","",ROUND((N($J1330)+N($K1330))*نسبة_القيمة_المضافة,2))</f>
        <v/>
      </c>
      <c r="M1330" s="42" t="n"/>
      <c r="N1330" s="42" t="n"/>
      <c r="O1330" s="43">
        <f>IF($B1330="","",N($J1330)+N($K1330)+N($L1330)-N($M1330)+N($N1330))</f>
        <v/>
      </c>
      <c r="P1330" s="42" t="n"/>
      <c r="Q1330" s="43">
        <f>IF($B1330="","",N($O1330)-N($P1330))</f>
        <v/>
      </c>
      <c r="R1330" s="42" t="n"/>
      <c r="S1330" s="42" t="n"/>
      <c r="T1330" s="42" t="n"/>
      <c r="U1330" s="43">
        <f>IF($B1330="","",N($J1330)-N($R1330)-N($T1330))</f>
        <v/>
      </c>
      <c r="V1330" s="42" t="n"/>
    </row>
    <row r="1331">
      <c r="A1331" s="39">
        <f>IF($B1331="","",COUNTA($B$4:$B1331))</f>
        <v/>
      </c>
      <c r="B1331" s="45" t="n"/>
      <c r="C1331" s="46" t="n"/>
      <c r="D1331" s="46" t="n"/>
      <c r="E1331" s="46" t="n"/>
      <c r="F1331" s="46" t="n"/>
      <c r="G1331" s="46" t="n"/>
      <c r="H1331" s="46" t="n"/>
      <c r="I1331" s="51" t="n"/>
      <c r="J1331" s="47" t="n"/>
      <c r="K1331" s="47" t="n"/>
      <c r="L1331" s="43">
        <f>IF($B1331="","",ROUND((N($J1331)+N($K1331))*نسبة_القيمة_المضافة,2))</f>
        <v/>
      </c>
      <c r="M1331" s="47" t="n"/>
      <c r="N1331" s="47" t="n"/>
      <c r="O1331" s="43">
        <f>IF($B1331="","",N($J1331)+N($K1331)+N($L1331)-N($M1331)+N($N1331))</f>
        <v/>
      </c>
      <c r="P1331" s="47" t="n"/>
      <c r="Q1331" s="43">
        <f>IF($B1331="","",N($O1331)-N($P1331))</f>
        <v/>
      </c>
      <c r="R1331" s="47" t="n"/>
      <c r="S1331" s="47" t="n"/>
      <c r="T1331" s="47" t="n"/>
      <c r="U1331" s="43">
        <f>IF($B1331="","",N($J1331)-N($R1331)-N($T1331))</f>
        <v/>
      </c>
      <c r="V1331" s="47" t="n"/>
    </row>
    <row r="1332">
      <c r="A1332" s="39">
        <f>IF($B1332="","",COUNTA($B$4:$B1332))</f>
        <v/>
      </c>
      <c r="B1332" s="40" t="n"/>
      <c r="C1332" s="41" t="n"/>
      <c r="D1332" s="41" t="n"/>
      <c r="E1332" s="41" t="n"/>
      <c r="F1332" s="41" t="n"/>
      <c r="G1332" s="41" t="n"/>
      <c r="H1332" s="41" t="n"/>
      <c r="I1332" s="50" t="n"/>
      <c r="J1332" s="42" t="n"/>
      <c r="K1332" s="42" t="n"/>
      <c r="L1332" s="43">
        <f>IF($B1332="","",ROUND((N($J1332)+N($K1332))*نسبة_القيمة_المضافة,2))</f>
        <v/>
      </c>
      <c r="M1332" s="42" t="n"/>
      <c r="N1332" s="42" t="n"/>
      <c r="O1332" s="43">
        <f>IF($B1332="","",N($J1332)+N($K1332)+N($L1332)-N($M1332)+N($N1332))</f>
        <v/>
      </c>
      <c r="P1332" s="42" t="n"/>
      <c r="Q1332" s="43">
        <f>IF($B1332="","",N($O1332)-N($P1332))</f>
        <v/>
      </c>
      <c r="R1332" s="42" t="n"/>
      <c r="S1332" s="42" t="n"/>
      <c r="T1332" s="42" t="n"/>
      <c r="U1332" s="43">
        <f>IF($B1332="","",N($J1332)-N($R1332)-N($T1332))</f>
        <v/>
      </c>
      <c r="V1332" s="42" t="n"/>
    </row>
    <row r="1333">
      <c r="A1333" s="39">
        <f>IF($B1333="","",COUNTA($B$4:$B1333))</f>
        <v/>
      </c>
      <c r="B1333" s="45" t="n"/>
      <c r="C1333" s="46" t="n"/>
      <c r="D1333" s="46" t="n"/>
      <c r="E1333" s="46" t="n"/>
      <c r="F1333" s="46" t="n"/>
      <c r="G1333" s="46" t="n"/>
      <c r="H1333" s="46" t="n"/>
      <c r="I1333" s="51" t="n"/>
      <c r="J1333" s="47" t="n"/>
      <c r="K1333" s="47" t="n"/>
      <c r="L1333" s="43">
        <f>IF($B1333="","",ROUND((N($J1333)+N($K1333))*نسبة_القيمة_المضافة,2))</f>
        <v/>
      </c>
      <c r="M1333" s="47" t="n"/>
      <c r="N1333" s="47" t="n"/>
      <c r="O1333" s="43">
        <f>IF($B1333="","",N($J1333)+N($K1333)+N($L1333)-N($M1333)+N($N1333))</f>
        <v/>
      </c>
      <c r="P1333" s="47" t="n"/>
      <c r="Q1333" s="43">
        <f>IF($B1333="","",N($O1333)-N($P1333))</f>
        <v/>
      </c>
      <c r="R1333" s="47" t="n"/>
      <c r="S1333" s="47" t="n"/>
      <c r="T1333" s="47" t="n"/>
      <c r="U1333" s="43">
        <f>IF($B1333="","",N($J1333)-N($R1333)-N($T1333))</f>
        <v/>
      </c>
      <c r="V1333" s="47" t="n"/>
    </row>
    <row r="1334">
      <c r="A1334" s="39">
        <f>IF($B1334="","",COUNTA($B$4:$B1334))</f>
        <v/>
      </c>
      <c r="B1334" s="40" t="n"/>
      <c r="C1334" s="41" t="n"/>
      <c r="D1334" s="41" t="n"/>
      <c r="E1334" s="41" t="n"/>
      <c r="F1334" s="41" t="n"/>
      <c r="G1334" s="41" t="n"/>
      <c r="H1334" s="41" t="n"/>
      <c r="I1334" s="50" t="n"/>
      <c r="J1334" s="42" t="n"/>
      <c r="K1334" s="42" t="n"/>
      <c r="L1334" s="43">
        <f>IF($B1334="","",ROUND((N($J1334)+N($K1334))*نسبة_القيمة_المضافة,2))</f>
        <v/>
      </c>
      <c r="M1334" s="42" t="n"/>
      <c r="N1334" s="42" t="n"/>
      <c r="O1334" s="43">
        <f>IF($B1334="","",N($J1334)+N($K1334)+N($L1334)-N($M1334)+N($N1334))</f>
        <v/>
      </c>
      <c r="P1334" s="42" t="n"/>
      <c r="Q1334" s="43">
        <f>IF($B1334="","",N($O1334)-N($P1334))</f>
        <v/>
      </c>
      <c r="R1334" s="42" t="n"/>
      <c r="S1334" s="42" t="n"/>
      <c r="T1334" s="42" t="n"/>
      <c r="U1334" s="43">
        <f>IF($B1334="","",N($J1334)-N($R1334)-N($T1334))</f>
        <v/>
      </c>
      <c r="V1334" s="42" t="n"/>
    </row>
    <row r="1335">
      <c r="A1335" s="39">
        <f>IF($B1335="","",COUNTA($B$4:$B1335))</f>
        <v/>
      </c>
      <c r="B1335" s="45" t="n"/>
      <c r="C1335" s="46" t="n"/>
      <c r="D1335" s="46" t="n"/>
      <c r="E1335" s="46" t="n"/>
      <c r="F1335" s="46" t="n"/>
      <c r="G1335" s="46" t="n"/>
      <c r="H1335" s="46" t="n"/>
      <c r="I1335" s="51" t="n"/>
      <c r="J1335" s="47" t="n"/>
      <c r="K1335" s="47" t="n"/>
      <c r="L1335" s="43">
        <f>IF($B1335="","",ROUND((N($J1335)+N($K1335))*نسبة_القيمة_المضافة,2))</f>
        <v/>
      </c>
      <c r="M1335" s="47" t="n"/>
      <c r="N1335" s="47" t="n"/>
      <c r="O1335" s="43">
        <f>IF($B1335="","",N($J1335)+N($K1335)+N($L1335)-N($M1335)+N($N1335))</f>
        <v/>
      </c>
      <c r="P1335" s="47" t="n"/>
      <c r="Q1335" s="43">
        <f>IF($B1335="","",N($O1335)-N($P1335))</f>
        <v/>
      </c>
      <c r="R1335" s="47" t="n"/>
      <c r="S1335" s="47" t="n"/>
      <c r="T1335" s="47" t="n"/>
      <c r="U1335" s="43">
        <f>IF($B1335="","",N($J1335)-N($R1335)-N($T1335))</f>
        <v/>
      </c>
      <c r="V1335" s="47" t="n"/>
    </row>
    <row r="1336">
      <c r="A1336" s="39">
        <f>IF($B1336="","",COUNTA($B$4:$B1336))</f>
        <v/>
      </c>
      <c r="B1336" s="40" t="n"/>
      <c r="C1336" s="41" t="n"/>
      <c r="D1336" s="41" t="n"/>
      <c r="E1336" s="41" t="n"/>
      <c r="F1336" s="41" t="n"/>
      <c r="G1336" s="41" t="n"/>
      <c r="H1336" s="41" t="n"/>
      <c r="I1336" s="50" t="n"/>
      <c r="J1336" s="42" t="n"/>
      <c r="K1336" s="42" t="n"/>
      <c r="L1336" s="43">
        <f>IF($B1336="","",ROUND((N($J1336)+N($K1336))*نسبة_القيمة_المضافة,2))</f>
        <v/>
      </c>
      <c r="M1336" s="42" t="n"/>
      <c r="N1336" s="42" t="n"/>
      <c r="O1336" s="43">
        <f>IF($B1336="","",N($J1336)+N($K1336)+N($L1336)-N($M1336)+N($N1336))</f>
        <v/>
      </c>
      <c r="P1336" s="42" t="n"/>
      <c r="Q1336" s="43">
        <f>IF($B1336="","",N($O1336)-N($P1336))</f>
        <v/>
      </c>
      <c r="R1336" s="42" t="n"/>
      <c r="S1336" s="42" t="n"/>
      <c r="T1336" s="42" t="n"/>
      <c r="U1336" s="43">
        <f>IF($B1336="","",N($J1336)-N($R1336)-N($T1336))</f>
        <v/>
      </c>
      <c r="V1336" s="42" t="n"/>
    </row>
    <row r="1337">
      <c r="A1337" s="39">
        <f>IF($B1337="","",COUNTA($B$4:$B1337))</f>
        <v/>
      </c>
      <c r="B1337" s="45" t="n"/>
      <c r="C1337" s="46" t="n"/>
      <c r="D1337" s="46" t="n"/>
      <c r="E1337" s="46" t="n"/>
      <c r="F1337" s="46" t="n"/>
      <c r="G1337" s="46" t="n"/>
      <c r="H1337" s="46" t="n"/>
      <c r="I1337" s="51" t="n"/>
      <c r="J1337" s="47" t="n"/>
      <c r="K1337" s="47" t="n"/>
      <c r="L1337" s="43">
        <f>IF($B1337="","",ROUND((N($J1337)+N($K1337))*نسبة_القيمة_المضافة,2))</f>
        <v/>
      </c>
      <c r="M1337" s="47" t="n"/>
      <c r="N1337" s="47" t="n"/>
      <c r="O1337" s="43">
        <f>IF($B1337="","",N($J1337)+N($K1337)+N($L1337)-N($M1337)+N($N1337))</f>
        <v/>
      </c>
      <c r="P1337" s="47" t="n"/>
      <c r="Q1337" s="43">
        <f>IF($B1337="","",N($O1337)-N($P1337))</f>
        <v/>
      </c>
      <c r="R1337" s="47" t="n"/>
      <c r="S1337" s="47" t="n"/>
      <c r="T1337" s="47" t="n"/>
      <c r="U1337" s="43">
        <f>IF($B1337="","",N($J1337)-N($R1337)-N($T1337))</f>
        <v/>
      </c>
      <c r="V1337" s="47" t="n"/>
    </row>
    <row r="1338">
      <c r="A1338" s="39">
        <f>IF($B1338="","",COUNTA($B$4:$B1338))</f>
        <v/>
      </c>
      <c r="B1338" s="40" t="n"/>
      <c r="C1338" s="41" t="n"/>
      <c r="D1338" s="41" t="n"/>
      <c r="E1338" s="41" t="n"/>
      <c r="F1338" s="41" t="n"/>
      <c r="G1338" s="41" t="n"/>
      <c r="H1338" s="41" t="n"/>
      <c r="I1338" s="50" t="n"/>
      <c r="J1338" s="42" t="n"/>
      <c r="K1338" s="42" t="n"/>
      <c r="L1338" s="43">
        <f>IF($B1338="","",ROUND((N($J1338)+N($K1338))*نسبة_القيمة_المضافة,2))</f>
        <v/>
      </c>
      <c r="M1338" s="42" t="n"/>
      <c r="N1338" s="42" t="n"/>
      <c r="O1338" s="43">
        <f>IF($B1338="","",N($J1338)+N($K1338)+N($L1338)-N($M1338)+N($N1338))</f>
        <v/>
      </c>
      <c r="P1338" s="42" t="n"/>
      <c r="Q1338" s="43">
        <f>IF($B1338="","",N($O1338)-N($P1338))</f>
        <v/>
      </c>
      <c r="R1338" s="42" t="n"/>
      <c r="S1338" s="42" t="n"/>
      <c r="T1338" s="42" t="n"/>
      <c r="U1338" s="43">
        <f>IF($B1338="","",N($J1338)-N($R1338)-N($T1338))</f>
        <v/>
      </c>
      <c r="V1338" s="42" t="n"/>
    </row>
    <row r="1339">
      <c r="A1339" s="39">
        <f>IF($B1339="","",COUNTA($B$4:$B1339))</f>
        <v/>
      </c>
      <c r="B1339" s="45" t="n"/>
      <c r="C1339" s="46" t="n"/>
      <c r="D1339" s="46" t="n"/>
      <c r="E1339" s="46" t="n"/>
      <c r="F1339" s="46" t="n"/>
      <c r="G1339" s="46" t="n"/>
      <c r="H1339" s="46" t="n"/>
      <c r="I1339" s="51" t="n"/>
      <c r="J1339" s="47" t="n"/>
      <c r="K1339" s="47" t="n"/>
      <c r="L1339" s="43">
        <f>IF($B1339="","",ROUND((N($J1339)+N($K1339))*نسبة_القيمة_المضافة,2))</f>
        <v/>
      </c>
      <c r="M1339" s="47" t="n"/>
      <c r="N1339" s="47" t="n"/>
      <c r="O1339" s="43">
        <f>IF($B1339="","",N($J1339)+N($K1339)+N($L1339)-N($M1339)+N($N1339))</f>
        <v/>
      </c>
      <c r="P1339" s="47" t="n"/>
      <c r="Q1339" s="43">
        <f>IF($B1339="","",N($O1339)-N($P1339))</f>
        <v/>
      </c>
      <c r="R1339" s="47" t="n"/>
      <c r="S1339" s="47" t="n"/>
      <c r="T1339" s="47" t="n"/>
      <c r="U1339" s="43">
        <f>IF($B1339="","",N($J1339)-N($R1339)-N($T1339))</f>
        <v/>
      </c>
      <c r="V1339" s="47" t="n"/>
    </row>
    <row r="1340">
      <c r="A1340" s="39">
        <f>IF($B1340="","",COUNTA($B$4:$B1340))</f>
        <v/>
      </c>
      <c r="B1340" s="40" t="n"/>
      <c r="C1340" s="41" t="n"/>
      <c r="D1340" s="41" t="n"/>
      <c r="E1340" s="41" t="n"/>
      <c r="F1340" s="41" t="n"/>
      <c r="G1340" s="41" t="n"/>
      <c r="H1340" s="41" t="n"/>
      <c r="I1340" s="50" t="n"/>
      <c r="J1340" s="42" t="n"/>
      <c r="K1340" s="42" t="n"/>
      <c r="L1340" s="43">
        <f>IF($B1340="","",ROUND((N($J1340)+N($K1340))*نسبة_القيمة_المضافة,2))</f>
        <v/>
      </c>
      <c r="M1340" s="42" t="n"/>
      <c r="N1340" s="42" t="n"/>
      <c r="O1340" s="43">
        <f>IF($B1340="","",N($J1340)+N($K1340)+N($L1340)-N($M1340)+N($N1340))</f>
        <v/>
      </c>
      <c r="P1340" s="42" t="n"/>
      <c r="Q1340" s="43">
        <f>IF($B1340="","",N($O1340)-N($P1340))</f>
        <v/>
      </c>
      <c r="R1340" s="42" t="n"/>
      <c r="S1340" s="42" t="n"/>
      <c r="T1340" s="42" t="n"/>
      <c r="U1340" s="43">
        <f>IF($B1340="","",N($J1340)-N($R1340)-N($T1340))</f>
        <v/>
      </c>
      <c r="V1340" s="42" t="n"/>
    </row>
    <row r="1341">
      <c r="A1341" s="39">
        <f>IF($B1341="","",COUNTA($B$4:$B1341))</f>
        <v/>
      </c>
      <c r="B1341" s="45" t="n"/>
      <c r="C1341" s="46" t="n"/>
      <c r="D1341" s="46" t="n"/>
      <c r="E1341" s="46" t="n"/>
      <c r="F1341" s="46" t="n"/>
      <c r="G1341" s="46" t="n"/>
      <c r="H1341" s="46" t="n"/>
      <c r="I1341" s="51" t="n"/>
      <c r="J1341" s="47" t="n"/>
      <c r="K1341" s="47" t="n"/>
      <c r="L1341" s="43">
        <f>IF($B1341="","",ROUND((N($J1341)+N($K1341))*نسبة_القيمة_المضافة,2))</f>
        <v/>
      </c>
      <c r="M1341" s="47" t="n"/>
      <c r="N1341" s="47" t="n"/>
      <c r="O1341" s="43">
        <f>IF($B1341="","",N($J1341)+N($K1341)+N($L1341)-N($M1341)+N($N1341))</f>
        <v/>
      </c>
      <c r="P1341" s="47" t="n"/>
      <c r="Q1341" s="43">
        <f>IF($B1341="","",N($O1341)-N($P1341))</f>
        <v/>
      </c>
      <c r="R1341" s="47" t="n"/>
      <c r="S1341" s="47" t="n"/>
      <c r="T1341" s="47" t="n"/>
      <c r="U1341" s="43">
        <f>IF($B1341="","",N($J1341)-N($R1341)-N($T1341))</f>
        <v/>
      </c>
      <c r="V1341" s="47" t="n"/>
    </row>
    <row r="1342">
      <c r="A1342" s="39">
        <f>IF($B1342="","",COUNTA($B$4:$B1342))</f>
        <v/>
      </c>
      <c r="B1342" s="40" t="n"/>
      <c r="C1342" s="41" t="n"/>
      <c r="D1342" s="41" t="n"/>
      <c r="E1342" s="41" t="n"/>
      <c r="F1342" s="41" t="n"/>
      <c r="G1342" s="41" t="n"/>
      <c r="H1342" s="41" t="n"/>
      <c r="I1342" s="50" t="n"/>
      <c r="J1342" s="42" t="n"/>
      <c r="K1342" s="42" t="n"/>
      <c r="L1342" s="43">
        <f>IF($B1342="","",ROUND((N($J1342)+N($K1342))*نسبة_القيمة_المضافة,2))</f>
        <v/>
      </c>
      <c r="M1342" s="42" t="n"/>
      <c r="N1342" s="42" t="n"/>
      <c r="O1342" s="43">
        <f>IF($B1342="","",N($J1342)+N($K1342)+N($L1342)-N($M1342)+N($N1342))</f>
        <v/>
      </c>
      <c r="P1342" s="42" t="n"/>
      <c r="Q1342" s="43">
        <f>IF($B1342="","",N($O1342)-N($P1342))</f>
        <v/>
      </c>
      <c r="R1342" s="42" t="n"/>
      <c r="S1342" s="42" t="n"/>
      <c r="T1342" s="42" t="n"/>
      <c r="U1342" s="43">
        <f>IF($B1342="","",N($J1342)-N($R1342)-N($T1342))</f>
        <v/>
      </c>
      <c r="V1342" s="42" t="n"/>
    </row>
    <row r="1343">
      <c r="A1343" s="39">
        <f>IF($B1343="","",COUNTA($B$4:$B1343))</f>
        <v/>
      </c>
      <c r="B1343" s="45" t="n"/>
      <c r="C1343" s="46" t="n"/>
      <c r="D1343" s="46" t="n"/>
      <c r="E1343" s="46" t="n"/>
      <c r="F1343" s="46" t="n"/>
      <c r="G1343" s="46" t="n"/>
      <c r="H1343" s="46" t="n"/>
      <c r="I1343" s="51" t="n"/>
      <c r="J1343" s="47" t="n"/>
      <c r="K1343" s="47" t="n"/>
      <c r="L1343" s="43">
        <f>IF($B1343="","",ROUND((N($J1343)+N($K1343))*نسبة_القيمة_المضافة,2))</f>
        <v/>
      </c>
      <c r="M1343" s="47" t="n"/>
      <c r="N1343" s="47" t="n"/>
      <c r="O1343" s="43">
        <f>IF($B1343="","",N($J1343)+N($K1343)+N($L1343)-N($M1343)+N($N1343))</f>
        <v/>
      </c>
      <c r="P1343" s="47" t="n"/>
      <c r="Q1343" s="43">
        <f>IF($B1343="","",N($O1343)-N($P1343))</f>
        <v/>
      </c>
      <c r="R1343" s="47" t="n"/>
      <c r="S1343" s="47" t="n"/>
      <c r="T1343" s="47" t="n"/>
      <c r="U1343" s="43">
        <f>IF($B1343="","",N($J1343)-N($R1343)-N($T1343))</f>
        <v/>
      </c>
      <c r="V1343" s="47" t="n"/>
    </row>
    <row r="1344">
      <c r="A1344" s="39">
        <f>IF($B1344="","",COUNTA($B$4:$B1344))</f>
        <v/>
      </c>
      <c r="B1344" s="40" t="n"/>
      <c r="C1344" s="41" t="n"/>
      <c r="D1344" s="41" t="n"/>
      <c r="E1344" s="41" t="n"/>
      <c r="F1344" s="41" t="n"/>
      <c r="G1344" s="41" t="n"/>
      <c r="H1344" s="41" t="n"/>
      <c r="I1344" s="50" t="n"/>
      <c r="J1344" s="42" t="n"/>
      <c r="K1344" s="42" t="n"/>
      <c r="L1344" s="43">
        <f>IF($B1344="","",ROUND((N($J1344)+N($K1344))*نسبة_القيمة_المضافة,2))</f>
        <v/>
      </c>
      <c r="M1344" s="42" t="n"/>
      <c r="N1344" s="42" t="n"/>
      <c r="O1344" s="43">
        <f>IF($B1344="","",N($J1344)+N($K1344)+N($L1344)-N($M1344)+N($N1344))</f>
        <v/>
      </c>
      <c r="P1344" s="42" t="n"/>
      <c r="Q1344" s="43">
        <f>IF($B1344="","",N($O1344)-N($P1344))</f>
        <v/>
      </c>
      <c r="R1344" s="42" t="n"/>
      <c r="S1344" s="42" t="n"/>
      <c r="T1344" s="42" t="n"/>
      <c r="U1344" s="43">
        <f>IF($B1344="","",N($J1344)-N($R1344)-N($T1344))</f>
        <v/>
      </c>
      <c r="V1344" s="42" t="n"/>
    </row>
    <row r="1345">
      <c r="A1345" s="39">
        <f>IF($B1345="","",COUNTA($B$4:$B1345))</f>
        <v/>
      </c>
      <c r="B1345" s="45" t="n"/>
      <c r="C1345" s="46" t="n"/>
      <c r="D1345" s="46" t="n"/>
      <c r="E1345" s="46" t="n"/>
      <c r="F1345" s="46" t="n"/>
      <c r="G1345" s="46" t="n"/>
      <c r="H1345" s="46" t="n"/>
      <c r="I1345" s="51" t="n"/>
      <c r="J1345" s="47" t="n"/>
      <c r="K1345" s="47" t="n"/>
      <c r="L1345" s="43">
        <f>IF($B1345="","",ROUND((N($J1345)+N($K1345))*نسبة_القيمة_المضافة,2))</f>
        <v/>
      </c>
      <c r="M1345" s="47" t="n"/>
      <c r="N1345" s="47" t="n"/>
      <c r="O1345" s="43">
        <f>IF($B1345="","",N($J1345)+N($K1345)+N($L1345)-N($M1345)+N($N1345))</f>
        <v/>
      </c>
      <c r="P1345" s="47" t="n"/>
      <c r="Q1345" s="43">
        <f>IF($B1345="","",N($O1345)-N($P1345))</f>
        <v/>
      </c>
      <c r="R1345" s="47" t="n"/>
      <c r="S1345" s="47" t="n"/>
      <c r="T1345" s="47" t="n"/>
      <c r="U1345" s="43">
        <f>IF($B1345="","",N($J1345)-N($R1345)-N($T1345))</f>
        <v/>
      </c>
      <c r="V1345" s="47" t="n"/>
    </row>
    <row r="1346">
      <c r="A1346" s="39">
        <f>IF($B1346="","",COUNTA($B$4:$B1346))</f>
        <v/>
      </c>
      <c r="B1346" s="40" t="n"/>
      <c r="C1346" s="41" t="n"/>
      <c r="D1346" s="41" t="n"/>
      <c r="E1346" s="41" t="n"/>
      <c r="F1346" s="41" t="n"/>
      <c r="G1346" s="41" t="n"/>
      <c r="H1346" s="41" t="n"/>
      <c r="I1346" s="50" t="n"/>
      <c r="J1346" s="42" t="n"/>
      <c r="K1346" s="42" t="n"/>
      <c r="L1346" s="43">
        <f>IF($B1346="","",ROUND((N($J1346)+N($K1346))*نسبة_القيمة_المضافة,2))</f>
        <v/>
      </c>
      <c r="M1346" s="42" t="n"/>
      <c r="N1346" s="42" t="n"/>
      <c r="O1346" s="43">
        <f>IF($B1346="","",N($J1346)+N($K1346)+N($L1346)-N($M1346)+N($N1346))</f>
        <v/>
      </c>
      <c r="P1346" s="42" t="n"/>
      <c r="Q1346" s="43">
        <f>IF($B1346="","",N($O1346)-N($P1346))</f>
        <v/>
      </c>
      <c r="R1346" s="42" t="n"/>
      <c r="S1346" s="42" t="n"/>
      <c r="T1346" s="42" t="n"/>
      <c r="U1346" s="43">
        <f>IF($B1346="","",N($J1346)-N($R1346)-N($T1346))</f>
        <v/>
      </c>
      <c r="V1346" s="42" t="n"/>
    </row>
    <row r="1347">
      <c r="A1347" s="39">
        <f>IF($B1347="","",COUNTA($B$4:$B1347))</f>
        <v/>
      </c>
      <c r="B1347" s="45" t="n"/>
      <c r="C1347" s="46" t="n"/>
      <c r="D1347" s="46" t="n"/>
      <c r="E1347" s="46" t="n"/>
      <c r="F1347" s="46" t="n"/>
      <c r="G1347" s="46" t="n"/>
      <c r="H1347" s="46" t="n"/>
      <c r="I1347" s="51" t="n"/>
      <c r="J1347" s="47" t="n"/>
      <c r="K1347" s="47" t="n"/>
      <c r="L1347" s="43">
        <f>IF($B1347="","",ROUND((N($J1347)+N($K1347))*نسبة_القيمة_المضافة,2))</f>
        <v/>
      </c>
      <c r="M1347" s="47" t="n"/>
      <c r="N1347" s="47" t="n"/>
      <c r="O1347" s="43">
        <f>IF($B1347="","",N($J1347)+N($K1347)+N($L1347)-N($M1347)+N($N1347))</f>
        <v/>
      </c>
      <c r="P1347" s="47" t="n"/>
      <c r="Q1347" s="43">
        <f>IF($B1347="","",N($O1347)-N($P1347))</f>
        <v/>
      </c>
      <c r="R1347" s="47" t="n"/>
      <c r="S1347" s="47" t="n"/>
      <c r="T1347" s="47" t="n"/>
      <c r="U1347" s="43">
        <f>IF($B1347="","",N($J1347)-N($R1347)-N($T1347))</f>
        <v/>
      </c>
      <c r="V1347" s="47" t="n"/>
    </row>
    <row r="1348">
      <c r="A1348" s="39">
        <f>IF($B1348="","",COUNTA($B$4:$B1348))</f>
        <v/>
      </c>
      <c r="B1348" s="40" t="n"/>
      <c r="C1348" s="41" t="n"/>
      <c r="D1348" s="41" t="n"/>
      <c r="E1348" s="41" t="n"/>
      <c r="F1348" s="41" t="n"/>
      <c r="G1348" s="41" t="n"/>
      <c r="H1348" s="41" t="n"/>
      <c r="I1348" s="50" t="n"/>
      <c r="J1348" s="42" t="n"/>
      <c r="K1348" s="42" t="n"/>
      <c r="L1348" s="43">
        <f>IF($B1348="","",ROUND((N($J1348)+N($K1348))*نسبة_القيمة_المضافة,2))</f>
        <v/>
      </c>
      <c r="M1348" s="42" t="n"/>
      <c r="N1348" s="42" t="n"/>
      <c r="O1348" s="43">
        <f>IF($B1348="","",N($J1348)+N($K1348)+N($L1348)-N($M1348)+N($N1348))</f>
        <v/>
      </c>
      <c r="P1348" s="42" t="n"/>
      <c r="Q1348" s="43">
        <f>IF($B1348="","",N($O1348)-N($P1348))</f>
        <v/>
      </c>
      <c r="R1348" s="42" t="n"/>
      <c r="S1348" s="42" t="n"/>
      <c r="T1348" s="42" t="n"/>
      <c r="U1348" s="43">
        <f>IF($B1348="","",N($J1348)-N($R1348)-N($T1348))</f>
        <v/>
      </c>
      <c r="V1348" s="42" t="n"/>
    </row>
    <row r="1349">
      <c r="A1349" s="39">
        <f>IF($B1349="","",COUNTA($B$4:$B1349))</f>
        <v/>
      </c>
      <c r="B1349" s="45" t="n"/>
      <c r="C1349" s="46" t="n"/>
      <c r="D1349" s="46" t="n"/>
      <c r="E1349" s="46" t="n"/>
      <c r="F1349" s="46" t="n"/>
      <c r="G1349" s="46" t="n"/>
      <c r="H1349" s="46" t="n"/>
      <c r="I1349" s="51" t="n"/>
      <c r="J1349" s="47" t="n"/>
      <c r="K1349" s="47" t="n"/>
      <c r="L1349" s="43">
        <f>IF($B1349="","",ROUND((N($J1349)+N($K1349))*نسبة_القيمة_المضافة,2))</f>
        <v/>
      </c>
      <c r="M1349" s="47" t="n"/>
      <c r="N1349" s="47" t="n"/>
      <c r="O1349" s="43">
        <f>IF($B1349="","",N($J1349)+N($K1349)+N($L1349)-N($M1349)+N($N1349))</f>
        <v/>
      </c>
      <c r="P1349" s="47" t="n"/>
      <c r="Q1349" s="43">
        <f>IF($B1349="","",N($O1349)-N($P1349))</f>
        <v/>
      </c>
      <c r="R1349" s="47" t="n"/>
      <c r="S1349" s="47" t="n"/>
      <c r="T1349" s="47" t="n"/>
      <c r="U1349" s="43">
        <f>IF($B1349="","",N($J1349)-N($R1349)-N($T1349))</f>
        <v/>
      </c>
      <c r="V1349" s="47" t="n"/>
    </row>
    <row r="1350">
      <c r="A1350" s="39">
        <f>IF($B1350="","",COUNTA($B$4:$B1350))</f>
        <v/>
      </c>
      <c r="B1350" s="40" t="n"/>
      <c r="C1350" s="41" t="n"/>
      <c r="D1350" s="41" t="n"/>
      <c r="E1350" s="41" t="n"/>
      <c r="F1350" s="41" t="n"/>
      <c r="G1350" s="41" t="n"/>
      <c r="H1350" s="41" t="n"/>
      <c r="I1350" s="50" t="n"/>
      <c r="J1350" s="42" t="n"/>
      <c r="K1350" s="42" t="n"/>
      <c r="L1350" s="43">
        <f>IF($B1350="","",ROUND((N($J1350)+N($K1350))*نسبة_القيمة_المضافة,2))</f>
        <v/>
      </c>
      <c r="M1350" s="42" t="n"/>
      <c r="N1350" s="42" t="n"/>
      <c r="O1350" s="43">
        <f>IF($B1350="","",N($J1350)+N($K1350)+N($L1350)-N($M1350)+N($N1350))</f>
        <v/>
      </c>
      <c r="P1350" s="42" t="n"/>
      <c r="Q1350" s="43">
        <f>IF($B1350="","",N($O1350)-N($P1350))</f>
        <v/>
      </c>
      <c r="R1350" s="42" t="n"/>
      <c r="S1350" s="42" t="n"/>
      <c r="T1350" s="42" t="n"/>
      <c r="U1350" s="43">
        <f>IF($B1350="","",N($J1350)-N($R1350)-N($T1350))</f>
        <v/>
      </c>
      <c r="V1350" s="42" t="n"/>
    </row>
    <row r="1351">
      <c r="A1351" s="39">
        <f>IF($B1351="","",COUNTA($B$4:$B1351))</f>
        <v/>
      </c>
      <c r="B1351" s="45" t="n"/>
      <c r="C1351" s="46" t="n"/>
      <c r="D1351" s="46" t="n"/>
      <c r="E1351" s="46" t="n"/>
      <c r="F1351" s="46" t="n"/>
      <c r="G1351" s="46" t="n"/>
      <c r="H1351" s="46" t="n"/>
      <c r="I1351" s="51" t="n"/>
      <c r="J1351" s="47" t="n"/>
      <c r="K1351" s="47" t="n"/>
      <c r="L1351" s="43">
        <f>IF($B1351="","",ROUND((N($J1351)+N($K1351))*نسبة_القيمة_المضافة,2))</f>
        <v/>
      </c>
      <c r="M1351" s="47" t="n"/>
      <c r="N1351" s="47" t="n"/>
      <c r="O1351" s="43">
        <f>IF($B1351="","",N($J1351)+N($K1351)+N($L1351)-N($M1351)+N($N1351))</f>
        <v/>
      </c>
      <c r="P1351" s="47" t="n"/>
      <c r="Q1351" s="43">
        <f>IF($B1351="","",N($O1351)-N($P1351))</f>
        <v/>
      </c>
      <c r="R1351" s="47" t="n"/>
      <c r="S1351" s="47" t="n"/>
      <c r="T1351" s="47" t="n"/>
      <c r="U1351" s="43">
        <f>IF($B1351="","",N($J1351)-N($R1351)-N($T1351))</f>
        <v/>
      </c>
      <c r="V1351" s="47" t="n"/>
    </row>
    <row r="1352">
      <c r="A1352" s="39">
        <f>IF($B1352="","",COUNTA($B$4:$B1352))</f>
        <v/>
      </c>
      <c r="B1352" s="40" t="n"/>
      <c r="C1352" s="41" t="n"/>
      <c r="D1352" s="41" t="n"/>
      <c r="E1352" s="41" t="n"/>
      <c r="F1352" s="41" t="n"/>
      <c r="G1352" s="41" t="n"/>
      <c r="H1352" s="41" t="n"/>
      <c r="I1352" s="50" t="n"/>
      <c r="J1352" s="42" t="n"/>
      <c r="K1352" s="42" t="n"/>
      <c r="L1352" s="43">
        <f>IF($B1352="","",ROUND((N($J1352)+N($K1352))*نسبة_القيمة_المضافة,2))</f>
        <v/>
      </c>
      <c r="M1352" s="42" t="n"/>
      <c r="N1352" s="42" t="n"/>
      <c r="O1352" s="43">
        <f>IF($B1352="","",N($J1352)+N($K1352)+N($L1352)-N($M1352)+N($N1352))</f>
        <v/>
      </c>
      <c r="P1352" s="42" t="n"/>
      <c r="Q1352" s="43">
        <f>IF($B1352="","",N($O1352)-N($P1352))</f>
        <v/>
      </c>
      <c r="R1352" s="42" t="n"/>
      <c r="S1352" s="42" t="n"/>
      <c r="T1352" s="42" t="n"/>
      <c r="U1352" s="43">
        <f>IF($B1352="","",N($J1352)-N($R1352)-N($T1352))</f>
        <v/>
      </c>
      <c r="V1352" s="42" t="n"/>
    </row>
    <row r="1353">
      <c r="A1353" s="39">
        <f>IF($B1353="","",COUNTA($B$4:$B1353))</f>
        <v/>
      </c>
      <c r="B1353" s="45" t="n"/>
      <c r="C1353" s="46" t="n"/>
      <c r="D1353" s="46" t="n"/>
      <c r="E1353" s="46" t="n"/>
      <c r="F1353" s="46" t="n"/>
      <c r="G1353" s="46" t="n"/>
      <c r="H1353" s="46" t="n"/>
      <c r="I1353" s="51" t="n"/>
      <c r="J1353" s="47" t="n"/>
      <c r="K1353" s="47" t="n"/>
      <c r="L1353" s="43">
        <f>IF($B1353="","",ROUND((N($J1353)+N($K1353))*نسبة_القيمة_المضافة,2))</f>
        <v/>
      </c>
      <c r="M1353" s="47" t="n"/>
      <c r="N1353" s="47" t="n"/>
      <c r="O1353" s="43">
        <f>IF($B1353="","",N($J1353)+N($K1353)+N($L1353)-N($M1353)+N($N1353))</f>
        <v/>
      </c>
      <c r="P1353" s="47" t="n"/>
      <c r="Q1353" s="43">
        <f>IF($B1353="","",N($O1353)-N($P1353))</f>
        <v/>
      </c>
      <c r="R1353" s="47" t="n"/>
      <c r="S1353" s="47" t="n"/>
      <c r="T1353" s="47" t="n"/>
      <c r="U1353" s="43">
        <f>IF($B1353="","",N($J1353)-N($R1353)-N($T1353))</f>
        <v/>
      </c>
      <c r="V1353" s="47" t="n"/>
    </row>
    <row r="1354">
      <c r="A1354" s="39">
        <f>IF($B1354="","",COUNTA($B$4:$B1354))</f>
        <v/>
      </c>
      <c r="B1354" s="40" t="n"/>
      <c r="C1354" s="41" t="n"/>
      <c r="D1354" s="41" t="n"/>
      <c r="E1354" s="41" t="n"/>
      <c r="F1354" s="41" t="n"/>
      <c r="G1354" s="41" t="n"/>
      <c r="H1354" s="41" t="n"/>
      <c r="I1354" s="50" t="n"/>
      <c r="J1354" s="42" t="n"/>
      <c r="K1354" s="42" t="n"/>
      <c r="L1354" s="43">
        <f>IF($B1354="","",ROUND((N($J1354)+N($K1354))*نسبة_القيمة_المضافة,2))</f>
        <v/>
      </c>
      <c r="M1354" s="42" t="n"/>
      <c r="N1354" s="42" t="n"/>
      <c r="O1354" s="43">
        <f>IF($B1354="","",N($J1354)+N($K1354)+N($L1354)-N($M1354)+N($N1354))</f>
        <v/>
      </c>
      <c r="P1354" s="42" t="n"/>
      <c r="Q1354" s="43">
        <f>IF($B1354="","",N($O1354)-N($P1354))</f>
        <v/>
      </c>
      <c r="R1354" s="42" t="n"/>
      <c r="S1354" s="42" t="n"/>
      <c r="T1354" s="42" t="n"/>
      <c r="U1354" s="43">
        <f>IF($B1354="","",N($J1354)-N($R1354)-N($T1354))</f>
        <v/>
      </c>
      <c r="V1354" s="42" t="n"/>
    </row>
    <row r="1355">
      <c r="A1355" s="39">
        <f>IF($B1355="","",COUNTA($B$4:$B1355))</f>
        <v/>
      </c>
      <c r="B1355" s="45" t="n"/>
      <c r="C1355" s="46" t="n"/>
      <c r="D1355" s="46" t="n"/>
      <c r="E1355" s="46" t="n"/>
      <c r="F1355" s="46" t="n"/>
      <c r="G1355" s="46" t="n"/>
      <c r="H1355" s="46" t="n"/>
      <c r="I1355" s="51" t="n"/>
      <c r="J1355" s="47" t="n"/>
      <c r="K1355" s="47" t="n"/>
      <c r="L1355" s="43">
        <f>IF($B1355="","",ROUND((N($J1355)+N($K1355))*نسبة_القيمة_المضافة,2))</f>
        <v/>
      </c>
      <c r="M1355" s="47" t="n"/>
      <c r="N1355" s="47" t="n"/>
      <c r="O1355" s="43">
        <f>IF($B1355="","",N($J1355)+N($K1355)+N($L1355)-N($M1355)+N($N1355))</f>
        <v/>
      </c>
      <c r="P1355" s="47" t="n"/>
      <c r="Q1355" s="43">
        <f>IF($B1355="","",N($O1355)-N($P1355))</f>
        <v/>
      </c>
      <c r="R1355" s="47" t="n"/>
      <c r="S1355" s="47" t="n"/>
      <c r="T1355" s="47" t="n"/>
      <c r="U1355" s="43">
        <f>IF($B1355="","",N($J1355)-N($R1355)-N($T1355))</f>
        <v/>
      </c>
      <c r="V1355" s="47" t="n"/>
    </row>
    <row r="1356">
      <c r="A1356" s="39">
        <f>IF($B1356="","",COUNTA($B$4:$B1356))</f>
        <v/>
      </c>
      <c r="B1356" s="40" t="n"/>
      <c r="C1356" s="41" t="n"/>
      <c r="D1356" s="41" t="n"/>
      <c r="E1356" s="41" t="n"/>
      <c r="F1356" s="41" t="n"/>
      <c r="G1356" s="41" t="n"/>
      <c r="H1356" s="41" t="n"/>
      <c r="I1356" s="50" t="n"/>
      <c r="J1356" s="42" t="n"/>
      <c r="K1356" s="42" t="n"/>
      <c r="L1356" s="43">
        <f>IF($B1356="","",ROUND((N($J1356)+N($K1356))*نسبة_القيمة_المضافة,2))</f>
        <v/>
      </c>
      <c r="M1356" s="42" t="n"/>
      <c r="N1356" s="42" t="n"/>
      <c r="O1356" s="43">
        <f>IF($B1356="","",N($J1356)+N($K1356)+N($L1356)-N($M1356)+N($N1356))</f>
        <v/>
      </c>
      <c r="P1356" s="42" t="n"/>
      <c r="Q1356" s="43">
        <f>IF($B1356="","",N($O1356)-N($P1356))</f>
        <v/>
      </c>
      <c r="R1356" s="42" t="n"/>
      <c r="S1356" s="42" t="n"/>
      <c r="T1356" s="42" t="n"/>
      <c r="U1356" s="43">
        <f>IF($B1356="","",N($J1356)-N($R1356)-N($T1356))</f>
        <v/>
      </c>
      <c r="V1356" s="42" t="n"/>
    </row>
    <row r="1357">
      <c r="A1357" s="39">
        <f>IF($B1357="","",COUNTA($B$4:$B1357))</f>
        <v/>
      </c>
      <c r="B1357" s="45" t="n"/>
      <c r="C1357" s="46" t="n"/>
      <c r="D1357" s="46" t="n"/>
      <c r="E1357" s="46" t="n"/>
      <c r="F1357" s="46" t="n"/>
      <c r="G1357" s="46" t="n"/>
      <c r="H1357" s="46" t="n"/>
      <c r="I1357" s="51" t="n"/>
      <c r="J1357" s="47" t="n"/>
      <c r="K1357" s="47" t="n"/>
      <c r="L1357" s="43">
        <f>IF($B1357="","",ROUND((N($J1357)+N($K1357))*نسبة_القيمة_المضافة,2))</f>
        <v/>
      </c>
      <c r="M1357" s="47" t="n"/>
      <c r="N1357" s="47" t="n"/>
      <c r="O1357" s="43">
        <f>IF($B1357="","",N($J1357)+N($K1357)+N($L1357)-N($M1357)+N($N1357))</f>
        <v/>
      </c>
      <c r="P1357" s="47" t="n"/>
      <c r="Q1357" s="43">
        <f>IF($B1357="","",N($O1357)-N($P1357))</f>
        <v/>
      </c>
      <c r="R1357" s="47" t="n"/>
      <c r="S1357" s="47" t="n"/>
      <c r="T1357" s="47" t="n"/>
      <c r="U1357" s="43">
        <f>IF($B1357="","",N($J1357)-N($R1357)-N($T1357))</f>
        <v/>
      </c>
      <c r="V1357" s="47" t="n"/>
    </row>
    <row r="1358">
      <c r="A1358" s="39">
        <f>IF($B1358="","",COUNTA($B$4:$B1358))</f>
        <v/>
      </c>
      <c r="B1358" s="40" t="n"/>
      <c r="C1358" s="41" t="n"/>
      <c r="D1358" s="41" t="n"/>
      <c r="E1358" s="41" t="n"/>
      <c r="F1358" s="41" t="n"/>
      <c r="G1358" s="41" t="n"/>
      <c r="H1358" s="41" t="n"/>
      <c r="I1358" s="50" t="n"/>
      <c r="J1358" s="42" t="n"/>
      <c r="K1358" s="42" t="n"/>
      <c r="L1358" s="43">
        <f>IF($B1358="","",ROUND((N($J1358)+N($K1358))*نسبة_القيمة_المضافة,2))</f>
        <v/>
      </c>
      <c r="M1358" s="42" t="n"/>
      <c r="N1358" s="42" t="n"/>
      <c r="O1358" s="43">
        <f>IF($B1358="","",N($J1358)+N($K1358)+N($L1358)-N($M1358)+N($N1358))</f>
        <v/>
      </c>
      <c r="P1358" s="42" t="n"/>
      <c r="Q1358" s="43">
        <f>IF($B1358="","",N($O1358)-N($P1358))</f>
        <v/>
      </c>
      <c r="R1358" s="42" t="n"/>
      <c r="S1358" s="42" t="n"/>
      <c r="T1358" s="42" t="n"/>
      <c r="U1358" s="43">
        <f>IF($B1358="","",N($J1358)-N($R1358)-N($T1358))</f>
        <v/>
      </c>
      <c r="V1358" s="42" t="n"/>
    </row>
    <row r="1359">
      <c r="A1359" s="39">
        <f>IF($B1359="","",COUNTA($B$4:$B1359))</f>
        <v/>
      </c>
      <c r="B1359" s="45" t="n"/>
      <c r="C1359" s="46" t="n"/>
      <c r="D1359" s="46" t="n"/>
      <c r="E1359" s="46" t="n"/>
      <c r="F1359" s="46" t="n"/>
      <c r="G1359" s="46" t="n"/>
      <c r="H1359" s="46" t="n"/>
      <c r="I1359" s="51" t="n"/>
      <c r="J1359" s="47" t="n"/>
      <c r="K1359" s="47" t="n"/>
      <c r="L1359" s="43">
        <f>IF($B1359="","",ROUND((N($J1359)+N($K1359))*نسبة_القيمة_المضافة,2))</f>
        <v/>
      </c>
      <c r="M1359" s="47" t="n"/>
      <c r="N1359" s="47" t="n"/>
      <c r="O1359" s="43">
        <f>IF($B1359="","",N($J1359)+N($K1359)+N($L1359)-N($M1359)+N($N1359))</f>
        <v/>
      </c>
      <c r="P1359" s="47" t="n"/>
      <c r="Q1359" s="43">
        <f>IF($B1359="","",N($O1359)-N($P1359))</f>
        <v/>
      </c>
      <c r="R1359" s="47" t="n"/>
      <c r="S1359" s="47" t="n"/>
      <c r="T1359" s="47" t="n"/>
      <c r="U1359" s="43">
        <f>IF($B1359="","",N($J1359)-N($R1359)-N($T1359))</f>
        <v/>
      </c>
      <c r="V1359" s="47" t="n"/>
    </row>
    <row r="1360">
      <c r="A1360" s="39">
        <f>IF($B1360="","",COUNTA($B$4:$B1360))</f>
        <v/>
      </c>
      <c r="B1360" s="40" t="n"/>
      <c r="C1360" s="41" t="n"/>
      <c r="D1360" s="41" t="n"/>
      <c r="E1360" s="41" t="n"/>
      <c r="F1360" s="41" t="n"/>
      <c r="G1360" s="41" t="n"/>
      <c r="H1360" s="41" t="n"/>
      <c r="I1360" s="50" t="n"/>
      <c r="J1360" s="42" t="n"/>
      <c r="K1360" s="42" t="n"/>
      <c r="L1360" s="43">
        <f>IF($B1360="","",ROUND((N($J1360)+N($K1360))*نسبة_القيمة_المضافة,2))</f>
        <v/>
      </c>
      <c r="M1360" s="42" t="n"/>
      <c r="N1360" s="42" t="n"/>
      <c r="O1360" s="43">
        <f>IF($B1360="","",N($J1360)+N($K1360)+N($L1360)-N($M1360)+N($N1360))</f>
        <v/>
      </c>
      <c r="P1360" s="42" t="n"/>
      <c r="Q1360" s="43">
        <f>IF($B1360="","",N($O1360)-N($P1360))</f>
        <v/>
      </c>
      <c r="R1360" s="42" t="n"/>
      <c r="S1360" s="42" t="n"/>
      <c r="T1360" s="42" t="n"/>
      <c r="U1360" s="43">
        <f>IF($B1360="","",N($J1360)-N($R1360)-N($T1360))</f>
        <v/>
      </c>
      <c r="V1360" s="42" t="n"/>
    </row>
    <row r="1361">
      <c r="A1361" s="39">
        <f>IF($B1361="","",COUNTA($B$4:$B1361))</f>
        <v/>
      </c>
      <c r="B1361" s="45" t="n"/>
      <c r="C1361" s="46" t="n"/>
      <c r="D1361" s="46" t="n"/>
      <c r="E1361" s="46" t="n"/>
      <c r="F1361" s="46" t="n"/>
      <c r="G1361" s="46" t="n"/>
      <c r="H1361" s="46" t="n"/>
      <c r="I1361" s="51" t="n"/>
      <c r="J1361" s="47" t="n"/>
      <c r="K1361" s="47" t="n"/>
      <c r="L1361" s="43">
        <f>IF($B1361="","",ROUND((N($J1361)+N($K1361))*نسبة_القيمة_المضافة,2))</f>
        <v/>
      </c>
      <c r="M1361" s="47" t="n"/>
      <c r="N1361" s="47" t="n"/>
      <c r="O1361" s="43">
        <f>IF($B1361="","",N($J1361)+N($K1361)+N($L1361)-N($M1361)+N($N1361))</f>
        <v/>
      </c>
      <c r="P1361" s="47" t="n"/>
      <c r="Q1361" s="43">
        <f>IF($B1361="","",N($O1361)-N($P1361))</f>
        <v/>
      </c>
      <c r="R1361" s="47" t="n"/>
      <c r="S1361" s="47" t="n"/>
      <c r="T1361" s="47" t="n"/>
      <c r="U1361" s="43">
        <f>IF($B1361="","",N($J1361)-N($R1361)-N($T1361))</f>
        <v/>
      </c>
      <c r="V1361" s="47" t="n"/>
    </row>
    <row r="1362">
      <c r="A1362" s="39">
        <f>IF($B1362="","",COUNTA($B$4:$B1362))</f>
        <v/>
      </c>
      <c r="B1362" s="40" t="n"/>
      <c r="C1362" s="41" t="n"/>
      <c r="D1362" s="41" t="n"/>
      <c r="E1362" s="41" t="n"/>
      <c r="F1362" s="41" t="n"/>
      <c r="G1362" s="41" t="n"/>
      <c r="H1362" s="41" t="n"/>
      <c r="I1362" s="50" t="n"/>
      <c r="J1362" s="42" t="n"/>
      <c r="K1362" s="42" t="n"/>
      <c r="L1362" s="43">
        <f>IF($B1362="","",ROUND((N($J1362)+N($K1362))*نسبة_القيمة_المضافة,2))</f>
        <v/>
      </c>
      <c r="M1362" s="42" t="n"/>
      <c r="N1362" s="42" t="n"/>
      <c r="O1362" s="43">
        <f>IF($B1362="","",N($J1362)+N($K1362)+N($L1362)-N($M1362)+N($N1362))</f>
        <v/>
      </c>
      <c r="P1362" s="42" t="n"/>
      <c r="Q1362" s="43">
        <f>IF($B1362="","",N($O1362)-N($P1362))</f>
        <v/>
      </c>
      <c r="R1362" s="42" t="n"/>
      <c r="S1362" s="42" t="n"/>
      <c r="T1362" s="42" t="n"/>
      <c r="U1362" s="43">
        <f>IF($B1362="","",N($J1362)-N($R1362)-N($T1362))</f>
        <v/>
      </c>
      <c r="V1362" s="42" t="n"/>
    </row>
    <row r="1363">
      <c r="A1363" s="39">
        <f>IF($B1363="","",COUNTA($B$4:$B1363))</f>
        <v/>
      </c>
      <c r="B1363" s="45" t="n"/>
      <c r="C1363" s="46" t="n"/>
      <c r="D1363" s="46" t="n"/>
      <c r="E1363" s="46" t="n"/>
      <c r="F1363" s="46" t="n"/>
      <c r="G1363" s="46" t="n"/>
      <c r="H1363" s="46" t="n"/>
      <c r="I1363" s="51" t="n"/>
      <c r="J1363" s="47" t="n"/>
      <c r="K1363" s="47" t="n"/>
      <c r="L1363" s="43">
        <f>IF($B1363="","",ROUND((N($J1363)+N($K1363))*نسبة_القيمة_المضافة,2))</f>
        <v/>
      </c>
      <c r="M1363" s="47" t="n"/>
      <c r="N1363" s="47" t="n"/>
      <c r="O1363" s="43">
        <f>IF($B1363="","",N($J1363)+N($K1363)+N($L1363)-N($M1363)+N($N1363))</f>
        <v/>
      </c>
      <c r="P1363" s="47" t="n"/>
      <c r="Q1363" s="43">
        <f>IF($B1363="","",N($O1363)-N($P1363))</f>
        <v/>
      </c>
      <c r="R1363" s="47" t="n"/>
      <c r="S1363" s="47" t="n"/>
      <c r="T1363" s="47" t="n"/>
      <c r="U1363" s="43">
        <f>IF($B1363="","",N($J1363)-N($R1363)-N($T1363))</f>
        <v/>
      </c>
      <c r="V1363" s="47" t="n"/>
    </row>
    <row r="1364">
      <c r="A1364" s="39">
        <f>IF($B1364="","",COUNTA($B$4:$B1364))</f>
        <v/>
      </c>
      <c r="B1364" s="40" t="n"/>
      <c r="C1364" s="41" t="n"/>
      <c r="D1364" s="41" t="n"/>
      <c r="E1364" s="41" t="n"/>
      <c r="F1364" s="41" t="n"/>
      <c r="G1364" s="41" t="n"/>
      <c r="H1364" s="41" t="n"/>
      <c r="I1364" s="50" t="n"/>
      <c r="J1364" s="42" t="n"/>
      <c r="K1364" s="42" t="n"/>
      <c r="L1364" s="43">
        <f>IF($B1364="","",ROUND((N($J1364)+N($K1364))*نسبة_القيمة_المضافة,2))</f>
        <v/>
      </c>
      <c r="M1364" s="42" t="n"/>
      <c r="N1364" s="42" t="n"/>
      <c r="O1364" s="43">
        <f>IF($B1364="","",N($J1364)+N($K1364)+N($L1364)-N($M1364)+N($N1364))</f>
        <v/>
      </c>
      <c r="P1364" s="42" t="n"/>
      <c r="Q1364" s="43">
        <f>IF($B1364="","",N($O1364)-N($P1364))</f>
        <v/>
      </c>
      <c r="R1364" s="42" t="n"/>
      <c r="S1364" s="42" t="n"/>
      <c r="T1364" s="42" t="n"/>
      <c r="U1364" s="43">
        <f>IF($B1364="","",N($J1364)-N($R1364)-N($T1364))</f>
        <v/>
      </c>
      <c r="V1364" s="42" t="n"/>
    </row>
    <row r="1365">
      <c r="A1365" s="39">
        <f>IF($B1365="","",COUNTA($B$4:$B1365))</f>
        <v/>
      </c>
      <c r="B1365" s="45" t="n"/>
      <c r="C1365" s="46" t="n"/>
      <c r="D1365" s="46" t="n"/>
      <c r="E1365" s="46" t="n"/>
      <c r="F1365" s="46" t="n"/>
      <c r="G1365" s="46" t="n"/>
      <c r="H1365" s="46" t="n"/>
      <c r="I1365" s="51" t="n"/>
      <c r="J1365" s="47" t="n"/>
      <c r="K1365" s="47" t="n"/>
      <c r="L1365" s="43">
        <f>IF($B1365="","",ROUND((N($J1365)+N($K1365))*نسبة_القيمة_المضافة,2))</f>
        <v/>
      </c>
      <c r="M1365" s="47" t="n"/>
      <c r="N1365" s="47" t="n"/>
      <c r="O1365" s="43">
        <f>IF($B1365="","",N($J1365)+N($K1365)+N($L1365)-N($M1365)+N($N1365))</f>
        <v/>
      </c>
      <c r="P1365" s="47" t="n"/>
      <c r="Q1365" s="43">
        <f>IF($B1365="","",N($O1365)-N($P1365))</f>
        <v/>
      </c>
      <c r="R1365" s="47" t="n"/>
      <c r="S1365" s="47" t="n"/>
      <c r="T1365" s="47" t="n"/>
      <c r="U1365" s="43">
        <f>IF($B1365="","",N($J1365)-N($R1365)-N($T1365))</f>
        <v/>
      </c>
      <c r="V1365" s="47" t="n"/>
    </row>
    <row r="1366">
      <c r="A1366" s="39">
        <f>IF($B1366="","",COUNTA($B$4:$B1366))</f>
        <v/>
      </c>
      <c r="B1366" s="40" t="n"/>
      <c r="C1366" s="41" t="n"/>
      <c r="D1366" s="41" t="n"/>
      <c r="E1366" s="41" t="n"/>
      <c r="F1366" s="41" t="n"/>
      <c r="G1366" s="41" t="n"/>
      <c r="H1366" s="41" t="n"/>
      <c r="I1366" s="50" t="n"/>
      <c r="J1366" s="42" t="n"/>
      <c r="K1366" s="42" t="n"/>
      <c r="L1366" s="43">
        <f>IF($B1366="","",ROUND((N($J1366)+N($K1366))*نسبة_القيمة_المضافة,2))</f>
        <v/>
      </c>
      <c r="M1366" s="42" t="n"/>
      <c r="N1366" s="42" t="n"/>
      <c r="O1366" s="43">
        <f>IF($B1366="","",N($J1366)+N($K1366)+N($L1366)-N($M1366)+N($N1366))</f>
        <v/>
      </c>
      <c r="P1366" s="42" t="n"/>
      <c r="Q1366" s="43">
        <f>IF($B1366="","",N($O1366)-N($P1366))</f>
        <v/>
      </c>
      <c r="R1366" s="42" t="n"/>
      <c r="S1366" s="42" t="n"/>
      <c r="T1366" s="42" t="n"/>
      <c r="U1366" s="43">
        <f>IF($B1366="","",N($J1366)-N($R1366)-N($T1366))</f>
        <v/>
      </c>
      <c r="V1366" s="42" t="n"/>
    </row>
    <row r="1367">
      <c r="A1367" s="39">
        <f>IF($B1367="","",COUNTA($B$4:$B1367))</f>
        <v/>
      </c>
      <c r="B1367" s="45" t="n"/>
      <c r="C1367" s="46" t="n"/>
      <c r="D1367" s="46" t="n"/>
      <c r="E1367" s="46" t="n"/>
      <c r="F1367" s="46" t="n"/>
      <c r="G1367" s="46" t="n"/>
      <c r="H1367" s="46" t="n"/>
      <c r="I1367" s="51" t="n"/>
      <c r="J1367" s="47" t="n"/>
      <c r="K1367" s="47" t="n"/>
      <c r="L1367" s="43">
        <f>IF($B1367="","",ROUND((N($J1367)+N($K1367))*نسبة_القيمة_المضافة,2))</f>
        <v/>
      </c>
      <c r="M1367" s="47" t="n"/>
      <c r="N1367" s="47" t="n"/>
      <c r="O1367" s="43">
        <f>IF($B1367="","",N($J1367)+N($K1367)+N($L1367)-N($M1367)+N($N1367))</f>
        <v/>
      </c>
      <c r="P1367" s="47" t="n"/>
      <c r="Q1367" s="43">
        <f>IF($B1367="","",N($O1367)-N($P1367))</f>
        <v/>
      </c>
      <c r="R1367" s="47" t="n"/>
      <c r="S1367" s="47" t="n"/>
      <c r="T1367" s="47" t="n"/>
      <c r="U1367" s="43">
        <f>IF($B1367="","",N($J1367)-N($R1367)-N($T1367))</f>
        <v/>
      </c>
      <c r="V1367" s="47" t="n"/>
    </row>
    <row r="1368">
      <c r="A1368" s="39">
        <f>IF($B1368="","",COUNTA($B$4:$B1368))</f>
        <v/>
      </c>
      <c r="B1368" s="40" t="n"/>
      <c r="C1368" s="41" t="n"/>
      <c r="D1368" s="41" t="n"/>
      <c r="E1368" s="41" t="n"/>
      <c r="F1368" s="41" t="n"/>
      <c r="G1368" s="41" t="n"/>
      <c r="H1368" s="41" t="n"/>
      <c r="I1368" s="50" t="n"/>
      <c r="J1368" s="42" t="n"/>
      <c r="K1368" s="42" t="n"/>
      <c r="L1368" s="43">
        <f>IF($B1368="","",ROUND((N($J1368)+N($K1368))*نسبة_القيمة_المضافة,2))</f>
        <v/>
      </c>
      <c r="M1368" s="42" t="n"/>
      <c r="N1368" s="42" t="n"/>
      <c r="O1368" s="43">
        <f>IF($B1368="","",N($J1368)+N($K1368)+N($L1368)-N($M1368)+N($N1368))</f>
        <v/>
      </c>
      <c r="P1368" s="42" t="n"/>
      <c r="Q1368" s="43">
        <f>IF($B1368="","",N($O1368)-N($P1368))</f>
        <v/>
      </c>
      <c r="R1368" s="42" t="n"/>
      <c r="S1368" s="42" t="n"/>
      <c r="T1368" s="42" t="n"/>
      <c r="U1368" s="43">
        <f>IF($B1368="","",N($J1368)-N($R1368)-N($T1368))</f>
        <v/>
      </c>
      <c r="V1368" s="42" t="n"/>
    </row>
    <row r="1369">
      <c r="A1369" s="39">
        <f>IF($B1369="","",COUNTA($B$4:$B1369))</f>
        <v/>
      </c>
      <c r="B1369" s="45" t="n"/>
      <c r="C1369" s="46" t="n"/>
      <c r="D1369" s="46" t="n"/>
      <c r="E1369" s="46" t="n"/>
      <c r="F1369" s="46" t="n"/>
      <c r="G1369" s="46" t="n"/>
      <c r="H1369" s="46" t="n"/>
      <c r="I1369" s="51" t="n"/>
      <c r="J1369" s="47" t="n"/>
      <c r="K1369" s="47" t="n"/>
      <c r="L1369" s="43">
        <f>IF($B1369="","",ROUND((N($J1369)+N($K1369))*نسبة_القيمة_المضافة,2))</f>
        <v/>
      </c>
      <c r="M1369" s="47" t="n"/>
      <c r="N1369" s="47" t="n"/>
      <c r="O1369" s="43">
        <f>IF($B1369="","",N($J1369)+N($K1369)+N($L1369)-N($M1369)+N($N1369))</f>
        <v/>
      </c>
      <c r="P1369" s="47" t="n"/>
      <c r="Q1369" s="43">
        <f>IF($B1369="","",N($O1369)-N($P1369))</f>
        <v/>
      </c>
      <c r="R1369" s="47" t="n"/>
      <c r="S1369" s="47" t="n"/>
      <c r="T1369" s="47" t="n"/>
      <c r="U1369" s="43">
        <f>IF($B1369="","",N($J1369)-N($R1369)-N($T1369))</f>
        <v/>
      </c>
      <c r="V1369" s="47" t="n"/>
    </row>
    <row r="1370">
      <c r="A1370" s="39">
        <f>IF($B1370="","",COUNTA($B$4:$B1370))</f>
        <v/>
      </c>
      <c r="B1370" s="40" t="n"/>
      <c r="C1370" s="41" t="n"/>
      <c r="D1370" s="41" t="n"/>
      <c r="E1370" s="41" t="n"/>
      <c r="F1370" s="41" t="n"/>
      <c r="G1370" s="41" t="n"/>
      <c r="H1370" s="41" t="n"/>
      <c r="I1370" s="50" t="n"/>
      <c r="J1370" s="42" t="n"/>
      <c r="K1370" s="42" t="n"/>
      <c r="L1370" s="43">
        <f>IF($B1370="","",ROUND((N($J1370)+N($K1370))*نسبة_القيمة_المضافة,2))</f>
        <v/>
      </c>
      <c r="M1370" s="42" t="n"/>
      <c r="N1370" s="42" t="n"/>
      <c r="O1370" s="43">
        <f>IF($B1370="","",N($J1370)+N($K1370)+N($L1370)-N($M1370)+N($N1370))</f>
        <v/>
      </c>
      <c r="P1370" s="42" t="n"/>
      <c r="Q1370" s="43">
        <f>IF($B1370="","",N($O1370)-N($P1370))</f>
        <v/>
      </c>
      <c r="R1370" s="42" t="n"/>
      <c r="S1370" s="42" t="n"/>
      <c r="T1370" s="42" t="n"/>
      <c r="U1370" s="43">
        <f>IF($B1370="","",N($J1370)-N($R1370)-N($T1370))</f>
        <v/>
      </c>
      <c r="V1370" s="42" t="n"/>
    </row>
    <row r="1371">
      <c r="A1371" s="39">
        <f>IF($B1371="","",COUNTA($B$4:$B1371))</f>
        <v/>
      </c>
      <c r="B1371" s="45" t="n"/>
      <c r="C1371" s="46" t="n"/>
      <c r="D1371" s="46" t="n"/>
      <c r="E1371" s="46" t="n"/>
      <c r="F1371" s="46" t="n"/>
      <c r="G1371" s="46" t="n"/>
      <c r="H1371" s="46" t="n"/>
      <c r="I1371" s="51" t="n"/>
      <c r="J1371" s="47" t="n"/>
      <c r="K1371" s="47" t="n"/>
      <c r="L1371" s="43">
        <f>IF($B1371="","",ROUND((N($J1371)+N($K1371))*نسبة_القيمة_المضافة,2))</f>
        <v/>
      </c>
      <c r="M1371" s="47" t="n"/>
      <c r="N1371" s="47" t="n"/>
      <c r="O1371" s="43">
        <f>IF($B1371="","",N($J1371)+N($K1371)+N($L1371)-N($M1371)+N($N1371))</f>
        <v/>
      </c>
      <c r="P1371" s="47" t="n"/>
      <c r="Q1371" s="43">
        <f>IF($B1371="","",N($O1371)-N($P1371))</f>
        <v/>
      </c>
      <c r="R1371" s="47" t="n"/>
      <c r="S1371" s="47" t="n"/>
      <c r="T1371" s="47" t="n"/>
      <c r="U1371" s="43">
        <f>IF($B1371="","",N($J1371)-N($R1371)-N($T1371))</f>
        <v/>
      </c>
      <c r="V1371" s="47" t="n"/>
    </row>
    <row r="1372">
      <c r="A1372" s="39">
        <f>IF($B1372="","",COUNTA($B$4:$B1372))</f>
        <v/>
      </c>
      <c r="B1372" s="40" t="n"/>
      <c r="C1372" s="41" t="n"/>
      <c r="D1372" s="41" t="n"/>
      <c r="E1372" s="41" t="n"/>
      <c r="F1372" s="41" t="n"/>
      <c r="G1372" s="41" t="n"/>
      <c r="H1372" s="41" t="n"/>
      <c r="I1372" s="50" t="n"/>
      <c r="J1372" s="42" t="n"/>
      <c r="K1372" s="42" t="n"/>
      <c r="L1372" s="43">
        <f>IF($B1372="","",ROUND((N($J1372)+N($K1372))*نسبة_القيمة_المضافة,2))</f>
        <v/>
      </c>
      <c r="M1372" s="42" t="n"/>
      <c r="N1372" s="42" t="n"/>
      <c r="O1372" s="43">
        <f>IF($B1372="","",N($J1372)+N($K1372)+N($L1372)-N($M1372)+N($N1372))</f>
        <v/>
      </c>
      <c r="P1372" s="42" t="n"/>
      <c r="Q1372" s="43">
        <f>IF($B1372="","",N($O1372)-N($P1372))</f>
        <v/>
      </c>
      <c r="R1372" s="42" t="n"/>
      <c r="S1372" s="42" t="n"/>
      <c r="T1372" s="42" t="n"/>
      <c r="U1372" s="43">
        <f>IF($B1372="","",N($J1372)-N($R1372)-N($T1372))</f>
        <v/>
      </c>
      <c r="V1372" s="42" t="n"/>
    </row>
    <row r="1373">
      <c r="A1373" s="39">
        <f>IF($B1373="","",COUNTA($B$4:$B1373))</f>
        <v/>
      </c>
      <c r="B1373" s="45" t="n"/>
      <c r="C1373" s="46" t="n"/>
      <c r="D1373" s="46" t="n"/>
      <c r="E1373" s="46" t="n"/>
      <c r="F1373" s="46" t="n"/>
      <c r="G1373" s="46" t="n"/>
      <c r="H1373" s="46" t="n"/>
      <c r="I1373" s="51" t="n"/>
      <c r="J1373" s="47" t="n"/>
      <c r="K1373" s="47" t="n"/>
      <c r="L1373" s="43">
        <f>IF($B1373="","",ROUND((N($J1373)+N($K1373))*نسبة_القيمة_المضافة,2))</f>
        <v/>
      </c>
      <c r="M1373" s="47" t="n"/>
      <c r="N1373" s="47" t="n"/>
      <c r="O1373" s="43">
        <f>IF($B1373="","",N($J1373)+N($K1373)+N($L1373)-N($M1373)+N($N1373))</f>
        <v/>
      </c>
      <c r="P1373" s="47" t="n"/>
      <c r="Q1373" s="43">
        <f>IF($B1373="","",N($O1373)-N($P1373))</f>
        <v/>
      </c>
      <c r="R1373" s="47" t="n"/>
      <c r="S1373" s="47" t="n"/>
      <c r="T1373" s="47" t="n"/>
      <c r="U1373" s="43">
        <f>IF($B1373="","",N($J1373)-N($R1373)-N($T1373))</f>
        <v/>
      </c>
      <c r="V1373" s="47" t="n"/>
    </row>
    <row r="1374">
      <c r="A1374" s="39">
        <f>IF($B1374="","",COUNTA($B$4:$B1374))</f>
        <v/>
      </c>
      <c r="B1374" s="40" t="n"/>
      <c r="C1374" s="41" t="n"/>
      <c r="D1374" s="41" t="n"/>
      <c r="E1374" s="41" t="n"/>
      <c r="F1374" s="41" t="n"/>
      <c r="G1374" s="41" t="n"/>
      <c r="H1374" s="41" t="n"/>
      <c r="I1374" s="50" t="n"/>
      <c r="J1374" s="42" t="n"/>
      <c r="K1374" s="42" t="n"/>
      <c r="L1374" s="43">
        <f>IF($B1374="","",ROUND((N($J1374)+N($K1374))*نسبة_القيمة_المضافة,2))</f>
        <v/>
      </c>
      <c r="M1374" s="42" t="n"/>
      <c r="N1374" s="42" t="n"/>
      <c r="O1374" s="43">
        <f>IF($B1374="","",N($J1374)+N($K1374)+N($L1374)-N($M1374)+N($N1374))</f>
        <v/>
      </c>
      <c r="P1374" s="42" t="n"/>
      <c r="Q1374" s="43">
        <f>IF($B1374="","",N($O1374)-N($P1374))</f>
        <v/>
      </c>
      <c r="R1374" s="42" t="n"/>
      <c r="S1374" s="42" t="n"/>
      <c r="T1374" s="42" t="n"/>
      <c r="U1374" s="43">
        <f>IF($B1374="","",N($J1374)-N($R1374)-N($T1374))</f>
        <v/>
      </c>
      <c r="V1374" s="42" t="n"/>
    </row>
    <row r="1375">
      <c r="A1375" s="39">
        <f>IF($B1375="","",COUNTA($B$4:$B1375))</f>
        <v/>
      </c>
      <c r="B1375" s="45" t="n"/>
      <c r="C1375" s="46" t="n"/>
      <c r="D1375" s="46" t="n"/>
      <c r="E1375" s="46" t="n"/>
      <c r="F1375" s="46" t="n"/>
      <c r="G1375" s="46" t="n"/>
      <c r="H1375" s="46" t="n"/>
      <c r="I1375" s="51" t="n"/>
      <c r="J1375" s="47" t="n"/>
      <c r="K1375" s="47" t="n"/>
      <c r="L1375" s="43">
        <f>IF($B1375="","",ROUND((N($J1375)+N($K1375))*نسبة_القيمة_المضافة,2))</f>
        <v/>
      </c>
      <c r="M1375" s="47" t="n"/>
      <c r="N1375" s="47" t="n"/>
      <c r="O1375" s="43">
        <f>IF($B1375="","",N($J1375)+N($K1375)+N($L1375)-N($M1375)+N($N1375))</f>
        <v/>
      </c>
      <c r="P1375" s="47" t="n"/>
      <c r="Q1375" s="43">
        <f>IF($B1375="","",N($O1375)-N($P1375))</f>
        <v/>
      </c>
      <c r="R1375" s="47" t="n"/>
      <c r="S1375" s="47" t="n"/>
      <c r="T1375" s="47" t="n"/>
      <c r="U1375" s="43">
        <f>IF($B1375="","",N($J1375)-N($R1375)-N($T1375))</f>
        <v/>
      </c>
      <c r="V1375" s="47" t="n"/>
    </row>
    <row r="1376">
      <c r="A1376" s="39">
        <f>IF($B1376="","",COUNTA($B$4:$B1376))</f>
        <v/>
      </c>
      <c r="B1376" s="40" t="n"/>
      <c r="C1376" s="41" t="n"/>
      <c r="D1376" s="41" t="n"/>
      <c r="E1376" s="41" t="n"/>
      <c r="F1376" s="41" t="n"/>
      <c r="G1376" s="41" t="n"/>
      <c r="H1376" s="41" t="n"/>
      <c r="I1376" s="50" t="n"/>
      <c r="J1376" s="42" t="n"/>
      <c r="K1376" s="42" t="n"/>
      <c r="L1376" s="43">
        <f>IF($B1376="","",ROUND((N($J1376)+N($K1376))*نسبة_القيمة_المضافة,2))</f>
        <v/>
      </c>
      <c r="M1376" s="42" t="n"/>
      <c r="N1376" s="42" t="n"/>
      <c r="O1376" s="43">
        <f>IF($B1376="","",N($J1376)+N($K1376)+N($L1376)-N($M1376)+N($N1376))</f>
        <v/>
      </c>
      <c r="P1376" s="42" t="n"/>
      <c r="Q1376" s="43">
        <f>IF($B1376="","",N($O1376)-N($P1376))</f>
        <v/>
      </c>
      <c r="R1376" s="42" t="n"/>
      <c r="S1376" s="42" t="n"/>
      <c r="T1376" s="42" t="n"/>
      <c r="U1376" s="43">
        <f>IF($B1376="","",N($J1376)-N($R1376)-N($T1376))</f>
        <v/>
      </c>
      <c r="V1376" s="42" t="n"/>
    </row>
    <row r="1377">
      <c r="A1377" s="39">
        <f>IF($B1377="","",COUNTA($B$4:$B1377))</f>
        <v/>
      </c>
      <c r="B1377" s="45" t="n"/>
      <c r="C1377" s="46" t="n"/>
      <c r="D1377" s="46" t="n"/>
      <c r="E1377" s="46" t="n"/>
      <c r="F1377" s="46" t="n"/>
      <c r="G1377" s="46" t="n"/>
      <c r="H1377" s="46" t="n"/>
      <c r="I1377" s="51" t="n"/>
      <c r="J1377" s="47" t="n"/>
      <c r="K1377" s="47" t="n"/>
      <c r="L1377" s="43">
        <f>IF($B1377="","",ROUND((N($J1377)+N($K1377))*نسبة_القيمة_المضافة,2))</f>
        <v/>
      </c>
      <c r="M1377" s="47" t="n"/>
      <c r="N1377" s="47" t="n"/>
      <c r="O1377" s="43">
        <f>IF($B1377="","",N($J1377)+N($K1377)+N($L1377)-N($M1377)+N($N1377))</f>
        <v/>
      </c>
      <c r="P1377" s="47" t="n"/>
      <c r="Q1377" s="43">
        <f>IF($B1377="","",N($O1377)-N($P1377))</f>
        <v/>
      </c>
      <c r="R1377" s="47" t="n"/>
      <c r="S1377" s="47" t="n"/>
      <c r="T1377" s="47" t="n"/>
      <c r="U1377" s="43">
        <f>IF($B1377="","",N($J1377)-N($R1377)-N($T1377))</f>
        <v/>
      </c>
      <c r="V1377" s="47" t="n"/>
    </row>
    <row r="1378">
      <c r="A1378" s="39">
        <f>IF($B1378="","",COUNTA($B$4:$B1378))</f>
        <v/>
      </c>
      <c r="B1378" s="40" t="n"/>
      <c r="C1378" s="41" t="n"/>
      <c r="D1378" s="41" t="n"/>
      <c r="E1378" s="41" t="n"/>
      <c r="F1378" s="41" t="n"/>
      <c r="G1378" s="41" t="n"/>
      <c r="H1378" s="41" t="n"/>
      <c r="I1378" s="50" t="n"/>
      <c r="J1378" s="42" t="n"/>
      <c r="K1378" s="42" t="n"/>
      <c r="L1378" s="43">
        <f>IF($B1378="","",ROUND((N($J1378)+N($K1378))*نسبة_القيمة_المضافة,2))</f>
        <v/>
      </c>
      <c r="M1378" s="42" t="n"/>
      <c r="N1378" s="42" t="n"/>
      <c r="O1378" s="43">
        <f>IF($B1378="","",N($J1378)+N($K1378)+N($L1378)-N($M1378)+N($N1378))</f>
        <v/>
      </c>
      <c r="P1378" s="42" t="n"/>
      <c r="Q1378" s="43">
        <f>IF($B1378="","",N($O1378)-N($P1378))</f>
        <v/>
      </c>
      <c r="R1378" s="42" t="n"/>
      <c r="S1378" s="42" t="n"/>
      <c r="T1378" s="42" t="n"/>
      <c r="U1378" s="43">
        <f>IF($B1378="","",N($J1378)-N($R1378)-N($T1378))</f>
        <v/>
      </c>
      <c r="V1378" s="42" t="n"/>
    </row>
    <row r="1379">
      <c r="A1379" s="39">
        <f>IF($B1379="","",COUNTA($B$4:$B1379))</f>
        <v/>
      </c>
      <c r="B1379" s="45" t="n"/>
      <c r="C1379" s="46" t="n"/>
      <c r="D1379" s="46" t="n"/>
      <c r="E1379" s="46" t="n"/>
      <c r="F1379" s="46" t="n"/>
      <c r="G1379" s="46" t="n"/>
      <c r="H1379" s="46" t="n"/>
      <c r="I1379" s="51" t="n"/>
      <c r="J1379" s="47" t="n"/>
      <c r="K1379" s="47" t="n"/>
      <c r="L1379" s="43">
        <f>IF($B1379="","",ROUND((N($J1379)+N($K1379))*نسبة_القيمة_المضافة,2))</f>
        <v/>
      </c>
      <c r="M1379" s="47" t="n"/>
      <c r="N1379" s="47" t="n"/>
      <c r="O1379" s="43">
        <f>IF($B1379="","",N($J1379)+N($K1379)+N($L1379)-N($M1379)+N($N1379))</f>
        <v/>
      </c>
      <c r="P1379" s="47" t="n"/>
      <c r="Q1379" s="43">
        <f>IF($B1379="","",N($O1379)-N($P1379))</f>
        <v/>
      </c>
      <c r="R1379" s="47" t="n"/>
      <c r="S1379" s="47" t="n"/>
      <c r="T1379" s="47" t="n"/>
      <c r="U1379" s="43">
        <f>IF($B1379="","",N($J1379)-N($R1379)-N($T1379))</f>
        <v/>
      </c>
      <c r="V1379" s="47" t="n"/>
    </row>
    <row r="1380">
      <c r="A1380" s="39">
        <f>IF($B1380="","",COUNTA($B$4:$B1380))</f>
        <v/>
      </c>
      <c r="B1380" s="40" t="n"/>
      <c r="C1380" s="41" t="n"/>
      <c r="D1380" s="41" t="n"/>
      <c r="E1380" s="41" t="n"/>
      <c r="F1380" s="41" t="n"/>
      <c r="G1380" s="41" t="n"/>
      <c r="H1380" s="41" t="n"/>
      <c r="I1380" s="50" t="n"/>
      <c r="J1380" s="42" t="n"/>
      <c r="K1380" s="42" t="n"/>
      <c r="L1380" s="43">
        <f>IF($B1380="","",ROUND((N($J1380)+N($K1380))*نسبة_القيمة_المضافة,2))</f>
        <v/>
      </c>
      <c r="M1380" s="42" t="n"/>
      <c r="N1380" s="42" t="n"/>
      <c r="O1380" s="43">
        <f>IF($B1380="","",N($J1380)+N($K1380)+N($L1380)-N($M1380)+N($N1380))</f>
        <v/>
      </c>
      <c r="P1380" s="42" t="n"/>
      <c r="Q1380" s="43">
        <f>IF($B1380="","",N($O1380)-N($P1380))</f>
        <v/>
      </c>
      <c r="R1380" s="42" t="n"/>
      <c r="S1380" s="42" t="n"/>
      <c r="T1380" s="42" t="n"/>
      <c r="U1380" s="43">
        <f>IF($B1380="","",N($J1380)-N($R1380)-N($T1380))</f>
        <v/>
      </c>
      <c r="V1380" s="42" t="n"/>
    </row>
    <row r="1381">
      <c r="A1381" s="39">
        <f>IF($B1381="","",COUNTA($B$4:$B1381))</f>
        <v/>
      </c>
      <c r="B1381" s="45" t="n"/>
      <c r="C1381" s="46" t="n"/>
      <c r="D1381" s="46" t="n"/>
      <c r="E1381" s="46" t="n"/>
      <c r="F1381" s="46" t="n"/>
      <c r="G1381" s="46" t="n"/>
      <c r="H1381" s="46" t="n"/>
      <c r="I1381" s="51" t="n"/>
      <c r="J1381" s="47" t="n"/>
      <c r="K1381" s="47" t="n"/>
      <c r="L1381" s="43">
        <f>IF($B1381="","",ROUND((N($J1381)+N($K1381))*نسبة_القيمة_المضافة,2))</f>
        <v/>
      </c>
      <c r="M1381" s="47" t="n"/>
      <c r="N1381" s="47" t="n"/>
      <c r="O1381" s="43">
        <f>IF($B1381="","",N($J1381)+N($K1381)+N($L1381)-N($M1381)+N($N1381))</f>
        <v/>
      </c>
      <c r="P1381" s="47" t="n"/>
      <c r="Q1381" s="43">
        <f>IF($B1381="","",N($O1381)-N($P1381))</f>
        <v/>
      </c>
      <c r="R1381" s="47" t="n"/>
      <c r="S1381" s="47" t="n"/>
      <c r="T1381" s="47" t="n"/>
      <c r="U1381" s="43">
        <f>IF($B1381="","",N($J1381)-N($R1381)-N($T1381))</f>
        <v/>
      </c>
      <c r="V1381" s="47" t="n"/>
    </row>
    <row r="1382">
      <c r="A1382" s="39">
        <f>IF($B1382="","",COUNTA($B$4:$B1382))</f>
        <v/>
      </c>
      <c r="B1382" s="40" t="n"/>
      <c r="C1382" s="41" t="n"/>
      <c r="D1382" s="41" t="n"/>
      <c r="E1382" s="41" t="n"/>
      <c r="F1382" s="41" t="n"/>
      <c r="G1382" s="41" t="n"/>
      <c r="H1382" s="41" t="n"/>
      <c r="I1382" s="50" t="n"/>
      <c r="J1382" s="42" t="n"/>
      <c r="K1382" s="42" t="n"/>
      <c r="L1382" s="43">
        <f>IF($B1382="","",ROUND((N($J1382)+N($K1382))*نسبة_القيمة_المضافة,2))</f>
        <v/>
      </c>
      <c r="M1382" s="42" t="n"/>
      <c r="N1382" s="42" t="n"/>
      <c r="O1382" s="43">
        <f>IF($B1382="","",N($J1382)+N($K1382)+N($L1382)-N($M1382)+N($N1382))</f>
        <v/>
      </c>
      <c r="P1382" s="42" t="n"/>
      <c r="Q1382" s="43">
        <f>IF($B1382="","",N($O1382)-N($P1382))</f>
        <v/>
      </c>
      <c r="R1382" s="42" t="n"/>
      <c r="S1382" s="42" t="n"/>
      <c r="T1382" s="42" t="n"/>
      <c r="U1382" s="43">
        <f>IF($B1382="","",N($J1382)-N($R1382)-N($T1382))</f>
        <v/>
      </c>
      <c r="V1382" s="42" t="n"/>
    </row>
    <row r="1383">
      <c r="A1383" s="39">
        <f>IF($B1383="","",COUNTA($B$4:$B1383))</f>
        <v/>
      </c>
      <c r="B1383" s="45" t="n"/>
      <c r="C1383" s="46" t="n"/>
      <c r="D1383" s="46" t="n"/>
      <c r="E1383" s="46" t="n"/>
      <c r="F1383" s="46" t="n"/>
      <c r="G1383" s="46" t="n"/>
      <c r="H1383" s="46" t="n"/>
      <c r="I1383" s="51" t="n"/>
      <c r="J1383" s="47" t="n"/>
      <c r="K1383" s="47" t="n"/>
      <c r="L1383" s="43">
        <f>IF($B1383="","",ROUND((N($J1383)+N($K1383))*نسبة_القيمة_المضافة,2))</f>
        <v/>
      </c>
      <c r="M1383" s="47" t="n"/>
      <c r="N1383" s="47" t="n"/>
      <c r="O1383" s="43">
        <f>IF($B1383="","",N($J1383)+N($K1383)+N($L1383)-N($M1383)+N($N1383))</f>
        <v/>
      </c>
      <c r="P1383" s="47" t="n"/>
      <c r="Q1383" s="43">
        <f>IF($B1383="","",N($O1383)-N($P1383))</f>
        <v/>
      </c>
      <c r="R1383" s="47" t="n"/>
      <c r="S1383" s="47" t="n"/>
      <c r="T1383" s="47" t="n"/>
      <c r="U1383" s="43">
        <f>IF($B1383="","",N($J1383)-N($R1383)-N($T1383))</f>
        <v/>
      </c>
      <c r="V1383" s="47" t="n"/>
    </row>
    <row r="1384">
      <c r="A1384" s="39">
        <f>IF($B1384="","",COUNTA($B$4:$B1384))</f>
        <v/>
      </c>
      <c r="B1384" s="40" t="n"/>
      <c r="C1384" s="41" t="n"/>
      <c r="D1384" s="41" t="n"/>
      <c r="E1384" s="41" t="n"/>
      <c r="F1384" s="41" t="n"/>
      <c r="G1384" s="41" t="n"/>
      <c r="H1384" s="41" t="n"/>
      <c r="I1384" s="50" t="n"/>
      <c r="J1384" s="42" t="n"/>
      <c r="K1384" s="42" t="n"/>
      <c r="L1384" s="43">
        <f>IF($B1384="","",ROUND((N($J1384)+N($K1384))*نسبة_القيمة_المضافة,2))</f>
        <v/>
      </c>
      <c r="M1384" s="42" t="n"/>
      <c r="N1384" s="42" t="n"/>
      <c r="O1384" s="43">
        <f>IF($B1384="","",N($J1384)+N($K1384)+N($L1384)-N($M1384)+N($N1384))</f>
        <v/>
      </c>
      <c r="P1384" s="42" t="n"/>
      <c r="Q1384" s="43">
        <f>IF($B1384="","",N($O1384)-N($P1384))</f>
        <v/>
      </c>
      <c r="R1384" s="42" t="n"/>
      <c r="S1384" s="42" t="n"/>
      <c r="T1384" s="42" t="n"/>
      <c r="U1384" s="43">
        <f>IF($B1384="","",N($J1384)-N($R1384)-N($T1384))</f>
        <v/>
      </c>
      <c r="V1384" s="42" t="n"/>
    </row>
    <row r="1385">
      <c r="A1385" s="39">
        <f>IF($B1385="","",COUNTA($B$4:$B1385))</f>
        <v/>
      </c>
      <c r="B1385" s="45" t="n"/>
      <c r="C1385" s="46" t="n"/>
      <c r="D1385" s="46" t="n"/>
      <c r="E1385" s="46" t="n"/>
      <c r="F1385" s="46" t="n"/>
      <c r="G1385" s="46" t="n"/>
      <c r="H1385" s="46" t="n"/>
      <c r="I1385" s="51" t="n"/>
      <c r="J1385" s="47" t="n"/>
      <c r="K1385" s="47" t="n"/>
      <c r="L1385" s="43">
        <f>IF($B1385="","",ROUND((N($J1385)+N($K1385))*نسبة_القيمة_المضافة,2))</f>
        <v/>
      </c>
      <c r="M1385" s="47" t="n"/>
      <c r="N1385" s="47" t="n"/>
      <c r="O1385" s="43">
        <f>IF($B1385="","",N($J1385)+N($K1385)+N($L1385)-N($M1385)+N($N1385))</f>
        <v/>
      </c>
      <c r="P1385" s="47" t="n"/>
      <c r="Q1385" s="43">
        <f>IF($B1385="","",N($O1385)-N($P1385))</f>
        <v/>
      </c>
      <c r="R1385" s="47" t="n"/>
      <c r="S1385" s="47" t="n"/>
      <c r="T1385" s="47" t="n"/>
      <c r="U1385" s="43">
        <f>IF($B1385="","",N($J1385)-N($R1385)-N($T1385))</f>
        <v/>
      </c>
      <c r="V1385" s="47" t="n"/>
    </row>
    <row r="1386">
      <c r="A1386" s="39">
        <f>IF($B1386="","",COUNTA($B$4:$B1386))</f>
        <v/>
      </c>
      <c r="B1386" s="40" t="n"/>
      <c r="C1386" s="41" t="n"/>
      <c r="D1386" s="41" t="n"/>
      <c r="E1386" s="41" t="n"/>
      <c r="F1386" s="41" t="n"/>
      <c r="G1386" s="41" t="n"/>
      <c r="H1386" s="41" t="n"/>
      <c r="I1386" s="50" t="n"/>
      <c r="J1386" s="42" t="n"/>
      <c r="K1386" s="42" t="n"/>
      <c r="L1386" s="43">
        <f>IF($B1386="","",ROUND((N($J1386)+N($K1386))*نسبة_القيمة_المضافة,2))</f>
        <v/>
      </c>
      <c r="M1386" s="42" t="n"/>
      <c r="N1386" s="42" t="n"/>
      <c r="O1386" s="43">
        <f>IF($B1386="","",N($J1386)+N($K1386)+N($L1386)-N($M1386)+N($N1386))</f>
        <v/>
      </c>
      <c r="P1386" s="42" t="n"/>
      <c r="Q1386" s="43">
        <f>IF($B1386="","",N($O1386)-N($P1386))</f>
        <v/>
      </c>
      <c r="R1386" s="42" t="n"/>
      <c r="S1386" s="42" t="n"/>
      <c r="T1386" s="42" t="n"/>
      <c r="U1386" s="43">
        <f>IF($B1386="","",N($J1386)-N($R1386)-N($T1386))</f>
        <v/>
      </c>
      <c r="V1386" s="42" t="n"/>
    </row>
    <row r="1387">
      <c r="A1387" s="39">
        <f>IF($B1387="","",COUNTA($B$4:$B1387))</f>
        <v/>
      </c>
      <c r="B1387" s="45" t="n"/>
      <c r="C1387" s="46" t="n"/>
      <c r="D1387" s="46" t="n"/>
      <c r="E1387" s="46" t="n"/>
      <c r="F1387" s="46" t="n"/>
      <c r="G1387" s="46" t="n"/>
      <c r="H1387" s="46" t="n"/>
      <c r="I1387" s="51" t="n"/>
      <c r="J1387" s="47" t="n"/>
      <c r="K1387" s="47" t="n"/>
      <c r="L1387" s="43">
        <f>IF($B1387="","",ROUND((N($J1387)+N($K1387))*نسبة_القيمة_المضافة,2))</f>
        <v/>
      </c>
      <c r="M1387" s="47" t="n"/>
      <c r="N1387" s="47" t="n"/>
      <c r="O1387" s="43">
        <f>IF($B1387="","",N($J1387)+N($K1387)+N($L1387)-N($M1387)+N($N1387))</f>
        <v/>
      </c>
      <c r="P1387" s="47" t="n"/>
      <c r="Q1387" s="43">
        <f>IF($B1387="","",N($O1387)-N($P1387))</f>
        <v/>
      </c>
      <c r="R1387" s="47" t="n"/>
      <c r="S1387" s="47" t="n"/>
      <c r="T1387" s="47" t="n"/>
      <c r="U1387" s="43">
        <f>IF($B1387="","",N($J1387)-N($R1387)-N($T1387))</f>
        <v/>
      </c>
      <c r="V1387" s="47" t="n"/>
    </row>
    <row r="1388">
      <c r="A1388" s="39">
        <f>IF($B1388="","",COUNTA($B$4:$B1388))</f>
        <v/>
      </c>
      <c r="B1388" s="40" t="n"/>
      <c r="C1388" s="41" t="n"/>
      <c r="D1388" s="41" t="n"/>
      <c r="E1388" s="41" t="n"/>
      <c r="F1388" s="41" t="n"/>
      <c r="G1388" s="41" t="n"/>
      <c r="H1388" s="41" t="n"/>
      <c r="I1388" s="50" t="n"/>
      <c r="J1388" s="42" t="n"/>
      <c r="K1388" s="42" t="n"/>
      <c r="L1388" s="43">
        <f>IF($B1388="","",ROUND((N($J1388)+N($K1388))*نسبة_القيمة_المضافة,2))</f>
        <v/>
      </c>
      <c r="M1388" s="42" t="n"/>
      <c r="N1388" s="42" t="n"/>
      <c r="O1388" s="43">
        <f>IF($B1388="","",N($J1388)+N($K1388)+N($L1388)-N($M1388)+N($N1388))</f>
        <v/>
      </c>
      <c r="P1388" s="42" t="n"/>
      <c r="Q1388" s="43">
        <f>IF($B1388="","",N($O1388)-N($P1388))</f>
        <v/>
      </c>
      <c r="R1388" s="42" t="n"/>
      <c r="S1388" s="42" t="n"/>
      <c r="T1388" s="42" t="n"/>
      <c r="U1388" s="43">
        <f>IF($B1388="","",N($J1388)-N($R1388)-N($T1388))</f>
        <v/>
      </c>
      <c r="V1388" s="42" t="n"/>
    </row>
    <row r="1389">
      <c r="A1389" s="39">
        <f>IF($B1389="","",COUNTA($B$4:$B1389))</f>
        <v/>
      </c>
      <c r="B1389" s="45" t="n"/>
      <c r="C1389" s="46" t="n"/>
      <c r="D1389" s="46" t="n"/>
      <c r="E1389" s="46" t="n"/>
      <c r="F1389" s="46" t="n"/>
      <c r="G1389" s="46" t="n"/>
      <c r="H1389" s="46" t="n"/>
      <c r="I1389" s="51" t="n"/>
      <c r="J1389" s="47" t="n"/>
      <c r="K1389" s="47" t="n"/>
      <c r="L1389" s="43">
        <f>IF($B1389="","",ROUND((N($J1389)+N($K1389))*نسبة_القيمة_المضافة,2))</f>
        <v/>
      </c>
      <c r="M1389" s="47" t="n"/>
      <c r="N1389" s="47" t="n"/>
      <c r="O1389" s="43">
        <f>IF($B1389="","",N($J1389)+N($K1389)+N($L1389)-N($M1389)+N($N1389))</f>
        <v/>
      </c>
      <c r="P1389" s="47" t="n"/>
      <c r="Q1389" s="43">
        <f>IF($B1389="","",N($O1389)-N($P1389))</f>
        <v/>
      </c>
      <c r="R1389" s="47" t="n"/>
      <c r="S1389" s="47" t="n"/>
      <c r="T1389" s="47" t="n"/>
      <c r="U1389" s="43">
        <f>IF($B1389="","",N($J1389)-N($R1389)-N($T1389))</f>
        <v/>
      </c>
      <c r="V1389" s="47" t="n"/>
    </row>
    <row r="1390">
      <c r="A1390" s="39">
        <f>IF($B1390="","",COUNTA($B$4:$B1390))</f>
        <v/>
      </c>
      <c r="B1390" s="40" t="n"/>
      <c r="C1390" s="41" t="n"/>
      <c r="D1390" s="41" t="n"/>
      <c r="E1390" s="41" t="n"/>
      <c r="F1390" s="41" t="n"/>
      <c r="G1390" s="41" t="n"/>
      <c r="H1390" s="41" t="n"/>
      <c r="I1390" s="50" t="n"/>
      <c r="J1390" s="42" t="n"/>
      <c r="K1390" s="42" t="n"/>
      <c r="L1390" s="43">
        <f>IF($B1390="","",ROUND((N($J1390)+N($K1390))*نسبة_القيمة_المضافة,2))</f>
        <v/>
      </c>
      <c r="M1390" s="42" t="n"/>
      <c r="N1390" s="42" t="n"/>
      <c r="O1390" s="43">
        <f>IF($B1390="","",N($J1390)+N($K1390)+N($L1390)-N($M1390)+N($N1390))</f>
        <v/>
      </c>
      <c r="P1390" s="42" t="n"/>
      <c r="Q1390" s="43">
        <f>IF($B1390="","",N($O1390)-N($P1390))</f>
        <v/>
      </c>
      <c r="R1390" s="42" t="n"/>
      <c r="S1390" s="42" t="n"/>
      <c r="T1390" s="42" t="n"/>
      <c r="U1390" s="43">
        <f>IF($B1390="","",N($J1390)-N($R1390)-N($T1390))</f>
        <v/>
      </c>
      <c r="V1390" s="42" t="n"/>
    </row>
    <row r="1391">
      <c r="A1391" s="39">
        <f>IF($B1391="","",COUNTA($B$4:$B1391))</f>
        <v/>
      </c>
      <c r="B1391" s="45" t="n"/>
      <c r="C1391" s="46" t="n"/>
      <c r="D1391" s="46" t="n"/>
      <c r="E1391" s="46" t="n"/>
      <c r="F1391" s="46" t="n"/>
      <c r="G1391" s="46" t="n"/>
      <c r="H1391" s="46" t="n"/>
      <c r="I1391" s="51" t="n"/>
      <c r="J1391" s="47" t="n"/>
      <c r="K1391" s="47" t="n"/>
      <c r="L1391" s="43">
        <f>IF($B1391="","",ROUND((N($J1391)+N($K1391))*نسبة_القيمة_المضافة,2))</f>
        <v/>
      </c>
      <c r="M1391" s="47" t="n"/>
      <c r="N1391" s="47" t="n"/>
      <c r="O1391" s="43">
        <f>IF($B1391="","",N($J1391)+N($K1391)+N($L1391)-N($M1391)+N($N1391))</f>
        <v/>
      </c>
      <c r="P1391" s="47" t="n"/>
      <c r="Q1391" s="43">
        <f>IF($B1391="","",N($O1391)-N($P1391))</f>
        <v/>
      </c>
      <c r="R1391" s="47" t="n"/>
      <c r="S1391" s="47" t="n"/>
      <c r="T1391" s="47" t="n"/>
      <c r="U1391" s="43">
        <f>IF($B1391="","",N($J1391)-N($R1391)-N($T1391))</f>
        <v/>
      </c>
      <c r="V1391" s="47" t="n"/>
    </row>
    <row r="1392">
      <c r="A1392" s="39">
        <f>IF($B1392="","",COUNTA($B$4:$B1392))</f>
        <v/>
      </c>
      <c r="B1392" s="40" t="n"/>
      <c r="C1392" s="41" t="n"/>
      <c r="D1392" s="41" t="n"/>
      <c r="E1392" s="41" t="n"/>
      <c r="F1392" s="41" t="n"/>
      <c r="G1392" s="41" t="n"/>
      <c r="H1392" s="41" t="n"/>
      <c r="I1392" s="50" t="n"/>
      <c r="J1392" s="42" t="n"/>
      <c r="K1392" s="42" t="n"/>
      <c r="L1392" s="43">
        <f>IF($B1392="","",ROUND((N($J1392)+N($K1392))*نسبة_القيمة_المضافة,2))</f>
        <v/>
      </c>
      <c r="M1392" s="42" t="n"/>
      <c r="N1392" s="42" t="n"/>
      <c r="O1392" s="43">
        <f>IF($B1392="","",N($J1392)+N($K1392)+N($L1392)-N($M1392)+N($N1392))</f>
        <v/>
      </c>
      <c r="P1392" s="42" t="n"/>
      <c r="Q1392" s="43">
        <f>IF($B1392="","",N($O1392)-N($P1392))</f>
        <v/>
      </c>
      <c r="R1392" s="42" t="n"/>
      <c r="S1392" s="42" t="n"/>
      <c r="T1392" s="42" t="n"/>
      <c r="U1392" s="43">
        <f>IF($B1392="","",N($J1392)-N($R1392)-N($T1392))</f>
        <v/>
      </c>
      <c r="V1392" s="42" t="n"/>
    </row>
    <row r="1393">
      <c r="A1393" s="39">
        <f>IF($B1393="","",COUNTA($B$4:$B1393))</f>
        <v/>
      </c>
      <c r="B1393" s="45" t="n"/>
      <c r="C1393" s="46" t="n"/>
      <c r="D1393" s="46" t="n"/>
      <c r="E1393" s="46" t="n"/>
      <c r="F1393" s="46" t="n"/>
      <c r="G1393" s="46" t="n"/>
      <c r="H1393" s="46" t="n"/>
      <c r="I1393" s="51" t="n"/>
      <c r="J1393" s="47" t="n"/>
      <c r="K1393" s="47" t="n"/>
      <c r="L1393" s="43">
        <f>IF($B1393="","",ROUND((N($J1393)+N($K1393))*نسبة_القيمة_المضافة,2))</f>
        <v/>
      </c>
      <c r="M1393" s="47" t="n"/>
      <c r="N1393" s="47" t="n"/>
      <c r="O1393" s="43">
        <f>IF($B1393="","",N($J1393)+N($K1393)+N($L1393)-N($M1393)+N($N1393))</f>
        <v/>
      </c>
      <c r="P1393" s="47" t="n"/>
      <c r="Q1393" s="43">
        <f>IF($B1393="","",N($O1393)-N($P1393))</f>
        <v/>
      </c>
      <c r="R1393" s="47" t="n"/>
      <c r="S1393" s="47" t="n"/>
      <c r="T1393" s="47" t="n"/>
      <c r="U1393" s="43">
        <f>IF($B1393="","",N($J1393)-N($R1393)-N($T1393))</f>
        <v/>
      </c>
      <c r="V1393" s="47" t="n"/>
    </row>
    <row r="1394">
      <c r="A1394" s="39">
        <f>IF($B1394="","",COUNTA($B$4:$B1394))</f>
        <v/>
      </c>
      <c r="B1394" s="40" t="n"/>
      <c r="C1394" s="41" t="n"/>
      <c r="D1394" s="41" t="n"/>
      <c r="E1394" s="41" t="n"/>
      <c r="F1394" s="41" t="n"/>
      <c r="G1394" s="41" t="n"/>
      <c r="H1394" s="41" t="n"/>
      <c r="I1394" s="50" t="n"/>
      <c r="J1394" s="42" t="n"/>
      <c r="K1394" s="42" t="n"/>
      <c r="L1394" s="43">
        <f>IF($B1394="","",ROUND((N($J1394)+N($K1394))*نسبة_القيمة_المضافة,2))</f>
        <v/>
      </c>
      <c r="M1394" s="42" t="n"/>
      <c r="N1394" s="42" t="n"/>
      <c r="O1394" s="43">
        <f>IF($B1394="","",N($J1394)+N($K1394)+N($L1394)-N($M1394)+N($N1394))</f>
        <v/>
      </c>
      <c r="P1394" s="42" t="n"/>
      <c r="Q1394" s="43">
        <f>IF($B1394="","",N($O1394)-N($P1394))</f>
        <v/>
      </c>
      <c r="R1394" s="42" t="n"/>
      <c r="S1394" s="42" t="n"/>
      <c r="T1394" s="42" t="n"/>
      <c r="U1394" s="43">
        <f>IF($B1394="","",N($J1394)-N($R1394)-N($T1394))</f>
        <v/>
      </c>
      <c r="V1394" s="42" t="n"/>
    </row>
    <row r="1395">
      <c r="A1395" s="39">
        <f>IF($B1395="","",COUNTA($B$4:$B1395))</f>
        <v/>
      </c>
      <c r="B1395" s="45" t="n"/>
      <c r="C1395" s="46" t="n"/>
      <c r="D1395" s="46" t="n"/>
      <c r="E1395" s="46" t="n"/>
      <c r="F1395" s="46" t="n"/>
      <c r="G1395" s="46" t="n"/>
      <c r="H1395" s="46" t="n"/>
      <c r="I1395" s="51" t="n"/>
      <c r="J1395" s="47" t="n"/>
      <c r="K1395" s="47" t="n"/>
      <c r="L1395" s="43">
        <f>IF($B1395="","",ROUND((N($J1395)+N($K1395))*نسبة_القيمة_المضافة,2))</f>
        <v/>
      </c>
      <c r="M1395" s="47" t="n"/>
      <c r="N1395" s="47" t="n"/>
      <c r="O1395" s="43">
        <f>IF($B1395="","",N($J1395)+N($K1395)+N($L1395)-N($M1395)+N($N1395))</f>
        <v/>
      </c>
      <c r="P1395" s="47" t="n"/>
      <c r="Q1395" s="43">
        <f>IF($B1395="","",N($O1395)-N($P1395))</f>
        <v/>
      </c>
      <c r="R1395" s="47" t="n"/>
      <c r="S1395" s="47" t="n"/>
      <c r="T1395" s="47" t="n"/>
      <c r="U1395" s="43">
        <f>IF($B1395="","",N($J1395)-N($R1395)-N($T1395))</f>
        <v/>
      </c>
      <c r="V1395" s="47" t="n"/>
    </row>
    <row r="1396">
      <c r="A1396" s="39">
        <f>IF($B1396="","",COUNTA($B$4:$B1396))</f>
        <v/>
      </c>
      <c r="B1396" s="40" t="n"/>
      <c r="C1396" s="41" t="n"/>
      <c r="D1396" s="41" t="n"/>
      <c r="E1396" s="41" t="n"/>
      <c r="F1396" s="41" t="n"/>
      <c r="G1396" s="41" t="n"/>
      <c r="H1396" s="41" t="n"/>
      <c r="I1396" s="50" t="n"/>
      <c r="J1396" s="42" t="n"/>
      <c r="K1396" s="42" t="n"/>
      <c r="L1396" s="43">
        <f>IF($B1396="","",ROUND((N($J1396)+N($K1396))*نسبة_القيمة_المضافة,2))</f>
        <v/>
      </c>
      <c r="M1396" s="42" t="n"/>
      <c r="N1396" s="42" t="n"/>
      <c r="O1396" s="43">
        <f>IF($B1396="","",N($J1396)+N($K1396)+N($L1396)-N($M1396)+N($N1396))</f>
        <v/>
      </c>
      <c r="P1396" s="42" t="n"/>
      <c r="Q1396" s="43">
        <f>IF($B1396="","",N($O1396)-N($P1396))</f>
        <v/>
      </c>
      <c r="R1396" s="42" t="n"/>
      <c r="S1396" s="42" t="n"/>
      <c r="T1396" s="42" t="n"/>
      <c r="U1396" s="43">
        <f>IF($B1396="","",N($J1396)-N($R1396)-N($T1396))</f>
        <v/>
      </c>
      <c r="V1396" s="42" t="n"/>
    </row>
    <row r="1397">
      <c r="A1397" s="39">
        <f>IF($B1397="","",COUNTA($B$4:$B1397))</f>
        <v/>
      </c>
      <c r="B1397" s="45" t="n"/>
      <c r="C1397" s="46" t="n"/>
      <c r="D1397" s="46" t="n"/>
      <c r="E1397" s="46" t="n"/>
      <c r="F1397" s="46" t="n"/>
      <c r="G1397" s="46" t="n"/>
      <c r="H1397" s="46" t="n"/>
      <c r="I1397" s="51" t="n"/>
      <c r="J1397" s="47" t="n"/>
      <c r="K1397" s="47" t="n"/>
      <c r="L1397" s="43">
        <f>IF($B1397="","",ROUND((N($J1397)+N($K1397))*نسبة_القيمة_المضافة,2))</f>
        <v/>
      </c>
      <c r="M1397" s="47" t="n"/>
      <c r="N1397" s="47" t="n"/>
      <c r="O1397" s="43">
        <f>IF($B1397="","",N($J1397)+N($K1397)+N($L1397)-N($M1397)+N($N1397))</f>
        <v/>
      </c>
      <c r="P1397" s="47" t="n"/>
      <c r="Q1397" s="43">
        <f>IF($B1397="","",N($O1397)-N($P1397))</f>
        <v/>
      </c>
      <c r="R1397" s="47" t="n"/>
      <c r="S1397" s="47" t="n"/>
      <c r="T1397" s="47" t="n"/>
      <c r="U1397" s="43">
        <f>IF($B1397="","",N($J1397)-N($R1397)-N($T1397))</f>
        <v/>
      </c>
      <c r="V1397" s="47" t="n"/>
    </row>
    <row r="1398">
      <c r="A1398" s="39">
        <f>IF($B1398="","",COUNTA($B$4:$B1398))</f>
        <v/>
      </c>
      <c r="B1398" s="40" t="n"/>
      <c r="C1398" s="41" t="n"/>
      <c r="D1398" s="41" t="n"/>
      <c r="E1398" s="41" t="n"/>
      <c r="F1398" s="41" t="n"/>
      <c r="G1398" s="41" t="n"/>
      <c r="H1398" s="41" t="n"/>
      <c r="I1398" s="50" t="n"/>
      <c r="J1398" s="42" t="n"/>
      <c r="K1398" s="42" t="n"/>
      <c r="L1398" s="43">
        <f>IF($B1398="","",ROUND((N($J1398)+N($K1398))*نسبة_القيمة_المضافة,2))</f>
        <v/>
      </c>
      <c r="M1398" s="42" t="n"/>
      <c r="N1398" s="42" t="n"/>
      <c r="O1398" s="43">
        <f>IF($B1398="","",N($J1398)+N($K1398)+N($L1398)-N($M1398)+N($N1398))</f>
        <v/>
      </c>
      <c r="P1398" s="42" t="n"/>
      <c r="Q1398" s="43">
        <f>IF($B1398="","",N($O1398)-N($P1398))</f>
        <v/>
      </c>
      <c r="R1398" s="42" t="n"/>
      <c r="S1398" s="42" t="n"/>
      <c r="T1398" s="42" t="n"/>
      <c r="U1398" s="43">
        <f>IF($B1398="","",N($J1398)-N($R1398)-N($T1398))</f>
        <v/>
      </c>
      <c r="V1398" s="42" t="n"/>
    </row>
    <row r="1399">
      <c r="A1399" s="39">
        <f>IF($B1399="","",COUNTA($B$4:$B1399))</f>
        <v/>
      </c>
      <c r="B1399" s="45" t="n"/>
      <c r="C1399" s="46" t="n"/>
      <c r="D1399" s="46" t="n"/>
      <c r="E1399" s="46" t="n"/>
      <c r="F1399" s="46" t="n"/>
      <c r="G1399" s="46" t="n"/>
      <c r="H1399" s="46" t="n"/>
      <c r="I1399" s="51" t="n"/>
      <c r="J1399" s="47" t="n"/>
      <c r="K1399" s="47" t="n"/>
      <c r="L1399" s="43">
        <f>IF($B1399="","",ROUND((N($J1399)+N($K1399))*نسبة_القيمة_المضافة,2))</f>
        <v/>
      </c>
      <c r="M1399" s="47" t="n"/>
      <c r="N1399" s="47" t="n"/>
      <c r="O1399" s="43">
        <f>IF($B1399="","",N($J1399)+N($K1399)+N($L1399)-N($M1399)+N($N1399))</f>
        <v/>
      </c>
      <c r="P1399" s="47" t="n"/>
      <c r="Q1399" s="43">
        <f>IF($B1399="","",N($O1399)-N($P1399))</f>
        <v/>
      </c>
      <c r="R1399" s="47" t="n"/>
      <c r="S1399" s="47" t="n"/>
      <c r="T1399" s="47" t="n"/>
      <c r="U1399" s="43">
        <f>IF($B1399="","",N($J1399)-N($R1399)-N($T1399))</f>
        <v/>
      </c>
      <c r="V1399" s="47" t="n"/>
    </row>
    <row r="1400">
      <c r="A1400" s="39">
        <f>IF($B1400="","",COUNTA($B$4:$B1400))</f>
        <v/>
      </c>
      <c r="B1400" s="40" t="n"/>
      <c r="C1400" s="41" t="n"/>
      <c r="D1400" s="41" t="n"/>
      <c r="E1400" s="41" t="n"/>
      <c r="F1400" s="41" t="n"/>
      <c r="G1400" s="41" t="n"/>
      <c r="H1400" s="41" t="n"/>
      <c r="I1400" s="50" t="n"/>
      <c r="J1400" s="42" t="n"/>
      <c r="K1400" s="42" t="n"/>
      <c r="L1400" s="43">
        <f>IF($B1400="","",ROUND((N($J1400)+N($K1400))*نسبة_القيمة_المضافة,2))</f>
        <v/>
      </c>
      <c r="M1400" s="42" t="n"/>
      <c r="N1400" s="42" t="n"/>
      <c r="O1400" s="43">
        <f>IF($B1400="","",N($J1400)+N($K1400)+N($L1400)-N($M1400)+N($N1400))</f>
        <v/>
      </c>
      <c r="P1400" s="42" t="n"/>
      <c r="Q1400" s="43">
        <f>IF($B1400="","",N($O1400)-N($P1400))</f>
        <v/>
      </c>
      <c r="R1400" s="42" t="n"/>
      <c r="S1400" s="42" t="n"/>
      <c r="T1400" s="42" t="n"/>
      <c r="U1400" s="43">
        <f>IF($B1400="","",N($J1400)-N($R1400)-N($T1400))</f>
        <v/>
      </c>
      <c r="V1400" s="42" t="n"/>
    </row>
    <row r="1401">
      <c r="A1401" s="39">
        <f>IF($B1401="","",COUNTA($B$4:$B1401))</f>
        <v/>
      </c>
      <c r="B1401" s="45" t="n"/>
      <c r="C1401" s="46" t="n"/>
      <c r="D1401" s="46" t="n"/>
      <c r="E1401" s="46" t="n"/>
      <c r="F1401" s="46" t="n"/>
      <c r="G1401" s="46" t="n"/>
      <c r="H1401" s="46" t="n"/>
      <c r="I1401" s="51" t="n"/>
      <c r="J1401" s="47" t="n"/>
      <c r="K1401" s="47" t="n"/>
      <c r="L1401" s="43">
        <f>IF($B1401="","",ROUND((N($J1401)+N($K1401))*نسبة_القيمة_المضافة,2))</f>
        <v/>
      </c>
      <c r="M1401" s="47" t="n"/>
      <c r="N1401" s="47" t="n"/>
      <c r="O1401" s="43">
        <f>IF($B1401="","",N($J1401)+N($K1401)+N($L1401)-N($M1401)+N($N1401))</f>
        <v/>
      </c>
      <c r="P1401" s="47" t="n"/>
      <c r="Q1401" s="43">
        <f>IF($B1401="","",N($O1401)-N($P1401))</f>
        <v/>
      </c>
      <c r="R1401" s="47" t="n"/>
      <c r="S1401" s="47" t="n"/>
      <c r="T1401" s="47" t="n"/>
      <c r="U1401" s="43">
        <f>IF($B1401="","",N($J1401)-N($R1401)-N($T1401))</f>
        <v/>
      </c>
      <c r="V1401" s="47" t="n"/>
    </row>
    <row r="1402">
      <c r="A1402" s="39">
        <f>IF($B1402="","",COUNTA($B$4:$B1402))</f>
        <v/>
      </c>
      <c r="B1402" s="40" t="n"/>
      <c r="C1402" s="41" t="n"/>
      <c r="D1402" s="41" t="n"/>
      <c r="E1402" s="41" t="n"/>
      <c r="F1402" s="41" t="n"/>
      <c r="G1402" s="41" t="n"/>
      <c r="H1402" s="41" t="n"/>
      <c r="I1402" s="50" t="n"/>
      <c r="J1402" s="42" t="n"/>
      <c r="K1402" s="42" t="n"/>
      <c r="L1402" s="43">
        <f>IF($B1402="","",ROUND((N($J1402)+N($K1402))*نسبة_القيمة_المضافة,2))</f>
        <v/>
      </c>
      <c r="M1402" s="42" t="n"/>
      <c r="N1402" s="42" t="n"/>
      <c r="O1402" s="43">
        <f>IF($B1402="","",N($J1402)+N($K1402)+N($L1402)-N($M1402)+N($N1402))</f>
        <v/>
      </c>
      <c r="P1402" s="42" t="n"/>
      <c r="Q1402" s="43">
        <f>IF($B1402="","",N($O1402)-N($P1402))</f>
        <v/>
      </c>
      <c r="R1402" s="42" t="n"/>
      <c r="S1402" s="42" t="n"/>
      <c r="T1402" s="42" t="n"/>
      <c r="U1402" s="43">
        <f>IF($B1402="","",N($J1402)-N($R1402)-N($T1402))</f>
        <v/>
      </c>
      <c r="V1402" s="42" t="n"/>
    </row>
    <row r="1403">
      <c r="A1403" s="39">
        <f>IF($B1403="","",COUNTA($B$4:$B1403))</f>
        <v/>
      </c>
      <c r="B1403" s="45" t="n"/>
      <c r="C1403" s="46" t="n"/>
      <c r="D1403" s="46" t="n"/>
      <c r="E1403" s="46" t="n"/>
      <c r="F1403" s="46" t="n"/>
      <c r="G1403" s="46" t="n"/>
      <c r="H1403" s="46" t="n"/>
      <c r="I1403" s="51" t="n"/>
      <c r="J1403" s="47" t="n"/>
      <c r="K1403" s="47" t="n"/>
      <c r="L1403" s="43">
        <f>IF($B1403="","",ROUND((N($J1403)+N($K1403))*نسبة_القيمة_المضافة,2))</f>
        <v/>
      </c>
      <c r="M1403" s="47" t="n"/>
      <c r="N1403" s="47" t="n"/>
      <c r="O1403" s="43">
        <f>IF($B1403="","",N($J1403)+N($K1403)+N($L1403)-N($M1403)+N($N1403))</f>
        <v/>
      </c>
      <c r="P1403" s="47" t="n"/>
      <c r="Q1403" s="43">
        <f>IF($B1403="","",N($O1403)-N($P1403))</f>
        <v/>
      </c>
      <c r="R1403" s="47" t="n"/>
      <c r="S1403" s="47" t="n"/>
      <c r="T1403" s="47" t="n"/>
      <c r="U1403" s="43">
        <f>IF($B1403="","",N($J1403)-N($R1403)-N($T1403))</f>
        <v/>
      </c>
      <c r="V1403" s="47" t="n"/>
    </row>
    <row r="1404">
      <c r="A1404" s="39">
        <f>IF($B1404="","",COUNTA($B$4:$B1404))</f>
        <v/>
      </c>
      <c r="B1404" s="40" t="n"/>
      <c r="C1404" s="41" t="n"/>
      <c r="D1404" s="41" t="n"/>
      <c r="E1404" s="41" t="n"/>
      <c r="F1404" s="41" t="n"/>
      <c r="G1404" s="41" t="n"/>
      <c r="H1404" s="41" t="n"/>
      <c r="I1404" s="50" t="n"/>
      <c r="J1404" s="42" t="n"/>
      <c r="K1404" s="42" t="n"/>
      <c r="L1404" s="43">
        <f>IF($B1404="","",ROUND((N($J1404)+N($K1404))*نسبة_القيمة_المضافة,2))</f>
        <v/>
      </c>
      <c r="M1404" s="42" t="n"/>
      <c r="N1404" s="42" t="n"/>
      <c r="O1404" s="43">
        <f>IF($B1404="","",N($J1404)+N($K1404)+N($L1404)-N($M1404)+N($N1404))</f>
        <v/>
      </c>
      <c r="P1404" s="42" t="n"/>
      <c r="Q1404" s="43">
        <f>IF($B1404="","",N($O1404)-N($P1404))</f>
        <v/>
      </c>
      <c r="R1404" s="42" t="n"/>
      <c r="S1404" s="42" t="n"/>
      <c r="T1404" s="42" t="n"/>
      <c r="U1404" s="43">
        <f>IF($B1404="","",N($J1404)-N($R1404)-N($T1404))</f>
        <v/>
      </c>
      <c r="V1404" s="42" t="n"/>
    </row>
    <row r="1405">
      <c r="A1405" s="39">
        <f>IF($B1405="","",COUNTA($B$4:$B1405))</f>
        <v/>
      </c>
      <c r="B1405" s="45" t="n"/>
      <c r="C1405" s="46" t="n"/>
      <c r="D1405" s="46" t="n"/>
      <c r="E1405" s="46" t="n"/>
      <c r="F1405" s="46" t="n"/>
      <c r="G1405" s="46" t="n"/>
      <c r="H1405" s="46" t="n"/>
      <c r="I1405" s="51" t="n"/>
      <c r="J1405" s="47" t="n"/>
      <c r="K1405" s="47" t="n"/>
      <c r="L1405" s="43">
        <f>IF($B1405="","",ROUND((N($J1405)+N($K1405))*نسبة_القيمة_المضافة,2))</f>
        <v/>
      </c>
      <c r="M1405" s="47" t="n"/>
      <c r="N1405" s="47" t="n"/>
      <c r="O1405" s="43">
        <f>IF($B1405="","",N($J1405)+N($K1405)+N($L1405)-N($M1405)+N($N1405))</f>
        <v/>
      </c>
      <c r="P1405" s="47" t="n"/>
      <c r="Q1405" s="43">
        <f>IF($B1405="","",N($O1405)-N($P1405))</f>
        <v/>
      </c>
      <c r="R1405" s="47" t="n"/>
      <c r="S1405" s="47" t="n"/>
      <c r="T1405" s="47" t="n"/>
      <c r="U1405" s="43">
        <f>IF($B1405="","",N($J1405)-N($R1405)-N($T1405))</f>
        <v/>
      </c>
      <c r="V1405" s="47" t="n"/>
    </row>
    <row r="1406">
      <c r="A1406" s="39">
        <f>IF($B1406="","",COUNTA($B$4:$B1406))</f>
        <v/>
      </c>
      <c r="B1406" s="40" t="n"/>
      <c r="C1406" s="41" t="n"/>
      <c r="D1406" s="41" t="n"/>
      <c r="E1406" s="41" t="n"/>
      <c r="F1406" s="41" t="n"/>
      <c r="G1406" s="41" t="n"/>
      <c r="H1406" s="41" t="n"/>
      <c r="I1406" s="50" t="n"/>
      <c r="J1406" s="42" t="n"/>
      <c r="K1406" s="42" t="n"/>
      <c r="L1406" s="43">
        <f>IF($B1406="","",ROUND((N($J1406)+N($K1406))*نسبة_القيمة_المضافة,2))</f>
        <v/>
      </c>
      <c r="M1406" s="42" t="n"/>
      <c r="N1406" s="42" t="n"/>
      <c r="O1406" s="43">
        <f>IF($B1406="","",N($J1406)+N($K1406)+N($L1406)-N($M1406)+N($N1406))</f>
        <v/>
      </c>
      <c r="P1406" s="42" t="n"/>
      <c r="Q1406" s="43">
        <f>IF($B1406="","",N($O1406)-N($P1406))</f>
        <v/>
      </c>
      <c r="R1406" s="42" t="n"/>
      <c r="S1406" s="42" t="n"/>
      <c r="T1406" s="42" t="n"/>
      <c r="U1406" s="43">
        <f>IF($B1406="","",N($J1406)-N($R1406)-N($T1406))</f>
        <v/>
      </c>
      <c r="V1406" s="42" t="n"/>
    </row>
    <row r="1407">
      <c r="A1407" s="39">
        <f>IF($B1407="","",COUNTA($B$4:$B1407))</f>
        <v/>
      </c>
      <c r="B1407" s="45" t="n"/>
      <c r="C1407" s="46" t="n"/>
      <c r="D1407" s="46" t="n"/>
      <c r="E1407" s="46" t="n"/>
      <c r="F1407" s="46" t="n"/>
      <c r="G1407" s="46" t="n"/>
      <c r="H1407" s="46" t="n"/>
      <c r="I1407" s="51" t="n"/>
      <c r="J1407" s="47" t="n"/>
      <c r="K1407" s="47" t="n"/>
      <c r="L1407" s="43">
        <f>IF($B1407="","",ROUND((N($J1407)+N($K1407))*نسبة_القيمة_المضافة,2))</f>
        <v/>
      </c>
      <c r="M1407" s="47" t="n"/>
      <c r="N1407" s="47" t="n"/>
      <c r="O1407" s="43">
        <f>IF($B1407="","",N($J1407)+N($K1407)+N($L1407)-N($M1407)+N($N1407))</f>
        <v/>
      </c>
      <c r="P1407" s="47" t="n"/>
      <c r="Q1407" s="43">
        <f>IF($B1407="","",N($O1407)-N($P1407))</f>
        <v/>
      </c>
      <c r="R1407" s="47" t="n"/>
      <c r="S1407" s="47" t="n"/>
      <c r="T1407" s="47" t="n"/>
      <c r="U1407" s="43">
        <f>IF($B1407="","",N($J1407)-N($R1407)-N($T1407))</f>
        <v/>
      </c>
      <c r="V1407" s="47" t="n"/>
    </row>
    <row r="1408">
      <c r="A1408" s="39">
        <f>IF($B1408="","",COUNTA($B$4:$B1408))</f>
        <v/>
      </c>
      <c r="B1408" s="40" t="n"/>
      <c r="C1408" s="41" t="n"/>
      <c r="D1408" s="41" t="n"/>
      <c r="E1408" s="41" t="n"/>
      <c r="F1408" s="41" t="n"/>
      <c r="G1408" s="41" t="n"/>
      <c r="H1408" s="41" t="n"/>
      <c r="I1408" s="50" t="n"/>
      <c r="J1408" s="42" t="n"/>
      <c r="K1408" s="42" t="n"/>
      <c r="L1408" s="43">
        <f>IF($B1408="","",ROUND((N($J1408)+N($K1408))*نسبة_القيمة_المضافة,2))</f>
        <v/>
      </c>
      <c r="M1408" s="42" t="n"/>
      <c r="N1408" s="42" t="n"/>
      <c r="O1408" s="43">
        <f>IF($B1408="","",N($J1408)+N($K1408)+N($L1408)-N($M1408)+N($N1408))</f>
        <v/>
      </c>
      <c r="P1408" s="42" t="n"/>
      <c r="Q1408" s="43">
        <f>IF($B1408="","",N($O1408)-N($P1408))</f>
        <v/>
      </c>
      <c r="R1408" s="42" t="n"/>
      <c r="S1408" s="42" t="n"/>
      <c r="T1408" s="42" t="n"/>
      <c r="U1408" s="43">
        <f>IF($B1408="","",N($J1408)-N($R1408)-N($T1408))</f>
        <v/>
      </c>
      <c r="V1408" s="42" t="n"/>
    </row>
    <row r="1409">
      <c r="A1409" s="39">
        <f>IF($B1409="","",COUNTA($B$4:$B1409))</f>
        <v/>
      </c>
      <c r="B1409" s="45" t="n"/>
      <c r="C1409" s="46" t="n"/>
      <c r="D1409" s="46" t="n"/>
      <c r="E1409" s="46" t="n"/>
      <c r="F1409" s="46" t="n"/>
      <c r="G1409" s="46" t="n"/>
      <c r="H1409" s="46" t="n"/>
      <c r="I1409" s="51" t="n"/>
      <c r="J1409" s="47" t="n"/>
      <c r="K1409" s="47" t="n"/>
      <c r="L1409" s="43">
        <f>IF($B1409="","",ROUND((N($J1409)+N($K1409))*نسبة_القيمة_المضافة,2))</f>
        <v/>
      </c>
      <c r="M1409" s="47" t="n"/>
      <c r="N1409" s="47" t="n"/>
      <c r="O1409" s="43">
        <f>IF($B1409="","",N($J1409)+N($K1409)+N($L1409)-N($M1409)+N($N1409))</f>
        <v/>
      </c>
      <c r="P1409" s="47" t="n"/>
      <c r="Q1409" s="43">
        <f>IF($B1409="","",N($O1409)-N($P1409))</f>
        <v/>
      </c>
      <c r="R1409" s="47" t="n"/>
      <c r="S1409" s="47" t="n"/>
      <c r="T1409" s="47" t="n"/>
      <c r="U1409" s="43">
        <f>IF($B1409="","",N($J1409)-N($R1409)-N($T1409))</f>
        <v/>
      </c>
      <c r="V1409" s="47" t="n"/>
    </row>
    <row r="1410">
      <c r="A1410" s="39">
        <f>IF($B1410="","",COUNTA($B$4:$B1410))</f>
        <v/>
      </c>
      <c r="B1410" s="40" t="n"/>
      <c r="C1410" s="41" t="n"/>
      <c r="D1410" s="41" t="n"/>
      <c r="E1410" s="41" t="n"/>
      <c r="F1410" s="41" t="n"/>
      <c r="G1410" s="41" t="n"/>
      <c r="H1410" s="41" t="n"/>
      <c r="I1410" s="50" t="n"/>
      <c r="J1410" s="42" t="n"/>
      <c r="K1410" s="42" t="n"/>
      <c r="L1410" s="43">
        <f>IF($B1410="","",ROUND((N($J1410)+N($K1410))*نسبة_القيمة_المضافة,2))</f>
        <v/>
      </c>
      <c r="M1410" s="42" t="n"/>
      <c r="N1410" s="42" t="n"/>
      <c r="O1410" s="43">
        <f>IF($B1410="","",N($J1410)+N($K1410)+N($L1410)-N($M1410)+N($N1410))</f>
        <v/>
      </c>
      <c r="P1410" s="42" t="n"/>
      <c r="Q1410" s="43">
        <f>IF($B1410="","",N($O1410)-N($P1410))</f>
        <v/>
      </c>
      <c r="R1410" s="42" t="n"/>
      <c r="S1410" s="42" t="n"/>
      <c r="T1410" s="42" t="n"/>
      <c r="U1410" s="43">
        <f>IF($B1410="","",N($J1410)-N($R1410)-N($T1410))</f>
        <v/>
      </c>
      <c r="V1410" s="42" t="n"/>
    </row>
    <row r="1411">
      <c r="A1411" s="39">
        <f>IF($B1411="","",COUNTA($B$4:$B1411))</f>
        <v/>
      </c>
      <c r="B1411" s="45" t="n"/>
      <c r="C1411" s="46" t="n"/>
      <c r="D1411" s="46" t="n"/>
      <c r="E1411" s="46" t="n"/>
      <c r="F1411" s="46" t="n"/>
      <c r="G1411" s="46" t="n"/>
      <c r="H1411" s="46" t="n"/>
      <c r="I1411" s="51" t="n"/>
      <c r="J1411" s="47" t="n"/>
      <c r="K1411" s="47" t="n"/>
      <c r="L1411" s="43">
        <f>IF($B1411="","",ROUND((N($J1411)+N($K1411))*نسبة_القيمة_المضافة,2))</f>
        <v/>
      </c>
      <c r="M1411" s="47" t="n"/>
      <c r="N1411" s="47" t="n"/>
      <c r="O1411" s="43">
        <f>IF($B1411="","",N($J1411)+N($K1411)+N($L1411)-N($M1411)+N($N1411))</f>
        <v/>
      </c>
      <c r="P1411" s="47" t="n"/>
      <c r="Q1411" s="43">
        <f>IF($B1411="","",N($O1411)-N($P1411))</f>
        <v/>
      </c>
      <c r="R1411" s="47" t="n"/>
      <c r="S1411" s="47" t="n"/>
      <c r="T1411" s="47" t="n"/>
      <c r="U1411" s="43">
        <f>IF($B1411="","",N($J1411)-N($R1411)-N($T1411))</f>
        <v/>
      </c>
      <c r="V1411" s="47" t="n"/>
    </row>
    <row r="1412">
      <c r="A1412" s="39">
        <f>IF($B1412="","",COUNTA($B$4:$B1412))</f>
        <v/>
      </c>
      <c r="B1412" s="40" t="n"/>
      <c r="C1412" s="41" t="n"/>
      <c r="D1412" s="41" t="n"/>
      <c r="E1412" s="41" t="n"/>
      <c r="F1412" s="41" t="n"/>
      <c r="G1412" s="41" t="n"/>
      <c r="H1412" s="41" t="n"/>
      <c r="I1412" s="50" t="n"/>
      <c r="J1412" s="42" t="n"/>
      <c r="K1412" s="42" t="n"/>
      <c r="L1412" s="43">
        <f>IF($B1412="","",ROUND((N($J1412)+N($K1412))*نسبة_القيمة_المضافة,2))</f>
        <v/>
      </c>
      <c r="M1412" s="42" t="n"/>
      <c r="N1412" s="42" t="n"/>
      <c r="O1412" s="43">
        <f>IF($B1412="","",N($J1412)+N($K1412)+N($L1412)-N($M1412)+N($N1412))</f>
        <v/>
      </c>
      <c r="P1412" s="42" t="n"/>
      <c r="Q1412" s="43">
        <f>IF($B1412="","",N($O1412)-N($P1412))</f>
        <v/>
      </c>
      <c r="R1412" s="42" t="n"/>
      <c r="S1412" s="42" t="n"/>
      <c r="T1412" s="42" t="n"/>
      <c r="U1412" s="43">
        <f>IF($B1412="","",N($J1412)-N($R1412)-N($T1412))</f>
        <v/>
      </c>
      <c r="V1412" s="42" t="n"/>
    </row>
    <row r="1413">
      <c r="A1413" s="39">
        <f>IF($B1413="","",COUNTA($B$4:$B1413))</f>
        <v/>
      </c>
      <c r="B1413" s="45" t="n"/>
      <c r="C1413" s="46" t="n"/>
      <c r="D1413" s="46" t="n"/>
      <c r="E1413" s="46" t="n"/>
      <c r="F1413" s="46" t="n"/>
      <c r="G1413" s="46" t="n"/>
      <c r="H1413" s="46" t="n"/>
      <c r="I1413" s="51" t="n"/>
      <c r="J1413" s="47" t="n"/>
      <c r="K1413" s="47" t="n"/>
      <c r="L1413" s="43">
        <f>IF($B1413="","",ROUND((N($J1413)+N($K1413))*نسبة_القيمة_المضافة,2))</f>
        <v/>
      </c>
      <c r="M1413" s="47" t="n"/>
      <c r="N1413" s="47" t="n"/>
      <c r="O1413" s="43">
        <f>IF($B1413="","",N($J1413)+N($K1413)+N($L1413)-N($M1413)+N($N1413))</f>
        <v/>
      </c>
      <c r="P1413" s="47" t="n"/>
      <c r="Q1413" s="43">
        <f>IF($B1413="","",N($O1413)-N($P1413))</f>
        <v/>
      </c>
      <c r="R1413" s="47" t="n"/>
      <c r="S1413" s="47" t="n"/>
      <c r="T1413" s="47" t="n"/>
      <c r="U1413" s="43">
        <f>IF($B1413="","",N($J1413)-N($R1413)-N($T1413))</f>
        <v/>
      </c>
      <c r="V1413" s="47" t="n"/>
    </row>
    <row r="1414">
      <c r="A1414" s="39">
        <f>IF($B1414="","",COUNTA($B$4:$B1414))</f>
        <v/>
      </c>
      <c r="B1414" s="40" t="n"/>
      <c r="C1414" s="41" t="n"/>
      <c r="D1414" s="41" t="n"/>
      <c r="E1414" s="41" t="n"/>
      <c r="F1414" s="41" t="n"/>
      <c r="G1414" s="41" t="n"/>
      <c r="H1414" s="41" t="n"/>
      <c r="I1414" s="50" t="n"/>
      <c r="J1414" s="42" t="n"/>
      <c r="K1414" s="42" t="n"/>
      <c r="L1414" s="43">
        <f>IF($B1414="","",ROUND((N($J1414)+N($K1414))*نسبة_القيمة_المضافة,2))</f>
        <v/>
      </c>
      <c r="M1414" s="42" t="n"/>
      <c r="N1414" s="42" t="n"/>
      <c r="O1414" s="43">
        <f>IF($B1414="","",N($J1414)+N($K1414)+N($L1414)-N($M1414)+N($N1414))</f>
        <v/>
      </c>
      <c r="P1414" s="42" t="n"/>
      <c r="Q1414" s="43">
        <f>IF($B1414="","",N($O1414)-N($P1414))</f>
        <v/>
      </c>
      <c r="R1414" s="42" t="n"/>
      <c r="S1414" s="42" t="n"/>
      <c r="T1414" s="42" t="n"/>
      <c r="U1414" s="43">
        <f>IF($B1414="","",N($J1414)-N($R1414)-N($T1414))</f>
        <v/>
      </c>
      <c r="V1414" s="42" t="n"/>
    </row>
    <row r="1415">
      <c r="A1415" s="39">
        <f>IF($B1415="","",COUNTA($B$4:$B1415))</f>
        <v/>
      </c>
      <c r="B1415" s="45" t="n"/>
      <c r="C1415" s="46" t="n"/>
      <c r="D1415" s="46" t="n"/>
      <c r="E1415" s="46" t="n"/>
      <c r="F1415" s="46" t="n"/>
      <c r="G1415" s="46" t="n"/>
      <c r="H1415" s="46" t="n"/>
      <c r="I1415" s="51" t="n"/>
      <c r="J1415" s="47" t="n"/>
      <c r="K1415" s="47" t="n"/>
      <c r="L1415" s="43">
        <f>IF($B1415="","",ROUND((N($J1415)+N($K1415))*نسبة_القيمة_المضافة,2))</f>
        <v/>
      </c>
      <c r="M1415" s="47" t="n"/>
      <c r="N1415" s="47" t="n"/>
      <c r="O1415" s="43">
        <f>IF($B1415="","",N($J1415)+N($K1415)+N($L1415)-N($M1415)+N($N1415))</f>
        <v/>
      </c>
      <c r="P1415" s="47" t="n"/>
      <c r="Q1415" s="43">
        <f>IF($B1415="","",N($O1415)-N($P1415))</f>
        <v/>
      </c>
      <c r="R1415" s="47" t="n"/>
      <c r="S1415" s="47" t="n"/>
      <c r="T1415" s="47" t="n"/>
      <c r="U1415" s="43">
        <f>IF($B1415="","",N($J1415)-N($R1415)-N($T1415))</f>
        <v/>
      </c>
      <c r="V1415" s="47" t="n"/>
    </row>
    <row r="1416">
      <c r="A1416" s="39">
        <f>IF($B1416="","",COUNTA($B$4:$B1416))</f>
        <v/>
      </c>
      <c r="B1416" s="40" t="n"/>
      <c r="C1416" s="41" t="n"/>
      <c r="D1416" s="41" t="n"/>
      <c r="E1416" s="41" t="n"/>
      <c r="F1416" s="41" t="n"/>
      <c r="G1416" s="41" t="n"/>
      <c r="H1416" s="41" t="n"/>
      <c r="I1416" s="50" t="n"/>
      <c r="J1416" s="42" t="n"/>
      <c r="K1416" s="42" t="n"/>
      <c r="L1416" s="43">
        <f>IF($B1416="","",ROUND((N($J1416)+N($K1416))*نسبة_القيمة_المضافة,2))</f>
        <v/>
      </c>
      <c r="M1416" s="42" t="n"/>
      <c r="N1416" s="42" t="n"/>
      <c r="O1416" s="43">
        <f>IF($B1416="","",N($J1416)+N($K1416)+N($L1416)-N($M1416)+N($N1416))</f>
        <v/>
      </c>
      <c r="P1416" s="42" t="n"/>
      <c r="Q1416" s="43">
        <f>IF($B1416="","",N($O1416)-N($P1416))</f>
        <v/>
      </c>
      <c r="R1416" s="42" t="n"/>
      <c r="S1416" s="42" t="n"/>
      <c r="T1416" s="42" t="n"/>
      <c r="U1416" s="43">
        <f>IF($B1416="","",N($J1416)-N($R1416)-N($T1416))</f>
        <v/>
      </c>
      <c r="V1416" s="42" t="n"/>
    </row>
    <row r="1417">
      <c r="A1417" s="39">
        <f>IF($B1417="","",COUNTA($B$4:$B1417))</f>
        <v/>
      </c>
      <c r="B1417" s="45" t="n"/>
      <c r="C1417" s="46" t="n"/>
      <c r="D1417" s="46" t="n"/>
      <c r="E1417" s="46" t="n"/>
      <c r="F1417" s="46" t="n"/>
      <c r="G1417" s="46" t="n"/>
      <c r="H1417" s="46" t="n"/>
      <c r="I1417" s="51" t="n"/>
      <c r="J1417" s="47" t="n"/>
      <c r="K1417" s="47" t="n"/>
      <c r="L1417" s="43">
        <f>IF($B1417="","",ROUND((N($J1417)+N($K1417))*نسبة_القيمة_المضافة,2))</f>
        <v/>
      </c>
      <c r="M1417" s="47" t="n"/>
      <c r="N1417" s="47" t="n"/>
      <c r="O1417" s="43">
        <f>IF($B1417="","",N($J1417)+N($K1417)+N($L1417)-N($M1417)+N($N1417))</f>
        <v/>
      </c>
      <c r="P1417" s="47" t="n"/>
      <c r="Q1417" s="43">
        <f>IF($B1417="","",N($O1417)-N($P1417))</f>
        <v/>
      </c>
      <c r="R1417" s="47" t="n"/>
      <c r="S1417" s="47" t="n"/>
      <c r="T1417" s="47" t="n"/>
      <c r="U1417" s="43">
        <f>IF($B1417="","",N($J1417)-N($R1417)-N($T1417))</f>
        <v/>
      </c>
      <c r="V1417" s="47" t="n"/>
    </row>
    <row r="1418">
      <c r="A1418" s="39">
        <f>IF($B1418="","",COUNTA($B$4:$B1418))</f>
        <v/>
      </c>
      <c r="B1418" s="40" t="n"/>
      <c r="C1418" s="41" t="n"/>
      <c r="D1418" s="41" t="n"/>
      <c r="E1418" s="41" t="n"/>
      <c r="F1418" s="41" t="n"/>
      <c r="G1418" s="41" t="n"/>
      <c r="H1418" s="41" t="n"/>
      <c r="I1418" s="50" t="n"/>
      <c r="J1418" s="42" t="n"/>
      <c r="K1418" s="42" t="n"/>
      <c r="L1418" s="43">
        <f>IF($B1418="","",ROUND((N($J1418)+N($K1418))*نسبة_القيمة_المضافة,2))</f>
        <v/>
      </c>
      <c r="M1418" s="42" t="n"/>
      <c r="N1418" s="42" t="n"/>
      <c r="O1418" s="43">
        <f>IF($B1418="","",N($J1418)+N($K1418)+N($L1418)-N($M1418)+N($N1418))</f>
        <v/>
      </c>
      <c r="P1418" s="42" t="n"/>
      <c r="Q1418" s="43">
        <f>IF($B1418="","",N($O1418)-N($P1418))</f>
        <v/>
      </c>
      <c r="R1418" s="42" t="n"/>
      <c r="S1418" s="42" t="n"/>
      <c r="T1418" s="42" t="n"/>
      <c r="U1418" s="43">
        <f>IF($B1418="","",N($J1418)-N($R1418)-N($T1418))</f>
        <v/>
      </c>
      <c r="V1418" s="42" t="n"/>
    </row>
    <row r="1419">
      <c r="A1419" s="39">
        <f>IF($B1419="","",COUNTA($B$4:$B1419))</f>
        <v/>
      </c>
      <c r="B1419" s="45" t="n"/>
      <c r="C1419" s="46" t="n"/>
      <c r="D1419" s="46" t="n"/>
      <c r="E1419" s="46" t="n"/>
      <c r="F1419" s="46" t="n"/>
      <c r="G1419" s="46" t="n"/>
      <c r="H1419" s="46" t="n"/>
      <c r="I1419" s="51" t="n"/>
      <c r="J1419" s="47" t="n"/>
      <c r="K1419" s="47" t="n"/>
      <c r="L1419" s="43">
        <f>IF($B1419="","",ROUND((N($J1419)+N($K1419))*نسبة_القيمة_المضافة,2))</f>
        <v/>
      </c>
      <c r="M1419" s="47" t="n"/>
      <c r="N1419" s="47" t="n"/>
      <c r="O1419" s="43">
        <f>IF($B1419="","",N($J1419)+N($K1419)+N($L1419)-N($M1419)+N($N1419))</f>
        <v/>
      </c>
      <c r="P1419" s="47" t="n"/>
      <c r="Q1419" s="43">
        <f>IF($B1419="","",N($O1419)-N($P1419))</f>
        <v/>
      </c>
      <c r="R1419" s="47" t="n"/>
      <c r="S1419" s="47" t="n"/>
      <c r="T1419" s="47" t="n"/>
      <c r="U1419" s="43">
        <f>IF($B1419="","",N($J1419)-N($R1419)-N($T1419))</f>
        <v/>
      </c>
      <c r="V1419" s="47" t="n"/>
    </row>
    <row r="1420">
      <c r="A1420" s="39">
        <f>IF($B1420="","",COUNTA($B$4:$B1420))</f>
        <v/>
      </c>
      <c r="B1420" s="40" t="n"/>
      <c r="C1420" s="41" t="n"/>
      <c r="D1420" s="41" t="n"/>
      <c r="E1420" s="41" t="n"/>
      <c r="F1420" s="41" t="n"/>
      <c r="G1420" s="41" t="n"/>
      <c r="H1420" s="41" t="n"/>
      <c r="I1420" s="50" t="n"/>
      <c r="J1420" s="42" t="n"/>
      <c r="K1420" s="42" t="n"/>
      <c r="L1420" s="43">
        <f>IF($B1420="","",ROUND((N($J1420)+N($K1420))*نسبة_القيمة_المضافة,2))</f>
        <v/>
      </c>
      <c r="M1420" s="42" t="n"/>
      <c r="N1420" s="42" t="n"/>
      <c r="O1420" s="43">
        <f>IF($B1420="","",N($J1420)+N($K1420)+N($L1420)-N($M1420)+N($N1420))</f>
        <v/>
      </c>
      <c r="P1420" s="42" t="n"/>
      <c r="Q1420" s="43">
        <f>IF($B1420="","",N($O1420)-N($P1420))</f>
        <v/>
      </c>
      <c r="R1420" s="42" t="n"/>
      <c r="S1420" s="42" t="n"/>
      <c r="T1420" s="42" t="n"/>
      <c r="U1420" s="43">
        <f>IF($B1420="","",N($J1420)-N($R1420)-N($T1420))</f>
        <v/>
      </c>
      <c r="V1420" s="42" t="n"/>
    </row>
    <row r="1421">
      <c r="A1421" s="39">
        <f>IF($B1421="","",COUNTA($B$4:$B1421))</f>
        <v/>
      </c>
      <c r="B1421" s="45" t="n"/>
      <c r="C1421" s="46" t="n"/>
      <c r="D1421" s="46" t="n"/>
      <c r="E1421" s="46" t="n"/>
      <c r="F1421" s="46" t="n"/>
      <c r="G1421" s="46" t="n"/>
      <c r="H1421" s="46" t="n"/>
      <c r="I1421" s="51" t="n"/>
      <c r="J1421" s="47" t="n"/>
      <c r="K1421" s="47" t="n"/>
      <c r="L1421" s="43">
        <f>IF($B1421="","",ROUND((N($J1421)+N($K1421))*نسبة_القيمة_المضافة,2))</f>
        <v/>
      </c>
      <c r="M1421" s="47" t="n"/>
      <c r="N1421" s="47" t="n"/>
      <c r="O1421" s="43">
        <f>IF($B1421="","",N($J1421)+N($K1421)+N($L1421)-N($M1421)+N($N1421))</f>
        <v/>
      </c>
      <c r="P1421" s="47" t="n"/>
      <c r="Q1421" s="43">
        <f>IF($B1421="","",N($O1421)-N($P1421))</f>
        <v/>
      </c>
      <c r="R1421" s="47" t="n"/>
      <c r="S1421" s="47" t="n"/>
      <c r="T1421" s="47" t="n"/>
      <c r="U1421" s="43">
        <f>IF($B1421="","",N($J1421)-N($R1421)-N($T1421))</f>
        <v/>
      </c>
      <c r="V1421" s="47" t="n"/>
    </row>
    <row r="1422">
      <c r="A1422" s="39">
        <f>IF($B1422="","",COUNTA($B$4:$B1422))</f>
        <v/>
      </c>
      <c r="B1422" s="40" t="n"/>
      <c r="C1422" s="41" t="n"/>
      <c r="D1422" s="41" t="n"/>
      <c r="E1422" s="41" t="n"/>
      <c r="F1422" s="41" t="n"/>
      <c r="G1422" s="41" t="n"/>
      <c r="H1422" s="41" t="n"/>
      <c r="I1422" s="50" t="n"/>
      <c r="J1422" s="42" t="n"/>
      <c r="K1422" s="42" t="n"/>
      <c r="L1422" s="43">
        <f>IF($B1422="","",ROUND((N($J1422)+N($K1422))*نسبة_القيمة_المضافة,2))</f>
        <v/>
      </c>
      <c r="M1422" s="42" t="n"/>
      <c r="N1422" s="42" t="n"/>
      <c r="O1422" s="43">
        <f>IF($B1422="","",N($J1422)+N($K1422)+N($L1422)-N($M1422)+N($N1422))</f>
        <v/>
      </c>
      <c r="P1422" s="42" t="n"/>
      <c r="Q1422" s="43">
        <f>IF($B1422="","",N($O1422)-N($P1422))</f>
        <v/>
      </c>
      <c r="R1422" s="42" t="n"/>
      <c r="S1422" s="42" t="n"/>
      <c r="T1422" s="42" t="n"/>
      <c r="U1422" s="43">
        <f>IF($B1422="","",N($J1422)-N($R1422)-N($T1422))</f>
        <v/>
      </c>
      <c r="V1422" s="42" t="n"/>
    </row>
    <row r="1423">
      <c r="A1423" s="39">
        <f>IF($B1423="","",COUNTA($B$4:$B1423))</f>
        <v/>
      </c>
      <c r="B1423" s="45" t="n"/>
      <c r="C1423" s="46" t="n"/>
      <c r="D1423" s="46" t="n"/>
      <c r="E1423" s="46" t="n"/>
      <c r="F1423" s="46" t="n"/>
      <c r="G1423" s="46" t="n"/>
      <c r="H1423" s="46" t="n"/>
      <c r="I1423" s="51" t="n"/>
      <c r="J1423" s="47" t="n"/>
      <c r="K1423" s="47" t="n"/>
      <c r="L1423" s="43">
        <f>IF($B1423="","",ROUND((N($J1423)+N($K1423))*نسبة_القيمة_المضافة,2))</f>
        <v/>
      </c>
      <c r="M1423" s="47" t="n"/>
      <c r="N1423" s="47" t="n"/>
      <c r="O1423" s="43">
        <f>IF($B1423="","",N($J1423)+N($K1423)+N($L1423)-N($M1423)+N($N1423))</f>
        <v/>
      </c>
      <c r="P1423" s="47" t="n"/>
      <c r="Q1423" s="43">
        <f>IF($B1423="","",N($O1423)-N($P1423))</f>
        <v/>
      </c>
      <c r="R1423" s="47" t="n"/>
      <c r="S1423" s="47" t="n"/>
      <c r="T1423" s="47" t="n"/>
      <c r="U1423" s="43">
        <f>IF($B1423="","",N($J1423)-N($R1423)-N($T1423))</f>
        <v/>
      </c>
      <c r="V1423" s="47" t="n"/>
    </row>
    <row r="1424">
      <c r="A1424" s="39">
        <f>IF($B1424="","",COUNTA($B$4:$B1424))</f>
        <v/>
      </c>
      <c r="B1424" s="40" t="n"/>
      <c r="C1424" s="41" t="n"/>
      <c r="D1424" s="41" t="n"/>
      <c r="E1424" s="41" t="n"/>
      <c r="F1424" s="41" t="n"/>
      <c r="G1424" s="41" t="n"/>
      <c r="H1424" s="41" t="n"/>
      <c r="I1424" s="50" t="n"/>
      <c r="J1424" s="42" t="n"/>
      <c r="K1424" s="42" t="n"/>
      <c r="L1424" s="43">
        <f>IF($B1424="","",ROUND((N($J1424)+N($K1424))*نسبة_القيمة_المضافة,2))</f>
        <v/>
      </c>
      <c r="M1424" s="42" t="n"/>
      <c r="N1424" s="42" t="n"/>
      <c r="O1424" s="43">
        <f>IF($B1424="","",N($J1424)+N($K1424)+N($L1424)-N($M1424)+N($N1424))</f>
        <v/>
      </c>
      <c r="P1424" s="42" t="n"/>
      <c r="Q1424" s="43">
        <f>IF($B1424="","",N($O1424)-N($P1424))</f>
        <v/>
      </c>
      <c r="R1424" s="42" t="n"/>
      <c r="S1424" s="42" t="n"/>
      <c r="T1424" s="42" t="n"/>
      <c r="U1424" s="43">
        <f>IF($B1424="","",N($J1424)-N($R1424)-N($T1424))</f>
        <v/>
      </c>
      <c r="V1424" s="42" t="n"/>
    </row>
    <row r="1425">
      <c r="A1425" s="39">
        <f>IF($B1425="","",COUNTA($B$4:$B1425))</f>
        <v/>
      </c>
      <c r="B1425" s="45" t="n"/>
      <c r="C1425" s="46" t="n"/>
      <c r="D1425" s="46" t="n"/>
      <c r="E1425" s="46" t="n"/>
      <c r="F1425" s="46" t="n"/>
      <c r="G1425" s="46" t="n"/>
      <c r="H1425" s="46" t="n"/>
      <c r="I1425" s="51" t="n"/>
      <c r="J1425" s="47" t="n"/>
      <c r="K1425" s="47" t="n"/>
      <c r="L1425" s="43">
        <f>IF($B1425="","",ROUND((N($J1425)+N($K1425))*نسبة_القيمة_المضافة,2))</f>
        <v/>
      </c>
      <c r="M1425" s="47" t="n"/>
      <c r="N1425" s="47" t="n"/>
      <c r="O1425" s="43">
        <f>IF($B1425="","",N($J1425)+N($K1425)+N($L1425)-N($M1425)+N($N1425))</f>
        <v/>
      </c>
      <c r="P1425" s="47" t="n"/>
      <c r="Q1425" s="43">
        <f>IF($B1425="","",N($O1425)-N($P1425))</f>
        <v/>
      </c>
      <c r="R1425" s="47" t="n"/>
      <c r="S1425" s="47" t="n"/>
      <c r="T1425" s="47" t="n"/>
      <c r="U1425" s="43">
        <f>IF($B1425="","",N($J1425)-N($R1425)-N($T1425))</f>
        <v/>
      </c>
      <c r="V1425" s="47" t="n"/>
    </row>
    <row r="1426">
      <c r="A1426" s="39">
        <f>IF($B1426="","",COUNTA($B$4:$B1426))</f>
        <v/>
      </c>
      <c r="B1426" s="40" t="n"/>
      <c r="C1426" s="41" t="n"/>
      <c r="D1426" s="41" t="n"/>
      <c r="E1426" s="41" t="n"/>
      <c r="F1426" s="41" t="n"/>
      <c r="G1426" s="41" t="n"/>
      <c r="H1426" s="41" t="n"/>
      <c r="I1426" s="50" t="n"/>
      <c r="J1426" s="42" t="n"/>
      <c r="K1426" s="42" t="n"/>
      <c r="L1426" s="43">
        <f>IF($B1426="","",ROUND((N($J1426)+N($K1426))*نسبة_القيمة_المضافة,2))</f>
        <v/>
      </c>
      <c r="M1426" s="42" t="n"/>
      <c r="N1426" s="42" t="n"/>
      <c r="O1426" s="43">
        <f>IF($B1426="","",N($J1426)+N($K1426)+N($L1426)-N($M1426)+N($N1426))</f>
        <v/>
      </c>
      <c r="P1426" s="42" t="n"/>
      <c r="Q1426" s="43">
        <f>IF($B1426="","",N($O1426)-N($P1426))</f>
        <v/>
      </c>
      <c r="R1426" s="42" t="n"/>
      <c r="S1426" s="42" t="n"/>
      <c r="T1426" s="42" t="n"/>
      <c r="U1426" s="43">
        <f>IF($B1426="","",N($J1426)-N($R1426)-N($T1426))</f>
        <v/>
      </c>
      <c r="V1426" s="42" t="n"/>
    </row>
    <row r="1427">
      <c r="A1427" s="39">
        <f>IF($B1427="","",COUNTA($B$4:$B1427))</f>
        <v/>
      </c>
      <c r="B1427" s="45" t="n"/>
      <c r="C1427" s="46" t="n"/>
      <c r="D1427" s="46" t="n"/>
      <c r="E1427" s="46" t="n"/>
      <c r="F1427" s="46" t="n"/>
      <c r="G1427" s="46" t="n"/>
      <c r="H1427" s="46" t="n"/>
      <c r="I1427" s="51" t="n"/>
      <c r="J1427" s="47" t="n"/>
      <c r="K1427" s="47" t="n"/>
      <c r="L1427" s="43">
        <f>IF($B1427="","",ROUND((N($J1427)+N($K1427))*نسبة_القيمة_المضافة,2))</f>
        <v/>
      </c>
      <c r="M1427" s="47" t="n"/>
      <c r="N1427" s="47" t="n"/>
      <c r="O1427" s="43">
        <f>IF($B1427="","",N($J1427)+N($K1427)+N($L1427)-N($M1427)+N($N1427))</f>
        <v/>
      </c>
      <c r="P1427" s="47" t="n"/>
      <c r="Q1427" s="43">
        <f>IF($B1427="","",N($O1427)-N($P1427))</f>
        <v/>
      </c>
      <c r="R1427" s="47" t="n"/>
      <c r="S1427" s="47" t="n"/>
      <c r="T1427" s="47" t="n"/>
      <c r="U1427" s="43">
        <f>IF($B1427="","",N($J1427)-N($R1427)-N($T1427))</f>
        <v/>
      </c>
      <c r="V1427" s="47" t="n"/>
    </row>
    <row r="1428">
      <c r="A1428" s="39">
        <f>IF($B1428="","",COUNTA($B$4:$B1428))</f>
        <v/>
      </c>
      <c r="B1428" s="40" t="n"/>
      <c r="C1428" s="41" t="n"/>
      <c r="D1428" s="41" t="n"/>
      <c r="E1428" s="41" t="n"/>
      <c r="F1428" s="41" t="n"/>
      <c r="G1428" s="41" t="n"/>
      <c r="H1428" s="41" t="n"/>
      <c r="I1428" s="50" t="n"/>
      <c r="J1428" s="42" t="n"/>
      <c r="K1428" s="42" t="n"/>
      <c r="L1428" s="43">
        <f>IF($B1428="","",ROUND((N($J1428)+N($K1428))*نسبة_القيمة_المضافة,2))</f>
        <v/>
      </c>
      <c r="M1428" s="42" t="n"/>
      <c r="N1428" s="42" t="n"/>
      <c r="O1428" s="43">
        <f>IF($B1428="","",N($J1428)+N($K1428)+N($L1428)-N($M1428)+N($N1428))</f>
        <v/>
      </c>
      <c r="P1428" s="42" t="n"/>
      <c r="Q1428" s="43">
        <f>IF($B1428="","",N($O1428)-N($P1428))</f>
        <v/>
      </c>
      <c r="R1428" s="42" t="n"/>
      <c r="S1428" s="42" t="n"/>
      <c r="T1428" s="42" t="n"/>
      <c r="U1428" s="43">
        <f>IF($B1428="","",N($J1428)-N($R1428)-N($T1428))</f>
        <v/>
      </c>
      <c r="V1428" s="42" t="n"/>
    </row>
    <row r="1429">
      <c r="A1429" s="39">
        <f>IF($B1429="","",COUNTA($B$4:$B1429))</f>
        <v/>
      </c>
      <c r="B1429" s="45" t="n"/>
      <c r="C1429" s="46" t="n"/>
      <c r="D1429" s="46" t="n"/>
      <c r="E1429" s="46" t="n"/>
      <c r="F1429" s="46" t="n"/>
      <c r="G1429" s="46" t="n"/>
      <c r="H1429" s="46" t="n"/>
      <c r="I1429" s="51" t="n"/>
      <c r="J1429" s="47" t="n"/>
      <c r="K1429" s="47" t="n"/>
      <c r="L1429" s="43">
        <f>IF($B1429="","",ROUND((N($J1429)+N($K1429))*نسبة_القيمة_المضافة,2))</f>
        <v/>
      </c>
      <c r="M1429" s="47" t="n"/>
      <c r="N1429" s="47" t="n"/>
      <c r="O1429" s="43">
        <f>IF($B1429="","",N($J1429)+N($K1429)+N($L1429)-N($M1429)+N($N1429))</f>
        <v/>
      </c>
      <c r="P1429" s="47" t="n"/>
      <c r="Q1429" s="43">
        <f>IF($B1429="","",N($O1429)-N($P1429))</f>
        <v/>
      </c>
      <c r="R1429" s="47" t="n"/>
      <c r="S1429" s="47" t="n"/>
      <c r="T1429" s="47" t="n"/>
      <c r="U1429" s="43">
        <f>IF($B1429="","",N($J1429)-N($R1429)-N($T1429))</f>
        <v/>
      </c>
      <c r="V1429" s="47" t="n"/>
    </row>
    <row r="1430">
      <c r="A1430" s="39">
        <f>IF($B1430="","",COUNTA($B$4:$B1430))</f>
        <v/>
      </c>
      <c r="B1430" s="40" t="n"/>
      <c r="C1430" s="41" t="n"/>
      <c r="D1430" s="41" t="n"/>
      <c r="E1430" s="41" t="n"/>
      <c r="F1430" s="41" t="n"/>
      <c r="G1430" s="41" t="n"/>
      <c r="H1430" s="41" t="n"/>
      <c r="I1430" s="50" t="n"/>
      <c r="J1430" s="42" t="n"/>
      <c r="K1430" s="42" t="n"/>
      <c r="L1430" s="43">
        <f>IF($B1430="","",ROUND((N($J1430)+N($K1430))*نسبة_القيمة_المضافة,2))</f>
        <v/>
      </c>
      <c r="M1430" s="42" t="n"/>
      <c r="N1430" s="42" t="n"/>
      <c r="O1430" s="43">
        <f>IF($B1430="","",N($J1430)+N($K1430)+N($L1430)-N($M1430)+N($N1430))</f>
        <v/>
      </c>
      <c r="P1430" s="42" t="n"/>
      <c r="Q1430" s="43">
        <f>IF($B1430="","",N($O1430)-N($P1430))</f>
        <v/>
      </c>
      <c r="R1430" s="42" t="n"/>
      <c r="S1430" s="42" t="n"/>
      <c r="T1430" s="42" t="n"/>
      <c r="U1430" s="43">
        <f>IF($B1430="","",N($J1430)-N($R1430)-N($T1430))</f>
        <v/>
      </c>
      <c r="V1430" s="42" t="n"/>
    </row>
    <row r="1431">
      <c r="A1431" s="39">
        <f>IF($B1431="","",COUNTA($B$4:$B1431))</f>
        <v/>
      </c>
      <c r="B1431" s="45" t="n"/>
      <c r="C1431" s="46" t="n"/>
      <c r="D1431" s="46" t="n"/>
      <c r="E1431" s="46" t="n"/>
      <c r="F1431" s="46" t="n"/>
      <c r="G1431" s="46" t="n"/>
      <c r="H1431" s="46" t="n"/>
      <c r="I1431" s="51" t="n"/>
      <c r="J1431" s="47" t="n"/>
      <c r="K1431" s="47" t="n"/>
      <c r="L1431" s="43">
        <f>IF($B1431="","",ROUND((N($J1431)+N($K1431))*نسبة_القيمة_المضافة,2))</f>
        <v/>
      </c>
      <c r="M1431" s="47" t="n"/>
      <c r="N1431" s="47" t="n"/>
      <c r="O1431" s="43">
        <f>IF($B1431="","",N($J1431)+N($K1431)+N($L1431)-N($M1431)+N($N1431))</f>
        <v/>
      </c>
      <c r="P1431" s="47" t="n"/>
      <c r="Q1431" s="43">
        <f>IF($B1431="","",N($O1431)-N($P1431))</f>
        <v/>
      </c>
      <c r="R1431" s="47" t="n"/>
      <c r="S1431" s="47" t="n"/>
      <c r="T1431" s="47" t="n"/>
      <c r="U1431" s="43">
        <f>IF($B1431="","",N($J1431)-N($R1431)-N($T1431))</f>
        <v/>
      </c>
      <c r="V1431" s="47" t="n"/>
    </row>
    <row r="1432">
      <c r="A1432" s="39">
        <f>IF($B1432="","",COUNTA($B$4:$B1432))</f>
        <v/>
      </c>
      <c r="B1432" s="40" t="n"/>
      <c r="C1432" s="41" t="n"/>
      <c r="D1432" s="41" t="n"/>
      <c r="E1432" s="41" t="n"/>
      <c r="F1432" s="41" t="n"/>
      <c r="G1432" s="41" t="n"/>
      <c r="H1432" s="41" t="n"/>
      <c r="I1432" s="50" t="n"/>
      <c r="J1432" s="42" t="n"/>
      <c r="K1432" s="42" t="n"/>
      <c r="L1432" s="43">
        <f>IF($B1432="","",ROUND((N($J1432)+N($K1432))*نسبة_القيمة_المضافة,2))</f>
        <v/>
      </c>
      <c r="M1432" s="42" t="n"/>
      <c r="N1432" s="42" t="n"/>
      <c r="O1432" s="43">
        <f>IF($B1432="","",N($J1432)+N($K1432)+N($L1432)-N($M1432)+N($N1432))</f>
        <v/>
      </c>
      <c r="P1432" s="42" t="n"/>
      <c r="Q1432" s="43">
        <f>IF($B1432="","",N($O1432)-N($P1432))</f>
        <v/>
      </c>
      <c r="R1432" s="42" t="n"/>
      <c r="S1432" s="42" t="n"/>
      <c r="T1432" s="42" t="n"/>
      <c r="U1432" s="43">
        <f>IF($B1432="","",N($J1432)-N($R1432)-N($T1432))</f>
        <v/>
      </c>
      <c r="V1432" s="42" t="n"/>
    </row>
    <row r="1433">
      <c r="A1433" s="39">
        <f>IF($B1433="","",COUNTA($B$4:$B1433))</f>
        <v/>
      </c>
      <c r="B1433" s="45" t="n"/>
      <c r="C1433" s="46" t="n"/>
      <c r="D1433" s="46" t="n"/>
      <c r="E1433" s="46" t="n"/>
      <c r="F1433" s="46" t="n"/>
      <c r="G1433" s="46" t="n"/>
      <c r="H1433" s="46" t="n"/>
      <c r="I1433" s="51" t="n"/>
      <c r="J1433" s="47" t="n"/>
      <c r="K1433" s="47" t="n"/>
      <c r="L1433" s="43">
        <f>IF($B1433="","",ROUND((N($J1433)+N($K1433))*نسبة_القيمة_المضافة,2))</f>
        <v/>
      </c>
      <c r="M1433" s="47" t="n"/>
      <c r="N1433" s="47" t="n"/>
      <c r="O1433" s="43">
        <f>IF($B1433="","",N($J1433)+N($K1433)+N($L1433)-N($M1433)+N($N1433))</f>
        <v/>
      </c>
      <c r="P1433" s="47" t="n"/>
      <c r="Q1433" s="43">
        <f>IF($B1433="","",N($O1433)-N($P1433))</f>
        <v/>
      </c>
      <c r="R1433" s="47" t="n"/>
      <c r="S1433" s="47" t="n"/>
      <c r="T1433" s="47" t="n"/>
      <c r="U1433" s="43">
        <f>IF($B1433="","",N($J1433)-N($R1433)-N($T1433))</f>
        <v/>
      </c>
      <c r="V1433" s="47" t="n"/>
    </row>
    <row r="1434">
      <c r="A1434" s="39">
        <f>IF($B1434="","",COUNTA($B$4:$B1434))</f>
        <v/>
      </c>
      <c r="B1434" s="40" t="n"/>
      <c r="C1434" s="41" t="n"/>
      <c r="D1434" s="41" t="n"/>
      <c r="E1434" s="41" t="n"/>
      <c r="F1434" s="41" t="n"/>
      <c r="G1434" s="41" t="n"/>
      <c r="H1434" s="41" t="n"/>
      <c r="I1434" s="50" t="n"/>
      <c r="J1434" s="42" t="n"/>
      <c r="K1434" s="42" t="n"/>
      <c r="L1434" s="43">
        <f>IF($B1434="","",ROUND((N($J1434)+N($K1434))*نسبة_القيمة_المضافة,2))</f>
        <v/>
      </c>
      <c r="M1434" s="42" t="n"/>
      <c r="N1434" s="42" t="n"/>
      <c r="O1434" s="43">
        <f>IF($B1434="","",N($J1434)+N($K1434)+N($L1434)-N($M1434)+N($N1434))</f>
        <v/>
      </c>
      <c r="P1434" s="42" t="n"/>
      <c r="Q1434" s="43">
        <f>IF($B1434="","",N($O1434)-N($P1434))</f>
        <v/>
      </c>
      <c r="R1434" s="42" t="n"/>
      <c r="S1434" s="42" t="n"/>
      <c r="T1434" s="42" t="n"/>
      <c r="U1434" s="43">
        <f>IF($B1434="","",N($J1434)-N($R1434)-N($T1434))</f>
        <v/>
      </c>
      <c r="V1434" s="42" t="n"/>
    </row>
    <row r="1435">
      <c r="A1435" s="39">
        <f>IF($B1435="","",COUNTA($B$4:$B1435))</f>
        <v/>
      </c>
      <c r="B1435" s="45" t="n"/>
      <c r="C1435" s="46" t="n"/>
      <c r="D1435" s="46" t="n"/>
      <c r="E1435" s="46" t="n"/>
      <c r="F1435" s="46" t="n"/>
      <c r="G1435" s="46" t="n"/>
      <c r="H1435" s="46" t="n"/>
      <c r="I1435" s="51" t="n"/>
      <c r="J1435" s="47" t="n"/>
      <c r="K1435" s="47" t="n"/>
      <c r="L1435" s="43">
        <f>IF($B1435="","",ROUND((N($J1435)+N($K1435))*نسبة_القيمة_المضافة,2))</f>
        <v/>
      </c>
      <c r="M1435" s="47" t="n"/>
      <c r="N1435" s="47" t="n"/>
      <c r="O1435" s="43">
        <f>IF($B1435="","",N($J1435)+N($K1435)+N($L1435)-N($M1435)+N($N1435))</f>
        <v/>
      </c>
      <c r="P1435" s="47" t="n"/>
      <c r="Q1435" s="43">
        <f>IF($B1435="","",N($O1435)-N($P1435))</f>
        <v/>
      </c>
      <c r="R1435" s="47" t="n"/>
      <c r="S1435" s="47" t="n"/>
      <c r="T1435" s="47" t="n"/>
      <c r="U1435" s="43">
        <f>IF($B1435="","",N($J1435)-N($R1435)-N($T1435))</f>
        <v/>
      </c>
      <c r="V1435" s="47" t="n"/>
    </row>
    <row r="1436">
      <c r="A1436" s="39">
        <f>IF($B1436="","",COUNTA($B$4:$B1436))</f>
        <v/>
      </c>
      <c r="B1436" s="40" t="n"/>
      <c r="C1436" s="41" t="n"/>
      <c r="D1436" s="41" t="n"/>
      <c r="E1436" s="41" t="n"/>
      <c r="F1436" s="41" t="n"/>
      <c r="G1436" s="41" t="n"/>
      <c r="H1436" s="41" t="n"/>
      <c r="I1436" s="50" t="n"/>
      <c r="J1436" s="42" t="n"/>
      <c r="K1436" s="42" t="n"/>
      <c r="L1436" s="43">
        <f>IF($B1436="","",ROUND((N($J1436)+N($K1436))*نسبة_القيمة_المضافة,2))</f>
        <v/>
      </c>
      <c r="M1436" s="42" t="n"/>
      <c r="N1436" s="42" t="n"/>
      <c r="O1436" s="43">
        <f>IF($B1436="","",N($J1436)+N($K1436)+N($L1436)-N($M1436)+N($N1436))</f>
        <v/>
      </c>
      <c r="P1436" s="42" t="n"/>
      <c r="Q1436" s="43">
        <f>IF($B1436="","",N($O1436)-N($P1436))</f>
        <v/>
      </c>
      <c r="R1436" s="42" t="n"/>
      <c r="S1436" s="42" t="n"/>
      <c r="T1436" s="42" t="n"/>
      <c r="U1436" s="43">
        <f>IF($B1436="","",N($J1436)-N($R1436)-N($T1436))</f>
        <v/>
      </c>
      <c r="V1436" s="42" t="n"/>
    </row>
    <row r="1437">
      <c r="A1437" s="39">
        <f>IF($B1437="","",COUNTA($B$4:$B1437))</f>
        <v/>
      </c>
      <c r="B1437" s="45" t="n"/>
      <c r="C1437" s="46" t="n"/>
      <c r="D1437" s="46" t="n"/>
      <c r="E1437" s="46" t="n"/>
      <c r="F1437" s="46" t="n"/>
      <c r="G1437" s="46" t="n"/>
      <c r="H1437" s="46" t="n"/>
      <c r="I1437" s="51" t="n"/>
      <c r="J1437" s="47" t="n"/>
      <c r="K1437" s="47" t="n"/>
      <c r="L1437" s="43">
        <f>IF($B1437="","",ROUND((N($J1437)+N($K1437))*نسبة_القيمة_المضافة,2))</f>
        <v/>
      </c>
      <c r="M1437" s="47" t="n"/>
      <c r="N1437" s="47" t="n"/>
      <c r="O1437" s="43">
        <f>IF($B1437="","",N($J1437)+N($K1437)+N($L1437)-N($M1437)+N($N1437))</f>
        <v/>
      </c>
      <c r="P1437" s="47" t="n"/>
      <c r="Q1437" s="43">
        <f>IF($B1437="","",N($O1437)-N($P1437))</f>
        <v/>
      </c>
      <c r="R1437" s="47" t="n"/>
      <c r="S1437" s="47" t="n"/>
      <c r="T1437" s="47" t="n"/>
      <c r="U1437" s="43">
        <f>IF($B1437="","",N($J1437)-N($R1437)-N($T1437))</f>
        <v/>
      </c>
      <c r="V1437" s="47" t="n"/>
    </row>
    <row r="1438">
      <c r="A1438" s="39">
        <f>IF($B1438="","",COUNTA($B$4:$B1438))</f>
        <v/>
      </c>
      <c r="B1438" s="40" t="n"/>
      <c r="C1438" s="41" t="n"/>
      <c r="D1438" s="41" t="n"/>
      <c r="E1438" s="41" t="n"/>
      <c r="F1438" s="41" t="n"/>
      <c r="G1438" s="41" t="n"/>
      <c r="H1438" s="41" t="n"/>
      <c r="I1438" s="50" t="n"/>
      <c r="J1438" s="42" t="n"/>
      <c r="K1438" s="42" t="n"/>
      <c r="L1438" s="43">
        <f>IF($B1438="","",ROUND((N($J1438)+N($K1438))*نسبة_القيمة_المضافة,2))</f>
        <v/>
      </c>
      <c r="M1438" s="42" t="n"/>
      <c r="N1438" s="42" t="n"/>
      <c r="O1438" s="43">
        <f>IF($B1438="","",N($J1438)+N($K1438)+N($L1438)-N($M1438)+N($N1438))</f>
        <v/>
      </c>
      <c r="P1438" s="42" t="n"/>
      <c r="Q1438" s="43">
        <f>IF($B1438="","",N($O1438)-N($P1438))</f>
        <v/>
      </c>
      <c r="R1438" s="42" t="n"/>
      <c r="S1438" s="42" t="n"/>
      <c r="T1438" s="42" t="n"/>
      <c r="U1438" s="43">
        <f>IF($B1438="","",N($J1438)-N($R1438)-N($T1438))</f>
        <v/>
      </c>
      <c r="V1438" s="42" t="n"/>
    </row>
    <row r="1439">
      <c r="A1439" s="39">
        <f>IF($B1439="","",COUNTA($B$4:$B1439))</f>
        <v/>
      </c>
      <c r="B1439" s="45" t="n"/>
      <c r="C1439" s="46" t="n"/>
      <c r="D1439" s="46" t="n"/>
      <c r="E1439" s="46" t="n"/>
      <c r="F1439" s="46" t="n"/>
      <c r="G1439" s="46" t="n"/>
      <c r="H1439" s="46" t="n"/>
      <c r="I1439" s="51" t="n"/>
      <c r="J1439" s="47" t="n"/>
      <c r="K1439" s="47" t="n"/>
      <c r="L1439" s="43">
        <f>IF($B1439="","",ROUND((N($J1439)+N($K1439))*نسبة_القيمة_المضافة,2))</f>
        <v/>
      </c>
      <c r="M1439" s="47" t="n"/>
      <c r="N1439" s="47" t="n"/>
      <c r="O1439" s="43">
        <f>IF($B1439="","",N($J1439)+N($K1439)+N($L1439)-N($M1439)+N($N1439))</f>
        <v/>
      </c>
      <c r="P1439" s="47" t="n"/>
      <c r="Q1439" s="43">
        <f>IF($B1439="","",N($O1439)-N($P1439))</f>
        <v/>
      </c>
      <c r="R1439" s="47" t="n"/>
      <c r="S1439" s="47" t="n"/>
      <c r="T1439" s="47" t="n"/>
      <c r="U1439" s="43">
        <f>IF($B1439="","",N($J1439)-N($R1439)-N($T1439))</f>
        <v/>
      </c>
      <c r="V1439" s="47" t="n"/>
    </row>
    <row r="1440">
      <c r="A1440" s="39">
        <f>IF($B1440="","",COUNTA($B$4:$B1440))</f>
        <v/>
      </c>
      <c r="B1440" s="40" t="n"/>
      <c r="C1440" s="41" t="n"/>
      <c r="D1440" s="41" t="n"/>
      <c r="E1440" s="41" t="n"/>
      <c r="F1440" s="41" t="n"/>
      <c r="G1440" s="41" t="n"/>
      <c r="H1440" s="41" t="n"/>
      <c r="I1440" s="50" t="n"/>
      <c r="J1440" s="42" t="n"/>
      <c r="K1440" s="42" t="n"/>
      <c r="L1440" s="43">
        <f>IF($B1440="","",ROUND((N($J1440)+N($K1440))*نسبة_القيمة_المضافة,2))</f>
        <v/>
      </c>
      <c r="M1440" s="42" t="n"/>
      <c r="N1440" s="42" t="n"/>
      <c r="O1440" s="43">
        <f>IF($B1440="","",N($J1440)+N($K1440)+N($L1440)-N($M1440)+N($N1440))</f>
        <v/>
      </c>
      <c r="P1440" s="42" t="n"/>
      <c r="Q1440" s="43">
        <f>IF($B1440="","",N($O1440)-N($P1440))</f>
        <v/>
      </c>
      <c r="R1440" s="42" t="n"/>
      <c r="S1440" s="42" t="n"/>
      <c r="T1440" s="42" t="n"/>
      <c r="U1440" s="43">
        <f>IF($B1440="","",N($J1440)-N($R1440)-N($T1440))</f>
        <v/>
      </c>
      <c r="V1440" s="42" t="n"/>
    </row>
    <row r="1441">
      <c r="A1441" s="39">
        <f>IF($B1441="","",COUNTA($B$4:$B1441))</f>
        <v/>
      </c>
      <c r="B1441" s="45" t="n"/>
      <c r="C1441" s="46" t="n"/>
      <c r="D1441" s="46" t="n"/>
      <c r="E1441" s="46" t="n"/>
      <c r="F1441" s="46" t="n"/>
      <c r="G1441" s="46" t="n"/>
      <c r="H1441" s="46" t="n"/>
      <c r="I1441" s="51" t="n"/>
      <c r="J1441" s="47" t="n"/>
      <c r="K1441" s="47" t="n"/>
      <c r="L1441" s="43">
        <f>IF($B1441="","",ROUND((N($J1441)+N($K1441))*نسبة_القيمة_المضافة,2))</f>
        <v/>
      </c>
      <c r="M1441" s="47" t="n"/>
      <c r="N1441" s="47" t="n"/>
      <c r="O1441" s="43">
        <f>IF($B1441="","",N($J1441)+N($K1441)+N($L1441)-N($M1441)+N($N1441))</f>
        <v/>
      </c>
      <c r="P1441" s="47" t="n"/>
      <c r="Q1441" s="43">
        <f>IF($B1441="","",N($O1441)-N($P1441))</f>
        <v/>
      </c>
      <c r="R1441" s="47" t="n"/>
      <c r="S1441" s="47" t="n"/>
      <c r="T1441" s="47" t="n"/>
      <c r="U1441" s="43">
        <f>IF($B1441="","",N($J1441)-N($R1441)-N($T1441))</f>
        <v/>
      </c>
      <c r="V1441" s="47" t="n"/>
    </row>
    <row r="1442">
      <c r="A1442" s="39">
        <f>IF($B1442="","",COUNTA($B$4:$B1442))</f>
        <v/>
      </c>
      <c r="B1442" s="40" t="n"/>
      <c r="C1442" s="41" t="n"/>
      <c r="D1442" s="41" t="n"/>
      <c r="E1442" s="41" t="n"/>
      <c r="F1442" s="41" t="n"/>
      <c r="G1442" s="41" t="n"/>
      <c r="H1442" s="41" t="n"/>
      <c r="I1442" s="50" t="n"/>
      <c r="J1442" s="42" t="n"/>
      <c r="K1442" s="42" t="n"/>
      <c r="L1442" s="43">
        <f>IF($B1442="","",ROUND((N($J1442)+N($K1442))*نسبة_القيمة_المضافة,2))</f>
        <v/>
      </c>
      <c r="M1442" s="42" t="n"/>
      <c r="N1442" s="42" t="n"/>
      <c r="O1442" s="43">
        <f>IF($B1442="","",N($J1442)+N($K1442)+N($L1442)-N($M1442)+N($N1442))</f>
        <v/>
      </c>
      <c r="P1442" s="42" t="n"/>
      <c r="Q1442" s="43">
        <f>IF($B1442="","",N($O1442)-N($P1442))</f>
        <v/>
      </c>
      <c r="R1442" s="42" t="n"/>
      <c r="S1442" s="42" t="n"/>
      <c r="T1442" s="42" t="n"/>
      <c r="U1442" s="43">
        <f>IF($B1442="","",N($J1442)-N($R1442)-N($T1442))</f>
        <v/>
      </c>
      <c r="V1442" s="42" t="n"/>
    </row>
    <row r="1443">
      <c r="A1443" s="39">
        <f>IF($B1443="","",COUNTA($B$4:$B1443))</f>
        <v/>
      </c>
      <c r="B1443" s="45" t="n"/>
      <c r="C1443" s="46" t="n"/>
      <c r="D1443" s="46" t="n"/>
      <c r="E1443" s="46" t="n"/>
      <c r="F1443" s="46" t="n"/>
      <c r="G1443" s="46" t="n"/>
      <c r="H1443" s="46" t="n"/>
      <c r="I1443" s="51" t="n"/>
      <c r="J1443" s="47" t="n"/>
      <c r="K1443" s="47" t="n"/>
      <c r="L1443" s="43">
        <f>IF($B1443="","",ROUND((N($J1443)+N($K1443))*نسبة_القيمة_المضافة,2))</f>
        <v/>
      </c>
      <c r="M1443" s="47" t="n"/>
      <c r="N1443" s="47" t="n"/>
      <c r="O1443" s="43">
        <f>IF($B1443="","",N($J1443)+N($K1443)+N($L1443)-N($M1443)+N($N1443))</f>
        <v/>
      </c>
      <c r="P1443" s="47" t="n"/>
      <c r="Q1443" s="43">
        <f>IF($B1443="","",N($O1443)-N($P1443))</f>
        <v/>
      </c>
      <c r="R1443" s="47" t="n"/>
      <c r="S1443" s="47" t="n"/>
      <c r="T1443" s="47" t="n"/>
      <c r="U1443" s="43">
        <f>IF($B1443="","",N($J1443)-N($R1443)-N($T1443))</f>
        <v/>
      </c>
      <c r="V1443" s="47" t="n"/>
    </row>
    <row r="1444">
      <c r="A1444" s="39">
        <f>IF($B1444="","",COUNTA($B$4:$B1444))</f>
        <v/>
      </c>
      <c r="B1444" s="40" t="n"/>
      <c r="C1444" s="41" t="n"/>
      <c r="D1444" s="41" t="n"/>
      <c r="E1444" s="41" t="n"/>
      <c r="F1444" s="41" t="n"/>
      <c r="G1444" s="41" t="n"/>
      <c r="H1444" s="41" t="n"/>
      <c r="I1444" s="50" t="n"/>
      <c r="J1444" s="42" t="n"/>
      <c r="K1444" s="42" t="n"/>
      <c r="L1444" s="43">
        <f>IF($B1444="","",ROUND((N($J1444)+N($K1444))*نسبة_القيمة_المضافة,2))</f>
        <v/>
      </c>
      <c r="M1444" s="42" t="n"/>
      <c r="N1444" s="42" t="n"/>
      <c r="O1444" s="43">
        <f>IF($B1444="","",N($J1444)+N($K1444)+N($L1444)-N($M1444)+N($N1444))</f>
        <v/>
      </c>
      <c r="P1444" s="42" t="n"/>
      <c r="Q1444" s="43">
        <f>IF($B1444="","",N($O1444)-N($P1444))</f>
        <v/>
      </c>
      <c r="R1444" s="42" t="n"/>
      <c r="S1444" s="42" t="n"/>
      <c r="T1444" s="42" t="n"/>
      <c r="U1444" s="43">
        <f>IF($B1444="","",N($J1444)-N($R1444)-N($T1444))</f>
        <v/>
      </c>
      <c r="V1444" s="42" t="n"/>
    </row>
    <row r="1445">
      <c r="A1445" s="39">
        <f>IF($B1445="","",COUNTA($B$4:$B1445))</f>
        <v/>
      </c>
      <c r="B1445" s="45" t="n"/>
      <c r="C1445" s="46" t="n"/>
      <c r="D1445" s="46" t="n"/>
      <c r="E1445" s="46" t="n"/>
      <c r="F1445" s="46" t="n"/>
      <c r="G1445" s="46" t="n"/>
      <c r="H1445" s="46" t="n"/>
      <c r="I1445" s="51" t="n"/>
      <c r="J1445" s="47" t="n"/>
      <c r="K1445" s="47" t="n"/>
      <c r="L1445" s="43">
        <f>IF($B1445="","",ROUND((N($J1445)+N($K1445))*نسبة_القيمة_المضافة,2))</f>
        <v/>
      </c>
      <c r="M1445" s="47" t="n"/>
      <c r="N1445" s="47" t="n"/>
      <c r="O1445" s="43">
        <f>IF($B1445="","",N($J1445)+N($K1445)+N($L1445)-N($M1445)+N($N1445))</f>
        <v/>
      </c>
      <c r="P1445" s="47" t="n"/>
      <c r="Q1445" s="43">
        <f>IF($B1445="","",N($O1445)-N($P1445))</f>
        <v/>
      </c>
      <c r="R1445" s="47" t="n"/>
      <c r="S1445" s="47" t="n"/>
      <c r="T1445" s="47" t="n"/>
      <c r="U1445" s="43">
        <f>IF($B1445="","",N($J1445)-N($R1445)-N($T1445))</f>
        <v/>
      </c>
      <c r="V1445" s="47" t="n"/>
    </row>
    <row r="1446">
      <c r="A1446" s="39">
        <f>IF($B1446="","",COUNTA($B$4:$B1446))</f>
        <v/>
      </c>
      <c r="B1446" s="40" t="n"/>
      <c r="C1446" s="41" t="n"/>
      <c r="D1446" s="41" t="n"/>
      <c r="E1446" s="41" t="n"/>
      <c r="F1446" s="41" t="n"/>
      <c r="G1446" s="41" t="n"/>
      <c r="H1446" s="41" t="n"/>
      <c r="I1446" s="50" t="n"/>
      <c r="J1446" s="42" t="n"/>
      <c r="K1446" s="42" t="n"/>
      <c r="L1446" s="43">
        <f>IF($B1446="","",ROUND((N($J1446)+N($K1446))*نسبة_القيمة_المضافة,2))</f>
        <v/>
      </c>
      <c r="M1446" s="42" t="n"/>
      <c r="N1446" s="42" t="n"/>
      <c r="O1446" s="43">
        <f>IF($B1446="","",N($J1446)+N($K1446)+N($L1446)-N($M1446)+N($N1446))</f>
        <v/>
      </c>
      <c r="P1446" s="42" t="n"/>
      <c r="Q1446" s="43">
        <f>IF($B1446="","",N($O1446)-N($P1446))</f>
        <v/>
      </c>
      <c r="R1446" s="42" t="n"/>
      <c r="S1446" s="42" t="n"/>
      <c r="T1446" s="42" t="n"/>
      <c r="U1446" s="43">
        <f>IF($B1446="","",N($J1446)-N($R1446)-N($T1446))</f>
        <v/>
      </c>
      <c r="V1446" s="42" t="n"/>
    </row>
    <row r="1447">
      <c r="A1447" s="39">
        <f>IF($B1447="","",COUNTA($B$4:$B1447))</f>
        <v/>
      </c>
      <c r="B1447" s="45" t="n"/>
      <c r="C1447" s="46" t="n"/>
      <c r="D1447" s="46" t="n"/>
      <c r="E1447" s="46" t="n"/>
      <c r="F1447" s="46" t="n"/>
      <c r="G1447" s="46" t="n"/>
      <c r="H1447" s="46" t="n"/>
      <c r="I1447" s="51" t="n"/>
      <c r="J1447" s="47" t="n"/>
      <c r="K1447" s="47" t="n"/>
      <c r="L1447" s="43">
        <f>IF($B1447="","",ROUND((N($J1447)+N($K1447))*نسبة_القيمة_المضافة,2))</f>
        <v/>
      </c>
      <c r="M1447" s="47" t="n"/>
      <c r="N1447" s="47" t="n"/>
      <c r="O1447" s="43">
        <f>IF($B1447="","",N($J1447)+N($K1447)+N($L1447)-N($M1447)+N($N1447))</f>
        <v/>
      </c>
      <c r="P1447" s="47" t="n"/>
      <c r="Q1447" s="43">
        <f>IF($B1447="","",N($O1447)-N($P1447))</f>
        <v/>
      </c>
      <c r="R1447" s="47" t="n"/>
      <c r="S1447" s="47" t="n"/>
      <c r="T1447" s="47" t="n"/>
      <c r="U1447" s="43">
        <f>IF($B1447="","",N($J1447)-N($R1447)-N($T1447))</f>
        <v/>
      </c>
      <c r="V1447" s="47" t="n"/>
    </row>
    <row r="1448">
      <c r="A1448" s="39">
        <f>IF($B1448="","",COUNTA($B$4:$B1448))</f>
        <v/>
      </c>
      <c r="B1448" s="40" t="n"/>
      <c r="C1448" s="41" t="n"/>
      <c r="D1448" s="41" t="n"/>
      <c r="E1448" s="41" t="n"/>
      <c r="F1448" s="41" t="n"/>
      <c r="G1448" s="41" t="n"/>
      <c r="H1448" s="41" t="n"/>
      <c r="I1448" s="50" t="n"/>
      <c r="J1448" s="42" t="n"/>
      <c r="K1448" s="42" t="n"/>
      <c r="L1448" s="43">
        <f>IF($B1448="","",ROUND((N($J1448)+N($K1448))*نسبة_القيمة_المضافة,2))</f>
        <v/>
      </c>
      <c r="M1448" s="42" t="n"/>
      <c r="N1448" s="42" t="n"/>
      <c r="O1448" s="43">
        <f>IF($B1448="","",N($J1448)+N($K1448)+N($L1448)-N($M1448)+N($N1448))</f>
        <v/>
      </c>
      <c r="P1448" s="42" t="n"/>
      <c r="Q1448" s="43">
        <f>IF($B1448="","",N($O1448)-N($P1448))</f>
        <v/>
      </c>
      <c r="R1448" s="42" t="n"/>
      <c r="S1448" s="42" t="n"/>
      <c r="T1448" s="42" t="n"/>
      <c r="U1448" s="43">
        <f>IF($B1448="","",N($J1448)-N($R1448)-N($T1448))</f>
        <v/>
      </c>
      <c r="V1448" s="42" t="n"/>
    </row>
    <row r="1449">
      <c r="A1449" s="39">
        <f>IF($B1449="","",COUNTA($B$4:$B1449))</f>
        <v/>
      </c>
      <c r="B1449" s="45" t="n"/>
      <c r="C1449" s="46" t="n"/>
      <c r="D1449" s="46" t="n"/>
      <c r="E1449" s="46" t="n"/>
      <c r="F1449" s="46" t="n"/>
      <c r="G1449" s="46" t="n"/>
      <c r="H1449" s="46" t="n"/>
      <c r="I1449" s="51" t="n"/>
      <c r="J1449" s="47" t="n"/>
      <c r="K1449" s="47" t="n"/>
      <c r="L1449" s="43">
        <f>IF($B1449="","",ROUND((N($J1449)+N($K1449))*نسبة_القيمة_المضافة,2))</f>
        <v/>
      </c>
      <c r="M1449" s="47" t="n"/>
      <c r="N1449" s="47" t="n"/>
      <c r="O1449" s="43">
        <f>IF($B1449="","",N($J1449)+N($K1449)+N($L1449)-N($M1449)+N($N1449))</f>
        <v/>
      </c>
      <c r="P1449" s="47" t="n"/>
      <c r="Q1449" s="43">
        <f>IF($B1449="","",N($O1449)-N($P1449))</f>
        <v/>
      </c>
      <c r="R1449" s="47" t="n"/>
      <c r="S1449" s="47" t="n"/>
      <c r="T1449" s="47" t="n"/>
      <c r="U1449" s="43">
        <f>IF($B1449="","",N($J1449)-N($R1449)-N($T1449))</f>
        <v/>
      </c>
      <c r="V1449" s="47" t="n"/>
    </row>
    <row r="1450">
      <c r="A1450" s="39">
        <f>IF($B1450="","",COUNTA($B$4:$B1450))</f>
        <v/>
      </c>
      <c r="B1450" s="40" t="n"/>
      <c r="C1450" s="41" t="n"/>
      <c r="D1450" s="41" t="n"/>
      <c r="E1450" s="41" t="n"/>
      <c r="F1450" s="41" t="n"/>
      <c r="G1450" s="41" t="n"/>
      <c r="H1450" s="41" t="n"/>
      <c r="I1450" s="50" t="n"/>
      <c r="J1450" s="42" t="n"/>
      <c r="K1450" s="42" t="n"/>
      <c r="L1450" s="43">
        <f>IF($B1450="","",ROUND((N($J1450)+N($K1450))*نسبة_القيمة_المضافة,2))</f>
        <v/>
      </c>
      <c r="M1450" s="42" t="n"/>
      <c r="N1450" s="42" t="n"/>
      <c r="O1450" s="43">
        <f>IF($B1450="","",N($J1450)+N($K1450)+N($L1450)-N($M1450)+N($N1450))</f>
        <v/>
      </c>
      <c r="P1450" s="42" t="n"/>
      <c r="Q1450" s="43">
        <f>IF($B1450="","",N($O1450)-N($P1450))</f>
        <v/>
      </c>
      <c r="R1450" s="42" t="n"/>
      <c r="S1450" s="42" t="n"/>
      <c r="T1450" s="42" t="n"/>
      <c r="U1450" s="43">
        <f>IF($B1450="","",N($J1450)-N($R1450)-N($T1450))</f>
        <v/>
      </c>
      <c r="V1450" s="42" t="n"/>
    </row>
    <row r="1451">
      <c r="A1451" s="39">
        <f>IF($B1451="","",COUNTA($B$4:$B1451))</f>
        <v/>
      </c>
      <c r="B1451" s="45" t="n"/>
      <c r="C1451" s="46" t="n"/>
      <c r="D1451" s="46" t="n"/>
      <c r="E1451" s="46" t="n"/>
      <c r="F1451" s="46" t="n"/>
      <c r="G1451" s="46" t="n"/>
      <c r="H1451" s="46" t="n"/>
      <c r="I1451" s="51" t="n"/>
      <c r="J1451" s="47" t="n"/>
      <c r="K1451" s="47" t="n"/>
      <c r="L1451" s="43">
        <f>IF($B1451="","",ROUND((N($J1451)+N($K1451))*نسبة_القيمة_المضافة,2))</f>
        <v/>
      </c>
      <c r="M1451" s="47" t="n"/>
      <c r="N1451" s="47" t="n"/>
      <c r="O1451" s="43">
        <f>IF($B1451="","",N($J1451)+N($K1451)+N($L1451)-N($M1451)+N($N1451))</f>
        <v/>
      </c>
      <c r="P1451" s="47" t="n"/>
      <c r="Q1451" s="43">
        <f>IF($B1451="","",N($O1451)-N($P1451))</f>
        <v/>
      </c>
      <c r="R1451" s="47" t="n"/>
      <c r="S1451" s="47" t="n"/>
      <c r="T1451" s="47" t="n"/>
      <c r="U1451" s="43">
        <f>IF($B1451="","",N($J1451)-N($R1451)-N($T1451))</f>
        <v/>
      </c>
      <c r="V1451" s="47" t="n"/>
    </row>
    <row r="1452">
      <c r="A1452" s="39">
        <f>IF($B1452="","",COUNTA($B$4:$B1452))</f>
        <v/>
      </c>
      <c r="B1452" s="40" t="n"/>
      <c r="C1452" s="41" t="n"/>
      <c r="D1452" s="41" t="n"/>
      <c r="E1452" s="41" t="n"/>
      <c r="F1452" s="41" t="n"/>
      <c r="G1452" s="41" t="n"/>
      <c r="H1452" s="41" t="n"/>
      <c r="I1452" s="50" t="n"/>
      <c r="J1452" s="42" t="n"/>
      <c r="K1452" s="42" t="n"/>
      <c r="L1452" s="43">
        <f>IF($B1452="","",ROUND((N($J1452)+N($K1452))*نسبة_القيمة_المضافة,2))</f>
        <v/>
      </c>
      <c r="M1452" s="42" t="n"/>
      <c r="N1452" s="42" t="n"/>
      <c r="O1452" s="43">
        <f>IF($B1452="","",N($J1452)+N($K1452)+N($L1452)-N($M1452)+N($N1452))</f>
        <v/>
      </c>
      <c r="P1452" s="42" t="n"/>
      <c r="Q1452" s="43">
        <f>IF($B1452="","",N($O1452)-N($P1452))</f>
        <v/>
      </c>
      <c r="R1452" s="42" t="n"/>
      <c r="S1452" s="42" t="n"/>
      <c r="T1452" s="42" t="n"/>
      <c r="U1452" s="43">
        <f>IF($B1452="","",N($J1452)-N($R1452)-N($T1452))</f>
        <v/>
      </c>
      <c r="V1452" s="42" t="n"/>
    </row>
    <row r="1453">
      <c r="A1453" s="39">
        <f>IF($B1453="","",COUNTA($B$4:$B1453))</f>
        <v/>
      </c>
      <c r="B1453" s="45" t="n"/>
      <c r="C1453" s="46" t="n"/>
      <c r="D1453" s="46" t="n"/>
      <c r="E1453" s="46" t="n"/>
      <c r="F1453" s="46" t="n"/>
      <c r="G1453" s="46" t="n"/>
      <c r="H1453" s="46" t="n"/>
      <c r="I1453" s="51" t="n"/>
      <c r="J1453" s="47" t="n"/>
      <c r="K1453" s="47" t="n"/>
      <c r="L1453" s="43">
        <f>IF($B1453="","",ROUND((N($J1453)+N($K1453))*نسبة_القيمة_المضافة,2))</f>
        <v/>
      </c>
      <c r="M1453" s="47" t="n"/>
      <c r="N1453" s="47" t="n"/>
      <c r="O1453" s="43">
        <f>IF($B1453="","",N($J1453)+N($K1453)+N($L1453)-N($M1453)+N($N1453))</f>
        <v/>
      </c>
      <c r="P1453" s="47" t="n"/>
      <c r="Q1453" s="43">
        <f>IF($B1453="","",N($O1453)-N($P1453))</f>
        <v/>
      </c>
      <c r="R1453" s="47" t="n"/>
      <c r="S1453" s="47" t="n"/>
      <c r="T1453" s="47" t="n"/>
      <c r="U1453" s="43">
        <f>IF($B1453="","",N($J1453)-N($R1453)-N($T1453))</f>
        <v/>
      </c>
      <c r="V1453" s="47" t="n"/>
    </row>
    <row r="1454">
      <c r="A1454" s="39">
        <f>IF($B1454="","",COUNTA($B$4:$B1454))</f>
        <v/>
      </c>
      <c r="B1454" s="40" t="n"/>
      <c r="C1454" s="41" t="n"/>
      <c r="D1454" s="41" t="n"/>
      <c r="E1454" s="41" t="n"/>
      <c r="F1454" s="41" t="n"/>
      <c r="G1454" s="41" t="n"/>
      <c r="H1454" s="41" t="n"/>
      <c r="I1454" s="50" t="n"/>
      <c r="J1454" s="42" t="n"/>
      <c r="K1454" s="42" t="n"/>
      <c r="L1454" s="43">
        <f>IF($B1454="","",ROUND((N($J1454)+N($K1454))*نسبة_القيمة_المضافة,2))</f>
        <v/>
      </c>
      <c r="M1454" s="42" t="n"/>
      <c r="N1454" s="42" t="n"/>
      <c r="O1454" s="43">
        <f>IF($B1454="","",N($J1454)+N($K1454)+N($L1454)-N($M1454)+N($N1454))</f>
        <v/>
      </c>
      <c r="P1454" s="42" t="n"/>
      <c r="Q1454" s="43">
        <f>IF($B1454="","",N($O1454)-N($P1454))</f>
        <v/>
      </c>
      <c r="R1454" s="42" t="n"/>
      <c r="S1454" s="42" t="n"/>
      <c r="T1454" s="42" t="n"/>
      <c r="U1454" s="43">
        <f>IF($B1454="","",N($J1454)-N($R1454)-N($T1454))</f>
        <v/>
      </c>
      <c r="V1454" s="42" t="n"/>
    </row>
    <row r="1455">
      <c r="A1455" s="39">
        <f>IF($B1455="","",COUNTA($B$4:$B1455))</f>
        <v/>
      </c>
      <c r="B1455" s="45" t="n"/>
      <c r="C1455" s="46" t="n"/>
      <c r="D1455" s="46" t="n"/>
      <c r="E1455" s="46" t="n"/>
      <c r="F1455" s="46" t="n"/>
      <c r="G1455" s="46" t="n"/>
      <c r="H1455" s="46" t="n"/>
      <c r="I1455" s="51" t="n"/>
      <c r="J1455" s="47" t="n"/>
      <c r="K1455" s="47" t="n"/>
      <c r="L1455" s="43">
        <f>IF($B1455="","",ROUND((N($J1455)+N($K1455))*نسبة_القيمة_المضافة,2))</f>
        <v/>
      </c>
      <c r="M1455" s="47" t="n"/>
      <c r="N1455" s="47" t="n"/>
      <c r="O1455" s="43">
        <f>IF($B1455="","",N($J1455)+N($K1455)+N($L1455)-N($M1455)+N($N1455))</f>
        <v/>
      </c>
      <c r="P1455" s="47" t="n"/>
      <c r="Q1455" s="43">
        <f>IF($B1455="","",N($O1455)-N($P1455))</f>
        <v/>
      </c>
      <c r="R1455" s="47" t="n"/>
      <c r="S1455" s="47" t="n"/>
      <c r="T1455" s="47" t="n"/>
      <c r="U1455" s="43">
        <f>IF($B1455="","",N($J1455)-N($R1455)-N($T1455))</f>
        <v/>
      </c>
      <c r="V1455" s="47" t="n"/>
    </row>
    <row r="1456">
      <c r="A1456" s="39">
        <f>IF($B1456="","",COUNTA($B$4:$B1456))</f>
        <v/>
      </c>
      <c r="B1456" s="40" t="n"/>
      <c r="C1456" s="41" t="n"/>
      <c r="D1456" s="41" t="n"/>
      <c r="E1456" s="41" t="n"/>
      <c r="F1456" s="41" t="n"/>
      <c r="G1456" s="41" t="n"/>
      <c r="H1456" s="41" t="n"/>
      <c r="I1456" s="50" t="n"/>
      <c r="J1456" s="42" t="n"/>
      <c r="K1456" s="42" t="n"/>
      <c r="L1456" s="43">
        <f>IF($B1456="","",ROUND((N($J1456)+N($K1456))*نسبة_القيمة_المضافة,2))</f>
        <v/>
      </c>
      <c r="M1456" s="42" t="n"/>
      <c r="N1456" s="42" t="n"/>
      <c r="O1456" s="43">
        <f>IF($B1456="","",N($J1456)+N($K1456)+N($L1456)-N($M1456)+N($N1456))</f>
        <v/>
      </c>
      <c r="P1456" s="42" t="n"/>
      <c r="Q1456" s="43">
        <f>IF($B1456="","",N($O1456)-N($P1456))</f>
        <v/>
      </c>
      <c r="R1456" s="42" t="n"/>
      <c r="S1456" s="42" t="n"/>
      <c r="T1456" s="42" t="n"/>
      <c r="U1456" s="43">
        <f>IF($B1456="","",N($J1456)-N($R1456)-N($T1456))</f>
        <v/>
      </c>
      <c r="V1456" s="42" t="n"/>
    </row>
    <row r="1457">
      <c r="A1457" s="39">
        <f>IF($B1457="","",COUNTA($B$4:$B1457))</f>
        <v/>
      </c>
      <c r="B1457" s="45" t="n"/>
      <c r="C1457" s="46" t="n"/>
      <c r="D1457" s="46" t="n"/>
      <c r="E1457" s="46" t="n"/>
      <c r="F1457" s="46" t="n"/>
      <c r="G1457" s="46" t="n"/>
      <c r="H1457" s="46" t="n"/>
      <c r="I1457" s="51" t="n"/>
      <c r="J1457" s="47" t="n"/>
      <c r="K1457" s="47" t="n"/>
      <c r="L1457" s="43">
        <f>IF($B1457="","",ROUND((N($J1457)+N($K1457))*نسبة_القيمة_المضافة,2))</f>
        <v/>
      </c>
      <c r="M1457" s="47" t="n"/>
      <c r="N1457" s="47" t="n"/>
      <c r="O1457" s="43">
        <f>IF($B1457="","",N($J1457)+N($K1457)+N($L1457)-N($M1457)+N($N1457))</f>
        <v/>
      </c>
      <c r="P1457" s="47" t="n"/>
      <c r="Q1457" s="43">
        <f>IF($B1457="","",N($O1457)-N($P1457))</f>
        <v/>
      </c>
      <c r="R1457" s="47" t="n"/>
      <c r="S1457" s="47" t="n"/>
      <c r="T1457" s="47" t="n"/>
      <c r="U1457" s="43">
        <f>IF($B1457="","",N($J1457)-N($R1457)-N($T1457))</f>
        <v/>
      </c>
      <c r="V1457" s="47" t="n"/>
    </row>
    <row r="1458">
      <c r="A1458" s="39">
        <f>IF($B1458="","",COUNTA($B$4:$B1458))</f>
        <v/>
      </c>
      <c r="B1458" s="40" t="n"/>
      <c r="C1458" s="41" t="n"/>
      <c r="D1458" s="41" t="n"/>
      <c r="E1458" s="41" t="n"/>
      <c r="F1458" s="41" t="n"/>
      <c r="G1458" s="41" t="n"/>
      <c r="H1458" s="41" t="n"/>
      <c r="I1458" s="50" t="n"/>
      <c r="J1458" s="42" t="n"/>
      <c r="K1458" s="42" t="n"/>
      <c r="L1458" s="43">
        <f>IF($B1458="","",ROUND((N($J1458)+N($K1458))*نسبة_القيمة_المضافة,2))</f>
        <v/>
      </c>
      <c r="M1458" s="42" t="n"/>
      <c r="N1458" s="42" t="n"/>
      <c r="O1458" s="43">
        <f>IF($B1458="","",N($J1458)+N($K1458)+N($L1458)-N($M1458)+N($N1458))</f>
        <v/>
      </c>
      <c r="P1458" s="42" t="n"/>
      <c r="Q1458" s="43">
        <f>IF($B1458="","",N($O1458)-N($P1458))</f>
        <v/>
      </c>
      <c r="R1458" s="42" t="n"/>
      <c r="S1458" s="42" t="n"/>
      <c r="T1458" s="42" t="n"/>
      <c r="U1458" s="43">
        <f>IF($B1458="","",N($J1458)-N($R1458)-N($T1458))</f>
        <v/>
      </c>
      <c r="V1458" s="42" t="n"/>
    </row>
    <row r="1459">
      <c r="A1459" s="39">
        <f>IF($B1459="","",COUNTA($B$4:$B1459))</f>
        <v/>
      </c>
      <c r="B1459" s="45" t="n"/>
      <c r="C1459" s="46" t="n"/>
      <c r="D1459" s="46" t="n"/>
      <c r="E1459" s="46" t="n"/>
      <c r="F1459" s="46" t="n"/>
      <c r="G1459" s="46" t="n"/>
      <c r="H1459" s="46" t="n"/>
      <c r="I1459" s="51" t="n"/>
      <c r="J1459" s="47" t="n"/>
      <c r="K1459" s="47" t="n"/>
      <c r="L1459" s="43">
        <f>IF($B1459="","",ROUND((N($J1459)+N($K1459))*نسبة_القيمة_المضافة,2))</f>
        <v/>
      </c>
      <c r="M1459" s="47" t="n"/>
      <c r="N1459" s="47" t="n"/>
      <c r="O1459" s="43">
        <f>IF($B1459="","",N($J1459)+N($K1459)+N($L1459)-N($M1459)+N($N1459))</f>
        <v/>
      </c>
      <c r="P1459" s="47" t="n"/>
      <c r="Q1459" s="43">
        <f>IF($B1459="","",N($O1459)-N($P1459))</f>
        <v/>
      </c>
      <c r="R1459" s="47" t="n"/>
      <c r="S1459" s="47" t="n"/>
      <c r="T1459" s="47" t="n"/>
      <c r="U1459" s="43">
        <f>IF($B1459="","",N($J1459)-N($R1459)-N($T1459))</f>
        <v/>
      </c>
      <c r="V1459" s="47" t="n"/>
    </row>
    <row r="1460">
      <c r="A1460" s="39">
        <f>IF($B1460="","",COUNTA($B$4:$B1460))</f>
        <v/>
      </c>
      <c r="B1460" s="40" t="n"/>
      <c r="C1460" s="41" t="n"/>
      <c r="D1460" s="41" t="n"/>
      <c r="E1460" s="41" t="n"/>
      <c r="F1460" s="41" t="n"/>
      <c r="G1460" s="41" t="n"/>
      <c r="H1460" s="41" t="n"/>
      <c r="I1460" s="50" t="n"/>
      <c r="J1460" s="42" t="n"/>
      <c r="K1460" s="42" t="n"/>
      <c r="L1460" s="43">
        <f>IF($B1460="","",ROUND((N($J1460)+N($K1460))*نسبة_القيمة_المضافة,2))</f>
        <v/>
      </c>
      <c r="M1460" s="42" t="n"/>
      <c r="N1460" s="42" t="n"/>
      <c r="O1460" s="43">
        <f>IF($B1460="","",N($J1460)+N($K1460)+N($L1460)-N($M1460)+N($N1460))</f>
        <v/>
      </c>
      <c r="P1460" s="42" t="n"/>
      <c r="Q1460" s="43">
        <f>IF($B1460="","",N($O1460)-N($P1460))</f>
        <v/>
      </c>
      <c r="R1460" s="42" t="n"/>
      <c r="S1460" s="42" t="n"/>
      <c r="T1460" s="42" t="n"/>
      <c r="U1460" s="43">
        <f>IF($B1460="","",N($J1460)-N($R1460)-N($T1460))</f>
        <v/>
      </c>
      <c r="V1460" s="42" t="n"/>
    </row>
    <row r="1461">
      <c r="A1461" s="39">
        <f>IF($B1461="","",COUNTA($B$4:$B1461))</f>
        <v/>
      </c>
      <c r="B1461" s="45" t="n"/>
      <c r="C1461" s="46" t="n"/>
      <c r="D1461" s="46" t="n"/>
      <c r="E1461" s="46" t="n"/>
      <c r="F1461" s="46" t="n"/>
      <c r="G1461" s="46" t="n"/>
      <c r="H1461" s="46" t="n"/>
      <c r="I1461" s="51" t="n"/>
      <c r="J1461" s="47" t="n"/>
      <c r="K1461" s="47" t="n"/>
      <c r="L1461" s="43">
        <f>IF($B1461="","",ROUND((N($J1461)+N($K1461))*نسبة_القيمة_المضافة,2))</f>
        <v/>
      </c>
      <c r="M1461" s="47" t="n"/>
      <c r="N1461" s="47" t="n"/>
      <c r="O1461" s="43">
        <f>IF($B1461="","",N($J1461)+N($K1461)+N($L1461)-N($M1461)+N($N1461))</f>
        <v/>
      </c>
      <c r="P1461" s="47" t="n"/>
      <c r="Q1461" s="43">
        <f>IF($B1461="","",N($O1461)-N($P1461))</f>
        <v/>
      </c>
      <c r="R1461" s="47" t="n"/>
      <c r="S1461" s="47" t="n"/>
      <c r="T1461" s="47" t="n"/>
      <c r="U1461" s="43">
        <f>IF($B1461="","",N($J1461)-N($R1461)-N($T1461))</f>
        <v/>
      </c>
      <c r="V1461" s="47" t="n"/>
    </row>
    <row r="1462">
      <c r="A1462" s="39">
        <f>IF($B1462="","",COUNTA($B$4:$B1462))</f>
        <v/>
      </c>
      <c r="B1462" s="40" t="n"/>
      <c r="C1462" s="41" t="n"/>
      <c r="D1462" s="41" t="n"/>
      <c r="E1462" s="41" t="n"/>
      <c r="F1462" s="41" t="n"/>
      <c r="G1462" s="41" t="n"/>
      <c r="H1462" s="41" t="n"/>
      <c r="I1462" s="50" t="n"/>
      <c r="J1462" s="42" t="n"/>
      <c r="K1462" s="42" t="n"/>
      <c r="L1462" s="43">
        <f>IF($B1462="","",ROUND((N($J1462)+N($K1462))*نسبة_القيمة_المضافة,2))</f>
        <v/>
      </c>
      <c r="M1462" s="42" t="n"/>
      <c r="N1462" s="42" t="n"/>
      <c r="O1462" s="43">
        <f>IF($B1462="","",N($J1462)+N($K1462)+N($L1462)-N($M1462)+N($N1462))</f>
        <v/>
      </c>
      <c r="P1462" s="42" t="n"/>
      <c r="Q1462" s="43">
        <f>IF($B1462="","",N($O1462)-N($P1462))</f>
        <v/>
      </c>
      <c r="R1462" s="42" t="n"/>
      <c r="S1462" s="42" t="n"/>
      <c r="T1462" s="42" t="n"/>
      <c r="U1462" s="43">
        <f>IF($B1462="","",N($J1462)-N($R1462)-N($T1462))</f>
        <v/>
      </c>
      <c r="V1462" s="42" t="n"/>
    </row>
    <row r="1463">
      <c r="A1463" s="39">
        <f>IF($B1463="","",COUNTA($B$4:$B1463))</f>
        <v/>
      </c>
      <c r="B1463" s="45" t="n"/>
      <c r="C1463" s="46" t="n"/>
      <c r="D1463" s="46" t="n"/>
      <c r="E1463" s="46" t="n"/>
      <c r="F1463" s="46" t="n"/>
      <c r="G1463" s="46" t="n"/>
      <c r="H1463" s="46" t="n"/>
      <c r="I1463" s="51" t="n"/>
      <c r="J1463" s="47" t="n"/>
      <c r="K1463" s="47" t="n"/>
      <c r="L1463" s="43">
        <f>IF($B1463="","",ROUND((N($J1463)+N($K1463))*نسبة_القيمة_المضافة,2))</f>
        <v/>
      </c>
      <c r="M1463" s="47" t="n"/>
      <c r="N1463" s="47" t="n"/>
      <c r="O1463" s="43">
        <f>IF($B1463="","",N($J1463)+N($K1463)+N($L1463)-N($M1463)+N($N1463))</f>
        <v/>
      </c>
      <c r="P1463" s="47" t="n"/>
      <c r="Q1463" s="43">
        <f>IF($B1463="","",N($O1463)-N($P1463))</f>
        <v/>
      </c>
      <c r="R1463" s="47" t="n"/>
      <c r="S1463" s="47" t="n"/>
      <c r="T1463" s="47" t="n"/>
      <c r="U1463" s="43">
        <f>IF($B1463="","",N($J1463)-N($R1463)-N($T1463))</f>
        <v/>
      </c>
      <c r="V1463" s="47" t="n"/>
    </row>
    <row r="1464">
      <c r="A1464" s="39">
        <f>IF($B1464="","",COUNTA($B$4:$B1464))</f>
        <v/>
      </c>
      <c r="B1464" s="40" t="n"/>
      <c r="C1464" s="41" t="n"/>
      <c r="D1464" s="41" t="n"/>
      <c r="E1464" s="41" t="n"/>
      <c r="F1464" s="41" t="n"/>
      <c r="G1464" s="41" t="n"/>
      <c r="H1464" s="41" t="n"/>
      <c r="I1464" s="50" t="n"/>
      <c r="J1464" s="42" t="n"/>
      <c r="K1464" s="42" t="n"/>
      <c r="L1464" s="43">
        <f>IF($B1464="","",ROUND((N($J1464)+N($K1464))*نسبة_القيمة_المضافة,2))</f>
        <v/>
      </c>
      <c r="M1464" s="42" t="n"/>
      <c r="N1464" s="42" t="n"/>
      <c r="O1464" s="43">
        <f>IF($B1464="","",N($J1464)+N($K1464)+N($L1464)-N($M1464)+N($N1464))</f>
        <v/>
      </c>
      <c r="P1464" s="42" t="n"/>
      <c r="Q1464" s="43">
        <f>IF($B1464="","",N($O1464)-N($P1464))</f>
        <v/>
      </c>
      <c r="R1464" s="42" t="n"/>
      <c r="S1464" s="42" t="n"/>
      <c r="T1464" s="42" t="n"/>
      <c r="U1464" s="43">
        <f>IF($B1464="","",N($J1464)-N($R1464)-N($T1464))</f>
        <v/>
      </c>
      <c r="V1464" s="42" t="n"/>
    </row>
    <row r="1465">
      <c r="A1465" s="39">
        <f>IF($B1465="","",COUNTA($B$4:$B1465))</f>
        <v/>
      </c>
      <c r="B1465" s="45" t="n"/>
      <c r="C1465" s="46" t="n"/>
      <c r="D1465" s="46" t="n"/>
      <c r="E1465" s="46" t="n"/>
      <c r="F1465" s="46" t="n"/>
      <c r="G1465" s="46" t="n"/>
      <c r="H1465" s="46" t="n"/>
      <c r="I1465" s="51" t="n"/>
      <c r="J1465" s="47" t="n"/>
      <c r="K1465" s="47" t="n"/>
      <c r="L1465" s="43">
        <f>IF($B1465="","",ROUND((N($J1465)+N($K1465))*نسبة_القيمة_المضافة,2))</f>
        <v/>
      </c>
      <c r="M1465" s="47" t="n"/>
      <c r="N1465" s="47" t="n"/>
      <c r="O1465" s="43">
        <f>IF($B1465="","",N($J1465)+N($K1465)+N($L1465)-N($M1465)+N($N1465))</f>
        <v/>
      </c>
      <c r="P1465" s="47" t="n"/>
      <c r="Q1465" s="43">
        <f>IF($B1465="","",N($O1465)-N($P1465))</f>
        <v/>
      </c>
      <c r="R1465" s="47" t="n"/>
      <c r="S1465" s="47" t="n"/>
      <c r="T1465" s="47" t="n"/>
      <c r="U1465" s="43">
        <f>IF($B1465="","",N($J1465)-N($R1465)-N($T1465))</f>
        <v/>
      </c>
      <c r="V1465" s="47" t="n"/>
    </row>
    <row r="1466">
      <c r="A1466" s="39">
        <f>IF($B1466="","",COUNTA($B$4:$B1466))</f>
        <v/>
      </c>
      <c r="B1466" s="40" t="n"/>
      <c r="C1466" s="41" t="n"/>
      <c r="D1466" s="41" t="n"/>
      <c r="E1466" s="41" t="n"/>
      <c r="F1466" s="41" t="n"/>
      <c r="G1466" s="41" t="n"/>
      <c r="H1466" s="41" t="n"/>
      <c r="I1466" s="50" t="n"/>
      <c r="J1466" s="42" t="n"/>
      <c r="K1466" s="42" t="n"/>
      <c r="L1466" s="43">
        <f>IF($B1466="","",ROUND((N($J1466)+N($K1466))*نسبة_القيمة_المضافة,2))</f>
        <v/>
      </c>
      <c r="M1466" s="42" t="n"/>
      <c r="N1466" s="42" t="n"/>
      <c r="O1466" s="43">
        <f>IF($B1466="","",N($J1466)+N($K1466)+N($L1466)-N($M1466)+N($N1466))</f>
        <v/>
      </c>
      <c r="P1466" s="42" t="n"/>
      <c r="Q1466" s="43">
        <f>IF($B1466="","",N($O1466)-N($P1466))</f>
        <v/>
      </c>
      <c r="R1466" s="42" t="n"/>
      <c r="S1466" s="42" t="n"/>
      <c r="T1466" s="42" t="n"/>
      <c r="U1466" s="43">
        <f>IF($B1466="","",N($J1466)-N($R1466)-N($T1466))</f>
        <v/>
      </c>
      <c r="V1466" s="42" t="n"/>
    </row>
    <row r="1467">
      <c r="A1467" s="39">
        <f>IF($B1467="","",COUNTA($B$4:$B1467))</f>
        <v/>
      </c>
      <c r="B1467" s="45" t="n"/>
      <c r="C1467" s="46" t="n"/>
      <c r="D1467" s="46" t="n"/>
      <c r="E1467" s="46" t="n"/>
      <c r="F1467" s="46" t="n"/>
      <c r="G1467" s="46" t="n"/>
      <c r="H1467" s="46" t="n"/>
      <c r="I1467" s="51" t="n"/>
      <c r="J1467" s="47" t="n"/>
      <c r="K1467" s="47" t="n"/>
      <c r="L1467" s="43">
        <f>IF($B1467="","",ROUND((N($J1467)+N($K1467))*نسبة_القيمة_المضافة,2))</f>
        <v/>
      </c>
      <c r="M1467" s="47" t="n"/>
      <c r="N1467" s="47" t="n"/>
      <c r="O1467" s="43">
        <f>IF($B1467="","",N($J1467)+N($K1467)+N($L1467)-N($M1467)+N($N1467))</f>
        <v/>
      </c>
      <c r="P1467" s="47" t="n"/>
      <c r="Q1467" s="43">
        <f>IF($B1467="","",N($O1467)-N($P1467))</f>
        <v/>
      </c>
      <c r="R1467" s="47" t="n"/>
      <c r="S1467" s="47" t="n"/>
      <c r="T1467" s="47" t="n"/>
      <c r="U1467" s="43">
        <f>IF($B1467="","",N($J1467)-N($R1467)-N($T1467))</f>
        <v/>
      </c>
      <c r="V1467" s="47" t="n"/>
    </row>
    <row r="1468">
      <c r="A1468" s="39">
        <f>IF($B1468="","",COUNTA($B$4:$B1468))</f>
        <v/>
      </c>
      <c r="B1468" s="40" t="n"/>
      <c r="C1468" s="41" t="n"/>
      <c r="D1468" s="41" t="n"/>
      <c r="E1468" s="41" t="n"/>
      <c r="F1468" s="41" t="n"/>
      <c r="G1468" s="41" t="n"/>
      <c r="H1468" s="41" t="n"/>
      <c r="I1468" s="50" t="n"/>
      <c r="J1468" s="42" t="n"/>
      <c r="K1468" s="42" t="n"/>
      <c r="L1468" s="43">
        <f>IF($B1468="","",ROUND((N($J1468)+N($K1468))*نسبة_القيمة_المضافة,2))</f>
        <v/>
      </c>
      <c r="M1468" s="42" t="n"/>
      <c r="N1468" s="42" t="n"/>
      <c r="O1468" s="43">
        <f>IF($B1468="","",N($J1468)+N($K1468)+N($L1468)-N($M1468)+N($N1468))</f>
        <v/>
      </c>
      <c r="P1468" s="42" t="n"/>
      <c r="Q1468" s="43">
        <f>IF($B1468="","",N($O1468)-N($P1468))</f>
        <v/>
      </c>
      <c r="R1468" s="42" t="n"/>
      <c r="S1468" s="42" t="n"/>
      <c r="T1468" s="42" t="n"/>
      <c r="U1468" s="43">
        <f>IF($B1468="","",N($J1468)-N($R1468)-N($T1468))</f>
        <v/>
      </c>
      <c r="V1468" s="42" t="n"/>
    </row>
    <row r="1469">
      <c r="A1469" s="39">
        <f>IF($B1469="","",COUNTA($B$4:$B1469))</f>
        <v/>
      </c>
      <c r="B1469" s="45" t="n"/>
      <c r="C1469" s="46" t="n"/>
      <c r="D1469" s="46" t="n"/>
      <c r="E1469" s="46" t="n"/>
      <c r="F1469" s="46" t="n"/>
      <c r="G1469" s="46" t="n"/>
      <c r="H1469" s="46" t="n"/>
      <c r="I1469" s="51" t="n"/>
      <c r="J1469" s="47" t="n"/>
      <c r="K1469" s="47" t="n"/>
      <c r="L1469" s="43">
        <f>IF($B1469="","",ROUND((N($J1469)+N($K1469))*نسبة_القيمة_المضافة,2))</f>
        <v/>
      </c>
      <c r="M1469" s="47" t="n"/>
      <c r="N1469" s="47" t="n"/>
      <c r="O1469" s="43">
        <f>IF($B1469="","",N($J1469)+N($K1469)+N($L1469)-N($M1469)+N($N1469))</f>
        <v/>
      </c>
      <c r="P1469" s="47" t="n"/>
      <c r="Q1469" s="43">
        <f>IF($B1469="","",N($O1469)-N($P1469))</f>
        <v/>
      </c>
      <c r="R1469" s="47" t="n"/>
      <c r="S1469" s="47" t="n"/>
      <c r="T1469" s="47" t="n"/>
      <c r="U1469" s="43">
        <f>IF($B1469="","",N($J1469)-N($R1469)-N($T1469))</f>
        <v/>
      </c>
      <c r="V1469" s="47" t="n"/>
    </row>
    <row r="1470">
      <c r="A1470" s="39">
        <f>IF($B1470="","",COUNTA($B$4:$B1470))</f>
        <v/>
      </c>
      <c r="B1470" s="40" t="n"/>
      <c r="C1470" s="41" t="n"/>
      <c r="D1470" s="41" t="n"/>
      <c r="E1470" s="41" t="n"/>
      <c r="F1470" s="41" t="n"/>
      <c r="G1470" s="41" t="n"/>
      <c r="H1470" s="41" t="n"/>
      <c r="I1470" s="50" t="n"/>
      <c r="J1470" s="42" t="n"/>
      <c r="K1470" s="42" t="n"/>
      <c r="L1470" s="43">
        <f>IF($B1470="","",ROUND((N($J1470)+N($K1470))*نسبة_القيمة_المضافة,2))</f>
        <v/>
      </c>
      <c r="M1470" s="42" t="n"/>
      <c r="N1470" s="42" t="n"/>
      <c r="O1470" s="43">
        <f>IF($B1470="","",N($J1470)+N($K1470)+N($L1470)-N($M1470)+N($N1470))</f>
        <v/>
      </c>
      <c r="P1470" s="42" t="n"/>
      <c r="Q1470" s="43">
        <f>IF($B1470="","",N($O1470)-N($P1470))</f>
        <v/>
      </c>
      <c r="R1470" s="42" t="n"/>
      <c r="S1470" s="42" t="n"/>
      <c r="T1470" s="42" t="n"/>
      <c r="U1470" s="43">
        <f>IF($B1470="","",N($J1470)-N($R1470)-N($T1470))</f>
        <v/>
      </c>
      <c r="V1470" s="42" t="n"/>
    </row>
    <row r="1471">
      <c r="A1471" s="39">
        <f>IF($B1471="","",COUNTA($B$4:$B1471))</f>
        <v/>
      </c>
      <c r="B1471" s="45" t="n"/>
      <c r="C1471" s="46" t="n"/>
      <c r="D1471" s="46" t="n"/>
      <c r="E1471" s="46" t="n"/>
      <c r="F1471" s="46" t="n"/>
      <c r="G1471" s="46" t="n"/>
      <c r="H1471" s="46" t="n"/>
      <c r="I1471" s="51" t="n"/>
      <c r="J1471" s="47" t="n"/>
      <c r="K1471" s="47" t="n"/>
      <c r="L1471" s="43">
        <f>IF($B1471="","",ROUND((N($J1471)+N($K1471))*نسبة_القيمة_المضافة,2))</f>
        <v/>
      </c>
      <c r="M1471" s="47" t="n"/>
      <c r="N1471" s="47" t="n"/>
      <c r="O1471" s="43">
        <f>IF($B1471="","",N($J1471)+N($K1471)+N($L1471)-N($M1471)+N($N1471))</f>
        <v/>
      </c>
      <c r="P1471" s="47" t="n"/>
      <c r="Q1471" s="43">
        <f>IF($B1471="","",N($O1471)-N($P1471))</f>
        <v/>
      </c>
      <c r="R1471" s="47" t="n"/>
      <c r="S1471" s="47" t="n"/>
      <c r="T1471" s="47" t="n"/>
      <c r="U1471" s="43">
        <f>IF($B1471="","",N($J1471)-N($R1471)-N($T1471))</f>
        <v/>
      </c>
      <c r="V1471" s="47" t="n"/>
    </row>
    <row r="1472">
      <c r="A1472" s="39">
        <f>IF($B1472="","",COUNTA($B$4:$B1472))</f>
        <v/>
      </c>
      <c r="B1472" s="40" t="n"/>
      <c r="C1472" s="41" t="n"/>
      <c r="D1472" s="41" t="n"/>
      <c r="E1472" s="41" t="n"/>
      <c r="F1472" s="41" t="n"/>
      <c r="G1472" s="41" t="n"/>
      <c r="H1472" s="41" t="n"/>
      <c r="I1472" s="50" t="n"/>
      <c r="J1472" s="42" t="n"/>
      <c r="K1472" s="42" t="n"/>
      <c r="L1472" s="43">
        <f>IF($B1472="","",ROUND((N($J1472)+N($K1472))*نسبة_القيمة_المضافة,2))</f>
        <v/>
      </c>
      <c r="M1472" s="42" t="n"/>
      <c r="N1472" s="42" t="n"/>
      <c r="O1472" s="43">
        <f>IF($B1472="","",N($J1472)+N($K1472)+N($L1472)-N($M1472)+N($N1472))</f>
        <v/>
      </c>
      <c r="P1472" s="42" t="n"/>
      <c r="Q1472" s="43">
        <f>IF($B1472="","",N($O1472)-N($P1472))</f>
        <v/>
      </c>
      <c r="R1472" s="42" t="n"/>
      <c r="S1472" s="42" t="n"/>
      <c r="T1472" s="42" t="n"/>
      <c r="U1472" s="43">
        <f>IF($B1472="","",N($J1472)-N($R1472)-N($T1472))</f>
        <v/>
      </c>
      <c r="V1472" s="42" t="n"/>
    </row>
    <row r="1473">
      <c r="A1473" s="39">
        <f>IF($B1473="","",COUNTA($B$4:$B1473))</f>
        <v/>
      </c>
      <c r="B1473" s="45" t="n"/>
      <c r="C1473" s="46" t="n"/>
      <c r="D1473" s="46" t="n"/>
      <c r="E1473" s="46" t="n"/>
      <c r="F1473" s="46" t="n"/>
      <c r="G1473" s="46" t="n"/>
      <c r="H1473" s="46" t="n"/>
      <c r="I1473" s="51" t="n"/>
      <c r="J1473" s="47" t="n"/>
      <c r="K1473" s="47" t="n"/>
      <c r="L1473" s="43">
        <f>IF($B1473="","",ROUND((N($J1473)+N($K1473))*نسبة_القيمة_المضافة,2))</f>
        <v/>
      </c>
      <c r="M1473" s="47" t="n"/>
      <c r="N1473" s="47" t="n"/>
      <c r="O1473" s="43">
        <f>IF($B1473="","",N($J1473)+N($K1473)+N($L1473)-N($M1473)+N($N1473))</f>
        <v/>
      </c>
      <c r="P1473" s="47" t="n"/>
      <c r="Q1473" s="43">
        <f>IF($B1473="","",N($O1473)-N($P1473))</f>
        <v/>
      </c>
      <c r="R1473" s="47" t="n"/>
      <c r="S1473" s="47" t="n"/>
      <c r="T1473" s="47" t="n"/>
      <c r="U1473" s="43">
        <f>IF($B1473="","",N($J1473)-N($R1473)-N($T1473))</f>
        <v/>
      </c>
      <c r="V1473" s="47" t="n"/>
    </row>
    <row r="1474">
      <c r="A1474" s="39">
        <f>IF($B1474="","",COUNTA($B$4:$B1474))</f>
        <v/>
      </c>
      <c r="B1474" s="40" t="n"/>
      <c r="C1474" s="41" t="n"/>
      <c r="D1474" s="41" t="n"/>
      <c r="E1474" s="41" t="n"/>
      <c r="F1474" s="41" t="n"/>
      <c r="G1474" s="41" t="n"/>
      <c r="H1474" s="41" t="n"/>
      <c r="I1474" s="50" t="n"/>
      <c r="J1474" s="42" t="n"/>
      <c r="K1474" s="42" t="n"/>
      <c r="L1474" s="43">
        <f>IF($B1474="","",ROUND((N($J1474)+N($K1474))*نسبة_القيمة_المضافة,2))</f>
        <v/>
      </c>
      <c r="M1474" s="42" t="n"/>
      <c r="N1474" s="42" t="n"/>
      <c r="O1474" s="43">
        <f>IF($B1474="","",N($J1474)+N($K1474)+N($L1474)-N($M1474)+N($N1474))</f>
        <v/>
      </c>
      <c r="P1474" s="42" t="n"/>
      <c r="Q1474" s="43">
        <f>IF($B1474="","",N($O1474)-N($P1474))</f>
        <v/>
      </c>
      <c r="R1474" s="42" t="n"/>
      <c r="S1474" s="42" t="n"/>
      <c r="T1474" s="42" t="n"/>
      <c r="U1474" s="43">
        <f>IF($B1474="","",N($J1474)-N($R1474)-N($T1474))</f>
        <v/>
      </c>
      <c r="V1474" s="42" t="n"/>
    </row>
    <row r="1475">
      <c r="A1475" s="39">
        <f>IF($B1475="","",COUNTA($B$4:$B1475))</f>
        <v/>
      </c>
      <c r="B1475" s="45" t="n"/>
      <c r="C1475" s="46" t="n"/>
      <c r="D1475" s="46" t="n"/>
      <c r="E1475" s="46" t="n"/>
      <c r="F1475" s="46" t="n"/>
      <c r="G1475" s="46" t="n"/>
      <c r="H1475" s="46" t="n"/>
      <c r="I1475" s="51" t="n"/>
      <c r="J1475" s="47" t="n"/>
      <c r="K1475" s="47" t="n"/>
      <c r="L1475" s="43">
        <f>IF($B1475="","",ROUND((N($J1475)+N($K1475))*نسبة_القيمة_المضافة,2))</f>
        <v/>
      </c>
      <c r="M1475" s="47" t="n"/>
      <c r="N1475" s="47" t="n"/>
      <c r="O1475" s="43">
        <f>IF($B1475="","",N($J1475)+N($K1475)+N($L1475)-N($M1475)+N($N1475))</f>
        <v/>
      </c>
      <c r="P1475" s="47" t="n"/>
      <c r="Q1475" s="43">
        <f>IF($B1475="","",N($O1475)-N($P1475))</f>
        <v/>
      </c>
      <c r="R1475" s="47" t="n"/>
      <c r="S1475" s="47" t="n"/>
      <c r="T1475" s="47" t="n"/>
      <c r="U1475" s="43">
        <f>IF($B1475="","",N($J1475)-N($R1475)-N($T1475))</f>
        <v/>
      </c>
      <c r="V1475" s="47" t="n"/>
    </row>
    <row r="1476">
      <c r="A1476" s="39">
        <f>IF($B1476="","",COUNTA($B$4:$B1476))</f>
        <v/>
      </c>
      <c r="B1476" s="40" t="n"/>
      <c r="C1476" s="41" t="n"/>
      <c r="D1476" s="41" t="n"/>
      <c r="E1476" s="41" t="n"/>
      <c r="F1476" s="41" t="n"/>
      <c r="G1476" s="41" t="n"/>
      <c r="H1476" s="41" t="n"/>
      <c r="I1476" s="50" t="n"/>
      <c r="J1476" s="42" t="n"/>
      <c r="K1476" s="42" t="n"/>
      <c r="L1476" s="43">
        <f>IF($B1476="","",ROUND((N($J1476)+N($K1476))*نسبة_القيمة_المضافة,2))</f>
        <v/>
      </c>
      <c r="M1476" s="42" t="n"/>
      <c r="N1476" s="42" t="n"/>
      <c r="O1476" s="43">
        <f>IF($B1476="","",N($J1476)+N($K1476)+N($L1476)-N($M1476)+N($N1476))</f>
        <v/>
      </c>
      <c r="P1476" s="42" t="n"/>
      <c r="Q1476" s="43">
        <f>IF($B1476="","",N($O1476)-N($P1476))</f>
        <v/>
      </c>
      <c r="R1476" s="42" t="n"/>
      <c r="S1476" s="42" t="n"/>
      <c r="T1476" s="42" t="n"/>
      <c r="U1476" s="43">
        <f>IF($B1476="","",N($J1476)-N($R1476)-N($T1476))</f>
        <v/>
      </c>
      <c r="V1476" s="42" t="n"/>
    </row>
    <row r="1477">
      <c r="A1477" s="39">
        <f>IF($B1477="","",COUNTA($B$4:$B1477))</f>
        <v/>
      </c>
      <c r="B1477" s="45" t="n"/>
      <c r="C1477" s="46" t="n"/>
      <c r="D1477" s="46" t="n"/>
      <c r="E1477" s="46" t="n"/>
      <c r="F1477" s="46" t="n"/>
      <c r="G1477" s="46" t="n"/>
      <c r="H1477" s="46" t="n"/>
      <c r="I1477" s="51" t="n"/>
      <c r="J1477" s="47" t="n"/>
      <c r="K1477" s="47" t="n"/>
      <c r="L1477" s="43">
        <f>IF($B1477="","",ROUND((N($J1477)+N($K1477))*نسبة_القيمة_المضافة,2))</f>
        <v/>
      </c>
      <c r="M1477" s="47" t="n"/>
      <c r="N1477" s="47" t="n"/>
      <c r="O1477" s="43">
        <f>IF($B1477="","",N($J1477)+N($K1477)+N($L1477)-N($M1477)+N($N1477))</f>
        <v/>
      </c>
      <c r="P1477" s="47" t="n"/>
      <c r="Q1477" s="43">
        <f>IF($B1477="","",N($O1477)-N($P1477))</f>
        <v/>
      </c>
      <c r="R1477" s="47" t="n"/>
      <c r="S1477" s="47" t="n"/>
      <c r="T1477" s="47" t="n"/>
      <c r="U1477" s="43">
        <f>IF($B1477="","",N($J1477)-N($R1477)-N($T1477))</f>
        <v/>
      </c>
      <c r="V1477" s="47" t="n"/>
    </row>
    <row r="1478">
      <c r="A1478" s="39">
        <f>IF($B1478="","",COUNTA($B$4:$B1478))</f>
        <v/>
      </c>
      <c r="B1478" s="40" t="n"/>
      <c r="C1478" s="41" t="n"/>
      <c r="D1478" s="41" t="n"/>
      <c r="E1478" s="41" t="n"/>
      <c r="F1478" s="41" t="n"/>
      <c r="G1478" s="41" t="n"/>
      <c r="H1478" s="41" t="n"/>
      <c r="I1478" s="50" t="n"/>
      <c r="J1478" s="42" t="n"/>
      <c r="K1478" s="42" t="n"/>
      <c r="L1478" s="43">
        <f>IF($B1478="","",ROUND((N($J1478)+N($K1478))*نسبة_القيمة_المضافة,2))</f>
        <v/>
      </c>
      <c r="M1478" s="42" t="n"/>
      <c r="N1478" s="42" t="n"/>
      <c r="O1478" s="43">
        <f>IF($B1478="","",N($J1478)+N($K1478)+N($L1478)-N($M1478)+N($N1478))</f>
        <v/>
      </c>
      <c r="P1478" s="42" t="n"/>
      <c r="Q1478" s="43">
        <f>IF($B1478="","",N($O1478)-N($P1478))</f>
        <v/>
      </c>
      <c r="R1478" s="42" t="n"/>
      <c r="S1478" s="42" t="n"/>
      <c r="T1478" s="42" t="n"/>
      <c r="U1478" s="43">
        <f>IF($B1478="","",N($J1478)-N($R1478)-N($T1478))</f>
        <v/>
      </c>
      <c r="V1478" s="42" t="n"/>
    </row>
    <row r="1479">
      <c r="A1479" s="39">
        <f>IF($B1479="","",COUNTA($B$4:$B1479))</f>
        <v/>
      </c>
      <c r="B1479" s="45" t="n"/>
      <c r="C1479" s="46" t="n"/>
      <c r="D1479" s="46" t="n"/>
      <c r="E1479" s="46" t="n"/>
      <c r="F1479" s="46" t="n"/>
      <c r="G1479" s="46" t="n"/>
      <c r="H1479" s="46" t="n"/>
      <c r="I1479" s="51" t="n"/>
      <c r="J1479" s="47" t="n"/>
      <c r="K1479" s="47" t="n"/>
      <c r="L1479" s="43">
        <f>IF($B1479="","",ROUND((N($J1479)+N($K1479))*نسبة_القيمة_المضافة,2))</f>
        <v/>
      </c>
      <c r="M1479" s="47" t="n"/>
      <c r="N1479" s="47" t="n"/>
      <c r="O1479" s="43">
        <f>IF($B1479="","",N($J1479)+N($K1479)+N($L1479)-N($M1479)+N($N1479))</f>
        <v/>
      </c>
      <c r="P1479" s="47" t="n"/>
      <c r="Q1479" s="43">
        <f>IF($B1479="","",N($O1479)-N($P1479))</f>
        <v/>
      </c>
      <c r="R1479" s="47" t="n"/>
      <c r="S1479" s="47" t="n"/>
      <c r="T1479" s="47" t="n"/>
      <c r="U1479" s="43">
        <f>IF($B1479="","",N($J1479)-N($R1479)-N($T1479))</f>
        <v/>
      </c>
      <c r="V1479" s="47" t="n"/>
    </row>
    <row r="1480">
      <c r="A1480" s="39">
        <f>IF($B1480="","",COUNTA($B$4:$B1480))</f>
        <v/>
      </c>
      <c r="B1480" s="40" t="n"/>
      <c r="C1480" s="41" t="n"/>
      <c r="D1480" s="41" t="n"/>
      <c r="E1480" s="41" t="n"/>
      <c r="F1480" s="41" t="n"/>
      <c r="G1480" s="41" t="n"/>
      <c r="H1480" s="41" t="n"/>
      <c r="I1480" s="50" t="n"/>
      <c r="J1480" s="42" t="n"/>
      <c r="K1480" s="42" t="n"/>
      <c r="L1480" s="43">
        <f>IF($B1480="","",ROUND((N($J1480)+N($K1480))*نسبة_القيمة_المضافة,2))</f>
        <v/>
      </c>
      <c r="M1480" s="42" t="n"/>
      <c r="N1480" s="42" t="n"/>
      <c r="O1480" s="43">
        <f>IF($B1480="","",N($J1480)+N($K1480)+N($L1480)-N($M1480)+N($N1480))</f>
        <v/>
      </c>
      <c r="P1480" s="42" t="n"/>
      <c r="Q1480" s="43">
        <f>IF($B1480="","",N($O1480)-N($P1480))</f>
        <v/>
      </c>
      <c r="R1480" s="42" t="n"/>
      <c r="S1480" s="42" t="n"/>
      <c r="T1480" s="42" t="n"/>
      <c r="U1480" s="43">
        <f>IF($B1480="","",N($J1480)-N($R1480)-N($T1480))</f>
        <v/>
      </c>
      <c r="V1480" s="42" t="n"/>
    </row>
    <row r="1481">
      <c r="A1481" s="39">
        <f>IF($B1481="","",COUNTA($B$4:$B1481))</f>
        <v/>
      </c>
      <c r="B1481" s="45" t="n"/>
      <c r="C1481" s="46" t="n"/>
      <c r="D1481" s="46" t="n"/>
      <c r="E1481" s="46" t="n"/>
      <c r="F1481" s="46" t="n"/>
      <c r="G1481" s="46" t="n"/>
      <c r="H1481" s="46" t="n"/>
      <c r="I1481" s="51" t="n"/>
      <c r="J1481" s="47" t="n"/>
      <c r="K1481" s="47" t="n"/>
      <c r="L1481" s="43">
        <f>IF($B1481="","",ROUND((N($J1481)+N($K1481))*نسبة_القيمة_المضافة,2))</f>
        <v/>
      </c>
      <c r="M1481" s="47" t="n"/>
      <c r="N1481" s="47" t="n"/>
      <c r="O1481" s="43">
        <f>IF($B1481="","",N($J1481)+N($K1481)+N($L1481)-N($M1481)+N($N1481))</f>
        <v/>
      </c>
      <c r="P1481" s="47" t="n"/>
      <c r="Q1481" s="43">
        <f>IF($B1481="","",N($O1481)-N($P1481))</f>
        <v/>
      </c>
      <c r="R1481" s="47" t="n"/>
      <c r="S1481" s="47" t="n"/>
      <c r="T1481" s="47" t="n"/>
      <c r="U1481" s="43">
        <f>IF($B1481="","",N($J1481)-N($R1481)-N($T1481))</f>
        <v/>
      </c>
      <c r="V1481" s="47" t="n"/>
    </row>
    <row r="1482">
      <c r="A1482" s="39">
        <f>IF($B1482="","",COUNTA($B$4:$B1482))</f>
        <v/>
      </c>
      <c r="B1482" s="40" t="n"/>
      <c r="C1482" s="41" t="n"/>
      <c r="D1482" s="41" t="n"/>
      <c r="E1482" s="41" t="n"/>
      <c r="F1482" s="41" t="n"/>
      <c r="G1482" s="41" t="n"/>
      <c r="H1482" s="41" t="n"/>
      <c r="I1482" s="50" t="n"/>
      <c r="J1482" s="42" t="n"/>
      <c r="K1482" s="42" t="n"/>
      <c r="L1482" s="43">
        <f>IF($B1482="","",ROUND((N($J1482)+N($K1482))*نسبة_القيمة_المضافة,2))</f>
        <v/>
      </c>
      <c r="M1482" s="42" t="n"/>
      <c r="N1482" s="42" t="n"/>
      <c r="O1482" s="43">
        <f>IF($B1482="","",N($J1482)+N($K1482)+N($L1482)-N($M1482)+N($N1482))</f>
        <v/>
      </c>
      <c r="P1482" s="42" t="n"/>
      <c r="Q1482" s="43">
        <f>IF($B1482="","",N($O1482)-N($P1482))</f>
        <v/>
      </c>
      <c r="R1482" s="42" t="n"/>
      <c r="S1482" s="42" t="n"/>
      <c r="T1482" s="42" t="n"/>
      <c r="U1482" s="43">
        <f>IF($B1482="","",N($J1482)-N($R1482)-N($T1482))</f>
        <v/>
      </c>
      <c r="V1482" s="42" t="n"/>
    </row>
    <row r="1483">
      <c r="A1483" s="39">
        <f>IF($B1483="","",COUNTA($B$4:$B1483))</f>
        <v/>
      </c>
      <c r="B1483" s="45" t="n"/>
      <c r="C1483" s="46" t="n"/>
      <c r="D1483" s="46" t="n"/>
      <c r="E1483" s="46" t="n"/>
      <c r="F1483" s="46" t="n"/>
      <c r="G1483" s="46" t="n"/>
      <c r="H1483" s="46" t="n"/>
      <c r="I1483" s="51" t="n"/>
      <c r="J1483" s="47" t="n"/>
      <c r="K1483" s="47" t="n"/>
      <c r="L1483" s="43">
        <f>IF($B1483="","",ROUND((N($J1483)+N($K1483))*نسبة_القيمة_المضافة,2))</f>
        <v/>
      </c>
      <c r="M1483" s="47" t="n"/>
      <c r="N1483" s="47" t="n"/>
      <c r="O1483" s="43">
        <f>IF($B1483="","",N($J1483)+N($K1483)+N($L1483)-N($M1483)+N($N1483))</f>
        <v/>
      </c>
      <c r="P1483" s="47" t="n"/>
      <c r="Q1483" s="43">
        <f>IF($B1483="","",N($O1483)-N($P1483))</f>
        <v/>
      </c>
      <c r="R1483" s="47" t="n"/>
      <c r="S1483" s="47" t="n"/>
      <c r="T1483" s="47" t="n"/>
      <c r="U1483" s="43">
        <f>IF($B1483="","",N($J1483)-N($R1483)-N($T1483))</f>
        <v/>
      </c>
      <c r="V1483" s="47" t="n"/>
    </row>
    <row r="1484">
      <c r="A1484" s="39">
        <f>IF($B1484="","",COUNTA($B$4:$B1484))</f>
        <v/>
      </c>
      <c r="B1484" s="40" t="n"/>
      <c r="C1484" s="41" t="n"/>
      <c r="D1484" s="41" t="n"/>
      <c r="E1484" s="41" t="n"/>
      <c r="F1484" s="41" t="n"/>
      <c r="G1484" s="41" t="n"/>
      <c r="H1484" s="41" t="n"/>
      <c r="I1484" s="50" t="n"/>
      <c r="J1484" s="42" t="n"/>
      <c r="K1484" s="42" t="n"/>
      <c r="L1484" s="43">
        <f>IF($B1484="","",ROUND((N($J1484)+N($K1484))*نسبة_القيمة_المضافة,2))</f>
        <v/>
      </c>
      <c r="M1484" s="42" t="n"/>
      <c r="N1484" s="42" t="n"/>
      <c r="O1484" s="43">
        <f>IF($B1484="","",N($J1484)+N($K1484)+N($L1484)-N($M1484)+N($N1484))</f>
        <v/>
      </c>
      <c r="P1484" s="42" t="n"/>
      <c r="Q1484" s="43">
        <f>IF($B1484="","",N($O1484)-N($P1484))</f>
        <v/>
      </c>
      <c r="R1484" s="42" t="n"/>
      <c r="S1484" s="42" t="n"/>
      <c r="T1484" s="42" t="n"/>
      <c r="U1484" s="43">
        <f>IF($B1484="","",N($J1484)-N($R1484)-N($T1484))</f>
        <v/>
      </c>
      <c r="V1484" s="42" t="n"/>
    </row>
    <row r="1485">
      <c r="A1485" s="39">
        <f>IF($B1485="","",COUNTA($B$4:$B1485))</f>
        <v/>
      </c>
      <c r="B1485" s="45" t="n"/>
      <c r="C1485" s="46" t="n"/>
      <c r="D1485" s="46" t="n"/>
      <c r="E1485" s="46" t="n"/>
      <c r="F1485" s="46" t="n"/>
      <c r="G1485" s="46" t="n"/>
      <c r="H1485" s="46" t="n"/>
      <c r="I1485" s="51" t="n"/>
      <c r="J1485" s="47" t="n"/>
      <c r="K1485" s="47" t="n"/>
      <c r="L1485" s="43">
        <f>IF($B1485="","",ROUND((N($J1485)+N($K1485))*نسبة_القيمة_المضافة,2))</f>
        <v/>
      </c>
      <c r="M1485" s="47" t="n"/>
      <c r="N1485" s="47" t="n"/>
      <c r="O1485" s="43">
        <f>IF($B1485="","",N($J1485)+N($K1485)+N($L1485)-N($M1485)+N($N1485))</f>
        <v/>
      </c>
      <c r="P1485" s="47" t="n"/>
      <c r="Q1485" s="43">
        <f>IF($B1485="","",N($O1485)-N($P1485))</f>
        <v/>
      </c>
      <c r="R1485" s="47" t="n"/>
      <c r="S1485" s="47" t="n"/>
      <c r="T1485" s="47" t="n"/>
      <c r="U1485" s="43">
        <f>IF($B1485="","",N($J1485)-N($R1485)-N($T1485))</f>
        <v/>
      </c>
      <c r="V1485" s="47" t="n"/>
    </row>
    <row r="1486">
      <c r="A1486" s="39">
        <f>IF($B1486="","",COUNTA($B$4:$B1486))</f>
        <v/>
      </c>
      <c r="B1486" s="40" t="n"/>
      <c r="C1486" s="41" t="n"/>
      <c r="D1486" s="41" t="n"/>
      <c r="E1486" s="41" t="n"/>
      <c r="F1486" s="41" t="n"/>
      <c r="G1486" s="41" t="n"/>
      <c r="H1486" s="41" t="n"/>
      <c r="I1486" s="50" t="n"/>
      <c r="J1486" s="42" t="n"/>
      <c r="K1486" s="42" t="n"/>
      <c r="L1486" s="43">
        <f>IF($B1486="","",ROUND((N($J1486)+N($K1486))*نسبة_القيمة_المضافة,2))</f>
        <v/>
      </c>
      <c r="M1486" s="42" t="n"/>
      <c r="N1486" s="42" t="n"/>
      <c r="O1486" s="43">
        <f>IF($B1486="","",N($J1486)+N($K1486)+N($L1486)-N($M1486)+N($N1486))</f>
        <v/>
      </c>
      <c r="P1486" s="42" t="n"/>
      <c r="Q1486" s="43">
        <f>IF($B1486="","",N($O1486)-N($P1486))</f>
        <v/>
      </c>
      <c r="R1486" s="42" t="n"/>
      <c r="S1486" s="42" t="n"/>
      <c r="T1486" s="42" t="n"/>
      <c r="U1486" s="43">
        <f>IF($B1486="","",N($J1486)-N($R1486)-N($T1486))</f>
        <v/>
      </c>
      <c r="V1486" s="42" t="n"/>
    </row>
    <row r="1487">
      <c r="A1487" s="39">
        <f>IF($B1487="","",COUNTA($B$4:$B1487))</f>
        <v/>
      </c>
      <c r="B1487" s="45" t="n"/>
      <c r="C1487" s="46" t="n"/>
      <c r="D1487" s="46" t="n"/>
      <c r="E1487" s="46" t="n"/>
      <c r="F1487" s="46" t="n"/>
      <c r="G1487" s="46" t="n"/>
      <c r="H1487" s="46" t="n"/>
      <c r="I1487" s="51" t="n"/>
      <c r="J1487" s="47" t="n"/>
      <c r="K1487" s="47" t="n"/>
      <c r="L1487" s="43">
        <f>IF($B1487="","",ROUND((N($J1487)+N($K1487))*نسبة_القيمة_المضافة,2))</f>
        <v/>
      </c>
      <c r="M1487" s="47" t="n"/>
      <c r="N1487" s="47" t="n"/>
      <c r="O1487" s="43">
        <f>IF($B1487="","",N($J1487)+N($K1487)+N($L1487)-N($M1487)+N($N1487))</f>
        <v/>
      </c>
      <c r="P1487" s="47" t="n"/>
      <c r="Q1487" s="43">
        <f>IF($B1487="","",N($O1487)-N($P1487))</f>
        <v/>
      </c>
      <c r="R1487" s="47" t="n"/>
      <c r="S1487" s="47" t="n"/>
      <c r="T1487" s="47" t="n"/>
      <c r="U1487" s="43">
        <f>IF($B1487="","",N($J1487)-N($R1487)-N($T1487))</f>
        <v/>
      </c>
      <c r="V1487" s="47" t="n"/>
    </row>
    <row r="1488">
      <c r="A1488" s="39">
        <f>IF($B1488="","",COUNTA($B$4:$B1488))</f>
        <v/>
      </c>
      <c r="B1488" s="40" t="n"/>
      <c r="C1488" s="41" t="n"/>
      <c r="D1488" s="41" t="n"/>
      <c r="E1488" s="41" t="n"/>
      <c r="F1488" s="41" t="n"/>
      <c r="G1488" s="41" t="n"/>
      <c r="H1488" s="41" t="n"/>
      <c r="I1488" s="50" t="n"/>
      <c r="J1488" s="42" t="n"/>
      <c r="K1488" s="42" t="n"/>
      <c r="L1488" s="43">
        <f>IF($B1488="","",ROUND((N($J1488)+N($K1488))*نسبة_القيمة_المضافة,2))</f>
        <v/>
      </c>
      <c r="M1488" s="42" t="n"/>
      <c r="N1488" s="42" t="n"/>
      <c r="O1488" s="43">
        <f>IF($B1488="","",N($J1488)+N($K1488)+N($L1488)-N($M1488)+N($N1488))</f>
        <v/>
      </c>
      <c r="P1488" s="42" t="n"/>
      <c r="Q1488" s="43">
        <f>IF($B1488="","",N($O1488)-N($P1488))</f>
        <v/>
      </c>
      <c r="R1488" s="42" t="n"/>
      <c r="S1488" s="42" t="n"/>
      <c r="T1488" s="42" t="n"/>
      <c r="U1488" s="43">
        <f>IF($B1488="","",N($J1488)-N($R1488)-N($T1488))</f>
        <v/>
      </c>
      <c r="V1488" s="42" t="n"/>
    </row>
    <row r="1489">
      <c r="A1489" s="39">
        <f>IF($B1489="","",COUNTA($B$4:$B1489))</f>
        <v/>
      </c>
      <c r="B1489" s="45" t="n"/>
      <c r="C1489" s="46" t="n"/>
      <c r="D1489" s="46" t="n"/>
      <c r="E1489" s="46" t="n"/>
      <c r="F1489" s="46" t="n"/>
      <c r="G1489" s="46" t="n"/>
      <c r="H1489" s="46" t="n"/>
      <c r="I1489" s="51" t="n"/>
      <c r="J1489" s="47" t="n"/>
      <c r="K1489" s="47" t="n"/>
      <c r="L1489" s="43">
        <f>IF($B1489="","",ROUND((N($J1489)+N($K1489))*نسبة_القيمة_المضافة,2))</f>
        <v/>
      </c>
      <c r="M1489" s="47" t="n"/>
      <c r="N1489" s="47" t="n"/>
      <c r="O1489" s="43">
        <f>IF($B1489="","",N($J1489)+N($K1489)+N($L1489)-N($M1489)+N($N1489))</f>
        <v/>
      </c>
      <c r="P1489" s="47" t="n"/>
      <c r="Q1489" s="43">
        <f>IF($B1489="","",N($O1489)-N($P1489))</f>
        <v/>
      </c>
      <c r="R1489" s="47" t="n"/>
      <c r="S1489" s="47" t="n"/>
      <c r="T1489" s="47" t="n"/>
      <c r="U1489" s="43">
        <f>IF($B1489="","",N($J1489)-N($R1489)-N($T1489))</f>
        <v/>
      </c>
      <c r="V1489" s="47" t="n"/>
    </row>
    <row r="1490">
      <c r="A1490" s="39">
        <f>IF($B1490="","",COUNTA($B$4:$B1490))</f>
        <v/>
      </c>
      <c r="B1490" s="40" t="n"/>
      <c r="C1490" s="41" t="n"/>
      <c r="D1490" s="41" t="n"/>
      <c r="E1490" s="41" t="n"/>
      <c r="F1490" s="41" t="n"/>
      <c r="G1490" s="41" t="n"/>
      <c r="H1490" s="41" t="n"/>
      <c r="I1490" s="50" t="n"/>
      <c r="J1490" s="42" t="n"/>
      <c r="K1490" s="42" t="n"/>
      <c r="L1490" s="43">
        <f>IF($B1490="","",ROUND((N($J1490)+N($K1490))*نسبة_القيمة_المضافة,2))</f>
        <v/>
      </c>
      <c r="M1490" s="42" t="n"/>
      <c r="N1490" s="42" t="n"/>
      <c r="O1490" s="43">
        <f>IF($B1490="","",N($J1490)+N($K1490)+N($L1490)-N($M1490)+N($N1490))</f>
        <v/>
      </c>
      <c r="P1490" s="42" t="n"/>
      <c r="Q1490" s="43">
        <f>IF($B1490="","",N($O1490)-N($P1490))</f>
        <v/>
      </c>
      <c r="R1490" s="42" t="n"/>
      <c r="S1490" s="42" t="n"/>
      <c r="T1490" s="42" t="n"/>
      <c r="U1490" s="43">
        <f>IF($B1490="","",N($J1490)-N($R1490)-N($T1490))</f>
        <v/>
      </c>
      <c r="V1490" s="42" t="n"/>
    </row>
    <row r="1491">
      <c r="A1491" s="39">
        <f>IF($B1491="","",COUNTA($B$4:$B1491))</f>
        <v/>
      </c>
      <c r="B1491" s="45" t="n"/>
      <c r="C1491" s="46" t="n"/>
      <c r="D1491" s="46" t="n"/>
      <c r="E1491" s="46" t="n"/>
      <c r="F1491" s="46" t="n"/>
      <c r="G1491" s="46" t="n"/>
      <c r="H1491" s="46" t="n"/>
      <c r="I1491" s="51" t="n"/>
      <c r="J1491" s="47" t="n"/>
      <c r="K1491" s="47" t="n"/>
      <c r="L1491" s="43">
        <f>IF($B1491="","",ROUND((N($J1491)+N($K1491))*نسبة_القيمة_المضافة,2))</f>
        <v/>
      </c>
      <c r="M1491" s="47" t="n"/>
      <c r="N1491" s="47" t="n"/>
      <c r="O1491" s="43">
        <f>IF($B1491="","",N($J1491)+N($K1491)+N($L1491)-N($M1491)+N($N1491))</f>
        <v/>
      </c>
      <c r="P1491" s="47" t="n"/>
      <c r="Q1491" s="43">
        <f>IF($B1491="","",N($O1491)-N($P1491))</f>
        <v/>
      </c>
      <c r="R1491" s="47" t="n"/>
      <c r="S1491" s="47" t="n"/>
      <c r="T1491" s="47" t="n"/>
      <c r="U1491" s="43">
        <f>IF($B1491="","",N($J1491)-N($R1491)-N($T1491))</f>
        <v/>
      </c>
      <c r="V1491" s="47" t="n"/>
    </row>
    <row r="1492">
      <c r="A1492" s="39">
        <f>IF($B1492="","",COUNTA($B$4:$B1492))</f>
        <v/>
      </c>
      <c r="B1492" s="40" t="n"/>
      <c r="C1492" s="41" t="n"/>
      <c r="D1492" s="41" t="n"/>
      <c r="E1492" s="41" t="n"/>
      <c r="F1492" s="41" t="n"/>
      <c r="G1492" s="41" t="n"/>
      <c r="H1492" s="41" t="n"/>
      <c r="I1492" s="50" t="n"/>
      <c r="J1492" s="42" t="n"/>
      <c r="K1492" s="42" t="n"/>
      <c r="L1492" s="43">
        <f>IF($B1492="","",ROUND((N($J1492)+N($K1492))*نسبة_القيمة_المضافة,2))</f>
        <v/>
      </c>
      <c r="M1492" s="42" t="n"/>
      <c r="N1492" s="42" t="n"/>
      <c r="O1492" s="43">
        <f>IF($B1492="","",N($J1492)+N($K1492)+N($L1492)-N($M1492)+N($N1492))</f>
        <v/>
      </c>
      <c r="P1492" s="42" t="n"/>
      <c r="Q1492" s="43">
        <f>IF($B1492="","",N($O1492)-N($P1492))</f>
        <v/>
      </c>
      <c r="R1492" s="42" t="n"/>
      <c r="S1492" s="42" t="n"/>
      <c r="T1492" s="42" t="n"/>
      <c r="U1492" s="43">
        <f>IF($B1492="","",N($J1492)-N($R1492)-N($T1492))</f>
        <v/>
      </c>
      <c r="V1492" s="42" t="n"/>
    </row>
    <row r="1493">
      <c r="A1493" s="39">
        <f>IF($B1493="","",COUNTA($B$4:$B1493))</f>
        <v/>
      </c>
      <c r="B1493" s="45" t="n"/>
      <c r="C1493" s="46" t="n"/>
      <c r="D1493" s="46" t="n"/>
      <c r="E1493" s="46" t="n"/>
      <c r="F1493" s="46" t="n"/>
      <c r="G1493" s="46" t="n"/>
      <c r="H1493" s="46" t="n"/>
      <c r="I1493" s="51" t="n"/>
      <c r="J1493" s="47" t="n"/>
      <c r="K1493" s="47" t="n"/>
      <c r="L1493" s="43">
        <f>IF($B1493="","",ROUND((N($J1493)+N($K1493))*نسبة_القيمة_المضافة,2))</f>
        <v/>
      </c>
      <c r="M1493" s="47" t="n"/>
      <c r="N1493" s="47" t="n"/>
      <c r="O1493" s="43">
        <f>IF($B1493="","",N($J1493)+N($K1493)+N($L1493)-N($M1493)+N($N1493))</f>
        <v/>
      </c>
      <c r="P1493" s="47" t="n"/>
      <c r="Q1493" s="43">
        <f>IF($B1493="","",N($O1493)-N($P1493))</f>
        <v/>
      </c>
      <c r="R1493" s="47" t="n"/>
      <c r="S1493" s="47" t="n"/>
      <c r="T1493" s="47" t="n"/>
      <c r="U1493" s="43">
        <f>IF($B1493="","",N($J1493)-N($R1493)-N($T1493))</f>
        <v/>
      </c>
      <c r="V1493" s="47" t="n"/>
    </row>
    <row r="1494">
      <c r="A1494" s="39">
        <f>IF($B1494="","",COUNTA($B$4:$B1494))</f>
        <v/>
      </c>
      <c r="B1494" s="40" t="n"/>
      <c r="C1494" s="41" t="n"/>
      <c r="D1494" s="41" t="n"/>
      <c r="E1494" s="41" t="n"/>
      <c r="F1494" s="41" t="n"/>
      <c r="G1494" s="41" t="n"/>
      <c r="H1494" s="41" t="n"/>
      <c r="I1494" s="50" t="n"/>
      <c r="J1494" s="42" t="n"/>
      <c r="K1494" s="42" t="n"/>
      <c r="L1494" s="43">
        <f>IF($B1494="","",ROUND((N($J1494)+N($K1494))*نسبة_القيمة_المضافة,2))</f>
        <v/>
      </c>
      <c r="M1494" s="42" t="n"/>
      <c r="N1494" s="42" t="n"/>
      <c r="O1494" s="43">
        <f>IF($B1494="","",N($J1494)+N($K1494)+N($L1494)-N($M1494)+N($N1494))</f>
        <v/>
      </c>
      <c r="P1494" s="42" t="n"/>
      <c r="Q1494" s="43">
        <f>IF($B1494="","",N($O1494)-N($P1494))</f>
        <v/>
      </c>
      <c r="R1494" s="42" t="n"/>
      <c r="S1494" s="42" t="n"/>
      <c r="T1494" s="42" t="n"/>
      <c r="U1494" s="43">
        <f>IF($B1494="","",N($J1494)-N($R1494)-N($T1494))</f>
        <v/>
      </c>
      <c r="V1494" s="42" t="n"/>
    </row>
    <row r="1495">
      <c r="A1495" s="39">
        <f>IF($B1495="","",COUNTA($B$4:$B1495))</f>
        <v/>
      </c>
      <c r="B1495" s="45" t="n"/>
      <c r="C1495" s="46" t="n"/>
      <c r="D1495" s="46" t="n"/>
      <c r="E1495" s="46" t="n"/>
      <c r="F1495" s="46" t="n"/>
      <c r="G1495" s="46" t="n"/>
      <c r="H1495" s="46" t="n"/>
      <c r="I1495" s="51" t="n"/>
      <c r="J1495" s="47" t="n"/>
      <c r="K1495" s="47" t="n"/>
      <c r="L1495" s="43">
        <f>IF($B1495="","",ROUND((N($J1495)+N($K1495))*نسبة_القيمة_المضافة,2))</f>
        <v/>
      </c>
      <c r="M1495" s="47" t="n"/>
      <c r="N1495" s="47" t="n"/>
      <c r="O1495" s="43">
        <f>IF($B1495="","",N($J1495)+N($K1495)+N($L1495)-N($M1495)+N($N1495))</f>
        <v/>
      </c>
      <c r="P1495" s="47" t="n"/>
      <c r="Q1495" s="43">
        <f>IF($B1495="","",N($O1495)-N($P1495))</f>
        <v/>
      </c>
      <c r="R1495" s="47" t="n"/>
      <c r="S1495" s="47" t="n"/>
      <c r="T1495" s="47" t="n"/>
      <c r="U1495" s="43">
        <f>IF($B1495="","",N($J1495)-N($R1495)-N($T1495))</f>
        <v/>
      </c>
      <c r="V1495" s="47" t="n"/>
    </row>
    <row r="1496">
      <c r="A1496" s="39">
        <f>IF($B1496="","",COUNTA($B$4:$B1496))</f>
        <v/>
      </c>
      <c r="B1496" s="40" t="n"/>
      <c r="C1496" s="41" t="n"/>
      <c r="D1496" s="41" t="n"/>
      <c r="E1496" s="41" t="n"/>
      <c r="F1496" s="41" t="n"/>
      <c r="G1496" s="41" t="n"/>
      <c r="H1496" s="41" t="n"/>
      <c r="I1496" s="50" t="n"/>
      <c r="J1496" s="42" t="n"/>
      <c r="K1496" s="42" t="n"/>
      <c r="L1496" s="43">
        <f>IF($B1496="","",ROUND((N($J1496)+N($K1496))*نسبة_القيمة_المضافة,2))</f>
        <v/>
      </c>
      <c r="M1496" s="42" t="n"/>
      <c r="N1496" s="42" t="n"/>
      <c r="O1496" s="43">
        <f>IF($B1496="","",N($J1496)+N($K1496)+N($L1496)-N($M1496)+N($N1496))</f>
        <v/>
      </c>
      <c r="P1496" s="42" t="n"/>
      <c r="Q1496" s="43">
        <f>IF($B1496="","",N($O1496)-N($P1496))</f>
        <v/>
      </c>
      <c r="R1496" s="42" t="n"/>
      <c r="S1496" s="42" t="n"/>
      <c r="T1496" s="42" t="n"/>
      <c r="U1496" s="43">
        <f>IF($B1496="","",N($J1496)-N($R1496)-N($T1496))</f>
        <v/>
      </c>
      <c r="V1496" s="42" t="n"/>
    </row>
    <row r="1497">
      <c r="A1497" s="39">
        <f>IF($B1497="","",COUNTA($B$4:$B1497))</f>
        <v/>
      </c>
      <c r="B1497" s="45" t="n"/>
      <c r="C1497" s="46" t="n"/>
      <c r="D1497" s="46" t="n"/>
      <c r="E1497" s="46" t="n"/>
      <c r="F1497" s="46" t="n"/>
      <c r="G1497" s="46" t="n"/>
      <c r="H1497" s="46" t="n"/>
      <c r="I1497" s="51" t="n"/>
      <c r="J1497" s="47" t="n"/>
      <c r="K1497" s="47" t="n"/>
      <c r="L1497" s="43">
        <f>IF($B1497="","",ROUND((N($J1497)+N($K1497))*نسبة_القيمة_المضافة,2))</f>
        <v/>
      </c>
      <c r="M1497" s="47" t="n"/>
      <c r="N1497" s="47" t="n"/>
      <c r="O1497" s="43">
        <f>IF($B1497="","",N($J1497)+N($K1497)+N($L1497)-N($M1497)+N($N1497))</f>
        <v/>
      </c>
      <c r="P1497" s="47" t="n"/>
      <c r="Q1497" s="43">
        <f>IF($B1497="","",N($O1497)-N($P1497))</f>
        <v/>
      </c>
      <c r="R1497" s="47" t="n"/>
      <c r="S1497" s="47" t="n"/>
      <c r="T1497" s="47" t="n"/>
      <c r="U1497" s="43">
        <f>IF($B1497="","",N($J1497)-N($R1497)-N($T1497))</f>
        <v/>
      </c>
      <c r="V1497" s="47" t="n"/>
    </row>
    <row r="1498">
      <c r="A1498" s="39">
        <f>IF($B1498="","",COUNTA($B$4:$B1498))</f>
        <v/>
      </c>
      <c r="B1498" s="40" t="n"/>
      <c r="C1498" s="41" t="n"/>
      <c r="D1498" s="41" t="n"/>
      <c r="E1498" s="41" t="n"/>
      <c r="F1498" s="41" t="n"/>
      <c r="G1498" s="41" t="n"/>
      <c r="H1498" s="41" t="n"/>
      <c r="I1498" s="50" t="n"/>
      <c r="J1498" s="42" t="n"/>
      <c r="K1498" s="42" t="n"/>
      <c r="L1498" s="43">
        <f>IF($B1498="","",ROUND((N($J1498)+N($K1498))*نسبة_القيمة_المضافة,2))</f>
        <v/>
      </c>
      <c r="M1498" s="42" t="n"/>
      <c r="N1498" s="42" t="n"/>
      <c r="O1498" s="43">
        <f>IF($B1498="","",N($J1498)+N($K1498)+N($L1498)-N($M1498)+N($N1498))</f>
        <v/>
      </c>
      <c r="P1498" s="42" t="n"/>
      <c r="Q1498" s="43">
        <f>IF($B1498="","",N($O1498)-N($P1498))</f>
        <v/>
      </c>
      <c r="R1498" s="42" t="n"/>
      <c r="S1498" s="42" t="n"/>
      <c r="T1498" s="42" t="n"/>
      <c r="U1498" s="43">
        <f>IF($B1498="","",N($J1498)-N($R1498)-N($T1498))</f>
        <v/>
      </c>
      <c r="V1498" s="42" t="n"/>
    </row>
    <row r="1499">
      <c r="A1499" s="39">
        <f>IF($B1499="","",COUNTA($B$4:$B1499))</f>
        <v/>
      </c>
      <c r="B1499" s="45" t="n"/>
      <c r="C1499" s="46" t="n"/>
      <c r="D1499" s="46" t="n"/>
      <c r="E1499" s="46" t="n"/>
      <c r="F1499" s="46" t="n"/>
      <c r="G1499" s="46" t="n"/>
      <c r="H1499" s="46" t="n"/>
      <c r="I1499" s="51" t="n"/>
      <c r="J1499" s="47" t="n"/>
      <c r="K1499" s="47" t="n"/>
      <c r="L1499" s="43">
        <f>IF($B1499="","",ROUND((N($J1499)+N($K1499))*نسبة_القيمة_المضافة,2))</f>
        <v/>
      </c>
      <c r="M1499" s="47" t="n"/>
      <c r="N1499" s="47" t="n"/>
      <c r="O1499" s="43">
        <f>IF($B1499="","",N($J1499)+N($K1499)+N($L1499)-N($M1499)+N($N1499))</f>
        <v/>
      </c>
      <c r="P1499" s="47" t="n"/>
      <c r="Q1499" s="43">
        <f>IF($B1499="","",N($O1499)-N($P1499))</f>
        <v/>
      </c>
      <c r="R1499" s="47" t="n"/>
      <c r="S1499" s="47" t="n"/>
      <c r="T1499" s="47" t="n"/>
      <c r="U1499" s="43">
        <f>IF($B1499="","",N($J1499)-N($R1499)-N($T1499))</f>
        <v/>
      </c>
      <c r="V1499" s="47" t="n"/>
    </row>
    <row r="1500">
      <c r="A1500" s="39">
        <f>IF($B1500="","",COUNTA($B$4:$B1500))</f>
        <v/>
      </c>
      <c r="B1500" s="40" t="n"/>
      <c r="C1500" s="41" t="n"/>
      <c r="D1500" s="41" t="n"/>
      <c r="E1500" s="41" t="n"/>
      <c r="F1500" s="41" t="n"/>
      <c r="G1500" s="41" t="n"/>
      <c r="H1500" s="41" t="n"/>
      <c r="I1500" s="50" t="n"/>
      <c r="J1500" s="42" t="n"/>
      <c r="K1500" s="42" t="n"/>
      <c r="L1500" s="43">
        <f>IF($B1500="","",ROUND((N($J1500)+N($K1500))*نسبة_القيمة_المضافة,2))</f>
        <v/>
      </c>
      <c r="M1500" s="42" t="n"/>
      <c r="N1500" s="42" t="n"/>
      <c r="O1500" s="43">
        <f>IF($B1500="","",N($J1500)+N($K1500)+N($L1500)-N($M1500)+N($N1500))</f>
        <v/>
      </c>
      <c r="P1500" s="42" t="n"/>
      <c r="Q1500" s="43">
        <f>IF($B1500="","",N($O1500)-N($P1500))</f>
        <v/>
      </c>
      <c r="R1500" s="42" t="n"/>
      <c r="S1500" s="42" t="n"/>
      <c r="T1500" s="42" t="n"/>
      <c r="U1500" s="43">
        <f>IF($B1500="","",N($J1500)-N($R1500)-N($T1500))</f>
        <v/>
      </c>
      <c r="V1500" s="42" t="n"/>
    </row>
    <row r="1501">
      <c r="A1501" s="39">
        <f>IF($B1501="","",COUNTA($B$4:$B1501))</f>
        <v/>
      </c>
      <c r="B1501" s="45" t="n"/>
      <c r="C1501" s="46" t="n"/>
      <c r="D1501" s="46" t="n"/>
      <c r="E1501" s="46" t="n"/>
      <c r="F1501" s="46" t="n"/>
      <c r="G1501" s="46" t="n"/>
      <c r="H1501" s="46" t="n"/>
      <c r="I1501" s="51" t="n"/>
      <c r="J1501" s="47" t="n"/>
      <c r="K1501" s="47" t="n"/>
      <c r="L1501" s="43">
        <f>IF($B1501="","",ROUND((N($J1501)+N($K1501))*نسبة_القيمة_المضافة,2))</f>
        <v/>
      </c>
      <c r="M1501" s="47" t="n"/>
      <c r="N1501" s="47" t="n"/>
      <c r="O1501" s="43">
        <f>IF($B1501="","",N($J1501)+N($K1501)+N($L1501)-N($M1501)+N($N1501))</f>
        <v/>
      </c>
      <c r="P1501" s="47" t="n"/>
      <c r="Q1501" s="43">
        <f>IF($B1501="","",N($O1501)-N($P1501))</f>
        <v/>
      </c>
      <c r="R1501" s="47" t="n"/>
      <c r="S1501" s="47" t="n"/>
      <c r="T1501" s="47" t="n"/>
      <c r="U1501" s="43">
        <f>IF($B1501="","",N($J1501)-N($R1501)-N($T1501))</f>
        <v/>
      </c>
      <c r="V1501" s="47" t="n"/>
    </row>
    <row r="1502">
      <c r="A1502" s="39">
        <f>IF($B1502="","",COUNTA($B$4:$B1502))</f>
        <v/>
      </c>
      <c r="B1502" s="40" t="n"/>
      <c r="C1502" s="41" t="n"/>
      <c r="D1502" s="41" t="n"/>
      <c r="E1502" s="41" t="n"/>
      <c r="F1502" s="41" t="n"/>
      <c r="G1502" s="41" t="n"/>
      <c r="H1502" s="41" t="n"/>
      <c r="I1502" s="50" t="n"/>
      <c r="J1502" s="42" t="n"/>
      <c r="K1502" s="42" t="n"/>
      <c r="L1502" s="43">
        <f>IF($B1502="","",ROUND((N($J1502)+N($K1502))*نسبة_القيمة_المضافة,2))</f>
        <v/>
      </c>
      <c r="M1502" s="42" t="n"/>
      <c r="N1502" s="42" t="n"/>
      <c r="O1502" s="43">
        <f>IF($B1502="","",N($J1502)+N($K1502)+N($L1502)-N($M1502)+N($N1502))</f>
        <v/>
      </c>
      <c r="P1502" s="42" t="n"/>
      <c r="Q1502" s="43">
        <f>IF($B1502="","",N($O1502)-N($P1502))</f>
        <v/>
      </c>
      <c r="R1502" s="42" t="n"/>
      <c r="S1502" s="42" t="n"/>
      <c r="T1502" s="42" t="n"/>
      <c r="U1502" s="43">
        <f>IF($B1502="","",N($J1502)-N($R1502)-N($T1502))</f>
        <v/>
      </c>
      <c r="V1502" s="42" t="n"/>
    </row>
    <row r="1503">
      <c r="A1503" s="39">
        <f>IF($B1503="","",COUNTA($B$4:$B1503))</f>
        <v/>
      </c>
      <c r="B1503" s="45" t="n"/>
      <c r="C1503" s="46" t="n"/>
      <c r="D1503" s="46" t="n"/>
      <c r="E1503" s="46" t="n"/>
      <c r="F1503" s="46" t="n"/>
      <c r="G1503" s="46" t="n"/>
      <c r="H1503" s="46" t="n"/>
      <c r="I1503" s="51" t="n"/>
      <c r="J1503" s="47" t="n"/>
      <c r="K1503" s="47" t="n"/>
      <c r="L1503" s="43">
        <f>IF($B1503="","",ROUND((N($J1503)+N($K1503))*نسبة_القيمة_المضافة,2))</f>
        <v/>
      </c>
      <c r="M1503" s="47" t="n"/>
      <c r="N1503" s="47" t="n"/>
      <c r="O1503" s="43">
        <f>IF($B1503="","",N($J1503)+N($K1503)+N($L1503)-N($M1503)+N($N1503))</f>
        <v/>
      </c>
      <c r="P1503" s="47" t="n"/>
      <c r="Q1503" s="43">
        <f>IF($B1503="","",N($O1503)-N($P1503))</f>
        <v/>
      </c>
      <c r="R1503" s="47" t="n"/>
      <c r="S1503" s="47" t="n"/>
      <c r="T1503" s="47" t="n"/>
      <c r="U1503" s="43">
        <f>IF($B1503="","",N($J1503)-N($R1503)-N($T1503))</f>
        <v/>
      </c>
      <c r="V1503" s="47" t="n"/>
    </row>
    <row r="1504">
      <c r="A1504" s="39">
        <f>IF($B1504="","",COUNTA($B$4:$B1504))</f>
        <v/>
      </c>
      <c r="B1504" s="40" t="n"/>
      <c r="C1504" s="41" t="n"/>
      <c r="D1504" s="41" t="n"/>
      <c r="E1504" s="41" t="n"/>
      <c r="F1504" s="41" t="n"/>
      <c r="G1504" s="41" t="n"/>
      <c r="H1504" s="41" t="n"/>
      <c r="I1504" s="50" t="n"/>
      <c r="J1504" s="42" t="n"/>
      <c r="K1504" s="42" t="n"/>
      <c r="L1504" s="43">
        <f>IF($B1504="","",ROUND((N($J1504)+N($K1504))*نسبة_القيمة_المضافة,2))</f>
        <v/>
      </c>
      <c r="M1504" s="42" t="n"/>
      <c r="N1504" s="42" t="n"/>
      <c r="O1504" s="43">
        <f>IF($B1504="","",N($J1504)+N($K1504)+N($L1504)-N($M1504)+N($N1504))</f>
        <v/>
      </c>
      <c r="P1504" s="42" t="n"/>
      <c r="Q1504" s="43">
        <f>IF($B1504="","",N($O1504)-N($P1504))</f>
        <v/>
      </c>
      <c r="R1504" s="42" t="n"/>
      <c r="S1504" s="42" t="n"/>
      <c r="T1504" s="42" t="n"/>
      <c r="U1504" s="43">
        <f>IF($B1504="","",N($J1504)-N($R1504)-N($T1504))</f>
        <v/>
      </c>
      <c r="V1504" s="42" t="n"/>
    </row>
    <row r="1505">
      <c r="A1505" s="39">
        <f>IF($B1505="","",COUNTA($B$4:$B1505))</f>
        <v/>
      </c>
      <c r="B1505" s="45" t="n"/>
      <c r="C1505" s="46" t="n"/>
      <c r="D1505" s="46" t="n"/>
      <c r="E1505" s="46" t="n"/>
      <c r="F1505" s="46" t="n"/>
      <c r="G1505" s="46" t="n"/>
      <c r="H1505" s="46" t="n"/>
      <c r="I1505" s="51" t="n"/>
      <c r="J1505" s="47" t="n"/>
      <c r="K1505" s="47" t="n"/>
      <c r="L1505" s="43">
        <f>IF($B1505="","",ROUND((N($J1505)+N($K1505))*نسبة_القيمة_المضافة,2))</f>
        <v/>
      </c>
      <c r="M1505" s="47" t="n"/>
      <c r="N1505" s="47" t="n"/>
      <c r="O1505" s="43">
        <f>IF($B1505="","",N($J1505)+N($K1505)+N($L1505)-N($M1505)+N($N1505))</f>
        <v/>
      </c>
      <c r="P1505" s="47" t="n"/>
      <c r="Q1505" s="43">
        <f>IF($B1505="","",N($O1505)-N($P1505))</f>
        <v/>
      </c>
      <c r="R1505" s="47" t="n"/>
      <c r="S1505" s="47" t="n"/>
      <c r="T1505" s="47" t="n"/>
      <c r="U1505" s="43">
        <f>IF($B1505="","",N($J1505)-N($R1505)-N($T1505))</f>
        <v/>
      </c>
      <c r="V1505" s="47" t="n"/>
    </row>
    <row r="1506">
      <c r="A1506" s="39">
        <f>IF($B1506="","",COUNTA($B$4:$B1506))</f>
        <v/>
      </c>
      <c r="B1506" s="40" t="n"/>
      <c r="C1506" s="41" t="n"/>
      <c r="D1506" s="41" t="n"/>
      <c r="E1506" s="41" t="n"/>
      <c r="F1506" s="41" t="n"/>
      <c r="G1506" s="41" t="n"/>
      <c r="H1506" s="41" t="n"/>
      <c r="I1506" s="50" t="n"/>
      <c r="J1506" s="42" t="n"/>
      <c r="K1506" s="42" t="n"/>
      <c r="L1506" s="43">
        <f>IF($B1506="","",ROUND((N($J1506)+N($K1506))*نسبة_القيمة_المضافة,2))</f>
        <v/>
      </c>
      <c r="M1506" s="42" t="n"/>
      <c r="N1506" s="42" t="n"/>
      <c r="O1506" s="43">
        <f>IF($B1506="","",N($J1506)+N($K1506)+N($L1506)-N($M1506)+N($N1506))</f>
        <v/>
      </c>
      <c r="P1506" s="42" t="n"/>
      <c r="Q1506" s="43">
        <f>IF($B1506="","",N($O1506)-N($P1506))</f>
        <v/>
      </c>
      <c r="R1506" s="42" t="n"/>
      <c r="S1506" s="42" t="n"/>
      <c r="T1506" s="42" t="n"/>
      <c r="U1506" s="43">
        <f>IF($B1506="","",N($J1506)-N($R1506)-N($T1506))</f>
        <v/>
      </c>
      <c r="V1506" s="42" t="n"/>
    </row>
    <row r="1507">
      <c r="A1507" s="39">
        <f>IF($B1507="","",COUNTA($B$4:$B1507))</f>
        <v/>
      </c>
      <c r="B1507" s="45" t="n"/>
      <c r="C1507" s="46" t="n"/>
      <c r="D1507" s="46" t="n"/>
      <c r="E1507" s="46" t="n"/>
      <c r="F1507" s="46" t="n"/>
      <c r="G1507" s="46" t="n"/>
      <c r="H1507" s="46" t="n"/>
      <c r="I1507" s="51" t="n"/>
      <c r="J1507" s="47" t="n"/>
      <c r="K1507" s="47" t="n"/>
      <c r="L1507" s="43">
        <f>IF($B1507="","",ROUND((N($J1507)+N($K1507))*نسبة_القيمة_المضافة,2))</f>
        <v/>
      </c>
      <c r="M1507" s="47" t="n"/>
      <c r="N1507" s="47" t="n"/>
      <c r="O1507" s="43">
        <f>IF($B1507="","",N($J1507)+N($K1507)+N($L1507)-N($M1507)+N($N1507))</f>
        <v/>
      </c>
      <c r="P1507" s="47" t="n"/>
      <c r="Q1507" s="43">
        <f>IF($B1507="","",N($O1507)-N($P1507))</f>
        <v/>
      </c>
      <c r="R1507" s="47" t="n"/>
      <c r="S1507" s="47" t="n"/>
      <c r="T1507" s="47" t="n"/>
      <c r="U1507" s="43">
        <f>IF($B1507="","",N($J1507)-N($R1507)-N($T1507))</f>
        <v/>
      </c>
      <c r="V1507" s="47" t="n"/>
    </row>
    <row r="1508">
      <c r="A1508" s="39">
        <f>IF($B1508="","",COUNTA($B$4:$B1508))</f>
        <v/>
      </c>
      <c r="B1508" s="40" t="n"/>
      <c r="C1508" s="41" t="n"/>
      <c r="D1508" s="41" t="n"/>
      <c r="E1508" s="41" t="n"/>
      <c r="F1508" s="41" t="n"/>
      <c r="G1508" s="41" t="n"/>
      <c r="H1508" s="41" t="n"/>
      <c r="I1508" s="50" t="n"/>
      <c r="J1508" s="42" t="n"/>
      <c r="K1508" s="42" t="n"/>
      <c r="L1508" s="43">
        <f>IF($B1508="","",ROUND((N($J1508)+N($K1508))*نسبة_القيمة_المضافة,2))</f>
        <v/>
      </c>
      <c r="M1508" s="42" t="n"/>
      <c r="N1508" s="42" t="n"/>
      <c r="O1508" s="43">
        <f>IF($B1508="","",N($J1508)+N($K1508)+N($L1508)-N($M1508)+N($N1508))</f>
        <v/>
      </c>
      <c r="P1508" s="42" t="n"/>
      <c r="Q1508" s="43">
        <f>IF($B1508="","",N($O1508)-N($P1508))</f>
        <v/>
      </c>
      <c r="R1508" s="42" t="n"/>
      <c r="S1508" s="42" t="n"/>
      <c r="T1508" s="42" t="n"/>
      <c r="U1508" s="43">
        <f>IF($B1508="","",N($J1508)-N($R1508)-N($T1508))</f>
        <v/>
      </c>
      <c r="V1508" s="42" t="n"/>
    </row>
    <row r="1509">
      <c r="A1509" s="39">
        <f>IF($B1509="","",COUNTA($B$4:$B1509))</f>
        <v/>
      </c>
      <c r="B1509" s="45" t="n"/>
      <c r="C1509" s="46" t="n"/>
      <c r="D1509" s="46" t="n"/>
      <c r="E1509" s="46" t="n"/>
      <c r="F1509" s="46" t="n"/>
      <c r="G1509" s="46" t="n"/>
      <c r="H1509" s="46" t="n"/>
      <c r="I1509" s="51" t="n"/>
      <c r="J1509" s="47" t="n"/>
      <c r="K1509" s="47" t="n"/>
      <c r="L1509" s="43">
        <f>IF($B1509="","",ROUND((N($J1509)+N($K1509))*نسبة_القيمة_المضافة,2))</f>
        <v/>
      </c>
      <c r="M1509" s="47" t="n"/>
      <c r="N1509" s="47" t="n"/>
      <c r="O1509" s="43">
        <f>IF($B1509="","",N($J1509)+N($K1509)+N($L1509)-N($M1509)+N($N1509))</f>
        <v/>
      </c>
      <c r="P1509" s="47" t="n"/>
      <c r="Q1509" s="43">
        <f>IF($B1509="","",N($O1509)-N($P1509))</f>
        <v/>
      </c>
      <c r="R1509" s="47" t="n"/>
      <c r="S1509" s="47" t="n"/>
      <c r="T1509" s="47" t="n"/>
      <c r="U1509" s="43">
        <f>IF($B1509="","",N($J1509)-N($R1509)-N($T1509))</f>
        <v/>
      </c>
      <c r="V1509" s="47" t="n"/>
    </row>
    <row r="1510">
      <c r="A1510" s="39">
        <f>IF($B1510="","",COUNTA($B$4:$B1510))</f>
        <v/>
      </c>
      <c r="B1510" s="40" t="n"/>
      <c r="C1510" s="41" t="n"/>
      <c r="D1510" s="41" t="n"/>
      <c r="E1510" s="41" t="n"/>
      <c r="F1510" s="41" t="n"/>
      <c r="G1510" s="41" t="n"/>
      <c r="H1510" s="41" t="n"/>
      <c r="I1510" s="50" t="n"/>
      <c r="J1510" s="42" t="n"/>
      <c r="K1510" s="42" t="n"/>
      <c r="L1510" s="43">
        <f>IF($B1510="","",ROUND((N($J1510)+N($K1510))*نسبة_القيمة_المضافة,2))</f>
        <v/>
      </c>
      <c r="M1510" s="42" t="n"/>
      <c r="N1510" s="42" t="n"/>
      <c r="O1510" s="43">
        <f>IF($B1510="","",N($J1510)+N($K1510)+N($L1510)-N($M1510)+N($N1510))</f>
        <v/>
      </c>
      <c r="P1510" s="42" t="n"/>
      <c r="Q1510" s="43">
        <f>IF($B1510="","",N($O1510)-N($P1510))</f>
        <v/>
      </c>
      <c r="R1510" s="42" t="n"/>
      <c r="S1510" s="42" t="n"/>
      <c r="T1510" s="42" t="n"/>
      <c r="U1510" s="43">
        <f>IF($B1510="","",N($J1510)-N($R1510)-N($T1510))</f>
        <v/>
      </c>
      <c r="V1510" s="42" t="n"/>
    </row>
    <row r="1511">
      <c r="A1511" s="39">
        <f>IF($B1511="","",COUNTA($B$4:$B1511))</f>
        <v/>
      </c>
      <c r="B1511" s="45" t="n"/>
      <c r="C1511" s="46" t="n"/>
      <c r="D1511" s="46" t="n"/>
      <c r="E1511" s="46" t="n"/>
      <c r="F1511" s="46" t="n"/>
      <c r="G1511" s="46" t="n"/>
      <c r="H1511" s="46" t="n"/>
      <c r="I1511" s="51" t="n"/>
      <c r="J1511" s="47" t="n"/>
      <c r="K1511" s="47" t="n"/>
      <c r="L1511" s="43">
        <f>IF($B1511="","",ROUND((N($J1511)+N($K1511))*نسبة_القيمة_المضافة,2))</f>
        <v/>
      </c>
      <c r="M1511" s="47" t="n"/>
      <c r="N1511" s="47" t="n"/>
      <c r="O1511" s="43">
        <f>IF($B1511="","",N($J1511)+N($K1511)+N($L1511)-N($M1511)+N($N1511))</f>
        <v/>
      </c>
      <c r="P1511" s="47" t="n"/>
      <c r="Q1511" s="43">
        <f>IF($B1511="","",N($O1511)-N($P1511))</f>
        <v/>
      </c>
      <c r="R1511" s="47" t="n"/>
      <c r="S1511" s="47" t="n"/>
      <c r="T1511" s="47" t="n"/>
      <c r="U1511" s="43">
        <f>IF($B1511="","",N($J1511)-N($R1511)-N($T1511))</f>
        <v/>
      </c>
      <c r="V1511" s="47" t="n"/>
    </row>
    <row r="1512">
      <c r="A1512" s="39">
        <f>IF($B1512="","",COUNTA($B$4:$B1512))</f>
        <v/>
      </c>
      <c r="B1512" s="40" t="n"/>
      <c r="C1512" s="41" t="n"/>
      <c r="D1512" s="41" t="n"/>
      <c r="E1512" s="41" t="n"/>
      <c r="F1512" s="41" t="n"/>
      <c r="G1512" s="41" t="n"/>
      <c r="H1512" s="41" t="n"/>
      <c r="I1512" s="50" t="n"/>
      <c r="J1512" s="42" t="n"/>
      <c r="K1512" s="42" t="n"/>
      <c r="L1512" s="43">
        <f>IF($B1512="","",ROUND((N($J1512)+N($K1512))*نسبة_القيمة_المضافة,2))</f>
        <v/>
      </c>
      <c r="M1512" s="42" t="n"/>
      <c r="N1512" s="42" t="n"/>
      <c r="O1512" s="43">
        <f>IF($B1512="","",N($J1512)+N($K1512)+N($L1512)-N($M1512)+N($N1512))</f>
        <v/>
      </c>
      <c r="P1512" s="42" t="n"/>
      <c r="Q1512" s="43">
        <f>IF($B1512="","",N($O1512)-N($P1512))</f>
        <v/>
      </c>
      <c r="R1512" s="42" t="n"/>
      <c r="S1512" s="42" t="n"/>
      <c r="T1512" s="42" t="n"/>
      <c r="U1512" s="43">
        <f>IF($B1512="","",N($J1512)-N($R1512)-N($T1512))</f>
        <v/>
      </c>
      <c r="V1512" s="42" t="n"/>
    </row>
    <row r="1513">
      <c r="A1513" s="39">
        <f>IF($B1513="","",COUNTA($B$4:$B1513))</f>
        <v/>
      </c>
      <c r="B1513" s="45" t="n"/>
      <c r="C1513" s="46" t="n"/>
      <c r="D1513" s="46" t="n"/>
      <c r="E1513" s="46" t="n"/>
      <c r="F1513" s="46" t="n"/>
      <c r="G1513" s="46" t="n"/>
      <c r="H1513" s="46" t="n"/>
      <c r="I1513" s="51" t="n"/>
      <c r="J1513" s="47" t="n"/>
      <c r="K1513" s="47" t="n"/>
      <c r="L1513" s="43">
        <f>IF($B1513="","",ROUND((N($J1513)+N($K1513))*نسبة_القيمة_المضافة,2))</f>
        <v/>
      </c>
      <c r="M1513" s="47" t="n"/>
      <c r="N1513" s="47" t="n"/>
      <c r="O1513" s="43">
        <f>IF($B1513="","",N($J1513)+N($K1513)+N($L1513)-N($M1513)+N($N1513))</f>
        <v/>
      </c>
      <c r="P1513" s="47" t="n"/>
      <c r="Q1513" s="43">
        <f>IF($B1513="","",N($O1513)-N($P1513))</f>
        <v/>
      </c>
      <c r="R1513" s="47" t="n"/>
      <c r="S1513" s="47" t="n"/>
      <c r="T1513" s="47" t="n"/>
      <c r="U1513" s="43">
        <f>IF($B1513="","",N($J1513)-N($R1513)-N($T1513))</f>
        <v/>
      </c>
      <c r="V1513" s="47" t="n"/>
    </row>
    <row r="1514">
      <c r="A1514" s="39">
        <f>IF($B1514="","",COUNTA($B$4:$B1514))</f>
        <v/>
      </c>
      <c r="B1514" s="40" t="n"/>
      <c r="C1514" s="41" t="n"/>
      <c r="D1514" s="41" t="n"/>
      <c r="E1514" s="41" t="n"/>
      <c r="F1514" s="41" t="n"/>
      <c r="G1514" s="41" t="n"/>
      <c r="H1514" s="41" t="n"/>
      <c r="I1514" s="50" t="n"/>
      <c r="J1514" s="42" t="n"/>
      <c r="K1514" s="42" t="n"/>
      <c r="L1514" s="43">
        <f>IF($B1514="","",ROUND((N($J1514)+N($K1514))*نسبة_القيمة_المضافة,2))</f>
        <v/>
      </c>
      <c r="M1514" s="42" t="n"/>
      <c r="N1514" s="42" t="n"/>
      <c r="O1514" s="43">
        <f>IF($B1514="","",N($J1514)+N($K1514)+N($L1514)-N($M1514)+N($N1514))</f>
        <v/>
      </c>
      <c r="P1514" s="42" t="n"/>
      <c r="Q1514" s="43">
        <f>IF($B1514="","",N($O1514)-N($P1514))</f>
        <v/>
      </c>
      <c r="R1514" s="42" t="n"/>
      <c r="S1514" s="42" t="n"/>
      <c r="T1514" s="42" t="n"/>
      <c r="U1514" s="43">
        <f>IF($B1514="","",N($J1514)-N($R1514)-N($T1514))</f>
        <v/>
      </c>
      <c r="V1514" s="42" t="n"/>
    </row>
    <row r="1515">
      <c r="A1515" s="39">
        <f>IF($B1515="","",COUNTA($B$4:$B1515))</f>
        <v/>
      </c>
      <c r="B1515" s="45" t="n"/>
      <c r="C1515" s="46" t="n"/>
      <c r="D1515" s="46" t="n"/>
      <c r="E1515" s="46" t="n"/>
      <c r="F1515" s="46" t="n"/>
      <c r="G1515" s="46" t="n"/>
      <c r="H1515" s="46" t="n"/>
      <c r="I1515" s="51" t="n"/>
      <c r="J1515" s="47" t="n"/>
      <c r="K1515" s="47" t="n"/>
      <c r="L1515" s="43">
        <f>IF($B1515="","",ROUND((N($J1515)+N($K1515))*نسبة_القيمة_المضافة,2))</f>
        <v/>
      </c>
      <c r="M1515" s="47" t="n"/>
      <c r="N1515" s="47" t="n"/>
      <c r="O1515" s="43">
        <f>IF($B1515="","",N($J1515)+N($K1515)+N($L1515)-N($M1515)+N($N1515))</f>
        <v/>
      </c>
      <c r="P1515" s="47" t="n"/>
      <c r="Q1515" s="43">
        <f>IF($B1515="","",N($O1515)-N($P1515))</f>
        <v/>
      </c>
      <c r="R1515" s="47" t="n"/>
      <c r="S1515" s="47" t="n"/>
      <c r="T1515" s="47" t="n"/>
      <c r="U1515" s="43">
        <f>IF($B1515="","",N($J1515)-N($R1515)-N($T1515))</f>
        <v/>
      </c>
      <c r="V1515" s="47" t="n"/>
    </row>
    <row r="1516">
      <c r="A1516" s="39">
        <f>IF($B1516="","",COUNTA($B$4:$B1516))</f>
        <v/>
      </c>
      <c r="B1516" s="40" t="n"/>
      <c r="C1516" s="41" t="n"/>
      <c r="D1516" s="41" t="n"/>
      <c r="E1516" s="41" t="n"/>
      <c r="F1516" s="41" t="n"/>
      <c r="G1516" s="41" t="n"/>
      <c r="H1516" s="41" t="n"/>
      <c r="I1516" s="50" t="n"/>
      <c r="J1516" s="42" t="n"/>
      <c r="K1516" s="42" t="n"/>
      <c r="L1516" s="43">
        <f>IF($B1516="","",ROUND((N($J1516)+N($K1516))*نسبة_القيمة_المضافة,2))</f>
        <v/>
      </c>
      <c r="M1516" s="42" t="n"/>
      <c r="N1516" s="42" t="n"/>
      <c r="O1516" s="43">
        <f>IF($B1516="","",N($J1516)+N($K1516)+N($L1516)-N($M1516)+N($N1516))</f>
        <v/>
      </c>
      <c r="P1516" s="42" t="n"/>
      <c r="Q1516" s="43">
        <f>IF($B1516="","",N($O1516)-N($P1516))</f>
        <v/>
      </c>
      <c r="R1516" s="42" t="n"/>
      <c r="S1516" s="42" t="n"/>
      <c r="T1516" s="42" t="n"/>
      <c r="U1516" s="43">
        <f>IF($B1516="","",N($J1516)-N($R1516)-N($T1516))</f>
        <v/>
      </c>
      <c r="V1516" s="42" t="n"/>
    </row>
    <row r="1517">
      <c r="A1517" s="39">
        <f>IF($B1517="","",COUNTA($B$4:$B1517))</f>
        <v/>
      </c>
      <c r="B1517" s="45" t="n"/>
      <c r="C1517" s="46" t="n"/>
      <c r="D1517" s="46" t="n"/>
      <c r="E1517" s="46" t="n"/>
      <c r="F1517" s="46" t="n"/>
      <c r="G1517" s="46" t="n"/>
      <c r="H1517" s="46" t="n"/>
      <c r="I1517" s="51" t="n"/>
      <c r="J1517" s="47" t="n"/>
      <c r="K1517" s="47" t="n"/>
      <c r="L1517" s="43">
        <f>IF($B1517="","",ROUND((N($J1517)+N($K1517))*نسبة_القيمة_المضافة,2))</f>
        <v/>
      </c>
      <c r="M1517" s="47" t="n"/>
      <c r="N1517" s="47" t="n"/>
      <c r="O1517" s="43">
        <f>IF($B1517="","",N($J1517)+N($K1517)+N($L1517)-N($M1517)+N($N1517))</f>
        <v/>
      </c>
      <c r="P1517" s="47" t="n"/>
      <c r="Q1517" s="43">
        <f>IF($B1517="","",N($O1517)-N($P1517))</f>
        <v/>
      </c>
      <c r="R1517" s="47" t="n"/>
      <c r="S1517" s="47" t="n"/>
      <c r="T1517" s="47" t="n"/>
      <c r="U1517" s="43">
        <f>IF($B1517="","",N($J1517)-N($R1517)-N($T1517))</f>
        <v/>
      </c>
      <c r="V1517" s="47" t="n"/>
    </row>
    <row r="1518">
      <c r="A1518" s="39">
        <f>IF($B1518="","",COUNTA($B$4:$B1518))</f>
        <v/>
      </c>
      <c r="B1518" s="40" t="n"/>
      <c r="C1518" s="41" t="n"/>
      <c r="D1518" s="41" t="n"/>
      <c r="E1518" s="41" t="n"/>
      <c r="F1518" s="41" t="n"/>
      <c r="G1518" s="41" t="n"/>
      <c r="H1518" s="41" t="n"/>
      <c r="I1518" s="50" t="n"/>
      <c r="J1518" s="42" t="n"/>
      <c r="K1518" s="42" t="n"/>
      <c r="L1518" s="43">
        <f>IF($B1518="","",ROUND((N($J1518)+N($K1518))*نسبة_القيمة_المضافة,2))</f>
        <v/>
      </c>
      <c r="M1518" s="42" t="n"/>
      <c r="N1518" s="42" t="n"/>
      <c r="O1518" s="43">
        <f>IF($B1518="","",N($J1518)+N($K1518)+N($L1518)-N($M1518)+N($N1518))</f>
        <v/>
      </c>
      <c r="P1518" s="42" t="n"/>
      <c r="Q1518" s="43">
        <f>IF($B1518="","",N($O1518)-N($P1518))</f>
        <v/>
      </c>
      <c r="R1518" s="42" t="n"/>
      <c r="S1518" s="42" t="n"/>
      <c r="T1518" s="42" t="n"/>
      <c r="U1518" s="43">
        <f>IF($B1518="","",N($J1518)-N($R1518)-N($T1518))</f>
        <v/>
      </c>
      <c r="V1518" s="42" t="n"/>
    </row>
    <row r="1519">
      <c r="A1519" s="39">
        <f>IF($B1519="","",COUNTA($B$4:$B1519))</f>
        <v/>
      </c>
      <c r="B1519" s="45" t="n"/>
      <c r="C1519" s="46" t="n"/>
      <c r="D1519" s="46" t="n"/>
      <c r="E1519" s="46" t="n"/>
      <c r="F1519" s="46" t="n"/>
      <c r="G1519" s="46" t="n"/>
      <c r="H1519" s="46" t="n"/>
      <c r="I1519" s="51" t="n"/>
      <c r="J1519" s="47" t="n"/>
      <c r="K1519" s="47" t="n"/>
      <c r="L1519" s="43">
        <f>IF($B1519="","",ROUND((N($J1519)+N($K1519))*نسبة_القيمة_المضافة,2))</f>
        <v/>
      </c>
      <c r="M1519" s="47" t="n"/>
      <c r="N1519" s="47" t="n"/>
      <c r="O1519" s="43">
        <f>IF($B1519="","",N($J1519)+N($K1519)+N($L1519)-N($M1519)+N($N1519))</f>
        <v/>
      </c>
      <c r="P1519" s="47" t="n"/>
      <c r="Q1519" s="43">
        <f>IF($B1519="","",N($O1519)-N($P1519))</f>
        <v/>
      </c>
      <c r="R1519" s="47" t="n"/>
      <c r="S1519" s="47" t="n"/>
      <c r="T1519" s="47" t="n"/>
      <c r="U1519" s="43">
        <f>IF($B1519="","",N($J1519)-N($R1519)-N($T1519))</f>
        <v/>
      </c>
      <c r="V1519" s="47" t="n"/>
    </row>
    <row r="1520">
      <c r="A1520" s="39">
        <f>IF($B1520="","",COUNTA($B$4:$B1520))</f>
        <v/>
      </c>
      <c r="B1520" s="40" t="n"/>
      <c r="C1520" s="41" t="n"/>
      <c r="D1520" s="41" t="n"/>
      <c r="E1520" s="41" t="n"/>
      <c r="F1520" s="41" t="n"/>
      <c r="G1520" s="41" t="n"/>
      <c r="H1520" s="41" t="n"/>
      <c r="I1520" s="50" t="n"/>
      <c r="J1520" s="42" t="n"/>
      <c r="K1520" s="42" t="n"/>
      <c r="L1520" s="43">
        <f>IF($B1520="","",ROUND((N($J1520)+N($K1520))*نسبة_القيمة_المضافة,2))</f>
        <v/>
      </c>
      <c r="M1520" s="42" t="n"/>
      <c r="N1520" s="42" t="n"/>
      <c r="O1520" s="43">
        <f>IF($B1520="","",N($J1520)+N($K1520)+N($L1520)-N($M1520)+N($N1520))</f>
        <v/>
      </c>
      <c r="P1520" s="42" t="n"/>
      <c r="Q1520" s="43">
        <f>IF($B1520="","",N($O1520)-N($P1520))</f>
        <v/>
      </c>
      <c r="R1520" s="42" t="n"/>
      <c r="S1520" s="42" t="n"/>
      <c r="T1520" s="42" t="n"/>
      <c r="U1520" s="43">
        <f>IF($B1520="","",N($J1520)-N($R1520)-N($T1520))</f>
        <v/>
      </c>
      <c r="V1520" s="42" t="n"/>
    </row>
    <row r="1521">
      <c r="A1521" s="39">
        <f>IF($B1521="","",COUNTA($B$4:$B1521))</f>
        <v/>
      </c>
      <c r="B1521" s="45" t="n"/>
      <c r="C1521" s="46" t="n"/>
      <c r="D1521" s="46" t="n"/>
      <c r="E1521" s="46" t="n"/>
      <c r="F1521" s="46" t="n"/>
      <c r="G1521" s="46" t="n"/>
      <c r="H1521" s="46" t="n"/>
      <c r="I1521" s="51" t="n"/>
      <c r="J1521" s="47" t="n"/>
      <c r="K1521" s="47" t="n"/>
      <c r="L1521" s="43">
        <f>IF($B1521="","",ROUND((N($J1521)+N($K1521))*نسبة_القيمة_المضافة,2))</f>
        <v/>
      </c>
      <c r="M1521" s="47" t="n"/>
      <c r="N1521" s="47" t="n"/>
      <c r="O1521" s="43">
        <f>IF($B1521="","",N($J1521)+N($K1521)+N($L1521)-N($M1521)+N($N1521))</f>
        <v/>
      </c>
      <c r="P1521" s="47" t="n"/>
      <c r="Q1521" s="43">
        <f>IF($B1521="","",N($O1521)-N($P1521))</f>
        <v/>
      </c>
      <c r="R1521" s="47" t="n"/>
      <c r="S1521" s="47" t="n"/>
      <c r="T1521" s="47" t="n"/>
      <c r="U1521" s="43">
        <f>IF($B1521="","",N($J1521)-N($R1521)-N($T1521))</f>
        <v/>
      </c>
      <c r="V1521" s="47" t="n"/>
    </row>
    <row r="1522">
      <c r="A1522" s="39">
        <f>IF($B1522="","",COUNTA($B$4:$B1522))</f>
        <v/>
      </c>
      <c r="B1522" s="40" t="n"/>
      <c r="C1522" s="41" t="n"/>
      <c r="D1522" s="41" t="n"/>
      <c r="E1522" s="41" t="n"/>
      <c r="F1522" s="41" t="n"/>
      <c r="G1522" s="41" t="n"/>
      <c r="H1522" s="41" t="n"/>
      <c r="I1522" s="50" t="n"/>
      <c r="J1522" s="42" t="n"/>
      <c r="K1522" s="42" t="n"/>
      <c r="L1522" s="43">
        <f>IF($B1522="","",ROUND((N($J1522)+N($K1522))*نسبة_القيمة_المضافة,2))</f>
        <v/>
      </c>
      <c r="M1522" s="42" t="n"/>
      <c r="N1522" s="42" t="n"/>
      <c r="O1522" s="43">
        <f>IF($B1522="","",N($J1522)+N($K1522)+N($L1522)-N($M1522)+N($N1522))</f>
        <v/>
      </c>
      <c r="P1522" s="42" t="n"/>
      <c r="Q1522" s="43">
        <f>IF($B1522="","",N($O1522)-N($P1522))</f>
        <v/>
      </c>
      <c r="R1522" s="42" t="n"/>
      <c r="S1522" s="42" t="n"/>
      <c r="T1522" s="42" t="n"/>
      <c r="U1522" s="43">
        <f>IF($B1522="","",N($J1522)-N($R1522)-N($T1522))</f>
        <v/>
      </c>
      <c r="V1522" s="42" t="n"/>
    </row>
    <row r="1523">
      <c r="A1523" s="39">
        <f>IF($B1523="","",COUNTA($B$4:$B1523))</f>
        <v/>
      </c>
      <c r="B1523" s="45" t="n"/>
      <c r="C1523" s="46" t="n"/>
      <c r="D1523" s="46" t="n"/>
      <c r="E1523" s="46" t="n"/>
      <c r="F1523" s="46" t="n"/>
      <c r="G1523" s="46" t="n"/>
      <c r="H1523" s="46" t="n"/>
      <c r="I1523" s="51" t="n"/>
      <c r="J1523" s="47" t="n"/>
      <c r="K1523" s="47" t="n"/>
      <c r="L1523" s="43">
        <f>IF($B1523="","",ROUND((N($J1523)+N($K1523))*نسبة_القيمة_المضافة,2))</f>
        <v/>
      </c>
      <c r="M1523" s="47" t="n"/>
      <c r="N1523" s="47" t="n"/>
      <c r="O1523" s="43">
        <f>IF($B1523="","",N($J1523)+N($K1523)+N($L1523)-N($M1523)+N($N1523))</f>
        <v/>
      </c>
      <c r="P1523" s="47" t="n"/>
      <c r="Q1523" s="43">
        <f>IF($B1523="","",N($O1523)-N($P1523))</f>
        <v/>
      </c>
      <c r="R1523" s="47" t="n"/>
      <c r="S1523" s="47" t="n"/>
      <c r="T1523" s="47" t="n"/>
      <c r="U1523" s="43">
        <f>IF($B1523="","",N($J1523)-N($R1523)-N($T1523))</f>
        <v/>
      </c>
      <c r="V1523" s="47" t="n"/>
    </row>
    <row r="1524">
      <c r="A1524" s="39">
        <f>IF($B1524="","",COUNTA($B$4:$B1524))</f>
        <v/>
      </c>
      <c r="B1524" s="40" t="n"/>
      <c r="C1524" s="41" t="n"/>
      <c r="D1524" s="41" t="n"/>
      <c r="E1524" s="41" t="n"/>
      <c r="F1524" s="41" t="n"/>
      <c r="G1524" s="41" t="n"/>
      <c r="H1524" s="41" t="n"/>
      <c r="I1524" s="50" t="n"/>
      <c r="J1524" s="42" t="n"/>
      <c r="K1524" s="42" t="n"/>
      <c r="L1524" s="43">
        <f>IF($B1524="","",ROUND((N($J1524)+N($K1524))*نسبة_القيمة_المضافة,2))</f>
        <v/>
      </c>
      <c r="M1524" s="42" t="n"/>
      <c r="N1524" s="42" t="n"/>
      <c r="O1524" s="43">
        <f>IF($B1524="","",N($J1524)+N($K1524)+N($L1524)-N($M1524)+N($N1524))</f>
        <v/>
      </c>
      <c r="P1524" s="42" t="n"/>
      <c r="Q1524" s="43">
        <f>IF($B1524="","",N($O1524)-N($P1524))</f>
        <v/>
      </c>
      <c r="R1524" s="42" t="n"/>
      <c r="S1524" s="42" t="n"/>
      <c r="T1524" s="42" t="n"/>
      <c r="U1524" s="43">
        <f>IF($B1524="","",N($J1524)-N($R1524)-N($T1524))</f>
        <v/>
      </c>
      <c r="V1524" s="42" t="n"/>
    </row>
    <row r="1525">
      <c r="A1525" s="39">
        <f>IF($B1525="","",COUNTA($B$4:$B1525))</f>
        <v/>
      </c>
      <c r="B1525" s="45" t="n"/>
      <c r="C1525" s="46" t="n"/>
      <c r="D1525" s="46" t="n"/>
      <c r="E1525" s="46" t="n"/>
      <c r="F1525" s="46" t="n"/>
      <c r="G1525" s="46" t="n"/>
      <c r="H1525" s="46" t="n"/>
      <c r="I1525" s="51" t="n"/>
      <c r="J1525" s="47" t="n"/>
      <c r="K1525" s="47" t="n"/>
      <c r="L1525" s="43">
        <f>IF($B1525="","",ROUND((N($J1525)+N($K1525))*نسبة_القيمة_المضافة,2))</f>
        <v/>
      </c>
      <c r="M1525" s="47" t="n"/>
      <c r="N1525" s="47" t="n"/>
      <c r="O1525" s="43">
        <f>IF($B1525="","",N($J1525)+N($K1525)+N($L1525)-N($M1525)+N($N1525))</f>
        <v/>
      </c>
      <c r="P1525" s="47" t="n"/>
      <c r="Q1525" s="43">
        <f>IF($B1525="","",N($O1525)-N($P1525))</f>
        <v/>
      </c>
      <c r="R1525" s="47" t="n"/>
      <c r="S1525" s="47" t="n"/>
      <c r="T1525" s="47" t="n"/>
      <c r="U1525" s="43">
        <f>IF($B1525="","",N($J1525)-N($R1525)-N($T1525))</f>
        <v/>
      </c>
      <c r="V1525" s="47" t="n"/>
    </row>
    <row r="1526">
      <c r="A1526" s="39">
        <f>IF($B1526="","",COUNTA($B$4:$B1526))</f>
        <v/>
      </c>
      <c r="B1526" s="40" t="n"/>
      <c r="C1526" s="41" t="n"/>
      <c r="D1526" s="41" t="n"/>
      <c r="E1526" s="41" t="n"/>
      <c r="F1526" s="41" t="n"/>
      <c r="G1526" s="41" t="n"/>
      <c r="H1526" s="41" t="n"/>
      <c r="I1526" s="50" t="n"/>
      <c r="J1526" s="42" t="n"/>
      <c r="K1526" s="42" t="n"/>
      <c r="L1526" s="43">
        <f>IF($B1526="","",ROUND((N($J1526)+N($K1526))*نسبة_القيمة_المضافة,2))</f>
        <v/>
      </c>
      <c r="M1526" s="42" t="n"/>
      <c r="N1526" s="42" t="n"/>
      <c r="O1526" s="43">
        <f>IF($B1526="","",N($J1526)+N($K1526)+N($L1526)-N($M1526)+N($N1526))</f>
        <v/>
      </c>
      <c r="P1526" s="42" t="n"/>
      <c r="Q1526" s="43">
        <f>IF($B1526="","",N($O1526)-N($P1526))</f>
        <v/>
      </c>
      <c r="R1526" s="42" t="n"/>
      <c r="S1526" s="42" t="n"/>
      <c r="T1526" s="42" t="n"/>
      <c r="U1526" s="43">
        <f>IF($B1526="","",N($J1526)-N($R1526)-N($T1526))</f>
        <v/>
      </c>
      <c r="V1526" s="42" t="n"/>
    </row>
    <row r="1527">
      <c r="A1527" s="39">
        <f>IF($B1527="","",COUNTA($B$4:$B1527))</f>
        <v/>
      </c>
      <c r="B1527" s="45" t="n"/>
      <c r="C1527" s="46" t="n"/>
      <c r="D1527" s="46" t="n"/>
      <c r="E1527" s="46" t="n"/>
      <c r="F1527" s="46" t="n"/>
      <c r="G1527" s="46" t="n"/>
      <c r="H1527" s="46" t="n"/>
      <c r="I1527" s="51" t="n"/>
      <c r="J1527" s="47" t="n"/>
      <c r="K1527" s="47" t="n"/>
      <c r="L1527" s="43">
        <f>IF($B1527="","",ROUND((N($J1527)+N($K1527))*نسبة_القيمة_المضافة,2))</f>
        <v/>
      </c>
      <c r="M1527" s="47" t="n"/>
      <c r="N1527" s="47" t="n"/>
      <c r="O1527" s="43">
        <f>IF($B1527="","",N($J1527)+N($K1527)+N($L1527)-N($M1527)+N($N1527))</f>
        <v/>
      </c>
      <c r="P1527" s="47" t="n"/>
      <c r="Q1527" s="43">
        <f>IF($B1527="","",N($O1527)-N($P1527))</f>
        <v/>
      </c>
      <c r="R1527" s="47" t="n"/>
      <c r="S1527" s="47" t="n"/>
      <c r="T1527" s="47" t="n"/>
      <c r="U1527" s="43">
        <f>IF($B1527="","",N($J1527)-N($R1527)-N($T1527))</f>
        <v/>
      </c>
      <c r="V1527" s="47" t="n"/>
    </row>
    <row r="1528">
      <c r="A1528" s="39">
        <f>IF($B1528="","",COUNTA($B$4:$B1528))</f>
        <v/>
      </c>
      <c r="B1528" s="40" t="n"/>
      <c r="C1528" s="41" t="n"/>
      <c r="D1528" s="41" t="n"/>
      <c r="E1528" s="41" t="n"/>
      <c r="F1528" s="41" t="n"/>
      <c r="G1528" s="41" t="n"/>
      <c r="H1528" s="41" t="n"/>
      <c r="I1528" s="50" t="n"/>
      <c r="J1528" s="42" t="n"/>
      <c r="K1528" s="42" t="n"/>
      <c r="L1528" s="43">
        <f>IF($B1528="","",ROUND((N($J1528)+N($K1528))*نسبة_القيمة_المضافة,2))</f>
        <v/>
      </c>
      <c r="M1528" s="42" t="n"/>
      <c r="N1528" s="42" t="n"/>
      <c r="O1528" s="43">
        <f>IF($B1528="","",N($J1528)+N($K1528)+N($L1528)-N($M1528)+N($N1528))</f>
        <v/>
      </c>
      <c r="P1528" s="42" t="n"/>
      <c r="Q1528" s="43">
        <f>IF($B1528="","",N($O1528)-N($P1528))</f>
        <v/>
      </c>
      <c r="R1528" s="42" t="n"/>
      <c r="S1528" s="42" t="n"/>
      <c r="T1528" s="42" t="n"/>
      <c r="U1528" s="43">
        <f>IF($B1528="","",N($J1528)-N($R1528)-N($T1528))</f>
        <v/>
      </c>
      <c r="V1528" s="42" t="n"/>
    </row>
    <row r="1529">
      <c r="A1529" s="39">
        <f>IF($B1529="","",COUNTA($B$4:$B1529))</f>
        <v/>
      </c>
      <c r="B1529" s="45" t="n"/>
      <c r="C1529" s="46" t="n"/>
      <c r="D1529" s="46" t="n"/>
      <c r="E1529" s="46" t="n"/>
      <c r="F1529" s="46" t="n"/>
      <c r="G1529" s="46" t="n"/>
      <c r="H1529" s="46" t="n"/>
      <c r="I1529" s="51" t="n"/>
      <c r="J1529" s="47" t="n"/>
      <c r="K1529" s="47" t="n"/>
      <c r="L1529" s="43">
        <f>IF($B1529="","",ROUND((N($J1529)+N($K1529))*نسبة_القيمة_المضافة,2))</f>
        <v/>
      </c>
      <c r="M1529" s="47" t="n"/>
      <c r="N1529" s="47" t="n"/>
      <c r="O1529" s="43">
        <f>IF($B1529="","",N($J1529)+N($K1529)+N($L1529)-N($M1529)+N($N1529))</f>
        <v/>
      </c>
      <c r="P1529" s="47" t="n"/>
      <c r="Q1529" s="43">
        <f>IF($B1529="","",N($O1529)-N($P1529))</f>
        <v/>
      </c>
      <c r="R1529" s="47" t="n"/>
      <c r="S1529" s="47" t="n"/>
      <c r="T1529" s="47" t="n"/>
      <c r="U1529" s="43">
        <f>IF($B1529="","",N($J1529)-N($R1529)-N($T1529))</f>
        <v/>
      </c>
      <c r="V1529" s="47" t="n"/>
    </row>
    <row r="1530">
      <c r="A1530" s="39">
        <f>IF($B1530="","",COUNTA($B$4:$B1530))</f>
        <v/>
      </c>
      <c r="B1530" s="40" t="n"/>
      <c r="C1530" s="41" t="n"/>
      <c r="D1530" s="41" t="n"/>
      <c r="E1530" s="41" t="n"/>
      <c r="F1530" s="41" t="n"/>
      <c r="G1530" s="41" t="n"/>
      <c r="H1530" s="41" t="n"/>
      <c r="I1530" s="50" t="n"/>
      <c r="J1530" s="42" t="n"/>
      <c r="K1530" s="42" t="n"/>
      <c r="L1530" s="43">
        <f>IF($B1530="","",ROUND((N($J1530)+N($K1530))*نسبة_القيمة_المضافة,2))</f>
        <v/>
      </c>
      <c r="M1530" s="42" t="n"/>
      <c r="N1530" s="42" t="n"/>
      <c r="O1530" s="43">
        <f>IF($B1530="","",N($J1530)+N($K1530)+N($L1530)-N($M1530)+N($N1530))</f>
        <v/>
      </c>
      <c r="P1530" s="42" t="n"/>
      <c r="Q1530" s="43">
        <f>IF($B1530="","",N($O1530)-N($P1530))</f>
        <v/>
      </c>
      <c r="R1530" s="42" t="n"/>
      <c r="S1530" s="42" t="n"/>
      <c r="T1530" s="42" t="n"/>
      <c r="U1530" s="43">
        <f>IF($B1530="","",N($J1530)-N($R1530)-N($T1530))</f>
        <v/>
      </c>
      <c r="V1530" s="42" t="n"/>
    </row>
    <row r="1531">
      <c r="A1531" s="39">
        <f>IF($B1531="","",COUNTA($B$4:$B1531))</f>
        <v/>
      </c>
      <c r="B1531" s="45" t="n"/>
      <c r="C1531" s="46" t="n"/>
      <c r="D1531" s="46" t="n"/>
      <c r="E1531" s="46" t="n"/>
      <c r="F1531" s="46" t="n"/>
      <c r="G1531" s="46" t="n"/>
      <c r="H1531" s="46" t="n"/>
      <c r="I1531" s="51" t="n"/>
      <c r="J1531" s="47" t="n"/>
      <c r="K1531" s="47" t="n"/>
      <c r="L1531" s="43">
        <f>IF($B1531="","",ROUND((N($J1531)+N($K1531))*نسبة_القيمة_المضافة,2))</f>
        <v/>
      </c>
      <c r="M1531" s="47" t="n"/>
      <c r="N1531" s="47" t="n"/>
      <c r="O1531" s="43">
        <f>IF($B1531="","",N($J1531)+N($K1531)+N($L1531)-N($M1531)+N($N1531))</f>
        <v/>
      </c>
      <c r="P1531" s="47" t="n"/>
      <c r="Q1531" s="43">
        <f>IF($B1531="","",N($O1531)-N($P1531))</f>
        <v/>
      </c>
      <c r="R1531" s="47" t="n"/>
      <c r="S1531" s="47" t="n"/>
      <c r="T1531" s="47" t="n"/>
      <c r="U1531" s="43">
        <f>IF($B1531="","",N($J1531)-N($R1531)-N($T1531))</f>
        <v/>
      </c>
      <c r="V1531" s="47" t="n"/>
    </row>
    <row r="1532">
      <c r="A1532" s="39">
        <f>IF($B1532="","",COUNTA($B$4:$B1532))</f>
        <v/>
      </c>
      <c r="B1532" s="40" t="n"/>
      <c r="C1532" s="41" t="n"/>
      <c r="D1532" s="41" t="n"/>
      <c r="E1532" s="41" t="n"/>
      <c r="F1532" s="41" t="n"/>
      <c r="G1532" s="41" t="n"/>
      <c r="H1532" s="41" t="n"/>
      <c r="I1532" s="50" t="n"/>
      <c r="J1532" s="42" t="n"/>
      <c r="K1532" s="42" t="n"/>
      <c r="L1532" s="43">
        <f>IF($B1532="","",ROUND((N($J1532)+N($K1532))*نسبة_القيمة_المضافة,2))</f>
        <v/>
      </c>
      <c r="M1532" s="42" t="n"/>
      <c r="N1532" s="42" t="n"/>
      <c r="O1532" s="43">
        <f>IF($B1532="","",N($J1532)+N($K1532)+N($L1532)-N($M1532)+N($N1532))</f>
        <v/>
      </c>
      <c r="P1532" s="42" t="n"/>
      <c r="Q1532" s="43">
        <f>IF($B1532="","",N($O1532)-N($P1532))</f>
        <v/>
      </c>
      <c r="R1532" s="42" t="n"/>
      <c r="S1532" s="42" t="n"/>
      <c r="T1532" s="42" t="n"/>
      <c r="U1532" s="43">
        <f>IF($B1532="","",N($J1532)-N($R1532)-N($T1532))</f>
        <v/>
      </c>
      <c r="V1532" s="42" t="n"/>
    </row>
    <row r="1533">
      <c r="A1533" s="39">
        <f>IF($B1533="","",COUNTA($B$4:$B1533))</f>
        <v/>
      </c>
      <c r="B1533" s="45" t="n"/>
      <c r="C1533" s="46" t="n"/>
      <c r="D1533" s="46" t="n"/>
      <c r="E1533" s="46" t="n"/>
      <c r="F1533" s="46" t="n"/>
      <c r="G1533" s="46" t="n"/>
      <c r="H1533" s="46" t="n"/>
      <c r="I1533" s="51" t="n"/>
      <c r="J1533" s="47" t="n"/>
      <c r="K1533" s="47" t="n"/>
      <c r="L1533" s="43">
        <f>IF($B1533="","",ROUND((N($J1533)+N($K1533))*نسبة_القيمة_المضافة,2))</f>
        <v/>
      </c>
      <c r="M1533" s="47" t="n"/>
      <c r="N1533" s="47" t="n"/>
      <c r="O1533" s="43">
        <f>IF($B1533="","",N($J1533)+N($K1533)+N($L1533)-N($M1533)+N($N1533))</f>
        <v/>
      </c>
      <c r="P1533" s="47" t="n"/>
      <c r="Q1533" s="43">
        <f>IF($B1533="","",N($O1533)-N($P1533))</f>
        <v/>
      </c>
      <c r="R1533" s="47" t="n"/>
      <c r="S1533" s="47" t="n"/>
      <c r="T1533" s="47" t="n"/>
      <c r="U1533" s="43">
        <f>IF($B1533="","",N($J1533)-N($R1533)-N($T1533))</f>
        <v/>
      </c>
      <c r="V1533" s="47" t="n"/>
    </row>
    <row r="1534">
      <c r="A1534" s="39">
        <f>IF($B1534="","",COUNTA($B$4:$B1534))</f>
        <v/>
      </c>
      <c r="B1534" s="40" t="n"/>
      <c r="C1534" s="41" t="n"/>
      <c r="D1534" s="41" t="n"/>
      <c r="E1534" s="41" t="n"/>
      <c r="F1534" s="41" t="n"/>
      <c r="G1534" s="41" t="n"/>
      <c r="H1534" s="41" t="n"/>
      <c r="I1534" s="50" t="n"/>
      <c r="J1534" s="42" t="n"/>
      <c r="K1534" s="42" t="n"/>
      <c r="L1534" s="43">
        <f>IF($B1534="","",ROUND((N($J1534)+N($K1534))*نسبة_القيمة_المضافة,2))</f>
        <v/>
      </c>
      <c r="M1534" s="42" t="n"/>
      <c r="N1534" s="42" t="n"/>
      <c r="O1534" s="43">
        <f>IF($B1534="","",N($J1534)+N($K1534)+N($L1534)-N($M1534)+N($N1534))</f>
        <v/>
      </c>
      <c r="P1534" s="42" t="n"/>
      <c r="Q1534" s="43">
        <f>IF($B1534="","",N($O1534)-N($P1534))</f>
        <v/>
      </c>
      <c r="R1534" s="42" t="n"/>
      <c r="S1534" s="42" t="n"/>
      <c r="T1534" s="42" t="n"/>
      <c r="U1534" s="43">
        <f>IF($B1534="","",N($J1534)-N($R1534)-N($T1534))</f>
        <v/>
      </c>
      <c r="V1534" s="42" t="n"/>
    </row>
    <row r="1535">
      <c r="A1535" s="39">
        <f>IF($B1535="","",COUNTA($B$4:$B1535))</f>
        <v/>
      </c>
      <c r="B1535" s="45" t="n"/>
      <c r="C1535" s="46" t="n"/>
      <c r="D1535" s="46" t="n"/>
      <c r="E1535" s="46" t="n"/>
      <c r="F1535" s="46" t="n"/>
      <c r="G1535" s="46" t="n"/>
      <c r="H1535" s="46" t="n"/>
      <c r="I1535" s="51" t="n"/>
      <c r="J1535" s="47" t="n"/>
      <c r="K1535" s="47" t="n"/>
      <c r="L1535" s="43">
        <f>IF($B1535="","",ROUND((N($J1535)+N($K1535))*نسبة_القيمة_المضافة,2))</f>
        <v/>
      </c>
      <c r="M1535" s="47" t="n"/>
      <c r="N1535" s="47" t="n"/>
      <c r="O1535" s="43">
        <f>IF($B1535="","",N($J1535)+N($K1535)+N($L1535)-N($M1535)+N($N1535))</f>
        <v/>
      </c>
      <c r="P1535" s="47" t="n"/>
      <c r="Q1535" s="43">
        <f>IF($B1535="","",N($O1535)-N($P1535))</f>
        <v/>
      </c>
      <c r="R1535" s="47" t="n"/>
      <c r="S1535" s="47" t="n"/>
      <c r="T1535" s="47" t="n"/>
      <c r="U1535" s="43">
        <f>IF($B1535="","",N($J1535)-N($R1535)-N($T1535))</f>
        <v/>
      </c>
      <c r="V1535" s="47" t="n"/>
    </row>
    <row r="1536">
      <c r="A1536" s="39">
        <f>IF($B1536="","",COUNTA($B$4:$B1536))</f>
        <v/>
      </c>
      <c r="B1536" s="40" t="n"/>
      <c r="C1536" s="41" t="n"/>
      <c r="D1536" s="41" t="n"/>
      <c r="E1536" s="41" t="n"/>
      <c r="F1536" s="41" t="n"/>
      <c r="G1536" s="41" t="n"/>
      <c r="H1536" s="41" t="n"/>
      <c r="I1536" s="50" t="n"/>
      <c r="J1536" s="42" t="n"/>
      <c r="K1536" s="42" t="n"/>
      <c r="L1536" s="43">
        <f>IF($B1536="","",ROUND((N($J1536)+N($K1536))*نسبة_القيمة_المضافة,2))</f>
        <v/>
      </c>
      <c r="M1536" s="42" t="n"/>
      <c r="N1536" s="42" t="n"/>
      <c r="O1536" s="43">
        <f>IF($B1536="","",N($J1536)+N($K1536)+N($L1536)-N($M1536)+N($N1536))</f>
        <v/>
      </c>
      <c r="P1536" s="42" t="n"/>
      <c r="Q1536" s="43">
        <f>IF($B1536="","",N($O1536)-N($P1536))</f>
        <v/>
      </c>
      <c r="R1536" s="42" t="n"/>
      <c r="S1536" s="42" t="n"/>
      <c r="T1536" s="42" t="n"/>
      <c r="U1536" s="43">
        <f>IF($B1536="","",N($J1536)-N($R1536)-N($T1536))</f>
        <v/>
      </c>
      <c r="V1536" s="42" t="n"/>
    </row>
    <row r="1537">
      <c r="A1537" s="39">
        <f>IF($B1537="","",COUNTA($B$4:$B1537))</f>
        <v/>
      </c>
      <c r="B1537" s="45" t="n"/>
      <c r="C1537" s="46" t="n"/>
      <c r="D1537" s="46" t="n"/>
      <c r="E1537" s="46" t="n"/>
      <c r="F1537" s="46" t="n"/>
      <c r="G1537" s="46" t="n"/>
      <c r="H1537" s="46" t="n"/>
      <c r="I1537" s="51" t="n"/>
      <c r="J1537" s="47" t="n"/>
      <c r="K1537" s="47" t="n"/>
      <c r="L1537" s="43">
        <f>IF($B1537="","",ROUND((N($J1537)+N($K1537))*نسبة_القيمة_المضافة,2))</f>
        <v/>
      </c>
      <c r="M1537" s="47" t="n"/>
      <c r="N1537" s="47" t="n"/>
      <c r="O1537" s="43">
        <f>IF($B1537="","",N($J1537)+N($K1537)+N($L1537)-N($M1537)+N($N1537))</f>
        <v/>
      </c>
      <c r="P1537" s="47" t="n"/>
      <c r="Q1537" s="43">
        <f>IF($B1537="","",N($O1537)-N($P1537))</f>
        <v/>
      </c>
      <c r="R1537" s="47" t="n"/>
      <c r="S1537" s="47" t="n"/>
      <c r="T1537" s="47" t="n"/>
      <c r="U1537" s="43">
        <f>IF($B1537="","",N($J1537)-N($R1537)-N($T1537))</f>
        <v/>
      </c>
      <c r="V1537" s="47" t="n"/>
    </row>
    <row r="1538">
      <c r="A1538" s="39">
        <f>IF($B1538="","",COUNTA($B$4:$B1538))</f>
        <v/>
      </c>
      <c r="B1538" s="40" t="n"/>
      <c r="C1538" s="41" t="n"/>
      <c r="D1538" s="41" t="n"/>
      <c r="E1538" s="41" t="n"/>
      <c r="F1538" s="41" t="n"/>
      <c r="G1538" s="41" t="n"/>
      <c r="H1538" s="41" t="n"/>
      <c r="I1538" s="50" t="n"/>
      <c r="J1538" s="42" t="n"/>
      <c r="K1538" s="42" t="n"/>
      <c r="L1538" s="43">
        <f>IF($B1538="","",ROUND((N($J1538)+N($K1538))*نسبة_القيمة_المضافة,2))</f>
        <v/>
      </c>
      <c r="M1538" s="42" t="n"/>
      <c r="N1538" s="42" t="n"/>
      <c r="O1538" s="43">
        <f>IF($B1538="","",N($J1538)+N($K1538)+N($L1538)-N($M1538)+N($N1538))</f>
        <v/>
      </c>
      <c r="P1538" s="42" t="n"/>
      <c r="Q1538" s="43">
        <f>IF($B1538="","",N($O1538)-N($P1538))</f>
        <v/>
      </c>
      <c r="R1538" s="42" t="n"/>
      <c r="S1538" s="42" t="n"/>
      <c r="T1538" s="42" t="n"/>
      <c r="U1538" s="43">
        <f>IF($B1538="","",N($J1538)-N($R1538)-N($T1538))</f>
        <v/>
      </c>
      <c r="V1538" s="42" t="n"/>
    </row>
    <row r="1539">
      <c r="A1539" s="39">
        <f>IF($B1539="","",COUNTA($B$4:$B1539))</f>
        <v/>
      </c>
      <c r="B1539" s="45" t="n"/>
      <c r="C1539" s="46" t="n"/>
      <c r="D1539" s="46" t="n"/>
      <c r="E1539" s="46" t="n"/>
      <c r="F1539" s="46" t="n"/>
      <c r="G1539" s="46" t="n"/>
      <c r="H1539" s="46" t="n"/>
      <c r="I1539" s="51" t="n"/>
      <c r="J1539" s="47" t="n"/>
      <c r="K1539" s="47" t="n"/>
      <c r="L1539" s="43">
        <f>IF($B1539="","",ROUND((N($J1539)+N($K1539))*نسبة_القيمة_المضافة,2))</f>
        <v/>
      </c>
      <c r="M1539" s="47" t="n"/>
      <c r="N1539" s="47" t="n"/>
      <c r="O1539" s="43">
        <f>IF($B1539="","",N($J1539)+N($K1539)+N($L1539)-N($M1539)+N($N1539))</f>
        <v/>
      </c>
      <c r="P1539" s="47" t="n"/>
      <c r="Q1539" s="43">
        <f>IF($B1539="","",N($O1539)-N($P1539))</f>
        <v/>
      </c>
      <c r="R1539" s="47" t="n"/>
      <c r="S1539" s="47" t="n"/>
      <c r="T1539" s="47" t="n"/>
      <c r="U1539" s="43">
        <f>IF($B1539="","",N($J1539)-N($R1539)-N($T1539))</f>
        <v/>
      </c>
      <c r="V1539" s="47" t="n"/>
    </row>
    <row r="1540">
      <c r="A1540" s="39">
        <f>IF($B1540="","",COUNTA($B$4:$B1540))</f>
        <v/>
      </c>
      <c r="B1540" s="40" t="n"/>
      <c r="C1540" s="41" t="n"/>
      <c r="D1540" s="41" t="n"/>
      <c r="E1540" s="41" t="n"/>
      <c r="F1540" s="41" t="n"/>
      <c r="G1540" s="41" t="n"/>
      <c r="H1540" s="41" t="n"/>
      <c r="I1540" s="50" t="n"/>
      <c r="J1540" s="42" t="n"/>
      <c r="K1540" s="42" t="n"/>
      <c r="L1540" s="43">
        <f>IF($B1540="","",ROUND((N($J1540)+N($K1540))*نسبة_القيمة_المضافة,2))</f>
        <v/>
      </c>
      <c r="M1540" s="42" t="n"/>
      <c r="N1540" s="42" t="n"/>
      <c r="O1540" s="43">
        <f>IF($B1540="","",N($J1540)+N($K1540)+N($L1540)-N($M1540)+N($N1540))</f>
        <v/>
      </c>
      <c r="P1540" s="42" t="n"/>
      <c r="Q1540" s="43">
        <f>IF($B1540="","",N($O1540)-N($P1540))</f>
        <v/>
      </c>
      <c r="R1540" s="42" t="n"/>
      <c r="S1540" s="42" t="n"/>
      <c r="T1540" s="42" t="n"/>
      <c r="U1540" s="43">
        <f>IF($B1540="","",N($J1540)-N($R1540)-N($T1540))</f>
        <v/>
      </c>
      <c r="V1540" s="42" t="n"/>
    </row>
    <row r="1541">
      <c r="A1541" s="39">
        <f>IF($B1541="","",COUNTA($B$4:$B1541))</f>
        <v/>
      </c>
      <c r="B1541" s="45" t="n"/>
      <c r="C1541" s="46" t="n"/>
      <c r="D1541" s="46" t="n"/>
      <c r="E1541" s="46" t="n"/>
      <c r="F1541" s="46" t="n"/>
      <c r="G1541" s="46" t="n"/>
      <c r="H1541" s="46" t="n"/>
      <c r="I1541" s="51" t="n"/>
      <c r="J1541" s="47" t="n"/>
      <c r="K1541" s="47" t="n"/>
      <c r="L1541" s="43">
        <f>IF($B1541="","",ROUND((N($J1541)+N($K1541))*نسبة_القيمة_المضافة,2))</f>
        <v/>
      </c>
      <c r="M1541" s="47" t="n"/>
      <c r="N1541" s="47" t="n"/>
      <c r="O1541" s="43">
        <f>IF($B1541="","",N($J1541)+N($K1541)+N($L1541)-N($M1541)+N($N1541))</f>
        <v/>
      </c>
      <c r="P1541" s="47" t="n"/>
      <c r="Q1541" s="43">
        <f>IF($B1541="","",N($O1541)-N($P1541))</f>
        <v/>
      </c>
      <c r="R1541" s="47" t="n"/>
      <c r="S1541" s="47" t="n"/>
      <c r="T1541" s="47" t="n"/>
      <c r="U1541" s="43">
        <f>IF($B1541="","",N($J1541)-N($R1541)-N($T1541))</f>
        <v/>
      </c>
      <c r="V1541" s="47" t="n"/>
    </row>
    <row r="1542">
      <c r="A1542" s="39">
        <f>IF($B1542="","",COUNTA($B$4:$B1542))</f>
        <v/>
      </c>
      <c r="B1542" s="40" t="n"/>
      <c r="C1542" s="41" t="n"/>
      <c r="D1542" s="41" t="n"/>
      <c r="E1542" s="41" t="n"/>
      <c r="F1542" s="41" t="n"/>
      <c r="G1542" s="41" t="n"/>
      <c r="H1542" s="41" t="n"/>
      <c r="I1542" s="50" t="n"/>
      <c r="J1542" s="42" t="n"/>
      <c r="K1542" s="42" t="n"/>
      <c r="L1542" s="43">
        <f>IF($B1542="","",ROUND((N($J1542)+N($K1542))*نسبة_القيمة_المضافة,2))</f>
        <v/>
      </c>
      <c r="M1542" s="42" t="n"/>
      <c r="N1542" s="42" t="n"/>
      <c r="O1542" s="43">
        <f>IF($B1542="","",N($J1542)+N($K1542)+N($L1542)-N($M1542)+N($N1542))</f>
        <v/>
      </c>
      <c r="P1542" s="42" t="n"/>
      <c r="Q1542" s="43">
        <f>IF($B1542="","",N($O1542)-N($P1542))</f>
        <v/>
      </c>
      <c r="R1542" s="42" t="n"/>
      <c r="S1542" s="42" t="n"/>
      <c r="T1542" s="42" t="n"/>
      <c r="U1542" s="43">
        <f>IF($B1542="","",N($J1542)-N($R1542)-N($T1542))</f>
        <v/>
      </c>
      <c r="V1542" s="42" t="n"/>
    </row>
    <row r="1543">
      <c r="A1543" s="39">
        <f>IF($B1543="","",COUNTA($B$4:$B1543))</f>
        <v/>
      </c>
      <c r="B1543" s="45" t="n"/>
      <c r="C1543" s="46" t="n"/>
      <c r="D1543" s="46" t="n"/>
      <c r="E1543" s="46" t="n"/>
      <c r="F1543" s="46" t="n"/>
      <c r="G1543" s="46" t="n"/>
      <c r="H1543" s="46" t="n"/>
      <c r="I1543" s="51" t="n"/>
      <c r="J1543" s="47" t="n"/>
      <c r="K1543" s="47" t="n"/>
      <c r="L1543" s="43">
        <f>IF($B1543="","",ROUND((N($J1543)+N($K1543))*نسبة_القيمة_المضافة,2))</f>
        <v/>
      </c>
      <c r="M1543" s="47" t="n"/>
      <c r="N1543" s="47" t="n"/>
      <c r="O1543" s="43">
        <f>IF($B1543="","",N($J1543)+N($K1543)+N($L1543)-N($M1543)+N($N1543))</f>
        <v/>
      </c>
      <c r="P1543" s="47" t="n"/>
      <c r="Q1543" s="43">
        <f>IF($B1543="","",N($O1543)-N($P1543))</f>
        <v/>
      </c>
      <c r="R1543" s="47" t="n"/>
      <c r="S1543" s="47" t="n"/>
      <c r="T1543" s="47" t="n"/>
      <c r="U1543" s="43">
        <f>IF($B1543="","",N($J1543)-N($R1543)-N($T1543))</f>
        <v/>
      </c>
      <c r="V1543" s="47" t="n"/>
    </row>
    <row r="1544">
      <c r="A1544" s="39">
        <f>IF($B1544="","",COUNTA($B$4:$B1544))</f>
        <v/>
      </c>
      <c r="B1544" s="40" t="n"/>
      <c r="C1544" s="41" t="n"/>
      <c r="D1544" s="41" t="n"/>
      <c r="E1544" s="41" t="n"/>
      <c r="F1544" s="41" t="n"/>
      <c r="G1544" s="41" t="n"/>
      <c r="H1544" s="41" t="n"/>
      <c r="I1544" s="50" t="n"/>
      <c r="J1544" s="42" t="n"/>
      <c r="K1544" s="42" t="n"/>
      <c r="L1544" s="43">
        <f>IF($B1544="","",ROUND((N($J1544)+N($K1544))*نسبة_القيمة_المضافة,2))</f>
        <v/>
      </c>
      <c r="M1544" s="42" t="n"/>
      <c r="N1544" s="42" t="n"/>
      <c r="O1544" s="43">
        <f>IF($B1544="","",N($J1544)+N($K1544)+N($L1544)-N($M1544)+N($N1544))</f>
        <v/>
      </c>
      <c r="P1544" s="42" t="n"/>
      <c r="Q1544" s="43">
        <f>IF($B1544="","",N($O1544)-N($P1544))</f>
        <v/>
      </c>
      <c r="R1544" s="42" t="n"/>
      <c r="S1544" s="42" t="n"/>
      <c r="T1544" s="42" t="n"/>
      <c r="U1544" s="43">
        <f>IF($B1544="","",N($J1544)-N($R1544)-N($T1544))</f>
        <v/>
      </c>
      <c r="V1544" s="42" t="n"/>
    </row>
    <row r="1545">
      <c r="A1545" s="39">
        <f>IF($B1545="","",COUNTA($B$4:$B1545))</f>
        <v/>
      </c>
      <c r="B1545" s="45" t="n"/>
      <c r="C1545" s="46" t="n"/>
      <c r="D1545" s="46" t="n"/>
      <c r="E1545" s="46" t="n"/>
      <c r="F1545" s="46" t="n"/>
      <c r="G1545" s="46" t="n"/>
      <c r="H1545" s="46" t="n"/>
      <c r="I1545" s="51" t="n"/>
      <c r="J1545" s="47" t="n"/>
      <c r="K1545" s="47" t="n"/>
      <c r="L1545" s="43">
        <f>IF($B1545="","",ROUND((N($J1545)+N($K1545))*نسبة_القيمة_المضافة,2))</f>
        <v/>
      </c>
      <c r="M1545" s="47" t="n"/>
      <c r="N1545" s="47" t="n"/>
      <c r="O1545" s="43">
        <f>IF($B1545="","",N($J1545)+N($K1545)+N($L1545)-N($M1545)+N($N1545))</f>
        <v/>
      </c>
      <c r="P1545" s="47" t="n"/>
      <c r="Q1545" s="43">
        <f>IF($B1545="","",N($O1545)-N($P1545))</f>
        <v/>
      </c>
      <c r="R1545" s="47" t="n"/>
      <c r="S1545" s="47" t="n"/>
      <c r="T1545" s="47" t="n"/>
      <c r="U1545" s="43">
        <f>IF($B1545="","",N($J1545)-N($R1545)-N($T1545))</f>
        <v/>
      </c>
      <c r="V1545" s="47" t="n"/>
    </row>
    <row r="1546">
      <c r="A1546" s="39">
        <f>IF($B1546="","",COUNTA($B$4:$B1546))</f>
        <v/>
      </c>
      <c r="B1546" s="40" t="n"/>
      <c r="C1546" s="41" t="n"/>
      <c r="D1546" s="41" t="n"/>
      <c r="E1546" s="41" t="n"/>
      <c r="F1546" s="41" t="n"/>
      <c r="G1546" s="41" t="n"/>
      <c r="H1546" s="41" t="n"/>
      <c r="I1546" s="50" t="n"/>
      <c r="J1546" s="42" t="n"/>
      <c r="K1546" s="42" t="n"/>
      <c r="L1546" s="43">
        <f>IF($B1546="","",ROUND((N($J1546)+N($K1546))*نسبة_القيمة_المضافة,2))</f>
        <v/>
      </c>
      <c r="M1546" s="42" t="n"/>
      <c r="N1546" s="42" t="n"/>
      <c r="O1546" s="43">
        <f>IF($B1546="","",N($J1546)+N($K1546)+N($L1546)-N($M1546)+N($N1546))</f>
        <v/>
      </c>
      <c r="P1546" s="42" t="n"/>
      <c r="Q1546" s="43">
        <f>IF($B1546="","",N($O1546)-N($P1546))</f>
        <v/>
      </c>
      <c r="R1546" s="42" t="n"/>
      <c r="S1546" s="42" t="n"/>
      <c r="T1546" s="42" t="n"/>
      <c r="U1546" s="43">
        <f>IF($B1546="","",N($J1546)-N($R1546)-N($T1546))</f>
        <v/>
      </c>
      <c r="V1546" s="42" t="n"/>
    </row>
    <row r="1547">
      <c r="A1547" s="39">
        <f>IF($B1547="","",COUNTA($B$4:$B1547))</f>
        <v/>
      </c>
      <c r="B1547" s="45" t="n"/>
      <c r="C1547" s="46" t="n"/>
      <c r="D1547" s="46" t="n"/>
      <c r="E1547" s="46" t="n"/>
      <c r="F1547" s="46" t="n"/>
      <c r="G1547" s="46" t="n"/>
      <c r="H1547" s="46" t="n"/>
      <c r="I1547" s="51" t="n"/>
      <c r="J1547" s="47" t="n"/>
      <c r="K1547" s="47" t="n"/>
      <c r="L1547" s="43">
        <f>IF($B1547="","",ROUND((N($J1547)+N($K1547))*نسبة_القيمة_المضافة,2))</f>
        <v/>
      </c>
      <c r="M1547" s="47" t="n"/>
      <c r="N1547" s="47" t="n"/>
      <c r="O1547" s="43">
        <f>IF($B1547="","",N($J1547)+N($K1547)+N($L1547)-N($M1547)+N($N1547))</f>
        <v/>
      </c>
      <c r="P1547" s="47" t="n"/>
      <c r="Q1547" s="43">
        <f>IF($B1547="","",N($O1547)-N($P1547))</f>
        <v/>
      </c>
      <c r="R1547" s="47" t="n"/>
      <c r="S1547" s="47" t="n"/>
      <c r="T1547" s="47" t="n"/>
      <c r="U1547" s="43">
        <f>IF($B1547="","",N($J1547)-N($R1547)-N($T1547))</f>
        <v/>
      </c>
      <c r="V1547" s="47" t="n"/>
    </row>
    <row r="1548">
      <c r="A1548" s="39">
        <f>IF($B1548="","",COUNTA($B$4:$B1548))</f>
        <v/>
      </c>
      <c r="B1548" s="40" t="n"/>
      <c r="C1548" s="41" t="n"/>
      <c r="D1548" s="41" t="n"/>
      <c r="E1548" s="41" t="n"/>
      <c r="F1548" s="41" t="n"/>
      <c r="G1548" s="41" t="n"/>
      <c r="H1548" s="41" t="n"/>
      <c r="I1548" s="50" t="n"/>
      <c r="J1548" s="42" t="n"/>
      <c r="K1548" s="42" t="n"/>
      <c r="L1548" s="43">
        <f>IF($B1548="","",ROUND((N($J1548)+N($K1548))*نسبة_القيمة_المضافة,2))</f>
        <v/>
      </c>
      <c r="M1548" s="42" t="n"/>
      <c r="N1548" s="42" t="n"/>
      <c r="O1548" s="43">
        <f>IF($B1548="","",N($J1548)+N($K1548)+N($L1548)-N($M1548)+N($N1548))</f>
        <v/>
      </c>
      <c r="P1548" s="42" t="n"/>
      <c r="Q1548" s="43">
        <f>IF($B1548="","",N($O1548)-N($P1548))</f>
        <v/>
      </c>
      <c r="R1548" s="42" t="n"/>
      <c r="S1548" s="42" t="n"/>
      <c r="T1548" s="42" t="n"/>
      <c r="U1548" s="43">
        <f>IF($B1548="","",N($J1548)-N($R1548)-N($T1548))</f>
        <v/>
      </c>
      <c r="V1548" s="42" t="n"/>
    </row>
    <row r="1549">
      <c r="A1549" s="39">
        <f>IF($B1549="","",COUNTA($B$4:$B1549))</f>
        <v/>
      </c>
      <c r="B1549" s="45" t="n"/>
      <c r="C1549" s="46" t="n"/>
      <c r="D1549" s="46" t="n"/>
      <c r="E1549" s="46" t="n"/>
      <c r="F1549" s="46" t="n"/>
      <c r="G1549" s="46" t="n"/>
      <c r="H1549" s="46" t="n"/>
      <c r="I1549" s="51" t="n"/>
      <c r="J1549" s="47" t="n"/>
      <c r="K1549" s="47" t="n"/>
      <c r="L1549" s="43">
        <f>IF($B1549="","",ROUND((N($J1549)+N($K1549))*نسبة_القيمة_المضافة,2))</f>
        <v/>
      </c>
      <c r="M1549" s="47" t="n"/>
      <c r="N1549" s="47" t="n"/>
      <c r="O1549" s="43">
        <f>IF($B1549="","",N($J1549)+N($K1549)+N($L1549)-N($M1549)+N($N1549))</f>
        <v/>
      </c>
      <c r="P1549" s="47" t="n"/>
      <c r="Q1549" s="43">
        <f>IF($B1549="","",N($O1549)-N($P1549))</f>
        <v/>
      </c>
      <c r="R1549" s="47" t="n"/>
      <c r="S1549" s="47" t="n"/>
      <c r="T1549" s="47" t="n"/>
      <c r="U1549" s="43">
        <f>IF($B1549="","",N($J1549)-N($R1549)-N($T1549))</f>
        <v/>
      </c>
      <c r="V1549" s="47" t="n"/>
    </row>
    <row r="1550">
      <c r="A1550" s="39">
        <f>IF($B1550="","",COUNTA($B$4:$B1550))</f>
        <v/>
      </c>
      <c r="B1550" s="40" t="n"/>
      <c r="C1550" s="41" t="n"/>
      <c r="D1550" s="41" t="n"/>
      <c r="E1550" s="41" t="n"/>
      <c r="F1550" s="41" t="n"/>
      <c r="G1550" s="41" t="n"/>
      <c r="H1550" s="41" t="n"/>
      <c r="I1550" s="50" t="n"/>
      <c r="J1550" s="42" t="n"/>
      <c r="K1550" s="42" t="n"/>
      <c r="L1550" s="43">
        <f>IF($B1550="","",ROUND((N($J1550)+N($K1550))*نسبة_القيمة_المضافة,2))</f>
        <v/>
      </c>
      <c r="M1550" s="42" t="n"/>
      <c r="N1550" s="42" t="n"/>
      <c r="O1550" s="43">
        <f>IF($B1550="","",N($J1550)+N($K1550)+N($L1550)-N($M1550)+N($N1550))</f>
        <v/>
      </c>
      <c r="P1550" s="42" t="n"/>
      <c r="Q1550" s="43">
        <f>IF($B1550="","",N($O1550)-N($P1550))</f>
        <v/>
      </c>
      <c r="R1550" s="42" t="n"/>
      <c r="S1550" s="42" t="n"/>
      <c r="T1550" s="42" t="n"/>
      <c r="U1550" s="43">
        <f>IF($B1550="","",N($J1550)-N($R1550)-N($T1550))</f>
        <v/>
      </c>
      <c r="V1550" s="42" t="n"/>
    </row>
    <row r="1551">
      <c r="A1551" s="39">
        <f>IF($B1551="","",COUNTA($B$4:$B1551))</f>
        <v/>
      </c>
      <c r="B1551" s="45" t="n"/>
      <c r="C1551" s="46" t="n"/>
      <c r="D1551" s="46" t="n"/>
      <c r="E1551" s="46" t="n"/>
      <c r="F1551" s="46" t="n"/>
      <c r="G1551" s="46" t="n"/>
      <c r="H1551" s="46" t="n"/>
      <c r="I1551" s="51" t="n"/>
      <c r="J1551" s="47" t="n"/>
      <c r="K1551" s="47" t="n"/>
      <c r="L1551" s="43">
        <f>IF($B1551="","",ROUND((N($J1551)+N($K1551))*نسبة_القيمة_المضافة,2))</f>
        <v/>
      </c>
      <c r="M1551" s="47" t="n"/>
      <c r="N1551" s="47" t="n"/>
      <c r="O1551" s="43">
        <f>IF($B1551="","",N($J1551)+N($K1551)+N($L1551)-N($M1551)+N($N1551))</f>
        <v/>
      </c>
      <c r="P1551" s="47" t="n"/>
      <c r="Q1551" s="43">
        <f>IF($B1551="","",N($O1551)-N($P1551))</f>
        <v/>
      </c>
      <c r="R1551" s="47" t="n"/>
      <c r="S1551" s="47" t="n"/>
      <c r="T1551" s="47" t="n"/>
      <c r="U1551" s="43">
        <f>IF($B1551="","",N($J1551)-N($R1551)-N($T1551))</f>
        <v/>
      </c>
      <c r="V1551" s="47" t="n"/>
    </row>
    <row r="1552">
      <c r="A1552" s="39">
        <f>IF($B1552="","",COUNTA($B$4:$B1552))</f>
        <v/>
      </c>
      <c r="B1552" s="40" t="n"/>
      <c r="C1552" s="41" t="n"/>
      <c r="D1552" s="41" t="n"/>
      <c r="E1552" s="41" t="n"/>
      <c r="F1552" s="41" t="n"/>
      <c r="G1552" s="41" t="n"/>
      <c r="H1552" s="41" t="n"/>
      <c r="I1552" s="50" t="n"/>
      <c r="J1552" s="42" t="n"/>
      <c r="K1552" s="42" t="n"/>
      <c r="L1552" s="43">
        <f>IF($B1552="","",ROUND((N($J1552)+N($K1552))*نسبة_القيمة_المضافة,2))</f>
        <v/>
      </c>
      <c r="M1552" s="42" t="n"/>
      <c r="N1552" s="42" t="n"/>
      <c r="O1552" s="43">
        <f>IF($B1552="","",N($J1552)+N($K1552)+N($L1552)-N($M1552)+N($N1552))</f>
        <v/>
      </c>
      <c r="P1552" s="42" t="n"/>
      <c r="Q1552" s="43">
        <f>IF($B1552="","",N($O1552)-N($P1552))</f>
        <v/>
      </c>
      <c r="R1552" s="42" t="n"/>
      <c r="S1552" s="42" t="n"/>
      <c r="T1552" s="42" t="n"/>
      <c r="U1552" s="43">
        <f>IF($B1552="","",N($J1552)-N($R1552)-N($T1552))</f>
        <v/>
      </c>
      <c r="V1552" s="42" t="n"/>
    </row>
    <row r="1553">
      <c r="A1553" s="39">
        <f>IF($B1553="","",COUNTA($B$4:$B1553))</f>
        <v/>
      </c>
      <c r="B1553" s="45" t="n"/>
      <c r="C1553" s="46" t="n"/>
      <c r="D1553" s="46" t="n"/>
      <c r="E1553" s="46" t="n"/>
      <c r="F1553" s="46" t="n"/>
      <c r="G1553" s="46" t="n"/>
      <c r="H1553" s="46" t="n"/>
      <c r="I1553" s="51" t="n"/>
      <c r="J1553" s="47" t="n"/>
      <c r="K1553" s="47" t="n"/>
      <c r="L1553" s="43">
        <f>IF($B1553="","",ROUND((N($J1553)+N($K1553))*نسبة_القيمة_المضافة,2))</f>
        <v/>
      </c>
      <c r="M1553" s="47" t="n"/>
      <c r="N1553" s="47" t="n"/>
      <c r="O1553" s="43">
        <f>IF($B1553="","",N($J1553)+N($K1553)+N($L1553)-N($M1553)+N($N1553))</f>
        <v/>
      </c>
      <c r="P1553" s="47" t="n"/>
      <c r="Q1553" s="43">
        <f>IF($B1553="","",N($O1553)-N($P1553))</f>
        <v/>
      </c>
      <c r="R1553" s="47" t="n"/>
      <c r="S1553" s="47" t="n"/>
      <c r="T1553" s="47" t="n"/>
      <c r="U1553" s="43">
        <f>IF($B1553="","",N($J1553)-N($R1553)-N($T1553))</f>
        <v/>
      </c>
      <c r="V1553" s="47" t="n"/>
    </row>
    <row r="1554">
      <c r="A1554" s="39">
        <f>IF($B1554="","",COUNTA($B$4:$B1554))</f>
        <v/>
      </c>
      <c r="B1554" s="40" t="n"/>
      <c r="C1554" s="41" t="n"/>
      <c r="D1554" s="41" t="n"/>
      <c r="E1554" s="41" t="n"/>
      <c r="F1554" s="41" t="n"/>
      <c r="G1554" s="41" t="n"/>
      <c r="H1554" s="41" t="n"/>
      <c r="I1554" s="50" t="n"/>
      <c r="J1554" s="42" t="n"/>
      <c r="K1554" s="42" t="n"/>
      <c r="L1554" s="43">
        <f>IF($B1554="","",ROUND((N($J1554)+N($K1554))*نسبة_القيمة_المضافة,2))</f>
        <v/>
      </c>
      <c r="M1554" s="42" t="n"/>
      <c r="N1554" s="42" t="n"/>
      <c r="O1554" s="43">
        <f>IF($B1554="","",N($J1554)+N($K1554)+N($L1554)-N($M1554)+N($N1554))</f>
        <v/>
      </c>
      <c r="P1554" s="42" t="n"/>
      <c r="Q1554" s="43">
        <f>IF($B1554="","",N($O1554)-N($P1554))</f>
        <v/>
      </c>
      <c r="R1554" s="42" t="n"/>
      <c r="S1554" s="42" t="n"/>
      <c r="T1554" s="42" t="n"/>
      <c r="U1554" s="43">
        <f>IF($B1554="","",N($J1554)-N($R1554)-N($T1554))</f>
        <v/>
      </c>
      <c r="V1554" s="42" t="n"/>
    </row>
    <row r="1555">
      <c r="A1555" s="39">
        <f>IF($B1555="","",COUNTA($B$4:$B1555))</f>
        <v/>
      </c>
      <c r="B1555" s="45" t="n"/>
      <c r="C1555" s="46" t="n"/>
      <c r="D1555" s="46" t="n"/>
      <c r="E1555" s="46" t="n"/>
      <c r="F1555" s="46" t="n"/>
      <c r="G1555" s="46" t="n"/>
      <c r="H1555" s="46" t="n"/>
      <c r="I1555" s="51" t="n"/>
      <c r="J1555" s="47" t="n"/>
      <c r="K1555" s="47" t="n"/>
      <c r="L1555" s="43">
        <f>IF($B1555="","",ROUND((N($J1555)+N($K1555))*نسبة_القيمة_المضافة,2))</f>
        <v/>
      </c>
      <c r="M1555" s="47" t="n"/>
      <c r="N1555" s="47" t="n"/>
      <c r="O1555" s="43">
        <f>IF($B1555="","",N($J1555)+N($K1555)+N($L1555)-N($M1555)+N($N1555))</f>
        <v/>
      </c>
      <c r="P1555" s="47" t="n"/>
      <c r="Q1555" s="43">
        <f>IF($B1555="","",N($O1555)-N($P1555))</f>
        <v/>
      </c>
      <c r="R1555" s="47" t="n"/>
      <c r="S1555" s="47" t="n"/>
      <c r="T1555" s="47" t="n"/>
      <c r="U1555" s="43">
        <f>IF($B1555="","",N($J1555)-N($R1555)-N($T1555))</f>
        <v/>
      </c>
      <c r="V1555" s="47" t="n"/>
    </row>
    <row r="1556">
      <c r="A1556" s="39">
        <f>IF($B1556="","",COUNTA($B$4:$B1556))</f>
        <v/>
      </c>
      <c r="B1556" s="40" t="n"/>
      <c r="C1556" s="41" t="n"/>
      <c r="D1556" s="41" t="n"/>
      <c r="E1556" s="41" t="n"/>
      <c r="F1556" s="41" t="n"/>
      <c r="G1556" s="41" t="n"/>
      <c r="H1556" s="41" t="n"/>
      <c r="I1556" s="50" t="n"/>
      <c r="J1556" s="42" t="n"/>
      <c r="K1556" s="42" t="n"/>
      <c r="L1556" s="43">
        <f>IF($B1556="","",ROUND((N($J1556)+N($K1556))*نسبة_القيمة_المضافة,2))</f>
        <v/>
      </c>
      <c r="M1556" s="42" t="n"/>
      <c r="N1556" s="42" t="n"/>
      <c r="O1556" s="43">
        <f>IF($B1556="","",N($J1556)+N($K1556)+N($L1556)-N($M1556)+N($N1556))</f>
        <v/>
      </c>
      <c r="P1556" s="42" t="n"/>
      <c r="Q1556" s="43">
        <f>IF($B1556="","",N($O1556)-N($P1556))</f>
        <v/>
      </c>
      <c r="R1556" s="42" t="n"/>
      <c r="S1556" s="42" t="n"/>
      <c r="T1556" s="42" t="n"/>
      <c r="U1556" s="43">
        <f>IF($B1556="","",N($J1556)-N($R1556)-N($T1556))</f>
        <v/>
      </c>
      <c r="V1556" s="42" t="n"/>
    </row>
    <row r="1557">
      <c r="A1557" s="39">
        <f>IF($B1557="","",COUNTA($B$4:$B1557))</f>
        <v/>
      </c>
      <c r="B1557" s="45" t="n"/>
      <c r="C1557" s="46" t="n"/>
      <c r="D1557" s="46" t="n"/>
      <c r="E1557" s="46" t="n"/>
      <c r="F1557" s="46" t="n"/>
      <c r="G1557" s="46" t="n"/>
      <c r="H1557" s="46" t="n"/>
      <c r="I1557" s="51" t="n"/>
      <c r="J1557" s="47" t="n"/>
      <c r="K1557" s="47" t="n"/>
      <c r="L1557" s="43">
        <f>IF($B1557="","",ROUND((N($J1557)+N($K1557))*نسبة_القيمة_المضافة,2))</f>
        <v/>
      </c>
      <c r="M1557" s="47" t="n"/>
      <c r="N1557" s="47" t="n"/>
      <c r="O1557" s="43">
        <f>IF($B1557="","",N($J1557)+N($K1557)+N($L1557)-N($M1557)+N($N1557))</f>
        <v/>
      </c>
      <c r="P1557" s="47" t="n"/>
      <c r="Q1557" s="43">
        <f>IF($B1557="","",N($O1557)-N($P1557))</f>
        <v/>
      </c>
      <c r="R1557" s="47" t="n"/>
      <c r="S1557" s="47" t="n"/>
      <c r="T1557" s="47" t="n"/>
      <c r="U1557" s="43">
        <f>IF($B1557="","",N($J1557)-N($R1557)-N($T1557))</f>
        <v/>
      </c>
      <c r="V1557" s="47" t="n"/>
    </row>
    <row r="1558">
      <c r="A1558" s="39">
        <f>IF($B1558="","",COUNTA($B$4:$B1558))</f>
        <v/>
      </c>
      <c r="B1558" s="40" t="n"/>
      <c r="C1558" s="41" t="n"/>
      <c r="D1558" s="41" t="n"/>
      <c r="E1558" s="41" t="n"/>
      <c r="F1558" s="41" t="n"/>
      <c r="G1558" s="41" t="n"/>
      <c r="H1558" s="41" t="n"/>
      <c r="I1558" s="50" t="n"/>
      <c r="J1558" s="42" t="n"/>
      <c r="K1558" s="42" t="n"/>
      <c r="L1558" s="43">
        <f>IF($B1558="","",ROUND((N($J1558)+N($K1558))*نسبة_القيمة_المضافة,2))</f>
        <v/>
      </c>
      <c r="M1558" s="42" t="n"/>
      <c r="N1558" s="42" t="n"/>
      <c r="O1558" s="43">
        <f>IF($B1558="","",N($J1558)+N($K1558)+N($L1558)-N($M1558)+N($N1558))</f>
        <v/>
      </c>
      <c r="P1558" s="42" t="n"/>
      <c r="Q1558" s="43">
        <f>IF($B1558="","",N($O1558)-N($P1558))</f>
        <v/>
      </c>
      <c r="R1558" s="42" t="n"/>
      <c r="S1558" s="42" t="n"/>
      <c r="T1558" s="42" t="n"/>
      <c r="U1558" s="43">
        <f>IF($B1558="","",N($J1558)-N($R1558)-N($T1558))</f>
        <v/>
      </c>
      <c r="V1558" s="42" t="n"/>
    </row>
    <row r="1559">
      <c r="A1559" s="39">
        <f>IF($B1559="","",COUNTA($B$4:$B1559))</f>
        <v/>
      </c>
      <c r="B1559" s="45" t="n"/>
      <c r="C1559" s="46" t="n"/>
      <c r="D1559" s="46" t="n"/>
      <c r="E1559" s="46" t="n"/>
      <c r="F1559" s="46" t="n"/>
      <c r="G1559" s="46" t="n"/>
      <c r="H1559" s="46" t="n"/>
      <c r="I1559" s="51" t="n"/>
      <c r="J1559" s="47" t="n"/>
      <c r="K1559" s="47" t="n"/>
      <c r="L1559" s="43">
        <f>IF($B1559="","",ROUND((N($J1559)+N($K1559))*نسبة_القيمة_المضافة,2))</f>
        <v/>
      </c>
      <c r="M1559" s="47" t="n"/>
      <c r="N1559" s="47" t="n"/>
      <c r="O1559" s="43">
        <f>IF($B1559="","",N($J1559)+N($K1559)+N($L1559)-N($M1559)+N($N1559))</f>
        <v/>
      </c>
      <c r="P1559" s="47" t="n"/>
      <c r="Q1559" s="43">
        <f>IF($B1559="","",N($O1559)-N($P1559))</f>
        <v/>
      </c>
      <c r="R1559" s="47" t="n"/>
      <c r="S1559" s="47" t="n"/>
      <c r="T1559" s="47" t="n"/>
      <c r="U1559" s="43">
        <f>IF($B1559="","",N($J1559)-N($R1559)-N($T1559))</f>
        <v/>
      </c>
      <c r="V1559" s="47" t="n"/>
    </row>
    <row r="1560">
      <c r="A1560" s="39">
        <f>IF($B1560="","",COUNTA($B$4:$B1560))</f>
        <v/>
      </c>
      <c r="B1560" s="40" t="n"/>
      <c r="C1560" s="41" t="n"/>
      <c r="D1560" s="41" t="n"/>
      <c r="E1560" s="41" t="n"/>
      <c r="F1560" s="41" t="n"/>
      <c r="G1560" s="41" t="n"/>
      <c r="H1560" s="41" t="n"/>
      <c r="I1560" s="50" t="n"/>
      <c r="J1560" s="42" t="n"/>
      <c r="K1560" s="42" t="n"/>
      <c r="L1560" s="43">
        <f>IF($B1560="","",ROUND((N($J1560)+N($K1560))*نسبة_القيمة_المضافة,2))</f>
        <v/>
      </c>
      <c r="M1560" s="42" t="n"/>
      <c r="N1560" s="42" t="n"/>
      <c r="O1560" s="43">
        <f>IF($B1560="","",N($J1560)+N($K1560)+N($L1560)-N($M1560)+N($N1560))</f>
        <v/>
      </c>
      <c r="P1560" s="42" t="n"/>
      <c r="Q1560" s="43">
        <f>IF($B1560="","",N($O1560)-N($P1560))</f>
        <v/>
      </c>
      <c r="R1560" s="42" t="n"/>
      <c r="S1560" s="42" t="n"/>
      <c r="T1560" s="42" t="n"/>
      <c r="U1560" s="43">
        <f>IF($B1560="","",N($J1560)-N($R1560)-N($T1560))</f>
        <v/>
      </c>
      <c r="V1560" s="42" t="n"/>
    </row>
    <row r="1561">
      <c r="A1561" s="39">
        <f>IF($B1561="","",COUNTA($B$4:$B1561))</f>
        <v/>
      </c>
      <c r="B1561" s="45" t="n"/>
      <c r="C1561" s="46" t="n"/>
      <c r="D1561" s="46" t="n"/>
      <c r="E1561" s="46" t="n"/>
      <c r="F1561" s="46" t="n"/>
      <c r="G1561" s="46" t="n"/>
      <c r="H1561" s="46" t="n"/>
      <c r="I1561" s="51" t="n"/>
      <c r="J1561" s="47" t="n"/>
      <c r="K1561" s="47" t="n"/>
      <c r="L1561" s="43">
        <f>IF($B1561="","",ROUND((N($J1561)+N($K1561))*نسبة_القيمة_المضافة,2))</f>
        <v/>
      </c>
      <c r="M1561" s="47" t="n"/>
      <c r="N1561" s="47" t="n"/>
      <c r="O1561" s="43">
        <f>IF($B1561="","",N($J1561)+N($K1561)+N($L1561)-N($M1561)+N($N1561))</f>
        <v/>
      </c>
      <c r="P1561" s="47" t="n"/>
      <c r="Q1561" s="43">
        <f>IF($B1561="","",N($O1561)-N($P1561))</f>
        <v/>
      </c>
      <c r="R1561" s="47" t="n"/>
      <c r="S1561" s="47" t="n"/>
      <c r="T1561" s="47" t="n"/>
      <c r="U1561" s="43">
        <f>IF($B1561="","",N($J1561)-N($R1561)-N($T1561))</f>
        <v/>
      </c>
      <c r="V1561" s="47" t="n"/>
    </row>
    <row r="1562">
      <c r="A1562" s="39">
        <f>IF($B1562="","",COUNTA($B$4:$B1562))</f>
        <v/>
      </c>
      <c r="B1562" s="40" t="n"/>
      <c r="C1562" s="41" t="n"/>
      <c r="D1562" s="41" t="n"/>
      <c r="E1562" s="41" t="n"/>
      <c r="F1562" s="41" t="n"/>
      <c r="G1562" s="41" t="n"/>
      <c r="H1562" s="41" t="n"/>
      <c r="I1562" s="50" t="n"/>
      <c r="J1562" s="42" t="n"/>
      <c r="K1562" s="42" t="n"/>
      <c r="L1562" s="43">
        <f>IF($B1562="","",ROUND((N($J1562)+N($K1562))*نسبة_القيمة_المضافة,2))</f>
        <v/>
      </c>
      <c r="M1562" s="42" t="n"/>
      <c r="N1562" s="42" t="n"/>
      <c r="O1562" s="43">
        <f>IF($B1562="","",N($J1562)+N($K1562)+N($L1562)-N($M1562)+N($N1562))</f>
        <v/>
      </c>
      <c r="P1562" s="42" t="n"/>
      <c r="Q1562" s="43">
        <f>IF($B1562="","",N($O1562)-N($P1562))</f>
        <v/>
      </c>
      <c r="R1562" s="42" t="n"/>
      <c r="S1562" s="42" t="n"/>
      <c r="T1562" s="42" t="n"/>
      <c r="U1562" s="43">
        <f>IF($B1562="","",N($J1562)-N($R1562)-N($T1562))</f>
        <v/>
      </c>
      <c r="V1562" s="42" t="n"/>
    </row>
    <row r="1563">
      <c r="A1563" s="39">
        <f>IF($B1563="","",COUNTA($B$4:$B1563))</f>
        <v/>
      </c>
      <c r="B1563" s="45" t="n"/>
      <c r="C1563" s="46" t="n"/>
      <c r="D1563" s="46" t="n"/>
      <c r="E1563" s="46" t="n"/>
      <c r="F1563" s="46" t="n"/>
      <c r="G1563" s="46" t="n"/>
      <c r="H1563" s="46" t="n"/>
      <c r="I1563" s="51" t="n"/>
      <c r="J1563" s="47" t="n"/>
      <c r="K1563" s="47" t="n"/>
      <c r="L1563" s="43">
        <f>IF($B1563="","",ROUND((N($J1563)+N($K1563))*نسبة_القيمة_المضافة,2))</f>
        <v/>
      </c>
      <c r="M1563" s="47" t="n"/>
      <c r="N1563" s="47" t="n"/>
      <c r="O1563" s="43">
        <f>IF($B1563="","",N($J1563)+N($K1563)+N($L1563)-N($M1563)+N($N1563))</f>
        <v/>
      </c>
      <c r="P1563" s="47" t="n"/>
      <c r="Q1563" s="43">
        <f>IF($B1563="","",N($O1563)-N($P1563))</f>
        <v/>
      </c>
      <c r="R1563" s="47" t="n"/>
      <c r="S1563" s="47" t="n"/>
      <c r="T1563" s="47" t="n"/>
      <c r="U1563" s="43">
        <f>IF($B1563="","",N($J1563)-N($R1563)-N($T1563))</f>
        <v/>
      </c>
      <c r="V1563" s="47" t="n"/>
    </row>
    <row r="1564">
      <c r="A1564" s="39">
        <f>IF($B1564="","",COUNTA($B$4:$B1564))</f>
        <v/>
      </c>
      <c r="B1564" s="40" t="n"/>
      <c r="C1564" s="41" t="n"/>
      <c r="D1564" s="41" t="n"/>
      <c r="E1564" s="41" t="n"/>
      <c r="F1564" s="41" t="n"/>
      <c r="G1564" s="41" t="n"/>
      <c r="H1564" s="41" t="n"/>
      <c r="I1564" s="50" t="n"/>
      <c r="J1564" s="42" t="n"/>
      <c r="K1564" s="42" t="n"/>
      <c r="L1564" s="43">
        <f>IF($B1564="","",ROUND((N($J1564)+N($K1564))*نسبة_القيمة_المضافة,2))</f>
        <v/>
      </c>
      <c r="M1564" s="42" t="n"/>
      <c r="N1564" s="42" t="n"/>
      <c r="O1564" s="43">
        <f>IF($B1564="","",N($J1564)+N($K1564)+N($L1564)-N($M1564)+N($N1564))</f>
        <v/>
      </c>
      <c r="P1564" s="42" t="n"/>
      <c r="Q1564" s="43">
        <f>IF($B1564="","",N($O1564)-N($P1564))</f>
        <v/>
      </c>
      <c r="R1564" s="42" t="n"/>
      <c r="S1564" s="42" t="n"/>
      <c r="T1564" s="42" t="n"/>
      <c r="U1564" s="43">
        <f>IF($B1564="","",N($J1564)-N($R1564)-N($T1564))</f>
        <v/>
      </c>
      <c r="V1564" s="42" t="n"/>
    </row>
    <row r="1565">
      <c r="A1565" s="39">
        <f>IF($B1565="","",COUNTA($B$4:$B1565))</f>
        <v/>
      </c>
      <c r="B1565" s="45" t="n"/>
      <c r="C1565" s="46" t="n"/>
      <c r="D1565" s="46" t="n"/>
      <c r="E1565" s="46" t="n"/>
      <c r="F1565" s="46" t="n"/>
      <c r="G1565" s="46" t="n"/>
      <c r="H1565" s="46" t="n"/>
      <c r="I1565" s="51" t="n"/>
      <c r="J1565" s="47" t="n"/>
      <c r="K1565" s="47" t="n"/>
      <c r="L1565" s="43">
        <f>IF($B1565="","",ROUND((N($J1565)+N($K1565))*نسبة_القيمة_المضافة,2))</f>
        <v/>
      </c>
      <c r="M1565" s="47" t="n"/>
      <c r="N1565" s="47" t="n"/>
      <c r="O1565" s="43">
        <f>IF($B1565="","",N($J1565)+N($K1565)+N($L1565)-N($M1565)+N($N1565))</f>
        <v/>
      </c>
      <c r="P1565" s="47" t="n"/>
      <c r="Q1565" s="43">
        <f>IF($B1565="","",N($O1565)-N($P1565))</f>
        <v/>
      </c>
      <c r="R1565" s="47" t="n"/>
      <c r="S1565" s="47" t="n"/>
      <c r="T1565" s="47" t="n"/>
      <c r="U1565" s="43">
        <f>IF($B1565="","",N($J1565)-N($R1565)-N($T1565))</f>
        <v/>
      </c>
      <c r="V1565" s="47" t="n"/>
    </row>
    <row r="1566">
      <c r="A1566" s="39">
        <f>IF($B1566="","",COUNTA($B$4:$B1566))</f>
        <v/>
      </c>
      <c r="B1566" s="40" t="n"/>
      <c r="C1566" s="41" t="n"/>
      <c r="D1566" s="41" t="n"/>
      <c r="E1566" s="41" t="n"/>
      <c r="F1566" s="41" t="n"/>
      <c r="G1566" s="41" t="n"/>
      <c r="H1566" s="41" t="n"/>
      <c r="I1566" s="50" t="n"/>
      <c r="J1566" s="42" t="n"/>
      <c r="K1566" s="42" t="n"/>
      <c r="L1566" s="43">
        <f>IF($B1566="","",ROUND((N($J1566)+N($K1566))*نسبة_القيمة_المضافة,2))</f>
        <v/>
      </c>
      <c r="M1566" s="42" t="n"/>
      <c r="N1566" s="42" t="n"/>
      <c r="O1566" s="43">
        <f>IF($B1566="","",N($J1566)+N($K1566)+N($L1566)-N($M1566)+N($N1566))</f>
        <v/>
      </c>
      <c r="P1566" s="42" t="n"/>
      <c r="Q1566" s="43">
        <f>IF($B1566="","",N($O1566)-N($P1566))</f>
        <v/>
      </c>
      <c r="R1566" s="42" t="n"/>
      <c r="S1566" s="42" t="n"/>
      <c r="T1566" s="42" t="n"/>
      <c r="U1566" s="43">
        <f>IF($B1566="","",N($J1566)-N($R1566)-N($T1566))</f>
        <v/>
      </c>
      <c r="V1566" s="42" t="n"/>
    </row>
    <row r="1567">
      <c r="A1567" s="39">
        <f>IF($B1567="","",COUNTA($B$4:$B1567))</f>
        <v/>
      </c>
      <c r="B1567" s="45" t="n"/>
      <c r="C1567" s="46" t="n"/>
      <c r="D1567" s="46" t="n"/>
      <c r="E1567" s="46" t="n"/>
      <c r="F1567" s="46" t="n"/>
      <c r="G1567" s="46" t="n"/>
      <c r="H1567" s="46" t="n"/>
      <c r="I1567" s="51" t="n"/>
      <c r="J1567" s="47" t="n"/>
      <c r="K1567" s="47" t="n"/>
      <c r="L1567" s="43">
        <f>IF($B1567="","",ROUND((N($J1567)+N($K1567))*نسبة_القيمة_المضافة,2))</f>
        <v/>
      </c>
      <c r="M1567" s="47" t="n"/>
      <c r="N1567" s="47" t="n"/>
      <c r="O1567" s="43">
        <f>IF($B1567="","",N($J1567)+N($K1567)+N($L1567)-N($M1567)+N($N1567))</f>
        <v/>
      </c>
      <c r="P1567" s="47" t="n"/>
      <c r="Q1567" s="43">
        <f>IF($B1567="","",N($O1567)-N($P1567))</f>
        <v/>
      </c>
      <c r="R1567" s="47" t="n"/>
      <c r="S1567" s="47" t="n"/>
      <c r="T1567" s="47" t="n"/>
      <c r="U1567" s="43">
        <f>IF($B1567="","",N($J1567)-N($R1567)-N($T1567))</f>
        <v/>
      </c>
      <c r="V1567" s="47" t="n"/>
    </row>
    <row r="1568">
      <c r="A1568" s="39">
        <f>IF($B1568="","",COUNTA($B$4:$B1568))</f>
        <v/>
      </c>
      <c r="B1568" s="40" t="n"/>
      <c r="C1568" s="41" t="n"/>
      <c r="D1568" s="41" t="n"/>
      <c r="E1568" s="41" t="n"/>
      <c r="F1568" s="41" t="n"/>
      <c r="G1568" s="41" t="n"/>
      <c r="H1568" s="41" t="n"/>
      <c r="I1568" s="50" t="n"/>
      <c r="J1568" s="42" t="n"/>
      <c r="K1568" s="42" t="n"/>
      <c r="L1568" s="43">
        <f>IF($B1568="","",ROUND((N($J1568)+N($K1568))*نسبة_القيمة_المضافة,2))</f>
        <v/>
      </c>
      <c r="M1568" s="42" t="n"/>
      <c r="N1568" s="42" t="n"/>
      <c r="O1568" s="43">
        <f>IF($B1568="","",N($J1568)+N($K1568)+N($L1568)-N($M1568)+N($N1568))</f>
        <v/>
      </c>
      <c r="P1568" s="42" t="n"/>
      <c r="Q1568" s="43">
        <f>IF($B1568="","",N($O1568)-N($P1568))</f>
        <v/>
      </c>
      <c r="R1568" s="42" t="n"/>
      <c r="S1568" s="42" t="n"/>
      <c r="T1568" s="42" t="n"/>
      <c r="U1568" s="43">
        <f>IF($B1568="","",N($J1568)-N($R1568)-N($T1568))</f>
        <v/>
      </c>
      <c r="V1568" s="42" t="n"/>
    </row>
    <row r="1569">
      <c r="A1569" s="39">
        <f>IF($B1569="","",COUNTA($B$4:$B1569))</f>
        <v/>
      </c>
      <c r="B1569" s="45" t="n"/>
      <c r="C1569" s="46" t="n"/>
      <c r="D1569" s="46" t="n"/>
      <c r="E1569" s="46" t="n"/>
      <c r="F1569" s="46" t="n"/>
      <c r="G1569" s="46" t="n"/>
      <c r="H1569" s="46" t="n"/>
      <c r="I1569" s="51" t="n"/>
      <c r="J1569" s="47" t="n"/>
      <c r="K1569" s="47" t="n"/>
      <c r="L1569" s="43">
        <f>IF($B1569="","",ROUND((N($J1569)+N($K1569))*نسبة_القيمة_المضافة,2))</f>
        <v/>
      </c>
      <c r="M1569" s="47" t="n"/>
      <c r="N1569" s="47" t="n"/>
      <c r="O1569" s="43">
        <f>IF($B1569="","",N($J1569)+N($K1569)+N($L1569)-N($M1569)+N($N1569))</f>
        <v/>
      </c>
      <c r="P1569" s="47" t="n"/>
      <c r="Q1569" s="43">
        <f>IF($B1569="","",N($O1569)-N($P1569))</f>
        <v/>
      </c>
      <c r="R1569" s="47" t="n"/>
      <c r="S1569" s="47" t="n"/>
      <c r="T1569" s="47" t="n"/>
      <c r="U1569" s="43">
        <f>IF($B1569="","",N($J1569)-N($R1569)-N($T1569))</f>
        <v/>
      </c>
      <c r="V1569" s="47" t="n"/>
    </row>
    <row r="1570">
      <c r="A1570" s="39">
        <f>IF($B1570="","",COUNTA($B$4:$B1570))</f>
        <v/>
      </c>
      <c r="B1570" s="40" t="n"/>
      <c r="C1570" s="41" t="n"/>
      <c r="D1570" s="41" t="n"/>
      <c r="E1570" s="41" t="n"/>
      <c r="F1570" s="41" t="n"/>
      <c r="G1570" s="41" t="n"/>
      <c r="H1570" s="41" t="n"/>
      <c r="I1570" s="50" t="n"/>
      <c r="J1570" s="42" t="n"/>
      <c r="K1570" s="42" t="n"/>
      <c r="L1570" s="43">
        <f>IF($B1570="","",ROUND((N($J1570)+N($K1570))*نسبة_القيمة_المضافة,2))</f>
        <v/>
      </c>
      <c r="M1570" s="42" t="n"/>
      <c r="N1570" s="42" t="n"/>
      <c r="O1570" s="43">
        <f>IF($B1570="","",N($J1570)+N($K1570)+N($L1570)-N($M1570)+N($N1570))</f>
        <v/>
      </c>
      <c r="P1570" s="42" t="n"/>
      <c r="Q1570" s="43">
        <f>IF($B1570="","",N($O1570)-N($P1570))</f>
        <v/>
      </c>
      <c r="R1570" s="42" t="n"/>
      <c r="S1570" s="42" t="n"/>
      <c r="T1570" s="42" t="n"/>
      <c r="U1570" s="43">
        <f>IF($B1570="","",N($J1570)-N($R1570)-N($T1570))</f>
        <v/>
      </c>
      <c r="V1570" s="42" t="n"/>
    </row>
    <row r="1571">
      <c r="A1571" s="39">
        <f>IF($B1571="","",COUNTA($B$4:$B1571))</f>
        <v/>
      </c>
      <c r="B1571" s="45" t="n"/>
      <c r="C1571" s="46" t="n"/>
      <c r="D1571" s="46" t="n"/>
      <c r="E1571" s="46" t="n"/>
      <c r="F1571" s="46" t="n"/>
      <c r="G1571" s="46" t="n"/>
      <c r="H1571" s="46" t="n"/>
      <c r="I1571" s="51" t="n"/>
      <c r="J1571" s="47" t="n"/>
      <c r="K1571" s="47" t="n"/>
      <c r="L1571" s="43">
        <f>IF($B1571="","",ROUND((N($J1571)+N($K1571))*نسبة_القيمة_المضافة,2))</f>
        <v/>
      </c>
      <c r="M1571" s="47" t="n"/>
      <c r="N1571" s="47" t="n"/>
      <c r="O1571" s="43">
        <f>IF($B1571="","",N($J1571)+N($K1571)+N($L1571)-N($M1571)+N($N1571))</f>
        <v/>
      </c>
      <c r="P1571" s="47" t="n"/>
      <c r="Q1571" s="43">
        <f>IF($B1571="","",N($O1571)-N($P1571))</f>
        <v/>
      </c>
      <c r="R1571" s="47" t="n"/>
      <c r="S1571" s="47" t="n"/>
      <c r="T1571" s="47" t="n"/>
      <c r="U1571" s="43">
        <f>IF($B1571="","",N($J1571)-N($R1571)-N($T1571))</f>
        <v/>
      </c>
      <c r="V1571" s="47" t="n"/>
    </row>
    <row r="1572">
      <c r="A1572" s="39">
        <f>IF($B1572="","",COUNTA($B$4:$B1572))</f>
        <v/>
      </c>
      <c r="B1572" s="40" t="n"/>
      <c r="C1572" s="41" t="n"/>
      <c r="D1572" s="41" t="n"/>
      <c r="E1572" s="41" t="n"/>
      <c r="F1572" s="41" t="n"/>
      <c r="G1572" s="41" t="n"/>
      <c r="H1572" s="41" t="n"/>
      <c r="I1572" s="50" t="n"/>
      <c r="J1572" s="42" t="n"/>
      <c r="K1572" s="42" t="n"/>
      <c r="L1572" s="43">
        <f>IF($B1572="","",ROUND((N($J1572)+N($K1572))*نسبة_القيمة_المضافة,2))</f>
        <v/>
      </c>
      <c r="M1572" s="42" t="n"/>
      <c r="N1572" s="42" t="n"/>
      <c r="O1572" s="43">
        <f>IF($B1572="","",N($J1572)+N($K1572)+N($L1572)-N($M1572)+N($N1572))</f>
        <v/>
      </c>
      <c r="P1572" s="42" t="n"/>
      <c r="Q1572" s="43">
        <f>IF($B1572="","",N($O1572)-N($P1572))</f>
        <v/>
      </c>
      <c r="R1572" s="42" t="n"/>
      <c r="S1572" s="42" t="n"/>
      <c r="T1572" s="42" t="n"/>
      <c r="U1572" s="43">
        <f>IF($B1572="","",N($J1572)-N($R1572)-N($T1572))</f>
        <v/>
      </c>
      <c r="V1572" s="42" t="n"/>
    </row>
    <row r="1573">
      <c r="A1573" s="39">
        <f>IF($B1573="","",COUNTA($B$4:$B1573))</f>
        <v/>
      </c>
      <c r="B1573" s="45" t="n"/>
      <c r="C1573" s="46" t="n"/>
      <c r="D1573" s="46" t="n"/>
      <c r="E1573" s="46" t="n"/>
      <c r="F1573" s="46" t="n"/>
      <c r="G1573" s="46" t="n"/>
      <c r="H1573" s="46" t="n"/>
      <c r="I1573" s="51" t="n"/>
      <c r="J1573" s="47" t="n"/>
      <c r="K1573" s="47" t="n"/>
      <c r="L1573" s="43">
        <f>IF($B1573="","",ROUND((N($J1573)+N($K1573))*نسبة_القيمة_المضافة,2))</f>
        <v/>
      </c>
      <c r="M1573" s="47" t="n"/>
      <c r="N1573" s="47" t="n"/>
      <c r="O1573" s="43">
        <f>IF($B1573="","",N($J1573)+N($K1573)+N($L1573)-N($M1573)+N($N1573))</f>
        <v/>
      </c>
      <c r="P1573" s="47" t="n"/>
      <c r="Q1573" s="43">
        <f>IF($B1573="","",N($O1573)-N($P1573))</f>
        <v/>
      </c>
      <c r="R1573" s="47" t="n"/>
      <c r="S1573" s="47" t="n"/>
      <c r="T1573" s="47" t="n"/>
      <c r="U1573" s="43">
        <f>IF($B1573="","",N($J1573)-N($R1573)-N($T1573))</f>
        <v/>
      </c>
      <c r="V1573" s="47" t="n"/>
    </row>
    <row r="1574">
      <c r="A1574" s="39">
        <f>IF($B1574="","",COUNTA($B$4:$B1574))</f>
        <v/>
      </c>
      <c r="B1574" s="40" t="n"/>
      <c r="C1574" s="41" t="n"/>
      <c r="D1574" s="41" t="n"/>
      <c r="E1574" s="41" t="n"/>
      <c r="F1574" s="41" t="n"/>
      <c r="G1574" s="41" t="n"/>
      <c r="H1574" s="41" t="n"/>
      <c r="I1574" s="50" t="n"/>
      <c r="J1574" s="42" t="n"/>
      <c r="K1574" s="42" t="n"/>
      <c r="L1574" s="43">
        <f>IF($B1574="","",ROUND((N($J1574)+N($K1574))*نسبة_القيمة_المضافة,2))</f>
        <v/>
      </c>
      <c r="M1574" s="42" t="n"/>
      <c r="N1574" s="42" t="n"/>
      <c r="O1574" s="43">
        <f>IF($B1574="","",N($J1574)+N($K1574)+N($L1574)-N($M1574)+N($N1574))</f>
        <v/>
      </c>
      <c r="P1574" s="42" t="n"/>
      <c r="Q1574" s="43">
        <f>IF($B1574="","",N($O1574)-N($P1574))</f>
        <v/>
      </c>
      <c r="R1574" s="42" t="n"/>
      <c r="S1574" s="42" t="n"/>
      <c r="T1574" s="42" t="n"/>
      <c r="U1574" s="43">
        <f>IF($B1574="","",N($J1574)-N($R1574)-N($T1574))</f>
        <v/>
      </c>
      <c r="V1574" s="42" t="n"/>
    </row>
    <row r="1575">
      <c r="A1575" s="39">
        <f>IF($B1575="","",COUNTA($B$4:$B1575))</f>
        <v/>
      </c>
      <c r="B1575" s="45" t="n"/>
      <c r="C1575" s="46" t="n"/>
      <c r="D1575" s="46" t="n"/>
      <c r="E1575" s="46" t="n"/>
      <c r="F1575" s="46" t="n"/>
      <c r="G1575" s="46" t="n"/>
      <c r="H1575" s="46" t="n"/>
      <c r="I1575" s="51" t="n"/>
      <c r="J1575" s="47" t="n"/>
      <c r="K1575" s="47" t="n"/>
      <c r="L1575" s="43">
        <f>IF($B1575="","",ROUND((N($J1575)+N($K1575))*نسبة_القيمة_المضافة,2))</f>
        <v/>
      </c>
      <c r="M1575" s="47" t="n"/>
      <c r="N1575" s="47" t="n"/>
      <c r="O1575" s="43">
        <f>IF($B1575="","",N($J1575)+N($K1575)+N($L1575)-N($M1575)+N($N1575))</f>
        <v/>
      </c>
      <c r="P1575" s="47" t="n"/>
      <c r="Q1575" s="43">
        <f>IF($B1575="","",N($O1575)-N($P1575))</f>
        <v/>
      </c>
      <c r="R1575" s="47" t="n"/>
      <c r="S1575" s="47" t="n"/>
      <c r="T1575" s="47" t="n"/>
      <c r="U1575" s="43">
        <f>IF($B1575="","",N($J1575)-N($R1575)-N($T1575))</f>
        <v/>
      </c>
      <c r="V1575" s="47" t="n"/>
    </row>
    <row r="1576">
      <c r="A1576" s="39">
        <f>IF($B1576="","",COUNTA($B$4:$B1576))</f>
        <v/>
      </c>
      <c r="B1576" s="40" t="n"/>
      <c r="C1576" s="41" t="n"/>
      <c r="D1576" s="41" t="n"/>
      <c r="E1576" s="41" t="n"/>
      <c r="F1576" s="41" t="n"/>
      <c r="G1576" s="41" t="n"/>
      <c r="H1576" s="41" t="n"/>
      <c r="I1576" s="50" t="n"/>
      <c r="J1576" s="42" t="n"/>
      <c r="K1576" s="42" t="n"/>
      <c r="L1576" s="43">
        <f>IF($B1576="","",ROUND((N($J1576)+N($K1576))*نسبة_القيمة_المضافة,2))</f>
        <v/>
      </c>
      <c r="M1576" s="42" t="n"/>
      <c r="N1576" s="42" t="n"/>
      <c r="O1576" s="43">
        <f>IF($B1576="","",N($J1576)+N($K1576)+N($L1576)-N($M1576)+N($N1576))</f>
        <v/>
      </c>
      <c r="P1576" s="42" t="n"/>
      <c r="Q1576" s="43">
        <f>IF($B1576="","",N($O1576)-N($P1576))</f>
        <v/>
      </c>
      <c r="R1576" s="42" t="n"/>
      <c r="S1576" s="42" t="n"/>
      <c r="T1576" s="42" t="n"/>
      <c r="U1576" s="43">
        <f>IF($B1576="","",N($J1576)-N($R1576)-N($T1576))</f>
        <v/>
      </c>
      <c r="V1576" s="42" t="n"/>
    </row>
    <row r="1577">
      <c r="A1577" s="39">
        <f>IF($B1577="","",COUNTA($B$4:$B1577))</f>
        <v/>
      </c>
      <c r="B1577" s="45" t="n"/>
      <c r="C1577" s="46" t="n"/>
      <c r="D1577" s="46" t="n"/>
      <c r="E1577" s="46" t="n"/>
      <c r="F1577" s="46" t="n"/>
      <c r="G1577" s="46" t="n"/>
      <c r="H1577" s="46" t="n"/>
      <c r="I1577" s="51" t="n"/>
      <c r="J1577" s="47" t="n"/>
      <c r="K1577" s="47" t="n"/>
      <c r="L1577" s="43">
        <f>IF($B1577="","",ROUND((N($J1577)+N($K1577))*نسبة_القيمة_المضافة,2))</f>
        <v/>
      </c>
      <c r="M1577" s="47" t="n"/>
      <c r="N1577" s="47" t="n"/>
      <c r="O1577" s="43">
        <f>IF($B1577="","",N($J1577)+N($K1577)+N($L1577)-N($M1577)+N($N1577))</f>
        <v/>
      </c>
      <c r="P1577" s="47" t="n"/>
      <c r="Q1577" s="43">
        <f>IF($B1577="","",N($O1577)-N($P1577))</f>
        <v/>
      </c>
      <c r="R1577" s="47" t="n"/>
      <c r="S1577" s="47" t="n"/>
      <c r="T1577" s="47" t="n"/>
      <c r="U1577" s="43">
        <f>IF($B1577="","",N($J1577)-N($R1577)-N($T1577))</f>
        <v/>
      </c>
      <c r="V1577" s="47" t="n"/>
    </row>
    <row r="1578">
      <c r="A1578" s="39">
        <f>IF($B1578="","",COUNTA($B$4:$B1578))</f>
        <v/>
      </c>
      <c r="B1578" s="40" t="n"/>
      <c r="C1578" s="41" t="n"/>
      <c r="D1578" s="41" t="n"/>
      <c r="E1578" s="41" t="n"/>
      <c r="F1578" s="41" t="n"/>
      <c r="G1578" s="41" t="n"/>
      <c r="H1578" s="41" t="n"/>
      <c r="I1578" s="50" t="n"/>
      <c r="J1578" s="42" t="n"/>
      <c r="K1578" s="42" t="n"/>
      <c r="L1578" s="43">
        <f>IF($B1578="","",ROUND((N($J1578)+N($K1578))*نسبة_القيمة_المضافة,2))</f>
        <v/>
      </c>
      <c r="M1578" s="42" t="n"/>
      <c r="N1578" s="42" t="n"/>
      <c r="O1578" s="43">
        <f>IF($B1578="","",N($J1578)+N($K1578)+N($L1578)-N($M1578)+N($N1578))</f>
        <v/>
      </c>
      <c r="P1578" s="42" t="n"/>
      <c r="Q1578" s="43">
        <f>IF($B1578="","",N($O1578)-N($P1578))</f>
        <v/>
      </c>
      <c r="R1578" s="42" t="n"/>
      <c r="S1578" s="42" t="n"/>
      <c r="T1578" s="42" t="n"/>
      <c r="U1578" s="43">
        <f>IF($B1578="","",N($J1578)-N($R1578)-N($T1578))</f>
        <v/>
      </c>
      <c r="V1578" s="42" t="n"/>
    </row>
    <row r="1579">
      <c r="A1579" s="39">
        <f>IF($B1579="","",COUNTA($B$4:$B1579))</f>
        <v/>
      </c>
      <c r="B1579" s="45" t="n"/>
      <c r="C1579" s="46" t="n"/>
      <c r="D1579" s="46" t="n"/>
      <c r="E1579" s="46" t="n"/>
      <c r="F1579" s="46" t="n"/>
      <c r="G1579" s="46" t="n"/>
      <c r="H1579" s="46" t="n"/>
      <c r="I1579" s="51" t="n"/>
      <c r="J1579" s="47" t="n"/>
      <c r="K1579" s="47" t="n"/>
      <c r="L1579" s="43">
        <f>IF($B1579="","",ROUND((N($J1579)+N($K1579))*نسبة_القيمة_المضافة,2))</f>
        <v/>
      </c>
      <c r="M1579" s="47" t="n"/>
      <c r="N1579" s="47" t="n"/>
      <c r="O1579" s="43">
        <f>IF($B1579="","",N($J1579)+N($K1579)+N($L1579)-N($M1579)+N($N1579))</f>
        <v/>
      </c>
      <c r="P1579" s="47" t="n"/>
      <c r="Q1579" s="43">
        <f>IF($B1579="","",N($O1579)-N($P1579))</f>
        <v/>
      </c>
      <c r="R1579" s="47" t="n"/>
      <c r="S1579" s="47" t="n"/>
      <c r="T1579" s="47" t="n"/>
      <c r="U1579" s="43">
        <f>IF($B1579="","",N($J1579)-N($R1579)-N($T1579))</f>
        <v/>
      </c>
      <c r="V1579" s="47" t="n"/>
    </row>
    <row r="1580">
      <c r="A1580" s="39">
        <f>IF($B1580="","",COUNTA($B$4:$B1580))</f>
        <v/>
      </c>
      <c r="B1580" s="40" t="n"/>
      <c r="C1580" s="41" t="n"/>
      <c r="D1580" s="41" t="n"/>
      <c r="E1580" s="41" t="n"/>
      <c r="F1580" s="41" t="n"/>
      <c r="G1580" s="41" t="n"/>
      <c r="H1580" s="41" t="n"/>
      <c r="I1580" s="50" t="n"/>
      <c r="J1580" s="42" t="n"/>
      <c r="K1580" s="42" t="n"/>
      <c r="L1580" s="43">
        <f>IF($B1580="","",ROUND((N($J1580)+N($K1580))*نسبة_القيمة_المضافة,2))</f>
        <v/>
      </c>
      <c r="M1580" s="42" t="n"/>
      <c r="N1580" s="42" t="n"/>
      <c r="O1580" s="43">
        <f>IF($B1580="","",N($J1580)+N($K1580)+N($L1580)-N($M1580)+N($N1580))</f>
        <v/>
      </c>
      <c r="P1580" s="42" t="n"/>
      <c r="Q1580" s="43">
        <f>IF($B1580="","",N($O1580)-N($P1580))</f>
        <v/>
      </c>
      <c r="R1580" s="42" t="n"/>
      <c r="S1580" s="42" t="n"/>
      <c r="T1580" s="42" t="n"/>
      <c r="U1580" s="43">
        <f>IF($B1580="","",N($J1580)-N($R1580)-N($T1580))</f>
        <v/>
      </c>
      <c r="V1580" s="42" t="n"/>
    </row>
    <row r="1581">
      <c r="A1581" s="39">
        <f>IF($B1581="","",COUNTA($B$4:$B1581))</f>
        <v/>
      </c>
      <c r="B1581" s="45" t="n"/>
      <c r="C1581" s="46" t="n"/>
      <c r="D1581" s="46" t="n"/>
      <c r="E1581" s="46" t="n"/>
      <c r="F1581" s="46" t="n"/>
      <c r="G1581" s="46" t="n"/>
      <c r="H1581" s="46" t="n"/>
      <c r="I1581" s="51" t="n"/>
      <c r="J1581" s="47" t="n"/>
      <c r="K1581" s="47" t="n"/>
      <c r="L1581" s="43">
        <f>IF($B1581="","",ROUND((N($J1581)+N($K1581))*نسبة_القيمة_المضافة,2))</f>
        <v/>
      </c>
      <c r="M1581" s="47" t="n"/>
      <c r="N1581" s="47" t="n"/>
      <c r="O1581" s="43">
        <f>IF($B1581="","",N($J1581)+N($K1581)+N($L1581)-N($M1581)+N($N1581))</f>
        <v/>
      </c>
      <c r="P1581" s="47" t="n"/>
      <c r="Q1581" s="43">
        <f>IF($B1581="","",N($O1581)-N($P1581))</f>
        <v/>
      </c>
      <c r="R1581" s="47" t="n"/>
      <c r="S1581" s="47" t="n"/>
      <c r="T1581" s="47" t="n"/>
      <c r="U1581" s="43">
        <f>IF($B1581="","",N($J1581)-N($R1581)-N($T1581))</f>
        <v/>
      </c>
      <c r="V1581" s="47" t="n"/>
    </row>
    <row r="1582">
      <c r="A1582" s="39">
        <f>IF($B1582="","",COUNTA($B$4:$B1582))</f>
        <v/>
      </c>
      <c r="B1582" s="40" t="n"/>
      <c r="C1582" s="41" t="n"/>
      <c r="D1582" s="41" t="n"/>
      <c r="E1582" s="41" t="n"/>
      <c r="F1582" s="41" t="n"/>
      <c r="G1582" s="41" t="n"/>
      <c r="H1582" s="41" t="n"/>
      <c r="I1582" s="50" t="n"/>
      <c r="J1582" s="42" t="n"/>
      <c r="K1582" s="42" t="n"/>
      <c r="L1582" s="43">
        <f>IF($B1582="","",ROUND((N($J1582)+N($K1582))*نسبة_القيمة_المضافة,2))</f>
        <v/>
      </c>
      <c r="M1582" s="42" t="n"/>
      <c r="N1582" s="42" t="n"/>
      <c r="O1582" s="43">
        <f>IF($B1582="","",N($J1582)+N($K1582)+N($L1582)-N($M1582)+N($N1582))</f>
        <v/>
      </c>
      <c r="P1582" s="42" t="n"/>
      <c r="Q1582" s="43">
        <f>IF($B1582="","",N($O1582)-N($P1582))</f>
        <v/>
      </c>
      <c r="R1582" s="42" t="n"/>
      <c r="S1582" s="42" t="n"/>
      <c r="T1582" s="42" t="n"/>
      <c r="U1582" s="43">
        <f>IF($B1582="","",N($J1582)-N($R1582)-N($T1582))</f>
        <v/>
      </c>
      <c r="V1582" s="42" t="n"/>
    </row>
    <row r="1583">
      <c r="A1583" s="39">
        <f>IF($B1583="","",COUNTA($B$4:$B1583))</f>
        <v/>
      </c>
      <c r="B1583" s="45" t="n"/>
      <c r="C1583" s="46" t="n"/>
      <c r="D1583" s="46" t="n"/>
      <c r="E1583" s="46" t="n"/>
      <c r="F1583" s="46" t="n"/>
      <c r="G1583" s="46" t="n"/>
      <c r="H1583" s="46" t="n"/>
      <c r="I1583" s="51" t="n"/>
      <c r="J1583" s="47" t="n"/>
      <c r="K1583" s="47" t="n"/>
      <c r="L1583" s="43">
        <f>IF($B1583="","",ROUND((N($J1583)+N($K1583))*نسبة_القيمة_المضافة,2))</f>
        <v/>
      </c>
      <c r="M1583" s="47" t="n"/>
      <c r="N1583" s="47" t="n"/>
      <c r="O1583" s="43">
        <f>IF($B1583="","",N($J1583)+N($K1583)+N($L1583)-N($M1583)+N($N1583))</f>
        <v/>
      </c>
      <c r="P1583" s="47" t="n"/>
      <c r="Q1583" s="43">
        <f>IF($B1583="","",N($O1583)-N($P1583))</f>
        <v/>
      </c>
      <c r="R1583" s="47" t="n"/>
      <c r="S1583" s="47" t="n"/>
      <c r="T1583" s="47" t="n"/>
      <c r="U1583" s="43">
        <f>IF($B1583="","",N($J1583)-N($R1583)-N($T1583))</f>
        <v/>
      </c>
      <c r="V1583" s="47" t="n"/>
    </row>
    <row r="1584">
      <c r="A1584" s="39">
        <f>IF($B1584="","",COUNTA($B$4:$B1584))</f>
        <v/>
      </c>
      <c r="B1584" s="40" t="n"/>
      <c r="C1584" s="41" t="n"/>
      <c r="D1584" s="41" t="n"/>
      <c r="E1584" s="41" t="n"/>
      <c r="F1584" s="41" t="n"/>
      <c r="G1584" s="41" t="n"/>
      <c r="H1584" s="41" t="n"/>
      <c r="I1584" s="50" t="n"/>
      <c r="J1584" s="42" t="n"/>
      <c r="K1584" s="42" t="n"/>
      <c r="L1584" s="43">
        <f>IF($B1584="","",ROUND((N($J1584)+N($K1584))*نسبة_القيمة_المضافة,2))</f>
        <v/>
      </c>
      <c r="M1584" s="42" t="n"/>
      <c r="N1584" s="42" t="n"/>
      <c r="O1584" s="43">
        <f>IF($B1584="","",N($J1584)+N($K1584)+N($L1584)-N($M1584)+N($N1584))</f>
        <v/>
      </c>
      <c r="P1584" s="42" t="n"/>
      <c r="Q1584" s="43">
        <f>IF($B1584="","",N($O1584)-N($P1584))</f>
        <v/>
      </c>
      <c r="R1584" s="42" t="n"/>
      <c r="S1584" s="42" t="n"/>
      <c r="T1584" s="42" t="n"/>
      <c r="U1584" s="43">
        <f>IF($B1584="","",N($J1584)-N($R1584)-N($T1584))</f>
        <v/>
      </c>
      <c r="V1584" s="42" t="n"/>
    </row>
    <row r="1585">
      <c r="A1585" s="39">
        <f>IF($B1585="","",COUNTA($B$4:$B1585))</f>
        <v/>
      </c>
      <c r="B1585" s="45" t="n"/>
      <c r="C1585" s="46" t="n"/>
      <c r="D1585" s="46" t="n"/>
      <c r="E1585" s="46" t="n"/>
      <c r="F1585" s="46" t="n"/>
      <c r="G1585" s="46" t="n"/>
      <c r="H1585" s="46" t="n"/>
      <c r="I1585" s="51" t="n"/>
      <c r="J1585" s="47" t="n"/>
      <c r="K1585" s="47" t="n"/>
      <c r="L1585" s="43">
        <f>IF($B1585="","",ROUND((N($J1585)+N($K1585))*نسبة_القيمة_المضافة,2))</f>
        <v/>
      </c>
      <c r="M1585" s="47" t="n"/>
      <c r="N1585" s="47" t="n"/>
      <c r="O1585" s="43">
        <f>IF($B1585="","",N($J1585)+N($K1585)+N($L1585)-N($M1585)+N($N1585))</f>
        <v/>
      </c>
      <c r="P1585" s="47" t="n"/>
      <c r="Q1585" s="43">
        <f>IF($B1585="","",N($O1585)-N($P1585))</f>
        <v/>
      </c>
      <c r="R1585" s="47" t="n"/>
      <c r="S1585" s="47" t="n"/>
      <c r="T1585" s="47" t="n"/>
      <c r="U1585" s="43">
        <f>IF($B1585="","",N($J1585)-N($R1585)-N($T1585))</f>
        <v/>
      </c>
      <c r="V1585" s="47" t="n"/>
    </row>
    <row r="1586">
      <c r="A1586" s="39">
        <f>IF($B1586="","",COUNTA($B$4:$B1586))</f>
        <v/>
      </c>
      <c r="B1586" s="40" t="n"/>
      <c r="C1586" s="41" t="n"/>
      <c r="D1586" s="41" t="n"/>
      <c r="E1586" s="41" t="n"/>
      <c r="F1586" s="41" t="n"/>
      <c r="G1586" s="41" t="n"/>
      <c r="H1586" s="41" t="n"/>
      <c r="I1586" s="50" t="n"/>
      <c r="J1586" s="42" t="n"/>
      <c r="K1586" s="42" t="n"/>
      <c r="L1586" s="43">
        <f>IF($B1586="","",ROUND((N($J1586)+N($K1586))*نسبة_القيمة_المضافة,2))</f>
        <v/>
      </c>
      <c r="M1586" s="42" t="n"/>
      <c r="N1586" s="42" t="n"/>
      <c r="O1586" s="43">
        <f>IF($B1586="","",N($J1586)+N($K1586)+N($L1586)-N($M1586)+N($N1586))</f>
        <v/>
      </c>
      <c r="P1586" s="42" t="n"/>
      <c r="Q1586" s="43">
        <f>IF($B1586="","",N($O1586)-N($P1586))</f>
        <v/>
      </c>
      <c r="R1586" s="42" t="n"/>
      <c r="S1586" s="42" t="n"/>
      <c r="T1586" s="42" t="n"/>
      <c r="U1586" s="43">
        <f>IF($B1586="","",N($J1586)-N($R1586)-N($T1586))</f>
        <v/>
      </c>
      <c r="V1586" s="42" t="n"/>
    </row>
    <row r="1587">
      <c r="A1587" s="39">
        <f>IF($B1587="","",COUNTA($B$4:$B1587))</f>
        <v/>
      </c>
      <c r="B1587" s="45" t="n"/>
      <c r="C1587" s="46" t="n"/>
      <c r="D1587" s="46" t="n"/>
      <c r="E1587" s="46" t="n"/>
      <c r="F1587" s="46" t="n"/>
      <c r="G1587" s="46" t="n"/>
      <c r="H1587" s="46" t="n"/>
      <c r="I1587" s="51" t="n"/>
      <c r="J1587" s="47" t="n"/>
      <c r="K1587" s="47" t="n"/>
      <c r="L1587" s="43">
        <f>IF($B1587="","",ROUND((N($J1587)+N($K1587))*نسبة_القيمة_المضافة,2))</f>
        <v/>
      </c>
      <c r="M1587" s="47" t="n"/>
      <c r="N1587" s="47" t="n"/>
      <c r="O1587" s="43">
        <f>IF($B1587="","",N($J1587)+N($K1587)+N($L1587)-N($M1587)+N($N1587))</f>
        <v/>
      </c>
      <c r="P1587" s="47" t="n"/>
      <c r="Q1587" s="43">
        <f>IF($B1587="","",N($O1587)-N($P1587))</f>
        <v/>
      </c>
      <c r="R1587" s="47" t="n"/>
      <c r="S1587" s="47" t="n"/>
      <c r="T1587" s="47" t="n"/>
      <c r="U1587" s="43">
        <f>IF($B1587="","",N($J1587)-N($R1587)-N($T1587))</f>
        <v/>
      </c>
      <c r="V1587" s="47" t="n"/>
    </row>
    <row r="1588">
      <c r="A1588" s="39">
        <f>IF($B1588="","",COUNTA($B$4:$B1588))</f>
        <v/>
      </c>
      <c r="B1588" s="40" t="n"/>
      <c r="C1588" s="41" t="n"/>
      <c r="D1588" s="41" t="n"/>
      <c r="E1588" s="41" t="n"/>
      <c r="F1588" s="41" t="n"/>
      <c r="G1588" s="41" t="n"/>
      <c r="H1588" s="41" t="n"/>
      <c r="I1588" s="50" t="n"/>
      <c r="J1588" s="42" t="n"/>
      <c r="K1588" s="42" t="n"/>
      <c r="L1588" s="43">
        <f>IF($B1588="","",ROUND((N($J1588)+N($K1588))*نسبة_القيمة_المضافة,2))</f>
        <v/>
      </c>
      <c r="M1588" s="42" t="n"/>
      <c r="N1588" s="42" t="n"/>
      <c r="O1588" s="43">
        <f>IF($B1588="","",N($J1588)+N($K1588)+N($L1588)-N($M1588)+N($N1588))</f>
        <v/>
      </c>
      <c r="P1588" s="42" t="n"/>
      <c r="Q1588" s="43">
        <f>IF($B1588="","",N($O1588)-N($P1588))</f>
        <v/>
      </c>
      <c r="R1588" s="42" t="n"/>
      <c r="S1588" s="42" t="n"/>
      <c r="T1588" s="42" t="n"/>
      <c r="U1588" s="43">
        <f>IF($B1588="","",N($J1588)-N($R1588)-N($T1588))</f>
        <v/>
      </c>
      <c r="V1588" s="42" t="n"/>
    </row>
    <row r="1589">
      <c r="A1589" s="39">
        <f>IF($B1589="","",COUNTA($B$4:$B1589))</f>
        <v/>
      </c>
      <c r="B1589" s="45" t="n"/>
      <c r="C1589" s="46" t="n"/>
      <c r="D1589" s="46" t="n"/>
      <c r="E1589" s="46" t="n"/>
      <c r="F1589" s="46" t="n"/>
      <c r="G1589" s="46" t="n"/>
      <c r="H1589" s="46" t="n"/>
      <c r="I1589" s="51" t="n"/>
      <c r="J1589" s="47" t="n"/>
      <c r="K1589" s="47" t="n"/>
      <c r="L1589" s="43">
        <f>IF($B1589="","",ROUND((N($J1589)+N($K1589))*نسبة_القيمة_المضافة,2))</f>
        <v/>
      </c>
      <c r="M1589" s="47" t="n"/>
      <c r="N1589" s="47" t="n"/>
      <c r="O1589" s="43">
        <f>IF($B1589="","",N($J1589)+N($K1589)+N($L1589)-N($M1589)+N($N1589))</f>
        <v/>
      </c>
      <c r="P1589" s="47" t="n"/>
      <c r="Q1589" s="43">
        <f>IF($B1589="","",N($O1589)-N($P1589))</f>
        <v/>
      </c>
      <c r="R1589" s="47" t="n"/>
      <c r="S1589" s="47" t="n"/>
      <c r="T1589" s="47" t="n"/>
      <c r="U1589" s="43">
        <f>IF($B1589="","",N($J1589)-N($R1589)-N($T1589))</f>
        <v/>
      </c>
      <c r="V1589" s="47" t="n"/>
    </row>
    <row r="1590">
      <c r="A1590" s="39">
        <f>IF($B1590="","",COUNTA($B$4:$B1590))</f>
        <v/>
      </c>
      <c r="B1590" s="40" t="n"/>
      <c r="C1590" s="41" t="n"/>
      <c r="D1590" s="41" t="n"/>
      <c r="E1590" s="41" t="n"/>
      <c r="F1590" s="41" t="n"/>
      <c r="G1590" s="41" t="n"/>
      <c r="H1590" s="41" t="n"/>
      <c r="I1590" s="50" t="n"/>
      <c r="J1590" s="42" t="n"/>
      <c r="K1590" s="42" t="n"/>
      <c r="L1590" s="43">
        <f>IF($B1590="","",ROUND((N($J1590)+N($K1590))*نسبة_القيمة_المضافة,2))</f>
        <v/>
      </c>
      <c r="M1590" s="42" t="n"/>
      <c r="N1590" s="42" t="n"/>
      <c r="O1590" s="43">
        <f>IF($B1590="","",N($J1590)+N($K1590)+N($L1590)-N($M1590)+N($N1590))</f>
        <v/>
      </c>
      <c r="P1590" s="42" t="n"/>
      <c r="Q1590" s="43">
        <f>IF($B1590="","",N($O1590)-N($P1590))</f>
        <v/>
      </c>
      <c r="R1590" s="42" t="n"/>
      <c r="S1590" s="42" t="n"/>
      <c r="T1590" s="42" t="n"/>
      <c r="U1590" s="43">
        <f>IF($B1590="","",N($J1590)-N($R1590)-N($T1590))</f>
        <v/>
      </c>
      <c r="V1590" s="42" t="n"/>
    </row>
    <row r="1591">
      <c r="A1591" s="39">
        <f>IF($B1591="","",COUNTA($B$4:$B1591))</f>
        <v/>
      </c>
      <c r="B1591" s="45" t="n"/>
      <c r="C1591" s="46" t="n"/>
      <c r="D1591" s="46" t="n"/>
      <c r="E1591" s="46" t="n"/>
      <c r="F1591" s="46" t="n"/>
      <c r="G1591" s="46" t="n"/>
      <c r="H1591" s="46" t="n"/>
      <c r="I1591" s="51" t="n"/>
      <c r="J1591" s="47" t="n"/>
      <c r="K1591" s="47" t="n"/>
      <c r="L1591" s="43">
        <f>IF($B1591="","",ROUND((N($J1591)+N($K1591))*نسبة_القيمة_المضافة,2))</f>
        <v/>
      </c>
      <c r="M1591" s="47" t="n"/>
      <c r="N1591" s="47" t="n"/>
      <c r="O1591" s="43">
        <f>IF($B1591="","",N($J1591)+N($K1591)+N($L1591)-N($M1591)+N($N1591))</f>
        <v/>
      </c>
      <c r="P1591" s="47" t="n"/>
      <c r="Q1591" s="43">
        <f>IF($B1591="","",N($O1591)-N($P1591))</f>
        <v/>
      </c>
      <c r="R1591" s="47" t="n"/>
      <c r="S1591" s="47" t="n"/>
      <c r="T1591" s="47" t="n"/>
      <c r="U1591" s="43">
        <f>IF($B1591="","",N($J1591)-N($R1591)-N($T1591))</f>
        <v/>
      </c>
      <c r="V1591" s="47" t="n"/>
    </row>
    <row r="1592">
      <c r="A1592" s="39">
        <f>IF($B1592="","",COUNTA($B$4:$B1592))</f>
        <v/>
      </c>
      <c r="B1592" s="40" t="n"/>
      <c r="C1592" s="41" t="n"/>
      <c r="D1592" s="41" t="n"/>
      <c r="E1592" s="41" t="n"/>
      <c r="F1592" s="41" t="n"/>
      <c r="G1592" s="41" t="n"/>
      <c r="H1592" s="41" t="n"/>
      <c r="I1592" s="50" t="n"/>
      <c r="J1592" s="42" t="n"/>
      <c r="K1592" s="42" t="n"/>
      <c r="L1592" s="43">
        <f>IF($B1592="","",ROUND((N($J1592)+N($K1592))*نسبة_القيمة_المضافة,2))</f>
        <v/>
      </c>
      <c r="M1592" s="42" t="n"/>
      <c r="N1592" s="42" t="n"/>
      <c r="O1592" s="43">
        <f>IF($B1592="","",N($J1592)+N($K1592)+N($L1592)-N($M1592)+N($N1592))</f>
        <v/>
      </c>
      <c r="P1592" s="42" t="n"/>
      <c r="Q1592" s="43">
        <f>IF($B1592="","",N($O1592)-N($P1592))</f>
        <v/>
      </c>
      <c r="R1592" s="42" t="n"/>
      <c r="S1592" s="42" t="n"/>
      <c r="T1592" s="42" t="n"/>
      <c r="U1592" s="43">
        <f>IF($B1592="","",N($J1592)-N($R1592)-N($T1592))</f>
        <v/>
      </c>
      <c r="V1592" s="42" t="n"/>
    </row>
    <row r="1593">
      <c r="A1593" s="39">
        <f>IF($B1593="","",COUNTA($B$4:$B1593))</f>
        <v/>
      </c>
      <c r="B1593" s="45" t="n"/>
      <c r="C1593" s="46" t="n"/>
      <c r="D1593" s="46" t="n"/>
      <c r="E1593" s="46" t="n"/>
      <c r="F1593" s="46" t="n"/>
      <c r="G1593" s="46" t="n"/>
      <c r="H1593" s="46" t="n"/>
      <c r="I1593" s="51" t="n"/>
      <c r="J1593" s="47" t="n"/>
      <c r="K1593" s="47" t="n"/>
      <c r="L1593" s="43">
        <f>IF($B1593="","",ROUND((N($J1593)+N($K1593))*نسبة_القيمة_المضافة,2))</f>
        <v/>
      </c>
      <c r="M1593" s="47" t="n"/>
      <c r="N1593" s="47" t="n"/>
      <c r="O1593" s="43">
        <f>IF($B1593="","",N($J1593)+N($K1593)+N($L1593)-N($M1593)+N($N1593))</f>
        <v/>
      </c>
      <c r="P1593" s="47" t="n"/>
      <c r="Q1593" s="43">
        <f>IF($B1593="","",N($O1593)-N($P1593))</f>
        <v/>
      </c>
      <c r="R1593" s="47" t="n"/>
      <c r="S1593" s="47" t="n"/>
      <c r="T1593" s="47" t="n"/>
      <c r="U1593" s="43">
        <f>IF($B1593="","",N($J1593)-N($R1593)-N($T1593))</f>
        <v/>
      </c>
      <c r="V1593" s="47" t="n"/>
    </row>
    <row r="1594">
      <c r="A1594" s="39">
        <f>IF($B1594="","",COUNTA($B$4:$B1594))</f>
        <v/>
      </c>
      <c r="B1594" s="40" t="n"/>
      <c r="C1594" s="41" t="n"/>
      <c r="D1594" s="41" t="n"/>
      <c r="E1594" s="41" t="n"/>
      <c r="F1594" s="41" t="n"/>
      <c r="G1594" s="41" t="n"/>
      <c r="H1594" s="41" t="n"/>
      <c r="I1594" s="50" t="n"/>
      <c r="J1594" s="42" t="n"/>
      <c r="K1594" s="42" t="n"/>
      <c r="L1594" s="43">
        <f>IF($B1594="","",ROUND((N($J1594)+N($K1594))*نسبة_القيمة_المضافة,2))</f>
        <v/>
      </c>
      <c r="M1594" s="42" t="n"/>
      <c r="N1594" s="42" t="n"/>
      <c r="O1594" s="43">
        <f>IF($B1594="","",N($J1594)+N($K1594)+N($L1594)-N($M1594)+N($N1594))</f>
        <v/>
      </c>
      <c r="P1594" s="42" t="n"/>
      <c r="Q1594" s="43">
        <f>IF($B1594="","",N($O1594)-N($P1594))</f>
        <v/>
      </c>
      <c r="R1594" s="42" t="n"/>
      <c r="S1594" s="42" t="n"/>
      <c r="T1594" s="42" t="n"/>
      <c r="U1594" s="43">
        <f>IF($B1594="","",N($J1594)-N($R1594)-N($T1594))</f>
        <v/>
      </c>
      <c r="V1594" s="42" t="n"/>
    </row>
    <row r="1595">
      <c r="A1595" s="39">
        <f>IF($B1595="","",COUNTA($B$4:$B1595))</f>
        <v/>
      </c>
      <c r="B1595" s="45" t="n"/>
      <c r="C1595" s="46" t="n"/>
      <c r="D1595" s="46" t="n"/>
      <c r="E1595" s="46" t="n"/>
      <c r="F1595" s="46" t="n"/>
      <c r="G1595" s="46" t="n"/>
      <c r="H1595" s="46" t="n"/>
      <c r="I1595" s="51" t="n"/>
      <c r="J1595" s="47" t="n"/>
      <c r="K1595" s="47" t="n"/>
      <c r="L1595" s="43">
        <f>IF($B1595="","",ROUND((N($J1595)+N($K1595))*نسبة_القيمة_المضافة,2))</f>
        <v/>
      </c>
      <c r="M1595" s="47" t="n"/>
      <c r="N1595" s="47" t="n"/>
      <c r="O1595" s="43">
        <f>IF($B1595="","",N($J1595)+N($K1595)+N($L1595)-N($M1595)+N($N1595))</f>
        <v/>
      </c>
      <c r="P1595" s="47" t="n"/>
      <c r="Q1595" s="43">
        <f>IF($B1595="","",N($O1595)-N($P1595))</f>
        <v/>
      </c>
      <c r="R1595" s="47" t="n"/>
      <c r="S1595" s="47" t="n"/>
      <c r="T1595" s="47" t="n"/>
      <c r="U1595" s="43">
        <f>IF($B1595="","",N($J1595)-N($R1595)-N($T1595))</f>
        <v/>
      </c>
      <c r="V1595" s="47" t="n"/>
    </row>
    <row r="1596">
      <c r="A1596" s="39">
        <f>IF($B1596="","",COUNTA($B$4:$B1596))</f>
        <v/>
      </c>
      <c r="B1596" s="40" t="n"/>
      <c r="C1596" s="41" t="n"/>
      <c r="D1596" s="41" t="n"/>
      <c r="E1596" s="41" t="n"/>
      <c r="F1596" s="41" t="n"/>
      <c r="G1596" s="41" t="n"/>
      <c r="H1596" s="41" t="n"/>
      <c r="I1596" s="50" t="n"/>
      <c r="J1596" s="42" t="n"/>
      <c r="K1596" s="42" t="n"/>
      <c r="L1596" s="43">
        <f>IF($B1596="","",ROUND((N($J1596)+N($K1596))*نسبة_القيمة_المضافة,2))</f>
        <v/>
      </c>
      <c r="M1596" s="42" t="n"/>
      <c r="N1596" s="42" t="n"/>
      <c r="O1596" s="43">
        <f>IF($B1596="","",N($J1596)+N($K1596)+N($L1596)-N($M1596)+N($N1596))</f>
        <v/>
      </c>
      <c r="P1596" s="42" t="n"/>
      <c r="Q1596" s="43">
        <f>IF($B1596="","",N($O1596)-N($P1596))</f>
        <v/>
      </c>
      <c r="R1596" s="42" t="n"/>
      <c r="S1596" s="42" t="n"/>
      <c r="T1596" s="42" t="n"/>
      <c r="U1596" s="43">
        <f>IF($B1596="","",N($J1596)-N($R1596)-N($T1596))</f>
        <v/>
      </c>
      <c r="V1596" s="42" t="n"/>
    </row>
    <row r="1597">
      <c r="A1597" s="39">
        <f>IF($B1597="","",COUNTA($B$4:$B1597))</f>
        <v/>
      </c>
      <c r="B1597" s="45" t="n"/>
      <c r="C1597" s="46" t="n"/>
      <c r="D1597" s="46" t="n"/>
      <c r="E1597" s="46" t="n"/>
      <c r="F1597" s="46" t="n"/>
      <c r="G1597" s="46" t="n"/>
      <c r="H1597" s="46" t="n"/>
      <c r="I1597" s="51" t="n"/>
      <c r="J1597" s="47" t="n"/>
      <c r="K1597" s="47" t="n"/>
      <c r="L1597" s="43">
        <f>IF($B1597="","",ROUND((N($J1597)+N($K1597))*نسبة_القيمة_المضافة,2))</f>
        <v/>
      </c>
      <c r="M1597" s="47" t="n"/>
      <c r="N1597" s="47" t="n"/>
      <c r="O1597" s="43">
        <f>IF($B1597="","",N($J1597)+N($K1597)+N($L1597)-N($M1597)+N($N1597))</f>
        <v/>
      </c>
      <c r="P1597" s="47" t="n"/>
      <c r="Q1597" s="43">
        <f>IF($B1597="","",N($O1597)-N($P1597))</f>
        <v/>
      </c>
      <c r="R1597" s="47" t="n"/>
      <c r="S1597" s="47" t="n"/>
      <c r="T1597" s="47" t="n"/>
      <c r="U1597" s="43">
        <f>IF($B1597="","",N($J1597)-N($R1597)-N($T1597))</f>
        <v/>
      </c>
      <c r="V1597" s="47" t="n"/>
    </row>
    <row r="1598">
      <c r="A1598" s="39">
        <f>IF($B1598="","",COUNTA($B$4:$B1598))</f>
        <v/>
      </c>
      <c r="B1598" s="40" t="n"/>
      <c r="C1598" s="41" t="n"/>
      <c r="D1598" s="41" t="n"/>
      <c r="E1598" s="41" t="n"/>
      <c r="F1598" s="41" t="n"/>
      <c r="G1598" s="41" t="n"/>
      <c r="H1598" s="41" t="n"/>
      <c r="I1598" s="50" t="n"/>
      <c r="J1598" s="42" t="n"/>
      <c r="K1598" s="42" t="n"/>
      <c r="L1598" s="43">
        <f>IF($B1598="","",ROUND((N($J1598)+N($K1598))*نسبة_القيمة_المضافة,2))</f>
        <v/>
      </c>
      <c r="M1598" s="42" t="n"/>
      <c r="N1598" s="42" t="n"/>
      <c r="O1598" s="43">
        <f>IF($B1598="","",N($J1598)+N($K1598)+N($L1598)-N($M1598)+N($N1598))</f>
        <v/>
      </c>
      <c r="P1598" s="42" t="n"/>
      <c r="Q1598" s="43">
        <f>IF($B1598="","",N($O1598)-N($P1598))</f>
        <v/>
      </c>
      <c r="R1598" s="42" t="n"/>
      <c r="S1598" s="42" t="n"/>
      <c r="T1598" s="42" t="n"/>
      <c r="U1598" s="43">
        <f>IF($B1598="","",N($J1598)-N($R1598)-N($T1598))</f>
        <v/>
      </c>
      <c r="V1598" s="42" t="n"/>
    </row>
    <row r="1599">
      <c r="A1599" s="39">
        <f>IF($B1599="","",COUNTA($B$4:$B1599))</f>
        <v/>
      </c>
      <c r="B1599" s="45" t="n"/>
      <c r="C1599" s="46" t="n"/>
      <c r="D1599" s="46" t="n"/>
      <c r="E1599" s="46" t="n"/>
      <c r="F1599" s="46" t="n"/>
      <c r="G1599" s="46" t="n"/>
      <c r="H1599" s="46" t="n"/>
      <c r="I1599" s="51" t="n"/>
      <c r="J1599" s="47" t="n"/>
      <c r="K1599" s="47" t="n"/>
      <c r="L1599" s="43">
        <f>IF($B1599="","",ROUND((N($J1599)+N($K1599))*نسبة_القيمة_المضافة,2))</f>
        <v/>
      </c>
      <c r="M1599" s="47" t="n"/>
      <c r="N1599" s="47" t="n"/>
      <c r="O1599" s="43">
        <f>IF($B1599="","",N($J1599)+N($K1599)+N($L1599)-N($M1599)+N($N1599))</f>
        <v/>
      </c>
      <c r="P1599" s="47" t="n"/>
      <c r="Q1599" s="43">
        <f>IF($B1599="","",N($O1599)-N($P1599))</f>
        <v/>
      </c>
      <c r="R1599" s="47" t="n"/>
      <c r="S1599" s="47" t="n"/>
      <c r="T1599" s="47" t="n"/>
      <c r="U1599" s="43">
        <f>IF($B1599="","",N($J1599)-N($R1599)-N($T1599))</f>
        <v/>
      </c>
      <c r="V1599" s="47" t="n"/>
    </row>
    <row r="1600">
      <c r="A1600" s="39">
        <f>IF($B1600="","",COUNTA($B$4:$B1600))</f>
        <v/>
      </c>
      <c r="B1600" s="40" t="n"/>
      <c r="C1600" s="41" t="n"/>
      <c r="D1600" s="41" t="n"/>
      <c r="E1600" s="41" t="n"/>
      <c r="F1600" s="41" t="n"/>
      <c r="G1600" s="41" t="n"/>
      <c r="H1600" s="41" t="n"/>
      <c r="I1600" s="50" t="n"/>
      <c r="J1600" s="42" t="n"/>
      <c r="K1600" s="42" t="n"/>
      <c r="L1600" s="43">
        <f>IF($B1600="","",ROUND((N($J1600)+N($K1600))*نسبة_القيمة_المضافة,2))</f>
        <v/>
      </c>
      <c r="M1600" s="42" t="n"/>
      <c r="N1600" s="42" t="n"/>
      <c r="O1600" s="43">
        <f>IF($B1600="","",N($J1600)+N($K1600)+N($L1600)-N($M1600)+N($N1600))</f>
        <v/>
      </c>
      <c r="P1600" s="42" t="n"/>
      <c r="Q1600" s="43">
        <f>IF($B1600="","",N($O1600)-N($P1600))</f>
        <v/>
      </c>
      <c r="R1600" s="42" t="n"/>
      <c r="S1600" s="42" t="n"/>
      <c r="T1600" s="42" t="n"/>
      <c r="U1600" s="43">
        <f>IF($B1600="","",N($J1600)-N($R1600)-N($T1600))</f>
        <v/>
      </c>
      <c r="V1600" s="42" t="n"/>
    </row>
    <row r="1601">
      <c r="A1601" s="39">
        <f>IF($B1601="","",COUNTA($B$4:$B1601))</f>
        <v/>
      </c>
      <c r="B1601" s="45" t="n"/>
      <c r="C1601" s="46" t="n"/>
      <c r="D1601" s="46" t="n"/>
      <c r="E1601" s="46" t="n"/>
      <c r="F1601" s="46" t="n"/>
      <c r="G1601" s="46" t="n"/>
      <c r="H1601" s="46" t="n"/>
      <c r="I1601" s="51" t="n"/>
      <c r="J1601" s="47" t="n"/>
      <c r="K1601" s="47" t="n"/>
      <c r="L1601" s="43">
        <f>IF($B1601="","",ROUND((N($J1601)+N($K1601))*نسبة_القيمة_المضافة,2))</f>
        <v/>
      </c>
      <c r="M1601" s="47" t="n"/>
      <c r="N1601" s="47" t="n"/>
      <c r="O1601" s="43">
        <f>IF($B1601="","",N($J1601)+N($K1601)+N($L1601)-N($M1601)+N($N1601))</f>
        <v/>
      </c>
      <c r="P1601" s="47" t="n"/>
      <c r="Q1601" s="43">
        <f>IF($B1601="","",N($O1601)-N($P1601))</f>
        <v/>
      </c>
      <c r="R1601" s="47" t="n"/>
      <c r="S1601" s="47" t="n"/>
      <c r="T1601" s="47" t="n"/>
      <c r="U1601" s="43">
        <f>IF($B1601="","",N($J1601)-N($R1601)-N($T1601))</f>
        <v/>
      </c>
      <c r="V1601" s="47" t="n"/>
    </row>
    <row r="1602">
      <c r="A1602" s="39">
        <f>IF($B1602="","",COUNTA($B$4:$B1602))</f>
        <v/>
      </c>
      <c r="B1602" s="40" t="n"/>
      <c r="C1602" s="41" t="n"/>
      <c r="D1602" s="41" t="n"/>
      <c r="E1602" s="41" t="n"/>
      <c r="F1602" s="41" t="n"/>
      <c r="G1602" s="41" t="n"/>
      <c r="H1602" s="41" t="n"/>
      <c r="I1602" s="50" t="n"/>
      <c r="J1602" s="42" t="n"/>
      <c r="K1602" s="42" t="n"/>
      <c r="L1602" s="43">
        <f>IF($B1602="","",ROUND((N($J1602)+N($K1602))*نسبة_القيمة_المضافة,2))</f>
        <v/>
      </c>
      <c r="M1602" s="42" t="n"/>
      <c r="N1602" s="42" t="n"/>
      <c r="O1602" s="43">
        <f>IF($B1602="","",N($J1602)+N($K1602)+N($L1602)-N($M1602)+N($N1602))</f>
        <v/>
      </c>
      <c r="P1602" s="42" t="n"/>
      <c r="Q1602" s="43">
        <f>IF($B1602="","",N($O1602)-N($P1602))</f>
        <v/>
      </c>
      <c r="R1602" s="42" t="n"/>
      <c r="S1602" s="42" t="n"/>
      <c r="T1602" s="42" t="n"/>
      <c r="U1602" s="43">
        <f>IF($B1602="","",N($J1602)-N($R1602)-N($T1602))</f>
        <v/>
      </c>
      <c r="V1602" s="42" t="n"/>
    </row>
    <row r="1603">
      <c r="A1603" s="39">
        <f>IF($B1603="","",COUNTA($B$4:$B1603))</f>
        <v/>
      </c>
      <c r="B1603" s="45" t="n"/>
      <c r="C1603" s="46" t="n"/>
      <c r="D1603" s="46" t="n"/>
      <c r="E1603" s="46" t="n"/>
      <c r="F1603" s="46" t="n"/>
      <c r="G1603" s="46" t="n"/>
      <c r="H1603" s="46" t="n"/>
      <c r="I1603" s="51" t="n"/>
      <c r="J1603" s="47" t="n"/>
      <c r="K1603" s="47" t="n"/>
      <c r="L1603" s="43">
        <f>IF($B1603="","",ROUND((N($J1603)+N($K1603))*نسبة_القيمة_المضافة,2))</f>
        <v/>
      </c>
      <c r="M1603" s="47" t="n"/>
      <c r="N1603" s="47" t="n"/>
      <c r="O1603" s="43">
        <f>IF($B1603="","",N($J1603)+N($K1603)+N($L1603)-N($M1603)+N($N1603))</f>
        <v/>
      </c>
      <c r="P1603" s="47" t="n"/>
      <c r="Q1603" s="43">
        <f>IF($B1603="","",N($O1603)-N($P1603))</f>
        <v/>
      </c>
      <c r="R1603" s="47" t="n"/>
      <c r="S1603" s="47" t="n"/>
      <c r="T1603" s="47" t="n"/>
      <c r="U1603" s="43">
        <f>IF($B1603="","",N($J1603)-N($R1603)-N($T1603))</f>
        <v/>
      </c>
      <c r="V1603" s="47" t="n"/>
    </row>
    <row r="1604">
      <c r="A1604" s="39">
        <f>IF($B1604="","",COUNTA($B$4:$B1604))</f>
        <v/>
      </c>
      <c r="B1604" s="40" t="n"/>
      <c r="C1604" s="41" t="n"/>
      <c r="D1604" s="41" t="n"/>
      <c r="E1604" s="41" t="n"/>
      <c r="F1604" s="41" t="n"/>
      <c r="G1604" s="41" t="n"/>
      <c r="H1604" s="41" t="n"/>
      <c r="I1604" s="50" t="n"/>
      <c r="J1604" s="42" t="n"/>
      <c r="K1604" s="42" t="n"/>
      <c r="L1604" s="43">
        <f>IF($B1604="","",ROUND((N($J1604)+N($K1604))*نسبة_القيمة_المضافة,2))</f>
        <v/>
      </c>
      <c r="M1604" s="42" t="n"/>
      <c r="N1604" s="42" t="n"/>
      <c r="O1604" s="43">
        <f>IF($B1604="","",N($J1604)+N($K1604)+N($L1604)-N($M1604)+N($N1604))</f>
        <v/>
      </c>
      <c r="P1604" s="42" t="n"/>
      <c r="Q1604" s="43">
        <f>IF($B1604="","",N($O1604)-N($P1604))</f>
        <v/>
      </c>
      <c r="R1604" s="42" t="n"/>
      <c r="S1604" s="42" t="n"/>
      <c r="T1604" s="42" t="n"/>
      <c r="U1604" s="43">
        <f>IF($B1604="","",N($J1604)-N($R1604)-N($T1604))</f>
        <v/>
      </c>
      <c r="V1604" s="42" t="n"/>
    </row>
    <row r="1605">
      <c r="A1605" s="39">
        <f>IF($B1605="","",COUNTA($B$4:$B1605))</f>
        <v/>
      </c>
      <c r="B1605" s="45" t="n"/>
      <c r="C1605" s="46" t="n"/>
      <c r="D1605" s="46" t="n"/>
      <c r="E1605" s="46" t="n"/>
      <c r="F1605" s="46" t="n"/>
      <c r="G1605" s="46" t="n"/>
      <c r="H1605" s="46" t="n"/>
      <c r="I1605" s="51" t="n"/>
      <c r="J1605" s="47" t="n"/>
      <c r="K1605" s="47" t="n"/>
      <c r="L1605" s="43">
        <f>IF($B1605="","",ROUND((N($J1605)+N($K1605))*نسبة_القيمة_المضافة,2))</f>
        <v/>
      </c>
      <c r="M1605" s="47" t="n"/>
      <c r="N1605" s="47" t="n"/>
      <c r="O1605" s="43">
        <f>IF($B1605="","",N($J1605)+N($K1605)+N($L1605)-N($M1605)+N($N1605))</f>
        <v/>
      </c>
      <c r="P1605" s="47" t="n"/>
      <c r="Q1605" s="43">
        <f>IF($B1605="","",N($O1605)-N($P1605))</f>
        <v/>
      </c>
      <c r="R1605" s="47" t="n"/>
      <c r="S1605" s="47" t="n"/>
      <c r="T1605" s="47" t="n"/>
      <c r="U1605" s="43">
        <f>IF($B1605="","",N($J1605)-N($R1605)-N($T1605))</f>
        <v/>
      </c>
      <c r="V1605" s="47" t="n"/>
    </row>
    <row r="1606">
      <c r="A1606" s="39">
        <f>IF($B1606="","",COUNTA($B$4:$B1606))</f>
        <v/>
      </c>
      <c r="B1606" s="40" t="n"/>
      <c r="C1606" s="41" t="n"/>
      <c r="D1606" s="41" t="n"/>
      <c r="E1606" s="41" t="n"/>
      <c r="F1606" s="41" t="n"/>
      <c r="G1606" s="41" t="n"/>
      <c r="H1606" s="41" t="n"/>
      <c r="I1606" s="50" t="n"/>
      <c r="J1606" s="42" t="n"/>
      <c r="K1606" s="42" t="n"/>
      <c r="L1606" s="43">
        <f>IF($B1606="","",ROUND((N($J1606)+N($K1606))*نسبة_القيمة_المضافة,2))</f>
        <v/>
      </c>
      <c r="M1606" s="42" t="n"/>
      <c r="N1606" s="42" t="n"/>
      <c r="O1606" s="43">
        <f>IF($B1606="","",N($J1606)+N($K1606)+N($L1606)-N($M1606)+N($N1606))</f>
        <v/>
      </c>
      <c r="P1606" s="42" t="n"/>
      <c r="Q1606" s="43">
        <f>IF($B1606="","",N($O1606)-N($P1606))</f>
        <v/>
      </c>
      <c r="R1606" s="42" t="n"/>
      <c r="S1606" s="42" t="n"/>
      <c r="T1606" s="42" t="n"/>
      <c r="U1606" s="43">
        <f>IF($B1606="","",N($J1606)-N($R1606)-N($T1606))</f>
        <v/>
      </c>
      <c r="V1606" s="42" t="n"/>
    </row>
    <row r="1607">
      <c r="A1607" s="39">
        <f>IF($B1607="","",COUNTA($B$4:$B1607))</f>
        <v/>
      </c>
      <c r="B1607" s="45" t="n"/>
      <c r="C1607" s="46" t="n"/>
      <c r="D1607" s="46" t="n"/>
      <c r="E1607" s="46" t="n"/>
      <c r="F1607" s="46" t="n"/>
      <c r="G1607" s="46" t="n"/>
      <c r="H1607" s="46" t="n"/>
      <c r="I1607" s="51" t="n"/>
      <c r="J1607" s="47" t="n"/>
      <c r="K1607" s="47" t="n"/>
      <c r="L1607" s="43">
        <f>IF($B1607="","",ROUND((N($J1607)+N($K1607))*نسبة_القيمة_المضافة,2))</f>
        <v/>
      </c>
      <c r="M1607" s="47" t="n"/>
      <c r="N1607" s="47" t="n"/>
      <c r="O1607" s="43">
        <f>IF($B1607="","",N($J1607)+N($K1607)+N($L1607)-N($M1607)+N($N1607))</f>
        <v/>
      </c>
      <c r="P1607" s="47" t="n"/>
      <c r="Q1607" s="43">
        <f>IF($B1607="","",N($O1607)-N($P1607))</f>
        <v/>
      </c>
      <c r="R1607" s="47" t="n"/>
      <c r="S1607" s="47" t="n"/>
      <c r="T1607" s="47" t="n"/>
      <c r="U1607" s="43">
        <f>IF($B1607="","",N($J1607)-N($R1607)-N($T1607))</f>
        <v/>
      </c>
      <c r="V1607" s="47" t="n"/>
    </row>
    <row r="1608">
      <c r="A1608" s="39">
        <f>IF($B1608="","",COUNTA($B$4:$B1608))</f>
        <v/>
      </c>
      <c r="B1608" s="40" t="n"/>
      <c r="C1608" s="41" t="n"/>
      <c r="D1608" s="41" t="n"/>
      <c r="E1608" s="41" t="n"/>
      <c r="F1608" s="41" t="n"/>
      <c r="G1608" s="41" t="n"/>
      <c r="H1608" s="41" t="n"/>
      <c r="I1608" s="50" t="n"/>
      <c r="J1608" s="42" t="n"/>
      <c r="K1608" s="42" t="n"/>
      <c r="L1608" s="43">
        <f>IF($B1608="","",ROUND((N($J1608)+N($K1608))*نسبة_القيمة_المضافة,2))</f>
        <v/>
      </c>
      <c r="M1608" s="42" t="n"/>
      <c r="N1608" s="42" t="n"/>
      <c r="O1608" s="43">
        <f>IF($B1608="","",N($J1608)+N($K1608)+N($L1608)-N($M1608)+N($N1608))</f>
        <v/>
      </c>
      <c r="P1608" s="42" t="n"/>
      <c r="Q1608" s="43">
        <f>IF($B1608="","",N($O1608)-N($P1608))</f>
        <v/>
      </c>
      <c r="R1608" s="42" t="n"/>
      <c r="S1608" s="42" t="n"/>
      <c r="T1608" s="42" t="n"/>
      <c r="U1608" s="43">
        <f>IF($B1608="","",N($J1608)-N($R1608)-N($T1608))</f>
        <v/>
      </c>
      <c r="V1608" s="42" t="n"/>
    </row>
    <row r="1609">
      <c r="A1609" s="39">
        <f>IF($B1609="","",COUNTA($B$4:$B1609))</f>
        <v/>
      </c>
      <c r="B1609" s="45" t="n"/>
      <c r="C1609" s="46" t="n"/>
      <c r="D1609" s="46" t="n"/>
      <c r="E1609" s="46" t="n"/>
      <c r="F1609" s="46" t="n"/>
      <c r="G1609" s="46" t="n"/>
      <c r="H1609" s="46" t="n"/>
      <c r="I1609" s="51" t="n"/>
      <c r="J1609" s="47" t="n"/>
      <c r="K1609" s="47" t="n"/>
      <c r="L1609" s="43">
        <f>IF($B1609="","",ROUND((N($J1609)+N($K1609))*نسبة_القيمة_المضافة,2))</f>
        <v/>
      </c>
      <c r="M1609" s="47" t="n"/>
      <c r="N1609" s="47" t="n"/>
      <c r="O1609" s="43">
        <f>IF($B1609="","",N($J1609)+N($K1609)+N($L1609)-N($M1609)+N($N1609))</f>
        <v/>
      </c>
      <c r="P1609" s="47" t="n"/>
      <c r="Q1609" s="43">
        <f>IF($B1609="","",N($O1609)-N($P1609))</f>
        <v/>
      </c>
      <c r="R1609" s="47" t="n"/>
      <c r="S1609" s="47" t="n"/>
      <c r="T1609" s="47" t="n"/>
      <c r="U1609" s="43">
        <f>IF($B1609="","",N($J1609)-N($R1609)-N($T1609))</f>
        <v/>
      </c>
      <c r="V1609" s="47" t="n"/>
    </row>
    <row r="1610">
      <c r="A1610" s="39">
        <f>IF($B1610="","",COUNTA($B$4:$B1610))</f>
        <v/>
      </c>
      <c r="B1610" s="40" t="n"/>
      <c r="C1610" s="41" t="n"/>
      <c r="D1610" s="41" t="n"/>
      <c r="E1610" s="41" t="n"/>
      <c r="F1610" s="41" t="n"/>
      <c r="G1610" s="41" t="n"/>
      <c r="H1610" s="41" t="n"/>
      <c r="I1610" s="50" t="n"/>
      <c r="J1610" s="42" t="n"/>
      <c r="K1610" s="42" t="n"/>
      <c r="L1610" s="43">
        <f>IF($B1610="","",ROUND((N($J1610)+N($K1610))*نسبة_القيمة_المضافة,2))</f>
        <v/>
      </c>
      <c r="M1610" s="42" t="n"/>
      <c r="N1610" s="42" t="n"/>
      <c r="O1610" s="43">
        <f>IF($B1610="","",N($J1610)+N($K1610)+N($L1610)-N($M1610)+N($N1610))</f>
        <v/>
      </c>
      <c r="P1610" s="42" t="n"/>
      <c r="Q1610" s="43">
        <f>IF($B1610="","",N($O1610)-N($P1610))</f>
        <v/>
      </c>
      <c r="R1610" s="42" t="n"/>
      <c r="S1610" s="42" t="n"/>
      <c r="T1610" s="42" t="n"/>
      <c r="U1610" s="43">
        <f>IF($B1610="","",N($J1610)-N($R1610)-N($T1610))</f>
        <v/>
      </c>
      <c r="V1610" s="42" t="n"/>
    </row>
    <row r="1611">
      <c r="A1611" s="39">
        <f>IF($B1611="","",COUNTA($B$4:$B1611))</f>
        <v/>
      </c>
      <c r="B1611" s="45" t="n"/>
      <c r="C1611" s="46" t="n"/>
      <c r="D1611" s="46" t="n"/>
      <c r="E1611" s="46" t="n"/>
      <c r="F1611" s="46" t="n"/>
      <c r="G1611" s="46" t="n"/>
      <c r="H1611" s="46" t="n"/>
      <c r="I1611" s="51" t="n"/>
      <c r="J1611" s="47" t="n"/>
      <c r="K1611" s="47" t="n"/>
      <c r="L1611" s="43">
        <f>IF($B1611="","",ROUND((N($J1611)+N($K1611))*نسبة_القيمة_المضافة,2))</f>
        <v/>
      </c>
      <c r="M1611" s="47" t="n"/>
      <c r="N1611" s="47" t="n"/>
      <c r="O1611" s="43">
        <f>IF($B1611="","",N($J1611)+N($K1611)+N($L1611)-N($M1611)+N($N1611))</f>
        <v/>
      </c>
      <c r="P1611" s="47" t="n"/>
      <c r="Q1611" s="43">
        <f>IF($B1611="","",N($O1611)-N($P1611))</f>
        <v/>
      </c>
      <c r="R1611" s="47" t="n"/>
      <c r="S1611" s="47" t="n"/>
      <c r="T1611" s="47" t="n"/>
      <c r="U1611" s="43">
        <f>IF($B1611="","",N($J1611)-N($R1611)-N($T1611))</f>
        <v/>
      </c>
      <c r="V1611" s="47" t="n"/>
    </row>
    <row r="1612">
      <c r="A1612" s="39">
        <f>IF($B1612="","",COUNTA($B$4:$B1612))</f>
        <v/>
      </c>
      <c r="B1612" s="40" t="n"/>
      <c r="C1612" s="41" t="n"/>
      <c r="D1612" s="41" t="n"/>
      <c r="E1612" s="41" t="n"/>
      <c r="F1612" s="41" t="n"/>
      <c r="G1612" s="41" t="n"/>
      <c r="H1612" s="41" t="n"/>
      <c r="I1612" s="50" t="n"/>
      <c r="J1612" s="42" t="n"/>
      <c r="K1612" s="42" t="n"/>
      <c r="L1612" s="43">
        <f>IF($B1612="","",ROUND((N($J1612)+N($K1612))*نسبة_القيمة_المضافة,2))</f>
        <v/>
      </c>
      <c r="M1612" s="42" t="n"/>
      <c r="N1612" s="42" t="n"/>
      <c r="O1612" s="43">
        <f>IF($B1612="","",N($J1612)+N($K1612)+N($L1612)-N($M1612)+N($N1612))</f>
        <v/>
      </c>
      <c r="P1612" s="42" t="n"/>
      <c r="Q1612" s="43">
        <f>IF($B1612="","",N($O1612)-N($P1612))</f>
        <v/>
      </c>
      <c r="R1612" s="42" t="n"/>
      <c r="S1612" s="42" t="n"/>
      <c r="T1612" s="42" t="n"/>
      <c r="U1612" s="43">
        <f>IF($B1612="","",N($J1612)-N($R1612)-N($T1612))</f>
        <v/>
      </c>
      <c r="V1612" s="42" t="n"/>
    </row>
    <row r="1613">
      <c r="A1613" s="39">
        <f>IF($B1613="","",COUNTA($B$4:$B1613))</f>
        <v/>
      </c>
      <c r="B1613" s="45" t="n"/>
      <c r="C1613" s="46" t="n"/>
      <c r="D1613" s="46" t="n"/>
      <c r="E1613" s="46" t="n"/>
      <c r="F1613" s="46" t="n"/>
      <c r="G1613" s="46" t="n"/>
      <c r="H1613" s="46" t="n"/>
      <c r="I1613" s="51" t="n"/>
      <c r="J1613" s="47" t="n"/>
      <c r="K1613" s="47" t="n"/>
      <c r="L1613" s="43">
        <f>IF($B1613="","",ROUND((N($J1613)+N($K1613))*نسبة_القيمة_المضافة,2))</f>
        <v/>
      </c>
      <c r="M1613" s="47" t="n"/>
      <c r="N1613" s="47" t="n"/>
      <c r="O1613" s="43">
        <f>IF($B1613="","",N($J1613)+N($K1613)+N($L1613)-N($M1613)+N($N1613))</f>
        <v/>
      </c>
      <c r="P1613" s="47" t="n"/>
      <c r="Q1613" s="43">
        <f>IF($B1613="","",N($O1613)-N($P1613))</f>
        <v/>
      </c>
      <c r="R1613" s="47" t="n"/>
      <c r="S1613" s="47" t="n"/>
      <c r="T1613" s="47" t="n"/>
      <c r="U1613" s="43">
        <f>IF($B1613="","",N($J1613)-N($R1613)-N($T1613))</f>
        <v/>
      </c>
      <c r="V1613" s="47" t="n"/>
    </row>
    <row r="1614">
      <c r="A1614" s="39">
        <f>IF($B1614="","",COUNTA($B$4:$B1614))</f>
        <v/>
      </c>
      <c r="B1614" s="40" t="n"/>
      <c r="C1614" s="41" t="n"/>
      <c r="D1614" s="41" t="n"/>
      <c r="E1614" s="41" t="n"/>
      <c r="F1614" s="41" t="n"/>
      <c r="G1614" s="41" t="n"/>
      <c r="H1614" s="41" t="n"/>
      <c r="I1614" s="50" t="n"/>
      <c r="J1614" s="42" t="n"/>
      <c r="K1614" s="42" t="n"/>
      <c r="L1614" s="43">
        <f>IF($B1614="","",ROUND((N($J1614)+N($K1614))*نسبة_القيمة_المضافة,2))</f>
        <v/>
      </c>
      <c r="M1614" s="42" t="n"/>
      <c r="N1614" s="42" t="n"/>
      <c r="O1614" s="43">
        <f>IF($B1614="","",N($J1614)+N($K1614)+N($L1614)-N($M1614)+N($N1614))</f>
        <v/>
      </c>
      <c r="P1614" s="42" t="n"/>
      <c r="Q1614" s="43">
        <f>IF($B1614="","",N($O1614)-N($P1614))</f>
        <v/>
      </c>
      <c r="R1614" s="42" t="n"/>
      <c r="S1614" s="42" t="n"/>
      <c r="T1614" s="42" t="n"/>
      <c r="U1614" s="43">
        <f>IF($B1614="","",N($J1614)-N($R1614)-N($T1614))</f>
        <v/>
      </c>
      <c r="V1614" s="42" t="n"/>
    </row>
    <row r="1615">
      <c r="A1615" s="39">
        <f>IF($B1615="","",COUNTA($B$4:$B1615))</f>
        <v/>
      </c>
      <c r="B1615" s="45" t="n"/>
      <c r="C1615" s="46" t="n"/>
      <c r="D1615" s="46" t="n"/>
      <c r="E1615" s="46" t="n"/>
      <c r="F1615" s="46" t="n"/>
      <c r="G1615" s="46" t="n"/>
      <c r="H1615" s="46" t="n"/>
      <c r="I1615" s="51" t="n"/>
      <c r="J1615" s="47" t="n"/>
      <c r="K1615" s="47" t="n"/>
      <c r="L1615" s="43">
        <f>IF($B1615="","",ROUND((N($J1615)+N($K1615))*نسبة_القيمة_المضافة,2))</f>
        <v/>
      </c>
      <c r="M1615" s="47" t="n"/>
      <c r="N1615" s="47" t="n"/>
      <c r="O1615" s="43">
        <f>IF($B1615="","",N($J1615)+N($K1615)+N($L1615)-N($M1615)+N($N1615))</f>
        <v/>
      </c>
      <c r="P1615" s="47" t="n"/>
      <c r="Q1615" s="43">
        <f>IF($B1615="","",N($O1615)-N($P1615))</f>
        <v/>
      </c>
      <c r="R1615" s="47" t="n"/>
      <c r="S1615" s="47" t="n"/>
      <c r="T1615" s="47" t="n"/>
      <c r="U1615" s="43">
        <f>IF($B1615="","",N($J1615)-N($R1615)-N($T1615))</f>
        <v/>
      </c>
      <c r="V1615" s="47" t="n"/>
    </row>
    <row r="1616">
      <c r="A1616" s="39">
        <f>IF($B1616="","",COUNTA($B$4:$B1616))</f>
        <v/>
      </c>
      <c r="B1616" s="40" t="n"/>
      <c r="C1616" s="41" t="n"/>
      <c r="D1616" s="41" t="n"/>
      <c r="E1616" s="41" t="n"/>
      <c r="F1616" s="41" t="n"/>
      <c r="G1616" s="41" t="n"/>
      <c r="H1616" s="41" t="n"/>
      <c r="I1616" s="50" t="n"/>
      <c r="J1616" s="42" t="n"/>
      <c r="K1616" s="42" t="n"/>
      <c r="L1616" s="43">
        <f>IF($B1616="","",ROUND((N($J1616)+N($K1616))*نسبة_القيمة_المضافة,2))</f>
        <v/>
      </c>
      <c r="M1616" s="42" t="n"/>
      <c r="N1616" s="42" t="n"/>
      <c r="O1616" s="43">
        <f>IF($B1616="","",N($J1616)+N($K1616)+N($L1616)-N($M1616)+N($N1616))</f>
        <v/>
      </c>
      <c r="P1616" s="42" t="n"/>
      <c r="Q1616" s="43">
        <f>IF($B1616="","",N($O1616)-N($P1616))</f>
        <v/>
      </c>
      <c r="R1616" s="42" t="n"/>
      <c r="S1616" s="42" t="n"/>
      <c r="T1616" s="42" t="n"/>
      <c r="U1616" s="43">
        <f>IF($B1616="","",N($J1616)-N($R1616)-N($T1616))</f>
        <v/>
      </c>
      <c r="V1616" s="42" t="n"/>
    </row>
    <row r="1617">
      <c r="A1617" s="39">
        <f>IF($B1617="","",COUNTA($B$4:$B1617))</f>
        <v/>
      </c>
      <c r="B1617" s="45" t="n"/>
      <c r="C1617" s="46" t="n"/>
      <c r="D1617" s="46" t="n"/>
      <c r="E1617" s="46" t="n"/>
      <c r="F1617" s="46" t="n"/>
      <c r="G1617" s="46" t="n"/>
      <c r="H1617" s="46" t="n"/>
      <c r="I1617" s="51" t="n"/>
      <c r="J1617" s="47" t="n"/>
      <c r="K1617" s="47" t="n"/>
      <c r="L1617" s="43">
        <f>IF($B1617="","",ROUND((N($J1617)+N($K1617))*نسبة_القيمة_المضافة,2))</f>
        <v/>
      </c>
      <c r="M1617" s="47" t="n"/>
      <c r="N1617" s="47" t="n"/>
      <c r="O1617" s="43">
        <f>IF($B1617="","",N($J1617)+N($K1617)+N($L1617)-N($M1617)+N($N1617))</f>
        <v/>
      </c>
      <c r="P1617" s="47" t="n"/>
      <c r="Q1617" s="43">
        <f>IF($B1617="","",N($O1617)-N($P1617))</f>
        <v/>
      </c>
      <c r="R1617" s="47" t="n"/>
      <c r="S1617" s="47" t="n"/>
      <c r="T1617" s="47" t="n"/>
      <c r="U1617" s="43">
        <f>IF($B1617="","",N($J1617)-N($R1617)-N($T1617))</f>
        <v/>
      </c>
      <c r="V1617" s="47" t="n"/>
    </row>
    <row r="1618">
      <c r="A1618" s="39">
        <f>IF($B1618="","",COUNTA($B$4:$B1618))</f>
        <v/>
      </c>
      <c r="B1618" s="40" t="n"/>
      <c r="C1618" s="41" t="n"/>
      <c r="D1618" s="41" t="n"/>
      <c r="E1618" s="41" t="n"/>
      <c r="F1618" s="41" t="n"/>
      <c r="G1618" s="41" t="n"/>
      <c r="H1618" s="41" t="n"/>
      <c r="I1618" s="50" t="n"/>
      <c r="J1618" s="42" t="n"/>
      <c r="K1618" s="42" t="n"/>
      <c r="L1618" s="43">
        <f>IF($B1618="","",ROUND((N($J1618)+N($K1618))*نسبة_القيمة_المضافة,2))</f>
        <v/>
      </c>
      <c r="M1618" s="42" t="n"/>
      <c r="N1618" s="42" t="n"/>
      <c r="O1618" s="43">
        <f>IF($B1618="","",N($J1618)+N($K1618)+N($L1618)-N($M1618)+N($N1618))</f>
        <v/>
      </c>
      <c r="P1618" s="42" t="n"/>
      <c r="Q1618" s="43">
        <f>IF($B1618="","",N($O1618)-N($P1618))</f>
        <v/>
      </c>
      <c r="R1618" s="42" t="n"/>
      <c r="S1618" s="42" t="n"/>
      <c r="T1618" s="42" t="n"/>
      <c r="U1618" s="43">
        <f>IF($B1618="","",N($J1618)-N($R1618)-N($T1618))</f>
        <v/>
      </c>
      <c r="V1618" s="42" t="n"/>
    </row>
    <row r="1619">
      <c r="A1619" s="39">
        <f>IF($B1619="","",COUNTA($B$4:$B1619))</f>
        <v/>
      </c>
      <c r="B1619" s="45" t="n"/>
      <c r="C1619" s="46" t="n"/>
      <c r="D1619" s="46" t="n"/>
      <c r="E1619" s="46" t="n"/>
      <c r="F1619" s="46" t="n"/>
      <c r="G1619" s="46" t="n"/>
      <c r="H1619" s="46" t="n"/>
      <c r="I1619" s="51" t="n"/>
      <c r="J1619" s="47" t="n"/>
      <c r="K1619" s="47" t="n"/>
      <c r="L1619" s="43">
        <f>IF($B1619="","",ROUND((N($J1619)+N($K1619))*نسبة_القيمة_المضافة,2))</f>
        <v/>
      </c>
      <c r="M1619" s="47" t="n"/>
      <c r="N1619" s="47" t="n"/>
      <c r="O1619" s="43">
        <f>IF($B1619="","",N($J1619)+N($K1619)+N($L1619)-N($M1619)+N($N1619))</f>
        <v/>
      </c>
      <c r="P1619" s="47" t="n"/>
      <c r="Q1619" s="43">
        <f>IF($B1619="","",N($O1619)-N($P1619))</f>
        <v/>
      </c>
      <c r="R1619" s="47" t="n"/>
      <c r="S1619" s="47" t="n"/>
      <c r="T1619" s="47" t="n"/>
      <c r="U1619" s="43">
        <f>IF($B1619="","",N($J1619)-N($R1619)-N($T1619))</f>
        <v/>
      </c>
      <c r="V1619" s="47" t="n"/>
    </row>
    <row r="1620">
      <c r="A1620" s="39">
        <f>IF($B1620="","",COUNTA($B$4:$B1620))</f>
        <v/>
      </c>
      <c r="B1620" s="40" t="n"/>
      <c r="C1620" s="41" t="n"/>
      <c r="D1620" s="41" t="n"/>
      <c r="E1620" s="41" t="n"/>
      <c r="F1620" s="41" t="n"/>
      <c r="G1620" s="41" t="n"/>
      <c r="H1620" s="41" t="n"/>
      <c r="I1620" s="50" t="n"/>
      <c r="J1620" s="42" t="n"/>
      <c r="K1620" s="42" t="n"/>
      <c r="L1620" s="43">
        <f>IF($B1620="","",ROUND((N($J1620)+N($K1620))*نسبة_القيمة_المضافة,2))</f>
        <v/>
      </c>
      <c r="M1620" s="42" t="n"/>
      <c r="N1620" s="42" t="n"/>
      <c r="O1620" s="43">
        <f>IF($B1620="","",N($J1620)+N($K1620)+N($L1620)-N($M1620)+N($N1620))</f>
        <v/>
      </c>
      <c r="P1620" s="42" t="n"/>
      <c r="Q1620" s="43">
        <f>IF($B1620="","",N($O1620)-N($P1620))</f>
        <v/>
      </c>
      <c r="R1620" s="42" t="n"/>
      <c r="S1620" s="42" t="n"/>
      <c r="T1620" s="42" t="n"/>
      <c r="U1620" s="43">
        <f>IF($B1620="","",N($J1620)-N($R1620)-N($T1620))</f>
        <v/>
      </c>
      <c r="V1620" s="42" t="n"/>
    </row>
    <row r="1621">
      <c r="A1621" s="39">
        <f>IF($B1621="","",COUNTA($B$4:$B1621))</f>
        <v/>
      </c>
      <c r="B1621" s="45" t="n"/>
      <c r="C1621" s="46" t="n"/>
      <c r="D1621" s="46" t="n"/>
      <c r="E1621" s="46" t="n"/>
      <c r="F1621" s="46" t="n"/>
      <c r="G1621" s="46" t="n"/>
      <c r="H1621" s="46" t="n"/>
      <c r="I1621" s="51" t="n"/>
      <c r="J1621" s="47" t="n"/>
      <c r="K1621" s="47" t="n"/>
      <c r="L1621" s="43">
        <f>IF($B1621="","",ROUND((N($J1621)+N($K1621))*نسبة_القيمة_المضافة,2))</f>
        <v/>
      </c>
      <c r="M1621" s="47" t="n"/>
      <c r="N1621" s="47" t="n"/>
      <c r="O1621" s="43">
        <f>IF($B1621="","",N($J1621)+N($K1621)+N($L1621)-N($M1621)+N($N1621))</f>
        <v/>
      </c>
      <c r="P1621" s="47" t="n"/>
      <c r="Q1621" s="43">
        <f>IF($B1621="","",N($O1621)-N($P1621))</f>
        <v/>
      </c>
      <c r="R1621" s="47" t="n"/>
      <c r="S1621" s="47" t="n"/>
      <c r="T1621" s="47" t="n"/>
      <c r="U1621" s="43">
        <f>IF($B1621="","",N($J1621)-N($R1621)-N($T1621))</f>
        <v/>
      </c>
      <c r="V1621" s="47" t="n"/>
    </row>
    <row r="1622">
      <c r="A1622" s="39">
        <f>IF($B1622="","",COUNTA($B$4:$B1622))</f>
        <v/>
      </c>
      <c r="B1622" s="40" t="n"/>
      <c r="C1622" s="41" t="n"/>
      <c r="D1622" s="41" t="n"/>
      <c r="E1622" s="41" t="n"/>
      <c r="F1622" s="41" t="n"/>
      <c r="G1622" s="41" t="n"/>
      <c r="H1622" s="41" t="n"/>
      <c r="I1622" s="50" t="n"/>
      <c r="J1622" s="42" t="n"/>
      <c r="K1622" s="42" t="n"/>
      <c r="L1622" s="43">
        <f>IF($B1622="","",ROUND((N($J1622)+N($K1622))*نسبة_القيمة_المضافة,2))</f>
        <v/>
      </c>
      <c r="M1622" s="42" t="n"/>
      <c r="N1622" s="42" t="n"/>
      <c r="O1622" s="43">
        <f>IF($B1622="","",N($J1622)+N($K1622)+N($L1622)-N($M1622)+N($N1622))</f>
        <v/>
      </c>
      <c r="P1622" s="42" t="n"/>
      <c r="Q1622" s="43">
        <f>IF($B1622="","",N($O1622)-N($P1622))</f>
        <v/>
      </c>
      <c r="R1622" s="42" t="n"/>
      <c r="S1622" s="42" t="n"/>
      <c r="T1622" s="42" t="n"/>
      <c r="U1622" s="43">
        <f>IF($B1622="","",N($J1622)-N($R1622)-N($T1622))</f>
        <v/>
      </c>
      <c r="V1622" s="42" t="n"/>
    </row>
    <row r="1623">
      <c r="A1623" s="39">
        <f>IF($B1623="","",COUNTA($B$4:$B1623))</f>
        <v/>
      </c>
      <c r="B1623" s="45" t="n"/>
      <c r="C1623" s="46" t="n"/>
      <c r="D1623" s="46" t="n"/>
      <c r="E1623" s="46" t="n"/>
      <c r="F1623" s="46" t="n"/>
      <c r="G1623" s="46" t="n"/>
      <c r="H1623" s="46" t="n"/>
      <c r="I1623" s="51" t="n"/>
      <c r="J1623" s="47" t="n"/>
      <c r="K1623" s="47" t="n"/>
      <c r="L1623" s="43">
        <f>IF($B1623="","",ROUND((N($J1623)+N($K1623))*نسبة_القيمة_المضافة,2))</f>
        <v/>
      </c>
      <c r="M1623" s="47" t="n"/>
      <c r="N1623" s="47" t="n"/>
      <c r="O1623" s="43">
        <f>IF($B1623="","",N($J1623)+N($K1623)+N($L1623)-N($M1623)+N($N1623))</f>
        <v/>
      </c>
      <c r="P1623" s="47" t="n"/>
      <c r="Q1623" s="43">
        <f>IF($B1623="","",N($O1623)-N($P1623))</f>
        <v/>
      </c>
      <c r="R1623" s="47" t="n"/>
      <c r="S1623" s="47" t="n"/>
      <c r="T1623" s="47" t="n"/>
      <c r="U1623" s="43">
        <f>IF($B1623="","",N($J1623)-N($R1623)-N($T1623))</f>
        <v/>
      </c>
      <c r="V1623" s="47" t="n"/>
    </row>
    <row r="1624">
      <c r="A1624" s="39">
        <f>IF($B1624="","",COUNTA($B$4:$B1624))</f>
        <v/>
      </c>
      <c r="B1624" s="40" t="n"/>
      <c r="C1624" s="41" t="n"/>
      <c r="D1624" s="41" t="n"/>
      <c r="E1624" s="41" t="n"/>
      <c r="F1624" s="41" t="n"/>
      <c r="G1624" s="41" t="n"/>
      <c r="H1624" s="41" t="n"/>
      <c r="I1624" s="50" t="n"/>
      <c r="J1624" s="42" t="n"/>
      <c r="K1624" s="42" t="n"/>
      <c r="L1624" s="43">
        <f>IF($B1624="","",ROUND((N($J1624)+N($K1624))*نسبة_القيمة_المضافة,2))</f>
        <v/>
      </c>
      <c r="M1624" s="42" t="n"/>
      <c r="N1624" s="42" t="n"/>
      <c r="O1624" s="43">
        <f>IF($B1624="","",N($J1624)+N($K1624)+N($L1624)-N($M1624)+N($N1624))</f>
        <v/>
      </c>
      <c r="P1624" s="42" t="n"/>
      <c r="Q1624" s="43">
        <f>IF($B1624="","",N($O1624)-N($P1624))</f>
        <v/>
      </c>
      <c r="R1624" s="42" t="n"/>
      <c r="S1624" s="42" t="n"/>
      <c r="T1624" s="42" t="n"/>
      <c r="U1624" s="43">
        <f>IF($B1624="","",N($J1624)-N($R1624)-N($T1624))</f>
        <v/>
      </c>
      <c r="V1624" s="42" t="n"/>
    </row>
    <row r="1625">
      <c r="A1625" s="39">
        <f>IF($B1625="","",COUNTA($B$4:$B1625))</f>
        <v/>
      </c>
      <c r="B1625" s="45" t="n"/>
      <c r="C1625" s="46" t="n"/>
      <c r="D1625" s="46" t="n"/>
      <c r="E1625" s="46" t="n"/>
      <c r="F1625" s="46" t="n"/>
      <c r="G1625" s="46" t="n"/>
      <c r="H1625" s="46" t="n"/>
      <c r="I1625" s="51" t="n"/>
      <c r="J1625" s="47" t="n"/>
      <c r="K1625" s="47" t="n"/>
      <c r="L1625" s="43">
        <f>IF($B1625="","",ROUND((N($J1625)+N($K1625))*نسبة_القيمة_المضافة,2))</f>
        <v/>
      </c>
      <c r="M1625" s="47" t="n"/>
      <c r="N1625" s="47" t="n"/>
      <c r="O1625" s="43">
        <f>IF($B1625="","",N($J1625)+N($K1625)+N($L1625)-N($M1625)+N($N1625))</f>
        <v/>
      </c>
      <c r="P1625" s="47" t="n"/>
      <c r="Q1625" s="43">
        <f>IF($B1625="","",N($O1625)-N($P1625))</f>
        <v/>
      </c>
      <c r="R1625" s="47" t="n"/>
      <c r="S1625" s="47" t="n"/>
      <c r="T1625" s="47" t="n"/>
      <c r="U1625" s="43">
        <f>IF($B1625="","",N($J1625)-N($R1625)-N($T1625))</f>
        <v/>
      </c>
      <c r="V1625" s="47" t="n"/>
    </row>
    <row r="1626">
      <c r="A1626" s="39">
        <f>IF($B1626="","",COUNTA($B$4:$B1626))</f>
        <v/>
      </c>
      <c r="B1626" s="40" t="n"/>
      <c r="C1626" s="41" t="n"/>
      <c r="D1626" s="41" t="n"/>
      <c r="E1626" s="41" t="n"/>
      <c r="F1626" s="41" t="n"/>
      <c r="G1626" s="41" t="n"/>
      <c r="H1626" s="41" t="n"/>
      <c r="I1626" s="50" t="n"/>
      <c r="J1626" s="42" t="n"/>
      <c r="K1626" s="42" t="n"/>
      <c r="L1626" s="43">
        <f>IF($B1626="","",ROUND((N($J1626)+N($K1626))*نسبة_القيمة_المضافة,2))</f>
        <v/>
      </c>
      <c r="M1626" s="42" t="n"/>
      <c r="N1626" s="42" t="n"/>
      <c r="O1626" s="43">
        <f>IF($B1626="","",N($J1626)+N($K1626)+N($L1626)-N($M1626)+N($N1626))</f>
        <v/>
      </c>
      <c r="P1626" s="42" t="n"/>
      <c r="Q1626" s="43">
        <f>IF($B1626="","",N($O1626)-N($P1626))</f>
        <v/>
      </c>
      <c r="R1626" s="42" t="n"/>
      <c r="S1626" s="42" t="n"/>
      <c r="T1626" s="42" t="n"/>
      <c r="U1626" s="43">
        <f>IF($B1626="","",N($J1626)-N($R1626)-N($T1626))</f>
        <v/>
      </c>
      <c r="V1626" s="42" t="n"/>
    </row>
    <row r="1627">
      <c r="A1627" s="39">
        <f>IF($B1627="","",COUNTA($B$4:$B1627))</f>
        <v/>
      </c>
      <c r="B1627" s="45" t="n"/>
      <c r="C1627" s="46" t="n"/>
      <c r="D1627" s="46" t="n"/>
      <c r="E1627" s="46" t="n"/>
      <c r="F1627" s="46" t="n"/>
      <c r="G1627" s="46" t="n"/>
      <c r="H1627" s="46" t="n"/>
      <c r="I1627" s="51" t="n"/>
      <c r="J1627" s="47" t="n"/>
      <c r="K1627" s="47" t="n"/>
      <c r="L1627" s="43">
        <f>IF($B1627="","",ROUND((N($J1627)+N($K1627))*نسبة_القيمة_المضافة,2))</f>
        <v/>
      </c>
      <c r="M1627" s="47" t="n"/>
      <c r="N1627" s="47" t="n"/>
      <c r="O1627" s="43">
        <f>IF($B1627="","",N($J1627)+N($K1627)+N($L1627)-N($M1627)+N($N1627))</f>
        <v/>
      </c>
      <c r="P1627" s="47" t="n"/>
      <c r="Q1627" s="43">
        <f>IF($B1627="","",N($O1627)-N($P1627))</f>
        <v/>
      </c>
      <c r="R1627" s="47" t="n"/>
      <c r="S1627" s="47" t="n"/>
      <c r="T1627" s="47" t="n"/>
      <c r="U1627" s="43">
        <f>IF($B1627="","",N($J1627)-N($R1627)-N($T1627))</f>
        <v/>
      </c>
      <c r="V1627" s="47" t="n"/>
    </row>
    <row r="1628">
      <c r="A1628" s="39">
        <f>IF($B1628="","",COUNTA($B$4:$B1628))</f>
        <v/>
      </c>
      <c r="B1628" s="40" t="n"/>
      <c r="C1628" s="41" t="n"/>
      <c r="D1628" s="41" t="n"/>
      <c r="E1628" s="41" t="n"/>
      <c r="F1628" s="41" t="n"/>
      <c r="G1628" s="41" t="n"/>
      <c r="H1628" s="41" t="n"/>
      <c r="I1628" s="50" t="n"/>
      <c r="J1628" s="42" t="n"/>
      <c r="K1628" s="42" t="n"/>
      <c r="L1628" s="43">
        <f>IF($B1628="","",ROUND((N($J1628)+N($K1628))*نسبة_القيمة_المضافة,2))</f>
        <v/>
      </c>
      <c r="M1628" s="42" t="n"/>
      <c r="N1628" s="42" t="n"/>
      <c r="O1628" s="43">
        <f>IF($B1628="","",N($J1628)+N($K1628)+N($L1628)-N($M1628)+N($N1628))</f>
        <v/>
      </c>
      <c r="P1628" s="42" t="n"/>
      <c r="Q1628" s="43">
        <f>IF($B1628="","",N($O1628)-N($P1628))</f>
        <v/>
      </c>
      <c r="R1628" s="42" t="n"/>
      <c r="S1628" s="42" t="n"/>
      <c r="T1628" s="42" t="n"/>
      <c r="U1628" s="43">
        <f>IF($B1628="","",N($J1628)-N($R1628)-N($T1628))</f>
        <v/>
      </c>
      <c r="V1628" s="42" t="n"/>
    </row>
    <row r="1629">
      <c r="A1629" s="39">
        <f>IF($B1629="","",COUNTA($B$4:$B1629))</f>
        <v/>
      </c>
      <c r="B1629" s="45" t="n"/>
      <c r="C1629" s="46" t="n"/>
      <c r="D1629" s="46" t="n"/>
      <c r="E1629" s="46" t="n"/>
      <c r="F1629" s="46" t="n"/>
      <c r="G1629" s="46" t="n"/>
      <c r="H1629" s="46" t="n"/>
      <c r="I1629" s="51" t="n"/>
      <c r="J1629" s="47" t="n"/>
      <c r="K1629" s="47" t="n"/>
      <c r="L1629" s="43">
        <f>IF($B1629="","",ROUND((N($J1629)+N($K1629))*نسبة_القيمة_المضافة,2))</f>
        <v/>
      </c>
      <c r="M1629" s="47" t="n"/>
      <c r="N1629" s="47" t="n"/>
      <c r="O1629" s="43">
        <f>IF($B1629="","",N($J1629)+N($K1629)+N($L1629)-N($M1629)+N($N1629))</f>
        <v/>
      </c>
      <c r="P1629" s="47" t="n"/>
      <c r="Q1629" s="43">
        <f>IF($B1629="","",N($O1629)-N($P1629))</f>
        <v/>
      </c>
      <c r="R1629" s="47" t="n"/>
      <c r="S1629" s="47" t="n"/>
      <c r="T1629" s="47" t="n"/>
      <c r="U1629" s="43">
        <f>IF($B1629="","",N($J1629)-N($R1629)-N($T1629))</f>
        <v/>
      </c>
      <c r="V1629" s="47" t="n"/>
    </row>
    <row r="1630">
      <c r="A1630" s="39">
        <f>IF($B1630="","",COUNTA($B$4:$B1630))</f>
        <v/>
      </c>
      <c r="B1630" s="40" t="n"/>
      <c r="C1630" s="41" t="n"/>
      <c r="D1630" s="41" t="n"/>
      <c r="E1630" s="41" t="n"/>
      <c r="F1630" s="41" t="n"/>
      <c r="G1630" s="41" t="n"/>
      <c r="H1630" s="41" t="n"/>
      <c r="I1630" s="50" t="n"/>
      <c r="J1630" s="42" t="n"/>
      <c r="K1630" s="42" t="n"/>
      <c r="L1630" s="43">
        <f>IF($B1630="","",ROUND((N($J1630)+N($K1630))*نسبة_القيمة_المضافة,2))</f>
        <v/>
      </c>
      <c r="M1630" s="42" t="n"/>
      <c r="N1630" s="42" t="n"/>
      <c r="O1630" s="43">
        <f>IF($B1630="","",N($J1630)+N($K1630)+N($L1630)-N($M1630)+N($N1630))</f>
        <v/>
      </c>
      <c r="P1630" s="42" t="n"/>
      <c r="Q1630" s="43">
        <f>IF($B1630="","",N($O1630)-N($P1630))</f>
        <v/>
      </c>
      <c r="R1630" s="42" t="n"/>
      <c r="S1630" s="42" t="n"/>
      <c r="T1630" s="42" t="n"/>
      <c r="U1630" s="43">
        <f>IF($B1630="","",N($J1630)-N($R1630)-N($T1630))</f>
        <v/>
      </c>
      <c r="V1630" s="42" t="n"/>
    </row>
    <row r="1631">
      <c r="A1631" s="39">
        <f>IF($B1631="","",COUNTA($B$4:$B1631))</f>
        <v/>
      </c>
      <c r="B1631" s="45" t="n"/>
      <c r="C1631" s="46" t="n"/>
      <c r="D1631" s="46" t="n"/>
      <c r="E1631" s="46" t="n"/>
      <c r="F1631" s="46" t="n"/>
      <c r="G1631" s="46" t="n"/>
      <c r="H1631" s="46" t="n"/>
      <c r="I1631" s="51" t="n"/>
      <c r="J1631" s="47" t="n"/>
      <c r="K1631" s="47" t="n"/>
      <c r="L1631" s="43">
        <f>IF($B1631="","",ROUND((N($J1631)+N($K1631))*نسبة_القيمة_المضافة,2))</f>
        <v/>
      </c>
      <c r="M1631" s="47" t="n"/>
      <c r="N1631" s="47" t="n"/>
      <c r="O1631" s="43">
        <f>IF($B1631="","",N($J1631)+N($K1631)+N($L1631)-N($M1631)+N($N1631))</f>
        <v/>
      </c>
      <c r="P1631" s="47" t="n"/>
      <c r="Q1631" s="43">
        <f>IF($B1631="","",N($O1631)-N($P1631))</f>
        <v/>
      </c>
      <c r="R1631" s="47" t="n"/>
      <c r="S1631" s="47" t="n"/>
      <c r="T1631" s="47" t="n"/>
      <c r="U1631" s="43">
        <f>IF($B1631="","",N($J1631)-N($R1631)-N($T1631))</f>
        <v/>
      </c>
      <c r="V1631" s="47" t="n"/>
    </row>
    <row r="1632">
      <c r="A1632" s="39">
        <f>IF($B1632="","",COUNTA($B$4:$B1632))</f>
        <v/>
      </c>
      <c r="B1632" s="40" t="n"/>
      <c r="C1632" s="41" t="n"/>
      <c r="D1632" s="41" t="n"/>
      <c r="E1632" s="41" t="n"/>
      <c r="F1632" s="41" t="n"/>
      <c r="G1632" s="41" t="n"/>
      <c r="H1632" s="41" t="n"/>
      <c r="I1632" s="50" t="n"/>
      <c r="J1632" s="42" t="n"/>
      <c r="K1632" s="42" t="n"/>
      <c r="L1632" s="43">
        <f>IF($B1632="","",ROUND((N($J1632)+N($K1632))*نسبة_القيمة_المضافة,2))</f>
        <v/>
      </c>
      <c r="M1632" s="42" t="n"/>
      <c r="N1632" s="42" t="n"/>
      <c r="O1632" s="43">
        <f>IF($B1632="","",N($J1632)+N($K1632)+N($L1632)-N($M1632)+N($N1632))</f>
        <v/>
      </c>
      <c r="P1632" s="42" t="n"/>
      <c r="Q1632" s="43">
        <f>IF($B1632="","",N($O1632)-N($P1632))</f>
        <v/>
      </c>
      <c r="R1632" s="42" t="n"/>
      <c r="S1632" s="42" t="n"/>
      <c r="T1632" s="42" t="n"/>
      <c r="U1632" s="43">
        <f>IF($B1632="","",N($J1632)-N($R1632)-N($T1632))</f>
        <v/>
      </c>
      <c r="V1632" s="42" t="n"/>
    </row>
    <row r="1633">
      <c r="A1633" s="39">
        <f>IF($B1633="","",COUNTA($B$4:$B1633))</f>
        <v/>
      </c>
      <c r="B1633" s="45" t="n"/>
      <c r="C1633" s="46" t="n"/>
      <c r="D1633" s="46" t="n"/>
      <c r="E1633" s="46" t="n"/>
      <c r="F1633" s="46" t="n"/>
      <c r="G1633" s="46" t="n"/>
      <c r="H1633" s="46" t="n"/>
      <c r="I1633" s="51" t="n"/>
      <c r="J1633" s="47" t="n"/>
      <c r="K1633" s="47" t="n"/>
      <c r="L1633" s="43">
        <f>IF($B1633="","",ROUND((N($J1633)+N($K1633))*نسبة_القيمة_المضافة,2))</f>
        <v/>
      </c>
      <c r="M1633" s="47" t="n"/>
      <c r="N1633" s="47" t="n"/>
      <c r="O1633" s="43">
        <f>IF($B1633="","",N($J1633)+N($K1633)+N($L1633)-N($M1633)+N($N1633))</f>
        <v/>
      </c>
      <c r="P1633" s="47" t="n"/>
      <c r="Q1633" s="43">
        <f>IF($B1633="","",N($O1633)-N($P1633))</f>
        <v/>
      </c>
      <c r="R1633" s="47" t="n"/>
      <c r="S1633" s="47" t="n"/>
      <c r="T1633" s="47" t="n"/>
      <c r="U1633" s="43">
        <f>IF($B1633="","",N($J1633)-N($R1633)-N($T1633))</f>
        <v/>
      </c>
      <c r="V1633" s="47" t="n"/>
    </row>
    <row r="1634">
      <c r="A1634" s="39">
        <f>IF($B1634="","",COUNTA($B$4:$B1634))</f>
        <v/>
      </c>
      <c r="B1634" s="40" t="n"/>
      <c r="C1634" s="41" t="n"/>
      <c r="D1634" s="41" t="n"/>
      <c r="E1634" s="41" t="n"/>
      <c r="F1634" s="41" t="n"/>
      <c r="G1634" s="41" t="n"/>
      <c r="H1634" s="41" t="n"/>
      <c r="I1634" s="50" t="n"/>
      <c r="J1634" s="42" t="n"/>
      <c r="K1634" s="42" t="n"/>
      <c r="L1634" s="43">
        <f>IF($B1634="","",ROUND((N($J1634)+N($K1634))*نسبة_القيمة_المضافة,2))</f>
        <v/>
      </c>
      <c r="M1634" s="42" t="n"/>
      <c r="N1634" s="42" t="n"/>
      <c r="O1634" s="43">
        <f>IF($B1634="","",N($J1634)+N($K1634)+N($L1634)-N($M1634)+N($N1634))</f>
        <v/>
      </c>
      <c r="P1634" s="42" t="n"/>
      <c r="Q1634" s="43">
        <f>IF($B1634="","",N($O1634)-N($P1634))</f>
        <v/>
      </c>
      <c r="R1634" s="42" t="n"/>
      <c r="S1634" s="42" t="n"/>
      <c r="T1634" s="42" t="n"/>
      <c r="U1634" s="43">
        <f>IF($B1634="","",N($J1634)-N($R1634)-N($T1634))</f>
        <v/>
      </c>
      <c r="V1634" s="42" t="n"/>
    </row>
    <row r="1635">
      <c r="A1635" s="39">
        <f>IF($B1635="","",COUNTA($B$4:$B1635))</f>
        <v/>
      </c>
      <c r="B1635" s="45" t="n"/>
      <c r="C1635" s="46" t="n"/>
      <c r="D1635" s="46" t="n"/>
      <c r="E1635" s="46" t="n"/>
      <c r="F1635" s="46" t="n"/>
      <c r="G1635" s="46" t="n"/>
      <c r="H1635" s="46" t="n"/>
      <c r="I1635" s="51" t="n"/>
      <c r="J1635" s="47" t="n"/>
      <c r="K1635" s="47" t="n"/>
      <c r="L1635" s="43">
        <f>IF($B1635="","",ROUND((N($J1635)+N($K1635))*نسبة_القيمة_المضافة,2))</f>
        <v/>
      </c>
      <c r="M1635" s="47" t="n"/>
      <c r="N1635" s="47" t="n"/>
      <c r="O1635" s="43">
        <f>IF($B1635="","",N($J1635)+N($K1635)+N($L1635)-N($M1635)+N($N1635))</f>
        <v/>
      </c>
      <c r="P1635" s="47" t="n"/>
      <c r="Q1635" s="43">
        <f>IF($B1635="","",N($O1635)-N($P1635))</f>
        <v/>
      </c>
      <c r="R1635" s="47" t="n"/>
      <c r="S1635" s="47" t="n"/>
      <c r="T1635" s="47" t="n"/>
      <c r="U1635" s="43">
        <f>IF($B1635="","",N($J1635)-N($R1635)-N($T1635))</f>
        <v/>
      </c>
      <c r="V1635" s="47" t="n"/>
    </row>
    <row r="1636">
      <c r="A1636" s="39">
        <f>IF($B1636="","",COUNTA($B$4:$B1636))</f>
        <v/>
      </c>
      <c r="B1636" s="40" t="n"/>
      <c r="C1636" s="41" t="n"/>
      <c r="D1636" s="41" t="n"/>
      <c r="E1636" s="41" t="n"/>
      <c r="F1636" s="41" t="n"/>
      <c r="G1636" s="41" t="n"/>
      <c r="H1636" s="41" t="n"/>
      <c r="I1636" s="50" t="n"/>
      <c r="J1636" s="42" t="n"/>
      <c r="K1636" s="42" t="n"/>
      <c r="L1636" s="43">
        <f>IF($B1636="","",ROUND((N($J1636)+N($K1636))*نسبة_القيمة_المضافة,2))</f>
        <v/>
      </c>
      <c r="M1636" s="42" t="n"/>
      <c r="N1636" s="42" t="n"/>
      <c r="O1636" s="43">
        <f>IF($B1636="","",N($J1636)+N($K1636)+N($L1636)-N($M1636)+N($N1636))</f>
        <v/>
      </c>
      <c r="P1636" s="42" t="n"/>
      <c r="Q1636" s="43">
        <f>IF($B1636="","",N($O1636)-N($P1636))</f>
        <v/>
      </c>
      <c r="R1636" s="42" t="n"/>
      <c r="S1636" s="42" t="n"/>
      <c r="T1636" s="42" t="n"/>
      <c r="U1636" s="43">
        <f>IF($B1636="","",N($J1636)-N($R1636)-N($T1636))</f>
        <v/>
      </c>
      <c r="V1636" s="42" t="n"/>
    </row>
    <row r="1637">
      <c r="A1637" s="39">
        <f>IF($B1637="","",COUNTA($B$4:$B1637))</f>
        <v/>
      </c>
      <c r="B1637" s="45" t="n"/>
      <c r="C1637" s="46" t="n"/>
      <c r="D1637" s="46" t="n"/>
      <c r="E1637" s="46" t="n"/>
      <c r="F1637" s="46" t="n"/>
      <c r="G1637" s="46" t="n"/>
      <c r="H1637" s="46" t="n"/>
      <c r="I1637" s="51" t="n"/>
      <c r="J1637" s="47" t="n"/>
      <c r="K1637" s="47" t="n"/>
      <c r="L1637" s="43">
        <f>IF($B1637="","",ROUND((N($J1637)+N($K1637))*نسبة_القيمة_المضافة,2))</f>
        <v/>
      </c>
      <c r="M1637" s="47" t="n"/>
      <c r="N1637" s="47" t="n"/>
      <c r="O1637" s="43">
        <f>IF($B1637="","",N($J1637)+N($K1637)+N($L1637)-N($M1637)+N($N1637))</f>
        <v/>
      </c>
      <c r="P1637" s="47" t="n"/>
      <c r="Q1637" s="43">
        <f>IF($B1637="","",N($O1637)-N($P1637))</f>
        <v/>
      </c>
      <c r="R1637" s="47" t="n"/>
      <c r="S1637" s="47" t="n"/>
      <c r="T1637" s="47" t="n"/>
      <c r="U1637" s="43">
        <f>IF($B1637="","",N($J1637)-N($R1637)-N($T1637))</f>
        <v/>
      </c>
      <c r="V1637" s="47" t="n"/>
    </row>
    <row r="1638">
      <c r="A1638" s="39">
        <f>IF($B1638="","",COUNTA($B$4:$B1638))</f>
        <v/>
      </c>
      <c r="B1638" s="40" t="n"/>
      <c r="C1638" s="41" t="n"/>
      <c r="D1638" s="41" t="n"/>
      <c r="E1638" s="41" t="n"/>
      <c r="F1638" s="41" t="n"/>
      <c r="G1638" s="41" t="n"/>
      <c r="H1638" s="41" t="n"/>
      <c r="I1638" s="50" t="n"/>
      <c r="J1638" s="42" t="n"/>
      <c r="K1638" s="42" t="n"/>
      <c r="L1638" s="43">
        <f>IF($B1638="","",ROUND((N($J1638)+N($K1638))*نسبة_القيمة_المضافة,2))</f>
        <v/>
      </c>
      <c r="M1638" s="42" t="n"/>
      <c r="N1638" s="42" t="n"/>
      <c r="O1638" s="43">
        <f>IF($B1638="","",N($J1638)+N($K1638)+N($L1638)-N($M1638)+N($N1638))</f>
        <v/>
      </c>
      <c r="P1638" s="42" t="n"/>
      <c r="Q1638" s="43">
        <f>IF($B1638="","",N($O1638)-N($P1638))</f>
        <v/>
      </c>
      <c r="R1638" s="42" t="n"/>
      <c r="S1638" s="42" t="n"/>
      <c r="T1638" s="42" t="n"/>
      <c r="U1638" s="43">
        <f>IF($B1638="","",N($J1638)-N($R1638)-N($T1638))</f>
        <v/>
      </c>
      <c r="V1638" s="42" t="n"/>
    </row>
    <row r="1639">
      <c r="A1639" s="39">
        <f>IF($B1639="","",COUNTA($B$4:$B1639))</f>
        <v/>
      </c>
      <c r="B1639" s="45" t="n"/>
      <c r="C1639" s="46" t="n"/>
      <c r="D1639" s="46" t="n"/>
      <c r="E1639" s="46" t="n"/>
      <c r="F1639" s="46" t="n"/>
      <c r="G1639" s="46" t="n"/>
      <c r="H1639" s="46" t="n"/>
      <c r="I1639" s="51" t="n"/>
      <c r="J1639" s="47" t="n"/>
      <c r="K1639" s="47" t="n"/>
      <c r="L1639" s="43">
        <f>IF($B1639="","",ROUND((N($J1639)+N($K1639))*نسبة_القيمة_المضافة,2))</f>
        <v/>
      </c>
      <c r="M1639" s="47" t="n"/>
      <c r="N1639" s="47" t="n"/>
      <c r="O1639" s="43">
        <f>IF($B1639="","",N($J1639)+N($K1639)+N($L1639)-N($M1639)+N($N1639))</f>
        <v/>
      </c>
      <c r="P1639" s="47" t="n"/>
      <c r="Q1639" s="43">
        <f>IF($B1639="","",N($O1639)-N($P1639))</f>
        <v/>
      </c>
      <c r="R1639" s="47" t="n"/>
      <c r="S1639" s="47" t="n"/>
      <c r="T1639" s="47" t="n"/>
      <c r="U1639" s="43">
        <f>IF($B1639="","",N($J1639)-N($R1639)-N($T1639))</f>
        <v/>
      </c>
      <c r="V1639" s="47" t="n"/>
    </row>
    <row r="1640">
      <c r="A1640" s="39">
        <f>IF($B1640="","",COUNTA($B$4:$B1640))</f>
        <v/>
      </c>
      <c r="B1640" s="40" t="n"/>
      <c r="C1640" s="41" t="n"/>
      <c r="D1640" s="41" t="n"/>
      <c r="E1640" s="41" t="n"/>
      <c r="F1640" s="41" t="n"/>
      <c r="G1640" s="41" t="n"/>
      <c r="H1640" s="41" t="n"/>
      <c r="I1640" s="50" t="n"/>
      <c r="J1640" s="42" t="n"/>
      <c r="K1640" s="42" t="n"/>
      <c r="L1640" s="43">
        <f>IF($B1640="","",ROUND((N($J1640)+N($K1640))*نسبة_القيمة_المضافة,2))</f>
        <v/>
      </c>
      <c r="M1640" s="42" t="n"/>
      <c r="N1640" s="42" t="n"/>
      <c r="O1640" s="43">
        <f>IF($B1640="","",N($J1640)+N($K1640)+N($L1640)-N($M1640)+N($N1640))</f>
        <v/>
      </c>
      <c r="P1640" s="42" t="n"/>
      <c r="Q1640" s="43">
        <f>IF($B1640="","",N($O1640)-N($P1640))</f>
        <v/>
      </c>
      <c r="R1640" s="42" t="n"/>
      <c r="S1640" s="42" t="n"/>
      <c r="T1640" s="42" t="n"/>
      <c r="U1640" s="43">
        <f>IF($B1640="","",N($J1640)-N($R1640)-N($T1640))</f>
        <v/>
      </c>
      <c r="V1640" s="42" t="n"/>
    </row>
    <row r="1641">
      <c r="A1641" s="39">
        <f>IF($B1641="","",COUNTA($B$4:$B1641))</f>
        <v/>
      </c>
      <c r="B1641" s="45" t="n"/>
      <c r="C1641" s="46" t="n"/>
      <c r="D1641" s="46" t="n"/>
      <c r="E1641" s="46" t="n"/>
      <c r="F1641" s="46" t="n"/>
      <c r="G1641" s="46" t="n"/>
      <c r="H1641" s="46" t="n"/>
      <c r="I1641" s="51" t="n"/>
      <c r="J1641" s="47" t="n"/>
      <c r="K1641" s="47" t="n"/>
      <c r="L1641" s="43">
        <f>IF($B1641="","",ROUND((N($J1641)+N($K1641))*نسبة_القيمة_المضافة,2))</f>
        <v/>
      </c>
      <c r="M1641" s="47" t="n"/>
      <c r="N1641" s="47" t="n"/>
      <c r="O1641" s="43">
        <f>IF($B1641="","",N($J1641)+N($K1641)+N($L1641)-N($M1641)+N($N1641))</f>
        <v/>
      </c>
      <c r="P1641" s="47" t="n"/>
      <c r="Q1641" s="43">
        <f>IF($B1641="","",N($O1641)-N($P1641))</f>
        <v/>
      </c>
      <c r="R1641" s="47" t="n"/>
      <c r="S1641" s="47" t="n"/>
      <c r="T1641" s="47" t="n"/>
      <c r="U1641" s="43">
        <f>IF($B1641="","",N($J1641)-N($R1641)-N($T1641))</f>
        <v/>
      </c>
      <c r="V1641" s="47" t="n"/>
    </row>
    <row r="1642">
      <c r="A1642" s="39">
        <f>IF($B1642="","",COUNTA($B$4:$B1642))</f>
        <v/>
      </c>
      <c r="B1642" s="40" t="n"/>
      <c r="C1642" s="41" t="n"/>
      <c r="D1642" s="41" t="n"/>
      <c r="E1642" s="41" t="n"/>
      <c r="F1642" s="41" t="n"/>
      <c r="G1642" s="41" t="n"/>
      <c r="H1642" s="41" t="n"/>
      <c r="I1642" s="50" t="n"/>
      <c r="J1642" s="42" t="n"/>
      <c r="K1642" s="42" t="n"/>
      <c r="L1642" s="43">
        <f>IF($B1642="","",ROUND((N($J1642)+N($K1642))*نسبة_القيمة_المضافة,2))</f>
        <v/>
      </c>
      <c r="M1642" s="42" t="n"/>
      <c r="N1642" s="42" t="n"/>
      <c r="O1642" s="43">
        <f>IF($B1642="","",N($J1642)+N($K1642)+N($L1642)-N($M1642)+N($N1642))</f>
        <v/>
      </c>
      <c r="P1642" s="42" t="n"/>
      <c r="Q1642" s="43">
        <f>IF($B1642="","",N($O1642)-N($P1642))</f>
        <v/>
      </c>
      <c r="R1642" s="42" t="n"/>
      <c r="S1642" s="42" t="n"/>
      <c r="T1642" s="42" t="n"/>
      <c r="U1642" s="43">
        <f>IF($B1642="","",N($J1642)-N($R1642)-N($T1642))</f>
        <v/>
      </c>
      <c r="V1642" s="42" t="n"/>
    </row>
    <row r="1643">
      <c r="A1643" s="39">
        <f>IF($B1643="","",COUNTA($B$4:$B1643))</f>
        <v/>
      </c>
      <c r="B1643" s="45" t="n"/>
      <c r="C1643" s="46" t="n"/>
      <c r="D1643" s="46" t="n"/>
      <c r="E1643" s="46" t="n"/>
      <c r="F1643" s="46" t="n"/>
      <c r="G1643" s="46" t="n"/>
      <c r="H1643" s="46" t="n"/>
      <c r="I1643" s="51" t="n"/>
      <c r="J1643" s="47" t="n"/>
      <c r="K1643" s="47" t="n"/>
      <c r="L1643" s="43">
        <f>IF($B1643="","",ROUND((N($J1643)+N($K1643))*نسبة_القيمة_المضافة,2))</f>
        <v/>
      </c>
      <c r="M1643" s="47" t="n"/>
      <c r="N1643" s="47" t="n"/>
      <c r="O1643" s="43">
        <f>IF($B1643="","",N($J1643)+N($K1643)+N($L1643)-N($M1643)+N($N1643))</f>
        <v/>
      </c>
      <c r="P1643" s="47" t="n"/>
      <c r="Q1643" s="43">
        <f>IF($B1643="","",N($O1643)-N($P1643))</f>
        <v/>
      </c>
      <c r="R1643" s="47" t="n"/>
      <c r="S1643" s="47" t="n"/>
      <c r="T1643" s="47" t="n"/>
      <c r="U1643" s="43">
        <f>IF($B1643="","",N($J1643)-N($R1643)-N($T1643))</f>
        <v/>
      </c>
      <c r="V1643" s="47" t="n"/>
    </row>
    <row r="1644">
      <c r="A1644" s="39">
        <f>IF($B1644="","",COUNTA($B$4:$B1644))</f>
        <v/>
      </c>
      <c r="B1644" s="40" t="n"/>
      <c r="C1644" s="41" t="n"/>
      <c r="D1644" s="41" t="n"/>
      <c r="E1644" s="41" t="n"/>
      <c r="F1644" s="41" t="n"/>
      <c r="G1644" s="41" t="n"/>
      <c r="H1644" s="41" t="n"/>
      <c r="I1644" s="50" t="n"/>
      <c r="J1644" s="42" t="n"/>
      <c r="K1644" s="42" t="n"/>
      <c r="L1644" s="43">
        <f>IF($B1644="","",ROUND((N($J1644)+N($K1644))*نسبة_القيمة_المضافة,2))</f>
        <v/>
      </c>
      <c r="M1644" s="42" t="n"/>
      <c r="N1644" s="42" t="n"/>
      <c r="O1644" s="43">
        <f>IF($B1644="","",N($J1644)+N($K1644)+N($L1644)-N($M1644)+N($N1644))</f>
        <v/>
      </c>
      <c r="P1644" s="42" t="n"/>
      <c r="Q1644" s="43">
        <f>IF($B1644="","",N($O1644)-N($P1644))</f>
        <v/>
      </c>
      <c r="R1644" s="42" t="n"/>
      <c r="S1644" s="42" t="n"/>
      <c r="T1644" s="42" t="n"/>
      <c r="U1644" s="43">
        <f>IF($B1644="","",N($J1644)-N($R1644)-N($T1644))</f>
        <v/>
      </c>
      <c r="V1644" s="42" t="n"/>
    </row>
    <row r="1645">
      <c r="A1645" s="39">
        <f>IF($B1645="","",COUNTA($B$4:$B1645))</f>
        <v/>
      </c>
      <c r="B1645" s="45" t="n"/>
      <c r="C1645" s="46" t="n"/>
      <c r="D1645" s="46" t="n"/>
      <c r="E1645" s="46" t="n"/>
      <c r="F1645" s="46" t="n"/>
      <c r="G1645" s="46" t="n"/>
      <c r="H1645" s="46" t="n"/>
      <c r="I1645" s="51" t="n"/>
      <c r="J1645" s="47" t="n"/>
      <c r="K1645" s="47" t="n"/>
      <c r="L1645" s="43">
        <f>IF($B1645="","",ROUND((N($J1645)+N($K1645))*نسبة_القيمة_المضافة,2))</f>
        <v/>
      </c>
      <c r="M1645" s="47" t="n"/>
      <c r="N1645" s="47" t="n"/>
      <c r="O1645" s="43">
        <f>IF($B1645="","",N($J1645)+N($K1645)+N($L1645)-N($M1645)+N($N1645))</f>
        <v/>
      </c>
      <c r="P1645" s="47" t="n"/>
      <c r="Q1645" s="43">
        <f>IF($B1645="","",N($O1645)-N($P1645))</f>
        <v/>
      </c>
      <c r="R1645" s="47" t="n"/>
      <c r="S1645" s="47" t="n"/>
      <c r="T1645" s="47" t="n"/>
      <c r="U1645" s="43">
        <f>IF($B1645="","",N($J1645)-N($R1645)-N($T1645))</f>
        <v/>
      </c>
      <c r="V1645" s="47" t="n"/>
    </row>
    <row r="1646">
      <c r="A1646" s="39">
        <f>IF($B1646="","",COUNTA($B$4:$B1646))</f>
        <v/>
      </c>
      <c r="B1646" s="40" t="n"/>
      <c r="C1646" s="41" t="n"/>
      <c r="D1646" s="41" t="n"/>
      <c r="E1646" s="41" t="n"/>
      <c r="F1646" s="41" t="n"/>
      <c r="G1646" s="41" t="n"/>
      <c r="H1646" s="41" t="n"/>
      <c r="I1646" s="50" t="n"/>
      <c r="J1646" s="42" t="n"/>
      <c r="K1646" s="42" t="n"/>
      <c r="L1646" s="43">
        <f>IF($B1646="","",ROUND((N($J1646)+N($K1646))*نسبة_القيمة_المضافة,2))</f>
        <v/>
      </c>
      <c r="M1646" s="42" t="n"/>
      <c r="N1646" s="42" t="n"/>
      <c r="O1646" s="43">
        <f>IF($B1646="","",N($J1646)+N($K1646)+N($L1646)-N($M1646)+N($N1646))</f>
        <v/>
      </c>
      <c r="P1646" s="42" t="n"/>
      <c r="Q1646" s="43">
        <f>IF($B1646="","",N($O1646)-N($P1646))</f>
        <v/>
      </c>
      <c r="R1646" s="42" t="n"/>
      <c r="S1646" s="42" t="n"/>
      <c r="T1646" s="42" t="n"/>
      <c r="U1646" s="43">
        <f>IF($B1646="","",N($J1646)-N($R1646)-N($T1646))</f>
        <v/>
      </c>
      <c r="V1646" s="42" t="n"/>
    </row>
    <row r="1647">
      <c r="A1647" s="39">
        <f>IF($B1647="","",COUNTA($B$4:$B1647))</f>
        <v/>
      </c>
      <c r="B1647" s="45" t="n"/>
      <c r="C1647" s="46" t="n"/>
      <c r="D1647" s="46" t="n"/>
      <c r="E1647" s="46" t="n"/>
      <c r="F1647" s="46" t="n"/>
      <c r="G1647" s="46" t="n"/>
      <c r="H1647" s="46" t="n"/>
      <c r="I1647" s="51" t="n"/>
      <c r="J1647" s="47" t="n"/>
      <c r="K1647" s="47" t="n"/>
      <c r="L1647" s="43">
        <f>IF($B1647="","",ROUND((N($J1647)+N($K1647))*نسبة_القيمة_المضافة,2))</f>
        <v/>
      </c>
      <c r="M1647" s="47" t="n"/>
      <c r="N1647" s="47" t="n"/>
      <c r="O1647" s="43">
        <f>IF($B1647="","",N($J1647)+N($K1647)+N($L1647)-N($M1647)+N($N1647))</f>
        <v/>
      </c>
      <c r="P1647" s="47" t="n"/>
      <c r="Q1647" s="43">
        <f>IF($B1647="","",N($O1647)-N($P1647))</f>
        <v/>
      </c>
      <c r="R1647" s="47" t="n"/>
      <c r="S1647" s="47" t="n"/>
      <c r="T1647" s="47" t="n"/>
      <c r="U1647" s="43">
        <f>IF($B1647="","",N($J1647)-N($R1647)-N($T1647))</f>
        <v/>
      </c>
      <c r="V1647" s="47" t="n"/>
    </row>
    <row r="1648">
      <c r="A1648" s="39">
        <f>IF($B1648="","",COUNTA($B$4:$B1648))</f>
        <v/>
      </c>
      <c r="B1648" s="40" t="n"/>
      <c r="C1648" s="41" t="n"/>
      <c r="D1648" s="41" t="n"/>
      <c r="E1648" s="41" t="n"/>
      <c r="F1648" s="41" t="n"/>
      <c r="G1648" s="41" t="n"/>
      <c r="H1648" s="41" t="n"/>
      <c r="I1648" s="50" t="n"/>
      <c r="J1648" s="42" t="n"/>
      <c r="K1648" s="42" t="n"/>
      <c r="L1648" s="43">
        <f>IF($B1648="","",ROUND((N($J1648)+N($K1648))*نسبة_القيمة_المضافة,2))</f>
        <v/>
      </c>
      <c r="M1648" s="42" t="n"/>
      <c r="N1648" s="42" t="n"/>
      <c r="O1648" s="43">
        <f>IF($B1648="","",N($J1648)+N($K1648)+N($L1648)-N($M1648)+N($N1648))</f>
        <v/>
      </c>
      <c r="P1648" s="42" t="n"/>
      <c r="Q1648" s="43">
        <f>IF($B1648="","",N($O1648)-N($P1648))</f>
        <v/>
      </c>
      <c r="R1648" s="42" t="n"/>
      <c r="S1648" s="42" t="n"/>
      <c r="T1648" s="42" t="n"/>
      <c r="U1648" s="43">
        <f>IF($B1648="","",N($J1648)-N($R1648)-N($T1648))</f>
        <v/>
      </c>
      <c r="V1648" s="42" t="n"/>
    </row>
    <row r="1649">
      <c r="A1649" s="39">
        <f>IF($B1649="","",COUNTA($B$4:$B1649))</f>
        <v/>
      </c>
      <c r="B1649" s="45" t="n"/>
      <c r="C1649" s="46" t="n"/>
      <c r="D1649" s="46" t="n"/>
      <c r="E1649" s="46" t="n"/>
      <c r="F1649" s="46" t="n"/>
      <c r="G1649" s="46" t="n"/>
      <c r="H1649" s="46" t="n"/>
      <c r="I1649" s="51" t="n"/>
      <c r="J1649" s="47" t="n"/>
      <c r="K1649" s="47" t="n"/>
      <c r="L1649" s="43">
        <f>IF($B1649="","",ROUND((N($J1649)+N($K1649))*نسبة_القيمة_المضافة,2))</f>
        <v/>
      </c>
      <c r="M1649" s="47" t="n"/>
      <c r="N1649" s="47" t="n"/>
      <c r="O1649" s="43">
        <f>IF($B1649="","",N($J1649)+N($K1649)+N($L1649)-N($M1649)+N($N1649))</f>
        <v/>
      </c>
      <c r="P1649" s="47" t="n"/>
      <c r="Q1649" s="43">
        <f>IF($B1649="","",N($O1649)-N($P1649))</f>
        <v/>
      </c>
      <c r="R1649" s="47" t="n"/>
      <c r="S1649" s="47" t="n"/>
      <c r="T1649" s="47" t="n"/>
      <c r="U1649" s="43">
        <f>IF($B1649="","",N($J1649)-N($R1649)-N($T1649))</f>
        <v/>
      </c>
      <c r="V1649" s="47" t="n"/>
    </row>
    <row r="1650">
      <c r="A1650" s="39">
        <f>IF($B1650="","",COUNTA($B$4:$B1650))</f>
        <v/>
      </c>
      <c r="B1650" s="40" t="n"/>
      <c r="C1650" s="41" t="n"/>
      <c r="D1650" s="41" t="n"/>
      <c r="E1650" s="41" t="n"/>
      <c r="F1650" s="41" t="n"/>
      <c r="G1650" s="41" t="n"/>
      <c r="H1650" s="41" t="n"/>
      <c r="I1650" s="50" t="n"/>
      <c r="J1650" s="42" t="n"/>
      <c r="K1650" s="42" t="n"/>
      <c r="L1650" s="43">
        <f>IF($B1650="","",ROUND((N($J1650)+N($K1650))*نسبة_القيمة_المضافة,2))</f>
        <v/>
      </c>
      <c r="M1650" s="42" t="n"/>
      <c r="N1650" s="42" t="n"/>
      <c r="O1650" s="43">
        <f>IF($B1650="","",N($J1650)+N($K1650)+N($L1650)-N($M1650)+N($N1650))</f>
        <v/>
      </c>
      <c r="P1650" s="42" t="n"/>
      <c r="Q1650" s="43">
        <f>IF($B1650="","",N($O1650)-N($P1650))</f>
        <v/>
      </c>
      <c r="R1650" s="42" t="n"/>
      <c r="S1650" s="42" t="n"/>
      <c r="T1650" s="42" t="n"/>
      <c r="U1650" s="43">
        <f>IF($B1650="","",N($J1650)-N($R1650)-N($T1650))</f>
        <v/>
      </c>
      <c r="V1650" s="42" t="n"/>
    </row>
    <row r="1651">
      <c r="A1651" s="39">
        <f>IF($B1651="","",COUNTA($B$4:$B1651))</f>
        <v/>
      </c>
      <c r="B1651" s="45" t="n"/>
      <c r="C1651" s="46" t="n"/>
      <c r="D1651" s="46" t="n"/>
      <c r="E1651" s="46" t="n"/>
      <c r="F1651" s="46" t="n"/>
      <c r="G1651" s="46" t="n"/>
      <c r="H1651" s="46" t="n"/>
      <c r="I1651" s="51" t="n"/>
      <c r="J1651" s="47" t="n"/>
      <c r="K1651" s="47" t="n"/>
      <c r="L1651" s="43">
        <f>IF($B1651="","",ROUND((N($J1651)+N($K1651))*نسبة_القيمة_المضافة,2))</f>
        <v/>
      </c>
      <c r="M1651" s="47" t="n"/>
      <c r="N1651" s="47" t="n"/>
      <c r="O1651" s="43">
        <f>IF($B1651="","",N($J1651)+N($K1651)+N($L1651)-N($M1651)+N($N1651))</f>
        <v/>
      </c>
      <c r="P1651" s="47" t="n"/>
      <c r="Q1651" s="43">
        <f>IF($B1651="","",N($O1651)-N($P1651))</f>
        <v/>
      </c>
      <c r="R1651" s="47" t="n"/>
      <c r="S1651" s="47" t="n"/>
      <c r="T1651" s="47" t="n"/>
      <c r="U1651" s="43">
        <f>IF($B1651="","",N($J1651)-N($R1651)-N($T1651))</f>
        <v/>
      </c>
      <c r="V1651" s="47" t="n"/>
    </row>
    <row r="1652">
      <c r="A1652" s="39">
        <f>IF($B1652="","",COUNTA($B$4:$B1652))</f>
        <v/>
      </c>
      <c r="B1652" s="40" t="n"/>
      <c r="C1652" s="41" t="n"/>
      <c r="D1652" s="41" t="n"/>
      <c r="E1652" s="41" t="n"/>
      <c r="F1652" s="41" t="n"/>
      <c r="G1652" s="41" t="n"/>
      <c r="H1652" s="41" t="n"/>
      <c r="I1652" s="50" t="n"/>
      <c r="J1652" s="42" t="n"/>
      <c r="K1652" s="42" t="n"/>
      <c r="L1652" s="43">
        <f>IF($B1652="","",ROUND((N($J1652)+N($K1652))*نسبة_القيمة_المضافة,2))</f>
        <v/>
      </c>
      <c r="M1652" s="42" t="n"/>
      <c r="N1652" s="42" t="n"/>
      <c r="O1652" s="43">
        <f>IF($B1652="","",N($J1652)+N($K1652)+N($L1652)-N($M1652)+N($N1652))</f>
        <v/>
      </c>
      <c r="P1652" s="42" t="n"/>
      <c r="Q1652" s="43">
        <f>IF($B1652="","",N($O1652)-N($P1652))</f>
        <v/>
      </c>
      <c r="R1652" s="42" t="n"/>
      <c r="S1652" s="42" t="n"/>
      <c r="T1652" s="42" t="n"/>
      <c r="U1652" s="43">
        <f>IF($B1652="","",N($J1652)-N($R1652)-N($T1652))</f>
        <v/>
      </c>
      <c r="V1652" s="42" t="n"/>
    </row>
    <row r="1653">
      <c r="A1653" s="39">
        <f>IF($B1653="","",COUNTA($B$4:$B1653))</f>
        <v/>
      </c>
      <c r="B1653" s="45" t="n"/>
      <c r="C1653" s="46" t="n"/>
      <c r="D1653" s="46" t="n"/>
      <c r="E1653" s="46" t="n"/>
      <c r="F1653" s="46" t="n"/>
      <c r="G1653" s="46" t="n"/>
      <c r="H1653" s="46" t="n"/>
      <c r="I1653" s="51" t="n"/>
      <c r="J1653" s="47" t="n"/>
      <c r="K1653" s="47" t="n"/>
      <c r="L1653" s="43">
        <f>IF($B1653="","",ROUND((N($J1653)+N($K1653))*نسبة_القيمة_المضافة,2))</f>
        <v/>
      </c>
      <c r="M1653" s="47" t="n"/>
      <c r="N1653" s="47" t="n"/>
      <c r="O1653" s="43">
        <f>IF($B1653="","",N($J1653)+N($K1653)+N($L1653)-N($M1653)+N($N1653))</f>
        <v/>
      </c>
      <c r="P1653" s="47" t="n"/>
      <c r="Q1653" s="43">
        <f>IF($B1653="","",N($O1653)-N($P1653))</f>
        <v/>
      </c>
      <c r="R1653" s="47" t="n"/>
      <c r="S1653" s="47" t="n"/>
      <c r="T1653" s="47" t="n"/>
      <c r="U1653" s="43">
        <f>IF($B1653="","",N($J1653)-N($R1653)-N($T1653))</f>
        <v/>
      </c>
      <c r="V1653" s="47" t="n"/>
    </row>
    <row r="1654">
      <c r="A1654" s="39">
        <f>IF($B1654="","",COUNTA($B$4:$B1654))</f>
        <v/>
      </c>
      <c r="B1654" s="40" t="n"/>
      <c r="C1654" s="41" t="n"/>
      <c r="D1654" s="41" t="n"/>
      <c r="E1654" s="41" t="n"/>
      <c r="F1654" s="41" t="n"/>
      <c r="G1654" s="41" t="n"/>
      <c r="H1654" s="41" t="n"/>
      <c r="I1654" s="50" t="n"/>
      <c r="J1654" s="42" t="n"/>
      <c r="K1654" s="42" t="n"/>
      <c r="L1654" s="43">
        <f>IF($B1654="","",ROUND((N($J1654)+N($K1654))*نسبة_القيمة_المضافة,2))</f>
        <v/>
      </c>
      <c r="M1654" s="42" t="n"/>
      <c r="N1654" s="42" t="n"/>
      <c r="O1654" s="43">
        <f>IF($B1654="","",N($J1654)+N($K1654)+N($L1654)-N($M1654)+N($N1654))</f>
        <v/>
      </c>
      <c r="P1654" s="42" t="n"/>
      <c r="Q1654" s="43">
        <f>IF($B1654="","",N($O1654)-N($P1654))</f>
        <v/>
      </c>
      <c r="R1654" s="42" t="n"/>
      <c r="S1654" s="42" t="n"/>
      <c r="T1654" s="42" t="n"/>
      <c r="U1654" s="43">
        <f>IF($B1654="","",N($J1654)-N($R1654)-N($T1654))</f>
        <v/>
      </c>
      <c r="V1654" s="42" t="n"/>
    </row>
    <row r="1655">
      <c r="A1655" s="39">
        <f>IF($B1655="","",COUNTA($B$4:$B1655))</f>
        <v/>
      </c>
      <c r="B1655" s="45" t="n"/>
      <c r="C1655" s="46" t="n"/>
      <c r="D1655" s="46" t="n"/>
      <c r="E1655" s="46" t="n"/>
      <c r="F1655" s="46" t="n"/>
      <c r="G1655" s="46" t="n"/>
      <c r="H1655" s="46" t="n"/>
      <c r="I1655" s="51" t="n"/>
      <c r="J1655" s="47" t="n"/>
      <c r="K1655" s="47" t="n"/>
      <c r="L1655" s="43">
        <f>IF($B1655="","",ROUND((N($J1655)+N($K1655))*نسبة_القيمة_المضافة,2))</f>
        <v/>
      </c>
      <c r="M1655" s="47" t="n"/>
      <c r="N1655" s="47" t="n"/>
      <c r="O1655" s="43">
        <f>IF($B1655="","",N($J1655)+N($K1655)+N($L1655)-N($M1655)+N($N1655))</f>
        <v/>
      </c>
      <c r="P1655" s="47" t="n"/>
      <c r="Q1655" s="43">
        <f>IF($B1655="","",N($O1655)-N($P1655))</f>
        <v/>
      </c>
      <c r="R1655" s="47" t="n"/>
      <c r="S1655" s="47" t="n"/>
      <c r="T1655" s="47" t="n"/>
      <c r="U1655" s="43">
        <f>IF($B1655="","",N($J1655)-N($R1655)-N($T1655))</f>
        <v/>
      </c>
      <c r="V1655" s="47" t="n"/>
    </row>
    <row r="1656">
      <c r="A1656" s="39">
        <f>IF($B1656="","",COUNTA($B$4:$B1656))</f>
        <v/>
      </c>
      <c r="B1656" s="40" t="n"/>
      <c r="C1656" s="41" t="n"/>
      <c r="D1656" s="41" t="n"/>
      <c r="E1656" s="41" t="n"/>
      <c r="F1656" s="41" t="n"/>
      <c r="G1656" s="41" t="n"/>
      <c r="H1656" s="41" t="n"/>
      <c r="I1656" s="50" t="n"/>
      <c r="J1656" s="42" t="n"/>
      <c r="K1656" s="42" t="n"/>
      <c r="L1656" s="43">
        <f>IF($B1656="","",ROUND((N($J1656)+N($K1656))*نسبة_القيمة_المضافة,2))</f>
        <v/>
      </c>
      <c r="M1656" s="42" t="n"/>
      <c r="N1656" s="42" t="n"/>
      <c r="O1656" s="43">
        <f>IF($B1656="","",N($J1656)+N($K1656)+N($L1656)-N($M1656)+N($N1656))</f>
        <v/>
      </c>
      <c r="P1656" s="42" t="n"/>
      <c r="Q1656" s="43">
        <f>IF($B1656="","",N($O1656)-N($P1656))</f>
        <v/>
      </c>
      <c r="R1656" s="42" t="n"/>
      <c r="S1656" s="42" t="n"/>
      <c r="T1656" s="42" t="n"/>
      <c r="U1656" s="43">
        <f>IF($B1656="","",N($J1656)-N($R1656)-N($T1656))</f>
        <v/>
      </c>
      <c r="V1656" s="42" t="n"/>
    </row>
    <row r="1657">
      <c r="A1657" s="39">
        <f>IF($B1657="","",COUNTA($B$4:$B1657))</f>
        <v/>
      </c>
      <c r="B1657" s="45" t="n"/>
      <c r="C1657" s="46" t="n"/>
      <c r="D1657" s="46" t="n"/>
      <c r="E1657" s="46" t="n"/>
      <c r="F1657" s="46" t="n"/>
      <c r="G1657" s="46" t="n"/>
      <c r="H1657" s="46" t="n"/>
      <c r="I1657" s="51" t="n"/>
      <c r="J1657" s="47" t="n"/>
      <c r="K1657" s="47" t="n"/>
      <c r="L1657" s="43">
        <f>IF($B1657="","",ROUND((N($J1657)+N($K1657))*نسبة_القيمة_المضافة,2))</f>
        <v/>
      </c>
      <c r="M1657" s="47" t="n"/>
      <c r="N1657" s="47" t="n"/>
      <c r="O1657" s="43">
        <f>IF($B1657="","",N($J1657)+N($K1657)+N($L1657)-N($M1657)+N($N1657))</f>
        <v/>
      </c>
      <c r="P1657" s="47" t="n"/>
      <c r="Q1657" s="43">
        <f>IF($B1657="","",N($O1657)-N($P1657))</f>
        <v/>
      </c>
      <c r="R1657" s="47" t="n"/>
      <c r="S1657" s="47" t="n"/>
      <c r="T1657" s="47" t="n"/>
      <c r="U1657" s="43">
        <f>IF($B1657="","",N($J1657)-N($R1657)-N($T1657))</f>
        <v/>
      </c>
      <c r="V1657" s="47" t="n"/>
    </row>
    <row r="1658">
      <c r="A1658" s="39">
        <f>IF($B1658="","",COUNTA($B$4:$B1658))</f>
        <v/>
      </c>
      <c r="B1658" s="40" t="n"/>
      <c r="C1658" s="41" t="n"/>
      <c r="D1658" s="41" t="n"/>
      <c r="E1658" s="41" t="n"/>
      <c r="F1658" s="41" t="n"/>
      <c r="G1658" s="41" t="n"/>
      <c r="H1658" s="41" t="n"/>
      <c r="I1658" s="50" t="n"/>
      <c r="J1658" s="42" t="n"/>
      <c r="K1658" s="42" t="n"/>
      <c r="L1658" s="43">
        <f>IF($B1658="","",ROUND((N($J1658)+N($K1658))*نسبة_القيمة_المضافة,2))</f>
        <v/>
      </c>
      <c r="M1658" s="42" t="n"/>
      <c r="N1658" s="42" t="n"/>
      <c r="O1658" s="43">
        <f>IF($B1658="","",N($J1658)+N($K1658)+N($L1658)-N($M1658)+N($N1658))</f>
        <v/>
      </c>
      <c r="P1658" s="42" t="n"/>
      <c r="Q1658" s="43">
        <f>IF($B1658="","",N($O1658)-N($P1658))</f>
        <v/>
      </c>
      <c r="R1658" s="42" t="n"/>
      <c r="S1658" s="42" t="n"/>
      <c r="T1658" s="42" t="n"/>
      <c r="U1658" s="43">
        <f>IF($B1658="","",N($J1658)-N($R1658)-N($T1658))</f>
        <v/>
      </c>
      <c r="V1658" s="42" t="n"/>
    </row>
    <row r="1659">
      <c r="A1659" s="39">
        <f>IF($B1659="","",COUNTA($B$4:$B1659))</f>
        <v/>
      </c>
      <c r="B1659" s="45" t="n"/>
      <c r="C1659" s="46" t="n"/>
      <c r="D1659" s="46" t="n"/>
      <c r="E1659" s="46" t="n"/>
      <c r="F1659" s="46" t="n"/>
      <c r="G1659" s="46" t="n"/>
      <c r="H1659" s="46" t="n"/>
      <c r="I1659" s="51" t="n"/>
      <c r="J1659" s="47" t="n"/>
      <c r="K1659" s="47" t="n"/>
      <c r="L1659" s="43">
        <f>IF($B1659="","",ROUND((N($J1659)+N($K1659))*نسبة_القيمة_المضافة,2))</f>
        <v/>
      </c>
      <c r="M1659" s="47" t="n"/>
      <c r="N1659" s="47" t="n"/>
      <c r="O1659" s="43">
        <f>IF($B1659="","",N($J1659)+N($K1659)+N($L1659)-N($M1659)+N($N1659))</f>
        <v/>
      </c>
      <c r="P1659" s="47" t="n"/>
      <c r="Q1659" s="43">
        <f>IF($B1659="","",N($O1659)-N($P1659))</f>
        <v/>
      </c>
      <c r="R1659" s="47" t="n"/>
      <c r="S1659" s="47" t="n"/>
      <c r="T1659" s="47" t="n"/>
      <c r="U1659" s="43">
        <f>IF($B1659="","",N($J1659)-N($R1659)-N($T1659))</f>
        <v/>
      </c>
      <c r="V1659" s="47" t="n"/>
    </row>
    <row r="1660">
      <c r="A1660" s="39">
        <f>IF($B1660="","",COUNTA($B$4:$B1660))</f>
        <v/>
      </c>
      <c r="B1660" s="40" t="n"/>
      <c r="C1660" s="41" t="n"/>
      <c r="D1660" s="41" t="n"/>
      <c r="E1660" s="41" t="n"/>
      <c r="F1660" s="41" t="n"/>
      <c r="G1660" s="41" t="n"/>
      <c r="H1660" s="41" t="n"/>
      <c r="I1660" s="50" t="n"/>
      <c r="J1660" s="42" t="n"/>
      <c r="K1660" s="42" t="n"/>
      <c r="L1660" s="43">
        <f>IF($B1660="","",ROUND((N($J1660)+N($K1660))*نسبة_القيمة_المضافة,2))</f>
        <v/>
      </c>
      <c r="M1660" s="42" t="n"/>
      <c r="N1660" s="42" t="n"/>
      <c r="O1660" s="43">
        <f>IF($B1660="","",N($J1660)+N($K1660)+N($L1660)-N($M1660)+N($N1660))</f>
        <v/>
      </c>
      <c r="P1660" s="42" t="n"/>
      <c r="Q1660" s="43">
        <f>IF($B1660="","",N($O1660)-N($P1660))</f>
        <v/>
      </c>
      <c r="R1660" s="42" t="n"/>
      <c r="S1660" s="42" t="n"/>
      <c r="T1660" s="42" t="n"/>
      <c r="U1660" s="43">
        <f>IF($B1660="","",N($J1660)-N($R1660)-N($T1660))</f>
        <v/>
      </c>
      <c r="V1660" s="42" t="n"/>
    </row>
    <row r="1661">
      <c r="A1661" s="39">
        <f>IF($B1661="","",COUNTA($B$4:$B1661))</f>
        <v/>
      </c>
      <c r="B1661" s="45" t="n"/>
      <c r="C1661" s="46" t="n"/>
      <c r="D1661" s="46" t="n"/>
      <c r="E1661" s="46" t="n"/>
      <c r="F1661" s="46" t="n"/>
      <c r="G1661" s="46" t="n"/>
      <c r="H1661" s="46" t="n"/>
      <c r="I1661" s="51" t="n"/>
      <c r="J1661" s="47" t="n"/>
      <c r="K1661" s="47" t="n"/>
      <c r="L1661" s="43">
        <f>IF($B1661="","",ROUND((N($J1661)+N($K1661))*نسبة_القيمة_المضافة,2))</f>
        <v/>
      </c>
      <c r="M1661" s="47" t="n"/>
      <c r="N1661" s="47" t="n"/>
      <c r="O1661" s="43">
        <f>IF($B1661="","",N($J1661)+N($K1661)+N($L1661)-N($M1661)+N($N1661))</f>
        <v/>
      </c>
      <c r="P1661" s="47" t="n"/>
      <c r="Q1661" s="43">
        <f>IF($B1661="","",N($O1661)-N($P1661))</f>
        <v/>
      </c>
      <c r="R1661" s="47" t="n"/>
      <c r="S1661" s="47" t="n"/>
      <c r="T1661" s="47" t="n"/>
      <c r="U1661" s="43">
        <f>IF($B1661="","",N($J1661)-N($R1661)-N($T1661))</f>
        <v/>
      </c>
      <c r="V1661" s="47" t="n"/>
    </row>
    <row r="1662">
      <c r="A1662" s="39">
        <f>IF($B1662="","",COUNTA($B$4:$B1662))</f>
        <v/>
      </c>
      <c r="B1662" s="40" t="n"/>
      <c r="C1662" s="41" t="n"/>
      <c r="D1662" s="41" t="n"/>
      <c r="E1662" s="41" t="n"/>
      <c r="F1662" s="41" t="n"/>
      <c r="G1662" s="41" t="n"/>
      <c r="H1662" s="41" t="n"/>
      <c r="I1662" s="50" t="n"/>
      <c r="J1662" s="42" t="n"/>
      <c r="K1662" s="42" t="n"/>
      <c r="L1662" s="43">
        <f>IF($B1662="","",ROUND((N($J1662)+N($K1662))*نسبة_القيمة_المضافة,2))</f>
        <v/>
      </c>
      <c r="M1662" s="42" t="n"/>
      <c r="N1662" s="42" t="n"/>
      <c r="O1662" s="43">
        <f>IF($B1662="","",N($J1662)+N($K1662)+N($L1662)-N($M1662)+N($N1662))</f>
        <v/>
      </c>
      <c r="P1662" s="42" t="n"/>
      <c r="Q1662" s="43">
        <f>IF($B1662="","",N($O1662)-N($P1662))</f>
        <v/>
      </c>
      <c r="R1662" s="42" t="n"/>
      <c r="S1662" s="42" t="n"/>
      <c r="T1662" s="42" t="n"/>
      <c r="U1662" s="43">
        <f>IF($B1662="","",N($J1662)-N($R1662)-N($T1662))</f>
        <v/>
      </c>
      <c r="V1662" s="42" t="n"/>
    </row>
    <row r="1663">
      <c r="A1663" s="39">
        <f>IF($B1663="","",COUNTA($B$4:$B1663))</f>
        <v/>
      </c>
      <c r="B1663" s="45" t="n"/>
      <c r="C1663" s="46" t="n"/>
      <c r="D1663" s="46" t="n"/>
      <c r="E1663" s="46" t="n"/>
      <c r="F1663" s="46" t="n"/>
      <c r="G1663" s="46" t="n"/>
      <c r="H1663" s="46" t="n"/>
      <c r="I1663" s="51" t="n"/>
      <c r="J1663" s="47" t="n"/>
      <c r="K1663" s="47" t="n"/>
      <c r="L1663" s="43">
        <f>IF($B1663="","",ROUND((N($J1663)+N($K1663))*نسبة_القيمة_المضافة,2))</f>
        <v/>
      </c>
      <c r="M1663" s="47" t="n"/>
      <c r="N1663" s="47" t="n"/>
      <c r="O1663" s="43">
        <f>IF($B1663="","",N($J1663)+N($K1663)+N($L1663)-N($M1663)+N($N1663))</f>
        <v/>
      </c>
      <c r="P1663" s="47" t="n"/>
      <c r="Q1663" s="43">
        <f>IF($B1663="","",N($O1663)-N($P1663))</f>
        <v/>
      </c>
      <c r="R1663" s="47" t="n"/>
      <c r="S1663" s="47" t="n"/>
      <c r="T1663" s="47" t="n"/>
      <c r="U1663" s="43">
        <f>IF($B1663="","",N($J1663)-N($R1663)-N($T1663))</f>
        <v/>
      </c>
      <c r="V1663" s="47" t="n"/>
    </row>
    <row r="1664">
      <c r="A1664" s="39">
        <f>IF($B1664="","",COUNTA($B$4:$B1664))</f>
        <v/>
      </c>
      <c r="B1664" s="40" t="n"/>
      <c r="C1664" s="41" t="n"/>
      <c r="D1664" s="41" t="n"/>
      <c r="E1664" s="41" t="n"/>
      <c r="F1664" s="41" t="n"/>
      <c r="G1664" s="41" t="n"/>
      <c r="H1664" s="41" t="n"/>
      <c r="I1664" s="50" t="n"/>
      <c r="J1664" s="42" t="n"/>
      <c r="K1664" s="42" t="n"/>
      <c r="L1664" s="43">
        <f>IF($B1664="","",ROUND((N($J1664)+N($K1664))*نسبة_القيمة_المضافة,2))</f>
        <v/>
      </c>
      <c r="M1664" s="42" t="n"/>
      <c r="N1664" s="42" t="n"/>
      <c r="O1664" s="43">
        <f>IF($B1664="","",N($J1664)+N($K1664)+N($L1664)-N($M1664)+N($N1664))</f>
        <v/>
      </c>
      <c r="P1664" s="42" t="n"/>
      <c r="Q1664" s="43">
        <f>IF($B1664="","",N($O1664)-N($P1664))</f>
        <v/>
      </c>
      <c r="R1664" s="42" t="n"/>
      <c r="S1664" s="42" t="n"/>
      <c r="T1664" s="42" t="n"/>
      <c r="U1664" s="43">
        <f>IF($B1664="","",N($J1664)-N($R1664)-N($T1664))</f>
        <v/>
      </c>
      <c r="V1664" s="42" t="n"/>
    </row>
    <row r="1665">
      <c r="A1665" s="39">
        <f>IF($B1665="","",COUNTA($B$4:$B1665))</f>
        <v/>
      </c>
      <c r="B1665" s="45" t="n"/>
      <c r="C1665" s="46" t="n"/>
      <c r="D1665" s="46" t="n"/>
      <c r="E1665" s="46" t="n"/>
      <c r="F1665" s="46" t="n"/>
      <c r="G1665" s="46" t="n"/>
      <c r="H1665" s="46" t="n"/>
      <c r="I1665" s="51" t="n"/>
      <c r="J1665" s="47" t="n"/>
      <c r="K1665" s="47" t="n"/>
      <c r="L1665" s="43">
        <f>IF($B1665="","",ROUND((N($J1665)+N($K1665))*نسبة_القيمة_المضافة,2))</f>
        <v/>
      </c>
      <c r="M1665" s="47" t="n"/>
      <c r="N1665" s="47" t="n"/>
      <c r="O1665" s="43">
        <f>IF($B1665="","",N($J1665)+N($K1665)+N($L1665)-N($M1665)+N($N1665))</f>
        <v/>
      </c>
      <c r="P1665" s="47" t="n"/>
      <c r="Q1665" s="43">
        <f>IF($B1665="","",N($O1665)-N($P1665))</f>
        <v/>
      </c>
      <c r="R1665" s="47" t="n"/>
      <c r="S1665" s="47" t="n"/>
      <c r="T1665" s="47" t="n"/>
      <c r="U1665" s="43">
        <f>IF($B1665="","",N($J1665)-N($R1665)-N($T1665))</f>
        <v/>
      </c>
      <c r="V1665" s="47" t="n"/>
    </row>
    <row r="1666">
      <c r="A1666" s="39">
        <f>IF($B1666="","",COUNTA($B$4:$B1666))</f>
        <v/>
      </c>
      <c r="B1666" s="40" t="n"/>
      <c r="C1666" s="41" t="n"/>
      <c r="D1666" s="41" t="n"/>
      <c r="E1666" s="41" t="n"/>
      <c r="F1666" s="41" t="n"/>
      <c r="G1666" s="41" t="n"/>
      <c r="H1666" s="41" t="n"/>
      <c r="I1666" s="50" t="n"/>
      <c r="J1666" s="42" t="n"/>
      <c r="K1666" s="42" t="n"/>
      <c r="L1666" s="43">
        <f>IF($B1666="","",ROUND((N($J1666)+N($K1666))*نسبة_القيمة_المضافة,2))</f>
        <v/>
      </c>
      <c r="M1666" s="42" t="n"/>
      <c r="N1666" s="42" t="n"/>
      <c r="O1666" s="43">
        <f>IF($B1666="","",N($J1666)+N($K1666)+N($L1666)-N($M1666)+N($N1666))</f>
        <v/>
      </c>
      <c r="P1666" s="42" t="n"/>
      <c r="Q1666" s="43">
        <f>IF($B1666="","",N($O1666)-N($P1666))</f>
        <v/>
      </c>
      <c r="R1666" s="42" t="n"/>
      <c r="S1666" s="42" t="n"/>
      <c r="T1666" s="42" t="n"/>
      <c r="U1666" s="43">
        <f>IF($B1666="","",N($J1666)-N($R1666)-N($T1666))</f>
        <v/>
      </c>
      <c r="V1666" s="42" t="n"/>
    </row>
    <row r="1667">
      <c r="A1667" s="39">
        <f>IF($B1667="","",COUNTA($B$4:$B1667))</f>
        <v/>
      </c>
      <c r="B1667" s="45" t="n"/>
      <c r="C1667" s="46" t="n"/>
      <c r="D1667" s="46" t="n"/>
      <c r="E1667" s="46" t="n"/>
      <c r="F1667" s="46" t="n"/>
      <c r="G1667" s="46" t="n"/>
      <c r="H1667" s="46" t="n"/>
      <c r="I1667" s="51" t="n"/>
      <c r="J1667" s="47" t="n"/>
      <c r="K1667" s="47" t="n"/>
      <c r="L1667" s="43">
        <f>IF($B1667="","",ROUND((N($J1667)+N($K1667))*نسبة_القيمة_المضافة,2))</f>
        <v/>
      </c>
      <c r="M1667" s="47" t="n"/>
      <c r="N1667" s="47" t="n"/>
      <c r="O1667" s="43">
        <f>IF($B1667="","",N($J1667)+N($K1667)+N($L1667)-N($M1667)+N($N1667))</f>
        <v/>
      </c>
      <c r="P1667" s="47" t="n"/>
      <c r="Q1667" s="43">
        <f>IF($B1667="","",N($O1667)-N($P1667))</f>
        <v/>
      </c>
      <c r="R1667" s="47" t="n"/>
      <c r="S1667" s="47" t="n"/>
      <c r="T1667" s="47" t="n"/>
      <c r="U1667" s="43">
        <f>IF($B1667="","",N($J1667)-N($R1667)-N($T1667))</f>
        <v/>
      </c>
      <c r="V1667" s="47" t="n"/>
    </row>
    <row r="1668">
      <c r="A1668" s="39">
        <f>IF($B1668="","",COUNTA($B$4:$B1668))</f>
        <v/>
      </c>
      <c r="B1668" s="40" t="n"/>
      <c r="C1668" s="41" t="n"/>
      <c r="D1668" s="41" t="n"/>
      <c r="E1668" s="41" t="n"/>
      <c r="F1668" s="41" t="n"/>
      <c r="G1668" s="41" t="n"/>
      <c r="H1668" s="41" t="n"/>
      <c r="I1668" s="50" t="n"/>
      <c r="J1668" s="42" t="n"/>
      <c r="K1668" s="42" t="n"/>
      <c r="L1668" s="43">
        <f>IF($B1668="","",ROUND((N($J1668)+N($K1668))*نسبة_القيمة_المضافة,2))</f>
        <v/>
      </c>
      <c r="M1668" s="42" t="n"/>
      <c r="N1668" s="42" t="n"/>
      <c r="O1668" s="43">
        <f>IF($B1668="","",N($J1668)+N($K1668)+N($L1668)-N($M1668)+N($N1668))</f>
        <v/>
      </c>
      <c r="P1668" s="42" t="n"/>
      <c r="Q1668" s="43">
        <f>IF($B1668="","",N($O1668)-N($P1668))</f>
        <v/>
      </c>
      <c r="R1668" s="42" t="n"/>
      <c r="S1668" s="42" t="n"/>
      <c r="T1668" s="42" t="n"/>
      <c r="U1668" s="43">
        <f>IF($B1668="","",N($J1668)-N($R1668)-N($T1668))</f>
        <v/>
      </c>
      <c r="V1668" s="42" t="n"/>
    </row>
    <row r="1669">
      <c r="A1669" s="39">
        <f>IF($B1669="","",COUNTA($B$4:$B1669))</f>
        <v/>
      </c>
      <c r="B1669" s="45" t="n"/>
      <c r="C1669" s="46" t="n"/>
      <c r="D1669" s="46" t="n"/>
      <c r="E1669" s="46" t="n"/>
      <c r="F1669" s="46" t="n"/>
      <c r="G1669" s="46" t="n"/>
      <c r="H1669" s="46" t="n"/>
      <c r="I1669" s="51" t="n"/>
      <c r="J1669" s="47" t="n"/>
      <c r="K1669" s="47" t="n"/>
      <c r="L1669" s="43">
        <f>IF($B1669="","",ROUND((N($J1669)+N($K1669))*نسبة_القيمة_المضافة,2))</f>
        <v/>
      </c>
      <c r="M1669" s="47" t="n"/>
      <c r="N1669" s="47" t="n"/>
      <c r="O1669" s="43">
        <f>IF($B1669="","",N($J1669)+N($K1669)+N($L1669)-N($M1669)+N($N1669))</f>
        <v/>
      </c>
      <c r="P1669" s="47" t="n"/>
      <c r="Q1669" s="43">
        <f>IF($B1669="","",N($O1669)-N($P1669))</f>
        <v/>
      </c>
      <c r="R1669" s="47" t="n"/>
      <c r="S1669" s="47" t="n"/>
      <c r="T1669" s="47" t="n"/>
      <c r="U1669" s="43">
        <f>IF($B1669="","",N($J1669)-N($R1669)-N($T1669))</f>
        <v/>
      </c>
      <c r="V1669" s="47" t="n"/>
    </row>
    <row r="1670">
      <c r="A1670" s="39">
        <f>IF($B1670="","",COUNTA($B$4:$B1670))</f>
        <v/>
      </c>
      <c r="B1670" s="40" t="n"/>
      <c r="C1670" s="41" t="n"/>
      <c r="D1670" s="41" t="n"/>
      <c r="E1670" s="41" t="n"/>
      <c r="F1670" s="41" t="n"/>
      <c r="G1670" s="41" t="n"/>
      <c r="H1670" s="41" t="n"/>
      <c r="I1670" s="50" t="n"/>
      <c r="J1670" s="42" t="n"/>
      <c r="K1670" s="42" t="n"/>
      <c r="L1670" s="43">
        <f>IF($B1670="","",ROUND((N($J1670)+N($K1670))*نسبة_القيمة_المضافة,2))</f>
        <v/>
      </c>
      <c r="M1670" s="42" t="n"/>
      <c r="N1670" s="42" t="n"/>
      <c r="O1670" s="43">
        <f>IF($B1670="","",N($J1670)+N($K1670)+N($L1670)-N($M1670)+N($N1670))</f>
        <v/>
      </c>
      <c r="P1670" s="42" t="n"/>
      <c r="Q1670" s="43">
        <f>IF($B1670="","",N($O1670)-N($P1670))</f>
        <v/>
      </c>
      <c r="R1670" s="42" t="n"/>
      <c r="S1670" s="42" t="n"/>
      <c r="T1670" s="42" t="n"/>
      <c r="U1670" s="43">
        <f>IF($B1670="","",N($J1670)-N($R1670)-N($T1670))</f>
        <v/>
      </c>
      <c r="V1670" s="42" t="n"/>
    </row>
    <row r="1671">
      <c r="A1671" s="39">
        <f>IF($B1671="","",COUNTA($B$4:$B1671))</f>
        <v/>
      </c>
      <c r="B1671" s="45" t="n"/>
      <c r="C1671" s="46" t="n"/>
      <c r="D1671" s="46" t="n"/>
      <c r="E1671" s="46" t="n"/>
      <c r="F1671" s="46" t="n"/>
      <c r="G1671" s="46" t="n"/>
      <c r="H1671" s="46" t="n"/>
      <c r="I1671" s="51" t="n"/>
      <c r="J1671" s="47" t="n"/>
      <c r="K1671" s="47" t="n"/>
      <c r="L1671" s="43">
        <f>IF($B1671="","",ROUND((N($J1671)+N($K1671))*نسبة_القيمة_المضافة,2))</f>
        <v/>
      </c>
      <c r="M1671" s="47" t="n"/>
      <c r="N1671" s="47" t="n"/>
      <c r="O1671" s="43">
        <f>IF($B1671="","",N($J1671)+N($K1671)+N($L1671)-N($M1671)+N($N1671))</f>
        <v/>
      </c>
      <c r="P1671" s="47" t="n"/>
      <c r="Q1671" s="43">
        <f>IF($B1671="","",N($O1671)-N($P1671))</f>
        <v/>
      </c>
      <c r="R1671" s="47" t="n"/>
      <c r="S1671" s="47" t="n"/>
      <c r="T1671" s="47" t="n"/>
      <c r="U1671" s="43">
        <f>IF($B1671="","",N($J1671)-N($R1671)-N($T1671))</f>
        <v/>
      </c>
      <c r="V1671" s="47" t="n"/>
    </row>
    <row r="1672">
      <c r="A1672" s="39">
        <f>IF($B1672="","",COUNTA($B$4:$B1672))</f>
        <v/>
      </c>
      <c r="B1672" s="40" t="n"/>
      <c r="C1672" s="41" t="n"/>
      <c r="D1672" s="41" t="n"/>
      <c r="E1672" s="41" t="n"/>
      <c r="F1672" s="41" t="n"/>
      <c r="G1672" s="41" t="n"/>
      <c r="H1672" s="41" t="n"/>
      <c r="I1672" s="50" t="n"/>
      <c r="J1672" s="42" t="n"/>
      <c r="K1672" s="42" t="n"/>
      <c r="L1672" s="43">
        <f>IF($B1672="","",ROUND((N($J1672)+N($K1672))*نسبة_القيمة_المضافة,2))</f>
        <v/>
      </c>
      <c r="M1672" s="42" t="n"/>
      <c r="N1672" s="42" t="n"/>
      <c r="O1672" s="43">
        <f>IF($B1672="","",N($J1672)+N($K1672)+N($L1672)-N($M1672)+N($N1672))</f>
        <v/>
      </c>
      <c r="P1672" s="42" t="n"/>
      <c r="Q1672" s="43">
        <f>IF($B1672="","",N($O1672)-N($P1672))</f>
        <v/>
      </c>
      <c r="R1672" s="42" t="n"/>
      <c r="S1672" s="42" t="n"/>
      <c r="T1672" s="42" t="n"/>
      <c r="U1672" s="43">
        <f>IF($B1672="","",N($J1672)-N($R1672)-N($T1672))</f>
        <v/>
      </c>
      <c r="V1672" s="42" t="n"/>
    </row>
    <row r="1673">
      <c r="A1673" s="39">
        <f>IF($B1673="","",COUNTA($B$4:$B1673))</f>
        <v/>
      </c>
      <c r="B1673" s="45" t="n"/>
      <c r="C1673" s="46" t="n"/>
      <c r="D1673" s="46" t="n"/>
      <c r="E1673" s="46" t="n"/>
      <c r="F1673" s="46" t="n"/>
      <c r="G1673" s="46" t="n"/>
      <c r="H1673" s="46" t="n"/>
      <c r="I1673" s="51" t="n"/>
      <c r="J1673" s="47" t="n"/>
      <c r="K1673" s="47" t="n"/>
      <c r="L1673" s="43">
        <f>IF($B1673="","",ROUND((N($J1673)+N($K1673))*نسبة_القيمة_المضافة,2))</f>
        <v/>
      </c>
      <c r="M1673" s="47" t="n"/>
      <c r="N1673" s="47" t="n"/>
      <c r="O1673" s="43">
        <f>IF($B1673="","",N($J1673)+N($K1673)+N($L1673)-N($M1673)+N($N1673))</f>
        <v/>
      </c>
      <c r="P1673" s="47" t="n"/>
      <c r="Q1673" s="43">
        <f>IF($B1673="","",N($O1673)-N($P1673))</f>
        <v/>
      </c>
      <c r="R1673" s="47" t="n"/>
      <c r="S1673" s="47" t="n"/>
      <c r="T1673" s="47" t="n"/>
      <c r="U1673" s="43">
        <f>IF($B1673="","",N($J1673)-N($R1673)-N($T1673))</f>
        <v/>
      </c>
      <c r="V1673" s="47" t="n"/>
    </row>
    <row r="1674">
      <c r="A1674" s="39">
        <f>IF($B1674="","",COUNTA($B$4:$B1674))</f>
        <v/>
      </c>
      <c r="B1674" s="40" t="n"/>
      <c r="C1674" s="41" t="n"/>
      <c r="D1674" s="41" t="n"/>
      <c r="E1674" s="41" t="n"/>
      <c r="F1674" s="41" t="n"/>
      <c r="G1674" s="41" t="n"/>
      <c r="H1674" s="41" t="n"/>
      <c r="I1674" s="50" t="n"/>
      <c r="J1674" s="42" t="n"/>
      <c r="K1674" s="42" t="n"/>
      <c r="L1674" s="43">
        <f>IF($B1674="","",ROUND((N($J1674)+N($K1674))*نسبة_القيمة_المضافة,2))</f>
        <v/>
      </c>
      <c r="M1674" s="42" t="n"/>
      <c r="N1674" s="42" t="n"/>
      <c r="O1674" s="43">
        <f>IF($B1674="","",N($J1674)+N($K1674)+N($L1674)-N($M1674)+N($N1674))</f>
        <v/>
      </c>
      <c r="P1674" s="42" t="n"/>
      <c r="Q1674" s="43">
        <f>IF($B1674="","",N($O1674)-N($P1674))</f>
        <v/>
      </c>
      <c r="R1674" s="42" t="n"/>
      <c r="S1674" s="42" t="n"/>
      <c r="T1674" s="42" t="n"/>
      <c r="U1674" s="43">
        <f>IF($B1674="","",N($J1674)-N($R1674)-N($T1674))</f>
        <v/>
      </c>
      <c r="V1674" s="42" t="n"/>
    </row>
    <row r="1675">
      <c r="A1675" s="39">
        <f>IF($B1675="","",COUNTA($B$4:$B1675))</f>
        <v/>
      </c>
      <c r="B1675" s="45" t="n"/>
      <c r="C1675" s="46" t="n"/>
      <c r="D1675" s="46" t="n"/>
      <c r="E1675" s="46" t="n"/>
      <c r="F1675" s="46" t="n"/>
      <c r="G1675" s="46" t="n"/>
      <c r="H1675" s="46" t="n"/>
      <c r="I1675" s="51" t="n"/>
      <c r="J1675" s="47" t="n"/>
      <c r="K1675" s="47" t="n"/>
      <c r="L1675" s="43">
        <f>IF($B1675="","",ROUND((N($J1675)+N($K1675))*نسبة_القيمة_المضافة,2))</f>
        <v/>
      </c>
      <c r="M1675" s="47" t="n"/>
      <c r="N1675" s="47" t="n"/>
      <c r="O1675" s="43">
        <f>IF($B1675="","",N($J1675)+N($K1675)+N($L1675)-N($M1675)+N($N1675))</f>
        <v/>
      </c>
      <c r="P1675" s="47" t="n"/>
      <c r="Q1675" s="43">
        <f>IF($B1675="","",N($O1675)-N($P1675))</f>
        <v/>
      </c>
      <c r="R1675" s="47" t="n"/>
      <c r="S1675" s="47" t="n"/>
      <c r="T1675" s="47" t="n"/>
      <c r="U1675" s="43">
        <f>IF($B1675="","",N($J1675)-N($R1675)-N($T1675))</f>
        <v/>
      </c>
      <c r="V1675" s="47" t="n"/>
    </row>
    <row r="1676">
      <c r="A1676" s="39">
        <f>IF($B1676="","",COUNTA($B$4:$B1676))</f>
        <v/>
      </c>
      <c r="B1676" s="40" t="n"/>
      <c r="C1676" s="41" t="n"/>
      <c r="D1676" s="41" t="n"/>
      <c r="E1676" s="41" t="n"/>
      <c r="F1676" s="41" t="n"/>
      <c r="G1676" s="41" t="n"/>
      <c r="H1676" s="41" t="n"/>
      <c r="I1676" s="50" t="n"/>
      <c r="J1676" s="42" t="n"/>
      <c r="K1676" s="42" t="n"/>
      <c r="L1676" s="43">
        <f>IF($B1676="","",ROUND((N($J1676)+N($K1676))*نسبة_القيمة_المضافة,2))</f>
        <v/>
      </c>
      <c r="M1676" s="42" t="n"/>
      <c r="N1676" s="42" t="n"/>
      <c r="O1676" s="43">
        <f>IF($B1676="","",N($J1676)+N($K1676)+N($L1676)-N($M1676)+N($N1676))</f>
        <v/>
      </c>
      <c r="P1676" s="42" t="n"/>
      <c r="Q1676" s="43">
        <f>IF($B1676="","",N($O1676)-N($P1676))</f>
        <v/>
      </c>
      <c r="R1676" s="42" t="n"/>
      <c r="S1676" s="42" t="n"/>
      <c r="T1676" s="42" t="n"/>
      <c r="U1676" s="43">
        <f>IF($B1676="","",N($J1676)-N($R1676)-N($T1676))</f>
        <v/>
      </c>
      <c r="V1676" s="42" t="n"/>
    </row>
    <row r="1677">
      <c r="A1677" s="39">
        <f>IF($B1677="","",COUNTA($B$4:$B1677))</f>
        <v/>
      </c>
      <c r="B1677" s="45" t="n"/>
      <c r="C1677" s="46" t="n"/>
      <c r="D1677" s="46" t="n"/>
      <c r="E1677" s="46" t="n"/>
      <c r="F1677" s="46" t="n"/>
      <c r="G1677" s="46" t="n"/>
      <c r="H1677" s="46" t="n"/>
      <c r="I1677" s="51" t="n"/>
      <c r="J1677" s="47" t="n"/>
      <c r="K1677" s="47" t="n"/>
      <c r="L1677" s="43">
        <f>IF($B1677="","",ROUND((N($J1677)+N($K1677))*نسبة_القيمة_المضافة,2))</f>
        <v/>
      </c>
      <c r="M1677" s="47" t="n"/>
      <c r="N1677" s="47" t="n"/>
      <c r="O1677" s="43">
        <f>IF($B1677="","",N($J1677)+N($K1677)+N($L1677)-N($M1677)+N($N1677))</f>
        <v/>
      </c>
      <c r="P1677" s="47" t="n"/>
      <c r="Q1677" s="43">
        <f>IF($B1677="","",N($O1677)-N($P1677))</f>
        <v/>
      </c>
      <c r="R1677" s="47" t="n"/>
      <c r="S1677" s="47" t="n"/>
      <c r="T1677" s="47" t="n"/>
      <c r="U1677" s="43">
        <f>IF($B1677="","",N($J1677)-N($R1677)-N($T1677))</f>
        <v/>
      </c>
      <c r="V1677" s="47" t="n"/>
    </row>
    <row r="1678">
      <c r="A1678" s="39">
        <f>IF($B1678="","",COUNTA($B$4:$B1678))</f>
        <v/>
      </c>
      <c r="B1678" s="40" t="n"/>
      <c r="C1678" s="41" t="n"/>
      <c r="D1678" s="41" t="n"/>
      <c r="E1678" s="41" t="n"/>
      <c r="F1678" s="41" t="n"/>
      <c r="G1678" s="41" t="n"/>
      <c r="H1678" s="41" t="n"/>
      <c r="I1678" s="50" t="n"/>
      <c r="J1678" s="42" t="n"/>
      <c r="K1678" s="42" t="n"/>
      <c r="L1678" s="43">
        <f>IF($B1678="","",ROUND((N($J1678)+N($K1678))*نسبة_القيمة_المضافة,2))</f>
        <v/>
      </c>
      <c r="M1678" s="42" t="n"/>
      <c r="N1678" s="42" t="n"/>
      <c r="O1678" s="43">
        <f>IF($B1678="","",N($J1678)+N($K1678)+N($L1678)-N($M1678)+N($N1678))</f>
        <v/>
      </c>
      <c r="P1678" s="42" t="n"/>
      <c r="Q1678" s="43">
        <f>IF($B1678="","",N($O1678)-N($P1678))</f>
        <v/>
      </c>
      <c r="R1678" s="42" t="n"/>
      <c r="S1678" s="42" t="n"/>
      <c r="T1678" s="42" t="n"/>
      <c r="U1678" s="43">
        <f>IF($B1678="","",N($J1678)-N($R1678)-N($T1678))</f>
        <v/>
      </c>
      <c r="V1678" s="42" t="n"/>
    </row>
    <row r="1679">
      <c r="A1679" s="39">
        <f>IF($B1679="","",COUNTA($B$4:$B1679))</f>
        <v/>
      </c>
      <c r="B1679" s="45" t="n"/>
      <c r="C1679" s="46" t="n"/>
      <c r="D1679" s="46" t="n"/>
      <c r="E1679" s="46" t="n"/>
      <c r="F1679" s="46" t="n"/>
      <c r="G1679" s="46" t="n"/>
      <c r="H1679" s="46" t="n"/>
      <c r="I1679" s="51" t="n"/>
      <c r="J1679" s="47" t="n"/>
      <c r="K1679" s="47" t="n"/>
      <c r="L1679" s="43">
        <f>IF($B1679="","",ROUND((N($J1679)+N($K1679))*نسبة_القيمة_المضافة,2))</f>
        <v/>
      </c>
      <c r="M1679" s="47" t="n"/>
      <c r="N1679" s="47" t="n"/>
      <c r="O1679" s="43">
        <f>IF($B1679="","",N($J1679)+N($K1679)+N($L1679)-N($M1679)+N($N1679))</f>
        <v/>
      </c>
      <c r="P1679" s="47" t="n"/>
      <c r="Q1679" s="43">
        <f>IF($B1679="","",N($O1679)-N($P1679))</f>
        <v/>
      </c>
      <c r="R1679" s="47" t="n"/>
      <c r="S1679" s="47" t="n"/>
      <c r="T1679" s="47" t="n"/>
      <c r="U1679" s="43">
        <f>IF($B1679="","",N($J1679)-N($R1679)-N($T1679))</f>
        <v/>
      </c>
      <c r="V1679" s="47" t="n"/>
    </row>
    <row r="1680">
      <c r="A1680" s="39">
        <f>IF($B1680="","",COUNTA($B$4:$B1680))</f>
        <v/>
      </c>
      <c r="B1680" s="40" t="n"/>
      <c r="C1680" s="41" t="n"/>
      <c r="D1680" s="41" t="n"/>
      <c r="E1680" s="41" t="n"/>
      <c r="F1680" s="41" t="n"/>
      <c r="G1680" s="41" t="n"/>
      <c r="H1680" s="41" t="n"/>
      <c r="I1680" s="50" t="n"/>
      <c r="J1680" s="42" t="n"/>
      <c r="K1680" s="42" t="n"/>
      <c r="L1680" s="43">
        <f>IF($B1680="","",ROUND((N($J1680)+N($K1680))*نسبة_القيمة_المضافة,2))</f>
        <v/>
      </c>
      <c r="M1680" s="42" t="n"/>
      <c r="N1680" s="42" t="n"/>
      <c r="O1680" s="43">
        <f>IF($B1680="","",N($J1680)+N($K1680)+N($L1680)-N($M1680)+N($N1680))</f>
        <v/>
      </c>
      <c r="P1680" s="42" t="n"/>
      <c r="Q1680" s="43">
        <f>IF($B1680="","",N($O1680)-N($P1680))</f>
        <v/>
      </c>
      <c r="R1680" s="42" t="n"/>
      <c r="S1680" s="42" t="n"/>
      <c r="T1680" s="42" t="n"/>
      <c r="U1680" s="43">
        <f>IF($B1680="","",N($J1680)-N($R1680)-N($T1680))</f>
        <v/>
      </c>
      <c r="V1680" s="42" t="n"/>
    </row>
    <row r="1681">
      <c r="A1681" s="39">
        <f>IF($B1681="","",COUNTA($B$4:$B1681))</f>
        <v/>
      </c>
      <c r="B1681" s="45" t="n"/>
      <c r="C1681" s="46" t="n"/>
      <c r="D1681" s="46" t="n"/>
      <c r="E1681" s="46" t="n"/>
      <c r="F1681" s="46" t="n"/>
      <c r="G1681" s="46" t="n"/>
      <c r="H1681" s="46" t="n"/>
      <c r="I1681" s="51" t="n"/>
      <c r="J1681" s="47" t="n"/>
      <c r="K1681" s="47" t="n"/>
      <c r="L1681" s="43">
        <f>IF($B1681="","",ROUND((N($J1681)+N($K1681))*نسبة_القيمة_المضافة,2))</f>
        <v/>
      </c>
      <c r="M1681" s="47" t="n"/>
      <c r="N1681" s="47" t="n"/>
      <c r="O1681" s="43">
        <f>IF($B1681="","",N($J1681)+N($K1681)+N($L1681)-N($M1681)+N($N1681))</f>
        <v/>
      </c>
      <c r="P1681" s="47" t="n"/>
      <c r="Q1681" s="43">
        <f>IF($B1681="","",N($O1681)-N($P1681))</f>
        <v/>
      </c>
      <c r="R1681" s="47" t="n"/>
      <c r="S1681" s="47" t="n"/>
      <c r="T1681" s="47" t="n"/>
      <c r="U1681" s="43">
        <f>IF($B1681="","",N($J1681)-N($R1681)-N($T1681))</f>
        <v/>
      </c>
      <c r="V1681" s="47" t="n"/>
    </row>
    <row r="1682">
      <c r="A1682" s="39">
        <f>IF($B1682="","",COUNTA($B$4:$B1682))</f>
        <v/>
      </c>
      <c r="B1682" s="40" t="n"/>
      <c r="C1682" s="41" t="n"/>
      <c r="D1682" s="41" t="n"/>
      <c r="E1682" s="41" t="n"/>
      <c r="F1682" s="41" t="n"/>
      <c r="G1682" s="41" t="n"/>
      <c r="H1682" s="41" t="n"/>
      <c r="I1682" s="50" t="n"/>
      <c r="J1682" s="42" t="n"/>
      <c r="K1682" s="42" t="n"/>
      <c r="L1682" s="43">
        <f>IF($B1682="","",ROUND((N($J1682)+N($K1682))*نسبة_القيمة_المضافة,2))</f>
        <v/>
      </c>
      <c r="M1682" s="42" t="n"/>
      <c r="N1682" s="42" t="n"/>
      <c r="O1682" s="43">
        <f>IF($B1682="","",N($J1682)+N($K1682)+N($L1682)-N($M1682)+N($N1682))</f>
        <v/>
      </c>
      <c r="P1682" s="42" t="n"/>
      <c r="Q1682" s="43">
        <f>IF($B1682="","",N($O1682)-N($P1682))</f>
        <v/>
      </c>
      <c r="R1682" s="42" t="n"/>
      <c r="S1682" s="42" t="n"/>
      <c r="T1682" s="42" t="n"/>
      <c r="U1682" s="43">
        <f>IF($B1682="","",N($J1682)-N($R1682)-N($T1682))</f>
        <v/>
      </c>
      <c r="V1682" s="42" t="n"/>
    </row>
    <row r="1683">
      <c r="A1683" s="39">
        <f>IF($B1683="","",COUNTA($B$4:$B1683))</f>
        <v/>
      </c>
      <c r="B1683" s="45" t="n"/>
      <c r="C1683" s="46" t="n"/>
      <c r="D1683" s="46" t="n"/>
      <c r="E1683" s="46" t="n"/>
      <c r="F1683" s="46" t="n"/>
      <c r="G1683" s="46" t="n"/>
      <c r="H1683" s="46" t="n"/>
      <c r="I1683" s="51" t="n"/>
      <c r="J1683" s="47" t="n"/>
      <c r="K1683" s="47" t="n"/>
      <c r="L1683" s="43">
        <f>IF($B1683="","",ROUND((N($J1683)+N($K1683))*نسبة_القيمة_المضافة,2))</f>
        <v/>
      </c>
      <c r="M1683" s="47" t="n"/>
      <c r="N1683" s="47" t="n"/>
      <c r="O1683" s="43">
        <f>IF($B1683="","",N($J1683)+N($K1683)+N($L1683)-N($M1683)+N($N1683))</f>
        <v/>
      </c>
      <c r="P1683" s="47" t="n"/>
      <c r="Q1683" s="43">
        <f>IF($B1683="","",N($O1683)-N($P1683))</f>
        <v/>
      </c>
      <c r="R1683" s="47" t="n"/>
      <c r="S1683" s="47" t="n"/>
      <c r="T1683" s="47" t="n"/>
      <c r="U1683" s="43">
        <f>IF($B1683="","",N($J1683)-N($R1683)-N($T1683))</f>
        <v/>
      </c>
      <c r="V1683" s="47" t="n"/>
    </row>
    <row r="1684">
      <c r="A1684" s="39">
        <f>IF($B1684="","",COUNTA($B$4:$B1684))</f>
        <v/>
      </c>
      <c r="B1684" s="40" t="n"/>
      <c r="C1684" s="41" t="n"/>
      <c r="D1684" s="41" t="n"/>
      <c r="E1684" s="41" t="n"/>
      <c r="F1684" s="41" t="n"/>
      <c r="G1684" s="41" t="n"/>
      <c r="H1684" s="41" t="n"/>
      <c r="I1684" s="50" t="n"/>
      <c r="J1684" s="42" t="n"/>
      <c r="K1684" s="42" t="n"/>
      <c r="L1684" s="43">
        <f>IF($B1684="","",ROUND((N($J1684)+N($K1684))*نسبة_القيمة_المضافة,2))</f>
        <v/>
      </c>
      <c r="M1684" s="42" t="n"/>
      <c r="N1684" s="42" t="n"/>
      <c r="O1684" s="43">
        <f>IF($B1684="","",N($J1684)+N($K1684)+N($L1684)-N($M1684)+N($N1684))</f>
        <v/>
      </c>
      <c r="P1684" s="42" t="n"/>
      <c r="Q1684" s="43">
        <f>IF($B1684="","",N($O1684)-N($P1684))</f>
        <v/>
      </c>
      <c r="R1684" s="42" t="n"/>
      <c r="S1684" s="42" t="n"/>
      <c r="T1684" s="42" t="n"/>
      <c r="U1684" s="43">
        <f>IF($B1684="","",N($J1684)-N($R1684)-N($T1684))</f>
        <v/>
      </c>
      <c r="V1684" s="42" t="n"/>
    </row>
    <row r="1685">
      <c r="A1685" s="39">
        <f>IF($B1685="","",COUNTA($B$4:$B1685))</f>
        <v/>
      </c>
      <c r="B1685" s="45" t="n"/>
      <c r="C1685" s="46" t="n"/>
      <c r="D1685" s="46" t="n"/>
      <c r="E1685" s="46" t="n"/>
      <c r="F1685" s="46" t="n"/>
      <c r="G1685" s="46" t="n"/>
      <c r="H1685" s="46" t="n"/>
      <c r="I1685" s="51" t="n"/>
      <c r="J1685" s="47" t="n"/>
      <c r="K1685" s="47" t="n"/>
      <c r="L1685" s="43">
        <f>IF($B1685="","",ROUND((N($J1685)+N($K1685))*نسبة_القيمة_المضافة,2))</f>
        <v/>
      </c>
      <c r="M1685" s="47" t="n"/>
      <c r="N1685" s="47" t="n"/>
      <c r="O1685" s="43">
        <f>IF($B1685="","",N($J1685)+N($K1685)+N($L1685)-N($M1685)+N($N1685))</f>
        <v/>
      </c>
      <c r="P1685" s="47" t="n"/>
      <c r="Q1685" s="43">
        <f>IF($B1685="","",N($O1685)-N($P1685))</f>
        <v/>
      </c>
      <c r="R1685" s="47" t="n"/>
      <c r="S1685" s="47" t="n"/>
      <c r="T1685" s="47" t="n"/>
      <c r="U1685" s="43">
        <f>IF($B1685="","",N($J1685)-N($R1685)-N($T1685))</f>
        <v/>
      </c>
      <c r="V1685" s="47" t="n"/>
    </row>
    <row r="1686">
      <c r="A1686" s="39">
        <f>IF($B1686="","",COUNTA($B$4:$B1686))</f>
        <v/>
      </c>
      <c r="B1686" s="40" t="n"/>
      <c r="C1686" s="41" t="n"/>
      <c r="D1686" s="41" t="n"/>
      <c r="E1686" s="41" t="n"/>
      <c r="F1686" s="41" t="n"/>
      <c r="G1686" s="41" t="n"/>
      <c r="H1686" s="41" t="n"/>
      <c r="I1686" s="50" t="n"/>
      <c r="J1686" s="42" t="n"/>
      <c r="K1686" s="42" t="n"/>
      <c r="L1686" s="43">
        <f>IF($B1686="","",ROUND((N($J1686)+N($K1686))*نسبة_القيمة_المضافة,2))</f>
        <v/>
      </c>
      <c r="M1686" s="42" t="n"/>
      <c r="N1686" s="42" t="n"/>
      <c r="O1686" s="43">
        <f>IF($B1686="","",N($J1686)+N($K1686)+N($L1686)-N($M1686)+N($N1686))</f>
        <v/>
      </c>
      <c r="P1686" s="42" t="n"/>
      <c r="Q1686" s="43">
        <f>IF($B1686="","",N($O1686)-N($P1686))</f>
        <v/>
      </c>
      <c r="R1686" s="42" t="n"/>
      <c r="S1686" s="42" t="n"/>
      <c r="T1686" s="42" t="n"/>
      <c r="U1686" s="43">
        <f>IF($B1686="","",N($J1686)-N($R1686)-N($T1686))</f>
        <v/>
      </c>
      <c r="V1686" s="42" t="n"/>
    </row>
    <row r="1687">
      <c r="A1687" s="39">
        <f>IF($B1687="","",COUNTA($B$4:$B1687))</f>
        <v/>
      </c>
      <c r="B1687" s="45" t="n"/>
      <c r="C1687" s="46" t="n"/>
      <c r="D1687" s="46" t="n"/>
      <c r="E1687" s="46" t="n"/>
      <c r="F1687" s="46" t="n"/>
      <c r="G1687" s="46" t="n"/>
      <c r="H1687" s="46" t="n"/>
      <c r="I1687" s="51" t="n"/>
      <c r="J1687" s="47" t="n"/>
      <c r="K1687" s="47" t="n"/>
      <c r="L1687" s="43">
        <f>IF($B1687="","",ROUND((N($J1687)+N($K1687))*نسبة_القيمة_المضافة,2))</f>
        <v/>
      </c>
      <c r="M1687" s="47" t="n"/>
      <c r="N1687" s="47" t="n"/>
      <c r="O1687" s="43">
        <f>IF($B1687="","",N($J1687)+N($K1687)+N($L1687)-N($M1687)+N($N1687))</f>
        <v/>
      </c>
      <c r="P1687" s="47" t="n"/>
      <c r="Q1687" s="43">
        <f>IF($B1687="","",N($O1687)-N($P1687))</f>
        <v/>
      </c>
      <c r="R1687" s="47" t="n"/>
      <c r="S1687" s="47" t="n"/>
      <c r="T1687" s="47" t="n"/>
      <c r="U1687" s="43">
        <f>IF($B1687="","",N($J1687)-N($R1687)-N($T1687))</f>
        <v/>
      </c>
      <c r="V1687" s="47" t="n"/>
    </row>
    <row r="1688">
      <c r="A1688" s="39">
        <f>IF($B1688="","",COUNTA($B$4:$B1688))</f>
        <v/>
      </c>
      <c r="B1688" s="40" t="n"/>
      <c r="C1688" s="41" t="n"/>
      <c r="D1688" s="41" t="n"/>
      <c r="E1688" s="41" t="n"/>
      <c r="F1688" s="41" t="n"/>
      <c r="G1688" s="41" t="n"/>
      <c r="H1688" s="41" t="n"/>
      <c r="I1688" s="50" t="n"/>
      <c r="J1688" s="42" t="n"/>
      <c r="K1688" s="42" t="n"/>
      <c r="L1688" s="43">
        <f>IF($B1688="","",ROUND((N($J1688)+N($K1688))*نسبة_القيمة_المضافة,2))</f>
        <v/>
      </c>
      <c r="M1688" s="42" t="n"/>
      <c r="N1688" s="42" t="n"/>
      <c r="O1688" s="43">
        <f>IF($B1688="","",N($J1688)+N($K1688)+N($L1688)-N($M1688)+N($N1688))</f>
        <v/>
      </c>
      <c r="P1688" s="42" t="n"/>
      <c r="Q1688" s="43">
        <f>IF($B1688="","",N($O1688)-N($P1688))</f>
        <v/>
      </c>
      <c r="R1688" s="42" t="n"/>
      <c r="S1688" s="42" t="n"/>
      <c r="T1688" s="42" t="n"/>
      <c r="U1688" s="43">
        <f>IF($B1688="","",N($J1688)-N($R1688)-N($T1688))</f>
        <v/>
      </c>
      <c r="V1688" s="42" t="n"/>
    </row>
    <row r="1689">
      <c r="A1689" s="39">
        <f>IF($B1689="","",COUNTA($B$4:$B1689))</f>
        <v/>
      </c>
      <c r="B1689" s="45" t="n"/>
      <c r="C1689" s="46" t="n"/>
      <c r="D1689" s="46" t="n"/>
      <c r="E1689" s="46" t="n"/>
      <c r="F1689" s="46" t="n"/>
      <c r="G1689" s="46" t="n"/>
      <c r="H1689" s="46" t="n"/>
      <c r="I1689" s="51" t="n"/>
      <c r="J1689" s="47" t="n"/>
      <c r="K1689" s="47" t="n"/>
      <c r="L1689" s="43">
        <f>IF($B1689="","",ROUND((N($J1689)+N($K1689))*نسبة_القيمة_المضافة,2))</f>
        <v/>
      </c>
      <c r="M1689" s="47" t="n"/>
      <c r="N1689" s="47" t="n"/>
      <c r="O1689" s="43">
        <f>IF($B1689="","",N($J1689)+N($K1689)+N($L1689)-N($M1689)+N($N1689))</f>
        <v/>
      </c>
      <c r="P1689" s="47" t="n"/>
      <c r="Q1689" s="43">
        <f>IF($B1689="","",N($O1689)-N($P1689))</f>
        <v/>
      </c>
      <c r="R1689" s="47" t="n"/>
      <c r="S1689" s="47" t="n"/>
      <c r="T1689" s="47" t="n"/>
      <c r="U1689" s="43">
        <f>IF($B1689="","",N($J1689)-N($R1689)-N($T1689))</f>
        <v/>
      </c>
      <c r="V1689" s="47" t="n"/>
    </row>
    <row r="1690">
      <c r="A1690" s="39">
        <f>IF($B1690="","",COUNTA($B$4:$B1690))</f>
        <v/>
      </c>
      <c r="B1690" s="40" t="n"/>
      <c r="C1690" s="41" t="n"/>
      <c r="D1690" s="41" t="n"/>
      <c r="E1690" s="41" t="n"/>
      <c r="F1690" s="41" t="n"/>
      <c r="G1690" s="41" t="n"/>
      <c r="H1690" s="41" t="n"/>
      <c r="I1690" s="50" t="n"/>
      <c r="J1690" s="42" t="n"/>
      <c r="K1690" s="42" t="n"/>
      <c r="L1690" s="43">
        <f>IF($B1690="","",ROUND((N($J1690)+N($K1690))*نسبة_القيمة_المضافة,2))</f>
        <v/>
      </c>
      <c r="M1690" s="42" t="n"/>
      <c r="N1690" s="42" t="n"/>
      <c r="O1690" s="43">
        <f>IF($B1690="","",N($J1690)+N($K1690)+N($L1690)-N($M1690)+N($N1690))</f>
        <v/>
      </c>
      <c r="P1690" s="42" t="n"/>
      <c r="Q1690" s="43">
        <f>IF($B1690="","",N($O1690)-N($P1690))</f>
        <v/>
      </c>
      <c r="R1690" s="42" t="n"/>
      <c r="S1690" s="42" t="n"/>
      <c r="T1690" s="42" t="n"/>
      <c r="U1690" s="43">
        <f>IF($B1690="","",N($J1690)-N($R1690)-N($T1690))</f>
        <v/>
      </c>
      <c r="V1690" s="42" t="n"/>
    </row>
    <row r="1691">
      <c r="A1691" s="39">
        <f>IF($B1691="","",COUNTA($B$4:$B1691))</f>
        <v/>
      </c>
      <c r="B1691" s="45" t="n"/>
      <c r="C1691" s="46" t="n"/>
      <c r="D1691" s="46" t="n"/>
      <c r="E1691" s="46" t="n"/>
      <c r="F1691" s="46" t="n"/>
      <c r="G1691" s="46" t="n"/>
      <c r="H1691" s="46" t="n"/>
      <c r="I1691" s="51" t="n"/>
      <c r="J1691" s="47" t="n"/>
      <c r="K1691" s="47" t="n"/>
      <c r="L1691" s="43">
        <f>IF($B1691="","",ROUND((N($J1691)+N($K1691))*نسبة_القيمة_المضافة,2))</f>
        <v/>
      </c>
      <c r="M1691" s="47" t="n"/>
      <c r="N1691" s="47" t="n"/>
      <c r="O1691" s="43">
        <f>IF($B1691="","",N($J1691)+N($K1691)+N($L1691)-N($M1691)+N($N1691))</f>
        <v/>
      </c>
      <c r="P1691" s="47" t="n"/>
      <c r="Q1691" s="43">
        <f>IF($B1691="","",N($O1691)-N($P1691))</f>
        <v/>
      </c>
      <c r="R1691" s="47" t="n"/>
      <c r="S1691" s="47" t="n"/>
      <c r="T1691" s="47" t="n"/>
      <c r="U1691" s="43">
        <f>IF($B1691="","",N($J1691)-N($R1691)-N($T1691))</f>
        <v/>
      </c>
      <c r="V1691" s="47" t="n"/>
    </row>
    <row r="1692">
      <c r="A1692" s="39">
        <f>IF($B1692="","",COUNTA($B$4:$B1692))</f>
        <v/>
      </c>
      <c r="B1692" s="40" t="n"/>
      <c r="C1692" s="41" t="n"/>
      <c r="D1692" s="41" t="n"/>
      <c r="E1692" s="41" t="n"/>
      <c r="F1692" s="41" t="n"/>
      <c r="G1692" s="41" t="n"/>
      <c r="H1692" s="41" t="n"/>
      <c r="I1692" s="50" t="n"/>
      <c r="J1692" s="42" t="n"/>
      <c r="K1692" s="42" t="n"/>
      <c r="L1692" s="43">
        <f>IF($B1692="","",ROUND((N($J1692)+N($K1692))*نسبة_القيمة_المضافة,2))</f>
        <v/>
      </c>
      <c r="M1692" s="42" t="n"/>
      <c r="N1692" s="42" t="n"/>
      <c r="O1692" s="43">
        <f>IF($B1692="","",N($J1692)+N($K1692)+N($L1692)-N($M1692)+N($N1692))</f>
        <v/>
      </c>
      <c r="P1692" s="42" t="n"/>
      <c r="Q1692" s="43">
        <f>IF($B1692="","",N($O1692)-N($P1692))</f>
        <v/>
      </c>
      <c r="R1692" s="42" t="n"/>
      <c r="S1692" s="42" t="n"/>
      <c r="T1692" s="42" t="n"/>
      <c r="U1692" s="43">
        <f>IF($B1692="","",N($J1692)-N($R1692)-N($T1692))</f>
        <v/>
      </c>
      <c r="V1692" s="42" t="n"/>
    </row>
    <row r="1693">
      <c r="A1693" s="39">
        <f>IF($B1693="","",COUNTA($B$4:$B1693))</f>
        <v/>
      </c>
      <c r="B1693" s="45" t="n"/>
      <c r="C1693" s="46" t="n"/>
      <c r="D1693" s="46" t="n"/>
      <c r="E1693" s="46" t="n"/>
      <c r="F1693" s="46" t="n"/>
      <c r="G1693" s="46" t="n"/>
      <c r="H1693" s="46" t="n"/>
      <c r="I1693" s="51" t="n"/>
      <c r="J1693" s="47" t="n"/>
      <c r="K1693" s="47" t="n"/>
      <c r="L1693" s="43">
        <f>IF($B1693="","",ROUND((N($J1693)+N($K1693))*نسبة_القيمة_المضافة,2))</f>
        <v/>
      </c>
      <c r="M1693" s="47" t="n"/>
      <c r="N1693" s="47" t="n"/>
      <c r="O1693" s="43">
        <f>IF($B1693="","",N($J1693)+N($K1693)+N($L1693)-N($M1693)+N($N1693))</f>
        <v/>
      </c>
      <c r="P1693" s="47" t="n"/>
      <c r="Q1693" s="43">
        <f>IF($B1693="","",N($O1693)-N($P1693))</f>
        <v/>
      </c>
      <c r="R1693" s="47" t="n"/>
      <c r="S1693" s="47" t="n"/>
      <c r="T1693" s="47" t="n"/>
      <c r="U1693" s="43">
        <f>IF($B1693="","",N($J1693)-N($R1693)-N($T1693))</f>
        <v/>
      </c>
      <c r="V1693" s="47" t="n"/>
    </row>
    <row r="1694">
      <c r="A1694" s="39">
        <f>IF($B1694="","",COUNTA($B$4:$B1694))</f>
        <v/>
      </c>
      <c r="B1694" s="40" t="n"/>
      <c r="C1694" s="41" t="n"/>
      <c r="D1694" s="41" t="n"/>
      <c r="E1694" s="41" t="n"/>
      <c r="F1694" s="41" t="n"/>
      <c r="G1694" s="41" t="n"/>
      <c r="H1694" s="41" t="n"/>
      <c r="I1694" s="50" t="n"/>
      <c r="J1694" s="42" t="n"/>
      <c r="K1694" s="42" t="n"/>
      <c r="L1694" s="43">
        <f>IF($B1694="","",ROUND((N($J1694)+N($K1694))*نسبة_القيمة_المضافة,2))</f>
        <v/>
      </c>
      <c r="M1694" s="42" t="n"/>
      <c r="N1694" s="42" t="n"/>
      <c r="O1694" s="43">
        <f>IF($B1694="","",N($J1694)+N($K1694)+N($L1694)-N($M1694)+N($N1694))</f>
        <v/>
      </c>
      <c r="P1694" s="42" t="n"/>
      <c r="Q1694" s="43">
        <f>IF($B1694="","",N($O1694)-N($P1694))</f>
        <v/>
      </c>
      <c r="R1694" s="42" t="n"/>
      <c r="S1694" s="42" t="n"/>
      <c r="T1694" s="42" t="n"/>
      <c r="U1694" s="43">
        <f>IF($B1694="","",N($J1694)-N($R1694)-N($T1694))</f>
        <v/>
      </c>
      <c r="V1694" s="42" t="n"/>
    </row>
    <row r="1695">
      <c r="A1695" s="39">
        <f>IF($B1695="","",COUNTA($B$4:$B1695))</f>
        <v/>
      </c>
      <c r="B1695" s="45" t="n"/>
      <c r="C1695" s="46" t="n"/>
      <c r="D1695" s="46" t="n"/>
      <c r="E1695" s="46" t="n"/>
      <c r="F1695" s="46" t="n"/>
      <c r="G1695" s="46" t="n"/>
      <c r="H1695" s="46" t="n"/>
      <c r="I1695" s="51" t="n"/>
      <c r="J1695" s="47" t="n"/>
      <c r="K1695" s="47" t="n"/>
      <c r="L1695" s="43">
        <f>IF($B1695="","",ROUND((N($J1695)+N($K1695))*نسبة_القيمة_المضافة,2))</f>
        <v/>
      </c>
      <c r="M1695" s="47" t="n"/>
      <c r="N1695" s="47" t="n"/>
      <c r="O1695" s="43">
        <f>IF($B1695="","",N($J1695)+N($K1695)+N($L1695)-N($M1695)+N($N1695))</f>
        <v/>
      </c>
      <c r="P1695" s="47" t="n"/>
      <c r="Q1695" s="43">
        <f>IF($B1695="","",N($O1695)-N($P1695))</f>
        <v/>
      </c>
      <c r="R1695" s="47" t="n"/>
      <c r="S1695" s="47" t="n"/>
      <c r="T1695" s="47" t="n"/>
      <c r="U1695" s="43">
        <f>IF($B1695="","",N($J1695)-N($R1695)-N($T1695))</f>
        <v/>
      </c>
      <c r="V1695" s="47" t="n"/>
    </row>
    <row r="1696">
      <c r="A1696" s="39">
        <f>IF($B1696="","",COUNTA($B$4:$B1696))</f>
        <v/>
      </c>
      <c r="B1696" s="40" t="n"/>
      <c r="C1696" s="41" t="n"/>
      <c r="D1696" s="41" t="n"/>
      <c r="E1696" s="41" t="n"/>
      <c r="F1696" s="41" t="n"/>
      <c r="G1696" s="41" t="n"/>
      <c r="H1696" s="41" t="n"/>
      <c r="I1696" s="50" t="n"/>
      <c r="J1696" s="42" t="n"/>
      <c r="K1696" s="42" t="n"/>
      <c r="L1696" s="43">
        <f>IF($B1696="","",ROUND((N($J1696)+N($K1696))*نسبة_القيمة_المضافة,2))</f>
        <v/>
      </c>
      <c r="M1696" s="42" t="n"/>
      <c r="N1696" s="42" t="n"/>
      <c r="O1696" s="43">
        <f>IF($B1696="","",N($J1696)+N($K1696)+N($L1696)-N($M1696)+N($N1696))</f>
        <v/>
      </c>
      <c r="P1696" s="42" t="n"/>
      <c r="Q1696" s="43">
        <f>IF($B1696="","",N($O1696)-N($P1696))</f>
        <v/>
      </c>
      <c r="R1696" s="42" t="n"/>
      <c r="S1696" s="42" t="n"/>
      <c r="T1696" s="42" t="n"/>
      <c r="U1696" s="43">
        <f>IF($B1696="","",N($J1696)-N($R1696)-N($T1696))</f>
        <v/>
      </c>
      <c r="V1696" s="42" t="n"/>
    </row>
    <row r="1697">
      <c r="A1697" s="39">
        <f>IF($B1697="","",COUNTA($B$4:$B1697))</f>
        <v/>
      </c>
      <c r="B1697" s="45" t="n"/>
      <c r="C1697" s="46" t="n"/>
      <c r="D1697" s="46" t="n"/>
      <c r="E1697" s="46" t="n"/>
      <c r="F1697" s="46" t="n"/>
      <c r="G1697" s="46" t="n"/>
      <c r="H1697" s="46" t="n"/>
      <c r="I1697" s="51" t="n"/>
      <c r="J1697" s="47" t="n"/>
      <c r="K1697" s="47" t="n"/>
      <c r="L1697" s="43">
        <f>IF($B1697="","",ROUND((N($J1697)+N($K1697))*نسبة_القيمة_المضافة,2))</f>
        <v/>
      </c>
      <c r="M1697" s="47" t="n"/>
      <c r="N1697" s="47" t="n"/>
      <c r="O1697" s="43">
        <f>IF($B1697="","",N($J1697)+N($K1697)+N($L1697)-N($M1697)+N($N1697))</f>
        <v/>
      </c>
      <c r="P1697" s="47" t="n"/>
      <c r="Q1697" s="43">
        <f>IF($B1697="","",N($O1697)-N($P1697))</f>
        <v/>
      </c>
      <c r="R1697" s="47" t="n"/>
      <c r="S1697" s="47" t="n"/>
      <c r="T1697" s="47" t="n"/>
      <c r="U1697" s="43">
        <f>IF($B1697="","",N($J1697)-N($R1697)-N($T1697))</f>
        <v/>
      </c>
      <c r="V1697" s="47" t="n"/>
    </row>
    <row r="1698">
      <c r="A1698" s="39">
        <f>IF($B1698="","",COUNTA($B$4:$B1698))</f>
        <v/>
      </c>
      <c r="B1698" s="40" t="n"/>
      <c r="C1698" s="41" t="n"/>
      <c r="D1698" s="41" t="n"/>
      <c r="E1698" s="41" t="n"/>
      <c r="F1698" s="41" t="n"/>
      <c r="G1698" s="41" t="n"/>
      <c r="H1698" s="41" t="n"/>
      <c r="I1698" s="50" t="n"/>
      <c r="J1698" s="42" t="n"/>
      <c r="K1698" s="42" t="n"/>
      <c r="L1698" s="43">
        <f>IF($B1698="","",ROUND((N($J1698)+N($K1698))*نسبة_القيمة_المضافة,2))</f>
        <v/>
      </c>
      <c r="M1698" s="42" t="n"/>
      <c r="N1698" s="42" t="n"/>
      <c r="O1698" s="43">
        <f>IF($B1698="","",N($J1698)+N($K1698)+N($L1698)-N($M1698)+N($N1698))</f>
        <v/>
      </c>
      <c r="P1698" s="42" t="n"/>
      <c r="Q1698" s="43">
        <f>IF($B1698="","",N($O1698)-N($P1698))</f>
        <v/>
      </c>
      <c r="R1698" s="42" t="n"/>
      <c r="S1698" s="42" t="n"/>
      <c r="T1698" s="42" t="n"/>
      <c r="U1698" s="43">
        <f>IF($B1698="","",N($J1698)-N($R1698)-N($T1698))</f>
        <v/>
      </c>
      <c r="V1698" s="42" t="n"/>
    </row>
    <row r="1699">
      <c r="A1699" s="39">
        <f>IF($B1699="","",COUNTA($B$4:$B1699))</f>
        <v/>
      </c>
      <c r="B1699" s="45" t="n"/>
      <c r="C1699" s="46" t="n"/>
      <c r="D1699" s="46" t="n"/>
      <c r="E1699" s="46" t="n"/>
      <c r="F1699" s="46" t="n"/>
      <c r="G1699" s="46" t="n"/>
      <c r="H1699" s="46" t="n"/>
      <c r="I1699" s="51" t="n"/>
      <c r="J1699" s="47" t="n"/>
      <c r="K1699" s="47" t="n"/>
      <c r="L1699" s="43">
        <f>IF($B1699="","",ROUND((N($J1699)+N($K1699))*نسبة_القيمة_المضافة,2))</f>
        <v/>
      </c>
      <c r="M1699" s="47" t="n"/>
      <c r="N1699" s="47" t="n"/>
      <c r="O1699" s="43">
        <f>IF($B1699="","",N($J1699)+N($K1699)+N($L1699)-N($M1699)+N($N1699))</f>
        <v/>
      </c>
      <c r="P1699" s="47" t="n"/>
      <c r="Q1699" s="43">
        <f>IF($B1699="","",N($O1699)-N($P1699))</f>
        <v/>
      </c>
      <c r="R1699" s="47" t="n"/>
      <c r="S1699" s="47" t="n"/>
      <c r="T1699" s="47" t="n"/>
      <c r="U1699" s="43">
        <f>IF($B1699="","",N($J1699)-N($R1699)-N($T1699))</f>
        <v/>
      </c>
      <c r="V1699" s="47" t="n"/>
    </row>
    <row r="1700">
      <c r="A1700" s="39">
        <f>IF($B1700="","",COUNTA($B$4:$B1700))</f>
        <v/>
      </c>
      <c r="B1700" s="40" t="n"/>
      <c r="C1700" s="41" t="n"/>
      <c r="D1700" s="41" t="n"/>
      <c r="E1700" s="41" t="n"/>
      <c r="F1700" s="41" t="n"/>
      <c r="G1700" s="41" t="n"/>
      <c r="H1700" s="41" t="n"/>
      <c r="I1700" s="50" t="n"/>
      <c r="J1700" s="42" t="n"/>
      <c r="K1700" s="42" t="n"/>
      <c r="L1700" s="43">
        <f>IF($B1700="","",ROUND((N($J1700)+N($K1700))*نسبة_القيمة_المضافة,2))</f>
        <v/>
      </c>
      <c r="M1700" s="42" t="n"/>
      <c r="N1700" s="42" t="n"/>
      <c r="O1700" s="43">
        <f>IF($B1700="","",N($J1700)+N($K1700)+N($L1700)-N($M1700)+N($N1700))</f>
        <v/>
      </c>
      <c r="P1700" s="42" t="n"/>
      <c r="Q1700" s="43">
        <f>IF($B1700="","",N($O1700)-N($P1700))</f>
        <v/>
      </c>
      <c r="R1700" s="42" t="n"/>
      <c r="S1700" s="42" t="n"/>
      <c r="T1700" s="42" t="n"/>
      <c r="U1700" s="43">
        <f>IF($B1700="","",N($J1700)-N($R1700)-N($T1700))</f>
        <v/>
      </c>
      <c r="V1700" s="42" t="n"/>
    </row>
    <row r="1701">
      <c r="A1701" s="39">
        <f>IF($B1701="","",COUNTA($B$4:$B1701))</f>
        <v/>
      </c>
      <c r="B1701" s="45" t="n"/>
      <c r="C1701" s="46" t="n"/>
      <c r="D1701" s="46" t="n"/>
      <c r="E1701" s="46" t="n"/>
      <c r="F1701" s="46" t="n"/>
      <c r="G1701" s="46" t="n"/>
      <c r="H1701" s="46" t="n"/>
      <c r="I1701" s="51" t="n"/>
      <c r="J1701" s="47" t="n"/>
      <c r="K1701" s="47" t="n"/>
      <c r="L1701" s="43">
        <f>IF($B1701="","",ROUND((N($J1701)+N($K1701))*نسبة_القيمة_المضافة,2))</f>
        <v/>
      </c>
      <c r="M1701" s="47" t="n"/>
      <c r="N1701" s="47" t="n"/>
      <c r="O1701" s="43">
        <f>IF($B1701="","",N($J1701)+N($K1701)+N($L1701)-N($M1701)+N($N1701))</f>
        <v/>
      </c>
      <c r="P1701" s="47" t="n"/>
      <c r="Q1701" s="43">
        <f>IF($B1701="","",N($O1701)-N($P1701))</f>
        <v/>
      </c>
      <c r="R1701" s="47" t="n"/>
      <c r="S1701" s="47" t="n"/>
      <c r="T1701" s="47" t="n"/>
      <c r="U1701" s="43">
        <f>IF($B1701="","",N($J1701)-N($R1701)-N($T1701))</f>
        <v/>
      </c>
      <c r="V1701" s="47" t="n"/>
    </row>
    <row r="1702">
      <c r="A1702" s="39">
        <f>IF($B1702="","",COUNTA($B$4:$B1702))</f>
        <v/>
      </c>
      <c r="B1702" s="40" t="n"/>
      <c r="C1702" s="41" t="n"/>
      <c r="D1702" s="41" t="n"/>
      <c r="E1702" s="41" t="n"/>
      <c r="F1702" s="41" t="n"/>
      <c r="G1702" s="41" t="n"/>
      <c r="H1702" s="41" t="n"/>
      <c r="I1702" s="50" t="n"/>
      <c r="J1702" s="42" t="n"/>
      <c r="K1702" s="42" t="n"/>
      <c r="L1702" s="43">
        <f>IF($B1702="","",ROUND((N($J1702)+N($K1702))*نسبة_القيمة_المضافة,2))</f>
        <v/>
      </c>
      <c r="M1702" s="42" t="n"/>
      <c r="N1702" s="42" t="n"/>
      <c r="O1702" s="43">
        <f>IF($B1702="","",N($J1702)+N($K1702)+N($L1702)-N($M1702)+N($N1702))</f>
        <v/>
      </c>
      <c r="P1702" s="42" t="n"/>
      <c r="Q1702" s="43">
        <f>IF($B1702="","",N($O1702)-N($P1702))</f>
        <v/>
      </c>
      <c r="R1702" s="42" t="n"/>
      <c r="S1702" s="42" t="n"/>
      <c r="T1702" s="42" t="n"/>
      <c r="U1702" s="43">
        <f>IF($B1702="","",N($J1702)-N($R1702)-N($T1702))</f>
        <v/>
      </c>
      <c r="V1702" s="42" t="n"/>
    </row>
    <row r="1703">
      <c r="A1703" s="39">
        <f>IF($B1703="","",COUNTA($B$4:$B1703))</f>
        <v/>
      </c>
      <c r="B1703" s="45" t="n"/>
      <c r="C1703" s="46" t="n"/>
      <c r="D1703" s="46" t="n"/>
      <c r="E1703" s="46" t="n"/>
      <c r="F1703" s="46" t="n"/>
      <c r="G1703" s="46" t="n"/>
      <c r="H1703" s="46" t="n"/>
      <c r="I1703" s="51" t="n"/>
      <c r="J1703" s="47" t="n"/>
      <c r="K1703" s="47" t="n"/>
      <c r="L1703" s="43">
        <f>IF($B1703="","",ROUND((N($J1703)+N($K1703))*نسبة_القيمة_المضافة,2))</f>
        <v/>
      </c>
      <c r="M1703" s="47" t="n"/>
      <c r="N1703" s="47" t="n"/>
      <c r="O1703" s="43">
        <f>IF($B1703="","",N($J1703)+N($K1703)+N($L1703)-N($M1703)+N($N1703))</f>
        <v/>
      </c>
      <c r="P1703" s="47" t="n"/>
      <c r="Q1703" s="43">
        <f>IF($B1703="","",N($O1703)-N($P1703))</f>
        <v/>
      </c>
      <c r="R1703" s="47" t="n"/>
      <c r="S1703" s="47" t="n"/>
      <c r="T1703" s="47" t="n"/>
      <c r="U1703" s="43">
        <f>IF($B1703="","",N($J1703)-N($R1703)-N($T1703))</f>
        <v/>
      </c>
      <c r="V1703" s="47" t="n"/>
    </row>
    <row r="1704">
      <c r="A1704" s="39">
        <f>IF($B1704="","",COUNTA($B$4:$B1704))</f>
        <v/>
      </c>
      <c r="B1704" s="40" t="n"/>
      <c r="C1704" s="41" t="n"/>
      <c r="D1704" s="41" t="n"/>
      <c r="E1704" s="41" t="n"/>
      <c r="F1704" s="41" t="n"/>
      <c r="G1704" s="41" t="n"/>
      <c r="H1704" s="41" t="n"/>
      <c r="I1704" s="50" t="n"/>
      <c r="J1704" s="42" t="n"/>
      <c r="K1704" s="42" t="n"/>
      <c r="L1704" s="43">
        <f>IF($B1704="","",ROUND((N($J1704)+N($K1704))*نسبة_القيمة_المضافة,2))</f>
        <v/>
      </c>
      <c r="M1704" s="42" t="n"/>
      <c r="N1704" s="42" t="n"/>
      <c r="O1704" s="43">
        <f>IF($B1704="","",N($J1704)+N($K1704)+N($L1704)-N($M1704)+N($N1704))</f>
        <v/>
      </c>
      <c r="P1704" s="42" t="n"/>
      <c r="Q1704" s="43">
        <f>IF($B1704="","",N($O1704)-N($P1704))</f>
        <v/>
      </c>
      <c r="R1704" s="42" t="n"/>
      <c r="S1704" s="42" t="n"/>
      <c r="T1704" s="42" t="n"/>
      <c r="U1704" s="43">
        <f>IF($B1704="","",N($J1704)-N($R1704)-N($T1704))</f>
        <v/>
      </c>
      <c r="V1704" s="42" t="n"/>
    </row>
    <row r="1705">
      <c r="A1705" s="39">
        <f>IF($B1705="","",COUNTA($B$4:$B1705))</f>
        <v/>
      </c>
      <c r="B1705" s="45" t="n"/>
      <c r="C1705" s="46" t="n"/>
      <c r="D1705" s="46" t="n"/>
      <c r="E1705" s="46" t="n"/>
      <c r="F1705" s="46" t="n"/>
      <c r="G1705" s="46" t="n"/>
      <c r="H1705" s="46" t="n"/>
      <c r="I1705" s="51" t="n"/>
      <c r="J1705" s="47" t="n"/>
      <c r="K1705" s="47" t="n"/>
      <c r="L1705" s="43">
        <f>IF($B1705="","",ROUND((N($J1705)+N($K1705))*نسبة_القيمة_المضافة,2))</f>
        <v/>
      </c>
      <c r="M1705" s="47" t="n"/>
      <c r="N1705" s="47" t="n"/>
      <c r="O1705" s="43">
        <f>IF($B1705="","",N($J1705)+N($K1705)+N($L1705)-N($M1705)+N($N1705))</f>
        <v/>
      </c>
      <c r="P1705" s="47" t="n"/>
      <c r="Q1705" s="43">
        <f>IF($B1705="","",N($O1705)-N($P1705))</f>
        <v/>
      </c>
      <c r="R1705" s="47" t="n"/>
      <c r="S1705" s="47" t="n"/>
      <c r="T1705" s="47" t="n"/>
      <c r="U1705" s="43">
        <f>IF($B1705="","",N($J1705)-N($R1705)-N($T1705))</f>
        <v/>
      </c>
      <c r="V1705" s="47" t="n"/>
    </row>
    <row r="1706">
      <c r="A1706" s="39">
        <f>IF($B1706="","",COUNTA($B$4:$B1706))</f>
        <v/>
      </c>
      <c r="B1706" s="40" t="n"/>
      <c r="C1706" s="41" t="n"/>
      <c r="D1706" s="41" t="n"/>
      <c r="E1706" s="41" t="n"/>
      <c r="F1706" s="41" t="n"/>
      <c r="G1706" s="41" t="n"/>
      <c r="H1706" s="41" t="n"/>
      <c r="I1706" s="50" t="n"/>
      <c r="J1706" s="42" t="n"/>
      <c r="K1706" s="42" t="n"/>
      <c r="L1706" s="43">
        <f>IF($B1706="","",ROUND((N($J1706)+N($K1706))*نسبة_القيمة_المضافة,2))</f>
        <v/>
      </c>
      <c r="M1706" s="42" t="n"/>
      <c r="N1706" s="42" t="n"/>
      <c r="O1706" s="43">
        <f>IF($B1706="","",N($J1706)+N($K1706)+N($L1706)-N($M1706)+N($N1706))</f>
        <v/>
      </c>
      <c r="P1706" s="42" t="n"/>
      <c r="Q1706" s="43">
        <f>IF($B1706="","",N($O1706)-N($P1706))</f>
        <v/>
      </c>
      <c r="R1706" s="42" t="n"/>
      <c r="S1706" s="42" t="n"/>
      <c r="T1706" s="42" t="n"/>
      <c r="U1706" s="43">
        <f>IF($B1706="","",N($J1706)-N($R1706)-N($T1706))</f>
        <v/>
      </c>
      <c r="V1706" s="42" t="n"/>
    </row>
    <row r="1707">
      <c r="A1707" s="39">
        <f>IF($B1707="","",COUNTA($B$4:$B1707))</f>
        <v/>
      </c>
      <c r="B1707" s="45" t="n"/>
      <c r="C1707" s="46" t="n"/>
      <c r="D1707" s="46" t="n"/>
      <c r="E1707" s="46" t="n"/>
      <c r="F1707" s="46" t="n"/>
      <c r="G1707" s="46" t="n"/>
      <c r="H1707" s="46" t="n"/>
      <c r="I1707" s="51" t="n"/>
      <c r="J1707" s="47" t="n"/>
      <c r="K1707" s="47" t="n"/>
      <c r="L1707" s="43">
        <f>IF($B1707="","",ROUND((N($J1707)+N($K1707))*نسبة_القيمة_المضافة,2))</f>
        <v/>
      </c>
      <c r="M1707" s="47" t="n"/>
      <c r="N1707" s="47" t="n"/>
      <c r="O1707" s="43">
        <f>IF($B1707="","",N($J1707)+N($K1707)+N($L1707)-N($M1707)+N($N1707))</f>
        <v/>
      </c>
      <c r="P1707" s="47" t="n"/>
      <c r="Q1707" s="43">
        <f>IF($B1707="","",N($O1707)-N($P1707))</f>
        <v/>
      </c>
      <c r="R1707" s="47" t="n"/>
      <c r="S1707" s="47" t="n"/>
      <c r="T1707" s="47" t="n"/>
      <c r="U1707" s="43">
        <f>IF($B1707="","",N($J1707)-N($R1707)-N($T1707))</f>
        <v/>
      </c>
      <c r="V1707" s="47" t="n"/>
    </row>
    <row r="1708">
      <c r="A1708" s="39">
        <f>IF($B1708="","",COUNTA($B$4:$B1708))</f>
        <v/>
      </c>
      <c r="B1708" s="40" t="n"/>
      <c r="C1708" s="41" t="n"/>
      <c r="D1708" s="41" t="n"/>
      <c r="E1708" s="41" t="n"/>
      <c r="F1708" s="41" t="n"/>
      <c r="G1708" s="41" t="n"/>
      <c r="H1708" s="41" t="n"/>
      <c r="I1708" s="50" t="n"/>
      <c r="J1708" s="42" t="n"/>
      <c r="K1708" s="42" t="n"/>
      <c r="L1708" s="43">
        <f>IF($B1708="","",ROUND((N($J1708)+N($K1708))*نسبة_القيمة_المضافة,2))</f>
        <v/>
      </c>
      <c r="M1708" s="42" t="n"/>
      <c r="N1708" s="42" t="n"/>
      <c r="O1708" s="43">
        <f>IF($B1708="","",N($J1708)+N($K1708)+N($L1708)-N($M1708)+N($N1708))</f>
        <v/>
      </c>
      <c r="P1708" s="42" t="n"/>
      <c r="Q1708" s="43">
        <f>IF($B1708="","",N($O1708)-N($P1708))</f>
        <v/>
      </c>
      <c r="R1708" s="42" t="n"/>
      <c r="S1708" s="42" t="n"/>
      <c r="T1708" s="42" t="n"/>
      <c r="U1708" s="43">
        <f>IF($B1708="","",N($J1708)-N($R1708)-N($T1708))</f>
        <v/>
      </c>
      <c r="V1708" s="42" t="n"/>
    </row>
    <row r="1709">
      <c r="A1709" s="39">
        <f>IF($B1709="","",COUNTA($B$4:$B1709))</f>
        <v/>
      </c>
      <c r="B1709" s="45" t="n"/>
      <c r="C1709" s="46" t="n"/>
      <c r="D1709" s="46" t="n"/>
      <c r="E1709" s="46" t="n"/>
      <c r="F1709" s="46" t="n"/>
      <c r="G1709" s="46" t="n"/>
      <c r="H1709" s="46" t="n"/>
      <c r="I1709" s="51" t="n"/>
      <c r="J1709" s="47" t="n"/>
      <c r="K1709" s="47" t="n"/>
      <c r="L1709" s="43">
        <f>IF($B1709="","",ROUND((N($J1709)+N($K1709))*نسبة_القيمة_المضافة,2))</f>
        <v/>
      </c>
      <c r="M1709" s="47" t="n"/>
      <c r="N1709" s="47" t="n"/>
      <c r="O1709" s="43">
        <f>IF($B1709="","",N($J1709)+N($K1709)+N($L1709)-N($M1709)+N($N1709))</f>
        <v/>
      </c>
      <c r="P1709" s="47" t="n"/>
      <c r="Q1709" s="43">
        <f>IF($B1709="","",N($O1709)-N($P1709))</f>
        <v/>
      </c>
      <c r="R1709" s="47" t="n"/>
      <c r="S1709" s="47" t="n"/>
      <c r="T1709" s="47" t="n"/>
      <c r="U1709" s="43">
        <f>IF($B1709="","",N($J1709)-N($R1709)-N($T1709))</f>
        <v/>
      </c>
      <c r="V1709" s="47" t="n"/>
    </row>
    <row r="1710">
      <c r="A1710" s="39">
        <f>IF($B1710="","",COUNTA($B$4:$B1710))</f>
        <v/>
      </c>
      <c r="B1710" s="40" t="n"/>
      <c r="C1710" s="41" t="n"/>
      <c r="D1710" s="41" t="n"/>
      <c r="E1710" s="41" t="n"/>
      <c r="F1710" s="41" t="n"/>
      <c r="G1710" s="41" t="n"/>
      <c r="H1710" s="41" t="n"/>
      <c r="I1710" s="50" t="n"/>
      <c r="J1710" s="42" t="n"/>
      <c r="K1710" s="42" t="n"/>
      <c r="L1710" s="43">
        <f>IF($B1710="","",ROUND((N($J1710)+N($K1710))*نسبة_القيمة_المضافة,2))</f>
        <v/>
      </c>
      <c r="M1710" s="42" t="n"/>
      <c r="N1710" s="42" t="n"/>
      <c r="O1710" s="43">
        <f>IF($B1710="","",N($J1710)+N($K1710)+N($L1710)-N($M1710)+N($N1710))</f>
        <v/>
      </c>
      <c r="P1710" s="42" t="n"/>
      <c r="Q1710" s="43">
        <f>IF($B1710="","",N($O1710)-N($P1710))</f>
        <v/>
      </c>
      <c r="R1710" s="42" t="n"/>
      <c r="S1710" s="42" t="n"/>
      <c r="T1710" s="42" t="n"/>
      <c r="U1710" s="43">
        <f>IF($B1710="","",N($J1710)-N($R1710)-N($T1710))</f>
        <v/>
      </c>
      <c r="V1710" s="42" t="n"/>
    </row>
    <row r="1711">
      <c r="A1711" s="39">
        <f>IF($B1711="","",COUNTA($B$4:$B1711))</f>
        <v/>
      </c>
      <c r="B1711" s="45" t="n"/>
      <c r="C1711" s="46" t="n"/>
      <c r="D1711" s="46" t="n"/>
      <c r="E1711" s="46" t="n"/>
      <c r="F1711" s="46" t="n"/>
      <c r="G1711" s="46" t="n"/>
      <c r="H1711" s="46" t="n"/>
      <c r="I1711" s="51" t="n"/>
      <c r="J1711" s="47" t="n"/>
      <c r="K1711" s="47" t="n"/>
      <c r="L1711" s="43">
        <f>IF($B1711="","",ROUND((N($J1711)+N($K1711))*نسبة_القيمة_المضافة,2))</f>
        <v/>
      </c>
      <c r="M1711" s="47" t="n"/>
      <c r="N1711" s="47" t="n"/>
      <c r="O1711" s="43">
        <f>IF($B1711="","",N($J1711)+N($K1711)+N($L1711)-N($M1711)+N($N1711))</f>
        <v/>
      </c>
      <c r="P1711" s="47" t="n"/>
      <c r="Q1711" s="43">
        <f>IF($B1711="","",N($O1711)-N($P1711))</f>
        <v/>
      </c>
      <c r="R1711" s="47" t="n"/>
      <c r="S1711" s="47" t="n"/>
      <c r="T1711" s="47" t="n"/>
      <c r="U1711" s="43">
        <f>IF($B1711="","",N($J1711)-N($R1711)-N($T1711))</f>
        <v/>
      </c>
      <c r="V1711" s="47" t="n"/>
    </row>
    <row r="1712">
      <c r="A1712" s="39">
        <f>IF($B1712="","",COUNTA($B$4:$B1712))</f>
        <v/>
      </c>
      <c r="B1712" s="40" t="n"/>
      <c r="C1712" s="41" t="n"/>
      <c r="D1712" s="41" t="n"/>
      <c r="E1712" s="41" t="n"/>
      <c r="F1712" s="41" t="n"/>
      <c r="G1712" s="41" t="n"/>
      <c r="H1712" s="41" t="n"/>
      <c r="I1712" s="50" t="n"/>
      <c r="J1712" s="42" t="n"/>
      <c r="K1712" s="42" t="n"/>
      <c r="L1712" s="43">
        <f>IF($B1712="","",ROUND((N($J1712)+N($K1712))*نسبة_القيمة_المضافة,2))</f>
        <v/>
      </c>
      <c r="M1712" s="42" t="n"/>
      <c r="N1712" s="42" t="n"/>
      <c r="O1712" s="43">
        <f>IF($B1712="","",N($J1712)+N($K1712)+N($L1712)-N($M1712)+N($N1712))</f>
        <v/>
      </c>
      <c r="P1712" s="42" t="n"/>
      <c r="Q1712" s="43">
        <f>IF($B1712="","",N($O1712)-N($P1712))</f>
        <v/>
      </c>
      <c r="R1712" s="42" t="n"/>
      <c r="S1712" s="42" t="n"/>
      <c r="T1712" s="42" t="n"/>
      <c r="U1712" s="43">
        <f>IF($B1712="","",N($J1712)-N($R1712)-N($T1712))</f>
        <v/>
      </c>
      <c r="V1712" s="42" t="n"/>
    </row>
    <row r="1713">
      <c r="A1713" s="39">
        <f>IF($B1713="","",COUNTA($B$4:$B1713))</f>
        <v/>
      </c>
      <c r="B1713" s="45" t="n"/>
      <c r="C1713" s="46" t="n"/>
      <c r="D1713" s="46" t="n"/>
      <c r="E1713" s="46" t="n"/>
      <c r="F1713" s="46" t="n"/>
      <c r="G1713" s="46" t="n"/>
      <c r="H1713" s="46" t="n"/>
      <c r="I1713" s="51" t="n"/>
      <c r="J1713" s="47" t="n"/>
      <c r="K1713" s="47" t="n"/>
      <c r="L1713" s="43">
        <f>IF($B1713="","",ROUND((N($J1713)+N($K1713))*نسبة_القيمة_المضافة,2))</f>
        <v/>
      </c>
      <c r="M1713" s="47" t="n"/>
      <c r="N1713" s="47" t="n"/>
      <c r="O1713" s="43">
        <f>IF($B1713="","",N($J1713)+N($K1713)+N($L1713)-N($M1713)+N($N1713))</f>
        <v/>
      </c>
      <c r="P1713" s="47" t="n"/>
      <c r="Q1713" s="43">
        <f>IF($B1713="","",N($O1713)-N($P1713))</f>
        <v/>
      </c>
      <c r="R1713" s="47" t="n"/>
      <c r="S1713" s="47" t="n"/>
      <c r="T1713" s="47" t="n"/>
      <c r="U1713" s="43">
        <f>IF($B1713="","",N($J1713)-N($R1713)-N($T1713))</f>
        <v/>
      </c>
      <c r="V1713" s="47" t="n"/>
    </row>
    <row r="1714">
      <c r="A1714" s="39">
        <f>IF($B1714="","",COUNTA($B$4:$B1714))</f>
        <v/>
      </c>
      <c r="B1714" s="40" t="n"/>
      <c r="C1714" s="41" t="n"/>
      <c r="D1714" s="41" t="n"/>
      <c r="E1714" s="41" t="n"/>
      <c r="F1714" s="41" t="n"/>
      <c r="G1714" s="41" t="n"/>
      <c r="H1714" s="41" t="n"/>
      <c r="I1714" s="50" t="n"/>
      <c r="J1714" s="42" t="n"/>
      <c r="K1714" s="42" t="n"/>
      <c r="L1714" s="43">
        <f>IF($B1714="","",ROUND((N($J1714)+N($K1714))*نسبة_القيمة_المضافة,2))</f>
        <v/>
      </c>
      <c r="M1714" s="42" t="n"/>
      <c r="N1714" s="42" t="n"/>
      <c r="O1714" s="43">
        <f>IF($B1714="","",N($J1714)+N($K1714)+N($L1714)-N($M1714)+N($N1714))</f>
        <v/>
      </c>
      <c r="P1714" s="42" t="n"/>
      <c r="Q1714" s="43">
        <f>IF($B1714="","",N($O1714)-N($P1714))</f>
        <v/>
      </c>
      <c r="R1714" s="42" t="n"/>
      <c r="S1714" s="42" t="n"/>
      <c r="T1714" s="42" t="n"/>
      <c r="U1714" s="43">
        <f>IF($B1714="","",N($J1714)-N($R1714)-N($T1714))</f>
        <v/>
      </c>
      <c r="V1714" s="42" t="n"/>
    </row>
    <row r="1715">
      <c r="A1715" s="39">
        <f>IF($B1715="","",COUNTA($B$4:$B1715))</f>
        <v/>
      </c>
      <c r="B1715" s="45" t="n"/>
      <c r="C1715" s="46" t="n"/>
      <c r="D1715" s="46" t="n"/>
      <c r="E1715" s="46" t="n"/>
      <c r="F1715" s="46" t="n"/>
      <c r="G1715" s="46" t="n"/>
      <c r="H1715" s="46" t="n"/>
      <c r="I1715" s="51" t="n"/>
      <c r="J1715" s="47" t="n"/>
      <c r="K1715" s="47" t="n"/>
      <c r="L1715" s="43">
        <f>IF($B1715="","",ROUND((N($J1715)+N($K1715))*نسبة_القيمة_المضافة,2))</f>
        <v/>
      </c>
      <c r="M1715" s="47" t="n"/>
      <c r="N1715" s="47" t="n"/>
      <c r="O1715" s="43">
        <f>IF($B1715="","",N($J1715)+N($K1715)+N($L1715)-N($M1715)+N($N1715))</f>
        <v/>
      </c>
      <c r="P1715" s="47" t="n"/>
      <c r="Q1715" s="43">
        <f>IF($B1715="","",N($O1715)-N($P1715))</f>
        <v/>
      </c>
      <c r="R1715" s="47" t="n"/>
      <c r="S1715" s="47" t="n"/>
      <c r="T1715" s="47" t="n"/>
      <c r="U1715" s="43">
        <f>IF($B1715="","",N($J1715)-N($R1715)-N($T1715))</f>
        <v/>
      </c>
      <c r="V1715" s="47" t="n"/>
    </row>
    <row r="1716">
      <c r="A1716" s="39">
        <f>IF($B1716="","",COUNTA($B$4:$B1716))</f>
        <v/>
      </c>
      <c r="B1716" s="40" t="n"/>
      <c r="C1716" s="41" t="n"/>
      <c r="D1716" s="41" t="n"/>
      <c r="E1716" s="41" t="n"/>
      <c r="F1716" s="41" t="n"/>
      <c r="G1716" s="41" t="n"/>
      <c r="H1716" s="41" t="n"/>
      <c r="I1716" s="50" t="n"/>
      <c r="J1716" s="42" t="n"/>
      <c r="K1716" s="42" t="n"/>
      <c r="L1716" s="43">
        <f>IF($B1716="","",ROUND((N($J1716)+N($K1716))*نسبة_القيمة_المضافة,2))</f>
        <v/>
      </c>
      <c r="M1716" s="42" t="n"/>
      <c r="N1716" s="42" t="n"/>
      <c r="O1716" s="43">
        <f>IF($B1716="","",N($J1716)+N($K1716)+N($L1716)-N($M1716)+N($N1716))</f>
        <v/>
      </c>
      <c r="P1716" s="42" t="n"/>
      <c r="Q1716" s="43">
        <f>IF($B1716="","",N($O1716)-N($P1716))</f>
        <v/>
      </c>
      <c r="R1716" s="42" t="n"/>
      <c r="S1716" s="42" t="n"/>
      <c r="T1716" s="42" t="n"/>
      <c r="U1716" s="43">
        <f>IF($B1716="","",N($J1716)-N($R1716)-N($T1716))</f>
        <v/>
      </c>
      <c r="V1716" s="42" t="n"/>
    </row>
    <row r="1717">
      <c r="A1717" s="39">
        <f>IF($B1717="","",COUNTA($B$4:$B1717))</f>
        <v/>
      </c>
      <c r="B1717" s="45" t="n"/>
      <c r="C1717" s="46" t="n"/>
      <c r="D1717" s="46" t="n"/>
      <c r="E1717" s="46" t="n"/>
      <c r="F1717" s="46" t="n"/>
      <c r="G1717" s="46" t="n"/>
      <c r="H1717" s="46" t="n"/>
      <c r="I1717" s="51" t="n"/>
      <c r="J1717" s="47" t="n"/>
      <c r="K1717" s="47" t="n"/>
      <c r="L1717" s="43">
        <f>IF($B1717="","",ROUND((N($J1717)+N($K1717))*نسبة_القيمة_المضافة,2))</f>
        <v/>
      </c>
      <c r="M1717" s="47" t="n"/>
      <c r="N1717" s="47" t="n"/>
      <c r="O1717" s="43">
        <f>IF($B1717="","",N($J1717)+N($K1717)+N($L1717)-N($M1717)+N($N1717))</f>
        <v/>
      </c>
      <c r="P1717" s="47" t="n"/>
      <c r="Q1717" s="43">
        <f>IF($B1717="","",N($O1717)-N($P1717))</f>
        <v/>
      </c>
      <c r="R1717" s="47" t="n"/>
      <c r="S1717" s="47" t="n"/>
      <c r="T1717" s="47" t="n"/>
      <c r="U1717" s="43">
        <f>IF($B1717="","",N($J1717)-N($R1717)-N($T1717))</f>
        <v/>
      </c>
      <c r="V1717" s="47" t="n"/>
    </row>
    <row r="1718">
      <c r="A1718" s="39">
        <f>IF($B1718="","",COUNTA($B$4:$B1718))</f>
        <v/>
      </c>
      <c r="B1718" s="40" t="n"/>
      <c r="C1718" s="41" t="n"/>
      <c r="D1718" s="41" t="n"/>
      <c r="E1718" s="41" t="n"/>
      <c r="F1718" s="41" t="n"/>
      <c r="G1718" s="41" t="n"/>
      <c r="H1718" s="41" t="n"/>
      <c r="I1718" s="50" t="n"/>
      <c r="J1718" s="42" t="n"/>
      <c r="K1718" s="42" t="n"/>
      <c r="L1718" s="43">
        <f>IF($B1718="","",ROUND((N($J1718)+N($K1718))*نسبة_القيمة_المضافة,2))</f>
        <v/>
      </c>
      <c r="M1718" s="42" t="n"/>
      <c r="N1718" s="42" t="n"/>
      <c r="O1718" s="43">
        <f>IF($B1718="","",N($J1718)+N($K1718)+N($L1718)-N($M1718)+N($N1718))</f>
        <v/>
      </c>
      <c r="P1718" s="42" t="n"/>
      <c r="Q1718" s="43">
        <f>IF($B1718="","",N($O1718)-N($P1718))</f>
        <v/>
      </c>
      <c r="R1718" s="42" t="n"/>
      <c r="S1718" s="42" t="n"/>
      <c r="T1718" s="42" t="n"/>
      <c r="U1718" s="43">
        <f>IF($B1718="","",N($J1718)-N($R1718)-N($T1718))</f>
        <v/>
      </c>
      <c r="V1718" s="42" t="n"/>
    </row>
    <row r="1719">
      <c r="A1719" s="39">
        <f>IF($B1719="","",COUNTA($B$4:$B1719))</f>
        <v/>
      </c>
      <c r="B1719" s="45" t="n"/>
      <c r="C1719" s="46" t="n"/>
      <c r="D1719" s="46" t="n"/>
      <c r="E1719" s="46" t="n"/>
      <c r="F1719" s="46" t="n"/>
      <c r="G1719" s="46" t="n"/>
      <c r="H1719" s="46" t="n"/>
      <c r="I1719" s="51" t="n"/>
      <c r="J1719" s="47" t="n"/>
      <c r="K1719" s="47" t="n"/>
      <c r="L1719" s="43">
        <f>IF($B1719="","",ROUND((N($J1719)+N($K1719))*نسبة_القيمة_المضافة,2))</f>
        <v/>
      </c>
      <c r="M1719" s="47" t="n"/>
      <c r="N1719" s="47" t="n"/>
      <c r="O1719" s="43">
        <f>IF($B1719="","",N($J1719)+N($K1719)+N($L1719)-N($M1719)+N($N1719))</f>
        <v/>
      </c>
      <c r="P1719" s="47" t="n"/>
      <c r="Q1719" s="43">
        <f>IF($B1719="","",N($O1719)-N($P1719))</f>
        <v/>
      </c>
      <c r="R1719" s="47" t="n"/>
      <c r="S1719" s="47" t="n"/>
      <c r="T1719" s="47" t="n"/>
      <c r="U1719" s="43">
        <f>IF($B1719="","",N($J1719)-N($R1719)-N($T1719))</f>
        <v/>
      </c>
      <c r="V1719" s="47" t="n"/>
    </row>
    <row r="1720">
      <c r="A1720" s="39">
        <f>IF($B1720="","",COUNTA($B$4:$B1720))</f>
        <v/>
      </c>
      <c r="B1720" s="40" t="n"/>
      <c r="C1720" s="41" t="n"/>
      <c r="D1720" s="41" t="n"/>
      <c r="E1720" s="41" t="n"/>
      <c r="F1720" s="41" t="n"/>
      <c r="G1720" s="41" t="n"/>
      <c r="H1720" s="41" t="n"/>
      <c r="I1720" s="50" t="n"/>
      <c r="J1720" s="42" t="n"/>
      <c r="K1720" s="42" t="n"/>
      <c r="L1720" s="43">
        <f>IF($B1720="","",ROUND((N($J1720)+N($K1720))*نسبة_القيمة_المضافة,2))</f>
        <v/>
      </c>
      <c r="M1720" s="42" t="n"/>
      <c r="N1720" s="42" t="n"/>
      <c r="O1720" s="43">
        <f>IF($B1720="","",N($J1720)+N($K1720)+N($L1720)-N($M1720)+N($N1720))</f>
        <v/>
      </c>
      <c r="P1720" s="42" t="n"/>
      <c r="Q1720" s="43">
        <f>IF($B1720="","",N($O1720)-N($P1720))</f>
        <v/>
      </c>
      <c r="R1720" s="42" t="n"/>
      <c r="S1720" s="42" t="n"/>
      <c r="T1720" s="42" t="n"/>
      <c r="U1720" s="43">
        <f>IF($B1720="","",N($J1720)-N($R1720)-N($T1720))</f>
        <v/>
      </c>
      <c r="V1720" s="42" t="n"/>
    </row>
    <row r="1721">
      <c r="A1721" s="39">
        <f>IF($B1721="","",COUNTA($B$4:$B1721))</f>
        <v/>
      </c>
      <c r="B1721" s="45" t="n"/>
      <c r="C1721" s="46" t="n"/>
      <c r="D1721" s="46" t="n"/>
      <c r="E1721" s="46" t="n"/>
      <c r="F1721" s="46" t="n"/>
      <c r="G1721" s="46" t="n"/>
      <c r="H1721" s="46" t="n"/>
      <c r="I1721" s="51" t="n"/>
      <c r="J1721" s="47" t="n"/>
      <c r="K1721" s="47" t="n"/>
      <c r="L1721" s="43">
        <f>IF($B1721="","",ROUND((N($J1721)+N($K1721))*نسبة_القيمة_المضافة,2))</f>
        <v/>
      </c>
      <c r="M1721" s="47" t="n"/>
      <c r="N1721" s="47" t="n"/>
      <c r="O1721" s="43">
        <f>IF($B1721="","",N($J1721)+N($K1721)+N($L1721)-N($M1721)+N($N1721))</f>
        <v/>
      </c>
      <c r="P1721" s="47" t="n"/>
      <c r="Q1721" s="43">
        <f>IF($B1721="","",N($O1721)-N($P1721))</f>
        <v/>
      </c>
      <c r="R1721" s="47" t="n"/>
      <c r="S1721" s="47" t="n"/>
      <c r="T1721" s="47" t="n"/>
      <c r="U1721" s="43">
        <f>IF($B1721="","",N($J1721)-N($R1721)-N($T1721))</f>
        <v/>
      </c>
      <c r="V1721" s="47" t="n"/>
    </row>
    <row r="1722">
      <c r="A1722" s="39">
        <f>IF($B1722="","",COUNTA($B$4:$B1722))</f>
        <v/>
      </c>
      <c r="B1722" s="40" t="n"/>
      <c r="C1722" s="41" t="n"/>
      <c r="D1722" s="41" t="n"/>
      <c r="E1722" s="41" t="n"/>
      <c r="F1722" s="41" t="n"/>
      <c r="G1722" s="41" t="n"/>
      <c r="H1722" s="41" t="n"/>
      <c r="I1722" s="50" t="n"/>
      <c r="J1722" s="42" t="n"/>
      <c r="K1722" s="42" t="n"/>
      <c r="L1722" s="43">
        <f>IF($B1722="","",ROUND((N($J1722)+N($K1722))*نسبة_القيمة_المضافة,2))</f>
        <v/>
      </c>
      <c r="M1722" s="42" t="n"/>
      <c r="N1722" s="42" t="n"/>
      <c r="O1722" s="43">
        <f>IF($B1722="","",N($J1722)+N($K1722)+N($L1722)-N($M1722)+N($N1722))</f>
        <v/>
      </c>
      <c r="P1722" s="42" t="n"/>
      <c r="Q1722" s="43">
        <f>IF($B1722="","",N($O1722)-N($P1722))</f>
        <v/>
      </c>
      <c r="R1722" s="42" t="n"/>
      <c r="S1722" s="42" t="n"/>
      <c r="T1722" s="42" t="n"/>
      <c r="U1722" s="43">
        <f>IF($B1722="","",N($J1722)-N($R1722)-N($T1722))</f>
        <v/>
      </c>
      <c r="V1722" s="42" t="n"/>
    </row>
    <row r="1723">
      <c r="A1723" s="39">
        <f>IF($B1723="","",COUNTA($B$4:$B1723))</f>
        <v/>
      </c>
      <c r="B1723" s="45" t="n"/>
      <c r="C1723" s="46" t="n"/>
      <c r="D1723" s="46" t="n"/>
      <c r="E1723" s="46" t="n"/>
      <c r="F1723" s="46" t="n"/>
      <c r="G1723" s="46" t="n"/>
      <c r="H1723" s="46" t="n"/>
      <c r="I1723" s="51" t="n"/>
      <c r="J1723" s="47" t="n"/>
      <c r="K1723" s="47" t="n"/>
      <c r="L1723" s="43">
        <f>IF($B1723="","",ROUND((N($J1723)+N($K1723))*نسبة_القيمة_المضافة,2))</f>
        <v/>
      </c>
      <c r="M1723" s="47" t="n"/>
      <c r="N1723" s="47" t="n"/>
      <c r="O1723" s="43">
        <f>IF($B1723="","",N($J1723)+N($K1723)+N($L1723)-N($M1723)+N($N1723))</f>
        <v/>
      </c>
      <c r="P1723" s="47" t="n"/>
      <c r="Q1723" s="43">
        <f>IF($B1723="","",N($O1723)-N($P1723))</f>
        <v/>
      </c>
      <c r="R1723" s="47" t="n"/>
      <c r="S1723" s="47" t="n"/>
      <c r="T1723" s="47" t="n"/>
      <c r="U1723" s="43">
        <f>IF($B1723="","",N($J1723)-N($R1723)-N($T1723))</f>
        <v/>
      </c>
      <c r="V1723" s="47" t="n"/>
    </row>
    <row r="1724">
      <c r="A1724" s="39">
        <f>IF($B1724="","",COUNTA($B$4:$B1724))</f>
        <v/>
      </c>
      <c r="B1724" s="40" t="n"/>
      <c r="C1724" s="41" t="n"/>
      <c r="D1724" s="41" t="n"/>
      <c r="E1724" s="41" t="n"/>
      <c r="F1724" s="41" t="n"/>
      <c r="G1724" s="41" t="n"/>
      <c r="H1724" s="41" t="n"/>
      <c r="I1724" s="50" t="n"/>
      <c r="J1724" s="42" t="n"/>
      <c r="K1724" s="42" t="n"/>
      <c r="L1724" s="43">
        <f>IF($B1724="","",ROUND((N($J1724)+N($K1724))*نسبة_القيمة_المضافة,2))</f>
        <v/>
      </c>
      <c r="M1724" s="42" t="n"/>
      <c r="N1724" s="42" t="n"/>
      <c r="O1724" s="43">
        <f>IF($B1724="","",N($J1724)+N($K1724)+N($L1724)-N($M1724)+N($N1724))</f>
        <v/>
      </c>
      <c r="P1724" s="42" t="n"/>
      <c r="Q1724" s="43">
        <f>IF($B1724="","",N($O1724)-N($P1724))</f>
        <v/>
      </c>
      <c r="R1724" s="42" t="n"/>
      <c r="S1724" s="42" t="n"/>
      <c r="T1724" s="42" t="n"/>
      <c r="U1724" s="43">
        <f>IF($B1724="","",N($J1724)-N($R1724)-N($T1724))</f>
        <v/>
      </c>
      <c r="V1724" s="42" t="n"/>
    </row>
    <row r="1725">
      <c r="A1725" s="39">
        <f>IF($B1725="","",COUNTA($B$4:$B1725))</f>
        <v/>
      </c>
      <c r="B1725" s="45" t="n"/>
      <c r="C1725" s="46" t="n"/>
      <c r="D1725" s="46" t="n"/>
      <c r="E1725" s="46" t="n"/>
      <c r="F1725" s="46" t="n"/>
      <c r="G1725" s="46" t="n"/>
      <c r="H1725" s="46" t="n"/>
      <c r="I1725" s="51" t="n"/>
      <c r="J1725" s="47" t="n"/>
      <c r="K1725" s="47" t="n"/>
      <c r="L1725" s="43">
        <f>IF($B1725="","",ROUND((N($J1725)+N($K1725))*نسبة_القيمة_المضافة,2))</f>
        <v/>
      </c>
      <c r="M1725" s="47" t="n"/>
      <c r="N1725" s="47" t="n"/>
      <c r="O1725" s="43">
        <f>IF($B1725="","",N($J1725)+N($K1725)+N($L1725)-N($M1725)+N($N1725))</f>
        <v/>
      </c>
      <c r="P1725" s="47" t="n"/>
      <c r="Q1725" s="43">
        <f>IF($B1725="","",N($O1725)-N($P1725))</f>
        <v/>
      </c>
      <c r="R1725" s="47" t="n"/>
      <c r="S1725" s="47" t="n"/>
      <c r="T1725" s="47" t="n"/>
      <c r="U1725" s="43">
        <f>IF($B1725="","",N($J1725)-N($R1725)-N($T1725))</f>
        <v/>
      </c>
      <c r="V1725" s="47" t="n"/>
    </row>
    <row r="1726">
      <c r="A1726" s="39">
        <f>IF($B1726="","",COUNTA($B$4:$B1726))</f>
        <v/>
      </c>
      <c r="B1726" s="40" t="n"/>
      <c r="C1726" s="41" t="n"/>
      <c r="D1726" s="41" t="n"/>
      <c r="E1726" s="41" t="n"/>
      <c r="F1726" s="41" t="n"/>
      <c r="G1726" s="41" t="n"/>
      <c r="H1726" s="41" t="n"/>
      <c r="I1726" s="50" t="n"/>
      <c r="J1726" s="42" t="n"/>
      <c r="K1726" s="42" t="n"/>
      <c r="L1726" s="43">
        <f>IF($B1726="","",ROUND((N($J1726)+N($K1726))*نسبة_القيمة_المضافة,2))</f>
        <v/>
      </c>
      <c r="M1726" s="42" t="n"/>
      <c r="N1726" s="42" t="n"/>
      <c r="O1726" s="43">
        <f>IF($B1726="","",N($J1726)+N($K1726)+N($L1726)-N($M1726)+N($N1726))</f>
        <v/>
      </c>
      <c r="P1726" s="42" t="n"/>
      <c r="Q1726" s="43">
        <f>IF($B1726="","",N($O1726)-N($P1726))</f>
        <v/>
      </c>
      <c r="R1726" s="42" t="n"/>
      <c r="S1726" s="42" t="n"/>
      <c r="T1726" s="42" t="n"/>
      <c r="U1726" s="43">
        <f>IF($B1726="","",N($J1726)-N($R1726)-N($T1726))</f>
        <v/>
      </c>
      <c r="V1726" s="42" t="n"/>
    </row>
    <row r="1727">
      <c r="A1727" s="39">
        <f>IF($B1727="","",COUNTA($B$4:$B1727))</f>
        <v/>
      </c>
      <c r="B1727" s="45" t="n"/>
      <c r="C1727" s="46" t="n"/>
      <c r="D1727" s="46" t="n"/>
      <c r="E1727" s="46" t="n"/>
      <c r="F1727" s="46" t="n"/>
      <c r="G1727" s="46" t="n"/>
      <c r="H1727" s="46" t="n"/>
      <c r="I1727" s="51" t="n"/>
      <c r="J1727" s="47" t="n"/>
      <c r="K1727" s="47" t="n"/>
      <c r="L1727" s="43">
        <f>IF($B1727="","",ROUND((N($J1727)+N($K1727))*نسبة_القيمة_المضافة,2))</f>
        <v/>
      </c>
      <c r="M1727" s="47" t="n"/>
      <c r="N1727" s="47" t="n"/>
      <c r="O1727" s="43">
        <f>IF($B1727="","",N($J1727)+N($K1727)+N($L1727)-N($M1727)+N($N1727))</f>
        <v/>
      </c>
      <c r="P1727" s="47" t="n"/>
      <c r="Q1727" s="43">
        <f>IF($B1727="","",N($O1727)-N($P1727))</f>
        <v/>
      </c>
      <c r="R1727" s="47" t="n"/>
      <c r="S1727" s="47" t="n"/>
      <c r="T1727" s="47" t="n"/>
      <c r="U1727" s="43">
        <f>IF($B1727="","",N($J1727)-N($R1727)-N($T1727))</f>
        <v/>
      </c>
      <c r="V1727" s="47" t="n"/>
    </row>
    <row r="1728">
      <c r="A1728" s="39">
        <f>IF($B1728="","",COUNTA($B$4:$B1728))</f>
        <v/>
      </c>
      <c r="B1728" s="40" t="n"/>
      <c r="C1728" s="41" t="n"/>
      <c r="D1728" s="41" t="n"/>
      <c r="E1728" s="41" t="n"/>
      <c r="F1728" s="41" t="n"/>
      <c r="G1728" s="41" t="n"/>
      <c r="H1728" s="41" t="n"/>
      <c r="I1728" s="50" t="n"/>
      <c r="J1728" s="42" t="n"/>
      <c r="K1728" s="42" t="n"/>
      <c r="L1728" s="43">
        <f>IF($B1728="","",ROUND((N($J1728)+N($K1728))*نسبة_القيمة_المضافة,2))</f>
        <v/>
      </c>
      <c r="M1728" s="42" t="n"/>
      <c r="N1728" s="42" t="n"/>
      <c r="O1728" s="43">
        <f>IF($B1728="","",N($J1728)+N($K1728)+N($L1728)-N($M1728)+N($N1728))</f>
        <v/>
      </c>
      <c r="P1728" s="42" t="n"/>
      <c r="Q1728" s="43">
        <f>IF($B1728="","",N($O1728)-N($P1728))</f>
        <v/>
      </c>
      <c r="R1728" s="42" t="n"/>
      <c r="S1728" s="42" t="n"/>
      <c r="T1728" s="42" t="n"/>
      <c r="U1728" s="43">
        <f>IF($B1728="","",N($J1728)-N($R1728)-N($T1728))</f>
        <v/>
      </c>
      <c r="V1728" s="42" t="n"/>
    </row>
    <row r="1729">
      <c r="A1729" s="39">
        <f>IF($B1729="","",COUNTA($B$4:$B1729))</f>
        <v/>
      </c>
      <c r="B1729" s="45" t="n"/>
      <c r="C1729" s="46" t="n"/>
      <c r="D1729" s="46" t="n"/>
      <c r="E1729" s="46" t="n"/>
      <c r="F1729" s="46" t="n"/>
      <c r="G1729" s="46" t="n"/>
      <c r="H1729" s="46" t="n"/>
      <c r="I1729" s="51" t="n"/>
      <c r="J1729" s="47" t="n"/>
      <c r="K1729" s="47" t="n"/>
      <c r="L1729" s="43">
        <f>IF($B1729="","",ROUND((N($J1729)+N($K1729))*نسبة_القيمة_المضافة,2))</f>
        <v/>
      </c>
      <c r="M1729" s="47" t="n"/>
      <c r="N1729" s="47" t="n"/>
      <c r="O1729" s="43">
        <f>IF($B1729="","",N($J1729)+N($K1729)+N($L1729)-N($M1729)+N($N1729))</f>
        <v/>
      </c>
      <c r="P1729" s="47" t="n"/>
      <c r="Q1729" s="43">
        <f>IF($B1729="","",N($O1729)-N($P1729))</f>
        <v/>
      </c>
      <c r="R1729" s="47" t="n"/>
      <c r="S1729" s="47" t="n"/>
      <c r="T1729" s="47" t="n"/>
      <c r="U1729" s="43">
        <f>IF($B1729="","",N($J1729)-N($R1729)-N($T1729))</f>
        <v/>
      </c>
      <c r="V1729" s="47" t="n"/>
    </row>
    <row r="1730">
      <c r="A1730" s="39">
        <f>IF($B1730="","",COUNTA($B$4:$B1730))</f>
        <v/>
      </c>
      <c r="B1730" s="40" t="n"/>
      <c r="C1730" s="41" t="n"/>
      <c r="D1730" s="41" t="n"/>
      <c r="E1730" s="41" t="n"/>
      <c r="F1730" s="41" t="n"/>
      <c r="G1730" s="41" t="n"/>
      <c r="H1730" s="41" t="n"/>
      <c r="I1730" s="50" t="n"/>
      <c r="J1730" s="42" t="n"/>
      <c r="K1730" s="42" t="n"/>
      <c r="L1730" s="43">
        <f>IF($B1730="","",ROUND((N($J1730)+N($K1730))*نسبة_القيمة_المضافة,2))</f>
        <v/>
      </c>
      <c r="M1730" s="42" t="n"/>
      <c r="N1730" s="42" t="n"/>
      <c r="O1730" s="43">
        <f>IF($B1730="","",N($J1730)+N($K1730)+N($L1730)-N($M1730)+N($N1730))</f>
        <v/>
      </c>
      <c r="P1730" s="42" t="n"/>
      <c r="Q1730" s="43">
        <f>IF($B1730="","",N($O1730)-N($P1730))</f>
        <v/>
      </c>
      <c r="R1730" s="42" t="n"/>
      <c r="S1730" s="42" t="n"/>
      <c r="T1730" s="42" t="n"/>
      <c r="U1730" s="43">
        <f>IF($B1730="","",N($J1730)-N($R1730)-N($T1730))</f>
        <v/>
      </c>
      <c r="V1730" s="42" t="n"/>
    </row>
    <row r="1731">
      <c r="A1731" s="39">
        <f>IF($B1731="","",COUNTA($B$4:$B1731))</f>
        <v/>
      </c>
      <c r="B1731" s="45" t="n"/>
      <c r="C1731" s="46" t="n"/>
      <c r="D1731" s="46" t="n"/>
      <c r="E1731" s="46" t="n"/>
      <c r="F1731" s="46" t="n"/>
      <c r="G1731" s="46" t="n"/>
      <c r="H1731" s="46" t="n"/>
      <c r="I1731" s="51" t="n"/>
      <c r="J1731" s="47" t="n"/>
      <c r="K1731" s="47" t="n"/>
      <c r="L1731" s="43">
        <f>IF($B1731="","",ROUND((N($J1731)+N($K1731))*نسبة_القيمة_المضافة,2))</f>
        <v/>
      </c>
      <c r="M1731" s="47" t="n"/>
      <c r="N1731" s="47" t="n"/>
      <c r="O1731" s="43">
        <f>IF($B1731="","",N($J1731)+N($K1731)+N($L1731)-N($M1731)+N($N1731))</f>
        <v/>
      </c>
      <c r="P1731" s="47" t="n"/>
      <c r="Q1731" s="43">
        <f>IF($B1731="","",N($O1731)-N($P1731))</f>
        <v/>
      </c>
      <c r="R1731" s="47" t="n"/>
      <c r="S1731" s="47" t="n"/>
      <c r="T1731" s="47" t="n"/>
      <c r="U1731" s="43">
        <f>IF($B1731="","",N($J1731)-N($R1731)-N($T1731))</f>
        <v/>
      </c>
      <c r="V1731" s="47" t="n"/>
    </row>
    <row r="1732">
      <c r="A1732" s="39">
        <f>IF($B1732="","",COUNTA($B$4:$B1732))</f>
        <v/>
      </c>
      <c r="B1732" s="40" t="n"/>
      <c r="C1732" s="41" t="n"/>
      <c r="D1732" s="41" t="n"/>
      <c r="E1732" s="41" t="n"/>
      <c r="F1732" s="41" t="n"/>
      <c r="G1732" s="41" t="n"/>
      <c r="H1732" s="41" t="n"/>
      <c r="I1732" s="50" t="n"/>
      <c r="J1732" s="42" t="n"/>
      <c r="K1732" s="42" t="n"/>
      <c r="L1732" s="43">
        <f>IF($B1732="","",ROUND((N($J1732)+N($K1732))*نسبة_القيمة_المضافة,2))</f>
        <v/>
      </c>
      <c r="M1732" s="42" t="n"/>
      <c r="N1732" s="42" t="n"/>
      <c r="O1732" s="43">
        <f>IF($B1732="","",N($J1732)+N($K1732)+N($L1732)-N($M1732)+N($N1732))</f>
        <v/>
      </c>
      <c r="P1732" s="42" t="n"/>
      <c r="Q1732" s="43">
        <f>IF($B1732="","",N($O1732)-N($P1732))</f>
        <v/>
      </c>
      <c r="R1732" s="42" t="n"/>
      <c r="S1732" s="42" t="n"/>
      <c r="T1732" s="42" t="n"/>
      <c r="U1732" s="43">
        <f>IF($B1732="","",N($J1732)-N($R1732)-N($T1732))</f>
        <v/>
      </c>
      <c r="V1732" s="42" t="n"/>
    </row>
    <row r="1733">
      <c r="A1733" s="39">
        <f>IF($B1733="","",COUNTA($B$4:$B1733))</f>
        <v/>
      </c>
      <c r="B1733" s="45" t="n"/>
      <c r="C1733" s="46" t="n"/>
      <c r="D1733" s="46" t="n"/>
      <c r="E1733" s="46" t="n"/>
      <c r="F1733" s="46" t="n"/>
      <c r="G1733" s="46" t="n"/>
      <c r="H1733" s="46" t="n"/>
      <c r="I1733" s="51" t="n"/>
      <c r="J1733" s="47" t="n"/>
      <c r="K1733" s="47" t="n"/>
      <c r="L1733" s="43">
        <f>IF($B1733="","",ROUND((N($J1733)+N($K1733))*نسبة_القيمة_المضافة,2))</f>
        <v/>
      </c>
      <c r="M1733" s="47" t="n"/>
      <c r="N1733" s="47" t="n"/>
      <c r="O1733" s="43">
        <f>IF($B1733="","",N($J1733)+N($K1733)+N($L1733)-N($M1733)+N($N1733))</f>
        <v/>
      </c>
      <c r="P1733" s="47" t="n"/>
      <c r="Q1733" s="43">
        <f>IF($B1733="","",N($O1733)-N($P1733))</f>
        <v/>
      </c>
      <c r="R1733" s="47" t="n"/>
      <c r="S1733" s="47" t="n"/>
      <c r="T1733" s="47" t="n"/>
      <c r="U1733" s="43">
        <f>IF($B1733="","",N($J1733)-N($R1733)-N($T1733))</f>
        <v/>
      </c>
      <c r="V1733" s="47" t="n"/>
    </row>
    <row r="1734">
      <c r="A1734" s="39">
        <f>IF($B1734="","",COUNTA($B$4:$B1734))</f>
        <v/>
      </c>
      <c r="B1734" s="40" t="n"/>
      <c r="C1734" s="41" t="n"/>
      <c r="D1734" s="41" t="n"/>
      <c r="E1734" s="41" t="n"/>
      <c r="F1734" s="41" t="n"/>
      <c r="G1734" s="41" t="n"/>
      <c r="H1734" s="41" t="n"/>
      <c r="I1734" s="50" t="n"/>
      <c r="J1734" s="42" t="n"/>
      <c r="K1734" s="42" t="n"/>
      <c r="L1734" s="43">
        <f>IF($B1734="","",ROUND((N($J1734)+N($K1734))*نسبة_القيمة_المضافة,2))</f>
        <v/>
      </c>
      <c r="M1734" s="42" t="n"/>
      <c r="N1734" s="42" t="n"/>
      <c r="O1734" s="43">
        <f>IF($B1734="","",N($J1734)+N($K1734)+N($L1734)-N($M1734)+N($N1734))</f>
        <v/>
      </c>
      <c r="P1734" s="42" t="n"/>
      <c r="Q1734" s="43">
        <f>IF($B1734="","",N($O1734)-N($P1734))</f>
        <v/>
      </c>
      <c r="R1734" s="42" t="n"/>
      <c r="S1734" s="42" t="n"/>
      <c r="T1734" s="42" t="n"/>
      <c r="U1734" s="43">
        <f>IF($B1734="","",N($J1734)-N($R1734)-N($T1734))</f>
        <v/>
      </c>
      <c r="V1734" s="42" t="n"/>
    </row>
    <row r="1735">
      <c r="A1735" s="39">
        <f>IF($B1735="","",COUNTA($B$4:$B1735))</f>
        <v/>
      </c>
      <c r="B1735" s="45" t="n"/>
      <c r="C1735" s="46" t="n"/>
      <c r="D1735" s="46" t="n"/>
      <c r="E1735" s="46" t="n"/>
      <c r="F1735" s="46" t="n"/>
      <c r="G1735" s="46" t="n"/>
      <c r="H1735" s="46" t="n"/>
      <c r="I1735" s="51" t="n"/>
      <c r="J1735" s="47" t="n"/>
      <c r="K1735" s="47" t="n"/>
      <c r="L1735" s="43">
        <f>IF($B1735="","",ROUND((N($J1735)+N($K1735))*نسبة_القيمة_المضافة,2))</f>
        <v/>
      </c>
      <c r="M1735" s="47" t="n"/>
      <c r="N1735" s="47" t="n"/>
      <c r="O1735" s="43">
        <f>IF($B1735="","",N($J1735)+N($K1735)+N($L1735)-N($M1735)+N($N1735))</f>
        <v/>
      </c>
      <c r="P1735" s="47" t="n"/>
      <c r="Q1735" s="43">
        <f>IF($B1735="","",N($O1735)-N($P1735))</f>
        <v/>
      </c>
      <c r="R1735" s="47" t="n"/>
      <c r="S1735" s="47" t="n"/>
      <c r="T1735" s="47" t="n"/>
      <c r="U1735" s="43">
        <f>IF($B1735="","",N($J1735)-N($R1735)-N($T1735))</f>
        <v/>
      </c>
      <c r="V1735" s="47" t="n"/>
    </row>
    <row r="1736">
      <c r="A1736" s="39">
        <f>IF($B1736="","",COUNTA($B$4:$B1736))</f>
        <v/>
      </c>
      <c r="B1736" s="40" t="n"/>
      <c r="C1736" s="41" t="n"/>
      <c r="D1736" s="41" t="n"/>
      <c r="E1736" s="41" t="n"/>
      <c r="F1736" s="41" t="n"/>
      <c r="G1736" s="41" t="n"/>
      <c r="H1736" s="41" t="n"/>
      <c r="I1736" s="50" t="n"/>
      <c r="J1736" s="42" t="n"/>
      <c r="K1736" s="42" t="n"/>
      <c r="L1736" s="43">
        <f>IF($B1736="","",ROUND((N($J1736)+N($K1736))*نسبة_القيمة_المضافة,2))</f>
        <v/>
      </c>
      <c r="M1736" s="42" t="n"/>
      <c r="N1736" s="42" t="n"/>
      <c r="O1736" s="43">
        <f>IF($B1736="","",N($J1736)+N($K1736)+N($L1736)-N($M1736)+N($N1736))</f>
        <v/>
      </c>
      <c r="P1736" s="42" t="n"/>
      <c r="Q1736" s="43">
        <f>IF($B1736="","",N($O1736)-N($P1736))</f>
        <v/>
      </c>
      <c r="R1736" s="42" t="n"/>
      <c r="S1736" s="42" t="n"/>
      <c r="T1736" s="42" t="n"/>
      <c r="U1736" s="43">
        <f>IF($B1736="","",N($J1736)-N($R1736)-N($T1736))</f>
        <v/>
      </c>
      <c r="V1736" s="42" t="n"/>
    </row>
    <row r="1737">
      <c r="A1737" s="39">
        <f>IF($B1737="","",COUNTA($B$4:$B1737))</f>
        <v/>
      </c>
      <c r="B1737" s="45" t="n"/>
      <c r="C1737" s="46" t="n"/>
      <c r="D1737" s="46" t="n"/>
      <c r="E1737" s="46" t="n"/>
      <c r="F1737" s="46" t="n"/>
      <c r="G1737" s="46" t="n"/>
      <c r="H1737" s="46" t="n"/>
      <c r="I1737" s="51" t="n"/>
      <c r="J1737" s="47" t="n"/>
      <c r="K1737" s="47" t="n"/>
      <c r="L1737" s="43">
        <f>IF($B1737="","",ROUND((N($J1737)+N($K1737))*نسبة_القيمة_المضافة,2))</f>
        <v/>
      </c>
      <c r="M1737" s="47" t="n"/>
      <c r="N1737" s="47" t="n"/>
      <c r="O1737" s="43">
        <f>IF($B1737="","",N($J1737)+N($K1737)+N($L1737)-N($M1737)+N($N1737))</f>
        <v/>
      </c>
      <c r="P1737" s="47" t="n"/>
      <c r="Q1737" s="43">
        <f>IF($B1737="","",N($O1737)-N($P1737))</f>
        <v/>
      </c>
      <c r="R1737" s="47" t="n"/>
      <c r="S1737" s="47" t="n"/>
      <c r="T1737" s="47" t="n"/>
      <c r="U1737" s="43">
        <f>IF($B1737="","",N($J1737)-N($R1737)-N($T1737))</f>
        <v/>
      </c>
      <c r="V1737" s="47" t="n"/>
    </row>
    <row r="1738">
      <c r="A1738" s="39">
        <f>IF($B1738="","",COUNTA($B$4:$B1738))</f>
        <v/>
      </c>
      <c r="B1738" s="40" t="n"/>
      <c r="C1738" s="41" t="n"/>
      <c r="D1738" s="41" t="n"/>
      <c r="E1738" s="41" t="n"/>
      <c r="F1738" s="41" t="n"/>
      <c r="G1738" s="41" t="n"/>
      <c r="H1738" s="41" t="n"/>
      <c r="I1738" s="50" t="n"/>
      <c r="J1738" s="42" t="n"/>
      <c r="K1738" s="42" t="n"/>
      <c r="L1738" s="43">
        <f>IF($B1738="","",ROUND((N($J1738)+N($K1738))*نسبة_القيمة_المضافة,2))</f>
        <v/>
      </c>
      <c r="M1738" s="42" t="n"/>
      <c r="N1738" s="42" t="n"/>
      <c r="O1738" s="43">
        <f>IF($B1738="","",N($J1738)+N($K1738)+N($L1738)-N($M1738)+N($N1738))</f>
        <v/>
      </c>
      <c r="P1738" s="42" t="n"/>
      <c r="Q1738" s="43">
        <f>IF($B1738="","",N($O1738)-N($P1738))</f>
        <v/>
      </c>
      <c r="R1738" s="42" t="n"/>
      <c r="S1738" s="42" t="n"/>
      <c r="T1738" s="42" t="n"/>
      <c r="U1738" s="43">
        <f>IF($B1738="","",N($J1738)-N($R1738)-N($T1738))</f>
        <v/>
      </c>
      <c r="V1738" s="42" t="n"/>
    </row>
    <row r="1739">
      <c r="A1739" s="39">
        <f>IF($B1739="","",COUNTA($B$4:$B1739))</f>
        <v/>
      </c>
      <c r="B1739" s="45" t="n"/>
      <c r="C1739" s="46" t="n"/>
      <c r="D1739" s="46" t="n"/>
      <c r="E1739" s="46" t="n"/>
      <c r="F1739" s="46" t="n"/>
      <c r="G1739" s="46" t="n"/>
      <c r="H1739" s="46" t="n"/>
      <c r="I1739" s="51" t="n"/>
      <c r="J1739" s="47" t="n"/>
      <c r="K1739" s="47" t="n"/>
      <c r="L1739" s="43">
        <f>IF($B1739="","",ROUND((N($J1739)+N($K1739))*نسبة_القيمة_المضافة,2))</f>
        <v/>
      </c>
      <c r="M1739" s="47" t="n"/>
      <c r="N1739" s="47" t="n"/>
      <c r="O1739" s="43">
        <f>IF($B1739="","",N($J1739)+N($K1739)+N($L1739)-N($M1739)+N($N1739))</f>
        <v/>
      </c>
      <c r="P1739" s="47" t="n"/>
      <c r="Q1739" s="43">
        <f>IF($B1739="","",N($O1739)-N($P1739))</f>
        <v/>
      </c>
      <c r="R1739" s="47" t="n"/>
      <c r="S1739" s="47" t="n"/>
      <c r="T1739" s="47" t="n"/>
      <c r="U1739" s="43">
        <f>IF($B1739="","",N($J1739)-N($R1739)-N($T1739))</f>
        <v/>
      </c>
      <c r="V1739" s="47" t="n"/>
    </row>
    <row r="1740">
      <c r="A1740" s="39">
        <f>IF($B1740="","",COUNTA($B$4:$B1740))</f>
        <v/>
      </c>
      <c r="B1740" s="40" t="n"/>
      <c r="C1740" s="41" t="n"/>
      <c r="D1740" s="41" t="n"/>
      <c r="E1740" s="41" t="n"/>
      <c r="F1740" s="41" t="n"/>
      <c r="G1740" s="41" t="n"/>
      <c r="H1740" s="41" t="n"/>
      <c r="I1740" s="50" t="n"/>
      <c r="J1740" s="42" t="n"/>
      <c r="K1740" s="42" t="n"/>
      <c r="L1740" s="43">
        <f>IF($B1740="","",ROUND((N($J1740)+N($K1740))*نسبة_القيمة_المضافة,2))</f>
        <v/>
      </c>
      <c r="M1740" s="42" t="n"/>
      <c r="N1740" s="42" t="n"/>
      <c r="O1740" s="43">
        <f>IF($B1740="","",N($J1740)+N($K1740)+N($L1740)-N($M1740)+N($N1740))</f>
        <v/>
      </c>
      <c r="P1740" s="42" t="n"/>
      <c r="Q1740" s="43">
        <f>IF($B1740="","",N($O1740)-N($P1740))</f>
        <v/>
      </c>
      <c r="R1740" s="42" t="n"/>
      <c r="S1740" s="42" t="n"/>
      <c r="T1740" s="42" t="n"/>
      <c r="U1740" s="43">
        <f>IF($B1740="","",N($J1740)-N($R1740)-N($T1740))</f>
        <v/>
      </c>
      <c r="V1740" s="42" t="n"/>
    </row>
    <row r="1741">
      <c r="A1741" s="39">
        <f>IF($B1741="","",COUNTA($B$4:$B1741))</f>
        <v/>
      </c>
      <c r="B1741" s="45" t="n"/>
      <c r="C1741" s="46" t="n"/>
      <c r="D1741" s="46" t="n"/>
      <c r="E1741" s="46" t="n"/>
      <c r="F1741" s="46" t="n"/>
      <c r="G1741" s="46" t="n"/>
      <c r="H1741" s="46" t="n"/>
      <c r="I1741" s="51" t="n"/>
      <c r="J1741" s="47" t="n"/>
      <c r="K1741" s="47" t="n"/>
      <c r="L1741" s="43">
        <f>IF($B1741="","",ROUND((N($J1741)+N($K1741))*نسبة_القيمة_المضافة,2))</f>
        <v/>
      </c>
      <c r="M1741" s="47" t="n"/>
      <c r="N1741" s="47" t="n"/>
      <c r="O1741" s="43">
        <f>IF($B1741="","",N($J1741)+N($K1741)+N($L1741)-N($M1741)+N($N1741))</f>
        <v/>
      </c>
      <c r="P1741" s="47" t="n"/>
      <c r="Q1741" s="43">
        <f>IF($B1741="","",N($O1741)-N($P1741))</f>
        <v/>
      </c>
      <c r="R1741" s="47" t="n"/>
      <c r="S1741" s="47" t="n"/>
      <c r="T1741" s="47" t="n"/>
      <c r="U1741" s="43">
        <f>IF($B1741="","",N($J1741)-N($R1741)-N($T1741))</f>
        <v/>
      </c>
      <c r="V1741" s="47" t="n"/>
    </row>
    <row r="1742">
      <c r="A1742" s="39">
        <f>IF($B1742="","",COUNTA($B$4:$B1742))</f>
        <v/>
      </c>
      <c r="B1742" s="40" t="n"/>
      <c r="C1742" s="41" t="n"/>
      <c r="D1742" s="41" t="n"/>
      <c r="E1742" s="41" t="n"/>
      <c r="F1742" s="41" t="n"/>
      <c r="G1742" s="41" t="n"/>
      <c r="H1742" s="41" t="n"/>
      <c r="I1742" s="50" t="n"/>
      <c r="J1742" s="42" t="n"/>
      <c r="K1742" s="42" t="n"/>
      <c r="L1742" s="43">
        <f>IF($B1742="","",ROUND((N($J1742)+N($K1742))*نسبة_القيمة_المضافة,2))</f>
        <v/>
      </c>
      <c r="M1742" s="42" t="n"/>
      <c r="N1742" s="42" t="n"/>
      <c r="O1742" s="43">
        <f>IF($B1742="","",N($J1742)+N($K1742)+N($L1742)-N($M1742)+N($N1742))</f>
        <v/>
      </c>
      <c r="P1742" s="42" t="n"/>
      <c r="Q1742" s="43">
        <f>IF($B1742="","",N($O1742)-N($P1742))</f>
        <v/>
      </c>
      <c r="R1742" s="42" t="n"/>
      <c r="S1742" s="42" t="n"/>
      <c r="T1742" s="42" t="n"/>
      <c r="U1742" s="43">
        <f>IF($B1742="","",N($J1742)-N($R1742)-N($T1742))</f>
        <v/>
      </c>
      <c r="V1742" s="42" t="n"/>
    </row>
    <row r="1743">
      <c r="A1743" s="39">
        <f>IF($B1743="","",COUNTA($B$4:$B1743))</f>
        <v/>
      </c>
      <c r="B1743" s="45" t="n"/>
      <c r="C1743" s="46" t="n"/>
      <c r="D1743" s="46" t="n"/>
      <c r="E1743" s="46" t="n"/>
      <c r="F1743" s="46" t="n"/>
      <c r="G1743" s="46" t="n"/>
      <c r="H1743" s="46" t="n"/>
      <c r="I1743" s="51" t="n"/>
      <c r="J1743" s="47" t="n"/>
      <c r="K1743" s="47" t="n"/>
      <c r="L1743" s="43">
        <f>IF($B1743="","",ROUND((N($J1743)+N($K1743))*نسبة_القيمة_المضافة,2))</f>
        <v/>
      </c>
      <c r="M1743" s="47" t="n"/>
      <c r="N1743" s="47" t="n"/>
      <c r="O1743" s="43">
        <f>IF($B1743="","",N($J1743)+N($K1743)+N($L1743)-N($M1743)+N($N1743))</f>
        <v/>
      </c>
      <c r="P1743" s="47" t="n"/>
      <c r="Q1743" s="43">
        <f>IF($B1743="","",N($O1743)-N($P1743))</f>
        <v/>
      </c>
      <c r="R1743" s="47" t="n"/>
      <c r="S1743" s="47" t="n"/>
      <c r="T1743" s="47" t="n"/>
      <c r="U1743" s="43">
        <f>IF($B1743="","",N($J1743)-N($R1743)-N($T1743))</f>
        <v/>
      </c>
      <c r="V1743" s="47" t="n"/>
    </row>
    <row r="1744">
      <c r="A1744" s="39">
        <f>IF($B1744="","",COUNTA($B$4:$B1744))</f>
        <v/>
      </c>
      <c r="B1744" s="40" t="n"/>
      <c r="C1744" s="41" t="n"/>
      <c r="D1744" s="41" t="n"/>
      <c r="E1744" s="41" t="n"/>
      <c r="F1744" s="41" t="n"/>
      <c r="G1744" s="41" t="n"/>
      <c r="H1744" s="41" t="n"/>
      <c r="I1744" s="50" t="n"/>
      <c r="J1744" s="42" t="n"/>
      <c r="K1744" s="42" t="n"/>
      <c r="L1744" s="43">
        <f>IF($B1744="","",ROUND((N($J1744)+N($K1744))*نسبة_القيمة_المضافة,2))</f>
        <v/>
      </c>
      <c r="M1744" s="42" t="n"/>
      <c r="N1744" s="42" t="n"/>
      <c r="O1744" s="43">
        <f>IF($B1744="","",N($J1744)+N($K1744)+N($L1744)-N($M1744)+N($N1744))</f>
        <v/>
      </c>
      <c r="P1744" s="42" t="n"/>
      <c r="Q1744" s="43">
        <f>IF($B1744="","",N($O1744)-N($P1744))</f>
        <v/>
      </c>
      <c r="R1744" s="42" t="n"/>
      <c r="S1744" s="42" t="n"/>
      <c r="T1744" s="42" t="n"/>
      <c r="U1744" s="43">
        <f>IF($B1744="","",N($J1744)-N($R1744)-N($T1744))</f>
        <v/>
      </c>
      <c r="V1744" s="42" t="n"/>
    </row>
    <row r="1745">
      <c r="A1745" s="39">
        <f>IF($B1745="","",COUNTA($B$4:$B1745))</f>
        <v/>
      </c>
      <c r="B1745" s="45" t="n"/>
      <c r="C1745" s="46" t="n"/>
      <c r="D1745" s="46" t="n"/>
      <c r="E1745" s="46" t="n"/>
      <c r="F1745" s="46" t="n"/>
      <c r="G1745" s="46" t="n"/>
      <c r="H1745" s="46" t="n"/>
      <c r="I1745" s="51" t="n"/>
      <c r="J1745" s="47" t="n"/>
      <c r="K1745" s="47" t="n"/>
      <c r="L1745" s="43">
        <f>IF($B1745="","",ROUND((N($J1745)+N($K1745))*نسبة_القيمة_المضافة,2))</f>
        <v/>
      </c>
      <c r="M1745" s="47" t="n"/>
      <c r="N1745" s="47" t="n"/>
      <c r="O1745" s="43">
        <f>IF($B1745="","",N($J1745)+N($K1745)+N($L1745)-N($M1745)+N($N1745))</f>
        <v/>
      </c>
      <c r="P1745" s="47" t="n"/>
      <c r="Q1745" s="43">
        <f>IF($B1745="","",N($O1745)-N($P1745))</f>
        <v/>
      </c>
      <c r="R1745" s="47" t="n"/>
      <c r="S1745" s="47" t="n"/>
      <c r="T1745" s="47" t="n"/>
      <c r="U1745" s="43">
        <f>IF($B1745="","",N($J1745)-N($R1745)-N($T1745))</f>
        <v/>
      </c>
      <c r="V1745" s="47" t="n"/>
    </row>
    <row r="1746">
      <c r="A1746" s="39">
        <f>IF($B1746="","",COUNTA($B$4:$B1746))</f>
        <v/>
      </c>
      <c r="B1746" s="40" t="n"/>
      <c r="C1746" s="41" t="n"/>
      <c r="D1746" s="41" t="n"/>
      <c r="E1746" s="41" t="n"/>
      <c r="F1746" s="41" t="n"/>
      <c r="G1746" s="41" t="n"/>
      <c r="H1746" s="41" t="n"/>
      <c r="I1746" s="50" t="n"/>
      <c r="J1746" s="42" t="n"/>
      <c r="K1746" s="42" t="n"/>
      <c r="L1746" s="43">
        <f>IF($B1746="","",ROUND((N($J1746)+N($K1746))*نسبة_القيمة_المضافة,2))</f>
        <v/>
      </c>
      <c r="M1746" s="42" t="n"/>
      <c r="N1746" s="42" t="n"/>
      <c r="O1746" s="43">
        <f>IF($B1746="","",N($J1746)+N($K1746)+N($L1746)-N($M1746)+N($N1746))</f>
        <v/>
      </c>
      <c r="P1746" s="42" t="n"/>
      <c r="Q1746" s="43">
        <f>IF($B1746="","",N($O1746)-N($P1746))</f>
        <v/>
      </c>
      <c r="R1746" s="42" t="n"/>
      <c r="S1746" s="42" t="n"/>
      <c r="T1746" s="42" t="n"/>
      <c r="U1746" s="43">
        <f>IF($B1746="","",N($J1746)-N($R1746)-N($T1746))</f>
        <v/>
      </c>
      <c r="V1746" s="42" t="n"/>
    </row>
    <row r="1747">
      <c r="A1747" s="39">
        <f>IF($B1747="","",COUNTA($B$4:$B1747))</f>
        <v/>
      </c>
      <c r="B1747" s="45" t="n"/>
      <c r="C1747" s="46" t="n"/>
      <c r="D1747" s="46" t="n"/>
      <c r="E1747" s="46" t="n"/>
      <c r="F1747" s="46" t="n"/>
      <c r="G1747" s="46" t="n"/>
      <c r="H1747" s="46" t="n"/>
      <c r="I1747" s="51" t="n"/>
      <c r="J1747" s="47" t="n"/>
      <c r="K1747" s="47" t="n"/>
      <c r="L1747" s="43">
        <f>IF($B1747="","",ROUND((N($J1747)+N($K1747))*نسبة_القيمة_المضافة,2))</f>
        <v/>
      </c>
      <c r="M1747" s="47" t="n"/>
      <c r="N1747" s="47" t="n"/>
      <c r="O1747" s="43">
        <f>IF($B1747="","",N($J1747)+N($K1747)+N($L1747)-N($M1747)+N($N1747))</f>
        <v/>
      </c>
      <c r="P1747" s="47" t="n"/>
      <c r="Q1747" s="43">
        <f>IF($B1747="","",N($O1747)-N($P1747))</f>
        <v/>
      </c>
      <c r="R1747" s="47" t="n"/>
      <c r="S1747" s="47" t="n"/>
      <c r="T1747" s="47" t="n"/>
      <c r="U1747" s="43">
        <f>IF($B1747="","",N($J1747)-N($R1747)-N($T1747))</f>
        <v/>
      </c>
      <c r="V1747" s="47" t="n"/>
    </row>
    <row r="1748">
      <c r="A1748" s="39">
        <f>IF($B1748="","",COUNTA($B$4:$B1748))</f>
        <v/>
      </c>
      <c r="B1748" s="40" t="n"/>
      <c r="C1748" s="41" t="n"/>
      <c r="D1748" s="41" t="n"/>
      <c r="E1748" s="41" t="n"/>
      <c r="F1748" s="41" t="n"/>
      <c r="G1748" s="41" t="n"/>
      <c r="H1748" s="41" t="n"/>
      <c r="I1748" s="50" t="n"/>
      <c r="J1748" s="42" t="n"/>
      <c r="K1748" s="42" t="n"/>
      <c r="L1748" s="43">
        <f>IF($B1748="","",ROUND((N($J1748)+N($K1748))*نسبة_القيمة_المضافة,2))</f>
        <v/>
      </c>
      <c r="M1748" s="42" t="n"/>
      <c r="N1748" s="42" t="n"/>
      <c r="O1748" s="43">
        <f>IF($B1748="","",N($J1748)+N($K1748)+N($L1748)-N($M1748)+N($N1748))</f>
        <v/>
      </c>
      <c r="P1748" s="42" t="n"/>
      <c r="Q1748" s="43">
        <f>IF($B1748="","",N($O1748)-N($P1748))</f>
        <v/>
      </c>
      <c r="R1748" s="42" t="n"/>
      <c r="S1748" s="42" t="n"/>
      <c r="T1748" s="42" t="n"/>
      <c r="U1748" s="43">
        <f>IF($B1748="","",N($J1748)-N($R1748)-N($T1748))</f>
        <v/>
      </c>
      <c r="V1748" s="42" t="n"/>
    </row>
    <row r="1749">
      <c r="A1749" s="39">
        <f>IF($B1749="","",COUNTA($B$4:$B1749))</f>
        <v/>
      </c>
      <c r="B1749" s="45" t="n"/>
      <c r="C1749" s="46" t="n"/>
      <c r="D1749" s="46" t="n"/>
      <c r="E1749" s="46" t="n"/>
      <c r="F1749" s="46" t="n"/>
      <c r="G1749" s="46" t="n"/>
      <c r="H1749" s="46" t="n"/>
      <c r="I1749" s="51" t="n"/>
      <c r="J1749" s="47" t="n"/>
      <c r="K1749" s="47" t="n"/>
      <c r="L1749" s="43">
        <f>IF($B1749="","",ROUND((N($J1749)+N($K1749))*نسبة_القيمة_المضافة,2))</f>
        <v/>
      </c>
      <c r="M1749" s="47" t="n"/>
      <c r="N1749" s="47" t="n"/>
      <c r="O1749" s="43">
        <f>IF($B1749="","",N($J1749)+N($K1749)+N($L1749)-N($M1749)+N($N1749))</f>
        <v/>
      </c>
      <c r="P1749" s="47" t="n"/>
      <c r="Q1749" s="43">
        <f>IF($B1749="","",N($O1749)-N($P1749))</f>
        <v/>
      </c>
      <c r="R1749" s="47" t="n"/>
      <c r="S1749" s="47" t="n"/>
      <c r="T1749" s="47" t="n"/>
      <c r="U1749" s="43">
        <f>IF($B1749="","",N($J1749)-N($R1749)-N($T1749))</f>
        <v/>
      </c>
      <c r="V1749" s="47" t="n"/>
    </row>
    <row r="1750">
      <c r="A1750" s="39">
        <f>IF($B1750="","",COUNTA($B$4:$B1750))</f>
        <v/>
      </c>
      <c r="B1750" s="40" t="n"/>
      <c r="C1750" s="41" t="n"/>
      <c r="D1750" s="41" t="n"/>
      <c r="E1750" s="41" t="n"/>
      <c r="F1750" s="41" t="n"/>
      <c r="G1750" s="41" t="n"/>
      <c r="H1750" s="41" t="n"/>
      <c r="I1750" s="50" t="n"/>
      <c r="J1750" s="42" t="n"/>
      <c r="K1750" s="42" t="n"/>
      <c r="L1750" s="43">
        <f>IF($B1750="","",ROUND((N($J1750)+N($K1750))*نسبة_القيمة_المضافة,2))</f>
        <v/>
      </c>
      <c r="M1750" s="42" t="n"/>
      <c r="N1750" s="42" t="n"/>
      <c r="O1750" s="43">
        <f>IF($B1750="","",N($J1750)+N($K1750)+N($L1750)-N($M1750)+N($N1750))</f>
        <v/>
      </c>
      <c r="P1750" s="42" t="n"/>
      <c r="Q1750" s="43">
        <f>IF($B1750="","",N($O1750)-N($P1750))</f>
        <v/>
      </c>
      <c r="R1750" s="42" t="n"/>
      <c r="S1750" s="42" t="n"/>
      <c r="T1750" s="42" t="n"/>
      <c r="U1750" s="43">
        <f>IF($B1750="","",N($J1750)-N($R1750)-N($T1750))</f>
        <v/>
      </c>
      <c r="V1750" s="42" t="n"/>
    </row>
    <row r="1751">
      <c r="A1751" s="39">
        <f>IF($B1751="","",COUNTA($B$4:$B1751))</f>
        <v/>
      </c>
      <c r="B1751" s="45" t="n"/>
      <c r="C1751" s="46" t="n"/>
      <c r="D1751" s="46" t="n"/>
      <c r="E1751" s="46" t="n"/>
      <c r="F1751" s="46" t="n"/>
      <c r="G1751" s="46" t="n"/>
      <c r="H1751" s="46" t="n"/>
      <c r="I1751" s="51" t="n"/>
      <c r="J1751" s="47" t="n"/>
      <c r="K1751" s="47" t="n"/>
      <c r="L1751" s="43">
        <f>IF($B1751="","",ROUND((N($J1751)+N($K1751))*نسبة_القيمة_المضافة,2))</f>
        <v/>
      </c>
      <c r="M1751" s="47" t="n"/>
      <c r="N1751" s="47" t="n"/>
      <c r="O1751" s="43">
        <f>IF($B1751="","",N($J1751)+N($K1751)+N($L1751)-N($M1751)+N($N1751))</f>
        <v/>
      </c>
      <c r="P1751" s="47" t="n"/>
      <c r="Q1751" s="43">
        <f>IF($B1751="","",N($O1751)-N($P1751))</f>
        <v/>
      </c>
      <c r="R1751" s="47" t="n"/>
      <c r="S1751" s="47" t="n"/>
      <c r="T1751" s="47" t="n"/>
      <c r="U1751" s="43">
        <f>IF($B1751="","",N($J1751)-N($R1751)-N($T1751))</f>
        <v/>
      </c>
      <c r="V1751" s="47" t="n"/>
    </row>
    <row r="1752">
      <c r="A1752" s="39">
        <f>IF($B1752="","",COUNTA($B$4:$B1752))</f>
        <v/>
      </c>
      <c r="B1752" s="40" t="n"/>
      <c r="C1752" s="41" t="n"/>
      <c r="D1752" s="41" t="n"/>
      <c r="E1752" s="41" t="n"/>
      <c r="F1752" s="41" t="n"/>
      <c r="G1752" s="41" t="n"/>
      <c r="H1752" s="41" t="n"/>
      <c r="I1752" s="50" t="n"/>
      <c r="J1752" s="42" t="n"/>
      <c r="K1752" s="42" t="n"/>
      <c r="L1752" s="43">
        <f>IF($B1752="","",ROUND((N($J1752)+N($K1752))*نسبة_القيمة_المضافة,2))</f>
        <v/>
      </c>
      <c r="M1752" s="42" t="n"/>
      <c r="N1752" s="42" t="n"/>
      <c r="O1752" s="43">
        <f>IF($B1752="","",N($J1752)+N($K1752)+N($L1752)-N($M1752)+N($N1752))</f>
        <v/>
      </c>
      <c r="P1752" s="42" t="n"/>
      <c r="Q1752" s="43">
        <f>IF($B1752="","",N($O1752)-N($P1752))</f>
        <v/>
      </c>
      <c r="R1752" s="42" t="n"/>
      <c r="S1752" s="42" t="n"/>
      <c r="T1752" s="42" t="n"/>
      <c r="U1752" s="43">
        <f>IF($B1752="","",N($J1752)-N($R1752)-N($T1752))</f>
        <v/>
      </c>
      <c r="V1752" s="42" t="n"/>
    </row>
    <row r="1753">
      <c r="A1753" s="39">
        <f>IF($B1753="","",COUNTA($B$4:$B1753))</f>
        <v/>
      </c>
      <c r="B1753" s="45" t="n"/>
      <c r="C1753" s="46" t="n"/>
      <c r="D1753" s="46" t="n"/>
      <c r="E1753" s="46" t="n"/>
      <c r="F1753" s="46" t="n"/>
      <c r="G1753" s="46" t="n"/>
      <c r="H1753" s="46" t="n"/>
      <c r="I1753" s="51" t="n"/>
      <c r="J1753" s="47" t="n"/>
      <c r="K1753" s="47" t="n"/>
      <c r="L1753" s="43">
        <f>IF($B1753="","",ROUND((N($J1753)+N($K1753))*نسبة_القيمة_المضافة,2))</f>
        <v/>
      </c>
      <c r="M1753" s="47" t="n"/>
      <c r="N1753" s="47" t="n"/>
      <c r="O1753" s="43">
        <f>IF($B1753="","",N($J1753)+N($K1753)+N($L1753)-N($M1753)+N($N1753))</f>
        <v/>
      </c>
      <c r="P1753" s="47" t="n"/>
      <c r="Q1753" s="43">
        <f>IF($B1753="","",N($O1753)-N($P1753))</f>
        <v/>
      </c>
      <c r="R1753" s="47" t="n"/>
      <c r="S1753" s="47" t="n"/>
      <c r="T1753" s="47" t="n"/>
      <c r="U1753" s="43">
        <f>IF($B1753="","",N($J1753)-N($R1753)-N($T1753))</f>
        <v/>
      </c>
      <c r="V1753" s="47" t="n"/>
    </row>
    <row r="1754">
      <c r="A1754" s="39">
        <f>IF($B1754="","",COUNTA($B$4:$B1754))</f>
        <v/>
      </c>
      <c r="B1754" s="40" t="n"/>
      <c r="C1754" s="41" t="n"/>
      <c r="D1754" s="41" t="n"/>
      <c r="E1754" s="41" t="n"/>
      <c r="F1754" s="41" t="n"/>
      <c r="G1754" s="41" t="n"/>
      <c r="H1754" s="41" t="n"/>
      <c r="I1754" s="50" t="n"/>
      <c r="J1754" s="42" t="n"/>
      <c r="K1754" s="42" t="n"/>
      <c r="L1754" s="43">
        <f>IF($B1754="","",ROUND((N($J1754)+N($K1754))*نسبة_القيمة_المضافة,2))</f>
        <v/>
      </c>
      <c r="M1754" s="42" t="n"/>
      <c r="N1754" s="42" t="n"/>
      <c r="O1754" s="43">
        <f>IF($B1754="","",N($J1754)+N($K1754)+N($L1754)-N($M1754)+N($N1754))</f>
        <v/>
      </c>
      <c r="P1754" s="42" t="n"/>
      <c r="Q1754" s="43">
        <f>IF($B1754="","",N($O1754)-N($P1754))</f>
        <v/>
      </c>
      <c r="R1754" s="42" t="n"/>
      <c r="S1754" s="42" t="n"/>
      <c r="T1754" s="42" t="n"/>
      <c r="U1754" s="43">
        <f>IF($B1754="","",N($J1754)-N($R1754)-N($T1754))</f>
        <v/>
      </c>
      <c r="V1754" s="42" t="n"/>
    </row>
    <row r="1755">
      <c r="A1755" s="39">
        <f>IF($B1755="","",COUNTA($B$4:$B1755))</f>
        <v/>
      </c>
      <c r="B1755" s="45" t="n"/>
      <c r="C1755" s="46" t="n"/>
      <c r="D1755" s="46" t="n"/>
      <c r="E1755" s="46" t="n"/>
      <c r="F1755" s="46" t="n"/>
      <c r="G1755" s="46" t="n"/>
      <c r="H1755" s="46" t="n"/>
      <c r="I1755" s="51" t="n"/>
      <c r="J1755" s="47" t="n"/>
      <c r="K1755" s="47" t="n"/>
      <c r="L1755" s="43">
        <f>IF($B1755="","",ROUND((N($J1755)+N($K1755))*نسبة_القيمة_المضافة,2))</f>
        <v/>
      </c>
      <c r="M1755" s="47" t="n"/>
      <c r="N1755" s="47" t="n"/>
      <c r="O1755" s="43">
        <f>IF($B1755="","",N($J1755)+N($K1755)+N($L1755)-N($M1755)+N($N1755))</f>
        <v/>
      </c>
      <c r="P1755" s="47" t="n"/>
      <c r="Q1755" s="43">
        <f>IF($B1755="","",N($O1755)-N($P1755))</f>
        <v/>
      </c>
      <c r="R1755" s="47" t="n"/>
      <c r="S1755" s="47" t="n"/>
      <c r="T1755" s="47" t="n"/>
      <c r="U1755" s="43">
        <f>IF($B1755="","",N($J1755)-N($R1755)-N($T1755))</f>
        <v/>
      </c>
      <c r="V1755" s="47" t="n"/>
    </row>
    <row r="1756">
      <c r="A1756" s="39">
        <f>IF($B1756="","",COUNTA($B$4:$B1756))</f>
        <v/>
      </c>
      <c r="B1756" s="40" t="n"/>
      <c r="C1756" s="41" t="n"/>
      <c r="D1756" s="41" t="n"/>
      <c r="E1756" s="41" t="n"/>
      <c r="F1756" s="41" t="n"/>
      <c r="G1756" s="41" t="n"/>
      <c r="H1756" s="41" t="n"/>
      <c r="I1756" s="50" t="n"/>
      <c r="J1756" s="42" t="n"/>
      <c r="K1756" s="42" t="n"/>
      <c r="L1756" s="43">
        <f>IF($B1756="","",ROUND((N($J1756)+N($K1756))*نسبة_القيمة_المضافة,2))</f>
        <v/>
      </c>
      <c r="M1756" s="42" t="n"/>
      <c r="N1756" s="42" t="n"/>
      <c r="O1756" s="43">
        <f>IF($B1756="","",N($J1756)+N($K1756)+N($L1756)-N($M1756)+N($N1756))</f>
        <v/>
      </c>
      <c r="P1756" s="42" t="n"/>
      <c r="Q1756" s="43">
        <f>IF($B1756="","",N($O1756)-N($P1756))</f>
        <v/>
      </c>
      <c r="R1756" s="42" t="n"/>
      <c r="S1756" s="42" t="n"/>
      <c r="T1756" s="42" t="n"/>
      <c r="U1756" s="43">
        <f>IF($B1756="","",N($J1756)-N($R1756)-N($T1756))</f>
        <v/>
      </c>
      <c r="V1756" s="42" t="n"/>
    </row>
    <row r="1757">
      <c r="A1757" s="39">
        <f>IF($B1757="","",COUNTA($B$4:$B1757))</f>
        <v/>
      </c>
      <c r="B1757" s="45" t="n"/>
      <c r="C1757" s="46" t="n"/>
      <c r="D1757" s="46" t="n"/>
      <c r="E1757" s="46" t="n"/>
      <c r="F1757" s="46" t="n"/>
      <c r="G1757" s="46" t="n"/>
      <c r="H1757" s="46" t="n"/>
      <c r="I1757" s="51" t="n"/>
      <c r="J1757" s="47" t="n"/>
      <c r="K1757" s="47" t="n"/>
      <c r="L1757" s="43">
        <f>IF($B1757="","",ROUND((N($J1757)+N($K1757))*نسبة_القيمة_المضافة,2))</f>
        <v/>
      </c>
      <c r="M1757" s="47" t="n"/>
      <c r="N1757" s="47" t="n"/>
      <c r="O1757" s="43">
        <f>IF($B1757="","",N($J1757)+N($K1757)+N($L1757)-N($M1757)+N($N1757))</f>
        <v/>
      </c>
      <c r="P1757" s="47" t="n"/>
      <c r="Q1757" s="43">
        <f>IF($B1757="","",N($O1757)-N($P1757))</f>
        <v/>
      </c>
      <c r="R1757" s="47" t="n"/>
      <c r="S1757" s="47" t="n"/>
      <c r="T1757" s="47" t="n"/>
      <c r="U1757" s="43">
        <f>IF($B1757="","",N($J1757)-N($R1757)-N($T1757))</f>
        <v/>
      </c>
      <c r="V1757" s="47" t="n"/>
    </row>
    <row r="1758">
      <c r="A1758" s="39">
        <f>IF($B1758="","",COUNTA($B$4:$B1758))</f>
        <v/>
      </c>
      <c r="B1758" s="40" t="n"/>
      <c r="C1758" s="41" t="n"/>
      <c r="D1758" s="41" t="n"/>
      <c r="E1758" s="41" t="n"/>
      <c r="F1758" s="41" t="n"/>
      <c r="G1758" s="41" t="n"/>
      <c r="H1758" s="41" t="n"/>
      <c r="I1758" s="50" t="n"/>
      <c r="J1758" s="42" t="n"/>
      <c r="K1758" s="42" t="n"/>
      <c r="L1758" s="43">
        <f>IF($B1758="","",ROUND((N($J1758)+N($K1758))*نسبة_القيمة_المضافة,2))</f>
        <v/>
      </c>
      <c r="M1758" s="42" t="n"/>
      <c r="N1758" s="42" t="n"/>
      <c r="O1758" s="43">
        <f>IF($B1758="","",N($J1758)+N($K1758)+N($L1758)-N($M1758)+N($N1758))</f>
        <v/>
      </c>
      <c r="P1758" s="42" t="n"/>
      <c r="Q1758" s="43">
        <f>IF($B1758="","",N($O1758)-N($P1758))</f>
        <v/>
      </c>
      <c r="R1758" s="42" t="n"/>
      <c r="S1758" s="42" t="n"/>
      <c r="T1758" s="42" t="n"/>
      <c r="U1758" s="43">
        <f>IF($B1758="","",N($J1758)-N($R1758)-N($T1758))</f>
        <v/>
      </c>
      <c r="V1758" s="42" t="n"/>
    </row>
    <row r="1759">
      <c r="A1759" s="39">
        <f>IF($B1759="","",COUNTA($B$4:$B1759))</f>
        <v/>
      </c>
      <c r="B1759" s="45" t="n"/>
      <c r="C1759" s="46" t="n"/>
      <c r="D1759" s="46" t="n"/>
      <c r="E1759" s="46" t="n"/>
      <c r="F1759" s="46" t="n"/>
      <c r="G1759" s="46" t="n"/>
      <c r="H1759" s="46" t="n"/>
      <c r="I1759" s="51" t="n"/>
      <c r="J1759" s="47" t="n"/>
      <c r="K1759" s="47" t="n"/>
      <c r="L1759" s="43">
        <f>IF($B1759="","",ROUND((N($J1759)+N($K1759))*نسبة_القيمة_المضافة,2))</f>
        <v/>
      </c>
      <c r="M1759" s="47" t="n"/>
      <c r="N1759" s="47" t="n"/>
      <c r="O1759" s="43">
        <f>IF($B1759="","",N($J1759)+N($K1759)+N($L1759)-N($M1759)+N($N1759))</f>
        <v/>
      </c>
      <c r="P1759" s="47" t="n"/>
      <c r="Q1759" s="43">
        <f>IF($B1759="","",N($O1759)-N($P1759))</f>
        <v/>
      </c>
      <c r="R1759" s="47" t="n"/>
      <c r="S1759" s="47" t="n"/>
      <c r="T1759" s="47" t="n"/>
      <c r="U1759" s="43">
        <f>IF($B1759="","",N($J1759)-N($R1759)-N($T1759))</f>
        <v/>
      </c>
      <c r="V1759" s="47" t="n"/>
    </row>
    <row r="1760">
      <c r="A1760" s="39">
        <f>IF($B1760="","",COUNTA($B$4:$B1760))</f>
        <v/>
      </c>
      <c r="B1760" s="40" t="n"/>
      <c r="C1760" s="41" t="n"/>
      <c r="D1760" s="41" t="n"/>
      <c r="E1760" s="41" t="n"/>
      <c r="F1760" s="41" t="n"/>
      <c r="G1760" s="41" t="n"/>
      <c r="H1760" s="41" t="n"/>
      <c r="I1760" s="50" t="n"/>
      <c r="J1760" s="42" t="n"/>
      <c r="K1760" s="42" t="n"/>
      <c r="L1760" s="43">
        <f>IF($B1760="","",ROUND((N($J1760)+N($K1760))*نسبة_القيمة_المضافة,2))</f>
        <v/>
      </c>
      <c r="M1760" s="42" t="n"/>
      <c r="N1760" s="42" t="n"/>
      <c r="O1760" s="43">
        <f>IF($B1760="","",N($J1760)+N($K1760)+N($L1760)-N($M1760)+N($N1760))</f>
        <v/>
      </c>
      <c r="P1760" s="42" t="n"/>
      <c r="Q1760" s="43">
        <f>IF($B1760="","",N($O1760)-N($P1760))</f>
        <v/>
      </c>
      <c r="R1760" s="42" t="n"/>
      <c r="S1760" s="42" t="n"/>
      <c r="T1760" s="42" t="n"/>
      <c r="U1760" s="43">
        <f>IF($B1760="","",N($J1760)-N($R1760)-N($T1760))</f>
        <v/>
      </c>
      <c r="V1760" s="42" t="n"/>
    </row>
    <row r="1761">
      <c r="A1761" s="39">
        <f>IF($B1761="","",COUNTA($B$4:$B1761))</f>
        <v/>
      </c>
      <c r="B1761" s="45" t="n"/>
      <c r="C1761" s="46" t="n"/>
      <c r="D1761" s="46" t="n"/>
      <c r="E1761" s="46" t="n"/>
      <c r="F1761" s="46" t="n"/>
      <c r="G1761" s="46" t="n"/>
      <c r="H1761" s="46" t="n"/>
      <c r="I1761" s="51" t="n"/>
      <c r="J1761" s="47" t="n"/>
      <c r="K1761" s="47" t="n"/>
      <c r="L1761" s="43">
        <f>IF($B1761="","",ROUND((N($J1761)+N($K1761))*نسبة_القيمة_المضافة,2))</f>
        <v/>
      </c>
      <c r="M1761" s="47" t="n"/>
      <c r="N1761" s="47" t="n"/>
      <c r="O1761" s="43">
        <f>IF($B1761="","",N($J1761)+N($K1761)+N($L1761)-N($M1761)+N($N1761))</f>
        <v/>
      </c>
      <c r="P1761" s="47" t="n"/>
      <c r="Q1761" s="43">
        <f>IF($B1761="","",N($O1761)-N($P1761))</f>
        <v/>
      </c>
      <c r="R1761" s="47" t="n"/>
      <c r="S1761" s="47" t="n"/>
      <c r="T1761" s="47" t="n"/>
      <c r="U1761" s="43">
        <f>IF($B1761="","",N($J1761)-N($R1761)-N($T1761))</f>
        <v/>
      </c>
      <c r="V1761" s="47" t="n"/>
    </row>
    <row r="1762">
      <c r="A1762" s="39">
        <f>IF($B1762="","",COUNTA($B$4:$B1762))</f>
        <v/>
      </c>
      <c r="B1762" s="40" t="n"/>
      <c r="C1762" s="41" t="n"/>
      <c r="D1762" s="41" t="n"/>
      <c r="E1762" s="41" t="n"/>
      <c r="F1762" s="41" t="n"/>
      <c r="G1762" s="41" t="n"/>
      <c r="H1762" s="41" t="n"/>
      <c r="I1762" s="50" t="n"/>
      <c r="J1762" s="42" t="n"/>
      <c r="K1762" s="42" t="n"/>
      <c r="L1762" s="43">
        <f>IF($B1762="","",ROUND((N($J1762)+N($K1762))*نسبة_القيمة_المضافة,2))</f>
        <v/>
      </c>
      <c r="M1762" s="42" t="n"/>
      <c r="N1762" s="42" t="n"/>
      <c r="O1762" s="43">
        <f>IF($B1762="","",N($J1762)+N($K1762)+N($L1762)-N($M1762)+N($N1762))</f>
        <v/>
      </c>
      <c r="P1762" s="42" t="n"/>
      <c r="Q1762" s="43">
        <f>IF($B1762="","",N($O1762)-N($P1762))</f>
        <v/>
      </c>
      <c r="R1762" s="42" t="n"/>
      <c r="S1762" s="42" t="n"/>
      <c r="T1762" s="42" t="n"/>
      <c r="U1762" s="43">
        <f>IF($B1762="","",N($J1762)-N($R1762)-N($T1762))</f>
        <v/>
      </c>
      <c r="V1762" s="42" t="n"/>
    </row>
    <row r="1763">
      <c r="A1763" s="39">
        <f>IF($B1763="","",COUNTA($B$4:$B1763))</f>
        <v/>
      </c>
      <c r="B1763" s="45" t="n"/>
      <c r="C1763" s="46" t="n"/>
      <c r="D1763" s="46" t="n"/>
      <c r="E1763" s="46" t="n"/>
      <c r="F1763" s="46" t="n"/>
      <c r="G1763" s="46" t="n"/>
      <c r="H1763" s="46" t="n"/>
      <c r="I1763" s="51" t="n"/>
      <c r="J1763" s="47" t="n"/>
      <c r="K1763" s="47" t="n"/>
      <c r="L1763" s="43">
        <f>IF($B1763="","",ROUND((N($J1763)+N($K1763))*نسبة_القيمة_المضافة,2))</f>
        <v/>
      </c>
      <c r="M1763" s="47" t="n"/>
      <c r="N1763" s="47" t="n"/>
      <c r="O1763" s="43">
        <f>IF($B1763="","",N($J1763)+N($K1763)+N($L1763)-N($M1763)+N($N1763))</f>
        <v/>
      </c>
      <c r="P1763" s="47" t="n"/>
      <c r="Q1763" s="43">
        <f>IF($B1763="","",N($O1763)-N($P1763))</f>
        <v/>
      </c>
      <c r="R1763" s="47" t="n"/>
      <c r="S1763" s="47" t="n"/>
      <c r="T1763" s="47" t="n"/>
      <c r="U1763" s="43">
        <f>IF($B1763="","",N($J1763)-N($R1763)-N($T1763))</f>
        <v/>
      </c>
      <c r="V1763" s="47" t="n"/>
    </row>
    <row r="1764">
      <c r="A1764" s="39">
        <f>IF($B1764="","",COUNTA($B$4:$B1764))</f>
        <v/>
      </c>
      <c r="B1764" s="40" t="n"/>
      <c r="C1764" s="41" t="n"/>
      <c r="D1764" s="41" t="n"/>
      <c r="E1764" s="41" t="n"/>
      <c r="F1764" s="41" t="n"/>
      <c r="G1764" s="41" t="n"/>
      <c r="H1764" s="41" t="n"/>
      <c r="I1764" s="50" t="n"/>
      <c r="J1764" s="42" t="n"/>
      <c r="K1764" s="42" t="n"/>
      <c r="L1764" s="43">
        <f>IF($B1764="","",ROUND((N($J1764)+N($K1764))*نسبة_القيمة_المضافة,2))</f>
        <v/>
      </c>
      <c r="M1764" s="42" t="n"/>
      <c r="N1764" s="42" t="n"/>
      <c r="O1764" s="43">
        <f>IF($B1764="","",N($J1764)+N($K1764)+N($L1764)-N($M1764)+N($N1764))</f>
        <v/>
      </c>
      <c r="P1764" s="42" t="n"/>
      <c r="Q1764" s="43">
        <f>IF($B1764="","",N($O1764)-N($P1764))</f>
        <v/>
      </c>
      <c r="R1764" s="42" t="n"/>
      <c r="S1764" s="42" t="n"/>
      <c r="T1764" s="42" t="n"/>
      <c r="U1764" s="43">
        <f>IF($B1764="","",N($J1764)-N($R1764)-N($T1764))</f>
        <v/>
      </c>
      <c r="V1764" s="42" t="n"/>
    </row>
    <row r="1765">
      <c r="A1765" s="39">
        <f>IF($B1765="","",COUNTA($B$4:$B1765))</f>
        <v/>
      </c>
      <c r="B1765" s="45" t="n"/>
      <c r="C1765" s="46" t="n"/>
      <c r="D1765" s="46" t="n"/>
      <c r="E1765" s="46" t="n"/>
      <c r="F1765" s="46" t="n"/>
      <c r="G1765" s="46" t="n"/>
      <c r="H1765" s="46" t="n"/>
      <c r="I1765" s="51" t="n"/>
      <c r="J1765" s="47" t="n"/>
      <c r="K1765" s="47" t="n"/>
      <c r="L1765" s="43">
        <f>IF($B1765="","",ROUND((N($J1765)+N($K1765))*نسبة_القيمة_المضافة,2))</f>
        <v/>
      </c>
      <c r="M1765" s="47" t="n"/>
      <c r="N1765" s="47" t="n"/>
      <c r="O1765" s="43">
        <f>IF($B1765="","",N($J1765)+N($K1765)+N($L1765)-N($M1765)+N($N1765))</f>
        <v/>
      </c>
      <c r="P1765" s="47" t="n"/>
      <c r="Q1765" s="43">
        <f>IF($B1765="","",N($O1765)-N($P1765))</f>
        <v/>
      </c>
      <c r="R1765" s="47" t="n"/>
      <c r="S1765" s="47" t="n"/>
      <c r="T1765" s="47" t="n"/>
      <c r="U1765" s="43">
        <f>IF($B1765="","",N($J1765)-N($R1765)-N($T1765))</f>
        <v/>
      </c>
      <c r="V1765" s="47" t="n"/>
    </row>
    <row r="1766">
      <c r="A1766" s="39">
        <f>IF($B1766="","",COUNTA($B$4:$B1766))</f>
        <v/>
      </c>
      <c r="B1766" s="40" t="n"/>
      <c r="C1766" s="41" t="n"/>
      <c r="D1766" s="41" t="n"/>
      <c r="E1766" s="41" t="n"/>
      <c r="F1766" s="41" t="n"/>
      <c r="G1766" s="41" t="n"/>
      <c r="H1766" s="41" t="n"/>
      <c r="I1766" s="50" t="n"/>
      <c r="J1766" s="42" t="n"/>
      <c r="K1766" s="42" t="n"/>
      <c r="L1766" s="43">
        <f>IF($B1766="","",ROUND((N($J1766)+N($K1766))*نسبة_القيمة_المضافة,2))</f>
        <v/>
      </c>
      <c r="M1766" s="42" t="n"/>
      <c r="N1766" s="42" t="n"/>
      <c r="O1766" s="43">
        <f>IF($B1766="","",N($J1766)+N($K1766)+N($L1766)-N($M1766)+N($N1766))</f>
        <v/>
      </c>
      <c r="P1766" s="42" t="n"/>
      <c r="Q1766" s="43">
        <f>IF($B1766="","",N($O1766)-N($P1766))</f>
        <v/>
      </c>
      <c r="R1766" s="42" t="n"/>
      <c r="S1766" s="42" t="n"/>
      <c r="T1766" s="42" t="n"/>
      <c r="U1766" s="43">
        <f>IF($B1766="","",N($J1766)-N($R1766)-N($T1766))</f>
        <v/>
      </c>
      <c r="V1766" s="42" t="n"/>
    </row>
    <row r="1767">
      <c r="A1767" s="39">
        <f>IF($B1767="","",COUNTA($B$4:$B1767))</f>
        <v/>
      </c>
      <c r="B1767" s="45" t="n"/>
      <c r="C1767" s="46" t="n"/>
      <c r="D1767" s="46" t="n"/>
      <c r="E1767" s="46" t="n"/>
      <c r="F1767" s="46" t="n"/>
      <c r="G1767" s="46" t="n"/>
      <c r="H1767" s="46" t="n"/>
      <c r="I1767" s="51" t="n"/>
      <c r="J1767" s="47" t="n"/>
      <c r="K1767" s="47" t="n"/>
      <c r="L1767" s="43">
        <f>IF($B1767="","",ROUND((N($J1767)+N($K1767))*نسبة_القيمة_المضافة,2))</f>
        <v/>
      </c>
      <c r="M1767" s="47" t="n"/>
      <c r="N1767" s="47" t="n"/>
      <c r="O1767" s="43">
        <f>IF($B1767="","",N($J1767)+N($K1767)+N($L1767)-N($M1767)+N($N1767))</f>
        <v/>
      </c>
      <c r="P1767" s="47" t="n"/>
      <c r="Q1767" s="43">
        <f>IF($B1767="","",N($O1767)-N($P1767))</f>
        <v/>
      </c>
      <c r="R1767" s="47" t="n"/>
      <c r="S1767" s="47" t="n"/>
      <c r="T1767" s="47" t="n"/>
      <c r="U1767" s="43">
        <f>IF($B1767="","",N($J1767)-N($R1767)-N($T1767))</f>
        <v/>
      </c>
      <c r="V1767" s="47" t="n"/>
    </row>
    <row r="1768">
      <c r="A1768" s="39">
        <f>IF($B1768="","",COUNTA($B$4:$B1768))</f>
        <v/>
      </c>
      <c r="B1768" s="40" t="n"/>
      <c r="C1768" s="41" t="n"/>
      <c r="D1768" s="41" t="n"/>
      <c r="E1768" s="41" t="n"/>
      <c r="F1768" s="41" t="n"/>
      <c r="G1768" s="41" t="n"/>
      <c r="H1768" s="41" t="n"/>
      <c r="I1768" s="50" t="n"/>
      <c r="J1768" s="42" t="n"/>
      <c r="K1768" s="42" t="n"/>
      <c r="L1768" s="43">
        <f>IF($B1768="","",ROUND((N($J1768)+N($K1768))*نسبة_القيمة_المضافة,2))</f>
        <v/>
      </c>
      <c r="M1768" s="42" t="n"/>
      <c r="N1768" s="42" t="n"/>
      <c r="O1768" s="43">
        <f>IF($B1768="","",N($J1768)+N($K1768)+N($L1768)-N($M1768)+N($N1768))</f>
        <v/>
      </c>
      <c r="P1768" s="42" t="n"/>
      <c r="Q1768" s="43">
        <f>IF($B1768="","",N($O1768)-N($P1768))</f>
        <v/>
      </c>
      <c r="R1768" s="42" t="n"/>
      <c r="S1768" s="42" t="n"/>
      <c r="T1768" s="42" t="n"/>
      <c r="U1768" s="43">
        <f>IF($B1768="","",N($J1768)-N($R1768)-N($T1768))</f>
        <v/>
      </c>
      <c r="V1768" s="42" t="n"/>
    </row>
    <row r="1769">
      <c r="A1769" s="39">
        <f>IF($B1769="","",COUNTA($B$4:$B1769))</f>
        <v/>
      </c>
      <c r="B1769" s="45" t="n"/>
      <c r="C1769" s="46" t="n"/>
      <c r="D1769" s="46" t="n"/>
      <c r="E1769" s="46" t="n"/>
      <c r="F1769" s="46" t="n"/>
      <c r="G1769" s="46" t="n"/>
      <c r="H1769" s="46" t="n"/>
      <c r="I1769" s="51" t="n"/>
      <c r="J1769" s="47" t="n"/>
      <c r="K1769" s="47" t="n"/>
      <c r="L1769" s="43">
        <f>IF($B1769="","",ROUND((N($J1769)+N($K1769))*نسبة_القيمة_المضافة,2))</f>
        <v/>
      </c>
      <c r="M1769" s="47" t="n"/>
      <c r="N1769" s="47" t="n"/>
      <c r="O1769" s="43">
        <f>IF($B1769="","",N($J1769)+N($K1769)+N($L1769)-N($M1769)+N($N1769))</f>
        <v/>
      </c>
      <c r="P1769" s="47" t="n"/>
      <c r="Q1769" s="43">
        <f>IF($B1769="","",N($O1769)-N($P1769))</f>
        <v/>
      </c>
      <c r="R1769" s="47" t="n"/>
      <c r="S1769" s="47" t="n"/>
      <c r="T1769" s="47" t="n"/>
      <c r="U1769" s="43">
        <f>IF($B1769="","",N($J1769)-N($R1769)-N($T1769))</f>
        <v/>
      </c>
      <c r="V1769" s="47" t="n"/>
    </row>
    <row r="1770">
      <c r="A1770" s="39">
        <f>IF($B1770="","",COUNTA($B$4:$B1770))</f>
        <v/>
      </c>
      <c r="B1770" s="40" t="n"/>
      <c r="C1770" s="41" t="n"/>
      <c r="D1770" s="41" t="n"/>
      <c r="E1770" s="41" t="n"/>
      <c r="F1770" s="41" t="n"/>
      <c r="G1770" s="41" t="n"/>
      <c r="H1770" s="41" t="n"/>
      <c r="I1770" s="50" t="n"/>
      <c r="J1770" s="42" t="n"/>
      <c r="K1770" s="42" t="n"/>
      <c r="L1770" s="43">
        <f>IF($B1770="","",ROUND((N($J1770)+N($K1770))*نسبة_القيمة_المضافة,2))</f>
        <v/>
      </c>
      <c r="M1770" s="42" t="n"/>
      <c r="N1770" s="42" t="n"/>
      <c r="O1770" s="43">
        <f>IF($B1770="","",N($J1770)+N($K1770)+N($L1770)-N($M1770)+N($N1770))</f>
        <v/>
      </c>
      <c r="P1770" s="42" t="n"/>
      <c r="Q1770" s="43">
        <f>IF($B1770="","",N($O1770)-N($P1770))</f>
        <v/>
      </c>
      <c r="R1770" s="42" t="n"/>
      <c r="S1770" s="42" t="n"/>
      <c r="T1770" s="42" t="n"/>
      <c r="U1770" s="43">
        <f>IF($B1770="","",N($J1770)-N($R1770)-N($T1770))</f>
        <v/>
      </c>
      <c r="V1770" s="42" t="n"/>
    </row>
    <row r="1771">
      <c r="A1771" s="39">
        <f>IF($B1771="","",COUNTA($B$4:$B1771))</f>
        <v/>
      </c>
      <c r="B1771" s="45" t="n"/>
      <c r="C1771" s="46" t="n"/>
      <c r="D1771" s="46" t="n"/>
      <c r="E1771" s="46" t="n"/>
      <c r="F1771" s="46" t="n"/>
      <c r="G1771" s="46" t="n"/>
      <c r="H1771" s="46" t="n"/>
      <c r="I1771" s="51" t="n"/>
      <c r="J1771" s="47" t="n"/>
      <c r="K1771" s="47" t="n"/>
      <c r="L1771" s="43">
        <f>IF($B1771="","",ROUND((N($J1771)+N($K1771))*نسبة_القيمة_المضافة,2))</f>
        <v/>
      </c>
      <c r="M1771" s="47" t="n"/>
      <c r="N1771" s="47" t="n"/>
      <c r="O1771" s="43">
        <f>IF($B1771="","",N($J1771)+N($K1771)+N($L1771)-N($M1771)+N($N1771))</f>
        <v/>
      </c>
      <c r="P1771" s="47" t="n"/>
      <c r="Q1771" s="43">
        <f>IF($B1771="","",N($O1771)-N($P1771))</f>
        <v/>
      </c>
      <c r="R1771" s="47" t="n"/>
      <c r="S1771" s="47" t="n"/>
      <c r="T1771" s="47" t="n"/>
      <c r="U1771" s="43">
        <f>IF($B1771="","",N($J1771)-N($R1771)-N($T1771))</f>
        <v/>
      </c>
      <c r="V1771" s="47" t="n"/>
    </row>
    <row r="1772">
      <c r="A1772" s="39">
        <f>IF($B1772="","",COUNTA($B$4:$B1772))</f>
        <v/>
      </c>
      <c r="B1772" s="40" t="n"/>
      <c r="C1772" s="41" t="n"/>
      <c r="D1772" s="41" t="n"/>
      <c r="E1772" s="41" t="n"/>
      <c r="F1772" s="41" t="n"/>
      <c r="G1772" s="41" t="n"/>
      <c r="H1772" s="41" t="n"/>
      <c r="I1772" s="50" t="n"/>
      <c r="J1772" s="42" t="n"/>
      <c r="K1772" s="42" t="n"/>
      <c r="L1772" s="43">
        <f>IF($B1772="","",ROUND((N($J1772)+N($K1772))*نسبة_القيمة_المضافة,2))</f>
        <v/>
      </c>
      <c r="M1772" s="42" t="n"/>
      <c r="N1772" s="42" t="n"/>
      <c r="O1772" s="43">
        <f>IF($B1772="","",N($J1772)+N($K1772)+N($L1772)-N($M1772)+N($N1772))</f>
        <v/>
      </c>
      <c r="P1772" s="42" t="n"/>
      <c r="Q1772" s="43">
        <f>IF($B1772="","",N($O1772)-N($P1772))</f>
        <v/>
      </c>
      <c r="R1772" s="42" t="n"/>
      <c r="S1772" s="42" t="n"/>
      <c r="T1772" s="42" t="n"/>
      <c r="U1772" s="43">
        <f>IF($B1772="","",N($J1772)-N($R1772)-N($T1772))</f>
        <v/>
      </c>
      <c r="V1772" s="42" t="n"/>
    </row>
    <row r="1773">
      <c r="A1773" s="39">
        <f>IF($B1773="","",COUNTA($B$4:$B1773))</f>
        <v/>
      </c>
      <c r="B1773" s="45" t="n"/>
      <c r="C1773" s="46" t="n"/>
      <c r="D1773" s="46" t="n"/>
      <c r="E1773" s="46" t="n"/>
      <c r="F1773" s="46" t="n"/>
      <c r="G1773" s="46" t="n"/>
      <c r="H1773" s="46" t="n"/>
      <c r="I1773" s="51" t="n"/>
      <c r="J1773" s="47" t="n"/>
      <c r="K1773" s="47" t="n"/>
      <c r="L1773" s="43">
        <f>IF($B1773="","",ROUND((N($J1773)+N($K1773))*نسبة_القيمة_المضافة,2))</f>
        <v/>
      </c>
      <c r="M1773" s="47" t="n"/>
      <c r="N1773" s="47" t="n"/>
      <c r="O1773" s="43">
        <f>IF($B1773="","",N($J1773)+N($K1773)+N($L1773)-N($M1773)+N($N1773))</f>
        <v/>
      </c>
      <c r="P1773" s="47" t="n"/>
      <c r="Q1773" s="43">
        <f>IF($B1773="","",N($O1773)-N($P1773))</f>
        <v/>
      </c>
      <c r="R1773" s="47" t="n"/>
      <c r="S1773" s="47" t="n"/>
      <c r="T1773" s="47" t="n"/>
      <c r="U1773" s="43">
        <f>IF($B1773="","",N($J1773)-N($R1773)-N($T1773))</f>
        <v/>
      </c>
      <c r="V1773" s="47" t="n"/>
    </row>
    <row r="1774">
      <c r="A1774" s="39">
        <f>IF($B1774="","",COUNTA($B$4:$B1774))</f>
        <v/>
      </c>
      <c r="B1774" s="40" t="n"/>
      <c r="C1774" s="41" t="n"/>
      <c r="D1774" s="41" t="n"/>
      <c r="E1774" s="41" t="n"/>
      <c r="F1774" s="41" t="n"/>
      <c r="G1774" s="41" t="n"/>
      <c r="H1774" s="41" t="n"/>
      <c r="I1774" s="50" t="n"/>
      <c r="J1774" s="42" t="n"/>
      <c r="K1774" s="42" t="n"/>
      <c r="L1774" s="43">
        <f>IF($B1774="","",ROUND((N($J1774)+N($K1774))*نسبة_القيمة_المضافة,2))</f>
        <v/>
      </c>
      <c r="M1774" s="42" t="n"/>
      <c r="N1774" s="42" t="n"/>
      <c r="O1774" s="43">
        <f>IF($B1774="","",N($J1774)+N($K1774)+N($L1774)-N($M1774)+N($N1774))</f>
        <v/>
      </c>
      <c r="P1774" s="42" t="n"/>
      <c r="Q1774" s="43">
        <f>IF($B1774="","",N($O1774)-N($P1774))</f>
        <v/>
      </c>
      <c r="R1774" s="42" t="n"/>
      <c r="S1774" s="42" t="n"/>
      <c r="T1774" s="42" t="n"/>
      <c r="U1774" s="43">
        <f>IF($B1774="","",N($J1774)-N($R1774)-N($T1774))</f>
        <v/>
      </c>
      <c r="V1774" s="42" t="n"/>
    </row>
    <row r="1775">
      <c r="A1775" s="39">
        <f>IF($B1775="","",COUNTA($B$4:$B1775))</f>
        <v/>
      </c>
      <c r="B1775" s="45" t="n"/>
      <c r="C1775" s="46" t="n"/>
      <c r="D1775" s="46" t="n"/>
      <c r="E1775" s="46" t="n"/>
      <c r="F1775" s="46" t="n"/>
      <c r="G1775" s="46" t="n"/>
      <c r="H1775" s="46" t="n"/>
      <c r="I1775" s="51" t="n"/>
      <c r="J1775" s="47" t="n"/>
      <c r="K1775" s="47" t="n"/>
      <c r="L1775" s="43">
        <f>IF($B1775="","",ROUND((N($J1775)+N($K1775))*نسبة_القيمة_المضافة,2))</f>
        <v/>
      </c>
      <c r="M1775" s="47" t="n"/>
      <c r="N1775" s="47" t="n"/>
      <c r="O1775" s="43">
        <f>IF($B1775="","",N($J1775)+N($K1775)+N($L1775)-N($M1775)+N($N1775))</f>
        <v/>
      </c>
      <c r="P1775" s="47" t="n"/>
      <c r="Q1775" s="43">
        <f>IF($B1775="","",N($O1775)-N($P1775))</f>
        <v/>
      </c>
      <c r="R1775" s="47" t="n"/>
      <c r="S1775" s="47" t="n"/>
      <c r="T1775" s="47" t="n"/>
      <c r="U1775" s="43">
        <f>IF($B1775="","",N($J1775)-N($R1775)-N($T1775))</f>
        <v/>
      </c>
      <c r="V1775" s="47" t="n"/>
    </row>
    <row r="1776">
      <c r="A1776" s="39">
        <f>IF($B1776="","",COUNTA($B$4:$B1776))</f>
        <v/>
      </c>
      <c r="B1776" s="40" t="n"/>
      <c r="C1776" s="41" t="n"/>
      <c r="D1776" s="41" t="n"/>
      <c r="E1776" s="41" t="n"/>
      <c r="F1776" s="41" t="n"/>
      <c r="G1776" s="41" t="n"/>
      <c r="H1776" s="41" t="n"/>
      <c r="I1776" s="50" t="n"/>
      <c r="J1776" s="42" t="n"/>
      <c r="K1776" s="42" t="n"/>
      <c r="L1776" s="43">
        <f>IF($B1776="","",ROUND((N($J1776)+N($K1776))*نسبة_القيمة_المضافة,2))</f>
        <v/>
      </c>
      <c r="M1776" s="42" t="n"/>
      <c r="N1776" s="42" t="n"/>
      <c r="O1776" s="43">
        <f>IF($B1776="","",N($J1776)+N($K1776)+N($L1776)-N($M1776)+N($N1776))</f>
        <v/>
      </c>
      <c r="P1776" s="42" t="n"/>
      <c r="Q1776" s="43">
        <f>IF($B1776="","",N($O1776)-N($P1776))</f>
        <v/>
      </c>
      <c r="R1776" s="42" t="n"/>
      <c r="S1776" s="42" t="n"/>
      <c r="T1776" s="42" t="n"/>
      <c r="U1776" s="43">
        <f>IF($B1776="","",N($J1776)-N($R1776)-N($T1776))</f>
        <v/>
      </c>
      <c r="V1776" s="42" t="n"/>
    </row>
    <row r="1777">
      <c r="A1777" s="39">
        <f>IF($B1777="","",COUNTA($B$4:$B1777))</f>
        <v/>
      </c>
      <c r="B1777" s="45" t="n"/>
      <c r="C1777" s="46" t="n"/>
      <c r="D1777" s="46" t="n"/>
      <c r="E1777" s="46" t="n"/>
      <c r="F1777" s="46" t="n"/>
      <c r="G1777" s="46" t="n"/>
      <c r="H1777" s="46" t="n"/>
      <c r="I1777" s="51" t="n"/>
      <c r="J1777" s="47" t="n"/>
      <c r="K1777" s="47" t="n"/>
      <c r="L1777" s="43">
        <f>IF($B1777="","",ROUND((N($J1777)+N($K1777))*نسبة_القيمة_المضافة,2))</f>
        <v/>
      </c>
      <c r="M1777" s="47" t="n"/>
      <c r="N1777" s="47" t="n"/>
      <c r="O1777" s="43">
        <f>IF($B1777="","",N($J1777)+N($K1777)+N($L1777)-N($M1777)+N($N1777))</f>
        <v/>
      </c>
      <c r="P1777" s="47" t="n"/>
      <c r="Q1777" s="43">
        <f>IF($B1777="","",N($O1777)-N($P1777))</f>
        <v/>
      </c>
      <c r="R1777" s="47" t="n"/>
      <c r="S1777" s="47" t="n"/>
      <c r="T1777" s="47" t="n"/>
      <c r="U1777" s="43">
        <f>IF($B1777="","",N($J1777)-N($R1777)-N($T1777))</f>
        <v/>
      </c>
      <c r="V1777" s="47" t="n"/>
    </row>
    <row r="1778">
      <c r="A1778" s="39">
        <f>IF($B1778="","",COUNTA($B$4:$B1778))</f>
        <v/>
      </c>
      <c r="B1778" s="40" t="n"/>
      <c r="C1778" s="41" t="n"/>
      <c r="D1778" s="41" t="n"/>
      <c r="E1778" s="41" t="n"/>
      <c r="F1778" s="41" t="n"/>
      <c r="G1778" s="41" t="n"/>
      <c r="H1778" s="41" t="n"/>
      <c r="I1778" s="50" t="n"/>
      <c r="J1778" s="42" t="n"/>
      <c r="K1778" s="42" t="n"/>
      <c r="L1778" s="43">
        <f>IF($B1778="","",ROUND((N($J1778)+N($K1778))*نسبة_القيمة_المضافة,2))</f>
        <v/>
      </c>
      <c r="M1778" s="42" t="n"/>
      <c r="N1778" s="42" t="n"/>
      <c r="O1778" s="43">
        <f>IF($B1778="","",N($J1778)+N($K1778)+N($L1778)-N($M1778)+N($N1778))</f>
        <v/>
      </c>
      <c r="P1778" s="42" t="n"/>
      <c r="Q1778" s="43">
        <f>IF($B1778="","",N($O1778)-N($P1778))</f>
        <v/>
      </c>
      <c r="R1778" s="42" t="n"/>
      <c r="S1778" s="42" t="n"/>
      <c r="T1778" s="42" t="n"/>
      <c r="U1778" s="43">
        <f>IF($B1778="","",N($J1778)-N($R1778)-N($T1778))</f>
        <v/>
      </c>
      <c r="V1778" s="42" t="n"/>
    </row>
    <row r="1779">
      <c r="A1779" s="39">
        <f>IF($B1779="","",COUNTA($B$4:$B1779))</f>
        <v/>
      </c>
      <c r="B1779" s="45" t="n"/>
      <c r="C1779" s="46" t="n"/>
      <c r="D1779" s="46" t="n"/>
      <c r="E1779" s="46" t="n"/>
      <c r="F1779" s="46" t="n"/>
      <c r="G1779" s="46" t="n"/>
      <c r="H1779" s="46" t="n"/>
      <c r="I1779" s="51" t="n"/>
      <c r="J1779" s="47" t="n"/>
      <c r="K1779" s="47" t="n"/>
      <c r="L1779" s="43">
        <f>IF($B1779="","",ROUND((N($J1779)+N($K1779))*نسبة_القيمة_المضافة,2))</f>
        <v/>
      </c>
      <c r="M1779" s="47" t="n"/>
      <c r="N1779" s="47" t="n"/>
      <c r="O1779" s="43">
        <f>IF($B1779="","",N($J1779)+N($K1779)+N($L1779)-N($M1779)+N($N1779))</f>
        <v/>
      </c>
      <c r="P1779" s="47" t="n"/>
      <c r="Q1779" s="43">
        <f>IF($B1779="","",N($O1779)-N($P1779))</f>
        <v/>
      </c>
      <c r="R1779" s="47" t="n"/>
      <c r="S1779" s="47" t="n"/>
      <c r="T1779" s="47" t="n"/>
      <c r="U1779" s="43">
        <f>IF($B1779="","",N($J1779)-N($R1779)-N($T1779))</f>
        <v/>
      </c>
      <c r="V1779" s="47" t="n"/>
    </row>
    <row r="1780">
      <c r="A1780" s="39">
        <f>IF($B1780="","",COUNTA($B$4:$B1780))</f>
        <v/>
      </c>
      <c r="B1780" s="40" t="n"/>
      <c r="C1780" s="41" t="n"/>
      <c r="D1780" s="41" t="n"/>
      <c r="E1780" s="41" t="n"/>
      <c r="F1780" s="41" t="n"/>
      <c r="G1780" s="41" t="n"/>
      <c r="H1780" s="41" t="n"/>
      <c r="I1780" s="50" t="n"/>
      <c r="J1780" s="42" t="n"/>
      <c r="K1780" s="42" t="n"/>
      <c r="L1780" s="43">
        <f>IF($B1780="","",ROUND((N($J1780)+N($K1780))*نسبة_القيمة_المضافة,2))</f>
        <v/>
      </c>
      <c r="M1780" s="42" t="n"/>
      <c r="N1780" s="42" t="n"/>
      <c r="O1780" s="43">
        <f>IF($B1780="","",N($J1780)+N($K1780)+N($L1780)-N($M1780)+N($N1780))</f>
        <v/>
      </c>
      <c r="P1780" s="42" t="n"/>
      <c r="Q1780" s="43">
        <f>IF($B1780="","",N($O1780)-N($P1780))</f>
        <v/>
      </c>
      <c r="R1780" s="42" t="n"/>
      <c r="S1780" s="42" t="n"/>
      <c r="T1780" s="42" t="n"/>
      <c r="U1780" s="43">
        <f>IF($B1780="","",N($J1780)-N($R1780)-N($T1780))</f>
        <v/>
      </c>
      <c r="V1780" s="42" t="n"/>
    </row>
    <row r="1781">
      <c r="A1781" s="39">
        <f>IF($B1781="","",COUNTA($B$4:$B1781))</f>
        <v/>
      </c>
      <c r="B1781" s="45" t="n"/>
      <c r="C1781" s="46" t="n"/>
      <c r="D1781" s="46" t="n"/>
      <c r="E1781" s="46" t="n"/>
      <c r="F1781" s="46" t="n"/>
      <c r="G1781" s="46" t="n"/>
      <c r="H1781" s="46" t="n"/>
      <c r="I1781" s="51" t="n"/>
      <c r="J1781" s="47" t="n"/>
      <c r="K1781" s="47" t="n"/>
      <c r="L1781" s="43">
        <f>IF($B1781="","",ROUND((N($J1781)+N($K1781))*نسبة_القيمة_المضافة,2))</f>
        <v/>
      </c>
      <c r="M1781" s="47" t="n"/>
      <c r="N1781" s="47" t="n"/>
      <c r="O1781" s="43">
        <f>IF($B1781="","",N($J1781)+N($K1781)+N($L1781)-N($M1781)+N($N1781))</f>
        <v/>
      </c>
      <c r="P1781" s="47" t="n"/>
      <c r="Q1781" s="43">
        <f>IF($B1781="","",N($O1781)-N($P1781))</f>
        <v/>
      </c>
      <c r="R1781" s="47" t="n"/>
      <c r="S1781" s="47" t="n"/>
      <c r="T1781" s="47" t="n"/>
      <c r="U1781" s="43">
        <f>IF($B1781="","",N($J1781)-N($R1781)-N($T1781))</f>
        <v/>
      </c>
      <c r="V1781" s="47" t="n"/>
    </row>
    <row r="1782">
      <c r="A1782" s="39">
        <f>IF($B1782="","",COUNTA($B$4:$B1782))</f>
        <v/>
      </c>
      <c r="B1782" s="40" t="n"/>
      <c r="C1782" s="41" t="n"/>
      <c r="D1782" s="41" t="n"/>
      <c r="E1782" s="41" t="n"/>
      <c r="F1782" s="41" t="n"/>
      <c r="G1782" s="41" t="n"/>
      <c r="H1782" s="41" t="n"/>
      <c r="I1782" s="50" t="n"/>
      <c r="J1782" s="42" t="n"/>
      <c r="K1782" s="42" t="n"/>
      <c r="L1782" s="43">
        <f>IF($B1782="","",ROUND((N($J1782)+N($K1782))*نسبة_القيمة_المضافة,2))</f>
        <v/>
      </c>
      <c r="M1782" s="42" t="n"/>
      <c r="N1782" s="42" t="n"/>
      <c r="O1782" s="43">
        <f>IF($B1782="","",N($J1782)+N($K1782)+N($L1782)-N($M1782)+N($N1782))</f>
        <v/>
      </c>
      <c r="P1782" s="42" t="n"/>
      <c r="Q1782" s="43">
        <f>IF($B1782="","",N($O1782)-N($P1782))</f>
        <v/>
      </c>
      <c r="R1782" s="42" t="n"/>
      <c r="S1782" s="42" t="n"/>
      <c r="T1782" s="42" t="n"/>
      <c r="U1782" s="43">
        <f>IF($B1782="","",N($J1782)-N($R1782)-N($T1782))</f>
        <v/>
      </c>
      <c r="V1782" s="42" t="n"/>
    </row>
    <row r="1783">
      <c r="A1783" s="39">
        <f>IF($B1783="","",COUNTA($B$4:$B1783))</f>
        <v/>
      </c>
      <c r="B1783" s="45" t="n"/>
      <c r="C1783" s="46" t="n"/>
      <c r="D1783" s="46" t="n"/>
      <c r="E1783" s="46" t="n"/>
      <c r="F1783" s="46" t="n"/>
      <c r="G1783" s="46" t="n"/>
      <c r="H1783" s="46" t="n"/>
      <c r="I1783" s="51" t="n"/>
      <c r="J1783" s="47" t="n"/>
      <c r="K1783" s="47" t="n"/>
      <c r="L1783" s="43">
        <f>IF($B1783="","",ROUND((N($J1783)+N($K1783))*نسبة_القيمة_المضافة,2))</f>
        <v/>
      </c>
      <c r="M1783" s="47" t="n"/>
      <c r="N1783" s="47" t="n"/>
      <c r="O1783" s="43">
        <f>IF($B1783="","",N($J1783)+N($K1783)+N($L1783)-N($M1783)+N($N1783))</f>
        <v/>
      </c>
      <c r="P1783" s="47" t="n"/>
      <c r="Q1783" s="43">
        <f>IF($B1783="","",N($O1783)-N($P1783))</f>
        <v/>
      </c>
      <c r="R1783" s="47" t="n"/>
      <c r="S1783" s="47" t="n"/>
      <c r="T1783" s="47" t="n"/>
      <c r="U1783" s="43">
        <f>IF($B1783="","",N($J1783)-N($R1783)-N($T1783))</f>
        <v/>
      </c>
      <c r="V1783" s="47" t="n"/>
    </row>
    <row r="1784">
      <c r="A1784" s="39">
        <f>IF($B1784="","",COUNTA($B$4:$B1784))</f>
        <v/>
      </c>
      <c r="B1784" s="40" t="n"/>
      <c r="C1784" s="41" t="n"/>
      <c r="D1784" s="41" t="n"/>
      <c r="E1784" s="41" t="n"/>
      <c r="F1784" s="41" t="n"/>
      <c r="G1784" s="41" t="n"/>
      <c r="H1784" s="41" t="n"/>
      <c r="I1784" s="50" t="n"/>
      <c r="J1784" s="42" t="n"/>
      <c r="K1784" s="42" t="n"/>
      <c r="L1784" s="43">
        <f>IF($B1784="","",ROUND((N($J1784)+N($K1784))*نسبة_القيمة_المضافة,2))</f>
        <v/>
      </c>
      <c r="M1784" s="42" t="n"/>
      <c r="N1784" s="42" t="n"/>
      <c r="O1784" s="43">
        <f>IF($B1784="","",N($J1784)+N($K1784)+N($L1784)-N($M1784)+N($N1784))</f>
        <v/>
      </c>
      <c r="P1784" s="42" t="n"/>
      <c r="Q1784" s="43">
        <f>IF($B1784="","",N($O1784)-N($P1784))</f>
        <v/>
      </c>
      <c r="R1784" s="42" t="n"/>
      <c r="S1784" s="42" t="n"/>
      <c r="T1784" s="42" t="n"/>
      <c r="U1784" s="43">
        <f>IF($B1784="","",N($J1784)-N($R1784)-N($T1784))</f>
        <v/>
      </c>
      <c r="V1784" s="42" t="n"/>
    </row>
    <row r="1785">
      <c r="A1785" s="39">
        <f>IF($B1785="","",COUNTA($B$4:$B1785))</f>
        <v/>
      </c>
      <c r="B1785" s="45" t="n"/>
      <c r="C1785" s="46" t="n"/>
      <c r="D1785" s="46" t="n"/>
      <c r="E1785" s="46" t="n"/>
      <c r="F1785" s="46" t="n"/>
      <c r="G1785" s="46" t="n"/>
      <c r="H1785" s="46" t="n"/>
      <c r="I1785" s="51" t="n"/>
      <c r="J1785" s="47" t="n"/>
      <c r="K1785" s="47" t="n"/>
      <c r="L1785" s="43">
        <f>IF($B1785="","",ROUND((N($J1785)+N($K1785))*نسبة_القيمة_المضافة,2))</f>
        <v/>
      </c>
      <c r="M1785" s="47" t="n"/>
      <c r="N1785" s="47" t="n"/>
      <c r="O1785" s="43">
        <f>IF($B1785="","",N($J1785)+N($K1785)+N($L1785)-N($M1785)+N($N1785))</f>
        <v/>
      </c>
      <c r="P1785" s="47" t="n"/>
      <c r="Q1785" s="43">
        <f>IF($B1785="","",N($O1785)-N($P1785))</f>
        <v/>
      </c>
      <c r="R1785" s="47" t="n"/>
      <c r="S1785" s="47" t="n"/>
      <c r="T1785" s="47" t="n"/>
      <c r="U1785" s="43">
        <f>IF($B1785="","",N($J1785)-N($R1785)-N($T1785))</f>
        <v/>
      </c>
      <c r="V1785" s="47" t="n"/>
    </row>
    <row r="1786">
      <c r="A1786" s="39">
        <f>IF($B1786="","",COUNTA($B$4:$B1786))</f>
        <v/>
      </c>
      <c r="B1786" s="40" t="n"/>
      <c r="C1786" s="41" t="n"/>
      <c r="D1786" s="41" t="n"/>
      <c r="E1786" s="41" t="n"/>
      <c r="F1786" s="41" t="n"/>
      <c r="G1786" s="41" t="n"/>
      <c r="H1786" s="41" t="n"/>
      <c r="I1786" s="50" t="n"/>
      <c r="J1786" s="42" t="n"/>
      <c r="K1786" s="42" t="n"/>
      <c r="L1786" s="43">
        <f>IF($B1786="","",ROUND((N($J1786)+N($K1786))*نسبة_القيمة_المضافة,2))</f>
        <v/>
      </c>
      <c r="M1786" s="42" t="n"/>
      <c r="N1786" s="42" t="n"/>
      <c r="O1786" s="43">
        <f>IF($B1786="","",N($J1786)+N($K1786)+N($L1786)-N($M1786)+N($N1786))</f>
        <v/>
      </c>
      <c r="P1786" s="42" t="n"/>
      <c r="Q1786" s="43">
        <f>IF($B1786="","",N($O1786)-N($P1786))</f>
        <v/>
      </c>
      <c r="R1786" s="42" t="n"/>
      <c r="S1786" s="42" t="n"/>
      <c r="T1786" s="42" t="n"/>
      <c r="U1786" s="43">
        <f>IF($B1786="","",N($J1786)-N($R1786)-N($T1786))</f>
        <v/>
      </c>
      <c r="V1786" s="42" t="n"/>
    </row>
    <row r="1787">
      <c r="A1787" s="39">
        <f>IF($B1787="","",COUNTA($B$4:$B1787))</f>
        <v/>
      </c>
      <c r="B1787" s="45" t="n"/>
      <c r="C1787" s="46" t="n"/>
      <c r="D1787" s="46" t="n"/>
      <c r="E1787" s="46" t="n"/>
      <c r="F1787" s="46" t="n"/>
      <c r="G1787" s="46" t="n"/>
      <c r="H1787" s="46" t="n"/>
      <c r="I1787" s="51" t="n"/>
      <c r="J1787" s="47" t="n"/>
      <c r="K1787" s="47" t="n"/>
      <c r="L1787" s="43">
        <f>IF($B1787="","",ROUND((N($J1787)+N($K1787))*نسبة_القيمة_المضافة,2))</f>
        <v/>
      </c>
      <c r="M1787" s="47" t="n"/>
      <c r="N1787" s="47" t="n"/>
      <c r="O1787" s="43">
        <f>IF($B1787="","",N($J1787)+N($K1787)+N($L1787)-N($M1787)+N($N1787))</f>
        <v/>
      </c>
      <c r="P1787" s="47" t="n"/>
      <c r="Q1787" s="43">
        <f>IF($B1787="","",N($O1787)-N($P1787))</f>
        <v/>
      </c>
      <c r="R1787" s="47" t="n"/>
      <c r="S1787" s="47" t="n"/>
      <c r="T1787" s="47" t="n"/>
      <c r="U1787" s="43">
        <f>IF($B1787="","",N($J1787)-N($R1787)-N($T1787))</f>
        <v/>
      </c>
      <c r="V1787" s="47" t="n"/>
    </row>
    <row r="1788">
      <c r="A1788" s="39">
        <f>IF($B1788="","",COUNTA($B$4:$B1788))</f>
        <v/>
      </c>
      <c r="B1788" s="40" t="n"/>
      <c r="C1788" s="41" t="n"/>
      <c r="D1788" s="41" t="n"/>
      <c r="E1788" s="41" t="n"/>
      <c r="F1788" s="41" t="n"/>
      <c r="G1788" s="41" t="n"/>
      <c r="H1788" s="41" t="n"/>
      <c r="I1788" s="50" t="n"/>
      <c r="J1788" s="42" t="n"/>
      <c r="K1788" s="42" t="n"/>
      <c r="L1788" s="43">
        <f>IF($B1788="","",ROUND((N($J1788)+N($K1788))*نسبة_القيمة_المضافة,2))</f>
        <v/>
      </c>
      <c r="M1788" s="42" t="n"/>
      <c r="N1788" s="42" t="n"/>
      <c r="O1788" s="43">
        <f>IF($B1788="","",N($J1788)+N($K1788)+N($L1788)-N($M1788)+N($N1788))</f>
        <v/>
      </c>
      <c r="P1788" s="42" t="n"/>
      <c r="Q1788" s="43">
        <f>IF($B1788="","",N($O1788)-N($P1788))</f>
        <v/>
      </c>
      <c r="R1788" s="42" t="n"/>
      <c r="S1788" s="42" t="n"/>
      <c r="T1788" s="42" t="n"/>
      <c r="U1788" s="43">
        <f>IF($B1788="","",N($J1788)-N($R1788)-N($T1788))</f>
        <v/>
      </c>
      <c r="V1788" s="42" t="n"/>
    </row>
    <row r="1789">
      <c r="A1789" s="39">
        <f>IF($B1789="","",COUNTA($B$4:$B1789))</f>
        <v/>
      </c>
      <c r="B1789" s="45" t="n"/>
      <c r="C1789" s="46" t="n"/>
      <c r="D1789" s="46" t="n"/>
      <c r="E1789" s="46" t="n"/>
      <c r="F1789" s="46" t="n"/>
      <c r="G1789" s="46" t="n"/>
      <c r="H1789" s="46" t="n"/>
      <c r="I1789" s="51" t="n"/>
      <c r="J1789" s="47" t="n"/>
      <c r="K1789" s="47" t="n"/>
      <c r="L1789" s="43">
        <f>IF($B1789="","",ROUND((N($J1789)+N($K1789))*نسبة_القيمة_المضافة,2))</f>
        <v/>
      </c>
      <c r="M1789" s="47" t="n"/>
      <c r="N1789" s="47" t="n"/>
      <c r="O1789" s="43">
        <f>IF($B1789="","",N($J1789)+N($K1789)+N($L1789)-N($M1789)+N($N1789))</f>
        <v/>
      </c>
      <c r="P1789" s="47" t="n"/>
      <c r="Q1789" s="43">
        <f>IF($B1789="","",N($O1789)-N($P1789))</f>
        <v/>
      </c>
      <c r="R1789" s="47" t="n"/>
      <c r="S1789" s="47" t="n"/>
      <c r="T1789" s="47" t="n"/>
      <c r="U1789" s="43">
        <f>IF($B1789="","",N($J1789)-N($R1789)-N($T1789))</f>
        <v/>
      </c>
      <c r="V1789" s="47" t="n"/>
    </row>
    <row r="1790">
      <c r="A1790" s="39">
        <f>IF($B1790="","",COUNTA($B$4:$B1790))</f>
        <v/>
      </c>
      <c r="B1790" s="40" t="n"/>
      <c r="C1790" s="41" t="n"/>
      <c r="D1790" s="41" t="n"/>
      <c r="E1790" s="41" t="n"/>
      <c r="F1790" s="41" t="n"/>
      <c r="G1790" s="41" t="n"/>
      <c r="H1790" s="41" t="n"/>
      <c r="I1790" s="50" t="n"/>
      <c r="J1790" s="42" t="n"/>
      <c r="K1790" s="42" t="n"/>
      <c r="L1790" s="43">
        <f>IF($B1790="","",ROUND((N($J1790)+N($K1790))*نسبة_القيمة_المضافة,2))</f>
        <v/>
      </c>
      <c r="M1790" s="42" t="n"/>
      <c r="N1790" s="42" t="n"/>
      <c r="O1790" s="43">
        <f>IF($B1790="","",N($J1790)+N($K1790)+N($L1790)-N($M1790)+N($N1790))</f>
        <v/>
      </c>
      <c r="P1790" s="42" t="n"/>
      <c r="Q1790" s="43">
        <f>IF($B1790="","",N($O1790)-N($P1790))</f>
        <v/>
      </c>
      <c r="R1790" s="42" t="n"/>
      <c r="S1790" s="42" t="n"/>
      <c r="T1790" s="42" t="n"/>
      <c r="U1790" s="43">
        <f>IF($B1790="","",N($J1790)-N($R1790)-N($T1790))</f>
        <v/>
      </c>
      <c r="V1790" s="42" t="n"/>
    </row>
    <row r="1791">
      <c r="A1791" s="39">
        <f>IF($B1791="","",COUNTA($B$4:$B1791))</f>
        <v/>
      </c>
      <c r="B1791" s="45" t="n"/>
      <c r="C1791" s="46" t="n"/>
      <c r="D1791" s="46" t="n"/>
      <c r="E1791" s="46" t="n"/>
      <c r="F1791" s="46" t="n"/>
      <c r="G1791" s="46" t="n"/>
      <c r="H1791" s="46" t="n"/>
      <c r="I1791" s="51" t="n"/>
      <c r="J1791" s="47" t="n"/>
      <c r="K1791" s="47" t="n"/>
      <c r="L1791" s="43">
        <f>IF($B1791="","",ROUND((N($J1791)+N($K1791))*نسبة_القيمة_المضافة,2))</f>
        <v/>
      </c>
      <c r="M1791" s="47" t="n"/>
      <c r="N1791" s="47" t="n"/>
      <c r="O1791" s="43">
        <f>IF($B1791="","",N($J1791)+N($K1791)+N($L1791)-N($M1791)+N($N1791))</f>
        <v/>
      </c>
      <c r="P1791" s="47" t="n"/>
      <c r="Q1791" s="43">
        <f>IF($B1791="","",N($O1791)-N($P1791))</f>
        <v/>
      </c>
      <c r="R1791" s="47" t="n"/>
      <c r="S1791" s="47" t="n"/>
      <c r="T1791" s="47" t="n"/>
      <c r="U1791" s="43">
        <f>IF($B1791="","",N($J1791)-N($R1791)-N($T1791))</f>
        <v/>
      </c>
      <c r="V1791" s="47" t="n"/>
    </row>
    <row r="1792">
      <c r="A1792" s="39">
        <f>IF($B1792="","",COUNTA($B$4:$B1792))</f>
        <v/>
      </c>
      <c r="B1792" s="40" t="n"/>
      <c r="C1792" s="41" t="n"/>
      <c r="D1792" s="41" t="n"/>
      <c r="E1792" s="41" t="n"/>
      <c r="F1792" s="41" t="n"/>
      <c r="G1792" s="41" t="n"/>
      <c r="H1792" s="41" t="n"/>
      <c r="I1792" s="50" t="n"/>
      <c r="J1792" s="42" t="n"/>
      <c r="K1792" s="42" t="n"/>
      <c r="L1792" s="43">
        <f>IF($B1792="","",ROUND((N($J1792)+N($K1792))*نسبة_القيمة_المضافة,2))</f>
        <v/>
      </c>
      <c r="M1792" s="42" t="n"/>
      <c r="N1792" s="42" t="n"/>
      <c r="O1792" s="43">
        <f>IF($B1792="","",N($J1792)+N($K1792)+N($L1792)-N($M1792)+N($N1792))</f>
        <v/>
      </c>
      <c r="P1792" s="42" t="n"/>
      <c r="Q1792" s="43">
        <f>IF($B1792="","",N($O1792)-N($P1792))</f>
        <v/>
      </c>
      <c r="R1792" s="42" t="n"/>
      <c r="S1792" s="42" t="n"/>
      <c r="T1792" s="42" t="n"/>
      <c r="U1792" s="43">
        <f>IF($B1792="","",N($J1792)-N($R1792)-N($T1792))</f>
        <v/>
      </c>
      <c r="V1792" s="42" t="n"/>
    </row>
    <row r="1793">
      <c r="A1793" s="39">
        <f>IF($B1793="","",COUNTA($B$4:$B1793))</f>
        <v/>
      </c>
      <c r="B1793" s="45" t="n"/>
      <c r="C1793" s="46" t="n"/>
      <c r="D1793" s="46" t="n"/>
      <c r="E1793" s="46" t="n"/>
      <c r="F1793" s="46" t="n"/>
      <c r="G1793" s="46" t="n"/>
      <c r="H1793" s="46" t="n"/>
      <c r="I1793" s="51" t="n"/>
      <c r="J1793" s="47" t="n"/>
      <c r="K1793" s="47" t="n"/>
      <c r="L1793" s="43">
        <f>IF($B1793="","",ROUND((N($J1793)+N($K1793))*نسبة_القيمة_المضافة,2))</f>
        <v/>
      </c>
      <c r="M1793" s="47" t="n"/>
      <c r="N1793" s="47" t="n"/>
      <c r="O1793" s="43">
        <f>IF($B1793="","",N($J1793)+N($K1793)+N($L1793)-N($M1793)+N($N1793))</f>
        <v/>
      </c>
      <c r="P1793" s="47" t="n"/>
      <c r="Q1793" s="43">
        <f>IF($B1793="","",N($O1793)-N($P1793))</f>
        <v/>
      </c>
      <c r="R1793" s="47" t="n"/>
      <c r="S1793" s="47" t="n"/>
      <c r="T1793" s="47" t="n"/>
      <c r="U1793" s="43">
        <f>IF($B1793="","",N($J1793)-N($R1793)-N($T1793))</f>
        <v/>
      </c>
      <c r="V1793" s="47" t="n"/>
    </row>
    <row r="1794">
      <c r="A1794" s="39">
        <f>IF($B1794="","",COUNTA($B$4:$B1794))</f>
        <v/>
      </c>
      <c r="B1794" s="40" t="n"/>
      <c r="C1794" s="41" t="n"/>
      <c r="D1794" s="41" t="n"/>
      <c r="E1794" s="41" t="n"/>
      <c r="F1794" s="41" t="n"/>
      <c r="G1794" s="41" t="n"/>
      <c r="H1794" s="41" t="n"/>
      <c r="I1794" s="50" t="n"/>
      <c r="J1794" s="42" t="n"/>
      <c r="K1794" s="42" t="n"/>
      <c r="L1794" s="43">
        <f>IF($B1794="","",ROUND((N($J1794)+N($K1794))*نسبة_القيمة_المضافة,2))</f>
        <v/>
      </c>
      <c r="M1794" s="42" t="n"/>
      <c r="N1794" s="42" t="n"/>
      <c r="O1794" s="43">
        <f>IF($B1794="","",N($J1794)+N($K1794)+N($L1794)-N($M1794)+N($N1794))</f>
        <v/>
      </c>
      <c r="P1794" s="42" t="n"/>
      <c r="Q1794" s="43">
        <f>IF($B1794="","",N($O1794)-N($P1794))</f>
        <v/>
      </c>
      <c r="R1794" s="42" t="n"/>
      <c r="S1794" s="42" t="n"/>
      <c r="T1794" s="42" t="n"/>
      <c r="U1794" s="43">
        <f>IF($B1794="","",N($J1794)-N($R1794)-N($T1794))</f>
        <v/>
      </c>
      <c r="V1794" s="42" t="n"/>
    </row>
    <row r="1795">
      <c r="A1795" s="39">
        <f>IF($B1795="","",COUNTA($B$4:$B1795))</f>
        <v/>
      </c>
      <c r="B1795" s="45" t="n"/>
      <c r="C1795" s="46" t="n"/>
      <c r="D1795" s="46" t="n"/>
      <c r="E1795" s="46" t="n"/>
      <c r="F1795" s="46" t="n"/>
      <c r="G1795" s="46" t="n"/>
      <c r="H1795" s="46" t="n"/>
      <c r="I1795" s="51" t="n"/>
      <c r="J1795" s="47" t="n"/>
      <c r="K1795" s="47" t="n"/>
      <c r="L1795" s="43">
        <f>IF($B1795="","",ROUND((N($J1795)+N($K1795))*نسبة_القيمة_المضافة,2))</f>
        <v/>
      </c>
      <c r="M1795" s="47" t="n"/>
      <c r="N1795" s="47" t="n"/>
      <c r="O1795" s="43">
        <f>IF($B1795="","",N($J1795)+N($K1795)+N($L1795)-N($M1795)+N($N1795))</f>
        <v/>
      </c>
      <c r="P1795" s="47" t="n"/>
      <c r="Q1795" s="43">
        <f>IF($B1795="","",N($O1795)-N($P1795))</f>
        <v/>
      </c>
      <c r="R1795" s="47" t="n"/>
      <c r="S1795" s="47" t="n"/>
      <c r="T1795" s="47" t="n"/>
      <c r="U1795" s="43">
        <f>IF($B1795="","",N($J1795)-N($R1795)-N($T1795))</f>
        <v/>
      </c>
      <c r="V1795" s="47" t="n"/>
    </row>
    <row r="1796">
      <c r="A1796" s="39">
        <f>IF($B1796="","",COUNTA($B$4:$B1796))</f>
        <v/>
      </c>
      <c r="B1796" s="40" t="n"/>
      <c r="C1796" s="41" t="n"/>
      <c r="D1796" s="41" t="n"/>
      <c r="E1796" s="41" t="n"/>
      <c r="F1796" s="41" t="n"/>
      <c r="G1796" s="41" t="n"/>
      <c r="H1796" s="41" t="n"/>
      <c r="I1796" s="50" t="n"/>
      <c r="J1796" s="42" t="n"/>
      <c r="K1796" s="42" t="n"/>
      <c r="L1796" s="43">
        <f>IF($B1796="","",ROUND((N($J1796)+N($K1796))*نسبة_القيمة_المضافة,2))</f>
        <v/>
      </c>
      <c r="M1796" s="42" t="n"/>
      <c r="N1796" s="42" t="n"/>
      <c r="O1796" s="43">
        <f>IF($B1796="","",N($J1796)+N($K1796)+N($L1796)-N($M1796)+N($N1796))</f>
        <v/>
      </c>
      <c r="P1796" s="42" t="n"/>
      <c r="Q1796" s="43">
        <f>IF($B1796="","",N($O1796)-N($P1796))</f>
        <v/>
      </c>
      <c r="R1796" s="42" t="n"/>
      <c r="S1796" s="42" t="n"/>
      <c r="T1796" s="42" t="n"/>
      <c r="U1796" s="43">
        <f>IF($B1796="","",N($J1796)-N($R1796)-N($T1796))</f>
        <v/>
      </c>
      <c r="V1796" s="42" t="n"/>
    </row>
    <row r="1797">
      <c r="A1797" s="39">
        <f>IF($B1797="","",COUNTA($B$4:$B1797))</f>
        <v/>
      </c>
      <c r="B1797" s="45" t="n"/>
      <c r="C1797" s="46" t="n"/>
      <c r="D1797" s="46" t="n"/>
      <c r="E1797" s="46" t="n"/>
      <c r="F1797" s="46" t="n"/>
      <c r="G1797" s="46" t="n"/>
      <c r="H1797" s="46" t="n"/>
      <c r="I1797" s="51" t="n"/>
      <c r="J1797" s="47" t="n"/>
      <c r="K1797" s="47" t="n"/>
      <c r="L1797" s="43">
        <f>IF($B1797="","",ROUND((N($J1797)+N($K1797))*نسبة_القيمة_المضافة,2))</f>
        <v/>
      </c>
      <c r="M1797" s="47" t="n"/>
      <c r="N1797" s="47" t="n"/>
      <c r="O1797" s="43">
        <f>IF($B1797="","",N($J1797)+N($K1797)+N($L1797)-N($M1797)+N($N1797))</f>
        <v/>
      </c>
      <c r="P1797" s="47" t="n"/>
      <c r="Q1797" s="43">
        <f>IF($B1797="","",N($O1797)-N($P1797))</f>
        <v/>
      </c>
      <c r="R1797" s="47" t="n"/>
      <c r="S1797" s="47" t="n"/>
      <c r="T1797" s="47" t="n"/>
      <c r="U1797" s="43">
        <f>IF($B1797="","",N($J1797)-N($R1797)-N($T1797))</f>
        <v/>
      </c>
      <c r="V1797" s="47" t="n"/>
    </row>
    <row r="1798">
      <c r="A1798" s="39">
        <f>IF($B1798="","",COUNTA($B$4:$B1798))</f>
        <v/>
      </c>
      <c r="B1798" s="40" t="n"/>
      <c r="C1798" s="41" t="n"/>
      <c r="D1798" s="41" t="n"/>
      <c r="E1798" s="41" t="n"/>
      <c r="F1798" s="41" t="n"/>
      <c r="G1798" s="41" t="n"/>
      <c r="H1798" s="41" t="n"/>
      <c r="I1798" s="50" t="n"/>
      <c r="J1798" s="42" t="n"/>
      <c r="K1798" s="42" t="n"/>
      <c r="L1798" s="43">
        <f>IF($B1798="","",ROUND((N($J1798)+N($K1798))*نسبة_القيمة_المضافة,2))</f>
        <v/>
      </c>
      <c r="M1798" s="42" t="n"/>
      <c r="N1798" s="42" t="n"/>
      <c r="O1798" s="43">
        <f>IF($B1798="","",N($J1798)+N($K1798)+N($L1798)-N($M1798)+N($N1798))</f>
        <v/>
      </c>
      <c r="P1798" s="42" t="n"/>
      <c r="Q1798" s="43">
        <f>IF($B1798="","",N($O1798)-N($P1798))</f>
        <v/>
      </c>
      <c r="R1798" s="42" t="n"/>
      <c r="S1798" s="42" t="n"/>
      <c r="T1798" s="42" t="n"/>
      <c r="U1798" s="43">
        <f>IF($B1798="","",N($J1798)-N($R1798)-N($T1798))</f>
        <v/>
      </c>
      <c r="V1798" s="42" t="n"/>
    </row>
    <row r="1799">
      <c r="A1799" s="39">
        <f>IF($B1799="","",COUNTA($B$4:$B1799))</f>
        <v/>
      </c>
      <c r="B1799" s="45" t="n"/>
      <c r="C1799" s="46" t="n"/>
      <c r="D1799" s="46" t="n"/>
      <c r="E1799" s="46" t="n"/>
      <c r="F1799" s="46" t="n"/>
      <c r="G1799" s="46" t="n"/>
      <c r="H1799" s="46" t="n"/>
      <c r="I1799" s="51" t="n"/>
      <c r="J1799" s="47" t="n"/>
      <c r="K1799" s="47" t="n"/>
      <c r="L1799" s="43">
        <f>IF($B1799="","",ROUND((N($J1799)+N($K1799))*نسبة_القيمة_المضافة,2))</f>
        <v/>
      </c>
      <c r="M1799" s="47" t="n"/>
      <c r="N1799" s="47" t="n"/>
      <c r="O1799" s="43">
        <f>IF($B1799="","",N($J1799)+N($K1799)+N($L1799)-N($M1799)+N($N1799))</f>
        <v/>
      </c>
      <c r="P1799" s="47" t="n"/>
      <c r="Q1799" s="43">
        <f>IF($B1799="","",N($O1799)-N($P1799))</f>
        <v/>
      </c>
      <c r="R1799" s="47" t="n"/>
      <c r="S1799" s="47" t="n"/>
      <c r="T1799" s="47" t="n"/>
      <c r="U1799" s="43">
        <f>IF($B1799="","",N($J1799)-N($R1799)-N($T1799))</f>
        <v/>
      </c>
      <c r="V1799" s="47" t="n"/>
    </row>
    <row r="1800">
      <c r="A1800" s="39">
        <f>IF($B1800="","",COUNTA($B$4:$B1800))</f>
        <v/>
      </c>
      <c r="B1800" s="40" t="n"/>
      <c r="C1800" s="41" t="n"/>
      <c r="D1800" s="41" t="n"/>
      <c r="E1800" s="41" t="n"/>
      <c r="F1800" s="41" t="n"/>
      <c r="G1800" s="41" t="n"/>
      <c r="H1800" s="41" t="n"/>
      <c r="I1800" s="50" t="n"/>
      <c r="J1800" s="42" t="n"/>
      <c r="K1800" s="42" t="n"/>
      <c r="L1800" s="43">
        <f>IF($B1800="","",ROUND((N($J1800)+N($K1800))*نسبة_القيمة_المضافة,2))</f>
        <v/>
      </c>
      <c r="M1800" s="42" t="n"/>
      <c r="N1800" s="42" t="n"/>
      <c r="O1800" s="43">
        <f>IF($B1800="","",N($J1800)+N($K1800)+N($L1800)-N($M1800)+N($N1800))</f>
        <v/>
      </c>
      <c r="P1800" s="42" t="n"/>
      <c r="Q1800" s="43">
        <f>IF($B1800="","",N($O1800)-N($P1800))</f>
        <v/>
      </c>
      <c r="R1800" s="42" t="n"/>
      <c r="S1800" s="42" t="n"/>
      <c r="T1800" s="42" t="n"/>
      <c r="U1800" s="43">
        <f>IF($B1800="","",N($J1800)-N($R1800)-N($T1800))</f>
        <v/>
      </c>
      <c r="V1800" s="42" t="n"/>
    </row>
    <row r="1801">
      <c r="A1801" s="39">
        <f>IF($B1801="","",COUNTA($B$4:$B1801))</f>
        <v/>
      </c>
      <c r="B1801" s="45" t="n"/>
      <c r="C1801" s="46" t="n"/>
      <c r="D1801" s="46" t="n"/>
      <c r="E1801" s="46" t="n"/>
      <c r="F1801" s="46" t="n"/>
      <c r="G1801" s="46" t="n"/>
      <c r="H1801" s="46" t="n"/>
      <c r="I1801" s="51" t="n"/>
      <c r="J1801" s="47" t="n"/>
      <c r="K1801" s="47" t="n"/>
      <c r="L1801" s="43">
        <f>IF($B1801="","",ROUND((N($J1801)+N($K1801))*نسبة_القيمة_المضافة,2))</f>
        <v/>
      </c>
      <c r="M1801" s="47" t="n"/>
      <c r="N1801" s="47" t="n"/>
      <c r="O1801" s="43">
        <f>IF($B1801="","",N($J1801)+N($K1801)+N($L1801)-N($M1801)+N($N1801))</f>
        <v/>
      </c>
      <c r="P1801" s="47" t="n"/>
      <c r="Q1801" s="43">
        <f>IF($B1801="","",N($O1801)-N($P1801))</f>
        <v/>
      </c>
      <c r="R1801" s="47" t="n"/>
      <c r="S1801" s="47" t="n"/>
      <c r="T1801" s="47" t="n"/>
      <c r="U1801" s="43">
        <f>IF($B1801="","",N($J1801)-N($R1801)-N($T1801))</f>
        <v/>
      </c>
      <c r="V1801" s="47" t="n"/>
    </row>
    <row r="1802">
      <c r="A1802" s="39">
        <f>IF($B1802="","",COUNTA($B$4:$B1802))</f>
        <v/>
      </c>
      <c r="B1802" s="40" t="n"/>
      <c r="C1802" s="41" t="n"/>
      <c r="D1802" s="41" t="n"/>
      <c r="E1802" s="41" t="n"/>
      <c r="F1802" s="41" t="n"/>
      <c r="G1802" s="41" t="n"/>
      <c r="H1802" s="41" t="n"/>
      <c r="I1802" s="50" t="n"/>
      <c r="J1802" s="42" t="n"/>
      <c r="K1802" s="42" t="n"/>
      <c r="L1802" s="43">
        <f>IF($B1802="","",ROUND((N($J1802)+N($K1802))*نسبة_القيمة_المضافة,2))</f>
        <v/>
      </c>
      <c r="M1802" s="42" t="n"/>
      <c r="N1802" s="42" t="n"/>
      <c r="O1802" s="43">
        <f>IF($B1802="","",N($J1802)+N($K1802)+N($L1802)-N($M1802)+N($N1802))</f>
        <v/>
      </c>
      <c r="P1802" s="42" t="n"/>
      <c r="Q1802" s="43">
        <f>IF($B1802="","",N($O1802)-N($P1802))</f>
        <v/>
      </c>
      <c r="R1802" s="42" t="n"/>
      <c r="S1802" s="42" t="n"/>
      <c r="T1802" s="42" t="n"/>
      <c r="U1802" s="43">
        <f>IF($B1802="","",N($J1802)-N($R1802)-N($T1802))</f>
        <v/>
      </c>
      <c r="V1802" s="42" t="n"/>
    </row>
    <row r="1803">
      <c r="A1803" s="39">
        <f>IF($B1803="","",COUNTA($B$4:$B1803))</f>
        <v/>
      </c>
      <c r="B1803" s="45" t="n"/>
      <c r="C1803" s="46" t="n"/>
      <c r="D1803" s="46" t="n"/>
      <c r="E1803" s="46" t="n"/>
      <c r="F1803" s="46" t="n"/>
      <c r="G1803" s="46" t="n"/>
      <c r="H1803" s="46" t="n"/>
      <c r="I1803" s="51" t="n"/>
      <c r="J1803" s="47" t="n"/>
      <c r="K1803" s="47" t="n"/>
      <c r="L1803" s="43">
        <f>IF($B1803="","",ROUND((N($J1803)+N($K1803))*نسبة_القيمة_المضافة,2))</f>
        <v/>
      </c>
      <c r="M1803" s="47" t="n"/>
      <c r="N1803" s="47" t="n"/>
      <c r="O1803" s="43">
        <f>IF($B1803="","",N($J1803)+N($K1803)+N($L1803)-N($M1803)+N($N1803))</f>
        <v/>
      </c>
      <c r="P1803" s="47" t="n"/>
      <c r="Q1803" s="43">
        <f>IF($B1803="","",N($O1803)-N($P1803))</f>
        <v/>
      </c>
      <c r="R1803" s="47" t="n"/>
      <c r="S1803" s="47" t="n"/>
      <c r="T1803" s="47" t="n"/>
      <c r="U1803" s="43">
        <f>IF($B1803="","",N($J1803)-N($R1803)-N($T1803))</f>
        <v/>
      </c>
      <c r="V1803" s="47" t="n"/>
    </row>
    <row r="1804">
      <c r="A1804" s="39">
        <f>IF($B1804="","",COUNTA($B$4:$B1804))</f>
        <v/>
      </c>
      <c r="B1804" s="40" t="n"/>
      <c r="C1804" s="41" t="n"/>
      <c r="D1804" s="41" t="n"/>
      <c r="E1804" s="41" t="n"/>
      <c r="F1804" s="41" t="n"/>
      <c r="G1804" s="41" t="n"/>
      <c r="H1804" s="41" t="n"/>
      <c r="I1804" s="50" t="n"/>
      <c r="J1804" s="42" t="n"/>
      <c r="K1804" s="42" t="n"/>
      <c r="L1804" s="43">
        <f>IF($B1804="","",ROUND((N($J1804)+N($K1804))*نسبة_القيمة_المضافة,2))</f>
        <v/>
      </c>
      <c r="M1804" s="42" t="n"/>
      <c r="N1804" s="42" t="n"/>
      <c r="O1804" s="43">
        <f>IF($B1804="","",N($J1804)+N($K1804)+N($L1804)-N($M1804)+N($N1804))</f>
        <v/>
      </c>
      <c r="P1804" s="42" t="n"/>
      <c r="Q1804" s="43">
        <f>IF($B1804="","",N($O1804)-N($P1804))</f>
        <v/>
      </c>
      <c r="R1804" s="42" t="n"/>
      <c r="S1804" s="42" t="n"/>
      <c r="T1804" s="42" t="n"/>
      <c r="U1804" s="43">
        <f>IF($B1804="","",N($J1804)-N($R1804)-N($T1804))</f>
        <v/>
      </c>
      <c r="V1804" s="42" t="n"/>
    </row>
    <row r="1805">
      <c r="A1805" s="39">
        <f>IF($B1805="","",COUNTA($B$4:$B1805))</f>
        <v/>
      </c>
      <c r="B1805" s="45" t="n"/>
      <c r="C1805" s="46" t="n"/>
      <c r="D1805" s="46" t="n"/>
      <c r="E1805" s="46" t="n"/>
      <c r="F1805" s="46" t="n"/>
      <c r="G1805" s="46" t="n"/>
      <c r="H1805" s="46" t="n"/>
      <c r="I1805" s="51" t="n"/>
      <c r="J1805" s="47" t="n"/>
      <c r="K1805" s="47" t="n"/>
      <c r="L1805" s="43">
        <f>IF($B1805="","",ROUND((N($J1805)+N($K1805))*نسبة_القيمة_المضافة,2))</f>
        <v/>
      </c>
      <c r="M1805" s="47" t="n"/>
      <c r="N1805" s="47" t="n"/>
      <c r="O1805" s="43">
        <f>IF($B1805="","",N($J1805)+N($K1805)+N($L1805)-N($M1805)+N($N1805))</f>
        <v/>
      </c>
      <c r="P1805" s="47" t="n"/>
      <c r="Q1805" s="43">
        <f>IF($B1805="","",N($O1805)-N($P1805))</f>
        <v/>
      </c>
      <c r="R1805" s="47" t="n"/>
      <c r="S1805" s="47" t="n"/>
      <c r="T1805" s="47" t="n"/>
      <c r="U1805" s="43">
        <f>IF($B1805="","",N($J1805)-N($R1805)-N($T1805))</f>
        <v/>
      </c>
      <c r="V1805" s="47" t="n"/>
    </row>
    <row r="1806">
      <c r="A1806" s="39">
        <f>IF($B1806="","",COUNTA($B$4:$B1806))</f>
        <v/>
      </c>
      <c r="B1806" s="40" t="n"/>
      <c r="C1806" s="41" t="n"/>
      <c r="D1806" s="41" t="n"/>
      <c r="E1806" s="41" t="n"/>
      <c r="F1806" s="41" t="n"/>
      <c r="G1806" s="41" t="n"/>
      <c r="H1806" s="41" t="n"/>
      <c r="I1806" s="50" t="n"/>
      <c r="J1806" s="42" t="n"/>
      <c r="K1806" s="42" t="n"/>
      <c r="L1806" s="43">
        <f>IF($B1806="","",ROUND((N($J1806)+N($K1806))*نسبة_القيمة_المضافة,2))</f>
        <v/>
      </c>
      <c r="M1806" s="42" t="n"/>
      <c r="N1806" s="42" t="n"/>
      <c r="O1806" s="43">
        <f>IF($B1806="","",N($J1806)+N($K1806)+N($L1806)-N($M1806)+N($N1806))</f>
        <v/>
      </c>
      <c r="P1806" s="42" t="n"/>
      <c r="Q1806" s="43">
        <f>IF($B1806="","",N($O1806)-N($P1806))</f>
        <v/>
      </c>
      <c r="R1806" s="42" t="n"/>
      <c r="S1806" s="42" t="n"/>
      <c r="T1806" s="42" t="n"/>
      <c r="U1806" s="43">
        <f>IF($B1806="","",N($J1806)-N($R1806)-N($T1806))</f>
        <v/>
      </c>
      <c r="V1806" s="42" t="n"/>
    </row>
    <row r="1807">
      <c r="A1807" s="39">
        <f>IF($B1807="","",COUNTA($B$4:$B1807))</f>
        <v/>
      </c>
      <c r="B1807" s="45" t="n"/>
      <c r="C1807" s="46" t="n"/>
      <c r="D1807" s="46" t="n"/>
      <c r="E1807" s="46" t="n"/>
      <c r="F1807" s="46" t="n"/>
      <c r="G1807" s="46" t="n"/>
      <c r="H1807" s="46" t="n"/>
      <c r="I1807" s="51" t="n"/>
      <c r="J1807" s="47" t="n"/>
      <c r="K1807" s="47" t="n"/>
      <c r="L1807" s="43">
        <f>IF($B1807="","",ROUND((N($J1807)+N($K1807))*نسبة_القيمة_المضافة,2))</f>
        <v/>
      </c>
      <c r="M1807" s="47" t="n"/>
      <c r="N1807" s="47" t="n"/>
      <c r="O1807" s="43">
        <f>IF($B1807="","",N($J1807)+N($K1807)+N($L1807)-N($M1807)+N($N1807))</f>
        <v/>
      </c>
      <c r="P1807" s="47" t="n"/>
      <c r="Q1807" s="43">
        <f>IF($B1807="","",N($O1807)-N($P1807))</f>
        <v/>
      </c>
      <c r="R1807" s="47" t="n"/>
      <c r="S1807" s="47" t="n"/>
      <c r="T1807" s="47" t="n"/>
      <c r="U1807" s="43">
        <f>IF($B1807="","",N($J1807)-N($R1807)-N($T1807))</f>
        <v/>
      </c>
      <c r="V1807" s="47" t="n"/>
    </row>
    <row r="1808">
      <c r="A1808" s="39">
        <f>IF($B1808="","",COUNTA($B$4:$B1808))</f>
        <v/>
      </c>
      <c r="B1808" s="40" t="n"/>
      <c r="C1808" s="41" t="n"/>
      <c r="D1808" s="41" t="n"/>
      <c r="E1808" s="41" t="n"/>
      <c r="F1808" s="41" t="n"/>
      <c r="G1808" s="41" t="n"/>
      <c r="H1808" s="41" t="n"/>
      <c r="I1808" s="50" t="n"/>
      <c r="J1808" s="42" t="n"/>
      <c r="K1808" s="42" t="n"/>
      <c r="L1808" s="43">
        <f>IF($B1808="","",ROUND((N($J1808)+N($K1808))*نسبة_القيمة_المضافة,2))</f>
        <v/>
      </c>
      <c r="M1808" s="42" t="n"/>
      <c r="N1808" s="42" t="n"/>
      <c r="O1808" s="43">
        <f>IF($B1808="","",N($J1808)+N($K1808)+N($L1808)-N($M1808)+N($N1808))</f>
        <v/>
      </c>
      <c r="P1808" s="42" t="n"/>
      <c r="Q1808" s="43">
        <f>IF($B1808="","",N($O1808)-N($P1808))</f>
        <v/>
      </c>
      <c r="R1808" s="42" t="n"/>
      <c r="S1808" s="42" t="n"/>
      <c r="T1808" s="42" t="n"/>
      <c r="U1808" s="43">
        <f>IF($B1808="","",N($J1808)-N($R1808)-N($T1808))</f>
        <v/>
      </c>
      <c r="V1808" s="42" t="n"/>
    </row>
    <row r="1809">
      <c r="A1809" s="39">
        <f>IF($B1809="","",COUNTA($B$4:$B1809))</f>
        <v/>
      </c>
      <c r="B1809" s="45" t="n"/>
      <c r="C1809" s="46" t="n"/>
      <c r="D1809" s="46" t="n"/>
      <c r="E1809" s="46" t="n"/>
      <c r="F1809" s="46" t="n"/>
      <c r="G1809" s="46" t="n"/>
      <c r="H1809" s="46" t="n"/>
      <c r="I1809" s="51" t="n"/>
      <c r="J1809" s="47" t="n"/>
      <c r="K1809" s="47" t="n"/>
      <c r="L1809" s="43">
        <f>IF($B1809="","",ROUND((N($J1809)+N($K1809))*نسبة_القيمة_المضافة,2))</f>
        <v/>
      </c>
      <c r="M1809" s="47" t="n"/>
      <c r="N1809" s="47" t="n"/>
      <c r="O1809" s="43">
        <f>IF($B1809="","",N($J1809)+N($K1809)+N($L1809)-N($M1809)+N($N1809))</f>
        <v/>
      </c>
      <c r="P1809" s="47" t="n"/>
      <c r="Q1809" s="43">
        <f>IF($B1809="","",N($O1809)-N($P1809))</f>
        <v/>
      </c>
      <c r="R1809" s="47" t="n"/>
      <c r="S1809" s="47" t="n"/>
      <c r="T1809" s="47" t="n"/>
      <c r="U1809" s="43">
        <f>IF($B1809="","",N($J1809)-N($R1809)-N($T1809))</f>
        <v/>
      </c>
      <c r="V1809" s="47" t="n"/>
    </row>
    <row r="1810">
      <c r="A1810" s="39">
        <f>IF($B1810="","",COUNTA($B$4:$B1810))</f>
        <v/>
      </c>
      <c r="B1810" s="40" t="n"/>
      <c r="C1810" s="41" t="n"/>
      <c r="D1810" s="41" t="n"/>
      <c r="E1810" s="41" t="n"/>
      <c r="F1810" s="41" t="n"/>
      <c r="G1810" s="41" t="n"/>
      <c r="H1810" s="41" t="n"/>
      <c r="I1810" s="50" t="n"/>
      <c r="J1810" s="42" t="n"/>
      <c r="K1810" s="42" t="n"/>
      <c r="L1810" s="43">
        <f>IF($B1810="","",ROUND((N($J1810)+N($K1810))*نسبة_القيمة_المضافة,2))</f>
        <v/>
      </c>
      <c r="M1810" s="42" t="n"/>
      <c r="N1810" s="42" t="n"/>
      <c r="O1810" s="43">
        <f>IF($B1810="","",N($J1810)+N($K1810)+N($L1810)-N($M1810)+N($N1810))</f>
        <v/>
      </c>
      <c r="P1810" s="42" t="n"/>
      <c r="Q1810" s="43">
        <f>IF($B1810="","",N($O1810)-N($P1810))</f>
        <v/>
      </c>
      <c r="R1810" s="42" t="n"/>
      <c r="S1810" s="42" t="n"/>
      <c r="T1810" s="42" t="n"/>
      <c r="U1810" s="43">
        <f>IF($B1810="","",N($J1810)-N($R1810)-N($T1810))</f>
        <v/>
      </c>
      <c r="V1810" s="42" t="n"/>
    </row>
    <row r="1811">
      <c r="A1811" s="39">
        <f>IF($B1811="","",COUNTA($B$4:$B1811))</f>
        <v/>
      </c>
      <c r="B1811" s="45" t="n"/>
      <c r="C1811" s="46" t="n"/>
      <c r="D1811" s="46" t="n"/>
      <c r="E1811" s="46" t="n"/>
      <c r="F1811" s="46" t="n"/>
      <c r="G1811" s="46" t="n"/>
      <c r="H1811" s="46" t="n"/>
      <c r="I1811" s="51" t="n"/>
      <c r="J1811" s="47" t="n"/>
      <c r="K1811" s="47" t="n"/>
      <c r="L1811" s="43">
        <f>IF($B1811="","",ROUND((N($J1811)+N($K1811))*نسبة_القيمة_المضافة,2))</f>
        <v/>
      </c>
      <c r="M1811" s="47" t="n"/>
      <c r="N1811" s="47" t="n"/>
      <c r="O1811" s="43">
        <f>IF($B1811="","",N($J1811)+N($K1811)+N($L1811)-N($M1811)+N($N1811))</f>
        <v/>
      </c>
      <c r="P1811" s="47" t="n"/>
      <c r="Q1811" s="43">
        <f>IF($B1811="","",N($O1811)-N($P1811))</f>
        <v/>
      </c>
      <c r="R1811" s="47" t="n"/>
      <c r="S1811" s="47" t="n"/>
      <c r="T1811" s="47" t="n"/>
      <c r="U1811" s="43">
        <f>IF($B1811="","",N($J1811)-N($R1811)-N($T1811))</f>
        <v/>
      </c>
      <c r="V1811" s="47" t="n"/>
    </row>
    <row r="1812">
      <c r="A1812" s="39">
        <f>IF($B1812="","",COUNTA($B$4:$B1812))</f>
        <v/>
      </c>
      <c r="B1812" s="40" t="n"/>
      <c r="C1812" s="41" t="n"/>
      <c r="D1812" s="41" t="n"/>
      <c r="E1812" s="41" t="n"/>
      <c r="F1812" s="41" t="n"/>
      <c r="G1812" s="41" t="n"/>
      <c r="H1812" s="41" t="n"/>
      <c r="I1812" s="50" t="n"/>
      <c r="J1812" s="42" t="n"/>
      <c r="K1812" s="42" t="n"/>
      <c r="L1812" s="43">
        <f>IF($B1812="","",ROUND((N($J1812)+N($K1812))*نسبة_القيمة_المضافة,2))</f>
        <v/>
      </c>
      <c r="M1812" s="42" t="n"/>
      <c r="N1812" s="42" t="n"/>
      <c r="O1812" s="43">
        <f>IF($B1812="","",N($J1812)+N($K1812)+N($L1812)-N($M1812)+N($N1812))</f>
        <v/>
      </c>
      <c r="P1812" s="42" t="n"/>
      <c r="Q1812" s="43">
        <f>IF($B1812="","",N($O1812)-N($P1812))</f>
        <v/>
      </c>
      <c r="R1812" s="42" t="n"/>
      <c r="S1812" s="42" t="n"/>
      <c r="T1812" s="42" t="n"/>
      <c r="U1812" s="43">
        <f>IF($B1812="","",N($J1812)-N($R1812)-N($T1812))</f>
        <v/>
      </c>
      <c r="V1812" s="42" t="n"/>
    </row>
    <row r="1813">
      <c r="A1813" s="39">
        <f>IF($B1813="","",COUNTA($B$4:$B1813))</f>
        <v/>
      </c>
      <c r="B1813" s="45" t="n"/>
      <c r="C1813" s="46" t="n"/>
      <c r="D1813" s="46" t="n"/>
      <c r="E1813" s="46" t="n"/>
      <c r="F1813" s="46" t="n"/>
      <c r="G1813" s="46" t="n"/>
      <c r="H1813" s="46" t="n"/>
      <c r="I1813" s="51" t="n"/>
      <c r="J1813" s="47" t="n"/>
      <c r="K1813" s="47" t="n"/>
      <c r="L1813" s="43">
        <f>IF($B1813="","",ROUND((N($J1813)+N($K1813))*نسبة_القيمة_المضافة,2))</f>
        <v/>
      </c>
      <c r="M1813" s="47" t="n"/>
      <c r="N1813" s="47" t="n"/>
      <c r="O1813" s="43">
        <f>IF($B1813="","",N($J1813)+N($K1813)+N($L1813)-N($M1813)+N($N1813))</f>
        <v/>
      </c>
      <c r="P1813" s="47" t="n"/>
      <c r="Q1813" s="43">
        <f>IF($B1813="","",N($O1813)-N($P1813))</f>
        <v/>
      </c>
      <c r="R1813" s="47" t="n"/>
      <c r="S1813" s="47" t="n"/>
      <c r="T1813" s="47" t="n"/>
      <c r="U1813" s="43">
        <f>IF($B1813="","",N($J1813)-N($R1813)-N($T1813))</f>
        <v/>
      </c>
      <c r="V1813" s="47" t="n"/>
    </row>
    <row r="1814">
      <c r="A1814" s="39">
        <f>IF($B1814="","",COUNTA($B$4:$B1814))</f>
        <v/>
      </c>
      <c r="B1814" s="40" t="n"/>
      <c r="C1814" s="41" t="n"/>
      <c r="D1814" s="41" t="n"/>
      <c r="E1814" s="41" t="n"/>
      <c r="F1814" s="41" t="n"/>
      <c r="G1814" s="41" t="n"/>
      <c r="H1814" s="41" t="n"/>
      <c r="I1814" s="50" t="n"/>
      <c r="J1814" s="42" t="n"/>
      <c r="K1814" s="42" t="n"/>
      <c r="L1814" s="43">
        <f>IF($B1814="","",ROUND((N($J1814)+N($K1814))*نسبة_القيمة_المضافة,2))</f>
        <v/>
      </c>
      <c r="M1814" s="42" t="n"/>
      <c r="N1814" s="42" t="n"/>
      <c r="O1814" s="43">
        <f>IF($B1814="","",N($J1814)+N($K1814)+N($L1814)-N($M1814)+N($N1814))</f>
        <v/>
      </c>
      <c r="P1814" s="42" t="n"/>
      <c r="Q1814" s="43">
        <f>IF($B1814="","",N($O1814)-N($P1814))</f>
        <v/>
      </c>
      <c r="R1814" s="42" t="n"/>
      <c r="S1814" s="42" t="n"/>
      <c r="T1814" s="42" t="n"/>
      <c r="U1814" s="43">
        <f>IF($B1814="","",N($J1814)-N($R1814)-N($T1814))</f>
        <v/>
      </c>
      <c r="V1814" s="42" t="n"/>
    </row>
    <row r="1815">
      <c r="A1815" s="39">
        <f>IF($B1815="","",COUNTA($B$4:$B1815))</f>
        <v/>
      </c>
      <c r="B1815" s="45" t="n"/>
      <c r="C1815" s="46" t="n"/>
      <c r="D1815" s="46" t="n"/>
      <c r="E1815" s="46" t="n"/>
      <c r="F1815" s="46" t="n"/>
      <c r="G1815" s="46" t="n"/>
      <c r="H1815" s="46" t="n"/>
      <c r="I1815" s="51" t="n"/>
      <c r="J1815" s="47" t="n"/>
      <c r="K1815" s="47" t="n"/>
      <c r="L1815" s="43">
        <f>IF($B1815="","",ROUND((N($J1815)+N($K1815))*نسبة_القيمة_المضافة,2))</f>
        <v/>
      </c>
      <c r="M1815" s="47" t="n"/>
      <c r="N1815" s="47" t="n"/>
      <c r="O1815" s="43">
        <f>IF($B1815="","",N($J1815)+N($K1815)+N($L1815)-N($M1815)+N($N1815))</f>
        <v/>
      </c>
      <c r="P1815" s="47" t="n"/>
      <c r="Q1815" s="43">
        <f>IF($B1815="","",N($O1815)-N($P1815))</f>
        <v/>
      </c>
      <c r="R1815" s="47" t="n"/>
      <c r="S1815" s="47" t="n"/>
      <c r="T1815" s="47" t="n"/>
      <c r="U1815" s="43">
        <f>IF($B1815="","",N($J1815)-N($R1815)-N($T1815))</f>
        <v/>
      </c>
      <c r="V1815" s="47" t="n"/>
    </row>
    <row r="1816">
      <c r="A1816" s="39">
        <f>IF($B1816="","",COUNTA($B$4:$B1816))</f>
        <v/>
      </c>
      <c r="B1816" s="40" t="n"/>
      <c r="C1816" s="41" t="n"/>
      <c r="D1816" s="41" t="n"/>
      <c r="E1816" s="41" t="n"/>
      <c r="F1816" s="41" t="n"/>
      <c r="G1816" s="41" t="n"/>
      <c r="H1816" s="41" t="n"/>
      <c r="I1816" s="50" t="n"/>
      <c r="J1816" s="42" t="n"/>
      <c r="K1816" s="42" t="n"/>
      <c r="L1816" s="43">
        <f>IF($B1816="","",ROUND((N($J1816)+N($K1816))*نسبة_القيمة_المضافة,2))</f>
        <v/>
      </c>
      <c r="M1816" s="42" t="n"/>
      <c r="N1816" s="42" t="n"/>
      <c r="O1816" s="43">
        <f>IF($B1816="","",N($J1816)+N($K1816)+N($L1816)-N($M1816)+N($N1816))</f>
        <v/>
      </c>
      <c r="P1816" s="42" t="n"/>
      <c r="Q1816" s="43">
        <f>IF($B1816="","",N($O1816)-N($P1816))</f>
        <v/>
      </c>
      <c r="R1816" s="42" t="n"/>
      <c r="S1816" s="42" t="n"/>
      <c r="T1816" s="42" t="n"/>
      <c r="U1816" s="43">
        <f>IF($B1816="","",N($J1816)-N($R1816)-N($T1816))</f>
        <v/>
      </c>
      <c r="V1816" s="42" t="n"/>
    </row>
    <row r="1817">
      <c r="A1817" s="39">
        <f>IF($B1817="","",COUNTA($B$4:$B1817))</f>
        <v/>
      </c>
      <c r="B1817" s="45" t="n"/>
      <c r="C1817" s="46" t="n"/>
      <c r="D1817" s="46" t="n"/>
      <c r="E1817" s="46" t="n"/>
      <c r="F1817" s="46" t="n"/>
      <c r="G1817" s="46" t="n"/>
      <c r="H1817" s="46" t="n"/>
      <c r="I1817" s="51" t="n"/>
      <c r="J1817" s="47" t="n"/>
      <c r="K1817" s="47" t="n"/>
      <c r="L1817" s="43">
        <f>IF($B1817="","",ROUND((N($J1817)+N($K1817))*نسبة_القيمة_المضافة,2))</f>
        <v/>
      </c>
      <c r="M1817" s="47" t="n"/>
      <c r="N1817" s="47" t="n"/>
      <c r="O1817" s="43">
        <f>IF($B1817="","",N($J1817)+N($K1817)+N($L1817)-N($M1817)+N($N1817))</f>
        <v/>
      </c>
      <c r="P1817" s="47" t="n"/>
      <c r="Q1817" s="43">
        <f>IF($B1817="","",N($O1817)-N($P1817))</f>
        <v/>
      </c>
      <c r="R1817" s="47" t="n"/>
      <c r="S1817" s="47" t="n"/>
      <c r="T1817" s="47" t="n"/>
      <c r="U1817" s="43">
        <f>IF($B1817="","",N($J1817)-N($R1817)-N($T1817))</f>
        <v/>
      </c>
      <c r="V1817" s="47" t="n"/>
    </row>
    <row r="1818">
      <c r="A1818" s="39">
        <f>IF($B1818="","",COUNTA($B$4:$B1818))</f>
        <v/>
      </c>
      <c r="B1818" s="40" t="n"/>
      <c r="C1818" s="41" t="n"/>
      <c r="D1818" s="41" t="n"/>
      <c r="E1818" s="41" t="n"/>
      <c r="F1818" s="41" t="n"/>
      <c r="G1818" s="41" t="n"/>
      <c r="H1818" s="41" t="n"/>
      <c r="I1818" s="50" t="n"/>
      <c r="J1818" s="42" t="n"/>
      <c r="K1818" s="42" t="n"/>
      <c r="L1818" s="43">
        <f>IF($B1818="","",ROUND((N($J1818)+N($K1818))*نسبة_القيمة_المضافة,2))</f>
        <v/>
      </c>
      <c r="M1818" s="42" t="n"/>
      <c r="N1818" s="42" t="n"/>
      <c r="O1818" s="43">
        <f>IF($B1818="","",N($J1818)+N($K1818)+N($L1818)-N($M1818)+N($N1818))</f>
        <v/>
      </c>
      <c r="P1818" s="42" t="n"/>
      <c r="Q1818" s="43">
        <f>IF($B1818="","",N($O1818)-N($P1818))</f>
        <v/>
      </c>
      <c r="R1818" s="42" t="n"/>
      <c r="S1818" s="42" t="n"/>
      <c r="T1818" s="42" t="n"/>
      <c r="U1818" s="43">
        <f>IF($B1818="","",N($J1818)-N($R1818)-N($T1818))</f>
        <v/>
      </c>
      <c r="V1818" s="42" t="n"/>
    </row>
    <row r="1819">
      <c r="A1819" s="39">
        <f>IF($B1819="","",COUNTA($B$4:$B1819))</f>
        <v/>
      </c>
      <c r="B1819" s="45" t="n"/>
      <c r="C1819" s="46" t="n"/>
      <c r="D1819" s="46" t="n"/>
      <c r="E1819" s="46" t="n"/>
      <c r="F1819" s="46" t="n"/>
      <c r="G1819" s="46" t="n"/>
      <c r="H1819" s="46" t="n"/>
      <c r="I1819" s="51" t="n"/>
      <c r="J1819" s="47" t="n"/>
      <c r="K1819" s="47" t="n"/>
      <c r="L1819" s="43">
        <f>IF($B1819="","",ROUND((N($J1819)+N($K1819))*نسبة_القيمة_المضافة,2))</f>
        <v/>
      </c>
      <c r="M1819" s="47" t="n"/>
      <c r="N1819" s="47" t="n"/>
      <c r="O1819" s="43">
        <f>IF($B1819="","",N($J1819)+N($K1819)+N($L1819)-N($M1819)+N($N1819))</f>
        <v/>
      </c>
      <c r="P1819" s="47" t="n"/>
      <c r="Q1819" s="43">
        <f>IF($B1819="","",N($O1819)-N($P1819))</f>
        <v/>
      </c>
      <c r="R1819" s="47" t="n"/>
      <c r="S1819" s="47" t="n"/>
      <c r="T1819" s="47" t="n"/>
      <c r="U1819" s="43">
        <f>IF($B1819="","",N($J1819)-N($R1819)-N($T1819))</f>
        <v/>
      </c>
      <c r="V1819" s="47" t="n"/>
    </row>
    <row r="1820">
      <c r="A1820" s="39">
        <f>IF($B1820="","",COUNTA($B$4:$B1820))</f>
        <v/>
      </c>
      <c r="B1820" s="40" t="n"/>
      <c r="C1820" s="41" t="n"/>
      <c r="D1820" s="41" t="n"/>
      <c r="E1820" s="41" t="n"/>
      <c r="F1820" s="41" t="n"/>
      <c r="G1820" s="41" t="n"/>
      <c r="H1820" s="41" t="n"/>
      <c r="I1820" s="50" t="n"/>
      <c r="J1820" s="42" t="n"/>
      <c r="K1820" s="42" t="n"/>
      <c r="L1820" s="43">
        <f>IF($B1820="","",ROUND((N($J1820)+N($K1820))*نسبة_القيمة_المضافة,2))</f>
        <v/>
      </c>
      <c r="M1820" s="42" t="n"/>
      <c r="N1820" s="42" t="n"/>
      <c r="O1820" s="43">
        <f>IF($B1820="","",N($J1820)+N($K1820)+N($L1820)-N($M1820)+N($N1820))</f>
        <v/>
      </c>
      <c r="P1820" s="42" t="n"/>
      <c r="Q1820" s="43">
        <f>IF($B1820="","",N($O1820)-N($P1820))</f>
        <v/>
      </c>
      <c r="R1820" s="42" t="n"/>
      <c r="S1820" s="42" t="n"/>
      <c r="T1820" s="42" t="n"/>
      <c r="U1820" s="43">
        <f>IF($B1820="","",N($J1820)-N($R1820)-N($T1820))</f>
        <v/>
      </c>
      <c r="V1820" s="42" t="n"/>
    </row>
    <row r="1821">
      <c r="A1821" s="39">
        <f>IF($B1821="","",COUNTA($B$4:$B1821))</f>
        <v/>
      </c>
      <c r="B1821" s="45" t="n"/>
      <c r="C1821" s="46" t="n"/>
      <c r="D1821" s="46" t="n"/>
      <c r="E1821" s="46" t="n"/>
      <c r="F1821" s="46" t="n"/>
      <c r="G1821" s="46" t="n"/>
      <c r="H1821" s="46" t="n"/>
      <c r="I1821" s="51" t="n"/>
      <c r="J1821" s="47" t="n"/>
      <c r="K1821" s="47" t="n"/>
      <c r="L1821" s="43">
        <f>IF($B1821="","",ROUND((N($J1821)+N($K1821))*نسبة_القيمة_المضافة,2))</f>
        <v/>
      </c>
      <c r="M1821" s="47" t="n"/>
      <c r="N1821" s="47" t="n"/>
      <c r="O1821" s="43">
        <f>IF($B1821="","",N($J1821)+N($K1821)+N($L1821)-N($M1821)+N($N1821))</f>
        <v/>
      </c>
      <c r="P1821" s="47" t="n"/>
      <c r="Q1821" s="43">
        <f>IF($B1821="","",N($O1821)-N($P1821))</f>
        <v/>
      </c>
      <c r="R1821" s="47" t="n"/>
      <c r="S1821" s="47" t="n"/>
      <c r="T1821" s="47" t="n"/>
      <c r="U1821" s="43">
        <f>IF($B1821="","",N($J1821)-N($R1821)-N($T1821))</f>
        <v/>
      </c>
      <c r="V1821" s="47" t="n"/>
    </row>
    <row r="1822">
      <c r="A1822" s="39">
        <f>IF($B1822="","",COUNTA($B$4:$B1822))</f>
        <v/>
      </c>
      <c r="B1822" s="40" t="n"/>
      <c r="C1822" s="41" t="n"/>
      <c r="D1822" s="41" t="n"/>
      <c r="E1822" s="41" t="n"/>
      <c r="F1822" s="41" t="n"/>
      <c r="G1822" s="41" t="n"/>
      <c r="H1822" s="41" t="n"/>
      <c r="I1822" s="50" t="n"/>
      <c r="J1822" s="42" t="n"/>
      <c r="K1822" s="42" t="n"/>
      <c r="L1822" s="43">
        <f>IF($B1822="","",ROUND((N($J1822)+N($K1822))*نسبة_القيمة_المضافة,2))</f>
        <v/>
      </c>
      <c r="M1822" s="42" t="n"/>
      <c r="N1822" s="42" t="n"/>
      <c r="O1822" s="43">
        <f>IF($B1822="","",N($J1822)+N($K1822)+N($L1822)-N($M1822)+N($N1822))</f>
        <v/>
      </c>
      <c r="P1822" s="42" t="n"/>
      <c r="Q1822" s="43">
        <f>IF($B1822="","",N($O1822)-N($P1822))</f>
        <v/>
      </c>
      <c r="R1822" s="42" t="n"/>
      <c r="S1822" s="42" t="n"/>
      <c r="T1822" s="42" t="n"/>
      <c r="U1822" s="43">
        <f>IF($B1822="","",N($J1822)-N($R1822)-N($T1822))</f>
        <v/>
      </c>
      <c r="V1822" s="42" t="n"/>
    </row>
    <row r="1823">
      <c r="A1823" s="39">
        <f>IF($B1823="","",COUNTA($B$4:$B1823))</f>
        <v/>
      </c>
      <c r="B1823" s="45" t="n"/>
      <c r="C1823" s="46" t="n"/>
      <c r="D1823" s="46" t="n"/>
      <c r="E1823" s="46" t="n"/>
      <c r="F1823" s="46" t="n"/>
      <c r="G1823" s="46" t="n"/>
      <c r="H1823" s="46" t="n"/>
      <c r="I1823" s="51" t="n"/>
      <c r="J1823" s="47" t="n"/>
      <c r="K1823" s="47" t="n"/>
      <c r="L1823" s="43">
        <f>IF($B1823="","",ROUND((N($J1823)+N($K1823))*نسبة_القيمة_المضافة,2))</f>
        <v/>
      </c>
      <c r="M1823" s="47" t="n"/>
      <c r="N1823" s="47" t="n"/>
      <c r="O1823" s="43">
        <f>IF($B1823="","",N($J1823)+N($K1823)+N($L1823)-N($M1823)+N($N1823))</f>
        <v/>
      </c>
      <c r="P1823" s="47" t="n"/>
      <c r="Q1823" s="43">
        <f>IF($B1823="","",N($O1823)-N($P1823))</f>
        <v/>
      </c>
      <c r="R1823" s="47" t="n"/>
      <c r="S1823" s="47" t="n"/>
      <c r="T1823" s="47" t="n"/>
      <c r="U1823" s="43">
        <f>IF($B1823="","",N($J1823)-N($R1823)-N($T1823))</f>
        <v/>
      </c>
      <c r="V1823" s="47" t="n"/>
    </row>
    <row r="1824">
      <c r="A1824" s="39">
        <f>IF($B1824="","",COUNTA($B$4:$B1824))</f>
        <v/>
      </c>
      <c r="B1824" s="40" t="n"/>
      <c r="C1824" s="41" t="n"/>
      <c r="D1824" s="41" t="n"/>
      <c r="E1824" s="41" t="n"/>
      <c r="F1824" s="41" t="n"/>
      <c r="G1824" s="41" t="n"/>
      <c r="H1824" s="41" t="n"/>
      <c r="I1824" s="50" t="n"/>
      <c r="J1824" s="42" t="n"/>
      <c r="K1824" s="42" t="n"/>
      <c r="L1824" s="43">
        <f>IF($B1824="","",ROUND((N($J1824)+N($K1824))*نسبة_القيمة_المضافة,2))</f>
        <v/>
      </c>
      <c r="M1824" s="42" t="n"/>
      <c r="N1824" s="42" t="n"/>
      <c r="O1824" s="43">
        <f>IF($B1824="","",N($J1824)+N($K1824)+N($L1824)-N($M1824)+N($N1824))</f>
        <v/>
      </c>
      <c r="P1824" s="42" t="n"/>
      <c r="Q1824" s="43">
        <f>IF($B1824="","",N($O1824)-N($P1824))</f>
        <v/>
      </c>
      <c r="R1824" s="42" t="n"/>
      <c r="S1824" s="42" t="n"/>
      <c r="T1824" s="42" t="n"/>
      <c r="U1824" s="43">
        <f>IF($B1824="","",N($J1824)-N($R1824)-N($T1824))</f>
        <v/>
      </c>
      <c r="V1824" s="42" t="n"/>
    </row>
    <row r="1825">
      <c r="A1825" s="39">
        <f>IF($B1825="","",COUNTA($B$4:$B1825))</f>
        <v/>
      </c>
      <c r="B1825" s="45" t="n"/>
      <c r="C1825" s="46" t="n"/>
      <c r="D1825" s="46" t="n"/>
      <c r="E1825" s="46" t="n"/>
      <c r="F1825" s="46" t="n"/>
      <c r="G1825" s="46" t="n"/>
      <c r="H1825" s="46" t="n"/>
      <c r="I1825" s="51" t="n"/>
      <c r="J1825" s="47" t="n"/>
      <c r="K1825" s="47" t="n"/>
      <c r="L1825" s="43">
        <f>IF($B1825="","",ROUND((N($J1825)+N($K1825))*نسبة_القيمة_المضافة,2))</f>
        <v/>
      </c>
      <c r="M1825" s="47" t="n"/>
      <c r="N1825" s="47" t="n"/>
      <c r="O1825" s="43">
        <f>IF($B1825="","",N($J1825)+N($K1825)+N($L1825)-N($M1825)+N($N1825))</f>
        <v/>
      </c>
      <c r="P1825" s="47" t="n"/>
      <c r="Q1825" s="43">
        <f>IF($B1825="","",N($O1825)-N($P1825))</f>
        <v/>
      </c>
      <c r="R1825" s="47" t="n"/>
      <c r="S1825" s="47" t="n"/>
      <c r="T1825" s="47" t="n"/>
      <c r="U1825" s="43">
        <f>IF($B1825="","",N($J1825)-N($R1825)-N($T1825))</f>
        <v/>
      </c>
      <c r="V1825" s="47" t="n"/>
    </row>
    <row r="1826">
      <c r="A1826" s="39">
        <f>IF($B1826="","",COUNTA($B$4:$B1826))</f>
        <v/>
      </c>
      <c r="B1826" s="40" t="n"/>
      <c r="C1826" s="41" t="n"/>
      <c r="D1826" s="41" t="n"/>
      <c r="E1826" s="41" t="n"/>
      <c r="F1826" s="41" t="n"/>
      <c r="G1826" s="41" t="n"/>
      <c r="H1826" s="41" t="n"/>
      <c r="I1826" s="50" t="n"/>
      <c r="J1826" s="42" t="n"/>
      <c r="K1826" s="42" t="n"/>
      <c r="L1826" s="43">
        <f>IF($B1826="","",ROUND((N($J1826)+N($K1826))*نسبة_القيمة_المضافة,2))</f>
        <v/>
      </c>
      <c r="M1826" s="42" t="n"/>
      <c r="N1826" s="42" t="n"/>
      <c r="O1826" s="43">
        <f>IF($B1826="","",N($J1826)+N($K1826)+N($L1826)-N($M1826)+N($N1826))</f>
        <v/>
      </c>
      <c r="P1826" s="42" t="n"/>
      <c r="Q1826" s="43">
        <f>IF($B1826="","",N($O1826)-N($P1826))</f>
        <v/>
      </c>
      <c r="R1826" s="42" t="n"/>
      <c r="S1826" s="42" t="n"/>
      <c r="T1826" s="42" t="n"/>
      <c r="U1826" s="43">
        <f>IF($B1826="","",N($J1826)-N($R1826)-N($T1826))</f>
        <v/>
      </c>
      <c r="V1826" s="42" t="n"/>
    </row>
    <row r="1827">
      <c r="A1827" s="39">
        <f>IF($B1827="","",COUNTA($B$4:$B1827))</f>
        <v/>
      </c>
      <c r="B1827" s="45" t="n"/>
      <c r="C1827" s="46" t="n"/>
      <c r="D1827" s="46" t="n"/>
      <c r="E1827" s="46" t="n"/>
      <c r="F1827" s="46" t="n"/>
      <c r="G1827" s="46" t="n"/>
      <c r="H1827" s="46" t="n"/>
      <c r="I1827" s="51" t="n"/>
      <c r="J1827" s="47" t="n"/>
      <c r="K1827" s="47" t="n"/>
      <c r="L1827" s="43">
        <f>IF($B1827="","",ROUND((N($J1827)+N($K1827))*نسبة_القيمة_المضافة,2))</f>
        <v/>
      </c>
      <c r="M1827" s="47" t="n"/>
      <c r="N1827" s="47" t="n"/>
      <c r="O1827" s="43">
        <f>IF($B1827="","",N($J1827)+N($K1827)+N($L1827)-N($M1827)+N($N1827))</f>
        <v/>
      </c>
      <c r="P1827" s="47" t="n"/>
      <c r="Q1827" s="43">
        <f>IF($B1827="","",N($O1827)-N($P1827))</f>
        <v/>
      </c>
      <c r="R1827" s="47" t="n"/>
      <c r="S1827" s="47" t="n"/>
      <c r="T1827" s="47" t="n"/>
      <c r="U1827" s="43">
        <f>IF($B1827="","",N($J1827)-N($R1827)-N($T1827))</f>
        <v/>
      </c>
      <c r="V1827" s="47" t="n"/>
    </row>
    <row r="1828">
      <c r="A1828" s="39">
        <f>IF($B1828="","",COUNTA($B$4:$B1828))</f>
        <v/>
      </c>
      <c r="B1828" s="40" t="n"/>
      <c r="C1828" s="41" t="n"/>
      <c r="D1828" s="41" t="n"/>
      <c r="E1828" s="41" t="n"/>
      <c r="F1828" s="41" t="n"/>
      <c r="G1828" s="41" t="n"/>
      <c r="H1828" s="41" t="n"/>
      <c r="I1828" s="50" t="n"/>
      <c r="J1828" s="42" t="n"/>
      <c r="K1828" s="42" t="n"/>
      <c r="L1828" s="43">
        <f>IF($B1828="","",ROUND((N($J1828)+N($K1828))*نسبة_القيمة_المضافة,2))</f>
        <v/>
      </c>
      <c r="M1828" s="42" t="n"/>
      <c r="N1828" s="42" t="n"/>
      <c r="O1828" s="43">
        <f>IF($B1828="","",N($J1828)+N($K1828)+N($L1828)-N($M1828)+N($N1828))</f>
        <v/>
      </c>
      <c r="P1828" s="42" t="n"/>
      <c r="Q1828" s="43">
        <f>IF($B1828="","",N($O1828)-N($P1828))</f>
        <v/>
      </c>
      <c r="R1828" s="42" t="n"/>
      <c r="S1828" s="42" t="n"/>
      <c r="T1828" s="42" t="n"/>
      <c r="U1828" s="43">
        <f>IF($B1828="","",N($J1828)-N($R1828)-N($T1828))</f>
        <v/>
      </c>
      <c r="V1828" s="42" t="n"/>
    </row>
    <row r="1829">
      <c r="A1829" s="39">
        <f>IF($B1829="","",COUNTA($B$4:$B1829))</f>
        <v/>
      </c>
      <c r="B1829" s="45" t="n"/>
      <c r="C1829" s="46" t="n"/>
      <c r="D1829" s="46" t="n"/>
      <c r="E1829" s="46" t="n"/>
      <c r="F1829" s="46" t="n"/>
      <c r="G1829" s="46" t="n"/>
      <c r="H1829" s="46" t="n"/>
      <c r="I1829" s="51" t="n"/>
      <c r="J1829" s="47" t="n"/>
      <c r="K1829" s="47" t="n"/>
      <c r="L1829" s="43">
        <f>IF($B1829="","",ROUND((N($J1829)+N($K1829))*نسبة_القيمة_المضافة,2))</f>
        <v/>
      </c>
      <c r="M1829" s="47" t="n"/>
      <c r="N1829" s="47" t="n"/>
      <c r="O1829" s="43">
        <f>IF($B1829="","",N($J1829)+N($K1829)+N($L1829)-N($M1829)+N($N1829))</f>
        <v/>
      </c>
      <c r="P1829" s="47" t="n"/>
      <c r="Q1829" s="43">
        <f>IF($B1829="","",N($O1829)-N($P1829))</f>
        <v/>
      </c>
      <c r="R1829" s="47" t="n"/>
      <c r="S1829" s="47" t="n"/>
      <c r="T1829" s="47" t="n"/>
      <c r="U1829" s="43">
        <f>IF($B1829="","",N($J1829)-N($R1829)-N($T1829))</f>
        <v/>
      </c>
      <c r="V1829" s="47" t="n"/>
    </row>
    <row r="1830">
      <c r="A1830" s="39">
        <f>IF($B1830="","",COUNTA($B$4:$B1830))</f>
        <v/>
      </c>
      <c r="B1830" s="40" t="n"/>
      <c r="C1830" s="41" t="n"/>
      <c r="D1830" s="41" t="n"/>
      <c r="E1830" s="41" t="n"/>
      <c r="F1830" s="41" t="n"/>
      <c r="G1830" s="41" t="n"/>
      <c r="H1830" s="41" t="n"/>
      <c r="I1830" s="50" t="n"/>
      <c r="J1830" s="42" t="n"/>
      <c r="K1830" s="42" t="n"/>
      <c r="L1830" s="43">
        <f>IF($B1830="","",ROUND((N($J1830)+N($K1830))*نسبة_القيمة_المضافة,2))</f>
        <v/>
      </c>
      <c r="M1830" s="42" t="n"/>
      <c r="N1830" s="42" t="n"/>
      <c r="O1830" s="43">
        <f>IF($B1830="","",N($J1830)+N($K1830)+N($L1830)-N($M1830)+N($N1830))</f>
        <v/>
      </c>
      <c r="P1830" s="42" t="n"/>
      <c r="Q1830" s="43">
        <f>IF($B1830="","",N($O1830)-N($P1830))</f>
        <v/>
      </c>
      <c r="R1830" s="42" t="n"/>
      <c r="S1830" s="42" t="n"/>
      <c r="T1830" s="42" t="n"/>
      <c r="U1830" s="43">
        <f>IF($B1830="","",N($J1830)-N($R1830)-N($T1830))</f>
        <v/>
      </c>
      <c r="V1830" s="42" t="n"/>
    </row>
    <row r="1831">
      <c r="A1831" s="39">
        <f>IF($B1831="","",COUNTA($B$4:$B1831))</f>
        <v/>
      </c>
      <c r="B1831" s="45" t="n"/>
      <c r="C1831" s="46" t="n"/>
      <c r="D1831" s="46" t="n"/>
      <c r="E1831" s="46" t="n"/>
      <c r="F1831" s="46" t="n"/>
      <c r="G1831" s="46" t="n"/>
      <c r="H1831" s="46" t="n"/>
      <c r="I1831" s="51" t="n"/>
      <c r="J1831" s="47" t="n"/>
      <c r="K1831" s="47" t="n"/>
      <c r="L1831" s="43">
        <f>IF($B1831="","",ROUND((N($J1831)+N($K1831))*نسبة_القيمة_المضافة,2))</f>
        <v/>
      </c>
      <c r="M1831" s="47" t="n"/>
      <c r="N1831" s="47" t="n"/>
      <c r="O1831" s="43">
        <f>IF($B1831="","",N($J1831)+N($K1831)+N($L1831)-N($M1831)+N($N1831))</f>
        <v/>
      </c>
      <c r="P1831" s="47" t="n"/>
      <c r="Q1831" s="43">
        <f>IF($B1831="","",N($O1831)-N($P1831))</f>
        <v/>
      </c>
      <c r="R1831" s="47" t="n"/>
      <c r="S1831" s="47" t="n"/>
      <c r="T1831" s="47" t="n"/>
      <c r="U1831" s="43">
        <f>IF($B1831="","",N($J1831)-N($R1831)-N($T1831))</f>
        <v/>
      </c>
      <c r="V1831" s="47" t="n"/>
    </row>
    <row r="1832">
      <c r="A1832" s="39">
        <f>IF($B1832="","",COUNTA($B$4:$B1832))</f>
        <v/>
      </c>
      <c r="B1832" s="40" t="n"/>
      <c r="C1832" s="41" t="n"/>
      <c r="D1832" s="41" t="n"/>
      <c r="E1832" s="41" t="n"/>
      <c r="F1832" s="41" t="n"/>
      <c r="G1832" s="41" t="n"/>
      <c r="H1832" s="41" t="n"/>
      <c r="I1832" s="50" t="n"/>
      <c r="J1832" s="42" t="n"/>
      <c r="K1832" s="42" t="n"/>
      <c r="L1832" s="43">
        <f>IF($B1832="","",ROUND((N($J1832)+N($K1832))*نسبة_القيمة_المضافة,2))</f>
        <v/>
      </c>
      <c r="M1832" s="42" t="n"/>
      <c r="N1832" s="42" t="n"/>
      <c r="O1832" s="43">
        <f>IF($B1832="","",N($J1832)+N($K1832)+N($L1832)-N($M1832)+N($N1832))</f>
        <v/>
      </c>
      <c r="P1832" s="42" t="n"/>
      <c r="Q1832" s="43">
        <f>IF($B1832="","",N($O1832)-N($P1832))</f>
        <v/>
      </c>
      <c r="R1832" s="42" t="n"/>
      <c r="S1832" s="42" t="n"/>
      <c r="T1832" s="42" t="n"/>
      <c r="U1832" s="43">
        <f>IF($B1832="","",N($J1832)-N($R1832)-N($T1832))</f>
        <v/>
      </c>
      <c r="V1832" s="42" t="n"/>
    </row>
    <row r="1833">
      <c r="A1833" s="39">
        <f>IF($B1833="","",COUNTA($B$4:$B1833))</f>
        <v/>
      </c>
      <c r="B1833" s="45" t="n"/>
      <c r="C1833" s="46" t="n"/>
      <c r="D1833" s="46" t="n"/>
      <c r="E1833" s="46" t="n"/>
      <c r="F1833" s="46" t="n"/>
      <c r="G1833" s="46" t="n"/>
      <c r="H1833" s="46" t="n"/>
      <c r="I1833" s="51" t="n"/>
      <c r="J1833" s="47" t="n"/>
      <c r="K1833" s="47" t="n"/>
      <c r="L1833" s="43">
        <f>IF($B1833="","",ROUND((N($J1833)+N($K1833))*نسبة_القيمة_المضافة,2))</f>
        <v/>
      </c>
      <c r="M1833" s="47" t="n"/>
      <c r="N1833" s="47" t="n"/>
      <c r="O1833" s="43">
        <f>IF($B1833="","",N($J1833)+N($K1833)+N($L1833)-N($M1833)+N($N1833))</f>
        <v/>
      </c>
      <c r="P1833" s="47" t="n"/>
      <c r="Q1833" s="43">
        <f>IF($B1833="","",N($O1833)-N($P1833))</f>
        <v/>
      </c>
      <c r="R1833" s="47" t="n"/>
      <c r="S1833" s="47" t="n"/>
      <c r="T1833" s="47" t="n"/>
      <c r="U1833" s="43">
        <f>IF($B1833="","",N($J1833)-N($R1833)-N($T1833))</f>
        <v/>
      </c>
      <c r="V1833" s="47" t="n"/>
    </row>
    <row r="1834">
      <c r="A1834" s="39">
        <f>IF($B1834="","",COUNTA($B$4:$B1834))</f>
        <v/>
      </c>
      <c r="B1834" s="40" t="n"/>
      <c r="C1834" s="41" t="n"/>
      <c r="D1834" s="41" t="n"/>
      <c r="E1834" s="41" t="n"/>
      <c r="F1834" s="41" t="n"/>
      <c r="G1834" s="41" t="n"/>
      <c r="H1834" s="41" t="n"/>
      <c r="I1834" s="50" t="n"/>
      <c r="J1834" s="42" t="n"/>
      <c r="K1834" s="42" t="n"/>
      <c r="L1834" s="43">
        <f>IF($B1834="","",ROUND((N($J1834)+N($K1834))*نسبة_القيمة_المضافة,2))</f>
        <v/>
      </c>
      <c r="M1834" s="42" t="n"/>
      <c r="N1834" s="42" t="n"/>
      <c r="O1834" s="43">
        <f>IF($B1834="","",N($J1834)+N($K1834)+N($L1834)-N($M1834)+N($N1834))</f>
        <v/>
      </c>
      <c r="P1834" s="42" t="n"/>
      <c r="Q1834" s="43">
        <f>IF($B1834="","",N($O1834)-N($P1834))</f>
        <v/>
      </c>
      <c r="R1834" s="42" t="n"/>
      <c r="S1834" s="42" t="n"/>
      <c r="T1834" s="42" t="n"/>
      <c r="U1834" s="43">
        <f>IF($B1834="","",N($J1834)-N($R1834)-N($T1834))</f>
        <v/>
      </c>
      <c r="V1834" s="42" t="n"/>
    </row>
    <row r="1835">
      <c r="A1835" s="39">
        <f>IF($B1835="","",COUNTA($B$4:$B1835))</f>
        <v/>
      </c>
      <c r="B1835" s="45" t="n"/>
      <c r="C1835" s="46" t="n"/>
      <c r="D1835" s="46" t="n"/>
      <c r="E1835" s="46" t="n"/>
      <c r="F1835" s="46" t="n"/>
      <c r="G1835" s="46" t="n"/>
      <c r="H1835" s="46" t="n"/>
      <c r="I1835" s="51" t="n"/>
      <c r="J1835" s="47" t="n"/>
      <c r="K1835" s="47" t="n"/>
      <c r="L1835" s="43">
        <f>IF($B1835="","",ROUND((N($J1835)+N($K1835))*نسبة_القيمة_المضافة,2))</f>
        <v/>
      </c>
      <c r="M1835" s="47" t="n"/>
      <c r="N1835" s="47" t="n"/>
      <c r="O1835" s="43">
        <f>IF($B1835="","",N($J1835)+N($K1835)+N($L1835)-N($M1835)+N($N1835))</f>
        <v/>
      </c>
      <c r="P1835" s="47" t="n"/>
      <c r="Q1835" s="43">
        <f>IF($B1835="","",N($O1835)-N($P1835))</f>
        <v/>
      </c>
      <c r="R1835" s="47" t="n"/>
      <c r="S1835" s="47" t="n"/>
      <c r="T1835" s="47" t="n"/>
      <c r="U1835" s="43">
        <f>IF($B1835="","",N($J1835)-N($R1835)-N($T1835))</f>
        <v/>
      </c>
      <c r="V1835" s="47" t="n"/>
    </row>
    <row r="1836">
      <c r="A1836" s="39">
        <f>IF($B1836="","",COUNTA($B$4:$B1836))</f>
        <v/>
      </c>
      <c r="B1836" s="40" t="n"/>
      <c r="C1836" s="41" t="n"/>
      <c r="D1836" s="41" t="n"/>
      <c r="E1836" s="41" t="n"/>
      <c r="F1836" s="41" t="n"/>
      <c r="G1836" s="41" t="n"/>
      <c r="H1836" s="41" t="n"/>
      <c r="I1836" s="50" t="n"/>
      <c r="J1836" s="42" t="n"/>
      <c r="K1836" s="42" t="n"/>
      <c r="L1836" s="43">
        <f>IF($B1836="","",ROUND((N($J1836)+N($K1836))*نسبة_القيمة_المضافة,2))</f>
        <v/>
      </c>
      <c r="M1836" s="42" t="n"/>
      <c r="N1836" s="42" t="n"/>
      <c r="O1836" s="43">
        <f>IF($B1836="","",N($J1836)+N($K1836)+N($L1836)-N($M1836)+N($N1836))</f>
        <v/>
      </c>
      <c r="P1836" s="42" t="n"/>
      <c r="Q1836" s="43">
        <f>IF($B1836="","",N($O1836)-N($P1836))</f>
        <v/>
      </c>
      <c r="R1836" s="42" t="n"/>
      <c r="S1836" s="42" t="n"/>
      <c r="T1836" s="42" t="n"/>
      <c r="U1836" s="43">
        <f>IF($B1836="","",N($J1836)-N($R1836)-N($T1836))</f>
        <v/>
      </c>
      <c r="V1836" s="42" t="n"/>
    </row>
    <row r="1837">
      <c r="A1837" s="39">
        <f>IF($B1837="","",COUNTA($B$4:$B1837))</f>
        <v/>
      </c>
      <c r="B1837" s="45" t="n"/>
      <c r="C1837" s="46" t="n"/>
      <c r="D1837" s="46" t="n"/>
      <c r="E1837" s="46" t="n"/>
      <c r="F1837" s="46" t="n"/>
      <c r="G1837" s="46" t="n"/>
      <c r="H1837" s="46" t="n"/>
      <c r="I1837" s="51" t="n"/>
      <c r="J1837" s="47" t="n"/>
      <c r="K1837" s="47" t="n"/>
      <c r="L1837" s="43">
        <f>IF($B1837="","",ROUND((N($J1837)+N($K1837))*نسبة_القيمة_المضافة,2))</f>
        <v/>
      </c>
      <c r="M1837" s="47" t="n"/>
      <c r="N1837" s="47" t="n"/>
      <c r="O1837" s="43">
        <f>IF($B1837="","",N($J1837)+N($K1837)+N($L1837)-N($M1837)+N($N1837))</f>
        <v/>
      </c>
      <c r="P1837" s="47" t="n"/>
      <c r="Q1837" s="43">
        <f>IF($B1837="","",N($O1837)-N($P1837))</f>
        <v/>
      </c>
      <c r="R1837" s="47" t="n"/>
      <c r="S1837" s="47" t="n"/>
      <c r="T1837" s="47" t="n"/>
      <c r="U1837" s="43">
        <f>IF($B1837="","",N($J1837)-N($R1837)-N($T1837))</f>
        <v/>
      </c>
      <c r="V1837" s="47" t="n"/>
    </row>
    <row r="1838">
      <c r="A1838" s="39">
        <f>IF($B1838="","",COUNTA($B$4:$B1838))</f>
        <v/>
      </c>
      <c r="B1838" s="40" t="n"/>
      <c r="C1838" s="41" t="n"/>
      <c r="D1838" s="41" t="n"/>
      <c r="E1838" s="41" t="n"/>
      <c r="F1838" s="41" t="n"/>
      <c r="G1838" s="41" t="n"/>
      <c r="H1838" s="41" t="n"/>
      <c r="I1838" s="50" t="n"/>
      <c r="J1838" s="42" t="n"/>
      <c r="K1838" s="42" t="n"/>
      <c r="L1838" s="43">
        <f>IF($B1838="","",ROUND((N($J1838)+N($K1838))*نسبة_القيمة_المضافة,2))</f>
        <v/>
      </c>
      <c r="M1838" s="42" t="n"/>
      <c r="N1838" s="42" t="n"/>
      <c r="O1838" s="43">
        <f>IF($B1838="","",N($J1838)+N($K1838)+N($L1838)-N($M1838)+N($N1838))</f>
        <v/>
      </c>
      <c r="P1838" s="42" t="n"/>
      <c r="Q1838" s="43">
        <f>IF($B1838="","",N($O1838)-N($P1838))</f>
        <v/>
      </c>
      <c r="R1838" s="42" t="n"/>
      <c r="S1838" s="42" t="n"/>
      <c r="T1838" s="42" t="n"/>
      <c r="U1838" s="43">
        <f>IF($B1838="","",N($J1838)-N($R1838)-N($T1838))</f>
        <v/>
      </c>
      <c r="V1838" s="42" t="n"/>
    </row>
    <row r="1839">
      <c r="A1839" s="39">
        <f>IF($B1839="","",COUNTA($B$4:$B1839))</f>
        <v/>
      </c>
      <c r="B1839" s="45" t="n"/>
      <c r="C1839" s="46" t="n"/>
      <c r="D1839" s="46" t="n"/>
      <c r="E1839" s="46" t="n"/>
      <c r="F1839" s="46" t="n"/>
      <c r="G1839" s="46" t="n"/>
      <c r="H1839" s="46" t="n"/>
      <c r="I1839" s="51" t="n"/>
      <c r="J1839" s="47" t="n"/>
      <c r="K1839" s="47" t="n"/>
      <c r="L1839" s="43">
        <f>IF($B1839="","",ROUND((N($J1839)+N($K1839))*نسبة_القيمة_المضافة,2))</f>
        <v/>
      </c>
      <c r="M1839" s="47" t="n"/>
      <c r="N1839" s="47" t="n"/>
      <c r="O1839" s="43">
        <f>IF($B1839="","",N($J1839)+N($K1839)+N($L1839)-N($M1839)+N($N1839))</f>
        <v/>
      </c>
      <c r="P1839" s="47" t="n"/>
      <c r="Q1839" s="43">
        <f>IF($B1839="","",N($O1839)-N($P1839))</f>
        <v/>
      </c>
      <c r="R1839" s="47" t="n"/>
      <c r="S1839" s="47" t="n"/>
      <c r="T1839" s="47" t="n"/>
      <c r="U1839" s="43">
        <f>IF($B1839="","",N($J1839)-N($R1839)-N($T1839))</f>
        <v/>
      </c>
      <c r="V1839" s="47" t="n"/>
    </row>
    <row r="1840">
      <c r="A1840" s="39">
        <f>IF($B1840="","",COUNTA($B$4:$B1840))</f>
        <v/>
      </c>
      <c r="B1840" s="40" t="n"/>
      <c r="C1840" s="41" t="n"/>
      <c r="D1840" s="41" t="n"/>
      <c r="E1840" s="41" t="n"/>
      <c r="F1840" s="41" t="n"/>
      <c r="G1840" s="41" t="n"/>
      <c r="H1840" s="41" t="n"/>
      <c r="I1840" s="50" t="n"/>
      <c r="J1840" s="42" t="n"/>
      <c r="K1840" s="42" t="n"/>
      <c r="L1840" s="43">
        <f>IF($B1840="","",ROUND((N($J1840)+N($K1840))*نسبة_القيمة_المضافة,2))</f>
        <v/>
      </c>
      <c r="M1840" s="42" t="n"/>
      <c r="N1840" s="42" t="n"/>
      <c r="O1840" s="43">
        <f>IF($B1840="","",N($J1840)+N($K1840)+N($L1840)-N($M1840)+N($N1840))</f>
        <v/>
      </c>
      <c r="P1840" s="42" t="n"/>
      <c r="Q1840" s="43">
        <f>IF($B1840="","",N($O1840)-N($P1840))</f>
        <v/>
      </c>
      <c r="R1840" s="42" t="n"/>
      <c r="S1840" s="42" t="n"/>
      <c r="T1840" s="42" t="n"/>
      <c r="U1840" s="43">
        <f>IF($B1840="","",N($J1840)-N($R1840)-N($T1840))</f>
        <v/>
      </c>
      <c r="V1840" s="42" t="n"/>
    </row>
    <row r="1841">
      <c r="A1841" s="39">
        <f>IF($B1841="","",COUNTA($B$4:$B1841))</f>
        <v/>
      </c>
      <c r="B1841" s="45" t="n"/>
      <c r="C1841" s="46" t="n"/>
      <c r="D1841" s="46" t="n"/>
      <c r="E1841" s="46" t="n"/>
      <c r="F1841" s="46" t="n"/>
      <c r="G1841" s="46" t="n"/>
      <c r="H1841" s="46" t="n"/>
      <c r="I1841" s="51" t="n"/>
      <c r="J1841" s="47" t="n"/>
      <c r="K1841" s="47" t="n"/>
      <c r="L1841" s="43">
        <f>IF($B1841="","",ROUND((N($J1841)+N($K1841))*نسبة_القيمة_المضافة,2))</f>
        <v/>
      </c>
      <c r="M1841" s="47" t="n"/>
      <c r="N1841" s="47" t="n"/>
      <c r="O1841" s="43">
        <f>IF($B1841="","",N($J1841)+N($K1841)+N($L1841)-N($M1841)+N($N1841))</f>
        <v/>
      </c>
      <c r="P1841" s="47" t="n"/>
      <c r="Q1841" s="43">
        <f>IF($B1841="","",N($O1841)-N($P1841))</f>
        <v/>
      </c>
      <c r="R1841" s="47" t="n"/>
      <c r="S1841" s="47" t="n"/>
      <c r="T1841" s="47" t="n"/>
      <c r="U1841" s="43">
        <f>IF($B1841="","",N($J1841)-N($R1841)-N($T1841))</f>
        <v/>
      </c>
      <c r="V1841" s="47" t="n"/>
    </row>
    <row r="1842">
      <c r="A1842" s="39">
        <f>IF($B1842="","",COUNTA($B$4:$B1842))</f>
        <v/>
      </c>
      <c r="B1842" s="40" t="n"/>
      <c r="C1842" s="41" t="n"/>
      <c r="D1842" s="41" t="n"/>
      <c r="E1842" s="41" t="n"/>
      <c r="F1842" s="41" t="n"/>
      <c r="G1842" s="41" t="n"/>
      <c r="H1842" s="41" t="n"/>
      <c r="I1842" s="50" t="n"/>
      <c r="J1842" s="42" t="n"/>
      <c r="K1842" s="42" t="n"/>
      <c r="L1842" s="43">
        <f>IF($B1842="","",ROUND((N($J1842)+N($K1842))*نسبة_القيمة_المضافة,2))</f>
        <v/>
      </c>
      <c r="M1842" s="42" t="n"/>
      <c r="N1842" s="42" t="n"/>
      <c r="O1842" s="43">
        <f>IF($B1842="","",N($J1842)+N($K1842)+N($L1842)-N($M1842)+N($N1842))</f>
        <v/>
      </c>
      <c r="P1842" s="42" t="n"/>
      <c r="Q1842" s="43">
        <f>IF($B1842="","",N($O1842)-N($P1842))</f>
        <v/>
      </c>
      <c r="R1842" s="42" t="n"/>
      <c r="S1842" s="42" t="n"/>
      <c r="T1842" s="42" t="n"/>
      <c r="U1842" s="43">
        <f>IF($B1842="","",N($J1842)-N($R1842)-N($T1842))</f>
        <v/>
      </c>
      <c r="V1842" s="42" t="n"/>
    </row>
    <row r="1843">
      <c r="A1843" s="39">
        <f>IF($B1843="","",COUNTA($B$4:$B1843))</f>
        <v/>
      </c>
      <c r="B1843" s="45" t="n"/>
      <c r="C1843" s="46" t="n"/>
      <c r="D1843" s="46" t="n"/>
      <c r="E1843" s="46" t="n"/>
      <c r="F1843" s="46" t="n"/>
      <c r="G1843" s="46" t="n"/>
      <c r="H1843" s="46" t="n"/>
      <c r="I1843" s="51" t="n"/>
      <c r="J1843" s="47" t="n"/>
      <c r="K1843" s="47" t="n"/>
      <c r="L1843" s="43">
        <f>IF($B1843="","",ROUND((N($J1843)+N($K1843))*نسبة_القيمة_المضافة,2))</f>
        <v/>
      </c>
      <c r="M1843" s="47" t="n"/>
      <c r="N1843" s="47" t="n"/>
      <c r="O1843" s="43">
        <f>IF($B1843="","",N($J1843)+N($K1843)+N($L1843)-N($M1843)+N($N1843))</f>
        <v/>
      </c>
      <c r="P1843" s="47" t="n"/>
      <c r="Q1843" s="43">
        <f>IF($B1843="","",N($O1843)-N($P1843))</f>
        <v/>
      </c>
      <c r="R1843" s="47" t="n"/>
      <c r="S1843" s="47" t="n"/>
      <c r="T1843" s="47" t="n"/>
      <c r="U1843" s="43">
        <f>IF($B1843="","",N($J1843)-N($R1843)-N($T1843))</f>
        <v/>
      </c>
      <c r="V1843" s="47" t="n"/>
    </row>
    <row r="1844">
      <c r="A1844" s="39">
        <f>IF($B1844="","",COUNTA($B$4:$B1844))</f>
        <v/>
      </c>
      <c r="B1844" s="40" t="n"/>
      <c r="C1844" s="41" t="n"/>
      <c r="D1844" s="41" t="n"/>
      <c r="E1844" s="41" t="n"/>
      <c r="F1844" s="41" t="n"/>
      <c r="G1844" s="41" t="n"/>
      <c r="H1844" s="41" t="n"/>
      <c r="I1844" s="50" t="n"/>
      <c r="J1844" s="42" t="n"/>
      <c r="K1844" s="42" t="n"/>
      <c r="L1844" s="43">
        <f>IF($B1844="","",ROUND((N($J1844)+N($K1844))*نسبة_القيمة_المضافة,2))</f>
        <v/>
      </c>
      <c r="M1844" s="42" t="n"/>
      <c r="N1844" s="42" t="n"/>
      <c r="O1844" s="43">
        <f>IF($B1844="","",N($J1844)+N($K1844)+N($L1844)-N($M1844)+N($N1844))</f>
        <v/>
      </c>
      <c r="P1844" s="42" t="n"/>
      <c r="Q1844" s="43">
        <f>IF($B1844="","",N($O1844)-N($P1844))</f>
        <v/>
      </c>
      <c r="R1844" s="42" t="n"/>
      <c r="S1844" s="42" t="n"/>
      <c r="T1844" s="42" t="n"/>
      <c r="U1844" s="43">
        <f>IF($B1844="","",N($J1844)-N($R1844)-N($T1844))</f>
        <v/>
      </c>
      <c r="V1844" s="42" t="n"/>
    </row>
    <row r="1845">
      <c r="A1845" s="39">
        <f>IF($B1845="","",COUNTA($B$4:$B1845))</f>
        <v/>
      </c>
      <c r="B1845" s="45" t="n"/>
      <c r="C1845" s="46" t="n"/>
      <c r="D1845" s="46" t="n"/>
      <c r="E1845" s="46" t="n"/>
      <c r="F1845" s="46" t="n"/>
      <c r="G1845" s="46" t="n"/>
      <c r="H1845" s="46" t="n"/>
      <c r="I1845" s="51" t="n"/>
      <c r="J1845" s="47" t="n"/>
      <c r="K1845" s="47" t="n"/>
      <c r="L1845" s="43">
        <f>IF($B1845="","",ROUND((N($J1845)+N($K1845))*نسبة_القيمة_المضافة,2))</f>
        <v/>
      </c>
      <c r="M1845" s="47" t="n"/>
      <c r="N1845" s="47" t="n"/>
      <c r="O1845" s="43">
        <f>IF($B1845="","",N($J1845)+N($K1845)+N($L1845)-N($M1845)+N($N1845))</f>
        <v/>
      </c>
      <c r="P1845" s="47" t="n"/>
      <c r="Q1845" s="43">
        <f>IF($B1845="","",N($O1845)-N($P1845))</f>
        <v/>
      </c>
      <c r="R1845" s="47" t="n"/>
      <c r="S1845" s="47" t="n"/>
      <c r="T1845" s="47" t="n"/>
      <c r="U1845" s="43">
        <f>IF($B1845="","",N($J1845)-N($R1845)-N($T1845))</f>
        <v/>
      </c>
      <c r="V1845" s="47" t="n"/>
    </row>
    <row r="1846">
      <c r="A1846" s="39">
        <f>IF($B1846="","",COUNTA($B$4:$B1846))</f>
        <v/>
      </c>
      <c r="B1846" s="40" t="n"/>
      <c r="C1846" s="41" t="n"/>
      <c r="D1846" s="41" t="n"/>
      <c r="E1846" s="41" t="n"/>
      <c r="F1846" s="41" t="n"/>
      <c r="G1846" s="41" t="n"/>
      <c r="H1846" s="41" t="n"/>
      <c r="I1846" s="50" t="n"/>
      <c r="J1846" s="42" t="n"/>
      <c r="K1846" s="42" t="n"/>
      <c r="L1846" s="43">
        <f>IF($B1846="","",ROUND((N($J1846)+N($K1846))*نسبة_القيمة_المضافة,2))</f>
        <v/>
      </c>
      <c r="M1846" s="42" t="n"/>
      <c r="N1846" s="42" t="n"/>
      <c r="O1846" s="43">
        <f>IF($B1846="","",N($J1846)+N($K1846)+N($L1846)-N($M1846)+N($N1846))</f>
        <v/>
      </c>
      <c r="P1846" s="42" t="n"/>
      <c r="Q1846" s="43">
        <f>IF($B1846="","",N($O1846)-N($P1846))</f>
        <v/>
      </c>
      <c r="R1846" s="42" t="n"/>
      <c r="S1846" s="42" t="n"/>
      <c r="T1846" s="42" t="n"/>
      <c r="U1846" s="43">
        <f>IF($B1846="","",N($J1846)-N($R1846)-N($T1846))</f>
        <v/>
      </c>
      <c r="V1846" s="42" t="n"/>
    </row>
    <row r="1847">
      <c r="A1847" s="39">
        <f>IF($B1847="","",COUNTA($B$4:$B1847))</f>
        <v/>
      </c>
      <c r="B1847" s="45" t="n"/>
      <c r="C1847" s="46" t="n"/>
      <c r="D1847" s="46" t="n"/>
      <c r="E1847" s="46" t="n"/>
      <c r="F1847" s="46" t="n"/>
      <c r="G1847" s="46" t="n"/>
      <c r="H1847" s="46" t="n"/>
      <c r="I1847" s="51" t="n"/>
      <c r="J1847" s="47" t="n"/>
      <c r="K1847" s="47" t="n"/>
      <c r="L1847" s="43">
        <f>IF($B1847="","",ROUND((N($J1847)+N($K1847))*نسبة_القيمة_المضافة,2))</f>
        <v/>
      </c>
      <c r="M1847" s="47" t="n"/>
      <c r="N1847" s="47" t="n"/>
      <c r="O1847" s="43">
        <f>IF($B1847="","",N($J1847)+N($K1847)+N($L1847)-N($M1847)+N($N1847))</f>
        <v/>
      </c>
      <c r="P1847" s="47" t="n"/>
      <c r="Q1847" s="43">
        <f>IF($B1847="","",N($O1847)-N($P1847))</f>
        <v/>
      </c>
      <c r="R1847" s="47" t="n"/>
      <c r="S1847" s="47" t="n"/>
      <c r="T1847" s="47" t="n"/>
      <c r="U1847" s="43">
        <f>IF($B1847="","",N($J1847)-N($R1847)-N($T1847))</f>
        <v/>
      </c>
      <c r="V1847" s="47" t="n"/>
    </row>
    <row r="1848">
      <c r="A1848" s="39">
        <f>IF($B1848="","",COUNTA($B$4:$B1848))</f>
        <v/>
      </c>
      <c r="B1848" s="40" t="n"/>
      <c r="C1848" s="41" t="n"/>
      <c r="D1848" s="41" t="n"/>
      <c r="E1848" s="41" t="n"/>
      <c r="F1848" s="41" t="n"/>
      <c r="G1848" s="41" t="n"/>
      <c r="H1848" s="41" t="n"/>
      <c r="I1848" s="50" t="n"/>
      <c r="J1848" s="42" t="n"/>
      <c r="K1848" s="42" t="n"/>
      <c r="L1848" s="43">
        <f>IF($B1848="","",ROUND((N($J1848)+N($K1848))*نسبة_القيمة_المضافة,2))</f>
        <v/>
      </c>
      <c r="M1848" s="42" t="n"/>
      <c r="N1848" s="42" t="n"/>
      <c r="O1848" s="43">
        <f>IF($B1848="","",N($J1848)+N($K1848)+N($L1848)-N($M1848)+N($N1848))</f>
        <v/>
      </c>
      <c r="P1848" s="42" t="n"/>
      <c r="Q1848" s="43">
        <f>IF($B1848="","",N($O1848)-N($P1848))</f>
        <v/>
      </c>
      <c r="R1848" s="42" t="n"/>
      <c r="S1848" s="42" t="n"/>
      <c r="T1848" s="42" t="n"/>
      <c r="U1848" s="43">
        <f>IF($B1848="","",N($J1848)-N($R1848)-N($T1848))</f>
        <v/>
      </c>
      <c r="V1848" s="42" t="n"/>
    </row>
    <row r="1849">
      <c r="A1849" s="39">
        <f>IF($B1849="","",COUNTA($B$4:$B1849))</f>
        <v/>
      </c>
      <c r="B1849" s="45" t="n"/>
      <c r="C1849" s="46" t="n"/>
      <c r="D1849" s="46" t="n"/>
      <c r="E1849" s="46" t="n"/>
      <c r="F1849" s="46" t="n"/>
      <c r="G1849" s="46" t="n"/>
      <c r="H1849" s="46" t="n"/>
      <c r="I1849" s="51" t="n"/>
      <c r="J1849" s="47" t="n"/>
      <c r="K1849" s="47" t="n"/>
      <c r="L1849" s="43">
        <f>IF($B1849="","",ROUND((N($J1849)+N($K1849))*نسبة_القيمة_المضافة,2))</f>
        <v/>
      </c>
      <c r="M1849" s="47" t="n"/>
      <c r="N1849" s="47" t="n"/>
      <c r="O1849" s="43">
        <f>IF($B1849="","",N($J1849)+N($K1849)+N($L1849)-N($M1849)+N($N1849))</f>
        <v/>
      </c>
      <c r="P1849" s="47" t="n"/>
      <c r="Q1849" s="43">
        <f>IF($B1849="","",N($O1849)-N($P1849))</f>
        <v/>
      </c>
      <c r="R1849" s="47" t="n"/>
      <c r="S1849" s="47" t="n"/>
      <c r="T1849" s="47" t="n"/>
      <c r="U1849" s="43">
        <f>IF($B1849="","",N($J1849)-N($R1849)-N($T1849))</f>
        <v/>
      </c>
      <c r="V1849" s="47" t="n"/>
    </row>
    <row r="1850">
      <c r="A1850" s="39">
        <f>IF($B1850="","",COUNTA($B$4:$B1850))</f>
        <v/>
      </c>
      <c r="B1850" s="40" t="n"/>
      <c r="C1850" s="41" t="n"/>
      <c r="D1850" s="41" t="n"/>
      <c r="E1850" s="41" t="n"/>
      <c r="F1850" s="41" t="n"/>
      <c r="G1850" s="41" t="n"/>
      <c r="H1850" s="41" t="n"/>
      <c r="I1850" s="50" t="n"/>
      <c r="J1850" s="42" t="n"/>
      <c r="K1850" s="42" t="n"/>
      <c r="L1850" s="43">
        <f>IF($B1850="","",ROUND((N($J1850)+N($K1850))*نسبة_القيمة_المضافة,2))</f>
        <v/>
      </c>
      <c r="M1850" s="42" t="n"/>
      <c r="N1850" s="42" t="n"/>
      <c r="O1850" s="43">
        <f>IF($B1850="","",N($J1850)+N($K1850)+N($L1850)-N($M1850)+N($N1850))</f>
        <v/>
      </c>
      <c r="P1850" s="42" t="n"/>
      <c r="Q1850" s="43">
        <f>IF($B1850="","",N($O1850)-N($P1850))</f>
        <v/>
      </c>
      <c r="R1850" s="42" t="n"/>
      <c r="S1850" s="42" t="n"/>
      <c r="T1850" s="42" t="n"/>
      <c r="U1850" s="43">
        <f>IF($B1850="","",N($J1850)-N($R1850)-N($T1850))</f>
        <v/>
      </c>
      <c r="V1850" s="42" t="n"/>
    </row>
    <row r="1851">
      <c r="A1851" s="39">
        <f>IF($B1851="","",COUNTA($B$4:$B1851))</f>
        <v/>
      </c>
      <c r="B1851" s="45" t="n"/>
      <c r="C1851" s="46" t="n"/>
      <c r="D1851" s="46" t="n"/>
      <c r="E1851" s="46" t="n"/>
      <c r="F1851" s="46" t="n"/>
      <c r="G1851" s="46" t="n"/>
      <c r="H1851" s="46" t="n"/>
      <c r="I1851" s="51" t="n"/>
      <c r="J1851" s="47" t="n"/>
      <c r="K1851" s="47" t="n"/>
      <c r="L1851" s="43">
        <f>IF($B1851="","",ROUND((N($J1851)+N($K1851))*نسبة_القيمة_المضافة,2))</f>
        <v/>
      </c>
      <c r="M1851" s="47" t="n"/>
      <c r="N1851" s="47" t="n"/>
      <c r="O1851" s="43">
        <f>IF($B1851="","",N($J1851)+N($K1851)+N($L1851)-N($M1851)+N($N1851))</f>
        <v/>
      </c>
      <c r="P1851" s="47" t="n"/>
      <c r="Q1851" s="43">
        <f>IF($B1851="","",N($O1851)-N($P1851))</f>
        <v/>
      </c>
      <c r="R1851" s="47" t="n"/>
      <c r="S1851" s="47" t="n"/>
      <c r="T1851" s="47" t="n"/>
      <c r="U1851" s="43">
        <f>IF($B1851="","",N($J1851)-N($R1851)-N($T1851))</f>
        <v/>
      </c>
      <c r="V1851" s="47" t="n"/>
    </row>
    <row r="1852">
      <c r="A1852" s="39">
        <f>IF($B1852="","",COUNTA($B$4:$B1852))</f>
        <v/>
      </c>
      <c r="B1852" s="40" t="n"/>
      <c r="C1852" s="41" t="n"/>
      <c r="D1852" s="41" t="n"/>
      <c r="E1852" s="41" t="n"/>
      <c r="F1852" s="41" t="n"/>
      <c r="G1852" s="41" t="n"/>
      <c r="H1852" s="41" t="n"/>
      <c r="I1852" s="50" t="n"/>
      <c r="J1852" s="42" t="n"/>
      <c r="K1852" s="42" t="n"/>
      <c r="L1852" s="43">
        <f>IF($B1852="","",ROUND((N($J1852)+N($K1852))*نسبة_القيمة_المضافة,2))</f>
        <v/>
      </c>
      <c r="M1852" s="42" t="n"/>
      <c r="N1852" s="42" t="n"/>
      <c r="O1852" s="43">
        <f>IF($B1852="","",N($J1852)+N($K1852)+N($L1852)-N($M1852)+N($N1852))</f>
        <v/>
      </c>
      <c r="P1852" s="42" t="n"/>
      <c r="Q1852" s="43">
        <f>IF($B1852="","",N($O1852)-N($P1852))</f>
        <v/>
      </c>
      <c r="R1852" s="42" t="n"/>
      <c r="S1852" s="42" t="n"/>
      <c r="T1852" s="42" t="n"/>
      <c r="U1852" s="43">
        <f>IF($B1852="","",N($J1852)-N($R1852)-N($T1852))</f>
        <v/>
      </c>
      <c r="V1852" s="42" t="n"/>
    </row>
    <row r="1853">
      <c r="A1853" s="39">
        <f>IF($B1853="","",COUNTA($B$4:$B1853))</f>
        <v/>
      </c>
      <c r="B1853" s="45" t="n"/>
      <c r="C1853" s="46" t="n"/>
      <c r="D1853" s="46" t="n"/>
      <c r="E1853" s="46" t="n"/>
      <c r="F1853" s="46" t="n"/>
      <c r="G1853" s="46" t="n"/>
      <c r="H1853" s="46" t="n"/>
      <c r="I1853" s="51" t="n"/>
      <c r="J1853" s="47" t="n"/>
      <c r="K1853" s="47" t="n"/>
      <c r="L1853" s="43">
        <f>IF($B1853="","",ROUND((N($J1853)+N($K1853))*نسبة_القيمة_المضافة,2))</f>
        <v/>
      </c>
      <c r="M1853" s="47" t="n"/>
      <c r="N1853" s="47" t="n"/>
      <c r="O1853" s="43">
        <f>IF($B1853="","",N($J1853)+N($K1853)+N($L1853)-N($M1853)+N($N1853))</f>
        <v/>
      </c>
      <c r="P1853" s="47" t="n"/>
      <c r="Q1853" s="43">
        <f>IF($B1853="","",N($O1853)-N($P1853))</f>
        <v/>
      </c>
      <c r="R1853" s="47" t="n"/>
      <c r="S1853" s="47" t="n"/>
      <c r="T1853" s="47" t="n"/>
      <c r="U1853" s="43">
        <f>IF($B1853="","",N($J1853)-N($R1853)-N($T1853))</f>
        <v/>
      </c>
      <c r="V1853" s="47" t="n"/>
    </row>
    <row r="1854">
      <c r="A1854" s="39">
        <f>IF($B1854="","",COUNTA($B$4:$B1854))</f>
        <v/>
      </c>
      <c r="B1854" s="40" t="n"/>
      <c r="C1854" s="41" t="n"/>
      <c r="D1854" s="41" t="n"/>
      <c r="E1854" s="41" t="n"/>
      <c r="F1854" s="41" t="n"/>
      <c r="G1854" s="41" t="n"/>
      <c r="H1854" s="41" t="n"/>
      <c r="I1854" s="50" t="n"/>
      <c r="J1854" s="42" t="n"/>
      <c r="K1854" s="42" t="n"/>
      <c r="L1854" s="43">
        <f>IF($B1854="","",ROUND((N($J1854)+N($K1854))*نسبة_القيمة_المضافة,2))</f>
        <v/>
      </c>
      <c r="M1854" s="42" t="n"/>
      <c r="N1854" s="42" t="n"/>
      <c r="O1854" s="43">
        <f>IF($B1854="","",N($J1854)+N($K1854)+N($L1854)-N($M1854)+N($N1854))</f>
        <v/>
      </c>
      <c r="P1854" s="42" t="n"/>
      <c r="Q1854" s="43">
        <f>IF($B1854="","",N($O1854)-N($P1854))</f>
        <v/>
      </c>
      <c r="R1854" s="42" t="n"/>
      <c r="S1854" s="42" t="n"/>
      <c r="T1854" s="42" t="n"/>
      <c r="U1854" s="43">
        <f>IF($B1854="","",N($J1854)-N($R1854)-N($T1854))</f>
        <v/>
      </c>
      <c r="V1854" s="42" t="n"/>
    </row>
    <row r="1855">
      <c r="A1855" s="39">
        <f>IF($B1855="","",COUNTA($B$4:$B1855))</f>
        <v/>
      </c>
      <c r="B1855" s="45" t="n"/>
      <c r="C1855" s="46" t="n"/>
      <c r="D1855" s="46" t="n"/>
      <c r="E1855" s="46" t="n"/>
      <c r="F1855" s="46" t="n"/>
      <c r="G1855" s="46" t="n"/>
      <c r="H1855" s="46" t="n"/>
      <c r="I1855" s="51" t="n"/>
      <c r="J1855" s="47" t="n"/>
      <c r="K1855" s="47" t="n"/>
      <c r="L1855" s="43">
        <f>IF($B1855="","",ROUND((N($J1855)+N($K1855))*نسبة_القيمة_المضافة,2))</f>
        <v/>
      </c>
      <c r="M1855" s="47" t="n"/>
      <c r="N1855" s="47" t="n"/>
      <c r="O1855" s="43">
        <f>IF($B1855="","",N($J1855)+N($K1855)+N($L1855)-N($M1855)+N($N1855))</f>
        <v/>
      </c>
      <c r="P1855" s="47" t="n"/>
      <c r="Q1855" s="43">
        <f>IF($B1855="","",N($O1855)-N($P1855))</f>
        <v/>
      </c>
      <c r="R1855" s="47" t="n"/>
      <c r="S1855" s="47" t="n"/>
      <c r="T1855" s="47" t="n"/>
      <c r="U1855" s="43">
        <f>IF($B1855="","",N($J1855)-N($R1855)-N($T1855))</f>
        <v/>
      </c>
      <c r="V1855" s="47" t="n"/>
    </row>
    <row r="1856">
      <c r="A1856" s="39">
        <f>IF($B1856="","",COUNTA($B$4:$B1856))</f>
        <v/>
      </c>
      <c r="B1856" s="40" t="n"/>
      <c r="C1856" s="41" t="n"/>
      <c r="D1856" s="41" t="n"/>
      <c r="E1856" s="41" t="n"/>
      <c r="F1856" s="41" t="n"/>
      <c r="G1856" s="41" t="n"/>
      <c r="H1856" s="41" t="n"/>
      <c r="I1856" s="50" t="n"/>
      <c r="J1856" s="42" t="n"/>
      <c r="K1856" s="42" t="n"/>
      <c r="L1856" s="43">
        <f>IF($B1856="","",ROUND((N($J1856)+N($K1856))*نسبة_القيمة_المضافة,2))</f>
        <v/>
      </c>
      <c r="M1856" s="42" t="n"/>
      <c r="N1856" s="42" t="n"/>
      <c r="O1856" s="43">
        <f>IF($B1856="","",N($J1856)+N($K1856)+N($L1856)-N($M1856)+N($N1856))</f>
        <v/>
      </c>
      <c r="P1856" s="42" t="n"/>
      <c r="Q1856" s="43">
        <f>IF($B1856="","",N($O1856)-N($P1856))</f>
        <v/>
      </c>
      <c r="R1856" s="42" t="n"/>
      <c r="S1856" s="42" t="n"/>
      <c r="T1856" s="42" t="n"/>
      <c r="U1856" s="43">
        <f>IF($B1856="","",N($J1856)-N($R1856)-N($T1856))</f>
        <v/>
      </c>
      <c r="V1856" s="42" t="n"/>
    </row>
    <row r="1857">
      <c r="A1857" s="39">
        <f>IF($B1857="","",COUNTA($B$4:$B1857))</f>
        <v/>
      </c>
      <c r="B1857" s="45" t="n"/>
      <c r="C1857" s="46" t="n"/>
      <c r="D1857" s="46" t="n"/>
      <c r="E1857" s="46" t="n"/>
      <c r="F1857" s="46" t="n"/>
      <c r="G1857" s="46" t="n"/>
      <c r="H1857" s="46" t="n"/>
      <c r="I1857" s="51" t="n"/>
      <c r="J1857" s="47" t="n"/>
      <c r="K1857" s="47" t="n"/>
      <c r="L1857" s="43">
        <f>IF($B1857="","",ROUND((N($J1857)+N($K1857))*نسبة_القيمة_المضافة,2))</f>
        <v/>
      </c>
      <c r="M1857" s="47" t="n"/>
      <c r="N1857" s="47" t="n"/>
      <c r="O1857" s="43">
        <f>IF($B1857="","",N($J1857)+N($K1857)+N($L1857)-N($M1857)+N($N1857))</f>
        <v/>
      </c>
      <c r="P1857" s="47" t="n"/>
      <c r="Q1857" s="43">
        <f>IF($B1857="","",N($O1857)-N($P1857))</f>
        <v/>
      </c>
      <c r="R1857" s="47" t="n"/>
      <c r="S1857" s="47" t="n"/>
      <c r="T1857" s="47" t="n"/>
      <c r="U1857" s="43">
        <f>IF($B1857="","",N($J1857)-N($R1857)-N($T1857))</f>
        <v/>
      </c>
      <c r="V1857" s="47" t="n"/>
    </row>
    <row r="1858">
      <c r="A1858" s="39">
        <f>IF($B1858="","",COUNTA($B$4:$B1858))</f>
        <v/>
      </c>
      <c r="B1858" s="40" t="n"/>
      <c r="C1858" s="41" t="n"/>
      <c r="D1858" s="41" t="n"/>
      <c r="E1858" s="41" t="n"/>
      <c r="F1858" s="41" t="n"/>
      <c r="G1858" s="41" t="n"/>
      <c r="H1858" s="41" t="n"/>
      <c r="I1858" s="50" t="n"/>
      <c r="J1858" s="42" t="n"/>
      <c r="K1858" s="42" t="n"/>
      <c r="L1858" s="43">
        <f>IF($B1858="","",ROUND((N($J1858)+N($K1858))*نسبة_القيمة_المضافة,2))</f>
        <v/>
      </c>
      <c r="M1858" s="42" t="n"/>
      <c r="N1858" s="42" t="n"/>
      <c r="O1858" s="43">
        <f>IF($B1858="","",N($J1858)+N($K1858)+N($L1858)-N($M1858)+N($N1858))</f>
        <v/>
      </c>
      <c r="P1858" s="42" t="n"/>
      <c r="Q1858" s="43">
        <f>IF($B1858="","",N($O1858)-N($P1858))</f>
        <v/>
      </c>
      <c r="R1858" s="42" t="n"/>
      <c r="S1858" s="42" t="n"/>
      <c r="T1858" s="42" t="n"/>
      <c r="U1858" s="43">
        <f>IF($B1858="","",N($J1858)-N($R1858)-N($T1858))</f>
        <v/>
      </c>
      <c r="V1858" s="42" t="n"/>
    </row>
    <row r="1859">
      <c r="A1859" s="39">
        <f>IF($B1859="","",COUNTA($B$4:$B1859))</f>
        <v/>
      </c>
      <c r="B1859" s="45" t="n"/>
      <c r="C1859" s="46" t="n"/>
      <c r="D1859" s="46" t="n"/>
      <c r="E1859" s="46" t="n"/>
      <c r="F1859" s="46" t="n"/>
      <c r="G1859" s="46" t="n"/>
      <c r="H1859" s="46" t="n"/>
      <c r="I1859" s="51" t="n"/>
      <c r="J1859" s="47" t="n"/>
      <c r="K1859" s="47" t="n"/>
      <c r="L1859" s="43">
        <f>IF($B1859="","",ROUND((N($J1859)+N($K1859))*نسبة_القيمة_المضافة,2))</f>
        <v/>
      </c>
      <c r="M1859" s="47" t="n"/>
      <c r="N1859" s="47" t="n"/>
      <c r="O1859" s="43">
        <f>IF($B1859="","",N($J1859)+N($K1859)+N($L1859)-N($M1859)+N($N1859))</f>
        <v/>
      </c>
      <c r="P1859" s="47" t="n"/>
      <c r="Q1859" s="43">
        <f>IF($B1859="","",N($O1859)-N($P1859))</f>
        <v/>
      </c>
      <c r="R1859" s="47" t="n"/>
      <c r="S1859" s="47" t="n"/>
      <c r="T1859" s="47" t="n"/>
      <c r="U1859" s="43">
        <f>IF($B1859="","",N($J1859)-N($R1859)-N($T1859))</f>
        <v/>
      </c>
      <c r="V1859" s="47" t="n"/>
    </row>
    <row r="1860">
      <c r="A1860" s="39">
        <f>IF($B1860="","",COUNTA($B$4:$B1860))</f>
        <v/>
      </c>
      <c r="B1860" s="40" t="n"/>
      <c r="C1860" s="41" t="n"/>
      <c r="D1860" s="41" t="n"/>
      <c r="E1860" s="41" t="n"/>
      <c r="F1860" s="41" t="n"/>
      <c r="G1860" s="41" t="n"/>
      <c r="H1860" s="41" t="n"/>
      <c r="I1860" s="50" t="n"/>
      <c r="J1860" s="42" t="n"/>
      <c r="K1860" s="42" t="n"/>
      <c r="L1860" s="43">
        <f>IF($B1860="","",ROUND((N($J1860)+N($K1860))*نسبة_القيمة_المضافة,2))</f>
        <v/>
      </c>
      <c r="M1860" s="42" t="n"/>
      <c r="N1860" s="42" t="n"/>
      <c r="O1860" s="43">
        <f>IF($B1860="","",N($J1860)+N($K1860)+N($L1860)-N($M1860)+N($N1860))</f>
        <v/>
      </c>
      <c r="P1860" s="42" t="n"/>
      <c r="Q1860" s="43">
        <f>IF($B1860="","",N($O1860)-N($P1860))</f>
        <v/>
      </c>
      <c r="R1860" s="42" t="n"/>
      <c r="S1860" s="42" t="n"/>
      <c r="T1860" s="42" t="n"/>
      <c r="U1860" s="43">
        <f>IF($B1860="","",N($J1860)-N($R1860)-N($T1860))</f>
        <v/>
      </c>
      <c r="V1860" s="42" t="n"/>
    </row>
    <row r="1861">
      <c r="A1861" s="39">
        <f>IF($B1861="","",COUNTA($B$4:$B1861))</f>
        <v/>
      </c>
      <c r="B1861" s="45" t="n"/>
      <c r="C1861" s="46" t="n"/>
      <c r="D1861" s="46" t="n"/>
      <c r="E1861" s="46" t="n"/>
      <c r="F1861" s="46" t="n"/>
      <c r="G1861" s="46" t="n"/>
      <c r="H1861" s="46" t="n"/>
      <c r="I1861" s="51" t="n"/>
      <c r="J1861" s="47" t="n"/>
      <c r="K1861" s="47" t="n"/>
      <c r="L1861" s="43">
        <f>IF($B1861="","",ROUND((N($J1861)+N($K1861))*نسبة_القيمة_المضافة,2))</f>
        <v/>
      </c>
      <c r="M1861" s="47" t="n"/>
      <c r="N1861" s="47" t="n"/>
      <c r="O1861" s="43">
        <f>IF($B1861="","",N($J1861)+N($K1861)+N($L1861)-N($M1861)+N($N1861))</f>
        <v/>
      </c>
      <c r="P1861" s="47" t="n"/>
      <c r="Q1861" s="43">
        <f>IF($B1861="","",N($O1861)-N($P1861))</f>
        <v/>
      </c>
      <c r="R1861" s="47" t="n"/>
      <c r="S1861" s="47" t="n"/>
      <c r="T1861" s="47" t="n"/>
      <c r="U1861" s="43">
        <f>IF($B1861="","",N($J1861)-N($R1861)-N($T1861))</f>
        <v/>
      </c>
      <c r="V1861" s="47" t="n"/>
    </row>
    <row r="1862">
      <c r="A1862" s="39">
        <f>IF($B1862="","",COUNTA($B$4:$B1862))</f>
        <v/>
      </c>
      <c r="B1862" s="40" t="n"/>
      <c r="C1862" s="41" t="n"/>
      <c r="D1862" s="41" t="n"/>
      <c r="E1862" s="41" t="n"/>
      <c r="F1862" s="41" t="n"/>
      <c r="G1862" s="41" t="n"/>
      <c r="H1862" s="41" t="n"/>
      <c r="I1862" s="50" t="n"/>
      <c r="J1862" s="42" t="n"/>
      <c r="K1862" s="42" t="n"/>
      <c r="L1862" s="43">
        <f>IF($B1862="","",ROUND((N($J1862)+N($K1862))*نسبة_القيمة_المضافة,2))</f>
        <v/>
      </c>
      <c r="M1862" s="42" t="n"/>
      <c r="N1862" s="42" t="n"/>
      <c r="O1862" s="43">
        <f>IF($B1862="","",N($J1862)+N($K1862)+N($L1862)-N($M1862)+N($N1862))</f>
        <v/>
      </c>
      <c r="P1862" s="42" t="n"/>
      <c r="Q1862" s="43">
        <f>IF($B1862="","",N($O1862)-N($P1862))</f>
        <v/>
      </c>
      <c r="R1862" s="42" t="n"/>
      <c r="S1862" s="42" t="n"/>
      <c r="T1862" s="42" t="n"/>
      <c r="U1862" s="43">
        <f>IF($B1862="","",N($J1862)-N($R1862)-N($T1862))</f>
        <v/>
      </c>
      <c r="V1862" s="42" t="n"/>
    </row>
    <row r="1863">
      <c r="A1863" s="39">
        <f>IF($B1863="","",COUNTA($B$4:$B1863))</f>
        <v/>
      </c>
      <c r="B1863" s="45" t="n"/>
      <c r="C1863" s="46" t="n"/>
      <c r="D1863" s="46" t="n"/>
      <c r="E1863" s="46" t="n"/>
      <c r="F1863" s="46" t="n"/>
      <c r="G1863" s="46" t="n"/>
      <c r="H1863" s="46" t="n"/>
      <c r="I1863" s="51" t="n"/>
      <c r="J1863" s="47" t="n"/>
      <c r="K1863" s="47" t="n"/>
      <c r="L1863" s="43">
        <f>IF($B1863="","",ROUND((N($J1863)+N($K1863))*نسبة_القيمة_المضافة,2))</f>
        <v/>
      </c>
      <c r="M1863" s="47" t="n"/>
      <c r="N1863" s="47" t="n"/>
      <c r="O1863" s="43">
        <f>IF($B1863="","",N($J1863)+N($K1863)+N($L1863)-N($M1863)+N($N1863))</f>
        <v/>
      </c>
      <c r="P1863" s="47" t="n"/>
      <c r="Q1863" s="43">
        <f>IF($B1863="","",N($O1863)-N($P1863))</f>
        <v/>
      </c>
      <c r="R1863" s="47" t="n"/>
      <c r="S1863" s="47" t="n"/>
      <c r="T1863" s="47" t="n"/>
      <c r="U1863" s="43">
        <f>IF($B1863="","",N($J1863)-N($R1863)-N($T1863))</f>
        <v/>
      </c>
      <c r="V1863" s="47" t="n"/>
    </row>
    <row r="1864">
      <c r="A1864" s="39">
        <f>IF($B1864="","",COUNTA($B$4:$B1864))</f>
        <v/>
      </c>
      <c r="B1864" s="40" t="n"/>
      <c r="C1864" s="41" t="n"/>
      <c r="D1864" s="41" t="n"/>
      <c r="E1864" s="41" t="n"/>
      <c r="F1864" s="41" t="n"/>
      <c r="G1864" s="41" t="n"/>
      <c r="H1864" s="41" t="n"/>
      <c r="I1864" s="50" t="n"/>
      <c r="J1864" s="42" t="n"/>
      <c r="K1864" s="42" t="n"/>
      <c r="L1864" s="43">
        <f>IF($B1864="","",ROUND((N($J1864)+N($K1864))*نسبة_القيمة_المضافة,2))</f>
        <v/>
      </c>
      <c r="M1864" s="42" t="n"/>
      <c r="N1864" s="42" t="n"/>
      <c r="O1864" s="43">
        <f>IF($B1864="","",N($J1864)+N($K1864)+N($L1864)-N($M1864)+N($N1864))</f>
        <v/>
      </c>
      <c r="P1864" s="42" t="n"/>
      <c r="Q1864" s="43">
        <f>IF($B1864="","",N($O1864)-N($P1864))</f>
        <v/>
      </c>
      <c r="R1864" s="42" t="n"/>
      <c r="S1864" s="42" t="n"/>
      <c r="T1864" s="42" t="n"/>
      <c r="U1864" s="43">
        <f>IF($B1864="","",N($J1864)-N($R1864)-N($T1864))</f>
        <v/>
      </c>
      <c r="V1864" s="42" t="n"/>
    </row>
    <row r="1865">
      <c r="A1865" s="39">
        <f>IF($B1865="","",COUNTA($B$4:$B1865))</f>
        <v/>
      </c>
      <c r="B1865" s="45" t="n"/>
      <c r="C1865" s="46" t="n"/>
      <c r="D1865" s="46" t="n"/>
      <c r="E1865" s="46" t="n"/>
      <c r="F1865" s="46" t="n"/>
      <c r="G1865" s="46" t="n"/>
      <c r="H1865" s="46" t="n"/>
      <c r="I1865" s="51" t="n"/>
      <c r="J1865" s="47" t="n"/>
      <c r="K1865" s="47" t="n"/>
      <c r="L1865" s="43">
        <f>IF($B1865="","",ROUND((N($J1865)+N($K1865))*نسبة_القيمة_المضافة,2))</f>
        <v/>
      </c>
      <c r="M1865" s="47" t="n"/>
      <c r="N1865" s="47" t="n"/>
      <c r="O1865" s="43">
        <f>IF($B1865="","",N($J1865)+N($K1865)+N($L1865)-N($M1865)+N($N1865))</f>
        <v/>
      </c>
      <c r="P1865" s="47" t="n"/>
      <c r="Q1865" s="43">
        <f>IF($B1865="","",N($O1865)-N($P1865))</f>
        <v/>
      </c>
      <c r="R1865" s="47" t="n"/>
      <c r="S1865" s="47" t="n"/>
      <c r="T1865" s="47" t="n"/>
      <c r="U1865" s="43">
        <f>IF($B1865="","",N($J1865)-N($R1865)-N($T1865))</f>
        <v/>
      </c>
      <c r="V1865" s="47" t="n"/>
    </row>
    <row r="1866">
      <c r="A1866" s="39">
        <f>IF($B1866="","",COUNTA($B$4:$B1866))</f>
        <v/>
      </c>
      <c r="B1866" s="40" t="n"/>
      <c r="C1866" s="41" t="n"/>
      <c r="D1866" s="41" t="n"/>
      <c r="E1866" s="41" t="n"/>
      <c r="F1866" s="41" t="n"/>
      <c r="G1866" s="41" t="n"/>
      <c r="H1866" s="41" t="n"/>
      <c r="I1866" s="50" t="n"/>
      <c r="J1866" s="42" t="n"/>
      <c r="K1866" s="42" t="n"/>
      <c r="L1866" s="43">
        <f>IF($B1866="","",ROUND((N($J1866)+N($K1866))*نسبة_القيمة_المضافة,2))</f>
        <v/>
      </c>
      <c r="M1866" s="42" t="n"/>
      <c r="N1866" s="42" t="n"/>
      <c r="O1866" s="43">
        <f>IF($B1866="","",N($J1866)+N($K1866)+N($L1866)-N($M1866)+N($N1866))</f>
        <v/>
      </c>
      <c r="P1866" s="42" t="n"/>
      <c r="Q1866" s="43">
        <f>IF($B1866="","",N($O1866)-N($P1866))</f>
        <v/>
      </c>
      <c r="R1866" s="42" t="n"/>
      <c r="S1866" s="42" t="n"/>
      <c r="T1866" s="42" t="n"/>
      <c r="U1866" s="43">
        <f>IF($B1866="","",N($J1866)-N($R1866)-N($T1866))</f>
        <v/>
      </c>
      <c r="V1866" s="42" t="n"/>
    </row>
    <row r="1867">
      <c r="A1867" s="39">
        <f>IF($B1867="","",COUNTA($B$4:$B1867))</f>
        <v/>
      </c>
      <c r="B1867" s="45" t="n"/>
      <c r="C1867" s="46" t="n"/>
      <c r="D1867" s="46" t="n"/>
      <c r="E1867" s="46" t="n"/>
      <c r="F1867" s="46" t="n"/>
      <c r="G1867" s="46" t="n"/>
      <c r="H1867" s="46" t="n"/>
      <c r="I1867" s="51" t="n"/>
      <c r="J1867" s="47" t="n"/>
      <c r="K1867" s="47" t="n"/>
      <c r="L1867" s="43">
        <f>IF($B1867="","",ROUND((N($J1867)+N($K1867))*نسبة_القيمة_المضافة,2))</f>
        <v/>
      </c>
      <c r="M1867" s="47" t="n"/>
      <c r="N1867" s="47" t="n"/>
      <c r="O1867" s="43">
        <f>IF($B1867="","",N($J1867)+N($K1867)+N($L1867)-N($M1867)+N($N1867))</f>
        <v/>
      </c>
      <c r="P1867" s="47" t="n"/>
      <c r="Q1867" s="43">
        <f>IF($B1867="","",N($O1867)-N($P1867))</f>
        <v/>
      </c>
      <c r="R1867" s="47" t="n"/>
      <c r="S1867" s="47" t="n"/>
      <c r="T1867" s="47" t="n"/>
      <c r="U1867" s="43">
        <f>IF($B1867="","",N($J1867)-N($R1867)-N($T1867))</f>
        <v/>
      </c>
      <c r="V1867" s="47" t="n"/>
    </row>
    <row r="1868">
      <c r="A1868" s="39">
        <f>IF($B1868="","",COUNTA($B$4:$B1868))</f>
        <v/>
      </c>
      <c r="B1868" s="40" t="n"/>
      <c r="C1868" s="41" t="n"/>
      <c r="D1868" s="41" t="n"/>
      <c r="E1868" s="41" t="n"/>
      <c r="F1868" s="41" t="n"/>
      <c r="G1868" s="41" t="n"/>
      <c r="H1868" s="41" t="n"/>
      <c r="I1868" s="50" t="n"/>
      <c r="J1868" s="42" t="n"/>
      <c r="K1868" s="42" t="n"/>
      <c r="L1868" s="43">
        <f>IF($B1868="","",ROUND((N($J1868)+N($K1868))*نسبة_القيمة_المضافة,2))</f>
        <v/>
      </c>
      <c r="M1868" s="42" t="n"/>
      <c r="N1868" s="42" t="n"/>
      <c r="O1868" s="43">
        <f>IF($B1868="","",N($J1868)+N($K1868)+N($L1868)-N($M1868)+N($N1868))</f>
        <v/>
      </c>
      <c r="P1868" s="42" t="n"/>
      <c r="Q1868" s="43">
        <f>IF($B1868="","",N($O1868)-N($P1868))</f>
        <v/>
      </c>
      <c r="R1868" s="42" t="n"/>
      <c r="S1868" s="42" t="n"/>
      <c r="T1868" s="42" t="n"/>
      <c r="U1868" s="43">
        <f>IF($B1868="","",N($J1868)-N($R1868)-N($T1868))</f>
        <v/>
      </c>
      <c r="V1868" s="42" t="n"/>
    </row>
    <row r="1869">
      <c r="A1869" s="39">
        <f>IF($B1869="","",COUNTA($B$4:$B1869))</f>
        <v/>
      </c>
      <c r="B1869" s="45" t="n"/>
      <c r="C1869" s="46" t="n"/>
      <c r="D1869" s="46" t="n"/>
      <c r="E1869" s="46" t="n"/>
      <c r="F1869" s="46" t="n"/>
      <c r="G1869" s="46" t="n"/>
      <c r="H1869" s="46" t="n"/>
      <c r="I1869" s="51" t="n"/>
      <c r="J1869" s="47" t="n"/>
      <c r="K1869" s="47" t="n"/>
      <c r="L1869" s="43">
        <f>IF($B1869="","",ROUND((N($J1869)+N($K1869))*نسبة_القيمة_المضافة,2))</f>
        <v/>
      </c>
      <c r="M1869" s="47" t="n"/>
      <c r="N1869" s="47" t="n"/>
      <c r="O1869" s="43">
        <f>IF($B1869="","",N($J1869)+N($K1869)+N($L1869)-N($M1869)+N($N1869))</f>
        <v/>
      </c>
      <c r="P1869" s="47" t="n"/>
      <c r="Q1869" s="43">
        <f>IF($B1869="","",N($O1869)-N($P1869))</f>
        <v/>
      </c>
      <c r="R1869" s="47" t="n"/>
      <c r="S1869" s="47" t="n"/>
      <c r="T1869" s="47" t="n"/>
      <c r="U1869" s="43">
        <f>IF($B1869="","",N($J1869)-N($R1869)-N($T1869))</f>
        <v/>
      </c>
      <c r="V1869" s="47" t="n"/>
    </row>
    <row r="1870">
      <c r="A1870" s="39">
        <f>IF($B1870="","",COUNTA($B$4:$B1870))</f>
        <v/>
      </c>
      <c r="B1870" s="40" t="n"/>
      <c r="C1870" s="41" t="n"/>
      <c r="D1870" s="41" t="n"/>
      <c r="E1870" s="41" t="n"/>
      <c r="F1870" s="41" t="n"/>
      <c r="G1870" s="41" t="n"/>
      <c r="H1870" s="41" t="n"/>
      <c r="I1870" s="50" t="n"/>
      <c r="J1870" s="42" t="n"/>
      <c r="K1870" s="42" t="n"/>
      <c r="L1870" s="43">
        <f>IF($B1870="","",ROUND((N($J1870)+N($K1870))*نسبة_القيمة_المضافة,2))</f>
        <v/>
      </c>
      <c r="M1870" s="42" t="n"/>
      <c r="N1870" s="42" t="n"/>
      <c r="O1870" s="43">
        <f>IF($B1870="","",N($J1870)+N($K1870)+N($L1870)-N($M1870)+N($N1870))</f>
        <v/>
      </c>
      <c r="P1870" s="42" t="n"/>
      <c r="Q1870" s="43">
        <f>IF($B1870="","",N($O1870)-N($P1870))</f>
        <v/>
      </c>
      <c r="R1870" s="42" t="n"/>
      <c r="S1870" s="42" t="n"/>
      <c r="T1870" s="42" t="n"/>
      <c r="U1870" s="43">
        <f>IF($B1870="","",N($J1870)-N($R1870)-N($T1870))</f>
        <v/>
      </c>
      <c r="V1870" s="42" t="n"/>
    </row>
    <row r="1871">
      <c r="A1871" s="39">
        <f>IF($B1871="","",COUNTA($B$4:$B1871))</f>
        <v/>
      </c>
      <c r="B1871" s="45" t="n"/>
      <c r="C1871" s="46" t="n"/>
      <c r="D1871" s="46" t="n"/>
      <c r="E1871" s="46" t="n"/>
      <c r="F1871" s="46" t="n"/>
      <c r="G1871" s="46" t="n"/>
      <c r="H1871" s="46" t="n"/>
      <c r="I1871" s="51" t="n"/>
      <c r="J1871" s="47" t="n"/>
      <c r="K1871" s="47" t="n"/>
      <c r="L1871" s="43">
        <f>IF($B1871="","",ROUND((N($J1871)+N($K1871))*نسبة_القيمة_المضافة,2))</f>
        <v/>
      </c>
      <c r="M1871" s="47" t="n"/>
      <c r="N1871" s="47" t="n"/>
      <c r="O1871" s="43">
        <f>IF($B1871="","",N($J1871)+N($K1871)+N($L1871)-N($M1871)+N($N1871))</f>
        <v/>
      </c>
      <c r="P1871" s="47" t="n"/>
      <c r="Q1871" s="43">
        <f>IF($B1871="","",N($O1871)-N($P1871))</f>
        <v/>
      </c>
      <c r="R1871" s="47" t="n"/>
      <c r="S1871" s="47" t="n"/>
      <c r="T1871" s="47" t="n"/>
      <c r="U1871" s="43">
        <f>IF($B1871="","",N($J1871)-N($R1871)-N($T1871))</f>
        <v/>
      </c>
      <c r="V1871" s="47" t="n"/>
    </row>
    <row r="1872">
      <c r="A1872" s="39">
        <f>IF($B1872="","",COUNTA($B$4:$B1872))</f>
        <v/>
      </c>
      <c r="B1872" s="40" t="n"/>
      <c r="C1872" s="41" t="n"/>
      <c r="D1872" s="41" t="n"/>
      <c r="E1872" s="41" t="n"/>
      <c r="F1872" s="41" t="n"/>
      <c r="G1872" s="41" t="n"/>
      <c r="H1872" s="41" t="n"/>
      <c r="I1872" s="50" t="n"/>
      <c r="J1872" s="42" t="n"/>
      <c r="K1872" s="42" t="n"/>
      <c r="L1872" s="43">
        <f>IF($B1872="","",ROUND((N($J1872)+N($K1872))*نسبة_القيمة_المضافة,2))</f>
        <v/>
      </c>
      <c r="M1872" s="42" t="n"/>
      <c r="N1872" s="42" t="n"/>
      <c r="O1872" s="43">
        <f>IF($B1872="","",N($J1872)+N($K1872)+N($L1872)-N($M1872)+N($N1872))</f>
        <v/>
      </c>
      <c r="P1872" s="42" t="n"/>
      <c r="Q1872" s="43">
        <f>IF($B1872="","",N($O1872)-N($P1872))</f>
        <v/>
      </c>
      <c r="R1872" s="42" t="n"/>
      <c r="S1872" s="42" t="n"/>
      <c r="T1872" s="42" t="n"/>
      <c r="U1872" s="43">
        <f>IF($B1872="","",N($J1872)-N($R1872)-N($T1872))</f>
        <v/>
      </c>
      <c r="V1872" s="42" t="n"/>
    </row>
    <row r="1873">
      <c r="A1873" s="39">
        <f>IF($B1873="","",COUNTA($B$4:$B1873))</f>
        <v/>
      </c>
      <c r="B1873" s="45" t="n"/>
      <c r="C1873" s="46" t="n"/>
      <c r="D1873" s="46" t="n"/>
      <c r="E1873" s="46" t="n"/>
      <c r="F1873" s="46" t="n"/>
      <c r="G1873" s="46" t="n"/>
      <c r="H1873" s="46" t="n"/>
      <c r="I1873" s="51" t="n"/>
      <c r="J1873" s="47" t="n"/>
      <c r="K1873" s="47" t="n"/>
      <c r="L1873" s="43">
        <f>IF($B1873="","",ROUND((N($J1873)+N($K1873))*نسبة_القيمة_المضافة,2))</f>
        <v/>
      </c>
      <c r="M1873" s="47" t="n"/>
      <c r="N1873" s="47" t="n"/>
      <c r="O1873" s="43">
        <f>IF($B1873="","",N($J1873)+N($K1873)+N($L1873)-N($M1873)+N($N1873))</f>
        <v/>
      </c>
      <c r="P1873" s="47" t="n"/>
      <c r="Q1873" s="43">
        <f>IF($B1873="","",N($O1873)-N($P1873))</f>
        <v/>
      </c>
      <c r="R1873" s="47" t="n"/>
      <c r="S1873" s="47" t="n"/>
      <c r="T1873" s="47" t="n"/>
      <c r="U1873" s="43">
        <f>IF($B1873="","",N($J1873)-N($R1873)-N($T1873))</f>
        <v/>
      </c>
      <c r="V1873" s="47" t="n"/>
    </row>
    <row r="1874">
      <c r="A1874" s="39">
        <f>IF($B1874="","",COUNTA($B$4:$B1874))</f>
        <v/>
      </c>
      <c r="B1874" s="40" t="n"/>
      <c r="C1874" s="41" t="n"/>
      <c r="D1874" s="41" t="n"/>
      <c r="E1874" s="41" t="n"/>
      <c r="F1874" s="41" t="n"/>
      <c r="G1874" s="41" t="n"/>
      <c r="H1874" s="41" t="n"/>
      <c r="I1874" s="50" t="n"/>
      <c r="J1874" s="42" t="n"/>
      <c r="K1874" s="42" t="n"/>
      <c r="L1874" s="43">
        <f>IF($B1874="","",ROUND((N($J1874)+N($K1874))*نسبة_القيمة_المضافة,2))</f>
        <v/>
      </c>
      <c r="M1874" s="42" t="n"/>
      <c r="N1874" s="42" t="n"/>
      <c r="O1874" s="43">
        <f>IF($B1874="","",N($J1874)+N($K1874)+N($L1874)-N($M1874)+N($N1874))</f>
        <v/>
      </c>
      <c r="P1874" s="42" t="n"/>
      <c r="Q1874" s="43">
        <f>IF($B1874="","",N($O1874)-N($P1874))</f>
        <v/>
      </c>
      <c r="R1874" s="42" t="n"/>
      <c r="S1874" s="42" t="n"/>
      <c r="T1874" s="42" t="n"/>
      <c r="U1874" s="43">
        <f>IF($B1874="","",N($J1874)-N($R1874)-N($T1874))</f>
        <v/>
      </c>
      <c r="V1874" s="42" t="n"/>
    </row>
    <row r="1875">
      <c r="A1875" s="39">
        <f>IF($B1875="","",COUNTA($B$4:$B1875))</f>
        <v/>
      </c>
      <c r="B1875" s="45" t="n"/>
      <c r="C1875" s="46" t="n"/>
      <c r="D1875" s="46" t="n"/>
      <c r="E1875" s="46" t="n"/>
      <c r="F1875" s="46" t="n"/>
      <c r="G1875" s="46" t="n"/>
      <c r="H1875" s="46" t="n"/>
      <c r="I1875" s="51" t="n"/>
      <c r="J1875" s="47" t="n"/>
      <c r="K1875" s="47" t="n"/>
      <c r="L1875" s="43">
        <f>IF($B1875="","",ROUND((N($J1875)+N($K1875))*نسبة_القيمة_المضافة,2))</f>
        <v/>
      </c>
      <c r="M1875" s="47" t="n"/>
      <c r="N1875" s="47" t="n"/>
      <c r="O1875" s="43">
        <f>IF($B1875="","",N($J1875)+N($K1875)+N($L1875)-N($M1875)+N($N1875))</f>
        <v/>
      </c>
      <c r="P1875" s="47" t="n"/>
      <c r="Q1875" s="43">
        <f>IF($B1875="","",N($O1875)-N($P1875))</f>
        <v/>
      </c>
      <c r="R1875" s="47" t="n"/>
      <c r="S1875" s="47" t="n"/>
      <c r="T1875" s="47" t="n"/>
      <c r="U1875" s="43">
        <f>IF($B1875="","",N($J1875)-N($R1875)-N($T1875))</f>
        <v/>
      </c>
      <c r="V1875" s="47" t="n"/>
    </row>
    <row r="1876">
      <c r="A1876" s="39">
        <f>IF($B1876="","",COUNTA($B$4:$B1876))</f>
        <v/>
      </c>
      <c r="B1876" s="40" t="n"/>
      <c r="C1876" s="41" t="n"/>
      <c r="D1876" s="41" t="n"/>
      <c r="E1876" s="41" t="n"/>
      <c r="F1876" s="41" t="n"/>
      <c r="G1876" s="41" t="n"/>
      <c r="H1876" s="41" t="n"/>
      <c r="I1876" s="50" t="n"/>
      <c r="J1876" s="42" t="n"/>
      <c r="K1876" s="42" t="n"/>
      <c r="L1876" s="43">
        <f>IF($B1876="","",ROUND((N($J1876)+N($K1876))*نسبة_القيمة_المضافة,2))</f>
        <v/>
      </c>
      <c r="M1876" s="42" t="n"/>
      <c r="N1876" s="42" t="n"/>
      <c r="O1876" s="43">
        <f>IF($B1876="","",N($J1876)+N($K1876)+N($L1876)-N($M1876)+N($N1876))</f>
        <v/>
      </c>
      <c r="P1876" s="42" t="n"/>
      <c r="Q1876" s="43">
        <f>IF($B1876="","",N($O1876)-N($P1876))</f>
        <v/>
      </c>
      <c r="R1876" s="42" t="n"/>
      <c r="S1876" s="42" t="n"/>
      <c r="T1876" s="42" t="n"/>
      <c r="U1876" s="43">
        <f>IF($B1876="","",N($J1876)-N($R1876)-N($T1876))</f>
        <v/>
      </c>
      <c r="V1876" s="42" t="n"/>
    </row>
    <row r="1877">
      <c r="A1877" s="39">
        <f>IF($B1877="","",COUNTA($B$4:$B1877))</f>
        <v/>
      </c>
      <c r="B1877" s="45" t="n"/>
      <c r="C1877" s="46" t="n"/>
      <c r="D1877" s="46" t="n"/>
      <c r="E1877" s="46" t="n"/>
      <c r="F1877" s="46" t="n"/>
      <c r="G1877" s="46" t="n"/>
      <c r="H1877" s="46" t="n"/>
      <c r="I1877" s="51" t="n"/>
      <c r="J1877" s="47" t="n"/>
      <c r="K1877" s="47" t="n"/>
      <c r="L1877" s="43">
        <f>IF($B1877="","",ROUND((N($J1877)+N($K1877))*نسبة_القيمة_المضافة,2))</f>
        <v/>
      </c>
      <c r="M1877" s="47" t="n"/>
      <c r="N1877" s="47" t="n"/>
      <c r="O1877" s="43">
        <f>IF($B1877="","",N($J1877)+N($K1877)+N($L1877)-N($M1877)+N($N1877))</f>
        <v/>
      </c>
      <c r="P1877" s="47" t="n"/>
      <c r="Q1877" s="43">
        <f>IF($B1877="","",N($O1877)-N($P1877))</f>
        <v/>
      </c>
      <c r="R1877" s="47" t="n"/>
      <c r="S1877" s="47" t="n"/>
      <c r="T1877" s="47" t="n"/>
      <c r="U1877" s="43">
        <f>IF($B1877="","",N($J1877)-N($R1877)-N($T1877))</f>
        <v/>
      </c>
      <c r="V1877" s="47" t="n"/>
    </row>
    <row r="1878">
      <c r="A1878" s="39">
        <f>IF($B1878="","",COUNTA($B$4:$B1878))</f>
        <v/>
      </c>
      <c r="B1878" s="40" t="n"/>
      <c r="C1878" s="41" t="n"/>
      <c r="D1878" s="41" t="n"/>
      <c r="E1878" s="41" t="n"/>
      <c r="F1878" s="41" t="n"/>
      <c r="G1878" s="41" t="n"/>
      <c r="H1878" s="41" t="n"/>
      <c r="I1878" s="50" t="n"/>
      <c r="J1878" s="42" t="n"/>
      <c r="K1878" s="42" t="n"/>
      <c r="L1878" s="43">
        <f>IF($B1878="","",ROUND((N($J1878)+N($K1878))*نسبة_القيمة_المضافة,2))</f>
        <v/>
      </c>
      <c r="M1878" s="42" t="n"/>
      <c r="N1878" s="42" t="n"/>
      <c r="O1878" s="43">
        <f>IF($B1878="","",N($J1878)+N($K1878)+N($L1878)-N($M1878)+N($N1878))</f>
        <v/>
      </c>
      <c r="P1878" s="42" t="n"/>
      <c r="Q1878" s="43">
        <f>IF($B1878="","",N($O1878)-N($P1878))</f>
        <v/>
      </c>
      <c r="R1878" s="42" t="n"/>
      <c r="S1878" s="42" t="n"/>
      <c r="T1878" s="42" t="n"/>
      <c r="U1878" s="43">
        <f>IF($B1878="","",N($J1878)-N($R1878)-N($T1878))</f>
        <v/>
      </c>
      <c r="V1878" s="42" t="n"/>
    </row>
    <row r="1879">
      <c r="A1879" s="39">
        <f>IF($B1879="","",COUNTA($B$4:$B1879))</f>
        <v/>
      </c>
      <c r="B1879" s="45" t="n"/>
      <c r="C1879" s="46" t="n"/>
      <c r="D1879" s="46" t="n"/>
      <c r="E1879" s="46" t="n"/>
      <c r="F1879" s="46" t="n"/>
      <c r="G1879" s="46" t="n"/>
      <c r="H1879" s="46" t="n"/>
      <c r="I1879" s="51" t="n"/>
      <c r="J1879" s="47" t="n"/>
      <c r="K1879" s="47" t="n"/>
      <c r="L1879" s="43">
        <f>IF($B1879="","",ROUND((N($J1879)+N($K1879))*نسبة_القيمة_المضافة,2))</f>
        <v/>
      </c>
      <c r="M1879" s="47" t="n"/>
      <c r="N1879" s="47" t="n"/>
      <c r="O1879" s="43">
        <f>IF($B1879="","",N($J1879)+N($K1879)+N($L1879)-N($M1879)+N($N1879))</f>
        <v/>
      </c>
      <c r="P1879" s="47" t="n"/>
      <c r="Q1879" s="43">
        <f>IF($B1879="","",N($O1879)-N($P1879))</f>
        <v/>
      </c>
      <c r="R1879" s="47" t="n"/>
      <c r="S1879" s="47" t="n"/>
      <c r="T1879" s="47" t="n"/>
      <c r="U1879" s="43">
        <f>IF($B1879="","",N($J1879)-N($R1879)-N($T1879))</f>
        <v/>
      </c>
      <c r="V1879" s="47" t="n"/>
    </row>
    <row r="1880">
      <c r="A1880" s="39">
        <f>IF($B1880="","",COUNTA($B$4:$B1880))</f>
        <v/>
      </c>
      <c r="B1880" s="40" t="n"/>
      <c r="C1880" s="41" t="n"/>
      <c r="D1880" s="41" t="n"/>
      <c r="E1880" s="41" t="n"/>
      <c r="F1880" s="41" t="n"/>
      <c r="G1880" s="41" t="n"/>
      <c r="H1880" s="41" t="n"/>
      <c r="I1880" s="50" t="n"/>
      <c r="J1880" s="42" t="n"/>
      <c r="K1880" s="42" t="n"/>
      <c r="L1880" s="43">
        <f>IF($B1880="","",ROUND((N($J1880)+N($K1880))*نسبة_القيمة_المضافة,2))</f>
        <v/>
      </c>
      <c r="M1880" s="42" t="n"/>
      <c r="N1880" s="42" t="n"/>
      <c r="O1880" s="43">
        <f>IF($B1880="","",N($J1880)+N($K1880)+N($L1880)-N($M1880)+N($N1880))</f>
        <v/>
      </c>
      <c r="P1880" s="42" t="n"/>
      <c r="Q1880" s="43">
        <f>IF($B1880="","",N($O1880)-N($P1880))</f>
        <v/>
      </c>
      <c r="R1880" s="42" t="n"/>
      <c r="S1880" s="42" t="n"/>
      <c r="T1880" s="42" t="n"/>
      <c r="U1880" s="43">
        <f>IF($B1880="","",N($J1880)-N($R1880)-N($T1880))</f>
        <v/>
      </c>
      <c r="V1880" s="42" t="n"/>
    </row>
    <row r="1881">
      <c r="A1881" s="39">
        <f>IF($B1881="","",COUNTA($B$4:$B1881))</f>
        <v/>
      </c>
      <c r="B1881" s="45" t="n"/>
      <c r="C1881" s="46" t="n"/>
      <c r="D1881" s="46" t="n"/>
      <c r="E1881" s="46" t="n"/>
      <c r="F1881" s="46" t="n"/>
      <c r="G1881" s="46" t="n"/>
      <c r="H1881" s="46" t="n"/>
      <c r="I1881" s="51" t="n"/>
      <c r="J1881" s="47" t="n"/>
      <c r="K1881" s="47" t="n"/>
      <c r="L1881" s="43">
        <f>IF($B1881="","",ROUND((N($J1881)+N($K1881))*نسبة_القيمة_المضافة,2))</f>
        <v/>
      </c>
      <c r="M1881" s="47" t="n"/>
      <c r="N1881" s="47" t="n"/>
      <c r="O1881" s="43">
        <f>IF($B1881="","",N($J1881)+N($K1881)+N($L1881)-N($M1881)+N($N1881))</f>
        <v/>
      </c>
      <c r="P1881" s="47" t="n"/>
      <c r="Q1881" s="43">
        <f>IF($B1881="","",N($O1881)-N($P1881))</f>
        <v/>
      </c>
      <c r="R1881" s="47" t="n"/>
      <c r="S1881" s="47" t="n"/>
      <c r="T1881" s="47" t="n"/>
      <c r="U1881" s="43">
        <f>IF($B1881="","",N($J1881)-N($R1881)-N($T1881))</f>
        <v/>
      </c>
      <c r="V1881" s="47" t="n"/>
    </row>
    <row r="1882">
      <c r="A1882" s="39">
        <f>IF($B1882="","",COUNTA($B$4:$B1882))</f>
        <v/>
      </c>
      <c r="B1882" s="40" t="n"/>
      <c r="C1882" s="41" t="n"/>
      <c r="D1882" s="41" t="n"/>
      <c r="E1882" s="41" t="n"/>
      <c r="F1882" s="41" t="n"/>
      <c r="G1882" s="41" t="n"/>
      <c r="H1882" s="41" t="n"/>
      <c r="I1882" s="50" t="n"/>
      <c r="J1882" s="42" t="n"/>
      <c r="K1882" s="42" t="n"/>
      <c r="L1882" s="43">
        <f>IF($B1882="","",ROUND((N($J1882)+N($K1882))*نسبة_القيمة_المضافة,2))</f>
        <v/>
      </c>
      <c r="M1882" s="42" t="n"/>
      <c r="N1882" s="42" t="n"/>
      <c r="O1882" s="43">
        <f>IF($B1882="","",N($J1882)+N($K1882)+N($L1882)-N($M1882)+N($N1882))</f>
        <v/>
      </c>
      <c r="P1882" s="42" t="n"/>
      <c r="Q1882" s="43">
        <f>IF($B1882="","",N($O1882)-N($P1882))</f>
        <v/>
      </c>
      <c r="R1882" s="42" t="n"/>
      <c r="S1882" s="42" t="n"/>
      <c r="T1882" s="42" t="n"/>
      <c r="U1882" s="43">
        <f>IF($B1882="","",N($J1882)-N($R1882)-N($T1882))</f>
        <v/>
      </c>
      <c r="V1882" s="42" t="n"/>
    </row>
    <row r="1883">
      <c r="A1883" s="39">
        <f>IF($B1883="","",COUNTA($B$4:$B1883))</f>
        <v/>
      </c>
      <c r="B1883" s="45" t="n"/>
      <c r="C1883" s="46" t="n"/>
      <c r="D1883" s="46" t="n"/>
      <c r="E1883" s="46" t="n"/>
      <c r="F1883" s="46" t="n"/>
      <c r="G1883" s="46" t="n"/>
      <c r="H1883" s="46" t="n"/>
      <c r="I1883" s="51" t="n"/>
      <c r="J1883" s="47" t="n"/>
      <c r="K1883" s="47" t="n"/>
      <c r="L1883" s="43">
        <f>IF($B1883="","",ROUND((N($J1883)+N($K1883))*نسبة_القيمة_المضافة,2))</f>
        <v/>
      </c>
      <c r="M1883" s="47" t="n"/>
      <c r="N1883" s="47" t="n"/>
      <c r="O1883" s="43">
        <f>IF($B1883="","",N($J1883)+N($K1883)+N($L1883)-N($M1883)+N($N1883))</f>
        <v/>
      </c>
      <c r="P1883" s="47" t="n"/>
      <c r="Q1883" s="43">
        <f>IF($B1883="","",N($O1883)-N($P1883))</f>
        <v/>
      </c>
      <c r="R1883" s="47" t="n"/>
      <c r="S1883" s="47" t="n"/>
      <c r="T1883" s="47" t="n"/>
      <c r="U1883" s="43">
        <f>IF($B1883="","",N($J1883)-N($R1883)-N($T1883))</f>
        <v/>
      </c>
      <c r="V1883" s="47" t="n"/>
    </row>
    <row r="1884">
      <c r="A1884" s="39">
        <f>IF($B1884="","",COUNTA($B$4:$B1884))</f>
        <v/>
      </c>
      <c r="B1884" s="40" t="n"/>
      <c r="C1884" s="41" t="n"/>
      <c r="D1884" s="41" t="n"/>
      <c r="E1884" s="41" t="n"/>
      <c r="F1884" s="41" t="n"/>
      <c r="G1884" s="41" t="n"/>
      <c r="H1884" s="41" t="n"/>
      <c r="I1884" s="50" t="n"/>
      <c r="J1884" s="42" t="n"/>
      <c r="K1884" s="42" t="n"/>
      <c r="L1884" s="43">
        <f>IF($B1884="","",ROUND((N($J1884)+N($K1884))*نسبة_القيمة_المضافة,2))</f>
        <v/>
      </c>
      <c r="M1884" s="42" t="n"/>
      <c r="N1884" s="42" t="n"/>
      <c r="O1884" s="43">
        <f>IF($B1884="","",N($J1884)+N($K1884)+N($L1884)-N($M1884)+N($N1884))</f>
        <v/>
      </c>
      <c r="P1884" s="42" t="n"/>
      <c r="Q1884" s="43">
        <f>IF($B1884="","",N($O1884)-N($P1884))</f>
        <v/>
      </c>
      <c r="R1884" s="42" t="n"/>
      <c r="S1884" s="42" t="n"/>
      <c r="T1884" s="42" t="n"/>
      <c r="U1884" s="43">
        <f>IF($B1884="","",N($J1884)-N($R1884)-N($T1884))</f>
        <v/>
      </c>
      <c r="V1884" s="42" t="n"/>
    </row>
    <row r="1885">
      <c r="A1885" s="39">
        <f>IF($B1885="","",COUNTA($B$4:$B1885))</f>
        <v/>
      </c>
      <c r="B1885" s="45" t="n"/>
      <c r="C1885" s="46" t="n"/>
      <c r="D1885" s="46" t="n"/>
      <c r="E1885" s="46" t="n"/>
      <c r="F1885" s="46" t="n"/>
      <c r="G1885" s="46" t="n"/>
      <c r="H1885" s="46" t="n"/>
      <c r="I1885" s="51" t="n"/>
      <c r="J1885" s="47" t="n"/>
      <c r="K1885" s="47" t="n"/>
      <c r="L1885" s="43">
        <f>IF($B1885="","",ROUND((N($J1885)+N($K1885))*نسبة_القيمة_المضافة,2))</f>
        <v/>
      </c>
      <c r="M1885" s="47" t="n"/>
      <c r="N1885" s="47" t="n"/>
      <c r="O1885" s="43">
        <f>IF($B1885="","",N($J1885)+N($K1885)+N($L1885)-N($M1885)+N($N1885))</f>
        <v/>
      </c>
      <c r="P1885" s="47" t="n"/>
      <c r="Q1885" s="43">
        <f>IF($B1885="","",N($O1885)-N($P1885))</f>
        <v/>
      </c>
      <c r="R1885" s="47" t="n"/>
      <c r="S1885" s="47" t="n"/>
      <c r="T1885" s="47" t="n"/>
      <c r="U1885" s="43">
        <f>IF($B1885="","",N($J1885)-N($R1885)-N($T1885))</f>
        <v/>
      </c>
      <c r="V1885" s="47" t="n"/>
    </row>
    <row r="1886">
      <c r="A1886" s="39">
        <f>IF($B1886="","",COUNTA($B$4:$B1886))</f>
        <v/>
      </c>
      <c r="B1886" s="40" t="n"/>
      <c r="C1886" s="41" t="n"/>
      <c r="D1886" s="41" t="n"/>
      <c r="E1886" s="41" t="n"/>
      <c r="F1886" s="41" t="n"/>
      <c r="G1886" s="41" t="n"/>
      <c r="H1886" s="41" t="n"/>
      <c r="I1886" s="50" t="n"/>
      <c r="J1886" s="42" t="n"/>
      <c r="K1886" s="42" t="n"/>
      <c r="L1886" s="43">
        <f>IF($B1886="","",ROUND((N($J1886)+N($K1886))*نسبة_القيمة_المضافة,2))</f>
        <v/>
      </c>
      <c r="M1886" s="42" t="n"/>
      <c r="N1886" s="42" t="n"/>
      <c r="O1886" s="43">
        <f>IF($B1886="","",N($J1886)+N($K1886)+N($L1886)-N($M1886)+N($N1886))</f>
        <v/>
      </c>
      <c r="P1886" s="42" t="n"/>
      <c r="Q1886" s="43">
        <f>IF($B1886="","",N($O1886)-N($P1886))</f>
        <v/>
      </c>
      <c r="R1886" s="42" t="n"/>
      <c r="S1886" s="42" t="n"/>
      <c r="T1886" s="42" t="n"/>
      <c r="U1886" s="43">
        <f>IF($B1886="","",N($J1886)-N($R1886)-N($T1886))</f>
        <v/>
      </c>
      <c r="V1886" s="42" t="n"/>
    </row>
    <row r="1887">
      <c r="A1887" s="39">
        <f>IF($B1887="","",COUNTA($B$4:$B1887))</f>
        <v/>
      </c>
      <c r="B1887" s="45" t="n"/>
      <c r="C1887" s="46" t="n"/>
      <c r="D1887" s="46" t="n"/>
      <c r="E1887" s="46" t="n"/>
      <c r="F1887" s="46" t="n"/>
      <c r="G1887" s="46" t="n"/>
      <c r="H1887" s="46" t="n"/>
      <c r="I1887" s="51" t="n"/>
      <c r="J1887" s="47" t="n"/>
      <c r="K1887" s="47" t="n"/>
      <c r="L1887" s="43">
        <f>IF($B1887="","",ROUND((N($J1887)+N($K1887))*نسبة_القيمة_المضافة,2))</f>
        <v/>
      </c>
      <c r="M1887" s="47" t="n"/>
      <c r="N1887" s="47" t="n"/>
      <c r="O1887" s="43">
        <f>IF($B1887="","",N($J1887)+N($K1887)+N($L1887)-N($M1887)+N($N1887))</f>
        <v/>
      </c>
      <c r="P1887" s="47" t="n"/>
      <c r="Q1887" s="43">
        <f>IF($B1887="","",N($O1887)-N($P1887))</f>
        <v/>
      </c>
      <c r="R1887" s="47" t="n"/>
      <c r="S1887" s="47" t="n"/>
      <c r="T1887" s="47" t="n"/>
      <c r="U1887" s="43">
        <f>IF($B1887="","",N($J1887)-N($R1887)-N($T1887))</f>
        <v/>
      </c>
      <c r="V1887" s="47" t="n"/>
    </row>
    <row r="1888">
      <c r="A1888" s="39">
        <f>IF($B1888="","",COUNTA($B$4:$B1888))</f>
        <v/>
      </c>
      <c r="B1888" s="40" t="n"/>
      <c r="C1888" s="41" t="n"/>
      <c r="D1888" s="41" t="n"/>
      <c r="E1888" s="41" t="n"/>
      <c r="F1888" s="41" t="n"/>
      <c r="G1888" s="41" t="n"/>
      <c r="H1888" s="41" t="n"/>
      <c r="I1888" s="50" t="n"/>
      <c r="J1888" s="42" t="n"/>
      <c r="K1888" s="42" t="n"/>
      <c r="L1888" s="43">
        <f>IF($B1888="","",ROUND((N($J1888)+N($K1888))*نسبة_القيمة_المضافة,2))</f>
        <v/>
      </c>
      <c r="M1888" s="42" t="n"/>
      <c r="N1888" s="42" t="n"/>
      <c r="O1888" s="43">
        <f>IF($B1888="","",N($J1888)+N($K1888)+N($L1888)-N($M1888)+N($N1888))</f>
        <v/>
      </c>
      <c r="P1888" s="42" t="n"/>
      <c r="Q1888" s="43">
        <f>IF($B1888="","",N($O1888)-N($P1888))</f>
        <v/>
      </c>
      <c r="R1888" s="42" t="n"/>
      <c r="S1888" s="42" t="n"/>
      <c r="T1888" s="42" t="n"/>
      <c r="U1888" s="43">
        <f>IF($B1888="","",N($J1888)-N($R1888)-N($T1888))</f>
        <v/>
      </c>
      <c r="V1888" s="42" t="n"/>
    </row>
    <row r="1889">
      <c r="A1889" s="39">
        <f>IF($B1889="","",COUNTA($B$4:$B1889))</f>
        <v/>
      </c>
      <c r="B1889" s="45" t="n"/>
      <c r="C1889" s="46" t="n"/>
      <c r="D1889" s="46" t="n"/>
      <c r="E1889" s="46" t="n"/>
      <c r="F1889" s="46" t="n"/>
      <c r="G1889" s="46" t="n"/>
      <c r="H1889" s="46" t="n"/>
      <c r="I1889" s="51" t="n"/>
      <c r="J1889" s="47" t="n"/>
      <c r="K1889" s="47" t="n"/>
      <c r="L1889" s="43">
        <f>IF($B1889="","",ROUND((N($J1889)+N($K1889))*نسبة_القيمة_المضافة,2))</f>
        <v/>
      </c>
      <c r="M1889" s="47" t="n"/>
      <c r="N1889" s="47" t="n"/>
      <c r="O1889" s="43">
        <f>IF($B1889="","",N($J1889)+N($K1889)+N($L1889)-N($M1889)+N($N1889))</f>
        <v/>
      </c>
      <c r="P1889" s="47" t="n"/>
      <c r="Q1889" s="43">
        <f>IF($B1889="","",N($O1889)-N($P1889))</f>
        <v/>
      </c>
      <c r="R1889" s="47" t="n"/>
      <c r="S1889" s="47" t="n"/>
      <c r="T1889" s="47" t="n"/>
      <c r="U1889" s="43">
        <f>IF($B1889="","",N($J1889)-N($R1889)-N($T1889))</f>
        <v/>
      </c>
      <c r="V1889" s="47" t="n"/>
    </row>
    <row r="1890">
      <c r="A1890" s="39">
        <f>IF($B1890="","",COUNTA($B$4:$B1890))</f>
        <v/>
      </c>
      <c r="B1890" s="40" t="n"/>
      <c r="C1890" s="41" t="n"/>
      <c r="D1890" s="41" t="n"/>
      <c r="E1890" s="41" t="n"/>
      <c r="F1890" s="41" t="n"/>
      <c r="G1890" s="41" t="n"/>
      <c r="H1890" s="41" t="n"/>
      <c r="I1890" s="50" t="n"/>
      <c r="J1890" s="42" t="n"/>
      <c r="K1890" s="42" t="n"/>
      <c r="L1890" s="43">
        <f>IF($B1890="","",ROUND((N($J1890)+N($K1890))*نسبة_القيمة_المضافة,2))</f>
        <v/>
      </c>
      <c r="M1890" s="42" t="n"/>
      <c r="N1890" s="42" t="n"/>
      <c r="O1890" s="43">
        <f>IF($B1890="","",N($J1890)+N($K1890)+N($L1890)-N($M1890)+N($N1890))</f>
        <v/>
      </c>
      <c r="P1890" s="42" t="n"/>
      <c r="Q1890" s="43">
        <f>IF($B1890="","",N($O1890)-N($P1890))</f>
        <v/>
      </c>
      <c r="R1890" s="42" t="n"/>
      <c r="S1890" s="42" t="n"/>
      <c r="T1890" s="42" t="n"/>
      <c r="U1890" s="43">
        <f>IF($B1890="","",N($J1890)-N($R1890)-N($T1890))</f>
        <v/>
      </c>
      <c r="V1890" s="42" t="n"/>
    </row>
    <row r="1891">
      <c r="A1891" s="39">
        <f>IF($B1891="","",COUNTA($B$4:$B1891))</f>
        <v/>
      </c>
      <c r="B1891" s="45" t="n"/>
      <c r="C1891" s="46" t="n"/>
      <c r="D1891" s="46" t="n"/>
      <c r="E1891" s="46" t="n"/>
      <c r="F1891" s="46" t="n"/>
      <c r="G1891" s="46" t="n"/>
      <c r="H1891" s="46" t="n"/>
      <c r="I1891" s="51" t="n"/>
      <c r="J1891" s="47" t="n"/>
      <c r="K1891" s="47" t="n"/>
      <c r="L1891" s="43">
        <f>IF($B1891="","",ROUND((N($J1891)+N($K1891))*نسبة_القيمة_المضافة,2))</f>
        <v/>
      </c>
      <c r="M1891" s="47" t="n"/>
      <c r="N1891" s="47" t="n"/>
      <c r="O1891" s="43">
        <f>IF($B1891="","",N($J1891)+N($K1891)+N($L1891)-N($M1891)+N($N1891))</f>
        <v/>
      </c>
      <c r="P1891" s="47" t="n"/>
      <c r="Q1891" s="43">
        <f>IF($B1891="","",N($O1891)-N($P1891))</f>
        <v/>
      </c>
      <c r="R1891" s="47" t="n"/>
      <c r="S1891" s="47" t="n"/>
      <c r="T1891" s="47" t="n"/>
      <c r="U1891" s="43">
        <f>IF($B1891="","",N($J1891)-N($R1891)-N($T1891))</f>
        <v/>
      </c>
      <c r="V1891" s="47" t="n"/>
    </row>
    <row r="1892">
      <c r="A1892" s="39">
        <f>IF($B1892="","",COUNTA($B$4:$B1892))</f>
        <v/>
      </c>
      <c r="B1892" s="40" t="n"/>
      <c r="C1892" s="41" t="n"/>
      <c r="D1892" s="41" t="n"/>
      <c r="E1892" s="41" t="n"/>
      <c r="F1892" s="41" t="n"/>
      <c r="G1892" s="41" t="n"/>
      <c r="H1892" s="41" t="n"/>
      <c r="I1892" s="50" t="n"/>
      <c r="J1892" s="42" t="n"/>
      <c r="K1892" s="42" t="n"/>
      <c r="L1892" s="43">
        <f>IF($B1892="","",ROUND((N($J1892)+N($K1892))*نسبة_القيمة_المضافة,2))</f>
        <v/>
      </c>
      <c r="M1892" s="42" t="n"/>
      <c r="N1892" s="42" t="n"/>
      <c r="O1892" s="43">
        <f>IF($B1892="","",N($J1892)+N($K1892)+N($L1892)-N($M1892)+N($N1892))</f>
        <v/>
      </c>
      <c r="P1892" s="42" t="n"/>
      <c r="Q1892" s="43">
        <f>IF($B1892="","",N($O1892)-N($P1892))</f>
        <v/>
      </c>
      <c r="R1892" s="42" t="n"/>
      <c r="S1892" s="42" t="n"/>
      <c r="T1892" s="42" t="n"/>
      <c r="U1892" s="43">
        <f>IF($B1892="","",N($J1892)-N($R1892)-N($T1892))</f>
        <v/>
      </c>
      <c r="V1892" s="42" t="n"/>
    </row>
    <row r="1893">
      <c r="A1893" s="39">
        <f>IF($B1893="","",COUNTA($B$4:$B1893))</f>
        <v/>
      </c>
      <c r="B1893" s="45" t="n"/>
      <c r="C1893" s="46" t="n"/>
      <c r="D1893" s="46" t="n"/>
      <c r="E1893" s="46" t="n"/>
      <c r="F1893" s="46" t="n"/>
      <c r="G1893" s="46" t="n"/>
      <c r="H1893" s="46" t="n"/>
      <c r="I1893" s="51" t="n"/>
      <c r="J1893" s="47" t="n"/>
      <c r="K1893" s="47" t="n"/>
      <c r="L1893" s="43">
        <f>IF($B1893="","",ROUND((N($J1893)+N($K1893))*نسبة_القيمة_المضافة,2))</f>
        <v/>
      </c>
      <c r="M1893" s="47" t="n"/>
      <c r="N1893" s="47" t="n"/>
      <c r="O1893" s="43">
        <f>IF($B1893="","",N($J1893)+N($K1893)+N($L1893)-N($M1893)+N($N1893))</f>
        <v/>
      </c>
      <c r="P1893" s="47" t="n"/>
      <c r="Q1893" s="43">
        <f>IF($B1893="","",N($O1893)-N($P1893))</f>
        <v/>
      </c>
      <c r="R1893" s="47" t="n"/>
      <c r="S1893" s="47" t="n"/>
      <c r="T1893" s="47" t="n"/>
      <c r="U1893" s="43">
        <f>IF($B1893="","",N($J1893)-N($R1893)-N($T1893))</f>
        <v/>
      </c>
      <c r="V1893" s="47" t="n"/>
    </row>
    <row r="1894">
      <c r="A1894" s="39">
        <f>IF($B1894="","",COUNTA($B$4:$B1894))</f>
        <v/>
      </c>
      <c r="B1894" s="40" t="n"/>
      <c r="C1894" s="41" t="n"/>
      <c r="D1894" s="41" t="n"/>
      <c r="E1894" s="41" t="n"/>
      <c r="F1894" s="41" t="n"/>
      <c r="G1894" s="41" t="n"/>
      <c r="H1894" s="41" t="n"/>
      <c r="I1894" s="50" t="n"/>
      <c r="J1894" s="42" t="n"/>
      <c r="K1894" s="42" t="n"/>
      <c r="L1894" s="43">
        <f>IF($B1894="","",ROUND((N($J1894)+N($K1894))*نسبة_القيمة_المضافة,2))</f>
        <v/>
      </c>
      <c r="M1894" s="42" t="n"/>
      <c r="N1894" s="42" t="n"/>
      <c r="O1894" s="43">
        <f>IF($B1894="","",N($J1894)+N($K1894)+N($L1894)-N($M1894)+N($N1894))</f>
        <v/>
      </c>
      <c r="P1894" s="42" t="n"/>
      <c r="Q1894" s="43">
        <f>IF($B1894="","",N($O1894)-N($P1894))</f>
        <v/>
      </c>
      <c r="R1894" s="42" t="n"/>
      <c r="S1894" s="42" t="n"/>
      <c r="T1894" s="42" t="n"/>
      <c r="U1894" s="43">
        <f>IF($B1894="","",N($J1894)-N($R1894)-N($T1894))</f>
        <v/>
      </c>
      <c r="V1894" s="42" t="n"/>
    </row>
    <row r="1895">
      <c r="A1895" s="39">
        <f>IF($B1895="","",COUNTA($B$4:$B1895))</f>
        <v/>
      </c>
      <c r="B1895" s="45" t="n"/>
      <c r="C1895" s="46" t="n"/>
      <c r="D1895" s="46" t="n"/>
      <c r="E1895" s="46" t="n"/>
      <c r="F1895" s="46" t="n"/>
      <c r="G1895" s="46" t="n"/>
      <c r="H1895" s="46" t="n"/>
      <c r="I1895" s="51" t="n"/>
      <c r="J1895" s="47" t="n"/>
      <c r="K1895" s="47" t="n"/>
      <c r="L1895" s="43">
        <f>IF($B1895="","",ROUND((N($J1895)+N($K1895))*نسبة_القيمة_المضافة,2))</f>
        <v/>
      </c>
      <c r="M1895" s="47" t="n"/>
      <c r="N1895" s="47" t="n"/>
      <c r="O1895" s="43">
        <f>IF($B1895="","",N($J1895)+N($K1895)+N($L1895)-N($M1895)+N($N1895))</f>
        <v/>
      </c>
      <c r="P1895" s="47" t="n"/>
      <c r="Q1895" s="43">
        <f>IF($B1895="","",N($O1895)-N($P1895))</f>
        <v/>
      </c>
      <c r="R1895" s="47" t="n"/>
      <c r="S1895" s="47" t="n"/>
      <c r="T1895" s="47" t="n"/>
      <c r="U1895" s="43">
        <f>IF($B1895="","",N($J1895)-N($R1895)-N($T1895))</f>
        <v/>
      </c>
      <c r="V1895" s="47" t="n"/>
    </row>
    <row r="1896">
      <c r="A1896" s="39">
        <f>IF($B1896="","",COUNTA($B$4:$B1896))</f>
        <v/>
      </c>
      <c r="B1896" s="40" t="n"/>
      <c r="C1896" s="41" t="n"/>
      <c r="D1896" s="41" t="n"/>
      <c r="E1896" s="41" t="n"/>
      <c r="F1896" s="41" t="n"/>
      <c r="G1896" s="41" t="n"/>
      <c r="H1896" s="41" t="n"/>
      <c r="I1896" s="50" t="n"/>
      <c r="J1896" s="42" t="n"/>
      <c r="K1896" s="42" t="n"/>
      <c r="L1896" s="43">
        <f>IF($B1896="","",ROUND((N($J1896)+N($K1896))*نسبة_القيمة_المضافة,2))</f>
        <v/>
      </c>
      <c r="M1896" s="42" t="n"/>
      <c r="N1896" s="42" t="n"/>
      <c r="O1896" s="43">
        <f>IF($B1896="","",N($J1896)+N($K1896)+N($L1896)-N($M1896)+N($N1896))</f>
        <v/>
      </c>
      <c r="P1896" s="42" t="n"/>
      <c r="Q1896" s="43">
        <f>IF($B1896="","",N($O1896)-N($P1896))</f>
        <v/>
      </c>
      <c r="R1896" s="42" t="n"/>
      <c r="S1896" s="42" t="n"/>
      <c r="T1896" s="42" t="n"/>
      <c r="U1896" s="43">
        <f>IF($B1896="","",N($J1896)-N($R1896)-N($T1896))</f>
        <v/>
      </c>
      <c r="V1896" s="42" t="n"/>
    </row>
    <row r="1897">
      <c r="A1897" s="39">
        <f>IF($B1897="","",COUNTA($B$4:$B1897))</f>
        <v/>
      </c>
      <c r="B1897" s="45" t="n"/>
      <c r="C1897" s="46" t="n"/>
      <c r="D1897" s="46" t="n"/>
      <c r="E1897" s="46" t="n"/>
      <c r="F1897" s="46" t="n"/>
      <c r="G1897" s="46" t="n"/>
      <c r="H1897" s="46" t="n"/>
      <c r="I1897" s="51" t="n"/>
      <c r="J1897" s="47" t="n"/>
      <c r="K1897" s="47" t="n"/>
      <c r="L1897" s="43">
        <f>IF($B1897="","",ROUND((N($J1897)+N($K1897))*نسبة_القيمة_المضافة,2))</f>
        <v/>
      </c>
      <c r="M1897" s="47" t="n"/>
      <c r="N1897" s="47" t="n"/>
      <c r="O1897" s="43">
        <f>IF($B1897="","",N($J1897)+N($K1897)+N($L1897)-N($M1897)+N($N1897))</f>
        <v/>
      </c>
      <c r="P1897" s="47" t="n"/>
      <c r="Q1897" s="43">
        <f>IF($B1897="","",N($O1897)-N($P1897))</f>
        <v/>
      </c>
      <c r="R1897" s="47" t="n"/>
      <c r="S1897" s="47" t="n"/>
      <c r="T1897" s="47" t="n"/>
      <c r="U1897" s="43">
        <f>IF($B1897="","",N($J1897)-N($R1897)-N($T1897))</f>
        <v/>
      </c>
      <c r="V1897" s="47" t="n"/>
    </row>
    <row r="1898">
      <c r="A1898" s="39">
        <f>IF($B1898="","",COUNTA($B$4:$B1898))</f>
        <v/>
      </c>
      <c r="B1898" s="40" t="n"/>
      <c r="C1898" s="41" t="n"/>
      <c r="D1898" s="41" t="n"/>
      <c r="E1898" s="41" t="n"/>
      <c r="F1898" s="41" t="n"/>
      <c r="G1898" s="41" t="n"/>
      <c r="H1898" s="41" t="n"/>
      <c r="I1898" s="50" t="n"/>
      <c r="J1898" s="42" t="n"/>
      <c r="K1898" s="42" t="n"/>
      <c r="L1898" s="43">
        <f>IF($B1898="","",ROUND((N($J1898)+N($K1898))*نسبة_القيمة_المضافة,2))</f>
        <v/>
      </c>
      <c r="M1898" s="42" t="n"/>
      <c r="N1898" s="42" t="n"/>
      <c r="O1898" s="43">
        <f>IF($B1898="","",N($J1898)+N($K1898)+N($L1898)-N($M1898)+N($N1898))</f>
        <v/>
      </c>
      <c r="P1898" s="42" t="n"/>
      <c r="Q1898" s="43">
        <f>IF($B1898="","",N($O1898)-N($P1898))</f>
        <v/>
      </c>
      <c r="R1898" s="42" t="n"/>
      <c r="S1898" s="42" t="n"/>
      <c r="T1898" s="42" t="n"/>
      <c r="U1898" s="43">
        <f>IF($B1898="","",N($J1898)-N($R1898)-N($T1898))</f>
        <v/>
      </c>
      <c r="V1898" s="42" t="n"/>
    </row>
    <row r="1899">
      <c r="A1899" s="39">
        <f>IF($B1899="","",COUNTA($B$4:$B1899))</f>
        <v/>
      </c>
      <c r="B1899" s="45" t="n"/>
      <c r="C1899" s="46" t="n"/>
      <c r="D1899" s="46" t="n"/>
      <c r="E1899" s="46" t="n"/>
      <c r="F1899" s="46" t="n"/>
      <c r="G1899" s="46" t="n"/>
      <c r="H1899" s="46" t="n"/>
      <c r="I1899" s="51" t="n"/>
      <c r="J1899" s="47" t="n"/>
      <c r="K1899" s="47" t="n"/>
      <c r="L1899" s="43">
        <f>IF($B1899="","",ROUND((N($J1899)+N($K1899))*نسبة_القيمة_المضافة,2))</f>
        <v/>
      </c>
      <c r="M1899" s="47" t="n"/>
      <c r="N1899" s="47" t="n"/>
      <c r="O1899" s="43">
        <f>IF($B1899="","",N($J1899)+N($K1899)+N($L1899)-N($M1899)+N($N1899))</f>
        <v/>
      </c>
      <c r="P1899" s="47" t="n"/>
      <c r="Q1899" s="43">
        <f>IF($B1899="","",N($O1899)-N($P1899))</f>
        <v/>
      </c>
      <c r="R1899" s="47" t="n"/>
      <c r="S1899" s="47" t="n"/>
      <c r="T1899" s="47" t="n"/>
      <c r="U1899" s="43">
        <f>IF($B1899="","",N($J1899)-N($R1899)-N($T1899))</f>
        <v/>
      </c>
      <c r="V1899" s="47" t="n"/>
    </row>
    <row r="1900">
      <c r="A1900" s="39">
        <f>IF($B1900="","",COUNTA($B$4:$B1900))</f>
        <v/>
      </c>
      <c r="B1900" s="40" t="n"/>
      <c r="C1900" s="41" t="n"/>
      <c r="D1900" s="41" t="n"/>
      <c r="E1900" s="41" t="n"/>
      <c r="F1900" s="41" t="n"/>
      <c r="G1900" s="41" t="n"/>
      <c r="H1900" s="41" t="n"/>
      <c r="I1900" s="50" t="n"/>
      <c r="J1900" s="42" t="n"/>
      <c r="K1900" s="42" t="n"/>
      <c r="L1900" s="43">
        <f>IF($B1900="","",ROUND((N($J1900)+N($K1900))*نسبة_القيمة_المضافة,2))</f>
        <v/>
      </c>
      <c r="M1900" s="42" t="n"/>
      <c r="N1900" s="42" t="n"/>
      <c r="O1900" s="43">
        <f>IF($B1900="","",N($J1900)+N($K1900)+N($L1900)-N($M1900)+N($N1900))</f>
        <v/>
      </c>
      <c r="P1900" s="42" t="n"/>
      <c r="Q1900" s="43">
        <f>IF($B1900="","",N($O1900)-N($P1900))</f>
        <v/>
      </c>
      <c r="R1900" s="42" t="n"/>
      <c r="S1900" s="42" t="n"/>
      <c r="T1900" s="42" t="n"/>
      <c r="U1900" s="43">
        <f>IF($B1900="","",N($J1900)-N($R1900)-N($T1900))</f>
        <v/>
      </c>
      <c r="V1900" s="42" t="n"/>
    </row>
    <row r="1901">
      <c r="A1901" s="39">
        <f>IF($B1901="","",COUNTA($B$4:$B1901))</f>
        <v/>
      </c>
      <c r="B1901" s="45" t="n"/>
      <c r="C1901" s="46" t="n"/>
      <c r="D1901" s="46" t="n"/>
      <c r="E1901" s="46" t="n"/>
      <c r="F1901" s="46" t="n"/>
      <c r="G1901" s="46" t="n"/>
      <c r="H1901" s="46" t="n"/>
      <c r="I1901" s="51" t="n"/>
      <c r="J1901" s="47" t="n"/>
      <c r="K1901" s="47" t="n"/>
      <c r="L1901" s="43">
        <f>IF($B1901="","",ROUND((N($J1901)+N($K1901))*نسبة_القيمة_المضافة,2))</f>
        <v/>
      </c>
      <c r="M1901" s="47" t="n"/>
      <c r="N1901" s="47" t="n"/>
      <c r="O1901" s="43">
        <f>IF($B1901="","",N($J1901)+N($K1901)+N($L1901)-N($M1901)+N($N1901))</f>
        <v/>
      </c>
      <c r="P1901" s="47" t="n"/>
      <c r="Q1901" s="43">
        <f>IF($B1901="","",N($O1901)-N($P1901))</f>
        <v/>
      </c>
      <c r="R1901" s="47" t="n"/>
      <c r="S1901" s="47" t="n"/>
      <c r="T1901" s="47" t="n"/>
      <c r="U1901" s="43">
        <f>IF($B1901="","",N($J1901)-N($R1901)-N($T1901))</f>
        <v/>
      </c>
      <c r="V1901" s="47" t="n"/>
    </row>
    <row r="1902">
      <c r="A1902" s="39">
        <f>IF($B1902="","",COUNTA($B$4:$B1902))</f>
        <v/>
      </c>
      <c r="B1902" s="40" t="n"/>
      <c r="C1902" s="41" t="n"/>
      <c r="D1902" s="41" t="n"/>
      <c r="E1902" s="41" t="n"/>
      <c r="F1902" s="41" t="n"/>
      <c r="G1902" s="41" t="n"/>
      <c r="H1902" s="41" t="n"/>
      <c r="I1902" s="50" t="n"/>
      <c r="J1902" s="42" t="n"/>
      <c r="K1902" s="42" t="n"/>
      <c r="L1902" s="43">
        <f>IF($B1902="","",ROUND((N($J1902)+N($K1902))*نسبة_القيمة_المضافة,2))</f>
        <v/>
      </c>
      <c r="M1902" s="42" t="n"/>
      <c r="N1902" s="42" t="n"/>
      <c r="O1902" s="43">
        <f>IF($B1902="","",N($J1902)+N($K1902)+N($L1902)-N($M1902)+N($N1902))</f>
        <v/>
      </c>
      <c r="P1902" s="42" t="n"/>
      <c r="Q1902" s="43">
        <f>IF($B1902="","",N($O1902)-N($P1902))</f>
        <v/>
      </c>
      <c r="R1902" s="42" t="n"/>
      <c r="S1902" s="42" t="n"/>
      <c r="T1902" s="42" t="n"/>
      <c r="U1902" s="43">
        <f>IF($B1902="","",N($J1902)-N($R1902)-N($T1902))</f>
        <v/>
      </c>
      <c r="V1902" s="42" t="n"/>
    </row>
    <row r="1903">
      <c r="A1903" s="39">
        <f>IF($B1903="","",COUNTA($B$4:$B1903))</f>
        <v/>
      </c>
      <c r="B1903" s="45" t="n"/>
      <c r="C1903" s="46" t="n"/>
      <c r="D1903" s="46" t="n"/>
      <c r="E1903" s="46" t="n"/>
      <c r="F1903" s="46" t="n"/>
      <c r="G1903" s="46" t="n"/>
      <c r="H1903" s="46" t="n"/>
      <c r="I1903" s="51" t="n"/>
      <c r="J1903" s="47" t="n"/>
      <c r="K1903" s="47" t="n"/>
      <c r="L1903" s="43">
        <f>IF($B1903="","",ROUND((N($J1903)+N($K1903))*نسبة_القيمة_المضافة,2))</f>
        <v/>
      </c>
      <c r="M1903" s="47" t="n"/>
      <c r="N1903" s="47" t="n"/>
      <c r="O1903" s="43">
        <f>IF($B1903="","",N($J1903)+N($K1903)+N($L1903)-N($M1903)+N($N1903))</f>
        <v/>
      </c>
      <c r="P1903" s="47" t="n"/>
      <c r="Q1903" s="43">
        <f>IF($B1903="","",N($O1903)-N($P1903))</f>
        <v/>
      </c>
      <c r="R1903" s="47" t="n"/>
      <c r="S1903" s="47" t="n"/>
      <c r="T1903" s="47" t="n"/>
      <c r="U1903" s="43">
        <f>IF($B1903="","",N($J1903)-N($R1903)-N($T1903))</f>
        <v/>
      </c>
      <c r="V1903" s="47" t="n"/>
    </row>
    <row r="1904">
      <c r="A1904" s="39">
        <f>IF($B1904="","",COUNTA($B$4:$B1904))</f>
        <v/>
      </c>
      <c r="B1904" s="40" t="n"/>
      <c r="C1904" s="41" t="n"/>
      <c r="D1904" s="41" t="n"/>
      <c r="E1904" s="41" t="n"/>
      <c r="F1904" s="41" t="n"/>
      <c r="G1904" s="41" t="n"/>
      <c r="H1904" s="41" t="n"/>
      <c r="I1904" s="50" t="n"/>
      <c r="J1904" s="42" t="n"/>
      <c r="K1904" s="42" t="n"/>
      <c r="L1904" s="43">
        <f>IF($B1904="","",ROUND((N($J1904)+N($K1904))*نسبة_القيمة_المضافة,2))</f>
        <v/>
      </c>
      <c r="M1904" s="42" t="n"/>
      <c r="N1904" s="42" t="n"/>
      <c r="O1904" s="43">
        <f>IF($B1904="","",N($J1904)+N($K1904)+N($L1904)-N($M1904)+N($N1904))</f>
        <v/>
      </c>
      <c r="P1904" s="42" t="n"/>
      <c r="Q1904" s="43">
        <f>IF($B1904="","",N($O1904)-N($P1904))</f>
        <v/>
      </c>
      <c r="R1904" s="42" t="n"/>
      <c r="S1904" s="42" t="n"/>
      <c r="T1904" s="42" t="n"/>
      <c r="U1904" s="43">
        <f>IF($B1904="","",N($J1904)-N($R1904)-N($T1904))</f>
        <v/>
      </c>
      <c r="V1904" s="42" t="n"/>
    </row>
    <row r="1905">
      <c r="A1905" s="39">
        <f>IF($B1905="","",COUNTA($B$4:$B1905))</f>
        <v/>
      </c>
      <c r="B1905" s="45" t="n"/>
      <c r="C1905" s="46" t="n"/>
      <c r="D1905" s="46" t="n"/>
      <c r="E1905" s="46" t="n"/>
      <c r="F1905" s="46" t="n"/>
      <c r="G1905" s="46" t="n"/>
      <c r="H1905" s="46" t="n"/>
      <c r="I1905" s="51" t="n"/>
      <c r="J1905" s="47" t="n"/>
      <c r="K1905" s="47" t="n"/>
      <c r="L1905" s="43">
        <f>IF($B1905="","",ROUND((N($J1905)+N($K1905))*نسبة_القيمة_المضافة,2))</f>
        <v/>
      </c>
      <c r="M1905" s="47" t="n"/>
      <c r="N1905" s="47" t="n"/>
      <c r="O1905" s="43">
        <f>IF($B1905="","",N($J1905)+N($K1905)+N($L1905)-N($M1905)+N($N1905))</f>
        <v/>
      </c>
      <c r="P1905" s="47" t="n"/>
      <c r="Q1905" s="43">
        <f>IF($B1905="","",N($O1905)-N($P1905))</f>
        <v/>
      </c>
      <c r="R1905" s="47" t="n"/>
      <c r="S1905" s="47" t="n"/>
      <c r="T1905" s="47" t="n"/>
      <c r="U1905" s="43">
        <f>IF($B1905="","",N($J1905)-N($R1905)-N($T1905))</f>
        <v/>
      </c>
      <c r="V1905" s="47" t="n"/>
    </row>
    <row r="1906">
      <c r="A1906" s="39">
        <f>IF($B1906="","",COUNTA($B$4:$B1906))</f>
        <v/>
      </c>
      <c r="B1906" s="40" t="n"/>
      <c r="C1906" s="41" t="n"/>
      <c r="D1906" s="41" t="n"/>
      <c r="E1906" s="41" t="n"/>
      <c r="F1906" s="41" t="n"/>
      <c r="G1906" s="41" t="n"/>
      <c r="H1906" s="41" t="n"/>
      <c r="I1906" s="50" t="n"/>
      <c r="J1906" s="42" t="n"/>
      <c r="K1906" s="42" t="n"/>
      <c r="L1906" s="43">
        <f>IF($B1906="","",ROUND((N($J1906)+N($K1906))*نسبة_القيمة_المضافة,2))</f>
        <v/>
      </c>
      <c r="M1906" s="42" t="n"/>
      <c r="N1906" s="42" t="n"/>
      <c r="O1906" s="43">
        <f>IF($B1906="","",N($J1906)+N($K1906)+N($L1906)-N($M1906)+N($N1906))</f>
        <v/>
      </c>
      <c r="P1906" s="42" t="n"/>
      <c r="Q1906" s="43">
        <f>IF($B1906="","",N($O1906)-N($P1906))</f>
        <v/>
      </c>
      <c r="R1906" s="42" t="n"/>
      <c r="S1906" s="42" t="n"/>
      <c r="T1906" s="42" t="n"/>
      <c r="U1906" s="43">
        <f>IF($B1906="","",N($J1906)-N($R1906)-N($T1906))</f>
        <v/>
      </c>
      <c r="V1906" s="42" t="n"/>
    </row>
    <row r="1907">
      <c r="A1907" s="39">
        <f>IF($B1907="","",COUNTA($B$4:$B1907))</f>
        <v/>
      </c>
      <c r="B1907" s="45" t="n"/>
      <c r="C1907" s="46" t="n"/>
      <c r="D1907" s="46" t="n"/>
      <c r="E1907" s="46" t="n"/>
      <c r="F1907" s="46" t="n"/>
      <c r="G1907" s="46" t="n"/>
      <c r="H1907" s="46" t="n"/>
      <c r="I1907" s="51" t="n"/>
      <c r="J1907" s="47" t="n"/>
      <c r="K1907" s="47" t="n"/>
      <c r="L1907" s="43">
        <f>IF($B1907="","",ROUND((N($J1907)+N($K1907))*نسبة_القيمة_المضافة,2))</f>
        <v/>
      </c>
      <c r="M1907" s="47" t="n"/>
      <c r="N1907" s="47" t="n"/>
      <c r="O1907" s="43">
        <f>IF($B1907="","",N($J1907)+N($K1907)+N($L1907)-N($M1907)+N($N1907))</f>
        <v/>
      </c>
      <c r="P1907" s="47" t="n"/>
      <c r="Q1907" s="43">
        <f>IF($B1907="","",N($O1907)-N($P1907))</f>
        <v/>
      </c>
      <c r="R1907" s="47" t="n"/>
      <c r="S1907" s="47" t="n"/>
      <c r="T1907" s="47" t="n"/>
      <c r="U1907" s="43">
        <f>IF($B1907="","",N($J1907)-N($R1907)-N($T1907))</f>
        <v/>
      </c>
      <c r="V1907" s="47" t="n"/>
    </row>
    <row r="1908">
      <c r="A1908" s="39">
        <f>IF($B1908="","",COUNTA($B$4:$B1908))</f>
        <v/>
      </c>
      <c r="B1908" s="40" t="n"/>
      <c r="C1908" s="41" t="n"/>
      <c r="D1908" s="41" t="n"/>
      <c r="E1908" s="41" t="n"/>
      <c r="F1908" s="41" t="n"/>
      <c r="G1908" s="41" t="n"/>
      <c r="H1908" s="41" t="n"/>
      <c r="I1908" s="50" t="n"/>
      <c r="J1908" s="42" t="n"/>
      <c r="K1908" s="42" t="n"/>
      <c r="L1908" s="43">
        <f>IF($B1908="","",ROUND((N($J1908)+N($K1908))*نسبة_القيمة_المضافة,2))</f>
        <v/>
      </c>
      <c r="M1908" s="42" t="n"/>
      <c r="N1908" s="42" t="n"/>
      <c r="O1908" s="43">
        <f>IF($B1908="","",N($J1908)+N($K1908)+N($L1908)-N($M1908)+N($N1908))</f>
        <v/>
      </c>
      <c r="P1908" s="42" t="n"/>
      <c r="Q1908" s="43">
        <f>IF($B1908="","",N($O1908)-N($P1908))</f>
        <v/>
      </c>
      <c r="R1908" s="42" t="n"/>
      <c r="S1908" s="42" t="n"/>
      <c r="T1908" s="42" t="n"/>
      <c r="U1908" s="43">
        <f>IF($B1908="","",N($J1908)-N($R1908)-N($T1908))</f>
        <v/>
      </c>
      <c r="V1908" s="42" t="n"/>
    </row>
    <row r="1909">
      <c r="A1909" s="39">
        <f>IF($B1909="","",COUNTA($B$4:$B1909))</f>
        <v/>
      </c>
      <c r="B1909" s="45" t="n"/>
      <c r="C1909" s="46" t="n"/>
      <c r="D1909" s="46" t="n"/>
      <c r="E1909" s="46" t="n"/>
      <c r="F1909" s="46" t="n"/>
      <c r="G1909" s="46" t="n"/>
      <c r="H1909" s="46" t="n"/>
      <c r="I1909" s="51" t="n"/>
      <c r="J1909" s="47" t="n"/>
      <c r="K1909" s="47" t="n"/>
      <c r="L1909" s="43">
        <f>IF($B1909="","",ROUND((N($J1909)+N($K1909))*نسبة_القيمة_المضافة,2))</f>
        <v/>
      </c>
      <c r="M1909" s="47" t="n"/>
      <c r="N1909" s="47" t="n"/>
      <c r="O1909" s="43">
        <f>IF($B1909="","",N($J1909)+N($K1909)+N($L1909)-N($M1909)+N($N1909))</f>
        <v/>
      </c>
      <c r="P1909" s="47" t="n"/>
      <c r="Q1909" s="43">
        <f>IF($B1909="","",N($O1909)-N($P1909))</f>
        <v/>
      </c>
      <c r="R1909" s="47" t="n"/>
      <c r="S1909" s="47" t="n"/>
      <c r="T1909" s="47" t="n"/>
      <c r="U1909" s="43">
        <f>IF($B1909="","",N($J1909)-N($R1909)-N($T1909))</f>
        <v/>
      </c>
      <c r="V1909" s="47" t="n"/>
    </row>
    <row r="1910">
      <c r="A1910" s="39">
        <f>IF($B1910="","",COUNTA($B$4:$B1910))</f>
        <v/>
      </c>
      <c r="B1910" s="40" t="n"/>
      <c r="C1910" s="41" t="n"/>
      <c r="D1910" s="41" t="n"/>
      <c r="E1910" s="41" t="n"/>
      <c r="F1910" s="41" t="n"/>
      <c r="G1910" s="41" t="n"/>
      <c r="H1910" s="41" t="n"/>
      <c r="I1910" s="50" t="n"/>
      <c r="J1910" s="42" t="n"/>
      <c r="K1910" s="42" t="n"/>
      <c r="L1910" s="43">
        <f>IF($B1910="","",ROUND((N($J1910)+N($K1910))*نسبة_القيمة_المضافة,2))</f>
        <v/>
      </c>
      <c r="M1910" s="42" t="n"/>
      <c r="N1910" s="42" t="n"/>
      <c r="O1910" s="43">
        <f>IF($B1910="","",N($J1910)+N($K1910)+N($L1910)-N($M1910)+N($N1910))</f>
        <v/>
      </c>
      <c r="P1910" s="42" t="n"/>
      <c r="Q1910" s="43">
        <f>IF($B1910="","",N($O1910)-N($P1910))</f>
        <v/>
      </c>
      <c r="R1910" s="42" t="n"/>
      <c r="S1910" s="42" t="n"/>
      <c r="T1910" s="42" t="n"/>
      <c r="U1910" s="43">
        <f>IF($B1910="","",N($J1910)-N($R1910)-N($T1910))</f>
        <v/>
      </c>
      <c r="V1910" s="42" t="n"/>
    </row>
    <row r="1911">
      <c r="A1911" s="39">
        <f>IF($B1911="","",COUNTA($B$4:$B1911))</f>
        <v/>
      </c>
      <c r="B1911" s="45" t="n"/>
      <c r="C1911" s="46" t="n"/>
      <c r="D1911" s="46" t="n"/>
      <c r="E1911" s="46" t="n"/>
      <c r="F1911" s="46" t="n"/>
      <c r="G1911" s="46" t="n"/>
      <c r="H1911" s="46" t="n"/>
      <c r="I1911" s="51" t="n"/>
      <c r="J1911" s="47" t="n"/>
      <c r="K1911" s="47" t="n"/>
      <c r="L1911" s="43">
        <f>IF($B1911="","",ROUND((N($J1911)+N($K1911))*نسبة_القيمة_المضافة,2))</f>
        <v/>
      </c>
      <c r="M1911" s="47" t="n"/>
      <c r="N1911" s="47" t="n"/>
      <c r="O1911" s="43">
        <f>IF($B1911="","",N($J1911)+N($K1911)+N($L1911)-N($M1911)+N($N1911))</f>
        <v/>
      </c>
      <c r="P1911" s="47" t="n"/>
      <c r="Q1911" s="43">
        <f>IF($B1911="","",N($O1911)-N($P1911))</f>
        <v/>
      </c>
      <c r="R1911" s="47" t="n"/>
      <c r="S1911" s="47" t="n"/>
      <c r="T1911" s="47" t="n"/>
      <c r="U1911" s="43">
        <f>IF($B1911="","",N($J1911)-N($R1911)-N($T1911))</f>
        <v/>
      </c>
      <c r="V1911" s="47" t="n"/>
    </row>
    <row r="1912">
      <c r="A1912" s="39">
        <f>IF($B1912="","",COUNTA($B$4:$B1912))</f>
        <v/>
      </c>
      <c r="B1912" s="40" t="n"/>
      <c r="C1912" s="41" t="n"/>
      <c r="D1912" s="41" t="n"/>
      <c r="E1912" s="41" t="n"/>
      <c r="F1912" s="41" t="n"/>
      <c r="G1912" s="41" t="n"/>
      <c r="H1912" s="41" t="n"/>
      <c r="I1912" s="50" t="n"/>
      <c r="J1912" s="42" t="n"/>
      <c r="K1912" s="42" t="n"/>
      <c r="L1912" s="43">
        <f>IF($B1912="","",ROUND((N($J1912)+N($K1912))*نسبة_القيمة_المضافة,2))</f>
        <v/>
      </c>
      <c r="M1912" s="42" t="n"/>
      <c r="N1912" s="42" t="n"/>
      <c r="O1912" s="43">
        <f>IF($B1912="","",N($J1912)+N($K1912)+N($L1912)-N($M1912)+N($N1912))</f>
        <v/>
      </c>
      <c r="P1912" s="42" t="n"/>
      <c r="Q1912" s="43">
        <f>IF($B1912="","",N($O1912)-N($P1912))</f>
        <v/>
      </c>
      <c r="R1912" s="42" t="n"/>
      <c r="S1912" s="42" t="n"/>
      <c r="T1912" s="42" t="n"/>
      <c r="U1912" s="43">
        <f>IF($B1912="","",N($J1912)-N($R1912)-N($T1912))</f>
        <v/>
      </c>
      <c r="V1912" s="42" t="n"/>
    </row>
    <row r="1913">
      <c r="A1913" s="39">
        <f>IF($B1913="","",COUNTA($B$4:$B1913))</f>
        <v/>
      </c>
      <c r="B1913" s="45" t="n"/>
      <c r="C1913" s="46" t="n"/>
      <c r="D1913" s="46" t="n"/>
      <c r="E1913" s="46" t="n"/>
      <c r="F1913" s="46" t="n"/>
      <c r="G1913" s="46" t="n"/>
      <c r="H1913" s="46" t="n"/>
      <c r="I1913" s="51" t="n"/>
      <c r="J1913" s="47" t="n"/>
      <c r="K1913" s="47" t="n"/>
      <c r="L1913" s="43">
        <f>IF($B1913="","",ROUND((N($J1913)+N($K1913))*نسبة_القيمة_المضافة,2))</f>
        <v/>
      </c>
      <c r="M1913" s="47" t="n"/>
      <c r="N1913" s="47" t="n"/>
      <c r="O1913" s="43">
        <f>IF($B1913="","",N($J1913)+N($K1913)+N($L1913)-N($M1913)+N($N1913))</f>
        <v/>
      </c>
      <c r="P1913" s="47" t="n"/>
      <c r="Q1913" s="43">
        <f>IF($B1913="","",N($O1913)-N($P1913))</f>
        <v/>
      </c>
      <c r="R1913" s="47" t="n"/>
      <c r="S1913" s="47" t="n"/>
      <c r="T1913" s="47" t="n"/>
      <c r="U1913" s="43">
        <f>IF($B1913="","",N($J1913)-N($R1913)-N($T1913))</f>
        <v/>
      </c>
      <c r="V1913" s="47" t="n"/>
    </row>
    <row r="1914">
      <c r="A1914" s="39">
        <f>IF($B1914="","",COUNTA($B$4:$B1914))</f>
        <v/>
      </c>
      <c r="B1914" s="40" t="n"/>
      <c r="C1914" s="41" t="n"/>
      <c r="D1914" s="41" t="n"/>
      <c r="E1914" s="41" t="n"/>
      <c r="F1914" s="41" t="n"/>
      <c r="G1914" s="41" t="n"/>
      <c r="H1914" s="41" t="n"/>
      <c r="I1914" s="50" t="n"/>
      <c r="J1914" s="42" t="n"/>
      <c r="K1914" s="42" t="n"/>
      <c r="L1914" s="43">
        <f>IF($B1914="","",ROUND((N($J1914)+N($K1914))*نسبة_القيمة_المضافة,2))</f>
        <v/>
      </c>
      <c r="M1914" s="42" t="n"/>
      <c r="N1914" s="42" t="n"/>
      <c r="O1914" s="43">
        <f>IF($B1914="","",N($J1914)+N($K1914)+N($L1914)-N($M1914)+N($N1914))</f>
        <v/>
      </c>
      <c r="P1914" s="42" t="n"/>
      <c r="Q1914" s="43">
        <f>IF($B1914="","",N($O1914)-N($P1914))</f>
        <v/>
      </c>
      <c r="R1914" s="42" t="n"/>
      <c r="S1914" s="42" t="n"/>
      <c r="T1914" s="42" t="n"/>
      <c r="U1914" s="43">
        <f>IF($B1914="","",N($J1914)-N($R1914)-N($T1914))</f>
        <v/>
      </c>
      <c r="V1914" s="42" t="n"/>
    </row>
    <row r="1915">
      <c r="A1915" s="39">
        <f>IF($B1915="","",COUNTA($B$4:$B1915))</f>
        <v/>
      </c>
      <c r="B1915" s="45" t="n"/>
      <c r="C1915" s="46" t="n"/>
      <c r="D1915" s="46" t="n"/>
      <c r="E1915" s="46" t="n"/>
      <c r="F1915" s="46" t="n"/>
      <c r="G1915" s="46" t="n"/>
      <c r="H1915" s="46" t="n"/>
      <c r="I1915" s="51" t="n"/>
      <c r="J1915" s="47" t="n"/>
      <c r="K1915" s="47" t="n"/>
      <c r="L1915" s="43">
        <f>IF($B1915="","",ROUND((N($J1915)+N($K1915))*نسبة_القيمة_المضافة,2))</f>
        <v/>
      </c>
      <c r="M1915" s="47" t="n"/>
      <c r="N1915" s="47" t="n"/>
      <c r="O1915" s="43">
        <f>IF($B1915="","",N($J1915)+N($K1915)+N($L1915)-N($M1915)+N($N1915))</f>
        <v/>
      </c>
      <c r="P1915" s="47" t="n"/>
      <c r="Q1915" s="43">
        <f>IF($B1915="","",N($O1915)-N($P1915))</f>
        <v/>
      </c>
      <c r="R1915" s="47" t="n"/>
      <c r="S1915" s="47" t="n"/>
      <c r="T1915" s="47" t="n"/>
      <c r="U1915" s="43">
        <f>IF($B1915="","",N($J1915)-N($R1915)-N($T1915))</f>
        <v/>
      </c>
      <c r="V1915" s="47" t="n"/>
    </row>
    <row r="1916">
      <c r="A1916" s="39">
        <f>IF($B1916="","",COUNTA($B$4:$B1916))</f>
        <v/>
      </c>
      <c r="B1916" s="40" t="n"/>
      <c r="C1916" s="41" t="n"/>
      <c r="D1916" s="41" t="n"/>
      <c r="E1916" s="41" t="n"/>
      <c r="F1916" s="41" t="n"/>
      <c r="G1916" s="41" t="n"/>
      <c r="H1916" s="41" t="n"/>
      <c r="I1916" s="50" t="n"/>
      <c r="J1916" s="42" t="n"/>
      <c r="K1916" s="42" t="n"/>
      <c r="L1916" s="43">
        <f>IF($B1916="","",ROUND((N($J1916)+N($K1916))*نسبة_القيمة_المضافة,2))</f>
        <v/>
      </c>
      <c r="M1916" s="42" t="n"/>
      <c r="N1916" s="42" t="n"/>
      <c r="O1916" s="43">
        <f>IF($B1916="","",N($J1916)+N($K1916)+N($L1916)-N($M1916)+N($N1916))</f>
        <v/>
      </c>
      <c r="P1916" s="42" t="n"/>
      <c r="Q1916" s="43">
        <f>IF($B1916="","",N($O1916)-N($P1916))</f>
        <v/>
      </c>
      <c r="R1916" s="42" t="n"/>
      <c r="S1916" s="42" t="n"/>
      <c r="T1916" s="42" t="n"/>
      <c r="U1916" s="43">
        <f>IF($B1916="","",N($J1916)-N($R1916)-N($T1916))</f>
        <v/>
      </c>
      <c r="V1916" s="42" t="n"/>
    </row>
    <row r="1917">
      <c r="A1917" s="39">
        <f>IF($B1917="","",COUNTA($B$4:$B1917))</f>
        <v/>
      </c>
      <c r="B1917" s="45" t="n"/>
      <c r="C1917" s="46" t="n"/>
      <c r="D1917" s="46" t="n"/>
      <c r="E1917" s="46" t="n"/>
      <c r="F1917" s="46" t="n"/>
      <c r="G1917" s="46" t="n"/>
      <c r="H1917" s="46" t="n"/>
      <c r="I1917" s="51" t="n"/>
      <c r="J1917" s="47" t="n"/>
      <c r="K1917" s="47" t="n"/>
      <c r="L1917" s="43">
        <f>IF($B1917="","",ROUND((N($J1917)+N($K1917))*نسبة_القيمة_المضافة,2))</f>
        <v/>
      </c>
      <c r="M1917" s="47" t="n"/>
      <c r="N1917" s="47" t="n"/>
      <c r="O1917" s="43">
        <f>IF($B1917="","",N($J1917)+N($K1917)+N($L1917)-N($M1917)+N($N1917))</f>
        <v/>
      </c>
      <c r="P1917" s="47" t="n"/>
      <c r="Q1917" s="43">
        <f>IF($B1917="","",N($O1917)-N($P1917))</f>
        <v/>
      </c>
      <c r="R1917" s="47" t="n"/>
      <c r="S1917" s="47" t="n"/>
      <c r="T1917" s="47" t="n"/>
      <c r="U1917" s="43">
        <f>IF($B1917="","",N($J1917)-N($R1917)-N($T1917))</f>
        <v/>
      </c>
      <c r="V1917" s="47" t="n"/>
    </row>
    <row r="1918">
      <c r="A1918" s="39">
        <f>IF($B1918="","",COUNTA($B$4:$B1918))</f>
        <v/>
      </c>
      <c r="B1918" s="40" t="n"/>
      <c r="C1918" s="41" t="n"/>
      <c r="D1918" s="41" t="n"/>
      <c r="E1918" s="41" t="n"/>
      <c r="F1918" s="41" t="n"/>
      <c r="G1918" s="41" t="n"/>
      <c r="H1918" s="41" t="n"/>
      <c r="I1918" s="50" t="n"/>
      <c r="J1918" s="42" t="n"/>
      <c r="K1918" s="42" t="n"/>
      <c r="L1918" s="43">
        <f>IF($B1918="","",ROUND((N($J1918)+N($K1918))*نسبة_القيمة_المضافة,2))</f>
        <v/>
      </c>
      <c r="M1918" s="42" t="n"/>
      <c r="N1918" s="42" t="n"/>
      <c r="O1918" s="43">
        <f>IF($B1918="","",N($J1918)+N($K1918)+N($L1918)-N($M1918)+N($N1918))</f>
        <v/>
      </c>
      <c r="P1918" s="42" t="n"/>
      <c r="Q1918" s="43">
        <f>IF($B1918="","",N($O1918)-N($P1918))</f>
        <v/>
      </c>
      <c r="R1918" s="42" t="n"/>
      <c r="S1918" s="42" t="n"/>
      <c r="T1918" s="42" t="n"/>
      <c r="U1918" s="43">
        <f>IF($B1918="","",N($J1918)-N($R1918)-N($T1918))</f>
        <v/>
      </c>
      <c r="V1918" s="42" t="n"/>
    </row>
    <row r="1919">
      <c r="A1919" s="39">
        <f>IF($B1919="","",COUNTA($B$4:$B1919))</f>
        <v/>
      </c>
      <c r="B1919" s="45" t="n"/>
      <c r="C1919" s="46" t="n"/>
      <c r="D1919" s="46" t="n"/>
      <c r="E1919" s="46" t="n"/>
      <c r="F1919" s="46" t="n"/>
      <c r="G1919" s="46" t="n"/>
      <c r="H1919" s="46" t="n"/>
      <c r="I1919" s="51" t="n"/>
      <c r="J1919" s="47" t="n"/>
      <c r="K1919" s="47" t="n"/>
      <c r="L1919" s="43">
        <f>IF($B1919="","",ROUND((N($J1919)+N($K1919))*نسبة_القيمة_المضافة,2))</f>
        <v/>
      </c>
      <c r="M1919" s="47" t="n"/>
      <c r="N1919" s="47" t="n"/>
      <c r="O1919" s="43">
        <f>IF($B1919="","",N($J1919)+N($K1919)+N($L1919)-N($M1919)+N($N1919))</f>
        <v/>
      </c>
      <c r="P1919" s="47" t="n"/>
      <c r="Q1919" s="43">
        <f>IF($B1919="","",N($O1919)-N($P1919))</f>
        <v/>
      </c>
      <c r="R1919" s="47" t="n"/>
      <c r="S1919" s="47" t="n"/>
      <c r="T1919" s="47" t="n"/>
      <c r="U1919" s="43">
        <f>IF($B1919="","",N($J1919)-N($R1919)-N($T1919))</f>
        <v/>
      </c>
      <c r="V1919" s="47" t="n"/>
    </row>
    <row r="1920">
      <c r="A1920" s="39">
        <f>IF($B1920="","",COUNTA($B$4:$B1920))</f>
        <v/>
      </c>
      <c r="B1920" s="40" t="n"/>
      <c r="C1920" s="41" t="n"/>
      <c r="D1920" s="41" t="n"/>
      <c r="E1920" s="41" t="n"/>
      <c r="F1920" s="41" t="n"/>
      <c r="G1920" s="41" t="n"/>
      <c r="H1920" s="41" t="n"/>
      <c r="I1920" s="50" t="n"/>
      <c r="J1920" s="42" t="n"/>
      <c r="K1920" s="42" t="n"/>
      <c r="L1920" s="43">
        <f>IF($B1920="","",ROUND((N($J1920)+N($K1920))*نسبة_القيمة_المضافة,2))</f>
        <v/>
      </c>
      <c r="M1920" s="42" t="n"/>
      <c r="N1920" s="42" t="n"/>
      <c r="O1920" s="43">
        <f>IF($B1920="","",N($J1920)+N($K1920)+N($L1920)-N($M1920)+N($N1920))</f>
        <v/>
      </c>
      <c r="P1920" s="42" t="n"/>
      <c r="Q1920" s="43">
        <f>IF($B1920="","",N($O1920)-N($P1920))</f>
        <v/>
      </c>
      <c r="R1920" s="42" t="n"/>
      <c r="S1920" s="42" t="n"/>
      <c r="T1920" s="42" t="n"/>
      <c r="U1920" s="43">
        <f>IF($B1920="","",N($J1920)-N($R1920)-N($T1920))</f>
        <v/>
      </c>
      <c r="V1920" s="42" t="n"/>
    </row>
    <row r="1921">
      <c r="A1921" s="39">
        <f>IF($B1921="","",COUNTA($B$4:$B1921))</f>
        <v/>
      </c>
      <c r="B1921" s="45" t="n"/>
      <c r="C1921" s="46" t="n"/>
      <c r="D1921" s="46" t="n"/>
      <c r="E1921" s="46" t="n"/>
      <c r="F1921" s="46" t="n"/>
      <c r="G1921" s="46" t="n"/>
      <c r="H1921" s="46" t="n"/>
      <c r="I1921" s="51" t="n"/>
      <c r="J1921" s="47" t="n"/>
      <c r="K1921" s="47" t="n"/>
      <c r="L1921" s="43">
        <f>IF($B1921="","",ROUND((N($J1921)+N($K1921))*نسبة_القيمة_المضافة,2))</f>
        <v/>
      </c>
      <c r="M1921" s="47" t="n"/>
      <c r="N1921" s="47" t="n"/>
      <c r="O1921" s="43">
        <f>IF($B1921="","",N($J1921)+N($K1921)+N($L1921)-N($M1921)+N($N1921))</f>
        <v/>
      </c>
      <c r="P1921" s="47" t="n"/>
      <c r="Q1921" s="43">
        <f>IF($B1921="","",N($O1921)-N($P1921))</f>
        <v/>
      </c>
      <c r="R1921" s="47" t="n"/>
      <c r="S1921" s="47" t="n"/>
      <c r="T1921" s="47" t="n"/>
      <c r="U1921" s="43">
        <f>IF($B1921="","",N($J1921)-N($R1921)-N($T1921))</f>
        <v/>
      </c>
      <c r="V1921" s="47" t="n"/>
    </row>
    <row r="1922">
      <c r="A1922" s="39">
        <f>IF($B1922="","",COUNTA($B$4:$B1922))</f>
        <v/>
      </c>
      <c r="B1922" s="40" t="n"/>
      <c r="C1922" s="41" t="n"/>
      <c r="D1922" s="41" t="n"/>
      <c r="E1922" s="41" t="n"/>
      <c r="F1922" s="41" t="n"/>
      <c r="G1922" s="41" t="n"/>
      <c r="H1922" s="41" t="n"/>
      <c r="I1922" s="50" t="n"/>
      <c r="J1922" s="42" t="n"/>
      <c r="K1922" s="42" t="n"/>
      <c r="L1922" s="43">
        <f>IF($B1922="","",ROUND((N($J1922)+N($K1922))*نسبة_القيمة_المضافة,2))</f>
        <v/>
      </c>
      <c r="M1922" s="42" t="n"/>
      <c r="N1922" s="42" t="n"/>
      <c r="O1922" s="43">
        <f>IF($B1922="","",N($J1922)+N($K1922)+N($L1922)-N($M1922)+N($N1922))</f>
        <v/>
      </c>
      <c r="P1922" s="42" t="n"/>
      <c r="Q1922" s="43">
        <f>IF($B1922="","",N($O1922)-N($P1922))</f>
        <v/>
      </c>
      <c r="R1922" s="42" t="n"/>
      <c r="S1922" s="42" t="n"/>
      <c r="T1922" s="42" t="n"/>
      <c r="U1922" s="43">
        <f>IF($B1922="","",N($J1922)-N($R1922)-N($T1922))</f>
        <v/>
      </c>
      <c r="V1922" s="42" t="n"/>
    </row>
    <row r="1923">
      <c r="A1923" s="39">
        <f>IF($B1923="","",COUNTA($B$4:$B1923))</f>
        <v/>
      </c>
      <c r="B1923" s="45" t="n"/>
      <c r="C1923" s="46" t="n"/>
      <c r="D1923" s="46" t="n"/>
      <c r="E1923" s="46" t="n"/>
      <c r="F1923" s="46" t="n"/>
      <c r="G1923" s="46" t="n"/>
      <c r="H1923" s="46" t="n"/>
      <c r="I1923" s="51" t="n"/>
      <c r="J1923" s="47" t="n"/>
      <c r="K1923" s="47" t="n"/>
      <c r="L1923" s="43">
        <f>IF($B1923="","",ROUND((N($J1923)+N($K1923))*نسبة_القيمة_المضافة,2))</f>
        <v/>
      </c>
      <c r="M1923" s="47" t="n"/>
      <c r="N1923" s="47" t="n"/>
      <c r="O1923" s="43">
        <f>IF($B1923="","",N($J1923)+N($K1923)+N($L1923)-N($M1923)+N($N1923))</f>
        <v/>
      </c>
      <c r="P1923" s="47" t="n"/>
      <c r="Q1923" s="43">
        <f>IF($B1923="","",N($O1923)-N($P1923))</f>
        <v/>
      </c>
      <c r="R1923" s="47" t="n"/>
      <c r="S1923" s="47" t="n"/>
      <c r="T1923" s="47" t="n"/>
      <c r="U1923" s="43">
        <f>IF($B1923="","",N($J1923)-N($R1923)-N($T1923))</f>
        <v/>
      </c>
      <c r="V1923" s="47" t="n"/>
    </row>
    <row r="1924">
      <c r="A1924" s="39">
        <f>IF($B1924="","",COUNTA($B$4:$B1924))</f>
        <v/>
      </c>
      <c r="B1924" s="40" t="n"/>
      <c r="C1924" s="41" t="n"/>
      <c r="D1924" s="41" t="n"/>
      <c r="E1924" s="41" t="n"/>
      <c r="F1924" s="41" t="n"/>
      <c r="G1924" s="41" t="n"/>
      <c r="H1924" s="41" t="n"/>
      <c r="I1924" s="50" t="n"/>
      <c r="J1924" s="42" t="n"/>
      <c r="K1924" s="42" t="n"/>
      <c r="L1924" s="43">
        <f>IF($B1924="","",ROUND((N($J1924)+N($K1924))*نسبة_القيمة_المضافة,2))</f>
        <v/>
      </c>
      <c r="M1924" s="42" t="n"/>
      <c r="N1924" s="42" t="n"/>
      <c r="O1924" s="43">
        <f>IF($B1924="","",N($J1924)+N($K1924)+N($L1924)-N($M1924)+N($N1924))</f>
        <v/>
      </c>
      <c r="P1924" s="42" t="n"/>
      <c r="Q1924" s="43">
        <f>IF($B1924="","",N($O1924)-N($P1924))</f>
        <v/>
      </c>
      <c r="R1924" s="42" t="n"/>
      <c r="S1924" s="42" t="n"/>
      <c r="T1924" s="42" t="n"/>
      <c r="U1924" s="43">
        <f>IF($B1924="","",N($J1924)-N($R1924)-N($T1924))</f>
        <v/>
      </c>
      <c r="V1924" s="42" t="n"/>
    </row>
    <row r="1925">
      <c r="A1925" s="39">
        <f>IF($B1925="","",COUNTA($B$4:$B1925))</f>
        <v/>
      </c>
      <c r="B1925" s="45" t="n"/>
      <c r="C1925" s="46" t="n"/>
      <c r="D1925" s="46" t="n"/>
      <c r="E1925" s="46" t="n"/>
      <c r="F1925" s="46" t="n"/>
      <c r="G1925" s="46" t="n"/>
      <c r="H1925" s="46" t="n"/>
      <c r="I1925" s="51" t="n"/>
      <c r="J1925" s="47" t="n"/>
      <c r="K1925" s="47" t="n"/>
      <c r="L1925" s="43">
        <f>IF($B1925="","",ROUND((N($J1925)+N($K1925))*نسبة_القيمة_المضافة,2))</f>
        <v/>
      </c>
      <c r="M1925" s="47" t="n"/>
      <c r="N1925" s="47" t="n"/>
      <c r="O1925" s="43">
        <f>IF($B1925="","",N($J1925)+N($K1925)+N($L1925)-N($M1925)+N($N1925))</f>
        <v/>
      </c>
      <c r="P1925" s="47" t="n"/>
      <c r="Q1925" s="43">
        <f>IF($B1925="","",N($O1925)-N($P1925))</f>
        <v/>
      </c>
      <c r="R1925" s="47" t="n"/>
      <c r="S1925" s="47" t="n"/>
      <c r="T1925" s="47" t="n"/>
      <c r="U1925" s="43">
        <f>IF($B1925="","",N($J1925)-N($R1925)-N($T1925))</f>
        <v/>
      </c>
      <c r="V1925" s="47" t="n"/>
    </row>
    <row r="1926">
      <c r="A1926" s="39">
        <f>IF($B1926="","",COUNTA($B$4:$B1926))</f>
        <v/>
      </c>
      <c r="B1926" s="40" t="n"/>
      <c r="C1926" s="41" t="n"/>
      <c r="D1926" s="41" t="n"/>
      <c r="E1926" s="41" t="n"/>
      <c r="F1926" s="41" t="n"/>
      <c r="G1926" s="41" t="n"/>
      <c r="H1926" s="41" t="n"/>
      <c r="I1926" s="50" t="n"/>
      <c r="J1926" s="42" t="n"/>
      <c r="K1926" s="42" t="n"/>
      <c r="L1926" s="43">
        <f>IF($B1926="","",ROUND((N($J1926)+N($K1926))*نسبة_القيمة_المضافة,2))</f>
        <v/>
      </c>
      <c r="M1926" s="42" t="n"/>
      <c r="N1926" s="42" t="n"/>
      <c r="O1926" s="43">
        <f>IF($B1926="","",N($J1926)+N($K1926)+N($L1926)-N($M1926)+N($N1926))</f>
        <v/>
      </c>
      <c r="P1926" s="42" t="n"/>
      <c r="Q1926" s="43">
        <f>IF($B1926="","",N($O1926)-N($P1926))</f>
        <v/>
      </c>
      <c r="R1926" s="42" t="n"/>
      <c r="S1926" s="42" t="n"/>
      <c r="T1926" s="42" t="n"/>
      <c r="U1926" s="43">
        <f>IF($B1926="","",N($J1926)-N($R1926)-N($T1926))</f>
        <v/>
      </c>
      <c r="V1926" s="42" t="n"/>
    </row>
    <row r="1927">
      <c r="A1927" s="39">
        <f>IF($B1927="","",COUNTA($B$4:$B1927))</f>
        <v/>
      </c>
      <c r="B1927" s="45" t="n"/>
      <c r="C1927" s="46" t="n"/>
      <c r="D1927" s="46" t="n"/>
      <c r="E1927" s="46" t="n"/>
      <c r="F1927" s="46" t="n"/>
      <c r="G1927" s="46" t="n"/>
      <c r="H1927" s="46" t="n"/>
      <c r="I1927" s="51" t="n"/>
      <c r="J1927" s="47" t="n"/>
      <c r="K1927" s="47" t="n"/>
      <c r="L1927" s="43">
        <f>IF($B1927="","",ROUND((N($J1927)+N($K1927))*نسبة_القيمة_المضافة,2))</f>
        <v/>
      </c>
      <c r="M1927" s="47" t="n"/>
      <c r="N1927" s="47" t="n"/>
      <c r="O1927" s="43">
        <f>IF($B1927="","",N($J1927)+N($K1927)+N($L1927)-N($M1927)+N($N1927))</f>
        <v/>
      </c>
      <c r="P1927" s="47" t="n"/>
      <c r="Q1927" s="43">
        <f>IF($B1927="","",N($O1927)-N($P1927))</f>
        <v/>
      </c>
      <c r="R1927" s="47" t="n"/>
      <c r="S1927" s="47" t="n"/>
      <c r="T1927" s="47" t="n"/>
      <c r="U1927" s="43">
        <f>IF($B1927="","",N($J1927)-N($R1927)-N($T1927))</f>
        <v/>
      </c>
      <c r="V1927" s="47" t="n"/>
    </row>
    <row r="1928">
      <c r="A1928" s="39">
        <f>IF($B1928="","",COUNTA($B$4:$B1928))</f>
        <v/>
      </c>
      <c r="B1928" s="40" t="n"/>
      <c r="C1928" s="41" t="n"/>
      <c r="D1928" s="41" t="n"/>
      <c r="E1928" s="41" t="n"/>
      <c r="F1928" s="41" t="n"/>
      <c r="G1928" s="41" t="n"/>
      <c r="H1928" s="41" t="n"/>
      <c r="I1928" s="50" t="n"/>
      <c r="J1928" s="42" t="n"/>
      <c r="K1928" s="42" t="n"/>
      <c r="L1928" s="43">
        <f>IF($B1928="","",ROUND((N($J1928)+N($K1928))*نسبة_القيمة_المضافة,2))</f>
        <v/>
      </c>
      <c r="M1928" s="42" t="n"/>
      <c r="N1928" s="42" t="n"/>
      <c r="O1928" s="43">
        <f>IF($B1928="","",N($J1928)+N($K1928)+N($L1928)-N($M1928)+N($N1928))</f>
        <v/>
      </c>
      <c r="P1928" s="42" t="n"/>
      <c r="Q1928" s="43">
        <f>IF($B1928="","",N($O1928)-N($P1928))</f>
        <v/>
      </c>
      <c r="R1928" s="42" t="n"/>
      <c r="S1928" s="42" t="n"/>
      <c r="T1928" s="42" t="n"/>
      <c r="U1928" s="43">
        <f>IF($B1928="","",N($J1928)-N($R1928)-N($T1928))</f>
        <v/>
      </c>
      <c r="V1928" s="42" t="n"/>
    </row>
    <row r="1929">
      <c r="A1929" s="39">
        <f>IF($B1929="","",COUNTA($B$4:$B1929))</f>
        <v/>
      </c>
      <c r="B1929" s="45" t="n"/>
      <c r="C1929" s="46" t="n"/>
      <c r="D1929" s="46" t="n"/>
      <c r="E1929" s="46" t="n"/>
      <c r="F1929" s="46" t="n"/>
      <c r="G1929" s="46" t="n"/>
      <c r="H1929" s="46" t="n"/>
      <c r="I1929" s="51" t="n"/>
      <c r="J1929" s="47" t="n"/>
      <c r="K1929" s="47" t="n"/>
      <c r="L1929" s="43">
        <f>IF($B1929="","",ROUND((N($J1929)+N($K1929))*نسبة_القيمة_المضافة,2))</f>
        <v/>
      </c>
      <c r="M1929" s="47" t="n"/>
      <c r="N1929" s="47" t="n"/>
      <c r="O1929" s="43">
        <f>IF($B1929="","",N($J1929)+N($K1929)+N($L1929)-N($M1929)+N($N1929))</f>
        <v/>
      </c>
      <c r="P1929" s="47" t="n"/>
      <c r="Q1929" s="43">
        <f>IF($B1929="","",N($O1929)-N($P1929))</f>
        <v/>
      </c>
      <c r="R1929" s="47" t="n"/>
      <c r="S1929" s="47" t="n"/>
      <c r="T1929" s="47" t="n"/>
      <c r="U1929" s="43">
        <f>IF($B1929="","",N($J1929)-N($R1929)-N($T1929))</f>
        <v/>
      </c>
      <c r="V1929" s="47" t="n"/>
    </row>
    <row r="1930">
      <c r="A1930" s="39">
        <f>IF($B1930="","",COUNTA($B$4:$B1930))</f>
        <v/>
      </c>
      <c r="B1930" s="40" t="n"/>
      <c r="C1930" s="41" t="n"/>
      <c r="D1930" s="41" t="n"/>
      <c r="E1930" s="41" t="n"/>
      <c r="F1930" s="41" t="n"/>
      <c r="G1930" s="41" t="n"/>
      <c r="H1930" s="41" t="n"/>
      <c r="I1930" s="50" t="n"/>
      <c r="J1930" s="42" t="n"/>
      <c r="K1930" s="42" t="n"/>
      <c r="L1930" s="43">
        <f>IF($B1930="","",ROUND((N($J1930)+N($K1930))*نسبة_القيمة_المضافة,2))</f>
        <v/>
      </c>
      <c r="M1930" s="42" t="n"/>
      <c r="N1930" s="42" t="n"/>
      <c r="O1930" s="43">
        <f>IF($B1930="","",N($J1930)+N($K1930)+N($L1930)-N($M1930)+N($N1930))</f>
        <v/>
      </c>
      <c r="P1930" s="42" t="n"/>
      <c r="Q1930" s="43">
        <f>IF($B1930="","",N($O1930)-N($P1930))</f>
        <v/>
      </c>
      <c r="R1930" s="42" t="n"/>
      <c r="S1930" s="42" t="n"/>
      <c r="T1930" s="42" t="n"/>
      <c r="U1930" s="43">
        <f>IF($B1930="","",N($J1930)-N($R1930)-N($T1930))</f>
        <v/>
      </c>
      <c r="V1930" s="42" t="n"/>
    </row>
    <row r="1931">
      <c r="A1931" s="39">
        <f>IF($B1931="","",COUNTA($B$4:$B1931))</f>
        <v/>
      </c>
      <c r="B1931" s="45" t="n"/>
      <c r="C1931" s="46" t="n"/>
      <c r="D1931" s="46" t="n"/>
      <c r="E1931" s="46" t="n"/>
      <c r="F1931" s="46" t="n"/>
      <c r="G1931" s="46" t="n"/>
      <c r="H1931" s="46" t="n"/>
      <c r="I1931" s="51" t="n"/>
      <c r="J1931" s="47" t="n"/>
      <c r="K1931" s="47" t="n"/>
      <c r="L1931" s="43">
        <f>IF($B1931="","",ROUND((N($J1931)+N($K1931))*نسبة_القيمة_المضافة,2))</f>
        <v/>
      </c>
      <c r="M1931" s="47" t="n"/>
      <c r="N1931" s="47" t="n"/>
      <c r="O1931" s="43">
        <f>IF($B1931="","",N($J1931)+N($K1931)+N($L1931)-N($M1931)+N($N1931))</f>
        <v/>
      </c>
      <c r="P1931" s="47" t="n"/>
      <c r="Q1931" s="43">
        <f>IF($B1931="","",N($O1931)-N($P1931))</f>
        <v/>
      </c>
      <c r="R1931" s="47" t="n"/>
      <c r="S1931" s="47" t="n"/>
      <c r="T1931" s="47" t="n"/>
      <c r="U1931" s="43">
        <f>IF($B1931="","",N($J1931)-N($R1931)-N($T1931))</f>
        <v/>
      </c>
      <c r="V1931" s="47" t="n"/>
    </row>
    <row r="1932">
      <c r="A1932" s="39">
        <f>IF($B1932="","",COUNTA($B$4:$B1932))</f>
        <v/>
      </c>
      <c r="B1932" s="40" t="n"/>
      <c r="C1932" s="41" t="n"/>
      <c r="D1932" s="41" t="n"/>
      <c r="E1932" s="41" t="n"/>
      <c r="F1932" s="41" t="n"/>
      <c r="G1932" s="41" t="n"/>
      <c r="H1932" s="41" t="n"/>
      <c r="I1932" s="50" t="n"/>
      <c r="J1932" s="42" t="n"/>
      <c r="K1932" s="42" t="n"/>
      <c r="L1932" s="43">
        <f>IF($B1932="","",ROUND((N($J1932)+N($K1932))*نسبة_القيمة_المضافة,2))</f>
        <v/>
      </c>
      <c r="M1932" s="42" t="n"/>
      <c r="N1932" s="42" t="n"/>
      <c r="O1932" s="43">
        <f>IF($B1932="","",N($J1932)+N($K1932)+N($L1932)-N($M1932)+N($N1932))</f>
        <v/>
      </c>
      <c r="P1932" s="42" t="n"/>
      <c r="Q1932" s="43">
        <f>IF($B1932="","",N($O1932)-N($P1932))</f>
        <v/>
      </c>
      <c r="R1932" s="42" t="n"/>
      <c r="S1932" s="42" t="n"/>
      <c r="T1932" s="42" t="n"/>
      <c r="U1932" s="43">
        <f>IF($B1932="","",N($J1932)-N($R1932)-N($T1932))</f>
        <v/>
      </c>
      <c r="V1932" s="42" t="n"/>
    </row>
    <row r="1933">
      <c r="A1933" s="39">
        <f>IF($B1933="","",COUNTA($B$4:$B1933))</f>
        <v/>
      </c>
      <c r="B1933" s="45" t="n"/>
      <c r="C1933" s="46" t="n"/>
      <c r="D1933" s="46" t="n"/>
      <c r="E1933" s="46" t="n"/>
      <c r="F1933" s="46" t="n"/>
      <c r="G1933" s="46" t="n"/>
      <c r="H1933" s="46" t="n"/>
      <c r="I1933" s="51" t="n"/>
      <c r="J1933" s="47" t="n"/>
      <c r="K1933" s="47" t="n"/>
      <c r="L1933" s="43">
        <f>IF($B1933="","",ROUND((N($J1933)+N($K1933))*نسبة_القيمة_المضافة,2))</f>
        <v/>
      </c>
      <c r="M1933" s="47" t="n"/>
      <c r="N1933" s="47" t="n"/>
      <c r="O1933" s="43">
        <f>IF($B1933="","",N($J1933)+N($K1933)+N($L1933)-N($M1933)+N($N1933))</f>
        <v/>
      </c>
      <c r="P1933" s="47" t="n"/>
      <c r="Q1933" s="43">
        <f>IF($B1933="","",N($O1933)-N($P1933))</f>
        <v/>
      </c>
      <c r="R1933" s="47" t="n"/>
      <c r="S1933" s="47" t="n"/>
      <c r="T1933" s="47" t="n"/>
      <c r="U1933" s="43">
        <f>IF($B1933="","",N($J1933)-N($R1933)-N($T1933))</f>
        <v/>
      </c>
      <c r="V1933" s="47" t="n"/>
    </row>
    <row r="1934">
      <c r="A1934" s="39">
        <f>IF($B1934="","",COUNTA($B$4:$B1934))</f>
        <v/>
      </c>
      <c r="B1934" s="40" t="n"/>
      <c r="C1934" s="41" t="n"/>
      <c r="D1934" s="41" t="n"/>
      <c r="E1934" s="41" t="n"/>
      <c r="F1934" s="41" t="n"/>
      <c r="G1934" s="41" t="n"/>
      <c r="H1934" s="41" t="n"/>
      <c r="I1934" s="50" t="n"/>
      <c r="J1934" s="42" t="n"/>
      <c r="K1934" s="42" t="n"/>
      <c r="L1934" s="43">
        <f>IF($B1934="","",ROUND((N($J1934)+N($K1934))*نسبة_القيمة_المضافة,2))</f>
        <v/>
      </c>
      <c r="M1934" s="42" t="n"/>
      <c r="N1934" s="42" t="n"/>
      <c r="O1934" s="43">
        <f>IF($B1934="","",N($J1934)+N($K1934)+N($L1934)-N($M1934)+N($N1934))</f>
        <v/>
      </c>
      <c r="P1934" s="42" t="n"/>
      <c r="Q1934" s="43">
        <f>IF($B1934="","",N($O1934)-N($P1934))</f>
        <v/>
      </c>
      <c r="R1934" s="42" t="n"/>
      <c r="S1934" s="42" t="n"/>
      <c r="T1934" s="42" t="n"/>
      <c r="U1934" s="43">
        <f>IF($B1934="","",N($J1934)-N($R1934)-N($T1934))</f>
        <v/>
      </c>
      <c r="V1934" s="42" t="n"/>
    </row>
    <row r="1935">
      <c r="A1935" s="39">
        <f>IF($B1935="","",COUNTA($B$4:$B1935))</f>
        <v/>
      </c>
      <c r="B1935" s="45" t="n"/>
      <c r="C1935" s="46" t="n"/>
      <c r="D1935" s="46" t="n"/>
      <c r="E1935" s="46" t="n"/>
      <c r="F1935" s="46" t="n"/>
      <c r="G1935" s="46" t="n"/>
      <c r="H1935" s="46" t="n"/>
      <c r="I1935" s="51" t="n"/>
      <c r="J1935" s="47" t="n"/>
      <c r="K1935" s="47" t="n"/>
      <c r="L1935" s="43">
        <f>IF($B1935="","",ROUND((N($J1935)+N($K1935))*نسبة_القيمة_المضافة,2))</f>
        <v/>
      </c>
      <c r="M1935" s="47" t="n"/>
      <c r="N1935" s="47" t="n"/>
      <c r="O1935" s="43">
        <f>IF($B1935="","",N($J1935)+N($K1935)+N($L1935)-N($M1935)+N($N1935))</f>
        <v/>
      </c>
      <c r="P1935" s="47" t="n"/>
      <c r="Q1935" s="43">
        <f>IF($B1935="","",N($O1935)-N($P1935))</f>
        <v/>
      </c>
      <c r="R1935" s="47" t="n"/>
      <c r="S1935" s="47" t="n"/>
      <c r="T1935" s="47" t="n"/>
      <c r="U1935" s="43">
        <f>IF($B1935="","",N($J1935)-N($R1935)-N($T1935))</f>
        <v/>
      </c>
      <c r="V1935" s="47" t="n"/>
    </row>
    <row r="1936">
      <c r="A1936" s="39">
        <f>IF($B1936="","",COUNTA($B$4:$B1936))</f>
        <v/>
      </c>
      <c r="B1936" s="40" t="n"/>
      <c r="C1936" s="41" t="n"/>
      <c r="D1936" s="41" t="n"/>
      <c r="E1936" s="41" t="n"/>
      <c r="F1936" s="41" t="n"/>
      <c r="G1936" s="41" t="n"/>
      <c r="H1936" s="41" t="n"/>
      <c r="I1936" s="50" t="n"/>
      <c r="J1936" s="42" t="n"/>
      <c r="K1936" s="42" t="n"/>
      <c r="L1936" s="43">
        <f>IF($B1936="","",ROUND((N($J1936)+N($K1936))*نسبة_القيمة_المضافة,2))</f>
        <v/>
      </c>
      <c r="M1936" s="42" t="n"/>
      <c r="N1936" s="42" t="n"/>
      <c r="O1936" s="43">
        <f>IF($B1936="","",N($J1936)+N($K1936)+N($L1936)-N($M1936)+N($N1936))</f>
        <v/>
      </c>
      <c r="P1936" s="42" t="n"/>
      <c r="Q1936" s="43">
        <f>IF($B1936="","",N($O1936)-N($P1936))</f>
        <v/>
      </c>
      <c r="R1936" s="42" t="n"/>
      <c r="S1936" s="42" t="n"/>
      <c r="T1936" s="42" t="n"/>
      <c r="U1936" s="43">
        <f>IF($B1936="","",N($J1936)-N($R1936)-N($T1936))</f>
        <v/>
      </c>
      <c r="V1936" s="42" t="n"/>
    </row>
    <row r="1937">
      <c r="A1937" s="39">
        <f>IF($B1937="","",COUNTA($B$4:$B1937))</f>
        <v/>
      </c>
      <c r="B1937" s="45" t="n"/>
      <c r="C1937" s="46" t="n"/>
      <c r="D1937" s="46" t="n"/>
      <c r="E1937" s="46" t="n"/>
      <c r="F1937" s="46" t="n"/>
      <c r="G1937" s="46" t="n"/>
      <c r="H1937" s="46" t="n"/>
      <c r="I1937" s="51" t="n"/>
      <c r="J1937" s="47" t="n"/>
      <c r="K1937" s="47" t="n"/>
      <c r="L1937" s="43">
        <f>IF($B1937="","",ROUND((N($J1937)+N($K1937))*نسبة_القيمة_المضافة,2))</f>
        <v/>
      </c>
      <c r="M1937" s="47" t="n"/>
      <c r="N1937" s="47" t="n"/>
      <c r="O1937" s="43">
        <f>IF($B1937="","",N($J1937)+N($K1937)+N($L1937)-N($M1937)+N($N1937))</f>
        <v/>
      </c>
      <c r="P1937" s="47" t="n"/>
      <c r="Q1937" s="43">
        <f>IF($B1937="","",N($O1937)-N($P1937))</f>
        <v/>
      </c>
      <c r="R1937" s="47" t="n"/>
      <c r="S1937" s="47" t="n"/>
      <c r="T1937" s="47" t="n"/>
      <c r="U1937" s="43">
        <f>IF($B1937="","",N($J1937)-N($R1937)-N($T1937))</f>
        <v/>
      </c>
      <c r="V1937" s="47" t="n"/>
    </row>
    <row r="1938">
      <c r="A1938" s="39">
        <f>IF($B1938="","",COUNTA($B$4:$B1938))</f>
        <v/>
      </c>
      <c r="B1938" s="40" t="n"/>
      <c r="C1938" s="41" t="n"/>
      <c r="D1938" s="41" t="n"/>
      <c r="E1938" s="41" t="n"/>
      <c r="F1938" s="41" t="n"/>
      <c r="G1938" s="41" t="n"/>
      <c r="H1938" s="41" t="n"/>
      <c r="I1938" s="50" t="n"/>
      <c r="J1938" s="42" t="n"/>
      <c r="K1938" s="42" t="n"/>
      <c r="L1938" s="43">
        <f>IF($B1938="","",ROUND((N($J1938)+N($K1938))*نسبة_القيمة_المضافة,2))</f>
        <v/>
      </c>
      <c r="M1938" s="42" t="n"/>
      <c r="N1938" s="42" t="n"/>
      <c r="O1938" s="43">
        <f>IF($B1938="","",N($J1938)+N($K1938)+N($L1938)-N($M1938)+N($N1938))</f>
        <v/>
      </c>
      <c r="P1938" s="42" t="n"/>
      <c r="Q1938" s="43">
        <f>IF($B1938="","",N($O1938)-N($P1938))</f>
        <v/>
      </c>
      <c r="R1938" s="42" t="n"/>
      <c r="S1938" s="42" t="n"/>
      <c r="T1938" s="42" t="n"/>
      <c r="U1938" s="43">
        <f>IF($B1938="","",N($J1938)-N($R1938)-N($T1938))</f>
        <v/>
      </c>
      <c r="V1938" s="42" t="n"/>
    </row>
    <row r="1939">
      <c r="A1939" s="39">
        <f>IF($B1939="","",COUNTA($B$4:$B1939))</f>
        <v/>
      </c>
      <c r="B1939" s="45" t="n"/>
      <c r="C1939" s="46" t="n"/>
      <c r="D1939" s="46" t="n"/>
      <c r="E1939" s="46" t="n"/>
      <c r="F1939" s="46" t="n"/>
      <c r="G1939" s="46" t="n"/>
      <c r="H1939" s="46" t="n"/>
      <c r="I1939" s="51" t="n"/>
      <c r="J1939" s="47" t="n"/>
      <c r="K1939" s="47" t="n"/>
      <c r="L1939" s="43">
        <f>IF($B1939="","",ROUND((N($J1939)+N($K1939))*نسبة_القيمة_المضافة,2))</f>
        <v/>
      </c>
      <c r="M1939" s="47" t="n"/>
      <c r="N1939" s="47" t="n"/>
      <c r="O1939" s="43">
        <f>IF($B1939="","",N($J1939)+N($K1939)+N($L1939)-N($M1939)+N($N1939))</f>
        <v/>
      </c>
      <c r="P1939" s="47" t="n"/>
      <c r="Q1939" s="43">
        <f>IF($B1939="","",N($O1939)-N($P1939))</f>
        <v/>
      </c>
      <c r="R1939" s="47" t="n"/>
      <c r="S1939" s="47" t="n"/>
      <c r="T1939" s="47" t="n"/>
      <c r="U1939" s="43">
        <f>IF($B1939="","",N($J1939)-N($R1939)-N($T1939))</f>
        <v/>
      </c>
      <c r="V1939" s="47" t="n"/>
    </row>
    <row r="1940">
      <c r="A1940" s="39">
        <f>IF($B1940="","",COUNTA($B$4:$B1940))</f>
        <v/>
      </c>
      <c r="B1940" s="40" t="n"/>
      <c r="C1940" s="41" t="n"/>
      <c r="D1940" s="41" t="n"/>
      <c r="E1940" s="41" t="n"/>
      <c r="F1940" s="41" t="n"/>
      <c r="G1940" s="41" t="n"/>
      <c r="H1940" s="41" t="n"/>
      <c r="I1940" s="50" t="n"/>
      <c r="J1940" s="42" t="n"/>
      <c r="K1940" s="42" t="n"/>
      <c r="L1940" s="43">
        <f>IF($B1940="","",ROUND((N($J1940)+N($K1940))*نسبة_القيمة_المضافة,2))</f>
        <v/>
      </c>
      <c r="M1940" s="42" t="n"/>
      <c r="N1940" s="42" t="n"/>
      <c r="O1940" s="43">
        <f>IF($B1940="","",N($J1940)+N($K1940)+N($L1940)-N($M1940)+N($N1940))</f>
        <v/>
      </c>
      <c r="P1940" s="42" t="n"/>
      <c r="Q1940" s="43">
        <f>IF($B1940="","",N($O1940)-N($P1940))</f>
        <v/>
      </c>
      <c r="R1940" s="42" t="n"/>
      <c r="S1940" s="42" t="n"/>
      <c r="T1940" s="42" t="n"/>
      <c r="U1940" s="43">
        <f>IF($B1940="","",N($J1940)-N($R1940)-N($T1940))</f>
        <v/>
      </c>
      <c r="V1940" s="42" t="n"/>
    </row>
    <row r="1941">
      <c r="A1941" s="39">
        <f>IF($B1941="","",COUNTA($B$4:$B1941))</f>
        <v/>
      </c>
      <c r="B1941" s="45" t="n"/>
      <c r="C1941" s="46" t="n"/>
      <c r="D1941" s="46" t="n"/>
      <c r="E1941" s="46" t="n"/>
      <c r="F1941" s="46" t="n"/>
      <c r="G1941" s="46" t="n"/>
      <c r="H1941" s="46" t="n"/>
      <c r="I1941" s="51" t="n"/>
      <c r="J1941" s="47" t="n"/>
      <c r="K1941" s="47" t="n"/>
      <c r="L1941" s="43">
        <f>IF($B1941="","",ROUND((N($J1941)+N($K1941))*نسبة_القيمة_المضافة,2))</f>
        <v/>
      </c>
      <c r="M1941" s="47" t="n"/>
      <c r="N1941" s="47" t="n"/>
      <c r="O1941" s="43">
        <f>IF($B1941="","",N($J1941)+N($K1941)+N($L1941)-N($M1941)+N($N1941))</f>
        <v/>
      </c>
      <c r="P1941" s="47" t="n"/>
      <c r="Q1941" s="43">
        <f>IF($B1941="","",N($O1941)-N($P1941))</f>
        <v/>
      </c>
      <c r="R1941" s="47" t="n"/>
      <c r="S1941" s="47" t="n"/>
      <c r="T1941" s="47" t="n"/>
      <c r="U1941" s="43">
        <f>IF($B1941="","",N($J1941)-N($R1941)-N($T1941))</f>
        <v/>
      </c>
      <c r="V1941" s="47" t="n"/>
    </row>
    <row r="1942">
      <c r="A1942" s="39">
        <f>IF($B1942="","",COUNTA($B$4:$B1942))</f>
        <v/>
      </c>
      <c r="B1942" s="40" t="n"/>
      <c r="C1942" s="41" t="n"/>
      <c r="D1942" s="41" t="n"/>
      <c r="E1942" s="41" t="n"/>
      <c r="F1942" s="41" t="n"/>
      <c r="G1942" s="41" t="n"/>
      <c r="H1942" s="41" t="n"/>
      <c r="I1942" s="50" t="n"/>
      <c r="J1942" s="42" t="n"/>
      <c r="K1942" s="42" t="n"/>
      <c r="L1942" s="43">
        <f>IF($B1942="","",ROUND((N($J1942)+N($K1942))*نسبة_القيمة_المضافة,2))</f>
        <v/>
      </c>
      <c r="M1942" s="42" t="n"/>
      <c r="N1942" s="42" t="n"/>
      <c r="O1942" s="43">
        <f>IF($B1942="","",N($J1942)+N($K1942)+N($L1942)-N($M1942)+N($N1942))</f>
        <v/>
      </c>
      <c r="P1942" s="42" t="n"/>
      <c r="Q1942" s="43">
        <f>IF($B1942="","",N($O1942)-N($P1942))</f>
        <v/>
      </c>
      <c r="R1942" s="42" t="n"/>
      <c r="S1942" s="42" t="n"/>
      <c r="T1942" s="42" t="n"/>
      <c r="U1942" s="43">
        <f>IF($B1942="","",N($J1942)-N($R1942)-N($T1942))</f>
        <v/>
      </c>
      <c r="V1942" s="42" t="n"/>
    </row>
    <row r="1943">
      <c r="A1943" s="39">
        <f>IF($B1943="","",COUNTA($B$4:$B1943))</f>
        <v/>
      </c>
      <c r="B1943" s="45" t="n"/>
      <c r="C1943" s="46" t="n"/>
      <c r="D1943" s="46" t="n"/>
      <c r="E1943" s="46" t="n"/>
      <c r="F1943" s="46" t="n"/>
      <c r="G1943" s="46" t="n"/>
      <c r="H1943" s="46" t="n"/>
      <c r="I1943" s="51" t="n"/>
      <c r="J1943" s="47" t="n"/>
      <c r="K1943" s="47" t="n"/>
      <c r="L1943" s="43">
        <f>IF($B1943="","",ROUND((N($J1943)+N($K1943))*نسبة_القيمة_المضافة,2))</f>
        <v/>
      </c>
      <c r="M1943" s="47" t="n"/>
      <c r="N1943" s="47" t="n"/>
      <c r="O1943" s="43">
        <f>IF($B1943="","",N($J1943)+N($K1943)+N($L1943)-N($M1943)+N($N1943))</f>
        <v/>
      </c>
      <c r="P1943" s="47" t="n"/>
      <c r="Q1943" s="43">
        <f>IF($B1943="","",N($O1943)-N($P1943))</f>
        <v/>
      </c>
      <c r="R1943" s="47" t="n"/>
      <c r="S1943" s="47" t="n"/>
      <c r="T1943" s="47" t="n"/>
      <c r="U1943" s="43">
        <f>IF($B1943="","",N($J1943)-N($R1943)-N($T1943))</f>
        <v/>
      </c>
      <c r="V1943" s="47" t="n"/>
    </row>
    <row r="1944">
      <c r="A1944" s="39">
        <f>IF($B1944="","",COUNTA($B$4:$B1944))</f>
        <v/>
      </c>
      <c r="B1944" s="40" t="n"/>
      <c r="C1944" s="41" t="n"/>
      <c r="D1944" s="41" t="n"/>
      <c r="E1944" s="41" t="n"/>
      <c r="F1944" s="41" t="n"/>
      <c r="G1944" s="41" t="n"/>
      <c r="H1944" s="41" t="n"/>
      <c r="I1944" s="50" t="n"/>
      <c r="J1944" s="42" t="n"/>
      <c r="K1944" s="42" t="n"/>
      <c r="L1944" s="43">
        <f>IF($B1944="","",ROUND((N($J1944)+N($K1944))*نسبة_القيمة_المضافة,2))</f>
        <v/>
      </c>
      <c r="M1944" s="42" t="n"/>
      <c r="N1944" s="42" t="n"/>
      <c r="O1944" s="43">
        <f>IF($B1944="","",N($J1944)+N($K1944)+N($L1944)-N($M1944)+N($N1944))</f>
        <v/>
      </c>
      <c r="P1944" s="42" t="n"/>
      <c r="Q1944" s="43">
        <f>IF($B1944="","",N($O1944)-N($P1944))</f>
        <v/>
      </c>
      <c r="R1944" s="42" t="n"/>
      <c r="S1944" s="42" t="n"/>
      <c r="T1944" s="42" t="n"/>
      <c r="U1944" s="43">
        <f>IF($B1944="","",N($J1944)-N($R1944)-N($T1944))</f>
        <v/>
      </c>
      <c r="V1944" s="42" t="n"/>
    </row>
    <row r="1945">
      <c r="A1945" s="39">
        <f>IF($B1945="","",COUNTA($B$4:$B1945))</f>
        <v/>
      </c>
      <c r="B1945" s="45" t="n"/>
      <c r="C1945" s="46" t="n"/>
      <c r="D1945" s="46" t="n"/>
      <c r="E1945" s="46" t="n"/>
      <c r="F1945" s="46" t="n"/>
      <c r="G1945" s="46" t="n"/>
      <c r="H1945" s="46" t="n"/>
      <c r="I1945" s="51" t="n"/>
      <c r="J1945" s="47" t="n"/>
      <c r="K1945" s="47" t="n"/>
      <c r="L1945" s="43">
        <f>IF($B1945="","",ROUND((N($J1945)+N($K1945))*نسبة_القيمة_المضافة,2))</f>
        <v/>
      </c>
      <c r="M1945" s="47" t="n"/>
      <c r="N1945" s="47" t="n"/>
      <c r="O1945" s="43">
        <f>IF($B1945="","",N($J1945)+N($K1945)+N($L1945)-N($M1945)+N($N1945))</f>
        <v/>
      </c>
      <c r="P1945" s="47" t="n"/>
      <c r="Q1945" s="43">
        <f>IF($B1945="","",N($O1945)-N($P1945))</f>
        <v/>
      </c>
      <c r="R1945" s="47" t="n"/>
      <c r="S1945" s="47" t="n"/>
      <c r="T1945" s="47" t="n"/>
      <c r="U1945" s="43">
        <f>IF($B1945="","",N($J1945)-N($R1945)-N($T1945))</f>
        <v/>
      </c>
      <c r="V1945" s="47" t="n"/>
    </row>
    <row r="1946">
      <c r="A1946" s="39">
        <f>IF($B1946="","",COUNTA($B$4:$B1946))</f>
        <v/>
      </c>
      <c r="B1946" s="40" t="n"/>
      <c r="C1946" s="41" t="n"/>
      <c r="D1946" s="41" t="n"/>
      <c r="E1946" s="41" t="n"/>
      <c r="F1946" s="41" t="n"/>
      <c r="G1946" s="41" t="n"/>
      <c r="H1946" s="41" t="n"/>
      <c r="I1946" s="50" t="n"/>
      <c r="J1946" s="42" t="n"/>
      <c r="K1946" s="42" t="n"/>
      <c r="L1946" s="43">
        <f>IF($B1946="","",ROUND((N($J1946)+N($K1946))*نسبة_القيمة_المضافة,2))</f>
        <v/>
      </c>
      <c r="M1946" s="42" t="n"/>
      <c r="N1946" s="42" t="n"/>
      <c r="O1946" s="43">
        <f>IF($B1946="","",N($J1946)+N($K1946)+N($L1946)-N($M1946)+N($N1946))</f>
        <v/>
      </c>
      <c r="P1946" s="42" t="n"/>
      <c r="Q1946" s="43">
        <f>IF($B1946="","",N($O1946)-N($P1946))</f>
        <v/>
      </c>
      <c r="R1946" s="42" t="n"/>
      <c r="S1946" s="42" t="n"/>
      <c r="T1946" s="42" t="n"/>
      <c r="U1946" s="43">
        <f>IF($B1946="","",N($J1946)-N($R1946)-N($T1946))</f>
        <v/>
      </c>
      <c r="V1946" s="42" t="n"/>
    </row>
    <row r="1947">
      <c r="A1947" s="39">
        <f>IF($B1947="","",COUNTA($B$4:$B1947))</f>
        <v/>
      </c>
      <c r="B1947" s="45" t="n"/>
      <c r="C1947" s="46" t="n"/>
      <c r="D1947" s="46" t="n"/>
      <c r="E1947" s="46" t="n"/>
      <c r="F1947" s="46" t="n"/>
      <c r="G1947" s="46" t="n"/>
      <c r="H1947" s="46" t="n"/>
      <c r="I1947" s="51" t="n"/>
      <c r="J1947" s="47" t="n"/>
      <c r="K1947" s="47" t="n"/>
      <c r="L1947" s="43">
        <f>IF($B1947="","",ROUND((N($J1947)+N($K1947))*نسبة_القيمة_المضافة,2))</f>
        <v/>
      </c>
      <c r="M1947" s="47" t="n"/>
      <c r="N1947" s="47" t="n"/>
      <c r="O1947" s="43">
        <f>IF($B1947="","",N($J1947)+N($K1947)+N($L1947)-N($M1947)+N($N1947))</f>
        <v/>
      </c>
      <c r="P1947" s="47" t="n"/>
      <c r="Q1947" s="43">
        <f>IF($B1947="","",N($O1947)-N($P1947))</f>
        <v/>
      </c>
      <c r="R1947" s="47" t="n"/>
      <c r="S1947" s="47" t="n"/>
      <c r="T1947" s="47" t="n"/>
      <c r="U1947" s="43">
        <f>IF($B1947="","",N($J1947)-N($R1947)-N($T1947))</f>
        <v/>
      </c>
      <c r="V1947" s="47" t="n"/>
    </row>
    <row r="1948">
      <c r="A1948" s="39">
        <f>IF($B1948="","",COUNTA($B$4:$B1948))</f>
        <v/>
      </c>
      <c r="B1948" s="40" t="n"/>
      <c r="C1948" s="41" t="n"/>
      <c r="D1948" s="41" t="n"/>
      <c r="E1948" s="41" t="n"/>
      <c r="F1948" s="41" t="n"/>
      <c r="G1948" s="41" t="n"/>
      <c r="H1948" s="41" t="n"/>
      <c r="I1948" s="50" t="n"/>
      <c r="J1948" s="42" t="n"/>
      <c r="K1948" s="42" t="n"/>
      <c r="L1948" s="43">
        <f>IF($B1948="","",ROUND((N($J1948)+N($K1948))*نسبة_القيمة_المضافة,2))</f>
        <v/>
      </c>
      <c r="M1948" s="42" t="n"/>
      <c r="N1948" s="42" t="n"/>
      <c r="O1948" s="43">
        <f>IF($B1948="","",N($J1948)+N($K1948)+N($L1948)-N($M1948)+N($N1948))</f>
        <v/>
      </c>
      <c r="P1948" s="42" t="n"/>
      <c r="Q1948" s="43">
        <f>IF($B1948="","",N($O1948)-N($P1948))</f>
        <v/>
      </c>
      <c r="R1948" s="42" t="n"/>
      <c r="S1948" s="42" t="n"/>
      <c r="T1948" s="42" t="n"/>
      <c r="U1948" s="43">
        <f>IF($B1948="","",N($J1948)-N($R1948)-N($T1948))</f>
        <v/>
      </c>
      <c r="V1948" s="42" t="n"/>
    </row>
    <row r="1949">
      <c r="A1949" s="39">
        <f>IF($B1949="","",COUNTA($B$4:$B1949))</f>
        <v/>
      </c>
      <c r="B1949" s="45" t="n"/>
      <c r="C1949" s="46" t="n"/>
      <c r="D1949" s="46" t="n"/>
      <c r="E1949" s="46" t="n"/>
      <c r="F1949" s="46" t="n"/>
      <c r="G1949" s="46" t="n"/>
      <c r="H1949" s="46" t="n"/>
      <c r="I1949" s="51" t="n"/>
      <c r="J1949" s="47" t="n"/>
      <c r="K1949" s="47" t="n"/>
      <c r="L1949" s="43">
        <f>IF($B1949="","",ROUND((N($J1949)+N($K1949))*نسبة_القيمة_المضافة,2))</f>
        <v/>
      </c>
      <c r="M1949" s="47" t="n"/>
      <c r="N1949" s="47" t="n"/>
      <c r="O1949" s="43">
        <f>IF($B1949="","",N($J1949)+N($K1949)+N($L1949)-N($M1949)+N($N1949))</f>
        <v/>
      </c>
      <c r="P1949" s="47" t="n"/>
      <c r="Q1949" s="43">
        <f>IF($B1949="","",N($O1949)-N($P1949))</f>
        <v/>
      </c>
      <c r="R1949" s="47" t="n"/>
      <c r="S1949" s="47" t="n"/>
      <c r="T1949" s="47" t="n"/>
      <c r="U1949" s="43">
        <f>IF($B1949="","",N($J1949)-N($R1949)-N($T1949))</f>
        <v/>
      </c>
      <c r="V1949" s="47" t="n"/>
    </row>
    <row r="1950">
      <c r="A1950" s="39">
        <f>IF($B1950="","",COUNTA($B$4:$B1950))</f>
        <v/>
      </c>
      <c r="B1950" s="40" t="n"/>
      <c r="C1950" s="41" t="n"/>
      <c r="D1950" s="41" t="n"/>
      <c r="E1950" s="41" t="n"/>
      <c r="F1950" s="41" t="n"/>
      <c r="G1950" s="41" t="n"/>
      <c r="H1950" s="41" t="n"/>
      <c r="I1950" s="50" t="n"/>
      <c r="J1950" s="42" t="n"/>
      <c r="K1950" s="42" t="n"/>
      <c r="L1950" s="43">
        <f>IF($B1950="","",ROUND((N($J1950)+N($K1950))*نسبة_القيمة_المضافة,2))</f>
        <v/>
      </c>
      <c r="M1950" s="42" t="n"/>
      <c r="N1950" s="42" t="n"/>
      <c r="O1950" s="43">
        <f>IF($B1950="","",N($J1950)+N($K1950)+N($L1950)-N($M1950)+N($N1950))</f>
        <v/>
      </c>
      <c r="P1950" s="42" t="n"/>
      <c r="Q1950" s="43">
        <f>IF($B1950="","",N($O1950)-N($P1950))</f>
        <v/>
      </c>
      <c r="R1950" s="42" t="n"/>
      <c r="S1950" s="42" t="n"/>
      <c r="T1950" s="42" t="n"/>
      <c r="U1950" s="43">
        <f>IF($B1950="","",N($J1950)-N($R1950)-N($T1950))</f>
        <v/>
      </c>
      <c r="V1950" s="42" t="n"/>
    </row>
    <row r="1951">
      <c r="A1951" s="39">
        <f>IF($B1951="","",COUNTA($B$4:$B1951))</f>
        <v/>
      </c>
      <c r="B1951" s="45" t="n"/>
      <c r="C1951" s="46" t="n"/>
      <c r="D1951" s="46" t="n"/>
      <c r="E1951" s="46" t="n"/>
      <c r="F1951" s="46" t="n"/>
      <c r="G1951" s="46" t="n"/>
      <c r="H1951" s="46" t="n"/>
      <c r="I1951" s="51" t="n"/>
      <c r="J1951" s="47" t="n"/>
      <c r="K1951" s="47" t="n"/>
      <c r="L1951" s="43">
        <f>IF($B1951="","",ROUND((N($J1951)+N($K1951))*نسبة_القيمة_المضافة,2))</f>
        <v/>
      </c>
      <c r="M1951" s="47" t="n"/>
      <c r="N1951" s="47" t="n"/>
      <c r="O1951" s="43">
        <f>IF($B1951="","",N($J1951)+N($K1951)+N($L1951)-N($M1951)+N($N1951))</f>
        <v/>
      </c>
      <c r="P1951" s="47" t="n"/>
      <c r="Q1951" s="43">
        <f>IF($B1951="","",N($O1951)-N($P1951))</f>
        <v/>
      </c>
      <c r="R1951" s="47" t="n"/>
      <c r="S1951" s="47" t="n"/>
      <c r="T1951" s="47" t="n"/>
      <c r="U1951" s="43">
        <f>IF($B1951="","",N($J1951)-N($R1951)-N($T1951))</f>
        <v/>
      </c>
      <c r="V1951" s="47" t="n"/>
    </row>
    <row r="1952">
      <c r="A1952" s="39">
        <f>IF($B1952="","",COUNTA($B$4:$B1952))</f>
        <v/>
      </c>
      <c r="B1952" s="40" t="n"/>
      <c r="C1952" s="41" t="n"/>
      <c r="D1952" s="41" t="n"/>
      <c r="E1952" s="41" t="n"/>
      <c r="F1952" s="41" t="n"/>
      <c r="G1952" s="41" t="n"/>
      <c r="H1952" s="41" t="n"/>
      <c r="I1952" s="50" t="n"/>
      <c r="J1952" s="42" t="n"/>
      <c r="K1952" s="42" t="n"/>
      <c r="L1952" s="43">
        <f>IF($B1952="","",ROUND((N($J1952)+N($K1952))*نسبة_القيمة_المضافة,2))</f>
        <v/>
      </c>
      <c r="M1952" s="42" t="n"/>
      <c r="N1952" s="42" t="n"/>
      <c r="O1952" s="43">
        <f>IF($B1952="","",N($J1952)+N($K1952)+N($L1952)-N($M1952)+N($N1952))</f>
        <v/>
      </c>
      <c r="P1952" s="42" t="n"/>
      <c r="Q1952" s="43">
        <f>IF($B1952="","",N($O1952)-N($P1952))</f>
        <v/>
      </c>
      <c r="R1952" s="42" t="n"/>
      <c r="S1952" s="42" t="n"/>
      <c r="T1952" s="42" t="n"/>
      <c r="U1952" s="43">
        <f>IF($B1952="","",N($J1952)-N($R1952)-N($T1952))</f>
        <v/>
      </c>
      <c r="V1952" s="42" t="n"/>
    </row>
    <row r="1953">
      <c r="A1953" s="39">
        <f>IF($B1953="","",COUNTA($B$4:$B1953))</f>
        <v/>
      </c>
      <c r="B1953" s="45" t="n"/>
      <c r="C1953" s="46" t="n"/>
      <c r="D1953" s="46" t="n"/>
      <c r="E1953" s="46" t="n"/>
      <c r="F1953" s="46" t="n"/>
      <c r="G1953" s="46" t="n"/>
      <c r="H1953" s="46" t="n"/>
      <c r="I1953" s="51" t="n"/>
      <c r="J1953" s="47" t="n"/>
      <c r="K1953" s="47" t="n"/>
      <c r="L1953" s="43">
        <f>IF($B1953="","",ROUND((N($J1953)+N($K1953))*نسبة_القيمة_المضافة,2))</f>
        <v/>
      </c>
      <c r="M1953" s="47" t="n"/>
      <c r="N1953" s="47" t="n"/>
      <c r="O1953" s="43">
        <f>IF($B1953="","",N($J1953)+N($K1953)+N($L1953)-N($M1953)+N($N1953))</f>
        <v/>
      </c>
      <c r="P1953" s="47" t="n"/>
      <c r="Q1953" s="43">
        <f>IF($B1953="","",N($O1953)-N($P1953))</f>
        <v/>
      </c>
      <c r="R1953" s="47" t="n"/>
      <c r="S1953" s="47" t="n"/>
      <c r="T1953" s="47" t="n"/>
      <c r="U1953" s="43">
        <f>IF($B1953="","",N($J1953)-N($R1953)-N($T1953))</f>
        <v/>
      </c>
      <c r="V1953" s="47" t="n"/>
    </row>
    <row r="1954">
      <c r="A1954" s="39">
        <f>IF($B1954="","",COUNTA($B$4:$B1954))</f>
        <v/>
      </c>
      <c r="B1954" s="40" t="n"/>
      <c r="C1954" s="41" t="n"/>
      <c r="D1954" s="41" t="n"/>
      <c r="E1954" s="41" t="n"/>
      <c r="F1954" s="41" t="n"/>
      <c r="G1954" s="41" t="n"/>
      <c r="H1954" s="41" t="n"/>
      <c r="I1954" s="50" t="n"/>
      <c r="J1954" s="42" t="n"/>
      <c r="K1954" s="42" t="n"/>
      <c r="L1954" s="43">
        <f>IF($B1954="","",ROUND((N($J1954)+N($K1954))*نسبة_القيمة_المضافة,2))</f>
        <v/>
      </c>
      <c r="M1954" s="42" t="n"/>
      <c r="N1954" s="42" t="n"/>
      <c r="O1954" s="43">
        <f>IF($B1954="","",N($J1954)+N($K1954)+N($L1954)-N($M1954)+N($N1954))</f>
        <v/>
      </c>
      <c r="P1954" s="42" t="n"/>
      <c r="Q1954" s="43">
        <f>IF($B1954="","",N($O1954)-N($P1954))</f>
        <v/>
      </c>
      <c r="R1954" s="42" t="n"/>
      <c r="S1954" s="42" t="n"/>
      <c r="T1954" s="42" t="n"/>
      <c r="U1954" s="43">
        <f>IF($B1954="","",N($J1954)-N($R1954)-N($T1954))</f>
        <v/>
      </c>
      <c r="V1954" s="42" t="n"/>
    </row>
    <row r="1955">
      <c r="A1955" s="39">
        <f>IF($B1955="","",COUNTA($B$4:$B1955))</f>
        <v/>
      </c>
      <c r="B1955" s="45" t="n"/>
      <c r="C1955" s="46" t="n"/>
      <c r="D1955" s="46" t="n"/>
      <c r="E1955" s="46" t="n"/>
      <c r="F1955" s="46" t="n"/>
      <c r="G1955" s="46" t="n"/>
      <c r="H1955" s="46" t="n"/>
      <c r="I1955" s="51" t="n"/>
      <c r="J1955" s="47" t="n"/>
      <c r="K1955" s="47" t="n"/>
      <c r="L1955" s="43">
        <f>IF($B1955="","",ROUND((N($J1955)+N($K1955))*نسبة_القيمة_المضافة,2))</f>
        <v/>
      </c>
      <c r="M1955" s="47" t="n"/>
      <c r="N1955" s="47" t="n"/>
      <c r="O1955" s="43">
        <f>IF($B1955="","",N($J1955)+N($K1955)+N($L1955)-N($M1955)+N($N1955))</f>
        <v/>
      </c>
      <c r="P1955" s="47" t="n"/>
      <c r="Q1955" s="43">
        <f>IF($B1955="","",N($O1955)-N($P1955))</f>
        <v/>
      </c>
      <c r="R1955" s="47" t="n"/>
      <c r="S1955" s="47" t="n"/>
      <c r="T1955" s="47" t="n"/>
      <c r="U1955" s="43">
        <f>IF($B1955="","",N($J1955)-N($R1955)-N($T1955))</f>
        <v/>
      </c>
      <c r="V1955" s="47" t="n"/>
    </row>
    <row r="1956">
      <c r="A1956" s="39">
        <f>IF($B1956="","",COUNTA($B$4:$B1956))</f>
        <v/>
      </c>
      <c r="B1956" s="40" t="n"/>
      <c r="C1956" s="41" t="n"/>
      <c r="D1956" s="41" t="n"/>
      <c r="E1956" s="41" t="n"/>
      <c r="F1956" s="41" t="n"/>
      <c r="G1956" s="41" t="n"/>
      <c r="H1956" s="41" t="n"/>
      <c r="I1956" s="50" t="n"/>
      <c r="J1956" s="42" t="n"/>
      <c r="K1956" s="42" t="n"/>
      <c r="L1956" s="43">
        <f>IF($B1956="","",ROUND((N($J1956)+N($K1956))*نسبة_القيمة_المضافة,2))</f>
        <v/>
      </c>
      <c r="M1956" s="42" t="n"/>
      <c r="N1956" s="42" t="n"/>
      <c r="O1956" s="43">
        <f>IF($B1956="","",N($J1956)+N($K1956)+N($L1956)-N($M1956)+N($N1956))</f>
        <v/>
      </c>
      <c r="P1956" s="42" t="n"/>
      <c r="Q1956" s="43">
        <f>IF($B1956="","",N($O1956)-N($P1956))</f>
        <v/>
      </c>
      <c r="R1956" s="42" t="n"/>
      <c r="S1956" s="42" t="n"/>
      <c r="T1956" s="42" t="n"/>
      <c r="U1956" s="43">
        <f>IF($B1956="","",N($J1956)-N($R1956)-N($T1956))</f>
        <v/>
      </c>
      <c r="V1956" s="42" t="n"/>
    </row>
    <row r="1957">
      <c r="A1957" s="39">
        <f>IF($B1957="","",COUNTA($B$4:$B1957))</f>
        <v/>
      </c>
      <c r="B1957" s="45" t="n"/>
      <c r="C1957" s="46" t="n"/>
      <c r="D1957" s="46" t="n"/>
      <c r="E1957" s="46" t="n"/>
      <c r="F1957" s="46" t="n"/>
      <c r="G1957" s="46" t="n"/>
      <c r="H1957" s="46" t="n"/>
      <c r="I1957" s="51" t="n"/>
      <c r="J1957" s="47" t="n"/>
      <c r="K1957" s="47" t="n"/>
      <c r="L1957" s="43">
        <f>IF($B1957="","",ROUND((N($J1957)+N($K1957))*نسبة_القيمة_المضافة,2))</f>
        <v/>
      </c>
      <c r="M1957" s="47" t="n"/>
      <c r="N1957" s="47" t="n"/>
      <c r="O1957" s="43">
        <f>IF($B1957="","",N($J1957)+N($K1957)+N($L1957)-N($M1957)+N($N1957))</f>
        <v/>
      </c>
      <c r="P1957" s="47" t="n"/>
      <c r="Q1957" s="43">
        <f>IF($B1957="","",N($O1957)-N($P1957))</f>
        <v/>
      </c>
      <c r="R1957" s="47" t="n"/>
      <c r="S1957" s="47" t="n"/>
      <c r="T1957" s="47" t="n"/>
      <c r="U1957" s="43">
        <f>IF($B1957="","",N($J1957)-N($R1957)-N($T1957))</f>
        <v/>
      </c>
      <c r="V1957" s="47" t="n"/>
    </row>
    <row r="1958">
      <c r="A1958" s="39">
        <f>IF($B1958="","",COUNTA($B$4:$B1958))</f>
        <v/>
      </c>
      <c r="B1958" s="40" t="n"/>
      <c r="C1958" s="41" t="n"/>
      <c r="D1958" s="41" t="n"/>
      <c r="E1958" s="41" t="n"/>
      <c r="F1958" s="41" t="n"/>
      <c r="G1958" s="41" t="n"/>
      <c r="H1958" s="41" t="n"/>
      <c r="I1958" s="50" t="n"/>
      <c r="J1958" s="42" t="n"/>
      <c r="K1958" s="42" t="n"/>
      <c r="L1958" s="43">
        <f>IF($B1958="","",ROUND((N($J1958)+N($K1958))*نسبة_القيمة_المضافة,2))</f>
        <v/>
      </c>
      <c r="M1958" s="42" t="n"/>
      <c r="N1958" s="42" t="n"/>
      <c r="O1958" s="43">
        <f>IF($B1958="","",N($J1958)+N($K1958)+N($L1958)-N($M1958)+N($N1958))</f>
        <v/>
      </c>
      <c r="P1958" s="42" t="n"/>
      <c r="Q1958" s="43">
        <f>IF($B1958="","",N($O1958)-N($P1958))</f>
        <v/>
      </c>
      <c r="R1958" s="42" t="n"/>
      <c r="S1958" s="42" t="n"/>
      <c r="T1958" s="42" t="n"/>
      <c r="U1958" s="43">
        <f>IF($B1958="","",N($J1958)-N($R1958)-N($T1958))</f>
        <v/>
      </c>
      <c r="V1958" s="42" t="n"/>
    </row>
    <row r="1959">
      <c r="A1959" s="39">
        <f>IF($B1959="","",COUNTA($B$4:$B1959))</f>
        <v/>
      </c>
      <c r="B1959" s="45" t="n"/>
      <c r="C1959" s="46" t="n"/>
      <c r="D1959" s="46" t="n"/>
      <c r="E1959" s="46" t="n"/>
      <c r="F1959" s="46" t="n"/>
      <c r="G1959" s="46" t="n"/>
      <c r="H1959" s="46" t="n"/>
      <c r="I1959" s="51" t="n"/>
      <c r="J1959" s="47" t="n"/>
      <c r="K1959" s="47" t="n"/>
      <c r="L1959" s="43">
        <f>IF($B1959="","",ROUND((N($J1959)+N($K1959))*نسبة_القيمة_المضافة,2))</f>
        <v/>
      </c>
      <c r="M1959" s="47" t="n"/>
      <c r="N1959" s="47" t="n"/>
      <c r="O1959" s="43">
        <f>IF($B1959="","",N($J1959)+N($K1959)+N($L1959)-N($M1959)+N($N1959))</f>
        <v/>
      </c>
      <c r="P1959" s="47" t="n"/>
      <c r="Q1959" s="43">
        <f>IF($B1959="","",N($O1959)-N($P1959))</f>
        <v/>
      </c>
      <c r="R1959" s="47" t="n"/>
      <c r="S1959" s="47" t="n"/>
      <c r="T1959" s="47" t="n"/>
      <c r="U1959" s="43">
        <f>IF($B1959="","",N($J1959)-N($R1959)-N($T1959))</f>
        <v/>
      </c>
      <c r="V1959" s="47" t="n"/>
    </row>
    <row r="1960">
      <c r="A1960" s="39">
        <f>IF($B1960="","",COUNTA($B$4:$B1960))</f>
        <v/>
      </c>
      <c r="B1960" s="40" t="n"/>
      <c r="C1960" s="41" t="n"/>
      <c r="D1960" s="41" t="n"/>
      <c r="E1960" s="41" t="n"/>
      <c r="F1960" s="41" t="n"/>
      <c r="G1960" s="41" t="n"/>
      <c r="H1960" s="41" t="n"/>
      <c r="I1960" s="50" t="n"/>
      <c r="J1960" s="42" t="n"/>
      <c r="K1960" s="42" t="n"/>
      <c r="L1960" s="43">
        <f>IF($B1960="","",ROUND((N($J1960)+N($K1960))*نسبة_القيمة_المضافة,2))</f>
        <v/>
      </c>
      <c r="M1960" s="42" t="n"/>
      <c r="N1960" s="42" t="n"/>
      <c r="O1960" s="43">
        <f>IF($B1960="","",N($J1960)+N($K1960)+N($L1960)-N($M1960)+N($N1960))</f>
        <v/>
      </c>
      <c r="P1960" s="42" t="n"/>
      <c r="Q1960" s="43">
        <f>IF($B1960="","",N($O1960)-N($P1960))</f>
        <v/>
      </c>
      <c r="R1960" s="42" t="n"/>
      <c r="S1960" s="42" t="n"/>
      <c r="T1960" s="42" t="n"/>
      <c r="U1960" s="43">
        <f>IF($B1960="","",N($J1960)-N($R1960)-N($T1960))</f>
        <v/>
      </c>
      <c r="V1960" s="42" t="n"/>
    </row>
    <row r="1961">
      <c r="A1961" s="39">
        <f>IF($B1961="","",COUNTA($B$4:$B1961))</f>
        <v/>
      </c>
      <c r="B1961" s="45" t="n"/>
      <c r="C1961" s="46" t="n"/>
      <c r="D1961" s="46" t="n"/>
      <c r="E1961" s="46" t="n"/>
      <c r="F1961" s="46" t="n"/>
      <c r="G1961" s="46" t="n"/>
      <c r="H1961" s="46" t="n"/>
      <c r="I1961" s="51" t="n"/>
      <c r="J1961" s="47" t="n"/>
      <c r="K1961" s="47" t="n"/>
      <c r="L1961" s="43">
        <f>IF($B1961="","",ROUND((N($J1961)+N($K1961))*نسبة_القيمة_المضافة,2))</f>
        <v/>
      </c>
      <c r="M1961" s="47" t="n"/>
      <c r="N1961" s="47" t="n"/>
      <c r="O1961" s="43">
        <f>IF($B1961="","",N($J1961)+N($K1961)+N($L1961)-N($M1961)+N($N1961))</f>
        <v/>
      </c>
      <c r="P1961" s="47" t="n"/>
      <c r="Q1961" s="43">
        <f>IF($B1961="","",N($O1961)-N($P1961))</f>
        <v/>
      </c>
      <c r="R1961" s="47" t="n"/>
      <c r="S1961" s="47" t="n"/>
      <c r="T1961" s="47" t="n"/>
      <c r="U1961" s="43">
        <f>IF($B1961="","",N($J1961)-N($R1961)-N($T1961))</f>
        <v/>
      </c>
      <c r="V1961" s="47" t="n"/>
    </row>
    <row r="1962">
      <c r="A1962" s="39">
        <f>IF($B1962="","",COUNTA($B$4:$B1962))</f>
        <v/>
      </c>
      <c r="B1962" s="40" t="n"/>
      <c r="C1962" s="41" t="n"/>
      <c r="D1962" s="41" t="n"/>
      <c r="E1962" s="41" t="n"/>
      <c r="F1962" s="41" t="n"/>
      <c r="G1962" s="41" t="n"/>
      <c r="H1962" s="41" t="n"/>
      <c r="I1962" s="50" t="n"/>
      <c r="J1962" s="42" t="n"/>
      <c r="K1962" s="42" t="n"/>
      <c r="L1962" s="43">
        <f>IF($B1962="","",ROUND((N($J1962)+N($K1962))*نسبة_القيمة_المضافة,2))</f>
        <v/>
      </c>
      <c r="M1962" s="42" t="n"/>
      <c r="N1962" s="42" t="n"/>
      <c r="O1962" s="43">
        <f>IF($B1962="","",N($J1962)+N($K1962)+N($L1962)-N($M1962)+N($N1962))</f>
        <v/>
      </c>
      <c r="P1962" s="42" t="n"/>
      <c r="Q1962" s="43">
        <f>IF($B1962="","",N($O1962)-N($P1962))</f>
        <v/>
      </c>
      <c r="R1962" s="42" t="n"/>
      <c r="S1962" s="42" t="n"/>
      <c r="T1962" s="42" t="n"/>
      <c r="U1962" s="43">
        <f>IF($B1962="","",N($J1962)-N($R1962)-N($T1962))</f>
        <v/>
      </c>
      <c r="V1962" s="42" t="n"/>
    </row>
    <row r="1963">
      <c r="A1963" s="39">
        <f>IF($B1963="","",COUNTA($B$4:$B1963))</f>
        <v/>
      </c>
      <c r="B1963" s="45" t="n"/>
      <c r="C1963" s="46" t="n"/>
      <c r="D1963" s="46" t="n"/>
      <c r="E1963" s="46" t="n"/>
      <c r="F1963" s="46" t="n"/>
      <c r="G1963" s="46" t="n"/>
      <c r="H1963" s="46" t="n"/>
      <c r="I1963" s="51" t="n"/>
      <c r="J1963" s="47" t="n"/>
      <c r="K1963" s="47" t="n"/>
      <c r="L1963" s="43">
        <f>IF($B1963="","",ROUND((N($J1963)+N($K1963))*نسبة_القيمة_المضافة,2))</f>
        <v/>
      </c>
      <c r="M1963" s="47" t="n"/>
      <c r="N1963" s="47" t="n"/>
      <c r="O1963" s="43">
        <f>IF($B1963="","",N($J1963)+N($K1963)+N($L1963)-N($M1963)+N($N1963))</f>
        <v/>
      </c>
      <c r="P1963" s="47" t="n"/>
      <c r="Q1963" s="43">
        <f>IF($B1963="","",N($O1963)-N($P1963))</f>
        <v/>
      </c>
      <c r="R1963" s="47" t="n"/>
      <c r="S1963" s="47" t="n"/>
      <c r="T1963" s="47" t="n"/>
      <c r="U1963" s="43">
        <f>IF($B1963="","",N($J1963)-N($R1963)-N($T1963))</f>
        <v/>
      </c>
      <c r="V1963" s="47" t="n"/>
    </row>
    <row r="1964">
      <c r="A1964" s="39">
        <f>IF($B1964="","",COUNTA($B$4:$B1964))</f>
        <v/>
      </c>
      <c r="B1964" s="40" t="n"/>
      <c r="C1964" s="41" t="n"/>
      <c r="D1964" s="41" t="n"/>
      <c r="E1964" s="41" t="n"/>
      <c r="F1964" s="41" t="n"/>
      <c r="G1964" s="41" t="n"/>
      <c r="H1964" s="41" t="n"/>
      <c r="I1964" s="50" t="n"/>
      <c r="J1964" s="42" t="n"/>
      <c r="K1964" s="42" t="n"/>
      <c r="L1964" s="43">
        <f>IF($B1964="","",ROUND((N($J1964)+N($K1964))*نسبة_القيمة_المضافة,2))</f>
        <v/>
      </c>
      <c r="M1964" s="42" t="n"/>
      <c r="N1964" s="42" t="n"/>
      <c r="O1964" s="43">
        <f>IF($B1964="","",N($J1964)+N($K1964)+N($L1964)-N($M1964)+N($N1964))</f>
        <v/>
      </c>
      <c r="P1964" s="42" t="n"/>
      <c r="Q1964" s="43">
        <f>IF($B1964="","",N($O1964)-N($P1964))</f>
        <v/>
      </c>
      <c r="R1964" s="42" t="n"/>
      <c r="S1964" s="42" t="n"/>
      <c r="T1964" s="42" t="n"/>
      <c r="U1964" s="43">
        <f>IF($B1964="","",N($J1964)-N($R1964)-N($T1964))</f>
        <v/>
      </c>
      <c r="V1964" s="42" t="n"/>
    </row>
    <row r="1965">
      <c r="A1965" s="39">
        <f>IF($B1965="","",COUNTA($B$4:$B1965))</f>
        <v/>
      </c>
      <c r="B1965" s="45" t="n"/>
      <c r="C1965" s="46" t="n"/>
      <c r="D1965" s="46" t="n"/>
      <c r="E1965" s="46" t="n"/>
      <c r="F1965" s="46" t="n"/>
      <c r="G1965" s="46" t="n"/>
      <c r="H1965" s="46" t="n"/>
      <c r="I1965" s="51" t="n"/>
      <c r="J1965" s="47" t="n"/>
      <c r="K1965" s="47" t="n"/>
      <c r="L1965" s="43">
        <f>IF($B1965="","",ROUND((N($J1965)+N($K1965))*نسبة_القيمة_المضافة,2))</f>
        <v/>
      </c>
      <c r="M1965" s="47" t="n"/>
      <c r="N1965" s="47" t="n"/>
      <c r="O1965" s="43">
        <f>IF($B1965="","",N($J1965)+N($K1965)+N($L1965)-N($M1965)+N($N1965))</f>
        <v/>
      </c>
      <c r="P1965" s="47" t="n"/>
      <c r="Q1965" s="43">
        <f>IF($B1965="","",N($O1965)-N($P1965))</f>
        <v/>
      </c>
      <c r="R1965" s="47" t="n"/>
      <c r="S1965" s="47" t="n"/>
      <c r="T1965" s="47" t="n"/>
      <c r="U1965" s="43">
        <f>IF($B1965="","",N($J1965)-N($R1965)-N($T1965))</f>
        <v/>
      </c>
      <c r="V1965" s="47" t="n"/>
    </row>
    <row r="1966">
      <c r="A1966" s="39">
        <f>IF($B1966="","",COUNTA($B$4:$B1966))</f>
        <v/>
      </c>
      <c r="B1966" s="40" t="n"/>
      <c r="C1966" s="41" t="n"/>
      <c r="D1966" s="41" t="n"/>
      <c r="E1966" s="41" t="n"/>
      <c r="F1966" s="41" t="n"/>
      <c r="G1966" s="41" t="n"/>
      <c r="H1966" s="41" t="n"/>
      <c r="I1966" s="50" t="n"/>
      <c r="J1966" s="42" t="n"/>
      <c r="K1966" s="42" t="n"/>
      <c r="L1966" s="43">
        <f>IF($B1966="","",ROUND((N($J1966)+N($K1966))*نسبة_القيمة_المضافة,2))</f>
        <v/>
      </c>
      <c r="M1966" s="42" t="n"/>
      <c r="N1966" s="42" t="n"/>
      <c r="O1966" s="43">
        <f>IF($B1966="","",N($J1966)+N($K1966)+N($L1966)-N($M1966)+N($N1966))</f>
        <v/>
      </c>
      <c r="P1966" s="42" t="n"/>
      <c r="Q1966" s="43">
        <f>IF($B1966="","",N($O1966)-N($P1966))</f>
        <v/>
      </c>
      <c r="R1966" s="42" t="n"/>
      <c r="S1966" s="42" t="n"/>
      <c r="T1966" s="42" t="n"/>
      <c r="U1966" s="43">
        <f>IF($B1966="","",N($J1966)-N($R1966)-N($T1966))</f>
        <v/>
      </c>
      <c r="V1966" s="42" t="n"/>
    </row>
    <row r="1967">
      <c r="A1967" s="39">
        <f>IF($B1967="","",COUNTA($B$4:$B1967))</f>
        <v/>
      </c>
      <c r="B1967" s="45" t="n"/>
      <c r="C1967" s="46" t="n"/>
      <c r="D1967" s="46" t="n"/>
      <c r="E1967" s="46" t="n"/>
      <c r="F1967" s="46" t="n"/>
      <c r="G1967" s="46" t="n"/>
      <c r="H1967" s="46" t="n"/>
      <c r="I1967" s="51" t="n"/>
      <c r="J1967" s="47" t="n"/>
      <c r="K1967" s="47" t="n"/>
      <c r="L1967" s="43">
        <f>IF($B1967="","",ROUND((N($J1967)+N($K1967))*نسبة_القيمة_المضافة,2))</f>
        <v/>
      </c>
      <c r="M1967" s="47" t="n"/>
      <c r="N1967" s="47" t="n"/>
      <c r="O1967" s="43">
        <f>IF($B1967="","",N($J1967)+N($K1967)+N($L1967)-N($M1967)+N($N1967))</f>
        <v/>
      </c>
      <c r="P1967" s="47" t="n"/>
      <c r="Q1967" s="43">
        <f>IF($B1967="","",N($O1967)-N($P1967))</f>
        <v/>
      </c>
      <c r="R1967" s="47" t="n"/>
      <c r="S1967" s="47" t="n"/>
      <c r="T1967" s="47" t="n"/>
      <c r="U1967" s="43">
        <f>IF($B1967="","",N($J1967)-N($R1967)-N($T1967))</f>
        <v/>
      </c>
      <c r="V1967" s="47" t="n"/>
    </row>
    <row r="1968">
      <c r="A1968" s="39">
        <f>IF($B1968="","",COUNTA($B$4:$B1968))</f>
        <v/>
      </c>
      <c r="B1968" s="40" t="n"/>
      <c r="C1968" s="41" t="n"/>
      <c r="D1968" s="41" t="n"/>
      <c r="E1968" s="41" t="n"/>
      <c r="F1968" s="41" t="n"/>
      <c r="G1968" s="41" t="n"/>
      <c r="H1968" s="41" t="n"/>
      <c r="I1968" s="50" t="n"/>
      <c r="J1968" s="42" t="n"/>
      <c r="K1968" s="42" t="n"/>
      <c r="L1968" s="43">
        <f>IF($B1968="","",ROUND((N($J1968)+N($K1968))*نسبة_القيمة_المضافة,2))</f>
        <v/>
      </c>
      <c r="M1968" s="42" t="n"/>
      <c r="N1968" s="42" t="n"/>
      <c r="O1968" s="43">
        <f>IF($B1968="","",N($J1968)+N($K1968)+N($L1968)-N($M1968)+N($N1968))</f>
        <v/>
      </c>
      <c r="P1968" s="42" t="n"/>
      <c r="Q1968" s="43">
        <f>IF($B1968="","",N($O1968)-N($P1968))</f>
        <v/>
      </c>
      <c r="R1968" s="42" t="n"/>
      <c r="S1968" s="42" t="n"/>
      <c r="T1968" s="42" t="n"/>
      <c r="U1968" s="43">
        <f>IF($B1968="","",N($J1968)-N($R1968)-N($T1968))</f>
        <v/>
      </c>
      <c r="V1968" s="42" t="n"/>
    </row>
    <row r="1969">
      <c r="A1969" s="39">
        <f>IF($B1969="","",COUNTA($B$4:$B1969))</f>
        <v/>
      </c>
      <c r="B1969" s="45" t="n"/>
      <c r="C1969" s="46" t="n"/>
      <c r="D1969" s="46" t="n"/>
      <c r="E1969" s="46" t="n"/>
      <c r="F1969" s="46" t="n"/>
      <c r="G1969" s="46" t="n"/>
      <c r="H1969" s="46" t="n"/>
      <c r="I1969" s="51" t="n"/>
      <c r="J1969" s="47" t="n"/>
      <c r="K1969" s="47" t="n"/>
      <c r="L1969" s="43">
        <f>IF($B1969="","",ROUND((N($J1969)+N($K1969))*نسبة_القيمة_المضافة,2))</f>
        <v/>
      </c>
      <c r="M1969" s="47" t="n"/>
      <c r="N1969" s="47" t="n"/>
      <c r="O1969" s="43">
        <f>IF($B1969="","",N($J1969)+N($K1969)+N($L1969)-N($M1969)+N($N1969))</f>
        <v/>
      </c>
      <c r="P1969" s="47" t="n"/>
      <c r="Q1969" s="43">
        <f>IF($B1969="","",N($O1969)-N($P1969))</f>
        <v/>
      </c>
      <c r="R1969" s="47" t="n"/>
      <c r="S1969" s="47" t="n"/>
      <c r="T1969" s="47" t="n"/>
      <c r="U1969" s="43">
        <f>IF($B1969="","",N($J1969)-N($R1969)-N($T1969))</f>
        <v/>
      </c>
      <c r="V1969" s="47" t="n"/>
    </row>
    <row r="1970">
      <c r="A1970" s="39">
        <f>IF($B1970="","",COUNTA($B$4:$B1970))</f>
        <v/>
      </c>
      <c r="B1970" s="40" t="n"/>
      <c r="C1970" s="41" t="n"/>
      <c r="D1970" s="41" t="n"/>
      <c r="E1970" s="41" t="n"/>
      <c r="F1970" s="41" t="n"/>
      <c r="G1970" s="41" t="n"/>
      <c r="H1970" s="41" t="n"/>
      <c r="I1970" s="50" t="n"/>
      <c r="J1970" s="42" t="n"/>
      <c r="K1970" s="42" t="n"/>
      <c r="L1970" s="43">
        <f>IF($B1970="","",ROUND((N($J1970)+N($K1970))*نسبة_القيمة_المضافة,2))</f>
        <v/>
      </c>
      <c r="M1970" s="42" t="n"/>
      <c r="N1970" s="42" t="n"/>
      <c r="O1970" s="43">
        <f>IF($B1970="","",N($J1970)+N($K1970)+N($L1970)-N($M1970)+N($N1970))</f>
        <v/>
      </c>
      <c r="P1970" s="42" t="n"/>
      <c r="Q1970" s="43">
        <f>IF($B1970="","",N($O1970)-N($P1970))</f>
        <v/>
      </c>
      <c r="R1970" s="42" t="n"/>
      <c r="S1970" s="42" t="n"/>
      <c r="T1970" s="42" t="n"/>
      <c r="U1970" s="43">
        <f>IF($B1970="","",N($J1970)-N($R1970)-N($T1970))</f>
        <v/>
      </c>
      <c r="V1970" s="42" t="n"/>
    </row>
    <row r="1971">
      <c r="A1971" s="39">
        <f>IF($B1971="","",COUNTA($B$4:$B1971))</f>
        <v/>
      </c>
      <c r="B1971" s="45" t="n"/>
      <c r="C1971" s="46" t="n"/>
      <c r="D1971" s="46" t="n"/>
      <c r="E1971" s="46" t="n"/>
      <c r="F1971" s="46" t="n"/>
      <c r="G1971" s="46" t="n"/>
      <c r="H1971" s="46" t="n"/>
      <c r="I1971" s="51" t="n"/>
      <c r="J1971" s="47" t="n"/>
      <c r="K1971" s="47" t="n"/>
      <c r="L1971" s="43">
        <f>IF($B1971="","",ROUND((N($J1971)+N($K1971))*نسبة_القيمة_المضافة,2))</f>
        <v/>
      </c>
      <c r="M1971" s="47" t="n"/>
      <c r="N1971" s="47" t="n"/>
      <c r="O1971" s="43">
        <f>IF($B1971="","",N($J1971)+N($K1971)+N($L1971)-N($M1971)+N($N1971))</f>
        <v/>
      </c>
      <c r="P1971" s="47" t="n"/>
      <c r="Q1971" s="43">
        <f>IF($B1971="","",N($O1971)-N($P1971))</f>
        <v/>
      </c>
      <c r="R1971" s="47" t="n"/>
      <c r="S1971" s="47" t="n"/>
      <c r="T1971" s="47" t="n"/>
      <c r="U1971" s="43">
        <f>IF($B1971="","",N($J1971)-N($R1971)-N($T1971))</f>
        <v/>
      </c>
      <c r="V1971" s="47" t="n"/>
    </row>
    <row r="1972">
      <c r="A1972" s="39">
        <f>IF($B1972="","",COUNTA($B$4:$B1972))</f>
        <v/>
      </c>
      <c r="B1972" s="40" t="n"/>
      <c r="C1972" s="41" t="n"/>
      <c r="D1972" s="41" t="n"/>
      <c r="E1972" s="41" t="n"/>
      <c r="F1972" s="41" t="n"/>
      <c r="G1972" s="41" t="n"/>
      <c r="H1972" s="41" t="n"/>
      <c r="I1972" s="50" t="n"/>
      <c r="J1972" s="42" t="n"/>
      <c r="K1972" s="42" t="n"/>
      <c r="L1972" s="43">
        <f>IF($B1972="","",ROUND((N($J1972)+N($K1972))*نسبة_القيمة_المضافة,2))</f>
        <v/>
      </c>
      <c r="M1972" s="42" t="n"/>
      <c r="N1972" s="42" t="n"/>
      <c r="O1972" s="43">
        <f>IF($B1972="","",N($J1972)+N($K1972)+N($L1972)-N($M1972)+N($N1972))</f>
        <v/>
      </c>
      <c r="P1972" s="42" t="n"/>
      <c r="Q1972" s="43">
        <f>IF($B1972="","",N($O1972)-N($P1972))</f>
        <v/>
      </c>
      <c r="R1972" s="42" t="n"/>
      <c r="S1972" s="42" t="n"/>
      <c r="T1972" s="42" t="n"/>
      <c r="U1972" s="43">
        <f>IF($B1972="","",N($J1972)-N($R1972)-N($T1972))</f>
        <v/>
      </c>
      <c r="V1972" s="42" t="n"/>
    </row>
    <row r="1973">
      <c r="A1973" s="39">
        <f>IF($B1973="","",COUNTA($B$4:$B1973))</f>
        <v/>
      </c>
      <c r="B1973" s="45" t="n"/>
      <c r="C1973" s="46" t="n"/>
      <c r="D1973" s="46" t="n"/>
      <c r="E1973" s="46" t="n"/>
      <c r="F1973" s="46" t="n"/>
      <c r="G1973" s="46" t="n"/>
      <c r="H1973" s="46" t="n"/>
      <c r="I1973" s="51" t="n"/>
      <c r="J1973" s="47" t="n"/>
      <c r="K1973" s="47" t="n"/>
      <c r="L1973" s="43">
        <f>IF($B1973="","",ROUND((N($J1973)+N($K1973))*نسبة_القيمة_المضافة,2))</f>
        <v/>
      </c>
      <c r="M1973" s="47" t="n"/>
      <c r="N1973" s="47" t="n"/>
      <c r="O1973" s="43">
        <f>IF($B1973="","",N($J1973)+N($K1973)+N($L1973)-N($M1973)+N($N1973))</f>
        <v/>
      </c>
      <c r="P1973" s="47" t="n"/>
      <c r="Q1973" s="43">
        <f>IF($B1973="","",N($O1973)-N($P1973))</f>
        <v/>
      </c>
      <c r="R1973" s="47" t="n"/>
      <c r="S1973" s="47" t="n"/>
      <c r="T1973" s="47" t="n"/>
      <c r="U1973" s="43">
        <f>IF($B1973="","",N($J1973)-N($R1973)-N($T1973))</f>
        <v/>
      </c>
      <c r="V1973" s="47" t="n"/>
    </row>
    <row r="1974">
      <c r="A1974" s="39">
        <f>IF($B1974="","",COUNTA($B$4:$B1974))</f>
        <v/>
      </c>
      <c r="B1974" s="40" t="n"/>
      <c r="C1974" s="41" t="n"/>
      <c r="D1974" s="41" t="n"/>
      <c r="E1974" s="41" t="n"/>
      <c r="F1974" s="41" t="n"/>
      <c r="G1974" s="41" t="n"/>
      <c r="H1974" s="41" t="n"/>
      <c r="I1974" s="50" t="n"/>
      <c r="J1974" s="42" t="n"/>
      <c r="K1974" s="42" t="n"/>
      <c r="L1974" s="43">
        <f>IF($B1974="","",ROUND((N($J1974)+N($K1974))*نسبة_القيمة_المضافة,2))</f>
        <v/>
      </c>
      <c r="M1974" s="42" t="n"/>
      <c r="N1974" s="42" t="n"/>
      <c r="O1974" s="43">
        <f>IF($B1974="","",N($J1974)+N($K1974)+N($L1974)-N($M1974)+N($N1974))</f>
        <v/>
      </c>
      <c r="P1974" s="42" t="n"/>
      <c r="Q1974" s="43">
        <f>IF($B1974="","",N($O1974)-N($P1974))</f>
        <v/>
      </c>
      <c r="R1974" s="42" t="n"/>
      <c r="S1974" s="42" t="n"/>
      <c r="T1974" s="42" t="n"/>
      <c r="U1974" s="43">
        <f>IF($B1974="","",N($J1974)-N($R1974)-N($T1974))</f>
        <v/>
      </c>
      <c r="V1974" s="42" t="n"/>
    </row>
    <row r="1975">
      <c r="A1975" s="39">
        <f>IF($B1975="","",COUNTA($B$4:$B1975))</f>
        <v/>
      </c>
      <c r="B1975" s="45" t="n"/>
      <c r="C1975" s="46" t="n"/>
      <c r="D1975" s="46" t="n"/>
      <c r="E1975" s="46" t="n"/>
      <c r="F1975" s="46" t="n"/>
      <c r="G1975" s="46" t="n"/>
      <c r="H1975" s="46" t="n"/>
      <c r="I1975" s="51" t="n"/>
      <c r="J1975" s="47" t="n"/>
      <c r="K1975" s="47" t="n"/>
      <c r="L1975" s="43">
        <f>IF($B1975="","",ROUND((N($J1975)+N($K1975))*نسبة_القيمة_المضافة,2))</f>
        <v/>
      </c>
      <c r="M1975" s="47" t="n"/>
      <c r="N1975" s="47" t="n"/>
      <c r="O1975" s="43">
        <f>IF($B1975="","",N($J1975)+N($K1975)+N($L1975)-N($M1975)+N($N1975))</f>
        <v/>
      </c>
      <c r="P1975" s="47" t="n"/>
      <c r="Q1975" s="43">
        <f>IF($B1975="","",N($O1975)-N($P1975))</f>
        <v/>
      </c>
      <c r="R1975" s="47" t="n"/>
      <c r="S1975" s="47" t="n"/>
      <c r="T1975" s="47" t="n"/>
      <c r="U1975" s="43">
        <f>IF($B1975="","",N($J1975)-N($R1975)-N($T1975))</f>
        <v/>
      </c>
      <c r="V1975" s="47" t="n"/>
    </row>
    <row r="1976">
      <c r="A1976" s="39">
        <f>IF($B1976="","",COUNTA($B$4:$B1976))</f>
        <v/>
      </c>
      <c r="B1976" s="40" t="n"/>
      <c r="C1976" s="41" t="n"/>
      <c r="D1976" s="41" t="n"/>
      <c r="E1976" s="41" t="n"/>
      <c r="F1976" s="41" t="n"/>
      <c r="G1976" s="41" t="n"/>
      <c r="H1976" s="41" t="n"/>
      <c r="I1976" s="50" t="n"/>
      <c r="J1976" s="42" t="n"/>
      <c r="K1976" s="42" t="n"/>
      <c r="L1976" s="43">
        <f>IF($B1976="","",ROUND((N($J1976)+N($K1976))*نسبة_القيمة_المضافة,2))</f>
        <v/>
      </c>
      <c r="M1976" s="42" t="n"/>
      <c r="N1976" s="42" t="n"/>
      <c r="O1976" s="43">
        <f>IF($B1976="","",N($J1976)+N($K1976)+N($L1976)-N($M1976)+N($N1976))</f>
        <v/>
      </c>
      <c r="P1976" s="42" t="n"/>
      <c r="Q1976" s="43">
        <f>IF($B1976="","",N($O1976)-N($P1976))</f>
        <v/>
      </c>
      <c r="R1976" s="42" t="n"/>
      <c r="S1976" s="42" t="n"/>
      <c r="T1976" s="42" t="n"/>
      <c r="U1976" s="43">
        <f>IF($B1976="","",N($J1976)-N($R1976)-N($T1976))</f>
        <v/>
      </c>
      <c r="V1976" s="42" t="n"/>
    </row>
    <row r="1977">
      <c r="A1977" s="39">
        <f>IF($B1977="","",COUNTA($B$4:$B1977))</f>
        <v/>
      </c>
      <c r="B1977" s="45" t="n"/>
      <c r="C1977" s="46" t="n"/>
      <c r="D1977" s="46" t="n"/>
      <c r="E1977" s="46" t="n"/>
      <c r="F1977" s="46" t="n"/>
      <c r="G1977" s="46" t="n"/>
      <c r="H1977" s="46" t="n"/>
      <c r="I1977" s="51" t="n"/>
      <c r="J1977" s="47" t="n"/>
      <c r="K1977" s="47" t="n"/>
      <c r="L1977" s="43">
        <f>IF($B1977="","",ROUND((N($J1977)+N($K1977))*نسبة_القيمة_المضافة,2))</f>
        <v/>
      </c>
      <c r="M1977" s="47" t="n"/>
      <c r="N1977" s="47" t="n"/>
      <c r="O1977" s="43">
        <f>IF($B1977="","",N($J1977)+N($K1977)+N($L1977)-N($M1977)+N($N1977))</f>
        <v/>
      </c>
      <c r="P1977" s="47" t="n"/>
      <c r="Q1977" s="43">
        <f>IF($B1977="","",N($O1977)-N($P1977))</f>
        <v/>
      </c>
      <c r="R1977" s="47" t="n"/>
      <c r="S1977" s="47" t="n"/>
      <c r="T1977" s="47" t="n"/>
      <c r="U1977" s="43">
        <f>IF($B1977="","",N($J1977)-N($R1977)-N($T1977))</f>
        <v/>
      </c>
      <c r="V1977" s="47" t="n"/>
    </row>
    <row r="1978">
      <c r="A1978" s="39">
        <f>IF($B1978="","",COUNTA($B$4:$B1978))</f>
        <v/>
      </c>
      <c r="B1978" s="40" t="n"/>
      <c r="C1978" s="41" t="n"/>
      <c r="D1978" s="41" t="n"/>
      <c r="E1978" s="41" t="n"/>
      <c r="F1978" s="41" t="n"/>
      <c r="G1978" s="41" t="n"/>
      <c r="H1978" s="41" t="n"/>
      <c r="I1978" s="50" t="n"/>
      <c r="J1978" s="42" t="n"/>
      <c r="K1978" s="42" t="n"/>
      <c r="L1978" s="43">
        <f>IF($B1978="","",ROUND((N($J1978)+N($K1978))*نسبة_القيمة_المضافة,2))</f>
        <v/>
      </c>
      <c r="M1978" s="42" t="n"/>
      <c r="N1978" s="42" t="n"/>
      <c r="O1978" s="43">
        <f>IF($B1978="","",N($J1978)+N($K1978)+N($L1978)-N($M1978)+N($N1978))</f>
        <v/>
      </c>
      <c r="P1978" s="42" t="n"/>
      <c r="Q1978" s="43">
        <f>IF($B1978="","",N($O1978)-N($P1978))</f>
        <v/>
      </c>
      <c r="R1978" s="42" t="n"/>
      <c r="S1978" s="42" t="n"/>
      <c r="T1978" s="42" t="n"/>
      <c r="U1978" s="43">
        <f>IF($B1978="","",N($J1978)-N($R1978)-N($T1978))</f>
        <v/>
      </c>
      <c r="V1978" s="42" t="n"/>
    </row>
    <row r="1979">
      <c r="A1979" s="39">
        <f>IF($B1979="","",COUNTA($B$4:$B1979))</f>
        <v/>
      </c>
      <c r="B1979" s="45" t="n"/>
      <c r="C1979" s="46" t="n"/>
      <c r="D1979" s="46" t="n"/>
      <c r="E1979" s="46" t="n"/>
      <c r="F1979" s="46" t="n"/>
      <c r="G1979" s="46" t="n"/>
      <c r="H1979" s="46" t="n"/>
      <c r="I1979" s="51" t="n"/>
      <c r="J1979" s="47" t="n"/>
      <c r="K1979" s="47" t="n"/>
      <c r="L1979" s="43">
        <f>IF($B1979="","",ROUND((N($J1979)+N($K1979))*نسبة_القيمة_المضافة,2))</f>
        <v/>
      </c>
      <c r="M1979" s="47" t="n"/>
      <c r="N1979" s="47" t="n"/>
      <c r="O1979" s="43">
        <f>IF($B1979="","",N($J1979)+N($K1979)+N($L1979)-N($M1979)+N($N1979))</f>
        <v/>
      </c>
      <c r="P1979" s="47" t="n"/>
      <c r="Q1979" s="43">
        <f>IF($B1979="","",N($O1979)-N($P1979))</f>
        <v/>
      </c>
      <c r="R1979" s="47" t="n"/>
      <c r="S1979" s="47" t="n"/>
      <c r="T1979" s="47" t="n"/>
      <c r="U1979" s="43">
        <f>IF($B1979="","",N($J1979)-N($R1979)-N($T1979))</f>
        <v/>
      </c>
      <c r="V1979" s="47" t="n"/>
    </row>
    <row r="1980">
      <c r="A1980" s="39">
        <f>IF($B1980="","",COUNTA($B$4:$B1980))</f>
        <v/>
      </c>
      <c r="B1980" s="40" t="n"/>
      <c r="C1980" s="41" t="n"/>
      <c r="D1980" s="41" t="n"/>
      <c r="E1980" s="41" t="n"/>
      <c r="F1980" s="41" t="n"/>
      <c r="G1980" s="41" t="n"/>
      <c r="H1980" s="41" t="n"/>
      <c r="I1980" s="50" t="n"/>
      <c r="J1980" s="42" t="n"/>
      <c r="K1980" s="42" t="n"/>
      <c r="L1980" s="43">
        <f>IF($B1980="","",ROUND((N($J1980)+N($K1980))*نسبة_القيمة_المضافة,2))</f>
        <v/>
      </c>
      <c r="M1980" s="42" t="n"/>
      <c r="N1980" s="42" t="n"/>
      <c r="O1980" s="43">
        <f>IF($B1980="","",N($J1980)+N($K1980)+N($L1980)-N($M1980)+N($N1980))</f>
        <v/>
      </c>
      <c r="P1980" s="42" t="n"/>
      <c r="Q1980" s="43">
        <f>IF($B1980="","",N($O1980)-N($P1980))</f>
        <v/>
      </c>
      <c r="R1980" s="42" t="n"/>
      <c r="S1980" s="42" t="n"/>
      <c r="T1980" s="42" t="n"/>
      <c r="U1980" s="43">
        <f>IF($B1980="","",N($J1980)-N($R1980)-N($T1980))</f>
        <v/>
      </c>
      <c r="V1980" s="42" t="n"/>
    </row>
    <row r="1981">
      <c r="A1981" s="39">
        <f>IF($B1981="","",COUNTA($B$4:$B1981))</f>
        <v/>
      </c>
      <c r="B1981" s="45" t="n"/>
      <c r="C1981" s="46" t="n"/>
      <c r="D1981" s="46" t="n"/>
      <c r="E1981" s="46" t="n"/>
      <c r="F1981" s="46" t="n"/>
      <c r="G1981" s="46" t="n"/>
      <c r="H1981" s="46" t="n"/>
      <c r="I1981" s="51" t="n"/>
      <c r="J1981" s="47" t="n"/>
      <c r="K1981" s="47" t="n"/>
      <c r="L1981" s="43">
        <f>IF($B1981="","",ROUND((N($J1981)+N($K1981))*نسبة_القيمة_المضافة,2))</f>
        <v/>
      </c>
      <c r="M1981" s="47" t="n"/>
      <c r="N1981" s="47" t="n"/>
      <c r="O1981" s="43">
        <f>IF($B1981="","",N($J1981)+N($K1981)+N($L1981)-N($M1981)+N($N1981))</f>
        <v/>
      </c>
      <c r="P1981" s="47" t="n"/>
      <c r="Q1981" s="43">
        <f>IF($B1981="","",N($O1981)-N($P1981))</f>
        <v/>
      </c>
      <c r="R1981" s="47" t="n"/>
      <c r="S1981" s="47" t="n"/>
      <c r="T1981" s="47" t="n"/>
      <c r="U1981" s="43">
        <f>IF($B1981="","",N($J1981)-N($R1981)-N($T1981))</f>
        <v/>
      </c>
      <c r="V1981" s="47" t="n"/>
    </row>
    <row r="1982">
      <c r="A1982" s="39">
        <f>IF($B1982="","",COUNTA($B$4:$B1982))</f>
        <v/>
      </c>
      <c r="B1982" s="40" t="n"/>
      <c r="C1982" s="41" t="n"/>
      <c r="D1982" s="41" t="n"/>
      <c r="E1982" s="41" t="n"/>
      <c r="F1982" s="41" t="n"/>
      <c r="G1982" s="41" t="n"/>
      <c r="H1982" s="41" t="n"/>
      <c r="I1982" s="50" t="n"/>
      <c r="J1982" s="42" t="n"/>
      <c r="K1982" s="42" t="n"/>
      <c r="L1982" s="43">
        <f>IF($B1982="","",ROUND((N($J1982)+N($K1982))*نسبة_القيمة_المضافة,2))</f>
        <v/>
      </c>
      <c r="M1982" s="42" t="n"/>
      <c r="N1982" s="42" t="n"/>
      <c r="O1982" s="43">
        <f>IF($B1982="","",N($J1982)+N($K1982)+N($L1982)-N($M1982)+N($N1982))</f>
        <v/>
      </c>
      <c r="P1982" s="42" t="n"/>
      <c r="Q1982" s="43">
        <f>IF($B1982="","",N($O1982)-N($P1982))</f>
        <v/>
      </c>
      <c r="R1982" s="42" t="n"/>
      <c r="S1982" s="42" t="n"/>
      <c r="T1982" s="42" t="n"/>
      <c r="U1982" s="43">
        <f>IF($B1982="","",N($J1982)-N($R1982)-N($T1982))</f>
        <v/>
      </c>
      <c r="V1982" s="42" t="n"/>
    </row>
    <row r="1983">
      <c r="A1983" s="39">
        <f>IF($B1983="","",COUNTA($B$4:$B1983))</f>
        <v/>
      </c>
      <c r="B1983" s="45" t="n"/>
      <c r="C1983" s="46" t="n"/>
      <c r="D1983" s="46" t="n"/>
      <c r="E1983" s="46" t="n"/>
      <c r="F1983" s="46" t="n"/>
      <c r="G1983" s="46" t="n"/>
      <c r="H1983" s="46" t="n"/>
      <c r="I1983" s="51" t="n"/>
      <c r="J1983" s="47" t="n"/>
      <c r="K1983" s="47" t="n"/>
      <c r="L1983" s="43">
        <f>IF($B1983="","",ROUND((N($J1983)+N($K1983))*نسبة_القيمة_المضافة,2))</f>
        <v/>
      </c>
      <c r="M1983" s="47" t="n"/>
      <c r="N1983" s="47" t="n"/>
      <c r="O1983" s="43">
        <f>IF($B1983="","",N($J1983)+N($K1983)+N($L1983)-N($M1983)+N($N1983))</f>
        <v/>
      </c>
      <c r="P1983" s="47" t="n"/>
      <c r="Q1983" s="43">
        <f>IF($B1983="","",N($O1983)-N($P1983))</f>
        <v/>
      </c>
      <c r="R1983" s="47" t="n"/>
      <c r="S1983" s="47" t="n"/>
      <c r="T1983" s="47" t="n"/>
      <c r="U1983" s="43">
        <f>IF($B1983="","",N($J1983)-N($R1983)-N($T1983))</f>
        <v/>
      </c>
      <c r="V1983" s="47" t="n"/>
    </row>
    <row r="1984">
      <c r="A1984" s="39">
        <f>IF($B1984="","",COUNTA($B$4:$B1984))</f>
        <v/>
      </c>
      <c r="B1984" s="40" t="n"/>
      <c r="C1984" s="41" t="n"/>
      <c r="D1984" s="41" t="n"/>
      <c r="E1984" s="41" t="n"/>
      <c r="F1984" s="41" t="n"/>
      <c r="G1984" s="41" t="n"/>
      <c r="H1984" s="41" t="n"/>
      <c r="I1984" s="50" t="n"/>
      <c r="J1984" s="42" t="n"/>
      <c r="K1984" s="42" t="n"/>
      <c r="L1984" s="43">
        <f>IF($B1984="","",ROUND((N($J1984)+N($K1984))*نسبة_القيمة_المضافة,2))</f>
        <v/>
      </c>
      <c r="M1984" s="42" t="n"/>
      <c r="N1984" s="42" t="n"/>
      <c r="O1984" s="43">
        <f>IF($B1984="","",N($J1984)+N($K1984)+N($L1984)-N($M1984)+N($N1984))</f>
        <v/>
      </c>
      <c r="P1984" s="42" t="n"/>
      <c r="Q1984" s="43">
        <f>IF($B1984="","",N($O1984)-N($P1984))</f>
        <v/>
      </c>
      <c r="R1984" s="42" t="n"/>
      <c r="S1984" s="42" t="n"/>
      <c r="T1984" s="42" t="n"/>
      <c r="U1984" s="43">
        <f>IF($B1984="","",N($J1984)-N($R1984)-N($T1984))</f>
        <v/>
      </c>
      <c r="V1984" s="42" t="n"/>
    </row>
    <row r="1985">
      <c r="A1985" s="39">
        <f>IF($B1985="","",COUNTA($B$4:$B1985))</f>
        <v/>
      </c>
      <c r="B1985" s="45" t="n"/>
      <c r="C1985" s="46" t="n"/>
      <c r="D1985" s="46" t="n"/>
      <c r="E1985" s="46" t="n"/>
      <c r="F1985" s="46" t="n"/>
      <c r="G1985" s="46" t="n"/>
      <c r="H1985" s="46" t="n"/>
      <c r="I1985" s="51" t="n"/>
      <c r="J1985" s="47" t="n"/>
      <c r="K1985" s="47" t="n"/>
      <c r="L1985" s="43">
        <f>IF($B1985="","",ROUND((N($J1985)+N($K1985))*نسبة_القيمة_المضافة,2))</f>
        <v/>
      </c>
      <c r="M1985" s="47" t="n"/>
      <c r="N1985" s="47" t="n"/>
      <c r="O1985" s="43">
        <f>IF($B1985="","",N($J1985)+N($K1985)+N($L1985)-N($M1985)+N($N1985))</f>
        <v/>
      </c>
      <c r="P1985" s="47" t="n"/>
      <c r="Q1985" s="43">
        <f>IF($B1985="","",N($O1985)-N($P1985))</f>
        <v/>
      </c>
      <c r="R1985" s="47" t="n"/>
      <c r="S1985" s="47" t="n"/>
      <c r="T1985" s="47" t="n"/>
      <c r="U1985" s="43">
        <f>IF($B1985="","",N($J1985)-N($R1985)-N($T1985))</f>
        <v/>
      </c>
      <c r="V1985" s="47" t="n"/>
    </row>
    <row r="1986">
      <c r="A1986" s="39">
        <f>IF($B1986="","",COUNTA($B$4:$B1986))</f>
        <v/>
      </c>
      <c r="B1986" s="40" t="n"/>
      <c r="C1986" s="41" t="n"/>
      <c r="D1986" s="41" t="n"/>
      <c r="E1986" s="41" t="n"/>
      <c r="F1986" s="41" t="n"/>
      <c r="G1986" s="41" t="n"/>
      <c r="H1986" s="41" t="n"/>
      <c r="I1986" s="50" t="n"/>
      <c r="J1986" s="42" t="n"/>
      <c r="K1986" s="42" t="n"/>
      <c r="L1986" s="43">
        <f>IF($B1986="","",ROUND((N($J1986)+N($K1986))*نسبة_القيمة_المضافة,2))</f>
        <v/>
      </c>
      <c r="M1986" s="42" t="n"/>
      <c r="N1986" s="42" t="n"/>
      <c r="O1986" s="43">
        <f>IF($B1986="","",N($J1986)+N($K1986)+N($L1986)-N($M1986)+N($N1986))</f>
        <v/>
      </c>
      <c r="P1986" s="42" t="n"/>
      <c r="Q1986" s="43">
        <f>IF($B1986="","",N($O1986)-N($P1986))</f>
        <v/>
      </c>
      <c r="R1986" s="42" t="n"/>
      <c r="S1986" s="42" t="n"/>
      <c r="T1986" s="42" t="n"/>
      <c r="U1986" s="43">
        <f>IF($B1986="","",N($J1986)-N($R1986)-N($T1986))</f>
        <v/>
      </c>
      <c r="V1986" s="42" t="n"/>
    </row>
    <row r="1987">
      <c r="A1987" s="39">
        <f>IF($B1987="","",COUNTA($B$4:$B1987))</f>
        <v/>
      </c>
      <c r="B1987" s="45" t="n"/>
      <c r="C1987" s="46" t="n"/>
      <c r="D1987" s="46" t="n"/>
      <c r="E1987" s="46" t="n"/>
      <c r="F1987" s="46" t="n"/>
      <c r="G1987" s="46" t="n"/>
      <c r="H1987" s="46" t="n"/>
      <c r="I1987" s="51" t="n"/>
      <c r="J1987" s="47" t="n"/>
      <c r="K1987" s="47" t="n"/>
      <c r="L1987" s="43">
        <f>IF($B1987="","",ROUND((N($J1987)+N($K1987))*نسبة_القيمة_المضافة,2))</f>
        <v/>
      </c>
      <c r="M1987" s="47" t="n"/>
      <c r="N1987" s="47" t="n"/>
      <c r="O1987" s="43">
        <f>IF($B1987="","",N($J1987)+N($K1987)+N($L1987)-N($M1987)+N($N1987))</f>
        <v/>
      </c>
      <c r="P1987" s="47" t="n"/>
      <c r="Q1987" s="43">
        <f>IF($B1987="","",N($O1987)-N($P1987))</f>
        <v/>
      </c>
      <c r="R1987" s="47" t="n"/>
      <c r="S1987" s="47" t="n"/>
      <c r="T1987" s="47" t="n"/>
      <c r="U1987" s="43">
        <f>IF($B1987="","",N($J1987)-N($R1987)-N($T1987))</f>
        <v/>
      </c>
      <c r="V1987" s="47" t="n"/>
    </row>
    <row r="1988">
      <c r="A1988" s="39">
        <f>IF($B1988="","",COUNTA($B$4:$B1988))</f>
        <v/>
      </c>
      <c r="B1988" s="40" t="n"/>
      <c r="C1988" s="41" t="n"/>
      <c r="D1988" s="41" t="n"/>
      <c r="E1988" s="41" t="n"/>
      <c r="F1988" s="41" t="n"/>
      <c r="G1988" s="41" t="n"/>
      <c r="H1988" s="41" t="n"/>
      <c r="I1988" s="50" t="n"/>
      <c r="J1988" s="42" t="n"/>
      <c r="K1988" s="42" t="n"/>
      <c r="L1988" s="43">
        <f>IF($B1988="","",ROUND((N($J1988)+N($K1988))*نسبة_القيمة_المضافة,2))</f>
        <v/>
      </c>
      <c r="M1988" s="42" t="n"/>
      <c r="N1988" s="42" t="n"/>
      <c r="O1988" s="43">
        <f>IF($B1988="","",N($J1988)+N($K1988)+N($L1988)-N($M1988)+N($N1988))</f>
        <v/>
      </c>
      <c r="P1988" s="42" t="n"/>
      <c r="Q1988" s="43">
        <f>IF($B1988="","",N($O1988)-N($P1988))</f>
        <v/>
      </c>
      <c r="R1988" s="42" t="n"/>
      <c r="S1988" s="42" t="n"/>
      <c r="T1988" s="42" t="n"/>
      <c r="U1988" s="43">
        <f>IF($B1988="","",N($J1988)-N($R1988)-N($T1988))</f>
        <v/>
      </c>
      <c r="V1988" s="42" t="n"/>
    </row>
    <row r="1989">
      <c r="A1989" s="39">
        <f>IF($B1989="","",COUNTA($B$4:$B1989))</f>
        <v/>
      </c>
      <c r="B1989" s="45" t="n"/>
      <c r="C1989" s="46" t="n"/>
      <c r="D1989" s="46" t="n"/>
      <c r="E1989" s="46" t="n"/>
      <c r="F1989" s="46" t="n"/>
      <c r="G1989" s="46" t="n"/>
      <c r="H1989" s="46" t="n"/>
      <c r="I1989" s="51" t="n"/>
      <c r="J1989" s="47" t="n"/>
      <c r="K1989" s="47" t="n"/>
      <c r="L1989" s="43">
        <f>IF($B1989="","",ROUND((N($J1989)+N($K1989))*نسبة_القيمة_المضافة,2))</f>
        <v/>
      </c>
      <c r="M1989" s="47" t="n"/>
      <c r="N1989" s="47" t="n"/>
      <c r="O1989" s="43">
        <f>IF($B1989="","",N($J1989)+N($K1989)+N($L1989)-N($M1989)+N($N1989))</f>
        <v/>
      </c>
      <c r="P1989" s="47" t="n"/>
      <c r="Q1989" s="43">
        <f>IF($B1989="","",N($O1989)-N($P1989))</f>
        <v/>
      </c>
      <c r="R1989" s="47" t="n"/>
      <c r="S1989" s="47" t="n"/>
      <c r="T1989" s="47" t="n"/>
      <c r="U1989" s="43">
        <f>IF($B1989="","",N($J1989)-N($R1989)-N($T1989))</f>
        <v/>
      </c>
      <c r="V1989" s="47" t="n"/>
    </row>
    <row r="1990">
      <c r="A1990" s="39">
        <f>IF($B1990="","",COUNTA($B$4:$B1990))</f>
        <v/>
      </c>
      <c r="B1990" s="40" t="n"/>
      <c r="C1990" s="41" t="n"/>
      <c r="D1990" s="41" t="n"/>
      <c r="E1990" s="41" t="n"/>
      <c r="F1990" s="41" t="n"/>
      <c r="G1990" s="41" t="n"/>
      <c r="H1990" s="41" t="n"/>
      <c r="I1990" s="50" t="n"/>
      <c r="J1990" s="42" t="n"/>
      <c r="K1990" s="42" t="n"/>
      <c r="L1990" s="43">
        <f>IF($B1990="","",ROUND((N($J1990)+N($K1990))*نسبة_القيمة_المضافة,2))</f>
        <v/>
      </c>
      <c r="M1990" s="42" t="n"/>
      <c r="N1990" s="42" t="n"/>
      <c r="O1990" s="43">
        <f>IF($B1990="","",N($J1990)+N($K1990)+N($L1990)-N($M1990)+N($N1990))</f>
        <v/>
      </c>
      <c r="P1990" s="42" t="n"/>
      <c r="Q1990" s="43">
        <f>IF($B1990="","",N($O1990)-N($P1990))</f>
        <v/>
      </c>
      <c r="R1990" s="42" t="n"/>
      <c r="S1990" s="42" t="n"/>
      <c r="T1990" s="42" t="n"/>
      <c r="U1990" s="43">
        <f>IF($B1990="","",N($J1990)-N($R1990)-N($T1990))</f>
        <v/>
      </c>
      <c r="V1990" s="42" t="n"/>
    </row>
    <row r="1991">
      <c r="A1991" s="39">
        <f>IF($B1991="","",COUNTA($B$4:$B1991))</f>
        <v/>
      </c>
      <c r="B1991" s="45" t="n"/>
      <c r="C1991" s="46" t="n"/>
      <c r="D1991" s="46" t="n"/>
      <c r="E1991" s="46" t="n"/>
      <c r="F1991" s="46" t="n"/>
      <c r="G1991" s="46" t="n"/>
      <c r="H1991" s="46" t="n"/>
      <c r="I1991" s="51" t="n"/>
      <c r="J1991" s="47" t="n"/>
      <c r="K1991" s="47" t="n"/>
      <c r="L1991" s="43">
        <f>IF($B1991="","",ROUND((N($J1991)+N($K1991))*نسبة_القيمة_المضافة,2))</f>
        <v/>
      </c>
      <c r="M1991" s="47" t="n"/>
      <c r="N1991" s="47" t="n"/>
      <c r="O1991" s="43">
        <f>IF($B1991="","",N($J1991)+N($K1991)+N($L1991)-N($M1991)+N($N1991))</f>
        <v/>
      </c>
      <c r="P1991" s="47" t="n"/>
      <c r="Q1991" s="43">
        <f>IF($B1991="","",N($O1991)-N($P1991))</f>
        <v/>
      </c>
      <c r="R1991" s="47" t="n"/>
      <c r="S1991" s="47" t="n"/>
      <c r="T1991" s="47" t="n"/>
      <c r="U1991" s="43">
        <f>IF($B1991="","",N($J1991)-N($R1991)-N($T1991))</f>
        <v/>
      </c>
      <c r="V1991" s="47" t="n"/>
    </row>
    <row r="1992">
      <c r="A1992" s="39">
        <f>IF($B1992="","",COUNTA($B$4:$B1992))</f>
        <v/>
      </c>
      <c r="B1992" s="40" t="n"/>
      <c r="C1992" s="41" t="n"/>
      <c r="D1992" s="41" t="n"/>
      <c r="E1992" s="41" t="n"/>
      <c r="F1992" s="41" t="n"/>
      <c r="G1992" s="41" t="n"/>
      <c r="H1992" s="41" t="n"/>
      <c r="I1992" s="50" t="n"/>
      <c r="J1992" s="42" t="n"/>
      <c r="K1992" s="42" t="n"/>
      <c r="L1992" s="43">
        <f>IF($B1992="","",ROUND((N($J1992)+N($K1992))*نسبة_القيمة_المضافة,2))</f>
        <v/>
      </c>
      <c r="M1992" s="42" t="n"/>
      <c r="N1992" s="42" t="n"/>
      <c r="O1992" s="43">
        <f>IF($B1992="","",N($J1992)+N($K1992)+N($L1992)-N($M1992)+N($N1992))</f>
        <v/>
      </c>
      <c r="P1992" s="42" t="n"/>
      <c r="Q1992" s="43">
        <f>IF($B1992="","",N($O1992)-N($P1992))</f>
        <v/>
      </c>
      <c r="R1992" s="42" t="n"/>
      <c r="S1992" s="42" t="n"/>
      <c r="T1992" s="42" t="n"/>
      <c r="U1992" s="43">
        <f>IF($B1992="","",N($J1992)-N($R1992)-N($T1992))</f>
        <v/>
      </c>
      <c r="V1992" s="42" t="n"/>
    </row>
    <row r="1993">
      <c r="A1993" s="39">
        <f>IF($B1993="","",COUNTA($B$4:$B1993))</f>
        <v/>
      </c>
      <c r="B1993" s="45" t="n"/>
      <c r="C1993" s="46" t="n"/>
      <c r="D1993" s="46" t="n"/>
      <c r="E1993" s="46" t="n"/>
      <c r="F1993" s="46" t="n"/>
      <c r="G1993" s="46" t="n"/>
      <c r="H1993" s="46" t="n"/>
      <c r="I1993" s="51" t="n"/>
      <c r="J1993" s="47" t="n"/>
      <c r="K1993" s="47" t="n"/>
      <c r="L1993" s="43">
        <f>IF($B1993="","",ROUND((N($J1993)+N($K1993))*نسبة_القيمة_المضافة,2))</f>
        <v/>
      </c>
      <c r="M1993" s="47" t="n"/>
      <c r="N1993" s="47" t="n"/>
      <c r="O1993" s="43">
        <f>IF($B1993="","",N($J1993)+N($K1993)+N($L1993)-N($M1993)+N($N1993))</f>
        <v/>
      </c>
      <c r="P1993" s="47" t="n"/>
      <c r="Q1993" s="43">
        <f>IF($B1993="","",N($O1993)-N($P1993))</f>
        <v/>
      </c>
      <c r="R1993" s="47" t="n"/>
      <c r="S1993" s="47" t="n"/>
      <c r="T1993" s="47" t="n"/>
      <c r="U1993" s="43">
        <f>IF($B1993="","",N($J1993)-N($R1993)-N($T1993))</f>
        <v/>
      </c>
      <c r="V1993" s="47" t="n"/>
    </row>
    <row r="1994">
      <c r="A1994" s="39">
        <f>IF($B1994="","",COUNTA($B$4:$B1994))</f>
        <v/>
      </c>
      <c r="B1994" s="40" t="n"/>
      <c r="C1994" s="41" t="n"/>
      <c r="D1994" s="41" t="n"/>
      <c r="E1994" s="41" t="n"/>
      <c r="F1994" s="41" t="n"/>
      <c r="G1994" s="41" t="n"/>
      <c r="H1994" s="41" t="n"/>
      <c r="I1994" s="50" t="n"/>
      <c r="J1994" s="42" t="n"/>
      <c r="K1994" s="42" t="n"/>
      <c r="L1994" s="43">
        <f>IF($B1994="","",ROUND((N($J1994)+N($K1994))*نسبة_القيمة_المضافة,2))</f>
        <v/>
      </c>
      <c r="M1994" s="42" t="n"/>
      <c r="N1994" s="42" t="n"/>
      <c r="O1994" s="43">
        <f>IF($B1994="","",N($J1994)+N($K1994)+N($L1994)-N($M1994)+N($N1994))</f>
        <v/>
      </c>
      <c r="P1994" s="42" t="n"/>
      <c r="Q1994" s="43">
        <f>IF($B1994="","",N($O1994)-N($P1994))</f>
        <v/>
      </c>
      <c r="R1994" s="42" t="n"/>
      <c r="S1994" s="42" t="n"/>
      <c r="T1994" s="42" t="n"/>
      <c r="U1994" s="43">
        <f>IF($B1994="","",N($J1994)-N($R1994)-N($T1994))</f>
        <v/>
      </c>
      <c r="V1994" s="42" t="n"/>
    </row>
    <row r="1995">
      <c r="A1995" s="39">
        <f>IF($B1995="","",COUNTA($B$4:$B1995))</f>
        <v/>
      </c>
      <c r="B1995" s="45" t="n"/>
      <c r="C1995" s="46" t="n"/>
      <c r="D1995" s="46" t="n"/>
      <c r="E1995" s="46" t="n"/>
      <c r="F1995" s="46" t="n"/>
      <c r="G1995" s="46" t="n"/>
      <c r="H1995" s="46" t="n"/>
      <c r="I1995" s="51" t="n"/>
      <c r="J1995" s="47" t="n"/>
      <c r="K1995" s="47" t="n"/>
      <c r="L1995" s="43">
        <f>IF($B1995="","",ROUND((N($J1995)+N($K1995))*نسبة_القيمة_المضافة,2))</f>
        <v/>
      </c>
      <c r="M1995" s="47" t="n"/>
      <c r="N1995" s="47" t="n"/>
      <c r="O1995" s="43">
        <f>IF($B1995="","",N($J1995)+N($K1995)+N($L1995)-N($M1995)+N($N1995))</f>
        <v/>
      </c>
      <c r="P1995" s="47" t="n"/>
      <c r="Q1995" s="43">
        <f>IF($B1995="","",N($O1995)-N($P1995))</f>
        <v/>
      </c>
      <c r="R1995" s="47" t="n"/>
      <c r="S1995" s="47" t="n"/>
      <c r="T1995" s="47" t="n"/>
      <c r="U1995" s="43">
        <f>IF($B1995="","",N($J1995)-N($R1995)-N($T1995))</f>
        <v/>
      </c>
      <c r="V1995" s="47" t="n"/>
    </row>
    <row r="1996">
      <c r="A1996" s="39">
        <f>IF($B1996="","",COUNTA($B$4:$B1996))</f>
        <v/>
      </c>
      <c r="B1996" s="40" t="n"/>
      <c r="C1996" s="41" t="n"/>
      <c r="D1996" s="41" t="n"/>
      <c r="E1996" s="41" t="n"/>
      <c r="F1996" s="41" t="n"/>
      <c r="G1996" s="41" t="n"/>
      <c r="H1996" s="41" t="n"/>
      <c r="I1996" s="50" t="n"/>
      <c r="J1996" s="42" t="n"/>
      <c r="K1996" s="42" t="n"/>
      <c r="L1996" s="43">
        <f>IF($B1996="","",ROUND((N($J1996)+N($K1996))*نسبة_القيمة_المضافة,2))</f>
        <v/>
      </c>
      <c r="M1996" s="42" t="n"/>
      <c r="N1996" s="42" t="n"/>
      <c r="O1996" s="43">
        <f>IF($B1996="","",N($J1996)+N($K1996)+N($L1996)-N($M1996)+N($N1996))</f>
        <v/>
      </c>
      <c r="P1996" s="42" t="n"/>
      <c r="Q1996" s="43">
        <f>IF($B1996="","",N($O1996)-N($P1996))</f>
        <v/>
      </c>
      <c r="R1996" s="42" t="n"/>
      <c r="S1996" s="42" t="n"/>
      <c r="T1996" s="42" t="n"/>
      <c r="U1996" s="43">
        <f>IF($B1996="","",N($J1996)-N($R1996)-N($T1996))</f>
        <v/>
      </c>
      <c r="V1996" s="42" t="n"/>
    </row>
    <row r="1997">
      <c r="A1997" s="39">
        <f>IF($B1997="","",COUNTA($B$4:$B1997))</f>
        <v/>
      </c>
      <c r="B1997" s="45" t="n"/>
      <c r="C1997" s="46" t="n"/>
      <c r="D1997" s="46" t="n"/>
      <c r="E1997" s="46" t="n"/>
      <c r="F1997" s="46" t="n"/>
      <c r="G1997" s="46" t="n"/>
      <c r="H1997" s="46" t="n"/>
      <c r="I1997" s="51" t="n"/>
      <c r="J1997" s="47" t="n"/>
      <c r="K1997" s="47" t="n"/>
      <c r="L1997" s="43">
        <f>IF($B1997="","",ROUND((N($J1997)+N($K1997))*نسبة_القيمة_المضافة,2))</f>
        <v/>
      </c>
      <c r="M1997" s="47" t="n"/>
      <c r="N1997" s="47" t="n"/>
      <c r="O1997" s="43">
        <f>IF($B1997="","",N($J1997)+N($K1997)+N($L1997)-N($M1997)+N($N1997))</f>
        <v/>
      </c>
      <c r="P1997" s="47" t="n"/>
      <c r="Q1997" s="43">
        <f>IF($B1997="","",N($O1997)-N($P1997))</f>
        <v/>
      </c>
      <c r="R1997" s="47" t="n"/>
      <c r="S1997" s="47" t="n"/>
      <c r="T1997" s="47" t="n"/>
      <c r="U1997" s="43">
        <f>IF($B1997="","",N($J1997)-N($R1997)-N($T1997))</f>
        <v/>
      </c>
      <c r="V1997" s="47" t="n"/>
    </row>
    <row r="1998">
      <c r="A1998" s="39">
        <f>IF($B1998="","",COUNTA($B$4:$B1998))</f>
        <v/>
      </c>
      <c r="B1998" s="40" t="n"/>
      <c r="C1998" s="41" t="n"/>
      <c r="D1998" s="41" t="n"/>
      <c r="E1998" s="41" t="n"/>
      <c r="F1998" s="41" t="n"/>
      <c r="G1998" s="41" t="n"/>
      <c r="H1998" s="41" t="n"/>
      <c r="I1998" s="50" t="n"/>
      <c r="J1998" s="42" t="n"/>
      <c r="K1998" s="42" t="n"/>
      <c r="L1998" s="43">
        <f>IF($B1998="","",ROUND((N($J1998)+N($K1998))*نسبة_القيمة_المضافة,2))</f>
        <v/>
      </c>
      <c r="M1998" s="42" t="n"/>
      <c r="N1998" s="42" t="n"/>
      <c r="O1998" s="43">
        <f>IF($B1998="","",N($J1998)+N($K1998)+N($L1998)-N($M1998)+N($N1998))</f>
        <v/>
      </c>
      <c r="P1998" s="42" t="n"/>
      <c r="Q1998" s="43">
        <f>IF($B1998="","",N($O1998)-N($P1998))</f>
        <v/>
      </c>
      <c r="R1998" s="42" t="n"/>
      <c r="S1998" s="42" t="n"/>
      <c r="T1998" s="42" t="n"/>
      <c r="U1998" s="43">
        <f>IF($B1998="","",N($J1998)-N($R1998)-N($T1998))</f>
        <v/>
      </c>
      <c r="V1998" s="42" t="n"/>
    </row>
    <row r="1999">
      <c r="A1999" s="39">
        <f>IF($B1999="","",COUNTA($B$4:$B1999))</f>
        <v/>
      </c>
      <c r="B1999" s="45" t="n"/>
      <c r="C1999" s="46" t="n"/>
      <c r="D1999" s="46" t="n"/>
      <c r="E1999" s="46" t="n"/>
      <c r="F1999" s="46" t="n"/>
      <c r="G1999" s="46" t="n"/>
      <c r="H1999" s="46" t="n"/>
      <c r="I1999" s="51" t="n"/>
      <c r="J1999" s="47" t="n"/>
      <c r="K1999" s="47" t="n"/>
      <c r="L1999" s="43">
        <f>IF($B1999="","",ROUND((N($J1999)+N($K1999))*نسبة_القيمة_المضافة,2))</f>
        <v/>
      </c>
      <c r="M1999" s="47" t="n"/>
      <c r="N1999" s="47" t="n"/>
      <c r="O1999" s="43">
        <f>IF($B1999="","",N($J1999)+N($K1999)+N($L1999)-N($M1999)+N($N1999))</f>
        <v/>
      </c>
      <c r="P1999" s="47" t="n"/>
      <c r="Q1999" s="43">
        <f>IF($B1999="","",N($O1999)-N($P1999))</f>
        <v/>
      </c>
      <c r="R1999" s="47" t="n"/>
      <c r="S1999" s="47" t="n"/>
      <c r="T1999" s="47" t="n"/>
      <c r="U1999" s="43">
        <f>IF($B1999="","",N($J1999)-N($R1999)-N($T1999))</f>
        <v/>
      </c>
      <c r="V1999" s="47" t="n"/>
    </row>
    <row r="2000">
      <c r="A2000" s="39">
        <f>IF($B2000="","",COUNTA($B$4:$B2000))</f>
        <v/>
      </c>
      <c r="B2000" s="40" t="n"/>
      <c r="C2000" s="41" t="n"/>
      <c r="D2000" s="41" t="n"/>
      <c r="E2000" s="41" t="n"/>
      <c r="F2000" s="41" t="n"/>
      <c r="G2000" s="41" t="n"/>
      <c r="H2000" s="41" t="n"/>
      <c r="I2000" s="50" t="n"/>
      <c r="J2000" s="42" t="n"/>
      <c r="K2000" s="42" t="n"/>
      <c r="L2000" s="43">
        <f>IF($B2000="","",ROUND((N($J2000)+N($K2000))*نسبة_القيمة_المضافة,2))</f>
        <v/>
      </c>
      <c r="M2000" s="42" t="n"/>
      <c r="N2000" s="42" t="n"/>
      <c r="O2000" s="43">
        <f>IF($B2000="","",N($J2000)+N($K2000)+N($L2000)-N($M2000)+N($N2000))</f>
        <v/>
      </c>
      <c r="P2000" s="42" t="n"/>
      <c r="Q2000" s="43">
        <f>IF($B2000="","",N($O2000)-N($P2000))</f>
        <v/>
      </c>
      <c r="R2000" s="42" t="n"/>
      <c r="S2000" s="42" t="n"/>
      <c r="T2000" s="42" t="n"/>
      <c r="U2000" s="43">
        <f>IF($B2000="","",N($J2000)-N($R2000)-N($T2000))</f>
        <v/>
      </c>
      <c r="V2000" s="42" t="n"/>
    </row>
    <row r="2001">
      <c r="A2001" s="39">
        <f>IF($B2001="","",COUNTA($B$4:$B2001))</f>
        <v/>
      </c>
      <c r="B2001" s="45" t="n"/>
      <c r="C2001" s="46" t="n"/>
      <c r="D2001" s="46" t="n"/>
      <c r="E2001" s="46" t="n"/>
      <c r="F2001" s="46" t="n"/>
      <c r="G2001" s="46" t="n"/>
      <c r="H2001" s="46" t="n"/>
      <c r="I2001" s="51" t="n"/>
      <c r="J2001" s="47" t="n"/>
      <c r="K2001" s="47" t="n"/>
      <c r="L2001" s="43">
        <f>IF($B2001="","",ROUND((N($J2001)+N($K2001))*نسبة_القيمة_المضافة,2))</f>
        <v/>
      </c>
      <c r="M2001" s="47" t="n"/>
      <c r="N2001" s="47" t="n"/>
      <c r="O2001" s="43">
        <f>IF($B2001="","",N($J2001)+N($K2001)+N($L2001)-N($M2001)+N($N2001))</f>
        <v/>
      </c>
      <c r="P2001" s="47" t="n"/>
      <c r="Q2001" s="43">
        <f>IF($B2001="","",N($O2001)-N($P2001))</f>
        <v/>
      </c>
      <c r="R2001" s="47" t="n"/>
      <c r="S2001" s="47" t="n"/>
      <c r="T2001" s="47" t="n"/>
      <c r="U2001" s="43">
        <f>IF($B2001="","",N($J2001)-N($R2001)-N($T2001))</f>
        <v/>
      </c>
      <c r="V2001" s="47" t="n"/>
    </row>
    <row r="2002">
      <c r="A2002" s="39">
        <f>IF($B2002="","",COUNTA($B$4:$B2002))</f>
        <v/>
      </c>
      <c r="B2002" s="40" t="n"/>
      <c r="C2002" s="41" t="n"/>
      <c r="D2002" s="41" t="n"/>
      <c r="E2002" s="41" t="n"/>
      <c r="F2002" s="41" t="n"/>
      <c r="G2002" s="41" t="n"/>
      <c r="H2002" s="41" t="n"/>
      <c r="I2002" s="50" t="n"/>
      <c r="J2002" s="42" t="n"/>
      <c r="K2002" s="42" t="n"/>
      <c r="L2002" s="43">
        <f>IF($B2002="","",ROUND((N($J2002)+N($K2002))*نسبة_القيمة_المضافة,2))</f>
        <v/>
      </c>
      <c r="M2002" s="42" t="n"/>
      <c r="N2002" s="42" t="n"/>
      <c r="O2002" s="43">
        <f>IF($B2002="","",N($J2002)+N($K2002)+N($L2002)-N($M2002)+N($N2002))</f>
        <v/>
      </c>
      <c r="P2002" s="42" t="n"/>
      <c r="Q2002" s="43">
        <f>IF($B2002="","",N($O2002)-N($P2002))</f>
        <v/>
      </c>
      <c r="R2002" s="42" t="n"/>
      <c r="S2002" s="42" t="n"/>
      <c r="T2002" s="42" t="n"/>
      <c r="U2002" s="43">
        <f>IF($B2002="","",N($J2002)-N($R2002)-N($T2002))</f>
        <v/>
      </c>
      <c r="V2002" s="42" t="n"/>
    </row>
    <row r="2003">
      <c r="A2003" s="39">
        <f>IF($B2003="","",COUNTA($B$4:$B2003))</f>
        <v/>
      </c>
      <c r="B2003" s="45" t="n"/>
      <c r="C2003" s="46" t="n"/>
      <c r="D2003" s="46" t="n"/>
      <c r="E2003" s="46" t="n"/>
      <c r="F2003" s="46" t="n"/>
      <c r="G2003" s="46" t="n"/>
      <c r="H2003" s="46" t="n"/>
      <c r="I2003" s="51" t="n"/>
      <c r="J2003" s="47" t="n"/>
      <c r="K2003" s="47" t="n"/>
      <c r="L2003" s="43">
        <f>IF($B2003="","",ROUND((N($J2003)+N($K2003))*نسبة_القيمة_المضافة,2))</f>
        <v/>
      </c>
      <c r="M2003" s="47" t="n"/>
      <c r="N2003" s="47" t="n"/>
      <c r="O2003" s="43">
        <f>IF($B2003="","",N($J2003)+N($K2003)+N($L2003)-N($M2003)+N($N2003))</f>
        <v/>
      </c>
      <c r="P2003" s="47" t="n"/>
      <c r="Q2003" s="43">
        <f>IF($B2003="","",N($O2003)-N($P2003))</f>
        <v/>
      </c>
      <c r="R2003" s="47" t="n"/>
      <c r="S2003" s="47" t="n"/>
      <c r="T2003" s="47" t="n"/>
      <c r="U2003" s="43">
        <f>IF($B2003="","",N($J2003)-N($R2003)-N($T2003))</f>
        <v/>
      </c>
      <c r="V2003" s="47" t="n"/>
    </row>
    <row r="2004">
      <c r="A2004" s="39">
        <f>IF($B2004="","",COUNTA($B$4:$B2004))</f>
        <v/>
      </c>
      <c r="B2004" s="40" t="n"/>
      <c r="C2004" s="41" t="n"/>
      <c r="D2004" s="41" t="n"/>
      <c r="E2004" s="41" t="n"/>
      <c r="F2004" s="41" t="n"/>
      <c r="G2004" s="41" t="n"/>
      <c r="H2004" s="41" t="n"/>
      <c r="I2004" s="50" t="n"/>
      <c r="J2004" s="42" t="n"/>
      <c r="K2004" s="42" t="n"/>
      <c r="L2004" s="43">
        <f>IF($B2004="","",ROUND((N($J2004)+N($K2004))*نسبة_القيمة_المضافة,2))</f>
        <v/>
      </c>
      <c r="M2004" s="42" t="n"/>
      <c r="N2004" s="42" t="n"/>
      <c r="O2004" s="43">
        <f>IF($B2004="","",N($J2004)+N($K2004)+N($L2004)-N($M2004)+N($N2004))</f>
        <v/>
      </c>
      <c r="P2004" s="42" t="n"/>
      <c r="Q2004" s="43">
        <f>IF($B2004="","",N($O2004)-N($P2004))</f>
        <v/>
      </c>
      <c r="R2004" s="42" t="n"/>
      <c r="S2004" s="42" t="n"/>
      <c r="T2004" s="42" t="n"/>
      <c r="U2004" s="43">
        <f>IF($B2004="","",N($J2004)-N($R2004)-N($T2004))</f>
        <v/>
      </c>
      <c r="V2004" s="42" t="n"/>
    </row>
    <row r="2005">
      <c r="A2005" s="39">
        <f>IF($B2005="","",COUNTA($B$4:$B2005))</f>
        <v/>
      </c>
      <c r="B2005" s="45" t="n"/>
      <c r="C2005" s="46" t="n"/>
      <c r="D2005" s="46" t="n"/>
      <c r="E2005" s="46" t="n"/>
      <c r="F2005" s="46" t="n"/>
      <c r="G2005" s="46" t="n"/>
      <c r="H2005" s="46" t="n"/>
      <c r="I2005" s="51" t="n"/>
      <c r="J2005" s="47" t="n"/>
      <c r="K2005" s="47" t="n"/>
      <c r="L2005" s="43">
        <f>IF($B2005="","",ROUND((N($J2005)+N($K2005))*نسبة_القيمة_المضافة,2))</f>
        <v/>
      </c>
      <c r="M2005" s="47" t="n"/>
      <c r="N2005" s="47" t="n"/>
      <c r="O2005" s="43">
        <f>IF($B2005="","",N($J2005)+N($K2005)+N($L2005)-N($M2005)+N($N2005))</f>
        <v/>
      </c>
      <c r="P2005" s="47" t="n"/>
      <c r="Q2005" s="43">
        <f>IF($B2005="","",N($O2005)-N($P2005))</f>
        <v/>
      </c>
      <c r="R2005" s="47" t="n"/>
      <c r="S2005" s="47" t="n"/>
      <c r="T2005" s="47" t="n"/>
      <c r="U2005" s="43">
        <f>IF($B2005="","",N($J2005)-N($R2005)-N($T2005))</f>
        <v/>
      </c>
      <c r="V2005" s="47" t="n"/>
    </row>
    <row r="2006">
      <c r="A2006" s="39">
        <f>IF($B2006="","",COUNTA($B$4:$B2006))</f>
        <v/>
      </c>
      <c r="B2006" s="40" t="n"/>
      <c r="C2006" s="41" t="n"/>
      <c r="D2006" s="41" t="n"/>
      <c r="E2006" s="41" t="n"/>
      <c r="F2006" s="41" t="n"/>
      <c r="G2006" s="41" t="n"/>
      <c r="H2006" s="41" t="n"/>
      <c r="I2006" s="50" t="n"/>
      <c r="J2006" s="42" t="n"/>
      <c r="K2006" s="42" t="n"/>
      <c r="L2006" s="43">
        <f>IF($B2006="","",ROUND((N($J2006)+N($K2006))*نسبة_القيمة_المضافة,2))</f>
        <v/>
      </c>
      <c r="M2006" s="42" t="n"/>
      <c r="N2006" s="42" t="n"/>
      <c r="O2006" s="43">
        <f>IF($B2006="","",N($J2006)+N($K2006)+N($L2006)-N($M2006)+N($N2006))</f>
        <v/>
      </c>
      <c r="P2006" s="42" t="n"/>
      <c r="Q2006" s="43">
        <f>IF($B2006="","",N($O2006)-N($P2006))</f>
        <v/>
      </c>
      <c r="R2006" s="42" t="n"/>
      <c r="S2006" s="42" t="n"/>
      <c r="T2006" s="42" t="n"/>
      <c r="U2006" s="43">
        <f>IF($B2006="","",N($J2006)-N($R2006)-N($T2006))</f>
        <v/>
      </c>
      <c r="V2006" s="42" t="n"/>
    </row>
    <row r="2007">
      <c r="A2007" s="39">
        <f>IF($B2007="","",COUNTA($B$4:$B2007))</f>
        <v/>
      </c>
      <c r="B2007" s="45" t="n"/>
      <c r="C2007" s="46" t="n"/>
      <c r="D2007" s="46" t="n"/>
      <c r="E2007" s="46" t="n"/>
      <c r="F2007" s="46" t="n"/>
      <c r="G2007" s="46" t="n"/>
      <c r="H2007" s="46" t="n"/>
      <c r="I2007" s="51" t="n"/>
      <c r="J2007" s="47" t="n"/>
      <c r="K2007" s="47" t="n"/>
      <c r="L2007" s="43">
        <f>IF($B2007="","",ROUND((N($J2007)+N($K2007))*نسبة_القيمة_المضافة,2))</f>
        <v/>
      </c>
      <c r="M2007" s="47" t="n"/>
      <c r="N2007" s="47" t="n"/>
      <c r="O2007" s="43">
        <f>IF($B2007="","",N($J2007)+N($K2007)+N($L2007)-N($M2007)+N($N2007))</f>
        <v/>
      </c>
      <c r="P2007" s="47" t="n"/>
      <c r="Q2007" s="43">
        <f>IF($B2007="","",N($O2007)-N($P2007))</f>
        <v/>
      </c>
      <c r="R2007" s="47" t="n"/>
      <c r="S2007" s="47" t="n"/>
      <c r="T2007" s="47" t="n"/>
      <c r="U2007" s="43">
        <f>IF($B2007="","",N($J2007)-N($R2007)-N($T2007))</f>
        <v/>
      </c>
      <c r="V2007" s="47" t="n"/>
    </row>
    <row r="2008">
      <c r="A2008" s="39">
        <f>IF($B2008="","",COUNTA($B$4:$B2008))</f>
        <v/>
      </c>
      <c r="B2008" s="40" t="n"/>
      <c r="C2008" s="41" t="n"/>
      <c r="D2008" s="41" t="n"/>
      <c r="E2008" s="41" t="n"/>
      <c r="F2008" s="41" t="n"/>
      <c r="G2008" s="41" t="n"/>
      <c r="H2008" s="41" t="n"/>
      <c r="I2008" s="50" t="n"/>
      <c r="J2008" s="42" t="n"/>
      <c r="K2008" s="42" t="n"/>
      <c r="L2008" s="43">
        <f>IF($B2008="","",ROUND((N($J2008)+N($K2008))*نسبة_القيمة_المضافة,2))</f>
        <v/>
      </c>
      <c r="M2008" s="42" t="n"/>
      <c r="N2008" s="42" t="n"/>
      <c r="O2008" s="43">
        <f>IF($B2008="","",N($J2008)+N($K2008)+N($L2008)-N($M2008)+N($N2008))</f>
        <v/>
      </c>
      <c r="P2008" s="42" t="n"/>
      <c r="Q2008" s="43">
        <f>IF($B2008="","",N($O2008)-N($P2008))</f>
        <v/>
      </c>
      <c r="R2008" s="42" t="n"/>
      <c r="S2008" s="42" t="n"/>
      <c r="T2008" s="42" t="n"/>
      <c r="U2008" s="43">
        <f>IF($B2008="","",N($J2008)-N($R2008)-N($T2008))</f>
        <v/>
      </c>
      <c r="V2008" s="42" t="n"/>
    </row>
    <row r="2009">
      <c r="A2009" s="39">
        <f>IF($B2009="","",COUNTA($B$4:$B2009))</f>
        <v/>
      </c>
      <c r="B2009" s="45" t="n"/>
      <c r="C2009" s="46" t="n"/>
      <c r="D2009" s="46" t="n"/>
      <c r="E2009" s="46" t="n"/>
      <c r="F2009" s="46" t="n"/>
      <c r="G2009" s="46" t="n"/>
      <c r="H2009" s="46" t="n"/>
      <c r="I2009" s="51" t="n"/>
      <c r="J2009" s="47" t="n"/>
      <c r="K2009" s="47" t="n"/>
      <c r="L2009" s="43">
        <f>IF($B2009="","",ROUND((N($J2009)+N($K2009))*نسبة_القيمة_المضافة,2))</f>
        <v/>
      </c>
      <c r="M2009" s="47" t="n"/>
      <c r="N2009" s="47" t="n"/>
      <c r="O2009" s="43">
        <f>IF($B2009="","",N($J2009)+N($K2009)+N($L2009)-N($M2009)+N($N2009))</f>
        <v/>
      </c>
      <c r="P2009" s="47" t="n"/>
      <c r="Q2009" s="43">
        <f>IF($B2009="","",N($O2009)-N($P2009))</f>
        <v/>
      </c>
      <c r="R2009" s="47" t="n"/>
      <c r="S2009" s="47" t="n"/>
      <c r="T2009" s="47" t="n"/>
      <c r="U2009" s="43">
        <f>IF($B2009="","",N($J2009)-N($R2009)-N($T2009))</f>
        <v/>
      </c>
      <c r="V2009" s="47" t="n"/>
    </row>
    <row r="2010">
      <c r="A2010" s="39">
        <f>IF($B2010="","",COUNTA($B$4:$B2010))</f>
        <v/>
      </c>
      <c r="B2010" s="40" t="n"/>
      <c r="C2010" s="41" t="n"/>
      <c r="D2010" s="41" t="n"/>
      <c r="E2010" s="41" t="n"/>
      <c r="F2010" s="41" t="n"/>
      <c r="G2010" s="41" t="n"/>
      <c r="H2010" s="41" t="n"/>
      <c r="I2010" s="50" t="n"/>
      <c r="J2010" s="42" t="n"/>
      <c r="K2010" s="42" t="n"/>
      <c r="L2010" s="43">
        <f>IF($B2010="","",ROUND((N($J2010)+N($K2010))*نسبة_القيمة_المضافة,2))</f>
        <v/>
      </c>
      <c r="M2010" s="42" t="n"/>
      <c r="N2010" s="42" t="n"/>
      <c r="O2010" s="43">
        <f>IF($B2010="","",N($J2010)+N($K2010)+N($L2010)-N($M2010)+N($N2010))</f>
        <v/>
      </c>
      <c r="P2010" s="42" t="n"/>
      <c r="Q2010" s="43">
        <f>IF($B2010="","",N($O2010)-N($P2010))</f>
        <v/>
      </c>
      <c r="R2010" s="42" t="n"/>
      <c r="S2010" s="42" t="n"/>
      <c r="T2010" s="42" t="n"/>
      <c r="U2010" s="43">
        <f>IF($B2010="","",N($J2010)-N($R2010)-N($T2010))</f>
        <v/>
      </c>
      <c r="V2010" s="42" t="n"/>
    </row>
    <row r="2011">
      <c r="A2011" s="39">
        <f>IF($B2011="","",COUNTA($B$4:$B2011))</f>
        <v/>
      </c>
      <c r="B2011" s="45" t="n"/>
      <c r="C2011" s="46" t="n"/>
      <c r="D2011" s="46" t="n"/>
      <c r="E2011" s="46" t="n"/>
      <c r="F2011" s="46" t="n"/>
      <c r="G2011" s="46" t="n"/>
      <c r="H2011" s="46" t="n"/>
      <c r="I2011" s="51" t="n"/>
      <c r="J2011" s="47" t="n"/>
      <c r="K2011" s="47" t="n"/>
      <c r="L2011" s="43">
        <f>IF($B2011="","",ROUND((N($J2011)+N($K2011))*نسبة_القيمة_المضافة,2))</f>
        <v/>
      </c>
      <c r="M2011" s="47" t="n"/>
      <c r="N2011" s="47" t="n"/>
      <c r="O2011" s="43">
        <f>IF($B2011="","",N($J2011)+N($K2011)+N($L2011)-N($M2011)+N($N2011))</f>
        <v/>
      </c>
      <c r="P2011" s="47" t="n"/>
      <c r="Q2011" s="43">
        <f>IF($B2011="","",N($O2011)-N($P2011))</f>
        <v/>
      </c>
      <c r="R2011" s="47" t="n"/>
      <c r="S2011" s="47" t="n"/>
      <c r="T2011" s="47" t="n"/>
      <c r="U2011" s="43">
        <f>IF($B2011="","",N($J2011)-N($R2011)-N($T2011))</f>
        <v/>
      </c>
      <c r="V2011" s="47" t="n"/>
    </row>
    <row r="2012">
      <c r="A2012" s="39">
        <f>IF($B2012="","",COUNTA($B$4:$B2012))</f>
        <v/>
      </c>
      <c r="B2012" s="40" t="n"/>
      <c r="C2012" s="41" t="n"/>
      <c r="D2012" s="41" t="n"/>
      <c r="E2012" s="41" t="n"/>
      <c r="F2012" s="41" t="n"/>
      <c r="G2012" s="41" t="n"/>
      <c r="H2012" s="41" t="n"/>
      <c r="I2012" s="50" t="n"/>
      <c r="J2012" s="42" t="n"/>
      <c r="K2012" s="42" t="n"/>
      <c r="L2012" s="43">
        <f>IF($B2012="","",ROUND((N($J2012)+N($K2012))*نسبة_القيمة_المضافة,2))</f>
        <v/>
      </c>
      <c r="M2012" s="42" t="n"/>
      <c r="N2012" s="42" t="n"/>
      <c r="O2012" s="43">
        <f>IF($B2012="","",N($J2012)+N($K2012)+N($L2012)-N($M2012)+N($N2012))</f>
        <v/>
      </c>
      <c r="P2012" s="42" t="n"/>
      <c r="Q2012" s="43">
        <f>IF($B2012="","",N($O2012)-N($P2012))</f>
        <v/>
      </c>
      <c r="R2012" s="42" t="n"/>
      <c r="S2012" s="42" t="n"/>
      <c r="T2012" s="42" t="n"/>
      <c r="U2012" s="43">
        <f>IF($B2012="","",N($J2012)-N($R2012)-N($T2012))</f>
        <v/>
      </c>
      <c r="V2012" s="42" t="n"/>
    </row>
    <row r="2013">
      <c r="A2013" s="39">
        <f>IF($B2013="","",COUNTA($B$4:$B2013))</f>
        <v/>
      </c>
      <c r="B2013" s="45" t="n"/>
      <c r="C2013" s="46" t="n"/>
      <c r="D2013" s="46" t="n"/>
      <c r="E2013" s="46" t="n"/>
      <c r="F2013" s="46" t="n"/>
      <c r="G2013" s="46" t="n"/>
      <c r="H2013" s="46" t="n"/>
      <c r="I2013" s="51" t="n"/>
      <c r="J2013" s="47" t="n"/>
      <c r="K2013" s="47" t="n"/>
      <c r="L2013" s="43">
        <f>IF($B2013="","",ROUND((N($J2013)+N($K2013))*نسبة_القيمة_المضافة,2))</f>
        <v/>
      </c>
      <c r="M2013" s="47" t="n"/>
      <c r="N2013" s="47" t="n"/>
      <c r="O2013" s="43">
        <f>IF($B2013="","",N($J2013)+N($K2013)+N($L2013)-N($M2013)+N($N2013))</f>
        <v/>
      </c>
      <c r="P2013" s="47" t="n"/>
      <c r="Q2013" s="43">
        <f>IF($B2013="","",N($O2013)-N($P2013))</f>
        <v/>
      </c>
      <c r="R2013" s="47" t="n"/>
      <c r="S2013" s="47" t="n"/>
      <c r="T2013" s="47" t="n"/>
      <c r="U2013" s="43">
        <f>IF($B2013="","",N($J2013)-N($R2013)-N($T2013))</f>
        <v/>
      </c>
      <c r="V2013" s="47" t="n"/>
    </row>
    <row r="2014">
      <c r="A2014" s="39">
        <f>IF($B2014="","",COUNTA($B$4:$B2014))</f>
        <v/>
      </c>
      <c r="B2014" s="40" t="n"/>
      <c r="C2014" s="41" t="n"/>
      <c r="D2014" s="41" t="n"/>
      <c r="E2014" s="41" t="n"/>
      <c r="F2014" s="41" t="n"/>
      <c r="G2014" s="41" t="n"/>
      <c r="H2014" s="41" t="n"/>
      <c r="I2014" s="50" t="n"/>
      <c r="J2014" s="42" t="n"/>
      <c r="K2014" s="42" t="n"/>
      <c r="L2014" s="43">
        <f>IF($B2014="","",ROUND((N($J2014)+N($K2014))*نسبة_القيمة_المضافة,2))</f>
        <v/>
      </c>
      <c r="M2014" s="42" t="n"/>
      <c r="N2014" s="42" t="n"/>
      <c r="O2014" s="43">
        <f>IF($B2014="","",N($J2014)+N($K2014)+N($L2014)-N($M2014)+N($N2014))</f>
        <v/>
      </c>
      <c r="P2014" s="42" t="n"/>
      <c r="Q2014" s="43">
        <f>IF($B2014="","",N($O2014)-N($P2014))</f>
        <v/>
      </c>
      <c r="R2014" s="42" t="n"/>
      <c r="S2014" s="42" t="n"/>
      <c r="T2014" s="42" t="n"/>
      <c r="U2014" s="43">
        <f>IF($B2014="","",N($J2014)-N($R2014)-N($T2014))</f>
        <v/>
      </c>
      <c r="V2014" s="42" t="n"/>
    </row>
    <row r="2015">
      <c r="A2015" s="39">
        <f>IF($B2015="","",COUNTA($B$4:$B2015))</f>
        <v/>
      </c>
      <c r="B2015" s="45" t="n"/>
      <c r="C2015" s="46" t="n"/>
      <c r="D2015" s="46" t="n"/>
      <c r="E2015" s="46" t="n"/>
      <c r="F2015" s="46" t="n"/>
      <c r="G2015" s="46" t="n"/>
      <c r="H2015" s="46" t="n"/>
      <c r="I2015" s="51" t="n"/>
      <c r="J2015" s="47" t="n"/>
      <c r="K2015" s="47" t="n"/>
      <c r="L2015" s="43">
        <f>IF($B2015="","",ROUND((N($J2015)+N($K2015))*نسبة_القيمة_المضافة,2))</f>
        <v/>
      </c>
      <c r="M2015" s="47" t="n"/>
      <c r="N2015" s="47" t="n"/>
      <c r="O2015" s="43">
        <f>IF($B2015="","",N($J2015)+N($K2015)+N($L2015)-N($M2015)+N($N2015))</f>
        <v/>
      </c>
      <c r="P2015" s="47" t="n"/>
      <c r="Q2015" s="43">
        <f>IF($B2015="","",N($O2015)-N($P2015))</f>
        <v/>
      </c>
      <c r="R2015" s="47" t="n"/>
      <c r="S2015" s="47" t="n"/>
      <c r="T2015" s="47" t="n"/>
      <c r="U2015" s="43">
        <f>IF($B2015="","",N($J2015)-N($R2015)-N($T2015))</f>
        <v/>
      </c>
      <c r="V2015" s="47" t="n"/>
    </row>
    <row r="2016">
      <c r="A2016" s="39">
        <f>IF($B2016="","",COUNTA($B$4:$B2016))</f>
        <v/>
      </c>
      <c r="B2016" s="40" t="n"/>
      <c r="C2016" s="41" t="n"/>
      <c r="D2016" s="41" t="n"/>
      <c r="E2016" s="41" t="n"/>
      <c r="F2016" s="41" t="n"/>
      <c r="G2016" s="41" t="n"/>
      <c r="H2016" s="41" t="n"/>
      <c r="I2016" s="50" t="n"/>
      <c r="J2016" s="42" t="n"/>
      <c r="K2016" s="42" t="n"/>
      <c r="L2016" s="43">
        <f>IF($B2016="","",ROUND((N($J2016)+N($K2016))*نسبة_القيمة_المضافة,2))</f>
        <v/>
      </c>
      <c r="M2016" s="42" t="n"/>
      <c r="N2016" s="42" t="n"/>
      <c r="O2016" s="43">
        <f>IF($B2016="","",N($J2016)+N($K2016)+N($L2016)-N($M2016)+N($N2016))</f>
        <v/>
      </c>
      <c r="P2016" s="42" t="n"/>
      <c r="Q2016" s="43">
        <f>IF($B2016="","",N($O2016)-N($P2016))</f>
        <v/>
      </c>
      <c r="R2016" s="42" t="n"/>
      <c r="S2016" s="42" t="n"/>
      <c r="T2016" s="42" t="n"/>
      <c r="U2016" s="43">
        <f>IF($B2016="","",N($J2016)-N($R2016)-N($T2016))</f>
        <v/>
      </c>
      <c r="V2016" s="42" t="n"/>
    </row>
    <row r="2017">
      <c r="A2017" s="39">
        <f>IF($B2017="","",COUNTA($B$4:$B2017))</f>
        <v/>
      </c>
      <c r="B2017" s="45" t="n"/>
      <c r="C2017" s="46" t="n"/>
      <c r="D2017" s="46" t="n"/>
      <c r="E2017" s="46" t="n"/>
      <c r="F2017" s="46" t="n"/>
      <c r="G2017" s="46" t="n"/>
      <c r="H2017" s="46" t="n"/>
      <c r="I2017" s="51" t="n"/>
      <c r="J2017" s="47" t="n"/>
      <c r="K2017" s="47" t="n"/>
      <c r="L2017" s="43">
        <f>IF($B2017="","",ROUND((N($J2017)+N($K2017))*نسبة_القيمة_المضافة,2))</f>
        <v/>
      </c>
      <c r="M2017" s="47" t="n"/>
      <c r="N2017" s="47" t="n"/>
      <c r="O2017" s="43">
        <f>IF($B2017="","",N($J2017)+N($K2017)+N($L2017)-N($M2017)+N($N2017))</f>
        <v/>
      </c>
      <c r="P2017" s="47" t="n"/>
      <c r="Q2017" s="43">
        <f>IF($B2017="","",N($O2017)-N($P2017))</f>
        <v/>
      </c>
      <c r="R2017" s="47" t="n"/>
      <c r="S2017" s="47" t="n"/>
      <c r="T2017" s="47" t="n"/>
      <c r="U2017" s="43">
        <f>IF($B2017="","",N($J2017)-N($R2017)-N($T2017))</f>
        <v/>
      </c>
      <c r="V2017" s="47" t="n"/>
    </row>
    <row r="2018">
      <c r="A2018" s="39">
        <f>IF($B2018="","",COUNTA($B$4:$B2018))</f>
        <v/>
      </c>
      <c r="B2018" s="40" t="n"/>
      <c r="C2018" s="41" t="n"/>
      <c r="D2018" s="41" t="n"/>
      <c r="E2018" s="41" t="n"/>
      <c r="F2018" s="41" t="n"/>
      <c r="G2018" s="41" t="n"/>
      <c r="H2018" s="41" t="n"/>
      <c r="I2018" s="50" t="n"/>
      <c r="J2018" s="42" t="n"/>
      <c r="K2018" s="42" t="n"/>
      <c r="L2018" s="43">
        <f>IF($B2018="","",ROUND((N($J2018)+N($K2018))*نسبة_القيمة_المضافة,2))</f>
        <v/>
      </c>
      <c r="M2018" s="42" t="n"/>
      <c r="N2018" s="42" t="n"/>
      <c r="O2018" s="43">
        <f>IF($B2018="","",N($J2018)+N($K2018)+N($L2018)-N($M2018)+N($N2018))</f>
        <v/>
      </c>
      <c r="P2018" s="42" t="n"/>
      <c r="Q2018" s="43">
        <f>IF($B2018="","",N($O2018)-N($P2018))</f>
        <v/>
      </c>
      <c r="R2018" s="42" t="n"/>
      <c r="S2018" s="42" t="n"/>
      <c r="T2018" s="42" t="n"/>
      <c r="U2018" s="43">
        <f>IF($B2018="","",N($J2018)-N($R2018)-N($T2018))</f>
        <v/>
      </c>
      <c r="V2018" s="42" t="n"/>
    </row>
    <row r="2019">
      <c r="A2019" s="39">
        <f>IF($B2019="","",COUNTA($B$4:$B2019))</f>
        <v/>
      </c>
      <c r="B2019" s="45" t="n"/>
      <c r="C2019" s="46" t="n"/>
      <c r="D2019" s="46" t="n"/>
      <c r="E2019" s="46" t="n"/>
      <c r="F2019" s="46" t="n"/>
      <c r="G2019" s="46" t="n"/>
      <c r="H2019" s="46" t="n"/>
      <c r="I2019" s="51" t="n"/>
      <c r="J2019" s="47" t="n"/>
      <c r="K2019" s="47" t="n"/>
      <c r="L2019" s="43">
        <f>IF($B2019="","",ROUND((N($J2019)+N($K2019))*نسبة_القيمة_المضافة,2))</f>
        <v/>
      </c>
      <c r="M2019" s="47" t="n"/>
      <c r="N2019" s="47" t="n"/>
      <c r="O2019" s="43">
        <f>IF($B2019="","",N($J2019)+N($K2019)+N($L2019)-N($M2019)+N($N2019))</f>
        <v/>
      </c>
      <c r="P2019" s="47" t="n"/>
      <c r="Q2019" s="43">
        <f>IF($B2019="","",N($O2019)-N($P2019))</f>
        <v/>
      </c>
      <c r="R2019" s="47" t="n"/>
      <c r="S2019" s="47" t="n"/>
      <c r="T2019" s="47" t="n"/>
      <c r="U2019" s="43">
        <f>IF($B2019="","",N($J2019)-N($R2019)-N($T2019))</f>
        <v/>
      </c>
      <c r="V2019" s="47" t="n"/>
    </row>
    <row r="2020">
      <c r="A2020" s="39">
        <f>IF($B2020="","",COUNTA($B$4:$B2020))</f>
        <v/>
      </c>
      <c r="B2020" s="40" t="n"/>
      <c r="C2020" s="41" t="n"/>
      <c r="D2020" s="41" t="n"/>
      <c r="E2020" s="41" t="n"/>
      <c r="F2020" s="41" t="n"/>
      <c r="G2020" s="41" t="n"/>
      <c r="H2020" s="41" t="n"/>
      <c r="I2020" s="50" t="n"/>
      <c r="J2020" s="42" t="n"/>
      <c r="K2020" s="42" t="n"/>
      <c r="L2020" s="43">
        <f>IF($B2020="","",ROUND((N($J2020)+N($K2020))*نسبة_القيمة_المضافة,2))</f>
        <v/>
      </c>
      <c r="M2020" s="42" t="n"/>
      <c r="N2020" s="42" t="n"/>
      <c r="O2020" s="43">
        <f>IF($B2020="","",N($J2020)+N($K2020)+N($L2020)-N($M2020)+N($N2020))</f>
        <v/>
      </c>
      <c r="P2020" s="42" t="n"/>
      <c r="Q2020" s="43">
        <f>IF($B2020="","",N($O2020)-N($P2020))</f>
        <v/>
      </c>
      <c r="R2020" s="42" t="n"/>
      <c r="S2020" s="42" t="n"/>
      <c r="T2020" s="42" t="n"/>
      <c r="U2020" s="43">
        <f>IF($B2020="","",N($J2020)-N($R2020)-N($T2020))</f>
        <v/>
      </c>
      <c r="V2020" s="42" t="n"/>
    </row>
    <row r="2021">
      <c r="A2021" s="39">
        <f>IF($B2021="","",COUNTA($B$4:$B2021))</f>
        <v/>
      </c>
      <c r="B2021" s="45" t="n"/>
      <c r="C2021" s="46" t="n"/>
      <c r="D2021" s="46" t="n"/>
      <c r="E2021" s="46" t="n"/>
      <c r="F2021" s="46" t="n"/>
      <c r="G2021" s="46" t="n"/>
      <c r="H2021" s="46" t="n"/>
      <c r="I2021" s="51" t="n"/>
      <c r="J2021" s="47" t="n"/>
      <c r="K2021" s="47" t="n"/>
      <c r="L2021" s="43">
        <f>IF($B2021="","",ROUND((N($J2021)+N($K2021))*نسبة_القيمة_المضافة,2))</f>
        <v/>
      </c>
      <c r="M2021" s="47" t="n"/>
      <c r="N2021" s="47" t="n"/>
      <c r="O2021" s="43">
        <f>IF($B2021="","",N($J2021)+N($K2021)+N($L2021)-N($M2021)+N($N2021))</f>
        <v/>
      </c>
      <c r="P2021" s="47" t="n"/>
      <c r="Q2021" s="43">
        <f>IF($B2021="","",N($O2021)-N($P2021))</f>
        <v/>
      </c>
      <c r="R2021" s="47" t="n"/>
      <c r="S2021" s="47" t="n"/>
      <c r="T2021" s="47" t="n"/>
      <c r="U2021" s="43">
        <f>IF($B2021="","",N($J2021)-N($R2021)-N($T2021))</f>
        <v/>
      </c>
      <c r="V2021" s="47" t="n"/>
    </row>
    <row r="2022">
      <c r="A2022" s="39">
        <f>IF($B2022="","",COUNTA($B$4:$B2022))</f>
        <v/>
      </c>
      <c r="B2022" s="40" t="n"/>
      <c r="C2022" s="41" t="n"/>
      <c r="D2022" s="41" t="n"/>
      <c r="E2022" s="41" t="n"/>
      <c r="F2022" s="41" t="n"/>
      <c r="G2022" s="41" t="n"/>
      <c r="H2022" s="41" t="n"/>
      <c r="I2022" s="50" t="n"/>
      <c r="J2022" s="42" t="n"/>
      <c r="K2022" s="42" t="n"/>
      <c r="L2022" s="43">
        <f>IF($B2022="","",ROUND((N($J2022)+N($K2022))*نسبة_القيمة_المضافة,2))</f>
        <v/>
      </c>
      <c r="M2022" s="42" t="n"/>
      <c r="N2022" s="42" t="n"/>
      <c r="O2022" s="43">
        <f>IF($B2022="","",N($J2022)+N($K2022)+N($L2022)-N($M2022)+N($N2022))</f>
        <v/>
      </c>
      <c r="P2022" s="42" t="n"/>
      <c r="Q2022" s="43">
        <f>IF($B2022="","",N($O2022)-N($P2022))</f>
        <v/>
      </c>
      <c r="R2022" s="42" t="n"/>
      <c r="S2022" s="42" t="n"/>
      <c r="T2022" s="42" t="n"/>
      <c r="U2022" s="43">
        <f>IF($B2022="","",N($J2022)-N($R2022)-N($T2022))</f>
        <v/>
      </c>
      <c r="V2022" s="42" t="n"/>
    </row>
    <row r="2023">
      <c r="A2023" s="39">
        <f>IF($B2023="","",COUNTA($B$4:$B2023))</f>
        <v/>
      </c>
      <c r="B2023" s="45" t="n"/>
      <c r="C2023" s="46" t="n"/>
      <c r="D2023" s="46" t="n"/>
      <c r="E2023" s="46" t="n"/>
      <c r="F2023" s="46" t="n"/>
      <c r="G2023" s="46" t="n"/>
      <c r="H2023" s="46" t="n"/>
      <c r="I2023" s="51" t="n"/>
      <c r="J2023" s="47" t="n"/>
      <c r="K2023" s="47" t="n"/>
      <c r="L2023" s="43">
        <f>IF($B2023="","",ROUND((N($J2023)+N($K2023))*نسبة_القيمة_المضافة,2))</f>
        <v/>
      </c>
      <c r="M2023" s="47" t="n"/>
      <c r="N2023" s="47" t="n"/>
      <c r="O2023" s="43">
        <f>IF($B2023="","",N($J2023)+N($K2023)+N($L2023)-N($M2023)+N($N2023))</f>
        <v/>
      </c>
      <c r="P2023" s="47" t="n"/>
      <c r="Q2023" s="43">
        <f>IF($B2023="","",N($O2023)-N($P2023))</f>
        <v/>
      </c>
      <c r="R2023" s="47" t="n"/>
      <c r="S2023" s="47" t="n"/>
      <c r="T2023" s="47" t="n"/>
      <c r="U2023" s="43">
        <f>IF($B2023="","",N($J2023)-N($R2023)-N($T2023))</f>
        <v/>
      </c>
      <c r="V2023" s="47" t="n"/>
    </row>
    <row r="2024">
      <c r="A2024" s="39">
        <f>IF($B2024="","",COUNTA($B$4:$B2024))</f>
        <v/>
      </c>
      <c r="B2024" s="40" t="n"/>
      <c r="C2024" s="41" t="n"/>
      <c r="D2024" s="41" t="n"/>
      <c r="E2024" s="41" t="n"/>
      <c r="F2024" s="41" t="n"/>
      <c r="G2024" s="41" t="n"/>
      <c r="H2024" s="41" t="n"/>
      <c r="I2024" s="50" t="n"/>
      <c r="J2024" s="42" t="n"/>
      <c r="K2024" s="42" t="n"/>
      <c r="L2024" s="43">
        <f>IF($B2024="","",ROUND((N($J2024)+N($K2024))*نسبة_القيمة_المضافة,2))</f>
        <v/>
      </c>
      <c r="M2024" s="42" t="n"/>
      <c r="N2024" s="42" t="n"/>
      <c r="O2024" s="43">
        <f>IF($B2024="","",N($J2024)+N($K2024)+N($L2024)-N($M2024)+N($N2024))</f>
        <v/>
      </c>
      <c r="P2024" s="42" t="n"/>
      <c r="Q2024" s="43">
        <f>IF($B2024="","",N($O2024)-N($P2024))</f>
        <v/>
      </c>
      <c r="R2024" s="42" t="n"/>
      <c r="S2024" s="42" t="n"/>
      <c r="T2024" s="42" t="n"/>
      <c r="U2024" s="43">
        <f>IF($B2024="","",N($J2024)-N($R2024)-N($T2024))</f>
        <v/>
      </c>
      <c r="V2024" s="42" t="n"/>
    </row>
    <row r="2025">
      <c r="A2025" s="39">
        <f>IF($B2025="","",COUNTA($B$4:$B2025))</f>
        <v/>
      </c>
      <c r="B2025" s="45" t="n"/>
      <c r="C2025" s="46" t="n"/>
      <c r="D2025" s="46" t="n"/>
      <c r="E2025" s="46" t="n"/>
      <c r="F2025" s="46" t="n"/>
      <c r="G2025" s="46" t="n"/>
      <c r="H2025" s="46" t="n"/>
      <c r="I2025" s="51" t="n"/>
      <c r="J2025" s="47" t="n"/>
      <c r="K2025" s="47" t="n"/>
      <c r="L2025" s="43">
        <f>IF($B2025="","",ROUND((N($J2025)+N($K2025))*نسبة_القيمة_المضافة,2))</f>
        <v/>
      </c>
      <c r="M2025" s="47" t="n"/>
      <c r="N2025" s="47" t="n"/>
      <c r="O2025" s="43">
        <f>IF($B2025="","",N($J2025)+N($K2025)+N($L2025)-N($M2025)+N($N2025))</f>
        <v/>
      </c>
      <c r="P2025" s="47" t="n"/>
      <c r="Q2025" s="43">
        <f>IF($B2025="","",N($O2025)-N($P2025))</f>
        <v/>
      </c>
      <c r="R2025" s="47" t="n"/>
      <c r="S2025" s="47" t="n"/>
      <c r="T2025" s="47" t="n"/>
      <c r="U2025" s="43">
        <f>IF($B2025="","",N($J2025)-N($R2025)-N($T2025))</f>
        <v/>
      </c>
      <c r="V2025" s="47" t="n"/>
    </row>
    <row r="2026">
      <c r="A2026" s="39">
        <f>IF($B2026="","",COUNTA($B$4:$B2026))</f>
        <v/>
      </c>
      <c r="B2026" s="40" t="n"/>
      <c r="C2026" s="41" t="n"/>
      <c r="D2026" s="41" t="n"/>
      <c r="E2026" s="41" t="n"/>
      <c r="F2026" s="41" t="n"/>
      <c r="G2026" s="41" t="n"/>
      <c r="H2026" s="41" t="n"/>
      <c r="I2026" s="50" t="n"/>
      <c r="J2026" s="42" t="n"/>
      <c r="K2026" s="42" t="n"/>
      <c r="L2026" s="43">
        <f>IF($B2026="","",ROUND((N($J2026)+N($K2026))*نسبة_القيمة_المضافة,2))</f>
        <v/>
      </c>
      <c r="M2026" s="42" t="n"/>
      <c r="N2026" s="42" t="n"/>
      <c r="O2026" s="43">
        <f>IF($B2026="","",N($J2026)+N($K2026)+N($L2026)-N($M2026)+N($N2026))</f>
        <v/>
      </c>
      <c r="P2026" s="42" t="n"/>
      <c r="Q2026" s="43">
        <f>IF($B2026="","",N($O2026)-N($P2026))</f>
        <v/>
      </c>
      <c r="R2026" s="42" t="n"/>
      <c r="S2026" s="42" t="n"/>
      <c r="T2026" s="42" t="n"/>
      <c r="U2026" s="43">
        <f>IF($B2026="","",N($J2026)-N($R2026)-N($T2026))</f>
        <v/>
      </c>
      <c r="V2026" s="42" t="n"/>
    </row>
    <row r="2027">
      <c r="A2027" s="39">
        <f>IF($B2027="","",COUNTA($B$4:$B2027))</f>
        <v/>
      </c>
      <c r="B2027" s="45" t="n"/>
      <c r="C2027" s="46" t="n"/>
      <c r="D2027" s="46" t="n"/>
      <c r="E2027" s="46" t="n"/>
      <c r="F2027" s="46" t="n"/>
      <c r="G2027" s="46" t="n"/>
      <c r="H2027" s="46" t="n"/>
      <c r="I2027" s="51" t="n"/>
      <c r="J2027" s="47" t="n"/>
      <c r="K2027" s="47" t="n"/>
      <c r="L2027" s="43">
        <f>IF($B2027="","",ROUND((N($J2027)+N($K2027))*نسبة_القيمة_المضافة,2))</f>
        <v/>
      </c>
      <c r="M2027" s="47" t="n"/>
      <c r="N2027" s="47" t="n"/>
      <c r="O2027" s="43">
        <f>IF($B2027="","",N($J2027)+N($K2027)+N($L2027)-N($M2027)+N($N2027))</f>
        <v/>
      </c>
      <c r="P2027" s="47" t="n"/>
      <c r="Q2027" s="43">
        <f>IF($B2027="","",N($O2027)-N($P2027))</f>
        <v/>
      </c>
      <c r="R2027" s="47" t="n"/>
      <c r="S2027" s="47" t="n"/>
      <c r="T2027" s="47" t="n"/>
      <c r="U2027" s="43">
        <f>IF($B2027="","",N($J2027)-N($R2027)-N($T2027))</f>
        <v/>
      </c>
      <c r="V2027" s="47" t="n"/>
    </row>
    <row r="2028">
      <c r="A2028" s="39">
        <f>IF($B2028="","",COUNTA($B$4:$B2028))</f>
        <v/>
      </c>
      <c r="B2028" s="40" t="n"/>
      <c r="C2028" s="41" t="n"/>
      <c r="D2028" s="41" t="n"/>
      <c r="E2028" s="41" t="n"/>
      <c r="F2028" s="41" t="n"/>
      <c r="G2028" s="41" t="n"/>
      <c r="H2028" s="41" t="n"/>
      <c r="I2028" s="50" t="n"/>
      <c r="J2028" s="42" t="n"/>
      <c r="K2028" s="42" t="n"/>
      <c r="L2028" s="43">
        <f>IF($B2028="","",ROUND((N($J2028)+N($K2028))*نسبة_القيمة_المضافة,2))</f>
        <v/>
      </c>
      <c r="M2028" s="42" t="n"/>
      <c r="N2028" s="42" t="n"/>
      <c r="O2028" s="43">
        <f>IF($B2028="","",N($J2028)+N($K2028)+N($L2028)-N($M2028)+N($N2028))</f>
        <v/>
      </c>
      <c r="P2028" s="42" t="n"/>
      <c r="Q2028" s="43">
        <f>IF($B2028="","",N($O2028)-N($P2028))</f>
        <v/>
      </c>
      <c r="R2028" s="42" t="n"/>
      <c r="S2028" s="42" t="n"/>
      <c r="T2028" s="42" t="n"/>
      <c r="U2028" s="43">
        <f>IF($B2028="","",N($J2028)-N($R2028)-N($T2028))</f>
        <v/>
      </c>
      <c r="V2028" s="42" t="n"/>
    </row>
    <row r="2029">
      <c r="A2029" s="39">
        <f>IF($B2029="","",COUNTA($B$4:$B2029))</f>
        <v/>
      </c>
      <c r="B2029" s="45" t="n"/>
      <c r="C2029" s="46" t="n"/>
      <c r="D2029" s="46" t="n"/>
      <c r="E2029" s="46" t="n"/>
      <c r="F2029" s="46" t="n"/>
      <c r="G2029" s="46" t="n"/>
      <c r="H2029" s="46" t="n"/>
      <c r="I2029" s="51" t="n"/>
      <c r="J2029" s="47" t="n"/>
      <c r="K2029" s="47" t="n"/>
      <c r="L2029" s="43">
        <f>IF($B2029="","",ROUND((N($J2029)+N($K2029))*نسبة_القيمة_المضافة,2))</f>
        <v/>
      </c>
      <c r="M2029" s="47" t="n"/>
      <c r="N2029" s="47" t="n"/>
      <c r="O2029" s="43">
        <f>IF($B2029="","",N($J2029)+N($K2029)+N($L2029)-N($M2029)+N($N2029))</f>
        <v/>
      </c>
      <c r="P2029" s="47" t="n"/>
      <c r="Q2029" s="43">
        <f>IF($B2029="","",N($O2029)-N($P2029))</f>
        <v/>
      </c>
      <c r="R2029" s="47" t="n"/>
      <c r="S2029" s="47" t="n"/>
      <c r="T2029" s="47" t="n"/>
      <c r="U2029" s="43">
        <f>IF($B2029="","",N($J2029)-N($R2029)-N($T2029))</f>
        <v/>
      </c>
      <c r="V2029" s="47" t="n"/>
    </row>
    <row r="2030">
      <c r="A2030" s="39">
        <f>IF($B2030="","",COUNTA($B$4:$B2030))</f>
        <v/>
      </c>
      <c r="B2030" s="40" t="n"/>
      <c r="C2030" s="41" t="n"/>
      <c r="D2030" s="41" t="n"/>
      <c r="E2030" s="41" t="n"/>
      <c r="F2030" s="41" t="n"/>
      <c r="G2030" s="41" t="n"/>
      <c r="H2030" s="41" t="n"/>
      <c r="I2030" s="50" t="n"/>
      <c r="J2030" s="42" t="n"/>
      <c r="K2030" s="42" t="n"/>
      <c r="L2030" s="43">
        <f>IF($B2030="","",ROUND((N($J2030)+N($K2030))*نسبة_القيمة_المضافة,2))</f>
        <v/>
      </c>
      <c r="M2030" s="42" t="n"/>
      <c r="N2030" s="42" t="n"/>
      <c r="O2030" s="43">
        <f>IF($B2030="","",N($J2030)+N($K2030)+N($L2030)-N($M2030)+N($N2030))</f>
        <v/>
      </c>
      <c r="P2030" s="42" t="n"/>
      <c r="Q2030" s="43">
        <f>IF($B2030="","",N($O2030)-N($P2030))</f>
        <v/>
      </c>
      <c r="R2030" s="42" t="n"/>
      <c r="S2030" s="42" t="n"/>
      <c r="T2030" s="42" t="n"/>
      <c r="U2030" s="43">
        <f>IF($B2030="","",N($J2030)-N($R2030)-N($T2030))</f>
        <v/>
      </c>
      <c r="V2030" s="42" t="n"/>
    </row>
    <row r="2031">
      <c r="A2031" s="39">
        <f>IF($B2031="","",COUNTA($B$4:$B2031))</f>
        <v/>
      </c>
      <c r="B2031" s="45" t="n"/>
      <c r="C2031" s="46" t="n"/>
      <c r="D2031" s="46" t="n"/>
      <c r="E2031" s="46" t="n"/>
      <c r="F2031" s="46" t="n"/>
      <c r="G2031" s="46" t="n"/>
      <c r="H2031" s="46" t="n"/>
      <c r="I2031" s="51" t="n"/>
      <c r="J2031" s="47" t="n"/>
      <c r="K2031" s="47" t="n"/>
      <c r="L2031" s="43">
        <f>IF($B2031="","",ROUND((N($J2031)+N($K2031))*نسبة_القيمة_المضافة,2))</f>
        <v/>
      </c>
      <c r="M2031" s="47" t="n"/>
      <c r="N2031" s="47" t="n"/>
      <c r="O2031" s="43">
        <f>IF($B2031="","",N($J2031)+N($K2031)+N($L2031)-N($M2031)+N($N2031))</f>
        <v/>
      </c>
      <c r="P2031" s="47" t="n"/>
      <c r="Q2031" s="43">
        <f>IF($B2031="","",N($O2031)-N($P2031))</f>
        <v/>
      </c>
      <c r="R2031" s="47" t="n"/>
      <c r="S2031" s="47" t="n"/>
      <c r="T2031" s="47" t="n"/>
      <c r="U2031" s="43">
        <f>IF($B2031="","",N($J2031)-N($R2031)-N($T2031))</f>
        <v/>
      </c>
      <c r="V2031" s="47" t="n"/>
    </row>
    <row r="2032">
      <c r="A2032" s="39">
        <f>IF($B2032="","",COUNTA($B$4:$B2032))</f>
        <v/>
      </c>
      <c r="B2032" s="40" t="n"/>
      <c r="C2032" s="41" t="n"/>
      <c r="D2032" s="41" t="n"/>
      <c r="E2032" s="41" t="n"/>
      <c r="F2032" s="41" t="n"/>
      <c r="G2032" s="41" t="n"/>
      <c r="H2032" s="41" t="n"/>
      <c r="I2032" s="50" t="n"/>
      <c r="J2032" s="42" t="n"/>
      <c r="K2032" s="42" t="n"/>
      <c r="L2032" s="43">
        <f>IF($B2032="","",ROUND((N($J2032)+N($K2032))*نسبة_القيمة_المضافة,2))</f>
        <v/>
      </c>
      <c r="M2032" s="42" t="n"/>
      <c r="N2032" s="42" t="n"/>
      <c r="O2032" s="43">
        <f>IF($B2032="","",N($J2032)+N($K2032)+N($L2032)-N($M2032)+N($N2032))</f>
        <v/>
      </c>
      <c r="P2032" s="42" t="n"/>
      <c r="Q2032" s="43">
        <f>IF($B2032="","",N($O2032)-N($P2032))</f>
        <v/>
      </c>
      <c r="R2032" s="42" t="n"/>
      <c r="S2032" s="42" t="n"/>
      <c r="T2032" s="42" t="n"/>
      <c r="U2032" s="43">
        <f>IF($B2032="","",N($J2032)-N($R2032)-N($T2032))</f>
        <v/>
      </c>
      <c r="V2032" s="42" t="n"/>
    </row>
    <row r="2033">
      <c r="A2033" s="39">
        <f>IF($B2033="","",COUNTA($B$4:$B2033))</f>
        <v/>
      </c>
      <c r="B2033" s="45" t="n"/>
      <c r="C2033" s="46" t="n"/>
      <c r="D2033" s="46" t="n"/>
      <c r="E2033" s="46" t="n"/>
      <c r="F2033" s="46" t="n"/>
      <c r="G2033" s="46" t="n"/>
      <c r="H2033" s="46" t="n"/>
      <c r="I2033" s="51" t="n"/>
      <c r="J2033" s="47" t="n"/>
      <c r="K2033" s="47" t="n"/>
      <c r="L2033" s="43">
        <f>IF($B2033="","",ROUND((N($J2033)+N($K2033))*نسبة_القيمة_المضافة,2))</f>
        <v/>
      </c>
      <c r="M2033" s="47" t="n"/>
      <c r="N2033" s="47" t="n"/>
      <c r="O2033" s="43">
        <f>IF($B2033="","",N($J2033)+N($K2033)+N($L2033)-N($M2033)+N($N2033))</f>
        <v/>
      </c>
      <c r="P2033" s="47" t="n"/>
      <c r="Q2033" s="43">
        <f>IF($B2033="","",N($O2033)-N($P2033))</f>
        <v/>
      </c>
      <c r="R2033" s="47" t="n"/>
      <c r="S2033" s="47" t="n"/>
      <c r="T2033" s="47" t="n"/>
      <c r="U2033" s="43">
        <f>IF($B2033="","",N($J2033)-N($R2033)-N($T2033))</f>
        <v/>
      </c>
      <c r="V2033" s="47" t="n"/>
    </row>
    <row r="2034">
      <c r="A2034" s="39">
        <f>IF($B2034="","",COUNTA($B$4:$B2034))</f>
        <v/>
      </c>
      <c r="B2034" s="40" t="n"/>
      <c r="C2034" s="41" t="n"/>
      <c r="D2034" s="41" t="n"/>
      <c r="E2034" s="41" t="n"/>
      <c r="F2034" s="41" t="n"/>
      <c r="G2034" s="41" t="n"/>
      <c r="H2034" s="41" t="n"/>
      <c r="I2034" s="50" t="n"/>
      <c r="J2034" s="42" t="n"/>
      <c r="K2034" s="42" t="n"/>
      <c r="L2034" s="43">
        <f>IF($B2034="","",ROUND((N($J2034)+N($K2034))*نسبة_القيمة_المضافة,2))</f>
        <v/>
      </c>
      <c r="M2034" s="42" t="n"/>
      <c r="N2034" s="42" t="n"/>
      <c r="O2034" s="43">
        <f>IF($B2034="","",N($J2034)+N($K2034)+N($L2034)-N($M2034)+N($N2034))</f>
        <v/>
      </c>
      <c r="P2034" s="42" t="n"/>
      <c r="Q2034" s="43">
        <f>IF($B2034="","",N($O2034)-N($P2034))</f>
        <v/>
      </c>
      <c r="R2034" s="42" t="n"/>
      <c r="S2034" s="42" t="n"/>
      <c r="T2034" s="42" t="n"/>
      <c r="U2034" s="43">
        <f>IF($B2034="","",N($J2034)-N($R2034)-N($T2034))</f>
        <v/>
      </c>
      <c r="V2034" s="42" t="n"/>
    </row>
    <row r="2035">
      <c r="A2035" s="39">
        <f>IF($B2035="","",COUNTA($B$4:$B2035))</f>
        <v/>
      </c>
      <c r="B2035" s="45" t="n"/>
      <c r="C2035" s="46" t="n"/>
      <c r="D2035" s="46" t="n"/>
      <c r="E2035" s="46" t="n"/>
      <c r="F2035" s="46" t="n"/>
      <c r="G2035" s="46" t="n"/>
      <c r="H2035" s="46" t="n"/>
      <c r="I2035" s="51" t="n"/>
      <c r="J2035" s="47" t="n"/>
      <c r="K2035" s="47" t="n"/>
      <c r="L2035" s="43">
        <f>IF($B2035="","",ROUND((N($J2035)+N($K2035))*نسبة_القيمة_المضافة,2))</f>
        <v/>
      </c>
      <c r="M2035" s="47" t="n"/>
      <c r="N2035" s="47" t="n"/>
      <c r="O2035" s="43">
        <f>IF($B2035="","",N($J2035)+N($K2035)+N($L2035)-N($M2035)+N($N2035))</f>
        <v/>
      </c>
      <c r="P2035" s="47" t="n"/>
      <c r="Q2035" s="43">
        <f>IF($B2035="","",N($O2035)-N($P2035))</f>
        <v/>
      </c>
      <c r="R2035" s="47" t="n"/>
      <c r="S2035" s="47" t="n"/>
      <c r="T2035" s="47" t="n"/>
      <c r="U2035" s="43">
        <f>IF($B2035="","",N($J2035)-N($R2035)-N($T2035))</f>
        <v/>
      </c>
      <c r="V2035" s="47" t="n"/>
    </row>
    <row r="2036">
      <c r="A2036" s="39">
        <f>IF($B2036="","",COUNTA($B$4:$B2036))</f>
        <v/>
      </c>
      <c r="B2036" s="40" t="n"/>
      <c r="C2036" s="41" t="n"/>
      <c r="D2036" s="41" t="n"/>
      <c r="E2036" s="41" t="n"/>
      <c r="F2036" s="41" t="n"/>
      <c r="G2036" s="41" t="n"/>
      <c r="H2036" s="41" t="n"/>
      <c r="I2036" s="50" t="n"/>
      <c r="J2036" s="42" t="n"/>
      <c r="K2036" s="42" t="n"/>
      <c r="L2036" s="43">
        <f>IF($B2036="","",ROUND((N($J2036)+N($K2036))*نسبة_القيمة_المضافة,2))</f>
        <v/>
      </c>
      <c r="M2036" s="42" t="n"/>
      <c r="N2036" s="42" t="n"/>
      <c r="O2036" s="43">
        <f>IF($B2036="","",N($J2036)+N($K2036)+N($L2036)-N($M2036)+N($N2036))</f>
        <v/>
      </c>
      <c r="P2036" s="42" t="n"/>
      <c r="Q2036" s="43">
        <f>IF($B2036="","",N($O2036)-N($P2036))</f>
        <v/>
      </c>
      <c r="R2036" s="42" t="n"/>
      <c r="S2036" s="42" t="n"/>
      <c r="T2036" s="42" t="n"/>
      <c r="U2036" s="43">
        <f>IF($B2036="","",N($J2036)-N($R2036)-N($T2036))</f>
        <v/>
      </c>
      <c r="V2036" s="42" t="n"/>
    </row>
    <row r="2037">
      <c r="A2037" s="39">
        <f>IF($B2037="","",COUNTA($B$4:$B2037))</f>
        <v/>
      </c>
      <c r="B2037" s="45" t="n"/>
      <c r="C2037" s="46" t="n"/>
      <c r="D2037" s="46" t="n"/>
      <c r="E2037" s="46" t="n"/>
      <c r="F2037" s="46" t="n"/>
      <c r="G2037" s="46" t="n"/>
      <c r="H2037" s="46" t="n"/>
      <c r="I2037" s="51" t="n"/>
      <c r="J2037" s="47" t="n"/>
      <c r="K2037" s="47" t="n"/>
      <c r="L2037" s="43">
        <f>IF($B2037="","",ROUND((N($J2037)+N($K2037))*نسبة_القيمة_المضافة,2))</f>
        <v/>
      </c>
      <c r="M2037" s="47" t="n"/>
      <c r="N2037" s="47" t="n"/>
      <c r="O2037" s="43">
        <f>IF($B2037="","",N($J2037)+N($K2037)+N($L2037)-N($M2037)+N($N2037))</f>
        <v/>
      </c>
      <c r="P2037" s="47" t="n"/>
      <c r="Q2037" s="43">
        <f>IF($B2037="","",N($O2037)-N($P2037))</f>
        <v/>
      </c>
      <c r="R2037" s="47" t="n"/>
      <c r="S2037" s="47" t="n"/>
      <c r="T2037" s="47" t="n"/>
      <c r="U2037" s="43">
        <f>IF($B2037="","",N($J2037)-N($R2037)-N($T2037))</f>
        <v/>
      </c>
      <c r="V2037" s="47" t="n"/>
    </row>
    <row r="2038">
      <c r="A2038" s="39">
        <f>IF($B2038="","",COUNTA($B$4:$B2038))</f>
        <v/>
      </c>
      <c r="B2038" s="40" t="n"/>
      <c r="C2038" s="41" t="n"/>
      <c r="D2038" s="41" t="n"/>
      <c r="E2038" s="41" t="n"/>
      <c r="F2038" s="41" t="n"/>
      <c r="G2038" s="41" t="n"/>
      <c r="H2038" s="41" t="n"/>
      <c r="I2038" s="50" t="n"/>
      <c r="J2038" s="42" t="n"/>
      <c r="K2038" s="42" t="n"/>
      <c r="L2038" s="43">
        <f>IF($B2038="","",ROUND((N($J2038)+N($K2038))*نسبة_القيمة_المضافة,2))</f>
        <v/>
      </c>
      <c r="M2038" s="42" t="n"/>
      <c r="N2038" s="42" t="n"/>
      <c r="O2038" s="43">
        <f>IF($B2038="","",N($J2038)+N($K2038)+N($L2038)-N($M2038)+N($N2038))</f>
        <v/>
      </c>
      <c r="P2038" s="42" t="n"/>
      <c r="Q2038" s="43">
        <f>IF($B2038="","",N($O2038)-N($P2038))</f>
        <v/>
      </c>
      <c r="R2038" s="42" t="n"/>
      <c r="S2038" s="42" t="n"/>
      <c r="T2038" s="42" t="n"/>
      <c r="U2038" s="43">
        <f>IF($B2038="","",N($J2038)-N($R2038)-N($T2038))</f>
        <v/>
      </c>
      <c r="V2038" s="42" t="n"/>
    </row>
    <row r="2039">
      <c r="A2039" s="39">
        <f>IF($B2039="","",COUNTA($B$4:$B2039))</f>
        <v/>
      </c>
      <c r="B2039" s="45" t="n"/>
      <c r="C2039" s="46" t="n"/>
      <c r="D2039" s="46" t="n"/>
      <c r="E2039" s="46" t="n"/>
      <c r="F2039" s="46" t="n"/>
      <c r="G2039" s="46" t="n"/>
      <c r="H2039" s="46" t="n"/>
      <c r="I2039" s="51" t="n"/>
      <c r="J2039" s="47" t="n"/>
      <c r="K2039" s="47" t="n"/>
      <c r="L2039" s="43">
        <f>IF($B2039="","",ROUND((N($J2039)+N($K2039))*نسبة_القيمة_المضافة,2))</f>
        <v/>
      </c>
      <c r="M2039" s="47" t="n"/>
      <c r="N2039" s="47" t="n"/>
      <c r="O2039" s="43">
        <f>IF($B2039="","",N($J2039)+N($K2039)+N($L2039)-N($M2039)+N($N2039))</f>
        <v/>
      </c>
      <c r="P2039" s="47" t="n"/>
      <c r="Q2039" s="43">
        <f>IF($B2039="","",N($O2039)-N($P2039))</f>
        <v/>
      </c>
      <c r="R2039" s="47" t="n"/>
      <c r="S2039" s="47" t="n"/>
      <c r="T2039" s="47" t="n"/>
      <c r="U2039" s="43">
        <f>IF($B2039="","",N($J2039)-N($R2039)-N($T2039))</f>
        <v/>
      </c>
      <c r="V2039" s="47" t="n"/>
    </row>
    <row r="2040">
      <c r="A2040" s="39">
        <f>IF($B2040="","",COUNTA($B$4:$B2040))</f>
        <v/>
      </c>
      <c r="B2040" s="40" t="n"/>
      <c r="C2040" s="41" t="n"/>
      <c r="D2040" s="41" t="n"/>
      <c r="E2040" s="41" t="n"/>
      <c r="F2040" s="41" t="n"/>
      <c r="G2040" s="41" t="n"/>
      <c r="H2040" s="41" t="n"/>
      <c r="I2040" s="50" t="n"/>
      <c r="J2040" s="42" t="n"/>
      <c r="K2040" s="42" t="n"/>
      <c r="L2040" s="43">
        <f>IF($B2040="","",ROUND((N($J2040)+N($K2040))*نسبة_القيمة_المضافة,2))</f>
        <v/>
      </c>
      <c r="M2040" s="42" t="n"/>
      <c r="N2040" s="42" t="n"/>
      <c r="O2040" s="43">
        <f>IF($B2040="","",N($J2040)+N($K2040)+N($L2040)-N($M2040)+N($N2040))</f>
        <v/>
      </c>
      <c r="P2040" s="42" t="n"/>
      <c r="Q2040" s="43">
        <f>IF($B2040="","",N($O2040)-N($P2040))</f>
        <v/>
      </c>
      <c r="R2040" s="42" t="n"/>
      <c r="S2040" s="42" t="n"/>
      <c r="T2040" s="42" t="n"/>
      <c r="U2040" s="43">
        <f>IF($B2040="","",N($J2040)-N($R2040)-N($T2040))</f>
        <v/>
      </c>
      <c r="V2040" s="42" t="n"/>
    </row>
    <row r="2041">
      <c r="A2041" s="39">
        <f>IF($B2041="","",COUNTA($B$4:$B2041))</f>
        <v/>
      </c>
      <c r="B2041" s="45" t="n"/>
      <c r="C2041" s="46" t="n"/>
      <c r="D2041" s="46" t="n"/>
      <c r="E2041" s="46" t="n"/>
      <c r="F2041" s="46" t="n"/>
      <c r="G2041" s="46" t="n"/>
      <c r="H2041" s="46" t="n"/>
      <c r="I2041" s="51" t="n"/>
      <c r="J2041" s="47" t="n"/>
      <c r="K2041" s="47" t="n"/>
      <c r="L2041" s="43">
        <f>IF($B2041="","",ROUND((N($J2041)+N($K2041))*نسبة_القيمة_المضافة,2))</f>
        <v/>
      </c>
      <c r="M2041" s="47" t="n"/>
      <c r="N2041" s="47" t="n"/>
      <c r="O2041" s="43">
        <f>IF($B2041="","",N($J2041)+N($K2041)+N($L2041)-N($M2041)+N($N2041))</f>
        <v/>
      </c>
      <c r="P2041" s="47" t="n"/>
      <c r="Q2041" s="43">
        <f>IF($B2041="","",N($O2041)-N($P2041))</f>
        <v/>
      </c>
      <c r="R2041" s="47" t="n"/>
      <c r="S2041" s="47" t="n"/>
      <c r="T2041" s="47" t="n"/>
      <c r="U2041" s="43">
        <f>IF($B2041="","",N($J2041)-N($R2041)-N($T2041))</f>
        <v/>
      </c>
      <c r="V2041" s="47" t="n"/>
    </row>
    <row r="2042">
      <c r="A2042" s="39">
        <f>IF($B2042="","",COUNTA($B$4:$B2042))</f>
        <v/>
      </c>
      <c r="B2042" s="40" t="n"/>
      <c r="C2042" s="41" t="n"/>
      <c r="D2042" s="41" t="n"/>
      <c r="E2042" s="41" t="n"/>
      <c r="F2042" s="41" t="n"/>
      <c r="G2042" s="41" t="n"/>
      <c r="H2042" s="41" t="n"/>
      <c r="I2042" s="50" t="n"/>
      <c r="J2042" s="42" t="n"/>
      <c r="K2042" s="42" t="n"/>
      <c r="L2042" s="43">
        <f>IF($B2042="","",ROUND((N($J2042)+N($K2042))*نسبة_القيمة_المضافة,2))</f>
        <v/>
      </c>
      <c r="M2042" s="42" t="n"/>
      <c r="N2042" s="42" t="n"/>
      <c r="O2042" s="43">
        <f>IF($B2042="","",N($J2042)+N($K2042)+N($L2042)-N($M2042)+N($N2042))</f>
        <v/>
      </c>
      <c r="P2042" s="42" t="n"/>
      <c r="Q2042" s="43">
        <f>IF($B2042="","",N($O2042)-N($P2042))</f>
        <v/>
      </c>
      <c r="R2042" s="42" t="n"/>
      <c r="S2042" s="42" t="n"/>
      <c r="T2042" s="42" t="n"/>
      <c r="U2042" s="43">
        <f>IF($B2042="","",N($J2042)-N($R2042)-N($T2042))</f>
        <v/>
      </c>
      <c r="V2042" s="42" t="n"/>
    </row>
    <row r="2043">
      <c r="A2043" s="39">
        <f>IF($B2043="","",COUNTA($B$4:$B2043))</f>
        <v/>
      </c>
      <c r="B2043" s="45" t="n"/>
      <c r="C2043" s="46" t="n"/>
      <c r="D2043" s="46" t="n"/>
      <c r="E2043" s="46" t="n"/>
      <c r="F2043" s="46" t="n"/>
      <c r="G2043" s="46" t="n"/>
      <c r="H2043" s="46" t="n"/>
      <c r="I2043" s="51" t="n"/>
      <c r="J2043" s="47" t="n"/>
      <c r="K2043" s="47" t="n"/>
      <c r="L2043" s="43">
        <f>IF($B2043="","",ROUND((N($J2043)+N($K2043))*نسبة_القيمة_المضافة,2))</f>
        <v/>
      </c>
      <c r="M2043" s="47" t="n"/>
      <c r="N2043" s="47" t="n"/>
      <c r="O2043" s="43">
        <f>IF($B2043="","",N($J2043)+N($K2043)+N($L2043)-N($M2043)+N($N2043))</f>
        <v/>
      </c>
      <c r="P2043" s="47" t="n"/>
      <c r="Q2043" s="43">
        <f>IF($B2043="","",N($O2043)-N($P2043))</f>
        <v/>
      </c>
      <c r="R2043" s="47" t="n"/>
      <c r="S2043" s="47" t="n"/>
      <c r="T2043" s="47" t="n"/>
      <c r="U2043" s="43">
        <f>IF($B2043="","",N($J2043)-N($R2043)-N($T2043))</f>
        <v/>
      </c>
      <c r="V2043" s="47" t="n"/>
    </row>
    <row r="2044">
      <c r="A2044" s="39">
        <f>IF($B2044="","",COUNTA($B$4:$B2044))</f>
        <v/>
      </c>
      <c r="B2044" s="40" t="n"/>
      <c r="C2044" s="41" t="n"/>
      <c r="D2044" s="41" t="n"/>
      <c r="E2044" s="41" t="n"/>
      <c r="F2044" s="41" t="n"/>
      <c r="G2044" s="41" t="n"/>
      <c r="H2044" s="41" t="n"/>
      <c r="I2044" s="50" t="n"/>
      <c r="J2044" s="42" t="n"/>
      <c r="K2044" s="42" t="n"/>
      <c r="L2044" s="43">
        <f>IF($B2044="","",ROUND((N($J2044)+N($K2044))*نسبة_القيمة_المضافة,2))</f>
        <v/>
      </c>
      <c r="M2044" s="42" t="n"/>
      <c r="N2044" s="42" t="n"/>
      <c r="O2044" s="43">
        <f>IF($B2044="","",N($J2044)+N($K2044)+N($L2044)-N($M2044)+N($N2044))</f>
        <v/>
      </c>
      <c r="P2044" s="42" t="n"/>
      <c r="Q2044" s="43">
        <f>IF($B2044="","",N($O2044)-N($P2044))</f>
        <v/>
      </c>
      <c r="R2044" s="42" t="n"/>
      <c r="S2044" s="42" t="n"/>
      <c r="T2044" s="42" t="n"/>
      <c r="U2044" s="43">
        <f>IF($B2044="","",N($J2044)-N($R2044)-N($T2044))</f>
        <v/>
      </c>
      <c r="V2044" s="42" t="n"/>
    </row>
    <row r="2045">
      <c r="A2045" s="39">
        <f>IF($B2045="","",COUNTA($B$4:$B2045))</f>
        <v/>
      </c>
      <c r="B2045" s="45" t="n"/>
      <c r="C2045" s="46" t="n"/>
      <c r="D2045" s="46" t="n"/>
      <c r="E2045" s="46" t="n"/>
      <c r="F2045" s="46" t="n"/>
      <c r="G2045" s="46" t="n"/>
      <c r="H2045" s="46" t="n"/>
      <c r="I2045" s="51" t="n"/>
      <c r="J2045" s="47" t="n"/>
      <c r="K2045" s="47" t="n"/>
      <c r="L2045" s="43">
        <f>IF($B2045="","",ROUND((N($J2045)+N($K2045))*نسبة_القيمة_المضافة,2))</f>
        <v/>
      </c>
      <c r="M2045" s="47" t="n"/>
      <c r="N2045" s="47" t="n"/>
      <c r="O2045" s="43">
        <f>IF($B2045="","",N($J2045)+N($K2045)+N($L2045)-N($M2045)+N($N2045))</f>
        <v/>
      </c>
      <c r="P2045" s="47" t="n"/>
      <c r="Q2045" s="43">
        <f>IF($B2045="","",N($O2045)-N($P2045))</f>
        <v/>
      </c>
      <c r="R2045" s="47" t="n"/>
      <c r="S2045" s="47" t="n"/>
      <c r="T2045" s="47" t="n"/>
      <c r="U2045" s="43">
        <f>IF($B2045="","",N($J2045)-N($R2045)-N($T2045))</f>
        <v/>
      </c>
      <c r="V2045" s="47" t="n"/>
    </row>
    <row r="2046">
      <c r="A2046" s="39">
        <f>IF($B2046="","",COUNTA($B$4:$B2046))</f>
        <v/>
      </c>
      <c r="B2046" s="40" t="n"/>
      <c r="C2046" s="41" t="n"/>
      <c r="D2046" s="41" t="n"/>
      <c r="E2046" s="41" t="n"/>
      <c r="F2046" s="41" t="n"/>
      <c r="G2046" s="41" t="n"/>
      <c r="H2046" s="41" t="n"/>
      <c r="I2046" s="50" t="n"/>
      <c r="J2046" s="42" t="n"/>
      <c r="K2046" s="42" t="n"/>
      <c r="L2046" s="43">
        <f>IF($B2046="","",ROUND((N($J2046)+N($K2046))*نسبة_القيمة_المضافة,2))</f>
        <v/>
      </c>
      <c r="M2046" s="42" t="n"/>
      <c r="N2046" s="42" t="n"/>
      <c r="O2046" s="43">
        <f>IF($B2046="","",N($J2046)+N($K2046)+N($L2046)-N($M2046)+N($N2046))</f>
        <v/>
      </c>
      <c r="P2046" s="42" t="n"/>
      <c r="Q2046" s="43">
        <f>IF($B2046="","",N($O2046)-N($P2046))</f>
        <v/>
      </c>
      <c r="R2046" s="42" t="n"/>
      <c r="S2046" s="42" t="n"/>
      <c r="T2046" s="42" t="n"/>
      <c r="U2046" s="43">
        <f>IF($B2046="","",N($J2046)-N($R2046)-N($T2046))</f>
        <v/>
      </c>
      <c r="V2046" s="42" t="n"/>
    </row>
    <row r="2047">
      <c r="A2047" s="39">
        <f>IF($B2047="","",COUNTA($B$4:$B2047))</f>
        <v/>
      </c>
      <c r="B2047" s="45" t="n"/>
      <c r="C2047" s="46" t="n"/>
      <c r="D2047" s="46" t="n"/>
      <c r="E2047" s="46" t="n"/>
      <c r="F2047" s="46" t="n"/>
      <c r="G2047" s="46" t="n"/>
      <c r="H2047" s="46" t="n"/>
      <c r="I2047" s="51" t="n"/>
      <c r="J2047" s="47" t="n"/>
      <c r="K2047" s="47" t="n"/>
      <c r="L2047" s="43">
        <f>IF($B2047="","",ROUND((N($J2047)+N($K2047))*نسبة_القيمة_المضافة,2))</f>
        <v/>
      </c>
      <c r="M2047" s="47" t="n"/>
      <c r="N2047" s="47" t="n"/>
      <c r="O2047" s="43">
        <f>IF($B2047="","",N($J2047)+N($K2047)+N($L2047)-N($M2047)+N($N2047))</f>
        <v/>
      </c>
      <c r="P2047" s="47" t="n"/>
      <c r="Q2047" s="43">
        <f>IF($B2047="","",N($O2047)-N($P2047))</f>
        <v/>
      </c>
      <c r="R2047" s="47" t="n"/>
      <c r="S2047" s="47" t="n"/>
      <c r="T2047" s="47" t="n"/>
      <c r="U2047" s="43">
        <f>IF($B2047="","",N($J2047)-N($R2047)-N($T2047))</f>
        <v/>
      </c>
      <c r="V2047" s="47" t="n"/>
    </row>
    <row r="2048">
      <c r="A2048" s="39">
        <f>IF($B2048="","",COUNTA($B$4:$B2048))</f>
        <v/>
      </c>
      <c r="B2048" s="40" t="n"/>
      <c r="C2048" s="41" t="n"/>
      <c r="D2048" s="41" t="n"/>
      <c r="E2048" s="41" t="n"/>
      <c r="F2048" s="41" t="n"/>
      <c r="G2048" s="41" t="n"/>
      <c r="H2048" s="41" t="n"/>
      <c r="I2048" s="50" t="n"/>
      <c r="J2048" s="42" t="n"/>
      <c r="K2048" s="42" t="n"/>
      <c r="L2048" s="43">
        <f>IF($B2048="","",ROUND((N($J2048)+N($K2048))*نسبة_القيمة_المضافة,2))</f>
        <v/>
      </c>
      <c r="M2048" s="42" t="n"/>
      <c r="N2048" s="42" t="n"/>
      <c r="O2048" s="43">
        <f>IF($B2048="","",N($J2048)+N($K2048)+N($L2048)-N($M2048)+N($N2048))</f>
        <v/>
      </c>
      <c r="P2048" s="42" t="n"/>
      <c r="Q2048" s="43">
        <f>IF($B2048="","",N($O2048)-N($P2048))</f>
        <v/>
      </c>
      <c r="R2048" s="42" t="n"/>
      <c r="S2048" s="42" t="n"/>
      <c r="T2048" s="42" t="n"/>
      <c r="U2048" s="43">
        <f>IF($B2048="","",N($J2048)-N($R2048)-N($T2048))</f>
        <v/>
      </c>
      <c r="V2048" s="42" t="n"/>
    </row>
    <row r="2049">
      <c r="A2049" s="39">
        <f>IF($B2049="","",COUNTA($B$4:$B2049))</f>
        <v/>
      </c>
      <c r="B2049" s="45" t="n"/>
      <c r="C2049" s="46" t="n"/>
      <c r="D2049" s="46" t="n"/>
      <c r="E2049" s="46" t="n"/>
      <c r="F2049" s="46" t="n"/>
      <c r="G2049" s="46" t="n"/>
      <c r="H2049" s="46" t="n"/>
      <c r="I2049" s="51" t="n"/>
      <c r="J2049" s="47" t="n"/>
      <c r="K2049" s="47" t="n"/>
      <c r="L2049" s="43">
        <f>IF($B2049="","",ROUND((N($J2049)+N($K2049))*نسبة_القيمة_المضافة,2))</f>
        <v/>
      </c>
      <c r="M2049" s="47" t="n"/>
      <c r="N2049" s="47" t="n"/>
      <c r="O2049" s="43">
        <f>IF($B2049="","",N($J2049)+N($K2049)+N($L2049)-N($M2049)+N($N2049))</f>
        <v/>
      </c>
      <c r="P2049" s="47" t="n"/>
      <c r="Q2049" s="43">
        <f>IF($B2049="","",N($O2049)-N($P2049))</f>
        <v/>
      </c>
      <c r="R2049" s="47" t="n"/>
      <c r="S2049" s="47" t="n"/>
      <c r="T2049" s="47" t="n"/>
      <c r="U2049" s="43">
        <f>IF($B2049="","",N($J2049)-N($R2049)-N($T2049))</f>
        <v/>
      </c>
      <c r="V2049" s="47" t="n"/>
    </row>
    <row r="2050">
      <c r="A2050" s="39">
        <f>IF($B2050="","",COUNTA($B$4:$B2050))</f>
        <v/>
      </c>
      <c r="B2050" s="40" t="n"/>
      <c r="C2050" s="41" t="n"/>
      <c r="D2050" s="41" t="n"/>
      <c r="E2050" s="41" t="n"/>
      <c r="F2050" s="41" t="n"/>
      <c r="G2050" s="41" t="n"/>
      <c r="H2050" s="41" t="n"/>
      <c r="I2050" s="50" t="n"/>
      <c r="J2050" s="42" t="n"/>
      <c r="K2050" s="42" t="n"/>
      <c r="L2050" s="43">
        <f>IF($B2050="","",ROUND((N($J2050)+N($K2050))*نسبة_القيمة_المضافة,2))</f>
        <v/>
      </c>
      <c r="M2050" s="42" t="n"/>
      <c r="N2050" s="42" t="n"/>
      <c r="O2050" s="43">
        <f>IF($B2050="","",N($J2050)+N($K2050)+N($L2050)-N($M2050)+N($N2050))</f>
        <v/>
      </c>
      <c r="P2050" s="42" t="n"/>
      <c r="Q2050" s="43">
        <f>IF($B2050="","",N($O2050)-N($P2050))</f>
        <v/>
      </c>
      <c r="R2050" s="42" t="n"/>
      <c r="S2050" s="42" t="n"/>
      <c r="T2050" s="42" t="n"/>
      <c r="U2050" s="43">
        <f>IF($B2050="","",N($J2050)-N($R2050)-N($T2050))</f>
        <v/>
      </c>
      <c r="V2050" s="42" t="n"/>
    </row>
    <row r="2051">
      <c r="A2051" s="39">
        <f>IF($B2051="","",COUNTA($B$4:$B2051))</f>
        <v/>
      </c>
      <c r="B2051" s="45" t="n"/>
      <c r="C2051" s="46" t="n"/>
      <c r="D2051" s="46" t="n"/>
      <c r="E2051" s="46" t="n"/>
      <c r="F2051" s="46" t="n"/>
      <c r="G2051" s="46" t="n"/>
      <c r="H2051" s="46" t="n"/>
      <c r="I2051" s="51" t="n"/>
      <c r="J2051" s="47" t="n"/>
      <c r="K2051" s="47" t="n"/>
      <c r="L2051" s="43">
        <f>IF($B2051="","",ROUND((N($J2051)+N($K2051))*نسبة_القيمة_المضافة,2))</f>
        <v/>
      </c>
      <c r="M2051" s="47" t="n"/>
      <c r="N2051" s="47" t="n"/>
      <c r="O2051" s="43">
        <f>IF($B2051="","",N($J2051)+N($K2051)+N($L2051)-N($M2051)+N($N2051))</f>
        <v/>
      </c>
      <c r="P2051" s="47" t="n"/>
      <c r="Q2051" s="43">
        <f>IF($B2051="","",N($O2051)-N($P2051))</f>
        <v/>
      </c>
      <c r="R2051" s="47" t="n"/>
      <c r="S2051" s="47" t="n"/>
      <c r="T2051" s="47" t="n"/>
      <c r="U2051" s="43">
        <f>IF($B2051="","",N($J2051)-N($R2051)-N($T2051))</f>
        <v/>
      </c>
      <c r="V2051" s="47" t="n"/>
    </row>
    <row r="2052">
      <c r="A2052" s="39">
        <f>IF($B2052="","",COUNTA($B$4:$B2052))</f>
        <v/>
      </c>
      <c r="B2052" s="40" t="n"/>
      <c r="C2052" s="41" t="n"/>
      <c r="D2052" s="41" t="n"/>
      <c r="E2052" s="41" t="n"/>
      <c r="F2052" s="41" t="n"/>
      <c r="G2052" s="41" t="n"/>
      <c r="H2052" s="41" t="n"/>
      <c r="I2052" s="50" t="n"/>
      <c r="J2052" s="42" t="n"/>
      <c r="K2052" s="42" t="n"/>
      <c r="L2052" s="43">
        <f>IF($B2052="","",ROUND((N($J2052)+N($K2052))*نسبة_القيمة_المضافة,2))</f>
        <v/>
      </c>
      <c r="M2052" s="42" t="n"/>
      <c r="N2052" s="42" t="n"/>
      <c r="O2052" s="43">
        <f>IF($B2052="","",N($J2052)+N($K2052)+N($L2052)-N($M2052)+N($N2052))</f>
        <v/>
      </c>
      <c r="P2052" s="42" t="n"/>
      <c r="Q2052" s="43">
        <f>IF($B2052="","",N($O2052)-N($P2052))</f>
        <v/>
      </c>
      <c r="R2052" s="42" t="n"/>
      <c r="S2052" s="42" t="n"/>
      <c r="T2052" s="42" t="n"/>
      <c r="U2052" s="43">
        <f>IF($B2052="","",N($J2052)-N($R2052)-N($T2052))</f>
        <v/>
      </c>
      <c r="V2052" s="42" t="n"/>
    </row>
    <row r="2053">
      <c r="A2053" s="39">
        <f>IF($B2053="","",COUNTA($B$4:$B2053))</f>
        <v/>
      </c>
      <c r="B2053" s="45" t="n"/>
      <c r="C2053" s="46" t="n"/>
      <c r="D2053" s="46" t="n"/>
      <c r="E2053" s="46" t="n"/>
      <c r="F2053" s="46" t="n"/>
      <c r="G2053" s="46" t="n"/>
      <c r="H2053" s="46" t="n"/>
      <c r="I2053" s="51" t="n"/>
      <c r="J2053" s="47" t="n"/>
      <c r="K2053" s="47" t="n"/>
      <c r="L2053" s="43">
        <f>IF($B2053="","",ROUND((N($J2053)+N($K2053))*نسبة_القيمة_المضافة,2))</f>
        <v/>
      </c>
      <c r="M2053" s="47" t="n"/>
      <c r="N2053" s="47" t="n"/>
      <c r="O2053" s="43">
        <f>IF($B2053="","",N($J2053)+N($K2053)+N($L2053)-N($M2053)+N($N2053))</f>
        <v/>
      </c>
      <c r="P2053" s="47" t="n"/>
      <c r="Q2053" s="43">
        <f>IF($B2053="","",N($O2053)-N($P2053))</f>
        <v/>
      </c>
      <c r="R2053" s="47" t="n"/>
      <c r="S2053" s="47" t="n"/>
      <c r="T2053" s="47" t="n"/>
      <c r="U2053" s="43">
        <f>IF($B2053="","",N($J2053)-N($R2053)-N($T2053))</f>
        <v/>
      </c>
      <c r="V2053" s="47" t="n"/>
    </row>
    <row r="2054">
      <c r="A2054" s="39">
        <f>IF($B2054="","",COUNTA($B$4:$B2054))</f>
        <v/>
      </c>
      <c r="B2054" s="40" t="n"/>
      <c r="C2054" s="41" t="n"/>
      <c r="D2054" s="41" t="n"/>
      <c r="E2054" s="41" t="n"/>
      <c r="F2054" s="41" t="n"/>
      <c r="G2054" s="41" t="n"/>
      <c r="H2054" s="41" t="n"/>
      <c r="I2054" s="50" t="n"/>
      <c r="J2054" s="42" t="n"/>
      <c r="K2054" s="42" t="n"/>
      <c r="L2054" s="43">
        <f>IF($B2054="","",ROUND((N($J2054)+N($K2054))*نسبة_القيمة_المضافة,2))</f>
        <v/>
      </c>
      <c r="M2054" s="42" t="n"/>
      <c r="N2054" s="42" t="n"/>
      <c r="O2054" s="43">
        <f>IF($B2054="","",N($J2054)+N($K2054)+N($L2054)-N($M2054)+N($N2054))</f>
        <v/>
      </c>
      <c r="P2054" s="42" t="n"/>
      <c r="Q2054" s="43">
        <f>IF($B2054="","",N($O2054)-N($P2054))</f>
        <v/>
      </c>
      <c r="R2054" s="42" t="n"/>
      <c r="S2054" s="42" t="n"/>
      <c r="T2054" s="42" t="n"/>
      <c r="U2054" s="43">
        <f>IF($B2054="","",N($J2054)-N($R2054)-N($T2054))</f>
        <v/>
      </c>
      <c r="V2054" s="42" t="n"/>
    </row>
    <row r="2055">
      <c r="A2055" s="39">
        <f>IF($B2055="","",COUNTA($B$4:$B2055))</f>
        <v/>
      </c>
      <c r="B2055" s="45" t="n"/>
      <c r="C2055" s="46" t="n"/>
      <c r="D2055" s="46" t="n"/>
      <c r="E2055" s="46" t="n"/>
      <c r="F2055" s="46" t="n"/>
      <c r="G2055" s="46" t="n"/>
      <c r="H2055" s="46" t="n"/>
      <c r="I2055" s="51" t="n"/>
      <c r="J2055" s="47" t="n"/>
      <c r="K2055" s="47" t="n"/>
      <c r="L2055" s="43">
        <f>IF($B2055="","",ROUND((N($J2055)+N($K2055))*نسبة_القيمة_المضافة,2))</f>
        <v/>
      </c>
      <c r="M2055" s="47" t="n"/>
      <c r="N2055" s="47" t="n"/>
      <c r="O2055" s="43">
        <f>IF($B2055="","",N($J2055)+N($K2055)+N($L2055)-N($M2055)+N($N2055))</f>
        <v/>
      </c>
      <c r="P2055" s="47" t="n"/>
      <c r="Q2055" s="43">
        <f>IF($B2055="","",N($O2055)-N($P2055))</f>
        <v/>
      </c>
      <c r="R2055" s="47" t="n"/>
      <c r="S2055" s="47" t="n"/>
      <c r="T2055" s="47" t="n"/>
      <c r="U2055" s="43">
        <f>IF($B2055="","",N($J2055)-N($R2055)-N($T2055))</f>
        <v/>
      </c>
      <c r="V2055" s="47" t="n"/>
    </row>
    <row r="2056">
      <c r="A2056" s="39">
        <f>IF($B2056="","",COUNTA($B$4:$B2056))</f>
        <v/>
      </c>
      <c r="B2056" s="40" t="n"/>
      <c r="C2056" s="41" t="n"/>
      <c r="D2056" s="41" t="n"/>
      <c r="E2056" s="41" t="n"/>
      <c r="F2056" s="41" t="n"/>
      <c r="G2056" s="41" t="n"/>
      <c r="H2056" s="41" t="n"/>
      <c r="I2056" s="50" t="n"/>
      <c r="J2056" s="42" t="n"/>
      <c r="K2056" s="42" t="n"/>
      <c r="L2056" s="43">
        <f>IF($B2056="","",ROUND((N($J2056)+N($K2056))*نسبة_القيمة_المضافة,2))</f>
        <v/>
      </c>
      <c r="M2056" s="42" t="n"/>
      <c r="N2056" s="42" t="n"/>
      <c r="O2056" s="43">
        <f>IF($B2056="","",N($J2056)+N($K2056)+N($L2056)-N($M2056)+N($N2056))</f>
        <v/>
      </c>
      <c r="P2056" s="42" t="n"/>
      <c r="Q2056" s="43">
        <f>IF($B2056="","",N($O2056)-N($P2056))</f>
        <v/>
      </c>
      <c r="R2056" s="42" t="n"/>
      <c r="S2056" s="42" t="n"/>
      <c r="T2056" s="42" t="n"/>
      <c r="U2056" s="43">
        <f>IF($B2056="","",N($J2056)-N($R2056)-N($T2056))</f>
        <v/>
      </c>
      <c r="V2056" s="42" t="n"/>
    </row>
    <row r="2057">
      <c r="A2057" s="39">
        <f>IF($B2057="","",COUNTA($B$4:$B2057))</f>
        <v/>
      </c>
      <c r="B2057" s="45" t="n"/>
      <c r="C2057" s="46" t="n"/>
      <c r="D2057" s="46" t="n"/>
      <c r="E2057" s="46" t="n"/>
      <c r="F2057" s="46" t="n"/>
      <c r="G2057" s="46" t="n"/>
      <c r="H2057" s="46" t="n"/>
      <c r="I2057" s="51" t="n"/>
      <c r="J2057" s="47" t="n"/>
      <c r="K2057" s="47" t="n"/>
      <c r="L2057" s="43">
        <f>IF($B2057="","",ROUND((N($J2057)+N($K2057))*نسبة_القيمة_المضافة,2))</f>
        <v/>
      </c>
      <c r="M2057" s="47" t="n"/>
      <c r="N2057" s="47" t="n"/>
      <c r="O2057" s="43">
        <f>IF($B2057="","",N($J2057)+N($K2057)+N($L2057)-N($M2057)+N($N2057))</f>
        <v/>
      </c>
      <c r="P2057" s="47" t="n"/>
      <c r="Q2057" s="43">
        <f>IF($B2057="","",N($O2057)-N($P2057))</f>
        <v/>
      </c>
      <c r="R2057" s="47" t="n"/>
      <c r="S2057" s="47" t="n"/>
      <c r="T2057" s="47" t="n"/>
      <c r="U2057" s="43">
        <f>IF($B2057="","",N($J2057)-N($R2057)-N($T2057))</f>
        <v/>
      </c>
      <c r="V2057" s="47" t="n"/>
    </row>
    <row r="2058">
      <c r="A2058" s="39">
        <f>IF($B2058="","",COUNTA($B$4:$B2058))</f>
        <v/>
      </c>
      <c r="B2058" s="40" t="n"/>
      <c r="C2058" s="41" t="n"/>
      <c r="D2058" s="41" t="n"/>
      <c r="E2058" s="41" t="n"/>
      <c r="F2058" s="41" t="n"/>
      <c r="G2058" s="41" t="n"/>
      <c r="H2058" s="41" t="n"/>
      <c r="I2058" s="50" t="n"/>
      <c r="J2058" s="42" t="n"/>
      <c r="K2058" s="42" t="n"/>
      <c r="L2058" s="43">
        <f>IF($B2058="","",ROUND((N($J2058)+N($K2058))*نسبة_القيمة_المضافة,2))</f>
        <v/>
      </c>
      <c r="M2058" s="42" t="n"/>
      <c r="N2058" s="42" t="n"/>
      <c r="O2058" s="43">
        <f>IF($B2058="","",N($J2058)+N($K2058)+N($L2058)-N($M2058)+N($N2058))</f>
        <v/>
      </c>
      <c r="P2058" s="42" t="n"/>
      <c r="Q2058" s="43">
        <f>IF($B2058="","",N($O2058)-N($P2058))</f>
        <v/>
      </c>
      <c r="R2058" s="42" t="n"/>
      <c r="S2058" s="42" t="n"/>
      <c r="T2058" s="42" t="n"/>
      <c r="U2058" s="43">
        <f>IF($B2058="","",N($J2058)-N($R2058)-N($T2058))</f>
        <v/>
      </c>
      <c r="V2058" s="42" t="n"/>
    </row>
    <row r="2059">
      <c r="A2059" s="39">
        <f>IF($B2059="","",COUNTA($B$4:$B2059))</f>
        <v/>
      </c>
      <c r="B2059" s="45" t="n"/>
      <c r="C2059" s="46" t="n"/>
      <c r="D2059" s="46" t="n"/>
      <c r="E2059" s="46" t="n"/>
      <c r="F2059" s="46" t="n"/>
      <c r="G2059" s="46" t="n"/>
      <c r="H2059" s="46" t="n"/>
      <c r="I2059" s="51" t="n"/>
      <c r="J2059" s="47" t="n"/>
      <c r="K2059" s="47" t="n"/>
      <c r="L2059" s="43">
        <f>IF($B2059="","",ROUND((N($J2059)+N($K2059))*نسبة_القيمة_المضافة,2))</f>
        <v/>
      </c>
      <c r="M2059" s="47" t="n"/>
      <c r="N2059" s="47" t="n"/>
      <c r="O2059" s="43">
        <f>IF($B2059="","",N($J2059)+N($K2059)+N($L2059)-N($M2059)+N($N2059))</f>
        <v/>
      </c>
      <c r="P2059" s="47" t="n"/>
      <c r="Q2059" s="43">
        <f>IF($B2059="","",N($O2059)-N($P2059))</f>
        <v/>
      </c>
      <c r="R2059" s="47" t="n"/>
      <c r="S2059" s="47" t="n"/>
      <c r="T2059" s="47" t="n"/>
      <c r="U2059" s="43">
        <f>IF($B2059="","",N($J2059)-N($R2059)-N($T2059))</f>
        <v/>
      </c>
      <c r="V2059" s="47" t="n"/>
    </row>
    <row r="2060">
      <c r="A2060" s="39">
        <f>IF($B2060="","",COUNTA($B$4:$B2060))</f>
        <v/>
      </c>
      <c r="B2060" s="40" t="n"/>
      <c r="C2060" s="41" t="n"/>
      <c r="D2060" s="41" t="n"/>
      <c r="E2060" s="41" t="n"/>
      <c r="F2060" s="41" t="n"/>
      <c r="G2060" s="41" t="n"/>
      <c r="H2060" s="41" t="n"/>
      <c r="I2060" s="50" t="n"/>
      <c r="J2060" s="42" t="n"/>
      <c r="K2060" s="42" t="n"/>
      <c r="L2060" s="43">
        <f>IF($B2060="","",ROUND((N($J2060)+N($K2060))*نسبة_القيمة_المضافة,2))</f>
        <v/>
      </c>
      <c r="M2060" s="42" t="n"/>
      <c r="N2060" s="42" t="n"/>
      <c r="O2060" s="43">
        <f>IF($B2060="","",N($J2060)+N($K2060)+N($L2060)-N($M2060)+N($N2060))</f>
        <v/>
      </c>
      <c r="P2060" s="42" t="n"/>
      <c r="Q2060" s="43">
        <f>IF($B2060="","",N($O2060)-N($P2060))</f>
        <v/>
      </c>
      <c r="R2060" s="42" t="n"/>
      <c r="S2060" s="42" t="n"/>
      <c r="T2060" s="42" t="n"/>
      <c r="U2060" s="43">
        <f>IF($B2060="","",N($J2060)-N($R2060)-N($T2060))</f>
        <v/>
      </c>
      <c r="V2060" s="42" t="n"/>
    </row>
    <row r="2061">
      <c r="A2061" s="39">
        <f>IF($B2061="","",COUNTA($B$4:$B2061))</f>
        <v/>
      </c>
      <c r="B2061" s="45" t="n"/>
      <c r="C2061" s="46" t="n"/>
      <c r="D2061" s="46" t="n"/>
      <c r="E2061" s="46" t="n"/>
      <c r="F2061" s="46" t="n"/>
      <c r="G2061" s="46" t="n"/>
      <c r="H2061" s="46" t="n"/>
      <c r="I2061" s="51" t="n"/>
      <c r="J2061" s="47" t="n"/>
      <c r="K2061" s="47" t="n"/>
      <c r="L2061" s="43">
        <f>IF($B2061="","",ROUND((N($J2061)+N($K2061))*نسبة_القيمة_المضافة,2))</f>
        <v/>
      </c>
      <c r="M2061" s="47" t="n"/>
      <c r="N2061" s="47" t="n"/>
      <c r="O2061" s="43">
        <f>IF($B2061="","",N($J2061)+N($K2061)+N($L2061)-N($M2061)+N($N2061))</f>
        <v/>
      </c>
      <c r="P2061" s="47" t="n"/>
      <c r="Q2061" s="43">
        <f>IF($B2061="","",N($O2061)-N($P2061))</f>
        <v/>
      </c>
      <c r="R2061" s="47" t="n"/>
      <c r="S2061" s="47" t="n"/>
      <c r="T2061" s="47" t="n"/>
      <c r="U2061" s="43">
        <f>IF($B2061="","",N($J2061)-N($R2061)-N($T2061))</f>
        <v/>
      </c>
      <c r="V2061" s="47" t="n"/>
    </row>
    <row r="2062">
      <c r="A2062" s="39">
        <f>IF($B2062="","",COUNTA($B$4:$B2062))</f>
        <v/>
      </c>
      <c r="B2062" s="40" t="n"/>
      <c r="C2062" s="41" t="n"/>
      <c r="D2062" s="41" t="n"/>
      <c r="E2062" s="41" t="n"/>
      <c r="F2062" s="41" t="n"/>
      <c r="G2062" s="41" t="n"/>
      <c r="H2062" s="41" t="n"/>
      <c r="I2062" s="50" t="n"/>
      <c r="J2062" s="42" t="n"/>
      <c r="K2062" s="42" t="n"/>
      <c r="L2062" s="43">
        <f>IF($B2062="","",ROUND((N($J2062)+N($K2062))*نسبة_القيمة_المضافة,2))</f>
        <v/>
      </c>
      <c r="M2062" s="42" t="n"/>
      <c r="N2062" s="42" t="n"/>
      <c r="O2062" s="43">
        <f>IF($B2062="","",N($J2062)+N($K2062)+N($L2062)-N($M2062)+N($N2062))</f>
        <v/>
      </c>
      <c r="P2062" s="42" t="n"/>
      <c r="Q2062" s="43">
        <f>IF($B2062="","",N($O2062)-N($P2062))</f>
        <v/>
      </c>
      <c r="R2062" s="42" t="n"/>
      <c r="S2062" s="42" t="n"/>
      <c r="T2062" s="42" t="n"/>
      <c r="U2062" s="43">
        <f>IF($B2062="","",N($J2062)-N($R2062)-N($T2062))</f>
        <v/>
      </c>
      <c r="V2062" s="42" t="n"/>
    </row>
    <row r="2063">
      <c r="A2063" s="39">
        <f>IF($B2063="","",COUNTA($B$4:$B2063))</f>
        <v/>
      </c>
      <c r="B2063" s="45" t="n"/>
      <c r="C2063" s="46" t="n"/>
      <c r="D2063" s="46" t="n"/>
      <c r="E2063" s="46" t="n"/>
      <c r="F2063" s="46" t="n"/>
      <c r="G2063" s="46" t="n"/>
      <c r="H2063" s="46" t="n"/>
      <c r="I2063" s="51" t="n"/>
      <c r="J2063" s="47" t="n"/>
      <c r="K2063" s="47" t="n"/>
      <c r="L2063" s="43">
        <f>IF($B2063="","",ROUND((N($J2063)+N($K2063))*نسبة_القيمة_المضافة,2))</f>
        <v/>
      </c>
      <c r="M2063" s="47" t="n"/>
      <c r="N2063" s="47" t="n"/>
      <c r="O2063" s="43">
        <f>IF($B2063="","",N($J2063)+N($K2063)+N($L2063)-N($M2063)+N($N2063))</f>
        <v/>
      </c>
      <c r="P2063" s="47" t="n"/>
      <c r="Q2063" s="43">
        <f>IF($B2063="","",N($O2063)-N($P2063))</f>
        <v/>
      </c>
      <c r="R2063" s="47" t="n"/>
      <c r="S2063" s="47" t="n"/>
      <c r="T2063" s="47" t="n"/>
      <c r="U2063" s="43">
        <f>IF($B2063="","",N($J2063)-N($R2063)-N($T2063))</f>
        <v/>
      </c>
      <c r="V2063" s="47" t="n"/>
    </row>
    <row r="2064">
      <c r="A2064" s="39">
        <f>IF($B2064="","",COUNTA($B$4:$B2064))</f>
        <v/>
      </c>
      <c r="B2064" s="40" t="n"/>
      <c r="C2064" s="41" t="n"/>
      <c r="D2064" s="41" t="n"/>
      <c r="E2064" s="41" t="n"/>
      <c r="F2064" s="41" t="n"/>
      <c r="G2064" s="41" t="n"/>
      <c r="H2064" s="41" t="n"/>
      <c r="I2064" s="50" t="n"/>
      <c r="J2064" s="42" t="n"/>
      <c r="K2064" s="42" t="n"/>
      <c r="L2064" s="43">
        <f>IF($B2064="","",ROUND((N($J2064)+N($K2064))*نسبة_القيمة_المضافة,2))</f>
        <v/>
      </c>
      <c r="M2064" s="42" t="n"/>
      <c r="N2064" s="42" t="n"/>
      <c r="O2064" s="43">
        <f>IF($B2064="","",N($J2064)+N($K2064)+N($L2064)-N($M2064)+N($N2064))</f>
        <v/>
      </c>
      <c r="P2064" s="42" t="n"/>
      <c r="Q2064" s="43">
        <f>IF($B2064="","",N($O2064)-N($P2064))</f>
        <v/>
      </c>
      <c r="R2064" s="42" t="n"/>
      <c r="S2064" s="42" t="n"/>
      <c r="T2064" s="42" t="n"/>
      <c r="U2064" s="43">
        <f>IF($B2064="","",N($J2064)-N($R2064)-N($T2064))</f>
        <v/>
      </c>
      <c r="V2064" s="42" t="n"/>
    </row>
    <row r="2065">
      <c r="A2065" s="39">
        <f>IF($B2065="","",COUNTA($B$4:$B2065))</f>
        <v/>
      </c>
      <c r="B2065" s="45" t="n"/>
      <c r="C2065" s="46" t="n"/>
      <c r="D2065" s="46" t="n"/>
      <c r="E2065" s="46" t="n"/>
      <c r="F2065" s="46" t="n"/>
      <c r="G2065" s="46" t="n"/>
      <c r="H2065" s="46" t="n"/>
      <c r="I2065" s="51" t="n"/>
      <c r="J2065" s="47" t="n"/>
      <c r="K2065" s="47" t="n"/>
      <c r="L2065" s="43">
        <f>IF($B2065="","",ROUND((N($J2065)+N($K2065))*نسبة_القيمة_المضافة,2))</f>
        <v/>
      </c>
      <c r="M2065" s="47" t="n"/>
      <c r="N2065" s="47" t="n"/>
      <c r="O2065" s="43">
        <f>IF($B2065="","",N($J2065)+N($K2065)+N($L2065)-N($M2065)+N($N2065))</f>
        <v/>
      </c>
      <c r="P2065" s="47" t="n"/>
      <c r="Q2065" s="43">
        <f>IF($B2065="","",N($O2065)-N($P2065))</f>
        <v/>
      </c>
      <c r="R2065" s="47" t="n"/>
      <c r="S2065" s="47" t="n"/>
      <c r="T2065" s="47" t="n"/>
      <c r="U2065" s="43">
        <f>IF($B2065="","",N($J2065)-N($R2065)-N($T2065))</f>
        <v/>
      </c>
      <c r="V2065" s="47" t="n"/>
    </row>
    <row r="2066">
      <c r="A2066" s="39">
        <f>IF($B2066="","",COUNTA($B$4:$B2066))</f>
        <v/>
      </c>
      <c r="B2066" s="40" t="n"/>
      <c r="C2066" s="41" t="n"/>
      <c r="D2066" s="41" t="n"/>
      <c r="E2066" s="41" t="n"/>
      <c r="F2066" s="41" t="n"/>
      <c r="G2066" s="41" t="n"/>
      <c r="H2066" s="41" t="n"/>
      <c r="I2066" s="50" t="n"/>
      <c r="J2066" s="42" t="n"/>
      <c r="K2066" s="42" t="n"/>
      <c r="L2066" s="43">
        <f>IF($B2066="","",ROUND((N($J2066)+N($K2066))*نسبة_القيمة_المضافة,2))</f>
        <v/>
      </c>
      <c r="M2066" s="42" t="n"/>
      <c r="N2066" s="42" t="n"/>
      <c r="O2066" s="43">
        <f>IF($B2066="","",N($J2066)+N($K2066)+N($L2066)-N($M2066)+N($N2066))</f>
        <v/>
      </c>
      <c r="P2066" s="42" t="n"/>
      <c r="Q2066" s="43">
        <f>IF($B2066="","",N($O2066)-N($P2066))</f>
        <v/>
      </c>
      <c r="R2066" s="42" t="n"/>
      <c r="S2066" s="42" t="n"/>
      <c r="T2066" s="42" t="n"/>
      <c r="U2066" s="43">
        <f>IF($B2066="","",N($J2066)-N($R2066)-N($T2066))</f>
        <v/>
      </c>
      <c r="V2066" s="42" t="n"/>
    </row>
    <row r="2067">
      <c r="A2067" s="39">
        <f>IF($B2067="","",COUNTA($B$4:$B2067))</f>
        <v/>
      </c>
      <c r="B2067" s="45" t="n"/>
      <c r="C2067" s="46" t="n"/>
      <c r="D2067" s="46" t="n"/>
      <c r="E2067" s="46" t="n"/>
      <c r="F2067" s="46" t="n"/>
      <c r="G2067" s="46" t="n"/>
      <c r="H2067" s="46" t="n"/>
      <c r="I2067" s="51" t="n"/>
      <c r="J2067" s="47" t="n"/>
      <c r="K2067" s="47" t="n"/>
      <c r="L2067" s="43">
        <f>IF($B2067="","",ROUND((N($J2067)+N($K2067))*نسبة_القيمة_المضافة,2))</f>
        <v/>
      </c>
      <c r="M2067" s="47" t="n"/>
      <c r="N2067" s="47" t="n"/>
      <c r="O2067" s="43">
        <f>IF($B2067="","",N($J2067)+N($K2067)+N($L2067)-N($M2067)+N($N2067))</f>
        <v/>
      </c>
      <c r="P2067" s="47" t="n"/>
      <c r="Q2067" s="43">
        <f>IF($B2067="","",N($O2067)-N($P2067))</f>
        <v/>
      </c>
      <c r="R2067" s="47" t="n"/>
      <c r="S2067" s="47" t="n"/>
      <c r="T2067" s="47" t="n"/>
      <c r="U2067" s="43">
        <f>IF($B2067="","",N($J2067)-N($R2067)-N($T2067))</f>
        <v/>
      </c>
      <c r="V2067" s="47" t="n"/>
    </row>
    <row r="2068">
      <c r="A2068" s="39">
        <f>IF($B2068="","",COUNTA($B$4:$B2068))</f>
        <v/>
      </c>
      <c r="B2068" s="40" t="n"/>
      <c r="C2068" s="41" t="n"/>
      <c r="D2068" s="41" t="n"/>
      <c r="E2068" s="41" t="n"/>
      <c r="F2068" s="41" t="n"/>
      <c r="G2068" s="41" t="n"/>
      <c r="H2068" s="41" t="n"/>
      <c r="I2068" s="50" t="n"/>
      <c r="J2068" s="42" t="n"/>
      <c r="K2068" s="42" t="n"/>
      <c r="L2068" s="43">
        <f>IF($B2068="","",ROUND((N($J2068)+N($K2068))*نسبة_القيمة_المضافة,2))</f>
        <v/>
      </c>
      <c r="M2068" s="42" t="n"/>
      <c r="N2068" s="42" t="n"/>
      <c r="O2068" s="43">
        <f>IF($B2068="","",N($J2068)+N($K2068)+N($L2068)-N($M2068)+N($N2068))</f>
        <v/>
      </c>
      <c r="P2068" s="42" t="n"/>
      <c r="Q2068" s="43">
        <f>IF($B2068="","",N($O2068)-N($P2068))</f>
        <v/>
      </c>
      <c r="R2068" s="42" t="n"/>
      <c r="S2068" s="42" t="n"/>
      <c r="T2068" s="42" t="n"/>
      <c r="U2068" s="43">
        <f>IF($B2068="","",N($J2068)-N($R2068)-N($T2068))</f>
        <v/>
      </c>
      <c r="V2068" s="42" t="n"/>
    </row>
    <row r="2069">
      <c r="A2069" s="39">
        <f>IF($B2069="","",COUNTA($B$4:$B2069))</f>
        <v/>
      </c>
      <c r="B2069" s="45" t="n"/>
      <c r="C2069" s="46" t="n"/>
      <c r="D2069" s="46" t="n"/>
      <c r="E2069" s="46" t="n"/>
      <c r="F2069" s="46" t="n"/>
      <c r="G2069" s="46" t="n"/>
      <c r="H2069" s="46" t="n"/>
      <c r="I2069" s="51" t="n"/>
      <c r="J2069" s="47" t="n"/>
      <c r="K2069" s="47" t="n"/>
      <c r="L2069" s="43">
        <f>IF($B2069="","",ROUND((N($J2069)+N($K2069))*نسبة_القيمة_المضافة,2))</f>
        <v/>
      </c>
      <c r="M2069" s="47" t="n"/>
      <c r="N2069" s="47" t="n"/>
      <c r="O2069" s="43">
        <f>IF($B2069="","",N($J2069)+N($K2069)+N($L2069)-N($M2069)+N($N2069))</f>
        <v/>
      </c>
      <c r="P2069" s="47" t="n"/>
      <c r="Q2069" s="43">
        <f>IF($B2069="","",N($O2069)-N($P2069))</f>
        <v/>
      </c>
      <c r="R2069" s="47" t="n"/>
      <c r="S2069" s="47" t="n"/>
      <c r="T2069" s="47" t="n"/>
      <c r="U2069" s="43">
        <f>IF($B2069="","",N($J2069)-N($R2069)-N($T2069))</f>
        <v/>
      </c>
      <c r="V2069" s="47" t="n"/>
    </row>
    <row r="2070">
      <c r="A2070" s="39">
        <f>IF($B2070="","",COUNTA($B$4:$B2070))</f>
        <v/>
      </c>
      <c r="B2070" s="40" t="n"/>
      <c r="C2070" s="41" t="n"/>
      <c r="D2070" s="41" t="n"/>
      <c r="E2070" s="41" t="n"/>
      <c r="F2070" s="41" t="n"/>
      <c r="G2070" s="41" t="n"/>
      <c r="H2070" s="41" t="n"/>
      <c r="I2070" s="50" t="n"/>
      <c r="J2070" s="42" t="n"/>
      <c r="K2070" s="42" t="n"/>
      <c r="L2070" s="43">
        <f>IF($B2070="","",ROUND((N($J2070)+N($K2070))*نسبة_القيمة_المضافة,2))</f>
        <v/>
      </c>
      <c r="M2070" s="42" t="n"/>
      <c r="N2070" s="42" t="n"/>
      <c r="O2070" s="43">
        <f>IF($B2070="","",N($J2070)+N($K2070)+N($L2070)-N($M2070)+N($N2070))</f>
        <v/>
      </c>
      <c r="P2070" s="42" t="n"/>
      <c r="Q2070" s="43">
        <f>IF($B2070="","",N($O2070)-N($P2070))</f>
        <v/>
      </c>
      <c r="R2070" s="42" t="n"/>
      <c r="S2070" s="42" t="n"/>
      <c r="T2070" s="42" t="n"/>
      <c r="U2070" s="43">
        <f>IF($B2070="","",N($J2070)-N($R2070)-N($T2070))</f>
        <v/>
      </c>
      <c r="V2070" s="42" t="n"/>
    </row>
    <row r="2071">
      <c r="A2071" s="39">
        <f>IF($B2071="","",COUNTA($B$4:$B2071))</f>
        <v/>
      </c>
      <c r="B2071" s="45" t="n"/>
      <c r="C2071" s="46" t="n"/>
      <c r="D2071" s="46" t="n"/>
      <c r="E2071" s="46" t="n"/>
      <c r="F2071" s="46" t="n"/>
      <c r="G2071" s="46" t="n"/>
      <c r="H2071" s="46" t="n"/>
      <c r="I2071" s="51" t="n"/>
      <c r="J2071" s="47" t="n"/>
      <c r="K2071" s="47" t="n"/>
      <c r="L2071" s="43">
        <f>IF($B2071="","",ROUND((N($J2071)+N($K2071))*نسبة_القيمة_المضافة,2))</f>
        <v/>
      </c>
      <c r="M2071" s="47" t="n"/>
      <c r="N2071" s="47" t="n"/>
      <c r="O2071" s="43">
        <f>IF($B2071="","",N($J2071)+N($K2071)+N($L2071)-N($M2071)+N($N2071))</f>
        <v/>
      </c>
      <c r="P2071" s="47" t="n"/>
      <c r="Q2071" s="43">
        <f>IF($B2071="","",N($O2071)-N($P2071))</f>
        <v/>
      </c>
      <c r="R2071" s="47" t="n"/>
      <c r="S2071" s="47" t="n"/>
      <c r="T2071" s="47" t="n"/>
      <c r="U2071" s="43">
        <f>IF($B2071="","",N($J2071)-N($R2071)-N($T2071))</f>
        <v/>
      </c>
      <c r="V2071" s="47" t="n"/>
    </row>
    <row r="2072">
      <c r="A2072" s="39">
        <f>IF($B2072="","",COUNTA($B$4:$B2072))</f>
        <v/>
      </c>
      <c r="B2072" s="40" t="n"/>
      <c r="C2072" s="41" t="n"/>
      <c r="D2072" s="41" t="n"/>
      <c r="E2072" s="41" t="n"/>
      <c r="F2072" s="41" t="n"/>
      <c r="G2072" s="41" t="n"/>
      <c r="H2072" s="41" t="n"/>
      <c r="I2072" s="50" t="n"/>
      <c r="J2072" s="42" t="n"/>
      <c r="K2072" s="42" t="n"/>
      <c r="L2072" s="43">
        <f>IF($B2072="","",ROUND((N($J2072)+N($K2072))*نسبة_القيمة_المضافة,2))</f>
        <v/>
      </c>
      <c r="M2072" s="42" t="n"/>
      <c r="N2072" s="42" t="n"/>
      <c r="O2072" s="43">
        <f>IF($B2072="","",N($J2072)+N($K2072)+N($L2072)-N($M2072)+N($N2072))</f>
        <v/>
      </c>
      <c r="P2072" s="42" t="n"/>
      <c r="Q2072" s="43">
        <f>IF($B2072="","",N($O2072)-N($P2072))</f>
        <v/>
      </c>
      <c r="R2072" s="42" t="n"/>
      <c r="S2072" s="42" t="n"/>
      <c r="T2072" s="42" t="n"/>
      <c r="U2072" s="43">
        <f>IF($B2072="","",N($J2072)-N($R2072)-N($T2072))</f>
        <v/>
      </c>
      <c r="V2072" s="42" t="n"/>
    </row>
    <row r="2073">
      <c r="A2073" s="39">
        <f>IF($B2073="","",COUNTA($B$4:$B2073))</f>
        <v/>
      </c>
      <c r="B2073" s="45" t="n"/>
      <c r="C2073" s="46" t="n"/>
      <c r="D2073" s="46" t="n"/>
      <c r="E2073" s="46" t="n"/>
      <c r="F2073" s="46" t="n"/>
      <c r="G2073" s="46" t="n"/>
      <c r="H2073" s="46" t="n"/>
      <c r="I2073" s="51" t="n"/>
      <c r="J2073" s="47" t="n"/>
      <c r="K2073" s="47" t="n"/>
      <c r="L2073" s="43">
        <f>IF($B2073="","",ROUND((N($J2073)+N($K2073))*نسبة_القيمة_المضافة,2))</f>
        <v/>
      </c>
      <c r="M2073" s="47" t="n"/>
      <c r="N2073" s="47" t="n"/>
      <c r="O2073" s="43">
        <f>IF($B2073="","",N($J2073)+N($K2073)+N($L2073)-N($M2073)+N($N2073))</f>
        <v/>
      </c>
      <c r="P2073" s="47" t="n"/>
      <c r="Q2073" s="43">
        <f>IF($B2073="","",N($O2073)-N($P2073))</f>
        <v/>
      </c>
      <c r="R2073" s="47" t="n"/>
      <c r="S2073" s="47" t="n"/>
      <c r="T2073" s="47" t="n"/>
      <c r="U2073" s="43">
        <f>IF($B2073="","",N($J2073)-N($R2073)-N($T2073))</f>
        <v/>
      </c>
      <c r="V2073" s="47" t="n"/>
    </row>
    <row r="2074">
      <c r="A2074" s="39">
        <f>IF($B2074="","",COUNTA($B$4:$B2074))</f>
        <v/>
      </c>
      <c r="B2074" s="40" t="n"/>
      <c r="C2074" s="41" t="n"/>
      <c r="D2074" s="41" t="n"/>
      <c r="E2074" s="41" t="n"/>
      <c r="F2074" s="41" t="n"/>
      <c r="G2074" s="41" t="n"/>
      <c r="H2074" s="41" t="n"/>
      <c r="I2074" s="50" t="n"/>
      <c r="J2074" s="42" t="n"/>
      <c r="K2074" s="42" t="n"/>
      <c r="L2074" s="43">
        <f>IF($B2074="","",ROUND((N($J2074)+N($K2074))*نسبة_القيمة_المضافة,2))</f>
        <v/>
      </c>
      <c r="M2074" s="42" t="n"/>
      <c r="N2074" s="42" t="n"/>
      <c r="O2074" s="43">
        <f>IF($B2074="","",N($J2074)+N($K2074)+N($L2074)-N($M2074)+N($N2074))</f>
        <v/>
      </c>
      <c r="P2074" s="42" t="n"/>
      <c r="Q2074" s="43">
        <f>IF($B2074="","",N($O2074)-N($P2074))</f>
        <v/>
      </c>
      <c r="R2074" s="42" t="n"/>
      <c r="S2074" s="42" t="n"/>
      <c r="T2074" s="42" t="n"/>
      <c r="U2074" s="43">
        <f>IF($B2074="","",N($J2074)-N($R2074)-N($T2074))</f>
        <v/>
      </c>
      <c r="V2074" s="42" t="n"/>
    </row>
    <row r="2075">
      <c r="A2075" s="39">
        <f>IF($B2075="","",COUNTA($B$4:$B2075))</f>
        <v/>
      </c>
      <c r="B2075" s="45" t="n"/>
      <c r="C2075" s="46" t="n"/>
      <c r="D2075" s="46" t="n"/>
      <c r="E2075" s="46" t="n"/>
      <c r="F2075" s="46" t="n"/>
      <c r="G2075" s="46" t="n"/>
      <c r="H2075" s="46" t="n"/>
      <c r="I2075" s="51" t="n"/>
      <c r="J2075" s="47" t="n"/>
      <c r="K2075" s="47" t="n"/>
      <c r="L2075" s="43">
        <f>IF($B2075="","",ROUND((N($J2075)+N($K2075))*نسبة_القيمة_المضافة,2))</f>
        <v/>
      </c>
      <c r="M2075" s="47" t="n"/>
      <c r="N2075" s="47" t="n"/>
      <c r="O2075" s="43">
        <f>IF($B2075="","",N($J2075)+N($K2075)+N($L2075)-N($M2075)+N($N2075))</f>
        <v/>
      </c>
      <c r="P2075" s="47" t="n"/>
      <c r="Q2075" s="43">
        <f>IF($B2075="","",N($O2075)-N($P2075))</f>
        <v/>
      </c>
      <c r="R2075" s="47" t="n"/>
      <c r="S2075" s="47" t="n"/>
      <c r="T2075" s="47" t="n"/>
      <c r="U2075" s="43">
        <f>IF($B2075="","",N($J2075)-N($R2075)-N($T2075))</f>
        <v/>
      </c>
      <c r="V2075" s="47" t="n"/>
    </row>
    <row r="2076">
      <c r="A2076" s="39">
        <f>IF($B2076="","",COUNTA($B$4:$B2076))</f>
        <v/>
      </c>
      <c r="B2076" s="40" t="n"/>
      <c r="C2076" s="41" t="n"/>
      <c r="D2076" s="41" t="n"/>
      <c r="E2076" s="41" t="n"/>
      <c r="F2076" s="41" t="n"/>
      <c r="G2076" s="41" t="n"/>
      <c r="H2076" s="41" t="n"/>
      <c r="I2076" s="50" t="n"/>
      <c r="J2076" s="42" t="n"/>
      <c r="K2076" s="42" t="n"/>
      <c r="L2076" s="43">
        <f>IF($B2076="","",ROUND((N($J2076)+N($K2076))*نسبة_القيمة_المضافة,2))</f>
        <v/>
      </c>
      <c r="M2076" s="42" t="n"/>
      <c r="N2076" s="42" t="n"/>
      <c r="O2076" s="43">
        <f>IF($B2076="","",N($J2076)+N($K2076)+N($L2076)-N($M2076)+N($N2076))</f>
        <v/>
      </c>
      <c r="P2076" s="42" t="n"/>
      <c r="Q2076" s="43">
        <f>IF($B2076="","",N($O2076)-N($P2076))</f>
        <v/>
      </c>
      <c r="R2076" s="42" t="n"/>
      <c r="S2076" s="42" t="n"/>
      <c r="T2076" s="42" t="n"/>
      <c r="U2076" s="43">
        <f>IF($B2076="","",N($J2076)-N($R2076)-N($T2076))</f>
        <v/>
      </c>
      <c r="V2076" s="42" t="n"/>
    </row>
    <row r="2077">
      <c r="A2077" s="39">
        <f>IF($B2077="","",COUNTA($B$4:$B2077))</f>
        <v/>
      </c>
      <c r="B2077" s="45" t="n"/>
      <c r="C2077" s="46" t="n"/>
      <c r="D2077" s="46" t="n"/>
      <c r="E2077" s="46" t="n"/>
      <c r="F2077" s="46" t="n"/>
      <c r="G2077" s="46" t="n"/>
      <c r="H2077" s="46" t="n"/>
      <c r="I2077" s="51" t="n"/>
      <c r="J2077" s="47" t="n"/>
      <c r="K2077" s="47" t="n"/>
      <c r="L2077" s="43">
        <f>IF($B2077="","",ROUND((N($J2077)+N($K2077))*نسبة_القيمة_المضافة,2))</f>
        <v/>
      </c>
      <c r="M2077" s="47" t="n"/>
      <c r="N2077" s="47" t="n"/>
      <c r="O2077" s="43">
        <f>IF($B2077="","",N($J2077)+N($K2077)+N($L2077)-N($M2077)+N($N2077))</f>
        <v/>
      </c>
      <c r="P2077" s="47" t="n"/>
      <c r="Q2077" s="43">
        <f>IF($B2077="","",N($O2077)-N($P2077))</f>
        <v/>
      </c>
      <c r="R2077" s="47" t="n"/>
      <c r="S2077" s="47" t="n"/>
      <c r="T2077" s="47" t="n"/>
      <c r="U2077" s="43">
        <f>IF($B2077="","",N($J2077)-N($R2077)-N($T2077))</f>
        <v/>
      </c>
      <c r="V2077" s="47" t="n"/>
    </row>
    <row r="2078">
      <c r="A2078" s="39">
        <f>IF($B2078="","",COUNTA($B$4:$B2078))</f>
        <v/>
      </c>
      <c r="B2078" s="40" t="n"/>
      <c r="C2078" s="41" t="n"/>
      <c r="D2078" s="41" t="n"/>
      <c r="E2078" s="41" t="n"/>
      <c r="F2078" s="41" t="n"/>
      <c r="G2078" s="41" t="n"/>
      <c r="H2078" s="41" t="n"/>
      <c r="I2078" s="50" t="n"/>
      <c r="J2078" s="42" t="n"/>
      <c r="K2078" s="42" t="n"/>
      <c r="L2078" s="43">
        <f>IF($B2078="","",ROUND((N($J2078)+N($K2078))*نسبة_القيمة_المضافة,2))</f>
        <v/>
      </c>
      <c r="M2078" s="42" t="n"/>
      <c r="N2078" s="42" t="n"/>
      <c r="O2078" s="43">
        <f>IF($B2078="","",N($J2078)+N($K2078)+N($L2078)-N($M2078)+N($N2078))</f>
        <v/>
      </c>
      <c r="P2078" s="42" t="n"/>
      <c r="Q2078" s="43">
        <f>IF($B2078="","",N($O2078)-N($P2078))</f>
        <v/>
      </c>
      <c r="R2078" s="42" t="n"/>
      <c r="S2078" s="42" t="n"/>
      <c r="T2078" s="42" t="n"/>
      <c r="U2078" s="43">
        <f>IF($B2078="","",N($J2078)-N($R2078)-N($T2078))</f>
        <v/>
      </c>
      <c r="V2078" s="42" t="n"/>
    </row>
    <row r="2079">
      <c r="A2079" s="39">
        <f>IF($B2079="","",COUNTA($B$4:$B2079))</f>
        <v/>
      </c>
      <c r="B2079" s="45" t="n"/>
      <c r="C2079" s="46" t="n"/>
      <c r="D2079" s="46" t="n"/>
      <c r="E2079" s="46" t="n"/>
      <c r="F2079" s="46" t="n"/>
      <c r="G2079" s="46" t="n"/>
      <c r="H2079" s="46" t="n"/>
      <c r="I2079" s="51" t="n"/>
      <c r="J2079" s="47" t="n"/>
      <c r="K2079" s="47" t="n"/>
      <c r="L2079" s="43">
        <f>IF($B2079="","",ROUND((N($J2079)+N($K2079))*نسبة_القيمة_المضافة,2))</f>
        <v/>
      </c>
      <c r="M2079" s="47" t="n"/>
      <c r="N2079" s="47" t="n"/>
      <c r="O2079" s="43">
        <f>IF($B2079="","",N($J2079)+N($K2079)+N($L2079)-N($M2079)+N($N2079))</f>
        <v/>
      </c>
      <c r="P2079" s="47" t="n"/>
      <c r="Q2079" s="43">
        <f>IF($B2079="","",N($O2079)-N($P2079))</f>
        <v/>
      </c>
      <c r="R2079" s="47" t="n"/>
      <c r="S2079" s="47" t="n"/>
      <c r="T2079" s="47" t="n"/>
      <c r="U2079" s="43">
        <f>IF($B2079="","",N($J2079)-N($R2079)-N($T2079))</f>
        <v/>
      </c>
      <c r="V2079" s="47" t="n"/>
    </row>
    <row r="2080">
      <c r="A2080" s="39">
        <f>IF($B2080="","",COUNTA($B$4:$B2080))</f>
        <v/>
      </c>
      <c r="B2080" s="40" t="n"/>
      <c r="C2080" s="41" t="n"/>
      <c r="D2080" s="41" t="n"/>
      <c r="E2080" s="41" t="n"/>
      <c r="F2080" s="41" t="n"/>
      <c r="G2080" s="41" t="n"/>
      <c r="H2080" s="41" t="n"/>
      <c r="I2080" s="50" t="n"/>
      <c r="J2080" s="42" t="n"/>
      <c r="K2080" s="42" t="n"/>
      <c r="L2080" s="43">
        <f>IF($B2080="","",ROUND((N($J2080)+N($K2080))*نسبة_القيمة_المضافة,2))</f>
        <v/>
      </c>
      <c r="M2080" s="42" t="n"/>
      <c r="N2080" s="42" t="n"/>
      <c r="O2080" s="43">
        <f>IF($B2080="","",N($J2080)+N($K2080)+N($L2080)-N($M2080)+N($N2080))</f>
        <v/>
      </c>
      <c r="P2080" s="42" t="n"/>
      <c r="Q2080" s="43">
        <f>IF($B2080="","",N($O2080)-N($P2080))</f>
        <v/>
      </c>
      <c r="R2080" s="42" t="n"/>
      <c r="S2080" s="42" t="n"/>
      <c r="T2080" s="42" t="n"/>
      <c r="U2080" s="43">
        <f>IF($B2080="","",N($J2080)-N($R2080)-N($T2080))</f>
        <v/>
      </c>
      <c r="V2080" s="42" t="n"/>
    </row>
    <row r="2081">
      <c r="A2081" s="39">
        <f>IF($B2081="","",COUNTA($B$4:$B2081))</f>
        <v/>
      </c>
      <c r="B2081" s="45" t="n"/>
      <c r="C2081" s="46" t="n"/>
      <c r="D2081" s="46" t="n"/>
      <c r="E2081" s="46" t="n"/>
      <c r="F2081" s="46" t="n"/>
      <c r="G2081" s="46" t="n"/>
      <c r="H2081" s="46" t="n"/>
      <c r="I2081" s="51" t="n"/>
      <c r="J2081" s="47" t="n"/>
      <c r="K2081" s="47" t="n"/>
      <c r="L2081" s="43">
        <f>IF($B2081="","",ROUND((N($J2081)+N($K2081))*نسبة_القيمة_المضافة,2))</f>
        <v/>
      </c>
      <c r="M2081" s="47" t="n"/>
      <c r="N2081" s="47" t="n"/>
      <c r="O2081" s="43">
        <f>IF($B2081="","",N($J2081)+N($K2081)+N($L2081)-N($M2081)+N($N2081))</f>
        <v/>
      </c>
      <c r="P2081" s="47" t="n"/>
      <c r="Q2081" s="43">
        <f>IF($B2081="","",N($O2081)-N($P2081))</f>
        <v/>
      </c>
      <c r="R2081" s="47" t="n"/>
      <c r="S2081" s="47" t="n"/>
      <c r="T2081" s="47" t="n"/>
      <c r="U2081" s="43">
        <f>IF($B2081="","",N($J2081)-N($R2081)-N($T2081))</f>
        <v/>
      </c>
      <c r="V2081" s="47" t="n"/>
    </row>
    <row r="2082">
      <c r="A2082" s="39">
        <f>IF($B2082="","",COUNTA($B$4:$B2082))</f>
        <v/>
      </c>
      <c r="B2082" s="40" t="n"/>
      <c r="C2082" s="41" t="n"/>
      <c r="D2082" s="41" t="n"/>
      <c r="E2082" s="41" t="n"/>
      <c r="F2082" s="41" t="n"/>
      <c r="G2082" s="41" t="n"/>
      <c r="H2082" s="41" t="n"/>
      <c r="I2082" s="50" t="n"/>
      <c r="J2082" s="42" t="n"/>
      <c r="K2082" s="42" t="n"/>
      <c r="L2082" s="43">
        <f>IF($B2082="","",ROUND((N($J2082)+N($K2082))*نسبة_القيمة_المضافة,2))</f>
        <v/>
      </c>
      <c r="M2082" s="42" t="n"/>
      <c r="N2082" s="42" t="n"/>
      <c r="O2082" s="43">
        <f>IF($B2082="","",N($J2082)+N($K2082)+N($L2082)-N($M2082)+N($N2082))</f>
        <v/>
      </c>
      <c r="P2082" s="42" t="n"/>
      <c r="Q2082" s="43">
        <f>IF($B2082="","",N($O2082)-N($P2082))</f>
        <v/>
      </c>
      <c r="R2082" s="42" t="n"/>
      <c r="S2082" s="42" t="n"/>
      <c r="T2082" s="42" t="n"/>
      <c r="U2082" s="43">
        <f>IF($B2082="","",N($J2082)-N($R2082)-N($T2082))</f>
        <v/>
      </c>
      <c r="V2082" s="42" t="n"/>
    </row>
    <row r="2083">
      <c r="A2083" s="39">
        <f>IF($B2083="","",COUNTA($B$4:$B2083))</f>
        <v/>
      </c>
      <c r="B2083" s="45" t="n"/>
      <c r="C2083" s="46" t="n"/>
      <c r="D2083" s="46" t="n"/>
      <c r="E2083" s="46" t="n"/>
      <c r="F2083" s="46" t="n"/>
      <c r="G2083" s="46" t="n"/>
      <c r="H2083" s="46" t="n"/>
      <c r="I2083" s="51" t="n"/>
      <c r="J2083" s="47" t="n"/>
      <c r="K2083" s="47" t="n"/>
      <c r="L2083" s="43">
        <f>IF($B2083="","",ROUND((N($J2083)+N($K2083))*نسبة_القيمة_المضافة,2))</f>
        <v/>
      </c>
      <c r="M2083" s="47" t="n"/>
      <c r="N2083" s="47" t="n"/>
      <c r="O2083" s="43">
        <f>IF($B2083="","",N($J2083)+N($K2083)+N($L2083)-N($M2083)+N($N2083))</f>
        <v/>
      </c>
      <c r="P2083" s="47" t="n"/>
      <c r="Q2083" s="43">
        <f>IF($B2083="","",N($O2083)-N($P2083))</f>
        <v/>
      </c>
      <c r="R2083" s="47" t="n"/>
      <c r="S2083" s="47" t="n"/>
      <c r="T2083" s="47" t="n"/>
      <c r="U2083" s="43">
        <f>IF($B2083="","",N($J2083)-N($R2083)-N($T2083))</f>
        <v/>
      </c>
      <c r="V2083" s="47" t="n"/>
    </row>
    <row r="2084">
      <c r="A2084" s="39">
        <f>IF($B2084="","",COUNTA($B$4:$B2084))</f>
        <v/>
      </c>
      <c r="B2084" s="40" t="n"/>
      <c r="C2084" s="41" t="n"/>
      <c r="D2084" s="41" t="n"/>
      <c r="E2084" s="41" t="n"/>
      <c r="F2084" s="41" t="n"/>
      <c r="G2084" s="41" t="n"/>
      <c r="H2084" s="41" t="n"/>
      <c r="I2084" s="50" t="n"/>
      <c r="J2084" s="42" t="n"/>
      <c r="K2084" s="42" t="n"/>
      <c r="L2084" s="43">
        <f>IF($B2084="","",ROUND((N($J2084)+N($K2084))*نسبة_القيمة_المضافة,2))</f>
        <v/>
      </c>
      <c r="M2084" s="42" t="n"/>
      <c r="N2084" s="42" t="n"/>
      <c r="O2084" s="43">
        <f>IF($B2084="","",N($J2084)+N($K2084)+N($L2084)-N($M2084)+N($N2084))</f>
        <v/>
      </c>
      <c r="P2084" s="42" t="n"/>
      <c r="Q2084" s="43">
        <f>IF($B2084="","",N($O2084)-N($P2084))</f>
        <v/>
      </c>
      <c r="R2084" s="42" t="n"/>
      <c r="S2084" s="42" t="n"/>
      <c r="T2084" s="42" t="n"/>
      <c r="U2084" s="43">
        <f>IF($B2084="","",N($J2084)-N($R2084)-N($T2084))</f>
        <v/>
      </c>
      <c r="V2084" s="42" t="n"/>
    </row>
    <row r="2085">
      <c r="A2085" s="39">
        <f>IF($B2085="","",COUNTA($B$4:$B2085))</f>
        <v/>
      </c>
      <c r="B2085" s="45" t="n"/>
      <c r="C2085" s="46" t="n"/>
      <c r="D2085" s="46" t="n"/>
      <c r="E2085" s="46" t="n"/>
      <c r="F2085" s="46" t="n"/>
      <c r="G2085" s="46" t="n"/>
      <c r="H2085" s="46" t="n"/>
      <c r="I2085" s="51" t="n"/>
      <c r="J2085" s="47" t="n"/>
      <c r="K2085" s="47" t="n"/>
      <c r="L2085" s="43">
        <f>IF($B2085="","",ROUND((N($J2085)+N($K2085))*نسبة_القيمة_المضافة,2))</f>
        <v/>
      </c>
      <c r="M2085" s="47" t="n"/>
      <c r="N2085" s="47" t="n"/>
      <c r="O2085" s="43">
        <f>IF($B2085="","",N($J2085)+N($K2085)+N($L2085)-N($M2085)+N($N2085))</f>
        <v/>
      </c>
      <c r="P2085" s="47" t="n"/>
      <c r="Q2085" s="43">
        <f>IF($B2085="","",N($O2085)-N($P2085))</f>
        <v/>
      </c>
      <c r="R2085" s="47" t="n"/>
      <c r="S2085" s="47" t="n"/>
      <c r="T2085" s="47" t="n"/>
      <c r="U2085" s="43">
        <f>IF($B2085="","",N($J2085)-N($R2085)-N($T2085))</f>
        <v/>
      </c>
      <c r="V2085" s="47" t="n"/>
    </row>
    <row r="2086">
      <c r="A2086" s="39">
        <f>IF($B2086="","",COUNTA($B$4:$B2086))</f>
        <v/>
      </c>
      <c r="B2086" s="40" t="n"/>
      <c r="C2086" s="41" t="n"/>
      <c r="D2086" s="41" t="n"/>
      <c r="E2086" s="41" t="n"/>
      <c r="F2086" s="41" t="n"/>
      <c r="G2086" s="41" t="n"/>
      <c r="H2086" s="41" t="n"/>
      <c r="I2086" s="50" t="n"/>
      <c r="J2086" s="42" t="n"/>
      <c r="K2086" s="42" t="n"/>
      <c r="L2086" s="43">
        <f>IF($B2086="","",ROUND((N($J2086)+N($K2086))*نسبة_القيمة_المضافة,2))</f>
        <v/>
      </c>
      <c r="M2086" s="42" t="n"/>
      <c r="N2086" s="42" t="n"/>
      <c r="O2086" s="43">
        <f>IF($B2086="","",N($J2086)+N($K2086)+N($L2086)-N($M2086)+N($N2086))</f>
        <v/>
      </c>
      <c r="P2086" s="42" t="n"/>
      <c r="Q2086" s="43">
        <f>IF($B2086="","",N($O2086)-N($P2086))</f>
        <v/>
      </c>
      <c r="R2086" s="42" t="n"/>
      <c r="S2086" s="42" t="n"/>
      <c r="T2086" s="42" t="n"/>
      <c r="U2086" s="43">
        <f>IF($B2086="","",N($J2086)-N($R2086)-N($T2086))</f>
        <v/>
      </c>
      <c r="V2086" s="42" t="n"/>
    </row>
    <row r="2087">
      <c r="A2087" s="39">
        <f>IF($B2087="","",COUNTA($B$4:$B2087))</f>
        <v/>
      </c>
      <c r="B2087" s="45" t="n"/>
      <c r="C2087" s="46" t="n"/>
      <c r="D2087" s="46" t="n"/>
      <c r="E2087" s="46" t="n"/>
      <c r="F2087" s="46" t="n"/>
      <c r="G2087" s="46" t="n"/>
      <c r="H2087" s="46" t="n"/>
      <c r="I2087" s="51" t="n"/>
      <c r="J2087" s="47" t="n"/>
      <c r="K2087" s="47" t="n"/>
      <c r="L2087" s="43">
        <f>IF($B2087="","",ROUND((N($J2087)+N($K2087))*نسبة_القيمة_المضافة,2))</f>
        <v/>
      </c>
      <c r="M2087" s="47" t="n"/>
      <c r="N2087" s="47" t="n"/>
      <c r="O2087" s="43">
        <f>IF($B2087="","",N($J2087)+N($K2087)+N($L2087)-N($M2087)+N($N2087))</f>
        <v/>
      </c>
      <c r="P2087" s="47" t="n"/>
      <c r="Q2087" s="43">
        <f>IF($B2087="","",N($O2087)-N($P2087))</f>
        <v/>
      </c>
      <c r="R2087" s="47" t="n"/>
      <c r="S2087" s="47" t="n"/>
      <c r="T2087" s="47" t="n"/>
      <c r="U2087" s="43">
        <f>IF($B2087="","",N($J2087)-N($R2087)-N($T2087))</f>
        <v/>
      </c>
      <c r="V2087" s="47" t="n"/>
    </row>
    <row r="2088">
      <c r="A2088" s="39">
        <f>IF($B2088="","",COUNTA($B$4:$B2088))</f>
        <v/>
      </c>
      <c r="B2088" s="40" t="n"/>
      <c r="C2088" s="41" t="n"/>
      <c r="D2088" s="41" t="n"/>
      <c r="E2088" s="41" t="n"/>
      <c r="F2088" s="41" t="n"/>
      <c r="G2088" s="41" t="n"/>
      <c r="H2088" s="41" t="n"/>
      <c r="I2088" s="50" t="n"/>
      <c r="J2088" s="42" t="n"/>
      <c r="K2088" s="42" t="n"/>
      <c r="L2088" s="43">
        <f>IF($B2088="","",ROUND((N($J2088)+N($K2088))*نسبة_القيمة_المضافة,2))</f>
        <v/>
      </c>
      <c r="M2088" s="42" t="n"/>
      <c r="N2088" s="42" t="n"/>
      <c r="O2088" s="43">
        <f>IF($B2088="","",N($J2088)+N($K2088)+N($L2088)-N($M2088)+N($N2088))</f>
        <v/>
      </c>
      <c r="P2088" s="42" t="n"/>
      <c r="Q2088" s="43">
        <f>IF($B2088="","",N($O2088)-N($P2088))</f>
        <v/>
      </c>
      <c r="R2088" s="42" t="n"/>
      <c r="S2088" s="42" t="n"/>
      <c r="T2088" s="42" t="n"/>
      <c r="U2088" s="43">
        <f>IF($B2088="","",N($J2088)-N($R2088)-N($T2088))</f>
        <v/>
      </c>
      <c r="V2088" s="42" t="n"/>
    </row>
    <row r="2089">
      <c r="A2089" s="39">
        <f>IF($B2089="","",COUNTA($B$4:$B2089))</f>
        <v/>
      </c>
      <c r="B2089" s="45" t="n"/>
      <c r="C2089" s="46" t="n"/>
      <c r="D2089" s="46" t="n"/>
      <c r="E2089" s="46" t="n"/>
      <c r="F2089" s="46" t="n"/>
      <c r="G2089" s="46" t="n"/>
      <c r="H2089" s="46" t="n"/>
      <c r="I2089" s="51" t="n"/>
      <c r="J2089" s="47" t="n"/>
      <c r="K2089" s="47" t="n"/>
      <c r="L2089" s="43">
        <f>IF($B2089="","",ROUND((N($J2089)+N($K2089))*نسبة_القيمة_المضافة,2))</f>
        <v/>
      </c>
      <c r="M2089" s="47" t="n"/>
      <c r="N2089" s="47" t="n"/>
      <c r="O2089" s="43">
        <f>IF($B2089="","",N($J2089)+N($K2089)+N($L2089)-N($M2089)+N($N2089))</f>
        <v/>
      </c>
      <c r="P2089" s="47" t="n"/>
      <c r="Q2089" s="43">
        <f>IF($B2089="","",N($O2089)-N($P2089))</f>
        <v/>
      </c>
      <c r="R2089" s="47" t="n"/>
      <c r="S2089" s="47" t="n"/>
      <c r="T2089" s="47" t="n"/>
      <c r="U2089" s="43">
        <f>IF($B2089="","",N($J2089)-N($R2089)-N($T2089))</f>
        <v/>
      </c>
      <c r="V2089" s="47" t="n"/>
    </row>
    <row r="2090">
      <c r="A2090" s="39">
        <f>IF($B2090="","",COUNTA($B$4:$B2090))</f>
        <v/>
      </c>
      <c r="B2090" s="40" t="n"/>
      <c r="C2090" s="41" t="n"/>
      <c r="D2090" s="41" t="n"/>
      <c r="E2090" s="41" t="n"/>
      <c r="F2090" s="41" t="n"/>
      <c r="G2090" s="41" t="n"/>
      <c r="H2090" s="41" t="n"/>
      <c r="I2090" s="50" t="n"/>
      <c r="J2090" s="42" t="n"/>
      <c r="K2090" s="42" t="n"/>
      <c r="L2090" s="43">
        <f>IF($B2090="","",ROUND((N($J2090)+N($K2090))*نسبة_القيمة_المضافة,2))</f>
        <v/>
      </c>
      <c r="M2090" s="42" t="n"/>
      <c r="N2090" s="42" t="n"/>
      <c r="O2090" s="43">
        <f>IF($B2090="","",N($J2090)+N($K2090)+N($L2090)-N($M2090)+N($N2090))</f>
        <v/>
      </c>
      <c r="P2090" s="42" t="n"/>
      <c r="Q2090" s="43">
        <f>IF($B2090="","",N($O2090)-N($P2090))</f>
        <v/>
      </c>
      <c r="R2090" s="42" t="n"/>
      <c r="S2090" s="42" t="n"/>
      <c r="T2090" s="42" t="n"/>
      <c r="U2090" s="43">
        <f>IF($B2090="","",N($J2090)-N($R2090)-N($T2090))</f>
        <v/>
      </c>
      <c r="V2090" s="42" t="n"/>
    </row>
    <row r="2091">
      <c r="A2091" s="39">
        <f>IF($B2091="","",COUNTA($B$4:$B2091))</f>
        <v/>
      </c>
      <c r="B2091" s="45" t="n"/>
      <c r="C2091" s="46" t="n"/>
      <c r="D2091" s="46" t="n"/>
      <c r="E2091" s="46" t="n"/>
      <c r="F2091" s="46" t="n"/>
      <c r="G2091" s="46" t="n"/>
      <c r="H2091" s="46" t="n"/>
      <c r="I2091" s="51" t="n"/>
      <c r="J2091" s="47" t="n"/>
      <c r="K2091" s="47" t="n"/>
      <c r="L2091" s="43">
        <f>IF($B2091="","",ROUND((N($J2091)+N($K2091))*نسبة_القيمة_المضافة,2))</f>
        <v/>
      </c>
      <c r="M2091" s="47" t="n"/>
      <c r="N2091" s="47" t="n"/>
      <c r="O2091" s="43">
        <f>IF($B2091="","",N($J2091)+N($K2091)+N($L2091)-N($M2091)+N($N2091))</f>
        <v/>
      </c>
      <c r="P2091" s="47" t="n"/>
      <c r="Q2091" s="43">
        <f>IF($B2091="","",N($O2091)-N($P2091))</f>
        <v/>
      </c>
      <c r="R2091" s="47" t="n"/>
      <c r="S2091" s="47" t="n"/>
      <c r="T2091" s="47" t="n"/>
      <c r="U2091" s="43">
        <f>IF($B2091="","",N($J2091)-N($R2091)-N($T2091))</f>
        <v/>
      </c>
      <c r="V2091" s="47" t="n"/>
    </row>
    <row r="2092">
      <c r="A2092" s="39">
        <f>IF($B2092="","",COUNTA($B$4:$B2092))</f>
        <v/>
      </c>
      <c r="B2092" s="40" t="n"/>
      <c r="C2092" s="41" t="n"/>
      <c r="D2092" s="41" t="n"/>
      <c r="E2092" s="41" t="n"/>
      <c r="F2092" s="41" t="n"/>
      <c r="G2092" s="41" t="n"/>
      <c r="H2092" s="41" t="n"/>
      <c r="I2092" s="50" t="n"/>
      <c r="J2092" s="42" t="n"/>
      <c r="K2092" s="42" t="n"/>
      <c r="L2092" s="43">
        <f>IF($B2092="","",ROUND((N($J2092)+N($K2092))*نسبة_القيمة_المضافة,2))</f>
        <v/>
      </c>
      <c r="M2092" s="42" t="n"/>
      <c r="N2092" s="42" t="n"/>
      <c r="O2092" s="43">
        <f>IF($B2092="","",N($J2092)+N($K2092)+N($L2092)-N($M2092)+N($N2092))</f>
        <v/>
      </c>
      <c r="P2092" s="42" t="n"/>
      <c r="Q2092" s="43">
        <f>IF($B2092="","",N($O2092)-N($P2092))</f>
        <v/>
      </c>
      <c r="R2092" s="42" t="n"/>
      <c r="S2092" s="42" t="n"/>
      <c r="T2092" s="42" t="n"/>
      <c r="U2092" s="43">
        <f>IF($B2092="","",N($J2092)-N($R2092)-N($T2092))</f>
        <v/>
      </c>
      <c r="V2092" s="42" t="n"/>
    </row>
    <row r="2093">
      <c r="A2093" s="39">
        <f>IF($B2093="","",COUNTA($B$4:$B2093))</f>
        <v/>
      </c>
      <c r="B2093" s="45" t="n"/>
      <c r="C2093" s="46" t="n"/>
      <c r="D2093" s="46" t="n"/>
      <c r="E2093" s="46" t="n"/>
      <c r="F2093" s="46" t="n"/>
      <c r="G2093" s="46" t="n"/>
      <c r="H2093" s="46" t="n"/>
      <c r="I2093" s="51" t="n"/>
      <c r="J2093" s="47" t="n"/>
      <c r="K2093" s="47" t="n"/>
      <c r="L2093" s="43">
        <f>IF($B2093="","",ROUND((N($J2093)+N($K2093))*نسبة_القيمة_المضافة,2))</f>
        <v/>
      </c>
      <c r="M2093" s="47" t="n"/>
      <c r="N2093" s="47" t="n"/>
      <c r="O2093" s="43">
        <f>IF($B2093="","",N($J2093)+N($K2093)+N($L2093)-N($M2093)+N($N2093))</f>
        <v/>
      </c>
      <c r="P2093" s="47" t="n"/>
      <c r="Q2093" s="43">
        <f>IF($B2093="","",N($O2093)-N($P2093))</f>
        <v/>
      </c>
      <c r="R2093" s="47" t="n"/>
      <c r="S2093" s="47" t="n"/>
      <c r="T2093" s="47" t="n"/>
      <c r="U2093" s="43">
        <f>IF($B2093="","",N($J2093)-N($R2093)-N($T2093))</f>
        <v/>
      </c>
      <c r="V2093" s="47" t="n"/>
    </row>
    <row r="2094">
      <c r="A2094" s="39">
        <f>IF($B2094="","",COUNTA($B$4:$B2094))</f>
        <v/>
      </c>
      <c r="B2094" s="40" t="n"/>
      <c r="C2094" s="41" t="n"/>
      <c r="D2094" s="41" t="n"/>
      <c r="E2094" s="41" t="n"/>
      <c r="F2094" s="41" t="n"/>
      <c r="G2094" s="41" t="n"/>
      <c r="H2094" s="41" t="n"/>
      <c r="I2094" s="50" t="n"/>
      <c r="J2094" s="42" t="n"/>
      <c r="K2094" s="42" t="n"/>
      <c r="L2094" s="43">
        <f>IF($B2094="","",ROUND((N($J2094)+N($K2094))*نسبة_القيمة_المضافة,2))</f>
        <v/>
      </c>
      <c r="M2094" s="42" t="n"/>
      <c r="N2094" s="42" t="n"/>
      <c r="O2094" s="43">
        <f>IF($B2094="","",N($J2094)+N($K2094)+N($L2094)-N($M2094)+N($N2094))</f>
        <v/>
      </c>
      <c r="P2094" s="42" t="n"/>
      <c r="Q2094" s="43">
        <f>IF($B2094="","",N($O2094)-N($P2094))</f>
        <v/>
      </c>
      <c r="R2094" s="42" t="n"/>
      <c r="S2094" s="42" t="n"/>
      <c r="T2094" s="42" t="n"/>
      <c r="U2094" s="43">
        <f>IF($B2094="","",N($J2094)-N($R2094)-N($T2094))</f>
        <v/>
      </c>
      <c r="V2094" s="42" t="n"/>
    </row>
    <row r="2095">
      <c r="A2095" s="39">
        <f>IF($B2095="","",COUNTA($B$4:$B2095))</f>
        <v/>
      </c>
      <c r="B2095" s="45" t="n"/>
      <c r="C2095" s="46" t="n"/>
      <c r="D2095" s="46" t="n"/>
      <c r="E2095" s="46" t="n"/>
      <c r="F2095" s="46" t="n"/>
      <c r="G2095" s="46" t="n"/>
      <c r="H2095" s="46" t="n"/>
      <c r="I2095" s="51" t="n"/>
      <c r="J2095" s="47" t="n"/>
      <c r="K2095" s="47" t="n"/>
      <c r="L2095" s="43">
        <f>IF($B2095="","",ROUND((N($J2095)+N($K2095))*نسبة_القيمة_المضافة,2))</f>
        <v/>
      </c>
      <c r="M2095" s="47" t="n"/>
      <c r="N2095" s="47" t="n"/>
      <c r="O2095" s="43">
        <f>IF($B2095="","",N($J2095)+N($K2095)+N($L2095)-N($M2095)+N($N2095))</f>
        <v/>
      </c>
      <c r="P2095" s="47" t="n"/>
      <c r="Q2095" s="43">
        <f>IF($B2095="","",N($O2095)-N($P2095))</f>
        <v/>
      </c>
      <c r="R2095" s="47" t="n"/>
      <c r="S2095" s="47" t="n"/>
      <c r="T2095" s="47" t="n"/>
      <c r="U2095" s="43">
        <f>IF($B2095="","",N($J2095)-N($R2095)-N($T2095))</f>
        <v/>
      </c>
      <c r="V2095" s="47" t="n"/>
    </row>
    <row r="2096">
      <c r="A2096" s="39">
        <f>IF($B2096="","",COUNTA($B$4:$B2096))</f>
        <v/>
      </c>
      <c r="B2096" s="40" t="n"/>
      <c r="C2096" s="41" t="n"/>
      <c r="D2096" s="41" t="n"/>
      <c r="E2096" s="41" t="n"/>
      <c r="F2096" s="41" t="n"/>
      <c r="G2096" s="41" t="n"/>
      <c r="H2096" s="41" t="n"/>
      <c r="I2096" s="50" t="n"/>
      <c r="J2096" s="42" t="n"/>
      <c r="K2096" s="42" t="n"/>
      <c r="L2096" s="43">
        <f>IF($B2096="","",ROUND((N($J2096)+N($K2096))*نسبة_القيمة_المضافة,2))</f>
        <v/>
      </c>
      <c r="M2096" s="42" t="n"/>
      <c r="N2096" s="42" t="n"/>
      <c r="O2096" s="43">
        <f>IF($B2096="","",N($J2096)+N($K2096)+N($L2096)-N($M2096)+N($N2096))</f>
        <v/>
      </c>
      <c r="P2096" s="42" t="n"/>
      <c r="Q2096" s="43">
        <f>IF($B2096="","",N($O2096)-N($P2096))</f>
        <v/>
      </c>
      <c r="R2096" s="42" t="n"/>
      <c r="S2096" s="42" t="n"/>
      <c r="T2096" s="42" t="n"/>
      <c r="U2096" s="43">
        <f>IF($B2096="","",N($J2096)-N($R2096)-N($T2096))</f>
        <v/>
      </c>
      <c r="V2096" s="42" t="n"/>
    </row>
    <row r="2097">
      <c r="A2097" s="39">
        <f>IF($B2097="","",COUNTA($B$4:$B2097))</f>
        <v/>
      </c>
      <c r="B2097" s="45" t="n"/>
      <c r="C2097" s="46" t="n"/>
      <c r="D2097" s="46" t="n"/>
      <c r="E2097" s="46" t="n"/>
      <c r="F2097" s="46" t="n"/>
      <c r="G2097" s="46" t="n"/>
      <c r="H2097" s="46" t="n"/>
      <c r="I2097" s="51" t="n"/>
      <c r="J2097" s="47" t="n"/>
      <c r="K2097" s="47" t="n"/>
      <c r="L2097" s="43">
        <f>IF($B2097="","",ROUND((N($J2097)+N($K2097))*نسبة_القيمة_المضافة,2))</f>
        <v/>
      </c>
      <c r="M2097" s="47" t="n"/>
      <c r="N2097" s="47" t="n"/>
      <c r="O2097" s="43">
        <f>IF($B2097="","",N($J2097)+N($K2097)+N($L2097)-N($M2097)+N($N2097))</f>
        <v/>
      </c>
      <c r="P2097" s="47" t="n"/>
      <c r="Q2097" s="43">
        <f>IF($B2097="","",N($O2097)-N($P2097))</f>
        <v/>
      </c>
      <c r="R2097" s="47" t="n"/>
      <c r="S2097" s="47" t="n"/>
      <c r="T2097" s="47" t="n"/>
      <c r="U2097" s="43">
        <f>IF($B2097="","",N($J2097)-N($R2097)-N($T2097))</f>
        <v/>
      </c>
      <c r="V2097" s="47" t="n"/>
    </row>
    <row r="2098">
      <c r="A2098" s="39">
        <f>IF($B2098="","",COUNTA($B$4:$B2098))</f>
        <v/>
      </c>
      <c r="B2098" s="40" t="n"/>
      <c r="C2098" s="41" t="n"/>
      <c r="D2098" s="41" t="n"/>
      <c r="E2098" s="41" t="n"/>
      <c r="F2098" s="41" t="n"/>
      <c r="G2098" s="41" t="n"/>
      <c r="H2098" s="41" t="n"/>
      <c r="I2098" s="50" t="n"/>
      <c r="J2098" s="42" t="n"/>
      <c r="K2098" s="42" t="n"/>
      <c r="L2098" s="43">
        <f>IF($B2098="","",ROUND((N($J2098)+N($K2098))*نسبة_القيمة_المضافة,2))</f>
        <v/>
      </c>
      <c r="M2098" s="42" t="n"/>
      <c r="N2098" s="42" t="n"/>
      <c r="O2098" s="43">
        <f>IF($B2098="","",N($J2098)+N($K2098)+N($L2098)-N($M2098)+N($N2098))</f>
        <v/>
      </c>
      <c r="P2098" s="42" t="n"/>
      <c r="Q2098" s="43">
        <f>IF($B2098="","",N($O2098)-N($P2098))</f>
        <v/>
      </c>
      <c r="R2098" s="42" t="n"/>
      <c r="S2098" s="42" t="n"/>
      <c r="T2098" s="42" t="n"/>
      <c r="U2098" s="43">
        <f>IF($B2098="","",N($J2098)-N($R2098)-N($T2098))</f>
        <v/>
      </c>
      <c r="V2098" s="42" t="n"/>
    </row>
    <row r="2099">
      <c r="A2099" s="39">
        <f>IF($B2099="","",COUNTA($B$4:$B2099))</f>
        <v/>
      </c>
      <c r="B2099" s="45" t="n"/>
      <c r="C2099" s="46" t="n"/>
      <c r="D2099" s="46" t="n"/>
      <c r="E2099" s="46" t="n"/>
      <c r="F2099" s="46" t="n"/>
      <c r="G2099" s="46" t="n"/>
      <c r="H2099" s="46" t="n"/>
      <c r="I2099" s="51" t="n"/>
      <c r="J2099" s="47" t="n"/>
      <c r="K2099" s="47" t="n"/>
      <c r="L2099" s="43">
        <f>IF($B2099="","",ROUND((N($J2099)+N($K2099))*نسبة_القيمة_المضافة,2))</f>
        <v/>
      </c>
      <c r="M2099" s="47" t="n"/>
      <c r="N2099" s="47" t="n"/>
      <c r="O2099" s="43">
        <f>IF($B2099="","",N($J2099)+N($K2099)+N($L2099)-N($M2099)+N($N2099))</f>
        <v/>
      </c>
      <c r="P2099" s="47" t="n"/>
      <c r="Q2099" s="43">
        <f>IF($B2099="","",N($O2099)-N($P2099))</f>
        <v/>
      </c>
      <c r="R2099" s="47" t="n"/>
      <c r="S2099" s="47" t="n"/>
      <c r="T2099" s="47" t="n"/>
      <c r="U2099" s="43">
        <f>IF($B2099="","",N($J2099)-N($R2099)-N($T2099))</f>
        <v/>
      </c>
      <c r="V2099" s="47" t="n"/>
    </row>
    <row r="2100">
      <c r="A2100" s="39">
        <f>IF($B2100="","",COUNTA($B$4:$B2100))</f>
        <v/>
      </c>
      <c r="B2100" s="40" t="n"/>
      <c r="C2100" s="41" t="n"/>
      <c r="D2100" s="41" t="n"/>
      <c r="E2100" s="41" t="n"/>
      <c r="F2100" s="41" t="n"/>
      <c r="G2100" s="41" t="n"/>
      <c r="H2100" s="41" t="n"/>
      <c r="I2100" s="50" t="n"/>
      <c r="J2100" s="42" t="n"/>
      <c r="K2100" s="42" t="n"/>
      <c r="L2100" s="43">
        <f>IF($B2100="","",ROUND((N($J2100)+N($K2100))*نسبة_القيمة_المضافة,2))</f>
        <v/>
      </c>
      <c r="M2100" s="42" t="n"/>
      <c r="N2100" s="42" t="n"/>
      <c r="O2100" s="43">
        <f>IF($B2100="","",N($J2100)+N($K2100)+N($L2100)-N($M2100)+N($N2100))</f>
        <v/>
      </c>
      <c r="P2100" s="42" t="n"/>
      <c r="Q2100" s="43">
        <f>IF($B2100="","",N($O2100)-N($P2100))</f>
        <v/>
      </c>
      <c r="R2100" s="42" t="n"/>
      <c r="S2100" s="42" t="n"/>
      <c r="T2100" s="42" t="n"/>
      <c r="U2100" s="43">
        <f>IF($B2100="","",N($J2100)-N($R2100)-N($T2100))</f>
        <v/>
      </c>
      <c r="V2100" s="42" t="n"/>
    </row>
    <row r="2101">
      <c r="A2101" s="39">
        <f>IF($B2101="","",COUNTA($B$4:$B2101))</f>
        <v/>
      </c>
      <c r="B2101" s="45" t="n"/>
      <c r="C2101" s="46" t="n"/>
      <c r="D2101" s="46" t="n"/>
      <c r="E2101" s="46" t="n"/>
      <c r="F2101" s="46" t="n"/>
      <c r="G2101" s="46" t="n"/>
      <c r="H2101" s="46" t="n"/>
      <c r="I2101" s="51" t="n"/>
      <c r="J2101" s="47" t="n"/>
      <c r="K2101" s="47" t="n"/>
      <c r="L2101" s="43">
        <f>IF($B2101="","",ROUND((N($J2101)+N($K2101))*نسبة_القيمة_المضافة,2))</f>
        <v/>
      </c>
      <c r="M2101" s="47" t="n"/>
      <c r="N2101" s="47" t="n"/>
      <c r="O2101" s="43">
        <f>IF($B2101="","",N($J2101)+N($K2101)+N($L2101)-N($M2101)+N($N2101))</f>
        <v/>
      </c>
      <c r="P2101" s="47" t="n"/>
      <c r="Q2101" s="43">
        <f>IF($B2101="","",N($O2101)-N($P2101))</f>
        <v/>
      </c>
      <c r="R2101" s="47" t="n"/>
      <c r="S2101" s="47" t="n"/>
      <c r="T2101" s="47" t="n"/>
      <c r="U2101" s="43">
        <f>IF($B2101="","",N($J2101)-N($R2101)-N($T2101))</f>
        <v/>
      </c>
      <c r="V2101" s="47" t="n"/>
    </row>
    <row r="2102">
      <c r="A2102" s="39">
        <f>IF($B2102="","",COUNTA($B$4:$B2102))</f>
        <v/>
      </c>
      <c r="B2102" s="40" t="n"/>
      <c r="C2102" s="41" t="n"/>
      <c r="D2102" s="41" t="n"/>
      <c r="E2102" s="41" t="n"/>
      <c r="F2102" s="41" t="n"/>
      <c r="G2102" s="41" t="n"/>
      <c r="H2102" s="41" t="n"/>
      <c r="I2102" s="50" t="n"/>
      <c r="J2102" s="42" t="n"/>
      <c r="K2102" s="42" t="n"/>
      <c r="L2102" s="43">
        <f>IF($B2102="","",ROUND((N($J2102)+N($K2102))*نسبة_القيمة_المضافة,2))</f>
        <v/>
      </c>
      <c r="M2102" s="42" t="n"/>
      <c r="N2102" s="42" t="n"/>
      <c r="O2102" s="43">
        <f>IF($B2102="","",N($J2102)+N($K2102)+N($L2102)-N($M2102)+N($N2102))</f>
        <v/>
      </c>
      <c r="P2102" s="42" t="n"/>
      <c r="Q2102" s="43">
        <f>IF($B2102="","",N($O2102)-N($P2102))</f>
        <v/>
      </c>
      <c r="R2102" s="42" t="n"/>
      <c r="S2102" s="42" t="n"/>
      <c r="T2102" s="42" t="n"/>
      <c r="U2102" s="43">
        <f>IF($B2102="","",N($J2102)-N($R2102)-N($T2102))</f>
        <v/>
      </c>
      <c r="V2102" s="42" t="n"/>
    </row>
    <row r="2103">
      <c r="A2103" s="39">
        <f>IF($B2103="","",COUNTA($B$4:$B2103))</f>
        <v/>
      </c>
      <c r="B2103" s="45" t="n"/>
      <c r="C2103" s="46" t="n"/>
      <c r="D2103" s="46" t="n"/>
      <c r="E2103" s="46" t="n"/>
      <c r="F2103" s="46" t="n"/>
      <c r="G2103" s="46" t="n"/>
      <c r="H2103" s="46" t="n"/>
      <c r="I2103" s="51" t="n"/>
      <c r="J2103" s="47" t="n"/>
      <c r="K2103" s="47" t="n"/>
      <c r="L2103" s="43">
        <f>IF($B2103="","",ROUND((N($J2103)+N($K2103))*نسبة_القيمة_المضافة,2))</f>
        <v/>
      </c>
      <c r="M2103" s="47" t="n"/>
      <c r="N2103" s="47" t="n"/>
      <c r="O2103" s="43">
        <f>IF($B2103="","",N($J2103)+N($K2103)+N($L2103)-N($M2103)+N($N2103))</f>
        <v/>
      </c>
      <c r="P2103" s="47" t="n"/>
      <c r="Q2103" s="43">
        <f>IF($B2103="","",N($O2103)-N($P2103))</f>
        <v/>
      </c>
      <c r="R2103" s="47" t="n"/>
      <c r="S2103" s="47" t="n"/>
      <c r="T2103" s="47" t="n"/>
      <c r="U2103" s="43">
        <f>IF($B2103="","",N($J2103)-N($R2103)-N($T2103))</f>
        <v/>
      </c>
      <c r="V2103" s="47" t="n"/>
    </row>
    <row r="2104">
      <c r="A2104" s="39">
        <f>IF($B2104="","",COUNTA($B$4:$B2104))</f>
        <v/>
      </c>
      <c r="B2104" s="40" t="n"/>
      <c r="C2104" s="41" t="n"/>
      <c r="D2104" s="41" t="n"/>
      <c r="E2104" s="41" t="n"/>
      <c r="F2104" s="41" t="n"/>
      <c r="G2104" s="41" t="n"/>
      <c r="H2104" s="41" t="n"/>
      <c r="I2104" s="50" t="n"/>
      <c r="J2104" s="42" t="n"/>
      <c r="K2104" s="42" t="n"/>
      <c r="L2104" s="43">
        <f>IF($B2104="","",ROUND((N($J2104)+N($K2104))*نسبة_القيمة_المضافة,2))</f>
        <v/>
      </c>
      <c r="M2104" s="42" t="n"/>
      <c r="N2104" s="42" t="n"/>
      <c r="O2104" s="43">
        <f>IF($B2104="","",N($J2104)+N($K2104)+N($L2104)-N($M2104)+N($N2104))</f>
        <v/>
      </c>
      <c r="P2104" s="42" t="n"/>
      <c r="Q2104" s="43">
        <f>IF($B2104="","",N($O2104)-N($P2104))</f>
        <v/>
      </c>
      <c r="R2104" s="42" t="n"/>
      <c r="S2104" s="42" t="n"/>
      <c r="T2104" s="42" t="n"/>
      <c r="U2104" s="43">
        <f>IF($B2104="","",N($J2104)-N($R2104)-N($T2104))</f>
        <v/>
      </c>
      <c r="V2104" s="42" t="n"/>
    </row>
    <row r="2105">
      <c r="A2105" s="39">
        <f>IF($B2105="","",COUNTA($B$4:$B2105))</f>
        <v/>
      </c>
      <c r="B2105" s="45" t="n"/>
      <c r="C2105" s="46" t="n"/>
      <c r="D2105" s="46" t="n"/>
      <c r="E2105" s="46" t="n"/>
      <c r="F2105" s="46" t="n"/>
      <c r="G2105" s="46" t="n"/>
      <c r="H2105" s="46" t="n"/>
      <c r="I2105" s="51" t="n"/>
      <c r="J2105" s="47" t="n"/>
      <c r="K2105" s="47" t="n"/>
      <c r="L2105" s="43">
        <f>IF($B2105="","",ROUND((N($J2105)+N($K2105))*نسبة_القيمة_المضافة,2))</f>
        <v/>
      </c>
      <c r="M2105" s="47" t="n"/>
      <c r="N2105" s="47" t="n"/>
      <c r="O2105" s="43">
        <f>IF($B2105="","",N($J2105)+N($K2105)+N($L2105)-N($M2105)+N($N2105))</f>
        <v/>
      </c>
      <c r="P2105" s="47" t="n"/>
      <c r="Q2105" s="43">
        <f>IF($B2105="","",N($O2105)-N($P2105))</f>
        <v/>
      </c>
      <c r="R2105" s="47" t="n"/>
      <c r="S2105" s="47" t="n"/>
      <c r="T2105" s="47" t="n"/>
      <c r="U2105" s="43">
        <f>IF($B2105="","",N($J2105)-N($R2105)-N($T2105))</f>
        <v/>
      </c>
      <c r="V2105" s="47" t="n"/>
    </row>
    <row r="2106">
      <c r="A2106" s="39">
        <f>IF($B2106="","",COUNTA($B$4:$B2106))</f>
        <v/>
      </c>
      <c r="B2106" s="40" t="n"/>
      <c r="C2106" s="41" t="n"/>
      <c r="D2106" s="41" t="n"/>
      <c r="E2106" s="41" t="n"/>
      <c r="F2106" s="41" t="n"/>
      <c r="G2106" s="41" t="n"/>
      <c r="H2106" s="41" t="n"/>
      <c r="I2106" s="50" t="n"/>
      <c r="J2106" s="42" t="n"/>
      <c r="K2106" s="42" t="n"/>
      <c r="L2106" s="43">
        <f>IF($B2106="","",ROUND((N($J2106)+N($K2106))*نسبة_القيمة_المضافة,2))</f>
        <v/>
      </c>
      <c r="M2106" s="42" t="n"/>
      <c r="N2106" s="42" t="n"/>
      <c r="O2106" s="43">
        <f>IF($B2106="","",N($J2106)+N($K2106)+N($L2106)-N($M2106)+N($N2106))</f>
        <v/>
      </c>
      <c r="P2106" s="42" t="n"/>
      <c r="Q2106" s="43">
        <f>IF($B2106="","",N($O2106)-N($P2106))</f>
        <v/>
      </c>
      <c r="R2106" s="42" t="n"/>
      <c r="S2106" s="42" t="n"/>
      <c r="T2106" s="42" t="n"/>
      <c r="U2106" s="43">
        <f>IF($B2106="","",N($J2106)-N($R2106)-N($T2106))</f>
        <v/>
      </c>
      <c r="V2106" s="42" t="n"/>
    </row>
    <row r="2107">
      <c r="A2107" s="39">
        <f>IF($B2107="","",COUNTA($B$4:$B2107))</f>
        <v/>
      </c>
      <c r="B2107" s="45" t="n"/>
      <c r="C2107" s="46" t="n"/>
      <c r="D2107" s="46" t="n"/>
      <c r="E2107" s="46" t="n"/>
      <c r="F2107" s="46" t="n"/>
      <c r="G2107" s="46" t="n"/>
      <c r="H2107" s="46" t="n"/>
      <c r="I2107" s="51" t="n"/>
      <c r="J2107" s="47" t="n"/>
      <c r="K2107" s="47" t="n"/>
      <c r="L2107" s="43">
        <f>IF($B2107="","",ROUND((N($J2107)+N($K2107))*نسبة_القيمة_المضافة,2))</f>
        <v/>
      </c>
      <c r="M2107" s="47" t="n"/>
      <c r="N2107" s="47" t="n"/>
      <c r="O2107" s="43">
        <f>IF($B2107="","",N($J2107)+N($K2107)+N($L2107)-N($M2107)+N($N2107))</f>
        <v/>
      </c>
      <c r="P2107" s="47" t="n"/>
      <c r="Q2107" s="43">
        <f>IF($B2107="","",N($O2107)-N($P2107))</f>
        <v/>
      </c>
      <c r="R2107" s="47" t="n"/>
      <c r="S2107" s="47" t="n"/>
      <c r="T2107" s="47" t="n"/>
      <c r="U2107" s="43">
        <f>IF($B2107="","",N($J2107)-N($R2107)-N($T2107))</f>
        <v/>
      </c>
      <c r="V2107" s="47" t="n"/>
    </row>
    <row r="2108">
      <c r="A2108" s="39">
        <f>IF($B2108="","",COUNTA($B$4:$B2108))</f>
        <v/>
      </c>
      <c r="B2108" s="40" t="n"/>
      <c r="C2108" s="41" t="n"/>
      <c r="D2108" s="41" t="n"/>
      <c r="E2108" s="41" t="n"/>
      <c r="F2108" s="41" t="n"/>
      <c r="G2108" s="41" t="n"/>
      <c r="H2108" s="41" t="n"/>
      <c r="I2108" s="50" t="n"/>
      <c r="J2108" s="42" t="n"/>
      <c r="K2108" s="42" t="n"/>
      <c r="L2108" s="43">
        <f>IF($B2108="","",ROUND((N($J2108)+N($K2108))*نسبة_القيمة_المضافة,2))</f>
        <v/>
      </c>
      <c r="M2108" s="42" t="n"/>
      <c r="N2108" s="42" t="n"/>
      <c r="O2108" s="43">
        <f>IF($B2108="","",N($J2108)+N($K2108)+N($L2108)-N($M2108)+N($N2108))</f>
        <v/>
      </c>
      <c r="P2108" s="42" t="n"/>
      <c r="Q2108" s="43">
        <f>IF($B2108="","",N($O2108)-N($P2108))</f>
        <v/>
      </c>
      <c r="R2108" s="42" t="n"/>
      <c r="S2108" s="42" t="n"/>
      <c r="T2108" s="42" t="n"/>
      <c r="U2108" s="43">
        <f>IF($B2108="","",N($J2108)-N($R2108)-N($T2108))</f>
        <v/>
      </c>
      <c r="V2108" s="42" t="n"/>
    </row>
    <row r="2109">
      <c r="A2109" s="39">
        <f>IF($B2109="","",COUNTA($B$4:$B2109))</f>
        <v/>
      </c>
      <c r="B2109" s="45" t="n"/>
      <c r="C2109" s="46" t="n"/>
      <c r="D2109" s="46" t="n"/>
      <c r="E2109" s="46" t="n"/>
      <c r="F2109" s="46" t="n"/>
      <c r="G2109" s="46" t="n"/>
      <c r="H2109" s="46" t="n"/>
      <c r="I2109" s="51" t="n"/>
      <c r="J2109" s="47" t="n"/>
      <c r="K2109" s="47" t="n"/>
      <c r="L2109" s="43">
        <f>IF($B2109="","",ROUND((N($J2109)+N($K2109))*نسبة_القيمة_المضافة,2))</f>
        <v/>
      </c>
      <c r="M2109" s="47" t="n"/>
      <c r="N2109" s="47" t="n"/>
      <c r="O2109" s="43">
        <f>IF($B2109="","",N($J2109)+N($K2109)+N($L2109)-N($M2109)+N($N2109))</f>
        <v/>
      </c>
      <c r="P2109" s="47" t="n"/>
      <c r="Q2109" s="43">
        <f>IF($B2109="","",N($O2109)-N($P2109))</f>
        <v/>
      </c>
      <c r="R2109" s="47" t="n"/>
      <c r="S2109" s="47" t="n"/>
      <c r="T2109" s="47" t="n"/>
      <c r="U2109" s="43">
        <f>IF($B2109="","",N($J2109)-N($R2109)-N($T2109))</f>
        <v/>
      </c>
      <c r="V2109" s="47" t="n"/>
    </row>
    <row r="2110">
      <c r="A2110" s="39">
        <f>IF($B2110="","",COUNTA($B$4:$B2110))</f>
        <v/>
      </c>
      <c r="B2110" s="40" t="n"/>
      <c r="C2110" s="41" t="n"/>
      <c r="D2110" s="41" t="n"/>
      <c r="E2110" s="41" t="n"/>
      <c r="F2110" s="41" t="n"/>
      <c r="G2110" s="41" t="n"/>
      <c r="H2110" s="41" t="n"/>
      <c r="I2110" s="50" t="n"/>
      <c r="J2110" s="42" t="n"/>
      <c r="K2110" s="42" t="n"/>
      <c r="L2110" s="43">
        <f>IF($B2110="","",ROUND((N($J2110)+N($K2110))*نسبة_القيمة_المضافة,2))</f>
        <v/>
      </c>
      <c r="M2110" s="42" t="n"/>
      <c r="N2110" s="42" t="n"/>
      <c r="O2110" s="43">
        <f>IF($B2110="","",N($J2110)+N($K2110)+N($L2110)-N($M2110)+N($N2110))</f>
        <v/>
      </c>
      <c r="P2110" s="42" t="n"/>
      <c r="Q2110" s="43">
        <f>IF($B2110="","",N($O2110)-N($P2110))</f>
        <v/>
      </c>
      <c r="R2110" s="42" t="n"/>
      <c r="S2110" s="42" t="n"/>
      <c r="T2110" s="42" t="n"/>
      <c r="U2110" s="43">
        <f>IF($B2110="","",N($J2110)-N($R2110)-N($T2110))</f>
        <v/>
      </c>
      <c r="V2110" s="42" t="n"/>
    </row>
    <row r="2111">
      <c r="A2111" s="39">
        <f>IF($B2111="","",COUNTA($B$4:$B2111))</f>
        <v/>
      </c>
      <c r="B2111" s="45" t="n"/>
      <c r="C2111" s="46" t="n"/>
      <c r="D2111" s="46" t="n"/>
      <c r="E2111" s="46" t="n"/>
      <c r="F2111" s="46" t="n"/>
      <c r="G2111" s="46" t="n"/>
      <c r="H2111" s="46" t="n"/>
      <c r="I2111" s="51" t="n"/>
      <c r="J2111" s="47" t="n"/>
      <c r="K2111" s="47" t="n"/>
      <c r="L2111" s="43">
        <f>IF($B2111="","",ROUND((N($J2111)+N($K2111))*نسبة_القيمة_المضافة,2))</f>
        <v/>
      </c>
      <c r="M2111" s="47" t="n"/>
      <c r="N2111" s="47" t="n"/>
      <c r="O2111" s="43">
        <f>IF($B2111="","",N($J2111)+N($K2111)+N($L2111)-N($M2111)+N($N2111))</f>
        <v/>
      </c>
      <c r="P2111" s="47" t="n"/>
      <c r="Q2111" s="43">
        <f>IF($B2111="","",N($O2111)-N($P2111))</f>
        <v/>
      </c>
      <c r="R2111" s="47" t="n"/>
      <c r="S2111" s="47" t="n"/>
      <c r="T2111" s="47" t="n"/>
      <c r="U2111" s="43">
        <f>IF($B2111="","",N($J2111)-N($R2111)-N($T2111))</f>
        <v/>
      </c>
      <c r="V2111" s="47" t="n"/>
    </row>
    <row r="2112">
      <c r="A2112" s="39">
        <f>IF($B2112="","",COUNTA($B$4:$B2112))</f>
        <v/>
      </c>
      <c r="B2112" s="40" t="n"/>
      <c r="C2112" s="41" t="n"/>
      <c r="D2112" s="41" t="n"/>
      <c r="E2112" s="41" t="n"/>
      <c r="F2112" s="41" t="n"/>
      <c r="G2112" s="41" t="n"/>
      <c r="H2112" s="41" t="n"/>
      <c r="I2112" s="50" t="n"/>
      <c r="J2112" s="42" t="n"/>
      <c r="K2112" s="42" t="n"/>
      <c r="L2112" s="43">
        <f>IF($B2112="","",ROUND((N($J2112)+N($K2112))*نسبة_القيمة_المضافة,2))</f>
        <v/>
      </c>
      <c r="M2112" s="42" t="n"/>
      <c r="N2112" s="42" t="n"/>
      <c r="O2112" s="43">
        <f>IF($B2112="","",N($J2112)+N($K2112)+N($L2112)-N($M2112)+N($N2112))</f>
        <v/>
      </c>
      <c r="P2112" s="42" t="n"/>
      <c r="Q2112" s="43">
        <f>IF($B2112="","",N($O2112)-N($P2112))</f>
        <v/>
      </c>
      <c r="R2112" s="42" t="n"/>
      <c r="S2112" s="42" t="n"/>
      <c r="T2112" s="42" t="n"/>
      <c r="U2112" s="43">
        <f>IF($B2112="","",N($J2112)-N($R2112)-N($T2112))</f>
        <v/>
      </c>
      <c r="V2112" s="42" t="n"/>
    </row>
    <row r="2113">
      <c r="A2113" s="39">
        <f>IF($B2113="","",COUNTA($B$4:$B2113))</f>
        <v/>
      </c>
      <c r="B2113" s="45" t="n"/>
      <c r="C2113" s="46" t="n"/>
      <c r="D2113" s="46" t="n"/>
      <c r="E2113" s="46" t="n"/>
      <c r="F2113" s="46" t="n"/>
      <c r="G2113" s="46" t="n"/>
      <c r="H2113" s="46" t="n"/>
      <c r="I2113" s="51" t="n"/>
      <c r="J2113" s="47" t="n"/>
      <c r="K2113" s="47" t="n"/>
      <c r="L2113" s="43">
        <f>IF($B2113="","",ROUND((N($J2113)+N($K2113))*نسبة_القيمة_المضافة,2))</f>
        <v/>
      </c>
      <c r="M2113" s="47" t="n"/>
      <c r="N2113" s="47" t="n"/>
      <c r="O2113" s="43">
        <f>IF($B2113="","",N($J2113)+N($K2113)+N($L2113)-N($M2113)+N($N2113))</f>
        <v/>
      </c>
      <c r="P2113" s="47" t="n"/>
      <c r="Q2113" s="43">
        <f>IF($B2113="","",N($O2113)-N($P2113))</f>
        <v/>
      </c>
      <c r="R2113" s="47" t="n"/>
      <c r="S2113" s="47" t="n"/>
      <c r="T2113" s="47" t="n"/>
      <c r="U2113" s="43">
        <f>IF($B2113="","",N($J2113)-N($R2113)-N($T2113))</f>
        <v/>
      </c>
      <c r="V2113" s="47" t="n"/>
    </row>
    <row r="2114">
      <c r="A2114" s="39">
        <f>IF($B2114="","",COUNTA($B$4:$B2114))</f>
        <v/>
      </c>
      <c r="B2114" s="40" t="n"/>
      <c r="C2114" s="41" t="n"/>
      <c r="D2114" s="41" t="n"/>
      <c r="E2114" s="41" t="n"/>
      <c r="F2114" s="41" t="n"/>
      <c r="G2114" s="41" t="n"/>
      <c r="H2114" s="41" t="n"/>
      <c r="I2114" s="50" t="n"/>
      <c r="J2114" s="42" t="n"/>
      <c r="K2114" s="42" t="n"/>
      <c r="L2114" s="43">
        <f>IF($B2114="","",ROUND((N($J2114)+N($K2114))*نسبة_القيمة_المضافة,2))</f>
        <v/>
      </c>
      <c r="M2114" s="42" t="n"/>
      <c r="N2114" s="42" t="n"/>
      <c r="O2114" s="43">
        <f>IF($B2114="","",N($J2114)+N($K2114)+N($L2114)-N($M2114)+N($N2114))</f>
        <v/>
      </c>
      <c r="P2114" s="42" t="n"/>
      <c r="Q2114" s="43">
        <f>IF($B2114="","",N($O2114)-N($P2114))</f>
        <v/>
      </c>
      <c r="R2114" s="42" t="n"/>
      <c r="S2114" s="42" t="n"/>
      <c r="T2114" s="42" t="n"/>
      <c r="U2114" s="43">
        <f>IF($B2114="","",N($J2114)-N($R2114)-N($T2114))</f>
        <v/>
      </c>
      <c r="V2114" s="42" t="n"/>
    </row>
    <row r="2115">
      <c r="A2115" s="39">
        <f>IF($B2115="","",COUNTA($B$4:$B2115))</f>
        <v/>
      </c>
      <c r="B2115" s="45" t="n"/>
      <c r="C2115" s="46" t="n"/>
      <c r="D2115" s="46" t="n"/>
      <c r="E2115" s="46" t="n"/>
      <c r="F2115" s="46" t="n"/>
      <c r="G2115" s="46" t="n"/>
      <c r="H2115" s="46" t="n"/>
      <c r="I2115" s="51" t="n"/>
      <c r="J2115" s="47" t="n"/>
      <c r="K2115" s="47" t="n"/>
      <c r="L2115" s="43">
        <f>IF($B2115="","",ROUND((N($J2115)+N($K2115))*نسبة_القيمة_المضافة,2))</f>
        <v/>
      </c>
      <c r="M2115" s="47" t="n"/>
      <c r="N2115" s="47" t="n"/>
      <c r="O2115" s="43">
        <f>IF($B2115="","",N($J2115)+N($K2115)+N($L2115)-N($M2115)+N($N2115))</f>
        <v/>
      </c>
      <c r="P2115" s="47" t="n"/>
      <c r="Q2115" s="43">
        <f>IF($B2115="","",N($O2115)-N($P2115))</f>
        <v/>
      </c>
      <c r="R2115" s="47" t="n"/>
      <c r="S2115" s="47" t="n"/>
      <c r="T2115" s="47" t="n"/>
      <c r="U2115" s="43">
        <f>IF($B2115="","",N($J2115)-N($R2115)-N($T2115))</f>
        <v/>
      </c>
      <c r="V2115" s="47" t="n"/>
    </row>
    <row r="2116">
      <c r="A2116" s="39">
        <f>IF($B2116="","",COUNTA($B$4:$B2116))</f>
        <v/>
      </c>
      <c r="B2116" s="40" t="n"/>
      <c r="C2116" s="41" t="n"/>
      <c r="D2116" s="41" t="n"/>
      <c r="E2116" s="41" t="n"/>
      <c r="F2116" s="41" t="n"/>
      <c r="G2116" s="41" t="n"/>
      <c r="H2116" s="41" t="n"/>
      <c r="I2116" s="50" t="n"/>
      <c r="J2116" s="42" t="n"/>
      <c r="K2116" s="42" t="n"/>
      <c r="L2116" s="43">
        <f>IF($B2116="","",ROUND((N($J2116)+N($K2116))*نسبة_القيمة_المضافة,2))</f>
        <v/>
      </c>
      <c r="M2116" s="42" t="n"/>
      <c r="N2116" s="42" t="n"/>
      <c r="O2116" s="43">
        <f>IF($B2116="","",N($J2116)+N($K2116)+N($L2116)-N($M2116)+N($N2116))</f>
        <v/>
      </c>
      <c r="P2116" s="42" t="n"/>
      <c r="Q2116" s="43">
        <f>IF($B2116="","",N($O2116)-N($P2116))</f>
        <v/>
      </c>
      <c r="R2116" s="42" t="n"/>
      <c r="S2116" s="42" t="n"/>
      <c r="T2116" s="42" t="n"/>
      <c r="U2116" s="43">
        <f>IF($B2116="","",N($J2116)-N($R2116)-N($T2116))</f>
        <v/>
      </c>
      <c r="V2116" s="42" t="n"/>
    </row>
    <row r="2117">
      <c r="A2117" s="39">
        <f>IF($B2117="","",COUNTA($B$4:$B2117))</f>
        <v/>
      </c>
      <c r="B2117" s="45" t="n"/>
      <c r="C2117" s="46" t="n"/>
      <c r="D2117" s="46" t="n"/>
      <c r="E2117" s="46" t="n"/>
      <c r="F2117" s="46" t="n"/>
      <c r="G2117" s="46" t="n"/>
      <c r="H2117" s="46" t="n"/>
      <c r="I2117" s="51" t="n"/>
      <c r="J2117" s="47" t="n"/>
      <c r="K2117" s="47" t="n"/>
      <c r="L2117" s="43">
        <f>IF($B2117="","",ROUND((N($J2117)+N($K2117))*نسبة_القيمة_المضافة,2))</f>
        <v/>
      </c>
      <c r="M2117" s="47" t="n"/>
      <c r="N2117" s="47" t="n"/>
      <c r="O2117" s="43">
        <f>IF($B2117="","",N($J2117)+N($K2117)+N($L2117)-N($M2117)+N($N2117))</f>
        <v/>
      </c>
      <c r="P2117" s="47" t="n"/>
      <c r="Q2117" s="43">
        <f>IF($B2117="","",N($O2117)-N($P2117))</f>
        <v/>
      </c>
      <c r="R2117" s="47" t="n"/>
      <c r="S2117" s="47" t="n"/>
      <c r="T2117" s="47" t="n"/>
      <c r="U2117" s="43">
        <f>IF($B2117="","",N($J2117)-N($R2117)-N($T2117))</f>
        <v/>
      </c>
      <c r="V2117" s="47" t="n"/>
    </row>
    <row r="2118">
      <c r="A2118" s="39">
        <f>IF($B2118="","",COUNTA($B$4:$B2118))</f>
        <v/>
      </c>
      <c r="B2118" s="40" t="n"/>
      <c r="C2118" s="41" t="n"/>
      <c r="D2118" s="41" t="n"/>
      <c r="E2118" s="41" t="n"/>
      <c r="F2118" s="41" t="n"/>
      <c r="G2118" s="41" t="n"/>
      <c r="H2118" s="41" t="n"/>
      <c r="I2118" s="50" t="n"/>
      <c r="J2118" s="42" t="n"/>
      <c r="K2118" s="42" t="n"/>
      <c r="L2118" s="43">
        <f>IF($B2118="","",ROUND((N($J2118)+N($K2118))*نسبة_القيمة_المضافة,2))</f>
        <v/>
      </c>
      <c r="M2118" s="42" t="n"/>
      <c r="N2118" s="42" t="n"/>
      <c r="O2118" s="43">
        <f>IF($B2118="","",N($J2118)+N($K2118)+N($L2118)-N($M2118)+N($N2118))</f>
        <v/>
      </c>
      <c r="P2118" s="42" t="n"/>
      <c r="Q2118" s="43">
        <f>IF($B2118="","",N($O2118)-N($P2118))</f>
        <v/>
      </c>
      <c r="R2118" s="42" t="n"/>
      <c r="S2118" s="42" t="n"/>
      <c r="T2118" s="42" t="n"/>
      <c r="U2118" s="43">
        <f>IF($B2118="","",N($J2118)-N($R2118)-N($T2118))</f>
        <v/>
      </c>
      <c r="V2118" s="42" t="n"/>
    </row>
    <row r="2119">
      <c r="A2119" s="39">
        <f>IF($B2119="","",COUNTA($B$4:$B2119))</f>
        <v/>
      </c>
      <c r="B2119" s="45" t="n"/>
      <c r="C2119" s="46" t="n"/>
      <c r="D2119" s="46" t="n"/>
      <c r="E2119" s="46" t="n"/>
      <c r="F2119" s="46" t="n"/>
      <c r="G2119" s="46" t="n"/>
      <c r="H2119" s="46" t="n"/>
      <c r="I2119" s="51" t="n"/>
      <c r="J2119" s="47" t="n"/>
      <c r="K2119" s="47" t="n"/>
      <c r="L2119" s="43">
        <f>IF($B2119="","",ROUND((N($J2119)+N($K2119))*نسبة_القيمة_المضافة,2))</f>
        <v/>
      </c>
      <c r="M2119" s="47" t="n"/>
      <c r="N2119" s="47" t="n"/>
      <c r="O2119" s="43">
        <f>IF($B2119="","",N($J2119)+N($K2119)+N($L2119)-N($M2119)+N($N2119))</f>
        <v/>
      </c>
      <c r="P2119" s="47" t="n"/>
      <c r="Q2119" s="43">
        <f>IF($B2119="","",N($O2119)-N($P2119))</f>
        <v/>
      </c>
      <c r="R2119" s="47" t="n"/>
      <c r="S2119" s="47" t="n"/>
      <c r="T2119" s="47" t="n"/>
      <c r="U2119" s="43">
        <f>IF($B2119="","",N($J2119)-N($R2119)-N($T2119))</f>
        <v/>
      </c>
      <c r="V2119" s="47" t="n"/>
    </row>
    <row r="2120">
      <c r="A2120" s="39">
        <f>IF($B2120="","",COUNTA($B$4:$B2120))</f>
        <v/>
      </c>
      <c r="B2120" s="40" t="n"/>
      <c r="C2120" s="41" t="n"/>
      <c r="D2120" s="41" t="n"/>
      <c r="E2120" s="41" t="n"/>
      <c r="F2120" s="41" t="n"/>
      <c r="G2120" s="41" t="n"/>
      <c r="H2120" s="41" t="n"/>
      <c r="I2120" s="50" t="n"/>
      <c r="J2120" s="42" t="n"/>
      <c r="K2120" s="42" t="n"/>
      <c r="L2120" s="43">
        <f>IF($B2120="","",ROUND((N($J2120)+N($K2120))*نسبة_القيمة_المضافة,2))</f>
        <v/>
      </c>
      <c r="M2120" s="42" t="n"/>
      <c r="N2120" s="42" t="n"/>
      <c r="O2120" s="43">
        <f>IF($B2120="","",N($J2120)+N($K2120)+N($L2120)-N($M2120)+N($N2120))</f>
        <v/>
      </c>
      <c r="P2120" s="42" t="n"/>
      <c r="Q2120" s="43">
        <f>IF($B2120="","",N($O2120)-N($P2120))</f>
        <v/>
      </c>
      <c r="R2120" s="42" t="n"/>
      <c r="S2120" s="42" t="n"/>
      <c r="T2120" s="42" t="n"/>
      <c r="U2120" s="43">
        <f>IF($B2120="","",N($J2120)-N($R2120)-N($T2120))</f>
        <v/>
      </c>
      <c r="V2120" s="42" t="n"/>
    </row>
    <row r="2121">
      <c r="A2121" s="39">
        <f>IF($B2121="","",COUNTA($B$4:$B2121))</f>
        <v/>
      </c>
      <c r="B2121" s="45" t="n"/>
      <c r="C2121" s="46" t="n"/>
      <c r="D2121" s="46" t="n"/>
      <c r="E2121" s="46" t="n"/>
      <c r="F2121" s="46" t="n"/>
      <c r="G2121" s="46" t="n"/>
      <c r="H2121" s="46" t="n"/>
      <c r="I2121" s="51" t="n"/>
      <c r="J2121" s="47" t="n"/>
      <c r="K2121" s="47" t="n"/>
      <c r="L2121" s="43">
        <f>IF($B2121="","",ROUND((N($J2121)+N($K2121))*نسبة_القيمة_المضافة,2))</f>
        <v/>
      </c>
      <c r="M2121" s="47" t="n"/>
      <c r="N2121" s="47" t="n"/>
      <c r="O2121" s="43">
        <f>IF($B2121="","",N($J2121)+N($K2121)+N($L2121)-N($M2121)+N($N2121))</f>
        <v/>
      </c>
      <c r="P2121" s="47" t="n"/>
      <c r="Q2121" s="43">
        <f>IF($B2121="","",N($O2121)-N($P2121))</f>
        <v/>
      </c>
      <c r="R2121" s="47" t="n"/>
      <c r="S2121" s="47" t="n"/>
      <c r="T2121" s="47" t="n"/>
      <c r="U2121" s="43">
        <f>IF($B2121="","",N($J2121)-N($R2121)-N($T2121))</f>
        <v/>
      </c>
      <c r="V2121" s="47" t="n"/>
    </row>
    <row r="2122">
      <c r="A2122" s="39">
        <f>IF($B2122="","",COUNTA($B$4:$B2122))</f>
        <v/>
      </c>
      <c r="B2122" s="40" t="n"/>
      <c r="C2122" s="41" t="n"/>
      <c r="D2122" s="41" t="n"/>
      <c r="E2122" s="41" t="n"/>
      <c r="F2122" s="41" t="n"/>
      <c r="G2122" s="41" t="n"/>
      <c r="H2122" s="41" t="n"/>
      <c r="I2122" s="50" t="n"/>
      <c r="J2122" s="42" t="n"/>
      <c r="K2122" s="42" t="n"/>
      <c r="L2122" s="43">
        <f>IF($B2122="","",ROUND((N($J2122)+N($K2122))*نسبة_القيمة_المضافة,2))</f>
        <v/>
      </c>
      <c r="M2122" s="42" t="n"/>
      <c r="N2122" s="42" t="n"/>
      <c r="O2122" s="43">
        <f>IF($B2122="","",N($J2122)+N($K2122)+N($L2122)-N($M2122)+N($N2122))</f>
        <v/>
      </c>
      <c r="P2122" s="42" t="n"/>
      <c r="Q2122" s="43">
        <f>IF($B2122="","",N($O2122)-N($P2122))</f>
        <v/>
      </c>
      <c r="R2122" s="42" t="n"/>
      <c r="S2122" s="42" t="n"/>
      <c r="T2122" s="42" t="n"/>
      <c r="U2122" s="43">
        <f>IF($B2122="","",N($J2122)-N($R2122)-N($T2122))</f>
        <v/>
      </c>
      <c r="V2122" s="42" t="n"/>
    </row>
    <row r="2123">
      <c r="A2123" s="39">
        <f>IF($B2123="","",COUNTA($B$4:$B2123))</f>
        <v/>
      </c>
      <c r="B2123" s="45" t="n"/>
      <c r="C2123" s="46" t="n"/>
      <c r="D2123" s="46" t="n"/>
      <c r="E2123" s="46" t="n"/>
      <c r="F2123" s="46" t="n"/>
      <c r="G2123" s="46" t="n"/>
      <c r="H2123" s="46" t="n"/>
      <c r="I2123" s="51" t="n"/>
      <c r="J2123" s="47" t="n"/>
      <c r="K2123" s="47" t="n"/>
      <c r="L2123" s="43">
        <f>IF($B2123="","",ROUND((N($J2123)+N($K2123))*نسبة_القيمة_المضافة,2))</f>
        <v/>
      </c>
      <c r="M2123" s="47" t="n"/>
      <c r="N2123" s="47" t="n"/>
      <c r="O2123" s="43">
        <f>IF($B2123="","",N($J2123)+N($K2123)+N($L2123)-N($M2123)+N($N2123))</f>
        <v/>
      </c>
      <c r="P2123" s="47" t="n"/>
      <c r="Q2123" s="43">
        <f>IF($B2123="","",N($O2123)-N($P2123))</f>
        <v/>
      </c>
      <c r="R2123" s="47" t="n"/>
      <c r="S2123" s="47" t="n"/>
      <c r="T2123" s="47" t="n"/>
      <c r="U2123" s="43">
        <f>IF($B2123="","",N($J2123)-N($R2123)-N($T2123))</f>
        <v/>
      </c>
      <c r="V2123" s="47" t="n"/>
    </row>
    <row r="2124">
      <c r="A2124" s="39">
        <f>IF($B2124="","",COUNTA($B$4:$B2124))</f>
        <v/>
      </c>
      <c r="B2124" s="40" t="n"/>
      <c r="C2124" s="41" t="n"/>
      <c r="D2124" s="41" t="n"/>
      <c r="E2124" s="41" t="n"/>
      <c r="F2124" s="41" t="n"/>
      <c r="G2124" s="41" t="n"/>
      <c r="H2124" s="41" t="n"/>
      <c r="I2124" s="50" t="n"/>
      <c r="J2124" s="42" t="n"/>
      <c r="K2124" s="42" t="n"/>
      <c r="L2124" s="43">
        <f>IF($B2124="","",ROUND((N($J2124)+N($K2124))*نسبة_القيمة_المضافة,2))</f>
        <v/>
      </c>
      <c r="M2124" s="42" t="n"/>
      <c r="N2124" s="42" t="n"/>
      <c r="O2124" s="43">
        <f>IF($B2124="","",N($J2124)+N($K2124)+N($L2124)-N($M2124)+N($N2124))</f>
        <v/>
      </c>
      <c r="P2124" s="42" t="n"/>
      <c r="Q2124" s="43">
        <f>IF($B2124="","",N($O2124)-N($P2124))</f>
        <v/>
      </c>
      <c r="R2124" s="42" t="n"/>
      <c r="S2124" s="42" t="n"/>
      <c r="T2124" s="42" t="n"/>
      <c r="U2124" s="43">
        <f>IF($B2124="","",N($J2124)-N($R2124)-N($T2124))</f>
        <v/>
      </c>
      <c r="V2124" s="42" t="n"/>
    </row>
    <row r="2125">
      <c r="A2125" s="39">
        <f>IF($B2125="","",COUNTA($B$4:$B2125))</f>
        <v/>
      </c>
      <c r="B2125" s="45" t="n"/>
      <c r="C2125" s="46" t="n"/>
      <c r="D2125" s="46" t="n"/>
      <c r="E2125" s="46" t="n"/>
      <c r="F2125" s="46" t="n"/>
      <c r="G2125" s="46" t="n"/>
      <c r="H2125" s="46" t="n"/>
      <c r="I2125" s="51" t="n"/>
      <c r="J2125" s="47" t="n"/>
      <c r="K2125" s="47" t="n"/>
      <c r="L2125" s="43">
        <f>IF($B2125="","",ROUND((N($J2125)+N($K2125))*نسبة_القيمة_المضافة,2))</f>
        <v/>
      </c>
      <c r="M2125" s="47" t="n"/>
      <c r="N2125" s="47" t="n"/>
      <c r="O2125" s="43">
        <f>IF($B2125="","",N($J2125)+N($K2125)+N($L2125)-N($M2125)+N($N2125))</f>
        <v/>
      </c>
      <c r="P2125" s="47" t="n"/>
      <c r="Q2125" s="43">
        <f>IF($B2125="","",N($O2125)-N($P2125))</f>
        <v/>
      </c>
      <c r="R2125" s="47" t="n"/>
      <c r="S2125" s="47" t="n"/>
      <c r="T2125" s="47" t="n"/>
      <c r="U2125" s="43">
        <f>IF($B2125="","",N($J2125)-N($R2125)-N($T2125))</f>
        <v/>
      </c>
      <c r="V2125" s="47" t="n"/>
    </row>
    <row r="2126">
      <c r="A2126" s="39">
        <f>IF($B2126="","",COUNTA($B$4:$B2126))</f>
        <v/>
      </c>
      <c r="B2126" s="40" t="n"/>
      <c r="C2126" s="41" t="n"/>
      <c r="D2126" s="41" t="n"/>
      <c r="E2126" s="41" t="n"/>
      <c r="F2126" s="41" t="n"/>
      <c r="G2126" s="41" t="n"/>
      <c r="H2126" s="41" t="n"/>
      <c r="I2126" s="50" t="n"/>
      <c r="J2126" s="42" t="n"/>
      <c r="K2126" s="42" t="n"/>
      <c r="L2126" s="43">
        <f>IF($B2126="","",ROUND((N($J2126)+N($K2126))*نسبة_القيمة_المضافة,2))</f>
        <v/>
      </c>
      <c r="M2126" s="42" t="n"/>
      <c r="N2126" s="42" t="n"/>
      <c r="O2126" s="43">
        <f>IF($B2126="","",N($J2126)+N($K2126)+N($L2126)-N($M2126)+N($N2126))</f>
        <v/>
      </c>
      <c r="P2126" s="42" t="n"/>
      <c r="Q2126" s="43">
        <f>IF($B2126="","",N($O2126)-N($P2126))</f>
        <v/>
      </c>
      <c r="R2126" s="42" t="n"/>
      <c r="S2126" s="42" t="n"/>
      <c r="T2126" s="42" t="n"/>
      <c r="U2126" s="43">
        <f>IF($B2126="","",N($J2126)-N($R2126)-N($T2126))</f>
        <v/>
      </c>
      <c r="V2126" s="42" t="n"/>
    </row>
    <row r="2127">
      <c r="A2127" s="39">
        <f>IF($B2127="","",COUNTA($B$4:$B2127))</f>
        <v/>
      </c>
      <c r="B2127" s="45" t="n"/>
      <c r="C2127" s="46" t="n"/>
      <c r="D2127" s="46" t="n"/>
      <c r="E2127" s="46" t="n"/>
      <c r="F2127" s="46" t="n"/>
      <c r="G2127" s="46" t="n"/>
      <c r="H2127" s="46" t="n"/>
      <c r="I2127" s="51" t="n"/>
      <c r="J2127" s="47" t="n"/>
      <c r="K2127" s="47" t="n"/>
      <c r="L2127" s="43">
        <f>IF($B2127="","",ROUND((N($J2127)+N($K2127))*نسبة_القيمة_المضافة,2))</f>
        <v/>
      </c>
      <c r="M2127" s="47" t="n"/>
      <c r="N2127" s="47" t="n"/>
      <c r="O2127" s="43">
        <f>IF($B2127="","",N($J2127)+N($K2127)+N($L2127)-N($M2127)+N($N2127))</f>
        <v/>
      </c>
      <c r="P2127" s="47" t="n"/>
      <c r="Q2127" s="43">
        <f>IF($B2127="","",N($O2127)-N($P2127))</f>
        <v/>
      </c>
      <c r="R2127" s="47" t="n"/>
      <c r="S2127" s="47" t="n"/>
      <c r="T2127" s="47" t="n"/>
      <c r="U2127" s="43">
        <f>IF($B2127="","",N($J2127)-N($R2127)-N($T2127))</f>
        <v/>
      </c>
      <c r="V2127" s="47" t="n"/>
    </row>
    <row r="2128">
      <c r="A2128" s="39">
        <f>IF($B2128="","",COUNTA($B$4:$B2128))</f>
        <v/>
      </c>
      <c r="B2128" s="40" t="n"/>
      <c r="C2128" s="41" t="n"/>
      <c r="D2128" s="41" t="n"/>
      <c r="E2128" s="41" t="n"/>
      <c r="F2128" s="41" t="n"/>
      <c r="G2128" s="41" t="n"/>
      <c r="H2128" s="41" t="n"/>
      <c r="I2128" s="50" t="n"/>
      <c r="J2128" s="42" t="n"/>
      <c r="K2128" s="42" t="n"/>
      <c r="L2128" s="43">
        <f>IF($B2128="","",ROUND((N($J2128)+N($K2128))*نسبة_القيمة_المضافة,2))</f>
        <v/>
      </c>
      <c r="M2128" s="42" t="n"/>
      <c r="N2128" s="42" t="n"/>
      <c r="O2128" s="43">
        <f>IF($B2128="","",N($J2128)+N($K2128)+N($L2128)-N($M2128)+N($N2128))</f>
        <v/>
      </c>
      <c r="P2128" s="42" t="n"/>
      <c r="Q2128" s="43">
        <f>IF($B2128="","",N($O2128)-N($P2128))</f>
        <v/>
      </c>
      <c r="R2128" s="42" t="n"/>
      <c r="S2128" s="42" t="n"/>
      <c r="T2128" s="42" t="n"/>
      <c r="U2128" s="43">
        <f>IF($B2128="","",N($J2128)-N($R2128)-N($T2128))</f>
        <v/>
      </c>
      <c r="V2128" s="42" t="n"/>
    </row>
    <row r="2129">
      <c r="A2129" s="39">
        <f>IF($B2129="","",COUNTA($B$4:$B2129))</f>
        <v/>
      </c>
      <c r="B2129" s="45" t="n"/>
      <c r="C2129" s="46" t="n"/>
      <c r="D2129" s="46" t="n"/>
      <c r="E2129" s="46" t="n"/>
      <c r="F2129" s="46" t="n"/>
      <c r="G2129" s="46" t="n"/>
      <c r="H2129" s="46" t="n"/>
      <c r="I2129" s="51" t="n"/>
      <c r="J2129" s="47" t="n"/>
      <c r="K2129" s="47" t="n"/>
      <c r="L2129" s="43">
        <f>IF($B2129="","",ROUND((N($J2129)+N($K2129))*نسبة_القيمة_المضافة,2))</f>
        <v/>
      </c>
      <c r="M2129" s="47" t="n"/>
      <c r="N2129" s="47" t="n"/>
      <c r="O2129" s="43">
        <f>IF($B2129="","",N($J2129)+N($K2129)+N($L2129)-N($M2129)+N($N2129))</f>
        <v/>
      </c>
      <c r="P2129" s="47" t="n"/>
      <c r="Q2129" s="43">
        <f>IF($B2129="","",N($O2129)-N($P2129))</f>
        <v/>
      </c>
      <c r="R2129" s="47" t="n"/>
      <c r="S2129" s="47" t="n"/>
      <c r="T2129" s="47" t="n"/>
      <c r="U2129" s="43">
        <f>IF($B2129="","",N($J2129)-N($R2129)-N($T2129))</f>
        <v/>
      </c>
      <c r="V2129" s="47" t="n"/>
    </row>
    <row r="2130">
      <c r="A2130" s="39">
        <f>IF($B2130="","",COUNTA($B$4:$B2130))</f>
        <v/>
      </c>
      <c r="B2130" s="40" t="n"/>
      <c r="C2130" s="41" t="n"/>
      <c r="D2130" s="41" t="n"/>
      <c r="E2130" s="41" t="n"/>
      <c r="F2130" s="41" t="n"/>
      <c r="G2130" s="41" t="n"/>
      <c r="H2130" s="41" t="n"/>
      <c r="I2130" s="50" t="n"/>
      <c r="J2130" s="42" t="n"/>
      <c r="K2130" s="42" t="n"/>
      <c r="L2130" s="43">
        <f>IF($B2130="","",ROUND((N($J2130)+N($K2130))*نسبة_القيمة_المضافة,2))</f>
        <v/>
      </c>
      <c r="M2130" s="42" t="n"/>
      <c r="N2130" s="42" t="n"/>
      <c r="O2130" s="43">
        <f>IF($B2130="","",N($J2130)+N($K2130)+N($L2130)-N($M2130)+N($N2130))</f>
        <v/>
      </c>
      <c r="P2130" s="42" t="n"/>
      <c r="Q2130" s="43">
        <f>IF($B2130="","",N($O2130)-N($P2130))</f>
        <v/>
      </c>
      <c r="R2130" s="42" t="n"/>
      <c r="S2130" s="42" t="n"/>
      <c r="T2130" s="42" t="n"/>
      <c r="U2130" s="43">
        <f>IF($B2130="","",N($J2130)-N($R2130)-N($T2130))</f>
        <v/>
      </c>
      <c r="V2130" s="42" t="n"/>
    </row>
    <row r="2131">
      <c r="A2131" s="39">
        <f>IF($B2131="","",COUNTA($B$4:$B2131))</f>
        <v/>
      </c>
      <c r="B2131" s="45" t="n"/>
      <c r="C2131" s="46" t="n"/>
      <c r="D2131" s="46" t="n"/>
      <c r="E2131" s="46" t="n"/>
      <c r="F2131" s="46" t="n"/>
      <c r="G2131" s="46" t="n"/>
      <c r="H2131" s="46" t="n"/>
      <c r="I2131" s="51" t="n"/>
      <c r="J2131" s="47" t="n"/>
      <c r="K2131" s="47" t="n"/>
      <c r="L2131" s="43">
        <f>IF($B2131="","",ROUND((N($J2131)+N($K2131))*نسبة_القيمة_المضافة,2))</f>
        <v/>
      </c>
      <c r="M2131" s="47" t="n"/>
      <c r="N2131" s="47" t="n"/>
      <c r="O2131" s="43">
        <f>IF($B2131="","",N($J2131)+N($K2131)+N($L2131)-N($M2131)+N($N2131))</f>
        <v/>
      </c>
      <c r="P2131" s="47" t="n"/>
      <c r="Q2131" s="43">
        <f>IF($B2131="","",N($O2131)-N($P2131))</f>
        <v/>
      </c>
      <c r="R2131" s="47" t="n"/>
      <c r="S2131" s="47" t="n"/>
      <c r="T2131" s="47" t="n"/>
      <c r="U2131" s="43">
        <f>IF($B2131="","",N($J2131)-N($R2131)-N($T2131))</f>
        <v/>
      </c>
      <c r="V2131" s="47" t="n"/>
    </row>
    <row r="2132">
      <c r="A2132" s="39">
        <f>IF($B2132="","",COUNTA($B$4:$B2132))</f>
        <v/>
      </c>
      <c r="B2132" s="40" t="n"/>
      <c r="C2132" s="41" t="n"/>
      <c r="D2132" s="41" t="n"/>
      <c r="E2132" s="41" t="n"/>
      <c r="F2132" s="41" t="n"/>
      <c r="G2132" s="41" t="n"/>
      <c r="H2132" s="41" t="n"/>
      <c r="I2132" s="50" t="n"/>
      <c r="J2132" s="42" t="n"/>
      <c r="K2132" s="42" t="n"/>
      <c r="L2132" s="43">
        <f>IF($B2132="","",ROUND((N($J2132)+N($K2132))*نسبة_القيمة_المضافة,2))</f>
        <v/>
      </c>
      <c r="M2132" s="42" t="n"/>
      <c r="N2132" s="42" t="n"/>
      <c r="O2132" s="43">
        <f>IF($B2132="","",N($J2132)+N($K2132)+N($L2132)-N($M2132)+N($N2132))</f>
        <v/>
      </c>
      <c r="P2132" s="42" t="n"/>
      <c r="Q2132" s="43">
        <f>IF($B2132="","",N($O2132)-N($P2132))</f>
        <v/>
      </c>
      <c r="R2132" s="42" t="n"/>
      <c r="S2132" s="42" t="n"/>
      <c r="T2132" s="42" t="n"/>
      <c r="U2132" s="43">
        <f>IF($B2132="","",N($J2132)-N($R2132)-N($T2132))</f>
        <v/>
      </c>
      <c r="V2132" s="42" t="n"/>
    </row>
    <row r="2133">
      <c r="A2133" s="39">
        <f>IF($B2133="","",COUNTA($B$4:$B2133))</f>
        <v/>
      </c>
      <c r="B2133" s="45" t="n"/>
      <c r="C2133" s="46" t="n"/>
      <c r="D2133" s="46" t="n"/>
      <c r="E2133" s="46" t="n"/>
      <c r="F2133" s="46" t="n"/>
      <c r="G2133" s="46" t="n"/>
      <c r="H2133" s="46" t="n"/>
      <c r="I2133" s="51" t="n"/>
      <c r="J2133" s="47" t="n"/>
      <c r="K2133" s="47" t="n"/>
      <c r="L2133" s="43">
        <f>IF($B2133="","",ROUND((N($J2133)+N($K2133))*نسبة_القيمة_المضافة,2))</f>
        <v/>
      </c>
      <c r="M2133" s="47" t="n"/>
      <c r="N2133" s="47" t="n"/>
      <c r="O2133" s="43">
        <f>IF($B2133="","",N($J2133)+N($K2133)+N($L2133)-N($M2133)+N($N2133))</f>
        <v/>
      </c>
      <c r="P2133" s="47" t="n"/>
      <c r="Q2133" s="43">
        <f>IF($B2133="","",N($O2133)-N($P2133))</f>
        <v/>
      </c>
      <c r="R2133" s="47" t="n"/>
      <c r="S2133" s="47" t="n"/>
      <c r="T2133" s="47" t="n"/>
      <c r="U2133" s="43">
        <f>IF($B2133="","",N($J2133)-N($R2133)-N($T2133))</f>
        <v/>
      </c>
      <c r="V2133" s="47" t="n"/>
    </row>
    <row r="2134">
      <c r="A2134" s="39">
        <f>IF($B2134="","",COUNTA($B$4:$B2134))</f>
        <v/>
      </c>
      <c r="B2134" s="40" t="n"/>
      <c r="C2134" s="41" t="n"/>
      <c r="D2134" s="41" t="n"/>
      <c r="E2134" s="41" t="n"/>
      <c r="F2134" s="41" t="n"/>
      <c r="G2134" s="41" t="n"/>
      <c r="H2134" s="41" t="n"/>
      <c r="I2134" s="50" t="n"/>
      <c r="J2134" s="42" t="n"/>
      <c r="K2134" s="42" t="n"/>
      <c r="L2134" s="43">
        <f>IF($B2134="","",ROUND((N($J2134)+N($K2134))*نسبة_القيمة_المضافة,2))</f>
        <v/>
      </c>
      <c r="M2134" s="42" t="n"/>
      <c r="N2134" s="42" t="n"/>
      <c r="O2134" s="43">
        <f>IF($B2134="","",N($J2134)+N($K2134)+N($L2134)-N($M2134)+N($N2134))</f>
        <v/>
      </c>
      <c r="P2134" s="42" t="n"/>
      <c r="Q2134" s="43">
        <f>IF($B2134="","",N($O2134)-N($P2134))</f>
        <v/>
      </c>
      <c r="R2134" s="42" t="n"/>
      <c r="S2134" s="42" t="n"/>
      <c r="T2134" s="42" t="n"/>
      <c r="U2134" s="43">
        <f>IF($B2134="","",N($J2134)-N($R2134)-N($T2134))</f>
        <v/>
      </c>
      <c r="V2134" s="42" t="n"/>
    </row>
    <row r="2135">
      <c r="A2135" s="39">
        <f>IF($B2135="","",COUNTA($B$4:$B2135))</f>
        <v/>
      </c>
      <c r="B2135" s="45" t="n"/>
      <c r="C2135" s="46" t="n"/>
      <c r="D2135" s="46" t="n"/>
      <c r="E2135" s="46" t="n"/>
      <c r="F2135" s="46" t="n"/>
      <c r="G2135" s="46" t="n"/>
      <c r="H2135" s="46" t="n"/>
      <c r="I2135" s="51" t="n"/>
      <c r="J2135" s="47" t="n"/>
      <c r="K2135" s="47" t="n"/>
      <c r="L2135" s="43">
        <f>IF($B2135="","",ROUND((N($J2135)+N($K2135))*نسبة_القيمة_المضافة,2))</f>
        <v/>
      </c>
      <c r="M2135" s="47" t="n"/>
      <c r="N2135" s="47" t="n"/>
      <c r="O2135" s="43">
        <f>IF($B2135="","",N($J2135)+N($K2135)+N($L2135)-N($M2135)+N($N2135))</f>
        <v/>
      </c>
      <c r="P2135" s="47" t="n"/>
      <c r="Q2135" s="43">
        <f>IF($B2135="","",N($O2135)-N($P2135))</f>
        <v/>
      </c>
      <c r="R2135" s="47" t="n"/>
      <c r="S2135" s="47" t="n"/>
      <c r="T2135" s="47" t="n"/>
      <c r="U2135" s="43">
        <f>IF($B2135="","",N($J2135)-N($R2135)-N($T2135))</f>
        <v/>
      </c>
      <c r="V2135" s="47" t="n"/>
    </row>
    <row r="2136">
      <c r="A2136" s="39">
        <f>IF($B2136="","",COUNTA($B$4:$B2136))</f>
        <v/>
      </c>
      <c r="B2136" s="40" t="n"/>
      <c r="C2136" s="41" t="n"/>
      <c r="D2136" s="41" t="n"/>
      <c r="E2136" s="41" t="n"/>
      <c r="F2136" s="41" t="n"/>
      <c r="G2136" s="41" t="n"/>
      <c r="H2136" s="41" t="n"/>
      <c r="I2136" s="50" t="n"/>
      <c r="J2136" s="42" t="n"/>
      <c r="K2136" s="42" t="n"/>
      <c r="L2136" s="43">
        <f>IF($B2136="","",ROUND((N($J2136)+N($K2136))*نسبة_القيمة_المضافة,2))</f>
        <v/>
      </c>
      <c r="M2136" s="42" t="n"/>
      <c r="N2136" s="42" t="n"/>
      <c r="O2136" s="43">
        <f>IF($B2136="","",N($J2136)+N($K2136)+N($L2136)-N($M2136)+N($N2136))</f>
        <v/>
      </c>
      <c r="P2136" s="42" t="n"/>
      <c r="Q2136" s="43">
        <f>IF($B2136="","",N($O2136)-N($P2136))</f>
        <v/>
      </c>
      <c r="R2136" s="42" t="n"/>
      <c r="S2136" s="42" t="n"/>
      <c r="T2136" s="42" t="n"/>
      <c r="U2136" s="43">
        <f>IF($B2136="","",N($J2136)-N($R2136)-N($T2136))</f>
        <v/>
      </c>
      <c r="V2136" s="42" t="n"/>
    </row>
    <row r="2137">
      <c r="A2137" s="39">
        <f>IF($B2137="","",COUNTA($B$4:$B2137))</f>
        <v/>
      </c>
      <c r="B2137" s="45" t="n"/>
      <c r="C2137" s="46" t="n"/>
      <c r="D2137" s="46" t="n"/>
      <c r="E2137" s="46" t="n"/>
      <c r="F2137" s="46" t="n"/>
      <c r="G2137" s="46" t="n"/>
      <c r="H2137" s="46" t="n"/>
      <c r="I2137" s="51" t="n"/>
      <c r="J2137" s="47" t="n"/>
      <c r="K2137" s="47" t="n"/>
      <c r="L2137" s="43">
        <f>IF($B2137="","",ROUND((N($J2137)+N($K2137))*نسبة_القيمة_المضافة,2))</f>
        <v/>
      </c>
      <c r="M2137" s="47" t="n"/>
      <c r="N2137" s="47" t="n"/>
      <c r="O2137" s="43">
        <f>IF($B2137="","",N($J2137)+N($K2137)+N($L2137)-N($M2137)+N($N2137))</f>
        <v/>
      </c>
      <c r="P2137" s="47" t="n"/>
      <c r="Q2137" s="43">
        <f>IF($B2137="","",N($O2137)-N($P2137))</f>
        <v/>
      </c>
      <c r="R2137" s="47" t="n"/>
      <c r="S2137" s="47" t="n"/>
      <c r="T2137" s="47" t="n"/>
      <c r="U2137" s="43">
        <f>IF($B2137="","",N($J2137)-N($R2137)-N($T2137))</f>
        <v/>
      </c>
      <c r="V2137" s="47" t="n"/>
    </row>
    <row r="2138">
      <c r="A2138" s="39">
        <f>IF($B2138="","",COUNTA($B$4:$B2138))</f>
        <v/>
      </c>
      <c r="B2138" s="40" t="n"/>
      <c r="C2138" s="41" t="n"/>
      <c r="D2138" s="41" t="n"/>
      <c r="E2138" s="41" t="n"/>
      <c r="F2138" s="41" t="n"/>
      <c r="G2138" s="41" t="n"/>
      <c r="H2138" s="41" t="n"/>
      <c r="I2138" s="50" t="n"/>
      <c r="J2138" s="42" t="n"/>
      <c r="K2138" s="42" t="n"/>
      <c r="L2138" s="43">
        <f>IF($B2138="","",ROUND((N($J2138)+N($K2138))*نسبة_القيمة_المضافة,2))</f>
        <v/>
      </c>
      <c r="M2138" s="42" t="n"/>
      <c r="N2138" s="42" t="n"/>
      <c r="O2138" s="43">
        <f>IF($B2138="","",N($J2138)+N($K2138)+N($L2138)-N($M2138)+N($N2138))</f>
        <v/>
      </c>
      <c r="P2138" s="42" t="n"/>
      <c r="Q2138" s="43">
        <f>IF($B2138="","",N($O2138)-N($P2138))</f>
        <v/>
      </c>
      <c r="R2138" s="42" t="n"/>
      <c r="S2138" s="42" t="n"/>
      <c r="T2138" s="42" t="n"/>
      <c r="U2138" s="43">
        <f>IF($B2138="","",N($J2138)-N($R2138)-N($T2138))</f>
        <v/>
      </c>
      <c r="V2138" s="42" t="n"/>
    </row>
    <row r="2139">
      <c r="A2139" s="39">
        <f>IF($B2139="","",COUNTA($B$4:$B2139))</f>
        <v/>
      </c>
      <c r="B2139" s="45" t="n"/>
      <c r="C2139" s="46" t="n"/>
      <c r="D2139" s="46" t="n"/>
      <c r="E2139" s="46" t="n"/>
      <c r="F2139" s="46" t="n"/>
      <c r="G2139" s="46" t="n"/>
      <c r="H2139" s="46" t="n"/>
      <c r="I2139" s="51" t="n"/>
      <c r="J2139" s="47" t="n"/>
      <c r="K2139" s="47" t="n"/>
      <c r="L2139" s="43">
        <f>IF($B2139="","",ROUND((N($J2139)+N($K2139))*نسبة_القيمة_المضافة,2))</f>
        <v/>
      </c>
      <c r="M2139" s="47" t="n"/>
      <c r="N2139" s="47" t="n"/>
      <c r="O2139" s="43">
        <f>IF($B2139="","",N($J2139)+N($K2139)+N($L2139)-N($M2139)+N($N2139))</f>
        <v/>
      </c>
      <c r="P2139" s="47" t="n"/>
      <c r="Q2139" s="43">
        <f>IF($B2139="","",N($O2139)-N($P2139))</f>
        <v/>
      </c>
      <c r="R2139" s="47" t="n"/>
      <c r="S2139" s="47" t="n"/>
      <c r="T2139" s="47" t="n"/>
      <c r="U2139" s="43">
        <f>IF($B2139="","",N($J2139)-N($R2139)-N($T2139))</f>
        <v/>
      </c>
      <c r="V2139" s="47" t="n"/>
    </row>
    <row r="2140">
      <c r="A2140" s="39">
        <f>IF($B2140="","",COUNTA($B$4:$B2140))</f>
        <v/>
      </c>
      <c r="B2140" s="40" t="n"/>
      <c r="C2140" s="41" t="n"/>
      <c r="D2140" s="41" t="n"/>
      <c r="E2140" s="41" t="n"/>
      <c r="F2140" s="41" t="n"/>
      <c r="G2140" s="41" t="n"/>
      <c r="H2140" s="41" t="n"/>
      <c r="I2140" s="50" t="n"/>
      <c r="J2140" s="42" t="n"/>
      <c r="K2140" s="42" t="n"/>
      <c r="L2140" s="43">
        <f>IF($B2140="","",ROUND((N($J2140)+N($K2140))*نسبة_القيمة_المضافة,2))</f>
        <v/>
      </c>
      <c r="M2140" s="42" t="n"/>
      <c r="N2140" s="42" t="n"/>
      <c r="O2140" s="43">
        <f>IF($B2140="","",N($J2140)+N($K2140)+N($L2140)-N($M2140)+N($N2140))</f>
        <v/>
      </c>
      <c r="P2140" s="42" t="n"/>
      <c r="Q2140" s="43">
        <f>IF($B2140="","",N($O2140)-N($P2140))</f>
        <v/>
      </c>
      <c r="R2140" s="42" t="n"/>
      <c r="S2140" s="42" t="n"/>
      <c r="T2140" s="42" t="n"/>
      <c r="U2140" s="43">
        <f>IF($B2140="","",N($J2140)-N($R2140)-N($T2140))</f>
        <v/>
      </c>
      <c r="V2140" s="42" t="n"/>
    </row>
    <row r="2141">
      <c r="A2141" s="39">
        <f>IF($B2141="","",COUNTA($B$4:$B2141))</f>
        <v/>
      </c>
      <c r="B2141" s="45" t="n"/>
      <c r="C2141" s="46" t="n"/>
      <c r="D2141" s="46" t="n"/>
      <c r="E2141" s="46" t="n"/>
      <c r="F2141" s="46" t="n"/>
      <c r="G2141" s="46" t="n"/>
      <c r="H2141" s="46" t="n"/>
      <c r="I2141" s="51" t="n"/>
      <c r="J2141" s="47" t="n"/>
      <c r="K2141" s="47" t="n"/>
      <c r="L2141" s="43">
        <f>IF($B2141="","",ROUND((N($J2141)+N($K2141))*نسبة_القيمة_المضافة,2))</f>
        <v/>
      </c>
      <c r="M2141" s="47" t="n"/>
      <c r="N2141" s="47" t="n"/>
      <c r="O2141" s="43">
        <f>IF($B2141="","",N($J2141)+N($K2141)+N($L2141)-N($M2141)+N($N2141))</f>
        <v/>
      </c>
      <c r="P2141" s="47" t="n"/>
      <c r="Q2141" s="43">
        <f>IF($B2141="","",N($O2141)-N($P2141))</f>
        <v/>
      </c>
      <c r="R2141" s="47" t="n"/>
      <c r="S2141" s="47" t="n"/>
      <c r="T2141" s="47" t="n"/>
      <c r="U2141" s="43">
        <f>IF($B2141="","",N($J2141)-N($R2141)-N($T2141))</f>
        <v/>
      </c>
      <c r="V2141" s="47" t="n"/>
    </row>
    <row r="2142">
      <c r="A2142" s="39">
        <f>IF($B2142="","",COUNTA($B$4:$B2142))</f>
        <v/>
      </c>
      <c r="B2142" s="40" t="n"/>
      <c r="C2142" s="41" t="n"/>
      <c r="D2142" s="41" t="n"/>
      <c r="E2142" s="41" t="n"/>
      <c r="F2142" s="41" t="n"/>
      <c r="G2142" s="41" t="n"/>
      <c r="H2142" s="41" t="n"/>
      <c r="I2142" s="50" t="n"/>
      <c r="J2142" s="42" t="n"/>
      <c r="K2142" s="42" t="n"/>
      <c r="L2142" s="43">
        <f>IF($B2142="","",ROUND((N($J2142)+N($K2142))*نسبة_القيمة_المضافة,2))</f>
        <v/>
      </c>
      <c r="M2142" s="42" t="n"/>
      <c r="N2142" s="42" t="n"/>
      <c r="O2142" s="43">
        <f>IF($B2142="","",N($J2142)+N($K2142)+N($L2142)-N($M2142)+N($N2142))</f>
        <v/>
      </c>
      <c r="P2142" s="42" t="n"/>
      <c r="Q2142" s="43">
        <f>IF($B2142="","",N($O2142)-N($P2142))</f>
        <v/>
      </c>
      <c r="R2142" s="42" t="n"/>
      <c r="S2142" s="42" t="n"/>
      <c r="T2142" s="42" t="n"/>
      <c r="U2142" s="43">
        <f>IF($B2142="","",N($J2142)-N($R2142)-N($T2142))</f>
        <v/>
      </c>
      <c r="V2142" s="42" t="n"/>
    </row>
    <row r="2143">
      <c r="A2143" s="39">
        <f>IF($B2143="","",COUNTA($B$4:$B2143))</f>
        <v/>
      </c>
      <c r="B2143" s="45" t="n"/>
      <c r="C2143" s="46" t="n"/>
      <c r="D2143" s="46" t="n"/>
      <c r="E2143" s="46" t="n"/>
      <c r="F2143" s="46" t="n"/>
      <c r="G2143" s="46" t="n"/>
      <c r="H2143" s="46" t="n"/>
      <c r="I2143" s="51" t="n"/>
      <c r="J2143" s="47" t="n"/>
      <c r="K2143" s="47" t="n"/>
      <c r="L2143" s="43">
        <f>IF($B2143="","",ROUND((N($J2143)+N($K2143))*نسبة_القيمة_المضافة,2))</f>
        <v/>
      </c>
      <c r="M2143" s="47" t="n"/>
      <c r="N2143" s="47" t="n"/>
      <c r="O2143" s="43">
        <f>IF($B2143="","",N($J2143)+N($K2143)+N($L2143)-N($M2143)+N($N2143))</f>
        <v/>
      </c>
      <c r="P2143" s="47" t="n"/>
      <c r="Q2143" s="43">
        <f>IF($B2143="","",N($O2143)-N($P2143))</f>
        <v/>
      </c>
      <c r="R2143" s="47" t="n"/>
      <c r="S2143" s="47" t="n"/>
      <c r="T2143" s="47" t="n"/>
      <c r="U2143" s="43">
        <f>IF($B2143="","",N($J2143)-N($R2143)-N($T2143))</f>
        <v/>
      </c>
      <c r="V2143" s="47" t="n"/>
    </row>
    <row r="2144">
      <c r="A2144" s="39">
        <f>IF($B2144="","",COUNTA($B$4:$B2144))</f>
        <v/>
      </c>
      <c r="B2144" s="40" t="n"/>
      <c r="C2144" s="41" t="n"/>
      <c r="D2144" s="41" t="n"/>
      <c r="E2144" s="41" t="n"/>
      <c r="F2144" s="41" t="n"/>
      <c r="G2144" s="41" t="n"/>
      <c r="H2144" s="41" t="n"/>
      <c r="I2144" s="50" t="n"/>
      <c r="J2144" s="42" t="n"/>
      <c r="K2144" s="42" t="n"/>
      <c r="L2144" s="43">
        <f>IF($B2144="","",ROUND((N($J2144)+N($K2144))*نسبة_القيمة_المضافة,2))</f>
        <v/>
      </c>
      <c r="M2144" s="42" t="n"/>
      <c r="N2144" s="42" t="n"/>
      <c r="O2144" s="43">
        <f>IF($B2144="","",N($J2144)+N($K2144)+N($L2144)-N($M2144)+N($N2144))</f>
        <v/>
      </c>
      <c r="P2144" s="42" t="n"/>
      <c r="Q2144" s="43">
        <f>IF($B2144="","",N($O2144)-N($P2144))</f>
        <v/>
      </c>
      <c r="R2144" s="42" t="n"/>
      <c r="S2144" s="42" t="n"/>
      <c r="T2144" s="42" t="n"/>
      <c r="U2144" s="43">
        <f>IF($B2144="","",N($J2144)-N($R2144)-N($T2144))</f>
        <v/>
      </c>
      <c r="V2144" s="42" t="n"/>
    </row>
    <row r="2145">
      <c r="A2145" s="39">
        <f>IF($B2145="","",COUNTA($B$4:$B2145))</f>
        <v/>
      </c>
      <c r="B2145" s="45" t="n"/>
      <c r="C2145" s="46" t="n"/>
      <c r="D2145" s="46" t="n"/>
      <c r="E2145" s="46" t="n"/>
      <c r="F2145" s="46" t="n"/>
      <c r="G2145" s="46" t="n"/>
      <c r="H2145" s="46" t="n"/>
      <c r="I2145" s="51" t="n"/>
      <c r="J2145" s="47" t="n"/>
      <c r="K2145" s="47" t="n"/>
      <c r="L2145" s="43">
        <f>IF($B2145="","",ROUND((N($J2145)+N($K2145))*نسبة_القيمة_المضافة,2))</f>
        <v/>
      </c>
      <c r="M2145" s="47" t="n"/>
      <c r="N2145" s="47" t="n"/>
      <c r="O2145" s="43">
        <f>IF($B2145="","",N($J2145)+N($K2145)+N($L2145)-N($M2145)+N($N2145))</f>
        <v/>
      </c>
      <c r="P2145" s="47" t="n"/>
      <c r="Q2145" s="43">
        <f>IF($B2145="","",N($O2145)-N($P2145))</f>
        <v/>
      </c>
      <c r="R2145" s="47" t="n"/>
      <c r="S2145" s="47" t="n"/>
      <c r="T2145" s="47" t="n"/>
      <c r="U2145" s="43">
        <f>IF($B2145="","",N($J2145)-N($R2145)-N($T2145))</f>
        <v/>
      </c>
      <c r="V2145" s="47" t="n"/>
    </row>
    <row r="2146">
      <c r="A2146" s="39">
        <f>IF($B2146="","",COUNTA($B$4:$B2146))</f>
        <v/>
      </c>
      <c r="B2146" s="40" t="n"/>
      <c r="C2146" s="41" t="n"/>
      <c r="D2146" s="41" t="n"/>
      <c r="E2146" s="41" t="n"/>
      <c r="F2146" s="41" t="n"/>
      <c r="G2146" s="41" t="n"/>
      <c r="H2146" s="41" t="n"/>
      <c r="I2146" s="50" t="n"/>
      <c r="J2146" s="42" t="n"/>
      <c r="K2146" s="42" t="n"/>
      <c r="L2146" s="43">
        <f>IF($B2146="","",ROUND((N($J2146)+N($K2146))*نسبة_القيمة_المضافة,2))</f>
        <v/>
      </c>
      <c r="M2146" s="42" t="n"/>
      <c r="N2146" s="42" t="n"/>
      <c r="O2146" s="43">
        <f>IF($B2146="","",N($J2146)+N($K2146)+N($L2146)-N($M2146)+N($N2146))</f>
        <v/>
      </c>
      <c r="P2146" s="42" t="n"/>
      <c r="Q2146" s="43">
        <f>IF($B2146="","",N($O2146)-N($P2146))</f>
        <v/>
      </c>
      <c r="R2146" s="42" t="n"/>
      <c r="S2146" s="42" t="n"/>
      <c r="T2146" s="42" t="n"/>
      <c r="U2146" s="43">
        <f>IF($B2146="","",N($J2146)-N($R2146)-N($T2146))</f>
        <v/>
      </c>
      <c r="V2146" s="42" t="n"/>
    </row>
    <row r="2147">
      <c r="A2147" s="39">
        <f>IF($B2147="","",COUNTA($B$4:$B2147))</f>
        <v/>
      </c>
      <c r="B2147" s="45" t="n"/>
      <c r="C2147" s="46" t="n"/>
      <c r="D2147" s="46" t="n"/>
      <c r="E2147" s="46" t="n"/>
      <c r="F2147" s="46" t="n"/>
      <c r="G2147" s="46" t="n"/>
      <c r="H2147" s="46" t="n"/>
      <c r="I2147" s="51" t="n"/>
      <c r="J2147" s="47" t="n"/>
      <c r="K2147" s="47" t="n"/>
      <c r="L2147" s="43">
        <f>IF($B2147="","",ROUND((N($J2147)+N($K2147))*نسبة_القيمة_المضافة,2))</f>
        <v/>
      </c>
      <c r="M2147" s="47" t="n"/>
      <c r="N2147" s="47" t="n"/>
      <c r="O2147" s="43">
        <f>IF($B2147="","",N($J2147)+N($K2147)+N($L2147)-N($M2147)+N($N2147))</f>
        <v/>
      </c>
      <c r="P2147" s="47" t="n"/>
      <c r="Q2147" s="43">
        <f>IF($B2147="","",N($O2147)-N($P2147))</f>
        <v/>
      </c>
      <c r="R2147" s="47" t="n"/>
      <c r="S2147" s="47" t="n"/>
      <c r="T2147" s="47" t="n"/>
      <c r="U2147" s="43">
        <f>IF($B2147="","",N($J2147)-N($R2147)-N($T2147))</f>
        <v/>
      </c>
      <c r="V2147" s="47" t="n"/>
    </row>
    <row r="2148">
      <c r="A2148" s="39">
        <f>IF($B2148="","",COUNTA($B$4:$B2148))</f>
        <v/>
      </c>
      <c r="B2148" s="40" t="n"/>
      <c r="C2148" s="41" t="n"/>
      <c r="D2148" s="41" t="n"/>
      <c r="E2148" s="41" t="n"/>
      <c r="F2148" s="41" t="n"/>
      <c r="G2148" s="41" t="n"/>
      <c r="H2148" s="41" t="n"/>
      <c r="I2148" s="50" t="n"/>
      <c r="J2148" s="42" t="n"/>
      <c r="K2148" s="42" t="n"/>
      <c r="L2148" s="43">
        <f>IF($B2148="","",ROUND((N($J2148)+N($K2148))*نسبة_القيمة_المضافة,2))</f>
        <v/>
      </c>
      <c r="M2148" s="42" t="n"/>
      <c r="N2148" s="42" t="n"/>
      <c r="O2148" s="43">
        <f>IF($B2148="","",N($J2148)+N($K2148)+N($L2148)-N($M2148)+N($N2148))</f>
        <v/>
      </c>
      <c r="P2148" s="42" t="n"/>
      <c r="Q2148" s="43">
        <f>IF($B2148="","",N($O2148)-N($P2148))</f>
        <v/>
      </c>
      <c r="R2148" s="42" t="n"/>
      <c r="S2148" s="42" t="n"/>
      <c r="T2148" s="42" t="n"/>
      <c r="U2148" s="43">
        <f>IF($B2148="","",N($J2148)-N($R2148)-N($T2148))</f>
        <v/>
      </c>
      <c r="V2148" s="42" t="n"/>
    </row>
    <row r="2149">
      <c r="A2149" s="39">
        <f>IF($B2149="","",COUNTA($B$4:$B2149))</f>
        <v/>
      </c>
      <c r="B2149" s="45" t="n"/>
      <c r="C2149" s="46" t="n"/>
      <c r="D2149" s="46" t="n"/>
      <c r="E2149" s="46" t="n"/>
      <c r="F2149" s="46" t="n"/>
      <c r="G2149" s="46" t="n"/>
      <c r="H2149" s="46" t="n"/>
      <c r="I2149" s="51" t="n"/>
      <c r="J2149" s="47" t="n"/>
      <c r="K2149" s="47" t="n"/>
      <c r="L2149" s="43">
        <f>IF($B2149="","",ROUND((N($J2149)+N($K2149))*نسبة_القيمة_المضافة,2))</f>
        <v/>
      </c>
      <c r="M2149" s="47" t="n"/>
      <c r="N2149" s="47" t="n"/>
      <c r="O2149" s="43">
        <f>IF($B2149="","",N($J2149)+N($K2149)+N($L2149)-N($M2149)+N($N2149))</f>
        <v/>
      </c>
      <c r="P2149" s="47" t="n"/>
      <c r="Q2149" s="43">
        <f>IF($B2149="","",N($O2149)-N($P2149))</f>
        <v/>
      </c>
      <c r="R2149" s="47" t="n"/>
      <c r="S2149" s="47" t="n"/>
      <c r="T2149" s="47" t="n"/>
      <c r="U2149" s="43">
        <f>IF($B2149="","",N($J2149)-N($R2149)-N($T2149))</f>
        <v/>
      </c>
      <c r="V2149" s="47" t="n"/>
    </row>
    <row r="2150">
      <c r="A2150" s="39">
        <f>IF($B2150="","",COUNTA($B$4:$B2150))</f>
        <v/>
      </c>
      <c r="B2150" s="40" t="n"/>
      <c r="C2150" s="41" t="n"/>
      <c r="D2150" s="41" t="n"/>
      <c r="E2150" s="41" t="n"/>
      <c r="F2150" s="41" t="n"/>
      <c r="G2150" s="41" t="n"/>
      <c r="H2150" s="41" t="n"/>
      <c r="I2150" s="50" t="n"/>
      <c r="J2150" s="42" t="n"/>
      <c r="K2150" s="42" t="n"/>
      <c r="L2150" s="43">
        <f>IF($B2150="","",ROUND((N($J2150)+N($K2150))*نسبة_القيمة_المضافة,2))</f>
        <v/>
      </c>
      <c r="M2150" s="42" t="n"/>
      <c r="N2150" s="42" t="n"/>
      <c r="O2150" s="43">
        <f>IF($B2150="","",N($J2150)+N($K2150)+N($L2150)-N($M2150)+N($N2150))</f>
        <v/>
      </c>
      <c r="P2150" s="42" t="n"/>
      <c r="Q2150" s="43">
        <f>IF($B2150="","",N($O2150)-N($P2150))</f>
        <v/>
      </c>
      <c r="R2150" s="42" t="n"/>
      <c r="S2150" s="42" t="n"/>
      <c r="T2150" s="42" t="n"/>
      <c r="U2150" s="43">
        <f>IF($B2150="","",N($J2150)-N($R2150)-N($T2150))</f>
        <v/>
      </c>
      <c r="V2150" s="42" t="n"/>
    </row>
    <row r="2151">
      <c r="A2151" s="39">
        <f>IF($B2151="","",COUNTA($B$4:$B2151))</f>
        <v/>
      </c>
      <c r="B2151" s="45" t="n"/>
      <c r="C2151" s="46" t="n"/>
      <c r="D2151" s="46" t="n"/>
      <c r="E2151" s="46" t="n"/>
      <c r="F2151" s="46" t="n"/>
      <c r="G2151" s="46" t="n"/>
      <c r="H2151" s="46" t="n"/>
      <c r="I2151" s="51" t="n"/>
      <c r="J2151" s="47" t="n"/>
      <c r="K2151" s="47" t="n"/>
      <c r="L2151" s="43">
        <f>IF($B2151="","",ROUND((N($J2151)+N($K2151))*نسبة_القيمة_المضافة,2))</f>
        <v/>
      </c>
      <c r="M2151" s="47" t="n"/>
      <c r="N2151" s="47" t="n"/>
      <c r="O2151" s="43">
        <f>IF($B2151="","",N($J2151)+N($K2151)+N($L2151)-N($M2151)+N($N2151))</f>
        <v/>
      </c>
      <c r="P2151" s="47" t="n"/>
      <c r="Q2151" s="43">
        <f>IF($B2151="","",N($O2151)-N($P2151))</f>
        <v/>
      </c>
      <c r="R2151" s="47" t="n"/>
      <c r="S2151" s="47" t="n"/>
      <c r="T2151" s="47" t="n"/>
      <c r="U2151" s="43">
        <f>IF($B2151="","",N($J2151)-N($R2151)-N($T2151))</f>
        <v/>
      </c>
      <c r="V2151" s="47" t="n"/>
    </row>
    <row r="2152">
      <c r="A2152" s="39">
        <f>IF($B2152="","",COUNTA($B$4:$B2152))</f>
        <v/>
      </c>
      <c r="B2152" s="40" t="n"/>
      <c r="C2152" s="41" t="n"/>
      <c r="D2152" s="41" t="n"/>
      <c r="E2152" s="41" t="n"/>
      <c r="F2152" s="41" t="n"/>
      <c r="G2152" s="41" t="n"/>
      <c r="H2152" s="41" t="n"/>
      <c r="I2152" s="50" t="n"/>
      <c r="J2152" s="42" t="n"/>
      <c r="K2152" s="42" t="n"/>
      <c r="L2152" s="43">
        <f>IF($B2152="","",ROUND((N($J2152)+N($K2152))*نسبة_القيمة_المضافة,2))</f>
        <v/>
      </c>
      <c r="M2152" s="42" t="n"/>
      <c r="N2152" s="42" t="n"/>
      <c r="O2152" s="43">
        <f>IF($B2152="","",N($J2152)+N($K2152)+N($L2152)-N($M2152)+N($N2152))</f>
        <v/>
      </c>
      <c r="P2152" s="42" t="n"/>
      <c r="Q2152" s="43">
        <f>IF($B2152="","",N($O2152)-N($P2152))</f>
        <v/>
      </c>
      <c r="R2152" s="42" t="n"/>
      <c r="S2152" s="42" t="n"/>
      <c r="T2152" s="42" t="n"/>
      <c r="U2152" s="43">
        <f>IF($B2152="","",N($J2152)-N($R2152)-N($T2152))</f>
        <v/>
      </c>
      <c r="V2152" s="42" t="n"/>
    </row>
    <row r="2153">
      <c r="A2153" s="39">
        <f>IF($B2153="","",COUNTA($B$4:$B2153))</f>
        <v/>
      </c>
      <c r="B2153" s="45" t="n"/>
      <c r="C2153" s="46" t="n"/>
      <c r="D2153" s="46" t="n"/>
      <c r="E2153" s="46" t="n"/>
      <c r="F2153" s="46" t="n"/>
      <c r="G2153" s="46" t="n"/>
      <c r="H2153" s="46" t="n"/>
      <c r="I2153" s="51" t="n"/>
      <c r="J2153" s="47" t="n"/>
      <c r="K2153" s="47" t="n"/>
      <c r="L2153" s="43">
        <f>IF($B2153="","",ROUND((N($J2153)+N($K2153))*نسبة_القيمة_المضافة,2))</f>
        <v/>
      </c>
      <c r="M2153" s="47" t="n"/>
      <c r="N2153" s="47" t="n"/>
      <c r="O2153" s="43">
        <f>IF($B2153="","",N($J2153)+N($K2153)+N($L2153)-N($M2153)+N($N2153))</f>
        <v/>
      </c>
      <c r="P2153" s="47" t="n"/>
      <c r="Q2153" s="43">
        <f>IF($B2153="","",N($O2153)-N($P2153))</f>
        <v/>
      </c>
      <c r="R2153" s="47" t="n"/>
      <c r="S2153" s="47" t="n"/>
      <c r="T2153" s="47" t="n"/>
      <c r="U2153" s="43">
        <f>IF($B2153="","",N($J2153)-N($R2153)-N($T2153))</f>
        <v/>
      </c>
      <c r="V2153" s="47" t="n"/>
    </row>
    <row r="2154">
      <c r="A2154" s="39">
        <f>IF($B2154="","",COUNTA($B$4:$B2154))</f>
        <v/>
      </c>
      <c r="B2154" s="40" t="n"/>
      <c r="C2154" s="41" t="n"/>
      <c r="D2154" s="41" t="n"/>
      <c r="E2154" s="41" t="n"/>
      <c r="F2154" s="41" t="n"/>
      <c r="G2154" s="41" t="n"/>
      <c r="H2154" s="41" t="n"/>
      <c r="I2154" s="50" t="n"/>
      <c r="J2154" s="42" t="n"/>
      <c r="K2154" s="42" t="n"/>
      <c r="L2154" s="43">
        <f>IF($B2154="","",ROUND((N($J2154)+N($K2154))*نسبة_القيمة_المضافة,2))</f>
        <v/>
      </c>
      <c r="M2154" s="42" t="n"/>
      <c r="N2154" s="42" t="n"/>
      <c r="O2154" s="43">
        <f>IF($B2154="","",N($J2154)+N($K2154)+N($L2154)-N($M2154)+N($N2154))</f>
        <v/>
      </c>
      <c r="P2154" s="42" t="n"/>
      <c r="Q2154" s="43">
        <f>IF($B2154="","",N($O2154)-N($P2154))</f>
        <v/>
      </c>
      <c r="R2154" s="42" t="n"/>
      <c r="S2154" s="42" t="n"/>
      <c r="T2154" s="42" t="n"/>
      <c r="U2154" s="43">
        <f>IF($B2154="","",N($J2154)-N($R2154)-N($T2154))</f>
        <v/>
      </c>
      <c r="V2154" s="42" t="n"/>
    </row>
    <row r="2155">
      <c r="A2155" s="39">
        <f>IF($B2155="","",COUNTA($B$4:$B2155))</f>
        <v/>
      </c>
      <c r="B2155" s="45" t="n"/>
      <c r="C2155" s="46" t="n"/>
      <c r="D2155" s="46" t="n"/>
      <c r="E2155" s="46" t="n"/>
      <c r="F2155" s="46" t="n"/>
      <c r="G2155" s="46" t="n"/>
      <c r="H2155" s="46" t="n"/>
      <c r="I2155" s="51" t="n"/>
      <c r="J2155" s="47" t="n"/>
      <c r="K2155" s="47" t="n"/>
      <c r="L2155" s="43">
        <f>IF($B2155="","",ROUND((N($J2155)+N($K2155))*نسبة_القيمة_المضافة,2))</f>
        <v/>
      </c>
      <c r="M2155" s="47" t="n"/>
      <c r="N2155" s="47" t="n"/>
      <c r="O2155" s="43">
        <f>IF($B2155="","",N($J2155)+N($K2155)+N($L2155)-N($M2155)+N($N2155))</f>
        <v/>
      </c>
      <c r="P2155" s="47" t="n"/>
      <c r="Q2155" s="43">
        <f>IF($B2155="","",N($O2155)-N($P2155))</f>
        <v/>
      </c>
      <c r="R2155" s="47" t="n"/>
      <c r="S2155" s="47" t="n"/>
      <c r="T2155" s="47" t="n"/>
      <c r="U2155" s="43">
        <f>IF($B2155="","",N($J2155)-N($R2155)-N($T2155))</f>
        <v/>
      </c>
      <c r="V2155" s="47" t="n"/>
    </row>
    <row r="2156">
      <c r="A2156" s="39">
        <f>IF($B2156="","",COUNTA($B$4:$B2156))</f>
        <v/>
      </c>
      <c r="B2156" s="40" t="n"/>
      <c r="C2156" s="41" t="n"/>
      <c r="D2156" s="41" t="n"/>
      <c r="E2156" s="41" t="n"/>
      <c r="F2156" s="41" t="n"/>
      <c r="G2156" s="41" t="n"/>
      <c r="H2156" s="41" t="n"/>
      <c r="I2156" s="50" t="n"/>
      <c r="J2156" s="42" t="n"/>
      <c r="K2156" s="42" t="n"/>
      <c r="L2156" s="43">
        <f>IF($B2156="","",ROUND((N($J2156)+N($K2156))*نسبة_القيمة_المضافة,2))</f>
        <v/>
      </c>
      <c r="M2156" s="42" t="n"/>
      <c r="N2156" s="42" t="n"/>
      <c r="O2156" s="43">
        <f>IF($B2156="","",N($J2156)+N($K2156)+N($L2156)-N($M2156)+N($N2156))</f>
        <v/>
      </c>
      <c r="P2156" s="42" t="n"/>
      <c r="Q2156" s="43">
        <f>IF($B2156="","",N($O2156)-N($P2156))</f>
        <v/>
      </c>
      <c r="R2156" s="42" t="n"/>
      <c r="S2156" s="42" t="n"/>
      <c r="T2156" s="42" t="n"/>
      <c r="U2156" s="43">
        <f>IF($B2156="","",N($J2156)-N($R2156)-N($T2156))</f>
        <v/>
      </c>
      <c r="V2156" s="42" t="n"/>
    </row>
    <row r="2157">
      <c r="A2157" s="39">
        <f>IF($B2157="","",COUNTA($B$4:$B2157))</f>
        <v/>
      </c>
      <c r="B2157" s="45" t="n"/>
      <c r="C2157" s="46" t="n"/>
      <c r="D2157" s="46" t="n"/>
      <c r="E2157" s="46" t="n"/>
      <c r="F2157" s="46" t="n"/>
      <c r="G2157" s="46" t="n"/>
      <c r="H2157" s="46" t="n"/>
      <c r="I2157" s="51" t="n"/>
      <c r="J2157" s="47" t="n"/>
      <c r="K2157" s="47" t="n"/>
      <c r="L2157" s="43">
        <f>IF($B2157="","",ROUND((N($J2157)+N($K2157))*نسبة_القيمة_المضافة,2))</f>
        <v/>
      </c>
      <c r="M2157" s="47" t="n"/>
      <c r="N2157" s="47" t="n"/>
      <c r="O2157" s="43">
        <f>IF($B2157="","",N($J2157)+N($K2157)+N($L2157)-N($M2157)+N($N2157))</f>
        <v/>
      </c>
      <c r="P2157" s="47" t="n"/>
      <c r="Q2157" s="43">
        <f>IF($B2157="","",N($O2157)-N($P2157))</f>
        <v/>
      </c>
      <c r="R2157" s="47" t="n"/>
      <c r="S2157" s="47" t="n"/>
      <c r="T2157" s="47" t="n"/>
      <c r="U2157" s="43">
        <f>IF($B2157="","",N($J2157)-N($R2157)-N($T2157))</f>
        <v/>
      </c>
      <c r="V2157" s="47" t="n"/>
    </row>
    <row r="2158">
      <c r="A2158" s="39">
        <f>IF($B2158="","",COUNTA($B$4:$B2158))</f>
        <v/>
      </c>
      <c r="B2158" s="40" t="n"/>
      <c r="C2158" s="41" t="n"/>
      <c r="D2158" s="41" t="n"/>
      <c r="E2158" s="41" t="n"/>
      <c r="F2158" s="41" t="n"/>
      <c r="G2158" s="41" t="n"/>
      <c r="H2158" s="41" t="n"/>
      <c r="I2158" s="50" t="n"/>
      <c r="J2158" s="42" t="n"/>
      <c r="K2158" s="42" t="n"/>
      <c r="L2158" s="43">
        <f>IF($B2158="","",ROUND((N($J2158)+N($K2158))*نسبة_القيمة_المضافة,2))</f>
        <v/>
      </c>
      <c r="M2158" s="42" t="n"/>
      <c r="N2158" s="42" t="n"/>
      <c r="O2158" s="43">
        <f>IF($B2158="","",N($J2158)+N($K2158)+N($L2158)-N($M2158)+N($N2158))</f>
        <v/>
      </c>
      <c r="P2158" s="42" t="n"/>
      <c r="Q2158" s="43">
        <f>IF($B2158="","",N($O2158)-N($P2158))</f>
        <v/>
      </c>
      <c r="R2158" s="42" t="n"/>
      <c r="S2158" s="42" t="n"/>
      <c r="T2158" s="42" t="n"/>
      <c r="U2158" s="43">
        <f>IF($B2158="","",N($J2158)-N($R2158)-N($T2158))</f>
        <v/>
      </c>
      <c r="V2158" s="42" t="n"/>
    </row>
    <row r="2159">
      <c r="A2159" s="39">
        <f>IF($B2159="","",COUNTA($B$4:$B2159))</f>
        <v/>
      </c>
      <c r="B2159" s="45" t="n"/>
      <c r="C2159" s="46" t="n"/>
      <c r="D2159" s="46" t="n"/>
      <c r="E2159" s="46" t="n"/>
      <c r="F2159" s="46" t="n"/>
      <c r="G2159" s="46" t="n"/>
      <c r="H2159" s="46" t="n"/>
      <c r="I2159" s="51" t="n"/>
      <c r="J2159" s="47" t="n"/>
      <c r="K2159" s="47" t="n"/>
      <c r="L2159" s="43">
        <f>IF($B2159="","",ROUND((N($J2159)+N($K2159))*نسبة_القيمة_المضافة,2))</f>
        <v/>
      </c>
      <c r="M2159" s="47" t="n"/>
      <c r="N2159" s="47" t="n"/>
      <c r="O2159" s="43">
        <f>IF($B2159="","",N($J2159)+N($K2159)+N($L2159)-N($M2159)+N($N2159))</f>
        <v/>
      </c>
      <c r="P2159" s="47" t="n"/>
      <c r="Q2159" s="43">
        <f>IF($B2159="","",N($O2159)-N($P2159))</f>
        <v/>
      </c>
      <c r="R2159" s="47" t="n"/>
      <c r="S2159" s="47" t="n"/>
      <c r="T2159" s="47" t="n"/>
      <c r="U2159" s="43">
        <f>IF($B2159="","",N($J2159)-N($R2159)-N($T2159))</f>
        <v/>
      </c>
      <c r="V2159" s="47" t="n"/>
    </row>
    <row r="2160">
      <c r="A2160" s="39">
        <f>IF($B2160="","",COUNTA($B$4:$B2160))</f>
        <v/>
      </c>
      <c r="B2160" s="40" t="n"/>
      <c r="C2160" s="41" t="n"/>
      <c r="D2160" s="41" t="n"/>
      <c r="E2160" s="41" t="n"/>
      <c r="F2160" s="41" t="n"/>
      <c r="G2160" s="41" t="n"/>
      <c r="H2160" s="41" t="n"/>
      <c r="I2160" s="50" t="n"/>
      <c r="J2160" s="42" t="n"/>
      <c r="K2160" s="42" t="n"/>
      <c r="L2160" s="43">
        <f>IF($B2160="","",ROUND((N($J2160)+N($K2160))*نسبة_القيمة_المضافة,2))</f>
        <v/>
      </c>
      <c r="M2160" s="42" t="n"/>
      <c r="N2160" s="42" t="n"/>
      <c r="O2160" s="43">
        <f>IF($B2160="","",N($J2160)+N($K2160)+N($L2160)-N($M2160)+N($N2160))</f>
        <v/>
      </c>
      <c r="P2160" s="42" t="n"/>
      <c r="Q2160" s="43">
        <f>IF($B2160="","",N($O2160)-N($P2160))</f>
        <v/>
      </c>
      <c r="R2160" s="42" t="n"/>
      <c r="S2160" s="42" t="n"/>
      <c r="T2160" s="42" t="n"/>
      <c r="U2160" s="43">
        <f>IF($B2160="","",N($J2160)-N($R2160)-N($T2160))</f>
        <v/>
      </c>
      <c r="V2160" s="42" t="n"/>
    </row>
    <row r="2161">
      <c r="A2161" s="39">
        <f>IF($B2161="","",COUNTA($B$4:$B2161))</f>
        <v/>
      </c>
      <c r="B2161" s="45" t="n"/>
      <c r="C2161" s="46" t="n"/>
      <c r="D2161" s="46" t="n"/>
      <c r="E2161" s="46" t="n"/>
      <c r="F2161" s="46" t="n"/>
      <c r="G2161" s="46" t="n"/>
      <c r="H2161" s="46" t="n"/>
      <c r="I2161" s="51" t="n"/>
      <c r="J2161" s="47" t="n"/>
      <c r="K2161" s="47" t="n"/>
      <c r="L2161" s="43">
        <f>IF($B2161="","",ROUND((N($J2161)+N($K2161))*نسبة_القيمة_المضافة,2))</f>
        <v/>
      </c>
      <c r="M2161" s="47" t="n"/>
      <c r="N2161" s="47" t="n"/>
      <c r="O2161" s="43">
        <f>IF($B2161="","",N($J2161)+N($K2161)+N($L2161)-N($M2161)+N($N2161))</f>
        <v/>
      </c>
      <c r="P2161" s="47" t="n"/>
      <c r="Q2161" s="43">
        <f>IF($B2161="","",N($O2161)-N($P2161))</f>
        <v/>
      </c>
      <c r="R2161" s="47" t="n"/>
      <c r="S2161" s="47" t="n"/>
      <c r="T2161" s="47" t="n"/>
      <c r="U2161" s="43">
        <f>IF($B2161="","",N($J2161)-N($R2161)-N($T2161))</f>
        <v/>
      </c>
      <c r="V2161" s="47" t="n"/>
    </row>
    <row r="2162">
      <c r="A2162" s="39">
        <f>IF($B2162="","",COUNTA($B$4:$B2162))</f>
        <v/>
      </c>
      <c r="B2162" s="40" t="n"/>
      <c r="C2162" s="41" t="n"/>
      <c r="D2162" s="41" t="n"/>
      <c r="E2162" s="41" t="n"/>
      <c r="F2162" s="41" t="n"/>
      <c r="G2162" s="41" t="n"/>
      <c r="H2162" s="41" t="n"/>
      <c r="I2162" s="50" t="n"/>
      <c r="J2162" s="42" t="n"/>
      <c r="K2162" s="42" t="n"/>
      <c r="L2162" s="43">
        <f>IF($B2162="","",ROUND((N($J2162)+N($K2162))*نسبة_القيمة_المضافة,2))</f>
        <v/>
      </c>
      <c r="M2162" s="42" t="n"/>
      <c r="N2162" s="42" t="n"/>
      <c r="O2162" s="43">
        <f>IF($B2162="","",N($J2162)+N($K2162)+N($L2162)-N($M2162)+N($N2162))</f>
        <v/>
      </c>
      <c r="P2162" s="42" t="n"/>
      <c r="Q2162" s="43">
        <f>IF($B2162="","",N($O2162)-N($P2162))</f>
        <v/>
      </c>
      <c r="R2162" s="42" t="n"/>
      <c r="S2162" s="42" t="n"/>
      <c r="T2162" s="42" t="n"/>
      <c r="U2162" s="43">
        <f>IF($B2162="","",N($J2162)-N($R2162)-N($T2162))</f>
        <v/>
      </c>
      <c r="V2162" s="42" t="n"/>
    </row>
    <row r="2163">
      <c r="A2163" s="39">
        <f>IF($B2163="","",COUNTA($B$4:$B2163))</f>
        <v/>
      </c>
      <c r="B2163" s="45" t="n"/>
      <c r="C2163" s="46" t="n"/>
      <c r="D2163" s="46" t="n"/>
      <c r="E2163" s="46" t="n"/>
      <c r="F2163" s="46" t="n"/>
      <c r="G2163" s="46" t="n"/>
      <c r="H2163" s="46" t="n"/>
      <c r="I2163" s="51" t="n"/>
      <c r="J2163" s="47" t="n"/>
      <c r="K2163" s="47" t="n"/>
      <c r="L2163" s="43">
        <f>IF($B2163="","",ROUND((N($J2163)+N($K2163))*نسبة_القيمة_المضافة,2))</f>
        <v/>
      </c>
      <c r="M2163" s="47" t="n"/>
      <c r="N2163" s="47" t="n"/>
      <c r="O2163" s="43">
        <f>IF($B2163="","",N($J2163)+N($K2163)+N($L2163)-N($M2163)+N($N2163))</f>
        <v/>
      </c>
      <c r="P2163" s="47" t="n"/>
      <c r="Q2163" s="43">
        <f>IF($B2163="","",N($O2163)-N($P2163))</f>
        <v/>
      </c>
      <c r="R2163" s="47" t="n"/>
      <c r="S2163" s="47" t="n"/>
      <c r="T2163" s="47" t="n"/>
      <c r="U2163" s="43">
        <f>IF($B2163="","",N($J2163)-N($R2163)-N($T2163))</f>
        <v/>
      </c>
      <c r="V2163" s="47" t="n"/>
    </row>
    <row r="2164">
      <c r="A2164" s="39">
        <f>IF($B2164="","",COUNTA($B$4:$B2164))</f>
        <v/>
      </c>
      <c r="B2164" s="40" t="n"/>
      <c r="C2164" s="41" t="n"/>
      <c r="D2164" s="41" t="n"/>
      <c r="E2164" s="41" t="n"/>
      <c r="F2164" s="41" t="n"/>
      <c r="G2164" s="41" t="n"/>
      <c r="H2164" s="41" t="n"/>
      <c r="I2164" s="50" t="n"/>
      <c r="J2164" s="42" t="n"/>
      <c r="K2164" s="42" t="n"/>
      <c r="L2164" s="43">
        <f>IF($B2164="","",ROUND((N($J2164)+N($K2164))*نسبة_القيمة_المضافة,2))</f>
        <v/>
      </c>
      <c r="M2164" s="42" t="n"/>
      <c r="N2164" s="42" t="n"/>
      <c r="O2164" s="43">
        <f>IF($B2164="","",N($J2164)+N($K2164)+N($L2164)-N($M2164)+N($N2164))</f>
        <v/>
      </c>
      <c r="P2164" s="42" t="n"/>
      <c r="Q2164" s="43">
        <f>IF($B2164="","",N($O2164)-N($P2164))</f>
        <v/>
      </c>
      <c r="R2164" s="42" t="n"/>
      <c r="S2164" s="42" t="n"/>
      <c r="T2164" s="42" t="n"/>
      <c r="U2164" s="43">
        <f>IF($B2164="","",N($J2164)-N($R2164)-N($T2164))</f>
        <v/>
      </c>
      <c r="V2164" s="42" t="n"/>
    </row>
    <row r="2165">
      <c r="A2165" s="39">
        <f>IF($B2165="","",COUNTA($B$4:$B2165))</f>
        <v/>
      </c>
      <c r="B2165" s="45" t="n"/>
      <c r="C2165" s="46" t="n"/>
      <c r="D2165" s="46" t="n"/>
      <c r="E2165" s="46" t="n"/>
      <c r="F2165" s="46" t="n"/>
      <c r="G2165" s="46" t="n"/>
      <c r="H2165" s="46" t="n"/>
      <c r="I2165" s="51" t="n"/>
      <c r="J2165" s="47" t="n"/>
      <c r="K2165" s="47" t="n"/>
      <c r="L2165" s="43">
        <f>IF($B2165="","",ROUND((N($J2165)+N($K2165))*نسبة_القيمة_المضافة,2))</f>
        <v/>
      </c>
      <c r="M2165" s="47" t="n"/>
      <c r="N2165" s="47" t="n"/>
      <c r="O2165" s="43">
        <f>IF($B2165="","",N($J2165)+N($K2165)+N($L2165)-N($M2165)+N($N2165))</f>
        <v/>
      </c>
      <c r="P2165" s="47" t="n"/>
      <c r="Q2165" s="43">
        <f>IF($B2165="","",N($O2165)-N($P2165))</f>
        <v/>
      </c>
      <c r="R2165" s="47" t="n"/>
      <c r="S2165" s="47" t="n"/>
      <c r="T2165" s="47" t="n"/>
      <c r="U2165" s="43">
        <f>IF($B2165="","",N($J2165)-N($R2165)-N($T2165))</f>
        <v/>
      </c>
      <c r="V2165" s="47" t="n"/>
    </row>
    <row r="2166">
      <c r="A2166" s="39">
        <f>IF($B2166="","",COUNTA($B$4:$B2166))</f>
        <v/>
      </c>
      <c r="B2166" s="40" t="n"/>
      <c r="C2166" s="41" t="n"/>
      <c r="D2166" s="41" t="n"/>
      <c r="E2166" s="41" t="n"/>
      <c r="F2166" s="41" t="n"/>
      <c r="G2166" s="41" t="n"/>
      <c r="H2166" s="41" t="n"/>
      <c r="I2166" s="50" t="n"/>
      <c r="J2166" s="42" t="n"/>
      <c r="K2166" s="42" t="n"/>
      <c r="L2166" s="43">
        <f>IF($B2166="","",ROUND((N($J2166)+N($K2166))*نسبة_القيمة_المضافة,2))</f>
        <v/>
      </c>
      <c r="M2166" s="42" t="n"/>
      <c r="N2166" s="42" t="n"/>
      <c r="O2166" s="43">
        <f>IF($B2166="","",N($J2166)+N($K2166)+N($L2166)-N($M2166)+N($N2166))</f>
        <v/>
      </c>
      <c r="P2166" s="42" t="n"/>
      <c r="Q2166" s="43">
        <f>IF($B2166="","",N($O2166)-N($P2166))</f>
        <v/>
      </c>
      <c r="R2166" s="42" t="n"/>
      <c r="S2166" s="42" t="n"/>
      <c r="T2166" s="42" t="n"/>
      <c r="U2166" s="43">
        <f>IF($B2166="","",N($J2166)-N($R2166)-N($T2166))</f>
        <v/>
      </c>
      <c r="V2166" s="42" t="n"/>
    </row>
    <row r="2167">
      <c r="A2167" s="39">
        <f>IF($B2167="","",COUNTA($B$4:$B2167))</f>
        <v/>
      </c>
      <c r="B2167" s="45" t="n"/>
      <c r="C2167" s="46" t="n"/>
      <c r="D2167" s="46" t="n"/>
      <c r="E2167" s="46" t="n"/>
      <c r="F2167" s="46" t="n"/>
      <c r="G2167" s="46" t="n"/>
      <c r="H2167" s="46" t="n"/>
      <c r="I2167" s="51" t="n"/>
      <c r="J2167" s="47" t="n"/>
      <c r="K2167" s="47" t="n"/>
      <c r="L2167" s="43">
        <f>IF($B2167="","",ROUND((N($J2167)+N($K2167))*نسبة_القيمة_المضافة,2))</f>
        <v/>
      </c>
      <c r="M2167" s="47" t="n"/>
      <c r="N2167" s="47" t="n"/>
      <c r="O2167" s="43">
        <f>IF($B2167="","",N($J2167)+N($K2167)+N($L2167)-N($M2167)+N($N2167))</f>
        <v/>
      </c>
      <c r="P2167" s="47" t="n"/>
      <c r="Q2167" s="43">
        <f>IF($B2167="","",N($O2167)-N($P2167))</f>
        <v/>
      </c>
      <c r="R2167" s="47" t="n"/>
      <c r="S2167" s="47" t="n"/>
      <c r="T2167" s="47" t="n"/>
      <c r="U2167" s="43">
        <f>IF($B2167="","",N($J2167)-N($R2167)-N($T2167))</f>
        <v/>
      </c>
      <c r="V2167" s="47" t="n"/>
    </row>
    <row r="2168">
      <c r="A2168" s="39">
        <f>IF($B2168="","",COUNTA($B$4:$B2168))</f>
        <v/>
      </c>
      <c r="B2168" s="40" t="n"/>
      <c r="C2168" s="41" t="n"/>
      <c r="D2168" s="41" t="n"/>
      <c r="E2168" s="41" t="n"/>
      <c r="F2168" s="41" t="n"/>
      <c r="G2168" s="41" t="n"/>
      <c r="H2168" s="41" t="n"/>
      <c r="I2168" s="50" t="n"/>
      <c r="J2168" s="42" t="n"/>
      <c r="K2168" s="42" t="n"/>
      <c r="L2168" s="43">
        <f>IF($B2168="","",ROUND((N($J2168)+N($K2168))*نسبة_القيمة_المضافة,2))</f>
        <v/>
      </c>
      <c r="M2168" s="42" t="n"/>
      <c r="N2168" s="42" t="n"/>
      <c r="O2168" s="43">
        <f>IF($B2168="","",N($J2168)+N($K2168)+N($L2168)-N($M2168)+N($N2168))</f>
        <v/>
      </c>
      <c r="P2168" s="42" t="n"/>
      <c r="Q2168" s="43">
        <f>IF($B2168="","",N($O2168)-N($P2168))</f>
        <v/>
      </c>
      <c r="R2168" s="42" t="n"/>
      <c r="S2168" s="42" t="n"/>
      <c r="T2168" s="42" t="n"/>
      <c r="U2168" s="43">
        <f>IF($B2168="","",N($J2168)-N($R2168)-N($T2168))</f>
        <v/>
      </c>
      <c r="V2168" s="42" t="n"/>
    </row>
    <row r="2169">
      <c r="A2169" s="39">
        <f>IF($B2169="","",COUNTA($B$4:$B2169))</f>
        <v/>
      </c>
      <c r="B2169" s="45" t="n"/>
      <c r="C2169" s="46" t="n"/>
      <c r="D2169" s="46" t="n"/>
      <c r="E2169" s="46" t="n"/>
      <c r="F2169" s="46" t="n"/>
      <c r="G2169" s="46" t="n"/>
      <c r="H2169" s="46" t="n"/>
      <c r="I2169" s="51" t="n"/>
      <c r="J2169" s="47" t="n"/>
      <c r="K2169" s="47" t="n"/>
      <c r="L2169" s="43">
        <f>IF($B2169="","",ROUND((N($J2169)+N($K2169))*نسبة_القيمة_المضافة,2))</f>
        <v/>
      </c>
      <c r="M2169" s="47" t="n"/>
      <c r="N2169" s="47" t="n"/>
      <c r="O2169" s="43">
        <f>IF($B2169="","",N($J2169)+N($K2169)+N($L2169)-N($M2169)+N($N2169))</f>
        <v/>
      </c>
      <c r="P2169" s="47" t="n"/>
      <c r="Q2169" s="43">
        <f>IF($B2169="","",N($O2169)-N($P2169))</f>
        <v/>
      </c>
      <c r="R2169" s="47" t="n"/>
      <c r="S2169" s="47" t="n"/>
      <c r="T2169" s="47" t="n"/>
      <c r="U2169" s="43">
        <f>IF($B2169="","",N($J2169)-N($R2169)-N($T2169))</f>
        <v/>
      </c>
      <c r="V2169" s="47" t="n"/>
    </row>
    <row r="2170">
      <c r="A2170" s="39">
        <f>IF($B2170="","",COUNTA($B$4:$B2170))</f>
        <v/>
      </c>
      <c r="B2170" s="40" t="n"/>
      <c r="C2170" s="41" t="n"/>
      <c r="D2170" s="41" t="n"/>
      <c r="E2170" s="41" t="n"/>
      <c r="F2170" s="41" t="n"/>
      <c r="G2170" s="41" t="n"/>
      <c r="H2170" s="41" t="n"/>
      <c r="I2170" s="50" t="n"/>
      <c r="J2170" s="42" t="n"/>
      <c r="K2170" s="42" t="n"/>
      <c r="L2170" s="43">
        <f>IF($B2170="","",ROUND((N($J2170)+N($K2170))*نسبة_القيمة_المضافة,2))</f>
        <v/>
      </c>
      <c r="M2170" s="42" t="n"/>
      <c r="N2170" s="42" t="n"/>
      <c r="O2170" s="43">
        <f>IF($B2170="","",N($J2170)+N($K2170)+N($L2170)-N($M2170)+N($N2170))</f>
        <v/>
      </c>
      <c r="P2170" s="42" t="n"/>
      <c r="Q2170" s="43">
        <f>IF($B2170="","",N($O2170)-N($P2170))</f>
        <v/>
      </c>
      <c r="R2170" s="42" t="n"/>
      <c r="S2170" s="42" t="n"/>
      <c r="T2170" s="42" t="n"/>
      <c r="U2170" s="43">
        <f>IF($B2170="","",N($J2170)-N($R2170)-N($T2170))</f>
        <v/>
      </c>
      <c r="V2170" s="42" t="n"/>
    </row>
    <row r="2171">
      <c r="A2171" s="39">
        <f>IF($B2171="","",COUNTA($B$4:$B2171))</f>
        <v/>
      </c>
      <c r="B2171" s="45" t="n"/>
      <c r="C2171" s="46" t="n"/>
      <c r="D2171" s="46" t="n"/>
      <c r="E2171" s="46" t="n"/>
      <c r="F2171" s="46" t="n"/>
      <c r="G2171" s="46" t="n"/>
      <c r="H2171" s="46" t="n"/>
      <c r="I2171" s="51" t="n"/>
      <c r="J2171" s="47" t="n"/>
      <c r="K2171" s="47" t="n"/>
      <c r="L2171" s="43">
        <f>IF($B2171="","",ROUND((N($J2171)+N($K2171))*نسبة_القيمة_المضافة,2))</f>
        <v/>
      </c>
      <c r="M2171" s="47" t="n"/>
      <c r="N2171" s="47" t="n"/>
      <c r="O2171" s="43">
        <f>IF($B2171="","",N($J2171)+N($K2171)+N($L2171)-N($M2171)+N($N2171))</f>
        <v/>
      </c>
      <c r="P2171" s="47" t="n"/>
      <c r="Q2171" s="43">
        <f>IF($B2171="","",N($O2171)-N($P2171))</f>
        <v/>
      </c>
      <c r="R2171" s="47" t="n"/>
      <c r="S2171" s="47" t="n"/>
      <c r="T2171" s="47" t="n"/>
      <c r="U2171" s="43">
        <f>IF($B2171="","",N($J2171)-N($R2171)-N($T2171))</f>
        <v/>
      </c>
      <c r="V2171" s="47" t="n"/>
    </row>
    <row r="2172">
      <c r="A2172" s="39">
        <f>IF($B2172="","",COUNTA($B$4:$B2172))</f>
        <v/>
      </c>
      <c r="B2172" s="40" t="n"/>
      <c r="C2172" s="41" t="n"/>
      <c r="D2172" s="41" t="n"/>
      <c r="E2172" s="41" t="n"/>
      <c r="F2172" s="41" t="n"/>
      <c r="G2172" s="41" t="n"/>
      <c r="H2172" s="41" t="n"/>
      <c r="I2172" s="50" t="n"/>
      <c r="J2172" s="42" t="n"/>
      <c r="K2172" s="42" t="n"/>
      <c r="L2172" s="43">
        <f>IF($B2172="","",ROUND((N($J2172)+N($K2172))*نسبة_القيمة_المضافة,2))</f>
        <v/>
      </c>
      <c r="M2172" s="42" t="n"/>
      <c r="N2172" s="42" t="n"/>
      <c r="O2172" s="43">
        <f>IF($B2172="","",N($J2172)+N($K2172)+N($L2172)-N($M2172)+N($N2172))</f>
        <v/>
      </c>
      <c r="P2172" s="42" t="n"/>
      <c r="Q2172" s="43">
        <f>IF($B2172="","",N($O2172)-N($P2172))</f>
        <v/>
      </c>
      <c r="R2172" s="42" t="n"/>
      <c r="S2172" s="42" t="n"/>
      <c r="T2172" s="42" t="n"/>
      <c r="U2172" s="43">
        <f>IF($B2172="","",N($J2172)-N($R2172)-N($T2172))</f>
        <v/>
      </c>
      <c r="V2172" s="42" t="n"/>
    </row>
    <row r="2173">
      <c r="A2173" s="39">
        <f>IF($B2173="","",COUNTA($B$4:$B2173))</f>
        <v/>
      </c>
      <c r="B2173" s="45" t="n"/>
      <c r="C2173" s="46" t="n"/>
      <c r="D2173" s="46" t="n"/>
      <c r="E2173" s="46" t="n"/>
      <c r="F2173" s="46" t="n"/>
      <c r="G2173" s="46" t="n"/>
      <c r="H2173" s="46" t="n"/>
      <c r="I2173" s="51" t="n"/>
      <c r="J2173" s="47" t="n"/>
      <c r="K2173" s="47" t="n"/>
      <c r="L2173" s="43">
        <f>IF($B2173="","",ROUND((N($J2173)+N($K2173))*نسبة_القيمة_المضافة,2))</f>
        <v/>
      </c>
      <c r="M2173" s="47" t="n"/>
      <c r="N2173" s="47" t="n"/>
      <c r="O2173" s="43">
        <f>IF($B2173="","",N($J2173)+N($K2173)+N($L2173)-N($M2173)+N($N2173))</f>
        <v/>
      </c>
      <c r="P2173" s="47" t="n"/>
      <c r="Q2173" s="43">
        <f>IF($B2173="","",N($O2173)-N($P2173))</f>
        <v/>
      </c>
      <c r="R2173" s="47" t="n"/>
      <c r="S2173" s="47" t="n"/>
      <c r="T2173" s="47" t="n"/>
      <c r="U2173" s="43">
        <f>IF($B2173="","",N($J2173)-N($R2173)-N($T2173))</f>
        <v/>
      </c>
      <c r="V2173" s="47" t="n"/>
    </row>
    <row r="2174">
      <c r="A2174" s="39">
        <f>IF($B2174="","",COUNTA($B$4:$B2174))</f>
        <v/>
      </c>
      <c r="B2174" s="40" t="n"/>
      <c r="C2174" s="41" t="n"/>
      <c r="D2174" s="41" t="n"/>
      <c r="E2174" s="41" t="n"/>
      <c r="F2174" s="41" t="n"/>
      <c r="G2174" s="41" t="n"/>
      <c r="H2174" s="41" t="n"/>
      <c r="I2174" s="50" t="n"/>
      <c r="J2174" s="42" t="n"/>
      <c r="K2174" s="42" t="n"/>
      <c r="L2174" s="43">
        <f>IF($B2174="","",ROUND((N($J2174)+N($K2174))*نسبة_القيمة_المضافة,2))</f>
        <v/>
      </c>
      <c r="M2174" s="42" t="n"/>
      <c r="N2174" s="42" t="n"/>
      <c r="O2174" s="43">
        <f>IF($B2174="","",N($J2174)+N($K2174)+N($L2174)-N($M2174)+N($N2174))</f>
        <v/>
      </c>
      <c r="P2174" s="42" t="n"/>
      <c r="Q2174" s="43">
        <f>IF($B2174="","",N($O2174)-N($P2174))</f>
        <v/>
      </c>
      <c r="R2174" s="42" t="n"/>
      <c r="S2174" s="42" t="n"/>
      <c r="T2174" s="42" t="n"/>
      <c r="U2174" s="43">
        <f>IF($B2174="","",N($J2174)-N($R2174)-N($T2174))</f>
        <v/>
      </c>
      <c r="V2174" s="42" t="n"/>
    </row>
    <row r="2175">
      <c r="A2175" s="39">
        <f>IF($B2175="","",COUNTA($B$4:$B2175))</f>
        <v/>
      </c>
      <c r="B2175" s="45" t="n"/>
      <c r="C2175" s="46" t="n"/>
      <c r="D2175" s="46" t="n"/>
      <c r="E2175" s="46" t="n"/>
      <c r="F2175" s="46" t="n"/>
      <c r="G2175" s="46" t="n"/>
      <c r="H2175" s="46" t="n"/>
      <c r="I2175" s="51" t="n"/>
      <c r="J2175" s="47" t="n"/>
      <c r="K2175" s="47" t="n"/>
      <c r="L2175" s="43">
        <f>IF($B2175="","",ROUND((N($J2175)+N($K2175))*نسبة_القيمة_المضافة,2))</f>
        <v/>
      </c>
      <c r="M2175" s="47" t="n"/>
      <c r="N2175" s="47" t="n"/>
      <c r="O2175" s="43">
        <f>IF($B2175="","",N($J2175)+N($K2175)+N($L2175)-N($M2175)+N($N2175))</f>
        <v/>
      </c>
      <c r="P2175" s="47" t="n"/>
      <c r="Q2175" s="43">
        <f>IF($B2175="","",N($O2175)-N($P2175))</f>
        <v/>
      </c>
      <c r="R2175" s="47" t="n"/>
      <c r="S2175" s="47" t="n"/>
      <c r="T2175" s="47" t="n"/>
      <c r="U2175" s="43">
        <f>IF($B2175="","",N($J2175)-N($R2175)-N($T2175))</f>
        <v/>
      </c>
      <c r="V2175" s="47" t="n"/>
    </row>
    <row r="2176">
      <c r="A2176" s="39">
        <f>IF($B2176="","",COUNTA($B$4:$B2176))</f>
        <v/>
      </c>
      <c r="B2176" s="40" t="n"/>
      <c r="C2176" s="41" t="n"/>
      <c r="D2176" s="41" t="n"/>
      <c r="E2176" s="41" t="n"/>
      <c r="F2176" s="41" t="n"/>
      <c r="G2176" s="41" t="n"/>
      <c r="H2176" s="41" t="n"/>
      <c r="I2176" s="50" t="n"/>
      <c r="J2176" s="42" t="n"/>
      <c r="K2176" s="42" t="n"/>
      <c r="L2176" s="43">
        <f>IF($B2176="","",ROUND((N($J2176)+N($K2176))*نسبة_القيمة_المضافة,2))</f>
        <v/>
      </c>
      <c r="M2176" s="42" t="n"/>
      <c r="N2176" s="42" t="n"/>
      <c r="O2176" s="43">
        <f>IF($B2176="","",N($J2176)+N($K2176)+N($L2176)-N($M2176)+N($N2176))</f>
        <v/>
      </c>
      <c r="P2176" s="42" t="n"/>
      <c r="Q2176" s="43">
        <f>IF($B2176="","",N($O2176)-N($P2176))</f>
        <v/>
      </c>
      <c r="R2176" s="42" t="n"/>
      <c r="S2176" s="42" t="n"/>
      <c r="T2176" s="42" t="n"/>
      <c r="U2176" s="43">
        <f>IF($B2176="","",N($J2176)-N($R2176)-N($T2176))</f>
        <v/>
      </c>
      <c r="V2176" s="42" t="n"/>
    </row>
    <row r="2177">
      <c r="A2177" s="39">
        <f>IF($B2177="","",COUNTA($B$4:$B2177))</f>
        <v/>
      </c>
      <c r="B2177" s="45" t="n"/>
      <c r="C2177" s="46" t="n"/>
      <c r="D2177" s="46" t="n"/>
      <c r="E2177" s="46" t="n"/>
      <c r="F2177" s="46" t="n"/>
      <c r="G2177" s="46" t="n"/>
      <c r="H2177" s="46" t="n"/>
      <c r="I2177" s="51" t="n"/>
      <c r="J2177" s="47" t="n"/>
      <c r="K2177" s="47" t="n"/>
      <c r="L2177" s="43">
        <f>IF($B2177="","",ROUND((N($J2177)+N($K2177))*نسبة_القيمة_المضافة,2))</f>
        <v/>
      </c>
      <c r="M2177" s="47" t="n"/>
      <c r="N2177" s="47" t="n"/>
      <c r="O2177" s="43">
        <f>IF($B2177="","",N($J2177)+N($K2177)+N($L2177)-N($M2177)+N($N2177))</f>
        <v/>
      </c>
      <c r="P2177" s="47" t="n"/>
      <c r="Q2177" s="43">
        <f>IF($B2177="","",N($O2177)-N($P2177))</f>
        <v/>
      </c>
      <c r="R2177" s="47" t="n"/>
      <c r="S2177" s="47" t="n"/>
      <c r="T2177" s="47" t="n"/>
      <c r="U2177" s="43">
        <f>IF($B2177="","",N($J2177)-N($R2177)-N($T2177))</f>
        <v/>
      </c>
      <c r="V2177" s="47" t="n"/>
    </row>
    <row r="2178">
      <c r="A2178" s="39">
        <f>IF($B2178="","",COUNTA($B$4:$B2178))</f>
        <v/>
      </c>
      <c r="B2178" s="40" t="n"/>
      <c r="C2178" s="41" t="n"/>
      <c r="D2178" s="41" t="n"/>
      <c r="E2178" s="41" t="n"/>
      <c r="F2178" s="41" t="n"/>
      <c r="G2178" s="41" t="n"/>
      <c r="H2178" s="41" t="n"/>
      <c r="I2178" s="50" t="n"/>
      <c r="J2178" s="42" t="n"/>
      <c r="K2178" s="42" t="n"/>
      <c r="L2178" s="43">
        <f>IF($B2178="","",ROUND((N($J2178)+N($K2178))*نسبة_القيمة_المضافة,2))</f>
        <v/>
      </c>
      <c r="M2178" s="42" t="n"/>
      <c r="N2178" s="42" t="n"/>
      <c r="O2178" s="43">
        <f>IF($B2178="","",N($J2178)+N($K2178)+N($L2178)-N($M2178)+N($N2178))</f>
        <v/>
      </c>
      <c r="P2178" s="42" t="n"/>
      <c r="Q2178" s="43">
        <f>IF($B2178="","",N($O2178)-N($P2178))</f>
        <v/>
      </c>
      <c r="R2178" s="42" t="n"/>
      <c r="S2178" s="42" t="n"/>
      <c r="T2178" s="42" t="n"/>
      <c r="U2178" s="43">
        <f>IF($B2178="","",N($J2178)-N($R2178)-N($T2178))</f>
        <v/>
      </c>
      <c r="V2178" s="42" t="n"/>
    </row>
    <row r="2179">
      <c r="A2179" s="39">
        <f>IF($B2179="","",COUNTA($B$4:$B2179))</f>
        <v/>
      </c>
      <c r="B2179" s="45" t="n"/>
      <c r="C2179" s="46" t="n"/>
      <c r="D2179" s="46" t="n"/>
      <c r="E2179" s="46" t="n"/>
      <c r="F2179" s="46" t="n"/>
      <c r="G2179" s="46" t="n"/>
      <c r="H2179" s="46" t="n"/>
      <c r="I2179" s="51" t="n"/>
      <c r="J2179" s="47" t="n"/>
      <c r="K2179" s="47" t="n"/>
      <c r="L2179" s="43">
        <f>IF($B2179="","",ROUND((N($J2179)+N($K2179))*نسبة_القيمة_المضافة,2))</f>
        <v/>
      </c>
      <c r="M2179" s="47" t="n"/>
      <c r="N2179" s="47" t="n"/>
      <c r="O2179" s="43">
        <f>IF($B2179="","",N($J2179)+N($K2179)+N($L2179)-N($M2179)+N($N2179))</f>
        <v/>
      </c>
      <c r="P2179" s="47" t="n"/>
      <c r="Q2179" s="43">
        <f>IF($B2179="","",N($O2179)-N($P2179))</f>
        <v/>
      </c>
      <c r="R2179" s="47" t="n"/>
      <c r="S2179" s="47" t="n"/>
      <c r="T2179" s="47" t="n"/>
      <c r="U2179" s="43">
        <f>IF($B2179="","",N($J2179)-N($R2179)-N($T2179))</f>
        <v/>
      </c>
      <c r="V2179" s="47" t="n"/>
    </row>
    <row r="2180">
      <c r="A2180" s="39">
        <f>IF($B2180="","",COUNTA($B$4:$B2180))</f>
        <v/>
      </c>
      <c r="B2180" s="40" t="n"/>
      <c r="C2180" s="41" t="n"/>
      <c r="D2180" s="41" t="n"/>
      <c r="E2180" s="41" t="n"/>
      <c r="F2180" s="41" t="n"/>
      <c r="G2180" s="41" t="n"/>
      <c r="H2180" s="41" t="n"/>
      <c r="I2180" s="50" t="n"/>
      <c r="J2180" s="42" t="n"/>
      <c r="K2180" s="42" t="n"/>
      <c r="L2180" s="43">
        <f>IF($B2180="","",ROUND((N($J2180)+N($K2180))*نسبة_القيمة_المضافة,2))</f>
        <v/>
      </c>
      <c r="M2180" s="42" t="n"/>
      <c r="N2180" s="42" t="n"/>
      <c r="O2180" s="43">
        <f>IF($B2180="","",N($J2180)+N($K2180)+N($L2180)-N($M2180)+N($N2180))</f>
        <v/>
      </c>
      <c r="P2180" s="42" t="n"/>
      <c r="Q2180" s="43">
        <f>IF($B2180="","",N($O2180)-N($P2180))</f>
        <v/>
      </c>
      <c r="R2180" s="42" t="n"/>
      <c r="S2180" s="42" t="n"/>
      <c r="T2180" s="42" t="n"/>
      <c r="U2180" s="43">
        <f>IF($B2180="","",N($J2180)-N($R2180)-N($T2180))</f>
        <v/>
      </c>
      <c r="V2180" s="42" t="n"/>
    </row>
    <row r="2181">
      <c r="A2181" s="39">
        <f>IF($B2181="","",COUNTA($B$4:$B2181))</f>
        <v/>
      </c>
      <c r="B2181" s="45" t="n"/>
      <c r="C2181" s="46" t="n"/>
      <c r="D2181" s="46" t="n"/>
      <c r="E2181" s="46" t="n"/>
      <c r="F2181" s="46" t="n"/>
      <c r="G2181" s="46" t="n"/>
      <c r="H2181" s="46" t="n"/>
      <c r="I2181" s="51" t="n"/>
      <c r="J2181" s="47" t="n"/>
      <c r="K2181" s="47" t="n"/>
      <c r="L2181" s="43">
        <f>IF($B2181="","",ROUND((N($J2181)+N($K2181))*نسبة_القيمة_المضافة,2))</f>
        <v/>
      </c>
      <c r="M2181" s="47" t="n"/>
      <c r="N2181" s="47" t="n"/>
      <c r="O2181" s="43">
        <f>IF($B2181="","",N($J2181)+N($K2181)+N($L2181)-N($M2181)+N($N2181))</f>
        <v/>
      </c>
      <c r="P2181" s="47" t="n"/>
      <c r="Q2181" s="43">
        <f>IF($B2181="","",N($O2181)-N($P2181))</f>
        <v/>
      </c>
      <c r="R2181" s="47" t="n"/>
      <c r="S2181" s="47" t="n"/>
      <c r="T2181" s="47" t="n"/>
      <c r="U2181" s="43">
        <f>IF($B2181="","",N($J2181)-N($R2181)-N($T2181))</f>
        <v/>
      </c>
      <c r="V2181" s="47" t="n"/>
    </row>
    <row r="2182">
      <c r="A2182" s="39">
        <f>IF($B2182="","",COUNTA($B$4:$B2182))</f>
        <v/>
      </c>
      <c r="B2182" s="40" t="n"/>
      <c r="C2182" s="41" t="n"/>
      <c r="D2182" s="41" t="n"/>
      <c r="E2182" s="41" t="n"/>
      <c r="F2182" s="41" t="n"/>
      <c r="G2182" s="41" t="n"/>
      <c r="H2182" s="41" t="n"/>
      <c r="I2182" s="50" t="n"/>
      <c r="J2182" s="42" t="n"/>
      <c r="K2182" s="42" t="n"/>
      <c r="L2182" s="43">
        <f>IF($B2182="","",ROUND((N($J2182)+N($K2182))*نسبة_القيمة_المضافة,2))</f>
        <v/>
      </c>
      <c r="M2182" s="42" t="n"/>
      <c r="N2182" s="42" t="n"/>
      <c r="O2182" s="43">
        <f>IF($B2182="","",N($J2182)+N($K2182)+N($L2182)-N($M2182)+N($N2182))</f>
        <v/>
      </c>
      <c r="P2182" s="42" t="n"/>
      <c r="Q2182" s="43">
        <f>IF($B2182="","",N($O2182)-N($P2182))</f>
        <v/>
      </c>
      <c r="R2182" s="42" t="n"/>
      <c r="S2182" s="42" t="n"/>
      <c r="T2182" s="42" t="n"/>
      <c r="U2182" s="43">
        <f>IF($B2182="","",N($J2182)-N($R2182)-N($T2182))</f>
        <v/>
      </c>
      <c r="V2182" s="42" t="n"/>
    </row>
    <row r="2183">
      <c r="A2183" s="39">
        <f>IF($B2183="","",COUNTA($B$4:$B2183))</f>
        <v/>
      </c>
      <c r="B2183" s="45" t="n"/>
      <c r="C2183" s="46" t="n"/>
      <c r="D2183" s="46" t="n"/>
      <c r="E2183" s="46" t="n"/>
      <c r="F2183" s="46" t="n"/>
      <c r="G2183" s="46" t="n"/>
      <c r="H2183" s="46" t="n"/>
      <c r="I2183" s="51" t="n"/>
      <c r="J2183" s="47" t="n"/>
      <c r="K2183" s="47" t="n"/>
      <c r="L2183" s="43">
        <f>IF($B2183="","",ROUND((N($J2183)+N($K2183))*نسبة_القيمة_المضافة,2))</f>
        <v/>
      </c>
      <c r="M2183" s="47" t="n"/>
      <c r="N2183" s="47" t="n"/>
      <c r="O2183" s="43">
        <f>IF($B2183="","",N($J2183)+N($K2183)+N($L2183)-N($M2183)+N($N2183))</f>
        <v/>
      </c>
      <c r="P2183" s="47" t="n"/>
      <c r="Q2183" s="43">
        <f>IF($B2183="","",N($O2183)-N($P2183))</f>
        <v/>
      </c>
      <c r="R2183" s="47" t="n"/>
      <c r="S2183" s="47" t="n"/>
      <c r="T2183" s="47" t="n"/>
      <c r="U2183" s="43">
        <f>IF($B2183="","",N($J2183)-N($R2183)-N($T2183))</f>
        <v/>
      </c>
      <c r="V2183" s="47" t="n"/>
    </row>
    <row r="2184">
      <c r="A2184" s="39">
        <f>IF($B2184="","",COUNTA($B$4:$B2184))</f>
        <v/>
      </c>
      <c r="B2184" s="40" t="n"/>
      <c r="C2184" s="41" t="n"/>
      <c r="D2184" s="41" t="n"/>
      <c r="E2184" s="41" t="n"/>
      <c r="F2184" s="41" t="n"/>
      <c r="G2184" s="41" t="n"/>
      <c r="H2184" s="41" t="n"/>
      <c r="I2184" s="50" t="n"/>
      <c r="J2184" s="42" t="n"/>
      <c r="K2184" s="42" t="n"/>
      <c r="L2184" s="43">
        <f>IF($B2184="","",ROUND((N($J2184)+N($K2184))*نسبة_القيمة_المضافة,2))</f>
        <v/>
      </c>
      <c r="M2184" s="42" t="n"/>
      <c r="N2184" s="42" t="n"/>
      <c r="O2184" s="43">
        <f>IF($B2184="","",N($J2184)+N($K2184)+N($L2184)-N($M2184)+N($N2184))</f>
        <v/>
      </c>
      <c r="P2184" s="42" t="n"/>
      <c r="Q2184" s="43">
        <f>IF($B2184="","",N($O2184)-N($P2184))</f>
        <v/>
      </c>
      <c r="R2184" s="42" t="n"/>
      <c r="S2184" s="42" t="n"/>
      <c r="T2184" s="42" t="n"/>
      <c r="U2184" s="43">
        <f>IF($B2184="","",N($J2184)-N($R2184)-N($T2184))</f>
        <v/>
      </c>
      <c r="V2184" s="42" t="n"/>
    </row>
    <row r="2185">
      <c r="A2185" s="39">
        <f>IF($B2185="","",COUNTA($B$4:$B2185))</f>
        <v/>
      </c>
      <c r="B2185" s="45" t="n"/>
      <c r="C2185" s="46" t="n"/>
      <c r="D2185" s="46" t="n"/>
      <c r="E2185" s="46" t="n"/>
      <c r="F2185" s="46" t="n"/>
      <c r="G2185" s="46" t="n"/>
      <c r="H2185" s="46" t="n"/>
      <c r="I2185" s="51" t="n"/>
      <c r="J2185" s="47" t="n"/>
      <c r="K2185" s="47" t="n"/>
      <c r="L2185" s="43">
        <f>IF($B2185="","",ROUND((N($J2185)+N($K2185))*نسبة_القيمة_المضافة,2))</f>
        <v/>
      </c>
      <c r="M2185" s="47" t="n"/>
      <c r="N2185" s="47" t="n"/>
      <c r="O2185" s="43">
        <f>IF($B2185="","",N($J2185)+N($K2185)+N($L2185)-N($M2185)+N($N2185))</f>
        <v/>
      </c>
      <c r="P2185" s="47" t="n"/>
      <c r="Q2185" s="43">
        <f>IF($B2185="","",N($O2185)-N($P2185))</f>
        <v/>
      </c>
      <c r="R2185" s="47" t="n"/>
      <c r="S2185" s="47" t="n"/>
      <c r="T2185" s="47" t="n"/>
      <c r="U2185" s="43">
        <f>IF($B2185="","",N($J2185)-N($R2185)-N($T2185))</f>
        <v/>
      </c>
      <c r="V2185" s="47" t="n"/>
    </row>
    <row r="2186">
      <c r="A2186" s="39">
        <f>IF($B2186="","",COUNTA($B$4:$B2186))</f>
        <v/>
      </c>
      <c r="B2186" s="40" t="n"/>
      <c r="C2186" s="41" t="n"/>
      <c r="D2186" s="41" t="n"/>
      <c r="E2186" s="41" t="n"/>
      <c r="F2186" s="41" t="n"/>
      <c r="G2186" s="41" t="n"/>
      <c r="H2186" s="41" t="n"/>
      <c r="I2186" s="50" t="n"/>
      <c r="J2186" s="42" t="n"/>
      <c r="K2186" s="42" t="n"/>
      <c r="L2186" s="43">
        <f>IF($B2186="","",ROUND((N($J2186)+N($K2186))*نسبة_القيمة_المضافة,2))</f>
        <v/>
      </c>
      <c r="M2186" s="42" t="n"/>
      <c r="N2186" s="42" t="n"/>
      <c r="O2186" s="43">
        <f>IF($B2186="","",N($J2186)+N($K2186)+N($L2186)-N($M2186)+N($N2186))</f>
        <v/>
      </c>
      <c r="P2186" s="42" t="n"/>
      <c r="Q2186" s="43">
        <f>IF($B2186="","",N($O2186)-N($P2186))</f>
        <v/>
      </c>
      <c r="R2186" s="42" t="n"/>
      <c r="S2186" s="42" t="n"/>
      <c r="T2186" s="42" t="n"/>
      <c r="U2186" s="43">
        <f>IF($B2186="","",N($J2186)-N($R2186)-N($T2186))</f>
        <v/>
      </c>
      <c r="V2186" s="42" t="n"/>
    </row>
    <row r="2187">
      <c r="A2187" s="39">
        <f>IF($B2187="","",COUNTA($B$4:$B2187))</f>
        <v/>
      </c>
      <c r="B2187" s="45" t="n"/>
      <c r="C2187" s="46" t="n"/>
      <c r="D2187" s="46" t="n"/>
      <c r="E2187" s="46" t="n"/>
      <c r="F2187" s="46" t="n"/>
      <c r="G2187" s="46" t="n"/>
      <c r="H2187" s="46" t="n"/>
      <c r="I2187" s="51" t="n"/>
      <c r="J2187" s="47" t="n"/>
      <c r="K2187" s="47" t="n"/>
      <c r="L2187" s="43">
        <f>IF($B2187="","",ROUND((N($J2187)+N($K2187))*نسبة_القيمة_المضافة,2))</f>
        <v/>
      </c>
      <c r="M2187" s="47" t="n"/>
      <c r="N2187" s="47" t="n"/>
      <c r="O2187" s="43">
        <f>IF($B2187="","",N($J2187)+N($K2187)+N($L2187)-N($M2187)+N($N2187))</f>
        <v/>
      </c>
      <c r="P2187" s="47" t="n"/>
      <c r="Q2187" s="43">
        <f>IF($B2187="","",N($O2187)-N($P2187))</f>
        <v/>
      </c>
      <c r="R2187" s="47" t="n"/>
      <c r="S2187" s="47" t="n"/>
      <c r="T2187" s="47" t="n"/>
      <c r="U2187" s="43">
        <f>IF($B2187="","",N($J2187)-N($R2187)-N($T2187))</f>
        <v/>
      </c>
      <c r="V2187" s="47" t="n"/>
    </row>
    <row r="2188">
      <c r="A2188" s="39">
        <f>IF($B2188="","",COUNTA($B$4:$B2188))</f>
        <v/>
      </c>
      <c r="B2188" s="40" t="n"/>
      <c r="C2188" s="41" t="n"/>
      <c r="D2188" s="41" t="n"/>
      <c r="E2188" s="41" t="n"/>
      <c r="F2188" s="41" t="n"/>
      <c r="G2188" s="41" t="n"/>
      <c r="H2188" s="41" t="n"/>
      <c r="I2188" s="50" t="n"/>
      <c r="J2188" s="42" t="n"/>
      <c r="K2188" s="42" t="n"/>
      <c r="L2188" s="43">
        <f>IF($B2188="","",ROUND((N($J2188)+N($K2188))*نسبة_القيمة_المضافة,2))</f>
        <v/>
      </c>
      <c r="M2188" s="42" t="n"/>
      <c r="N2188" s="42" t="n"/>
      <c r="O2188" s="43">
        <f>IF($B2188="","",N($J2188)+N($K2188)+N($L2188)-N($M2188)+N($N2188))</f>
        <v/>
      </c>
      <c r="P2188" s="42" t="n"/>
      <c r="Q2188" s="43">
        <f>IF($B2188="","",N($O2188)-N($P2188))</f>
        <v/>
      </c>
      <c r="R2188" s="42" t="n"/>
      <c r="S2188" s="42" t="n"/>
      <c r="T2188" s="42" t="n"/>
      <c r="U2188" s="43">
        <f>IF($B2188="","",N($J2188)-N($R2188)-N($T2188))</f>
        <v/>
      </c>
      <c r="V2188" s="42" t="n"/>
    </row>
    <row r="2189">
      <c r="A2189" s="39">
        <f>IF($B2189="","",COUNTA($B$4:$B2189))</f>
        <v/>
      </c>
      <c r="B2189" s="45" t="n"/>
      <c r="C2189" s="46" t="n"/>
      <c r="D2189" s="46" t="n"/>
      <c r="E2189" s="46" t="n"/>
      <c r="F2189" s="46" t="n"/>
      <c r="G2189" s="46" t="n"/>
      <c r="H2189" s="46" t="n"/>
      <c r="I2189" s="51" t="n"/>
      <c r="J2189" s="47" t="n"/>
      <c r="K2189" s="47" t="n"/>
      <c r="L2189" s="43">
        <f>IF($B2189="","",ROUND((N($J2189)+N($K2189))*نسبة_القيمة_المضافة,2))</f>
        <v/>
      </c>
      <c r="M2189" s="47" t="n"/>
      <c r="N2189" s="47" t="n"/>
      <c r="O2189" s="43">
        <f>IF($B2189="","",N($J2189)+N($K2189)+N($L2189)-N($M2189)+N($N2189))</f>
        <v/>
      </c>
      <c r="P2189" s="47" t="n"/>
      <c r="Q2189" s="43">
        <f>IF($B2189="","",N($O2189)-N($P2189))</f>
        <v/>
      </c>
      <c r="R2189" s="47" t="n"/>
      <c r="S2189" s="47" t="n"/>
      <c r="T2189" s="47" t="n"/>
      <c r="U2189" s="43">
        <f>IF($B2189="","",N($J2189)-N($R2189)-N($T2189))</f>
        <v/>
      </c>
      <c r="V2189" s="47" t="n"/>
    </row>
    <row r="2190">
      <c r="A2190" s="39">
        <f>IF($B2190="","",COUNTA($B$4:$B2190))</f>
        <v/>
      </c>
      <c r="B2190" s="40" t="n"/>
      <c r="C2190" s="41" t="n"/>
      <c r="D2190" s="41" t="n"/>
      <c r="E2190" s="41" t="n"/>
      <c r="F2190" s="41" t="n"/>
      <c r="G2190" s="41" t="n"/>
      <c r="H2190" s="41" t="n"/>
      <c r="I2190" s="50" t="n"/>
      <c r="J2190" s="42" t="n"/>
      <c r="K2190" s="42" t="n"/>
      <c r="L2190" s="43">
        <f>IF($B2190="","",ROUND((N($J2190)+N($K2190))*نسبة_القيمة_المضافة,2))</f>
        <v/>
      </c>
      <c r="M2190" s="42" t="n"/>
      <c r="N2190" s="42" t="n"/>
      <c r="O2190" s="43">
        <f>IF($B2190="","",N($J2190)+N($K2190)+N($L2190)-N($M2190)+N($N2190))</f>
        <v/>
      </c>
      <c r="P2190" s="42" t="n"/>
      <c r="Q2190" s="43">
        <f>IF($B2190="","",N($O2190)-N($P2190))</f>
        <v/>
      </c>
      <c r="R2190" s="42" t="n"/>
      <c r="S2190" s="42" t="n"/>
      <c r="T2190" s="42" t="n"/>
      <c r="U2190" s="43">
        <f>IF($B2190="","",N($J2190)-N($R2190)-N($T2190))</f>
        <v/>
      </c>
      <c r="V2190" s="42" t="n"/>
    </row>
    <row r="2191">
      <c r="A2191" s="39">
        <f>IF($B2191="","",COUNTA($B$4:$B2191))</f>
        <v/>
      </c>
      <c r="B2191" s="45" t="n"/>
      <c r="C2191" s="46" t="n"/>
      <c r="D2191" s="46" t="n"/>
      <c r="E2191" s="46" t="n"/>
      <c r="F2191" s="46" t="n"/>
      <c r="G2191" s="46" t="n"/>
      <c r="H2191" s="46" t="n"/>
      <c r="I2191" s="51" t="n"/>
      <c r="J2191" s="47" t="n"/>
      <c r="K2191" s="47" t="n"/>
      <c r="L2191" s="43">
        <f>IF($B2191="","",ROUND((N($J2191)+N($K2191))*نسبة_القيمة_المضافة,2))</f>
        <v/>
      </c>
      <c r="M2191" s="47" t="n"/>
      <c r="N2191" s="47" t="n"/>
      <c r="O2191" s="43">
        <f>IF($B2191="","",N($J2191)+N($K2191)+N($L2191)-N($M2191)+N($N2191))</f>
        <v/>
      </c>
      <c r="P2191" s="47" t="n"/>
      <c r="Q2191" s="43">
        <f>IF($B2191="","",N($O2191)-N($P2191))</f>
        <v/>
      </c>
      <c r="R2191" s="47" t="n"/>
      <c r="S2191" s="47" t="n"/>
      <c r="T2191" s="47" t="n"/>
      <c r="U2191" s="43">
        <f>IF($B2191="","",N($J2191)-N($R2191)-N($T2191))</f>
        <v/>
      </c>
      <c r="V2191" s="47" t="n"/>
    </row>
    <row r="2192">
      <c r="A2192" s="39">
        <f>IF($B2192="","",COUNTA($B$4:$B2192))</f>
        <v/>
      </c>
      <c r="B2192" s="40" t="n"/>
      <c r="C2192" s="41" t="n"/>
      <c r="D2192" s="41" t="n"/>
      <c r="E2192" s="41" t="n"/>
      <c r="F2192" s="41" t="n"/>
      <c r="G2192" s="41" t="n"/>
      <c r="H2192" s="41" t="n"/>
      <c r="I2192" s="50" t="n"/>
      <c r="J2192" s="42" t="n"/>
      <c r="K2192" s="42" t="n"/>
      <c r="L2192" s="43">
        <f>IF($B2192="","",ROUND((N($J2192)+N($K2192))*نسبة_القيمة_المضافة,2))</f>
        <v/>
      </c>
      <c r="M2192" s="42" t="n"/>
      <c r="N2192" s="42" t="n"/>
      <c r="O2192" s="43">
        <f>IF($B2192="","",N($J2192)+N($K2192)+N($L2192)-N($M2192)+N($N2192))</f>
        <v/>
      </c>
      <c r="P2192" s="42" t="n"/>
      <c r="Q2192" s="43">
        <f>IF($B2192="","",N($O2192)-N($P2192))</f>
        <v/>
      </c>
      <c r="R2192" s="42" t="n"/>
      <c r="S2192" s="42" t="n"/>
      <c r="T2192" s="42" t="n"/>
      <c r="U2192" s="43">
        <f>IF($B2192="","",N($J2192)-N($R2192)-N($T2192))</f>
        <v/>
      </c>
      <c r="V2192" s="42" t="n"/>
    </row>
    <row r="2193">
      <c r="A2193" s="39">
        <f>IF($B2193="","",COUNTA($B$4:$B2193))</f>
        <v/>
      </c>
      <c r="B2193" s="45" t="n"/>
      <c r="C2193" s="46" t="n"/>
      <c r="D2193" s="46" t="n"/>
      <c r="E2193" s="46" t="n"/>
      <c r="F2193" s="46" t="n"/>
      <c r="G2193" s="46" t="n"/>
      <c r="H2193" s="46" t="n"/>
      <c r="I2193" s="51" t="n"/>
      <c r="J2193" s="47" t="n"/>
      <c r="K2193" s="47" t="n"/>
      <c r="L2193" s="43">
        <f>IF($B2193="","",ROUND((N($J2193)+N($K2193))*نسبة_القيمة_المضافة,2))</f>
        <v/>
      </c>
      <c r="M2193" s="47" t="n"/>
      <c r="N2193" s="47" t="n"/>
      <c r="O2193" s="43">
        <f>IF($B2193="","",N($J2193)+N($K2193)+N($L2193)-N($M2193)+N($N2193))</f>
        <v/>
      </c>
      <c r="P2193" s="47" t="n"/>
      <c r="Q2193" s="43">
        <f>IF($B2193="","",N($O2193)-N($P2193))</f>
        <v/>
      </c>
      <c r="R2193" s="47" t="n"/>
      <c r="S2193" s="47" t="n"/>
      <c r="T2193" s="47" t="n"/>
      <c r="U2193" s="43">
        <f>IF($B2193="","",N($J2193)-N($R2193)-N($T2193))</f>
        <v/>
      </c>
      <c r="V2193" s="47" t="n"/>
    </row>
    <row r="2194">
      <c r="A2194" s="39">
        <f>IF($B2194="","",COUNTA($B$4:$B2194))</f>
        <v/>
      </c>
      <c r="B2194" s="40" t="n"/>
      <c r="C2194" s="41" t="n"/>
      <c r="D2194" s="41" t="n"/>
      <c r="E2194" s="41" t="n"/>
      <c r="F2194" s="41" t="n"/>
      <c r="G2194" s="41" t="n"/>
      <c r="H2194" s="41" t="n"/>
      <c r="I2194" s="50" t="n"/>
      <c r="J2194" s="42" t="n"/>
      <c r="K2194" s="42" t="n"/>
      <c r="L2194" s="43">
        <f>IF($B2194="","",ROUND((N($J2194)+N($K2194))*نسبة_القيمة_المضافة,2))</f>
        <v/>
      </c>
      <c r="M2194" s="42" t="n"/>
      <c r="N2194" s="42" t="n"/>
      <c r="O2194" s="43">
        <f>IF($B2194="","",N($J2194)+N($K2194)+N($L2194)-N($M2194)+N($N2194))</f>
        <v/>
      </c>
      <c r="P2194" s="42" t="n"/>
      <c r="Q2194" s="43">
        <f>IF($B2194="","",N($O2194)-N($P2194))</f>
        <v/>
      </c>
      <c r="R2194" s="42" t="n"/>
      <c r="S2194" s="42" t="n"/>
      <c r="T2194" s="42" t="n"/>
      <c r="U2194" s="43">
        <f>IF($B2194="","",N($J2194)-N($R2194)-N($T2194))</f>
        <v/>
      </c>
      <c r="V2194" s="42" t="n"/>
    </row>
    <row r="2195">
      <c r="A2195" s="39">
        <f>IF($B2195="","",COUNTA($B$4:$B2195))</f>
        <v/>
      </c>
      <c r="B2195" s="45" t="n"/>
      <c r="C2195" s="46" t="n"/>
      <c r="D2195" s="46" t="n"/>
      <c r="E2195" s="46" t="n"/>
      <c r="F2195" s="46" t="n"/>
      <c r="G2195" s="46" t="n"/>
      <c r="H2195" s="46" t="n"/>
      <c r="I2195" s="51" t="n"/>
      <c r="J2195" s="47" t="n"/>
      <c r="K2195" s="47" t="n"/>
      <c r="L2195" s="43">
        <f>IF($B2195="","",ROUND((N($J2195)+N($K2195))*نسبة_القيمة_المضافة,2))</f>
        <v/>
      </c>
      <c r="M2195" s="47" t="n"/>
      <c r="N2195" s="47" t="n"/>
      <c r="O2195" s="43">
        <f>IF($B2195="","",N($J2195)+N($K2195)+N($L2195)-N($M2195)+N($N2195))</f>
        <v/>
      </c>
      <c r="P2195" s="47" t="n"/>
      <c r="Q2195" s="43">
        <f>IF($B2195="","",N($O2195)-N($P2195))</f>
        <v/>
      </c>
      <c r="R2195" s="47" t="n"/>
      <c r="S2195" s="47" t="n"/>
      <c r="T2195" s="47" t="n"/>
      <c r="U2195" s="43">
        <f>IF($B2195="","",N($J2195)-N($R2195)-N($T2195))</f>
        <v/>
      </c>
      <c r="V2195" s="47" t="n"/>
    </row>
    <row r="2196">
      <c r="A2196" s="39">
        <f>IF($B2196="","",COUNTA($B$4:$B2196))</f>
        <v/>
      </c>
      <c r="B2196" s="40" t="n"/>
      <c r="C2196" s="41" t="n"/>
      <c r="D2196" s="41" t="n"/>
      <c r="E2196" s="41" t="n"/>
      <c r="F2196" s="41" t="n"/>
      <c r="G2196" s="41" t="n"/>
      <c r="H2196" s="41" t="n"/>
      <c r="I2196" s="50" t="n"/>
      <c r="J2196" s="42" t="n"/>
      <c r="K2196" s="42" t="n"/>
      <c r="L2196" s="43">
        <f>IF($B2196="","",ROUND((N($J2196)+N($K2196))*نسبة_القيمة_المضافة,2))</f>
        <v/>
      </c>
      <c r="M2196" s="42" t="n"/>
      <c r="N2196" s="42" t="n"/>
      <c r="O2196" s="43">
        <f>IF($B2196="","",N($J2196)+N($K2196)+N($L2196)-N($M2196)+N($N2196))</f>
        <v/>
      </c>
      <c r="P2196" s="42" t="n"/>
      <c r="Q2196" s="43">
        <f>IF($B2196="","",N($O2196)-N($P2196))</f>
        <v/>
      </c>
      <c r="R2196" s="42" t="n"/>
      <c r="S2196" s="42" t="n"/>
      <c r="T2196" s="42" t="n"/>
      <c r="U2196" s="43">
        <f>IF($B2196="","",N($J2196)-N($R2196)-N($T2196))</f>
        <v/>
      </c>
      <c r="V2196" s="42" t="n"/>
    </row>
    <row r="2197">
      <c r="A2197" s="39">
        <f>IF($B2197="","",COUNTA($B$4:$B2197))</f>
        <v/>
      </c>
      <c r="B2197" s="45" t="n"/>
      <c r="C2197" s="46" t="n"/>
      <c r="D2197" s="46" t="n"/>
      <c r="E2197" s="46" t="n"/>
      <c r="F2197" s="46" t="n"/>
      <c r="G2197" s="46" t="n"/>
      <c r="H2197" s="46" t="n"/>
      <c r="I2197" s="51" t="n"/>
      <c r="J2197" s="47" t="n"/>
      <c r="K2197" s="47" t="n"/>
      <c r="L2197" s="43">
        <f>IF($B2197="","",ROUND((N($J2197)+N($K2197))*نسبة_القيمة_المضافة,2))</f>
        <v/>
      </c>
      <c r="M2197" s="47" t="n"/>
      <c r="N2197" s="47" t="n"/>
      <c r="O2197" s="43">
        <f>IF($B2197="","",N($J2197)+N($K2197)+N($L2197)-N($M2197)+N($N2197))</f>
        <v/>
      </c>
      <c r="P2197" s="47" t="n"/>
      <c r="Q2197" s="43">
        <f>IF($B2197="","",N($O2197)-N($P2197))</f>
        <v/>
      </c>
      <c r="R2197" s="47" t="n"/>
      <c r="S2197" s="47" t="n"/>
      <c r="T2197" s="47" t="n"/>
      <c r="U2197" s="43">
        <f>IF($B2197="","",N($J2197)-N($R2197)-N($T2197))</f>
        <v/>
      </c>
      <c r="V2197" s="47" t="n"/>
    </row>
    <row r="2198">
      <c r="A2198" s="39">
        <f>IF($B2198="","",COUNTA($B$4:$B2198))</f>
        <v/>
      </c>
      <c r="B2198" s="40" t="n"/>
      <c r="C2198" s="41" t="n"/>
      <c r="D2198" s="41" t="n"/>
      <c r="E2198" s="41" t="n"/>
      <c r="F2198" s="41" t="n"/>
      <c r="G2198" s="41" t="n"/>
      <c r="H2198" s="41" t="n"/>
      <c r="I2198" s="50" t="n"/>
      <c r="J2198" s="42" t="n"/>
      <c r="K2198" s="42" t="n"/>
      <c r="L2198" s="43">
        <f>IF($B2198="","",ROUND((N($J2198)+N($K2198))*نسبة_القيمة_المضافة,2))</f>
        <v/>
      </c>
      <c r="M2198" s="42" t="n"/>
      <c r="N2198" s="42" t="n"/>
      <c r="O2198" s="43">
        <f>IF($B2198="","",N($J2198)+N($K2198)+N($L2198)-N($M2198)+N($N2198))</f>
        <v/>
      </c>
      <c r="P2198" s="42" t="n"/>
      <c r="Q2198" s="43">
        <f>IF($B2198="","",N($O2198)-N($P2198))</f>
        <v/>
      </c>
      <c r="R2198" s="42" t="n"/>
      <c r="S2198" s="42" t="n"/>
      <c r="T2198" s="42" t="n"/>
      <c r="U2198" s="43">
        <f>IF($B2198="","",N($J2198)-N($R2198)-N($T2198))</f>
        <v/>
      </c>
      <c r="V2198" s="42" t="n"/>
    </row>
    <row r="2199">
      <c r="A2199" s="39">
        <f>IF($B2199="","",COUNTA($B$4:$B2199))</f>
        <v/>
      </c>
      <c r="B2199" s="45" t="n"/>
      <c r="C2199" s="46" t="n"/>
      <c r="D2199" s="46" t="n"/>
      <c r="E2199" s="46" t="n"/>
      <c r="F2199" s="46" t="n"/>
      <c r="G2199" s="46" t="n"/>
      <c r="H2199" s="46" t="n"/>
      <c r="I2199" s="51" t="n"/>
      <c r="J2199" s="47" t="n"/>
      <c r="K2199" s="47" t="n"/>
      <c r="L2199" s="43">
        <f>IF($B2199="","",ROUND((N($J2199)+N($K2199))*نسبة_القيمة_المضافة,2))</f>
        <v/>
      </c>
      <c r="M2199" s="47" t="n"/>
      <c r="N2199" s="47" t="n"/>
      <c r="O2199" s="43">
        <f>IF($B2199="","",N($J2199)+N($K2199)+N($L2199)-N($M2199)+N($N2199))</f>
        <v/>
      </c>
      <c r="P2199" s="47" t="n"/>
      <c r="Q2199" s="43">
        <f>IF($B2199="","",N($O2199)-N($P2199))</f>
        <v/>
      </c>
      <c r="R2199" s="47" t="n"/>
      <c r="S2199" s="47" t="n"/>
      <c r="T2199" s="47" t="n"/>
      <c r="U2199" s="43">
        <f>IF($B2199="","",N($J2199)-N($R2199)-N($T2199))</f>
        <v/>
      </c>
      <c r="V2199" s="47" t="n"/>
    </row>
    <row r="2200">
      <c r="A2200" s="39">
        <f>IF($B2200="","",COUNTA($B$4:$B2200))</f>
        <v/>
      </c>
      <c r="B2200" s="40" t="n"/>
      <c r="C2200" s="41" t="n"/>
      <c r="D2200" s="41" t="n"/>
      <c r="E2200" s="41" t="n"/>
      <c r="F2200" s="41" t="n"/>
      <c r="G2200" s="41" t="n"/>
      <c r="H2200" s="41" t="n"/>
      <c r="I2200" s="50" t="n"/>
      <c r="J2200" s="42" t="n"/>
      <c r="K2200" s="42" t="n"/>
      <c r="L2200" s="43">
        <f>IF($B2200="","",ROUND((N($J2200)+N($K2200))*نسبة_القيمة_المضافة,2))</f>
        <v/>
      </c>
      <c r="M2200" s="42" t="n"/>
      <c r="N2200" s="42" t="n"/>
      <c r="O2200" s="43">
        <f>IF($B2200="","",N($J2200)+N($K2200)+N($L2200)-N($M2200)+N($N2200))</f>
        <v/>
      </c>
      <c r="P2200" s="42" t="n"/>
      <c r="Q2200" s="43">
        <f>IF($B2200="","",N($O2200)-N($P2200))</f>
        <v/>
      </c>
      <c r="R2200" s="42" t="n"/>
      <c r="S2200" s="42" t="n"/>
      <c r="T2200" s="42" t="n"/>
      <c r="U2200" s="43">
        <f>IF($B2200="","",N($J2200)-N($R2200)-N($T2200))</f>
        <v/>
      </c>
      <c r="V2200" s="42" t="n"/>
    </row>
    <row r="2201">
      <c r="A2201" s="39">
        <f>IF($B2201="","",COUNTA($B$4:$B2201))</f>
        <v/>
      </c>
      <c r="B2201" s="45" t="n"/>
      <c r="C2201" s="46" t="n"/>
      <c r="D2201" s="46" t="n"/>
      <c r="E2201" s="46" t="n"/>
      <c r="F2201" s="46" t="n"/>
      <c r="G2201" s="46" t="n"/>
      <c r="H2201" s="46" t="n"/>
      <c r="I2201" s="51" t="n"/>
      <c r="J2201" s="47" t="n"/>
      <c r="K2201" s="47" t="n"/>
      <c r="L2201" s="43">
        <f>IF($B2201="","",ROUND((N($J2201)+N($K2201))*نسبة_القيمة_المضافة,2))</f>
        <v/>
      </c>
      <c r="M2201" s="47" t="n"/>
      <c r="N2201" s="47" t="n"/>
      <c r="O2201" s="43">
        <f>IF($B2201="","",N($J2201)+N($K2201)+N($L2201)-N($M2201)+N($N2201))</f>
        <v/>
      </c>
      <c r="P2201" s="47" t="n"/>
      <c r="Q2201" s="43">
        <f>IF($B2201="","",N($O2201)-N($P2201))</f>
        <v/>
      </c>
      <c r="R2201" s="47" t="n"/>
      <c r="S2201" s="47" t="n"/>
      <c r="T2201" s="47" t="n"/>
      <c r="U2201" s="43">
        <f>IF($B2201="","",N($J2201)-N($R2201)-N($T2201))</f>
        <v/>
      </c>
      <c r="V2201" s="47" t="n"/>
    </row>
    <row r="2202">
      <c r="A2202" s="39">
        <f>IF($B2202="","",COUNTA($B$4:$B2202))</f>
        <v/>
      </c>
      <c r="B2202" s="40" t="n"/>
      <c r="C2202" s="41" t="n"/>
      <c r="D2202" s="41" t="n"/>
      <c r="E2202" s="41" t="n"/>
      <c r="F2202" s="41" t="n"/>
      <c r="G2202" s="41" t="n"/>
      <c r="H2202" s="41" t="n"/>
      <c r="I2202" s="50" t="n"/>
      <c r="J2202" s="42" t="n"/>
      <c r="K2202" s="42" t="n"/>
      <c r="L2202" s="43">
        <f>IF($B2202="","",ROUND((N($J2202)+N($K2202))*نسبة_القيمة_المضافة,2))</f>
        <v/>
      </c>
      <c r="M2202" s="42" t="n"/>
      <c r="N2202" s="42" t="n"/>
      <c r="O2202" s="43">
        <f>IF($B2202="","",N($J2202)+N($K2202)+N($L2202)-N($M2202)+N($N2202))</f>
        <v/>
      </c>
      <c r="P2202" s="42" t="n"/>
      <c r="Q2202" s="43">
        <f>IF($B2202="","",N($O2202)-N($P2202))</f>
        <v/>
      </c>
      <c r="R2202" s="42" t="n"/>
      <c r="S2202" s="42" t="n"/>
      <c r="T2202" s="42" t="n"/>
      <c r="U2202" s="43">
        <f>IF($B2202="","",N($J2202)-N($R2202)-N($T2202))</f>
        <v/>
      </c>
      <c r="V2202" s="42" t="n"/>
    </row>
    <row r="2203">
      <c r="A2203" s="39">
        <f>IF($B2203="","",COUNTA($B$4:$B2203))</f>
        <v/>
      </c>
      <c r="B2203" s="45" t="n"/>
      <c r="C2203" s="46" t="n"/>
      <c r="D2203" s="46" t="n"/>
      <c r="E2203" s="46" t="n"/>
      <c r="F2203" s="46" t="n"/>
      <c r="G2203" s="46" t="n"/>
      <c r="H2203" s="46" t="n"/>
      <c r="I2203" s="51" t="n"/>
      <c r="J2203" s="47" t="n"/>
      <c r="K2203" s="47" t="n"/>
      <c r="L2203" s="43">
        <f>IF($B2203="","",ROUND((N($J2203)+N($K2203))*نسبة_القيمة_المضافة,2))</f>
        <v/>
      </c>
      <c r="M2203" s="47" t="n"/>
      <c r="N2203" s="47" t="n"/>
      <c r="O2203" s="43">
        <f>IF($B2203="","",N($J2203)+N($K2203)+N($L2203)-N($M2203)+N($N2203))</f>
        <v/>
      </c>
      <c r="P2203" s="47" t="n"/>
      <c r="Q2203" s="43">
        <f>IF($B2203="","",N($O2203)-N($P2203))</f>
        <v/>
      </c>
      <c r="R2203" s="47" t="n"/>
      <c r="S2203" s="47" t="n"/>
      <c r="T2203" s="47" t="n"/>
      <c r="U2203" s="43">
        <f>IF($B2203="","",N($J2203)-N($R2203)-N($T2203))</f>
        <v/>
      </c>
      <c r="V2203" s="47" t="n"/>
    </row>
    <row r="2204" ht="22" customHeight="1">
      <c r="A2204" s="48" t="n"/>
      <c r="B2204" s="48" t="inlineStr">
        <is>
          <t>الإجماليات</t>
        </is>
      </c>
      <c r="C2204" s="48" t="n"/>
      <c r="D2204" s="48" t="n"/>
      <c r="E2204" s="48" t="n"/>
      <c r="F2204" s="48" t="n"/>
      <c r="G2204" s="48" t="n"/>
      <c r="H2204" s="48" t="n"/>
      <c r="I2204" s="52">
        <f>SUM($I$4:$I$2203)</f>
        <v/>
      </c>
      <c r="J2204" s="49">
        <f>SUM($J$4:$J$2203)</f>
        <v/>
      </c>
      <c r="K2204" s="49">
        <f>SUM($K$4:$K$2203)</f>
        <v/>
      </c>
      <c r="L2204" s="49">
        <f>SUM($L$4:$L$2203)</f>
        <v/>
      </c>
      <c r="M2204" s="49">
        <f>SUM($M$4:$M$2203)</f>
        <v/>
      </c>
      <c r="N2204" s="49">
        <f>SUM($N$4:$N$2203)</f>
        <v/>
      </c>
      <c r="O2204" s="49">
        <f>SUM($O$4:$O$2203)</f>
        <v/>
      </c>
      <c r="P2204" s="49">
        <f>SUM($P$4:$P$2203)</f>
        <v/>
      </c>
      <c r="Q2204" s="49">
        <f>SUM($Q$4:$Q$2203)</f>
        <v/>
      </c>
      <c r="R2204" s="49">
        <f>SUM($R$4:$R$2203)</f>
        <v/>
      </c>
      <c r="S2204" s="49">
        <f>SUM($S$4:$S$2203)</f>
        <v/>
      </c>
      <c r="T2204" s="49">
        <f>SUM($T$4:$T$2203)</f>
        <v/>
      </c>
      <c r="U2204" s="49">
        <f>SUM($U$4:$U$2203)</f>
        <v/>
      </c>
      <c r="V2204" s="49">
        <f>SUM($V$4:$V$2203)</f>
        <v/>
      </c>
    </row>
  </sheetData>
  <autoFilter ref="A3:V2203"/>
  <mergeCells count="2">
    <mergeCell ref="A2:V2"/>
    <mergeCell ref="A1:V1"/>
  </mergeCells>
  <conditionalFormatting sqref="Q4:Q2203">
    <cfRule type="cellIs" priority="1" operator="greaterThan" dxfId="2">
      <formula>0</formula>
    </cfRule>
  </conditionalFormatting>
  <conditionalFormatting sqref="U4:U2203">
    <cfRule type="cellIs" priority="2" operator="lessThan" dxfId="0">
      <formula>0</formula>
    </cfRule>
  </conditionalFormatting>
  <dataValidations count="3">
    <dataValidation sqref="F4:F2203" showDropDown="0" showInputMessage="0" showErrorMessage="0" allowBlank="1" errorTitle="قيمة غير موجودة" error="اختر من القائمة أو أضف العنصر في صفحة الإعدادات" prompt="اختر من القائمة" type="list">
      <formula1>='الإعدادات'!$I$4:$I$203</formula1>
    </dataValidation>
    <dataValidation sqref="G4:G2203" showDropDown="0" showInputMessage="0" showErrorMessage="0" allowBlank="1" errorTitle="قيمة غير موجودة" error="اختر من القائمة أو أضف العنصر في صفحة الإعدادات" prompt="اختر من القائمة" type="list">
      <formula1>='الإعدادات'!$E$4:$E$203</formula1>
    </dataValidation>
    <dataValidation sqref="H4:H2203" showDropDown="0" showInputMessage="0" showErrorMessage="0" allowBlank="1" errorTitle="قيمة غير موجودة" error="اختر من القائمة أو أضف العنصر في صفحة الإعدادات" prompt="اختر من القائمة" type="list">
      <formula1>='الإعدادات'!$F$4:$F$203</formula1>
    </dataValidation>
  </dataValidations>
  <printOptions horizontalCentered="1"/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14746F"/>
    <outlinePr summaryBelow="1" summaryRight="1"/>
    <pageSetUpPr/>
  </sheetPr>
  <dimension ref="A1:G205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18" customWidth="1" min="3" max="3"/>
    <col width="3" customWidth="1" min="4" max="4"/>
    <col width="28" customWidth="1" min="5" max="5"/>
    <col width="18" customWidth="1" min="6" max="6"/>
    <col width="4" customWidth="1" min="7" max="7"/>
  </cols>
  <sheetData>
    <row r="1" ht="34" customHeight="1">
      <c r="A1" s="1" t="inlineStr">
        <is>
          <t>شركة المتوكل  —  أرصدة العملاء والموردين</t>
        </is>
      </c>
    </row>
    <row r="2" ht="20" customHeight="1">
      <c r="A2" s="3" t="inlineStr">
        <is>
          <t>كشف حساب العملاء والموردين — المنقول من النظام القديم</t>
        </is>
      </c>
    </row>
    <row r="3" ht="26" customHeight="1">
      <c r="B3" s="53" t="inlineStr">
        <is>
          <t>العميل</t>
        </is>
      </c>
      <c r="C3" s="54" t="inlineStr">
        <is>
          <t>الرصيد (له)</t>
        </is>
      </c>
      <c r="E3" s="53" t="inlineStr">
        <is>
          <t>المورد</t>
        </is>
      </c>
      <c r="F3" s="55" t="inlineStr">
        <is>
          <t>الرصيد (عليه)</t>
        </is>
      </c>
    </row>
    <row r="4">
      <c r="B4" s="41" t="inlineStr">
        <is>
          <t>فاطمة</t>
        </is>
      </c>
      <c r="C4" s="150" t="n"/>
      <c r="E4" s="41" t="inlineStr">
        <is>
          <t>طارق</t>
        </is>
      </c>
      <c r="F4" s="150" t="n">
        <v>500000</v>
      </c>
    </row>
    <row r="5">
      <c r="B5" s="46" t="inlineStr">
        <is>
          <t>عرب اوشن</t>
        </is>
      </c>
      <c r="C5" s="151" t="n"/>
      <c r="E5" s="46" t="inlineStr">
        <is>
          <t>احمد عليمي</t>
        </is>
      </c>
      <c r="F5" s="151" t="n">
        <v>20000</v>
      </c>
    </row>
    <row r="6">
      <c r="B6" s="41" t="inlineStr">
        <is>
          <t>سيجل</t>
        </is>
      </c>
      <c r="C6" s="150" t="n"/>
      <c r="E6" s="41" t="inlineStr">
        <is>
          <t>احمد ظريف</t>
        </is>
      </c>
      <c r="F6" s="150" t="n">
        <v>10000</v>
      </c>
    </row>
    <row r="7">
      <c r="B7" s="46" t="inlineStr">
        <is>
          <t>صلاح</t>
        </is>
      </c>
      <c r="C7" s="151" t="n"/>
      <c r="E7" s="46" t="inlineStr">
        <is>
          <t>احمد عادل</t>
        </is>
      </c>
      <c r="F7" s="151" t="n">
        <v>15000</v>
      </c>
    </row>
    <row r="8">
      <c r="B8" s="41" t="inlineStr">
        <is>
          <t>علاء جمعة</t>
        </is>
      </c>
      <c r="C8" s="150" t="n"/>
      <c r="E8" s="41" t="inlineStr">
        <is>
          <t>مكتب</t>
        </is>
      </c>
      <c r="F8" s="150" t="n">
        <v>54000</v>
      </c>
    </row>
    <row r="9">
      <c r="B9" s="46" t="inlineStr">
        <is>
          <t>فيرتكس</t>
        </is>
      </c>
      <c r="C9" s="151" t="n"/>
      <c r="E9" s="46" t="inlineStr">
        <is>
          <t>بوالص</t>
        </is>
      </c>
      <c r="F9" s="151" t="n">
        <v>3469000</v>
      </c>
    </row>
    <row r="10">
      <c r="B10" s="41" t="inlineStr">
        <is>
          <t>احمد سنبل</t>
        </is>
      </c>
      <c r="C10" s="150" t="n"/>
      <c r="E10" s="41" t="inlineStr">
        <is>
          <t>vito</t>
        </is>
      </c>
      <c r="F10" s="150" t="n"/>
    </row>
    <row r="11">
      <c r="B11" s="46" t="inlineStr">
        <is>
          <t>الفؤاد</t>
        </is>
      </c>
      <c r="C11" s="151" t="n"/>
      <c r="E11" s="46" t="inlineStr">
        <is>
          <t>مولدات</t>
        </is>
      </c>
      <c r="F11" s="151" t="n"/>
    </row>
    <row r="12">
      <c r="B12" s="41" t="inlineStr">
        <is>
          <t>احمد عبدالله</t>
        </is>
      </c>
      <c r="C12" s="150" t="n"/>
      <c r="E12" s="41" t="n"/>
      <c r="F12" s="150" t="n"/>
    </row>
    <row r="13">
      <c r="B13" s="46" t="inlineStr">
        <is>
          <t>الشيخ حسن</t>
        </is>
      </c>
      <c r="C13" s="151" t="n"/>
      <c r="E13" s="46" t="n"/>
      <c r="F13" s="151" t="n"/>
    </row>
    <row r="14">
      <c r="B14" s="41" t="inlineStr">
        <is>
          <t>وورلد</t>
        </is>
      </c>
      <c r="C14" s="150" t="n"/>
      <c r="E14" s="41" t="n"/>
      <c r="F14" s="150" t="n"/>
    </row>
    <row r="15">
      <c r="B15" s="46" t="inlineStr">
        <is>
          <t>نيو ترند</t>
        </is>
      </c>
      <c r="C15" s="151" t="n"/>
      <c r="E15" s="46" t="n"/>
      <c r="F15" s="151" t="n"/>
    </row>
    <row r="16">
      <c r="B16" s="41" t="inlineStr">
        <is>
          <t>اسلام</t>
        </is>
      </c>
      <c r="C16" s="150" t="n"/>
      <c r="E16" s="41" t="n"/>
      <c r="F16" s="150" t="n"/>
    </row>
    <row r="17">
      <c r="B17" s="46" t="inlineStr">
        <is>
          <t>اوفرسيز.</t>
        </is>
      </c>
      <c r="C17" s="151" t="n"/>
      <c r="E17" s="46" t="n"/>
      <c r="F17" s="151" t="n"/>
    </row>
    <row r="18">
      <c r="B18" s="41" t="inlineStr">
        <is>
          <t>kz</t>
        </is>
      </c>
      <c r="C18" s="150" t="n"/>
      <c r="E18" s="41" t="n"/>
      <c r="F18" s="150" t="n"/>
    </row>
    <row r="19">
      <c r="B19" s="46" t="inlineStr">
        <is>
          <t>البغدادية</t>
        </is>
      </c>
      <c r="C19" s="151" t="n"/>
      <c r="E19" s="46" t="n"/>
      <c r="F19" s="151" t="n"/>
    </row>
    <row r="20">
      <c r="B20" s="41" t="inlineStr">
        <is>
          <t>اسماء خليفة</t>
        </is>
      </c>
      <c r="C20" s="150" t="n"/>
      <c r="E20" s="41" t="n"/>
      <c r="F20" s="150" t="n"/>
    </row>
    <row r="21">
      <c r="B21" s="46" t="inlineStr">
        <is>
          <t>يونايتد</t>
        </is>
      </c>
      <c r="C21" s="151" t="n"/>
      <c r="E21" s="46" t="n"/>
      <c r="F21" s="151" t="n"/>
    </row>
    <row r="22">
      <c r="B22" s="41" t="inlineStr">
        <is>
          <t>كومباكت</t>
        </is>
      </c>
      <c r="C22" s="150" t="n"/>
      <c r="E22" s="41" t="n"/>
      <c r="F22" s="150" t="n"/>
    </row>
    <row r="23">
      <c r="B23" s="46" t="inlineStr">
        <is>
          <t>اكما</t>
        </is>
      </c>
      <c r="C23" s="151" t="n"/>
      <c r="E23" s="46" t="n"/>
      <c r="F23" s="151" t="n"/>
    </row>
    <row r="24">
      <c r="B24" s="41" t="inlineStr">
        <is>
          <t>mfb</t>
        </is>
      </c>
      <c r="C24" s="150" t="n"/>
      <c r="E24" s="41" t="n"/>
      <c r="F24" s="150" t="n"/>
    </row>
    <row r="25">
      <c r="B25" s="46" t="inlineStr">
        <is>
          <t>بيرفكت</t>
        </is>
      </c>
      <c r="C25" s="151" t="n"/>
      <c r="E25" s="46" t="n"/>
      <c r="F25" s="151" t="n"/>
    </row>
    <row r="26">
      <c r="B26" s="41" t="inlineStr">
        <is>
          <t>رويال لاند</t>
        </is>
      </c>
      <c r="C26" s="150" t="n"/>
      <c r="E26" s="41" t="n"/>
      <c r="F26" s="150" t="n"/>
    </row>
    <row r="27">
      <c r="B27" s="46" t="inlineStr">
        <is>
          <t>نافي ترانس</t>
        </is>
      </c>
      <c r="C27" s="151" t="n"/>
      <c r="E27" s="46" t="n"/>
      <c r="F27" s="151" t="n"/>
    </row>
    <row r="28">
      <c r="B28" s="41" t="inlineStr">
        <is>
          <t>تيفاني</t>
        </is>
      </c>
      <c r="C28" s="150" t="n"/>
      <c r="E28" s="41" t="n"/>
      <c r="F28" s="150" t="n"/>
    </row>
    <row r="29">
      <c r="B29" s="46" t="inlineStr">
        <is>
          <t>فضالي</t>
        </is>
      </c>
      <c r="C29" s="151" t="n"/>
      <c r="E29" s="46" t="n"/>
      <c r="F29" s="151" t="n"/>
    </row>
    <row r="30">
      <c r="B30" s="41" t="inlineStr">
        <is>
          <t>فوكس</t>
        </is>
      </c>
      <c r="C30" s="150" t="n"/>
      <c r="E30" s="41" t="n"/>
      <c r="F30" s="150" t="n"/>
    </row>
    <row r="31">
      <c r="B31" s="46" t="inlineStr">
        <is>
          <t>ابراهيم اروايجبت</t>
        </is>
      </c>
      <c r="C31" s="151" t="n"/>
      <c r="E31" s="46" t="n"/>
      <c r="F31" s="151" t="n"/>
    </row>
    <row r="32">
      <c r="B32" s="41" t="inlineStr">
        <is>
          <t>العالمية</t>
        </is>
      </c>
      <c r="C32" s="150" t="n"/>
      <c r="E32" s="41" t="n"/>
      <c r="F32" s="150" t="n"/>
    </row>
    <row r="33">
      <c r="B33" s="46" t="inlineStr">
        <is>
          <t>النهار</t>
        </is>
      </c>
      <c r="C33" s="151" t="n"/>
      <c r="E33" s="46" t="n"/>
      <c r="F33" s="151" t="n"/>
    </row>
    <row r="34">
      <c r="B34" s="41" t="inlineStr">
        <is>
          <t>CMS</t>
        </is>
      </c>
      <c r="C34" s="150" t="n"/>
      <c r="E34" s="41" t="n"/>
      <c r="F34" s="150" t="n"/>
    </row>
    <row r="35">
      <c r="B35" s="46" t="inlineStr">
        <is>
          <t>بداية</t>
        </is>
      </c>
      <c r="C35" s="151" t="n"/>
      <c r="E35" s="46" t="n"/>
      <c r="F35" s="151" t="n"/>
    </row>
    <row r="36">
      <c r="B36" s="41" t="inlineStr">
        <is>
          <t>هب تريد</t>
        </is>
      </c>
      <c r="C36" s="150" t="n"/>
      <c r="E36" s="41" t="n"/>
      <c r="F36" s="150" t="n"/>
    </row>
    <row r="37">
      <c r="B37" s="46" t="inlineStr">
        <is>
          <t>ايجي لوجيستك</t>
        </is>
      </c>
      <c r="C37" s="151" t="n"/>
      <c r="E37" s="46" t="n"/>
      <c r="F37" s="151" t="n"/>
    </row>
    <row r="38">
      <c r="B38" s="41" t="inlineStr">
        <is>
          <t>ags</t>
        </is>
      </c>
      <c r="C38" s="150" t="n"/>
      <c r="E38" s="41" t="n"/>
      <c r="F38" s="150" t="n"/>
    </row>
    <row r="39">
      <c r="B39" s="46" t="inlineStr">
        <is>
          <t>ريجينا</t>
        </is>
      </c>
      <c r="C39" s="151" t="n"/>
      <c r="E39" s="46" t="n"/>
      <c r="F39" s="151" t="n"/>
    </row>
    <row r="40">
      <c r="B40" s="41" t="inlineStr">
        <is>
          <t>احمد غريب</t>
        </is>
      </c>
      <c r="C40" s="150" t="n"/>
      <c r="E40" s="41" t="n"/>
      <c r="F40" s="150" t="n"/>
    </row>
    <row r="41">
      <c r="B41" s="46" t="inlineStr">
        <is>
          <t>حماده سخنه</t>
        </is>
      </c>
      <c r="C41" s="151" t="n"/>
      <c r="E41" s="46" t="n"/>
      <c r="F41" s="151" t="n"/>
    </row>
    <row r="42">
      <c r="B42" s="41" t="inlineStr">
        <is>
          <t>روتس</t>
        </is>
      </c>
      <c r="C42" s="150" t="n"/>
      <c r="E42" s="41" t="n"/>
      <c r="F42" s="150" t="n"/>
    </row>
    <row r="43">
      <c r="B43" s="46" t="inlineStr">
        <is>
          <t>كينج تريد</t>
        </is>
      </c>
      <c r="C43" s="151" t="n"/>
      <c r="E43" s="46" t="n"/>
      <c r="F43" s="151" t="n"/>
    </row>
    <row r="44">
      <c r="B44" s="41" t="inlineStr">
        <is>
          <t>محمد اشرف</t>
        </is>
      </c>
      <c r="C44" s="150" t="n"/>
      <c r="E44" s="41" t="n"/>
      <c r="F44" s="150" t="n"/>
    </row>
    <row r="45">
      <c r="B45" s="46" t="inlineStr">
        <is>
          <t>جرين اب</t>
        </is>
      </c>
      <c r="C45" s="151" t="n"/>
      <c r="E45" s="46" t="n"/>
      <c r="F45" s="151" t="n"/>
    </row>
    <row r="46">
      <c r="B46" s="41" t="inlineStr">
        <is>
          <t>محمد عزت</t>
        </is>
      </c>
      <c r="C46" s="150" t="n"/>
      <c r="E46" s="41" t="n"/>
      <c r="F46" s="150" t="n"/>
    </row>
    <row r="47">
      <c r="B47" s="46" t="inlineStr">
        <is>
          <t>mis</t>
        </is>
      </c>
      <c r="C47" s="151" t="n"/>
      <c r="E47" s="46" t="n"/>
      <c r="F47" s="151" t="n"/>
    </row>
    <row r="48">
      <c r="B48" s="41" t="inlineStr">
        <is>
          <t>تيتو</t>
        </is>
      </c>
      <c r="C48" s="150" t="n"/>
      <c r="E48" s="41" t="n"/>
      <c r="F48" s="150" t="n"/>
    </row>
    <row r="49">
      <c r="B49" s="46" t="inlineStr">
        <is>
          <t>برنتو</t>
        </is>
      </c>
      <c r="C49" s="151" t="n"/>
      <c r="E49" s="46" t="n"/>
      <c r="F49" s="151" t="n"/>
    </row>
    <row r="50">
      <c r="B50" s="41" t="inlineStr">
        <is>
          <t>بيردس</t>
        </is>
      </c>
      <c r="C50" s="150" t="n"/>
      <c r="E50" s="41" t="n"/>
      <c r="F50" s="150" t="n"/>
    </row>
    <row r="51">
      <c r="B51" s="46" t="n"/>
      <c r="C51" s="151" t="n"/>
      <c r="E51" s="46" t="n"/>
      <c r="F51" s="151" t="n"/>
    </row>
    <row r="52">
      <c r="B52" s="41" t="n"/>
      <c r="C52" s="150" t="n"/>
      <c r="E52" s="41" t="n"/>
      <c r="F52" s="150" t="n"/>
    </row>
    <row r="53">
      <c r="B53" s="46" t="n"/>
      <c r="C53" s="151" t="n"/>
      <c r="E53" s="46" t="n"/>
      <c r="F53" s="151" t="n"/>
    </row>
    <row r="54">
      <c r="B54" s="41" t="n"/>
      <c r="C54" s="150" t="n"/>
      <c r="E54" s="41" t="n"/>
      <c r="F54" s="150" t="n"/>
    </row>
    <row r="55">
      <c r="B55" s="46" t="n"/>
      <c r="C55" s="151" t="n"/>
      <c r="E55" s="46" t="n"/>
      <c r="F55" s="151" t="n"/>
    </row>
    <row r="56">
      <c r="B56" s="41" t="n"/>
      <c r="C56" s="150" t="n"/>
      <c r="E56" s="41" t="n"/>
      <c r="F56" s="150" t="n"/>
    </row>
    <row r="57">
      <c r="B57" s="46" t="n"/>
      <c r="C57" s="151" t="n"/>
      <c r="E57" s="46" t="n"/>
      <c r="F57" s="151" t="n"/>
    </row>
    <row r="58">
      <c r="B58" s="41" t="n"/>
      <c r="C58" s="150" t="n"/>
      <c r="E58" s="41" t="n"/>
      <c r="F58" s="150" t="n"/>
    </row>
    <row r="59">
      <c r="B59" s="46" t="n"/>
      <c r="C59" s="151" t="n"/>
      <c r="E59" s="46" t="n"/>
      <c r="F59" s="151" t="n"/>
    </row>
    <row r="60">
      <c r="B60" s="41" t="n"/>
      <c r="C60" s="150" t="n"/>
      <c r="E60" s="41" t="n"/>
      <c r="F60" s="150" t="n"/>
    </row>
    <row r="61">
      <c r="B61" s="46" t="n"/>
      <c r="C61" s="151" t="n"/>
      <c r="E61" s="46" t="n"/>
      <c r="F61" s="151" t="n"/>
    </row>
    <row r="62">
      <c r="B62" s="41" t="n"/>
      <c r="C62" s="150" t="n"/>
      <c r="E62" s="41" t="n"/>
      <c r="F62" s="150" t="n"/>
    </row>
    <row r="63">
      <c r="B63" s="46" t="n"/>
      <c r="C63" s="151" t="n"/>
      <c r="E63" s="46" t="n"/>
      <c r="F63" s="151" t="n"/>
    </row>
    <row r="64">
      <c r="B64" s="41" t="n"/>
      <c r="C64" s="150" t="n"/>
      <c r="E64" s="41" t="n"/>
      <c r="F64" s="150" t="n"/>
    </row>
    <row r="65">
      <c r="B65" s="46" t="n"/>
      <c r="C65" s="151" t="n"/>
      <c r="E65" s="46" t="n"/>
      <c r="F65" s="151" t="n"/>
    </row>
    <row r="66">
      <c r="B66" s="41" t="n"/>
      <c r="C66" s="150" t="n"/>
      <c r="E66" s="41" t="n"/>
      <c r="F66" s="150" t="n"/>
    </row>
    <row r="67">
      <c r="B67" s="46" t="n"/>
      <c r="C67" s="151" t="n"/>
      <c r="E67" s="46" t="n"/>
      <c r="F67" s="151" t="n"/>
    </row>
    <row r="68">
      <c r="B68" s="41" t="n"/>
      <c r="C68" s="150" t="n"/>
      <c r="E68" s="41" t="n"/>
      <c r="F68" s="150" t="n"/>
    </row>
    <row r="69">
      <c r="B69" s="46" t="n"/>
      <c r="C69" s="151" t="n"/>
      <c r="E69" s="46" t="n"/>
      <c r="F69" s="151" t="n"/>
    </row>
    <row r="70">
      <c r="B70" s="41" t="n"/>
      <c r="C70" s="150" t="n"/>
      <c r="E70" s="41" t="n"/>
      <c r="F70" s="150" t="n"/>
    </row>
    <row r="71">
      <c r="B71" s="46" t="n"/>
      <c r="C71" s="151" t="n"/>
      <c r="E71" s="46" t="n"/>
      <c r="F71" s="151" t="n"/>
    </row>
    <row r="72">
      <c r="B72" s="41" t="n"/>
      <c r="C72" s="150" t="n"/>
      <c r="E72" s="41" t="n"/>
      <c r="F72" s="150" t="n"/>
    </row>
    <row r="73">
      <c r="B73" s="46" t="n"/>
      <c r="C73" s="151" t="n"/>
      <c r="E73" s="46" t="n"/>
      <c r="F73" s="151" t="n"/>
    </row>
    <row r="74">
      <c r="B74" s="41" t="n"/>
      <c r="C74" s="150" t="n"/>
      <c r="E74" s="41" t="n"/>
      <c r="F74" s="150" t="n"/>
    </row>
    <row r="75">
      <c r="B75" s="46" t="n"/>
      <c r="C75" s="151" t="n"/>
      <c r="E75" s="46" t="n"/>
      <c r="F75" s="151" t="n"/>
    </row>
    <row r="76">
      <c r="B76" s="41" t="n"/>
      <c r="C76" s="150" t="n"/>
      <c r="E76" s="41" t="n"/>
      <c r="F76" s="150" t="n"/>
    </row>
    <row r="77">
      <c r="B77" s="46" t="n"/>
      <c r="C77" s="151" t="n"/>
      <c r="E77" s="46" t="n"/>
      <c r="F77" s="151" t="n"/>
    </row>
    <row r="78">
      <c r="B78" s="41" t="n"/>
      <c r="C78" s="150" t="n"/>
      <c r="E78" s="41" t="n"/>
      <c r="F78" s="150" t="n"/>
    </row>
    <row r="79">
      <c r="B79" s="46" t="n"/>
      <c r="C79" s="151" t="n"/>
      <c r="E79" s="46" t="n"/>
      <c r="F79" s="151" t="n"/>
    </row>
    <row r="80">
      <c r="B80" s="41" t="n"/>
      <c r="C80" s="150" t="n"/>
      <c r="E80" s="41" t="n"/>
      <c r="F80" s="150" t="n"/>
    </row>
    <row r="81">
      <c r="B81" s="46" t="n"/>
      <c r="C81" s="151" t="n"/>
      <c r="E81" s="46" t="n"/>
      <c r="F81" s="151" t="n"/>
    </row>
    <row r="82">
      <c r="B82" s="41" t="n"/>
      <c r="C82" s="150" t="n"/>
      <c r="E82" s="41" t="n"/>
      <c r="F82" s="150" t="n"/>
    </row>
    <row r="83">
      <c r="B83" s="46" t="n"/>
      <c r="C83" s="151" t="n"/>
      <c r="E83" s="46" t="n"/>
      <c r="F83" s="151" t="n"/>
    </row>
    <row r="84">
      <c r="B84" s="41" t="n"/>
      <c r="C84" s="150" t="n"/>
      <c r="E84" s="41" t="n"/>
      <c r="F84" s="150" t="n"/>
    </row>
    <row r="85">
      <c r="B85" s="46" t="n"/>
      <c r="C85" s="151" t="n"/>
      <c r="E85" s="46" t="n"/>
      <c r="F85" s="151" t="n"/>
    </row>
    <row r="86">
      <c r="B86" s="41" t="n"/>
      <c r="C86" s="150" t="n"/>
      <c r="E86" s="41" t="n"/>
      <c r="F86" s="150" t="n"/>
    </row>
    <row r="87">
      <c r="B87" s="46" t="n"/>
      <c r="C87" s="151" t="n"/>
      <c r="E87" s="46" t="n"/>
      <c r="F87" s="151" t="n"/>
    </row>
    <row r="88">
      <c r="B88" s="41" t="n"/>
      <c r="C88" s="150" t="n"/>
      <c r="E88" s="41" t="n"/>
      <c r="F88" s="150" t="n"/>
    </row>
    <row r="89">
      <c r="B89" s="46" t="n"/>
      <c r="C89" s="151" t="n"/>
      <c r="E89" s="46" t="n"/>
      <c r="F89" s="151" t="n"/>
    </row>
    <row r="90">
      <c r="B90" s="41" t="n"/>
      <c r="C90" s="150" t="n"/>
      <c r="E90" s="41" t="n"/>
      <c r="F90" s="150" t="n"/>
    </row>
    <row r="91">
      <c r="B91" s="46" t="n"/>
      <c r="C91" s="151" t="n"/>
      <c r="E91" s="46" t="n"/>
      <c r="F91" s="151" t="n"/>
    </row>
    <row r="92">
      <c r="B92" s="41" t="n"/>
      <c r="C92" s="150" t="n"/>
      <c r="E92" s="41" t="n"/>
      <c r="F92" s="150" t="n"/>
    </row>
    <row r="93">
      <c r="B93" s="46" t="n"/>
      <c r="C93" s="151" t="n"/>
      <c r="E93" s="46" t="n"/>
      <c r="F93" s="151" t="n"/>
    </row>
    <row r="94">
      <c r="B94" s="41" t="n"/>
      <c r="C94" s="150" t="n"/>
      <c r="E94" s="41" t="n"/>
      <c r="F94" s="150" t="n"/>
    </row>
    <row r="95">
      <c r="B95" s="46" t="n"/>
      <c r="C95" s="151" t="n"/>
      <c r="E95" s="46" t="n"/>
      <c r="F95" s="151" t="n"/>
    </row>
    <row r="96">
      <c r="B96" s="41" t="n"/>
      <c r="C96" s="150" t="n"/>
      <c r="E96" s="41" t="n"/>
      <c r="F96" s="150" t="n"/>
    </row>
    <row r="97">
      <c r="B97" s="46" t="n"/>
      <c r="C97" s="151" t="n"/>
      <c r="E97" s="46" t="n"/>
      <c r="F97" s="151" t="n"/>
    </row>
    <row r="98">
      <c r="B98" s="41" t="n"/>
      <c r="C98" s="150" t="n"/>
      <c r="E98" s="41" t="n"/>
      <c r="F98" s="150" t="n"/>
    </row>
    <row r="99">
      <c r="B99" s="46" t="n"/>
      <c r="C99" s="151" t="n"/>
      <c r="E99" s="46" t="n"/>
      <c r="F99" s="151" t="n"/>
    </row>
    <row r="100">
      <c r="B100" s="41" t="n"/>
      <c r="C100" s="150" t="n"/>
      <c r="E100" s="41" t="n"/>
      <c r="F100" s="150" t="n"/>
    </row>
    <row r="101">
      <c r="B101" s="46" t="n"/>
      <c r="C101" s="151" t="n"/>
      <c r="E101" s="46" t="n"/>
      <c r="F101" s="151" t="n"/>
    </row>
    <row r="102">
      <c r="B102" s="41" t="n"/>
      <c r="C102" s="150" t="n"/>
      <c r="E102" s="41" t="n"/>
      <c r="F102" s="150" t="n"/>
    </row>
    <row r="103">
      <c r="B103" s="46" t="n"/>
      <c r="C103" s="151" t="n"/>
      <c r="E103" s="46" t="n"/>
      <c r="F103" s="151" t="n"/>
    </row>
    <row r="104">
      <c r="B104" s="41" t="n"/>
      <c r="C104" s="150" t="n"/>
      <c r="E104" s="41" t="n"/>
      <c r="F104" s="150" t="n"/>
    </row>
    <row r="105">
      <c r="B105" s="46" t="n"/>
      <c r="C105" s="151" t="n"/>
      <c r="E105" s="46" t="n"/>
      <c r="F105" s="151" t="n"/>
    </row>
    <row r="106">
      <c r="B106" s="41" t="n"/>
      <c r="C106" s="150" t="n"/>
      <c r="E106" s="41" t="n"/>
      <c r="F106" s="150" t="n"/>
    </row>
    <row r="107">
      <c r="B107" s="46" t="n"/>
      <c r="C107" s="151" t="n"/>
      <c r="E107" s="46" t="n"/>
      <c r="F107" s="151" t="n"/>
    </row>
    <row r="108">
      <c r="B108" s="41" t="n"/>
      <c r="C108" s="150" t="n"/>
      <c r="E108" s="41" t="n"/>
      <c r="F108" s="150" t="n"/>
    </row>
    <row r="109">
      <c r="B109" s="46" t="n"/>
      <c r="C109" s="151" t="n"/>
      <c r="E109" s="46" t="n"/>
      <c r="F109" s="151" t="n"/>
    </row>
    <row r="110">
      <c r="B110" s="41" t="n"/>
      <c r="C110" s="150" t="n"/>
      <c r="E110" s="41" t="n"/>
      <c r="F110" s="150" t="n"/>
    </row>
    <row r="111">
      <c r="B111" s="46" t="n"/>
      <c r="C111" s="151" t="n"/>
      <c r="E111" s="46" t="n"/>
      <c r="F111" s="151" t="n"/>
    </row>
    <row r="112">
      <c r="B112" s="41" t="n"/>
      <c r="C112" s="150" t="n"/>
      <c r="E112" s="41" t="n"/>
      <c r="F112" s="150" t="n"/>
    </row>
    <row r="113">
      <c r="B113" s="46" t="n"/>
      <c r="C113" s="151" t="n"/>
      <c r="E113" s="46" t="n"/>
      <c r="F113" s="151" t="n"/>
    </row>
    <row r="114">
      <c r="B114" s="41" t="n"/>
      <c r="C114" s="150" t="n"/>
      <c r="E114" s="41" t="n"/>
      <c r="F114" s="150" t="n"/>
    </row>
    <row r="115">
      <c r="B115" s="46" t="n"/>
      <c r="C115" s="151" t="n"/>
      <c r="E115" s="46" t="n"/>
      <c r="F115" s="151" t="n"/>
    </row>
    <row r="116">
      <c r="B116" s="41" t="n"/>
      <c r="C116" s="150" t="n"/>
      <c r="E116" s="41" t="n"/>
      <c r="F116" s="150" t="n"/>
    </row>
    <row r="117">
      <c r="B117" s="46" t="n"/>
      <c r="C117" s="151" t="n"/>
      <c r="E117" s="46" t="n"/>
      <c r="F117" s="151" t="n"/>
    </row>
    <row r="118">
      <c r="B118" s="41" t="n"/>
      <c r="C118" s="150" t="n"/>
      <c r="E118" s="41" t="n"/>
      <c r="F118" s="150" t="n"/>
    </row>
    <row r="119">
      <c r="B119" s="46" t="n"/>
      <c r="C119" s="151" t="n"/>
      <c r="E119" s="46" t="n"/>
      <c r="F119" s="151" t="n"/>
    </row>
    <row r="120">
      <c r="B120" s="41" t="n"/>
      <c r="C120" s="150" t="n"/>
      <c r="E120" s="41" t="n"/>
      <c r="F120" s="150" t="n"/>
    </row>
    <row r="121">
      <c r="B121" s="46" t="n"/>
      <c r="C121" s="151" t="n"/>
      <c r="E121" s="46" t="n"/>
      <c r="F121" s="151" t="n"/>
    </row>
    <row r="122">
      <c r="B122" s="41" t="n"/>
      <c r="C122" s="150" t="n"/>
      <c r="E122" s="41" t="n"/>
      <c r="F122" s="150" t="n"/>
    </row>
    <row r="123">
      <c r="B123" s="46" t="n"/>
      <c r="C123" s="151" t="n"/>
      <c r="E123" s="46" t="n"/>
      <c r="F123" s="151" t="n"/>
    </row>
    <row r="124">
      <c r="B124" s="41" t="n"/>
      <c r="C124" s="150" t="n"/>
      <c r="E124" s="41" t="n"/>
      <c r="F124" s="150" t="n"/>
    </row>
    <row r="125">
      <c r="B125" s="46" t="n"/>
      <c r="C125" s="151" t="n"/>
      <c r="E125" s="46" t="n"/>
      <c r="F125" s="151" t="n"/>
    </row>
    <row r="126">
      <c r="B126" s="41" t="n"/>
      <c r="C126" s="150" t="n"/>
      <c r="E126" s="41" t="n"/>
      <c r="F126" s="150" t="n"/>
    </row>
    <row r="127">
      <c r="B127" s="46" t="n"/>
      <c r="C127" s="151" t="n"/>
      <c r="E127" s="46" t="n"/>
      <c r="F127" s="151" t="n"/>
    </row>
    <row r="128">
      <c r="B128" s="41" t="n"/>
      <c r="C128" s="150" t="n"/>
      <c r="E128" s="41" t="n"/>
      <c r="F128" s="150" t="n"/>
    </row>
    <row r="129">
      <c r="B129" s="46" t="n"/>
      <c r="C129" s="151" t="n"/>
      <c r="E129" s="46" t="n"/>
      <c r="F129" s="151" t="n"/>
    </row>
    <row r="130">
      <c r="B130" s="41" t="n"/>
      <c r="C130" s="150" t="n"/>
      <c r="E130" s="41" t="n"/>
      <c r="F130" s="150" t="n"/>
    </row>
    <row r="131">
      <c r="B131" s="46" t="n"/>
      <c r="C131" s="151" t="n"/>
      <c r="E131" s="46" t="n"/>
      <c r="F131" s="151" t="n"/>
    </row>
    <row r="132">
      <c r="B132" s="41" t="n"/>
      <c r="C132" s="150" t="n"/>
      <c r="E132" s="41" t="n"/>
      <c r="F132" s="150" t="n"/>
    </row>
    <row r="133">
      <c r="B133" s="46" t="n"/>
      <c r="C133" s="151" t="n"/>
      <c r="E133" s="46" t="n"/>
      <c r="F133" s="151" t="n"/>
    </row>
    <row r="134">
      <c r="B134" s="41" t="n"/>
      <c r="C134" s="150" t="n"/>
      <c r="E134" s="41" t="n"/>
      <c r="F134" s="150" t="n"/>
    </row>
    <row r="135">
      <c r="B135" s="46" t="n"/>
      <c r="C135" s="151" t="n"/>
      <c r="E135" s="46" t="n"/>
      <c r="F135" s="151" t="n"/>
    </row>
    <row r="136">
      <c r="B136" s="41" t="n"/>
      <c r="C136" s="150" t="n"/>
      <c r="E136" s="41" t="n"/>
      <c r="F136" s="150" t="n"/>
    </row>
    <row r="137">
      <c r="B137" s="46" t="n"/>
      <c r="C137" s="151" t="n"/>
      <c r="E137" s="46" t="n"/>
      <c r="F137" s="151" t="n"/>
    </row>
    <row r="138">
      <c r="B138" s="41" t="n"/>
      <c r="C138" s="150" t="n"/>
      <c r="E138" s="41" t="n"/>
      <c r="F138" s="150" t="n"/>
    </row>
    <row r="139">
      <c r="B139" s="46" t="n"/>
      <c r="C139" s="151" t="n"/>
      <c r="E139" s="46" t="n"/>
      <c r="F139" s="151" t="n"/>
    </row>
    <row r="140">
      <c r="B140" s="41" t="n"/>
      <c r="C140" s="150" t="n"/>
      <c r="E140" s="41" t="n"/>
      <c r="F140" s="150" t="n"/>
    </row>
    <row r="141">
      <c r="B141" s="46" t="n"/>
      <c r="C141" s="151" t="n"/>
      <c r="E141" s="46" t="n"/>
      <c r="F141" s="151" t="n"/>
    </row>
    <row r="142">
      <c r="B142" s="41" t="n"/>
      <c r="C142" s="150" t="n"/>
      <c r="E142" s="41" t="n"/>
      <c r="F142" s="150" t="n"/>
    </row>
    <row r="143">
      <c r="B143" s="46" t="n"/>
      <c r="C143" s="151" t="n"/>
      <c r="E143" s="46" t="n"/>
      <c r="F143" s="151" t="n"/>
    </row>
    <row r="144">
      <c r="B144" s="41" t="n"/>
      <c r="C144" s="150" t="n"/>
      <c r="E144" s="41" t="n"/>
      <c r="F144" s="150" t="n"/>
    </row>
    <row r="145">
      <c r="B145" s="46" t="n"/>
      <c r="C145" s="151" t="n"/>
      <c r="E145" s="46" t="n"/>
      <c r="F145" s="151" t="n"/>
    </row>
    <row r="146">
      <c r="B146" s="41" t="n"/>
      <c r="C146" s="150" t="n"/>
      <c r="E146" s="41" t="n"/>
      <c r="F146" s="150" t="n"/>
    </row>
    <row r="147">
      <c r="B147" s="46" t="n"/>
      <c r="C147" s="151" t="n"/>
      <c r="E147" s="46" t="n"/>
      <c r="F147" s="151" t="n"/>
    </row>
    <row r="148">
      <c r="B148" s="41" t="n"/>
      <c r="C148" s="150" t="n"/>
      <c r="E148" s="41" t="n"/>
      <c r="F148" s="150" t="n"/>
    </row>
    <row r="149">
      <c r="B149" s="46" t="n"/>
      <c r="C149" s="151" t="n"/>
      <c r="E149" s="46" t="n"/>
      <c r="F149" s="151" t="n"/>
    </row>
    <row r="150">
      <c r="B150" s="41" t="n"/>
      <c r="C150" s="150" t="n"/>
      <c r="E150" s="41" t="n"/>
      <c r="F150" s="150" t="n"/>
    </row>
    <row r="151">
      <c r="B151" s="46" t="n"/>
      <c r="C151" s="151" t="n"/>
      <c r="E151" s="46" t="n"/>
      <c r="F151" s="151" t="n"/>
    </row>
    <row r="152">
      <c r="B152" s="41" t="n"/>
      <c r="C152" s="150" t="n"/>
      <c r="E152" s="41" t="n"/>
      <c r="F152" s="150" t="n"/>
    </row>
    <row r="153">
      <c r="B153" s="46" t="n"/>
      <c r="C153" s="151" t="n"/>
      <c r="E153" s="46" t="n"/>
      <c r="F153" s="151" t="n"/>
    </row>
    <row r="154">
      <c r="B154" s="41" t="n"/>
      <c r="C154" s="150" t="n"/>
      <c r="E154" s="41" t="n"/>
      <c r="F154" s="150" t="n"/>
    </row>
    <row r="155">
      <c r="B155" s="46" t="n"/>
      <c r="C155" s="151" t="n"/>
      <c r="E155" s="46" t="n"/>
      <c r="F155" s="151" t="n"/>
    </row>
    <row r="156">
      <c r="B156" s="41" t="n"/>
      <c r="C156" s="150" t="n"/>
      <c r="E156" s="41" t="n"/>
      <c r="F156" s="150" t="n"/>
    </row>
    <row r="157">
      <c r="B157" s="46" t="n"/>
      <c r="C157" s="151" t="n"/>
      <c r="E157" s="46" t="n"/>
      <c r="F157" s="151" t="n"/>
    </row>
    <row r="158">
      <c r="B158" s="41" t="n"/>
      <c r="C158" s="150" t="n"/>
      <c r="E158" s="41" t="n"/>
      <c r="F158" s="150" t="n"/>
    </row>
    <row r="159">
      <c r="B159" s="46" t="n"/>
      <c r="C159" s="151" t="n"/>
      <c r="E159" s="46" t="n"/>
      <c r="F159" s="151" t="n"/>
    </row>
    <row r="160">
      <c r="B160" s="41" t="n"/>
      <c r="C160" s="150" t="n"/>
      <c r="E160" s="41" t="n"/>
      <c r="F160" s="150" t="n"/>
    </row>
    <row r="161">
      <c r="B161" s="46" t="n"/>
      <c r="C161" s="151" t="n"/>
      <c r="E161" s="46" t="n"/>
      <c r="F161" s="151" t="n"/>
    </row>
    <row r="162">
      <c r="B162" s="41" t="n"/>
      <c r="C162" s="150" t="n"/>
      <c r="E162" s="41" t="n"/>
      <c r="F162" s="150" t="n"/>
    </row>
    <row r="163">
      <c r="B163" s="46" t="n"/>
      <c r="C163" s="151" t="n"/>
      <c r="E163" s="46" t="n"/>
      <c r="F163" s="151" t="n"/>
    </row>
    <row r="164">
      <c r="B164" s="41" t="n"/>
      <c r="C164" s="150" t="n"/>
      <c r="E164" s="41" t="n"/>
      <c r="F164" s="150" t="n"/>
    </row>
    <row r="165">
      <c r="B165" s="46" t="n"/>
      <c r="C165" s="151" t="n"/>
      <c r="E165" s="46" t="n"/>
      <c r="F165" s="151" t="n"/>
    </row>
    <row r="166">
      <c r="B166" s="41" t="n"/>
      <c r="C166" s="150" t="n"/>
      <c r="E166" s="41" t="n"/>
      <c r="F166" s="150" t="n"/>
    </row>
    <row r="167">
      <c r="B167" s="46" t="n"/>
      <c r="C167" s="151" t="n"/>
      <c r="E167" s="46" t="n"/>
      <c r="F167" s="151" t="n"/>
    </row>
    <row r="168">
      <c r="B168" s="41" t="n"/>
      <c r="C168" s="150" t="n"/>
      <c r="E168" s="41" t="n"/>
      <c r="F168" s="150" t="n"/>
    </row>
    <row r="169">
      <c r="B169" s="46" t="n"/>
      <c r="C169" s="151" t="n"/>
      <c r="E169" s="46" t="n"/>
      <c r="F169" s="151" t="n"/>
    </row>
    <row r="170">
      <c r="B170" s="41" t="n"/>
      <c r="C170" s="150" t="n"/>
      <c r="E170" s="41" t="n"/>
      <c r="F170" s="150" t="n"/>
    </row>
    <row r="171">
      <c r="B171" s="46" t="n"/>
      <c r="C171" s="151" t="n"/>
      <c r="E171" s="46" t="n"/>
      <c r="F171" s="151" t="n"/>
    </row>
    <row r="172">
      <c r="B172" s="41" t="n"/>
      <c r="C172" s="150" t="n"/>
      <c r="E172" s="41" t="n"/>
      <c r="F172" s="150" t="n"/>
    </row>
    <row r="173">
      <c r="B173" s="46" t="n"/>
      <c r="C173" s="151" t="n"/>
      <c r="E173" s="46" t="n"/>
      <c r="F173" s="151" t="n"/>
    </row>
    <row r="174">
      <c r="B174" s="41" t="n"/>
      <c r="C174" s="150" t="n"/>
      <c r="E174" s="41" t="n"/>
      <c r="F174" s="150" t="n"/>
    </row>
    <row r="175">
      <c r="B175" s="46" t="n"/>
      <c r="C175" s="151" t="n"/>
      <c r="E175" s="46" t="n"/>
      <c r="F175" s="151" t="n"/>
    </row>
    <row r="176">
      <c r="B176" s="41" t="n"/>
      <c r="C176" s="150" t="n"/>
      <c r="E176" s="41" t="n"/>
      <c r="F176" s="150" t="n"/>
    </row>
    <row r="177">
      <c r="B177" s="46" t="n"/>
      <c r="C177" s="151" t="n"/>
      <c r="E177" s="46" t="n"/>
      <c r="F177" s="151" t="n"/>
    </row>
    <row r="178">
      <c r="B178" s="41" t="n"/>
      <c r="C178" s="150" t="n"/>
      <c r="E178" s="41" t="n"/>
      <c r="F178" s="150" t="n"/>
    </row>
    <row r="179">
      <c r="B179" s="46" t="n"/>
      <c r="C179" s="151" t="n"/>
      <c r="E179" s="46" t="n"/>
      <c r="F179" s="151" t="n"/>
    </row>
    <row r="180">
      <c r="B180" s="41" t="n"/>
      <c r="C180" s="150" t="n"/>
      <c r="E180" s="41" t="n"/>
      <c r="F180" s="150" t="n"/>
    </row>
    <row r="181">
      <c r="B181" s="46" t="n"/>
      <c r="C181" s="151" t="n"/>
      <c r="E181" s="46" t="n"/>
      <c r="F181" s="151" t="n"/>
    </row>
    <row r="182">
      <c r="B182" s="41" t="n"/>
      <c r="C182" s="150" t="n"/>
      <c r="E182" s="41" t="n"/>
      <c r="F182" s="150" t="n"/>
    </row>
    <row r="183">
      <c r="B183" s="46" t="n"/>
      <c r="C183" s="151" t="n"/>
      <c r="E183" s="46" t="n"/>
      <c r="F183" s="151" t="n"/>
    </row>
    <row r="184">
      <c r="B184" s="41" t="n"/>
      <c r="C184" s="150" t="n"/>
      <c r="E184" s="41" t="n"/>
      <c r="F184" s="150" t="n"/>
    </row>
    <row r="185">
      <c r="B185" s="46" t="n"/>
      <c r="C185" s="151" t="n"/>
      <c r="E185" s="46" t="n"/>
      <c r="F185" s="151" t="n"/>
    </row>
    <row r="186">
      <c r="B186" s="41" t="n"/>
      <c r="C186" s="150" t="n"/>
      <c r="E186" s="41" t="n"/>
      <c r="F186" s="150" t="n"/>
    </row>
    <row r="187">
      <c r="B187" s="46" t="n"/>
      <c r="C187" s="151" t="n"/>
      <c r="E187" s="46" t="n"/>
      <c r="F187" s="151" t="n"/>
    </row>
    <row r="188">
      <c r="B188" s="41" t="n"/>
      <c r="C188" s="150" t="n"/>
      <c r="E188" s="41" t="n"/>
      <c r="F188" s="150" t="n"/>
    </row>
    <row r="189">
      <c r="B189" s="46" t="n"/>
      <c r="C189" s="151" t="n"/>
      <c r="E189" s="46" t="n"/>
      <c r="F189" s="151" t="n"/>
    </row>
    <row r="190">
      <c r="B190" s="41" t="n"/>
      <c r="C190" s="150" t="n"/>
      <c r="E190" s="41" t="n"/>
      <c r="F190" s="150" t="n"/>
    </row>
    <row r="191">
      <c r="B191" s="46" t="n"/>
      <c r="C191" s="151" t="n"/>
      <c r="E191" s="46" t="n"/>
      <c r="F191" s="151" t="n"/>
    </row>
    <row r="192">
      <c r="B192" s="41" t="n"/>
      <c r="C192" s="150" t="n"/>
      <c r="E192" s="41" t="n"/>
      <c r="F192" s="150" t="n"/>
    </row>
    <row r="193">
      <c r="B193" s="46" t="n"/>
      <c r="C193" s="151" t="n"/>
      <c r="E193" s="46" t="n"/>
      <c r="F193" s="151" t="n"/>
    </row>
    <row r="194">
      <c r="B194" s="41" t="n"/>
      <c r="C194" s="150" t="n"/>
      <c r="E194" s="41" t="n"/>
      <c r="F194" s="150" t="n"/>
    </row>
    <row r="195">
      <c r="B195" s="46" t="n"/>
      <c r="C195" s="151" t="n"/>
      <c r="E195" s="46" t="n"/>
      <c r="F195" s="151" t="n"/>
    </row>
    <row r="196">
      <c r="B196" s="41" t="n"/>
      <c r="C196" s="150" t="n"/>
      <c r="E196" s="41" t="n"/>
      <c r="F196" s="150" t="n"/>
    </row>
    <row r="197">
      <c r="B197" s="46" t="n"/>
      <c r="C197" s="151" t="n"/>
      <c r="E197" s="46" t="n"/>
      <c r="F197" s="151" t="n"/>
    </row>
    <row r="198">
      <c r="B198" s="41" t="n"/>
      <c r="C198" s="150" t="n"/>
      <c r="E198" s="41" t="n"/>
      <c r="F198" s="150" t="n"/>
    </row>
    <row r="199">
      <c r="B199" s="46" t="n"/>
      <c r="C199" s="151" t="n"/>
      <c r="E199" s="46" t="n"/>
      <c r="F199" s="151" t="n"/>
    </row>
    <row r="200">
      <c r="B200" s="41" t="n"/>
      <c r="C200" s="150" t="n"/>
      <c r="E200" s="41" t="n"/>
      <c r="F200" s="150" t="n"/>
    </row>
    <row r="201">
      <c r="B201" s="46" t="n"/>
      <c r="C201" s="151" t="n"/>
      <c r="E201" s="46" t="n"/>
      <c r="F201" s="151" t="n"/>
    </row>
    <row r="202">
      <c r="B202" s="41" t="n"/>
      <c r="C202" s="150" t="n"/>
      <c r="E202" s="41" t="n"/>
      <c r="F202" s="150" t="n"/>
    </row>
    <row r="203">
      <c r="B203" s="46" t="n"/>
      <c r="C203" s="151" t="n"/>
      <c r="E203" s="46" t="n"/>
      <c r="F203" s="151" t="n"/>
    </row>
    <row r="204">
      <c r="B204" s="58" t="inlineStr">
        <is>
          <t>إجمالي أرصدة العملاء</t>
        </is>
      </c>
      <c r="C204" s="152">
        <f>SUM(C4:C203)</f>
        <v/>
      </c>
      <c r="E204" s="58" t="inlineStr">
        <is>
          <t>إجمالي أرصدة الموردين</t>
        </is>
      </c>
      <c r="F204" s="152">
        <f>SUM(F4:F203)</f>
        <v/>
      </c>
    </row>
    <row r="205">
      <c r="E205" s="60" t="inlineStr">
        <is>
          <t>الفرق (له − عليه)</t>
        </is>
      </c>
      <c r="F205" s="153">
        <f>C204-F204</f>
        <v/>
      </c>
    </row>
  </sheetData>
  <autoFilter ref="B3:F203"/>
  <mergeCells count="2">
    <mergeCell ref="A2:G2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B2C2C"/>
    <outlinePr summaryBelow="1" summaryRight="1"/>
    <pageSetUpPr fitToPage="1"/>
  </sheetPr>
  <dimension ref="A1:J42"/>
  <sheetViews>
    <sheetView showGridLines="0"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4" customWidth="1" min="7" max="7"/>
    <col width="20" customWidth="1" min="8" max="8"/>
    <col width="16" customWidth="1" min="9" max="9"/>
    <col width="16" customWidth="1" min="10" max="10"/>
  </cols>
  <sheetData>
    <row r="1" ht="34" customHeight="1">
      <c r="A1" s="1" t="inlineStr">
        <is>
          <t>شركة المتوكل  —  التقارير المالية والإدارية</t>
        </is>
      </c>
    </row>
    <row r="2" ht="20" customHeight="1">
      <c r="A2" s="3" t="inlineStr">
        <is>
          <t>تقارير جاهزة للطباعة — تُحدَّث تلقائياً</t>
        </is>
      </c>
    </row>
    <row r="3" ht="24" customHeight="1">
      <c r="B3" s="62" t="inlineStr">
        <is>
          <t>الملخص المالي العام</t>
        </is>
      </c>
    </row>
    <row r="4" ht="20" customHeight="1">
      <c r="B4" s="63" t="inlineStr">
        <is>
          <t>إجمالي الإيرادات</t>
        </is>
      </c>
      <c r="C4" s="154">
        <f>SUM('البوالص'!$L$4:$L$2203)+SUM('شامل'!$O$4:$O$2203)+SUM('التخليص'!$G$4:$G$2203)+SUM('مولدات ايجي كول'!$G$4:$G$2203)+SUM('مولدات الشجيع'!$G$4:$G$2203)</f>
        <v/>
      </c>
      <c r="E4" s="63" t="inlineStr">
        <is>
          <t>إجمالي المتحصّلات</t>
        </is>
      </c>
      <c r="F4" s="155">
        <f>SUM('البوالص'!$Q$4:$Q$2203)+SUM('شامل'!$P$4:$P$2203)+SUM('التخليص'!$H$4:$H$2203)+SUM('مولدات ايجي كول'!$H$4:$H$2203)+SUM('مولدات الشجيع'!$H$4:$H$2203)</f>
        <v/>
      </c>
    </row>
    <row r="5" ht="20" customHeight="1">
      <c r="B5" s="63" t="inlineStr">
        <is>
          <t>إجمالي المصروفات</t>
        </is>
      </c>
      <c r="C5" s="156">
        <f>SUM('البوالص'!$AF$4:$AF$2203)+SUM('شامل'!$T$4:$T$2203)+SUM('التخليص'!$F$4:$F$2203)</f>
        <v/>
      </c>
      <c r="E5" s="63" t="inlineStr">
        <is>
          <t>المتبقي على العملاء</t>
        </is>
      </c>
      <c r="F5" s="157">
        <f>SUM('البوالص'!$R$4:$R$2203)+SUM('شامل'!$Q$4:$Q$2203)+SUM('التخليص'!$I$4:$I$2203)+SUM('مولدات ايجي كول'!$I$4:$I$2203)+SUM('مولدات الشجيع'!$I$4:$I$2203)</f>
        <v/>
      </c>
    </row>
    <row r="6" ht="20" customHeight="1">
      <c r="B6" s="63" t="inlineStr">
        <is>
          <t>صافي الأرباح</t>
        </is>
      </c>
      <c r="C6" s="158">
        <f>SUM('شامل'!$U$4:$U$2203)+SUM('شامل'!$V$4:$V$2203)+SUM('البوالص'!$AH$4:$AH$2203)</f>
        <v/>
      </c>
      <c r="E6" s="63" t="inlineStr">
        <is>
          <t>إجمالي النولون</t>
        </is>
      </c>
      <c r="F6" s="159">
        <f>SUM('البوالص'!$L$4:$L$2203)+SUM('شامل'!$J$4:$J$2203)+SUM('مولدات ايجي كول'!$G$4:$G$2203)+SUM('مولدات الشجيع'!$G$4:$G$2203)</f>
        <v/>
      </c>
    </row>
    <row r="7" ht="20" customHeight="1">
      <c r="E7" s="63" t="inlineStr">
        <is>
          <t>هامش الربح %</t>
        </is>
      </c>
      <c r="F7" s="160">
        <f>IF((SUM('البوالص'!$L$4:$L$2203)+SUM('شامل'!$O$4:$O$2203)+SUM('التخليص'!$G$4:$G$2203)+SUM('مولدات ايجي كول'!$G$4:$G$2203)+SUM('مولدات الشجيع'!$G$4:$G$2203))=0,"",(SUM('شامل'!$U$4:$U$2203)+SUM('شامل'!$V$4:$V$2203)+SUM('البوالص'!$AH$4:$AH$2203))/(SUM('البوالص'!$L$4:$L$2203)+SUM('شامل'!$O$4:$O$2203)+SUM('التخليص'!$G$4:$G$2203)+SUM('مولدات ايجي كول'!$G$4:$G$2203)+SUM('مولدات الشجيع'!$G$4:$G$2203)))</f>
        <v/>
      </c>
    </row>
    <row r="9" ht="24" customHeight="1">
      <c r="B9" s="71" t="inlineStr">
        <is>
          <t>الأداء الشهري</t>
        </is>
      </c>
      <c r="H9" s="73" t="inlineStr">
        <is>
          <t>الربح حسب الشركة</t>
        </is>
      </c>
    </row>
    <row r="10">
      <c r="B10" s="75" t="inlineStr">
        <is>
          <t>الشهر</t>
        </is>
      </c>
      <c r="C10" s="75" t="inlineStr">
        <is>
          <t>الإيرادات</t>
        </is>
      </c>
      <c r="D10" s="75" t="inlineStr">
        <is>
          <t>المصروفات</t>
        </is>
      </c>
      <c r="E10" s="75" t="inlineStr">
        <is>
          <t>صافي الربح</t>
        </is>
      </c>
      <c r="F10" s="75" t="inlineStr">
        <is>
          <t>المتحصّلات</t>
        </is>
      </c>
      <c r="H10" s="75" t="inlineStr">
        <is>
          <t>الشركة</t>
        </is>
      </c>
      <c r="I10" s="75" t="inlineStr">
        <is>
          <t>النولون</t>
        </is>
      </c>
      <c r="J10" s="75" t="inlineStr">
        <is>
          <t>صافي الربح</t>
        </is>
      </c>
    </row>
    <row r="11">
      <c r="B11" s="76">
        <f>'بيانات_التقارير'!B4</f>
        <v/>
      </c>
      <c r="C11" s="161">
        <f>'بيانات_التقارير'!C4</f>
        <v/>
      </c>
      <c r="D11" s="161">
        <f>'بيانات_التقارير'!D4</f>
        <v/>
      </c>
      <c r="E11" s="161">
        <f>'بيانات_التقارير'!E4</f>
        <v/>
      </c>
      <c r="F11" s="161">
        <f>'بيانات_التقارير'!F4</f>
        <v/>
      </c>
      <c r="H11" s="76">
        <f>'بيانات_التقارير'!H4</f>
        <v/>
      </c>
      <c r="I11" s="161">
        <f>'بيانات_التقارير'!I4</f>
        <v/>
      </c>
      <c r="J11" s="161">
        <f>'بيانات_التقارير'!J4</f>
        <v/>
      </c>
    </row>
    <row r="12">
      <c r="B12" s="78">
        <f>'بيانات_التقارير'!B5</f>
        <v/>
      </c>
      <c r="C12" s="162">
        <f>'بيانات_التقارير'!C5</f>
        <v/>
      </c>
      <c r="D12" s="162">
        <f>'بيانات_التقارير'!D5</f>
        <v/>
      </c>
      <c r="E12" s="162">
        <f>'بيانات_التقارير'!E5</f>
        <v/>
      </c>
      <c r="F12" s="162">
        <f>'بيانات_التقارير'!F5</f>
        <v/>
      </c>
      <c r="H12" s="78">
        <f>'بيانات_التقارير'!H5</f>
        <v/>
      </c>
      <c r="I12" s="162">
        <f>'بيانات_التقارير'!I5</f>
        <v/>
      </c>
      <c r="J12" s="162">
        <f>'بيانات_التقارير'!J5</f>
        <v/>
      </c>
    </row>
    <row r="13">
      <c r="B13" s="76">
        <f>'بيانات_التقارير'!B6</f>
        <v/>
      </c>
      <c r="C13" s="161">
        <f>'بيانات_التقارير'!C6</f>
        <v/>
      </c>
      <c r="D13" s="161">
        <f>'بيانات_التقارير'!D6</f>
        <v/>
      </c>
      <c r="E13" s="161">
        <f>'بيانات_التقارير'!E6</f>
        <v/>
      </c>
      <c r="F13" s="161">
        <f>'بيانات_التقارير'!F6</f>
        <v/>
      </c>
      <c r="H13" s="76">
        <f>'بيانات_التقارير'!H6</f>
        <v/>
      </c>
      <c r="I13" s="161">
        <f>'بيانات_التقارير'!I6</f>
        <v/>
      </c>
      <c r="J13" s="161">
        <f>'بيانات_التقارير'!J6</f>
        <v/>
      </c>
    </row>
    <row r="14">
      <c r="B14" s="78">
        <f>'بيانات_التقارير'!B7</f>
        <v/>
      </c>
      <c r="C14" s="162">
        <f>'بيانات_التقارير'!C7</f>
        <v/>
      </c>
      <c r="D14" s="162">
        <f>'بيانات_التقارير'!D7</f>
        <v/>
      </c>
      <c r="E14" s="162">
        <f>'بيانات_التقارير'!E7</f>
        <v/>
      </c>
      <c r="F14" s="162">
        <f>'بيانات_التقارير'!F7</f>
        <v/>
      </c>
      <c r="H14" s="78">
        <f>'بيانات_التقارير'!H7</f>
        <v/>
      </c>
      <c r="I14" s="162">
        <f>'بيانات_التقارير'!I7</f>
        <v/>
      </c>
      <c r="J14" s="162">
        <f>'بيانات_التقارير'!J7</f>
        <v/>
      </c>
    </row>
    <row r="15">
      <c r="B15" s="76">
        <f>'بيانات_التقارير'!B8</f>
        <v/>
      </c>
      <c r="C15" s="161">
        <f>'بيانات_التقارير'!C8</f>
        <v/>
      </c>
      <c r="D15" s="161">
        <f>'بيانات_التقارير'!D8</f>
        <v/>
      </c>
      <c r="E15" s="161">
        <f>'بيانات_التقارير'!E8</f>
        <v/>
      </c>
      <c r="F15" s="161">
        <f>'بيانات_التقارير'!F8</f>
        <v/>
      </c>
      <c r="H15" s="76">
        <f>'بيانات_التقارير'!H8</f>
        <v/>
      </c>
      <c r="I15" s="161">
        <f>'بيانات_التقارير'!I8</f>
        <v/>
      </c>
      <c r="J15" s="161">
        <f>'بيانات_التقارير'!J8</f>
        <v/>
      </c>
    </row>
    <row r="16">
      <c r="B16" s="78">
        <f>'بيانات_التقارير'!B9</f>
        <v/>
      </c>
      <c r="C16" s="162">
        <f>'بيانات_التقارير'!C9</f>
        <v/>
      </c>
      <c r="D16" s="162">
        <f>'بيانات_التقارير'!D9</f>
        <v/>
      </c>
      <c r="E16" s="162">
        <f>'بيانات_التقارير'!E9</f>
        <v/>
      </c>
      <c r="F16" s="162">
        <f>'بيانات_التقارير'!F9</f>
        <v/>
      </c>
      <c r="H16" s="78">
        <f>'بيانات_التقارير'!H9</f>
        <v/>
      </c>
      <c r="I16" s="162">
        <f>'بيانات_التقارير'!I9</f>
        <v/>
      </c>
      <c r="J16" s="162">
        <f>'بيانات_التقارير'!J9</f>
        <v/>
      </c>
    </row>
    <row r="17">
      <c r="B17" s="76">
        <f>'بيانات_التقارير'!B10</f>
        <v/>
      </c>
      <c r="C17" s="161">
        <f>'بيانات_التقارير'!C10</f>
        <v/>
      </c>
      <c r="D17" s="161">
        <f>'بيانات_التقارير'!D10</f>
        <v/>
      </c>
      <c r="E17" s="161">
        <f>'بيانات_التقارير'!E10</f>
        <v/>
      </c>
      <c r="F17" s="161">
        <f>'بيانات_التقارير'!F10</f>
        <v/>
      </c>
      <c r="H17" s="76">
        <f>'بيانات_التقارير'!H10</f>
        <v/>
      </c>
      <c r="I17" s="161">
        <f>'بيانات_التقارير'!I10</f>
        <v/>
      </c>
      <c r="J17" s="161">
        <f>'بيانات_التقارير'!J10</f>
        <v/>
      </c>
    </row>
    <row r="18">
      <c r="B18" s="78">
        <f>'بيانات_التقارير'!B11</f>
        <v/>
      </c>
      <c r="C18" s="162">
        <f>'بيانات_التقارير'!C11</f>
        <v/>
      </c>
      <c r="D18" s="162">
        <f>'بيانات_التقارير'!D11</f>
        <v/>
      </c>
      <c r="E18" s="162">
        <f>'بيانات_التقارير'!E11</f>
        <v/>
      </c>
      <c r="F18" s="162">
        <f>'بيانات_التقارير'!F11</f>
        <v/>
      </c>
      <c r="H18" s="78">
        <f>'بيانات_التقارير'!H11</f>
        <v/>
      </c>
      <c r="I18" s="162">
        <f>'بيانات_التقارير'!I11</f>
        <v/>
      </c>
      <c r="J18" s="162">
        <f>'بيانات_التقارير'!J11</f>
        <v/>
      </c>
    </row>
    <row r="19">
      <c r="B19" s="76">
        <f>'بيانات_التقارير'!B12</f>
        <v/>
      </c>
      <c r="C19" s="161">
        <f>'بيانات_التقارير'!C12</f>
        <v/>
      </c>
      <c r="D19" s="161">
        <f>'بيانات_التقارير'!D12</f>
        <v/>
      </c>
      <c r="E19" s="161">
        <f>'بيانات_التقارير'!E12</f>
        <v/>
      </c>
      <c r="F19" s="161">
        <f>'بيانات_التقارير'!F12</f>
        <v/>
      </c>
      <c r="H19" s="76">
        <f>'بيانات_التقارير'!H12</f>
        <v/>
      </c>
      <c r="I19" s="161">
        <f>'بيانات_التقارير'!I12</f>
        <v/>
      </c>
      <c r="J19" s="161">
        <f>'بيانات_التقارير'!J12</f>
        <v/>
      </c>
    </row>
    <row r="20">
      <c r="B20" s="78">
        <f>'بيانات_التقارير'!B13</f>
        <v/>
      </c>
      <c r="C20" s="162">
        <f>'بيانات_التقارير'!C13</f>
        <v/>
      </c>
      <c r="D20" s="162">
        <f>'بيانات_التقارير'!D13</f>
        <v/>
      </c>
      <c r="E20" s="162">
        <f>'بيانات_التقارير'!E13</f>
        <v/>
      </c>
      <c r="F20" s="162">
        <f>'بيانات_التقارير'!F13</f>
        <v/>
      </c>
      <c r="H20" s="78">
        <f>'بيانات_التقارير'!H13</f>
        <v/>
      </c>
      <c r="I20" s="162">
        <f>'بيانات_التقارير'!I13</f>
        <v/>
      </c>
      <c r="J20" s="162">
        <f>'بيانات_التقارير'!J13</f>
        <v/>
      </c>
    </row>
    <row r="21">
      <c r="B21" s="76">
        <f>'بيانات_التقارير'!B14</f>
        <v/>
      </c>
      <c r="C21" s="161">
        <f>'بيانات_التقارير'!C14</f>
        <v/>
      </c>
      <c r="D21" s="161">
        <f>'بيانات_التقارير'!D14</f>
        <v/>
      </c>
      <c r="E21" s="161">
        <f>'بيانات_التقارير'!E14</f>
        <v/>
      </c>
      <c r="F21" s="161">
        <f>'بيانات_التقارير'!F14</f>
        <v/>
      </c>
      <c r="H21" s="76">
        <f>'بيانات_التقارير'!H14</f>
        <v/>
      </c>
      <c r="I21" s="161">
        <f>'بيانات_التقارير'!I14</f>
        <v/>
      </c>
      <c r="J21" s="161">
        <f>'بيانات_التقارير'!J14</f>
        <v/>
      </c>
    </row>
    <row r="22">
      <c r="B22" s="78">
        <f>'بيانات_التقارير'!B15</f>
        <v/>
      </c>
      <c r="C22" s="162">
        <f>'بيانات_التقارير'!C15</f>
        <v/>
      </c>
      <c r="D22" s="162">
        <f>'بيانات_التقارير'!D15</f>
        <v/>
      </c>
      <c r="E22" s="162">
        <f>'بيانات_التقارير'!E15</f>
        <v/>
      </c>
      <c r="F22" s="162">
        <f>'بيانات_التقارير'!F15</f>
        <v/>
      </c>
      <c r="H22" s="78">
        <f>'بيانات_التقارير'!H15</f>
        <v/>
      </c>
      <c r="I22" s="162">
        <f>'بيانات_التقارير'!I15</f>
        <v/>
      </c>
      <c r="J22" s="162">
        <f>'بيانات_التقارير'!J15</f>
        <v/>
      </c>
    </row>
    <row r="23">
      <c r="B23" s="80" t="inlineStr">
        <is>
          <t>الإجمالي السنوي</t>
        </is>
      </c>
      <c r="C23" s="163">
        <f>SUM('بيانات_التقارير'!C4:C15)</f>
        <v/>
      </c>
      <c r="D23" s="163">
        <f>SUM('بيانات_التقارير'!D4:D15)</f>
        <v/>
      </c>
      <c r="E23" s="163">
        <f>SUM('بيانات_التقارير'!E4:E15)</f>
        <v/>
      </c>
      <c r="F23" s="163">
        <f>SUM('بيانات_التقارير'!F4:F15)</f>
        <v/>
      </c>
      <c r="H23" s="76">
        <f>'بيانات_التقارير'!H16</f>
        <v/>
      </c>
      <c r="I23" s="161">
        <f>'بيانات_التقارير'!I16</f>
        <v/>
      </c>
      <c r="J23" s="161">
        <f>'بيانات_التقارير'!J16</f>
        <v/>
      </c>
    </row>
    <row r="24">
      <c r="H24" s="78">
        <f>'بيانات_التقارير'!H17</f>
        <v/>
      </c>
      <c r="I24" s="162">
        <f>'بيانات_التقارير'!I17</f>
        <v/>
      </c>
      <c r="J24" s="162">
        <f>'بيانات_التقارير'!J17</f>
        <v/>
      </c>
    </row>
    <row r="25">
      <c r="H25" s="76">
        <f>'بيانات_التقارير'!H18</f>
        <v/>
      </c>
      <c r="I25" s="161">
        <f>'بيانات_التقارير'!I18</f>
        <v/>
      </c>
      <c r="J25" s="161">
        <f>'بيانات_التقارير'!J18</f>
        <v/>
      </c>
    </row>
    <row r="26" ht="24" customHeight="1">
      <c r="B26" s="82" t="inlineStr">
        <is>
          <t>مديونية العملاء (المتأخرات)</t>
        </is>
      </c>
    </row>
    <row r="27">
      <c r="B27" s="75" t="inlineStr">
        <is>
          <t>العميل</t>
        </is>
      </c>
      <c r="C27" s="75" t="inlineStr">
        <is>
          <t>إجمالي الفواتير</t>
        </is>
      </c>
      <c r="D27" s="75" t="inlineStr">
        <is>
          <t>المتبقي عليه</t>
        </is>
      </c>
    </row>
    <row r="28">
      <c r="B28" s="76">
        <f>'بيانات_التقارير'!L4</f>
        <v/>
      </c>
      <c r="C28" s="161">
        <f>'بيانات_التقارير'!M4</f>
        <v/>
      </c>
      <c r="D28" s="161">
        <f>'بيانات_التقارير'!N4</f>
        <v/>
      </c>
    </row>
    <row r="29">
      <c r="B29" s="78">
        <f>'بيانات_التقارير'!L5</f>
        <v/>
      </c>
      <c r="C29" s="162">
        <f>'بيانات_التقارير'!M5</f>
        <v/>
      </c>
      <c r="D29" s="162">
        <f>'بيانات_التقارير'!N5</f>
        <v/>
      </c>
    </row>
    <row r="30">
      <c r="B30" s="76">
        <f>'بيانات_التقارير'!L6</f>
        <v/>
      </c>
      <c r="C30" s="161">
        <f>'بيانات_التقارير'!M6</f>
        <v/>
      </c>
      <c r="D30" s="161">
        <f>'بيانات_التقارير'!N6</f>
        <v/>
      </c>
    </row>
    <row r="31">
      <c r="B31" s="78">
        <f>'بيانات_التقارير'!L7</f>
        <v/>
      </c>
      <c r="C31" s="162">
        <f>'بيانات_التقارير'!M7</f>
        <v/>
      </c>
      <c r="D31" s="162">
        <f>'بيانات_التقارير'!N7</f>
        <v/>
      </c>
    </row>
    <row r="32">
      <c r="B32" s="76">
        <f>'بيانات_التقارير'!L8</f>
        <v/>
      </c>
      <c r="C32" s="161">
        <f>'بيانات_التقارير'!M8</f>
        <v/>
      </c>
      <c r="D32" s="161">
        <f>'بيانات_التقارير'!N8</f>
        <v/>
      </c>
    </row>
    <row r="33">
      <c r="B33" s="78">
        <f>'بيانات_التقارير'!L9</f>
        <v/>
      </c>
      <c r="C33" s="162">
        <f>'بيانات_التقارير'!M9</f>
        <v/>
      </c>
      <c r="D33" s="162">
        <f>'بيانات_التقارير'!N9</f>
        <v/>
      </c>
    </row>
    <row r="34">
      <c r="B34" s="76">
        <f>'بيانات_التقارير'!L10</f>
        <v/>
      </c>
      <c r="C34" s="161">
        <f>'بيانات_التقارير'!M10</f>
        <v/>
      </c>
      <c r="D34" s="161">
        <f>'بيانات_التقارير'!N10</f>
        <v/>
      </c>
    </row>
    <row r="35">
      <c r="B35" s="78">
        <f>'بيانات_التقارير'!L11</f>
        <v/>
      </c>
      <c r="C35" s="162">
        <f>'بيانات_التقارير'!M11</f>
        <v/>
      </c>
      <c r="D35" s="162">
        <f>'بيانات_التقارير'!N11</f>
        <v/>
      </c>
    </row>
    <row r="36">
      <c r="B36" s="76">
        <f>'بيانات_التقارير'!L12</f>
        <v/>
      </c>
      <c r="C36" s="161">
        <f>'بيانات_التقارير'!M12</f>
        <v/>
      </c>
      <c r="D36" s="161">
        <f>'بيانات_التقارير'!N12</f>
        <v/>
      </c>
    </row>
    <row r="37">
      <c r="B37" s="78">
        <f>'بيانات_التقارير'!L13</f>
        <v/>
      </c>
      <c r="C37" s="162">
        <f>'بيانات_التقارير'!M13</f>
        <v/>
      </c>
      <c r="D37" s="162">
        <f>'بيانات_التقارير'!N13</f>
        <v/>
      </c>
    </row>
    <row r="38">
      <c r="B38" s="76">
        <f>'بيانات_التقارير'!L14</f>
        <v/>
      </c>
      <c r="C38" s="161">
        <f>'بيانات_التقارير'!M14</f>
        <v/>
      </c>
      <c r="D38" s="161">
        <f>'بيانات_التقارير'!N14</f>
        <v/>
      </c>
    </row>
    <row r="39">
      <c r="B39" s="78">
        <f>'بيانات_التقارير'!L15</f>
        <v/>
      </c>
      <c r="C39" s="162">
        <f>'بيانات_التقارير'!M15</f>
        <v/>
      </c>
      <c r="D39" s="162">
        <f>'بيانات_التقارير'!N15</f>
        <v/>
      </c>
    </row>
    <row r="40">
      <c r="B40" s="76">
        <f>'بيانات_التقارير'!L16</f>
        <v/>
      </c>
      <c r="C40" s="161">
        <f>'بيانات_التقارير'!M16</f>
        <v/>
      </c>
      <c r="D40" s="161">
        <f>'بيانات_التقارير'!N16</f>
        <v/>
      </c>
    </row>
    <row r="41">
      <c r="B41" s="78">
        <f>'بيانات_التقارير'!L17</f>
        <v/>
      </c>
      <c r="C41" s="162">
        <f>'بيانات_التقارير'!M17</f>
        <v/>
      </c>
      <c r="D41" s="162">
        <f>'بيانات_التقارير'!N17</f>
        <v/>
      </c>
    </row>
    <row r="42">
      <c r="B42" s="76">
        <f>'بيانات_التقارير'!L18</f>
        <v/>
      </c>
      <c r="C42" s="161">
        <f>'بيانات_التقارير'!M18</f>
        <v/>
      </c>
      <c r="D42" s="161">
        <f>'بيانات_التقارير'!N18</f>
        <v/>
      </c>
    </row>
  </sheetData>
  <mergeCells count="6">
    <mergeCell ref="A1:J1"/>
    <mergeCell ref="B3:I3"/>
    <mergeCell ref="H9:J9"/>
    <mergeCell ref="A2:J2"/>
    <mergeCell ref="B26:F26"/>
    <mergeCell ref="B9:F9"/>
  </mergeCells>
  <conditionalFormatting sqref="D28:D42">
    <cfRule type="cellIs" priority="1" operator="greaterThan" dxfId="0">
      <formula>0</formula>
    </cfRule>
  </conditionalFormatting>
  <pageMargins left="0.75" right="0.75" top="1" bottom="1" header="0.5" footer="0.5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18"/>
  <sheetViews>
    <sheetView showGridLines="0"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5" customWidth="1" min="4" max="4"/>
    <col width="15" customWidth="1" min="5" max="5"/>
    <col width="15" customWidth="1" min="6" max="6"/>
    <col width="2" customWidth="1" min="7" max="7"/>
    <col width="18" customWidth="1" min="8" max="8"/>
    <col width="15" customWidth="1" min="9" max="9"/>
    <col width="15" customWidth="1" min="10" max="10"/>
    <col width="2" customWidth="1" min="11" max="11"/>
    <col width="18" customWidth="1" min="12" max="12"/>
    <col width="16" customWidth="1" min="13" max="13"/>
    <col width="15" customWidth="1" min="14" max="14"/>
    <col width="2" customWidth="1" min="15" max="15"/>
    <col width="16" customWidth="1" min="16" max="16"/>
    <col width="15" customWidth="1" min="17" max="17"/>
    <col width="2" customWidth="1" min="18" max="18"/>
    <col width="14" customWidth="1" min="19" max="19"/>
    <col width="16" customWidth="1" min="20" max="20"/>
    <col width="2" customWidth="1" min="21" max="21"/>
    <col width="18" customWidth="1" min="22" max="22"/>
    <col width="14" customWidth="1" min="23" max="23"/>
  </cols>
  <sheetData>
    <row r="1" ht="34" customHeight="1">
      <c r="A1" s="1" t="inlineStr">
        <is>
          <t>شركة المتوكل  —  بيانات التقارير (تُحدَّث تلقائياً)</t>
        </is>
      </c>
    </row>
    <row r="2" ht="20" customHeight="1">
      <c r="A2" s="3" t="inlineStr">
        <is>
          <t>لا تُعدّل هذه الصفحة يدوياً — تُغذّي لوحة التحكم والرسوم</t>
        </is>
      </c>
    </row>
    <row r="3">
      <c r="A3" s="53" t="inlineStr">
        <is>
          <t>تاريخ</t>
        </is>
      </c>
      <c r="B3" s="53" t="inlineStr">
        <is>
          <t>الشهر</t>
        </is>
      </c>
      <c r="C3" s="54" t="inlineStr">
        <is>
          <t>الإيرادات</t>
        </is>
      </c>
      <c r="D3" s="55" t="inlineStr">
        <is>
          <t>المصروفات</t>
        </is>
      </c>
      <c r="E3" s="84" t="inlineStr">
        <is>
          <t>صافي الربح</t>
        </is>
      </c>
      <c r="F3" s="85" t="inlineStr">
        <is>
          <t>المتحصّلات</t>
        </is>
      </c>
      <c r="H3" s="53" t="inlineStr">
        <is>
          <t>الشركة</t>
        </is>
      </c>
      <c r="I3" s="54" t="inlineStr">
        <is>
          <t>النولون</t>
        </is>
      </c>
      <c r="J3" s="84" t="inlineStr">
        <is>
          <t>صافي الربح</t>
        </is>
      </c>
      <c r="L3" s="53" t="inlineStr">
        <is>
          <t>العميل</t>
        </is>
      </c>
      <c r="M3" s="54" t="inlineStr">
        <is>
          <t>إجمالي الفواتير</t>
        </is>
      </c>
      <c r="N3" s="55" t="inlineStr">
        <is>
          <t>المتبقي عليه</t>
        </is>
      </c>
      <c r="P3" s="53" t="inlineStr">
        <is>
          <t>بند المصروف</t>
        </is>
      </c>
      <c r="Q3" s="55" t="inlineStr">
        <is>
          <t>الإجمالي</t>
        </is>
      </c>
      <c r="S3" s="53" t="inlineStr">
        <is>
          <t>جهة المولدات</t>
        </is>
      </c>
      <c r="T3" s="85" t="inlineStr">
        <is>
          <t>إجمالي النولون</t>
        </is>
      </c>
      <c r="V3" s="53" t="inlineStr">
        <is>
          <t>المورد</t>
        </is>
      </c>
      <c r="W3" s="55" t="inlineStr">
        <is>
          <t>الرصيد</t>
        </is>
      </c>
    </row>
    <row r="4">
      <c r="A4" s="164">
        <f>DATE(سنة_التقارير,1,1)</f>
        <v/>
      </c>
      <c r="B4" s="87" t="inlineStr">
        <is>
          <t>يناير</t>
        </is>
      </c>
      <c r="C4" s="165">
        <f>SUMIFS('البوالص'!$L$4:$L$2203,'البوالص'!$B$4:$B$2203,"&gt;="&amp;$A4,'البوالص'!$B$4:$B$2203,"&lt;"&amp;EDATE($A4,1))+SUMIFS('شامل'!$O$4:$O$2203,'شامل'!$B$4:$B$2203,"&gt;="&amp;$A4,'شامل'!$B$4:$B$2203,"&lt;"&amp;EDATE($A4,1))+SUMIFS('التخليص'!$G$4:$G$2203,'التخليص'!$B$4:$B$2203,"&gt;="&amp;$A4,'التخليص'!$B$4:$B$2203,"&lt;"&amp;EDATE($A4,1))+SUMIFS('مولدات ايجي كول'!$G$4:$G$2203,'مولدات ايجي كول'!$B$4:$B$2203,"&gt;="&amp;$A4,'مولدات ايجي كول'!$B$4:$B$2203,"&lt;"&amp;EDATE($A4,1))+SUMIFS('مولدات الشجيع'!$G$4:$G$2203,'مولدات الشجيع'!$B$4:$B$2203,"&gt;="&amp;$A4,'مولدات الشجيع'!$B$4:$B$2203,"&lt;"&amp;EDATE($A4,1))</f>
        <v/>
      </c>
      <c r="D4" s="165">
        <f>SUMIFS('البوالص'!$AF$4:$AF$2203,'البوالص'!$B$4:$B$2203,"&gt;="&amp;$A4,'البوالص'!$B$4:$B$2203,"&lt;"&amp;EDATE($A4,1))+SUMIFS('شامل'!$T$4:$T$2203,'شامل'!$B$4:$B$2203,"&gt;="&amp;$A4,'شامل'!$B$4:$B$2203,"&lt;"&amp;EDATE($A4,1))+SUMIFS('التخليص'!$F$4:$F$2203,'التخليص'!$B$4:$B$2203,"&gt;="&amp;$A4,'التخليص'!$B$4:$B$2203,"&lt;"&amp;EDATE($A4,1))</f>
        <v/>
      </c>
      <c r="E4" s="165">
        <f>SUMIFS('شامل'!$U$4:$U$2203,'شامل'!$B$4:$B$2203,"&gt;="&amp;$A4,'شامل'!$B$4:$B$2203,"&lt;"&amp;EDATE($A4,1))+SUMIFS('شامل'!$V$4:$V$2203,'شامل'!$B$4:$B$2203,"&gt;="&amp;$A4,'شامل'!$B$4:$B$2203,"&lt;"&amp;EDATE($A4,1))+SUMIFS('البوالص'!$AH$4:$AH$2203,'البوالص'!$B$4:$B$2203,"&gt;="&amp;$A4,'البوالص'!$B$4:$B$2203,"&lt;"&amp;EDATE($A4,1))</f>
        <v/>
      </c>
      <c r="F4" s="165">
        <f>SUMIFS('البوالص'!$Q$4:$Q$2203,'البوالص'!$B$4:$B$2203,"&gt;="&amp;$A4,'البوالص'!$B$4:$B$2203,"&lt;"&amp;EDATE($A4,1))+SUMIFS('شامل'!$P$4:$P$2203,'شامل'!$B$4:$B$2203,"&gt;="&amp;$A4,'شامل'!$B$4:$B$2203,"&lt;"&amp;EDATE($A4,1))+SUMIFS('التخليص'!$H$4:$H$2203,'التخليص'!$B$4:$B$2203,"&gt;="&amp;$A4,'التخليص'!$B$4:$B$2203,"&lt;"&amp;EDATE($A4,1))+SUMIFS('مولدات ايجي كول'!$H$4:$H$2203,'مولدات ايجي كول'!$B$4:$B$2203,"&gt;="&amp;$A4,'مولدات ايجي كول'!$B$4:$B$2203,"&lt;"&amp;EDATE($A4,1))+SUMIFS('مولدات الشجيع'!$H$4:$H$2203,'مولدات الشجيع'!$B$4:$B$2203,"&gt;="&amp;$A4,'مولدات الشجيع'!$B$4:$B$2203,"&lt;"&amp;EDATE($A4,1))</f>
        <v/>
      </c>
      <c r="H4" s="89">
        <f>IF(الإعدادات!$E4="","",الإعدادات!$E4)</f>
        <v/>
      </c>
      <c r="I4" s="165">
        <f>SUMIF('البوالص'!$F$4:$F$2203,الإعدادات!$E4,'البوالص'!$L$4:$L$2203)+SUMIF('شامل'!$G$4:$G$2203,الإعدادات!$E4,'شامل'!$J$4:$J$2203)</f>
        <v/>
      </c>
      <c r="J4" s="165">
        <f>SUMIF('البوالص'!$F$4:$F$2203,الإعدادات!$E4,'البوالص'!$AH$4:$AH$2203)+SUMIF('شامل'!$G$4:$G$2203,الإعدادات!$E4,'شامل'!$U$4:$U$2203)</f>
        <v/>
      </c>
      <c r="L4" s="89">
        <f>IF(الإعدادات!$I4="","",الإعدادات!$I4)</f>
        <v/>
      </c>
      <c r="M4" s="165">
        <f>SUMIF('شامل'!$F$4:$F$2203,الإعدادات!$I4,'شامل'!$O$4:$O$2203)</f>
        <v/>
      </c>
      <c r="N4" s="165">
        <f>SUMIF('شامل'!$F$4:$F$2203,الإعدادات!$I4,'شامل'!$Q$4:$Q$2203)</f>
        <v/>
      </c>
      <c r="P4" s="90" t="inlineStr">
        <is>
          <t>دور سواق</t>
        </is>
      </c>
      <c r="Q4" s="165">
        <f>SUM('البوالص'!$T$4:$T$2203)</f>
        <v/>
      </c>
      <c r="S4" s="87" t="inlineStr">
        <is>
          <t>ايجي كول</t>
        </is>
      </c>
      <c r="T4" s="165">
        <f>SUM('مولدات ايجي كول'!$G$4:$G$2203)</f>
        <v/>
      </c>
      <c r="V4" s="89">
        <f>IF('أرصدة العملاء والموردين'!E4="","",'أرصدة العملاء والموردين'!E4)</f>
        <v/>
      </c>
      <c r="W4" s="165">
        <f>'أرصدة العملاء والموردين'!F4</f>
        <v/>
      </c>
    </row>
    <row r="5">
      <c r="A5" s="164">
        <f>DATE(سنة_التقارير,2,1)</f>
        <v/>
      </c>
      <c r="B5" s="87" t="inlineStr">
        <is>
          <t>فبراير</t>
        </is>
      </c>
      <c r="C5" s="165">
        <f>SUMIFS('البوالص'!$L$4:$L$2203,'البوالص'!$B$4:$B$2203,"&gt;="&amp;$A5,'البوالص'!$B$4:$B$2203,"&lt;"&amp;EDATE($A5,1))+SUMIFS('شامل'!$O$4:$O$2203,'شامل'!$B$4:$B$2203,"&gt;="&amp;$A5,'شامل'!$B$4:$B$2203,"&lt;"&amp;EDATE($A5,1))+SUMIFS('التخليص'!$G$4:$G$2203,'التخليص'!$B$4:$B$2203,"&gt;="&amp;$A5,'التخليص'!$B$4:$B$2203,"&lt;"&amp;EDATE($A5,1))+SUMIFS('مولدات ايجي كول'!$G$4:$G$2203,'مولدات ايجي كول'!$B$4:$B$2203,"&gt;="&amp;$A5,'مولدات ايجي كول'!$B$4:$B$2203,"&lt;"&amp;EDATE($A5,1))+SUMIFS('مولدات الشجيع'!$G$4:$G$2203,'مولدات الشجيع'!$B$4:$B$2203,"&gt;="&amp;$A5,'مولدات الشجيع'!$B$4:$B$2203,"&lt;"&amp;EDATE($A5,1))</f>
        <v/>
      </c>
      <c r="D5" s="165">
        <f>SUMIFS('البوالص'!$AF$4:$AF$2203,'البوالص'!$B$4:$B$2203,"&gt;="&amp;$A5,'البوالص'!$B$4:$B$2203,"&lt;"&amp;EDATE($A5,1))+SUMIFS('شامل'!$T$4:$T$2203,'شامل'!$B$4:$B$2203,"&gt;="&amp;$A5,'شامل'!$B$4:$B$2203,"&lt;"&amp;EDATE($A5,1))+SUMIFS('التخليص'!$F$4:$F$2203,'التخليص'!$B$4:$B$2203,"&gt;="&amp;$A5,'التخليص'!$B$4:$B$2203,"&lt;"&amp;EDATE($A5,1))</f>
        <v/>
      </c>
      <c r="E5" s="165">
        <f>SUMIFS('شامل'!$U$4:$U$2203,'شامل'!$B$4:$B$2203,"&gt;="&amp;$A5,'شامل'!$B$4:$B$2203,"&lt;"&amp;EDATE($A5,1))+SUMIFS('شامل'!$V$4:$V$2203,'شامل'!$B$4:$B$2203,"&gt;="&amp;$A5,'شامل'!$B$4:$B$2203,"&lt;"&amp;EDATE($A5,1))+SUMIFS('البوالص'!$AH$4:$AH$2203,'البوالص'!$B$4:$B$2203,"&gt;="&amp;$A5,'البوالص'!$B$4:$B$2203,"&lt;"&amp;EDATE($A5,1))</f>
        <v/>
      </c>
      <c r="F5" s="165">
        <f>SUMIFS('البوالص'!$Q$4:$Q$2203,'البوالص'!$B$4:$B$2203,"&gt;="&amp;$A5,'البوالص'!$B$4:$B$2203,"&lt;"&amp;EDATE($A5,1))+SUMIFS('شامل'!$P$4:$P$2203,'شامل'!$B$4:$B$2203,"&gt;="&amp;$A5,'شامل'!$B$4:$B$2203,"&lt;"&amp;EDATE($A5,1))+SUMIFS('التخليص'!$H$4:$H$2203,'التخليص'!$B$4:$B$2203,"&gt;="&amp;$A5,'التخليص'!$B$4:$B$2203,"&lt;"&amp;EDATE($A5,1))+SUMIFS('مولدات ايجي كول'!$H$4:$H$2203,'مولدات ايجي كول'!$B$4:$B$2203,"&gt;="&amp;$A5,'مولدات ايجي كول'!$B$4:$B$2203,"&lt;"&amp;EDATE($A5,1))+SUMIFS('مولدات الشجيع'!$H$4:$H$2203,'مولدات الشجيع'!$B$4:$B$2203,"&gt;="&amp;$A5,'مولدات الشجيع'!$B$4:$B$2203,"&lt;"&amp;EDATE($A5,1))</f>
        <v/>
      </c>
      <c r="H5" s="89">
        <f>IF(الإعدادات!$E5="","",الإعدادات!$E5)</f>
        <v/>
      </c>
      <c r="I5" s="165">
        <f>SUMIF('البوالص'!$F$4:$F$2203,الإعدادات!$E5,'البوالص'!$L$4:$L$2203)+SUMIF('شامل'!$G$4:$G$2203,الإعدادات!$E5,'شامل'!$J$4:$J$2203)</f>
        <v/>
      </c>
      <c r="J5" s="165">
        <f>SUMIF('البوالص'!$F$4:$F$2203,الإعدادات!$E5,'البوالص'!$AH$4:$AH$2203)+SUMIF('شامل'!$G$4:$G$2203,الإعدادات!$E5,'شامل'!$U$4:$U$2203)</f>
        <v/>
      </c>
      <c r="L5" s="89">
        <f>IF(الإعدادات!$I5="","",الإعدادات!$I5)</f>
        <v/>
      </c>
      <c r="M5" s="165">
        <f>SUMIF('شامل'!$F$4:$F$2203,الإعدادات!$I5,'شامل'!$O$4:$O$2203)</f>
        <v/>
      </c>
      <c r="N5" s="165">
        <f>SUMIF('شامل'!$F$4:$F$2203,الإعدادات!$I5,'شامل'!$Q$4:$Q$2203)</f>
        <v/>
      </c>
      <c r="P5" s="90" t="inlineStr">
        <is>
          <t>دور تبّاع</t>
        </is>
      </c>
      <c r="Q5" s="165">
        <f>SUM('البوالص'!$U$4:$U$2203)</f>
        <v/>
      </c>
      <c r="S5" s="87" t="inlineStr">
        <is>
          <t>الشجيع</t>
        </is>
      </c>
      <c r="T5" s="165">
        <f>SUM('مولدات الشجيع'!$G$4:$G$2203)</f>
        <v/>
      </c>
      <c r="V5" s="89">
        <f>IF('أرصدة العملاء والموردين'!E5="","",'أرصدة العملاء والموردين'!E5)</f>
        <v/>
      </c>
      <c r="W5" s="165">
        <f>'أرصدة العملاء والموردين'!F5</f>
        <v/>
      </c>
    </row>
    <row r="6">
      <c r="A6" s="164">
        <f>DATE(سنة_التقارير,3,1)</f>
        <v/>
      </c>
      <c r="B6" s="87" t="inlineStr">
        <is>
          <t>مارس</t>
        </is>
      </c>
      <c r="C6" s="165">
        <f>SUMIFS('البوالص'!$L$4:$L$2203,'البوالص'!$B$4:$B$2203,"&gt;="&amp;$A6,'البوالص'!$B$4:$B$2203,"&lt;"&amp;EDATE($A6,1))+SUMIFS('شامل'!$O$4:$O$2203,'شامل'!$B$4:$B$2203,"&gt;="&amp;$A6,'شامل'!$B$4:$B$2203,"&lt;"&amp;EDATE($A6,1))+SUMIFS('التخليص'!$G$4:$G$2203,'التخليص'!$B$4:$B$2203,"&gt;="&amp;$A6,'التخليص'!$B$4:$B$2203,"&lt;"&amp;EDATE($A6,1))+SUMIFS('مولدات ايجي كول'!$G$4:$G$2203,'مولدات ايجي كول'!$B$4:$B$2203,"&gt;="&amp;$A6,'مولدات ايجي كول'!$B$4:$B$2203,"&lt;"&amp;EDATE($A6,1))+SUMIFS('مولدات الشجيع'!$G$4:$G$2203,'مولدات الشجيع'!$B$4:$B$2203,"&gt;="&amp;$A6,'مولدات الشجيع'!$B$4:$B$2203,"&lt;"&amp;EDATE($A6,1))</f>
        <v/>
      </c>
      <c r="D6" s="165">
        <f>SUMIFS('البوالص'!$AF$4:$AF$2203,'البوالص'!$B$4:$B$2203,"&gt;="&amp;$A6,'البوالص'!$B$4:$B$2203,"&lt;"&amp;EDATE($A6,1))+SUMIFS('شامل'!$T$4:$T$2203,'شامل'!$B$4:$B$2203,"&gt;="&amp;$A6,'شامل'!$B$4:$B$2203,"&lt;"&amp;EDATE($A6,1))+SUMIFS('التخليص'!$F$4:$F$2203,'التخليص'!$B$4:$B$2203,"&gt;="&amp;$A6,'التخليص'!$B$4:$B$2203,"&lt;"&amp;EDATE($A6,1))</f>
        <v/>
      </c>
      <c r="E6" s="165">
        <f>SUMIFS('شامل'!$U$4:$U$2203,'شامل'!$B$4:$B$2203,"&gt;="&amp;$A6,'شامل'!$B$4:$B$2203,"&lt;"&amp;EDATE($A6,1))+SUMIFS('شامل'!$V$4:$V$2203,'شامل'!$B$4:$B$2203,"&gt;="&amp;$A6,'شامل'!$B$4:$B$2203,"&lt;"&amp;EDATE($A6,1))+SUMIFS('البوالص'!$AH$4:$AH$2203,'البوالص'!$B$4:$B$2203,"&gt;="&amp;$A6,'البوالص'!$B$4:$B$2203,"&lt;"&amp;EDATE($A6,1))</f>
        <v/>
      </c>
      <c r="F6" s="165">
        <f>SUMIFS('البوالص'!$Q$4:$Q$2203,'البوالص'!$B$4:$B$2203,"&gt;="&amp;$A6,'البوالص'!$B$4:$B$2203,"&lt;"&amp;EDATE($A6,1))+SUMIFS('شامل'!$P$4:$P$2203,'شامل'!$B$4:$B$2203,"&gt;="&amp;$A6,'شامل'!$B$4:$B$2203,"&lt;"&amp;EDATE($A6,1))+SUMIFS('التخليص'!$H$4:$H$2203,'التخليص'!$B$4:$B$2203,"&gt;="&amp;$A6,'التخليص'!$B$4:$B$2203,"&lt;"&amp;EDATE($A6,1))+SUMIFS('مولدات ايجي كول'!$H$4:$H$2203,'مولدات ايجي كول'!$B$4:$B$2203,"&gt;="&amp;$A6,'مولدات ايجي كول'!$B$4:$B$2203,"&lt;"&amp;EDATE($A6,1))+SUMIFS('مولدات الشجيع'!$H$4:$H$2203,'مولدات الشجيع'!$B$4:$B$2203,"&gt;="&amp;$A6,'مولدات الشجيع'!$B$4:$B$2203,"&lt;"&amp;EDATE($A6,1))</f>
        <v/>
      </c>
      <c r="H6" s="89">
        <f>IF(الإعدادات!$E6="","",الإعدادات!$E6)</f>
        <v/>
      </c>
      <c r="I6" s="165">
        <f>SUMIF('البوالص'!$F$4:$F$2203,الإعدادات!$E6,'البوالص'!$L$4:$L$2203)+SUMIF('شامل'!$G$4:$G$2203,الإعدادات!$E6,'شامل'!$J$4:$J$2203)</f>
        <v/>
      </c>
      <c r="J6" s="165">
        <f>SUMIF('البوالص'!$F$4:$F$2203,الإعدادات!$E6,'البوالص'!$AH$4:$AH$2203)+SUMIF('شامل'!$G$4:$G$2203,الإعدادات!$E6,'شامل'!$U$4:$U$2203)</f>
        <v/>
      </c>
      <c r="L6" s="89">
        <f>IF(الإعدادات!$I6="","",الإعدادات!$I6)</f>
        <v/>
      </c>
      <c r="M6" s="165">
        <f>SUMIF('شامل'!$F$4:$F$2203,الإعدادات!$I6,'شامل'!$O$4:$O$2203)</f>
        <v/>
      </c>
      <c r="N6" s="165">
        <f>SUMIF('شامل'!$F$4:$F$2203,الإعدادات!$I6,'شامل'!$Q$4:$Q$2203)</f>
        <v/>
      </c>
      <c r="P6" s="90" t="inlineStr">
        <is>
          <t>بياتة (مصروف)</t>
        </is>
      </c>
      <c r="Q6" s="165">
        <f>SUM('البوالص'!$V$4:$V$2203)</f>
        <v/>
      </c>
      <c r="V6" s="89">
        <f>IF('أرصدة العملاء والموردين'!E6="","",'أرصدة العملاء والموردين'!E6)</f>
        <v/>
      </c>
      <c r="W6" s="165">
        <f>'أرصدة العملاء والموردين'!F6</f>
        <v/>
      </c>
    </row>
    <row r="7">
      <c r="A7" s="164">
        <f>DATE(سنة_التقارير,4,1)</f>
        <v/>
      </c>
      <c r="B7" s="87" t="inlineStr">
        <is>
          <t>أبريل</t>
        </is>
      </c>
      <c r="C7" s="165">
        <f>SUMIFS('البوالص'!$L$4:$L$2203,'البوالص'!$B$4:$B$2203,"&gt;="&amp;$A7,'البوالص'!$B$4:$B$2203,"&lt;"&amp;EDATE($A7,1))+SUMIFS('شامل'!$O$4:$O$2203,'شامل'!$B$4:$B$2203,"&gt;="&amp;$A7,'شامل'!$B$4:$B$2203,"&lt;"&amp;EDATE($A7,1))+SUMIFS('التخليص'!$G$4:$G$2203,'التخليص'!$B$4:$B$2203,"&gt;="&amp;$A7,'التخليص'!$B$4:$B$2203,"&lt;"&amp;EDATE($A7,1))+SUMIFS('مولدات ايجي كول'!$G$4:$G$2203,'مولدات ايجي كول'!$B$4:$B$2203,"&gt;="&amp;$A7,'مولدات ايجي كول'!$B$4:$B$2203,"&lt;"&amp;EDATE($A7,1))+SUMIFS('مولدات الشجيع'!$G$4:$G$2203,'مولدات الشجيع'!$B$4:$B$2203,"&gt;="&amp;$A7,'مولدات الشجيع'!$B$4:$B$2203,"&lt;"&amp;EDATE($A7,1))</f>
        <v/>
      </c>
      <c r="D7" s="165">
        <f>SUMIFS('البوالص'!$AF$4:$AF$2203,'البوالص'!$B$4:$B$2203,"&gt;="&amp;$A7,'البوالص'!$B$4:$B$2203,"&lt;"&amp;EDATE($A7,1))+SUMIFS('شامل'!$T$4:$T$2203,'شامل'!$B$4:$B$2203,"&gt;="&amp;$A7,'شامل'!$B$4:$B$2203,"&lt;"&amp;EDATE($A7,1))+SUMIFS('التخليص'!$F$4:$F$2203,'التخليص'!$B$4:$B$2203,"&gt;="&amp;$A7,'التخليص'!$B$4:$B$2203,"&lt;"&amp;EDATE($A7,1))</f>
        <v/>
      </c>
      <c r="E7" s="165">
        <f>SUMIFS('شامل'!$U$4:$U$2203,'شامل'!$B$4:$B$2203,"&gt;="&amp;$A7,'شامل'!$B$4:$B$2203,"&lt;"&amp;EDATE($A7,1))+SUMIFS('شامل'!$V$4:$V$2203,'شامل'!$B$4:$B$2203,"&gt;="&amp;$A7,'شامل'!$B$4:$B$2203,"&lt;"&amp;EDATE($A7,1))+SUMIFS('البوالص'!$AH$4:$AH$2203,'البوالص'!$B$4:$B$2203,"&gt;="&amp;$A7,'البوالص'!$B$4:$B$2203,"&lt;"&amp;EDATE($A7,1))</f>
        <v/>
      </c>
      <c r="F7" s="165">
        <f>SUMIFS('البوالص'!$Q$4:$Q$2203,'البوالص'!$B$4:$B$2203,"&gt;="&amp;$A7,'البوالص'!$B$4:$B$2203,"&lt;"&amp;EDATE($A7,1))+SUMIFS('شامل'!$P$4:$P$2203,'شامل'!$B$4:$B$2203,"&gt;="&amp;$A7,'شامل'!$B$4:$B$2203,"&lt;"&amp;EDATE($A7,1))+SUMIFS('التخليص'!$H$4:$H$2203,'التخليص'!$B$4:$B$2203,"&gt;="&amp;$A7,'التخليص'!$B$4:$B$2203,"&lt;"&amp;EDATE($A7,1))+SUMIFS('مولدات ايجي كول'!$H$4:$H$2203,'مولدات ايجي كول'!$B$4:$B$2203,"&gt;="&amp;$A7,'مولدات ايجي كول'!$B$4:$B$2203,"&lt;"&amp;EDATE($A7,1))+SUMIFS('مولدات الشجيع'!$H$4:$H$2203,'مولدات الشجيع'!$B$4:$B$2203,"&gt;="&amp;$A7,'مولدات الشجيع'!$B$4:$B$2203,"&lt;"&amp;EDATE($A7,1))</f>
        <v/>
      </c>
      <c r="H7" s="89">
        <f>IF(الإعدادات!$E7="","",الإعدادات!$E7)</f>
        <v/>
      </c>
      <c r="I7" s="165">
        <f>SUMIF('البوالص'!$F$4:$F$2203,الإعدادات!$E7,'البوالص'!$L$4:$L$2203)+SUMIF('شامل'!$G$4:$G$2203,الإعدادات!$E7,'شامل'!$J$4:$J$2203)</f>
        <v/>
      </c>
      <c r="J7" s="165">
        <f>SUMIF('البوالص'!$F$4:$F$2203,الإعدادات!$E7,'البوالص'!$AH$4:$AH$2203)+SUMIF('شامل'!$G$4:$G$2203,الإعدادات!$E7,'شامل'!$U$4:$U$2203)</f>
        <v/>
      </c>
      <c r="L7" s="89">
        <f>IF(الإعدادات!$I7="","",الإعدادات!$I7)</f>
        <v/>
      </c>
      <c r="M7" s="165">
        <f>SUMIF('شامل'!$F$4:$F$2203,الإعدادات!$I7,'شامل'!$O$4:$O$2203)</f>
        <v/>
      </c>
      <c r="N7" s="165">
        <f>SUMIF('شامل'!$F$4:$F$2203,الإعدادات!$I7,'شامل'!$Q$4:$Q$2203)</f>
        <v/>
      </c>
      <c r="P7" s="90" t="inlineStr">
        <is>
          <t>مصروف</t>
        </is>
      </c>
      <c r="Q7" s="165">
        <f>SUM('البوالص'!$W$4:$W$2203)</f>
        <v/>
      </c>
      <c r="V7" s="89">
        <f>IF('أرصدة العملاء والموردين'!E7="","",'أرصدة العملاء والموردين'!E7)</f>
        <v/>
      </c>
      <c r="W7" s="165">
        <f>'أرصدة العملاء والموردين'!F7</f>
        <v/>
      </c>
    </row>
    <row r="8">
      <c r="A8" s="164">
        <f>DATE(سنة_التقارير,5,1)</f>
        <v/>
      </c>
      <c r="B8" s="87" t="inlineStr">
        <is>
          <t>مايو</t>
        </is>
      </c>
      <c r="C8" s="165">
        <f>SUMIFS('البوالص'!$L$4:$L$2203,'البوالص'!$B$4:$B$2203,"&gt;="&amp;$A8,'البوالص'!$B$4:$B$2203,"&lt;"&amp;EDATE($A8,1))+SUMIFS('شامل'!$O$4:$O$2203,'شامل'!$B$4:$B$2203,"&gt;="&amp;$A8,'شامل'!$B$4:$B$2203,"&lt;"&amp;EDATE($A8,1))+SUMIFS('التخليص'!$G$4:$G$2203,'التخليص'!$B$4:$B$2203,"&gt;="&amp;$A8,'التخليص'!$B$4:$B$2203,"&lt;"&amp;EDATE($A8,1))+SUMIFS('مولدات ايجي كول'!$G$4:$G$2203,'مولدات ايجي كول'!$B$4:$B$2203,"&gt;="&amp;$A8,'مولدات ايجي كول'!$B$4:$B$2203,"&lt;"&amp;EDATE($A8,1))+SUMIFS('مولدات الشجيع'!$G$4:$G$2203,'مولدات الشجيع'!$B$4:$B$2203,"&gt;="&amp;$A8,'مولدات الشجيع'!$B$4:$B$2203,"&lt;"&amp;EDATE($A8,1))</f>
        <v/>
      </c>
      <c r="D8" s="165">
        <f>SUMIFS('البوالص'!$AF$4:$AF$2203,'البوالص'!$B$4:$B$2203,"&gt;="&amp;$A8,'البوالص'!$B$4:$B$2203,"&lt;"&amp;EDATE($A8,1))+SUMIFS('شامل'!$T$4:$T$2203,'شامل'!$B$4:$B$2203,"&gt;="&amp;$A8,'شامل'!$B$4:$B$2203,"&lt;"&amp;EDATE($A8,1))+SUMIFS('التخليص'!$F$4:$F$2203,'التخليص'!$B$4:$B$2203,"&gt;="&amp;$A8,'التخليص'!$B$4:$B$2203,"&lt;"&amp;EDATE($A8,1))</f>
        <v/>
      </c>
      <c r="E8" s="165">
        <f>SUMIFS('شامل'!$U$4:$U$2203,'شامل'!$B$4:$B$2203,"&gt;="&amp;$A8,'شامل'!$B$4:$B$2203,"&lt;"&amp;EDATE($A8,1))+SUMIFS('شامل'!$V$4:$V$2203,'شامل'!$B$4:$B$2203,"&gt;="&amp;$A8,'شامل'!$B$4:$B$2203,"&lt;"&amp;EDATE($A8,1))+SUMIFS('البوالص'!$AH$4:$AH$2203,'البوالص'!$B$4:$B$2203,"&gt;="&amp;$A8,'البوالص'!$B$4:$B$2203,"&lt;"&amp;EDATE($A8,1))</f>
        <v/>
      </c>
      <c r="F8" s="165">
        <f>SUMIFS('البوالص'!$Q$4:$Q$2203,'البوالص'!$B$4:$B$2203,"&gt;="&amp;$A8,'البوالص'!$B$4:$B$2203,"&lt;"&amp;EDATE($A8,1))+SUMIFS('شامل'!$P$4:$P$2203,'شامل'!$B$4:$B$2203,"&gt;="&amp;$A8,'شامل'!$B$4:$B$2203,"&lt;"&amp;EDATE($A8,1))+SUMIFS('التخليص'!$H$4:$H$2203,'التخليص'!$B$4:$B$2203,"&gt;="&amp;$A8,'التخليص'!$B$4:$B$2203,"&lt;"&amp;EDATE($A8,1))+SUMIFS('مولدات ايجي كول'!$H$4:$H$2203,'مولدات ايجي كول'!$B$4:$B$2203,"&gt;="&amp;$A8,'مولدات ايجي كول'!$B$4:$B$2203,"&lt;"&amp;EDATE($A8,1))+SUMIFS('مولدات الشجيع'!$H$4:$H$2203,'مولدات الشجيع'!$B$4:$B$2203,"&gt;="&amp;$A8,'مولدات الشجيع'!$B$4:$B$2203,"&lt;"&amp;EDATE($A8,1))</f>
        <v/>
      </c>
      <c r="H8" s="89">
        <f>IF(الإعدادات!$E8="","",الإعدادات!$E8)</f>
        <v/>
      </c>
      <c r="I8" s="165">
        <f>SUMIF('البوالص'!$F$4:$F$2203,الإعدادات!$E8,'البوالص'!$L$4:$L$2203)+SUMIF('شامل'!$G$4:$G$2203,الإعدادات!$E8,'شامل'!$J$4:$J$2203)</f>
        <v/>
      </c>
      <c r="J8" s="165">
        <f>SUMIF('البوالص'!$F$4:$F$2203,الإعدادات!$E8,'البوالص'!$AH$4:$AH$2203)+SUMIF('شامل'!$G$4:$G$2203,الإعدادات!$E8,'شامل'!$U$4:$U$2203)</f>
        <v/>
      </c>
      <c r="L8" s="89">
        <f>IF(الإعدادات!$I8="","",الإعدادات!$I8)</f>
        <v/>
      </c>
      <c r="M8" s="165">
        <f>SUMIF('شامل'!$F$4:$F$2203,الإعدادات!$I8,'شامل'!$O$4:$O$2203)</f>
        <v/>
      </c>
      <c r="N8" s="165">
        <f>SUMIF('شامل'!$F$4:$F$2203,الإعدادات!$I8,'شامل'!$Q$4:$Q$2203)</f>
        <v/>
      </c>
      <c r="P8" s="90" t="inlineStr">
        <is>
          <t>كرتات</t>
        </is>
      </c>
      <c r="Q8" s="165">
        <f>SUM('البوالص'!$X$4:$X$2203)</f>
        <v/>
      </c>
      <c r="V8" s="89">
        <f>IF('أرصدة العملاء والموردين'!E8="","",'أرصدة العملاء والموردين'!E8)</f>
        <v/>
      </c>
      <c r="W8" s="165">
        <f>'أرصدة العملاء والموردين'!F8</f>
        <v/>
      </c>
    </row>
    <row r="9">
      <c r="A9" s="164">
        <f>DATE(سنة_التقارير,6,1)</f>
        <v/>
      </c>
      <c r="B9" s="87" t="inlineStr">
        <is>
          <t>يونيو</t>
        </is>
      </c>
      <c r="C9" s="165">
        <f>SUMIFS('البوالص'!$L$4:$L$2203,'البوالص'!$B$4:$B$2203,"&gt;="&amp;$A9,'البوالص'!$B$4:$B$2203,"&lt;"&amp;EDATE($A9,1))+SUMIFS('شامل'!$O$4:$O$2203,'شامل'!$B$4:$B$2203,"&gt;="&amp;$A9,'شامل'!$B$4:$B$2203,"&lt;"&amp;EDATE($A9,1))+SUMIFS('التخليص'!$G$4:$G$2203,'التخليص'!$B$4:$B$2203,"&gt;="&amp;$A9,'التخليص'!$B$4:$B$2203,"&lt;"&amp;EDATE($A9,1))+SUMIFS('مولدات ايجي كول'!$G$4:$G$2203,'مولدات ايجي كول'!$B$4:$B$2203,"&gt;="&amp;$A9,'مولدات ايجي كول'!$B$4:$B$2203,"&lt;"&amp;EDATE($A9,1))+SUMIFS('مولدات الشجيع'!$G$4:$G$2203,'مولدات الشجيع'!$B$4:$B$2203,"&gt;="&amp;$A9,'مولدات الشجيع'!$B$4:$B$2203,"&lt;"&amp;EDATE($A9,1))</f>
        <v/>
      </c>
      <c r="D9" s="165">
        <f>SUMIFS('البوالص'!$AF$4:$AF$2203,'البوالص'!$B$4:$B$2203,"&gt;="&amp;$A9,'البوالص'!$B$4:$B$2203,"&lt;"&amp;EDATE($A9,1))+SUMIFS('شامل'!$T$4:$T$2203,'شامل'!$B$4:$B$2203,"&gt;="&amp;$A9,'شامل'!$B$4:$B$2203,"&lt;"&amp;EDATE($A9,1))+SUMIFS('التخليص'!$F$4:$F$2203,'التخليص'!$B$4:$B$2203,"&gt;="&amp;$A9,'التخليص'!$B$4:$B$2203,"&lt;"&amp;EDATE($A9,1))</f>
        <v/>
      </c>
      <c r="E9" s="165">
        <f>SUMIFS('شامل'!$U$4:$U$2203,'شامل'!$B$4:$B$2203,"&gt;="&amp;$A9,'شامل'!$B$4:$B$2203,"&lt;"&amp;EDATE($A9,1))+SUMIFS('شامل'!$V$4:$V$2203,'شامل'!$B$4:$B$2203,"&gt;="&amp;$A9,'شامل'!$B$4:$B$2203,"&lt;"&amp;EDATE($A9,1))+SUMIFS('البوالص'!$AH$4:$AH$2203,'البوالص'!$B$4:$B$2203,"&gt;="&amp;$A9,'البوالص'!$B$4:$B$2203,"&lt;"&amp;EDATE($A9,1))</f>
        <v/>
      </c>
      <c r="F9" s="165">
        <f>SUMIFS('البوالص'!$Q$4:$Q$2203,'البوالص'!$B$4:$B$2203,"&gt;="&amp;$A9,'البوالص'!$B$4:$B$2203,"&lt;"&amp;EDATE($A9,1))+SUMIFS('شامل'!$P$4:$P$2203,'شامل'!$B$4:$B$2203,"&gt;="&amp;$A9,'شامل'!$B$4:$B$2203,"&lt;"&amp;EDATE($A9,1))+SUMIFS('التخليص'!$H$4:$H$2203,'التخليص'!$B$4:$B$2203,"&gt;="&amp;$A9,'التخليص'!$B$4:$B$2203,"&lt;"&amp;EDATE($A9,1))+SUMIFS('مولدات ايجي كول'!$H$4:$H$2203,'مولدات ايجي كول'!$B$4:$B$2203,"&gt;="&amp;$A9,'مولدات ايجي كول'!$B$4:$B$2203,"&lt;"&amp;EDATE($A9,1))+SUMIFS('مولدات الشجيع'!$H$4:$H$2203,'مولدات الشجيع'!$B$4:$B$2203,"&gt;="&amp;$A9,'مولدات الشجيع'!$B$4:$B$2203,"&lt;"&amp;EDATE($A9,1))</f>
        <v/>
      </c>
      <c r="H9" s="89">
        <f>IF(الإعدادات!$E9="","",الإعدادات!$E9)</f>
        <v/>
      </c>
      <c r="I9" s="165">
        <f>SUMIF('البوالص'!$F$4:$F$2203,الإعدادات!$E9,'البوالص'!$L$4:$L$2203)+SUMIF('شامل'!$G$4:$G$2203,الإعدادات!$E9,'شامل'!$J$4:$J$2203)</f>
        <v/>
      </c>
      <c r="J9" s="165">
        <f>SUMIF('البوالص'!$F$4:$F$2203,الإعدادات!$E9,'البوالص'!$AH$4:$AH$2203)+SUMIF('شامل'!$G$4:$G$2203,الإعدادات!$E9,'شامل'!$U$4:$U$2203)</f>
        <v/>
      </c>
      <c r="L9" s="89">
        <f>IF(الإعدادات!$I9="","",الإعدادات!$I9)</f>
        <v/>
      </c>
      <c r="M9" s="165">
        <f>SUMIF('شامل'!$F$4:$F$2203,الإعدادات!$I9,'شامل'!$O$4:$O$2203)</f>
        <v/>
      </c>
      <c r="N9" s="165">
        <f>SUMIF('شامل'!$F$4:$F$2203,الإعدادات!$I9,'شامل'!$Q$4:$Q$2203)</f>
        <v/>
      </c>
      <c r="P9" s="90" t="inlineStr">
        <is>
          <t>تحيا مصر</t>
        </is>
      </c>
      <c r="Q9" s="165">
        <f>SUM('البوالص'!$Y$4:$Y$2203)</f>
        <v/>
      </c>
      <c r="V9" s="89">
        <f>IF('أرصدة العملاء والموردين'!E9="","",'أرصدة العملاء والموردين'!E9)</f>
        <v/>
      </c>
      <c r="W9" s="165">
        <f>'أرصدة العملاء والموردين'!F9</f>
        <v/>
      </c>
    </row>
    <row r="10">
      <c r="A10" s="164">
        <f>DATE(سنة_التقارير,7,1)</f>
        <v/>
      </c>
      <c r="B10" s="87" t="inlineStr">
        <is>
          <t>يوليو</t>
        </is>
      </c>
      <c r="C10" s="165">
        <f>SUMIFS('البوالص'!$L$4:$L$2203,'البوالص'!$B$4:$B$2203,"&gt;="&amp;$A10,'البوالص'!$B$4:$B$2203,"&lt;"&amp;EDATE($A10,1))+SUMIFS('شامل'!$O$4:$O$2203,'شامل'!$B$4:$B$2203,"&gt;="&amp;$A10,'شامل'!$B$4:$B$2203,"&lt;"&amp;EDATE($A10,1))+SUMIFS('التخليص'!$G$4:$G$2203,'التخليص'!$B$4:$B$2203,"&gt;="&amp;$A10,'التخليص'!$B$4:$B$2203,"&lt;"&amp;EDATE($A10,1))+SUMIFS('مولدات ايجي كول'!$G$4:$G$2203,'مولدات ايجي كول'!$B$4:$B$2203,"&gt;="&amp;$A10,'مولدات ايجي كول'!$B$4:$B$2203,"&lt;"&amp;EDATE($A10,1))+SUMIFS('مولدات الشجيع'!$G$4:$G$2203,'مولدات الشجيع'!$B$4:$B$2203,"&gt;="&amp;$A10,'مولدات الشجيع'!$B$4:$B$2203,"&lt;"&amp;EDATE($A10,1))</f>
        <v/>
      </c>
      <c r="D10" s="165">
        <f>SUMIFS('البوالص'!$AF$4:$AF$2203,'البوالص'!$B$4:$B$2203,"&gt;="&amp;$A10,'البوالص'!$B$4:$B$2203,"&lt;"&amp;EDATE($A10,1))+SUMIFS('شامل'!$T$4:$T$2203,'شامل'!$B$4:$B$2203,"&gt;="&amp;$A10,'شامل'!$B$4:$B$2203,"&lt;"&amp;EDATE($A10,1))+SUMIFS('التخليص'!$F$4:$F$2203,'التخليص'!$B$4:$B$2203,"&gt;="&amp;$A10,'التخليص'!$B$4:$B$2203,"&lt;"&amp;EDATE($A10,1))</f>
        <v/>
      </c>
      <c r="E10" s="165">
        <f>SUMIFS('شامل'!$U$4:$U$2203,'شامل'!$B$4:$B$2203,"&gt;="&amp;$A10,'شامل'!$B$4:$B$2203,"&lt;"&amp;EDATE($A10,1))+SUMIFS('شامل'!$V$4:$V$2203,'شامل'!$B$4:$B$2203,"&gt;="&amp;$A10,'شامل'!$B$4:$B$2203,"&lt;"&amp;EDATE($A10,1))+SUMIFS('البوالص'!$AH$4:$AH$2203,'البوالص'!$B$4:$B$2203,"&gt;="&amp;$A10,'البوالص'!$B$4:$B$2203,"&lt;"&amp;EDATE($A10,1))</f>
        <v/>
      </c>
      <c r="F10" s="165">
        <f>SUMIFS('البوالص'!$Q$4:$Q$2203,'البوالص'!$B$4:$B$2203,"&gt;="&amp;$A10,'البوالص'!$B$4:$B$2203,"&lt;"&amp;EDATE($A10,1))+SUMIFS('شامل'!$P$4:$P$2203,'شامل'!$B$4:$B$2203,"&gt;="&amp;$A10,'شامل'!$B$4:$B$2203,"&lt;"&amp;EDATE($A10,1))+SUMIFS('التخليص'!$H$4:$H$2203,'التخليص'!$B$4:$B$2203,"&gt;="&amp;$A10,'التخليص'!$B$4:$B$2203,"&lt;"&amp;EDATE($A10,1))+SUMIFS('مولدات ايجي كول'!$H$4:$H$2203,'مولدات ايجي كول'!$B$4:$B$2203,"&gt;="&amp;$A10,'مولدات ايجي كول'!$B$4:$B$2203,"&lt;"&amp;EDATE($A10,1))+SUMIFS('مولدات الشجيع'!$H$4:$H$2203,'مولدات الشجيع'!$B$4:$B$2203,"&gt;="&amp;$A10,'مولدات الشجيع'!$B$4:$B$2203,"&lt;"&amp;EDATE($A10,1))</f>
        <v/>
      </c>
      <c r="H10" s="89">
        <f>IF(الإعدادات!$E10="","",الإعدادات!$E10)</f>
        <v/>
      </c>
      <c r="I10" s="165">
        <f>SUMIF('البوالص'!$F$4:$F$2203,الإعدادات!$E10,'البوالص'!$L$4:$L$2203)+SUMIF('شامل'!$G$4:$G$2203,الإعدادات!$E10,'شامل'!$J$4:$J$2203)</f>
        <v/>
      </c>
      <c r="J10" s="165">
        <f>SUMIF('البوالص'!$F$4:$F$2203,الإعدادات!$E10,'البوالص'!$AH$4:$AH$2203)+SUMIF('شامل'!$G$4:$G$2203,الإعدادات!$E10,'شامل'!$U$4:$U$2203)</f>
        <v/>
      </c>
      <c r="L10" s="89">
        <f>IF(الإعدادات!$I10="","",الإعدادات!$I10)</f>
        <v/>
      </c>
      <c r="M10" s="165">
        <f>SUMIF('شامل'!$F$4:$F$2203,الإعدادات!$I10,'شامل'!$O$4:$O$2203)</f>
        <v/>
      </c>
      <c r="N10" s="165">
        <f>SUMIF('شامل'!$F$4:$F$2203,الإعدادات!$I10,'شامل'!$Q$4:$Q$2203)</f>
        <v/>
      </c>
      <c r="P10" s="90" t="inlineStr">
        <is>
          <t>ثبتان</t>
        </is>
      </c>
      <c r="Q10" s="165">
        <f>SUM('البوالص'!$Z$4:$Z$2203)</f>
        <v/>
      </c>
      <c r="V10" s="89">
        <f>IF('أرصدة العملاء والموردين'!E10="","",'أرصدة العملاء والموردين'!E10)</f>
        <v/>
      </c>
      <c r="W10" s="165">
        <f>'أرصدة العملاء والموردين'!F10</f>
        <v/>
      </c>
    </row>
    <row r="11">
      <c r="A11" s="164">
        <f>DATE(سنة_التقارير,8,1)</f>
        <v/>
      </c>
      <c r="B11" s="87" t="inlineStr">
        <is>
          <t>أغسطس</t>
        </is>
      </c>
      <c r="C11" s="165">
        <f>SUMIFS('البوالص'!$L$4:$L$2203,'البوالص'!$B$4:$B$2203,"&gt;="&amp;$A11,'البوالص'!$B$4:$B$2203,"&lt;"&amp;EDATE($A11,1))+SUMIFS('شامل'!$O$4:$O$2203,'شامل'!$B$4:$B$2203,"&gt;="&amp;$A11,'شامل'!$B$4:$B$2203,"&lt;"&amp;EDATE($A11,1))+SUMIFS('التخليص'!$G$4:$G$2203,'التخليص'!$B$4:$B$2203,"&gt;="&amp;$A11,'التخليص'!$B$4:$B$2203,"&lt;"&amp;EDATE($A11,1))+SUMIFS('مولدات ايجي كول'!$G$4:$G$2203,'مولدات ايجي كول'!$B$4:$B$2203,"&gt;="&amp;$A11,'مولدات ايجي كول'!$B$4:$B$2203,"&lt;"&amp;EDATE($A11,1))+SUMIFS('مولدات الشجيع'!$G$4:$G$2203,'مولدات الشجيع'!$B$4:$B$2203,"&gt;="&amp;$A11,'مولدات الشجيع'!$B$4:$B$2203,"&lt;"&amp;EDATE($A11,1))</f>
        <v/>
      </c>
      <c r="D11" s="165">
        <f>SUMIFS('البوالص'!$AF$4:$AF$2203,'البوالص'!$B$4:$B$2203,"&gt;="&amp;$A11,'البوالص'!$B$4:$B$2203,"&lt;"&amp;EDATE($A11,1))+SUMIFS('شامل'!$T$4:$T$2203,'شامل'!$B$4:$B$2203,"&gt;="&amp;$A11,'شامل'!$B$4:$B$2203,"&lt;"&amp;EDATE($A11,1))+SUMIFS('التخليص'!$F$4:$F$2203,'التخليص'!$B$4:$B$2203,"&gt;="&amp;$A11,'التخليص'!$B$4:$B$2203,"&lt;"&amp;EDATE($A11,1))</f>
        <v/>
      </c>
      <c r="E11" s="165">
        <f>SUMIFS('شامل'!$U$4:$U$2203,'شامل'!$B$4:$B$2203,"&gt;="&amp;$A11,'شامل'!$B$4:$B$2203,"&lt;"&amp;EDATE($A11,1))+SUMIFS('شامل'!$V$4:$V$2203,'شامل'!$B$4:$B$2203,"&gt;="&amp;$A11,'شامل'!$B$4:$B$2203,"&lt;"&amp;EDATE($A11,1))+SUMIFS('البوالص'!$AH$4:$AH$2203,'البوالص'!$B$4:$B$2203,"&gt;="&amp;$A11,'البوالص'!$B$4:$B$2203,"&lt;"&amp;EDATE($A11,1))</f>
        <v/>
      </c>
      <c r="F11" s="165">
        <f>SUMIFS('البوالص'!$Q$4:$Q$2203,'البوالص'!$B$4:$B$2203,"&gt;="&amp;$A11,'البوالص'!$B$4:$B$2203,"&lt;"&amp;EDATE($A11,1))+SUMIFS('شامل'!$P$4:$P$2203,'شامل'!$B$4:$B$2203,"&gt;="&amp;$A11,'شامل'!$B$4:$B$2203,"&lt;"&amp;EDATE($A11,1))+SUMIFS('التخليص'!$H$4:$H$2203,'التخليص'!$B$4:$B$2203,"&gt;="&amp;$A11,'التخليص'!$B$4:$B$2203,"&lt;"&amp;EDATE($A11,1))+SUMIFS('مولدات ايجي كول'!$H$4:$H$2203,'مولدات ايجي كول'!$B$4:$B$2203,"&gt;="&amp;$A11,'مولدات ايجي كول'!$B$4:$B$2203,"&lt;"&amp;EDATE($A11,1))+SUMIFS('مولدات الشجيع'!$H$4:$H$2203,'مولدات الشجيع'!$B$4:$B$2203,"&gt;="&amp;$A11,'مولدات الشجيع'!$B$4:$B$2203,"&lt;"&amp;EDATE($A11,1))</f>
        <v/>
      </c>
      <c r="H11" s="89">
        <f>IF(الإعدادات!$E11="","",الإعدادات!$E11)</f>
        <v/>
      </c>
      <c r="I11" s="165">
        <f>SUMIF('البوالص'!$F$4:$F$2203,الإعدادات!$E11,'البوالص'!$L$4:$L$2203)+SUMIF('شامل'!$G$4:$G$2203,الإعدادات!$E11,'شامل'!$J$4:$J$2203)</f>
        <v/>
      </c>
      <c r="J11" s="165">
        <f>SUMIF('البوالص'!$F$4:$F$2203,الإعدادات!$E11,'البوالص'!$AH$4:$AH$2203)+SUMIF('شامل'!$G$4:$G$2203,الإعدادات!$E11,'شامل'!$U$4:$U$2203)</f>
        <v/>
      </c>
      <c r="L11" s="89">
        <f>IF(الإعدادات!$I11="","",الإعدادات!$I11)</f>
        <v/>
      </c>
      <c r="M11" s="165">
        <f>SUMIF('شامل'!$F$4:$F$2203,الإعدادات!$I11,'شامل'!$O$4:$O$2203)</f>
        <v/>
      </c>
      <c r="N11" s="165">
        <f>SUMIF('شامل'!$F$4:$F$2203,الإعدادات!$I11,'شامل'!$Q$4:$Q$2203)</f>
        <v/>
      </c>
      <c r="P11" s="90" t="inlineStr">
        <is>
          <t>ظ كاوتش</t>
        </is>
      </c>
      <c r="Q11" s="165">
        <f>SUM('البوالص'!$AA$4:$AA$2203)</f>
        <v/>
      </c>
      <c r="V11" s="89">
        <f>IF('أرصدة العملاء والموردين'!E11="","",'أرصدة العملاء والموردين'!E11)</f>
        <v/>
      </c>
      <c r="W11" s="165">
        <f>'أرصدة العملاء والموردين'!F11</f>
        <v/>
      </c>
    </row>
    <row r="12">
      <c r="A12" s="164">
        <f>DATE(سنة_التقارير,9,1)</f>
        <v/>
      </c>
      <c r="B12" s="87" t="inlineStr">
        <is>
          <t>سبتمبر</t>
        </is>
      </c>
      <c r="C12" s="165">
        <f>SUMIFS('البوالص'!$L$4:$L$2203,'البوالص'!$B$4:$B$2203,"&gt;="&amp;$A12,'البوالص'!$B$4:$B$2203,"&lt;"&amp;EDATE($A12,1))+SUMIFS('شامل'!$O$4:$O$2203,'شامل'!$B$4:$B$2203,"&gt;="&amp;$A12,'شامل'!$B$4:$B$2203,"&lt;"&amp;EDATE($A12,1))+SUMIFS('التخليص'!$G$4:$G$2203,'التخليص'!$B$4:$B$2203,"&gt;="&amp;$A12,'التخليص'!$B$4:$B$2203,"&lt;"&amp;EDATE($A12,1))+SUMIFS('مولدات ايجي كول'!$G$4:$G$2203,'مولدات ايجي كول'!$B$4:$B$2203,"&gt;="&amp;$A12,'مولدات ايجي كول'!$B$4:$B$2203,"&lt;"&amp;EDATE($A12,1))+SUMIFS('مولدات الشجيع'!$G$4:$G$2203,'مولدات الشجيع'!$B$4:$B$2203,"&gt;="&amp;$A12,'مولدات الشجيع'!$B$4:$B$2203,"&lt;"&amp;EDATE($A12,1))</f>
        <v/>
      </c>
      <c r="D12" s="165">
        <f>SUMIFS('البوالص'!$AF$4:$AF$2203,'البوالص'!$B$4:$B$2203,"&gt;="&amp;$A12,'البوالص'!$B$4:$B$2203,"&lt;"&amp;EDATE($A12,1))+SUMIFS('شامل'!$T$4:$T$2203,'شامل'!$B$4:$B$2203,"&gt;="&amp;$A12,'شامل'!$B$4:$B$2203,"&lt;"&amp;EDATE($A12,1))+SUMIFS('التخليص'!$F$4:$F$2203,'التخليص'!$B$4:$B$2203,"&gt;="&amp;$A12,'التخليص'!$B$4:$B$2203,"&lt;"&amp;EDATE($A12,1))</f>
        <v/>
      </c>
      <c r="E12" s="165">
        <f>SUMIFS('شامل'!$U$4:$U$2203,'شامل'!$B$4:$B$2203,"&gt;="&amp;$A12,'شامل'!$B$4:$B$2203,"&lt;"&amp;EDATE($A12,1))+SUMIFS('شامل'!$V$4:$V$2203,'شامل'!$B$4:$B$2203,"&gt;="&amp;$A12,'شامل'!$B$4:$B$2203,"&lt;"&amp;EDATE($A12,1))+SUMIFS('البوالص'!$AH$4:$AH$2203,'البوالص'!$B$4:$B$2203,"&gt;="&amp;$A12,'البوالص'!$B$4:$B$2203,"&lt;"&amp;EDATE($A12,1))</f>
        <v/>
      </c>
      <c r="F12" s="165">
        <f>SUMIFS('البوالص'!$Q$4:$Q$2203,'البوالص'!$B$4:$B$2203,"&gt;="&amp;$A12,'البوالص'!$B$4:$B$2203,"&lt;"&amp;EDATE($A12,1))+SUMIFS('شامل'!$P$4:$P$2203,'شامل'!$B$4:$B$2203,"&gt;="&amp;$A12,'شامل'!$B$4:$B$2203,"&lt;"&amp;EDATE($A12,1))+SUMIFS('التخليص'!$H$4:$H$2203,'التخليص'!$B$4:$B$2203,"&gt;="&amp;$A12,'التخليص'!$B$4:$B$2203,"&lt;"&amp;EDATE($A12,1))+SUMIFS('مولدات ايجي كول'!$H$4:$H$2203,'مولدات ايجي كول'!$B$4:$B$2203,"&gt;="&amp;$A12,'مولدات ايجي كول'!$B$4:$B$2203,"&lt;"&amp;EDATE($A12,1))+SUMIFS('مولدات الشجيع'!$H$4:$H$2203,'مولدات الشجيع'!$B$4:$B$2203,"&gt;="&amp;$A12,'مولدات الشجيع'!$B$4:$B$2203,"&lt;"&amp;EDATE($A12,1))</f>
        <v/>
      </c>
      <c r="H12" s="89">
        <f>IF(الإعدادات!$E12="","",الإعدادات!$E12)</f>
        <v/>
      </c>
      <c r="I12" s="165">
        <f>SUMIF('البوالص'!$F$4:$F$2203,الإعدادات!$E12,'البوالص'!$L$4:$L$2203)+SUMIF('شامل'!$G$4:$G$2203,الإعدادات!$E12,'شامل'!$J$4:$J$2203)</f>
        <v/>
      </c>
      <c r="J12" s="165">
        <f>SUMIF('البوالص'!$F$4:$F$2203,الإعدادات!$E12,'البوالص'!$AH$4:$AH$2203)+SUMIF('شامل'!$G$4:$G$2203,الإعدادات!$E12,'شامل'!$U$4:$U$2203)</f>
        <v/>
      </c>
      <c r="L12" s="89">
        <f>IF(الإعدادات!$I12="","",الإعدادات!$I12)</f>
        <v/>
      </c>
      <c r="M12" s="165">
        <f>SUMIF('شامل'!$F$4:$F$2203,الإعدادات!$I12,'شامل'!$O$4:$O$2203)</f>
        <v/>
      </c>
      <c r="N12" s="165">
        <f>SUMIF('شامل'!$F$4:$F$2203,الإعدادات!$I12,'شامل'!$Q$4:$Q$2203)</f>
        <v/>
      </c>
      <c r="P12" s="90" t="inlineStr">
        <is>
          <t>تصاريح</t>
        </is>
      </c>
      <c r="Q12" s="165">
        <f>SUM('البوالص'!$AB$4:$AB$2203)</f>
        <v/>
      </c>
      <c r="V12" s="89">
        <f>IF('أرصدة العملاء والموردين'!E12="","",'أرصدة العملاء والموردين'!E12)</f>
        <v/>
      </c>
      <c r="W12" s="165">
        <f>'أرصدة العملاء والموردين'!F12</f>
        <v/>
      </c>
    </row>
    <row r="13">
      <c r="A13" s="164">
        <f>DATE(سنة_التقارير,10,1)</f>
        <v/>
      </c>
      <c r="B13" s="87" t="inlineStr">
        <is>
          <t>أكتوبر</t>
        </is>
      </c>
      <c r="C13" s="165">
        <f>SUMIFS('البوالص'!$L$4:$L$2203,'البوالص'!$B$4:$B$2203,"&gt;="&amp;$A13,'البوالص'!$B$4:$B$2203,"&lt;"&amp;EDATE($A13,1))+SUMIFS('شامل'!$O$4:$O$2203,'شامل'!$B$4:$B$2203,"&gt;="&amp;$A13,'شامل'!$B$4:$B$2203,"&lt;"&amp;EDATE($A13,1))+SUMIFS('التخليص'!$G$4:$G$2203,'التخليص'!$B$4:$B$2203,"&gt;="&amp;$A13,'التخليص'!$B$4:$B$2203,"&lt;"&amp;EDATE($A13,1))+SUMIFS('مولدات ايجي كول'!$G$4:$G$2203,'مولدات ايجي كول'!$B$4:$B$2203,"&gt;="&amp;$A13,'مولدات ايجي كول'!$B$4:$B$2203,"&lt;"&amp;EDATE($A13,1))+SUMIFS('مولدات الشجيع'!$G$4:$G$2203,'مولدات الشجيع'!$B$4:$B$2203,"&gt;="&amp;$A13,'مولدات الشجيع'!$B$4:$B$2203,"&lt;"&amp;EDATE($A13,1))</f>
        <v/>
      </c>
      <c r="D13" s="165">
        <f>SUMIFS('البوالص'!$AF$4:$AF$2203,'البوالص'!$B$4:$B$2203,"&gt;="&amp;$A13,'البوالص'!$B$4:$B$2203,"&lt;"&amp;EDATE($A13,1))+SUMIFS('شامل'!$T$4:$T$2203,'شامل'!$B$4:$B$2203,"&gt;="&amp;$A13,'شامل'!$B$4:$B$2203,"&lt;"&amp;EDATE($A13,1))+SUMIFS('التخليص'!$F$4:$F$2203,'التخليص'!$B$4:$B$2203,"&gt;="&amp;$A13,'التخليص'!$B$4:$B$2203,"&lt;"&amp;EDATE($A13,1))</f>
        <v/>
      </c>
      <c r="E13" s="165">
        <f>SUMIFS('شامل'!$U$4:$U$2203,'شامل'!$B$4:$B$2203,"&gt;="&amp;$A13,'شامل'!$B$4:$B$2203,"&lt;"&amp;EDATE($A13,1))+SUMIFS('شامل'!$V$4:$V$2203,'شامل'!$B$4:$B$2203,"&gt;="&amp;$A13,'شامل'!$B$4:$B$2203,"&lt;"&amp;EDATE($A13,1))+SUMIFS('البوالص'!$AH$4:$AH$2203,'البوالص'!$B$4:$B$2203,"&gt;="&amp;$A13,'البوالص'!$B$4:$B$2203,"&lt;"&amp;EDATE($A13,1))</f>
        <v/>
      </c>
      <c r="F13" s="165">
        <f>SUMIFS('البوالص'!$Q$4:$Q$2203,'البوالص'!$B$4:$B$2203,"&gt;="&amp;$A13,'البوالص'!$B$4:$B$2203,"&lt;"&amp;EDATE($A13,1))+SUMIFS('شامل'!$P$4:$P$2203,'شامل'!$B$4:$B$2203,"&gt;="&amp;$A13,'شامل'!$B$4:$B$2203,"&lt;"&amp;EDATE($A13,1))+SUMIFS('التخليص'!$H$4:$H$2203,'التخليص'!$B$4:$B$2203,"&gt;="&amp;$A13,'التخليص'!$B$4:$B$2203,"&lt;"&amp;EDATE($A13,1))+SUMIFS('مولدات ايجي كول'!$H$4:$H$2203,'مولدات ايجي كول'!$B$4:$B$2203,"&gt;="&amp;$A13,'مولدات ايجي كول'!$B$4:$B$2203,"&lt;"&amp;EDATE($A13,1))+SUMIFS('مولدات الشجيع'!$H$4:$H$2203,'مولدات الشجيع'!$B$4:$B$2203,"&gt;="&amp;$A13,'مولدات الشجيع'!$B$4:$B$2203,"&lt;"&amp;EDATE($A13,1))</f>
        <v/>
      </c>
      <c r="H13" s="89">
        <f>IF(الإعدادات!$E13="","",الإعدادات!$E13)</f>
        <v/>
      </c>
      <c r="I13" s="165">
        <f>SUMIF('البوالص'!$F$4:$F$2203,الإعدادات!$E13,'البوالص'!$L$4:$L$2203)+SUMIF('شامل'!$G$4:$G$2203,الإعدادات!$E13,'شامل'!$J$4:$J$2203)</f>
        <v/>
      </c>
      <c r="J13" s="165">
        <f>SUMIF('البوالص'!$F$4:$F$2203,الإعدادات!$E13,'البوالص'!$AH$4:$AH$2203)+SUMIF('شامل'!$G$4:$G$2203,الإعدادات!$E13,'شامل'!$U$4:$U$2203)</f>
        <v/>
      </c>
      <c r="L13" s="89">
        <f>IF(الإعدادات!$I13="","",الإعدادات!$I13)</f>
        <v/>
      </c>
      <c r="M13" s="165">
        <f>SUMIF('شامل'!$F$4:$F$2203,الإعدادات!$I13,'شامل'!$O$4:$O$2203)</f>
        <v/>
      </c>
      <c r="N13" s="165">
        <f>SUMIF('شامل'!$F$4:$F$2203,الإعدادات!$I13,'شامل'!$Q$4:$Q$2203)</f>
        <v/>
      </c>
      <c r="P13" s="90" t="inlineStr">
        <is>
          <t>كاوتش</t>
        </is>
      </c>
      <c r="Q13" s="165">
        <f>SUM('البوالص'!$AC$4:$AC$2203)</f>
        <v/>
      </c>
      <c r="V13" s="89">
        <f>IF('أرصدة العملاء والموردين'!E13="","",'أرصدة العملاء والموردين'!E13)</f>
        <v/>
      </c>
      <c r="W13" s="165">
        <f>'أرصدة العملاء والموردين'!F13</f>
        <v/>
      </c>
    </row>
    <row r="14">
      <c r="A14" s="164">
        <f>DATE(سنة_التقارير,11,1)</f>
        <v/>
      </c>
      <c r="B14" s="87" t="inlineStr">
        <is>
          <t>نوفمبر</t>
        </is>
      </c>
      <c r="C14" s="165">
        <f>SUMIFS('البوالص'!$L$4:$L$2203,'البوالص'!$B$4:$B$2203,"&gt;="&amp;$A14,'البوالص'!$B$4:$B$2203,"&lt;"&amp;EDATE($A14,1))+SUMIFS('شامل'!$O$4:$O$2203,'شامل'!$B$4:$B$2203,"&gt;="&amp;$A14,'شامل'!$B$4:$B$2203,"&lt;"&amp;EDATE($A14,1))+SUMIFS('التخليص'!$G$4:$G$2203,'التخليص'!$B$4:$B$2203,"&gt;="&amp;$A14,'التخليص'!$B$4:$B$2203,"&lt;"&amp;EDATE($A14,1))+SUMIFS('مولدات ايجي كول'!$G$4:$G$2203,'مولدات ايجي كول'!$B$4:$B$2203,"&gt;="&amp;$A14,'مولدات ايجي كول'!$B$4:$B$2203,"&lt;"&amp;EDATE($A14,1))+SUMIFS('مولدات الشجيع'!$G$4:$G$2203,'مولدات الشجيع'!$B$4:$B$2203,"&gt;="&amp;$A14,'مولدات الشجيع'!$B$4:$B$2203,"&lt;"&amp;EDATE($A14,1))</f>
        <v/>
      </c>
      <c r="D14" s="165">
        <f>SUMIFS('البوالص'!$AF$4:$AF$2203,'البوالص'!$B$4:$B$2203,"&gt;="&amp;$A14,'البوالص'!$B$4:$B$2203,"&lt;"&amp;EDATE($A14,1))+SUMIFS('شامل'!$T$4:$T$2203,'شامل'!$B$4:$B$2203,"&gt;="&amp;$A14,'شامل'!$B$4:$B$2203,"&lt;"&amp;EDATE($A14,1))+SUMIFS('التخليص'!$F$4:$F$2203,'التخليص'!$B$4:$B$2203,"&gt;="&amp;$A14,'التخليص'!$B$4:$B$2203,"&lt;"&amp;EDATE($A14,1))</f>
        <v/>
      </c>
      <c r="E14" s="165">
        <f>SUMIFS('شامل'!$U$4:$U$2203,'شامل'!$B$4:$B$2203,"&gt;="&amp;$A14,'شامل'!$B$4:$B$2203,"&lt;"&amp;EDATE($A14,1))+SUMIFS('شامل'!$V$4:$V$2203,'شامل'!$B$4:$B$2203,"&gt;="&amp;$A14,'شامل'!$B$4:$B$2203,"&lt;"&amp;EDATE($A14,1))+SUMIFS('البوالص'!$AH$4:$AH$2203,'البوالص'!$B$4:$B$2203,"&gt;="&amp;$A14,'البوالص'!$B$4:$B$2203,"&lt;"&amp;EDATE($A14,1))</f>
        <v/>
      </c>
      <c r="F14" s="165">
        <f>SUMIFS('البوالص'!$Q$4:$Q$2203,'البوالص'!$B$4:$B$2203,"&gt;="&amp;$A14,'البوالص'!$B$4:$B$2203,"&lt;"&amp;EDATE($A14,1))+SUMIFS('شامل'!$P$4:$P$2203,'شامل'!$B$4:$B$2203,"&gt;="&amp;$A14,'شامل'!$B$4:$B$2203,"&lt;"&amp;EDATE($A14,1))+SUMIFS('التخليص'!$H$4:$H$2203,'التخليص'!$B$4:$B$2203,"&gt;="&amp;$A14,'التخليص'!$B$4:$B$2203,"&lt;"&amp;EDATE($A14,1))+SUMIFS('مولدات ايجي كول'!$H$4:$H$2203,'مولدات ايجي كول'!$B$4:$B$2203,"&gt;="&amp;$A14,'مولدات ايجي كول'!$B$4:$B$2203,"&lt;"&amp;EDATE($A14,1))+SUMIFS('مولدات الشجيع'!$H$4:$H$2203,'مولدات الشجيع'!$B$4:$B$2203,"&gt;="&amp;$A14,'مولدات الشجيع'!$B$4:$B$2203,"&lt;"&amp;EDATE($A14,1))</f>
        <v/>
      </c>
      <c r="H14" s="89">
        <f>IF(الإعدادات!$E14="","",الإعدادات!$E14)</f>
        <v/>
      </c>
      <c r="I14" s="165">
        <f>SUMIF('البوالص'!$F$4:$F$2203,الإعدادات!$E14,'البوالص'!$L$4:$L$2203)+SUMIF('شامل'!$G$4:$G$2203,الإعدادات!$E14,'شامل'!$J$4:$J$2203)</f>
        <v/>
      </c>
      <c r="J14" s="165">
        <f>SUMIF('البوالص'!$F$4:$F$2203,الإعدادات!$E14,'البوالص'!$AH$4:$AH$2203)+SUMIF('شامل'!$G$4:$G$2203,الإعدادات!$E14,'شامل'!$U$4:$U$2203)</f>
        <v/>
      </c>
      <c r="L14" s="89">
        <f>IF(الإعدادات!$I14="","",الإعدادات!$I14)</f>
        <v/>
      </c>
      <c r="M14" s="165">
        <f>SUMIF('شامل'!$F$4:$F$2203,الإعدادات!$I14,'شامل'!$O$4:$O$2203)</f>
        <v/>
      </c>
      <c r="N14" s="165">
        <f>SUMIF('شامل'!$F$4:$F$2203,الإعدادات!$I14,'شامل'!$Q$4:$Q$2203)</f>
        <v/>
      </c>
      <c r="P14" s="90" t="inlineStr">
        <is>
          <t>م أخرى</t>
        </is>
      </c>
      <c r="Q14" s="165">
        <f>SUM('البوالص'!$AD$4:$AD$2203)</f>
        <v/>
      </c>
      <c r="V14" s="89">
        <f>IF('أرصدة العملاء والموردين'!E14="","",'أرصدة العملاء والموردين'!E14)</f>
        <v/>
      </c>
      <c r="W14" s="165">
        <f>'أرصدة العملاء والموردين'!F14</f>
        <v/>
      </c>
    </row>
    <row r="15">
      <c r="A15" s="164">
        <f>DATE(سنة_التقارير,12,1)</f>
        <v/>
      </c>
      <c r="B15" s="87" t="inlineStr">
        <is>
          <t>ديسمبر</t>
        </is>
      </c>
      <c r="C15" s="165">
        <f>SUMIFS('البوالص'!$L$4:$L$2203,'البوالص'!$B$4:$B$2203,"&gt;="&amp;$A15,'البوالص'!$B$4:$B$2203,"&lt;"&amp;EDATE($A15,1))+SUMIFS('شامل'!$O$4:$O$2203,'شامل'!$B$4:$B$2203,"&gt;="&amp;$A15,'شامل'!$B$4:$B$2203,"&lt;"&amp;EDATE($A15,1))+SUMIFS('التخليص'!$G$4:$G$2203,'التخليص'!$B$4:$B$2203,"&gt;="&amp;$A15,'التخليص'!$B$4:$B$2203,"&lt;"&amp;EDATE($A15,1))+SUMIFS('مولدات ايجي كول'!$G$4:$G$2203,'مولدات ايجي كول'!$B$4:$B$2203,"&gt;="&amp;$A15,'مولدات ايجي كول'!$B$4:$B$2203,"&lt;"&amp;EDATE($A15,1))+SUMIFS('مولدات الشجيع'!$G$4:$G$2203,'مولدات الشجيع'!$B$4:$B$2203,"&gt;="&amp;$A15,'مولدات الشجيع'!$B$4:$B$2203,"&lt;"&amp;EDATE($A15,1))</f>
        <v/>
      </c>
      <c r="D15" s="165">
        <f>SUMIFS('البوالص'!$AF$4:$AF$2203,'البوالص'!$B$4:$B$2203,"&gt;="&amp;$A15,'البوالص'!$B$4:$B$2203,"&lt;"&amp;EDATE($A15,1))+SUMIFS('شامل'!$T$4:$T$2203,'شامل'!$B$4:$B$2203,"&gt;="&amp;$A15,'شامل'!$B$4:$B$2203,"&lt;"&amp;EDATE($A15,1))+SUMIFS('التخليص'!$F$4:$F$2203,'التخليص'!$B$4:$B$2203,"&gt;="&amp;$A15,'التخليص'!$B$4:$B$2203,"&lt;"&amp;EDATE($A15,1))</f>
        <v/>
      </c>
      <c r="E15" s="165">
        <f>SUMIFS('شامل'!$U$4:$U$2203,'شامل'!$B$4:$B$2203,"&gt;="&amp;$A15,'شامل'!$B$4:$B$2203,"&lt;"&amp;EDATE($A15,1))+SUMIFS('شامل'!$V$4:$V$2203,'شامل'!$B$4:$B$2203,"&gt;="&amp;$A15,'شامل'!$B$4:$B$2203,"&lt;"&amp;EDATE($A15,1))+SUMIFS('البوالص'!$AH$4:$AH$2203,'البوالص'!$B$4:$B$2203,"&gt;="&amp;$A15,'البوالص'!$B$4:$B$2203,"&lt;"&amp;EDATE($A15,1))</f>
        <v/>
      </c>
      <c r="F15" s="165">
        <f>SUMIFS('البوالص'!$Q$4:$Q$2203,'البوالص'!$B$4:$B$2203,"&gt;="&amp;$A15,'البوالص'!$B$4:$B$2203,"&lt;"&amp;EDATE($A15,1))+SUMIFS('شامل'!$P$4:$P$2203,'شامل'!$B$4:$B$2203,"&gt;="&amp;$A15,'شامل'!$B$4:$B$2203,"&lt;"&amp;EDATE($A15,1))+SUMIFS('التخليص'!$H$4:$H$2203,'التخليص'!$B$4:$B$2203,"&gt;="&amp;$A15,'التخليص'!$B$4:$B$2203,"&lt;"&amp;EDATE($A15,1))+SUMIFS('مولدات ايجي كول'!$H$4:$H$2203,'مولدات ايجي كول'!$B$4:$B$2203,"&gt;="&amp;$A15,'مولدات ايجي كول'!$B$4:$B$2203,"&lt;"&amp;EDATE($A15,1))+SUMIFS('مولدات الشجيع'!$H$4:$H$2203,'مولدات الشجيع'!$B$4:$B$2203,"&gt;="&amp;$A15,'مولدات الشجيع'!$B$4:$B$2203,"&lt;"&amp;EDATE($A15,1))</f>
        <v/>
      </c>
      <c r="H15" s="89">
        <f>IF(الإعدادات!$E15="","",الإعدادات!$E15)</f>
        <v/>
      </c>
      <c r="I15" s="165">
        <f>SUMIF('البوالص'!$F$4:$F$2203,الإعدادات!$E15,'البوالص'!$L$4:$L$2203)+SUMIF('شامل'!$G$4:$G$2203,الإعدادات!$E15,'شامل'!$J$4:$J$2203)</f>
        <v/>
      </c>
      <c r="J15" s="165">
        <f>SUMIF('البوالص'!$F$4:$F$2203,الإعدادات!$E15,'البوالص'!$AH$4:$AH$2203)+SUMIF('شامل'!$G$4:$G$2203,الإعدادات!$E15,'شامل'!$U$4:$U$2203)</f>
        <v/>
      </c>
      <c r="L15" s="89">
        <f>IF(الإعدادات!$I15="","",الإعدادات!$I15)</f>
        <v/>
      </c>
      <c r="M15" s="165">
        <f>SUMIF('شامل'!$F$4:$F$2203,الإعدادات!$I15,'شامل'!$O$4:$O$2203)</f>
        <v/>
      </c>
      <c r="N15" s="165">
        <f>SUMIF('شامل'!$F$4:$F$2203,الإعدادات!$I15,'شامل'!$Q$4:$Q$2203)</f>
        <v/>
      </c>
      <c r="P15" s="90" t="inlineStr">
        <is>
          <t>جاز</t>
        </is>
      </c>
      <c r="Q15" s="165">
        <f>SUM('البوالص'!$AE$4:$AE$2203)</f>
        <v/>
      </c>
      <c r="V15" s="89">
        <f>IF('أرصدة العملاء والموردين'!E15="","",'أرصدة العملاء والموردين'!E15)</f>
        <v/>
      </c>
      <c r="W15" s="165">
        <f>'أرصدة العملاء والموردين'!F15</f>
        <v/>
      </c>
    </row>
    <row r="16">
      <c r="H16" s="89">
        <f>IF(الإعدادات!$E16="","",الإعدادات!$E16)</f>
        <v/>
      </c>
      <c r="I16" s="165">
        <f>SUMIF('البوالص'!$F$4:$F$2203,الإعدادات!$E16,'البوالص'!$L$4:$L$2203)+SUMIF('شامل'!$G$4:$G$2203,الإعدادات!$E16,'شامل'!$J$4:$J$2203)</f>
        <v/>
      </c>
      <c r="J16" s="165">
        <f>SUMIF('البوالص'!$F$4:$F$2203,الإعدادات!$E16,'البوالص'!$AH$4:$AH$2203)+SUMIF('شامل'!$G$4:$G$2203,الإعدادات!$E16,'شامل'!$U$4:$U$2203)</f>
        <v/>
      </c>
      <c r="L16" s="89">
        <f>IF(الإعدادات!$I16="","",الإعدادات!$I16)</f>
        <v/>
      </c>
      <c r="M16" s="165">
        <f>SUMIF('شامل'!$F$4:$F$2203,الإعدادات!$I16,'شامل'!$O$4:$O$2203)</f>
        <v/>
      </c>
      <c r="N16" s="165">
        <f>SUMIF('شامل'!$F$4:$F$2203,الإعدادات!$I16,'شامل'!$Q$4:$Q$2203)</f>
        <v/>
      </c>
    </row>
    <row r="17">
      <c r="H17" s="89">
        <f>IF(الإعدادات!$E17="","",الإعدادات!$E17)</f>
        <v/>
      </c>
      <c r="I17" s="165">
        <f>SUMIF('البوالص'!$F$4:$F$2203,الإعدادات!$E17,'البوالص'!$L$4:$L$2203)+SUMIF('شامل'!$G$4:$G$2203,الإعدادات!$E17,'شامل'!$J$4:$J$2203)</f>
        <v/>
      </c>
      <c r="J17" s="165">
        <f>SUMIF('البوالص'!$F$4:$F$2203,الإعدادات!$E17,'البوالص'!$AH$4:$AH$2203)+SUMIF('شامل'!$G$4:$G$2203,الإعدادات!$E17,'شامل'!$U$4:$U$2203)</f>
        <v/>
      </c>
      <c r="L17" s="89">
        <f>IF(الإعدادات!$I17="","",الإعدادات!$I17)</f>
        <v/>
      </c>
      <c r="M17" s="165">
        <f>SUMIF('شامل'!$F$4:$F$2203,الإعدادات!$I17,'شامل'!$O$4:$O$2203)</f>
        <v/>
      </c>
      <c r="N17" s="165">
        <f>SUMIF('شامل'!$F$4:$F$2203,الإعدادات!$I17,'شامل'!$Q$4:$Q$2203)</f>
        <v/>
      </c>
    </row>
    <row r="18">
      <c r="H18" s="89">
        <f>IF(الإعدادات!$E18="","",الإعدادات!$E18)</f>
        <v/>
      </c>
      <c r="I18" s="165">
        <f>SUMIF('البوالص'!$F$4:$F$2203,الإعدادات!$E18,'البوالص'!$L$4:$L$2203)+SUMIF('شامل'!$G$4:$G$2203,الإعدادات!$E18,'شامل'!$J$4:$J$2203)</f>
        <v/>
      </c>
      <c r="J18" s="165">
        <f>SUMIF('البوالص'!$F$4:$F$2203,الإعدادات!$E18,'البوالص'!$AH$4:$AH$2203)+SUMIF('شامل'!$G$4:$G$2203,الإعدادات!$E18,'شامل'!$U$4:$U$2203)</f>
        <v/>
      </c>
      <c r="L18" s="89">
        <f>IF(الإعدادات!$I18="","",الإعدادات!$I18)</f>
        <v/>
      </c>
      <c r="M18" s="165">
        <f>SUMIF('شامل'!$F$4:$F$2203,الإعدادات!$I18,'شامل'!$O$4:$O$2203)</f>
        <v/>
      </c>
      <c r="N18" s="165">
        <f>SUMIF('شامل'!$F$4:$F$2203,الإعدادات!$I18,'شامل'!$Q$4:$Q$2203)</f>
        <v/>
      </c>
    </row>
  </sheetData>
  <mergeCells count="2">
    <mergeCell ref="A2:F2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666666"/>
    <outlinePr summaryBelow="1" summaryRight="1"/>
    <pageSetUpPr/>
  </sheetPr>
  <dimension ref="A1:I203"/>
  <sheetViews>
    <sheetView showGridLines="0" rightToLeft="1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3" customWidth="1" min="3" max="3"/>
    <col width="20" customWidth="1" min="4" max="4"/>
    <col width="22" customWidth="1" min="5" max="5"/>
    <col width="20" customWidth="1" min="6" max="6"/>
    <col width="22" customWidth="1" min="7" max="7"/>
    <col width="20" customWidth="1" min="8" max="8"/>
    <col width="20" customWidth="1" min="9" max="9"/>
  </cols>
  <sheetData>
    <row r="1" ht="34" customHeight="1">
      <c r="A1" s="1" t="inlineStr">
        <is>
          <t>شركة المتوكل  —  الإعدادات والقوائم المنسدلة</t>
        </is>
      </c>
    </row>
    <row r="2" ht="20" customHeight="1">
      <c r="A2" s="3" t="inlineStr">
        <is>
          <t>تُغذّي هذه الصفحة كل القوائم المنسدلة في النظام — أضف أي عنصر جديد هنا</t>
        </is>
      </c>
    </row>
    <row r="3">
      <c r="A3" s="53" t="inlineStr">
        <is>
          <t>الإعداد</t>
        </is>
      </c>
      <c r="B3" s="53" t="inlineStr">
        <is>
          <t>القيمة</t>
        </is>
      </c>
      <c r="D3" s="84" t="inlineStr">
        <is>
          <t>التصنيفات</t>
        </is>
      </c>
      <c r="E3" s="84" t="inlineStr">
        <is>
          <t>الشركات</t>
        </is>
      </c>
      <c r="F3" s="84" t="inlineStr">
        <is>
          <t>الجهات</t>
        </is>
      </c>
      <c r="G3" s="84" t="inlineStr">
        <is>
          <t>السائقين</t>
        </is>
      </c>
      <c r="H3" s="84" t="inlineStr">
        <is>
          <t>أصحاب السيارات</t>
        </is>
      </c>
      <c r="I3" s="84" t="inlineStr">
        <is>
          <t>العملاء</t>
        </is>
      </c>
    </row>
    <row r="4">
      <c r="A4" s="87" t="inlineStr">
        <is>
          <t>اسم الشركة</t>
        </is>
      </c>
      <c r="B4" s="91" t="inlineStr">
        <is>
          <t>شركة المتوكل</t>
        </is>
      </c>
      <c r="D4" s="46" t="inlineStr">
        <is>
          <t>1*20</t>
        </is>
      </c>
      <c r="E4" s="46" t="inlineStr">
        <is>
          <t>l g</t>
        </is>
      </c>
      <c r="F4" s="46" t="inlineStr">
        <is>
          <t>أكتوبر</t>
        </is>
      </c>
      <c r="G4" s="46" t="inlineStr">
        <is>
          <t>ابراهيم</t>
        </is>
      </c>
      <c r="H4" s="46" t="inlineStr">
        <is>
          <t>ا/ماجد</t>
        </is>
      </c>
      <c r="I4" s="46" t="inlineStr">
        <is>
          <t>CMS</t>
        </is>
      </c>
    </row>
    <row r="5">
      <c r="A5" s="87" t="inlineStr">
        <is>
          <t>نسبة القيمة المضافة</t>
        </is>
      </c>
      <c r="B5" s="166" t="n">
        <v>0.14</v>
      </c>
      <c r="D5" s="46" t="inlineStr">
        <is>
          <t>1*20 ot</t>
        </is>
      </c>
      <c r="E5" s="46" t="inlineStr">
        <is>
          <t>ابيك</t>
        </is>
      </c>
      <c r="F5" s="46" t="inlineStr">
        <is>
          <t>ابو حماد</t>
        </is>
      </c>
      <c r="G5" s="46" t="inlineStr">
        <is>
          <t>ابراهيم البندارى</t>
        </is>
      </c>
      <c r="H5" s="46" t="inlineStr">
        <is>
          <t>ابراهيم ابو طالب</t>
        </is>
      </c>
      <c r="I5" s="46" t="inlineStr">
        <is>
          <t>ags</t>
        </is>
      </c>
    </row>
    <row r="6">
      <c r="A6" s="87" t="inlineStr">
        <is>
          <t>سنة التقارير</t>
        </is>
      </c>
      <c r="B6" s="93" t="n">
        <v>2026</v>
      </c>
      <c r="D6" s="46" t="inlineStr">
        <is>
          <t>1*20 تنك</t>
        </is>
      </c>
      <c r="E6" s="46" t="inlineStr">
        <is>
          <t>اتش ام ام</t>
        </is>
      </c>
      <c r="F6" s="46" t="inlineStr">
        <is>
          <t>ابو رواش</t>
        </is>
      </c>
      <c r="G6" s="46" t="inlineStr">
        <is>
          <t>ابراهيم السيد</t>
        </is>
      </c>
      <c r="H6" s="46" t="inlineStr">
        <is>
          <t>ابراهيم الشندويلى</t>
        </is>
      </c>
      <c r="I6" s="46" t="inlineStr">
        <is>
          <t>kz</t>
        </is>
      </c>
    </row>
    <row r="7">
      <c r="A7" s="87" t="inlineStr">
        <is>
          <t>العملة</t>
        </is>
      </c>
      <c r="B7" s="91" t="inlineStr">
        <is>
          <t>ج.م</t>
        </is>
      </c>
      <c r="D7" s="46" t="inlineStr">
        <is>
          <t>1*20 ث</t>
        </is>
      </c>
      <c r="E7" s="46" t="inlineStr">
        <is>
          <t>اتش بى فلور</t>
        </is>
      </c>
      <c r="F7" s="46" t="inlineStr">
        <is>
          <t>ابو غالب</t>
        </is>
      </c>
      <c r="G7" s="46" t="inlineStr">
        <is>
          <t>ابراهيم الشيخ</t>
        </is>
      </c>
      <c r="H7" s="46" t="inlineStr">
        <is>
          <t>ابراهيم الصعيدى</t>
        </is>
      </c>
      <c r="I7" s="46" t="inlineStr">
        <is>
          <t>mfb</t>
        </is>
      </c>
    </row>
    <row r="8">
      <c r="D8" s="46" t="inlineStr">
        <is>
          <t>1*20 فلا</t>
        </is>
      </c>
      <c r="E8" s="46" t="inlineStr">
        <is>
          <t>اتش بى فولر</t>
        </is>
      </c>
      <c r="F8" s="46" t="inlineStr">
        <is>
          <t>ابوحماد الشرقيه</t>
        </is>
      </c>
      <c r="G8" s="46" t="inlineStr">
        <is>
          <t>ابراهيم الميت</t>
        </is>
      </c>
      <c r="H8" s="46" t="inlineStr">
        <is>
          <t>ابراهيم العمدة</t>
        </is>
      </c>
      <c r="I8" s="46" t="inlineStr">
        <is>
          <t>mis</t>
        </is>
      </c>
    </row>
    <row r="9">
      <c r="D9" s="46" t="inlineStr">
        <is>
          <t>1*20 قرش</t>
        </is>
      </c>
      <c r="E9" s="46" t="inlineStr">
        <is>
          <t>اتش تى ام</t>
        </is>
      </c>
      <c r="F9" s="46" t="inlineStr">
        <is>
          <t>ابورواش</t>
        </is>
      </c>
      <c r="G9" s="46" t="inlineStr">
        <is>
          <t>ابراهيم جابر</t>
        </is>
      </c>
      <c r="H9" s="46" t="inlineStr">
        <is>
          <t>ابراهيم القها</t>
        </is>
      </c>
      <c r="I9" s="46" t="inlineStr">
        <is>
          <t>ابراهيم اروايجبت</t>
        </is>
      </c>
    </row>
    <row r="10">
      <c r="D10" s="46" t="inlineStr">
        <is>
          <t>1*40</t>
        </is>
      </c>
      <c r="E10" s="46" t="inlineStr">
        <is>
          <t>اتش دى</t>
        </is>
      </c>
      <c r="F10" s="46" t="inlineStr">
        <is>
          <t>ابيس</t>
        </is>
      </c>
      <c r="G10" s="46" t="inlineStr">
        <is>
          <t>ابراهيم حسن</t>
        </is>
      </c>
      <c r="H10" s="46" t="inlineStr">
        <is>
          <t>ابراهيم انور</t>
        </is>
      </c>
      <c r="I10" s="46" t="inlineStr">
        <is>
          <t>احمد سنبل</t>
        </is>
      </c>
    </row>
    <row r="11">
      <c r="D11" s="46" t="inlineStr">
        <is>
          <t>1*40 ث</t>
        </is>
      </c>
      <c r="E11" s="46" t="inlineStr">
        <is>
          <t>اجرو جرين</t>
        </is>
      </c>
      <c r="F11" s="46" t="inlineStr">
        <is>
          <t>اشاص / ج العبور</t>
        </is>
      </c>
      <c r="G11" s="46" t="inlineStr">
        <is>
          <t>ابراهيم حمامة</t>
        </is>
      </c>
      <c r="H11" s="46" t="inlineStr">
        <is>
          <t>ابراهيم عفيفى</t>
        </is>
      </c>
      <c r="I11" s="46" t="inlineStr">
        <is>
          <t>احمد عبدالله</t>
        </is>
      </c>
    </row>
    <row r="12">
      <c r="D12" s="46" t="inlineStr">
        <is>
          <t>1*45</t>
        </is>
      </c>
      <c r="E12" s="46" t="inlineStr">
        <is>
          <t>اجرو لاند</t>
        </is>
      </c>
      <c r="F12" s="46" t="inlineStr">
        <is>
          <t>اكبوبر</t>
        </is>
      </c>
      <c r="G12" s="46" t="inlineStr">
        <is>
          <t>ابراهيم رجب</t>
        </is>
      </c>
      <c r="H12" s="46" t="inlineStr">
        <is>
          <t>ابراهيم كامل</t>
        </is>
      </c>
      <c r="I12" s="46" t="inlineStr">
        <is>
          <t>احمد غريب</t>
        </is>
      </c>
    </row>
    <row r="13">
      <c r="D13" s="46" t="inlineStr">
        <is>
          <t>10 طر د</t>
        </is>
      </c>
      <c r="E13" s="46" t="inlineStr">
        <is>
          <t>اجروفود</t>
        </is>
      </c>
      <c r="F13" s="46" t="inlineStr">
        <is>
          <t>اكتوبر</t>
        </is>
      </c>
      <c r="G13" s="46" t="inlineStr">
        <is>
          <t>ابراهيم رضا</t>
        </is>
      </c>
      <c r="H13" s="46" t="inlineStr">
        <is>
          <t>ابراهيم يسرى</t>
        </is>
      </c>
      <c r="I13" s="46" t="inlineStr">
        <is>
          <t>اسلام</t>
        </is>
      </c>
    </row>
    <row r="14">
      <c r="D14" s="46" t="inlineStr">
        <is>
          <t>19 طرد</t>
        </is>
      </c>
      <c r="E14" s="46" t="inlineStr">
        <is>
          <t>اجريفود</t>
        </is>
      </c>
      <c r="F14" s="46" t="inlineStr">
        <is>
          <t>الاسماعيليه</t>
        </is>
      </c>
      <c r="G14" s="46" t="inlineStr">
        <is>
          <t>ابراهيم رمزى</t>
        </is>
      </c>
      <c r="H14" s="46" t="inlineStr">
        <is>
          <t>ابراهيم يونس</t>
        </is>
      </c>
      <c r="I14" s="46" t="inlineStr">
        <is>
          <t>اسماء خليفة</t>
        </is>
      </c>
    </row>
    <row r="15">
      <c r="D15" s="46" t="inlineStr">
        <is>
          <t>2*20</t>
        </is>
      </c>
      <c r="E15" s="46" t="inlineStr">
        <is>
          <t>ادفاليو</t>
        </is>
      </c>
      <c r="F15" s="46" t="inlineStr">
        <is>
          <t>الاقصر</t>
        </is>
      </c>
      <c r="G15" s="46" t="inlineStr">
        <is>
          <t>ابراهيم عبد الله</t>
        </is>
      </c>
      <c r="H15" s="46" t="inlineStr">
        <is>
          <t>ابرهيم غزال</t>
        </is>
      </c>
      <c r="I15" s="46" t="inlineStr">
        <is>
          <t>اكما</t>
        </is>
      </c>
    </row>
    <row r="16">
      <c r="D16" s="46" t="inlineStr">
        <is>
          <t>22 طرد</t>
        </is>
      </c>
      <c r="E16" s="46" t="inlineStr">
        <is>
          <t>ارستون</t>
        </is>
      </c>
      <c r="F16" s="46" t="inlineStr">
        <is>
          <t>البدرشين</t>
        </is>
      </c>
      <c r="G16" s="46" t="inlineStr">
        <is>
          <t>ابراهيم عبدالله</t>
        </is>
      </c>
      <c r="H16" s="46" t="inlineStr">
        <is>
          <t>ابو ادم</t>
        </is>
      </c>
      <c r="I16" s="46" t="inlineStr">
        <is>
          <t>البغدادية</t>
        </is>
      </c>
    </row>
    <row r="17">
      <c r="D17" s="46" t="inlineStr">
        <is>
          <t>بلاتات</t>
        </is>
      </c>
      <c r="E17" s="46" t="inlineStr">
        <is>
          <t>اركانا</t>
        </is>
      </c>
      <c r="F17" s="46" t="inlineStr">
        <is>
          <t>البراوى</t>
        </is>
      </c>
      <c r="G17" s="46" t="inlineStr">
        <is>
          <t>ابراهيم عفيفى</t>
        </is>
      </c>
      <c r="H17" s="46" t="inlineStr">
        <is>
          <t>ابو رحاب</t>
        </is>
      </c>
      <c r="I17" s="46" t="inlineStr">
        <is>
          <t>الشيخ حسن</t>
        </is>
      </c>
    </row>
    <row r="18">
      <c r="D18" s="46" t="inlineStr">
        <is>
          <t>دبابة</t>
        </is>
      </c>
      <c r="E18" s="46" t="inlineStr">
        <is>
          <t>اروماتك</t>
        </is>
      </c>
      <c r="F18" s="46" t="inlineStr">
        <is>
          <t>البرج</t>
        </is>
      </c>
      <c r="G18" s="46" t="inlineStr">
        <is>
          <t>ابراهيم عوض</t>
        </is>
      </c>
      <c r="H18" s="46" t="inlineStr">
        <is>
          <t>ابو طالب</t>
        </is>
      </c>
      <c r="I18" s="46" t="inlineStr">
        <is>
          <t>العالمية</t>
        </is>
      </c>
    </row>
    <row r="19">
      <c r="D19" s="46" t="inlineStr">
        <is>
          <t>طرد</t>
        </is>
      </c>
      <c r="E19" s="46" t="inlineStr">
        <is>
          <t>اروماتيك</t>
        </is>
      </c>
      <c r="F19" s="46" t="inlineStr">
        <is>
          <t>التجمع</t>
        </is>
      </c>
      <c r="G19" s="46" t="inlineStr">
        <is>
          <t>ابراهيم عيد</t>
        </is>
      </c>
      <c r="H19" s="46" t="inlineStr">
        <is>
          <t>ابو كارما</t>
        </is>
      </c>
      <c r="I19" s="46" t="inlineStr">
        <is>
          <t>الفؤاد</t>
        </is>
      </c>
    </row>
    <row r="20">
      <c r="D20" s="46" t="inlineStr">
        <is>
          <t>فرش</t>
        </is>
      </c>
      <c r="E20" s="46" t="inlineStr">
        <is>
          <t>استيل لاند</t>
        </is>
      </c>
      <c r="F20" s="46" t="inlineStr">
        <is>
          <t>التجمع 5</t>
        </is>
      </c>
      <c r="G20" s="46" t="inlineStr">
        <is>
          <t>ابراهيم كامل</t>
        </is>
      </c>
      <c r="H20" s="46" t="inlineStr">
        <is>
          <t>ابو مينا</t>
        </is>
      </c>
      <c r="I20" s="46" t="inlineStr">
        <is>
          <t>النهار</t>
        </is>
      </c>
    </row>
    <row r="21">
      <c r="D21" s="46" t="inlineStr">
        <is>
          <t>كساحة ملاكى</t>
        </is>
      </c>
      <c r="E21" s="46" t="inlineStr">
        <is>
          <t>اسطنبول</t>
        </is>
      </c>
      <c r="F21" s="46" t="inlineStr">
        <is>
          <t>التجمع الاول</t>
        </is>
      </c>
      <c r="G21" s="46" t="inlineStr">
        <is>
          <t>ابراهيم مبروك</t>
        </is>
      </c>
      <c r="H21" s="46" t="inlineStr">
        <is>
          <t>ابو هبش</t>
        </is>
      </c>
      <c r="I21" s="46" t="inlineStr">
        <is>
          <t>اوفرسيز.</t>
        </is>
      </c>
    </row>
    <row r="22">
      <c r="D22" s="46" t="n"/>
      <c r="E22" s="46" t="inlineStr">
        <is>
          <t>اكما</t>
        </is>
      </c>
      <c r="F22" s="46" t="inlineStr">
        <is>
          <t>التوفيقية</t>
        </is>
      </c>
      <c r="G22" s="46" t="inlineStr">
        <is>
          <t>ابراهيم محمد</t>
        </is>
      </c>
      <c r="H22" s="46" t="inlineStr">
        <is>
          <t>ابو يحى</t>
        </is>
      </c>
      <c r="I22" s="46" t="inlineStr">
        <is>
          <t>ايجي لوجيستك</t>
        </is>
      </c>
    </row>
    <row r="23">
      <c r="D23" s="46" t="n"/>
      <c r="E23" s="46" t="inlineStr">
        <is>
          <t>ال موندو</t>
        </is>
      </c>
      <c r="F23" s="46" t="inlineStr">
        <is>
          <t>الجيزة</t>
        </is>
      </c>
      <c r="G23" s="46" t="inlineStr">
        <is>
          <t>ابراهيم محمود</t>
        </is>
      </c>
      <c r="H23" s="46" t="inlineStr">
        <is>
          <t>ابوادم</t>
        </is>
      </c>
      <c r="I23" s="46" t="inlineStr">
        <is>
          <t>بداية</t>
        </is>
      </c>
    </row>
    <row r="24">
      <c r="D24" s="46" t="n"/>
      <c r="E24" s="46" t="inlineStr">
        <is>
          <t>الاسراء</t>
        </is>
      </c>
      <c r="F24" s="46" t="inlineStr">
        <is>
          <t>الحسينية</t>
        </is>
      </c>
      <c r="G24" s="46" t="inlineStr">
        <is>
          <t>ابراهيم مسعد</t>
        </is>
      </c>
      <c r="H24" s="46" t="inlineStr">
        <is>
          <t>احمد</t>
        </is>
      </c>
      <c r="I24" s="46" t="inlineStr">
        <is>
          <t>برنتو</t>
        </is>
      </c>
    </row>
    <row r="25">
      <c r="D25" s="46" t="n"/>
      <c r="E25" s="46" t="inlineStr">
        <is>
          <t>الاكرامى</t>
        </is>
      </c>
      <c r="F25" s="46" t="inlineStr">
        <is>
          <t>الحوامدية</t>
        </is>
      </c>
      <c r="G25" s="46" t="inlineStr">
        <is>
          <t>ابرهيم السيد</t>
        </is>
      </c>
      <c r="H25" s="46" t="inlineStr">
        <is>
          <t>احمد ابراهيم</t>
        </is>
      </c>
      <c r="I25" s="46" t="inlineStr">
        <is>
          <t>بيردس</t>
        </is>
      </c>
    </row>
    <row r="26">
      <c r="D26" s="46" t="n"/>
      <c r="E26" s="46" t="inlineStr">
        <is>
          <t>الامراء</t>
        </is>
      </c>
      <c r="F26" s="46" t="inlineStr">
        <is>
          <t>الخطاطبة</t>
        </is>
      </c>
      <c r="G26" s="46" t="inlineStr">
        <is>
          <t>ابرهيم العدلي</t>
        </is>
      </c>
      <c r="H26" s="46" t="inlineStr">
        <is>
          <t>احمد البو</t>
        </is>
      </c>
      <c r="I26" s="46" t="inlineStr">
        <is>
          <t>بيرفكت</t>
        </is>
      </c>
    </row>
    <row r="27">
      <c r="D27" s="46" t="n"/>
      <c r="E27" s="46" t="inlineStr">
        <is>
          <t>الامل</t>
        </is>
      </c>
      <c r="F27" s="46" t="inlineStr">
        <is>
          <t>الزاوية الحمراء</t>
        </is>
      </c>
      <c r="G27" s="46" t="inlineStr">
        <is>
          <t>ابصيرى ابراهيم</t>
        </is>
      </c>
      <c r="H27" s="46" t="inlineStr">
        <is>
          <t>احمد السويفى</t>
        </is>
      </c>
      <c r="I27" s="46" t="inlineStr">
        <is>
          <t>تيتو</t>
        </is>
      </c>
    </row>
    <row r="28">
      <c r="D28" s="46" t="n"/>
      <c r="E28" s="46" t="inlineStr">
        <is>
          <t>الانارة العامة</t>
        </is>
      </c>
      <c r="F28" s="46" t="inlineStr">
        <is>
          <t>السادات</t>
        </is>
      </c>
      <c r="G28" s="46" t="inlineStr">
        <is>
          <t>ابو رامى</t>
        </is>
      </c>
      <c r="H28" s="46" t="inlineStr">
        <is>
          <t>احمد الشريف</t>
        </is>
      </c>
      <c r="I28" s="46" t="inlineStr">
        <is>
          <t>تيفاني</t>
        </is>
      </c>
    </row>
    <row r="29">
      <c r="D29" s="46" t="n"/>
      <c r="E29" s="46" t="inlineStr">
        <is>
          <t>الاندلس</t>
        </is>
      </c>
      <c r="F29" s="46" t="inlineStr">
        <is>
          <t>السادات / ابو قير</t>
        </is>
      </c>
      <c r="G29" s="46" t="inlineStr">
        <is>
          <t>ابو نور</t>
        </is>
      </c>
      <c r="H29" s="46" t="inlineStr">
        <is>
          <t>احمد الغامرى</t>
        </is>
      </c>
      <c r="I29" s="46" t="inlineStr">
        <is>
          <t>جرين اب</t>
        </is>
      </c>
    </row>
    <row r="30">
      <c r="D30" s="46" t="n"/>
      <c r="E30" s="46" t="inlineStr">
        <is>
          <t>البارق</t>
        </is>
      </c>
      <c r="F30" s="46" t="inlineStr">
        <is>
          <t>السادات س و ت ابو قير</t>
        </is>
      </c>
      <c r="G30" s="46" t="inlineStr">
        <is>
          <t>ابو يحي</t>
        </is>
      </c>
      <c r="H30" s="46" t="inlineStr">
        <is>
          <t>احمد بنزينة</t>
        </is>
      </c>
      <c r="I30" s="46" t="inlineStr">
        <is>
          <t>حماده سخنه</t>
        </is>
      </c>
    </row>
    <row r="31">
      <c r="D31" s="46" t="n"/>
      <c r="E31" s="46" t="inlineStr">
        <is>
          <t>الباز</t>
        </is>
      </c>
      <c r="F31" s="46" t="inlineStr">
        <is>
          <t>الشرفية</t>
        </is>
      </c>
      <c r="G31" s="46" t="inlineStr">
        <is>
          <t>ابوحباجة</t>
        </is>
      </c>
      <c r="H31" s="46" t="inlineStr">
        <is>
          <t>احمد خطاب</t>
        </is>
      </c>
      <c r="I31" s="46" t="inlineStr">
        <is>
          <t>روتس</t>
        </is>
      </c>
    </row>
    <row r="32">
      <c r="D32" s="46" t="n"/>
      <c r="E32" s="46" t="inlineStr">
        <is>
          <t>البراوى</t>
        </is>
      </c>
      <c r="F32" s="46" t="inlineStr">
        <is>
          <t>الشرقية</t>
        </is>
      </c>
      <c r="G32" s="46" t="inlineStr">
        <is>
          <t>اجمد جمال</t>
        </is>
      </c>
      <c r="H32" s="46" t="inlineStr">
        <is>
          <t>احمد خليف</t>
        </is>
      </c>
      <c r="I32" s="46" t="inlineStr">
        <is>
          <t>رويال لاند</t>
        </is>
      </c>
    </row>
    <row r="33">
      <c r="D33" s="46" t="n"/>
      <c r="E33" s="46" t="inlineStr">
        <is>
          <t>البستانية</t>
        </is>
      </c>
      <c r="F33" s="46" t="inlineStr">
        <is>
          <t>الشرقيه انشاص</t>
        </is>
      </c>
      <c r="G33" s="46" t="inlineStr">
        <is>
          <t>احمد</t>
        </is>
      </c>
      <c r="H33" s="46" t="inlineStr">
        <is>
          <t>احمد طة</t>
        </is>
      </c>
      <c r="I33" s="46" t="inlineStr">
        <is>
          <t>ريجينا</t>
        </is>
      </c>
    </row>
    <row r="34">
      <c r="D34" s="46" t="n"/>
      <c r="E34" s="46" t="inlineStr">
        <is>
          <t>البستانية وارد</t>
        </is>
      </c>
      <c r="F34" s="46" t="inlineStr">
        <is>
          <t>الصالحية</t>
        </is>
      </c>
      <c r="G34" s="46" t="inlineStr">
        <is>
          <t>احمد ابراهيم</t>
        </is>
      </c>
      <c r="H34" s="46" t="inlineStr">
        <is>
          <t>احمد عادل</t>
        </is>
      </c>
      <c r="I34" s="46" t="inlineStr">
        <is>
          <t>سيجل</t>
        </is>
      </c>
    </row>
    <row r="35">
      <c r="D35" s="46" t="n"/>
      <c r="E35" s="46" t="inlineStr">
        <is>
          <t>البوشى</t>
        </is>
      </c>
      <c r="F35" s="46" t="inlineStr">
        <is>
          <t>الصالحية / رجوع من ايتاى</t>
        </is>
      </c>
      <c r="G35" s="46" t="inlineStr">
        <is>
          <t>احمد ابو كريم</t>
        </is>
      </c>
      <c r="H35" s="46" t="inlineStr">
        <is>
          <t>احمد عباس</t>
        </is>
      </c>
      <c r="I35" s="46" t="inlineStr">
        <is>
          <t>صلاح</t>
        </is>
      </c>
    </row>
    <row r="36">
      <c r="D36" s="46" t="n"/>
      <c r="E36" s="46" t="inlineStr">
        <is>
          <t>الجمل</t>
        </is>
      </c>
      <c r="F36" s="46" t="inlineStr">
        <is>
          <t>الصف</t>
        </is>
      </c>
      <c r="G36" s="46" t="inlineStr">
        <is>
          <t>احمد اشرف</t>
        </is>
      </c>
      <c r="H36" s="46" t="inlineStr">
        <is>
          <t>احمد عيد</t>
        </is>
      </c>
      <c r="I36" s="46" t="inlineStr">
        <is>
          <t>عرب اوشن</t>
        </is>
      </c>
    </row>
    <row r="37">
      <c r="D37" s="46" t="n"/>
      <c r="E37" s="46" t="inlineStr">
        <is>
          <t>الحمامى</t>
        </is>
      </c>
      <c r="F37" s="46" t="inlineStr">
        <is>
          <t>العااشر</t>
        </is>
      </c>
      <c r="G37" s="46" t="inlineStr">
        <is>
          <t>احمد الجهينى</t>
        </is>
      </c>
      <c r="H37" s="46" t="inlineStr">
        <is>
          <t>احمد فؤاد</t>
        </is>
      </c>
      <c r="I37" s="46" t="inlineStr">
        <is>
          <t>علاء جمعة</t>
        </is>
      </c>
    </row>
    <row r="38">
      <c r="D38" s="46" t="n"/>
      <c r="E38" s="46" t="inlineStr">
        <is>
          <t>الحناوى</t>
        </is>
      </c>
      <c r="F38" s="46" t="inlineStr">
        <is>
          <t>العاشر</t>
        </is>
      </c>
      <c r="G38" s="46" t="inlineStr">
        <is>
          <t>احمد الحسينى</t>
        </is>
      </c>
      <c r="H38" s="46" t="inlineStr">
        <is>
          <t>احمد محسن</t>
        </is>
      </c>
      <c r="I38" s="46" t="inlineStr">
        <is>
          <t>فاطمة</t>
        </is>
      </c>
    </row>
    <row r="39">
      <c r="D39" s="46" t="n"/>
      <c r="E39" s="46" t="inlineStr">
        <is>
          <t>الحناوي</t>
        </is>
      </c>
      <c r="F39" s="46" t="inlineStr">
        <is>
          <t>العاشر / بورسعيد ش</t>
        </is>
      </c>
      <c r="G39" s="46" t="inlineStr">
        <is>
          <t>احمد الروبى</t>
        </is>
      </c>
      <c r="H39" s="46" t="inlineStr">
        <is>
          <t>احمد مخزن</t>
        </is>
      </c>
      <c r="I39" s="46" t="inlineStr">
        <is>
          <t>فضالي</t>
        </is>
      </c>
    </row>
    <row r="40">
      <c r="D40" s="46" t="n"/>
      <c r="E40" s="46" t="inlineStr">
        <is>
          <t>الخليج</t>
        </is>
      </c>
      <c r="F40" s="46" t="inlineStr">
        <is>
          <t>العالمين</t>
        </is>
      </c>
      <c r="G40" s="46" t="inlineStr">
        <is>
          <t>احمد السعدنى</t>
        </is>
      </c>
      <c r="H40" s="46" t="inlineStr">
        <is>
          <t>احمد منصور</t>
        </is>
      </c>
      <c r="I40" s="46" t="inlineStr">
        <is>
          <t>فوكس</t>
        </is>
      </c>
    </row>
    <row r="41">
      <c r="D41" s="46" t="n"/>
      <c r="E41" s="46" t="inlineStr">
        <is>
          <t>الدلتا للكتان</t>
        </is>
      </c>
      <c r="F41" s="46" t="inlineStr">
        <is>
          <t>العامرية</t>
        </is>
      </c>
      <c r="G41" s="46" t="inlineStr">
        <is>
          <t>احمد السعيد</t>
        </is>
      </c>
      <c r="H41" s="46" t="inlineStr">
        <is>
          <t>احمد نادر</t>
        </is>
      </c>
      <c r="I41" s="46" t="inlineStr">
        <is>
          <t>فيرتكس</t>
        </is>
      </c>
    </row>
    <row r="42">
      <c r="D42" s="46" t="n"/>
      <c r="E42" s="46" t="inlineStr">
        <is>
          <t>الدولية</t>
        </is>
      </c>
      <c r="F42" s="46" t="inlineStr">
        <is>
          <t>العباسية</t>
        </is>
      </c>
      <c r="G42" s="46" t="inlineStr">
        <is>
          <t>احمد السيد</t>
        </is>
      </c>
      <c r="H42" s="46" t="inlineStr">
        <is>
          <t>احمد نبيل</t>
        </is>
      </c>
      <c r="I42" s="46" t="inlineStr">
        <is>
          <t>كومباكت</t>
        </is>
      </c>
    </row>
    <row r="43">
      <c r="D43" s="46" t="n"/>
      <c r="E43" s="46" t="inlineStr">
        <is>
          <t>الدولية للادوية</t>
        </is>
      </c>
      <c r="F43" s="46" t="inlineStr">
        <is>
          <t>العبور</t>
        </is>
      </c>
      <c r="G43" s="46" t="inlineStr">
        <is>
          <t>احمد السيدة</t>
        </is>
      </c>
      <c r="H43" s="46" t="inlineStr">
        <is>
          <t>احمد نبيلة</t>
        </is>
      </c>
      <c r="I43" s="46" t="inlineStr">
        <is>
          <t>كينج تريد</t>
        </is>
      </c>
    </row>
    <row r="44">
      <c r="D44" s="46" t="n"/>
      <c r="E44" s="46" t="inlineStr">
        <is>
          <t>الدولية للبن</t>
        </is>
      </c>
      <c r="F44" s="46" t="inlineStr">
        <is>
          <t>العبور / ت ابو قير</t>
        </is>
      </c>
      <c r="G44" s="46" t="inlineStr">
        <is>
          <t>احمد السييد</t>
        </is>
      </c>
      <c r="H44" s="46" t="inlineStr">
        <is>
          <t>احمد نصير</t>
        </is>
      </c>
      <c r="I44" s="46" t="inlineStr">
        <is>
          <t>محمد اشرف</t>
        </is>
      </c>
    </row>
    <row r="45">
      <c r="D45" s="46" t="n"/>
      <c r="E45" s="46" t="inlineStr">
        <is>
          <t>الدولية للفحم</t>
        </is>
      </c>
      <c r="F45" s="46" t="inlineStr">
        <is>
          <t>الغردقة</t>
        </is>
      </c>
      <c r="G45" s="46" t="inlineStr">
        <is>
          <t>احمد الشريف</t>
        </is>
      </c>
      <c r="H45" s="46" t="inlineStr">
        <is>
          <t>احمد يحى</t>
        </is>
      </c>
      <c r="I45" s="46" t="inlineStr">
        <is>
          <t>محمد عزت</t>
        </is>
      </c>
    </row>
    <row r="46">
      <c r="D46" s="46" t="n"/>
      <c r="E46" s="46" t="inlineStr">
        <is>
          <t>الدولية للمستلزمات</t>
        </is>
      </c>
      <c r="F46" s="46" t="inlineStr">
        <is>
          <t>الفيوم</t>
        </is>
      </c>
      <c r="G46" s="46" t="inlineStr">
        <is>
          <t>احمد الصعيدى</t>
        </is>
      </c>
      <c r="H46" s="46" t="inlineStr">
        <is>
          <t>احمد يسرى</t>
        </is>
      </c>
      <c r="I46" s="46" t="inlineStr">
        <is>
          <t>نافي ترانس</t>
        </is>
      </c>
    </row>
    <row r="47">
      <c r="D47" s="46" t="n"/>
      <c r="E47" s="46" t="inlineStr">
        <is>
          <t>الدولية لمستلزمات التعليم</t>
        </is>
      </c>
      <c r="F47" s="46" t="inlineStr">
        <is>
          <t>القاهرة</t>
        </is>
      </c>
      <c r="G47" s="46" t="inlineStr">
        <is>
          <t>احمد الصيفى</t>
        </is>
      </c>
      <c r="H47" s="46" t="inlineStr">
        <is>
          <t>اسامة</t>
        </is>
      </c>
      <c r="I47" s="46" t="inlineStr">
        <is>
          <t>نيو ترند</t>
        </is>
      </c>
    </row>
    <row r="48">
      <c r="D48" s="46" t="n"/>
      <c r="E48" s="46" t="inlineStr">
        <is>
          <t>الدوليه</t>
        </is>
      </c>
      <c r="F48" s="46" t="inlineStr">
        <is>
          <t>القطامية</t>
        </is>
      </c>
      <c r="G48" s="46" t="inlineStr">
        <is>
          <t>احمد الغامرى</t>
        </is>
      </c>
      <c r="H48" s="46" t="inlineStr">
        <is>
          <t>اسامة شعبان</t>
        </is>
      </c>
      <c r="I48" s="46" t="inlineStr">
        <is>
          <t>هب تريد</t>
        </is>
      </c>
    </row>
    <row r="49">
      <c r="D49" s="46" t="n"/>
      <c r="E49" s="46" t="inlineStr">
        <is>
          <t>الدوليه انترناشونال</t>
        </is>
      </c>
      <c r="F49" s="46" t="inlineStr">
        <is>
          <t>القطاميه</t>
        </is>
      </c>
      <c r="G49" s="46" t="inlineStr">
        <is>
          <t>احمد القرموطى</t>
        </is>
      </c>
      <c r="H49" s="46" t="inlineStr">
        <is>
          <t>اسامة عوض</t>
        </is>
      </c>
      <c r="I49" s="46" t="inlineStr">
        <is>
          <t>وورلد</t>
        </is>
      </c>
    </row>
    <row r="50">
      <c r="D50" s="46" t="n"/>
      <c r="E50" s="46" t="inlineStr">
        <is>
          <t>الرافة</t>
        </is>
      </c>
      <c r="F50" s="46" t="inlineStr">
        <is>
          <t>القناطر</t>
        </is>
      </c>
      <c r="G50" s="46" t="inlineStr">
        <is>
          <t>احمد القط</t>
        </is>
      </c>
      <c r="H50" s="46" t="inlineStr">
        <is>
          <t>اسامه شعبان</t>
        </is>
      </c>
      <c r="I50" s="46" t="inlineStr">
        <is>
          <t>يونايتد</t>
        </is>
      </c>
    </row>
    <row r="51">
      <c r="D51" s="46" t="n"/>
      <c r="E51" s="46" t="inlineStr">
        <is>
          <t>الرحاب</t>
        </is>
      </c>
      <c r="F51" s="46" t="inlineStr">
        <is>
          <t>القناطر  / م بدر</t>
        </is>
      </c>
      <c r="G51" s="46" t="inlineStr">
        <is>
          <t>احمد النوبى</t>
        </is>
      </c>
      <c r="H51" s="46" t="inlineStr">
        <is>
          <t>استوريا</t>
        </is>
      </c>
      <c r="I51" s="46" t="n"/>
    </row>
    <row r="52">
      <c r="D52" s="46" t="n"/>
      <c r="E52" s="46" t="inlineStr">
        <is>
          <t>الروضة</t>
        </is>
      </c>
      <c r="F52" s="46" t="inlineStr">
        <is>
          <t>الكيلو59</t>
        </is>
      </c>
      <c r="G52" s="46" t="inlineStr">
        <is>
          <t>احمد انور</t>
        </is>
      </c>
      <c r="H52" s="46" t="inlineStr">
        <is>
          <t>اسلام ابو خير</t>
        </is>
      </c>
      <c r="I52" s="46" t="n"/>
    </row>
    <row r="53">
      <c r="D53" s="46" t="n"/>
      <c r="E53" s="46" t="inlineStr">
        <is>
          <t>الريعى</t>
        </is>
      </c>
      <c r="F53" s="46" t="inlineStr">
        <is>
          <t>الكينج مريوط</t>
        </is>
      </c>
      <c r="G53" s="46" t="inlineStr">
        <is>
          <t>احمد بلتاجى</t>
        </is>
      </c>
      <c r="H53" s="46" t="inlineStr">
        <is>
          <t>اسلام راضى</t>
        </is>
      </c>
      <c r="I53" s="46" t="n"/>
    </row>
    <row r="54">
      <c r="D54" s="46" t="n"/>
      <c r="E54" s="46" t="inlineStr">
        <is>
          <t>الريعي</t>
        </is>
      </c>
      <c r="F54" s="46" t="inlineStr">
        <is>
          <t>المحلة</t>
        </is>
      </c>
      <c r="G54" s="46" t="inlineStr">
        <is>
          <t>احمد بهاء</t>
        </is>
      </c>
      <c r="H54" s="46" t="inlineStr">
        <is>
          <t>اسماعيل منصور</t>
        </is>
      </c>
      <c r="I54" s="46" t="n"/>
    </row>
    <row r="55">
      <c r="D55" s="46" t="n"/>
      <c r="E55" s="46" t="inlineStr">
        <is>
          <t>الزهراء</t>
        </is>
      </c>
      <c r="F55" s="46" t="inlineStr">
        <is>
          <t>المريوطية</t>
        </is>
      </c>
      <c r="G55" s="46" t="inlineStr">
        <is>
          <t>احمد جابر</t>
        </is>
      </c>
      <c r="H55" s="46" t="inlineStr">
        <is>
          <t>اشرف الجمل</t>
        </is>
      </c>
      <c r="I55" s="46" t="n"/>
    </row>
    <row r="56">
      <c r="D56" s="46" t="n"/>
      <c r="E56" s="46" t="inlineStr">
        <is>
          <t>الزيوت المستخلصة</t>
        </is>
      </c>
      <c r="F56" s="46" t="inlineStr">
        <is>
          <t>المعادى</t>
        </is>
      </c>
      <c r="G56" s="46" t="inlineStr">
        <is>
          <t>احمد جاد</t>
        </is>
      </c>
      <c r="H56" s="46" t="inlineStr">
        <is>
          <t>اشرف الحجرى</t>
        </is>
      </c>
      <c r="I56" s="46" t="n"/>
    </row>
    <row r="57">
      <c r="D57" s="46" t="n"/>
      <c r="E57" s="46" t="inlineStr">
        <is>
          <t>السراج</t>
        </is>
      </c>
      <c r="F57" s="46" t="inlineStr">
        <is>
          <t>المكس</t>
        </is>
      </c>
      <c r="G57" s="46" t="inlineStr">
        <is>
          <t>احمد جرجر</t>
        </is>
      </c>
      <c r="H57" s="46" t="inlineStr">
        <is>
          <t>اشرف الخجرى</t>
        </is>
      </c>
      <c r="I57" s="46" t="n"/>
    </row>
    <row r="58">
      <c r="D58" s="46" t="n"/>
      <c r="E58" s="46" t="inlineStr">
        <is>
          <t>السعد</t>
        </is>
      </c>
      <c r="F58" s="46" t="inlineStr">
        <is>
          <t>المنصورة</t>
        </is>
      </c>
      <c r="G58" s="46" t="inlineStr">
        <is>
          <t>احمد جمال</t>
        </is>
      </c>
      <c r="H58" s="46" t="inlineStr">
        <is>
          <t>اشرف الخحجرى</t>
        </is>
      </c>
      <c r="I58" s="46" t="n"/>
    </row>
    <row r="59">
      <c r="D59" s="46" t="n"/>
      <c r="E59" s="46" t="inlineStr">
        <is>
          <t>السويدى بوليمرز</t>
        </is>
      </c>
      <c r="F59" s="46" t="inlineStr">
        <is>
          <t>المنصورية</t>
        </is>
      </c>
      <c r="G59" s="46" t="inlineStr">
        <is>
          <t>احمد جمال القط</t>
        </is>
      </c>
      <c r="H59" s="46" t="inlineStr">
        <is>
          <t>اشرف حجرى</t>
        </is>
      </c>
      <c r="I59" s="46" t="n"/>
    </row>
    <row r="60">
      <c r="D60" s="46" t="n"/>
      <c r="E60" s="46" t="inlineStr">
        <is>
          <t>السويدى للكابلات</t>
        </is>
      </c>
      <c r="F60" s="46" t="inlineStr">
        <is>
          <t>المنيا</t>
        </is>
      </c>
      <c r="G60" s="46" t="inlineStr">
        <is>
          <t>احمد حسن</t>
        </is>
      </c>
      <c r="H60" s="46" t="inlineStr">
        <is>
          <t>اشرف غزال</t>
        </is>
      </c>
      <c r="I60" s="46" t="n"/>
    </row>
    <row r="61">
      <c r="D61" s="46" t="n"/>
      <c r="E61" s="46" t="inlineStr">
        <is>
          <t>السويدي بوليمارز</t>
        </is>
      </c>
      <c r="F61" s="46" t="inlineStr">
        <is>
          <t>النوبارية</t>
        </is>
      </c>
      <c r="G61" s="46" t="inlineStr">
        <is>
          <t>احمد حسين</t>
        </is>
      </c>
      <c r="H61" s="46" t="inlineStr">
        <is>
          <t>اكتوبر</t>
        </is>
      </c>
      <c r="I61" s="46" t="n"/>
    </row>
    <row r="62">
      <c r="D62" s="46" t="n"/>
      <c r="E62" s="46" t="inlineStr">
        <is>
          <t>السويدي بوليمرز</t>
        </is>
      </c>
      <c r="F62" s="46" t="inlineStr">
        <is>
          <t>الهرم سقاره</t>
        </is>
      </c>
      <c r="G62" s="46" t="inlineStr">
        <is>
          <t>احمد حلمى</t>
        </is>
      </c>
      <c r="H62" s="46" t="inlineStr">
        <is>
          <t>الاشرم</t>
        </is>
      </c>
      <c r="I62" s="46" t="n"/>
    </row>
    <row r="63">
      <c r="D63" s="46" t="n"/>
      <c r="E63" s="46" t="inlineStr">
        <is>
          <t>الشركة الدولية للغزل</t>
        </is>
      </c>
      <c r="F63" s="46" t="inlineStr">
        <is>
          <t>الوراق</t>
        </is>
      </c>
      <c r="G63" s="46" t="inlineStr">
        <is>
          <t>احمد حليمو</t>
        </is>
      </c>
      <c r="H63" s="46" t="inlineStr">
        <is>
          <t>البحيرى</t>
        </is>
      </c>
      <c r="I63" s="46" t="n"/>
    </row>
    <row r="64">
      <c r="D64" s="46" t="n"/>
      <c r="E64" s="46" t="inlineStr">
        <is>
          <t>الصادق</t>
        </is>
      </c>
      <c r="F64" s="46" t="inlineStr">
        <is>
          <t>انشاص</t>
        </is>
      </c>
      <c r="G64" s="46" t="inlineStr">
        <is>
          <t>احمد حمدان</t>
        </is>
      </c>
      <c r="H64" s="46" t="inlineStr">
        <is>
          <t>البحيري</t>
        </is>
      </c>
      <c r="I64" s="46" t="n"/>
    </row>
    <row r="65">
      <c r="D65" s="46" t="n"/>
      <c r="E65" s="46" t="inlineStr">
        <is>
          <t>الصاوى والقداح</t>
        </is>
      </c>
      <c r="F65" s="46" t="inlineStr">
        <is>
          <t>انشاص / ج العبور</t>
        </is>
      </c>
      <c r="G65" s="46" t="inlineStr">
        <is>
          <t>احمد حمدى</t>
        </is>
      </c>
      <c r="H65" s="46" t="inlineStr">
        <is>
          <t>البكرى</t>
        </is>
      </c>
      <c r="I65" s="46" t="n"/>
    </row>
    <row r="66">
      <c r="D66" s="46" t="n"/>
      <c r="E66" s="46" t="inlineStr">
        <is>
          <t>الصديق</t>
        </is>
      </c>
      <c r="F66" s="46" t="inlineStr">
        <is>
          <t>انشاص /ج العاشر</t>
        </is>
      </c>
      <c r="G66" s="46" t="inlineStr">
        <is>
          <t>احمد خطاب</t>
        </is>
      </c>
      <c r="H66" s="46" t="inlineStr">
        <is>
          <t>البورى</t>
        </is>
      </c>
      <c r="I66" s="46" t="n"/>
    </row>
    <row r="67">
      <c r="D67" s="46" t="n"/>
      <c r="E67" s="46" t="inlineStr">
        <is>
          <t>الصعيد</t>
        </is>
      </c>
      <c r="F67" s="46" t="inlineStr">
        <is>
          <t>ايتاى البارود</t>
        </is>
      </c>
      <c r="G67" s="46" t="inlineStr">
        <is>
          <t>احمد خليف</t>
        </is>
      </c>
      <c r="H67" s="46" t="inlineStr">
        <is>
          <t>البيبى</t>
        </is>
      </c>
      <c r="I67" s="46" t="n"/>
    </row>
    <row r="68">
      <c r="D68" s="46" t="n"/>
      <c r="E68" s="46" t="inlineStr">
        <is>
          <t>العاشر</t>
        </is>
      </c>
      <c r="F68" s="46" t="inlineStr">
        <is>
          <t>ب العرب</t>
        </is>
      </c>
      <c r="G68" s="46" t="inlineStr">
        <is>
          <t>احمد خليفة</t>
        </is>
      </c>
      <c r="H68" s="46" t="inlineStr">
        <is>
          <t>البيضا</t>
        </is>
      </c>
      <c r="I68" s="46" t="n"/>
    </row>
    <row r="69">
      <c r="D69" s="46" t="n"/>
      <c r="E69" s="46" t="inlineStr">
        <is>
          <t>العالمية</t>
        </is>
      </c>
      <c r="F69" s="46" t="inlineStr">
        <is>
          <t>ب سويف</t>
        </is>
      </c>
      <c r="G69" s="46" t="inlineStr">
        <is>
          <t>احمد خليل</t>
        </is>
      </c>
      <c r="H69" s="46" t="inlineStr">
        <is>
          <t>الجمل</t>
        </is>
      </c>
      <c r="I69" s="46" t="n"/>
    </row>
    <row r="70">
      <c r="D70" s="46" t="n"/>
      <c r="E70" s="46" t="inlineStr">
        <is>
          <t>العدوى</t>
        </is>
      </c>
      <c r="F70" s="46" t="inlineStr">
        <is>
          <t>بتى سويف</t>
        </is>
      </c>
      <c r="G70" s="46" t="inlineStr">
        <is>
          <t>احمد خميس</t>
        </is>
      </c>
      <c r="H70" s="46" t="inlineStr">
        <is>
          <t>الحجرى</t>
        </is>
      </c>
      <c r="I70" s="46" t="n"/>
    </row>
    <row r="71">
      <c r="D71" s="46" t="n"/>
      <c r="E71" s="46" t="inlineStr">
        <is>
          <t>العربية</t>
        </is>
      </c>
      <c r="F71" s="46" t="inlineStr">
        <is>
          <t>برج العرب</t>
        </is>
      </c>
      <c r="G71" s="46" t="inlineStr">
        <is>
          <t>احمد رجب</t>
        </is>
      </c>
      <c r="H71" s="46" t="inlineStr">
        <is>
          <t>الحنوتى</t>
        </is>
      </c>
      <c r="I71" s="46" t="n"/>
    </row>
    <row r="72">
      <c r="D72" s="46" t="n"/>
      <c r="E72" s="46" t="inlineStr">
        <is>
          <t>العسل</t>
        </is>
      </c>
      <c r="F72" s="46" t="inlineStr">
        <is>
          <t>بلبيس</t>
        </is>
      </c>
      <c r="G72" s="46" t="inlineStr">
        <is>
          <t>احمد رزق</t>
        </is>
      </c>
      <c r="H72" s="46" t="inlineStr">
        <is>
          <t>الدلوعة</t>
        </is>
      </c>
      <c r="I72" s="46" t="n"/>
    </row>
    <row r="73">
      <c r="D73" s="46" t="n"/>
      <c r="E73" s="46" t="inlineStr">
        <is>
          <t>الفارس</t>
        </is>
      </c>
      <c r="F73" s="46" t="inlineStr">
        <is>
          <t>بنى سويف</t>
        </is>
      </c>
      <c r="G73" s="46" t="inlineStr">
        <is>
          <t>احمد رضوان</t>
        </is>
      </c>
      <c r="H73" s="46" t="inlineStr">
        <is>
          <t>الرامبو</t>
        </is>
      </c>
      <c r="I73" s="46" t="n"/>
    </row>
    <row r="74">
      <c r="D74" s="46" t="n"/>
      <c r="E74" s="46" t="inlineStr">
        <is>
          <t>الفتح</t>
        </is>
      </c>
      <c r="F74" s="46" t="inlineStr">
        <is>
          <t>بني سويف</t>
        </is>
      </c>
      <c r="G74" s="46" t="inlineStr">
        <is>
          <t>احمد رمضان</t>
        </is>
      </c>
      <c r="H74" s="46" t="inlineStr">
        <is>
          <t>الرحمة</t>
        </is>
      </c>
      <c r="I74" s="46" t="n"/>
    </row>
    <row r="75">
      <c r="D75" s="46" t="n"/>
      <c r="E75" s="46" t="inlineStr">
        <is>
          <t>الفحم</t>
        </is>
      </c>
      <c r="F75" s="46" t="inlineStr">
        <is>
          <t>بور سعيد منطقه حره</t>
        </is>
      </c>
      <c r="G75" s="46" t="inlineStr">
        <is>
          <t>احمد رياض</t>
        </is>
      </c>
      <c r="H75" s="46" t="inlineStr">
        <is>
          <t>الروبى</t>
        </is>
      </c>
      <c r="I75" s="46" t="n"/>
    </row>
    <row r="76">
      <c r="D76" s="46" t="n"/>
      <c r="E76" s="46" t="inlineStr">
        <is>
          <t>الفرسان</t>
        </is>
      </c>
      <c r="F76" s="46" t="inlineStr">
        <is>
          <t>بورسعيد</t>
        </is>
      </c>
      <c r="G76" s="46" t="inlineStr">
        <is>
          <t>احمد زايد</t>
        </is>
      </c>
      <c r="H76" s="46" t="inlineStr">
        <is>
          <t>الزوقزوق</t>
        </is>
      </c>
      <c r="I76" s="46" t="n"/>
    </row>
    <row r="77">
      <c r="D77" s="46" t="n"/>
      <c r="E77" s="46" t="inlineStr">
        <is>
          <t>الفيحاء</t>
        </is>
      </c>
      <c r="F77" s="46" t="inlineStr">
        <is>
          <t>بورسعيد /الصالحية</t>
        </is>
      </c>
      <c r="G77" s="46" t="inlineStr">
        <is>
          <t>احمد سالم</t>
        </is>
      </c>
      <c r="H77" s="46" t="inlineStr">
        <is>
          <t>السائق</t>
        </is>
      </c>
      <c r="I77" s="46" t="n"/>
    </row>
    <row r="78">
      <c r="D78" s="46" t="n"/>
      <c r="E78" s="46" t="inlineStr">
        <is>
          <t>الكرم</t>
        </is>
      </c>
      <c r="F78" s="46" t="inlineStr">
        <is>
          <t>بورسعيد ش</t>
        </is>
      </c>
      <c r="G78" s="46" t="inlineStr">
        <is>
          <t>احمد سامح</t>
        </is>
      </c>
      <c r="H78" s="46" t="inlineStr">
        <is>
          <t>السعدنى</t>
        </is>
      </c>
      <c r="I78" s="46" t="n"/>
    </row>
    <row r="79">
      <c r="D79" s="46" t="n"/>
      <c r="E79" s="46" t="inlineStr">
        <is>
          <t>الكرنك</t>
        </is>
      </c>
      <c r="F79" s="46" t="inlineStr">
        <is>
          <t>جسر السويس</t>
        </is>
      </c>
      <c r="G79" s="46" t="inlineStr">
        <is>
          <t>احمد سامى</t>
        </is>
      </c>
      <c r="H79" s="46" t="inlineStr">
        <is>
          <t>السمرى</t>
        </is>
      </c>
      <c r="I79" s="46" t="n"/>
    </row>
    <row r="80">
      <c r="D80" s="46" t="n"/>
      <c r="E80" s="46" t="inlineStr">
        <is>
          <t>الكوثر</t>
        </is>
      </c>
      <c r="F80" s="46" t="inlineStr">
        <is>
          <t>جمصة</t>
        </is>
      </c>
      <c r="G80" s="46" t="inlineStr">
        <is>
          <t>احمد سعيد</t>
        </is>
      </c>
      <c r="H80" s="46" t="inlineStr">
        <is>
          <t>السمكرى</t>
        </is>
      </c>
      <c r="I80" s="46" t="n"/>
    </row>
    <row r="81">
      <c r="D81" s="46" t="n"/>
      <c r="E81" s="46" t="inlineStr">
        <is>
          <t>اللوتس</t>
        </is>
      </c>
      <c r="F81" s="46" t="inlineStr">
        <is>
          <t>جمصه</t>
        </is>
      </c>
      <c r="G81" s="46" t="inlineStr">
        <is>
          <t>احمد سلامة</t>
        </is>
      </c>
      <c r="H81" s="46" t="inlineStr">
        <is>
          <t>السيد بدوى</t>
        </is>
      </c>
      <c r="I81" s="46" t="n"/>
    </row>
    <row r="82">
      <c r="D82" s="46" t="n"/>
      <c r="E82" s="46" t="inlineStr">
        <is>
          <t>اللوكس</t>
        </is>
      </c>
      <c r="F82" s="46" t="inlineStr">
        <is>
          <t>حلوان</t>
        </is>
      </c>
      <c r="G82" s="46" t="inlineStr">
        <is>
          <t>احمد سمير</t>
        </is>
      </c>
      <c r="H82" s="46" t="inlineStr">
        <is>
          <t>السيد بربرى</t>
        </is>
      </c>
      <c r="I82" s="46" t="n"/>
    </row>
    <row r="83">
      <c r="D83" s="46" t="n"/>
      <c r="E83" s="46" t="inlineStr">
        <is>
          <t>المتحدة</t>
        </is>
      </c>
      <c r="F83" s="46" t="inlineStr">
        <is>
          <t>حوش عيسى</t>
        </is>
      </c>
      <c r="G83" s="46" t="inlineStr">
        <is>
          <t>احمد شحاتة</t>
        </is>
      </c>
      <c r="H83" s="46" t="inlineStr">
        <is>
          <t>السيد رزق</t>
        </is>
      </c>
      <c r="I83" s="46" t="n"/>
    </row>
    <row r="84">
      <c r="D84" s="46" t="n"/>
      <c r="E84" s="46" t="inlineStr">
        <is>
          <t>المتحدة للمسابك</t>
        </is>
      </c>
      <c r="F84" s="46" t="inlineStr">
        <is>
          <t>دسوق</t>
        </is>
      </c>
      <c r="G84" s="46" t="inlineStr">
        <is>
          <t>احمد شريف</t>
        </is>
      </c>
      <c r="H84" s="46" t="inlineStr">
        <is>
          <t>الشريف</t>
        </is>
      </c>
      <c r="I84" s="46" t="n"/>
    </row>
    <row r="85">
      <c r="D85" s="46" t="n"/>
      <c r="E85" s="46" t="inlineStr">
        <is>
          <t>المجد</t>
        </is>
      </c>
      <c r="F85" s="46" t="inlineStr">
        <is>
          <t>دمنهور</t>
        </is>
      </c>
      <c r="G85" s="46" t="inlineStr">
        <is>
          <t>احمد صابر</t>
        </is>
      </c>
      <c r="H85" s="46" t="inlineStr">
        <is>
          <t>الشهاوى</t>
        </is>
      </c>
      <c r="I85" s="46" t="n"/>
    </row>
    <row r="86">
      <c r="D86" s="46" t="n"/>
      <c r="E86" s="46" t="inlineStr">
        <is>
          <t>المراعى الخضراء</t>
        </is>
      </c>
      <c r="F86" s="46" t="inlineStr">
        <is>
          <t>دمياط</t>
        </is>
      </c>
      <c r="G86" s="46" t="inlineStr">
        <is>
          <t>احمد صديق</t>
        </is>
      </c>
      <c r="H86" s="46" t="inlineStr">
        <is>
          <t>الشيخ سمير</t>
        </is>
      </c>
      <c r="I86" s="46" t="n"/>
    </row>
    <row r="87">
      <c r="D87" s="46" t="n"/>
      <c r="E87" s="46" t="inlineStr">
        <is>
          <t>المستقبل</t>
        </is>
      </c>
      <c r="F87" s="46" t="inlineStr">
        <is>
          <t>دهشور</t>
        </is>
      </c>
      <c r="G87" s="46" t="inlineStr">
        <is>
          <t>احمد صلاح</t>
        </is>
      </c>
      <c r="H87" s="46" t="inlineStr">
        <is>
          <t>الصاوى</t>
        </is>
      </c>
      <c r="I87" s="46" t="n"/>
    </row>
    <row r="88">
      <c r="D88" s="46" t="n"/>
      <c r="E88" s="46" t="inlineStr">
        <is>
          <t>المستقبل للمواسير</t>
        </is>
      </c>
      <c r="F88" s="46" t="inlineStr">
        <is>
          <t>رشيد</t>
        </is>
      </c>
      <c r="G88" s="46" t="inlineStr">
        <is>
          <t>احمد طة</t>
        </is>
      </c>
      <c r="H88" s="46" t="inlineStr">
        <is>
          <t>الصيفى</t>
        </is>
      </c>
      <c r="I88" s="46" t="n"/>
    </row>
    <row r="89">
      <c r="D89" s="46" t="n"/>
      <c r="E89" s="46" t="inlineStr">
        <is>
          <t>المسعد</t>
        </is>
      </c>
      <c r="F89" s="46" t="inlineStr">
        <is>
          <t>سفاجا</t>
        </is>
      </c>
      <c r="G89" s="46" t="inlineStr">
        <is>
          <t>احمد عادل</t>
        </is>
      </c>
      <c r="H89" s="46" t="inlineStr">
        <is>
          <t>الضانى</t>
        </is>
      </c>
      <c r="I89" s="46" t="n"/>
    </row>
    <row r="90">
      <c r="D90" s="46" t="n"/>
      <c r="E90" s="46" t="inlineStr">
        <is>
          <t>المصرية</t>
        </is>
      </c>
      <c r="F90" s="46" t="inlineStr">
        <is>
          <t>سموحة</t>
        </is>
      </c>
      <c r="G90" s="46" t="inlineStr">
        <is>
          <t>احمد عادل خليف</t>
        </is>
      </c>
      <c r="H90" s="46" t="inlineStr">
        <is>
          <t>العاشر</t>
        </is>
      </c>
      <c r="I90" s="46" t="n"/>
    </row>
    <row r="91">
      <c r="D91" s="46" t="n"/>
      <c r="E91" s="46" t="inlineStr">
        <is>
          <t>المصرية الاسبانية</t>
        </is>
      </c>
      <c r="F91" s="46" t="inlineStr">
        <is>
          <t>شبرا</t>
        </is>
      </c>
      <c r="G91" s="46" t="inlineStr">
        <is>
          <t>احمد عاطف</t>
        </is>
      </c>
      <c r="H91" s="46" t="inlineStr">
        <is>
          <t>العراقى</t>
        </is>
      </c>
      <c r="I91" s="46" t="n"/>
    </row>
    <row r="92">
      <c r="D92" s="46" t="n"/>
      <c r="E92" s="46" t="inlineStr">
        <is>
          <t>المصرية الاسترالية</t>
        </is>
      </c>
      <c r="F92" s="46" t="inlineStr">
        <is>
          <t>شبرا / ج م نصر</t>
        </is>
      </c>
      <c r="G92" s="46" t="inlineStr">
        <is>
          <t>احمد عبد الدايم</t>
        </is>
      </c>
      <c r="H92" s="46" t="inlineStr">
        <is>
          <t>العرباوى</t>
        </is>
      </c>
      <c r="I92" s="46" t="n"/>
    </row>
    <row r="93">
      <c r="D93" s="46" t="n"/>
      <c r="E93" s="46" t="inlineStr">
        <is>
          <t>المصرية الالمانية</t>
        </is>
      </c>
      <c r="F93" s="46" t="inlineStr">
        <is>
          <t>شبرا الخيمة</t>
        </is>
      </c>
      <c r="G93" s="46" t="inlineStr">
        <is>
          <t>احمد عبد العظيم</t>
        </is>
      </c>
      <c r="H93" s="46" t="inlineStr">
        <is>
          <t>الغامرى</t>
        </is>
      </c>
      <c r="I93" s="46" t="n"/>
    </row>
    <row r="94">
      <c r="D94" s="46" t="n"/>
      <c r="E94" s="46" t="inlineStr">
        <is>
          <t>المصرية الاوربية</t>
        </is>
      </c>
      <c r="F94" s="46" t="inlineStr">
        <is>
          <t>شبرا منت</t>
        </is>
      </c>
      <c r="G94" s="46" t="inlineStr">
        <is>
          <t>احمد عبد القادر</t>
        </is>
      </c>
      <c r="H94" s="46" t="inlineStr">
        <is>
          <t>الفرجانى</t>
        </is>
      </c>
      <c r="I94" s="46" t="n"/>
    </row>
    <row r="95">
      <c r="D95" s="46" t="n"/>
      <c r="E95" s="46" t="inlineStr">
        <is>
          <t>المصرية السعودية</t>
        </is>
      </c>
      <c r="F95" s="46" t="inlineStr">
        <is>
          <t>شبراملس</t>
        </is>
      </c>
      <c r="G95" s="46" t="inlineStr">
        <is>
          <t>احمد عبد الكريم</t>
        </is>
      </c>
      <c r="H95" s="46" t="inlineStr">
        <is>
          <t>القناوى</t>
        </is>
      </c>
      <c r="I95" s="46" t="n"/>
    </row>
    <row r="96">
      <c r="D96" s="46" t="n"/>
      <c r="E96" s="46" t="inlineStr">
        <is>
          <t>المصرية اليابانية</t>
        </is>
      </c>
      <c r="F96" s="46" t="inlineStr">
        <is>
          <t>شبين الكوم</t>
        </is>
      </c>
      <c r="G96" s="46" t="inlineStr">
        <is>
          <t>احمد عبد الله</t>
        </is>
      </c>
      <c r="H96" s="46" t="inlineStr">
        <is>
          <t>الليبر</t>
        </is>
      </c>
      <c r="I96" s="46" t="n"/>
    </row>
    <row r="97">
      <c r="D97" s="46" t="n"/>
      <c r="E97" s="46" t="inlineStr">
        <is>
          <t>المصرية للتريكو</t>
        </is>
      </c>
      <c r="F97" s="46" t="inlineStr">
        <is>
          <t>شق التعبان</t>
        </is>
      </c>
      <c r="G97" s="46" t="inlineStr">
        <is>
          <t>احمد عبد المنعم</t>
        </is>
      </c>
      <c r="H97" s="46" t="inlineStr">
        <is>
          <t>المعداوى</t>
        </is>
      </c>
      <c r="I97" s="46" t="n"/>
    </row>
    <row r="98">
      <c r="D98" s="46" t="n"/>
      <c r="E98" s="46" t="inlineStr">
        <is>
          <t>المصرية للصناعات</t>
        </is>
      </c>
      <c r="F98" s="46" t="inlineStr">
        <is>
          <t>ط التحدى</t>
        </is>
      </c>
      <c r="G98" s="46" t="inlineStr">
        <is>
          <t>احمد عتمان</t>
        </is>
      </c>
      <c r="H98" s="46" t="inlineStr">
        <is>
          <t>المكتب</t>
        </is>
      </c>
      <c r="I98" s="46" t="n"/>
    </row>
    <row r="99">
      <c r="D99" s="46" t="n"/>
      <c r="E99" s="46" t="inlineStr">
        <is>
          <t>المصرية للغزل</t>
        </is>
      </c>
      <c r="F99" s="46" t="inlineStr">
        <is>
          <t>طنطا</t>
        </is>
      </c>
      <c r="G99" s="46" t="inlineStr">
        <is>
          <t>احمد على</t>
        </is>
      </c>
      <c r="H99" s="46" t="inlineStr">
        <is>
          <t>المهندس</t>
        </is>
      </c>
      <c r="I99" s="46" t="n"/>
    </row>
    <row r="100">
      <c r="D100" s="46" t="n"/>
      <c r="E100" s="46" t="inlineStr">
        <is>
          <t>المصرية للفحم</t>
        </is>
      </c>
      <c r="F100" s="46" t="inlineStr">
        <is>
          <t>عرب مساعد</t>
        </is>
      </c>
      <c r="G100" s="46" t="inlineStr">
        <is>
          <t>احمد علي</t>
        </is>
      </c>
      <c r="H100" s="46" t="inlineStr">
        <is>
          <t>الميت</t>
        </is>
      </c>
      <c r="I100" s="46" t="n"/>
    </row>
    <row r="101">
      <c r="D101" s="46" t="n"/>
      <c r="E101" s="46" t="inlineStr">
        <is>
          <t>المصرية لمستلزمات للتكيفات</t>
        </is>
      </c>
      <c r="F101" s="46" t="inlineStr">
        <is>
          <t>ق الاسد /</t>
        </is>
      </c>
      <c r="G101" s="46" t="inlineStr">
        <is>
          <t>احمد عوض</t>
        </is>
      </c>
      <c r="H101" s="46" t="inlineStr">
        <is>
          <t>النوبى</t>
        </is>
      </c>
      <c r="I101" s="46" t="n"/>
    </row>
    <row r="102">
      <c r="D102" s="46" t="n"/>
      <c r="E102" s="46" t="inlineStr">
        <is>
          <t>المصرية ميدكال</t>
        </is>
      </c>
      <c r="F102" s="46" t="inlineStr">
        <is>
          <t>قها</t>
        </is>
      </c>
      <c r="G102" s="46" t="inlineStr">
        <is>
          <t>احمد عيد</t>
        </is>
      </c>
      <c r="H102" s="46" t="inlineStr">
        <is>
          <t>الوردانى</t>
        </is>
      </c>
      <c r="I102" s="46" t="n"/>
    </row>
    <row r="103">
      <c r="D103" s="46" t="n"/>
      <c r="E103" s="46" t="inlineStr">
        <is>
          <t>المصرية ميديكال</t>
        </is>
      </c>
      <c r="F103" s="46" t="inlineStr">
        <is>
          <t>قويسنا</t>
        </is>
      </c>
      <c r="G103" s="46" t="inlineStr">
        <is>
          <t>احمد فريد</t>
        </is>
      </c>
      <c r="H103" s="46" t="inlineStr">
        <is>
          <t>انور</t>
        </is>
      </c>
      <c r="I103" s="46" t="n"/>
    </row>
    <row r="104">
      <c r="D104" s="46" t="n"/>
      <c r="E104" s="46" t="inlineStr">
        <is>
          <t>المصريه الالمانيه</t>
        </is>
      </c>
      <c r="F104" s="46" t="inlineStr">
        <is>
          <t>ك 113</t>
        </is>
      </c>
      <c r="G104" s="46" t="inlineStr">
        <is>
          <t>احمد كشك</t>
        </is>
      </c>
      <c r="H104" s="46" t="inlineStr">
        <is>
          <t>انور الشريف</t>
        </is>
      </c>
      <c r="I104" s="46" t="n"/>
    </row>
    <row r="105">
      <c r="D105" s="46" t="n"/>
      <c r="E105" s="46" t="inlineStr">
        <is>
          <t>المعمار</t>
        </is>
      </c>
      <c r="F105" s="46" t="inlineStr">
        <is>
          <t>ك الدوار</t>
        </is>
      </c>
      <c r="G105" s="46" t="inlineStr">
        <is>
          <t>احمد كمال</t>
        </is>
      </c>
      <c r="H105" s="46" t="inlineStr">
        <is>
          <t>اوبرا</t>
        </is>
      </c>
      <c r="I105" s="46" t="n"/>
    </row>
    <row r="106">
      <c r="D106" s="46" t="n"/>
      <c r="E106" s="46" t="inlineStr">
        <is>
          <t>المعمار للاسلاك</t>
        </is>
      </c>
      <c r="F106" s="46" t="inlineStr">
        <is>
          <t>ك الزيات</t>
        </is>
      </c>
      <c r="G106" s="46" t="inlineStr">
        <is>
          <t>احمد محروس</t>
        </is>
      </c>
      <c r="H106" s="46" t="inlineStr">
        <is>
          <t>اوشة</t>
        </is>
      </c>
      <c r="I106" s="46" t="n"/>
    </row>
    <row r="107">
      <c r="D107" s="46" t="n"/>
      <c r="E107" s="46" t="inlineStr">
        <is>
          <t>المكارم تكس</t>
        </is>
      </c>
      <c r="F107" s="46" t="inlineStr">
        <is>
          <t>ك حمادة</t>
        </is>
      </c>
      <c r="G107" s="46" t="inlineStr">
        <is>
          <t>احمد محمد</t>
        </is>
      </c>
      <c r="H107" s="46" t="inlineStr">
        <is>
          <t>ايمن الزقزق</t>
        </is>
      </c>
      <c r="I107" s="46" t="n"/>
    </row>
    <row r="108">
      <c r="D108" s="46" t="n"/>
      <c r="E108" s="46" t="inlineStr">
        <is>
          <t>الملكة والامير</t>
        </is>
      </c>
      <c r="F108" s="46" t="inlineStr">
        <is>
          <t>ك شكر</t>
        </is>
      </c>
      <c r="G108" s="46" t="inlineStr">
        <is>
          <t>احمد محمود</t>
        </is>
      </c>
      <c r="H108" s="46" t="inlineStr">
        <is>
          <t>ايمن الزوقزوق</t>
        </is>
      </c>
      <c r="I108" s="46" t="n"/>
    </row>
    <row r="109">
      <c r="D109" s="46" t="n"/>
      <c r="E109" s="46" t="inlineStr">
        <is>
          <t>المنسى</t>
        </is>
      </c>
      <c r="F109" s="46" t="inlineStr">
        <is>
          <t>كتوبر</t>
        </is>
      </c>
      <c r="G109" s="46" t="inlineStr">
        <is>
          <t>احمد محمود فرج</t>
        </is>
      </c>
      <c r="H109" s="46" t="inlineStr">
        <is>
          <t>ايمن جيدا</t>
        </is>
      </c>
      <c r="I109" s="46" t="n"/>
    </row>
    <row r="110">
      <c r="D110" s="46" t="n"/>
      <c r="E110" s="46" t="inlineStr">
        <is>
          <t>الموندو</t>
        </is>
      </c>
      <c r="F110" s="46" t="inlineStr">
        <is>
          <t>كفر الدوار</t>
        </is>
      </c>
      <c r="G110" s="46" t="inlineStr">
        <is>
          <t>احمد محود</t>
        </is>
      </c>
      <c r="H110" s="46" t="inlineStr">
        <is>
          <t>ايمن جيدة</t>
        </is>
      </c>
      <c r="I110" s="46" t="n"/>
    </row>
    <row r="111">
      <c r="D111" s="46" t="n"/>
      <c r="E111" s="46" t="inlineStr">
        <is>
          <t>النخلة تكس</t>
        </is>
      </c>
      <c r="F111" s="46" t="inlineStr">
        <is>
          <t>كفر شكر السعد</t>
        </is>
      </c>
      <c r="G111" s="46" t="inlineStr">
        <is>
          <t>احمد محود فرج</t>
        </is>
      </c>
      <c r="H111" s="46" t="inlineStr">
        <is>
          <t>ايمن حبش</t>
        </is>
      </c>
      <c r="I111" s="46" t="n"/>
    </row>
    <row r="112">
      <c r="D112" s="46" t="n"/>
      <c r="E112" s="46" t="inlineStr">
        <is>
          <t>النهاد</t>
        </is>
      </c>
      <c r="F112" s="46" t="inlineStr">
        <is>
          <t>م بدر</t>
        </is>
      </c>
      <c r="G112" s="46" t="inlineStr">
        <is>
          <t>احمد مرسى</t>
        </is>
      </c>
      <c r="H112" s="46" t="inlineStr">
        <is>
          <t>ايمن رمضان</t>
        </is>
      </c>
      <c r="I112" s="46" t="n"/>
    </row>
    <row r="113">
      <c r="D113" s="46" t="n"/>
      <c r="E113" s="46" t="inlineStr">
        <is>
          <t>النوبارية</t>
        </is>
      </c>
      <c r="F113" s="46" t="inlineStr">
        <is>
          <t>م حرة</t>
        </is>
      </c>
      <c r="G113" s="46" t="inlineStr">
        <is>
          <t>احمد مصبااح</t>
        </is>
      </c>
      <c r="H113" s="46" t="inlineStr">
        <is>
          <t>ايمن مسعد</t>
        </is>
      </c>
      <c r="I113" s="46" t="n"/>
    </row>
    <row r="114">
      <c r="D114" s="46" t="n"/>
      <c r="E114" s="46" t="inlineStr">
        <is>
          <t>النور</t>
        </is>
      </c>
      <c r="F114" s="46" t="inlineStr">
        <is>
          <t>م حرة / ابو قير</t>
        </is>
      </c>
      <c r="G114" s="46" t="inlineStr">
        <is>
          <t>احمد مصباح</t>
        </is>
      </c>
      <c r="H114" s="46" t="inlineStr">
        <is>
          <t>ايمن منير</t>
        </is>
      </c>
      <c r="I114" s="46" t="n"/>
    </row>
    <row r="115">
      <c r="D115" s="46" t="n"/>
      <c r="E115" s="46" t="inlineStr">
        <is>
          <t>النيل</t>
        </is>
      </c>
      <c r="F115" s="46" t="inlineStr">
        <is>
          <t>م دينا</t>
        </is>
      </c>
      <c r="G115" s="46" t="inlineStr">
        <is>
          <t>احمد مصطفى</t>
        </is>
      </c>
      <c r="H115" s="46" t="inlineStr">
        <is>
          <t>ايو مينا</t>
        </is>
      </c>
      <c r="I115" s="46" t="n"/>
    </row>
    <row r="116">
      <c r="D116" s="46" t="n"/>
      <c r="E116" s="46" t="inlineStr">
        <is>
          <t>الهندسية للصناعات</t>
        </is>
      </c>
      <c r="F116" s="46" t="inlineStr">
        <is>
          <t>م نصر</t>
        </is>
      </c>
      <c r="G116" s="46" t="inlineStr">
        <is>
          <t>احمد مطاوع</t>
        </is>
      </c>
      <c r="H116" s="46" t="inlineStr">
        <is>
          <t>ايوب</t>
        </is>
      </c>
      <c r="I116" s="46" t="n"/>
    </row>
    <row r="117">
      <c r="D117" s="46" t="n"/>
      <c r="E117" s="46" t="inlineStr">
        <is>
          <t>الوفاق</t>
        </is>
      </c>
      <c r="F117" s="46" t="inlineStr">
        <is>
          <t>مؤسسة الذكاة</t>
        </is>
      </c>
      <c r="G117" s="46" t="inlineStr">
        <is>
          <t>احمد مطر</t>
        </is>
      </c>
      <c r="H117" s="46" t="inlineStr">
        <is>
          <t>برح العرب</t>
        </is>
      </c>
      <c r="I117" s="46" t="n"/>
    </row>
    <row r="118">
      <c r="D118" s="46" t="n"/>
      <c r="E118" s="46" t="inlineStr">
        <is>
          <t>الوكس</t>
        </is>
      </c>
      <c r="F118" s="46" t="inlineStr">
        <is>
          <t>محرم بك</t>
        </is>
      </c>
      <c r="G118" s="46" t="inlineStr">
        <is>
          <t>احمد نوار</t>
        </is>
      </c>
      <c r="H118" s="46" t="inlineStr">
        <is>
          <t>بلاك هورس</t>
        </is>
      </c>
      <c r="I118" s="46" t="n"/>
    </row>
    <row r="119">
      <c r="D119" s="46" t="n"/>
      <c r="E119" s="46" t="inlineStr">
        <is>
          <t>ام اى</t>
        </is>
      </c>
      <c r="F119" s="46" t="inlineStr">
        <is>
          <t>مد بدر</t>
        </is>
      </c>
      <c r="G119" s="46" t="inlineStr">
        <is>
          <t>احمد هريدى</t>
        </is>
      </c>
      <c r="H119" s="46" t="inlineStr">
        <is>
          <t>بنى سويف</t>
        </is>
      </c>
      <c r="I119" s="46" t="n"/>
    </row>
    <row r="120">
      <c r="D120" s="46" t="n"/>
      <c r="E120" s="46" t="inlineStr">
        <is>
          <t>ام كى</t>
        </is>
      </c>
      <c r="F120" s="46" t="inlineStr">
        <is>
          <t>مدينه نصر</t>
        </is>
      </c>
      <c r="G120" s="46" t="inlineStr">
        <is>
          <t>احمد ونس</t>
        </is>
      </c>
      <c r="H120" s="46" t="inlineStr">
        <is>
          <t>ثابت</t>
        </is>
      </c>
      <c r="I120" s="46" t="n"/>
    </row>
    <row r="121">
      <c r="D121" s="46" t="n"/>
      <c r="E121" s="46" t="inlineStr">
        <is>
          <t>ان اوتو</t>
        </is>
      </c>
      <c r="F121" s="46" t="inlineStr">
        <is>
          <t>مركز بدر</t>
        </is>
      </c>
      <c r="G121" s="46" t="inlineStr">
        <is>
          <t>احمد يحى</t>
        </is>
      </c>
      <c r="H121" s="46" t="inlineStr">
        <is>
          <t>جبص</t>
        </is>
      </c>
      <c r="I121" s="46" t="n"/>
    </row>
    <row r="122">
      <c r="D122" s="46" t="n"/>
      <c r="E122" s="46" t="inlineStr">
        <is>
          <t>انالسيز</t>
        </is>
      </c>
      <c r="F122" s="46" t="inlineStr">
        <is>
          <t>مزارع دينا</t>
        </is>
      </c>
      <c r="G122" s="46" t="inlineStr">
        <is>
          <t>اسامة ابو النور</t>
        </is>
      </c>
      <c r="H122" s="46" t="inlineStr">
        <is>
          <t>حبص</t>
        </is>
      </c>
      <c r="I122" s="46" t="n"/>
    </row>
    <row r="123">
      <c r="D123" s="46" t="n"/>
      <c r="E123" s="46" t="inlineStr">
        <is>
          <t>انتراكو</t>
        </is>
      </c>
      <c r="F123" s="46" t="inlineStr">
        <is>
          <t>مطوبس</t>
        </is>
      </c>
      <c r="G123" s="46" t="inlineStr">
        <is>
          <t>اسامة طة</t>
        </is>
      </c>
      <c r="H123" s="46" t="inlineStr">
        <is>
          <t>حتاتة</t>
        </is>
      </c>
      <c r="I123" s="46" t="n"/>
    </row>
    <row r="124">
      <c r="D124" s="46" t="n"/>
      <c r="E124" s="46" t="inlineStr">
        <is>
          <t>انتراكوا</t>
        </is>
      </c>
      <c r="F124" s="46" t="inlineStr">
        <is>
          <t>منيا القمح</t>
        </is>
      </c>
      <c r="G124" s="46" t="inlineStr">
        <is>
          <t>اسامة عزوز</t>
        </is>
      </c>
      <c r="H124" s="46" t="inlineStr">
        <is>
          <t>حديدة</t>
        </is>
      </c>
      <c r="I124" s="46" t="n"/>
    </row>
    <row r="125">
      <c r="D125" s="46" t="n"/>
      <c r="E125" s="46" t="inlineStr">
        <is>
          <t>انترباك</t>
        </is>
      </c>
      <c r="F125" s="46" t="inlineStr">
        <is>
          <t>ميت غمر</t>
        </is>
      </c>
      <c r="G125" s="46" t="inlineStr">
        <is>
          <t>اسلام</t>
        </is>
      </c>
      <c r="H125" s="46" t="inlineStr">
        <is>
          <t>حسام حشمت</t>
        </is>
      </c>
      <c r="I125" s="46" t="n"/>
    </row>
    <row r="126">
      <c r="D126" s="46" t="n"/>
      <c r="E126" s="46" t="inlineStr">
        <is>
          <t>انترناشونال</t>
        </is>
      </c>
      <c r="F126" s="46" t="inlineStr">
        <is>
          <t>مينا القمح</t>
        </is>
      </c>
      <c r="G126" s="46" t="inlineStr">
        <is>
          <t>اسلام ابراهيم</t>
        </is>
      </c>
      <c r="H126" s="46" t="inlineStr">
        <is>
          <t>حسن حسان</t>
        </is>
      </c>
      <c r="I126" s="46" t="n"/>
    </row>
    <row r="127">
      <c r="D127" s="46" t="n"/>
      <c r="E127" s="46" t="inlineStr">
        <is>
          <t>انترواكو</t>
        </is>
      </c>
      <c r="F127" s="46" t="inlineStr">
        <is>
          <t>وادى النطرون</t>
        </is>
      </c>
      <c r="G127" s="46" t="inlineStr">
        <is>
          <t>اسلام النجار</t>
        </is>
      </c>
      <c r="H127" s="46" t="inlineStr">
        <is>
          <t>حسين</t>
        </is>
      </c>
      <c r="I127" s="46" t="n"/>
    </row>
    <row r="128">
      <c r="D128" s="46" t="n"/>
      <c r="E128" s="46" t="inlineStr">
        <is>
          <t>انجنيرنج</t>
        </is>
      </c>
      <c r="F128" s="46" t="n"/>
      <c r="G128" s="46" t="inlineStr">
        <is>
          <t>اسلام الوردانى</t>
        </is>
      </c>
      <c r="H128" s="46" t="inlineStr">
        <is>
          <t>حماة الكحكى</t>
        </is>
      </c>
      <c r="I128" s="46" t="n"/>
    </row>
    <row r="129">
      <c r="D129" s="46" t="n"/>
      <c r="E129" s="46" t="inlineStr">
        <is>
          <t>انرجى فيجن</t>
        </is>
      </c>
      <c r="F129" s="46" t="n"/>
      <c r="G129" s="46" t="inlineStr">
        <is>
          <t>اسلام بركة</t>
        </is>
      </c>
      <c r="H129" s="46" t="inlineStr">
        <is>
          <t>حمادة الصعيدى</t>
        </is>
      </c>
      <c r="I129" s="46" t="n"/>
    </row>
    <row r="130">
      <c r="D130" s="46" t="n"/>
      <c r="E130" s="46" t="inlineStr">
        <is>
          <t>انرجيا</t>
        </is>
      </c>
      <c r="F130" s="46" t="n"/>
      <c r="G130" s="46" t="inlineStr">
        <is>
          <t>اسلام جمعة</t>
        </is>
      </c>
      <c r="H130" s="46" t="inlineStr">
        <is>
          <t>حمادة الطوخى</t>
        </is>
      </c>
      <c r="I130" s="46" t="n"/>
    </row>
    <row r="131">
      <c r="D131" s="46" t="n"/>
      <c r="E131" s="46" t="inlineStr">
        <is>
          <t>انرجين فيجن</t>
        </is>
      </c>
      <c r="F131" s="46" t="n"/>
      <c r="G131" s="46" t="inlineStr">
        <is>
          <t>اسلام خطاب</t>
        </is>
      </c>
      <c r="H131" s="46" t="inlineStr">
        <is>
          <t>حمادة ذكى</t>
        </is>
      </c>
      <c r="I131" s="46" t="n"/>
    </row>
    <row r="132">
      <c r="D132" s="46" t="n"/>
      <c r="E132" s="46" t="inlineStr">
        <is>
          <t>او ان تى</t>
        </is>
      </c>
      <c r="F132" s="46" t="n"/>
      <c r="G132" s="46" t="inlineStr">
        <is>
          <t>اسلام عصام</t>
        </is>
      </c>
      <c r="H132" s="46" t="inlineStr">
        <is>
          <t>حمادة مصطفى</t>
        </is>
      </c>
      <c r="I132" s="46" t="n"/>
    </row>
    <row r="133">
      <c r="D133" s="46" t="n"/>
      <c r="E133" s="46" t="inlineStr">
        <is>
          <t>اوبال شعراوى</t>
        </is>
      </c>
      <c r="F133" s="46" t="n"/>
      <c r="G133" s="46" t="inlineStr">
        <is>
          <t>اسلام فارس</t>
        </is>
      </c>
      <c r="H133" s="46" t="inlineStr">
        <is>
          <t>حماده خليف</t>
        </is>
      </c>
      <c r="I133" s="46" t="n"/>
    </row>
    <row r="134">
      <c r="D134" s="46" t="n"/>
      <c r="E134" s="46" t="inlineStr">
        <is>
          <t>اورجانيك</t>
        </is>
      </c>
      <c r="F134" s="46" t="n"/>
      <c r="G134" s="46" t="inlineStr">
        <is>
          <t>اسلام محمد</t>
        </is>
      </c>
      <c r="H134" s="46" t="inlineStr">
        <is>
          <t>حمدى</t>
        </is>
      </c>
      <c r="I134" s="46" t="n"/>
    </row>
    <row r="135">
      <c r="D135" s="46" t="n"/>
      <c r="E135" s="46" t="inlineStr">
        <is>
          <t>اورجنيك</t>
        </is>
      </c>
      <c r="F135" s="46" t="n"/>
      <c r="G135" s="46" t="inlineStr">
        <is>
          <t>اسماعيل بندق</t>
        </is>
      </c>
      <c r="H135" s="46" t="inlineStr">
        <is>
          <t>حمدى البيضة</t>
        </is>
      </c>
      <c r="I135" s="46" t="n"/>
    </row>
    <row r="136">
      <c r="D136" s="46" t="n"/>
      <c r="E136" s="46" t="inlineStr">
        <is>
          <t>اوركيد</t>
        </is>
      </c>
      <c r="F136" s="46" t="n"/>
      <c r="G136" s="46" t="inlineStr">
        <is>
          <t>اشرف الحجرى</t>
        </is>
      </c>
      <c r="H136" s="46" t="inlineStr">
        <is>
          <t>حمو البيبى</t>
        </is>
      </c>
      <c r="I136" s="46" t="n"/>
    </row>
    <row r="137">
      <c r="D137" s="46" t="n"/>
      <c r="E137" s="46" t="inlineStr">
        <is>
          <t>اورماتيك</t>
        </is>
      </c>
      <c r="F137" s="46" t="n"/>
      <c r="G137" s="46" t="inlineStr">
        <is>
          <t>اشرف الحناوي</t>
        </is>
      </c>
      <c r="H137" s="46" t="inlineStr">
        <is>
          <t>حمو مرزوق</t>
        </is>
      </c>
      <c r="I137" s="46" t="n"/>
    </row>
    <row r="138">
      <c r="D138" s="46" t="n"/>
      <c r="E138" s="46" t="inlineStr">
        <is>
          <t>اورينات</t>
        </is>
      </c>
      <c r="F138" s="46" t="n"/>
      <c r="G138" s="46" t="inlineStr">
        <is>
          <t>اشرف عتمان</t>
        </is>
      </c>
      <c r="H138" s="46" t="inlineStr">
        <is>
          <t>حميدو شكير</t>
        </is>
      </c>
      <c r="I138" s="46" t="n"/>
    </row>
    <row r="139">
      <c r="D139" s="46" t="n"/>
      <c r="E139" s="46" t="inlineStr">
        <is>
          <t>اورينت</t>
        </is>
      </c>
      <c r="F139" s="46" t="n"/>
      <c r="G139" s="46" t="inlineStr">
        <is>
          <t>اشرف غزال</t>
        </is>
      </c>
      <c r="H139" s="46" t="inlineStr">
        <is>
          <t>حودة اوباما</t>
        </is>
      </c>
      <c r="I139" s="46" t="n"/>
    </row>
    <row r="140">
      <c r="D140" s="46" t="n"/>
      <c r="E140" s="46" t="inlineStr">
        <is>
          <t>اورينتال</t>
        </is>
      </c>
      <c r="F140" s="46" t="n"/>
      <c r="G140" s="46" t="inlineStr">
        <is>
          <t>اشرف محمد</t>
        </is>
      </c>
      <c r="H140" s="46" t="inlineStr">
        <is>
          <t>حودة خليف</t>
        </is>
      </c>
      <c r="I140" s="46" t="n"/>
    </row>
    <row r="141">
      <c r="D141" s="46" t="n"/>
      <c r="E141" s="46" t="inlineStr">
        <is>
          <t>اون اوتو</t>
        </is>
      </c>
      <c r="F141" s="46" t="n"/>
      <c r="G141" s="46" t="inlineStr">
        <is>
          <t>الحسينى محمد</t>
        </is>
      </c>
      <c r="H141" s="46" t="inlineStr">
        <is>
          <t>حودة شارون</t>
        </is>
      </c>
      <c r="I141" s="46" t="n"/>
    </row>
    <row r="142">
      <c r="D142" s="46" t="n"/>
      <c r="E142" s="46" t="inlineStr">
        <is>
          <t>اى اى او</t>
        </is>
      </c>
      <c r="F142" s="46" t="n"/>
      <c r="G142" s="46" t="inlineStr">
        <is>
          <t>السيد ابو طالب</t>
        </is>
      </c>
      <c r="H142" s="46" t="inlineStr">
        <is>
          <t>حودة صالح</t>
        </is>
      </c>
      <c r="I142" s="46" t="n"/>
    </row>
    <row r="143">
      <c r="D143" s="46" t="n"/>
      <c r="E143" s="46" t="inlineStr">
        <is>
          <t>اى تى او</t>
        </is>
      </c>
      <c r="F143" s="46" t="n"/>
      <c r="G143" s="46" t="inlineStr">
        <is>
          <t>السيد البدوى</t>
        </is>
      </c>
      <c r="H143" s="46" t="inlineStr">
        <is>
          <t>حودة عز</t>
        </is>
      </c>
      <c r="I143" s="46" t="n"/>
    </row>
    <row r="144">
      <c r="D144" s="46" t="n"/>
      <c r="E144" s="46" t="inlineStr">
        <is>
          <t>اية اس</t>
        </is>
      </c>
      <c r="F144" s="46" t="n"/>
      <c r="G144" s="46" t="inlineStr">
        <is>
          <t>السيد بدوى</t>
        </is>
      </c>
      <c r="H144" s="46" t="inlineStr">
        <is>
          <t>حودة عيد</t>
        </is>
      </c>
      <c r="I144" s="46" t="n"/>
    </row>
    <row r="145">
      <c r="D145" s="46" t="n"/>
      <c r="E145" s="46" t="inlineStr">
        <is>
          <t>اية اس او</t>
        </is>
      </c>
      <c r="F145" s="46" t="n"/>
      <c r="G145" s="46" t="inlineStr">
        <is>
          <t>السيد بدوي</t>
        </is>
      </c>
      <c r="H145" s="46" t="inlineStr">
        <is>
          <t>حودة مصرية</t>
        </is>
      </c>
      <c r="I145" s="46" t="n"/>
    </row>
    <row r="146">
      <c r="D146" s="46" t="n"/>
      <c r="E146" s="46" t="inlineStr">
        <is>
          <t>ايتال دور</t>
        </is>
      </c>
      <c r="F146" s="46" t="n"/>
      <c r="G146" s="46" t="inlineStr">
        <is>
          <t>السيد شحاتة</t>
        </is>
      </c>
      <c r="H146" s="46" t="inlineStr">
        <is>
          <t>حودة منعم</t>
        </is>
      </c>
      <c r="I146" s="46" t="n"/>
    </row>
    <row r="147">
      <c r="D147" s="46" t="n"/>
      <c r="E147" s="46" t="inlineStr">
        <is>
          <t>ايتامكو</t>
        </is>
      </c>
      <c r="F147" s="46" t="n"/>
      <c r="G147" s="46" t="inlineStr">
        <is>
          <t>السيد شهاوى</t>
        </is>
      </c>
      <c r="H147" s="46" t="inlineStr">
        <is>
          <t>حودة نصرية</t>
        </is>
      </c>
      <c r="I147" s="46" t="n"/>
    </row>
    <row r="148">
      <c r="D148" s="46" t="n"/>
      <c r="E148" s="46" t="inlineStr">
        <is>
          <t>ايجل فون</t>
        </is>
      </c>
      <c r="F148" s="46" t="n"/>
      <c r="G148" s="46" t="inlineStr">
        <is>
          <t>السيد شوال</t>
        </is>
      </c>
      <c r="H148" s="46" t="inlineStr">
        <is>
          <t>خالد اسماعيل</t>
        </is>
      </c>
      <c r="I148" s="46" t="n"/>
    </row>
    <row r="149">
      <c r="D149" s="46" t="n"/>
      <c r="E149" s="46" t="inlineStr">
        <is>
          <t>ايجل واى</t>
        </is>
      </c>
      <c r="F149" s="46" t="n"/>
      <c r="G149" s="46" t="inlineStr">
        <is>
          <t>السيد صابر</t>
        </is>
      </c>
      <c r="H149" s="46" t="inlineStr">
        <is>
          <t>خالد غيث</t>
        </is>
      </c>
      <c r="I149" s="46" t="n"/>
    </row>
    <row r="150">
      <c r="D150" s="46" t="n"/>
      <c r="E150" s="46" t="inlineStr">
        <is>
          <t>ايجى كلاس</t>
        </is>
      </c>
      <c r="F150" s="46" t="n"/>
      <c r="G150" s="46" t="inlineStr">
        <is>
          <t>السيد طة</t>
        </is>
      </c>
      <c r="H150" s="46" t="inlineStr">
        <is>
          <t>خطاب</t>
        </is>
      </c>
      <c r="I150" s="46" t="n"/>
    </row>
    <row r="151">
      <c r="D151" s="46" t="n"/>
      <c r="E151" s="46" t="inlineStr">
        <is>
          <t>ايدن فودز</t>
        </is>
      </c>
      <c r="F151" s="46" t="n"/>
      <c r="G151" s="46" t="inlineStr">
        <is>
          <t>السيد عبد الحى</t>
        </is>
      </c>
      <c r="H151" s="46" t="inlineStr">
        <is>
          <t>خفاجة</t>
        </is>
      </c>
      <c r="I151" s="46" t="n"/>
    </row>
    <row r="152">
      <c r="D152" s="46" t="n"/>
      <c r="E152" s="46" t="inlineStr">
        <is>
          <t>ايديال ستاندر</t>
        </is>
      </c>
      <c r="F152" s="46" t="n"/>
      <c r="G152" s="46" t="inlineStr">
        <is>
          <t>السيد عبد السلام</t>
        </is>
      </c>
      <c r="H152" s="46" t="inlineStr">
        <is>
          <t>خليف</t>
        </is>
      </c>
      <c r="I152" s="46" t="n"/>
    </row>
    <row r="153">
      <c r="D153" s="46" t="n"/>
      <c r="E153" s="46" t="inlineStr">
        <is>
          <t>ايزو مصر</t>
        </is>
      </c>
      <c r="F153" s="46" t="n"/>
      <c r="G153" s="46" t="inlineStr">
        <is>
          <t>السيد عبد العزيز</t>
        </is>
      </c>
      <c r="H153" s="46" t="inlineStr">
        <is>
          <t>خميس البنا</t>
        </is>
      </c>
      <c r="I153" s="46" t="n"/>
    </row>
    <row r="154">
      <c r="D154" s="46" t="n"/>
      <c r="E154" s="46" t="inlineStr">
        <is>
          <t>ايزيس</t>
        </is>
      </c>
      <c r="F154" s="46" t="n"/>
      <c r="G154" s="46" t="inlineStr">
        <is>
          <t>السيد عبد القادر</t>
        </is>
      </c>
      <c r="H154" s="46" t="inlineStr">
        <is>
          <t>خوليف</t>
        </is>
      </c>
      <c r="I154" s="46" t="n"/>
    </row>
    <row r="155">
      <c r="D155" s="46" t="n"/>
      <c r="E155" s="46" t="inlineStr">
        <is>
          <t>ايقون</t>
        </is>
      </c>
      <c r="F155" s="46" t="n"/>
      <c r="G155" s="46" t="inlineStr">
        <is>
          <t>السيد علاء</t>
        </is>
      </c>
      <c r="H155" s="46" t="inlineStr">
        <is>
          <t>رامى الميت</t>
        </is>
      </c>
      <c r="I155" s="46" t="n"/>
    </row>
    <row r="156">
      <c r="D156" s="46" t="n"/>
      <c r="E156" s="46" t="inlineStr">
        <is>
          <t>ايه كيه اتشى</t>
        </is>
      </c>
      <c r="F156" s="46" t="n"/>
      <c r="G156" s="46" t="inlineStr">
        <is>
          <t>السيد قزاز</t>
        </is>
      </c>
      <c r="H156" s="46" t="inlineStr">
        <is>
          <t>رباح</t>
        </is>
      </c>
      <c r="I156" s="46" t="n"/>
    </row>
    <row r="157">
      <c r="D157" s="46" t="n"/>
      <c r="E157" s="46" t="inlineStr">
        <is>
          <t>بافريا</t>
        </is>
      </c>
      <c r="F157" s="46" t="n"/>
      <c r="G157" s="46" t="inlineStr">
        <is>
          <t>السيد مرسى</t>
        </is>
      </c>
      <c r="H157" s="46" t="inlineStr">
        <is>
          <t>رباح الصيفى</t>
        </is>
      </c>
      <c r="I157" s="46" t="n"/>
    </row>
    <row r="158">
      <c r="D158" s="46" t="n"/>
      <c r="E158" s="46" t="inlineStr">
        <is>
          <t>براندايد</t>
        </is>
      </c>
      <c r="F158" s="46" t="n"/>
      <c r="G158" s="46" t="inlineStr">
        <is>
          <t>السيد مرسي</t>
        </is>
      </c>
      <c r="H158" s="46" t="inlineStr">
        <is>
          <t>رمضان</t>
        </is>
      </c>
      <c r="I158" s="46" t="n"/>
    </row>
    <row r="159">
      <c r="D159" s="46" t="n"/>
      <c r="E159" s="46" t="inlineStr">
        <is>
          <t>برتاية</t>
        </is>
      </c>
      <c r="F159" s="46" t="n"/>
      <c r="G159" s="46" t="inlineStr">
        <is>
          <t>السيد مهدى</t>
        </is>
      </c>
      <c r="H159" s="46" t="inlineStr">
        <is>
          <t>رمضان الصاوى</t>
        </is>
      </c>
      <c r="I159" s="46" t="n"/>
    </row>
    <row r="160">
      <c r="D160" s="46" t="n"/>
      <c r="E160" s="46" t="inlineStr">
        <is>
          <t>برستيج</t>
        </is>
      </c>
      <c r="F160" s="46" t="n"/>
      <c r="G160" s="46" t="inlineStr">
        <is>
          <t>الشحات سعد</t>
        </is>
      </c>
      <c r="H160" s="46" t="inlineStr">
        <is>
          <t>رودينا</t>
        </is>
      </c>
      <c r="I160" s="46" t="n"/>
    </row>
    <row r="161">
      <c r="D161" s="46" t="n"/>
      <c r="E161" s="46" t="inlineStr">
        <is>
          <t>برفكت</t>
        </is>
      </c>
      <c r="F161" s="46" t="n"/>
      <c r="G161" s="46" t="inlineStr">
        <is>
          <t>الشحات مصباح</t>
        </is>
      </c>
      <c r="H161" s="46" t="inlineStr">
        <is>
          <t>رومانى</t>
        </is>
      </c>
      <c r="I161" s="46" t="n"/>
    </row>
    <row r="162">
      <c r="D162" s="46" t="n"/>
      <c r="E162" s="46" t="inlineStr">
        <is>
          <t>بريف مان</t>
        </is>
      </c>
      <c r="F162" s="46" t="n"/>
      <c r="G162" s="46" t="inlineStr">
        <is>
          <t>الشيخ سيد</t>
        </is>
      </c>
      <c r="H162" s="46" t="inlineStr">
        <is>
          <t>روماني</t>
        </is>
      </c>
      <c r="I162" s="46" t="n"/>
    </row>
    <row r="163">
      <c r="D163" s="46" t="n"/>
      <c r="E163" s="46" t="inlineStr">
        <is>
          <t>بريلى</t>
        </is>
      </c>
      <c r="F163" s="46" t="n"/>
      <c r="G163" s="46" t="inlineStr">
        <is>
          <t>العوضى</t>
        </is>
      </c>
      <c r="H163" s="46" t="inlineStr">
        <is>
          <t>سامح الصول</t>
        </is>
      </c>
      <c r="I163" s="46" t="n"/>
    </row>
    <row r="164">
      <c r="D164" s="46" t="n"/>
      <c r="E164" s="46" t="inlineStr">
        <is>
          <t>بلوم باك</t>
        </is>
      </c>
      <c r="F164" s="46" t="n"/>
      <c r="G164" s="46" t="inlineStr">
        <is>
          <t>امين عبد الحافظ</t>
        </is>
      </c>
      <c r="H164" s="46" t="inlineStr">
        <is>
          <t>سامى جمال</t>
        </is>
      </c>
      <c r="I164" s="46" t="n"/>
    </row>
    <row r="165">
      <c r="D165" s="46" t="n"/>
      <c r="E165" s="46" t="inlineStr">
        <is>
          <t>بليسد تراى</t>
        </is>
      </c>
      <c r="F165" s="46" t="n"/>
      <c r="G165" s="46" t="inlineStr">
        <is>
          <t>انور ابراهيم</t>
        </is>
      </c>
      <c r="H165" s="46" t="inlineStr">
        <is>
          <t>سامى رمضان</t>
        </is>
      </c>
      <c r="I165" s="46" t="n"/>
    </row>
    <row r="166">
      <c r="D166" s="46" t="n"/>
      <c r="E166" s="46" t="inlineStr">
        <is>
          <t>بليسد ترى</t>
        </is>
      </c>
      <c r="F166" s="46" t="n"/>
      <c r="G166" s="46" t="inlineStr">
        <is>
          <t>انور محمد</t>
        </is>
      </c>
      <c r="H166" s="46" t="inlineStr">
        <is>
          <t>سعد الشحات</t>
        </is>
      </c>
      <c r="I166" s="46" t="n"/>
    </row>
    <row r="167">
      <c r="D167" s="46" t="n"/>
      <c r="E167" s="46" t="inlineStr">
        <is>
          <t>بوت مان</t>
        </is>
      </c>
      <c r="F167" s="46" t="n"/>
      <c r="G167" s="46" t="inlineStr">
        <is>
          <t>اوبش</t>
        </is>
      </c>
      <c r="H167" s="46" t="inlineStr">
        <is>
          <t>سعد ماضى</t>
        </is>
      </c>
      <c r="I167" s="46" t="n"/>
    </row>
    <row r="168">
      <c r="D168" s="46" t="n"/>
      <c r="E168" s="46" t="inlineStr">
        <is>
          <t>بوتمان</t>
        </is>
      </c>
      <c r="F168" s="46" t="n"/>
      <c r="G168" s="46" t="inlineStr">
        <is>
          <t>ايمن احمد</t>
        </is>
      </c>
      <c r="H168" s="46" t="inlineStr">
        <is>
          <t>سعيد الاوربية</t>
        </is>
      </c>
      <c r="I168" s="46" t="n"/>
    </row>
    <row r="169">
      <c r="D169" s="46" t="n"/>
      <c r="E169" s="46" t="inlineStr">
        <is>
          <t>بوليدو</t>
        </is>
      </c>
      <c r="F169" s="46" t="n"/>
      <c r="G169" s="46" t="inlineStr">
        <is>
          <t>ايمن الصعيدى</t>
        </is>
      </c>
      <c r="H169" s="46" t="inlineStr">
        <is>
          <t>سعيد التك</t>
        </is>
      </c>
      <c r="I169" s="46" t="n"/>
    </row>
    <row r="170">
      <c r="D170" s="46" t="n"/>
      <c r="E170" s="46" t="inlineStr">
        <is>
          <t>بى سيفتى</t>
        </is>
      </c>
      <c r="F170" s="46" t="n"/>
      <c r="G170" s="46" t="inlineStr">
        <is>
          <t>ايمن الملاح</t>
        </is>
      </c>
      <c r="H170" s="46" t="inlineStr">
        <is>
          <t>سعيد قبارى</t>
        </is>
      </c>
      <c r="I170" s="46" t="n"/>
    </row>
    <row r="171">
      <c r="D171" s="46" t="n"/>
      <c r="E171" s="46" t="inlineStr">
        <is>
          <t>بيك اجرى</t>
        </is>
      </c>
      <c r="F171" s="46" t="n"/>
      <c r="G171" s="46" t="inlineStr">
        <is>
          <t>ايمن جيتة</t>
        </is>
      </c>
      <c r="H171" s="46" t="inlineStr">
        <is>
          <t>سعيد قبيصى</t>
        </is>
      </c>
      <c r="I171" s="46" t="n"/>
    </row>
    <row r="172">
      <c r="D172" s="46" t="n"/>
      <c r="E172" s="46" t="inlineStr">
        <is>
          <t>بيوند هوريزون</t>
        </is>
      </c>
      <c r="F172" s="46" t="n"/>
      <c r="G172" s="46" t="inlineStr">
        <is>
          <t>ايمن رمضان</t>
        </is>
      </c>
      <c r="H172" s="46" t="inlineStr">
        <is>
          <t>سلومة</t>
        </is>
      </c>
      <c r="I172" s="46" t="n"/>
    </row>
    <row r="173">
      <c r="D173" s="46" t="n"/>
      <c r="E173" s="46" t="inlineStr">
        <is>
          <t>تايجل انوفيشن</t>
        </is>
      </c>
      <c r="F173" s="46" t="n"/>
      <c r="G173" s="46" t="inlineStr">
        <is>
          <t>ايمن عبد الجواد</t>
        </is>
      </c>
      <c r="H173" s="46" t="inlineStr">
        <is>
          <t>سمارة</t>
        </is>
      </c>
      <c r="I173" s="46" t="n"/>
    </row>
    <row r="174">
      <c r="D174" s="46" t="n"/>
      <c r="E174" s="46" t="inlineStr">
        <is>
          <t>تومكو</t>
        </is>
      </c>
      <c r="F174" s="46" t="n"/>
      <c r="G174" s="46" t="inlineStr">
        <is>
          <t>ايمن عبد العزيز</t>
        </is>
      </c>
      <c r="H174" s="46" t="inlineStr">
        <is>
          <t>سمح خيشة</t>
        </is>
      </c>
      <c r="I174" s="46" t="n"/>
    </row>
    <row r="175">
      <c r="D175" s="46" t="n"/>
      <c r="E175" s="46" t="inlineStr">
        <is>
          <t>تومكو للاستيراد</t>
        </is>
      </c>
      <c r="F175" s="46" t="n"/>
      <c r="G175" s="46" t="inlineStr">
        <is>
          <t>ايمن عبدة</t>
        </is>
      </c>
      <c r="H175" s="46" t="inlineStr">
        <is>
          <t>سمير بركة</t>
        </is>
      </c>
      <c r="I175" s="46" t="n"/>
    </row>
    <row r="176">
      <c r="D176" s="46" t="n"/>
      <c r="E176" s="46" t="inlineStr">
        <is>
          <t>تى فارم</t>
        </is>
      </c>
      <c r="F176" s="46" t="n"/>
      <c r="G176" s="46" t="inlineStr">
        <is>
          <t>ايمن عبده</t>
        </is>
      </c>
      <c r="H176" s="46" t="inlineStr">
        <is>
          <t>شارون</t>
        </is>
      </c>
      <c r="I176" s="46" t="n"/>
    </row>
    <row r="177">
      <c r="D177" s="46" t="n"/>
      <c r="E177" s="46" t="inlineStr">
        <is>
          <t>جاب الله الباذ</t>
        </is>
      </c>
      <c r="F177" s="46" t="n"/>
      <c r="G177" s="46" t="inlineStr">
        <is>
          <t>ايمن محمد</t>
        </is>
      </c>
      <c r="H177" s="46" t="inlineStr">
        <is>
          <t>شعبان</t>
        </is>
      </c>
      <c r="I177" s="46" t="n"/>
    </row>
    <row r="178">
      <c r="D178" s="46" t="n"/>
      <c r="E178" s="46" t="inlineStr">
        <is>
          <t>جرين اب</t>
        </is>
      </c>
      <c r="F178" s="46" t="n"/>
      <c r="G178" s="46" t="inlineStr">
        <is>
          <t>ايمن مسعد</t>
        </is>
      </c>
      <c r="H178" s="46" t="inlineStr">
        <is>
          <t>شعبان البنا</t>
        </is>
      </c>
      <c r="I178" s="46" t="n"/>
    </row>
    <row r="179">
      <c r="D179" s="46" t="n"/>
      <c r="E179" s="46" t="inlineStr">
        <is>
          <t>جرين بايو</t>
        </is>
      </c>
      <c r="F179" s="46" t="n"/>
      <c r="G179" s="46" t="inlineStr">
        <is>
          <t>ايهاب السيد</t>
        </is>
      </c>
      <c r="H179" s="46" t="inlineStr">
        <is>
          <t>صابر عاشور</t>
        </is>
      </c>
      <c r="I179" s="46" t="n"/>
    </row>
    <row r="180">
      <c r="D180" s="46" t="n"/>
      <c r="E180" s="46" t="inlineStr">
        <is>
          <t>جرين لاند</t>
        </is>
      </c>
      <c r="F180" s="46" t="n"/>
      <c r="G180" s="46" t="inlineStr">
        <is>
          <t>ايهاب رجب</t>
        </is>
      </c>
      <c r="H180" s="46" t="inlineStr">
        <is>
          <t>صبحى الصعيدى</t>
        </is>
      </c>
      <c r="I180" s="46" t="n"/>
    </row>
    <row r="181">
      <c r="D181" s="46" t="n"/>
      <c r="E181" s="46" t="inlineStr">
        <is>
          <t>جرين لاينز</t>
        </is>
      </c>
      <c r="F181" s="46" t="n"/>
      <c r="G181" s="46" t="inlineStr">
        <is>
          <t>ايهاب محمد</t>
        </is>
      </c>
      <c r="H181" s="46" t="inlineStr">
        <is>
          <t>صبحى جميل</t>
        </is>
      </c>
      <c r="I181" s="46" t="n"/>
    </row>
    <row r="182">
      <c r="D182" s="46" t="n"/>
      <c r="E182" s="46" t="inlineStr">
        <is>
          <t>جرين ميدوز</t>
        </is>
      </c>
      <c r="F182" s="46" t="n"/>
      <c r="G182" s="46" t="inlineStr">
        <is>
          <t>باسم رمضان</t>
        </is>
      </c>
      <c r="H182" s="46" t="inlineStr">
        <is>
          <t>صبرى خليفة</t>
        </is>
      </c>
      <c r="I182" s="46" t="n"/>
    </row>
    <row r="183">
      <c r="D183" s="46" t="n"/>
      <c r="E183" s="46" t="inlineStr">
        <is>
          <t>جلوبال جرين</t>
        </is>
      </c>
      <c r="F183" s="46" t="n"/>
      <c r="G183" s="46" t="inlineStr">
        <is>
          <t>باسم عبد السلام</t>
        </is>
      </c>
      <c r="H183" s="46" t="inlineStr">
        <is>
          <t>صفيحة</t>
        </is>
      </c>
      <c r="I183" s="46" t="n"/>
    </row>
    <row r="184">
      <c r="D184" s="46" t="n"/>
      <c r="E184" s="46" t="inlineStr">
        <is>
          <t>جولدن اورينت</t>
        </is>
      </c>
      <c r="F184" s="46" t="n"/>
      <c r="G184" s="46" t="inlineStr">
        <is>
          <t>بانو قولح</t>
        </is>
      </c>
      <c r="H184" s="46" t="inlineStr">
        <is>
          <t>صقر</t>
        </is>
      </c>
      <c r="I184" s="46" t="n"/>
    </row>
    <row r="185">
      <c r="D185" s="46" t="n"/>
      <c r="E185" s="46" t="inlineStr">
        <is>
          <t>جولدن فيو</t>
        </is>
      </c>
      <c r="F185" s="46" t="n"/>
      <c r="G185" s="46" t="inlineStr">
        <is>
          <t>بدر عبدالمقصود</t>
        </is>
      </c>
      <c r="H185" s="46" t="inlineStr">
        <is>
          <t>صلاح الزوز</t>
        </is>
      </c>
      <c r="I185" s="46" t="n"/>
    </row>
    <row r="186">
      <c r="D186" s="46" t="n"/>
      <c r="E186" s="46" t="inlineStr">
        <is>
          <t>جى فريش</t>
        </is>
      </c>
      <c r="F186" s="46" t="n"/>
      <c r="G186" s="46" t="inlineStr">
        <is>
          <t>بسام الرامبو</t>
        </is>
      </c>
      <c r="H186" s="46" t="inlineStr">
        <is>
          <t>صلاخ المهندس</t>
        </is>
      </c>
      <c r="I186" s="46" t="n"/>
    </row>
    <row r="187">
      <c r="D187" s="46" t="n"/>
      <c r="E187" s="46" t="inlineStr">
        <is>
          <t>جيمستون</t>
        </is>
      </c>
      <c r="F187" s="46" t="n"/>
      <c r="G187" s="46" t="inlineStr">
        <is>
          <t>بسام سلام</t>
        </is>
      </c>
      <c r="H187" s="46" t="inlineStr">
        <is>
          <t>طارق الجمل</t>
        </is>
      </c>
      <c r="I187" s="46" t="n"/>
    </row>
    <row r="188">
      <c r="D188" s="46" t="n"/>
      <c r="E188" s="46" t="inlineStr">
        <is>
          <t>حصن</t>
        </is>
      </c>
      <c r="F188" s="46" t="n"/>
      <c r="G188" s="46" t="inlineStr">
        <is>
          <t>بسام محمد</t>
        </is>
      </c>
      <c r="H188" s="46" t="inlineStr">
        <is>
          <t>طارق العراقى</t>
        </is>
      </c>
      <c r="I188" s="46" t="n"/>
    </row>
    <row r="189">
      <c r="D189" s="46" t="n"/>
      <c r="E189" s="46" t="inlineStr">
        <is>
          <t>حلوانى اخوان</t>
        </is>
      </c>
      <c r="F189" s="46" t="n"/>
      <c r="G189" s="46" t="inlineStr">
        <is>
          <t>بهاء</t>
        </is>
      </c>
      <c r="H189" s="46" t="inlineStr">
        <is>
          <t>طارق زيدان</t>
        </is>
      </c>
      <c r="I189" s="46" t="n"/>
    </row>
    <row r="190">
      <c r="D190" s="46" t="n"/>
      <c r="E190" s="46" t="inlineStr">
        <is>
          <t>خط المطابخ</t>
        </is>
      </c>
      <c r="F190" s="46" t="n"/>
      <c r="G190" s="46" t="inlineStr">
        <is>
          <t>بيبو على</t>
        </is>
      </c>
      <c r="H190" s="46" t="inlineStr">
        <is>
          <t>عبد التواب</t>
        </is>
      </c>
      <c r="I190" s="46" t="n"/>
    </row>
    <row r="191">
      <c r="D191" s="46" t="n"/>
      <c r="E191" s="46" t="inlineStr">
        <is>
          <t>خورى استاند</t>
        </is>
      </c>
      <c r="F191" s="46" t="n"/>
      <c r="G191" s="46" t="inlineStr">
        <is>
          <t>بيسرى النادى</t>
        </is>
      </c>
      <c r="H191" s="46" t="inlineStr">
        <is>
          <t>عبد الجواد</t>
        </is>
      </c>
      <c r="I191" s="46" t="n"/>
    </row>
    <row r="192">
      <c r="D192" s="46" t="n"/>
      <c r="E192" s="46" t="inlineStr">
        <is>
          <t>خورى ستاند</t>
        </is>
      </c>
      <c r="F192" s="46" t="n"/>
      <c r="G192" s="46" t="inlineStr">
        <is>
          <t>تامر جاد</t>
        </is>
      </c>
      <c r="H192" s="46" t="inlineStr">
        <is>
          <t>عبد العال</t>
        </is>
      </c>
      <c r="I192" s="46" t="n"/>
    </row>
    <row r="193">
      <c r="D193" s="46" t="n"/>
      <c r="E193" s="46" t="inlineStr">
        <is>
          <t>دانتى</t>
        </is>
      </c>
      <c r="F193" s="46" t="n"/>
      <c r="G193" s="46" t="inlineStr">
        <is>
          <t>تامر رجب</t>
        </is>
      </c>
      <c r="H193" s="46" t="inlineStr">
        <is>
          <t>عبد الغنى</t>
        </is>
      </c>
      <c r="I193" s="46" t="n"/>
    </row>
    <row r="194">
      <c r="D194" s="46" t="n"/>
      <c r="E194" s="46" t="inlineStr">
        <is>
          <t>دلتا فلكس</t>
        </is>
      </c>
      <c r="F194" s="46" t="n"/>
      <c r="G194" s="46" t="inlineStr">
        <is>
          <t>تحى احمد</t>
        </is>
      </c>
      <c r="H194" s="46" t="inlineStr">
        <is>
          <t>عبد الله</t>
        </is>
      </c>
      <c r="I194" s="46" t="n"/>
    </row>
    <row r="195">
      <c r="D195" s="46" t="n"/>
      <c r="E195" s="46" t="inlineStr">
        <is>
          <t>دلتا للتجارة</t>
        </is>
      </c>
      <c r="F195" s="46" t="n"/>
      <c r="G195" s="46" t="inlineStr">
        <is>
          <t>تور محمد</t>
        </is>
      </c>
      <c r="H195" s="46" t="inlineStr">
        <is>
          <t>عبدة</t>
        </is>
      </c>
      <c r="I195" s="46" t="n"/>
    </row>
    <row r="196">
      <c r="D196" s="46" t="n"/>
      <c r="E196" s="46" t="inlineStr">
        <is>
          <t>ذا رووك</t>
        </is>
      </c>
      <c r="F196" s="46" t="n"/>
      <c r="G196" s="46" t="inlineStr">
        <is>
          <t>جابر سعد</t>
        </is>
      </c>
      <c r="H196" s="46" t="inlineStr">
        <is>
          <t>عبدة الميت</t>
        </is>
      </c>
      <c r="I196" s="46" t="n"/>
    </row>
    <row r="197">
      <c r="D197" s="46" t="n"/>
      <c r="E197" s="46" t="inlineStr">
        <is>
          <t>راضى الدولية</t>
        </is>
      </c>
      <c r="F197" s="46" t="n"/>
      <c r="G197" s="46" t="inlineStr">
        <is>
          <t>جابر صبحى</t>
        </is>
      </c>
      <c r="H197" s="46" t="inlineStr">
        <is>
          <t>عبدة على</t>
        </is>
      </c>
      <c r="I197" s="46" t="n"/>
    </row>
    <row r="198">
      <c r="D198" s="46" t="n"/>
      <c r="E198" s="46" t="inlineStr">
        <is>
          <t>راما للزيوت</t>
        </is>
      </c>
      <c r="F198" s="46" t="n"/>
      <c r="G198" s="46" t="inlineStr">
        <is>
          <t>جابر محمد</t>
        </is>
      </c>
      <c r="H198" s="46" t="inlineStr">
        <is>
          <t>عبدة كامل</t>
        </is>
      </c>
      <c r="I198" s="46" t="n"/>
    </row>
    <row r="199">
      <c r="D199" s="46" t="n"/>
      <c r="E199" s="46" t="inlineStr">
        <is>
          <t>ريجينا</t>
        </is>
      </c>
      <c r="F199" s="46" t="n"/>
      <c r="G199" s="46" t="inlineStr">
        <is>
          <t>جبريل محمد</t>
        </is>
      </c>
      <c r="H199" s="46" t="inlineStr">
        <is>
          <t>عبدة مصياح</t>
        </is>
      </c>
      <c r="I199" s="46" t="n"/>
    </row>
    <row r="200">
      <c r="D200" s="46" t="n"/>
      <c r="E200" s="46" t="inlineStr">
        <is>
          <t>سامسونج</t>
        </is>
      </c>
      <c r="F200" s="46" t="n"/>
      <c r="G200" s="46" t="inlineStr">
        <is>
          <t>جعفر النميرى</t>
        </is>
      </c>
      <c r="H200" s="46" t="inlineStr">
        <is>
          <t>عتمان</t>
        </is>
      </c>
      <c r="I200" s="46" t="n"/>
    </row>
    <row r="201">
      <c r="D201" s="46" t="n"/>
      <c r="E201" s="46" t="inlineStr">
        <is>
          <t>سفنكس</t>
        </is>
      </c>
      <c r="F201" s="46" t="n"/>
      <c r="G201" s="46" t="inlineStr">
        <is>
          <t>جلال حسنى</t>
        </is>
      </c>
      <c r="H201" s="46" t="inlineStr">
        <is>
          <t>عرابى</t>
        </is>
      </c>
      <c r="I201" s="46" t="n"/>
    </row>
    <row r="202">
      <c r="D202" s="46" t="n"/>
      <c r="E202" s="46" t="inlineStr">
        <is>
          <t>سفير</t>
        </is>
      </c>
      <c r="F202" s="46" t="n"/>
      <c r="G202" s="46" t="inlineStr">
        <is>
          <t>جماال على</t>
        </is>
      </c>
      <c r="H202" s="46" t="inlineStr">
        <is>
          <t>عزام</t>
        </is>
      </c>
      <c r="I202" s="46" t="n"/>
    </row>
    <row r="203">
      <c r="D203" s="46" t="n"/>
      <c r="E203" s="46" t="inlineStr">
        <is>
          <t>سمارت</t>
        </is>
      </c>
      <c r="F203" s="46" t="n"/>
      <c r="G203" s="46" t="inlineStr">
        <is>
          <t>جمال شلبى</t>
        </is>
      </c>
      <c r="H203" s="46" t="inlineStr">
        <is>
          <t>عزوز</t>
        </is>
      </c>
      <c r="I203" s="46" t="n"/>
    </row>
  </sheetData>
  <mergeCells count="2">
    <mergeCell ref="A2:H2"/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999999"/>
    <outlinePr summaryBelow="1" summaryRight="1"/>
    <pageSetUpPr/>
  </sheetPr>
  <dimension ref="A1:H30"/>
  <sheetViews>
    <sheetView showGridLines="0"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" customWidth="1" min="1" max="1"/>
    <col width="26" customWidth="1" min="2" max="2"/>
    <col width="40" customWidth="1" min="3" max="3"/>
    <col width="22" customWidth="1" min="4" max="4"/>
    <col width="3" customWidth="1" min="5" max="5"/>
    <col width="3" customWidth="1" min="6" max="6"/>
    <col width="3" customWidth="1" min="7" max="7"/>
    <col width="3" customWidth="1" min="8" max="8"/>
  </cols>
  <sheetData>
    <row r="1" ht="34" customHeight="1">
      <c r="A1" s="1" t="inlineStr">
        <is>
          <t>شركة المتوكل  —  دليل استخدام النظام</t>
        </is>
      </c>
    </row>
    <row r="2" ht="20" customHeight="1">
      <c r="A2" s="3" t="inlineStr">
        <is>
          <t>اقرأ هذه الصفحة قبل البدء</t>
        </is>
      </c>
    </row>
    <row r="3" ht="22" customHeight="1">
      <c r="B3" s="94" t="inlineStr">
        <is>
          <t>كيف يعمل النظام؟</t>
        </is>
      </c>
    </row>
    <row r="4" ht="30" customHeight="1">
      <c r="B4" s="95" t="inlineStr">
        <is>
          <t>الفكرة</t>
        </is>
      </c>
      <c r="C4" s="96" t="inlineStr">
        <is>
          <t>تُدخِل بياناتك في صفحات (البوالص، التخليص، المولدات، شامل) فقط، وكل الحسابات والتقارير واللوحة تتحدّث تلقائياً.</t>
        </is>
      </c>
      <c r="D4" s="97" t="inlineStr"/>
    </row>
    <row r="5" ht="30" customHeight="1">
      <c r="B5" s="95" t="inlineStr">
        <is>
          <t>الخلايا الصفراء</t>
        </is>
      </c>
      <c r="C5" s="96" t="inlineStr">
        <is>
          <t>خلايا إدخال — اكتب فيها بياناتك.</t>
        </is>
      </c>
      <c r="D5" s="97" t="inlineStr">
        <is>
          <t>لونها أصفر فاتح</t>
        </is>
      </c>
    </row>
    <row r="6" ht="30" customHeight="1">
      <c r="B6" s="95" t="inlineStr">
        <is>
          <t>الخلايا الزرقاء</t>
        </is>
      </c>
      <c r="C6" s="96" t="inlineStr">
        <is>
          <t>خلايا محسوبة تلقائياً بمعادلات — لا تكتب فيها (النص مائل).</t>
        </is>
      </c>
      <c r="D6" s="97" t="inlineStr">
        <is>
          <t>لونها أزرق فاتح</t>
        </is>
      </c>
    </row>
    <row r="7" ht="30" customHeight="1">
      <c r="B7" s="95" t="inlineStr">
        <is>
          <t>القوائم المنسدلة</t>
        </is>
      </c>
      <c r="C7" s="96" t="inlineStr">
        <is>
          <t>التصنيف/الشركة/الجهة/السائق/العميل تُختار من قائمة. لإضافة عنصر جديد افتح صفحة (الإعدادات).</t>
        </is>
      </c>
      <c r="D7" s="97" t="inlineStr"/>
    </row>
    <row r="8" ht="30" customHeight="1">
      <c r="B8" s="95" t="inlineStr">
        <is>
          <t>الترقيم</t>
        </is>
      </c>
      <c r="C8" s="96" t="inlineStr">
        <is>
          <t>عمود (م) يرقّم تلقائياً بمجرد كتابة التاريخ في الصف.</t>
        </is>
      </c>
      <c r="D8" s="97" t="inlineStr"/>
    </row>
    <row r="10" ht="22" customHeight="1">
      <c r="B10" s="94" t="inlineStr">
        <is>
          <t>شرح المعادلات (يمكنك تعديلها لو نظامك يحسب بطريقة مختلفة)</t>
        </is>
      </c>
    </row>
    <row r="11" ht="30" customHeight="1">
      <c r="B11" s="95" t="inlineStr">
        <is>
          <t>البوالص › إجمالي التحصيل</t>
        </is>
      </c>
      <c r="C11" s="96">
        <f> نولون + تحويلة + بياتة (تحصيل)</f>
        <v/>
      </c>
      <c r="D11" s="97" t="inlineStr">
        <is>
          <t>راجعها حسب نظامك</t>
        </is>
      </c>
    </row>
    <row r="12" ht="30" customHeight="1">
      <c r="B12" s="95" t="inlineStr">
        <is>
          <t>البوالص › باقي</t>
        </is>
      </c>
      <c r="C12" s="96">
        <f> إجمالي التحصيل − دفعة</f>
        <v/>
      </c>
      <c r="D12" s="97" t="inlineStr"/>
    </row>
    <row r="13" ht="30" customHeight="1">
      <c r="B13" s="95" t="inlineStr">
        <is>
          <t>البوالص › إجمالي المصروف</t>
        </is>
      </c>
      <c r="C13" s="96">
        <f> مجموع بنود المصروفات (دور سواق ← جاز)</f>
        <v/>
      </c>
      <c r="D13" s="97" t="inlineStr">
        <is>
          <t>مؤكّدة</t>
        </is>
      </c>
    </row>
    <row r="14" ht="30" customHeight="1">
      <c r="B14" s="95" t="inlineStr">
        <is>
          <t>البوالص › الباقي من العهدة</t>
        </is>
      </c>
      <c r="C14" s="96">
        <f> عهدة − إجمالي المصروف</f>
        <v/>
      </c>
      <c r="D14" s="97" t="inlineStr">
        <is>
          <t>مؤكّدة</t>
        </is>
      </c>
    </row>
    <row r="15" ht="30" customHeight="1">
      <c r="B15" s="95" t="inlineStr">
        <is>
          <t>البوالص › صافي السيارة</t>
        </is>
      </c>
      <c r="C15" s="96">
        <f> نولون − إجمالي المصروف</f>
        <v/>
      </c>
      <c r="D15" s="97" t="inlineStr">
        <is>
          <t>مؤكّدة</t>
        </is>
      </c>
    </row>
    <row r="16" ht="30" customHeight="1">
      <c r="B16" s="95" t="inlineStr">
        <is>
          <t>البوالص › ربح/خسارة %</t>
        </is>
      </c>
      <c r="C16" s="96">
        <f> صافي السيارة ÷ نولون</f>
        <v/>
      </c>
      <c r="D16" s="97" t="inlineStr"/>
    </row>
    <row r="17" ht="30" customHeight="1">
      <c r="B17" s="95" t="inlineStr">
        <is>
          <t>التخليص › إجمالي الكشف</t>
        </is>
      </c>
      <c r="C17" s="96">
        <f> الأتعاب + المصروفات</f>
        <v/>
      </c>
      <c r="D17" s="97" t="inlineStr">
        <is>
          <t>مؤكّدة</t>
        </is>
      </c>
    </row>
    <row r="18" ht="30" customHeight="1">
      <c r="B18" s="95" t="inlineStr">
        <is>
          <t>التخليص › المتبقي</t>
        </is>
      </c>
      <c r="C18" s="96">
        <f> إجمالي الكشف − الدفعات</f>
        <v/>
      </c>
      <c r="D18" s="97" t="inlineStr">
        <is>
          <t>مؤكّدة</t>
        </is>
      </c>
    </row>
    <row r="19" ht="30" customHeight="1">
      <c r="B19" s="95" t="inlineStr">
        <is>
          <t>المولدات › المتبقي</t>
        </is>
      </c>
      <c r="C19" s="96">
        <f> النولون − الدفعات</f>
        <v/>
      </c>
      <c r="D19" s="97" t="inlineStr">
        <is>
          <t>مؤكّدة</t>
        </is>
      </c>
    </row>
    <row r="20" ht="30" customHeight="1">
      <c r="B20" s="95" t="inlineStr">
        <is>
          <t>شامل › قيمة مضافة</t>
        </is>
      </c>
      <c r="C20" s="96">
        <f> (النولون + بيانات/عطالات) × نسبة القيمة المضافة</f>
        <v/>
      </c>
      <c r="D20" s="97" t="inlineStr">
        <is>
          <t>النسبة في الإعدادات (14%)</t>
        </is>
      </c>
    </row>
    <row r="21" ht="30" customHeight="1">
      <c r="B21" s="95" t="inlineStr">
        <is>
          <t>شامل › إجمالي الفاتورة</t>
        </is>
      </c>
      <c r="C21" s="96">
        <f> نولون + بيانات + ق.مضافة − خصم أ ت ص + الإيصالات</f>
        <v/>
      </c>
      <c r="D21" s="97" t="inlineStr">
        <is>
          <t>راجعها حسب نظامك</t>
        </is>
      </c>
    </row>
    <row r="22" ht="30" customHeight="1">
      <c r="B22" s="95" t="inlineStr">
        <is>
          <t>شامل › إجمالي الحساب</t>
        </is>
      </c>
      <c r="C22" s="96">
        <f> إجمالي الفاتورة − الدفعات</f>
        <v/>
      </c>
      <c r="D22" s="97" t="inlineStr">
        <is>
          <t>المتبقي على العميل</t>
        </is>
      </c>
    </row>
    <row r="23" ht="30" customHeight="1">
      <c r="B23" s="95" t="inlineStr">
        <is>
          <t>شامل › إجمالي ربح</t>
        </is>
      </c>
      <c r="C23" s="96">
        <f> النولون − نولون فعلي − مصروف</f>
        <v/>
      </c>
      <c r="D23" s="97" t="inlineStr">
        <is>
          <t>راجعها حسب نظامك</t>
        </is>
      </c>
    </row>
    <row r="25" ht="22" customHeight="1">
      <c r="B25" s="98" t="inlineStr">
        <is>
          <t>تفعيل الماكرو (اختياري)</t>
        </is>
      </c>
    </row>
    <row r="26" ht="30" customHeight="1">
      <c r="B26" s="95" t="inlineStr">
        <is>
          <t>لماذا؟</t>
        </is>
      </c>
      <c r="C26" s="96" t="inlineStr">
        <is>
          <t>الماكرو يضيف أزرار: فورم إدخال سريع، بحث، طباعة PDF، نسخة احتياطية.</t>
        </is>
      </c>
      <c r="D26" s="97" t="inlineStr"/>
    </row>
    <row r="27" ht="30" customHeight="1">
      <c r="B27" s="95" t="inlineStr">
        <is>
          <t>الخطوة 1</t>
        </is>
      </c>
      <c r="C27" s="96" t="inlineStr">
        <is>
          <t>احفظ الملف بصيغة Excel Macro-Enabled (.xlsm).</t>
        </is>
      </c>
      <c r="D27" s="97" t="inlineStr">
        <is>
          <t>ملف ← حفظ باسم</t>
        </is>
      </c>
    </row>
    <row r="28" ht="30" customHeight="1">
      <c r="B28" s="95" t="inlineStr">
        <is>
          <t>الخطوة 2</t>
        </is>
      </c>
      <c r="C28" s="96" t="inlineStr">
        <is>
          <t>افتح محرر الأكواد بضغط Alt+F11، ثم File ← Import File واختر الملف (وحدة_الماكرو.bas).</t>
        </is>
      </c>
      <c r="D28" s="97" t="inlineStr"/>
    </row>
    <row r="29" ht="30" customHeight="1">
      <c r="B29" s="95" t="inlineStr">
        <is>
          <t>الخطوة 3</t>
        </is>
      </c>
      <c r="C29" s="96" t="inlineStr">
        <is>
          <t>ارجع للإكسيل وشغّل الماكرو من View ← Macros أو من الأزرار.</t>
        </is>
      </c>
      <c r="D29" s="97" t="inlineStr"/>
    </row>
    <row r="30" ht="30" customHeight="1">
      <c r="B30" s="95" t="inlineStr">
        <is>
          <t>ملاحظة</t>
        </is>
      </c>
      <c r="C30" s="96" t="inlineStr">
        <is>
          <t>لو مش عايز ماكرو، النظام يعمل بالكامل بدونه بالمعادلات والرسوم.</t>
        </is>
      </c>
      <c r="D30" s="97" t="inlineStr"/>
    </row>
  </sheetData>
  <mergeCells count="5">
    <mergeCell ref="B10:D10"/>
    <mergeCell ref="B3:D3"/>
    <mergeCell ref="A2:H2"/>
    <mergeCell ref="A1:H1"/>
    <mergeCell ref="B25:D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2026-07-07T11:09:06Z</dcterms:created>
  <dcterms:modified xmlns:dcterms="http://purl.org/dc/terms/" xmlns:xsi="http://www.w3.org/2001/XMLSchema-instance" xsi:type="dcterms:W3CDTF">2026-07-07T11:09:18Z</dcterms:modified>
</cp:coreProperties>
</file>